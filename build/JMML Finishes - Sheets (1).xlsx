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Data" sheetId="1" r:id="rId4"/>
    <sheet state="visible" name="WL Matrix 2" sheetId="2" r:id="rId5"/>
    <sheet state="visible" name="New Weekly Paste" sheetId="3" r:id="rId6"/>
    <sheet state="hidden" name="Manager Coding" sheetId="4" r:id="rId7"/>
    <sheet state="hidden" name="Mapped Opponent" sheetId="5" r:id="rId8"/>
  </sheets>
  <definedNames>
    <definedName name="Mapped_Owner">'Mapped Opponent'!$B$4:$C$28</definedName>
    <definedName hidden="1" localSheetId="0" name="_xlnm._FilterDatabase">AllData!$A$1:$AM$217</definedName>
    <definedName hidden="1" localSheetId="1" name="_xlnm._FilterDatabase">'WL Matrix 2'!$A$1:$V$3146</definedName>
    <definedName hidden="1" localSheetId="2" name="_xlnm._FilterDatabase">'New Weekly Paste'!$A$1:$AI$1673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Rob Saltiel:
=SUBSTITUTE(SUBSTITUTE(LEFT(E962,FIND("-",E962)-1),"L ",""),"W ","")</t>
      </text>
    </comment>
    <comment authorId="0" ref="K1">
      <text>
        <t xml:space="preserve">Rob Saltiel:
=IFERROR(RIGHT(E962,LEN(E962)-FIND("-",E962)),"")</t>
      </text>
    </comment>
  </commentList>
</comments>
</file>

<file path=xl/sharedStrings.xml><?xml version="1.0" encoding="utf-8"?>
<sst xmlns="http://schemas.openxmlformats.org/spreadsheetml/2006/main" count="18496" uniqueCount="2896">
  <si>
    <t>Season</t>
  </si>
  <si>
    <t>Date</t>
  </si>
  <si>
    <t>Owner</t>
  </si>
  <si>
    <t>Team Name</t>
  </si>
  <si>
    <t>Team - Year</t>
  </si>
  <si>
    <t>QB</t>
  </si>
  <si>
    <t>Top RB</t>
  </si>
  <si>
    <t>Top WR</t>
  </si>
  <si>
    <t>TE</t>
  </si>
  <si>
    <t>Current Owner</t>
  </si>
  <si>
    <t>This Year</t>
  </si>
  <si>
    <t>Reg Season Finish</t>
  </si>
  <si>
    <t>Playoff Finish</t>
  </si>
  <si>
    <t>Finish</t>
  </si>
  <si>
    <t>Games Played</t>
  </si>
  <si>
    <t>Wins</t>
  </si>
  <si>
    <t>Losses</t>
  </si>
  <si>
    <t>Final Points For</t>
  </si>
  <si>
    <t>Final Points Against</t>
  </si>
  <si>
    <t>City</t>
  </si>
  <si>
    <t>State</t>
  </si>
  <si>
    <t>ZIP</t>
  </si>
  <si>
    <t>Buy In</t>
  </si>
  <si>
    <t>$ Won</t>
  </si>
  <si>
    <t>Profit</t>
  </si>
  <si>
    <t>Championships</t>
  </si>
  <si>
    <t>Playoff Appearances</t>
  </si>
  <si>
    <t>Win Last Game?</t>
  </si>
  <si>
    <t>Wins_PointsSort</t>
  </si>
  <si>
    <t>Reg Season #1s</t>
  </si>
  <si>
    <t>Reg Season Top Points</t>
  </si>
  <si>
    <t>Power Rank Wins</t>
  </si>
  <si>
    <t>Power Rank Losses</t>
  </si>
  <si>
    <t>Power Rank GP</t>
  </si>
  <si>
    <t>Rules</t>
  </si>
  <si>
    <t>Regular Season Pts Rank</t>
  </si>
  <si>
    <t>Points For Index</t>
  </si>
  <si>
    <t>Points Against Index</t>
  </si>
  <si>
    <t>Weekly Top 6 Scores</t>
  </si>
  <si>
    <t>Hudspeath</t>
  </si>
  <si>
    <t>Cutler's Year</t>
  </si>
  <si>
    <t>Tom Brady</t>
  </si>
  <si>
    <t>Ryan Grant</t>
  </si>
  <si>
    <t>Vincent Jackson</t>
  </si>
  <si>
    <t>Kellen Winslow</t>
  </si>
  <si>
    <t>Bloomington</t>
  </si>
  <si>
    <t>Indiana</t>
  </si>
  <si>
    <t>Buser</t>
  </si>
  <si>
    <t>YearOwnerWeek</t>
  </si>
  <si>
    <t>CONCATAWAY</t>
  </si>
  <si>
    <t>Ed Buser</t>
  </si>
  <si>
    <t>Year</t>
  </si>
  <si>
    <t>Tayski</t>
  </si>
  <si>
    <t>Week</t>
  </si>
  <si>
    <t>Taylor Weis</t>
  </si>
  <si>
    <t>CONCAT HOME</t>
  </si>
  <si>
    <t>Record</t>
  </si>
  <si>
    <t>Rooney/Jackson</t>
  </si>
  <si>
    <t>Stephen Rooney, Jackson Sattell</t>
  </si>
  <si>
    <t>Score</t>
  </si>
  <si>
    <t>Week #</t>
  </si>
  <si>
    <t>Placeholder 2</t>
  </si>
  <si>
    <t>Opponent</t>
  </si>
  <si>
    <t>Away Manager</t>
  </si>
  <si>
    <t>matt hudspeath</t>
  </si>
  <si>
    <t>Opponent Name</t>
  </si>
  <si>
    <t>Away Manager Clean</t>
  </si>
  <si>
    <t>Riley</t>
  </si>
  <si>
    <t>Riley McElwain</t>
  </si>
  <si>
    <t>Away Score</t>
  </si>
  <si>
    <t>Home Manager</t>
  </si>
  <si>
    <t>Owner's Score</t>
  </si>
  <si>
    <t>Cock</t>
  </si>
  <si>
    <t>Jack Babcock, Chris Cochrane</t>
  </si>
  <si>
    <t>Home Manager Clean</t>
  </si>
  <si>
    <t>Home Score</t>
  </si>
  <si>
    <t>Salty</t>
  </si>
  <si>
    <t>R Saltiel</t>
  </si>
  <si>
    <t>Away Win?</t>
  </si>
  <si>
    <t>Fellows</t>
  </si>
  <si>
    <t>Michael Fellows</t>
  </si>
  <si>
    <t>Home Win?</t>
  </si>
  <si>
    <t>T-How</t>
  </si>
  <si>
    <t>NFL Week 1</t>
  </si>
  <si>
    <t>Opponent's Score</t>
  </si>
  <si>
    <t>Tyler Howard</t>
  </si>
  <si>
    <t>KnardDawg</t>
  </si>
  <si>
    <t>Alex Kinniard, Jack Reilly</t>
  </si>
  <si>
    <t>TEAM MANAGER(S)</t>
  </si>
  <si>
    <t>Shep</t>
  </si>
  <si>
    <t>Result</t>
  </si>
  <si>
    <t>Jordan Shepherd</t>
  </si>
  <si>
    <t>Pierson</t>
  </si>
  <si>
    <t>Pierson Curtis</t>
  </si>
  <si>
    <t>SCORE</t>
  </si>
  <si>
    <t>Game Type</t>
  </si>
  <si>
    <t>Jack Reilly, Alex Kinniard</t>
  </si>
  <si>
    <t>Mapped Opponent</t>
  </si>
  <si>
    <t>Week Number</t>
  </si>
  <si>
    <t>Chris Cochrane</t>
  </si>
  <si>
    <t>OpponentsSimplified Name</t>
  </si>
  <si>
    <t>HOME TEAM</t>
  </si>
  <si>
    <t>Stephen Rooney, Jackson
 Sattell</t>
  </si>
  <si>
    <t>Home Team Name</t>
  </si>
  <si>
    <t>YearWeek</t>
  </si>
  <si>
    <t>Kyle Ewert, brad starck</t>
  </si>
  <si>
    <t>Away team Name</t>
  </si>
  <si>
    <t>Weekly Score Rank</t>
  </si>
  <si>
    <t>Ewert</t>
  </si>
  <si>
    <t>Power Rank Score (Wins)</t>
  </si>
  <si>
    <t>Annual avg score</t>
  </si>
  <si>
    <t>Score Index</t>
  </si>
  <si>
    <t>Round 1</t>
  </si>
  <si>
    <t>L 94.3-101.6</t>
  </si>
  <si>
    <t xml:space="preserve">at </t>
  </si>
  <si>
    <t>Salt Bake City (9-5)</t>
  </si>
  <si>
    <t>No PPR</t>
  </si>
  <si>
    <t>Katz</t>
  </si>
  <si>
    <t>ak47</t>
  </si>
  <si>
    <t>Kurt Warner</t>
  </si>
  <si>
    <t>Maurice Jones-Drew</t>
  </si>
  <si>
    <t>Steve Smith</t>
  </si>
  <si>
    <t>Dallas Clark</t>
  </si>
  <si>
    <t>Retired Owner</t>
  </si>
  <si>
    <t>W 101.6-94.3</t>
  </si>
  <si>
    <t xml:space="preserve"> </t>
  </si>
  <si>
    <t>Cutler's Year (7-7)</t>
  </si>
  <si>
    <t>Mariota and some Randos(4-9-0)</t>
  </si>
  <si>
    <t>Suburban Kings(7-6-0)</t>
  </si>
  <si>
    <t>Week 1</t>
  </si>
  <si>
    <t>Brett Favre</t>
  </si>
  <si>
    <t>Week 2</t>
  </si>
  <si>
    <t>Alex Kinniard</t>
  </si>
  <si>
    <t>Drew Brees</t>
  </si>
  <si>
    <t>Joseph Addai</t>
  </si>
  <si>
    <t>Week 3</t>
  </si>
  <si>
    <t>DeSean Jackson</t>
  </si>
  <si>
    <t>Greg Olsen</t>
  </si>
  <si>
    <t>Week 4</t>
  </si>
  <si>
    <t>L 88.3-114.4</t>
  </si>
  <si>
    <t>Team Weis (4-10)</t>
  </si>
  <si>
    <t>Week 5</t>
  </si>
  <si>
    <t>Week 6</t>
  </si>
  <si>
    <t>Week 7</t>
  </si>
  <si>
    <t>Aaron It to IR(6-7-0)</t>
  </si>
  <si>
    <t>Week 8</t>
  </si>
  <si>
    <t>Chris Cochrane, Jack Babcock</t>
  </si>
  <si>
    <t>Week 9</t>
  </si>
  <si>
    <t>Mixon It Up(7-6-0)</t>
  </si>
  <si>
    <t>Week 10</t>
  </si>
  <si>
    <t>Week 11</t>
  </si>
  <si>
    <t>Week 12</t>
  </si>
  <si>
    <t>Week 13</t>
  </si>
  <si>
    <t>Round 2</t>
  </si>
  <si>
    <t>Round 3</t>
  </si>
  <si>
    <t>BYE</t>
  </si>
  <si>
    <t>Week 14</t>
  </si>
  <si>
    <t>Stephen Rooney</t>
  </si>
  <si>
    <t>Tyler Guckien</t>
  </si>
  <si>
    <t>Guckien</t>
  </si>
  <si>
    <t>Hunting Szn(8-5-0)</t>
  </si>
  <si>
    <t>Taylor Weis, Riley McElwain</t>
  </si>
  <si>
    <t>Deshaun 69ers(2-11-0)</t>
  </si>
  <si>
    <t>L 98.6-114.9</t>
  </si>
  <si>
    <t>Kibbles 'n Fitz (9-5)</t>
  </si>
  <si>
    <t>Salt on My Knob</t>
  </si>
  <si>
    <t>Carson Palmer</t>
  </si>
  <si>
    <t>Laurence Maroney</t>
  </si>
  <si>
    <t>Andre Johnson</t>
  </si>
  <si>
    <t>Tony Gonzalez</t>
  </si>
  <si>
    <t>GOD DAMNIT DALVIN(3-10-0)</t>
  </si>
  <si>
    <t>J. Cash and The Cochslappers(8-5-0)</t>
  </si>
  <si>
    <t>W 96.7-77.4</t>
  </si>
  <si>
    <t>Dawg's Gotta Eat</t>
  </si>
  <si>
    <t>Tat Five (6-8)</t>
  </si>
  <si>
    <t>Aaron Rodgers</t>
  </si>
  <si>
    <t>Adrian Peterson</t>
  </si>
  <si>
    <t>Calvin Johnson</t>
  </si>
  <si>
    <t>Visanthe Shiancoe</t>
  </si>
  <si>
    <t>Cutler's Year(7-6-0)</t>
  </si>
  <si>
    <t>Armed and DangeRuss(9-4-0)</t>
  </si>
  <si>
    <t>Tennyson</t>
  </si>
  <si>
    <t>Rob Brochocinco</t>
  </si>
  <si>
    <t>Matt Ryan</t>
  </si>
  <si>
    <t>Jamaal Charles</t>
  </si>
  <si>
    <t>Reggie Wayne</t>
  </si>
  <si>
    <t>Fred Davis</t>
  </si>
  <si>
    <t>W 92.1-88.5</t>
  </si>
  <si>
    <t>It's My Vick In a Box! (5-9)</t>
  </si>
  <si>
    <t>Mark My Words(11-2-0)</t>
  </si>
  <si>
    <t>Big Buddy Brand(6-7-0)</t>
  </si>
  <si>
    <t>0 pts</t>
  </si>
  <si>
    <t>Frat Stars</t>
  </si>
  <si>
    <t>Michael Turner</t>
  </si>
  <si>
    <t>Santonio Holmes</t>
  </si>
  <si>
    <t>Jermichael Finley</t>
  </si>
  <si>
    <t>NFL Week 2</t>
  </si>
  <si>
    <t>AWAY TEAM</t>
  </si>
  <si>
    <t>Burgess</t>
  </si>
  <si>
    <t>Bro and Sixteen</t>
  </si>
  <si>
    <t>Philip Rivers</t>
  </si>
  <si>
    <t>Thomas Jones</t>
  </si>
  <si>
    <t>Larry Fitzgerald</t>
  </si>
  <si>
    <t>Vernon Davis</t>
  </si>
  <si>
    <t>L 88.5-92.1</t>
  </si>
  <si>
    <t>Clay Rodge (6-8)</t>
  </si>
  <si>
    <t>Roon's Raging Broner</t>
  </si>
  <si>
    <t>Joe Flacco</t>
  </si>
  <si>
    <t>Frank Gore</t>
  </si>
  <si>
    <t>Miles Austin</t>
  </si>
  <si>
    <t>Dustin Keller</t>
  </si>
  <si>
    <t>W 114.4-88.3</t>
  </si>
  <si>
    <t>Yo Adrian! (4-10)</t>
  </si>
  <si>
    <t>LiveTheDream01</t>
  </si>
  <si>
    <t>Peyton Manning</t>
  </si>
  <si>
    <t>Ricky Williams</t>
  </si>
  <si>
    <t>Sidney Rice</t>
  </si>
  <si>
    <t>Antonio Gates</t>
  </si>
  <si>
    <t>L 77.4-96.7</t>
  </si>
  <si>
    <t>The McRB is back! (8-6)</t>
  </si>
  <si>
    <t>W 114.9-98.6</t>
  </si>
  <si>
    <t>Show me your TDs (7-7)</t>
  </si>
  <si>
    <t>Broseph</t>
  </si>
  <si>
    <t>Matt Schaub</t>
  </si>
  <si>
    <t>Chris Johnson</t>
  </si>
  <si>
    <t>Roddy White</t>
  </si>
  <si>
    <t>Zach Miller</t>
  </si>
  <si>
    <t>W 139.1-72.4</t>
  </si>
  <si>
    <t>Show me your TDs (7-8)</t>
  </si>
  <si>
    <t>Austin Marshall</t>
  </si>
  <si>
    <t>N*gros</t>
  </si>
  <si>
    <t>Donovan McNabb</t>
  </si>
  <si>
    <t>Jonathan Stewart</t>
  </si>
  <si>
    <t>Jason Witten</t>
  </si>
  <si>
    <t>NFL Week 3</t>
  </si>
  <si>
    <t>L 51.8-99.7</t>
  </si>
  <si>
    <t>Yes We Cam (10-4)</t>
  </si>
  <si>
    <t>Mac</t>
  </si>
  <si>
    <t>Bieber Fever</t>
  </si>
  <si>
    <t>Michael Vick</t>
  </si>
  <si>
    <t>Peyton Hillis</t>
  </si>
  <si>
    <t>Mike Wallace</t>
  </si>
  <si>
    <t>Rob Gronkowski</t>
  </si>
  <si>
    <t>W 91.9-76.1</t>
  </si>
  <si>
    <t>It's My Vick In a Box! (5-10)</t>
  </si>
  <si>
    <t>Phillip Rivers</t>
  </si>
  <si>
    <t>L 72.4-139.1</t>
  </si>
  <si>
    <t>Cutler's Year (8-7)</t>
  </si>
  <si>
    <t>W 118.2-92.3</t>
  </si>
  <si>
    <t>Buckeyes</t>
  </si>
  <si>
    <t>Dwayne Bowe</t>
  </si>
  <si>
    <t>Clay Rodge (6-9)</t>
  </si>
  <si>
    <t>Fahv-Ray is My Padre</t>
  </si>
  <si>
    <t>L 92.3-118.2</t>
  </si>
  <si>
    <t>Arian Foster</t>
  </si>
  <si>
    <t>The McRB is back! (9-6)</t>
  </si>
  <si>
    <t>W 99.7-51.8</t>
  </si>
  <si>
    <t>Salt Bake City (9-6)</t>
  </si>
  <si>
    <t>Salt 'N' Peppers</t>
  </si>
  <si>
    <t>Stevie Johnson</t>
  </si>
  <si>
    <t>NFL Week 4</t>
  </si>
  <si>
    <t>L 67.9-109.9</t>
  </si>
  <si>
    <t>Kibbles 'n Fitz (10-5)</t>
  </si>
  <si>
    <t>Acochalypto</t>
  </si>
  <si>
    <t>Ahmad Bradshaw</t>
  </si>
  <si>
    <t>Aaron Hernandez</t>
  </si>
  <si>
    <t>L 76.1-91.9</t>
  </si>
  <si>
    <t>Yo Adrian! (5-10)</t>
  </si>
  <si>
    <t>Deny Till You Die</t>
  </si>
  <si>
    <t>Eli Manning</t>
  </si>
  <si>
    <t>Brandon Lloyd</t>
  </si>
  <si>
    <t>L 69.7-110.3</t>
  </si>
  <si>
    <t>Tat Five (7-8)</t>
  </si>
  <si>
    <t>America's Team</t>
  </si>
  <si>
    <t>BenJarvus Green-Ellis</t>
  </si>
  <si>
    <t>Braylon Edwards</t>
  </si>
  <si>
    <t>W 110.3-69.7</t>
  </si>
  <si>
    <t>Team Weis (4-11)</t>
  </si>
  <si>
    <t>Milledgevile Knights</t>
  </si>
  <si>
    <t>Rashard Mendenhall</t>
  </si>
  <si>
    <t>Brandon Pettigrew</t>
  </si>
  <si>
    <t>W 109.9-67.9</t>
  </si>
  <si>
    <t>Gambling Man (9-5)</t>
  </si>
  <si>
    <t>Hobbs</t>
  </si>
  <si>
    <t>Ham Sobbs</t>
  </si>
  <si>
    <t>W 123.3-93</t>
  </si>
  <si>
    <t>Jay Cutler</t>
  </si>
  <si>
    <t>Mike Tolbert</t>
  </si>
  <si>
    <t>Show me your TDs (7-9)</t>
  </si>
  <si>
    <t>L 76.6-103</t>
  </si>
  <si>
    <t>Gambling Man (10-5)</t>
  </si>
  <si>
    <t>NFL Week 5</t>
  </si>
  <si>
    <t>The Dawgfather</t>
  </si>
  <si>
    <t>Ray Rice</t>
  </si>
  <si>
    <t>Jeremy Maclin</t>
  </si>
  <si>
    <t>Jacob Tamme</t>
  </si>
  <si>
    <t>L 53.4-104.4</t>
  </si>
  <si>
    <t>Clay Rodge (7-9)</t>
  </si>
  <si>
    <t>Frat Stars II</t>
  </si>
  <si>
    <t>Josh Freeman</t>
  </si>
  <si>
    <t>Brandon Jacobs</t>
  </si>
  <si>
    <t>L 93-123.3</t>
  </si>
  <si>
    <t>Cutler's Year (9-7)</t>
  </si>
  <si>
    <t>Yes We Cam</t>
  </si>
  <si>
    <t>Cam Newton</t>
  </si>
  <si>
    <t>Marques Colston</t>
  </si>
  <si>
    <t>Brent Celek</t>
  </si>
  <si>
    <t>London</t>
  </si>
  <si>
    <t>England</t>
  </si>
  <si>
    <t>L 74.7-106</t>
  </si>
  <si>
    <t>Tat Five (8-8)</t>
  </si>
  <si>
    <t>W 104.4-53.4</t>
  </si>
  <si>
    <t>Yo Adrian! (5-11)</t>
  </si>
  <si>
    <t>Kibbles 'n Fitz</t>
  </si>
  <si>
    <t>Tono Romo</t>
  </si>
  <si>
    <t>Barcelona</t>
  </si>
  <si>
    <t>Spain</t>
  </si>
  <si>
    <t>W 105.3-71.9</t>
  </si>
  <si>
    <t>Kibbles 'n Fitz (10-6)</t>
  </si>
  <si>
    <t>Gambling Man</t>
  </si>
  <si>
    <t>Wes Welker</t>
  </si>
  <si>
    <t>NFL Week 6</t>
  </si>
  <si>
    <t>W 103-76.6</t>
  </si>
  <si>
    <t>Salt Bake City (9-7)</t>
  </si>
  <si>
    <t>Salt Bake City</t>
  </si>
  <si>
    <t>Matthew Stafford</t>
  </si>
  <si>
    <t>L 44.6-80.1</t>
  </si>
  <si>
    <t>Team Weis (5-11)</t>
  </si>
  <si>
    <t>W 80.1-44.6</t>
  </si>
  <si>
    <t>It's My Vick In a Box! (5-11)</t>
  </si>
  <si>
    <t>Show me Your TDs</t>
  </si>
  <si>
    <t>Reggie Bush</t>
  </si>
  <si>
    <t>Hakeem Nicks</t>
  </si>
  <si>
    <t>Jimmy Graham</t>
  </si>
  <si>
    <t>W 106-74.7</t>
  </si>
  <si>
    <t>The McRB is back! (9-7)</t>
  </si>
  <si>
    <t>The McRB is Back!</t>
  </si>
  <si>
    <t>Kevin Kolb</t>
  </si>
  <si>
    <t>LeSean McCoy</t>
  </si>
  <si>
    <t>Owen Daniels</t>
  </si>
  <si>
    <t>NFL Week 7</t>
  </si>
  <si>
    <t>Tat Five</t>
  </si>
  <si>
    <t>Victor Cruz</t>
  </si>
  <si>
    <t>L 71.9-105.3</t>
  </si>
  <si>
    <t>Yes We Cam (11-4)</t>
  </si>
  <si>
    <t>Clay Rodge</t>
  </si>
  <si>
    <t>Pierre Thomas</t>
  </si>
  <si>
    <t>Julio Jones</t>
  </si>
  <si>
    <t>W 97.4-74.8</t>
  </si>
  <si>
    <t>Clay Rodge (0-1)</t>
  </si>
  <si>
    <t>It's My Vick In A Box</t>
  </si>
  <si>
    <t>Ben Roethlisberger</t>
  </si>
  <si>
    <t>Marshawn Lynch</t>
  </si>
  <si>
    <t>Nate Burleson</t>
  </si>
  <si>
    <t>W 111.9-82.8</t>
  </si>
  <si>
    <t>Yo Adrian! (0-1)</t>
  </si>
  <si>
    <t>Yo Adrian</t>
  </si>
  <si>
    <t>Tim Tebow</t>
  </si>
  <si>
    <t>Ryan Mathews</t>
  </si>
  <si>
    <t>0-1</t>
  </si>
  <si>
    <t>L 82.8-111.9</t>
  </si>
  <si>
    <t>Salt Bake City (1-0)</t>
  </si>
  <si>
    <t>Team Weis</t>
  </si>
  <si>
    <t>Milan</t>
  </si>
  <si>
    <t>Italy</t>
  </si>
  <si>
    <t>L 102.1-105.5</t>
  </si>
  <si>
    <t>The McRB is back! (1-0)</t>
  </si>
  <si>
    <t>NFL Week 8</t>
  </si>
  <si>
    <t>W 105.5-102.1</t>
  </si>
  <si>
    <t>Show me your TDs (0-1)</t>
  </si>
  <si>
    <t>For Shurmur</t>
  </si>
  <si>
    <t>AJ Green</t>
  </si>
  <si>
    <t>L 74.8-97.4</t>
  </si>
  <si>
    <t>Cutler's Year (1-0)</t>
  </si>
  <si>
    <t>Rexual Feeling</t>
  </si>
  <si>
    <t>DeMarco Murrary</t>
  </si>
  <si>
    <t>L 56.8-86.8</t>
  </si>
  <si>
    <t>Gambling Man (1-0)</t>
  </si>
  <si>
    <t>W 86.8-56.8</t>
  </si>
  <si>
    <t>Yes We Cam (0-1)</t>
  </si>
  <si>
    <t>Yes We Camden Cutler</t>
  </si>
  <si>
    <t>Doug Martin</t>
  </si>
  <si>
    <t>L 79.8-91.8</t>
  </si>
  <si>
    <t>Kibbles 'n Fitz (1-0)</t>
  </si>
  <si>
    <t>Ken WhizinCnt</t>
  </si>
  <si>
    <t>L 56.4-131.3</t>
  </si>
  <si>
    <t>Tat Five (1-0)</t>
  </si>
  <si>
    <t>NFL Week 9</t>
  </si>
  <si>
    <t>BaughwitdaBaugh</t>
  </si>
  <si>
    <t>Matt Forte</t>
  </si>
  <si>
    <t>Jermaine Gresham</t>
  </si>
  <si>
    <t>W 131.3-56.4</t>
  </si>
  <si>
    <t>Team Weis (0-1)</t>
  </si>
  <si>
    <t>Jack Del RimJob</t>
  </si>
  <si>
    <t>Colin Kaepernick</t>
  </si>
  <si>
    <t>W 91.8-79.8</t>
  </si>
  <si>
    <t>It's My Vick In a Box! (0-1)</t>
  </si>
  <si>
    <t>Bunch of Mularkey</t>
  </si>
  <si>
    <t>W 119.6-63.4</t>
  </si>
  <si>
    <t>Tat Five (4-6)</t>
  </si>
  <si>
    <t>All You Need is Lovie</t>
  </si>
  <si>
    <t>Stevan Ridley</t>
  </si>
  <si>
    <t>Demaryious Thomas</t>
  </si>
  <si>
    <t>W 94.9-54.8</t>
  </si>
  <si>
    <t>It's My Vick In a Box! (4-6)</t>
  </si>
  <si>
    <t>Stache of the Walrus</t>
  </si>
  <si>
    <t>NFL Week 10</t>
  </si>
  <si>
    <t>Dez Bryant</t>
  </si>
  <si>
    <t>W 83.1-78.3</t>
  </si>
  <si>
    <t>Team Weis (2-8)</t>
  </si>
  <si>
    <t>L 90.6-96.6</t>
  </si>
  <si>
    <t>Kibbles 'n Fitz (7-3)</t>
  </si>
  <si>
    <t>Crennelingus</t>
  </si>
  <si>
    <t>Brandon Marshall</t>
  </si>
  <si>
    <t>Benjamin Watson</t>
  </si>
  <si>
    <t>W 81.6-79.1</t>
  </si>
  <si>
    <t>Yes We Cam (6-4)</t>
  </si>
  <si>
    <t>Good Luck Chuck</t>
  </si>
  <si>
    <t>Tony Romo</t>
  </si>
  <si>
    <t>L 76.7-120.8</t>
  </si>
  <si>
    <t>Gambling Man (7-3)</t>
  </si>
  <si>
    <t>Stephen Jackson</t>
  </si>
  <si>
    <t>L 79.1-81.6</t>
  </si>
  <si>
    <t>The McRB is back! (6-4)</t>
  </si>
  <si>
    <t>Gag on My Woodhead</t>
  </si>
  <si>
    <t>W 120.8-76.7</t>
  </si>
  <si>
    <t>Torrey Smith</t>
  </si>
  <si>
    <t>Clay Rodge (3-7)</t>
  </si>
  <si>
    <t>Chicago</t>
  </si>
  <si>
    <t>Illinois</t>
  </si>
  <si>
    <t>NFL Week 11</t>
  </si>
  <si>
    <t>L 54.8-94.9</t>
  </si>
  <si>
    <t>Salt Bake City (6-4)</t>
  </si>
  <si>
    <t>Bunch of Csonka</t>
  </si>
  <si>
    <t>Russell Wilson</t>
  </si>
  <si>
    <t>L 78.3-83.1</t>
  </si>
  <si>
    <t>Yo Adrian! (4-6)</t>
  </si>
  <si>
    <t>Sam McGuffie</t>
  </si>
  <si>
    <t>Martellus Bennett</t>
  </si>
  <si>
    <t>Mequon</t>
  </si>
  <si>
    <t>Wisconsin</t>
  </si>
  <si>
    <t>L 63.4-119.6</t>
  </si>
  <si>
    <t>Cutler's Year (5-5)</t>
  </si>
  <si>
    <t>Antonio Brown</t>
  </si>
  <si>
    <t>Jared Cook</t>
  </si>
  <si>
    <t>W 96.6-90.6</t>
  </si>
  <si>
    <t>Show me your TDs (6-4)</t>
  </si>
  <si>
    <t>Long Grove</t>
  </si>
  <si>
    <t>W 76.6-74</t>
  </si>
  <si>
    <t>Team Weis (2-9)</t>
  </si>
  <si>
    <t>High on the Hoge</t>
  </si>
  <si>
    <t>Andrew Luck</t>
  </si>
  <si>
    <t>Knowshon Moreno</t>
  </si>
  <si>
    <t>W 116.5-58.4</t>
  </si>
  <si>
    <t>Gambling Man (7-4)</t>
  </si>
  <si>
    <t>NFL Week 12</t>
  </si>
  <si>
    <t>Alstott's Ascot</t>
  </si>
  <si>
    <t>L 84.7-90.6</t>
  </si>
  <si>
    <t>It's My Vick In a Box! (5-6)</t>
  </si>
  <si>
    <t>L 94.4-107.6</t>
  </si>
  <si>
    <t>Tat Five (5-6)</t>
  </si>
  <si>
    <t>Goings South</t>
  </si>
  <si>
    <t>L 71.5-95.1</t>
  </si>
  <si>
    <t>Kibbles 'n Fitz (8-3)</t>
  </si>
  <si>
    <t>Moose Cock</t>
  </si>
  <si>
    <t>Robert Griffin III</t>
  </si>
  <si>
    <t>Josh Gordon</t>
  </si>
  <si>
    <t>Julius Thomas</t>
  </si>
  <si>
    <t>Indianapolis</t>
  </si>
  <si>
    <t>L 68.9-88.5</t>
  </si>
  <si>
    <t>Yes We Cam (7-4)</t>
  </si>
  <si>
    <t>W 88.5-68.9</t>
  </si>
  <si>
    <t>Clay Rodge (3-8)</t>
  </si>
  <si>
    <t>Hope U Get sypHllis</t>
  </si>
  <si>
    <t>Danny Woodhead</t>
  </si>
  <si>
    <t>L 58.4-116.5</t>
  </si>
  <si>
    <t>Salt Bake City (7-4)</t>
  </si>
  <si>
    <t>NFL Week 13</t>
  </si>
  <si>
    <t>Diesel Upheaval</t>
  </si>
  <si>
    <t>Eddie Lacy</t>
  </si>
  <si>
    <t>Coby Fleener</t>
  </si>
  <si>
    <t>W 90.6-84.7</t>
  </si>
  <si>
    <t>Yo Adrian! (4-7)</t>
  </si>
  <si>
    <t>John David Crow</t>
  </si>
  <si>
    <t>DeMarco Murray</t>
  </si>
  <si>
    <t>Eric Decker</t>
  </si>
  <si>
    <t>Jordan Cameron</t>
  </si>
  <si>
    <t>L 74-76.6</t>
  </si>
  <si>
    <t>Cutler's Year (6-5)</t>
  </si>
  <si>
    <t>Mark van LickMyCornHole</t>
  </si>
  <si>
    <t>W 107.6-94.4</t>
  </si>
  <si>
    <t>Charles Clay</t>
  </si>
  <si>
    <t>Show me your TDs (6-5)</t>
  </si>
  <si>
    <t>W 95.1-71.5</t>
  </si>
  <si>
    <t>The McRB is back! (6-5)</t>
  </si>
  <si>
    <t>Carnival Cruzers</t>
  </si>
  <si>
    <t>W 114.2-70.6</t>
  </si>
  <si>
    <t>It's My Vick In a Box! (5-7)</t>
  </si>
  <si>
    <t>ForTe Pay</t>
  </si>
  <si>
    <t>L 74.9-116.1</t>
  </si>
  <si>
    <t>Yes We Cam (8-4)</t>
  </si>
  <si>
    <t>Playoff Round 1 (NFL Week 14)</t>
  </si>
  <si>
    <t>Justin Tucker Must Die</t>
  </si>
  <si>
    <t>Zach Ertz</t>
  </si>
  <si>
    <t>L 62.3-98.1</t>
  </si>
  <si>
    <t>Gambling Man (8-4)</t>
  </si>
  <si>
    <t>Lamar Miller</t>
  </si>
  <si>
    <t>Mike Evans</t>
  </si>
  <si>
    <t>L 81.2-83.3</t>
  </si>
  <si>
    <t>Team Weis (3-9)</t>
  </si>
  <si>
    <t>Praters Gonna Prate</t>
  </si>
  <si>
    <t>TY Hilton</t>
  </si>
  <si>
    <t>L 89.6-116.4</t>
  </si>
  <si>
    <t>Tat Five (6-6)</t>
  </si>
  <si>
    <t>Jc Livin</t>
  </si>
  <si>
    <t>W 98.2-70.8</t>
  </si>
  <si>
    <t>Kibbles 'n Fitz (8-4)</t>
  </si>
  <si>
    <t>Larry Donnell</t>
  </si>
  <si>
    <t>Bye:</t>
  </si>
  <si>
    <t>W 116.1-74.9</t>
  </si>
  <si>
    <t>Salt Bake City (7-5)</t>
  </si>
  <si>
    <t>Weekend at Bernard's</t>
  </si>
  <si>
    <t>Giovani Bernard</t>
  </si>
  <si>
    <t>Alshon Jeffery</t>
  </si>
  <si>
    <t>Mark My Words(68.92 Pts)</t>
  </si>
  <si>
    <t>W 98.1-62.3</t>
  </si>
  <si>
    <t>Yo Adrian! (4-8)</t>
  </si>
  <si>
    <t>Armed and DangeRuss(107.78 Pts)</t>
  </si>
  <si>
    <t>Deztiny's Child</t>
  </si>
  <si>
    <t>Mark Ingram</t>
  </si>
  <si>
    <t>Playoff Round 2 (NFL Week 15)</t>
  </si>
  <si>
    <t>L 70.6-114.2</t>
  </si>
  <si>
    <t>Cutler's Year (7-5)</t>
  </si>
  <si>
    <t>W 83.3-81.2</t>
  </si>
  <si>
    <t>Show me your TDs (6-6)</t>
  </si>
  <si>
    <t>Games with Gerhart</t>
  </si>
  <si>
    <t>Ryan Tannehill</t>
  </si>
  <si>
    <t>Fred Jackson</t>
  </si>
  <si>
    <t>W 116.4-89.6</t>
  </si>
  <si>
    <t>The McRB is back! (6-6)</t>
  </si>
  <si>
    <t>Pryor Convictions</t>
  </si>
  <si>
    <t>Ben Tate</t>
  </si>
  <si>
    <t>L 70.8-98.2</t>
  </si>
  <si>
    <t>Clay Rodge (4-8)</t>
  </si>
  <si>
    <t>Tom and the High Fives</t>
  </si>
  <si>
    <t>Jordan Reed</t>
  </si>
  <si>
    <t>Fishers</t>
  </si>
  <si>
    <t>L 128.4-130.1</t>
  </si>
  <si>
    <t>Gambling Man (9-4)</t>
  </si>
  <si>
    <t>My Girl Chloe Trestman</t>
  </si>
  <si>
    <t>Jordy Nelson</t>
  </si>
  <si>
    <t>Arlington Heights</t>
  </si>
  <si>
    <t>W 87-72.8</t>
  </si>
  <si>
    <t>Kibbles 'n Fitz (8-5)</t>
  </si>
  <si>
    <t>Playoff Round 3 (NFL Week 16)</t>
  </si>
  <si>
    <t>Hyde and Seek</t>
  </si>
  <si>
    <t>Carlos Hyde</t>
  </si>
  <si>
    <t>DeAndre Hopkins</t>
  </si>
  <si>
    <t>L 76.1-128.2</t>
  </si>
  <si>
    <t>Yes We Cam (9-4)</t>
  </si>
  <si>
    <t>Late Nite LeSean</t>
  </si>
  <si>
    <t>Nashville</t>
  </si>
  <si>
    <t>Tennessee</t>
  </si>
  <si>
    <t>W 109.8-81.9</t>
  </si>
  <si>
    <t>It's My Vick In a Box! (5-8)</t>
  </si>
  <si>
    <t>Super Bowl 4 Stafford's Baby</t>
  </si>
  <si>
    <t>Todd Gurley</t>
  </si>
  <si>
    <t>Richard Rodgers</t>
  </si>
  <si>
    <t>W 109.4-51.3</t>
  </si>
  <si>
    <t>Team Weis (3-10)</t>
  </si>
  <si>
    <t>W 72-69.5</t>
  </si>
  <si>
    <t>Tat Five (6-7)</t>
  </si>
  <si>
    <t>Randall Cobb</t>
  </si>
  <si>
    <t>W 128.2-76.1</t>
  </si>
  <si>
    <t>Yo Adrian! (4-9)</t>
  </si>
  <si>
    <t>Prater Tots</t>
  </si>
  <si>
    <t>Devonta Freeman</t>
  </si>
  <si>
    <t>W 130.1-128.4</t>
  </si>
  <si>
    <t>Cutler's Year (7-6)</t>
  </si>
  <si>
    <t>The Chicago White Cochs</t>
  </si>
  <si>
    <t>Allen Hurns</t>
  </si>
  <si>
    <t>Eric Ebron</t>
  </si>
  <si>
    <t>L 81.9-109.8</t>
  </si>
  <si>
    <t>Show me your TDs (7-6)</t>
  </si>
  <si>
    <t>The Four Noble Downs(10-3-0)</t>
  </si>
  <si>
    <t>The Book of Ezekiel(6-7-0)</t>
  </si>
  <si>
    <t>Can't KelCe Me</t>
  </si>
  <si>
    <t>Travis Kelce</t>
  </si>
  <si>
    <t>Los Angeles</t>
  </si>
  <si>
    <t>California</t>
  </si>
  <si>
    <t>Buddha Boys(5-8-0)</t>
  </si>
  <si>
    <t>Mixon Gods(7-6-0)</t>
  </si>
  <si>
    <t>L 51.3-109.4</t>
  </si>
  <si>
    <t>The McRB is back! (7-6)</t>
  </si>
  <si>
    <t>. YAHWEIS(5-8-0)</t>
  </si>
  <si>
    <t>Saint Patricks Day II(8-5-0)</t>
  </si>
  <si>
    <t>Bang Bang Chickn n Shrimp</t>
  </si>
  <si>
    <t>Delanie Walker</t>
  </si>
  <si>
    <t>L 69.5-72</t>
  </si>
  <si>
    <t>Clay Rodge (5-8)</t>
  </si>
  <si>
    <t>Austin</t>
  </si>
  <si>
    <t>Texas</t>
  </si>
  <si>
    <t>Jewlian Edelman(3-10-0)</t>
  </si>
  <si>
    <t>Coch Worship(7-6-0)</t>
  </si>
  <si>
    <t>Umphrey's McPhee</t>
  </si>
  <si>
    <t>Osho Cinco(4-9-0)</t>
  </si>
  <si>
    <t>L 72.8-87</t>
  </si>
  <si>
    <t>Latavius Murray</t>
  </si>
  <si>
    <t>Salt Bake City (8-5)</t>
  </si>
  <si>
    <t>Commish is Judas(9-4-0)</t>
  </si>
  <si>
    <t>The Holy Gost(7-6-0)</t>
  </si>
  <si>
    <t>Allahu Ak-Nette(7-6-0)</t>
  </si>
  <si>
    <t>All AmeriKins</t>
  </si>
  <si>
    <t>TJ Yeldon</t>
  </si>
  <si>
    <t>Odell Beckham Jr.</t>
  </si>
  <si>
    <t>Tyler Eifert</t>
  </si>
  <si>
    <t>L 120-153.6</t>
  </si>
  <si>
    <t>Salt Bake City (2-0)</t>
  </si>
  <si>
    <t>W 153.6-120</t>
  </si>
  <si>
    <t>Cutler's Year (1-1)</t>
  </si>
  <si>
    <t>Suburban Kings</t>
  </si>
  <si>
    <t>W 128.5-77.4</t>
  </si>
  <si>
    <t>Show me your TDs (0-2)</t>
  </si>
  <si>
    <t>Gary Biebnidge</t>
  </si>
  <si>
    <t>Allen Robinson</t>
  </si>
  <si>
    <t>Gary Barnidge</t>
  </si>
  <si>
    <t>0-2</t>
  </si>
  <si>
    <t>L 77.4-128.5</t>
  </si>
  <si>
    <t>Yo Adrian! (1-1)</t>
  </si>
  <si>
    <t>Julio Get the Catch</t>
  </si>
  <si>
    <t>New York</t>
  </si>
  <si>
    <t>W 118-95.2</t>
  </si>
  <si>
    <t>Clay Rodge (0-2)</t>
  </si>
  <si>
    <t>Keenan Allen Memorial Team</t>
  </si>
  <si>
    <t>Matt Jones</t>
  </si>
  <si>
    <t>L 95.2-118</t>
  </si>
  <si>
    <t>The McRB is back! (2-0)</t>
  </si>
  <si>
    <t>W 97.8-87.9</t>
  </si>
  <si>
    <t>Rob "Ryan Chip" Kelley</t>
  </si>
  <si>
    <t>It's My Vick In a Box! (0-2)</t>
  </si>
  <si>
    <t>Melvin Gordon</t>
  </si>
  <si>
    <t>Kyle Rudolph</t>
  </si>
  <si>
    <t>L 64.2-94.6</t>
  </si>
  <si>
    <t>Team Weis (1-1)</t>
  </si>
  <si>
    <t>San Francisco</t>
  </si>
  <si>
    <t>L 87.9-97.8</t>
  </si>
  <si>
    <t>Yes We Cam (1-1)</t>
  </si>
  <si>
    <t>Wain Newton</t>
  </si>
  <si>
    <t>David Johnson</t>
  </si>
  <si>
    <t>Jordan Matthews</t>
  </si>
  <si>
    <t>W 94.6-64.2</t>
  </si>
  <si>
    <t>Gambling Man (1-1)</t>
  </si>
  <si>
    <t>L 88.9-105.6</t>
  </si>
  <si>
    <t>Kibbles 'n Fitz (2-0)</t>
  </si>
  <si>
    <t>J. Cash and The CochSlappers</t>
  </si>
  <si>
    <t>Brandin Cooks</t>
  </si>
  <si>
    <t>W 105.6-88.9</t>
  </si>
  <si>
    <t>Tat Five (1-1)</t>
  </si>
  <si>
    <t>Last Manning Standing</t>
  </si>
  <si>
    <t>L 67.2-137.5</t>
  </si>
  <si>
    <t>The McRB is back! (3-0)</t>
  </si>
  <si>
    <t>Dak to Dak Jacks</t>
  </si>
  <si>
    <t>Derek Carr</t>
  </si>
  <si>
    <t>L 83-93.7</t>
  </si>
  <si>
    <t>Show me your TDs (1-2)</t>
  </si>
  <si>
    <t>L 86.3-122</t>
  </si>
  <si>
    <t>DeAndre 3000</t>
  </si>
  <si>
    <t>Clay Rodge (1-2)</t>
  </si>
  <si>
    <t>Ryan Matthews</t>
  </si>
  <si>
    <t>W 93.7-83</t>
  </si>
  <si>
    <t>Salt Bake City (2-1)</t>
  </si>
  <si>
    <t>Bring Tha Juice</t>
  </si>
  <si>
    <t>CJ Fiedorowicz</t>
  </si>
  <si>
    <t>W 137.5-67.2</t>
  </si>
  <si>
    <t>Cutler's Year (1-2)</t>
  </si>
  <si>
    <t>W 122-86.3</t>
  </si>
  <si>
    <t>Yo Adrian! (1-2)</t>
  </si>
  <si>
    <t>Suburban Kings II</t>
  </si>
  <si>
    <t>Ezekiel Elliott</t>
  </si>
  <si>
    <t>W 96.4-77.6</t>
  </si>
  <si>
    <t>Team Weis (1-2)</t>
  </si>
  <si>
    <t>Yung Breezy n Lil' LeSean</t>
  </si>
  <si>
    <t>W 99.2-56.5</t>
  </si>
  <si>
    <t>Kibbles 'n Fitz (2-1)</t>
  </si>
  <si>
    <t>0-3</t>
  </si>
  <si>
    <t>L 50.1-59.8</t>
  </si>
  <si>
    <t>Tat Five (2-1)</t>
  </si>
  <si>
    <t>Hunting Szn</t>
  </si>
  <si>
    <t>Hunting Szn - 2017</t>
  </si>
  <si>
    <t>L 77.6-96.4</t>
  </si>
  <si>
    <t>Yes We Cam (2-1)</t>
  </si>
  <si>
    <t>W 59.8-50.1</t>
  </si>
  <si>
    <t>It's My Vick In a Box! (0-3)</t>
  </si>
  <si>
    <t>$ -</t>
  </si>
  <si>
    <t>L 56.5-99.2</t>
  </si>
  <si>
    <t>Gambling Man (2-1)</t>
  </si>
  <si>
    <t>W 73.4-61.6</t>
  </si>
  <si>
    <t>Yo Adrian! (1-3)</t>
  </si>
  <si>
    <t>Mariota and Some Randos</t>
  </si>
  <si>
    <t>Mariota and Some Randos - 2017</t>
  </si>
  <si>
    <t>Marcus Mariota</t>
  </si>
  <si>
    <t>Jay Ajayi</t>
  </si>
  <si>
    <t>W 119.6-87.5</t>
  </si>
  <si>
    <t>The McRB is back! (3-1)</t>
  </si>
  <si>
    <t>L 61.6-73.4</t>
  </si>
  <si>
    <t>Cutler's Year (2-2)</t>
  </si>
  <si>
    <t>GOD DAMNIT DALVIN</t>
  </si>
  <si>
    <t>GOD DAMNIT DALVIN - 2017</t>
  </si>
  <si>
    <t>Dalvin Cook</t>
  </si>
  <si>
    <t>W 132.3-113.3</t>
  </si>
  <si>
    <t>Clay Rodge (1-3)</t>
  </si>
  <si>
    <t>L 87.5-119.6</t>
  </si>
  <si>
    <t>Salt Bake City (3-1)</t>
  </si>
  <si>
    <t>Cutler's Year - 2017</t>
  </si>
  <si>
    <t>Keenan Allen</t>
  </si>
  <si>
    <t>L 113.3-132.3</t>
  </si>
  <si>
    <t>Show me your TDs (2-2)</t>
  </si>
  <si>
    <t>L 91.4-108.1</t>
  </si>
  <si>
    <t>Tat Five (3-1)</t>
  </si>
  <si>
    <t>Mark My Words</t>
  </si>
  <si>
    <t>Mark My Words - 2017</t>
  </si>
  <si>
    <t>L 105.5-110.8</t>
  </si>
  <si>
    <t>It's My Vick In a Box! (1-3)</t>
  </si>
  <si>
    <t>W 110.8-105.5</t>
  </si>
  <si>
    <t>Gambling Man (2-2)</t>
  </si>
  <si>
    <t>J. Cash and The CochSlappers - 2017</t>
  </si>
  <si>
    <t>L 63.3-86.1</t>
  </si>
  <si>
    <t>Kibbles 'n Fitz (3-1)</t>
  </si>
  <si>
    <t>W 108.1-91.4</t>
  </si>
  <si>
    <t>Yes We Cam (2-2)</t>
  </si>
  <si>
    <t>Mixon It Up</t>
  </si>
  <si>
    <t>Mixon It Up - 2017</t>
  </si>
  <si>
    <t>Tyreek Hill</t>
  </si>
  <si>
    <t>W 86.1-63.3</t>
  </si>
  <si>
    <t>Team Weis (1-3)</t>
  </si>
  <si>
    <t>L 94.7-113.6</t>
  </si>
  <si>
    <t>Show me your TDs (3-2)</t>
  </si>
  <si>
    <t>Deshaun 69ers</t>
  </si>
  <si>
    <t>Deshaun 69ers - 2017</t>
  </si>
  <si>
    <t>Ty Montgomery</t>
  </si>
  <si>
    <t>L 64.2-81.2</t>
  </si>
  <si>
    <t>Clay Rodge (2-3)</t>
  </si>
  <si>
    <t>W 83.3-81.6</t>
  </si>
  <si>
    <t>The McRB is back! (3-2)</t>
  </si>
  <si>
    <t>Big Buddy Brand</t>
  </si>
  <si>
    <t>Big Buddy Brand - 2017</t>
  </si>
  <si>
    <t>W 113.6-94.7</t>
  </si>
  <si>
    <t>Kirk Cousins</t>
  </si>
  <si>
    <t>Christian McCaffrey</t>
  </si>
  <si>
    <t>Cutler's Year (2-3)</t>
  </si>
  <si>
    <t>Amari Cooper</t>
  </si>
  <si>
    <t>L 81.6-83.3</t>
  </si>
  <si>
    <t>Yo Adrian! (2-3)</t>
  </si>
  <si>
    <t>W 81.2-64.2</t>
  </si>
  <si>
    <t>Salt Bake City (3-2)</t>
  </si>
  <si>
    <t>Armed and DangeRuss</t>
  </si>
  <si>
    <t>Armed and DangeRuss - 2017</t>
  </si>
  <si>
    <t>Le'Veon Bell</t>
  </si>
  <si>
    <t>W 88.7-61.7</t>
  </si>
  <si>
    <t>Kibbles 'n Fitz (3-2)</t>
  </si>
  <si>
    <t>Suburban Kings - 2017</t>
  </si>
  <si>
    <t>W 100.6-92.8</t>
  </si>
  <si>
    <t>Golden Tate</t>
  </si>
  <si>
    <t>Tat Five (3-2)</t>
  </si>
  <si>
    <t>W 76-68.5</t>
  </si>
  <si>
    <t>Team Weis (1-4)</t>
  </si>
  <si>
    <t>Aaron It Out</t>
  </si>
  <si>
    <t>Aaron It Out - 2017</t>
  </si>
  <si>
    <t>Jordan Howard</t>
  </si>
  <si>
    <t>Michael Thomas</t>
  </si>
  <si>
    <t>L 68.5-76</t>
  </si>
  <si>
    <t>It's My Vick In a Box! (2-3)</t>
  </si>
  <si>
    <t>L 92.8-100.6</t>
  </si>
  <si>
    <t>Gambling Man (3-2)</t>
  </si>
  <si>
    <t>L 61.7-88.7</t>
  </si>
  <si>
    <t>Yes We Cam (3-2)</t>
  </si>
  <si>
    <t>Allahu Ak-Nette</t>
  </si>
  <si>
    <t>Allahu Ak-Nette - 2017</t>
  </si>
  <si>
    <t>Leonard Fournette</t>
  </si>
  <si>
    <t>George Kittle</t>
  </si>
  <si>
    <t>W 90.2-67</t>
  </si>
  <si>
    <t>It's My Vick In a Box! (2-4)</t>
  </si>
  <si>
    <t>L 90.9-113.1</t>
  </si>
  <si>
    <t>Yes We Cam (4-2)</t>
  </si>
  <si>
    <t>. YAHWEIS</t>
  </si>
  <si>
    <t>. YAHWEIS - 2018</t>
  </si>
  <si>
    <t>L 77.1-82.4</t>
  </si>
  <si>
    <t>Gambling Man (4-2)</t>
  </si>
  <si>
    <t>W 96.8-72.3</t>
  </si>
  <si>
    <t>Team Weis (1-5)</t>
  </si>
  <si>
    <t>Osho Cinco</t>
  </si>
  <si>
    <t>Osho Cinco - 2018</t>
  </si>
  <si>
    <t>Davante Adams</t>
  </si>
  <si>
    <t>W 86.3-68.6</t>
  </si>
  <si>
    <t>Tat Five (3-3)</t>
  </si>
  <si>
    <t>L 98.5-108.2</t>
  </si>
  <si>
    <t>Kibbles 'n Fitz (4-2)</t>
  </si>
  <si>
    <t>Mixon Gods</t>
  </si>
  <si>
    <t>Mixon Gods - 2018</t>
  </si>
  <si>
    <t>Joe Mixon</t>
  </si>
  <si>
    <t>Trey Burton</t>
  </si>
  <si>
    <t>W 113.1-90.9</t>
  </si>
  <si>
    <t>Salt Bake City (3-3)</t>
  </si>
  <si>
    <t>W 82.4-77.1</t>
  </si>
  <si>
    <t>Yo Adrian! (2-4)</t>
  </si>
  <si>
    <t>The Holy Gost</t>
  </si>
  <si>
    <t>The Holy Gost - 2018</t>
  </si>
  <si>
    <t>Alvin Kamara</t>
  </si>
  <si>
    <t>JuJu Smith-Schuster</t>
  </si>
  <si>
    <t>L 67-90.2</t>
  </si>
  <si>
    <t>Cutler's Year (3-3)</t>
  </si>
  <si>
    <t>L 72.3-96.8</t>
  </si>
  <si>
    <t>Show me your TDs (4-2)</t>
  </si>
  <si>
    <t>Coch Worship</t>
  </si>
  <si>
    <t>Coch Worship - 2018</t>
  </si>
  <si>
    <t>Ricky Seals-Jones</t>
  </si>
  <si>
    <t>L 68.6-86.3</t>
  </si>
  <si>
    <t>The McRB is back! (4-2)</t>
  </si>
  <si>
    <t>W 108.2-98.5</t>
  </si>
  <si>
    <t>Clay Rodge (2-4)</t>
  </si>
  <si>
    <t>The Four Noble Downs</t>
  </si>
  <si>
    <t>The Four Noble Downs - 2018</t>
  </si>
  <si>
    <t>Carson Wentz</t>
  </si>
  <si>
    <t>Evan Engram</t>
  </si>
  <si>
    <t>L 82.8-100.8</t>
  </si>
  <si>
    <t>Gambling Man (5-2)</t>
  </si>
  <si>
    <t>L 81.4-86.5</t>
  </si>
  <si>
    <t>Kibbles 'n Fitz (5-2)</t>
  </si>
  <si>
    <t>Jewlian Edelman</t>
  </si>
  <si>
    <t>L 84.6-108.3</t>
  </si>
  <si>
    <t>Jewlian Edelman - 2018</t>
  </si>
  <si>
    <t>Deshaun Watson</t>
  </si>
  <si>
    <t>Yes We Cam (5-2)</t>
  </si>
  <si>
    <t>L 80.4-83.1</t>
  </si>
  <si>
    <t>It's My Vick In a Box! (3-4)</t>
  </si>
  <si>
    <t>L 62.8-68</t>
  </si>
  <si>
    <t>Commish is Judas</t>
  </si>
  <si>
    <t>Team Weis (2-5)</t>
  </si>
  <si>
    <t>Commish is Judas - 2018</t>
  </si>
  <si>
    <t>Adam Thielen</t>
  </si>
  <si>
    <t>David Njoku</t>
  </si>
  <si>
    <t>L 72.3-84.4</t>
  </si>
  <si>
    <t>Tat Five (4-3)</t>
  </si>
  <si>
    <t>W 108.3-84.6</t>
  </si>
  <si>
    <t>Yo Adrian! (2-5)</t>
  </si>
  <si>
    <t>The Book of Ezekiel</t>
  </si>
  <si>
    <t>The Book of Ezekiel - 2018</t>
  </si>
  <si>
    <t>W 100.8-82.8</t>
  </si>
  <si>
    <t>Cutler's Year (3-4)</t>
  </si>
  <si>
    <t>W 83.1-80.4</t>
  </si>
  <si>
    <t>Show me your TDs (4-3)</t>
  </si>
  <si>
    <t>Saint Patricks Day II</t>
  </si>
  <si>
    <t>Saint Patricks Day II - 2018</t>
  </si>
  <si>
    <t>Patrick Mahomes</t>
  </si>
  <si>
    <t>Saquon Barkley</t>
  </si>
  <si>
    <t>Demaryius Thomas</t>
  </si>
  <si>
    <t>W 68-62.8</t>
  </si>
  <si>
    <t>The McRB is back! (4-3)</t>
  </si>
  <si>
    <t>W 84.4-72.3</t>
  </si>
  <si>
    <t>Clay Rodge (2-5)</t>
  </si>
  <si>
    <t>The Four Noble Downs(98.62 Pts)</t>
  </si>
  <si>
    <t>W 86.5-81.4</t>
  </si>
  <si>
    <t>Salt Bake City (3-4)</t>
  </si>
  <si>
    <t>Buddha Boys</t>
  </si>
  <si>
    <t>Buddha Boys - 2018</t>
  </si>
  <si>
    <t>Kareem Hunt</t>
  </si>
  <si>
    <t>Commish is Judas(88.42 Pts)</t>
  </si>
  <si>
    <t>L 63.3-96.6</t>
  </si>
  <si>
    <t>Yes We Cam (6-2)</t>
  </si>
  <si>
    <t>W 118.8-97.1</t>
  </si>
  <si>
    <t>Tat Five (4-4)</t>
  </si>
  <si>
    <t>Odell Country Buffet</t>
  </si>
  <si>
    <t>Odell Country Buffet - 2018</t>
  </si>
  <si>
    <t>Marc Ingram</t>
  </si>
  <si>
    <t>Matt Gisicki</t>
  </si>
  <si>
    <t>L 68-75.5</t>
  </si>
  <si>
    <t>Kibbles 'n Fitz (6-2)</t>
  </si>
  <si>
    <t>W 85.4-76.5</t>
  </si>
  <si>
    <t>Gambling Man (5-3)</t>
  </si>
  <si>
    <t>Chicken Fried Weis</t>
  </si>
  <si>
    <t>Chicken Fried Weis - 2019</t>
  </si>
  <si>
    <t>Kenny Golladay</t>
  </si>
  <si>
    <t>Tyler Higbee</t>
  </si>
  <si>
    <t>W 98-91</t>
  </si>
  <si>
    <t>It's My Vick In a Box! (3-5)</t>
  </si>
  <si>
    <t>W 85.8-60.4</t>
  </si>
  <si>
    <t>Team Weis (2-6)</t>
  </si>
  <si>
    <t>90 Miles Sanders</t>
  </si>
  <si>
    <t>90 Miles Sanders - 2019</t>
  </si>
  <si>
    <t>Josh Allen</t>
  </si>
  <si>
    <t>Tyler Lockett</t>
  </si>
  <si>
    <t>W 96.6-63.3</t>
  </si>
  <si>
    <t>Cutler's Year (3-5)</t>
  </si>
  <si>
    <t>L 76.5-85.4</t>
  </si>
  <si>
    <t>Show me your TDs (5-3)</t>
  </si>
  <si>
    <t>Goulden Nugget</t>
  </si>
  <si>
    <t>Goulden Nugget - 2019</t>
  </si>
  <si>
    <t>Jameis Winston</t>
  </si>
  <si>
    <t>Stefon Diggs</t>
  </si>
  <si>
    <t>Marc Andrews</t>
  </si>
  <si>
    <t>L 91-98</t>
  </si>
  <si>
    <t>The McRB is back! (5-3)</t>
  </si>
  <si>
    <t>Minneapolis</t>
  </si>
  <si>
    <t>Minnesota</t>
  </si>
  <si>
    <t>L 60.4-85.8</t>
  </si>
  <si>
    <t>Clay Rodge (3-5)</t>
  </si>
  <si>
    <t>Big Boyd</t>
  </si>
  <si>
    <t>Big Boyd - 2019</t>
  </si>
  <si>
    <t>Kyler Murray</t>
  </si>
  <si>
    <t>Tyler Boyd</t>
  </si>
  <si>
    <t>Jack and The Cochs(6-7-0)</t>
  </si>
  <si>
    <t>L 97.1-118.8</t>
  </si>
  <si>
    <t>Courtland Sutton’s Garage(5-8-0)</t>
  </si>
  <si>
    <t>Salt Bake City (4-4)</t>
  </si>
  <si>
    <t>Buffa Lamar’s(11-2-0)</t>
  </si>
  <si>
    <t>Big Boyd(5-8-0)</t>
  </si>
  <si>
    <t>W 75.5-68</t>
  </si>
  <si>
    <t>Yo Adrian! (2-6)</t>
  </si>
  <si>
    <t>Jack and the Cochs</t>
  </si>
  <si>
    <t>Jack and the Cochs - 2019</t>
  </si>
  <si>
    <t>Dallas Goedert</t>
  </si>
  <si>
    <t>Chubbruckers !(6-7-0)</t>
  </si>
  <si>
    <t>Goulden Nugget(8-5-0)</t>
  </si>
  <si>
    <t>Brandin Cooks Briskets(3-10-0)</t>
  </si>
  <si>
    <t>OutDak Steakhouse(5-8-0)</t>
  </si>
  <si>
    <t>W 99.5-93.1</t>
  </si>
  <si>
    <t>Kibbles 'n Fitz (6-3)</t>
  </si>
  <si>
    <t>90 Miles Sanders(7-6-0)</t>
  </si>
  <si>
    <t>White WR Castle(8-5-0)</t>
  </si>
  <si>
    <t>Odell Country Buffet(6-7-0)</t>
  </si>
  <si>
    <t>Chicken Fried Weis(8-5-0)</t>
  </si>
  <si>
    <t>W 111.4-26.8</t>
  </si>
  <si>
    <t>Team Weis (2-7)</t>
  </si>
  <si>
    <t>Chubbruckers !</t>
  </si>
  <si>
    <t>Chubbruckers ! - 2019</t>
  </si>
  <si>
    <t>Nick Chubb</t>
  </si>
  <si>
    <t>Hunter Henry</t>
  </si>
  <si>
    <t>W 89.4-61</t>
  </si>
  <si>
    <t>Tat Five (4-5)</t>
  </si>
  <si>
    <t>OutDak Steakhouse</t>
  </si>
  <si>
    <t>OutDak Steakhouse - 2019</t>
  </si>
  <si>
    <t>Dak Prescott</t>
  </si>
  <si>
    <t>Jack Doyle</t>
  </si>
  <si>
    <t>W 75.7-69</t>
  </si>
  <si>
    <t>Yes We Cam (6-3)</t>
  </si>
  <si>
    <t>L 64.5-124.4</t>
  </si>
  <si>
    <t>Gambling Man (6-3)</t>
  </si>
  <si>
    <t>White WR Castle</t>
  </si>
  <si>
    <t>White WR Castle - 2019</t>
  </si>
  <si>
    <t>Ryan Fitzpatrick</t>
  </si>
  <si>
    <t>Darren Waller</t>
  </si>
  <si>
    <t>L 92.4-94</t>
  </si>
  <si>
    <t>It's My Vick In a Box! (4-5)</t>
  </si>
  <si>
    <t>L 69-75.7</t>
  </si>
  <si>
    <t>Show me your TDs (6-3)</t>
  </si>
  <si>
    <t>Courtland Sutton’s Garage</t>
  </si>
  <si>
    <t>Courtland Sutton’s Garage - 2019</t>
  </si>
  <si>
    <t>LeVeon Bell</t>
  </si>
  <si>
    <t>Courtland Sutton</t>
  </si>
  <si>
    <t>W 124.4-64.5</t>
  </si>
  <si>
    <t>The McRB is back! (5-4)</t>
  </si>
  <si>
    <t>W 94-92.4</t>
  </si>
  <si>
    <t>Clay Rodge (3-6)</t>
  </si>
  <si>
    <t>Brandin Cooks Briskets</t>
  </si>
  <si>
    <t>Brandin Cooks Briskets - 2019</t>
  </si>
  <si>
    <t>James Connor</t>
  </si>
  <si>
    <t>Austin Hooper</t>
  </si>
  <si>
    <t>L 26.8-111.4</t>
  </si>
  <si>
    <t>Salt Bake City (5-4)</t>
  </si>
  <si>
    <t>L 61-89.4</t>
  </si>
  <si>
    <t>Yo Adrian! (3-6)</t>
  </si>
  <si>
    <t>Buffa Lamar's</t>
  </si>
  <si>
    <t>L 93.1-99.5</t>
  </si>
  <si>
    <t>Cutler's Year (4-5)</t>
  </si>
  <si>
    <t>Buffa Lamar's - 2019</t>
  </si>
  <si>
    <t>Lamar Jackson</t>
  </si>
  <si>
    <t>W 115.1-76.3</t>
  </si>
  <si>
    <t>Crennelingus . (4-10)</t>
  </si>
  <si>
    <t>L 76.3-115.1</t>
  </si>
  <si>
    <t>Cutler's Year (6-8)</t>
  </si>
  <si>
    <t>Can of Kittle Corn</t>
  </si>
  <si>
    <t>Can of Kittle Corn - 2019</t>
  </si>
  <si>
    <t>Miles Sanders</t>
  </si>
  <si>
    <t>L 87.1-122.7</t>
  </si>
  <si>
    <t>Yes We Cam(den) ....Cutler (9-5)</t>
  </si>
  <si>
    <t>79.2 pts</t>
  </si>
  <si>
    <t>Boyd Rage</t>
  </si>
  <si>
    <t>Boyd Rage - 2020</t>
  </si>
  <si>
    <t>Aaron Jones</t>
  </si>
  <si>
    <t>Diontae Johnson</t>
  </si>
  <si>
    <t>Noah Fant</t>
  </si>
  <si>
    <t>L 91.6-106.9</t>
  </si>
  <si>
    <t>Good Luck Chuck (6-8)</t>
  </si>
  <si>
    <t>W 82.9-70.6</t>
  </si>
  <si>
    <t>Jack Del RimJob (8-6)</t>
  </si>
  <si>
    <t>Thielen Home</t>
  </si>
  <si>
    <t>Thielen Home - 2020</t>
  </si>
  <si>
    <t>Jonathan Taylor</t>
  </si>
  <si>
    <t>W 122.7-87.1</t>
  </si>
  <si>
    <t>Ken Whiz-in-cunt (6-8)</t>
  </si>
  <si>
    <t>L 70.6-82.9</t>
  </si>
  <si>
    <t>BaughwitdaBaugh . (8-6)</t>
  </si>
  <si>
    <t>W 93.2-85.2</t>
  </si>
  <si>
    <t>Bunch of Mularkey (6-8)</t>
  </si>
  <si>
    <t>L 85.2-93.2</t>
  </si>
  <si>
    <t>All You Need is Lovie (6-8)</t>
  </si>
  <si>
    <t>97 pts</t>
  </si>
  <si>
    <t>The Big Ertz</t>
  </si>
  <si>
    <t>The Big Ertz - 2020</t>
  </si>
  <si>
    <t>Chris Carson</t>
  </si>
  <si>
    <t>W 106.9-91.6</t>
  </si>
  <si>
    <t>The Stache of the Walrus (5-9)</t>
  </si>
  <si>
    <t>L 48.8-90.9</t>
  </si>
  <si>
    <t>Bunch of Mularkey (7-8)</t>
  </si>
  <si>
    <t>W 100.4-84.2</t>
  </si>
  <si>
    <t>The Stache of the Walrus (5-10)</t>
  </si>
  <si>
    <t>The Rookie</t>
  </si>
  <si>
    <t>The Rookie - 2020</t>
  </si>
  <si>
    <t>Calvin Ridley</t>
  </si>
  <si>
    <t>Hayden Hurst</t>
  </si>
  <si>
    <t>L 71.3-126.4</t>
  </si>
  <si>
    <t>Jack Del RimJob (9-6)</t>
  </si>
  <si>
    <t>W 112.1-83.2</t>
  </si>
  <si>
    <t>BaughwitdaBaugh . (8-7)</t>
  </si>
  <si>
    <t>L 84.2-100.4</t>
  </si>
  <si>
    <t>Crennelingus . (5-10)</t>
  </si>
  <si>
    <t>Chicago White Cochs</t>
  </si>
  <si>
    <t>Chicago White Cochs - 2020</t>
  </si>
  <si>
    <t>L 83.2-112.1</t>
  </si>
  <si>
    <t>Rexual Feeling (11-3)</t>
  </si>
  <si>
    <t>L 91-123.8</t>
  </si>
  <si>
    <t>For Shurmur (10-4)</t>
  </si>
  <si>
    <t>W 126.4-71.3</t>
  </si>
  <si>
    <t>Ken Whiz-in-cunt (6-9)</t>
  </si>
  <si>
    <t>Ground Rule Chubble</t>
  </si>
  <si>
    <t>Ground Rule Chubble - 2020</t>
  </si>
  <si>
    <t>DK Metcalf</t>
  </si>
  <si>
    <t>Mark Andrews</t>
  </si>
  <si>
    <t>W 50.9-40.4</t>
  </si>
  <si>
    <t>Good Luck Chuck (6-9)</t>
  </si>
  <si>
    <t>W 90.9-48.8</t>
  </si>
  <si>
    <t>Cutler's Year (6-9)</t>
  </si>
  <si>
    <t>On the Hill</t>
  </si>
  <si>
    <t>On the Hill - 2020</t>
  </si>
  <si>
    <t>W 123.8-91</t>
  </si>
  <si>
    <t>Yes We Cam(den) ....Cutler (9-6)</t>
  </si>
  <si>
    <t>L 40.4-50.9</t>
  </si>
  <si>
    <t>All You Need is Lovie (7-8)</t>
  </si>
  <si>
    <t>W 135.8-102.5</t>
  </si>
  <si>
    <t>The Stache of the Walrus (5-11)</t>
  </si>
  <si>
    <t>Going Going Godwin</t>
  </si>
  <si>
    <t>Going Going Godwin - 2020</t>
  </si>
  <si>
    <t>Raheem Mostert</t>
  </si>
  <si>
    <t>Chris Godwin</t>
  </si>
  <si>
    <t>L 75.3-83.9</t>
  </si>
  <si>
    <t>Good Luck Chuck (7-9)</t>
  </si>
  <si>
    <t>W 92.8-65.3</t>
  </si>
  <si>
    <t>Jack Del RimJob (9-7)</t>
  </si>
  <si>
    <t>Chicks Diggs The Long Ball</t>
  </si>
  <si>
    <t>Chicks Diggs The Long Ball - 2020</t>
  </si>
  <si>
    <t>TJ Hockenson</t>
  </si>
  <si>
    <t>L 84-107.7</t>
  </si>
  <si>
    <t>For Shurmur (11-4)</t>
  </si>
  <si>
    <t>L 102.5-135.8</t>
  </si>
  <si>
    <t>Cutler's Year (7-9)</t>
  </si>
  <si>
    <t>Cooperstown All Star Village</t>
  </si>
  <si>
    <t>Cooperstown All Star Village - 2020</t>
  </si>
  <si>
    <t>L 81.6-86</t>
  </si>
  <si>
    <t>Yes We Cam(den) ....Cutler (10-6)</t>
  </si>
  <si>
    <t>W 86-81.6</t>
  </si>
  <si>
    <t>BaughwitdaBaugh . (8-8)</t>
  </si>
  <si>
    <t>L 65.3-92.8</t>
  </si>
  <si>
    <t>Ken Whiz-in-cunt (7-9)</t>
  </si>
  <si>
    <t>Harry Kelce Holy Cow!</t>
  </si>
  <si>
    <t>Harry Kelce Holy Cow! - 2020</t>
  </si>
  <si>
    <t>Derrick Henry</t>
  </si>
  <si>
    <t>AJ Brown</t>
  </si>
  <si>
    <t>L 93.6-107.5</t>
  </si>
  <si>
    <t>Bunch of Mularkey (8-8)</t>
  </si>
  <si>
    <t>W 107.5-93.6</t>
  </si>
  <si>
    <t>All You Need is Lovie (7-9)</t>
  </si>
  <si>
    <t>Booz Allen Hardman</t>
  </si>
  <si>
    <t>Justin Herbert</t>
  </si>
  <si>
    <t>W 107.7-84</t>
  </si>
  <si>
    <t>Rexual Feeling (11-4)</t>
  </si>
  <si>
    <t>W 83.9-75.3</t>
  </si>
  <si>
    <t>Crennelingus . (5-11)</t>
  </si>
  <si>
    <t>L 86.1-87.1</t>
  </si>
  <si>
    <t>BaughwitdaBaugh . (1-0)</t>
  </si>
  <si>
    <t>Hunt's or Heinz</t>
  </si>
  <si>
    <t>Robby Anderson</t>
  </si>
  <si>
    <t>Kyle Pitts</t>
  </si>
  <si>
    <t>L 81.1-114</t>
  </si>
  <si>
    <t>Ken Whiz-in-cunt (1-0)</t>
  </si>
  <si>
    <t>Philadelphia</t>
  </si>
  <si>
    <t>Pennsylvania</t>
  </si>
  <si>
    <t>W 114-81.1</t>
  </si>
  <si>
    <t>Crennelingus . (0-1)</t>
  </si>
  <si>
    <t>W 110.8-98</t>
  </si>
  <si>
    <t>The Stache of the Walrus (0-1)</t>
  </si>
  <si>
    <t>C.H. Allen Robinson</t>
  </si>
  <si>
    <t>Antonio Gibson</t>
  </si>
  <si>
    <t>Jonnu Smith</t>
  </si>
  <si>
    <t>L 98-110.8</t>
  </si>
  <si>
    <t>Rexual Feeling (1-0)</t>
  </si>
  <si>
    <t>W 87.1-86.1</t>
  </si>
  <si>
    <t>Cutler's Year (0-1)</t>
  </si>
  <si>
    <t>The Big hErtz</t>
  </si>
  <si>
    <t>L 89-119.6</t>
  </si>
  <si>
    <t>Jack Del RimJob (1-0)</t>
  </si>
  <si>
    <t>W 119.6-89</t>
  </si>
  <si>
    <t>Yes We Cam(den) ....Cutler (0-1)</t>
  </si>
  <si>
    <t>NAS DAK</t>
  </si>
  <si>
    <t>W 107.2-70.9</t>
  </si>
  <si>
    <t>Austin Ekeler</t>
  </si>
  <si>
    <t>Good Luck Chuck (0-1)</t>
  </si>
  <si>
    <t>L 71.1-112.1</t>
  </si>
  <si>
    <t>For Shurmur (1-0)</t>
  </si>
  <si>
    <t>W 112.1-71.1</t>
  </si>
  <si>
    <t>Bunch of Mularkey (0-1)</t>
  </si>
  <si>
    <t>Thielen Musk</t>
  </si>
  <si>
    <t>Jalen Hurts</t>
  </si>
  <si>
    <t>Logan Thomas</t>
  </si>
  <si>
    <t>L 70.9-107.2</t>
  </si>
  <si>
    <t>All You Need is Lovie (1-0)</t>
  </si>
  <si>
    <t>W 99.9-89.9</t>
  </si>
  <si>
    <t>For Shurmur (7-3)</t>
  </si>
  <si>
    <t>L 86.8-110</t>
  </si>
  <si>
    <t>All You Need is Lovie (4-6)</t>
  </si>
  <si>
    <t>Wolf of Waller Street</t>
  </si>
  <si>
    <t>Damien Harris</t>
  </si>
  <si>
    <t>L 87.4-117.8</t>
  </si>
  <si>
    <t>Bunch of Mularkey (4-6)</t>
  </si>
  <si>
    <t>W 103.2-88.5</t>
  </si>
  <si>
    <t>Good Luck Chuck (4-6)</t>
  </si>
  <si>
    <t>W 89.1-80.6</t>
  </si>
  <si>
    <t>Yes We Cam(den) ....Cutler (5-5)</t>
  </si>
  <si>
    <t>Gallman Sachs</t>
  </si>
  <si>
    <t>L 73.4-89.9</t>
  </si>
  <si>
    <t>Jack Del RimJob (6-4)</t>
  </si>
  <si>
    <t>L 80.6-89.1</t>
  </si>
  <si>
    <t>The Stache of the Walrus (4-6)</t>
  </si>
  <si>
    <t>ODell Technologies</t>
  </si>
  <si>
    <t>David Montgomery</t>
  </si>
  <si>
    <t>W 89.9-73.4</t>
  </si>
  <si>
    <t>BaughwitdaBaugh . (6-4)</t>
  </si>
  <si>
    <t>Buffa Lamar’s(83.9 Pts)</t>
  </si>
  <si>
    <t>W 110-86.8</t>
  </si>
  <si>
    <t>Crennelingus . (3-7)</t>
  </si>
  <si>
    <t>Goulden Nugget(92.9 Pts)</t>
  </si>
  <si>
    <t>W 117.8-87.4</t>
  </si>
  <si>
    <t>Ken Whiz-in-cunt (5-5)</t>
  </si>
  <si>
    <t>H+R Block 4 Dalvin</t>
  </si>
  <si>
    <t>CeeDee Lamb</t>
  </si>
  <si>
    <t>Mike Gesicki</t>
  </si>
  <si>
    <t>L 89.9-99.9</t>
  </si>
  <si>
    <t>Cutler's Year (4-6)</t>
  </si>
  <si>
    <t>L 88.5-103.2</t>
  </si>
  <si>
    <t>Rexual Feeling (8-2)</t>
  </si>
  <si>
    <t>Sony Discman Jr.</t>
  </si>
  <si>
    <t>L 57.2-85.7</t>
  </si>
  <si>
    <t>Bunch of Mularkey (5-6)</t>
  </si>
  <si>
    <t>L 71.5-108.8</t>
  </si>
  <si>
    <t>Jack Del RimJob (7-4)</t>
  </si>
  <si>
    <t>W 83.2-69.4</t>
  </si>
  <si>
    <t>All You Need is Lovie (4-7)</t>
  </si>
  <si>
    <t>Brady Petroleum And Gaskin</t>
  </si>
  <si>
    <t>W 89.6-83</t>
  </si>
  <si>
    <t>For Shurmur (7-4)</t>
  </si>
  <si>
    <t>Kansas City</t>
  </si>
  <si>
    <t>Kansas</t>
  </si>
  <si>
    <t>L 76.3-103.5</t>
  </si>
  <si>
    <t>Good Luck Chuck (5-6)</t>
  </si>
  <si>
    <t>Swisher Swifts</t>
  </si>
  <si>
    <t>D'Andre Swift</t>
  </si>
  <si>
    <t>L 81.3-85.3</t>
  </si>
  <si>
    <t>Yes We Cam(den) ....Cutler (6-5)</t>
  </si>
  <si>
    <t>W 85.3-81.3</t>
  </si>
  <si>
    <t>BaughwitdaBaugh . (6-5)</t>
  </si>
  <si>
    <t>W 108.8-71.5</t>
  </si>
  <si>
    <t>Crennelingus . (3-8)</t>
  </si>
  <si>
    <t>Joshua Tree</t>
  </si>
  <si>
    <t>Gabe Davis</t>
  </si>
  <si>
    <t>L 69.4-83.2</t>
  </si>
  <si>
    <t>Ken Whiz-in-cunt (6-5)</t>
  </si>
  <si>
    <t>Chicago White Cochs(3-10-0)</t>
  </si>
  <si>
    <t>The Rookie(s)(4-9-0)</t>
  </si>
  <si>
    <t>Chicks Diggs The Long Ball(7-6-0)</t>
  </si>
  <si>
    <t>W 85.7-57.2</t>
  </si>
  <si>
    <t>Cutler's Year (4-7)</t>
  </si>
  <si>
    <t>Harry Kelce Holy Cow!(9-4-0)</t>
  </si>
  <si>
    <t>On The Hill(8-5-0)</t>
  </si>
  <si>
    <t>Thielen Home(9-4-0)</t>
  </si>
  <si>
    <t>L 83-89.6</t>
  </si>
  <si>
    <t>Christian McCoughrey</t>
  </si>
  <si>
    <t>Rexual Feeling (9-2)</t>
  </si>
  <si>
    <t>Cooperstown All Star Village(5-8-0)</t>
  </si>
  <si>
    <t>Boyd Rage(10-3-0)</t>
  </si>
  <si>
    <t>Ground Rule Chubble(6-7-0)</t>
  </si>
  <si>
    <t>Can Of Kittle Corn(8-5-0)</t>
  </si>
  <si>
    <t>Going Going Godwin(5-8-0)</t>
  </si>
  <si>
    <t>W 103.5-76.3</t>
  </si>
  <si>
    <t>The Big Ertz(4-9-0)</t>
  </si>
  <si>
    <t>The Stache of the Walrus (4-7)</t>
  </si>
  <si>
    <t>L 95.5-120.1</t>
  </si>
  <si>
    <t>All You Need is Lovie (5-7)</t>
  </si>
  <si>
    <t>Hocken A Lung</t>
  </si>
  <si>
    <t>L 110.9-112.7</t>
  </si>
  <si>
    <t>Yes We Cam(den) ....Cutler (7-5)</t>
  </si>
  <si>
    <t>L 83-93.1</t>
  </si>
  <si>
    <t>Jack Del RimJob (8-4)</t>
  </si>
  <si>
    <t>L 87.9-107.6</t>
  </si>
  <si>
    <t>Bunch of Mularkey (6-6)</t>
  </si>
  <si>
    <t>Lamarlboro Lights</t>
  </si>
  <si>
    <t>Christian Kirk</t>
  </si>
  <si>
    <t>L 78.6-84.2</t>
  </si>
  <si>
    <t>For Shurmur (8-4)</t>
  </si>
  <si>
    <t>Cam-el Lights</t>
  </si>
  <si>
    <t>W 77.6-76.8</t>
  </si>
  <si>
    <t>Clyde Edwards-Helaire</t>
  </si>
  <si>
    <t>Good Luck Chuck (5-7)</t>
  </si>
  <si>
    <t>Pat Freiermuth</t>
  </si>
  <si>
    <t>W 112.7-110.9</t>
  </si>
  <si>
    <t>Crennelingus . (3-9)</t>
  </si>
  <si>
    <t>W 93.1-83</t>
  </si>
  <si>
    <t>Ken Whiz-in-cunt (6-6)</t>
  </si>
  <si>
    <t>Lung Hurts</t>
  </si>
  <si>
    <t>Cooper Kupp</t>
  </si>
  <si>
    <t>W 120.1-95.5</t>
  </si>
  <si>
    <t>Cutler's Year (4-8)</t>
  </si>
  <si>
    <t>W 107.6-87.9</t>
  </si>
  <si>
    <t>Rexual Feeling (9-3)</t>
  </si>
  <si>
    <t>Lets Go Brandon</t>
  </si>
  <si>
    <t>W 84.2-78.6</t>
  </si>
  <si>
    <t>The Stache of the Walrus (4-8)</t>
  </si>
  <si>
    <t>Justin Jefferson</t>
  </si>
  <si>
    <t>L 76.8-77.6</t>
  </si>
  <si>
    <t>BaughwitdaBaugh . (7-5)</t>
  </si>
  <si>
    <t>W 91.5-86.8</t>
  </si>
  <si>
    <t>Jack Del RimJob (8-5)</t>
  </si>
  <si>
    <t>Mike Throat is Gesicki</t>
  </si>
  <si>
    <t>W 73.7-66.9</t>
  </si>
  <si>
    <t>Good Luck Chuck (5-8)</t>
  </si>
  <si>
    <t>L 98.9-100.7</t>
  </si>
  <si>
    <t>Yes We Cam(den) ....Cutler (8-5)</t>
  </si>
  <si>
    <t>W 100.1-82.6</t>
  </si>
  <si>
    <t>All You Need is Lovie (5-8)</t>
  </si>
  <si>
    <t>Diggs and Cigs</t>
  </si>
  <si>
    <t>Darrell Henderson Jr.</t>
  </si>
  <si>
    <t>W 116.5-97.4</t>
  </si>
  <si>
    <t>Bunch of Mularkey (6-7)</t>
  </si>
  <si>
    <t>L 84.2-99.9</t>
  </si>
  <si>
    <t>For Shurmur (9-4)</t>
  </si>
  <si>
    <t>W 100.7-98.9</t>
  </si>
  <si>
    <t>Ken Whiz-in-cunt (6-7)</t>
  </si>
  <si>
    <t>Juul-Juul Smith-Schuster</t>
  </si>
  <si>
    <t>Joe Burrow</t>
  </si>
  <si>
    <t>Tee Higgins</t>
  </si>
  <si>
    <t>Gerald Everett</t>
  </si>
  <si>
    <t>L 86.8-91.5</t>
  </si>
  <si>
    <t>Cutler's Year (5-8)</t>
  </si>
  <si>
    <t>L 82.6-100.1</t>
  </si>
  <si>
    <t>Rexual Feeling (10-3)</t>
  </si>
  <si>
    <t>L 97.4-116.5</t>
  </si>
  <si>
    <t>The Stache of the Walrus (5-8)</t>
  </si>
  <si>
    <t>Mecole 45 and Two Zig Zags</t>
  </si>
  <si>
    <t>Dawson Knox</t>
  </si>
  <si>
    <t>W 99.9-84.2</t>
  </si>
  <si>
    <t>BaughwitdaBaugh . (7-6)</t>
  </si>
  <si>
    <t>L 66.9-73.7</t>
  </si>
  <si>
    <t>Crennelingus . (4-9)</t>
  </si>
  <si>
    <t>W 106.3-67.5</t>
  </si>
  <si>
    <t>Crennelingus . (0-2)</t>
  </si>
  <si>
    <t>Wings and Three Rings</t>
  </si>
  <si>
    <t>Tua Tagovailoa</t>
  </si>
  <si>
    <t>L 67.5-106.3</t>
  </si>
  <si>
    <t>L 69.8-100.2</t>
  </si>
  <si>
    <t>Rexual Feeling (2-0)</t>
  </si>
  <si>
    <t>Philly Cheesteakaways</t>
  </si>
  <si>
    <t>Justin Fields</t>
  </si>
  <si>
    <t>W 100.2-69.8</t>
  </si>
  <si>
    <t>Ken Whiz-in-cunt (1-1)</t>
  </si>
  <si>
    <t>Pizzay Express</t>
  </si>
  <si>
    <t>Breece Hall</t>
  </si>
  <si>
    <t>Mike Williams</t>
  </si>
  <si>
    <t>L 84.7-109.7</t>
  </si>
  <si>
    <t>BaughwitdaBaugh . (2-0)</t>
  </si>
  <si>
    <t>Chasing</t>
  </si>
  <si>
    <t>Travis Etienne</t>
  </si>
  <si>
    <t>Jamar Chase</t>
  </si>
  <si>
    <t>W 109.7-84.7</t>
  </si>
  <si>
    <t>The Stache of the Walrus (0-2)</t>
  </si>
  <si>
    <t>W 109.1-67.6</t>
  </si>
  <si>
    <t>All You Need is Lovie (1-1)</t>
  </si>
  <si>
    <t>Charley Diggs</t>
  </si>
  <si>
    <t>James Cook</t>
  </si>
  <si>
    <t>W 106.7-70.1</t>
  </si>
  <si>
    <t>Bunch of Mularkey (0-2)</t>
  </si>
  <si>
    <t>Brainard's Chubb</t>
  </si>
  <si>
    <t>Javonte Williams</t>
  </si>
  <si>
    <t>L 67.6-109.1</t>
  </si>
  <si>
    <t>Yes We Cam(den) ....Cutler (1-1)</t>
  </si>
  <si>
    <t>L 70.1-106.7</t>
  </si>
  <si>
    <t>Jack Del RimJob (2-0)</t>
  </si>
  <si>
    <t>Soggy Fruit Pu kas</t>
  </si>
  <si>
    <t>Brian Robinson</t>
  </si>
  <si>
    <t>Jaylen Waddle</t>
  </si>
  <si>
    <t>L 112.7-133.5</t>
  </si>
  <si>
    <t>Good Luck Chuck (1-1)</t>
  </si>
  <si>
    <t>Martha's Cream PIs</t>
  </si>
  <si>
    <t>Trevor Lawrence</t>
  </si>
  <si>
    <t>Rhamondre Stevenson</t>
  </si>
  <si>
    <t>Chris Olave</t>
  </si>
  <si>
    <t>W 133.5-112.7</t>
  </si>
  <si>
    <t>For Shurmur (1-1)</t>
  </si>
  <si>
    <t>Aurora</t>
  </si>
  <si>
    <t>W 99.4-71.6</t>
  </si>
  <si>
    <t>The Stache of the Walrus (0-3)</t>
  </si>
  <si>
    <t>The Breakfast Buddies</t>
  </si>
  <si>
    <t>Kenneth Walker</t>
  </si>
  <si>
    <t>Amon-Ra St Brown</t>
  </si>
  <si>
    <t>L 65.4-120.1</t>
  </si>
  <si>
    <t>Rexual Feeling (3-0)</t>
  </si>
  <si>
    <t>W 117.9-62.4</t>
  </si>
  <si>
    <t>Darius Slay Jays</t>
  </si>
  <si>
    <t>BaughwitdaBaugh . (2-1)</t>
  </si>
  <si>
    <t>Brock Purdy</t>
  </si>
  <si>
    <t>Bijan Robinson</t>
  </si>
  <si>
    <t>Garrett Wilson</t>
  </si>
  <si>
    <t>W 120.1-65.4</t>
  </si>
  <si>
    <t>Crennelingus . (0-3)</t>
  </si>
  <si>
    <t>Warm Caesars</t>
  </si>
  <si>
    <t>Anthony Richardson</t>
  </si>
  <si>
    <t>L 71.6-99.4</t>
  </si>
  <si>
    <t>Cutler's Year (2-1)</t>
  </si>
  <si>
    <t>L 62.4-117.9</t>
  </si>
  <si>
    <t>Ken Whiz-in-cunt (2-1)</t>
  </si>
  <si>
    <t>Library Chicks-Fil-A</t>
  </si>
  <si>
    <t>Tony Pollard</t>
  </si>
  <si>
    <t>L 81.3-110</t>
  </si>
  <si>
    <t>Bunch of Mularkey (1-2)</t>
  </si>
  <si>
    <t>Hurricane Andrews</t>
  </si>
  <si>
    <t>Josh Jacobs</t>
  </si>
  <si>
    <t>W 93.1-90.8</t>
  </si>
  <si>
    <t>Good Luck Chuck (1-2)</t>
  </si>
  <si>
    <t>L 98.9-116.9</t>
  </si>
  <si>
    <t>For Shurmur (2-1)</t>
  </si>
  <si>
    <t>Weisfire</t>
  </si>
  <si>
    <t>Isiah Pacheco</t>
  </si>
  <si>
    <t>Tank Dell</t>
  </si>
  <si>
    <t>Dalton Kincaid</t>
  </si>
  <si>
    <t>W 110-81.3</t>
  </si>
  <si>
    <t>Yes We Cam(den) ....Cutler (1-2)</t>
  </si>
  <si>
    <t>Mahomes Flooded</t>
  </si>
  <si>
    <t>Jahmyr Gibbs</t>
  </si>
  <si>
    <t>W 116.9-98.9</t>
  </si>
  <si>
    <t>All You Need is Lovie (1-2)</t>
  </si>
  <si>
    <t>Caleb's Year</t>
  </si>
  <si>
    <t>Baker Mayfield</t>
  </si>
  <si>
    <t>L 90.8-93.1</t>
  </si>
  <si>
    <t>Jack Del RimJob (3-0)</t>
  </si>
  <si>
    <t>L 90.7-96.5</t>
  </si>
  <si>
    <t>Ken Whiz-in-cunt (3-1)</t>
  </si>
  <si>
    <t>Moodslide</t>
  </si>
  <si>
    <t>W 117.3-87.7</t>
  </si>
  <si>
    <t>The Stache of the Walrus (0-4)</t>
  </si>
  <si>
    <t>Chase'n Purdy Big Twisters</t>
  </si>
  <si>
    <t>W 96.5-90.7</t>
  </si>
  <si>
    <t>Puka Quakes</t>
  </si>
  <si>
    <t>Trey McBride</t>
  </si>
  <si>
    <t>L 88-94.3</t>
  </si>
  <si>
    <t>BaughwitdaBaugh . (3-1)</t>
  </si>
  <si>
    <t>Whiteout</t>
  </si>
  <si>
    <t>0-4</t>
  </si>
  <si>
    <t>L 87.7-117.3</t>
  </si>
  <si>
    <t>Crennelingus . (1-3)</t>
  </si>
  <si>
    <t>Jake Ferguson</t>
  </si>
  <si>
    <t>W 94.3-88</t>
  </si>
  <si>
    <t>Hurtswaves</t>
  </si>
  <si>
    <t>Rexual Feeling (3-1)</t>
  </si>
  <si>
    <t>Nico Collins</t>
  </si>
  <si>
    <t>Sam LaPorta</t>
  </si>
  <si>
    <t>L 82-113</t>
  </si>
  <si>
    <t>For Shurmur (3-1)</t>
  </si>
  <si>
    <t>NoMoore 4KDrought</t>
  </si>
  <si>
    <t>Jared Goff</t>
  </si>
  <si>
    <t>DJ Moore</t>
  </si>
  <si>
    <t>Brock Bowers</t>
  </si>
  <si>
    <t>W 99.4-96.5</t>
  </si>
  <si>
    <t>All You Need is Lovie (1-3)</t>
  </si>
  <si>
    <t>L 96.5-99.4</t>
  </si>
  <si>
    <t>Jack Del RimJob (4-0)</t>
  </si>
  <si>
    <t>Bhola Breece's Storm Surge</t>
  </si>
  <si>
    <t>CJ Stroud</t>
  </si>
  <si>
    <t>Michael Pittman</t>
  </si>
  <si>
    <t>Dalton Schultz</t>
  </si>
  <si>
    <t>W 94.8-84.1</t>
  </si>
  <si>
    <t>Good Luck Chuck (1-3)</t>
  </si>
  <si>
    <t>Blizzard Boys</t>
  </si>
  <si>
    <t>Kyren Williams</t>
  </si>
  <si>
    <t>W 113-82</t>
  </si>
  <si>
    <t>Yes We Cam(den) ....Cutler (1-3)</t>
  </si>
  <si>
    <t>L 84.1-94.8</t>
  </si>
  <si>
    <t>Bunch of Mularkey (2-2)</t>
  </si>
  <si>
    <t>Drake Frites</t>
  </si>
  <si>
    <t>Drake London</t>
  </si>
  <si>
    <t>L 67.8-106.2</t>
  </si>
  <si>
    <t>Rexual Feeling (4-1)</t>
  </si>
  <si>
    <t>W 108.5-84.8</t>
  </si>
  <si>
    <t>BaughwitdaBaugh . (3-2)</t>
  </si>
  <si>
    <t>0.5 PPR</t>
  </si>
  <si>
    <t>Boyd Rage(56.72 Pts)</t>
  </si>
  <si>
    <t>Harry Kelce Holy Cow!(180.62 Pts)</t>
  </si>
  <si>
    <t>Tour de Weis</t>
  </si>
  <si>
    <t>Jayden Daniels</t>
  </si>
  <si>
    <t>Quentin Johnston</t>
  </si>
  <si>
    <t>L 60.3-96.2</t>
  </si>
  <si>
    <t>The Stache of the Walrus (1-4)</t>
  </si>
  <si>
    <t>W 106.2-67.8</t>
  </si>
  <si>
    <t>W 96.2-60.3</t>
  </si>
  <si>
    <t>Ken Whiz-in-cunt (3-2)</t>
  </si>
  <si>
    <t>RJ Hau Revoir</t>
  </si>
  <si>
    <t>Drake Maye</t>
  </si>
  <si>
    <t>L 84.8-108.5</t>
  </si>
  <si>
    <t>Crennelingus . (2-3)</t>
  </si>
  <si>
    <t>L 70.5-116.4</t>
  </si>
  <si>
    <t>Good Luck Chuck (2-3)</t>
  </si>
  <si>
    <t>CamemBear Down</t>
  </si>
  <si>
    <t>Daniel Jones</t>
  </si>
  <si>
    <t>L 77.2-88.1</t>
  </si>
  <si>
    <t>For Shurmur (4-1)</t>
  </si>
  <si>
    <t>W 104-101.6</t>
  </si>
  <si>
    <t>Bunch of Mularkey (2-3)</t>
  </si>
  <si>
    <t>Louis Suitton</t>
  </si>
  <si>
    <t>Chase Brown</t>
  </si>
  <si>
    <t>Tucker Kraft</t>
  </si>
  <si>
    <t>L 101.6-104</t>
  </si>
  <si>
    <t>All You Need is Lovie (2-3)</t>
  </si>
  <si>
    <t>W 88.1-77.2</t>
  </si>
  <si>
    <t>Jack Del RimJob (4-1)</t>
  </si>
  <si>
    <t>Coch_Au Vin</t>
  </si>
  <si>
    <t>Quinshon Judkins</t>
  </si>
  <si>
    <t>Rashid Shaheed</t>
  </si>
  <si>
    <t>W 116.4-70.5</t>
  </si>
  <si>
    <t>Yes We Cam(den) ....Cutler (1-4)</t>
  </si>
  <si>
    <t>W 96.8-93.1</t>
  </si>
  <si>
    <t>All You Need is Lovie (2-4)</t>
  </si>
  <si>
    <t>Wolf of Waller Street(10-4-0)</t>
  </si>
  <si>
    <t>L 50.5-94</t>
  </si>
  <si>
    <t>Eiffel Bowers</t>
  </si>
  <si>
    <t>Yes We Cam(den) ....Cutler (2-4)</t>
  </si>
  <si>
    <t>Jacory Croskey-Merritt</t>
  </si>
  <si>
    <t>Jaxon Smith-Njigba</t>
  </si>
  <si>
    <t>C.H. Allen Robinson(7-7-0)</t>
  </si>
  <si>
    <t>Booz Allen(11-3-0)</t>
  </si>
  <si>
    <t>W 113.9-86.1</t>
  </si>
  <si>
    <t>Jack Del RimJob (4-2)</t>
  </si>
  <si>
    <t>Brady Petroleum And Gaskin(8-6-0)</t>
  </si>
  <si>
    <t>W 87-82.2</t>
  </si>
  <si>
    <t>Bunch of Mularkey (2-4)</t>
  </si>
  <si>
    <t>Merci Bo-coup</t>
  </si>
  <si>
    <t>Bo Nix</t>
  </si>
  <si>
    <t>Mason Taylor</t>
  </si>
  <si>
    <t>Gallman Sachs(4-10-0)</t>
  </si>
  <si>
    <t>H+R Block 4 Dalvin(4-10-0)</t>
  </si>
  <si>
    <t>L 71.3-90.2</t>
  </si>
  <si>
    <t>For Shurmur (5-1)</t>
  </si>
  <si>
    <t>Hunt's or Heinz(4-10-0)</t>
  </si>
  <si>
    <t>W 115.6-92.3</t>
  </si>
  <si>
    <t>Good Luck Chuck (2-4)</t>
  </si>
  <si>
    <t>NAS DAK(12-2-0)</t>
  </si>
  <si>
    <t>Oui How</t>
  </si>
  <si>
    <t>Travis Etienne Jr.</t>
  </si>
  <si>
    <t>Tyler Warren</t>
  </si>
  <si>
    <t>W 94-50.5</t>
  </si>
  <si>
    <t>Crennelingus . (2-4)</t>
  </si>
  <si>
    <t>Sony Discman Jr.(10-4-0)</t>
  </si>
  <si>
    <t>Thielen Musk(2-12-0)</t>
  </si>
  <si>
    <t>L 86.1-113.9</t>
  </si>
  <si>
    <t>Ken Whiz-in-cunt (4-2)</t>
  </si>
  <si>
    <t>ODell Technologies(5-9-0)</t>
  </si>
  <si>
    <t>L 93.1-96.8</t>
  </si>
  <si>
    <t>The Big hErtz(7-7-0)</t>
  </si>
  <si>
    <t>Je Ne Saquon</t>
  </si>
  <si>
    <t>L 82.2-87</t>
  </si>
  <si>
    <t>Rexual Feeling (5-1)</t>
  </si>
  <si>
    <t>EDIT</t>
  </si>
  <si>
    <t>W 90.2-71.3</t>
  </si>
  <si>
    <t>The Stache of the Walrus (1-5)</t>
  </si>
  <si>
    <t>Jeanty d'Arc</t>
  </si>
  <si>
    <t>Marvin Harrison Jr</t>
  </si>
  <si>
    <t>L 92.3-115.6</t>
  </si>
  <si>
    <t>BaughwitdaBaugh . (4-2)</t>
  </si>
  <si>
    <t>L 82.3-97.9</t>
  </si>
  <si>
    <t>Jack Del RimJob (5-2)</t>
  </si>
  <si>
    <t>Bijon Mustard</t>
  </si>
  <si>
    <t>L 92.3-109.3</t>
  </si>
  <si>
    <t>Good Luck Chuck (3-4)</t>
  </si>
  <si>
    <t>L 93.1-110.8</t>
  </si>
  <si>
    <t>Yes We Cam(den) ....Cutler (3-4)</t>
  </si>
  <si>
    <t>LaPorta Potties</t>
  </si>
  <si>
    <t>Bhayshul Tuten</t>
  </si>
  <si>
    <t>A.J. Brown</t>
  </si>
  <si>
    <t>Weis Cookin Rice</t>
  </si>
  <si>
    <t>Rashee Rice</t>
  </si>
  <si>
    <t>W 88.5-67.4</t>
  </si>
  <si>
    <t>All You Need is Lovie (2-5)</t>
  </si>
  <si>
    <t>Stop and Smell Zay Flowers</t>
  </si>
  <si>
    <t>Zay Flowers</t>
  </si>
  <si>
    <t>W 91.2-59.6</t>
  </si>
  <si>
    <t>Bunch of Mularkey (2-5)</t>
  </si>
  <si>
    <t>W 94.2-68.5</t>
  </si>
  <si>
    <t>For Shurmur (5-2)</t>
  </si>
  <si>
    <t>W 110.8-93.1</t>
  </si>
  <si>
    <t>Ken Whiz-in-cunt (4-3)</t>
  </si>
  <si>
    <t>Pile of Monangai</t>
  </si>
  <si>
    <t>W 97.9-82.3</t>
  </si>
  <si>
    <t>L 67.4-88.5</t>
  </si>
  <si>
    <t>Rexual Feeling (6-1)</t>
  </si>
  <si>
    <t>L 59.6-91.2</t>
  </si>
  <si>
    <t>The Stache of the Walrus (2-5)</t>
  </si>
  <si>
    <t>B.O.</t>
  </si>
  <si>
    <t>Parker Washington</t>
  </si>
  <si>
    <t>Juwan Johnson</t>
  </si>
  <si>
    <t>L 68.5-94.2</t>
  </si>
  <si>
    <t>BaughwitdaBaugh . (5-2)</t>
  </si>
  <si>
    <t>W 109.3-92.3</t>
  </si>
  <si>
    <t>Crennelingus . (2-5)</t>
  </si>
  <si>
    <t>Judkins Sp!ce Latte</t>
  </si>
  <si>
    <t>Colston Loveland</t>
  </si>
  <si>
    <t>L 75.9-111.6</t>
  </si>
  <si>
    <t>Yes We Cam(den) ....Cutler (4-4)</t>
  </si>
  <si>
    <t>L 74.2-93.5</t>
  </si>
  <si>
    <t>For Shurmur (6-2)</t>
  </si>
  <si>
    <t>W 103.1-59.2</t>
  </si>
  <si>
    <t>Good Luck Chuck (3-5)</t>
  </si>
  <si>
    <t>P-Uka Nacua</t>
  </si>
  <si>
    <t>Chuba Hubbard</t>
  </si>
  <si>
    <t>Puka Nacua</t>
  </si>
  <si>
    <t>W 87.7-66.1</t>
  </si>
  <si>
    <t>Jack Del RimJob (5-3)</t>
  </si>
  <si>
    <t>L 114.7-115.6</t>
  </si>
  <si>
    <t>All You Need is Lovie (3-5)</t>
  </si>
  <si>
    <t>L 76.4-86.3</t>
  </si>
  <si>
    <t>Bunch of Mularkey (3-5)</t>
  </si>
  <si>
    <t>FeBreece</t>
  </si>
  <si>
    <t>Tyler Shough</t>
  </si>
  <si>
    <t>W 111.6-75.9</t>
  </si>
  <si>
    <t>L 66.1-87.7</t>
  </si>
  <si>
    <t>Rexual Feeling (7-1)</t>
  </si>
  <si>
    <t>Silent But Dowdle</t>
  </si>
  <si>
    <t>Rico Dowdle</t>
  </si>
  <si>
    <t>Ja'Marr Chase</t>
  </si>
  <si>
    <t>W 115.6-114.7</t>
  </si>
  <si>
    <t>The Stache of the Walrus (2-6)</t>
  </si>
  <si>
    <t>W 86.3-76.4</t>
  </si>
  <si>
    <t>BaughwitdaBaugh . (5-3)</t>
  </si>
  <si>
    <t>W 93.5-74.2</t>
  </si>
  <si>
    <t>Crennelingus . (2-6)</t>
  </si>
  <si>
    <t>Spoiled Egbukas</t>
  </si>
  <si>
    <t>Omarion Hampton</t>
  </si>
  <si>
    <t>Emeka Egbuka</t>
  </si>
  <si>
    <t>Kenyon Sadiq</t>
  </si>
  <si>
    <t>L 59.2-103.1</t>
  </si>
  <si>
    <t>Ken Whiz-in-cunt (5-3)</t>
  </si>
  <si>
    <t>L 57.1-83.8</t>
  </si>
  <si>
    <t>Good Luck Chuck (4-5)</t>
  </si>
  <si>
    <t>W 119.9-98.1</t>
  </si>
  <si>
    <t>Bunch of Mularkey (3-6)</t>
  </si>
  <si>
    <t>Ashton Scenty's Stank Tank</t>
  </si>
  <si>
    <t>Ashton Jeanty</t>
  </si>
  <si>
    <t>L 92.7-93.5</t>
  </si>
  <si>
    <t>For Shurmur (7-2)</t>
  </si>
  <si>
    <t>L 102.2-111.8</t>
  </si>
  <si>
    <t>Yes We Cam(den) ....Cutler (5-4)</t>
  </si>
  <si>
    <t>Fart and Dart to IR</t>
  </si>
  <si>
    <t>Jaxson Dart</t>
  </si>
  <si>
    <t>Isiah Likely</t>
  </si>
  <si>
    <t>W 118.1-82.8</t>
  </si>
  <si>
    <t>Jack Del RimJob (5-4)</t>
  </si>
  <si>
    <t>W 89-76.6</t>
  </si>
  <si>
    <t>All You Need is Lovie (3-6)</t>
  </si>
  <si>
    <t>W 111.8-102.2</t>
  </si>
  <si>
    <t>Rexual Feeling (7-2)</t>
  </si>
  <si>
    <t>L 82.8-118.1</t>
  </si>
  <si>
    <t>The Stache of the Walrus (3-6)</t>
  </si>
  <si>
    <t>L 76.6-89</t>
  </si>
  <si>
    <t>BaughwitdaBaugh . (6-3)</t>
  </si>
  <si>
    <t>L 98.1-119.9</t>
  </si>
  <si>
    <t>Crennelingus . (3-6)</t>
  </si>
  <si>
    <t>W 93.5-92.7</t>
  </si>
  <si>
    <t>Ken Whiz-in-cunt (5-4)</t>
  </si>
  <si>
    <t>W 83.8-57.1</t>
  </si>
  <si>
    <t>Cutler's Year (3-6)</t>
  </si>
  <si>
    <t>84.5 pts</t>
  </si>
  <si>
    <t>W 107.6-98.7</t>
  </si>
  <si>
    <t>Moose Cock (6-8)</t>
  </si>
  <si>
    <t>L 98.7-107.6</t>
  </si>
  <si>
    <t>Goings South (7-7)</t>
  </si>
  <si>
    <t>L 83.6-101.9</t>
  </si>
  <si>
    <t>Mark van LickMyCornHole (5-9)</t>
  </si>
  <si>
    <t>L 94.7-120.2</t>
  </si>
  <si>
    <t>Gag On My Woodhead (8-6)</t>
  </si>
  <si>
    <t>W 104.8-86.8</t>
  </si>
  <si>
    <t>Alstott's Ascot (8-6)</t>
  </si>
  <si>
    <t>W 120.2-94.7</t>
  </si>
  <si>
    <t>High On the Hoge (7-7)</t>
  </si>
  <si>
    <t>W 101.9-83.6</t>
  </si>
  <si>
    <t>John David Crow (4-10)</t>
  </si>
  <si>
    <t>L 86.8-104.8</t>
  </si>
  <si>
    <t>Sam McGuffie (8-6)</t>
  </si>
  <si>
    <t>99.4 pts</t>
  </si>
  <si>
    <t>W 119.4-79.8</t>
  </si>
  <si>
    <t>Hope U Get sypHILLIS (6-8)</t>
  </si>
  <si>
    <t>L 79.8-119.4</t>
  </si>
  <si>
    <t>Diesel Upheaval (7-7)</t>
  </si>
  <si>
    <t>L 96.3-110.9</t>
  </si>
  <si>
    <t>Gag On My Woodhead (9-6)</t>
  </si>
  <si>
    <t>W 86.8-67.6</t>
  </si>
  <si>
    <t>Diesel Upheaval (7-8)</t>
  </si>
  <si>
    <t>L 62.5-118.8</t>
  </si>
  <si>
    <t>Mark van LickMyCornHole (6-9)</t>
  </si>
  <si>
    <t>W 101.7-93.9</t>
  </si>
  <si>
    <t>Hope U Get sypHILLIS (6-9)</t>
  </si>
  <si>
    <t>L 102.5-132.2</t>
  </si>
  <si>
    <t>Alstott's Ascot (9-6)</t>
  </si>
  <si>
    <t>L 101.5-102.8</t>
  </si>
  <si>
    <t>Bunch of Csonka (9-5)</t>
  </si>
  <si>
    <t>W 110.9-96.3</t>
  </si>
  <si>
    <t>Cutler's Year (9-5)</t>
  </si>
  <si>
    <t>W 118.8-62.5</t>
  </si>
  <si>
    <t>Moose Cock (6-9)</t>
  </si>
  <si>
    <t>W 132.2-102.5</t>
  </si>
  <si>
    <t>High On the Hoge (7-8)</t>
  </si>
  <si>
    <t>W 102.8-101.5</t>
  </si>
  <si>
    <t>Sam McGuffie (8-7)</t>
  </si>
  <si>
    <t>L 67.6-86.8</t>
  </si>
  <si>
    <t>Goings South (8-7)</t>
  </si>
  <si>
    <t>L 93.9-101.7</t>
  </si>
  <si>
    <t>John David Crow (5-10)</t>
  </si>
  <si>
    <t>L 79.6-99.8</t>
  </si>
  <si>
    <t>Sam McGuffie (9-7)</t>
  </si>
  <si>
    <t>L 51.8-56.9</t>
  </si>
  <si>
    <t>Mark van LickMyCornHole (7-9)</t>
  </si>
  <si>
    <t>L 71.5-80.5</t>
  </si>
  <si>
    <t>Hope U Get sypHILLIS (7-9)</t>
  </si>
  <si>
    <t>W 117-69.5</t>
  </si>
  <si>
    <t>Diesel Upheaval (7-9)</t>
  </si>
  <si>
    <t>W 103.1-75.3</t>
  </si>
  <si>
    <t>Alstott's Ascot (9-7)</t>
  </si>
  <si>
    <t>W 99.8-79.6</t>
  </si>
  <si>
    <t>Cutler's Year (9-6)</t>
  </si>
  <si>
    <t>W 121.4-79</t>
  </si>
  <si>
    <t>Bunch of Csonka (9-6)</t>
  </si>
  <si>
    <t>W 56.9-51.8</t>
  </si>
  <si>
    <t>Goings South (8-8)</t>
  </si>
  <si>
    <t>L 75.3-103.1</t>
  </si>
  <si>
    <t>High On the Hoge (8-8)</t>
  </si>
  <si>
    <t>L 79-121.4</t>
  </si>
  <si>
    <t>Gag On My Woodhead (10-6)</t>
  </si>
  <si>
    <t>L 69.5-117</t>
  </si>
  <si>
    <t>John David Crow (6-10)</t>
  </si>
  <si>
    <t>W 80.5-71.5</t>
  </si>
  <si>
    <t>Moose Cock (6-10)</t>
  </si>
  <si>
    <t>W 103.2-96.9</t>
  </si>
  <si>
    <t>Hope U Get sypHILLIS (0-1)</t>
  </si>
  <si>
    <t>W 125.2-80</t>
  </si>
  <si>
    <t>Moose Cock (0-1)</t>
  </si>
  <si>
    <t>L 80-125.2</t>
  </si>
  <si>
    <t>Goings South (1-0)</t>
  </si>
  <si>
    <t>L 120.7-129</t>
  </si>
  <si>
    <t>Diesel Upheaval (1-0)</t>
  </si>
  <si>
    <t>W 137.7-86.7</t>
  </si>
  <si>
    <t>Bunch of Csonka (0-1)</t>
  </si>
  <si>
    <t>W 116.6-76.1</t>
  </si>
  <si>
    <t>Alstott's Ascot (0-1)</t>
  </si>
  <si>
    <t>L 106.6-130</t>
  </si>
  <si>
    <t>Mark van LickMyCornHole (1-0)</t>
  </si>
  <si>
    <t>W 130-106.6</t>
  </si>
  <si>
    <t>Gag On My Woodhead (0-1)</t>
  </si>
  <si>
    <t>L 76.1-116.6</t>
  </si>
  <si>
    <t>Sam McGuffie (1-0)</t>
  </si>
  <si>
    <t>L 86.7-137.7</t>
  </si>
  <si>
    <t>High On the Hoge (1-0)</t>
  </si>
  <si>
    <t>W 129-120.7</t>
  </si>
  <si>
    <t>John David Crow (0-1)</t>
  </si>
  <si>
    <t>L 96.9-103.2</t>
  </si>
  <si>
    <t>W 97.6-88.8</t>
  </si>
  <si>
    <t>Mark van LickMyCornHole (3-7)</t>
  </si>
  <si>
    <t>L 67.2-71.8</t>
  </si>
  <si>
    <t>Diesel Upheaval (5-5)</t>
  </si>
  <si>
    <t>W 91-81</t>
  </si>
  <si>
    <t>Alstott's Ascot (5-5)</t>
  </si>
  <si>
    <t>L 60.4-90.7</t>
  </si>
  <si>
    <t>Gag On My Woodhead (6-4)</t>
  </si>
  <si>
    <t>L 95.3-124.7</t>
  </si>
  <si>
    <t>Sam McGuffie (5-5)</t>
  </si>
  <si>
    <t>W 124.7-95.3</t>
  </si>
  <si>
    <t>High On the Hoge (5-5)</t>
  </si>
  <si>
    <t>W 90.7-60.4</t>
  </si>
  <si>
    <t>John David Crow (3-7)</t>
  </si>
  <si>
    <t>L 88.8-97.6</t>
  </si>
  <si>
    <t>Cutler's Year (7-3)</t>
  </si>
  <si>
    <t>L 81-91</t>
  </si>
  <si>
    <t>Moose Cock (5-5)</t>
  </si>
  <si>
    <t>W 93.3-89.1</t>
  </si>
  <si>
    <t>Hope U Get sypHILLIS (6-4)</t>
  </si>
  <si>
    <t>W 71.8-67.2</t>
  </si>
  <si>
    <t>Goings South (4-6)</t>
  </si>
  <si>
    <t>L 89.1-93.3</t>
  </si>
  <si>
    <t>Bunch of Csonka (6-4)</t>
  </si>
  <si>
    <t>L 94.7-125</t>
  </si>
  <si>
    <t>Bunch of Csonka (7-4)</t>
  </si>
  <si>
    <t>W 79.2-73.4</t>
  </si>
  <si>
    <t>Hope U Get sypHILLIS (6-5)</t>
  </si>
  <si>
    <t>W 101-78.9</t>
  </si>
  <si>
    <t>Diesel Upheaval (5-6)</t>
  </si>
  <si>
    <t>L 61.7-128</t>
  </si>
  <si>
    <t>Alstott's Ascot (6-5)</t>
  </si>
  <si>
    <t>L 82.6-85.4</t>
  </si>
  <si>
    <t>Mark van LickMyCornHole (4-7)</t>
  </si>
  <si>
    <t>W 94-89.9</t>
  </si>
  <si>
    <t>Gag On My Woodhead (6-5)</t>
  </si>
  <si>
    <t>L 89.9-94</t>
  </si>
  <si>
    <t>Sam McGuffie (6-5)</t>
  </si>
  <si>
    <t>W 85.4-82.6</t>
  </si>
  <si>
    <t>High On the Hoge (5-6)</t>
  </si>
  <si>
    <t>W 128-61.7</t>
  </si>
  <si>
    <t>John David Crow (3-8)</t>
  </si>
  <si>
    <t>W 125-94.7</t>
  </si>
  <si>
    <t>Cutler's Year (7-4)</t>
  </si>
  <si>
    <t>L 78.9-101</t>
  </si>
  <si>
    <t>Moose Cock (6-5)</t>
  </si>
  <si>
    <t>L 73.4-79.2</t>
  </si>
  <si>
    <t>Goings South (5-6)</t>
  </si>
  <si>
    <t>W 93.6-82.9</t>
  </si>
  <si>
    <t>Hope U Get sypHILLIS (6-6)</t>
  </si>
  <si>
    <t>W 72.7-44.7</t>
  </si>
  <si>
    <t>Moose Cock (6-6)</t>
  </si>
  <si>
    <t>L 44.7-72.7</t>
  </si>
  <si>
    <t>Goings South (6-6)</t>
  </si>
  <si>
    <t>L 60.1-113.3</t>
  </si>
  <si>
    <t>Diesel Upheaval (6-6)</t>
  </si>
  <si>
    <t>W 107.1-74</t>
  </si>
  <si>
    <t>Bunch of Csonka (7-5)</t>
  </si>
  <si>
    <t>L 75.9-76.9</t>
  </si>
  <si>
    <t>Alstott's Ascot (7-5)</t>
  </si>
  <si>
    <t>W 107.9-104.1</t>
  </si>
  <si>
    <t>Mark van LickMyCornHole (4-8)</t>
  </si>
  <si>
    <t>L 104.1-107.9</t>
  </si>
  <si>
    <t>Gag On My Woodhead (7-5)</t>
  </si>
  <si>
    <t>W 76.9-75.9</t>
  </si>
  <si>
    <t>Sam McGuffie (6-6)</t>
  </si>
  <si>
    <t>L 74-107.1</t>
  </si>
  <si>
    <t>High On the Hoge (6-6)</t>
  </si>
  <si>
    <t>W 113.3-60.1</t>
  </si>
  <si>
    <t>John David Crow (3-9)</t>
  </si>
  <si>
    <t>L 82.9-93.6</t>
  </si>
  <si>
    <t>Cutler's Year (8-4)</t>
  </si>
  <si>
    <t>W 110.5-99.4</t>
  </si>
  <si>
    <t>Goings South (6-7)</t>
  </si>
  <si>
    <t>L 99.4-110.5</t>
  </si>
  <si>
    <t>Cutler's Year (9-4)</t>
  </si>
  <si>
    <t>L 128.3-138.4</t>
  </si>
  <si>
    <t>John David Crow (4-9)</t>
  </si>
  <si>
    <t>W 138.4-128.3</t>
  </si>
  <si>
    <t>Moose Cock (6-7)</t>
  </si>
  <si>
    <t>W 104.1-59.8</t>
  </si>
  <si>
    <t>Hope U Get sypHILLIS (6-7)</t>
  </si>
  <si>
    <t>W 113.7-67.7</t>
  </si>
  <si>
    <t>Diesel Upheaval (6-7)</t>
  </si>
  <si>
    <t>L 87.8-103.7</t>
  </si>
  <si>
    <t>Bunch of Csonka (8-5)</t>
  </si>
  <si>
    <t>NFL Week 14</t>
  </si>
  <si>
    <t>L 88.3-94.3</t>
  </si>
  <si>
    <t>Alstott's Ascot (8-5)</t>
  </si>
  <si>
    <t>W 94.3-88.3</t>
  </si>
  <si>
    <t>Mark van LickMyCornHole (4-9)</t>
  </si>
  <si>
    <t>W 103.7-87.8</t>
  </si>
  <si>
    <t>Gag On My Woodhead (7-6)</t>
  </si>
  <si>
    <t>L 67.7-113.7</t>
  </si>
  <si>
    <t>Sam McGuffie (7-6)</t>
  </si>
  <si>
    <t>L 59.8-104.1</t>
  </si>
  <si>
    <t>High On the Hoge (7-6)</t>
  </si>
  <si>
    <t>W 109.3-69.5</t>
  </si>
  <si>
    <t>Goings South (1-1)</t>
  </si>
  <si>
    <t>L 69.5-109.3</t>
  </si>
  <si>
    <t>Cutler's Year (2-0)</t>
  </si>
  <si>
    <t>W 100.6-98.6</t>
  </si>
  <si>
    <t>John David Crow (0-2)</t>
  </si>
  <si>
    <t>L 98.6-100.6</t>
  </si>
  <si>
    <t>Moose Cock (1-1)</t>
  </si>
  <si>
    <t>Playoff Round 1 (NFL Week 15)</t>
  </si>
  <si>
    <t>L 84.2-100.9</t>
  </si>
  <si>
    <t>Hope U Get sypHILLIS (1-1)</t>
  </si>
  <si>
    <t>VIEW/EDIT PLAYOFF BRACKET</t>
  </si>
  <si>
    <t>W 135.4-52.4</t>
  </si>
  <si>
    <t>Diesel Upheaval (1-1)</t>
  </si>
  <si>
    <t>W 86.3-81.7</t>
  </si>
  <si>
    <t>Bunch of Csonka (0-2)</t>
  </si>
  <si>
    <t>L 109.6-117.6</t>
  </si>
  <si>
    <t>Alstott's Ascot (1-1)</t>
  </si>
  <si>
    <t>W 117.6-109.6</t>
  </si>
  <si>
    <t>Mark van LickMyCornHole (1-1)</t>
  </si>
  <si>
    <t>L 81.7-86.3</t>
  </si>
  <si>
    <t>Gag On My Woodhead (1-1)</t>
  </si>
  <si>
    <t>L 52.4-135.4</t>
  </si>
  <si>
    <t>Sam McGuffie (2-0)</t>
  </si>
  <si>
    <t>W 100.9-84.2</t>
  </si>
  <si>
    <t>High On the Hoge (1-1)</t>
  </si>
  <si>
    <t>W 112-69.8</t>
  </si>
  <si>
    <t>High On the Hoge (1-2)</t>
  </si>
  <si>
    <t>L 88.6-108.7</t>
  </si>
  <si>
    <t>John David Crow (1-2)</t>
  </si>
  <si>
    <t>NAS DAK(103.48 Pts)</t>
  </si>
  <si>
    <t>W 65.2-62.9</t>
  </si>
  <si>
    <t>Sam McGuffie (2-1)</t>
  </si>
  <si>
    <t>Booz Allen(89.74 Pts)</t>
  </si>
  <si>
    <t>W 108.7-88.6</t>
  </si>
  <si>
    <t>Goings South (1-2)</t>
  </si>
  <si>
    <t>Playoff Round 2 (NFL Week 16)</t>
  </si>
  <si>
    <t>L 69.8-112</t>
  </si>
  <si>
    <t>Cutler's Year (3-0)</t>
  </si>
  <si>
    <t>L 62.9-65.2</t>
  </si>
  <si>
    <t>Moose Cock (2-1)</t>
  </si>
  <si>
    <t>W 127.3-76.6</t>
  </si>
  <si>
    <t>Hope U Get sypHILLIS (1-2)</t>
  </si>
  <si>
    <t>L 71.8-86.2</t>
  </si>
  <si>
    <t>Diesel Upheaval (2-1)</t>
  </si>
  <si>
    <t>W 102-86.9</t>
  </si>
  <si>
    <t>Bunch of Csonka (0-3)</t>
  </si>
  <si>
    <t>L 86.9-102</t>
  </si>
  <si>
    <t>Alstott's Ascot (2-1)</t>
  </si>
  <si>
    <t>W 86.2-71.8</t>
  </si>
  <si>
    <t>Mark van LickMyCornHole (1-2)</t>
  </si>
  <si>
    <t>L 76.6-127.3</t>
  </si>
  <si>
    <t>Gag On My Woodhead (2-1)</t>
  </si>
  <si>
    <t>L 65.5-123.3</t>
  </si>
  <si>
    <t>Gag On My Woodhead (3-1)</t>
  </si>
  <si>
    <t>W 130.4-112.9</t>
  </si>
  <si>
    <t>High On the Hoge (1-3)</t>
  </si>
  <si>
    <t>W 76-67.2</t>
  </si>
  <si>
    <t>Mark van LickMyCornHole (1-3)</t>
  </si>
  <si>
    <t>Playoff Round 3 (NFL Week 17)</t>
  </si>
  <si>
    <t>L 90.3-121.1</t>
  </si>
  <si>
    <t>Sam McGuffie (3-1)</t>
  </si>
  <si>
    <t>L 112.9-130.4</t>
  </si>
  <si>
    <t>Goings South (2-2)</t>
  </si>
  <si>
    <t>W 121.1-90.3</t>
  </si>
  <si>
    <t>John David Crow (1-3)</t>
  </si>
  <si>
    <t>W 123.3-65.5</t>
  </si>
  <si>
    <t>Cutler's Year (3-1)</t>
  </si>
  <si>
    <t>L 67.2-76</t>
  </si>
  <si>
    <t>Moose Cock (3-1)</t>
  </si>
  <si>
    <t>L 76-107.9</t>
  </si>
  <si>
    <t>Hope U Get sypHILLIS (2-2)</t>
  </si>
  <si>
    <t>W 118.3-115.8</t>
  </si>
  <si>
    <t>Diesel Upheaval (2-2)</t>
  </si>
  <si>
    <t>L 115.8-118.3</t>
  </si>
  <si>
    <t>Bunch of Csonka (1-3)</t>
  </si>
  <si>
    <t>W 107.9-76</t>
  </si>
  <si>
    <t>Alstott's Ascot (2-2)</t>
  </si>
  <si>
    <t>L 68.4-95.6</t>
  </si>
  <si>
    <t>Alstott's Ascot (3-2)</t>
  </si>
  <si>
    <t>L 90.9-104.7</t>
  </si>
  <si>
    <t>Sam McGuffie (4-1)</t>
  </si>
  <si>
    <t>L 92.8-95.3</t>
  </si>
  <si>
    <t>Bunch of Csonka (2-3)</t>
  </si>
  <si>
    <t>Hocken A Lung(1-1-0)</t>
  </si>
  <si>
    <t>Diggs and Cigs(1-1-0)</t>
  </si>
  <si>
    <t>W 106.6-80.9</t>
  </si>
  <si>
    <t>Mark van LickMyCornHole (1-4)</t>
  </si>
  <si>
    <t>Christian McCoughrey(2-0-0)</t>
  </si>
  <si>
    <t>L 91.9-92.3</t>
  </si>
  <si>
    <t>Gag On My Woodhead (4-1)</t>
  </si>
  <si>
    <t>Joshua Tree(0-2-0)</t>
  </si>
  <si>
    <t>Mike throat is Gesicki(1-1-0)</t>
  </si>
  <si>
    <t>W 104.7-90.9</t>
  </si>
  <si>
    <t>Goings South (2-3)</t>
  </si>
  <si>
    <t>Cam-el Lights(0-2-0)</t>
  </si>
  <si>
    <t>W 92.3-91.9</t>
  </si>
  <si>
    <t>High On the Hoge (1-4)</t>
  </si>
  <si>
    <t>Mecole 45 and Two Zig Zags(1-1-0)</t>
  </si>
  <si>
    <t>L 80.9-106.6</t>
  </si>
  <si>
    <t>John David Crow (2-3)</t>
  </si>
  <si>
    <t>Lung Hurts(1-1-0)</t>
  </si>
  <si>
    <t>Swisher Swifts(2-0-0)</t>
  </si>
  <si>
    <t>W 95.6-68.4</t>
  </si>
  <si>
    <t>Cutler's Year (3-2)</t>
  </si>
  <si>
    <t>JuulJuul Smith-Schuster(1-1-0)</t>
  </si>
  <si>
    <t>Lamarlboro Lights(1-1-0)</t>
  </si>
  <si>
    <t>W 95.3-92.8</t>
  </si>
  <si>
    <t>Moose Cock (3-2)</t>
  </si>
  <si>
    <t>LETS GO BRANDON(1-1-0)</t>
  </si>
  <si>
    <t>L 60-86.2</t>
  </si>
  <si>
    <t>Hope U Get sypHILLIS (3-2)</t>
  </si>
  <si>
    <t>W 86.2-60</t>
  </si>
  <si>
    <t>Diesel Upheaval (2-3)</t>
  </si>
  <si>
    <t>L 77.3-78.8</t>
  </si>
  <si>
    <t>Diesel Upheaval (3-3)</t>
  </si>
  <si>
    <t>Christian McCoughrey(10-4-0)</t>
  </si>
  <si>
    <t>W 121.3-84</t>
  </si>
  <si>
    <t>Gag On My Woodhead (4-2)</t>
  </si>
  <si>
    <t>Hocken A Lung(8-6-0)</t>
  </si>
  <si>
    <t>L 63.4-94.4</t>
  </si>
  <si>
    <t>Hope U Get sypHILLIS (4-2)</t>
  </si>
  <si>
    <t>Diggs and Cigs(5-9-0)</t>
  </si>
  <si>
    <t>Mike throat is Gesicki(7-7-0)</t>
  </si>
  <si>
    <t>L 64.2-69.8</t>
  </si>
  <si>
    <t>Bunch of Csonka (3-3)</t>
  </si>
  <si>
    <t>Joshua Tree(8-6-0)</t>
  </si>
  <si>
    <t>Alstott's Ascot (3-3)</t>
  </si>
  <si>
    <t>Mecole 45 and Two Zig Zags(7-7-0)</t>
  </si>
  <si>
    <t>Cam-el Lights(3-11-0)</t>
  </si>
  <si>
    <t>L 80.7-97</t>
  </si>
  <si>
    <t>Mark van LickMyCornHole (2-4)</t>
  </si>
  <si>
    <t>Swisher Swifts(10-4-0)</t>
  </si>
  <si>
    <t>Lung Hurts(10-4-0)</t>
  </si>
  <si>
    <t>L 84-121.3</t>
  </si>
  <si>
    <t>Goings South (3-3)</t>
  </si>
  <si>
    <t>Lamarlboro Lights(3-11-0)</t>
  </si>
  <si>
    <t>JuulJuul Smith-Schuster(4-10-0)</t>
  </si>
  <si>
    <t>LETS GO BRANDON(9-5-0)</t>
  </si>
  <si>
    <t>W 97-80.7</t>
  </si>
  <si>
    <t>Sam McGuffie (4-2)</t>
  </si>
  <si>
    <t>High On the Hoge (2-4)</t>
  </si>
  <si>
    <t>W 69.8-64.2</t>
  </si>
  <si>
    <t>John David Crow (2-4)</t>
  </si>
  <si>
    <t>W 78.8-77.3</t>
  </si>
  <si>
    <t>W 94.4-63.4</t>
  </si>
  <si>
    <t>Moose Cock (3-3)</t>
  </si>
  <si>
    <t>W 90.8-90.4</t>
  </si>
  <si>
    <t>Moose Cock (3-4)</t>
  </si>
  <si>
    <t>L 59.5-74.2</t>
  </si>
  <si>
    <t>Mark van LickMyCornHole (3-4)</t>
  </si>
  <si>
    <t>L 90.4-90.8</t>
  </si>
  <si>
    <t>Cutler's Year (4-3)</t>
  </si>
  <si>
    <t>W 87.1-77.1</t>
  </si>
  <si>
    <t>Hope U Get sypHILLIS (4-3)</t>
  </si>
  <si>
    <t>W 117-81.3</t>
  </si>
  <si>
    <t>Diesel Upheaval (3-4)</t>
  </si>
  <si>
    <t>L 84.9-128.4</t>
  </si>
  <si>
    <t>Bunch of Csonka (4-3)</t>
  </si>
  <si>
    <t>L 73.9-93.7</t>
  </si>
  <si>
    <t>Alstott's Ascot (4-3)</t>
  </si>
  <si>
    <t>W 74.2-59.5</t>
  </si>
  <si>
    <t>Goings South (3-4)</t>
  </si>
  <si>
    <t>W 93.7-73.9</t>
  </si>
  <si>
    <t>Gag On My Woodhead (4-3)</t>
  </si>
  <si>
    <t>W 128.4-84.9</t>
  </si>
  <si>
    <t>Sam McGuffie (4-3)</t>
  </si>
  <si>
    <t>L 81.3-117</t>
  </si>
  <si>
    <t>High On the Hoge (3-4)</t>
  </si>
  <si>
    <t>L 77.1-87.1</t>
  </si>
  <si>
    <t>John David Crow (3-4)</t>
  </si>
  <si>
    <t>W 99.6-95.2</t>
  </si>
  <si>
    <t>John David Crow (3-5)</t>
  </si>
  <si>
    <t>L 75-94.1</t>
  </si>
  <si>
    <t>Alstott's Ascot (5-3)</t>
  </si>
  <si>
    <t>L 71.3-101.8</t>
  </si>
  <si>
    <t>High On the Hoge (4-4)</t>
  </si>
  <si>
    <t>L 95.2-99.6</t>
  </si>
  <si>
    <t>Cutler's Year (5-3)</t>
  </si>
  <si>
    <t>W 101.8-71.3</t>
  </si>
  <si>
    <t>Moose Cock (3-5)</t>
  </si>
  <si>
    <t>L 87.6-100.6</t>
  </si>
  <si>
    <t>Hope U Get sypHILLIS (5-3)</t>
  </si>
  <si>
    <t>W 93.7-90.2</t>
  </si>
  <si>
    <t>Diesel Upheaval (3-5)</t>
  </si>
  <si>
    <t>L 48.7-110.6</t>
  </si>
  <si>
    <t>Bunch of Csonka (5-3)</t>
  </si>
  <si>
    <t>W 94.1-75</t>
  </si>
  <si>
    <t>Goings South (3-5)</t>
  </si>
  <si>
    <t>W 110.6-48.7</t>
  </si>
  <si>
    <t>Mark van LickMyCornHole (3-5)</t>
  </si>
  <si>
    <t>L 90.2-93.7</t>
  </si>
  <si>
    <t>Gag On My Woodhead (5-3)</t>
  </si>
  <si>
    <t>W 100.6-87.6</t>
  </si>
  <si>
    <t>Sam McGuffie (4-4)</t>
  </si>
  <si>
    <t>W 97.7-66.9</t>
  </si>
  <si>
    <t>Sam McGuffie (4-5)</t>
  </si>
  <si>
    <t>W 115.3-88.5</t>
  </si>
  <si>
    <t>Bunch of Csonka (5-4)</t>
  </si>
  <si>
    <t>W 163.4-106.9</t>
  </si>
  <si>
    <t>Gag On My Woodhead (5-4)</t>
  </si>
  <si>
    <t>L 66.4-117.1</t>
  </si>
  <si>
    <t>High On the Hoge (5-4)</t>
  </si>
  <si>
    <t>W 117.1-66.4</t>
  </si>
  <si>
    <t>John David Crow (3-6)</t>
  </si>
  <si>
    <t>L 66.9-97.7</t>
  </si>
  <si>
    <t>Cutler's Year (6-3)</t>
  </si>
  <si>
    <t>L 106.9-163.4</t>
  </si>
  <si>
    <t>Moose Cock (4-5)</t>
  </si>
  <si>
    <t>L 103.1-111.1</t>
  </si>
  <si>
    <t>Hope U Get sypHILLIS (6-3)</t>
  </si>
  <si>
    <t>L 59.5-80.9</t>
  </si>
  <si>
    <t>Diesel Upheaval (4-5)</t>
  </si>
  <si>
    <t>L 88.5-115.3</t>
  </si>
  <si>
    <t>Goings South (4-5)</t>
  </si>
  <si>
    <t>W 80.9-59.5</t>
  </si>
  <si>
    <t>Alstott's Ascot (5-4)</t>
  </si>
  <si>
    <t>W 111.1-103.1</t>
  </si>
  <si>
    <t>Mark van LickMyCornHole (3-6)</t>
  </si>
  <si>
    <t>102.5 pts</t>
  </si>
  <si>
    <t>L 71.8-79.2</t>
  </si>
  <si>
    <t>Justin Tucker Must Die (6-8)</t>
  </si>
  <si>
    <t>L 89.6-138</t>
  </si>
  <si>
    <t>My Girl Chloe Trestman (9-5)</t>
  </si>
  <si>
    <t>L 109.6-112.6</t>
  </si>
  <si>
    <t>For-Te Pay (10-4)</t>
  </si>
  <si>
    <t>109.7 pts</t>
  </si>
  <si>
    <t>W 79.2-71.8</t>
  </si>
  <si>
    <t>Weekend at Hill's (6-8)</t>
  </si>
  <si>
    <t>L 79.7-90.8</t>
  </si>
  <si>
    <t>Quit Playing Games W Gerhart (3-11)</t>
  </si>
  <si>
    <t>W 138-89.6</t>
  </si>
  <si>
    <t>Dez-tiny's Child (8-6)</t>
  </si>
  <si>
    <t>W 114.2-110.9</t>
  </si>
  <si>
    <t>Pryor Convictions (4-10)</t>
  </si>
  <si>
    <t>W 112.6-109.6</t>
  </si>
  <si>
    <t>Tom and The High Fives (7-7)</t>
  </si>
  <si>
    <t>L 110.9-114.2</t>
  </si>
  <si>
    <t>j.c. livin (5-9)</t>
  </si>
  <si>
    <t>W 90.8-79.7</t>
  </si>
  <si>
    <t>Pizza Party! (4-10)</t>
  </si>
  <si>
    <t>L 79.6-100.6</t>
  </si>
  <si>
    <t>My Girl Chloe Trestman (10-5)</t>
  </si>
  <si>
    <t>W 128.2-66.3</t>
  </si>
  <si>
    <t>Quit Playing Games W Gerhart (3-12)</t>
  </si>
  <si>
    <t>W 117.7-74.2</t>
  </si>
  <si>
    <t>Tom and The High Fives (7-8)</t>
  </si>
  <si>
    <t>L 74.2-117.7</t>
  </si>
  <si>
    <t>Dez-tiny's Child (9-6)</t>
  </si>
  <si>
    <t>W 91.4-67.3</t>
  </si>
  <si>
    <t>For-Te Pay (10-5)</t>
  </si>
  <si>
    <t>W 59.1-56.5</t>
  </si>
  <si>
    <t>j.c. livin (5-10)</t>
  </si>
  <si>
    <t>L 56.7-98.2</t>
  </si>
  <si>
    <t>Pryor Convictions (5-10)</t>
  </si>
  <si>
    <t>W 100.6-79.6</t>
  </si>
  <si>
    <t>Cutler's Year (11-3)</t>
  </si>
  <si>
    <t>L 56.5-59.1</t>
  </si>
  <si>
    <t>Justin Tucker Must Die (7-8)</t>
  </si>
  <si>
    <t>L 67.3-91.4</t>
  </si>
  <si>
    <t>Praters Gonna Prate (11-3)</t>
  </si>
  <si>
    <t>W 98.2-56.7</t>
  </si>
  <si>
    <t>Pizza Party! (4-11)</t>
  </si>
  <si>
    <t>L 66.3-128.2</t>
  </si>
  <si>
    <t>Weekend at Hill's (7-8)</t>
  </si>
  <si>
    <t>L 81.4-102.1</t>
  </si>
  <si>
    <t>For-Te Pay (11-5)</t>
  </si>
  <si>
    <t>W 84.8-62.8</t>
  </si>
  <si>
    <t>Justin Tucker Must Die (7-9)</t>
  </si>
  <si>
    <t>W 77.7-58.9</t>
  </si>
  <si>
    <t>Tom and The High Fives (7-9)</t>
  </si>
  <si>
    <t>L 58.9-77.7</t>
  </si>
  <si>
    <t>Dez-tiny's Child (10-6)</t>
  </si>
  <si>
    <t>W 127.7-80.6</t>
  </si>
  <si>
    <t>My Girl Chloe Trestman (10-6)</t>
  </si>
  <si>
    <t>L 62.8-84.8</t>
  </si>
  <si>
    <t>Weekend at Hill's (8-8)</t>
  </si>
  <si>
    <t>L 86.8-96.4</t>
  </si>
  <si>
    <t>Quit Playing Games W Gerhart (4-12)</t>
  </si>
  <si>
    <t>L 80.6-127.7</t>
  </si>
  <si>
    <t>Praters Gonna Prate (12-3)</t>
  </si>
  <si>
    <t>L 61.6-63.7</t>
  </si>
  <si>
    <t>Pryor Convictions (6-10)</t>
  </si>
  <si>
    <t>W 102.1-81.4</t>
  </si>
  <si>
    <t>Cutler's Year (11-4)</t>
  </si>
  <si>
    <t>W 63.7-61.6</t>
  </si>
  <si>
    <t>j.c. livin (5-11)</t>
  </si>
  <si>
    <t>W 96.4-86.8</t>
  </si>
  <si>
    <t>Pizza Party! (4-12)</t>
  </si>
  <si>
    <t>W 109.7-107.5</t>
  </si>
  <si>
    <t>Weekend at Hill's (0-1)</t>
  </si>
  <si>
    <t>L 107.5-109.7</t>
  </si>
  <si>
    <t>W 94.7-87.3</t>
  </si>
  <si>
    <t>Tom and The High Fives (0-1)</t>
  </si>
  <si>
    <t>L 87.3-94.7</t>
  </si>
  <si>
    <t>Dez-tiny's Child (1-0)</t>
  </si>
  <si>
    <t>W 110.3-51</t>
  </si>
  <si>
    <t>Pizza Party! (0-1)</t>
  </si>
  <si>
    <t>L 69.7-83.5</t>
  </si>
  <si>
    <t>j.c. livin (1-0)</t>
  </si>
  <si>
    <t>L 51-110.3</t>
  </si>
  <si>
    <t>Praters Gonna Prate (1-0)</t>
  </si>
  <si>
    <t>W 93.5-79.9</t>
  </si>
  <si>
    <t>Quit Playing Games W Gerhart (0-1)</t>
  </si>
  <si>
    <t>W 83.5-69.7</t>
  </si>
  <si>
    <t>Justin Tucker Must Die (0-1)</t>
  </si>
  <si>
    <t>W 116.4-107.6</t>
  </si>
  <si>
    <t>Pryor Convictions (0-1)</t>
  </si>
  <si>
    <t>L 107.6-116.4</t>
  </si>
  <si>
    <t>For-Te Pay (1-0)</t>
  </si>
  <si>
    <t>L 79.9-93.5</t>
  </si>
  <si>
    <t>My Girl Chloe Trestman (1-0)</t>
  </si>
  <si>
    <t>W 113.6-91.9</t>
  </si>
  <si>
    <t>j.c. livin (3-7)</t>
  </si>
  <si>
    <t>L 82.2-83.1</t>
  </si>
  <si>
    <t>Tom and The High Fives (5-5)</t>
  </si>
  <si>
    <t>W 142.8-84.9</t>
  </si>
  <si>
    <t>Pizza Party! (3-7)</t>
  </si>
  <si>
    <t>W 83.1-82.2</t>
  </si>
  <si>
    <t>Weekend at Hill's (6-4)</t>
  </si>
  <si>
    <t>W 150.9-73.1</t>
  </si>
  <si>
    <t>Pryor Convictions (2-8)</t>
  </si>
  <si>
    <t>L 77.2-115.9</t>
  </si>
  <si>
    <t>My Girl Chloe Trestman (6-4)</t>
  </si>
  <si>
    <t>L 84.9-142.8</t>
  </si>
  <si>
    <t>Dez-tiny's Child (6-4)</t>
  </si>
  <si>
    <t>W 115.9-77.2</t>
  </si>
  <si>
    <t>Justin Tucker Must Die (5-5)</t>
  </si>
  <si>
    <t>L 91.9-113.6</t>
  </si>
  <si>
    <t>Cutler's Year (8-2)</t>
  </si>
  <si>
    <t>W 95.5-75.5</t>
  </si>
  <si>
    <t>Quit Playing Games W Gerhart (1-9)</t>
  </si>
  <si>
    <t>L 73.1-150.9</t>
  </si>
  <si>
    <t>Praters Gonna Prate (8-2)</t>
  </si>
  <si>
    <t>L 75.5-95.5</t>
  </si>
  <si>
    <t>For-Te Pay (7-3)</t>
  </si>
  <si>
    <t>W 119.3-75.2</t>
  </si>
  <si>
    <t>Praters Gonna Prate (8-3)</t>
  </si>
  <si>
    <t>L 81.5-82.3</t>
  </si>
  <si>
    <t>Dez-tiny's Child (7-4)</t>
  </si>
  <si>
    <t>W 82.3-81.5</t>
  </si>
  <si>
    <t>Weekend at Hill's (6-5)</t>
  </si>
  <si>
    <t>W 81.8-73.3</t>
  </si>
  <si>
    <t>Pryor Convictions (2-9)</t>
  </si>
  <si>
    <t>L 75.2-119.3</t>
  </si>
  <si>
    <t>Cutler's Year (9-2)</t>
  </si>
  <si>
    <t>L 69-114.1</t>
  </si>
  <si>
    <t>Quit Playing Games W Gerhart (2-9)</t>
  </si>
  <si>
    <t>L 63-89.5</t>
  </si>
  <si>
    <t>j.c. livin (4-7)</t>
  </si>
  <si>
    <t>L 83.7-107</t>
  </si>
  <si>
    <t>For-Te Pay (8-3)</t>
  </si>
  <si>
    <t>W 89.5-63</t>
  </si>
  <si>
    <t>Pizza Party! (3-8)</t>
  </si>
  <si>
    <t>W 107-83.7</t>
  </si>
  <si>
    <t>My Girl Chloe Trestman (6-5)</t>
  </si>
  <si>
    <t>L 73.3-81.8</t>
  </si>
  <si>
    <t>Tom and The High Fives (6-5)</t>
  </si>
  <si>
    <t>W 114.1-69</t>
  </si>
  <si>
    <t>Justin Tucker Must Die (5-6)</t>
  </si>
  <si>
    <t>W 120-99.7</t>
  </si>
  <si>
    <t>Pizza Party! (3-9)</t>
  </si>
  <si>
    <t>L 109.7-126.6</t>
  </si>
  <si>
    <t>Praters Gonna Prate (9-3)</t>
  </si>
  <si>
    <t>W 98.5-93.8</t>
  </si>
  <si>
    <t>Quit Playing Games W Gerhart (2-10)</t>
  </si>
  <si>
    <t>L 84.2-94.1</t>
  </si>
  <si>
    <t>My Girl Chloe Trestman (7-5)</t>
  </si>
  <si>
    <t>W 126.6-109.7</t>
  </si>
  <si>
    <t>Weekend at Hill's (6-6)</t>
  </si>
  <si>
    <t>Wings and Three Rings(3-3-0)</t>
  </si>
  <si>
    <t>L 78.2-91.2</t>
  </si>
  <si>
    <t>Pryor Convictions (3-9)</t>
  </si>
  <si>
    <t>Library Chicks-Fil-A(3-3-0)</t>
  </si>
  <si>
    <t>L 99.7-120</t>
  </si>
  <si>
    <t>Cutler's Year (10-2)</t>
  </si>
  <si>
    <t>Philly Cheesteakaways(4-2-0)</t>
  </si>
  <si>
    <t>W 94.1-84.2</t>
  </si>
  <si>
    <t>Tom and The High Fives (6-6)</t>
  </si>
  <si>
    <t>Chasing(2-4-0)</t>
  </si>
  <si>
    <t>L 78.2-94.3</t>
  </si>
  <si>
    <t>For-Te Pay (9-3)</t>
  </si>
  <si>
    <t>Pizzay Express(4-2-0)</t>
  </si>
  <si>
    <t>W 94.3-78.2</t>
  </si>
  <si>
    <t>Brainard's Chubb(2-4-0)</t>
  </si>
  <si>
    <t>j.c. livin (4-8)</t>
  </si>
  <si>
    <t>W 91.2-78.2</t>
  </si>
  <si>
    <t>Justin Tucker Must Die (5-7)</t>
  </si>
  <si>
    <t>Soggy Fruit Pu kas(5-1-0)</t>
  </si>
  <si>
    <t>Charley Diggs(4-2-0)</t>
  </si>
  <si>
    <t>L 93.8-98.5</t>
  </si>
  <si>
    <t>Dez-tiny's Child (8-4)</t>
  </si>
  <si>
    <t>Warm Caesars(4-2-0)</t>
  </si>
  <si>
    <t>Martha's Cream PIs(0-6-0)</t>
  </si>
  <si>
    <t>W 122.6-78.6</t>
  </si>
  <si>
    <t>Quit Playing Games W Gerhart (2-11)</t>
  </si>
  <si>
    <t>The Breakfast Buddies(3-3-0)</t>
  </si>
  <si>
    <t>L 97.2-104.5</t>
  </si>
  <si>
    <t>Pizza Party! (4-9)</t>
  </si>
  <si>
    <t>Darius Slay Jays(2-4-0)</t>
  </si>
  <si>
    <t>L 92.3-95.2</t>
  </si>
  <si>
    <t>Pryor Convictions (4-9)</t>
  </si>
  <si>
    <t>W 117.6-104.9</t>
  </si>
  <si>
    <t>For-Te Pay (9-4)</t>
  </si>
  <si>
    <t>Philly Cheesteakaways(7-7-0)</t>
  </si>
  <si>
    <t>W 135.7-76.3</t>
  </si>
  <si>
    <t>Justin Tucker Must Die (5-8)</t>
  </si>
  <si>
    <t>Wings and Three Rings(6-8-0)</t>
  </si>
  <si>
    <t>L 76.3-135.7</t>
  </si>
  <si>
    <t>Praters Gonna Prate (10-3)</t>
  </si>
  <si>
    <t>Library Chicks-Fil-A(9-5-0)</t>
  </si>
  <si>
    <t>W 104.5-97.2</t>
  </si>
  <si>
    <t>Weekend at Hill's (6-7)</t>
  </si>
  <si>
    <t>Pizzay Express(5-9-0)</t>
  </si>
  <si>
    <t>Chasing(9-5-0)</t>
  </si>
  <si>
    <t>W 137.8-74.1</t>
  </si>
  <si>
    <t>j.c. livin (4-9)</t>
  </si>
  <si>
    <t>Soggy Fruit Pu kas(12-2-0)</t>
  </si>
  <si>
    <t>L 74.1-137.8</t>
  </si>
  <si>
    <t>My Girl Chloe Trestman (8-5)</t>
  </si>
  <si>
    <t>Brainard's Chubb(4-10-0)</t>
  </si>
  <si>
    <t>L 104.9-117.6</t>
  </si>
  <si>
    <t>Tom and The High Fives (7-6)</t>
  </si>
  <si>
    <t>Warm Caesars(6-8-0)</t>
  </si>
  <si>
    <t>W 95.2-92.3</t>
  </si>
  <si>
    <t>Dez-tiny's Child (8-5)</t>
  </si>
  <si>
    <t>Charley Diggs(8-6-0)</t>
  </si>
  <si>
    <t>L 78.6-122.6</t>
  </si>
  <si>
    <t>Cutler's Year (11-2)</t>
  </si>
  <si>
    <t>The Breakfast Buddies(7-7-0)</t>
  </si>
  <si>
    <t>W 91.8-86.9</t>
  </si>
  <si>
    <t>For-Te Pay (1-1)</t>
  </si>
  <si>
    <t>Martha's Cream PIs(6-8-0)</t>
  </si>
  <si>
    <t>Darius Slay Jays(5-9-0)</t>
  </si>
  <si>
    <t>W 85.2-45.9</t>
  </si>
  <si>
    <t>Pryor Convictions (0-2)</t>
  </si>
  <si>
    <t>L 105.9-116.7</t>
  </si>
  <si>
    <t>Justin Tucker Must Die (1-1)</t>
  </si>
  <si>
    <t>W 114.4-60.3</t>
  </si>
  <si>
    <t>j.c. livin (1-1)</t>
  </si>
  <si>
    <t>W 111.6-72.4</t>
  </si>
  <si>
    <t>Quit Playing Games W Gerhart (0-2)</t>
  </si>
  <si>
    <t>W 116.7-105.9</t>
  </si>
  <si>
    <t>Dez-tiny's Child (1-1)</t>
  </si>
  <si>
    <t>L 79.5-94.3</t>
  </si>
  <si>
    <t>My Girl Chloe Trestman (2-0)</t>
  </si>
  <si>
    <t>W 94.3-79.5</t>
  </si>
  <si>
    <t>Pizza Party! (0-2)</t>
  </si>
  <si>
    <t>L 60.3-114.4</t>
  </si>
  <si>
    <t>Tom and The High Fives (1-1)</t>
  </si>
  <si>
    <t>L 86.9-91.8</t>
  </si>
  <si>
    <t>L 45.9-85.2</t>
  </si>
  <si>
    <t>Weekend at Hill's (1-1)</t>
  </si>
  <si>
    <t>L 72.4-111.6</t>
  </si>
  <si>
    <t>Praters Gonna Prate (2-0)</t>
  </si>
  <si>
    <t>Charley Diggs(2-1-0)</t>
  </si>
  <si>
    <t>W 93.6-82.1</t>
  </si>
  <si>
    <t>Pryor Convictions (0-3)</t>
  </si>
  <si>
    <t>W 93.9-92.9</t>
  </si>
  <si>
    <t>For-Te Pay (1-2)</t>
  </si>
  <si>
    <t>W 108.8-81.3</t>
  </si>
  <si>
    <t>j.c. livin (1-2)</t>
  </si>
  <si>
    <t>W 88.5-58</t>
  </si>
  <si>
    <t>Justin Tucker Must Die (1-2)</t>
  </si>
  <si>
    <t>W 95.6-69.6</t>
  </si>
  <si>
    <t>My Girl Chloe Trestman (2-1)</t>
  </si>
  <si>
    <t>L 58-88.5</t>
  </si>
  <si>
    <t>Tom and The High Fives (2-1)</t>
  </si>
  <si>
    <t>L 87.1-118.7</t>
  </si>
  <si>
    <t>Quit Playing Games W Gerhart (1-2)</t>
  </si>
  <si>
    <t>L 69.6-95.6</t>
  </si>
  <si>
    <t>Praters Gonna Prate (3-0)</t>
  </si>
  <si>
    <t>L 81.3-108.8</t>
  </si>
  <si>
    <t>Dez-tiny's Child (2-1)</t>
  </si>
  <si>
    <t>Martha's Cream PIs(0-3-0)</t>
  </si>
  <si>
    <t>L 92.9-93.9</t>
  </si>
  <si>
    <t>Weekend at Hill's (2-1)</t>
  </si>
  <si>
    <t>L 82.1-93.6</t>
  </si>
  <si>
    <t>W 118.7-87.1</t>
  </si>
  <si>
    <t>Pizza Party! (0-3)</t>
  </si>
  <si>
    <t>L 96-132.7</t>
  </si>
  <si>
    <t>Pizza Party! (1-3)</t>
  </si>
  <si>
    <t>L 72.5-97</t>
  </si>
  <si>
    <t>Praters Gonna Prate (4-0)</t>
  </si>
  <si>
    <t>W 101.8-61.1</t>
  </si>
  <si>
    <t>Quit Playing Games W Gerhart (1-3)</t>
  </si>
  <si>
    <t>L 103-107.7</t>
  </si>
  <si>
    <t>My Girl Chloe Trestman (3-1)</t>
  </si>
  <si>
    <t>W 97-72.5</t>
  </si>
  <si>
    <t>Weekend at Hill's (2-2)</t>
  </si>
  <si>
    <t>W 100-87.7</t>
  </si>
  <si>
    <t>Pryor Convictions (0-4)</t>
  </si>
  <si>
    <t>W 132.7-96</t>
  </si>
  <si>
    <t>W 107.7-103</t>
  </si>
  <si>
    <t>Tom and The High Fives (2-2)</t>
  </si>
  <si>
    <t>Philly Cheesteakaways(1-2-0)</t>
  </si>
  <si>
    <t>W 125.6-77.1</t>
  </si>
  <si>
    <t>For-Te Pay (1-3)</t>
  </si>
  <si>
    <t>L 77.1-125.6</t>
  </si>
  <si>
    <t>j.c. livin (2-2)</t>
  </si>
  <si>
    <t>L 87.7-100</t>
  </si>
  <si>
    <t>Justin Tucker Must Die (2-2)</t>
  </si>
  <si>
    <t>L 61.1-101.8</t>
  </si>
  <si>
    <t>Dez-tiny's Child (3-1)</t>
  </si>
  <si>
    <t>W 83.1-60.2</t>
  </si>
  <si>
    <t>Quit Playing Games W Gerhart (1-4)</t>
  </si>
  <si>
    <t>W 115.9-64.2</t>
  </si>
  <si>
    <t>Pizza Party! (1-4)</t>
  </si>
  <si>
    <t>W 97.4-87.6</t>
  </si>
  <si>
    <t>Pryor Convictions (0-5)</t>
  </si>
  <si>
    <t>L 113.3-128.5</t>
  </si>
  <si>
    <t>For-Te Pay (2-3)</t>
  </si>
  <si>
    <t>W 93.3-82.9</t>
  </si>
  <si>
    <t>Justin Tucker Must Die (2-3)</t>
  </si>
  <si>
    <t>L 82.9-93.3</t>
  </si>
  <si>
    <t>Praters Gonna Prate (5-0)</t>
  </si>
  <si>
    <t>L 64.2-115.9</t>
  </si>
  <si>
    <t>Weekend at Hill's (3-2)</t>
  </si>
  <si>
    <t>W 135.8-74.6</t>
  </si>
  <si>
    <t>j.c. livin (2-3)</t>
  </si>
  <si>
    <t>L 74.6-135.8</t>
  </si>
  <si>
    <t>My Girl Chloe Trestman (4-1)</t>
  </si>
  <si>
    <t>W 128.5-113.3</t>
  </si>
  <si>
    <t>Tom and The High Fives (2-3)</t>
  </si>
  <si>
    <t>0-5</t>
  </si>
  <si>
    <t>L 87.6-97.4</t>
  </si>
  <si>
    <t>Dez-tiny's Child (4-1)</t>
  </si>
  <si>
    <t>L 60.2-83.1</t>
  </si>
  <si>
    <t>Cutler's Year (4-1)</t>
  </si>
  <si>
    <t>L 93.6-136.7</t>
  </si>
  <si>
    <t>Justin Tucker Must Die (3-3)</t>
  </si>
  <si>
    <t>W 130-68</t>
  </si>
  <si>
    <t>j.c. livin (2-4)</t>
  </si>
  <si>
    <t>L 98.8-112.7</t>
  </si>
  <si>
    <t>Praters Gonna Prate (6-0)</t>
  </si>
  <si>
    <t>W 79.5-71.6</t>
  </si>
  <si>
    <t>Quit Playing Games W Gerhart (1-5)</t>
  </si>
  <si>
    <t>W 112.7-98.8</t>
  </si>
  <si>
    <t>Dez-tiny's Child (4-2)</t>
  </si>
  <si>
    <t>W 136.7-93.6</t>
  </si>
  <si>
    <t>Cutler's Year (4-2)</t>
  </si>
  <si>
    <t>The Breakfast Buddies(3-0-0)</t>
  </si>
  <si>
    <t>L 63.3-85.4</t>
  </si>
  <si>
    <t>For-Te Pay (3-3)</t>
  </si>
  <si>
    <t>W 124.3-101.6</t>
  </si>
  <si>
    <t>Pryor Convictions (0-6)</t>
  </si>
  <si>
    <t>L 68-130</t>
  </si>
  <si>
    <t>Weekend at Hill's (4-2)</t>
  </si>
  <si>
    <t>W 85.4-63.3</t>
  </si>
  <si>
    <t>Pizza Party! (1-5)</t>
  </si>
  <si>
    <t>0-6</t>
  </si>
  <si>
    <t>L 101.6-124.3</t>
  </si>
  <si>
    <t>My Girl Chloe Trestman (5-1)</t>
  </si>
  <si>
    <t>L 71.6-79.5</t>
  </si>
  <si>
    <t>Tom and The High Fives (3-3)</t>
  </si>
  <si>
    <t>W 111.3-104</t>
  </si>
  <si>
    <t>Tom and The High Fives (3-4)</t>
  </si>
  <si>
    <t>L 70.3-102.5</t>
  </si>
  <si>
    <t>Justin Tucker Must Die (4-3)</t>
  </si>
  <si>
    <t>W 108.6-96.9</t>
  </si>
  <si>
    <t>My Girl Chloe Trestman (5-2)</t>
  </si>
  <si>
    <t>Wings and Three Rings(1-2-0)</t>
  </si>
  <si>
    <t>L 104-111.3</t>
  </si>
  <si>
    <t>Cutler's Year (5-2)</t>
  </si>
  <si>
    <t>L 73.1-105.2</t>
  </si>
  <si>
    <t>For-Te Pay (4-3)</t>
  </si>
  <si>
    <t>W 102.5-70.3</t>
  </si>
  <si>
    <t>Weekend at Hill's (4-3)</t>
  </si>
  <si>
    <t>W 82.9-50.5</t>
  </si>
  <si>
    <t>Pryor Convictions (0-7)</t>
  </si>
  <si>
    <t>L 96.9-108.6</t>
  </si>
  <si>
    <t>Dez-tiny's Child (5-2)</t>
  </si>
  <si>
    <t>W 83.7-66.4</t>
  </si>
  <si>
    <t>Quit Playing Games W Gerhart (1-6)</t>
  </si>
  <si>
    <t>W 105.2-73.1</t>
  </si>
  <si>
    <t>Praters Gonna Prate (6-1)</t>
  </si>
  <si>
    <t>0-7</t>
  </si>
  <si>
    <t>L 50.5-82.9</t>
  </si>
  <si>
    <t>Pizza Party! (2-5)</t>
  </si>
  <si>
    <t>L 66.4-83.7</t>
  </si>
  <si>
    <t>j.c. livin (3-4)</t>
  </si>
  <si>
    <t>W 121-115.9</t>
  </si>
  <si>
    <t>My Girl Chloe Trestman (5-3)</t>
  </si>
  <si>
    <t>W 104.9-80.7</t>
  </si>
  <si>
    <t>Quit Playing Games W Gerhart (1-7)</t>
  </si>
  <si>
    <t>L 114.3-186.4</t>
  </si>
  <si>
    <t>For-Te Pay (5-3)</t>
  </si>
  <si>
    <t>W 117.6-113.5</t>
  </si>
  <si>
    <t>Praters Gonna Prate (6-2)</t>
  </si>
  <si>
    <t>L 113.5-117.6</t>
  </si>
  <si>
    <t>Tom and The High Fives (4-4)</t>
  </si>
  <si>
    <t>W 103.1-56.6</t>
  </si>
  <si>
    <t>Pizza Party! (2-6)</t>
  </si>
  <si>
    <t>L 56.6-103.1</t>
  </si>
  <si>
    <t>Justin Tucker Must Die (5-3)</t>
  </si>
  <si>
    <t>L 115.9-121</t>
  </si>
  <si>
    <t>Cutler's Year (6-2)</t>
  </si>
  <si>
    <t>L 83.7-96.1</t>
  </si>
  <si>
    <t>Pryor Convictions (1-7)</t>
  </si>
  <si>
    <t>W 186.4-114.3</t>
  </si>
  <si>
    <t>Dez-tiny's Child (5-3)</t>
  </si>
  <si>
    <t>W 96.1-83.7</t>
  </si>
  <si>
    <t>j.c. livin (3-5)</t>
  </si>
  <si>
    <t>L 80.7-104.9</t>
  </si>
  <si>
    <t>Weekend at Hill's (5-3)</t>
  </si>
  <si>
    <t>W 117.3-106.8</t>
  </si>
  <si>
    <t>Dez-tiny's Child (5-4)</t>
  </si>
  <si>
    <t>W 130.9-68.6</t>
  </si>
  <si>
    <t>My Girl Chloe Trestman (5-4)</t>
  </si>
  <si>
    <t>L 106.8-117.3</t>
  </si>
  <si>
    <t>Cutler's Year (7-2)</t>
  </si>
  <si>
    <t>L 71-77.6</t>
  </si>
  <si>
    <t>Pizza Party! (3-6)</t>
  </si>
  <si>
    <t>W 118.6-104.9</t>
  </si>
  <si>
    <t>j.c. livin (3-6)</t>
  </si>
  <si>
    <t>L 83.2-107.9</t>
  </si>
  <si>
    <t>For-Te Pay (6-3)</t>
  </si>
  <si>
    <t>W 77.6-71</t>
  </si>
  <si>
    <t>Tom and The High Fives (4-5)</t>
  </si>
  <si>
    <t>L 68.6-130.9</t>
  </si>
  <si>
    <t>Weekend at Hill's (6-3)</t>
  </si>
  <si>
    <t>L 104.9-118.6</t>
  </si>
  <si>
    <t>Praters Gonna Prate (7-2)</t>
  </si>
  <si>
    <t>W 107.9-83.2</t>
  </si>
  <si>
    <t>Justin Tucker Must Die (5-4)</t>
  </si>
  <si>
    <t>W 95.9-30.6</t>
  </si>
  <si>
    <t>Quit Playing Games W Gerhart (1-8)</t>
  </si>
  <si>
    <t>L 30.6-95.9</t>
  </si>
  <si>
    <t>Pryor Convictions (2-7)</t>
  </si>
  <si>
    <t>W 96.8-78.4</t>
  </si>
  <si>
    <t>Bang Bang Chickn n Shrimp (7-6)</t>
  </si>
  <si>
    <t>88.5 pts</t>
  </si>
  <si>
    <t>L 78.4-96.8</t>
  </si>
  <si>
    <t>Cutler's Year (8-5)</t>
  </si>
  <si>
    <t>W 100.2-70.7</t>
  </si>
  <si>
    <t>Hyde and Seek (8-5)</t>
  </si>
  <si>
    <t>L 76.1-79.7</t>
  </si>
  <si>
    <t>Gary Biebnidge (6-7)</t>
  </si>
  <si>
    <t>L 94.1-95.3</t>
  </si>
  <si>
    <t>The Chicago White Cochs (3-10)</t>
  </si>
  <si>
    <t>L 70.7-100.2</t>
  </si>
  <si>
    <t>Suburban Kings (7-6)</t>
  </si>
  <si>
    <t>W 79.7-76.1</t>
  </si>
  <si>
    <t>Fighting Tots (5-8)</t>
  </si>
  <si>
    <t>W 95.3-94.1</t>
  </si>
  <si>
    <t>Super Bowl 4 Stafford's Baby (4-9)</t>
  </si>
  <si>
    <t>L 94.5-109.6</t>
  </si>
  <si>
    <t>All AmeriKins (7-6)</t>
  </si>
  <si>
    <t>W 109.6-94.5</t>
  </si>
  <si>
    <t>Late Nite LeSean (6-7)</t>
  </si>
  <si>
    <t>88.9 pts</t>
  </si>
  <si>
    <t>W 109.8-89.2</t>
  </si>
  <si>
    <t>Umphreys McPhee (9-4)</t>
  </si>
  <si>
    <t>L 103.1-123.8</t>
  </si>
  <si>
    <t>L 78.5-110.7</t>
  </si>
  <si>
    <t>W 123.8-103.1</t>
  </si>
  <si>
    <t>Can't KelCe Me (8-5)</t>
  </si>
  <si>
    <t>W 92-90.5</t>
  </si>
  <si>
    <t>L 90.5-92</t>
  </si>
  <si>
    <t>W 110.7-78.5</t>
  </si>
  <si>
    <t>L 84-99.4</t>
  </si>
  <si>
    <t>L 86.3-116.9</t>
  </si>
  <si>
    <t>W 116.9-86.3</t>
  </si>
  <si>
    <t>W 99.4-84</t>
  </si>
  <si>
    <t>L 62-108.8</t>
  </si>
  <si>
    <t>at </t>
  </si>
  <si>
    <t>DeAndre 3000 (8-5)</t>
  </si>
  <si>
    <t>L 86.9-90.1</t>
  </si>
  <si>
    <t>W 101.4-96.7</t>
  </si>
  <si>
    <t>W 87.5-77.8</t>
  </si>
  <si>
    <t>W 90.1-86.9</t>
  </si>
  <si>
    <t>L 66.8-131.6</t>
  </si>
  <si>
    <t>W 93.2-80.1</t>
  </si>
  <si>
    <t>L 77.8-87.5</t>
  </si>
  <si>
    <t>W 131.6-66.8</t>
  </si>
  <si>
    <t>L 80.1-93.2</t>
  </si>
  <si>
    <t>W 121.1-43.8</t>
  </si>
  <si>
    <t>L 43.8-121.1</t>
  </si>
  <si>
    <t>Soggy Fruit Pu kas(109.06 Pts)</t>
  </si>
  <si>
    <t>L 104.7-105.6</t>
  </si>
  <si>
    <t>Dak to Dak Jacks (8-5)</t>
  </si>
  <si>
    <t>Chasing (56.86 Pts)</t>
  </si>
  <si>
    <t>W 115.3-86.5</t>
  </si>
  <si>
    <t>W 104.3-79.1</t>
  </si>
  <si>
    <t>L 73-115</t>
  </si>
  <si>
    <t>L 46.2-63.7</t>
  </si>
  <si>
    <t>L 106.6-112.5</t>
  </si>
  <si>
    <t>L 81.9-137.1</t>
  </si>
  <si>
    <t>W 137.1-81.9</t>
  </si>
  <si>
    <t>L 79.1-104.3</t>
  </si>
  <si>
    <t>L 86.5-115.3</t>
  </si>
  <si>
    <t>W 112.5-106.6</t>
  </si>
  <si>
    <t>W 63.7-46.2</t>
  </si>
  <si>
    <t>W 115-73</t>
  </si>
  <si>
    <t>L 64.3-108.2</t>
  </si>
  <si>
    <t>L 95.2-114.3</t>
  </si>
  <si>
    <t>W 105.2-85.8</t>
  </si>
  <si>
    <t>L 52.7-79.4</t>
  </si>
  <si>
    <t>L 62.4-91.2</t>
  </si>
  <si>
    <t>W 79.4-52.7</t>
  </si>
  <si>
    <t>W 114.3-95.2</t>
  </si>
  <si>
    <t>W 116.1-102.6</t>
  </si>
  <si>
    <t>L 85.8-105.2</t>
  </si>
  <si>
    <t>W 108.2-64.3</t>
  </si>
  <si>
    <t>W 91.2-62.4</t>
  </si>
  <si>
    <t>L 102.6-116.1</t>
  </si>
  <si>
    <t>Mahomes Flooded(2-5-0)</t>
  </si>
  <si>
    <t>L 74.8-101.7</t>
  </si>
  <si>
    <t>Caleb's Year(3-4-0)</t>
  </si>
  <si>
    <t>W 96.1-73.7</t>
  </si>
  <si>
    <t>Chase'n Purdy Big Twisters(2-5-0)</t>
  </si>
  <si>
    <t>W 106.4-71.6</t>
  </si>
  <si>
    <t>Hurtswaves(5-2-0)</t>
  </si>
  <si>
    <t>W 98.4-81</t>
  </si>
  <si>
    <t>NoMoore 4KDrought(3-4-0)</t>
  </si>
  <si>
    <t>Whiteout(4-3-0)</t>
  </si>
  <si>
    <t>L 71.6-106.4</t>
  </si>
  <si>
    <t>Blizzard Boys(2-5-0)</t>
  </si>
  <si>
    <t>Hurricane Andrews(4-3-0)</t>
  </si>
  <si>
    <t>L 73.7-96.1</t>
  </si>
  <si>
    <t>Puka Quakes(5-2-0)</t>
  </si>
  <si>
    <t>WeisFire(5-2-0)</t>
  </si>
  <si>
    <t>W 101.7-74.8</t>
  </si>
  <si>
    <t>Bhola Breece's Storm Surge(2-5-0)</t>
  </si>
  <si>
    <t>L 81-98.4</t>
  </si>
  <si>
    <t>Moodslide(5-2-0)</t>
  </si>
  <si>
    <t>L 58.9-93.2</t>
  </si>
  <si>
    <t>W 93.2-58.9</t>
  </si>
  <si>
    <t>W 63.6-57.4</t>
  </si>
  <si>
    <t>Chase'n Purdy Big Twisters(3-11-0)</t>
  </si>
  <si>
    <t>Mahomes Flooded(7-7-0)</t>
  </si>
  <si>
    <t>L 57.4-63.6</t>
  </si>
  <si>
    <t>Caleb's Year(5-9-0)</t>
  </si>
  <si>
    <t>L 64.8-96.7</t>
  </si>
  <si>
    <t>NoMoore 4KDrought(6-8-0)</t>
  </si>
  <si>
    <t>W 137.2-68.9</t>
  </si>
  <si>
    <t>Hurtswaves(10-4-0)</t>
  </si>
  <si>
    <t>Blizzard Boys(4-10-0)</t>
  </si>
  <si>
    <t>L 82.7-83.5</t>
  </si>
  <si>
    <t>Whiteout(7-7-0)</t>
  </si>
  <si>
    <t>L 95.5-105.5</t>
  </si>
  <si>
    <t>Puka Quakes(9-5-0)</t>
  </si>
  <si>
    <t>Hurricane Andrews(9-5-0)</t>
  </si>
  <si>
    <t>W 121.1-101.6</t>
  </si>
  <si>
    <t>Bhola Breece's Storm Surge(6-8-0)</t>
  </si>
  <si>
    <t>L 50.1-103.1</t>
  </si>
  <si>
    <t>WeisFire(9-5-0)</t>
  </si>
  <si>
    <t>Moodslide(9-5-0)</t>
  </si>
  <si>
    <t>W 103.1-50.1</t>
  </si>
  <si>
    <t>L 68.9-137.2</t>
  </si>
  <si>
    <t>W 96.7-64.8</t>
  </si>
  <si>
    <t>L 101.6-121.1</t>
  </si>
  <si>
    <t>W 105.5-95.5</t>
  </si>
  <si>
    <t>W 83.5-82.7</t>
  </si>
  <si>
    <t>W 99.5-63.6</t>
  </si>
  <si>
    <t>W 113.2-92.7</t>
  </si>
  <si>
    <t>W 109.2-100.9</t>
  </si>
  <si>
    <t>L 100.9-109.2</t>
  </si>
  <si>
    <t>L 84.9-113.8</t>
  </si>
  <si>
    <t>L 63.6-99.5</t>
  </si>
  <si>
    <t>L 92.2-99.4</t>
  </si>
  <si>
    <t>W 99.4-92.2</t>
  </si>
  <si>
    <t>W 113.8-84.9</t>
  </si>
  <si>
    <t>L 76.1-130.1</t>
  </si>
  <si>
    <t>L 92.7-113.2</t>
  </si>
  <si>
    <t>W 130.1-76.1</t>
  </si>
  <si>
    <t>WeisFire</t>
  </si>
  <si>
    <t>L 85.2-100.1</t>
  </si>
  <si>
    <t>L 103.8-118</t>
  </si>
  <si>
    <t>L 62.5-104.6</t>
  </si>
  <si>
    <t>W 104.6-62.5</t>
  </si>
  <si>
    <t>L 44.3-107.1</t>
  </si>
  <si>
    <t>W 100.1-85.2</t>
  </si>
  <si>
    <t>W 96.8-96.1</t>
  </si>
  <si>
    <t>L 96.1-96.8</t>
  </si>
  <si>
    <t>W 107.1-44.3</t>
  </si>
  <si>
    <t>L 85.2-87</t>
  </si>
  <si>
    <t>W 118-103.8</t>
  </si>
  <si>
    <t>W 87-85.2</t>
  </si>
  <si>
    <t>W 104.2-101.6</t>
  </si>
  <si>
    <t>W 133.7-71.1</t>
  </si>
  <si>
    <t>L 71.1-133.7</t>
  </si>
  <si>
    <t>W 147.2-127.6</t>
  </si>
  <si>
    <t>L 101.6-104.2</t>
  </si>
  <si>
    <t>L 62.5-89.6</t>
  </si>
  <si>
    <t>L 63.4-75.1</t>
  </si>
  <si>
    <t>W 89.6-62.5</t>
  </si>
  <si>
    <t>L 88.5-113.7</t>
  </si>
  <si>
    <t>L 127.6-147.2</t>
  </si>
  <si>
    <t>W 75.1-63.4</t>
  </si>
  <si>
    <t>W 113.7-88.5</t>
  </si>
  <si>
    <t>W 86.5-77.1</t>
  </si>
  <si>
    <t>W 99.4-88.6</t>
  </si>
  <si>
    <t>L 61.4-79.7</t>
  </si>
  <si>
    <t>W 94.7-84.5</t>
  </si>
  <si>
    <t>W 119.1-74.9</t>
  </si>
  <si>
    <t>W 82.2-65.1</t>
  </si>
  <si>
    <t>W 79.7-61.4</t>
  </si>
  <si>
    <t>L 77.1-86.5</t>
  </si>
  <si>
    <t>L 84.5-94.7</t>
  </si>
  <si>
    <t>L 88.6-99.4</t>
  </si>
  <si>
    <t>L 65.1-82.2</t>
  </si>
  <si>
    <t>L 74.9-119.1</t>
  </si>
  <si>
    <t>L 82.3-91.4</t>
  </si>
  <si>
    <t>W 92.2-74.6</t>
  </si>
  <si>
    <t>W 101.5-73.6</t>
  </si>
  <si>
    <t>W 108.9-98.2</t>
  </si>
  <si>
    <t>L 98.2-108.9</t>
  </si>
  <si>
    <t>L 73.6-101.5</t>
  </si>
  <si>
    <t>W 95.2-85.5</t>
  </si>
  <si>
    <t>W 101.8-98.6</t>
  </si>
  <si>
    <t>L 74.6-92.2</t>
  </si>
  <si>
    <t>L 85.5-95.2</t>
  </si>
  <si>
    <t>L 98.6-101.8</t>
  </si>
  <si>
    <t>W 91.4-82.3</t>
  </si>
  <si>
    <t>W 95.5-61.6</t>
  </si>
  <si>
    <t>L 99.7-123.6</t>
  </si>
  <si>
    <t>W 130.6-101.1</t>
  </si>
  <si>
    <t>L 69.3-85.2</t>
  </si>
  <si>
    <t>W 123.6-99.7</t>
  </si>
  <si>
    <t>L 76.5-114.9</t>
  </si>
  <si>
    <t>W 96.1-86.9</t>
  </si>
  <si>
    <t>L 101.1-130.6</t>
  </si>
  <si>
    <t>L 86.9-96.1</t>
  </si>
  <si>
    <t>W 114.9-76.5</t>
  </si>
  <si>
    <t>L 61.6-95.5</t>
  </si>
  <si>
    <t>W 85.2-69.3</t>
  </si>
  <si>
    <t>W 94.1-62.9</t>
  </si>
  <si>
    <t>W 125.8-113.9</t>
  </si>
  <si>
    <t>W 108.6-94.2</t>
  </si>
  <si>
    <t>L 62.9-94.1</t>
  </si>
  <si>
    <t>W 116.1-54.1</t>
  </si>
  <si>
    <t>W 99.3-89.4</t>
  </si>
  <si>
    <t>L 54.1-116.1</t>
  </si>
  <si>
    <t>L 77.2-114</t>
  </si>
  <si>
    <t>L 89.4-99.3</t>
  </si>
  <si>
    <t>W 114-77.2</t>
  </si>
  <si>
    <t>L 94.2-108.6</t>
  </si>
  <si>
    <t>L 113.9-125.8</t>
  </si>
  <si>
    <t>W 114.1-99.6</t>
  </si>
  <si>
    <t>L 72.2-96.7</t>
  </si>
  <si>
    <t>L 99.6-114.1</t>
  </si>
  <si>
    <t>W 96.7-72.2</t>
  </si>
  <si>
    <t>W 80.2-75.5</t>
  </si>
  <si>
    <t>L 75.5-80.2</t>
  </si>
  <si>
    <t>L 88.9-101.4</t>
  </si>
  <si>
    <t>W 84-80.1</t>
  </si>
  <si>
    <t>L 80.1-84</t>
  </si>
  <si>
    <t>W 117.9-112.2</t>
  </si>
  <si>
    <t>L 112.2-117.9</t>
  </si>
  <si>
    <t>W 101.4-88.9</t>
  </si>
  <si>
    <t>W 110-109.3</t>
  </si>
  <si>
    <t>L 109.3-110</t>
  </si>
  <si>
    <t>W 123.4-87.7</t>
  </si>
  <si>
    <t>W 101.8-98.4</t>
  </si>
  <si>
    <t>L 78.1-115.1</t>
  </si>
  <si>
    <t>L 84.6-95.7</t>
  </si>
  <si>
    <t>L 98.4-101.8</t>
  </si>
  <si>
    <t>W 115.1-78.1</t>
  </si>
  <si>
    <t>L 55.3-118.9</t>
  </si>
  <si>
    <t>L 87.7-123.4</t>
  </si>
  <si>
    <t>W 118.9-55.3</t>
  </si>
  <si>
    <t>W 95.7-84.6</t>
  </si>
  <si>
    <t>W 99.3-77.2</t>
  </si>
  <si>
    <t>J. Cash and The Cochslappers (7-6)</t>
  </si>
  <si>
    <t>W 87.8-45</t>
  </si>
  <si>
    <t>L 45-87.8</t>
  </si>
  <si>
    <t>Last Manning Standing (7-6)</t>
  </si>
  <si>
    <t>96.4 pts</t>
  </si>
  <si>
    <t>L 72.4-109.7</t>
  </si>
  <si>
    <t>Bring tha Juice (5-8)</t>
  </si>
  <si>
    <t>W 67.9-57.9</t>
  </si>
  <si>
    <t>Keenan Allen Memorial Team (3-10)</t>
  </si>
  <si>
    <t>L 77.3-95.5</t>
  </si>
  <si>
    <t>Yung Breezy n Lil' LeSean (7-6)</t>
  </si>
  <si>
    <t>W 95.5-77.3</t>
  </si>
  <si>
    <t>Julio, Get The Catch! (7-6)</t>
  </si>
  <si>
    <t>L 77.2-99.3</t>
  </si>
  <si>
    <t>Cutler's Year (7-6)</t>
  </si>
  <si>
    <t>L 57.9-67.9</t>
  </si>
  <si>
    <t>Rob "Ryan Chip" Kelley (5-8)</t>
  </si>
  <si>
    <t>W 109.7-72.4</t>
  </si>
  <si>
    <t>Wain Newton (6-7)</t>
  </si>
  <si>
    <t>94.1 pts</t>
  </si>
  <si>
    <t>W 98.7-74.9</t>
  </si>
  <si>
    <t>L 54.6-104.2</t>
  </si>
  <si>
    <t>Hurtswaves(95.7 Pts)</t>
  </si>
  <si>
    <t>W 70.6-69.8</t>
  </si>
  <si>
    <t>Moodslide(94.06 Pts)</t>
  </si>
  <si>
    <t>L 84.1-121.1</t>
  </si>
  <si>
    <t>W 142.5-37.3</t>
  </si>
  <si>
    <t>L 70.6-92.4</t>
  </si>
  <si>
    <t>L 69.8-70.6</t>
  </si>
  <si>
    <t>W 121.1-84.1</t>
  </si>
  <si>
    <t>Suburban Kings II (8-5)</t>
  </si>
  <si>
    <t>W 92.4-70.6</t>
  </si>
  <si>
    <t>L 37.3-142.5</t>
  </si>
  <si>
    <t>L 74.9-98.7</t>
  </si>
  <si>
    <t>W 104.2-54.6</t>
  </si>
  <si>
    <t>Box</t>
  </si>
  <si>
    <t>Jeanty d'Arc(5-4-0)</t>
  </si>
  <si>
    <t>Tour de Weis(2-7-0)</t>
  </si>
  <si>
    <t>Coch_Au Vin(5-4-0)</t>
  </si>
  <si>
    <t>RJ Hau Revoir(4-5-0)</t>
  </si>
  <si>
    <t>CamemBear Down(8-1-0)</t>
  </si>
  <si>
    <t>W 111.5-104.7</t>
  </si>
  <si>
    <t>Louis Suitton(3-6-0)</t>
  </si>
  <si>
    <t>W 114.4-96.4</t>
  </si>
  <si>
    <t>Bijon Mustard(4-5-0)</t>
  </si>
  <si>
    <t>Je Ne Saquon(6-3-0)</t>
  </si>
  <si>
    <t>L 104.7-111.5</t>
  </si>
  <si>
    <t>Eiffel Bowers(5-4-0)</t>
  </si>
  <si>
    <t>Merci Bo-coup(5-4-0)</t>
  </si>
  <si>
    <t>L 96.4-114.4</t>
  </si>
  <si>
    <t>Drake Frites(4-5-0)</t>
  </si>
  <si>
    <t>W 109.4-101.8</t>
  </si>
  <si>
    <t>Oui How(3-6-0)</t>
  </si>
  <si>
    <t>W 110.9-96</t>
  </si>
  <si>
    <t>W 135.4-76.2</t>
  </si>
  <si>
    <t>Coch_Au Vin(8-6-0)</t>
  </si>
  <si>
    <t>Jeanty d'Arc(8-6-0)</t>
  </si>
  <si>
    <t>L 76.2-135.4</t>
  </si>
  <si>
    <t>Tour de Weis(3-11-0)</t>
  </si>
  <si>
    <t>CamemBear Down(12-2-0)</t>
  </si>
  <si>
    <t>L 101.8-109.4</t>
  </si>
  <si>
    <t>RJ Hau Revoir(7-7-0)</t>
  </si>
  <si>
    <t>Bijon Mustard(5-9-0)</t>
  </si>
  <si>
    <t>L 96-110.9</t>
  </si>
  <si>
    <t>Louis Suitton(4-10-0)</t>
  </si>
  <si>
    <t>W 108.8-62</t>
  </si>
  <si>
    <t>Eiffel Bowers(7-7-0)</t>
  </si>
  <si>
    <t>Je Ne Saquon(7-7-0)</t>
  </si>
  <si>
    <t>Drake Frites(8-6-0)</t>
  </si>
  <si>
    <t>W 91.5-82.1</t>
  </si>
  <si>
    <t>Merci Bo-coup(8-6-0)</t>
  </si>
  <si>
    <t>Oui How(7-7-0)</t>
  </si>
  <si>
    <t>W 86.8-72.6</t>
  </si>
  <si>
    <t>W 93.1-90.4</t>
  </si>
  <si>
    <t>W 136.5-58.2</t>
  </si>
  <si>
    <t>L 106.6-117</t>
  </si>
  <si>
    <t>L 90.4-93.1</t>
  </si>
  <si>
    <t>W 117-106.6</t>
  </si>
  <si>
    <t>L 83.1-88.5</t>
  </si>
  <si>
    <t>L 82.1-91.5</t>
  </si>
  <si>
    <t>W 88.5-83.1</t>
  </si>
  <si>
    <t>L 72.6-86.8</t>
  </si>
  <si>
    <t>L 58.2-136.5</t>
  </si>
  <si>
    <t>W 100.5-82</t>
  </si>
  <si>
    <t>W 86.9-75.5</t>
  </si>
  <si>
    <t>W 91.3-79.1</t>
  </si>
  <si>
    <t>L 97.4-103.1</t>
  </si>
  <si>
    <t>L 82-100.5</t>
  </si>
  <si>
    <t>W 103.4-99.7</t>
  </si>
  <si>
    <t>L 79.1-91.3</t>
  </si>
  <si>
    <t>W 103.1-97.4</t>
  </si>
  <si>
    <t>W 92.9-78.8</t>
  </si>
  <si>
    <t>L 75.5-86.9</t>
  </si>
  <si>
    <t>L 99.7-103.4</t>
  </si>
  <si>
    <t>L 78.8-92.9</t>
  </si>
  <si>
    <t>L 63.4-95</t>
  </si>
  <si>
    <t>L 88-96.3</t>
  </si>
  <si>
    <t>L 111.5-123.7</t>
  </si>
  <si>
    <t>W 96.3-88</t>
  </si>
  <si>
    <t>W 123.7-111.5</t>
  </si>
  <si>
    <t>L 70.9-102.5</t>
  </si>
  <si>
    <t>L 81.1-113.7</t>
  </si>
  <si>
    <t>W 116.9-63.2</t>
  </si>
  <si>
    <t>L 63.2-116.9</t>
  </si>
  <si>
    <t>W 102.5-70.9</t>
  </si>
  <si>
    <t>W 113.7-81.1</t>
  </si>
  <si>
    <t>W 95-63.4</t>
  </si>
  <si>
    <t>W 78-62.9</t>
  </si>
  <si>
    <t>L 94.8-108</t>
  </si>
  <si>
    <t>L 62.9-78</t>
  </si>
  <si>
    <t>W 89.8-69.2</t>
  </si>
  <si>
    <t>W 116.8-74.9</t>
  </si>
  <si>
    <t>L 69.2-89.8</t>
  </si>
  <si>
    <t>W 86.1-60.2</t>
  </si>
  <si>
    <t>L 115.1-130.4</t>
  </si>
  <si>
    <t>W 108-94.8</t>
  </si>
  <si>
    <t>L 60.2-86.1</t>
  </si>
  <si>
    <t>L 74.9-116.8</t>
  </si>
  <si>
    <t>W 130.4-115.1</t>
  </si>
  <si>
    <t>L 54.9-76.4</t>
  </si>
  <si>
    <t>W 105.6-104.7</t>
  </si>
  <si>
    <t>L 71.4-79.2</t>
  </si>
  <si>
    <t>W 147.5-80.6</t>
  </si>
  <si>
    <t>W 79.2-71.4</t>
  </si>
  <si>
    <t>W 112.7-62.7</t>
  </si>
  <si>
    <t>L 94.2-110.1</t>
  </si>
  <si>
    <t>W 76.4-54.9</t>
  </si>
  <si>
    <t>L 62.7-112.7</t>
  </si>
  <si>
    <t>L 80.6-147.5</t>
  </si>
  <si>
    <t>W 110.1-94.2</t>
  </si>
  <si>
    <t>L 115.7-129.3</t>
  </si>
  <si>
    <t>W 120.6-88.3</t>
  </si>
  <si>
    <t>L 76.3-101.2</t>
  </si>
  <si>
    <t>W 116.9-115.4</t>
  </si>
  <si>
    <t>W 89.1-54.9</t>
  </si>
  <si>
    <t>L 76-90.1</t>
  </si>
  <si>
    <t>L 115.4-116.9</t>
  </si>
  <si>
    <t>W 129.3-115.7</t>
  </si>
  <si>
    <t>W 90.1-76</t>
  </si>
  <si>
    <t>L 54.9-89.1</t>
  </si>
  <si>
    <t>W 101.2-76.3</t>
  </si>
  <si>
    <t>L 88.3-120.6</t>
  </si>
  <si>
    <t>W 87.5-76.3</t>
  </si>
  <si>
    <t>L 53-84.2</t>
  </si>
  <si>
    <t>W 112-85</t>
  </si>
  <si>
    <t>W 86.1-71.2</t>
  </si>
  <si>
    <t>L 71.2-86.1</t>
  </si>
  <si>
    <t>L 79.1-97.7</t>
  </si>
  <si>
    <t>W 126.1-78.1</t>
  </si>
  <si>
    <t>W 84.2-53</t>
  </si>
  <si>
    <t>L 78.1-126.1</t>
  </si>
  <si>
    <t>L 85-112</t>
  </si>
  <si>
    <t>L 76.3-87.5</t>
  </si>
  <si>
    <t>W 97.7-79.1</t>
  </si>
  <si>
    <t>L 81-126.4</t>
  </si>
  <si>
    <t>W 126.4-81</t>
  </si>
  <si>
    <t>L 60.4-138.9</t>
  </si>
  <si>
    <t>W 138.9-60.4</t>
  </si>
  <si>
    <t>W 135.1-54.4</t>
  </si>
  <si>
    <t>L 94.6-118.1</t>
  </si>
  <si>
    <t>L 68-107.9</t>
  </si>
  <si>
    <t>W 118.1-94.6</t>
  </si>
  <si>
    <t>L 54.4-135.1</t>
  </si>
  <si>
    <t>W 104.2-87.4</t>
  </si>
  <si>
    <t>L 87.4-104.2</t>
  </si>
  <si>
    <t>W 107.9-68</t>
  </si>
  <si>
    <t>W 70.5-61</t>
  </si>
  <si>
    <t>W 95.2-67.3</t>
  </si>
  <si>
    <t>L 82.2-100.9</t>
  </si>
  <si>
    <t>W 79.1-73.3</t>
  </si>
  <si>
    <t>L 96.3-112</t>
  </si>
  <si>
    <t>L 67.3-95.2</t>
  </si>
  <si>
    <t>L 119.8-152.4</t>
  </si>
  <si>
    <t>W 152.4-119.8</t>
  </si>
  <si>
    <t>W 100.9-82.2</t>
  </si>
  <si>
    <t>L 61-70.5</t>
  </si>
  <si>
    <t>L 73.3-79.1</t>
  </si>
  <si>
    <t>W 112-96.3</t>
  </si>
  <si>
    <t>L 83.1-106.5</t>
  </si>
  <si>
    <t>L 63.5-113.1</t>
  </si>
  <si>
    <t>W 128.6-74.2</t>
  </si>
  <si>
    <t>W 102.9-82</t>
  </si>
  <si>
    <t>W 133.2-79.9</t>
  </si>
  <si>
    <t>W 106.5-83.1</t>
  </si>
  <si>
    <t>W 113.1-63.5</t>
  </si>
  <si>
    <t>L 79.9-133.2</t>
  </si>
  <si>
    <t>L 86.4-119.5</t>
  </si>
  <si>
    <t>L 82-102.9</t>
  </si>
  <si>
    <t>W 119.5-86.4</t>
  </si>
  <si>
    <t>L 74.2-128.6</t>
  </si>
  <si>
    <t>CamemBear Down(144.0 Pts)</t>
  </si>
  <si>
    <t>W 90-77.6</t>
  </si>
  <si>
    <t>Drake Frites(102.86 Pts)</t>
  </si>
  <si>
    <t>W 110.1-84.8</t>
  </si>
  <si>
    <t>W 119.3-81.5</t>
  </si>
  <si>
    <t>L 77.6-90</t>
  </si>
  <si>
    <t>L 84.8-110.1</t>
  </si>
  <si>
    <t>L 84.1-103.2</t>
  </si>
  <si>
    <t>W 103.2-84.1</t>
  </si>
  <si>
    <t>L 81.5-119.3</t>
  </si>
  <si>
    <t>W 96.3-61.7</t>
  </si>
  <si>
    <t>L 61.7-96.3</t>
  </si>
  <si>
    <t>W 117.9-117.5</t>
  </si>
  <si>
    <t>L 117.5-117.9</t>
  </si>
  <si>
    <t>W 109.8-106</t>
  </si>
  <si>
    <t>L 78.6-87</t>
  </si>
  <si>
    <t>W 87-78.6</t>
  </si>
  <si>
    <t>L 91.9-97.7</t>
  </si>
  <si>
    <t>L 105.4-108</t>
  </si>
  <si>
    <t>W 108-105.4</t>
  </si>
  <si>
    <t>L 106-109.8</t>
  </si>
  <si>
    <t>L 104.4-112.8</t>
  </si>
  <si>
    <t>W 97.7-91.9</t>
  </si>
  <si>
    <t>L 67.9-73.7</t>
  </si>
  <si>
    <t>W 112.8-104.4</t>
  </si>
  <si>
    <t>W 73.7-67.9</t>
  </si>
  <si>
    <t>Fart and Dart to IR(2-1-0)</t>
  </si>
  <si>
    <t>Mayenure(2-1-0)</t>
  </si>
  <si>
    <t>Judkins Sp!ce Latte(0-3-0)</t>
  </si>
  <si>
    <t>P-Uka Nacua(1-2-0)</t>
  </si>
  <si>
    <t>Ashton Scenty's Stank Tank(1-2-0)</t>
  </si>
  <si>
    <t>LaPorta Potties(2-1-0)</t>
  </si>
  <si>
    <t>Silent But Dowdle(3-0-0)</t>
  </si>
  <si>
    <t>Weis Cookin Rice(2-1-0)</t>
  </si>
  <si>
    <t>FeBreece(1-2-0)</t>
  </si>
  <si>
    <t>Spoiled Egbukas(0-3-0)</t>
  </si>
  <si>
    <t>Stop and Smell Zay Flowers(2-1-0)</t>
  </si>
  <si>
    <t>Pile of Monangai(2-1-0)</t>
  </si>
  <si>
    <t>Edit</t>
  </si>
  <si>
    <t>Judkins Sp!ce Latte(1-4-0)</t>
  </si>
  <si>
    <t>Fart and Dart to IR(4-1-0)</t>
  </si>
  <si>
    <t>B.O.(3-2-0)</t>
  </si>
  <si>
    <t>Ashton Scenty's Stank Tank(2-3-0)</t>
  </si>
  <si>
    <t>P-Uka Nacua(3-2-0)</t>
  </si>
  <si>
    <t>Silent But Dowdle(3-2-0)</t>
  </si>
  <si>
    <t>LaPorta Potties(3-2-0)</t>
  </si>
  <si>
    <t>FeBreece(1-4-0)</t>
  </si>
  <si>
    <t>Weis Cookin Rice(2-3-0)</t>
  </si>
  <si>
    <t>Stop and Smell Zay Flowers(4-1-0)</t>
  </si>
  <si>
    <t>Spoiled Egbukas(0-5-0)</t>
  </si>
  <si>
    <t>Pile of Monangai(4-1-0)</t>
  </si>
  <si>
    <t>Weis Cookin Rice(2-2-0)</t>
  </si>
  <si>
    <t>Spoiled Egbukas(0-4-0)</t>
  </si>
  <si>
    <t>Judkins Sp!ce Latte(0-4-0)</t>
  </si>
  <si>
    <t>Stop and Smell Zay Flowers(3-1-0)</t>
  </si>
  <si>
    <t>Fart and Dart to IR(3-1-0)</t>
  </si>
  <si>
    <t>FeBreece(1-3-0)</t>
  </si>
  <si>
    <t>LaPorta Potties(3-1-0)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</si>
</sst>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&quot;$&quot;* #,##0_);_(&quot;$&quot;* \(#,##0\);_(&quot;$&quot;* &quot;-&quot;??_);_(@_)"/>
    <numFmt numFmtId="165" formatCode="_(* #,##0_);_(* \(#,##0\);_(* &quot;-&quot;??_);_(@_)"/>
    <numFmt numFmtId="166" formatCode="&quot;$&quot;#,##0_);[Red]\(&quot;$&quot;#,##0\)"/>
    <numFmt numFmtId="167" formatCode="_(* #,##0.00_);_(* \(#,##0.00\);_(* &quot;-&quot;??_);_(@_)"/>
    <numFmt numFmtId="168" formatCode="m/d/yy"/>
    <numFmt numFmtId="169" formatCode="&quot;$&quot;#,##0"/>
    <numFmt numFmtId="170" formatCode="0.0"/>
  </numFmts>
  <fonts count="64">
    <font>
      <sz val="11.0"/>
      <color rgb="FF000000"/>
      <name val="Calibri"/>
    </font>
    <font>
      <b/>
      <sz val="11.0"/>
      <color rgb="FF000000"/>
      <name val="Calibri"/>
    </font>
    <font>
      <color rgb="FF000000"/>
    </font>
    <font/>
    <font>
      <sz val="8.0"/>
      <color rgb="FF151617"/>
      <name val="Arial"/>
    </font>
    <font>
      <sz val="8.0"/>
      <color rgb="FF151617"/>
      <name val="-apple-system"/>
    </font>
    <font>
      <b/>
      <sz val="14.0"/>
      <color rgb="FF000000"/>
      <name val="Calibri"/>
    </font>
    <font>
      <sz val="11.0"/>
      <color rgb="FF000000"/>
      <name val="Inconsolata"/>
    </font>
    <font>
      <sz val="9.0"/>
      <color rgb="FF6C6D6F"/>
      <name val="-apple-system"/>
    </font>
    <font>
      <sz val="9.0"/>
      <color rgb="FF797B7D"/>
      <name val="-apple-system"/>
    </font>
    <font>
      <b/>
      <sz val="9.0"/>
      <color rgb="FF797B7D"/>
      <name val="-apple-system"/>
    </font>
    <font>
      <b/>
      <sz val="9.0"/>
      <color rgb="FF6C6D6F"/>
      <name val="-apple-system"/>
    </font>
    <font>
      <b/>
      <sz val="12.0"/>
      <color rgb="FF151617"/>
      <name val="-apple-system"/>
    </font>
    <font>
      <b/>
      <sz val="9.0"/>
      <color rgb="FF151617"/>
      <name val="-apple-system"/>
    </font>
    <font>
      <b/>
      <sz val="9.0"/>
      <color rgb="FF0066CC"/>
      <name val="-apple-system"/>
    </font>
    <font>
      <sz val="9.0"/>
      <color rgb="FF000000"/>
      <name val="&quot;Google Sans Mono&quot;"/>
    </font>
    <font>
      <b/>
      <u/>
      <sz val="9.0"/>
      <color rgb="FF0066CC"/>
      <name val="-apple-system"/>
    </font>
    <font>
      <u/>
      <sz val="9.0"/>
      <color rgb="FF0066CC"/>
      <name val="-apple-system"/>
    </font>
    <font>
      <u/>
      <sz val="9.0"/>
      <color rgb="FF0066CC"/>
      <name val="-apple-system"/>
    </font>
    <font>
      <b/>
      <u/>
      <sz val="9.0"/>
      <color rgb="FF0066CC"/>
      <name val="-apple-system"/>
    </font>
    <font>
      <sz val="8.0"/>
      <color rgb="FF0066CC"/>
      <name val="-apple-system"/>
    </font>
    <font>
      <b/>
      <u/>
      <sz val="9.0"/>
      <color rgb="FF0066CC"/>
      <name val="-apple-system"/>
    </font>
    <font>
      <u/>
      <sz val="9.0"/>
      <color rgb="FF0066CC"/>
      <name val="-apple-system"/>
    </font>
    <font>
      <u/>
      <sz val="9.0"/>
      <color rgb="FF0066CC"/>
      <name val="-apple-system"/>
    </font>
    <font>
      <b/>
      <u/>
      <sz val="9.0"/>
      <color rgb="FF0066CC"/>
      <name val="-apple-system"/>
    </font>
    <font>
      <sz val="9.0"/>
      <color rgb="FF6C6D6F"/>
      <name val="Arial"/>
    </font>
    <font>
      <sz val="9.0"/>
      <color rgb="FF0066CC"/>
      <name val="-apple-system"/>
    </font>
    <font>
      <b/>
      <u/>
      <sz val="9.0"/>
      <color rgb="FF0066CC"/>
      <name val="-apple-system"/>
    </font>
    <font>
      <u/>
      <sz val="9.0"/>
      <color rgb="FF0066CC"/>
      <name val="-apple-system"/>
    </font>
    <font>
      <u/>
      <sz val="9.0"/>
      <color rgb="FF0066CC"/>
      <name val="-apple-system"/>
    </font>
    <font>
      <b/>
      <u/>
      <sz val="9.0"/>
      <color rgb="FF0066CC"/>
      <name val="-apple-system"/>
    </font>
    <font>
      <b/>
      <u/>
      <sz val="9.0"/>
      <color rgb="FF0066CC"/>
      <name val="-apple-system"/>
    </font>
    <font>
      <u/>
      <sz val="9.0"/>
      <color rgb="FF0066CC"/>
      <name val="-apple-system"/>
    </font>
    <font>
      <u/>
      <sz val="9.0"/>
      <color rgb="FF0066CC"/>
      <name val="-apple-system"/>
    </font>
    <font>
      <b/>
      <u/>
      <sz val="9.0"/>
      <color rgb="FF0066CC"/>
      <name val="-apple-system"/>
    </font>
    <font>
      <u/>
      <sz val="9.0"/>
      <color rgb="FF0066CC"/>
      <name val="-apple-system"/>
    </font>
    <font>
      <b/>
      <u/>
      <sz val="9.0"/>
      <color rgb="FF0066CC"/>
      <name val="-apple-system"/>
    </font>
    <font>
      <u/>
      <sz val="9.0"/>
      <color rgb="FF0066CC"/>
      <name val="-apple-system"/>
    </font>
    <font>
      <u/>
      <sz val="9.0"/>
      <color rgb="FF0000FF"/>
      <name val="-apple-system"/>
    </font>
    <font>
      <b/>
      <u/>
      <sz val="9.0"/>
      <color rgb="FF0000FF"/>
      <name val="-apple-system"/>
    </font>
    <font>
      <u/>
      <sz val="9.0"/>
      <color rgb="FF0000FF"/>
      <name val="-apple-system"/>
    </font>
    <font>
      <b/>
      <u/>
      <sz val="9.0"/>
      <color rgb="FF0000FF"/>
      <name val="-apple-system"/>
    </font>
    <font>
      <b/>
      <u/>
      <sz val="9.0"/>
      <color rgb="FF0000FF"/>
      <name val="-apple-system"/>
    </font>
    <font>
      <u/>
      <sz val="9.0"/>
      <color rgb="FF0000FF"/>
      <name val="-apple-system"/>
    </font>
    <font>
      <u/>
      <sz val="9.0"/>
      <color rgb="FF0000FF"/>
      <name val="-apple-system"/>
    </font>
    <font>
      <b/>
      <u/>
      <sz val="9.0"/>
      <color rgb="FF0000FF"/>
      <name val="-apple-system"/>
    </font>
    <font>
      <name val="Arial"/>
    </font>
    <font>
      <sz val="11.0"/>
      <name val="Calibri"/>
    </font>
    <font>
      <b/>
      <u/>
      <sz val="9.0"/>
      <color rgb="FF0000FF"/>
      <name val="-apple-system"/>
    </font>
    <font>
      <u/>
      <sz val="9.0"/>
      <color rgb="FF0000FF"/>
      <name val="-apple-system"/>
    </font>
    <font>
      <b/>
      <u/>
      <sz val="9.0"/>
      <color rgb="FF0000FF"/>
      <name val="-apple-system"/>
    </font>
    <font>
      <u/>
      <sz val="9.0"/>
      <color rgb="FF0000FF"/>
      <name val="-apple-system"/>
    </font>
    <font>
      <b/>
      <sz val="9.0"/>
      <name val="-apple-system"/>
    </font>
    <font>
      <u/>
      <sz val="9.0"/>
      <color rgb="FF0000FF"/>
      <name val="-apple-system"/>
    </font>
    <font>
      <b/>
      <u/>
      <sz val="9.0"/>
      <color rgb="FF0000FF"/>
      <name val="-apple-system"/>
    </font>
    <font>
      <sz val="9.0"/>
      <name val="-apple-system"/>
    </font>
    <font>
      <b/>
      <u/>
      <sz val="9.0"/>
      <color rgb="FF0000FF"/>
      <name val="-apple-system"/>
    </font>
    <font>
      <b/>
      <u/>
      <sz val="9.0"/>
      <color rgb="FF0000FF"/>
      <name val="-apple-system"/>
    </font>
    <font>
      <b/>
      <u/>
      <sz val="9.0"/>
      <color rgb="FF0000FF"/>
      <name val="-apple-system"/>
    </font>
    <font>
      <b/>
      <sz val="9.0"/>
      <color rgb="FF6C6D6F"/>
      <name val="Arial"/>
    </font>
    <font>
      <u/>
      <sz val="9.0"/>
      <color rgb="FF0000FF"/>
      <name val="-apple-system"/>
    </font>
    <font>
      <u/>
      <sz val="9.0"/>
      <color rgb="FF0000FF"/>
      <name val="-apple-system"/>
    </font>
    <font>
      <sz val="8.0"/>
      <color rgb="FF3772DF"/>
      <name val="-apple-system"/>
    </font>
    <font>
      <u/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E6B8B7"/>
        <bgColor rgb="FFE6B8B7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</fills>
  <borders count="5">
    <border/>
    <border>
      <left/>
      <right/>
      <top/>
      <bottom/>
    </border>
    <border>
      <bottom style="thin">
        <color rgb="FFF1F2F3"/>
      </bottom>
    </border>
    <border>
      <top style="thin">
        <color rgb="FFDCDDDF"/>
      </top>
      <bottom style="thin">
        <color rgb="FFDCDDDF"/>
      </bottom>
    </border>
    <border>
      <bottom style="thin">
        <color rgb="FFDCDDDF"/>
      </bottom>
    </border>
  </borders>
  <cellStyleXfs count="1">
    <xf borderId="0" fillId="0" fontId="0" numFmtId="0" applyAlignment="1" applyFont="1"/>
  </cellStyleXfs>
  <cellXfs count="2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1" numFmtId="0" xfId="0" applyAlignment="1" applyFill="1" applyFont="1">
      <alignment horizontal="center" shrinkToFit="0" wrapText="1"/>
    </xf>
    <xf borderId="0" fillId="2" fontId="0" numFmtId="0" xfId="0" applyAlignment="1" applyFill="1" applyFont="1">
      <alignment shrinkToFit="0" wrapText="1"/>
    </xf>
    <xf borderId="0" fillId="2" fontId="0" numFmtId="164" xfId="0" applyAlignment="1" applyFill="1" applyFont="1" applyNumberFormat="1">
      <alignment shrinkToFit="0" wrapText="1"/>
    </xf>
    <xf borderId="0" fillId="2" fontId="1" numFmtId="0" xfId="0" applyAlignment="1" applyFill="1" applyFont="1">
      <alignment readingOrder="0" shrinkToFit="0" wrapText="1"/>
    </xf>
    <xf borderId="0" fillId="0" fontId="0" numFmtId="0" xfId="0" applyAlignment="1" applyFont="1">
      <alignment shrinkToFit="0" wrapText="0"/>
    </xf>
    <xf borderId="0" fillId="0" fontId="0" numFmtId="14" xfId="0" applyAlignment="1" applyFont="1" applyNumberFormat="1">
      <alignment shrinkToFit="0" wrapText="0"/>
    </xf>
    <xf borderId="0" fillId="0" fontId="0" numFmtId="0" xfId="0" applyAlignment="1" applyFont="1">
      <alignment horizontal="center" shrinkToFit="0" wrapText="0"/>
    </xf>
    <xf borderId="0" fillId="0" fontId="0" numFmtId="165" xfId="0" applyAlignment="1" applyFont="1" applyNumberFormat="1">
      <alignment shrinkToFit="0" wrapText="0"/>
    </xf>
    <xf borderId="0" fillId="0" fontId="0" numFmtId="166" xfId="0" applyAlignment="1" applyFont="1" applyNumberFormat="1">
      <alignment shrinkToFit="0" wrapText="0"/>
    </xf>
    <xf borderId="0" fillId="0" fontId="0" numFmtId="3" xfId="0" applyAlignment="1" applyFont="1" applyNumberFormat="1">
      <alignment shrinkToFit="0" wrapText="0"/>
    </xf>
    <xf borderId="0" fillId="0" fontId="0" numFmtId="164" xfId="0" applyAlignment="1" applyFont="1" applyNumberFormat="1">
      <alignment shrinkToFit="0" wrapText="0"/>
    </xf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Font="1"/>
    <xf borderId="0" fillId="0" fontId="1" numFmtId="0" xfId="0" applyAlignment="1" applyFont="1">
      <alignment shrinkToFit="0" wrapText="1"/>
    </xf>
    <xf borderId="0" fillId="3" fontId="3" numFmtId="0" xfId="0" applyAlignment="1" applyFill="1" applyFont="1">
      <alignment readingOrder="0"/>
    </xf>
    <xf borderId="0" fillId="0" fontId="1" numFmtId="49" xfId="0" applyAlignment="1" applyFont="1" applyNumberFormat="1">
      <alignment shrinkToFit="0" wrapText="1"/>
    </xf>
    <xf borderId="0" fillId="0" fontId="0" numFmtId="0" xfId="0" applyAlignment="1" applyFont="1">
      <alignment vertical="bottom"/>
    </xf>
    <xf borderId="0" fillId="3" fontId="3" numFmtId="0" xfId="0" applyAlignment="1" applyFill="1" applyFont="1">
      <alignment readingOrder="0"/>
    </xf>
    <xf borderId="1" fillId="4" fontId="1" numFmtId="2" xfId="0" applyAlignment="1" applyBorder="1" applyFill="1" applyFont="1" applyNumberFormat="1">
      <alignment shrinkToFit="0" wrapText="1"/>
    </xf>
    <xf borderId="0" fillId="0" fontId="4" numFmtId="0" xfId="0" applyAlignment="1" applyFont="1">
      <alignment horizontal="left" readingOrder="0" shrinkToFit="0" wrapText="0"/>
    </xf>
    <xf borderId="1" fillId="4" fontId="1" numFmtId="167" xfId="0" applyAlignment="1" applyBorder="1" applyFill="1" applyFont="1" applyNumberFormat="1">
      <alignment shrinkToFit="0" wrapText="1"/>
    </xf>
    <xf borderId="0" fillId="0" fontId="5" numFmtId="0" xfId="0" applyAlignment="1" applyFont="1">
      <alignment horizontal="left" readingOrder="0" shrinkToFit="0" wrapText="0"/>
    </xf>
    <xf borderId="1" fillId="4" fontId="1" numFmtId="0" xfId="0" applyAlignment="1" applyBorder="1" applyFill="1" applyFont="1">
      <alignment shrinkToFit="0" wrapText="1"/>
    </xf>
    <xf borderId="0" fillId="0" fontId="5" numFmtId="0" xfId="0" applyAlignment="1" applyFont="1">
      <alignment horizontal="right" readingOrder="0" shrinkToFit="0" wrapText="0"/>
    </xf>
    <xf borderId="0" fillId="0" fontId="5" numFmtId="0" xfId="0" applyAlignment="1" applyFont="1">
      <alignment horizontal="left" readingOrder="0" shrinkToFit="0" wrapText="0"/>
    </xf>
    <xf borderId="1" fillId="4" fontId="0" numFmtId="0" xfId="0" applyAlignment="1" applyBorder="1" applyFill="1" applyFont="1">
      <alignment shrinkToFit="0" wrapText="1"/>
    </xf>
    <xf borderId="0" fillId="0" fontId="0" numFmtId="0" xfId="0" applyAlignment="1" applyFont="1">
      <alignment readingOrder="0" vertical="bottom"/>
    </xf>
    <xf borderId="0" fillId="0" fontId="5" numFmtId="0" xfId="0" applyAlignment="1" applyFont="1">
      <alignment horizontal="right" readingOrder="0" shrinkToFit="0" wrapText="0"/>
    </xf>
    <xf borderId="1" fillId="4" fontId="1" numFmtId="0" xfId="0" applyAlignment="1" applyBorder="1" applyFill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0" numFmtId="0" xfId="0" applyAlignment="1" applyFont="1">
      <alignment readingOrder="0" shrinkToFit="0" wrapText="1"/>
    </xf>
    <xf borderId="0" fillId="0" fontId="0" numFmtId="49" xfId="0" applyAlignment="1" applyFont="1" applyNumberFormat="1">
      <alignment shrinkToFit="0" wrapText="0"/>
    </xf>
    <xf borderId="0" fillId="0" fontId="0" numFmtId="0" xfId="0" applyAlignment="1" applyFont="1">
      <alignment shrinkToFit="0" wrapText="0"/>
    </xf>
    <xf borderId="1" fillId="4" fontId="0" numFmtId="0" xfId="0" applyAlignment="1" applyBorder="1" applyFill="1" applyFont="1">
      <alignment shrinkToFit="0" wrapText="0"/>
    </xf>
    <xf borderId="0" fillId="0" fontId="3" numFmtId="2" xfId="0" applyAlignment="1" applyFont="1" applyNumberFormat="1">
      <alignment readingOrder="0"/>
    </xf>
    <xf borderId="0" fillId="0" fontId="3" numFmtId="2" xfId="0" applyFont="1" applyNumberFormat="1"/>
    <xf borderId="0" fillId="0" fontId="6" numFmtId="0" xfId="0" applyAlignment="1" applyFont="1">
      <alignment horizontal="center" shrinkToFit="0" vertical="center" wrapText="0"/>
    </xf>
    <xf borderId="0" fillId="5" fontId="7" numFmtId="0" xfId="0" applyFill="1" applyFont="1"/>
    <xf borderId="0" fillId="0" fontId="3" numFmtId="0" xfId="0" applyFont="1"/>
    <xf borderId="0" fillId="0" fontId="0" numFmtId="1" xfId="0" applyAlignment="1" applyFont="1" applyNumberFormat="1">
      <alignment shrinkToFit="0" wrapText="0"/>
    </xf>
    <xf borderId="0" fillId="0" fontId="8" numFmtId="0" xfId="0" applyAlignment="1" applyFont="1">
      <alignment horizontal="left" readingOrder="0" shrinkToFit="0" wrapText="0"/>
    </xf>
    <xf borderId="0" fillId="0" fontId="8" numFmtId="0" xfId="0" applyAlignment="1" applyFont="1">
      <alignment horizontal="left" readingOrder="0" shrinkToFit="0" vertical="bottom" wrapText="0"/>
    </xf>
    <xf borderId="0" fillId="0" fontId="9" numFmtId="0" xfId="0" applyAlignment="1" applyFont="1">
      <alignment horizontal="right" readingOrder="0" shrinkToFit="0" wrapText="0"/>
    </xf>
    <xf borderId="0" fillId="0" fontId="10" numFmtId="0" xfId="0" applyAlignment="1" applyFont="1">
      <alignment horizontal="left" readingOrder="0" shrinkToFit="0" wrapText="0"/>
    </xf>
    <xf borderId="0" fillId="0" fontId="8" numFmtId="0" xfId="0" applyAlignment="1" applyFont="1">
      <alignment horizontal="right"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0" fontId="0" numFmtId="0" xfId="0" applyAlignment="1" applyFont="1">
      <alignment readingOrder="0" shrinkToFit="0" wrapText="0"/>
    </xf>
    <xf borderId="0" fillId="0" fontId="10" numFmtId="0" xfId="0" applyAlignment="1" applyFont="1">
      <alignment horizontal="right" readingOrder="0" shrinkToFit="0" wrapText="0"/>
    </xf>
    <xf borderId="0" fillId="0" fontId="9" numFmtId="0" xfId="0" applyAlignment="1" applyFont="1">
      <alignment horizontal="left" readingOrder="0" shrinkToFit="0" wrapText="0"/>
    </xf>
    <xf borderId="1" fillId="4" fontId="0" numFmtId="2" xfId="0" applyAlignment="1" applyBorder="1" applyFill="1" applyFont="1" applyNumberFormat="1">
      <alignment shrinkToFit="0" wrapText="0"/>
    </xf>
    <xf borderId="0" fillId="0" fontId="12" numFmtId="0" xfId="0" applyAlignment="1" applyFont="1">
      <alignment horizontal="left" readingOrder="0" shrinkToFit="0" vertical="top" wrapText="0"/>
    </xf>
    <xf borderId="0" fillId="0" fontId="11" numFmtId="0" xfId="0" applyAlignment="1" applyFont="1">
      <alignment horizontal="left" readingOrder="0" shrinkToFit="0" wrapText="0"/>
    </xf>
    <xf borderId="0" fillId="0" fontId="11" numFmtId="0" xfId="0" applyAlignment="1" applyFont="1">
      <alignment horizontal="left" readingOrder="0" shrinkToFit="0" vertical="bottom" wrapText="0"/>
    </xf>
    <xf borderId="0" fillId="0" fontId="13" numFmtId="0" xfId="0" applyAlignment="1" applyFont="1">
      <alignment horizontal="left" readingOrder="0" shrinkToFit="0" vertical="bottom" wrapText="0"/>
    </xf>
    <xf borderId="0" fillId="0" fontId="12" numFmtId="0" xfId="0" applyAlignment="1" applyFont="1">
      <alignment horizontal="left" readingOrder="0" shrinkToFit="0" vertical="bottom" wrapText="0"/>
    </xf>
    <xf borderId="0" fillId="0" fontId="0" numFmtId="165" xfId="0" applyAlignment="1" applyFont="1" applyNumberFormat="1">
      <alignment shrinkToFit="0" wrapText="0"/>
    </xf>
    <xf borderId="0" fillId="0" fontId="0" numFmtId="0" xfId="0" applyAlignment="1" applyFont="1">
      <alignment horizontal="right" readingOrder="0" shrinkToFit="0" vertical="bottom" wrapText="0"/>
    </xf>
    <xf borderId="0" fillId="0" fontId="0" numFmtId="168" xfId="0" applyAlignment="1" applyFont="1" applyNumberFormat="1">
      <alignment horizontal="right" readingOrder="0" shrinkToFit="0" vertical="bottom" wrapText="0"/>
    </xf>
    <xf borderId="0" fillId="0" fontId="0" numFmtId="0" xfId="0" applyAlignment="1" applyFont="1">
      <alignment horizontal="center" readingOrder="0" shrinkToFit="0" vertical="bottom" wrapText="0"/>
    </xf>
    <xf borderId="0" fillId="0" fontId="0" numFmtId="169" xfId="0" applyAlignment="1" applyFont="1" applyNumberFormat="1">
      <alignment horizontal="right" readingOrder="0" shrinkToFit="0" vertical="bottom" wrapText="0"/>
    </xf>
    <xf borderId="0" fillId="0" fontId="0" numFmtId="3" xfId="0" applyAlignment="1" applyFont="1" applyNumberFormat="1">
      <alignment readingOrder="0" shrinkToFit="0" vertical="bottom" wrapText="0"/>
    </xf>
    <xf borderId="0" fillId="3" fontId="0" numFmtId="164" xfId="0" applyAlignment="1" applyFill="1" applyFont="1" applyNumberFormat="1">
      <alignment readingOrder="0" shrinkToFit="0" vertical="bottom" wrapText="0"/>
    </xf>
    <xf borderId="0" fillId="6" fontId="0" numFmtId="0" xfId="0" applyAlignment="1" applyFill="1" applyFont="1">
      <alignment readingOrder="0" shrinkToFit="0" vertical="bottom" wrapText="0"/>
    </xf>
    <xf borderId="0" fillId="0" fontId="12" numFmtId="0" xfId="0" applyAlignment="1" applyFont="1">
      <alignment horizontal="left" readingOrder="0" shrinkToFit="0" wrapText="0"/>
    </xf>
    <xf borderId="0" fillId="0" fontId="14" numFmtId="0" xfId="0" applyAlignment="1" applyFont="1">
      <alignment horizontal="right" readingOrder="0" shrinkToFit="0" wrapText="0"/>
    </xf>
    <xf borderId="0" fillId="0" fontId="14" numFmtId="0" xfId="0" applyAlignment="1" applyFont="1">
      <alignment horizontal="left" readingOrder="0" shrinkToFit="0" wrapText="0"/>
    </xf>
    <xf borderId="0" fillId="0" fontId="0" numFmtId="0" xfId="0" applyAlignment="1" applyFont="1">
      <alignment horizontal="left" readingOrder="0" shrinkToFit="0" vertical="bottom" wrapText="0"/>
    </xf>
    <xf borderId="0" fillId="0" fontId="0" numFmtId="3" xfId="0" applyAlignment="1" applyFont="1" applyNumberFormat="1">
      <alignment shrinkToFit="0" vertical="bottom" wrapText="0"/>
    </xf>
    <xf borderId="0" fillId="0" fontId="0" numFmtId="164" xfId="0" applyAlignment="1" applyFont="1" applyNumberFormat="1">
      <alignment shrinkToFit="0" vertical="bottom" wrapText="0"/>
    </xf>
    <xf borderId="0" fillId="0" fontId="0" numFmtId="170" xfId="0" applyAlignment="1" applyFont="1" applyNumberFormat="1">
      <alignment shrinkToFit="0" wrapText="0"/>
    </xf>
    <xf borderId="0" fillId="0" fontId="0" numFmtId="0" xfId="0" applyAlignment="1" applyFont="1">
      <alignment horizontal="center" readingOrder="0" shrinkToFit="0" wrapText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center" readingOrder="0"/>
    </xf>
    <xf borderId="0" fillId="7" fontId="0" numFmtId="0" xfId="0" applyAlignment="1" applyFill="1" applyFont="1">
      <alignment shrinkToFit="0" wrapText="0"/>
    </xf>
    <xf borderId="0" fillId="7" fontId="0" numFmtId="165" xfId="0" applyAlignment="1" applyFill="1" applyFont="1" applyNumberFormat="1">
      <alignment shrinkToFit="0" wrapText="0"/>
    </xf>
    <xf borderId="0" fillId="0" fontId="5" numFmtId="0" xfId="0" applyAlignment="1" applyFont="1">
      <alignment horizontal="left" readingOrder="0" shrinkToFit="0" wrapText="0"/>
    </xf>
    <xf borderId="0" fillId="0" fontId="5" numFmtId="0" xfId="0" applyAlignment="1" applyFont="1">
      <alignment horizontal="right" readingOrder="0" shrinkToFit="0" wrapText="0"/>
    </xf>
    <xf borderId="0" fillId="8" fontId="8" numFmtId="0" xfId="0" applyAlignment="1" applyFill="1" applyFont="1">
      <alignment horizontal="left" readingOrder="0" shrinkToFit="0" wrapText="0"/>
    </xf>
    <xf borderId="0" fillId="8" fontId="11" numFmtId="0" xfId="0" applyAlignment="1" applyFill="1" applyFont="1">
      <alignment horizontal="left" readingOrder="0" shrinkToFit="0" vertical="bottom" wrapText="0"/>
    </xf>
    <xf borderId="0" fillId="0" fontId="16" numFmtId="0" xfId="0" applyAlignment="1" applyFont="1">
      <alignment horizontal="right" readingOrder="0" shrinkToFit="0" wrapText="0"/>
    </xf>
    <xf borderId="0" fillId="0" fontId="17" numFmtId="0" xfId="0" applyAlignment="1" applyFont="1">
      <alignment horizontal="left" readingOrder="0" shrinkToFit="0" wrapText="0"/>
    </xf>
    <xf borderId="0" fillId="8" fontId="8" numFmtId="0" xfId="0" applyAlignment="1" applyFill="1" applyFont="1">
      <alignment horizontal="right" readingOrder="0" shrinkToFit="0" vertical="bottom" wrapText="0"/>
    </xf>
    <xf borderId="0" fillId="0" fontId="8" numFmtId="0" xfId="0" applyAlignment="1" applyFont="1">
      <alignment horizontal="left" readingOrder="0" shrinkToFit="0" wrapText="0"/>
    </xf>
    <xf borderId="0" fillId="0" fontId="8" numFmtId="0" xfId="0" applyAlignment="1" applyFont="1">
      <alignment horizontal="left" readingOrder="0" shrinkToFit="0" vertical="bottom" wrapText="0"/>
    </xf>
    <xf borderId="0" fillId="0" fontId="18" numFmtId="0" xfId="0" applyAlignment="1" applyFont="1">
      <alignment horizontal="right" readingOrder="0" shrinkToFit="0" wrapText="0"/>
    </xf>
    <xf borderId="0" fillId="0" fontId="19" numFmtId="0" xfId="0" applyAlignment="1" applyFont="1">
      <alignment horizontal="left" readingOrder="0" shrinkToFit="0" wrapText="0"/>
    </xf>
    <xf borderId="0" fillId="0" fontId="8" numFmtId="0" xfId="0" applyAlignment="1" applyFont="1">
      <alignment horizontal="right" readingOrder="0" shrinkToFit="0" vertical="bottom" wrapText="0"/>
    </xf>
    <xf borderId="0" fillId="8" fontId="8" numFmtId="0" xfId="0" applyAlignment="1" applyFill="1" applyFont="1">
      <alignment horizontal="left" readingOrder="0" shrinkToFit="0" vertical="bottom" wrapText="0"/>
    </xf>
    <xf borderId="0" fillId="0" fontId="12" numFmtId="0" xfId="0" applyAlignment="1" applyFont="1">
      <alignment horizontal="left" readingOrder="0" vertical="top"/>
    </xf>
    <xf borderId="0" fillId="0" fontId="20" numFmtId="0" xfId="0" applyAlignment="1" applyFont="1">
      <alignment horizontal="left" readingOrder="0" shrinkToFit="0" vertical="top" wrapText="0"/>
    </xf>
    <xf borderId="0" fillId="0" fontId="5" numFmtId="0" xfId="0" applyAlignment="1" applyFont="1">
      <alignment horizontal="left" readingOrder="0" shrinkToFit="0" wrapText="0"/>
    </xf>
    <xf borderId="0" fillId="0" fontId="5" numFmtId="0" xfId="0" applyAlignment="1" applyFont="1">
      <alignment horizontal="right" readingOrder="0" shrinkToFit="0" wrapText="0"/>
    </xf>
    <xf borderId="0" fillId="8" fontId="8" numFmtId="0" xfId="0" applyAlignment="1" applyFill="1" applyFont="1">
      <alignment horizontal="left" readingOrder="0" shrinkToFit="0" wrapText="0"/>
    </xf>
    <xf borderId="0" fillId="8" fontId="8" numFmtId="0" xfId="0" applyAlignment="1" applyFill="1" applyFont="1">
      <alignment horizontal="left" readingOrder="0" shrinkToFit="0" vertical="bottom" wrapText="0"/>
    </xf>
    <xf borderId="0" fillId="0" fontId="21" numFmtId="0" xfId="0" applyAlignment="1" applyFont="1">
      <alignment horizontal="right" readingOrder="0" shrinkToFit="0" wrapText="0"/>
    </xf>
    <xf borderId="0" fillId="0" fontId="22" numFmtId="0" xfId="0" applyAlignment="1" applyFont="1">
      <alignment horizontal="left" readingOrder="0" shrinkToFit="0" wrapText="0"/>
    </xf>
    <xf borderId="0" fillId="8" fontId="11" numFmtId="0" xfId="0" applyAlignment="1" applyFill="1" applyFont="1">
      <alignment horizontal="right" readingOrder="0" shrinkToFit="0" vertical="bottom" wrapText="0"/>
    </xf>
    <xf borderId="0" fillId="0" fontId="8" numFmtId="0" xfId="0" applyAlignment="1" applyFont="1">
      <alignment horizontal="left" readingOrder="0" shrinkToFit="0" wrapText="0"/>
    </xf>
    <xf borderId="0" fillId="0" fontId="8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8" fontId="8" numFmtId="0" xfId="0" applyAlignment="1" applyFill="1" applyFont="1">
      <alignment horizontal="right" readingOrder="0" shrinkToFit="0" vertical="bottom" wrapText="0"/>
    </xf>
    <xf borderId="0" fillId="0" fontId="23" numFmtId="0" xfId="0" applyAlignment="1" applyFont="1">
      <alignment horizontal="right" readingOrder="0" shrinkToFit="0" wrapText="0"/>
    </xf>
    <xf borderId="0" fillId="0" fontId="24" numFmtId="0" xfId="0" applyAlignment="1" applyFont="1">
      <alignment horizontal="left" readingOrder="0" shrinkToFit="0" wrapText="0"/>
    </xf>
    <xf borderId="0" fillId="8" fontId="11" numFmtId="0" xfId="0" applyAlignment="1" applyFill="1" applyFont="1">
      <alignment horizontal="left" readingOrder="0" shrinkToFit="0" vertical="bottom" wrapText="0"/>
    </xf>
    <xf borderId="2" fillId="8" fontId="25" numFmtId="0" xfId="0" applyAlignment="1" applyBorder="1" applyFill="1" applyFont="1">
      <alignment horizontal="left" readingOrder="0" shrinkToFit="0" wrapText="0"/>
    </xf>
    <xf borderId="2" fillId="0" fontId="25" numFmtId="0" xfId="0" applyAlignment="1" applyBorder="1" applyFont="1">
      <alignment horizontal="left" readingOrder="0" shrinkToFit="0" wrapText="0"/>
    </xf>
    <xf borderId="0" fillId="0" fontId="25" numFmtId="0" xfId="0" applyAlignment="1" applyFont="1">
      <alignment horizontal="left" readingOrder="0" shrinkToFit="0" wrapText="0"/>
    </xf>
    <xf borderId="0" fillId="0" fontId="11" numFmtId="0" xfId="0" applyAlignment="1" applyFont="1">
      <alignment horizontal="right" readingOrder="0" shrinkToFit="0" vertical="bottom" wrapText="0"/>
    </xf>
    <xf borderId="0" fillId="0" fontId="26" numFmtId="0" xfId="0" applyAlignment="1" applyFont="1">
      <alignment horizontal="left" readingOrder="0" shrinkToFit="0" vertical="bottom" wrapText="0"/>
    </xf>
    <xf borderId="0" fillId="0" fontId="12" numFmtId="0" xfId="0" applyAlignment="1" applyFont="1">
      <alignment horizontal="left" readingOrder="0" shrinkToFit="0" vertical="bottom" wrapText="0"/>
    </xf>
    <xf borderId="0" fillId="0" fontId="20" numFmtId="0" xfId="0" applyAlignment="1" applyFont="1">
      <alignment horizontal="left" readingOrder="0" shrinkToFit="0" vertical="bottom" wrapText="0"/>
    </xf>
    <xf borderId="0" fillId="0" fontId="12" numFmtId="0" xfId="0" applyAlignment="1" applyFont="1">
      <alignment horizontal="left" readingOrder="0" shrinkToFit="0" vertical="top" wrapText="0"/>
    </xf>
    <xf borderId="0" fillId="0" fontId="11" numFmtId="0" xfId="0" applyAlignment="1" applyFont="1">
      <alignment horizontal="right" readingOrder="0" shrinkToFit="0" vertical="bottom" wrapText="0"/>
    </xf>
    <xf borderId="3" fillId="0" fontId="5" numFmtId="0" xfId="0" applyAlignment="1" applyBorder="1" applyFont="1">
      <alignment horizontal="left" readingOrder="0" shrinkToFit="0" wrapText="0"/>
    </xf>
    <xf borderId="3" fillId="0" fontId="5" numFmtId="0" xfId="0" applyAlignment="1" applyBorder="1" applyFont="1">
      <alignment horizontal="right" readingOrder="0" shrinkToFit="0" wrapText="0"/>
    </xf>
    <xf borderId="2" fillId="8" fontId="8" numFmtId="0" xfId="0" applyAlignment="1" applyBorder="1" applyFill="1" applyFont="1">
      <alignment horizontal="left" readingOrder="0" shrinkToFit="0" wrapText="0"/>
    </xf>
    <xf borderId="2" fillId="8" fontId="8" numFmtId="0" xfId="0" applyAlignment="1" applyBorder="1" applyFill="1" applyFont="1">
      <alignment horizontal="left" readingOrder="0" shrinkToFit="0" vertical="bottom" wrapText="0"/>
    </xf>
    <xf borderId="2" fillId="0" fontId="27" numFmtId="0" xfId="0" applyAlignment="1" applyBorder="1" applyFont="1">
      <alignment horizontal="right" readingOrder="0" shrinkToFit="0" wrapText="0"/>
    </xf>
    <xf borderId="2" fillId="0" fontId="28" numFmtId="0" xfId="0" applyAlignment="1" applyBorder="1" applyFont="1">
      <alignment horizontal="left" readingOrder="0" shrinkToFit="0" wrapText="0"/>
    </xf>
    <xf borderId="2" fillId="8" fontId="8" numFmtId="0" xfId="0" applyAlignment="1" applyBorder="1" applyFill="1" applyFont="1">
      <alignment horizontal="right" readingOrder="0" shrinkToFit="0" vertical="bottom" wrapText="0"/>
    </xf>
    <xf borderId="2" fillId="0" fontId="8" numFmtId="0" xfId="0" applyAlignment="1" applyBorder="1" applyFont="1">
      <alignment horizontal="left" readingOrder="0" shrinkToFit="0" wrapText="0"/>
    </xf>
    <xf borderId="2" fillId="0" fontId="8" numFmtId="0" xfId="0" applyAlignment="1" applyBorder="1" applyFont="1">
      <alignment horizontal="left" readingOrder="0" shrinkToFit="0" vertical="bottom" wrapText="0"/>
    </xf>
    <xf borderId="2" fillId="0" fontId="8" numFmtId="0" xfId="0" applyAlignment="1" applyBorder="1" applyFont="1">
      <alignment horizontal="right" readingOrder="0" shrinkToFit="0" vertical="bottom" wrapText="0"/>
    </xf>
    <xf borderId="2" fillId="0" fontId="29" numFmtId="0" xfId="0" applyAlignment="1" applyBorder="1" applyFont="1">
      <alignment horizontal="right" readingOrder="0" shrinkToFit="0" wrapText="0"/>
    </xf>
    <xf borderId="2" fillId="0" fontId="30" numFmtId="0" xfId="0" applyAlignment="1" applyBorder="1" applyFont="1">
      <alignment horizontal="left" readingOrder="0" shrinkToFit="0" wrapText="0"/>
    </xf>
    <xf borderId="2" fillId="8" fontId="11" numFmtId="0" xfId="0" applyAlignment="1" applyBorder="1" applyFill="1" applyFont="1">
      <alignment horizontal="left" readingOrder="0" shrinkToFit="0" wrapText="0"/>
    </xf>
    <xf borderId="2" fillId="8" fontId="11" numFmtId="0" xfId="0" applyAlignment="1" applyBorder="1" applyFill="1" applyFont="1">
      <alignment horizontal="left" readingOrder="0" shrinkToFit="0" vertical="bottom" wrapText="0"/>
    </xf>
    <xf borderId="2" fillId="8" fontId="11" numFmtId="0" xfId="0" applyAlignment="1" applyBorder="1" applyFill="1" applyFont="1">
      <alignment horizontal="right" readingOrder="0" shrinkToFit="0" vertical="bottom" wrapText="0"/>
    </xf>
    <xf borderId="2" fillId="0" fontId="11" numFmtId="0" xfId="0" applyAlignment="1" applyBorder="1" applyFont="1">
      <alignment horizontal="left" readingOrder="0" shrinkToFit="0" wrapText="0"/>
    </xf>
    <xf borderId="2" fillId="0" fontId="11" numFmtId="0" xfId="0" applyAlignment="1" applyBorder="1" applyFont="1">
      <alignment horizontal="left" readingOrder="0" shrinkToFit="0" vertical="bottom" wrapText="0"/>
    </xf>
    <xf borderId="2" fillId="0" fontId="11" numFmtId="0" xfId="0" applyAlignment="1" applyBorder="1" applyFont="1">
      <alignment horizontal="right" readingOrder="0" shrinkToFit="0" vertical="bottom" wrapText="0"/>
    </xf>
    <xf borderId="0" fillId="0" fontId="11" numFmtId="0" xfId="0" applyAlignment="1" applyFont="1">
      <alignment horizontal="left" readingOrder="0" shrinkToFit="0" wrapText="0"/>
    </xf>
    <xf borderId="0" fillId="0" fontId="11" numFmtId="0" xfId="0" applyAlignment="1" applyFont="1">
      <alignment horizontal="left" readingOrder="0" shrinkToFit="0" vertical="bottom" wrapText="0"/>
    </xf>
    <xf borderId="0" fillId="0" fontId="26" numFmtId="0" xfId="0" applyAlignment="1" applyFont="1">
      <alignment horizontal="right" readingOrder="0" shrinkToFit="0" wrapText="0"/>
    </xf>
    <xf borderId="0" fillId="0" fontId="14" numFmtId="0" xfId="0" applyAlignment="1" applyFont="1">
      <alignment horizontal="left" readingOrder="0" shrinkToFit="0" wrapText="0"/>
    </xf>
    <xf borderId="2" fillId="8" fontId="8" numFmtId="0" xfId="0" applyAlignment="1" applyBorder="1" applyFill="1" applyFont="1">
      <alignment horizontal="left" readingOrder="0" shrinkToFit="0" vertical="bottom" wrapText="0"/>
    </xf>
    <xf borderId="2" fillId="0" fontId="14" numFmtId="0" xfId="0" applyAlignment="1" applyBorder="1" applyFont="1">
      <alignment horizontal="right" readingOrder="0" shrinkToFit="0" wrapText="0"/>
    </xf>
    <xf borderId="2" fillId="0" fontId="26" numFmtId="0" xfId="0" applyAlignment="1" applyBorder="1" applyFont="1">
      <alignment horizontal="left" readingOrder="0" shrinkToFit="0" wrapText="0"/>
    </xf>
    <xf borderId="2" fillId="8" fontId="8" numFmtId="0" xfId="0" applyAlignment="1" applyBorder="1" applyFill="1" applyFont="1">
      <alignment horizontal="right" readingOrder="0" shrinkToFit="0" vertical="bottom" wrapText="0"/>
    </xf>
    <xf borderId="2" fillId="8" fontId="8" numFmtId="0" xfId="0" applyAlignment="1" applyBorder="1" applyFill="1" applyFont="1">
      <alignment horizontal="left" readingOrder="0" shrinkToFit="0" wrapText="0"/>
    </xf>
    <xf borderId="2" fillId="0" fontId="8" numFmtId="0" xfId="0" applyAlignment="1" applyBorder="1" applyFont="1">
      <alignment horizontal="left" readingOrder="0" shrinkToFit="0" vertical="bottom" wrapText="0"/>
    </xf>
    <xf borderId="2" fillId="0" fontId="26" numFmtId="0" xfId="0" applyAlignment="1" applyBorder="1" applyFont="1">
      <alignment horizontal="right" readingOrder="0" shrinkToFit="0" wrapText="0"/>
    </xf>
    <xf borderId="2" fillId="0" fontId="14" numFmtId="0" xfId="0" applyAlignment="1" applyBorder="1" applyFont="1">
      <alignment horizontal="left" readingOrder="0" shrinkToFit="0" wrapText="0"/>
    </xf>
    <xf borderId="2" fillId="0" fontId="8" numFmtId="0" xfId="0" applyAlignment="1" applyBorder="1" applyFont="1">
      <alignment horizontal="right" readingOrder="0" shrinkToFit="0" vertical="bottom" wrapText="0"/>
    </xf>
    <xf borderId="2" fillId="0" fontId="8" numFmtId="0" xfId="0" applyAlignment="1" applyBorder="1" applyFont="1">
      <alignment horizontal="left" readingOrder="0" shrinkToFit="0" wrapText="0"/>
    </xf>
    <xf borderId="2" fillId="8" fontId="8" numFmtId="0" xfId="0" applyAlignment="1" applyBorder="1" applyFill="1" applyFont="1">
      <alignment horizontal="left" shrinkToFit="0" wrapText="0"/>
    </xf>
    <xf borderId="3" fillId="0" fontId="5" numFmtId="0" xfId="0" applyAlignment="1" applyBorder="1" applyFont="1">
      <alignment horizontal="left" readingOrder="0" shrinkToFit="0" wrapText="0"/>
    </xf>
    <xf borderId="3" fillId="0" fontId="5" numFmtId="0" xfId="0" applyAlignment="1" applyBorder="1" applyFont="1">
      <alignment horizontal="right" readingOrder="0" shrinkToFit="0" wrapText="0"/>
    </xf>
    <xf borderId="0" fillId="0" fontId="8" numFmtId="0" xfId="0" applyAlignment="1" applyFont="1">
      <alignment horizontal="left" shrinkToFit="0" wrapText="0"/>
    </xf>
    <xf borderId="2" fillId="0" fontId="8" numFmtId="0" xfId="0" applyAlignment="1" applyBorder="1" applyFont="1">
      <alignment horizontal="left" shrinkToFit="0" wrapText="0"/>
    </xf>
    <xf borderId="0" fillId="8" fontId="11" numFmtId="0" xfId="0" applyAlignment="1" applyFill="1" applyFont="1">
      <alignment horizontal="left" readingOrder="0" shrinkToFit="0" wrapText="0"/>
    </xf>
    <xf borderId="0" fillId="8" fontId="11" numFmtId="0" xfId="0" applyAlignment="1" applyFill="1" applyFont="1">
      <alignment horizontal="right" readingOrder="0" shrinkToFit="0" vertical="bottom" wrapText="0"/>
    </xf>
    <xf borderId="0" fillId="0" fontId="1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readingOrder="0" shrinkToFit="0" wrapText="0"/>
    </xf>
    <xf borderId="3" fillId="0" fontId="8" numFmtId="0" xfId="0" applyAlignment="1" applyBorder="1" applyFont="1">
      <alignment horizontal="left" readingOrder="0" shrinkToFit="0" vertical="bottom" wrapText="0"/>
    </xf>
    <xf borderId="3" fillId="0" fontId="31" numFmtId="0" xfId="0" applyAlignment="1" applyBorder="1" applyFont="1">
      <alignment horizontal="right" readingOrder="0" shrinkToFit="0" wrapText="0"/>
    </xf>
    <xf borderId="3" fillId="0" fontId="32" numFmtId="0" xfId="0" applyAlignment="1" applyBorder="1" applyFont="1">
      <alignment horizontal="left" readingOrder="0" shrinkToFit="0" wrapText="0"/>
    </xf>
    <xf borderId="3" fillId="0" fontId="8" numFmtId="0" xfId="0" applyAlignment="1" applyBorder="1" applyFont="1">
      <alignment horizontal="right" readingOrder="0" shrinkToFit="0" vertical="bottom" wrapText="0"/>
    </xf>
    <xf borderId="3" fillId="0" fontId="8" numFmtId="0" xfId="0" applyAlignment="1" applyBorder="1" applyFont="1">
      <alignment horizontal="left" readingOrder="0" shrinkToFit="0" wrapText="0"/>
    </xf>
    <xf borderId="2" fillId="0" fontId="12" numFmtId="0" xfId="0" applyAlignment="1" applyBorder="1" applyFont="1">
      <alignment horizontal="left" readingOrder="0" vertical="top"/>
    </xf>
    <xf borderId="2" fillId="5" fontId="7" numFmtId="0" xfId="0" applyBorder="1" applyFill="1" applyFont="1"/>
    <xf borderId="2" fillId="0" fontId="3" numFmtId="0" xfId="0" applyBorder="1" applyFont="1"/>
    <xf borderId="2" fillId="0" fontId="3" numFmtId="0" xfId="0" applyBorder="1" applyFont="1"/>
    <xf borderId="3" fillId="0" fontId="33" numFmtId="0" xfId="0" applyAlignment="1" applyBorder="1" applyFont="1">
      <alignment horizontal="right" readingOrder="0" shrinkToFit="0" wrapText="0"/>
    </xf>
    <xf borderId="3" fillId="0" fontId="34" numFmtId="0" xfId="0" applyAlignment="1" applyBorder="1" applyFont="1">
      <alignment horizontal="left" readingOrder="0" shrinkToFit="0" wrapText="0"/>
    </xf>
    <xf borderId="3" fillId="0" fontId="11" numFmtId="0" xfId="0" applyAlignment="1" applyBorder="1" applyFont="1">
      <alignment horizontal="left" readingOrder="0" shrinkToFit="0" wrapText="0"/>
    </xf>
    <xf borderId="3" fillId="0" fontId="11" numFmtId="0" xfId="0" applyAlignment="1" applyBorder="1" applyFont="1">
      <alignment horizontal="left" readingOrder="0" shrinkToFit="0" vertical="bottom" wrapText="0"/>
    </xf>
    <xf borderId="3" fillId="0" fontId="11" numFmtId="0" xfId="0" applyAlignment="1" applyBorder="1" applyFont="1">
      <alignment horizontal="right" readingOrder="0" shrinkToFit="0" vertical="bottom" wrapText="0"/>
    </xf>
    <xf borderId="2" fillId="0" fontId="35" numFmtId="0" xfId="0" applyAlignment="1" applyBorder="1" applyFont="1">
      <alignment horizontal="right" readingOrder="0" shrinkToFit="0" wrapText="0"/>
    </xf>
    <xf borderId="2" fillId="0" fontId="36" numFmtId="0" xfId="0" applyAlignment="1" applyBorder="1" applyFont="1">
      <alignment horizontal="left" readingOrder="0" shrinkToFit="0" wrapText="0"/>
    </xf>
    <xf borderId="2" fillId="0" fontId="37" numFmtId="0" xfId="0" applyAlignment="1" applyBorder="1" applyFont="1">
      <alignment horizontal="left" readingOrder="0" shrinkToFit="0" wrapText="0"/>
    </xf>
    <xf borderId="2" fillId="8" fontId="11" numFmtId="0" xfId="0" applyAlignment="1" applyBorder="1" applyFill="1" applyFont="1">
      <alignment horizontal="left" readingOrder="0" shrinkToFit="0" vertical="bottom" wrapText="0"/>
    </xf>
    <xf borderId="2" fillId="0" fontId="5" numFmtId="0" xfId="0" applyAlignment="1" applyBorder="1" applyFont="1">
      <alignment horizontal="left" readingOrder="0" shrinkToFit="0" wrapText="0"/>
    </xf>
    <xf borderId="2" fillId="0" fontId="5" numFmtId="0" xfId="0" applyAlignment="1" applyBorder="1" applyFont="1">
      <alignment horizontal="right" readingOrder="0" shrinkToFit="0" wrapText="0"/>
    </xf>
    <xf borderId="3" fillId="8" fontId="11" numFmtId="0" xfId="0" applyAlignment="1" applyBorder="1" applyFill="1" applyFont="1">
      <alignment horizontal="left" readingOrder="0" shrinkToFit="0" vertical="bottom" wrapText="0"/>
    </xf>
    <xf borderId="3" fillId="8" fontId="11" numFmtId="0" xfId="0" applyAlignment="1" applyBorder="1" applyFill="1" applyFont="1">
      <alignment horizontal="right" readingOrder="0" shrinkToFit="0" vertical="bottom" wrapText="0"/>
    </xf>
    <xf borderId="3" fillId="8" fontId="11" numFmtId="0" xfId="0" applyAlignment="1" applyBorder="1" applyFill="1" applyFont="1">
      <alignment horizontal="left" readingOrder="0" shrinkToFit="0" wrapText="0"/>
    </xf>
    <xf borderId="0" fillId="0" fontId="0" numFmtId="2" xfId="0" applyAlignment="1" applyFont="1" applyNumberFormat="1">
      <alignment shrinkToFit="0" wrapText="0"/>
    </xf>
    <xf borderId="2" fillId="0" fontId="13" numFmtId="0" xfId="0" applyAlignment="1" applyBorder="1" applyFont="1">
      <alignment horizontal="left" readingOrder="0" shrinkToFit="0" vertical="bottom" wrapText="0"/>
    </xf>
    <xf borderId="2" fillId="0" fontId="11" numFmtId="0" xfId="0" applyAlignment="1" applyBorder="1" applyFont="1">
      <alignment horizontal="right" readingOrder="0" shrinkToFit="0" vertical="bottom" wrapText="0"/>
    </xf>
    <xf borderId="0" fillId="8" fontId="8" numFmtId="0" xfId="0" applyAlignment="1" applyFill="1" applyFont="1">
      <alignment horizontal="left" shrinkToFit="0" wrapText="0"/>
    </xf>
    <xf borderId="2" fillId="0" fontId="5" numFmtId="0" xfId="0" applyAlignment="1" applyBorder="1" applyFont="1">
      <alignment horizontal="left" readingOrder="0" shrinkToFit="0" wrapText="0"/>
    </xf>
    <xf borderId="2" fillId="0" fontId="5" numFmtId="0" xfId="0" applyAlignment="1" applyBorder="1" applyFont="1">
      <alignment horizontal="right" readingOrder="0" shrinkToFit="0" wrapText="0"/>
    </xf>
    <xf borderId="2" fillId="0" fontId="12" numFmtId="0" xfId="0" applyAlignment="1" applyBorder="1" applyFont="1">
      <alignment horizontal="left" readingOrder="0" shrinkToFit="0" vertical="top" wrapText="0"/>
    </xf>
    <xf borderId="2" fillId="0" fontId="4" numFmtId="0" xfId="0" applyAlignment="1" applyBorder="1" applyFont="1">
      <alignment horizontal="left" readingOrder="0" shrinkToFit="0" wrapText="0"/>
    </xf>
    <xf borderId="0" fillId="0" fontId="38" numFmtId="0" xfId="0" applyAlignment="1" applyFont="1">
      <alignment horizontal="right" readingOrder="0" shrinkToFit="0" wrapText="0"/>
    </xf>
    <xf borderId="0" fillId="0" fontId="39" numFmtId="0" xfId="0" applyAlignment="1" applyFont="1">
      <alignment horizontal="left" readingOrder="0" shrinkToFit="0" wrapText="0"/>
    </xf>
    <xf borderId="3" fillId="0" fontId="40" numFmtId="0" xfId="0" applyAlignment="1" applyBorder="1" applyFont="1">
      <alignment horizontal="right" readingOrder="0" shrinkToFit="0" wrapText="0"/>
    </xf>
    <xf borderId="3" fillId="0" fontId="41" numFmtId="0" xfId="0" applyAlignment="1" applyBorder="1" applyFont="1">
      <alignment horizontal="left" readingOrder="0" shrinkToFit="0" wrapText="0"/>
    </xf>
    <xf borderId="2" fillId="0" fontId="42" numFmtId="0" xfId="0" applyAlignment="1" applyBorder="1" applyFont="1">
      <alignment horizontal="right" readingOrder="0" shrinkToFit="0" wrapText="0"/>
    </xf>
    <xf borderId="2" fillId="0" fontId="43" numFmtId="0" xfId="0" applyAlignment="1" applyBorder="1" applyFont="1">
      <alignment horizontal="left" readingOrder="0" shrinkToFit="0" wrapText="0"/>
    </xf>
    <xf borderId="2" fillId="0" fontId="44" numFmtId="0" xfId="0" applyAlignment="1" applyBorder="1" applyFont="1">
      <alignment horizontal="right" readingOrder="0" shrinkToFit="0" wrapText="0"/>
    </xf>
    <xf borderId="2" fillId="0" fontId="45" numFmtId="0" xfId="0" applyAlignment="1" applyBorder="1" applyFont="1">
      <alignment horizontal="left" readingOrder="0" shrinkToFit="0" wrapText="0"/>
    </xf>
    <xf borderId="2" fillId="0" fontId="12" numFmtId="0" xfId="0" applyAlignment="1" applyBorder="1" applyFont="1">
      <alignment vertical="top"/>
    </xf>
    <xf borderId="2" fillId="5" fontId="46" numFmtId="0" xfId="0" applyAlignment="1" applyBorder="1" applyFill="1" applyFont="1">
      <alignment vertical="bottom"/>
    </xf>
    <xf borderId="2" fillId="0" fontId="46" numFmtId="0" xfId="0" applyAlignment="1" applyBorder="1" applyFont="1">
      <alignment vertical="bottom"/>
    </xf>
    <xf borderId="0" fillId="0" fontId="47" numFmtId="0" xfId="0" applyAlignment="1" applyFont="1">
      <alignment horizontal="center" vertical="bottom"/>
    </xf>
    <xf borderId="0" fillId="0" fontId="48" numFmtId="0" xfId="0" applyAlignment="1" applyFont="1">
      <alignment horizontal="right" readingOrder="0" shrinkToFit="0" wrapText="0"/>
    </xf>
    <xf borderId="0" fillId="0" fontId="49" numFmtId="0" xfId="0" applyAlignment="1" applyFont="1">
      <alignment horizontal="left" readingOrder="0" shrinkToFit="0" wrapText="0"/>
    </xf>
    <xf borderId="0" fillId="0" fontId="47" numFmtId="0" xfId="0" applyAlignment="1" applyFont="1">
      <alignment vertical="bottom"/>
    </xf>
    <xf borderId="3" fillId="0" fontId="50" numFmtId="0" xfId="0" applyAlignment="1" applyBorder="1" applyFont="1">
      <alignment horizontal="right" readingOrder="0" shrinkToFit="0" wrapText="0"/>
    </xf>
    <xf borderId="3" fillId="0" fontId="51" numFmtId="0" xfId="0" applyAlignment="1" applyBorder="1" applyFont="1">
      <alignment horizontal="left" readingOrder="0" shrinkToFit="0" wrapText="0"/>
    </xf>
    <xf borderId="2" fillId="8" fontId="46" numFmtId="0" xfId="0" applyAlignment="1" applyBorder="1" applyFill="1" applyFont="1">
      <alignment vertical="bottom"/>
    </xf>
    <xf borderId="0" fillId="0" fontId="52" numFmtId="0" xfId="0" applyAlignment="1" applyFont="1">
      <alignment horizontal="right" readingOrder="0" shrinkToFit="0" wrapText="0"/>
    </xf>
    <xf borderId="0" fillId="0" fontId="52" numFmtId="0" xfId="0" applyAlignment="1" applyFont="1">
      <alignment horizontal="left" readingOrder="0" shrinkToFit="0" wrapText="0"/>
    </xf>
    <xf borderId="0" fillId="0" fontId="5" numFmtId="0" xfId="0" applyAlignment="1" applyFont="1">
      <alignment readingOrder="0" shrinkToFit="0" wrapText="0"/>
    </xf>
    <xf borderId="0" fillId="0" fontId="53" numFmtId="0" xfId="0" applyAlignment="1" applyFont="1">
      <alignment readingOrder="0" shrinkToFit="0" wrapText="0"/>
    </xf>
    <xf borderId="0" fillId="0" fontId="54" numFmtId="0" xfId="0" applyAlignment="1" applyFont="1">
      <alignment readingOrder="0" shrinkToFit="0" wrapText="0"/>
    </xf>
    <xf borderId="0" fillId="0" fontId="52" numFmtId="0" xfId="0" applyAlignment="1" applyFont="1">
      <alignment readingOrder="0" shrinkToFit="0" wrapText="0"/>
    </xf>
    <xf borderId="0" fillId="0" fontId="55" numFmtId="0" xfId="0" applyAlignment="1" applyFont="1">
      <alignment readingOrder="0" shrinkToFit="0" wrapText="0"/>
    </xf>
    <xf borderId="0" fillId="0" fontId="11" numFmtId="0" xfId="0" applyAlignment="1" applyFont="1">
      <alignment horizontal="left" readingOrder="0" shrinkToFit="0" vertical="bottom" wrapText="0"/>
    </xf>
    <xf borderId="3" fillId="0" fontId="12" numFmtId="0" xfId="0" applyAlignment="1" applyBorder="1" applyFont="1">
      <alignment horizontal="left" readingOrder="0" vertical="top"/>
    </xf>
    <xf borderId="3" fillId="0" fontId="5" numFmtId="0" xfId="0" applyAlignment="1" applyBorder="1" applyFont="1">
      <alignment readingOrder="0" shrinkToFit="0" wrapText="0"/>
    </xf>
    <xf borderId="2" fillId="0" fontId="5" numFmtId="0" xfId="0" applyAlignment="1" applyBorder="1" applyFont="1">
      <alignment readingOrder="0" shrinkToFit="0" wrapText="0"/>
    </xf>
    <xf borderId="2" fillId="0" fontId="56" numFmtId="0" xfId="0" applyAlignment="1" applyBorder="1" applyFont="1">
      <alignment readingOrder="0" shrinkToFit="0" wrapText="0"/>
    </xf>
    <xf borderId="3" fillId="0" fontId="57" numFmtId="0" xfId="0" applyAlignment="1" applyBorder="1" applyFont="1">
      <alignment readingOrder="0" shrinkToFit="0" wrapText="0"/>
    </xf>
    <xf borderId="2" fillId="0" fontId="52" numFmtId="0" xfId="0" applyAlignment="1" applyBorder="1" applyFont="1">
      <alignment horizontal="right" readingOrder="0" shrinkToFit="0" wrapText="0"/>
    </xf>
    <xf borderId="2" fillId="0" fontId="52" numFmtId="0" xfId="0" applyAlignment="1" applyBorder="1" applyFont="1">
      <alignment horizontal="left" readingOrder="0" shrinkToFit="0" wrapText="0"/>
    </xf>
    <xf borderId="4" fillId="0" fontId="5" numFmtId="0" xfId="0" applyAlignment="1" applyBorder="1" applyFont="1">
      <alignment horizontal="left" readingOrder="0" shrinkToFit="0" wrapText="0"/>
    </xf>
    <xf borderId="4" fillId="0" fontId="5" numFmtId="0" xfId="0" applyAlignment="1" applyBorder="1" applyFont="1">
      <alignment readingOrder="0" shrinkToFit="0" wrapText="0"/>
    </xf>
    <xf borderId="4" fillId="0" fontId="5" numFmtId="0" xfId="0" applyAlignment="1" applyBorder="1" applyFont="1">
      <alignment horizontal="right" readingOrder="0" shrinkToFit="0" wrapText="0"/>
    </xf>
    <xf borderId="0" fillId="0" fontId="8" numFmtId="0" xfId="0" applyAlignment="1" applyFont="1">
      <alignment horizontal="left" shrinkToFit="0" wrapText="0"/>
    </xf>
    <xf borderId="2" fillId="0" fontId="8" numFmtId="0" xfId="0" applyAlignment="1" applyBorder="1" applyFont="1">
      <alignment horizontal="left" shrinkToFit="0" wrapText="0"/>
    </xf>
    <xf borderId="0" fillId="8" fontId="8" numFmtId="0" xfId="0" applyAlignment="1" applyFill="1" applyFont="1">
      <alignment horizontal="left" shrinkToFit="0" wrapText="0"/>
    </xf>
    <xf borderId="4" fillId="0" fontId="13" numFmtId="0" xfId="0" applyAlignment="1" applyBorder="1" applyFont="1">
      <alignment horizontal="left" readingOrder="0" shrinkToFit="0" vertical="bottom" wrapText="0"/>
    </xf>
    <xf borderId="4" fillId="8" fontId="8" numFmtId="0" xfId="0" applyAlignment="1" applyBorder="1" applyFill="1" applyFont="1">
      <alignment horizontal="left" readingOrder="0" shrinkToFit="0" vertical="bottom" wrapText="0"/>
    </xf>
    <xf borderId="4" fillId="8" fontId="8" numFmtId="0" xfId="0" applyAlignment="1" applyBorder="1" applyFill="1" applyFont="1">
      <alignment horizontal="left" shrinkToFit="0" wrapText="0"/>
    </xf>
    <xf borderId="4" fillId="8" fontId="11" numFmtId="0" xfId="0" applyAlignment="1" applyBorder="1" applyFill="1" applyFont="1">
      <alignment horizontal="right" readingOrder="0" shrinkToFit="0" vertical="bottom" wrapText="0"/>
    </xf>
    <xf borderId="4" fillId="8" fontId="8" numFmtId="0" xfId="0" applyAlignment="1" applyBorder="1" applyFill="1" applyFont="1">
      <alignment horizontal="left" readingOrder="0" shrinkToFit="0" wrapText="0"/>
    </xf>
    <xf borderId="2" fillId="0" fontId="12" numFmtId="0" xfId="0" applyAlignment="1" applyBorder="1" applyFont="1">
      <alignment horizontal="left" readingOrder="0" shrinkToFit="0" vertical="bottom" wrapText="0"/>
    </xf>
    <xf borderId="4" fillId="0" fontId="11" numFmtId="0" xfId="0" applyAlignment="1" applyBorder="1" applyFont="1">
      <alignment horizontal="left" readingOrder="0" shrinkToFit="0" wrapText="0"/>
    </xf>
    <xf borderId="4" fillId="0" fontId="11" numFmtId="0" xfId="0" applyAlignment="1" applyBorder="1" applyFont="1">
      <alignment horizontal="left" readingOrder="0" shrinkToFit="0" vertical="bottom" wrapText="0"/>
    </xf>
    <xf borderId="4" fillId="0" fontId="58" numFmtId="0" xfId="0" applyAlignment="1" applyBorder="1" applyFont="1">
      <alignment readingOrder="0" shrinkToFit="0" wrapText="0"/>
    </xf>
    <xf borderId="4" fillId="0" fontId="11" numFmtId="0" xfId="0" applyAlignment="1" applyBorder="1" applyFont="1">
      <alignment horizontal="right" readingOrder="0" shrinkToFit="0" vertical="bottom" wrapText="0"/>
    </xf>
    <xf borderId="2" fillId="0" fontId="59" numFmtId="0" xfId="0" applyAlignment="1" applyBorder="1" applyFont="1">
      <alignment horizontal="left" readingOrder="0" shrinkToFit="0" wrapText="0"/>
    </xf>
    <xf borderId="2" fillId="0" fontId="60" numFmtId="0" xfId="0" applyAlignment="1" applyBorder="1" applyFont="1">
      <alignment readingOrder="0" shrinkToFit="0" wrapText="0"/>
    </xf>
    <xf borderId="0" fillId="4" fontId="0" numFmtId="0" xfId="0" applyAlignment="1" applyFill="1" applyFont="1">
      <alignment shrinkToFit="0" wrapText="0"/>
    </xf>
    <xf borderId="4" fillId="0" fontId="8" numFmtId="0" xfId="0" applyAlignment="1" applyBorder="1" applyFont="1">
      <alignment horizontal="left" readingOrder="0" shrinkToFit="0" wrapText="0"/>
    </xf>
    <xf borderId="4" fillId="0" fontId="8" numFmtId="0" xfId="0" applyAlignment="1" applyBorder="1" applyFont="1">
      <alignment horizontal="left" readingOrder="0" shrinkToFit="0" vertical="bottom" wrapText="0"/>
    </xf>
    <xf borderId="4" fillId="0" fontId="61" numFmtId="0" xfId="0" applyAlignment="1" applyBorder="1" applyFont="1">
      <alignment readingOrder="0" shrinkToFit="0" wrapText="0"/>
    </xf>
    <xf borderId="4" fillId="0" fontId="8" numFmtId="0" xfId="0" applyAlignment="1" applyBorder="1" applyFont="1">
      <alignment horizontal="right" readingOrder="0" shrinkToFit="0" vertical="bottom" wrapText="0"/>
    </xf>
    <xf borderId="2" fillId="0" fontId="12" numFmtId="0" xfId="0" applyAlignment="1" applyBorder="1" applyFont="1">
      <alignment readingOrder="0" vertical="top"/>
    </xf>
    <xf borderId="2" fillId="0" fontId="62" numFmtId="0" xfId="0" applyAlignment="1" applyBorder="1" applyFont="1">
      <alignment readingOrder="0" shrinkToFit="0" vertical="top" wrapText="0"/>
    </xf>
    <xf borderId="0" fillId="0" fontId="12" numFmtId="0" xfId="0" applyAlignment="1" applyFont="1">
      <alignment readingOrder="0" vertical="top"/>
    </xf>
    <xf borderId="2" fillId="8" fontId="8" numFmtId="0" xfId="0" applyAlignment="1" applyBorder="1" applyFill="1" applyFont="1">
      <alignment horizontal="left" shrinkToFit="0" wrapText="0"/>
    </xf>
    <xf borderId="2" fillId="0" fontId="8" numFmtId="0" xfId="0" applyAlignment="1" applyBorder="1" applyFont="1">
      <alignment horizontal="left" shrinkToFit="0" wrapText="0"/>
    </xf>
    <xf borderId="0" fillId="0" fontId="8" numFmtId="0" xfId="0" applyAlignment="1" applyFont="1">
      <alignment horizontal="left" shrinkToFit="0" wrapText="0"/>
    </xf>
    <xf borderId="4" fillId="0" fontId="52" numFmtId="0" xfId="0" applyAlignment="1" applyBorder="1" applyFont="1">
      <alignment horizontal="right" readingOrder="0" shrinkToFit="0" wrapText="0"/>
    </xf>
    <xf borderId="4" fillId="0" fontId="52" numFmtId="0" xfId="0" applyAlignment="1" applyBorder="1" applyFont="1">
      <alignment horizontal="left" readingOrder="0" shrinkToFit="0" wrapText="0"/>
    </xf>
    <xf borderId="0" fillId="0" fontId="62" numFmtId="0" xfId="0" applyAlignment="1" applyFont="1">
      <alignment readingOrder="0" shrinkToFit="0" vertical="top" wrapText="0"/>
    </xf>
    <xf borderId="4" fillId="0" fontId="3" numFmtId="0" xfId="0" applyAlignment="1" applyBorder="1" applyFont="1">
      <alignment readingOrder="0" shrinkToFit="0" wrapText="0"/>
    </xf>
    <xf borderId="4" fillId="0" fontId="3" numFmtId="0" xfId="0" applyBorder="1" applyFont="1"/>
    <xf borderId="4" fillId="0" fontId="3" numFmtId="0" xfId="0" applyBorder="1" applyFont="1"/>
    <xf borderId="2" fillId="0" fontId="3" numFmtId="0" xfId="0" applyAlignment="1" applyBorder="1" applyFont="1">
      <alignment readingOrder="0" shrinkToFit="0" wrapText="0"/>
    </xf>
    <xf borderId="0" fillId="0" fontId="3" numFmtId="0" xfId="0" applyAlignment="1" applyFont="1">
      <alignment shrinkToFit="0" wrapText="0"/>
    </xf>
    <xf borderId="2" fillId="0" fontId="3" numFmtId="0" xfId="0" applyAlignment="1" applyBorder="1" applyFont="1">
      <alignment shrinkToFit="0" wrapText="0"/>
    </xf>
    <xf borderId="0" fillId="4" fontId="63" numFmtId="0" xfId="0" applyAlignment="1" applyFill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fantasy.espn.com/football/boxscore?leagueId=88024&amp;matchupPeriodId=16&amp;scoringPeriodId=16&amp;seasonId=2021&amp;teamId=11&amp;view=scoringperiod" TargetMode="External"/><Relationship Id="rId194" Type="http://schemas.openxmlformats.org/officeDocument/2006/relationships/hyperlink" Target="https://fantasy.espn.com/football/boxscore?leagueId=88024&amp;matchupPeriodId=17&amp;scoringPeriodId=17&amp;seasonId=2021&amp;teamId=8&amp;view=scoringperiod" TargetMode="External"/><Relationship Id="rId193" Type="http://schemas.openxmlformats.org/officeDocument/2006/relationships/hyperlink" Target="https://fantasy.espn.com/football/boxscore?leagueId=88024&amp;matchupPeriodId=17&amp;scoringPeriodId=17&amp;seasonId=2021&amp;teamId=8&amp;view=scoringperiod" TargetMode="External"/><Relationship Id="rId192" Type="http://schemas.openxmlformats.org/officeDocument/2006/relationships/hyperlink" Target="https://fantasy.espn.com/football/boxscore?leagueId=88024&amp;matchupPeriodId=17&amp;scoringPeriodId=17&amp;seasonId=2021&amp;teamId=3&amp;view=scoringperiod" TargetMode="External"/><Relationship Id="rId191" Type="http://schemas.openxmlformats.org/officeDocument/2006/relationships/hyperlink" Target="https://fantasy.espn.com/football/boxscore?leagueId=88024&amp;matchupPeriodId=17&amp;scoringPeriodId=17&amp;seasonId=2021&amp;teamId=3&amp;view=scoringperiod" TargetMode="External"/><Relationship Id="rId187" Type="http://schemas.openxmlformats.org/officeDocument/2006/relationships/hyperlink" Target="https://fantasy.espn.com/football/boxscore?leagueId=88024&amp;matchupPeriodId=16&amp;scoringPeriodId=16&amp;seasonId=2021&amp;teamId=9&amp;view=scoringperiod" TargetMode="External"/><Relationship Id="rId186" Type="http://schemas.openxmlformats.org/officeDocument/2006/relationships/hyperlink" Target="https://fantasy.espn.com/football/boxscore?leagueId=88024&amp;matchupPeriodId=16&amp;scoringPeriodId=16&amp;seasonId=2021&amp;teamId=2&amp;view=scoringperiod" TargetMode="External"/><Relationship Id="rId185" Type="http://schemas.openxmlformats.org/officeDocument/2006/relationships/hyperlink" Target="https://fantasy.espn.com/football/boxscore?leagueId=88024&amp;matchupPeriodId=16&amp;scoringPeriodId=16&amp;seasonId=2021&amp;teamId=2&amp;view=scoringperiod" TargetMode="External"/><Relationship Id="rId184" Type="http://schemas.openxmlformats.org/officeDocument/2006/relationships/hyperlink" Target="https://fantasy.espn.com/football/boxscore?leagueId=88024&amp;matchupPeriodId=16&amp;scoringPeriodId=16&amp;seasonId=2021&amp;teamId=4&amp;view=scoringperiod" TargetMode="External"/><Relationship Id="rId189" Type="http://schemas.openxmlformats.org/officeDocument/2006/relationships/hyperlink" Target="https://fantasy.espn.com/football/boxscore?leagueId=88024&amp;matchupPeriodId=16&amp;scoringPeriodId=16&amp;seasonId=2021&amp;teamId=11&amp;view=scoringperiod" TargetMode="External"/><Relationship Id="rId188" Type="http://schemas.openxmlformats.org/officeDocument/2006/relationships/hyperlink" Target="https://fantasy.espn.com/football/boxscore?leagueId=88024&amp;matchupPeriodId=16&amp;scoringPeriodId=16&amp;seasonId=2021&amp;teamId=9&amp;view=scoringperiod" TargetMode="External"/><Relationship Id="rId183" Type="http://schemas.openxmlformats.org/officeDocument/2006/relationships/hyperlink" Target="https://fantasy.espn.com/football/boxscore?leagueId=88024&amp;matchupPeriodId=16&amp;scoringPeriodId=16&amp;seasonId=2021&amp;teamId=4&amp;view=scoringperiod" TargetMode="External"/><Relationship Id="rId182" Type="http://schemas.openxmlformats.org/officeDocument/2006/relationships/hyperlink" Target="https://fantasy.espn.com/football/boxscore?leagueId=88024&amp;matchupPeriodId=16&amp;scoringPeriodId=16&amp;seasonId=2021&amp;teamId=3&amp;view=scoringperiod" TargetMode="External"/><Relationship Id="rId181" Type="http://schemas.openxmlformats.org/officeDocument/2006/relationships/hyperlink" Target="https://fantasy.espn.com/football/boxscore?leagueId=88024&amp;matchupPeriodId=16&amp;scoringPeriodId=16&amp;seasonId=2021&amp;teamId=3&amp;view=scoringperiod" TargetMode="External"/><Relationship Id="rId180" Type="http://schemas.openxmlformats.org/officeDocument/2006/relationships/hyperlink" Target="https://fantasy.espn.com/football/boxscore?leagueId=88024&amp;matchupPeriodId=16&amp;scoringPeriodId=16&amp;seasonId=2021&amp;teamId=8&amp;view=scoringperiod" TargetMode="External"/><Relationship Id="rId176" Type="http://schemas.openxmlformats.org/officeDocument/2006/relationships/hyperlink" Target="https://fantasy.espn.com/football/boxscore?leagueId=88024&amp;matchupPeriodId=15&amp;scoringPeriodId=15&amp;seasonId=2021&amp;teamId=10&amp;view=scoringperiod" TargetMode="External"/><Relationship Id="rId175" Type="http://schemas.openxmlformats.org/officeDocument/2006/relationships/hyperlink" Target="https://fantasy.espn.com/football/boxscore?leagueId=88024&amp;matchupPeriodId=15&amp;scoringPeriodId=15&amp;seasonId=2021&amp;teamId=10&amp;view=scoringperiod" TargetMode="External"/><Relationship Id="rId174" Type="http://schemas.openxmlformats.org/officeDocument/2006/relationships/hyperlink" Target="https://fantasy.espn.com/football/boxscore?leagueId=88024&amp;matchupPeriodId=15&amp;scoringPeriodId=15&amp;seasonId=2021&amp;teamId=12&amp;view=scoringperiod" TargetMode="External"/><Relationship Id="rId173" Type="http://schemas.openxmlformats.org/officeDocument/2006/relationships/hyperlink" Target="https://fantasy.espn.com/football/boxscore?leagueId=88024&amp;matchupPeriodId=15&amp;scoringPeriodId=15&amp;seasonId=2021&amp;teamId=12&amp;view=scoringperiod" TargetMode="External"/><Relationship Id="rId179" Type="http://schemas.openxmlformats.org/officeDocument/2006/relationships/hyperlink" Target="https://fantasy.espn.com/football/boxscore?leagueId=88024&amp;matchupPeriodId=16&amp;scoringPeriodId=16&amp;seasonId=2021&amp;teamId=8&amp;view=scoringperiod" TargetMode="External"/><Relationship Id="rId178" Type="http://schemas.openxmlformats.org/officeDocument/2006/relationships/hyperlink" Target="https://fantasy.espn.com/football/boxscore?leagueId=88024&amp;matchupPeriodId=15&amp;scoringPeriodId=15&amp;seasonId=2021&amp;teamId=9&amp;view=scoringperiod" TargetMode="External"/><Relationship Id="rId177" Type="http://schemas.openxmlformats.org/officeDocument/2006/relationships/hyperlink" Target="https://fantasy.espn.com/football/boxscore?leagueId=88024&amp;matchupPeriodId=15&amp;scoringPeriodId=15&amp;seasonId=2021&amp;teamId=9&amp;view=scoringperiod" TargetMode="External"/><Relationship Id="rId198" Type="http://schemas.openxmlformats.org/officeDocument/2006/relationships/hyperlink" Target="https://fantasy.espn.com/football/boxscore?leagueId=88024&amp;matchupPeriodId=17&amp;scoringPeriodId=17&amp;seasonId=2021&amp;teamId=12&amp;view=scoringperiod" TargetMode="External"/><Relationship Id="rId197" Type="http://schemas.openxmlformats.org/officeDocument/2006/relationships/hyperlink" Target="https://fantasy.espn.com/football/boxscore?leagueId=88024&amp;matchupPeriodId=17&amp;scoringPeriodId=17&amp;seasonId=2021&amp;teamId=12&amp;view=scoringperiod" TargetMode="External"/><Relationship Id="rId196" Type="http://schemas.openxmlformats.org/officeDocument/2006/relationships/hyperlink" Target="https://fantasy.espn.com/football/boxscore?leagueId=88024&amp;matchupPeriodId=17&amp;scoringPeriodId=17&amp;seasonId=2021&amp;teamId=4&amp;view=scoringperiod" TargetMode="External"/><Relationship Id="rId195" Type="http://schemas.openxmlformats.org/officeDocument/2006/relationships/hyperlink" Target="https://fantasy.espn.com/football/boxscore?leagueId=88024&amp;matchupPeriodId=17&amp;scoringPeriodId=17&amp;seasonId=2021&amp;teamId=4&amp;view=scoringperiod" TargetMode="External"/><Relationship Id="rId199" Type="http://schemas.openxmlformats.org/officeDocument/2006/relationships/hyperlink" Target="https://fantasy.espn.com/football/boxscore?leagueId=88024&amp;matchupPeriodId=17&amp;scoringPeriodId=17&amp;seasonId=2021&amp;teamId=11&amp;view=scoringperiod" TargetMode="External"/><Relationship Id="rId150" Type="http://schemas.openxmlformats.org/officeDocument/2006/relationships/hyperlink" Target="https://fantasy.espn.com/football/boxscore?leagueId=88024&amp;matchupPeriodId=13&amp;scoringPeriodId=13&amp;seasonId=2021&amp;teamId=10&amp;view=scoringperiod" TargetMode="External"/><Relationship Id="rId392" Type="http://schemas.openxmlformats.org/officeDocument/2006/relationships/hyperlink" Target="https://fantasy.espn.com/football/boxscore?leagueId=88024&amp;matchupPeriodId=16&amp;scoringPeriodId=16&amp;seasonId=2022&amp;teamId=5&amp;view=scoringperiod" TargetMode="External"/><Relationship Id="rId391" Type="http://schemas.openxmlformats.org/officeDocument/2006/relationships/hyperlink" Target="https://fantasy.espn.com/football/boxscore?leagueId=88024&amp;matchupPeriodId=16&amp;scoringPeriodId=16&amp;seasonId=2022&amp;teamId=5&amp;view=scoringperiod" TargetMode="External"/><Relationship Id="rId390" Type="http://schemas.openxmlformats.org/officeDocument/2006/relationships/hyperlink" Target="https://fantasy.espn.com/football/boxscore?leagueId=88024&amp;matchupPeriodId=16&amp;scoringPeriodId=16&amp;seasonId=2022&amp;teamId=9&amp;view=scoringperiod" TargetMode="External"/><Relationship Id="rId1" Type="http://schemas.openxmlformats.org/officeDocument/2006/relationships/hyperlink" Target="https://fantasy.espn.com/football/boxscore?leagueId=88024&amp;matchupPeriodId=1&amp;scoringPeriodId=1&amp;seasonId=2021&amp;teamId=1&amp;view=scoringperiod" TargetMode="External"/><Relationship Id="rId2" Type="http://schemas.openxmlformats.org/officeDocument/2006/relationships/hyperlink" Target="https://fantasy.espn.com/football/boxscore?leagueId=88024&amp;matchupPeriodId=1&amp;scoringPeriodId=1&amp;seasonId=2021&amp;teamId=1&amp;view=scoringperiod" TargetMode="External"/><Relationship Id="rId3" Type="http://schemas.openxmlformats.org/officeDocument/2006/relationships/hyperlink" Target="https://fantasy.espn.com/football/boxscore?leagueId=88024&amp;matchupPeriodId=1&amp;scoringPeriodId=1&amp;seasonId=2021&amp;teamId=7&amp;view=scoringperiod" TargetMode="External"/><Relationship Id="rId149" Type="http://schemas.openxmlformats.org/officeDocument/2006/relationships/hyperlink" Target="https://fantasy.espn.com/football/boxscore?leagueId=88024&amp;matchupPeriodId=13&amp;scoringPeriodId=13&amp;seasonId=2021&amp;teamId=10&amp;view=scoringperiod" TargetMode="External"/><Relationship Id="rId4" Type="http://schemas.openxmlformats.org/officeDocument/2006/relationships/hyperlink" Target="https://fantasy.espn.com/football/boxscore?leagueId=88024&amp;matchupPeriodId=1&amp;scoringPeriodId=1&amp;seasonId=2021&amp;teamId=7&amp;view=scoringperiod" TargetMode="External"/><Relationship Id="rId148" Type="http://schemas.openxmlformats.org/officeDocument/2006/relationships/hyperlink" Target="https://fantasy.espn.com/football/boxscore?leagueId=88024&amp;matchupPeriodId=13&amp;scoringPeriodId=13&amp;seasonId=2021&amp;teamId=2&amp;view=scoringperiod" TargetMode="External"/><Relationship Id="rId1090" Type="http://schemas.openxmlformats.org/officeDocument/2006/relationships/hyperlink" Target="https://fantasy.espn.com/football/boxscore?leagueId=88024&amp;matchupPeriodId=6&amp;scoringPeriodId=6&amp;seasonId=2026&amp;teamId=12&amp;view=scoringperiod" TargetMode="External"/><Relationship Id="rId1091" Type="http://schemas.openxmlformats.org/officeDocument/2006/relationships/hyperlink" Target="https://fantasy.espn.com/football/boxscore?leagueId=88024&amp;matchupPeriodId=6&amp;scoringPeriodId=6&amp;seasonId=2026&amp;teamId=4&amp;view=scoringperiod" TargetMode="External"/><Relationship Id="rId1092" Type="http://schemas.openxmlformats.org/officeDocument/2006/relationships/hyperlink" Target="https://fantasy.espn.com/football/boxscore?leagueId=88024&amp;matchupPeriodId=6&amp;scoringPeriodId=6&amp;seasonId=2026&amp;teamId=4&amp;view=scoringperiod" TargetMode="External"/><Relationship Id="rId1093" Type="http://schemas.openxmlformats.org/officeDocument/2006/relationships/hyperlink" Target="https://fantasy.espn.com/football/boxscore?leagueId=88024&amp;matchupPeriodId=6&amp;scoringPeriodId=6&amp;seasonId=2026&amp;teamId=9&amp;view=scoringperiod" TargetMode="External"/><Relationship Id="rId1094" Type="http://schemas.openxmlformats.org/officeDocument/2006/relationships/hyperlink" Target="https://fantasy.espn.com/football/boxscore?leagueId=88024&amp;matchupPeriodId=6&amp;scoringPeriodId=6&amp;seasonId=2026&amp;teamId=9&amp;view=scoringperiod" TargetMode="External"/><Relationship Id="rId9" Type="http://schemas.openxmlformats.org/officeDocument/2006/relationships/hyperlink" Target="https://fantasy.espn.com/football/boxscore?leagueId=88024&amp;matchupPeriodId=1&amp;scoringPeriodId=1&amp;seasonId=2021&amp;teamId=4&amp;view=scoringperiod" TargetMode="External"/><Relationship Id="rId143" Type="http://schemas.openxmlformats.org/officeDocument/2006/relationships/hyperlink" Target="https://fantasy.espn.com/football/boxscore?leagueId=88024&amp;matchupPeriodId=12&amp;scoringPeriodId=12&amp;seasonId=2021&amp;teamId=3&amp;view=scoringperiod" TargetMode="External"/><Relationship Id="rId385" Type="http://schemas.openxmlformats.org/officeDocument/2006/relationships/hyperlink" Target="https://fantasy.espn.com/football/boxscore?leagueId=88024&amp;matchupPeriodId=16&amp;scoringPeriodId=16&amp;seasonId=2022&amp;teamId=3&amp;view=scoringperiod" TargetMode="External"/><Relationship Id="rId1095" Type="http://schemas.openxmlformats.org/officeDocument/2006/relationships/hyperlink" Target="https://fantasy.espn.com/football/boxscore?leagueId=88024&amp;matchupPeriodId=6&amp;scoringPeriodId=6&amp;seasonId=2026&amp;teamId=5&amp;view=scoringperiod" TargetMode="External"/><Relationship Id="rId142" Type="http://schemas.openxmlformats.org/officeDocument/2006/relationships/hyperlink" Target="https://fantasy.espn.com/football/boxscore?leagueId=88024&amp;matchupPeriodId=12&amp;scoringPeriodId=12&amp;seasonId=2021&amp;teamId=9&amp;view=scoringperiod" TargetMode="External"/><Relationship Id="rId384" Type="http://schemas.openxmlformats.org/officeDocument/2006/relationships/hyperlink" Target="https://fantasy.espn.com/football/boxscore?leagueId=88024&amp;matchupPeriodId=16&amp;scoringPeriodId=16&amp;seasonId=2022&amp;teamId=7&amp;view=scoringperiod" TargetMode="External"/><Relationship Id="rId1096" Type="http://schemas.openxmlformats.org/officeDocument/2006/relationships/hyperlink" Target="https://fantasy.espn.com/football/boxscore?leagueId=88024&amp;matchupPeriodId=6&amp;scoringPeriodId=6&amp;seasonId=2026&amp;teamId=5&amp;view=scoringperiod" TargetMode="External"/><Relationship Id="rId141" Type="http://schemas.openxmlformats.org/officeDocument/2006/relationships/hyperlink" Target="https://fantasy.espn.com/football/boxscore?leagueId=88024&amp;matchupPeriodId=12&amp;scoringPeriodId=12&amp;seasonId=2021&amp;teamId=9&amp;view=scoringperiod" TargetMode="External"/><Relationship Id="rId383" Type="http://schemas.openxmlformats.org/officeDocument/2006/relationships/hyperlink" Target="https://fantasy.espn.com/football/boxscore?leagueId=88024&amp;matchupPeriodId=16&amp;scoringPeriodId=16&amp;seasonId=2022&amp;teamId=7&amp;view=scoringperiod" TargetMode="External"/><Relationship Id="rId1097" Type="http://schemas.openxmlformats.org/officeDocument/2006/relationships/drawing" Target="../drawings/drawing3.xml"/><Relationship Id="rId140" Type="http://schemas.openxmlformats.org/officeDocument/2006/relationships/hyperlink" Target="https://fantasy.espn.com/football/boxscore?leagueId=88024&amp;matchupPeriodId=12&amp;scoringPeriodId=12&amp;seasonId=2021&amp;teamId=5&amp;view=scoringperiod" TargetMode="External"/><Relationship Id="rId382" Type="http://schemas.openxmlformats.org/officeDocument/2006/relationships/hyperlink" Target="https://fantasy.espn.com/football/boxscore?leagueId=88024&amp;matchupPeriodId=16&amp;scoringPeriodId=16&amp;seasonId=2022&amp;teamId=2&amp;view=scoringperiod" TargetMode="External"/><Relationship Id="rId5" Type="http://schemas.openxmlformats.org/officeDocument/2006/relationships/hyperlink" Target="https://fantasy.espn.com/football/boxscore?leagueId=88024&amp;matchupPeriodId=1&amp;scoringPeriodId=1&amp;seasonId=2021&amp;teamId=2&amp;view=scoringperiod" TargetMode="External"/><Relationship Id="rId147" Type="http://schemas.openxmlformats.org/officeDocument/2006/relationships/hyperlink" Target="https://fantasy.espn.com/football/boxscore?leagueId=88024&amp;matchupPeriodId=13&amp;scoringPeriodId=13&amp;seasonId=2021&amp;teamId=2&amp;view=scoringperiod" TargetMode="External"/><Relationship Id="rId389" Type="http://schemas.openxmlformats.org/officeDocument/2006/relationships/hyperlink" Target="https://fantasy.espn.com/football/boxscore?leagueId=88024&amp;matchupPeriodId=16&amp;scoringPeriodId=16&amp;seasonId=2022&amp;teamId=9&amp;view=scoringperiod" TargetMode="External"/><Relationship Id="rId6" Type="http://schemas.openxmlformats.org/officeDocument/2006/relationships/hyperlink" Target="https://fantasy.espn.com/football/boxscore?leagueId=88024&amp;matchupPeriodId=1&amp;scoringPeriodId=1&amp;seasonId=2021&amp;teamId=2&amp;view=scoringperiod" TargetMode="External"/><Relationship Id="rId146" Type="http://schemas.openxmlformats.org/officeDocument/2006/relationships/hyperlink" Target="https://fantasy.espn.com/football/boxscore?leagueId=88024&amp;matchupPeriodId=13&amp;scoringPeriodId=13&amp;seasonId=2021&amp;teamId=1&amp;view=scoringperiod" TargetMode="External"/><Relationship Id="rId388" Type="http://schemas.openxmlformats.org/officeDocument/2006/relationships/hyperlink" Target="https://fantasy.espn.com/football/boxscore?leagueId=88024&amp;matchupPeriodId=16&amp;scoringPeriodId=16&amp;seasonId=2022&amp;teamId=4&amp;view=scoringperiod" TargetMode="External"/><Relationship Id="rId7" Type="http://schemas.openxmlformats.org/officeDocument/2006/relationships/hyperlink" Target="https://fantasy.espn.com/football/boxscore?leagueId=88024&amp;matchupPeriodId=1&amp;scoringPeriodId=1&amp;seasonId=2021&amp;teamId=10&amp;view=scoringperiod" TargetMode="External"/><Relationship Id="rId145" Type="http://schemas.openxmlformats.org/officeDocument/2006/relationships/hyperlink" Target="https://fantasy.espn.com/football/boxscore?leagueId=88024&amp;matchupPeriodId=13&amp;scoringPeriodId=13&amp;seasonId=2021&amp;teamId=1&amp;view=scoringperiod" TargetMode="External"/><Relationship Id="rId387" Type="http://schemas.openxmlformats.org/officeDocument/2006/relationships/hyperlink" Target="https://fantasy.espn.com/football/boxscore?leagueId=88024&amp;matchupPeriodId=16&amp;scoringPeriodId=16&amp;seasonId=2022&amp;teamId=4&amp;view=scoringperiod" TargetMode="External"/><Relationship Id="rId8" Type="http://schemas.openxmlformats.org/officeDocument/2006/relationships/hyperlink" Target="https://fantasy.espn.com/football/boxscore?leagueId=88024&amp;matchupPeriodId=1&amp;scoringPeriodId=1&amp;seasonId=2021&amp;teamId=10&amp;view=scoringperiod" TargetMode="External"/><Relationship Id="rId144" Type="http://schemas.openxmlformats.org/officeDocument/2006/relationships/hyperlink" Target="https://fantasy.espn.com/football/boxscore?leagueId=88024&amp;matchupPeriodId=12&amp;scoringPeriodId=12&amp;seasonId=2021&amp;teamId=3&amp;view=scoringperiod" TargetMode="External"/><Relationship Id="rId386" Type="http://schemas.openxmlformats.org/officeDocument/2006/relationships/hyperlink" Target="https://fantasy.espn.com/football/boxscore?leagueId=88024&amp;matchupPeriodId=16&amp;scoringPeriodId=16&amp;seasonId=2022&amp;teamId=3&amp;view=scoringperiod" TargetMode="External"/><Relationship Id="rId381" Type="http://schemas.openxmlformats.org/officeDocument/2006/relationships/hyperlink" Target="https://fantasy.espn.com/football/boxscore?leagueId=88024&amp;matchupPeriodId=16&amp;scoringPeriodId=16&amp;seasonId=2022&amp;teamId=2&amp;view=scoringperiod" TargetMode="External"/><Relationship Id="rId380" Type="http://schemas.openxmlformats.org/officeDocument/2006/relationships/hyperlink" Target="https://fantasy.espn.com/football/boxscore?leagueId=88024&amp;matchupPeriodId=15&amp;scoringPeriodId=15&amp;seasonId=2022&amp;teamId=9&amp;view=scoringperiod" TargetMode="External"/><Relationship Id="rId139" Type="http://schemas.openxmlformats.org/officeDocument/2006/relationships/hyperlink" Target="https://fantasy.espn.com/football/boxscore?leagueId=88024&amp;matchupPeriodId=12&amp;scoringPeriodId=12&amp;seasonId=2021&amp;teamId=5&amp;view=scoringperiod" TargetMode="External"/><Relationship Id="rId138" Type="http://schemas.openxmlformats.org/officeDocument/2006/relationships/hyperlink" Target="https://fantasy.espn.com/football/boxscore?leagueId=88024&amp;matchupPeriodId=12&amp;scoringPeriodId=12&amp;seasonId=2021&amp;teamId=11&amp;view=scoringperiod" TargetMode="External"/><Relationship Id="rId137" Type="http://schemas.openxmlformats.org/officeDocument/2006/relationships/hyperlink" Target="https://fantasy.espn.com/football/boxscore?leagueId=88024&amp;matchupPeriodId=12&amp;scoringPeriodId=12&amp;seasonId=2021&amp;teamId=11&amp;view=scoringperiod" TargetMode="External"/><Relationship Id="rId379" Type="http://schemas.openxmlformats.org/officeDocument/2006/relationships/hyperlink" Target="https://fantasy.espn.com/football/boxscore?leagueId=88024&amp;matchupPeriodId=15&amp;scoringPeriodId=15&amp;seasonId=2022&amp;teamId=9&amp;view=scoringperiod" TargetMode="External"/><Relationship Id="rId1080" Type="http://schemas.openxmlformats.org/officeDocument/2006/relationships/hyperlink" Target="https://fantasy.espn.com/football/boxscore?leagueId=88024&amp;matchupPeriodId=5&amp;scoringPeriodId=5&amp;seasonId=2026&amp;teamId=10&amp;view=scoringperiod" TargetMode="External"/><Relationship Id="rId1081" Type="http://schemas.openxmlformats.org/officeDocument/2006/relationships/hyperlink" Target="https://fantasy.espn.com/football/boxscore?leagueId=88024&amp;matchupPeriodId=5&amp;scoringPeriodId=5&amp;seasonId=2026&amp;teamId=7&amp;view=scoringperiod" TargetMode="External"/><Relationship Id="rId1082" Type="http://schemas.openxmlformats.org/officeDocument/2006/relationships/hyperlink" Target="https://fantasy.espn.com/football/boxscore?leagueId=88024&amp;matchupPeriodId=5&amp;scoringPeriodId=5&amp;seasonId=2026&amp;teamId=7&amp;view=scoringperiod" TargetMode="External"/><Relationship Id="rId1083" Type="http://schemas.openxmlformats.org/officeDocument/2006/relationships/hyperlink" Target="https://fantasy.espn.com/football/boxscore?leagueId=88024&amp;matchupPeriodId=5&amp;scoringPeriodId=5&amp;seasonId=2026&amp;teamId=11&amp;view=scoringperiod" TargetMode="External"/><Relationship Id="rId132" Type="http://schemas.openxmlformats.org/officeDocument/2006/relationships/hyperlink" Target="https://fantasy.espn.com/football/boxscore?leagueId=88024&amp;matchupPeriodId=11&amp;scoringPeriodId=11&amp;seasonId=2021&amp;teamId=4&amp;view=scoringperiod" TargetMode="External"/><Relationship Id="rId374" Type="http://schemas.openxmlformats.org/officeDocument/2006/relationships/hyperlink" Target="https://fantasy.espn.com/football/boxscore?leagueId=88024&amp;matchupPeriodId=15&amp;scoringPeriodId=15&amp;seasonId=2022&amp;teamId=3&amp;view=scoringperiod" TargetMode="External"/><Relationship Id="rId1084" Type="http://schemas.openxmlformats.org/officeDocument/2006/relationships/hyperlink" Target="https://fantasy.espn.com/football/boxscore?leagueId=88024&amp;matchupPeriodId=5&amp;scoringPeriodId=5&amp;seasonId=2026&amp;teamId=11&amp;view=scoringperiod" TargetMode="External"/><Relationship Id="rId131" Type="http://schemas.openxmlformats.org/officeDocument/2006/relationships/hyperlink" Target="https://fantasy.espn.com/football/boxscore?leagueId=88024&amp;matchupPeriodId=11&amp;scoringPeriodId=11&amp;seasonId=2021&amp;teamId=4&amp;view=scoringperiod" TargetMode="External"/><Relationship Id="rId373" Type="http://schemas.openxmlformats.org/officeDocument/2006/relationships/hyperlink" Target="https://fantasy.espn.com/football/boxscore?leagueId=88024&amp;matchupPeriodId=15&amp;scoringPeriodId=15&amp;seasonId=2022&amp;teamId=3&amp;view=scoringperiod" TargetMode="External"/><Relationship Id="rId1085" Type="http://schemas.openxmlformats.org/officeDocument/2006/relationships/hyperlink" Target="https://fantasy.espn.com/football/boxscore?leagueId=88024&amp;matchupPeriodId=6&amp;scoringPeriodId=6&amp;seasonId=2026&amp;teamId=6&amp;view=scoringperiod" TargetMode="External"/><Relationship Id="rId130" Type="http://schemas.openxmlformats.org/officeDocument/2006/relationships/hyperlink" Target="https://fantasy.espn.com/football/boxscore?leagueId=88024&amp;matchupPeriodId=11&amp;scoringPeriodId=11&amp;seasonId=2021&amp;teamId=10&amp;view=scoringperiod" TargetMode="External"/><Relationship Id="rId372" Type="http://schemas.openxmlformats.org/officeDocument/2006/relationships/hyperlink" Target="https://fantasy.espn.com/football/boxscore?leagueId=88024&amp;matchupPeriodId=15&amp;scoringPeriodId=15&amp;seasonId=2022&amp;teamId=10&amp;view=scoringperiod" TargetMode="External"/><Relationship Id="rId1086" Type="http://schemas.openxmlformats.org/officeDocument/2006/relationships/hyperlink" Target="https://fantasy.espn.com/football/boxscore?leagueId=88024&amp;matchupPeriodId=6&amp;scoringPeriodId=6&amp;seasonId=2026&amp;teamId=6&amp;view=scoringperiod" TargetMode="External"/><Relationship Id="rId371" Type="http://schemas.openxmlformats.org/officeDocument/2006/relationships/hyperlink" Target="https://fantasy.espn.com/football/boxscore?leagueId=88024&amp;matchupPeriodId=15&amp;scoringPeriodId=15&amp;seasonId=2022&amp;teamId=10&amp;view=scoringperiod" TargetMode="External"/><Relationship Id="rId1087" Type="http://schemas.openxmlformats.org/officeDocument/2006/relationships/hyperlink" Target="https://fantasy.espn.com/football/boxscore?leagueId=88024&amp;matchupPeriodId=6&amp;scoringPeriodId=6&amp;seasonId=2026&amp;teamId=2&amp;view=scoringperiod" TargetMode="External"/><Relationship Id="rId136" Type="http://schemas.openxmlformats.org/officeDocument/2006/relationships/hyperlink" Target="https://fantasy.espn.com/football/boxscore?leagueId=88024&amp;matchupPeriodId=12&amp;scoringPeriodId=12&amp;seasonId=2021&amp;teamId=8&amp;view=scoringperiod" TargetMode="External"/><Relationship Id="rId378" Type="http://schemas.openxmlformats.org/officeDocument/2006/relationships/hyperlink" Target="https://fantasy.espn.com/football/boxscore?leagueId=88024&amp;matchupPeriodId=15&amp;scoringPeriodId=15&amp;seasonId=2022&amp;teamId=4&amp;view=scoringperiod" TargetMode="External"/><Relationship Id="rId1088" Type="http://schemas.openxmlformats.org/officeDocument/2006/relationships/hyperlink" Target="https://fantasy.espn.com/football/boxscore?leagueId=88024&amp;matchupPeriodId=6&amp;scoringPeriodId=6&amp;seasonId=2026&amp;teamId=2&amp;view=scoringperiod" TargetMode="External"/><Relationship Id="rId135" Type="http://schemas.openxmlformats.org/officeDocument/2006/relationships/hyperlink" Target="https://fantasy.espn.com/football/boxscore?leagueId=88024&amp;matchupPeriodId=12&amp;scoringPeriodId=12&amp;seasonId=2021&amp;teamId=8&amp;view=scoringperiod" TargetMode="External"/><Relationship Id="rId377" Type="http://schemas.openxmlformats.org/officeDocument/2006/relationships/hyperlink" Target="https://fantasy.espn.com/football/boxscore?leagueId=88024&amp;matchupPeriodId=15&amp;scoringPeriodId=15&amp;seasonId=2022&amp;teamId=4&amp;view=scoringperiod" TargetMode="External"/><Relationship Id="rId1089" Type="http://schemas.openxmlformats.org/officeDocument/2006/relationships/hyperlink" Target="https://fantasy.espn.com/football/boxscore?leagueId=88024&amp;matchupPeriodId=6&amp;scoringPeriodId=6&amp;seasonId=2026&amp;teamId=12&amp;view=scoringperiod" TargetMode="External"/><Relationship Id="rId134" Type="http://schemas.openxmlformats.org/officeDocument/2006/relationships/hyperlink" Target="https://fantasy.espn.com/football/boxscore?leagueId=88024&amp;matchupPeriodId=12&amp;scoringPeriodId=12&amp;seasonId=2021&amp;teamId=6&amp;view=scoringperiod" TargetMode="External"/><Relationship Id="rId376" Type="http://schemas.openxmlformats.org/officeDocument/2006/relationships/hyperlink" Target="https://fantasy.espn.com/football/boxscore?leagueId=88024&amp;matchupPeriodId=15&amp;scoringPeriodId=15&amp;seasonId=2022&amp;teamId=12&amp;view=scoringperiod" TargetMode="External"/><Relationship Id="rId133" Type="http://schemas.openxmlformats.org/officeDocument/2006/relationships/hyperlink" Target="https://fantasy.espn.com/football/boxscore?leagueId=88024&amp;matchupPeriodId=12&amp;scoringPeriodId=12&amp;seasonId=2021&amp;teamId=6&amp;view=scoringperiod" TargetMode="External"/><Relationship Id="rId375" Type="http://schemas.openxmlformats.org/officeDocument/2006/relationships/hyperlink" Target="https://fantasy.espn.com/football/boxscore?leagueId=88024&amp;matchupPeriodId=15&amp;scoringPeriodId=15&amp;seasonId=2022&amp;teamId=12&amp;view=scoringperiod" TargetMode="External"/><Relationship Id="rId172" Type="http://schemas.openxmlformats.org/officeDocument/2006/relationships/hyperlink" Target="https://fantasy.espn.com/football/boxscore?leagueId=88024&amp;matchupPeriodId=15&amp;scoringPeriodId=15&amp;seasonId=2021&amp;teamId=3&amp;view=scoringperiod" TargetMode="External"/><Relationship Id="rId171" Type="http://schemas.openxmlformats.org/officeDocument/2006/relationships/hyperlink" Target="https://fantasy.espn.com/football/boxscore?leagueId=88024&amp;matchupPeriodId=15&amp;scoringPeriodId=15&amp;seasonId=2021&amp;teamId=3&amp;view=scoringperiod" TargetMode="External"/><Relationship Id="rId170" Type="http://schemas.openxmlformats.org/officeDocument/2006/relationships/hyperlink" Target="https://fantasy.espn.com/football/boxscore?leagueId=88024&amp;matchupPeriodId=15&amp;scoringPeriodId=15&amp;seasonId=2021&amp;teamId=8&amp;view=scoringperiod" TargetMode="External"/><Relationship Id="rId165" Type="http://schemas.openxmlformats.org/officeDocument/2006/relationships/hyperlink" Target="https://fantasy.espn.com/football/boxscore?leagueId=88024&amp;matchupPeriodId=14&amp;scoringPeriodId=14&amp;seasonId=2021&amp;teamId=9&amp;view=scoringperiod" TargetMode="External"/><Relationship Id="rId164" Type="http://schemas.openxmlformats.org/officeDocument/2006/relationships/hyperlink" Target="https://fantasy.espn.com/football/boxscore?leagueId=88024&amp;matchupPeriodId=14&amp;scoringPeriodId=14&amp;seasonId=2021&amp;teamId=7&amp;view=scoringperiod" TargetMode="External"/><Relationship Id="rId163" Type="http://schemas.openxmlformats.org/officeDocument/2006/relationships/hyperlink" Target="https://fantasy.espn.com/football/boxscore?leagueId=88024&amp;matchupPeriodId=14&amp;scoringPeriodId=14&amp;seasonId=2021&amp;teamId=7&amp;view=scoringperiod" TargetMode="External"/><Relationship Id="rId162" Type="http://schemas.openxmlformats.org/officeDocument/2006/relationships/hyperlink" Target="https://fantasy.espn.com/football/boxscore?leagueId=88024&amp;matchupPeriodId=14&amp;scoringPeriodId=14&amp;seasonId=2021&amp;teamId=4&amp;view=scoringperiod" TargetMode="External"/><Relationship Id="rId169" Type="http://schemas.openxmlformats.org/officeDocument/2006/relationships/hyperlink" Target="https://fantasy.espn.com/football/boxscore?leagueId=88024&amp;matchupPeriodId=15&amp;scoringPeriodId=15&amp;seasonId=2021&amp;teamId=8&amp;view=scoringperiod" TargetMode="External"/><Relationship Id="rId168" Type="http://schemas.openxmlformats.org/officeDocument/2006/relationships/hyperlink" Target="https://fantasy.espn.com/football/boxscore?leagueId=88024&amp;matchupPeriodId=14&amp;scoringPeriodId=14&amp;seasonId=2021&amp;teamId=3&amp;view=scoringperiod" TargetMode="External"/><Relationship Id="rId167" Type="http://schemas.openxmlformats.org/officeDocument/2006/relationships/hyperlink" Target="https://fantasy.espn.com/football/boxscore?leagueId=88024&amp;matchupPeriodId=14&amp;scoringPeriodId=14&amp;seasonId=2021&amp;teamId=3&amp;view=scoringperiod" TargetMode="External"/><Relationship Id="rId166" Type="http://schemas.openxmlformats.org/officeDocument/2006/relationships/hyperlink" Target="https://fantasy.espn.com/football/boxscore?leagueId=88024&amp;matchupPeriodId=14&amp;scoringPeriodId=14&amp;seasonId=2021&amp;teamId=9&amp;view=scoringperiod" TargetMode="External"/><Relationship Id="rId161" Type="http://schemas.openxmlformats.org/officeDocument/2006/relationships/hyperlink" Target="https://fantasy.espn.com/football/boxscore?leagueId=88024&amp;matchupPeriodId=14&amp;scoringPeriodId=14&amp;seasonId=2021&amp;teamId=4&amp;view=scoringperiod" TargetMode="External"/><Relationship Id="rId160" Type="http://schemas.openxmlformats.org/officeDocument/2006/relationships/hyperlink" Target="https://fantasy.espn.com/football/boxscore?leagueId=88024&amp;matchupPeriodId=14&amp;scoringPeriodId=14&amp;seasonId=2021&amp;teamId=10&amp;view=scoringperiod" TargetMode="External"/><Relationship Id="rId159" Type="http://schemas.openxmlformats.org/officeDocument/2006/relationships/hyperlink" Target="https://fantasy.espn.com/football/boxscore?leagueId=88024&amp;matchupPeriodId=14&amp;scoringPeriodId=14&amp;seasonId=2021&amp;teamId=10&amp;view=scoringperiod" TargetMode="External"/><Relationship Id="rId154" Type="http://schemas.openxmlformats.org/officeDocument/2006/relationships/hyperlink" Target="https://fantasy.espn.com/football/boxscore?leagueId=88024&amp;matchupPeriodId=13&amp;scoringPeriodId=13&amp;seasonId=2021&amp;teamId=12&amp;view=scoringperiod" TargetMode="External"/><Relationship Id="rId396" Type="http://schemas.openxmlformats.org/officeDocument/2006/relationships/hyperlink" Target="https://fantasy.espn.com/football/boxscore?leagueId=88024&amp;matchupPeriodId=17&amp;scoringPeriodId=17&amp;seasonId=2022&amp;teamId=2&amp;view=scoringperiod" TargetMode="External"/><Relationship Id="rId153" Type="http://schemas.openxmlformats.org/officeDocument/2006/relationships/hyperlink" Target="https://fantasy.espn.com/football/boxscore?leagueId=88024&amp;matchupPeriodId=13&amp;scoringPeriodId=13&amp;seasonId=2021&amp;teamId=12&amp;view=scoringperiod" TargetMode="External"/><Relationship Id="rId395" Type="http://schemas.openxmlformats.org/officeDocument/2006/relationships/hyperlink" Target="https://fantasy.espn.com/football/boxscore?leagueId=88024&amp;matchupPeriodId=17&amp;scoringPeriodId=17&amp;seasonId=2022&amp;teamId=2&amp;view=scoringperiod" TargetMode="External"/><Relationship Id="rId152" Type="http://schemas.openxmlformats.org/officeDocument/2006/relationships/hyperlink" Target="https://fantasy.espn.com/football/boxscore?leagueId=88024&amp;matchupPeriodId=13&amp;scoringPeriodId=13&amp;seasonId=2021&amp;teamId=4&amp;view=scoringperiod" TargetMode="External"/><Relationship Id="rId394" Type="http://schemas.openxmlformats.org/officeDocument/2006/relationships/hyperlink" Target="https://fantasy.espn.com/football/boxscore?leagueId=88024&amp;matchupPeriodId=17&amp;scoringPeriodId=17&amp;seasonId=2022&amp;teamId=7&amp;view=scoringperiod" TargetMode="External"/><Relationship Id="rId151" Type="http://schemas.openxmlformats.org/officeDocument/2006/relationships/hyperlink" Target="https://fantasy.espn.com/football/boxscore?leagueId=88024&amp;matchupPeriodId=13&amp;scoringPeriodId=13&amp;seasonId=2021&amp;teamId=4&amp;view=scoringperiod" TargetMode="External"/><Relationship Id="rId393" Type="http://schemas.openxmlformats.org/officeDocument/2006/relationships/hyperlink" Target="https://fantasy.espn.com/football/boxscore?leagueId=88024&amp;matchupPeriodId=17&amp;scoringPeriodId=17&amp;seasonId=2022&amp;teamId=7&amp;view=scoringperiod" TargetMode="External"/><Relationship Id="rId158" Type="http://schemas.openxmlformats.org/officeDocument/2006/relationships/hyperlink" Target="https://fantasy.espn.com/football/boxscore?leagueId=88024&amp;matchupPeriodId=14&amp;scoringPeriodId=14&amp;seasonId=2021&amp;teamId=1&amp;view=scoringperiod" TargetMode="External"/><Relationship Id="rId157" Type="http://schemas.openxmlformats.org/officeDocument/2006/relationships/hyperlink" Target="https://fantasy.espn.com/football/boxscore?leagueId=88024&amp;matchupPeriodId=14&amp;scoringPeriodId=14&amp;seasonId=2021&amp;teamId=1&amp;view=scoringperiod" TargetMode="External"/><Relationship Id="rId399" Type="http://schemas.openxmlformats.org/officeDocument/2006/relationships/hyperlink" Target="https://fantasy.espn.com/football/boxscore?leagueId=88024&amp;matchupPeriodId=17&amp;scoringPeriodId=17&amp;seasonId=2022&amp;teamId=9&amp;view=scoringperiod" TargetMode="External"/><Relationship Id="rId156" Type="http://schemas.openxmlformats.org/officeDocument/2006/relationships/hyperlink" Target="https://fantasy.espn.com/football/boxscore?leagueId=88024&amp;matchupPeriodId=13&amp;scoringPeriodId=13&amp;seasonId=2021&amp;teamId=3&amp;view=scoringperiod" TargetMode="External"/><Relationship Id="rId398" Type="http://schemas.openxmlformats.org/officeDocument/2006/relationships/hyperlink" Target="https://fantasy.espn.com/football/boxscore?leagueId=88024&amp;matchupPeriodId=17&amp;scoringPeriodId=17&amp;seasonId=2022&amp;teamId=3&amp;view=scoringperiod" TargetMode="External"/><Relationship Id="rId155" Type="http://schemas.openxmlformats.org/officeDocument/2006/relationships/hyperlink" Target="https://fantasy.espn.com/football/boxscore?leagueId=88024&amp;matchupPeriodId=13&amp;scoringPeriodId=13&amp;seasonId=2021&amp;teamId=3&amp;view=scoringperiod" TargetMode="External"/><Relationship Id="rId397" Type="http://schemas.openxmlformats.org/officeDocument/2006/relationships/hyperlink" Target="https://fantasy.espn.com/football/boxscore?leagueId=88024&amp;matchupPeriodId=17&amp;scoringPeriodId=17&amp;seasonId=2022&amp;teamId=3&amp;view=scoringperiod" TargetMode="External"/><Relationship Id="rId808" Type="http://schemas.openxmlformats.org/officeDocument/2006/relationships/hyperlink" Target="https://fantasy.espn.com/football/boxscore?leagueId=88024&amp;matchupPeriodId=17&amp;scoringPeriodId=17&amp;seasonId=2024&amp;teamId=1&amp;view=scoringperiod" TargetMode="External"/><Relationship Id="rId807" Type="http://schemas.openxmlformats.org/officeDocument/2006/relationships/hyperlink" Target="https://fantasy.espn.com/football/boxscore?leagueId=88024&amp;matchupPeriodId=17&amp;scoringPeriodId=17&amp;seasonId=2024&amp;teamId=1&amp;view=scoringperiod" TargetMode="External"/><Relationship Id="rId806" Type="http://schemas.openxmlformats.org/officeDocument/2006/relationships/hyperlink" Target="https://fantasy.espn.com/football/boxscore?leagueId=88024&amp;matchupPeriodId=17&amp;scoringPeriodId=17&amp;seasonId=2024&amp;teamId=6&amp;view=scoringperiod" TargetMode="External"/><Relationship Id="rId805" Type="http://schemas.openxmlformats.org/officeDocument/2006/relationships/hyperlink" Target="https://fantasy.espn.com/football/boxscore?leagueId=88024&amp;matchupPeriodId=17&amp;scoringPeriodId=17&amp;seasonId=2024&amp;teamId=6&amp;view=scoringperiod" TargetMode="External"/><Relationship Id="rId809" Type="http://schemas.openxmlformats.org/officeDocument/2006/relationships/hyperlink" Target="https://fantasy.espn.com/football/boxscore?leagueId=88024&amp;matchupPeriodId=17&amp;scoringPeriodId=17&amp;seasonId=2024&amp;teamId=10&amp;view=scoringperiod" TargetMode="External"/><Relationship Id="rId800" Type="http://schemas.openxmlformats.org/officeDocument/2006/relationships/hyperlink" Target="https://fantasy.espn.com/football/boxscore?leagueId=88024&amp;matchupPeriodId=16&amp;scoringPeriodId=16&amp;seasonId=2024&amp;teamId=3&amp;view=scoringperiod" TargetMode="External"/><Relationship Id="rId804" Type="http://schemas.openxmlformats.org/officeDocument/2006/relationships/hyperlink" Target="https://fantasy.espn.com/football/boxscore?leagueId=88024&amp;matchupPeriodId=16&amp;scoringPeriodId=16&amp;seasonId=2024&amp;teamId=9&amp;view=scoringperiod" TargetMode="External"/><Relationship Id="rId803" Type="http://schemas.openxmlformats.org/officeDocument/2006/relationships/hyperlink" Target="https://fantasy.espn.com/football/boxscore?leagueId=88024&amp;matchupPeriodId=16&amp;scoringPeriodId=16&amp;seasonId=2024&amp;teamId=9&amp;view=scoringperiod" TargetMode="External"/><Relationship Id="rId802" Type="http://schemas.openxmlformats.org/officeDocument/2006/relationships/hyperlink" Target="https://fantasy.espn.com/football/boxscore?leagueId=88024&amp;matchupPeriodId=16&amp;scoringPeriodId=16&amp;seasonId=2024&amp;teamId=8&amp;view=scoringperiod" TargetMode="External"/><Relationship Id="rId801" Type="http://schemas.openxmlformats.org/officeDocument/2006/relationships/hyperlink" Target="https://fantasy.espn.com/football/boxscore?leagueId=88024&amp;matchupPeriodId=16&amp;scoringPeriodId=16&amp;seasonId=2024&amp;teamId=8&amp;view=scoringperiod" TargetMode="External"/><Relationship Id="rId40" Type="http://schemas.openxmlformats.org/officeDocument/2006/relationships/hyperlink" Target="https://fantasy.espn.com/football/boxscore?leagueId=88024&amp;matchupPeriodId=4&amp;scoringPeriodId=4&amp;seasonId=2021&amp;teamId=2&amp;view=scoringperiod" TargetMode="External"/><Relationship Id="rId42" Type="http://schemas.openxmlformats.org/officeDocument/2006/relationships/hyperlink" Target="https://fantasy.espn.com/football/boxscore?leagueId=88024&amp;matchupPeriodId=4&amp;scoringPeriodId=4&amp;seasonId=2021&amp;teamId=7&amp;view=scoringperiod" TargetMode="External"/><Relationship Id="rId41" Type="http://schemas.openxmlformats.org/officeDocument/2006/relationships/hyperlink" Target="https://fantasy.espn.com/football/boxscore?leagueId=88024&amp;matchupPeriodId=4&amp;scoringPeriodId=4&amp;seasonId=2021&amp;teamId=7&amp;view=scoringperiod" TargetMode="External"/><Relationship Id="rId44" Type="http://schemas.openxmlformats.org/officeDocument/2006/relationships/hyperlink" Target="https://fantasy.espn.com/football/boxscore?leagueId=88024&amp;matchupPeriodId=4&amp;scoringPeriodId=4&amp;seasonId=2021&amp;teamId=6&amp;view=scoringperiod" TargetMode="External"/><Relationship Id="rId43" Type="http://schemas.openxmlformats.org/officeDocument/2006/relationships/hyperlink" Target="https://fantasy.espn.com/football/boxscore?leagueId=88024&amp;matchupPeriodId=4&amp;scoringPeriodId=4&amp;seasonId=2021&amp;teamId=6&amp;view=scoringperiod" TargetMode="External"/><Relationship Id="rId46" Type="http://schemas.openxmlformats.org/officeDocument/2006/relationships/hyperlink" Target="https://fantasy.espn.com/football/boxscore?leagueId=88024&amp;matchupPeriodId=4&amp;scoringPeriodId=4&amp;seasonId=2021&amp;teamId=8&amp;view=scoringperiod" TargetMode="External"/><Relationship Id="rId45" Type="http://schemas.openxmlformats.org/officeDocument/2006/relationships/hyperlink" Target="https://fantasy.espn.com/football/boxscore?leagueId=88024&amp;matchupPeriodId=4&amp;scoringPeriodId=4&amp;seasonId=2021&amp;teamId=8&amp;view=scoringperiod" TargetMode="External"/><Relationship Id="rId509" Type="http://schemas.openxmlformats.org/officeDocument/2006/relationships/hyperlink" Target="https://fantasy.espn.com/football/boxscore?leagueId=88024&amp;matchupPeriodId=9&amp;scoringPeriodId=9&amp;seasonId=2023&amp;teamId=3&amp;view=scoringperiod" TargetMode="External"/><Relationship Id="rId508" Type="http://schemas.openxmlformats.org/officeDocument/2006/relationships/hyperlink" Target="https://fantasy.espn.com/football/boxscore?leagueId=88024&amp;matchupPeriodId=9&amp;scoringPeriodId=9&amp;seasonId=2023&amp;teamId=9&amp;view=scoringperiod" TargetMode="External"/><Relationship Id="rId503" Type="http://schemas.openxmlformats.org/officeDocument/2006/relationships/hyperlink" Target="https://fantasy.espn.com/football/boxscore?leagueId=88024&amp;matchupPeriodId=8&amp;scoringPeriodId=8&amp;seasonId=2023&amp;teamId=6&amp;view=scoringperiod" TargetMode="External"/><Relationship Id="rId745" Type="http://schemas.openxmlformats.org/officeDocument/2006/relationships/hyperlink" Target="https://fantasy.espn.com/football/boxscore?leagueId=88024&amp;matchupPeriodId=12&amp;scoringPeriodId=12&amp;seasonId=2024&amp;teamId=12&amp;view=scoringperiod" TargetMode="External"/><Relationship Id="rId987" Type="http://schemas.openxmlformats.org/officeDocument/2006/relationships/hyperlink" Target="https://fantasy.espn.com/football/boxscore?leagueId=88024&amp;matchupPeriodId=15&amp;scoringPeriodId=15&amp;seasonId=2025&amp;teamId=6&amp;view=scoringperiod" TargetMode="External"/><Relationship Id="rId502" Type="http://schemas.openxmlformats.org/officeDocument/2006/relationships/hyperlink" Target="https://fantasy.espn.com/football/boxscore?leagueId=88024&amp;matchupPeriodId=8&amp;scoringPeriodId=8&amp;seasonId=2023&amp;teamId=1&amp;view=scoringperiod" TargetMode="External"/><Relationship Id="rId744" Type="http://schemas.openxmlformats.org/officeDocument/2006/relationships/hyperlink" Target="https://fantasy.espn.com/football/boxscore?leagueId=88024&amp;matchupPeriodId=12&amp;scoringPeriodId=12&amp;seasonId=2024&amp;teamId=3&amp;view=scoringperiod" TargetMode="External"/><Relationship Id="rId986" Type="http://schemas.openxmlformats.org/officeDocument/2006/relationships/hyperlink" Target="https://fantasy.espn.com/football/boxscore?leagueId=88024&amp;matchupPeriodId=15&amp;scoringPeriodId=15&amp;seasonId=2025&amp;teamId=4&amp;view=scoringperiod" TargetMode="External"/><Relationship Id="rId501" Type="http://schemas.openxmlformats.org/officeDocument/2006/relationships/hyperlink" Target="https://fantasy.espn.com/football/boxscore?leagueId=88024&amp;matchupPeriodId=8&amp;scoringPeriodId=8&amp;seasonId=2023&amp;teamId=1&amp;view=scoringperiod" TargetMode="External"/><Relationship Id="rId743" Type="http://schemas.openxmlformats.org/officeDocument/2006/relationships/hyperlink" Target="https://fantasy.espn.com/football/boxscore?leagueId=88024&amp;matchupPeriodId=12&amp;scoringPeriodId=12&amp;seasonId=2024&amp;teamId=3&amp;view=scoringperiod" TargetMode="External"/><Relationship Id="rId985" Type="http://schemas.openxmlformats.org/officeDocument/2006/relationships/hyperlink" Target="https://fantasy.espn.com/football/boxscore?leagueId=88024&amp;matchupPeriodId=15&amp;scoringPeriodId=15&amp;seasonId=2025&amp;teamId=4&amp;view=scoringperiod" TargetMode="External"/><Relationship Id="rId500" Type="http://schemas.openxmlformats.org/officeDocument/2006/relationships/hyperlink" Target="https://fantasy.espn.com/football/boxscore?leagueId=88024&amp;matchupPeriodId=8&amp;scoringPeriodId=8&amp;seasonId=2023&amp;teamId=4&amp;view=scoringperiod" TargetMode="External"/><Relationship Id="rId742" Type="http://schemas.openxmlformats.org/officeDocument/2006/relationships/hyperlink" Target="https://fantasy.espn.com/football/boxscore?leagueId=88024&amp;matchupPeriodId=11&amp;scoringPeriodId=11&amp;seasonId=2024&amp;teamId=1&amp;view=scoringperiod" TargetMode="External"/><Relationship Id="rId984" Type="http://schemas.openxmlformats.org/officeDocument/2006/relationships/hyperlink" Target="https://fantasy.espn.com/football/boxscore?leagueId=88024&amp;matchupPeriodId=14&amp;scoringPeriodId=14&amp;seasonId=2025&amp;teamId=11&amp;view=scoringperiod" TargetMode="External"/><Relationship Id="rId507" Type="http://schemas.openxmlformats.org/officeDocument/2006/relationships/hyperlink" Target="https://fantasy.espn.com/football/boxscore?leagueId=88024&amp;matchupPeriodId=9&amp;scoringPeriodId=9&amp;seasonId=2023&amp;teamId=9&amp;view=scoringperiod" TargetMode="External"/><Relationship Id="rId749" Type="http://schemas.openxmlformats.org/officeDocument/2006/relationships/hyperlink" Target="https://fantasy.espn.com/football/boxscore?leagueId=88024&amp;matchupPeriodId=12&amp;scoringPeriodId=12&amp;seasonId=2024&amp;teamId=7&amp;view=scoringperiod" TargetMode="External"/><Relationship Id="rId506" Type="http://schemas.openxmlformats.org/officeDocument/2006/relationships/hyperlink" Target="https://fantasy.espn.com/football/boxscore?leagueId=88024&amp;matchupPeriodId=9&amp;scoringPeriodId=9&amp;seasonId=2023&amp;teamId=7&amp;view=scoringperiod" TargetMode="External"/><Relationship Id="rId748" Type="http://schemas.openxmlformats.org/officeDocument/2006/relationships/hyperlink" Target="https://fantasy.espn.com/football/boxscore?leagueId=88024&amp;matchupPeriodId=12&amp;scoringPeriodId=12&amp;seasonId=2024&amp;teamId=2&amp;view=scoringperiod" TargetMode="External"/><Relationship Id="rId505" Type="http://schemas.openxmlformats.org/officeDocument/2006/relationships/hyperlink" Target="https://fantasy.espn.com/football/boxscore?leagueId=88024&amp;matchupPeriodId=9&amp;scoringPeriodId=9&amp;seasonId=2023&amp;teamId=7&amp;view=scoringperiod" TargetMode="External"/><Relationship Id="rId747" Type="http://schemas.openxmlformats.org/officeDocument/2006/relationships/hyperlink" Target="https://fantasy.espn.com/football/boxscore?leagueId=88024&amp;matchupPeriodId=12&amp;scoringPeriodId=12&amp;seasonId=2024&amp;teamId=2&amp;view=scoringperiod" TargetMode="External"/><Relationship Id="rId989" Type="http://schemas.openxmlformats.org/officeDocument/2006/relationships/hyperlink" Target="https://fantasy.espn.com/football/boxscore?leagueId=88024&amp;matchupPeriodId=15&amp;scoringPeriodId=15&amp;seasonId=2025&amp;teamId=1&amp;view=scoringperiod" TargetMode="External"/><Relationship Id="rId504" Type="http://schemas.openxmlformats.org/officeDocument/2006/relationships/hyperlink" Target="https://fantasy.espn.com/football/boxscore?leagueId=88024&amp;matchupPeriodId=8&amp;scoringPeriodId=8&amp;seasonId=2023&amp;teamId=6&amp;view=scoringperiod" TargetMode="External"/><Relationship Id="rId746" Type="http://schemas.openxmlformats.org/officeDocument/2006/relationships/hyperlink" Target="https://fantasy.espn.com/football/boxscore?leagueId=88024&amp;matchupPeriodId=12&amp;scoringPeriodId=12&amp;seasonId=2024&amp;teamId=12&amp;view=scoringperiod" TargetMode="External"/><Relationship Id="rId988" Type="http://schemas.openxmlformats.org/officeDocument/2006/relationships/hyperlink" Target="https://fantasy.espn.com/football/boxscore?leagueId=88024&amp;matchupPeriodId=15&amp;scoringPeriodId=15&amp;seasonId=2025&amp;teamId=6&amp;view=scoringperiod" TargetMode="External"/><Relationship Id="rId48" Type="http://schemas.openxmlformats.org/officeDocument/2006/relationships/hyperlink" Target="https://fantasy.espn.com/football/boxscore?leagueId=88024&amp;matchupPeriodId=4&amp;scoringPeriodId=4&amp;seasonId=2021&amp;teamId=11&amp;view=scoringperiod" TargetMode="External"/><Relationship Id="rId47" Type="http://schemas.openxmlformats.org/officeDocument/2006/relationships/hyperlink" Target="https://fantasy.espn.com/football/boxscore?leagueId=88024&amp;matchupPeriodId=4&amp;scoringPeriodId=4&amp;seasonId=2021&amp;teamId=11&amp;view=scoringperiod" TargetMode="External"/><Relationship Id="rId49" Type="http://schemas.openxmlformats.org/officeDocument/2006/relationships/hyperlink" Target="https://fantasy.espn.com/football/boxscore?leagueId=88024&amp;matchupPeriodId=5&amp;scoringPeriodId=5&amp;seasonId=2021&amp;teamId=1&amp;view=scoringperiod" TargetMode="External"/><Relationship Id="rId741" Type="http://schemas.openxmlformats.org/officeDocument/2006/relationships/hyperlink" Target="https://fantasy.espn.com/football/boxscore?leagueId=88024&amp;matchupPeriodId=11&amp;scoringPeriodId=11&amp;seasonId=2024&amp;teamId=1&amp;view=scoringperiod" TargetMode="External"/><Relationship Id="rId983" Type="http://schemas.openxmlformats.org/officeDocument/2006/relationships/hyperlink" Target="https://fantasy.espn.com/football/boxscore?leagueId=88024&amp;matchupPeriodId=14&amp;scoringPeriodId=14&amp;seasonId=2025&amp;teamId=11&amp;view=scoringperiod" TargetMode="External"/><Relationship Id="rId740" Type="http://schemas.openxmlformats.org/officeDocument/2006/relationships/hyperlink" Target="https://fantasy.espn.com/football/boxscore?leagueId=88024&amp;matchupPeriodId=11&amp;scoringPeriodId=11&amp;seasonId=2024&amp;teamId=8&amp;view=scoringperiod" TargetMode="External"/><Relationship Id="rId982" Type="http://schemas.openxmlformats.org/officeDocument/2006/relationships/hyperlink" Target="https://fantasy.espn.com/football/boxscore?leagueId=88024&amp;matchupPeriodId=14&amp;scoringPeriodId=14&amp;seasonId=2025&amp;teamId=5&amp;view=scoringperiod" TargetMode="External"/><Relationship Id="rId981" Type="http://schemas.openxmlformats.org/officeDocument/2006/relationships/hyperlink" Target="https://fantasy.espn.com/football/boxscore?leagueId=88024&amp;matchupPeriodId=14&amp;scoringPeriodId=14&amp;seasonId=2025&amp;teamId=5&amp;view=scoringperiod" TargetMode="External"/><Relationship Id="rId980" Type="http://schemas.openxmlformats.org/officeDocument/2006/relationships/hyperlink" Target="https://fantasy.espn.com/football/boxscore?leagueId=88024&amp;matchupPeriodId=14&amp;scoringPeriodId=14&amp;seasonId=2025&amp;teamId=6&amp;view=scoringperiod" TargetMode="External"/><Relationship Id="rId31" Type="http://schemas.openxmlformats.org/officeDocument/2006/relationships/hyperlink" Target="https://fantasy.espn.com/football/boxscore?leagueId=88024&amp;matchupPeriodId=3&amp;scoringPeriodId=3&amp;seasonId=2021&amp;teamId=12&amp;view=scoringperiod" TargetMode="External"/><Relationship Id="rId30" Type="http://schemas.openxmlformats.org/officeDocument/2006/relationships/hyperlink" Target="https://fantasy.espn.com/football/boxscore?leagueId=88024&amp;matchupPeriodId=3&amp;scoringPeriodId=3&amp;seasonId=2021&amp;teamId=4&amp;view=scoringperiod" TargetMode="External"/><Relationship Id="rId33" Type="http://schemas.openxmlformats.org/officeDocument/2006/relationships/hyperlink" Target="https://fantasy.espn.com/football/boxscore?leagueId=88024&amp;matchupPeriodId=3&amp;scoringPeriodId=3&amp;seasonId=2021&amp;teamId=3&amp;view=scoringperiod" TargetMode="External"/><Relationship Id="rId32" Type="http://schemas.openxmlformats.org/officeDocument/2006/relationships/hyperlink" Target="https://fantasy.espn.com/football/boxscore?leagueId=88024&amp;matchupPeriodId=3&amp;scoringPeriodId=3&amp;seasonId=2021&amp;teamId=12&amp;view=scoringperiod" TargetMode="External"/><Relationship Id="rId35" Type="http://schemas.openxmlformats.org/officeDocument/2006/relationships/hyperlink" Target="https://fantasy.espn.com/football/boxscore?leagueId=88024&amp;matchupPeriodId=3&amp;scoringPeriodId=3&amp;seasonId=2021&amp;teamId=9&amp;view=scoringperiod" TargetMode="External"/><Relationship Id="rId34" Type="http://schemas.openxmlformats.org/officeDocument/2006/relationships/hyperlink" Target="https://fantasy.espn.com/football/boxscore?leagueId=88024&amp;matchupPeriodId=3&amp;scoringPeriodId=3&amp;seasonId=2021&amp;teamId=3&amp;view=scoringperiod" TargetMode="External"/><Relationship Id="rId739" Type="http://schemas.openxmlformats.org/officeDocument/2006/relationships/hyperlink" Target="https://fantasy.espn.com/football/boxscore?leagueId=88024&amp;matchupPeriodId=11&amp;scoringPeriodId=11&amp;seasonId=2024&amp;teamId=8&amp;view=scoringperiod" TargetMode="External"/><Relationship Id="rId734" Type="http://schemas.openxmlformats.org/officeDocument/2006/relationships/hyperlink" Target="https://fantasy.espn.com/football/boxscore?leagueId=88024&amp;matchupPeriodId=11&amp;scoringPeriodId=11&amp;seasonId=2024&amp;teamId=3&amp;view=scoringperiod" TargetMode="External"/><Relationship Id="rId976" Type="http://schemas.openxmlformats.org/officeDocument/2006/relationships/hyperlink" Target="https://fantasy.espn.com/football/boxscore?leagueId=88024&amp;matchupPeriodId=14&amp;scoringPeriodId=14&amp;seasonId=2025&amp;teamId=9&amp;view=scoringperiod" TargetMode="External"/><Relationship Id="rId733" Type="http://schemas.openxmlformats.org/officeDocument/2006/relationships/hyperlink" Target="https://fantasy.espn.com/football/boxscore?leagueId=88024&amp;matchupPeriodId=11&amp;scoringPeriodId=11&amp;seasonId=2024&amp;teamId=3&amp;view=scoringperiod" TargetMode="External"/><Relationship Id="rId975" Type="http://schemas.openxmlformats.org/officeDocument/2006/relationships/hyperlink" Target="https://fantasy.espn.com/football/boxscore?leagueId=88024&amp;matchupPeriodId=14&amp;scoringPeriodId=14&amp;seasonId=2025&amp;teamId=9&amp;view=scoringperiod" TargetMode="External"/><Relationship Id="rId732" Type="http://schemas.openxmlformats.org/officeDocument/2006/relationships/hyperlink" Target="https://fantasy.espn.com/football/boxscore?leagueId=88024&amp;matchupPeriodId=11&amp;scoringPeriodId=11&amp;seasonId=2024&amp;teamId=6&amp;view=scoringperiod" TargetMode="External"/><Relationship Id="rId974" Type="http://schemas.openxmlformats.org/officeDocument/2006/relationships/hyperlink" Target="https://fantasy.espn.com/football/boxscore?leagueId=88024&amp;matchupPeriodId=14&amp;scoringPeriodId=14&amp;seasonId=2025&amp;teamId=3&amp;view=scoringperiod" TargetMode="External"/><Relationship Id="rId731" Type="http://schemas.openxmlformats.org/officeDocument/2006/relationships/hyperlink" Target="https://fantasy.espn.com/football/boxscore?leagueId=88024&amp;matchupPeriodId=11&amp;scoringPeriodId=11&amp;seasonId=2024&amp;teamId=6&amp;view=scoringperiod" TargetMode="External"/><Relationship Id="rId973" Type="http://schemas.openxmlformats.org/officeDocument/2006/relationships/hyperlink" Target="https://fantasy.espn.com/football/boxscore?leagueId=88024&amp;matchupPeriodId=14&amp;scoringPeriodId=14&amp;seasonId=2025&amp;teamId=3&amp;view=scoringperiod" TargetMode="External"/><Relationship Id="rId738" Type="http://schemas.openxmlformats.org/officeDocument/2006/relationships/hyperlink" Target="https://fantasy.espn.com/football/boxscore?leagueId=88024&amp;matchupPeriodId=11&amp;scoringPeriodId=11&amp;seasonId=2024&amp;teamId=11&amp;view=scoringperiod" TargetMode="External"/><Relationship Id="rId737" Type="http://schemas.openxmlformats.org/officeDocument/2006/relationships/hyperlink" Target="https://fantasy.espn.com/football/boxscore?leagueId=88024&amp;matchupPeriodId=11&amp;scoringPeriodId=11&amp;seasonId=2024&amp;teamId=11&amp;view=scoringperiod" TargetMode="External"/><Relationship Id="rId979" Type="http://schemas.openxmlformats.org/officeDocument/2006/relationships/hyperlink" Target="https://fantasy.espn.com/football/boxscore?leagueId=88024&amp;matchupPeriodId=14&amp;scoringPeriodId=14&amp;seasonId=2025&amp;teamId=6&amp;view=scoringperiod" TargetMode="External"/><Relationship Id="rId736" Type="http://schemas.openxmlformats.org/officeDocument/2006/relationships/hyperlink" Target="https://fantasy.espn.com/football/boxscore?leagueId=88024&amp;matchupPeriodId=11&amp;scoringPeriodId=11&amp;seasonId=2024&amp;teamId=9&amp;view=scoringperiod" TargetMode="External"/><Relationship Id="rId978" Type="http://schemas.openxmlformats.org/officeDocument/2006/relationships/hyperlink" Target="https://fantasy.espn.com/football/boxscore?leagueId=88024&amp;matchupPeriodId=14&amp;scoringPeriodId=14&amp;seasonId=2025&amp;teamId=10&amp;view=scoringperiod" TargetMode="External"/><Relationship Id="rId735" Type="http://schemas.openxmlformats.org/officeDocument/2006/relationships/hyperlink" Target="https://fantasy.espn.com/football/boxscore?leagueId=88024&amp;matchupPeriodId=11&amp;scoringPeriodId=11&amp;seasonId=2024&amp;teamId=9&amp;view=scoringperiod" TargetMode="External"/><Relationship Id="rId977" Type="http://schemas.openxmlformats.org/officeDocument/2006/relationships/hyperlink" Target="https://fantasy.espn.com/football/boxscore?leagueId=88024&amp;matchupPeriodId=14&amp;scoringPeriodId=14&amp;seasonId=2025&amp;teamId=10&amp;view=scoringperiod" TargetMode="External"/><Relationship Id="rId37" Type="http://schemas.openxmlformats.org/officeDocument/2006/relationships/hyperlink" Target="https://fantasy.espn.com/football/boxscore?leagueId=88024&amp;matchupPeriodId=4&amp;scoringPeriodId=4&amp;seasonId=2021&amp;teamId=10&amp;view=scoringperiod" TargetMode="External"/><Relationship Id="rId36" Type="http://schemas.openxmlformats.org/officeDocument/2006/relationships/hyperlink" Target="https://fantasy.espn.com/football/boxscore?leagueId=88024&amp;matchupPeriodId=3&amp;scoringPeriodId=3&amp;seasonId=2021&amp;teamId=9&amp;view=scoringperiod" TargetMode="External"/><Relationship Id="rId39" Type="http://schemas.openxmlformats.org/officeDocument/2006/relationships/hyperlink" Target="https://fantasy.espn.com/football/boxscore?leagueId=88024&amp;matchupPeriodId=4&amp;scoringPeriodId=4&amp;seasonId=2021&amp;teamId=2&amp;view=scoringperiod" TargetMode="External"/><Relationship Id="rId38" Type="http://schemas.openxmlformats.org/officeDocument/2006/relationships/hyperlink" Target="https://fantasy.espn.com/football/boxscore?leagueId=88024&amp;matchupPeriodId=4&amp;scoringPeriodId=4&amp;seasonId=2021&amp;teamId=10&amp;view=scoringperiod" TargetMode="External"/><Relationship Id="rId730" Type="http://schemas.openxmlformats.org/officeDocument/2006/relationships/hyperlink" Target="https://fantasy.espn.com/football/boxscore?leagueId=88024&amp;matchupPeriodId=10&amp;scoringPeriodId=10&amp;seasonId=2024&amp;teamId=1&amp;view=scoringperiod" TargetMode="External"/><Relationship Id="rId972" Type="http://schemas.openxmlformats.org/officeDocument/2006/relationships/hyperlink" Target="https://fantasy.espn.com/football/boxscore?leagueId=88024&amp;matchupPeriodId=13&amp;scoringPeriodId=13&amp;seasonId=2025&amp;teamId=12&amp;view=scoringperiod" TargetMode="External"/><Relationship Id="rId971" Type="http://schemas.openxmlformats.org/officeDocument/2006/relationships/hyperlink" Target="https://fantasy.espn.com/football/boxscore?leagueId=88024&amp;matchupPeriodId=13&amp;scoringPeriodId=13&amp;seasonId=2025&amp;teamId=12&amp;view=scoringperiod" TargetMode="External"/><Relationship Id="rId970" Type="http://schemas.openxmlformats.org/officeDocument/2006/relationships/hyperlink" Target="https://fantasy.espn.com/football/boxscore?leagueId=88024&amp;matchupPeriodId=13&amp;scoringPeriodId=13&amp;seasonId=2025&amp;teamId=7&amp;view=scoringperiod" TargetMode="External"/><Relationship Id="rId20" Type="http://schemas.openxmlformats.org/officeDocument/2006/relationships/hyperlink" Target="https://fantasy.espn.com/football/boxscore?leagueId=88024&amp;matchupPeriodId=2&amp;scoringPeriodId=2&amp;seasonId=2021&amp;teamId=11&amp;view=scoringperiod" TargetMode="External"/><Relationship Id="rId22" Type="http://schemas.openxmlformats.org/officeDocument/2006/relationships/hyperlink" Target="https://fantasy.espn.com/football/boxscore?leagueId=88024&amp;matchupPeriodId=2&amp;scoringPeriodId=2&amp;seasonId=2021&amp;teamId=5&amp;view=scoringperiod" TargetMode="External"/><Relationship Id="rId21" Type="http://schemas.openxmlformats.org/officeDocument/2006/relationships/hyperlink" Target="https://fantasy.espn.com/football/boxscore?leagueId=88024&amp;matchupPeriodId=2&amp;scoringPeriodId=2&amp;seasonId=2021&amp;teamId=5&amp;view=scoringperiod" TargetMode="External"/><Relationship Id="rId24" Type="http://schemas.openxmlformats.org/officeDocument/2006/relationships/hyperlink" Target="https://fantasy.espn.com/football/boxscore?leagueId=88024&amp;matchupPeriodId=2&amp;scoringPeriodId=2&amp;seasonId=2021&amp;teamId=9&amp;view=scoringperiod" TargetMode="External"/><Relationship Id="rId23" Type="http://schemas.openxmlformats.org/officeDocument/2006/relationships/hyperlink" Target="https://fantasy.espn.com/football/boxscore?leagueId=88024&amp;matchupPeriodId=2&amp;scoringPeriodId=2&amp;seasonId=2021&amp;teamId=9&amp;view=scoringperiod" TargetMode="External"/><Relationship Id="rId525" Type="http://schemas.openxmlformats.org/officeDocument/2006/relationships/hyperlink" Target="https://fantasy.espn.com/football/boxscore?leagueId=88024&amp;matchupPeriodId=10&amp;scoringPeriodId=10&amp;seasonId=2023&amp;teamId=12&amp;view=scoringperiod" TargetMode="External"/><Relationship Id="rId767" Type="http://schemas.openxmlformats.org/officeDocument/2006/relationships/hyperlink" Target="https://fantasy.espn.com/football/boxscore?leagueId=88024&amp;matchupPeriodId=14&amp;scoringPeriodId=14&amp;seasonId=2024&amp;teamId=11&amp;view=scoringperiod" TargetMode="External"/><Relationship Id="rId524" Type="http://schemas.openxmlformats.org/officeDocument/2006/relationships/hyperlink" Target="https://fantasy.espn.com/football/boxscore?leagueId=88024&amp;matchupPeriodId=10&amp;scoringPeriodId=10&amp;seasonId=2023&amp;teamId=11&amp;view=scoringperiod" TargetMode="External"/><Relationship Id="rId766" Type="http://schemas.openxmlformats.org/officeDocument/2006/relationships/hyperlink" Target="https://fantasy.espn.com/football/boxscore?leagueId=88024&amp;matchupPeriodId=13&amp;scoringPeriodId=13&amp;seasonId=2024&amp;teamId=5&amp;view=scoringperiod" TargetMode="External"/><Relationship Id="rId523" Type="http://schemas.openxmlformats.org/officeDocument/2006/relationships/hyperlink" Target="https://fantasy.espn.com/football/boxscore?leagueId=88024&amp;matchupPeriodId=10&amp;scoringPeriodId=10&amp;seasonId=2023&amp;teamId=11&amp;view=scoringperiod" TargetMode="External"/><Relationship Id="rId765" Type="http://schemas.openxmlformats.org/officeDocument/2006/relationships/hyperlink" Target="https://fantasy.espn.com/football/boxscore?leagueId=88024&amp;matchupPeriodId=13&amp;scoringPeriodId=13&amp;seasonId=2024&amp;teamId=5&amp;view=scoringperiod" TargetMode="External"/><Relationship Id="rId522" Type="http://schemas.openxmlformats.org/officeDocument/2006/relationships/hyperlink" Target="https://fantasy.espn.com/football/boxscore?leagueId=88024&amp;matchupPeriodId=10&amp;scoringPeriodId=10&amp;seasonId=2023&amp;teamId=2&amp;view=scoringperiod" TargetMode="External"/><Relationship Id="rId764" Type="http://schemas.openxmlformats.org/officeDocument/2006/relationships/hyperlink" Target="https://fantasy.espn.com/football/boxscore?leagueId=88024&amp;matchupPeriodId=13&amp;scoringPeriodId=13&amp;seasonId=2024&amp;teamId=4&amp;view=scoringperiod" TargetMode="External"/><Relationship Id="rId529" Type="http://schemas.openxmlformats.org/officeDocument/2006/relationships/hyperlink" Target="https://fantasy.espn.com/football/boxscore?leagueId=88024&amp;matchupPeriodId=11&amp;scoringPeriodId=11&amp;seasonId=2023&amp;teamId=7&amp;view=scoringperiod" TargetMode="External"/><Relationship Id="rId528" Type="http://schemas.openxmlformats.org/officeDocument/2006/relationships/hyperlink" Target="https://fantasy.espn.com/football/boxscore?leagueId=88024&amp;matchupPeriodId=10&amp;scoringPeriodId=10&amp;seasonId=2023&amp;teamId=4&amp;view=scoringperiod" TargetMode="External"/><Relationship Id="rId527" Type="http://schemas.openxmlformats.org/officeDocument/2006/relationships/hyperlink" Target="https://fantasy.espn.com/football/boxscore?leagueId=88024&amp;matchupPeriodId=10&amp;scoringPeriodId=10&amp;seasonId=2023&amp;teamId=4&amp;view=scoringperiod" TargetMode="External"/><Relationship Id="rId769" Type="http://schemas.openxmlformats.org/officeDocument/2006/relationships/hyperlink" Target="https://fantasy.espn.com/football/boxscore?leagueId=88024&amp;matchupPeriodId=14&amp;scoringPeriodId=14&amp;seasonId=2024&amp;teamId=9&amp;view=scoringperiod" TargetMode="External"/><Relationship Id="rId526" Type="http://schemas.openxmlformats.org/officeDocument/2006/relationships/hyperlink" Target="https://fantasy.espn.com/football/boxscore?leagueId=88024&amp;matchupPeriodId=10&amp;scoringPeriodId=10&amp;seasonId=2023&amp;teamId=12&amp;view=scoringperiod" TargetMode="External"/><Relationship Id="rId768" Type="http://schemas.openxmlformats.org/officeDocument/2006/relationships/hyperlink" Target="https://fantasy.espn.com/football/boxscore?leagueId=88024&amp;matchupPeriodId=14&amp;scoringPeriodId=14&amp;seasonId=2024&amp;teamId=11&amp;view=scoringperiod" TargetMode="External"/><Relationship Id="rId26" Type="http://schemas.openxmlformats.org/officeDocument/2006/relationships/hyperlink" Target="https://fantasy.espn.com/football/boxscore?leagueId=88024&amp;matchupPeriodId=3&amp;scoringPeriodId=3&amp;seasonId=2021&amp;teamId=1&amp;view=scoringperiod" TargetMode="External"/><Relationship Id="rId25" Type="http://schemas.openxmlformats.org/officeDocument/2006/relationships/hyperlink" Target="https://fantasy.espn.com/football/boxscore?leagueId=88024&amp;matchupPeriodId=3&amp;scoringPeriodId=3&amp;seasonId=2021&amp;teamId=1&amp;view=scoringperiod" TargetMode="External"/><Relationship Id="rId28" Type="http://schemas.openxmlformats.org/officeDocument/2006/relationships/hyperlink" Target="https://fantasy.espn.com/football/boxscore?leagueId=88024&amp;matchupPeriodId=3&amp;scoringPeriodId=3&amp;seasonId=2021&amp;teamId=10&amp;view=scoringperiod" TargetMode="External"/><Relationship Id="rId27" Type="http://schemas.openxmlformats.org/officeDocument/2006/relationships/hyperlink" Target="https://fantasy.espn.com/football/boxscore?leagueId=88024&amp;matchupPeriodId=3&amp;scoringPeriodId=3&amp;seasonId=2021&amp;teamId=10&amp;view=scoringperiod" TargetMode="External"/><Relationship Id="rId521" Type="http://schemas.openxmlformats.org/officeDocument/2006/relationships/hyperlink" Target="https://fantasy.espn.com/football/boxscore?leagueId=88024&amp;matchupPeriodId=10&amp;scoringPeriodId=10&amp;seasonId=2023&amp;teamId=2&amp;view=scoringperiod" TargetMode="External"/><Relationship Id="rId763" Type="http://schemas.openxmlformats.org/officeDocument/2006/relationships/hyperlink" Target="https://fantasy.espn.com/football/boxscore?leagueId=88024&amp;matchupPeriodId=13&amp;scoringPeriodId=13&amp;seasonId=2024&amp;teamId=4&amp;view=scoringperiod" TargetMode="External"/><Relationship Id="rId29" Type="http://schemas.openxmlformats.org/officeDocument/2006/relationships/hyperlink" Target="https://fantasy.espn.com/football/boxscore?leagueId=88024&amp;matchupPeriodId=3&amp;scoringPeriodId=3&amp;seasonId=2021&amp;teamId=4&amp;view=scoringperiod" TargetMode="External"/><Relationship Id="rId520" Type="http://schemas.openxmlformats.org/officeDocument/2006/relationships/hyperlink" Target="https://fantasy.espn.com/football/boxscore?leagueId=88024&amp;matchupPeriodId=10&amp;scoringPeriodId=10&amp;seasonId=2023&amp;teamId=5&amp;view=scoringperiod" TargetMode="External"/><Relationship Id="rId762" Type="http://schemas.openxmlformats.org/officeDocument/2006/relationships/hyperlink" Target="https://fantasy.espn.com/football/boxscore?leagueId=88024&amp;matchupPeriodId=13&amp;scoringPeriodId=13&amp;seasonId=2024&amp;teamId=1&amp;view=scoringperiod" TargetMode="External"/><Relationship Id="rId761" Type="http://schemas.openxmlformats.org/officeDocument/2006/relationships/hyperlink" Target="https://fantasy.espn.com/football/boxscore?leagueId=88024&amp;matchupPeriodId=13&amp;scoringPeriodId=13&amp;seasonId=2024&amp;teamId=1&amp;view=scoringperiod" TargetMode="External"/><Relationship Id="rId760" Type="http://schemas.openxmlformats.org/officeDocument/2006/relationships/hyperlink" Target="https://fantasy.espn.com/football/boxscore?leagueId=88024&amp;matchupPeriodId=13&amp;scoringPeriodId=13&amp;seasonId=2024&amp;teamId=8&amp;view=scoringperiod" TargetMode="External"/><Relationship Id="rId11" Type="http://schemas.openxmlformats.org/officeDocument/2006/relationships/hyperlink" Target="https://fantasy.espn.com/football/boxscore?leagueId=88024&amp;matchupPeriodId=1&amp;scoringPeriodId=1&amp;seasonId=2021&amp;teamId=12&amp;view=scoringperiod" TargetMode="External"/><Relationship Id="rId10" Type="http://schemas.openxmlformats.org/officeDocument/2006/relationships/hyperlink" Target="https://fantasy.espn.com/football/boxscore?leagueId=88024&amp;matchupPeriodId=1&amp;scoringPeriodId=1&amp;seasonId=2021&amp;teamId=4&amp;view=scoringperiod" TargetMode="External"/><Relationship Id="rId13" Type="http://schemas.openxmlformats.org/officeDocument/2006/relationships/hyperlink" Target="https://fantasy.espn.com/football/boxscore?leagueId=88024&amp;matchupPeriodId=2&amp;scoringPeriodId=2&amp;seasonId=2021&amp;teamId=7&amp;view=scoringperiod" TargetMode="External"/><Relationship Id="rId12" Type="http://schemas.openxmlformats.org/officeDocument/2006/relationships/hyperlink" Target="https://fantasy.espn.com/football/boxscore?leagueId=88024&amp;matchupPeriodId=1&amp;scoringPeriodId=1&amp;seasonId=2021&amp;teamId=12&amp;view=scoringperiod" TargetMode="External"/><Relationship Id="rId519" Type="http://schemas.openxmlformats.org/officeDocument/2006/relationships/hyperlink" Target="https://fantasy.espn.com/football/boxscore?leagueId=88024&amp;matchupPeriodId=10&amp;scoringPeriodId=10&amp;seasonId=2023&amp;teamId=5&amp;view=scoringperiod" TargetMode="External"/><Relationship Id="rId514" Type="http://schemas.openxmlformats.org/officeDocument/2006/relationships/hyperlink" Target="https://fantasy.espn.com/football/boxscore?leagueId=88024&amp;matchupPeriodId=9&amp;scoringPeriodId=9&amp;seasonId=2023&amp;teamId=10&amp;view=scoringperiod" TargetMode="External"/><Relationship Id="rId756" Type="http://schemas.openxmlformats.org/officeDocument/2006/relationships/hyperlink" Target="https://fantasy.espn.com/football/boxscore?leagueId=88024&amp;matchupPeriodId=13&amp;scoringPeriodId=13&amp;seasonId=2024&amp;teamId=6&amp;view=scoringperiod" TargetMode="External"/><Relationship Id="rId998" Type="http://schemas.openxmlformats.org/officeDocument/2006/relationships/hyperlink" Target="https://fantasy.espn.com/football/boxscore?leagueId=88024&amp;matchupPeriodId=16&amp;scoringPeriodId=16&amp;seasonId=2025&amp;teamId=6&amp;view=scoringperiod" TargetMode="External"/><Relationship Id="rId513" Type="http://schemas.openxmlformats.org/officeDocument/2006/relationships/hyperlink" Target="https://fantasy.espn.com/football/boxscore?leagueId=88024&amp;matchupPeriodId=9&amp;scoringPeriodId=9&amp;seasonId=2023&amp;teamId=10&amp;view=scoringperiod" TargetMode="External"/><Relationship Id="rId755" Type="http://schemas.openxmlformats.org/officeDocument/2006/relationships/hyperlink" Target="https://fantasy.espn.com/football/boxscore?leagueId=88024&amp;matchupPeriodId=13&amp;scoringPeriodId=13&amp;seasonId=2024&amp;teamId=6&amp;view=scoringperiod" TargetMode="External"/><Relationship Id="rId997" Type="http://schemas.openxmlformats.org/officeDocument/2006/relationships/hyperlink" Target="https://fantasy.espn.com/football/boxscore?leagueId=88024&amp;matchupPeriodId=16&amp;scoringPeriodId=16&amp;seasonId=2025&amp;teamId=6&amp;view=scoringperiod" TargetMode="External"/><Relationship Id="rId512" Type="http://schemas.openxmlformats.org/officeDocument/2006/relationships/hyperlink" Target="https://fantasy.espn.com/football/boxscore?leagueId=88024&amp;matchupPeriodId=9&amp;scoringPeriodId=9&amp;seasonId=2023&amp;teamId=8&amp;view=scoringperiod" TargetMode="External"/><Relationship Id="rId754" Type="http://schemas.openxmlformats.org/officeDocument/2006/relationships/hyperlink" Target="https://fantasy.espn.com/football/boxscore?leagueId=88024&amp;matchupPeriodId=12&amp;scoringPeriodId=12&amp;seasonId=2024&amp;teamId=5&amp;view=scoringperiod" TargetMode="External"/><Relationship Id="rId996" Type="http://schemas.openxmlformats.org/officeDocument/2006/relationships/hyperlink" Target="https://fantasy.espn.com/football/boxscore?leagueId=88024&amp;matchupPeriodId=16&amp;scoringPeriodId=16&amp;seasonId=2025&amp;teamId=2&amp;view=scoringperiod" TargetMode="External"/><Relationship Id="rId511" Type="http://schemas.openxmlformats.org/officeDocument/2006/relationships/hyperlink" Target="https://fantasy.espn.com/football/boxscore?leagueId=88024&amp;matchupPeriodId=9&amp;scoringPeriodId=9&amp;seasonId=2023&amp;teamId=8&amp;view=scoringperiod" TargetMode="External"/><Relationship Id="rId753" Type="http://schemas.openxmlformats.org/officeDocument/2006/relationships/hyperlink" Target="https://fantasy.espn.com/football/boxscore?leagueId=88024&amp;matchupPeriodId=12&amp;scoringPeriodId=12&amp;seasonId=2024&amp;teamId=5&amp;view=scoringperiod" TargetMode="External"/><Relationship Id="rId995" Type="http://schemas.openxmlformats.org/officeDocument/2006/relationships/hyperlink" Target="https://fantasy.espn.com/football/boxscore?leagueId=88024&amp;matchupPeriodId=16&amp;scoringPeriodId=16&amp;seasonId=2025&amp;teamId=2&amp;view=scoringperiod" TargetMode="External"/><Relationship Id="rId518" Type="http://schemas.openxmlformats.org/officeDocument/2006/relationships/hyperlink" Target="https://fantasy.espn.com/football/boxscore?leagueId=88024&amp;matchupPeriodId=10&amp;scoringPeriodId=10&amp;seasonId=2023&amp;teamId=9&amp;view=scoringperiod" TargetMode="External"/><Relationship Id="rId517" Type="http://schemas.openxmlformats.org/officeDocument/2006/relationships/hyperlink" Target="https://fantasy.espn.com/football/boxscore?leagueId=88024&amp;matchupPeriodId=10&amp;scoringPeriodId=10&amp;seasonId=2023&amp;teamId=9&amp;view=scoringperiod" TargetMode="External"/><Relationship Id="rId759" Type="http://schemas.openxmlformats.org/officeDocument/2006/relationships/hyperlink" Target="https://fantasy.espn.com/football/boxscore?leagueId=88024&amp;matchupPeriodId=13&amp;scoringPeriodId=13&amp;seasonId=2024&amp;teamId=8&amp;view=scoringperiod" TargetMode="External"/><Relationship Id="rId516" Type="http://schemas.openxmlformats.org/officeDocument/2006/relationships/hyperlink" Target="https://fantasy.espn.com/football/boxscore?leagueId=88024&amp;matchupPeriodId=9&amp;scoringPeriodId=9&amp;seasonId=2023&amp;teamId=6&amp;view=scoringperiod" TargetMode="External"/><Relationship Id="rId758" Type="http://schemas.openxmlformats.org/officeDocument/2006/relationships/hyperlink" Target="https://fantasy.espn.com/football/boxscore?leagueId=88024&amp;matchupPeriodId=13&amp;scoringPeriodId=13&amp;seasonId=2024&amp;teamId=11&amp;view=scoringperiod" TargetMode="External"/><Relationship Id="rId515" Type="http://schemas.openxmlformats.org/officeDocument/2006/relationships/hyperlink" Target="https://fantasy.espn.com/football/boxscore?leagueId=88024&amp;matchupPeriodId=9&amp;scoringPeriodId=9&amp;seasonId=2023&amp;teamId=6&amp;view=scoringperiod" TargetMode="External"/><Relationship Id="rId757" Type="http://schemas.openxmlformats.org/officeDocument/2006/relationships/hyperlink" Target="https://fantasy.espn.com/football/boxscore?leagueId=88024&amp;matchupPeriodId=13&amp;scoringPeriodId=13&amp;seasonId=2024&amp;teamId=11&amp;view=scoringperiod" TargetMode="External"/><Relationship Id="rId999" Type="http://schemas.openxmlformats.org/officeDocument/2006/relationships/hyperlink" Target="https://fantasy.espn.com/football/boxscore?leagueId=88024&amp;matchupPeriodId=16&amp;scoringPeriodId=16&amp;seasonId=2025&amp;teamId=4&amp;view=scoringperiod" TargetMode="External"/><Relationship Id="rId15" Type="http://schemas.openxmlformats.org/officeDocument/2006/relationships/hyperlink" Target="https://fantasy.espn.com/football/boxscore?leagueId=88024&amp;matchupPeriodId=2&amp;scoringPeriodId=2&amp;seasonId=2021&amp;teamId=6&amp;view=scoringperiod" TargetMode="External"/><Relationship Id="rId990" Type="http://schemas.openxmlformats.org/officeDocument/2006/relationships/hyperlink" Target="https://fantasy.espn.com/football/boxscore?leagueId=88024&amp;matchupPeriodId=15&amp;scoringPeriodId=15&amp;seasonId=2025&amp;teamId=1&amp;view=scoringperiod" TargetMode="External"/><Relationship Id="rId14" Type="http://schemas.openxmlformats.org/officeDocument/2006/relationships/hyperlink" Target="https://fantasy.espn.com/football/boxscore?leagueId=88024&amp;matchupPeriodId=2&amp;scoringPeriodId=2&amp;seasonId=2021&amp;teamId=7&amp;view=scoringperiod" TargetMode="External"/><Relationship Id="rId17" Type="http://schemas.openxmlformats.org/officeDocument/2006/relationships/hyperlink" Target="https://fantasy.espn.com/football/boxscore?leagueId=88024&amp;matchupPeriodId=2&amp;scoringPeriodId=2&amp;seasonId=2021&amp;teamId=8&amp;view=scoringperiod" TargetMode="External"/><Relationship Id="rId16" Type="http://schemas.openxmlformats.org/officeDocument/2006/relationships/hyperlink" Target="https://fantasy.espn.com/football/boxscore?leagueId=88024&amp;matchupPeriodId=2&amp;scoringPeriodId=2&amp;seasonId=2021&amp;teamId=6&amp;view=scoringperiod" TargetMode="External"/><Relationship Id="rId19" Type="http://schemas.openxmlformats.org/officeDocument/2006/relationships/hyperlink" Target="https://fantasy.espn.com/football/boxscore?leagueId=88024&amp;matchupPeriodId=2&amp;scoringPeriodId=2&amp;seasonId=2021&amp;teamId=11&amp;view=scoringperiod" TargetMode="External"/><Relationship Id="rId510" Type="http://schemas.openxmlformats.org/officeDocument/2006/relationships/hyperlink" Target="https://fantasy.espn.com/football/boxscore?leagueId=88024&amp;matchupPeriodId=9&amp;scoringPeriodId=9&amp;seasonId=2023&amp;teamId=3&amp;view=scoringperiod" TargetMode="External"/><Relationship Id="rId752" Type="http://schemas.openxmlformats.org/officeDocument/2006/relationships/hyperlink" Target="https://fantasy.espn.com/football/boxscore?leagueId=88024&amp;matchupPeriodId=12&amp;scoringPeriodId=12&amp;seasonId=2024&amp;teamId=10&amp;view=scoringperiod" TargetMode="External"/><Relationship Id="rId994" Type="http://schemas.openxmlformats.org/officeDocument/2006/relationships/hyperlink" Target="https://fantasy.espn.com/football/boxscore?leagueId=88024&amp;matchupPeriodId=15&amp;scoringPeriodId=15&amp;seasonId=2025&amp;teamId=10&amp;view=scoringperiod" TargetMode="External"/><Relationship Id="rId18" Type="http://schemas.openxmlformats.org/officeDocument/2006/relationships/hyperlink" Target="https://fantasy.espn.com/football/boxscore?leagueId=88024&amp;matchupPeriodId=2&amp;scoringPeriodId=2&amp;seasonId=2021&amp;teamId=8&amp;view=scoringperiod" TargetMode="External"/><Relationship Id="rId751" Type="http://schemas.openxmlformats.org/officeDocument/2006/relationships/hyperlink" Target="https://fantasy.espn.com/football/boxscore?leagueId=88024&amp;matchupPeriodId=12&amp;scoringPeriodId=12&amp;seasonId=2024&amp;teamId=10&amp;view=scoringperiod" TargetMode="External"/><Relationship Id="rId993" Type="http://schemas.openxmlformats.org/officeDocument/2006/relationships/hyperlink" Target="https://fantasy.espn.com/football/boxscore?leagueId=88024&amp;matchupPeriodId=15&amp;scoringPeriodId=15&amp;seasonId=2025&amp;teamId=10&amp;view=scoringperiod" TargetMode="External"/><Relationship Id="rId750" Type="http://schemas.openxmlformats.org/officeDocument/2006/relationships/hyperlink" Target="https://fantasy.espn.com/football/boxscore?leagueId=88024&amp;matchupPeriodId=12&amp;scoringPeriodId=12&amp;seasonId=2024&amp;teamId=7&amp;view=scoringperiod" TargetMode="External"/><Relationship Id="rId992" Type="http://schemas.openxmlformats.org/officeDocument/2006/relationships/hyperlink" Target="https://fantasy.espn.com/football/boxscore?leagueId=88024&amp;matchupPeriodId=15&amp;scoringPeriodId=15&amp;seasonId=2025&amp;teamId=8&amp;view=scoringperiod" TargetMode="External"/><Relationship Id="rId991" Type="http://schemas.openxmlformats.org/officeDocument/2006/relationships/hyperlink" Target="https://fantasy.espn.com/football/boxscore?leagueId=88024&amp;matchupPeriodId=15&amp;scoringPeriodId=15&amp;seasonId=2025&amp;teamId=8&amp;view=scoringperiod" TargetMode="External"/><Relationship Id="rId84" Type="http://schemas.openxmlformats.org/officeDocument/2006/relationships/hyperlink" Target="https://fantasy.espn.com/football/boxscore?leagueId=88024&amp;matchupPeriodId=7&amp;scoringPeriodId=7&amp;seasonId=2021&amp;teamId=6&amp;view=scoringperiod" TargetMode="External"/><Relationship Id="rId83" Type="http://schemas.openxmlformats.org/officeDocument/2006/relationships/hyperlink" Target="https://fantasy.espn.com/football/boxscore?leagueId=88024&amp;matchupPeriodId=7&amp;scoringPeriodId=7&amp;seasonId=2021&amp;teamId=6&amp;view=scoringperiod" TargetMode="External"/><Relationship Id="rId86" Type="http://schemas.openxmlformats.org/officeDocument/2006/relationships/hyperlink" Target="https://fantasy.espn.com/football/boxscore?leagueId=88024&amp;matchupPeriodId=8&amp;scoringPeriodId=8&amp;seasonId=2021&amp;teamId=9&amp;view=scoringperiod" TargetMode="External"/><Relationship Id="rId85" Type="http://schemas.openxmlformats.org/officeDocument/2006/relationships/hyperlink" Target="https://fantasy.espn.com/football/boxscore?leagueId=88024&amp;matchupPeriodId=8&amp;scoringPeriodId=8&amp;seasonId=2021&amp;teamId=9&amp;view=scoringperiod" TargetMode="External"/><Relationship Id="rId88" Type="http://schemas.openxmlformats.org/officeDocument/2006/relationships/hyperlink" Target="https://fantasy.espn.com/football/boxscore?leagueId=88024&amp;matchupPeriodId=8&amp;scoringPeriodId=8&amp;seasonId=2021&amp;teamId=3&amp;view=scoringperiod" TargetMode="External"/><Relationship Id="rId87" Type="http://schemas.openxmlformats.org/officeDocument/2006/relationships/hyperlink" Target="https://fantasy.espn.com/football/boxscore?leagueId=88024&amp;matchupPeriodId=8&amp;scoringPeriodId=8&amp;seasonId=2021&amp;teamId=3&amp;view=scoringperiod" TargetMode="External"/><Relationship Id="rId89" Type="http://schemas.openxmlformats.org/officeDocument/2006/relationships/hyperlink" Target="https://fantasy.espn.com/football/boxscore?leagueId=88024&amp;matchupPeriodId=8&amp;scoringPeriodId=8&amp;seasonId=2021&amp;teamId=12&amp;view=scoringperiod" TargetMode="External"/><Relationship Id="rId709" Type="http://schemas.openxmlformats.org/officeDocument/2006/relationships/hyperlink" Target="https://fantasy.espn.com/football/boxscore?leagueId=88024&amp;matchupPeriodId=9&amp;scoringPeriodId=9&amp;seasonId=2024&amp;teamId=2&amp;view=scoringperiod" TargetMode="External"/><Relationship Id="rId708" Type="http://schemas.openxmlformats.org/officeDocument/2006/relationships/hyperlink" Target="https://fantasy.espn.com/football/boxscore?leagueId=88024&amp;matchupPeriodId=9&amp;scoringPeriodId=9&amp;seasonId=2024&amp;teamId=6&amp;view=scoringperiod" TargetMode="External"/><Relationship Id="rId707" Type="http://schemas.openxmlformats.org/officeDocument/2006/relationships/hyperlink" Target="https://fantasy.espn.com/football/boxscore?leagueId=88024&amp;matchupPeriodId=9&amp;scoringPeriodId=9&amp;seasonId=2024&amp;teamId=6&amp;view=scoringperiod" TargetMode="External"/><Relationship Id="rId949" Type="http://schemas.openxmlformats.org/officeDocument/2006/relationships/hyperlink" Target="https://fantasy.espn.com/football/boxscore?leagueId=88024&amp;matchupPeriodId=12&amp;scoringPeriodId=12&amp;seasonId=2025&amp;teamId=10&amp;view=scoringperiod" TargetMode="External"/><Relationship Id="rId706" Type="http://schemas.openxmlformats.org/officeDocument/2006/relationships/hyperlink" Target="https://fantasy.espn.com/football/boxscore?leagueId=88024&amp;matchupPeriodId=8&amp;scoringPeriodId=8&amp;seasonId=2024&amp;teamId=11&amp;view=scoringperiod" TargetMode="External"/><Relationship Id="rId948" Type="http://schemas.openxmlformats.org/officeDocument/2006/relationships/hyperlink" Target="https://fantasy.espn.com/football/boxscore?leagueId=88024&amp;matchupPeriodId=11&amp;scoringPeriodId=11&amp;seasonId=2025&amp;teamId=1&amp;view=scoringperiod" TargetMode="External"/><Relationship Id="rId80" Type="http://schemas.openxmlformats.org/officeDocument/2006/relationships/hyperlink" Target="https://fantasy.espn.com/football/boxscore?leagueId=88024&amp;matchupPeriodId=7&amp;scoringPeriodId=7&amp;seasonId=2021&amp;teamId=11&amp;view=scoringperiod" TargetMode="External"/><Relationship Id="rId82" Type="http://schemas.openxmlformats.org/officeDocument/2006/relationships/hyperlink" Target="https://fantasy.espn.com/football/boxscore?leagueId=88024&amp;matchupPeriodId=7&amp;scoringPeriodId=7&amp;seasonId=2021&amp;teamId=8&amp;view=scoringperiod" TargetMode="External"/><Relationship Id="rId81" Type="http://schemas.openxmlformats.org/officeDocument/2006/relationships/hyperlink" Target="https://fantasy.espn.com/football/boxscore?leagueId=88024&amp;matchupPeriodId=7&amp;scoringPeriodId=7&amp;seasonId=2021&amp;teamId=8&amp;view=scoringperiod" TargetMode="External"/><Relationship Id="rId701" Type="http://schemas.openxmlformats.org/officeDocument/2006/relationships/hyperlink" Target="https://fantasy.espn.com/football/boxscore?leagueId=88024&amp;matchupPeriodId=8&amp;scoringPeriodId=8&amp;seasonId=2024&amp;teamId=1&amp;view=scoringperiod" TargetMode="External"/><Relationship Id="rId943" Type="http://schemas.openxmlformats.org/officeDocument/2006/relationships/hyperlink" Target="https://fantasy.espn.com/football/boxscore?leagueId=88024&amp;matchupPeriodId=11&amp;scoringPeriodId=11&amp;seasonId=2025&amp;teamId=3&amp;view=scoringperiod" TargetMode="External"/><Relationship Id="rId700" Type="http://schemas.openxmlformats.org/officeDocument/2006/relationships/hyperlink" Target="https://fantasy.espn.com/football/boxscore?leagueId=88024&amp;matchupPeriodId=8&amp;scoringPeriodId=8&amp;seasonId=2024&amp;teamId=4&amp;view=scoringperiod" TargetMode="External"/><Relationship Id="rId942" Type="http://schemas.openxmlformats.org/officeDocument/2006/relationships/hyperlink" Target="https://fantasy.espn.com/football/boxscore?leagueId=88024&amp;matchupPeriodId=11&amp;scoringPeriodId=11&amp;seasonId=2025&amp;teamId=9&amp;view=scoringperiod" TargetMode="External"/><Relationship Id="rId941" Type="http://schemas.openxmlformats.org/officeDocument/2006/relationships/hyperlink" Target="https://fantasy.espn.com/football/boxscore?leagueId=88024&amp;matchupPeriodId=11&amp;scoringPeriodId=11&amp;seasonId=2025&amp;teamId=9&amp;view=scoringperiod" TargetMode="External"/><Relationship Id="rId940" Type="http://schemas.openxmlformats.org/officeDocument/2006/relationships/hyperlink" Target="https://fantasy.espn.com/football/boxscore?leagueId=88024&amp;matchupPeriodId=11&amp;scoringPeriodId=11&amp;seasonId=2025&amp;teamId=10&amp;view=scoringperiod" TargetMode="External"/><Relationship Id="rId705" Type="http://schemas.openxmlformats.org/officeDocument/2006/relationships/hyperlink" Target="https://fantasy.espn.com/football/boxscore?leagueId=88024&amp;matchupPeriodId=8&amp;scoringPeriodId=8&amp;seasonId=2024&amp;teamId=11&amp;view=scoringperiod" TargetMode="External"/><Relationship Id="rId947" Type="http://schemas.openxmlformats.org/officeDocument/2006/relationships/hyperlink" Target="https://fantasy.espn.com/football/boxscore?leagueId=88024&amp;matchupPeriodId=11&amp;scoringPeriodId=11&amp;seasonId=2025&amp;teamId=1&amp;view=scoringperiod" TargetMode="External"/><Relationship Id="rId704" Type="http://schemas.openxmlformats.org/officeDocument/2006/relationships/hyperlink" Target="https://fantasy.espn.com/football/boxscore?leagueId=88024&amp;matchupPeriodId=8&amp;scoringPeriodId=8&amp;seasonId=2024&amp;teamId=8&amp;view=scoringperiod" TargetMode="External"/><Relationship Id="rId946" Type="http://schemas.openxmlformats.org/officeDocument/2006/relationships/hyperlink" Target="https://fantasy.espn.com/football/boxscore?leagueId=88024&amp;matchupPeriodId=11&amp;scoringPeriodId=11&amp;seasonId=2025&amp;teamId=8&amp;view=scoringperiod" TargetMode="External"/><Relationship Id="rId703" Type="http://schemas.openxmlformats.org/officeDocument/2006/relationships/hyperlink" Target="https://fantasy.espn.com/football/boxscore?leagueId=88024&amp;matchupPeriodId=8&amp;scoringPeriodId=8&amp;seasonId=2024&amp;teamId=8&amp;view=scoringperiod" TargetMode="External"/><Relationship Id="rId945" Type="http://schemas.openxmlformats.org/officeDocument/2006/relationships/hyperlink" Target="https://fantasy.espn.com/football/boxscore?leagueId=88024&amp;matchupPeriodId=11&amp;scoringPeriodId=11&amp;seasonId=2025&amp;teamId=8&amp;view=scoringperiod" TargetMode="External"/><Relationship Id="rId702" Type="http://schemas.openxmlformats.org/officeDocument/2006/relationships/hyperlink" Target="https://fantasy.espn.com/football/boxscore?leagueId=88024&amp;matchupPeriodId=8&amp;scoringPeriodId=8&amp;seasonId=2024&amp;teamId=1&amp;view=scoringperiod" TargetMode="External"/><Relationship Id="rId944" Type="http://schemas.openxmlformats.org/officeDocument/2006/relationships/hyperlink" Target="https://fantasy.espn.com/football/boxscore?leagueId=88024&amp;matchupPeriodId=11&amp;scoringPeriodId=11&amp;seasonId=2025&amp;teamId=3&amp;view=scoringperiod" TargetMode="External"/><Relationship Id="rId73" Type="http://schemas.openxmlformats.org/officeDocument/2006/relationships/hyperlink" Target="https://fantasy.espn.com/football/boxscore?leagueId=88024&amp;matchupPeriodId=7&amp;scoringPeriodId=7&amp;seasonId=2021&amp;teamId=1&amp;view=scoringperiod" TargetMode="External"/><Relationship Id="rId72" Type="http://schemas.openxmlformats.org/officeDocument/2006/relationships/hyperlink" Target="https://fantasy.espn.com/football/boxscore?leagueId=88024&amp;matchupPeriodId=6&amp;scoringPeriodId=6&amp;seasonId=2021&amp;teamId=6&amp;view=scoringperiod" TargetMode="External"/><Relationship Id="rId75" Type="http://schemas.openxmlformats.org/officeDocument/2006/relationships/hyperlink" Target="https://fantasy.espn.com/football/boxscore?leagueId=88024&amp;matchupPeriodId=7&amp;scoringPeriodId=7&amp;seasonId=2021&amp;teamId=9&amp;view=scoringperiod" TargetMode="External"/><Relationship Id="rId74" Type="http://schemas.openxmlformats.org/officeDocument/2006/relationships/hyperlink" Target="https://fantasy.espn.com/football/boxscore?leagueId=88024&amp;matchupPeriodId=7&amp;scoringPeriodId=7&amp;seasonId=2021&amp;teamId=1&amp;view=scoringperiod" TargetMode="External"/><Relationship Id="rId77" Type="http://schemas.openxmlformats.org/officeDocument/2006/relationships/hyperlink" Target="https://fantasy.espn.com/football/boxscore?leagueId=88024&amp;matchupPeriodId=7&amp;scoringPeriodId=7&amp;seasonId=2021&amp;teamId=5&amp;view=scoringperiod" TargetMode="External"/><Relationship Id="rId76" Type="http://schemas.openxmlformats.org/officeDocument/2006/relationships/hyperlink" Target="https://fantasy.espn.com/football/boxscore?leagueId=88024&amp;matchupPeriodId=7&amp;scoringPeriodId=7&amp;seasonId=2021&amp;teamId=9&amp;view=scoringperiod" TargetMode="External"/><Relationship Id="rId79" Type="http://schemas.openxmlformats.org/officeDocument/2006/relationships/hyperlink" Target="https://fantasy.espn.com/football/boxscore?leagueId=88024&amp;matchupPeriodId=7&amp;scoringPeriodId=7&amp;seasonId=2021&amp;teamId=11&amp;view=scoringperiod" TargetMode="External"/><Relationship Id="rId78" Type="http://schemas.openxmlformats.org/officeDocument/2006/relationships/hyperlink" Target="https://fantasy.espn.com/football/boxscore?leagueId=88024&amp;matchupPeriodId=7&amp;scoringPeriodId=7&amp;seasonId=2021&amp;teamId=5&amp;view=scoringperiod" TargetMode="External"/><Relationship Id="rId939" Type="http://schemas.openxmlformats.org/officeDocument/2006/relationships/hyperlink" Target="https://fantasy.espn.com/football/boxscore?leagueId=88024&amp;matchupPeriodId=11&amp;scoringPeriodId=11&amp;seasonId=2025&amp;teamId=10&amp;view=scoringperiod" TargetMode="External"/><Relationship Id="rId938" Type="http://schemas.openxmlformats.org/officeDocument/2006/relationships/hyperlink" Target="https://fantasy.espn.com/football/boxscore?leagueId=88024&amp;matchupPeriodId=11&amp;scoringPeriodId=11&amp;seasonId=2025&amp;teamId=4&amp;view=scoringperiod" TargetMode="External"/><Relationship Id="rId937" Type="http://schemas.openxmlformats.org/officeDocument/2006/relationships/hyperlink" Target="https://fantasy.espn.com/football/boxscore?leagueId=88024&amp;matchupPeriodId=11&amp;scoringPeriodId=11&amp;seasonId=2025&amp;teamId=4&amp;view=scoringperiod" TargetMode="External"/><Relationship Id="rId71" Type="http://schemas.openxmlformats.org/officeDocument/2006/relationships/hyperlink" Target="https://fantasy.espn.com/football/boxscore?leagueId=88024&amp;matchupPeriodId=6&amp;scoringPeriodId=6&amp;seasonId=2021&amp;teamId=6&amp;view=scoringperiod" TargetMode="External"/><Relationship Id="rId70" Type="http://schemas.openxmlformats.org/officeDocument/2006/relationships/hyperlink" Target="https://fantasy.espn.com/football/boxscore?leagueId=88024&amp;matchupPeriodId=6&amp;scoringPeriodId=6&amp;seasonId=2021&amp;teamId=7&amp;view=scoringperiod" TargetMode="External"/><Relationship Id="rId932" Type="http://schemas.openxmlformats.org/officeDocument/2006/relationships/hyperlink" Target="https://fantasy.espn.com/football/boxscore?leagueId=88024&amp;matchupPeriodId=10&amp;scoringPeriodId=10&amp;seasonId=2025&amp;teamId=12&amp;view=scoringperiod" TargetMode="External"/><Relationship Id="rId931" Type="http://schemas.openxmlformats.org/officeDocument/2006/relationships/hyperlink" Target="https://fantasy.espn.com/football/boxscore?leagueId=88024&amp;matchupPeriodId=10&amp;scoringPeriodId=10&amp;seasonId=2025&amp;teamId=12&amp;view=scoringperiod" TargetMode="External"/><Relationship Id="rId930" Type="http://schemas.openxmlformats.org/officeDocument/2006/relationships/hyperlink" Target="https://fantasy.espn.com/football/boxscore?leagueId=88024&amp;matchupPeriodId=10&amp;scoringPeriodId=10&amp;seasonId=2025&amp;teamId=2&amp;view=scoringperiod" TargetMode="External"/><Relationship Id="rId936" Type="http://schemas.openxmlformats.org/officeDocument/2006/relationships/hyperlink" Target="https://fantasy.espn.com/football/boxscore?leagueId=88024&amp;matchupPeriodId=10&amp;scoringPeriodId=10&amp;seasonId=2025&amp;teamId=1&amp;view=scoringperiod" TargetMode="External"/><Relationship Id="rId935" Type="http://schemas.openxmlformats.org/officeDocument/2006/relationships/hyperlink" Target="https://fantasy.espn.com/football/boxscore?leagueId=88024&amp;matchupPeriodId=10&amp;scoringPeriodId=10&amp;seasonId=2025&amp;teamId=1&amp;view=scoringperiod" TargetMode="External"/><Relationship Id="rId934" Type="http://schemas.openxmlformats.org/officeDocument/2006/relationships/hyperlink" Target="https://fantasy.espn.com/football/boxscore?leagueId=88024&amp;matchupPeriodId=10&amp;scoringPeriodId=10&amp;seasonId=2025&amp;teamId=7&amp;view=scoringperiod" TargetMode="External"/><Relationship Id="rId933" Type="http://schemas.openxmlformats.org/officeDocument/2006/relationships/hyperlink" Target="https://fantasy.espn.com/football/boxscore?leagueId=88024&amp;matchupPeriodId=10&amp;scoringPeriodId=10&amp;seasonId=2025&amp;teamId=7&amp;view=scoringperiod" TargetMode="External"/><Relationship Id="rId62" Type="http://schemas.openxmlformats.org/officeDocument/2006/relationships/hyperlink" Target="https://fantasy.espn.com/football/boxscore?leagueId=88024&amp;matchupPeriodId=6&amp;scoringPeriodId=6&amp;seasonId=2021&amp;teamId=12&amp;view=scoringperiod" TargetMode="External"/><Relationship Id="rId61" Type="http://schemas.openxmlformats.org/officeDocument/2006/relationships/hyperlink" Target="https://fantasy.espn.com/football/boxscore?leagueId=88024&amp;matchupPeriodId=6&amp;scoringPeriodId=6&amp;seasonId=2021&amp;teamId=12&amp;view=scoringperiod" TargetMode="External"/><Relationship Id="rId64" Type="http://schemas.openxmlformats.org/officeDocument/2006/relationships/hyperlink" Target="https://fantasy.espn.com/football/boxscore?leagueId=88024&amp;matchupPeriodId=6&amp;scoringPeriodId=6&amp;seasonId=2021&amp;teamId=4&amp;view=scoringperiod" TargetMode="External"/><Relationship Id="rId63" Type="http://schemas.openxmlformats.org/officeDocument/2006/relationships/hyperlink" Target="https://fantasy.espn.com/football/boxscore?leagueId=88024&amp;matchupPeriodId=6&amp;scoringPeriodId=6&amp;seasonId=2021&amp;teamId=4&amp;view=scoringperiod" TargetMode="External"/><Relationship Id="rId66" Type="http://schemas.openxmlformats.org/officeDocument/2006/relationships/hyperlink" Target="https://fantasy.espn.com/football/boxscore?leagueId=88024&amp;matchupPeriodId=6&amp;scoringPeriodId=6&amp;seasonId=2021&amp;teamId=10&amp;view=scoringperiod" TargetMode="External"/><Relationship Id="rId65" Type="http://schemas.openxmlformats.org/officeDocument/2006/relationships/hyperlink" Target="https://fantasy.espn.com/football/boxscore?leagueId=88024&amp;matchupPeriodId=6&amp;scoringPeriodId=6&amp;seasonId=2021&amp;teamId=10&amp;view=scoringperiod" TargetMode="External"/><Relationship Id="rId68" Type="http://schemas.openxmlformats.org/officeDocument/2006/relationships/hyperlink" Target="https://fantasy.espn.com/football/boxscore?leagueId=88024&amp;matchupPeriodId=6&amp;scoringPeriodId=6&amp;seasonId=2021&amp;teamId=2&amp;view=scoringperiod" TargetMode="External"/><Relationship Id="rId67" Type="http://schemas.openxmlformats.org/officeDocument/2006/relationships/hyperlink" Target="https://fantasy.espn.com/football/boxscore?leagueId=88024&amp;matchupPeriodId=6&amp;scoringPeriodId=6&amp;seasonId=2021&amp;teamId=2&amp;view=scoringperiod" TargetMode="External"/><Relationship Id="rId729" Type="http://schemas.openxmlformats.org/officeDocument/2006/relationships/hyperlink" Target="https://fantasy.espn.com/football/boxscore?leagueId=88024&amp;matchupPeriodId=10&amp;scoringPeriodId=10&amp;seasonId=2024&amp;teamId=1&amp;view=scoringperiod" TargetMode="External"/><Relationship Id="rId728" Type="http://schemas.openxmlformats.org/officeDocument/2006/relationships/hyperlink" Target="https://fantasy.espn.com/football/boxscore?leagueId=88024&amp;matchupPeriodId=10&amp;scoringPeriodId=10&amp;seasonId=2024&amp;teamId=4&amp;view=scoringperiod" TargetMode="External"/><Relationship Id="rId60" Type="http://schemas.openxmlformats.org/officeDocument/2006/relationships/hyperlink" Target="https://fantasy.espn.com/football/boxscore?leagueId=88024&amp;matchupPeriodId=5&amp;scoringPeriodId=5&amp;seasonId=2021&amp;teamId=11&amp;view=scoringperiod" TargetMode="External"/><Relationship Id="rId723" Type="http://schemas.openxmlformats.org/officeDocument/2006/relationships/hyperlink" Target="https://fantasy.espn.com/football/boxscore?leagueId=88024&amp;matchupPeriodId=10&amp;scoringPeriodId=10&amp;seasonId=2024&amp;teamId=10&amp;view=scoringperiod" TargetMode="External"/><Relationship Id="rId965" Type="http://schemas.openxmlformats.org/officeDocument/2006/relationships/hyperlink" Target="https://fantasy.espn.com/football/boxscore?leagueId=88024&amp;matchupPeriodId=13&amp;scoringPeriodId=13&amp;seasonId=2025&amp;teamId=8&amp;view=scoringperiod" TargetMode="External"/><Relationship Id="rId722" Type="http://schemas.openxmlformats.org/officeDocument/2006/relationships/hyperlink" Target="https://fantasy.espn.com/football/boxscore?leagueId=88024&amp;matchupPeriodId=10&amp;scoringPeriodId=10&amp;seasonId=2024&amp;teamId=7&amp;view=scoringperiod" TargetMode="External"/><Relationship Id="rId964" Type="http://schemas.openxmlformats.org/officeDocument/2006/relationships/hyperlink" Target="https://fantasy.espn.com/football/boxscore?leagueId=88024&amp;matchupPeriodId=13&amp;scoringPeriodId=13&amp;seasonId=2025&amp;teamId=3&amp;view=scoringperiod" TargetMode="External"/><Relationship Id="rId721" Type="http://schemas.openxmlformats.org/officeDocument/2006/relationships/hyperlink" Target="https://fantasy.espn.com/football/boxscore?leagueId=88024&amp;matchupPeriodId=10&amp;scoringPeriodId=10&amp;seasonId=2024&amp;teamId=7&amp;view=scoringperiod" TargetMode="External"/><Relationship Id="rId963" Type="http://schemas.openxmlformats.org/officeDocument/2006/relationships/hyperlink" Target="https://fantasy.espn.com/football/boxscore?leagueId=88024&amp;matchupPeriodId=13&amp;scoringPeriodId=13&amp;seasonId=2025&amp;teamId=3&amp;view=scoringperiod" TargetMode="External"/><Relationship Id="rId720" Type="http://schemas.openxmlformats.org/officeDocument/2006/relationships/hyperlink" Target="https://fantasy.espn.com/football/boxscore?leagueId=88024&amp;matchupPeriodId=10&amp;scoringPeriodId=10&amp;seasonId=2024&amp;teamId=2&amp;view=scoringperiod" TargetMode="External"/><Relationship Id="rId962" Type="http://schemas.openxmlformats.org/officeDocument/2006/relationships/hyperlink" Target="https://fantasy.espn.com/football/boxscore?leagueId=88024&amp;matchupPeriodId=13&amp;scoringPeriodId=13&amp;seasonId=2025&amp;teamId=4&amp;view=scoringperiod" TargetMode="External"/><Relationship Id="rId727" Type="http://schemas.openxmlformats.org/officeDocument/2006/relationships/hyperlink" Target="https://fantasy.espn.com/football/boxscore?leagueId=88024&amp;matchupPeriodId=10&amp;scoringPeriodId=10&amp;seasonId=2024&amp;teamId=4&amp;view=scoringperiod" TargetMode="External"/><Relationship Id="rId969" Type="http://schemas.openxmlformats.org/officeDocument/2006/relationships/hyperlink" Target="https://fantasy.espn.com/football/boxscore?leagueId=88024&amp;matchupPeriodId=13&amp;scoringPeriodId=13&amp;seasonId=2025&amp;teamId=7&amp;view=scoringperiod" TargetMode="External"/><Relationship Id="rId726" Type="http://schemas.openxmlformats.org/officeDocument/2006/relationships/hyperlink" Target="https://fantasy.espn.com/football/boxscore?leagueId=88024&amp;matchupPeriodId=10&amp;scoringPeriodId=10&amp;seasonId=2024&amp;teamId=5&amp;view=scoringperiod" TargetMode="External"/><Relationship Id="rId968" Type="http://schemas.openxmlformats.org/officeDocument/2006/relationships/hyperlink" Target="https://fantasy.espn.com/football/boxscore?leagueId=88024&amp;matchupPeriodId=13&amp;scoringPeriodId=13&amp;seasonId=2025&amp;teamId=1&amp;view=scoringperiod" TargetMode="External"/><Relationship Id="rId725" Type="http://schemas.openxmlformats.org/officeDocument/2006/relationships/hyperlink" Target="https://fantasy.espn.com/football/boxscore?leagueId=88024&amp;matchupPeriodId=10&amp;scoringPeriodId=10&amp;seasonId=2024&amp;teamId=5&amp;view=scoringperiod" TargetMode="External"/><Relationship Id="rId967" Type="http://schemas.openxmlformats.org/officeDocument/2006/relationships/hyperlink" Target="https://fantasy.espn.com/football/boxscore?leagueId=88024&amp;matchupPeriodId=13&amp;scoringPeriodId=13&amp;seasonId=2025&amp;teamId=1&amp;view=scoringperiod" TargetMode="External"/><Relationship Id="rId724" Type="http://schemas.openxmlformats.org/officeDocument/2006/relationships/hyperlink" Target="https://fantasy.espn.com/football/boxscore?leagueId=88024&amp;matchupPeriodId=10&amp;scoringPeriodId=10&amp;seasonId=2024&amp;teamId=10&amp;view=scoringperiod" TargetMode="External"/><Relationship Id="rId966" Type="http://schemas.openxmlformats.org/officeDocument/2006/relationships/hyperlink" Target="https://fantasy.espn.com/football/boxscore?leagueId=88024&amp;matchupPeriodId=13&amp;scoringPeriodId=13&amp;seasonId=2025&amp;teamId=8&amp;view=scoringperiod" TargetMode="External"/><Relationship Id="rId69" Type="http://schemas.openxmlformats.org/officeDocument/2006/relationships/hyperlink" Target="https://fantasy.espn.com/football/boxscore?leagueId=88024&amp;matchupPeriodId=6&amp;scoringPeriodId=6&amp;seasonId=2021&amp;teamId=7&amp;view=scoringperiod" TargetMode="External"/><Relationship Id="rId961" Type="http://schemas.openxmlformats.org/officeDocument/2006/relationships/hyperlink" Target="https://fantasy.espn.com/football/boxscore?leagueId=88024&amp;matchupPeriodId=13&amp;scoringPeriodId=13&amp;seasonId=2025&amp;teamId=4&amp;view=scoringperiod" TargetMode="External"/><Relationship Id="rId960" Type="http://schemas.openxmlformats.org/officeDocument/2006/relationships/hyperlink" Target="https://fantasy.espn.com/football/boxscore?leagueId=88024&amp;matchupPeriodId=12&amp;scoringPeriodId=12&amp;seasonId=2025&amp;teamId=12&amp;view=scoringperiod" TargetMode="External"/><Relationship Id="rId51" Type="http://schemas.openxmlformats.org/officeDocument/2006/relationships/hyperlink" Target="https://fantasy.espn.com/football/boxscore?leagueId=88024&amp;matchupPeriodId=5&amp;scoringPeriodId=5&amp;seasonId=2021&amp;teamId=12&amp;view=scoringperiod" TargetMode="External"/><Relationship Id="rId50" Type="http://schemas.openxmlformats.org/officeDocument/2006/relationships/hyperlink" Target="https://fantasy.espn.com/football/boxscore?leagueId=88024&amp;matchupPeriodId=5&amp;scoringPeriodId=5&amp;seasonId=2021&amp;teamId=1&amp;view=scoringperiod" TargetMode="External"/><Relationship Id="rId53" Type="http://schemas.openxmlformats.org/officeDocument/2006/relationships/hyperlink" Target="https://fantasy.espn.com/football/boxscore?leagueId=88024&amp;matchupPeriodId=5&amp;scoringPeriodId=5&amp;seasonId=2021&amp;teamId=3&amp;view=scoringperiod" TargetMode="External"/><Relationship Id="rId52" Type="http://schemas.openxmlformats.org/officeDocument/2006/relationships/hyperlink" Target="https://fantasy.espn.com/football/boxscore?leagueId=88024&amp;matchupPeriodId=5&amp;scoringPeriodId=5&amp;seasonId=2021&amp;teamId=12&amp;view=scoringperiod" TargetMode="External"/><Relationship Id="rId55" Type="http://schemas.openxmlformats.org/officeDocument/2006/relationships/hyperlink" Target="https://fantasy.espn.com/football/boxscore?leagueId=88024&amp;matchupPeriodId=5&amp;scoringPeriodId=5&amp;seasonId=2021&amp;teamId=9&amp;view=scoringperiod" TargetMode="External"/><Relationship Id="rId54" Type="http://schemas.openxmlformats.org/officeDocument/2006/relationships/hyperlink" Target="https://fantasy.espn.com/football/boxscore?leagueId=88024&amp;matchupPeriodId=5&amp;scoringPeriodId=5&amp;seasonId=2021&amp;teamId=3&amp;view=scoringperiod" TargetMode="External"/><Relationship Id="rId57" Type="http://schemas.openxmlformats.org/officeDocument/2006/relationships/hyperlink" Target="https://fantasy.espn.com/football/boxscore?leagueId=88024&amp;matchupPeriodId=5&amp;scoringPeriodId=5&amp;seasonId=2021&amp;teamId=5&amp;view=scoringperiod" TargetMode="External"/><Relationship Id="rId56" Type="http://schemas.openxmlformats.org/officeDocument/2006/relationships/hyperlink" Target="https://fantasy.espn.com/football/boxscore?leagueId=88024&amp;matchupPeriodId=5&amp;scoringPeriodId=5&amp;seasonId=2021&amp;teamId=9&amp;view=scoringperiod" TargetMode="External"/><Relationship Id="rId719" Type="http://schemas.openxmlformats.org/officeDocument/2006/relationships/hyperlink" Target="https://fantasy.espn.com/football/boxscore?leagueId=88024&amp;matchupPeriodId=10&amp;scoringPeriodId=10&amp;seasonId=2024&amp;teamId=2&amp;view=scoringperiod" TargetMode="External"/><Relationship Id="rId718" Type="http://schemas.openxmlformats.org/officeDocument/2006/relationships/hyperlink" Target="https://fantasy.espn.com/football/boxscore?leagueId=88024&amp;matchupPeriodId=9&amp;scoringPeriodId=9&amp;seasonId=2024&amp;teamId=11&amp;view=scoringperiod" TargetMode="External"/><Relationship Id="rId717" Type="http://schemas.openxmlformats.org/officeDocument/2006/relationships/hyperlink" Target="https://fantasy.espn.com/football/boxscore?leagueId=88024&amp;matchupPeriodId=9&amp;scoringPeriodId=9&amp;seasonId=2024&amp;teamId=11&amp;view=scoringperiod" TargetMode="External"/><Relationship Id="rId959" Type="http://schemas.openxmlformats.org/officeDocument/2006/relationships/hyperlink" Target="https://fantasy.espn.com/football/boxscore?leagueId=88024&amp;matchupPeriodId=12&amp;scoringPeriodId=12&amp;seasonId=2025&amp;teamId=12&amp;view=scoringperiod" TargetMode="External"/><Relationship Id="rId712" Type="http://schemas.openxmlformats.org/officeDocument/2006/relationships/hyperlink" Target="https://fantasy.espn.com/football/boxscore?leagueId=88024&amp;matchupPeriodId=9&amp;scoringPeriodId=9&amp;seasonId=2024&amp;teamId=12&amp;view=scoringperiod" TargetMode="External"/><Relationship Id="rId954" Type="http://schemas.openxmlformats.org/officeDocument/2006/relationships/hyperlink" Target="https://fantasy.espn.com/football/boxscore?leagueId=88024&amp;matchupPeriodId=12&amp;scoringPeriodId=12&amp;seasonId=2025&amp;teamId=5&amp;view=scoringperiod" TargetMode="External"/><Relationship Id="rId711" Type="http://schemas.openxmlformats.org/officeDocument/2006/relationships/hyperlink" Target="https://fantasy.espn.com/football/boxscore?leagueId=88024&amp;matchupPeriodId=9&amp;scoringPeriodId=9&amp;seasonId=2024&amp;teamId=12&amp;view=scoringperiod" TargetMode="External"/><Relationship Id="rId953" Type="http://schemas.openxmlformats.org/officeDocument/2006/relationships/hyperlink" Target="https://fantasy.espn.com/football/boxscore?leagueId=88024&amp;matchupPeriodId=12&amp;scoringPeriodId=12&amp;seasonId=2025&amp;teamId=5&amp;view=scoringperiod" TargetMode="External"/><Relationship Id="rId710" Type="http://schemas.openxmlformats.org/officeDocument/2006/relationships/hyperlink" Target="https://fantasy.espn.com/football/boxscore?leagueId=88024&amp;matchupPeriodId=9&amp;scoringPeriodId=9&amp;seasonId=2024&amp;teamId=2&amp;view=scoringperiod" TargetMode="External"/><Relationship Id="rId952" Type="http://schemas.openxmlformats.org/officeDocument/2006/relationships/hyperlink" Target="https://fantasy.espn.com/football/boxscore?leagueId=88024&amp;matchupPeriodId=12&amp;scoringPeriodId=12&amp;seasonId=2025&amp;teamId=6&amp;view=scoringperiod" TargetMode="External"/><Relationship Id="rId951" Type="http://schemas.openxmlformats.org/officeDocument/2006/relationships/hyperlink" Target="https://fantasy.espn.com/football/boxscore?leagueId=88024&amp;matchupPeriodId=12&amp;scoringPeriodId=12&amp;seasonId=2025&amp;teamId=6&amp;view=scoringperiod" TargetMode="External"/><Relationship Id="rId716" Type="http://schemas.openxmlformats.org/officeDocument/2006/relationships/hyperlink" Target="https://fantasy.espn.com/football/boxscore?leagueId=88024&amp;matchupPeriodId=9&amp;scoringPeriodId=9&amp;seasonId=2024&amp;teamId=9&amp;view=scoringperiod" TargetMode="External"/><Relationship Id="rId958" Type="http://schemas.openxmlformats.org/officeDocument/2006/relationships/hyperlink" Target="https://fantasy.espn.com/football/boxscore?leagueId=88024&amp;matchupPeriodId=12&amp;scoringPeriodId=12&amp;seasonId=2025&amp;teamId=2&amp;view=scoringperiod" TargetMode="External"/><Relationship Id="rId715" Type="http://schemas.openxmlformats.org/officeDocument/2006/relationships/hyperlink" Target="https://fantasy.espn.com/football/boxscore?leagueId=88024&amp;matchupPeriodId=9&amp;scoringPeriodId=9&amp;seasonId=2024&amp;teamId=9&amp;view=scoringperiod" TargetMode="External"/><Relationship Id="rId957" Type="http://schemas.openxmlformats.org/officeDocument/2006/relationships/hyperlink" Target="https://fantasy.espn.com/football/boxscore?leagueId=88024&amp;matchupPeriodId=12&amp;scoringPeriodId=12&amp;seasonId=2025&amp;teamId=2&amp;view=scoringperiod" TargetMode="External"/><Relationship Id="rId714" Type="http://schemas.openxmlformats.org/officeDocument/2006/relationships/hyperlink" Target="https://fantasy.espn.com/football/boxscore?leagueId=88024&amp;matchupPeriodId=9&amp;scoringPeriodId=9&amp;seasonId=2024&amp;teamId=3&amp;view=scoringperiod" TargetMode="External"/><Relationship Id="rId956" Type="http://schemas.openxmlformats.org/officeDocument/2006/relationships/hyperlink" Target="https://fantasy.espn.com/football/boxscore?leagueId=88024&amp;matchupPeriodId=12&amp;scoringPeriodId=12&amp;seasonId=2025&amp;teamId=11&amp;view=scoringperiod" TargetMode="External"/><Relationship Id="rId713" Type="http://schemas.openxmlformats.org/officeDocument/2006/relationships/hyperlink" Target="https://fantasy.espn.com/football/boxscore?leagueId=88024&amp;matchupPeriodId=9&amp;scoringPeriodId=9&amp;seasonId=2024&amp;teamId=3&amp;view=scoringperiod" TargetMode="External"/><Relationship Id="rId955" Type="http://schemas.openxmlformats.org/officeDocument/2006/relationships/hyperlink" Target="https://fantasy.espn.com/football/boxscore?leagueId=88024&amp;matchupPeriodId=12&amp;scoringPeriodId=12&amp;seasonId=2025&amp;teamId=11&amp;view=scoringperiod" TargetMode="External"/><Relationship Id="rId59" Type="http://schemas.openxmlformats.org/officeDocument/2006/relationships/hyperlink" Target="https://fantasy.espn.com/football/boxscore?leagueId=88024&amp;matchupPeriodId=5&amp;scoringPeriodId=5&amp;seasonId=2021&amp;teamId=11&amp;view=scoringperiod" TargetMode="External"/><Relationship Id="rId58" Type="http://schemas.openxmlformats.org/officeDocument/2006/relationships/hyperlink" Target="https://fantasy.espn.com/football/boxscore?leagueId=88024&amp;matchupPeriodId=5&amp;scoringPeriodId=5&amp;seasonId=2021&amp;teamId=5&amp;view=scoringperiod" TargetMode="External"/><Relationship Id="rId950" Type="http://schemas.openxmlformats.org/officeDocument/2006/relationships/hyperlink" Target="https://fantasy.espn.com/football/boxscore?leagueId=88024&amp;matchupPeriodId=12&amp;scoringPeriodId=12&amp;seasonId=2025&amp;teamId=10&amp;view=scoringperiod" TargetMode="External"/><Relationship Id="rId590" Type="http://schemas.openxmlformats.org/officeDocument/2006/relationships/hyperlink" Target="https://fantasy.espn.com/football/boxscore?leagueId=88024&amp;matchupPeriodId=16&amp;scoringPeriodId=16&amp;seasonId=2023&amp;teamId=10&amp;view=scoringperiod" TargetMode="External"/><Relationship Id="rId107" Type="http://schemas.openxmlformats.org/officeDocument/2006/relationships/hyperlink" Target="https://fantasy.espn.com/football/boxscore?leagueId=88024&amp;matchupPeriodId=9&amp;scoringPeriodId=9&amp;seasonId=2021&amp;teamId=2&amp;view=scoringperiod" TargetMode="External"/><Relationship Id="rId349" Type="http://schemas.openxmlformats.org/officeDocument/2006/relationships/hyperlink" Target="https://fantasy.espn.com/football/boxscore?leagueId=88024&amp;matchupPeriodId=13&amp;scoringPeriodId=13&amp;seasonId=2022&amp;teamId=12&amp;view=scoringperiod" TargetMode="External"/><Relationship Id="rId106" Type="http://schemas.openxmlformats.org/officeDocument/2006/relationships/hyperlink" Target="https://fantasy.espn.com/football/boxscore?leagueId=88024&amp;matchupPeriodId=9&amp;scoringPeriodId=9&amp;seasonId=2021&amp;teamId=7&amp;view=scoringperiod" TargetMode="External"/><Relationship Id="rId348" Type="http://schemas.openxmlformats.org/officeDocument/2006/relationships/hyperlink" Target="https://fantasy.espn.com/football/boxscore?leagueId=88024&amp;matchupPeriodId=13&amp;scoringPeriodId=13&amp;seasonId=2022&amp;teamId=3&amp;view=scoringperiod" TargetMode="External"/><Relationship Id="rId105" Type="http://schemas.openxmlformats.org/officeDocument/2006/relationships/hyperlink" Target="https://fantasy.espn.com/football/boxscore?leagueId=88024&amp;matchupPeriodId=9&amp;scoringPeriodId=9&amp;seasonId=2021&amp;teamId=7&amp;view=scoringperiod" TargetMode="External"/><Relationship Id="rId347" Type="http://schemas.openxmlformats.org/officeDocument/2006/relationships/hyperlink" Target="https://fantasy.espn.com/football/boxscore?leagueId=88024&amp;matchupPeriodId=13&amp;scoringPeriodId=13&amp;seasonId=2022&amp;teamId=3&amp;view=scoringperiod" TargetMode="External"/><Relationship Id="rId589" Type="http://schemas.openxmlformats.org/officeDocument/2006/relationships/hyperlink" Target="https://fantasy.espn.com/football/boxscore?leagueId=88024&amp;matchupPeriodId=16&amp;scoringPeriodId=16&amp;seasonId=2023&amp;teamId=10&amp;view=scoringperiod" TargetMode="External"/><Relationship Id="rId104" Type="http://schemas.openxmlformats.org/officeDocument/2006/relationships/hyperlink" Target="https://fantasy.espn.com/football/boxscore?leagueId=88024&amp;matchupPeriodId=9&amp;scoringPeriodId=9&amp;seasonId=2021&amp;teamId=6&amp;view=scoringperiod" TargetMode="External"/><Relationship Id="rId346" Type="http://schemas.openxmlformats.org/officeDocument/2006/relationships/hyperlink" Target="https://fantasy.espn.com/football/boxscore?leagueId=88024&amp;matchupPeriodId=12&amp;scoringPeriodId=12&amp;seasonId=2022&amp;teamId=2&amp;view=scoringperiod" TargetMode="External"/><Relationship Id="rId588" Type="http://schemas.openxmlformats.org/officeDocument/2006/relationships/hyperlink" Target="https://fantasy.espn.com/football/boxscore?leagueId=88024&amp;matchupPeriodId=16&amp;scoringPeriodId=16&amp;seasonId=2023&amp;teamId=12&amp;view=scoringperiod" TargetMode="External"/><Relationship Id="rId109" Type="http://schemas.openxmlformats.org/officeDocument/2006/relationships/hyperlink" Target="https://fantasy.espn.com/football/boxscore?leagueId=88024&amp;matchupPeriodId=10&amp;scoringPeriodId=10&amp;seasonId=2021&amp;teamId=11&amp;view=scoringperiod" TargetMode="External"/><Relationship Id="rId108" Type="http://schemas.openxmlformats.org/officeDocument/2006/relationships/hyperlink" Target="https://fantasy.espn.com/football/boxscore?leagueId=88024&amp;matchupPeriodId=9&amp;scoringPeriodId=9&amp;seasonId=2021&amp;teamId=2&amp;view=scoringperiod" TargetMode="External"/><Relationship Id="rId341" Type="http://schemas.openxmlformats.org/officeDocument/2006/relationships/hyperlink" Target="https://fantasy.espn.com/football/boxscore?leagueId=88024&amp;matchupPeriodId=12&amp;scoringPeriodId=12&amp;seasonId=2022&amp;teamId=1&amp;view=scoringperiod" TargetMode="External"/><Relationship Id="rId583" Type="http://schemas.openxmlformats.org/officeDocument/2006/relationships/hyperlink" Target="https://fantasy.espn.com/football/boxscore?leagueId=88024&amp;matchupPeriodId=15&amp;scoringPeriodId=15&amp;seasonId=2023&amp;teamId=6&amp;view=scoringperiod" TargetMode="External"/><Relationship Id="rId340" Type="http://schemas.openxmlformats.org/officeDocument/2006/relationships/hyperlink" Target="https://fantasy.espn.com/football/boxscore?leagueId=88024&amp;matchupPeriodId=12&amp;scoringPeriodId=12&amp;seasonId=2022&amp;teamId=9&amp;view=scoringperiod" TargetMode="External"/><Relationship Id="rId582" Type="http://schemas.openxmlformats.org/officeDocument/2006/relationships/hyperlink" Target="https://fantasy.espn.com/football/boxscore?leagueId=88024&amp;matchupPeriodId=15&amp;scoringPeriodId=15&amp;seasonId=2023&amp;teamId=7&amp;view=scoringperiod" TargetMode="External"/><Relationship Id="rId581" Type="http://schemas.openxmlformats.org/officeDocument/2006/relationships/hyperlink" Target="https://fantasy.espn.com/football/boxscore?leagueId=88024&amp;matchupPeriodId=15&amp;scoringPeriodId=15&amp;seasonId=2023&amp;teamId=7&amp;view=scoringperiod" TargetMode="External"/><Relationship Id="rId580" Type="http://schemas.openxmlformats.org/officeDocument/2006/relationships/hyperlink" Target="https://fantasy.espn.com/football/boxscore?leagueId=88024&amp;matchupPeriodId=15&amp;scoringPeriodId=15&amp;seasonId=2023&amp;teamId=10&amp;view=scoringperiod" TargetMode="External"/><Relationship Id="rId103" Type="http://schemas.openxmlformats.org/officeDocument/2006/relationships/hyperlink" Target="https://fantasy.espn.com/football/boxscore?leagueId=88024&amp;matchupPeriodId=9&amp;scoringPeriodId=9&amp;seasonId=2021&amp;teamId=6&amp;view=scoringperiod" TargetMode="External"/><Relationship Id="rId345" Type="http://schemas.openxmlformats.org/officeDocument/2006/relationships/hyperlink" Target="https://fantasy.espn.com/football/boxscore?leagueId=88024&amp;matchupPeriodId=12&amp;scoringPeriodId=12&amp;seasonId=2022&amp;teamId=2&amp;view=scoringperiod" TargetMode="External"/><Relationship Id="rId587" Type="http://schemas.openxmlformats.org/officeDocument/2006/relationships/hyperlink" Target="https://fantasy.espn.com/football/boxscore?leagueId=88024&amp;matchupPeriodId=16&amp;scoringPeriodId=16&amp;seasonId=2023&amp;teamId=12&amp;view=scoringperiod" TargetMode="External"/><Relationship Id="rId102" Type="http://schemas.openxmlformats.org/officeDocument/2006/relationships/hyperlink" Target="https://fantasy.espn.com/football/boxscore?leagueId=88024&amp;matchupPeriodId=9&amp;scoringPeriodId=9&amp;seasonId=2021&amp;teamId=8&amp;view=scoringperiod" TargetMode="External"/><Relationship Id="rId344" Type="http://schemas.openxmlformats.org/officeDocument/2006/relationships/hyperlink" Target="https://fantasy.espn.com/football/boxscore?leagueId=88024&amp;matchupPeriodId=12&amp;scoringPeriodId=12&amp;seasonId=2022&amp;teamId=4&amp;view=scoringperiod" TargetMode="External"/><Relationship Id="rId586" Type="http://schemas.openxmlformats.org/officeDocument/2006/relationships/hyperlink" Target="https://fantasy.espn.com/football/boxscore?leagueId=88024&amp;matchupPeriodId=15&amp;scoringPeriodId=15&amp;seasonId=2023&amp;teamId=9&amp;view=scoringperiod" TargetMode="External"/><Relationship Id="rId101" Type="http://schemas.openxmlformats.org/officeDocument/2006/relationships/hyperlink" Target="https://fantasy.espn.com/football/boxscore?leagueId=88024&amp;matchupPeriodId=9&amp;scoringPeriodId=9&amp;seasonId=2021&amp;teamId=8&amp;view=scoringperiod" TargetMode="External"/><Relationship Id="rId343" Type="http://schemas.openxmlformats.org/officeDocument/2006/relationships/hyperlink" Target="https://fantasy.espn.com/football/boxscore?leagueId=88024&amp;matchupPeriodId=12&amp;scoringPeriodId=12&amp;seasonId=2022&amp;teamId=4&amp;view=scoringperiod" TargetMode="External"/><Relationship Id="rId585" Type="http://schemas.openxmlformats.org/officeDocument/2006/relationships/hyperlink" Target="https://fantasy.espn.com/football/boxscore?leagueId=88024&amp;matchupPeriodId=15&amp;scoringPeriodId=15&amp;seasonId=2023&amp;teamId=9&amp;view=scoringperiod" TargetMode="External"/><Relationship Id="rId100" Type="http://schemas.openxmlformats.org/officeDocument/2006/relationships/hyperlink" Target="https://fantasy.espn.com/football/boxscore?leagueId=88024&amp;matchupPeriodId=9&amp;scoringPeriodId=9&amp;seasonId=2021&amp;teamId=11&amp;view=scoringperiod" TargetMode="External"/><Relationship Id="rId342" Type="http://schemas.openxmlformats.org/officeDocument/2006/relationships/hyperlink" Target="https://fantasy.espn.com/football/boxscore?leagueId=88024&amp;matchupPeriodId=12&amp;scoringPeriodId=12&amp;seasonId=2022&amp;teamId=1&amp;view=scoringperiod" TargetMode="External"/><Relationship Id="rId584" Type="http://schemas.openxmlformats.org/officeDocument/2006/relationships/hyperlink" Target="https://fantasy.espn.com/football/boxscore?leagueId=88024&amp;matchupPeriodId=15&amp;scoringPeriodId=15&amp;seasonId=2023&amp;teamId=6&amp;view=scoringperiod" TargetMode="External"/><Relationship Id="rId338" Type="http://schemas.openxmlformats.org/officeDocument/2006/relationships/hyperlink" Target="https://fantasy.espn.com/football/boxscore?leagueId=88024&amp;matchupPeriodId=12&amp;scoringPeriodId=12&amp;seasonId=2022&amp;teamId=10&amp;view=scoringperiod" TargetMode="External"/><Relationship Id="rId337" Type="http://schemas.openxmlformats.org/officeDocument/2006/relationships/hyperlink" Target="https://fantasy.espn.com/football/boxscore?leagueId=88024&amp;matchupPeriodId=12&amp;scoringPeriodId=12&amp;seasonId=2022&amp;teamId=10&amp;view=scoringperiod" TargetMode="External"/><Relationship Id="rId579" Type="http://schemas.openxmlformats.org/officeDocument/2006/relationships/hyperlink" Target="https://fantasy.espn.com/football/boxscore?leagueId=88024&amp;matchupPeriodId=15&amp;scoringPeriodId=15&amp;seasonId=2023&amp;teamId=10&amp;view=scoringperiod" TargetMode="External"/><Relationship Id="rId336" Type="http://schemas.openxmlformats.org/officeDocument/2006/relationships/hyperlink" Target="https://fantasy.espn.com/football/boxscore?leagueId=88024&amp;matchupPeriodId=12&amp;scoringPeriodId=12&amp;seasonId=2022&amp;teamId=11&amp;view=scoringperiod" TargetMode="External"/><Relationship Id="rId578" Type="http://schemas.openxmlformats.org/officeDocument/2006/relationships/hyperlink" Target="https://fantasy.espn.com/football/boxscore?leagueId=88024&amp;matchupPeriodId=15&amp;scoringPeriodId=15&amp;seasonId=2023&amp;teamId=12&amp;view=scoringperiod" TargetMode="External"/><Relationship Id="rId335" Type="http://schemas.openxmlformats.org/officeDocument/2006/relationships/hyperlink" Target="https://fantasy.espn.com/football/boxscore?leagueId=88024&amp;matchupPeriodId=12&amp;scoringPeriodId=12&amp;seasonId=2022&amp;teamId=11&amp;view=scoringperiod" TargetMode="External"/><Relationship Id="rId577" Type="http://schemas.openxmlformats.org/officeDocument/2006/relationships/hyperlink" Target="https://fantasy.espn.com/football/boxscore?leagueId=88024&amp;matchupPeriodId=15&amp;scoringPeriodId=15&amp;seasonId=2023&amp;teamId=12&amp;view=scoringperiod" TargetMode="External"/><Relationship Id="rId339" Type="http://schemas.openxmlformats.org/officeDocument/2006/relationships/hyperlink" Target="https://fantasy.espn.com/football/boxscore?leagueId=88024&amp;matchupPeriodId=12&amp;scoringPeriodId=12&amp;seasonId=2022&amp;teamId=9&amp;view=scoringperiod" TargetMode="External"/><Relationship Id="rId330" Type="http://schemas.openxmlformats.org/officeDocument/2006/relationships/hyperlink" Target="https://fantasy.espn.com/football/boxscore?leagueId=88024&amp;matchupPeriodId=11&amp;scoringPeriodId=11&amp;seasonId=2022&amp;teamId=12&amp;view=scoringperiod" TargetMode="External"/><Relationship Id="rId572" Type="http://schemas.openxmlformats.org/officeDocument/2006/relationships/hyperlink" Target="https://fantasy.espn.com/football/boxscore?leagueId=88024&amp;matchupPeriodId=14&amp;scoringPeriodId=14&amp;seasonId=2023&amp;teamId=3&amp;view=scoringperiod" TargetMode="External"/><Relationship Id="rId571" Type="http://schemas.openxmlformats.org/officeDocument/2006/relationships/hyperlink" Target="https://fantasy.espn.com/football/boxscore?leagueId=88024&amp;matchupPeriodId=14&amp;scoringPeriodId=14&amp;seasonId=2023&amp;teamId=3&amp;view=scoringperiod" TargetMode="External"/><Relationship Id="rId570" Type="http://schemas.openxmlformats.org/officeDocument/2006/relationships/hyperlink" Target="https://fantasy.espn.com/football/boxscore?leagueId=88024&amp;matchupPeriodId=14&amp;scoringPeriodId=14&amp;seasonId=2023&amp;teamId=8&amp;view=scoringperiod" TargetMode="External"/><Relationship Id="rId334" Type="http://schemas.openxmlformats.org/officeDocument/2006/relationships/hyperlink" Target="https://fantasy.espn.com/football/boxscore?leagueId=88024&amp;matchupPeriodId=11&amp;scoringPeriodId=11&amp;seasonId=2022&amp;teamId=7&amp;view=scoringperiod" TargetMode="External"/><Relationship Id="rId576" Type="http://schemas.openxmlformats.org/officeDocument/2006/relationships/hyperlink" Target="https://fantasy.espn.com/football/boxscore?leagueId=88024&amp;matchupPeriodId=14&amp;scoringPeriodId=14&amp;seasonId=2023&amp;teamId=5&amp;view=scoringperiod" TargetMode="External"/><Relationship Id="rId333" Type="http://schemas.openxmlformats.org/officeDocument/2006/relationships/hyperlink" Target="https://fantasy.espn.com/football/boxscore?leagueId=88024&amp;matchupPeriodId=11&amp;scoringPeriodId=11&amp;seasonId=2022&amp;teamId=7&amp;view=scoringperiod" TargetMode="External"/><Relationship Id="rId575" Type="http://schemas.openxmlformats.org/officeDocument/2006/relationships/hyperlink" Target="https://fantasy.espn.com/football/boxscore?leagueId=88024&amp;matchupPeriodId=14&amp;scoringPeriodId=14&amp;seasonId=2023&amp;teamId=5&amp;view=scoringperiod" TargetMode="External"/><Relationship Id="rId332" Type="http://schemas.openxmlformats.org/officeDocument/2006/relationships/hyperlink" Target="https://fantasy.espn.com/football/boxscore?leagueId=88024&amp;matchupPeriodId=11&amp;scoringPeriodId=11&amp;seasonId=2022&amp;teamId=8&amp;view=scoringperiod" TargetMode="External"/><Relationship Id="rId574" Type="http://schemas.openxmlformats.org/officeDocument/2006/relationships/hyperlink" Target="https://fantasy.espn.com/football/boxscore?leagueId=88024&amp;matchupPeriodId=14&amp;scoringPeriodId=14&amp;seasonId=2023&amp;teamId=9&amp;view=scoringperiod" TargetMode="External"/><Relationship Id="rId331" Type="http://schemas.openxmlformats.org/officeDocument/2006/relationships/hyperlink" Target="https://fantasy.espn.com/football/boxscore?leagueId=88024&amp;matchupPeriodId=11&amp;scoringPeriodId=11&amp;seasonId=2022&amp;teamId=8&amp;view=scoringperiod" TargetMode="External"/><Relationship Id="rId573" Type="http://schemas.openxmlformats.org/officeDocument/2006/relationships/hyperlink" Target="https://fantasy.espn.com/football/boxscore?leagueId=88024&amp;matchupPeriodId=14&amp;scoringPeriodId=14&amp;seasonId=2023&amp;teamId=9&amp;view=scoringperiod" TargetMode="External"/><Relationship Id="rId370" Type="http://schemas.openxmlformats.org/officeDocument/2006/relationships/hyperlink" Target="https://fantasy.espn.com/football/boxscore?leagueId=88024&amp;matchupPeriodId=14&amp;scoringPeriodId=14&amp;seasonId=2022&amp;teamId=1&amp;view=scoringperiod" TargetMode="External"/><Relationship Id="rId129" Type="http://schemas.openxmlformats.org/officeDocument/2006/relationships/hyperlink" Target="https://fantasy.espn.com/football/boxscore?leagueId=88024&amp;matchupPeriodId=11&amp;scoringPeriodId=11&amp;seasonId=2021&amp;teamId=10&amp;view=scoringperiod" TargetMode="External"/><Relationship Id="rId128" Type="http://schemas.openxmlformats.org/officeDocument/2006/relationships/hyperlink" Target="https://fantasy.espn.com/football/boxscore?leagueId=88024&amp;matchupPeriodId=11&amp;scoringPeriodId=11&amp;seasonId=2021&amp;teamId=2&amp;view=scoringperiod" TargetMode="External"/><Relationship Id="rId127" Type="http://schemas.openxmlformats.org/officeDocument/2006/relationships/hyperlink" Target="https://fantasy.espn.com/football/boxscore?leagueId=88024&amp;matchupPeriodId=11&amp;scoringPeriodId=11&amp;seasonId=2021&amp;teamId=2&amp;view=scoringperiod" TargetMode="External"/><Relationship Id="rId369" Type="http://schemas.openxmlformats.org/officeDocument/2006/relationships/hyperlink" Target="https://fantasy.espn.com/football/boxscore?leagueId=88024&amp;matchupPeriodId=14&amp;scoringPeriodId=14&amp;seasonId=2022&amp;teamId=1&amp;view=scoringperiod" TargetMode="External"/><Relationship Id="rId126" Type="http://schemas.openxmlformats.org/officeDocument/2006/relationships/hyperlink" Target="https://fantasy.espn.com/football/boxscore?leagueId=88024&amp;matchupPeriodId=11&amp;scoringPeriodId=11&amp;seasonId=2021&amp;teamId=7&amp;view=scoringperiod" TargetMode="External"/><Relationship Id="rId368" Type="http://schemas.openxmlformats.org/officeDocument/2006/relationships/hyperlink" Target="https://fantasy.espn.com/football/boxscore?leagueId=88024&amp;matchupPeriodId=14&amp;scoringPeriodId=14&amp;seasonId=2022&amp;teamId=9&amp;view=scoringperiod" TargetMode="External"/><Relationship Id="rId121" Type="http://schemas.openxmlformats.org/officeDocument/2006/relationships/hyperlink" Target="https://fantasy.espn.com/football/boxscore?leagueId=88024&amp;matchupPeriodId=11&amp;scoringPeriodId=11&amp;seasonId=2021&amp;teamId=1&amp;view=scoringperiod" TargetMode="External"/><Relationship Id="rId363" Type="http://schemas.openxmlformats.org/officeDocument/2006/relationships/hyperlink" Target="https://fantasy.espn.com/football/boxscore?leagueId=88024&amp;matchupPeriodId=14&amp;scoringPeriodId=14&amp;seasonId=2022&amp;teamId=11&amp;view=scoringperiod" TargetMode="External"/><Relationship Id="rId120" Type="http://schemas.openxmlformats.org/officeDocument/2006/relationships/hyperlink" Target="https://fantasy.espn.com/football/boxscore?leagueId=88024&amp;matchupPeriodId=10&amp;scoringPeriodId=10&amp;seasonId=2021&amp;teamId=4&amp;view=scoringperiod" TargetMode="External"/><Relationship Id="rId362" Type="http://schemas.openxmlformats.org/officeDocument/2006/relationships/hyperlink" Target="https://fantasy.espn.com/football/boxscore?leagueId=88024&amp;matchupPeriodId=14&amp;scoringPeriodId=14&amp;seasonId=2022&amp;teamId=6&amp;view=scoringperiod" TargetMode="External"/><Relationship Id="rId361" Type="http://schemas.openxmlformats.org/officeDocument/2006/relationships/hyperlink" Target="https://fantasy.espn.com/football/boxscore?leagueId=88024&amp;matchupPeriodId=14&amp;scoringPeriodId=14&amp;seasonId=2022&amp;teamId=6&amp;view=scoringperiod" TargetMode="External"/><Relationship Id="rId360" Type="http://schemas.openxmlformats.org/officeDocument/2006/relationships/hyperlink" Target="https://fantasy.espn.com/football/boxscore?leagueId=88024&amp;matchupPeriodId=14&amp;scoringPeriodId=14&amp;seasonId=2022&amp;teamId=12&amp;view=scoringperiod" TargetMode="External"/><Relationship Id="rId125" Type="http://schemas.openxmlformats.org/officeDocument/2006/relationships/hyperlink" Target="https://fantasy.espn.com/football/boxscore?leagueId=88024&amp;matchupPeriodId=11&amp;scoringPeriodId=11&amp;seasonId=2021&amp;teamId=7&amp;view=scoringperiod" TargetMode="External"/><Relationship Id="rId367" Type="http://schemas.openxmlformats.org/officeDocument/2006/relationships/hyperlink" Target="https://fantasy.espn.com/football/boxscore?leagueId=88024&amp;matchupPeriodId=14&amp;scoringPeriodId=14&amp;seasonId=2022&amp;teamId=9&amp;view=scoringperiod" TargetMode="External"/><Relationship Id="rId124" Type="http://schemas.openxmlformats.org/officeDocument/2006/relationships/hyperlink" Target="https://fantasy.espn.com/football/boxscore?leagueId=88024&amp;matchupPeriodId=11&amp;scoringPeriodId=11&amp;seasonId=2021&amp;teamId=6&amp;view=scoringperiod" TargetMode="External"/><Relationship Id="rId366" Type="http://schemas.openxmlformats.org/officeDocument/2006/relationships/hyperlink" Target="https://fantasy.espn.com/football/boxscore?leagueId=88024&amp;matchupPeriodId=14&amp;scoringPeriodId=14&amp;seasonId=2022&amp;teamId=10&amp;view=scoringperiod" TargetMode="External"/><Relationship Id="rId123" Type="http://schemas.openxmlformats.org/officeDocument/2006/relationships/hyperlink" Target="https://fantasy.espn.com/football/boxscore?leagueId=88024&amp;matchupPeriodId=11&amp;scoringPeriodId=11&amp;seasonId=2021&amp;teamId=6&amp;view=scoringperiod" TargetMode="External"/><Relationship Id="rId365" Type="http://schemas.openxmlformats.org/officeDocument/2006/relationships/hyperlink" Target="https://fantasy.espn.com/football/boxscore?leagueId=88024&amp;matchupPeriodId=14&amp;scoringPeriodId=14&amp;seasonId=2022&amp;teamId=10&amp;view=scoringperiod" TargetMode="External"/><Relationship Id="rId122" Type="http://schemas.openxmlformats.org/officeDocument/2006/relationships/hyperlink" Target="https://fantasy.espn.com/football/boxscore?leagueId=88024&amp;matchupPeriodId=11&amp;scoringPeriodId=11&amp;seasonId=2021&amp;teamId=1&amp;view=scoringperiod" TargetMode="External"/><Relationship Id="rId364" Type="http://schemas.openxmlformats.org/officeDocument/2006/relationships/hyperlink" Target="https://fantasy.espn.com/football/boxscore?leagueId=88024&amp;matchupPeriodId=14&amp;scoringPeriodId=14&amp;seasonId=2022&amp;teamId=11&amp;view=scoringperiod" TargetMode="External"/><Relationship Id="rId95" Type="http://schemas.openxmlformats.org/officeDocument/2006/relationships/hyperlink" Target="https://fantasy.espn.com/football/boxscore?leagueId=88024&amp;matchupPeriodId=8&amp;scoringPeriodId=8&amp;seasonId=2021&amp;teamId=2&amp;view=scoringperiod" TargetMode="External"/><Relationship Id="rId94" Type="http://schemas.openxmlformats.org/officeDocument/2006/relationships/hyperlink" Target="https://fantasy.espn.com/football/boxscore?leagueId=88024&amp;matchupPeriodId=8&amp;scoringPeriodId=8&amp;seasonId=2021&amp;teamId=10&amp;view=scoringperiod" TargetMode="External"/><Relationship Id="rId97" Type="http://schemas.openxmlformats.org/officeDocument/2006/relationships/hyperlink" Target="https://fantasy.espn.com/football/boxscore?leagueId=88024&amp;matchupPeriodId=9&amp;scoringPeriodId=9&amp;seasonId=2021&amp;teamId=1&amp;view=scoringperiod" TargetMode="External"/><Relationship Id="rId96" Type="http://schemas.openxmlformats.org/officeDocument/2006/relationships/hyperlink" Target="https://fantasy.espn.com/football/boxscore?leagueId=88024&amp;matchupPeriodId=8&amp;scoringPeriodId=8&amp;seasonId=2021&amp;teamId=2&amp;view=scoringperiod" TargetMode="External"/><Relationship Id="rId99" Type="http://schemas.openxmlformats.org/officeDocument/2006/relationships/hyperlink" Target="https://fantasy.espn.com/football/boxscore?leagueId=88024&amp;matchupPeriodId=9&amp;scoringPeriodId=9&amp;seasonId=2021&amp;teamId=11&amp;view=scoringperiod" TargetMode="External"/><Relationship Id="rId98" Type="http://schemas.openxmlformats.org/officeDocument/2006/relationships/hyperlink" Target="https://fantasy.espn.com/football/boxscore?leagueId=88024&amp;matchupPeriodId=9&amp;scoringPeriodId=9&amp;seasonId=2021&amp;teamId=1&amp;view=scoringperiod" TargetMode="External"/><Relationship Id="rId91" Type="http://schemas.openxmlformats.org/officeDocument/2006/relationships/hyperlink" Target="https://fantasy.espn.com/football/boxscore?leagueId=88024&amp;matchupPeriodId=8&amp;scoringPeriodId=8&amp;seasonId=2021&amp;teamId=4&amp;view=scoringperiod" TargetMode="External"/><Relationship Id="rId90" Type="http://schemas.openxmlformats.org/officeDocument/2006/relationships/hyperlink" Target="https://fantasy.espn.com/football/boxscore?leagueId=88024&amp;matchupPeriodId=8&amp;scoringPeriodId=8&amp;seasonId=2021&amp;teamId=12&amp;view=scoringperiod" TargetMode="External"/><Relationship Id="rId93" Type="http://schemas.openxmlformats.org/officeDocument/2006/relationships/hyperlink" Target="https://fantasy.espn.com/football/boxscore?leagueId=88024&amp;matchupPeriodId=8&amp;scoringPeriodId=8&amp;seasonId=2021&amp;teamId=10&amp;view=scoringperiod" TargetMode="External"/><Relationship Id="rId92" Type="http://schemas.openxmlformats.org/officeDocument/2006/relationships/hyperlink" Target="https://fantasy.espn.com/football/boxscore?leagueId=88024&amp;matchupPeriodId=8&amp;scoringPeriodId=8&amp;seasonId=2021&amp;teamId=4&amp;view=scoringperiod" TargetMode="External"/><Relationship Id="rId118" Type="http://schemas.openxmlformats.org/officeDocument/2006/relationships/hyperlink" Target="https://fantasy.espn.com/football/boxscore?leagueId=88024&amp;matchupPeriodId=10&amp;scoringPeriodId=10&amp;seasonId=2021&amp;teamId=12&amp;view=scoringperiod" TargetMode="External"/><Relationship Id="rId117" Type="http://schemas.openxmlformats.org/officeDocument/2006/relationships/hyperlink" Target="https://fantasy.espn.com/football/boxscore?leagueId=88024&amp;matchupPeriodId=10&amp;scoringPeriodId=10&amp;seasonId=2021&amp;teamId=12&amp;view=scoringperiod" TargetMode="External"/><Relationship Id="rId359" Type="http://schemas.openxmlformats.org/officeDocument/2006/relationships/hyperlink" Target="https://fantasy.espn.com/football/boxscore?leagueId=88024&amp;matchupPeriodId=14&amp;scoringPeriodId=14&amp;seasonId=2022&amp;teamId=12&amp;view=scoringperiod" TargetMode="External"/><Relationship Id="rId116" Type="http://schemas.openxmlformats.org/officeDocument/2006/relationships/hyperlink" Target="https://fantasy.espn.com/football/boxscore?leagueId=88024&amp;matchupPeriodId=10&amp;scoringPeriodId=10&amp;seasonId=2021&amp;teamId=3&amp;view=scoringperiod" TargetMode="External"/><Relationship Id="rId358" Type="http://schemas.openxmlformats.org/officeDocument/2006/relationships/hyperlink" Target="https://fantasy.espn.com/football/boxscore?leagueId=88024&amp;matchupPeriodId=13&amp;scoringPeriodId=13&amp;seasonId=2022&amp;teamId=2&amp;view=scoringperiod" TargetMode="External"/><Relationship Id="rId115" Type="http://schemas.openxmlformats.org/officeDocument/2006/relationships/hyperlink" Target="https://fantasy.espn.com/football/boxscore?leagueId=88024&amp;matchupPeriodId=10&amp;scoringPeriodId=10&amp;seasonId=2021&amp;teamId=3&amp;view=scoringperiod" TargetMode="External"/><Relationship Id="rId357" Type="http://schemas.openxmlformats.org/officeDocument/2006/relationships/hyperlink" Target="https://fantasy.espn.com/football/boxscore?leagueId=88024&amp;matchupPeriodId=13&amp;scoringPeriodId=13&amp;seasonId=2022&amp;teamId=2&amp;view=scoringperiod" TargetMode="External"/><Relationship Id="rId599" Type="http://schemas.openxmlformats.org/officeDocument/2006/relationships/hyperlink" Target="https://fantasy.espn.com/football/boxscore?leagueId=88024&amp;matchupPeriodId=17&amp;scoringPeriodId=17&amp;seasonId=2023&amp;teamId=10&amp;view=scoringperiod" TargetMode="External"/><Relationship Id="rId119" Type="http://schemas.openxmlformats.org/officeDocument/2006/relationships/hyperlink" Target="https://fantasy.espn.com/football/boxscore?leagueId=88024&amp;matchupPeriodId=10&amp;scoringPeriodId=10&amp;seasonId=2021&amp;teamId=4&amp;view=scoringperiod" TargetMode="External"/><Relationship Id="rId110" Type="http://schemas.openxmlformats.org/officeDocument/2006/relationships/hyperlink" Target="https://fantasy.espn.com/football/boxscore?leagueId=88024&amp;matchupPeriodId=10&amp;scoringPeriodId=10&amp;seasonId=2021&amp;teamId=11&amp;view=scoringperiod" TargetMode="External"/><Relationship Id="rId352" Type="http://schemas.openxmlformats.org/officeDocument/2006/relationships/hyperlink" Target="https://fantasy.espn.com/football/boxscore?leagueId=88024&amp;matchupPeriodId=13&amp;scoringPeriodId=13&amp;seasonId=2022&amp;teamId=8&amp;view=scoringperiod" TargetMode="External"/><Relationship Id="rId594" Type="http://schemas.openxmlformats.org/officeDocument/2006/relationships/hyperlink" Target="https://fantasy.espn.com/football/boxscore?leagueId=88024&amp;matchupPeriodId=16&amp;scoringPeriodId=16&amp;seasonId=2023&amp;teamId=2&amp;view=scoringperiod" TargetMode="External"/><Relationship Id="rId351" Type="http://schemas.openxmlformats.org/officeDocument/2006/relationships/hyperlink" Target="https://fantasy.espn.com/football/boxscore?leagueId=88024&amp;matchupPeriodId=13&amp;scoringPeriodId=13&amp;seasonId=2022&amp;teamId=8&amp;view=scoringperiod" TargetMode="External"/><Relationship Id="rId593" Type="http://schemas.openxmlformats.org/officeDocument/2006/relationships/hyperlink" Target="https://fantasy.espn.com/football/boxscore?leagueId=88024&amp;matchupPeriodId=16&amp;scoringPeriodId=16&amp;seasonId=2023&amp;teamId=2&amp;view=scoringperiod" TargetMode="External"/><Relationship Id="rId350" Type="http://schemas.openxmlformats.org/officeDocument/2006/relationships/hyperlink" Target="https://fantasy.espn.com/football/boxscore?leagueId=88024&amp;matchupPeriodId=13&amp;scoringPeriodId=13&amp;seasonId=2022&amp;teamId=12&amp;view=scoringperiod" TargetMode="External"/><Relationship Id="rId592" Type="http://schemas.openxmlformats.org/officeDocument/2006/relationships/hyperlink" Target="https://fantasy.espn.com/football/boxscore?leagueId=88024&amp;matchupPeriodId=16&amp;scoringPeriodId=16&amp;seasonId=2023&amp;teamId=5&amp;view=scoringperiod" TargetMode="External"/><Relationship Id="rId591" Type="http://schemas.openxmlformats.org/officeDocument/2006/relationships/hyperlink" Target="https://fantasy.espn.com/football/boxscore?leagueId=88024&amp;matchupPeriodId=16&amp;scoringPeriodId=16&amp;seasonId=2023&amp;teamId=5&amp;view=scoringperiod" TargetMode="External"/><Relationship Id="rId114" Type="http://schemas.openxmlformats.org/officeDocument/2006/relationships/hyperlink" Target="https://fantasy.espn.com/football/boxscore?leagueId=88024&amp;matchupPeriodId=10&amp;scoringPeriodId=10&amp;seasonId=2021&amp;teamId=9&amp;view=scoringperiod" TargetMode="External"/><Relationship Id="rId356" Type="http://schemas.openxmlformats.org/officeDocument/2006/relationships/hyperlink" Target="https://fantasy.espn.com/football/boxscore?leagueId=88024&amp;matchupPeriodId=13&amp;scoringPeriodId=13&amp;seasonId=2022&amp;teamId=5&amp;view=scoringperiod" TargetMode="External"/><Relationship Id="rId598" Type="http://schemas.openxmlformats.org/officeDocument/2006/relationships/hyperlink" Target="https://fantasy.espn.com/football/boxscore?leagueId=88024&amp;matchupPeriodId=16&amp;scoringPeriodId=16&amp;seasonId=2023&amp;teamId=11&amp;view=scoringperiod" TargetMode="External"/><Relationship Id="rId113" Type="http://schemas.openxmlformats.org/officeDocument/2006/relationships/hyperlink" Target="https://fantasy.espn.com/football/boxscore?leagueId=88024&amp;matchupPeriodId=10&amp;scoringPeriodId=10&amp;seasonId=2021&amp;teamId=9&amp;view=scoringperiod" TargetMode="External"/><Relationship Id="rId355" Type="http://schemas.openxmlformats.org/officeDocument/2006/relationships/hyperlink" Target="https://fantasy.espn.com/football/boxscore?leagueId=88024&amp;matchupPeriodId=13&amp;scoringPeriodId=13&amp;seasonId=2022&amp;teamId=5&amp;view=scoringperiod" TargetMode="External"/><Relationship Id="rId597" Type="http://schemas.openxmlformats.org/officeDocument/2006/relationships/hyperlink" Target="https://fantasy.espn.com/football/boxscore?leagueId=88024&amp;matchupPeriodId=16&amp;scoringPeriodId=16&amp;seasonId=2023&amp;teamId=11&amp;view=scoringperiod" TargetMode="External"/><Relationship Id="rId112" Type="http://schemas.openxmlformats.org/officeDocument/2006/relationships/hyperlink" Target="https://fantasy.espn.com/football/boxscore?leagueId=88024&amp;matchupPeriodId=10&amp;scoringPeriodId=10&amp;seasonId=2021&amp;teamId=5&amp;view=scoringperiod" TargetMode="External"/><Relationship Id="rId354" Type="http://schemas.openxmlformats.org/officeDocument/2006/relationships/hyperlink" Target="https://fantasy.espn.com/football/boxscore?leagueId=88024&amp;matchupPeriodId=13&amp;scoringPeriodId=13&amp;seasonId=2022&amp;teamId=7&amp;view=scoringperiod" TargetMode="External"/><Relationship Id="rId596" Type="http://schemas.openxmlformats.org/officeDocument/2006/relationships/hyperlink" Target="https://fantasy.espn.com/football/boxscore?leagueId=88024&amp;matchupPeriodId=16&amp;scoringPeriodId=16&amp;seasonId=2023&amp;teamId=9&amp;view=scoringperiod" TargetMode="External"/><Relationship Id="rId111" Type="http://schemas.openxmlformats.org/officeDocument/2006/relationships/hyperlink" Target="https://fantasy.espn.com/football/boxscore?leagueId=88024&amp;matchupPeriodId=10&amp;scoringPeriodId=10&amp;seasonId=2021&amp;teamId=5&amp;view=scoringperiod" TargetMode="External"/><Relationship Id="rId353" Type="http://schemas.openxmlformats.org/officeDocument/2006/relationships/hyperlink" Target="https://fantasy.espn.com/football/boxscore?leagueId=88024&amp;matchupPeriodId=13&amp;scoringPeriodId=13&amp;seasonId=2022&amp;teamId=7&amp;view=scoringperiod" TargetMode="External"/><Relationship Id="rId595" Type="http://schemas.openxmlformats.org/officeDocument/2006/relationships/hyperlink" Target="https://fantasy.espn.com/football/boxscore?leagueId=88024&amp;matchupPeriodId=16&amp;scoringPeriodId=16&amp;seasonId=2023&amp;teamId=9&amp;view=scoringperiod" TargetMode="External"/><Relationship Id="rId305" Type="http://schemas.openxmlformats.org/officeDocument/2006/relationships/hyperlink" Target="https://fantasy.espn.com/football/boxscore?leagueId=88024&amp;matchupPeriodId=9&amp;scoringPeriodId=9&amp;seasonId=2022&amp;teamId=11&amp;view=scoringperiod" TargetMode="External"/><Relationship Id="rId547" Type="http://schemas.openxmlformats.org/officeDocument/2006/relationships/hyperlink" Target="https://fantasy.espn.com/football/boxscore?leagueId=88024&amp;matchupPeriodId=12&amp;scoringPeriodId=12&amp;seasonId=2023&amp;teamId=5&amp;view=scoringperiod" TargetMode="External"/><Relationship Id="rId789" Type="http://schemas.openxmlformats.org/officeDocument/2006/relationships/hyperlink" Target="https://fantasy.espn.com/football/boxscore?leagueId=88024&amp;matchupPeriodId=16&amp;scoringPeriodId=16&amp;seasonId=2024&amp;teamId=1&amp;view=scoringperiod" TargetMode="External"/><Relationship Id="rId304" Type="http://schemas.openxmlformats.org/officeDocument/2006/relationships/hyperlink" Target="https://fantasy.espn.com/football/boxscore?leagueId=88024&amp;matchupPeriodId=9&amp;scoringPeriodId=9&amp;seasonId=2022&amp;teamId=10&amp;view=scoringperiod" TargetMode="External"/><Relationship Id="rId546" Type="http://schemas.openxmlformats.org/officeDocument/2006/relationships/hyperlink" Target="https://fantasy.espn.com/football/boxscore?leagueId=88024&amp;matchupPeriodId=12&amp;scoringPeriodId=12&amp;seasonId=2023&amp;teamId=9&amp;view=scoringperiod" TargetMode="External"/><Relationship Id="rId788" Type="http://schemas.openxmlformats.org/officeDocument/2006/relationships/hyperlink" Target="https://fantasy.espn.com/football/boxscore?leagueId=88024&amp;matchupPeriodId=15&amp;scoringPeriodId=15&amp;seasonId=2024&amp;teamId=9&amp;view=scoringperiod" TargetMode="External"/><Relationship Id="rId303" Type="http://schemas.openxmlformats.org/officeDocument/2006/relationships/hyperlink" Target="https://fantasy.espn.com/football/boxscore?leagueId=88024&amp;matchupPeriodId=9&amp;scoringPeriodId=9&amp;seasonId=2022&amp;teamId=10&amp;view=scoringperiod" TargetMode="External"/><Relationship Id="rId545" Type="http://schemas.openxmlformats.org/officeDocument/2006/relationships/hyperlink" Target="https://fantasy.espn.com/football/boxscore?leagueId=88024&amp;matchupPeriodId=12&amp;scoringPeriodId=12&amp;seasonId=2023&amp;teamId=9&amp;view=scoringperiod" TargetMode="External"/><Relationship Id="rId787" Type="http://schemas.openxmlformats.org/officeDocument/2006/relationships/hyperlink" Target="https://fantasy.espn.com/football/boxscore?leagueId=88024&amp;matchupPeriodId=15&amp;scoringPeriodId=15&amp;seasonId=2024&amp;teamId=9&amp;view=scoringperiod" TargetMode="External"/><Relationship Id="rId302" Type="http://schemas.openxmlformats.org/officeDocument/2006/relationships/hyperlink" Target="https://fantasy.espn.com/football/boxscore?leagueId=88024&amp;matchupPeriodId=9&amp;scoringPeriodId=9&amp;seasonId=2022&amp;teamId=9&amp;view=scoringperiod" TargetMode="External"/><Relationship Id="rId544" Type="http://schemas.openxmlformats.org/officeDocument/2006/relationships/hyperlink" Target="https://fantasy.espn.com/football/boxscore?leagueId=88024&amp;matchupPeriodId=12&amp;scoringPeriodId=12&amp;seasonId=2023&amp;teamId=3&amp;view=scoringperiod" TargetMode="External"/><Relationship Id="rId786" Type="http://schemas.openxmlformats.org/officeDocument/2006/relationships/hyperlink" Target="https://fantasy.espn.com/football/boxscore?leagueId=88024&amp;matchupPeriodId=15&amp;scoringPeriodId=15&amp;seasonId=2024&amp;teamId=3&amp;view=scoringperiod" TargetMode="External"/><Relationship Id="rId309" Type="http://schemas.openxmlformats.org/officeDocument/2006/relationships/hyperlink" Target="https://fantasy.espn.com/football/boxscore?leagueId=88024&amp;matchupPeriodId=9&amp;scoringPeriodId=9&amp;seasonId=2022&amp;teamId=12&amp;view=scoringperiod" TargetMode="External"/><Relationship Id="rId308" Type="http://schemas.openxmlformats.org/officeDocument/2006/relationships/hyperlink" Target="https://fantasy.espn.com/football/boxscore?leagueId=88024&amp;matchupPeriodId=9&amp;scoringPeriodId=9&amp;seasonId=2022&amp;teamId=6&amp;view=scoringperiod" TargetMode="External"/><Relationship Id="rId307" Type="http://schemas.openxmlformats.org/officeDocument/2006/relationships/hyperlink" Target="https://fantasy.espn.com/football/boxscore?leagueId=88024&amp;matchupPeriodId=9&amp;scoringPeriodId=9&amp;seasonId=2022&amp;teamId=6&amp;view=scoringperiod" TargetMode="External"/><Relationship Id="rId549" Type="http://schemas.openxmlformats.org/officeDocument/2006/relationships/hyperlink" Target="https://fantasy.espn.com/football/boxscore?leagueId=88024&amp;matchupPeriodId=12&amp;scoringPeriodId=12&amp;seasonId=2023&amp;teamId=2&amp;view=scoringperiod" TargetMode="External"/><Relationship Id="rId306" Type="http://schemas.openxmlformats.org/officeDocument/2006/relationships/hyperlink" Target="https://fantasy.espn.com/football/boxscore?leagueId=88024&amp;matchupPeriodId=9&amp;scoringPeriodId=9&amp;seasonId=2022&amp;teamId=11&amp;view=scoringperiod" TargetMode="External"/><Relationship Id="rId548" Type="http://schemas.openxmlformats.org/officeDocument/2006/relationships/hyperlink" Target="https://fantasy.espn.com/football/boxscore?leagueId=88024&amp;matchupPeriodId=12&amp;scoringPeriodId=12&amp;seasonId=2023&amp;teamId=5&amp;view=scoringperiod" TargetMode="External"/><Relationship Id="rId781" Type="http://schemas.openxmlformats.org/officeDocument/2006/relationships/hyperlink" Target="https://fantasy.espn.com/football/boxscore?leagueId=88024&amp;matchupPeriodId=15&amp;scoringPeriodId=15&amp;seasonId=2024&amp;teamId=6&amp;view=scoringperiod" TargetMode="External"/><Relationship Id="rId780" Type="http://schemas.openxmlformats.org/officeDocument/2006/relationships/hyperlink" Target="https://fantasy.espn.com/football/boxscore?leagueId=88024&amp;matchupPeriodId=15&amp;scoringPeriodId=15&amp;seasonId=2024&amp;teamId=10&amp;view=scoringperiod" TargetMode="External"/><Relationship Id="rId301" Type="http://schemas.openxmlformats.org/officeDocument/2006/relationships/hyperlink" Target="https://fantasy.espn.com/football/boxscore?leagueId=88024&amp;matchupPeriodId=9&amp;scoringPeriodId=9&amp;seasonId=2022&amp;teamId=9&amp;view=scoringperiod" TargetMode="External"/><Relationship Id="rId543" Type="http://schemas.openxmlformats.org/officeDocument/2006/relationships/hyperlink" Target="https://fantasy.espn.com/football/boxscore?leagueId=88024&amp;matchupPeriodId=12&amp;scoringPeriodId=12&amp;seasonId=2023&amp;teamId=3&amp;view=scoringperiod" TargetMode="External"/><Relationship Id="rId785" Type="http://schemas.openxmlformats.org/officeDocument/2006/relationships/hyperlink" Target="https://fantasy.espn.com/football/boxscore?leagueId=88024&amp;matchupPeriodId=15&amp;scoringPeriodId=15&amp;seasonId=2024&amp;teamId=3&amp;view=scoringperiod" TargetMode="External"/><Relationship Id="rId300" Type="http://schemas.openxmlformats.org/officeDocument/2006/relationships/hyperlink" Target="https://fantasy.espn.com/football/boxscore?leagueId=88024&amp;matchupPeriodId=9&amp;scoringPeriodId=9&amp;seasonId=2022&amp;teamId=3&amp;view=scoringperiod" TargetMode="External"/><Relationship Id="rId542" Type="http://schemas.openxmlformats.org/officeDocument/2006/relationships/hyperlink" Target="https://fantasy.espn.com/football/boxscore?leagueId=88024&amp;matchupPeriodId=12&amp;scoringPeriodId=12&amp;seasonId=2023&amp;teamId=8&amp;view=scoringperiod" TargetMode="External"/><Relationship Id="rId784" Type="http://schemas.openxmlformats.org/officeDocument/2006/relationships/hyperlink" Target="https://fantasy.espn.com/football/boxscore?leagueId=88024&amp;matchupPeriodId=15&amp;scoringPeriodId=15&amp;seasonId=2024&amp;teamId=11&amp;view=scoringperiod" TargetMode="External"/><Relationship Id="rId541" Type="http://schemas.openxmlformats.org/officeDocument/2006/relationships/hyperlink" Target="https://fantasy.espn.com/football/boxscore?leagueId=88024&amp;matchupPeriodId=12&amp;scoringPeriodId=12&amp;seasonId=2023&amp;teamId=8&amp;view=scoringperiod" TargetMode="External"/><Relationship Id="rId783" Type="http://schemas.openxmlformats.org/officeDocument/2006/relationships/hyperlink" Target="https://fantasy.espn.com/football/boxscore?leagueId=88024&amp;matchupPeriodId=15&amp;scoringPeriodId=15&amp;seasonId=2024&amp;teamId=11&amp;view=scoringperiod" TargetMode="External"/><Relationship Id="rId540" Type="http://schemas.openxmlformats.org/officeDocument/2006/relationships/hyperlink" Target="https://fantasy.espn.com/football/boxscore?leagueId=88024&amp;matchupPeriodId=11&amp;scoringPeriodId=11&amp;seasonId=2023&amp;teamId=4&amp;view=scoringperiod" TargetMode="External"/><Relationship Id="rId782" Type="http://schemas.openxmlformats.org/officeDocument/2006/relationships/hyperlink" Target="https://fantasy.espn.com/football/boxscore?leagueId=88024&amp;matchupPeriodId=15&amp;scoringPeriodId=15&amp;seasonId=2024&amp;teamId=6&amp;view=scoringperiod" TargetMode="External"/><Relationship Id="rId536" Type="http://schemas.openxmlformats.org/officeDocument/2006/relationships/hyperlink" Target="https://fantasy.espn.com/football/boxscore?leagueId=88024&amp;matchupPeriodId=11&amp;scoringPeriodId=11&amp;seasonId=2023&amp;teamId=6&amp;view=scoringperiod" TargetMode="External"/><Relationship Id="rId778" Type="http://schemas.openxmlformats.org/officeDocument/2006/relationships/hyperlink" Target="https://fantasy.espn.com/football/boxscore?leagueId=88024&amp;matchupPeriodId=14&amp;scoringPeriodId=14&amp;seasonId=2024&amp;teamId=7&amp;view=scoringperiod" TargetMode="External"/><Relationship Id="rId535" Type="http://schemas.openxmlformats.org/officeDocument/2006/relationships/hyperlink" Target="https://fantasy.espn.com/football/boxscore?leagueId=88024&amp;matchupPeriodId=11&amp;scoringPeriodId=11&amp;seasonId=2023&amp;teamId=6&amp;view=scoringperiod" TargetMode="External"/><Relationship Id="rId777" Type="http://schemas.openxmlformats.org/officeDocument/2006/relationships/hyperlink" Target="https://fantasy.espn.com/football/boxscore?leagueId=88024&amp;matchupPeriodId=14&amp;scoringPeriodId=14&amp;seasonId=2024&amp;teamId=7&amp;view=scoringperiod" TargetMode="External"/><Relationship Id="rId534" Type="http://schemas.openxmlformats.org/officeDocument/2006/relationships/hyperlink" Target="https://fantasy.espn.com/football/boxscore?leagueId=88024&amp;matchupPeriodId=11&amp;scoringPeriodId=11&amp;seasonId=2023&amp;teamId=10&amp;view=scoringperiod" TargetMode="External"/><Relationship Id="rId776" Type="http://schemas.openxmlformats.org/officeDocument/2006/relationships/hyperlink" Target="https://fantasy.espn.com/football/boxscore?leagueId=88024&amp;matchupPeriodId=14&amp;scoringPeriodId=14&amp;seasonId=2024&amp;teamId=2&amp;view=scoringperiod" TargetMode="External"/><Relationship Id="rId533" Type="http://schemas.openxmlformats.org/officeDocument/2006/relationships/hyperlink" Target="https://fantasy.espn.com/football/boxscore?leagueId=88024&amp;matchupPeriodId=11&amp;scoringPeriodId=11&amp;seasonId=2023&amp;teamId=10&amp;view=scoringperiod" TargetMode="External"/><Relationship Id="rId775" Type="http://schemas.openxmlformats.org/officeDocument/2006/relationships/hyperlink" Target="https://fantasy.espn.com/football/boxscore?leagueId=88024&amp;matchupPeriodId=14&amp;scoringPeriodId=14&amp;seasonId=2024&amp;teamId=2&amp;view=scoringperiod" TargetMode="External"/><Relationship Id="rId539" Type="http://schemas.openxmlformats.org/officeDocument/2006/relationships/hyperlink" Target="https://fantasy.espn.com/football/boxscore?leagueId=88024&amp;matchupPeriodId=11&amp;scoringPeriodId=11&amp;seasonId=2023&amp;teamId=4&amp;view=scoringperiod" TargetMode="External"/><Relationship Id="rId538" Type="http://schemas.openxmlformats.org/officeDocument/2006/relationships/hyperlink" Target="https://fantasy.espn.com/football/boxscore?leagueId=88024&amp;matchupPeriodId=11&amp;scoringPeriodId=11&amp;seasonId=2023&amp;teamId=1&amp;view=scoringperiod" TargetMode="External"/><Relationship Id="rId537" Type="http://schemas.openxmlformats.org/officeDocument/2006/relationships/hyperlink" Target="https://fantasy.espn.com/football/boxscore?leagueId=88024&amp;matchupPeriodId=11&amp;scoringPeriodId=11&amp;seasonId=2023&amp;teamId=1&amp;view=scoringperiod" TargetMode="External"/><Relationship Id="rId779" Type="http://schemas.openxmlformats.org/officeDocument/2006/relationships/hyperlink" Target="https://fantasy.espn.com/football/boxscore?leagueId=88024&amp;matchupPeriodId=15&amp;scoringPeriodId=15&amp;seasonId=2024&amp;teamId=10&amp;view=scoringperiod" TargetMode="External"/><Relationship Id="rId770" Type="http://schemas.openxmlformats.org/officeDocument/2006/relationships/hyperlink" Target="https://fantasy.espn.com/football/boxscore?leagueId=88024&amp;matchupPeriodId=14&amp;scoringPeriodId=14&amp;seasonId=2024&amp;teamId=9&amp;view=scoringperiod" TargetMode="External"/><Relationship Id="rId532" Type="http://schemas.openxmlformats.org/officeDocument/2006/relationships/hyperlink" Target="https://fantasy.espn.com/football/boxscore?leagueId=88024&amp;matchupPeriodId=11&amp;scoringPeriodId=11&amp;seasonId=2023&amp;teamId=8&amp;view=scoringperiod" TargetMode="External"/><Relationship Id="rId774" Type="http://schemas.openxmlformats.org/officeDocument/2006/relationships/hyperlink" Target="https://fantasy.espn.com/football/boxscore?leagueId=88024&amp;matchupPeriodId=14&amp;scoringPeriodId=14&amp;seasonId=2024&amp;teamId=12&amp;view=scoringperiod" TargetMode="External"/><Relationship Id="rId531" Type="http://schemas.openxmlformats.org/officeDocument/2006/relationships/hyperlink" Target="https://fantasy.espn.com/football/boxscore?leagueId=88024&amp;matchupPeriodId=11&amp;scoringPeriodId=11&amp;seasonId=2023&amp;teamId=8&amp;view=scoringperiod" TargetMode="External"/><Relationship Id="rId773" Type="http://schemas.openxmlformats.org/officeDocument/2006/relationships/hyperlink" Target="https://fantasy.espn.com/football/boxscore?leagueId=88024&amp;matchupPeriodId=14&amp;scoringPeriodId=14&amp;seasonId=2024&amp;teamId=12&amp;view=scoringperiod" TargetMode="External"/><Relationship Id="rId530" Type="http://schemas.openxmlformats.org/officeDocument/2006/relationships/hyperlink" Target="https://fantasy.espn.com/football/boxscore?leagueId=88024&amp;matchupPeriodId=11&amp;scoringPeriodId=11&amp;seasonId=2023&amp;teamId=7&amp;view=scoringperiod" TargetMode="External"/><Relationship Id="rId772" Type="http://schemas.openxmlformats.org/officeDocument/2006/relationships/hyperlink" Target="https://fantasy.espn.com/football/boxscore?leagueId=88024&amp;matchupPeriodId=14&amp;scoringPeriodId=14&amp;seasonId=2024&amp;teamId=3&amp;view=scoringperiod" TargetMode="External"/><Relationship Id="rId771" Type="http://schemas.openxmlformats.org/officeDocument/2006/relationships/hyperlink" Target="https://fantasy.espn.com/football/boxscore?leagueId=88024&amp;matchupPeriodId=14&amp;scoringPeriodId=14&amp;seasonId=2024&amp;teamId=3&amp;view=scoringperiod" TargetMode="External"/><Relationship Id="rId327" Type="http://schemas.openxmlformats.org/officeDocument/2006/relationships/hyperlink" Target="https://fantasy.espn.com/football/boxscore?leagueId=88024&amp;matchupPeriodId=11&amp;scoringPeriodId=11&amp;seasonId=2022&amp;teamId=6&amp;view=scoringperiod" TargetMode="External"/><Relationship Id="rId569" Type="http://schemas.openxmlformats.org/officeDocument/2006/relationships/hyperlink" Target="https://fantasy.espn.com/football/boxscore?leagueId=88024&amp;matchupPeriodId=14&amp;scoringPeriodId=14&amp;seasonId=2023&amp;teamId=8&amp;view=scoringperiod" TargetMode="External"/><Relationship Id="rId326" Type="http://schemas.openxmlformats.org/officeDocument/2006/relationships/hyperlink" Target="https://fantasy.espn.com/football/boxscore?leagueId=88024&amp;matchupPeriodId=11&amp;scoringPeriodId=11&amp;seasonId=2022&amp;teamId=11&amp;view=scoringperiod" TargetMode="External"/><Relationship Id="rId568" Type="http://schemas.openxmlformats.org/officeDocument/2006/relationships/hyperlink" Target="https://fantasy.espn.com/football/boxscore?leagueId=88024&amp;matchupPeriodId=14&amp;scoringPeriodId=14&amp;seasonId=2023&amp;teamId=10&amp;view=scoringperiod" TargetMode="External"/><Relationship Id="rId325" Type="http://schemas.openxmlformats.org/officeDocument/2006/relationships/hyperlink" Target="https://fantasy.espn.com/football/boxscore?leagueId=88024&amp;matchupPeriodId=11&amp;scoringPeriodId=11&amp;seasonId=2022&amp;teamId=11&amp;view=scoringperiod" TargetMode="External"/><Relationship Id="rId567" Type="http://schemas.openxmlformats.org/officeDocument/2006/relationships/hyperlink" Target="https://fantasy.espn.com/football/boxscore?leagueId=88024&amp;matchupPeriodId=14&amp;scoringPeriodId=14&amp;seasonId=2023&amp;teamId=10&amp;view=scoringperiod" TargetMode="External"/><Relationship Id="rId324" Type="http://schemas.openxmlformats.org/officeDocument/2006/relationships/hyperlink" Target="https://fantasy.espn.com/football/boxscore?leagueId=88024&amp;matchupPeriodId=11&amp;scoringPeriodId=11&amp;seasonId=2022&amp;teamId=3&amp;view=scoringperiod" TargetMode="External"/><Relationship Id="rId566" Type="http://schemas.openxmlformats.org/officeDocument/2006/relationships/hyperlink" Target="https://fantasy.espn.com/football/boxscore?leagueId=88024&amp;matchupPeriodId=14&amp;scoringPeriodId=14&amp;seasonId=2023&amp;teamId=6&amp;view=scoringperiod" TargetMode="External"/><Relationship Id="rId329" Type="http://schemas.openxmlformats.org/officeDocument/2006/relationships/hyperlink" Target="https://fantasy.espn.com/football/boxscore?leagueId=88024&amp;matchupPeriodId=11&amp;scoringPeriodId=11&amp;seasonId=2022&amp;teamId=12&amp;view=scoringperiod" TargetMode="External"/><Relationship Id="rId328" Type="http://schemas.openxmlformats.org/officeDocument/2006/relationships/hyperlink" Target="https://fantasy.espn.com/football/boxscore?leagueId=88024&amp;matchupPeriodId=11&amp;scoringPeriodId=11&amp;seasonId=2022&amp;teamId=6&amp;view=scoringperiod" TargetMode="External"/><Relationship Id="rId561" Type="http://schemas.openxmlformats.org/officeDocument/2006/relationships/hyperlink" Target="https://fantasy.espn.com/football/boxscore?leagueId=88024&amp;matchupPeriodId=13&amp;scoringPeriodId=13&amp;seasonId=2023&amp;teamId=12&amp;view=scoringperiod" TargetMode="External"/><Relationship Id="rId560" Type="http://schemas.openxmlformats.org/officeDocument/2006/relationships/hyperlink" Target="https://fantasy.espn.com/football/boxscore?leagueId=88024&amp;matchupPeriodId=13&amp;scoringPeriodId=13&amp;seasonId=2023&amp;teamId=4&amp;view=scoringperiod" TargetMode="External"/><Relationship Id="rId323" Type="http://schemas.openxmlformats.org/officeDocument/2006/relationships/hyperlink" Target="https://fantasy.espn.com/football/boxscore?leagueId=88024&amp;matchupPeriodId=11&amp;scoringPeriodId=11&amp;seasonId=2022&amp;teamId=3&amp;view=scoringperiod" TargetMode="External"/><Relationship Id="rId565" Type="http://schemas.openxmlformats.org/officeDocument/2006/relationships/hyperlink" Target="https://fantasy.espn.com/football/boxscore?leagueId=88024&amp;matchupPeriodId=14&amp;scoringPeriodId=14&amp;seasonId=2023&amp;teamId=6&amp;view=scoringperiod" TargetMode="External"/><Relationship Id="rId322" Type="http://schemas.openxmlformats.org/officeDocument/2006/relationships/hyperlink" Target="https://fantasy.espn.com/football/boxscore?leagueId=88024&amp;matchupPeriodId=10&amp;scoringPeriodId=10&amp;seasonId=2022&amp;teamId=7&amp;view=scoringperiod" TargetMode="External"/><Relationship Id="rId564" Type="http://schemas.openxmlformats.org/officeDocument/2006/relationships/hyperlink" Target="https://fantasy.espn.com/football/boxscore?leagueId=88024&amp;matchupPeriodId=13&amp;scoringPeriodId=13&amp;seasonId=2023&amp;teamId=11&amp;view=scoringperiod" TargetMode="External"/><Relationship Id="rId321" Type="http://schemas.openxmlformats.org/officeDocument/2006/relationships/hyperlink" Target="https://fantasy.espn.com/football/boxscore?leagueId=88024&amp;matchupPeriodId=10&amp;scoringPeriodId=10&amp;seasonId=2022&amp;teamId=7&amp;view=scoringperiod" TargetMode="External"/><Relationship Id="rId563" Type="http://schemas.openxmlformats.org/officeDocument/2006/relationships/hyperlink" Target="https://fantasy.espn.com/football/boxscore?leagueId=88024&amp;matchupPeriodId=13&amp;scoringPeriodId=13&amp;seasonId=2023&amp;teamId=11&amp;view=scoringperiod" TargetMode="External"/><Relationship Id="rId320" Type="http://schemas.openxmlformats.org/officeDocument/2006/relationships/hyperlink" Target="https://fantasy.espn.com/football/boxscore?leagueId=88024&amp;matchupPeriodId=10&amp;scoringPeriodId=10&amp;seasonId=2022&amp;teamId=5&amp;view=scoringperiod" TargetMode="External"/><Relationship Id="rId562" Type="http://schemas.openxmlformats.org/officeDocument/2006/relationships/hyperlink" Target="https://fantasy.espn.com/football/boxscore?leagueId=88024&amp;matchupPeriodId=13&amp;scoringPeriodId=13&amp;seasonId=2023&amp;teamId=12&amp;view=scoringperiod" TargetMode="External"/><Relationship Id="rId316" Type="http://schemas.openxmlformats.org/officeDocument/2006/relationships/hyperlink" Target="https://fantasy.espn.com/football/boxscore?leagueId=88024&amp;matchupPeriodId=10&amp;scoringPeriodId=10&amp;seasonId=2022&amp;teamId=4&amp;view=scoringperiod" TargetMode="External"/><Relationship Id="rId558" Type="http://schemas.openxmlformats.org/officeDocument/2006/relationships/hyperlink" Target="https://fantasy.espn.com/football/boxscore?leagueId=88024&amp;matchupPeriodId=13&amp;scoringPeriodId=13&amp;seasonId=2023&amp;teamId=1&amp;view=scoringperiod" TargetMode="External"/><Relationship Id="rId315" Type="http://schemas.openxmlformats.org/officeDocument/2006/relationships/hyperlink" Target="https://fantasy.espn.com/football/boxscore?leagueId=88024&amp;matchupPeriodId=10&amp;scoringPeriodId=10&amp;seasonId=2022&amp;teamId=4&amp;view=scoringperiod" TargetMode="External"/><Relationship Id="rId557" Type="http://schemas.openxmlformats.org/officeDocument/2006/relationships/hyperlink" Target="https://fantasy.espn.com/football/boxscore?leagueId=88024&amp;matchupPeriodId=13&amp;scoringPeriodId=13&amp;seasonId=2023&amp;teamId=1&amp;view=scoringperiod" TargetMode="External"/><Relationship Id="rId799" Type="http://schemas.openxmlformats.org/officeDocument/2006/relationships/hyperlink" Target="https://fantasy.espn.com/football/boxscore?leagueId=88024&amp;matchupPeriodId=16&amp;scoringPeriodId=16&amp;seasonId=2024&amp;teamId=3&amp;view=scoringperiod" TargetMode="External"/><Relationship Id="rId314" Type="http://schemas.openxmlformats.org/officeDocument/2006/relationships/hyperlink" Target="https://fantasy.espn.com/football/boxscore?leagueId=88024&amp;matchupPeriodId=10&amp;scoringPeriodId=10&amp;seasonId=2022&amp;teamId=1&amp;view=scoringperiod" TargetMode="External"/><Relationship Id="rId556" Type="http://schemas.openxmlformats.org/officeDocument/2006/relationships/hyperlink" Target="https://fantasy.espn.com/football/boxscore?leagueId=88024&amp;matchupPeriodId=13&amp;scoringPeriodId=13&amp;seasonId=2023&amp;teamId=6&amp;view=scoringperiod" TargetMode="External"/><Relationship Id="rId798" Type="http://schemas.openxmlformats.org/officeDocument/2006/relationships/hyperlink" Target="https://fantasy.espn.com/football/boxscore?leagueId=88024&amp;matchupPeriodId=16&amp;scoringPeriodId=16&amp;seasonId=2024&amp;teamId=10&amp;view=scoringperiod" TargetMode="External"/><Relationship Id="rId313" Type="http://schemas.openxmlformats.org/officeDocument/2006/relationships/hyperlink" Target="https://fantasy.espn.com/football/boxscore?leagueId=88024&amp;matchupPeriodId=10&amp;scoringPeriodId=10&amp;seasonId=2022&amp;teamId=1&amp;view=scoringperiod" TargetMode="External"/><Relationship Id="rId555" Type="http://schemas.openxmlformats.org/officeDocument/2006/relationships/hyperlink" Target="https://fantasy.espn.com/football/boxscore?leagueId=88024&amp;matchupPeriodId=13&amp;scoringPeriodId=13&amp;seasonId=2023&amp;teamId=6&amp;view=scoringperiod" TargetMode="External"/><Relationship Id="rId797" Type="http://schemas.openxmlformats.org/officeDocument/2006/relationships/hyperlink" Target="https://fantasy.espn.com/football/boxscore?leagueId=88024&amp;matchupPeriodId=16&amp;scoringPeriodId=16&amp;seasonId=2024&amp;teamId=10&amp;view=scoringperiod" TargetMode="External"/><Relationship Id="rId319" Type="http://schemas.openxmlformats.org/officeDocument/2006/relationships/hyperlink" Target="https://fantasy.espn.com/football/boxscore?leagueId=88024&amp;matchupPeriodId=10&amp;scoringPeriodId=10&amp;seasonId=2022&amp;teamId=5&amp;view=scoringperiod" TargetMode="External"/><Relationship Id="rId318" Type="http://schemas.openxmlformats.org/officeDocument/2006/relationships/hyperlink" Target="https://fantasy.espn.com/football/boxscore?leagueId=88024&amp;matchupPeriodId=10&amp;scoringPeriodId=10&amp;seasonId=2022&amp;teamId=2&amp;view=scoringperiod" TargetMode="External"/><Relationship Id="rId317" Type="http://schemas.openxmlformats.org/officeDocument/2006/relationships/hyperlink" Target="https://fantasy.espn.com/football/boxscore?leagueId=88024&amp;matchupPeriodId=10&amp;scoringPeriodId=10&amp;seasonId=2022&amp;teamId=2&amp;view=scoringperiod" TargetMode="External"/><Relationship Id="rId559" Type="http://schemas.openxmlformats.org/officeDocument/2006/relationships/hyperlink" Target="https://fantasy.espn.com/football/boxscore?leagueId=88024&amp;matchupPeriodId=13&amp;scoringPeriodId=13&amp;seasonId=2023&amp;teamId=4&amp;view=scoringperiod" TargetMode="External"/><Relationship Id="rId550" Type="http://schemas.openxmlformats.org/officeDocument/2006/relationships/hyperlink" Target="https://fantasy.espn.com/football/boxscore?leagueId=88024&amp;matchupPeriodId=12&amp;scoringPeriodId=12&amp;seasonId=2023&amp;teamId=2&amp;view=scoringperiod" TargetMode="External"/><Relationship Id="rId792" Type="http://schemas.openxmlformats.org/officeDocument/2006/relationships/hyperlink" Target="https://fantasy.espn.com/football/boxscore?leagueId=88024&amp;matchupPeriodId=16&amp;scoringPeriodId=16&amp;seasonId=2024&amp;teamId=6&amp;view=scoringperiod" TargetMode="External"/><Relationship Id="rId791" Type="http://schemas.openxmlformats.org/officeDocument/2006/relationships/hyperlink" Target="https://fantasy.espn.com/football/boxscore?leagueId=88024&amp;matchupPeriodId=16&amp;scoringPeriodId=16&amp;seasonId=2024&amp;teamId=6&amp;view=scoringperiod" TargetMode="External"/><Relationship Id="rId790" Type="http://schemas.openxmlformats.org/officeDocument/2006/relationships/hyperlink" Target="https://fantasy.espn.com/football/boxscore?leagueId=88024&amp;matchupPeriodId=16&amp;scoringPeriodId=16&amp;seasonId=2024&amp;teamId=1&amp;view=scoringperiod" TargetMode="External"/><Relationship Id="rId312" Type="http://schemas.openxmlformats.org/officeDocument/2006/relationships/hyperlink" Target="https://fantasy.espn.com/football/boxscore?leagueId=88024&amp;matchupPeriodId=10&amp;scoringPeriodId=10&amp;seasonId=2022&amp;teamId=9&amp;view=scoringperiod" TargetMode="External"/><Relationship Id="rId554" Type="http://schemas.openxmlformats.org/officeDocument/2006/relationships/hyperlink" Target="https://fantasy.espn.com/football/boxscore?leagueId=88024&amp;matchupPeriodId=13&amp;scoringPeriodId=13&amp;seasonId=2023&amp;teamId=7&amp;view=scoringperiod" TargetMode="External"/><Relationship Id="rId796" Type="http://schemas.openxmlformats.org/officeDocument/2006/relationships/hyperlink" Target="https://fantasy.espn.com/football/boxscore?leagueId=88024&amp;matchupPeriodId=16&amp;scoringPeriodId=16&amp;seasonId=2024&amp;teamId=6&amp;view=scoringperiod" TargetMode="External"/><Relationship Id="rId311" Type="http://schemas.openxmlformats.org/officeDocument/2006/relationships/hyperlink" Target="https://fantasy.espn.com/football/boxscore?leagueId=88024&amp;matchupPeriodId=10&amp;scoringPeriodId=10&amp;seasonId=2022&amp;teamId=9&amp;view=scoringperiod" TargetMode="External"/><Relationship Id="rId553" Type="http://schemas.openxmlformats.org/officeDocument/2006/relationships/hyperlink" Target="https://fantasy.espn.com/football/boxscore?leagueId=88024&amp;matchupPeriodId=13&amp;scoringPeriodId=13&amp;seasonId=2023&amp;teamId=7&amp;view=scoringperiod" TargetMode="External"/><Relationship Id="rId795" Type="http://schemas.openxmlformats.org/officeDocument/2006/relationships/hyperlink" Target="https://fantasy.espn.com/football/boxscore?leagueId=88024&amp;matchupPeriodId=16&amp;scoringPeriodId=16&amp;seasonId=2024&amp;teamId=6&amp;view=scoringperiod" TargetMode="External"/><Relationship Id="rId310" Type="http://schemas.openxmlformats.org/officeDocument/2006/relationships/hyperlink" Target="https://fantasy.espn.com/football/boxscore?leagueId=88024&amp;matchupPeriodId=9&amp;scoringPeriodId=9&amp;seasonId=2022&amp;teamId=12&amp;view=scoringperiod" TargetMode="External"/><Relationship Id="rId552" Type="http://schemas.openxmlformats.org/officeDocument/2006/relationships/hyperlink" Target="https://fantasy.espn.com/football/boxscore?leagueId=88024&amp;matchupPeriodId=12&amp;scoringPeriodId=12&amp;seasonId=2023&amp;teamId=11&amp;view=scoringperiod" TargetMode="External"/><Relationship Id="rId794" Type="http://schemas.openxmlformats.org/officeDocument/2006/relationships/hyperlink" Target="https://fantasy.espn.com/football/boxscore?leagueId=88024&amp;matchupPeriodId=16&amp;scoringPeriodId=16&amp;seasonId=2024&amp;teamId=1&amp;view=scoringperiod" TargetMode="External"/><Relationship Id="rId551" Type="http://schemas.openxmlformats.org/officeDocument/2006/relationships/hyperlink" Target="https://fantasy.espn.com/football/boxscore?leagueId=88024&amp;matchupPeriodId=12&amp;scoringPeriodId=12&amp;seasonId=2023&amp;teamId=11&amp;view=scoringperiod" TargetMode="External"/><Relationship Id="rId793" Type="http://schemas.openxmlformats.org/officeDocument/2006/relationships/hyperlink" Target="https://fantasy.espn.com/football/boxscore?leagueId=88024&amp;matchupPeriodId=16&amp;scoringPeriodId=16&amp;seasonId=2024&amp;teamId=1&amp;view=scoringperiod" TargetMode="External"/><Relationship Id="rId297" Type="http://schemas.openxmlformats.org/officeDocument/2006/relationships/hyperlink" Target="https://fantasy.espn.com/football/boxscore?leagueId=88024&amp;matchupPeriodId=8&amp;scoringPeriodId=8&amp;seasonId=2022&amp;teamId=12&amp;view=scoringperiod" TargetMode="External"/><Relationship Id="rId296" Type="http://schemas.openxmlformats.org/officeDocument/2006/relationships/hyperlink" Target="https://fantasy.espn.com/football/boxscore?leagueId=88024&amp;matchupPeriodId=8&amp;scoringPeriodId=8&amp;seasonId=2022&amp;teamId=8&amp;view=scoringperiod" TargetMode="External"/><Relationship Id="rId295" Type="http://schemas.openxmlformats.org/officeDocument/2006/relationships/hyperlink" Target="https://fantasy.espn.com/football/boxscore?leagueId=88024&amp;matchupPeriodId=8&amp;scoringPeriodId=8&amp;seasonId=2022&amp;teamId=8&amp;view=scoringperiod" TargetMode="External"/><Relationship Id="rId294" Type="http://schemas.openxmlformats.org/officeDocument/2006/relationships/hyperlink" Target="https://fantasy.espn.com/football/boxscore?leagueId=88024&amp;matchupPeriodId=8&amp;scoringPeriodId=8&amp;seasonId=2022&amp;teamId=7&amp;view=scoringperiod" TargetMode="External"/><Relationship Id="rId299" Type="http://schemas.openxmlformats.org/officeDocument/2006/relationships/hyperlink" Target="https://fantasy.espn.com/football/boxscore?leagueId=88024&amp;matchupPeriodId=9&amp;scoringPeriodId=9&amp;seasonId=2022&amp;teamId=3&amp;view=scoringperiod" TargetMode="External"/><Relationship Id="rId298" Type="http://schemas.openxmlformats.org/officeDocument/2006/relationships/hyperlink" Target="https://fantasy.espn.com/football/boxscore?leagueId=88024&amp;matchupPeriodId=8&amp;scoringPeriodId=8&amp;seasonId=2022&amp;teamId=12&amp;view=scoringperiod" TargetMode="External"/><Relationship Id="rId271" Type="http://schemas.openxmlformats.org/officeDocument/2006/relationships/hyperlink" Target="https://fantasy.espn.com/football/boxscore?leagueId=88024&amp;matchupPeriodId=6&amp;scoringPeriodId=6&amp;seasonId=2022&amp;teamId=6&amp;view=scoringperiod" TargetMode="External"/><Relationship Id="rId270" Type="http://schemas.openxmlformats.org/officeDocument/2006/relationships/hyperlink" Target="https://fantasy.espn.com/football/boxscore?leagueId=88024&amp;matchupPeriodId=6&amp;scoringPeriodId=6&amp;seasonId=2022&amp;teamId=12&amp;view=scoringperiod" TargetMode="External"/><Relationship Id="rId269" Type="http://schemas.openxmlformats.org/officeDocument/2006/relationships/hyperlink" Target="https://fantasy.espn.com/football/boxscore?leagueId=88024&amp;matchupPeriodId=6&amp;scoringPeriodId=6&amp;seasonId=2022&amp;teamId=12&amp;view=scoringperiod" TargetMode="External"/><Relationship Id="rId264" Type="http://schemas.openxmlformats.org/officeDocument/2006/relationships/hyperlink" Target="https://fantasy.espn.com/football/boxscore?leagueId=88024&amp;matchupPeriodId=6&amp;scoringPeriodId=6&amp;seasonId=2022&amp;teamId=5&amp;view=scoringperiod" TargetMode="External"/><Relationship Id="rId263" Type="http://schemas.openxmlformats.org/officeDocument/2006/relationships/hyperlink" Target="https://fantasy.espn.com/football/boxscore?leagueId=88024&amp;matchupPeriodId=6&amp;scoringPeriodId=6&amp;seasonId=2022&amp;teamId=5&amp;view=scoringperiod" TargetMode="External"/><Relationship Id="rId262" Type="http://schemas.openxmlformats.org/officeDocument/2006/relationships/hyperlink" Target="https://fantasy.espn.com/football/boxscore?leagueId=88024&amp;matchupPeriodId=5&amp;scoringPeriodId=5&amp;seasonId=2022&amp;teamId=9&amp;view=scoringperiod" TargetMode="External"/><Relationship Id="rId261" Type="http://schemas.openxmlformats.org/officeDocument/2006/relationships/hyperlink" Target="https://fantasy.espn.com/football/boxscore?leagueId=88024&amp;matchupPeriodId=5&amp;scoringPeriodId=5&amp;seasonId=2022&amp;teamId=9&amp;view=scoringperiod" TargetMode="External"/><Relationship Id="rId268" Type="http://schemas.openxmlformats.org/officeDocument/2006/relationships/hyperlink" Target="https://fantasy.espn.com/football/boxscore?leagueId=88024&amp;matchupPeriodId=6&amp;scoringPeriodId=6&amp;seasonId=2022&amp;teamId=8&amp;view=scoringperiod" TargetMode="External"/><Relationship Id="rId267" Type="http://schemas.openxmlformats.org/officeDocument/2006/relationships/hyperlink" Target="https://fantasy.espn.com/football/boxscore?leagueId=88024&amp;matchupPeriodId=6&amp;scoringPeriodId=6&amp;seasonId=2022&amp;teamId=8&amp;view=scoringperiod" TargetMode="External"/><Relationship Id="rId266" Type="http://schemas.openxmlformats.org/officeDocument/2006/relationships/hyperlink" Target="https://fantasy.espn.com/football/boxscore?leagueId=88024&amp;matchupPeriodId=6&amp;scoringPeriodId=6&amp;seasonId=2022&amp;teamId=7&amp;view=scoringperiod" TargetMode="External"/><Relationship Id="rId265" Type="http://schemas.openxmlformats.org/officeDocument/2006/relationships/hyperlink" Target="https://fantasy.espn.com/football/boxscore?leagueId=88024&amp;matchupPeriodId=6&amp;scoringPeriodId=6&amp;seasonId=2022&amp;teamId=7&amp;view=scoringperiod" TargetMode="External"/><Relationship Id="rId260" Type="http://schemas.openxmlformats.org/officeDocument/2006/relationships/hyperlink" Target="https://fantasy.espn.com/football/boxscore?leagueId=88024&amp;matchupPeriodId=5&amp;scoringPeriodId=5&amp;seasonId=2022&amp;teamId=1&amp;view=scoringperiod" TargetMode="External"/><Relationship Id="rId259" Type="http://schemas.openxmlformats.org/officeDocument/2006/relationships/hyperlink" Target="https://fantasy.espn.com/football/boxscore?leagueId=88024&amp;matchupPeriodId=5&amp;scoringPeriodId=5&amp;seasonId=2022&amp;teamId=1&amp;view=scoringperiod" TargetMode="External"/><Relationship Id="rId258" Type="http://schemas.openxmlformats.org/officeDocument/2006/relationships/hyperlink" Target="https://fantasy.espn.com/football/boxscore?leagueId=88024&amp;matchupPeriodId=5&amp;scoringPeriodId=5&amp;seasonId=2022&amp;teamId=4&amp;view=scoringperiod" TargetMode="External"/><Relationship Id="rId253" Type="http://schemas.openxmlformats.org/officeDocument/2006/relationships/hyperlink" Target="https://fantasy.espn.com/football/boxscore?leagueId=88024&amp;matchupPeriodId=5&amp;scoringPeriodId=5&amp;seasonId=2022&amp;teamId=5&amp;view=scoringperiod" TargetMode="External"/><Relationship Id="rId495" Type="http://schemas.openxmlformats.org/officeDocument/2006/relationships/hyperlink" Target="https://fantasy.espn.com/football/boxscore?leagueId=88024&amp;matchupPeriodId=8&amp;scoringPeriodId=8&amp;seasonId=2023&amp;teamId=11&amp;view=scoringperiod" TargetMode="External"/><Relationship Id="rId252" Type="http://schemas.openxmlformats.org/officeDocument/2006/relationships/hyperlink" Target="https://fantasy.espn.com/football/boxscore?leagueId=88024&amp;matchupPeriodId=5&amp;scoringPeriodId=5&amp;seasonId=2022&amp;teamId=3&amp;view=scoringperiod" TargetMode="External"/><Relationship Id="rId494" Type="http://schemas.openxmlformats.org/officeDocument/2006/relationships/hyperlink" Target="https://fantasy.espn.com/football/boxscore?leagueId=88024&amp;matchupPeriodId=8&amp;scoringPeriodId=8&amp;seasonId=2023&amp;teamId=2&amp;view=scoringperiod" TargetMode="External"/><Relationship Id="rId251" Type="http://schemas.openxmlformats.org/officeDocument/2006/relationships/hyperlink" Target="https://fantasy.espn.com/football/boxscore?leagueId=88024&amp;matchupPeriodId=5&amp;scoringPeriodId=5&amp;seasonId=2022&amp;teamId=3&amp;view=scoringperiod" TargetMode="External"/><Relationship Id="rId493" Type="http://schemas.openxmlformats.org/officeDocument/2006/relationships/hyperlink" Target="https://fantasy.espn.com/football/boxscore?leagueId=88024&amp;matchupPeriodId=8&amp;scoringPeriodId=8&amp;seasonId=2023&amp;teamId=2&amp;view=scoringperiod" TargetMode="External"/><Relationship Id="rId250" Type="http://schemas.openxmlformats.org/officeDocument/2006/relationships/hyperlink" Target="https://fantasy.espn.com/football/boxscore?leagueId=88024&amp;matchupPeriodId=4&amp;scoringPeriodId=4&amp;seasonId=2022&amp;teamId=9&amp;view=scoringperiod" TargetMode="External"/><Relationship Id="rId492" Type="http://schemas.openxmlformats.org/officeDocument/2006/relationships/hyperlink" Target="https://fantasy.espn.com/football/boxscore?leagueId=88024&amp;matchupPeriodId=7&amp;scoringPeriodId=7&amp;seasonId=2023&amp;teamId=8&amp;view=scoringperiod" TargetMode="External"/><Relationship Id="rId257" Type="http://schemas.openxmlformats.org/officeDocument/2006/relationships/hyperlink" Target="https://fantasy.espn.com/football/boxscore?leagueId=88024&amp;matchupPeriodId=5&amp;scoringPeriodId=5&amp;seasonId=2022&amp;teamId=4&amp;view=scoringperiod" TargetMode="External"/><Relationship Id="rId499" Type="http://schemas.openxmlformats.org/officeDocument/2006/relationships/hyperlink" Target="https://fantasy.espn.com/football/boxscore?leagueId=88024&amp;matchupPeriodId=8&amp;scoringPeriodId=8&amp;seasonId=2023&amp;teamId=4&amp;view=scoringperiod" TargetMode="External"/><Relationship Id="rId256" Type="http://schemas.openxmlformats.org/officeDocument/2006/relationships/hyperlink" Target="https://fantasy.espn.com/football/boxscore?leagueId=88024&amp;matchupPeriodId=5&amp;scoringPeriodId=5&amp;seasonId=2022&amp;teamId=2&amp;view=scoringperiod" TargetMode="External"/><Relationship Id="rId498" Type="http://schemas.openxmlformats.org/officeDocument/2006/relationships/hyperlink" Target="https://fantasy.espn.com/football/boxscore?leagueId=88024&amp;matchupPeriodId=8&amp;scoringPeriodId=8&amp;seasonId=2023&amp;teamId=12&amp;view=scoringperiod" TargetMode="External"/><Relationship Id="rId255" Type="http://schemas.openxmlformats.org/officeDocument/2006/relationships/hyperlink" Target="https://fantasy.espn.com/football/boxscore?leagueId=88024&amp;matchupPeriodId=5&amp;scoringPeriodId=5&amp;seasonId=2022&amp;teamId=2&amp;view=scoringperiod" TargetMode="External"/><Relationship Id="rId497" Type="http://schemas.openxmlformats.org/officeDocument/2006/relationships/hyperlink" Target="https://fantasy.espn.com/football/boxscore?leagueId=88024&amp;matchupPeriodId=8&amp;scoringPeriodId=8&amp;seasonId=2023&amp;teamId=12&amp;view=scoringperiod" TargetMode="External"/><Relationship Id="rId254" Type="http://schemas.openxmlformats.org/officeDocument/2006/relationships/hyperlink" Target="https://fantasy.espn.com/football/boxscore?leagueId=88024&amp;matchupPeriodId=5&amp;scoringPeriodId=5&amp;seasonId=2022&amp;teamId=5&amp;view=scoringperiod" TargetMode="External"/><Relationship Id="rId496" Type="http://schemas.openxmlformats.org/officeDocument/2006/relationships/hyperlink" Target="https://fantasy.espn.com/football/boxscore?leagueId=88024&amp;matchupPeriodId=8&amp;scoringPeriodId=8&amp;seasonId=2023&amp;teamId=11&amp;view=scoringperiod" TargetMode="External"/><Relationship Id="rId293" Type="http://schemas.openxmlformats.org/officeDocument/2006/relationships/hyperlink" Target="https://fantasy.espn.com/football/boxscore?leagueId=88024&amp;matchupPeriodId=8&amp;scoringPeriodId=8&amp;seasonId=2022&amp;teamId=7&amp;view=scoringperiod" TargetMode="External"/><Relationship Id="rId292" Type="http://schemas.openxmlformats.org/officeDocument/2006/relationships/hyperlink" Target="https://fantasy.espn.com/football/boxscore?leagueId=88024&amp;matchupPeriodId=8&amp;scoringPeriodId=8&amp;seasonId=2022&amp;teamId=5&amp;view=scoringperiod" TargetMode="External"/><Relationship Id="rId291" Type="http://schemas.openxmlformats.org/officeDocument/2006/relationships/hyperlink" Target="https://fantasy.espn.com/football/boxscore?leagueId=88024&amp;matchupPeriodId=8&amp;scoringPeriodId=8&amp;seasonId=2022&amp;teamId=5&amp;view=scoringperiod" TargetMode="External"/><Relationship Id="rId290" Type="http://schemas.openxmlformats.org/officeDocument/2006/relationships/hyperlink" Target="https://fantasy.espn.com/football/boxscore?leagueId=88024&amp;matchupPeriodId=8&amp;scoringPeriodId=8&amp;seasonId=2022&amp;teamId=2&amp;view=scoringperiod" TargetMode="External"/><Relationship Id="rId286" Type="http://schemas.openxmlformats.org/officeDocument/2006/relationships/hyperlink" Target="https://fantasy.espn.com/football/boxscore?leagueId=88024&amp;matchupPeriodId=7&amp;scoringPeriodId=7&amp;seasonId=2022&amp;teamId=11&amp;view=scoringperiod" TargetMode="External"/><Relationship Id="rId285" Type="http://schemas.openxmlformats.org/officeDocument/2006/relationships/hyperlink" Target="https://fantasy.espn.com/football/boxscore?leagueId=88024&amp;matchupPeriodId=7&amp;scoringPeriodId=7&amp;seasonId=2022&amp;teamId=11&amp;view=scoringperiod" TargetMode="External"/><Relationship Id="rId284" Type="http://schemas.openxmlformats.org/officeDocument/2006/relationships/hyperlink" Target="https://fantasy.espn.com/football/boxscore?leagueId=88024&amp;matchupPeriodId=7&amp;scoringPeriodId=7&amp;seasonId=2022&amp;teamId=10&amp;view=scoringperiod" TargetMode="External"/><Relationship Id="rId283" Type="http://schemas.openxmlformats.org/officeDocument/2006/relationships/hyperlink" Target="https://fantasy.espn.com/football/boxscore?leagueId=88024&amp;matchupPeriodId=7&amp;scoringPeriodId=7&amp;seasonId=2022&amp;teamId=10&amp;view=scoringperiod" TargetMode="External"/><Relationship Id="rId289" Type="http://schemas.openxmlformats.org/officeDocument/2006/relationships/hyperlink" Target="https://fantasy.espn.com/football/boxscore?leagueId=88024&amp;matchupPeriodId=8&amp;scoringPeriodId=8&amp;seasonId=2022&amp;teamId=2&amp;view=scoringperiod" TargetMode="External"/><Relationship Id="rId288" Type="http://schemas.openxmlformats.org/officeDocument/2006/relationships/hyperlink" Target="https://fantasy.espn.com/football/boxscore?leagueId=88024&amp;matchupPeriodId=8&amp;scoringPeriodId=8&amp;seasonId=2022&amp;teamId=4&amp;view=scoringperiod" TargetMode="External"/><Relationship Id="rId287" Type="http://schemas.openxmlformats.org/officeDocument/2006/relationships/hyperlink" Target="https://fantasy.espn.com/football/boxscore?leagueId=88024&amp;matchupPeriodId=8&amp;scoringPeriodId=8&amp;seasonId=2022&amp;teamId=4&amp;view=scoringperiod" TargetMode="External"/><Relationship Id="rId282" Type="http://schemas.openxmlformats.org/officeDocument/2006/relationships/hyperlink" Target="https://fantasy.espn.com/football/boxscore?leagueId=88024&amp;matchupPeriodId=7&amp;scoringPeriodId=7&amp;seasonId=2022&amp;teamId=9&amp;view=scoringperiod" TargetMode="External"/><Relationship Id="rId281" Type="http://schemas.openxmlformats.org/officeDocument/2006/relationships/hyperlink" Target="https://fantasy.espn.com/football/boxscore?leagueId=88024&amp;matchupPeriodId=7&amp;scoringPeriodId=7&amp;seasonId=2022&amp;teamId=9&amp;view=scoringperiod" TargetMode="External"/><Relationship Id="rId280" Type="http://schemas.openxmlformats.org/officeDocument/2006/relationships/hyperlink" Target="https://fantasy.espn.com/football/boxscore?leagueId=88024&amp;matchupPeriodId=7&amp;scoringPeriodId=7&amp;seasonId=2022&amp;teamId=1&amp;view=scoringperiod" TargetMode="External"/><Relationship Id="rId275" Type="http://schemas.openxmlformats.org/officeDocument/2006/relationships/hyperlink" Target="https://fantasy.espn.com/football/boxscore?leagueId=88024&amp;matchupPeriodId=7&amp;scoringPeriodId=7&amp;seasonId=2022&amp;teamId=3&amp;view=scoringperiod" TargetMode="External"/><Relationship Id="rId274" Type="http://schemas.openxmlformats.org/officeDocument/2006/relationships/hyperlink" Target="https://fantasy.espn.com/football/boxscore?leagueId=88024&amp;matchupPeriodId=6&amp;scoringPeriodId=6&amp;seasonId=2022&amp;teamId=11&amp;view=scoringperiod" TargetMode="External"/><Relationship Id="rId273" Type="http://schemas.openxmlformats.org/officeDocument/2006/relationships/hyperlink" Target="https://fantasy.espn.com/football/boxscore?leagueId=88024&amp;matchupPeriodId=6&amp;scoringPeriodId=6&amp;seasonId=2022&amp;teamId=11&amp;view=scoringperiod" TargetMode="External"/><Relationship Id="rId272" Type="http://schemas.openxmlformats.org/officeDocument/2006/relationships/hyperlink" Target="https://fantasy.espn.com/football/boxscore?leagueId=88024&amp;matchupPeriodId=6&amp;scoringPeriodId=6&amp;seasonId=2022&amp;teamId=6&amp;view=scoringperiod" TargetMode="External"/><Relationship Id="rId279" Type="http://schemas.openxmlformats.org/officeDocument/2006/relationships/hyperlink" Target="https://fantasy.espn.com/football/boxscore?leagueId=88024&amp;matchupPeriodId=7&amp;scoringPeriodId=7&amp;seasonId=2022&amp;teamId=1&amp;view=scoringperiod" TargetMode="External"/><Relationship Id="rId278" Type="http://schemas.openxmlformats.org/officeDocument/2006/relationships/hyperlink" Target="https://fantasy.espn.com/football/boxscore?leagueId=88024&amp;matchupPeriodId=7&amp;scoringPeriodId=7&amp;seasonId=2022&amp;teamId=4&amp;view=scoringperiod" TargetMode="External"/><Relationship Id="rId277" Type="http://schemas.openxmlformats.org/officeDocument/2006/relationships/hyperlink" Target="https://fantasy.espn.com/football/boxscore?leagueId=88024&amp;matchupPeriodId=7&amp;scoringPeriodId=7&amp;seasonId=2022&amp;teamId=4&amp;view=scoringperiod" TargetMode="External"/><Relationship Id="rId276" Type="http://schemas.openxmlformats.org/officeDocument/2006/relationships/hyperlink" Target="https://fantasy.espn.com/football/boxscore?leagueId=88024&amp;matchupPeriodId=7&amp;scoringPeriodId=7&amp;seasonId=2022&amp;teamId=3&amp;view=scoringperiod" TargetMode="External"/><Relationship Id="rId907" Type="http://schemas.openxmlformats.org/officeDocument/2006/relationships/hyperlink" Target="https://fantasy.espn.com/football/boxscore?leagueId=88024&amp;matchupPeriodId=8&amp;scoringPeriodId=8&amp;seasonId=2025&amp;teamId=1&amp;view=scoringperiod" TargetMode="External"/><Relationship Id="rId906" Type="http://schemas.openxmlformats.org/officeDocument/2006/relationships/hyperlink" Target="https://fantasy.espn.com/football/boxscore?leagueId=88024&amp;matchupPeriodId=8&amp;scoringPeriodId=8&amp;seasonId=2025&amp;teamId=7&amp;view=scoringperiod" TargetMode="External"/><Relationship Id="rId905" Type="http://schemas.openxmlformats.org/officeDocument/2006/relationships/hyperlink" Target="https://fantasy.espn.com/football/boxscore?leagueId=88024&amp;matchupPeriodId=8&amp;scoringPeriodId=8&amp;seasonId=2025&amp;teamId=7&amp;view=scoringperiod" TargetMode="External"/><Relationship Id="rId904" Type="http://schemas.openxmlformats.org/officeDocument/2006/relationships/hyperlink" Target="https://fantasy.espn.com/football/boxscore?leagueId=88024&amp;matchupPeriodId=8&amp;scoringPeriodId=8&amp;seasonId=2025&amp;teamId=12&amp;view=scoringperiod" TargetMode="External"/><Relationship Id="rId909" Type="http://schemas.openxmlformats.org/officeDocument/2006/relationships/hyperlink" Target="https://fantasy.espn.com/football/boxscore?leagueId=88024&amp;matchupPeriodId=8&amp;scoringPeriodId=8&amp;seasonId=2025&amp;teamId=8&amp;view=scoringperiod" TargetMode="External"/><Relationship Id="rId908" Type="http://schemas.openxmlformats.org/officeDocument/2006/relationships/hyperlink" Target="https://fantasy.espn.com/football/boxscore?leagueId=88024&amp;matchupPeriodId=8&amp;scoringPeriodId=8&amp;seasonId=2025&amp;teamId=1&amp;view=scoringperiod" TargetMode="External"/><Relationship Id="rId903" Type="http://schemas.openxmlformats.org/officeDocument/2006/relationships/hyperlink" Target="https://fantasy.espn.com/football/boxscore?leagueId=88024&amp;matchupPeriodId=8&amp;scoringPeriodId=8&amp;seasonId=2025&amp;teamId=12&amp;view=scoringperiod" TargetMode="External"/><Relationship Id="rId902" Type="http://schemas.openxmlformats.org/officeDocument/2006/relationships/hyperlink" Target="https://fantasy.espn.com/football/boxscore?leagueId=88024&amp;matchupPeriodId=8&amp;scoringPeriodId=8&amp;seasonId=2025&amp;teamId=2&amp;view=scoringperiod" TargetMode="External"/><Relationship Id="rId901" Type="http://schemas.openxmlformats.org/officeDocument/2006/relationships/hyperlink" Target="https://fantasy.espn.com/football/boxscore?leagueId=88024&amp;matchupPeriodId=8&amp;scoringPeriodId=8&amp;seasonId=2025&amp;teamId=2&amp;view=scoringperiod" TargetMode="External"/><Relationship Id="rId900" Type="http://schemas.openxmlformats.org/officeDocument/2006/relationships/hyperlink" Target="https://fantasy.espn.com/football/boxscore?leagueId=88024&amp;matchupPeriodId=7&amp;scoringPeriodId=7&amp;seasonId=2025&amp;teamId=10&amp;view=scoringperiod" TargetMode="External"/><Relationship Id="rId929" Type="http://schemas.openxmlformats.org/officeDocument/2006/relationships/hyperlink" Target="https://fantasy.espn.com/football/boxscore?leagueId=88024&amp;matchupPeriodId=10&amp;scoringPeriodId=10&amp;seasonId=2025&amp;teamId=2&amp;view=scoringperiod" TargetMode="External"/><Relationship Id="rId928" Type="http://schemas.openxmlformats.org/officeDocument/2006/relationships/hyperlink" Target="https://fantasy.espn.com/football/boxscore?leagueId=88024&amp;matchupPeriodId=10&amp;scoringPeriodId=10&amp;seasonId=2025&amp;teamId=11&amp;view=scoringperiod" TargetMode="External"/><Relationship Id="rId927" Type="http://schemas.openxmlformats.org/officeDocument/2006/relationships/hyperlink" Target="https://fantasy.espn.com/football/boxscore?leagueId=88024&amp;matchupPeriodId=10&amp;scoringPeriodId=10&amp;seasonId=2025&amp;teamId=11&amp;view=scoringperiod" TargetMode="External"/><Relationship Id="rId926" Type="http://schemas.openxmlformats.org/officeDocument/2006/relationships/hyperlink" Target="https://fantasy.espn.com/football/boxscore?leagueId=88024&amp;matchupPeriodId=10&amp;scoringPeriodId=10&amp;seasonId=2025&amp;teamId=5&amp;view=scoringperiod" TargetMode="External"/><Relationship Id="rId921" Type="http://schemas.openxmlformats.org/officeDocument/2006/relationships/hyperlink" Target="https://fantasy.espn.com/football/boxscore?leagueId=88024&amp;matchupPeriodId=9&amp;scoringPeriodId=9&amp;seasonId=2025&amp;teamId=9&amp;view=scoringperiod" TargetMode="External"/><Relationship Id="rId920" Type="http://schemas.openxmlformats.org/officeDocument/2006/relationships/hyperlink" Target="https://fantasy.espn.com/football/boxscore?leagueId=88024&amp;matchupPeriodId=9&amp;scoringPeriodId=9&amp;seasonId=2025&amp;teamId=10&amp;view=scoringperiod" TargetMode="External"/><Relationship Id="rId925" Type="http://schemas.openxmlformats.org/officeDocument/2006/relationships/hyperlink" Target="https://fantasy.espn.com/football/boxscore?leagueId=88024&amp;matchupPeriodId=10&amp;scoringPeriodId=10&amp;seasonId=2025&amp;teamId=5&amp;view=scoringperiod" TargetMode="External"/><Relationship Id="rId924" Type="http://schemas.openxmlformats.org/officeDocument/2006/relationships/hyperlink" Target="https://fantasy.espn.com/football/boxscore?leagueId=88024&amp;matchupPeriodId=9&amp;scoringPeriodId=9&amp;seasonId=2025&amp;teamId=3&amp;view=scoringperiod" TargetMode="External"/><Relationship Id="rId923" Type="http://schemas.openxmlformats.org/officeDocument/2006/relationships/hyperlink" Target="https://fantasy.espn.com/football/boxscore?leagueId=88024&amp;matchupPeriodId=9&amp;scoringPeriodId=9&amp;seasonId=2025&amp;teamId=3&amp;view=scoringperiod" TargetMode="External"/><Relationship Id="rId922" Type="http://schemas.openxmlformats.org/officeDocument/2006/relationships/hyperlink" Target="https://fantasy.espn.com/football/boxscore?leagueId=88024&amp;matchupPeriodId=9&amp;scoringPeriodId=9&amp;seasonId=2025&amp;teamId=9&amp;view=scoringperiod" TargetMode="External"/><Relationship Id="rId918" Type="http://schemas.openxmlformats.org/officeDocument/2006/relationships/hyperlink" Target="https://fantasy.espn.com/football/boxscore?leagueId=88024&amp;matchupPeriodId=9&amp;scoringPeriodId=9&amp;seasonId=2025&amp;teamId=6&amp;view=scoringperiod" TargetMode="External"/><Relationship Id="rId917" Type="http://schemas.openxmlformats.org/officeDocument/2006/relationships/hyperlink" Target="https://fantasy.espn.com/football/boxscore?leagueId=88024&amp;matchupPeriodId=9&amp;scoringPeriodId=9&amp;seasonId=2025&amp;teamId=6&amp;view=scoringperiod" TargetMode="External"/><Relationship Id="rId916" Type="http://schemas.openxmlformats.org/officeDocument/2006/relationships/hyperlink" Target="https://fantasy.espn.com/football/boxscore?leagueId=88024&amp;matchupPeriodId=9&amp;scoringPeriodId=9&amp;seasonId=2025&amp;teamId=5&amp;view=scoringperiod" TargetMode="External"/><Relationship Id="rId915" Type="http://schemas.openxmlformats.org/officeDocument/2006/relationships/hyperlink" Target="https://fantasy.espn.com/football/boxscore?leagueId=88024&amp;matchupPeriodId=9&amp;scoringPeriodId=9&amp;seasonId=2025&amp;teamId=5&amp;view=scoringperiod" TargetMode="External"/><Relationship Id="rId919" Type="http://schemas.openxmlformats.org/officeDocument/2006/relationships/hyperlink" Target="https://fantasy.espn.com/football/boxscore?leagueId=88024&amp;matchupPeriodId=9&amp;scoringPeriodId=9&amp;seasonId=2025&amp;teamId=10&amp;view=scoringperiod" TargetMode="External"/><Relationship Id="rId910" Type="http://schemas.openxmlformats.org/officeDocument/2006/relationships/hyperlink" Target="https://fantasy.espn.com/football/boxscore?leagueId=88024&amp;matchupPeriodId=8&amp;scoringPeriodId=8&amp;seasonId=2025&amp;teamId=8&amp;view=scoringperiod" TargetMode="External"/><Relationship Id="rId914" Type="http://schemas.openxmlformats.org/officeDocument/2006/relationships/hyperlink" Target="https://fantasy.espn.com/football/boxscore?leagueId=88024&amp;matchupPeriodId=9&amp;scoringPeriodId=9&amp;seasonId=2025&amp;teamId=4&amp;view=scoringperiod" TargetMode="External"/><Relationship Id="rId913" Type="http://schemas.openxmlformats.org/officeDocument/2006/relationships/hyperlink" Target="https://fantasy.espn.com/football/boxscore?leagueId=88024&amp;matchupPeriodId=9&amp;scoringPeriodId=9&amp;seasonId=2025&amp;teamId=4&amp;view=scoringperiod" TargetMode="External"/><Relationship Id="rId912" Type="http://schemas.openxmlformats.org/officeDocument/2006/relationships/hyperlink" Target="https://fantasy.espn.com/football/boxscore?leagueId=88024&amp;matchupPeriodId=8&amp;scoringPeriodId=8&amp;seasonId=2025&amp;teamId=3&amp;view=scoringperiod" TargetMode="External"/><Relationship Id="rId911" Type="http://schemas.openxmlformats.org/officeDocument/2006/relationships/hyperlink" Target="https://fantasy.espn.com/football/boxscore?leagueId=88024&amp;matchupPeriodId=8&amp;scoringPeriodId=8&amp;seasonId=2025&amp;teamId=3&amp;view=scoringperiod" TargetMode="External"/><Relationship Id="rId629" Type="http://schemas.openxmlformats.org/officeDocument/2006/relationships/hyperlink" Target="https://fantasy.espn.com/football/boxscore?leagueId=88024&amp;matchupPeriodId=2&amp;scoringPeriodId=2&amp;seasonId=2024&amp;teamId=2&amp;view=scoringperiod" TargetMode="External"/><Relationship Id="rId624" Type="http://schemas.openxmlformats.org/officeDocument/2006/relationships/hyperlink" Target="https://fantasy.espn.com/football/boxscore?leagueId=88024&amp;matchupPeriodId=2&amp;scoringPeriodId=2&amp;seasonId=2024&amp;teamId=9&amp;view=scoringperiod" TargetMode="External"/><Relationship Id="rId866" Type="http://schemas.openxmlformats.org/officeDocument/2006/relationships/hyperlink" Target="https://fantasy.espn.com/football/boxscore?leagueId=88024&amp;matchupPeriodId=5&amp;scoringPeriodId=5&amp;seasonId=2025&amp;teamId=4&amp;view=scoringperiod" TargetMode="External"/><Relationship Id="rId623" Type="http://schemas.openxmlformats.org/officeDocument/2006/relationships/hyperlink" Target="https://fantasy.espn.com/football/boxscore?leagueId=88024&amp;matchupPeriodId=2&amp;scoringPeriodId=2&amp;seasonId=2024&amp;teamId=9&amp;view=scoringperiod" TargetMode="External"/><Relationship Id="rId865" Type="http://schemas.openxmlformats.org/officeDocument/2006/relationships/hyperlink" Target="https://fantasy.espn.com/football/boxscore?leagueId=88024&amp;matchupPeriodId=5&amp;scoringPeriodId=5&amp;seasonId=2025&amp;teamId=4&amp;view=scoringperiod" TargetMode="External"/><Relationship Id="rId622" Type="http://schemas.openxmlformats.org/officeDocument/2006/relationships/hyperlink" Target="https://fantasy.espn.com/football/boxscore?leagueId=88024&amp;matchupPeriodId=1&amp;scoringPeriodId=1&amp;seasonId=2024&amp;teamId=4&amp;view=scoringperiod" TargetMode="External"/><Relationship Id="rId864" Type="http://schemas.openxmlformats.org/officeDocument/2006/relationships/hyperlink" Target="https://fantasy.espn.com/football/boxscore?leagueId=88024&amp;matchupPeriodId=4&amp;scoringPeriodId=4&amp;seasonId=2025&amp;teamId=5&amp;view=scoringperiod" TargetMode="External"/><Relationship Id="rId621" Type="http://schemas.openxmlformats.org/officeDocument/2006/relationships/hyperlink" Target="https://fantasy.espn.com/football/boxscore?leagueId=88024&amp;matchupPeriodId=1&amp;scoringPeriodId=1&amp;seasonId=2024&amp;teamId=4&amp;view=scoringperiod" TargetMode="External"/><Relationship Id="rId863" Type="http://schemas.openxmlformats.org/officeDocument/2006/relationships/hyperlink" Target="https://fantasy.espn.com/football/boxscore?leagueId=88024&amp;matchupPeriodId=4&amp;scoringPeriodId=4&amp;seasonId=2025&amp;teamId=5&amp;view=scoringperiod" TargetMode="External"/><Relationship Id="rId628" Type="http://schemas.openxmlformats.org/officeDocument/2006/relationships/hyperlink" Target="https://fantasy.espn.com/football/boxscore?leagueId=88024&amp;matchupPeriodId=2&amp;scoringPeriodId=2&amp;seasonId=2024&amp;teamId=12&amp;view=scoringperiod" TargetMode="External"/><Relationship Id="rId627" Type="http://schemas.openxmlformats.org/officeDocument/2006/relationships/hyperlink" Target="https://fantasy.espn.com/football/boxscore?leagueId=88024&amp;matchupPeriodId=2&amp;scoringPeriodId=2&amp;seasonId=2024&amp;teamId=12&amp;view=scoringperiod" TargetMode="External"/><Relationship Id="rId869" Type="http://schemas.openxmlformats.org/officeDocument/2006/relationships/hyperlink" Target="https://fantasy.espn.com/football/boxscore?leagueId=88024&amp;matchupPeriodId=5&amp;scoringPeriodId=5&amp;seasonId=2025&amp;teamId=12&amp;view=scoringperiod" TargetMode="External"/><Relationship Id="rId626" Type="http://schemas.openxmlformats.org/officeDocument/2006/relationships/hyperlink" Target="https://fantasy.espn.com/football/boxscore?leagueId=88024&amp;matchupPeriodId=2&amp;scoringPeriodId=2&amp;seasonId=2024&amp;teamId=3&amp;view=scoringperiod" TargetMode="External"/><Relationship Id="rId868" Type="http://schemas.openxmlformats.org/officeDocument/2006/relationships/hyperlink" Target="https://fantasy.espn.com/football/boxscore?leagueId=88024&amp;matchupPeriodId=5&amp;scoringPeriodId=5&amp;seasonId=2025&amp;teamId=7&amp;view=scoringperiod" TargetMode="External"/><Relationship Id="rId625" Type="http://schemas.openxmlformats.org/officeDocument/2006/relationships/hyperlink" Target="https://fantasy.espn.com/football/boxscore?leagueId=88024&amp;matchupPeriodId=2&amp;scoringPeriodId=2&amp;seasonId=2024&amp;teamId=3&amp;view=scoringperiod" TargetMode="External"/><Relationship Id="rId867" Type="http://schemas.openxmlformats.org/officeDocument/2006/relationships/hyperlink" Target="https://fantasy.espn.com/football/boxscore?leagueId=88024&amp;matchupPeriodId=5&amp;scoringPeriodId=5&amp;seasonId=2025&amp;teamId=7&amp;view=scoringperiod" TargetMode="External"/><Relationship Id="rId620" Type="http://schemas.openxmlformats.org/officeDocument/2006/relationships/hyperlink" Target="https://fantasy.espn.com/football/boxscore?leagueId=88024&amp;matchupPeriodId=1&amp;scoringPeriodId=1&amp;seasonId=2024&amp;teamId=1&amp;view=scoringperiod" TargetMode="External"/><Relationship Id="rId862" Type="http://schemas.openxmlformats.org/officeDocument/2006/relationships/hyperlink" Target="https://fantasy.espn.com/football/boxscore?leagueId=88024&amp;matchupPeriodId=4&amp;scoringPeriodId=4&amp;seasonId=2025&amp;teamId=6&amp;view=scoringperiod" TargetMode="External"/><Relationship Id="rId861" Type="http://schemas.openxmlformats.org/officeDocument/2006/relationships/hyperlink" Target="https://fantasy.espn.com/football/boxscore?leagueId=88024&amp;matchupPeriodId=4&amp;scoringPeriodId=4&amp;seasonId=2025&amp;teamId=6&amp;view=scoringperiod" TargetMode="External"/><Relationship Id="rId860" Type="http://schemas.openxmlformats.org/officeDocument/2006/relationships/hyperlink" Target="https://fantasy.espn.com/football/boxscore?leagueId=88024&amp;matchupPeriodId=4&amp;scoringPeriodId=4&amp;seasonId=2025&amp;teamId=10&amp;view=scoringperiod" TargetMode="External"/><Relationship Id="rId619" Type="http://schemas.openxmlformats.org/officeDocument/2006/relationships/hyperlink" Target="https://fantasy.espn.com/football/boxscore?leagueId=88024&amp;matchupPeriodId=1&amp;scoringPeriodId=1&amp;seasonId=2024&amp;teamId=1&amp;view=scoringperiod" TargetMode="External"/><Relationship Id="rId618" Type="http://schemas.openxmlformats.org/officeDocument/2006/relationships/hyperlink" Target="https://fantasy.espn.com/football/boxscore?leagueId=88024&amp;matchupPeriodId=1&amp;scoringPeriodId=1&amp;seasonId=2024&amp;teamId=8&amp;view=scoringperiod" TargetMode="External"/><Relationship Id="rId613" Type="http://schemas.openxmlformats.org/officeDocument/2006/relationships/hyperlink" Target="https://fantasy.espn.com/football/boxscore?leagueId=88024&amp;matchupPeriodId=1&amp;scoringPeriodId=1&amp;seasonId=2024&amp;teamId=9&amp;view=scoringperiod" TargetMode="External"/><Relationship Id="rId855" Type="http://schemas.openxmlformats.org/officeDocument/2006/relationships/hyperlink" Target="https://fantasy.espn.com/football/boxscore?leagueId=88024&amp;matchupPeriodId=4&amp;scoringPeriodId=4&amp;seasonId=2025&amp;teamId=3&amp;view=scoringperiod" TargetMode="External"/><Relationship Id="rId612" Type="http://schemas.openxmlformats.org/officeDocument/2006/relationships/hyperlink" Target="https://fantasy.espn.com/football/boxscore?leagueId=88024&amp;matchupPeriodId=1&amp;scoringPeriodId=1&amp;seasonId=2024&amp;teamId=6&amp;view=scoringperiod" TargetMode="External"/><Relationship Id="rId854" Type="http://schemas.openxmlformats.org/officeDocument/2006/relationships/hyperlink" Target="https://fantasy.espn.com/football/boxscore?leagueId=88024&amp;matchupPeriodId=4&amp;scoringPeriodId=4&amp;seasonId=2025&amp;teamId=8&amp;view=scoringperiod" TargetMode="External"/><Relationship Id="rId611" Type="http://schemas.openxmlformats.org/officeDocument/2006/relationships/hyperlink" Target="https://fantasy.espn.com/football/boxscore?leagueId=88024&amp;matchupPeriodId=1&amp;scoringPeriodId=1&amp;seasonId=2024&amp;teamId=6&amp;view=scoringperiod" TargetMode="External"/><Relationship Id="rId853" Type="http://schemas.openxmlformats.org/officeDocument/2006/relationships/hyperlink" Target="https://fantasy.espn.com/football/boxscore?leagueId=88024&amp;matchupPeriodId=4&amp;scoringPeriodId=4&amp;seasonId=2025&amp;teamId=8&amp;view=scoringperiod" TargetMode="External"/><Relationship Id="rId610" Type="http://schemas.openxmlformats.org/officeDocument/2006/relationships/hyperlink" Target="https://fantasy.espn.com/football/boxscore?leagueId=88024&amp;matchupPeriodId=17&amp;scoringPeriodId=17&amp;seasonId=2023&amp;teamId=9&amp;view=scoringperiod" TargetMode="External"/><Relationship Id="rId852" Type="http://schemas.openxmlformats.org/officeDocument/2006/relationships/hyperlink" Target="https://fantasy.espn.com/football/boxscore?leagueId=88024&amp;matchupPeriodId=3&amp;scoringPeriodId=3&amp;seasonId=2025&amp;teamId=2&amp;view=scoringperiod" TargetMode="External"/><Relationship Id="rId617" Type="http://schemas.openxmlformats.org/officeDocument/2006/relationships/hyperlink" Target="https://fantasy.espn.com/football/boxscore?leagueId=88024&amp;matchupPeriodId=1&amp;scoringPeriodId=1&amp;seasonId=2024&amp;teamId=8&amp;view=scoringperiod" TargetMode="External"/><Relationship Id="rId859" Type="http://schemas.openxmlformats.org/officeDocument/2006/relationships/hyperlink" Target="https://fantasy.espn.com/football/boxscore?leagueId=88024&amp;matchupPeriodId=4&amp;scoringPeriodId=4&amp;seasonId=2025&amp;teamId=10&amp;view=scoringperiod" TargetMode="External"/><Relationship Id="rId616" Type="http://schemas.openxmlformats.org/officeDocument/2006/relationships/hyperlink" Target="https://fantasy.espn.com/football/boxscore?leagueId=88024&amp;matchupPeriodId=1&amp;scoringPeriodId=1&amp;seasonId=2024&amp;teamId=11&amp;view=scoringperiod" TargetMode="External"/><Relationship Id="rId858" Type="http://schemas.openxmlformats.org/officeDocument/2006/relationships/hyperlink" Target="https://fantasy.espn.com/football/boxscore?leagueId=88024&amp;matchupPeriodId=4&amp;scoringPeriodId=4&amp;seasonId=2025&amp;teamId=9&amp;view=scoringperiod" TargetMode="External"/><Relationship Id="rId615" Type="http://schemas.openxmlformats.org/officeDocument/2006/relationships/hyperlink" Target="https://fantasy.espn.com/football/boxscore?leagueId=88024&amp;matchupPeriodId=1&amp;scoringPeriodId=1&amp;seasonId=2024&amp;teamId=11&amp;view=scoringperiod" TargetMode="External"/><Relationship Id="rId857" Type="http://schemas.openxmlformats.org/officeDocument/2006/relationships/hyperlink" Target="https://fantasy.espn.com/football/boxscore?leagueId=88024&amp;matchupPeriodId=4&amp;scoringPeriodId=4&amp;seasonId=2025&amp;teamId=9&amp;view=scoringperiod" TargetMode="External"/><Relationship Id="rId614" Type="http://schemas.openxmlformats.org/officeDocument/2006/relationships/hyperlink" Target="https://fantasy.espn.com/football/boxscore?leagueId=88024&amp;matchupPeriodId=1&amp;scoringPeriodId=1&amp;seasonId=2024&amp;teamId=9&amp;view=scoringperiod" TargetMode="External"/><Relationship Id="rId856" Type="http://schemas.openxmlformats.org/officeDocument/2006/relationships/hyperlink" Target="https://fantasy.espn.com/football/boxscore?leagueId=88024&amp;matchupPeriodId=4&amp;scoringPeriodId=4&amp;seasonId=2025&amp;teamId=3&amp;view=scoringperiod" TargetMode="External"/><Relationship Id="rId851" Type="http://schemas.openxmlformats.org/officeDocument/2006/relationships/hyperlink" Target="https://fantasy.espn.com/football/boxscore?leagueId=88024&amp;matchupPeriodId=3&amp;scoringPeriodId=3&amp;seasonId=2025&amp;teamId=2&amp;view=scoringperiod" TargetMode="External"/><Relationship Id="rId850" Type="http://schemas.openxmlformats.org/officeDocument/2006/relationships/hyperlink" Target="https://fantasy.espn.com/football/boxscore?leagueId=88024&amp;matchupPeriodId=3&amp;scoringPeriodId=3&amp;seasonId=2025&amp;teamId=12&amp;view=scoringperiod" TargetMode="External"/><Relationship Id="rId409" Type="http://schemas.openxmlformats.org/officeDocument/2006/relationships/hyperlink" Target="https://fantasy.espn.com/football/boxscore?leagueId=88024&amp;matchupPeriodId=1&amp;scoringPeriodId=1&amp;seasonId=2023&amp;teamId=6&amp;view=scoringperiod" TargetMode="External"/><Relationship Id="rId404" Type="http://schemas.openxmlformats.org/officeDocument/2006/relationships/hyperlink" Target="https://fantasy.espn.com/football/boxscore?leagueId=88024&amp;matchupPeriodId=17&amp;scoringPeriodId=17&amp;seasonId=2022&amp;teamId=11&amp;view=scoringperiod" TargetMode="External"/><Relationship Id="rId646" Type="http://schemas.openxmlformats.org/officeDocument/2006/relationships/hyperlink" Target="https://fantasy.espn.com/football/boxscore?leagueId=88024&amp;matchupPeriodId=3&amp;scoringPeriodId=3&amp;seasonId=2024&amp;teamId=10&amp;view=scoringperiod" TargetMode="External"/><Relationship Id="rId888" Type="http://schemas.openxmlformats.org/officeDocument/2006/relationships/hyperlink" Target="https://fantasy.espn.com/football/boxscore?leagueId=88024&amp;matchupPeriodId=6&amp;scoringPeriodId=6&amp;seasonId=2025&amp;teamId=10&amp;view=scoringperiod" TargetMode="External"/><Relationship Id="rId403" Type="http://schemas.openxmlformats.org/officeDocument/2006/relationships/hyperlink" Target="https://fantasy.espn.com/football/boxscore?leagueId=88024&amp;matchupPeriodId=17&amp;scoringPeriodId=17&amp;seasonId=2022&amp;teamId=11&amp;view=scoringperiod" TargetMode="External"/><Relationship Id="rId645" Type="http://schemas.openxmlformats.org/officeDocument/2006/relationships/hyperlink" Target="https://fantasy.espn.com/football/boxscore?leagueId=88024&amp;matchupPeriodId=3&amp;scoringPeriodId=3&amp;seasonId=2024&amp;teamId=10&amp;view=scoringperiod" TargetMode="External"/><Relationship Id="rId887" Type="http://schemas.openxmlformats.org/officeDocument/2006/relationships/hyperlink" Target="https://fantasy.espn.com/football/boxscore?leagueId=88024&amp;matchupPeriodId=6&amp;scoringPeriodId=6&amp;seasonId=2025&amp;teamId=10&amp;view=scoringperiod" TargetMode="External"/><Relationship Id="rId402" Type="http://schemas.openxmlformats.org/officeDocument/2006/relationships/hyperlink" Target="https://fantasy.espn.com/football/boxscore?leagueId=88024&amp;matchupPeriodId=17&amp;scoringPeriodId=17&amp;seasonId=2022&amp;teamId=5&amp;view=scoringperiod" TargetMode="External"/><Relationship Id="rId644" Type="http://schemas.openxmlformats.org/officeDocument/2006/relationships/hyperlink" Target="https://fantasy.espn.com/football/boxscore?leagueId=88024&amp;matchupPeriodId=3&amp;scoringPeriodId=3&amp;seasonId=2024&amp;teamId=5&amp;view=scoringperiod" TargetMode="External"/><Relationship Id="rId886" Type="http://schemas.openxmlformats.org/officeDocument/2006/relationships/hyperlink" Target="https://fantasy.espn.com/football/boxscore?leagueId=88024&amp;matchupPeriodId=6&amp;scoringPeriodId=6&amp;seasonId=2025&amp;teamId=9&amp;view=scoringperiod" TargetMode="External"/><Relationship Id="rId401" Type="http://schemas.openxmlformats.org/officeDocument/2006/relationships/hyperlink" Target="https://fantasy.espn.com/football/boxscore?leagueId=88024&amp;matchupPeriodId=17&amp;scoringPeriodId=17&amp;seasonId=2022&amp;teamId=5&amp;view=scoringperiod" TargetMode="External"/><Relationship Id="rId643" Type="http://schemas.openxmlformats.org/officeDocument/2006/relationships/hyperlink" Target="https://fantasy.espn.com/football/boxscore?leagueId=88024&amp;matchupPeriodId=3&amp;scoringPeriodId=3&amp;seasonId=2024&amp;teamId=5&amp;view=scoringperiod" TargetMode="External"/><Relationship Id="rId885" Type="http://schemas.openxmlformats.org/officeDocument/2006/relationships/hyperlink" Target="https://fantasy.espn.com/football/boxscore?leagueId=88024&amp;matchupPeriodId=6&amp;scoringPeriodId=6&amp;seasonId=2025&amp;teamId=9&amp;view=scoringperiod" TargetMode="External"/><Relationship Id="rId408" Type="http://schemas.openxmlformats.org/officeDocument/2006/relationships/hyperlink" Target="https://fantasy.espn.com/football/boxscore?leagueId=88024&amp;matchupPeriodId=1&amp;scoringPeriodId=1&amp;seasonId=2023&amp;teamId=10&amp;view=scoringperiod" TargetMode="External"/><Relationship Id="rId407" Type="http://schemas.openxmlformats.org/officeDocument/2006/relationships/hyperlink" Target="https://fantasy.espn.com/football/boxscore?leagueId=88024&amp;matchupPeriodId=1&amp;scoringPeriodId=1&amp;seasonId=2023&amp;teamId=10&amp;view=scoringperiod" TargetMode="External"/><Relationship Id="rId649" Type="http://schemas.openxmlformats.org/officeDocument/2006/relationships/hyperlink" Target="https://fantasy.espn.com/football/boxscore?leagueId=88024&amp;matchupPeriodId=4&amp;scoringPeriodId=4&amp;seasonId=2024&amp;teamId=11&amp;view=scoringperiod" TargetMode="External"/><Relationship Id="rId406" Type="http://schemas.openxmlformats.org/officeDocument/2006/relationships/hyperlink" Target="https://fantasy.espn.com/football/boxscore?leagueId=88024&amp;matchupPeriodId=1&amp;scoringPeriodId=1&amp;seasonId=2023&amp;teamId=7&amp;view=scoringperiod" TargetMode="External"/><Relationship Id="rId648" Type="http://schemas.openxmlformats.org/officeDocument/2006/relationships/hyperlink" Target="https://fantasy.espn.com/football/boxscore?leagueId=88024&amp;matchupPeriodId=4&amp;scoringPeriodId=4&amp;seasonId=2024&amp;teamId=8&amp;view=scoringperiod" TargetMode="External"/><Relationship Id="rId405" Type="http://schemas.openxmlformats.org/officeDocument/2006/relationships/hyperlink" Target="https://fantasy.espn.com/football/boxscore?leagueId=88024&amp;matchupPeriodId=1&amp;scoringPeriodId=1&amp;seasonId=2023&amp;teamId=7&amp;view=scoringperiod" TargetMode="External"/><Relationship Id="rId647" Type="http://schemas.openxmlformats.org/officeDocument/2006/relationships/hyperlink" Target="https://fantasy.espn.com/football/boxscore?leagueId=88024&amp;matchupPeriodId=4&amp;scoringPeriodId=4&amp;seasonId=2024&amp;teamId=8&amp;view=scoringperiod" TargetMode="External"/><Relationship Id="rId889" Type="http://schemas.openxmlformats.org/officeDocument/2006/relationships/hyperlink" Target="https://fantasy.espn.com/football/boxscore?leagueId=88024&amp;matchupPeriodId=7&amp;scoringPeriodId=7&amp;seasonId=2025&amp;teamId=4&amp;view=scoringperiod" TargetMode="External"/><Relationship Id="rId880" Type="http://schemas.openxmlformats.org/officeDocument/2006/relationships/hyperlink" Target="https://fantasy.espn.com/football/boxscore?leagueId=88024&amp;matchupPeriodId=6&amp;scoringPeriodId=6&amp;seasonId=2025&amp;teamId=1&amp;view=scoringperiod" TargetMode="External"/><Relationship Id="rId400" Type="http://schemas.openxmlformats.org/officeDocument/2006/relationships/hyperlink" Target="https://fantasy.espn.com/football/boxscore?leagueId=88024&amp;matchupPeriodId=17&amp;scoringPeriodId=17&amp;seasonId=2022&amp;teamId=9&amp;view=scoringperiod" TargetMode="External"/><Relationship Id="rId642" Type="http://schemas.openxmlformats.org/officeDocument/2006/relationships/hyperlink" Target="https://fantasy.espn.com/football/boxscore?leagueId=88024&amp;matchupPeriodId=3&amp;scoringPeriodId=3&amp;seasonId=2024&amp;teamId=4&amp;view=scoringperiod" TargetMode="External"/><Relationship Id="rId884" Type="http://schemas.openxmlformats.org/officeDocument/2006/relationships/hyperlink" Target="https://fantasy.espn.com/football/boxscore?leagueId=88024&amp;matchupPeriodId=6&amp;scoringPeriodId=6&amp;seasonId=2025&amp;teamId=3&amp;view=scoringperiod" TargetMode="External"/><Relationship Id="rId641" Type="http://schemas.openxmlformats.org/officeDocument/2006/relationships/hyperlink" Target="https://fantasy.espn.com/football/boxscore?leagueId=88024&amp;matchupPeriodId=3&amp;scoringPeriodId=3&amp;seasonId=2024&amp;teamId=4&amp;view=scoringperiod" TargetMode="External"/><Relationship Id="rId883" Type="http://schemas.openxmlformats.org/officeDocument/2006/relationships/hyperlink" Target="https://fantasy.espn.com/football/boxscore?leagueId=88024&amp;matchupPeriodId=6&amp;scoringPeriodId=6&amp;seasonId=2025&amp;teamId=3&amp;view=scoringperiod" TargetMode="External"/><Relationship Id="rId640" Type="http://schemas.openxmlformats.org/officeDocument/2006/relationships/hyperlink" Target="https://fantasy.espn.com/football/boxscore?leagueId=88024&amp;matchupPeriodId=3&amp;scoringPeriodId=3&amp;seasonId=2024&amp;teamId=1&amp;view=scoringperiod" TargetMode="External"/><Relationship Id="rId882" Type="http://schemas.openxmlformats.org/officeDocument/2006/relationships/hyperlink" Target="https://fantasy.espn.com/football/boxscore?leagueId=88024&amp;matchupPeriodId=6&amp;scoringPeriodId=6&amp;seasonId=2025&amp;teamId=8&amp;view=scoringperiod" TargetMode="External"/><Relationship Id="rId881" Type="http://schemas.openxmlformats.org/officeDocument/2006/relationships/hyperlink" Target="https://fantasy.espn.com/football/boxscore?leagueId=88024&amp;matchupPeriodId=6&amp;scoringPeriodId=6&amp;seasonId=2025&amp;teamId=8&amp;view=scoringperiod" TargetMode="External"/><Relationship Id="rId635" Type="http://schemas.openxmlformats.org/officeDocument/2006/relationships/hyperlink" Target="https://fantasy.espn.com/football/boxscore?leagueId=88024&amp;matchupPeriodId=3&amp;scoringPeriodId=3&amp;seasonId=2024&amp;teamId=6&amp;view=scoringperiod" TargetMode="External"/><Relationship Id="rId877" Type="http://schemas.openxmlformats.org/officeDocument/2006/relationships/hyperlink" Target="https://fantasy.espn.com/football/boxscore?leagueId=88024&amp;matchupPeriodId=6&amp;scoringPeriodId=6&amp;seasonId=2025&amp;teamId=7&amp;view=scoringperiod" TargetMode="External"/><Relationship Id="rId634" Type="http://schemas.openxmlformats.org/officeDocument/2006/relationships/hyperlink" Target="https://fantasy.espn.com/football/boxscore?leagueId=88024&amp;matchupPeriodId=2&amp;scoringPeriodId=2&amp;seasonId=2024&amp;teamId=10&amp;view=scoringperiod" TargetMode="External"/><Relationship Id="rId876" Type="http://schemas.openxmlformats.org/officeDocument/2006/relationships/hyperlink" Target="https://fantasy.espn.com/football/boxscore?leagueId=88024&amp;matchupPeriodId=5&amp;scoringPeriodId=5&amp;seasonId=2025&amp;teamId=5&amp;view=scoringperiod" TargetMode="External"/><Relationship Id="rId633" Type="http://schemas.openxmlformats.org/officeDocument/2006/relationships/hyperlink" Target="https://fantasy.espn.com/football/boxscore?leagueId=88024&amp;matchupPeriodId=2&amp;scoringPeriodId=2&amp;seasonId=2024&amp;teamId=10&amp;view=scoringperiod" TargetMode="External"/><Relationship Id="rId875" Type="http://schemas.openxmlformats.org/officeDocument/2006/relationships/hyperlink" Target="https://fantasy.espn.com/football/boxscore?leagueId=88024&amp;matchupPeriodId=5&amp;scoringPeriodId=5&amp;seasonId=2025&amp;teamId=5&amp;view=scoringperiod" TargetMode="External"/><Relationship Id="rId632" Type="http://schemas.openxmlformats.org/officeDocument/2006/relationships/hyperlink" Target="https://fantasy.espn.com/football/boxscore?leagueId=88024&amp;matchupPeriodId=2&amp;scoringPeriodId=2&amp;seasonId=2024&amp;teamId=7&amp;view=scoringperiod" TargetMode="External"/><Relationship Id="rId874" Type="http://schemas.openxmlformats.org/officeDocument/2006/relationships/hyperlink" Target="https://fantasy.espn.com/football/boxscore?leagueId=88024&amp;matchupPeriodId=5&amp;scoringPeriodId=5&amp;seasonId=2025&amp;teamId=11&amp;view=scoringperiod" TargetMode="External"/><Relationship Id="rId639" Type="http://schemas.openxmlformats.org/officeDocument/2006/relationships/hyperlink" Target="https://fantasy.espn.com/football/boxscore?leagueId=88024&amp;matchupPeriodId=3&amp;scoringPeriodId=3&amp;seasonId=2024&amp;teamId=1&amp;view=scoringperiod" TargetMode="External"/><Relationship Id="rId638" Type="http://schemas.openxmlformats.org/officeDocument/2006/relationships/hyperlink" Target="https://fantasy.espn.com/football/boxscore?leagueId=88024&amp;matchupPeriodId=3&amp;scoringPeriodId=3&amp;seasonId=2024&amp;teamId=8&amp;view=scoringperiod" TargetMode="External"/><Relationship Id="rId637" Type="http://schemas.openxmlformats.org/officeDocument/2006/relationships/hyperlink" Target="https://fantasy.espn.com/football/boxscore?leagueId=88024&amp;matchupPeriodId=3&amp;scoringPeriodId=3&amp;seasonId=2024&amp;teamId=8&amp;view=scoringperiod" TargetMode="External"/><Relationship Id="rId879" Type="http://schemas.openxmlformats.org/officeDocument/2006/relationships/hyperlink" Target="https://fantasy.espn.com/football/boxscore?leagueId=88024&amp;matchupPeriodId=6&amp;scoringPeriodId=6&amp;seasonId=2025&amp;teamId=1&amp;view=scoringperiod" TargetMode="External"/><Relationship Id="rId636" Type="http://schemas.openxmlformats.org/officeDocument/2006/relationships/hyperlink" Target="https://fantasy.espn.com/football/boxscore?leagueId=88024&amp;matchupPeriodId=3&amp;scoringPeriodId=3&amp;seasonId=2024&amp;teamId=6&amp;view=scoringperiod" TargetMode="External"/><Relationship Id="rId878" Type="http://schemas.openxmlformats.org/officeDocument/2006/relationships/hyperlink" Target="https://fantasy.espn.com/football/boxscore?leagueId=88024&amp;matchupPeriodId=6&amp;scoringPeriodId=6&amp;seasonId=2025&amp;teamId=7&amp;view=scoringperiod" TargetMode="External"/><Relationship Id="rId631" Type="http://schemas.openxmlformats.org/officeDocument/2006/relationships/hyperlink" Target="https://fantasy.espn.com/football/boxscore?leagueId=88024&amp;matchupPeriodId=2&amp;scoringPeriodId=2&amp;seasonId=2024&amp;teamId=7&amp;view=scoringperiod" TargetMode="External"/><Relationship Id="rId873" Type="http://schemas.openxmlformats.org/officeDocument/2006/relationships/hyperlink" Target="https://fantasy.espn.com/football/boxscore?leagueId=88024&amp;matchupPeriodId=5&amp;scoringPeriodId=5&amp;seasonId=2025&amp;teamId=11&amp;view=scoringperiod" TargetMode="External"/><Relationship Id="rId630" Type="http://schemas.openxmlformats.org/officeDocument/2006/relationships/hyperlink" Target="https://fantasy.espn.com/football/boxscore?leagueId=88024&amp;matchupPeriodId=2&amp;scoringPeriodId=2&amp;seasonId=2024&amp;teamId=2&amp;view=scoringperiod" TargetMode="External"/><Relationship Id="rId872" Type="http://schemas.openxmlformats.org/officeDocument/2006/relationships/hyperlink" Target="https://fantasy.espn.com/football/boxscore?leagueId=88024&amp;matchupPeriodId=5&amp;scoringPeriodId=5&amp;seasonId=2025&amp;teamId=2&amp;view=scoringperiod" TargetMode="External"/><Relationship Id="rId871" Type="http://schemas.openxmlformats.org/officeDocument/2006/relationships/hyperlink" Target="https://fantasy.espn.com/football/boxscore?leagueId=88024&amp;matchupPeriodId=5&amp;scoringPeriodId=5&amp;seasonId=2025&amp;teamId=2&amp;view=scoringperiod" TargetMode="External"/><Relationship Id="rId870" Type="http://schemas.openxmlformats.org/officeDocument/2006/relationships/hyperlink" Target="https://fantasy.espn.com/football/boxscore?leagueId=88024&amp;matchupPeriodId=5&amp;scoringPeriodId=5&amp;seasonId=2025&amp;teamId=12&amp;view=scoringperiod" TargetMode="External"/><Relationship Id="rId829" Type="http://schemas.openxmlformats.org/officeDocument/2006/relationships/hyperlink" Target="https://fantasy.espn.com/football/boxscore?leagueId=88024&amp;matchupPeriodId=2&amp;scoringPeriodId=2&amp;seasonId=2025&amp;teamId=9&amp;view=scoringperiod" TargetMode="External"/><Relationship Id="rId828" Type="http://schemas.openxmlformats.org/officeDocument/2006/relationships/hyperlink" Target="https://fantasy.espn.com/football/boxscore?leagueId=88024&amp;matchupPeriodId=1&amp;scoringPeriodId=1&amp;seasonId=2025&amp;teamId=7&amp;view=scoringperiod" TargetMode="External"/><Relationship Id="rId827" Type="http://schemas.openxmlformats.org/officeDocument/2006/relationships/hyperlink" Target="https://fantasy.espn.com/football/boxscore?leagueId=88024&amp;matchupPeriodId=1&amp;scoringPeriodId=1&amp;seasonId=2025&amp;teamId=7&amp;view=scoringperiod" TargetMode="External"/><Relationship Id="rId822" Type="http://schemas.openxmlformats.org/officeDocument/2006/relationships/hyperlink" Target="https://fantasy.espn.com/football/boxscore?leagueId=88024&amp;matchupPeriodId=1&amp;scoringPeriodId=1&amp;seasonId=2025&amp;teamId=3&amp;view=scoringperiod" TargetMode="External"/><Relationship Id="rId821" Type="http://schemas.openxmlformats.org/officeDocument/2006/relationships/hyperlink" Target="https://fantasy.espn.com/football/boxscore?leagueId=88024&amp;matchupPeriodId=1&amp;scoringPeriodId=1&amp;seasonId=2025&amp;teamId=3&amp;view=scoringperiod" TargetMode="External"/><Relationship Id="rId820" Type="http://schemas.openxmlformats.org/officeDocument/2006/relationships/hyperlink" Target="https://fantasy.espn.com/football/boxscore?leagueId=88024&amp;matchupPeriodId=1&amp;scoringPeriodId=1&amp;seasonId=2025&amp;teamId=9&amp;view=scoringperiod" TargetMode="External"/><Relationship Id="rId826" Type="http://schemas.openxmlformats.org/officeDocument/2006/relationships/hyperlink" Target="https://fantasy.espn.com/football/boxscore?leagueId=88024&amp;matchupPeriodId=1&amp;scoringPeriodId=1&amp;seasonId=2025&amp;teamId=1&amp;view=scoringperiod" TargetMode="External"/><Relationship Id="rId825" Type="http://schemas.openxmlformats.org/officeDocument/2006/relationships/hyperlink" Target="https://fantasy.espn.com/football/boxscore?leagueId=88024&amp;matchupPeriodId=1&amp;scoringPeriodId=1&amp;seasonId=2025&amp;teamId=1&amp;view=scoringperiod" TargetMode="External"/><Relationship Id="rId824" Type="http://schemas.openxmlformats.org/officeDocument/2006/relationships/hyperlink" Target="https://fantasy.espn.com/football/boxscore?leagueId=88024&amp;matchupPeriodId=1&amp;scoringPeriodId=1&amp;seasonId=2025&amp;teamId=8&amp;view=scoringperiod" TargetMode="External"/><Relationship Id="rId823" Type="http://schemas.openxmlformats.org/officeDocument/2006/relationships/hyperlink" Target="https://fantasy.espn.com/football/boxscore?leagueId=88024&amp;matchupPeriodId=1&amp;scoringPeriodId=1&amp;seasonId=2025&amp;teamId=8&amp;view=scoringperiod" TargetMode="External"/><Relationship Id="rId819" Type="http://schemas.openxmlformats.org/officeDocument/2006/relationships/hyperlink" Target="https://fantasy.espn.com/football/boxscore?leagueId=88024&amp;matchupPeriodId=1&amp;scoringPeriodId=1&amp;seasonId=2025&amp;teamId=9&amp;view=scoringperiod" TargetMode="External"/><Relationship Id="rId818" Type="http://schemas.openxmlformats.org/officeDocument/2006/relationships/hyperlink" Target="https://fantasy.espn.com/football/boxscore?leagueId=88024&amp;matchupPeriodId=1&amp;scoringPeriodId=1&amp;seasonId=2025&amp;teamId=4&amp;view=scoringperiod" TargetMode="External"/><Relationship Id="rId817" Type="http://schemas.openxmlformats.org/officeDocument/2006/relationships/hyperlink" Target="https://fantasy.espn.com/football/boxscore?leagueId=88024&amp;matchupPeriodId=1&amp;scoringPeriodId=1&amp;seasonId=2025&amp;teamId=4&amp;view=scoringperiod" TargetMode="External"/><Relationship Id="rId816" Type="http://schemas.openxmlformats.org/officeDocument/2006/relationships/hyperlink" Target="https://fantasy.espn.com/football/boxscore?leagueId=88024&amp;matchupPeriodId=17&amp;scoringPeriodId=17&amp;seasonId=2024&amp;teamId=8&amp;view=scoringperiod" TargetMode="External"/><Relationship Id="rId811" Type="http://schemas.openxmlformats.org/officeDocument/2006/relationships/hyperlink" Target="https://fantasy.espn.com/football/boxscore?leagueId=88024&amp;matchupPeriodId=17&amp;scoringPeriodId=17&amp;seasonId=2024&amp;teamId=11&amp;view=scoringperiod" TargetMode="External"/><Relationship Id="rId810" Type="http://schemas.openxmlformats.org/officeDocument/2006/relationships/hyperlink" Target="https://fantasy.espn.com/football/boxscore?leagueId=88024&amp;matchupPeriodId=17&amp;scoringPeriodId=17&amp;seasonId=2024&amp;teamId=10&amp;view=scoringperiod" TargetMode="External"/><Relationship Id="rId815" Type="http://schemas.openxmlformats.org/officeDocument/2006/relationships/hyperlink" Target="https://fantasy.espn.com/football/boxscore?leagueId=88024&amp;matchupPeriodId=17&amp;scoringPeriodId=17&amp;seasonId=2024&amp;teamId=8&amp;view=scoringperiod" TargetMode="External"/><Relationship Id="rId814" Type="http://schemas.openxmlformats.org/officeDocument/2006/relationships/hyperlink" Target="https://fantasy.espn.com/football/boxscore?leagueId=88024&amp;matchupPeriodId=17&amp;scoringPeriodId=17&amp;seasonId=2024&amp;teamId=9&amp;view=scoringperiod" TargetMode="External"/><Relationship Id="rId813" Type="http://schemas.openxmlformats.org/officeDocument/2006/relationships/hyperlink" Target="https://fantasy.espn.com/football/boxscore?leagueId=88024&amp;matchupPeriodId=17&amp;scoringPeriodId=17&amp;seasonId=2024&amp;teamId=9&amp;view=scoringperiod" TargetMode="External"/><Relationship Id="rId812" Type="http://schemas.openxmlformats.org/officeDocument/2006/relationships/hyperlink" Target="https://fantasy.espn.com/football/boxscore?leagueId=88024&amp;matchupPeriodId=17&amp;scoringPeriodId=17&amp;seasonId=2024&amp;teamId=11&amp;view=scoringperiod" TargetMode="External"/><Relationship Id="rId609" Type="http://schemas.openxmlformats.org/officeDocument/2006/relationships/hyperlink" Target="https://fantasy.espn.com/football/boxscore?leagueId=88024&amp;matchupPeriodId=17&amp;scoringPeriodId=17&amp;seasonId=2023&amp;teamId=9&amp;view=scoringperiod" TargetMode="External"/><Relationship Id="rId608" Type="http://schemas.openxmlformats.org/officeDocument/2006/relationships/hyperlink" Target="https://fantasy.espn.com/football/boxscore?leagueId=88024&amp;matchupPeriodId=17&amp;scoringPeriodId=17&amp;seasonId=2023&amp;teamId=6&amp;view=scoringperiod" TargetMode="External"/><Relationship Id="rId607" Type="http://schemas.openxmlformats.org/officeDocument/2006/relationships/hyperlink" Target="https://fantasy.espn.com/football/boxscore?leagueId=88024&amp;matchupPeriodId=17&amp;scoringPeriodId=17&amp;seasonId=2023&amp;teamId=6&amp;view=scoringperiod" TargetMode="External"/><Relationship Id="rId849" Type="http://schemas.openxmlformats.org/officeDocument/2006/relationships/hyperlink" Target="https://fantasy.espn.com/football/boxscore?leagueId=88024&amp;matchupPeriodId=3&amp;scoringPeriodId=3&amp;seasonId=2025&amp;teamId=12&amp;view=scoringperiod" TargetMode="External"/><Relationship Id="rId602" Type="http://schemas.openxmlformats.org/officeDocument/2006/relationships/hyperlink" Target="https://fantasy.espn.com/football/boxscore?leagueId=88024&amp;matchupPeriodId=17&amp;scoringPeriodId=17&amp;seasonId=2023&amp;teamId=3&amp;view=scoringperiod" TargetMode="External"/><Relationship Id="rId844" Type="http://schemas.openxmlformats.org/officeDocument/2006/relationships/hyperlink" Target="https://fantasy.espn.com/football/boxscore?leagueId=88024&amp;matchupPeriodId=3&amp;scoringPeriodId=3&amp;seasonId=2025&amp;teamId=8&amp;view=scoringperiod" TargetMode="External"/><Relationship Id="rId601" Type="http://schemas.openxmlformats.org/officeDocument/2006/relationships/hyperlink" Target="https://fantasy.espn.com/football/boxscore?leagueId=88024&amp;matchupPeriodId=17&amp;scoringPeriodId=17&amp;seasonId=2023&amp;teamId=3&amp;view=scoringperiod" TargetMode="External"/><Relationship Id="rId843" Type="http://schemas.openxmlformats.org/officeDocument/2006/relationships/hyperlink" Target="https://fantasy.espn.com/football/boxscore?leagueId=88024&amp;matchupPeriodId=3&amp;scoringPeriodId=3&amp;seasonId=2025&amp;teamId=8&amp;view=scoringperiod" TargetMode="External"/><Relationship Id="rId600" Type="http://schemas.openxmlformats.org/officeDocument/2006/relationships/hyperlink" Target="https://fantasy.espn.com/football/boxscore?leagueId=88024&amp;matchupPeriodId=17&amp;scoringPeriodId=17&amp;seasonId=2023&amp;teamId=10&amp;view=scoringperiod" TargetMode="External"/><Relationship Id="rId842" Type="http://schemas.openxmlformats.org/officeDocument/2006/relationships/hyperlink" Target="https://fantasy.espn.com/football/boxscore?leagueId=88024&amp;matchupPeriodId=3&amp;scoringPeriodId=3&amp;seasonId=2025&amp;teamId=4&amp;view=scoringperiod" TargetMode="External"/><Relationship Id="rId841" Type="http://schemas.openxmlformats.org/officeDocument/2006/relationships/hyperlink" Target="https://fantasy.espn.com/football/boxscore?leagueId=88024&amp;matchupPeriodId=3&amp;scoringPeriodId=3&amp;seasonId=2025&amp;teamId=4&amp;view=scoringperiod" TargetMode="External"/><Relationship Id="rId606" Type="http://schemas.openxmlformats.org/officeDocument/2006/relationships/hyperlink" Target="https://fantasy.espn.com/football/boxscore?leagueId=88024&amp;matchupPeriodId=17&amp;scoringPeriodId=17&amp;seasonId=2023&amp;teamId=2&amp;view=scoringperiod" TargetMode="External"/><Relationship Id="rId848" Type="http://schemas.openxmlformats.org/officeDocument/2006/relationships/hyperlink" Target="https://fantasy.espn.com/football/boxscore?leagueId=88024&amp;matchupPeriodId=3&amp;scoringPeriodId=3&amp;seasonId=2025&amp;teamId=7&amp;view=scoringperiod" TargetMode="External"/><Relationship Id="rId605" Type="http://schemas.openxmlformats.org/officeDocument/2006/relationships/hyperlink" Target="https://fantasy.espn.com/football/boxscore?leagueId=88024&amp;matchupPeriodId=17&amp;scoringPeriodId=17&amp;seasonId=2023&amp;teamId=2&amp;view=scoringperiod" TargetMode="External"/><Relationship Id="rId847" Type="http://schemas.openxmlformats.org/officeDocument/2006/relationships/hyperlink" Target="https://fantasy.espn.com/football/boxscore?leagueId=88024&amp;matchupPeriodId=3&amp;scoringPeriodId=3&amp;seasonId=2025&amp;teamId=7&amp;view=scoringperiod" TargetMode="External"/><Relationship Id="rId604" Type="http://schemas.openxmlformats.org/officeDocument/2006/relationships/hyperlink" Target="https://fantasy.espn.com/football/boxscore?leagueId=88024&amp;matchupPeriodId=17&amp;scoringPeriodId=17&amp;seasonId=2023&amp;teamId=5&amp;view=scoringperiod" TargetMode="External"/><Relationship Id="rId846" Type="http://schemas.openxmlformats.org/officeDocument/2006/relationships/hyperlink" Target="https://fantasy.espn.com/football/boxscore?leagueId=88024&amp;matchupPeriodId=3&amp;scoringPeriodId=3&amp;seasonId=2025&amp;teamId=1&amp;view=scoringperiod" TargetMode="External"/><Relationship Id="rId603" Type="http://schemas.openxmlformats.org/officeDocument/2006/relationships/hyperlink" Target="https://fantasy.espn.com/football/boxscore?leagueId=88024&amp;matchupPeriodId=17&amp;scoringPeriodId=17&amp;seasonId=2023&amp;teamId=5&amp;view=scoringperiod" TargetMode="External"/><Relationship Id="rId845" Type="http://schemas.openxmlformats.org/officeDocument/2006/relationships/hyperlink" Target="https://fantasy.espn.com/football/boxscore?leagueId=88024&amp;matchupPeriodId=3&amp;scoringPeriodId=3&amp;seasonId=2025&amp;teamId=1&amp;view=scoringperiod" TargetMode="External"/><Relationship Id="rId840" Type="http://schemas.openxmlformats.org/officeDocument/2006/relationships/hyperlink" Target="https://fantasy.espn.com/football/boxscore?leagueId=88024&amp;matchupPeriodId=2&amp;scoringPeriodId=2&amp;seasonId=2025&amp;teamId=2&amp;view=scoringperiod" TargetMode="External"/><Relationship Id="rId839" Type="http://schemas.openxmlformats.org/officeDocument/2006/relationships/hyperlink" Target="https://fantasy.espn.com/football/boxscore?leagueId=88024&amp;matchupPeriodId=2&amp;scoringPeriodId=2&amp;seasonId=2025&amp;teamId=2&amp;view=scoringperiod" TargetMode="External"/><Relationship Id="rId838" Type="http://schemas.openxmlformats.org/officeDocument/2006/relationships/hyperlink" Target="https://fantasy.espn.com/football/boxscore?leagueId=88024&amp;matchupPeriodId=2&amp;scoringPeriodId=2&amp;seasonId=2025&amp;teamId=11&amp;view=scoringperiod" TargetMode="External"/><Relationship Id="rId833" Type="http://schemas.openxmlformats.org/officeDocument/2006/relationships/hyperlink" Target="https://fantasy.espn.com/football/boxscore?leagueId=88024&amp;matchupPeriodId=2&amp;scoringPeriodId=2&amp;seasonId=2025&amp;teamId=6&amp;view=scoringperiod" TargetMode="External"/><Relationship Id="rId832" Type="http://schemas.openxmlformats.org/officeDocument/2006/relationships/hyperlink" Target="https://fantasy.espn.com/football/boxscore?leagueId=88024&amp;matchupPeriodId=2&amp;scoringPeriodId=2&amp;seasonId=2025&amp;teamId=10&amp;view=scoringperiod" TargetMode="External"/><Relationship Id="rId831" Type="http://schemas.openxmlformats.org/officeDocument/2006/relationships/hyperlink" Target="https://fantasy.espn.com/football/boxscore?leagueId=88024&amp;matchupPeriodId=2&amp;scoringPeriodId=2&amp;seasonId=2025&amp;teamId=10&amp;view=scoringperiod" TargetMode="External"/><Relationship Id="rId830" Type="http://schemas.openxmlformats.org/officeDocument/2006/relationships/hyperlink" Target="https://fantasy.espn.com/football/boxscore?leagueId=88024&amp;matchupPeriodId=2&amp;scoringPeriodId=2&amp;seasonId=2025&amp;teamId=9&amp;view=scoringperiod" TargetMode="External"/><Relationship Id="rId837" Type="http://schemas.openxmlformats.org/officeDocument/2006/relationships/hyperlink" Target="https://fantasy.espn.com/football/boxscore?leagueId=88024&amp;matchupPeriodId=2&amp;scoringPeriodId=2&amp;seasonId=2025&amp;teamId=11&amp;view=scoringperiod" TargetMode="External"/><Relationship Id="rId836" Type="http://schemas.openxmlformats.org/officeDocument/2006/relationships/hyperlink" Target="https://fantasy.espn.com/football/boxscore?leagueId=88024&amp;matchupPeriodId=2&amp;scoringPeriodId=2&amp;seasonId=2025&amp;teamId=5&amp;view=scoringperiod" TargetMode="External"/><Relationship Id="rId835" Type="http://schemas.openxmlformats.org/officeDocument/2006/relationships/hyperlink" Target="https://fantasy.espn.com/football/boxscore?leagueId=88024&amp;matchupPeriodId=2&amp;scoringPeriodId=2&amp;seasonId=2025&amp;teamId=5&amp;view=scoringperiod" TargetMode="External"/><Relationship Id="rId834" Type="http://schemas.openxmlformats.org/officeDocument/2006/relationships/hyperlink" Target="https://fantasy.espn.com/football/boxscore?leagueId=88024&amp;matchupPeriodId=2&amp;scoringPeriodId=2&amp;seasonId=2025&amp;teamId=6&amp;view=scoringperiod" TargetMode="External"/><Relationship Id="rId1059" Type="http://schemas.openxmlformats.org/officeDocument/2006/relationships/hyperlink" Target="https://fantasy.espn.com/football/boxscore?leagueId=88024&amp;matchupPeriodId=4&amp;scoringPeriodId=4&amp;seasonId=2026&amp;teamId=4&amp;view=scoringperiod" TargetMode="External"/><Relationship Id="rId228" Type="http://schemas.openxmlformats.org/officeDocument/2006/relationships/hyperlink" Target="https://fantasy.espn.com/football/boxscore?leagueId=88024&amp;matchupPeriodId=3&amp;scoringPeriodId=3&amp;seasonId=2022&amp;teamId=3&amp;view=scoringperiod" TargetMode="External"/><Relationship Id="rId227" Type="http://schemas.openxmlformats.org/officeDocument/2006/relationships/hyperlink" Target="https://fantasy.espn.com/football/boxscore?leagueId=88024&amp;matchupPeriodId=3&amp;scoringPeriodId=3&amp;seasonId=2022&amp;teamId=3&amp;view=scoringperiod" TargetMode="External"/><Relationship Id="rId469" Type="http://schemas.openxmlformats.org/officeDocument/2006/relationships/hyperlink" Target="https://fantasy.espn.com/football/boxscore?leagueId=88024&amp;matchupPeriodId=6&amp;scoringPeriodId=6&amp;seasonId=2023&amp;teamId=12&amp;view=scoringperiod" TargetMode="External"/><Relationship Id="rId226" Type="http://schemas.openxmlformats.org/officeDocument/2006/relationships/hyperlink" Target="https://fantasy.espn.com/football/boxscore?leagueId=88024&amp;matchupPeriodId=2&amp;scoringPeriodId=2&amp;seasonId=2022&amp;teamId=4&amp;view=scoringperiod" TargetMode="External"/><Relationship Id="rId468" Type="http://schemas.openxmlformats.org/officeDocument/2006/relationships/hyperlink" Target="https://fantasy.espn.com/football/boxscore?leagueId=88024&amp;matchupPeriodId=5&amp;scoringPeriodId=5&amp;seasonId=2023&amp;teamId=9&amp;view=scoringperiod" TargetMode="External"/><Relationship Id="rId225" Type="http://schemas.openxmlformats.org/officeDocument/2006/relationships/hyperlink" Target="https://fantasy.espn.com/football/boxscore?leagueId=88024&amp;matchupPeriodId=2&amp;scoringPeriodId=2&amp;seasonId=2022&amp;teamId=4&amp;view=scoringperiod" TargetMode="External"/><Relationship Id="rId467" Type="http://schemas.openxmlformats.org/officeDocument/2006/relationships/hyperlink" Target="https://fantasy.espn.com/football/boxscore?leagueId=88024&amp;matchupPeriodId=5&amp;scoringPeriodId=5&amp;seasonId=2023&amp;teamId=9&amp;view=scoringperiod" TargetMode="External"/><Relationship Id="rId229" Type="http://schemas.openxmlformats.org/officeDocument/2006/relationships/hyperlink" Target="https://fantasy.espn.com/football/boxscore?leagueId=88024&amp;matchupPeriodId=3&amp;scoringPeriodId=3&amp;seasonId=2022&amp;teamId=8&amp;view=scoringperiod" TargetMode="External"/><Relationship Id="rId1050" Type="http://schemas.openxmlformats.org/officeDocument/2006/relationships/hyperlink" Target="https://fantasy.espn.com/football/boxscore?leagueId=88024&amp;matchupPeriodId=3&amp;scoringPeriodId=3&amp;seasonId=2026&amp;teamId=6&amp;view=scoringperiod" TargetMode="External"/><Relationship Id="rId220" Type="http://schemas.openxmlformats.org/officeDocument/2006/relationships/hyperlink" Target="https://fantasy.espn.com/football/boxscore?leagueId=88024&amp;matchupPeriodId=2&amp;scoringPeriodId=2&amp;seasonId=2022&amp;teamId=10&amp;view=scoringperiod" TargetMode="External"/><Relationship Id="rId462" Type="http://schemas.openxmlformats.org/officeDocument/2006/relationships/hyperlink" Target="https://fantasy.espn.com/football/boxscore?leagueId=88024&amp;matchupPeriodId=5&amp;scoringPeriodId=5&amp;seasonId=2023&amp;teamId=11&amp;view=scoringperiod" TargetMode="External"/><Relationship Id="rId1051" Type="http://schemas.openxmlformats.org/officeDocument/2006/relationships/hyperlink" Target="https://fantasy.espn.com/football/boxscore?leagueId=88024&amp;matchupPeriodId=3&amp;scoringPeriodId=3&amp;seasonId=2026&amp;teamId=3&amp;view=scoringperiod" TargetMode="External"/><Relationship Id="rId461" Type="http://schemas.openxmlformats.org/officeDocument/2006/relationships/hyperlink" Target="https://fantasy.espn.com/football/boxscore?leagueId=88024&amp;matchupPeriodId=5&amp;scoringPeriodId=5&amp;seasonId=2023&amp;teamId=11&amp;view=scoringperiod" TargetMode="External"/><Relationship Id="rId1052" Type="http://schemas.openxmlformats.org/officeDocument/2006/relationships/hyperlink" Target="https://fantasy.espn.com/football/boxscore?leagueId=88024&amp;matchupPeriodId=3&amp;scoringPeriodId=3&amp;seasonId=2026&amp;teamId=3&amp;view=scoringperiod" TargetMode="External"/><Relationship Id="rId460" Type="http://schemas.openxmlformats.org/officeDocument/2006/relationships/hyperlink" Target="https://fantasy.espn.com/football/boxscore?leagueId=88024&amp;matchupPeriodId=5&amp;scoringPeriodId=5&amp;seasonId=2023&amp;teamId=12&amp;view=scoringperiod" TargetMode="External"/><Relationship Id="rId1053" Type="http://schemas.openxmlformats.org/officeDocument/2006/relationships/hyperlink" Target="https://fantasy.espn.com/football/boxscore?leagueId=88024&amp;matchupPeriodId=3&amp;scoringPeriodId=3&amp;seasonId=2026&amp;teamId=11&amp;view=scoringperiod" TargetMode="External"/><Relationship Id="rId1054" Type="http://schemas.openxmlformats.org/officeDocument/2006/relationships/hyperlink" Target="https://fantasy.espn.com/football/boxscore?leagueId=88024&amp;matchupPeriodId=3&amp;scoringPeriodId=3&amp;seasonId=2026&amp;teamId=11&amp;view=scoringperiod" TargetMode="External"/><Relationship Id="rId224" Type="http://schemas.openxmlformats.org/officeDocument/2006/relationships/hyperlink" Target="https://fantasy.espn.com/football/boxscore?leagueId=88024&amp;matchupPeriodId=2&amp;scoringPeriodId=2&amp;seasonId=2022&amp;teamId=1&amp;view=scoringperiod" TargetMode="External"/><Relationship Id="rId466" Type="http://schemas.openxmlformats.org/officeDocument/2006/relationships/hyperlink" Target="https://fantasy.espn.com/football/boxscore?leagueId=88024&amp;matchupPeriodId=5&amp;scoringPeriodId=5&amp;seasonId=2023&amp;teamId=5&amp;view=scoringperiod" TargetMode="External"/><Relationship Id="rId1055" Type="http://schemas.openxmlformats.org/officeDocument/2006/relationships/hyperlink" Target="https://fantasy.espn.com/football/boxscore?leagueId=88024&amp;matchupPeriodId=3&amp;scoringPeriodId=3&amp;seasonId=2026&amp;teamId=11&amp;view=scoringperiod" TargetMode="External"/><Relationship Id="rId223" Type="http://schemas.openxmlformats.org/officeDocument/2006/relationships/hyperlink" Target="https://fantasy.espn.com/football/boxscore?leagueId=88024&amp;matchupPeriodId=2&amp;scoringPeriodId=2&amp;seasonId=2022&amp;teamId=1&amp;view=scoringperiod" TargetMode="External"/><Relationship Id="rId465" Type="http://schemas.openxmlformats.org/officeDocument/2006/relationships/hyperlink" Target="https://fantasy.espn.com/football/boxscore?leagueId=88024&amp;matchupPeriodId=5&amp;scoringPeriodId=5&amp;seasonId=2023&amp;teamId=5&amp;view=scoringperiod" TargetMode="External"/><Relationship Id="rId1056" Type="http://schemas.openxmlformats.org/officeDocument/2006/relationships/hyperlink" Target="https://fantasy.espn.com/football/boxscore?leagueId=88024&amp;matchupPeriodId=3&amp;scoringPeriodId=3&amp;seasonId=2026&amp;teamId=11&amp;view=scoringperiod" TargetMode="External"/><Relationship Id="rId222" Type="http://schemas.openxmlformats.org/officeDocument/2006/relationships/hyperlink" Target="https://fantasy.espn.com/football/boxscore?leagueId=88024&amp;matchupPeriodId=2&amp;scoringPeriodId=2&amp;seasonId=2022&amp;teamId=9&amp;view=scoringperiod" TargetMode="External"/><Relationship Id="rId464" Type="http://schemas.openxmlformats.org/officeDocument/2006/relationships/hyperlink" Target="https://fantasy.espn.com/football/boxscore?leagueId=88024&amp;matchupPeriodId=5&amp;scoringPeriodId=5&amp;seasonId=2023&amp;teamId=2&amp;view=scoringperiod" TargetMode="External"/><Relationship Id="rId1057" Type="http://schemas.openxmlformats.org/officeDocument/2006/relationships/hyperlink" Target="https://fantasy.espn.com/football/boxscore?leagueId=88024&amp;matchupPeriodId=4&amp;scoringPeriodId=4&amp;seasonId=2026&amp;teamId=12&amp;view=scoringperiod" TargetMode="External"/><Relationship Id="rId221" Type="http://schemas.openxmlformats.org/officeDocument/2006/relationships/hyperlink" Target="https://fantasy.espn.com/football/boxscore?leagueId=88024&amp;matchupPeriodId=2&amp;scoringPeriodId=2&amp;seasonId=2022&amp;teamId=9&amp;view=scoringperiod" TargetMode="External"/><Relationship Id="rId463" Type="http://schemas.openxmlformats.org/officeDocument/2006/relationships/hyperlink" Target="https://fantasy.espn.com/football/boxscore?leagueId=88024&amp;matchupPeriodId=5&amp;scoringPeriodId=5&amp;seasonId=2023&amp;teamId=2&amp;view=scoringperiod" TargetMode="External"/><Relationship Id="rId1058" Type="http://schemas.openxmlformats.org/officeDocument/2006/relationships/hyperlink" Target="https://fantasy.espn.com/football/boxscore?leagueId=88024&amp;matchupPeriodId=4&amp;scoringPeriodId=4&amp;seasonId=2026&amp;teamId=12&amp;view=scoringperiod" TargetMode="External"/><Relationship Id="rId1048" Type="http://schemas.openxmlformats.org/officeDocument/2006/relationships/hyperlink" Target="https://fantasy.espn.com/football/boxscore?leagueId=88024&amp;matchupPeriodId=3&amp;scoringPeriodId=3&amp;seasonId=2026&amp;teamId=2&amp;view=scoringperiod" TargetMode="External"/><Relationship Id="rId1049" Type="http://schemas.openxmlformats.org/officeDocument/2006/relationships/hyperlink" Target="https://fantasy.espn.com/football/boxscore?leagueId=88024&amp;matchupPeriodId=3&amp;scoringPeriodId=3&amp;seasonId=2026&amp;teamId=6&amp;view=scoringperiod" TargetMode="External"/><Relationship Id="rId217" Type="http://schemas.openxmlformats.org/officeDocument/2006/relationships/hyperlink" Target="https://fantasy.espn.com/football/boxscore?leagueId=88024&amp;matchupPeriodId=2&amp;scoringPeriodId=2&amp;seasonId=2022&amp;teamId=11&amp;view=scoringperiod" TargetMode="External"/><Relationship Id="rId459" Type="http://schemas.openxmlformats.org/officeDocument/2006/relationships/hyperlink" Target="https://fantasy.espn.com/football/boxscore?leagueId=88024&amp;matchupPeriodId=5&amp;scoringPeriodId=5&amp;seasonId=2023&amp;teamId=12&amp;view=scoringperiod" TargetMode="External"/><Relationship Id="rId216" Type="http://schemas.openxmlformats.org/officeDocument/2006/relationships/hyperlink" Target="https://fantasy.espn.com/football/boxscore?leagueId=88024&amp;matchupPeriodId=2&amp;scoringPeriodId=2&amp;seasonId=2022&amp;teamId=6&amp;view=scoringperiod" TargetMode="External"/><Relationship Id="rId458" Type="http://schemas.openxmlformats.org/officeDocument/2006/relationships/hyperlink" Target="https://fantasy.espn.com/football/boxscore?leagueId=88024&amp;matchupPeriodId=5&amp;scoringPeriodId=5&amp;seasonId=2023&amp;teamId=7&amp;view=scoringperiod" TargetMode="External"/><Relationship Id="rId215" Type="http://schemas.openxmlformats.org/officeDocument/2006/relationships/hyperlink" Target="https://fantasy.espn.com/football/boxscore?leagueId=88024&amp;matchupPeriodId=2&amp;scoringPeriodId=2&amp;seasonId=2022&amp;teamId=6&amp;view=scoringperiod" TargetMode="External"/><Relationship Id="rId457" Type="http://schemas.openxmlformats.org/officeDocument/2006/relationships/hyperlink" Target="https://fantasy.espn.com/football/boxscore?leagueId=88024&amp;matchupPeriodId=5&amp;scoringPeriodId=5&amp;seasonId=2023&amp;teamId=7&amp;view=scoringperiod" TargetMode="External"/><Relationship Id="rId699" Type="http://schemas.openxmlformats.org/officeDocument/2006/relationships/hyperlink" Target="https://fantasy.espn.com/football/boxscore?leagueId=88024&amp;matchupPeriodId=8&amp;scoringPeriodId=8&amp;seasonId=2024&amp;teamId=4&amp;view=scoringperiod" TargetMode="External"/><Relationship Id="rId214" Type="http://schemas.openxmlformats.org/officeDocument/2006/relationships/hyperlink" Target="https://fantasy.espn.com/football/boxscore?leagueId=88024&amp;matchupPeriodId=1&amp;scoringPeriodId=1&amp;seasonId=2022&amp;teamId=5&amp;view=scoringperiod" TargetMode="External"/><Relationship Id="rId456" Type="http://schemas.openxmlformats.org/officeDocument/2006/relationships/hyperlink" Target="https://fantasy.espn.com/football/boxscore?leagueId=88024&amp;matchupPeriodId=4&amp;scoringPeriodId=4&amp;seasonId=2023&amp;teamId=3&amp;view=scoringperiod" TargetMode="External"/><Relationship Id="rId698" Type="http://schemas.openxmlformats.org/officeDocument/2006/relationships/hyperlink" Target="https://fantasy.espn.com/football/boxscore?leagueId=88024&amp;matchupPeriodId=8&amp;scoringPeriodId=8&amp;seasonId=2024&amp;teamId=5&amp;view=scoringperiod" TargetMode="External"/><Relationship Id="rId219" Type="http://schemas.openxmlformats.org/officeDocument/2006/relationships/hyperlink" Target="https://fantasy.espn.com/football/boxscore?leagueId=88024&amp;matchupPeriodId=2&amp;scoringPeriodId=2&amp;seasonId=2022&amp;teamId=10&amp;view=scoringperiod" TargetMode="External"/><Relationship Id="rId218" Type="http://schemas.openxmlformats.org/officeDocument/2006/relationships/hyperlink" Target="https://fantasy.espn.com/football/boxscore?leagueId=88024&amp;matchupPeriodId=2&amp;scoringPeriodId=2&amp;seasonId=2022&amp;teamId=11&amp;view=scoringperiod" TargetMode="External"/><Relationship Id="rId451" Type="http://schemas.openxmlformats.org/officeDocument/2006/relationships/hyperlink" Target="https://fantasy.espn.com/football/boxscore?leagueId=88024&amp;matchupPeriodId=4&amp;scoringPeriodId=4&amp;seasonId=2023&amp;teamId=3&amp;view=scoringperiod" TargetMode="External"/><Relationship Id="rId693" Type="http://schemas.openxmlformats.org/officeDocument/2006/relationships/hyperlink" Target="https://fantasy.espn.com/football/boxscore?leagueId=88024&amp;matchupPeriodId=7&amp;scoringPeriodId=7&amp;seasonId=2024&amp;teamId=3&amp;view=scoringperiod" TargetMode="External"/><Relationship Id="rId1040" Type="http://schemas.openxmlformats.org/officeDocument/2006/relationships/hyperlink" Target="https://fantasy.espn.com/football/boxscore?leagueId=88024&amp;matchupPeriodId=2&amp;scoringPeriodId=2&amp;seasonId=2026&amp;teamId=10&amp;view=scoringperiod" TargetMode="External"/><Relationship Id="rId450" Type="http://schemas.openxmlformats.org/officeDocument/2006/relationships/hyperlink" Target="https://fantasy.espn.com/football/boxscore?leagueId=88024&amp;matchupPeriodId=4&amp;scoringPeriodId=4&amp;seasonId=2023&amp;teamId=8&amp;view=scoringperiod" TargetMode="External"/><Relationship Id="rId692" Type="http://schemas.openxmlformats.org/officeDocument/2006/relationships/hyperlink" Target="https://fantasy.espn.com/football/boxscore?leagueId=88024&amp;matchupPeriodId=7&amp;scoringPeriodId=7&amp;seasonId=2024&amp;teamId=12&amp;view=scoringperiod" TargetMode="External"/><Relationship Id="rId1041" Type="http://schemas.openxmlformats.org/officeDocument/2006/relationships/hyperlink" Target="https://fantasy.espn.com/football/boxscore?leagueId=88024&amp;matchupPeriodId=2&amp;scoringPeriodId=2&amp;seasonId=2026&amp;teamId=11&amp;view=scoringperiod" TargetMode="External"/><Relationship Id="rId691" Type="http://schemas.openxmlformats.org/officeDocument/2006/relationships/hyperlink" Target="https://fantasy.espn.com/football/boxscore?leagueId=88024&amp;matchupPeriodId=7&amp;scoringPeriodId=7&amp;seasonId=2024&amp;teamId=12&amp;view=scoringperiod" TargetMode="External"/><Relationship Id="rId1042" Type="http://schemas.openxmlformats.org/officeDocument/2006/relationships/hyperlink" Target="https://fantasy.espn.com/football/boxscore?leagueId=88024&amp;matchupPeriodId=2&amp;scoringPeriodId=2&amp;seasonId=2026&amp;teamId=11&amp;view=scoringperiod" TargetMode="External"/><Relationship Id="rId690" Type="http://schemas.openxmlformats.org/officeDocument/2006/relationships/hyperlink" Target="https://fantasy.espn.com/football/boxscore?leagueId=88024&amp;matchupPeriodId=7&amp;scoringPeriodId=7&amp;seasonId=2024&amp;teamId=2&amp;view=scoringperiod" TargetMode="External"/><Relationship Id="rId1043" Type="http://schemas.openxmlformats.org/officeDocument/2006/relationships/hyperlink" Target="https://fantasy.espn.com/football/boxscore?leagueId=88024&amp;matchupPeriodId=3&amp;scoringPeriodId=3&amp;seasonId=2026&amp;teamId=8&amp;view=scoringperiod" TargetMode="External"/><Relationship Id="rId213" Type="http://schemas.openxmlformats.org/officeDocument/2006/relationships/hyperlink" Target="https://fantasy.espn.com/football/boxscore?leagueId=88024&amp;matchupPeriodId=1&amp;scoringPeriodId=1&amp;seasonId=2022&amp;teamId=5&amp;view=scoringperiod" TargetMode="External"/><Relationship Id="rId455" Type="http://schemas.openxmlformats.org/officeDocument/2006/relationships/hyperlink" Target="https://fantasy.espn.com/football/boxscore?leagueId=88024&amp;matchupPeriodId=4&amp;scoringPeriodId=4&amp;seasonId=2023&amp;teamId=3&amp;view=scoringperiod" TargetMode="External"/><Relationship Id="rId697" Type="http://schemas.openxmlformats.org/officeDocument/2006/relationships/hyperlink" Target="https://fantasy.espn.com/football/boxscore?leagueId=88024&amp;matchupPeriodId=8&amp;scoringPeriodId=8&amp;seasonId=2024&amp;teamId=5&amp;view=scoringperiod" TargetMode="External"/><Relationship Id="rId1044" Type="http://schemas.openxmlformats.org/officeDocument/2006/relationships/hyperlink" Target="https://fantasy.espn.com/football/boxscore?leagueId=88024&amp;matchupPeriodId=3&amp;scoringPeriodId=3&amp;seasonId=2026&amp;teamId=8&amp;view=scoringperiod" TargetMode="External"/><Relationship Id="rId212" Type="http://schemas.openxmlformats.org/officeDocument/2006/relationships/hyperlink" Target="https://fantasy.espn.com/football/boxscore?leagueId=88024&amp;matchupPeriodId=1&amp;scoringPeriodId=1&amp;seasonId=2022&amp;teamId=7&amp;view=scoringperiod" TargetMode="External"/><Relationship Id="rId454" Type="http://schemas.openxmlformats.org/officeDocument/2006/relationships/hyperlink" Target="https://fantasy.espn.com/football/boxscore?leagueId=88024&amp;matchupPeriodId=4&amp;scoringPeriodId=4&amp;seasonId=2023&amp;teamId=9&amp;view=scoringperiod" TargetMode="External"/><Relationship Id="rId696" Type="http://schemas.openxmlformats.org/officeDocument/2006/relationships/hyperlink" Target="https://fantasy.espn.com/football/boxscore?leagueId=88024&amp;matchupPeriodId=8&amp;scoringPeriodId=8&amp;seasonId=2024&amp;teamId=10&amp;view=scoringperiod" TargetMode="External"/><Relationship Id="rId1045" Type="http://schemas.openxmlformats.org/officeDocument/2006/relationships/hyperlink" Target="https://fantasy.espn.com/football/boxscore?leagueId=88024&amp;matchupPeriodId=3&amp;scoringPeriodId=3&amp;seasonId=2026&amp;teamId=12&amp;view=scoringperiod" TargetMode="External"/><Relationship Id="rId211" Type="http://schemas.openxmlformats.org/officeDocument/2006/relationships/hyperlink" Target="https://fantasy.espn.com/football/boxscore?leagueId=88024&amp;matchupPeriodId=1&amp;scoringPeriodId=1&amp;seasonId=2022&amp;teamId=7&amp;view=scoringperiod" TargetMode="External"/><Relationship Id="rId453" Type="http://schemas.openxmlformats.org/officeDocument/2006/relationships/hyperlink" Target="https://fantasy.espn.com/football/boxscore?leagueId=88024&amp;matchupPeriodId=4&amp;scoringPeriodId=4&amp;seasonId=2023&amp;teamId=9&amp;view=scoringperiod" TargetMode="External"/><Relationship Id="rId695" Type="http://schemas.openxmlformats.org/officeDocument/2006/relationships/hyperlink" Target="https://fantasy.espn.com/football/boxscore?leagueId=88024&amp;matchupPeriodId=8&amp;scoringPeriodId=8&amp;seasonId=2024&amp;teamId=10&amp;view=scoringperiod" TargetMode="External"/><Relationship Id="rId1046" Type="http://schemas.openxmlformats.org/officeDocument/2006/relationships/hyperlink" Target="https://fantasy.espn.com/football/boxscore?leagueId=88024&amp;matchupPeriodId=3&amp;scoringPeriodId=3&amp;seasonId=2026&amp;teamId=12&amp;view=scoringperiod" TargetMode="External"/><Relationship Id="rId210" Type="http://schemas.openxmlformats.org/officeDocument/2006/relationships/hyperlink" Target="https://fantasy.espn.com/football/boxscore?leagueId=88024&amp;matchupPeriodId=1&amp;scoringPeriodId=1&amp;seasonId=2022&amp;teamId=8&amp;view=scoringperiod" TargetMode="External"/><Relationship Id="rId452" Type="http://schemas.openxmlformats.org/officeDocument/2006/relationships/hyperlink" Target="https://fantasy.espn.com/football/boxscore?leagueId=88024&amp;matchupPeriodId=4&amp;scoringPeriodId=4&amp;seasonId=2023&amp;teamId=3&amp;view=scoringperiod" TargetMode="External"/><Relationship Id="rId694" Type="http://schemas.openxmlformats.org/officeDocument/2006/relationships/hyperlink" Target="https://fantasy.espn.com/football/boxscore?leagueId=88024&amp;matchupPeriodId=7&amp;scoringPeriodId=7&amp;seasonId=2024&amp;teamId=3&amp;view=scoringperiod" TargetMode="External"/><Relationship Id="rId1047" Type="http://schemas.openxmlformats.org/officeDocument/2006/relationships/hyperlink" Target="https://fantasy.espn.com/football/boxscore?leagueId=88024&amp;matchupPeriodId=3&amp;scoringPeriodId=3&amp;seasonId=2026&amp;teamId=2&amp;view=scoringperiod" TargetMode="External"/><Relationship Id="rId491" Type="http://schemas.openxmlformats.org/officeDocument/2006/relationships/hyperlink" Target="https://fantasy.espn.com/football/boxscore?leagueId=88024&amp;matchupPeriodId=7&amp;scoringPeriodId=7&amp;seasonId=2023&amp;teamId=8&amp;view=scoringperiod" TargetMode="External"/><Relationship Id="rId490" Type="http://schemas.openxmlformats.org/officeDocument/2006/relationships/hyperlink" Target="https://fantasy.espn.com/football/boxscore?leagueId=88024&amp;matchupPeriodId=7&amp;scoringPeriodId=7&amp;seasonId=2023&amp;teamId=3&amp;view=scoringperiod" TargetMode="External"/><Relationship Id="rId249" Type="http://schemas.openxmlformats.org/officeDocument/2006/relationships/hyperlink" Target="https://fantasy.espn.com/football/boxscore?leagueId=88024&amp;matchupPeriodId=4&amp;scoringPeriodId=4&amp;seasonId=2022&amp;teamId=9&amp;view=scoringperiod" TargetMode="External"/><Relationship Id="rId248" Type="http://schemas.openxmlformats.org/officeDocument/2006/relationships/hyperlink" Target="https://fantasy.espn.com/football/boxscore?leagueId=88024&amp;matchupPeriodId=4&amp;scoringPeriodId=4&amp;seasonId=2022&amp;teamId=10&amp;view=scoringperiod" TargetMode="External"/><Relationship Id="rId247" Type="http://schemas.openxmlformats.org/officeDocument/2006/relationships/hyperlink" Target="https://fantasy.espn.com/football/boxscore?leagueId=88024&amp;matchupPeriodId=4&amp;scoringPeriodId=4&amp;seasonId=2022&amp;teamId=10&amp;view=scoringperiod" TargetMode="External"/><Relationship Id="rId489" Type="http://schemas.openxmlformats.org/officeDocument/2006/relationships/hyperlink" Target="https://fantasy.espn.com/football/boxscore?leagueId=88024&amp;matchupPeriodId=7&amp;scoringPeriodId=7&amp;seasonId=2023&amp;teamId=3&amp;view=scoringperiod" TargetMode="External"/><Relationship Id="rId1070" Type="http://schemas.openxmlformats.org/officeDocument/2006/relationships/hyperlink" Target="https://fantasy.espn.com/football/boxscore?leagueId=88024&amp;matchupPeriodId=4&amp;scoringPeriodId=4&amp;seasonId=2026&amp;teamId=1&amp;view=scoringperiod" TargetMode="External"/><Relationship Id="rId1071" Type="http://schemas.openxmlformats.org/officeDocument/2006/relationships/hyperlink" Target="https://fantasy.espn.com/football/boxscore?leagueId=88024&amp;matchupPeriodId=5&amp;scoringPeriodId=5&amp;seasonId=2026&amp;teamId=8&amp;view=scoringperiod" TargetMode="External"/><Relationship Id="rId1072" Type="http://schemas.openxmlformats.org/officeDocument/2006/relationships/hyperlink" Target="https://fantasy.espn.com/football/boxscore?leagueId=88024&amp;matchupPeriodId=5&amp;scoringPeriodId=5&amp;seasonId=2026&amp;teamId=8&amp;view=scoringperiod" TargetMode="External"/><Relationship Id="rId242" Type="http://schemas.openxmlformats.org/officeDocument/2006/relationships/hyperlink" Target="https://fantasy.espn.com/football/boxscore?leagueId=88024&amp;matchupPeriodId=4&amp;scoringPeriodId=4&amp;seasonId=2022&amp;teamId=12&amp;view=scoringperiod" TargetMode="External"/><Relationship Id="rId484" Type="http://schemas.openxmlformats.org/officeDocument/2006/relationships/hyperlink" Target="https://fantasy.espn.com/football/boxscore?leagueId=88024&amp;matchupPeriodId=7&amp;scoringPeriodId=7&amp;seasonId=2023&amp;teamId=2&amp;view=scoringperiod" TargetMode="External"/><Relationship Id="rId1073" Type="http://schemas.openxmlformats.org/officeDocument/2006/relationships/hyperlink" Target="https://fantasy.espn.com/football/boxscore?leagueId=88024&amp;matchupPeriodId=5&amp;scoringPeriodId=5&amp;seasonId=2026&amp;teamId=6&amp;view=scoringperiod" TargetMode="External"/><Relationship Id="rId241" Type="http://schemas.openxmlformats.org/officeDocument/2006/relationships/hyperlink" Target="https://fantasy.espn.com/football/boxscore?leagueId=88024&amp;matchupPeriodId=4&amp;scoringPeriodId=4&amp;seasonId=2022&amp;teamId=12&amp;view=scoringperiod" TargetMode="External"/><Relationship Id="rId483" Type="http://schemas.openxmlformats.org/officeDocument/2006/relationships/hyperlink" Target="https://fantasy.espn.com/football/boxscore?leagueId=88024&amp;matchupPeriodId=7&amp;scoringPeriodId=7&amp;seasonId=2023&amp;teamId=2&amp;view=scoringperiod" TargetMode="External"/><Relationship Id="rId1074" Type="http://schemas.openxmlformats.org/officeDocument/2006/relationships/hyperlink" Target="https://fantasy.espn.com/football/boxscore?leagueId=88024&amp;matchupPeriodId=5&amp;scoringPeriodId=5&amp;seasonId=2026&amp;teamId=6&amp;view=scoringperiod" TargetMode="External"/><Relationship Id="rId240" Type="http://schemas.openxmlformats.org/officeDocument/2006/relationships/hyperlink" Target="https://fantasy.espn.com/football/boxscore?leagueId=88024&amp;matchupPeriodId=4&amp;scoringPeriodId=4&amp;seasonId=2022&amp;teamId=8&amp;view=scoringperiod" TargetMode="External"/><Relationship Id="rId482" Type="http://schemas.openxmlformats.org/officeDocument/2006/relationships/hyperlink" Target="https://fantasy.espn.com/football/boxscore?leagueId=88024&amp;matchupPeriodId=7&amp;scoringPeriodId=7&amp;seasonId=2023&amp;teamId=7&amp;view=scoringperiod" TargetMode="External"/><Relationship Id="rId1075" Type="http://schemas.openxmlformats.org/officeDocument/2006/relationships/hyperlink" Target="https://fantasy.espn.com/football/boxscore?leagueId=88024&amp;matchupPeriodId=5&amp;scoringPeriodId=5&amp;seasonId=2026&amp;teamId=3&amp;view=scoringperiod" TargetMode="External"/><Relationship Id="rId481" Type="http://schemas.openxmlformats.org/officeDocument/2006/relationships/hyperlink" Target="https://fantasy.espn.com/football/boxscore?leagueId=88024&amp;matchupPeriodId=7&amp;scoringPeriodId=7&amp;seasonId=2023&amp;teamId=7&amp;view=scoringperiod" TargetMode="External"/><Relationship Id="rId1076" Type="http://schemas.openxmlformats.org/officeDocument/2006/relationships/hyperlink" Target="https://fantasy.espn.com/football/boxscore?leagueId=88024&amp;matchupPeriodId=5&amp;scoringPeriodId=5&amp;seasonId=2026&amp;teamId=3&amp;view=scoringperiod" TargetMode="External"/><Relationship Id="rId246" Type="http://schemas.openxmlformats.org/officeDocument/2006/relationships/hyperlink" Target="https://fantasy.espn.com/football/boxscore?leagueId=88024&amp;matchupPeriodId=4&amp;scoringPeriodId=4&amp;seasonId=2022&amp;teamId=11&amp;view=scoringperiod" TargetMode="External"/><Relationship Id="rId488" Type="http://schemas.openxmlformats.org/officeDocument/2006/relationships/hyperlink" Target="https://fantasy.espn.com/football/boxscore?leagueId=88024&amp;matchupPeriodId=7&amp;scoringPeriodId=7&amp;seasonId=2023&amp;teamId=9&amp;view=scoringperiod" TargetMode="External"/><Relationship Id="rId1077" Type="http://schemas.openxmlformats.org/officeDocument/2006/relationships/hyperlink" Target="https://fantasy.espn.com/football/boxscore?leagueId=88024&amp;matchupPeriodId=5&amp;scoringPeriodId=5&amp;seasonId=2026&amp;teamId=11&amp;view=scoringperiod" TargetMode="External"/><Relationship Id="rId245" Type="http://schemas.openxmlformats.org/officeDocument/2006/relationships/hyperlink" Target="https://fantasy.espn.com/football/boxscore?leagueId=88024&amp;matchupPeriodId=4&amp;scoringPeriodId=4&amp;seasonId=2022&amp;teamId=11&amp;view=scoringperiod" TargetMode="External"/><Relationship Id="rId487" Type="http://schemas.openxmlformats.org/officeDocument/2006/relationships/hyperlink" Target="https://fantasy.espn.com/football/boxscore?leagueId=88024&amp;matchupPeriodId=7&amp;scoringPeriodId=7&amp;seasonId=2023&amp;teamId=9&amp;view=scoringperiod" TargetMode="External"/><Relationship Id="rId1078" Type="http://schemas.openxmlformats.org/officeDocument/2006/relationships/hyperlink" Target="https://fantasy.espn.com/football/boxscore?leagueId=88024&amp;matchupPeriodId=5&amp;scoringPeriodId=5&amp;seasonId=2026&amp;teamId=11&amp;view=scoringperiod" TargetMode="External"/><Relationship Id="rId244" Type="http://schemas.openxmlformats.org/officeDocument/2006/relationships/hyperlink" Target="https://fantasy.espn.com/football/boxscore?leagueId=88024&amp;matchupPeriodId=4&amp;scoringPeriodId=4&amp;seasonId=2022&amp;teamId=6&amp;view=scoringperiod" TargetMode="External"/><Relationship Id="rId486" Type="http://schemas.openxmlformats.org/officeDocument/2006/relationships/hyperlink" Target="https://fantasy.espn.com/football/boxscore?leagueId=88024&amp;matchupPeriodId=7&amp;scoringPeriodId=7&amp;seasonId=2023&amp;teamId=5&amp;view=scoringperiod" TargetMode="External"/><Relationship Id="rId1079" Type="http://schemas.openxmlformats.org/officeDocument/2006/relationships/hyperlink" Target="https://fantasy.espn.com/football/boxscore?leagueId=88024&amp;matchupPeriodId=5&amp;scoringPeriodId=5&amp;seasonId=2026&amp;teamId=10&amp;view=scoringperiod" TargetMode="External"/><Relationship Id="rId243" Type="http://schemas.openxmlformats.org/officeDocument/2006/relationships/hyperlink" Target="https://fantasy.espn.com/football/boxscore?leagueId=88024&amp;matchupPeriodId=4&amp;scoringPeriodId=4&amp;seasonId=2022&amp;teamId=6&amp;view=scoringperiod" TargetMode="External"/><Relationship Id="rId485" Type="http://schemas.openxmlformats.org/officeDocument/2006/relationships/hyperlink" Target="https://fantasy.espn.com/football/boxscore?leagueId=88024&amp;matchupPeriodId=7&amp;scoringPeriodId=7&amp;seasonId=2023&amp;teamId=5&amp;view=scoringperiod" TargetMode="External"/><Relationship Id="rId480" Type="http://schemas.openxmlformats.org/officeDocument/2006/relationships/hyperlink" Target="https://fantasy.espn.com/football/boxscore?leagueId=88024&amp;matchupPeriodId=6&amp;scoringPeriodId=6&amp;seasonId=2023&amp;teamId=8&amp;view=scoringperiod" TargetMode="External"/><Relationship Id="rId239" Type="http://schemas.openxmlformats.org/officeDocument/2006/relationships/hyperlink" Target="https://fantasy.espn.com/football/boxscore?leagueId=88024&amp;matchupPeriodId=4&amp;scoringPeriodId=4&amp;seasonId=2022&amp;teamId=8&amp;view=scoringperiod" TargetMode="External"/><Relationship Id="rId238" Type="http://schemas.openxmlformats.org/officeDocument/2006/relationships/hyperlink" Target="https://fantasy.espn.com/football/boxscore?leagueId=88024&amp;matchupPeriodId=3&amp;scoringPeriodId=3&amp;seasonId=2022&amp;teamId=4&amp;view=scoringperiod" TargetMode="External"/><Relationship Id="rId237" Type="http://schemas.openxmlformats.org/officeDocument/2006/relationships/hyperlink" Target="https://fantasy.espn.com/football/boxscore?leagueId=88024&amp;matchupPeriodId=3&amp;scoringPeriodId=3&amp;seasonId=2022&amp;teamId=4&amp;view=scoringperiod" TargetMode="External"/><Relationship Id="rId479" Type="http://schemas.openxmlformats.org/officeDocument/2006/relationships/hyperlink" Target="https://fantasy.espn.com/football/boxscore?leagueId=88024&amp;matchupPeriodId=6&amp;scoringPeriodId=6&amp;seasonId=2023&amp;teamId=8&amp;view=scoringperiod" TargetMode="External"/><Relationship Id="rId236" Type="http://schemas.openxmlformats.org/officeDocument/2006/relationships/hyperlink" Target="https://fantasy.espn.com/football/boxscore?leagueId=88024&amp;matchupPeriodId=3&amp;scoringPeriodId=3&amp;seasonId=2022&amp;teamId=2&amp;view=scoringperiod" TargetMode="External"/><Relationship Id="rId478" Type="http://schemas.openxmlformats.org/officeDocument/2006/relationships/hyperlink" Target="https://fantasy.espn.com/football/boxscore?leagueId=88024&amp;matchupPeriodId=6&amp;scoringPeriodId=6&amp;seasonId=2023&amp;teamId=10&amp;view=scoringperiod" TargetMode="External"/><Relationship Id="rId1060" Type="http://schemas.openxmlformats.org/officeDocument/2006/relationships/hyperlink" Target="https://fantasy.espn.com/football/boxscore?leagueId=88024&amp;matchupPeriodId=4&amp;scoringPeriodId=4&amp;seasonId=2026&amp;teamId=4&amp;view=scoringperiod" TargetMode="External"/><Relationship Id="rId1061" Type="http://schemas.openxmlformats.org/officeDocument/2006/relationships/hyperlink" Target="https://fantasy.espn.com/football/boxscore?leagueId=88024&amp;matchupPeriodId=4&amp;scoringPeriodId=4&amp;seasonId=2026&amp;teamId=9&amp;view=scoringperiod" TargetMode="External"/><Relationship Id="rId231" Type="http://schemas.openxmlformats.org/officeDocument/2006/relationships/hyperlink" Target="https://fantasy.espn.com/football/boxscore?leagueId=88024&amp;matchupPeriodId=3&amp;scoringPeriodId=3&amp;seasonId=2022&amp;teamId=7&amp;view=scoringperiod" TargetMode="External"/><Relationship Id="rId473" Type="http://schemas.openxmlformats.org/officeDocument/2006/relationships/hyperlink" Target="https://fantasy.espn.com/football/boxscore?leagueId=88024&amp;matchupPeriodId=6&amp;scoringPeriodId=6&amp;seasonId=2023&amp;teamId=1&amp;view=scoringperiod" TargetMode="External"/><Relationship Id="rId1062" Type="http://schemas.openxmlformats.org/officeDocument/2006/relationships/hyperlink" Target="https://fantasy.espn.com/football/boxscore?leagueId=88024&amp;matchupPeriodId=4&amp;scoringPeriodId=4&amp;seasonId=2026&amp;teamId=9&amp;view=scoringperiod" TargetMode="External"/><Relationship Id="rId230" Type="http://schemas.openxmlformats.org/officeDocument/2006/relationships/hyperlink" Target="https://fantasy.espn.com/football/boxscore?leagueId=88024&amp;matchupPeriodId=3&amp;scoringPeriodId=3&amp;seasonId=2022&amp;teamId=8&amp;view=scoringperiod" TargetMode="External"/><Relationship Id="rId472" Type="http://schemas.openxmlformats.org/officeDocument/2006/relationships/hyperlink" Target="https://fantasy.espn.com/football/boxscore?leagueId=88024&amp;matchupPeriodId=6&amp;scoringPeriodId=6&amp;seasonId=2023&amp;teamId=4&amp;view=scoringperiod" TargetMode="External"/><Relationship Id="rId1063" Type="http://schemas.openxmlformats.org/officeDocument/2006/relationships/hyperlink" Target="https://fantasy.espn.com/football/boxscore?leagueId=88024&amp;matchupPeriodId=4&amp;scoringPeriodId=4&amp;seasonId=2026&amp;teamId=5&amp;view=scoringperiod" TargetMode="External"/><Relationship Id="rId471" Type="http://schemas.openxmlformats.org/officeDocument/2006/relationships/hyperlink" Target="https://fantasy.espn.com/football/boxscore?leagueId=88024&amp;matchupPeriodId=6&amp;scoringPeriodId=6&amp;seasonId=2023&amp;teamId=4&amp;view=scoringperiod" TargetMode="External"/><Relationship Id="rId1064" Type="http://schemas.openxmlformats.org/officeDocument/2006/relationships/hyperlink" Target="https://fantasy.espn.com/football/boxscore?leagueId=88024&amp;matchupPeriodId=4&amp;scoringPeriodId=4&amp;seasonId=2026&amp;teamId=5&amp;view=scoringperiod" TargetMode="External"/><Relationship Id="rId470" Type="http://schemas.openxmlformats.org/officeDocument/2006/relationships/hyperlink" Target="https://fantasy.espn.com/football/boxscore?leagueId=88024&amp;matchupPeriodId=6&amp;scoringPeriodId=6&amp;seasonId=2023&amp;teamId=12&amp;view=scoringperiod" TargetMode="External"/><Relationship Id="rId1065" Type="http://schemas.openxmlformats.org/officeDocument/2006/relationships/hyperlink" Target="https://fantasy.espn.com/football/boxscore?leagueId=88024&amp;matchupPeriodId=4&amp;scoringPeriodId=4&amp;seasonId=2026&amp;teamId=1&amp;view=scoringperiod" TargetMode="External"/><Relationship Id="rId235" Type="http://schemas.openxmlformats.org/officeDocument/2006/relationships/hyperlink" Target="https://fantasy.espn.com/football/boxscore?leagueId=88024&amp;matchupPeriodId=3&amp;scoringPeriodId=3&amp;seasonId=2022&amp;teamId=2&amp;view=scoringperiod" TargetMode="External"/><Relationship Id="rId477" Type="http://schemas.openxmlformats.org/officeDocument/2006/relationships/hyperlink" Target="https://fantasy.espn.com/football/boxscore?leagueId=88024&amp;matchupPeriodId=6&amp;scoringPeriodId=6&amp;seasonId=2023&amp;teamId=10&amp;view=scoringperiod" TargetMode="External"/><Relationship Id="rId1066" Type="http://schemas.openxmlformats.org/officeDocument/2006/relationships/hyperlink" Target="https://fantasy.espn.com/football/boxscore?leagueId=88024&amp;matchupPeriodId=4&amp;scoringPeriodId=4&amp;seasonId=2026&amp;teamId=1&amp;view=scoringperiod" TargetMode="External"/><Relationship Id="rId234" Type="http://schemas.openxmlformats.org/officeDocument/2006/relationships/hyperlink" Target="https://fantasy.espn.com/football/boxscore?leagueId=88024&amp;matchupPeriodId=3&amp;scoringPeriodId=3&amp;seasonId=2022&amp;teamId=5&amp;view=scoringperiod" TargetMode="External"/><Relationship Id="rId476" Type="http://schemas.openxmlformats.org/officeDocument/2006/relationships/hyperlink" Target="https://fantasy.espn.com/football/boxscore?leagueId=88024&amp;matchupPeriodId=6&amp;scoringPeriodId=6&amp;seasonId=2023&amp;teamId=6&amp;view=scoringperiod" TargetMode="External"/><Relationship Id="rId1067" Type="http://schemas.openxmlformats.org/officeDocument/2006/relationships/hyperlink" Target="https://fantasy.espn.com/football/boxscore?leagueId=88024&amp;matchupPeriodId=4&amp;scoringPeriodId=4&amp;seasonId=2026&amp;teamId=7&amp;view=scoringperiod" TargetMode="External"/><Relationship Id="rId233" Type="http://schemas.openxmlformats.org/officeDocument/2006/relationships/hyperlink" Target="https://fantasy.espn.com/football/boxscore?leagueId=88024&amp;matchupPeriodId=3&amp;scoringPeriodId=3&amp;seasonId=2022&amp;teamId=5&amp;view=scoringperiod" TargetMode="External"/><Relationship Id="rId475" Type="http://schemas.openxmlformats.org/officeDocument/2006/relationships/hyperlink" Target="https://fantasy.espn.com/football/boxscore?leagueId=88024&amp;matchupPeriodId=6&amp;scoringPeriodId=6&amp;seasonId=2023&amp;teamId=6&amp;view=scoringperiod" TargetMode="External"/><Relationship Id="rId1068" Type="http://schemas.openxmlformats.org/officeDocument/2006/relationships/hyperlink" Target="https://fantasy.espn.com/football/boxscore?leagueId=88024&amp;matchupPeriodId=4&amp;scoringPeriodId=4&amp;seasonId=2026&amp;teamId=7&amp;view=scoringperiod" TargetMode="External"/><Relationship Id="rId232" Type="http://schemas.openxmlformats.org/officeDocument/2006/relationships/hyperlink" Target="https://fantasy.espn.com/football/boxscore?leagueId=88024&amp;matchupPeriodId=3&amp;scoringPeriodId=3&amp;seasonId=2022&amp;teamId=7&amp;view=scoringperiod" TargetMode="External"/><Relationship Id="rId474" Type="http://schemas.openxmlformats.org/officeDocument/2006/relationships/hyperlink" Target="https://fantasy.espn.com/football/boxscore?leagueId=88024&amp;matchupPeriodId=6&amp;scoringPeriodId=6&amp;seasonId=2023&amp;teamId=1&amp;view=scoringperiod" TargetMode="External"/><Relationship Id="rId1069" Type="http://schemas.openxmlformats.org/officeDocument/2006/relationships/hyperlink" Target="https://fantasy.espn.com/football/boxscore?leagueId=88024&amp;matchupPeriodId=4&amp;scoringPeriodId=4&amp;seasonId=2026&amp;teamId=1&amp;view=scoringperiod" TargetMode="External"/><Relationship Id="rId1015" Type="http://schemas.openxmlformats.org/officeDocument/2006/relationships/hyperlink" Target="https://fantasy.espn.com/football/boxscore?leagueId=88024&amp;matchupPeriodId=17&amp;scoringPeriodId=17&amp;seasonId=2025&amp;teamId=11&amp;view=scoringperiod" TargetMode="External"/><Relationship Id="rId1016" Type="http://schemas.openxmlformats.org/officeDocument/2006/relationships/hyperlink" Target="https://fantasy.espn.com/football/boxscore?leagueId=88024&amp;matchupPeriodId=17&amp;scoringPeriodId=17&amp;seasonId=2025&amp;teamId=11&amp;view=scoringperiod" TargetMode="External"/><Relationship Id="rId1017" Type="http://schemas.openxmlformats.org/officeDocument/2006/relationships/hyperlink" Target="https://fantasy.espn.com/football/boxscore?leagueId=88024&amp;matchupPeriodId=17&amp;scoringPeriodId=17&amp;seasonId=2025&amp;teamId=10&amp;view=scoringperiod" TargetMode="External"/><Relationship Id="rId1018" Type="http://schemas.openxmlformats.org/officeDocument/2006/relationships/hyperlink" Target="https://fantasy.espn.com/football/boxscore?leagueId=88024&amp;matchupPeriodId=17&amp;scoringPeriodId=17&amp;seasonId=2025&amp;teamId=10&amp;view=scoringperiod" TargetMode="External"/><Relationship Id="rId1019" Type="http://schemas.openxmlformats.org/officeDocument/2006/relationships/hyperlink" Target="https://fantasy.espn.com/football/boxscore?leagueId=88024&amp;matchupPeriodId=1&amp;scoringPeriodId=1&amp;seasonId=2026&amp;teamId=8&amp;view=scoringperiod" TargetMode="External"/><Relationship Id="rId426" Type="http://schemas.openxmlformats.org/officeDocument/2006/relationships/hyperlink" Target="https://fantasy.espn.com/football/boxscore?leagueId=88024&amp;matchupPeriodId=2&amp;scoringPeriodId=2&amp;seasonId=2023&amp;teamId=5&amp;view=scoringperiod" TargetMode="External"/><Relationship Id="rId668" Type="http://schemas.openxmlformats.org/officeDocument/2006/relationships/hyperlink" Target="https://fantasy.espn.com/football/boxscore?leagueId=88024&amp;matchupPeriodId=5&amp;scoringPeriodId=5&amp;seasonId=2024&amp;teamId=7&amp;view=scoringperiod" TargetMode="External"/><Relationship Id="rId425" Type="http://schemas.openxmlformats.org/officeDocument/2006/relationships/hyperlink" Target="https://fantasy.espn.com/football/boxscore?leagueId=88024&amp;matchupPeriodId=2&amp;scoringPeriodId=2&amp;seasonId=2023&amp;teamId=5&amp;view=scoringperiod" TargetMode="External"/><Relationship Id="rId667" Type="http://schemas.openxmlformats.org/officeDocument/2006/relationships/hyperlink" Target="https://fantasy.espn.com/football/boxscore?leagueId=88024&amp;matchupPeriodId=5&amp;scoringPeriodId=5&amp;seasonId=2024&amp;teamId=7&amp;view=scoringperiod" TargetMode="External"/><Relationship Id="rId424" Type="http://schemas.openxmlformats.org/officeDocument/2006/relationships/hyperlink" Target="https://fantasy.espn.com/football/boxscore?leagueId=88024&amp;matchupPeriodId=2&amp;scoringPeriodId=2&amp;seasonId=2023&amp;teamId=9&amp;view=scoringperiod" TargetMode="External"/><Relationship Id="rId666" Type="http://schemas.openxmlformats.org/officeDocument/2006/relationships/hyperlink" Target="https://fantasy.espn.com/football/boxscore?leagueId=88024&amp;matchupPeriodId=5&amp;scoringPeriodId=5&amp;seasonId=2024&amp;teamId=10&amp;view=scoringperiod" TargetMode="External"/><Relationship Id="rId423" Type="http://schemas.openxmlformats.org/officeDocument/2006/relationships/hyperlink" Target="https://fantasy.espn.com/football/boxscore?leagueId=88024&amp;matchupPeriodId=2&amp;scoringPeriodId=2&amp;seasonId=2023&amp;teamId=9&amp;view=scoringperiod" TargetMode="External"/><Relationship Id="rId665" Type="http://schemas.openxmlformats.org/officeDocument/2006/relationships/hyperlink" Target="https://fantasy.espn.com/football/boxscore?leagueId=88024&amp;matchupPeriodId=5&amp;scoringPeriodId=5&amp;seasonId=2024&amp;teamId=10&amp;view=scoringperiod" TargetMode="External"/><Relationship Id="rId429" Type="http://schemas.openxmlformats.org/officeDocument/2006/relationships/hyperlink" Target="https://fantasy.espn.com/football/boxscore?leagueId=88024&amp;matchupPeriodId=3&amp;scoringPeriodId=3&amp;seasonId=2023&amp;teamId=7&amp;view=scoringperiod" TargetMode="External"/><Relationship Id="rId428" Type="http://schemas.openxmlformats.org/officeDocument/2006/relationships/hyperlink" Target="https://fantasy.espn.com/football/boxscore?leagueId=88024&amp;matchupPeriodId=2&amp;scoringPeriodId=2&amp;seasonId=2023&amp;teamId=2&amp;view=scoringperiod" TargetMode="External"/><Relationship Id="rId427" Type="http://schemas.openxmlformats.org/officeDocument/2006/relationships/hyperlink" Target="https://fantasy.espn.com/football/boxscore?leagueId=88024&amp;matchupPeriodId=2&amp;scoringPeriodId=2&amp;seasonId=2023&amp;teamId=2&amp;view=scoringperiod" TargetMode="External"/><Relationship Id="rId669" Type="http://schemas.openxmlformats.org/officeDocument/2006/relationships/hyperlink" Target="https://fantasy.espn.com/football/boxscore?leagueId=88024&amp;matchupPeriodId=5&amp;scoringPeriodId=5&amp;seasonId=2024&amp;teamId=2&amp;view=scoringperiod" TargetMode="External"/><Relationship Id="rId660" Type="http://schemas.openxmlformats.org/officeDocument/2006/relationships/hyperlink" Target="https://fantasy.espn.com/football/boxscore?leagueId=88024&amp;matchupPeriodId=5&amp;scoringPeriodId=5&amp;seasonId=2024&amp;teamId=6&amp;view=scoringperiod" TargetMode="External"/><Relationship Id="rId1010" Type="http://schemas.openxmlformats.org/officeDocument/2006/relationships/hyperlink" Target="https://fantasy.espn.com/football/boxscore?leagueId=88024&amp;matchupPeriodId=17&amp;scoringPeriodId=17&amp;seasonId=2025&amp;teamId=2&amp;view=scoringperiod" TargetMode="External"/><Relationship Id="rId422" Type="http://schemas.openxmlformats.org/officeDocument/2006/relationships/hyperlink" Target="https://fantasy.espn.com/football/boxscore?leagueId=88024&amp;matchupPeriodId=2&amp;scoringPeriodId=2&amp;seasonId=2023&amp;teamId=3&amp;view=scoringperiod" TargetMode="External"/><Relationship Id="rId664" Type="http://schemas.openxmlformats.org/officeDocument/2006/relationships/hyperlink" Target="https://fantasy.espn.com/football/boxscore?leagueId=88024&amp;matchupPeriodId=5&amp;scoringPeriodId=5&amp;seasonId=2024&amp;teamId=5&amp;view=scoringperiod" TargetMode="External"/><Relationship Id="rId1011" Type="http://schemas.openxmlformats.org/officeDocument/2006/relationships/hyperlink" Target="https://fantasy.espn.com/football/boxscore?leagueId=88024&amp;matchupPeriodId=17&amp;scoringPeriodId=17&amp;seasonId=2025&amp;teamId=4&amp;view=scoringperiod" TargetMode="External"/><Relationship Id="rId421" Type="http://schemas.openxmlformats.org/officeDocument/2006/relationships/hyperlink" Target="https://fantasy.espn.com/football/boxscore?leagueId=88024&amp;matchupPeriodId=2&amp;scoringPeriodId=2&amp;seasonId=2023&amp;teamId=3&amp;view=scoringperiod" TargetMode="External"/><Relationship Id="rId663" Type="http://schemas.openxmlformats.org/officeDocument/2006/relationships/hyperlink" Target="https://fantasy.espn.com/football/boxscore?leagueId=88024&amp;matchupPeriodId=5&amp;scoringPeriodId=5&amp;seasonId=2024&amp;teamId=5&amp;view=scoringperiod" TargetMode="External"/><Relationship Id="rId1012" Type="http://schemas.openxmlformats.org/officeDocument/2006/relationships/hyperlink" Target="https://fantasy.espn.com/football/boxscore?leagueId=88024&amp;matchupPeriodId=17&amp;scoringPeriodId=17&amp;seasonId=2025&amp;teamId=4&amp;view=scoringperiod" TargetMode="External"/><Relationship Id="rId420" Type="http://schemas.openxmlformats.org/officeDocument/2006/relationships/hyperlink" Target="https://fantasy.espn.com/football/boxscore?leagueId=88024&amp;matchupPeriodId=2&amp;scoringPeriodId=2&amp;seasonId=2023&amp;teamId=8&amp;view=scoringperiod" TargetMode="External"/><Relationship Id="rId662" Type="http://schemas.openxmlformats.org/officeDocument/2006/relationships/hyperlink" Target="https://fantasy.espn.com/football/boxscore?leagueId=88024&amp;matchupPeriodId=5&amp;scoringPeriodId=5&amp;seasonId=2024&amp;teamId=4&amp;view=scoringperiod" TargetMode="External"/><Relationship Id="rId1013" Type="http://schemas.openxmlformats.org/officeDocument/2006/relationships/hyperlink" Target="https://fantasy.espn.com/football/boxscore?leagueId=88024&amp;matchupPeriodId=17&amp;scoringPeriodId=17&amp;seasonId=2025&amp;teamId=5&amp;view=scoringperiod" TargetMode="External"/><Relationship Id="rId661" Type="http://schemas.openxmlformats.org/officeDocument/2006/relationships/hyperlink" Target="https://fantasy.espn.com/football/boxscore?leagueId=88024&amp;matchupPeriodId=5&amp;scoringPeriodId=5&amp;seasonId=2024&amp;teamId=4&amp;view=scoringperiod" TargetMode="External"/><Relationship Id="rId1014" Type="http://schemas.openxmlformats.org/officeDocument/2006/relationships/hyperlink" Target="https://fantasy.espn.com/football/boxscore?leagueId=88024&amp;matchupPeriodId=17&amp;scoringPeriodId=17&amp;seasonId=2025&amp;teamId=5&amp;view=scoringperiod" TargetMode="External"/><Relationship Id="rId1004" Type="http://schemas.openxmlformats.org/officeDocument/2006/relationships/hyperlink" Target="https://fantasy.espn.com/football/boxscore?leagueId=88024&amp;matchupPeriodId=16&amp;scoringPeriodId=16&amp;seasonId=2025&amp;teamId=5&amp;view=scoringperiod" TargetMode="External"/><Relationship Id="rId1005" Type="http://schemas.openxmlformats.org/officeDocument/2006/relationships/hyperlink" Target="https://fantasy.espn.com/football/boxscore?leagueId=88024&amp;matchupPeriodId=16&amp;scoringPeriodId=16&amp;seasonId=2025&amp;teamId=10&amp;view=scoringperiod" TargetMode="External"/><Relationship Id="rId1006" Type="http://schemas.openxmlformats.org/officeDocument/2006/relationships/hyperlink" Target="https://fantasy.espn.com/football/boxscore?leagueId=88024&amp;matchupPeriodId=16&amp;scoringPeriodId=16&amp;seasonId=2025&amp;teamId=10&amp;view=scoringperiod" TargetMode="External"/><Relationship Id="rId1007" Type="http://schemas.openxmlformats.org/officeDocument/2006/relationships/hyperlink" Target="https://fantasy.espn.com/football/boxscore?leagueId=88024&amp;matchupPeriodId=17&amp;scoringPeriodId=17&amp;seasonId=2025&amp;teamId=6&amp;view=scoringperiod" TargetMode="External"/><Relationship Id="rId1008" Type="http://schemas.openxmlformats.org/officeDocument/2006/relationships/hyperlink" Target="https://fantasy.espn.com/football/boxscore?leagueId=88024&amp;matchupPeriodId=17&amp;scoringPeriodId=17&amp;seasonId=2025&amp;teamId=6&amp;view=scoringperiod" TargetMode="External"/><Relationship Id="rId1009" Type="http://schemas.openxmlformats.org/officeDocument/2006/relationships/hyperlink" Target="https://fantasy.espn.com/football/boxscore?leagueId=88024&amp;matchupPeriodId=17&amp;scoringPeriodId=17&amp;seasonId=2025&amp;teamId=2&amp;view=scoringperiod" TargetMode="External"/><Relationship Id="rId415" Type="http://schemas.openxmlformats.org/officeDocument/2006/relationships/hyperlink" Target="https://fantasy.espn.com/football/boxscore?leagueId=88024&amp;matchupPeriodId=1&amp;scoringPeriodId=1&amp;seasonId=2023&amp;teamId=12&amp;view=scoringperiod" TargetMode="External"/><Relationship Id="rId657" Type="http://schemas.openxmlformats.org/officeDocument/2006/relationships/hyperlink" Target="https://fantasy.espn.com/football/boxscore?leagueId=88024&amp;matchupPeriodId=4&amp;scoringPeriodId=4&amp;seasonId=2024&amp;teamId=2&amp;view=scoringperiod" TargetMode="External"/><Relationship Id="rId899" Type="http://schemas.openxmlformats.org/officeDocument/2006/relationships/hyperlink" Target="https://fantasy.espn.com/football/boxscore?leagueId=88024&amp;matchupPeriodId=7&amp;scoringPeriodId=7&amp;seasonId=2025&amp;teamId=10&amp;view=scoringperiod" TargetMode="External"/><Relationship Id="rId414" Type="http://schemas.openxmlformats.org/officeDocument/2006/relationships/hyperlink" Target="https://fantasy.espn.com/football/boxscore?leagueId=88024&amp;matchupPeriodId=1&amp;scoringPeriodId=1&amp;seasonId=2023&amp;teamId=4&amp;view=scoringperiod" TargetMode="External"/><Relationship Id="rId656" Type="http://schemas.openxmlformats.org/officeDocument/2006/relationships/hyperlink" Target="https://fantasy.espn.com/football/boxscore?leagueId=88024&amp;matchupPeriodId=4&amp;scoringPeriodId=4&amp;seasonId=2024&amp;teamId=12&amp;view=scoringperiod" TargetMode="External"/><Relationship Id="rId898" Type="http://schemas.openxmlformats.org/officeDocument/2006/relationships/hyperlink" Target="https://fantasy.espn.com/football/boxscore?leagueId=88024&amp;matchupPeriodId=7&amp;scoringPeriodId=7&amp;seasonId=2025&amp;teamId=6&amp;view=scoringperiod" TargetMode="External"/><Relationship Id="rId413" Type="http://schemas.openxmlformats.org/officeDocument/2006/relationships/hyperlink" Target="https://fantasy.espn.com/football/boxscore?leagueId=88024&amp;matchupPeriodId=1&amp;scoringPeriodId=1&amp;seasonId=2023&amp;teamId=4&amp;view=scoringperiod" TargetMode="External"/><Relationship Id="rId655" Type="http://schemas.openxmlformats.org/officeDocument/2006/relationships/hyperlink" Target="https://fantasy.espn.com/football/boxscore?leagueId=88024&amp;matchupPeriodId=4&amp;scoringPeriodId=4&amp;seasonId=2024&amp;teamId=12&amp;view=scoringperiod" TargetMode="External"/><Relationship Id="rId897" Type="http://schemas.openxmlformats.org/officeDocument/2006/relationships/hyperlink" Target="https://fantasy.espn.com/football/boxscore?leagueId=88024&amp;matchupPeriodId=7&amp;scoringPeriodId=7&amp;seasonId=2025&amp;teamId=6&amp;view=scoringperiod" TargetMode="External"/><Relationship Id="rId412" Type="http://schemas.openxmlformats.org/officeDocument/2006/relationships/hyperlink" Target="https://fantasy.espn.com/football/boxscore?leagueId=88024&amp;matchupPeriodId=1&amp;scoringPeriodId=1&amp;seasonId=2023&amp;teamId=1&amp;view=scoringperiod" TargetMode="External"/><Relationship Id="rId654" Type="http://schemas.openxmlformats.org/officeDocument/2006/relationships/hyperlink" Target="https://fantasy.espn.com/football/boxscore?leagueId=88024&amp;matchupPeriodId=4&amp;scoringPeriodId=4&amp;seasonId=2024&amp;teamId=3&amp;view=scoringperiod" TargetMode="External"/><Relationship Id="rId896" Type="http://schemas.openxmlformats.org/officeDocument/2006/relationships/hyperlink" Target="https://fantasy.espn.com/football/boxscore?leagueId=88024&amp;matchupPeriodId=7&amp;scoringPeriodId=7&amp;seasonId=2025&amp;teamId=5&amp;view=scoringperiod" TargetMode="External"/><Relationship Id="rId419" Type="http://schemas.openxmlformats.org/officeDocument/2006/relationships/hyperlink" Target="https://fantasy.espn.com/football/boxscore?leagueId=88024&amp;matchupPeriodId=2&amp;scoringPeriodId=2&amp;seasonId=2023&amp;teamId=8&amp;view=scoringperiod" TargetMode="External"/><Relationship Id="rId418" Type="http://schemas.openxmlformats.org/officeDocument/2006/relationships/hyperlink" Target="https://fantasy.espn.com/football/boxscore?leagueId=88024&amp;matchupPeriodId=2&amp;scoringPeriodId=2&amp;seasonId=2023&amp;teamId=10&amp;view=scoringperiod" TargetMode="External"/><Relationship Id="rId417" Type="http://schemas.openxmlformats.org/officeDocument/2006/relationships/hyperlink" Target="https://fantasy.espn.com/football/boxscore?leagueId=88024&amp;matchupPeriodId=2&amp;scoringPeriodId=2&amp;seasonId=2023&amp;teamId=10&amp;view=scoringperiod" TargetMode="External"/><Relationship Id="rId659" Type="http://schemas.openxmlformats.org/officeDocument/2006/relationships/hyperlink" Target="https://fantasy.espn.com/football/boxscore?leagueId=88024&amp;matchupPeriodId=5&amp;scoringPeriodId=5&amp;seasonId=2024&amp;teamId=6&amp;view=scoringperiod" TargetMode="External"/><Relationship Id="rId416" Type="http://schemas.openxmlformats.org/officeDocument/2006/relationships/hyperlink" Target="https://fantasy.espn.com/football/boxscore?leagueId=88024&amp;matchupPeriodId=1&amp;scoringPeriodId=1&amp;seasonId=2023&amp;teamId=12&amp;view=scoringperiod" TargetMode="External"/><Relationship Id="rId658" Type="http://schemas.openxmlformats.org/officeDocument/2006/relationships/hyperlink" Target="https://fantasy.espn.com/football/boxscore?leagueId=88024&amp;matchupPeriodId=4&amp;scoringPeriodId=4&amp;seasonId=2024&amp;teamId=2&amp;view=scoringperiod" TargetMode="External"/><Relationship Id="rId891" Type="http://schemas.openxmlformats.org/officeDocument/2006/relationships/hyperlink" Target="https://fantasy.espn.com/football/boxscore?leagueId=88024&amp;matchupPeriodId=7&amp;scoringPeriodId=7&amp;seasonId=2025&amp;teamId=2&amp;view=scoringperiod" TargetMode="External"/><Relationship Id="rId890" Type="http://schemas.openxmlformats.org/officeDocument/2006/relationships/hyperlink" Target="https://fantasy.espn.com/football/boxscore?leagueId=88024&amp;matchupPeriodId=7&amp;scoringPeriodId=7&amp;seasonId=2025&amp;teamId=4&amp;view=scoringperiod" TargetMode="External"/><Relationship Id="rId411" Type="http://schemas.openxmlformats.org/officeDocument/2006/relationships/hyperlink" Target="https://fantasy.espn.com/football/boxscore?leagueId=88024&amp;matchupPeriodId=1&amp;scoringPeriodId=1&amp;seasonId=2023&amp;teamId=1&amp;view=scoringperiod" TargetMode="External"/><Relationship Id="rId653" Type="http://schemas.openxmlformats.org/officeDocument/2006/relationships/hyperlink" Target="https://fantasy.espn.com/football/boxscore?leagueId=88024&amp;matchupPeriodId=4&amp;scoringPeriodId=4&amp;seasonId=2024&amp;teamId=3&amp;view=scoringperiod" TargetMode="External"/><Relationship Id="rId895" Type="http://schemas.openxmlformats.org/officeDocument/2006/relationships/hyperlink" Target="https://fantasy.espn.com/football/boxscore?leagueId=88024&amp;matchupPeriodId=7&amp;scoringPeriodId=7&amp;seasonId=2025&amp;teamId=5&amp;view=scoringperiod" TargetMode="External"/><Relationship Id="rId1000" Type="http://schemas.openxmlformats.org/officeDocument/2006/relationships/hyperlink" Target="https://fantasy.espn.com/football/boxscore?leagueId=88024&amp;matchupPeriodId=16&amp;scoringPeriodId=16&amp;seasonId=2025&amp;teamId=4&amp;view=scoringperiod" TargetMode="External"/><Relationship Id="rId410" Type="http://schemas.openxmlformats.org/officeDocument/2006/relationships/hyperlink" Target="https://fantasy.espn.com/football/boxscore?leagueId=88024&amp;matchupPeriodId=1&amp;scoringPeriodId=1&amp;seasonId=2023&amp;teamId=6&amp;view=scoringperiod" TargetMode="External"/><Relationship Id="rId652" Type="http://schemas.openxmlformats.org/officeDocument/2006/relationships/hyperlink" Target="https://fantasy.espn.com/football/boxscore?leagueId=88024&amp;matchupPeriodId=4&amp;scoringPeriodId=4&amp;seasonId=2024&amp;teamId=9&amp;view=scoringperiod" TargetMode="External"/><Relationship Id="rId894" Type="http://schemas.openxmlformats.org/officeDocument/2006/relationships/hyperlink" Target="https://fantasy.espn.com/football/boxscore?leagueId=88024&amp;matchupPeriodId=7&amp;scoringPeriodId=7&amp;seasonId=2025&amp;teamId=11&amp;view=scoringperiod" TargetMode="External"/><Relationship Id="rId1001" Type="http://schemas.openxmlformats.org/officeDocument/2006/relationships/hyperlink" Target="https://fantasy.espn.com/football/boxscore?leagueId=88024&amp;matchupPeriodId=16&amp;scoringPeriodId=16&amp;seasonId=2025&amp;teamId=8&amp;view=scoringperiod" TargetMode="External"/><Relationship Id="rId651" Type="http://schemas.openxmlformats.org/officeDocument/2006/relationships/hyperlink" Target="https://fantasy.espn.com/football/boxscore?leagueId=88024&amp;matchupPeriodId=4&amp;scoringPeriodId=4&amp;seasonId=2024&amp;teamId=9&amp;view=scoringperiod" TargetMode="External"/><Relationship Id="rId893" Type="http://schemas.openxmlformats.org/officeDocument/2006/relationships/hyperlink" Target="https://fantasy.espn.com/football/boxscore?leagueId=88024&amp;matchupPeriodId=7&amp;scoringPeriodId=7&amp;seasonId=2025&amp;teamId=11&amp;view=scoringperiod" TargetMode="External"/><Relationship Id="rId1002" Type="http://schemas.openxmlformats.org/officeDocument/2006/relationships/hyperlink" Target="https://fantasy.espn.com/football/boxscore?leagueId=88024&amp;matchupPeriodId=16&amp;scoringPeriodId=16&amp;seasonId=2025&amp;teamId=8&amp;view=scoringperiod" TargetMode="External"/><Relationship Id="rId650" Type="http://schemas.openxmlformats.org/officeDocument/2006/relationships/hyperlink" Target="https://fantasy.espn.com/football/boxscore?leagueId=88024&amp;matchupPeriodId=4&amp;scoringPeriodId=4&amp;seasonId=2024&amp;teamId=11&amp;view=scoringperiod" TargetMode="External"/><Relationship Id="rId892" Type="http://schemas.openxmlformats.org/officeDocument/2006/relationships/hyperlink" Target="https://fantasy.espn.com/football/boxscore?leagueId=88024&amp;matchupPeriodId=7&amp;scoringPeriodId=7&amp;seasonId=2025&amp;teamId=2&amp;view=scoringperiod" TargetMode="External"/><Relationship Id="rId1003" Type="http://schemas.openxmlformats.org/officeDocument/2006/relationships/hyperlink" Target="https://fantasy.espn.com/football/boxscore?leagueId=88024&amp;matchupPeriodId=16&amp;scoringPeriodId=16&amp;seasonId=2025&amp;teamId=5&amp;view=scoringperiod" TargetMode="External"/><Relationship Id="rId1037" Type="http://schemas.openxmlformats.org/officeDocument/2006/relationships/hyperlink" Target="https://fantasy.espn.com/football/boxscore?leagueId=88024&amp;matchupPeriodId=2&amp;scoringPeriodId=2&amp;seasonId=2026&amp;teamId=7&amp;view=scoringperiod" TargetMode="External"/><Relationship Id="rId1038" Type="http://schemas.openxmlformats.org/officeDocument/2006/relationships/hyperlink" Target="https://fantasy.espn.com/football/boxscore?leagueId=88024&amp;matchupPeriodId=2&amp;scoringPeriodId=2&amp;seasonId=2026&amp;teamId=7&amp;view=scoringperiod" TargetMode="External"/><Relationship Id="rId1039" Type="http://schemas.openxmlformats.org/officeDocument/2006/relationships/hyperlink" Target="https://fantasy.espn.com/football/boxscore?leagueId=88024&amp;matchupPeriodId=2&amp;scoringPeriodId=2&amp;seasonId=2026&amp;teamId=10&amp;view=scoringperiod" TargetMode="External"/><Relationship Id="rId206" Type="http://schemas.openxmlformats.org/officeDocument/2006/relationships/hyperlink" Target="https://fantasy.espn.com/football/boxscore?leagueId=88024&amp;matchupPeriodId=1&amp;scoringPeriodId=1&amp;seasonId=2022&amp;teamId=6&amp;view=scoringperiod" TargetMode="External"/><Relationship Id="rId448" Type="http://schemas.openxmlformats.org/officeDocument/2006/relationships/hyperlink" Target="https://fantasy.espn.com/football/boxscore?leagueId=88024&amp;matchupPeriodId=4&amp;scoringPeriodId=4&amp;seasonId=2023&amp;teamId=10&amp;view=scoringperiod" TargetMode="External"/><Relationship Id="rId205" Type="http://schemas.openxmlformats.org/officeDocument/2006/relationships/hyperlink" Target="https://fantasy.espn.com/football/boxscore?leagueId=88024&amp;matchupPeriodId=1&amp;scoringPeriodId=1&amp;seasonId=2022&amp;teamId=6&amp;view=scoringperiod" TargetMode="External"/><Relationship Id="rId447" Type="http://schemas.openxmlformats.org/officeDocument/2006/relationships/hyperlink" Target="https://fantasy.espn.com/football/boxscore?leagueId=88024&amp;matchupPeriodId=4&amp;scoringPeriodId=4&amp;seasonId=2023&amp;teamId=10&amp;view=scoringperiod" TargetMode="External"/><Relationship Id="rId689" Type="http://schemas.openxmlformats.org/officeDocument/2006/relationships/hyperlink" Target="https://fantasy.espn.com/football/boxscore?leagueId=88024&amp;matchupPeriodId=7&amp;scoringPeriodId=7&amp;seasonId=2024&amp;teamId=2&amp;view=scoringperiod" TargetMode="External"/><Relationship Id="rId204" Type="http://schemas.openxmlformats.org/officeDocument/2006/relationships/hyperlink" Target="https://fantasy.espn.com/football/boxscore?leagueId=88024&amp;matchupPeriodId=1&amp;scoringPeriodId=1&amp;seasonId=2022&amp;teamId=3&amp;view=scoringperiod" TargetMode="External"/><Relationship Id="rId446" Type="http://schemas.openxmlformats.org/officeDocument/2006/relationships/hyperlink" Target="https://fantasy.espn.com/football/boxscore?leagueId=88024&amp;matchupPeriodId=4&amp;scoringPeriodId=4&amp;seasonId=2023&amp;teamId=6&amp;view=scoringperiod" TargetMode="External"/><Relationship Id="rId688" Type="http://schemas.openxmlformats.org/officeDocument/2006/relationships/hyperlink" Target="https://fantasy.espn.com/football/boxscore?leagueId=88024&amp;matchupPeriodId=7&amp;scoringPeriodId=7&amp;seasonId=2024&amp;teamId=7&amp;view=scoringperiod" TargetMode="External"/><Relationship Id="rId203" Type="http://schemas.openxmlformats.org/officeDocument/2006/relationships/hyperlink" Target="https://fantasy.espn.com/football/boxscore?leagueId=88024&amp;matchupPeriodId=1&amp;scoringPeriodId=1&amp;seasonId=2022&amp;teamId=3&amp;view=scoringperiod" TargetMode="External"/><Relationship Id="rId445" Type="http://schemas.openxmlformats.org/officeDocument/2006/relationships/hyperlink" Target="https://fantasy.espn.com/football/boxscore?leagueId=88024&amp;matchupPeriodId=4&amp;scoringPeriodId=4&amp;seasonId=2023&amp;teamId=6&amp;view=scoringperiod" TargetMode="External"/><Relationship Id="rId687" Type="http://schemas.openxmlformats.org/officeDocument/2006/relationships/hyperlink" Target="https://fantasy.espn.com/football/boxscore?leagueId=88024&amp;matchupPeriodId=7&amp;scoringPeriodId=7&amp;seasonId=2024&amp;teamId=7&amp;view=scoringperiod" TargetMode="External"/><Relationship Id="rId209" Type="http://schemas.openxmlformats.org/officeDocument/2006/relationships/hyperlink" Target="https://fantasy.espn.com/football/boxscore?leagueId=88024&amp;matchupPeriodId=1&amp;scoringPeriodId=1&amp;seasonId=2022&amp;teamId=8&amp;view=scoringperiod" TargetMode="External"/><Relationship Id="rId208" Type="http://schemas.openxmlformats.org/officeDocument/2006/relationships/hyperlink" Target="https://fantasy.espn.com/football/boxscore?leagueId=88024&amp;matchupPeriodId=1&amp;scoringPeriodId=1&amp;seasonId=2022&amp;teamId=12&amp;view=scoringperiod" TargetMode="External"/><Relationship Id="rId207" Type="http://schemas.openxmlformats.org/officeDocument/2006/relationships/hyperlink" Target="https://fantasy.espn.com/football/boxscore?leagueId=88024&amp;matchupPeriodId=1&amp;scoringPeriodId=1&amp;seasonId=2022&amp;teamId=12&amp;view=scoringperiod" TargetMode="External"/><Relationship Id="rId449" Type="http://schemas.openxmlformats.org/officeDocument/2006/relationships/hyperlink" Target="https://fantasy.espn.com/football/boxscore?leagueId=88024&amp;matchupPeriodId=4&amp;scoringPeriodId=4&amp;seasonId=2023&amp;teamId=8&amp;view=scoringperiod" TargetMode="External"/><Relationship Id="rId440" Type="http://schemas.openxmlformats.org/officeDocument/2006/relationships/hyperlink" Target="https://fantasy.espn.com/football/boxscore?leagueId=88024&amp;matchupPeriodId=3&amp;scoringPeriodId=3&amp;seasonId=2023&amp;teamId=2&amp;view=scoringperiod" TargetMode="External"/><Relationship Id="rId682" Type="http://schemas.openxmlformats.org/officeDocument/2006/relationships/hyperlink" Target="https://fantasy.espn.com/football/boxscore?leagueId=88024&amp;matchupPeriodId=6&amp;scoringPeriodId=6&amp;seasonId=2024&amp;teamId=3&amp;view=scoringperiod" TargetMode="External"/><Relationship Id="rId681" Type="http://schemas.openxmlformats.org/officeDocument/2006/relationships/hyperlink" Target="https://fantasy.espn.com/football/boxscore?leagueId=88024&amp;matchupPeriodId=6&amp;scoringPeriodId=6&amp;seasonId=2024&amp;teamId=3&amp;view=scoringperiod" TargetMode="External"/><Relationship Id="rId1030" Type="http://schemas.openxmlformats.org/officeDocument/2006/relationships/hyperlink" Target="https://fantasy.espn.com/football/boxscore?leagueId=88024&amp;matchupPeriodId=1&amp;scoringPeriodId=1&amp;seasonId=2026&amp;teamId=6&amp;view=scoringperiod" TargetMode="External"/><Relationship Id="rId680" Type="http://schemas.openxmlformats.org/officeDocument/2006/relationships/hyperlink" Target="https://fantasy.espn.com/football/boxscore?leagueId=88024&amp;matchupPeriodId=6&amp;scoringPeriodId=6&amp;seasonId=2024&amp;teamId=9&amp;view=scoringperiod" TargetMode="External"/><Relationship Id="rId1031" Type="http://schemas.openxmlformats.org/officeDocument/2006/relationships/hyperlink" Target="https://fantasy.espn.com/football/boxscore?leagueId=88024&amp;matchupPeriodId=2&amp;scoringPeriodId=2&amp;seasonId=2026&amp;teamId=9&amp;view=scoringperiod" TargetMode="External"/><Relationship Id="rId1032" Type="http://schemas.openxmlformats.org/officeDocument/2006/relationships/hyperlink" Target="https://fantasy.espn.com/football/boxscore?leagueId=88024&amp;matchupPeriodId=2&amp;scoringPeriodId=2&amp;seasonId=2026&amp;teamId=9&amp;view=scoringperiod" TargetMode="External"/><Relationship Id="rId202" Type="http://schemas.openxmlformats.org/officeDocument/2006/relationships/hyperlink" Target="https://fantasy.espn.com/football/boxscore?leagueId=88024&amp;matchupPeriodId=17&amp;scoringPeriodId=17&amp;seasonId=2021&amp;teamId=9&amp;view=scoringperiod" TargetMode="External"/><Relationship Id="rId444" Type="http://schemas.openxmlformats.org/officeDocument/2006/relationships/hyperlink" Target="https://fantasy.espn.com/football/boxscore?leagueId=88024&amp;matchupPeriodId=4&amp;scoringPeriodId=4&amp;seasonId=2023&amp;teamId=1&amp;view=scoringperiod" TargetMode="External"/><Relationship Id="rId686" Type="http://schemas.openxmlformats.org/officeDocument/2006/relationships/hyperlink" Target="https://fantasy.espn.com/football/boxscore?leagueId=88024&amp;matchupPeriodId=7&amp;scoringPeriodId=7&amp;seasonId=2024&amp;teamId=10&amp;view=scoringperiod" TargetMode="External"/><Relationship Id="rId1033" Type="http://schemas.openxmlformats.org/officeDocument/2006/relationships/hyperlink" Target="https://fantasy.espn.com/football/boxscore?leagueId=88024&amp;matchupPeriodId=2&amp;scoringPeriodId=2&amp;seasonId=2026&amp;teamId=5&amp;view=scoringperiod" TargetMode="External"/><Relationship Id="rId201" Type="http://schemas.openxmlformats.org/officeDocument/2006/relationships/hyperlink" Target="https://fantasy.espn.com/football/boxscore?leagueId=88024&amp;matchupPeriodId=17&amp;scoringPeriodId=17&amp;seasonId=2021&amp;teamId=9&amp;view=scoringperiod" TargetMode="External"/><Relationship Id="rId443" Type="http://schemas.openxmlformats.org/officeDocument/2006/relationships/hyperlink" Target="https://fantasy.espn.com/football/boxscore?leagueId=88024&amp;matchupPeriodId=4&amp;scoringPeriodId=4&amp;seasonId=2023&amp;teamId=1&amp;view=scoringperiod" TargetMode="External"/><Relationship Id="rId685" Type="http://schemas.openxmlformats.org/officeDocument/2006/relationships/hyperlink" Target="https://fantasy.espn.com/football/boxscore?leagueId=88024&amp;matchupPeriodId=7&amp;scoringPeriodId=7&amp;seasonId=2024&amp;teamId=10&amp;view=scoringperiod" TargetMode="External"/><Relationship Id="rId1034" Type="http://schemas.openxmlformats.org/officeDocument/2006/relationships/hyperlink" Target="https://fantasy.espn.com/football/boxscore?leagueId=88024&amp;matchupPeriodId=2&amp;scoringPeriodId=2&amp;seasonId=2026&amp;teamId=5&amp;view=scoringperiod" TargetMode="External"/><Relationship Id="rId200" Type="http://schemas.openxmlformats.org/officeDocument/2006/relationships/hyperlink" Target="https://fantasy.espn.com/football/boxscore?leagueId=88024&amp;matchupPeriodId=17&amp;scoringPeriodId=17&amp;seasonId=2021&amp;teamId=11&amp;view=scoringperiod" TargetMode="External"/><Relationship Id="rId442" Type="http://schemas.openxmlformats.org/officeDocument/2006/relationships/hyperlink" Target="https://fantasy.espn.com/football/boxscore?leagueId=88024&amp;matchupPeriodId=3&amp;scoringPeriodId=3&amp;seasonId=2023&amp;teamId=2&amp;view=scoringperiod" TargetMode="External"/><Relationship Id="rId684" Type="http://schemas.openxmlformats.org/officeDocument/2006/relationships/hyperlink" Target="https://fantasy.espn.com/football/boxscore?leagueId=88024&amp;matchupPeriodId=7&amp;scoringPeriodId=7&amp;seasonId=2024&amp;teamId=6&amp;view=scoringperiod" TargetMode="External"/><Relationship Id="rId1035" Type="http://schemas.openxmlformats.org/officeDocument/2006/relationships/hyperlink" Target="https://fantasy.espn.com/football/boxscore?leagueId=88024&amp;matchupPeriodId=2&amp;scoringPeriodId=2&amp;seasonId=2026&amp;teamId=1&amp;view=scoringperiod" TargetMode="External"/><Relationship Id="rId441" Type="http://schemas.openxmlformats.org/officeDocument/2006/relationships/hyperlink" Target="https://fantasy.espn.com/football/boxscore?leagueId=88024&amp;matchupPeriodId=3&amp;scoringPeriodId=3&amp;seasonId=2023&amp;teamId=2&amp;view=scoringperiod" TargetMode="External"/><Relationship Id="rId683" Type="http://schemas.openxmlformats.org/officeDocument/2006/relationships/hyperlink" Target="https://fantasy.espn.com/football/boxscore?leagueId=88024&amp;matchupPeriodId=7&amp;scoringPeriodId=7&amp;seasonId=2024&amp;teamId=6&amp;view=scoringperiod" TargetMode="External"/><Relationship Id="rId1036" Type="http://schemas.openxmlformats.org/officeDocument/2006/relationships/hyperlink" Target="https://fantasy.espn.com/football/boxscore?leagueId=88024&amp;matchupPeriodId=2&amp;scoringPeriodId=2&amp;seasonId=2026&amp;teamId=1&amp;view=scoringperiod" TargetMode="External"/><Relationship Id="rId1026" Type="http://schemas.openxmlformats.org/officeDocument/2006/relationships/hyperlink" Target="https://fantasy.espn.com/football/boxscore?leagueId=88024&amp;matchupPeriodId=1&amp;scoringPeriodId=1&amp;seasonId=2026&amp;teamId=12&amp;view=scoringperiod" TargetMode="External"/><Relationship Id="rId1027" Type="http://schemas.openxmlformats.org/officeDocument/2006/relationships/hyperlink" Target="https://fantasy.espn.com/football/boxscore?leagueId=88024&amp;matchupPeriodId=1&amp;scoringPeriodId=1&amp;seasonId=2026&amp;teamId=2&amp;view=scoringperiod" TargetMode="External"/><Relationship Id="rId1028" Type="http://schemas.openxmlformats.org/officeDocument/2006/relationships/hyperlink" Target="https://fantasy.espn.com/football/boxscore?leagueId=88024&amp;matchupPeriodId=1&amp;scoringPeriodId=1&amp;seasonId=2026&amp;teamId=2&amp;view=scoringperiod" TargetMode="External"/><Relationship Id="rId1029" Type="http://schemas.openxmlformats.org/officeDocument/2006/relationships/hyperlink" Target="https://fantasy.espn.com/football/boxscore?leagueId=88024&amp;matchupPeriodId=1&amp;scoringPeriodId=1&amp;seasonId=2026&amp;teamId=6&amp;view=scoringperiod" TargetMode="External"/><Relationship Id="rId437" Type="http://schemas.openxmlformats.org/officeDocument/2006/relationships/hyperlink" Target="https://fantasy.espn.com/football/boxscore?leagueId=88024&amp;matchupPeriodId=3&amp;scoringPeriodId=3&amp;seasonId=2023&amp;teamId=11&amp;view=scoringperiod" TargetMode="External"/><Relationship Id="rId679" Type="http://schemas.openxmlformats.org/officeDocument/2006/relationships/hyperlink" Target="https://fantasy.espn.com/football/boxscore?leagueId=88024&amp;matchupPeriodId=6&amp;scoringPeriodId=6&amp;seasonId=2024&amp;teamId=9&amp;view=scoringperiod" TargetMode="External"/><Relationship Id="rId436" Type="http://schemas.openxmlformats.org/officeDocument/2006/relationships/hyperlink" Target="https://fantasy.espn.com/football/boxscore?leagueId=88024&amp;matchupPeriodId=3&amp;scoringPeriodId=3&amp;seasonId=2023&amp;teamId=12&amp;view=scoringperiod" TargetMode="External"/><Relationship Id="rId678" Type="http://schemas.openxmlformats.org/officeDocument/2006/relationships/hyperlink" Target="https://fantasy.espn.com/football/boxscore?leagueId=88024&amp;matchupPeriodId=6&amp;scoringPeriodId=6&amp;seasonId=2024&amp;teamId=11&amp;view=scoringperiod" TargetMode="External"/><Relationship Id="rId435" Type="http://schemas.openxmlformats.org/officeDocument/2006/relationships/hyperlink" Target="https://fantasy.espn.com/football/boxscore?leagueId=88024&amp;matchupPeriodId=3&amp;scoringPeriodId=3&amp;seasonId=2023&amp;teamId=12&amp;view=scoringperiod" TargetMode="External"/><Relationship Id="rId677" Type="http://schemas.openxmlformats.org/officeDocument/2006/relationships/hyperlink" Target="https://fantasy.espn.com/football/boxscore?leagueId=88024&amp;matchupPeriodId=6&amp;scoringPeriodId=6&amp;seasonId=2024&amp;teamId=11&amp;view=scoringperiod" TargetMode="External"/><Relationship Id="rId434" Type="http://schemas.openxmlformats.org/officeDocument/2006/relationships/hyperlink" Target="https://fantasy.espn.com/football/boxscore?leagueId=88024&amp;matchupPeriodId=3&amp;scoringPeriodId=3&amp;seasonId=2023&amp;teamId=4&amp;view=scoringperiod" TargetMode="External"/><Relationship Id="rId676" Type="http://schemas.openxmlformats.org/officeDocument/2006/relationships/hyperlink" Target="https://fantasy.espn.com/football/boxscore?leagueId=88024&amp;matchupPeriodId=6&amp;scoringPeriodId=6&amp;seasonId=2024&amp;teamId=8&amp;view=scoringperiod" TargetMode="External"/><Relationship Id="rId439" Type="http://schemas.openxmlformats.org/officeDocument/2006/relationships/hyperlink" Target="https://fantasy.espn.com/football/boxscore?leagueId=88024&amp;matchupPeriodId=3&amp;scoringPeriodId=3&amp;seasonId=2023&amp;teamId=2&amp;view=scoringperiod" TargetMode="External"/><Relationship Id="rId438" Type="http://schemas.openxmlformats.org/officeDocument/2006/relationships/hyperlink" Target="https://fantasy.espn.com/football/boxscore?leagueId=88024&amp;matchupPeriodId=3&amp;scoringPeriodId=3&amp;seasonId=2023&amp;teamId=11&amp;view=scoringperiod" TargetMode="External"/><Relationship Id="rId671" Type="http://schemas.openxmlformats.org/officeDocument/2006/relationships/hyperlink" Target="https://fantasy.espn.com/football/boxscore?leagueId=88024&amp;matchupPeriodId=6&amp;scoringPeriodId=6&amp;seasonId=2024&amp;teamId=4&amp;view=scoringperiod" TargetMode="External"/><Relationship Id="rId670" Type="http://schemas.openxmlformats.org/officeDocument/2006/relationships/hyperlink" Target="https://fantasy.espn.com/football/boxscore?leagueId=88024&amp;matchupPeriodId=5&amp;scoringPeriodId=5&amp;seasonId=2024&amp;teamId=2&amp;view=scoringperiod" TargetMode="External"/><Relationship Id="rId1020" Type="http://schemas.openxmlformats.org/officeDocument/2006/relationships/hyperlink" Target="https://fantasy.espn.com/football/boxscore?leagueId=88024&amp;matchupPeriodId=1&amp;scoringPeriodId=1&amp;seasonId=2026&amp;teamId=8&amp;view=scoringperiod" TargetMode="External"/><Relationship Id="rId1021" Type="http://schemas.openxmlformats.org/officeDocument/2006/relationships/hyperlink" Target="https://fantasy.espn.com/football/boxscore?leagueId=88024&amp;matchupPeriodId=1&amp;scoringPeriodId=1&amp;seasonId=2026&amp;teamId=9&amp;view=scoringperiod" TargetMode="External"/><Relationship Id="rId433" Type="http://schemas.openxmlformats.org/officeDocument/2006/relationships/hyperlink" Target="https://fantasy.espn.com/football/boxscore?leagueId=88024&amp;matchupPeriodId=3&amp;scoringPeriodId=3&amp;seasonId=2023&amp;teamId=4&amp;view=scoringperiod" TargetMode="External"/><Relationship Id="rId675" Type="http://schemas.openxmlformats.org/officeDocument/2006/relationships/hyperlink" Target="https://fantasy.espn.com/football/boxscore?leagueId=88024&amp;matchupPeriodId=6&amp;scoringPeriodId=6&amp;seasonId=2024&amp;teamId=8&amp;view=scoringperiod" TargetMode="External"/><Relationship Id="rId1022" Type="http://schemas.openxmlformats.org/officeDocument/2006/relationships/hyperlink" Target="https://fantasy.espn.com/football/boxscore?leagueId=88024&amp;matchupPeriodId=1&amp;scoringPeriodId=1&amp;seasonId=2026&amp;teamId=9&amp;view=scoringperiod" TargetMode="External"/><Relationship Id="rId432" Type="http://schemas.openxmlformats.org/officeDocument/2006/relationships/hyperlink" Target="https://fantasy.espn.com/football/boxscore?leagueId=88024&amp;matchupPeriodId=3&amp;scoringPeriodId=3&amp;seasonId=2023&amp;teamId=1&amp;view=scoringperiod" TargetMode="External"/><Relationship Id="rId674" Type="http://schemas.openxmlformats.org/officeDocument/2006/relationships/hyperlink" Target="https://fantasy.espn.com/football/boxscore?leagueId=88024&amp;matchupPeriodId=6&amp;scoringPeriodId=6&amp;seasonId=2024&amp;teamId=1&amp;view=scoringperiod" TargetMode="External"/><Relationship Id="rId1023" Type="http://schemas.openxmlformats.org/officeDocument/2006/relationships/hyperlink" Target="https://fantasy.espn.com/football/boxscore?leagueId=88024&amp;matchupPeriodId=1&amp;scoringPeriodId=1&amp;seasonId=2026&amp;teamId=4&amp;view=scoringperiod" TargetMode="External"/><Relationship Id="rId431" Type="http://schemas.openxmlformats.org/officeDocument/2006/relationships/hyperlink" Target="https://fantasy.espn.com/football/boxscore?leagueId=88024&amp;matchupPeriodId=3&amp;scoringPeriodId=3&amp;seasonId=2023&amp;teamId=1&amp;view=scoringperiod" TargetMode="External"/><Relationship Id="rId673" Type="http://schemas.openxmlformats.org/officeDocument/2006/relationships/hyperlink" Target="https://fantasy.espn.com/football/boxscore?leagueId=88024&amp;matchupPeriodId=6&amp;scoringPeriodId=6&amp;seasonId=2024&amp;teamId=1&amp;view=scoringperiod" TargetMode="External"/><Relationship Id="rId1024" Type="http://schemas.openxmlformats.org/officeDocument/2006/relationships/hyperlink" Target="https://fantasy.espn.com/football/boxscore?leagueId=88024&amp;matchupPeriodId=1&amp;scoringPeriodId=1&amp;seasonId=2026&amp;teamId=4&amp;view=scoringperiod" TargetMode="External"/><Relationship Id="rId430" Type="http://schemas.openxmlformats.org/officeDocument/2006/relationships/hyperlink" Target="https://fantasy.espn.com/football/boxscore?leagueId=88024&amp;matchupPeriodId=3&amp;scoringPeriodId=3&amp;seasonId=2023&amp;teamId=7&amp;view=scoringperiod" TargetMode="External"/><Relationship Id="rId672" Type="http://schemas.openxmlformats.org/officeDocument/2006/relationships/hyperlink" Target="https://fantasy.espn.com/football/boxscore?leagueId=88024&amp;matchupPeriodId=6&amp;scoringPeriodId=6&amp;seasonId=2024&amp;teamId=4&amp;view=scoringperiod" TargetMode="External"/><Relationship Id="rId1025" Type="http://schemas.openxmlformats.org/officeDocument/2006/relationships/hyperlink" Target="https://fantasy.espn.com/football/boxscore?leagueId=88024&amp;matchupPeriodId=1&amp;scoringPeriodId=1&amp;seasonId=2026&amp;teamId=12&amp;view=scoringperiod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0"/>
  <cols>
    <col customWidth="1" min="1" max="1" width="12.0"/>
    <col customWidth="1" min="2" max="2" width="9.29"/>
    <col customWidth="1" min="3" max="3" width="8.71"/>
    <col customWidth="1" min="4" max="4" width="9.86"/>
    <col customWidth="1" min="5" max="5" width="20.0"/>
    <col customWidth="1" min="6" max="9" width="9.43"/>
    <col customWidth="1" min="10" max="10" width="13.57"/>
    <col customWidth="1" min="11" max="11" width="10.86"/>
    <col customWidth="1" min="12" max="12" width="14.29"/>
    <col customWidth="1" min="13" max="13" width="12.43"/>
    <col customWidth="1" min="14" max="14" width="11.29"/>
    <col customWidth="1" min="15" max="15" width="12.43"/>
    <col customWidth="1" min="16" max="17" width="13.14"/>
    <col customWidth="1" min="18" max="18" width="18.71"/>
    <col customWidth="1" min="19" max="19" width="14.29"/>
    <col customWidth="1" min="20" max="20" width="17.43"/>
    <col customWidth="1" min="21" max="23" width="8.71"/>
    <col customWidth="1" min="24" max="25" width="8.86"/>
    <col customWidth="1" min="26" max="26" width="8.43"/>
    <col customWidth="1" min="27" max="27" width="15.29"/>
    <col customWidth="1" min="28" max="28" width="11.71"/>
    <col customWidth="1" min="29" max="29" width="19.86"/>
    <col customWidth="1" min="30" max="30" width="18.0"/>
    <col customWidth="1" min="31" max="31" width="13.86"/>
    <col customWidth="1" min="32" max="39" width="11.14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4" t="s">
        <v>23</v>
      </c>
      <c r="Y1" s="4" t="s">
        <v>24</v>
      </c>
      <c r="Z1" s="1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</row>
    <row r="2" ht="14.25" customHeight="1">
      <c r="A2" s="6">
        <v>2009.0</v>
      </c>
      <c r="B2" s="7">
        <v>39814.0</v>
      </c>
      <c r="C2" s="6" t="s">
        <v>39</v>
      </c>
      <c r="D2" s="6" t="s">
        <v>40</v>
      </c>
      <c r="E2" s="6" t="str">
        <f t="shared" ref="E2:E97" si="1">D2&amp;" - "&amp;A2</f>
        <v>Cutler's Year - 2009</v>
      </c>
      <c r="F2" s="6" t="s">
        <v>41</v>
      </c>
      <c r="G2" s="6" t="s">
        <v>42</v>
      </c>
      <c r="H2" s="6" t="s">
        <v>43</v>
      </c>
      <c r="I2" s="6" t="s">
        <v>44</v>
      </c>
      <c r="J2" s="6" t="s">
        <v>9</v>
      </c>
      <c r="K2" s="6"/>
      <c r="L2" s="8">
        <v>2.0</v>
      </c>
      <c r="M2" s="8">
        <v>1.0</v>
      </c>
      <c r="N2" s="6">
        <f t="shared" ref="N2:N91" si="2">M2</f>
        <v>1</v>
      </c>
      <c r="O2" s="6">
        <v>13.0</v>
      </c>
      <c r="P2" s="6">
        <v>9.0</v>
      </c>
      <c r="Q2" s="6">
        <f t="shared" ref="Q2:Q61" si="3">13-P2</f>
        <v>4</v>
      </c>
      <c r="R2" s="9">
        <v>1329.0</v>
      </c>
      <c r="S2" s="9">
        <v>1234.0</v>
      </c>
      <c r="T2" s="6" t="s">
        <v>45</v>
      </c>
      <c r="U2" s="6" t="s">
        <v>46</v>
      </c>
      <c r="V2" s="6">
        <v>47405.0</v>
      </c>
      <c r="W2" s="10">
        <v>25.0</v>
      </c>
      <c r="X2" s="11">
        <v>100.0</v>
      </c>
      <c r="Y2" s="12">
        <f t="shared" ref="Y2:Y97" si="4">X2-W2</f>
        <v>75</v>
      </c>
      <c r="Z2" s="6">
        <f t="shared" ref="Z2:Z85" si="5">IF(M2=1,1,0)</f>
        <v>1</v>
      </c>
      <c r="AA2" s="6">
        <f t="shared" ref="AA2:AA217" si="6">if(L2&lt;7,1,0)</f>
        <v>1</v>
      </c>
      <c r="AB2" s="6"/>
      <c r="AC2" s="6">
        <f t="shared" ref="AC2:AC217" si="7">P2*100+R2/4</f>
        <v>1232.25</v>
      </c>
      <c r="AD2" s="6">
        <f t="shared" ref="AD2:AD217" si="8">if(L2=1,1,0)</f>
        <v>0</v>
      </c>
      <c r="AE2" s="6"/>
      <c r="AF2">
        <f>sumifs('WL Matrix 2'!T:T,'WL Matrix 2'!B:B,A2,'WL Matrix 2'!C:C,C2,'WL Matrix 2'!M:M,"Regular Season")</f>
        <v>0</v>
      </c>
      <c r="AI2" s="32" t="s">
        <v>116</v>
      </c>
      <c r="AJ2" s="32">
        <f t="shared" ref="AJ2:AJ13" si="9">rank(R2,$R$2:$R$13)</f>
        <v>2</v>
      </c>
      <c r="AK2" s="37">
        <f t="shared" ref="AK2:AK217" si="10">R2/ averageif($A:$A,A2,R:R)</f>
        <v>1.074952817</v>
      </c>
      <c r="AL2" s="38">
        <f t="shared" ref="AL2:AL217" si="11">S2/averageif($A:$A,A2,S:S)</f>
        <v>0.9981799798</v>
      </c>
      <c r="AM2" s="38">
        <f>sumifs('WL Matrix 2'!T:T,'WL Matrix 2'!B:B,A2,'WL Matrix 2'!C:C,C2,'WL Matrix 2'!M:M,"Regular Season")</f>
        <v>0</v>
      </c>
    </row>
    <row r="3" ht="14.25" customHeight="1">
      <c r="A3" s="6">
        <v>2009.0</v>
      </c>
      <c r="B3" s="7">
        <v>39814.0</v>
      </c>
      <c r="C3" s="6" t="s">
        <v>117</v>
      </c>
      <c r="D3" s="6" t="s">
        <v>118</v>
      </c>
      <c r="E3" s="6" t="str">
        <f t="shared" si="1"/>
        <v>ak47 - 2009</v>
      </c>
      <c r="F3" s="6" t="s">
        <v>119</v>
      </c>
      <c r="G3" s="6" t="s">
        <v>120</v>
      </c>
      <c r="H3" s="6" t="s">
        <v>121</v>
      </c>
      <c r="I3" s="6" t="s">
        <v>122</v>
      </c>
      <c r="J3" s="6" t="s">
        <v>123</v>
      </c>
      <c r="K3" s="6"/>
      <c r="L3" s="8">
        <v>8.0</v>
      </c>
      <c r="M3" s="8">
        <v>2.0</v>
      </c>
      <c r="N3" s="6">
        <f t="shared" si="2"/>
        <v>2</v>
      </c>
      <c r="O3" s="6">
        <v>13.0</v>
      </c>
      <c r="P3" s="6">
        <v>6.0</v>
      </c>
      <c r="Q3" s="6">
        <f t="shared" si="3"/>
        <v>7</v>
      </c>
      <c r="R3" s="9">
        <v>1209.0</v>
      </c>
      <c r="S3" s="9">
        <v>1263.0</v>
      </c>
      <c r="T3" s="6" t="s">
        <v>45</v>
      </c>
      <c r="U3" s="6" t="s">
        <v>46</v>
      </c>
      <c r="V3" s="6">
        <v>47405.0</v>
      </c>
      <c r="W3" s="10">
        <v>25.0</v>
      </c>
      <c r="X3" s="11">
        <v>60.0</v>
      </c>
      <c r="Y3" s="12">
        <f t="shared" si="4"/>
        <v>35</v>
      </c>
      <c r="Z3" s="6">
        <f t="shared" si="5"/>
        <v>0</v>
      </c>
      <c r="AA3" s="6">
        <f t="shared" si="6"/>
        <v>0</v>
      </c>
      <c r="AB3" s="6"/>
      <c r="AC3" s="6">
        <f t="shared" si="7"/>
        <v>902.25</v>
      </c>
      <c r="AD3" s="6">
        <f t="shared" si="8"/>
        <v>0</v>
      </c>
      <c r="AE3" s="6"/>
      <c r="AF3">
        <f>sumifs('WL Matrix 2'!T:T,'WL Matrix 2'!B:B,A3,'WL Matrix 2'!C:C,C3,'WL Matrix 2'!M:M,"Regular Season")</f>
        <v>0</v>
      </c>
      <c r="AI3" s="32" t="s">
        <v>116</v>
      </c>
      <c r="AJ3" s="32">
        <f t="shared" si="9"/>
        <v>9</v>
      </c>
      <c r="AK3" s="37">
        <f t="shared" si="10"/>
        <v>0.977891615</v>
      </c>
      <c r="AL3" s="38">
        <f t="shared" si="11"/>
        <v>1.021638018</v>
      </c>
      <c r="AM3" s="38">
        <f>sumifs('WL Matrix 2'!T:T,'WL Matrix 2'!B:B,A3,'WL Matrix 2'!C:C,C3,'WL Matrix 2'!M:M,"Regular Season")</f>
        <v>0</v>
      </c>
    </row>
    <row r="4" ht="14.25" customHeight="1">
      <c r="A4" s="6">
        <v>2009.0</v>
      </c>
      <c r="B4" s="7">
        <v>39814.0</v>
      </c>
      <c r="C4" s="6" t="s">
        <v>52</v>
      </c>
      <c r="D4" s="6" t="s">
        <v>130</v>
      </c>
      <c r="E4" s="6" t="str">
        <f t="shared" si="1"/>
        <v>Brett Favre - 2009</v>
      </c>
      <c r="F4" s="6" t="s">
        <v>133</v>
      </c>
      <c r="G4" s="6" t="s">
        <v>134</v>
      </c>
      <c r="H4" s="6" t="s">
        <v>136</v>
      </c>
      <c r="I4" s="6" t="s">
        <v>137</v>
      </c>
      <c r="J4" s="6" t="s">
        <v>9</v>
      </c>
      <c r="K4" s="6"/>
      <c r="L4" s="8">
        <v>5.0</v>
      </c>
      <c r="M4" s="8">
        <v>3.0</v>
      </c>
      <c r="N4" s="6">
        <f t="shared" si="2"/>
        <v>3</v>
      </c>
      <c r="O4" s="6">
        <v>13.0</v>
      </c>
      <c r="P4" s="6">
        <v>8.0</v>
      </c>
      <c r="Q4" s="6">
        <f t="shared" si="3"/>
        <v>5</v>
      </c>
      <c r="R4" s="9">
        <v>1248.0</v>
      </c>
      <c r="S4" s="9">
        <v>1206.0</v>
      </c>
      <c r="T4" s="6" t="s">
        <v>45</v>
      </c>
      <c r="U4" s="6" t="s">
        <v>46</v>
      </c>
      <c r="V4" s="6">
        <v>47405.0</v>
      </c>
      <c r="W4" s="10">
        <v>25.0</v>
      </c>
      <c r="X4" s="11">
        <v>25.0</v>
      </c>
      <c r="Y4" s="12">
        <f t="shared" si="4"/>
        <v>0</v>
      </c>
      <c r="Z4" s="6">
        <f t="shared" si="5"/>
        <v>0</v>
      </c>
      <c r="AA4" s="6">
        <f t="shared" si="6"/>
        <v>1</v>
      </c>
      <c r="AB4" s="6"/>
      <c r="AC4" s="6">
        <f t="shared" si="7"/>
        <v>1112</v>
      </c>
      <c r="AD4" s="6">
        <f t="shared" si="8"/>
        <v>0</v>
      </c>
      <c r="AE4" s="6"/>
      <c r="AF4">
        <f>sumifs('WL Matrix 2'!T:T,'WL Matrix 2'!B:B,A4,'WL Matrix 2'!C:C,C4,'WL Matrix 2'!M:M,"Regular Season")</f>
        <v>0</v>
      </c>
      <c r="AI4" s="32" t="s">
        <v>116</v>
      </c>
      <c r="AJ4" s="32">
        <f t="shared" si="9"/>
        <v>6</v>
      </c>
      <c r="AK4" s="37">
        <f t="shared" si="10"/>
        <v>1.009436506</v>
      </c>
      <c r="AL4" s="38">
        <f t="shared" si="11"/>
        <v>0.9755308392</v>
      </c>
      <c r="AM4" s="38">
        <f>sumifs('WL Matrix 2'!T:T,'WL Matrix 2'!B:B,A4,'WL Matrix 2'!C:C,C4,'WL Matrix 2'!M:M,"Regular Season")</f>
        <v>0</v>
      </c>
    </row>
    <row r="5" ht="14.25" customHeight="1">
      <c r="A5" s="6">
        <v>2009.0</v>
      </c>
      <c r="B5" s="7">
        <v>39814.0</v>
      </c>
      <c r="C5" s="6" t="s">
        <v>76</v>
      </c>
      <c r="D5" s="6" t="s">
        <v>165</v>
      </c>
      <c r="E5" s="6" t="str">
        <f t="shared" si="1"/>
        <v>Salt on My Knob - 2009</v>
      </c>
      <c r="F5" s="6" t="s">
        <v>166</v>
      </c>
      <c r="G5" s="6" t="s">
        <v>167</v>
      </c>
      <c r="H5" s="6" t="s">
        <v>168</v>
      </c>
      <c r="I5" s="6" t="s">
        <v>169</v>
      </c>
      <c r="J5" s="6" t="s">
        <v>9</v>
      </c>
      <c r="K5" s="6"/>
      <c r="L5" s="8">
        <v>3.0</v>
      </c>
      <c r="M5" s="8">
        <v>4.0</v>
      </c>
      <c r="N5" s="6">
        <f t="shared" si="2"/>
        <v>4</v>
      </c>
      <c r="O5" s="6">
        <v>13.0</v>
      </c>
      <c r="P5" s="6">
        <v>8.0</v>
      </c>
      <c r="Q5" s="6">
        <f t="shared" si="3"/>
        <v>5</v>
      </c>
      <c r="R5" s="9">
        <v>1362.0</v>
      </c>
      <c r="S5" s="9">
        <v>1229.0</v>
      </c>
      <c r="T5" s="6" t="s">
        <v>45</v>
      </c>
      <c r="U5" s="6" t="s">
        <v>46</v>
      </c>
      <c r="V5" s="6">
        <v>47405.0</v>
      </c>
      <c r="W5" s="10">
        <v>25.0</v>
      </c>
      <c r="X5" s="11">
        <v>40.0</v>
      </c>
      <c r="Y5" s="12">
        <f t="shared" si="4"/>
        <v>15</v>
      </c>
      <c r="Z5" s="6">
        <f t="shared" si="5"/>
        <v>0</v>
      </c>
      <c r="AA5" s="6">
        <f t="shared" si="6"/>
        <v>1</v>
      </c>
      <c r="AB5" s="6"/>
      <c r="AC5" s="6">
        <f t="shared" si="7"/>
        <v>1140.5</v>
      </c>
      <c r="AD5" s="6">
        <f t="shared" si="8"/>
        <v>0</v>
      </c>
      <c r="AE5" s="49">
        <v>1.0</v>
      </c>
      <c r="AF5">
        <f>sumifs('WL Matrix 2'!T:T,'WL Matrix 2'!B:B,A5,'WL Matrix 2'!C:C,C5,'WL Matrix 2'!M:M,"Regular Season")</f>
        <v>0</v>
      </c>
      <c r="AI5" s="32" t="s">
        <v>116</v>
      </c>
      <c r="AJ5" s="32">
        <f t="shared" si="9"/>
        <v>1</v>
      </c>
      <c r="AK5" s="37">
        <f t="shared" si="10"/>
        <v>1.101644648</v>
      </c>
      <c r="AL5" s="38">
        <f t="shared" si="11"/>
        <v>0.9941354904</v>
      </c>
      <c r="AM5" s="38">
        <f>sumifs('WL Matrix 2'!T:T,'WL Matrix 2'!B:B,A5,'WL Matrix 2'!C:C,C5,'WL Matrix 2'!M:M,"Regular Season")</f>
        <v>0</v>
      </c>
    </row>
    <row r="6" ht="14.25" customHeight="1">
      <c r="A6" s="6">
        <v>2009.0</v>
      </c>
      <c r="B6" s="7">
        <v>39814.0</v>
      </c>
      <c r="C6" s="6" t="s">
        <v>57</v>
      </c>
      <c r="D6" s="6" t="s">
        <v>173</v>
      </c>
      <c r="E6" s="6" t="str">
        <f t="shared" si="1"/>
        <v>Dawg's Gotta Eat - 2009</v>
      </c>
      <c r="F6" s="6" t="s">
        <v>175</v>
      </c>
      <c r="G6" s="6" t="s">
        <v>176</v>
      </c>
      <c r="H6" s="6" t="s">
        <v>177</v>
      </c>
      <c r="I6" s="6" t="s">
        <v>178</v>
      </c>
      <c r="J6" s="6" t="s">
        <v>9</v>
      </c>
      <c r="K6" s="6"/>
      <c r="L6" s="8">
        <v>4.0</v>
      </c>
      <c r="M6" s="8">
        <v>5.0</v>
      </c>
      <c r="N6" s="6">
        <f t="shared" si="2"/>
        <v>5</v>
      </c>
      <c r="O6" s="6">
        <v>13.0</v>
      </c>
      <c r="P6" s="6">
        <v>8.0</v>
      </c>
      <c r="Q6" s="6">
        <f t="shared" si="3"/>
        <v>5</v>
      </c>
      <c r="R6" s="9">
        <v>1327.0</v>
      </c>
      <c r="S6" s="9">
        <v>1179.0</v>
      </c>
      <c r="T6" s="6" t="s">
        <v>45</v>
      </c>
      <c r="U6" s="6" t="s">
        <v>46</v>
      </c>
      <c r="V6" s="6">
        <v>47405.0</v>
      </c>
      <c r="W6" s="10">
        <v>25.0</v>
      </c>
      <c r="X6" s="11"/>
      <c r="Y6" s="12">
        <f t="shared" si="4"/>
        <v>-25</v>
      </c>
      <c r="Z6" s="6">
        <f t="shared" si="5"/>
        <v>0</v>
      </c>
      <c r="AA6" s="6">
        <f t="shared" si="6"/>
        <v>1</v>
      </c>
      <c r="AB6" s="6"/>
      <c r="AC6" s="6">
        <f t="shared" si="7"/>
        <v>1131.75</v>
      </c>
      <c r="AD6" s="6">
        <f t="shared" si="8"/>
        <v>0</v>
      </c>
      <c r="AE6" s="6"/>
      <c r="AF6">
        <f>sumifs('WL Matrix 2'!T:T,'WL Matrix 2'!B:B,A6,'WL Matrix 2'!C:C,C6,'WL Matrix 2'!M:M,"Regular Season")</f>
        <v>0</v>
      </c>
      <c r="AI6" s="32" t="s">
        <v>116</v>
      </c>
      <c r="AJ6" s="32">
        <f t="shared" si="9"/>
        <v>3</v>
      </c>
      <c r="AK6" s="37">
        <f t="shared" si="10"/>
        <v>1.073335131</v>
      </c>
      <c r="AL6" s="38">
        <f t="shared" si="11"/>
        <v>0.9536905966</v>
      </c>
      <c r="AM6" s="38">
        <f>sumifs('WL Matrix 2'!T:T,'WL Matrix 2'!B:B,A6,'WL Matrix 2'!C:C,C6,'WL Matrix 2'!M:M,"Regular Season")</f>
        <v>0</v>
      </c>
    </row>
    <row r="7" ht="14.25" customHeight="1">
      <c r="A7" s="6">
        <v>2009.0</v>
      </c>
      <c r="B7" s="7">
        <v>39814.0</v>
      </c>
      <c r="C7" s="6" t="s">
        <v>181</v>
      </c>
      <c r="D7" s="6" t="s">
        <v>182</v>
      </c>
      <c r="E7" s="6" t="str">
        <f t="shared" si="1"/>
        <v>Rob Brochocinco - 2009</v>
      </c>
      <c r="F7" s="6" t="s">
        <v>183</v>
      </c>
      <c r="G7" s="6" t="s">
        <v>184</v>
      </c>
      <c r="H7" s="6" t="s">
        <v>185</v>
      </c>
      <c r="I7" s="6" t="s">
        <v>186</v>
      </c>
      <c r="J7" s="6" t="s">
        <v>123</v>
      </c>
      <c r="K7" s="6"/>
      <c r="L7" s="8">
        <v>6.0</v>
      </c>
      <c r="M7" s="8">
        <v>6.0</v>
      </c>
      <c r="N7" s="6">
        <f t="shared" si="2"/>
        <v>6</v>
      </c>
      <c r="O7" s="6">
        <v>13.0</v>
      </c>
      <c r="P7" s="6">
        <v>6.0</v>
      </c>
      <c r="Q7" s="6">
        <f t="shared" si="3"/>
        <v>7</v>
      </c>
      <c r="R7" s="9">
        <v>1251.0</v>
      </c>
      <c r="S7" s="9">
        <v>1334.0</v>
      </c>
      <c r="T7" s="6" t="s">
        <v>45</v>
      </c>
      <c r="U7" s="6" t="s">
        <v>46</v>
      </c>
      <c r="V7" s="6">
        <v>47405.0</v>
      </c>
      <c r="W7" s="10">
        <v>25.0</v>
      </c>
      <c r="X7" s="11"/>
      <c r="Y7" s="12">
        <f t="shared" si="4"/>
        <v>-25</v>
      </c>
      <c r="Z7" s="6">
        <f t="shared" si="5"/>
        <v>0</v>
      </c>
      <c r="AA7" s="6">
        <f t="shared" si="6"/>
        <v>1</v>
      </c>
      <c r="AB7" s="6"/>
      <c r="AC7" s="6">
        <f t="shared" si="7"/>
        <v>912.75</v>
      </c>
      <c r="AD7" s="6">
        <f t="shared" si="8"/>
        <v>0</v>
      </c>
      <c r="AE7" s="6"/>
      <c r="AF7">
        <f>sumifs('WL Matrix 2'!T:T,'WL Matrix 2'!B:B,A7,'WL Matrix 2'!C:C,C7,'WL Matrix 2'!M:M,"Regular Season")</f>
        <v>0</v>
      </c>
      <c r="AI7" s="32" t="s">
        <v>116</v>
      </c>
      <c r="AJ7" s="32">
        <f t="shared" si="9"/>
        <v>5</v>
      </c>
      <c r="AK7" s="37">
        <f t="shared" si="10"/>
        <v>1.011863036</v>
      </c>
      <c r="AL7" s="38">
        <f t="shared" si="11"/>
        <v>1.079069767</v>
      </c>
      <c r="AM7" s="38">
        <f>sumifs('WL Matrix 2'!T:T,'WL Matrix 2'!B:B,A7,'WL Matrix 2'!C:C,C7,'WL Matrix 2'!M:M,"Regular Season")</f>
        <v>0</v>
      </c>
    </row>
    <row r="8" ht="14.25" customHeight="1">
      <c r="A8" s="6">
        <v>2009.0</v>
      </c>
      <c r="B8" s="7">
        <v>39814.0</v>
      </c>
      <c r="C8" s="6" t="s">
        <v>79</v>
      </c>
      <c r="D8" s="6" t="s">
        <v>192</v>
      </c>
      <c r="E8" s="6" t="str">
        <f t="shared" si="1"/>
        <v>Frat Stars - 2009</v>
      </c>
      <c r="F8" s="6" t="s">
        <v>130</v>
      </c>
      <c r="G8" s="6" t="s">
        <v>193</v>
      </c>
      <c r="H8" s="6" t="s">
        <v>194</v>
      </c>
      <c r="I8" s="6" t="s">
        <v>195</v>
      </c>
      <c r="J8" s="49" t="s">
        <v>123</v>
      </c>
      <c r="K8" s="6"/>
      <c r="L8" s="8">
        <v>1.0</v>
      </c>
      <c r="M8" s="8">
        <v>7.0</v>
      </c>
      <c r="N8" s="6">
        <f t="shared" si="2"/>
        <v>7</v>
      </c>
      <c r="O8" s="6">
        <v>13.0</v>
      </c>
      <c r="P8" s="6">
        <v>10.0</v>
      </c>
      <c r="Q8" s="6">
        <f t="shared" si="3"/>
        <v>3</v>
      </c>
      <c r="R8" s="9">
        <v>1317.0</v>
      </c>
      <c r="S8" s="9">
        <v>1206.0</v>
      </c>
      <c r="T8" s="6" t="s">
        <v>45</v>
      </c>
      <c r="U8" s="6" t="s">
        <v>46</v>
      </c>
      <c r="V8" s="6">
        <v>47405.0</v>
      </c>
      <c r="W8" s="10">
        <v>25.0</v>
      </c>
      <c r="X8" s="11">
        <v>75.0</v>
      </c>
      <c r="Y8" s="12">
        <f t="shared" si="4"/>
        <v>50</v>
      </c>
      <c r="Z8" s="6">
        <f t="shared" si="5"/>
        <v>0</v>
      </c>
      <c r="AA8" s="6">
        <f t="shared" si="6"/>
        <v>1</v>
      </c>
      <c r="AB8" s="6"/>
      <c r="AC8" s="6">
        <f t="shared" si="7"/>
        <v>1329.25</v>
      </c>
      <c r="AD8" s="6">
        <f t="shared" si="8"/>
        <v>1</v>
      </c>
      <c r="AE8" s="6"/>
      <c r="AF8">
        <f>sumifs('WL Matrix 2'!T:T,'WL Matrix 2'!B:B,A8,'WL Matrix 2'!C:C,C8,'WL Matrix 2'!M:M,"Regular Season")</f>
        <v>0</v>
      </c>
      <c r="AI8" s="32" t="s">
        <v>116</v>
      </c>
      <c r="AJ8" s="32">
        <f t="shared" si="9"/>
        <v>4</v>
      </c>
      <c r="AK8" s="37">
        <f t="shared" si="10"/>
        <v>1.065246697</v>
      </c>
      <c r="AL8" s="38">
        <f t="shared" si="11"/>
        <v>0.9755308392</v>
      </c>
      <c r="AM8" s="38">
        <f>sumifs('WL Matrix 2'!T:T,'WL Matrix 2'!B:B,A8,'WL Matrix 2'!C:C,C8,'WL Matrix 2'!M:M,"Regular Season")</f>
        <v>0</v>
      </c>
    </row>
    <row r="9" ht="14.25" customHeight="1">
      <c r="A9" s="6">
        <v>2009.0</v>
      </c>
      <c r="B9" s="7">
        <v>39814.0</v>
      </c>
      <c r="C9" s="6" t="s">
        <v>198</v>
      </c>
      <c r="D9" s="6" t="s">
        <v>199</v>
      </c>
      <c r="E9" s="6" t="str">
        <f t="shared" si="1"/>
        <v>Bro and Sixteen - 2009</v>
      </c>
      <c r="F9" s="6" t="s">
        <v>200</v>
      </c>
      <c r="G9" s="6" t="s">
        <v>201</v>
      </c>
      <c r="H9" s="6" t="s">
        <v>202</v>
      </c>
      <c r="I9" s="6" t="s">
        <v>203</v>
      </c>
      <c r="J9" s="6" t="s">
        <v>123</v>
      </c>
      <c r="K9" s="6"/>
      <c r="L9" s="8">
        <v>7.0</v>
      </c>
      <c r="M9" s="8">
        <v>8.0</v>
      </c>
      <c r="N9" s="6">
        <f t="shared" si="2"/>
        <v>8</v>
      </c>
      <c r="O9" s="6">
        <v>13.0</v>
      </c>
      <c r="P9" s="6">
        <v>6.0</v>
      </c>
      <c r="Q9" s="6">
        <f t="shared" si="3"/>
        <v>7</v>
      </c>
      <c r="R9" s="9">
        <v>1238.0</v>
      </c>
      <c r="S9" s="9">
        <v>1170.0</v>
      </c>
      <c r="T9" s="6" t="s">
        <v>45</v>
      </c>
      <c r="U9" s="6" t="s">
        <v>46</v>
      </c>
      <c r="V9" s="6">
        <v>47405.0</v>
      </c>
      <c r="W9" s="10">
        <v>25.0</v>
      </c>
      <c r="X9" s="11"/>
      <c r="Y9" s="12">
        <f t="shared" si="4"/>
        <v>-25</v>
      </c>
      <c r="Z9" s="6">
        <f t="shared" si="5"/>
        <v>0</v>
      </c>
      <c r="AA9" s="6">
        <f t="shared" si="6"/>
        <v>0</v>
      </c>
      <c r="AB9" s="6"/>
      <c r="AC9" s="6">
        <f t="shared" si="7"/>
        <v>909.5</v>
      </c>
      <c r="AD9" s="6">
        <f t="shared" si="8"/>
        <v>0</v>
      </c>
      <c r="AE9" s="6"/>
      <c r="AF9">
        <f>sumifs('WL Matrix 2'!T:T,'WL Matrix 2'!B:B,A9,'WL Matrix 2'!C:C,C9,'WL Matrix 2'!M:M,"Regular Season")</f>
        <v>0</v>
      </c>
      <c r="AI9" s="32" t="s">
        <v>116</v>
      </c>
      <c r="AJ9" s="32">
        <f t="shared" si="9"/>
        <v>7</v>
      </c>
      <c r="AK9" s="37">
        <f t="shared" si="10"/>
        <v>1.001348072</v>
      </c>
      <c r="AL9" s="38">
        <f t="shared" si="11"/>
        <v>0.9464105157</v>
      </c>
      <c r="AM9" s="38">
        <f>sumifs('WL Matrix 2'!T:T,'WL Matrix 2'!B:B,A9,'WL Matrix 2'!C:C,C9,'WL Matrix 2'!M:M,"Regular Season")</f>
        <v>0</v>
      </c>
    </row>
    <row r="10" ht="14.25" customHeight="1">
      <c r="A10" s="6">
        <v>2009.0</v>
      </c>
      <c r="B10" s="7">
        <v>39814.0</v>
      </c>
      <c r="C10" s="6" t="s">
        <v>159</v>
      </c>
      <c r="D10" s="6" t="s">
        <v>206</v>
      </c>
      <c r="E10" s="6" t="str">
        <f t="shared" si="1"/>
        <v>Roon's Raging Broner - 2009</v>
      </c>
      <c r="F10" s="6" t="s">
        <v>207</v>
      </c>
      <c r="G10" s="6" t="s">
        <v>208</v>
      </c>
      <c r="H10" s="6" t="s">
        <v>209</v>
      </c>
      <c r="I10" s="6" t="s">
        <v>210</v>
      </c>
      <c r="J10" s="6" t="s">
        <v>123</v>
      </c>
      <c r="K10" s="6"/>
      <c r="L10" s="8">
        <v>9.0</v>
      </c>
      <c r="M10" s="8">
        <v>9.0</v>
      </c>
      <c r="N10" s="6">
        <f t="shared" si="2"/>
        <v>9</v>
      </c>
      <c r="O10" s="6">
        <v>13.0</v>
      </c>
      <c r="P10" s="6">
        <v>5.0</v>
      </c>
      <c r="Q10" s="6">
        <f t="shared" si="3"/>
        <v>8</v>
      </c>
      <c r="R10" s="9">
        <v>1163.0</v>
      </c>
      <c r="S10" s="9">
        <v>1246.0</v>
      </c>
      <c r="T10" s="6" t="s">
        <v>45</v>
      </c>
      <c r="U10" s="6" t="s">
        <v>46</v>
      </c>
      <c r="V10" s="6">
        <v>47405.0</v>
      </c>
      <c r="W10" s="10">
        <v>25.0</v>
      </c>
      <c r="X10" s="11"/>
      <c r="Y10" s="12">
        <f t="shared" si="4"/>
        <v>-25</v>
      </c>
      <c r="Z10" s="6">
        <f t="shared" si="5"/>
        <v>0</v>
      </c>
      <c r="AA10" s="6">
        <f t="shared" si="6"/>
        <v>0</v>
      </c>
      <c r="AB10" s="6"/>
      <c r="AC10" s="6">
        <f t="shared" si="7"/>
        <v>790.75</v>
      </c>
      <c r="AD10" s="6">
        <f t="shared" si="8"/>
        <v>0</v>
      </c>
      <c r="AE10" s="6"/>
      <c r="AF10">
        <f>sumifs('WL Matrix 2'!T:T,'WL Matrix 2'!B:B,A10,'WL Matrix 2'!C:C,C10,'WL Matrix 2'!M:M,"Regular Season")</f>
        <v>0</v>
      </c>
      <c r="AI10" s="32" t="s">
        <v>116</v>
      </c>
      <c r="AJ10" s="32">
        <f t="shared" si="9"/>
        <v>10</v>
      </c>
      <c r="AK10" s="37">
        <f t="shared" si="10"/>
        <v>0.9406848207</v>
      </c>
      <c r="AL10" s="38">
        <f t="shared" si="11"/>
        <v>1.007886754</v>
      </c>
      <c r="AM10" s="38">
        <f>sumifs('WL Matrix 2'!T:T,'WL Matrix 2'!B:B,A10,'WL Matrix 2'!C:C,C10,'WL Matrix 2'!M:M,"Regular Season")</f>
        <v>0</v>
      </c>
    </row>
    <row r="11" ht="14.25" customHeight="1">
      <c r="A11" s="6">
        <v>2009.0</v>
      </c>
      <c r="B11" s="7">
        <v>39814.0</v>
      </c>
      <c r="C11" s="6" t="s">
        <v>92</v>
      </c>
      <c r="D11" s="6" t="s">
        <v>213</v>
      </c>
      <c r="E11" s="6" t="str">
        <f t="shared" si="1"/>
        <v>LiveTheDream01 - 2009</v>
      </c>
      <c r="F11" s="6" t="s">
        <v>214</v>
      </c>
      <c r="G11" s="6" t="s">
        <v>215</v>
      </c>
      <c r="H11" s="6" t="s">
        <v>216</v>
      </c>
      <c r="I11" s="6" t="s">
        <v>217</v>
      </c>
      <c r="J11" s="6" t="s">
        <v>9</v>
      </c>
      <c r="K11" s="6"/>
      <c r="L11" s="8">
        <v>12.0</v>
      </c>
      <c r="M11" s="8">
        <v>12.0</v>
      </c>
      <c r="N11" s="6">
        <f t="shared" si="2"/>
        <v>12</v>
      </c>
      <c r="O11" s="6">
        <v>13.0</v>
      </c>
      <c r="P11" s="6">
        <v>3.0</v>
      </c>
      <c r="Q11" s="6">
        <f t="shared" si="3"/>
        <v>10</v>
      </c>
      <c r="R11" s="9">
        <v>1049.0</v>
      </c>
      <c r="S11" s="9">
        <v>1216.0</v>
      </c>
      <c r="T11" s="6" t="s">
        <v>45</v>
      </c>
      <c r="U11" s="6" t="s">
        <v>46</v>
      </c>
      <c r="V11" s="6">
        <v>47405.0</v>
      </c>
      <c r="W11" s="10">
        <v>25.0</v>
      </c>
      <c r="X11" s="11"/>
      <c r="Y11" s="12">
        <f t="shared" si="4"/>
        <v>-25</v>
      </c>
      <c r="Z11" s="6">
        <f t="shared" si="5"/>
        <v>0</v>
      </c>
      <c r="AA11" s="6">
        <f t="shared" si="6"/>
        <v>0</v>
      </c>
      <c r="AB11" s="6"/>
      <c r="AC11" s="6">
        <f t="shared" si="7"/>
        <v>562.25</v>
      </c>
      <c r="AD11" s="6">
        <f t="shared" si="8"/>
        <v>0</v>
      </c>
      <c r="AE11" s="6"/>
      <c r="AF11">
        <f>sumifs('WL Matrix 2'!T:T,'WL Matrix 2'!B:B,A11,'WL Matrix 2'!C:C,C11,'WL Matrix 2'!M:M,"Regular Season")</f>
        <v>0</v>
      </c>
      <c r="AI11" s="32" t="s">
        <v>116</v>
      </c>
      <c r="AJ11" s="32">
        <f t="shared" si="9"/>
        <v>12</v>
      </c>
      <c r="AK11" s="37">
        <f t="shared" si="10"/>
        <v>0.8484766783</v>
      </c>
      <c r="AL11" s="38">
        <f t="shared" si="11"/>
        <v>0.983619818</v>
      </c>
      <c r="AM11" s="38">
        <f>sumifs('WL Matrix 2'!T:T,'WL Matrix 2'!B:B,A11,'WL Matrix 2'!C:C,C11,'WL Matrix 2'!M:M,"Regular Season")</f>
        <v>0</v>
      </c>
    </row>
    <row r="12" ht="14.25" customHeight="1">
      <c r="A12" s="6">
        <v>2009.0</v>
      </c>
      <c r="B12" s="7">
        <v>39814.0</v>
      </c>
      <c r="C12" s="6" t="s">
        <v>89</v>
      </c>
      <c r="D12" s="6" t="s">
        <v>222</v>
      </c>
      <c r="E12" s="6" t="str">
        <f t="shared" si="1"/>
        <v>Broseph - 2009</v>
      </c>
      <c r="F12" s="6" t="s">
        <v>223</v>
      </c>
      <c r="G12" s="6" t="s">
        <v>224</v>
      </c>
      <c r="H12" s="6" t="s">
        <v>225</v>
      </c>
      <c r="I12" s="6" t="s">
        <v>226</v>
      </c>
      <c r="J12" s="6" t="s">
        <v>9</v>
      </c>
      <c r="K12" s="6"/>
      <c r="L12" s="8">
        <v>11.0</v>
      </c>
      <c r="M12" s="8">
        <v>11.0</v>
      </c>
      <c r="N12" s="6">
        <f t="shared" si="2"/>
        <v>11</v>
      </c>
      <c r="O12" s="6">
        <v>13.0</v>
      </c>
      <c r="P12" s="6">
        <v>4.0</v>
      </c>
      <c r="Q12" s="6">
        <f t="shared" si="3"/>
        <v>9</v>
      </c>
      <c r="R12" s="9">
        <v>1126.0</v>
      </c>
      <c r="S12" s="9">
        <v>1232.0</v>
      </c>
      <c r="T12" s="6" t="s">
        <v>45</v>
      </c>
      <c r="U12" s="6" t="s">
        <v>46</v>
      </c>
      <c r="V12" s="6">
        <v>47405.0</v>
      </c>
      <c r="W12" s="10">
        <v>25.0</v>
      </c>
      <c r="X12" s="11"/>
      <c r="Y12" s="12">
        <f t="shared" si="4"/>
        <v>-25</v>
      </c>
      <c r="Z12" s="6">
        <f t="shared" si="5"/>
        <v>0</v>
      </c>
      <c r="AA12" s="6">
        <f t="shared" si="6"/>
        <v>0</v>
      </c>
      <c r="AB12" s="6"/>
      <c r="AC12" s="6">
        <f t="shared" si="7"/>
        <v>681.5</v>
      </c>
      <c r="AD12" s="6">
        <f t="shared" si="8"/>
        <v>0</v>
      </c>
      <c r="AE12" s="6"/>
      <c r="AF12">
        <f>sumifs('WL Matrix 2'!T:T,'WL Matrix 2'!B:B,A12,'WL Matrix 2'!C:C,C12,'WL Matrix 2'!M:M,"Regular Season")</f>
        <v>0</v>
      </c>
      <c r="AI12" s="32" t="s">
        <v>116</v>
      </c>
      <c r="AJ12" s="32">
        <f t="shared" si="9"/>
        <v>11</v>
      </c>
      <c r="AK12" s="37">
        <f t="shared" si="10"/>
        <v>0.9107576166</v>
      </c>
      <c r="AL12" s="38">
        <f t="shared" si="11"/>
        <v>0.996562184</v>
      </c>
      <c r="AM12" s="38">
        <f>sumifs('WL Matrix 2'!T:T,'WL Matrix 2'!B:B,A12,'WL Matrix 2'!C:C,C12,'WL Matrix 2'!M:M,"Regular Season")</f>
        <v>0</v>
      </c>
    </row>
    <row r="13" ht="14.25" customHeight="1">
      <c r="A13" s="6">
        <v>2009.0</v>
      </c>
      <c r="B13" s="7">
        <v>39814.0</v>
      </c>
      <c r="C13" s="6" t="s">
        <v>229</v>
      </c>
      <c r="D13" s="49" t="s">
        <v>230</v>
      </c>
      <c r="E13" s="6" t="str">
        <f t="shared" si="1"/>
        <v>N*gros - 2009</v>
      </c>
      <c r="F13" s="6" t="s">
        <v>231</v>
      </c>
      <c r="G13" s="6" t="s">
        <v>232</v>
      </c>
      <c r="H13" s="6" t="s">
        <v>121</v>
      </c>
      <c r="I13" s="6" t="s">
        <v>233</v>
      </c>
      <c r="J13" s="6" t="s">
        <v>123</v>
      </c>
      <c r="K13" s="6"/>
      <c r="L13" s="8">
        <v>10.0</v>
      </c>
      <c r="M13" s="8">
        <v>10.0</v>
      </c>
      <c r="N13" s="6">
        <f t="shared" si="2"/>
        <v>10</v>
      </c>
      <c r="O13" s="6">
        <v>13.0</v>
      </c>
      <c r="P13" s="6">
        <v>5.0</v>
      </c>
      <c r="Q13" s="6">
        <f t="shared" si="3"/>
        <v>8</v>
      </c>
      <c r="R13" s="9">
        <v>1217.0</v>
      </c>
      <c r="S13" s="9">
        <v>1320.0</v>
      </c>
      <c r="T13" s="6" t="s">
        <v>45</v>
      </c>
      <c r="U13" s="6" t="s">
        <v>46</v>
      </c>
      <c r="V13" s="6">
        <v>47405.0</v>
      </c>
      <c r="W13" s="10">
        <v>25.0</v>
      </c>
      <c r="X13" s="11"/>
      <c r="Y13" s="12">
        <f t="shared" si="4"/>
        <v>-25</v>
      </c>
      <c r="Z13" s="6">
        <f t="shared" si="5"/>
        <v>0</v>
      </c>
      <c r="AA13" s="6">
        <f t="shared" si="6"/>
        <v>0</v>
      </c>
      <c r="AB13" s="6"/>
      <c r="AC13" s="6">
        <f t="shared" si="7"/>
        <v>804.25</v>
      </c>
      <c r="AD13" s="6">
        <f t="shared" si="8"/>
        <v>0</v>
      </c>
      <c r="AE13" s="6"/>
      <c r="AF13">
        <f>sumifs('WL Matrix 2'!T:T,'WL Matrix 2'!B:B,A13,'WL Matrix 2'!C:C,C13,'WL Matrix 2'!M:M,"Regular Season")</f>
        <v>0</v>
      </c>
      <c r="AI13" s="32" t="s">
        <v>116</v>
      </c>
      <c r="AJ13" s="32">
        <f t="shared" si="9"/>
        <v>8</v>
      </c>
      <c r="AK13" s="37">
        <f t="shared" si="10"/>
        <v>0.9843623618</v>
      </c>
      <c r="AL13" s="38">
        <f t="shared" si="11"/>
        <v>1.067745197</v>
      </c>
      <c r="AM13" s="38">
        <f>sumifs('WL Matrix 2'!T:T,'WL Matrix 2'!B:B,A13,'WL Matrix 2'!C:C,C13,'WL Matrix 2'!M:M,"Regular Season")</f>
        <v>0</v>
      </c>
    </row>
    <row r="14" ht="14.25" customHeight="1">
      <c r="A14" s="6">
        <v>2010.0</v>
      </c>
      <c r="B14" s="7">
        <v>40179.0</v>
      </c>
      <c r="C14" s="6" t="s">
        <v>237</v>
      </c>
      <c r="D14" s="6" t="s">
        <v>238</v>
      </c>
      <c r="E14" s="6" t="str">
        <f t="shared" si="1"/>
        <v>Bieber Fever - 2010</v>
      </c>
      <c r="F14" s="6" t="s">
        <v>239</v>
      </c>
      <c r="G14" s="6" t="s">
        <v>240</v>
      </c>
      <c r="H14" s="6" t="s">
        <v>241</v>
      </c>
      <c r="I14" s="6" t="s">
        <v>242</v>
      </c>
      <c r="J14" s="6" t="s">
        <v>123</v>
      </c>
      <c r="K14" s="6"/>
      <c r="L14" s="8">
        <v>6.0</v>
      </c>
      <c r="M14" s="8">
        <v>1.0</v>
      </c>
      <c r="N14" s="6">
        <f t="shared" si="2"/>
        <v>1</v>
      </c>
      <c r="O14" s="6">
        <v>13.0</v>
      </c>
      <c r="P14" s="6">
        <v>6.0</v>
      </c>
      <c r="Q14" s="6">
        <f t="shared" si="3"/>
        <v>7</v>
      </c>
      <c r="R14" s="9">
        <v>1224.0</v>
      </c>
      <c r="S14" s="9">
        <v>1139.0</v>
      </c>
      <c r="T14" s="6" t="s">
        <v>45</v>
      </c>
      <c r="U14" s="6" t="s">
        <v>46</v>
      </c>
      <c r="V14" s="6">
        <v>47405.0</v>
      </c>
      <c r="W14" s="10">
        <v>25.0</v>
      </c>
      <c r="X14" s="11">
        <v>100.0</v>
      </c>
      <c r="Y14" s="12">
        <f t="shared" si="4"/>
        <v>75</v>
      </c>
      <c r="Z14" s="6">
        <f t="shared" si="5"/>
        <v>1</v>
      </c>
      <c r="AA14" s="6">
        <f t="shared" si="6"/>
        <v>1</v>
      </c>
      <c r="AB14" s="6"/>
      <c r="AC14" s="6">
        <f t="shared" si="7"/>
        <v>906</v>
      </c>
      <c r="AD14" s="6">
        <f t="shared" si="8"/>
        <v>0</v>
      </c>
      <c r="AE14" s="6"/>
      <c r="AF14">
        <f>sumifs('WL Matrix 2'!T:T,'WL Matrix 2'!B:B,A14,'WL Matrix 2'!C:C,C14,'WL Matrix 2'!M:M,"Regular Season")</f>
        <v>0</v>
      </c>
      <c r="AI14" s="32" t="s">
        <v>116</v>
      </c>
      <c r="AJ14" s="32">
        <f t="shared" ref="AJ14:AJ25" si="12">rank(R14,$R$14:$R$25)</f>
        <v>3</v>
      </c>
      <c r="AK14" s="37">
        <f t="shared" si="10"/>
        <v>1.055475711</v>
      </c>
      <c r="AL14" s="38">
        <f t="shared" si="11"/>
        <v>0.982108213</v>
      </c>
      <c r="AM14" s="38">
        <f>sumifs('WL Matrix 2'!T:T,'WL Matrix 2'!B:B,A14,'WL Matrix 2'!C:C,C14,'WL Matrix 2'!M:M,"Regular Season")</f>
        <v>0</v>
      </c>
    </row>
    <row r="15" ht="14.25" customHeight="1">
      <c r="A15" s="6">
        <v>2010.0</v>
      </c>
      <c r="B15" s="7">
        <v>40179.0</v>
      </c>
      <c r="C15" s="6" t="s">
        <v>39</v>
      </c>
      <c r="D15" s="6" t="s">
        <v>40</v>
      </c>
      <c r="E15" s="6" t="str">
        <f t="shared" si="1"/>
        <v>Cutler's Year - 2010</v>
      </c>
      <c r="F15" s="6" t="s">
        <v>245</v>
      </c>
      <c r="G15" s="6" t="s">
        <v>120</v>
      </c>
      <c r="H15" s="6" t="s">
        <v>225</v>
      </c>
      <c r="I15" s="6" t="s">
        <v>169</v>
      </c>
      <c r="J15" s="6" t="s">
        <v>9</v>
      </c>
      <c r="K15" s="6"/>
      <c r="L15" s="8">
        <v>1.0</v>
      </c>
      <c r="M15" s="8">
        <v>2.0</v>
      </c>
      <c r="N15" s="6">
        <f t="shared" si="2"/>
        <v>2</v>
      </c>
      <c r="O15" s="6">
        <v>13.0</v>
      </c>
      <c r="P15" s="6">
        <v>11.0</v>
      </c>
      <c r="Q15" s="6">
        <f t="shared" si="3"/>
        <v>2</v>
      </c>
      <c r="R15" s="9">
        <v>1334.0</v>
      </c>
      <c r="S15" s="9">
        <v>1068.0</v>
      </c>
      <c r="T15" s="6" t="s">
        <v>45</v>
      </c>
      <c r="U15" s="6" t="s">
        <v>46</v>
      </c>
      <c r="V15" s="6">
        <v>47406.0</v>
      </c>
      <c r="W15" s="10">
        <v>25.0</v>
      </c>
      <c r="X15" s="11">
        <f>60+40+75</f>
        <v>175</v>
      </c>
      <c r="Y15" s="12">
        <f t="shared" si="4"/>
        <v>150</v>
      </c>
      <c r="Z15" s="6">
        <f t="shared" si="5"/>
        <v>0</v>
      </c>
      <c r="AA15" s="6">
        <f t="shared" si="6"/>
        <v>1</v>
      </c>
      <c r="AB15" s="6"/>
      <c r="AC15" s="6">
        <f t="shared" si="7"/>
        <v>1433.5</v>
      </c>
      <c r="AD15" s="6">
        <f t="shared" si="8"/>
        <v>1</v>
      </c>
      <c r="AE15" s="49">
        <v>1.0</v>
      </c>
      <c r="AF15">
        <f>sumifs('WL Matrix 2'!T:T,'WL Matrix 2'!B:B,A15,'WL Matrix 2'!C:C,C15,'WL Matrix 2'!M:M,"Regular Season")</f>
        <v>0</v>
      </c>
      <c r="AI15" s="32" t="s">
        <v>116</v>
      </c>
      <c r="AJ15" s="32">
        <f t="shared" si="12"/>
        <v>1</v>
      </c>
      <c r="AK15" s="37">
        <f t="shared" si="10"/>
        <v>1.150330555</v>
      </c>
      <c r="AL15" s="38">
        <f t="shared" si="11"/>
        <v>0.9208881224</v>
      </c>
      <c r="AM15" s="38">
        <f>sumifs('WL Matrix 2'!T:T,'WL Matrix 2'!B:B,A15,'WL Matrix 2'!C:C,C15,'WL Matrix 2'!M:M,"Regular Season")</f>
        <v>0</v>
      </c>
    </row>
    <row r="16" ht="14.25" customHeight="1">
      <c r="A16" s="6">
        <v>2010.0</v>
      </c>
      <c r="B16" s="7">
        <v>40179.0</v>
      </c>
      <c r="C16" s="6" t="s">
        <v>86</v>
      </c>
      <c r="D16" s="6" t="s">
        <v>249</v>
      </c>
      <c r="E16" s="6" t="str">
        <f t="shared" si="1"/>
        <v>Buckeyes - 2010</v>
      </c>
      <c r="F16" s="6" t="s">
        <v>166</v>
      </c>
      <c r="G16" s="6" t="s">
        <v>176</v>
      </c>
      <c r="H16" s="6" t="s">
        <v>250</v>
      </c>
      <c r="I16" s="6" t="s">
        <v>226</v>
      </c>
      <c r="J16" s="6" t="s">
        <v>9</v>
      </c>
      <c r="K16" s="6"/>
      <c r="L16" s="8">
        <v>2.0</v>
      </c>
      <c r="M16" s="8">
        <v>3.0</v>
      </c>
      <c r="N16" s="6">
        <f t="shared" si="2"/>
        <v>3</v>
      </c>
      <c r="O16" s="6">
        <v>13.0</v>
      </c>
      <c r="P16" s="6">
        <v>8.0</v>
      </c>
      <c r="Q16" s="6">
        <f t="shared" si="3"/>
        <v>5</v>
      </c>
      <c r="R16" s="9">
        <v>1221.0</v>
      </c>
      <c r="S16" s="9">
        <v>1128.0</v>
      </c>
      <c r="T16" s="6" t="s">
        <v>45</v>
      </c>
      <c r="U16" s="6" t="s">
        <v>46</v>
      </c>
      <c r="V16" s="6">
        <v>47406.0</v>
      </c>
      <c r="W16" s="10">
        <v>25.0</v>
      </c>
      <c r="X16" s="11">
        <v>25.0</v>
      </c>
      <c r="Y16" s="12">
        <f t="shared" si="4"/>
        <v>0</v>
      </c>
      <c r="Z16" s="6">
        <f t="shared" si="5"/>
        <v>0</v>
      </c>
      <c r="AA16" s="6">
        <f t="shared" si="6"/>
        <v>1</v>
      </c>
      <c r="AB16" s="6"/>
      <c r="AC16" s="6">
        <f t="shared" si="7"/>
        <v>1105.25</v>
      </c>
      <c r="AD16" s="6">
        <f t="shared" si="8"/>
        <v>0</v>
      </c>
      <c r="AE16" s="6"/>
      <c r="AF16">
        <f>sumifs('WL Matrix 2'!T:T,'WL Matrix 2'!B:B,A16,'WL Matrix 2'!C:C,C16,'WL Matrix 2'!M:M,"Regular Season")</f>
        <v>0</v>
      </c>
      <c r="AI16" s="32" t="s">
        <v>116</v>
      </c>
      <c r="AJ16" s="32">
        <f t="shared" si="12"/>
        <v>4</v>
      </c>
      <c r="AK16" s="37">
        <f t="shared" si="10"/>
        <v>1.052888761</v>
      </c>
      <c r="AL16" s="38">
        <f t="shared" si="11"/>
        <v>0.9726234102</v>
      </c>
      <c r="AM16" s="38">
        <f>sumifs('WL Matrix 2'!T:T,'WL Matrix 2'!B:B,A16,'WL Matrix 2'!C:C,C16,'WL Matrix 2'!M:M,"Regular Season")</f>
        <v>0</v>
      </c>
    </row>
    <row r="17" ht="14.25" customHeight="1">
      <c r="A17" s="6">
        <v>2010.0</v>
      </c>
      <c r="B17" s="7">
        <v>40179.0</v>
      </c>
      <c r="C17" s="6" t="s">
        <v>52</v>
      </c>
      <c r="D17" s="6" t="s">
        <v>252</v>
      </c>
      <c r="E17" s="6" t="str">
        <f t="shared" si="1"/>
        <v>Fahv-Ray is My Padre - 2010</v>
      </c>
      <c r="F17" s="6" t="s">
        <v>223</v>
      </c>
      <c r="G17" s="6" t="s">
        <v>254</v>
      </c>
      <c r="H17" s="6" t="s">
        <v>177</v>
      </c>
      <c r="I17" s="6" t="s">
        <v>210</v>
      </c>
      <c r="J17" s="6" t="s">
        <v>9</v>
      </c>
      <c r="K17" s="6"/>
      <c r="L17" s="8">
        <v>4.0</v>
      </c>
      <c r="M17" s="8">
        <v>4.0</v>
      </c>
      <c r="N17" s="6">
        <f t="shared" si="2"/>
        <v>4</v>
      </c>
      <c r="O17" s="6">
        <v>13.0</v>
      </c>
      <c r="P17" s="6">
        <v>7.0</v>
      </c>
      <c r="Q17" s="6">
        <f t="shared" si="3"/>
        <v>6</v>
      </c>
      <c r="R17" s="9">
        <v>1138.0</v>
      </c>
      <c r="S17" s="9">
        <v>1249.0</v>
      </c>
      <c r="T17" s="6" t="s">
        <v>45</v>
      </c>
      <c r="U17" s="6" t="s">
        <v>46</v>
      </c>
      <c r="V17" s="6">
        <v>47406.0</v>
      </c>
      <c r="W17" s="10">
        <v>25.0</v>
      </c>
      <c r="X17" s="11"/>
      <c r="Y17" s="12">
        <f t="shared" si="4"/>
        <v>-25</v>
      </c>
      <c r="Z17" s="6">
        <f t="shared" si="5"/>
        <v>0</v>
      </c>
      <c r="AA17" s="6">
        <f t="shared" si="6"/>
        <v>1</v>
      </c>
      <c r="AB17" s="6"/>
      <c r="AC17" s="6">
        <f t="shared" si="7"/>
        <v>984.5</v>
      </c>
      <c r="AD17" s="6">
        <f t="shared" si="8"/>
        <v>0</v>
      </c>
      <c r="AE17" s="6"/>
      <c r="AF17">
        <f>sumifs('WL Matrix 2'!T:T,'WL Matrix 2'!B:B,A17,'WL Matrix 2'!C:C,C17,'WL Matrix 2'!M:M,"Regular Season")</f>
        <v>0</v>
      </c>
      <c r="AI17" s="32" t="s">
        <v>116</v>
      </c>
      <c r="AJ17" s="32">
        <f t="shared" si="12"/>
        <v>7</v>
      </c>
      <c r="AK17" s="37">
        <f t="shared" si="10"/>
        <v>0.9813164703</v>
      </c>
      <c r="AL17" s="38">
        <f t="shared" si="11"/>
        <v>1.076956241</v>
      </c>
      <c r="AM17" s="38">
        <f>sumifs('WL Matrix 2'!T:T,'WL Matrix 2'!B:B,A17,'WL Matrix 2'!C:C,C17,'WL Matrix 2'!M:M,"Regular Season")</f>
        <v>0</v>
      </c>
    </row>
    <row r="18" ht="14.25" customHeight="1">
      <c r="A18" s="6">
        <v>2010.0</v>
      </c>
      <c r="B18" s="7">
        <v>40179.0</v>
      </c>
      <c r="C18" s="6" t="s">
        <v>76</v>
      </c>
      <c r="D18" s="6" t="s">
        <v>258</v>
      </c>
      <c r="E18" s="6" t="str">
        <f t="shared" si="1"/>
        <v>Salt 'N' Peppers - 2010</v>
      </c>
      <c r="F18" s="6" t="s">
        <v>133</v>
      </c>
      <c r="G18" s="6" t="s">
        <v>184</v>
      </c>
      <c r="H18" s="6" t="s">
        <v>259</v>
      </c>
      <c r="I18" s="6" t="s">
        <v>44</v>
      </c>
      <c r="J18" s="6" t="s">
        <v>9</v>
      </c>
      <c r="K18" s="6"/>
      <c r="L18" s="8">
        <v>3.0</v>
      </c>
      <c r="M18" s="8">
        <v>5.0</v>
      </c>
      <c r="N18" s="6">
        <f t="shared" si="2"/>
        <v>5</v>
      </c>
      <c r="O18" s="6">
        <v>13.0</v>
      </c>
      <c r="P18" s="6">
        <v>7.0</v>
      </c>
      <c r="Q18" s="6">
        <f t="shared" si="3"/>
        <v>6</v>
      </c>
      <c r="R18" s="9">
        <v>1237.0</v>
      </c>
      <c r="S18" s="9">
        <v>1157.0</v>
      </c>
      <c r="T18" s="6" t="s">
        <v>45</v>
      </c>
      <c r="U18" s="6" t="s">
        <v>46</v>
      </c>
      <c r="V18" s="6">
        <v>47406.0</v>
      </c>
      <c r="W18" s="10">
        <v>25.0</v>
      </c>
      <c r="X18" s="11"/>
      <c r="Y18" s="12">
        <f t="shared" si="4"/>
        <v>-25</v>
      </c>
      <c r="Z18" s="6">
        <f t="shared" si="5"/>
        <v>0</v>
      </c>
      <c r="AA18" s="6">
        <f t="shared" si="6"/>
        <v>1</v>
      </c>
      <c r="AB18" s="6"/>
      <c r="AC18" s="6">
        <f t="shared" si="7"/>
        <v>1009.25</v>
      </c>
      <c r="AD18" s="6">
        <f t="shared" si="8"/>
        <v>0</v>
      </c>
      <c r="AE18" s="6"/>
      <c r="AF18">
        <f>sumifs('WL Matrix 2'!T:T,'WL Matrix 2'!B:B,A18,'WL Matrix 2'!C:C,C18,'WL Matrix 2'!M:M,"Regular Season")</f>
        <v>0</v>
      </c>
      <c r="AI18" s="32" t="s">
        <v>116</v>
      </c>
      <c r="AJ18" s="32">
        <f t="shared" si="12"/>
        <v>2</v>
      </c>
      <c r="AK18" s="37">
        <f t="shared" si="10"/>
        <v>1.066685829</v>
      </c>
      <c r="AL18" s="38">
        <f t="shared" si="11"/>
        <v>0.9976287993</v>
      </c>
      <c r="AM18" s="38">
        <f>sumifs('WL Matrix 2'!T:T,'WL Matrix 2'!B:B,A18,'WL Matrix 2'!C:C,C18,'WL Matrix 2'!M:M,"Regular Season")</f>
        <v>0</v>
      </c>
    </row>
    <row r="19" ht="14.25" customHeight="1">
      <c r="A19" s="6">
        <v>2010.0</v>
      </c>
      <c r="B19" s="7">
        <v>40179.0</v>
      </c>
      <c r="C19" s="6" t="s">
        <v>72</v>
      </c>
      <c r="D19" s="6" t="s">
        <v>263</v>
      </c>
      <c r="E19" s="6" t="str">
        <f t="shared" si="1"/>
        <v>Acochalypto - 2010</v>
      </c>
      <c r="F19" s="6" t="s">
        <v>207</v>
      </c>
      <c r="G19" s="6" t="s">
        <v>264</v>
      </c>
      <c r="H19" s="6" t="s">
        <v>202</v>
      </c>
      <c r="I19" s="6" t="s">
        <v>265</v>
      </c>
      <c r="J19" s="6" t="s">
        <v>9</v>
      </c>
      <c r="K19" s="6"/>
      <c r="L19" s="8">
        <v>5.0</v>
      </c>
      <c r="M19" s="8">
        <v>6.0</v>
      </c>
      <c r="N19" s="6">
        <f t="shared" si="2"/>
        <v>6</v>
      </c>
      <c r="O19" s="6">
        <v>13.0</v>
      </c>
      <c r="P19" s="6">
        <v>7.0</v>
      </c>
      <c r="Q19" s="6">
        <f t="shared" si="3"/>
        <v>6</v>
      </c>
      <c r="R19" s="9">
        <v>1087.0</v>
      </c>
      <c r="S19" s="9">
        <v>1135.0</v>
      </c>
      <c r="T19" s="6" t="s">
        <v>45</v>
      </c>
      <c r="U19" s="6" t="s">
        <v>46</v>
      </c>
      <c r="V19" s="6">
        <v>47406.0</v>
      </c>
      <c r="W19" s="10">
        <v>25.0</v>
      </c>
      <c r="X19" s="11"/>
      <c r="Y19" s="12">
        <f t="shared" si="4"/>
        <v>-25</v>
      </c>
      <c r="Z19" s="6">
        <f t="shared" si="5"/>
        <v>0</v>
      </c>
      <c r="AA19" s="6">
        <f t="shared" si="6"/>
        <v>1</v>
      </c>
      <c r="AB19" s="6"/>
      <c r="AC19" s="6">
        <f t="shared" si="7"/>
        <v>971.75</v>
      </c>
      <c r="AD19" s="6">
        <f t="shared" si="8"/>
        <v>0</v>
      </c>
      <c r="AE19" s="6"/>
      <c r="AF19">
        <f>sumifs('WL Matrix 2'!T:T,'WL Matrix 2'!B:B,A19,'WL Matrix 2'!C:C,C19,'WL Matrix 2'!M:M,"Regular Season")</f>
        <v>0</v>
      </c>
      <c r="AI19" s="32" t="s">
        <v>116</v>
      </c>
      <c r="AJ19" s="32">
        <f t="shared" si="12"/>
        <v>10</v>
      </c>
      <c r="AK19" s="37">
        <f t="shared" si="10"/>
        <v>0.9373383156</v>
      </c>
      <c r="AL19" s="38">
        <f t="shared" si="11"/>
        <v>0.9786591938</v>
      </c>
      <c r="AM19" s="38">
        <f>sumifs('WL Matrix 2'!T:T,'WL Matrix 2'!B:B,A19,'WL Matrix 2'!C:C,C19,'WL Matrix 2'!M:M,"Regular Season")</f>
        <v>0</v>
      </c>
    </row>
    <row r="20" ht="14.25" customHeight="1">
      <c r="A20" s="6">
        <v>2010.0</v>
      </c>
      <c r="B20" s="7">
        <v>40179.0</v>
      </c>
      <c r="C20" s="6" t="s">
        <v>92</v>
      </c>
      <c r="D20" s="6" t="s">
        <v>268</v>
      </c>
      <c r="E20" s="6" t="str">
        <f t="shared" si="1"/>
        <v>Deny Till You Die - 2010</v>
      </c>
      <c r="F20" s="6" t="s">
        <v>269</v>
      </c>
      <c r="G20" s="6" t="s">
        <v>224</v>
      </c>
      <c r="H20" s="6" t="s">
        <v>270</v>
      </c>
      <c r="I20" s="6" t="s">
        <v>137</v>
      </c>
      <c r="J20" s="6" t="s">
        <v>9</v>
      </c>
      <c r="K20" s="6"/>
      <c r="L20" s="8">
        <v>7.0</v>
      </c>
      <c r="M20" s="8">
        <v>7.0</v>
      </c>
      <c r="N20" s="6">
        <f t="shared" si="2"/>
        <v>7</v>
      </c>
      <c r="O20" s="6">
        <v>13.0</v>
      </c>
      <c r="P20" s="6">
        <v>5.0</v>
      </c>
      <c r="Q20" s="6">
        <f t="shared" si="3"/>
        <v>8</v>
      </c>
      <c r="R20" s="9">
        <v>1130.0</v>
      </c>
      <c r="S20" s="9">
        <v>1153.0</v>
      </c>
      <c r="T20" s="6" t="s">
        <v>45</v>
      </c>
      <c r="U20" s="6" t="s">
        <v>46</v>
      </c>
      <c r="V20" s="6">
        <v>47406.0</v>
      </c>
      <c r="W20" s="10">
        <v>25.0</v>
      </c>
      <c r="X20" s="11"/>
      <c r="Y20" s="12">
        <f t="shared" si="4"/>
        <v>-25</v>
      </c>
      <c r="Z20" s="6">
        <f t="shared" si="5"/>
        <v>0</v>
      </c>
      <c r="AA20" s="6">
        <f t="shared" si="6"/>
        <v>0</v>
      </c>
      <c r="AB20" s="6"/>
      <c r="AC20" s="6">
        <f t="shared" si="7"/>
        <v>782.5</v>
      </c>
      <c r="AD20" s="6">
        <f t="shared" si="8"/>
        <v>0</v>
      </c>
      <c r="AE20" s="6"/>
      <c r="AF20">
        <f>sumifs('WL Matrix 2'!T:T,'WL Matrix 2'!B:B,A20,'WL Matrix 2'!C:C,C20,'WL Matrix 2'!M:M,"Regular Season")</f>
        <v>0</v>
      </c>
      <c r="AI20" s="32" t="s">
        <v>116</v>
      </c>
      <c r="AJ20" s="32">
        <f t="shared" si="12"/>
        <v>8</v>
      </c>
      <c r="AK20" s="37">
        <f t="shared" si="10"/>
        <v>0.9744179362</v>
      </c>
      <c r="AL20" s="38">
        <f t="shared" si="11"/>
        <v>0.9941797801</v>
      </c>
      <c r="AM20" s="38">
        <f>sumifs('WL Matrix 2'!T:T,'WL Matrix 2'!B:B,A20,'WL Matrix 2'!C:C,C20,'WL Matrix 2'!M:M,"Regular Season")</f>
        <v>0</v>
      </c>
    </row>
    <row r="21" ht="14.25" customHeight="1">
      <c r="A21" s="6">
        <v>2010.0</v>
      </c>
      <c r="B21" s="7">
        <v>40179.0</v>
      </c>
      <c r="C21" s="6" t="s">
        <v>89</v>
      </c>
      <c r="D21" s="6" t="s">
        <v>273</v>
      </c>
      <c r="E21" s="6" t="str">
        <f t="shared" si="1"/>
        <v>America's Team - 2010</v>
      </c>
      <c r="F21" s="6" t="s">
        <v>214</v>
      </c>
      <c r="G21" s="6" t="s">
        <v>274</v>
      </c>
      <c r="H21" s="6" t="s">
        <v>275</v>
      </c>
      <c r="I21" s="6" t="s">
        <v>233</v>
      </c>
      <c r="J21" s="6" t="s">
        <v>9</v>
      </c>
      <c r="K21" s="6"/>
      <c r="L21" s="8">
        <v>8.0</v>
      </c>
      <c r="M21" s="8">
        <v>8.0</v>
      </c>
      <c r="N21" s="6">
        <f t="shared" si="2"/>
        <v>8</v>
      </c>
      <c r="O21" s="6">
        <v>13.0</v>
      </c>
      <c r="P21" s="6">
        <v>6.0</v>
      </c>
      <c r="Q21" s="6">
        <f t="shared" si="3"/>
        <v>7</v>
      </c>
      <c r="R21" s="9">
        <v>1085.0</v>
      </c>
      <c r="S21" s="9">
        <v>1131.0</v>
      </c>
      <c r="T21" s="6" t="s">
        <v>45</v>
      </c>
      <c r="U21" s="6" t="s">
        <v>46</v>
      </c>
      <c r="V21" s="6">
        <v>47406.0</v>
      </c>
      <c r="W21" s="10">
        <v>25.0</v>
      </c>
      <c r="X21" s="11"/>
      <c r="Y21" s="12">
        <f t="shared" si="4"/>
        <v>-25</v>
      </c>
      <c r="Z21" s="6">
        <f t="shared" si="5"/>
        <v>0</v>
      </c>
      <c r="AA21" s="6">
        <f t="shared" si="6"/>
        <v>0</v>
      </c>
      <c r="AB21" s="6"/>
      <c r="AC21" s="6">
        <f t="shared" si="7"/>
        <v>871.25</v>
      </c>
      <c r="AD21" s="6">
        <f t="shared" si="8"/>
        <v>0</v>
      </c>
      <c r="AE21" s="6"/>
      <c r="AF21">
        <f>sumifs('WL Matrix 2'!T:T,'WL Matrix 2'!B:B,A21,'WL Matrix 2'!C:C,C21,'WL Matrix 2'!M:M,"Regular Season")</f>
        <v>0</v>
      </c>
      <c r="AI21" s="32" t="s">
        <v>116</v>
      </c>
      <c r="AJ21" s="32">
        <f t="shared" si="12"/>
        <v>11</v>
      </c>
      <c r="AK21" s="37">
        <f t="shared" si="10"/>
        <v>0.9356136821</v>
      </c>
      <c r="AL21" s="38">
        <f t="shared" si="11"/>
        <v>0.9752101746</v>
      </c>
      <c r="AM21" s="38">
        <f>sumifs('WL Matrix 2'!T:T,'WL Matrix 2'!B:B,A21,'WL Matrix 2'!C:C,C21,'WL Matrix 2'!M:M,"Regular Season")</f>
        <v>0</v>
      </c>
    </row>
    <row r="22" ht="14.25" customHeight="1">
      <c r="A22" s="6">
        <v>2010.0</v>
      </c>
      <c r="B22" s="7">
        <v>40179.0</v>
      </c>
      <c r="C22" s="6" t="s">
        <v>47</v>
      </c>
      <c r="D22" s="6" t="s">
        <v>278</v>
      </c>
      <c r="E22" s="6" t="str">
        <f t="shared" si="1"/>
        <v>Milledgevile Knights - 2010</v>
      </c>
      <c r="F22" s="6" t="s">
        <v>41</v>
      </c>
      <c r="G22" s="6" t="s">
        <v>279</v>
      </c>
      <c r="H22" s="6" t="s">
        <v>136</v>
      </c>
      <c r="I22" s="6" t="s">
        <v>280</v>
      </c>
      <c r="J22" s="6" t="s">
        <v>9</v>
      </c>
      <c r="K22" s="6"/>
      <c r="L22" s="8">
        <v>9.0</v>
      </c>
      <c r="M22" s="8">
        <v>9.0</v>
      </c>
      <c r="N22" s="6">
        <f t="shared" si="2"/>
        <v>9</v>
      </c>
      <c r="O22" s="6">
        <v>13.0</v>
      </c>
      <c r="P22" s="6">
        <v>5.0</v>
      </c>
      <c r="Q22" s="6">
        <f t="shared" si="3"/>
        <v>8</v>
      </c>
      <c r="R22" s="9">
        <v>1163.0</v>
      </c>
      <c r="S22" s="9">
        <v>1214.0</v>
      </c>
      <c r="T22" s="6" t="s">
        <v>45</v>
      </c>
      <c r="U22" s="6" t="s">
        <v>46</v>
      </c>
      <c r="V22" s="6">
        <v>47406.0</v>
      </c>
      <c r="W22" s="10">
        <v>25.0</v>
      </c>
      <c r="X22" s="11"/>
      <c r="Y22" s="12">
        <f t="shared" si="4"/>
        <v>-25</v>
      </c>
      <c r="Z22" s="6">
        <f t="shared" si="5"/>
        <v>0</v>
      </c>
      <c r="AA22" s="6">
        <f t="shared" si="6"/>
        <v>0</v>
      </c>
      <c r="AB22" s="6"/>
      <c r="AC22" s="6">
        <f t="shared" si="7"/>
        <v>790.75</v>
      </c>
      <c r="AD22" s="6">
        <f t="shared" si="8"/>
        <v>0</v>
      </c>
      <c r="AE22" s="6"/>
      <c r="AF22">
        <f>sumifs('WL Matrix 2'!T:T,'WL Matrix 2'!B:B,A22,'WL Matrix 2'!C:C,C22,'WL Matrix 2'!M:M,"Regular Season")</f>
        <v>0</v>
      </c>
      <c r="AI22" s="32" t="s">
        <v>116</v>
      </c>
      <c r="AJ22" s="32">
        <f t="shared" si="12"/>
        <v>5</v>
      </c>
      <c r="AK22" s="37">
        <f t="shared" si="10"/>
        <v>1.002874389</v>
      </c>
      <c r="AL22" s="38">
        <f t="shared" si="11"/>
        <v>1.046777323</v>
      </c>
      <c r="AM22" s="38">
        <f>sumifs('WL Matrix 2'!T:T,'WL Matrix 2'!B:B,A22,'WL Matrix 2'!C:C,C22,'WL Matrix 2'!M:M,"Regular Season")</f>
        <v>0</v>
      </c>
    </row>
    <row r="23" ht="14.25" customHeight="1">
      <c r="A23" s="6">
        <v>2010.0</v>
      </c>
      <c r="B23" s="7">
        <v>40179.0</v>
      </c>
      <c r="C23" s="6" t="s">
        <v>283</v>
      </c>
      <c r="D23" s="6" t="s">
        <v>284</v>
      </c>
      <c r="E23" s="6" t="str">
        <f t="shared" si="1"/>
        <v>Ham Sobbs - 2010</v>
      </c>
      <c r="F23" s="6" t="s">
        <v>286</v>
      </c>
      <c r="G23" s="6" t="s">
        <v>287</v>
      </c>
      <c r="H23" s="6" t="s">
        <v>168</v>
      </c>
      <c r="I23" s="6" t="s">
        <v>203</v>
      </c>
      <c r="J23" s="6" t="s">
        <v>123</v>
      </c>
      <c r="K23" s="6"/>
      <c r="L23" s="8">
        <v>10.0</v>
      </c>
      <c r="M23" s="8">
        <v>10.0</v>
      </c>
      <c r="N23" s="6">
        <f t="shared" si="2"/>
        <v>10</v>
      </c>
      <c r="O23" s="6">
        <v>13.0</v>
      </c>
      <c r="P23" s="6">
        <v>6.0</v>
      </c>
      <c r="Q23" s="6">
        <f t="shared" si="3"/>
        <v>7</v>
      </c>
      <c r="R23" s="9">
        <v>1109.0</v>
      </c>
      <c r="S23" s="9">
        <v>1266.0</v>
      </c>
      <c r="T23" s="6" t="s">
        <v>45</v>
      </c>
      <c r="U23" s="6" t="s">
        <v>46</v>
      </c>
      <c r="V23" s="6">
        <v>47405.0</v>
      </c>
      <c r="W23" s="10">
        <v>25.0</v>
      </c>
      <c r="X23" s="11"/>
      <c r="Y23" s="12">
        <f t="shared" si="4"/>
        <v>-25</v>
      </c>
      <c r="Z23" s="6">
        <f t="shared" si="5"/>
        <v>0</v>
      </c>
      <c r="AA23" s="6">
        <f t="shared" si="6"/>
        <v>0</v>
      </c>
      <c r="AB23" s="6"/>
      <c r="AC23" s="6">
        <f t="shared" si="7"/>
        <v>877.25</v>
      </c>
      <c r="AD23" s="6">
        <f t="shared" si="8"/>
        <v>0</v>
      </c>
      <c r="AE23" s="6"/>
      <c r="AF23">
        <f>sumifs('WL Matrix 2'!T:T,'WL Matrix 2'!B:B,A23,'WL Matrix 2'!C:C,C23,'WL Matrix 2'!M:M,"Regular Season")</f>
        <v>0</v>
      </c>
      <c r="AI23" s="32" t="s">
        <v>116</v>
      </c>
      <c r="AJ23" s="32">
        <f t="shared" si="12"/>
        <v>9</v>
      </c>
      <c r="AK23" s="37">
        <f t="shared" si="10"/>
        <v>0.9563092843</v>
      </c>
      <c r="AL23" s="38">
        <f t="shared" si="11"/>
        <v>1.091614572</v>
      </c>
      <c r="AM23" s="38">
        <f>sumifs('WL Matrix 2'!T:T,'WL Matrix 2'!B:B,A23,'WL Matrix 2'!C:C,C23,'WL Matrix 2'!M:M,"Regular Season")</f>
        <v>0</v>
      </c>
    </row>
    <row r="24" ht="14.25" customHeight="1">
      <c r="A24" s="6">
        <v>2010.0</v>
      </c>
      <c r="B24" s="7">
        <v>40179.0</v>
      </c>
      <c r="C24" s="6" t="s">
        <v>57</v>
      </c>
      <c r="D24" s="6" t="s">
        <v>292</v>
      </c>
      <c r="E24" s="6" t="str">
        <f t="shared" si="1"/>
        <v>The Dawgfather - 2010</v>
      </c>
      <c r="F24" s="6" t="s">
        <v>175</v>
      </c>
      <c r="G24" s="6" t="s">
        <v>293</v>
      </c>
      <c r="H24" s="6" t="s">
        <v>294</v>
      </c>
      <c r="I24" s="6" t="s">
        <v>295</v>
      </c>
      <c r="J24" s="6" t="s">
        <v>9</v>
      </c>
      <c r="K24" s="6"/>
      <c r="L24" s="8">
        <v>11.0</v>
      </c>
      <c r="M24" s="8">
        <v>11.0</v>
      </c>
      <c r="N24" s="6">
        <f t="shared" si="2"/>
        <v>11</v>
      </c>
      <c r="O24" s="6">
        <v>13.0</v>
      </c>
      <c r="P24" s="6">
        <v>5.0</v>
      </c>
      <c r="Q24" s="6">
        <f t="shared" si="3"/>
        <v>8</v>
      </c>
      <c r="R24" s="9">
        <v>1155.0</v>
      </c>
      <c r="S24" s="9">
        <v>1227.0</v>
      </c>
      <c r="T24" s="6" t="s">
        <v>45</v>
      </c>
      <c r="U24" s="6" t="s">
        <v>46</v>
      </c>
      <c r="V24" s="6">
        <v>47406.0</v>
      </c>
      <c r="W24" s="10">
        <v>25.0</v>
      </c>
      <c r="X24" s="11"/>
      <c r="Y24" s="12">
        <f t="shared" si="4"/>
        <v>-25</v>
      </c>
      <c r="Z24" s="6">
        <f t="shared" si="5"/>
        <v>0</v>
      </c>
      <c r="AA24" s="6">
        <f t="shared" si="6"/>
        <v>0</v>
      </c>
      <c r="AB24" s="6"/>
      <c r="AC24" s="6">
        <f t="shared" si="7"/>
        <v>788.75</v>
      </c>
      <c r="AD24" s="6">
        <f t="shared" si="8"/>
        <v>0</v>
      </c>
      <c r="AE24" s="6"/>
      <c r="AF24">
        <f>sumifs('WL Matrix 2'!T:T,'WL Matrix 2'!B:B,A24,'WL Matrix 2'!C:C,C24,'WL Matrix 2'!M:M,"Regular Season")</f>
        <v>0</v>
      </c>
      <c r="AI24" s="32" t="s">
        <v>116</v>
      </c>
      <c r="AJ24" s="32">
        <f t="shared" si="12"/>
        <v>6</v>
      </c>
      <c r="AK24" s="37">
        <f t="shared" si="10"/>
        <v>0.9959758551</v>
      </c>
      <c r="AL24" s="38">
        <f t="shared" si="11"/>
        <v>1.057986635</v>
      </c>
      <c r="AM24" s="38">
        <f>sumifs('WL Matrix 2'!T:T,'WL Matrix 2'!B:B,A24,'WL Matrix 2'!C:C,C24,'WL Matrix 2'!M:M,"Regular Season")</f>
        <v>0</v>
      </c>
    </row>
    <row r="25" ht="14.25" customHeight="1">
      <c r="A25" s="6">
        <v>2010.0</v>
      </c>
      <c r="B25" s="7">
        <v>40179.0</v>
      </c>
      <c r="C25" s="6" t="s">
        <v>79</v>
      </c>
      <c r="D25" s="6" t="s">
        <v>298</v>
      </c>
      <c r="E25" s="6" t="str">
        <f t="shared" si="1"/>
        <v>Frat Stars II - 2010</v>
      </c>
      <c r="F25" s="6" t="s">
        <v>299</v>
      </c>
      <c r="G25" s="6" t="s">
        <v>300</v>
      </c>
      <c r="H25" s="6" t="s">
        <v>209</v>
      </c>
      <c r="I25" s="6" t="s">
        <v>217</v>
      </c>
      <c r="J25" s="49" t="s">
        <v>123</v>
      </c>
      <c r="K25" s="6"/>
      <c r="L25" s="8">
        <v>12.0</v>
      </c>
      <c r="M25" s="8">
        <v>12.0</v>
      </c>
      <c r="N25" s="6">
        <f t="shared" si="2"/>
        <v>12</v>
      </c>
      <c r="O25" s="6">
        <v>13.0</v>
      </c>
      <c r="P25" s="6">
        <v>5.0</v>
      </c>
      <c r="Q25" s="6">
        <f t="shared" si="3"/>
        <v>8</v>
      </c>
      <c r="R25" s="9">
        <v>1033.0</v>
      </c>
      <c r="S25" s="9">
        <v>1050.0</v>
      </c>
      <c r="T25" s="6" t="s">
        <v>45</v>
      </c>
      <c r="U25" s="6" t="s">
        <v>46</v>
      </c>
      <c r="V25" s="6">
        <v>47406.0</v>
      </c>
      <c r="W25" s="10">
        <v>25.0</v>
      </c>
      <c r="X25" s="11"/>
      <c r="Y25" s="12">
        <f t="shared" si="4"/>
        <v>-25</v>
      </c>
      <c r="Z25" s="6">
        <f t="shared" si="5"/>
        <v>0</v>
      </c>
      <c r="AA25" s="6">
        <f t="shared" si="6"/>
        <v>0</v>
      </c>
      <c r="AB25" s="6"/>
      <c r="AC25" s="6">
        <f t="shared" si="7"/>
        <v>758.25</v>
      </c>
      <c r="AD25" s="6">
        <f t="shared" si="8"/>
        <v>0</v>
      </c>
      <c r="AE25" s="6"/>
      <c r="AF25">
        <f>sumifs('WL Matrix 2'!T:T,'WL Matrix 2'!B:B,A25,'WL Matrix 2'!C:C,C25,'WL Matrix 2'!M:M,"Regular Season")</f>
        <v>0</v>
      </c>
      <c r="AI25" s="32" t="s">
        <v>116</v>
      </c>
      <c r="AJ25" s="32">
        <f t="shared" si="12"/>
        <v>12</v>
      </c>
      <c r="AK25" s="37">
        <f t="shared" si="10"/>
        <v>0.8907732107</v>
      </c>
      <c r="AL25" s="38">
        <f t="shared" si="11"/>
        <v>0.9053675361</v>
      </c>
      <c r="AM25" s="38">
        <f>sumifs('WL Matrix 2'!T:T,'WL Matrix 2'!B:B,A25,'WL Matrix 2'!C:C,C25,'WL Matrix 2'!M:M,"Regular Season")</f>
        <v>0</v>
      </c>
    </row>
    <row r="26" ht="14.25" customHeight="1">
      <c r="A26" s="6">
        <v>2011.0</v>
      </c>
      <c r="B26" s="7">
        <v>40544.0</v>
      </c>
      <c r="C26" s="6" t="s">
        <v>47</v>
      </c>
      <c r="D26" s="6" t="s">
        <v>303</v>
      </c>
      <c r="E26" s="6" t="str">
        <f t="shared" si="1"/>
        <v>Yes We Cam - 2011</v>
      </c>
      <c r="F26" s="6" t="s">
        <v>304</v>
      </c>
      <c r="G26" s="6" t="s">
        <v>224</v>
      </c>
      <c r="H26" s="6" t="s">
        <v>305</v>
      </c>
      <c r="I26" s="6" t="s">
        <v>306</v>
      </c>
      <c r="J26" s="6" t="s">
        <v>9</v>
      </c>
      <c r="K26" s="6"/>
      <c r="L26" s="8">
        <v>2.0</v>
      </c>
      <c r="M26" s="8">
        <v>1.0</v>
      </c>
      <c r="N26" s="6">
        <f t="shared" si="2"/>
        <v>1</v>
      </c>
      <c r="O26" s="6">
        <v>13.0</v>
      </c>
      <c r="P26" s="6">
        <v>9.0</v>
      </c>
      <c r="Q26" s="6">
        <f t="shared" si="3"/>
        <v>4</v>
      </c>
      <c r="R26" s="9">
        <v>1229.0</v>
      </c>
      <c r="S26" s="9">
        <v>1308.0</v>
      </c>
      <c r="T26" s="6" t="s">
        <v>307</v>
      </c>
      <c r="U26" s="6" t="s">
        <v>308</v>
      </c>
      <c r="V26" s="6" t="s">
        <v>307</v>
      </c>
      <c r="W26" s="10">
        <v>25.0</v>
      </c>
      <c r="X26" s="11">
        <v>100.0</v>
      </c>
      <c r="Y26" s="12">
        <f t="shared" si="4"/>
        <v>75</v>
      </c>
      <c r="Z26" s="6">
        <f t="shared" si="5"/>
        <v>1</v>
      </c>
      <c r="AA26" s="6">
        <f t="shared" si="6"/>
        <v>1</v>
      </c>
      <c r="AB26" s="6"/>
      <c r="AC26" s="6">
        <f t="shared" si="7"/>
        <v>1207.25</v>
      </c>
      <c r="AD26" s="6">
        <f t="shared" si="8"/>
        <v>0</v>
      </c>
      <c r="AE26" s="6"/>
      <c r="AF26">
        <f>sumifs('WL Matrix 2'!T:T,'WL Matrix 2'!B:B,A26,'WL Matrix 2'!C:C,C26,'WL Matrix 2'!M:M,"Regular Season")</f>
        <v>89</v>
      </c>
      <c r="AG26">
        <f t="shared" ref="AG26:AG217" si="13">11*O26-AF26</f>
        <v>54</v>
      </c>
      <c r="AI26" s="32" t="s">
        <v>116</v>
      </c>
      <c r="AJ26" s="32">
        <f t="shared" ref="AJ26:AJ37" si="14">rank(R26,$R$26:$R$37)</f>
        <v>4</v>
      </c>
      <c r="AK26" s="37">
        <f t="shared" si="10"/>
        <v>1.067612567</v>
      </c>
      <c r="AL26" s="38">
        <f t="shared" si="11"/>
        <v>1.114376997</v>
      </c>
      <c r="AM26" s="38">
        <f>sumifs('WL Matrix 2'!T:T,'WL Matrix 2'!B:B,A26,'WL Matrix 2'!C:C,C26,'WL Matrix 2'!M:M,"Regular Season")</f>
        <v>89</v>
      </c>
    </row>
    <row r="27" ht="14.25" customHeight="1">
      <c r="A27" s="6">
        <v>2011.0</v>
      </c>
      <c r="B27" s="7">
        <v>40544.0</v>
      </c>
      <c r="C27" s="6" t="s">
        <v>82</v>
      </c>
      <c r="D27" s="6" t="s">
        <v>313</v>
      </c>
      <c r="E27" s="6" t="str">
        <f t="shared" si="1"/>
        <v>Kibbles 'n Fitz - 2011</v>
      </c>
      <c r="F27" s="6" t="s">
        <v>314</v>
      </c>
      <c r="G27" s="6" t="s">
        <v>193</v>
      </c>
      <c r="H27" s="6" t="s">
        <v>202</v>
      </c>
      <c r="I27" s="6" t="s">
        <v>44</v>
      </c>
      <c r="J27" s="6" t="s">
        <v>9</v>
      </c>
      <c r="K27" s="6"/>
      <c r="L27" s="8">
        <v>4.0</v>
      </c>
      <c r="M27" s="8">
        <v>2.0</v>
      </c>
      <c r="N27" s="6">
        <f t="shared" si="2"/>
        <v>2</v>
      </c>
      <c r="O27" s="6">
        <v>13.0</v>
      </c>
      <c r="P27" s="6">
        <v>8.0</v>
      </c>
      <c r="Q27" s="6">
        <f t="shared" si="3"/>
        <v>5</v>
      </c>
      <c r="R27" s="9">
        <v>1100.0</v>
      </c>
      <c r="S27" s="9">
        <v>1114.0</v>
      </c>
      <c r="T27" s="6" t="s">
        <v>315</v>
      </c>
      <c r="U27" s="6" t="s">
        <v>316</v>
      </c>
      <c r="V27" s="6" t="s">
        <v>315</v>
      </c>
      <c r="W27" s="10">
        <v>25.0</v>
      </c>
      <c r="X27" s="11">
        <v>60.0</v>
      </c>
      <c r="Y27" s="12">
        <f t="shared" si="4"/>
        <v>35</v>
      </c>
      <c r="Z27" s="6">
        <f t="shared" si="5"/>
        <v>0</v>
      </c>
      <c r="AA27" s="6">
        <f t="shared" si="6"/>
        <v>1</v>
      </c>
      <c r="AB27" s="6"/>
      <c r="AC27" s="6">
        <f t="shared" si="7"/>
        <v>1075</v>
      </c>
      <c r="AD27" s="6">
        <f t="shared" si="8"/>
        <v>0</v>
      </c>
      <c r="AE27" s="6"/>
      <c r="AF27">
        <f>sumifs('WL Matrix 2'!T:T,'WL Matrix 2'!B:B,A27,'WL Matrix 2'!C:C,C27,'WL Matrix 2'!M:M,"Regular Season")</f>
        <v>69</v>
      </c>
      <c r="AG27">
        <f t="shared" si="13"/>
        <v>74</v>
      </c>
      <c r="AI27" s="32" t="s">
        <v>116</v>
      </c>
      <c r="AJ27" s="32">
        <f t="shared" si="14"/>
        <v>9</v>
      </c>
      <c r="AK27" s="37">
        <f t="shared" si="10"/>
        <v>0.9555523382</v>
      </c>
      <c r="AL27" s="38">
        <f t="shared" si="11"/>
        <v>0.9490947817</v>
      </c>
      <c r="AM27" s="38">
        <f>sumifs('WL Matrix 2'!T:T,'WL Matrix 2'!B:B,A27,'WL Matrix 2'!C:C,C27,'WL Matrix 2'!M:M,"Regular Season")</f>
        <v>69</v>
      </c>
    </row>
    <row r="28" ht="14.25" customHeight="1">
      <c r="A28" s="6">
        <v>2011.0</v>
      </c>
      <c r="B28" s="7">
        <v>40544.0</v>
      </c>
      <c r="C28" s="6" t="s">
        <v>92</v>
      </c>
      <c r="D28" s="6" t="s">
        <v>319</v>
      </c>
      <c r="E28" s="6" t="str">
        <f t="shared" si="1"/>
        <v>Gambling Man - 2011</v>
      </c>
      <c r="F28" s="6" t="s">
        <v>245</v>
      </c>
      <c r="G28" s="6" t="s">
        <v>254</v>
      </c>
      <c r="H28" s="6" t="s">
        <v>320</v>
      </c>
      <c r="I28" s="6" t="s">
        <v>242</v>
      </c>
      <c r="J28" s="6" t="s">
        <v>9</v>
      </c>
      <c r="K28" s="6"/>
      <c r="L28" s="8">
        <v>1.0</v>
      </c>
      <c r="M28" s="8">
        <v>3.0</v>
      </c>
      <c r="N28" s="6">
        <f t="shared" si="2"/>
        <v>3</v>
      </c>
      <c r="O28" s="6">
        <v>13.0</v>
      </c>
      <c r="P28" s="6">
        <v>9.0</v>
      </c>
      <c r="Q28" s="6">
        <f t="shared" si="3"/>
        <v>4</v>
      </c>
      <c r="R28" s="9">
        <v>1247.0</v>
      </c>
      <c r="S28" s="9">
        <v>1105.0</v>
      </c>
      <c r="T28" s="6" t="s">
        <v>45</v>
      </c>
      <c r="U28" s="6" t="s">
        <v>46</v>
      </c>
      <c r="V28" s="6">
        <v>47406.0</v>
      </c>
      <c r="W28" s="10">
        <v>25.0</v>
      </c>
      <c r="X28" s="11">
        <v>100.0</v>
      </c>
      <c r="Y28" s="12">
        <f t="shared" si="4"/>
        <v>75</v>
      </c>
      <c r="Z28" s="6">
        <f t="shared" si="5"/>
        <v>0</v>
      </c>
      <c r="AA28" s="6">
        <f t="shared" si="6"/>
        <v>1</v>
      </c>
      <c r="AB28" s="6"/>
      <c r="AC28" s="6">
        <f t="shared" si="7"/>
        <v>1211.75</v>
      </c>
      <c r="AD28" s="6">
        <f t="shared" si="8"/>
        <v>1</v>
      </c>
      <c r="AE28" s="6"/>
      <c r="AF28">
        <f>sumifs('WL Matrix 2'!T:T,'WL Matrix 2'!B:B,A28,'WL Matrix 2'!C:C,C28,'WL Matrix 2'!M:M,"Regular Season")</f>
        <v>88</v>
      </c>
      <c r="AG28">
        <f t="shared" si="13"/>
        <v>55</v>
      </c>
      <c r="AI28" s="32" t="s">
        <v>116</v>
      </c>
      <c r="AJ28" s="32">
        <f t="shared" si="14"/>
        <v>2</v>
      </c>
      <c r="AK28" s="37">
        <f t="shared" si="10"/>
        <v>1.083248878</v>
      </c>
      <c r="AL28" s="38">
        <f t="shared" si="11"/>
        <v>0.9414270501</v>
      </c>
      <c r="AM28" s="38">
        <f>sumifs('WL Matrix 2'!T:T,'WL Matrix 2'!B:B,A28,'WL Matrix 2'!C:C,C28,'WL Matrix 2'!M:M,"Regular Season")</f>
        <v>88</v>
      </c>
    </row>
    <row r="29" ht="14.25" customHeight="1">
      <c r="A29" s="6">
        <v>2011.0</v>
      </c>
      <c r="B29" s="7">
        <v>40544.0</v>
      </c>
      <c r="C29" s="6" t="s">
        <v>76</v>
      </c>
      <c r="D29" s="6" t="s">
        <v>324</v>
      </c>
      <c r="E29" s="6" t="str">
        <f t="shared" si="1"/>
        <v>Salt Bake City - 2011</v>
      </c>
      <c r="F29" s="6" t="s">
        <v>325</v>
      </c>
      <c r="G29" s="6" t="s">
        <v>293</v>
      </c>
      <c r="H29" s="6" t="s">
        <v>43</v>
      </c>
      <c r="I29" s="6" t="s">
        <v>233</v>
      </c>
      <c r="J29" s="6" t="s">
        <v>9</v>
      </c>
      <c r="K29" s="6"/>
      <c r="L29" s="8">
        <v>3.0</v>
      </c>
      <c r="M29" s="8">
        <v>4.0</v>
      </c>
      <c r="N29" s="6">
        <f t="shared" si="2"/>
        <v>4</v>
      </c>
      <c r="O29" s="6">
        <v>13.0</v>
      </c>
      <c r="P29" s="6">
        <v>8.0</v>
      </c>
      <c r="Q29" s="6">
        <f t="shared" si="3"/>
        <v>5</v>
      </c>
      <c r="R29" s="9">
        <v>1308.0</v>
      </c>
      <c r="S29" s="9">
        <v>1090.0</v>
      </c>
      <c r="T29" s="6" t="s">
        <v>307</v>
      </c>
      <c r="U29" s="6" t="s">
        <v>308</v>
      </c>
      <c r="V29" s="6" t="s">
        <v>307</v>
      </c>
      <c r="W29" s="10">
        <v>25.0</v>
      </c>
      <c r="X29" s="11">
        <v>40.0</v>
      </c>
      <c r="Y29" s="12">
        <f t="shared" si="4"/>
        <v>15</v>
      </c>
      <c r="Z29" s="6">
        <f t="shared" si="5"/>
        <v>0</v>
      </c>
      <c r="AA29" s="6">
        <f t="shared" si="6"/>
        <v>1</v>
      </c>
      <c r="AB29" s="6"/>
      <c r="AC29" s="6">
        <f t="shared" si="7"/>
        <v>1127</v>
      </c>
      <c r="AD29" s="6">
        <f t="shared" si="8"/>
        <v>0</v>
      </c>
      <c r="AE29" s="49">
        <v>1.0</v>
      </c>
      <c r="AF29">
        <f>sumifs('WL Matrix 2'!T:T,'WL Matrix 2'!B:B,A29,'WL Matrix 2'!C:C,C29,'WL Matrix 2'!M:M,"Regular Season")</f>
        <v>97</v>
      </c>
      <c r="AG29">
        <f t="shared" si="13"/>
        <v>46</v>
      </c>
      <c r="AI29" s="32" t="s">
        <v>116</v>
      </c>
      <c r="AJ29" s="32">
        <f t="shared" si="14"/>
        <v>1</v>
      </c>
      <c r="AK29" s="37">
        <f t="shared" si="10"/>
        <v>1.136238599</v>
      </c>
      <c r="AL29" s="38">
        <f t="shared" si="11"/>
        <v>0.9286474973</v>
      </c>
      <c r="AM29" s="38">
        <f>sumifs('WL Matrix 2'!T:T,'WL Matrix 2'!B:B,A29,'WL Matrix 2'!C:C,C29,'WL Matrix 2'!M:M,"Regular Season")</f>
        <v>97</v>
      </c>
    </row>
    <row r="30" ht="14.25" customHeight="1">
      <c r="A30" s="6">
        <v>2011.0</v>
      </c>
      <c r="B30" s="7">
        <v>40544.0</v>
      </c>
      <c r="C30" s="6" t="s">
        <v>39</v>
      </c>
      <c r="D30" s="6" t="s">
        <v>40</v>
      </c>
      <c r="E30" s="6" t="str">
        <f t="shared" si="1"/>
        <v>Cutler's Year - 2011</v>
      </c>
      <c r="F30" s="6" t="s">
        <v>133</v>
      </c>
      <c r="G30" s="6" t="s">
        <v>279</v>
      </c>
      <c r="H30" s="6" t="s">
        <v>225</v>
      </c>
      <c r="I30" s="6" t="s">
        <v>169</v>
      </c>
      <c r="J30" s="6" t="s">
        <v>9</v>
      </c>
      <c r="K30" s="6"/>
      <c r="L30" s="8">
        <v>6.0</v>
      </c>
      <c r="M30" s="8">
        <v>5.0</v>
      </c>
      <c r="N30" s="6">
        <f t="shared" si="2"/>
        <v>5</v>
      </c>
      <c r="O30" s="6">
        <v>13.0</v>
      </c>
      <c r="P30" s="6">
        <v>7.0</v>
      </c>
      <c r="Q30" s="6">
        <f t="shared" si="3"/>
        <v>6</v>
      </c>
      <c r="R30" s="9">
        <v>1227.0</v>
      </c>
      <c r="S30" s="9">
        <v>1236.0</v>
      </c>
      <c r="T30" s="6" t="s">
        <v>315</v>
      </c>
      <c r="U30" s="6" t="s">
        <v>316</v>
      </c>
      <c r="V30" s="6" t="s">
        <v>315</v>
      </c>
      <c r="W30" s="10">
        <v>25.0</v>
      </c>
      <c r="X30" s="11"/>
      <c r="Y30" s="12">
        <f t="shared" si="4"/>
        <v>-25</v>
      </c>
      <c r="Z30" s="6">
        <f t="shared" si="5"/>
        <v>0</v>
      </c>
      <c r="AA30" s="6">
        <f t="shared" si="6"/>
        <v>1</v>
      </c>
      <c r="AB30" s="6"/>
      <c r="AC30" s="6">
        <f t="shared" si="7"/>
        <v>1006.75</v>
      </c>
      <c r="AD30" s="6">
        <f t="shared" si="8"/>
        <v>0</v>
      </c>
      <c r="AE30" s="6"/>
      <c r="AF30">
        <f>sumifs('WL Matrix 2'!T:T,'WL Matrix 2'!B:B,A30,'WL Matrix 2'!C:C,C30,'WL Matrix 2'!M:M,"Regular Season")</f>
        <v>84</v>
      </c>
      <c r="AG30">
        <f t="shared" si="13"/>
        <v>59</v>
      </c>
      <c r="AI30" s="32" t="s">
        <v>116</v>
      </c>
      <c r="AJ30" s="32">
        <f t="shared" si="14"/>
        <v>5</v>
      </c>
      <c r="AK30" s="37">
        <f t="shared" si="10"/>
        <v>1.065875199</v>
      </c>
      <c r="AL30" s="38">
        <f t="shared" si="11"/>
        <v>1.053035144</v>
      </c>
      <c r="AM30" s="38">
        <f>sumifs('WL Matrix 2'!T:T,'WL Matrix 2'!B:B,A30,'WL Matrix 2'!C:C,C30,'WL Matrix 2'!M:M,"Regular Season")</f>
        <v>84</v>
      </c>
    </row>
    <row r="31" ht="14.25" customHeight="1">
      <c r="A31" s="6">
        <v>2011.0</v>
      </c>
      <c r="B31" s="7">
        <v>40544.0</v>
      </c>
      <c r="C31" s="6" t="s">
        <v>89</v>
      </c>
      <c r="D31" s="6" t="s">
        <v>330</v>
      </c>
      <c r="E31" s="6" t="str">
        <f t="shared" si="1"/>
        <v>Show me Your TDs - 2011</v>
      </c>
      <c r="F31" s="6" t="s">
        <v>207</v>
      </c>
      <c r="G31" s="6" t="s">
        <v>331</v>
      </c>
      <c r="H31" s="6" t="s">
        <v>332</v>
      </c>
      <c r="I31" s="6" t="s">
        <v>333</v>
      </c>
      <c r="J31" s="6" t="s">
        <v>9</v>
      </c>
      <c r="K31" s="6"/>
      <c r="L31" s="8">
        <v>5.0</v>
      </c>
      <c r="M31" s="8">
        <v>6.0</v>
      </c>
      <c r="N31" s="6">
        <f t="shared" si="2"/>
        <v>6</v>
      </c>
      <c r="O31" s="6">
        <v>13.0</v>
      </c>
      <c r="P31" s="6">
        <v>7.0</v>
      </c>
      <c r="Q31" s="6">
        <f t="shared" si="3"/>
        <v>6</v>
      </c>
      <c r="R31" s="9">
        <v>1233.0</v>
      </c>
      <c r="S31" s="9">
        <v>1195.0</v>
      </c>
      <c r="T31" s="6" t="s">
        <v>45</v>
      </c>
      <c r="U31" s="6" t="s">
        <v>46</v>
      </c>
      <c r="V31" s="6">
        <v>47406.0</v>
      </c>
      <c r="W31" s="10">
        <v>25.0</v>
      </c>
      <c r="X31" s="11"/>
      <c r="Y31" s="12">
        <f t="shared" si="4"/>
        <v>-25</v>
      </c>
      <c r="Z31" s="6">
        <f t="shared" si="5"/>
        <v>0</v>
      </c>
      <c r="AA31" s="6">
        <f t="shared" si="6"/>
        <v>1</v>
      </c>
      <c r="AB31" s="6"/>
      <c r="AC31" s="6">
        <f t="shared" si="7"/>
        <v>1008.25</v>
      </c>
      <c r="AD31" s="6">
        <f t="shared" si="8"/>
        <v>0</v>
      </c>
      <c r="AE31" s="6"/>
      <c r="AF31">
        <f>sumifs('WL Matrix 2'!T:T,'WL Matrix 2'!B:B,A31,'WL Matrix 2'!C:C,C31,'WL Matrix 2'!M:M,"Regular Season")</f>
        <v>85</v>
      </c>
      <c r="AG31">
        <f t="shared" si="13"/>
        <v>58</v>
      </c>
      <c r="AI31" s="32" t="s">
        <v>116</v>
      </c>
      <c r="AJ31" s="32">
        <f t="shared" si="14"/>
        <v>3</v>
      </c>
      <c r="AK31" s="37">
        <f t="shared" si="10"/>
        <v>1.071087303</v>
      </c>
      <c r="AL31" s="38">
        <f t="shared" si="11"/>
        <v>1.018104366</v>
      </c>
      <c r="AM31" s="38">
        <f>sumifs('WL Matrix 2'!T:T,'WL Matrix 2'!B:B,A31,'WL Matrix 2'!C:C,C31,'WL Matrix 2'!M:M,"Regular Season")</f>
        <v>85</v>
      </c>
    </row>
    <row r="32" ht="14.25" customHeight="1">
      <c r="A32" s="6">
        <v>2011.0</v>
      </c>
      <c r="B32" s="7">
        <v>40544.0</v>
      </c>
      <c r="C32" s="6" t="s">
        <v>159</v>
      </c>
      <c r="D32" s="6" t="s">
        <v>336</v>
      </c>
      <c r="E32" s="6" t="str">
        <f t="shared" si="1"/>
        <v>The McRB is Back! - 2011</v>
      </c>
      <c r="F32" s="6" t="s">
        <v>337</v>
      </c>
      <c r="G32" s="6" t="s">
        <v>338</v>
      </c>
      <c r="H32" s="6" t="s">
        <v>177</v>
      </c>
      <c r="I32" s="6" t="s">
        <v>339</v>
      </c>
      <c r="J32" s="6" t="s">
        <v>123</v>
      </c>
      <c r="K32" s="6"/>
      <c r="L32" s="8">
        <v>7.0</v>
      </c>
      <c r="M32" s="8">
        <v>7.0</v>
      </c>
      <c r="N32" s="6">
        <f t="shared" si="2"/>
        <v>7</v>
      </c>
      <c r="O32" s="6">
        <v>13.0</v>
      </c>
      <c r="P32" s="6">
        <v>7.0</v>
      </c>
      <c r="Q32" s="6">
        <f t="shared" si="3"/>
        <v>6</v>
      </c>
      <c r="R32" s="9">
        <v>1193.0</v>
      </c>
      <c r="S32" s="9">
        <v>1161.0</v>
      </c>
      <c r="T32" s="6" t="s">
        <v>45</v>
      </c>
      <c r="U32" s="6" t="s">
        <v>46</v>
      </c>
      <c r="V32" s="6">
        <v>47406.0</v>
      </c>
      <c r="W32" s="10">
        <v>25.0</v>
      </c>
      <c r="X32" s="11"/>
      <c r="Y32" s="12">
        <f t="shared" si="4"/>
        <v>-25</v>
      </c>
      <c r="Z32" s="6">
        <f t="shared" si="5"/>
        <v>0</v>
      </c>
      <c r="AA32" s="6">
        <f t="shared" si="6"/>
        <v>0</v>
      </c>
      <c r="AB32" s="6"/>
      <c r="AC32" s="6">
        <f t="shared" si="7"/>
        <v>998.25</v>
      </c>
      <c r="AD32" s="6">
        <f t="shared" si="8"/>
        <v>0</v>
      </c>
      <c r="AE32" s="6"/>
      <c r="AF32">
        <f>sumifs('WL Matrix 2'!T:T,'WL Matrix 2'!B:B,A32,'WL Matrix 2'!C:C,C32,'WL Matrix 2'!M:M,"Regular Season")</f>
        <v>74</v>
      </c>
      <c r="AG32">
        <f t="shared" si="13"/>
        <v>69</v>
      </c>
      <c r="AI32" s="32" t="s">
        <v>116</v>
      </c>
      <c r="AJ32" s="32">
        <f t="shared" si="14"/>
        <v>6</v>
      </c>
      <c r="AK32" s="37">
        <f t="shared" si="10"/>
        <v>1.036339945</v>
      </c>
      <c r="AL32" s="38">
        <f t="shared" si="11"/>
        <v>0.9891373802</v>
      </c>
      <c r="AM32" s="38">
        <f>sumifs('WL Matrix 2'!T:T,'WL Matrix 2'!B:B,A32,'WL Matrix 2'!C:C,C32,'WL Matrix 2'!M:M,"Regular Season")</f>
        <v>74</v>
      </c>
    </row>
    <row r="33" ht="14.25" customHeight="1">
      <c r="A33" s="6">
        <v>2011.0</v>
      </c>
      <c r="B33" s="7">
        <v>40544.0</v>
      </c>
      <c r="C33" s="6" t="s">
        <v>86</v>
      </c>
      <c r="D33" s="6" t="s">
        <v>341</v>
      </c>
      <c r="E33" s="6" t="str">
        <f t="shared" si="1"/>
        <v>Tat Five - 2011</v>
      </c>
      <c r="F33" s="6" t="s">
        <v>41</v>
      </c>
      <c r="G33" s="6" t="s">
        <v>208</v>
      </c>
      <c r="H33" s="6" t="s">
        <v>342</v>
      </c>
      <c r="I33" s="6" t="s">
        <v>203</v>
      </c>
      <c r="J33" s="6" t="s">
        <v>9</v>
      </c>
      <c r="K33" s="6"/>
      <c r="L33" s="8">
        <v>8.0</v>
      </c>
      <c r="M33" s="8">
        <v>8.0</v>
      </c>
      <c r="N33" s="6">
        <f t="shared" si="2"/>
        <v>8</v>
      </c>
      <c r="O33" s="6">
        <v>13.0</v>
      </c>
      <c r="P33" s="6">
        <v>6.0</v>
      </c>
      <c r="Q33" s="6">
        <f t="shared" si="3"/>
        <v>7</v>
      </c>
      <c r="R33" s="9">
        <v>1148.0</v>
      </c>
      <c r="S33" s="9">
        <v>1146.0</v>
      </c>
      <c r="T33" s="6" t="s">
        <v>45</v>
      </c>
      <c r="U33" s="6" t="s">
        <v>46</v>
      </c>
      <c r="V33" s="6">
        <v>47406.0</v>
      </c>
      <c r="W33" s="10">
        <v>25.0</v>
      </c>
      <c r="X33" s="11"/>
      <c r="Y33" s="12">
        <f t="shared" si="4"/>
        <v>-25</v>
      </c>
      <c r="Z33" s="6">
        <f t="shared" si="5"/>
        <v>0</v>
      </c>
      <c r="AA33" s="6">
        <f t="shared" si="6"/>
        <v>0</v>
      </c>
      <c r="AB33" s="6"/>
      <c r="AC33" s="6">
        <f t="shared" si="7"/>
        <v>887</v>
      </c>
      <c r="AD33" s="6">
        <f t="shared" si="8"/>
        <v>0</v>
      </c>
      <c r="AE33" s="6"/>
      <c r="AF33">
        <f>sumifs('WL Matrix 2'!T:T,'WL Matrix 2'!B:B,A33,'WL Matrix 2'!C:C,C33,'WL Matrix 2'!M:M,"Regular Season")</f>
        <v>72</v>
      </c>
      <c r="AG33">
        <f t="shared" si="13"/>
        <v>71</v>
      </c>
      <c r="AI33" s="32" t="s">
        <v>116</v>
      </c>
      <c r="AJ33" s="32">
        <f t="shared" si="14"/>
        <v>8</v>
      </c>
      <c r="AK33" s="37">
        <f t="shared" si="10"/>
        <v>0.9972491675</v>
      </c>
      <c r="AL33" s="38">
        <f t="shared" si="11"/>
        <v>0.9763578275</v>
      </c>
      <c r="AM33" s="38">
        <f>sumifs('WL Matrix 2'!T:T,'WL Matrix 2'!B:B,A33,'WL Matrix 2'!C:C,C33,'WL Matrix 2'!M:M,"Regular Season")</f>
        <v>72</v>
      </c>
    </row>
    <row r="34" ht="14.25" customHeight="1">
      <c r="A34" s="6">
        <v>2011.0</v>
      </c>
      <c r="B34" s="7">
        <v>40544.0</v>
      </c>
      <c r="C34" s="6" t="s">
        <v>57</v>
      </c>
      <c r="D34" s="6" t="s">
        <v>345</v>
      </c>
      <c r="E34" s="6" t="str">
        <f t="shared" si="1"/>
        <v>Clay Rodge - 2011</v>
      </c>
      <c r="F34" s="6" t="s">
        <v>175</v>
      </c>
      <c r="G34" s="6" t="s">
        <v>346</v>
      </c>
      <c r="H34" s="6" t="s">
        <v>347</v>
      </c>
      <c r="I34" s="6" t="s">
        <v>195</v>
      </c>
      <c r="J34" s="6" t="s">
        <v>9</v>
      </c>
      <c r="K34" s="6"/>
      <c r="L34" s="8">
        <v>9.0</v>
      </c>
      <c r="M34" s="8">
        <v>9.0</v>
      </c>
      <c r="N34" s="6">
        <f t="shared" si="2"/>
        <v>9</v>
      </c>
      <c r="O34" s="6">
        <v>13.0</v>
      </c>
      <c r="P34" s="6">
        <v>5.0</v>
      </c>
      <c r="Q34" s="6">
        <f t="shared" si="3"/>
        <v>8</v>
      </c>
      <c r="R34" s="9">
        <v>1151.0</v>
      </c>
      <c r="S34" s="9">
        <v>1194.0</v>
      </c>
      <c r="T34" s="6" t="s">
        <v>45</v>
      </c>
      <c r="U34" s="6" t="s">
        <v>46</v>
      </c>
      <c r="V34" s="6">
        <v>47406.0</v>
      </c>
      <c r="W34" s="10">
        <v>25.0</v>
      </c>
      <c r="X34" s="11"/>
      <c r="Y34" s="12">
        <f t="shared" si="4"/>
        <v>-25</v>
      </c>
      <c r="Z34" s="6">
        <f t="shared" si="5"/>
        <v>0</v>
      </c>
      <c r="AA34" s="6">
        <f t="shared" si="6"/>
        <v>0</v>
      </c>
      <c r="AB34" s="6"/>
      <c r="AC34" s="6">
        <f t="shared" si="7"/>
        <v>787.75</v>
      </c>
      <c r="AD34" s="6">
        <f t="shared" si="8"/>
        <v>0</v>
      </c>
      <c r="AE34" s="6"/>
      <c r="AF34">
        <f>sumifs('WL Matrix 2'!T:T,'WL Matrix 2'!B:B,A34,'WL Matrix 2'!C:C,C34,'WL Matrix 2'!M:M,"Regular Season")</f>
        <v>66</v>
      </c>
      <c r="AG34">
        <f t="shared" si="13"/>
        <v>77</v>
      </c>
      <c r="AI34" s="32" t="s">
        <v>116</v>
      </c>
      <c r="AJ34" s="32">
        <f t="shared" si="14"/>
        <v>7</v>
      </c>
      <c r="AK34" s="37">
        <f t="shared" si="10"/>
        <v>0.9998552193</v>
      </c>
      <c r="AL34" s="38">
        <f t="shared" si="11"/>
        <v>1.017252396</v>
      </c>
      <c r="AM34" s="38">
        <f>sumifs('WL Matrix 2'!T:T,'WL Matrix 2'!B:B,A34,'WL Matrix 2'!C:C,C34,'WL Matrix 2'!M:M,"Regular Season")</f>
        <v>66</v>
      </c>
    </row>
    <row r="35" ht="14.25" customHeight="1">
      <c r="A35" s="6">
        <v>2011.0</v>
      </c>
      <c r="B35" s="7">
        <v>40544.0</v>
      </c>
      <c r="C35" s="6" t="s">
        <v>72</v>
      </c>
      <c r="D35" s="6" t="s">
        <v>350</v>
      </c>
      <c r="E35" s="6" t="str">
        <f t="shared" si="1"/>
        <v>It's My Vick In A Box - 2011</v>
      </c>
      <c r="F35" s="6" t="s">
        <v>351</v>
      </c>
      <c r="G35" s="6" t="s">
        <v>352</v>
      </c>
      <c r="H35" s="6" t="s">
        <v>353</v>
      </c>
      <c r="I35" s="6" t="s">
        <v>217</v>
      </c>
      <c r="J35" s="6" t="s">
        <v>9</v>
      </c>
      <c r="K35" s="6"/>
      <c r="L35" s="8">
        <v>10.0</v>
      </c>
      <c r="M35" s="8">
        <v>10.0</v>
      </c>
      <c r="N35" s="6">
        <f t="shared" si="2"/>
        <v>10</v>
      </c>
      <c r="O35" s="6">
        <v>13.0</v>
      </c>
      <c r="P35" s="6">
        <v>5.0</v>
      </c>
      <c r="Q35" s="6">
        <f t="shared" si="3"/>
        <v>8</v>
      </c>
      <c r="R35" s="9">
        <v>1037.0</v>
      </c>
      <c r="S35" s="9">
        <v>1187.0</v>
      </c>
      <c r="T35" s="6" t="s">
        <v>45</v>
      </c>
      <c r="U35" s="6" t="s">
        <v>46</v>
      </c>
      <c r="V35" s="6">
        <v>47406.0</v>
      </c>
      <c r="W35" s="10">
        <v>25.0</v>
      </c>
      <c r="X35" s="11"/>
      <c r="Y35" s="12">
        <f t="shared" si="4"/>
        <v>-25</v>
      </c>
      <c r="Z35" s="6">
        <f t="shared" si="5"/>
        <v>0</v>
      </c>
      <c r="AA35" s="6">
        <f t="shared" si="6"/>
        <v>0</v>
      </c>
      <c r="AB35" s="6"/>
      <c r="AC35" s="6">
        <f t="shared" si="7"/>
        <v>759.25</v>
      </c>
      <c r="AD35" s="6">
        <f t="shared" si="8"/>
        <v>0</v>
      </c>
      <c r="AE35" s="6"/>
      <c r="AF35">
        <f>sumifs('WL Matrix 2'!T:T,'WL Matrix 2'!B:B,A35,'WL Matrix 2'!C:C,C35,'WL Matrix 2'!M:M,"Regular Season")</f>
        <v>50</v>
      </c>
      <c r="AG35">
        <f t="shared" si="13"/>
        <v>93</v>
      </c>
      <c r="AI35" s="32" t="s">
        <v>116</v>
      </c>
      <c r="AJ35" s="32">
        <f t="shared" si="14"/>
        <v>11</v>
      </c>
      <c r="AK35" s="37">
        <f t="shared" si="10"/>
        <v>0.9008252497</v>
      </c>
      <c r="AL35" s="38">
        <f t="shared" si="11"/>
        <v>1.011288605</v>
      </c>
      <c r="AM35" s="38">
        <f>sumifs('WL Matrix 2'!T:T,'WL Matrix 2'!B:B,A35,'WL Matrix 2'!C:C,C35,'WL Matrix 2'!M:M,"Regular Season")</f>
        <v>50</v>
      </c>
    </row>
    <row r="36" ht="14.25" customHeight="1">
      <c r="A36" s="6">
        <v>2011.0</v>
      </c>
      <c r="B36" s="7">
        <v>40544.0</v>
      </c>
      <c r="C36" s="6" t="s">
        <v>79</v>
      </c>
      <c r="D36" s="6" t="s">
        <v>356</v>
      </c>
      <c r="E36" s="6" t="str">
        <f t="shared" si="1"/>
        <v>Yo Adrian - 2011</v>
      </c>
      <c r="F36" s="6" t="s">
        <v>357</v>
      </c>
      <c r="G36" s="6" t="s">
        <v>358</v>
      </c>
      <c r="H36" s="6" t="s">
        <v>168</v>
      </c>
      <c r="I36" s="6" t="s">
        <v>280</v>
      </c>
      <c r="J36" s="49" t="s">
        <v>123</v>
      </c>
      <c r="K36" s="6"/>
      <c r="L36" s="8">
        <v>11.0</v>
      </c>
      <c r="M36" s="8">
        <v>11.0</v>
      </c>
      <c r="N36" s="6">
        <f t="shared" si="2"/>
        <v>11</v>
      </c>
      <c r="O36" s="6">
        <v>13.0</v>
      </c>
      <c r="P36" s="6">
        <v>4.0</v>
      </c>
      <c r="Q36" s="6">
        <f t="shared" si="3"/>
        <v>9</v>
      </c>
      <c r="R36" s="9">
        <v>1067.0</v>
      </c>
      <c r="S36" s="9">
        <v>1188.0</v>
      </c>
      <c r="T36" s="6" t="s">
        <v>45</v>
      </c>
      <c r="U36" s="6" t="s">
        <v>46</v>
      </c>
      <c r="V36" s="6">
        <v>47406.0</v>
      </c>
      <c r="W36" s="10">
        <v>25.0</v>
      </c>
      <c r="X36" s="11"/>
      <c r="Y36" s="12">
        <f t="shared" si="4"/>
        <v>-25</v>
      </c>
      <c r="Z36" s="6">
        <f t="shared" si="5"/>
        <v>0</v>
      </c>
      <c r="AA36" s="6">
        <f t="shared" si="6"/>
        <v>0</v>
      </c>
      <c r="AB36" s="6"/>
      <c r="AC36" s="6">
        <f t="shared" si="7"/>
        <v>666.75</v>
      </c>
      <c r="AD36" s="6">
        <f t="shared" si="8"/>
        <v>0</v>
      </c>
      <c r="AE36" s="6"/>
      <c r="AF36">
        <f>sumifs('WL Matrix 2'!T:T,'WL Matrix 2'!B:B,A36,'WL Matrix 2'!C:C,C36,'WL Matrix 2'!M:M,"Regular Season")</f>
        <v>59</v>
      </c>
      <c r="AG36">
        <f t="shared" si="13"/>
        <v>84</v>
      </c>
      <c r="AI36" s="32" t="s">
        <v>116</v>
      </c>
      <c r="AJ36" s="32">
        <f t="shared" si="14"/>
        <v>10</v>
      </c>
      <c r="AK36" s="37">
        <f t="shared" si="10"/>
        <v>0.9268857681</v>
      </c>
      <c r="AL36" s="38">
        <f t="shared" si="11"/>
        <v>1.012140575</v>
      </c>
      <c r="AM36" s="38">
        <f>sumifs('WL Matrix 2'!T:T,'WL Matrix 2'!B:B,A36,'WL Matrix 2'!C:C,C36,'WL Matrix 2'!M:M,"Regular Season")</f>
        <v>59</v>
      </c>
    </row>
    <row r="37" ht="14.25" customHeight="1">
      <c r="A37" s="6">
        <v>2011.0</v>
      </c>
      <c r="B37" s="7">
        <v>40544.0</v>
      </c>
      <c r="C37" s="6" t="s">
        <v>52</v>
      </c>
      <c r="D37" s="6" t="s">
        <v>362</v>
      </c>
      <c r="E37" s="6" t="str">
        <f t="shared" si="1"/>
        <v>Team Weis - 2011</v>
      </c>
      <c r="F37" s="6" t="s">
        <v>223</v>
      </c>
      <c r="G37" s="6" t="s">
        <v>120</v>
      </c>
      <c r="H37" s="6" t="s">
        <v>294</v>
      </c>
      <c r="I37" s="6" t="s">
        <v>265</v>
      </c>
      <c r="J37" s="6" t="s">
        <v>9</v>
      </c>
      <c r="K37" s="6"/>
      <c r="L37" s="8">
        <v>12.0</v>
      </c>
      <c r="M37" s="8">
        <v>12.0</v>
      </c>
      <c r="N37" s="6">
        <f t="shared" si="2"/>
        <v>12</v>
      </c>
      <c r="O37" s="6">
        <v>13.0</v>
      </c>
      <c r="P37" s="6">
        <v>3.0</v>
      </c>
      <c r="Q37" s="6">
        <f t="shared" si="3"/>
        <v>10</v>
      </c>
      <c r="R37" s="9">
        <v>874.0</v>
      </c>
      <c r="S37" s="9">
        <v>1161.0</v>
      </c>
      <c r="T37" s="6" t="s">
        <v>363</v>
      </c>
      <c r="U37" s="6" t="s">
        <v>364</v>
      </c>
      <c r="V37" s="6" t="s">
        <v>363</v>
      </c>
      <c r="W37" s="10">
        <v>25.0</v>
      </c>
      <c r="X37" s="11"/>
      <c r="Y37" s="12">
        <f t="shared" si="4"/>
        <v>-25</v>
      </c>
      <c r="Z37" s="6">
        <f t="shared" si="5"/>
        <v>0</v>
      </c>
      <c r="AA37" s="6">
        <f t="shared" si="6"/>
        <v>0</v>
      </c>
      <c r="AB37" s="6"/>
      <c r="AC37" s="6">
        <f t="shared" si="7"/>
        <v>518.5</v>
      </c>
      <c r="AD37" s="6">
        <f t="shared" si="8"/>
        <v>0</v>
      </c>
      <c r="AE37" s="6"/>
      <c r="AF37">
        <f>sumifs('WL Matrix 2'!T:T,'WL Matrix 2'!B:B,A37,'WL Matrix 2'!C:C,C37,'WL Matrix 2'!M:M,"Regular Season")</f>
        <v>25</v>
      </c>
      <c r="AG37">
        <f t="shared" si="13"/>
        <v>118</v>
      </c>
      <c r="AI37" s="32" t="s">
        <v>116</v>
      </c>
      <c r="AJ37" s="32">
        <f t="shared" si="14"/>
        <v>12</v>
      </c>
      <c r="AK37" s="37">
        <f t="shared" si="10"/>
        <v>0.7592297669</v>
      </c>
      <c r="AL37" s="38">
        <f t="shared" si="11"/>
        <v>0.9891373802</v>
      </c>
      <c r="AM37" s="38">
        <f>sumifs('WL Matrix 2'!T:T,'WL Matrix 2'!B:B,A37,'WL Matrix 2'!C:C,C37,'WL Matrix 2'!M:M,"Regular Season")</f>
        <v>25</v>
      </c>
    </row>
    <row r="38" ht="14.25" customHeight="1">
      <c r="A38" s="6">
        <v>2012.0</v>
      </c>
      <c r="B38" s="7">
        <v>40909.0</v>
      </c>
      <c r="C38" s="6" t="s">
        <v>86</v>
      </c>
      <c r="D38" s="6" t="s">
        <v>370</v>
      </c>
      <c r="E38" s="6" t="str">
        <f t="shared" si="1"/>
        <v>For Shurmur - 2012</v>
      </c>
      <c r="F38" s="6" t="s">
        <v>183</v>
      </c>
      <c r="G38" s="6" t="s">
        <v>352</v>
      </c>
      <c r="H38" s="6" t="s">
        <v>371</v>
      </c>
      <c r="I38" s="6" t="s">
        <v>265</v>
      </c>
      <c r="J38" s="6" t="s">
        <v>9</v>
      </c>
      <c r="K38" s="6"/>
      <c r="L38" s="8">
        <v>2.0</v>
      </c>
      <c r="M38" s="8">
        <v>1.0</v>
      </c>
      <c r="N38" s="6">
        <f t="shared" si="2"/>
        <v>1</v>
      </c>
      <c r="O38" s="6">
        <v>13.0</v>
      </c>
      <c r="P38" s="6">
        <v>9.0</v>
      </c>
      <c r="Q38" s="6">
        <f t="shared" si="3"/>
        <v>4</v>
      </c>
      <c r="R38" s="9">
        <v>1245.0</v>
      </c>
      <c r="S38" s="9">
        <v>1147.0</v>
      </c>
      <c r="T38" s="6" t="s">
        <v>45</v>
      </c>
      <c r="U38" s="6" t="s">
        <v>46</v>
      </c>
      <c r="V38" s="6">
        <v>47405.0</v>
      </c>
      <c r="W38" s="10">
        <v>50.0</v>
      </c>
      <c r="X38" s="11">
        <v>200.0</v>
      </c>
      <c r="Y38" s="12">
        <f t="shared" si="4"/>
        <v>150</v>
      </c>
      <c r="Z38" s="6">
        <f t="shared" si="5"/>
        <v>1</v>
      </c>
      <c r="AA38" s="6">
        <f t="shared" si="6"/>
        <v>1</v>
      </c>
      <c r="AB38" s="6"/>
      <c r="AC38" s="6">
        <f t="shared" si="7"/>
        <v>1211.25</v>
      </c>
      <c r="AD38" s="6">
        <f t="shared" si="8"/>
        <v>0</v>
      </c>
      <c r="AE38" s="6"/>
      <c r="AF38">
        <f>sumifs('WL Matrix 2'!T:T,'WL Matrix 2'!B:B,A38,'WL Matrix 2'!C:C,C38,'WL Matrix 2'!M:M,"Regular Season")</f>
        <v>87</v>
      </c>
      <c r="AG38">
        <f t="shared" si="13"/>
        <v>56</v>
      </c>
      <c r="AI38" s="32" t="s">
        <v>116</v>
      </c>
      <c r="AJ38" s="32">
        <f t="shared" ref="AJ38:AJ49" si="15">rank(R38,$R$38:$R$49)</f>
        <v>2</v>
      </c>
      <c r="AK38" s="37">
        <f t="shared" si="10"/>
        <v>1.045486354</v>
      </c>
      <c r="AL38" s="38">
        <f t="shared" si="11"/>
        <v>0.9632584506</v>
      </c>
      <c r="AM38" s="38">
        <f>sumifs('WL Matrix 2'!T:T,'WL Matrix 2'!B:B,A38,'WL Matrix 2'!C:C,C38,'WL Matrix 2'!M:M,"Regular Season")</f>
        <v>87</v>
      </c>
    </row>
    <row r="39" ht="14.25" customHeight="1">
      <c r="A39" s="6">
        <v>2012.0</v>
      </c>
      <c r="B39" s="7">
        <v>40909.0</v>
      </c>
      <c r="C39" s="6" t="s">
        <v>89</v>
      </c>
      <c r="D39" s="6" t="s">
        <v>374</v>
      </c>
      <c r="E39" s="6" t="str">
        <f t="shared" si="1"/>
        <v>Rexual Feeling - 2012</v>
      </c>
      <c r="F39" s="6" t="s">
        <v>351</v>
      </c>
      <c r="G39" s="6" t="s">
        <v>375</v>
      </c>
      <c r="H39" s="6" t="s">
        <v>347</v>
      </c>
      <c r="I39" s="6" t="s">
        <v>339</v>
      </c>
      <c r="J39" s="6" t="s">
        <v>9</v>
      </c>
      <c r="K39" s="6"/>
      <c r="L39" s="8">
        <v>1.0</v>
      </c>
      <c r="M39" s="8">
        <v>2.0</v>
      </c>
      <c r="N39" s="6">
        <f t="shared" si="2"/>
        <v>2</v>
      </c>
      <c r="O39" s="6">
        <v>13.0</v>
      </c>
      <c r="P39" s="6">
        <v>10.0</v>
      </c>
      <c r="Q39" s="6">
        <f t="shared" si="3"/>
        <v>3</v>
      </c>
      <c r="R39" s="9">
        <v>1271.0</v>
      </c>
      <c r="S39" s="9">
        <v>1084.0</v>
      </c>
      <c r="T39" s="6" t="s">
        <v>45</v>
      </c>
      <c r="U39" s="6" t="s">
        <v>46</v>
      </c>
      <c r="V39" s="6">
        <v>47408.0</v>
      </c>
      <c r="W39" s="10">
        <v>50.0</v>
      </c>
      <c r="X39" s="11">
        <f>150+100+100</f>
        <v>350</v>
      </c>
      <c r="Y39" s="12">
        <f t="shared" si="4"/>
        <v>300</v>
      </c>
      <c r="Z39" s="6">
        <f t="shared" si="5"/>
        <v>0</v>
      </c>
      <c r="AA39" s="6">
        <f t="shared" si="6"/>
        <v>1</v>
      </c>
      <c r="AB39" s="6"/>
      <c r="AC39" s="6">
        <f t="shared" si="7"/>
        <v>1317.75</v>
      </c>
      <c r="AD39" s="6">
        <f t="shared" si="8"/>
        <v>1</v>
      </c>
      <c r="AE39" s="49">
        <v>1.0</v>
      </c>
      <c r="AF39">
        <f>sumifs('WL Matrix 2'!T:T,'WL Matrix 2'!B:B,A39,'WL Matrix 2'!C:C,C39,'WL Matrix 2'!M:M,"Regular Season")</f>
        <v>90</v>
      </c>
      <c r="AG39">
        <f t="shared" si="13"/>
        <v>53</v>
      </c>
      <c r="AI39" s="32" t="s">
        <v>116</v>
      </c>
      <c r="AJ39" s="32">
        <f t="shared" si="15"/>
        <v>1</v>
      </c>
      <c r="AK39" s="37">
        <f t="shared" si="10"/>
        <v>1.067319804</v>
      </c>
      <c r="AL39" s="38">
        <f t="shared" si="11"/>
        <v>0.9103506194</v>
      </c>
      <c r="AM39" s="38">
        <f>sumifs('WL Matrix 2'!T:T,'WL Matrix 2'!B:B,A39,'WL Matrix 2'!C:C,C39,'WL Matrix 2'!M:M,"Regular Season")</f>
        <v>90</v>
      </c>
    </row>
    <row r="40" ht="14.25" customHeight="1">
      <c r="A40" s="6">
        <v>2012.0</v>
      </c>
      <c r="B40" s="7">
        <v>40909.0</v>
      </c>
      <c r="C40" s="6" t="s">
        <v>47</v>
      </c>
      <c r="D40" s="6" t="s">
        <v>380</v>
      </c>
      <c r="E40" s="6" t="str">
        <f t="shared" si="1"/>
        <v>Yes We Camden Cutler - 2012</v>
      </c>
      <c r="F40" s="6" t="s">
        <v>304</v>
      </c>
      <c r="G40" s="6" t="s">
        <v>381</v>
      </c>
      <c r="H40" s="6" t="s">
        <v>121</v>
      </c>
      <c r="I40" s="6" t="s">
        <v>233</v>
      </c>
      <c r="J40" s="6" t="s">
        <v>9</v>
      </c>
      <c r="K40" s="6"/>
      <c r="L40" s="8">
        <v>3.0</v>
      </c>
      <c r="M40" s="8">
        <v>3.0</v>
      </c>
      <c r="N40" s="6">
        <f t="shared" si="2"/>
        <v>3</v>
      </c>
      <c r="O40" s="6">
        <v>13.0</v>
      </c>
      <c r="P40" s="6">
        <v>8.0</v>
      </c>
      <c r="Q40" s="6">
        <f t="shared" si="3"/>
        <v>5</v>
      </c>
      <c r="R40" s="9">
        <v>1239.0</v>
      </c>
      <c r="S40" s="9">
        <v>1228.0</v>
      </c>
      <c r="T40" s="6" t="s">
        <v>45</v>
      </c>
      <c r="U40" s="6" t="s">
        <v>46</v>
      </c>
      <c r="V40" s="6">
        <v>47408.0</v>
      </c>
      <c r="W40" s="10">
        <v>50.0</v>
      </c>
      <c r="X40" s="11">
        <v>50.0</v>
      </c>
      <c r="Y40" s="12">
        <f t="shared" si="4"/>
        <v>0</v>
      </c>
      <c r="Z40" s="6">
        <f t="shared" si="5"/>
        <v>0</v>
      </c>
      <c r="AA40" s="6">
        <f t="shared" si="6"/>
        <v>1</v>
      </c>
      <c r="AB40" s="6"/>
      <c r="AC40" s="6">
        <f t="shared" si="7"/>
        <v>1109.75</v>
      </c>
      <c r="AD40" s="6">
        <f t="shared" si="8"/>
        <v>0</v>
      </c>
      <c r="AE40" s="6"/>
      <c r="AF40">
        <f>sumifs('WL Matrix 2'!T:T,'WL Matrix 2'!B:B,A40,'WL Matrix 2'!C:C,C40,'WL Matrix 2'!M:M,"Regular Season")</f>
        <v>83</v>
      </c>
      <c r="AG40">
        <f t="shared" si="13"/>
        <v>60</v>
      </c>
      <c r="AI40" s="32" t="s">
        <v>116</v>
      </c>
      <c r="AJ40" s="32">
        <f t="shared" si="15"/>
        <v>3</v>
      </c>
      <c r="AK40" s="37">
        <f t="shared" si="10"/>
        <v>1.040447866</v>
      </c>
      <c r="AL40" s="38">
        <f t="shared" si="11"/>
        <v>1.031282805</v>
      </c>
      <c r="AM40" s="38">
        <f>sumifs('WL Matrix 2'!T:T,'WL Matrix 2'!B:B,A40,'WL Matrix 2'!C:C,C40,'WL Matrix 2'!M:M,"Regular Season")</f>
        <v>83</v>
      </c>
    </row>
    <row r="41" ht="14.25" customHeight="1">
      <c r="A41" s="6">
        <v>2012.0</v>
      </c>
      <c r="B41" s="7">
        <v>40909.0</v>
      </c>
      <c r="C41" s="6" t="s">
        <v>79</v>
      </c>
      <c r="D41" s="6" t="s">
        <v>384</v>
      </c>
      <c r="E41" s="6" t="str">
        <f t="shared" si="1"/>
        <v>Ken WhizinCnt - 2012</v>
      </c>
      <c r="F41" s="6" t="s">
        <v>269</v>
      </c>
      <c r="G41" s="6" t="s">
        <v>184</v>
      </c>
      <c r="H41" s="6" t="s">
        <v>332</v>
      </c>
      <c r="I41" s="6" t="s">
        <v>217</v>
      </c>
      <c r="J41" s="49" t="s">
        <v>123</v>
      </c>
      <c r="K41" s="6"/>
      <c r="L41" s="8">
        <v>6.0</v>
      </c>
      <c r="M41" s="8">
        <v>4.0</v>
      </c>
      <c r="N41" s="6">
        <f t="shared" si="2"/>
        <v>4</v>
      </c>
      <c r="O41" s="6">
        <v>13.0</v>
      </c>
      <c r="P41" s="6">
        <v>7.0</v>
      </c>
      <c r="Q41" s="6">
        <f t="shared" si="3"/>
        <v>6</v>
      </c>
      <c r="R41" s="9">
        <v>1130.0</v>
      </c>
      <c r="S41" s="9">
        <v>1160.0</v>
      </c>
      <c r="T41" s="6" t="s">
        <v>45</v>
      </c>
      <c r="U41" s="6" t="s">
        <v>46</v>
      </c>
      <c r="V41" s="6">
        <v>47408.0</v>
      </c>
      <c r="W41" s="10">
        <v>50.0</v>
      </c>
      <c r="X41" s="11"/>
      <c r="Y41" s="12">
        <f t="shared" si="4"/>
        <v>-50</v>
      </c>
      <c r="Z41" s="6">
        <f t="shared" si="5"/>
        <v>0</v>
      </c>
      <c r="AA41" s="6">
        <f t="shared" si="6"/>
        <v>1</v>
      </c>
      <c r="AB41" s="6"/>
      <c r="AC41" s="6">
        <f t="shared" si="7"/>
        <v>982.5</v>
      </c>
      <c r="AD41" s="6">
        <f t="shared" si="8"/>
        <v>0</v>
      </c>
      <c r="AE41" s="6"/>
      <c r="AF41">
        <f>sumifs('WL Matrix 2'!T:T,'WL Matrix 2'!B:B,A41,'WL Matrix 2'!C:C,C41,'WL Matrix 2'!M:M,"Regular Season")</f>
        <v>79</v>
      </c>
      <c r="AG41">
        <f t="shared" si="13"/>
        <v>64</v>
      </c>
      <c r="AI41" s="32" t="s">
        <v>116</v>
      </c>
      <c r="AJ41" s="32">
        <f t="shared" si="15"/>
        <v>10</v>
      </c>
      <c r="AK41" s="37">
        <f t="shared" si="10"/>
        <v>0.9489153254</v>
      </c>
      <c r="AL41" s="38">
        <f t="shared" si="11"/>
        <v>0.9741759395</v>
      </c>
      <c r="AM41" s="38">
        <f>sumifs('WL Matrix 2'!T:T,'WL Matrix 2'!B:B,A41,'WL Matrix 2'!C:C,C41,'WL Matrix 2'!M:M,"Regular Season")</f>
        <v>79</v>
      </c>
    </row>
    <row r="42" ht="14.25" customHeight="1">
      <c r="A42" s="6">
        <v>2012.0</v>
      </c>
      <c r="B42" s="7">
        <v>40909.0</v>
      </c>
      <c r="C42" s="6" t="s">
        <v>57</v>
      </c>
      <c r="D42" s="6" t="s">
        <v>388</v>
      </c>
      <c r="E42" s="6" t="str">
        <f t="shared" si="1"/>
        <v>BaughwitdaBaugh - 2012</v>
      </c>
      <c r="F42" s="6" t="s">
        <v>175</v>
      </c>
      <c r="G42" s="6" t="s">
        <v>389</v>
      </c>
      <c r="H42" s="6" t="s">
        <v>342</v>
      </c>
      <c r="I42" s="6" t="s">
        <v>390</v>
      </c>
      <c r="J42" s="6" t="s">
        <v>9</v>
      </c>
      <c r="K42" s="6"/>
      <c r="L42" s="8">
        <v>5.0</v>
      </c>
      <c r="M42" s="8">
        <v>5.0</v>
      </c>
      <c r="N42" s="6">
        <f t="shared" si="2"/>
        <v>5</v>
      </c>
      <c r="O42" s="6">
        <v>13.0</v>
      </c>
      <c r="P42" s="6">
        <v>6.0</v>
      </c>
      <c r="Q42" s="6">
        <f t="shared" si="3"/>
        <v>7</v>
      </c>
      <c r="R42" s="9">
        <v>1213.0</v>
      </c>
      <c r="S42" s="9">
        <v>1161.0</v>
      </c>
      <c r="T42" s="6" t="s">
        <v>45</v>
      </c>
      <c r="U42" s="6" t="s">
        <v>46</v>
      </c>
      <c r="V42" s="6">
        <v>47404.0</v>
      </c>
      <c r="W42" s="10">
        <v>50.0</v>
      </c>
      <c r="X42" s="11"/>
      <c r="Y42" s="12">
        <f t="shared" si="4"/>
        <v>-50</v>
      </c>
      <c r="Z42" s="6">
        <f t="shared" si="5"/>
        <v>0</v>
      </c>
      <c r="AA42" s="6">
        <f t="shared" si="6"/>
        <v>1</v>
      </c>
      <c r="AB42" s="6"/>
      <c r="AC42" s="6">
        <f t="shared" si="7"/>
        <v>903.25</v>
      </c>
      <c r="AD42" s="6">
        <f t="shared" si="8"/>
        <v>0</v>
      </c>
      <c r="AE42" s="6"/>
      <c r="AF42">
        <f>sumifs('WL Matrix 2'!T:T,'WL Matrix 2'!B:B,A42,'WL Matrix 2'!C:C,C42,'WL Matrix 2'!M:M,"Regular Season")</f>
        <v>57</v>
      </c>
      <c r="AG42">
        <f t="shared" si="13"/>
        <v>86</v>
      </c>
      <c r="AI42" s="32" t="s">
        <v>116</v>
      </c>
      <c r="AJ42" s="32">
        <f t="shared" si="15"/>
        <v>4</v>
      </c>
      <c r="AK42" s="37">
        <f t="shared" si="10"/>
        <v>1.018614416</v>
      </c>
      <c r="AL42" s="38">
        <f t="shared" si="11"/>
        <v>0.9750157464</v>
      </c>
      <c r="AM42" s="38">
        <f>sumifs('WL Matrix 2'!T:T,'WL Matrix 2'!B:B,A42,'WL Matrix 2'!C:C,C42,'WL Matrix 2'!M:M,"Regular Season")</f>
        <v>57</v>
      </c>
    </row>
    <row r="43" ht="14.25" customHeight="1">
      <c r="A43" s="6">
        <v>2012.0</v>
      </c>
      <c r="B43" s="7">
        <v>40909.0</v>
      </c>
      <c r="C43" s="6" t="s">
        <v>92</v>
      </c>
      <c r="D43" s="6" t="s">
        <v>393</v>
      </c>
      <c r="E43" s="6" t="str">
        <f t="shared" si="1"/>
        <v>Jack Del RimJob - 2012</v>
      </c>
      <c r="F43" s="6" t="s">
        <v>394</v>
      </c>
      <c r="G43" s="6" t="s">
        <v>254</v>
      </c>
      <c r="H43" s="6" t="s">
        <v>168</v>
      </c>
      <c r="I43" s="6" t="s">
        <v>203</v>
      </c>
      <c r="J43" s="6" t="s">
        <v>9</v>
      </c>
      <c r="K43" s="6"/>
      <c r="L43" s="8">
        <v>4.0</v>
      </c>
      <c r="M43" s="8">
        <v>6.0</v>
      </c>
      <c r="N43" s="6">
        <f t="shared" si="2"/>
        <v>6</v>
      </c>
      <c r="O43" s="6">
        <v>13.0</v>
      </c>
      <c r="P43" s="6">
        <v>8.0</v>
      </c>
      <c r="Q43" s="6">
        <f t="shared" si="3"/>
        <v>5</v>
      </c>
      <c r="R43" s="9">
        <v>1207.0</v>
      </c>
      <c r="S43" s="9">
        <v>1155.0</v>
      </c>
      <c r="T43" s="6" t="s">
        <v>45</v>
      </c>
      <c r="U43" s="6" t="s">
        <v>46</v>
      </c>
      <c r="V43" s="6">
        <v>47406.0</v>
      </c>
      <c r="W43" s="10">
        <v>50.0</v>
      </c>
      <c r="X43" s="11"/>
      <c r="Y43" s="12">
        <f t="shared" si="4"/>
        <v>-50</v>
      </c>
      <c r="Z43" s="6">
        <f t="shared" si="5"/>
        <v>0</v>
      </c>
      <c r="AA43" s="6">
        <f t="shared" si="6"/>
        <v>1</v>
      </c>
      <c r="AB43" s="6"/>
      <c r="AC43" s="6">
        <f t="shared" si="7"/>
        <v>1101.75</v>
      </c>
      <c r="AD43" s="6">
        <f t="shared" si="8"/>
        <v>0</v>
      </c>
      <c r="AE43" s="6"/>
      <c r="AF43">
        <f>sumifs('WL Matrix 2'!T:T,'WL Matrix 2'!B:B,A43,'WL Matrix 2'!C:C,C43,'WL Matrix 2'!M:M,"Regular Season")</f>
        <v>78</v>
      </c>
      <c r="AG43">
        <f t="shared" si="13"/>
        <v>65</v>
      </c>
      <c r="AI43" s="32" t="s">
        <v>116</v>
      </c>
      <c r="AJ43" s="32">
        <f t="shared" si="15"/>
        <v>6</v>
      </c>
      <c r="AK43" s="37">
        <f t="shared" si="10"/>
        <v>1.013575927</v>
      </c>
      <c r="AL43" s="38">
        <f t="shared" si="11"/>
        <v>0.9699769053</v>
      </c>
      <c r="AM43" s="38">
        <f>sumifs('WL Matrix 2'!T:T,'WL Matrix 2'!B:B,A43,'WL Matrix 2'!C:C,C43,'WL Matrix 2'!M:M,"Regular Season")</f>
        <v>78</v>
      </c>
    </row>
    <row r="44" ht="14.25" customHeight="1">
      <c r="A44" s="6">
        <v>2012.0</v>
      </c>
      <c r="B44" s="7">
        <v>40909.0</v>
      </c>
      <c r="C44" s="6" t="s">
        <v>52</v>
      </c>
      <c r="D44" s="6" t="s">
        <v>397</v>
      </c>
      <c r="E44" s="6" t="str">
        <f t="shared" si="1"/>
        <v>Bunch of Mularkey - 2012</v>
      </c>
      <c r="F44" s="6" t="s">
        <v>214</v>
      </c>
      <c r="G44" s="6" t="s">
        <v>193</v>
      </c>
      <c r="H44" s="6" t="s">
        <v>177</v>
      </c>
      <c r="I44" s="6" t="s">
        <v>169</v>
      </c>
      <c r="J44" s="6" t="s">
        <v>9</v>
      </c>
      <c r="K44" s="6"/>
      <c r="L44" s="8">
        <v>7.0</v>
      </c>
      <c r="M44" s="8">
        <v>7.0</v>
      </c>
      <c r="N44" s="6">
        <f t="shared" si="2"/>
        <v>7</v>
      </c>
      <c r="O44" s="6">
        <v>13.0</v>
      </c>
      <c r="P44" s="6">
        <v>6.0</v>
      </c>
      <c r="Q44" s="6">
        <f t="shared" si="3"/>
        <v>7</v>
      </c>
      <c r="R44" s="9">
        <v>1182.0</v>
      </c>
      <c r="S44" s="9">
        <v>1211.0</v>
      </c>
      <c r="T44" s="6" t="s">
        <v>45</v>
      </c>
      <c r="U44" s="6" t="s">
        <v>46</v>
      </c>
      <c r="V44" s="6">
        <v>47406.0</v>
      </c>
      <c r="W44" s="10">
        <v>50.0</v>
      </c>
      <c r="X44" s="11"/>
      <c r="Y44" s="12">
        <f t="shared" si="4"/>
        <v>-50</v>
      </c>
      <c r="Z44" s="6">
        <f t="shared" si="5"/>
        <v>0</v>
      </c>
      <c r="AA44" s="6">
        <f t="shared" si="6"/>
        <v>0</v>
      </c>
      <c r="AB44" s="6"/>
      <c r="AC44" s="6">
        <f t="shared" si="7"/>
        <v>895.5</v>
      </c>
      <c r="AD44" s="6">
        <f t="shared" si="8"/>
        <v>0</v>
      </c>
      <c r="AE44" s="6"/>
      <c r="AF44">
        <f>sumifs('WL Matrix 2'!T:T,'WL Matrix 2'!B:B,A44,'WL Matrix 2'!C:C,C44,'WL Matrix 2'!M:M,"Regular Season")</f>
        <v>72</v>
      </c>
      <c r="AG44">
        <f t="shared" si="13"/>
        <v>71</v>
      </c>
      <c r="AI44" s="32" t="s">
        <v>116</v>
      </c>
      <c r="AJ44" s="32">
        <f t="shared" si="15"/>
        <v>8</v>
      </c>
      <c r="AK44" s="37">
        <f t="shared" si="10"/>
        <v>0.9925822253</v>
      </c>
      <c r="AL44" s="38">
        <f t="shared" si="11"/>
        <v>1.017006089</v>
      </c>
      <c r="AM44" s="38">
        <f>sumifs('WL Matrix 2'!T:T,'WL Matrix 2'!B:B,A44,'WL Matrix 2'!C:C,C44,'WL Matrix 2'!M:M,"Regular Season")</f>
        <v>72</v>
      </c>
    </row>
    <row r="45" ht="14.25" customHeight="1">
      <c r="A45" s="6">
        <v>2012.0</v>
      </c>
      <c r="B45" s="7">
        <v>40909.0</v>
      </c>
      <c r="C45" s="6" t="s">
        <v>72</v>
      </c>
      <c r="D45" s="6" t="s">
        <v>400</v>
      </c>
      <c r="E45" s="6" t="str">
        <f t="shared" si="1"/>
        <v>All You Need is Lovie - 2012</v>
      </c>
      <c r="F45" s="6" t="s">
        <v>41</v>
      </c>
      <c r="G45" s="6" t="s">
        <v>401</v>
      </c>
      <c r="H45" s="6" t="s">
        <v>402</v>
      </c>
      <c r="I45" s="6" t="s">
        <v>333</v>
      </c>
      <c r="J45" s="6" t="s">
        <v>9</v>
      </c>
      <c r="K45" s="6"/>
      <c r="L45" s="8">
        <v>8.0</v>
      </c>
      <c r="M45" s="8">
        <v>8.0</v>
      </c>
      <c r="N45" s="6">
        <f t="shared" si="2"/>
        <v>8</v>
      </c>
      <c r="O45" s="6">
        <v>13.0</v>
      </c>
      <c r="P45" s="6">
        <v>5.0</v>
      </c>
      <c r="Q45" s="6">
        <f t="shared" si="3"/>
        <v>8</v>
      </c>
      <c r="R45" s="9">
        <v>1209.0</v>
      </c>
      <c r="S45" s="9">
        <v>1252.0</v>
      </c>
      <c r="T45" s="6" t="s">
        <v>45</v>
      </c>
      <c r="U45" s="6" t="s">
        <v>46</v>
      </c>
      <c r="V45" s="6">
        <v>47404.0</v>
      </c>
      <c r="W45" s="10">
        <v>50.0</v>
      </c>
      <c r="X45" s="11"/>
      <c r="Y45" s="12">
        <f t="shared" si="4"/>
        <v>-50</v>
      </c>
      <c r="Z45" s="6">
        <f t="shared" si="5"/>
        <v>0</v>
      </c>
      <c r="AA45" s="6">
        <f t="shared" si="6"/>
        <v>0</v>
      </c>
      <c r="AB45" s="6"/>
      <c r="AC45" s="6">
        <f t="shared" si="7"/>
        <v>802.25</v>
      </c>
      <c r="AD45" s="6">
        <f t="shared" si="8"/>
        <v>0</v>
      </c>
      <c r="AE45" s="6"/>
      <c r="AF45">
        <f>sumifs('WL Matrix 2'!T:T,'WL Matrix 2'!B:B,A45,'WL Matrix 2'!C:C,C45,'WL Matrix 2'!M:M,"Regular Season")</f>
        <v>74</v>
      </c>
      <c r="AG45">
        <f t="shared" si="13"/>
        <v>69</v>
      </c>
      <c r="AI45" s="32" t="s">
        <v>116</v>
      </c>
      <c r="AJ45" s="32">
        <f t="shared" si="15"/>
        <v>5</v>
      </c>
      <c r="AK45" s="37">
        <f t="shared" si="10"/>
        <v>1.015255423</v>
      </c>
      <c r="AL45" s="38">
        <f t="shared" si="11"/>
        <v>1.051438169</v>
      </c>
      <c r="AM45" s="38">
        <f>sumifs('WL Matrix 2'!T:T,'WL Matrix 2'!B:B,A45,'WL Matrix 2'!C:C,C45,'WL Matrix 2'!M:M,"Regular Season")</f>
        <v>74</v>
      </c>
    </row>
    <row r="46" ht="14.25" customHeight="1">
      <c r="A46" s="6">
        <v>2012.0</v>
      </c>
      <c r="B46" s="7">
        <v>40909.0</v>
      </c>
      <c r="C46" s="6" t="s">
        <v>67</v>
      </c>
      <c r="D46" s="6" t="s">
        <v>405</v>
      </c>
      <c r="E46" s="6" t="str">
        <f t="shared" si="1"/>
        <v>Stache of the Walrus - 2012</v>
      </c>
      <c r="F46" s="6" t="s">
        <v>245</v>
      </c>
      <c r="G46" s="6" t="s">
        <v>176</v>
      </c>
      <c r="H46" s="6" t="s">
        <v>407</v>
      </c>
      <c r="I46" s="6" t="s">
        <v>195</v>
      </c>
      <c r="J46" s="6" t="s">
        <v>9</v>
      </c>
      <c r="K46" s="6"/>
      <c r="L46" s="8">
        <v>9.0</v>
      </c>
      <c r="M46" s="8">
        <v>9.0</v>
      </c>
      <c r="N46" s="6">
        <f t="shared" si="2"/>
        <v>9</v>
      </c>
      <c r="O46" s="6">
        <v>13.0</v>
      </c>
      <c r="P46" s="6">
        <v>5.0</v>
      </c>
      <c r="Q46" s="6">
        <f t="shared" si="3"/>
        <v>8</v>
      </c>
      <c r="R46" s="9">
        <v>1194.0</v>
      </c>
      <c r="S46" s="9">
        <v>1211.0</v>
      </c>
      <c r="T46" s="6" t="s">
        <v>45</v>
      </c>
      <c r="U46" s="6" t="s">
        <v>46</v>
      </c>
      <c r="V46" s="6">
        <v>47408.0</v>
      </c>
      <c r="W46" s="10">
        <v>50.0</v>
      </c>
      <c r="X46" s="11"/>
      <c r="Y46" s="12">
        <f t="shared" si="4"/>
        <v>-50</v>
      </c>
      <c r="Z46" s="6">
        <f t="shared" si="5"/>
        <v>0</v>
      </c>
      <c r="AA46" s="6">
        <f t="shared" si="6"/>
        <v>0</v>
      </c>
      <c r="AB46" s="6"/>
      <c r="AC46" s="6">
        <f t="shared" si="7"/>
        <v>798.5</v>
      </c>
      <c r="AD46" s="6">
        <f t="shared" si="8"/>
        <v>0</v>
      </c>
      <c r="AE46" s="6"/>
      <c r="AF46">
        <f>sumifs('WL Matrix 2'!T:T,'WL Matrix 2'!B:B,A46,'WL Matrix 2'!C:C,C46,'WL Matrix 2'!M:M,"Regular Season")</f>
        <v>0</v>
      </c>
      <c r="AG46">
        <f t="shared" si="13"/>
        <v>143</v>
      </c>
      <c r="AI46" s="32" t="s">
        <v>116</v>
      </c>
      <c r="AJ46" s="32">
        <f t="shared" si="15"/>
        <v>7</v>
      </c>
      <c r="AK46" s="37">
        <f t="shared" si="10"/>
        <v>1.002659202</v>
      </c>
      <c r="AL46" s="38">
        <f t="shared" si="11"/>
        <v>1.017006089</v>
      </c>
      <c r="AM46" s="38">
        <f>sumifs('WL Matrix 2'!T:T,'WL Matrix 2'!B:B,A46,'WL Matrix 2'!C:C,C46,'WL Matrix 2'!M:M,"Regular Season")</f>
        <v>0</v>
      </c>
    </row>
    <row r="47" ht="14.25" customHeight="1">
      <c r="A47" s="6">
        <v>2012.0</v>
      </c>
      <c r="B47" s="7">
        <v>40909.0</v>
      </c>
      <c r="C47" s="6" t="s">
        <v>76</v>
      </c>
      <c r="D47" s="6" t="s">
        <v>412</v>
      </c>
      <c r="E47" s="6" t="str">
        <f t="shared" si="1"/>
        <v>Crennelingus - 2012</v>
      </c>
      <c r="F47" s="6" t="s">
        <v>133</v>
      </c>
      <c r="G47" s="6" t="s">
        <v>264</v>
      </c>
      <c r="H47" s="6" t="s">
        <v>413</v>
      </c>
      <c r="I47" s="6" t="s">
        <v>414</v>
      </c>
      <c r="J47" s="6" t="s">
        <v>9</v>
      </c>
      <c r="K47" s="6"/>
      <c r="L47" s="8">
        <v>10.0</v>
      </c>
      <c r="M47" s="8">
        <v>10.0</v>
      </c>
      <c r="N47" s="6">
        <f t="shared" si="2"/>
        <v>10</v>
      </c>
      <c r="O47" s="6">
        <v>13.0</v>
      </c>
      <c r="P47" s="6">
        <v>4.0</v>
      </c>
      <c r="Q47" s="6">
        <f t="shared" si="3"/>
        <v>9</v>
      </c>
      <c r="R47" s="9">
        <v>1119.0</v>
      </c>
      <c r="S47" s="9">
        <v>1306.0</v>
      </c>
      <c r="T47" s="6" t="s">
        <v>45</v>
      </c>
      <c r="U47" s="6" t="s">
        <v>46</v>
      </c>
      <c r="V47" s="6">
        <v>47405.0</v>
      </c>
      <c r="W47" s="10">
        <v>50.0</v>
      </c>
      <c r="X47" s="11"/>
      <c r="Y47" s="12">
        <f t="shared" si="4"/>
        <v>-50</v>
      </c>
      <c r="Z47" s="6">
        <f t="shared" si="5"/>
        <v>0</v>
      </c>
      <c r="AA47" s="6">
        <f t="shared" si="6"/>
        <v>0</v>
      </c>
      <c r="AB47" s="6"/>
      <c r="AC47" s="6">
        <f t="shared" si="7"/>
        <v>679.75</v>
      </c>
      <c r="AD47" s="6">
        <f t="shared" si="8"/>
        <v>0</v>
      </c>
      <c r="AE47" s="6"/>
      <c r="AF47">
        <f>sumifs('WL Matrix 2'!T:T,'WL Matrix 2'!B:B,A47,'WL Matrix 2'!C:C,C47,'WL Matrix 2'!M:M,"Regular Season")</f>
        <v>57</v>
      </c>
      <c r="AG47">
        <f t="shared" si="13"/>
        <v>86</v>
      </c>
      <c r="AI47" s="32" t="s">
        <v>116</v>
      </c>
      <c r="AJ47" s="32">
        <f t="shared" si="15"/>
        <v>11</v>
      </c>
      <c r="AK47" s="37">
        <f t="shared" si="10"/>
        <v>0.9396780966</v>
      </c>
      <c r="AL47" s="38">
        <f t="shared" si="11"/>
        <v>1.096787739</v>
      </c>
      <c r="AM47" s="38">
        <f>sumifs('WL Matrix 2'!T:T,'WL Matrix 2'!B:B,A47,'WL Matrix 2'!C:C,C47,'WL Matrix 2'!M:M,"Regular Season")</f>
        <v>57</v>
      </c>
    </row>
    <row r="48" ht="14.25" customHeight="1">
      <c r="A48" s="6">
        <v>2012.0</v>
      </c>
      <c r="B48" s="7">
        <v>40909.0</v>
      </c>
      <c r="C48" s="6" t="s">
        <v>82</v>
      </c>
      <c r="D48" s="6" t="s">
        <v>417</v>
      </c>
      <c r="E48" s="6" t="str">
        <f t="shared" si="1"/>
        <v>Good Luck Chuck - 2012</v>
      </c>
      <c r="F48" s="6" t="s">
        <v>418</v>
      </c>
      <c r="G48" s="6" t="s">
        <v>293</v>
      </c>
      <c r="H48" s="6" t="s">
        <v>241</v>
      </c>
      <c r="I48" s="6" t="s">
        <v>242</v>
      </c>
      <c r="J48" s="6" t="s">
        <v>9</v>
      </c>
      <c r="K48" s="6"/>
      <c r="L48" s="8">
        <v>11.0</v>
      </c>
      <c r="M48" s="8">
        <v>11.0</v>
      </c>
      <c r="N48" s="6">
        <f t="shared" si="2"/>
        <v>11</v>
      </c>
      <c r="O48" s="6">
        <v>13.0</v>
      </c>
      <c r="P48" s="6">
        <v>5.0</v>
      </c>
      <c r="Q48" s="6">
        <f t="shared" si="3"/>
        <v>8</v>
      </c>
      <c r="R48" s="9">
        <v>1175.0</v>
      </c>
      <c r="S48" s="9">
        <v>1177.0</v>
      </c>
      <c r="T48" s="6" t="s">
        <v>45</v>
      </c>
      <c r="U48" s="6" t="s">
        <v>46</v>
      </c>
      <c r="V48" s="6">
        <v>47408.0</v>
      </c>
      <c r="W48" s="10">
        <v>50.0</v>
      </c>
      <c r="X48" s="11"/>
      <c r="Y48" s="12">
        <f t="shared" si="4"/>
        <v>-50</v>
      </c>
      <c r="Z48" s="6">
        <f t="shared" si="5"/>
        <v>0</v>
      </c>
      <c r="AA48" s="6">
        <f t="shared" si="6"/>
        <v>0</v>
      </c>
      <c r="AB48" s="6"/>
      <c r="AC48" s="6">
        <f t="shared" si="7"/>
        <v>793.75</v>
      </c>
      <c r="AD48" s="6">
        <f t="shared" si="8"/>
        <v>0</v>
      </c>
      <c r="AE48" s="6"/>
      <c r="AF48">
        <f>sumifs('WL Matrix 2'!T:T,'WL Matrix 2'!B:B,A48,'WL Matrix 2'!C:C,C48,'WL Matrix 2'!M:M,"Regular Season")</f>
        <v>60</v>
      </c>
      <c r="AG48">
        <f t="shared" si="13"/>
        <v>83</v>
      </c>
      <c r="AI48" s="32" t="s">
        <v>116</v>
      </c>
      <c r="AJ48" s="32">
        <f t="shared" si="15"/>
        <v>9</v>
      </c>
      <c r="AK48" s="37">
        <f t="shared" si="10"/>
        <v>0.9867039888</v>
      </c>
      <c r="AL48" s="38">
        <f t="shared" si="11"/>
        <v>0.9884526559</v>
      </c>
      <c r="AM48" s="38">
        <f>sumifs('WL Matrix 2'!T:T,'WL Matrix 2'!B:B,A48,'WL Matrix 2'!C:C,C48,'WL Matrix 2'!M:M,"Regular Season")</f>
        <v>60</v>
      </c>
    </row>
    <row r="49" ht="14.25" customHeight="1">
      <c r="A49" s="6">
        <v>2012.0</v>
      </c>
      <c r="B49" s="7">
        <v>40909.0</v>
      </c>
      <c r="C49" s="6" t="s">
        <v>39</v>
      </c>
      <c r="D49" s="6" t="s">
        <v>40</v>
      </c>
      <c r="E49" s="6" t="str">
        <f t="shared" si="1"/>
        <v>Cutler's Year - 2012</v>
      </c>
      <c r="F49" s="6" t="s">
        <v>325</v>
      </c>
      <c r="G49" s="6" t="s">
        <v>421</v>
      </c>
      <c r="H49" s="6" t="s">
        <v>225</v>
      </c>
      <c r="I49" s="6" t="s">
        <v>137</v>
      </c>
      <c r="J49" s="6" t="s">
        <v>9</v>
      </c>
      <c r="K49" s="6"/>
      <c r="L49" s="8">
        <v>12.0</v>
      </c>
      <c r="M49" s="8">
        <v>12.0</v>
      </c>
      <c r="N49" s="6">
        <f t="shared" si="2"/>
        <v>12</v>
      </c>
      <c r="O49" s="6">
        <v>13.0</v>
      </c>
      <c r="P49" s="6">
        <v>5.0</v>
      </c>
      <c r="Q49" s="6">
        <f t="shared" si="3"/>
        <v>8</v>
      </c>
      <c r="R49" s="9">
        <v>1106.0</v>
      </c>
      <c r="S49" s="9">
        <v>1197.0</v>
      </c>
      <c r="T49" s="6" t="s">
        <v>45</v>
      </c>
      <c r="U49" s="6" t="s">
        <v>46</v>
      </c>
      <c r="V49" s="6">
        <v>47405.0</v>
      </c>
      <c r="W49" s="10">
        <v>50.0</v>
      </c>
      <c r="X49" s="11"/>
      <c r="Y49" s="12">
        <f t="shared" si="4"/>
        <v>-50</v>
      </c>
      <c r="Z49" s="6">
        <f t="shared" si="5"/>
        <v>0</v>
      </c>
      <c r="AA49" s="6">
        <f t="shared" si="6"/>
        <v>0</v>
      </c>
      <c r="AB49" s="6"/>
      <c r="AC49" s="6">
        <f t="shared" si="7"/>
        <v>776.5</v>
      </c>
      <c r="AD49" s="6">
        <f t="shared" si="8"/>
        <v>0</v>
      </c>
      <c r="AE49" s="6"/>
      <c r="AF49">
        <f>sumifs('WL Matrix 2'!T:T,'WL Matrix 2'!B:B,A49,'WL Matrix 2'!C:C,C49,'WL Matrix 2'!M:M,"Regular Season")</f>
        <v>56</v>
      </c>
      <c r="AG49">
        <f t="shared" si="13"/>
        <v>87</v>
      </c>
      <c r="AI49" s="32" t="s">
        <v>116</v>
      </c>
      <c r="AJ49" s="32">
        <f t="shared" si="15"/>
        <v>12</v>
      </c>
      <c r="AK49" s="37">
        <f t="shared" si="10"/>
        <v>0.9287613716</v>
      </c>
      <c r="AL49" s="38">
        <f t="shared" si="11"/>
        <v>1.005248793</v>
      </c>
      <c r="AM49" s="38">
        <f>sumifs('WL Matrix 2'!T:T,'WL Matrix 2'!B:B,A49,'WL Matrix 2'!C:C,C49,'WL Matrix 2'!M:M,"Regular Season")</f>
        <v>56</v>
      </c>
    </row>
    <row r="50" ht="14.25" customHeight="1">
      <c r="A50" s="6">
        <v>2013.0</v>
      </c>
      <c r="B50" s="7">
        <v>41275.0</v>
      </c>
      <c r="C50" s="6" t="s">
        <v>47</v>
      </c>
      <c r="D50" s="6" t="s">
        <v>424</v>
      </c>
      <c r="E50" s="6" t="str">
        <f t="shared" si="1"/>
        <v>Gag on My Woodhead - 2013</v>
      </c>
      <c r="F50" s="6" t="s">
        <v>245</v>
      </c>
      <c r="G50" s="6" t="s">
        <v>184</v>
      </c>
      <c r="H50" s="6" t="s">
        <v>426</v>
      </c>
      <c r="I50" s="6" t="s">
        <v>333</v>
      </c>
      <c r="J50" s="6" t="s">
        <v>9</v>
      </c>
      <c r="K50" s="6"/>
      <c r="L50" s="8">
        <v>5.0</v>
      </c>
      <c r="M50" s="8">
        <v>1.0</v>
      </c>
      <c r="N50" s="6">
        <f t="shared" si="2"/>
        <v>1</v>
      </c>
      <c r="O50" s="6">
        <v>13.0</v>
      </c>
      <c r="P50" s="6">
        <v>7.0</v>
      </c>
      <c r="Q50" s="6">
        <f t="shared" si="3"/>
        <v>6</v>
      </c>
      <c r="R50" s="9">
        <v>1270.0</v>
      </c>
      <c r="S50" s="9">
        <v>1276.0</v>
      </c>
      <c r="T50" s="6" t="s">
        <v>428</v>
      </c>
      <c r="U50" s="6" t="s">
        <v>429</v>
      </c>
      <c r="V50" s="6">
        <v>60613.0</v>
      </c>
      <c r="W50" s="10">
        <v>50.0</v>
      </c>
      <c r="X50" s="11">
        <v>225.0</v>
      </c>
      <c r="Y50" s="12">
        <f t="shared" si="4"/>
        <v>175</v>
      </c>
      <c r="Z50" s="6">
        <f t="shared" si="5"/>
        <v>1</v>
      </c>
      <c r="AA50" s="6">
        <f t="shared" si="6"/>
        <v>1</v>
      </c>
      <c r="AB50" s="6"/>
      <c r="AC50" s="6">
        <f t="shared" si="7"/>
        <v>1017.5</v>
      </c>
      <c r="AD50" s="6">
        <f t="shared" si="8"/>
        <v>0</v>
      </c>
      <c r="AE50" s="6"/>
      <c r="AF50">
        <f>sumifs('WL Matrix 2'!T:T,'WL Matrix 2'!B:B,A50,'WL Matrix 2'!C:C,C50,'WL Matrix 2'!M:M,"Regular Season")</f>
        <v>79</v>
      </c>
      <c r="AG50">
        <f t="shared" si="13"/>
        <v>64</v>
      </c>
      <c r="AI50" s="32" t="s">
        <v>116</v>
      </c>
      <c r="AJ50" s="32">
        <f t="shared" ref="AJ50:AJ61" si="16">rank(R50,$R$50:$R$61)</f>
        <v>2</v>
      </c>
      <c r="AK50" s="37">
        <f t="shared" si="10"/>
        <v>1.052486188</v>
      </c>
      <c r="AL50" s="38">
        <f t="shared" si="11"/>
        <v>1.057531597</v>
      </c>
      <c r="AM50" s="38">
        <f>sumifs('WL Matrix 2'!T:T,'WL Matrix 2'!B:B,A50,'WL Matrix 2'!C:C,C50,'WL Matrix 2'!M:M,"Regular Season")</f>
        <v>79</v>
      </c>
    </row>
    <row r="51" ht="14.25" customHeight="1">
      <c r="A51" s="6">
        <v>2013.0</v>
      </c>
      <c r="B51" s="7">
        <v>41275.0</v>
      </c>
      <c r="C51" s="6" t="s">
        <v>52</v>
      </c>
      <c r="D51" s="6" t="s">
        <v>433</v>
      </c>
      <c r="E51" s="6" t="str">
        <f t="shared" si="1"/>
        <v>Bunch of Csonka - 2013</v>
      </c>
      <c r="F51" s="6" t="s">
        <v>434</v>
      </c>
      <c r="G51" s="6" t="s">
        <v>389</v>
      </c>
      <c r="H51" s="6" t="s">
        <v>407</v>
      </c>
      <c r="I51" s="6" t="s">
        <v>203</v>
      </c>
      <c r="J51" s="6" t="s">
        <v>9</v>
      </c>
      <c r="K51" s="6"/>
      <c r="L51" s="8">
        <v>2.0</v>
      </c>
      <c r="M51" s="8">
        <v>2.0</v>
      </c>
      <c r="N51" s="6">
        <f t="shared" si="2"/>
        <v>2</v>
      </c>
      <c r="O51" s="6">
        <v>13.0</v>
      </c>
      <c r="P51" s="6">
        <v>8.0</v>
      </c>
      <c r="Q51" s="6">
        <f t="shared" si="3"/>
        <v>5</v>
      </c>
      <c r="R51" s="9">
        <v>1262.0</v>
      </c>
      <c r="S51" s="9">
        <v>1226.0</v>
      </c>
      <c r="T51" s="6" t="s">
        <v>428</v>
      </c>
      <c r="U51" s="6" t="s">
        <v>429</v>
      </c>
      <c r="V51" s="6">
        <v>60613.0</v>
      </c>
      <c r="W51" s="10">
        <v>50.0</v>
      </c>
      <c r="X51" s="11">
        <v>125.0</v>
      </c>
      <c r="Y51" s="12">
        <f t="shared" si="4"/>
        <v>75</v>
      </c>
      <c r="Z51" s="6">
        <f t="shared" si="5"/>
        <v>0</v>
      </c>
      <c r="AA51" s="6">
        <f t="shared" si="6"/>
        <v>1</v>
      </c>
      <c r="AB51" s="6"/>
      <c r="AC51" s="6">
        <f t="shared" si="7"/>
        <v>1115.5</v>
      </c>
      <c r="AD51" s="6">
        <f t="shared" si="8"/>
        <v>0</v>
      </c>
      <c r="AE51" s="6"/>
      <c r="AF51">
        <f>sumifs('WL Matrix 2'!T:T,'WL Matrix 2'!B:B,A51,'WL Matrix 2'!C:C,C51,'WL Matrix 2'!M:M,"Regular Season")</f>
        <v>81</v>
      </c>
      <c r="AG51">
        <f t="shared" si="13"/>
        <v>62</v>
      </c>
      <c r="AI51" s="32" t="s">
        <v>116</v>
      </c>
      <c r="AJ51" s="32">
        <f t="shared" si="16"/>
        <v>4</v>
      </c>
      <c r="AK51" s="37">
        <f t="shared" si="10"/>
        <v>1.045856354</v>
      </c>
      <c r="AL51" s="38">
        <f t="shared" si="11"/>
        <v>1.016092272</v>
      </c>
      <c r="AM51" s="38">
        <f>sumifs('WL Matrix 2'!T:T,'WL Matrix 2'!B:B,A51,'WL Matrix 2'!C:C,C51,'WL Matrix 2'!M:M,"Regular Season")</f>
        <v>81</v>
      </c>
    </row>
    <row r="52" ht="14.25" customHeight="1">
      <c r="A52" s="6">
        <v>2013.0</v>
      </c>
      <c r="B52" s="7">
        <v>41275.0</v>
      </c>
      <c r="C52" s="6" t="s">
        <v>57</v>
      </c>
      <c r="D52" s="6" t="s">
        <v>437</v>
      </c>
      <c r="E52" s="6" t="str">
        <f t="shared" si="1"/>
        <v>Sam McGuffie - 2013</v>
      </c>
      <c r="F52" s="6" t="s">
        <v>214</v>
      </c>
      <c r="G52" s="6" t="s">
        <v>352</v>
      </c>
      <c r="H52" s="6" t="s">
        <v>402</v>
      </c>
      <c r="I52" s="6" t="s">
        <v>438</v>
      </c>
      <c r="J52" s="6" t="s">
        <v>9</v>
      </c>
      <c r="K52" s="6"/>
      <c r="L52" s="8">
        <v>6.0</v>
      </c>
      <c r="M52" s="8">
        <v>3.0</v>
      </c>
      <c r="N52" s="6">
        <f t="shared" si="2"/>
        <v>3</v>
      </c>
      <c r="O52" s="6">
        <v>13.0</v>
      </c>
      <c r="P52" s="6">
        <v>7.0</v>
      </c>
      <c r="Q52" s="6">
        <f t="shared" si="3"/>
        <v>6</v>
      </c>
      <c r="R52" s="9">
        <v>1269.0</v>
      </c>
      <c r="S52" s="9">
        <v>1128.0</v>
      </c>
      <c r="T52" s="6" t="s">
        <v>439</v>
      </c>
      <c r="U52" s="6" t="s">
        <v>440</v>
      </c>
      <c r="V52" s="6">
        <v>53097.0</v>
      </c>
      <c r="W52" s="10">
        <v>50.0</v>
      </c>
      <c r="X52" s="11">
        <v>50.0</v>
      </c>
      <c r="Y52" s="12">
        <f t="shared" si="4"/>
        <v>0</v>
      </c>
      <c r="Z52" s="6">
        <f t="shared" si="5"/>
        <v>0</v>
      </c>
      <c r="AA52" s="6">
        <f t="shared" si="6"/>
        <v>1</v>
      </c>
      <c r="AB52" s="6"/>
      <c r="AC52" s="6">
        <f t="shared" si="7"/>
        <v>1017.25</v>
      </c>
      <c r="AD52" s="6">
        <f t="shared" si="8"/>
        <v>0</v>
      </c>
      <c r="AE52" s="6"/>
      <c r="AF52">
        <f>sumifs('WL Matrix 2'!T:T,'WL Matrix 2'!B:B,A52,'WL Matrix 2'!C:C,C52,'WL Matrix 2'!M:M,"Regular Season")</f>
        <v>82</v>
      </c>
      <c r="AG52">
        <f t="shared" si="13"/>
        <v>61</v>
      </c>
      <c r="AI52" s="32" t="s">
        <v>116</v>
      </c>
      <c r="AJ52" s="32">
        <f t="shared" si="16"/>
        <v>3</v>
      </c>
      <c r="AK52" s="37">
        <f t="shared" si="10"/>
        <v>1.051657459</v>
      </c>
      <c r="AL52" s="38">
        <f t="shared" si="11"/>
        <v>0.9348711928</v>
      </c>
      <c r="AM52" s="38">
        <f>sumifs('WL Matrix 2'!T:T,'WL Matrix 2'!B:B,A52,'WL Matrix 2'!C:C,C52,'WL Matrix 2'!M:M,"Regular Season")</f>
        <v>82</v>
      </c>
    </row>
    <row r="53" ht="14.25" customHeight="1">
      <c r="A53" s="6">
        <v>2013.0</v>
      </c>
      <c r="B53" s="7">
        <v>41275.0</v>
      </c>
      <c r="C53" s="6" t="s">
        <v>39</v>
      </c>
      <c r="D53" s="6" t="s">
        <v>40</v>
      </c>
      <c r="E53" s="6" t="str">
        <f t="shared" si="1"/>
        <v>Cutler's Year - 2013</v>
      </c>
      <c r="F53" s="6" t="s">
        <v>175</v>
      </c>
      <c r="G53" s="6" t="s">
        <v>176</v>
      </c>
      <c r="H53" s="6" t="s">
        <v>443</v>
      </c>
      <c r="I53" s="6" t="s">
        <v>444</v>
      </c>
      <c r="J53" s="6" t="s">
        <v>9</v>
      </c>
      <c r="K53" s="6"/>
      <c r="L53" s="8">
        <v>1.0</v>
      </c>
      <c r="M53" s="8">
        <v>4.0</v>
      </c>
      <c r="N53" s="6">
        <f t="shared" si="2"/>
        <v>4</v>
      </c>
      <c r="O53" s="6">
        <v>13.0</v>
      </c>
      <c r="P53" s="6">
        <v>9.0</v>
      </c>
      <c r="Q53" s="6">
        <f t="shared" si="3"/>
        <v>4</v>
      </c>
      <c r="R53" s="9">
        <v>1220.0</v>
      </c>
      <c r="S53" s="9">
        <v>1182.0</v>
      </c>
      <c r="T53" s="6" t="s">
        <v>447</v>
      </c>
      <c r="U53" s="6" t="s">
        <v>429</v>
      </c>
      <c r="V53" s="6">
        <v>60049.0</v>
      </c>
      <c r="W53" s="10">
        <v>50.0</v>
      </c>
      <c r="X53" s="11">
        <v>100.0</v>
      </c>
      <c r="Y53" s="12">
        <f t="shared" si="4"/>
        <v>50</v>
      </c>
      <c r="Z53" s="6">
        <f t="shared" si="5"/>
        <v>0</v>
      </c>
      <c r="AA53" s="6">
        <f t="shared" si="6"/>
        <v>1</v>
      </c>
      <c r="AB53" s="6"/>
      <c r="AC53" s="6">
        <f t="shared" si="7"/>
        <v>1205</v>
      </c>
      <c r="AD53" s="6">
        <f t="shared" si="8"/>
        <v>1</v>
      </c>
      <c r="AE53" s="6"/>
      <c r="AF53">
        <f>sumifs('WL Matrix 2'!T:T,'WL Matrix 2'!B:B,A53,'WL Matrix 2'!C:C,C53,'WL Matrix 2'!M:M,"Regular Season")</f>
        <v>80</v>
      </c>
      <c r="AG53">
        <f t="shared" si="13"/>
        <v>63</v>
      </c>
      <c r="AI53" s="32" t="s">
        <v>116</v>
      </c>
      <c r="AJ53" s="32">
        <f t="shared" si="16"/>
        <v>5</v>
      </c>
      <c r="AK53" s="37">
        <f t="shared" si="10"/>
        <v>1.011049724</v>
      </c>
      <c r="AL53" s="38">
        <f t="shared" si="11"/>
        <v>0.9796256648</v>
      </c>
      <c r="AM53" s="38">
        <f>sumifs('WL Matrix 2'!T:T,'WL Matrix 2'!B:B,A53,'WL Matrix 2'!C:C,C53,'WL Matrix 2'!M:M,"Regular Season")</f>
        <v>80</v>
      </c>
    </row>
    <row r="54" ht="14.25" customHeight="1">
      <c r="A54" s="6">
        <v>2013.0</v>
      </c>
      <c r="B54" s="7">
        <v>41275.0</v>
      </c>
      <c r="C54" s="6" t="s">
        <v>67</v>
      </c>
      <c r="D54" s="6" t="s">
        <v>450</v>
      </c>
      <c r="E54" s="6" t="str">
        <f t="shared" si="1"/>
        <v>High on the Hoge - 2013</v>
      </c>
      <c r="F54" s="6" t="s">
        <v>451</v>
      </c>
      <c r="G54" s="6" t="s">
        <v>452</v>
      </c>
      <c r="H54" s="6" t="s">
        <v>371</v>
      </c>
      <c r="I54" s="6" t="s">
        <v>169</v>
      </c>
      <c r="J54" s="6" t="s">
        <v>9</v>
      </c>
      <c r="K54" s="6"/>
      <c r="L54" s="8">
        <v>4.0</v>
      </c>
      <c r="M54" s="8">
        <v>5.0</v>
      </c>
      <c r="N54" s="6">
        <f t="shared" si="2"/>
        <v>5</v>
      </c>
      <c r="O54" s="6">
        <v>13.0</v>
      </c>
      <c r="P54" s="6">
        <v>7.0</v>
      </c>
      <c r="Q54" s="6">
        <f t="shared" si="3"/>
        <v>6</v>
      </c>
      <c r="R54" s="9">
        <v>1339.0</v>
      </c>
      <c r="S54" s="9">
        <v>1180.0</v>
      </c>
      <c r="T54" s="6" t="s">
        <v>428</v>
      </c>
      <c r="U54" s="6" t="s">
        <v>429</v>
      </c>
      <c r="V54" s="6">
        <v>60613.0</v>
      </c>
      <c r="W54" s="10">
        <v>50.0</v>
      </c>
      <c r="X54" s="11">
        <v>100.0</v>
      </c>
      <c r="Y54" s="12">
        <f t="shared" si="4"/>
        <v>50</v>
      </c>
      <c r="Z54" s="6">
        <f t="shared" si="5"/>
        <v>0</v>
      </c>
      <c r="AA54" s="6">
        <f t="shared" si="6"/>
        <v>1</v>
      </c>
      <c r="AB54" s="6"/>
      <c r="AC54" s="6">
        <f t="shared" si="7"/>
        <v>1034.75</v>
      </c>
      <c r="AD54" s="6">
        <f t="shared" si="8"/>
        <v>0</v>
      </c>
      <c r="AE54" s="49">
        <v>1.0</v>
      </c>
      <c r="AF54">
        <f>sumifs('WL Matrix 2'!T:T,'WL Matrix 2'!B:B,A54,'WL Matrix 2'!C:C,C54,'WL Matrix 2'!M:M,"Regular Season")</f>
        <v>96</v>
      </c>
      <c r="AG54">
        <f t="shared" si="13"/>
        <v>47</v>
      </c>
      <c r="AI54" s="32" t="s">
        <v>116</v>
      </c>
      <c r="AJ54" s="32">
        <f t="shared" si="16"/>
        <v>1</v>
      </c>
      <c r="AK54" s="37">
        <f t="shared" si="10"/>
        <v>1.109668508</v>
      </c>
      <c r="AL54" s="38">
        <f t="shared" si="11"/>
        <v>0.9779680917</v>
      </c>
      <c r="AM54" s="38">
        <f>sumifs('WL Matrix 2'!T:T,'WL Matrix 2'!B:B,A54,'WL Matrix 2'!C:C,C54,'WL Matrix 2'!M:M,"Regular Season")</f>
        <v>96</v>
      </c>
    </row>
    <row r="55" ht="14.25" customHeight="1">
      <c r="A55" s="6">
        <v>2013.0</v>
      </c>
      <c r="B55" s="7">
        <v>41275.0</v>
      </c>
      <c r="C55" s="6" t="s">
        <v>72</v>
      </c>
      <c r="D55" s="6" t="s">
        <v>456</v>
      </c>
      <c r="E55" s="6" t="str">
        <f t="shared" si="1"/>
        <v>Alstott's Ascot - 2013</v>
      </c>
      <c r="F55" s="6" t="s">
        <v>304</v>
      </c>
      <c r="G55" s="6" t="s">
        <v>358</v>
      </c>
      <c r="H55" s="6" t="s">
        <v>177</v>
      </c>
      <c r="I55" s="6" t="s">
        <v>233</v>
      </c>
      <c r="J55" s="6" t="s">
        <v>9</v>
      </c>
      <c r="K55" s="6"/>
      <c r="L55" s="8">
        <v>3.0</v>
      </c>
      <c r="M55" s="8">
        <v>6.0</v>
      </c>
      <c r="N55" s="6">
        <f t="shared" si="2"/>
        <v>6</v>
      </c>
      <c r="O55" s="6">
        <v>13.0</v>
      </c>
      <c r="P55" s="6">
        <v>8.0</v>
      </c>
      <c r="Q55" s="6">
        <f t="shared" si="3"/>
        <v>5</v>
      </c>
      <c r="R55" s="9">
        <v>1189.0</v>
      </c>
      <c r="S55" s="9">
        <v>1154.0</v>
      </c>
      <c r="T55" s="6" t="s">
        <v>428</v>
      </c>
      <c r="U55" s="6" t="s">
        <v>429</v>
      </c>
      <c r="V55" s="6">
        <v>60614.0</v>
      </c>
      <c r="W55" s="10">
        <v>50.0</v>
      </c>
      <c r="X55" s="11"/>
      <c r="Y55" s="12">
        <f t="shared" si="4"/>
        <v>-50</v>
      </c>
      <c r="Z55" s="6">
        <f t="shared" si="5"/>
        <v>0</v>
      </c>
      <c r="AA55" s="6">
        <f t="shared" si="6"/>
        <v>1</v>
      </c>
      <c r="AB55" s="6"/>
      <c r="AC55" s="6">
        <f t="shared" si="7"/>
        <v>1097.25</v>
      </c>
      <c r="AD55" s="6">
        <f t="shared" si="8"/>
        <v>0</v>
      </c>
      <c r="AE55" s="6"/>
      <c r="AF55">
        <f>sumifs('WL Matrix 2'!T:T,'WL Matrix 2'!B:B,A55,'WL Matrix 2'!C:C,C55,'WL Matrix 2'!M:M,"Regular Season")</f>
        <v>76</v>
      </c>
      <c r="AG55">
        <f t="shared" si="13"/>
        <v>67</v>
      </c>
      <c r="AI55" s="32" t="s">
        <v>116</v>
      </c>
      <c r="AJ55" s="32">
        <f t="shared" si="16"/>
        <v>7</v>
      </c>
      <c r="AK55" s="37">
        <f t="shared" si="10"/>
        <v>0.985359116</v>
      </c>
      <c r="AL55" s="38">
        <f t="shared" si="11"/>
        <v>0.9564196422</v>
      </c>
      <c r="AM55" s="38">
        <f>sumifs('WL Matrix 2'!T:T,'WL Matrix 2'!B:B,A55,'WL Matrix 2'!C:C,C55,'WL Matrix 2'!M:M,"Regular Season")</f>
        <v>76</v>
      </c>
    </row>
    <row r="56" ht="14.25" customHeight="1">
      <c r="A56" s="6">
        <v>2013.0</v>
      </c>
      <c r="B56" s="7">
        <v>41275.0</v>
      </c>
      <c r="C56" s="6" t="s">
        <v>76</v>
      </c>
      <c r="D56" s="6" t="s">
        <v>461</v>
      </c>
      <c r="E56" s="6" t="str">
        <f t="shared" si="1"/>
        <v>Goings South - 2013</v>
      </c>
      <c r="F56" s="6" t="s">
        <v>41</v>
      </c>
      <c r="G56" s="6" t="s">
        <v>331</v>
      </c>
      <c r="H56" s="6" t="s">
        <v>342</v>
      </c>
      <c r="I56" s="6" t="s">
        <v>242</v>
      </c>
      <c r="J56" s="6" t="s">
        <v>9</v>
      </c>
      <c r="K56" s="6"/>
      <c r="L56" s="8">
        <v>7.0</v>
      </c>
      <c r="M56" s="8">
        <v>7.0</v>
      </c>
      <c r="N56" s="6">
        <f t="shared" si="2"/>
        <v>7</v>
      </c>
      <c r="O56" s="6">
        <v>13.0</v>
      </c>
      <c r="P56" s="6">
        <v>6.0</v>
      </c>
      <c r="Q56" s="6">
        <f t="shared" si="3"/>
        <v>7</v>
      </c>
      <c r="R56" s="9">
        <v>1194.0</v>
      </c>
      <c r="S56" s="9">
        <v>1156.0</v>
      </c>
      <c r="T56" s="6" t="s">
        <v>428</v>
      </c>
      <c r="U56" s="6" t="s">
        <v>429</v>
      </c>
      <c r="V56" s="6">
        <v>60614.0</v>
      </c>
      <c r="W56" s="10">
        <v>50.0</v>
      </c>
      <c r="X56" s="11"/>
      <c r="Y56" s="12">
        <f t="shared" si="4"/>
        <v>-50</v>
      </c>
      <c r="Z56" s="6">
        <f t="shared" si="5"/>
        <v>0</v>
      </c>
      <c r="AA56" s="6">
        <f t="shared" si="6"/>
        <v>0</v>
      </c>
      <c r="AB56" s="6"/>
      <c r="AC56" s="6">
        <f t="shared" si="7"/>
        <v>898.5</v>
      </c>
      <c r="AD56" s="6">
        <f t="shared" si="8"/>
        <v>0</v>
      </c>
      <c r="AE56" s="6"/>
      <c r="AF56">
        <f>sumifs('WL Matrix 2'!T:T,'WL Matrix 2'!B:B,A56,'WL Matrix 2'!C:C,C56,'WL Matrix 2'!M:M,"Regular Season")</f>
        <v>64</v>
      </c>
      <c r="AG56">
        <f t="shared" si="13"/>
        <v>79</v>
      </c>
      <c r="AI56" s="32" t="s">
        <v>116</v>
      </c>
      <c r="AJ56" s="32">
        <f t="shared" si="16"/>
        <v>6</v>
      </c>
      <c r="AK56" s="37">
        <f t="shared" si="10"/>
        <v>0.9895027624</v>
      </c>
      <c r="AL56" s="38">
        <f t="shared" si="11"/>
        <v>0.9580772153</v>
      </c>
      <c r="AM56" s="38">
        <f>sumifs('WL Matrix 2'!T:T,'WL Matrix 2'!B:B,A56,'WL Matrix 2'!C:C,C56,'WL Matrix 2'!M:M,"Regular Season")</f>
        <v>64</v>
      </c>
    </row>
    <row r="57" ht="14.25" customHeight="1">
      <c r="A57" s="6">
        <v>2013.0</v>
      </c>
      <c r="B57" s="7">
        <v>41275.0</v>
      </c>
      <c r="C57" s="6" t="s">
        <v>79</v>
      </c>
      <c r="D57" s="6" t="s">
        <v>464</v>
      </c>
      <c r="E57" s="6" t="str">
        <f t="shared" si="1"/>
        <v>Moose Cock - 2013</v>
      </c>
      <c r="F57" s="6" t="s">
        <v>465</v>
      </c>
      <c r="G57" s="6" t="s">
        <v>224</v>
      </c>
      <c r="H57" s="6" t="s">
        <v>466</v>
      </c>
      <c r="I57" s="6" t="s">
        <v>467</v>
      </c>
      <c r="J57" s="49" t="s">
        <v>123</v>
      </c>
      <c r="K57" s="6"/>
      <c r="L57" s="8">
        <v>8.0</v>
      </c>
      <c r="M57" s="8">
        <v>8.0</v>
      </c>
      <c r="N57" s="6">
        <f t="shared" si="2"/>
        <v>8</v>
      </c>
      <c r="O57" s="6">
        <v>13.0</v>
      </c>
      <c r="P57" s="6">
        <v>6.0</v>
      </c>
      <c r="Q57" s="6">
        <f t="shared" si="3"/>
        <v>7</v>
      </c>
      <c r="R57" s="9">
        <v>1168.0</v>
      </c>
      <c r="S57" s="9">
        <v>1213.0</v>
      </c>
      <c r="T57" s="6" t="s">
        <v>468</v>
      </c>
      <c r="U57" s="6" t="s">
        <v>46</v>
      </c>
      <c r="V57" s="6">
        <v>46201.0</v>
      </c>
      <c r="W57" s="10">
        <v>50.0</v>
      </c>
      <c r="X57" s="11"/>
      <c r="Y57" s="12">
        <f t="shared" si="4"/>
        <v>-50</v>
      </c>
      <c r="Z57" s="6">
        <f t="shared" si="5"/>
        <v>0</v>
      </c>
      <c r="AA57" s="6">
        <f t="shared" si="6"/>
        <v>0</v>
      </c>
      <c r="AB57" s="6"/>
      <c r="AC57" s="6">
        <f t="shared" si="7"/>
        <v>892</v>
      </c>
      <c r="AD57" s="6">
        <f t="shared" si="8"/>
        <v>0</v>
      </c>
      <c r="AE57" s="6"/>
      <c r="AF57">
        <f>sumifs('WL Matrix 2'!T:T,'WL Matrix 2'!B:B,A57,'WL Matrix 2'!C:C,C57,'WL Matrix 2'!M:M,"Regular Season")</f>
        <v>63</v>
      </c>
      <c r="AG57">
        <f t="shared" si="13"/>
        <v>80</v>
      </c>
      <c r="AI57" s="32" t="s">
        <v>116</v>
      </c>
      <c r="AJ57" s="32">
        <f t="shared" si="16"/>
        <v>8</v>
      </c>
      <c r="AK57" s="37">
        <f t="shared" si="10"/>
        <v>0.9679558011</v>
      </c>
      <c r="AL57" s="38">
        <f t="shared" si="11"/>
        <v>1.005318047</v>
      </c>
      <c r="AM57" s="38">
        <f>sumifs('WL Matrix 2'!T:T,'WL Matrix 2'!B:B,A57,'WL Matrix 2'!C:C,C57,'WL Matrix 2'!M:M,"Regular Season")</f>
        <v>63</v>
      </c>
    </row>
    <row r="58" ht="14.25" customHeight="1">
      <c r="A58" s="6">
        <v>2013.0</v>
      </c>
      <c r="B58" s="7">
        <v>41275.0</v>
      </c>
      <c r="C58" s="6" t="s">
        <v>82</v>
      </c>
      <c r="D58" s="6" t="s">
        <v>473</v>
      </c>
      <c r="E58" s="6" t="str">
        <f t="shared" si="1"/>
        <v>Hope U Get sypHllis - 2013</v>
      </c>
      <c r="F58" s="6" t="s">
        <v>325</v>
      </c>
      <c r="G58" s="6" t="s">
        <v>474</v>
      </c>
      <c r="H58" s="6" t="s">
        <v>332</v>
      </c>
      <c r="I58" s="6" t="s">
        <v>137</v>
      </c>
      <c r="J58" s="6" t="s">
        <v>9</v>
      </c>
      <c r="K58" s="6"/>
      <c r="L58" s="8">
        <v>9.0</v>
      </c>
      <c r="M58" s="8">
        <v>9.0</v>
      </c>
      <c r="N58" s="6">
        <f t="shared" si="2"/>
        <v>9</v>
      </c>
      <c r="O58" s="6">
        <v>13.0</v>
      </c>
      <c r="P58" s="6">
        <v>6.0</v>
      </c>
      <c r="Q58" s="6">
        <f t="shared" si="3"/>
        <v>7</v>
      </c>
      <c r="R58" s="9">
        <v>1156.0</v>
      </c>
      <c r="S58" s="9">
        <v>1162.0</v>
      </c>
      <c r="T58" s="6" t="s">
        <v>428</v>
      </c>
      <c r="U58" s="6" t="s">
        <v>429</v>
      </c>
      <c r="V58" s="6">
        <v>60613.0</v>
      </c>
      <c r="W58" s="10">
        <v>50.0</v>
      </c>
      <c r="X58" s="11"/>
      <c r="Y58" s="12">
        <f t="shared" si="4"/>
        <v>-50</v>
      </c>
      <c r="Z58" s="6">
        <f t="shared" si="5"/>
        <v>0</v>
      </c>
      <c r="AA58" s="6">
        <f t="shared" si="6"/>
        <v>0</v>
      </c>
      <c r="AB58" s="6"/>
      <c r="AC58" s="6">
        <f t="shared" si="7"/>
        <v>889</v>
      </c>
      <c r="AD58" s="6">
        <f t="shared" si="8"/>
        <v>0</v>
      </c>
      <c r="AE58" s="6"/>
      <c r="AF58">
        <f>sumifs('WL Matrix 2'!T:T,'WL Matrix 2'!B:B,A58,'WL Matrix 2'!C:C,C58,'WL Matrix 2'!M:M,"Regular Season")</f>
        <v>61</v>
      </c>
      <c r="AG58">
        <f t="shared" si="13"/>
        <v>82</v>
      </c>
      <c r="AI58" s="32" t="s">
        <v>116</v>
      </c>
      <c r="AJ58" s="32">
        <f t="shared" si="16"/>
        <v>10</v>
      </c>
      <c r="AK58" s="37">
        <f t="shared" si="10"/>
        <v>0.9580110497</v>
      </c>
      <c r="AL58" s="38">
        <f t="shared" si="11"/>
        <v>0.9630499344</v>
      </c>
      <c r="AM58" s="38">
        <f>sumifs('WL Matrix 2'!T:T,'WL Matrix 2'!B:B,A58,'WL Matrix 2'!C:C,C58,'WL Matrix 2'!M:M,"Regular Season")</f>
        <v>61</v>
      </c>
    </row>
    <row r="59" ht="14.25" customHeight="1">
      <c r="A59" s="6">
        <v>2013.0</v>
      </c>
      <c r="B59" s="7">
        <v>41275.0</v>
      </c>
      <c r="C59" s="6" t="s">
        <v>86</v>
      </c>
      <c r="D59" s="6" t="s">
        <v>478</v>
      </c>
      <c r="E59" s="6" t="str">
        <f t="shared" si="1"/>
        <v>Diesel Upheaval - 2013</v>
      </c>
      <c r="F59" s="6" t="s">
        <v>133</v>
      </c>
      <c r="G59" s="6" t="s">
        <v>479</v>
      </c>
      <c r="H59" s="6" t="s">
        <v>202</v>
      </c>
      <c r="I59" s="6" t="s">
        <v>480</v>
      </c>
      <c r="J59" s="6" t="s">
        <v>9</v>
      </c>
      <c r="K59" s="6"/>
      <c r="L59" s="8">
        <v>10.0</v>
      </c>
      <c r="M59" s="8">
        <v>10.0</v>
      </c>
      <c r="N59" s="6">
        <f t="shared" si="2"/>
        <v>10</v>
      </c>
      <c r="O59" s="6">
        <v>13.0</v>
      </c>
      <c r="P59" s="6">
        <v>6.0</v>
      </c>
      <c r="Q59" s="6">
        <f t="shared" si="3"/>
        <v>7</v>
      </c>
      <c r="R59" s="9">
        <v>1106.0</v>
      </c>
      <c r="S59" s="9">
        <v>1221.0</v>
      </c>
      <c r="T59" s="6" t="s">
        <v>428</v>
      </c>
      <c r="U59" s="6" t="s">
        <v>429</v>
      </c>
      <c r="V59" s="6">
        <v>60657.0</v>
      </c>
      <c r="W59" s="10">
        <v>50.0</v>
      </c>
      <c r="X59" s="11"/>
      <c r="Y59" s="12">
        <f t="shared" si="4"/>
        <v>-50</v>
      </c>
      <c r="Z59" s="6">
        <f t="shared" si="5"/>
        <v>0</v>
      </c>
      <c r="AA59" s="6">
        <f t="shared" si="6"/>
        <v>0</v>
      </c>
      <c r="AB59" s="6"/>
      <c r="AC59" s="6">
        <f t="shared" si="7"/>
        <v>876.5</v>
      </c>
      <c r="AD59" s="6">
        <f t="shared" si="8"/>
        <v>0</v>
      </c>
      <c r="AE59" s="6"/>
      <c r="AF59">
        <f>sumifs('WL Matrix 2'!T:T,'WL Matrix 2'!B:B,A59,'WL Matrix 2'!C:C,C59,'WL Matrix 2'!M:M,"Regular Season")</f>
        <v>52</v>
      </c>
      <c r="AG59">
        <f t="shared" si="13"/>
        <v>91</v>
      </c>
      <c r="AI59" s="32" t="s">
        <v>116</v>
      </c>
      <c r="AJ59" s="32">
        <f t="shared" si="16"/>
        <v>12</v>
      </c>
      <c r="AK59" s="37">
        <f t="shared" si="10"/>
        <v>0.9165745856</v>
      </c>
      <c r="AL59" s="38">
        <f t="shared" si="11"/>
        <v>1.011948339</v>
      </c>
      <c r="AM59" s="38">
        <f>sumifs('WL Matrix 2'!T:T,'WL Matrix 2'!B:B,A59,'WL Matrix 2'!C:C,C59,'WL Matrix 2'!M:M,"Regular Season")</f>
        <v>52</v>
      </c>
    </row>
    <row r="60" ht="14.25" customHeight="1">
      <c r="A60" s="6">
        <v>2013.0</v>
      </c>
      <c r="B60" s="7">
        <v>41275.0</v>
      </c>
      <c r="C60" s="6" t="s">
        <v>89</v>
      </c>
      <c r="D60" s="6" t="s">
        <v>483</v>
      </c>
      <c r="E60" s="6" t="str">
        <f t="shared" si="1"/>
        <v>John David Crow - 2013</v>
      </c>
      <c r="F60" s="6" t="s">
        <v>394</v>
      </c>
      <c r="G60" s="6" t="s">
        <v>484</v>
      </c>
      <c r="H60" s="6" t="s">
        <v>485</v>
      </c>
      <c r="I60" s="6" t="s">
        <v>486</v>
      </c>
      <c r="J60" s="6" t="s">
        <v>9</v>
      </c>
      <c r="K60" s="6"/>
      <c r="L60" s="8">
        <v>11.0</v>
      </c>
      <c r="M60" s="8">
        <v>11.0</v>
      </c>
      <c r="N60" s="6">
        <f t="shared" si="2"/>
        <v>11</v>
      </c>
      <c r="O60" s="6">
        <v>13.0</v>
      </c>
      <c r="P60" s="6">
        <v>4.0</v>
      </c>
      <c r="Q60" s="6">
        <f t="shared" si="3"/>
        <v>9</v>
      </c>
      <c r="R60" s="9">
        <v>1158.0</v>
      </c>
      <c r="S60" s="9">
        <v>1344.0</v>
      </c>
      <c r="T60" s="6" t="s">
        <v>468</v>
      </c>
      <c r="U60" s="6" t="s">
        <v>46</v>
      </c>
      <c r="V60" s="6">
        <v>46201.0</v>
      </c>
      <c r="W60" s="10">
        <v>50.0</v>
      </c>
      <c r="X60" s="11"/>
      <c r="Y60" s="12">
        <f t="shared" si="4"/>
        <v>-50</v>
      </c>
      <c r="Z60" s="6">
        <f t="shared" si="5"/>
        <v>0</v>
      </c>
      <c r="AA60" s="6">
        <f t="shared" si="6"/>
        <v>0</v>
      </c>
      <c r="AB60" s="6"/>
      <c r="AC60" s="6">
        <f t="shared" si="7"/>
        <v>689.5</v>
      </c>
      <c r="AD60" s="6">
        <f t="shared" si="8"/>
        <v>0</v>
      </c>
      <c r="AE60" s="6"/>
      <c r="AF60">
        <f>sumifs('WL Matrix 2'!T:T,'WL Matrix 2'!B:B,A60,'WL Matrix 2'!C:C,C60,'WL Matrix 2'!M:M,"Regular Season")</f>
        <v>63</v>
      </c>
      <c r="AG60">
        <f t="shared" si="13"/>
        <v>80</v>
      </c>
      <c r="AI60" s="32" t="s">
        <v>116</v>
      </c>
      <c r="AJ60" s="32">
        <f t="shared" si="16"/>
        <v>9</v>
      </c>
      <c r="AK60" s="37">
        <f t="shared" si="10"/>
        <v>0.9596685083</v>
      </c>
      <c r="AL60" s="38">
        <f t="shared" si="11"/>
        <v>1.113889081</v>
      </c>
      <c r="AM60" s="38">
        <f>sumifs('WL Matrix 2'!T:T,'WL Matrix 2'!B:B,A60,'WL Matrix 2'!C:C,C60,'WL Matrix 2'!M:M,"Regular Season")</f>
        <v>63</v>
      </c>
    </row>
    <row r="61" ht="14.25" customHeight="1">
      <c r="A61" s="6">
        <v>2013.0</v>
      </c>
      <c r="B61" s="7">
        <v>41275.0</v>
      </c>
      <c r="C61" s="6" t="s">
        <v>92</v>
      </c>
      <c r="D61" s="6" t="s">
        <v>489</v>
      </c>
      <c r="E61" s="6" t="str">
        <f t="shared" si="1"/>
        <v>Mark van LickMyCornHole - 2013</v>
      </c>
      <c r="F61" s="6" t="s">
        <v>351</v>
      </c>
      <c r="G61" s="6" t="s">
        <v>293</v>
      </c>
      <c r="H61" s="6" t="s">
        <v>413</v>
      </c>
      <c r="I61" s="6" t="s">
        <v>491</v>
      </c>
      <c r="J61" s="6" t="s">
        <v>9</v>
      </c>
      <c r="K61" s="6"/>
      <c r="L61" s="8">
        <v>12.0</v>
      </c>
      <c r="M61" s="8">
        <v>12.0</v>
      </c>
      <c r="N61" s="6">
        <f t="shared" si="2"/>
        <v>12</v>
      </c>
      <c r="O61" s="6">
        <v>13.0</v>
      </c>
      <c r="P61" s="6">
        <v>4.0</v>
      </c>
      <c r="Q61" s="6">
        <f t="shared" si="3"/>
        <v>9</v>
      </c>
      <c r="R61" s="9">
        <v>1149.0</v>
      </c>
      <c r="S61" s="9">
        <v>1237.0</v>
      </c>
      <c r="T61" s="6" t="s">
        <v>428</v>
      </c>
      <c r="U61" s="6" t="s">
        <v>429</v>
      </c>
      <c r="V61" s="6">
        <v>60613.0</v>
      </c>
      <c r="W61" s="10">
        <v>50.0</v>
      </c>
      <c r="X61" s="11"/>
      <c r="Y61" s="12">
        <f t="shared" si="4"/>
        <v>-50</v>
      </c>
      <c r="Z61" s="6">
        <f t="shared" si="5"/>
        <v>0</v>
      </c>
      <c r="AA61" s="6">
        <f t="shared" si="6"/>
        <v>0</v>
      </c>
      <c r="AB61" s="6"/>
      <c r="AC61" s="6">
        <f t="shared" si="7"/>
        <v>687.25</v>
      </c>
      <c r="AD61" s="6">
        <f t="shared" si="8"/>
        <v>0</v>
      </c>
      <c r="AE61" s="6"/>
      <c r="AF61">
        <f>sumifs('WL Matrix 2'!T:T,'WL Matrix 2'!B:B,A61,'WL Matrix 2'!C:C,C61,'WL Matrix 2'!M:M,"Regular Season")</f>
        <v>62</v>
      </c>
      <c r="AG61">
        <f t="shared" si="13"/>
        <v>81</v>
      </c>
      <c r="AI61" s="32" t="s">
        <v>116</v>
      </c>
      <c r="AJ61" s="32">
        <f t="shared" si="16"/>
        <v>11</v>
      </c>
      <c r="AK61" s="37">
        <f t="shared" si="10"/>
        <v>0.9522099448</v>
      </c>
      <c r="AL61" s="38">
        <f t="shared" si="11"/>
        <v>1.025208923</v>
      </c>
      <c r="AM61" s="38">
        <f>sumifs('WL Matrix 2'!T:T,'WL Matrix 2'!B:B,A61,'WL Matrix 2'!C:C,C61,'WL Matrix 2'!M:M,"Regular Season")</f>
        <v>62</v>
      </c>
    </row>
    <row r="62" ht="14.25" customHeight="1">
      <c r="A62" s="6">
        <v>2014.0</v>
      </c>
      <c r="B62" s="7">
        <v>41640.0</v>
      </c>
      <c r="C62" s="6" t="s">
        <v>47</v>
      </c>
      <c r="D62" s="6" t="s">
        <v>495</v>
      </c>
      <c r="E62" s="6" t="str">
        <f t="shared" si="1"/>
        <v>Carnival Cruzers - 2014</v>
      </c>
      <c r="F62" s="6" t="s">
        <v>418</v>
      </c>
      <c r="G62" s="6" t="s">
        <v>208</v>
      </c>
      <c r="H62" s="6" t="s">
        <v>168</v>
      </c>
      <c r="I62" s="6" t="s">
        <v>480</v>
      </c>
      <c r="J62" s="6" t="s">
        <v>9</v>
      </c>
      <c r="K62" s="6"/>
      <c r="L62" s="8">
        <v>11.0</v>
      </c>
      <c r="M62" s="8">
        <v>11.0</v>
      </c>
      <c r="N62" s="6">
        <f t="shared" si="2"/>
        <v>11</v>
      </c>
      <c r="O62" s="6">
        <v>13.0</v>
      </c>
      <c r="P62" s="6">
        <v>4.0</v>
      </c>
      <c r="Q62" s="6">
        <v>9.0</v>
      </c>
      <c r="R62" s="9">
        <v>1047.0</v>
      </c>
      <c r="S62" s="9">
        <v>1294.0</v>
      </c>
      <c r="T62" s="6" t="s">
        <v>428</v>
      </c>
      <c r="U62" s="6" t="s">
        <v>429</v>
      </c>
      <c r="V62" s="6">
        <v>60614.0</v>
      </c>
      <c r="W62" s="10">
        <v>50.0</v>
      </c>
      <c r="X62" s="11"/>
      <c r="Y62" s="12">
        <f t="shared" si="4"/>
        <v>-50</v>
      </c>
      <c r="Z62" s="6">
        <f t="shared" si="5"/>
        <v>0</v>
      </c>
      <c r="AA62" s="6">
        <f t="shared" si="6"/>
        <v>0</v>
      </c>
      <c r="AB62" s="6"/>
      <c r="AC62" s="6">
        <f t="shared" si="7"/>
        <v>661.75</v>
      </c>
      <c r="AD62" s="6">
        <f t="shared" si="8"/>
        <v>0</v>
      </c>
      <c r="AE62" s="6"/>
      <c r="AF62">
        <f>sumifs('WL Matrix 2'!T:T,'WL Matrix 2'!B:B,A62,'WL Matrix 2'!C:C,C62,'WL Matrix 2'!M:M,"Regular Season")</f>
        <v>45</v>
      </c>
      <c r="AG62">
        <f t="shared" si="13"/>
        <v>98</v>
      </c>
      <c r="AI62" s="32" t="s">
        <v>116</v>
      </c>
      <c r="AJ62" s="32">
        <f t="shared" ref="AJ62:AJ73" si="17">rank(R62,$R$62:$R$73)</f>
        <v>11</v>
      </c>
      <c r="AK62" s="37">
        <f t="shared" si="10"/>
        <v>0.8488615634</v>
      </c>
      <c r="AL62" s="38">
        <f t="shared" si="11"/>
        <v>1.053674425</v>
      </c>
      <c r="AM62" s="38">
        <f>sumifs('WL Matrix 2'!T:T,'WL Matrix 2'!B:B,A62,'WL Matrix 2'!C:C,C62,'WL Matrix 2'!M:M,"Regular Season")</f>
        <v>45</v>
      </c>
    </row>
    <row r="63" ht="14.25" customHeight="1">
      <c r="A63" s="6">
        <v>2014.0</v>
      </c>
      <c r="B63" s="7">
        <v>41640.0</v>
      </c>
      <c r="C63" s="6" t="s">
        <v>52</v>
      </c>
      <c r="D63" s="6" t="s">
        <v>498</v>
      </c>
      <c r="E63" s="6" t="str">
        <f t="shared" si="1"/>
        <v>ForTe Pay - 2014</v>
      </c>
      <c r="F63" s="6" t="s">
        <v>434</v>
      </c>
      <c r="G63" s="6" t="s">
        <v>389</v>
      </c>
      <c r="H63" s="6" t="s">
        <v>443</v>
      </c>
      <c r="I63" s="6" t="s">
        <v>203</v>
      </c>
      <c r="J63" s="6" t="s">
        <v>9</v>
      </c>
      <c r="K63" s="6"/>
      <c r="L63" s="8">
        <v>3.0</v>
      </c>
      <c r="M63" s="8">
        <v>3.0</v>
      </c>
      <c r="N63" s="6">
        <f t="shared" si="2"/>
        <v>3</v>
      </c>
      <c r="O63" s="6">
        <v>13.0</v>
      </c>
      <c r="P63" s="6">
        <v>9.0</v>
      </c>
      <c r="Q63" s="6">
        <v>4.0</v>
      </c>
      <c r="R63" s="9">
        <v>1388.0</v>
      </c>
      <c r="S63" s="9">
        <v>1221.0</v>
      </c>
      <c r="T63" s="6" t="s">
        <v>428</v>
      </c>
      <c r="U63" s="6" t="s">
        <v>429</v>
      </c>
      <c r="V63" s="6">
        <v>60614.0</v>
      </c>
      <c r="W63" s="10">
        <v>50.0</v>
      </c>
      <c r="X63" s="11">
        <v>50.0</v>
      </c>
      <c r="Y63" s="12">
        <f t="shared" si="4"/>
        <v>0</v>
      </c>
      <c r="Z63" s="6">
        <f t="shared" si="5"/>
        <v>0</v>
      </c>
      <c r="AA63" s="6">
        <f t="shared" si="6"/>
        <v>1</v>
      </c>
      <c r="AB63" s="6"/>
      <c r="AC63" s="6">
        <f t="shared" si="7"/>
        <v>1247</v>
      </c>
      <c r="AD63" s="6">
        <f t="shared" si="8"/>
        <v>0</v>
      </c>
      <c r="AE63" s="6"/>
      <c r="AF63">
        <f>sumifs('WL Matrix 2'!T:T,'WL Matrix 2'!B:B,A63,'WL Matrix 2'!C:C,C63,'WL Matrix 2'!M:M,"Regular Season")</f>
        <v>95</v>
      </c>
      <c r="AG63">
        <f t="shared" si="13"/>
        <v>48</v>
      </c>
      <c r="AI63" s="32" t="s">
        <v>116</v>
      </c>
      <c r="AJ63" s="32">
        <f t="shared" si="17"/>
        <v>3</v>
      </c>
      <c r="AK63" s="37">
        <f t="shared" si="10"/>
        <v>1.12532937</v>
      </c>
      <c r="AL63" s="38">
        <f t="shared" si="11"/>
        <v>0.9942322047</v>
      </c>
      <c r="AM63" s="38">
        <f>sumifs('WL Matrix 2'!T:T,'WL Matrix 2'!B:B,A63,'WL Matrix 2'!C:C,C63,'WL Matrix 2'!M:M,"Regular Season")</f>
        <v>95</v>
      </c>
    </row>
    <row r="64" ht="14.25" customHeight="1">
      <c r="A64" s="6">
        <v>2014.0</v>
      </c>
      <c r="B64" s="7">
        <v>41640.0</v>
      </c>
      <c r="C64" s="6" t="s">
        <v>57</v>
      </c>
      <c r="D64" s="6" t="s">
        <v>502</v>
      </c>
      <c r="E64" s="6" t="str">
        <f t="shared" si="1"/>
        <v>Justin Tucker Must Die - 2014</v>
      </c>
      <c r="F64" s="6" t="s">
        <v>175</v>
      </c>
      <c r="G64" s="6" t="s">
        <v>338</v>
      </c>
      <c r="H64" s="6" t="s">
        <v>485</v>
      </c>
      <c r="I64" s="6" t="s">
        <v>503</v>
      </c>
      <c r="J64" s="6" t="s">
        <v>9</v>
      </c>
      <c r="K64" s="6"/>
      <c r="L64" s="8">
        <v>8.0</v>
      </c>
      <c r="M64" s="8">
        <v>8.0</v>
      </c>
      <c r="N64" s="6">
        <f t="shared" si="2"/>
        <v>8</v>
      </c>
      <c r="O64" s="6">
        <v>13.0</v>
      </c>
      <c r="P64" s="6">
        <v>5.0</v>
      </c>
      <c r="Q64" s="6">
        <v>8.0</v>
      </c>
      <c r="R64" s="9">
        <v>1153.0</v>
      </c>
      <c r="S64" s="9">
        <v>1244.0</v>
      </c>
      <c r="T64" s="6" t="s">
        <v>428</v>
      </c>
      <c r="U64" s="6" t="s">
        <v>429</v>
      </c>
      <c r="V64" s="6">
        <v>60647.0</v>
      </c>
      <c r="W64" s="10">
        <v>50.0</v>
      </c>
      <c r="X64" s="11"/>
      <c r="Y64" s="12">
        <f t="shared" si="4"/>
        <v>-50</v>
      </c>
      <c r="Z64" s="6">
        <f t="shared" si="5"/>
        <v>0</v>
      </c>
      <c r="AA64" s="6">
        <f t="shared" si="6"/>
        <v>0</v>
      </c>
      <c r="AB64" s="6"/>
      <c r="AC64" s="6">
        <f t="shared" si="7"/>
        <v>788.25</v>
      </c>
      <c r="AD64" s="6">
        <f t="shared" si="8"/>
        <v>0</v>
      </c>
      <c r="AE64" s="6"/>
      <c r="AF64">
        <f>sumifs('WL Matrix 2'!T:T,'WL Matrix 2'!B:B,A64,'WL Matrix 2'!C:C,C64,'WL Matrix 2'!M:M,"Regular Season")</f>
        <v>52</v>
      </c>
      <c r="AG64">
        <f t="shared" si="13"/>
        <v>91</v>
      </c>
      <c r="AI64" s="32" t="s">
        <v>116</v>
      </c>
      <c r="AJ64" s="32">
        <f t="shared" si="17"/>
        <v>8</v>
      </c>
      <c r="AK64" s="37">
        <f t="shared" si="10"/>
        <v>0.9348017026</v>
      </c>
      <c r="AL64" s="38">
        <f t="shared" si="11"/>
        <v>1.012960575</v>
      </c>
      <c r="AM64" s="38">
        <f>sumifs('WL Matrix 2'!T:T,'WL Matrix 2'!B:B,A64,'WL Matrix 2'!C:C,C64,'WL Matrix 2'!M:M,"Regular Season")</f>
        <v>52</v>
      </c>
    </row>
    <row r="65" ht="14.25" customHeight="1">
      <c r="A65" s="6">
        <v>2014.0</v>
      </c>
      <c r="B65" s="7">
        <v>41640.0</v>
      </c>
      <c r="C65" s="6" t="s">
        <v>39</v>
      </c>
      <c r="D65" s="6" t="s">
        <v>40</v>
      </c>
      <c r="E65" s="6" t="str">
        <f t="shared" si="1"/>
        <v>Cutler's Year - 2014</v>
      </c>
      <c r="F65" s="6" t="s">
        <v>214</v>
      </c>
      <c r="G65" s="6" t="s">
        <v>506</v>
      </c>
      <c r="H65" s="6" t="s">
        <v>507</v>
      </c>
      <c r="I65" s="6" t="s">
        <v>333</v>
      </c>
      <c r="J65" s="6" t="s">
        <v>9</v>
      </c>
      <c r="K65" s="6"/>
      <c r="L65" s="8">
        <v>1.0</v>
      </c>
      <c r="M65" s="8">
        <v>4.0</v>
      </c>
      <c r="N65" s="6">
        <f t="shared" si="2"/>
        <v>4</v>
      </c>
      <c r="O65" s="6">
        <v>13.0</v>
      </c>
      <c r="P65" s="6">
        <v>11.0</v>
      </c>
      <c r="Q65" s="6">
        <v>2.0</v>
      </c>
      <c r="R65" s="9">
        <v>1392.0</v>
      </c>
      <c r="S65" s="9">
        <v>1278.0</v>
      </c>
      <c r="T65" s="6" t="s">
        <v>428</v>
      </c>
      <c r="U65" s="6" t="s">
        <v>429</v>
      </c>
      <c r="V65" s="6">
        <v>60618.0</v>
      </c>
      <c r="W65" s="10">
        <v>50.0</v>
      </c>
      <c r="X65" s="11">
        <v>100.0</v>
      </c>
      <c r="Y65" s="12">
        <f t="shared" si="4"/>
        <v>50</v>
      </c>
      <c r="Z65" s="6">
        <f t="shared" si="5"/>
        <v>0</v>
      </c>
      <c r="AA65" s="6">
        <f t="shared" si="6"/>
        <v>1</v>
      </c>
      <c r="AB65" s="6"/>
      <c r="AC65" s="6">
        <f t="shared" si="7"/>
        <v>1448</v>
      </c>
      <c r="AD65" s="6">
        <f t="shared" si="8"/>
        <v>1</v>
      </c>
      <c r="AE65" s="6"/>
      <c r="AF65">
        <f>sumifs('WL Matrix 2'!T:T,'WL Matrix 2'!B:B,A65,'WL Matrix 2'!C:C,C65,'WL Matrix 2'!M:M,"Regular Season")</f>
        <v>103</v>
      </c>
      <c r="AG65">
        <f t="shared" si="13"/>
        <v>40</v>
      </c>
      <c r="AI65" s="32" t="s">
        <v>116</v>
      </c>
      <c r="AJ65" s="32">
        <f t="shared" si="17"/>
        <v>2</v>
      </c>
      <c r="AK65" s="37">
        <f t="shared" si="10"/>
        <v>1.128572394</v>
      </c>
      <c r="AL65" s="38">
        <f t="shared" si="11"/>
        <v>1.040645993</v>
      </c>
      <c r="AM65" s="38">
        <f>sumifs('WL Matrix 2'!T:T,'WL Matrix 2'!B:B,A65,'WL Matrix 2'!C:C,C65,'WL Matrix 2'!M:M,"Regular Season")</f>
        <v>103</v>
      </c>
    </row>
    <row r="66" ht="14.25" customHeight="1">
      <c r="A66" s="6">
        <v>2014.0</v>
      </c>
      <c r="B66" s="7">
        <v>41640.0</v>
      </c>
      <c r="C66" s="6" t="s">
        <v>67</v>
      </c>
      <c r="D66" s="6" t="s">
        <v>510</v>
      </c>
      <c r="E66" s="6" t="str">
        <f t="shared" si="1"/>
        <v>Praters Gonna Prate - 2014</v>
      </c>
      <c r="F66" s="6" t="s">
        <v>451</v>
      </c>
      <c r="G66" s="6" t="s">
        <v>352</v>
      </c>
      <c r="H66" s="6" t="s">
        <v>511</v>
      </c>
      <c r="I66" s="6" t="s">
        <v>217</v>
      </c>
      <c r="J66" s="6" t="s">
        <v>9</v>
      </c>
      <c r="K66" s="6"/>
      <c r="L66" s="8">
        <v>2.0</v>
      </c>
      <c r="M66" s="8">
        <v>1.0</v>
      </c>
      <c r="N66" s="6">
        <f t="shared" si="2"/>
        <v>1</v>
      </c>
      <c r="O66" s="6">
        <v>13.0</v>
      </c>
      <c r="P66" s="6">
        <v>10.0</v>
      </c>
      <c r="Q66" s="6">
        <v>3.0</v>
      </c>
      <c r="R66" s="9">
        <v>1414.0</v>
      </c>
      <c r="S66" s="9">
        <v>1153.0</v>
      </c>
      <c r="T66" s="6" t="s">
        <v>428</v>
      </c>
      <c r="U66" s="6" t="s">
        <v>429</v>
      </c>
      <c r="V66" s="6">
        <v>60614.0</v>
      </c>
      <c r="W66" s="10">
        <v>50.0</v>
      </c>
      <c r="X66" s="11">
        <v>325.0</v>
      </c>
      <c r="Y66" s="12">
        <f t="shared" si="4"/>
        <v>275</v>
      </c>
      <c r="Z66" s="6">
        <f t="shared" si="5"/>
        <v>1</v>
      </c>
      <c r="AA66" s="6">
        <f t="shared" si="6"/>
        <v>1</v>
      </c>
      <c r="AB66" s="6"/>
      <c r="AC66" s="6">
        <f t="shared" si="7"/>
        <v>1353.5</v>
      </c>
      <c r="AD66" s="6">
        <f t="shared" si="8"/>
        <v>0</v>
      </c>
      <c r="AE66" s="49">
        <v>1.0</v>
      </c>
      <c r="AF66">
        <f>sumifs('WL Matrix 2'!T:T,'WL Matrix 2'!B:B,A66,'WL Matrix 2'!C:C,C66,'WL Matrix 2'!M:M,"Regular Season")</f>
        <v>101</v>
      </c>
      <c r="AG66">
        <f t="shared" si="13"/>
        <v>42</v>
      </c>
      <c r="AI66" s="32" t="s">
        <v>116</v>
      </c>
      <c r="AJ66" s="32">
        <f t="shared" si="17"/>
        <v>1</v>
      </c>
      <c r="AK66" s="37">
        <f t="shared" si="10"/>
        <v>1.146409026</v>
      </c>
      <c r="AL66" s="38">
        <f t="shared" si="11"/>
        <v>0.9388613693</v>
      </c>
      <c r="AM66" s="38">
        <f>sumifs('WL Matrix 2'!T:T,'WL Matrix 2'!B:B,A66,'WL Matrix 2'!C:C,C66,'WL Matrix 2'!M:M,"Regular Season")</f>
        <v>101</v>
      </c>
    </row>
    <row r="67" ht="14.25" customHeight="1">
      <c r="A67" s="6">
        <v>2014.0</v>
      </c>
      <c r="B67" s="7">
        <v>41640.0</v>
      </c>
      <c r="C67" s="6" t="s">
        <v>72</v>
      </c>
      <c r="D67" s="6" t="s">
        <v>514</v>
      </c>
      <c r="E67" s="6" t="str">
        <f t="shared" si="1"/>
        <v>Jc Livin - 2014</v>
      </c>
      <c r="F67" s="6" t="s">
        <v>351</v>
      </c>
      <c r="G67" s="6" t="s">
        <v>184</v>
      </c>
      <c r="H67" s="6" t="s">
        <v>413</v>
      </c>
      <c r="I67" s="6" t="s">
        <v>517</v>
      </c>
      <c r="J67" s="6" t="s">
        <v>9</v>
      </c>
      <c r="K67" s="6"/>
      <c r="L67" s="8">
        <v>9.0</v>
      </c>
      <c r="M67" s="8">
        <v>9.0</v>
      </c>
      <c r="N67" s="6">
        <f t="shared" si="2"/>
        <v>9</v>
      </c>
      <c r="O67" s="6">
        <v>13.0</v>
      </c>
      <c r="P67" s="6">
        <v>4.0</v>
      </c>
      <c r="Q67" s="6">
        <v>9.0</v>
      </c>
      <c r="R67" s="9">
        <v>1099.0</v>
      </c>
      <c r="S67" s="9">
        <v>1325.0</v>
      </c>
      <c r="T67" s="6" t="s">
        <v>428</v>
      </c>
      <c r="U67" s="6" t="s">
        <v>429</v>
      </c>
      <c r="V67" s="6">
        <v>60647.0</v>
      </c>
      <c r="W67" s="10">
        <v>50.0</v>
      </c>
      <c r="X67" s="11"/>
      <c r="Y67" s="12">
        <f t="shared" si="4"/>
        <v>-50</v>
      </c>
      <c r="Z67" s="6">
        <f t="shared" si="5"/>
        <v>0</v>
      </c>
      <c r="AA67" s="6">
        <f t="shared" si="6"/>
        <v>0</v>
      </c>
      <c r="AB67" s="6"/>
      <c r="AC67" s="6">
        <f t="shared" si="7"/>
        <v>674.75</v>
      </c>
      <c r="AD67" s="6">
        <f t="shared" si="8"/>
        <v>0</v>
      </c>
      <c r="AE67" s="6"/>
      <c r="AF67">
        <f>sumifs('WL Matrix 2'!T:T,'WL Matrix 2'!B:B,A67,'WL Matrix 2'!C:C,C67,'WL Matrix 2'!M:M,"Regular Season")</f>
        <v>47</v>
      </c>
      <c r="AG67">
        <f t="shared" si="13"/>
        <v>96</v>
      </c>
      <c r="AI67" s="32" t="s">
        <v>116</v>
      </c>
      <c r="AJ67" s="32">
        <f t="shared" si="17"/>
        <v>9</v>
      </c>
      <c r="AK67" s="37">
        <f t="shared" si="10"/>
        <v>0.891020877</v>
      </c>
      <c r="AL67" s="38">
        <f t="shared" si="11"/>
        <v>1.078917012</v>
      </c>
      <c r="AM67" s="38">
        <f>sumifs('WL Matrix 2'!T:T,'WL Matrix 2'!B:B,A67,'WL Matrix 2'!C:C,C67,'WL Matrix 2'!M:M,"Regular Season")</f>
        <v>47</v>
      </c>
    </row>
    <row r="68" ht="14.25" customHeight="1">
      <c r="A68" s="6">
        <v>2014.0</v>
      </c>
      <c r="B68" s="7">
        <v>41640.0</v>
      </c>
      <c r="C68" s="6" t="s">
        <v>76</v>
      </c>
      <c r="D68" s="6" t="s">
        <v>521</v>
      </c>
      <c r="E68" s="6" t="str">
        <f t="shared" si="1"/>
        <v>Weekend at Bernard's - 2014</v>
      </c>
      <c r="F68" s="6" t="s">
        <v>133</v>
      </c>
      <c r="G68" s="6" t="s">
        <v>522</v>
      </c>
      <c r="H68" s="6" t="s">
        <v>523</v>
      </c>
      <c r="I68" s="6" t="s">
        <v>467</v>
      </c>
      <c r="J68" s="6" t="s">
        <v>9</v>
      </c>
      <c r="K68" s="6"/>
      <c r="L68" s="8">
        <v>7.0</v>
      </c>
      <c r="M68" s="8">
        <v>7.0</v>
      </c>
      <c r="N68" s="6">
        <f t="shared" si="2"/>
        <v>7</v>
      </c>
      <c r="O68" s="6">
        <v>13.0</v>
      </c>
      <c r="P68" s="6">
        <v>6.0</v>
      </c>
      <c r="Q68" s="6">
        <v>7.0</v>
      </c>
      <c r="R68" s="9">
        <v>1281.0</v>
      </c>
      <c r="S68" s="9">
        <v>1126.0</v>
      </c>
      <c r="T68" s="6" t="s">
        <v>428</v>
      </c>
      <c r="U68" s="6" t="s">
        <v>429</v>
      </c>
      <c r="V68" s="6">
        <v>60647.0</v>
      </c>
      <c r="W68" s="10">
        <v>50.0</v>
      </c>
      <c r="X68" s="11"/>
      <c r="Y68" s="12">
        <f t="shared" si="4"/>
        <v>-50</v>
      </c>
      <c r="Z68" s="6">
        <f t="shared" si="5"/>
        <v>0</v>
      </c>
      <c r="AA68" s="6">
        <f t="shared" si="6"/>
        <v>0</v>
      </c>
      <c r="AB68" s="6"/>
      <c r="AC68" s="6">
        <f t="shared" si="7"/>
        <v>920.25</v>
      </c>
      <c r="AD68" s="6">
        <f t="shared" si="8"/>
        <v>0</v>
      </c>
      <c r="AE68" s="6"/>
      <c r="AF68">
        <f>sumifs('WL Matrix 2'!T:T,'WL Matrix 2'!B:B,A68,'WL Matrix 2'!C:C,C68,'WL Matrix 2'!M:M,"Regular Season")</f>
        <v>78</v>
      </c>
      <c r="AG68">
        <f t="shared" si="13"/>
        <v>65</v>
      </c>
      <c r="AI68" s="32" t="s">
        <v>116</v>
      </c>
      <c r="AJ68" s="32">
        <f t="shared" si="17"/>
        <v>6</v>
      </c>
      <c r="AK68" s="37">
        <f t="shared" si="10"/>
        <v>1.038578474</v>
      </c>
      <c r="AL68" s="38">
        <f t="shared" si="11"/>
        <v>0.9168758906</v>
      </c>
      <c r="AM68" s="38">
        <f>sumifs('WL Matrix 2'!T:T,'WL Matrix 2'!B:B,A68,'WL Matrix 2'!C:C,C68,'WL Matrix 2'!M:M,"Regular Season")</f>
        <v>78</v>
      </c>
    </row>
    <row r="69" ht="14.25" customHeight="1">
      <c r="A69" s="6">
        <v>2014.0</v>
      </c>
      <c r="B69" s="7">
        <v>41640.0</v>
      </c>
      <c r="C69" s="6" t="s">
        <v>79</v>
      </c>
      <c r="D69" s="6" t="s">
        <v>528</v>
      </c>
      <c r="E69" s="6" t="str">
        <f t="shared" si="1"/>
        <v>Deztiny's Child - 2014</v>
      </c>
      <c r="F69" s="6" t="s">
        <v>183</v>
      </c>
      <c r="G69" s="6" t="s">
        <v>529</v>
      </c>
      <c r="H69" s="6" t="s">
        <v>402</v>
      </c>
      <c r="I69" s="6" t="s">
        <v>438</v>
      </c>
      <c r="J69" s="49" t="s">
        <v>123</v>
      </c>
      <c r="K69" s="6"/>
      <c r="L69" s="8">
        <v>4.0</v>
      </c>
      <c r="M69" s="8">
        <v>5.0</v>
      </c>
      <c r="N69" s="6">
        <f t="shared" si="2"/>
        <v>5</v>
      </c>
      <c r="O69" s="6">
        <v>13.0</v>
      </c>
      <c r="P69" s="6">
        <v>8.0</v>
      </c>
      <c r="Q69" s="6">
        <v>5.0</v>
      </c>
      <c r="R69" s="9">
        <v>1353.0</v>
      </c>
      <c r="S69" s="9">
        <v>1237.0</v>
      </c>
      <c r="T69" s="6" t="s">
        <v>468</v>
      </c>
      <c r="U69" s="6" t="s">
        <v>46</v>
      </c>
      <c r="V69" s="6">
        <v>46201.0</v>
      </c>
      <c r="W69" s="10">
        <v>50.0</v>
      </c>
      <c r="X69" s="11"/>
      <c r="Y69" s="12">
        <f t="shared" si="4"/>
        <v>-50</v>
      </c>
      <c r="Z69" s="6">
        <f t="shared" si="5"/>
        <v>0</v>
      </c>
      <c r="AA69" s="6">
        <f t="shared" si="6"/>
        <v>1</v>
      </c>
      <c r="AB69" s="6"/>
      <c r="AC69" s="6">
        <f t="shared" si="7"/>
        <v>1138.25</v>
      </c>
      <c r="AD69" s="6">
        <f t="shared" si="8"/>
        <v>0</v>
      </c>
      <c r="AE69" s="6"/>
      <c r="AF69">
        <f>sumifs('WL Matrix 2'!T:T,'WL Matrix 2'!B:B,A69,'WL Matrix 2'!C:C,C69,'WL Matrix 2'!M:M,"Regular Season")</f>
        <v>94</v>
      </c>
      <c r="AG69">
        <f t="shared" si="13"/>
        <v>49</v>
      </c>
      <c r="AI69" s="32" t="s">
        <v>116</v>
      </c>
      <c r="AJ69" s="32">
        <f t="shared" si="17"/>
        <v>4</v>
      </c>
      <c r="AK69" s="37">
        <f t="shared" si="10"/>
        <v>1.096952909</v>
      </c>
      <c r="AL69" s="38">
        <f t="shared" si="11"/>
        <v>1.007260636</v>
      </c>
      <c r="AM69" s="38">
        <f>sumifs('WL Matrix 2'!T:T,'WL Matrix 2'!B:B,A69,'WL Matrix 2'!C:C,C69,'WL Matrix 2'!M:M,"Regular Season")</f>
        <v>94</v>
      </c>
    </row>
    <row r="70" ht="14.25" customHeight="1">
      <c r="A70" s="6">
        <v>2014.0</v>
      </c>
      <c r="B70" s="7">
        <v>41640.0</v>
      </c>
      <c r="C70" s="6" t="s">
        <v>82</v>
      </c>
      <c r="D70" s="6" t="s">
        <v>535</v>
      </c>
      <c r="E70" s="6" t="str">
        <f t="shared" si="1"/>
        <v>Games with Gerhart - 2014</v>
      </c>
      <c r="F70" s="6" t="s">
        <v>536</v>
      </c>
      <c r="G70" s="6" t="s">
        <v>537</v>
      </c>
      <c r="H70" s="6" t="s">
        <v>177</v>
      </c>
      <c r="I70" s="6" t="s">
        <v>233</v>
      </c>
      <c r="J70" s="6" t="s">
        <v>9</v>
      </c>
      <c r="K70" s="6"/>
      <c r="L70" s="8">
        <v>12.0</v>
      </c>
      <c r="M70" s="8">
        <v>12.0</v>
      </c>
      <c r="N70" s="6">
        <f t="shared" si="2"/>
        <v>12</v>
      </c>
      <c r="O70" s="6">
        <v>13.0</v>
      </c>
      <c r="P70" s="6">
        <v>2.0</v>
      </c>
      <c r="Q70" s="6">
        <v>11.0</v>
      </c>
      <c r="R70" s="9">
        <v>1004.0</v>
      </c>
      <c r="S70" s="9">
        <v>1227.0</v>
      </c>
      <c r="T70" s="6" t="s">
        <v>428</v>
      </c>
      <c r="U70" s="6" t="s">
        <v>429</v>
      </c>
      <c r="V70" s="6">
        <v>60614.0</v>
      </c>
      <c r="W70" s="10">
        <v>50.0</v>
      </c>
      <c r="X70" s="11"/>
      <c r="Y70" s="12">
        <f t="shared" si="4"/>
        <v>-50</v>
      </c>
      <c r="Z70" s="6">
        <f t="shared" si="5"/>
        <v>0</v>
      </c>
      <c r="AA70" s="6">
        <f t="shared" si="6"/>
        <v>0</v>
      </c>
      <c r="AB70" s="6"/>
      <c r="AC70" s="6">
        <f t="shared" si="7"/>
        <v>451</v>
      </c>
      <c r="AD70" s="6">
        <f t="shared" si="8"/>
        <v>0</v>
      </c>
      <c r="AE70" s="6"/>
      <c r="AF70">
        <f>sumifs('WL Matrix 2'!T:T,'WL Matrix 2'!B:B,A70,'WL Matrix 2'!C:C,C70,'WL Matrix 2'!M:M,"Regular Season")</f>
        <v>36</v>
      </c>
      <c r="AG70">
        <f t="shared" si="13"/>
        <v>107</v>
      </c>
      <c r="AI70" s="32" t="s">
        <v>116</v>
      </c>
      <c r="AJ70" s="32">
        <f t="shared" si="17"/>
        <v>12</v>
      </c>
      <c r="AK70" s="37">
        <f t="shared" si="10"/>
        <v>0.8139990541</v>
      </c>
      <c r="AL70" s="38">
        <f t="shared" si="11"/>
        <v>0.9991178666</v>
      </c>
      <c r="AM70" s="38">
        <f>sumifs('WL Matrix 2'!T:T,'WL Matrix 2'!B:B,A70,'WL Matrix 2'!C:C,C70,'WL Matrix 2'!M:M,"Regular Season")</f>
        <v>36</v>
      </c>
    </row>
    <row r="71" ht="14.25" customHeight="1">
      <c r="A71" s="6">
        <v>2014.0</v>
      </c>
      <c r="B71" s="7">
        <v>41640.0</v>
      </c>
      <c r="C71" s="6" t="s">
        <v>86</v>
      </c>
      <c r="D71" s="6" t="s">
        <v>540</v>
      </c>
      <c r="E71" s="6" t="str">
        <f t="shared" si="1"/>
        <v>Pryor Convictions - 2014</v>
      </c>
      <c r="F71" s="6" t="s">
        <v>325</v>
      </c>
      <c r="G71" s="6" t="s">
        <v>541</v>
      </c>
      <c r="H71" s="6" t="s">
        <v>371</v>
      </c>
      <c r="I71" s="6" t="s">
        <v>242</v>
      </c>
      <c r="J71" s="6" t="s">
        <v>9</v>
      </c>
      <c r="K71" s="6"/>
      <c r="L71" s="8">
        <v>10.0</v>
      </c>
      <c r="M71" s="8">
        <v>10.0</v>
      </c>
      <c r="N71" s="6">
        <f t="shared" si="2"/>
        <v>10</v>
      </c>
      <c r="O71" s="6">
        <v>13.0</v>
      </c>
      <c r="P71" s="6">
        <v>4.0</v>
      </c>
      <c r="Q71" s="6">
        <v>9.0</v>
      </c>
      <c r="R71" s="9">
        <v>1087.0</v>
      </c>
      <c r="S71" s="9">
        <v>1217.0</v>
      </c>
      <c r="T71" s="6" t="s">
        <v>428</v>
      </c>
      <c r="U71" s="6" t="s">
        <v>429</v>
      </c>
      <c r="V71" s="6">
        <v>60614.0</v>
      </c>
      <c r="W71" s="10">
        <v>50.0</v>
      </c>
      <c r="X71" s="11"/>
      <c r="Y71" s="12">
        <f t="shared" si="4"/>
        <v>-50</v>
      </c>
      <c r="Z71" s="6">
        <f t="shared" si="5"/>
        <v>0</v>
      </c>
      <c r="AA71" s="6">
        <f t="shared" si="6"/>
        <v>0</v>
      </c>
      <c r="AB71" s="6"/>
      <c r="AC71" s="6">
        <f t="shared" si="7"/>
        <v>671.75</v>
      </c>
      <c r="AD71" s="6">
        <f t="shared" si="8"/>
        <v>0</v>
      </c>
      <c r="AE71" s="6"/>
      <c r="AF71">
        <f>sumifs('WL Matrix 2'!T:T,'WL Matrix 2'!B:B,A71,'WL Matrix 2'!C:C,C71,'WL Matrix 2'!M:M,"Regular Season")</f>
        <v>43</v>
      </c>
      <c r="AG71">
        <f t="shared" si="13"/>
        <v>100</v>
      </c>
      <c r="AI71" s="32" t="s">
        <v>116</v>
      </c>
      <c r="AJ71" s="32">
        <f t="shared" si="17"/>
        <v>10</v>
      </c>
      <c r="AK71" s="37">
        <f t="shared" si="10"/>
        <v>0.8812918046</v>
      </c>
      <c r="AL71" s="38">
        <f t="shared" si="11"/>
        <v>0.9909750967</v>
      </c>
      <c r="AM71" s="38">
        <f>sumifs('WL Matrix 2'!T:T,'WL Matrix 2'!B:B,A71,'WL Matrix 2'!C:C,C71,'WL Matrix 2'!M:M,"Regular Season")</f>
        <v>43</v>
      </c>
    </row>
    <row r="72" ht="14.25" customHeight="1">
      <c r="A72" s="6">
        <v>2014.0</v>
      </c>
      <c r="B72" s="7">
        <v>41640.0</v>
      </c>
      <c r="C72" s="6" t="s">
        <v>89</v>
      </c>
      <c r="D72" s="6" t="s">
        <v>544</v>
      </c>
      <c r="E72" s="6" t="str">
        <f t="shared" si="1"/>
        <v>Tom and the High Fives - 2014</v>
      </c>
      <c r="F72" s="6" t="s">
        <v>41</v>
      </c>
      <c r="G72" s="6" t="s">
        <v>254</v>
      </c>
      <c r="H72" s="6" t="s">
        <v>347</v>
      </c>
      <c r="I72" s="6" t="s">
        <v>545</v>
      </c>
      <c r="J72" s="6" t="s">
        <v>9</v>
      </c>
      <c r="K72" s="6"/>
      <c r="L72" s="8">
        <v>6.0</v>
      </c>
      <c r="M72" s="8">
        <v>6.0</v>
      </c>
      <c r="N72" s="6">
        <f t="shared" si="2"/>
        <v>6</v>
      </c>
      <c r="O72" s="6">
        <v>13.0</v>
      </c>
      <c r="P72" s="6">
        <v>7.0</v>
      </c>
      <c r="Q72" s="6">
        <v>6.0</v>
      </c>
      <c r="R72" s="9">
        <v>1245.0</v>
      </c>
      <c r="S72" s="9">
        <v>1178.0</v>
      </c>
      <c r="T72" s="6" t="s">
        <v>546</v>
      </c>
      <c r="U72" s="6" t="s">
        <v>46</v>
      </c>
      <c r="V72" s="6">
        <v>46037.0</v>
      </c>
      <c r="W72" s="10">
        <v>50.0</v>
      </c>
      <c r="X72" s="11"/>
      <c r="Y72" s="12">
        <f t="shared" si="4"/>
        <v>-50</v>
      </c>
      <c r="Z72" s="6">
        <f t="shared" si="5"/>
        <v>0</v>
      </c>
      <c r="AA72" s="6">
        <f t="shared" si="6"/>
        <v>1</v>
      </c>
      <c r="AB72" s="6"/>
      <c r="AC72" s="6">
        <f t="shared" si="7"/>
        <v>1011.25</v>
      </c>
      <c r="AD72" s="6">
        <f t="shared" si="8"/>
        <v>0</v>
      </c>
      <c r="AE72" s="6"/>
      <c r="AF72">
        <f>sumifs('WL Matrix 2'!T:T,'WL Matrix 2'!B:B,A72,'WL Matrix 2'!C:C,C72,'WL Matrix 2'!M:M,"Regular Season")</f>
        <v>76</v>
      </c>
      <c r="AG72">
        <f t="shared" si="13"/>
        <v>67</v>
      </c>
      <c r="AI72" s="32" t="s">
        <v>116</v>
      </c>
      <c r="AJ72" s="32">
        <f t="shared" si="17"/>
        <v>7</v>
      </c>
      <c r="AK72" s="37">
        <f t="shared" si="10"/>
        <v>1.009391257</v>
      </c>
      <c r="AL72" s="38">
        <f t="shared" si="11"/>
        <v>0.9592182941</v>
      </c>
      <c r="AM72" s="38">
        <f>sumifs('WL Matrix 2'!T:T,'WL Matrix 2'!B:B,A72,'WL Matrix 2'!C:C,C72,'WL Matrix 2'!M:M,"Regular Season")</f>
        <v>76</v>
      </c>
    </row>
    <row r="73" ht="14.25" customHeight="1">
      <c r="A73" s="6">
        <v>2014.0</v>
      </c>
      <c r="B73" s="7">
        <v>41640.0</v>
      </c>
      <c r="C73" s="6" t="s">
        <v>92</v>
      </c>
      <c r="D73" s="6" t="s">
        <v>549</v>
      </c>
      <c r="E73" s="6" t="str">
        <f t="shared" si="1"/>
        <v>My Girl Chloe Trestman - 2014</v>
      </c>
      <c r="F73" s="6" t="s">
        <v>200</v>
      </c>
      <c r="G73" s="6" t="s">
        <v>484</v>
      </c>
      <c r="H73" s="6" t="s">
        <v>550</v>
      </c>
      <c r="I73" s="6" t="s">
        <v>137</v>
      </c>
      <c r="J73" s="6" t="s">
        <v>9</v>
      </c>
      <c r="K73" s="6"/>
      <c r="L73" s="8">
        <v>5.0</v>
      </c>
      <c r="M73" s="8">
        <v>2.0</v>
      </c>
      <c r="N73" s="6">
        <f t="shared" si="2"/>
        <v>2</v>
      </c>
      <c r="O73" s="6">
        <v>13.0</v>
      </c>
      <c r="P73" s="6">
        <v>8.0</v>
      </c>
      <c r="Q73" s="6">
        <v>5.0</v>
      </c>
      <c r="R73" s="9">
        <v>1338.0</v>
      </c>
      <c r="S73" s="9">
        <v>1237.0</v>
      </c>
      <c r="T73" s="6" t="s">
        <v>551</v>
      </c>
      <c r="U73" s="6" t="s">
        <v>429</v>
      </c>
      <c r="V73" s="6">
        <v>60004.0</v>
      </c>
      <c r="W73" s="10">
        <v>50.0</v>
      </c>
      <c r="X73" s="11">
        <v>125.0</v>
      </c>
      <c r="Y73" s="12">
        <f t="shared" si="4"/>
        <v>75</v>
      </c>
      <c r="Z73" s="6">
        <f t="shared" si="5"/>
        <v>0</v>
      </c>
      <c r="AA73" s="6">
        <f t="shared" si="6"/>
        <v>1</v>
      </c>
      <c r="AB73" s="6"/>
      <c r="AC73" s="6">
        <f t="shared" si="7"/>
        <v>1134.5</v>
      </c>
      <c r="AD73" s="6">
        <f t="shared" si="8"/>
        <v>0</v>
      </c>
      <c r="AE73" s="6"/>
      <c r="AF73">
        <f>sumifs('WL Matrix 2'!T:T,'WL Matrix 2'!B:B,A73,'WL Matrix 2'!C:C,C73,'WL Matrix 2'!M:M,"Regular Season")</f>
        <v>89</v>
      </c>
      <c r="AG73">
        <f t="shared" si="13"/>
        <v>54</v>
      </c>
      <c r="AI73" s="32" t="s">
        <v>116</v>
      </c>
      <c r="AJ73" s="32">
        <f t="shared" si="17"/>
        <v>5</v>
      </c>
      <c r="AK73" s="37">
        <f t="shared" si="10"/>
        <v>1.084791568</v>
      </c>
      <c r="AL73" s="38">
        <f t="shared" si="11"/>
        <v>1.007260636</v>
      </c>
      <c r="AM73" s="38">
        <f>sumifs('WL Matrix 2'!T:T,'WL Matrix 2'!B:B,A73,'WL Matrix 2'!C:C,C73,'WL Matrix 2'!M:M,"Regular Season")</f>
        <v>89</v>
      </c>
    </row>
    <row r="74" ht="14.25" customHeight="1">
      <c r="A74" s="6">
        <v>2015.0</v>
      </c>
      <c r="B74" s="7">
        <v>42005.0</v>
      </c>
      <c r="C74" s="6" t="s">
        <v>47</v>
      </c>
      <c r="D74" s="6" t="s">
        <v>555</v>
      </c>
      <c r="E74" s="6" t="str">
        <f t="shared" si="1"/>
        <v>Hyde and Seek - 2015</v>
      </c>
      <c r="F74" s="6" t="s">
        <v>269</v>
      </c>
      <c r="G74" s="6" t="s">
        <v>556</v>
      </c>
      <c r="H74" s="6" t="s">
        <v>557</v>
      </c>
      <c r="I74" s="6" t="s">
        <v>242</v>
      </c>
      <c r="J74" s="6" t="s">
        <v>9</v>
      </c>
      <c r="K74" s="6"/>
      <c r="L74" s="8">
        <v>3.0</v>
      </c>
      <c r="M74" s="8">
        <v>5.0</v>
      </c>
      <c r="N74" s="6">
        <f t="shared" si="2"/>
        <v>5</v>
      </c>
      <c r="O74" s="6">
        <v>13.0</v>
      </c>
      <c r="P74" s="6">
        <v>8.0</v>
      </c>
      <c r="Q74" s="6">
        <v>5.0</v>
      </c>
      <c r="R74" s="9">
        <v>1221.0</v>
      </c>
      <c r="S74" s="9">
        <v>1125.8</v>
      </c>
      <c r="T74" s="6" t="s">
        <v>428</v>
      </c>
      <c r="U74" s="6" t="s">
        <v>429</v>
      </c>
      <c r="V74" s="6">
        <v>60614.0</v>
      </c>
      <c r="W74" s="10">
        <v>69.0</v>
      </c>
      <c r="X74" s="11"/>
      <c r="Y74" s="12">
        <f t="shared" si="4"/>
        <v>-69</v>
      </c>
      <c r="Z74" s="6">
        <f t="shared" si="5"/>
        <v>0</v>
      </c>
      <c r="AA74" s="6">
        <f t="shared" si="6"/>
        <v>1</v>
      </c>
      <c r="AB74" s="6"/>
      <c r="AC74" s="6">
        <f t="shared" si="7"/>
        <v>1105.25</v>
      </c>
      <c r="AD74" s="6">
        <f t="shared" si="8"/>
        <v>0</v>
      </c>
      <c r="AE74" s="6"/>
      <c r="AF74">
        <f>sumifs('WL Matrix 2'!T:T,'WL Matrix 2'!B:B,A74,'WL Matrix 2'!C:C,C74,'WL Matrix 2'!M:M,"Regular Season")</f>
        <v>75</v>
      </c>
      <c r="AG74">
        <f t="shared" si="13"/>
        <v>68</v>
      </c>
      <c r="AI74" s="32" t="s">
        <v>116</v>
      </c>
      <c r="AJ74" s="32">
        <f t="shared" ref="AJ74:AJ85" si="18">rank(R74,$R$74:$R$85)</f>
        <v>5</v>
      </c>
      <c r="AK74" s="37">
        <f t="shared" si="10"/>
        <v>1.014821998</v>
      </c>
      <c r="AL74" s="38">
        <f t="shared" si="11"/>
        <v>0.9356909843</v>
      </c>
      <c r="AM74" s="38">
        <f>sumifs('WL Matrix 2'!T:T,'WL Matrix 2'!B:B,A74,'WL Matrix 2'!C:C,C74,'WL Matrix 2'!M:M,"Regular Season")</f>
        <v>75</v>
      </c>
    </row>
    <row r="75" ht="14.25" customHeight="1">
      <c r="A75" s="6">
        <v>2015.0</v>
      </c>
      <c r="B75" s="7">
        <v>42005.0</v>
      </c>
      <c r="C75" s="6" t="s">
        <v>52</v>
      </c>
      <c r="D75" s="6" t="s">
        <v>560</v>
      </c>
      <c r="E75" s="6" t="str">
        <f t="shared" si="1"/>
        <v>Late Nite LeSean - 2015</v>
      </c>
      <c r="F75" s="6" t="s">
        <v>200</v>
      </c>
      <c r="G75" s="6" t="s">
        <v>338</v>
      </c>
      <c r="H75" s="6" t="s">
        <v>347</v>
      </c>
      <c r="I75" s="6" t="s">
        <v>545</v>
      </c>
      <c r="J75" s="6" t="s">
        <v>9</v>
      </c>
      <c r="K75" s="6"/>
      <c r="L75" s="8">
        <v>8.0</v>
      </c>
      <c r="M75" s="8">
        <v>8.0</v>
      </c>
      <c r="N75" s="6">
        <f t="shared" si="2"/>
        <v>8</v>
      </c>
      <c r="O75" s="6">
        <v>13.0</v>
      </c>
      <c r="P75" s="6">
        <v>6.0</v>
      </c>
      <c r="Q75" s="6">
        <v>7.0</v>
      </c>
      <c r="R75" s="9">
        <v>1313.0</v>
      </c>
      <c r="S75" s="9">
        <v>1299.0</v>
      </c>
      <c r="T75" s="6" t="s">
        <v>561</v>
      </c>
      <c r="U75" s="6" t="s">
        <v>562</v>
      </c>
      <c r="V75" s="6">
        <v>37115.0</v>
      </c>
      <c r="W75" s="10">
        <v>69.0</v>
      </c>
      <c r="X75" s="11"/>
      <c r="Y75" s="12">
        <f t="shared" si="4"/>
        <v>-69</v>
      </c>
      <c r="Z75" s="6">
        <f t="shared" si="5"/>
        <v>0</v>
      </c>
      <c r="AA75" s="6">
        <f t="shared" si="6"/>
        <v>0</v>
      </c>
      <c r="AB75" s="6"/>
      <c r="AC75" s="6">
        <f t="shared" si="7"/>
        <v>928.25</v>
      </c>
      <c r="AD75" s="6">
        <f t="shared" si="8"/>
        <v>0</v>
      </c>
      <c r="AE75" s="6"/>
      <c r="AF75">
        <f>sumifs('WL Matrix 2'!T:T,'WL Matrix 2'!B:B,A75,'WL Matrix 2'!C:C,C75,'WL Matrix 2'!M:M,"Regular Season")</f>
        <v>87</v>
      </c>
      <c r="AG75">
        <f t="shared" si="13"/>
        <v>56</v>
      </c>
      <c r="AI75" s="32" t="s">
        <v>116</v>
      </c>
      <c r="AJ75" s="32">
        <f t="shared" si="18"/>
        <v>2</v>
      </c>
      <c r="AK75" s="37">
        <f t="shared" si="10"/>
        <v>1.091286882</v>
      </c>
      <c r="AL75" s="38">
        <f t="shared" si="11"/>
        <v>1.079643443</v>
      </c>
      <c r="AM75" s="38">
        <f>sumifs('WL Matrix 2'!T:T,'WL Matrix 2'!B:B,A75,'WL Matrix 2'!C:C,C75,'WL Matrix 2'!M:M,"Regular Season")</f>
        <v>87</v>
      </c>
    </row>
    <row r="76" ht="14.25" customHeight="1">
      <c r="A76" s="6">
        <v>2015.0</v>
      </c>
      <c r="B76" s="7">
        <v>42005.0</v>
      </c>
      <c r="C76" s="6" t="s">
        <v>57</v>
      </c>
      <c r="D76" s="6" t="s">
        <v>565</v>
      </c>
      <c r="E76" s="6" t="str">
        <f t="shared" si="1"/>
        <v>Super Bowl 4 Stafford's Baby - 2015</v>
      </c>
      <c r="F76" s="6" t="s">
        <v>325</v>
      </c>
      <c r="G76" s="6" t="s">
        <v>566</v>
      </c>
      <c r="H76" s="6" t="s">
        <v>202</v>
      </c>
      <c r="I76" s="6" t="s">
        <v>567</v>
      </c>
      <c r="J76" s="6" t="s">
        <v>9</v>
      </c>
      <c r="K76" s="6"/>
      <c r="L76" s="8">
        <v>11.0</v>
      </c>
      <c r="M76" s="8">
        <v>11.0</v>
      </c>
      <c r="N76" s="6">
        <f t="shared" si="2"/>
        <v>11</v>
      </c>
      <c r="O76" s="6">
        <v>13.0</v>
      </c>
      <c r="P76" s="6">
        <v>4.0</v>
      </c>
      <c r="Q76" s="6">
        <v>9.0</v>
      </c>
      <c r="R76" s="9">
        <v>1003.0</v>
      </c>
      <c r="S76" s="9">
        <v>1210.0</v>
      </c>
      <c r="T76" s="6" t="s">
        <v>428</v>
      </c>
      <c r="U76" s="6" t="s">
        <v>429</v>
      </c>
      <c r="V76" s="6">
        <v>60647.0</v>
      </c>
      <c r="W76" s="10">
        <v>69.0</v>
      </c>
      <c r="X76" s="11"/>
      <c r="Y76" s="12">
        <f t="shared" si="4"/>
        <v>-69</v>
      </c>
      <c r="Z76" s="6">
        <f t="shared" si="5"/>
        <v>0</v>
      </c>
      <c r="AA76" s="6">
        <f t="shared" si="6"/>
        <v>0</v>
      </c>
      <c r="AB76" s="6"/>
      <c r="AC76" s="6">
        <f t="shared" si="7"/>
        <v>650.75</v>
      </c>
      <c r="AD76" s="6">
        <f t="shared" si="8"/>
        <v>0</v>
      </c>
      <c r="AE76" s="6"/>
      <c r="AF76">
        <f>sumifs('WL Matrix 2'!T:T,'WL Matrix 2'!B:B,A76,'WL Matrix 2'!C:C,C76,'WL Matrix 2'!M:M,"Regular Season")</f>
        <v>34</v>
      </c>
      <c r="AG76">
        <f t="shared" si="13"/>
        <v>109</v>
      </c>
      <c r="AI76" s="32" t="s">
        <v>116</v>
      </c>
      <c r="AJ76" s="32">
        <f t="shared" si="18"/>
        <v>12</v>
      </c>
      <c r="AK76" s="37">
        <f t="shared" si="10"/>
        <v>0.8336334672</v>
      </c>
      <c r="AL76" s="38">
        <f t="shared" si="11"/>
        <v>1.005672492</v>
      </c>
      <c r="AM76" s="38">
        <f>sumifs('WL Matrix 2'!T:T,'WL Matrix 2'!B:B,A76,'WL Matrix 2'!C:C,C76,'WL Matrix 2'!M:M,"Regular Season")</f>
        <v>34</v>
      </c>
    </row>
    <row r="77" ht="14.25" customHeight="1">
      <c r="A77" s="6">
        <v>2015.0</v>
      </c>
      <c r="B77" s="7">
        <v>42005.0</v>
      </c>
      <c r="C77" s="6" t="s">
        <v>39</v>
      </c>
      <c r="D77" s="6" t="s">
        <v>40</v>
      </c>
      <c r="E77" s="6" t="str">
        <f t="shared" si="1"/>
        <v>Cutler's Year - 2015</v>
      </c>
      <c r="F77" s="6" t="s">
        <v>133</v>
      </c>
      <c r="G77" s="6" t="s">
        <v>389</v>
      </c>
      <c r="H77" s="6" t="s">
        <v>572</v>
      </c>
      <c r="I77" s="6" t="s">
        <v>333</v>
      </c>
      <c r="J77" s="6" t="s">
        <v>9</v>
      </c>
      <c r="K77" s="6"/>
      <c r="L77" s="8">
        <v>4.0</v>
      </c>
      <c r="M77" s="8">
        <v>2.0</v>
      </c>
      <c r="N77" s="6">
        <f t="shared" si="2"/>
        <v>2</v>
      </c>
      <c r="O77" s="6">
        <v>13.0</v>
      </c>
      <c r="P77" s="6">
        <v>8.0</v>
      </c>
      <c r="Q77" s="6">
        <v>5.0</v>
      </c>
      <c r="R77" s="9">
        <v>1190.0</v>
      </c>
      <c r="S77" s="9">
        <v>1160.0</v>
      </c>
      <c r="T77" s="6" t="s">
        <v>428</v>
      </c>
      <c r="U77" s="6" t="s">
        <v>429</v>
      </c>
      <c r="V77" s="6">
        <v>60618.0</v>
      </c>
      <c r="W77" s="10">
        <v>69.0</v>
      </c>
      <c r="X77" s="11">
        <f>170</f>
        <v>170</v>
      </c>
      <c r="Y77" s="12">
        <f t="shared" si="4"/>
        <v>101</v>
      </c>
      <c r="Z77" s="6">
        <f t="shared" si="5"/>
        <v>0</v>
      </c>
      <c r="AA77" s="6">
        <f t="shared" si="6"/>
        <v>1</v>
      </c>
      <c r="AB77" s="6"/>
      <c r="AC77" s="6">
        <f t="shared" si="7"/>
        <v>1097.5</v>
      </c>
      <c r="AD77" s="6">
        <f t="shared" si="8"/>
        <v>0</v>
      </c>
      <c r="AE77" s="6"/>
      <c r="AF77">
        <f>sumifs('WL Matrix 2'!T:T,'WL Matrix 2'!B:B,A77,'WL Matrix 2'!C:C,C77,'WL Matrix 2'!M:M,"Regular Season")</f>
        <v>70</v>
      </c>
      <c r="AG77">
        <f t="shared" si="13"/>
        <v>73</v>
      </c>
      <c r="AI77" s="32" t="s">
        <v>116</v>
      </c>
      <c r="AJ77" s="32">
        <f t="shared" si="18"/>
        <v>7</v>
      </c>
      <c r="AK77" s="37">
        <f t="shared" si="10"/>
        <v>0.989056656</v>
      </c>
      <c r="AL77" s="38">
        <f t="shared" si="11"/>
        <v>0.964115777</v>
      </c>
      <c r="AM77" s="38">
        <f>sumifs('WL Matrix 2'!T:T,'WL Matrix 2'!B:B,A77,'WL Matrix 2'!C:C,C77,'WL Matrix 2'!M:M,"Regular Season")</f>
        <v>70</v>
      </c>
    </row>
    <row r="78" ht="14.25" customHeight="1">
      <c r="A78" s="6">
        <v>2015.0</v>
      </c>
      <c r="B78" s="7">
        <v>42005.0</v>
      </c>
      <c r="C78" s="6" t="s">
        <v>67</v>
      </c>
      <c r="D78" s="6" t="s">
        <v>575</v>
      </c>
      <c r="E78" s="6" t="str">
        <f t="shared" si="1"/>
        <v>Prater Tots - 2015</v>
      </c>
      <c r="F78" s="6" t="s">
        <v>451</v>
      </c>
      <c r="G78" s="6" t="s">
        <v>576</v>
      </c>
      <c r="H78" s="6" t="s">
        <v>511</v>
      </c>
      <c r="I78" s="6" t="s">
        <v>217</v>
      </c>
      <c r="J78" s="6" t="s">
        <v>9</v>
      </c>
      <c r="K78" s="6"/>
      <c r="L78" s="8">
        <v>10.0</v>
      </c>
      <c r="M78" s="8">
        <v>10.0</v>
      </c>
      <c r="N78" s="6">
        <f t="shared" si="2"/>
        <v>10</v>
      </c>
      <c r="O78" s="6">
        <v>13.0</v>
      </c>
      <c r="P78" s="6">
        <v>5.0</v>
      </c>
      <c r="Q78" s="6">
        <v>8.0</v>
      </c>
      <c r="R78" s="9">
        <v>1208.0</v>
      </c>
      <c r="S78" s="9">
        <v>1265.0</v>
      </c>
      <c r="T78" s="6" t="s">
        <v>428</v>
      </c>
      <c r="U78" s="6" t="s">
        <v>429</v>
      </c>
      <c r="V78" s="6">
        <v>60610.0</v>
      </c>
      <c r="W78" s="10">
        <v>69.0</v>
      </c>
      <c r="X78" s="11"/>
      <c r="Y78" s="12">
        <f t="shared" si="4"/>
        <v>-69</v>
      </c>
      <c r="Z78" s="6">
        <f t="shared" si="5"/>
        <v>0</v>
      </c>
      <c r="AA78" s="6">
        <f t="shared" si="6"/>
        <v>0</v>
      </c>
      <c r="AB78" s="6"/>
      <c r="AC78" s="6">
        <f t="shared" si="7"/>
        <v>802</v>
      </c>
      <c r="AD78" s="6">
        <f t="shared" si="8"/>
        <v>0</v>
      </c>
      <c r="AE78" s="6"/>
      <c r="AF78">
        <f>sumifs('WL Matrix 2'!T:T,'WL Matrix 2'!B:B,A78,'WL Matrix 2'!C:C,C78,'WL Matrix 2'!M:M,"Regular Season")</f>
        <v>71</v>
      </c>
      <c r="AG78">
        <f t="shared" si="13"/>
        <v>72</v>
      </c>
      <c r="AI78" s="32" t="s">
        <v>116</v>
      </c>
      <c r="AJ78" s="32">
        <f t="shared" si="18"/>
        <v>6</v>
      </c>
      <c r="AK78" s="37">
        <f t="shared" si="10"/>
        <v>1.004017177</v>
      </c>
      <c r="AL78" s="38">
        <f t="shared" si="11"/>
        <v>1.051384878</v>
      </c>
      <c r="AM78" s="38">
        <f>sumifs('WL Matrix 2'!T:T,'WL Matrix 2'!B:B,A78,'WL Matrix 2'!C:C,C78,'WL Matrix 2'!M:M,"Regular Season")</f>
        <v>71</v>
      </c>
    </row>
    <row r="79" ht="14.25" customHeight="1">
      <c r="A79" s="6">
        <v>2015.0</v>
      </c>
      <c r="B79" s="7">
        <v>42005.0</v>
      </c>
      <c r="C79" s="6" t="s">
        <v>72</v>
      </c>
      <c r="D79" s="6" t="s">
        <v>579</v>
      </c>
      <c r="E79" s="6" t="str">
        <f t="shared" si="1"/>
        <v>The Chicago White Cochs - 2015</v>
      </c>
      <c r="F79" s="6" t="s">
        <v>434</v>
      </c>
      <c r="G79" s="6" t="s">
        <v>529</v>
      </c>
      <c r="H79" s="6" t="s">
        <v>580</v>
      </c>
      <c r="I79" s="6" t="s">
        <v>581</v>
      </c>
      <c r="J79" s="6" t="s">
        <v>9</v>
      </c>
      <c r="K79" s="6"/>
      <c r="L79" s="8">
        <v>12.0</v>
      </c>
      <c r="M79" s="8">
        <v>12.0</v>
      </c>
      <c r="N79" s="6">
        <f t="shared" si="2"/>
        <v>12</v>
      </c>
      <c r="O79" s="6">
        <v>13.0</v>
      </c>
      <c r="P79" s="6">
        <v>3.0</v>
      </c>
      <c r="Q79" s="6">
        <v>10.0</v>
      </c>
      <c r="R79" s="9">
        <v>1108.0</v>
      </c>
      <c r="S79" s="9">
        <v>1206.0</v>
      </c>
      <c r="T79" s="6" t="s">
        <v>428</v>
      </c>
      <c r="U79" s="6" t="s">
        <v>429</v>
      </c>
      <c r="V79" s="6">
        <v>60614.0</v>
      </c>
      <c r="W79" s="10">
        <v>69.0</v>
      </c>
      <c r="X79" s="11"/>
      <c r="Y79" s="12">
        <f t="shared" si="4"/>
        <v>-69</v>
      </c>
      <c r="Z79" s="6">
        <f t="shared" si="5"/>
        <v>0</v>
      </c>
      <c r="AA79" s="6">
        <f t="shared" si="6"/>
        <v>0</v>
      </c>
      <c r="AB79" s="6"/>
      <c r="AC79" s="6">
        <f t="shared" si="7"/>
        <v>577</v>
      </c>
      <c r="AD79" s="6">
        <f t="shared" si="8"/>
        <v>0</v>
      </c>
      <c r="AE79" s="6"/>
      <c r="AF79">
        <f>sumifs('WL Matrix 2'!T:T,'WL Matrix 2'!B:B,A79,'WL Matrix 2'!C:C,C79,'WL Matrix 2'!M:M,"Regular Season")</f>
        <v>56</v>
      </c>
      <c r="AG79">
        <f t="shared" si="13"/>
        <v>87</v>
      </c>
      <c r="AI79" s="32" t="s">
        <v>116</v>
      </c>
      <c r="AJ79" s="32">
        <f t="shared" si="18"/>
        <v>11</v>
      </c>
      <c r="AK79" s="37">
        <f t="shared" si="10"/>
        <v>0.9209031722</v>
      </c>
      <c r="AL79" s="38">
        <f t="shared" si="11"/>
        <v>1.002347954</v>
      </c>
      <c r="AM79" s="38">
        <f>sumifs('WL Matrix 2'!T:T,'WL Matrix 2'!B:B,A79,'WL Matrix 2'!C:C,C79,'WL Matrix 2'!M:M,"Regular Season")</f>
        <v>56</v>
      </c>
    </row>
    <row r="80" ht="14.25" customHeight="1">
      <c r="A80" s="6">
        <v>2015.0</v>
      </c>
      <c r="B80" s="7">
        <v>42005.0</v>
      </c>
      <c r="C80" s="6" t="s">
        <v>76</v>
      </c>
      <c r="D80" s="6" t="s">
        <v>586</v>
      </c>
      <c r="E80" s="6" t="str">
        <f t="shared" si="1"/>
        <v>Can't KelCe Me - 2015</v>
      </c>
      <c r="F80" s="6" t="s">
        <v>175</v>
      </c>
      <c r="G80" s="6" t="s">
        <v>176</v>
      </c>
      <c r="H80" s="6" t="s">
        <v>413</v>
      </c>
      <c r="I80" s="6" t="s">
        <v>587</v>
      </c>
      <c r="J80" s="6" t="s">
        <v>9</v>
      </c>
      <c r="K80" s="6"/>
      <c r="L80" s="8">
        <v>2.0</v>
      </c>
      <c r="M80" s="8">
        <v>3.0</v>
      </c>
      <c r="N80" s="6">
        <f t="shared" si="2"/>
        <v>3</v>
      </c>
      <c r="O80" s="6">
        <v>13.0</v>
      </c>
      <c r="P80" s="6">
        <v>8.0</v>
      </c>
      <c r="Q80" s="6">
        <v>5.0</v>
      </c>
      <c r="R80" s="9">
        <v>1382.0</v>
      </c>
      <c r="S80" s="9">
        <v>1225.3</v>
      </c>
      <c r="T80" s="6" t="s">
        <v>588</v>
      </c>
      <c r="U80" s="6" t="s">
        <v>589</v>
      </c>
      <c r="V80" s="6">
        <v>90210.0</v>
      </c>
      <c r="W80" s="10">
        <v>69.0</v>
      </c>
      <c r="X80" s="11">
        <f>138+69</f>
        <v>207</v>
      </c>
      <c r="Y80" s="12">
        <f t="shared" si="4"/>
        <v>138</v>
      </c>
      <c r="Z80" s="6">
        <f t="shared" si="5"/>
        <v>0</v>
      </c>
      <c r="AA80" s="6">
        <f t="shared" si="6"/>
        <v>1</v>
      </c>
      <c r="AB80" s="6"/>
      <c r="AC80" s="6">
        <f t="shared" si="7"/>
        <v>1145.5</v>
      </c>
      <c r="AD80" s="6">
        <f t="shared" si="8"/>
        <v>0</v>
      </c>
      <c r="AE80" s="49">
        <v>1.0</v>
      </c>
      <c r="AF80">
        <f>sumifs('WL Matrix 2'!T:T,'WL Matrix 2'!B:B,A80,'WL Matrix 2'!C:C,C80,'WL Matrix 2'!M:M,"Regular Season")</f>
        <v>98</v>
      </c>
      <c r="AG80">
        <f t="shared" si="13"/>
        <v>45</v>
      </c>
      <c r="AI80" s="32" t="s">
        <v>116</v>
      </c>
      <c r="AJ80" s="32">
        <f t="shared" si="18"/>
        <v>1</v>
      </c>
      <c r="AK80" s="37">
        <f t="shared" si="10"/>
        <v>1.148635545</v>
      </c>
      <c r="AL80" s="38">
        <f t="shared" si="11"/>
        <v>1.018388846</v>
      </c>
      <c r="AM80" s="38">
        <f>sumifs('WL Matrix 2'!T:T,'WL Matrix 2'!B:B,A80,'WL Matrix 2'!C:C,C80,'WL Matrix 2'!M:M,"Regular Season")</f>
        <v>98</v>
      </c>
    </row>
    <row r="81" ht="14.25" customHeight="1">
      <c r="A81" s="6">
        <v>2015.0</v>
      </c>
      <c r="B81" s="7">
        <v>42005.0</v>
      </c>
      <c r="C81" s="6" t="s">
        <v>79</v>
      </c>
      <c r="D81" s="6" t="s">
        <v>596</v>
      </c>
      <c r="E81" s="6" t="str">
        <f t="shared" si="1"/>
        <v>Bang Bang Chickn n Shrimp - 2015</v>
      </c>
      <c r="F81" s="6" t="s">
        <v>166</v>
      </c>
      <c r="G81" s="6" t="s">
        <v>506</v>
      </c>
      <c r="H81" s="6" t="s">
        <v>177</v>
      </c>
      <c r="I81" s="6" t="s">
        <v>597</v>
      </c>
      <c r="J81" s="49" t="s">
        <v>123</v>
      </c>
      <c r="K81" s="6"/>
      <c r="L81" s="8">
        <v>5.0</v>
      </c>
      <c r="M81" s="8">
        <v>6.0</v>
      </c>
      <c r="N81" s="6">
        <f t="shared" si="2"/>
        <v>6</v>
      </c>
      <c r="O81" s="6">
        <v>13.0</v>
      </c>
      <c r="P81" s="6">
        <v>7.0</v>
      </c>
      <c r="Q81" s="6">
        <v>6.0</v>
      </c>
      <c r="R81" s="9">
        <v>1235.0</v>
      </c>
      <c r="S81" s="9">
        <v>1245.0</v>
      </c>
      <c r="T81" s="6" t="s">
        <v>600</v>
      </c>
      <c r="U81" s="6" t="s">
        <v>601</v>
      </c>
      <c r="V81" s="6">
        <v>73301.0</v>
      </c>
      <c r="W81" s="10">
        <v>69.0</v>
      </c>
      <c r="X81" s="11"/>
      <c r="Y81" s="12">
        <f t="shared" si="4"/>
        <v>-69</v>
      </c>
      <c r="Z81" s="6">
        <f t="shared" si="5"/>
        <v>0</v>
      </c>
      <c r="AA81" s="6">
        <f t="shared" si="6"/>
        <v>1</v>
      </c>
      <c r="AB81" s="6"/>
      <c r="AC81" s="6">
        <f t="shared" si="7"/>
        <v>1008.75</v>
      </c>
      <c r="AD81" s="6">
        <f t="shared" si="8"/>
        <v>0</v>
      </c>
      <c r="AE81" s="6"/>
      <c r="AF81">
        <f>sumifs('WL Matrix 2'!T:T,'WL Matrix 2'!B:B,A81,'WL Matrix 2'!C:C,C81,'WL Matrix 2'!M:M,"Regular Season")</f>
        <v>80</v>
      </c>
      <c r="AG81">
        <f t="shared" si="13"/>
        <v>63</v>
      </c>
      <c r="AI81" s="32" t="s">
        <v>116</v>
      </c>
      <c r="AJ81" s="32">
        <f t="shared" si="18"/>
        <v>4</v>
      </c>
      <c r="AK81" s="37">
        <f t="shared" si="10"/>
        <v>1.026457958</v>
      </c>
      <c r="AL81" s="38">
        <f t="shared" si="11"/>
        <v>1.034762192</v>
      </c>
      <c r="AM81" s="38">
        <f>sumifs('WL Matrix 2'!T:T,'WL Matrix 2'!B:B,A81,'WL Matrix 2'!C:C,C81,'WL Matrix 2'!M:M,"Regular Season")</f>
        <v>80</v>
      </c>
    </row>
    <row r="82" ht="14.25" customHeight="1">
      <c r="A82" s="6">
        <v>2015.0</v>
      </c>
      <c r="B82" s="7">
        <v>42005.0</v>
      </c>
      <c r="C82" s="6" t="s">
        <v>82</v>
      </c>
      <c r="D82" s="6" t="s">
        <v>604</v>
      </c>
      <c r="E82" s="6" t="str">
        <f t="shared" si="1"/>
        <v>Umphrey's McPhee - 2015</v>
      </c>
      <c r="F82" s="6" t="s">
        <v>41</v>
      </c>
      <c r="G82" s="6" t="s">
        <v>607</v>
      </c>
      <c r="H82" s="6" t="s">
        <v>443</v>
      </c>
      <c r="I82" s="6" t="s">
        <v>233</v>
      </c>
      <c r="J82" s="6" t="s">
        <v>9</v>
      </c>
      <c r="K82" s="6"/>
      <c r="L82" s="8">
        <v>1.0</v>
      </c>
      <c r="M82" s="8">
        <v>4.0</v>
      </c>
      <c r="N82" s="6">
        <f t="shared" si="2"/>
        <v>4</v>
      </c>
      <c r="O82" s="6">
        <v>13.0</v>
      </c>
      <c r="P82" s="6">
        <v>9.0</v>
      </c>
      <c r="Q82" s="6">
        <v>4.0</v>
      </c>
      <c r="R82" s="9">
        <v>1251.0</v>
      </c>
      <c r="S82" s="9">
        <v>1155.0</v>
      </c>
      <c r="T82" s="6" t="s">
        <v>428</v>
      </c>
      <c r="U82" s="6" t="s">
        <v>429</v>
      </c>
      <c r="V82" s="6">
        <v>60610.0</v>
      </c>
      <c r="W82" s="10">
        <v>69.0</v>
      </c>
      <c r="X82" s="11">
        <v>138.0</v>
      </c>
      <c r="Y82" s="12">
        <f t="shared" si="4"/>
        <v>69</v>
      </c>
      <c r="Z82" s="6">
        <f t="shared" si="5"/>
        <v>0</v>
      </c>
      <c r="AA82" s="6">
        <f t="shared" si="6"/>
        <v>1</v>
      </c>
      <c r="AB82" s="6"/>
      <c r="AC82" s="6">
        <f t="shared" si="7"/>
        <v>1212.75</v>
      </c>
      <c r="AD82" s="6">
        <f t="shared" si="8"/>
        <v>1</v>
      </c>
      <c r="AE82" s="6"/>
      <c r="AF82">
        <f>sumifs('WL Matrix 2'!T:T,'WL Matrix 2'!B:B,A82,'WL Matrix 2'!C:C,C82,'WL Matrix 2'!M:M,"Regular Season")</f>
        <v>72</v>
      </c>
      <c r="AG82">
        <f t="shared" si="13"/>
        <v>71</v>
      </c>
      <c r="AI82" s="32" t="s">
        <v>116</v>
      </c>
      <c r="AJ82" s="32">
        <f t="shared" si="18"/>
        <v>3</v>
      </c>
      <c r="AK82" s="37">
        <f t="shared" si="10"/>
        <v>1.039756199</v>
      </c>
      <c r="AL82" s="38">
        <f t="shared" si="11"/>
        <v>0.9599601056</v>
      </c>
      <c r="AM82" s="38">
        <f>sumifs('WL Matrix 2'!T:T,'WL Matrix 2'!B:B,A82,'WL Matrix 2'!C:C,C82,'WL Matrix 2'!M:M,"Regular Season")</f>
        <v>72</v>
      </c>
    </row>
    <row r="83" ht="14.25" customHeight="1">
      <c r="A83" s="6">
        <v>2015.0</v>
      </c>
      <c r="B83" s="7">
        <v>42005.0</v>
      </c>
      <c r="C83" s="6" t="s">
        <v>86</v>
      </c>
      <c r="D83" s="6" t="s">
        <v>612</v>
      </c>
      <c r="E83" s="6" t="str">
        <f t="shared" si="1"/>
        <v>All AmeriKins - 2015</v>
      </c>
      <c r="F83" s="6" t="s">
        <v>286</v>
      </c>
      <c r="G83" s="6" t="s">
        <v>613</v>
      </c>
      <c r="H83" s="6" t="s">
        <v>614</v>
      </c>
      <c r="I83" s="6" t="s">
        <v>615</v>
      </c>
      <c r="J83" s="6" t="s">
        <v>9</v>
      </c>
      <c r="K83" s="6"/>
      <c r="L83" s="8">
        <v>7.0</v>
      </c>
      <c r="M83" s="8">
        <v>7.0</v>
      </c>
      <c r="N83" s="6">
        <f t="shared" si="2"/>
        <v>7</v>
      </c>
      <c r="O83" s="6">
        <v>13.0</v>
      </c>
      <c r="P83" s="6">
        <v>7.0</v>
      </c>
      <c r="Q83" s="6">
        <v>6.0</v>
      </c>
      <c r="R83" s="9">
        <v>1160.0</v>
      </c>
      <c r="S83" s="9">
        <v>1103.0</v>
      </c>
      <c r="T83" s="6" t="s">
        <v>428</v>
      </c>
      <c r="U83" s="6" t="s">
        <v>429</v>
      </c>
      <c r="V83" s="6">
        <v>60657.0</v>
      </c>
      <c r="W83" s="10">
        <v>69.0</v>
      </c>
      <c r="X83" s="11"/>
      <c r="Y83" s="12">
        <f t="shared" si="4"/>
        <v>-69</v>
      </c>
      <c r="Z83" s="6">
        <f t="shared" si="5"/>
        <v>0</v>
      </c>
      <c r="AA83" s="6">
        <f t="shared" si="6"/>
        <v>0</v>
      </c>
      <c r="AB83" s="6"/>
      <c r="AC83" s="6">
        <f t="shared" si="7"/>
        <v>990</v>
      </c>
      <c r="AD83" s="6">
        <f t="shared" si="8"/>
        <v>0</v>
      </c>
      <c r="AE83" s="6"/>
      <c r="AF83">
        <f>sumifs('WL Matrix 2'!T:T,'WL Matrix 2'!B:B,A83,'WL Matrix 2'!C:C,C83,'WL Matrix 2'!M:M,"Regular Season")</f>
        <v>68</v>
      </c>
      <c r="AG83">
        <f t="shared" si="13"/>
        <v>75</v>
      </c>
      <c r="AI83" s="32" t="s">
        <v>116</v>
      </c>
      <c r="AJ83" s="32">
        <f t="shared" si="18"/>
        <v>10</v>
      </c>
      <c r="AK83" s="37">
        <f t="shared" si="10"/>
        <v>0.9641224546</v>
      </c>
      <c r="AL83" s="38">
        <f t="shared" si="11"/>
        <v>0.9167411224</v>
      </c>
      <c r="AM83" s="38">
        <f>sumifs('WL Matrix 2'!T:T,'WL Matrix 2'!B:B,A83,'WL Matrix 2'!C:C,C83,'WL Matrix 2'!M:M,"Regular Season")</f>
        <v>68</v>
      </c>
    </row>
    <row r="84" ht="14.25" customHeight="1">
      <c r="A84" s="6">
        <v>2015.0</v>
      </c>
      <c r="B84" s="7">
        <v>42005.0</v>
      </c>
      <c r="C84" s="6" t="s">
        <v>89</v>
      </c>
      <c r="D84" s="6" t="s">
        <v>620</v>
      </c>
      <c r="E84" s="6" t="str">
        <f t="shared" si="1"/>
        <v>Suburban Kings - 2015</v>
      </c>
      <c r="F84" s="6" t="s">
        <v>304</v>
      </c>
      <c r="G84" s="6" t="s">
        <v>208</v>
      </c>
      <c r="H84" s="6" t="s">
        <v>371</v>
      </c>
      <c r="I84" s="6" t="s">
        <v>137</v>
      </c>
      <c r="J84" s="6" t="s">
        <v>9</v>
      </c>
      <c r="K84" s="6"/>
      <c r="L84" s="8">
        <v>6.0</v>
      </c>
      <c r="M84" s="8">
        <v>1.0</v>
      </c>
      <c r="N84" s="6">
        <f t="shared" si="2"/>
        <v>1</v>
      </c>
      <c r="O84" s="6">
        <v>13.0</v>
      </c>
      <c r="P84" s="6">
        <v>7.0</v>
      </c>
      <c r="Q84" s="6">
        <v>6.0</v>
      </c>
      <c r="R84" s="9">
        <v>1180.0</v>
      </c>
      <c r="S84" s="9">
        <v>1162.0</v>
      </c>
      <c r="T84" s="6" t="s">
        <v>546</v>
      </c>
      <c r="U84" s="6" t="s">
        <v>46</v>
      </c>
      <c r="V84" s="6">
        <v>46037.0</v>
      </c>
      <c r="W84" s="10">
        <v>69.0</v>
      </c>
      <c r="X84" s="11">
        <f>310</f>
        <v>310</v>
      </c>
      <c r="Y84" s="12">
        <f t="shared" si="4"/>
        <v>241</v>
      </c>
      <c r="Z84" s="6">
        <f t="shared" si="5"/>
        <v>1</v>
      </c>
      <c r="AA84" s="6">
        <f t="shared" si="6"/>
        <v>1</v>
      </c>
      <c r="AB84" s="6"/>
      <c r="AC84" s="6">
        <f t="shared" si="7"/>
        <v>995</v>
      </c>
      <c r="AD84" s="6">
        <f t="shared" si="8"/>
        <v>0</v>
      </c>
      <c r="AE84" s="6"/>
      <c r="AF84">
        <f>sumifs('WL Matrix 2'!T:T,'WL Matrix 2'!B:B,A84,'WL Matrix 2'!C:C,C84,'WL Matrix 2'!M:M,"Regular Season")</f>
        <v>75</v>
      </c>
      <c r="AG84">
        <f t="shared" si="13"/>
        <v>68</v>
      </c>
      <c r="AI84" s="32" t="s">
        <v>116</v>
      </c>
      <c r="AJ84" s="32">
        <f t="shared" si="18"/>
        <v>9</v>
      </c>
      <c r="AK84" s="37">
        <f t="shared" si="10"/>
        <v>0.9807452556</v>
      </c>
      <c r="AL84" s="38">
        <f t="shared" si="11"/>
        <v>0.9657780456</v>
      </c>
      <c r="AM84" s="38">
        <f>sumifs('WL Matrix 2'!T:T,'WL Matrix 2'!B:B,A84,'WL Matrix 2'!C:C,C84,'WL Matrix 2'!M:M,"Regular Season")</f>
        <v>75</v>
      </c>
    </row>
    <row r="85" ht="14.25" customHeight="1">
      <c r="A85" s="6">
        <v>2015.0</v>
      </c>
      <c r="B85" s="7">
        <v>42005.0</v>
      </c>
      <c r="C85" s="6" t="s">
        <v>92</v>
      </c>
      <c r="D85" s="6" t="s">
        <v>623</v>
      </c>
      <c r="E85" s="6" t="str">
        <f t="shared" si="1"/>
        <v>Gary Biebnidge - 2015</v>
      </c>
      <c r="F85" s="6" t="s">
        <v>183</v>
      </c>
      <c r="G85" s="6" t="s">
        <v>381</v>
      </c>
      <c r="H85" s="6" t="s">
        <v>624</v>
      </c>
      <c r="I85" s="6" t="s">
        <v>625</v>
      </c>
      <c r="J85" s="6" t="s">
        <v>9</v>
      </c>
      <c r="K85" s="6"/>
      <c r="L85" s="8">
        <v>9.0</v>
      </c>
      <c r="M85" s="8">
        <v>9.0</v>
      </c>
      <c r="N85" s="6">
        <f t="shared" si="2"/>
        <v>9</v>
      </c>
      <c r="O85" s="6">
        <v>13.0</v>
      </c>
      <c r="P85" s="6">
        <v>6.0</v>
      </c>
      <c r="Q85" s="6">
        <v>7.0</v>
      </c>
      <c r="R85" s="9">
        <v>1187.0</v>
      </c>
      <c r="S85" s="9">
        <v>1282.0</v>
      </c>
      <c r="T85" s="6" t="s">
        <v>428</v>
      </c>
      <c r="U85" s="6" t="s">
        <v>429</v>
      </c>
      <c r="V85" s="6">
        <v>60657.0</v>
      </c>
      <c r="W85" s="10">
        <v>69.0</v>
      </c>
      <c r="X85" s="11"/>
      <c r="Y85" s="12">
        <f t="shared" si="4"/>
        <v>-69</v>
      </c>
      <c r="Z85" s="6">
        <f t="shared" si="5"/>
        <v>0</v>
      </c>
      <c r="AA85" s="6">
        <f t="shared" si="6"/>
        <v>0</v>
      </c>
      <c r="AB85" s="6"/>
      <c r="AC85" s="6">
        <f t="shared" si="7"/>
        <v>896.75</v>
      </c>
      <c r="AD85" s="6">
        <f t="shared" si="8"/>
        <v>0</v>
      </c>
      <c r="AE85" s="6"/>
      <c r="AF85">
        <f>sumifs('WL Matrix 2'!T:T,'WL Matrix 2'!B:B,A85,'WL Matrix 2'!C:C,C85,'WL Matrix 2'!M:M,"Regular Season")</f>
        <v>73</v>
      </c>
      <c r="AG85">
        <f t="shared" si="13"/>
        <v>70</v>
      </c>
      <c r="AI85" s="32" t="s">
        <v>116</v>
      </c>
      <c r="AJ85" s="32">
        <f t="shared" si="18"/>
        <v>8</v>
      </c>
      <c r="AK85" s="37">
        <f t="shared" si="10"/>
        <v>0.9865632359</v>
      </c>
      <c r="AL85" s="38">
        <f t="shared" si="11"/>
        <v>1.06551416</v>
      </c>
      <c r="AM85" s="38">
        <f>sumifs('WL Matrix 2'!T:T,'WL Matrix 2'!B:B,A85,'WL Matrix 2'!C:C,C85,'WL Matrix 2'!M:M,"Regular Season")</f>
        <v>73</v>
      </c>
    </row>
    <row r="86" ht="14.25" customHeight="1">
      <c r="A86" s="6">
        <v>2016.0</v>
      </c>
      <c r="B86" s="7">
        <v>42370.0</v>
      </c>
      <c r="C86" s="6" t="s">
        <v>47</v>
      </c>
      <c r="D86" s="6" t="s">
        <v>629</v>
      </c>
      <c r="E86" s="6" t="str">
        <f t="shared" si="1"/>
        <v>Julio Get the Catch - 2016</v>
      </c>
      <c r="F86" s="6" t="s">
        <v>175</v>
      </c>
      <c r="G86" s="6" t="s">
        <v>484</v>
      </c>
      <c r="H86" s="6" t="s">
        <v>347</v>
      </c>
      <c r="I86" s="6" t="s">
        <v>242</v>
      </c>
      <c r="J86" s="6" t="s">
        <v>9</v>
      </c>
      <c r="K86" s="6"/>
      <c r="L86" s="8">
        <v>5.0</v>
      </c>
      <c r="M86" s="8">
        <v>5.0</v>
      </c>
      <c r="N86" s="6">
        <f t="shared" si="2"/>
        <v>5</v>
      </c>
      <c r="O86" s="6">
        <v>13.0</v>
      </c>
      <c r="P86" s="6">
        <v>7.0</v>
      </c>
      <c r="Q86" s="6">
        <v>6.0</v>
      </c>
      <c r="R86" s="9">
        <v>1338.5000000000002</v>
      </c>
      <c r="S86" s="9">
        <v>1243.2</v>
      </c>
      <c r="T86" s="6" t="s">
        <v>630</v>
      </c>
      <c r="U86" s="6" t="s">
        <v>630</v>
      </c>
      <c r="V86" s="6">
        <v>10023.0</v>
      </c>
      <c r="W86" s="10">
        <v>69.0</v>
      </c>
      <c r="X86" s="11"/>
      <c r="Y86" s="12">
        <f t="shared" si="4"/>
        <v>-69</v>
      </c>
      <c r="Z86" s="6">
        <v>0.0</v>
      </c>
      <c r="AA86" s="6">
        <f t="shared" si="6"/>
        <v>1</v>
      </c>
      <c r="AB86" s="6"/>
      <c r="AC86" s="6">
        <f t="shared" si="7"/>
        <v>1034.625</v>
      </c>
      <c r="AD86" s="6">
        <f t="shared" si="8"/>
        <v>0</v>
      </c>
      <c r="AE86" s="6"/>
      <c r="AF86">
        <f>sumifs('WL Matrix 2'!T:T,'WL Matrix 2'!B:B,A86,'WL Matrix 2'!C:C,C86,'WL Matrix 2'!M:M,"Regular Season")</f>
        <v>91</v>
      </c>
      <c r="AG86">
        <f t="shared" si="13"/>
        <v>52</v>
      </c>
      <c r="AI86" s="32" t="s">
        <v>116</v>
      </c>
      <c r="AJ86" s="32">
        <f t="shared" ref="AJ86:AJ97" si="19">rank(R86,$R$86:$R$97)</f>
        <v>3</v>
      </c>
      <c r="AK86" s="37">
        <f t="shared" si="10"/>
        <v>1.093136421</v>
      </c>
      <c r="AL86" s="38">
        <f t="shared" si="11"/>
        <v>1.015306088</v>
      </c>
      <c r="AM86" s="38">
        <f>sumifs('WL Matrix 2'!T:T,'WL Matrix 2'!B:B,A86,'WL Matrix 2'!C:C,C86,'WL Matrix 2'!M:M,"Regular Season")</f>
        <v>91</v>
      </c>
    </row>
    <row r="87" ht="14.25" customHeight="1">
      <c r="A87" s="6">
        <v>2016.0</v>
      </c>
      <c r="B87" s="7">
        <v>42370.0</v>
      </c>
      <c r="C87" s="6" t="s">
        <v>52</v>
      </c>
      <c r="D87" s="6" t="s">
        <v>633</v>
      </c>
      <c r="E87" s="6" t="str">
        <f t="shared" si="1"/>
        <v>Keenan Allen Memorial Team - 2016</v>
      </c>
      <c r="F87" s="6" t="s">
        <v>245</v>
      </c>
      <c r="G87" s="6" t="s">
        <v>634</v>
      </c>
      <c r="H87" s="6" t="s">
        <v>202</v>
      </c>
      <c r="I87" s="6" t="s">
        <v>597</v>
      </c>
      <c r="J87" s="6" t="s">
        <v>9</v>
      </c>
      <c r="K87" s="6"/>
      <c r="L87" s="8">
        <v>12.0</v>
      </c>
      <c r="M87" s="8">
        <v>12.0</v>
      </c>
      <c r="N87" s="6">
        <f t="shared" si="2"/>
        <v>12</v>
      </c>
      <c r="O87" s="6">
        <v>13.0</v>
      </c>
      <c r="P87" s="6">
        <v>3.0</v>
      </c>
      <c r="Q87" s="6">
        <v>10.0</v>
      </c>
      <c r="R87" s="9">
        <v>1007.9</v>
      </c>
      <c r="S87" s="9">
        <v>1181.0</v>
      </c>
      <c r="T87" s="6" t="s">
        <v>561</v>
      </c>
      <c r="U87" s="6" t="s">
        <v>562</v>
      </c>
      <c r="V87" s="6">
        <v>37115.0</v>
      </c>
      <c r="W87" s="10">
        <v>69.0</v>
      </c>
      <c r="X87" s="11"/>
      <c r="Y87" s="12">
        <f t="shared" si="4"/>
        <v>-69</v>
      </c>
      <c r="Z87" s="6">
        <v>0.0</v>
      </c>
      <c r="AA87" s="6">
        <f t="shared" si="6"/>
        <v>0</v>
      </c>
      <c r="AB87" s="6"/>
      <c r="AC87" s="6">
        <f t="shared" si="7"/>
        <v>551.975</v>
      </c>
      <c r="AD87" s="6">
        <f t="shared" si="8"/>
        <v>0</v>
      </c>
      <c r="AE87" s="6"/>
      <c r="AF87">
        <f>sumifs('WL Matrix 2'!T:T,'WL Matrix 2'!B:B,A87,'WL Matrix 2'!C:C,C87,'WL Matrix 2'!M:M,"Regular Season")</f>
        <v>32</v>
      </c>
      <c r="AG87">
        <f t="shared" si="13"/>
        <v>111</v>
      </c>
      <c r="AI87" s="32" t="s">
        <v>116</v>
      </c>
      <c r="AJ87" s="32">
        <f t="shared" si="19"/>
        <v>12</v>
      </c>
      <c r="AK87" s="37">
        <f t="shared" si="10"/>
        <v>0.8231394834</v>
      </c>
      <c r="AL87" s="38">
        <f t="shared" si="11"/>
        <v>0.9645081158</v>
      </c>
      <c r="AM87" s="38">
        <f>sumifs('WL Matrix 2'!T:T,'WL Matrix 2'!B:B,A87,'WL Matrix 2'!C:C,C87,'WL Matrix 2'!M:M,"Regular Season")</f>
        <v>32</v>
      </c>
    </row>
    <row r="88" ht="14.25" customHeight="1">
      <c r="A88" s="6">
        <v>2016.0</v>
      </c>
      <c r="B88" s="7">
        <v>42370.0</v>
      </c>
      <c r="C88" s="6" t="s">
        <v>57</v>
      </c>
      <c r="D88" s="6" t="s">
        <v>638</v>
      </c>
      <c r="E88" s="6" t="str">
        <f t="shared" si="1"/>
        <v>Rob "Ryan Chip" Kelley - 2016</v>
      </c>
      <c r="F88" s="6" t="s">
        <v>434</v>
      </c>
      <c r="G88" s="6" t="s">
        <v>640</v>
      </c>
      <c r="H88" s="6" t="s">
        <v>624</v>
      </c>
      <c r="I88" s="6" t="s">
        <v>641</v>
      </c>
      <c r="J88" s="6" t="s">
        <v>9</v>
      </c>
      <c r="K88" s="6"/>
      <c r="L88" s="8">
        <v>11.0</v>
      </c>
      <c r="M88" s="8">
        <v>11.0</v>
      </c>
      <c r="N88" s="6">
        <f t="shared" si="2"/>
        <v>11</v>
      </c>
      <c r="O88" s="6">
        <v>13.0</v>
      </c>
      <c r="P88" s="6">
        <v>5.0</v>
      </c>
      <c r="Q88" s="6">
        <v>8.0</v>
      </c>
      <c r="R88" s="9">
        <v>1138.1000000000001</v>
      </c>
      <c r="S88" s="9">
        <v>1251.1000000000001</v>
      </c>
      <c r="T88" s="6" t="s">
        <v>428</v>
      </c>
      <c r="U88" s="6" t="s">
        <v>429</v>
      </c>
      <c r="V88" s="6">
        <v>60647.0</v>
      </c>
      <c r="W88" s="10">
        <v>69.0</v>
      </c>
      <c r="X88" s="11"/>
      <c r="Y88" s="12">
        <f t="shared" si="4"/>
        <v>-69</v>
      </c>
      <c r="Z88" s="6">
        <v>0.0</v>
      </c>
      <c r="AA88" s="6">
        <f t="shared" si="6"/>
        <v>0</v>
      </c>
      <c r="AB88" s="6"/>
      <c r="AC88" s="6">
        <f t="shared" si="7"/>
        <v>784.525</v>
      </c>
      <c r="AD88" s="6">
        <f t="shared" si="8"/>
        <v>0</v>
      </c>
      <c r="AE88" s="6"/>
      <c r="AF88">
        <f>sumifs('WL Matrix 2'!T:T,'WL Matrix 2'!B:B,A88,'WL Matrix 2'!C:C,C88,'WL Matrix 2'!M:M,"Regular Season")</f>
        <v>62</v>
      </c>
      <c r="AG88">
        <f t="shared" si="13"/>
        <v>81</v>
      </c>
      <c r="AI88" s="32" t="s">
        <v>116</v>
      </c>
      <c r="AJ88" s="32">
        <f t="shared" si="19"/>
        <v>9</v>
      </c>
      <c r="AK88" s="37">
        <f t="shared" si="10"/>
        <v>0.9294722156</v>
      </c>
      <c r="AL88" s="38">
        <f t="shared" si="11"/>
        <v>1.02175792</v>
      </c>
      <c r="AM88" s="38">
        <f>sumifs('WL Matrix 2'!T:T,'WL Matrix 2'!B:B,A88,'WL Matrix 2'!C:C,C88,'WL Matrix 2'!M:M,"Regular Season")</f>
        <v>62</v>
      </c>
    </row>
    <row r="89" ht="14.25" customHeight="1">
      <c r="A89" s="6">
        <v>2016.0</v>
      </c>
      <c r="B89" s="7">
        <v>42370.0</v>
      </c>
      <c r="C89" s="6" t="s">
        <v>39</v>
      </c>
      <c r="D89" s="6" t="s">
        <v>40</v>
      </c>
      <c r="E89" s="6" t="str">
        <f t="shared" si="1"/>
        <v>Cutler's Year - 2016</v>
      </c>
      <c r="F89" s="6" t="s">
        <v>166</v>
      </c>
      <c r="G89" s="6" t="s">
        <v>208</v>
      </c>
      <c r="H89" s="6" t="s">
        <v>550</v>
      </c>
      <c r="I89" s="6" t="s">
        <v>467</v>
      </c>
      <c r="J89" s="6" t="s">
        <v>9</v>
      </c>
      <c r="K89" s="6"/>
      <c r="L89" s="8">
        <v>7.0</v>
      </c>
      <c r="M89" s="8">
        <v>7.0</v>
      </c>
      <c r="N89" s="6">
        <f t="shared" si="2"/>
        <v>7</v>
      </c>
      <c r="O89" s="6">
        <v>13.0</v>
      </c>
      <c r="P89" s="6">
        <v>7.0</v>
      </c>
      <c r="Q89" s="6">
        <v>6.0</v>
      </c>
      <c r="R89" s="9">
        <v>1137.7</v>
      </c>
      <c r="S89" s="9">
        <v>1219.4999999999998</v>
      </c>
      <c r="T89" s="6" t="s">
        <v>644</v>
      </c>
      <c r="U89" s="6" t="s">
        <v>589</v>
      </c>
      <c r="V89" s="6">
        <v>94101.0</v>
      </c>
      <c r="W89" s="10">
        <v>69.0</v>
      </c>
      <c r="X89" s="11"/>
      <c r="Y89" s="12">
        <f t="shared" si="4"/>
        <v>-69</v>
      </c>
      <c r="Z89" s="6">
        <v>0.0</v>
      </c>
      <c r="AA89" s="6">
        <f t="shared" si="6"/>
        <v>0</v>
      </c>
      <c r="AB89" s="6"/>
      <c r="AC89" s="6">
        <f t="shared" si="7"/>
        <v>984.425</v>
      </c>
      <c r="AD89" s="6">
        <f t="shared" si="8"/>
        <v>0</v>
      </c>
      <c r="AE89" s="6"/>
      <c r="AF89">
        <f>sumifs('WL Matrix 2'!T:T,'WL Matrix 2'!B:B,A89,'WL Matrix 2'!C:C,C89,'WL Matrix 2'!M:M,"Regular Season")</f>
        <v>68</v>
      </c>
      <c r="AG89">
        <f t="shared" si="13"/>
        <v>75</v>
      </c>
      <c r="AI89" s="32" t="s">
        <v>116</v>
      </c>
      <c r="AJ89" s="32">
        <f t="shared" si="19"/>
        <v>10</v>
      </c>
      <c r="AK89" s="37">
        <f t="shared" si="10"/>
        <v>0.9291455405</v>
      </c>
      <c r="AL89" s="38">
        <f t="shared" si="11"/>
        <v>0.9959505904</v>
      </c>
      <c r="AM89" s="38">
        <f>sumifs('WL Matrix 2'!T:T,'WL Matrix 2'!B:B,A89,'WL Matrix 2'!C:C,C89,'WL Matrix 2'!M:M,"Regular Season")</f>
        <v>68</v>
      </c>
    </row>
    <row r="90" ht="14.25" customHeight="1">
      <c r="A90" s="6">
        <v>2016.0</v>
      </c>
      <c r="B90" s="7">
        <v>42370.0</v>
      </c>
      <c r="C90" s="6" t="s">
        <v>67</v>
      </c>
      <c r="D90" s="6" t="s">
        <v>647</v>
      </c>
      <c r="E90" s="6" t="str">
        <f t="shared" si="1"/>
        <v>Wain Newton - 2016</v>
      </c>
      <c r="F90" s="6" t="s">
        <v>304</v>
      </c>
      <c r="G90" s="6" t="s">
        <v>648</v>
      </c>
      <c r="H90" s="6" t="s">
        <v>649</v>
      </c>
      <c r="I90" s="6" t="s">
        <v>438</v>
      </c>
      <c r="J90" s="6" t="s">
        <v>9</v>
      </c>
      <c r="K90" s="6"/>
      <c r="L90" s="8">
        <v>9.0</v>
      </c>
      <c r="M90" s="8">
        <v>9.0</v>
      </c>
      <c r="N90" s="6">
        <f t="shared" si="2"/>
        <v>9</v>
      </c>
      <c r="O90" s="6">
        <v>13.0</v>
      </c>
      <c r="P90" s="6">
        <v>6.0</v>
      </c>
      <c r="Q90" s="6">
        <v>7.0</v>
      </c>
      <c r="R90" s="9">
        <v>1388.1</v>
      </c>
      <c r="S90" s="9">
        <v>1204.3</v>
      </c>
      <c r="T90" s="6" t="s">
        <v>428</v>
      </c>
      <c r="U90" s="6" t="s">
        <v>429</v>
      </c>
      <c r="V90" s="6">
        <v>60610.0</v>
      </c>
      <c r="W90" s="10">
        <v>69.0</v>
      </c>
      <c r="X90" s="11"/>
      <c r="Y90" s="12">
        <f t="shared" si="4"/>
        <v>-69</v>
      </c>
      <c r="Z90" s="6">
        <v>0.0</v>
      </c>
      <c r="AA90" s="6">
        <f t="shared" si="6"/>
        <v>0</v>
      </c>
      <c r="AB90" s="6"/>
      <c r="AC90" s="6">
        <f t="shared" si="7"/>
        <v>947.025</v>
      </c>
      <c r="AD90" s="6">
        <f t="shared" si="8"/>
        <v>0</v>
      </c>
      <c r="AE90" s="6"/>
      <c r="AF90">
        <f>sumifs('WL Matrix 2'!T:T,'WL Matrix 2'!B:B,A90,'WL Matrix 2'!C:C,C90,'WL Matrix 2'!M:M,"Regular Season")</f>
        <v>91</v>
      </c>
      <c r="AG90">
        <f t="shared" si="13"/>
        <v>52</v>
      </c>
      <c r="AI90" s="32" t="s">
        <v>116</v>
      </c>
      <c r="AJ90" s="32">
        <f t="shared" si="19"/>
        <v>2</v>
      </c>
      <c r="AK90" s="37">
        <f t="shared" si="10"/>
        <v>1.133644128</v>
      </c>
      <c r="AL90" s="38">
        <f t="shared" si="11"/>
        <v>0.9835369381</v>
      </c>
      <c r="AM90" s="38">
        <f>sumifs('WL Matrix 2'!T:T,'WL Matrix 2'!B:B,A90,'WL Matrix 2'!C:C,C90,'WL Matrix 2'!M:M,"Regular Season")</f>
        <v>91</v>
      </c>
    </row>
    <row r="91" ht="14.25" customHeight="1">
      <c r="A91" s="6">
        <v>2016.0</v>
      </c>
      <c r="B91" s="7">
        <v>42370.0</v>
      </c>
      <c r="C91" s="6" t="s">
        <v>72</v>
      </c>
      <c r="D91" s="6" t="s">
        <v>654</v>
      </c>
      <c r="E91" s="6" t="str">
        <f t="shared" si="1"/>
        <v>J. Cash and The CochSlappers - 2016</v>
      </c>
      <c r="F91" s="6" t="s">
        <v>183</v>
      </c>
      <c r="G91" s="6" t="s">
        <v>184</v>
      </c>
      <c r="H91" s="6" t="s">
        <v>655</v>
      </c>
      <c r="I91" s="6" t="s">
        <v>333</v>
      </c>
      <c r="J91" s="6" t="s">
        <v>9</v>
      </c>
      <c r="K91" s="6"/>
      <c r="L91" s="8">
        <v>8.0</v>
      </c>
      <c r="M91" s="8">
        <v>8.0</v>
      </c>
      <c r="N91" s="6">
        <f t="shared" si="2"/>
        <v>8</v>
      </c>
      <c r="O91" s="6">
        <v>13.0</v>
      </c>
      <c r="P91" s="6">
        <v>7.0</v>
      </c>
      <c r="Q91" s="6">
        <v>7.0</v>
      </c>
      <c r="R91" s="9">
        <v>1102.7</v>
      </c>
      <c r="S91" s="9">
        <v>1264.8000000000002</v>
      </c>
      <c r="T91" s="6" t="s">
        <v>428</v>
      </c>
      <c r="U91" s="6" t="s">
        <v>429</v>
      </c>
      <c r="V91" s="6">
        <v>60614.0</v>
      </c>
      <c r="W91" s="10">
        <v>69.0</v>
      </c>
      <c r="X91" s="11"/>
      <c r="Y91" s="12">
        <f t="shared" si="4"/>
        <v>-69</v>
      </c>
      <c r="Z91" s="6">
        <v>0.0</v>
      </c>
      <c r="AA91" s="6">
        <f t="shared" si="6"/>
        <v>0</v>
      </c>
      <c r="AB91" s="6"/>
      <c r="AC91" s="6">
        <f t="shared" si="7"/>
        <v>975.675</v>
      </c>
      <c r="AD91" s="6">
        <f t="shared" si="8"/>
        <v>0</v>
      </c>
      <c r="AE91" s="6"/>
      <c r="AF91">
        <f>sumifs('WL Matrix 2'!T:T,'WL Matrix 2'!B:B,A91,'WL Matrix 2'!C:C,C91,'WL Matrix 2'!M:M,"Regular Season")</f>
        <v>52</v>
      </c>
      <c r="AG91">
        <f t="shared" si="13"/>
        <v>91</v>
      </c>
      <c r="AI91" s="32" t="s">
        <v>116</v>
      </c>
      <c r="AJ91" s="32">
        <f t="shared" si="19"/>
        <v>11</v>
      </c>
      <c r="AK91" s="37">
        <f t="shared" si="10"/>
        <v>0.9005614728</v>
      </c>
      <c r="AL91" s="38">
        <f t="shared" si="11"/>
        <v>1.032946541</v>
      </c>
      <c r="AM91" s="38">
        <f>sumifs('WL Matrix 2'!T:T,'WL Matrix 2'!B:B,A91,'WL Matrix 2'!C:C,C91,'WL Matrix 2'!M:M,"Regular Season")</f>
        <v>52</v>
      </c>
    </row>
    <row r="92" ht="14.25" customHeight="1">
      <c r="A92" s="6">
        <v>2016.0</v>
      </c>
      <c r="B92" s="7">
        <v>42370.0</v>
      </c>
      <c r="C92" s="6" t="s">
        <v>76</v>
      </c>
      <c r="D92" s="6" t="s">
        <v>658</v>
      </c>
      <c r="E92" s="6" t="str">
        <f t="shared" si="1"/>
        <v>Last Manning Standing - 2016</v>
      </c>
      <c r="F92" s="6" t="s">
        <v>269</v>
      </c>
      <c r="G92" s="6" t="s">
        <v>556</v>
      </c>
      <c r="H92" s="6" t="s">
        <v>443</v>
      </c>
      <c r="I92" s="6" t="s">
        <v>480</v>
      </c>
      <c r="J92" s="6" t="s">
        <v>9</v>
      </c>
      <c r="K92" s="6"/>
      <c r="L92" s="8">
        <v>6.0</v>
      </c>
      <c r="M92" s="8">
        <v>4.0</v>
      </c>
      <c r="N92" s="6">
        <v>3.0</v>
      </c>
      <c r="O92" s="6">
        <v>13.0</v>
      </c>
      <c r="P92" s="6">
        <v>7.0</v>
      </c>
      <c r="Q92" s="6">
        <v>6.0</v>
      </c>
      <c r="R92" s="9">
        <v>1170.3000000000002</v>
      </c>
      <c r="S92" s="9">
        <v>1139.2</v>
      </c>
      <c r="T92" s="6" t="s">
        <v>588</v>
      </c>
      <c r="U92" s="6" t="s">
        <v>589</v>
      </c>
      <c r="V92" s="6">
        <v>90026.0</v>
      </c>
      <c r="W92" s="10">
        <v>69.0</v>
      </c>
      <c r="X92" s="11">
        <v>69.0</v>
      </c>
      <c r="Y92" s="12">
        <f t="shared" si="4"/>
        <v>0</v>
      </c>
      <c r="Z92" s="6">
        <v>0.0</v>
      </c>
      <c r="AA92" s="6">
        <f t="shared" si="6"/>
        <v>1</v>
      </c>
      <c r="AB92" s="6"/>
      <c r="AC92" s="6">
        <f t="shared" si="7"/>
        <v>992.575</v>
      </c>
      <c r="AD92" s="6">
        <f t="shared" si="8"/>
        <v>0</v>
      </c>
      <c r="AE92" s="6"/>
      <c r="AF92">
        <f>sumifs('WL Matrix 2'!T:T,'WL Matrix 2'!B:B,A92,'WL Matrix 2'!C:C,C92,'WL Matrix 2'!M:M,"Regular Season")</f>
        <v>63</v>
      </c>
      <c r="AG92">
        <f t="shared" si="13"/>
        <v>80</v>
      </c>
      <c r="AI92" s="32" t="s">
        <v>116</v>
      </c>
      <c r="AJ92" s="32">
        <f t="shared" si="19"/>
        <v>8</v>
      </c>
      <c r="AK92" s="37">
        <f t="shared" si="10"/>
        <v>0.955769558</v>
      </c>
      <c r="AL92" s="38">
        <f t="shared" si="11"/>
        <v>0.930370572</v>
      </c>
      <c r="AM92" s="38">
        <f>sumifs('WL Matrix 2'!T:T,'WL Matrix 2'!B:B,A92,'WL Matrix 2'!C:C,C92,'WL Matrix 2'!M:M,"Regular Season")</f>
        <v>63</v>
      </c>
    </row>
    <row r="93" ht="14.25" customHeight="1">
      <c r="A93" s="6">
        <v>2016.0</v>
      </c>
      <c r="B93" s="7">
        <v>42370.0</v>
      </c>
      <c r="C93" s="6" t="s">
        <v>79</v>
      </c>
      <c r="D93" s="6" t="s">
        <v>661</v>
      </c>
      <c r="E93" s="6" t="str">
        <f t="shared" si="1"/>
        <v>Dak to Dak Jacks - 2016</v>
      </c>
      <c r="F93" s="6" t="s">
        <v>662</v>
      </c>
      <c r="G93" s="6" t="s">
        <v>529</v>
      </c>
      <c r="H93" s="6" t="s">
        <v>407</v>
      </c>
      <c r="I93" s="6" t="s">
        <v>545</v>
      </c>
      <c r="J93" s="49" t="s">
        <v>123</v>
      </c>
      <c r="K93" s="6"/>
      <c r="L93" s="8">
        <v>3.0</v>
      </c>
      <c r="M93" s="8">
        <v>6.0</v>
      </c>
      <c r="N93" s="6">
        <f t="shared" ref="N93:N95" si="20">M93</f>
        <v>6</v>
      </c>
      <c r="O93" s="6">
        <v>13.0</v>
      </c>
      <c r="P93" s="6">
        <v>8.0</v>
      </c>
      <c r="Q93" s="6">
        <v>5.0</v>
      </c>
      <c r="R93" s="9">
        <v>1244.6</v>
      </c>
      <c r="S93" s="9">
        <v>1232.6000000000001</v>
      </c>
      <c r="T93" s="6" t="s">
        <v>600</v>
      </c>
      <c r="U93" s="6" t="s">
        <v>601</v>
      </c>
      <c r="V93" s="6">
        <v>73301.0</v>
      </c>
      <c r="W93" s="10">
        <v>69.0</v>
      </c>
      <c r="X93" s="11"/>
      <c r="Y93" s="12">
        <f t="shared" si="4"/>
        <v>-69</v>
      </c>
      <c r="Z93" s="6">
        <v>0.0</v>
      </c>
      <c r="AA93" s="6">
        <f t="shared" si="6"/>
        <v>1</v>
      </c>
      <c r="AB93" s="6"/>
      <c r="AC93" s="6">
        <f t="shared" si="7"/>
        <v>1111.15</v>
      </c>
      <c r="AD93" s="6">
        <f t="shared" si="8"/>
        <v>0</v>
      </c>
      <c r="AE93" s="6"/>
      <c r="AF93">
        <f>sumifs('WL Matrix 2'!T:T,'WL Matrix 2'!B:B,A93,'WL Matrix 2'!C:C,C93,'WL Matrix 2'!M:M,"Regular Season")</f>
        <v>82</v>
      </c>
      <c r="AG93">
        <f t="shared" si="13"/>
        <v>61</v>
      </c>
      <c r="AI93" s="32" t="s">
        <v>116</v>
      </c>
      <c r="AJ93" s="32">
        <f t="shared" si="19"/>
        <v>6</v>
      </c>
      <c r="AK93" s="37">
        <f t="shared" si="10"/>
        <v>1.01644945</v>
      </c>
      <c r="AL93" s="38">
        <f t="shared" si="11"/>
        <v>1.006649199</v>
      </c>
      <c r="AM93" s="38">
        <f>sumifs('WL Matrix 2'!T:T,'WL Matrix 2'!B:B,A93,'WL Matrix 2'!C:C,C93,'WL Matrix 2'!M:M,"Regular Season")</f>
        <v>82</v>
      </c>
    </row>
    <row r="94" ht="14.25" customHeight="1">
      <c r="A94" s="6">
        <v>2016.0</v>
      </c>
      <c r="B94" s="7">
        <v>42370.0</v>
      </c>
      <c r="C94" s="6" t="s">
        <v>82</v>
      </c>
      <c r="D94" s="6" t="s">
        <v>666</v>
      </c>
      <c r="E94" s="6" t="str">
        <f t="shared" si="1"/>
        <v>DeAndre 3000 - 2016</v>
      </c>
      <c r="F94" s="6" t="s">
        <v>451</v>
      </c>
      <c r="G94" s="6" t="s">
        <v>668</v>
      </c>
      <c r="H94" s="6" t="s">
        <v>557</v>
      </c>
      <c r="I94" s="6" t="s">
        <v>137</v>
      </c>
      <c r="J94" s="6" t="s">
        <v>9</v>
      </c>
      <c r="K94" s="6"/>
      <c r="L94" s="8">
        <v>2.0</v>
      </c>
      <c r="M94" s="8">
        <v>2.0</v>
      </c>
      <c r="N94" s="6">
        <f t="shared" si="20"/>
        <v>2</v>
      </c>
      <c r="O94" s="6">
        <v>13.0</v>
      </c>
      <c r="P94" s="6">
        <v>8.0</v>
      </c>
      <c r="Q94" s="6">
        <v>5.0</v>
      </c>
      <c r="R94" s="9">
        <v>1252.6</v>
      </c>
      <c r="S94" s="9">
        <v>1242.5</v>
      </c>
      <c r="T94" s="6" t="s">
        <v>428</v>
      </c>
      <c r="U94" s="6" t="s">
        <v>429</v>
      </c>
      <c r="V94" s="6">
        <v>60610.0</v>
      </c>
      <c r="W94" s="10">
        <v>69.0</v>
      </c>
      <c r="X94" s="11">
        <v>170.0</v>
      </c>
      <c r="Y94" s="12">
        <f t="shared" si="4"/>
        <v>101</v>
      </c>
      <c r="Z94" s="6">
        <v>0.0</v>
      </c>
      <c r="AA94" s="6">
        <f t="shared" si="6"/>
        <v>1</v>
      </c>
      <c r="AB94" s="6"/>
      <c r="AC94" s="6">
        <f t="shared" si="7"/>
        <v>1113.15</v>
      </c>
      <c r="AD94" s="6">
        <f t="shared" si="8"/>
        <v>0</v>
      </c>
      <c r="AE94" s="6"/>
      <c r="AF94">
        <f>sumifs('WL Matrix 2'!T:T,'WL Matrix 2'!B:B,A94,'WL Matrix 2'!C:C,C94,'WL Matrix 2'!M:M,"Regular Season")</f>
        <v>71</v>
      </c>
      <c r="AG94">
        <f t="shared" si="13"/>
        <v>72</v>
      </c>
      <c r="AI94" s="32" t="s">
        <v>116</v>
      </c>
      <c r="AJ94" s="32">
        <f t="shared" si="19"/>
        <v>5</v>
      </c>
      <c r="AK94" s="37">
        <f t="shared" si="10"/>
        <v>1.022982952</v>
      </c>
      <c r="AL94" s="38">
        <f t="shared" si="11"/>
        <v>1.014734406</v>
      </c>
      <c r="AM94" s="38">
        <f>sumifs('WL Matrix 2'!T:T,'WL Matrix 2'!B:B,A94,'WL Matrix 2'!C:C,C94,'WL Matrix 2'!M:M,"Regular Season")</f>
        <v>71</v>
      </c>
    </row>
    <row r="95" ht="14.25" customHeight="1">
      <c r="A95" s="6">
        <v>2016.0</v>
      </c>
      <c r="B95" s="7">
        <v>42370.0</v>
      </c>
      <c r="C95" s="6" t="s">
        <v>86</v>
      </c>
      <c r="D95" s="6" t="s">
        <v>671</v>
      </c>
      <c r="E95" s="6" t="str">
        <f t="shared" si="1"/>
        <v>Bring Tha Juice - 2016</v>
      </c>
      <c r="F95" s="6" t="s">
        <v>41</v>
      </c>
      <c r="G95" s="6" t="s">
        <v>389</v>
      </c>
      <c r="H95" s="6" t="s">
        <v>507</v>
      </c>
      <c r="I95" s="6" t="s">
        <v>672</v>
      </c>
      <c r="J95" s="6" t="s">
        <v>9</v>
      </c>
      <c r="K95" s="6"/>
      <c r="L95" s="8">
        <v>10.0</v>
      </c>
      <c r="M95" s="8">
        <v>10.0</v>
      </c>
      <c r="N95" s="6">
        <f t="shared" si="20"/>
        <v>10</v>
      </c>
      <c r="O95" s="6">
        <v>13.0</v>
      </c>
      <c r="P95" s="6">
        <v>5.0</v>
      </c>
      <c r="Q95" s="6">
        <v>8.0</v>
      </c>
      <c r="R95" s="9">
        <v>1225.8999999999999</v>
      </c>
      <c r="S95" s="58">
        <f>sumifs('WL Matrix 2'!K:K,'WL Matrix 2'!B:B,A95,'WL Matrix 2'!C:C,C95,'WL Matrix 2'!M:M,"Regular Season")</f>
        <v>1301.9</v>
      </c>
      <c r="T95" s="6" t="s">
        <v>428</v>
      </c>
      <c r="U95" s="6" t="s">
        <v>429</v>
      </c>
      <c r="V95" s="6">
        <v>60657.0</v>
      </c>
      <c r="W95" s="10">
        <v>69.0</v>
      </c>
      <c r="X95" s="11"/>
      <c r="Y95" s="12">
        <f t="shared" si="4"/>
        <v>-69</v>
      </c>
      <c r="Z95" s="6">
        <v>0.0</v>
      </c>
      <c r="AA95" s="6">
        <f t="shared" si="6"/>
        <v>0</v>
      </c>
      <c r="AB95" s="6"/>
      <c r="AC95" s="6">
        <f t="shared" si="7"/>
        <v>806.475</v>
      </c>
      <c r="AD95" s="6">
        <f t="shared" si="8"/>
        <v>0</v>
      </c>
      <c r="AE95" s="6"/>
      <c r="AF95">
        <f>sumifs('WL Matrix 2'!T:T,'WL Matrix 2'!B:B,A95,'WL Matrix 2'!C:C,C95,'WL Matrix 2'!M:M,"Regular Season")</f>
        <v>73</v>
      </c>
      <c r="AG95">
        <f t="shared" si="13"/>
        <v>70</v>
      </c>
      <c r="AI95" s="32" t="s">
        <v>116</v>
      </c>
      <c r="AJ95" s="32">
        <f t="shared" si="19"/>
        <v>7</v>
      </c>
      <c r="AK95" s="37">
        <f t="shared" si="10"/>
        <v>1.001177391</v>
      </c>
      <c r="AL95" s="38">
        <f t="shared" si="11"/>
        <v>1.063245653</v>
      </c>
      <c r="AM95" s="38">
        <f>sumifs('WL Matrix 2'!T:T,'WL Matrix 2'!B:B,A95,'WL Matrix 2'!C:C,C95,'WL Matrix 2'!M:M,"Regular Season")</f>
        <v>73</v>
      </c>
    </row>
    <row r="96" ht="14.25" customHeight="1">
      <c r="A96" s="6">
        <v>2016.0</v>
      </c>
      <c r="B96" s="7">
        <v>42370.0</v>
      </c>
      <c r="C96" s="6" t="s">
        <v>89</v>
      </c>
      <c r="D96" s="6" t="s">
        <v>677</v>
      </c>
      <c r="E96" s="6" t="str">
        <f t="shared" si="1"/>
        <v>Suburban Kings II - 2016</v>
      </c>
      <c r="F96" s="6" t="s">
        <v>325</v>
      </c>
      <c r="G96" s="6" t="s">
        <v>678</v>
      </c>
      <c r="H96" s="6" t="s">
        <v>511</v>
      </c>
      <c r="I96" s="6" t="s">
        <v>625</v>
      </c>
      <c r="J96" s="6" t="s">
        <v>9</v>
      </c>
      <c r="K96" s="6"/>
      <c r="L96" s="8">
        <v>1.0</v>
      </c>
      <c r="M96" s="8">
        <v>3.0</v>
      </c>
      <c r="N96" s="6">
        <v>4.0</v>
      </c>
      <c r="O96" s="6">
        <v>13.0</v>
      </c>
      <c r="P96" s="6">
        <v>8.0</v>
      </c>
      <c r="Q96" s="6">
        <v>5.0</v>
      </c>
      <c r="R96" s="9">
        <v>1289.5000000000002</v>
      </c>
      <c r="S96" s="58">
        <f>sumifs('WL Matrix 2'!K:K,'WL Matrix 2'!B:B,A96,'WL Matrix 2'!C:C,C96,'WL Matrix 2'!M:M,"Regular Season")</f>
        <v>1099.2</v>
      </c>
      <c r="T96" s="6" t="s">
        <v>546</v>
      </c>
      <c r="U96" s="6" t="s">
        <v>46</v>
      </c>
      <c r="V96" s="6">
        <v>46037.0</v>
      </c>
      <c r="W96" s="10">
        <v>69.0</v>
      </c>
      <c r="X96" s="11">
        <f>137</f>
        <v>137</v>
      </c>
      <c r="Y96" s="12">
        <f t="shared" si="4"/>
        <v>68</v>
      </c>
      <c r="Z96" s="6">
        <v>0.0</v>
      </c>
      <c r="AA96" s="6">
        <f t="shared" si="6"/>
        <v>1</v>
      </c>
      <c r="AB96" s="6"/>
      <c r="AC96" s="6">
        <f t="shared" si="7"/>
        <v>1122.375</v>
      </c>
      <c r="AD96" s="6">
        <f t="shared" si="8"/>
        <v>1</v>
      </c>
      <c r="AE96" s="6"/>
      <c r="AF96">
        <f>sumifs('WL Matrix 2'!T:T,'WL Matrix 2'!B:B,A96,'WL Matrix 2'!C:C,C96,'WL Matrix 2'!M:M,"Regular Season")</f>
        <v>79</v>
      </c>
      <c r="AG96">
        <f t="shared" si="13"/>
        <v>64</v>
      </c>
      <c r="AI96" s="32" t="s">
        <v>116</v>
      </c>
      <c r="AJ96" s="32">
        <f t="shared" si="19"/>
        <v>4</v>
      </c>
      <c r="AK96" s="37">
        <f t="shared" si="10"/>
        <v>1.053118726</v>
      </c>
      <c r="AL96" s="38">
        <f t="shared" si="11"/>
        <v>0.897703066</v>
      </c>
      <c r="AM96" s="38">
        <f>sumifs('WL Matrix 2'!T:T,'WL Matrix 2'!B:B,A96,'WL Matrix 2'!C:C,C96,'WL Matrix 2'!M:M,"Regular Season")</f>
        <v>79</v>
      </c>
    </row>
    <row r="97" ht="14.25" customHeight="1">
      <c r="A97" s="6">
        <v>2016.0</v>
      </c>
      <c r="B97" s="7">
        <v>42370.0</v>
      </c>
      <c r="C97" s="6" t="s">
        <v>92</v>
      </c>
      <c r="D97" s="6" t="s">
        <v>681</v>
      </c>
      <c r="E97" s="6" t="str">
        <f t="shared" si="1"/>
        <v>Yung Breezy n Lil' LeSean - 2016</v>
      </c>
      <c r="F97" s="6" t="s">
        <v>133</v>
      </c>
      <c r="G97" s="6" t="s">
        <v>338</v>
      </c>
      <c r="H97" s="6" t="s">
        <v>413</v>
      </c>
      <c r="I97" s="6" t="s">
        <v>587</v>
      </c>
      <c r="J97" s="6" t="s">
        <v>9</v>
      </c>
      <c r="K97" s="6"/>
      <c r="L97" s="8">
        <v>4.0</v>
      </c>
      <c r="M97" s="8">
        <v>1.0</v>
      </c>
      <c r="N97" s="6">
        <f>M97</f>
        <v>1</v>
      </c>
      <c r="O97" s="6">
        <v>13.0</v>
      </c>
      <c r="P97" s="6">
        <v>7.0</v>
      </c>
      <c r="Q97" s="6">
        <v>6.0</v>
      </c>
      <c r="R97" s="9">
        <v>1397.6000000000001</v>
      </c>
      <c r="S97" s="58">
        <f>sumifs('WL Matrix 2'!K:K,'WL Matrix 2'!B:B,A97,'WL Matrix 2'!C:C,C97,'WL Matrix 2'!M:M,"Regular Season")</f>
        <v>1314.2</v>
      </c>
      <c r="T97" s="6" t="s">
        <v>428</v>
      </c>
      <c r="U97" s="6" t="s">
        <v>429</v>
      </c>
      <c r="V97" s="6">
        <v>60657.0</v>
      </c>
      <c r="W97" s="10">
        <v>69.0</v>
      </c>
      <c r="X97" s="11">
        <f>137+310</f>
        <v>447</v>
      </c>
      <c r="Y97" s="12">
        <f t="shared" si="4"/>
        <v>378</v>
      </c>
      <c r="Z97" s="6">
        <v>1.0</v>
      </c>
      <c r="AA97" s="6">
        <f t="shared" si="6"/>
        <v>1</v>
      </c>
      <c r="AB97" s="6"/>
      <c r="AC97" s="6">
        <f t="shared" si="7"/>
        <v>1049.4</v>
      </c>
      <c r="AD97" s="6">
        <f t="shared" si="8"/>
        <v>0</v>
      </c>
      <c r="AE97" s="49">
        <v>1.0</v>
      </c>
      <c r="AF97">
        <f>sumifs('WL Matrix 2'!T:T,'WL Matrix 2'!B:B,A97,'WL Matrix 2'!C:C,C97,'WL Matrix 2'!M:M,"Regular Season")</f>
        <v>94</v>
      </c>
      <c r="AG97">
        <f t="shared" si="13"/>
        <v>49</v>
      </c>
      <c r="AI97" s="32" t="s">
        <v>116</v>
      </c>
      <c r="AJ97" s="32">
        <f t="shared" si="19"/>
        <v>1</v>
      </c>
      <c r="AK97" s="37">
        <f t="shared" si="10"/>
        <v>1.141402661</v>
      </c>
      <c r="AL97" s="38">
        <f t="shared" si="11"/>
        <v>1.073290911</v>
      </c>
      <c r="AM97" s="38">
        <f>sumifs('WL Matrix 2'!T:T,'WL Matrix 2'!B:B,A97,'WL Matrix 2'!C:C,C97,'WL Matrix 2'!M:M,"Regular Season")</f>
        <v>94</v>
      </c>
    </row>
    <row r="98" ht="14.25" customHeight="1">
      <c r="A98" s="59">
        <v>2017.0</v>
      </c>
      <c r="B98" s="60">
        <v>42736.0</v>
      </c>
      <c r="C98" s="13" t="s">
        <v>47</v>
      </c>
      <c r="D98" s="13" t="s">
        <v>687</v>
      </c>
      <c r="E98" s="13" t="s">
        <v>688</v>
      </c>
      <c r="F98" s="13" t="s">
        <v>269</v>
      </c>
      <c r="G98" s="13" t="s">
        <v>484</v>
      </c>
      <c r="H98" s="13" t="s">
        <v>443</v>
      </c>
      <c r="I98" s="13" t="s">
        <v>581</v>
      </c>
      <c r="J98" s="13" t="s">
        <v>9</v>
      </c>
      <c r="K98" s="13"/>
      <c r="L98" s="61">
        <v>4.0</v>
      </c>
      <c r="M98" s="61">
        <v>4.0</v>
      </c>
      <c r="N98" s="59">
        <v>4.0</v>
      </c>
      <c r="O98" s="59">
        <v>13.0</v>
      </c>
      <c r="P98" s="6">
        <f>sumifs('WL Matrix 2'!L:L,'WL Matrix 2'!B:B,A98,'WL Matrix 2'!C:C,C98)</f>
        <v>8</v>
      </c>
      <c r="Q98" s="6">
        <f t="shared" ref="Q98:Q169" si="21">O98-P98</f>
        <v>5</v>
      </c>
      <c r="R98" s="58">
        <f>sumifs('WL Matrix 2'!J:J,'WL Matrix 2'!B:B,A98,'WL Matrix 2'!C:C,C98,'WL Matrix 2'!M:M,"Regular Season")</f>
        <v>1184.62</v>
      </c>
      <c r="S98" s="58">
        <f>sumifs('WL Matrix 2'!K:K,'WL Matrix 2'!B:B,A98,'WL Matrix 2'!C:C,C98,'WL Matrix 2'!M:M,"Regular Season")</f>
        <v>1078.22</v>
      </c>
      <c r="T98" s="13" t="s">
        <v>630</v>
      </c>
      <c r="U98" s="13" t="s">
        <v>630</v>
      </c>
      <c r="V98" s="59">
        <v>10023.0</v>
      </c>
      <c r="W98" s="62">
        <v>100.0</v>
      </c>
      <c r="X98" s="63" t="s">
        <v>693</v>
      </c>
      <c r="Y98" s="64">
        <v>-100.0</v>
      </c>
      <c r="Z98">
        <f t="shared" ref="Z98:Z157" si="22">if(M98=1,1,0)</f>
        <v>0</v>
      </c>
      <c r="AA98" s="6">
        <f t="shared" si="6"/>
        <v>1</v>
      </c>
      <c r="AC98" s="6">
        <f t="shared" si="7"/>
        <v>1096.155</v>
      </c>
      <c r="AD98" s="6">
        <f t="shared" si="8"/>
        <v>0</v>
      </c>
      <c r="AE98" s="6"/>
      <c r="AF98">
        <f>sumifs('WL Matrix 2'!T:T,'WL Matrix 2'!B:B,A98,'WL Matrix 2'!C:C,C98,'WL Matrix 2'!M:M,"Regular Season")</f>
        <v>70</v>
      </c>
      <c r="AG98">
        <f t="shared" si="13"/>
        <v>73</v>
      </c>
      <c r="AI98" s="32" t="s">
        <v>116</v>
      </c>
      <c r="AJ98" s="32">
        <f t="shared" ref="AJ98:AJ109" si="23">rank(R98,$R$98:$R$109)</f>
        <v>7</v>
      </c>
      <c r="AK98" s="37">
        <f t="shared" si="10"/>
        <v>1.01055523</v>
      </c>
      <c r="AL98" s="38">
        <f t="shared" si="11"/>
        <v>0.9197893504</v>
      </c>
      <c r="AM98" s="38">
        <f>sumifs('WL Matrix 2'!T:T,'WL Matrix 2'!B:B,A98,'WL Matrix 2'!C:C,C98,'WL Matrix 2'!M:M,"Regular Season")</f>
        <v>70</v>
      </c>
    </row>
    <row r="99" ht="14.25" customHeight="1">
      <c r="A99" s="59">
        <v>2017.0</v>
      </c>
      <c r="B99" s="60">
        <v>42736.0</v>
      </c>
      <c r="C99" s="13" t="s">
        <v>52</v>
      </c>
      <c r="D99" s="13" t="s">
        <v>698</v>
      </c>
      <c r="E99" s="13" t="s">
        <v>699</v>
      </c>
      <c r="F99" s="13" t="s">
        <v>700</v>
      </c>
      <c r="G99" s="13" t="s">
        <v>701</v>
      </c>
      <c r="H99" s="13" t="s">
        <v>523</v>
      </c>
      <c r="I99" s="13" t="s">
        <v>438</v>
      </c>
      <c r="J99" s="13" t="s">
        <v>9</v>
      </c>
      <c r="K99" s="13"/>
      <c r="L99" s="61">
        <v>10.0</v>
      </c>
      <c r="M99" s="61">
        <v>10.0</v>
      </c>
      <c r="N99" s="59">
        <v>10.0</v>
      </c>
      <c r="O99" s="59">
        <v>13.0</v>
      </c>
      <c r="P99" s="6">
        <f>sumifs('WL Matrix 2'!L:L,'WL Matrix 2'!B:B,A99,'WL Matrix 2'!C:C,C99)</f>
        <v>4</v>
      </c>
      <c r="Q99" s="6">
        <f t="shared" si="21"/>
        <v>9</v>
      </c>
      <c r="R99" s="58">
        <f>sumifs('WL Matrix 2'!J:J,'WL Matrix 2'!B:B,A99,'WL Matrix 2'!C:C,C99,'WL Matrix 2'!M:M,"Regular Season")</f>
        <v>932.7</v>
      </c>
      <c r="S99" s="58">
        <f>sumifs('WL Matrix 2'!K:K,'WL Matrix 2'!B:B,A99,'WL Matrix 2'!C:C,C99,'WL Matrix 2'!M:M,"Regular Season")</f>
        <v>1100.8</v>
      </c>
      <c r="T99" s="13" t="s">
        <v>561</v>
      </c>
      <c r="U99" s="13" t="s">
        <v>562</v>
      </c>
      <c r="V99" s="59">
        <v>37115.0</v>
      </c>
      <c r="W99" s="62">
        <v>100.0</v>
      </c>
      <c r="X99" s="63" t="s">
        <v>693</v>
      </c>
      <c r="Y99" s="64">
        <v>-100.0</v>
      </c>
      <c r="Z99">
        <f t="shared" si="22"/>
        <v>0</v>
      </c>
      <c r="AA99" s="6">
        <f t="shared" si="6"/>
        <v>0</v>
      </c>
      <c r="AC99" s="6">
        <f t="shared" si="7"/>
        <v>633.175</v>
      </c>
      <c r="AD99" s="6">
        <f t="shared" si="8"/>
        <v>0</v>
      </c>
      <c r="AE99" s="6"/>
      <c r="AF99">
        <f>sumifs('WL Matrix 2'!T:T,'WL Matrix 2'!B:B,A99,'WL Matrix 2'!C:C,C99,'WL Matrix 2'!M:M,"Regular Season")</f>
        <v>33</v>
      </c>
      <c r="AG99">
        <f t="shared" si="13"/>
        <v>110</v>
      </c>
      <c r="AI99" s="32" t="s">
        <v>116</v>
      </c>
      <c r="AJ99" s="32">
        <f t="shared" si="23"/>
        <v>12</v>
      </c>
      <c r="AK99" s="37">
        <f t="shared" si="10"/>
        <v>0.7956516547</v>
      </c>
      <c r="AL99" s="38">
        <f t="shared" si="11"/>
        <v>0.9390515079</v>
      </c>
      <c r="AM99" s="38">
        <f>sumifs('WL Matrix 2'!T:T,'WL Matrix 2'!B:B,A99,'WL Matrix 2'!C:C,C99,'WL Matrix 2'!M:M,"Regular Season")</f>
        <v>33</v>
      </c>
    </row>
    <row r="100" ht="14.25" customHeight="1">
      <c r="A100" s="59">
        <v>2017.0</v>
      </c>
      <c r="B100" s="60">
        <v>42736.0</v>
      </c>
      <c r="C100" s="13" t="s">
        <v>57</v>
      </c>
      <c r="D100" s="13" t="s">
        <v>706</v>
      </c>
      <c r="E100" s="13" t="s">
        <v>707</v>
      </c>
      <c r="F100" s="13" t="s">
        <v>662</v>
      </c>
      <c r="G100" s="13" t="s">
        <v>338</v>
      </c>
      <c r="H100" s="13" t="s">
        <v>708</v>
      </c>
      <c r="I100" s="13" t="s">
        <v>550</v>
      </c>
      <c r="J100" s="13" t="s">
        <v>9</v>
      </c>
      <c r="K100" s="13"/>
      <c r="L100" s="61">
        <v>11.0</v>
      </c>
      <c r="M100" s="61">
        <v>11.0</v>
      </c>
      <c r="N100" s="59">
        <v>11.0</v>
      </c>
      <c r="O100" s="59">
        <v>13.0</v>
      </c>
      <c r="P100" s="6">
        <f>sumifs('WL Matrix 2'!L:L,'WL Matrix 2'!B:B,A100,'WL Matrix 2'!C:C,C100)</f>
        <v>5</v>
      </c>
      <c r="Q100" s="6">
        <f t="shared" si="21"/>
        <v>8</v>
      </c>
      <c r="R100" s="58">
        <f>sumifs('WL Matrix 2'!J:J,'WL Matrix 2'!B:B,A100,'WL Matrix 2'!C:C,C100,'WL Matrix 2'!M:M,"Regular Season")</f>
        <v>1074.84</v>
      </c>
      <c r="S100" s="58">
        <f>sumifs('WL Matrix 2'!K:K,'WL Matrix 2'!B:B,A100,'WL Matrix 2'!C:C,C100,'WL Matrix 2'!M:M,"Regular Season")</f>
        <v>1287.6</v>
      </c>
      <c r="T100" s="13" t="s">
        <v>428</v>
      </c>
      <c r="U100" s="13" t="s">
        <v>429</v>
      </c>
      <c r="V100" s="59">
        <v>60647.0</v>
      </c>
      <c r="W100" s="62">
        <v>100.0</v>
      </c>
      <c r="X100" s="63" t="s">
        <v>693</v>
      </c>
      <c r="Y100" s="64">
        <v>-100.0</v>
      </c>
      <c r="Z100">
        <f t="shared" si="22"/>
        <v>0</v>
      </c>
      <c r="AA100" s="6">
        <f t="shared" si="6"/>
        <v>0</v>
      </c>
      <c r="AC100" s="6">
        <f t="shared" si="7"/>
        <v>768.71</v>
      </c>
      <c r="AD100" s="6">
        <f t="shared" si="8"/>
        <v>0</v>
      </c>
      <c r="AE100" s="6"/>
      <c r="AF100">
        <f>sumifs('WL Matrix 2'!T:T,'WL Matrix 2'!B:B,A100,'WL Matrix 2'!C:C,C100,'WL Matrix 2'!M:M,"Regular Season")</f>
        <v>60</v>
      </c>
      <c r="AG100">
        <f t="shared" si="13"/>
        <v>83</v>
      </c>
      <c r="AI100" s="32" t="s">
        <v>116</v>
      </c>
      <c r="AJ100" s="32">
        <f t="shared" si="23"/>
        <v>9</v>
      </c>
      <c r="AK100" s="37">
        <f t="shared" si="10"/>
        <v>0.9169059982</v>
      </c>
      <c r="AL100" s="38">
        <f t="shared" si="11"/>
        <v>1.098403635</v>
      </c>
      <c r="AM100" s="38">
        <f>sumifs('WL Matrix 2'!T:T,'WL Matrix 2'!B:B,A100,'WL Matrix 2'!C:C,C100,'WL Matrix 2'!M:M,"Regular Season")</f>
        <v>60</v>
      </c>
    </row>
    <row r="101" ht="14.25" customHeight="1">
      <c r="A101" s="59">
        <v>2017.0</v>
      </c>
      <c r="B101" s="60">
        <v>42736.0</v>
      </c>
      <c r="C101" s="13" t="s">
        <v>39</v>
      </c>
      <c r="D101" s="13" t="s">
        <v>40</v>
      </c>
      <c r="E101" s="13" t="s">
        <v>713</v>
      </c>
      <c r="F101" s="13" t="s">
        <v>351</v>
      </c>
      <c r="G101" s="13" t="s">
        <v>566</v>
      </c>
      <c r="H101" s="13" t="s">
        <v>714</v>
      </c>
      <c r="I101" s="13" t="s">
        <v>333</v>
      </c>
      <c r="J101" s="13" t="s">
        <v>9</v>
      </c>
      <c r="K101" s="13"/>
      <c r="L101" s="61">
        <v>6.0</v>
      </c>
      <c r="M101" s="61">
        <v>6.0</v>
      </c>
      <c r="N101" s="59">
        <v>6.0</v>
      </c>
      <c r="O101" s="59">
        <v>13.0</v>
      </c>
      <c r="P101" s="6">
        <f>sumifs('WL Matrix 2'!L:L,'WL Matrix 2'!B:B,A101,'WL Matrix 2'!C:C,C101)</f>
        <v>8</v>
      </c>
      <c r="Q101" s="6">
        <f t="shared" si="21"/>
        <v>5</v>
      </c>
      <c r="R101" s="58">
        <f>sumifs('WL Matrix 2'!J:J,'WL Matrix 2'!B:B,A101,'WL Matrix 2'!C:C,C101,'WL Matrix 2'!M:M,"Regular Season")</f>
        <v>1189.38</v>
      </c>
      <c r="S101" s="58">
        <f>sumifs('WL Matrix 2'!K:K,'WL Matrix 2'!B:B,A101,'WL Matrix 2'!C:C,C101,'WL Matrix 2'!M:M,"Regular Season")</f>
        <v>1121.58</v>
      </c>
      <c r="T101" s="13" t="s">
        <v>644</v>
      </c>
      <c r="U101" s="13" t="s">
        <v>589</v>
      </c>
      <c r="V101" s="59">
        <v>94101.0</v>
      </c>
      <c r="W101" s="62">
        <v>100.0</v>
      </c>
      <c r="X101" s="63" t="s">
        <v>693</v>
      </c>
      <c r="Y101" s="64">
        <v>-100.0</v>
      </c>
      <c r="Z101">
        <f t="shared" si="22"/>
        <v>0</v>
      </c>
      <c r="AA101" s="6">
        <f t="shared" si="6"/>
        <v>1</v>
      </c>
      <c r="AC101" s="6">
        <f t="shared" si="7"/>
        <v>1097.345</v>
      </c>
      <c r="AD101" s="6">
        <f t="shared" si="8"/>
        <v>0</v>
      </c>
      <c r="AE101" s="6"/>
      <c r="AF101">
        <f>sumifs('WL Matrix 2'!T:T,'WL Matrix 2'!B:B,A101,'WL Matrix 2'!C:C,C101,'WL Matrix 2'!M:M,"Regular Season")</f>
        <v>76</v>
      </c>
      <c r="AG101">
        <f t="shared" si="13"/>
        <v>67</v>
      </c>
      <c r="AI101" s="32" t="s">
        <v>116</v>
      </c>
      <c r="AJ101" s="32">
        <f t="shared" si="23"/>
        <v>5</v>
      </c>
      <c r="AK101" s="37">
        <f t="shared" si="10"/>
        <v>1.014615809</v>
      </c>
      <c r="AL101" s="38">
        <f t="shared" si="11"/>
        <v>0.9567781525</v>
      </c>
      <c r="AM101" s="38">
        <f>sumifs('WL Matrix 2'!T:T,'WL Matrix 2'!B:B,A101,'WL Matrix 2'!C:C,C101,'WL Matrix 2'!M:M,"Regular Season")</f>
        <v>76</v>
      </c>
    </row>
    <row r="102" ht="14.25" customHeight="1">
      <c r="A102" s="59">
        <v>2017.0</v>
      </c>
      <c r="B102" s="60">
        <v>42736.0</v>
      </c>
      <c r="C102" s="13" t="s">
        <v>67</v>
      </c>
      <c r="D102" s="13" t="s">
        <v>719</v>
      </c>
      <c r="E102" s="13" t="s">
        <v>720</v>
      </c>
      <c r="F102" s="13" t="s">
        <v>41</v>
      </c>
      <c r="G102" s="13" t="s">
        <v>576</v>
      </c>
      <c r="H102" s="13" t="s">
        <v>655</v>
      </c>
      <c r="I102" s="13" t="s">
        <v>587</v>
      </c>
      <c r="J102" s="13" t="s">
        <v>9</v>
      </c>
      <c r="K102" s="13"/>
      <c r="L102" s="61">
        <v>1.0</v>
      </c>
      <c r="M102" s="61">
        <v>2.0</v>
      </c>
      <c r="N102" s="59">
        <v>2.0</v>
      </c>
      <c r="O102" s="59">
        <v>13.0</v>
      </c>
      <c r="P102" s="6">
        <f>sumifs('WL Matrix 2'!L:L,'WL Matrix 2'!B:B,A102,'WL Matrix 2'!C:C,C102)</f>
        <v>12</v>
      </c>
      <c r="Q102" s="6">
        <f t="shared" si="21"/>
        <v>1</v>
      </c>
      <c r="R102" s="58">
        <f>sumifs('WL Matrix 2'!J:J,'WL Matrix 2'!B:B,A102,'WL Matrix 2'!C:C,C102,'WL Matrix 2'!M:M,"Regular Season")</f>
        <v>1427.78</v>
      </c>
      <c r="S102" s="58">
        <f>sumifs('WL Matrix 2'!K:K,'WL Matrix 2'!B:B,A102,'WL Matrix 2'!C:C,C102,'WL Matrix 2'!M:M,"Regular Season")</f>
        <v>1248.86</v>
      </c>
      <c r="T102" s="13" t="s">
        <v>428</v>
      </c>
      <c r="U102" s="13" t="s">
        <v>429</v>
      </c>
      <c r="V102" s="59">
        <v>60610.0</v>
      </c>
      <c r="W102" s="62">
        <v>100.0</v>
      </c>
      <c r="X102" s="63">
        <v>650.0</v>
      </c>
      <c r="Y102" s="64">
        <v>550.0</v>
      </c>
      <c r="Z102">
        <f t="shared" si="22"/>
        <v>0</v>
      </c>
      <c r="AA102" s="6">
        <f t="shared" si="6"/>
        <v>1</v>
      </c>
      <c r="AC102" s="6">
        <f t="shared" si="7"/>
        <v>1556.945</v>
      </c>
      <c r="AD102" s="6">
        <f t="shared" si="8"/>
        <v>1</v>
      </c>
      <c r="AE102" s="49">
        <v>1.0</v>
      </c>
      <c r="AF102">
        <f>sumifs('WL Matrix 2'!T:T,'WL Matrix 2'!B:B,A102,'WL Matrix 2'!C:C,C102,'WL Matrix 2'!M:M,"Regular Season")</f>
        <v>119</v>
      </c>
      <c r="AG102">
        <f t="shared" si="13"/>
        <v>24</v>
      </c>
      <c r="AI102" s="32" t="s">
        <v>116</v>
      </c>
      <c r="AJ102" s="32">
        <f t="shared" si="23"/>
        <v>1</v>
      </c>
      <c r="AK102" s="37">
        <f t="shared" si="10"/>
        <v>1.217985976</v>
      </c>
      <c r="AL102" s="38">
        <f t="shared" si="11"/>
        <v>1.065355983</v>
      </c>
      <c r="AM102" s="38">
        <f>sumifs('WL Matrix 2'!T:T,'WL Matrix 2'!B:B,A102,'WL Matrix 2'!C:C,C102,'WL Matrix 2'!M:M,"Regular Season")</f>
        <v>119</v>
      </c>
    </row>
    <row r="103" ht="14.25" customHeight="1">
      <c r="A103" s="59">
        <v>2017.0</v>
      </c>
      <c r="B103" s="60">
        <v>42736.0</v>
      </c>
      <c r="C103" s="13" t="s">
        <v>72</v>
      </c>
      <c r="D103" s="13" t="s">
        <v>654</v>
      </c>
      <c r="E103" s="13" t="s">
        <v>725</v>
      </c>
      <c r="F103" s="13" t="s">
        <v>133</v>
      </c>
      <c r="G103" s="13" t="s">
        <v>678</v>
      </c>
      <c r="H103" s="13" t="s">
        <v>347</v>
      </c>
      <c r="I103" s="13" t="s">
        <v>597</v>
      </c>
      <c r="J103" s="13" t="s">
        <v>9</v>
      </c>
      <c r="K103" s="13"/>
      <c r="L103" s="61">
        <v>3.0</v>
      </c>
      <c r="M103" s="61">
        <v>3.0</v>
      </c>
      <c r="N103" s="59">
        <v>3.0</v>
      </c>
      <c r="O103" s="59">
        <v>13.0</v>
      </c>
      <c r="P103" s="6">
        <f>sumifs('WL Matrix 2'!L:L,'WL Matrix 2'!B:B,A103,'WL Matrix 2'!C:C,C103)</f>
        <v>9</v>
      </c>
      <c r="Q103" s="6">
        <f t="shared" si="21"/>
        <v>4</v>
      </c>
      <c r="R103" s="58">
        <f>sumifs('WL Matrix 2'!J:J,'WL Matrix 2'!B:B,A103,'WL Matrix 2'!C:C,C103,'WL Matrix 2'!M:M,"Regular Season")</f>
        <v>1275.98</v>
      </c>
      <c r="S103" s="58">
        <f>sumifs('WL Matrix 2'!K:K,'WL Matrix 2'!B:B,A103,'WL Matrix 2'!C:C,C103,'WL Matrix 2'!M:M,"Regular Season")</f>
        <v>1202.6</v>
      </c>
      <c r="T103" s="13" t="s">
        <v>428</v>
      </c>
      <c r="U103" s="13" t="s">
        <v>429</v>
      </c>
      <c r="V103" s="59">
        <v>60614.0</v>
      </c>
      <c r="W103" s="62">
        <v>100.0</v>
      </c>
      <c r="X103" s="63">
        <v>100.0</v>
      </c>
      <c r="Y103" s="64" t="s">
        <v>693</v>
      </c>
      <c r="Z103">
        <f t="shared" si="22"/>
        <v>0</v>
      </c>
      <c r="AA103" s="6">
        <f t="shared" si="6"/>
        <v>1</v>
      </c>
      <c r="AC103" s="6">
        <f t="shared" si="7"/>
        <v>1218.995</v>
      </c>
      <c r="AD103" s="6">
        <f t="shared" si="8"/>
        <v>0</v>
      </c>
      <c r="AE103" s="6"/>
      <c r="AF103">
        <f>sumifs('WL Matrix 2'!T:T,'WL Matrix 2'!B:B,A103,'WL Matrix 2'!C:C,C103,'WL Matrix 2'!M:M,"Regular Season")</f>
        <v>96</v>
      </c>
      <c r="AG103">
        <f t="shared" si="13"/>
        <v>47</v>
      </c>
      <c r="AI103" s="32" t="s">
        <v>116</v>
      </c>
      <c r="AJ103" s="32">
        <f t="shared" si="23"/>
        <v>3</v>
      </c>
      <c r="AK103" s="37">
        <f t="shared" si="10"/>
        <v>1.088491046</v>
      </c>
      <c r="AL103" s="38">
        <f t="shared" si="11"/>
        <v>1.025893299</v>
      </c>
      <c r="AM103" s="38">
        <f>sumifs('WL Matrix 2'!T:T,'WL Matrix 2'!B:B,A103,'WL Matrix 2'!C:C,C103,'WL Matrix 2'!M:M,"Regular Season")</f>
        <v>96</v>
      </c>
    </row>
    <row r="104" ht="14.25" customHeight="1">
      <c r="A104" s="59">
        <v>2017.0</v>
      </c>
      <c r="B104" s="60">
        <v>42736.0</v>
      </c>
      <c r="C104" s="13" t="s">
        <v>76</v>
      </c>
      <c r="D104" s="13" t="s">
        <v>730</v>
      </c>
      <c r="E104" s="13" t="s">
        <v>731</v>
      </c>
      <c r="F104" s="13" t="s">
        <v>183</v>
      </c>
      <c r="G104" s="13" t="s">
        <v>640</v>
      </c>
      <c r="H104" s="13" t="s">
        <v>732</v>
      </c>
      <c r="I104" s="13" t="s">
        <v>242</v>
      </c>
      <c r="J104" s="13" t="s">
        <v>9</v>
      </c>
      <c r="K104" s="13"/>
      <c r="L104" s="61">
        <v>5.0</v>
      </c>
      <c r="M104" s="61">
        <v>5.0</v>
      </c>
      <c r="N104" s="59">
        <v>5.0</v>
      </c>
      <c r="O104" s="59">
        <v>13.0</v>
      </c>
      <c r="P104" s="6">
        <f>sumifs('WL Matrix 2'!L:L,'WL Matrix 2'!B:B,A104,'WL Matrix 2'!C:C,C104)</f>
        <v>8</v>
      </c>
      <c r="Q104" s="6">
        <f t="shared" si="21"/>
        <v>5</v>
      </c>
      <c r="R104" s="58">
        <f>sumifs('WL Matrix 2'!J:J,'WL Matrix 2'!B:B,A104,'WL Matrix 2'!C:C,C104,'WL Matrix 2'!M:M,"Regular Season")</f>
        <v>1232.76</v>
      </c>
      <c r="S104" s="58">
        <f>sumifs('WL Matrix 2'!K:K,'WL Matrix 2'!B:B,A104,'WL Matrix 2'!C:C,C104,'WL Matrix 2'!M:M,"Regular Season")</f>
        <v>1223.84</v>
      </c>
      <c r="T104" s="13" t="s">
        <v>588</v>
      </c>
      <c r="U104" s="13" t="s">
        <v>589</v>
      </c>
      <c r="V104" s="59">
        <v>90026.0</v>
      </c>
      <c r="W104" s="62">
        <v>100.0</v>
      </c>
      <c r="X104" s="63" t="s">
        <v>693</v>
      </c>
      <c r="Y104" s="64">
        <v>-100.0</v>
      </c>
      <c r="Z104">
        <f t="shared" si="22"/>
        <v>0</v>
      </c>
      <c r="AA104" s="6">
        <f t="shared" si="6"/>
        <v>1</v>
      </c>
      <c r="AC104" s="6">
        <f t="shared" si="7"/>
        <v>1108.19</v>
      </c>
      <c r="AD104" s="6">
        <f t="shared" si="8"/>
        <v>0</v>
      </c>
      <c r="AE104" s="6"/>
      <c r="AF104">
        <f>sumifs('WL Matrix 2'!T:T,'WL Matrix 2'!B:B,A104,'WL Matrix 2'!C:C,C104,'WL Matrix 2'!M:M,"Regular Season")</f>
        <v>86</v>
      </c>
      <c r="AG104">
        <f t="shared" si="13"/>
        <v>57</v>
      </c>
      <c r="AI104" s="32" t="s">
        <v>116</v>
      </c>
      <c r="AJ104" s="32">
        <f t="shared" si="23"/>
        <v>4</v>
      </c>
      <c r="AK104" s="37">
        <f t="shared" si="10"/>
        <v>1.051621672</v>
      </c>
      <c r="AL104" s="38">
        <f t="shared" si="11"/>
        <v>1.044012352</v>
      </c>
      <c r="AM104" s="38">
        <f>sumifs('WL Matrix 2'!T:T,'WL Matrix 2'!B:B,A104,'WL Matrix 2'!C:C,C104,'WL Matrix 2'!M:M,"Regular Season")</f>
        <v>86</v>
      </c>
    </row>
    <row r="105" ht="14.25" customHeight="1">
      <c r="A105" s="59">
        <v>2017.0</v>
      </c>
      <c r="B105" s="60">
        <v>42736.0</v>
      </c>
      <c r="C105" s="13" t="s">
        <v>79</v>
      </c>
      <c r="D105" s="13" t="s">
        <v>737</v>
      </c>
      <c r="E105" s="13" t="s">
        <v>738</v>
      </c>
      <c r="F105" s="13" t="s">
        <v>200</v>
      </c>
      <c r="G105" s="13" t="s">
        <v>739</v>
      </c>
      <c r="H105" s="13" t="s">
        <v>371</v>
      </c>
      <c r="I105" s="13" t="s">
        <v>545</v>
      </c>
      <c r="J105" s="49" t="s">
        <v>123</v>
      </c>
      <c r="K105" s="13"/>
      <c r="L105" s="61">
        <v>12.0</v>
      </c>
      <c r="M105" s="61">
        <v>12.0</v>
      </c>
      <c r="N105" s="59">
        <v>12.0</v>
      </c>
      <c r="O105" s="59">
        <v>13.0</v>
      </c>
      <c r="P105" s="6">
        <f>sumifs('WL Matrix 2'!L:L,'WL Matrix 2'!B:B,A105,'WL Matrix 2'!C:C,C105)</f>
        <v>3</v>
      </c>
      <c r="Q105" s="6">
        <f t="shared" si="21"/>
        <v>10</v>
      </c>
      <c r="R105" s="58">
        <f>sumifs('WL Matrix 2'!J:J,'WL Matrix 2'!B:B,A105,'WL Matrix 2'!C:C,C105,'WL Matrix 2'!M:M,"Regular Season")</f>
        <v>991.06</v>
      </c>
      <c r="S105" s="58">
        <f>sumifs('WL Matrix 2'!K:K,'WL Matrix 2'!B:B,A105,'WL Matrix 2'!C:C,C105,'WL Matrix 2'!M:M,"Regular Season")</f>
        <v>1187.86</v>
      </c>
      <c r="T105" s="13" t="s">
        <v>600</v>
      </c>
      <c r="U105" s="13" t="s">
        <v>601</v>
      </c>
      <c r="V105" s="59">
        <v>73301.0</v>
      </c>
      <c r="W105" s="62">
        <v>100.0</v>
      </c>
      <c r="X105" s="63" t="s">
        <v>693</v>
      </c>
      <c r="Y105" s="64">
        <v>-100.0</v>
      </c>
      <c r="Z105">
        <f t="shared" si="22"/>
        <v>0</v>
      </c>
      <c r="AA105" s="6">
        <f t="shared" si="6"/>
        <v>0</v>
      </c>
      <c r="AC105" s="6">
        <f t="shared" si="7"/>
        <v>547.765</v>
      </c>
      <c r="AD105" s="6">
        <f t="shared" si="8"/>
        <v>0</v>
      </c>
      <c r="AE105" s="6"/>
      <c r="AF105">
        <f>sumifs('WL Matrix 2'!T:T,'WL Matrix 2'!B:B,A105,'WL Matrix 2'!C:C,C105,'WL Matrix 2'!M:M,"Regular Season")</f>
        <v>44</v>
      </c>
      <c r="AG105">
        <f t="shared" si="13"/>
        <v>99</v>
      </c>
      <c r="AI105" s="32" t="s">
        <v>116</v>
      </c>
      <c r="AJ105" s="32">
        <f t="shared" si="23"/>
        <v>11</v>
      </c>
      <c r="AK105" s="37">
        <f t="shared" si="10"/>
        <v>0.8454363985</v>
      </c>
      <c r="AL105" s="38">
        <f t="shared" si="11"/>
        <v>1.013319154</v>
      </c>
      <c r="AM105" s="38">
        <f>sumifs('WL Matrix 2'!T:T,'WL Matrix 2'!B:B,A105,'WL Matrix 2'!C:C,C105,'WL Matrix 2'!M:M,"Regular Season")</f>
        <v>44</v>
      </c>
    </row>
    <row r="106" ht="14.25" customHeight="1">
      <c r="A106" s="59">
        <v>2017.0</v>
      </c>
      <c r="B106" s="60">
        <v>42736.0</v>
      </c>
      <c r="C106" s="13" t="s">
        <v>82</v>
      </c>
      <c r="D106" s="13" t="s">
        <v>744</v>
      </c>
      <c r="E106" s="13" t="s">
        <v>745</v>
      </c>
      <c r="F106" s="13" t="s">
        <v>747</v>
      </c>
      <c r="G106" s="13" t="s">
        <v>748</v>
      </c>
      <c r="H106" s="13" t="s">
        <v>750</v>
      </c>
      <c r="I106" s="13" t="s">
        <v>615</v>
      </c>
      <c r="J106" s="13" t="s">
        <v>9</v>
      </c>
      <c r="K106" s="13"/>
      <c r="L106" s="61">
        <v>9.0</v>
      </c>
      <c r="M106" s="61">
        <v>9.0</v>
      </c>
      <c r="N106" s="59">
        <v>9.0</v>
      </c>
      <c r="O106" s="59">
        <v>13.0</v>
      </c>
      <c r="P106" s="6">
        <f>sumifs('WL Matrix 2'!L:L,'WL Matrix 2'!B:B,A106,'WL Matrix 2'!C:C,C106)</f>
        <v>8</v>
      </c>
      <c r="Q106" s="6">
        <f t="shared" si="21"/>
        <v>5</v>
      </c>
      <c r="R106" s="58">
        <f>sumifs('WL Matrix 2'!J:J,'WL Matrix 2'!B:B,A106,'WL Matrix 2'!C:C,C106,'WL Matrix 2'!M:M,"Regular Season")</f>
        <v>1062.06</v>
      </c>
      <c r="S106" s="58">
        <f>sumifs('WL Matrix 2'!K:K,'WL Matrix 2'!B:B,A106,'WL Matrix 2'!C:C,C106,'WL Matrix 2'!M:M,"Regular Season")</f>
        <v>1162.54</v>
      </c>
      <c r="T106" s="13" t="s">
        <v>428</v>
      </c>
      <c r="U106" s="13" t="s">
        <v>429</v>
      </c>
      <c r="V106" s="59">
        <v>60610.0</v>
      </c>
      <c r="W106" s="62">
        <v>100.0</v>
      </c>
      <c r="X106" s="63" t="s">
        <v>693</v>
      </c>
      <c r="Y106" s="64">
        <v>-100.0</v>
      </c>
      <c r="Z106">
        <f t="shared" si="22"/>
        <v>0</v>
      </c>
      <c r="AA106" s="6">
        <f t="shared" si="6"/>
        <v>0</v>
      </c>
      <c r="AC106" s="6">
        <f t="shared" si="7"/>
        <v>1065.515</v>
      </c>
      <c r="AD106" s="6">
        <f t="shared" si="8"/>
        <v>0</v>
      </c>
      <c r="AE106" s="6"/>
      <c r="AF106">
        <f>sumifs('WL Matrix 2'!T:T,'WL Matrix 2'!B:B,A106,'WL Matrix 2'!C:C,C106,'WL Matrix 2'!M:M,"Regular Season")</f>
        <v>45</v>
      </c>
      <c r="AG106">
        <f t="shared" si="13"/>
        <v>98</v>
      </c>
      <c r="AI106" s="32" t="s">
        <v>116</v>
      </c>
      <c r="AJ106" s="32">
        <f t="shared" si="23"/>
        <v>10</v>
      </c>
      <c r="AK106" s="37">
        <f t="shared" si="10"/>
        <v>0.9060038558</v>
      </c>
      <c r="AL106" s="38">
        <f t="shared" si="11"/>
        <v>0.991719604</v>
      </c>
      <c r="AM106" s="38">
        <f>sumifs('WL Matrix 2'!T:T,'WL Matrix 2'!B:B,A106,'WL Matrix 2'!C:C,C106,'WL Matrix 2'!M:M,"Regular Season")</f>
        <v>45</v>
      </c>
    </row>
    <row r="107" ht="14.25" customHeight="1">
      <c r="A107" s="59">
        <v>2017.0</v>
      </c>
      <c r="B107" s="60">
        <v>42736.0</v>
      </c>
      <c r="C107" s="13" t="s">
        <v>86</v>
      </c>
      <c r="D107" s="13" t="s">
        <v>755</v>
      </c>
      <c r="E107" s="13" t="s">
        <v>756</v>
      </c>
      <c r="F107" s="13" t="s">
        <v>304</v>
      </c>
      <c r="G107" s="13" t="s">
        <v>757</v>
      </c>
      <c r="H107" s="13" t="s">
        <v>507</v>
      </c>
      <c r="I107" s="13" t="s">
        <v>444</v>
      </c>
      <c r="J107" s="13" t="s">
        <v>9</v>
      </c>
      <c r="K107" s="13"/>
      <c r="L107" s="61">
        <v>2.0</v>
      </c>
      <c r="M107" s="61">
        <v>1.0</v>
      </c>
      <c r="N107" s="59">
        <v>1.0</v>
      </c>
      <c r="O107" s="59">
        <v>13.0</v>
      </c>
      <c r="P107" s="6">
        <f>sumifs('WL Matrix 2'!L:L,'WL Matrix 2'!B:B,A107,'WL Matrix 2'!C:C,C107)</f>
        <v>11</v>
      </c>
      <c r="Q107" s="6">
        <f t="shared" si="21"/>
        <v>2</v>
      </c>
      <c r="R107" s="58">
        <f>sumifs('WL Matrix 2'!J:J,'WL Matrix 2'!B:B,A107,'WL Matrix 2'!C:C,C107,'WL Matrix 2'!M:M,"Regular Season")</f>
        <v>1322.86</v>
      </c>
      <c r="S107" s="58">
        <f>sumifs('WL Matrix 2'!K:K,'WL Matrix 2'!B:B,A107,'WL Matrix 2'!C:C,C107,'WL Matrix 2'!M:M,"Regular Season")</f>
        <v>1091.94</v>
      </c>
      <c r="T107" s="13" t="s">
        <v>428</v>
      </c>
      <c r="U107" s="13" t="s">
        <v>429</v>
      </c>
      <c r="V107" s="59">
        <v>60657.0</v>
      </c>
      <c r="W107" s="62">
        <v>100.0</v>
      </c>
      <c r="X107" s="63">
        <v>450.0</v>
      </c>
      <c r="Y107" s="64">
        <v>350.0</v>
      </c>
      <c r="Z107">
        <f t="shared" si="22"/>
        <v>1</v>
      </c>
      <c r="AA107" s="6">
        <f t="shared" si="6"/>
        <v>1</v>
      </c>
      <c r="AC107" s="6">
        <f t="shared" si="7"/>
        <v>1430.715</v>
      </c>
      <c r="AD107" s="6">
        <f t="shared" si="8"/>
        <v>0</v>
      </c>
      <c r="AE107" s="6"/>
      <c r="AF107">
        <f>sumifs('WL Matrix 2'!T:T,'WL Matrix 2'!B:B,A107,'WL Matrix 2'!C:C,C107,'WL Matrix 2'!M:M,"Regular Season")</f>
        <v>97</v>
      </c>
      <c r="AG107">
        <f t="shared" si="13"/>
        <v>46</v>
      </c>
      <c r="AI107" s="32" t="s">
        <v>116</v>
      </c>
      <c r="AJ107" s="32">
        <f t="shared" si="23"/>
        <v>2</v>
      </c>
      <c r="AK107" s="37">
        <f t="shared" si="10"/>
        <v>1.128482629</v>
      </c>
      <c r="AL107" s="38">
        <f t="shared" si="11"/>
        <v>0.9314933717</v>
      </c>
      <c r="AM107" s="38">
        <f>sumifs('WL Matrix 2'!T:T,'WL Matrix 2'!B:B,A107,'WL Matrix 2'!C:C,C107,'WL Matrix 2'!M:M,"Regular Season")</f>
        <v>97</v>
      </c>
    </row>
    <row r="108" ht="14.25" customHeight="1">
      <c r="A108" s="59">
        <v>2017.0</v>
      </c>
      <c r="B108" s="60">
        <v>42736.0</v>
      </c>
      <c r="C108" s="13" t="s">
        <v>89</v>
      </c>
      <c r="D108" s="13" t="s">
        <v>620</v>
      </c>
      <c r="E108" s="13" t="s">
        <v>760</v>
      </c>
      <c r="F108" s="13" t="s">
        <v>434</v>
      </c>
      <c r="G108" s="13" t="s">
        <v>506</v>
      </c>
      <c r="H108" s="13" t="s">
        <v>762</v>
      </c>
      <c r="I108" s="13" t="s">
        <v>503</v>
      </c>
      <c r="J108" s="13" t="s">
        <v>9</v>
      </c>
      <c r="K108" s="13"/>
      <c r="L108" s="61">
        <v>7.0</v>
      </c>
      <c r="M108" s="61">
        <v>7.0</v>
      </c>
      <c r="N108" s="59">
        <v>7.0</v>
      </c>
      <c r="O108" s="59">
        <v>13.0</v>
      </c>
      <c r="P108" s="6">
        <f>sumifs('WL Matrix 2'!L:L,'WL Matrix 2'!B:B,A108,'WL Matrix 2'!C:C,C108)</f>
        <v>7</v>
      </c>
      <c r="Q108" s="6">
        <f t="shared" si="21"/>
        <v>6</v>
      </c>
      <c r="R108" s="58">
        <f>sumifs('WL Matrix 2'!J:J,'WL Matrix 2'!B:B,A108,'WL Matrix 2'!C:C,C108,'WL Matrix 2'!M:M,"Regular Season")</f>
        <v>1188.76</v>
      </c>
      <c r="S108" s="58">
        <f>sumifs('WL Matrix 2'!K:K,'WL Matrix 2'!B:B,A108,'WL Matrix 2'!C:C,C108,'WL Matrix 2'!M:M,"Regular Season")</f>
        <v>1121.02</v>
      </c>
      <c r="T108" s="13" t="s">
        <v>546</v>
      </c>
      <c r="U108" s="13" t="s">
        <v>46</v>
      </c>
      <c r="V108" s="59">
        <v>46037.0</v>
      </c>
      <c r="W108" s="62">
        <v>100.0</v>
      </c>
      <c r="X108" s="63" t="s">
        <v>693</v>
      </c>
      <c r="Y108" s="64">
        <v>-100.0</v>
      </c>
      <c r="Z108">
        <f t="shared" si="22"/>
        <v>0</v>
      </c>
      <c r="AA108" s="6">
        <f t="shared" si="6"/>
        <v>0</v>
      </c>
      <c r="AC108" s="6">
        <f t="shared" si="7"/>
        <v>997.19</v>
      </c>
      <c r="AD108" s="6">
        <f t="shared" si="8"/>
        <v>0</v>
      </c>
      <c r="AE108" s="6"/>
      <c r="AF108">
        <f>sumifs('WL Matrix 2'!T:T,'WL Matrix 2'!B:B,A108,'WL Matrix 2'!C:C,C108,'WL Matrix 2'!M:M,"Regular Season")</f>
        <v>63</v>
      </c>
      <c r="AG108">
        <f t="shared" si="13"/>
        <v>80</v>
      </c>
      <c r="AI108" s="32" t="s">
        <v>116</v>
      </c>
      <c r="AJ108" s="32">
        <f t="shared" si="23"/>
        <v>6</v>
      </c>
      <c r="AK108" s="37">
        <f t="shared" si="10"/>
        <v>1.01408691</v>
      </c>
      <c r="AL108" s="38">
        <f t="shared" si="11"/>
        <v>0.9563004373</v>
      </c>
      <c r="AM108" s="38">
        <f>sumifs('WL Matrix 2'!T:T,'WL Matrix 2'!B:B,A108,'WL Matrix 2'!C:C,C108,'WL Matrix 2'!M:M,"Regular Season")</f>
        <v>63</v>
      </c>
    </row>
    <row r="109" ht="14.25" customHeight="1">
      <c r="A109" s="59">
        <v>2017.0</v>
      </c>
      <c r="B109" s="60">
        <v>42736.0</v>
      </c>
      <c r="C109" s="13" t="s">
        <v>92</v>
      </c>
      <c r="D109" s="13" t="s">
        <v>766</v>
      </c>
      <c r="E109" s="13" t="s">
        <v>767</v>
      </c>
      <c r="F109" s="13" t="s">
        <v>175</v>
      </c>
      <c r="G109" s="13" t="s">
        <v>768</v>
      </c>
      <c r="H109" s="13" t="s">
        <v>769</v>
      </c>
      <c r="I109" s="13" t="s">
        <v>137</v>
      </c>
      <c r="J109" s="13" t="s">
        <v>9</v>
      </c>
      <c r="K109" s="13"/>
      <c r="L109" s="61">
        <v>8.0</v>
      </c>
      <c r="M109" s="61">
        <v>8.0</v>
      </c>
      <c r="N109" s="59">
        <v>8.0</v>
      </c>
      <c r="O109" s="59">
        <v>13.0</v>
      </c>
      <c r="P109" s="6">
        <f>sumifs('WL Matrix 2'!L:L,'WL Matrix 2'!B:B,A109,'WL Matrix 2'!C:C,C109)</f>
        <v>7</v>
      </c>
      <c r="Q109" s="6">
        <f t="shared" si="21"/>
        <v>6</v>
      </c>
      <c r="R109" s="58">
        <f>sumifs('WL Matrix 2'!J:J,'WL Matrix 2'!B:B,A109,'WL Matrix 2'!C:C,C109,'WL Matrix 2'!M:M,"Regular Season")</f>
        <v>1184.16</v>
      </c>
      <c r="S109" s="58">
        <f>sumifs('WL Matrix 2'!K:K,'WL Matrix 2'!B:B,A109,'WL Matrix 2'!C:C,C109,'WL Matrix 2'!M:M,"Regular Season")</f>
        <v>1240.1</v>
      </c>
      <c r="T109" s="13" t="s">
        <v>428</v>
      </c>
      <c r="U109" s="13" t="s">
        <v>429</v>
      </c>
      <c r="V109" s="59">
        <v>60657.0</v>
      </c>
      <c r="W109" s="62">
        <v>100.0</v>
      </c>
      <c r="X109" s="63" t="s">
        <v>693</v>
      </c>
      <c r="Y109" s="64">
        <v>-100.0</v>
      </c>
      <c r="Z109">
        <f t="shared" si="22"/>
        <v>0</v>
      </c>
      <c r="AA109" s="6">
        <f t="shared" si="6"/>
        <v>0</v>
      </c>
      <c r="AC109" s="6">
        <f t="shared" si="7"/>
        <v>996.04</v>
      </c>
      <c r="AD109" s="6">
        <f t="shared" si="8"/>
        <v>0</v>
      </c>
      <c r="AE109" s="6"/>
      <c r="AF109">
        <f>sumifs('WL Matrix 2'!T:T,'WL Matrix 2'!B:B,A109,'WL Matrix 2'!C:C,C109,'WL Matrix 2'!M:M,"Regular Season")</f>
        <v>69</v>
      </c>
      <c r="AG109">
        <f t="shared" si="13"/>
        <v>74</v>
      </c>
      <c r="AI109" s="32" t="s">
        <v>116</v>
      </c>
      <c r="AJ109" s="32">
        <f t="shared" si="23"/>
        <v>8</v>
      </c>
      <c r="AK109" s="37">
        <f t="shared" si="10"/>
        <v>1.010162821</v>
      </c>
      <c r="AL109" s="38">
        <f t="shared" si="11"/>
        <v>1.057883153</v>
      </c>
      <c r="AM109" s="38">
        <f>sumifs('WL Matrix 2'!T:T,'WL Matrix 2'!B:B,A109,'WL Matrix 2'!C:C,C109,'WL Matrix 2'!M:M,"Regular Season")</f>
        <v>69</v>
      </c>
    </row>
    <row r="110" ht="14.25" customHeight="1">
      <c r="A110" s="59">
        <v>2018.0</v>
      </c>
      <c r="B110" s="60">
        <v>43101.0</v>
      </c>
      <c r="C110" s="13" t="s">
        <v>47</v>
      </c>
      <c r="D110" s="13" t="s">
        <v>776</v>
      </c>
      <c r="E110" s="13" t="s">
        <v>777</v>
      </c>
      <c r="F110" s="13" t="s">
        <v>325</v>
      </c>
      <c r="G110" s="13" t="s">
        <v>778</v>
      </c>
      <c r="H110" s="13" t="s">
        <v>714</v>
      </c>
      <c r="I110" s="13" t="s">
        <v>779</v>
      </c>
      <c r="J110" s="13" t="s">
        <v>9</v>
      </c>
      <c r="K110" s="13"/>
      <c r="L110" s="61">
        <v>7.0</v>
      </c>
      <c r="M110" s="61">
        <v>7.0</v>
      </c>
      <c r="N110" s="59">
        <v>7.0</v>
      </c>
      <c r="O110" s="59">
        <v>13.0</v>
      </c>
      <c r="P110" s="6">
        <f>sumifs('WL Matrix 2'!L:L,'WL Matrix 2'!B:B,A110,'WL Matrix 2'!C:C,C110)</f>
        <v>7</v>
      </c>
      <c r="Q110" s="6">
        <f t="shared" si="21"/>
        <v>6</v>
      </c>
      <c r="R110" s="58">
        <f>sumifs('WL Matrix 2'!J:J,'WL Matrix 2'!B:B,A110,'WL Matrix 2'!C:C,C110,'WL Matrix 2'!M:M,"Regular Season")</f>
        <v>1185.96</v>
      </c>
      <c r="S110" s="58">
        <f>sumifs('WL Matrix 2'!K:K,'WL Matrix 2'!B:B,A110,'WL Matrix 2'!C:C,C110,'WL Matrix 2'!M:M,"Regular Season")</f>
        <v>1200.26</v>
      </c>
      <c r="T110" s="13" t="s">
        <v>630</v>
      </c>
      <c r="U110" s="13" t="s">
        <v>630</v>
      </c>
      <c r="V110" s="59">
        <v>10023.0</v>
      </c>
      <c r="W110" s="62">
        <v>100.0</v>
      </c>
      <c r="X110" s="63" t="s">
        <v>693</v>
      </c>
      <c r="Y110" s="64">
        <v>-100.0</v>
      </c>
      <c r="Z110">
        <f t="shared" si="22"/>
        <v>0</v>
      </c>
      <c r="AA110" s="6">
        <f t="shared" si="6"/>
        <v>0</v>
      </c>
      <c r="AC110" s="6">
        <f t="shared" si="7"/>
        <v>996.49</v>
      </c>
      <c r="AD110" s="6">
        <f t="shared" si="8"/>
        <v>0</v>
      </c>
      <c r="AE110" s="6"/>
      <c r="AF110">
        <f>sumifs('WL Matrix 2'!T:T,'WL Matrix 2'!B:B,A110,'WL Matrix 2'!C:C,C110,'WL Matrix 2'!M:M,"Regular Season")</f>
        <v>52</v>
      </c>
      <c r="AG110">
        <f t="shared" si="13"/>
        <v>91</v>
      </c>
      <c r="AI110" s="32" t="s">
        <v>116</v>
      </c>
      <c r="AJ110" s="32">
        <f t="shared" ref="AJ110:AJ121" si="24">rank(R110,$R$110:$R$121)</f>
        <v>10</v>
      </c>
      <c r="AK110" s="37">
        <f t="shared" si="10"/>
        <v>0.9177848086</v>
      </c>
      <c r="AL110" s="38">
        <f t="shared" si="11"/>
        <v>0.9288512212</v>
      </c>
      <c r="AM110" s="38">
        <f>sumifs('WL Matrix 2'!T:T,'WL Matrix 2'!B:B,A110,'WL Matrix 2'!C:C,C110,'WL Matrix 2'!M:M,"Regular Season")</f>
        <v>52</v>
      </c>
    </row>
    <row r="111" ht="14.25" customHeight="1">
      <c r="A111" s="59">
        <v>2018.0</v>
      </c>
      <c r="B111" s="60">
        <v>43101.0</v>
      </c>
      <c r="C111" s="13" t="s">
        <v>52</v>
      </c>
      <c r="D111" s="13" t="s">
        <v>784</v>
      </c>
      <c r="E111" s="13" t="s">
        <v>785</v>
      </c>
      <c r="F111" s="13" t="s">
        <v>700</v>
      </c>
      <c r="G111" s="13" t="s">
        <v>640</v>
      </c>
      <c r="H111" s="13" t="s">
        <v>769</v>
      </c>
      <c r="I111" s="13" t="s">
        <v>333</v>
      </c>
      <c r="J111" s="13" t="s">
        <v>9</v>
      </c>
      <c r="K111" s="13"/>
      <c r="L111" s="61">
        <v>9.0</v>
      </c>
      <c r="M111" s="61">
        <v>9.0</v>
      </c>
      <c r="N111" s="59">
        <v>9.0</v>
      </c>
      <c r="O111" s="59">
        <v>13.0</v>
      </c>
      <c r="P111" s="6">
        <f>sumifs('WL Matrix 2'!L:L,'WL Matrix 2'!B:B,A111,'WL Matrix 2'!C:C,C111)</f>
        <v>6</v>
      </c>
      <c r="Q111" s="6">
        <f t="shared" si="21"/>
        <v>7</v>
      </c>
      <c r="R111" s="58">
        <f>sumifs('WL Matrix 2'!J:J,'WL Matrix 2'!B:B,A111,'WL Matrix 2'!C:C,C111,'WL Matrix 2'!M:M,"Regular Season")</f>
        <v>1241.4</v>
      </c>
      <c r="S111" s="58">
        <f>sumifs('WL Matrix 2'!K:K,'WL Matrix 2'!B:B,A111,'WL Matrix 2'!C:C,C111,'WL Matrix 2'!M:M,"Regular Season")</f>
        <v>1286.6</v>
      </c>
      <c r="T111" s="13" t="s">
        <v>561</v>
      </c>
      <c r="U111" s="13" t="s">
        <v>562</v>
      </c>
      <c r="V111" s="59">
        <v>37115.0</v>
      </c>
      <c r="W111" s="62">
        <v>100.0</v>
      </c>
      <c r="X111" s="63" t="s">
        <v>693</v>
      </c>
      <c r="Y111" s="64">
        <v>-100.0</v>
      </c>
      <c r="Z111">
        <f t="shared" si="22"/>
        <v>0</v>
      </c>
      <c r="AA111" s="6">
        <f t="shared" si="6"/>
        <v>0</v>
      </c>
      <c r="AC111" s="6">
        <f t="shared" si="7"/>
        <v>910.35</v>
      </c>
      <c r="AD111" s="6">
        <f t="shared" si="8"/>
        <v>0</v>
      </c>
      <c r="AE111" s="6"/>
      <c r="AF111">
        <f>sumifs('WL Matrix 2'!T:T,'WL Matrix 2'!B:B,A111,'WL Matrix 2'!C:C,C111,'WL Matrix 2'!M:M,"Regular Season")</f>
        <v>70</v>
      </c>
      <c r="AG111">
        <f t="shared" si="13"/>
        <v>73</v>
      </c>
      <c r="AI111" s="32" t="s">
        <v>116</v>
      </c>
      <c r="AJ111" s="32">
        <f t="shared" si="24"/>
        <v>7</v>
      </c>
      <c r="AK111" s="37">
        <f t="shared" si="10"/>
        <v>0.9606884392</v>
      </c>
      <c r="AL111" s="38">
        <f t="shared" si="11"/>
        <v>0.9956675897</v>
      </c>
      <c r="AM111" s="38">
        <f>sumifs('WL Matrix 2'!T:T,'WL Matrix 2'!B:B,A111,'WL Matrix 2'!C:C,C111,'WL Matrix 2'!M:M,"Regular Season")</f>
        <v>70</v>
      </c>
    </row>
    <row r="112" ht="14.25" customHeight="1">
      <c r="A112" s="59">
        <v>2018.0</v>
      </c>
      <c r="B112" s="60">
        <v>43101.0</v>
      </c>
      <c r="C112" s="13" t="s">
        <v>57</v>
      </c>
      <c r="D112" s="13" t="s">
        <v>790</v>
      </c>
      <c r="E112" s="13" t="s">
        <v>791</v>
      </c>
      <c r="F112" s="13" t="s">
        <v>183</v>
      </c>
      <c r="G112" s="13" t="s">
        <v>648</v>
      </c>
      <c r="H112" s="13" t="s">
        <v>792</v>
      </c>
      <c r="I112" s="13" t="s">
        <v>444</v>
      </c>
      <c r="J112" s="13" t="s">
        <v>9</v>
      </c>
      <c r="K112" s="13"/>
      <c r="L112" s="61">
        <v>11.0</v>
      </c>
      <c r="M112" s="61">
        <v>11.0</v>
      </c>
      <c r="N112" s="59">
        <v>11.0</v>
      </c>
      <c r="O112" s="59">
        <v>13.0</v>
      </c>
      <c r="P112" s="6">
        <f>sumifs('WL Matrix 2'!L:L,'WL Matrix 2'!B:B,A112,'WL Matrix 2'!C:C,C112)</f>
        <v>6</v>
      </c>
      <c r="Q112" s="6">
        <f t="shared" si="21"/>
        <v>7</v>
      </c>
      <c r="R112" s="58">
        <f>sumifs('WL Matrix 2'!J:J,'WL Matrix 2'!B:B,A112,'WL Matrix 2'!C:C,C112,'WL Matrix 2'!M:M,"Regular Season")</f>
        <v>1157.28</v>
      </c>
      <c r="S112" s="58">
        <f>sumifs('WL Matrix 2'!K:K,'WL Matrix 2'!B:B,A112,'WL Matrix 2'!C:C,C112,'WL Matrix 2'!M:M,"Regular Season")</f>
        <v>1364.52</v>
      </c>
      <c r="T112" s="13" t="s">
        <v>428</v>
      </c>
      <c r="U112" s="13" t="s">
        <v>429</v>
      </c>
      <c r="V112" s="59">
        <v>60647.0</v>
      </c>
      <c r="W112" s="62">
        <v>100.0</v>
      </c>
      <c r="X112" s="63" t="s">
        <v>693</v>
      </c>
      <c r="Y112" s="64">
        <v>-100.0</v>
      </c>
      <c r="Z112">
        <f t="shared" si="22"/>
        <v>0</v>
      </c>
      <c r="AA112" s="6">
        <f t="shared" si="6"/>
        <v>0</v>
      </c>
      <c r="AC112" s="6">
        <f t="shared" si="7"/>
        <v>889.32</v>
      </c>
      <c r="AD112" s="6">
        <f t="shared" si="8"/>
        <v>0</v>
      </c>
      <c r="AE112" s="6"/>
      <c r="AF112">
        <f>sumifs('WL Matrix 2'!T:T,'WL Matrix 2'!B:B,A112,'WL Matrix 2'!C:C,C112,'WL Matrix 2'!M:M,"Regular Season")</f>
        <v>47</v>
      </c>
      <c r="AG112">
        <f t="shared" si="13"/>
        <v>96</v>
      </c>
      <c r="AI112" s="32" t="s">
        <v>116</v>
      </c>
      <c r="AJ112" s="32">
        <f t="shared" si="24"/>
        <v>11</v>
      </c>
      <c r="AK112" s="37">
        <f t="shared" si="10"/>
        <v>0.8955900732</v>
      </c>
      <c r="AL112" s="38">
        <f t="shared" si="11"/>
        <v>1.055967931</v>
      </c>
      <c r="AM112" s="38">
        <f>sumifs('WL Matrix 2'!T:T,'WL Matrix 2'!B:B,A112,'WL Matrix 2'!C:C,C112,'WL Matrix 2'!M:M,"Regular Season")</f>
        <v>47</v>
      </c>
    </row>
    <row r="113" ht="14.25" customHeight="1">
      <c r="A113" s="59">
        <v>2018.0</v>
      </c>
      <c r="B113" s="60">
        <v>43101.0</v>
      </c>
      <c r="C113" s="13" t="s">
        <v>39</v>
      </c>
      <c r="D113" s="13" t="s">
        <v>797</v>
      </c>
      <c r="E113" s="13" t="s">
        <v>798</v>
      </c>
      <c r="F113" s="13" t="s">
        <v>351</v>
      </c>
      <c r="G113" s="13" t="s">
        <v>799</v>
      </c>
      <c r="H113" s="13" t="s">
        <v>614</v>
      </c>
      <c r="I113" s="13" t="s">
        <v>800</v>
      </c>
      <c r="J113" s="13" t="s">
        <v>9</v>
      </c>
      <c r="K113" s="13"/>
      <c r="L113" s="61">
        <v>6.0</v>
      </c>
      <c r="M113" s="61">
        <v>6.0</v>
      </c>
      <c r="N113" s="59">
        <v>6.0</v>
      </c>
      <c r="O113" s="59">
        <v>13.0</v>
      </c>
      <c r="P113" s="6">
        <f>sumifs('WL Matrix 2'!L:L,'WL Matrix 2'!B:B,A113,'WL Matrix 2'!C:C,C113)</f>
        <v>7</v>
      </c>
      <c r="Q113" s="6">
        <f t="shared" si="21"/>
        <v>6</v>
      </c>
      <c r="R113" s="58">
        <f>sumifs('WL Matrix 2'!J:J,'WL Matrix 2'!B:B,A113,'WL Matrix 2'!C:C,C113,'WL Matrix 2'!M:M,"Regular Season")</f>
        <v>1240.86</v>
      </c>
      <c r="S113" s="58">
        <f>sumifs('WL Matrix 2'!K:K,'WL Matrix 2'!B:B,A113,'WL Matrix 2'!C:C,C113,'WL Matrix 2'!M:M,"Regular Season")</f>
        <v>1267.88</v>
      </c>
      <c r="T113" s="13" t="s">
        <v>644</v>
      </c>
      <c r="U113" s="13" t="s">
        <v>589</v>
      </c>
      <c r="V113" s="59">
        <v>94101.0</v>
      </c>
      <c r="W113" s="62">
        <v>100.0</v>
      </c>
      <c r="X113" s="63" t="s">
        <v>693</v>
      </c>
      <c r="Y113" s="64">
        <v>-100.0</v>
      </c>
      <c r="Z113">
        <f t="shared" si="22"/>
        <v>0</v>
      </c>
      <c r="AA113" s="6">
        <f t="shared" si="6"/>
        <v>1</v>
      </c>
      <c r="AC113" s="6">
        <f t="shared" si="7"/>
        <v>1010.215</v>
      </c>
      <c r="AD113" s="6">
        <f t="shared" si="8"/>
        <v>0</v>
      </c>
      <c r="AE113" s="6"/>
      <c r="AF113">
        <f>sumifs('WL Matrix 2'!T:T,'WL Matrix 2'!B:B,A113,'WL Matrix 2'!C:C,C113,'WL Matrix 2'!M:M,"Regular Season")</f>
        <v>65</v>
      </c>
      <c r="AG113">
        <f t="shared" si="13"/>
        <v>78</v>
      </c>
      <c r="AI113" s="32" t="s">
        <v>116</v>
      </c>
      <c r="AJ113" s="32">
        <f t="shared" si="24"/>
        <v>8</v>
      </c>
      <c r="AK113" s="37">
        <f t="shared" si="10"/>
        <v>0.9602705467</v>
      </c>
      <c r="AL113" s="38">
        <f t="shared" si="11"/>
        <v>0.9811806495</v>
      </c>
      <c r="AM113" s="38">
        <f>sumifs('WL Matrix 2'!T:T,'WL Matrix 2'!B:B,A113,'WL Matrix 2'!C:C,C113,'WL Matrix 2'!M:M,"Regular Season")</f>
        <v>65</v>
      </c>
    </row>
    <row r="114" ht="14.25" customHeight="1">
      <c r="A114" s="59">
        <v>2018.0</v>
      </c>
      <c r="B114" s="60">
        <v>43101.0</v>
      </c>
      <c r="C114" s="13" t="s">
        <v>67</v>
      </c>
      <c r="D114" s="13" t="s">
        <v>805</v>
      </c>
      <c r="E114" s="13" t="s">
        <v>806</v>
      </c>
      <c r="F114" s="13" t="s">
        <v>175</v>
      </c>
      <c r="G114" s="13" t="s">
        <v>807</v>
      </c>
      <c r="H114" s="13" t="s">
        <v>808</v>
      </c>
      <c r="I114" s="13" t="s">
        <v>587</v>
      </c>
      <c r="J114" s="13" t="s">
        <v>9</v>
      </c>
      <c r="K114" s="13"/>
      <c r="L114" s="61">
        <v>4.0</v>
      </c>
      <c r="M114" s="61">
        <v>3.0</v>
      </c>
      <c r="N114" s="59">
        <v>3.0</v>
      </c>
      <c r="O114" s="59">
        <v>13.0</v>
      </c>
      <c r="P114" s="6">
        <f>sumifs('WL Matrix 2'!L:L,'WL Matrix 2'!B:B,A114,'WL Matrix 2'!C:C,C114)</f>
        <v>8</v>
      </c>
      <c r="Q114" s="6">
        <f t="shared" si="21"/>
        <v>5</v>
      </c>
      <c r="R114" s="58">
        <f>sumifs('WL Matrix 2'!J:J,'WL Matrix 2'!B:B,A114,'WL Matrix 2'!C:C,C114,'WL Matrix 2'!M:M,"Regular Season")</f>
        <v>1454.68</v>
      </c>
      <c r="S114" s="58">
        <f>sumifs('WL Matrix 2'!K:K,'WL Matrix 2'!B:B,A114,'WL Matrix 2'!C:C,C114,'WL Matrix 2'!M:M,"Regular Season")</f>
        <v>1420.72</v>
      </c>
      <c r="T114" s="13" t="s">
        <v>428</v>
      </c>
      <c r="U114" s="13" t="s">
        <v>429</v>
      </c>
      <c r="V114" s="59">
        <v>60610.0</v>
      </c>
      <c r="W114" s="62">
        <v>100.0</v>
      </c>
      <c r="X114" s="63">
        <v>100.0</v>
      </c>
      <c r="Y114" s="64" t="s">
        <v>693</v>
      </c>
      <c r="Z114">
        <f t="shared" si="22"/>
        <v>0</v>
      </c>
      <c r="AA114" s="6">
        <f t="shared" si="6"/>
        <v>1</v>
      </c>
      <c r="AC114" s="6">
        <f t="shared" si="7"/>
        <v>1163.67</v>
      </c>
      <c r="AD114" s="6">
        <f t="shared" si="8"/>
        <v>0</v>
      </c>
      <c r="AE114" s="6"/>
      <c r="AF114">
        <f>sumifs('WL Matrix 2'!T:T,'WL Matrix 2'!B:B,A114,'WL Matrix 2'!C:C,C114,'WL Matrix 2'!M:M,"Regular Season")</f>
        <v>103</v>
      </c>
      <c r="AG114">
        <f t="shared" si="13"/>
        <v>40</v>
      </c>
      <c r="AI114" s="32" t="s">
        <v>116</v>
      </c>
      <c r="AJ114" s="32">
        <f t="shared" si="24"/>
        <v>2</v>
      </c>
      <c r="AK114" s="37">
        <f t="shared" si="10"/>
        <v>1.125740502</v>
      </c>
      <c r="AL114" s="38">
        <f t="shared" si="11"/>
        <v>1.099459706</v>
      </c>
      <c r="AM114" s="38">
        <f>sumifs('WL Matrix 2'!T:T,'WL Matrix 2'!B:B,A114,'WL Matrix 2'!C:C,C114,'WL Matrix 2'!M:M,"Regular Season")</f>
        <v>103</v>
      </c>
    </row>
    <row r="115" ht="14.25" customHeight="1">
      <c r="A115" s="59">
        <v>2018.0</v>
      </c>
      <c r="B115" s="60">
        <v>43101.0</v>
      </c>
      <c r="C115" s="13" t="s">
        <v>72</v>
      </c>
      <c r="D115" s="13" t="s">
        <v>813</v>
      </c>
      <c r="E115" s="13" t="s">
        <v>814</v>
      </c>
      <c r="F115" s="13" t="s">
        <v>747</v>
      </c>
      <c r="G115" s="13" t="s">
        <v>506</v>
      </c>
      <c r="H115" s="13" t="s">
        <v>443</v>
      </c>
      <c r="I115" s="13" t="s">
        <v>815</v>
      </c>
      <c r="J115" s="13" t="s">
        <v>9</v>
      </c>
      <c r="K115" s="13"/>
      <c r="L115" s="61">
        <v>5.0</v>
      </c>
      <c r="M115" s="61">
        <v>5.0</v>
      </c>
      <c r="N115" s="59">
        <v>5.0</v>
      </c>
      <c r="O115" s="59">
        <v>13.0</v>
      </c>
      <c r="P115" s="6">
        <f>sumifs('WL Matrix 2'!L:L,'WL Matrix 2'!B:B,A115,'WL Matrix 2'!C:C,C115)</f>
        <v>9</v>
      </c>
      <c r="Q115" s="6">
        <f t="shared" si="21"/>
        <v>4</v>
      </c>
      <c r="R115" s="58">
        <f>sumifs('WL Matrix 2'!J:J,'WL Matrix 2'!B:B,A115,'WL Matrix 2'!C:C,C115,'WL Matrix 2'!M:M,"Regular Season")</f>
        <v>1304.14</v>
      </c>
      <c r="S115" s="58">
        <f>sumifs('WL Matrix 2'!K:K,'WL Matrix 2'!B:B,A115,'WL Matrix 2'!C:C,C115,'WL Matrix 2'!M:M,"Regular Season")</f>
        <v>1285.3</v>
      </c>
      <c r="T115" s="13" t="s">
        <v>428</v>
      </c>
      <c r="U115" s="13" t="s">
        <v>429</v>
      </c>
      <c r="V115" s="59">
        <v>60614.0</v>
      </c>
      <c r="W115" s="62">
        <v>100.0</v>
      </c>
      <c r="X115" s="63" t="s">
        <v>693</v>
      </c>
      <c r="Y115" s="64">
        <v>-100.0</v>
      </c>
      <c r="Z115">
        <f t="shared" si="22"/>
        <v>0</v>
      </c>
      <c r="AA115" s="6">
        <f t="shared" si="6"/>
        <v>1</v>
      </c>
      <c r="AC115" s="6">
        <f t="shared" si="7"/>
        <v>1226.035</v>
      </c>
      <c r="AD115" s="6">
        <f t="shared" si="8"/>
        <v>0</v>
      </c>
      <c r="AE115" s="6"/>
      <c r="AF115">
        <f>sumifs('WL Matrix 2'!T:T,'WL Matrix 2'!B:B,A115,'WL Matrix 2'!C:C,C115,'WL Matrix 2'!M:M,"Regular Season")</f>
        <v>72</v>
      </c>
      <c r="AG115">
        <f t="shared" si="13"/>
        <v>71</v>
      </c>
      <c r="AI115" s="32" t="s">
        <v>116</v>
      </c>
      <c r="AJ115" s="32">
        <f t="shared" si="24"/>
        <v>6</v>
      </c>
      <c r="AK115" s="37">
        <f t="shared" si="10"/>
        <v>1.009241357</v>
      </c>
      <c r="AL115" s="38">
        <f t="shared" si="11"/>
        <v>0.9946615522</v>
      </c>
      <c r="AM115" s="38">
        <f>sumifs('WL Matrix 2'!T:T,'WL Matrix 2'!B:B,A115,'WL Matrix 2'!C:C,C115,'WL Matrix 2'!M:M,"Regular Season")</f>
        <v>72</v>
      </c>
    </row>
    <row r="116" ht="14.25" customHeight="1">
      <c r="A116" s="59">
        <v>2018.0</v>
      </c>
      <c r="B116" s="60">
        <v>43101.0</v>
      </c>
      <c r="C116" s="13" t="s">
        <v>76</v>
      </c>
      <c r="D116" s="13" t="s">
        <v>820</v>
      </c>
      <c r="E116" s="13" t="s">
        <v>821</v>
      </c>
      <c r="F116" s="13" t="s">
        <v>822</v>
      </c>
      <c r="G116" s="13" t="s">
        <v>566</v>
      </c>
      <c r="H116" s="13" t="s">
        <v>732</v>
      </c>
      <c r="I116" s="13" t="s">
        <v>823</v>
      </c>
      <c r="J116" s="13" t="s">
        <v>9</v>
      </c>
      <c r="K116" s="13"/>
      <c r="L116" s="61">
        <v>1.0</v>
      </c>
      <c r="M116" s="61">
        <v>2.0</v>
      </c>
      <c r="N116" s="59">
        <v>2.0</v>
      </c>
      <c r="O116" s="59">
        <v>13.0</v>
      </c>
      <c r="P116" s="6">
        <f>sumifs('WL Matrix 2'!L:L,'WL Matrix 2'!B:B,A116,'WL Matrix 2'!C:C,C116)</f>
        <v>11</v>
      </c>
      <c r="Q116" s="6">
        <f t="shared" si="21"/>
        <v>2</v>
      </c>
      <c r="R116" s="58">
        <f>sumifs('WL Matrix 2'!J:J,'WL Matrix 2'!B:B,A116,'WL Matrix 2'!C:C,C116,'WL Matrix 2'!M:M,"Regular Season")</f>
        <v>1496.92</v>
      </c>
      <c r="S116" s="58">
        <f>sumifs('WL Matrix 2'!K:K,'WL Matrix 2'!B:B,A116,'WL Matrix 2'!C:C,C116,'WL Matrix 2'!M:M,"Regular Season")</f>
        <v>1229.88</v>
      </c>
      <c r="T116" s="13" t="s">
        <v>588</v>
      </c>
      <c r="U116" s="13" t="s">
        <v>589</v>
      </c>
      <c r="V116" s="59">
        <v>90026.0</v>
      </c>
      <c r="W116" s="62">
        <v>100.0</v>
      </c>
      <c r="X116" s="63">
        <v>650.0</v>
      </c>
      <c r="Y116" s="64">
        <v>550.0</v>
      </c>
      <c r="Z116">
        <f t="shared" si="22"/>
        <v>0</v>
      </c>
      <c r="AA116" s="6">
        <f t="shared" si="6"/>
        <v>1</v>
      </c>
      <c r="AC116" s="6">
        <f t="shared" si="7"/>
        <v>1474.23</v>
      </c>
      <c r="AD116" s="6">
        <f t="shared" si="8"/>
        <v>1</v>
      </c>
      <c r="AE116" s="49">
        <v>1.0</v>
      </c>
      <c r="AF116">
        <f>sumifs('WL Matrix 2'!T:T,'WL Matrix 2'!B:B,A116,'WL Matrix 2'!C:C,C116,'WL Matrix 2'!M:M,"Regular Season")</f>
        <v>96</v>
      </c>
      <c r="AG116">
        <f t="shared" si="13"/>
        <v>47</v>
      </c>
      <c r="AI116" s="32" t="s">
        <v>116</v>
      </c>
      <c r="AJ116" s="32">
        <f t="shared" si="24"/>
        <v>1</v>
      </c>
      <c r="AK116" s="37">
        <f t="shared" si="10"/>
        <v>1.158428982</v>
      </c>
      <c r="AL116" s="38">
        <f t="shared" si="11"/>
        <v>0.9517733991</v>
      </c>
      <c r="AM116" s="38">
        <f>sumifs('WL Matrix 2'!T:T,'WL Matrix 2'!B:B,A116,'WL Matrix 2'!C:C,C116,'WL Matrix 2'!M:M,"Regular Season")</f>
        <v>96</v>
      </c>
    </row>
    <row r="117" ht="14.25" customHeight="1">
      <c r="A117" s="59">
        <v>2018.0</v>
      </c>
      <c r="B117" s="60">
        <v>43101.0</v>
      </c>
      <c r="C117" s="13" t="s">
        <v>79</v>
      </c>
      <c r="D117" s="13" t="s">
        <v>828</v>
      </c>
      <c r="E117" s="13" t="s">
        <v>830</v>
      </c>
      <c r="F117" s="13" t="s">
        <v>831</v>
      </c>
      <c r="G117" s="13" t="s">
        <v>352</v>
      </c>
      <c r="H117" s="13" t="s">
        <v>347</v>
      </c>
      <c r="I117" s="13" t="s">
        <v>242</v>
      </c>
      <c r="J117" s="49" t="s">
        <v>123</v>
      </c>
      <c r="K117" s="13"/>
      <c r="L117" s="61">
        <v>12.0</v>
      </c>
      <c r="M117" s="61">
        <v>12.0</v>
      </c>
      <c r="N117" s="59">
        <v>12.0</v>
      </c>
      <c r="O117" s="59">
        <v>13.0</v>
      </c>
      <c r="P117" s="6">
        <f>sumifs('WL Matrix 2'!L:L,'WL Matrix 2'!B:B,A117,'WL Matrix 2'!C:C,C117)</f>
        <v>5</v>
      </c>
      <c r="Q117" s="6">
        <f t="shared" si="21"/>
        <v>8</v>
      </c>
      <c r="R117" s="58">
        <f>sumifs('WL Matrix 2'!J:J,'WL Matrix 2'!B:B,A117,'WL Matrix 2'!C:C,C117,'WL Matrix 2'!M:M,"Regular Season")</f>
        <v>1121.74</v>
      </c>
      <c r="S117" s="58">
        <f>sumifs('WL Matrix 2'!K:K,'WL Matrix 2'!B:B,A117,'WL Matrix 2'!C:C,C117,'WL Matrix 2'!M:M,"Regular Season")</f>
        <v>1304.16</v>
      </c>
      <c r="T117" s="13" t="s">
        <v>600</v>
      </c>
      <c r="U117" s="13" t="s">
        <v>601</v>
      </c>
      <c r="V117" s="59">
        <v>73301.0</v>
      </c>
      <c r="W117" s="62">
        <v>100.0</v>
      </c>
      <c r="X117" s="63" t="s">
        <v>693</v>
      </c>
      <c r="Y117" s="64">
        <v>-100.0</v>
      </c>
      <c r="Z117">
        <f t="shared" si="22"/>
        <v>0</v>
      </c>
      <c r="AA117" s="6">
        <f t="shared" si="6"/>
        <v>0</v>
      </c>
      <c r="AC117" s="6">
        <f t="shared" si="7"/>
        <v>780.435</v>
      </c>
      <c r="AD117" s="6">
        <f t="shared" si="8"/>
        <v>0</v>
      </c>
      <c r="AE117" s="6"/>
      <c r="AF117">
        <f>sumifs('WL Matrix 2'!T:T,'WL Matrix 2'!B:B,A117,'WL Matrix 2'!C:C,C117,'WL Matrix 2'!M:M,"Regular Season")</f>
        <v>40</v>
      </c>
      <c r="AG117">
        <f t="shared" si="13"/>
        <v>103</v>
      </c>
      <c r="AI117" s="32" t="s">
        <v>116</v>
      </c>
      <c r="AJ117" s="32">
        <f t="shared" si="24"/>
        <v>12</v>
      </c>
      <c r="AK117" s="37">
        <f t="shared" si="10"/>
        <v>0.8680865553</v>
      </c>
      <c r="AL117" s="38">
        <f t="shared" si="11"/>
        <v>1.009256835</v>
      </c>
      <c r="AM117" s="38">
        <f>sumifs('WL Matrix 2'!T:T,'WL Matrix 2'!B:B,A117,'WL Matrix 2'!C:C,C117,'WL Matrix 2'!M:M,"Regular Season")</f>
        <v>40</v>
      </c>
    </row>
    <row r="118" ht="14.25" customHeight="1">
      <c r="A118" s="59">
        <v>2018.0</v>
      </c>
      <c r="B118" s="60">
        <v>43101.0</v>
      </c>
      <c r="C118" s="13" t="s">
        <v>82</v>
      </c>
      <c r="D118" s="13" t="s">
        <v>836</v>
      </c>
      <c r="E118" s="13" t="s">
        <v>838</v>
      </c>
      <c r="F118" s="13" t="s">
        <v>41</v>
      </c>
      <c r="G118" s="13" t="s">
        <v>757</v>
      </c>
      <c r="H118" s="13" t="s">
        <v>839</v>
      </c>
      <c r="I118" s="13" t="s">
        <v>840</v>
      </c>
      <c r="J118" s="13" t="s">
        <v>9</v>
      </c>
      <c r="K118" s="13"/>
      <c r="L118" s="61">
        <v>2.0</v>
      </c>
      <c r="M118" s="61">
        <v>4.0</v>
      </c>
      <c r="N118" s="59">
        <v>4.0</v>
      </c>
      <c r="O118" s="59">
        <v>13.0</v>
      </c>
      <c r="P118" s="6">
        <f>sumifs('WL Matrix 2'!L:L,'WL Matrix 2'!B:B,A118,'WL Matrix 2'!C:C,C118)</f>
        <v>9</v>
      </c>
      <c r="Q118" s="6">
        <f t="shared" si="21"/>
        <v>4</v>
      </c>
      <c r="R118" s="58">
        <f>sumifs('WL Matrix 2'!J:J,'WL Matrix 2'!B:B,A118,'WL Matrix 2'!C:C,C118,'WL Matrix 2'!M:M,"Regular Season")</f>
        <v>1313.98</v>
      </c>
      <c r="S118" s="58">
        <f>sumifs('WL Matrix 2'!K:K,'WL Matrix 2'!B:B,A118,'WL Matrix 2'!C:C,C118,'WL Matrix 2'!M:M,"Regular Season")</f>
        <v>1166.46</v>
      </c>
      <c r="T118" s="13" t="s">
        <v>428</v>
      </c>
      <c r="U118" s="13" t="s">
        <v>429</v>
      </c>
      <c r="V118" s="59">
        <v>60610.0</v>
      </c>
      <c r="W118" s="62">
        <v>100.0</v>
      </c>
      <c r="X118" s="63" t="s">
        <v>693</v>
      </c>
      <c r="Y118" s="64">
        <v>-100.0</v>
      </c>
      <c r="Z118">
        <f t="shared" si="22"/>
        <v>0</v>
      </c>
      <c r="AA118" s="6">
        <f t="shared" si="6"/>
        <v>1</v>
      </c>
      <c r="AC118" s="6">
        <f t="shared" si="7"/>
        <v>1228.495</v>
      </c>
      <c r="AD118" s="6">
        <f t="shared" si="8"/>
        <v>0</v>
      </c>
      <c r="AE118" s="6"/>
      <c r="AF118">
        <f>sumifs('WL Matrix 2'!T:T,'WL Matrix 2'!B:B,A118,'WL Matrix 2'!C:C,C118,'WL Matrix 2'!M:M,"Regular Season")</f>
        <v>76</v>
      </c>
      <c r="AG118">
        <f t="shared" si="13"/>
        <v>67</v>
      </c>
      <c r="AI118" s="32" t="s">
        <v>116</v>
      </c>
      <c r="AJ118" s="32">
        <f t="shared" si="24"/>
        <v>4</v>
      </c>
      <c r="AK118" s="37">
        <f t="shared" si="10"/>
        <v>1.016856288</v>
      </c>
      <c r="AL118" s="38">
        <f t="shared" si="11"/>
        <v>0.9026942459</v>
      </c>
      <c r="AM118" s="38">
        <f>sumifs('WL Matrix 2'!T:T,'WL Matrix 2'!B:B,A118,'WL Matrix 2'!C:C,C118,'WL Matrix 2'!M:M,"Regular Season")</f>
        <v>76</v>
      </c>
    </row>
    <row r="119" ht="14.25" customHeight="1">
      <c r="A119" s="59">
        <v>2018.0</v>
      </c>
      <c r="B119" s="60">
        <v>43101.0</v>
      </c>
      <c r="C119" s="13" t="s">
        <v>86</v>
      </c>
      <c r="D119" s="13" t="s">
        <v>845</v>
      </c>
      <c r="E119" s="13" t="s">
        <v>846</v>
      </c>
      <c r="F119" s="13" t="s">
        <v>133</v>
      </c>
      <c r="G119" s="13" t="s">
        <v>678</v>
      </c>
      <c r="H119" s="13" t="s">
        <v>507</v>
      </c>
      <c r="I119" s="13" t="s">
        <v>503</v>
      </c>
      <c r="J119" s="13" t="s">
        <v>9</v>
      </c>
      <c r="K119" s="13"/>
      <c r="L119" s="61">
        <v>8.0</v>
      </c>
      <c r="M119" s="61">
        <v>8.0</v>
      </c>
      <c r="N119" s="59">
        <v>8.0</v>
      </c>
      <c r="O119" s="59">
        <v>13.0</v>
      </c>
      <c r="P119" s="6">
        <f>sumifs('WL Matrix 2'!L:L,'WL Matrix 2'!B:B,A119,'WL Matrix 2'!C:C,C119)</f>
        <v>7</v>
      </c>
      <c r="Q119" s="6">
        <f t="shared" si="21"/>
        <v>6</v>
      </c>
      <c r="R119" s="58">
        <f>sumifs('WL Matrix 2'!J:J,'WL Matrix 2'!B:B,A119,'WL Matrix 2'!C:C,C119,'WL Matrix 2'!M:M,"Regular Season")</f>
        <v>1305.84</v>
      </c>
      <c r="S119" s="58">
        <f>sumifs('WL Matrix 2'!K:K,'WL Matrix 2'!B:B,A119,'WL Matrix 2'!C:C,C119,'WL Matrix 2'!M:M,"Regular Season")</f>
        <v>1391.18</v>
      </c>
      <c r="T119" s="13" t="s">
        <v>428</v>
      </c>
      <c r="U119" s="13" t="s">
        <v>429</v>
      </c>
      <c r="V119" s="59">
        <v>60657.0</v>
      </c>
      <c r="W119" s="62">
        <v>100.0</v>
      </c>
      <c r="X119" s="63" t="s">
        <v>693</v>
      </c>
      <c r="Y119" s="64">
        <v>-100.0</v>
      </c>
      <c r="Z119">
        <f t="shared" si="22"/>
        <v>0</v>
      </c>
      <c r="AA119" s="6">
        <f t="shared" si="6"/>
        <v>0</v>
      </c>
      <c r="AC119" s="6">
        <f t="shared" si="7"/>
        <v>1026.46</v>
      </c>
      <c r="AD119" s="6">
        <f t="shared" si="8"/>
        <v>0</v>
      </c>
      <c r="AE119" s="6"/>
      <c r="AF119">
        <f>sumifs('WL Matrix 2'!T:T,'WL Matrix 2'!B:B,A119,'WL Matrix 2'!C:C,C119,'WL Matrix 2'!M:M,"Regular Season")</f>
        <v>80</v>
      </c>
      <c r="AG119">
        <f t="shared" si="13"/>
        <v>63</v>
      </c>
      <c r="AI119" s="32" t="s">
        <v>116</v>
      </c>
      <c r="AJ119" s="32">
        <f t="shared" si="24"/>
        <v>5</v>
      </c>
      <c r="AK119" s="37">
        <f t="shared" si="10"/>
        <v>1.010556945</v>
      </c>
      <c r="AL119" s="38">
        <f t="shared" si="11"/>
        <v>1.076599438</v>
      </c>
      <c r="AM119" s="38">
        <f>sumifs('WL Matrix 2'!T:T,'WL Matrix 2'!B:B,A119,'WL Matrix 2'!C:C,C119,'WL Matrix 2'!M:M,"Regular Season")</f>
        <v>80</v>
      </c>
    </row>
    <row r="120" ht="14.25" customHeight="1">
      <c r="A120" s="59">
        <v>2018.0</v>
      </c>
      <c r="B120" s="60">
        <v>43101.0</v>
      </c>
      <c r="C120" s="13" t="s">
        <v>89</v>
      </c>
      <c r="D120" s="13" t="s">
        <v>851</v>
      </c>
      <c r="E120" s="13" t="s">
        <v>852</v>
      </c>
      <c r="F120" s="13" t="s">
        <v>853</v>
      </c>
      <c r="G120" s="13" t="s">
        <v>854</v>
      </c>
      <c r="H120" s="13" t="s">
        <v>855</v>
      </c>
      <c r="I120" s="13" t="s">
        <v>581</v>
      </c>
      <c r="J120" s="13" t="s">
        <v>9</v>
      </c>
      <c r="K120" s="13"/>
      <c r="L120" s="61">
        <v>3.0</v>
      </c>
      <c r="M120" s="61">
        <v>1.0</v>
      </c>
      <c r="N120" s="59">
        <v>1.0</v>
      </c>
      <c r="O120" s="59">
        <v>13.0</v>
      </c>
      <c r="P120" s="6">
        <f>sumifs('WL Matrix 2'!L:L,'WL Matrix 2'!B:B,A120,'WL Matrix 2'!C:C,C120)</f>
        <v>10</v>
      </c>
      <c r="Q120" s="6">
        <f t="shared" si="21"/>
        <v>3</v>
      </c>
      <c r="R120" s="58">
        <f>sumifs('WL Matrix 2'!J:J,'WL Matrix 2'!B:B,A120,'WL Matrix 2'!C:C,C120,'WL Matrix 2'!M:M,"Regular Season")</f>
        <v>1451.32</v>
      </c>
      <c r="S120" s="58">
        <f>sumifs('WL Matrix 2'!K:K,'WL Matrix 2'!B:B,A120,'WL Matrix 2'!C:C,C120,'WL Matrix 2'!M:M,"Regular Season")</f>
        <v>1279.72</v>
      </c>
      <c r="T120" s="65" t="s">
        <v>546</v>
      </c>
      <c r="U120" s="65" t="s">
        <v>46</v>
      </c>
      <c r="V120" s="59">
        <v>46037.0</v>
      </c>
      <c r="W120" s="62">
        <v>100.0</v>
      </c>
      <c r="X120" s="63">
        <v>450.0</v>
      </c>
      <c r="Y120" s="64">
        <v>350.0</v>
      </c>
      <c r="Z120">
        <f t="shared" si="22"/>
        <v>1</v>
      </c>
      <c r="AA120" s="6">
        <f t="shared" si="6"/>
        <v>1</v>
      </c>
      <c r="AC120" s="6">
        <f t="shared" si="7"/>
        <v>1362.83</v>
      </c>
      <c r="AD120" s="6">
        <f t="shared" si="8"/>
        <v>0</v>
      </c>
      <c r="AE120" s="6"/>
      <c r="AF120">
        <f>sumifs('WL Matrix 2'!T:T,'WL Matrix 2'!B:B,A120,'WL Matrix 2'!C:C,C120,'WL Matrix 2'!M:M,"Regular Season")</f>
        <v>95</v>
      </c>
      <c r="AG120">
        <f t="shared" si="13"/>
        <v>48</v>
      </c>
      <c r="AI120" s="32" t="s">
        <v>116</v>
      </c>
      <c r="AJ120" s="32">
        <f t="shared" si="24"/>
        <v>3</v>
      </c>
      <c r="AK120" s="37">
        <f t="shared" si="10"/>
        <v>1.123140282</v>
      </c>
      <c r="AL120" s="38">
        <f t="shared" si="11"/>
        <v>0.9903433296</v>
      </c>
      <c r="AM120" s="38">
        <f>sumifs('WL Matrix 2'!T:T,'WL Matrix 2'!B:B,A120,'WL Matrix 2'!C:C,C120,'WL Matrix 2'!M:M,"Regular Season")</f>
        <v>95</v>
      </c>
    </row>
    <row r="121" ht="14.25" customHeight="1">
      <c r="A121" s="59">
        <v>2018.0</v>
      </c>
      <c r="B121" s="60">
        <v>43101.0</v>
      </c>
      <c r="C121" s="13" t="s">
        <v>92</v>
      </c>
      <c r="D121" s="13" t="s">
        <v>863</v>
      </c>
      <c r="E121" s="13" t="s">
        <v>864</v>
      </c>
      <c r="F121" s="13" t="s">
        <v>245</v>
      </c>
      <c r="G121" s="13" t="s">
        <v>865</v>
      </c>
      <c r="H121" s="13" t="s">
        <v>371</v>
      </c>
      <c r="I121" s="13" t="s">
        <v>641</v>
      </c>
      <c r="J121" s="13" t="s">
        <v>9</v>
      </c>
      <c r="K121" s="13"/>
      <c r="L121" s="61">
        <v>10.0</v>
      </c>
      <c r="M121" s="61">
        <v>10.0</v>
      </c>
      <c r="N121" s="59">
        <v>10.0</v>
      </c>
      <c r="O121" s="59">
        <v>13.0</v>
      </c>
      <c r="P121" s="6">
        <f>sumifs('WL Matrix 2'!L:L,'WL Matrix 2'!B:B,A121,'WL Matrix 2'!C:C,C121)</f>
        <v>5</v>
      </c>
      <c r="Q121" s="6">
        <f t="shared" si="21"/>
        <v>8</v>
      </c>
      <c r="R121" s="58">
        <f>sumifs('WL Matrix 2'!J:J,'WL Matrix 2'!B:B,A121,'WL Matrix 2'!C:C,C121,'WL Matrix 2'!M:M,"Regular Season")</f>
        <v>1232.26</v>
      </c>
      <c r="S121" s="58">
        <f>sumifs('WL Matrix 2'!K:K,'WL Matrix 2'!B:B,A121,'WL Matrix 2'!C:C,C121,'WL Matrix 2'!M:M,"Regular Season")</f>
        <v>1309.7</v>
      </c>
      <c r="T121" s="65" t="s">
        <v>428</v>
      </c>
      <c r="U121" s="65" t="s">
        <v>429</v>
      </c>
      <c r="V121" s="59">
        <v>60657.0</v>
      </c>
      <c r="W121" s="62">
        <v>100.0</v>
      </c>
      <c r="X121" s="63" t="s">
        <v>693</v>
      </c>
      <c r="Y121" s="64">
        <v>-100.0</v>
      </c>
      <c r="Z121">
        <f t="shared" si="22"/>
        <v>0</v>
      </c>
      <c r="AA121" s="6">
        <f t="shared" si="6"/>
        <v>0</v>
      </c>
      <c r="AC121" s="6">
        <f t="shared" si="7"/>
        <v>808.065</v>
      </c>
      <c r="AD121" s="6">
        <f t="shared" si="8"/>
        <v>0</v>
      </c>
      <c r="AE121" s="6"/>
      <c r="AF121">
        <f>sumifs('WL Matrix 2'!T:T,'WL Matrix 2'!B:B,A121,'WL Matrix 2'!C:C,C121,'WL Matrix 2'!M:M,"Regular Season")</f>
        <v>62</v>
      </c>
      <c r="AG121">
        <f t="shared" si="13"/>
        <v>81</v>
      </c>
      <c r="AI121" s="32" t="s">
        <v>116</v>
      </c>
      <c r="AJ121" s="32">
        <f t="shared" si="24"/>
        <v>9</v>
      </c>
      <c r="AK121" s="37">
        <f t="shared" si="10"/>
        <v>0.9536152216</v>
      </c>
      <c r="AL121" s="38">
        <f t="shared" si="11"/>
        <v>1.013544102</v>
      </c>
      <c r="AM121" s="38">
        <f>sumifs('WL Matrix 2'!T:T,'WL Matrix 2'!B:B,A121,'WL Matrix 2'!C:C,C121,'WL Matrix 2'!M:M,"Regular Season")</f>
        <v>62</v>
      </c>
    </row>
    <row r="122" ht="14.25" customHeight="1">
      <c r="A122" s="59">
        <v>2019.0</v>
      </c>
      <c r="B122" s="60">
        <v>43466.0</v>
      </c>
      <c r="C122" s="13" t="s">
        <v>47</v>
      </c>
      <c r="D122" s="13" t="s">
        <v>871</v>
      </c>
      <c r="E122" s="13" t="s">
        <v>872</v>
      </c>
      <c r="F122" s="13" t="s">
        <v>434</v>
      </c>
      <c r="G122" s="13" t="s">
        <v>873</v>
      </c>
      <c r="H122" s="13" t="s">
        <v>511</v>
      </c>
      <c r="I122" s="13" t="s">
        <v>874</v>
      </c>
      <c r="J122" s="13" t="s">
        <v>9</v>
      </c>
      <c r="K122" s="13"/>
      <c r="L122" s="61">
        <v>6.0</v>
      </c>
      <c r="M122" s="61">
        <v>5.0</v>
      </c>
      <c r="N122" s="59">
        <v>5.0</v>
      </c>
      <c r="O122" s="59">
        <v>13.0</v>
      </c>
      <c r="P122" s="6">
        <f>sumifs('WL Matrix 2'!L:L,'WL Matrix 2'!B:B,A122,'WL Matrix 2'!C:C,C122)</f>
        <v>7</v>
      </c>
      <c r="Q122" s="6">
        <f t="shared" si="21"/>
        <v>6</v>
      </c>
      <c r="R122" s="58">
        <f>sumifs('WL Matrix 2'!J:J,'WL Matrix 2'!B:B,A122,'WL Matrix 2'!C:C,C122,'WL Matrix 2'!M:M,"Regular Season")</f>
        <v>1255.78</v>
      </c>
      <c r="S122" s="58">
        <f>sumifs('WL Matrix 2'!K:K,'WL Matrix 2'!B:B,A122,'WL Matrix 2'!C:C,C122,'WL Matrix 2'!M:M,"Regular Season")</f>
        <v>1299.72</v>
      </c>
      <c r="T122" s="65" t="s">
        <v>630</v>
      </c>
      <c r="U122" s="65" t="s">
        <v>630</v>
      </c>
      <c r="V122" s="59">
        <v>10023.0</v>
      </c>
      <c r="W122" s="62">
        <v>100.0</v>
      </c>
      <c r="X122" s="63" t="s">
        <v>693</v>
      </c>
      <c r="Y122" s="64">
        <v>-100.0</v>
      </c>
      <c r="Z122">
        <f t="shared" si="22"/>
        <v>0</v>
      </c>
      <c r="AA122" s="6">
        <f t="shared" si="6"/>
        <v>1</v>
      </c>
      <c r="AC122" s="6">
        <f t="shared" si="7"/>
        <v>1013.945</v>
      </c>
      <c r="AD122" s="6">
        <f t="shared" si="8"/>
        <v>0</v>
      </c>
      <c r="AE122" s="6"/>
      <c r="AF122">
        <f>sumifs('WL Matrix 2'!T:T,'WL Matrix 2'!B:B,A122,'WL Matrix 2'!C:C,C122,'WL Matrix 2'!M:M,"Regular Season")</f>
        <v>79</v>
      </c>
      <c r="AG122">
        <f t="shared" si="13"/>
        <v>64</v>
      </c>
      <c r="AI122" s="32" t="s">
        <v>116</v>
      </c>
      <c r="AJ122" s="32">
        <f t="shared" ref="AJ122:AJ133" si="25">rank(R122,$R$122:$R$133)</f>
        <v>4</v>
      </c>
      <c r="AK122" s="37">
        <f t="shared" si="10"/>
        <v>1.031910464</v>
      </c>
      <c r="AL122" s="38">
        <f t="shared" si="11"/>
        <v>1.068017223</v>
      </c>
      <c r="AM122" s="38">
        <f>sumifs('WL Matrix 2'!T:T,'WL Matrix 2'!B:B,A122,'WL Matrix 2'!C:C,C122,'WL Matrix 2'!M:M,"Regular Season")</f>
        <v>79</v>
      </c>
    </row>
    <row r="123" ht="14.25" customHeight="1">
      <c r="A123" s="59">
        <v>2019.0</v>
      </c>
      <c r="B123" s="60">
        <v>43466.0</v>
      </c>
      <c r="C123" s="13" t="s">
        <v>52</v>
      </c>
      <c r="D123" s="13" t="s">
        <v>879</v>
      </c>
      <c r="E123" s="13" t="s">
        <v>880</v>
      </c>
      <c r="F123" s="13" t="s">
        <v>831</v>
      </c>
      <c r="G123" s="13" t="s">
        <v>778</v>
      </c>
      <c r="H123" s="13" t="s">
        <v>881</v>
      </c>
      <c r="I123" s="13" t="s">
        <v>882</v>
      </c>
      <c r="J123" s="13" t="s">
        <v>9</v>
      </c>
      <c r="K123" s="13"/>
      <c r="L123" s="61">
        <v>3.0</v>
      </c>
      <c r="M123" s="61">
        <v>4.0</v>
      </c>
      <c r="N123" s="59">
        <v>4.0</v>
      </c>
      <c r="O123" s="59">
        <v>13.0</v>
      </c>
      <c r="P123" s="6">
        <f>sumifs('WL Matrix 2'!L:L,'WL Matrix 2'!B:B,A123,'WL Matrix 2'!C:C,C123)</f>
        <v>8</v>
      </c>
      <c r="Q123" s="6">
        <f t="shared" si="21"/>
        <v>5</v>
      </c>
      <c r="R123" s="58">
        <f>sumifs('WL Matrix 2'!J:J,'WL Matrix 2'!B:B,A123,'WL Matrix 2'!C:C,C123,'WL Matrix 2'!M:M,"Regular Season")</f>
        <v>1232.22</v>
      </c>
      <c r="S123" s="58">
        <f>sumifs('WL Matrix 2'!K:K,'WL Matrix 2'!B:B,A123,'WL Matrix 2'!C:C,C123,'WL Matrix 2'!M:M,"Regular Season")</f>
        <v>1152.52</v>
      </c>
      <c r="T123" s="65" t="s">
        <v>561</v>
      </c>
      <c r="U123" s="65" t="s">
        <v>562</v>
      </c>
      <c r="V123" s="59">
        <v>37115.0</v>
      </c>
      <c r="W123" s="62">
        <v>100.0</v>
      </c>
      <c r="X123" s="63" t="s">
        <v>693</v>
      </c>
      <c r="Y123" s="64">
        <v>-100.0</v>
      </c>
      <c r="Z123">
        <f t="shared" si="22"/>
        <v>0</v>
      </c>
      <c r="AA123" s="6">
        <f t="shared" si="6"/>
        <v>1</v>
      </c>
      <c r="AC123" s="6">
        <f t="shared" si="7"/>
        <v>1108.055</v>
      </c>
      <c r="AD123" s="6">
        <f t="shared" si="8"/>
        <v>0</v>
      </c>
      <c r="AE123" s="6"/>
      <c r="AF123">
        <f>sumifs('WL Matrix 2'!T:T,'WL Matrix 2'!B:B,A123,'WL Matrix 2'!C:C,C123,'WL Matrix 2'!M:M,"Regular Season")</f>
        <v>69</v>
      </c>
      <c r="AG123">
        <f t="shared" si="13"/>
        <v>74</v>
      </c>
      <c r="AI123" s="32" t="s">
        <v>116</v>
      </c>
      <c r="AJ123" s="32">
        <f t="shared" si="25"/>
        <v>6</v>
      </c>
      <c r="AK123" s="37">
        <f t="shared" si="10"/>
        <v>1.012550536</v>
      </c>
      <c r="AL123" s="38">
        <f t="shared" si="11"/>
        <v>0.9470587591</v>
      </c>
      <c r="AM123" s="38">
        <f>sumifs('WL Matrix 2'!T:T,'WL Matrix 2'!B:B,A123,'WL Matrix 2'!C:C,C123,'WL Matrix 2'!M:M,"Regular Season")</f>
        <v>69</v>
      </c>
    </row>
    <row r="124" ht="14.25" customHeight="1">
      <c r="A124" s="59">
        <v>2019.0</v>
      </c>
      <c r="B124" s="60">
        <v>43466.0</v>
      </c>
      <c r="C124" s="13" t="s">
        <v>57</v>
      </c>
      <c r="D124" s="13" t="s">
        <v>887</v>
      </c>
      <c r="E124" s="13" t="s">
        <v>888</v>
      </c>
      <c r="F124" s="13" t="s">
        <v>889</v>
      </c>
      <c r="G124" s="13" t="s">
        <v>799</v>
      </c>
      <c r="H124" s="13" t="s">
        <v>890</v>
      </c>
      <c r="I124" s="13" t="s">
        <v>779</v>
      </c>
      <c r="J124" s="13" t="s">
        <v>9</v>
      </c>
      <c r="K124" s="13"/>
      <c r="L124" s="61">
        <v>5.0</v>
      </c>
      <c r="M124" s="61">
        <v>6.0</v>
      </c>
      <c r="N124" s="59">
        <v>6.0</v>
      </c>
      <c r="O124" s="59">
        <v>13.0</v>
      </c>
      <c r="P124" s="6">
        <f>sumifs('WL Matrix 2'!L:L,'WL Matrix 2'!B:B,A124,'WL Matrix 2'!C:C,C124)</f>
        <v>8</v>
      </c>
      <c r="Q124" s="6">
        <f t="shared" si="21"/>
        <v>5</v>
      </c>
      <c r="R124" s="58">
        <f>sumifs('WL Matrix 2'!J:J,'WL Matrix 2'!B:B,A124,'WL Matrix 2'!C:C,C124,'WL Matrix 2'!M:M,"Regular Season")</f>
        <v>1271.06</v>
      </c>
      <c r="S124" s="58">
        <f>sumifs('WL Matrix 2'!K:K,'WL Matrix 2'!B:B,A124,'WL Matrix 2'!C:C,C124,'WL Matrix 2'!M:M,"Regular Season")</f>
        <v>1265.3</v>
      </c>
      <c r="T124" s="65" t="s">
        <v>428</v>
      </c>
      <c r="U124" s="65" t="s">
        <v>429</v>
      </c>
      <c r="V124" s="59">
        <v>60647.0</v>
      </c>
      <c r="W124" s="62">
        <v>100.0</v>
      </c>
      <c r="X124" s="63" t="s">
        <v>693</v>
      </c>
      <c r="Y124" s="64">
        <v>-100.0</v>
      </c>
      <c r="Z124">
        <f t="shared" si="22"/>
        <v>0</v>
      </c>
      <c r="AA124" s="6">
        <f t="shared" si="6"/>
        <v>1</v>
      </c>
      <c r="AC124" s="6">
        <f t="shared" si="7"/>
        <v>1117.765</v>
      </c>
      <c r="AD124" s="6">
        <f t="shared" si="8"/>
        <v>0</v>
      </c>
      <c r="AE124" s="6"/>
      <c r="AF124">
        <f>sumifs('WL Matrix 2'!T:T,'WL Matrix 2'!B:B,A124,'WL Matrix 2'!C:C,C124,'WL Matrix 2'!M:M,"Regular Season")</f>
        <v>78</v>
      </c>
      <c r="AG124">
        <f t="shared" si="13"/>
        <v>65</v>
      </c>
      <c r="AI124" s="32" t="s">
        <v>116</v>
      </c>
      <c r="AJ124" s="32">
        <f t="shared" si="25"/>
        <v>3</v>
      </c>
      <c r="AK124" s="37">
        <f t="shared" si="10"/>
        <v>1.044466479</v>
      </c>
      <c r="AL124" s="38">
        <f t="shared" si="11"/>
        <v>1.039733322</v>
      </c>
      <c r="AM124" s="38">
        <f>sumifs('WL Matrix 2'!T:T,'WL Matrix 2'!B:B,A124,'WL Matrix 2'!C:C,C124,'WL Matrix 2'!M:M,"Regular Season")</f>
        <v>78</v>
      </c>
    </row>
    <row r="125" ht="14.25" customHeight="1">
      <c r="A125" s="59">
        <v>2019.0</v>
      </c>
      <c r="B125" s="60">
        <v>43466.0</v>
      </c>
      <c r="C125" s="13" t="s">
        <v>39</v>
      </c>
      <c r="D125" s="13" t="s">
        <v>895</v>
      </c>
      <c r="E125" s="13" t="s">
        <v>896</v>
      </c>
      <c r="F125" s="13" t="s">
        <v>897</v>
      </c>
      <c r="G125" s="13" t="s">
        <v>854</v>
      </c>
      <c r="H125" s="13" t="s">
        <v>898</v>
      </c>
      <c r="I125" s="13" t="s">
        <v>899</v>
      </c>
      <c r="J125" s="13" t="s">
        <v>9</v>
      </c>
      <c r="K125" s="13"/>
      <c r="L125" s="61">
        <v>2.0</v>
      </c>
      <c r="M125" s="61">
        <v>1.0</v>
      </c>
      <c r="N125" s="59">
        <v>1.0</v>
      </c>
      <c r="O125" s="59">
        <v>13.0</v>
      </c>
      <c r="P125" s="6">
        <f>sumifs('WL Matrix 2'!L:L,'WL Matrix 2'!B:B,A125,'WL Matrix 2'!C:C,C125)</f>
        <v>10</v>
      </c>
      <c r="Q125" s="6">
        <f t="shared" si="21"/>
        <v>3</v>
      </c>
      <c r="R125" s="58">
        <f>sumifs('WL Matrix 2'!J:J,'WL Matrix 2'!B:B,A125,'WL Matrix 2'!C:C,C125,'WL Matrix 2'!M:M,"Regular Season")</f>
        <v>1245.12</v>
      </c>
      <c r="S125" s="58">
        <f>sumifs('WL Matrix 2'!K:K,'WL Matrix 2'!B:B,A125,'WL Matrix 2'!C:C,C125,'WL Matrix 2'!M:M,"Regular Season")</f>
        <v>1125.36</v>
      </c>
      <c r="T125" s="13" t="s">
        <v>902</v>
      </c>
      <c r="U125" s="13" t="s">
        <v>903</v>
      </c>
      <c r="V125" s="59"/>
      <c r="W125" s="62">
        <v>100.0</v>
      </c>
      <c r="X125" s="63">
        <v>450.0</v>
      </c>
      <c r="Y125" s="64">
        <v>350.0</v>
      </c>
      <c r="Z125">
        <f t="shared" si="22"/>
        <v>1</v>
      </c>
      <c r="AA125" s="6">
        <f t="shared" si="6"/>
        <v>1</v>
      </c>
      <c r="AC125" s="6">
        <f t="shared" si="7"/>
        <v>1311.28</v>
      </c>
      <c r="AD125" s="6">
        <f t="shared" si="8"/>
        <v>0</v>
      </c>
      <c r="AE125" s="6"/>
      <c r="AF125">
        <f>sumifs('WL Matrix 2'!T:T,'WL Matrix 2'!B:B,A125,'WL Matrix 2'!C:C,C125,'WL Matrix 2'!M:M,"Regular Season")</f>
        <v>79</v>
      </c>
      <c r="AG125">
        <f t="shared" si="13"/>
        <v>64</v>
      </c>
      <c r="AI125" s="32" t="s">
        <v>116</v>
      </c>
      <c r="AJ125" s="32">
        <f t="shared" si="25"/>
        <v>5</v>
      </c>
      <c r="AK125" s="37">
        <f t="shared" si="10"/>
        <v>1.023150837</v>
      </c>
      <c r="AL125" s="38">
        <f t="shared" si="11"/>
        <v>0.9247406076</v>
      </c>
      <c r="AM125" s="38">
        <f>sumifs('WL Matrix 2'!T:T,'WL Matrix 2'!B:B,A125,'WL Matrix 2'!C:C,C125,'WL Matrix 2'!M:M,"Regular Season")</f>
        <v>79</v>
      </c>
    </row>
    <row r="126" ht="14.25" customHeight="1">
      <c r="A126" s="59">
        <v>2019.0</v>
      </c>
      <c r="B126" s="60">
        <v>43466.0</v>
      </c>
      <c r="C126" s="13" t="s">
        <v>67</v>
      </c>
      <c r="D126" s="13" t="s">
        <v>906</v>
      </c>
      <c r="E126" s="13" t="s">
        <v>907</v>
      </c>
      <c r="F126" s="13" t="s">
        <v>908</v>
      </c>
      <c r="G126" s="13" t="s">
        <v>807</v>
      </c>
      <c r="H126" s="13" t="s">
        <v>909</v>
      </c>
      <c r="I126" s="13" t="s">
        <v>503</v>
      </c>
      <c r="J126" s="13" t="s">
        <v>9</v>
      </c>
      <c r="K126" s="13"/>
      <c r="L126" s="61">
        <v>10.0</v>
      </c>
      <c r="M126" s="61">
        <v>10.0</v>
      </c>
      <c r="N126" s="59">
        <v>10.0</v>
      </c>
      <c r="O126" s="59">
        <v>13.0</v>
      </c>
      <c r="P126" s="6">
        <f>sumifs('WL Matrix 2'!L:L,'WL Matrix 2'!B:B,A126,'WL Matrix 2'!C:C,C126)</f>
        <v>7</v>
      </c>
      <c r="Q126" s="6">
        <f t="shared" si="21"/>
        <v>6</v>
      </c>
      <c r="R126" s="58">
        <f>sumifs('WL Matrix 2'!J:J,'WL Matrix 2'!B:B,A126,'WL Matrix 2'!C:C,C126,'WL Matrix 2'!M:M,"Regular Season")</f>
        <v>1165.16</v>
      </c>
      <c r="S126" s="58">
        <f>sumifs('WL Matrix 2'!K:K,'WL Matrix 2'!B:B,A126,'WL Matrix 2'!C:C,C126,'WL Matrix 2'!M:M,"Regular Season")</f>
        <v>1362.88</v>
      </c>
      <c r="T126" s="65" t="s">
        <v>428</v>
      </c>
      <c r="U126" s="65" t="s">
        <v>429</v>
      </c>
      <c r="V126" s="59">
        <v>60610.0</v>
      </c>
      <c r="W126" s="62">
        <v>100.0</v>
      </c>
      <c r="X126" s="63" t="s">
        <v>693</v>
      </c>
      <c r="Y126" s="64">
        <v>-100.0</v>
      </c>
      <c r="Z126">
        <f t="shared" si="22"/>
        <v>0</v>
      </c>
      <c r="AA126" s="6">
        <f t="shared" si="6"/>
        <v>0</v>
      </c>
      <c r="AC126" s="6">
        <f t="shared" si="7"/>
        <v>991.29</v>
      </c>
      <c r="AD126" s="6">
        <f t="shared" si="8"/>
        <v>0</v>
      </c>
      <c r="AE126" s="6"/>
      <c r="AF126">
        <f>sumifs('WL Matrix 2'!T:T,'WL Matrix 2'!B:B,A126,'WL Matrix 2'!C:C,C126,'WL Matrix 2'!M:M,"Regular Season")</f>
        <v>65</v>
      </c>
      <c r="AG126">
        <f t="shared" si="13"/>
        <v>78</v>
      </c>
      <c r="AI126" s="32" t="s">
        <v>116</v>
      </c>
      <c r="AJ126" s="32">
        <f t="shared" si="25"/>
        <v>9</v>
      </c>
      <c r="AK126" s="37">
        <f t="shared" si="10"/>
        <v>0.9574454098</v>
      </c>
      <c r="AL126" s="38">
        <f t="shared" si="11"/>
        <v>1.119917608</v>
      </c>
      <c r="AM126" s="38">
        <f>sumifs('WL Matrix 2'!T:T,'WL Matrix 2'!B:B,A126,'WL Matrix 2'!C:C,C126,'WL Matrix 2'!M:M,"Regular Season")</f>
        <v>65</v>
      </c>
    </row>
    <row r="127" ht="14.25" customHeight="1">
      <c r="A127" s="59">
        <v>2019.0</v>
      </c>
      <c r="B127" s="60">
        <v>43466.0</v>
      </c>
      <c r="C127" s="13" t="s">
        <v>72</v>
      </c>
      <c r="D127" s="13" t="s">
        <v>918</v>
      </c>
      <c r="E127" s="13" t="s">
        <v>919</v>
      </c>
      <c r="F127" s="13" t="s">
        <v>41</v>
      </c>
      <c r="G127" s="13" t="s">
        <v>640</v>
      </c>
      <c r="H127" s="13" t="s">
        <v>557</v>
      </c>
      <c r="I127" s="13" t="s">
        <v>920</v>
      </c>
      <c r="J127" s="13" t="s">
        <v>9</v>
      </c>
      <c r="K127" s="13"/>
      <c r="L127" s="61">
        <v>8.0</v>
      </c>
      <c r="M127" s="61">
        <v>8.0</v>
      </c>
      <c r="N127" s="59">
        <v>8.0</v>
      </c>
      <c r="O127" s="59">
        <v>13.0</v>
      </c>
      <c r="P127" s="6">
        <f>sumifs('WL Matrix 2'!L:L,'WL Matrix 2'!B:B,A127,'WL Matrix 2'!C:C,C127)</f>
        <v>7</v>
      </c>
      <c r="Q127" s="6">
        <f t="shared" si="21"/>
        <v>6</v>
      </c>
      <c r="R127" s="58">
        <f>sumifs('WL Matrix 2'!J:J,'WL Matrix 2'!B:B,A127,'WL Matrix 2'!C:C,C127,'WL Matrix 2'!M:M,"Regular Season")</f>
        <v>1140.68</v>
      </c>
      <c r="S127" s="58">
        <f>sumifs('WL Matrix 2'!K:K,'WL Matrix 2'!B:B,A127,'WL Matrix 2'!C:C,C127,'WL Matrix 2'!M:M,"Regular Season")</f>
        <v>1172.5</v>
      </c>
      <c r="T127" s="65" t="s">
        <v>428</v>
      </c>
      <c r="U127" s="65" t="s">
        <v>429</v>
      </c>
      <c r="V127" s="59">
        <v>60614.0</v>
      </c>
      <c r="W127" s="62">
        <v>100.0</v>
      </c>
      <c r="X127" s="63" t="s">
        <v>693</v>
      </c>
      <c r="Y127" s="64">
        <v>-100.0</v>
      </c>
      <c r="Z127">
        <f t="shared" si="22"/>
        <v>0</v>
      </c>
      <c r="AA127" s="6">
        <f t="shared" si="6"/>
        <v>0</v>
      </c>
      <c r="AC127" s="6">
        <f t="shared" si="7"/>
        <v>985.17</v>
      </c>
      <c r="AD127" s="6">
        <f t="shared" si="8"/>
        <v>0</v>
      </c>
      <c r="AE127" s="6"/>
      <c r="AF127">
        <f>sumifs('WL Matrix 2'!T:T,'WL Matrix 2'!B:B,A127,'WL Matrix 2'!C:C,C127,'WL Matrix 2'!M:M,"Regular Season")</f>
        <v>59</v>
      </c>
      <c r="AG127">
        <f t="shared" si="13"/>
        <v>84</v>
      </c>
      <c r="AI127" s="32" t="s">
        <v>116</v>
      </c>
      <c r="AJ127" s="32">
        <f t="shared" si="25"/>
        <v>10</v>
      </c>
      <c r="AK127" s="37">
        <f t="shared" si="10"/>
        <v>0.9373294913</v>
      </c>
      <c r="AL127" s="38">
        <f t="shared" si="11"/>
        <v>0.9634768985</v>
      </c>
      <c r="AM127" s="38">
        <f>sumifs('WL Matrix 2'!T:T,'WL Matrix 2'!B:B,A127,'WL Matrix 2'!C:C,C127,'WL Matrix 2'!M:M,"Regular Season")</f>
        <v>59</v>
      </c>
    </row>
    <row r="128" ht="14.25" customHeight="1">
      <c r="A128" s="59">
        <v>2019.0</v>
      </c>
      <c r="B128" s="60">
        <v>43466.0</v>
      </c>
      <c r="C128" s="13" t="s">
        <v>76</v>
      </c>
      <c r="D128" s="13" t="s">
        <v>933</v>
      </c>
      <c r="E128" s="13" t="s">
        <v>934</v>
      </c>
      <c r="F128" s="13" t="s">
        <v>175</v>
      </c>
      <c r="G128" s="13" t="s">
        <v>935</v>
      </c>
      <c r="H128" s="13" t="s">
        <v>792</v>
      </c>
      <c r="I128" s="13" t="s">
        <v>936</v>
      </c>
      <c r="J128" s="13" t="s">
        <v>9</v>
      </c>
      <c r="K128" s="13"/>
      <c r="L128" s="61">
        <v>7.0</v>
      </c>
      <c r="M128" s="61">
        <v>7.0</v>
      </c>
      <c r="N128" s="59">
        <v>7.0</v>
      </c>
      <c r="O128" s="59">
        <v>13.0</v>
      </c>
      <c r="P128" s="6">
        <f>sumifs('WL Matrix 2'!L:L,'WL Matrix 2'!B:B,A128,'WL Matrix 2'!C:C,C128)</f>
        <v>7</v>
      </c>
      <c r="Q128" s="6">
        <f t="shared" si="21"/>
        <v>6</v>
      </c>
      <c r="R128" s="58">
        <f>sumifs('WL Matrix 2'!J:J,'WL Matrix 2'!B:B,A128,'WL Matrix 2'!C:C,C128,'WL Matrix 2'!M:M,"Regular Season")</f>
        <v>1211.76</v>
      </c>
      <c r="S128" s="58">
        <f>sumifs('WL Matrix 2'!K:K,'WL Matrix 2'!B:B,A128,'WL Matrix 2'!C:C,C128,'WL Matrix 2'!M:M,"Regular Season")</f>
        <v>1163.66</v>
      </c>
      <c r="T128" s="65" t="s">
        <v>588</v>
      </c>
      <c r="U128" s="65" t="s">
        <v>589</v>
      </c>
      <c r="V128" s="59">
        <v>90026.0</v>
      </c>
      <c r="W128" s="62">
        <v>100.0</v>
      </c>
      <c r="X128" s="63" t="s">
        <v>693</v>
      </c>
      <c r="Y128" s="64">
        <v>-100.0</v>
      </c>
      <c r="Z128">
        <f t="shared" si="22"/>
        <v>0</v>
      </c>
      <c r="AA128" s="6">
        <f t="shared" si="6"/>
        <v>0</v>
      </c>
      <c r="AC128" s="6">
        <f t="shared" si="7"/>
        <v>1002.94</v>
      </c>
      <c r="AD128" s="6">
        <f t="shared" si="8"/>
        <v>0</v>
      </c>
      <c r="AE128" s="6"/>
      <c r="AF128">
        <f>sumifs('WL Matrix 2'!T:T,'WL Matrix 2'!B:B,A128,'WL Matrix 2'!C:C,C128,'WL Matrix 2'!M:M,"Regular Season")</f>
        <v>70</v>
      </c>
      <c r="AG128">
        <f t="shared" si="13"/>
        <v>73</v>
      </c>
      <c r="AI128" s="32" t="s">
        <v>116</v>
      </c>
      <c r="AJ128" s="32">
        <f t="shared" si="25"/>
        <v>8</v>
      </c>
      <c r="AK128" s="37">
        <f t="shared" si="10"/>
        <v>0.9957379672</v>
      </c>
      <c r="AL128" s="38">
        <f t="shared" si="11"/>
        <v>0.9562128168</v>
      </c>
      <c r="AM128" s="38">
        <f>sumifs('WL Matrix 2'!T:T,'WL Matrix 2'!B:B,A128,'WL Matrix 2'!C:C,C128,'WL Matrix 2'!M:M,"Regular Season")</f>
        <v>70</v>
      </c>
    </row>
    <row r="129" ht="14.25" customHeight="1">
      <c r="A129" s="59">
        <v>2019.0</v>
      </c>
      <c r="B129" s="60">
        <v>43466.0</v>
      </c>
      <c r="C129" s="13" t="s">
        <v>79</v>
      </c>
      <c r="D129" s="13" t="s">
        <v>939</v>
      </c>
      <c r="E129" s="13" t="s">
        <v>940</v>
      </c>
      <c r="F129" s="13" t="s">
        <v>941</v>
      </c>
      <c r="G129" s="13" t="s">
        <v>576</v>
      </c>
      <c r="H129" s="13" t="s">
        <v>750</v>
      </c>
      <c r="I129" s="13" t="s">
        <v>942</v>
      </c>
      <c r="J129" s="49" t="s">
        <v>123</v>
      </c>
      <c r="K129" s="13"/>
      <c r="L129" s="61">
        <v>11.0</v>
      </c>
      <c r="M129" s="61">
        <v>11.0</v>
      </c>
      <c r="N129" s="59">
        <v>11.0</v>
      </c>
      <c r="O129" s="59">
        <v>13.0</v>
      </c>
      <c r="P129" s="6">
        <f>sumifs('WL Matrix 2'!L:L,'WL Matrix 2'!B:B,A129,'WL Matrix 2'!C:C,C129)</f>
        <v>6</v>
      </c>
      <c r="Q129" s="6">
        <f t="shared" si="21"/>
        <v>7</v>
      </c>
      <c r="R129" s="58">
        <f>sumifs('WL Matrix 2'!J:J,'WL Matrix 2'!B:B,A129,'WL Matrix 2'!C:C,C129,'WL Matrix 2'!M:M,"Regular Season")</f>
        <v>1099.58</v>
      </c>
      <c r="S129" s="58">
        <f>sumifs('WL Matrix 2'!K:K,'WL Matrix 2'!B:B,A129,'WL Matrix 2'!C:C,C129,'WL Matrix 2'!M:M,"Regular Season")</f>
        <v>1276.96</v>
      </c>
      <c r="T129" s="65" t="s">
        <v>600</v>
      </c>
      <c r="U129" s="65" t="s">
        <v>601</v>
      </c>
      <c r="V129" s="59">
        <v>73301.0</v>
      </c>
      <c r="W129" s="62">
        <v>100.0</v>
      </c>
      <c r="X129" s="63" t="s">
        <v>693</v>
      </c>
      <c r="Y129" s="64">
        <v>-100.0</v>
      </c>
      <c r="Z129">
        <f t="shared" si="22"/>
        <v>0</v>
      </c>
      <c r="AA129" s="6">
        <f t="shared" si="6"/>
        <v>0</v>
      </c>
      <c r="AC129" s="6">
        <f t="shared" si="7"/>
        <v>874.895</v>
      </c>
      <c r="AD129" s="6">
        <f t="shared" si="8"/>
        <v>0</v>
      </c>
      <c r="AE129" s="6"/>
      <c r="AF129">
        <f>sumifs('WL Matrix 2'!T:T,'WL Matrix 2'!B:B,A129,'WL Matrix 2'!C:C,C129,'WL Matrix 2'!M:M,"Regular Season")</f>
        <v>51</v>
      </c>
      <c r="AG129">
        <f t="shared" si="13"/>
        <v>92</v>
      </c>
      <c r="AI129" s="32" t="s">
        <v>116</v>
      </c>
      <c r="AJ129" s="32">
        <f t="shared" si="25"/>
        <v>11</v>
      </c>
      <c r="AK129" s="37">
        <f t="shared" si="10"/>
        <v>0.9035564418</v>
      </c>
      <c r="AL129" s="38">
        <f t="shared" si="11"/>
        <v>1.049314678</v>
      </c>
      <c r="AM129" s="38">
        <f>sumifs('WL Matrix 2'!T:T,'WL Matrix 2'!B:B,A129,'WL Matrix 2'!C:C,C129,'WL Matrix 2'!M:M,"Regular Season")</f>
        <v>51</v>
      </c>
    </row>
    <row r="130" ht="14.25" customHeight="1">
      <c r="A130" s="59">
        <v>2019.0</v>
      </c>
      <c r="B130" s="60">
        <v>43466.0</v>
      </c>
      <c r="C130" s="13" t="s">
        <v>82</v>
      </c>
      <c r="D130" s="13" t="s">
        <v>947</v>
      </c>
      <c r="E130" s="13" t="s">
        <v>948</v>
      </c>
      <c r="F130" s="13" t="s">
        <v>949</v>
      </c>
      <c r="G130" s="13" t="s">
        <v>678</v>
      </c>
      <c r="H130" s="13" t="s">
        <v>839</v>
      </c>
      <c r="I130" s="13" t="s">
        <v>950</v>
      </c>
      <c r="J130" s="13" t="s">
        <v>9</v>
      </c>
      <c r="K130" s="13"/>
      <c r="L130" s="61">
        <v>4.0</v>
      </c>
      <c r="M130" s="61">
        <v>3.0</v>
      </c>
      <c r="N130" s="59">
        <v>3.0</v>
      </c>
      <c r="O130" s="59">
        <v>13.0</v>
      </c>
      <c r="P130" s="6">
        <f>sumifs('WL Matrix 2'!L:L,'WL Matrix 2'!B:B,A130,'WL Matrix 2'!C:C,C130)</f>
        <v>9</v>
      </c>
      <c r="Q130" s="6">
        <f t="shared" si="21"/>
        <v>4</v>
      </c>
      <c r="R130" s="58">
        <f>sumifs('WL Matrix 2'!J:J,'WL Matrix 2'!B:B,A130,'WL Matrix 2'!C:C,C130,'WL Matrix 2'!M:M,"Regular Season")</f>
        <v>1228.32</v>
      </c>
      <c r="S130" s="58">
        <f>sumifs('WL Matrix 2'!K:K,'WL Matrix 2'!B:B,A130,'WL Matrix 2'!C:C,C130,'WL Matrix 2'!M:M,"Regular Season")</f>
        <v>1225.7</v>
      </c>
      <c r="T130" s="65" t="s">
        <v>428</v>
      </c>
      <c r="U130" s="65" t="s">
        <v>429</v>
      </c>
      <c r="V130" s="59">
        <v>60610.0</v>
      </c>
      <c r="W130" s="62">
        <v>100.0</v>
      </c>
      <c r="X130" s="63">
        <v>100.0</v>
      </c>
      <c r="Y130" s="64" t="s">
        <v>693</v>
      </c>
      <c r="Z130">
        <f t="shared" si="22"/>
        <v>0</v>
      </c>
      <c r="AA130" s="6">
        <f t="shared" si="6"/>
        <v>1</v>
      </c>
      <c r="AC130" s="6">
        <f t="shared" si="7"/>
        <v>1207.08</v>
      </c>
      <c r="AD130" s="6">
        <f t="shared" si="8"/>
        <v>0</v>
      </c>
      <c r="AE130" s="6"/>
      <c r="AF130">
        <f>sumifs('WL Matrix 2'!T:T,'WL Matrix 2'!B:B,A130,'WL Matrix 2'!C:C,C130,'WL Matrix 2'!M:M,"Regular Season")</f>
        <v>74</v>
      </c>
      <c r="AG130">
        <f t="shared" si="13"/>
        <v>69</v>
      </c>
      <c r="AI130" s="32" t="s">
        <v>116</v>
      </c>
      <c r="AJ130" s="32">
        <f t="shared" si="25"/>
        <v>7</v>
      </c>
      <c r="AK130" s="37">
        <f t="shared" si="10"/>
        <v>1.009345794</v>
      </c>
      <c r="AL130" s="38">
        <f t="shared" si="11"/>
        <v>1.007192865</v>
      </c>
      <c r="AM130" s="38">
        <f>sumifs('WL Matrix 2'!T:T,'WL Matrix 2'!B:B,A130,'WL Matrix 2'!C:C,C130,'WL Matrix 2'!M:M,"Regular Season")</f>
        <v>74</v>
      </c>
    </row>
    <row r="131" ht="14.25" customHeight="1">
      <c r="A131" s="59">
        <v>2019.0</v>
      </c>
      <c r="B131" s="60">
        <v>43466.0</v>
      </c>
      <c r="C131" s="13" t="s">
        <v>86</v>
      </c>
      <c r="D131" s="13" t="s">
        <v>955</v>
      </c>
      <c r="E131" s="13" t="s">
        <v>956</v>
      </c>
      <c r="F131" s="13" t="s">
        <v>853</v>
      </c>
      <c r="G131" s="13" t="s">
        <v>957</v>
      </c>
      <c r="H131" s="13" t="s">
        <v>958</v>
      </c>
      <c r="I131" s="13" t="s">
        <v>137</v>
      </c>
      <c r="J131" s="13" t="s">
        <v>9</v>
      </c>
      <c r="K131" s="13"/>
      <c r="L131" s="61">
        <v>9.0</v>
      </c>
      <c r="M131" s="61">
        <v>9.0</v>
      </c>
      <c r="N131" s="59">
        <v>9.0</v>
      </c>
      <c r="O131" s="59">
        <v>13.0</v>
      </c>
      <c r="P131" s="6">
        <f>sumifs('WL Matrix 2'!L:L,'WL Matrix 2'!B:B,A131,'WL Matrix 2'!C:C,C131)</f>
        <v>5</v>
      </c>
      <c r="Q131" s="6">
        <f t="shared" si="21"/>
        <v>8</v>
      </c>
      <c r="R131" s="58">
        <f>sumifs('WL Matrix 2'!J:J,'WL Matrix 2'!B:B,A131,'WL Matrix 2'!C:C,C131,'WL Matrix 2'!M:M,"Regular Season")</f>
        <v>1286.02</v>
      </c>
      <c r="S131" s="58">
        <f>sumifs('WL Matrix 2'!K:K,'WL Matrix 2'!B:B,A131,'WL Matrix 2'!C:C,C131,'WL Matrix 2'!M:M,"Regular Season")</f>
        <v>1243.82</v>
      </c>
      <c r="T131" s="65" t="s">
        <v>428</v>
      </c>
      <c r="U131" s="65" t="s">
        <v>429</v>
      </c>
      <c r="V131" s="59">
        <v>60657.0</v>
      </c>
      <c r="W131" s="62">
        <v>100.0</v>
      </c>
      <c r="X131" s="63" t="s">
        <v>693</v>
      </c>
      <c r="Y131" s="64">
        <v>-100.0</v>
      </c>
      <c r="Z131">
        <f t="shared" si="22"/>
        <v>0</v>
      </c>
      <c r="AA131" s="6">
        <f t="shared" si="6"/>
        <v>0</v>
      </c>
      <c r="AC131" s="6">
        <f t="shared" si="7"/>
        <v>821.505</v>
      </c>
      <c r="AD131" s="6">
        <f t="shared" si="8"/>
        <v>0</v>
      </c>
      <c r="AE131" s="6"/>
      <c r="AF131">
        <f>sumifs('WL Matrix 2'!T:T,'WL Matrix 2'!B:B,A131,'WL Matrix 2'!C:C,C131,'WL Matrix 2'!M:M,"Regular Season")</f>
        <v>83</v>
      </c>
      <c r="AG131">
        <f t="shared" si="13"/>
        <v>60</v>
      </c>
      <c r="AI131" s="32" t="s">
        <v>116</v>
      </c>
      <c r="AJ131" s="32">
        <f t="shared" si="25"/>
        <v>2</v>
      </c>
      <c r="AK131" s="37">
        <f t="shared" si="10"/>
        <v>1.05675954</v>
      </c>
      <c r="AL131" s="38">
        <f t="shared" si="11"/>
        <v>1.022082589</v>
      </c>
      <c r="AM131" s="38">
        <f>sumifs('WL Matrix 2'!T:T,'WL Matrix 2'!B:B,A131,'WL Matrix 2'!C:C,C131,'WL Matrix 2'!M:M,"Regular Season")</f>
        <v>83</v>
      </c>
    </row>
    <row r="132" ht="14.25" customHeight="1">
      <c r="A132" s="59">
        <v>2019.0</v>
      </c>
      <c r="B132" s="60">
        <v>43466.0</v>
      </c>
      <c r="C132" s="13" t="s">
        <v>89</v>
      </c>
      <c r="D132" s="13" t="s">
        <v>963</v>
      </c>
      <c r="E132" s="13" t="s">
        <v>964</v>
      </c>
      <c r="F132" s="13" t="s">
        <v>183</v>
      </c>
      <c r="G132" s="13" t="s">
        <v>965</v>
      </c>
      <c r="H132" s="13" t="s">
        <v>347</v>
      </c>
      <c r="I132" s="13" t="s">
        <v>966</v>
      </c>
      <c r="J132" s="13" t="s">
        <v>9</v>
      </c>
      <c r="K132" s="13"/>
      <c r="L132" s="61">
        <v>12.0</v>
      </c>
      <c r="M132" s="61">
        <v>12.0</v>
      </c>
      <c r="N132" s="59">
        <v>12.0</v>
      </c>
      <c r="O132" s="59">
        <v>13.0</v>
      </c>
      <c r="P132" s="6">
        <f>sumifs('WL Matrix 2'!L:L,'WL Matrix 2'!B:B,A132,'WL Matrix 2'!C:C,C132)</f>
        <v>4</v>
      </c>
      <c r="Q132" s="6">
        <f t="shared" si="21"/>
        <v>9</v>
      </c>
      <c r="R132" s="58">
        <f>sumifs('WL Matrix 2'!J:J,'WL Matrix 2'!B:B,A132,'WL Matrix 2'!C:C,C132,'WL Matrix 2'!M:M,"Regular Season")</f>
        <v>969.48</v>
      </c>
      <c r="S132" s="58">
        <f>sumifs('WL Matrix 2'!K:K,'WL Matrix 2'!B:B,A132,'WL Matrix 2'!C:C,C132,'WL Matrix 2'!M:M,"Regular Season")</f>
        <v>1103.84</v>
      </c>
      <c r="T132" s="65" t="s">
        <v>546</v>
      </c>
      <c r="U132" s="65" t="s">
        <v>46</v>
      </c>
      <c r="V132" s="59">
        <v>46037.0</v>
      </c>
      <c r="W132" s="62">
        <v>100.0</v>
      </c>
      <c r="X132" s="63" t="s">
        <v>693</v>
      </c>
      <c r="Y132" s="64">
        <v>-100.0</v>
      </c>
      <c r="Z132">
        <f t="shared" si="22"/>
        <v>0</v>
      </c>
      <c r="AA132" s="6">
        <f t="shared" si="6"/>
        <v>0</v>
      </c>
      <c r="AC132" s="6">
        <f t="shared" si="7"/>
        <v>642.37</v>
      </c>
      <c r="AD132" s="6">
        <f t="shared" si="8"/>
        <v>0</v>
      </c>
      <c r="AE132" s="6"/>
      <c r="AF132">
        <f>sumifs('WL Matrix 2'!T:T,'WL Matrix 2'!B:B,A132,'WL Matrix 2'!C:C,C132,'WL Matrix 2'!M:M,"Regular Season")</f>
        <v>34</v>
      </c>
      <c r="AG132">
        <f t="shared" si="13"/>
        <v>109</v>
      </c>
      <c r="AI132" s="32" t="s">
        <v>116</v>
      </c>
      <c r="AJ132" s="32">
        <f t="shared" si="25"/>
        <v>12</v>
      </c>
      <c r="AK132" s="37">
        <f t="shared" si="10"/>
        <v>0.7966495382</v>
      </c>
      <c r="AL132" s="38">
        <f t="shared" si="11"/>
        <v>0.9070570061</v>
      </c>
      <c r="AM132" s="38">
        <f>sumifs('WL Matrix 2'!T:T,'WL Matrix 2'!B:B,A132,'WL Matrix 2'!C:C,C132,'WL Matrix 2'!M:M,"Regular Season")</f>
        <v>34</v>
      </c>
    </row>
    <row r="133" ht="14.25" customHeight="1">
      <c r="A133" s="59">
        <v>2019.0</v>
      </c>
      <c r="B133" s="60">
        <v>43466.0</v>
      </c>
      <c r="C133" s="13" t="s">
        <v>92</v>
      </c>
      <c r="D133" s="13" t="s">
        <v>971</v>
      </c>
      <c r="E133" s="13" t="s">
        <v>974</v>
      </c>
      <c r="F133" s="13" t="s">
        <v>975</v>
      </c>
      <c r="G133" s="13" t="s">
        <v>748</v>
      </c>
      <c r="H133" s="13" t="s">
        <v>714</v>
      </c>
      <c r="I133" s="13" t="s">
        <v>587</v>
      </c>
      <c r="J133" s="13" t="s">
        <v>9</v>
      </c>
      <c r="K133" s="13"/>
      <c r="L133" s="61">
        <v>1.0</v>
      </c>
      <c r="M133" s="61">
        <v>2.0</v>
      </c>
      <c r="N133" s="59">
        <v>2.0</v>
      </c>
      <c r="O133" s="59">
        <v>13.0</v>
      </c>
      <c r="P133" s="6">
        <f>sumifs('WL Matrix 2'!L:L,'WL Matrix 2'!B:B,A133,'WL Matrix 2'!C:C,C133)</f>
        <v>12</v>
      </c>
      <c r="Q133" s="6">
        <f t="shared" si="21"/>
        <v>1</v>
      </c>
      <c r="R133" s="58">
        <f>sumifs('WL Matrix 2'!J:J,'WL Matrix 2'!B:B,A133,'WL Matrix 2'!C:C,C133,'WL Matrix 2'!M:M,"Regular Season")</f>
        <v>1498.18</v>
      </c>
      <c r="S133" s="58">
        <f>sumifs('WL Matrix 2'!K:K,'WL Matrix 2'!B:B,A133,'WL Matrix 2'!C:C,C133,'WL Matrix 2'!M:M,"Regular Season")</f>
        <v>1211.1</v>
      </c>
      <c r="T133" s="65" t="s">
        <v>428</v>
      </c>
      <c r="U133" s="65" t="s">
        <v>429</v>
      </c>
      <c r="V133" s="59">
        <v>60657.0</v>
      </c>
      <c r="W133" s="62">
        <v>100.0</v>
      </c>
      <c r="X133" s="63">
        <v>450.0</v>
      </c>
      <c r="Y133" s="64">
        <v>350.0</v>
      </c>
      <c r="Z133">
        <f t="shared" si="22"/>
        <v>0</v>
      </c>
      <c r="AA133" s="6">
        <f t="shared" si="6"/>
        <v>1</v>
      </c>
      <c r="AC133" s="6">
        <f t="shared" si="7"/>
        <v>1574.545</v>
      </c>
      <c r="AD133" s="6">
        <f t="shared" si="8"/>
        <v>1</v>
      </c>
      <c r="AE133" s="49">
        <v>1.0</v>
      </c>
      <c r="AF133">
        <f>sumifs('WL Matrix 2'!T:T,'WL Matrix 2'!B:B,A133,'WL Matrix 2'!C:C,C133,'WL Matrix 2'!M:M,"Regular Season")</f>
        <v>118</v>
      </c>
      <c r="AG133">
        <f t="shared" si="13"/>
        <v>25</v>
      </c>
      <c r="AI133" s="32" t="s">
        <v>116</v>
      </c>
      <c r="AJ133" s="32">
        <f t="shared" si="25"/>
        <v>1</v>
      </c>
      <c r="AK133" s="37">
        <f t="shared" si="10"/>
        <v>1.231097501</v>
      </c>
      <c r="AL133" s="38">
        <f t="shared" si="11"/>
        <v>0.9951956262</v>
      </c>
      <c r="AM133" s="38">
        <f>sumifs('WL Matrix 2'!T:T,'WL Matrix 2'!B:B,A133,'WL Matrix 2'!C:C,C133,'WL Matrix 2'!M:M,"Regular Season")</f>
        <v>118</v>
      </c>
    </row>
    <row r="134" ht="14.25" customHeight="1">
      <c r="A134" s="59">
        <v>2020.0</v>
      </c>
      <c r="B134" s="60">
        <v>43831.0</v>
      </c>
      <c r="C134" s="13" t="s">
        <v>47</v>
      </c>
      <c r="D134" s="13" t="s">
        <v>980</v>
      </c>
      <c r="E134" s="13" t="s">
        <v>981</v>
      </c>
      <c r="F134" s="13" t="s">
        <v>908</v>
      </c>
      <c r="G134" s="13" t="s">
        <v>982</v>
      </c>
      <c r="H134" s="13" t="s">
        <v>890</v>
      </c>
      <c r="I134" s="13" t="s">
        <v>779</v>
      </c>
      <c r="J134" s="13" t="s">
        <v>9</v>
      </c>
      <c r="K134" s="13"/>
      <c r="L134" s="61">
        <v>5.0</v>
      </c>
      <c r="M134" s="61">
        <v>4.0</v>
      </c>
      <c r="N134" s="59">
        <v>4.0</v>
      </c>
      <c r="O134" s="59">
        <v>13.0</v>
      </c>
      <c r="P134" s="6">
        <f>sumifs('WL Matrix 2'!L:L,'WL Matrix 2'!B:B,A134,'WL Matrix 2'!C:C,C134)</f>
        <v>8</v>
      </c>
      <c r="Q134" s="6">
        <f t="shared" si="21"/>
        <v>5</v>
      </c>
      <c r="R134" s="58">
        <f>sumifs('WL Matrix 2'!J:J,'WL Matrix 2'!B:B,A134,'WL Matrix 2'!C:C,C134,'WL Matrix 2'!M:M,"Regular Season")</f>
        <v>1209.6</v>
      </c>
      <c r="S134" s="58">
        <f>sumifs('WL Matrix 2'!K:K,'WL Matrix 2'!B:B,A134,'WL Matrix 2'!C:C,C134,'WL Matrix 2'!M:M,"Regular Season")</f>
        <v>1142.7</v>
      </c>
      <c r="T134" s="65" t="s">
        <v>630</v>
      </c>
      <c r="U134" s="65" t="s">
        <v>630</v>
      </c>
      <c r="V134" s="59">
        <v>10023.0</v>
      </c>
      <c r="W134" s="62">
        <v>100.0</v>
      </c>
      <c r="X134" s="63" t="s">
        <v>693</v>
      </c>
      <c r="Y134" s="64">
        <v>-100.0</v>
      </c>
      <c r="Z134">
        <f t="shared" si="22"/>
        <v>0</v>
      </c>
      <c r="AA134" s="6">
        <f t="shared" si="6"/>
        <v>1</v>
      </c>
      <c r="AC134" s="6">
        <f t="shared" si="7"/>
        <v>1102.4</v>
      </c>
      <c r="AD134" s="6">
        <f t="shared" si="8"/>
        <v>0</v>
      </c>
      <c r="AE134" s="6"/>
      <c r="AF134">
        <f>sumifs('WL Matrix 2'!T:T,'WL Matrix 2'!B:B,A134,'WL Matrix 2'!C:C,C134,'WL Matrix 2'!M:M,"Regular Season")</f>
        <v>65</v>
      </c>
      <c r="AG134">
        <f t="shared" si="13"/>
        <v>78</v>
      </c>
      <c r="AI134" s="32" t="s">
        <v>116</v>
      </c>
      <c r="AJ134" s="32">
        <f t="shared" ref="AJ134:AJ145" si="26">rank(R134,$R$134:$R$145)</f>
        <v>9</v>
      </c>
      <c r="AK134" s="37">
        <f t="shared" si="10"/>
        <v>0.9697500932</v>
      </c>
      <c r="AL134" s="38">
        <f t="shared" si="11"/>
        <v>0.9161156014</v>
      </c>
      <c r="AM134" s="38">
        <f>sumifs('WL Matrix 2'!T:T,'WL Matrix 2'!B:B,A134,'WL Matrix 2'!C:C,C134,'WL Matrix 2'!M:M,"Regular Season")</f>
        <v>65</v>
      </c>
    </row>
    <row r="135" ht="14.25" customHeight="1">
      <c r="A135" s="59">
        <v>2020.0</v>
      </c>
      <c r="B135" s="60">
        <v>43831.0</v>
      </c>
      <c r="C135" s="13" t="s">
        <v>52</v>
      </c>
      <c r="D135" s="13" t="s">
        <v>986</v>
      </c>
      <c r="E135" s="69" t="s">
        <v>987</v>
      </c>
      <c r="F135" s="13" t="s">
        <v>889</v>
      </c>
      <c r="G135" s="13" t="s">
        <v>988</v>
      </c>
      <c r="H135" s="13" t="s">
        <v>989</v>
      </c>
      <c r="I135" s="13" t="s">
        <v>990</v>
      </c>
      <c r="J135" s="13" t="s">
        <v>9</v>
      </c>
      <c r="K135" s="13"/>
      <c r="L135" s="61">
        <v>1.0</v>
      </c>
      <c r="M135" s="61">
        <v>1.0</v>
      </c>
      <c r="N135" s="59">
        <v>1.0</v>
      </c>
      <c r="O135" s="59">
        <v>13.0</v>
      </c>
      <c r="P135" s="6">
        <f>sumifs('WL Matrix 2'!L:L,'WL Matrix 2'!B:B,A135,'WL Matrix 2'!C:C,C135)</f>
        <v>12</v>
      </c>
      <c r="Q135" s="6">
        <f t="shared" si="21"/>
        <v>1</v>
      </c>
      <c r="R135" s="58">
        <f>sumifs('WL Matrix 2'!J:J,'WL Matrix 2'!B:B,A135,'WL Matrix 2'!C:C,C135,'WL Matrix 2'!M:M,"Regular Season")</f>
        <v>1364.38</v>
      </c>
      <c r="S135" s="58">
        <f>sumifs('WL Matrix 2'!K:K,'WL Matrix 2'!B:B,A135,'WL Matrix 2'!C:C,C135,'WL Matrix 2'!M:M,"Regular Season")</f>
        <v>1192.32</v>
      </c>
      <c r="T135" s="65" t="s">
        <v>428</v>
      </c>
      <c r="U135" s="65" t="s">
        <v>429</v>
      </c>
      <c r="V135" s="59">
        <v>37115.0</v>
      </c>
      <c r="W135" s="62">
        <v>100.0</v>
      </c>
      <c r="X135" s="63">
        <v>650.0</v>
      </c>
      <c r="Y135" s="64">
        <v>550.0</v>
      </c>
      <c r="Z135">
        <f t="shared" si="22"/>
        <v>1</v>
      </c>
      <c r="AA135" s="6">
        <f t="shared" si="6"/>
        <v>1</v>
      </c>
      <c r="AC135" s="6">
        <f t="shared" si="7"/>
        <v>1541.095</v>
      </c>
      <c r="AD135" s="6">
        <f t="shared" si="8"/>
        <v>1</v>
      </c>
      <c r="AE135" s="6"/>
      <c r="AF135">
        <f>sumifs('WL Matrix 2'!T:T,'WL Matrix 2'!B:B,A135,'WL Matrix 2'!C:C,C135,'WL Matrix 2'!M:M,"Regular Season")</f>
        <v>93</v>
      </c>
      <c r="AG135">
        <f t="shared" si="13"/>
        <v>50</v>
      </c>
      <c r="AI135" s="32" t="s">
        <v>116</v>
      </c>
      <c r="AJ135" s="32">
        <f t="shared" si="26"/>
        <v>2</v>
      </c>
      <c r="AK135" s="37">
        <f t="shared" si="10"/>
        <v>1.093838982</v>
      </c>
      <c r="AL135" s="38">
        <f t="shared" si="11"/>
        <v>0.9558965204</v>
      </c>
      <c r="AM135" s="38">
        <f>sumifs('WL Matrix 2'!T:T,'WL Matrix 2'!B:B,A135,'WL Matrix 2'!C:C,C135,'WL Matrix 2'!M:M,"Regular Season")</f>
        <v>93</v>
      </c>
    </row>
    <row r="136" ht="14.25" customHeight="1">
      <c r="A136" s="59">
        <v>2020.0</v>
      </c>
      <c r="B136" s="60">
        <v>43831.0</v>
      </c>
      <c r="C136" s="13" t="s">
        <v>57</v>
      </c>
      <c r="D136" s="13" t="s">
        <v>995</v>
      </c>
      <c r="E136" s="69" t="s">
        <v>996</v>
      </c>
      <c r="F136" s="13" t="s">
        <v>434</v>
      </c>
      <c r="G136" s="13" t="s">
        <v>997</v>
      </c>
      <c r="H136" s="13" t="s">
        <v>792</v>
      </c>
      <c r="I136" s="13" t="s">
        <v>444</v>
      </c>
      <c r="J136" s="13" t="s">
        <v>9</v>
      </c>
      <c r="K136" s="13"/>
      <c r="L136" s="61">
        <v>3.0</v>
      </c>
      <c r="M136" s="61">
        <v>6.0</v>
      </c>
      <c r="N136" s="59">
        <v>6.0</v>
      </c>
      <c r="O136" s="59">
        <v>13.0</v>
      </c>
      <c r="P136" s="6">
        <f>sumifs('WL Matrix 2'!L:L,'WL Matrix 2'!B:B,A136,'WL Matrix 2'!C:C,C136)</f>
        <v>9</v>
      </c>
      <c r="Q136" s="6">
        <f t="shared" si="21"/>
        <v>4</v>
      </c>
      <c r="R136" s="58">
        <f>sumifs('WL Matrix 2'!J:J,'WL Matrix 2'!B:B,A136,'WL Matrix 2'!C:C,C136,'WL Matrix 2'!M:M,"Regular Season")</f>
        <v>1293.26</v>
      </c>
      <c r="S136" s="58">
        <f>sumifs('WL Matrix 2'!K:K,'WL Matrix 2'!B:B,A136,'WL Matrix 2'!C:C,C136,'WL Matrix 2'!M:M,"Regular Season")</f>
        <v>1233.12</v>
      </c>
      <c r="T136" s="13" t="s">
        <v>428</v>
      </c>
      <c r="U136" s="13" t="s">
        <v>429</v>
      </c>
      <c r="V136" s="59">
        <v>60647.0</v>
      </c>
      <c r="W136" s="62">
        <v>100.0</v>
      </c>
      <c r="X136" s="63" t="s">
        <v>693</v>
      </c>
      <c r="Y136" s="64">
        <v>-100.0</v>
      </c>
      <c r="Z136">
        <f t="shared" si="22"/>
        <v>0</v>
      </c>
      <c r="AA136" s="6">
        <f t="shared" si="6"/>
        <v>1</v>
      </c>
      <c r="AC136" s="6">
        <f t="shared" si="7"/>
        <v>1223.315</v>
      </c>
      <c r="AD136" s="6">
        <f t="shared" si="8"/>
        <v>0</v>
      </c>
      <c r="AE136" s="6"/>
      <c r="AF136">
        <f>sumifs('WL Matrix 2'!T:T,'WL Matrix 2'!B:B,A136,'WL Matrix 2'!C:C,C136,'WL Matrix 2'!M:M,"Regular Season")</f>
        <v>76</v>
      </c>
      <c r="AG136">
        <f t="shared" si="13"/>
        <v>67</v>
      </c>
      <c r="AI136" s="32" t="s">
        <v>116</v>
      </c>
      <c r="AJ136" s="32">
        <f t="shared" si="26"/>
        <v>4</v>
      </c>
      <c r="AK136" s="37">
        <f t="shared" si="10"/>
        <v>1.036821268</v>
      </c>
      <c r="AL136" s="38">
        <f t="shared" si="11"/>
        <v>0.988606345</v>
      </c>
      <c r="AM136" s="38">
        <f>sumifs('WL Matrix 2'!T:T,'WL Matrix 2'!B:B,A136,'WL Matrix 2'!C:C,C136,'WL Matrix 2'!M:M,"Regular Season")</f>
        <v>76</v>
      </c>
    </row>
    <row r="137" ht="14.25" customHeight="1">
      <c r="A137" s="59">
        <v>2020.0</v>
      </c>
      <c r="B137" s="60">
        <v>43831.0</v>
      </c>
      <c r="C137" s="13" t="s">
        <v>39</v>
      </c>
      <c r="D137" s="13" t="s">
        <v>1007</v>
      </c>
      <c r="E137" s="69" t="s">
        <v>1008</v>
      </c>
      <c r="F137" s="13" t="s">
        <v>41</v>
      </c>
      <c r="G137" s="13" t="s">
        <v>1009</v>
      </c>
      <c r="H137" s="13" t="s">
        <v>614</v>
      </c>
      <c r="I137" s="13" t="s">
        <v>503</v>
      </c>
      <c r="J137" s="13" t="s">
        <v>9</v>
      </c>
      <c r="K137" s="13"/>
      <c r="L137" s="61">
        <v>11.0</v>
      </c>
      <c r="M137" s="61">
        <v>11.0</v>
      </c>
      <c r="N137" s="59">
        <v>11.0</v>
      </c>
      <c r="O137" s="59">
        <v>13.0</v>
      </c>
      <c r="P137" s="6">
        <f>sumifs('WL Matrix 2'!L:L,'WL Matrix 2'!B:B,A137,'WL Matrix 2'!C:C,C137)</f>
        <v>5</v>
      </c>
      <c r="Q137" s="6">
        <f t="shared" si="21"/>
        <v>8</v>
      </c>
      <c r="R137" s="58">
        <f>sumifs('WL Matrix 2'!J:J,'WL Matrix 2'!B:B,A137,'WL Matrix 2'!C:C,C137,'WL Matrix 2'!M:M,"Regular Season")</f>
        <v>1026.58</v>
      </c>
      <c r="S137" s="58">
        <f>sumifs('WL Matrix 2'!K:K,'WL Matrix 2'!B:B,A137,'WL Matrix 2'!C:C,C137,'WL Matrix 2'!M:M,"Regular Season")</f>
        <v>1243.98</v>
      </c>
      <c r="T137" s="13" t="s">
        <v>902</v>
      </c>
      <c r="U137" s="13" t="s">
        <v>903</v>
      </c>
      <c r="V137" s="59">
        <v>55111.0</v>
      </c>
      <c r="W137" s="62">
        <v>100.0</v>
      </c>
      <c r="X137" s="63" t="s">
        <v>693</v>
      </c>
      <c r="Y137" s="64">
        <v>-100.0</v>
      </c>
      <c r="Z137">
        <f t="shared" si="22"/>
        <v>0</v>
      </c>
      <c r="AA137" s="6">
        <f t="shared" si="6"/>
        <v>0</v>
      </c>
      <c r="AC137" s="6">
        <f t="shared" si="7"/>
        <v>756.645</v>
      </c>
      <c r="AD137" s="6">
        <f t="shared" si="8"/>
        <v>0</v>
      </c>
      <c r="AE137" s="6"/>
      <c r="AF137">
        <f>sumifs('WL Matrix 2'!T:T,'WL Matrix 2'!B:B,A137,'WL Matrix 2'!C:C,C137,'WL Matrix 2'!M:M,"Regular Season")</f>
        <v>38</v>
      </c>
      <c r="AG137">
        <f t="shared" si="13"/>
        <v>105</v>
      </c>
      <c r="AI137" s="32" t="s">
        <v>116</v>
      </c>
      <c r="AJ137" s="32">
        <f t="shared" si="26"/>
        <v>12</v>
      </c>
      <c r="AK137" s="37">
        <f t="shared" si="10"/>
        <v>0.8230208752</v>
      </c>
      <c r="AL137" s="38">
        <f t="shared" si="11"/>
        <v>0.9973129307</v>
      </c>
      <c r="AM137" s="38">
        <f>sumifs('WL Matrix 2'!T:T,'WL Matrix 2'!B:B,A137,'WL Matrix 2'!C:C,C137,'WL Matrix 2'!M:M,"Regular Season")</f>
        <v>38</v>
      </c>
    </row>
    <row r="138" ht="14.25" customHeight="1">
      <c r="A138" s="59">
        <v>2020.0</v>
      </c>
      <c r="B138" s="60">
        <v>43831.0</v>
      </c>
      <c r="C138" s="13" t="s">
        <v>67</v>
      </c>
      <c r="D138" s="13" t="s">
        <v>1016</v>
      </c>
      <c r="E138" s="69" t="s">
        <v>1017</v>
      </c>
      <c r="F138" s="13" t="s">
        <v>434</v>
      </c>
      <c r="G138" s="13" t="s">
        <v>997</v>
      </c>
      <c r="H138" s="13" t="s">
        <v>1018</v>
      </c>
      <c r="I138" s="13" t="s">
        <v>1019</v>
      </c>
      <c r="J138" s="13" t="s">
        <v>9</v>
      </c>
      <c r="K138" s="13"/>
      <c r="L138" s="61">
        <v>10.0</v>
      </c>
      <c r="M138" s="61">
        <v>10.0</v>
      </c>
      <c r="N138" s="59">
        <v>10.0</v>
      </c>
      <c r="O138" s="59">
        <v>13.0</v>
      </c>
      <c r="P138" s="6">
        <f>sumifs('WL Matrix 2'!L:L,'WL Matrix 2'!B:B,A138,'WL Matrix 2'!C:C,C138)</f>
        <v>6</v>
      </c>
      <c r="Q138" s="6">
        <f t="shared" si="21"/>
        <v>7</v>
      </c>
      <c r="R138" s="58">
        <f>sumifs('WL Matrix 2'!J:J,'WL Matrix 2'!B:B,A138,'WL Matrix 2'!C:C,C138,'WL Matrix 2'!M:M,"Regular Season")</f>
        <v>1269.68</v>
      </c>
      <c r="S138" s="58">
        <f>sumifs('WL Matrix 2'!K:K,'WL Matrix 2'!B:B,A138,'WL Matrix 2'!C:C,C138,'WL Matrix 2'!M:M,"Regular Season")</f>
        <v>1343.44</v>
      </c>
      <c r="T138" s="13" t="s">
        <v>428</v>
      </c>
      <c r="U138" s="13" t="s">
        <v>429</v>
      </c>
      <c r="V138" s="59">
        <v>60610.0</v>
      </c>
      <c r="W138" s="62">
        <v>100.0</v>
      </c>
      <c r="X138" s="63" t="s">
        <v>693</v>
      </c>
      <c r="Y138" s="64">
        <v>-100.0</v>
      </c>
      <c r="Z138">
        <f t="shared" si="22"/>
        <v>0</v>
      </c>
      <c r="AA138" s="6">
        <f t="shared" si="6"/>
        <v>0</v>
      </c>
      <c r="AC138" s="6">
        <f t="shared" si="7"/>
        <v>917.42</v>
      </c>
      <c r="AD138" s="6">
        <f t="shared" si="8"/>
        <v>0</v>
      </c>
      <c r="AE138" s="6"/>
      <c r="AF138">
        <f>sumifs('WL Matrix 2'!T:T,'WL Matrix 2'!B:B,A138,'WL Matrix 2'!C:C,C138,'WL Matrix 2'!M:M,"Regular Season")</f>
        <v>71</v>
      </c>
      <c r="AG138">
        <f t="shared" si="13"/>
        <v>72</v>
      </c>
      <c r="AI138" s="32" t="s">
        <v>116</v>
      </c>
      <c r="AJ138" s="32">
        <f t="shared" si="26"/>
        <v>6</v>
      </c>
      <c r="AK138" s="37">
        <f t="shared" si="10"/>
        <v>1.017916913</v>
      </c>
      <c r="AL138" s="38">
        <f t="shared" si="11"/>
        <v>1.077051145</v>
      </c>
      <c r="AM138" s="38">
        <f>sumifs('WL Matrix 2'!T:T,'WL Matrix 2'!B:B,A138,'WL Matrix 2'!C:C,C138,'WL Matrix 2'!M:M,"Regular Season")</f>
        <v>71</v>
      </c>
    </row>
    <row r="139" ht="14.25" customHeight="1">
      <c r="A139" s="59">
        <v>2020.0</v>
      </c>
      <c r="B139" s="60">
        <v>43831.0</v>
      </c>
      <c r="C139" s="13" t="s">
        <v>72</v>
      </c>
      <c r="D139" s="13" t="s">
        <v>1026</v>
      </c>
      <c r="E139" s="69" t="s">
        <v>1027</v>
      </c>
      <c r="F139" s="13" t="s">
        <v>941</v>
      </c>
      <c r="G139" s="13" t="s">
        <v>566</v>
      </c>
      <c r="H139" s="13" t="s">
        <v>624</v>
      </c>
      <c r="I139" s="13" t="s">
        <v>950</v>
      </c>
      <c r="J139" s="13" t="s">
        <v>9</v>
      </c>
      <c r="K139" s="13"/>
      <c r="L139" s="61">
        <v>12.0</v>
      </c>
      <c r="M139" s="61">
        <v>12.0</v>
      </c>
      <c r="N139" s="59">
        <v>12.0</v>
      </c>
      <c r="O139" s="59">
        <v>13.0</v>
      </c>
      <c r="P139" s="6">
        <f>sumifs('WL Matrix 2'!L:L,'WL Matrix 2'!B:B,A139,'WL Matrix 2'!C:C,C139)</f>
        <v>4</v>
      </c>
      <c r="Q139" s="6">
        <f t="shared" si="21"/>
        <v>9</v>
      </c>
      <c r="R139" s="58">
        <f>sumifs('WL Matrix 2'!J:J,'WL Matrix 2'!B:B,A139,'WL Matrix 2'!C:C,C139,'WL Matrix 2'!M:M,"Regular Season")</f>
        <v>1254.16</v>
      </c>
      <c r="S139" s="58">
        <f>sumifs('WL Matrix 2'!K:K,'WL Matrix 2'!B:B,A139,'WL Matrix 2'!C:C,C139,'WL Matrix 2'!M:M,"Regular Season")</f>
        <v>1346.84</v>
      </c>
      <c r="T139" s="13" t="s">
        <v>428</v>
      </c>
      <c r="U139" s="13" t="s">
        <v>429</v>
      </c>
      <c r="V139" s="59">
        <v>60614.0</v>
      </c>
      <c r="W139" s="62">
        <v>100.0</v>
      </c>
      <c r="X139" s="63" t="s">
        <v>693</v>
      </c>
      <c r="Y139" s="64">
        <v>-100.0</v>
      </c>
      <c r="Z139">
        <f t="shared" si="22"/>
        <v>0</v>
      </c>
      <c r="AA139" s="6">
        <f t="shared" si="6"/>
        <v>0</v>
      </c>
      <c r="AC139" s="6">
        <f t="shared" si="7"/>
        <v>713.54</v>
      </c>
      <c r="AD139" s="6">
        <f t="shared" si="8"/>
        <v>0</v>
      </c>
      <c r="AE139" s="6"/>
      <c r="AF139">
        <f>sumifs('WL Matrix 2'!T:T,'WL Matrix 2'!B:B,A139,'WL Matrix 2'!C:C,C139,'WL Matrix 2'!M:M,"Regular Season")</f>
        <v>65</v>
      </c>
      <c r="AG139">
        <f t="shared" si="13"/>
        <v>78</v>
      </c>
      <c r="AI139" s="32" t="s">
        <v>116</v>
      </c>
      <c r="AJ139" s="32">
        <f t="shared" si="26"/>
        <v>8</v>
      </c>
      <c r="AK139" s="37">
        <f t="shared" si="10"/>
        <v>1.005474353</v>
      </c>
      <c r="AL139" s="38">
        <f t="shared" si="11"/>
        <v>1.079776964</v>
      </c>
      <c r="AM139" s="38">
        <f>sumifs('WL Matrix 2'!T:T,'WL Matrix 2'!B:B,A139,'WL Matrix 2'!C:C,C139,'WL Matrix 2'!M:M,"Regular Season")</f>
        <v>65</v>
      </c>
    </row>
    <row r="140" ht="14.25" customHeight="1">
      <c r="A140" s="59">
        <v>2020.0</v>
      </c>
      <c r="B140" s="60">
        <v>43831.0</v>
      </c>
      <c r="C140" s="13" t="s">
        <v>76</v>
      </c>
      <c r="D140" s="13" t="s">
        <v>1034</v>
      </c>
      <c r="E140" s="69" t="s">
        <v>1035</v>
      </c>
      <c r="F140" s="13" t="s">
        <v>853</v>
      </c>
      <c r="G140" s="13" t="s">
        <v>935</v>
      </c>
      <c r="H140" s="13" t="s">
        <v>1036</v>
      </c>
      <c r="I140" s="13" t="s">
        <v>1037</v>
      </c>
      <c r="J140" s="13" t="s">
        <v>9</v>
      </c>
      <c r="K140" s="13"/>
      <c r="L140" s="61">
        <v>7.0</v>
      </c>
      <c r="M140" s="61">
        <v>7.0</v>
      </c>
      <c r="N140" s="59">
        <v>7.0</v>
      </c>
      <c r="O140" s="59">
        <v>13.0</v>
      </c>
      <c r="P140" s="6">
        <f>sumifs('WL Matrix 2'!L:L,'WL Matrix 2'!B:B,A140,'WL Matrix 2'!C:C,C140)</f>
        <v>7</v>
      </c>
      <c r="Q140" s="6">
        <f t="shared" si="21"/>
        <v>6</v>
      </c>
      <c r="R140" s="58">
        <f>sumifs('WL Matrix 2'!J:J,'WL Matrix 2'!B:B,A140,'WL Matrix 2'!C:C,C140,'WL Matrix 2'!M:M,"Regular Season")</f>
        <v>1280.26</v>
      </c>
      <c r="S140" s="58">
        <f>sumifs('WL Matrix 2'!K:K,'WL Matrix 2'!B:B,A140,'WL Matrix 2'!C:C,C140,'WL Matrix 2'!M:M,"Regular Season")</f>
        <v>1236.2</v>
      </c>
      <c r="T140" s="13" t="s">
        <v>588</v>
      </c>
      <c r="U140" s="13" t="s">
        <v>589</v>
      </c>
      <c r="V140" s="59">
        <v>90026.0</v>
      </c>
      <c r="W140" s="62">
        <v>100.0</v>
      </c>
      <c r="X140" s="63" t="s">
        <v>693</v>
      </c>
      <c r="Y140" s="64">
        <v>-100.0</v>
      </c>
      <c r="Z140">
        <f t="shared" si="22"/>
        <v>0</v>
      </c>
      <c r="AA140" s="6">
        <f t="shared" si="6"/>
        <v>0</v>
      </c>
      <c r="AC140" s="6">
        <f t="shared" si="7"/>
        <v>1020.065</v>
      </c>
      <c r="AD140" s="6">
        <f t="shared" si="8"/>
        <v>0</v>
      </c>
      <c r="AE140" s="6"/>
      <c r="AF140">
        <f>sumifs('WL Matrix 2'!T:T,'WL Matrix 2'!B:B,A140,'WL Matrix 2'!C:C,C140,'WL Matrix 2'!M:M,"Regular Season")</f>
        <v>73</v>
      </c>
      <c r="AG140">
        <f t="shared" si="13"/>
        <v>70</v>
      </c>
      <c r="AI140" s="32" t="s">
        <v>116</v>
      </c>
      <c r="AJ140" s="32">
        <f t="shared" si="26"/>
        <v>5</v>
      </c>
      <c r="AK140" s="37">
        <f t="shared" si="10"/>
        <v>1.02639902</v>
      </c>
      <c r="AL140" s="38">
        <f t="shared" si="11"/>
        <v>0.9910756161</v>
      </c>
      <c r="AM140" s="38">
        <f>sumifs('WL Matrix 2'!T:T,'WL Matrix 2'!B:B,A140,'WL Matrix 2'!C:C,C140,'WL Matrix 2'!M:M,"Regular Season")</f>
        <v>73</v>
      </c>
    </row>
    <row r="141" ht="14.25" customHeight="1">
      <c r="A141" s="59">
        <v>2020.0</v>
      </c>
      <c r="B141" s="60">
        <v>43831.0</v>
      </c>
      <c r="C141" s="13" t="s">
        <v>79</v>
      </c>
      <c r="D141" s="13" t="s">
        <v>1042</v>
      </c>
      <c r="E141" s="69" t="s">
        <v>1043</v>
      </c>
      <c r="F141" s="13" t="s">
        <v>304</v>
      </c>
      <c r="G141" s="13" t="s">
        <v>807</v>
      </c>
      <c r="H141" s="13" t="s">
        <v>732</v>
      </c>
      <c r="I141" s="13" t="s">
        <v>333</v>
      </c>
      <c r="J141" s="49" t="s">
        <v>123</v>
      </c>
      <c r="K141" s="13"/>
      <c r="L141" s="61">
        <v>4.0</v>
      </c>
      <c r="M141" s="61">
        <v>5.0</v>
      </c>
      <c r="N141" s="59">
        <v>5.0</v>
      </c>
      <c r="O141" s="59">
        <v>13.0</v>
      </c>
      <c r="P141" s="6">
        <f>sumifs('WL Matrix 2'!L:L,'WL Matrix 2'!B:B,A141,'WL Matrix 2'!C:C,C141)</f>
        <v>10</v>
      </c>
      <c r="Q141" s="6">
        <f t="shared" si="21"/>
        <v>3</v>
      </c>
      <c r="R141" s="58">
        <f>sumifs('WL Matrix 2'!J:J,'WL Matrix 2'!B:B,A141,'WL Matrix 2'!C:C,C141,'WL Matrix 2'!M:M,"Regular Season")</f>
        <v>1262.16</v>
      </c>
      <c r="S141" s="58">
        <f>sumifs('WL Matrix 2'!K:K,'WL Matrix 2'!B:B,A141,'WL Matrix 2'!C:C,C141,'WL Matrix 2'!M:M,"Regular Season")</f>
        <v>1223.12</v>
      </c>
      <c r="T141" s="13" t="s">
        <v>600</v>
      </c>
      <c r="U141" s="13" t="s">
        <v>601</v>
      </c>
      <c r="V141" s="59">
        <v>73301.0</v>
      </c>
      <c r="W141" s="62">
        <v>100.0</v>
      </c>
      <c r="X141" s="63" t="s">
        <v>693</v>
      </c>
      <c r="Y141" s="64">
        <v>-100.0</v>
      </c>
      <c r="Z141">
        <f t="shared" si="22"/>
        <v>0</v>
      </c>
      <c r="AA141" s="6">
        <f t="shared" si="6"/>
        <v>1</v>
      </c>
      <c r="AC141" s="6">
        <f t="shared" si="7"/>
        <v>1315.54</v>
      </c>
      <c r="AD141" s="6">
        <f t="shared" si="8"/>
        <v>0</v>
      </c>
      <c r="AE141" s="6"/>
      <c r="AF141">
        <f>sumifs('WL Matrix 2'!T:T,'WL Matrix 2'!B:B,A141,'WL Matrix 2'!C:C,C141,'WL Matrix 2'!M:M,"Regular Season")</f>
        <v>79</v>
      </c>
      <c r="AG141">
        <f t="shared" si="13"/>
        <v>64</v>
      </c>
      <c r="AI141" s="32" t="s">
        <v>116</v>
      </c>
      <c r="AJ141" s="32">
        <f t="shared" si="26"/>
        <v>7</v>
      </c>
      <c r="AK141" s="37">
        <f t="shared" si="10"/>
        <v>1.011888044</v>
      </c>
      <c r="AL141" s="38">
        <f t="shared" si="11"/>
        <v>0.9805892311</v>
      </c>
      <c r="AM141" s="38">
        <f>sumifs('WL Matrix 2'!T:T,'WL Matrix 2'!B:B,A141,'WL Matrix 2'!C:C,C141,'WL Matrix 2'!M:M,"Regular Season")</f>
        <v>79</v>
      </c>
    </row>
    <row r="142" ht="14.25" customHeight="1">
      <c r="A142" s="59">
        <v>2020.0</v>
      </c>
      <c r="B142" s="60">
        <v>43831.0</v>
      </c>
      <c r="C142" s="13" t="s">
        <v>82</v>
      </c>
      <c r="D142" s="13" t="s">
        <v>1050</v>
      </c>
      <c r="E142" s="69" t="s">
        <v>1051</v>
      </c>
      <c r="F142" s="13" t="s">
        <v>183</v>
      </c>
      <c r="G142" s="13" t="s">
        <v>1052</v>
      </c>
      <c r="H142" s="13" t="s">
        <v>1053</v>
      </c>
      <c r="I142" s="13" t="s">
        <v>882</v>
      </c>
      <c r="J142" s="13" t="s">
        <v>9</v>
      </c>
      <c r="K142" s="13"/>
      <c r="L142" s="61">
        <v>8.0</v>
      </c>
      <c r="M142" s="61">
        <v>8.0</v>
      </c>
      <c r="N142" s="59">
        <v>8.0</v>
      </c>
      <c r="O142" s="59">
        <v>13.0</v>
      </c>
      <c r="P142" s="6">
        <f>sumifs('WL Matrix 2'!L:L,'WL Matrix 2'!B:B,A142,'WL Matrix 2'!C:C,C142)</f>
        <v>6</v>
      </c>
      <c r="Q142" s="6">
        <f t="shared" si="21"/>
        <v>7</v>
      </c>
      <c r="R142" s="58">
        <f>sumifs('WL Matrix 2'!J:J,'WL Matrix 2'!B:B,A142,'WL Matrix 2'!C:C,C142,'WL Matrix 2'!M:M,"Regular Season")</f>
        <v>1144.02</v>
      </c>
      <c r="S142" s="58">
        <f>sumifs('WL Matrix 2'!K:K,'WL Matrix 2'!B:B,A142,'WL Matrix 2'!C:C,C142,'WL Matrix 2'!M:M,"Regular Season")</f>
        <v>1298.84</v>
      </c>
      <c r="T142" s="13" t="s">
        <v>428</v>
      </c>
      <c r="U142" s="13" t="s">
        <v>429</v>
      </c>
      <c r="V142" s="59">
        <v>60610.0</v>
      </c>
      <c r="W142" s="62">
        <v>100.0</v>
      </c>
      <c r="X142" s="63" t="s">
        <v>693</v>
      </c>
      <c r="Y142" s="64">
        <v>-100.0</v>
      </c>
      <c r="Z142">
        <f t="shared" si="22"/>
        <v>0</v>
      </c>
      <c r="AA142" s="6">
        <f t="shared" si="6"/>
        <v>0</v>
      </c>
      <c r="AC142" s="6">
        <f t="shared" si="7"/>
        <v>886.005</v>
      </c>
      <c r="AD142" s="6">
        <f t="shared" si="8"/>
        <v>0</v>
      </c>
      <c r="AE142" s="6"/>
      <c r="AF142">
        <f>sumifs('WL Matrix 2'!T:T,'WL Matrix 2'!B:B,A142,'WL Matrix 2'!C:C,C142,'WL Matrix 2'!M:M,"Regular Season")</f>
        <v>52</v>
      </c>
      <c r="AG142">
        <f t="shared" si="13"/>
        <v>91</v>
      </c>
      <c r="AI142" s="32" t="s">
        <v>116</v>
      </c>
      <c r="AJ142" s="32">
        <f t="shared" si="26"/>
        <v>11</v>
      </c>
      <c r="AK142" s="37">
        <f t="shared" si="10"/>
        <v>0.9171738605</v>
      </c>
      <c r="AL142" s="38">
        <f t="shared" si="11"/>
        <v>1.041294817</v>
      </c>
      <c r="AM142" s="38">
        <f>sumifs('WL Matrix 2'!T:T,'WL Matrix 2'!B:B,A142,'WL Matrix 2'!C:C,C142,'WL Matrix 2'!M:M,"Regular Season")</f>
        <v>52</v>
      </c>
    </row>
    <row r="143" ht="14.25" customHeight="1">
      <c r="A143" s="59">
        <v>2020.0</v>
      </c>
      <c r="B143" s="60">
        <v>43831.0</v>
      </c>
      <c r="C143" s="13" t="s">
        <v>86</v>
      </c>
      <c r="D143" s="13" t="s">
        <v>1058</v>
      </c>
      <c r="E143" s="69" t="s">
        <v>1059</v>
      </c>
      <c r="F143" s="13" t="s">
        <v>831</v>
      </c>
      <c r="G143" s="13" t="s">
        <v>708</v>
      </c>
      <c r="H143" s="13" t="s">
        <v>898</v>
      </c>
      <c r="I143" s="13" t="s">
        <v>1060</v>
      </c>
      <c r="J143" s="13" t="s">
        <v>9</v>
      </c>
      <c r="K143" s="13"/>
      <c r="L143" s="61">
        <v>6.0</v>
      </c>
      <c r="M143" s="61">
        <v>3.0</v>
      </c>
      <c r="N143" s="59">
        <v>3.0</v>
      </c>
      <c r="O143" s="59">
        <v>13.0</v>
      </c>
      <c r="P143" s="6">
        <f>sumifs('WL Matrix 2'!L:L,'WL Matrix 2'!B:B,A143,'WL Matrix 2'!C:C,C143)</f>
        <v>8</v>
      </c>
      <c r="Q143" s="6">
        <f t="shared" si="21"/>
        <v>5</v>
      </c>
      <c r="R143" s="58">
        <f>sumifs('WL Matrix 2'!J:J,'WL Matrix 2'!B:B,A143,'WL Matrix 2'!C:C,C143,'WL Matrix 2'!M:M,"Regular Season")</f>
        <v>1373.96</v>
      </c>
      <c r="S143" s="58">
        <f>sumifs('WL Matrix 2'!K:K,'WL Matrix 2'!B:B,A143,'WL Matrix 2'!C:C,C143,'WL Matrix 2'!M:M,"Regular Season")</f>
        <v>1309.76</v>
      </c>
      <c r="T143" s="13" t="s">
        <v>428</v>
      </c>
      <c r="U143" s="13" t="s">
        <v>429</v>
      </c>
      <c r="V143" s="59">
        <v>60657.0</v>
      </c>
      <c r="W143" s="62">
        <v>100.0</v>
      </c>
      <c r="X143" s="63">
        <v>300.0</v>
      </c>
      <c r="Y143" s="64">
        <v>200.0</v>
      </c>
      <c r="Z143">
        <f t="shared" si="22"/>
        <v>0</v>
      </c>
      <c r="AA143" s="6">
        <f t="shared" si="6"/>
        <v>1</v>
      </c>
      <c r="AC143" s="6">
        <f t="shared" si="7"/>
        <v>1143.49</v>
      </c>
      <c r="AD143" s="6">
        <f t="shared" si="8"/>
        <v>0</v>
      </c>
      <c r="AE143" s="49">
        <v>1.0</v>
      </c>
      <c r="AF143">
        <f>sumifs('WL Matrix 2'!T:T,'WL Matrix 2'!B:B,A143,'WL Matrix 2'!C:C,C143,'WL Matrix 2'!M:M,"Regular Season")</f>
        <v>100</v>
      </c>
      <c r="AG143">
        <f t="shared" si="13"/>
        <v>43</v>
      </c>
      <c r="AI143" s="32" t="s">
        <v>116</v>
      </c>
      <c r="AJ143" s="32">
        <f t="shared" si="26"/>
        <v>1</v>
      </c>
      <c r="AK143" s="37">
        <f t="shared" si="10"/>
        <v>1.101519377</v>
      </c>
      <c r="AL143" s="38">
        <f t="shared" si="11"/>
        <v>1.050049506</v>
      </c>
      <c r="AM143" s="38">
        <f>sumifs('WL Matrix 2'!T:T,'WL Matrix 2'!B:B,A143,'WL Matrix 2'!C:C,C143,'WL Matrix 2'!M:M,"Regular Season")</f>
        <v>100</v>
      </c>
    </row>
    <row r="144" ht="14.25" customHeight="1">
      <c r="A144" s="59">
        <v>2020.0</v>
      </c>
      <c r="B144" s="60">
        <v>43831.0</v>
      </c>
      <c r="C144" s="13" t="s">
        <v>89</v>
      </c>
      <c r="D144" s="13" t="s">
        <v>1065</v>
      </c>
      <c r="E144" s="69" t="s">
        <v>1066</v>
      </c>
      <c r="F144" s="13" t="s">
        <v>175</v>
      </c>
      <c r="G144" s="13" t="s">
        <v>640</v>
      </c>
      <c r="H144" s="13" t="s">
        <v>347</v>
      </c>
      <c r="I144" s="13" t="s">
        <v>920</v>
      </c>
      <c r="J144" s="13" t="s">
        <v>9</v>
      </c>
      <c r="K144" s="13"/>
      <c r="L144" s="61">
        <v>9.0</v>
      </c>
      <c r="M144" s="61">
        <v>9.0</v>
      </c>
      <c r="N144" s="59">
        <v>9.0</v>
      </c>
      <c r="O144" s="59">
        <v>13.0</v>
      </c>
      <c r="P144" s="6">
        <f>sumifs('WL Matrix 2'!L:L,'WL Matrix 2'!B:B,A144,'WL Matrix 2'!C:C,C144)</f>
        <v>5</v>
      </c>
      <c r="Q144" s="6">
        <f t="shared" si="21"/>
        <v>8</v>
      </c>
      <c r="R144" s="58">
        <f>sumifs('WL Matrix 2'!J:J,'WL Matrix 2'!B:B,A144,'WL Matrix 2'!C:C,C144,'WL Matrix 2'!M:M,"Regular Season")</f>
        <v>1169.1</v>
      </c>
      <c r="S144" s="58">
        <f>sumifs('WL Matrix 2'!K:K,'WL Matrix 2'!B:B,A144,'WL Matrix 2'!C:C,C144,'WL Matrix 2'!M:M,"Regular Season")</f>
        <v>1243.42</v>
      </c>
      <c r="T144" s="13" t="s">
        <v>546</v>
      </c>
      <c r="U144" s="13" t="s">
        <v>46</v>
      </c>
      <c r="V144" s="59">
        <v>46037.0</v>
      </c>
      <c r="W144" s="62">
        <v>100.0</v>
      </c>
      <c r="X144" s="63" t="s">
        <v>693</v>
      </c>
      <c r="Y144" s="64">
        <v>-100.0</v>
      </c>
      <c r="Z144">
        <f t="shared" si="22"/>
        <v>0</v>
      </c>
      <c r="AA144" s="6">
        <f t="shared" si="6"/>
        <v>0</v>
      </c>
      <c r="AC144" s="6">
        <f t="shared" si="7"/>
        <v>792.275</v>
      </c>
      <c r="AD144" s="6">
        <f t="shared" si="8"/>
        <v>0</v>
      </c>
      <c r="AE144" s="6"/>
      <c r="AF144">
        <f>sumifs('WL Matrix 2'!T:T,'WL Matrix 2'!B:B,A144,'WL Matrix 2'!C:C,C144,'WL Matrix 2'!M:M,"Regular Season")</f>
        <v>60</v>
      </c>
      <c r="AG144">
        <f t="shared" si="13"/>
        <v>83</v>
      </c>
      <c r="AI144" s="32" t="s">
        <v>116</v>
      </c>
      <c r="AJ144" s="32">
        <f t="shared" si="26"/>
        <v>10</v>
      </c>
      <c r="AK144" s="37">
        <f t="shared" si="10"/>
        <v>0.937280782</v>
      </c>
      <c r="AL144" s="38">
        <f t="shared" si="11"/>
        <v>0.9968639723</v>
      </c>
      <c r="AM144" s="38">
        <f>sumifs('WL Matrix 2'!T:T,'WL Matrix 2'!B:B,A144,'WL Matrix 2'!C:C,C144,'WL Matrix 2'!M:M,"Regular Season")</f>
        <v>60</v>
      </c>
    </row>
    <row r="145" ht="14.25" customHeight="1">
      <c r="A145" s="59">
        <v>2020.0</v>
      </c>
      <c r="B145" s="60">
        <v>43831.0</v>
      </c>
      <c r="C145" s="13" t="s">
        <v>92</v>
      </c>
      <c r="D145" s="13" t="s">
        <v>1073</v>
      </c>
      <c r="E145" s="69" t="s">
        <v>1074</v>
      </c>
      <c r="F145" s="13" t="s">
        <v>975</v>
      </c>
      <c r="G145" s="13" t="s">
        <v>1075</v>
      </c>
      <c r="H145" s="13" t="s">
        <v>1076</v>
      </c>
      <c r="I145" s="13" t="s">
        <v>587</v>
      </c>
      <c r="J145" s="13" t="s">
        <v>9</v>
      </c>
      <c r="K145" s="13"/>
      <c r="L145" s="61">
        <v>2.0</v>
      </c>
      <c r="M145" s="61">
        <v>2.0</v>
      </c>
      <c r="N145" s="59">
        <v>2.0</v>
      </c>
      <c r="O145" s="59">
        <v>13.0</v>
      </c>
      <c r="P145" s="6">
        <f>sumifs('WL Matrix 2'!L:L,'WL Matrix 2'!B:B,A145,'WL Matrix 2'!C:C,C145)</f>
        <v>10</v>
      </c>
      <c r="Q145" s="6">
        <f t="shared" si="21"/>
        <v>3</v>
      </c>
      <c r="R145" s="58">
        <f>sumifs('WL Matrix 2'!J:J,'WL Matrix 2'!B:B,A145,'WL Matrix 2'!C:C,C145,'WL Matrix 2'!M:M,"Regular Season")</f>
        <v>1320.82</v>
      </c>
      <c r="S145" s="58">
        <f>sumifs('WL Matrix 2'!K:K,'WL Matrix 2'!B:B,A145,'WL Matrix 2'!C:C,C145,'WL Matrix 2'!M:M,"Regular Season")</f>
        <v>1154.24</v>
      </c>
      <c r="T145" s="13" t="s">
        <v>428</v>
      </c>
      <c r="U145" s="13" t="s">
        <v>429</v>
      </c>
      <c r="V145" s="59">
        <v>60657.0</v>
      </c>
      <c r="W145" s="62">
        <v>100.0</v>
      </c>
      <c r="X145" s="63">
        <v>250.0</v>
      </c>
      <c r="Y145" s="64">
        <v>150.0</v>
      </c>
      <c r="Z145">
        <f t="shared" si="22"/>
        <v>0</v>
      </c>
      <c r="AA145" s="6">
        <f t="shared" si="6"/>
        <v>1</v>
      </c>
      <c r="AC145" s="6">
        <f t="shared" si="7"/>
        <v>1330.205</v>
      </c>
      <c r="AD145" s="6">
        <f t="shared" si="8"/>
        <v>0</v>
      </c>
      <c r="AE145" s="6"/>
      <c r="AF145">
        <f>sumifs('WL Matrix 2'!T:T,'WL Matrix 2'!B:B,A145,'WL Matrix 2'!C:C,C145,'WL Matrix 2'!M:M,"Regular Season")</f>
        <v>86</v>
      </c>
      <c r="AG145">
        <f t="shared" si="13"/>
        <v>57</v>
      </c>
      <c r="AI145" s="32" t="s">
        <v>116</v>
      </c>
      <c r="AJ145" s="32">
        <f t="shared" si="26"/>
        <v>3</v>
      </c>
      <c r="AK145" s="37">
        <f t="shared" si="10"/>
        <v>1.058916434</v>
      </c>
      <c r="AL145" s="38">
        <f t="shared" si="11"/>
        <v>0.9253673508</v>
      </c>
      <c r="AM145" s="38">
        <f>sumifs('WL Matrix 2'!T:T,'WL Matrix 2'!B:B,A145,'WL Matrix 2'!C:C,C145,'WL Matrix 2'!M:M,"Regular Season")</f>
        <v>86</v>
      </c>
    </row>
    <row r="146" ht="14.25" customHeight="1">
      <c r="A146" s="59">
        <v>2021.0</v>
      </c>
      <c r="B146" s="60">
        <v>44197.0</v>
      </c>
      <c r="C146" s="13" t="s">
        <v>47</v>
      </c>
      <c r="D146" s="61" t="s">
        <v>1081</v>
      </c>
      <c r="E146" s="69" t="str">
        <f t="shared" ref="E146:E217" si="27">D146&amp;" - "&amp;A146</f>
        <v>Booz Allen Hardman - 2021</v>
      </c>
      <c r="F146" s="13" t="s">
        <v>1082</v>
      </c>
      <c r="G146" s="13" t="s">
        <v>997</v>
      </c>
      <c r="H146" s="13" t="s">
        <v>714</v>
      </c>
      <c r="I146" s="13" t="s">
        <v>1060</v>
      </c>
      <c r="J146" s="13" t="s">
        <v>9</v>
      </c>
      <c r="K146" s="13"/>
      <c r="L146" s="61">
        <f t="shared" ref="L146:L157" si="28">rank(AC146,$AC$146:$AC$157)</f>
        <v>2</v>
      </c>
      <c r="M146" s="61">
        <v>4.0</v>
      </c>
      <c r="N146" s="59">
        <f t="shared" ref="N146:N168" si="29">if(L146&gt;6,L146,M146)</f>
        <v>4</v>
      </c>
      <c r="O146" s="13">
        <v>14.0</v>
      </c>
      <c r="P146" s="6">
        <f>sumifs('WL Matrix 2'!L:L,'WL Matrix 2'!B:B,A146,'WL Matrix 2'!C:C,C146,'WL Matrix 2'!M:M,"Regular Season")</f>
        <v>11</v>
      </c>
      <c r="Q146" s="6">
        <f t="shared" si="21"/>
        <v>3</v>
      </c>
      <c r="R146" s="58">
        <f>sumifs('WL Matrix 2'!J:J,'WL Matrix 2'!B:B,A146,'WL Matrix 2'!C:C,C146,'WL Matrix 2'!M:M,"Regular Season")</f>
        <v>1539.96</v>
      </c>
      <c r="S146" s="58">
        <f>sumifs('WL Matrix 2'!K:K,'WL Matrix 2'!B:B,A146,'WL Matrix 2'!C:C,C146,'WL Matrix 2'!M:M,"Regular Season")</f>
        <v>1300.64</v>
      </c>
      <c r="T146" s="13" t="s">
        <v>630</v>
      </c>
      <c r="U146" s="13" t="s">
        <v>630</v>
      </c>
      <c r="V146" s="59">
        <v>10023.0</v>
      </c>
      <c r="W146" s="62">
        <v>100.0</v>
      </c>
      <c r="X146" s="70"/>
      <c r="Y146" s="71">
        <f t="shared" ref="Y146:Y217" si="30">X146-W146</f>
        <v>-100</v>
      </c>
      <c r="Z146">
        <f t="shared" si="22"/>
        <v>0</v>
      </c>
      <c r="AA146" s="6">
        <f t="shared" si="6"/>
        <v>1</v>
      </c>
      <c r="AC146" s="6">
        <f t="shared" si="7"/>
        <v>1484.99</v>
      </c>
      <c r="AD146" s="6">
        <f t="shared" si="8"/>
        <v>0</v>
      </c>
      <c r="AE146" s="6"/>
      <c r="AF146">
        <f>sumifs('WL Matrix 2'!T:T,'WL Matrix 2'!B:B,A146,'WL Matrix 2'!C:C,C146,'WL Matrix 2'!M:M,"Regular Season")</f>
        <v>111</v>
      </c>
      <c r="AG146">
        <f t="shared" si="13"/>
        <v>43</v>
      </c>
      <c r="AI146" s="32" t="s">
        <v>116</v>
      </c>
      <c r="AJ146" s="32">
        <f t="shared" ref="AJ146:AJ157" si="31">rank(R146,$R$146:$R$157)</f>
        <v>2</v>
      </c>
      <c r="AK146" s="37">
        <f t="shared" si="10"/>
        <v>1.163557051</v>
      </c>
      <c r="AL146" s="38">
        <f t="shared" si="11"/>
        <v>0.9827325663</v>
      </c>
      <c r="AM146" s="38">
        <f>sumifs('WL Matrix 2'!T:T,'WL Matrix 2'!B:B,A146,'WL Matrix 2'!C:C,C146,'WL Matrix 2'!M:M,"Regular Season")</f>
        <v>111</v>
      </c>
    </row>
    <row r="147" ht="14.25" customHeight="1">
      <c r="A147" s="59">
        <v>2021.0</v>
      </c>
      <c r="B147" s="60">
        <v>44197.0</v>
      </c>
      <c r="C147" s="13" t="s">
        <v>52</v>
      </c>
      <c r="D147" s="69" t="s">
        <v>1089</v>
      </c>
      <c r="E147" s="69" t="str">
        <f t="shared" si="27"/>
        <v>Hunt's or Heinz - 2021</v>
      </c>
      <c r="F147" s="13" t="s">
        <v>975</v>
      </c>
      <c r="G147" s="13" t="s">
        <v>988</v>
      </c>
      <c r="H147" s="13" t="s">
        <v>1090</v>
      </c>
      <c r="I147" s="13" t="s">
        <v>1091</v>
      </c>
      <c r="J147" s="13" t="s">
        <v>9</v>
      </c>
      <c r="K147" s="13"/>
      <c r="L147" s="61">
        <f t="shared" si="28"/>
        <v>10</v>
      </c>
      <c r="M147" s="61">
        <v>11.0</v>
      </c>
      <c r="N147" s="59">
        <f t="shared" si="29"/>
        <v>10</v>
      </c>
      <c r="O147" s="13">
        <v>14.0</v>
      </c>
      <c r="P147" s="6">
        <f>sumifs('WL Matrix 2'!L:L,'WL Matrix 2'!B:B,A147,'WL Matrix 2'!C:C,C147,'WL Matrix 2'!M:M,"Regular Season")</f>
        <v>4</v>
      </c>
      <c r="Q147" s="6">
        <f t="shared" si="21"/>
        <v>10</v>
      </c>
      <c r="R147" s="58">
        <f>sumifs('WL Matrix 2'!J:J,'WL Matrix 2'!B:B,A147,'WL Matrix 2'!C:C,C147,'WL Matrix 2'!M:M,"Regular Season")</f>
        <v>1215.04</v>
      </c>
      <c r="S147" s="58">
        <f>sumifs('WL Matrix 2'!K:K,'WL Matrix 2'!B:B,A147,'WL Matrix 2'!C:C,C147,'WL Matrix 2'!M:M,"Regular Season")</f>
        <v>1333.62</v>
      </c>
      <c r="T147" s="13" t="s">
        <v>1094</v>
      </c>
      <c r="U147" s="13" t="s">
        <v>1095</v>
      </c>
      <c r="V147" s="59">
        <v>37115.0</v>
      </c>
      <c r="W147" s="62">
        <v>100.0</v>
      </c>
      <c r="X147" s="70"/>
      <c r="Y147" s="71">
        <f t="shared" si="30"/>
        <v>-100</v>
      </c>
      <c r="Z147">
        <f t="shared" si="22"/>
        <v>0</v>
      </c>
      <c r="AA147" s="6">
        <f t="shared" si="6"/>
        <v>0</v>
      </c>
      <c r="AC147" s="6">
        <f t="shared" si="7"/>
        <v>703.76</v>
      </c>
      <c r="AD147" s="6">
        <f t="shared" si="8"/>
        <v>0</v>
      </c>
      <c r="AE147" s="6"/>
      <c r="AF147">
        <f>sumifs('WL Matrix 2'!T:T,'WL Matrix 2'!B:B,A147,'WL Matrix 2'!C:C,C147,'WL Matrix 2'!M:M,"Regular Season")</f>
        <v>58</v>
      </c>
      <c r="AG147">
        <f t="shared" si="13"/>
        <v>96</v>
      </c>
      <c r="AI147" s="32" t="s">
        <v>116</v>
      </c>
      <c r="AJ147" s="32">
        <f t="shared" si="31"/>
        <v>10</v>
      </c>
      <c r="AK147" s="37">
        <f t="shared" si="10"/>
        <v>0.9180552477</v>
      </c>
      <c r="AL147" s="38">
        <f t="shared" si="11"/>
        <v>1.007651468</v>
      </c>
      <c r="AM147" s="38">
        <f>sumifs('WL Matrix 2'!T:T,'WL Matrix 2'!B:B,A147,'WL Matrix 2'!C:C,C147,'WL Matrix 2'!M:M,"Regular Season")</f>
        <v>58</v>
      </c>
    </row>
    <row r="148" ht="14.25" customHeight="1">
      <c r="A148" s="59">
        <v>2021.0</v>
      </c>
      <c r="B148" s="60">
        <v>44197.0</v>
      </c>
      <c r="C148" s="13" t="s">
        <v>57</v>
      </c>
      <c r="D148" s="69" t="s">
        <v>1100</v>
      </c>
      <c r="E148" s="69" t="str">
        <f t="shared" si="27"/>
        <v>C.H. Allen Robinson - 2021</v>
      </c>
      <c r="F148" s="13" t="s">
        <v>908</v>
      </c>
      <c r="G148" s="13" t="s">
        <v>1101</v>
      </c>
      <c r="H148" s="13" t="s">
        <v>557</v>
      </c>
      <c r="I148" s="13" t="s">
        <v>1102</v>
      </c>
      <c r="J148" s="13" t="s">
        <v>9</v>
      </c>
      <c r="K148" s="13"/>
      <c r="L148" s="61">
        <f t="shared" si="28"/>
        <v>7</v>
      </c>
      <c r="M148" s="61">
        <v>7.0</v>
      </c>
      <c r="N148" s="59">
        <f t="shared" si="29"/>
        <v>7</v>
      </c>
      <c r="O148" s="13">
        <v>14.0</v>
      </c>
      <c r="P148" s="6">
        <f>sumifs('WL Matrix 2'!L:L,'WL Matrix 2'!B:B,A148,'WL Matrix 2'!C:C,C148,'WL Matrix 2'!M:M,"Regular Season")</f>
        <v>7</v>
      </c>
      <c r="Q148" s="6">
        <f t="shared" si="21"/>
        <v>7</v>
      </c>
      <c r="R148" s="58">
        <f>sumifs('WL Matrix 2'!J:J,'WL Matrix 2'!B:B,A148,'WL Matrix 2'!C:C,C148,'WL Matrix 2'!M:M,"Regular Season")</f>
        <v>1217.04</v>
      </c>
      <c r="S148" s="58">
        <f>sumifs('WL Matrix 2'!K:K,'WL Matrix 2'!B:B,A148,'WL Matrix 2'!C:C,C148,'WL Matrix 2'!M:M,"Regular Season")</f>
        <v>1246.78</v>
      </c>
      <c r="T148" s="13" t="s">
        <v>428</v>
      </c>
      <c r="U148" s="13" t="s">
        <v>429</v>
      </c>
      <c r="V148" s="59">
        <v>60647.0</v>
      </c>
      <c r="W148" s="62">
        <v>100.0</v>
      </c>
      <c r="X148" s="70"/>
      <c r="Y148" s="71">
        <f t="shared" si="30"/>
        <v>-100</v>
      </c>
      <c r="Z148">
        <f t="shared" si="22"/>
        <v>0</v>
      </c>
      <c r="AA148" s="6">
        <f t="shared" si="6"/>
        <v>0</v>
      </c>
      <c r="AC148" s="6">
        <f t="shared" si="7"/>
        <v>1004.26</v>
      </c>
      <c r="AD148" s="6">
        <f t="shared" si="8"/>
        <v>0</v>
      </c>
      <c r="AE148" s="6"/>
      <c r="AF148">
        <f>sumifs('WL Matrix 2'!T:T,'WL Matrix 2'!B:B,A148,'WL Matrix 2'!C:C,C148,'WL Matrix 2'!M:M,"Regular Season")</f>
        <v>62</v>
      </c>
      <c r="AG148">
        <f t="shared" si="13"/>
        <v>92</v>
      </c>
      <c r="AI148" s="32" t="s">
        <v>116</v>
      </c>
      <c r="AJ148" s="32">
        <f t="shared" si="31"/>
        <v>9</v>
      </c>
      <c r="AK148" s="37">
        <f t="shared" si="10"/>
        <v>0.9195664</v>
      </c>
      <c r="AL148" s="38">
        <f t="shared" si="11"/>
        <v>0.9420372348</v>
      </c>
      <c r="AM148" s="38">
        <f>sumifs('WL Matrix 2'!T:T,'WL Matrix 2'!B:B,A148,'WL Matrix 2'!C:C,C148,'WL Matrix 2'!M:M,"Regular Season")</f>
        <v>62</v>
      </c>
    </row>
    <row r="149" ht="14.25" customHeight="1">
      <c r="A149" s="59">
        <v>2021.0</v>
      </c>
      <c r="B149" s="60">
        <v>44197.0</v>
      </c>
      <c r="C149" s="13" t="s">
        <v>39</v>
      </c>
      <c r="D149" s="69" t="s">
        <v>1107</v>
      </c>
      <c r="E149" s="69" t="str">
        <f t="shared" si="27"/>
        <v>The Big hErtz - 2021</v>
      </c>
      <c r="F149" s="13" t="s">
        <v>175</v>
      </c>
      <c r="G149" s="13" t="s">
        <v>1075</v>
      </c>
      <c r="H149" s="13" t="s">
        <v>347</v>
      </c>
      <c r="I149" s="13" t="s">
        <v>587</v>
      </c>
      <c r="J149" s="13" t="s">
        <v>9</v>
      </c>
      <c r="K149" s="13"/>
      <c r="L149" s="61">
        <f t="shared" si="28"/>
        <v>6</v>
      </c>
      <c r="M149" s="61">
        <v>2.0</v>
      </c>
      <c r="N149" s="59">
        <f t="shared" si="29"/>
        <v>2</v>
      </c>
      <c r="O149" s="13">
        <v>14.0</v>
      </c>
      <c r="P149" s="6">
        <f>sumifs('WL Matrix 2'!L:L,'WL Matrix 2'!B:B,A149,'WL Matrix 2'!C:C,C149,'WL Matrix 2'!M:M,"Regular Season")</f>
        <v>7</v>
      </c>
      <c r="Q149" s="6">
        <f t="shared" si="21"/>
        <v>7</v>
      </c>
      <c r="R149" s="58">
        <f>sumifs('WL Matrix 2'!J:J,'WL Matrix 2'!B:B,A149,'WL Matrix 2'!C:C,C149,'WL Matrix 2'!M:M,"Regular Season")</f>
        <v>1302.32</v>
      </c>
      <c r="S149" s="58">
        <f>sumifs('WL Matrix 2'!K:K,'WL Matrix 2'!B:B,A149,'WL Matrix 2'!C:C,C149,'WL Matrix 2'!M:M,"Regular Season")</f>
        <v>1261.38</v>
      </c>
      <c r="T149" s="13" t="s">
        <v>902</v>
      </c>
      <c r="U149" s="13" t="s">
        <v>903</v>
      </c>
      <c r="V149" s="59">
        <v>55111.0</v>
      </c>
      <c r="W149" s="62">
        <v>100.0</v>
      </c>
      <c r="X149" s="63">
        <v>250.0</v>
      </c>
      <c r="Y149" s="71">
        <f t="shared" si="30"/>
        <v>150</v>
      </c>
      <c r="Z149">
        <f t="shared" si="22"/>
        <v>0</v>
      </c>
      <c r="AA149" s="6">
        <f t="shared" si="6"/>
        <v>1</v>
      </c>
      <c r="AC149" s="6">
        <f t="shared" si="7"/>
        <v>1025.58</v>
      </c>
      <c r="AD149" s="6">
        <f t="shared" si="8"/>
        <v>0</v>
      </c>
      <c r="AE149" s="6"/>
      <c r="AF149">
        <f>sumifs('WL Matrix 2'!T:T,'WL Matrix 2'!B:B,A149,'WL Matrix 2'!C:C,C149,'WL Matrix 2'!M:M,"Regular Season")</f>
        <v>73</v>
      </c>
      <c r="AG149">
        <f t="shared" si="13"/>
        <v>81</v>
      </c>
      <c r="AI149" s="32" t="s">
        <v>116</v>
      </c>
      <c r="AJ149" s="32">
        <f t="shared" si="31"/>
        <v>7</v>
      </c>
      <c r="AK149" s="37">
        <f t="shared" si="10"/>
        <v>0.9840019343</v>
      </c>
      <c r="AL149" s="38">
        <f t="shared" si="11"/>
        <v>0.9530686466</v>
      </c>
      <c r="AM149" s="38">
        <f>sumifs('WL Matrix 2'!T:T,'WL Matrix 2'!B:B,A149,'WL Matrix 2'!C:C,C149,'WL Matrix 2'!M:M,"Regular Season")</f>
        <v>73</v>
      </c>
    </row>
    <row r="150" ht="14.25" customHeight="1">
      <c r="A150" s="59">
        <v>2021.0</v>
      </c>
      <c r="B150" s="60">
        <v>44197.0</v>
      </c>
      <c r="C150" s="13" t="s">
        <v>67</v>
      </c>
      <c r="D150" s="69" t="s">
        <v>1112</v>
      </c>
      <c r="E150" s="69" t="str">
        <f t="shared" si="27"/>
        <v>NAS DAK - 2021</v>
      </c>
      <c r="F150" s="13" t="s">
        <v>941</v>
      </c>
      <c r="G150" s="13" t="s">
        <v>1114</v>
      </c>
      <c r="H150" s="13" t="s">
        <v>890</v>
      </c>
      <c r="I150" s="13" t="s">
        <v>1037</v>
      </c>
      <c r="J150" s="13" t="s">
        <v>9</v>
      </c>
      <c r="K150" s="13"/>
      <c r="L150" s="61">
        <f t="shared" si="28"/>
        <v>1</v>
      </c>
      <c r="M150" s="61">
        <v>1.0</v>
      </c>
      <c r="N150" s="59">
        <f t="shared" si="29"/>
        <v>1</v>
      </c>
      <c r="O150" s="13">
        <v>14.0</v>
      </c>
      <c r="P150" s="6">
        <f>sumifs('WL Matrix 2'!L:L,'WL Matrix 2'!B:B,A150,'WL Matrix 2'!C:C,C150,'WL Matrix 2'!M:M,"Regular Season")</f>
        <v>12</v>
      </c>
      <c r="Q150" s="6">
        <f t="shared" si="21"/>
        <v>2</v>
      </c>
      <c r="R150" s="58">
        <f>sumifs('WL Matrix 2'!J:J,'WL Matrix 2'!B:B,A150,'WL Matrix 2'!C:C,C150,'WL Matrix 2'!M:M,"Regular Season")</f>
        <v>1584.44</v>
      </c>
      <c r="S150" s="58">
        <f>sumifs('WL Matrix 2'!K:K,'WL Matrix 2'!B:B,A150,'WL Matrix 2'!C:C,C150,'WL Matrix 2'!M:M,"Regular Season")</f>
        <v>1171.38</v>
      </c>
      <c r="T150" s="13" t="s">
        <v>428</v>
      </c>
      <c r="U150" s="13" t="s">
        <v>429</v>
      </c>
      <c r="V150" s="59">
        <v>60610.0</v>
      </c>
      <c r="W150" s="62">
        <v>100.0</v>
      </c>
      <c r="X150" s="63">
        <v>850.0</v>
      </c>
      <c r="Y150" s="71">
        <f t="shared" si="30"/>
        <v>750</v>
      </c>
      <c r="Z150">
        <f t="shared" si="22"/>
        <v>1</v>
      </c>
      <c r="AA150" s="6">
        <f t="shared" si="6"/>
        <v>1</v>
      </c>
      <c r="AC150" s="6">
        <f t="shared" si="7"/>
        <v>1596.11</v>
      </c>
      <c r="AD150" s="6">
        <f t="shared" si="8"/>
        <v>1</v>
      </c>
      <c r="AE150" s="49">
        <v>1.0</v>
      </c>
      <c r="AF150">
        <f>sumifs('WL Matrix 2'!T:T,'WL Matrix 2'!B:B,A150,'WL Matrix 2'!C:C,C150,'WL Matrix 2'!M:M,"Regular Season")</f>
        <v>125</v>
      </c>
      <c r="AG150">
        <f t="shared" si="13"/>
        <v>29</v>
      </c>
      <c r="AI150" s="32" t="s">
        <v>116</v>
      </c>
      <c r="AJ150" s="32">
        <f t="shared" si="31"/>
        <v>1</v>
      </c>
      <c r="AK150" s="37">
        <f t="shared" si="10"/>
        <v>1.197165078</v>
      </c>
      <c r="AL150" s="38">
        <f t="shared" si="11"/>
        <v>0.8850667929</v>
      </c>
      <c r="AM150" s="38">
        <f>sumifs('WL Matrix 2'!T:T,'WL Matrix 2'!B:B,A150,'WL Matrix 2'!C:C,C150,'WL Matrix 2'!M:M,"Regular Season")</f>
        <v>125</v>
      </c>
    </row>
    <row r="151" ht="14.25" customHeight="1">
      <c r="A151" s="59">
        <v>2021.0</v>
      </c>
      <c r="B151" s="60">
        <v>44197.0</v>
      </c>
      <c r="C151" s="13" t="s">
        <v>72</v>
      </c>
      <c r="D151" s="69" t="s">
        <v>1120</v>
      </c>
      <c r="E151" s="69" t="str">
        <f t="shared" si="27"/>
        <v>Thielen Musk - 2021</v>
      </c>
      <c r="F151" s="13" t="s">
        <v>1121</v>
      </c>
      <c r="G151" s="13" t="s">
        <v>748</v>
      </c>
      <c r="H151" s="13" t="s">
        <v>839</v>
      </c>
      <c r="I151" s="13" t="s">
        <v>1122</v>
      </c>
      <c r="J151" s="13" t="s">
        <v>9</v>
      </c>
      <c r="K151" s="13"/>
      <c r="L151" s="61">
        <f t="shared" si="28"/>
        <v>12</v>
      </c>
      <c r="M151" s="61">
        <v>12.0</v>
      </c>
      <c r="N151" s="59">
        <f t="shared" si="29"/>
        <v>12</v>
      </c>
      <c r="O151" s="13">
        <v>14.0</v>
      </c>
      <c r="P151" s="6">
        <f>sumifs('WL Matrix 2'!L:L,'WL Matrix 2'!B:B,A151,'WL Matrix 2'!C:C,C151,'WL Matrix 2'!M:M,"Regular Season")</f>
        <v>2</v>
      </c>
      <c r="Q151" s="6">
        <f t="shared" si="21"/>
        <v>12</v>
      </c>
      <c r="R151" s="58">
        <f>sumifs('WL Matrix 2'!J:J,'WL Matrix 2'!B:B,A151,'WL Matrix 2'!C:C,C151,'WL Matrix 2'!M:M,"Regular Season")</f>
        <v>1084.52</v>
      </c>
      <c r="S151" s="58">
        <f>sumifs('WL Matrix 2'!K:K,'WL Matrix 2'!B:B,A151,'WL Matrix 2'!C:C,C151,'WL Matrix 2'!M:M,"Regular Season")</f>
        <v>1498.64</v>
      </c>
      <c r="T151" s="13" t="s">
        <v>428</v>
      </c>
      <c r="U151" s="13" t="s">
        <v>429</v>
      </c>
      <c r="V151" s="59">
        <v>60614.0</v>
      </c>
      <c r="W151" s="62">
        <v>100.0</v>
      </c>
      <c r="X151" s="63"/>
      <c r="Y151" s="71">
        <f t="shared" si="30"/>
        <v>-100</v>
      </c>
      <c r="Z151">
        <f t="shared" si="22"/>
        <v>0</v>
      </c>
      <c r="AA151" s="6">
        <f t="shared" si="6"/>
        <v>0</v>
      </c>
      <c r="AC151" s="6">
        <f t="shared" si="7"/>
        <v>471.13</v>
      </c>
      <c r="AD151" s="6">
        <f t="shared" si="8"/>
        <v>0</v>
      </c>
      <c r="AE151" s="6"/>
      <c r="AF151">
        <f>sumifs('WL Matrix 2'!T:T,'WL Matrix 2'!B:B,A151,'WL Matrix 2'!C:C,C151,'WL Matrix 2'!M:M,"Regular Season")</f>
        <v>41</v>
      </c>
      <c r="AG151">
        <f t="shared" si="13"/>
        <v>113</v>
      </c>
      <c r="AI151" s="32" t="s">
        <v>116</v>
      </c>
      <c r="AJ151" s="32">
        <f t="shared" si="31"/>
        <v>12</v>
      </c>
      <c r="AK151" s="37">
        <f t="shared" si="10"/>
        <v>0.8194374484</v>
      </c>
      <c r="AL151" s="38">
        <f t="shared" si="11"/>
        <v>1.132336644</v>
      </c>
      <c r="AM151" s="38">
        <f>sumifs('WL Matrix 2'!T:T,'WL Matrix 2'!B:B,A151,'WL Matrix 2'!C:C,C151,'WL Matrix 2'!M:M,"Regular Season")</f>
        <v>41</v>
      </c>
    </row>
    <row r="152" ht="14.25" customHeight="1">
      <c r="A152" s="59">
        <v>2021.0</v>
      </c>
      <c r="B152" s="60">
        <v>44197.0</v>
      </c>
      <c r="C152" s="13" t="s">
        <v>76</v>
      </c>
      <c r="D152" s="69" t="s">
        <v>1129</v>
      </c>
      <c r="E152" s="69" t="str">
        <f t="shared" si="27"/>
        <v>Wolf of Waller Street - 2021</v>
      </c>
      <c r="F152" s="13" t="s">
        <v>889</v>
      </c>
      <c r="G152" s="13" t="s">
        <v>1130</v>
      </c>
      <c r="H152" s="13" t="s">
        <v>792</v>
      </c>
      <c r="I152" s="13" t="s">
        <v>950</v>
      </c>
      <c r="J152" s="13" t="s">
        <v>9</v>
      </c>
      <c r="K152" s="13"/>
      <c r="L152" s="61">
        <f t="shared" si="28"/>
        <v>3</v>
      </c>
      <c r="M152" s="61">
        <v>5.0</v>
      </c>
      <c r="N152" s="59">
        <f t="shared" si="29"/>
        <v>5</v>
      </c>
      <c r="O152" s="13">
        <v>14.0</v>
      </c>
      <c r="P152" s="6">
        <f>sumifs('WL Matrix 2'!L:L,'WL Matrix 2'!B:B,A152,'WL Matrix 2'!C:C,C152,'WL Matrix 2'!M:M,"Regular Season")</f>
        <v>10</v>
      </c>
      <c r="Q152" s="6">
        <f t="shared" si="21"/>
        <v>4</v>
      </c>
      <c r="R152" s="58">
        <f>sumifs('WL Matrix 2'!J:J,'WL Matrix 2'!B:B,A152,'WL Matrix 2'!C:C,C152,'WL Matrix 2'!M:M,"Regular Season")</f>
        <v>1412</v>
      </c>
      <c r="S152" s="58">
        <f>sumifs('WL Matrix 2'!K:K,'WL Matrix 2'!B:B,A152,'WL Matrix 2'!C:C,C152,'WL Matrix 2'!M:M,"Regular Season")</f>
        <v>1334.52</v>
      </c>
      <c r="T152" s="13" t="s">
        <v>588</v>
      </c>
      <c r="U152" s="13" t="s">
        <v>589</v>
      </c>
      <c r="V152" s="59">
        <v>90026.0</v>
      </c>
      <c r="W152" s="62">
        <v>100.0</v>
      </c>
      <c r="X152" s="63"/>
      <c r="Y152" s="71">
        <f t="shared" si="30"/>
        <v>-100</v>
      </c>
      <c r="Z152">
        <f t="shared" si="22"/>
        <v>0</v>
      </c>
      <c r="AA152" s="6">
        <f t="shared" si="6"/>
        <v>1</v>
      </c>
      <c r="AC152" s="6">
        <f t="shared" si="7"/>
        <v>1353</v>
      </c>
      <c r="AD152" s="6">
        <f t="shared" si="8"/>
        <v>0</v>
      </c>
      <c r="AE152" s="6"/>
      <c r="AF152">
        <f>sumifs('WL Matrix 2'!T:T,'WL Matrix 2'!B:B,A152,'WL Matrix 2'!C:C,C152,'WL Matrix 2'!M:M,"Regular Season")</f>
        <v>97</v>
      </c>
      <c r="AG152">
        <f t="shared" si="13"/>
        <v>57</v>
      </c>
      <c r="AI152" s="32" t="s">
        <v>116</v>
      </c>
      <c r="AJ152" s="32">
        <f t="shared" si="31"/>
        <v>3</v>
      </c>
      <c r="AK152" s="37">
        <f t="shared" si="10"/>
        <v>1.066873527</v>
      </c>
      <c r="AL152" s="38">
        <f t="shared" si="11"/>
        <v>1.008331486</v>
      </c>
      <c r="AM152" s="38">
        <f>sumifs('WL Matrix 2'!T:T,'WL Matrix 2'!B:B,A152,'WL Matrix 2'!C:C,C152,'WL Matrix 2'!M:M,"Regular Season")</f>
        <v>97</v>
      </c>
    </row>
    <row r="153" ht="14.25" customHeight="1">
      <c r="A153" s="59">
        <v>2021.0</v>
      </c>
      <c r="B153" s="60">
        <v>44197.0</v>
      </c>
      <c r="C153" s="13" t="s">
        <v>79</v>
      </c>
      <c r="D153" s="69" t="s">
        <v>1137</v>
      </c>
      <c r="E153" s="69" t="str">
        <f t="shared" si="27"/>
        <v>Gallman Sachs - 2021</v>
      </c>
      <c r="F153" s="13" t="s">
        <v>897</v>
      </c>
      <c r="G153" s="13" t="s">
        <v>678</v>
      </c>
      <c r="H153" s="13" t="s">
        <v>1076</v>
      </c>
      <c r="I153" s="13" t="s">
        <v>779</v>
      </c>
      <c r="J153" s="49" t="s">
        <v>123</v>
      </c>
      <c r="K153" s="13"/>
      <c r="L153" s="61">
        <f t="shared" si="28"/>
        <v>9</v>
      </c>
      <c r="M153" s="61">
        <v>9.0</v>
      </c>
      <c r="N153" s="59">
        <f t="shared" si="29"/>
        <v>9</v>
      </c>
      <c r="O153" s="13">
        <v>14.0</v>
      </c>
      <c r="P153" s="6">
        <f>sumifs('WL Matrix 2'!L:L,'WL Matrix 2'!B:B,A153,'WL Matrix 2'!C:C,C153,'WL Matrix 2'!M:M,"Regular Season")</f>
        <v>4</v>
      </c>
      <c r="Q153" s="6">
        <f t="shared" si="21"/>
        <v>10</v>
      </c>
      <c r="R153" s="58">
        <f>sumifs('WL Matrix 2'!J:J,'WL Matrix 2'!B:B,A153,'WL Matrix 2'!C:C,C153,'WL Matrix 2'!M:M,"Regular Season")</f>
        <v>1250.14</v>
      </c>
      <c r="S153" s="58">
        <f>sumifs('WL Matrix 2'!K:K,'WL Matrix 2'!B:B,A153,'WL Matrix 2'!C:C,C153,'WL Matrix 2'!M:M,"Regular Season")</f>
        <v>1406.16</v>
      </c>
      <c r="T153" s="13" t="s">
        <v>600</v>
      </c>
      <c r="U153" s="13" t="s">
        <v>601</v>
      </c>
      <c r="V153" s="59">
        <v>73301.0</v>
      </c>
      <c r="W153" s="62">
        <v>100.0</v>
      </c>
      <c r="X153" s="63"/>
      <c r="Y153" s="71">
        <f t="shared" si="30"/>
        <v>-100</v>
      </c>
      <c r="Z153">
        <f t="shared" si="22"/>
        <v>0</v>
      </c>
      <c r="AA153" s="6">
        <f t="shared" si="6"/>
        <v>0</v>
      </c>
      <c r="AC153" s="72">
        <f t="shared" si="7"/>
        <v>712.535</v>
      </c>
      <c r="AD153" s="6">
        <f t="shared" si="8"/>
        <v>0</v>
      </c>
      <c r="AE153" s="6"/>
      <c r="AF153">
        <f>sumifs('WL Matrix 2'!T:T,'WL Matrix 2'!B:B,A153,'WL Matrix 2'!C:C,C153,'WL Matrix 2'!M:M,"Regular Season")</f>
        <v>59</v>
      </c>
      <c r="AG153">
        <f t="shared" si="13"/>
        <v>95</v>
      </c>
      <c r="AI153" s="32" t="s">
        <v>116</v>
      </c>
      <c r="AJ153" s="32">
        <f t="shared" si="31"/>
        <v>8</v>
      </c>
      <c r="AK153" s="37">
        <f t="shared" si="10"/>
        <v>0.9445759707</v>
      </c>
      <c r="AL153" s="38">
        <f t="shared" si="11"/>
        <v>1.062460962</v>
      </c>
      <c r="AM153" s="38">
        <f>sumifs('WL Matrix 2'!T:T,'WL Matrix 2'!B:B,A153,'WL Matrix 2'!C:C,C153,'WL Matrix 2'!M:M,"Regular Season")</f>
        <v>59</v>
      </c>
    </row>
    <row r="154" ht="14.25" customHeight="1">
      <c r="A154" s="59">
        <v>2021.0</v>
      </c>
      <c r="B154" s="60">
        <v>44197.0</v>
      </c>
      <c r="C154" s="13" t="s">
        <v>82</v>
      </c>
      <c r="D154" s="69" t="s">
        <v>1142</v>
      </c>
      <c r="E154" s="69" t="str">
        <f t="shared" si="27"/>
        <v>ODell Technologies - 2021</v>
      </c>
      <c r="F154" s="13" t="s">
        <v>853</v>
      </c>
      <c r="G154" s="13" t="s">
        <v>1143</v>
      </c>
      <c r="H154" s="13" t="s">
        <v>507</v>
      </c>
      <c r="I154" s="13" t="s">
        <v>882</v>
      </c>
      <c r="J154" s="13" t="s">
        <v>9</v>
      </c>
      <c r="K154" s="13"/>
      <c r="L154" s="61">
        <f t="shared" si="28"/>
        <v>8</v>
      </c>
      <c r="M154" s="61">
        <v>8.0</v>
      </c>
      <c r="N154" s="59">
        <f t="shared" si="29"/>
        <v>8</v>
      </c>
      <c r="O154" s="13">
        <v>14.0</v>
      </c>
      <c r="P154" s="6">
        <f>sumifs('WL Matrix 2'!L:L,'WL Matrix 2'!B:B,A154,'WL Matrix 2'!C:C,C154,'WL Matrix 2'!M:M,"Regular Season")</f>
        <v>5</v>
      </c>
      <c r="Q154" s="6">
        <f t="shared" si="21"/>
        <v>9</v>
      </c>
      <c r="R154" s="58">
        <f>sumifs('WL Matrix 2'!J:J,'WL Matrix 2'!B:B,A154,'WL Matrix 2'!C:C,C154,'WL Matrix 2'!M:M,"Regular Season")</f>
        <v>1361.8</v>
      </c>
      <c r="S154" s="58">
        <f>sumifs('WL Matrix 2'!K:K,'WL Matrix 2'!B:B,A154,'WL Matrix 2'!C:C,C154,'WL Matrix 2'!M:M,"Regular Season")</f>
        <v>1387.32</v>
      </c>
      <c r="T154" s="13" t="s">
        <v>428</v>
      </c>
      <c r="U154" s="13" t="s">
        <v>429</v>
      </c>
      <c r="V154" s="59">
        <v>60610.0</v>
      </c>
      <c r="W154" s="62">
        <v>100.0</v>
      </c>
      <c r="X154" s="63"/>
      <c r="Y154" s="71">
        <f t="shared" si="30"/>
        <v>-100</v>
      </c>
      <c r="Z154">
        <f t="shared" si="22"/>
        <v>0</v>
      </c>
      <c r="AA154" s="6">
        <f t="shared" si="6"/>
        <v>0</v>
      </c>
      <c r="AC154" s="72">
        <f t="shared" si="7"/>
        <v>840.45</v>
      </c>
      <c r="AD154" s="6">
        <f t="shared" si="8"/>
        <v>0</v>
      </c>
      <c r="AE154" s="6"/>
      <c r="AF154">
        <f>sumifs('WL Matrix 2'!T:T,'WL Matrix 2'!B:B,A154,'WL Matrix 2'!C:C,C154,'WL Matrix 2'!M:M,"Regular Season")</f>
        <v>85</v>
      </c>
      <c r="AG154">
        <f t="shared" si="13"/>
        <v>69</v>
      </c>
      <c r="AI154" s="32" t="s">
        <v>116</v>
      </c>
      <c r="AJ154" s="32">
        <f t="shared" si="31"/>
        <v>5</v>
      </c>
      <c r="AK154" s="37">
        <f t="shared" si="10"/>
        <v>1.028943604</v>
      </c>
      <c r="AL154" s="38">
        <f t="shared" si="11"/>
        <v>1.048225907</v>
      </c>
      <c r="AM154" s="38">
        <f>sumifs('WL Matrix 2'!T:T,'WL Matrix 2'!B:B,A154,'WL Matrix 2'!C:C,C154,'WL Matrix 2'!M:M,"Regular Season")</f>
        <v>85</v>
      </c>
    </row>
    <row r="155" ht="14.25" customHeight="1">
      <c r="A155" s="59">
        <v>2021.0</v>
      </c>
      <c r="B155" s="60">
        <v>44197.0</v>
      </c>
      <c r="C155" s="13" t="s">
        <v>86</v>
      </c>
      <c r="D155" s="69" t="s">
        <v>1152</v>
      </c>
      <c r="E155" s="69" t="str">
        <f t="shared" si="27"/>
        <v>H+R Block 4 Dalvin - 2021</v>
      </c>
      <c r="F155" s="13" t="s">
        <v>434</v>
      </c>
      <c r="G155" s="13" t="s">
        <v>708</v>
      </c>
      <c r="H155" s="13" t="s">
        <v>1153</v>
      </c>
      <c r="I155" s="13" t="s">
        <v>1154</v>
      </c>
      <c r="J155" s="13" t="s">
        <v>9</v>
      </c>
      <c r="K155" s="13"/>
      <c r="L155" s="61">
        <f t="shared" si="28"/>
        <v>11</v>
      </c>
      <c r="M155" s="61">
        <v>10.0</v>
      </c>
      <c r="N155" s="59">
        <f t="shared" si="29"/>
        <v>11</v>
      </c>
      <c r="O155" s="13">
        <v>14.0</v>
      </c>
      <c r="P155" s="6">
        <f>sumifs('WL Matrix 2'!L:L,'WL Matrix 2'!B:B,A155,'WL Matrix 2'!C:C,C155,'WL Matrix 2'!M:M,"Regular Season")</f>
        <v>4</v>
      </c>
      <c r="Q155" s="6">
        <f t="shared" si="21"/>
        <v>10</v>
      </c>
      <c r="R155" s="58">
        <f>sumifs('WL Matrix 2'!J:J,'WL Matrix 2'!B:B,A155,'WL Matrix 2'!C:C,C155,'WL Matrix 2'!M:M,"Regular Season")</f>
        <v>1179.34</v>
      </c>
      <c r="S155" s="58">
        <f>sumifs('WL Matrix 2'!K:K,'WL Matrix 2'!B:B,A155,'WL Matrix 2'!C:C,C155,'WL Matrix 2'!M:M,"Regular Season")</f>
        <v>1357.1</v>
      </c>
      <c r="T155" s="13" t="s">
        <v>428</v>
      </c>
      <c r="U155" s="13" t="s">
        <v>429</v>
      </c>
      <c r="V155" s="59">
        <v>60657.0</v>
      </c>
      <c r="W155" s="62">
        <v>100.0</v>
      </c>
      <c r="X155" s="63"/>
      <c r="Y155" s="71">
        <f t="shared" si="30"/>
        <v>-100</v>
      </c>
      <c r="Z155">
        <f t="shared" si="22"/>
        <v>0</v>
      </c>
      <c r="AA155" s="6">
        <f t="shared" si="6"/>
        <v>0</v>
      </c>
      <c r="AC155" s="72">
        <f t="shared" si="7"/>
        <v>694.835</v>
      </c>
      <c r="AD155" s="6">
        <f t="shared" si="8"/>
        <v>0</v>
      </c>
      <c r="AE155" s="6"/>
      <c r="AF155">
        <f>sumifs('WL Matrix 2'!T:T,'WL Matrix 2'!B:B,A155,'WL Matrix 2'!C:C,C155,'WL Matrix 2'!M:M,"Regular Season")</f>
        <v>43</v>
      </c>
      <c r="AG155">
        <f t="shared" si="13"/>
        <v>111</v>
      </c>
      <c r="AI155" s="32" t="s">
        <v>116</v>
      </c>
      <c r="AJ155" s="32">
        <f t="shared" si="31"/>
        <v>11</v>
      </c>
      <c r="AK155" s="37">
        <f t="shared" si="10"/>
        <v>0.8910811791</v>
      </c>
      <c r="AL155" s="38">
        <f t="shared" si="11"/>
        <v>1.025392396</v>
      </c>
      <c r="AM155" s="38">
        <f>sumifs('WL Matrix 2'!T:T,'WL Matrix 2'!B:B,A155,'WL Matrix 2'!C:C,C155,'WL Matrix 2'!M:M,"Regular Season")</f>
        <v>43</v>
      </c>
    </row>
    <row r="156" ht="14.25" customHeight="1">
      <c r="A156" s="59">
        <v>2021.0</v>
      </c>
      <c r="B156" s="60">
        <v>44197.0</v>
      </c>
      <c r="C156" s="13" t="s">
        <v>89</v>
      </c>
      <c r="D156" s="69" t="s">
        <v>1159</v>
      </c>
      <c r="E156" s="69" t="str">
        <f t="shared" si="27"/>
        <v>Sony Discman Jr. - 2021</v>
      </c>
      <c r="F156" s="13" t="s">
        <v>325</v>
      </c>
      <c r="G156" s="13" t="s">
        <v>935</v>
      </c>
      <c r="H156" s="13" t="s">
        <v>898</v>
      </c>
      <c r="I156" s="13" t="s">
        <v>990</v>
      </c>
      <c r="J156" s="13" t="s">
        <v>9</v>
      </c>
      <c r="K156" s="13"/>
      <c r="L156" s="61">
        <f t="shared" si="28"/>
        <v>4</v>
      </c>
      <c r="M156" s="61">
        <v>6.0</v>
      </c>
      <c r="N156" s="59">
        <f t="shared" si="29"/>
        <v>6</v>
      </c>
      <c r="O156" s="13">
        <v>14.0</v>
      </c>
      <c r="P156" s="6">
        <f>sumifs('WL Matrix 2'!L:L,'WL Matrix 2'!B:B,A156,'WL Matrix 2'!C:C,C156,'WL Matrix 2'!M:M,"Regular Season")</f>
        <v>10</v>
      </c>
      <c r="Q156" s="6">
        <f t="shared" si="21"/>
        <v>4</v>
      </c>
      <c r="R156" s="58">
        <f>sumifs('WL Matrix 2'!J:J,'WL Matrix 2'!B:B,A156,'WL Matrix 2'!C:C,C156,'WL Matrix 2'!M:M,"Regular Season")</f>
        <v>1389.62</v>
      </c>
      <c r="S156" s="58">
        <f>sumifs('WL Matrix 2'!K:K,'WL Matrix 2'!B:B,A156,'WL Matrix 2'!C:C,C156,'WL Matrix 2'!M:M,"Regular Season")</f>
        <v>1296.36</v>
      </c>
      <c r="T156" s="13" t="s">
        <v>546</v>
      </c>
      <c r="U156" s="13" t="s">
        <v>46</v>
      </c>
      <c r="V156" s="59">
        <v>46037.0</v>
      </c>
      <c r="W156" s="62">
        <v>100.0</v>
      </c>
      <c r="X156" s="63"/>
      <c r="Y156" s="71">
        <f t="shared" si="30"/>
        <v>-100</v>
      </c>
      <c r="Z156">
        <f t="shared" si="22"/>
        <v>0</v>
      </c>
      <c r="AA156" s="6">
        <f t="shared" si="6"/>
        <v>1</v>
      </c>
      <c r="AC156" s="72">
        <f t="shared" si="7"/>
        <v>1347.405</v>
      </c>
      <c r="AD156" s="6">
        <f t="shared" si="8"/>
        <v>0</v>
      </c>
      <c r="AE156" s="6"/>
      <c r="AF156">
        <f>sumifs('WL Matrix 2'!T:T,'WL Matrix 2'!B:B,A156,'WL Matrix 2'!C:C,C156,'WL Matrix 2'!M:M,"Regular Season")</f>
        <v>91</v>
      </c>
      <c r="AG156">
        <f t="shared" si="13"/>
        <v>63</v>
      </c>
      <c r="AI156" s="32" t="s">
        <v>116</v>
      </c>
      <c r="AJ156" s="32">
        <f t="shared" si="31"/>
        <v>4</v>
      </c>
      <c r="AK156" s="37">
        <f t="shared" si="10"/>
        <v>1.049963732</v>
      </c>
      <c r="AL156" s="38">
        <f t="shared" si="11"/>
        <v>0.9794987004</v>
      </c>
      <c r="AM156" s="38">
        <f>sumifs('WL Matrix 2'!T:T,'WL Matrix 2'!B:B,A156,'WL Matrix 2'!C:C,C156,'WL Matrix 2'!M:M,"Regular Season")</f>
        <v>91</v>
      </c>
    </row>
    <row r="157" ht="14.25" customHeight="1">
      <c r="A157" s="59">
        <v>2021.0</v>
      </c>
      <c r="B157" s="60">
        <v>44197.0</v>
      </c>
      <c r="C157" s="13" t="s">
        <v>92</v>
      </c>
      <c r="D157" s="69" t="s">
        <v>1166</v>
      </c>
      <c r="E157" s="69" t="str">
        <f t="shared" si="27"/>
        <v>Brady Petroleum And Gaskin - 2021</v>
      </c>
      <c r="F157" s="13" t="s">
        <v>41</v>
      </c>
      <c r="G157" s="13" t="s">
        <v>807</v>
      </c>
      <c r="H157" s="13" t="s">
        <v>1036</v>
      </c>
      <c r="I157" s="13" t="s">
        <v>242</v>
      </c>
      <c r="J157" s="13" t="s">
        <v>9</v>
      </c>
      <c r="K157" s="13"/>
      <c r="L157" s="61">
        <f t="shared" si="28"/>
        <v>5</v>
      </c>
      <c r="M157" s="61">
        <v>3.0</v>
      </c>
      <c r="N157" s="59">
        <f t="shared" si="29"/>
        <v>3</v>
      </c>
      <c r="O157" s="13">
        <v>14.0</v>
      </c>
      <c r="P157" s="6">
        <f>sumifs('WL Matrix 2'!L:L,'WL Matrix 2'!B:B,A157,'WL Matrix 2'!C:C,C157,'WL Matrix 2'!M:M,"Regular Season")</f>
        <v>8</v>
      </c>
      <c r="Q157" s="6">
        <f t="shared" si="21"/>
        <v>6</v>
      </c>
      <c r="R157" s="58">
        <f>sumifs('WL Matrix 2'!J:J,'WL Matrix 2'!B:B,A157,'WL Matrix 2'!C:C,C157,'WL Matrix 2'!M:M,"Regular Season")</f>
        <v>1345.7</v>
      </c>
      <c r="S157" s="58">
        <f>sumifs('WL Matrix 2'!K:K,'WL Matrix 2'!B:B,A157,'WL Matrix 2'!C:C,C157,'WL Matrix 2'!M:M,"Regular Season")</f>
        <v>1288.02</v>
      </c>
      <c r="T157" s="13" t="s">
        <v>1169</v>
      </c>
      <c r="U157" s="13" t="s">
        <v>1170</v>
      </c>
      <c r="V157" s="59">
        <v>60657.0</v>
      </c>
      <c r="W157" s="62">
        <v>100.0</v>
      </c>
      <c r="X157" s="63">
        <v>100.0</v>
      </c>
      <c r="Y157" s="71">
        <f t="shared" si="30"/>
        <v>0</v>
      </c>
      <c r="Z157">
        <f t="shared" si="22"/>
        <v>0</v>
      </c>
      <c r="AA157" s="6">
        <f t="shared" si="6"/>
        <v>1</v>
      </c>
      <c r="AC157" s="72">
        <f t="shared" si="7"/>
        <v>1136.425</v>
      </c>
      <c r="AD157" s="6">
        <f t="shared" si="8"/>
        <v>0</v>
      </c>
      <c r="AE157" s="6"/>
      <c r="AF157">
        <f>sumifs('WL Matrix 2'!T:T,'WL Matrix 2'!B:B,A157,'WL Matrix 2'!C:C,C157,'WL Matrix 2'!M:M,"Regular Season")</f>
        <v>79</v>
      </c>
      <c r="AG157">
        <f t="shared" si="13"/>
        <v>75</v>
      </c>
      <c r="AI157" s="32" t="s">
        <v>116</v>
      </c>
      <c r="AJ157" s="32">
        <f t="shared" si="31"/>
        <v>6</v>
      </c>
      <c r="AK157" s="37">
        <f t="shared" si="10"/>
        <v>1.016778828</v>
      </c>
      <c r="AL157" s="38">
        <f t="shared" si="11"/>
        <v>0.9731971953</v>
      </c>
      <c r="AM157" s="38">
        <f>sumifs('WL Matrix 2'!T:T,'WL Matrix 2'!B:B,A157,'WL Matrix 2'!C:C,C157,'WL Matrix 2'!M:M,"Regular Season")</f>
        <v>79</v>
      </c>
    </row>
    <row r="158" ht="14.25" customHeight="1">
      <c r="A158" s="59">
        <v>2022.0</v>
      </c>
      <c r="B158" s="60">
        <v>44562.0</v>
      </c>
      <c r="C158" s="13" t="s">
        <v>47</v>
      </c>
      <c r="D158" s="49" t="s">
        <v>1173</v>
      </c>
      <c r="E158" s="69" t="str">
        <f t="shared" si="27"/>
        <v>Swisher Swifts - 2022</v>
      </c>
      <c r="F158" s="49" t="s">
        <v>1082</v>
      </c>
      <c r="G158" s="49" t="s">
        <v>1174</v>
      </c>
      <c r="H158" s="49" t="s">
        <v>714</v>
      </c>
      <c r="I158" s="49" t="s">
        <v>779</v>
      </c>
      <c r="J158" s="13" t="s">
        <v>9</v>
      </c>
      <c r="L158" s="61">
        <f t="shared" ref="L158:L162" si="32">rank(AC158,$AC$158:$AC$169)</f>
        <v>3</v>
      </c>
      <c r="M158" s="73">
        <v>1.0</v>
      </c>
      <c r="N158" s="59">
        <f t="shared" si="29"/>
        <v>1</v>
      </c>
      <c r="O158" s="49">
        <v>14.0</v>
      </c>
      <c r="P158" s="6">
        <f>sumifs('WL Matrix 2'!L:L,'WL Matrix 2'!B:B,A158,'WL Matrix 2'!C:C,C158,'WL Matrix 2'!M:M,"Regular Season")</f>
        <v>10</v>
      </c>
      <c r="Q158" s="6">
        <f t="shared" si="21"/>
        <v>4</v>
      </c>
      <c r="R158" s="58">
        <f>sumifs('WL Matrix 2'!J:J,'WL Matrix 2'!B:B,A158,'WL Matrix 2'!C:C,C158,'WL Matrix 2'!M:M,"Regular Season")</f>
        <v>1249.04</v>
      </c>
      <c r="S158" s="58">
        <f>sumifs('WL Matrix 2'!K:K,'WL Matrix 2'!B:B,A158,'WL Matrix 2'!C:C,C158)</f>
        <v>1465.1</v>
      </c>
      <c r="T158" s="13" t="s">
        <v>644</v>
      </c>
      <c r="U158" s="32" t="s">
        <v>589</v>
      </c>
      <c r="W158" s="62">
        <v>140.0</v>
      </c>
      <c r="X158" s="63">
        <v>650.0</v>
      </c>
      <c r="Y158" s="71">
        <f t="shared" si="30"/>
        <v>510</v>
      </c>
      <c r="Z158" s="32">
        <v>1.0</v>
      </c>
      <c r="AA158" s="6">
        <f t="shared" si="6"/>
        <v>1</v>
      </c>
      <c r="AC158" s="72">
        <f t="shared" si="7"/>
        <v>1312.26</v>
      </c>
      <c r="AD158" s="6">
        <f t="shared" si="8"/>
        <v>0</v>
      </c>
      <c r="AE158" s="6"/>
      <c r="AF158">
        <f>sumifs('WL Matrix 2'!T:T,'WL Matrix 2'!B:B,A158,'WL Matrix 2'!C:C,C158,'WL Matrix 2'!M:M,"Regular Season")</f>
        <v>77</v>
      </c>
      <c r="AG158">
        <f t="shared" si="13"/>
        <v>77</v>
      </c>
      <c r="AH158">
        <f t="shared" ref="AH158:AH217" si="33">AF158+AG158</f>
        <v>154</v>
      </c>
      <c r="AI158" s="32" t="s">
        <v>116</v>
      </c>
      <c r="AJ158" s="32">
        <f t="shared" ref="AJ158:AJ169" si="34">rank(R158,$R$158:$R$169)</f>
        <v>7</v>
      </c>
      <c r="AK158" s="37">
        <f t="shared" si="10"/>
        <v>0.9618716236</v>
      </c>
      <c r="AL158" s="38">
        <f t="shared" si="11"/>
        <v>0.9505365461</v>
      </c>
      <c r="AM158" s="38">
        <f>sumifs('WL Matrix 2'!T:T,'WL Matrix 2'!B:B,A158,'WL Matrix 2'!C:C,C158,'WL Matrix 2'!M:M,"Regular Season")</f>
        <v>77</v>
      </c>
    </row>
    <row r="159" ht="14.25" customHeight="1">
      <c r="A159" s="59">
        <v>2022.0</v>
      </c>
      <c r="B159" s="60">
        <v>44562.0</v>
      </c>
      <c r="C159" s="13" t="s">
        <v>52</v>
      </c>
      <c r="D159" s="49" t="s">
        <v>1181</v>
      </c>
      <c r="E159" s="69" t="str">
        <f t="shared" si="27"/>
        <v>Joshua Tree - 2022</v>
      </c>
      <c r="F159" s="49" t="s">
        <v>889</v>
      </c>
      <c r="G159" s="49" t="s">
        <v>1075</v>
      </c>
      <c r="H159" s="49" t="s">
        <v>1182</v>
      </c>
      <c r="I159" s="49" t="s">
        <v>882</v>
      </c>
      <c r="J159" s="13" t="s">
        <v>9</v>
      </c>
      <c r="L159" s="61">
        <f t="shared" si="32"/>
        <v>5</v>
      </c>
      <c r="M159" s="73">
        <v>6.0</v>
      </c>
      <c r="N159" s="59">
        <f t="shared" si="29"/>
        <v>6</v>
      </c>
      <c r="O159" s="49">
        <v>14.0</v>
      </c>
      <c r="P159" s="6">
        <f>sumifs('WL Matrix 2'!L:L,'WL Matrix 2'!B:B,A159,'WL Matrix 2'!C:C,C159,'WL Matrix 2'!M:M,"Regular Season")</f>
        <v>8</v>
      </c>
      <c r="Q159" s="6">
        <f t="shared" si="21"/>
        <v>6</v>
      </c>
      <c r="R159" s="58">
        <f>sumifs('WL Matrix 2'!J:J,'WL Matrix 2'!B:B,A159,'WL Matrix 2'!C:C,C159,'WL Matrix 2'!M:M,"Regular Season")</f>
        <v>1483.66</v>
      </c>
      <c r="S159" s="58">
        <f>sumifs('WL Matrix 2'!K:K,'WL Matrix 2'!B:B,A159,'WL Matrix 2'!C:C,C159)</f>
        <v>1569.88</v>
      </c>
      <c r="T159" s="13" t="s">
        <v>1094</v>
      </c>
      <c r="U159" s="13" t="s">
        <v>1095</v>
      </c>
      <c r="W159" s="62">
        <v>140.0</v>
      </c>
      <c r="X159" s="63">
        <v>260.0</v>
      </c>
      <c r="Y159" s="71">
        <f t="shared" si="30"/>
        <v>120</v>
      </c>
      <c r="Z159">
        <f t="shared" ref="Z159:Z217" si="35">if(M159=1,1,0)</f>
        <v>0</v>
      </c>
      <c r="AA159" s="6">
        <f t="shared" si="6"/>
        <v>1</v>
      </c>
      <c r="AC159" s="72">
        <f t="shared" si="7"/>
        <v>1170.915</v>
      </c>
      <c r="AD159" s="6">
        <f t="shared" si="8"/>
        <v>0</v>
      </c>
      <c r="AE159" s="49">
        <v>1.0</v>
      </c>
      <c r="AF159">
        <f>sumifs('WL Matrix 2'!T:T,'WL Matrix 2'!B:B,A159,'WL Matrix 2'!C:C,C159,'WL Matrix 2'!M:M,"Regular Season")</f>
        <v>105</v>
      </c>
      <c r="AG159">
        <f t="shared" si="13"/>
        <v>49</v>
      </c>
      <c r="AH159">
        <f t="shared" si="33"/>
        <v>154</v>
      </c>
      <c r="AI159" s="32" t="s">
        <v>116</v>
      </c>
      <c r="AJ159" s="32">
        <f t="shared" si="34"/>
        <v>1</v>
      </c>
      <c r="AK159" s="37">
        <f t="shared" si="10"/>
        <v>1.142549841</v>
      </c>
      <c r="AL159" s="38">
        <f t="shared" si="11"/>
        <v>1.018516356</v>
      </c>
      <c r="AM159" s="38">
        <f>sumifs('WL Matrix 2'!T:T,'WL Matrix 2'!B:B,A159,'WL Matrix 2'!C:C,C159,'WL Matrix 2'!M:M,"Regular Season")</f>
        <v>105</v>
      </c>
    </row>
    <row r="160" ht="14.25" customHeight="1">
      <c r="A160" s="59">
        <v>2022.0</v>
      </c>
      <c r="B160" s="60">
        <v>44562.0</v>
      </c>
      <c r="C160" s="13" t="s">
        <v>57</v>
      </c>
      <c r="D160" s="49" t="s">
        <v>1194</v>
      </c>
      <c r="E160" s="69" t="str">
        <f t="shared" si="27"/>
        <v>Christian McCoughrey - 2022</v>
      </c>
      <c r="F160" s="49" t="s">
        <v>908</v>
      </c>
      <c r="G160" s="49" t="s">
        <v>748</v>
      </c>
      <c r="H160" s="49" t="s">
        <v>1076</v>
      </c>
      <c r="I160" s="49" t="s">
        <v>503</v>
      </c>
      <c r="J160" s="13" t="s">
        <v>9</v>
      </c>
      <c r="L160" s="61">
        <f t="shared" si="32"/>
        <v>2</v>
      </c>
      <c r="M160" s="73">
        <v>3.0</v>
      </c>
      <c r="N160" s="59">
        <f t="shared" si="29"/>
        <v>3</v>
      </c>
      <c r="O160" s="49">
        <v>14.0</v>
      </c>
      <c r="P160" s="6">
        <f>sumifs('WL Matrix 2'!L:L,'WL Matrix 2'!B:B,A160,'WL Matrix 2'!C:C,C160,'WL Matrix 2'!M:M,"Regular Season")</f>
        <v>10</v>
      </c>
      <c r="Q160" s="6">
        <f t="shared" si="21"/>
        <v>4</v>
      </c>
      <c r="R160" s="58">
        <f>sumifs('WL Matrix 2'!J:J,'WL Matrix 2'!B:B,A160,'WL Matrix 2'!C:C,C160,'WL Matrix 2'!M:M,"Regular Season")</f>
        <v>1359.38</v>
      </c>
      <c r="S160" s="58">
        <f>sumifs('WL Matrix 2'!K:K,'WL Matrix 2'!B:B,A160,'WL Matrix 2'!C:C,C160)</f>
        <v>1445.8</v>
      </c>
      <c r="T160" s="13" t="s">
        <v>428</v>
      </c>
      <c r="U160" s="13" t="s">
        <v>429</v>
      </c>
      <c r="V160" s="32">
        <v>53211.0</v>
      </c>
      <c r="W160" s="62">
        <v>140.0</v>
      </c>
      <c r="X160" s="63">
        <v>150.0</v>
      </c>
      <c r="Y160" s="71">
        <f t="shared" si="30"/>
        <v>10</v>
      </c>
      <c r="Z160">
        <f t="shared" si="35"/>
        <v>0</v>
      </c>
      <c r="AA160" s="6">
        <f t="shared" si="6"/>
        <v>1</v>
      </c>
      <c r="AC160" s="72">
        <f t="shared" si="7"/>
        <v>1339.845</v>
      </c>
      <c r="AD160" s="6">
        <f t="shared" si="8"/>
        <v>0</v>
      </c>
      <c r="AE160" s="6"/>
      <c r="AF160">
        <f>sumifs('WL Matrix 2'!T:T,'WL Matrix 2'!B:B,A160,'WL Matrix 2'!C:C,C160,'WL Matrix 2'!M:M,"Regular Season")</f>
        <v>91</v>
      </c>
      <c r="AG160">
        <f t="shared" si="13"/>
        <v>63</v>
      </c>
      <c r="AH160">
        <f t="shared" si="33"/>
        <v>154</v>
      </c>
      <c r="AI160" s="32" t="s">
        <v>116</v>
      </c>
      <c r="AJ160" s="32">
        <f t="shared" si="34"/>
        <v>5</v>
      </c>
      <c r="AK160" s="37">
        <f t="shared" si="10"/>
        <v>1.046843214</v>
      </c>
      <c r="AL160" s="38">
        <f t="shared" si="11"/>
        <v>0.938014974</v>
      </c>
      <c r="AM160" s="38">
        <f>sumifs('WL Matrix 2'!T:T,'WL Matrix 2'!B:B,A160,'WL Matrix 2'!C:C,C160,'WL Matrix 2'!M:M,"Regular Season")</f>
        <v>91</v>
      </c>
    </row>
    <row r="161" ht="14.25" customHeight="1">
      <c r="A161" s="59">
        <v>2022.0</v>
      </c>
      <c r="B161" s="60">
        <v>44562.0</v>
      </c>
      <c r="C161" s="13" t="s">
        <v>39</v>
      </c>
      <c r="D161" s="49" t="s">
        <v>1206</v>
      </c>
      <c r="E161" s="69" t="str">
        <f t="shared" si="27"/>
        <v>Hocken A Lung - 2022</v>
      </c>
      <c r="F161" s="49" t="s">
        <v>434</v>
      </c>
      <c r="G161" s="49" t="s">
        <v>807</v>
      </c>
      <c r="H161" s="49" t="s">
        <v>1053</v>
      </c>
      <c r="I161" s="49" t="s">
        <v>1060</v>
      </c>
      <c r="J161" s="13" t="s">
        <v>9</v>
      </c>
      <c r="L161" s="61">
        <f t="shared" si="32"/>
        <v>6</v>
      </c>
      <c r="M161" s="8">
        <f t="shared" ref="M161:M163" si="36">L161</f>
        <v>6</v>
      </c>
      <c r="N161" s="59">
        <f t="shared" si="29"/>
        <v>6</v>
      </c>
      <c r="O161" s="49">
        <v>14.0</v>
      </c>
      <c r="P161" s="6">
        <f>sumifs('WL Matrix 2'!L:L,'WL Matrix 2'!B:B,A161,'WL Matrix 2'!C:C,C161,'WL Matrix 2'!M:M,"Regular Season")</f>
        <v>8</v>
      </c>
      <c r="Q161" s="6">
        <f t="shared" si="21"/>
        <v>6</v>
      </c>
      <c r="R161" s="58">
        <f>sumifs('WL Matrix 2'!J:J,'WL Matrix 2'!B:B,A161,'WL Matrix 2'!C:C,C161,'WL Matrix 2'!M:M,"Regular Season")</f>
        <v>1204.1</v>
      </c>
      <c r="S161" s="58">
        <f>sumifs('WL Matrix 2'!K:K,'WL Matrix 2'!B:B,A161,'WL Matrix 2'!C:C,C161)</f>
        <v>1473.82</v>
      </c>
      <c r="T161" s="13" t="s">
        <v>1169</v>
      </c>
      <c r="U161" s="13" t="s">
        <v>1170</v>
      </c>
      <c r="W161" s="62">
        <v>140.0</v>
      </c>
      <c r="X161" s="63"/>
      <c r="Y161" s="71">
        <f t="shared" si="30"/>
        <v>-140</v>
      </c>
      <c r="Z161">
        <f t="shared" si="35"/>
        <v>0</v>
      </c>
      <c r="AA161" s="6">
        <f t="shared" si="6"/>
        <v>1</v>
      </c>
      <c r="AC161" s="72">
        <f t="shared" si="7"/>
        <v>1101.025</v>
      </c>
      <c r="AD161" s="6">
        <f t="shared" si="8"/>
        <v>0</v>
      </c>
      <c r="AE161" s="6"/>
      <c r="AF161">
        <f>sumifs('WL Matrix 2'!T:T,'WL Matrix 2'!B:B,A161,'WL Matrix 2'!C:C,C161,'WL Matrix 2'!M:M,"Regular Season")</f>
        <v>60</v>
      </c>
      <c r="AG161">
        <f t="shared" si="13"/>
        <v>94</v>
      </c>
      <c r="AH161">
        <f t="shared" si="33"/>
        <v>154</v>
      </c>
      <c r="AI161" s="32" t="s">
        <v>116</v>
      </c>
      <c r="AJ161" s="32">
        <f t="shared" si="34"/>
        <v>8</v>
      </c>
      <c r="AK161" s="37">
        <f t="shared" si="10"/>
        <v>0.9272638362</v>
      </c>
      <c r="AL161" s="38">
        <f t="shared" si="11"/>
        <v>0.9561939611</v>
      </c>
      <c r="AM161" s="38">
        <f>sumifs('WL Matrix 2'!T:T,'WL Matrix 2'!B:B,A161,'WL Matrix 2'!C:C,C161,'WL Matrix 2'!M:M,"Regular Season")</f>
        <v>60</v>
      </c>
    </row>
    <row r="162" ht="14.25" customHeight="1">
      <c r="A162" s="59">
        <v>2022.0</v>
      </c>
      <c r="B162" s="60">
        <v>44562.0</v>
      </c>
      <c r="C162" s="13" t="s">
        <v>67</v>
      </c>
      <c r="D162" s="49" t="s">
        <v>1213</v>
      </c>
      <c r="E162" s="69" t="str">
        <f t="shared" si="27"/>
        <v>Lamarlboro Lights - 2022</v>
      </c>
      <c r="F162" s="49" t="s">
        <v>975</v>
      </c>
      <c r="G162" s="49" t="s">
        <v>988</v>
      </c>
      <c r="H162" s="49" t="s">
        <v>1214</v>
      </c>
      <c r="I162" s="49" t="s">
        <v>1037</v>
      </c>
      <c r="J162" s="13" t="s">
        <v>9</v>
      </c>
      <c r="L162" s="61">
        <f t="shared" si="32"/>
        <v>11</v>
      </c>
      <c r="M162" s="8">
        <f t="shared" si="36"/>
        <v>11</v>
      </c>
      <c r="N162" s="59">
        <f t="shared" si="29"/>
        <v>11</v>
      </c>
      <c r="O162" s="49">
        <v>14.0</v>
      </c>
      <c r="P162" s="6">
        <f>sumifs('WL Matrix 2'!L:L,'WL Matrix 2'!B:B,A162,'WL Matrix 2'!C:C,C162,'WL Matrix 2'!M:M,"Regular Season")</f>
        <v>3</v>
      </c>
      <c r="Q162" s="6">
        <f t="shared" si="21"/>
        <v>11</v>
      </c>
      <c r="R162" s="58">
        <f>sumifs('WL Matrix 2'!J:J,'WL Matrix 2'!B:B,A162,'WL Matrix 2'!C:C,C162,'WL Matrix 2'!M:M,"Regular Season")</f>
        <v>1203.96</v>
      </c>
      <c r="S162" s="58">
        <f>sumifs('WL Matrix 2'!K:K,'WL Matrix 2'!B:B,A162,'WL Matrix 2'!C:C,C162)</f>
        <v>1647.32</v>
      </c>
      <c r="T162" s="13" t="s">
        <v>428</v>
      </c>
      <c r="U162" s="13" t="s">
        <v>429</v>
      </c>
      <c r="W162" s="62">
        <v>140.0</v>
      </c>
      <c r="X162" s="63"/>
      <c r="Y162" s="71">
        <f t="shared" si="30"/>
        <v>-140</v>
      </c>
      <c r="Z162">
        <f t="shared" si="35"/>
        <v>0</v>
      </c>
      <c r="AA162" s="6">
        <f t="shared" si="6"/>
        <v>0</v>
      </c>
      <c r="AC162" s="72">
        <f t="shared" si="7"/>
        <v>600.99</v>
      </c>
      <c r="AD162" s="6">
        <f t="shared" si="8"/>
        <v>0</v>
      </c>
      <c r="AE162" s="6"/>
      <c r="AF162">
        <f>sumifs('WL Matrix 2'!T:T,'WL Matrix 2'!B:B,A162,'WL Matrix 2'!C:C,C162,'WL Matrix 2'!M:M,"Regular Season")</f>
        <v>60</v>
      </c>
      <c r="AG162">
        <f t="shared" si="13"/>
        <v>94</v>
      </c>
      <c r="AH162">
        <f t="shared" si="33"/>
        <v>154</v>
      </c>
      <c r="AI162" s="32" t="s">
        <v>116</v>
      </c>
      <c r="AJ162" s="32">
        <f t="shared" si="34"/>
        <v>9</v>
      </c>
      <c r="AK162" s="37">
        <f t="shared" si="10"/>
        <v>0.9271560238</v>
      </c>
      <c r="AL162" s="38">
        <f t="shared" si="11"/>
        <v>1.068758353</v>
      </c>
      <c r="AM162" s="38">
        <f>sumifs('WL Matrix 2'!T:T,'WL Matrix 2'!B:B,A162,'WL Matrix 2'!C:C,C162,'WL Matrix 2'!M:M,"Regular Season")</f>
        <v>60</v>
      </c>
    </row>
    <row r="163" ht="14.25" customHeight="1">
      <c r="A163" s="59">
        <v>2022.0</v>
      </c>
      <c r="B163" s="60">
        <v>44562.0</v>
      </c>
      <c r="C163" s="13" t="s">
        <v>72</v>
      </c>
      <c r="D163" s="49" t="s">
        <v>1217</v>
      </c>
      <c r="E163" s="69" t="str">
        <f t="shared" si="27"/>
        <v>Cam-el Lights - 2022</v>
      </c>
      <c r="F163" s="49" t="s">
        <v>41</v>
      </c>
      <c r="G163" s="49" t="s">
        <v>1219</v>
      </c>
      <c r="H163" s="49" t="s">
        <v>732</v>
      </c>
      <c r="I163" s="49" t="s">
        <v>1221</v>
      </c>
      <c r="J163" s="13" t="s">
        <v>9</v>
      </c>
      <c r="L163" s="61">
        <v>12.0</v>
      </c>
      <c r="M163" s="8">
        <f t="shared" si="36"/>
        <v>12</v>
      </c>
      <c r="N163" s="59">
        <f t="shared" si="29"/>
        <v>12</v>
      </c>
      <c r="O163" s="49">
        <v>14.0</v>
      </c>
      <c r="P163" s="6">
        <f>sumifs('WL Matrix 2'!L:L,'WL Matrix 2'!B:B,A163,'WL Matrix 2'!C:C,C163,'WL Matrix 2'!M:M,"Regular Season")</f>
        <v>3</v>
      </c>
      <c r="Q163" s="6">
        <f t="shared" si="21"/>
        <v>11</v>
      </c>
      <c r="R163" s="58">
        <f>sumifs('WL Matrix 2'!J:J,'WL Matrix 2'!B:B,A163,'WL Matrix 2'!C:C,C163,'WL Matrix 2'!M:M,"Regular Season")</f>
        <v>1181.14</v>
      </c>
      <c r="S163" s="58">
        <f>sumifs('WL Matrix 2'!K:K,'WL Matrix 2'!B:B,A163,'WL Matrix 2'!C:C,C163)</f>
        <v>1605.42</v>
      </c>
      <c r="T163" s="13" t="s">
        <v>428</v>
      </c>
      <c r="U163" s="13" t="s">
        <v>429</v>
      </c>
      <c r="W163" s="62">
        <v>140.0</v>
      </c>
      <c r="X163" s="63"/>
      <c r="Y163" s="71">
        <f t="shared" si="30"/>
        <v>-140</v>
      </c>
      <c r="Z163">
        <f t="shared" si="35"/>
        <v>0</v>
      </c>
      <c r="AA163" s="6">
        <f t="shared" si="6"/>
        <v>0</v>
      </c>
      <c r="AC163" s="72">
        <f t="shared" si="7"/>
        <v>595.285</v>
      </c>
      <c r="AD163" s="6">
        <f t="shared" si="8"/>
        <v>0</v>
      </c>
      <c r="AE163" s="6"/>
      <c r="AF163">
        <f>sumifs('WL Matrix 2'!T:T,'WL Matrix 2'!B:B,A163,'WL Matrix 2'!C:C,C163,'WL Matrix 2'!M:M,"Regular Season")</f>
        <v>48</v>
      </c>
      <c r="AG163">
        <f t="shared" si="13"/>
        <v>106</v>
      </c>
      <c r="AH163">
        <f t="shared" si="33"/>
        <v>154</v>
      </c>
      <c r="AI163" s="32" t="s">
        <v>116</v>
      </c>
      <c r="AJ163" s="32">
        <f t="shared" si="34"/>
        <v>11</v>
      </c>
      <c r="AK163" s="37">
        <f t="shared" si="10"/>
        <v>0.9095825991</v>
      </c>
      <c r="AL163" s="38">
        <f t="shared" si="11"/>
        <v>1.041574215</v>
      </c>
      <c r="AM163" s="38">
        <f>sumifs('WL Matrix 2'!T:T,'WL Matrix 2'!B:B,A163,'WL Matrix 2'!C:C,C163,'WL Matrix 2'!M:M,"Regular Season")</f>
        <v>48</v>
      </c>
    </row>
    <row r="164" ht="14.25" customHeight="1">
      <c r="A164" s="59">
        <v>2022.0</v>
      </c>
      <c r="B164" s="60">
        <v>44562.0</v>
      </c>
      <c r="C164" s="13" t="s">
        <v>76</v>
      </c>
      <c r="D164" s="49" t="s">
        <v>1226</v>
      </c>
      <c r="E164" s="69" t="str">
        <f t="shared" si="27"/>
        <v>Lung Hurts - 2022</v>
      </c>
      <c r="F164" s="49" t="s">
        <v>1121</v>
      </c>
      <c r="G164" s="49" t="s">
        <v>982</v>
      </c>
      <c r="H164" s="49" t="s">
        <v>1227</v>
      </c>
      <c r="I164" s="49" t="s">
        <v>920</v>
      </c>
      <c r="J164" s="13" t="s">
        <v>9</v>
      </c>
      <c r="L164" s="61">
        <v>1.0</v>
      </c>
      <c r="M164" s="73">
        <v>2.0</v>
      </c>
      <c r="N164" s="59">
        <f t="shared" si="29"/>
        <v>2</v>
      </c>
      <c r="O164" s="49">
        <v>14.0</v>
      </c>
      <c r="P164" s="6">
        <f>sumifs('WL Matrix 2'!L:L,'WL Matrix 2'!B:B,A164,'WL Matrix 2'!C:C,C164,'WL Matrix 2'!M:M,"Regular Season")</f>
        <v>10</v>
      </c>
      <c r="Q164" s="6">
        <f t="shared" si="21"/>
        <v>4</v>
      </c>
      <c r="R164" s="58">
        <f>sumifs('WL Matrix 2'!J:J,'WL Matrix 2'!B:B,A164,'WL Matrix 2'!C:C,C164,'WL Matrix 2'!M:M,"Regular Season")</f>
        <v>1465.8</v>
      </c>
      <c r="S164" s="58">
        <f>sumifs('WL Matrix 2'!K:K,'WL Matrix 2'!B:B,A164,'WL Matrix 2'!C:C,C164)</f>
        <v>1416.86</v>
      </c>
      <c r="T164" s="13" t="s">
        <v>588</v>
      </c>
      <c r="U164" s="13" t="s">
        <v>589</v>
      </c>
      <c r="V164" s="32">
        <v>90068.0</v>
      </c>
      <c r="W164" s="62">
        <v>140.0</v>
      </c>
      <c r="X164" s="63">
        <f>260+360</f>
        <v>620</v>
      </c>
      <c r="Y164" s="71">
        <f t="shared" si="30"/>
        <v>480</v>
      </c>
      <c r="Z164">
        <f t="shared" si="35"/>
        <v>0</v>
      </c>
      <c r="AA164" s="6">
        <f t="shared" si="6"/>
        <v>1</v>
      </c>
      <c r="AC164" s="72">
        <f t="shared" si="7"/>
        <v>1366.45</v>
      </c>
      <c r="AD164" s="6">
        <f t="shared" si="8"/>
        <v>1</v>
      </c>
      <c r="AE164" s="6"/>
      <c r="AF164">
        <f>sumifs('WL Matrix 2'!T:T,'WL Matrix 2'!B:B,A164,'WL Matrix 2'!C:C,C164,'WL Matrix 2'!M:M,"Regular Season")</f>
        <v>103</v>
      </c>
      <c r="AG164">
        <f t="shared" si="13"/>
        <v>51</v>
      </c>
      <c r="AH164">
        <f t="shared" si="33"/>
        <v>154</v>
      </c>
      <c r="AI164" s="32" t="s">
        <v>116</v>
      </c>
      <c r="AJ164" s="32">
        <f t="shared" si="34"/>
        <v>2</v>
      </c>
      <c r="AK164" s="37">
        <f t="shared" si="10"/>
        <v>1.128796056</v>
      </c>
      <c r="AL164" s="38">
        <f t="shared" si="11"/>
        <v>0.9192391036</v>
      </c>
      <c r="AM164" s="38">
        <f>sumifs('WL Matrix 2'!T:T,'WL Matrix 2'!B:B,A164,'WL Matrix 2'!C:C,C164,'WL Matrix 2'!M:M,"Regular Season")</f>
        <v>103</v>
      </c>
    </row>
    <row r="165" ht="14.25" customHeight="1">
      <c r="A165" s="59">
        <v>2022.0</v>
      </c>
      <c r="B165" s="60">
        <v>44562.0</v>
      </c>
      <c r="C165" s="13" t="s">
        <v>79</v>
      </c>
      <c r="D165" s="49" t="s">
        <v>1232</v>
      </c>
      <c r="E165" s="69" t="str">
        <f t="shared" si="27"/>
        <v>Lets Go Brandon - 2022</v>
      </c>
      <c r="F165" s="49" t="s">
        <v>662</v>
      </c>
      <c r="G165" s="49" t="s">
        <v>708</v>
      </c>
      <c r="H165" s="49" t="s">
        <v>1235</v>
      </c>
      <c r="I165" s="49" t="s">
        <v>950</v>
      </c>
      <c r="J165" s="49" t="s">
        <v>123</v>
      </c>
      <c r="L165" s="61">
        <v>4.0</v>
      </c>
      <c r="M165" s="73">
        <v>4.0</v>
      </c>
      <c r="N165" s="59">
        <f t="shared" si="29"/>
        <v>4</v>
      </c>
      <c r="O165" s="49">
        <v>14.0</v>
      </c>
      <c r="P165" s="6">
        <f>sumifs('WL Matrix 2'!L:L,'WL Matrix 2'!B:B,A165,'WL Matrix 2'!C:C,C165,'WL Matrix 2'!M:M,"Regular Season")</f>
        <v>9</v>
      </c>
      <c r="Q165" s="6">
        <f t="shared" si="21"/>
        <v>5</v>
      </c>
      <c r="R165" s="58">
        <f>sumifs('WL Matrix 2'!J:J,'WL Matrix 2'!B:B,A165,'WL Matrix 2'!C:C,C165,'WL Matrix 2'!M:M,"Regular Season")</f>
        <v>1445.92</v>
      </c>
      <c r="S165" s="58">
        <f>sumifs('WL Matrix 2'!K:K,'WL Matrix 2'!B:B,A165,'WL Matrix 2'!C:C,C165)</f>
        <v>1531.2</v>
      </c>
      <c r="T165" s="13" t="s">
        <v>600</v>
      </c>
      <c r="U165" s="13" t="s">
        <v>601</v>
      </c>
      <c r="W165" s="62">
        <v>140.0</v>
      </c>
      <c r="X165" s="63"/>
      <c r="Y165" s="71">
        <f t="shared" si="30"/>
        <v>-140</v>
      </c>
      <c r="Z165">
        <f t="shared" si="35"/>
        <v>0</v>
      </c>
      <c r="AA165" s="6">
        <f t="shared" si="6"/>
        <v>1</v>
      </c>
      <c r="AC165" s="72">
        <f t="shared" si="7"/>
        <v>1261.48</v>
      </c>
      <c r="AD165" s="6">
        <f t="shared" si="8"/>
        <v>0</v>
      </c>
      <c r="AE165" s="6"/>
      <c r="AF165">
        <f>sumifs('WL Matrix 2'!T:T,'WL Matrix 2'!B:B,A165,'WL Matrix 2'!C:C,C165,'WL Matrix 2'!M:M,"Regular Season")</f>
        <v>98</v>
      </c>
      <c r="AG165">
        <f t="shared" si="13"/>
        <v>56</v>
      </c>
      <c r="AH165">
        <f t="shared" si="33"/>
        <v>154</v>
      </c>
      <c r="AI165" s="32" t="s">
        <v>116</v>
      </c>
      <c r="AJ165" s="32">
        <f t="shared" si="34"/>
        <v>3</v>
      </c>
      <c r="AK165" s="37">
        <f t="shared" si="10"/>
        <v>1.113486692</v>
      </c>
      <c r="AL165" s="38">
        <f t="shared" si="11"/>
        <v>0.9934213087</v>
      </c>
      <c r="AM165" s="38">
        <f>sumifs('WL Matrix 2'!T:T,'WL Matrix 2'!B:B,A165,'WL Matrix 2'!C:C,C165,'WL Matrix 2'!M:M,"Regular Season")</f>
        <v>98</v>
      </c>
    </row>
    <row r="166" ht="14.25" customHeight="1">
      <c r="A166" s="59">
        <v>2022.0</v>
      </c>
      <c r="B166" s="60">
        <v>44562.0</v>
      </c>
      <c r="C166" s="13" t="s">
        <v>82</v>
      </c>
      <c r="D166" s="49" t="s">
        <v>1240</v>
      </c>
      <c r="E166" s="69" t="str">
        <f t="shared" si="27"/>
        <v>Mike Throat is Gesicki - 2022</v>
      </c>
      <c r="F166" s="49" t="s">
        <v>747</v>
      </c>
      <c r="G166" s="49" t="s">
        <v>799</v>
      </c>
      <c r="H166" s="49" t="s">
        <v>507</v>
      </c>
      <c r="I166" s="49" t="s">
        <v>1154</v>
      </c>
      <c r="J166" s="13" t="s">
        <v>9</v>
      </c>
      <c r="L166" s="61">
        <v>8.0</v>
      </c>
      <c r="M166" s="8">
        <f t="shared" ref="M166:M169" si="37">L166</f>
        <v>8</v>
      </c>
      <c r="N166" s="59">
        <f t="shared" si="29"/>
        <v>8</v>
      </c>
      <c r="O166" s="49">
        <v>14.0</v>
      </c>
      <c r="P166" s="6">
        <f>sumifs('WL Matrix 2'!L:L,'WL Matrix 2'!B:B,A166,'WL Matrix 2'!C:C,C166,'WL Matrix 2'!M:M,"Regular Season")</f>
        <v>7</v>
      </c>
      <c r="Q166" s="6">
        <f t="shared" si="21"/>
        <v>7</v>
      </c>
      <c r="R166" s="58">
        <f>sumifs('WL Matrix 2'!J:J,'WL Matrix 2'!B:B,A166,'WL Matrix 2'!C:C,C166,'WL Matrix 2'!M:M,"Regular Season")</f>
        <v>1256.58</v>
      </c>
      <c r="S166" s="58">
        <f>sumifs('WL Matrix 2'!K:K,'WL Matrix 2'!B:B,A166,'WL Matrix 2'!C:C,C166)</f>
        <v>1618.2</v>
      </c>
      <c r="T166" s="13" t="s">
        <v>428</v>
      </c>
      <c r="U166" s="13" t="s">
        <v>429</v>
      </c>
      <c r="W166" s="62">
        <v>140.0</v>
      </c>
      <c r="X166" s="63"/>
      <c r="Y166" s="71">
        <f t="shared" si="30"/>
        <v>-140</v>
      </c>
      <c r="Z166">
        <f t="shared" si="35"/>
        <v>0</v>
      </c>
      <c r="AA166" s="6">
        <f t="shared" si="6"/>
        <v>0</v>
      </c>
      <c r="AC166" s="72">
        <f t="shared" si="7"/>
        <v>1014.145</v>
      </c>
      <c r="AD166" s="6">
        <f t="shared" si="8"/>
        <v>0</v>
      </c>
      <c r="AE166" s="6"/>
      <c r="AF166">
        <f>sumifs('WL Matrix 2'!T:T,'WL Matrix 2'!B:B,A166,'WL Matrix 2'!C:C,C166,'WL Matrix 2'!M:M,"Regular Season")</f>
        <v>76</v>
      </c>
      <c r="AG166">
        <f t="shared" si="13"/>
        <v>78</v>
      </c>
      <c r="AH166">
        <f t="shared" si="33"/>
        <v>154</v>
      </c>
      <c r="AI166" s="32" t="s">
        <v>116</v>
      </c>
      <c r="AJ166" s="32">
        <f t="shared" si="34"/>
        <v>6</v>
      </c>
      <c r="AK166" s="37">
        <f t="shared" si="10"/>
        <v>0.9676780926</v>
      </c>
      <c r="AL166" s="38">
        <f t="shared" si="11"/>
        <v>1.049865701</v>
      </c>
      <c r="AM166" s="38">
        <f>sumifs('WL Matrix 2'!T:T,'WL Matrix 2'!B:B,A166,'WL Matrix 2'!C:C,C166,'WL Matrix 2'!M:M,"Regular Season")</f>
        <v>76</v>
      </c>
    </row>
    <row r="167" ht="14.25" customHeight="1">
      <c r="A167" s="59">
        <v>2022.0</v>
      </c>
      <c r="B167" s="60">
        <v>44562.0</v>
      </c>
      <c r="C167" s="13" t="s">
        <v>86</v>
      </c>
      <c r="D167" s="49" t="s">
        <v>1247</v>
      </c>
      <c r="E167" s="69" t="str">
        <f t="shared" si="27"/>
        <v>Diggs and Cigs - 2022</v>
      </c>
      <c r="F167" s="49" t="s">
        <v>175</v>
      </c>
      <c r="G167" s="49" t="s">
        <v>1248</v>
      </c>
      <c r="H167" s="49" t="s">
        <v>898</v>
      </c>
      <c r="I167" s="49" t="s">
        <v>1091</v>
      </c>
      <c r="J167" s="13" t="s">
        <v>9</v>
      </c>
      <c r="L167" s="61">
        <v>9.0</v>
      </c>
      <c r="M167" s="8">
        <f t="shared" si="37"/>
        <v>9</v>
      </c>
      <c r="N167" s="59">
        <f t="shared" si="29"/>
        <v>9</v>
      </c>
      <c r="O167" s="49">
        <v>14.0</v>
      </c>
      <c r="P167" s="6">
        <f>sumifs('WL Matrix 2'!L:L,'WL Matrix 2'!B:B,A167,'WL Matrix 2'!C:C,C167,'WL Matrix 2'!M:M,"Regular Season")</f>
        <v>5</v>
      </c>
      <c r="Q167" s="6">
        <f t="shared" si="21"/>
        <v>9</v>
      </c>
      <c r="R167" s="58">
        <f>sumifs('WL Matrix 2'!J:J,'WL Matrix 2'!B:B,A167,'WL Matrix 2'!C:C,C167,'WL Matrix 2'!M:M,"Regular Season")</f>
        <v>1159.62</v>
      </c>
      <c r="S167" s="58">
        <f>sumifs('WL Matrix 2'!K:K,'WL Matrix 2'!B:B,A167,'WL Matrix 2'!C:C,C167)</f>
        <v>1503.48</v>
      </c>
      <c r="T167" s="13" t="s">
        <v>428</v>
      </c>
      <c r="U167" s="13" t="s">
        <v>429</v>
      </c>
      <c r="W167" s="62">
        <v>140.0</v>
      </c>
      <c r="X167" s="63"/>
      <c r="Y167" s="71">
        <f t="shared" si="30"/>
        <v>-140</v>
      </c>
      <c r="Z167">
        <f t="shared" si="35"/>
        <v>0</v>
      </c>
      <c r="AA167" s="6">
        <f t="shared" si="6"/>
        <v>0</v>
      </c>
      <c r="AC167" s="72">
        <f t="shared" si="7"/>
        <v>789.905</v>
      </c>
      <c r="AD167" s="6">
        <f t="shared" si="8"/>
        <v>0</v>
      </c>
      <c r="AE167" s="6"/>
      <c r="AF167">
        <f>sumifs('WL Matrix 2'!T:T,'WL Matrix 2'!B:B,A167,'WL Matrix 2'!C:C,C167,'WL Matrix 2'!M:M,"Regular Season")</f>
        <v>59</v>
      </c>
      <c r="AG167">
        <f t="shared" si="13"/>
        <v>95</v>
      </c>
      <c r="AH167">
        <f t="shared" si="33"/>
        <v>154</v>
      </c>
      <c r="AI167" s="32" t="s">
        <v>116</v>
      </c>
      <c r="AJ167" s="32">
        <f t="shared" si="34"/>
        <v>12</v>
      </c>
      <c r="AK167" s="37">
        <f t="shared" si="10"/>
        <v>0.8930102897</v>
      </c>
      <c r="AL167" s="38">
        <f t="shared" si="11"/>
        <v>0.9754369575</v>
      </c>
      <c r="AM167" s="38">
        <f>sumifs('WL Matrix 2'!T:T,'WL Matrix 2'!B:B,A167,'WL Matrix 2'!C:C,C167,'WL Matrix 2'!M:M,"Regular Season")</f>
        <v>59</v>
      </c>
    </row>
    <row r="168" ht="14.25" customHeight="1">
      <c r="A168" s="59">
        <v>2022.0</v>
      </c>
      <c r="B168" s="60">
        <v>44562.0</v>
      </c>
      <c r="C168" s="13" t="s">
        <v>89</v>
      </c>
      <c r="D168" s="49" t="s">
        <v>1255</v>
      </c>
      <c r="E168" s="69" t="str">
        <f t="shared" si="27"/>
        <v>Juul-Juul Smith-Schuster - 2022</v>
      </c>
      <c r="F168" s="49" t="s">
        <v>1256</v>
      </c>
      <c r="G168" s="49" t="s">
        <v>997</v>
      </c>
      <c r="H168" s="49" t="s">
        <v>1257</v>
      </c>
      <c r="I168" s="49" t="s">
        <v>1258</v>
      </c>
      <c r="J168" s="13" t="s">
        <v>9</v>
      </c>
      <c r="L168" s="61">
        <v>10.0</v>
      </c>
      <c r="M168" s="8">
        <f t="shared" si="37"/>
        <v>10</v>
      </c>
      <c r="N168" s="59">
        <f t="shared" si="29"/>
        <v>10</v>
      </c>
      <c r="O168" s="49">
        <v>14.0</v>
      </c>
      <c r="P168" s="6">
        <f>sumifs('WL Matrix 2'!L:L,'WL Matrix 2'!B:B,A168,'WL Matrix 2'!C:C,C168,'WL Matrix 2'!M:M,"Regular Season")</f>
        <v>4</v>
      </c>
      <c r="Q168" s="6">
        <f t="shared" si="21"/>
        <v>10</v>
      </c>
      <c r="R168" s="58">
        <f>sumifs('WL Matrix 2'!J:J,'WL Matrix 2'!B:B,A168,'WL Matrix 2'!C:C,C168,'WL Matrix 2'!M:M,"Regular Season")</f>
        <v>1186.14</v>
      </c>
      <c r="S168" s="58">
        <f>sumifs('WL Matrix 2'!K:K,'WL Matrix 2'!B:B,A168,'WL Matrix 2'!C:C,C168)</f>
        <v>1622.3</v>
      </c>
      <c r="T168" s="13" t="s">
        <v>546</v>
      </c>
      <c r="U168" s="13" t="s">
        <v>46</v>
      </c>
      <c r="W168" s="62">
        <v>140.0</v>
      </c>
      <c r="X168" s="63"/>
      <c r="Y168" s="71">
        <f t="shared" si="30"/>
        <v>-140</v>
      </c>
      <c r="Z168">
        <f t="shared" si="35"/>
        <v>0</v>
      </c>
      <c r="AA168" s="6">
        <f t="shared" si="6"/>
        <v>0</v>
      </c>
      <c r="AC168" s="72">
        <f t="shared" si="7"/>
        <v>696.535</v>
      </c>
      <c r="AD168" s="6">
        <f t="shared" si="8"/>
        <v>0</v>
      </c>
      <c r="AE168" s="6"/>
      <c r="AF168">
        <f>sumifs('WL Matrix 2'!T:T,'WL Matrix 2'!B:B,A168,'WL Matrix 2'!C:C,C168,'WL Matrix 2'!M:M,"Regular Season")</f>
        <v>54</v>
      </c>
      <c r="AG168">
        <f t="shared" si="13"/>
        <v>100</v>
      </c>
      <c r="AH168">
        <f t="shared" si="33"/>
        <v>154</v>
      </c>
      <c r="AI168" s="32" t="s">
        <v>116</v>
      </c>
      <c r="AJ168" s="32">
        <f t="shared" si="34"/>
        <v>10</v>
      </c>
      <c r="AK168" s="37">
        <f t="shared" si="10"/>
        <v>0.9134330427</v>
      </c>
      <c r="AL168" s="38">
        <f t="shared" si="11"/>
        <v>1.052525724</v>
      </c>
      <c r="AM168" s="38">
        <f>sumifs('WL Matrix 2'!T:T,'WL Matrix 2'!B:B,A168,'WL Matrix 2'!C:C,C168,'WL Matrix 2'!M:M,"Regular Season")</f>
        <v>54</v>
      </c>
    </row>
    <row r="169" ht="14.25" customHeight="1">
      <c r="A169" s="59">
        <v>2022.0</v>
      </c>
      <c r="B169" s="60">
        <v>44562.0</v>
      </c>
      <c r="C169" s="13" t="s">
        <v>92</v>
      </c>
      <c r="D169" s="49" t="s">
        <v>1265</v>
      </c>
      <c r="E169" s="69" t="str">
        <f t="shared" si="27"/>
        <v>Mecole 45 and Two Zig Zags - 2022</v>
      </c>
      <c r="F169" s="49" t="s">
        <v>853</v>
      </c>
      <c r="G169" s="49" t="s">
        <v>1114</v>
      </c>
      <c r="H169" s="49" t="s">
        <v>890</v>
      </c>
      <c r="I169" s="49" t="s">
        <v>1266</v>
      </c>
      <c r="J169" s="13" t="s">
        <v>9</v>
      </c>
      <c r="L169" s="61">
        <v>7.0</v>
      </c>
      <c r="M169" s="8">
        <f t="shared" si="37"/>
        <v>7</v>
      </c>
      <c r="N169" s="59">
        <f>if(L169&gt;6,L169,$M$169)</f>
        <v>7</v>
      </c>
      <c r="O169" s="49">
        <v>14.0</v>
      </c>
      <c r="P169" s="6">
        <f>sumifs('WL Matrix 2'!L:L,'WL Matrix 2'!B:B,A169,'WL Matrix 2'!C:C,C169,'WL Matrix 2'!M:M,"Regular Season")</f>
        <v>7</v>
      </c>
      <c r="Q169" s="6">
        <f t="shared" si="21"/>
        <v>7</v>
      </c>
      <c r="R169" s="58">
        <f>sumifs('WL Matrix 2'!J:J,'WL Matrix 2'!B:B,A169,'WL Matrix 2'!C:C,C169,'WL Matrix 2'!M:M,"Regular Season")</f>
        <v>1387.28</v>
      </c>
      <c r="S169" s="58">
        <f>sumifs('WL Matrix 2'!K:K,'WL Matrix 2'!B:B,A169,'WL Matrix 2'!C:C,C169)</f>
        <v>1596.7</v>
      </c>
      <c r="T169" s="13" t="s">
        <v>1169</v>
      </c>
      <c r="U169" s="13" t="s">
        <v>1170</v>
      </c>
      <c r="W169" s="62">
        <v>140.0</v>
      </c>
      <c r="X169" s="63"/>
      <c r="Y169" s="71">
        <f t="shared" si="30"/>
        <v>-140</v>
      </c>
      <c r="Z169">
        <f t="shared" si="35"/>
        <v>0</v>
      </c>
      <c r="AA169" s="6">
        <f t="shared" si="6"/>
        <v>0</v>
      </c>
      <c r="AC169" s="72">
        <f t="shared" si="7"/>
        <v>1046.82</v>
      </c>
      <c r="AD169" s="6">
        <f t="shared" si="8"/>
        <v>0</v>
      </c>
      <c r="AE169" s="6"/>
      <c r="AF169">
        <f>sumifs('WL Matrix 2'!T:T,'WL Matrix 2'!B:B,A169,'WL Matrix 2'!C:C,C169,'WL Matrix 2'!M:M,"Regular Season")</f>
        <v>93</v>
      </c>
      <c r="AG169">
        <f t="shared" si="13"/>
        <v>61</v>
      </c>
      <c r="AH169">
        <f t="shared" si="33"/>
        <v>154</v>
      </c>
      <c r="AI169" s="32" t="s">
        <v>116</v>
      </c>
      <c r="AJ169" s="32">
        <f t="shared" si="34"/>
        <v>4</v>
      </c>
      <c r="AK169" s="37">
        <f t="shared" si="10"/>
        <v>1.068328689</v>
      </c>
      <c r="AL169" s="38">
        <f t="shared" si="11"/>
        <v>1.0359168</v>
      </c>
      <c r="AM169" s="38">
        <f>sumifs('WL Matrix 2'!T:T,'WL Matrix 2'!B:B,A169,'WL Matrix 2'!C:C,C169,'WL Matrix 2'!M:M,"Regular Season")</f>
        <v>93</v>
      </c>
    </row>
    <row r="170" ht="14.25" customHeight="1">
      <c r="A170" s="59">
        <v>2023.0</v>
      </c>
      <c r="B170" s="60">
        <v>44927.0</v>
      </c>
      <c r="C170" s="13" t="s">
        <v>47</v>
      </c>
      <c r="D170" s="49" t="s">
        <v>1273</v>
      </c>
      <c r="E170" s="69" t="str">
        <f t="shared" si="27"/>
        <v>Wings and Three Rings - 2023</v>
      </c>
      <c r="F170" s="49" t="s">
        <v>1274</v>
      </c>
      <c r="G170" s="49" t="s">
        <v>799</v>
      </c>
      <c r="H170" s="49" t="s">
        <v>1235</v>
      </c>
      <c r="I170" s="49" t="s">
        <v>920</v>
      </c>
      <c r="J170" s="13" t="s">
        <v>9</v>
      </c>
      <c r="K170" s="13"/>
      <c r="L170" s="73">
        <v>8.0</v>
      </c>
      <c r="M170" s="74">
        <v>7.0</v>
      </c>
      <c r="N170" s="59">
        <f t="shared" ref="N170:N217" si="38">if(L170&gt;6,L170,M170)</f>
        <v>8</v>
      </c>
      <c r="O170" s="49">
        <v>14.0</v>
      </c>
      <c r="P170" s="6">
        <v>6.0</v>
      </c>
      <c r="Q170" s="6">
        <v>8.0</v>
      </c>
      <c r="R170" s="58">
        <v>1267.48</v>
      </c>
      <c r="S170" s="58">
        <f>sumifs('WL Matrix 2'!K:K,'WL Matrix 2'!B:B,A170,'WL Matrix 2'!C:C,C170)</f>
        <v>1638.8</v>
      </c>
      <c r="T170" s="13" t="s">
        <v>644</v>
      </c>
      <c r="U170" s="32" t="s">
        <v>589</v>
      </c>
      <c r="W170" s="62">
        <v>150.0</v>
      </c>
      <c r="X170" s="63"/>
      <c r="Y170" s="71">
        <f t="shared" si="30"/>
        <v>-150</v>
      </c>
      <c r="Z170">
        <f t="shared" si="35"/>
        <v>0</v>
      </c>
      <c r="AA170" s="6">
        <f t="shared" si="6"/>
        <v>0</v>
      </c>
      <c r="AC170" s="72">
        <f t="shared" si="7"/>
        <v>916.87</v>
      </c>
      <c r="AD170" s="6">
        <f t="shared" si="8"/>
        <v>0</v>
      </c>
      <c r="AF170">
        <f>sumifs('WL Matrix 2'!T:T,'WL Matrix 2'!B:B,A170,'WL Matrix 2'!C:C,C170,'WL Matrix 2'!M:M,"Regular Season")</f>
        <v>71</v>
      </c>
      <c r="AG170">
        <f t="shared" si="13"/>
        <v>83</v>
      </c>
      <c r="AH170">
        <f t="shared" si="33"/>
        <v>154</v>
      </c>
      <c r="AI170" s="32" t="s">
        <v>116</v>
      </c>
      <c r="AJ170" s="32">
        <f t="shared" ref="AJ170:AJ181" si="39">rank(R170,$R$170:$R$181)</f>
        <v>8</v>
      </c>
      <c r="AK170" s="37">
        <f t="shared" si="10"/>
        <v>0.96974303</v>
      </c>
      <c r="AL170" s="38">
        <f t="shared" si="11"/>
        <v>1.043038823</v>
      </c>
      <c r="AM170" s="38">
        <f>sumifs('WL Matrix 2'!T:T,'WL Matrix 2'!B:B,A170,'WL Matrix 2'!C:C,C170,'WL Matrix 2'!M:M,"Regular Season")</f>
        <v>71</v>
      </c>
    </row>
    <row r="171" ht="14.25" customHeight="1">
      <c r="A171" s="59">
        <v>2023.0</v>
      </c>
      <c r="B171" s="60">
        <v>44927.0</v>
      </c>
      <c r="C171" s="13" t="s">
        <v>52</v>
      </c>
      <c r="D171" s="49" t="s">
        <v>1278</v>
      </c>
      <c r="E171" s="69" t="str">
        <f t="shared" si="27"/>
        <v>Philly Cheesteakaways - 2023</v>
      </c>
      <c r="F171" s="49" t="s">
        <v>1279</v>
      </c>
      <c r="G171" s="49" t="s">
        <v>748</v>
      </c>
      <c r="H171" s="49" t="s">
        <v>557</v>
      </c>
      <c r="I171" s="49" t="s">
        <v>823</v>
      </c>
      <c r="J171" s="13" t="s">
        <v>9</v>
      </c>
      <c r="K171" s="13"/>
      <c r="L171" s="8">
        <v>6.0</v>
      </c>
      <c r="M171" s="75">
        <v>2.0</v>
      </c>
      <c r="N171" s="59">
        <f t="shared" si="38"/>
        <v>2</v>
      </c>
      <c r="O171" s="49">
        <v>14.0</v>
      </c>
      <c r="P171" s="6">
        <v>7.0</v>
      </c>
      <c r="Q171" s="6">
        <v>7.0</v>
      </c>
      <c r="R171" s="58">
        <v>1334.84</v>
      </c>
      <c r="S171" s="58">
        <f>sumifs('WL Matrix 2'!K:K,'WL Matrix 2'!B:B,A171,'WL Matrix 2'!C:C,C171)</f>
        <v>1592.22</v>
      </c>
      <c r="T171" s="13" t="s">
        <v>428</v>
      </c>
      <c r="U171" s="13" t="s">
        <v>429</v>
      </c>
      <c r="W171" s="62">
        <v>150.0</v>
      </c>
      <c r="X171" s="63">
        <v>375.0</v>
      </c>
      <c r="Y171" s="71">
        <f t="shared" si="30"/>
        <v>225</v>
      </c>
      <c r="Z171">
        <f t="shared" si="35"/>
        <v>0</v>
      </c>
      <c r="AA171" s="6">
        <f t="shared" si="6"/>
        <v>1</v>
      </c>
      <c r="AC171" s="72">
        <f t="shared" si="7"/>
        <v>1033.71</v>
      </c>
      <c r="AD171" s="6">
        <f t="shared" si="8"/>
        <v>0</v>
      </c>
      <c r="AF171">
        <f>sumifs('WL Matrix 2'!T:T,'WL Matrix 2'!B:B,A171,'WL Matrix 2'!C:C,C171,'WL Matrix 2'!M:M,"Regular Season")</f>
        <v>77</v>
      </c>
      <c r="AG171">
        <f t="shared" si="13"/>
        <v>77</v>
      </c>
      <c r="AH171">
        <f t="shared" si="33"/>
        <v>154</v>
      </c>
      <c r="AI171" s="32" t="s">
        <v>116</v>
      </c>
      <c r="AJ171" s="32">
        <f t="shared" si="39"/>
        <v>6</v>
      </c>
      <c r="AK171" s="37">
        <f t="shared" si="10"/>
        <v>1.021279851</v>
      </c>
      <c r="AL171" s="38">
        <f t="shared" si="11"/>
        <v>1.013392284</v>
      </c>
      <c r="AM171" s="38">
        <f>sumifs('WL Matrix 2'!T:T,'WL Matrix 2'!B:B,A171,'WL Matrix 2'!C:C,C171,'WL Matrix 2'!M:M,"Regular Season")</f>
        <v>77</v>
      </c>
    </row>
    <row r="172" ht="14.25" customHeight="1">
      <c r="A172" s="59">
        <v>2023.0</v>
      </c>
      <c r="B172" s="60">
        <v>44927.0</v>
      </c>
      <c r="C172" s="13" t="s">
        <v>57</v>
      </c>
      <c r="D172" s="49" t="s">
        <v>1282</v>
      </c>
      <c r="E172" s="69" t="str">
        <f t="shared" si="27"/>
        <v>Pizzay Express - 2023</v>
      </c>
      <c r="F172" s="49" t="s">
        <v>975</v>
      </c>
      <c r="G172" s="49" t="s">
        <v>1283</v>
      </c>
      <c r="H172" s="49" t="s">
        <v>1284</v>
      </c>
      <c r="I172" s="49" t="s">
        <v>950</v>
      </c>
      <c r="J172" s="13" t="s">
        <v>9</v>
      </c>
      <c r="K172" s="13"/>
      <c r="L172" s="8">
        <v>5.0</v>
      </c>
      <c r="M172" s="75">
        <v>6.0</v>
      </c>
      <c r="N172" s="59">
        <f t="shared" si="38"/>
        <v>6</v>
      </c>
      <c r="O172" s="49">
        <v>14.0</v>
      </c>
      <c r="P172" s="6">
        <v>5.0</v>
      </c>
      <c r="Q172" s="6">
        <v>9.0</v>
      </c>
      <c r="R172" s="58">
        <v>1359.2000000000003</v>
      </c>
      <c r="S172" s="58">
        <f>sumifs('WL Matrix 2'!K:K,'WL Matrix 2'!B:B,A172,'WL Matrix 2'!C:C,C172)</f>
        <v>1623.44</v>
      </c>
      <c r="T172" s="13" t="s">
        <v>428</v>
      </c>
      <c r="U172" s="13" t="s">
        <v>429</v>
      </c>
      <c r="V172" s="32">
        <v>53211.0</v>
      </c>
      <c r="W172" s="62">
        <v>150.0</v>
      </c>
      <c r="X172" s="63"/>
      <c r="Y172" s="71">
        <f t="shared" si="30"/>
        <v>-150</v>
      </c>
      <c r="Z172">
        <f t="shared" si="35"/>
        <v>0</v>
      </c>
      <c r="AA172" s="6">
        <f t="shared" si="6"/>
        <v>1</v>
      </c>
      <c r="AC172" s="72">
        <f t="shared" si="7"/>
        <v>839.8</v>
      </c>
      <c r="AD172" s="6">
        <f t="shared" si="8"/>
        <v>0</v>
      </c>
      <c r="AF172">
        <f>sumifs('WL Matrix 2'!T:T,'WL Matrix 2'!B:B,A172,'WL Matrix 2'!C:C,C172,'WL Matrix 2'!M:M,"Regular Season")</f>
        <v>80</v>
      </c>
      <c r="AG172">
        <f t="shared" si="13"/>
        <v>74</v>
      </c>
      <c r="AH172">
        <f t="shared" si="33"/>
        <v>154</v>
      </c>
      <c r="AI172" s="32" t="s">
        <v>116</v>
      </c>
      <c r="AJ172" s="32">
        <f t="shared" si="39"/>
        <v>3</v>
      </c>
      <c r="AK172" s="37">
        <f t="shared" si="10"/>
        <v>1.039917574</v>
      </c>
      <c r="AL172" s="38">
        <f t="shared" si="11"/>
        <v>1.033262721</v>
      </c>
      <c r="AM172" s="38">
        <f>sumifs('WL Matrix 2'!T:T,'WL Matrix 2'!B:B,A172,'WL Matrix 2'!C:C,C172,'WL Matrix 2'!M:M,"Regular Season")</f>
        <v>80</v>
      </c>
    </row>
    <row r="173" ht="14.25" customHeight="1">
      <c r="A173" s="59">
        <v>2023.0</v>
      </c>
      <c r="B173" s="60">
        <v>44927.0</v>
      </c>
      <c r="C173" s="13" t="s">
        <v>39</v>
      </c>
      <c r="D173" s="49" t="s">
        <v>1287</v>
      </c>
      <c r="E173" s="69" t="str">
        <f t="shared" si="27"/>
        <v>Chasing - 2023</v>
      </c>
      <c r="F173" s="49" t="s">
        <v>941</v>
      </c>
      <c r="G173" s="49" t="s">
        <v>1288</v>
      </c>
      <c r="H173" s="49" t="s">
        <v>1289</v>
      </c>
      <c r="I173" s="49" t="s">
        <v>1091</v>
      </c>
      <c r="J173" s="13" t="s">
        <v>9</v>
      </c>
      <c r="K173" s="13"/>
      <c r="L173" s="8">
        <v>2.0</v>
      </c>
      <c r="M173" s="75">
        <v>3.0</v>
      </c>
      <c r="N173" s="59">
        <f t="shared" si="38"/>
        <v>3</v>
      </c>
      <c r="O173" s="49">
        <v>14.0</v>
      </c>
      <c r="P173" s="6">
        <v>9.0</v>
      </c>
      <c r="Q173" s="6">
        <v>5.0</v>
      </c>
      <c r="R173" s="58">
        <v>1404.5200000000002</v>
      </c>
      <c r="S173" s="58">
        <f>sumifs('WL Matrix 2'!K:K,'WL Matrix 2'!B:B,A173,'WL Matrix 2'!C:C,C173)</f>
        <v>1401.5</v>
      </c>
      <c r="T173" s="13" t="s">
        <v>428</v>
      </c>
      <c r="U173" s="13" t="s">
        <v>429</v>
      </c>
      <c r="W173" s="62">
        <v>150.0</v>
      </c>
      <c r="X173" s="63">
        <v>150.0</v>
      </c>
      <c r="Y173" s="71">
        <f t="shared" si="30"/>
        <v>0</v>
      </c>
      <c r="Z173">
        <f t="shared" si="35"/>
        <v>0</v>
      </c>
      <c r="AA173" s="6">
        <f t="shared" si="6"/>
        <v>1</v>
      </c>
      <c r="AC173" s="72">
        <f t="shared" si="7"/>
        <v>1251.13</v>
      </c>
      <c r="AD173" s="6">
        <f t="shared" si="8"/>
        <v>0</v>
      </c>
      <c r="AF173">
        <f>sumifs('WL Matrix 2'!T:T,'WL Matrix 2'!B:B,A173,'WL Matrix 2'!C:C,C173,'WL Matrix 2'!M:M,"Regular Season")</f>
        <v>95</v>
      </c>
      <c r="AG173">
        <f t="shared" si="13"/>
        <v>59</v>
      </c>
      <c r="AH173">
        <f t="shared" si="33"/>
        <v>154</v>
      </c>
      <c r="AI173" s="32" t="s">
        <v>116</v>
      </c>
      <c r="AJ173" s="32">
        <f t="shared" si="39"/>
        <v>2</v>
      </c>
      <c r="AK173" s="37">
        <f t="shared" si="10"/>
        <v>1.074591694</v>
      </c>
      <c r="AL173" s="38">
        <f t="shared" si="11"/>
        <v>0.8920056815</v>
      </c>
      <c r="AM173" s="38">
        <f>sumifs('WL Matrix 2'!T:T,'WL Matrix 2'!B:B,A173,'WL Matrix 2'!C:C,C173,'WL Matrix 2'!M:M,"Regular Season")</f>
        <v>95</v>
      </c>
    </row>
    <row r="174" ht="14.25" customHeight="1">
      <c r="A174" s="59">
        <v>2023.0</v>
      </c>
      <c r="B174" s="60">
        <v>44927.0</v>
      </c>
      <c r="C174" s="13" t="s">
        <v>67</v>
      </c>
      <c r="D174" s="49" t="s">
        <v>1294</v>
      </c>
      <c r="E174" s="69" t="str">
        <f t="shared" si="27"/>
        <v>Charley Diggs - 2023</v>
      </c>
      <c r="F174" s="49" t="s">
        <v>831</v>
      </c>
      <c r="G174" s="49" t="s">
        <v>1295</v>
      </c>
      <c r="H174" s="49" t="s">
        <v>898</v>
      </c>
      <c r="I174" s="49" t="s">
        <v>1060</v>
      </c>
      <c r="J174" s="13" t="s">
        <v>9</v>
      </c>
      <c r="K174" s="13"/>
      <c r="L174" s="8">
        <v>10.0</v>
      </c>
      <c r="M174" s="74">
        <v>10.0</v>
      </c>
      <c r="N174" s="59">
        <f t="shared" si="38"/>
        <v>10</v>
      </c>
      <c r="O174" s="49">
        <v>14.0</v>
      </c>
      <c r="P174" s="6">
        <v>8.0</v>
      </c>
      <c r="Q174" s="6">
        <v>6.0</v>
      </c>
      <c r="R174" s="58">
        <v>1281.98</v>
      </c>
      <c r="S174" s="58">
        <f>sumifs('WL Matrix 2'!K:K,'WL Matrix 2'!B:B,A174,'WL Matrix 2'!C:C,C174)</f>
        <v>1516.1</v>
      </c>
      <c r="T174" s="13" t="s">
        <v>428</v>
      </c>
      <c r="U174" s="13" t="s">
        <v>429</v>
      </c>
      <c r="W174" s="62">
        <v>150.0</v>
      </c>
      <c r="X174" s="63"/>
      <c r="Y174" s="71">
        <f t="shared" si="30"/>
        <v>-150</v>
      </c>
      <c r="Z174">
        <f t="shared" si="35"/>
        <v>0</v>
      </c>
      <c r="AA174" s="6">
        <f t="shared" si="6"/>
        <v>0</v>
      </c>
      <c r="AC174" s="72">
        <f t="shared" si="7"/>
        <v>1120.495</v>
      </c>
      <c r="AD174" s="6">
        <f t="shared" si="8"/>
        <v>0</v>
      </c>
      <c r="AF174">
        <f>sumifs('WL Matrix 2'!T:T,'WL Matrix 2'!B:B,A174,'WL Matrix 2'!C:C,C174,'WL Matrix 2'!M:M,"Regular Season")</f>
        <v>69</v>
      </c>
      <c r="AG174">
        <f t="shared" si="13"/>
        <v>85</v>
      </c>
      <c r="AH174">
        <f t="shared" si="33"/>
        <v>154</v>
      </c>
      <c r="AI174" s="32" t="s">
        <v>116</v>
      </c>
      <c r="AJ174" s="32">
        <f t="shared" si="39"/>
        <v>7</v>
      </c>
      <c r="AK174" s="37">
        <f t="shared" si="10"/>
        <v>0.9808369123</v>
      </c>
      <c r="AL174" s="38">
        <f t="shared" si="11"/>
        <v>0.9649445692</v>
      </c>
      <c r="AM174" s="38">
        <f>sumifs('WL Matrix 2'!T:T,'WL Matrix 2'!B:B,A174,'WL Matrix 2'!C:C,C174,'WL Matrix 2'!M:M,"Regular Season")</f>
        <v>69</v>
      </c>
    </row>
    <row r="175" ht="14.25" customHeight="1">
      <c r="A175" s="59">
        <v>2023.0</v>
      </c>
      <c r="B175" s="60">
        <v>44927.0</v>
      </c>
      <c r="C175" s="13" t="s">
        <v>72</v>
      </c>
      <c r="D175" s="49" t="s">
        <v>1298</v>
      </c>
      <c r="E175" s="69" t="str">
        <f t="shared" si="27"/>
        <v>Brainard's Chubb - 2023</v>
      </c>
      <c r="F175" s="49" t="s">
        <v>853</v>
      </c>
      <c r="G175" s="49" t="s">
        <v>1299</v>
      </c>
      <c r="H175" s="49" t="s">
        <v>714</v>
      </c>
      <c r="I175" s="49" t="s">
        <v>936</v>
      </c>
      <c r="J175" s="13" t="s">
        <v>9</v>
      </c>
      <c r="K175" s="13"/>
      <c r="L175" s="8">
        <v>12.0</v>
      </c>
      <c r="M175" s="74">
        <v>12.0</v>
      </c>
      <c r="N175" s="59">
        <f t="shared" si="38"/>
        <v>12</v>
      </c>
      <c r="O175" s="49">
        <v>14.0</v>
      </c>
      <c r="P175" s="6">
        <v>4.0</v>
      </c>
      <c r="Q175" s="6">
        <v>10.0</v>
      </c>
      <c r="R175" s="58">
        <v>1176.1000000000001</v>
      </c>
      <c r="S175" s="58">
        <f>sumifs('WL Matrix 2'!K:K,'WL Matrix 2'!B:B,A175,'WL Matrix 2'!C:C,C175)</f>
        <v>1692.6</v>
      </c>
      <c r="T175" s="13" t="s">
        <v>428</v>
      </c>
      <c r="U175" s="13" t="s">
        <v>429</v>
      </c>
      <c r="W175" s="62">
        <v>150.0</v>
      </c>
      <c r="X175" s="63"/>
      <c r="Y175" s="71">
        <f t="shared" si="30"/>
        <v>-150</v>
      </c>
      <c r="Z175">
        <f t="shared" si="35"/>
        <v>0</v>
      </c>
      <c r="AA175" s="6">
        <f t="shared" si="6"/>
        <v>0</v>
      </c>
      <c r="AC175" s="72">
        <f t="shared" si="7"/>
        <v>694.025</v>
      </c>
      <c r="AD175" s="6">
        <f t="shared" si="8"/>
        <v>0</v>
      </c>
      <c r="AF175">
        <f>sumifs('WL Matrix 2'!T:T,'WL Matrix 2'!B:B,A175,'WL Matrix 2'!C:C,C175,'WL Matrix 2'!M:M,"Regular Season")</f>
        <v>45</v>
      </c>
      <c r="AG175">
        <f t="shared" si="13"/>
        <v>109</v>
      </c>
      <c r="AH175">
        <f t="shared" si="33"/>
        <v>154</v>
      </c>
      <c r="AI175" s="32" t="s">
        <v>116</v>
      </c>
      <c r="AJ175" s="32">
        <f t="shared" si="39"/>
        <v>12</v>
      </c>
      <c r="AK175" s="37">
        <f t="shared" si="10"/>
        <v>0.8998286186</v>
      </c>
      <c r="AL175" s="38">
        <f t="shared" si="11"/>
        <v>1.07728064</v>
      </c>
      <c r="AM175" s="38">
        <f>sumifs('WL Matrix 2'!T:T,'WL Matrix 2'!B:B,A175,'WL Matrix 2'!C:C,C175,'WL Matrix 2'!M:M,"Regular Season")</f>
        <v>45</v>
      </c>
    </row>
    <row r="176" ht="14.25" customHeight="1">
      <c r="A176" s="59">
        <v>2023.0</v>
      </c>
      <c r="B176" s="60">
        <v>44927.0</v>
      </c>
      <c r="C176" s="13" t="s">
        <v>76</v>
      </c>
      <c r="D176" s="49" t="s">
        <v>1304</v>
      </c>
      <c r="E176" s="69" t="str">
        <f t="shared" si="27"/>
        <v>Soggy Fruit Pu kas - 2023</v>
      </c>
      <c r="F176" s="49" t="s">
        <v>889</v>
      </c>
      <c r="G176" s="49" t="s">
        <v>1305</v>
      </c>
      <c r="H176" s="49" t="s">
        <v>1306</v>
      </c>
      <c r="I176" s="49" t="s">
        <v>587</v>
      </c>
      <c r="J176" s="13" t="s">
        <v>9</v>
      </c>
      <c r="K176" s="13"/>
      <c r="L176" s="8">
        <v>1.0</v>
      </c>
      <c r="M176" s="75">
        <v>4.0</v>
      </c>
      <c r="N176" s="59">
        <f t="shared" si="38"/>
        <v>4</v>
      </c>
      <c r="O176" s="49">
        <v>14.0</v>
      </c>
      <c r="P176" s="6">
        <v>12.0</v>
      </c>
      <c r="Q176" s="6">
        <v>2.0</v>
      </c>
      <c r="R176" s="58">
        <v>1515.7800000000002</v>
      </c>
      <c r="S176" s="58">
        <f>sumifs('WL Matrix 2'!K:K,'WL Matrix 2'!B:B,A176,'WL Matrix 2'!C:C,C176)</f>
        <v>1460.2</v>
      </c>
      <c r="T176" s="13" t="s">
        <v>588</v>
      </c>
      <c r="U176" s="13" t="s">
        <v>589</v>
      </c>
      <c r="W176" s="62">
        <v>150.0</v>
      </c>
      <c r="X176" s="63">
        <v>600.0</v>
      </c>
      <c r="Y176" s="71">
        <f t="shared" si="30"/>
        <v>450</v>
      </c>
      <c r="Z176">
        <f t="shared" si="35"/>
        <v>0</v>
      </c>
      <c r="AA176" s="6">
        <f t="shared" si="6"/>
        <v>1</v>
      </c>
      <c r="AC176" s="72">
        <f t="shared" si="7"/>
        <v>1578.945</v>
      </c>
      <c r="AD176" s="6">
        <f t="shared" si="8"/>
        <v>1</v>
      </c>
      <c r="AE176" s="32">
        <v>1.0</v>
      </c>
      <c r="AF176">
        <f>sumifs('WL Matrix 2'!T:T,'WL Matrix 2'!B:B,A176,'WL Matrix 2'!C:C,C176,'WL Matrix 2'!M:M,"Regular Season")</f>
        <v>111</v>
      </c>
      <c r="AG176">
        <f t="shared" si="13"/>
        <v>43</v>
      </c>
      <c r="AH176">
        <f t="shared" si="33"/>
        <v>154</v>
      </c>
      <c r="AI176" s="32" t="s">
        <v>116</v>
      </c>
      <c r="AJ176" s="32">
        <f t="shared" si="39"/>
        <v>1</v>
      </c>
      <c r="AK176" s="37">
        <f t="shared" si="10"/>
        <v>1.159716201</v>
      </c>
      <c r="AL176" s="38">
        <f t="shared" si="11"/>
        <v>0.9293661763</v>
      </c>
      <c r="AM176" s="38">
        <f>sumifs('WL Matrix 2'!T:T,'WL Matrix 2'!B:B,A176,'WL Matrix 2'!C:C,C176,'WL Matrix 2'!M:M,"Regular Season")</f>
        <v>111</v>
      </c>
    </row>
    <row r="177" ht="14.25" customHeight="1">
      <c r="A177" s="59">
        <v>2023.0</v>
      </c>
      <c r="B177" s="60">
        <v>44927.0</v>
      </c>
      <c r="C177" s="13" t="s">
        <v>108</v>
      </c>
      <c r="D177" s="49" t="s">
        <v>1309</v>
      </c>
      <c r="E177" s="69" t="str">
        <f t="shared" si="27"/>
        <v>Martha's Cream PIs - 2023</v>
      </c>
      <c r="F177" s="49" t="s">
        <v>1310</v>
      </c>
      <c r="G177" s="49" t="s">
        <v>1311</v>
      </c>
      <c r="H177" s="49" t="s">
        <v>1312</v>
      </c>
      <c r="I177" s="49" t="s">
        <v>1221</v>
      </c>
      <c r="J177" s="13" t="s">
        <v>9</v>
      </c>
      <c r="K177" s="13"/>
      <c r="L177" s="8">
        <v>9.0</v>
      </c>
      <c r="M177" s="74">
        <v>9.0</v>
      </c>
      <c r="N177" s="59">
        <f t="shared" si="38"/>
        <v>9</v>
      </c>
      <c r="O177" s="49">
        <v>14.0</v>
      </c>
      <c r="P177" s="6">
        <v>6.0</v>
      </c>
      <c r="Q177" s="6">
        <v>8.0</v>
      </c>
      <c r="R177" s="58">
        <v>1230.6599999999999</v>
      </c>
      <c r="S177" s="58">
        <f>sumifs('WL Matrix 2'!K:K,'WL Matrix 2'!B:B,A177,'WL Matrix 2'!C:C,C177)</f>
        <v>1505.38</v>
      </c>
      <c r="T177" s="13" t="s">
        <v>1315</v>
      </c>
      <c r="U177" s="13" t="s">
        <v>429</v>
      </c>
      <c r="W177" s="62">
        <v>150.0</v>
      </c>
      <c r="X177" s="63"/>
      <c r="Y177" s="71">
        <f t="shared" si="30"/>
        <v>-150</v>
      </c>
      <c r="Z177">
        <f t="shared" si="35"/>
        <v>0</v>
      </c>
      <c r="AA177" s="6">
        <f t="shared" si="6"/>
        <v>0</v>
      </c>
      <c r="AC177" s="72">
        <f t="shared" si="7"/>
        <v>907.665</v>
      </c>
      <c r="AD177" s="6">
        <f t="shared" si="8"/>
        <v>0</v>
      </c>
      <c r="AF177">
        <f>sumifs('WL Matrix 2'!T:T,'WL Matrix 2'!B:B,A177,'WL Matrix 2'!C:C,C177,'WL Matrix 2'!M:M,"Regular Season")</f>
        <v>70</v>
      </c>
      <c r="AG177">
        <f t="shared" si="13"/>
        <v>84</v>
      </c>
      <c r="AH177">
        <f t="shared" si="33"/>
        <v>154</v>
      </c>
      <c r="AI177" s="32" t="s">
        <v>116</v>
      </c>
      <c r="AJ177" s="32">
        <f t="shared" si="39"/>
        <v>10</v>
      </c>
      <c r="AK177" s="37">
        <f t="shared" si="10"/>
        <v>0.9415722199</v>
      </c>
      <c r="AL177" s="38">
        <f t="shared" si="11"/>
        <v>0.9581216645</v>
      </c>
      <c r="AM177" s="38">
        <f>sumifs('WL Matrix 2'!T:T,'WL Matrix 2'!B:B,A177,'WL Matrix 2'!C:C,C177,'WL Matrix 2'!M:M,"Regular Season")</f>
        <v>70</v>
      </c>
    </row>
    <row r="178" ht="14.25" customHeight="1">
      <c r="A178" s="59">
        <v>2023.0</v>
      </c>
      <c r="B178" s="60">
        <v>44927.0</v>
      </c>
      <c r="C178" s="13" t="s">
        <v>82</v>
      </c>
      <c r="D178" s="49" t="s">
        <v>1318</v>
      </c>
      <c r="E178" s="69" t="str">
        <f t="shared" si="27"/>
        <v>The Breakfast Buddies - 2023</v>
      </c>
      <c r="F178" s="49" t="s">
        <v>1082</v>
      </c>
      <c r="G178" s="49" t="s">
        <v>1319</v>
      </c>
      <c r="H178" s="49" t="s">
        <v>1320</v>
      </c>
      <c r="I178" s="49" t="s">
        <v>1037</v>
      </c>
      <c r="J178" s="13" t="s">
        <v>9</v>
      </c>
      <c r="K178" s="13"/>
      <c r="L178" s="8">
        <v>3.0</v>
      </c>
      <c r="M178" s="75">
        <v>1.0</v>
      </c>
      <c r="N178" s="59">
        <f t="shared" si="38"/>
        <v>1</v>
      </c>
      <c r="O178" s="49">
        <v>14.0</v>
      </c>
      <c r="P178" s="6">
        <v>7.0</v>
      </c>
      <c r="Q178" s="6">
        <v>7.0</v>
      </c>
      <c r="R178" s="58">
        <v>1339.08</v>
      </c>
      <c r="S178" s="58">
        <f>sumifs('WL Matrix 2'!K:K,'WL Matrix 2'!B:B,A178,'WL Matrix 2'!C:C,C178)</f>
        <v>1671.56</v>
      </c>
      <c r="T178" s="13" t="s">
        <v>428</v>
      </c>
      <c r="U178" s="13" t="s">
        <v>429</v>
      </c>
      <c r="W178" s="62">
        <v>150.0</v>
      </c>
      <c r="X178" s="63">
        <v>675.0</v>
      </c>
      <c r="Y178" s="71">
        <f t="shared" si="30"/>
        <v>525</v>
      </c>
      <c r="Z178">
        <f t="shared" si="35"/>
        <v>1</v>
      </c>
      <c r="AA178" s="6">
        <f t="shared" si="6"/>
        <v>1</v>
      </c>
      <c r="AC178" s="72">
        <f t="shared" si="7"/>
        <v>1034.77</v>
      </c>
      <c r="AD178" s="6">
        <f t="shared" si="8"/>
        <v>0</v>
      </c>
      <c r="AF178">
        <f>sumifs('WL Matrix 2'!T:T,'WL Matrix 2'!B:B,A178,'WL Matrix 2'!C:C,C178,'WL Matrix 2'!M:M,"Regular Season")</f>
        <v>94</v>
      </c>
      <c r="AG178">
        <f t="shared" si="13"/>
        <v>60</v>
      </c>
      <c r="AH178">
        <f t="shared" si="33"/>
        <v>154</v>
      </c>
      <c r="AI178" s="32" t="s">
        <v>116</v>
      </c>
      <c r="AJ178" s="32">
        <f t="shared" si="39"/>
        <v>5</v>
      </c>
      <c r="AK178" s="37">
        <f t="shared" si="10"/>
        <v>1.024523856</v>
      </c>
      <c r="AL178" s="38">
        <f t="shared" si="11"/>
        <v>1.063889416</v>
      </c>
      <c r="AM178" s="38">
        <f>sumifs('WL Matrix 2'!T:T,'WL Matrix 2'!B:B,A178,'WL Matrix 2'!C:C,C178,'WL Matrix 2'!M:M,"Regular Season")</f>
        <v>94</v>
      </c>
    </row>
    <row r="179" ht="14.25" customHeight="1">
      <c r="A179" s="59">
        <v>2023.0</v>
      </c>
      <c r="B179" s="60">
        <v>44927.0</v>
      </c>
      <c r="C179" s="13" t="s">
        <v>86</v>
      </c>
      <c r="D179" s="49" t="s">
        <v>1324</v>
      </c>
      <c r="E179" s="69" t="str">
        <f t="shared" si="27"/>
        <v>Darius Slay Jays - 2023</v>
      </c>
      <c r="F179" s="49" t="s">
        <v>1326</v>
      </c>
      <c r="G179" s="49" t="s">
        <v>1327</v>
      </c>
      <c r="H179" s="49" t="s">
        <v>1328</v>
      </c>
      <c r="I179" s="49" t="s">
        <v>840</v>
      </c>
      <c r="J179" s="13" t="s">
        <v>9</v>
      </c>
      <c r="K179" s="13"/>
      <c r="L179" s="8">
        <v>11.0</v>
      </c>
      <c r="M179" s="74">
        <v>11.0</v>
      </c>
      <c r="N179" s="59">
        <f t="shared" si="38"/>
        <v>11</v>
      </c>
      <c r="O179" s="49">
        <v>14.0</v>
      </c>
      <c r="P179" s="6">
        <v>5.0</v>
      </c>
      <c r="Q179" s="6">
        <v>9.0</v>
      </c>
      <c r="R179" s="58">
        <v>1198.1</v>
      </c>
      <c r="S179" s="58">
        <f>sumifs('WL Matrix 2'!K:K,'WL Matrix 2'!B:B,A179,'WL Matrix 2'!C:C,C179)</f>
        <v>1582.78</v>
      </c>
      <c r="T179" s="13" t="s">
        <v>428</v>
      </c>
      <c r="U179" s="13" t="s">
        <v>429</v>
      </c>
      <c r="W179" s="62">
        <v>150.0</v>
      </c>
      <c r="X179" s="63"/>
      <c r="Y179" s="71">
        <f t="shared" si="30"/>
        <v>-150</v>
      </c>
      <c r="Z179">
        <f t="shared" si="35"/>
        <v>0</v>
      </c>
      <c r="AA179" s="6">
        <f t="shared" si="6"/>
        <v>0</v>
      </c>
      <c r="AC179" s="72">
        <f t="shared" si="7"/>
        <v>799.525</v>
      </c>
      <c r="AD179" s="6">
        <f t="shared" si="8"/>
        <v>0</v>
      </c>
      <c r="AF179">
        <f>sumifs('WL Matrix 2'!T:T,'WL Matrix 2'!B:B,A179,'WL Matrix 2'!C:C,C179,'WL Matrix 2'!M:M,"Regular Season")</f>
        <v>54</v>
      </c>
      <c r="AG179">
        <f t="shared" si="13"/>
        <v>100</v>
      </c>
      <c r="AH179">
        <f t="shared" si="33"/>
        <v>154</v>
      </c>
      <c r="AI179" s="32" t="s">
        <v>116</v>
      </c>
      <c r="AJ179" s="32">
        <f t="shared" si="39"/>
        <v>11</v>
      </c>
      <c r="AK179" s="37">
        <f t="shared" si="10"/>
        <v>0.9166607159</v>
      </c>
      <c r="AL179" s="38">
        <f t="shared" si="11"/>
        <v>1.007384055</v>
      </c>
      <c r="AM179" s="38">
        <f>sumifs('WL Matrix 2'!T:T,'WL Matrix 2'!B:B,A179,'WL Matrix 2'!C:C,C179,'WL Matrix 2'!M:M,"Regular Season")</f>
        <v>54</v>
      </c>
    </row>
    <row r="180" ht="14.25" customHeight="1">
      <c r="A180" s="59">
        <v>2023.0</v>
      </c>
      <c r="B180" s="60">
        <v>44927.0</v>
      </c>
      <c r="C180" s="13" t="s">
        <v>89</v>
      </c>
      <c r="D180" s="49" t="s">
        <v>1331</v>
      </c>
      <c r="E180" s="69" t="str">
        <f t="shared" si="27"/>
        <v>Warm Caesars - 2023</v>
      </c>
      <c r="F180" s="49" t="s">
        <v>1332</v>
      </c>
      <c r="G180" s="49" t="s">
        <v>988</v>
      </c>
      <c r="H180" s="49" t="s">
        <v>732</v>
      </c>
      <c r="I180" s="49" t="s">
        <v>779</v>
      </c>
      <c r="J180" s="13" t="s">
        <v>9</v>
      </c>
      <c r="K180" s="13"/>
      <c r="L180" s="73">
        <v>7.0</v>
      </c>
      <c r="M180" s="74">
        <v>7.0</v>
      </c>
      <c r="N180" s="59">
        <f t="shared" si="38"/>
        <v>7</v>
      </c>
      <c r="O180" s="49">
        <v>14.0</v>
      </c>
      <c r="P180" s="6">
        <v>6.0</v>
      </c>
      <c r="Q180" s="6">
        <v>8.0</v>
      </c>
      <c r="R180" s="58">
        <v>1230.6999999999998</v>
      </c>
      <c r="S180" s="58">
        <f>sumifs('WL Matrix 2'!K:K,'WL Matrix 2'!B:B,A180,'WL Matrix 2'!C:C,C180)</f>
        <v>1583.54</v>
      </c>
      <c r="T180" s="13" t="s">
        <v>546</v>
      </c>
      <c r="U180" s="13" t="s">
        <v>46</v>
      </c>
      <c r="W180" s="62">
        <v>150.0</v>
      </c>
      <c r="X180" s="63"/>
      <c r="Y180" s="71">
        <f t="shared" si="30"/>
        <v>-150</v>
      </c>
      <c r="Z180">
        <f t="shared" si="35"/>
        <v>0</v>
      </c>
      <c r="AA180" s="6">
        <f t="shared" si="6"/>
        <v>0</v>
      </c>
      <c r="AC180" s="72">
        <f t="shared" si="7"/>
        <v>907.675</v>
      </c>
      <c r="AD180" s="6">
        <f t="shared" si="8"/>
        <v>0</v>
      </c>
      <c r="AF180">
        <f>sumifs('WL Matrix 2'!T:T,'WL Matrix 2'!B:B,A180,'WL Matrix 2'!C:C,C180,'WL Matrix 2'!M:M,"Regular Season")</f>
        <v>71</v>
      </c>
      <c r="AG180">
        <f t="shared" si="13"/>
        <v>83</v>
      </c>
      <c r="AH180">
        <f t="shared" si="33"/>
        <v>154</v>
      </c>
      <c r="AI180" s="32" t="s">
        <v>116</v>
      </c>
      <c r="AJ180" s="32">
        <f t="shared" si="39"/>
        <v>9</v>
      </c>
      <c r="AK180" s="37">
        <f t="shared" si="10"/>
        <v>0.9416028237</v>
      </c>
      <c r="AL180" s="38">
        <f t="shared" si="11"/>
        <v>1.007867768</v>
      </c>
      <c r="AM180" s="38">
        <f>sumifs('WL Matrix 2'!T:T,'WL Matrix 2'!B:B,A180,'WL Matrix 2'!C:C,C180,'WL Matrix 2'!M:M,"Regular Season")</f>
        <v>71</v>
      </c>
    </row>
    <row r="181" ht="14.25" customHeight="1">
      <c r="A181" s="59">
        <v>2023.0</v>
      </c>
      <c r="B181" s="60">
        <v>44927.0</v>
      </c>
      <c r="C181" s="13" t="s">
        <v>92</v>
      </c>
      <c r="D181" s="49" t="s">
        <v>1337</v>
      </c>
      <c r="E181" s="69" t="str">
        <f t="shared" si="27"/>
        <v>Library Chicks-Fil-A - 2023</v>
      </c>
      <c r="F181" s="49" t="s">
        <v>1121</v>
      </c>
      <c r="G181" s="49" t="s">
        <v>1338</v>
      </c>
      <c r="H181" s="49" t="s">
        <v>792</v>
      </c>
      <c r="I181" s="49" t="s">
        <v>1258</v>
      </c>
      <c r="J181" s="13" t="s">
        <v>9</v>
      </c>
      <c r="K181" s="13"/>
      <c r="L181" s="8">
        <v>4.0</v>
      </c>
      <c r="M181" s="75">
        <v>5.0</v>
      </c>
      <c r="N181" s="59">
        <f t="shared" si="38"/>
        <v>5</v>
      </c>
      <c r="O181" s="49">
        <v>14.0</v>
      </c>
      <c r="P181" s="6">
        <v>9.0</v>
      </c>
      <c r="Q181" s="6">
        <v>5.0</v>
      </c>
      <c r="R181" s="58">
        <v>1345.8799999999999</v>
      </c>
      <c r="S181" s="58">
        <f>sumifs('WL Matrix 2'!K:K,'WL Matrix 2'!B:B,A181,'WL Matrix 2'!C:C,C181)</f>
        <v>1586.02</v>
      </c>
      <c r="T181" s="13" t="s">
        <v>1169</v>
      </c>
      <c r="U181" s="13" t="s">
        <v>1170</v>
      </c>
      <c r="W181" s="62">
        <v>150.0</v>
      </c>
      <c r="X181" s="63"/>
      <c r="Y181" s="71">
        <f t="shared" si="30"/>
        <v>-150</v>
      </c>
      <c r="Z181">
        <f t="shared" si="35"/>
        <v>0</v>
      </c>
      <c r="AA181" s="6">
        <f t="shared" si="6"/>
        <v>1</v>
      </c>
      <c r="AC181" s="72">
        <f t="shared" si="7"/>
        <v>1236.47</v>
      </c>
      <c r="AD181" s="6">
        <f t="shared" si="8"/>
        <v>0</v>
      </c>
      <c r="AF181">
        <f>sumifs('WL Matrix 2'!T:T,'WL Matrix 2'!B:B,A181,'WL Matrix 2'!C:C,C181,'WL Matrix 2'!M:M,"Regular Season")</f>
        <v>87</v>
      </c>
      <c r="AG181">
        <f t="shared" si="13"/>
        <v>67</v>
      </c>
      <c r="AH181">
        <f t="shared" si="33"/>
        <v>154</v>
      </c>
      <c r="AI181" s="32" t="s">
        <v>116</v>
      </c>
      <c r="AJ181" s="32">
        <f t="shared" si="39"/>
        <v>4</v>
      </c>
      <c r="AK181" s="37">
        <f t="shared" si="10"/>
        <v>1.029726504</v>
      </c>
      <c r="AL181" s="38">
        <f t="shared" si="11"/>
        <v>1.009446201</v>
      </c>
      <c r="AM181" s="38">
        <f>sumifs('WL Matrix 2'!T:T,'WL Matrix 2'!B:B,A181,'WL Matrix 2'!C:C,C181,'WL Matrix 2'!M:M,"Regular Season")</f>
        <v>87</v>
      </c>
    </row>
    <row r="182" ht="14.25" customHeight="1">
      <c r="A182" s="49">
        <v>2024.0</v>
      </c>
      <c r="B182" s="60">
        <v>45292.0</v>
      </c>
      <c r="C182" s="13" t="s">
        <v>47</v>
      </c>
      <c r="D182" s="49" t="s">
        <v>1341</v>
      </c>
      <c r="E182" s="69" t="str">
        <f t="shared" si="27"/>
        <v>Hurricane Andrews - 2024</v>
      </c>
      <c r="F182" s="49" t="s">
        <v>941</v>
      </c>
      <c r="G182" s="49" t="s">
        <v>1342</v>
      </c>
      <c r="H182" s="49" t="s">
        <v>1153</v>
      </c>
      <c r="I182" s="49" t="s">
        <v>899</v>
      </c>
      <c r="J182" s="13" t="s">
        <v>9</v>
      </c>
      <c r="K182" s="13"/>
      <c r="L182" s="73">
        <v>3.0</v>
      </c>
      <c r="M182" s="73">
        <v>5.0</v>
      </c>
      <c r="N182" s="59">
        <f t="shared" si="38"/>
        <v>5</v>
      </c>
      <c r="O182" s="49">
        <v>14.0</v>
      </c>
      <c r="P182" s="76">
        <v>9.0</v>
      </c>
      <c r="Q182" s="76">
        <v>5.0</v>
      </c>
      <c r="R182" s="77">
        <v>1411.52</v>
      </c>
      <c r="S182" s="58">
        <f>sumifs('WL Matrix 2'!K:K,'WL Matrix 2'!B:B,A182,'WL Matrix 2'!C:C,C182)</f>
        <v>1602.96</v>
      </c>
      <c r="T182" s="13" t="s">
        <v>644</v>
      </c>
      <c r="U182" s="32" t="s">
        <v>589</v>
      </c>
      <c r="W182" s="62">
        <v>160.0</v>
      </c>
      <c r="X182" s="63"/>
      <c r="Y182" s="71">
        <f t="shared" si="30"/>
        <v>-160</v>
      </c>
      <c r="Z182">
        <f t="shared" si="35"/>
        <v>0</v>
      </c>
      <c r="AA182" s="6">
        <f t="shared" si="6"/>
        <v>1</v>
      </c>
      <c r="AB182">
        <f>VLOOKUP("2023"&amp;C182&amp;O182,'WL Matrix 2'!A:L,12,0)</f>
        <v>0</v>
      </c>
      <c r="AC182" s="72">
        <f t="shared" si="7"/>
        <v>1252.88</v>
      </c>
      <c r="AD182" s="6">
        <f t="shared" si="8"/>
        <v>0</v>
      </c>
      <c r="AF182">
        <f>sumifs('WL Matrix 2'!T:T,'WL Matrix 2'!B:B,A182,'WL Matrix 2'!C:C,C182,'WL Matrix 2'!M:M,"Regular Season")</f>
        <v>101</v>
      </c>
      <c r="AG182">
        <f t="shared" si="13"/>
        <v>53</v>
      </c>
      <c r="AH182">
        <f t="shared" si="33"/>
        <v>154</v>
      </c>
      <c r="AI182" s="32" t="s">
        <v>116</v>
      </c>
      <c r="AJ182" s="32">
        <f t="shared" ref="AJ182:AJ193" si="40">rank(R182,$R$182:$R$193)</f>
        <v>2</v>
      </c>
      <c r="AK182" s="37">
        <f t="shared" si="10"/>
        <v>1.067757313</v>
      </c>
      <c r="AL182" s="38">
        <f t="shared" si="11"/>
        <v>1.009821277</v>
      </c>
      <c r="AM182" s="38">
        <f>sumifs('WL Matrix 2'!T:T,'WL Matrix 2'!B:B,A182,'WL Matrix 2'!C:C,C182,'WL Matrix 2'!M:M,"Regular Season")</f>
        <v>101</v>
      </c>
    </row>
    <row r="183" ht="14.25" customHeight="1">
      <c r="A183" s="49">
        <v>2024.0</v>
      </c>
      <c r="B183" s="60">
        <v>45292.0</v>
      </c>
      <c r="C183" s="13" t="s">
        <v>52</v>
      </c>
      <c r="D183" s="49" t="s">
        <v>1347</v>
      </c>
      <c r="E183" s="69" t="str">
        <f t="shared" si="27"/>
        <v>Weisfire - 2024</v>
      </c>
      <c r="F183" s="49" t="s">
        <v>889</v>
      </c>
      <c r="G183" s="49" t="s">
        <v>1348</v>
      </c>
      <c r="H183" s="49" t="s">
        <v>1349</v>
      </c>
      <c r="I183" s="49" t="s">
        <v>1350</v>
      </c>
      <c r="J183" s="13" t="s">
        <v>9</v>
      </c>
      <c r="K183" s="13"/>
      <c r="L183" s="73">
        <v>5.0</v>
      </c>
      <c r="M183" s="73">
        <v>6.0</v>
      </c>
      <c r="N183" s="59">
        <f t="shared" si="38"/>
        <v>6</v>
      </c>
      <c r="O183" s="49">
        <v>14.0</v>
      </c>
      <c r="P183" s="76">
        <v>9.0</v>
      </c>
      <c r="Q183" s="76">
        <v>5.0</v>
      </c>
      <c r="R183" s="77">
        <v>1362.2800000000002</v>
      </c>
      <c r="S183" s="58">
        <f>sumifs('WL Matrix 2'!K:K,'WL Matrix 2'!B:B,A183,'WL Matrix 2'!C:C,C183)</f>
        <v>1610.78</v>
      </c>
      <c r="T183" s="13" t="s">
        <v>428</v>
      </c>
      <c r="U183" s="13" t="s">
        <v>429</v>
      </c>
      <c r="W183" s="62">
        <v>160.0</v>
      </c>
      <c r="X183" s="63"/>
      <c r="Y183" s="71">
        <f t="shared" si="30"/>
        <v>-160</v>
      </c>
      <c r="Z183">
        <f t="shared" si="35"/>
        <v>0</v>
      </c>
      <c r="AA183" s="6">
        <f t="shared" si="6"/>
        <v>1</v>
      </c>
      <c r="AB183">
        <f>VLOOKUP("2023"&amp;C183&amp;O183,'WL Matrix 2'!A:L,12,0)</f>
        <v>0</v>
      </c>
      <c r="AC183" s="72">
        <f t="shared" si="7"/>
        <v>1240.57</v>
      </c>
      <c r="AD183" s="6">
        <f t="shared" si="8"/>
        <v>0</v>
      </c>
      <c r="AF183">
        <f>sumifs('WL Matrix 2'!T:T,'WL Matrix 2'!B:B,A183,'WL Matrix 2'!C:C,C183,'WL Matrix 2'!M:M,"Regular Season")</f>
        <v>87</v>
      </c>
      <c r="AG183">
        <f t="shared" si="13"/>
        <v>67</v>
      </c>
      <c r="AH183">
        <f t="shared" si="33"/>
        <v>154</v>
      </c>
      <c r="AI183" s="32" t="s">
        <v>116</v>
      </c>
      <c r="AJ183" s="32">
        <f t="shared" si="40"/>
        <v>5</v>
      </c>
      <c r="AK183" s="37">
        <f t="shared" si="10"/>
        <v>1.030509261</v>
      </c>
      <c r="AL183" s="38">
        <f t="shared" si="11"/>
        <v>1.014747664</v>
      </c>
      <c r="AM183" s="38">
        <f>sumifs('WL Matrix 2'!T:T,'WL Matrix 2'!B:B,A183,'WL Matrix 2'!C:C,C183,'WL Matrix 2'!M:M,"Regular Season")</f>
        <v>87</v>
      </c>
    </row>
    <row r="184" ht="14.25" customHeight="1">
      <c r="A184" s="49">
        <v>2024.0</v>
      </c>
      <c r="B184" s="60">
        <v>45292.0</v>
      </c>
      <c r="C184" s="13" t="s">
        <v>57</v>
      </c>
      <c r="D184" s="49" t="s">
        <v>1353</v>
      </c>
      <c r="E184" s="69" t="str">
        <f t="shared" si="27"/>
        <v>Mahomes Flooded - 2024</v>
      </c>
      <c r="F184" s="49" t="s">
        <v>853</v>
      </c>
      <c r="G184" s="49" t="s">
        <v>1354</v>
      </c>
      <c r="H184" s="49" t="s">
        <v>1328</v>
      </c>
      <c r="I184" s="49" t="s">
        <v>1091</v>
      </c>
      <c r="J184" s="13" t="s">
        <v>9</v>
      </c>
      <c r="K184" s="13"/>
      <c r="L184" s="73">
        <v>6.0</v>
      </c>
      <c r="M184" s="73">
        <v>1.0</v>
      </c>
      <c r="N184" s="59">
        <f t="shared" si="38"/>
        <v>1</v>
      </c>
      <c r="O184" s="49">
        <v>14.0</v>
      </c>
      <c r="P184" s="76">
        <v>7.0</v>
      </c>
      <c r="Q184" s="76">
        <v>7.0</v>
      </c>
      <c r="R184" s="77">
        <v>1320.96</v>
      </c>
      <c r="S184" s="58">
        <f>sumifs('WL Matrix 2'!K:K,'WL Matrix 2'!B:B,A184,'WL Matrix 2'!C:C,C184)</f>
        <v>1552.62</v>
      </c>
      <c r="T184" s="13" t="s">
        <v>428</v>
      </c>
      <c r="U184" s="13" t="s">
        <v>429</v>
      </c>
      <c r="V184" s="32">
        <v>53211.0</v>
      </c>
      <c r="W184" s="62">
        <v>160.0</v>
      </c>
      <c r="X184" s="63">
        <v>720.0</v>
      </c>
      <c r="Y184" s="71">
        <f t="shared" si="30"/>
        <v>560</v>
      </c>
      <c r="Z184">
        <f t="shared" si="35"/>
        <v>1</v>
      </c>
      <c r="AA184" s="6">
        <f t="shared" si="6"/>
        <v>1</v>
      </c>
      <c r="AB184">
        <f>VLOOKUP("2023"&amp;C184&amp;O184,'WL Matrix 2'!A:L,12,0)</f>
        <v>1</v>
      </c>
      <c r="AC184" s="72">
        <f t="shared" si="7"/>
        <v>1030.24</v>
      </c>
      <c r="AD184" s="6">
        <f t="shared" si="8"/>
        <v>0</v>
      </c>
      <c r="AF184">
        <f>sumifs('WL Matrix 2'!T:T,'WL Matrix 2'!B:B,A184,'WL Matrix 2'!C:C,C184,'WL Matrix 2'!M:M,"Regular Season")</f>
        <v>74</v>
      </c>
      <c r="AG184">
        <f t="shared" si="13"/>
        <v>80</v>
      </c>
      <c r="AH184">
        <f t="shared" si="33"/>
        <v>154</v>
      </c>
      <c r="AI184" s="32" t="s">
        <v>116</v>
      </c>
      <c r="AJ184" s="32">
        <f t="shared" si="40"/>
        <v>8</v>
      </c>
      <c r="AK184" s="37">
        <f t="shared" si="10"/>
        <v>0.9992523661</v>
      </c>
      <c r="AL184" s="38">
        <f t="shared" si="11"/>
        <v>0.9781084435</v>
      </c>
      <c r="AM184" s="38">
        <f>sumifs('WL Matrix 2'!T:T,'WL Matrix 2'!B:B,A184,'WL Matrix 2'!C:C,C184,'WL Matrix 2'!M:M,"Regular Season")</f>
        <v>74</v>
      </c>
    </row>
    <row r="185" ht="14.25" customHeight="1">
      <c r="A185" s="49">
        <v>2024.0</v>
      </c>
      <c r="B185" s="60">
        <v>45292.0</v>
      </c>
      <c r="C185" s="13" t="s">
        <v>39</v>
      </c>
      <c r="D185" s="49" t="s">
        <v>1357</v>
      </c>
      <c r="E185" s="69" t="str">
        <f t="shared" si="27"/>
        <v>Caleb's Year - 2024</v>
      </c>
      <c r="F185" s="49" t="s">
        <v>1358</v>
      </c>
      <c r="G185" s="49" t="s">
        <v>1311</v>
      </c>
      <c r="H185" s="49" t="s">
        <v>732</v>
      </c>
      <c r="I185" s="49" t="s">
        <v>920</v>
      </c>
      <c r="J185" s="13" t="s">
        <v>9</v>
      </c>
      <c r="K185" s="13"/>
      <c r="L185" s="73">
        <v>10.0</v>
      </c>
      <c r="M185" s="8">
        <f>L185</f>
        <v>10</v>
      </c>
      <c r="N185" s="59">
        <f t="shared" si="38"/>
        <v>10</v>
      </c>
      <c r="O185" s="49">
        <v>14.0</v>
      </c>
      <c r="P185" s="76">
        <v>5.0</v>
      </c>
      <c r="Q185" s="76">
        <v>9.0</v>
      </c>
      <c r="R185" s="77">
        <v>1172.5</v>
      </c>
      <c r="S185" s="58">
        <f>sumifs('WL Matrix 2'!K:K,'WL Matrix 2'!B:B,A185,'WL Matrix 2'!C:C,C185)</f>
        <v>1719.82</v>
      </c>
      <c r="T185" s="13" t="s">
        <v>428</v>
      </c>
      <c r="U185" s="13" t="s">
        <v>429</v>
      </c>
      <c r="W185" s="62">
        <v>160.0</v>
      </c>
      <c r="X185" s="63"/>
      <c r="Y185" s="71">
        <f t="shared" si="30"/>
        <v>-160</v>
      </c>
      <c r="Z185">
        <f t="shared" si="35"/>
        <v>0</v>
      </c>
      <c r="AA185" s="6">
        <f t="shared" si="6"/>
        <v>0</v>
      </c>
      <c r="AB185">
        <f>VLOOKUP("2023"&amp;C185&amp;O185,'WL Matrix 2'!A:L,12,0)</f>
        <v>1</v>
      </c>
      <c r="AC185" s="72">
        <f t="shared" si="7"/>
        <v>793.125</v>
      </c>
      <c r="AD185" s="6">
        <f t="shared" si="8"/>
        <v>0</v>
      </c>
      <c r="AF185">
        <f>sumifs('WL Matrix 2'!T:T,'WL Matrix 2'!B:B,A185,'WL Matrix 2'!C:C,C185,'WL Matrix 2'!M:M,"Regular Season")</f>
        <v>54</v>
      </c>
      <c r="AG185">
        <f t="shared" si="13"/>
        <v>100</v>
      </c>
      <c r="AH185">
        <f t="shared" si="33"/>
        <v>154</v>
      </c>
      <c r="AI185" s="32" t="s">
        <v>116</v>
      </c>
      <c r="AJ185" s="32">
        <f t="shared" si="40"/>
        <v>11</v>
      </c>
      <c r="AK185" s="37">
        <f t="shared" si="10"/>
        <v>0.8869484309</v>
      </c>
      <c r="AL185" s="38">
        <f t="shared" si="11"/>
        <v>1.083439904</v>
      </c>
      <c r="AM185" s="38">
        <f>sumifs('WL Matrix 2'!T:T,'WL Matrix 2'!B:B,A185,'WL Matrix 2'!C:C,C185,'WL Matrix 2'!M:M,"Regular Season")</f>
        <v>54</v>
      </c>
    </row>
    <row r="186" ht="14.25" customHeight="1">
      <c r="A186" s="49">
        <v>2024.0</v>
      </c>
      <c r="B186" s="60">
        <v>45292.0</v>
      </c>
      <c r="C186" s="13" t="s">
        <v>67</v>
      </c>
      <c r="D186" s="49" t="s">
        <v>1363</v>
      </c>
      <c r="E186" s="69" t="str">
        <f t="shared" si="27"/>
        <v>Moodslide - 2024</v>
      </c>
      <c r="F186" s="49" t="s">
        <v>908</v>
      </c>
      <c r="G186" s="49" t="s">
        <v>1295</v>
      </c>
      <c r="H186" s="49" t="s">
        <v>1288</v>
      </c>
      <c r="I186" s="49" t="s">
        <v>587</v>
      </c>
      <c r="J186" s="13" t="s">
        <v>9</v>
      </c>
      <c r="K186" s="13"/>
      <c r="L186" s="73">
        <v>2.0</v>
      </c>
      <c r="M186" s="73">
        <v>4.0</v>
      </c>
      <c r="N186" s="59">
        <f t="shared" si="38"/>
        <v>4</v>
      </c>
      <c r="O186" s="49">
        <v>14.0</v>
      </c>
      <c r="P186" s="76">
        <v>9.0</v>
      </c>
      <c r="Q186" s="76">
        <v>5.0</v>
      </c>
      <c r="R186" s="77">
        <v>1454.46</v>
      </c>
      <c r="S186" s="58">
        <f>sumifs('WL Matrix 2'!K:K,'WL Matrix 2'!B:B,A186,'WL Matrix 2'!C:C,C186)</f>
        <v>1621.1</v>
      </c>
      <c r="T186" s="13" t="s">
        <v>428</v>
      </c>
      <c r="U186" s="13" t="s">
        <v>429</v>
      </c>
      <c r="W186" s="62">
        <v>160.0</v>
      </c>
      <c r="X186" s="63">
        <v>320.0</v>
      </c>
      <c r="Y186" s="71">
        <f t="shared" si="30"/>
        <v>160</v>
      </c>
      <c r="Z186">
        <f t="shared" si="35"/>
        <v>0</v>
      </c>
      <c r="AA186" s="6">
        <f t="shared" si="6"/>
        <v>1</v>
      </c>
      <c r="AB186">
        <f>VLOOKUP("2023"&amp;C186&amp;O186,'WL Matrix 2'!A:L,12,0)</f>
        <v>0</v>
      </c>
      <c r="AC186" s="72">
        <f t="shared" si="7"/>
        <v>1263.615</v>
      </c>
      <c r="AD186" s="6">
        <f t="shared" si="8"/>
        <v>0</v>
      </c>
      <c r="AE186" s="32">
        <v>1.0</v>
      </c>
      <c r="AF186">
        <f>sumifs('WL Matrix 2'!T:T,'WL Matrix 2'!B:B,A186,'WL Matrix 2'!C:C,C186,'WL Matrix 2'!M:M,"Regular Season")</f>
        <v>89</v>
      </c>
      <c r="AG186">
        <f t="shared" si="13"/>
        <v>65</v>
      </c>
      <c r="AH186">
        <f t="shared" si="33"/>
        <v>154</v>
      </c>
      <c r="AI186" s="32" t="s">
        <v>116</v>
      </c>
      <c r="AJ186" s="32">
        <f t="shared" si="40"/>
        <v>1</v>
      </c>
      <c r="AK186" s="37">
        <f t="shared" si="10"/>
        <v>1.100239671</v>
      </c>
      <c r="AL186" s="38">
        <f t="shared" si="11"/>
        <v>1.021248984</v>
      </c>
      <c r="AM186" s="38">
        <f>sumifs('WL Matrix 2'!T:T,'WL Matrix 2'!B:B,A186,'WL Matrix 2'!C:C,C186,'WL Matrix 2'!M:M,"Regular Season")</f>
        <v>89</v>
      </c>
    </row>
    <row r="187" ht="14.25" customHeight="1">
      <c r="A187" s="49">
        <v>2024.0</v>
      </c>
      <c r="B187" s="60">
        <v>45292.0</v>
      </c>
      <c r="C187" s="13" t="s">
        <v>72</v>
      </c>
      <c r="D187" s="49" t="s">
        <v>1366</v>
      </c>
      <c r="E187" s="69" t="str">
        <f t="shared" si="27"/>
        <v>Chase'n Purdy Big Twisters - 2024</v>
      </c>
      <c r="F187" s="49" t="s">
        <v>1326</v>
      </c>
      <c r="G187" s="49" t="s">
        <v>997</v>
      </c>
      <c r="H187" s="49" t="s">
        <v>1289</v>
      </c>
      <c r="I187" s="49" t="s">
        <v>779</v>
      </c>
      <c r="J187" s="13" t="s">
        <v>9</v>
      </c>
      <c r="K187" s="13"/>
      <c r="L187" s="73">
        <v>12.0</v>
      </c>
      <c r="M187" s="8">
        <f>L187</f>
        <v>12</v>
      </c>
      <c r="N187" s="59">
        <f t="shared" si="38"/>
        <v>12</v>
      </c>
      <c r="O187" s="49">
        <v>14.0</v>
      </c>
      <c r="P187" s="76">
        <v>3.0</v>
      </c>
      <c r="Q187" s="76">
        <v>11.0</v>
      </c>
      <c r="R187" s="77">
        <v>1138.22</v>
      </c>
      <c r="S187" s="58">
        <f>sumifs('WL Matrix 2'!K:K,'WL Matrix 2'!B:B,A187,'WL Matrix 2'!C:C,C187)</f>
        <v>1588.68</v>
      </c>
      <c r="T187" s="13" t="s">
        <v>428</v>
      </c>
      <c r="U187" s="13" t="s">
        <v>429</v>
      </c>
      <c r="W187" s="62">
        <v>160.0</v>
      </c>
      <c r="X187" s="63"/>
      <c r="Y187" s="71">
        <f t="shared" si="30"/>
        <v>-160</v>
      </c>
      <c r="Z187">
        <f t="shared" si="35"/>
        <v>0</v>
      </c>
      <c r="AA187" s="6">
        <f t="shared" si="6"/>
        <v>0</v>
      </c>
      <c r="AB187">
        <f>VLOOKUP("2023"&amp;C187&amp;O187,'WL Matrix 2'!A:L,12,0)</f>
        <v>0</v>
      </c>
      <c r="AC187" s="72">
        <f t="shared" si="7"/>
        <v>584.555</v>
      </c>
      <c r="AD187" s="6">
        <f t="shared" si="8"/>
        <v>0</v>
      </c>
      <c r="AF187">
        <f>sumifs('WL Matrix 2'!T:T,'WL Matrix 2'!B:B,A187,'WL Matrix 2'!C:C,C187,'WL Matrix 2'!M:M,"Regular Season")</f>
        <v>46</v>
      </c>
      <c r="AG187">
        <f t="shared" si="13"/>
        <v>108</v>
      </c>
      <c r="AH187">
        <f t="shared" si="33"/>
        <v>154</v>
      </c>
      <c r="AI187" s="32" t="s">
        <v>116</v>
      </c>
      <c r="AJ187" s="32">
        <f t="shared" si="40"/>
        <v>12</v>
      </c>
      <c r="AK187" s="37">
        <f t="shared" si="10"/>
        <v>0.861017009</v>
      </c>
      <c r="AL187" s="38">
        <f t="shared" si="11"/>
        <v>1.000825264</v>
      </c>
      <c r="AM187" s="38">
        <f>sumifs('WL Matrix 2'!T:T,'WL Matrix 2'!B:B,A187,'WL Matrix 2'!C:C,C187,'WL Matrix 2'!M:M,"Regular Season")</f>
        <v>46</v>
      </c>
    </row>
    <row r="188" ht="14.25" customHeight="1">
      <c r="A188" s="49">
        <v>2024.0</v>
      </c>
      <c r="B188" s="60">
        <v>45292.0</v>
      </c>
      <c r="C188" s="13" t="s">
        <v>76</v>
      </c>
      <c r="D188" s="49" t="s">
        <v>1368</v>
      </c>
      <c r="E188" s="69" t="str">
        <f t="shared" si="27"/>
        <v>Puka Quakes - 2024</v>
      </c>
      <c r="F188" s="49" t="s">
        <v>975</v>
      </c>
      <c r="G188" s="49" t="s">
        <v>807</v>
      </c>
      <c r="H188" s="49" t="s">
        <v>1320</v>
      </c>
      <c r="I188" s="49" t="s">
        <v>1369</v>
      </c>
      <c r="J188" s="13" t="s">
        <v>9</v>
      </c>
      <c r="K188" s="13"/>
      <c r="L188" s="73">
        <v>4.0</v>
      </c>
      <c r="M188" s="73">
        <v>3.0</v>
      </c>
      <c r="N188" s="59">
        <f t="shared" si="38"/>
        <v>3</v>
      </c>
      <c r="O188" s="49">
        <v>14.0</v>
      </c>
      <c r="P188" s="76">
        <v>9.0</v>
      </c>
      <c r="Q188" s="76">
        <v>5.0</v>
      </c>
      <c r="R188" s="77">
        <v>1404.3199999999997</v>
      </c>
      <c r="S188" s="58">
        <f>sumifs('WL Matrix 2'!K:K,'WL Matrix 2'!B:B,A188,'WL Matrix 2'!C:C,C188)</f>
        <v>1474.26</v>
      </c>
      <c r="T188" s="13" t="s">
        <v>588</v>
      </c>
      <c r="U188" s="13" t="s">
        <v>589</v>
      </c>
      <c r="W188" s="62">
        <v>160.0</v>
      </c>
      <c r="X188" s="63">
        <v>160.0</v>
      </c>
      <c r="Y188" s="71">
        <f t="shared" si="30"/>
        <v>0</v>
      </c>
      <c r="Z188">
        <f t="shared" si="35"/>
        <v>0</v>
      </c>
      <c r="AA188" s="6">
        <f t="shared" si="6"/>
        <v>1</v>
      </c>
      <c r="AB188">
        <f>VLOOKUP("2023"&amp;C188&amp;O188,'WL Matrix 2'!A:L,12,0)</f>
        <v>1</v>
      </c>
      <c r="AC188" s="72">
        <f t="shared" si="7"/>
        <v>1251.08</v>
      </c>
      <c r="AD188" s="6">
        <f t="shared" si="8"/>
        <v>0</v>
      </c>
      <c r="AF188">
        <f>sumifs('WL Matrix 2'!T:T,'WL Matrix 2'!B:B,A188,'WL Matrix 2'!C:C,C188,'WL Matrix 2'!M:M,"Regular Season")</f>
        <v>101</v>
      </c>
      <c r="AG188">
        <f t="shared" si="13"/>
        <v>53</v>
      </c>
      <c r="AH188">
        <f t="shared" si="33"/>
        <v>154</v>
      </c>
      <c r="AI188" s="32" t="s">
        <v>116</v>
      </c>
      <c r="AJ188" s="32">
        <f t="shared" si="40"/>
        <v>4</v>
      </c>
      <c r="AK188" s="37">
        <f t="shared" si="10"/>
        <v>1.062310806</v>
      </c>
      <c r="AL188" s="38">
        <f t="shared" si="11"/>
        <v>0.9287437711</v>
      </c>
      <c r="AM188" s="38">
        <f>sumifs('WL Matrix 2'!T:T,'WL Matrix 2'!B:B,A188,'WL Matrix 2'!C:C,C188,'WL Matrix 2'!M:M,"Regular Season")</f>
        <v>101</v>
      </c>
    </row>
    <row r="189" ht="14.25" customHeight="1">
      <c r="A189" s="49">
        <v>2024.0</v>
      </c>
      <c r="B189" s="60">
        <v>45292.0</v>
      </c>
      <c r="C189" s="13" t="s">
        <v>108</v>
      </c>
      <c r="D189" s="49" t="s">
        <v>1372</v>
      </c>
      <c r="E189" s="69" t="str">
        <f t="shared" si="27"/>
        <v>Whiteout - 2024</v>
      </c>
      <c r="F189" s="49" t="s">
        <v>1332</v>
      </c>
      <c r="G189" s="49" t="s">
        <v>1075</v>
      </c>
      <c r="H189" s="49" t="s">
        <v>1235</v>
      </c>
      <c r="I189" s="49" t="s">
        <v>1376</v>
      </c>
      <c r="J189" s="13" t="s">
        <v>9</v>
      </c>
      <c r="K189" s="13"/>
      <c r="L189" s="73">
        <v>7.0</v>
      </c>
      <c r="M189" s="8">
        <f>L189</f>
        <v>7</v>
      </c>
      <c r="N189" s="59">
        <f t="shared" si="38"/>
        <v>7</v>
      </c>
      <c r="O189" s="49">
        <v>14.0</v>
      </c>
      <c r="P189" s="76">
        <v>7.0</v>
      </c>
      <c r="Q189" s="76">
        <v>7.0</v>
      </c>
      <c r="R189" s="77">
        <v>1306.2400000000002</v>
      </c>
      <c r="S189" s="58">
        <f>sumifs('WL Matrix 2'!K:K,'WL Matrix 2'!B:B,A189,'WL Matrix 2'!C:C,C189)</f>
        <v>1605.82</v>
      </c>
      <c r="T189" s="13" t="s">
        <v>1315</v>
      </c>
      <c r="U189" s="13" t="s">
        <v>429</v>
      </c>
      <c r="W189" s="62">
        <v>160.0</v>
      </c>
      <c r="X189" s="63"/>
      <c r="Y189" s="71">
        <f t="shared" si="30"/>
        <v>-160</v>
      </c>
      <c r="Z189">
        <f t="shared" si="35"/>
        <v>0</v>
      </c>
      <c r="AA189" s="6">
        <f t="shared" si="6"/>
        <v>0</v>
      </c>
      <c r="AB189">
        <f>VLOOKUP("2023"&amp;C189&amp;O189,'WL Matrix 2'!A:L,12,0)</f>
        <v>1</v>
      </c>
      <c r="AC189" s="72">
        <f t="shared" si="7"/>
        <v>1026.56</v>
      </c>
      <c r="AD189" s="6">
        <f t="shared" si="8"/>
        <v>0</v>
      </c>
      <c r="AF189">
        <f>sumifs('WL Matrix 2'!T:T,'WL Matrix 2'!B:B,A189,'WL Matrix 2'!C:C,C189,'WL Matrix 2'!M:M,"Regular Season")</f>
        <v>75</v>
      </c>
      <c r="AG189">
        <f t="shared" si="13"/>
        <v>79</v>
      </c>
      <c r="AH189">
        <f t="shared" si="33"/>
        <v>154</v>
      </c>
      <c r="AI189" s="32" t="s">
        <v>116</v>
      </c>
      <c r="AJ189" s="32">
        <f t="shared" si="40"/>
        <v>9</v>
      </c>
      <c r="AK189" s="37">
        <f t="shared" si="10"/>
        <v>0.9881172865</v>
      </c>
      <c r="AL189" s="38">
        <f t="shared" si="11"/>
        <v>1.011622999</v>
      </c>
      <c r="AM189" s="38">
        <f>sumifs('WL Matrix 2'!T:T,'WL Matrix 2'!B:B,A189,'WL Matrix 2'!C:C,C189,'WL Matrix 2'!M:M,"Regular Season")</f>
        <v>75</v>
      </c>
    </row>
    <row r="190" ht="14.25" customHeight="1">
      <c r="A190" s="49">
        <v>2024.0</v>
      </c>
      <c r="B190" s="60">
        <v>45292.0</v>
      </c>
      <c r="C190" s="13" t="s">
        <v>82</v>
      </c>
      <c r="D190" s="49" t="s">
        <v>1378</v>
      </c>
      <c r="E190" s="69" t="str">
        <f t="shared" si="27"/>
        <v>Hurtswaves - 2024</v>
      </c>
      <c r="F190" s="49" t="s">
        <v>1121</v>
      </c>
      <c r="G190" s="49" t="s">
        <v>1143</v>
      </c>
      <c r="H190" s="49" t="s">
        <v>1380</v>
      </c>
      <c r="I190" s="49" t="s">
        <v>1381</v>
      </c>
      <c r="J190" s="13" t="s">
        <v>9</v>
      </c>
      <c r="K190" s="13"/>
      <c r="L190" s="73">
        <v>1.0</v>
      </c>
      <c r="M190" s="73">
        <v>2.0</v>
      </c>
      <c r="N190" s="59">
        <f t="shared" si="38"/>
        <v>2</v>
      </c>
      <c r="O190" s="49">
        <v>14.0</v>
      </c>
      <c r="P190" s="76">
        <v>10.0</v>
      </c>
      <c r="Q190" s="76">
        <v>4.0</v>
      </c>
      <c r="R190" s="77">
        <v>1407.1</v>
      </c>
      <c r="S190" s="58">
        <f>sumifs('WL Matrix 2'!K:K,'WL Matrix 2'!B:B,A190,'WL Matrix 2'!C:C,C190)</f>
        <v>1376.36</v>
      </c>
      <c r="T190" s="13" t="s">
        <v>428</v>
      </c>
      <c r="U190" s="13" t="s">
        <v>429</v>
      </c>
      <c r="W190" s="62">
        <v>160.0</v>
      </c>
      <c r="X190" s="63">
        <v>720.0</v>
      </c>
      <c r="Y190" s="71">
        <f t="shared" si="30"/>
        <v>560</v>
      </c>
      <c r="Z190">
        <f t="shared" si="35"/>
        <v>0</v>
      </c>
      <c r="AA190" s="6">
        <f t="shared" si="6"/>
        <v>1</v>
      </c>
      <c r="AB190">
        <f>VLOOKUP("2023"&amp;C190&amp;O190,'WL Matrix 2'!A:L,12,0)</f>
        <v>0</v>
      </c>
      <c r="AC190" s="72">
        <f t="shared" si="7"/>
        <v>1351.775</v>
      </c>
      <c r="AD190" s="6">
        <f t="shared" si="8"/>
        <v>1</v>
      </c>
      <c r="AF190">
        <f>sumifs('WL Matrix 2'!T:T,'WL Matrix 2'!B:B,A190,'WL Matrix 2'!C:C,C190,'WL Matrix 2'!M:M,"Regular Season")</f>
        <v>84</v>
      </c>
      <c r="AG190">
        <f t="shared" si="13"/>
        <v>70</v>
      </c>
      <c r="AH190">
        <f t="shared" si="33"/>
        <v>154</v>
      </c>
      <c r="AI190" s="32" t="s">
        <v>116</v>
      </c>
      <c r="AJ190" s="32">
        <f t="shared" si="40"/>
        <v>3</v>
      </c>
      <c r="AK190" s="37">
        <f t="shared" si="10"/>
        <v>1.064413763</v>
      </c>
      <c r="AL190" s="38">
        <f t="shared" si="11"/>
        <v>0.8670694293</v>
      </c>
      <c r="AM190" s="38">
        <f>sumifs('WL Matrix 2'!T:T,'WL Matrix 2'!B:B,A190,'WL Matrix 2'!C:C,C190,'WL Matrix 2'!M:M,"Regular Season")</f>
        <v>84</v>
      </c>
    </row>
    <row r="191" ht="14.25" customHeight="1">
      <c r="A191" s="49">
        <v>2024.0</v>
      </c>
      <c r="B191" s="60">
        <v>45292.0</v>
      </c>
      <c r="C191" s="13" t="s">
        <v>86</v>
      </c>
      <c r="D191" s="49" t="s">
        <v>1384</v>
      </c>
      <c r="E191" s="69" t="str">
        <f t="shared" si="27"/>
        <v>NoMoore 4KDrought - 2024</v>
      </c>
      <c r="F191" s="49" t="s">
        <v>1385</v>
      </c>
      <c r="G191" s="49" t="s">
        <v>1327</v>
      </c>
      <c r="H191" s="49" t="s">
        <v>1386</v>
      </c>
      <c r="I191" s="49" t="s">
        <v>1387</v>
      </c>
      <c r="J191" s="13" t="s">
        <v>9</v>
      </c>
      <c r="K191" s="13"/>
      <c r="L191" s="73">
        <v>8.0</v>
      </c>
      <c r="M191" s="8">
        <f t="shared" ref="M191:M193" si="41">L191</f>
        <v>8</v>
      </c>
      <c r="N191" s="59">
        <f t="shared" si="38"/>
        <v>8</v>
      </c>
      <c r="O191" s="49">
        <v>14.0</v>
      </c>
      <c r="P191" s="76">
        <v>6.0</v>
      </c>
      <c r="Q191" s="76">
        <v>8.0</v>
      </c>
      <c r="R191" s="77">
        <v>1339.6</v>
      </c>
      <c r="S191" s="58">
        <f>sumifs('WL Matrix 2'!K:K,'WL Matrix 2'!B:B,A191,'WL Matrix 2'!C:C,C191)</f>
        <v>1654.78</v>
      </c>
      <c r="T191" s="13" t="s">
        <v>428</v>
      </c>
      <c r="U191" s="13" t="s">
        <v>429</v>
      </c>
      <c r="W191" s="62">
        <v>160.0</v>
      </c>
      <c r="X191" s="63"/>
      <c r="Y191" s="71">
        <f t="shared" si="30"/>
        <v>-160</v>
      </c>
      <c r="Z191">
        <f t="shared" si="35"/>
        <v>0</v>
      </c>
      <c r="AA191" s="6">
        <f t="shared" si="6"/>
        <v>0</v>
      </c>
      <c r="AB191">
        <f>VLOOKUP("2023"&amp;C191&amp;O191,'WL Matrix 2'!A:L,12,0)</f>
        <v>1</v>
      </c>
      <c r="AC191" s="72">
        <f t="shared" si="7"/>
        <v>934.9</v>
      </c>
      <c r="AD191" s="6">
        <f t="shared" si="8"/>
        <v>0</v>
      </c>
      <c r="AF191">
        <f>sumifs('WL Matrix 2'!T:T,'WL Matrix 2'!B:B,A191,'WL Matrix 2'!C:C,C191,'WL Matrix 2'!M:M,"Regular Season")</f>
        <v>75</v>
      </c>
      <c r="AG191">
        <f t="shared" si="13"/>
        <v>79</v>
      </c>
      <c r="AH191">
        <f t="shared" si="33"/>
        <v>154</v>
      </c>
      <c r="AI191" s="32" t="s">
        <v>116</v>
      </c>
      <c r="AJ191" s="32">
        <f t="shared" si="40"/>
        <v>7</v>
      </c>
      <c r="AK191" s="37">
        <f t="shared" si="10"/>
        <v>1.013352766</v>
      </c>
      <c r="AL191" s="38">
        <f t="shared" si="11"/>
        <v>1.04246647</v>
      </c>
      <c r="AM191" s="38">
        <f>sumifs('WL Matrix 2'!T:T,'WL Matrix 2'!B:B,A191,'WL Matrix 2'!C:C,C191,'WL Matrix 2'!M:M,"Regular Season")</f>
        <v>75</v>
      </c>
    </row>
    <row r="192" ht="14.25" customHeight="1">
      <c r="A192" s="49">
        <v>2024.0</v>
      </c>
      <c r="B192" s="60">
        <v>45292.0</v>
      </c>
      <c r="C192" s="13" t="s">
        <v>89</v>
      </c>
      <c r="D192" s="49" t="s">
        <v>1392</v>
      </c>
      <c r="E192" s="69" t="str">
        <f t="shared" si="27"/>
        <v>Bhola Breece's Storm Surge - 2024</v>
      </c>
      <c r="F192" s="49" t="s">
        <v>1393</v>
      </c>
      <c r="G192" s="49" t="s">
        <v>1283</v>
      </c>
      <c r="H192" s="49" t="s">
        <v>1394</v>
      </c>
      <c r="I192" s="49" t="s">
        <v>1395</v>
      </c>
      <c r="J192" s="13" t="s">
        <v>9</v>
      </c>
      <c r="K192" s="13"/>
      <c r="L192" s="73">
        <v>9.0</v>
      </c>
      <c r="M192" s="8">
        <f t="shared" si="41"/>
        <v>9</v>
      </c>
      <c r="N192" s="59">
        <f t="shared" si="38"/>
        <v>9</v>
      </c>
      <c r="O192" s="49">
        <v>14.0</v>
      </c>
      <c r="P192" s="76">
        <v>6.0</v>
      </c>
      <c r="Q192" s="76">
        <v>8.0</v>
      </c>
      <c r="R192" s="77">
        <v>1196.02</v>
      </c>
      <c r="S192" s="58">
        <f>sumifs('WL Matrix 2'!K:K,'WL Matrix 2'!B:B,A192,'WL Matrix 2'!C:C,C192)</f>
        <v>1508.42</v>
      </c>
      <c r="T192" s="13" t="s">
        <v>546</v>
      </c>
      <c r="U192" s="13" t="s">
        <v>46</v>
      </c>
      <c r="W192" s="62">
        <v>160.0</v>
      </c>
      <c r="X192" s="63"/>
      <c r="Y192" s="71">
        <f t="shared" si="30"/>
        <v>-160</v>
      </c>
      <c r="Z192">
        <f t="shared" si="35"/>
        <v>0</v>
      </c>
      <c r="AA192" s="6">
        <f t="shared" si="6"/>
        <v>0</v>
      </c>
      <c r="AB192">
        <f>VLOOKUP("2023"&amp;C192&amp;O192,'WL Matrix 2'!A:L,12,0)</f>
        <v>1</v>
      </c>
      <c r="AC192" s="72">
        <f t="shared" si="7"/>
        <v>899.005</v>
      </c>
      <c r="AD192" s="6">
        <f t="shared" si="8"/>
        <v>0</v>
      </c>
      <c r="AF192">
        <f>sumifs('WL Matrix 2'!T:T,'WL Matrix 2'!B:B,A192,'WL Matrix 2'!C:C,C192,'WL Matrix 2'!M:M,"Regular Season")</f>
        <v>55</v>
      </c>
      <c r="AG192">
        <f t="shared" si="13"/>
        <v>99</v>
      </c>
      <c r="AH192">
        <f t="shared" si="33"/>
        <v>154</v>
      </c>
      <c r="AI192" s="32" t="s">
        <v>116</v>
      </c>
      <c r="AJ192" s="32">
        <f t="shared" si="40"/>
        <v>10</v>
      </c>
      <c r="AK192" s="37">
        <f t="shared" si="10"/>
        <v>0.9047403517</v>
      </c>
      <c r="AL192" s="38">
        <f t="shared" si="11"/>
        <v>0.9502636436</v>
      </c>
      <c r="AM192" s="38">
        <f>sumifs('WL Matrix 2'!T:T,'WL Matrix 2'!B:B,A192,'WL Matrix 2'!C:C,C192,'WL Matrix 2'!M:M,"Regular Season")</f>
        <v>55</v>
      </c>
    </row>
    <row r="193" ht="14.25" customHeight="1">
      <c r="A193" s="49">
        <v>2024.0</v>
      </c>
      <c r="B193" s="60">
        <v>45292.0</v>
      </c>
      <c r="C193" s="13" t="s">
        <v>92</v>
      </c>
      <c r="D193" s="49" t="s">
        <v>1398</v>
      </c>
      <c r="E193" s="69" t="str">
        <f t="shared" si="27"/>
        <v>Blizzard Boys - 2024</v>
      </c>
      <c r="F193" s="49" t="s">
        <v>1274</v>
      </c>
      <c r="G193" s="49" t="s">
        <v>1399</v>
      </c>
      <c r="H193" s="49" t="s">
        <v>1036</v>
      </c>
      <c r="I193" s="49" t="s">
        <v>823</v>
      </c>
      <c r="J193" s="13" t="s">
        <v>9</v>
      </c>
      <c r="K193" s="13"/>
      <c r="L193" s="73">
        <v>11.0</v>
      </c>
      <c r="M193" s="8">
        <f t="shared" si="41"/>
        <v>11</v>
      </c>
      <c r="N193" s="59">
        <f t="shared" si="38"/>
        <v>11</v>
      </c>
      <c r="O193" s="49">
        <v>14.0</v>
      </c>
      <c r="P193" s="76">
        <v>4.0</v>
      </c>
      <c r="Q193" s="76">
        <v>10.0</v>
      </c>
      <c r="R193" s="77">
        <v>1350.1599999999999</v>
      </c>
      <c r="S193" s="58">
        <f>sumifs('WL Matrix 2'!K:K,'WL Matrix 2'!B:B,A193,'WL Matrix 2'!C:C,C193)</f>
        <v>1732.84</v>
      </c>
      <c r="T193" s="13" t="s">
        <v>1169</v>
      </c>
      <c r="U193" s="13" t="s">
        <v>1170</v>
      </c>
      <c r="W193" s="62">
        <v>160.0</v>
      </c>
      <c r="X193" s="63"/>
      <c r="Y193" s="71">
        <f t="shared" si="30"/>
        <v>-160</v>
      </c>
      <c r="Z193">
        <f t="shared" si="35"/>
        <v>0</v>
      </c>
      <c r="AA193" s="6">
        <f t="shared" si="6"/>
        <v>0</v>
      </c>
      <c r="AB193">
        <f>VLOOKUP("2023"&amp;C193&amp;O193,'WL Matrix 2'!A:L,12,0)</f>
        <v>0</v>
      </c>
      <c r="AC193" s="72">
        <f t="shared" si="7"/>
        <v>737.54</v>
      </c>
      <c r="AD193" s="6">
        <f t="shared" si="8"/>
        <v>0</v>
      </c>
      <c r="AF193">
        <f>sumifs('WL Matrix 2'!T:T,'WL Matrix 2'!B:B,A193,'WL Matrix 2'!C:C,C193,'WL Matrix 2'!M:M,"Regular Season")</f>
        <v>83</v>
      </c>
      <c r="AG193">
        <f t="shared" si="13"/>
        <v>71</v>
      </c>
      <c r="AH193">
        <f t="shared" si="33"/>
        <v>154</v>
      </c>
      <c r="AI193" s="32" t="s">
        <v>116</v>
      </c>
      <c r="AJ193" s="32">
        <f t="shared" si="40"/>
        <v>6</v>
      </c>
      <c r="AK193" s="37">
        <f t="shared" si="10"/>
        <v>1.021340975</v>
      </c>
      <c r="AL193" s="38">
        <f t="shared" si="11"/>
        <v>1.09164215</v>
      </c>
      <c r="AM193" s="38">
        <f>sumifs('WL Matrix 2'!T:T,'WL Matrix 2'!B:B,A193,'WL Matrix 2'!C:C,C193,'WL Matrix 2'!M:M,"Regular Season")</f>
        <v>83</v>
      </c>
    </row>
    <row r="194">
      <c r="A194" s="49">
        <v>2025.0</v>
      </c>
      <c r="B194" s="60">
        <v>45658.0</v>
      </c>
      <c r="C194" s="13" t="s">
        <v>47</v>
      </c>
      <c r="D194" s="49" t="s">
        <v>1404</v>
      </c>
      <c r="E194" s="69" t="str">
        <f t="shared" si="27"/>
        <v>Drake Frites - 2025</v>
      </c>
      <c r="F194" s="49" t="s">
        <v>941</v>
      </c>
      <c r="G194" s="49" t="s">
        <v>748</v>
      </c>
      <c r="H194" s="49" t="s">
        <v>1405</v>
      </c>
      <c r="I194" s="49" t="s">
        <v>1376</v>
      </c>
      <c r="J194" s="13" t="s">
        <v>9</v>
      </c>
      <c r="K194" s="13"/>
      <c r="L194" s="73">
        <v>2.0</v>
      </c>
      <c r="M194" s="73">
        <v>3.0</v>
      </c>
      <c r="N194" s="59">
        <f t="shared" si="38"/>
        <v>3</v>
      </c>
      <c r="O194" s="49">
        <v>14.0</v>
      </c>
      <c r="P194" s="76">
        <f>sumifs('WL Matrix 2'!L:L,'WL Matrix 2'!B:B,A194,'WL Matrix 2'!C:C,C194,'WL Matrix 2'!M:M,"Regular Season")</f>
        <v>8</v>
      </c>
      <c r="Q194" s="76">
        <f t="shared" ref="Q194:Q217" si="42">O194-P194</f>
        <v>6</v>
      </c>
      <c r="R194" s="77">
        <f>sumifs('WL Matrix 2'!J:J,'WL Matrix 2'!B:B,A194,'WL Matrix 2'!C:C,C194,'WL Matrix 2'!M:M,"Regular Season")</f>
        <v>1633.5</v>
      </c>
      <c r="S194" s="58">
        <f>sumifs('WL Matrix 2'!K:K,'WL Matrix 2'!B:B,A194,'WL Matrix 2'!C:C,C194)</f>
        <v>1763.7</v>
      </c>
      <c r="T194" s="13" t="s">
        <v>644</v>
      </c>
      <c r="U194" s="32" t="s">
        <v>589</v>
      </c>
      <c r="W194" s="62">
        <v>170.0</v>
      </c>
      <c r="X194" s="63">
        <f>170+340</f>
        <v>510</v>
      </c>
      <c r="Y194" s="71">
        <f t="shared" si="30"/>
        <v>340</v>
      </c>
      <c r="Z194">
        <f t="shared" si="35"/>
        <v>0</v>
      </c>
      <c r="AA194" s="6">
        <f t="shared" si="6"/>
        <v>1</v>
      </c>
      <c r="AB194">
        <f>VLOOKUP("2023"&amp;C194&amp;O194,'WL Matrix 2'!A:L,12,0)</f>
        <v>0</v>
      </c>
      <c r="AC194" s="72">
        <f t="shared" si="7"/>
        <v>1208.375</v>
      </c>
      <c r="AD194" s="6">
        <f t="shared" si="8"/>
        <v>0</v>
      </c>
      <c r="AE194" s="32">
        <v>1.0</v>
      </c>
      <c r="AF194">
        <f>sumifs('WL Matrix 2'!T:T,'WL Matrix 2'!B:B,A194,'WL Matrix 2'!C:C,C194,'WL Matrix 2'!M:M,"Regular Season")</f>
        <v>100</v>
      </c>
      <c r="AG194">
        <f t="shared" si="13"/>
        <v>54</v>
      </c>
      <c r="AH194">
        <f t="shared" si="33"/>
        <v>154</v>
      </c>
      <c r="AI194" s="32" t="s">
        <v>1410</v>
      </c>
      <c r="AJ194" s="32">
        <f t="shared" ref="AJ194:AJ205" si="43">rank(R194,$R$194:$R$205)</f>
        <v>1</v>
      </c>
      <c r="AK194" s="37">
        <f t="shared" si="10"/>
        <v>1.111996079</v>
      </c>
      <c r="AL194" s="38">
        <f t="shared" si="11"/>
        <v>0.9999593674</v>
      </c>
      <c r="AM194" s="38">
        <f>sumifs('WL Matrix 2'!T:T,'WL Matrix 2'!B:B,A194,'WL Matrix 2'!C:C,C194,'WL Matrix 2'!M:M,"Regular Season")</f>
        <v>100</v>
      </c>
    </row>
    <row r="195" ht="14.25" customHeight="1">
      <c r="A195" s="49">
        <v>2025.0</v>
      </c>
      <c r="B195" s="60">
        <v>45658.0</v>
      </c>
      <c r="C195" s="13" t="s">
        <v>52</v>
      </c>
      <c r="D195" s="32" t="s">
        <v>1413</v>
      </c>
      <c r="E195" s="69" t="str">
        <f t="shared" si="27"/>
        <v>Tour de Weis - 2025</v>
      </c>
      <c r="F195" s="49" t="s">
        <v>1414</v>
      </c>
      <c r="G195" s="32" t="s">
        <v>807</v>
      </c>
      <c r="H195" s="49" t="s">
        <v>1415</v>
      </c>
      <c r="I195" s="49" t="s">
        <v>1381</v>
      </c>
      <c r="J195" s="13" t="s">
        <v>9</v>
      </c>
      <c r="K195" s="13"/>
      <c r="L195" s="8">
        <f>rank(AF195,$AF$194:$AF$205,0)</f>
        <v>12</v>
      </c>
      <c r="M195" s="8">
        <v>12.0</v>
      </c>
      <c r="N195" s="59">
        <f t="shared" si="38"/>
        <v>12</v>
      </c>
      <c r="O195" s="49">
        <v>14.0</v>
      </c>
      <c r="P195" s="76">
        <f>sumifs('WL Matrix 2'!L:L,'WL Matrix 2'!B:B,A195,'WL Matrix 2'!C:C,C195,'WL Matrix 2'!M:M,"Regular Season")</f>
        <v>3</v>
      </c>
      <c r="Q195" s="76">
        <f t="shared" si="42"/>
        <v>11</v>
      </c>
      <c r="R195" s="77">
        <f>sumifs('WL Matrix 2'!J:J,'WL Matrix 2'!B:B,A195,'WL Matrix 2'!C:C,C195,'WL Matrix 2'!M:M,"Regular Season")</f>
        <v>1221.46</v>
      </c>
      <c r="S195" s="58">
        <f>sumifs('WL Matrix 2'!K:K,'WL Matrix 2'!B:B,A195,'WL Matrix 2'!C:C,C195)</f>
        <v>1851.6</v>
      </c>
      <c r="T195" s="13" t="s">
        <v>428</v>
      </c>
      <c r="U195" s="13" t="s">
        <v>429</v>
      </c>
      <c r="W195" s="62">
        <v>170.0</v>
      </c>
      <c r="X195" s="63"/>
      <c r="Y195" s="71">
        <f t="shared" si="30"/>
        <v>-170</v>
      </c>
      <c r="Z195">
        <f t="shared" si="35"/>
        <v>0</v>
      </c>
      <c r="AA195" s="6">
        <f t="shared" si="6"/>
        <v>0</v>
      </c>
      <c r="AB195">
        <f>VLOOKUP("2023"&amp;C195&amp;O195,'WL Matrix 2'!A:L,12,0)</f>
        <v>0</v>
      </c>
      <c r="AC195" s="72">
        <f t="shared" si="7"/>
        <v>605.365</v>
      </c>
      <c r="AD195" s="6">
        <f t="shared" si="8"/>
        <v>0</v>
      </c>
      <c r="AF195">
        <f>sumifs('WL Matrix 2'!T:T,'WL Matrix 2'!B:B,A195,'WL Matrix 2'!C:C,C195,'WL Matrix 2'!M:M,"Regular Season")</f>
        <v>43</v>
      </c>
      <c r="AG195">
        <f t="shared" si="13"/>
        <v>111</v>
      </c>
      <c r="AH195">
        <f t="shared" si="33"/>
        <v>154</v>
      </c>
      <c r="AI195" s="32" t="s">
        <v>1410</v>
      </c>
      <c r="AJ195" s="32">
        <f t="shared" si="43"/>
        <v>12</v>
      </c>
      <c r="AK195" s="37">
        <f t="shared" si="10"/>
        <v>0.8315021307</v>
      </c>
      <c r="AL195" s="38">
        <f t="shared" si="11"/>
        <v>1.04979575</v>
      </c>
      <c r="AM195" s="38">
        <f>sumifs('WL Matrix 2'!T:T,'WL Matrix 2'!B:B,A195,'WL Matrix 2'!C:C,C195,'WL Matrix 2'!M:M,"Regular Season")</f>
        <v>43</v>
      </c>
    </row>
    <row r="196" ht="14.25" customHeight="1">
      <c r="A196" s="49">
        <v>2025.0</v>
      </c>
      <c r="B196" s="60">
        <v>45658.0</v>
      </c>
      <c r="C196" s="13" t="s">
        <v>57</v>
      </c>
      <c r="D196" s="32" t="s">
        <v>1421</v>
      </c>
      <c r="E196" s="69" t="str">
        <f t="shared" si="27"/>
        <v>RJ Hau Revoir - 2025</v>
      </c>
      <c r="F196" s="49" t="s">
        <v>1422</v>
      </c>
      <c r="G196" s="49" t="s">
        <v>1143</v>
      </c>
      <c r="H196" s="49" t="s">
        <v>1380</v>
      </c>
      <c r="I196" s="49" t="s">
        <v>779</v>
      </c>
      <c r="J196" s="13" t="s">
        <v>9</v>
      </c>
      <c r="K196" s="13"/>
      <c r="L196" s="73">
        <v>6.0</v>
      </c>
      <c r="M196" s="73">
        <v>2.0</v>
      </c>
      <c r="N196" s="59">
        <f t="shared" si="38"/>
        <v>2</v>
      </c>
      <c r="O196" s="49">
        <v>14.0</v>
      </c>
      <c r="P196" s="76">
        <f>sumifs('WL Matrix 2'!L:L,'WL Matrix 2'!B:B,A196,'WL Matrix 2'!C:C,C196,'WL Matrix 2'!M:M,"Regular Season")</f>
        <v>7</v>
      </c>
      <c r="Q196" s="76">
        <f t="shared" si="42"/>
        <v>7</v>
      </c>
      <c r="R196" s="77">
        <f>sumifs('WL Matrix 2'!J:J,'WL Matrix 2'!B:B,A196,'WL Matrix 2'!C:C,C196,'WL Matrix 2'!M:M,"Regular Season")</f>
        <v>1552.84</v>
      </c>
      <c r="S196" s="58">
        <f>sumifs('WL Matrix 2'!K:K,'WL Matrix 2'!B:B,A196,'WL Matrix 2'!C:C,C196)</f>
        <v>1908.46</v>
      </c>
      <c r="T196" s="13" t="s">
        <v>428</v>
      </c>
      <c r="U196" s="13" t="s">
        <v>429</v>
      </c>
      <c r="V196" s="32">
        <v>53211.0</v>
      </c>
      <c r="W196" s="62">
        <v>170.0</v>
      </c>
      <c r="X196" s="63">
        <v>425.0</v>
      </c>
      <c r="Y196" s="71">
        <f t="shared" si="30"/>
        <v>255</v>
      </c>
      <c r="Z196">
        <f t="shared" si="35"/>
        <v>0</v>
      </c>
      <c r="AA196" s="6">
        <f t="shared" si="6"/>
        <v>1</v>
      </c>
      <c r="AB196">
        <f>VLOOKUP("2023"&amp;C196&amp;O196,'WL Matrix 2'!A:L,12,0)</f>
        <v>1</v>
      </c>
      <c r="AC196" s="72">
        <f t="shared" si="7"/>
        <v>1088.21</v>
      </c>
      <c r="AD196" s="6">
        <f t="shared" si="8"/>
        <v>0</v>
      </c>
      <c r="AF196">
        <f>sumifs('WL Matrix 2'!T:T,'WL Matrix 2'!B:B,A196,'WL Matrix 2'!C:C,C196,'WL Matrix 2'!M:M,"Regular Season")</f>
        <v>91</v>
      </c>
      <c r="AG196">
        <f t="shared" si="13"/>
        <v>63</v>
      </c>
      <c r="AH196">
        <f t="shared" si="33"/>
        <v>154</v>
      </c>
      <c r="AI196" s="32" t="s">
        <v>1410</v>
      </c>
      <c r="AJ196" s="32">
        <f t="shared" si="43"/>
        <v>2</v>
      </c>
      <c r="AK196" s="37">
        <f t="shared" si="10"/>
        <v>1.057087231</v>
      </c>
      <c r="AL196" s="38">
        <f t="shared" si="11"/>
        <v>1.082033483</v>
      </c>
      <c r="AM196" s="38">
        <f>sumifs('WL Matrix 2'!T:T,'WL Matrix 2'!B:B,A196,'WL Matrix 2'!C:C,C196,'WL Matrix 2'!M:M,"Regular Season")</f>
        <v>91</v>
      </c>
    </row>
    <row r="197" ht="14.25" customHeight="1">
      <c r="A197" s="49">
        <v>2025.0</v>
      </c>
      <c r="B197" s="60">
        <v>45658.0</v>
      </c>
      <c r="C197" s="13" t="s">
        <v>39</v>
      </c>
      <c r="D197" s="49" t="s">
        <v>1427</v>
      </c>
      <c r="E197" s="69" t="str">
        <f t="shared" si="27"/>
        <v>CamemBear Down - 2025</v>
      </c>
      <c r="F197" s="49" t="s">
        <v>1428</v>
      </c>
      <c r="G197" s="49" t="s">
        <v>1399</v>
      </c>
      <c r="H197" s="49" t="s">
        <v>1289</v>
      </c>
      <c r="I197" s="49" t="s">
        <v>1091</v>
      </c>
      <c r="J197" s="13" t="s">
        <v>9</v>
      </c>
      <c r="K197" s="13"/>
      <c r="L197" s="73">
        <v>1.0</v>
      </c>
      <c r="M197" s="73">
        <v>1.0</v>
      </c>
      <c r="N197" s="59">
        <f t="shared" si="38"/>
        <v>1</v>
      </c>
      <c r="O197" s="49">
        <v>14.0</v>
      </c>
      <c r="P197" s="76">
        <f>sumifs('WL Matrix 2'!L:L,'WL Matrix 2'!B:B,A197,'WL Matrix 2'!C:C,C197,'WL Matrix 2'!M:M,"Regular Season")</f>
        <v>12</v>
      </c>
      <c r="Q197" s="76">
        <f t="shared" si="42"/>
        <v>2</v>
      </c>
      <c r="R197" s="77">
        <f>sumifs('WL Matrix 2'!J:J,'WL Matrix 2'!B:B,A197,'WL Matrix 2'!C:C,C197,'WL Matrix 2'!M:M,"Regular Season")</f>
        <v>1549.26</v>
      </c>
      <c r="S197" s="58">
        <f>sumifs('WL Matrix 2'!K:K,'WL Matrix 2'!B:B,A197,'WL Matrix 2'!C:C,C197)</f>
        <v>1518.24</v>
      </c>
      <c r="T197" s="13" t="s">
        <v>428</v>
      </c>
      <c r="U197" s="13" t="s">
        <v>429</v>
      </c>
      <c r="W197" s="62">
        <v>170.0</v>
      </c>
      <c r="X197" s="63">
        <f>340+765</f>
        <v>1105</v>
      </c>
      <c r="Y197" s="71">
        <f t="shared" si="30"/>
        <v>935</v>
      </c>
      <c r="Z197">
        <f t="shared" si="35"/>
        <v>1</v>
      </c>
      <c r="AA197" s="6">
        <f t="shared" si="6"/>
        <v>1</v>
      </c>
      <c r="AB197">
        <f>VLOOKUP("2023"&amp;C197&amp;O197,'WL Matrix 2'!A:L,12,0)</f>
        <v>1</v>
      </c>
      <c r="AC197" s="72">
        <f t="shared" si="7"/>
        <v>1587.315</v>
      </c>
      <c r="AD197" s="6">
        <f t="shared" si="8"/>
        <v>1</v>
      </c>
      <c r="AF197">
        <f>sumifs('WL Matrix 2'!T:T,'WL Matrix 2'!B:B,A197,'WL Matrix 2'!C:C,C197,'WL Matrix 2'!M:M,"Regular Season")</f>
        <v>94</v>
      </c>
      <c r="AG197">
        <f t="shared" si="13"/>
        <v>60</v>
      </c>
      <c r="AH197">
        <f t="shared" si="33"/>
        <v>154</v>
      </c>
      <c r="AI197" s="32" t="s">
        <v>1410</v>
      </c>
      <c r="AJ197" s="32">
        <f t="shared" si="43"/>
        <v>3</v>
      </c>
      <c r="AK197" s="37">
        <f t="shared" si="10"/>
        <v>1.054650165</v>
      </c>
      <c r="AL197" s="38">
        <f t="shared" si="11"/>
        <v>0.8607916936</v>
      </c>
      <c r="AM197" s="38">
        <f>sumifs('WL Matrix 2'!T:T,'WL Matrix 2'!B:B,A197,'WL Matrix 2'!C:C,C197,'WL Matrix 2'!M:M,"Regular Season")</f>
        <v>94</v>
      </c>
    </row>
    <row r="198" ht="14.25" customHeight="1">
      <c r="A198" s="49">
        <v>2025.0</v>
      </c>
      <c r="B198" s="60">
        <v>45658.0</v>
      </c>
      <c r="C198" s="13" t="s">
        <v>67</v>
      </c>
      <c r="D198" s="32" t="s">
        <v>1433</v>
      </c>
      <c r="E198" s="69" t="str">
        <f t="shared" si="27"/>
        <v>Louis Suitton - 2025</v>
      </c>
      <c r="F198" s="49" t="s">
        <v>1082</v>
      </c>
      <c r="G198" s="49" t="s">
        <v>1434</v>
      </c>
      <c r="H198" s="49" t="s">
        <v>958</v>
      </c>
      <c r="I198" s="49" t="s">
        <v>1435</v>
      </c>
      <c r="J198" s="13" t="s">
        <v>9</v>
      </c>
      <c r="K198" s="13"/>
      <c r="L198" s="8">
        <f>rank(AF198,$AF$194:$AF$205,0)</f>
        <v>11</v>
      </c>
      <c r="M198" s="8">
        <v>11.0</v>
      </c>
      <c r="N198" s="59">
        <f t="shared" si="38"/>
        <v>11</v>
      </c>
      <c r="O198" s="49">
        <v>14.0</v>
      </c>
      <c r="P198" s="76">
        <f>sumifs('WL Matrix 2'!L:L,'WL Matrix 2'!B:B,A198,'WL Matrix 2'!C:C,C198,'WL Matrix 2'!M:M,"Regular Season")</f>
        <v>4</v>
      </c>
      <c r="Q198" s="76">
        <f t="shared" si="42"/>
        <v>10</v>
      </c>
      <c r="R198" s="77">
        <f>sumifs('WL Matrix 2'!J:J,'WL Matrix 2'!B:B,A198,'WL Matrix 2'!C:C,C198,'WL Matrix 2'!M:M,"Regular Season")</f>
        <v>1336.26</v>
      </c>
      <c r="S198" s="58">
        <f>sumifs('WL Matrix 2'!K:K,'WL Matrix 2'!B:B,A198,'WL Matrix 2'!C:C,C198)</f>
        <v>1733.68</v>
      </c>
      <c r="T198" s="13" t="s">
        <v>428</v>
      </c>
      <c r="U198" s="13" t="s">
        <v>429</v>
      </c>
      <c r="W198" s="62">
        <v>170.0</v>
      </c>
      <c r="X198" s="63"/>
      <c r="Y198" s="71">
        <f t="shared" si="30"/>
        <v>-170</v>
      </c>
      <c r="Z198">
        <f t="shared" si="35"/>
        <v>0</v>
      </c>
      <c r="AA198" s="6">
        <f t="shared" si="6"/>
        <v>0</v>
      </c>
      <c r="AB198">
        <f>VLOOKUP("2023"&amp;C198&amp;O198,'WL Matrix 2'!A:L,12,0)</f>
        <v>0</v>
      </c>
      <c r="AC198" s="72">
        <f t="shared" si="7"/>
        <v>734.065</v>
      </c>
      <c r="AD198" s="6">
        <f t="shared" si="8"/>
        <v>0</v>
      </c>
      <c r="AF198">
        <f>sumifs('WL Matrix 2'!T:T,'WL Matrix 2'!B:B,A198,'WL Matrix 2'!C:C,C198,'WL Matrix 2'!M:M,"Regular Season")</f>
        <v>48</v>
      </c>
      <c r="AG198">
        <f t="shared" si="13"/>
        <v>106</v>
      </c>
      <c r="AH198">
        <f t="shared" si="33"/>
        <v>154</v>
      </c>
      <c r="AI198" s="32" t="s">
        <v>1410</v>
      </c>
      <c r="AJ198" s="32">
        <f t="shared" si="43"/>
        <v>11</v>
      </c>
      <c r="AK198" s="37">
        <f t="shared" si="10"/>
        <v>0.909651595</v>
      </c>
      <c r="AL198" s="38">
        <f t="shared" si="11"/>
        <v>0.9829390237</v>
      </c>
      <c r="AM198" s="38">
        <f>sumifs('WL Matrix 2'!T:T,'WL Matrix 2'!B:B,A198,'WL Matrix 2'!C:C,C198,'WL Matrix 2'!M:M,"Regular Season")</f>
        <v>48</v>
      </c>
    </row>
    <row r="199" ht="14.25" customHeight="1">
      <c r="A199" s="49">
        <v>2025.0</v>
      </c>
      <c r="B199" s="60">
        <v>45658.0</v>
      </c>
      <c r="C199" s="13" t="s">
        <v>72</v>
      </c>
      <c r="D199" s="32" t="s">
        <v>1440</v>
      </c>
      <c r="E199" s="69" t="str">
        <f t="shared" si="27"/>
        <v>Coch_Au Vin - 2025</v>
      </c>
      <c r="F199" s="49" t="s">
        <v>1121</v>
      </c>
      <c r="G199" s="49" t="s">
        <v>1441</v>
      </c>
      <c r="H199" s="49" t="s">
        <v>1442</v>
      </c>
      <c r="I199" s="49" t="s">
        <v>1369</v>
      </c>
      <c r="J199" s="13" t="s">
        <v>9</v>
      </c>
      <c r="K199" s="13"/>
      <c r="L199" s="73">
        <v>3.0</v>
      </c>
      <c r="M199" s="73">
        <v>6.0</v>
      </c>
      <c r="N199" s="59">
        <f t="shared" si="38"/>
        <v>6</v>
      </c>
      <c r="O199" s="49">
        <v>14.0</v>
      </c>
      <c r="P199" s="76">
        <f>sumifs('WL Matrix 2'!L:L,'WL Matrix 2'!B:B,A199,'WL Matrix 2'!C:C,C199,'WL Matrix 2'!M:M,"Regular Season")</f>
        <v>8</v>
      </c>
      <c r="Q199" s="76">
        <f t="shared" si="42"/>
        <v>6</v>
      </c>
      <c r="R199" s="77">
        <f>sumifs('WL Matrix 2'!J:J,'WL Matrix 2'!B:B,A199,'WL Matrix 2'!C:C,C199,'WL Matrix 2'!M:M,"Regular Season")</f>
        <v>1542.18</v>
      </c>
      <c r="S199" s="58">
        <f>sumifs('WL Matrix 2'!K:K,'WL Matrix 2'!B:B,A199,'WL Matrix 2'!C:C,C199)</f>
        <v>1750.5</v>
      </c>
      <c r="T199" s="13" t="s">
        <v>428</v>
      </c>
      <c r="U199" s="13" t="s">
        <v>429</v>
      </c>
      <c r="W199" s="62">
        <v>170.0</v>
      </c>
      <c r="X199" s="63"/>
      <c r="Y199" s="71">
        <f t="shared" si="30"/>
        <v>-170</v>
      </c>
      <c r="Z199">
        <f t="shared" si="35"/>
        <v>0</v>
      </c>
      <c r="AA199" s="6">
        <f t="shared" si="6"/>
        <v>1</v>
      </c>
      <c r="AB199">
        <f>VLOOKUP("2023"&amp;C199&amp;O199,'WL Matrix 2'!A:L,12,0)</f>
        <v>0</v>
      </c>
      <c r="AC199" s="72">
        <f t="shared" si="7"/>
        <v>1185.545</v>
      </c>
      <c r="AD199" s="6">
        <f t="shared" si="8"/>
        <v>0</v>
      </c>
      <c r="AF199">
        <f>sumifs('WL Matrix 2'!T:T,'WL Matrix 2'!B:B,A199,'WL Matrix 2'!C:C,C199,'WL Matrix 2'!M:M,"Regular Season")</f>
        <v>83</v>
      </c>
      <c r="AG199">
        <f t="shared" si="13"/>
        <v>71</v>
      </c>
      <c r="AH199">
        <f t="shared" si="33"/>
        <v>154</v>
      </c>
      <c r="AI199" s="32" t="s">
        <v>1410</v>
      </c>
      <c r="AJ199" s="32">
        <f t="shared" si="43"/>
        <v>4</v>
      </c>
      <c r="AK199" s="37">
        <f t="shared" si="10"/>
        <v>1.049830495</v>
      </c>
      <c r="AL199" s="38">
        <f t="shared" si="11"/>
        <v>0.9924754055</v>
      </c>
      <c r="AM199" s="38">
        <f>sumifs('WL Matrix 2'!T:T,'WL Matrix 2'!B:B,A199,'WL Matrix 2'!C:C,C199,'WL Matrix 2'!M:M,"Regular Season")</f>
        <v>83</v>
      </c>
    </row>
    <row r="200" ht="14.25" customHeight="1">
      <c r="A200" s="49">
        <v>2025.0</v>
      </c>
      <c r="B200" s="60">
        <v>45658.0</v>
      </c>
      <c r="C200" s="13" t="s">
        <v>76</v>
      </c>
      <c r="D200" s="49" t="s">
        <v>1449</v>
      </c>
      <c r="E200" s="69" t="str">
        <f t="shared" si="27"/>
        <v>Eiffel Bowers - 2025</v>
      </c>
      <c r="F200" s="49" t="s">
        <v>975</v>
      </c>
      <c r="G200" s="49" t="s">
        <v>1451</v>
      </c>
      <c r="H200" s="49" t="s">
        <v>1452</v>
      </c>
      <c r="I200" s="49" t="s">
        <v>1387</v>
      </c>
      <c r="J200" s="13" t="s">
        <v>9</v>
      </c>
      <c r="K200" s="13"/>
      <c r="L200" s="8">
        <f>rank(AF200,$AF$194:$AF$205,0)</f>
        <v>8</v>
      </c>
      <c r="M200" s="73">
        <v>9.0</v>
      </c>
      <c r="N200" s="59">
        <f t="shared" si="38"/>
        <v>8</v>
      </c>
      <c r="O200" s="49">
        <v>14.0</v>
      </c>
      <c r="P200" s="76">
        <f>sumifs('WL Matrix 2'!L:L,'WL Matrix 2'!B:B,A200,'WL Matrix 2'!C:C,C200,'WL Matrix 2'!M:M,"Regular Season")</f>
        <v>7</v>
      </c>
      <c r="Q200" s="76">
        <f t="shared" si="42"/>
        <v>7</v>
      </c>
      <c r="R200" s="77">
        <f>sumifs('WL Matrix 2'!J:J,'WL Matrix 2'!B:B,A200,'WL Matrix 2'!C:C,C200,'WL Matrix 2'!M:M,"Regular Season")</f>
        <v>1437.36</v>
      </c>
      <c r="S200" s="58">
        <f>sumifs('WL Matrix 2'!K:K,'WL Matrix 2'!B:B,A200,'WL Matrix 2'!C:C,C200)</f>
        <v>1833.98</v>
      </c>
      <c r="T200" s="13" t="s">
        <v>588</v>
      </c>
      <c r="U200" s="13" t="s">
        <v>589</v>
      </c>
      <c r="W200" s="62">
        <v>170.0</v>
      </c>
      <c r="X200" s="63"/>
      <c r="Y200" s="71">
        <f t="shared" si="30"/>
        <v>-170</v>
      </c>
      <c r="Z200">
        <f t="shared" si="35"/>
        <v>0</v>
      </c>
      <c r="AA200" s="6">
        <f t="shared" si="6"/>
        <v>0</v>
      </c>
      <c r="AB200">
        <f>VLOOKUP("2023"&amp;C200&amp;O200,'WL Matrix 2'!A:L,12,0)</f>
        <v>1</v>
      </c>
      <c r="AC200" s="72">
        <f t="shared" si="7"/>
        <v>1059.34</v>
      </c>
      <c r="AD200" s="6">
        <f t="shared" si="8"/>
        <v>0</v>
      </c>
      <c r="AF200">
        <f>sumifs('WL Matrix 2'!T:T,'WL Matrix 2'!B:B,A200,'WL Matrix 2'!C:C,C200,'WL Matrix 2'!M:M,"Regular Season")</f>
        <v>76</v>
      </c>
      <c r="AG200">
        <f t="shared" si="13"/>
        <v>78</v>
      </c>
      <c r="AH200">
        <f t="shared" si="33"/>
        <v>154</v>
      </c>
      <c r="AI200" s="32" t="s">
        <v>1410</v>
      </c>
      <c r="AJ200" s="32">
        <f t="shared" si="43"/>
        <v>9</v>
      </c>
      <c r="AK200" s="37">
        <f t="shared" si="10"/>
        <v>0.9784748601</v>
      </c>
      <c r="AL200" s="38">
        <f t="shared" si="11"/>
        <v>1.039805795</v>
      </c>
      <c r="AM200" s="38">
        <f>sumifs('WL Matrix 2'!T:T,'WL Matrix 2'!B:B,A200,'WL Matrix 2'!C:C,C200,'WL Matrix 2'!M:M,"Regular Season")</f>
        <v>76</v>
      </c>
    </row>
    <row r="201" ht="14.25" customHeight="1">
      <c r="A201" s="49">
        <v>2025.0</v>
      </c>
      <c r="B201" s="60">
        <v>45658.0</v>
      </c>
      <c r="C201" s="13" t="s">
        <v>108</v>
      </c>
      <c r="D201" s="32" t="s">
        <v>1460</v>
      </c>
      <c r="E201" s="69" t="str">
        <f t="shared" si="27"/>
        <v>Merci Bo-coup - 2025</v>
      </c>
      <c r="F201" s="49" t="s">
        <v>1461</v>
      </c>
      <c r="G201" s="49" t="s">
        <v>1342</v>
      </c>
      <c r="H201" s="32" t="s">
        <v>1320</v>
      </c>
      <c r="I201" s="49" t="s">
        <v>1462</v>
      </c>
      <c r="J201" s="13" t="s">
        <v>9</v>
      </c>
      <c r="K201" s="13"/>
      <c r="L201" s="73">
        <v>4.0</v>
      </c>
      <c r="M201" s="73">
        <v>4.0</v>
      </c>
      <c r="N201" s="59">
        <f t="shared" si="38"/>
        <v>4</v>
      </c>
      <c r="O201" s="49">
        <v>14.0</v>
      </c>
      <c r="P201" s="76">
        <f>sumifs('WL Matrix 2'!L:L,'WL Matrix 2'!B:B,A201,'WL Matrix 2'!C:C,C201,'WL Matrix 2'!M:M,"Regular Season")</f>
        <v>8</v>
      </c>
      <c r="Q201" s="76">
        <f t="shared" si="42"/>
        <v>6</v>
      </c>
      <c r="R201" s="77">
        <f>sumifs('WL Matrix 2'!J:J,'WL Matrix 2'!B:B,A201,'WL Matrix 2'!C:C,C201,'WL Matrix 2'!M:M,"Regular Season")</f>
        <v>1511.08</v>
      </c>
      <c r="S201" s="58">
        <f>sumifs('WL Matrix 2'!K:K,'WL Matrix 2'!B:B,A201,'WL Matrix 2'!C:C,C201)</f>
        <v>1747.82</v>
      </c>
      <c r="T201" s="13" t="s">
        <v>1315</v>
      </c>
      <c r="U201" s="13" t="s">
        <v>429</v>
      </c>
      <c r="W201" s="62">
        <v>170.0</v>
      </c>
      <c r="X201" s="63"/>
      <c r="Y201" s="71">
        <f t="shared" si="30"/>
        <v>-170</v>
      </c>
      <c r="Z201">
        <f t="shared" si="35"/>
        <v>0</v>
      </c>
      <c r="AA201" s="6">
        <f t="shared" si="6"/>
        <v>1</v>
      </c>
      <c r="AB201">
        <f>VLOOKUP("2023"&amp;C201&amp;O201,'WL Matrix 2'!A:L,12,0)</f>
        <v>1</v>
      </c>
      <c r="AC201" s="72">
        <f t="shared" si="7"/>
        <v>1177.77</v>
      </c>
      <c r="AD201" s="6">
        <f t="shared" si="8"/>
        <v>0</v>
      </c>
      <c r="AF201">
        <f>sumifs('WL Matrix 2'!T:T,'WL Matrix 2'!B:B,A201,'WL Matrix 2'!C:C,C201,'WL Matrix 2'!M:M,"Regular Season")</f>
        <v>79</v>
      </c>
      <c r="AG201">
        <f t="shared" si="13"/>
        <v>75</v>
      </c>
      <c r="AH201">
        <f t="shared" si="33"/>
        <v>154</v>
      </c>
      <c r="AI201" s="32" t="s">
        <v>1410</v>
      </c>
      <c r="AJ201" s="32">
        <f t="shared" si="43"/>
        <v>5</v>
      </c>
      <c r="AK201" s="37">
        <f t="shared" si="10"/>
        <v>1.028659342</v>
      </c>
      <c r="AL201" s="38">
        <f t="shared" si="11"/>
        <v>0.9909559344</v>
      </c>
      <c r="AM201" s="38">
        <f>sumifs('WL Matrix 2'!T:T,'WL Matrix 2'!B:B,A201,'WL Matrix 2'!C:C,C201,'WL Matrix 2'!M:M,"Regular Season")</f>
        <v>79</v>
      </c>
    </row>
    <row r="202" ht="14.25" customHeight="1">
      <c r="A202" s="49">
        <v>2025.0</v>
      </c>
      <c r="B202" s="60">
        <v>45658.0</v>
      </c>
      <c r="C202" s="13" t="s">
        <v>82</v>
      </c>
      <c r="D202" s="49" t="s">
        <v>1471</v>
      </c>
      <c r="E202" s="69" t="str">
        <f t="shared" si="27"/>
        <v>Oui How - 2025</v>
      </c>
      <c r="F202" s="49" t="s">
        <v>889</v>
      </c>
      <c r="G202" s="49" t="s">
        <v>1472</v>
      </c>
      <c r="H202" s="49" t="s">
        <v>1036</v>
      </c>
      <c r="I202" s="49" t="s">
        <v>1473</v>
      </c>
      <c r="J202" s="13" t="s">
        <v>9</v>
      </c>
      <c r="K202" s="13"/>
      <c r="L202" s="8">
        <f t="shared" ref="L202:L203" si="44">rank(AF202,$AF$194:$AF$205,0)</f>
        <v>8</v>
      </c>
      <c r="M202" s="8">
        <v>8.0</v>
      </c>
      <c r="N202" s="59">
        <f t="shared" si="38"/>
        <v>8</v>
      </c>
      <c r="O202" s="49">
        <v>14.0</v>
      </c>
      <c r="P202" s="76">
        <f>sumifs('WL Matrix 2'!L:L,'WL Matrix 2'!B:B,A202,'WL Matrix 2'!C:C,C202,'WL Matrix 2'!M:M,"Regular Season")</f>
        <v>7</v>
      </c>
      <c r="Q202" s="76">
        <f t="shared" si="42"/>
        <v>7</v>
      </c>
      <c r="R202" s="77">
        <f>sumifs('WL Matrix 2'!J:J,'WL Matrix 2'!B:B,A202,'WL Matrix 2'!C:C,C202,'WL Matrix 2'!M:M,"Regular Season")</f>
        <v>1441</v>
      </c>
      <c r="S202" s="58">
        <f>sumifs('WL Matrix 2'!K:K,'WL Matrix 2'!B:B,A202,'WL Matrix 2'!C:C,C202)</f>
        <v>1733.98</v>
      </c>
      <c r="T202" s="13" t="s">
        <v>428</v>
      </c>
      <c r="U202" s="13" t="s">
        <v>429</v>
      </c>
      <c r="W202" s="62">
        <v>170.0</v>
      </c>
      <c r="X202" s="63"/>
      <c r="Y202" s="71">
        <f t="shared" si="30"/>
        <v>-170</v>
      </c>
      <c r="Z202">
        <f t="shared" si="35"/>
        <v>0</v>
      </c>
      <c r="AA202" s="6">
        <f t="shared" si="6"/>
        <v>0</v>
      </c>
      <c r="AB202">
        <f>VLOOKUP("2023"&amp;C202&amp;O202,'WL Matrix 2'!A:L,12,0)</f>
        <v>0</v>
      </c>
      <c r="AC202" s="72">
        <f t="shared" si="7"/>
        <v>1060.25</v>
      </c>
      <c r="AD202" s="6">
        <f t="shared" si="8"/>
        <v>0</v>
      </c>
      <c r="AF202">
        <f>sumifs('WL Matrix 2'!T:T,'WL Matrix 2'!B:B,A202,'WL Matrix 2'!C:C,C202,'WL Matrix 2'!M:M,"Regular Season")</f>
        <v>76</v>
      </c>
      <c r="AG202">
        <f t="shared" si="13"/>
        <v>78</v>
      </c>
      <c r="AH202">
        <f t="shared" si="33"/>
        <v>154</v>
      </c>
      <c r="AI202" s="32" t="s">
        <v>1410</v>
      </c>
      <c r="AJ202" s="32">
        <f t="shared" si="43"/>
        <v>8</v>
      </c>
      <c r="AK202" s="37">
        <f t="shared" si="10"/>
        <v>0.9809527699</v>
      </c>
      <c r="AL202" s="38">
        <f t="shared" si="11"/>
        <v>0.9831091137</v>
      </c>
      <c r="AM202" s="38">
        <f>sumifs('WL Matrix 2'!T:T,'WL Matrix 2'!B:B,A202,'WL Matrix 2'!C:C,C202,'WL Matrix 2'!M:M,"Regular Season")</f>
        <v>76</v>
      </c>
    </row>
    <row r="203" ht="14.25" customHeight="1">
      <c r="A203" s="49">
        <v>2025.0</v>
      </c>
      <c r="B203" s="60">
        <v>45658.0</v>
      </c>
      <c r="C203" s="13" t="s">
        <v>86</v>
      </c>
      <c r="D203" s="32" t="s">
        <v>1483</v>
      </c>
      <c r="E203" s="69" t="str">
        <f t="shared" si="27"/>
        <v>Je Ne Saquon - 2025</v>
      </c>
      <c r="F203" s="49" t="s">
        <v>1279</v>
      </c>
      <c r="G203" s="49" t="s">
        <v>854</v>
      </c>
      <c r="H203" s="49" t="s">
        <v>1153</v>
      </c>
      <c r="I203" s="49" t="s">
        <v>920</v>
      </c>
      <c r="J203" s="13" t="s">
        <v>9</v>
      </c>
      <c r="K203" s="13"/>
      <c r="L203" s="8">
        <f t="shared" si="44"/>
        <v>10</v>
      </c>
      <c r="M203" s="8">
        <v>10.0</v>
      </c>
      <c r="N203" s="59">
        <f t="shared" si="38"/>
        <v>10</v>
      </c>
      <c r="O203" s="49">
        <v>14.0</v>
      </c>
      <c r="P203" s="76">
        <f>sumifs('WL Matrix 2'!L:L,'WL Matrix 2'!B:B,A203,'WL Matrix 2'!C:C,C203,'WL Matrix 2'!M:M,"Regular Season")</f>
        <v>7</v>
      </c>
      <c r="Q203" s="76">
        <f t="shared" si="42"/>
        <v>7</v>
      </c>
      <c r="R203" s="77">
        <f>sumifs('WL Matrix 2'!J:J,'WL Matrix 2'!B:B,A203,'WL Matrix 2'!C:C,C203,'WL Matrix 2'!M:M,"Regular Season")</f>
        <v>1426.86</v>
      </c>
      <c r="S203" s="58">
        <f>sumifs('WL Matrix 2'!K:K,'WL Matrix 2'!B:B,A203,'WL Matrix 2'!C:C,C203)</f>
        <v>1721.94</v>
      </c>
      <c r="T203" s="13" t="s">
        <v>428</v>
      </c>
      <c r="U203" s="13" t="s">
        <v>429</v>
      </c>
      <c r="W203" s="62">
        <v>170.0</v>
      </c>
      <c r="X203" s="63"/>
      <c r="Y203" s="71">
        <f t="shared" si="30"/>
        <v>-170</v>
      </c>
      <c r="Z203">
        <f t="shared" si="35"/>
        <v>0</v>
      </c>
      <c r="AA203" s="6">
        <f t="shared" si="6"/>
        <v>0</v>
      </c>
      <c r="AB203">
        <f>VLOOKUP("2023"&amp;C203&amp;O203,'WL Matrix 2'!A:L,12,0)</f>
        <v>1</v>
      </c>
      <c r="AC203" s="72">
        <f t="shared" si="7"/>
        <v>1056.715</v>
      </c>
      <c r="AD203" s="6">
        <f t="shared" si="8"/>
        <v>0</v>
      </c>
      <c r="AF203">
        <f>sumifs('WL Matrix 2'!T:T,'WL Matrix 2'!B:B,A203,'WL Matrix 2'!C:C,C203,'WL Matrix 2'!M:M,"Regular Season")</f>
        <v>74</v>
      </c>
      <c r="AG203">
        <f t="shared" si="13"/>
        <v>80</v>
      </c>
      <c r="AH203">
        <f t="shared" si="33"/>
        <v>154</v>
      </c>
      <c r="AI203" s="32" t="s">
        <v>1410</v>
      </c>
      <c r="AJ203" s="32">
        <f t="shared" si="43"/>
        <v>10</v>
      </c>
      <c r="AK203" s="37">
        <f t="shared" si="10"/>
        <v>0.9713270433</v>
      </c>
      <c r="AL203" s="38">
        <f t="shared" si="11"/>
        <v>0.9762828333</v>
      </c>
      <c r="AM203" s="38">
        <f>sumifs('WL Matrix 2'!T:T,'WL Matrix 2'!B:B,A203,'WL Matrix 2'!C:C,C203,'WL Matrix 2'!M:M,"Regular Season")</f>
        <v>74</v>
      </c>
    </row>
    <row r="204" ht="14.25" customHeight="1">
      <c r="A204" s="49">
        <v>2025.0</v>
      </c>
      <c r="B204" s="60">
        <v>45658.0</v>
      </c>
      <c r="C204" s="13" t="s">
        <v>89</v>
      </c>
      <c r="D204" s="49" t="s">
        <v>1489</v>
      </c>
      <c r="E204" s="69" t="str">
        <f t="shared" si="27"/>
        <v>Jeanty d'Arc - 2025</v>
      </c>
      <c r="F204" s="49" t="s">
        <v>1358</v>
      </c>
      <c r="G204" s="49" t="s">
        <v>997</v>
      </c>
      <c r="H204" s="49" t="s">
        <v>1490</v>
      </c>
      <c r="I204" s="49" t="s">
        <v>823</v>
      </c>
      <c r="J204" s="13" t="s">
        <v>9</v>
      </c>
      <c r="K204" s="13"/>
      <c r="L204" s="73">
        <v>5.0</v>
      </c>
      <c r="M204" s="73">
        <v>5.0</v>
      </c>
      <c r="N204" s="59">
        <f t="shared" si="38"/>
        <v>5</v>
      </c>
      <c r="O204" s="49">
        <v>14.0</v>
      </c>
      <c r="P204" s="76">
        <f>sumifs('WL Matrix 2'!L:L,'WL Matrix 2'!B:B,A204,'WL Matrix 2'!C:C,C204,'WL Matrix 2'!M:M,"Regular Season")</f>
        <v>8</v>
      </c>
      <c r="Q204" s="76">
        <f t="shared" si="42"/>
        <v>6</v>
      </c>
      <c r="R204" s="77">
        <f>sumifs('WL Matrix 2'!J:J,'WL Matrix 2'!B:B,A204,'WL Matrix 2'!C:C,C204,'WL Matrix 2'!M:M,"Regular Season")</f>
        <v>1489.84</v>
      </c>
      <c r="S204" s="58">
        <f>sumifs('WL Matrix 2'!K:K,'WL Matrix 2'!B:B,A204,'WL Matrix 2'!C:C,C204)</f>
        <v>1757.1</v>
      </c>
      <c r="T204" s="13" t="s">
        <v>546</v>
      </c>
      <c r="U204" s="13" t="s">
        <v>46</v>
      </c>
      <c r="W204" s="62">
        <v>170.0</v>
      </c>
      <c r="X204" s="63"/>
      <c r="Y204" s="71">
        <f t="shared" si="30"/>
        <v>-170</v>
      </c>
      <c r="Z204">
        <f t="shared" si="35"/>
        <v>0</v>
      </c>
      <c r="AA204" s="6">
        <f t="shared" si="6"/>
        <v>1</v>
      </c>
      <c r="AB204">
        <f>VLOOKUP("2023"&amp;C204&amp;O204,'WL Matrix 2'!A:L,12,0)</f>
        <v>1</v>
      </c>
      <c r="AC204" s="72">
        <f t="shared" si="7"/>
        <v>1172.46</v>
      </c>
      <c r="AD204" s="6">
        <f t="shared" si="8"/>
        <v>0</v>
      </c>
      <c r="AF204">
        <f>sumifs('WL Matrix 2'!T:T,'WL Matrix 2'!B:B,A204,'WL Matrix 2'!C:C,C204,'WL Matrix 2'!M:M,"Regular Season")</f>
        <v>83</v>
      </c>
      <c r="AG204">
        <f t="shared" si="13"/>
        <v>71</v>
      </c>
      <c r="AH204">
        <f t="shared" si="33"/>
        <v>154</v>
      </c>
      <c r="AI204" s="32" t="s">
        <v>1410</v>
      </c>
      <c r="AJ204" s="32">
        <f t="shared" si="43"/>
        <v>6</v>
      </c>
      <c r="AK204" s="37">
        <f t="shared" si="10"/>
        <v>1.014200329</v>
      </c>
      <c r="AL204" s="38">
        <f t="shared" si="11"/>
        <v>0.9962173864</v>
      </c>
      <c r="AM204" s="38">
        <f>sumifs('WL Matrix 2'!T:T,'WL Matrix 2'!B:B,A204,'WL Matrix 2'!C:C,C204,'WL Matrix 2'!M:M,"Regular Season")</f>
        <v>83</v>
      </c>
    </row>
    <row r="205" ht="14.25" customHeight="1">
      <c r="A205" s="49">
        <v>2025.0</v>
      </c>
      <c r="B205" s="60">
        <v>45658.0</v>
      </c>
      <c r="C205" s="13" t="s">
        <v>92</v>
      </c>
      <c r="D205" s="49" t="s">
        <v>1495</v>
      </c>
      <c r="E205" s="69" t="str">
        <f t="shared" si="27"/>
        <v>Bijon Mustard - 2025</v>
      </c>
      <c r="F205" s="49" t="s">
        <v>853</v>
      </c>
      <c r="G205" s="49" t="s">
        <v>1327</v>
      </c>
      <c r="H205" s="49" t="s">
        <v>1235</v>
      </c>
      <c r="I205" s="49" t="s">
        <v>587</v>
      </c>
      <c r="J205" s="13" t="s">
        <v>9</v>
      </c>
      <c r="K205" s="13"/>
      <c r="L205" s="8">
        <f>rank(AF205,$AF$194:$AF$205,0)</f>
        <v>7</v>
      </c>
      <c r="M205" s="8">
        <v>7.0</v>
      </c>
      <c r="N205" s="59">
        <f t="shared" si="38"/>
        <v>7</v>
      </c>
      <c r="O205" s="49">
        <v>14.0</v>
      </c>
      <c r="P205" s="76">
        <f>sumifs('WL Matrix 2'!L:L,'WL Matrix 2'!B:B,A205,'WL Matrix 2'!C:C,C205,'WL Matrix 2'!M:M,"Regular Season")</f>
        <v>5</v>
      </c>
      <c r="Q205" s="76">
        <f t="shared" si="42"/>
        <v>9</v>
      </c>
      <c r="R205" s="77">
        <f>sumifs('WL Matrix 2'!J:J,'WL Matrix 2'!B:B,A205,'WL Matrix 2'!C:C,C205,'WL Matrix 2'!M:M,"Regular Season")</f>
        <v>1486.12</v>
      </c>
      <c r="S205" s="58">
        <f>sumifs('WL Matrix 2'!K:K,'WL Matrix 2'!B:B,A205,'WL Matrix 2'!C:C,C205)</f>
        <v>1844.26</v>
      </c>
      <c r="T205" s="13" t="s">
        <v>1169</v>
      </c>
      <c r="U205" s="13" t="s">
        <v>1170</v>
      </c>
      <c r="W205" s="62">
        <v>170.0</v>
      </c>
      <c r="X205" s="63"/>
      <c r="Y205" s="71">
        <f t="shared" si="30"/>
        <v>-170</v>
      </c>
      <c r="Z205">
        <f t="shared" si="35"/>
        <v>0</v>
      </c>
      <c r="AA205" s="6">
        <f t="shared" si="6"/>
        <v>0</v>
      </c>
      <c r="AB205">
        <f>VLOOKUP("2023"&amp;C205&amp;O205,'WL Matrix 2'!A:L,12,0)</f>
        <v>0</v>
      </c>
      <c r="AC205" s="72">
        <f t="shared" si="7"/>
        <v>871.53</v>
      </c>
      <c r="AD205" s="6">
        <f t="shared" si="8"/>
        <v>0</v>
      </c>
      <c r="AF205">
        <f>sumifs('WL Matrix 2'!T:T,'WL Matrix 2'!B:B,A205,'WL Matrix 2'!C:C,C205,'WL Matrix 2'!M:M,"Regular Season")</f>
        <v>77</v>
      </c>
      <c r="AG205">
        <f t="shared" si="13"/>
        <v>77</v>
      </c>
      <c r="AH205">
        <f t="shared" si="33"/>
        <v>154</v>
      </c>
      <c r="AI205" s="32" t="s">
        <v>1410</v>
      </c>
      <c r="AJ205" s="32">
        <f t="shared" si="43"/>
        <v>7</v>
      </c>
      <c r="AK205" s="37">
        <f t="shared" si="10"/>
        <v>1.01166796</v>
      </c>
      <c r="AL205" s="38">
        <f t="shared" si="11"/>
        <v>1.045634214</v>
      </c>
      <c r="AM205" s="38">
        <f>sumifs('WL Matrix 2'!T:T,'WL Matrix 2'!B:B,A205,'WL Matrix 2'!C:C,C205,'WL Matrix 2'!M:M,"Regular Season")</f>
        <v>77</v>
      </c>
    </row>
    <row r="206" ht="14.25" customHeight="1">
      <c r="A206" s="49">
        <v>2026.0</v>
      </c>
      <c r="B206" s="60">
        <v>46023.0</v>
      </c>
      <c r="C206" s="13" t="s">
        <v>47</v>
      </c>
      <c r="D206" s="49" t="s">
        <v>1500</v>
      </c>
      <c r="E206" s="69" t="str">
        <f t="shared" si="27"/>
        <v>LaPorta Potties - 2026</v>
      </c>
      <c r="F206" s="49" t="s">
        <v>889</v>
      </c>
      <c r="G206" s="49" t="s">
        <v>1501</v>
      </c>
      <c r="H206" s="49" t="s">
        <v>1502</v>
      </c>
      <c r="I206" s="49" t="s">
        <v>1381</v>
      </c>
      <c r="J206" s="13" t="s">
        <v>9</v>
      </c>
      <c r="K206" s="13" t="s">
        <v>10</v>
      </c>
      <c r="L206" s="8">
        <f t="shared" ref="L206:L217" si="45">rank(AF206,$AF$206:$AF$217,0)</f>
        <v>6</v>
      </c>
      <c r="M206" s="8"/>
      <c r="N206" s="59" t="str">
        <f t="shared" si="38"/>
        <v/>
      </c>
      <c r="O206" s="49">
        <v>6.0</v>
      </c>
      <c r="P206" s="76">
        <f>sumifs('WL Matrix 2'!L:L,'WL Matrix 2'!B:B,A206,'WL Matrix 2'!C:C,C206,'WL Matrix 2'!M:M,"Regular Season")</f>
        <v>3</v>
      </c>
      <c r="Q206" s="76">
        <f t="shared" si="42"/>
        <v>3</v>
      </c>
      <c r="R206" s="77">
        <f>sumifs('WL Matrix 2'!J:J,'WL Matrix 2'!B:B,A206,'WL Matrix 2'!C:C,C206,'WL Matrix 2'!M:M,"Regular Season")</f>
        <v>544.26</v>
      </c>
      <c r="S206" s="58">
        <f>sumifs('WL Matrix 2'!K:K,'WL Matrix 2'!B:B,A206,'WL Matrix 2'!C:C,C206)</f>
        <v>531.48</v>
      </c>
      <c r="T206" s="13" t="s">
        <v>1169</v>
      </c>
      <c r="U206" s="13" t="s">
        <v>1170</v>
      </c>
      <c r="W206" s="62">
        <v>180.0</v>
      </c>
      <c r="X206" s="63"/>
      <c r="Y206" s="71">
        <f t="shared" si="30"/>
        <v>-180</v>
      </c>
      <c r="Z206">
        <f t="shared" si="35"/>
        <v>0</v>
      </c>
      <c r="AA206" s="6">
        <f t="shared" si="6"/>
        <v>1</v>
      </c>
      <c r="AB206">
        <f>VLOOKUP("2023"&amp;C206&amp;O206,'WL Matrix 2'!A:L,12,0)</f>
        <v>1</v>
      </c>
      <c r="AC206" s="72">
        <f t="shared" si="7"/>
        <v>436.065</v>
      </c>
      <c r="AD206" s="6">
        <f t="shared" si="8"/>
        <v>0</v>
      </c>
      <c r="AF206">
        <f>sumifs('WL Matrix 2'!T:T,'WL Matrix 2'!B:B,A206,'WL Matrix 2'!C:C,C206,'WL Matrix 2'!M:M,"Regular Season")</f>
        <v>38</v>
      </c>
      <c r="AG206">
        <f t="shared" si="13"/>
        <v>28</v>
      </c>
      <c r="AH206">
        <f t="shared" si="33"/>
        <v>66</v>
      </c>
      <c r="AI206" s="32" t="s">
        <v>1410</v>
      </c>
      <c r="AJ206" s="32">
        <f t="shared" ref="AJ206:AJ217" si="46">rank(R206,$R$206:$R$217)</f>
        <v>6</v>
      </c>
      <c r="AK206" s="37">
        <f t="shared" si="10"/>
        <v>1.00277289</v>
      </c>
      <c r="AL206" s="38">
        <f t="shared" si="11"/>
        <v>0.9792263544</v>
      </c>
      <c r="AM206" s="38">
        <f>sumifs('WL Matrix 2'!T:T,'WL Matrix 2'!B:B,A206,'WL Matrix 2'!C:C,C206,'WL Matrix 2'!M:M,"Regular Season")</f>
        <v>38</v>
      </c>
    </row>
    <row r="207" ht="14.25" customHeight="1">
      <c r="A207" s="49">
        <v>2026.0</v>
      </c>
      <c r="B207" s="60">
        <v>46023.0</v>
      </c>
      <c r="C207" s="13" t="s">
        <v>52</v>
      </c>
      <c r="D207" s="32" t="s">
        <v>1503</v>
      </c>
      <c r="E207" s="69" t="str">
        <f t="shared" si="27"/>
        <v>Weis Cookin Rice - 2026</v>
      </c>
      <c r="F207" s="49" t="s">
        <v>1082</v>
      </c>
      <c r="G207" s="32" t="s">
        <v>1295</v>
      </c>
      <c r="H207" s="49" t="s">
        <v>1504</v>
      </c>
      <c r="I207" s="49" t="s">
        <v>587</v>
      </c>
      <c r="J207" s="13" t="s">
        <v>9</v>
      </c>
      <c r="K207" s="13" t="s">
        <v>10</v>
      </c>
      <c r="L207" s="8">
        <f t="shared" si="45"/>
        <v>5</v>
      </c>
      <c r="M207" s="8"/>
      <c r="N207" s="59" t="str">
        <f t="shared" si="38"/>
        <v/>
      </c>
      <c r="O207" s="49">
        <v>6.0</v>
      </c>
      <c r="P207" s="76">
        <f>sumifs('WL Matrix 2'!L:L,'WL Matrix 2'!B:B,A207,'WL Matrix 2'!C:C,C207,'WL Matrix 2'!M:M,"Regular Season")</f>
        <v>2</v>
      </c>
      <c r="Q207" s="76">
        <f t="shared" si="42"/>
        <v>4</v>
      </c>
      <c r="R207" s="77">
        <f>sumifs('WL Matrix 2'!J:J,'WL Matrix 2'!B:B,A207,'WL Matrix 2'!C:C,C207,'WL Matrix 2'!M:M,"Regular Season")</f>
        <v>533.22</v>
      </c>
      <c r="S207" s="58">
        <f>sumifs('WL Matrix 2'!K:K,'WL Matrix 2'!B:B,A207,'WL Matrix 2'!C:C,C207)</f>
        <v>499.42</v>
      </c>
      <c r="T207" s="13" t="s">
        <v>1169</v>
      </c>
      <c r="U207" s="13" t="s">
        <v>1170</v>
      </c>
      <c r="W207" s="62">
        <v>180.0</v>
      </c>
      <c r="X207" s="63"/>
      <c r="Y207" s="71">
        <f t="shared" si="30"/>
        <v>-180</v>
      </c>
      <c r="Z207">
        <f t="shared" si="35"/>
        <v>0</v>
      </c>
      <c r="AA207" s="6">
        <f t="shared" si="6"/>
        <v>1</v>
      </c>
      <c r="AB207">
        <f>VLOOKUP("2023"&amp;C207&amp;O207,'WL Matrix 2'!A:L,12,0)</f>
        <v>1</v>
      </c>
      <c r="AC207" s="72">
        <f t="shared" si="7"/>
        <v>333.305</v>
      </c>
      <c r="AD207" s="6">
        <f t="shared" si="8"/>
        <v>0</v>
      </c>
      <c r="AF207">
        <f>sumifs('WL Matrix 2'!T:T,'WL Matrix 2'!B:B,A207,'WL Matrix 2'!C:C,C207,'WL Matrix 2'!M:M,"Regular Season")</f>
        <v>39</v>
      </c>
      <c r="AG207">
        <f t="shared" si="13"/>
        <v>27</v>
      </c>
      <c r="AH207">
        <f t="shared" si="33"/>
        <v>66</v>
      </c>
      <c r="AI207" s="32" t="s">
        <v>1410</v>
      </c>
      <c r="AJ207" s="32">
        <f t="shared" si="46"/>
        <v>7</v>
      </c>
      <c r="AK207" s="37">
        <f t="shared" si="10"/>
        <v>0.9824322208</v>
      </c>
      <c r="AL207" s="38">
        <f t="shared" si="11"/>
        <v>0.9201573454</v>
      </c>
      <c r="AM207" s="38">
        <f>sumifs('WL Matrix 2'!T:T,'WL Matrix 2'!B:B,A207,'WL Matrix 2'!C:C,C207,'WL Matrix 2'!M:M,"Regular Season")</f>
        <v>39</v>
      </c>
    </row>
    <row r="208" ht="14.25" customHeight="1">
      <c r="A208" s="49">
        <v>2026.0</v>
      </c>
      <c r="B208" s="60">
        <v>46023.0</v>
      </c>
      <c r="C208" s="13" t="s">
        <v>57</v>
      </c>
      <c r="D208" s="32" t="s">
        <v>1507</v>
      </c>
      <c r="E208" s="69" t="str">
        <f t="shared" si="27"/>
        <v>Stop and Smell Zay Flowers - 2026</v>
      </c>
      <c r="F208" s="49" t="s">
        <v>975</v>
      </c>
      <c r="G208" s="49" t="s">
        <v>1299</v>
      </c>
      <c r="H208" s="49" t="s">
        <v>1508</v>
      </c>
      <c r="I208" s="49" t="s">
        <v>1091</v>
      </c>
      <c r="J208" s="13" t="s">
        <v>9</v>
      </c>
      <c r="K208" s="13" t="s">
        <v>10</v>
      </c>
      <c r="L208" s="8">
        <f t="shared" si="45"/>
        <v>2</v>
      </c>
      <c r="M208" s="8"/>
      <c r="N208" s="59" t="str">
        <f t="shared" si="38"/>
        <v/>
      </c>
      <c r="O208" s="49">
        <v>6.0</v>
      </c>
      <c r="P208" s="76">
        <f>sumifs('WL Matrix 2'!L:L,'WL Matrix 2'!B:B,A208,'WL Matrix 2'!C:C,C208,'WL Matrix 2'!M:M,"Regular Season")</f>
        <v>4</v>
      </c>
      <c r="Q208" s="76">
        <f t="shared" si="42"/>
        <v>2</v>
      </c>
      <c r="R208" s="77">
        <f>sumifs('WL Matrix 2'!J:J,'WL Matrix 2'!B:B,A208,'WL Matrix 2'!C:C,C208,'WL Matrix 2'!M:M,"Regular Season")</f>
        <v>648.86</v>
      </c>
      <c r="S208" s="58">
        <f>sumifs('WL Matrix 2'!K:K,'WL Matrix 2'!B:B,A208,'WL Matrix 2'!C:C,C208)</f>
        <v>616.88</v>
      </c>
      <c r="T208" s="13" t="s">
        <v>1169</v>
      </c>
      <c r="U208" s="13" t="s">
        <v>1170</v>
      </c>
      <c r="W208" s="62">
        <v>180.0</v>
      </c>
      <c r="X208" s="63"/>
      <c r="Y208" s="71">
        <f t="shared" si="30"/>
        <v>-180</v>
      </c>
      <c r="Z208">
        <f t="shared" si="35"/>
        <v>0</v>
      </c>
      <c r="AA208" s="6">
        <f t="shared" si="6"/>
        <v>1</v>
      </c>
      <c r="AB208">
        <f>VLOOKUP("2023"&amp;C208&amp;O208,'WL Matrix 2'!A:L,12,0)</f>
        <v>1</v>
      </c>
      <c r="AC208" s="72">
        <f t="shared" si="7"/>
        <v>562.215</v>
      </c>
      <c r="AD208" s="6">
        <f t="shared" si="8"/>
        <v>0</v>
      </c>
      <c r="AF208">
        <f>sumifs('WL Matrix 2'!T:T,'WL Matrix 2'!B:B,A208,'WL Matrix 2'!C:C,C208,'WL Matrix 2'!M:M,"Regular Season")</f>
        <v>52</v>
      </c>
      <c r="AG208">
        <f t="shared" si="13"/>
        <v>14</v>
      </c>
      <c r="AH208">
        <f t="shared" si="33"/>
        <v>66</v>
      </c>
      <c r="AI208" s="32" t="s">
        <v>1410</v>
      </c>
      <c r="AJ208" s="32">
        <f t="shared" si="46"/>
        <v>1</v>
      </c>
      <c r="AK208" s="37">
        <f t="shared" si="10"/>
        <v>1.195493363</v>
      </c>
      <c r="AL208" s="38">
        <f t="shared" si="11"/>
        <v>1.13657175</v>
      </c>
      <c r="AM208" s="38">
        <f>sumifs('WL Matrix 2'!T:T,'WL Matrix 2'!B:B,A208,'WL Matrix 2'!C:C,C208,'WL Matrix 2'!M:M,"Regular Season")</f>
        <v>52</v>
      </c>
    </row>
    <row r="209" ht="14.25" customHeight="1">
      <c r="A209" s="49">
        <v>2026.0</v>
      </c>
      <c r="B209" s="60">
        <v>46023.0</v>
      </c>
      <c r="C209" s="13" t="s">
        <v>39</v>
      </c>
      <c r="D209" s="49" t="s">
        <v>1515</v>
      </c>
      <c r="E209" s="69" t="str">
        <f t="shared" si="27"/>
        <v>Pile of Monangai - 2026</v>
      </c>
      <c r="F209" s="49" t="s">
        <v>1256</v>
      </c>
      <c r="G209" s="49" t="s">
        <v>1075</v>
      </c>
      <c r="H209" s="49" t="s">
        <v>1153</v>
      </c>
      <c r="I209" s="49" t="s">
        <v>1369</v>
      </c>
      <c r="J209" s="13" t="s">
        <v>9</v>
      </c>
      <c r="K209" s="13" t="s">
        <v>10</v>
      </c>
      <c r="L209" s="8">
        <f t="shared" si="45"/>
        <v>1</v>
      </c>
      <c r="M209" s="8"/>
      <c r="N209" s="59" t="str">
        <f t="shared" si="38"/>
        <v/>
      </c>
      <c r="O209" s="49">
        <v>6.0</v>
      </c>
      <c r="P209" s="76">
        <f>sumifs('WL Matrix 2'!L:L,'WL Matrix 2'!B:B,A209,'WL Matrix 2'!C:C,C209,'WL Matrix 2'!M:M,"Regular Season")</f>
        <v>4</v>
      </c>
      <c r="Q209" s="76">
        <f t="shared" si="42"/>
        <v>2</v>
      </c>
      <c r="R209" s="77">
        <f>sumifs('WL Matrix 2'!J:J,'WL Matrix 2'!B:B,A209,'WL Matrix 2'!C:C,C209,'WL Matrix 2'!M:M,"Regular Season")</f>
        <v>629.24</v>
      </c>
      <c r="S209" s="58">
        <f>sumifs('WL Matrix 2'!K:K,'WL Matrix 2'!B:B,A209,'WL Matrix 2'!C:C,C209)</f>
        <v>574.08</v>
      </c>
      <c r="T209" s="13" t="s">
        <v>1169</v>
      </c>
      <c r="U209" s="13" t="s">
        <v>1170</v>
      </c>
      <c r="W209" s="62">
        <v>180.0</v>
      </c>
      <c r="X209" s="63"/>
      <c r="Y209" s="71">
        <f t="shared" si="30"/>
        <v>-180</v>
      </c>
      <c r="Z209">
        <f t="shared" si="35"/>
        <v>0</v>
      </c>
      <c r="AA209" s="6">
        <f t="shared" si="6"/>
        <v>1</v>
      </c>
      <c r="AB209">
        <f>VLOOKUP("2023"&amp;C209&amp;O209,'WL Matrix 2'!A:L,12,0)</f>
        <v>0</v>
      </c>
      <c r="AC209" s="72">
        <f t="shared" si="7"/>
        <v>557.31</v>
      </c>
      <c r="AD209" s="6">
        <f t="shared" si="8"/>
        <v>1</v>
      </c>
      <c r="AF209">
        <f>sumifs('WL Matrix 2'!T:T,'WL Matrix 2'!B:B,A209,'WL Matrix 2'!C:C,C209,'WL Matrix 2'!M:M,"Regular Season")</f>
        <v>54</v>
      </c>
      <c r="AG209">
        <f t="shared" si="13"/>
        <v>12</v>
      </c>
      <c r="AH209">
        <f t="shared" si="33"/>
        <v>66</v>
      </c>
      <c r="AI209" s="32" t="s">
        <v>1410</v>
      </c>
      <c r="AJ209" s="32">
        <f t="shared" si="46"/>
        <v>2</v>
      </c>
      <c r="AK209" s="37">
        <f t="shared" si="10"/>
        <v>1.159344456</v>
      </c>
      <c r="AL209" s="38">
        <f t="shared" si="11"/>
        <v>1.057714807</v>
      </c>
      <c r="AM209" s="38">
        <f>sumifs('WL Matrix 2'!T:T,'WL Matrix 2'!B:B,A209,'WL Matrix 2'!C:C,C209,'WL Matrix 2'!M:M,"Regular Season")</f>
        <v>54</v>
      </c>
    </row>
    <row r="210" ht="14.25" customHeight="1">
      <c r="A210" s="49">
        <v>2026.0</v>
      </c>
      <c r="B210" s="60">
        <v>46023.0</v>
      </c>
      <c r="C210" s="13" t="s">
        <v>67</v>
      </c>
      <c r="D210" s="32" t="s">
        <v>1521</v>
      </c>
      <c r="E210" s="69" t="str">
        <f t="shared" si="27"/>
        <v>B.O. - 2026</v>
      </c>
      <c r="F210" s="49" t="s">
        <v>1461</v>
      </c>
      <c r="G210" s="49" t="s">
        <v>1434</v>
      </c>
      <c r="H210" s="49" t="s">
        <v>1522</v>
      </c>
      <c r="I210" s="49" t="s">
        <v>1523</v>
      </c>
      <c r="J210" s="13" t="s">
        <v>9</v>
      </c>
      <c r="K210" s="13" t="s">
        <v>10</v>
      </c>
      <c r="L210" s="8">
        <f t="shared" si="45"/>
        <v>8</v>
      </c>
      <c r="M210" s="8"/>
      <c r="N210" s="59">
        <f t="shared" si="38"/>
        <v>8</v>
      </c>
      <c r="O210" s="49">
        <v>6.0</v>
      </c>
      <c r="P210" s="76">
        <f>sumifs('WL Matrix 2'!L:L,'WL Matrix 2'!B:B,A210,'WL Matrix 2'!C:C,C210,'WL Matrix 2'!M:M,"Regular Season")</f>
        <v>3</v>
      </c>
      <c r="Q210" s="76">
        <f t="shared" si="42"/>
        <v>3</v>
      </c>
      <c r="R210" s="77">
        <f>sumifs('WL Matrix 2'!J:J,'WL Matrix 2'!B:B,A210,'WL Matrix 2'!C:C,C210,'WL Matrix 2'!M:M,"Regular Season")</f>
        <v>520.42</v>
      </c>
      <c r="S210" s="58">
        <f>sumifs('WL Matrix 2'!K:K,'WL Matrix 2'!B:B,A210,'WL Matrix 2'!C:C,C210)</f>
        <v>585.46</v>
      </c>
      <c r="T210" s="13" t="s">
        <v>1169</v>
      </c>
      <c r="U210" s="13" t="s">
        <v>1170</v>
      </c>
      <c r="W210" s="62">
        <v>180.0</v>
      </c>
      <c r="X210" s="63"/>
      <c r="Y210" s="71">
        <f t="shared" si="30"/>
        <v>-180</v>
      </c>
      <c r="Z210">
        <f t="shared" si="35"/>
        <v>0</v>
      </c>
      <c r="AA210" s="6">
        <f t="shared" si="6"/>
        <v>0</v>
      </c>
      <c r="AB210">
        <f>VLOOKUP("2023"&amp;C210&amp;O210,'WL Matrix 2'!A:L,12,0)</f>
        <v>0</v>
      </c>
      <c r="AC210" s="72">
        <f t="shared" si="7"/>
        <v>430.105</v>
      </c>
      <c r="AD210" s="6">
        <f t="shared" si="8"/>
        <v>0</v>
      </c>
      <c r="AF210">
        <f>sumifs('WL Matrix 2'!T:T,'WL Matrix 2'!B:B,A210,'WL Matrix 2'!C:C,C210,'WL Matrix 2'!M:M,"Regular Season")</f>
        <v>37</v>
      </c>
      <c r="AG210">
        <f t="shared" si="13"/>
        <v>29</v>
      </c>
      <c r="AH210">
        <f t="shared" si="33"/>
        <v>66</v>
      </c>
      <c r="AI210" s="32" t="s">
        <v>1410</v>
      </c>
      <c r="AJ210" s="32">
        <f t="shared" si="46"/>
        <v>8</v>
      </c>
      <c r="AK210" s="37">
        <f t="shared" si="10"/>
        <v>0.958848836</v>
      </c>
      <c r="AL210" s="38">
        <f t="shared" si="11"/>
        <v>1.07868191</v>
      </c>
      <c r="AM210" s="38">
        <f>sumifs('WL Matrix 2'!T:T,'WL Matrix 2'!B:B,A210,'WL Matrix 2'!C:C,C210,'WL Matrix 2'!M:M,"Regular Season")</f>
        <v>37</v>
      </c>
    </row>
    <row r="211" ht="14.25" customHeight="1">
      <c r="A211" s="49">
        <v>2026.0</v>
      </c>
      <c r="B211" s="60">
        <v>46023.0</v>
      </c>
      <c r="C211" s="13" t="s">
        <v>72</v>
      </c>
      <c r="D211" s="49" t="s">
        <v>1528</v>
      </c>
      <c r="E211" s="69" t="str">
        <f t="shared" si="27"/>
        <v>Judkins Sp!ce Latte - 2026</v>
      </c>
      <c r="F211" s="49" t="s">
        <v>1121</v>
      </c>
      <c r="G211" s="49" t="s">
        <v>1441</v>
      </c>
      <c r="H211" s="49" t="s">
        <v>1405</v>
      </c>
      <c r="I211" s="49" t="s">
        <v>1529</v>
      </c>
      <c r="J211" s="13" t="s">
        <v>9</v>
      </c>
      <c r="K211" s="13" t="s">
        <v>10</v>
      </c>
      <c r="L211" s="8">
        <f t="shared" si="45"/>
        <v>12</v>
      </c>
      <c r="M211" s="8"/>
      <c r="N211" s="59">
        <f t="shared" si="38"/>
        <v>12</v>
      </c>
      <c r="O211" s="49">
        <v>6.0</v>
      </c>
      <c r="P211" s="76">
        <f>sumifs('WL Matrix 2'!L:L,'WL Matrix 2'!B:B,A211,'WL Matrix 2'!C:C,C211,'WL Matrix 2'!M:M,"Regular Season")</f>
        <v>1</v>
      </c>
      <c r="Q211" s="76">
        <f t="shared" si="42"/>
        <v>5</v>
      </c>
      <c r="R211" s="77">
        <f>sumifs('WL Matrix 2'!J:J,'WL Matrix 2'!B:B,A211,'WL Matrix 2'!C:C,C211,'WL Matrix 2'!M:M,"Regular Season")</f>
        <v>449.1</v>
      </c>
      <c r="S211" s="58">
        <f>sumifs('WL Matrix 2'!K:K,'WL Matrix 2'!B:B,A211,'WL Matrix 2'!C:C,C211)</f>
        <v>492.92</v>
      </c>
      <c r="T211" s="13" t="s">
        <v>1169</v>
      </c>
      <c r="U211" s="13" t="s">
        <v>1170</v>
      </c>
      <c r="W211" s="62">
        <v>180.0</v>
      </c>
      <c r="X211" s="63"/>
      <c r="Y211" s="71">
        <f t="shared" si="30"/>
        <v>-180</v>
      </c>
      <c r="Z211">
        <f t="shared" si="35"/>
        <v>0</v>
      </c>
      <c r="AA211" s="6">
        <f t="shared" si="6"/>
        <v>0</v>
      </c>
      <c r="AB211">
        <f>VLOOKUP("2023"&amp;C211&amp;O211,'WL Matrix 2'!A:L,12,0)</f>
        <v>0</v>
      </c>
      <c r="AC211" s="72">
        <f t="shared" si="7"/>
        <v>212.275</v>
      </c>
      <c r="AD211" s="6">
        <f t="shared" si="8"/>
        <v>0</v>
      </c>
      <c r="AF211">
        <f>sumifs('WL Matrix 2'!T:T,'WL Matrix 2'!B:B,A211,'WL Matrix 2'!C:C,C211,'WL Matrix 2'!M:M,"Regular Season")</f>
        <v>21</v>
      </c>
      <c r="AG211">
        <f t="shared" si="13"/>
        <v>45</v>
      </c>
      <c r="AH211">
        <f t="shared" si="33"/>
        <v>66</v>
      </c>
      <c r="AI211" s="32" t="s">
        <v>1410</v>
      </c>
      <c r="AJ211" s="32">
        <f t="shared" si="46"/>
        <v>11</v>
      </c>
      <c r="AK211" s="37">
        <f t="shared" si="10"/>
        <v>0.827445164</v>
      </c>
      <c r="AL211" s="38">
        <f t="shared" si="11"/>
        <v>0.9081814078</v>
      </c>
      <c r="AM211" s="38">
        <f>sumifs('WL Matrix 2'!T:T,'WL Matrix 2'!B:B,A211,'WL Matrix 2'!C:C,C211,'WL Matrix 2'!M:M,"Regular Season")</f>
        <v>21</v>
      </c>
    </row>
    <row r="212" ht="14.25" customHeight="1">
      <c r="A212" s="49">
        <v>2026.0</v>
      </c>
      <c r="B212" s="60">
        <v>46023.0</v>
      </c>
      <c r="C212" s="13" t="s">
        <v>76</v>
      </c>
      <c r="D212" s="49" t="s">
        <v>1536</v>
      </c>
      <c r="E212" s="69" t="str">
        <f t="shared" si="27"/>
        <v>P-Uka Nacua - 2026</v>
      </c>
      <c r="F212" s="49" t="s">
        <v>1414</v>
      </c>
      <c r="G212" s="49" t="s">
        <v>1537</v>
      </c>
      <c r="H212" s="49" t="s">
        <v>1538</v>
      </c>
      <c r="I212" s="49" t="s">
        <v>1387</v>
      </c>
      <c r="J212" s="13" t="s">
        <v>9</v>
      </c>
      <c r="K212" s="13" t="s">
        <v>10</v>
      </c>
      <c r="L212" s="8">
        <f t="shared" si="45"/>
        <v>6</v>
      </c>
      <c r="M212" s="8"/>
      <c r="N212" s="59" t="str">
        <f t="shared" si="38"/>
        <v/>
      </c>
      <c r="O212" s="49">
        <v>6.0</v>
      </c>
      <c r="P212" s="76">
        <f>sumifs('WL Matrix 2'!L:L,'WL Matrix 2'!B:B,A212,'WL Matrix 2'!C:C,C212,'WL Matrix 2'!M:M,"Regular Season")</f>
        <v>3</v>
      </c>
      <c r="Q212" s="76">
        <f t="shared" si="42"/>
        <v>3</v>
      </c>
      <c r="R212" s="77">
        <f>sumifs('WL Matrix 2'!J:J,'WL Matrix 2'!B:B,A212,'WL Matrix 2'!C:C,C212,'WL Matrix 2'!M:M,"Regular Season")</f>
        <v>545.5</v>
      </c>
      <c r="S212" s="58">
        <f>sumifs('WL Matrix 2'!K:K,'WL Matrix 2'!B:B,A212,'WL Matrix 2'!C:C,C212)</f>
        <v>488.04</v>
      </c>
      <c r="T212" s="13" t="s">
        <v>1169</v>
      </c>
      <c r="U212" s="13" t="s">
        <v>1170</v>
      </c>
      <c r="W212" s="62">
        <v>180.0</v>
      </c>
      <c r="X212" s="63"/>
      <c r="Y212" s="71">
        <f t="shared" si="30"/>
        <v>-180</v>
      </c>
      <c r="Z212">
        <f t="shared" si="35"/>
        <v>0</v>
      </c>
      <c r="AA212" s="6">
        <f t="shared" si="6"/>
        <v>1</v>
      </c>
      <c r="AB212">
        <f>VLOOKUP("2023"&amp;C212&amp;O212,'WL Matrix 2'!A:L,12,0)</f>
        <v>1</v>
      </c>
      <c r="AC212" s="72">
        <f t="shared" si="7"/>
        <v>436.375</v>
      </c>
      <c r="AD212" s="6">
        <f t="shared" si="8"/>
        <v>0</v>
      </c>
      <c r="AF212">
        <f>sumifs('WL Matrix 2'!T:T,'WL Matrix 2'!B:B,A212,'WL Matrix 2'!C:C,C212,'WL Matrix 2'!M:M,"Regular Season")</f>
        <v>38</v>
      </c>
      <c r="AG212">
        <f t="shared" si="13"/>
        <v>28</v>
      </c>
      <c r="AH212">
        <f t="shared" si="33"/>
        <v>66</v>
      </c>
      <c r="AI212" s="32" t="s">
        <v>1410</v>
      </c>
      <c r="AJ212" s="32">
        <f t="shared" si="46"/>
        <v>5</v>
      </c>
      <c r="AK212" s="37">
        <f t="shared" si="10"/>
        <v>1.005057531</v>
      </c>
      <c r="AL212" s="38">
        <f t="shared" si="11"/>
        <v>0.8991902424</v>
      </c>
      <c r="AM212" s="38">
        <f>sumifs('WL Matrix 2'!T:T,'WL Matrix 2'!B:B,A212,'WL Matrix 2'!C:C,C212,'WL Matrix 2'!M:M,"Regular Season")</f>
        <v>38</v>
      </c>
    </row>
    <row r="213" ht="14.25" customHeight="1">
      <c r="A213" s="49">
        <v>2026.0</v>
      </c>
      <c r="B213" s="60">
        <v>46023.0</v>
      </c>
      <c r="C213" s="13" t="s">
        <v>108</v>
      </c>
      <c r="D213" s="49" t="s">
        <v>1545</v>
      </c>
      <c r="E213" s="69" t="str">
        <f t="shared" si="27"/>
        <v>FeBreece - 2026</v>
      </c>
      <c r="F213" s="49" t="s">
        <v>1546</v>
      </c>
      <c r="G213" s="49" t="s">
        <v>1283</v>
      </c>
      <c r="H213" s="32" t="s">
        <v>1320</v>
      </c>
      <c r="I213" s="49" t="s">
        <v>1350</v>
      </c>
      <c r="J213" s="13" t="s">
        <v>9</v>
      </c>
      <c r="K213" s="13" t="s">
        <v>10</v>
      </c>
      <c r="L213" s="8">
        <f t="shared" si="45"/>
        <v>10</v>
      </c>
      <c r="M213" s="8"/>
      <c r="N213" s="59">
        <f t="shared" si="38"/>
        <v>10</v>
      </c>
      <c r="O213" s="49">
        <v>6.0</v>
      </c>
      <c r="P213" s="76">
        <f>sumifs('WL Matrix 2'!L:L,'WL Matrix 2'!B:B,A213,'WL Matrix 2'!C:C,C213,'WL Matrix 2'!M:M,"Regular Season")</f>
        <v>1</v>
      </c>
      <c r="Q213" s="76">
        <f t="shared" si="42"/>
        <v>5</v>
      </c>
      <c r="R213" s="77">
        <f>sumifs('WL Matrix 2'!J:J,'WL Matrix 2'!B:B,A213,'WL Matrix 2'!C:C,C213,'WL Matrix 2'!M:M,"Regular Season")</f>
        <v>475.64</v>
      </c>
      <c r="S213" s="58">
        <f>sumifs('WL Matrix 2'!K:K,'WL Matrix 2'!B:B,A213,'WL Matrix 2'!C:C,C213)</f>
        <v>578.78</v>
      </c>
      <c r="T213" s="13" t="s">
        <v>1169</v>
      </c>
      <c r="U213" s="13" t="s">
        <v>1170</v>
      </c>
      <c r="W213" s="62">
        <v>180.0</v>
      </c>
      <c r="X213" s="63"/>
      <c r="Y213" s="71">
        <f t="shared" si="30"/>
        <v>-180</v>
      </c>
      <c r="Z213">
        <f t="shared" si="35"/>
        <v>0</v>
      </c>
      <c r="AA213" s="6">
        <f t="shared" si="6"/>
        <v>0</v>
      </c>
      <c r="AB213">
        <f>VLOOKUP("2023"&amp;C213&amp;O213,'WL Matrix 2'!A:L,12,0)</f>
        <v>0</v>
      </c>
      <c r="AC213" s="72">
        <f t="shared" si="7"/>
        <v>218.91</v>
      </c>
      <c r="AD213" s="6">
        <f t="shared" si="8"/>
        <v>0</v>
      </c>
      <c r="AF213">
        <f>sumifs('WL Matrix 2'!T:T,'WL Matrix 2'!B:B,A213,'WL Matrix 2'!C:C,C213,'WL Matrix 2'!M:M,"Regular Season")</f>
        <v>31</v>
      </c>
      <c r="AG213">
        <f t="shared" si="13"/>
        <v>35</v>
      </c>
      <c r="AH213">
        <f t="shared" si="33"/>
        <v>66</v>
      </c>
      <c r="AI213" s="32" t="s">
        <v>1410</v>
      </c>
      <c r="AJ213" s="32">
        <f t="shared" si="46"/>
        <v>10</v>
      </c>
      <c r="AK213" s="37">
        <f t="shared" si="10"/>
        <v>0.8763438384</v>
      </c>
      <c r="AL213" s="38">
        <f t="shared" si="11"/>
        <v>1.066374331</v>
      </c>
      <c r="AM213" s="38">
        <f>sumifs('WL Matrix 2'!T:T,'WL Matrix 2'!B:B,A213,'WL Matrix 2'!C:C,C213,'WL Matrix 2'!M:M,"Regular Season")</f>
        <v>31</v>
      </c>
    </row>
    <row r="214" ht="14.25" customHeight="1">
      <c r="A214" s="49">
        <v>2026.0</v>
      </c>
      <c r="B214" s="60">
        <v>46023.0</v>
      </c>
      <c r="C214" s="13" t="s">
        <v>82</v>
      </c>
      <c r="D214" s="49" t="s">
        <v>1550</v>
      </c>
      <c r="E214" s="69" t="str">
        <f t="shared" si="27"/>
        <v>Silent But Dowdle - 2026</v>
      </c>
      <c r="F214" s="49" t="s">
        <v>1385</v>
      </c>
      <c r="G214" s="49" t="s">
        <v>1551</v>
      </c>
      <c r="H214" s="49" t="s">
        <v>1552</v>
      </c>
      <c r="I214" s="49" t="s">
        <v>1473</v>
      </c>
      <c r="J214" s="13" t="s">
        <v>9</v>
      </c>
      <c r="K214" s="13" t="s">
        <v>10</v>
      </c>
      <c r="L214" s="8">
        <f t="shared" si="45"/>
        <v>9</v>
      </c>
      <c r="M214" s="8"/>
      <c r="N214" s="59">
        <f t="shared" si="38"/>
        <v>9</v>
      </c>
      <c r="O214" s="49">
        <v>6.0</v>
      </c>
      <c r="P214" s="76">
        <f>sumifs('WL Matrix 2'!L:L,'WL Matrix 2'!B:B,A214,'WL Matrix 2'!C:C,C214,'WL Matrix 2'!M:M,"Regular Season")</f>
        <v>3</v>
      </c>
      <c r="Q214" s="76">
        <f t="shared" si="42"/>
        <v>3</v>
      </c>
      <c r="R214" s="77">
        <f>sumifs('WL Matrix 2'!J:J,'WL Matrix 2'!B:B,A214,'WL Matrix 2'!C:C,C214,'WL Matrix 2'!M:M,"Regular Season")</f>
        <v>519.72</v>
      </c>
      <c r="S214" s="58">
        <f>sumifs('WL Matrix 2'!K:K,'WL Matrix 2'!B:B,A214,'WL Matrix 2'!C:C,C214)</f>
        <v>548.76</v>
      </c>
      <c r="T214" s="13" t="s">
        <v>1169</v>
      </c>
      <c r="U214" s="13" t="s">
        <v>1170</v>
      </c>
      <c r="W214" s="62">
        <v>180.0</v>
      </c>
      <c r="X214" s="63"/>
      <c r="Y214" s="71">
        <f t="shared" si="30"/>
        <v>-180</v>
      </c>
      <c r="Z214">
        <f t="shared" si="35"/>
        <v>0</v>
      </c>
      <c r="AA214" s="6">
        <f t="shared" si="6"/>
        <v>0</v>
      </c>
      <c r="AB214">
        <f>VLOOKUP("2023"&amp;C214&amp;O214,'WL Matrix 2'!A:L,12,0)</f>
        <v>0</v>
      </c>
      <c r="AC214" s="72">
        <f t="shared" si="7"/>
        <v>429.93</v>
      </c>
      <c r="AD214" s="6">
        <f t="shared" si="8"/>
        <v>0</v>
      </c>
      <c r="AF214">
        <f>sumifs('WL Matrix 2'!T:T,'WL Matrix 2'!B:B,A214,'WL Matrix 2'!C:C,C214,'WL Matrix 2'!M:M,"Regular Season")</f>
        <v>32</v>
      </c>
      <c r="AG214">
        <f t="shared" si="13"/>
        <v>34</v>
      </c>
      <c r="AH214">
        <f t="shared" si="33"/>
        <v>66</v>
      </c>
      <c r="AI214" s="32" t="s">
        <v>1410</v>
      </c>
      <c r="AJ214" s="32">
        <f t="shared" si="46"/>
        <v>9</v>
      </c>
      <c r="AK214" s="37">
        <f t="shared" si="10"/>
        <v>0.9575591197</v>
      </c>
      <c r="AL214" s="38">
        <f t="shared" si="11"/>
        <v>1.011063924</v>
      </c>
      <c r="AM214" s="38">
        <f>sumifs('WL Matrix 2'!T:T,'WL Matrix 2'!B:B,A214,'WL Matrix 2'!C:C,C214,'WL Matrix 2'!M:M,"Regular Season")</f>
        <v>32</v>
      </c>
    </row>
    <row r="215" ht="14.25" customHeight="1">
      <c r="A215" s="49">
        <v>2026.0</v>
      </c>
      <c r="B215" s="60">
        <v>46023.0</v>
      </c>
      <c r="C215" s="13" t="s">
        <v>86</v>
      </c>
      <c r="D215" s="32" t="s">
        <v>1559</v>
      </c>
      <c r="E215" s="69" t="str">
        <f t="shared" si="27"/>
        <v>Spoiled Egbukas - 2026</v>
      </c>
      <c r="F215" s="49" t="s">
        <v>1326</v>
      </c>
      <c r="G215" s="49" t="s">
        <v>1560</v>
      </c>
      <c r="H215" s="49" t="s">
        <v>1561</v>
      </c>
      <c r="I215" s="49" t="s">
        <v>1562</v>
      </c>
      <c r="J215" s="13" t="s">
        <v>9</v>
      </c>
      <c r="K215" s="13" t="s">
        <v>10</v>
      </c>
      <c r="L215" s="8">
        <f t="shared" si="45"/>
        <v>11</v>
      </c>
      <c r="M215" s="8"/>
      <c r="N215" s="59">
        <f t="shared" si="38"/>
        <v>11</v>
      </c>
      <c r="O215" s="49">
        <v>6.0</v>
      </c>
      <c r="P215" s="76">
        <f>sumifs('WL Matrix 2'!L:L,'WL Matrix 2'!B:B,A215,'WL Matrix 2'!C:C,C215,'WL Matrix 2'!M:M,"Regular Season")</f>
        <v>0</v>
      </c>
      <c r="Q215" s="76">
        <f t="shared" si="42"/>
        <v>6</v>
      </c>
      <c r="R215" s="77">
        <f>sumifs('WL Matrix 2'!J:J,'WL Matrix 2'!B:B,A215,'WL Matrix 2'!C:C,C215,'WL Matrix 2'!M:M,"Regular Season")</f>
        <v>443.24</v>
      </c>
      <c r="S215" s="58">
        <f>sumifs('WL Matrix 2'!K:K,'WL Matrix 2'!B:B,A215,'WL Matrix 2'!C:C,C215)</f>
        <v>589.18</v>
      </c>
      <c r="T215" s="13" t="s">
        <v>1169</v>
      </c>
      <c r="U215" s="13" t="s">
        <v>1170</v>
      </c>
      <c r="W215" s="62">
        <v>180.0</v>
      </c>
      <c r="X215" s="63"/>
      <c r="Y215" s="71">
        <f t="shared" si="30"/>
        <v>-180</v>
      </c>
      <c r="Z215">
        <f t="shared" si="35"/>
        <v>0</v>
      </c>
      <c r="AA215" s="6">
        <f t="shared" si="6"/>
        <v>0</v>
      </c>
      <c r="AB215">
        <f>VLOOKUP("2023"&amp;C215&amp;O215,'WL Matrix 2'!A:L,12,0)</f>
        <v>0</v>
      </c>
      <c r="AC215" s="72">
        <f t="shared" si="7"/>
        <v>110.81</v>
      </c>
      <c r="AD215" s="6">
        <f t="shared" si="8"/>
        <v>0</v>
      </c>
      <c r="AF215">
        <f>sumifs('WL Matrix 2'!T:T,'WL Matrix 2'!B:B,A215,'WL Matrix 2'!C:C,C215,'WL Matrix 2'!M:M,"Regular Season")</f>
        <v>23</v>
      </c>
      <c r="AG215">
        <f t="shared" si="13"/>
        <v>43</v>
      </c>
      <c r="AH215">
        <f t="shared" si="33"/>
        <v>66</v>
      </c>
      <c r="AI215" s="32" t="s">
        <v>1410</v>
      </c>
      <c r="AJ215" s="32">
        <f t="shared" si="46"/>
        <v>12</v>
      </c>
      <c r="AK215" s="37">
        <f t="shared" si="10"/>
        <v>0.8166483957</v>
      </c>
      <c r="AL215" s="38">
        <f t="shared" si="11"/>
        <v>1.085535831</v>
      </c>
      <c r="AM215" s="38">
        <f>sumifs('WL Matrix 2'!T:T,'WL Matrix 2'!B:B,A215,'WL Matrix 2'!C:C,C215,'WL Matrix 2'!M:M,"Regular Season")</f>
        <v>23</v>
      </c>
    </row>
    <row r="216" ht="14.25" customHeight="1">
      <c r="A216" s="49">
        <v>2026.0</v>
      </c>
      <c r="B216" s="60">
        <v>46023.0</v>
      </c>
      <c r="C216" s="13" t="s">
        <v>89</v>
      </c>
      <c r="D216" s="49" t="s">
        <v>1569</v>
      </c>
      <c r="E216" s="69" t="str">
        <f t="shared" si="27"/>
        <v>Ashton Scenty's Stank Tank - 2026</v>
      </c>
      <c r="F216" s="49" t="s">
        <v>325</v>
      </c>
      <c r="G216" s="49" t="s">
        <v>1570</v>
      </c>
      <c r="H216" s="49" t="s">
        <v>1452</v>
      </c>
      <c r="I216" s="49" t="s">
        <v>779</v>
      </c>
      <c r="J216" s="13" t="s">
        <v>9</v>
      </c>
      <c r="K216" s="13" t="s">
        <v>10</v>
      </c>
      <c r="L216" s="8">
        <f t="shared" si="45"/>
        <v>3</v>
      </c>
      <c r="M216" s="8"/>
      <c r="N216" s="59" t="str">
        <f t="shared" si="38"/>
        <v/>
      </c>
      <c r="O216" s="49">
        <v>6.0</v>
      </c>
      <c r="P216" s="76">
        <f>sumifs('WL Matrix 2'!L:L,'WL Matrix 2'!B:B,A216,'WL Matrix 2'!C:C,C216,'WL Matrix 2'!M:M,"Regular Season")</f>
        <v>2</v>
      </c>
      <c r="Q216" s="76">
        <f t="shared" si="42"/>
        <v>4</v>
      </c>
      <c r="R216" s="77">
        <f>sumifs('WL Matrix 2'!J:J,'WL Matrix 2'!B:B,A216,'WL Matrix 2'!C:C,C216,'WL Matrix 2'!M:M,"Regular Season")</f>
        <v>622.8</v>
      </c>
      <c r="S216" s="58">
        <f>sumifs('WL Matrix 2'!K:K,'WL Matrix 2'!B:B,A216,'WL Matrix 2'!C:C,C216)</f>
        <v>498.06</v>
      </c>
      <c r="T216" s="13" t="s">
        <v>1169</v>
      </c>
      <c r="U216" s="13" t="s">
        <v>1170</v>
      </c>
      <c r="W216" s="62">
        <v>180.0</v>
      </c>
      <c r="X216" s="63"/>
      <c r="Y216" s="71">
        <f t="shared" si="30"/>
        <v>-180</v>
      </c>
      <c r="Z216">
        <f t="shared" si="35"/>
        <v>0</v>
      </c>
      <c r="AA216" s="6">
        <f t="shared" si="6"/>
        <v>1</v>
      </c>
      <c r="AB216">
        <f>VLOOKUP("2023"&amp;C216&amp;O216,'WL Matrix 2'!A:L,12,0)</f>
        <v>1</v>
      </c>
      <c r="AC216" s="72">
        <f t="shared" si="7"/>
        <v>355.7</v>
      </c>
      <c r="AD216" s="6">
        <f t="shared" si="8"/>
        <v>0</v>
      </c>
      <c r="AF216">
        <f>sumifs('WL Matrix 2'!T:T,'WL Matrix 2'!B:B,A216,'WL Matrix 2'!C:C,C216,'WL Matrix 2'!M:M,"Regular Season")</f>
        <v>49</v>
      </c>
      <c r="AG216">
        <f t="shared" si="13"/>
        <v>17</v>
      </c>
      <c r="AH216">
        <f t="shared" si="33"/>
        <v>66</v>
      </c>
      <c r="AI216" s="32" t="s">
        <v>1410</v>
      </c>
      <c r="AJ216" s="32">
        <f t="shared" si="46"/>
        <v>3</v>
      </c>
      <c r="AK216" s="37">
        <f t="shared" si="10"/>
        <v>1.147479065</v>
      </c>
      <c r="AL216" s="38">
        <f t="shared" si="11"/>
        <v>0.9176516108</v>
      </c>
      <c r="AM216" s="38">
        <f>sumifs('WL Matrix 2'!T:T,'WL Matrix 2'!B:B,A216,'WL Matrix 2'!C:C,C216,'WL Matrix 2'!M:M,"Regular Season")</f>
        <v>49</v>
      </c>
    </row>
    <row r="217" ht="14.25" customHeight="1">
      <c r="A217" s="49">
        <v>2026.0</v>
      </c>
      <c r="B217" s="60">
        <v>46023.0</v>
      </c>
      <c r="C217" s="13" t="s">
        <v>92</v>
      </c>
      <c r="D217" s="49" t="s">
        <v>1575</v>
      </c>
      <c r="E217" s="69" t="str">
        <f t="shared" si="27"/>
        <v>Fart and Dart to IR - 2026</v>
      </c>
      <c r="F217" s="49" t="s">
        <v>1576</v>
      </c>
      <c r="G217" s="49" t="s">
        <v>1327</v>
      </c>
      <c r="H217" s="49" t="s">
        <v>1257</v>
      </c>
      <c r="I217" s="49" t="s">
        <v>1577</v>
      </c>
      <c r="J217" s="13" t="s">
        <v>9</v>
      </c>
      <c r="K217" s="13" t="s">
        <v>10</v>
      </c>
      <c r="L217" s="8">
        <f t="shared" si="45"/>
        <v>4</v>
      </c>
      <c r="M217" s="8"/>
      <c r="N217" s="59" t="str">
        <f t="shared" si="38"/>
        <v/>
      </c>
      <c r="O217" s="49">
        <v>6.0</v>
      </c>
      <c r="P217" s="76">
        <f>sumifs('WL Matrix 2'!L:L,'WL Matrix 2'!B:B,A217,'WL Matrix 2'!C:C,C217,'WL Matrix 2'!M:M,"Regular Season")</f>
        <v>4</v>
      </c>
      <c r="Q217" s="76">
        <f t="shared" si="42"/>
        <v>2</v>
      </c>
      <c r="R217" s="77">
        <f>sumifs('WL Matrix 2'!J:J,'WL Matrix 2'!B:B,A217,'WL Matrix 2'!C:C,C217,'WL Matrix 2'!M:M,"Regular Season")</f>
        <v>581.06</v>
      </c>
      <c r="S217" s="58">
        <f>sumifs('WL Matrix 2'!K:K,'WL Matrix 2'!B:B,A217,'WL Matrix 2'!C:C,C217)</f>
        <v>510</v>
      </c>
      <c r="T217" s="13" t="s">
        <v>1169</v>
      </c>
      <c r="U217" s="13" t="s">
        <v>1170</v>
      </c>
      <c r="W217" s="62">
        <v>180.0</v>
      </c>
      <c r="X217" s="63"/>
      <c r="Y217" s="71">
        <f t="shared" si="30"/>
        <v>-180</v>
      </c>
      <c r="Z217">
        <f t="shared" si="35"/>
        <v>0</v>
      </c>
      <c r="AA217" s="6">
        <f t="shared" si="6"/>
        <v>1</v>
      </c>
      <c r="AB217">
        <f>VLOOKUP("2023"&amp;C217&amp;O217,'WL Matrix 2'!A:L,12,0)</f>
        <v>1</v>
      </c>
      <c r="AC217" s="72">
        <f t="shared" si="7"/>
        <v>545.265</v>
      </c>
      <c r="AD217" s="6">
        <f t="shared" si="8"/>
        <v>0</v>
      </c>
      <c r="AF217">
        <f>sumifs('WL Matrix 2'!T:T,'WL Matrix 2'!B:B,A217,'WL Matrix 2'!C:C,C217,'WL Matrix 2'!M:M,"Regular Season")</f>
        <v>48</v>
      </c>
      <c r="AG217">
        <f t="shared" si="13"/>
        <v>18</v>
      </c>
      <c r="AH217">
        <f t="shared" si="33"/>
        <v>66</v>
      </c>
      <c r="AI217" s="32" t="s">
        <v>1410</v>
      </c>
      <c r="AJ217" s="32">
        <f t="shared" si="46"/>
        <v>4</v>
      </c>
      <c r="AK217" s="37">
        <f t="shared" si="10"/>
        <v>1.070575121</v>
      </c>
      <c r="AL217" s="38">
        <f t="shared" si="11"/>
        <v>0.9396504869</v>
      </c>
      <c r="AM217" s="38">
        <f>sumifs('WL Matrix 2'!T:T,'WL Matrix 2'!B:B,A217,'WL Matrix 2'!C:C,C217,'WL Matrix 2'!M:M,"Regular Season")</f>
        <v>48</v>
      </c>
    </row>
    <row r="218" ht="14.25" customHeight="1">
      <c r="A218" s="6"/>
      <c r="B218" s="6"/>
      <c r="D218" s="6"/>
      <c r="E218" s="6"/>
      <c r="F218" s="6"/>
      <c r="G218" s="6"/>
      <c r="H218" s="6"/>
      <c r="I218" s="6"/>
      <c r="J218" s="6"/>
      <c r="K218" s="6"/>
      <c r="L218" s="8"/>
      <c r="M218" s="8"/>
      <c r="N218" s="6"/>
      <c r="O218" s="6"/>
      <c r="P218" s="6"/>
      <c r="Q218" s="6"/>
      <c r="R218" s="6"/>
      <c r="S218" s="6"/>
      <c r="T218" s="6"/>
      <c r="X218" s="12"/>
      <c r="Y218" s="12"/>
    </row>
    <row r="219" ht="14.25" customHeight="1">
      <c r="A219" s="6"/>
      <c r="B219" s="6"/>
      <c r="D219" s="6"/>
      <c r="E219" s="6"/>
      <c r="F219" s="107"/>
      <c r="G219" s="6"/>
      <c r="H219" s="6"/>
      <c r="I219" s="6"/>
      <c r="J219" s="6"/>
      <c r="K219" s="6"/>
      <c r="L219" s="8"/>
      <c r="M219" s="8"/>
      <c r="N219" s="6"/>
      <c r="O219" s="6"/>
      <c r="P219" s="6"/>
      <c r="Q219" s="6"/>
      <c r="R219" s="6"/>
      <c r="S219" s="6"/>
      <c r="T219" s="6"/>
      <c r="X219" s="12"/>
      <c r="Y219" s="12"/>
    </row>
    <row r="220" ht="14.25" customHeight="1">
      <c r="A220" s="6"/>
      <c r="B220" s="6"/>
      <c r="D220" s="6"/>
      <c r="E220" s="6"/>
      <c r="F220" s="108"/>
      <c r="G220" s="6"/>
      <c r="H220" s="6"/>
      <c r="I220" s="6"/>
      <c r="J220" s="6"/>
      <c r="K220" s="6"/>
      <c r="L220" s="8"/>
      <c r="M220" s="8"/>
      <c r="N220" s="6"/>
      <c r="O220" s="6"/>
      <c r="P220" s="6"/>
      <c r="Q220" s="6"/>
      <c r="R220" s="6"/>
      <c r="S220" s="6"/>
      <c r="T220" s="6"/>
      <c r="X220" s="12"/>
      <c r="Y220" s="12"/>
    </row>
    <row r="221" ht="14.25" customHeight="1">
      <c r="A221" s="6"/>
      <c r="B221" s="6"/>
      <c r="D221" s="6"/>
      <c r="E221" s="6"/>
      <c r="F221" s="107"/>
      <c r="G221" s="6"/>
      <c r="H221" s="6"/>
      <c r="I221" s="6"/>
      <c r="J221" s="6"/>
      <c r="K221" s="6"/>
      <c r="L221" s="8"/>
      <c r="M221" s="8"/>
      <c r="N221" s="6"/>
      <c r="O221" s="6"/>
      <c r="P221" s="6"/>
      <c r="Q221" s="6"/>
      <c r="R221" s="6"/>
      <c r="S221" s="6"/>
      <c r="T221" s="6"/>
      <c r="X221" s="12"/>
      <c r="Y221" s="12"/>
    </row>
    <row r="222" ht="14.25" customHeight="1">
      <c r="A222" s="6"/>
      <c r="B222" s="6"/>
      <c r="D222" s="6"/>
      <c r="E222" s="6"/>
      <c r="F222" s="108"/>
      <c r="G222" s="6"/>
      <c r="H222" s="6"/>
      <c r="I222" s="6"/>
      <c r="J222" s="6"/>
      <c r="K222" s="6"/>
      <c r="L222" s="8"/>
      <c r="M222" s="8"/>
      <c r="N222" s="6"/>
      <c r="O222" s="6"/>
      <c r="P222" s="6"/>
      <c r="Q222" s="6"/>
      <c r="R222" s="6"/>
      <c r="S222" s="6"/>
      <c r="T222" s="6"/>
      <c r="X222" s="12"/>
      <c r="Y222" s="12"/>
    </row>
    <row r="223" ht="14.25" customHeight="1">
      <c r="A223" s="6"/>
      <c r="B223" s="6"/>
      <c r="D223" s="6"/>
      <c r="E223" s="6"/>
      <c r="F223" s="107"/>
      <c r="G223" s="6"/>
      <c r="H223" s="6"/>
      <c r="I223" s="6"/>
      <c r="J223" s="6"/>
      <c r="K223" s="6"/>
      <c r="L223" s="8"/>
      <c r="M223" s="8"/>
      <c r="N223" s="6"/>
      <c r="O223" s="6"/>
      <c r="P223" s="6"/>
      <c r="Q223" s="6"/>
      <c r="R223" s="6"/>
      <c r="S223" s="6"/>
      <c r="T223" s="6"/>
      <c r="X223" s="12"/>
      <c r="Y223" s="12"/>
    </row>
    <row r="224" ht="14.25" customHeight="1">
      <c r="A224" s="6"/>
      <c r="B224" s="6"/>
      <c r="D224" s="6"/>
      <c r="E224" s="6"/>
      <c r="F224" s="109"/>
      <c r="G224" s="6"/>
      <c r="H224" s="6"/>
      <c r="I224" s="6"/>
      <c r="J224" s="6"/>
      <c r="K224" s="6"/>
      <c r="L224" s="8"/>
      <c r="M224" s="8"/>
      <c r="N224" s="6"/>
      <c r="O224" s="6"/>
      <c r="P224" s="6"/>
      <c r="Q224" s="6"/>
      <c r="R224" s="6"/>
      <c r="S224" s="6"/>
      <c r="T224" s="6"/>
      <c r="X224" s="12"/>
      <c r="Y224" s="12"/>
    </row>
    <row r="225" ht="14.25" customHeight="1">
      <c r="A225" s="6"/>
      <c r="B225" s="6"/>
      <c r="D225" s="6"/>
      <c r="E225" s="6"/>
      <c r="F225" s="49"/>
      <c r="G225" s="6"/>
      <c r="H225" s="6"/>
      <c r="I225" s="6"/>
      <c r="J225" s="6"/>
      <c r="K225" s="6"/>
      <c r="L225" s="8"/>
      <c r="M225" s="8"/>
      <c r="N225" s="6"/>
      <c r="O225" s="6"/>
      <c r="P225" s="6"/>
      <c r="Q225" s="6"/>
      <c r="R225" s="6"/>
      <c r="S225" s="6"/>
      <c r="T225" s="6"/>
      <c r="X225" s="12"/>
      <c r="Y225" s="12"/>
    </row>
    <row r="226" ht="14.25" customHeight="1">
      <c r="A226" s="6"/>
      <c r="B226" s="6"/>
      <c r="D226" s="6"/>
      <c r="E226" s="6"/>
      <c r="F226" s="49"/>
      <c r="G226" s="6"/>
      <c r="H226" s="6"/>
      <c r="I226" s="6"/>
      <c r="J226" s="6"/>
      <c r="K226" s="6"/>
      <c r="L226" s="8"/>
      <c r="M226" s="8"/>
      <c r="N226" s="6"/>
      <c r="O226" s="6"/>
      <c r="P226" s="6"/>
      <c r="Q226" s="6"/>
      <c r="R226" s="6"/>
      <c r="S226" s="6"/>
      <c r="T226" s="6"/>
      <c r="X226" s="12"/>
      <c r="Y226" s="12"/>
    </row>
    <row r="227" ht="14.25" customHeight="1">
      <c r="A227" s="6"/>
      <c r="B227" s="6"/>
      <c r="D227" s="6"/>
      <c r="E227" s="6"/>
      <c r="F227" s="49"/>
      <c r="G227" s="6"/>
      <c r="H227" s="6"/>
      <c r="I227" s="6"/>
      <c r="J227" s="6"/>
      <c r="K227" s="6"/>
      <c r="L227" s="8"/>
      <c r="M227" s="8"/>
      <c r="N227" s="6"/>
      <c r="O227" s="6"/>
      <c r="P227" s="6"/>
      <c r="Q227" s="6"/>
      <c r="R227" s="6"/>
      <c r="S227" s="6"/>
      <c r="T227" s="6"/>
      <c r="X227" s="12"/>
      <c r="Y227" s="12"/>
    </row>
    <row r="228" ht="14.25" customHeight="1">
      <c r="A228" s="6"/>
      <c r="B228" s="6"/>
      <c r="D228" s="6"/>
      <c r="E228" s="6"/>
      <c r="F228" s="6"/>
      <c r="G228" s="6"/>
      <c r="H228" s="6"/>
      <c r="I228" s="6"/>
      <c r="J228" s="6"/>
      <c r="K228" s="6"/>
      <c r="L228" s="8"/>
      <c r="M228" s="8"/>
      <c r="N228" s="6"/>
      <c r="O228" s="6"/>
      <c r="P228" s="6"/>
      <c r="Q228" s="6"/>
      <c r="R228" s="6"/>
      <c r="S228" s="6"/>
      <c r="T228" s="6"/>
      <c r="X228" s="12"/>
      <c r="Y228" s="12"/>
    </row>
    <row r="229" ht="14.25" customHeight="1">
      <c r="A229" s="6"/>
      <c r="B229" s="6"/>
      <c r="D229" s="6"/>
      <c r="E229" s="6"/>
      <c r="F229" s="6"/>
      <c r="G229" s="6"/>
      <c r="H229" s="6"/>
      <c r="I229" s="6"/>
      <c r="J229" s="6"/>
      <c r="K229" s="6"/>
      <c r="L229" s="8"/>
      <c r="M229" s="8"/>
      <c r="N229" s="6"/>
      <c r="O229" s="6"/>
      <c r="P229" s="6"/>
      <c r="Q229" s="6"/>
      <c r="R229" s="6"/>
      <c r="S229" s="6"/>
      <c r="T229" s="6"/>
      <c r="X229" s="12"/>
      <c r="Y229" s="12"/>
    </row>
    <row r="230" ht="14.25" customHeight="1">
      <c r="A230" s="6"/>
      <c r="B230" s="6"/>
      <c r="D230" s="6"/>
      <c r="E230" s="6"/>
      <c r="F230" s="6"/>
      <c r="G230" s="6"/>
      <c r="H230" s="6"/>
      <c r="I230" s="6"/>
      <c r="J230" s="6"/>
      <c r="K230" s="6"/>
      <c r="L230" s="8"/>
      <c r="M230" s="8"/>
      <c r="N230" s="6"/>
      <c r="O230" s="6"/>
      <c r="P230" s="6"/>
      <c r="Q230" s="6"/>
      <c r="R230" s="6"/>
      <c r="S230" s="6"/>
      <c r="T230" s="6"/>
      <c r="X230" s="12"/>
      <c r="Y230" s="12"/>
    </row>
    <row r="231" ht="14.25" customHeight="1">
      <c r="A231" s="6"/>
      <c r="B231" s="6"/>
      <c r="D231" s="6"/>
      <c r="E231" s="6"/>
      <c r="F231" s="6"/>
      <c r="G231" s="6"/>
      <c r="H231" s="6"/>
      <c r="I231" s="6"/>
      <c r="J231" s="6"/>
      <c r="K231" s="6"/>
      <c r="L231" s="8"/>
      <c r="M231" s="8"/>
      <c r="N231" s="6"/>
      <c r="O231" s="6"/>
      <c r="P231" s="6"/>
      <c r="Q231" s="6"/>
      <c r="R231" s="6"/>
      <c r="S231" s="6"/>
      <c r="T231" s="6"/>
      <c r="X231" s="12"/>
      <c r="Y231" s="12"/>
    </row>
    <row r="232" ht="14.25" customHeight="1">
      <c r="A232" s="6"/>
      <c r="B232" s="6"/>
      <c r="D232" s="6"/>
      <c r="E232" s="6"/>
      <c r="F232" s="6"/>
      <c r="G232" s="6"/>
      <c r="H232" s="6"/>
      <c r="I232" s="6"/>
      <c r="J232" s="6"/>
      <c r="K232" s="6"/>
      <c r="L232" s="8"/>
      <c r="M232" s="8"/>
      <c r="N232" s="6"/>
      <c r="O232" s="6"/>
      <c r="P232" s="6"/>
      <c r="Q232" s="6"/>
      <c r="R232" s="6"/>
      <c r="S232" s="6"/>
      <c r="T232" s="6"/>
      <c r="X232" s="12"/>
      <c r="Y232" s="12"/>
    </row>
    <row r="233" ht="14.25" customHeight="1">
      <c r="A233" s="6"/>
      <c r="B233" s="6"/>
      <c r="D233" s="6"/>
      <c r="E233" s="6"/>
      <c r="F233" s="6"/>
      <c r="G233" s="6"/>
      <c r="H233" s="6"/>
      <c r="I233" s="6"/>
      <c r="J233" s="6"/>
      <c r="K233" s="6"/>
      <c r="L233" s="8"/>
      <c r="M233" s="8"/>
      <c r="N233" s="6"/>
      <c r="O233" s="6"/>
      <c r="P233" s="6"/>
      <c r="Q233" s="6"/>
      <c r="R233" s="6"/>
      <c r="S233" s="6"/>
      <c r="T233" s="6"/>
      <c r="X233" s="12"/>
      <c r="Y233" s="12"/>
    </row>
    <row r="234" ht="14.25" customHeight="1">
      <c r="A234" s="6"/>
      <c r="B234" s="6"/>
      <c r="D234" s="6"/>
      <c r="E234" s="6"/>
      <c r="F234" s="6"/>
      <c r="G234" s="6"/>
      <c r="H234" s="6"/>
      <c r="I234" s="6"/>
      <c r="J234" s="6"/>
      <c r="K234" s="6"/>
      <c r="L234" s="8"/>
      <c r="M234" s="8"/>
      <c r="N234" s="6"/>
      <c r="O234" s="6"/>
      <c r="P234" s="6"/>
      <c r="Q234" s="6"/>
      <c r="R234" s="6"/>
      <c r="S234" s="6"/>
      <c r="T234" s="6"/>
      <c r="X234" s="12"/>
      <c r="Y234" s="12"/>
    </row>
    <row r="235" ht="14.25" customHeight="1">
      <c r="A235" s="6"/>
      <c r="B235" s="6"/>
      <c r="D235" s="6"/>
      <c r="E235" s="6"/>
      <c r="F235" s="6"/>
      <c r="G235" s="6"/>
      <c r="H235" s="6"/>
      <c r="I235" s="6"/>
      <c r="J235" s="6"/>
      <c r="K235" s="6"/>
      <c r="L235" s="8"/>
      <c r="M235" s="8"/>
      <c r="N235" s="6"/>
      <c r="O235" s="6"/>
      <c r="P235" s="6"/>
      <c r="Q235" s="6"/>
      <c r="R235" s="6"/>
      <c r="S235" s="6"/>
      <c r="T235" s="6"/>
      <c r="X235" s="12"/>
      <c r="Y235" s="12"/>
    </row>
    <row r="236" ht="14.25" customHeight="1">
      <c r="A236" s="6"/>
      <c r="B236" s="6"/>
      <c r="D236" s="6"/>
      <c r="E236" s="6"/>
      <c r="F236" s="6"/>
      <c r="G236" s="6"/>
      <c r="H236" s="6"/>
      <c r="I236" s="6"/>
      <c r="J236" s="6"/>
      <c r="K236" s="6"/>
      <c r="L236" s="8"/>
      <c r="M236" s="8"/>
      <c r="N236" s="6"/>
      <c r="O236" s="6"/>
      <c r="P236" s="6"/>
      <c r="Q236" s="6"/>
      <c r="R236" s="6"/>
      <c r="S236" s="6"/>
      <c r="T236" s="6"/>
      <c r="X236" s="12"/>
      <c r="Y236" s="12"/>
    </row>
    <row r="237" ht="14.25" customHeight="1">
      <c r="A237" s="6"/>
      <c r="B237" s="6"/>
      <c r="D237" s="6"/>
      <c r="E237" s="6"/>
      <c r="F237" s="6"/>
      <c r="G237" s="6"/>
      <c r="H237" s="6"/>
      <c r="I237" s="6"/>
      <c r="J237" s="6"/>
      <c r="K237" s="6"/>
      <c r="L237" s="8"/>
      <c r="M237" s="8"/>
      <c r="N237" s="6"/>
      <c r="O237" s="6"/>
      <c r="P237" s="6"/>
      <c r="Q237" s="6"/>
      <c r="R237" s="6"/>
      <c r="S237" s="6"/>
      <c r="T237" s="6"/>
      <c r="X237" s="12"/>
      <c r="Y237" s="12"/>
    </row>
    <row r="238" ht="14.25" customHeight="1">
      <c r="A238" s="6"/>
      <c r="B238" s="6"/>
      <c r="D238" s="6"/>
      <c r="E238" s="6"/>
      <c r="F238" s="6"/>
      <c r="G238" s="6"/>
      <c r="H238" s="6"/>
      <c r="I238" s="6"/>
      <c r="J238" s="6"/>
      <c r="K238" s="6"/>
      <c r="L238" s="8"/>
      <c r="M238" s="8"/>
      <c r="N238" s="6"/>
      <c r="O238" s="6"/>
      <c r="P238" s="6"/>
      <c r="Q238" s="6"/>
      <c r="R238" s="6"/>
      <c r="S238" s="6"/>
      <c r="T238" s="6"/>
      <c r="X238" s="12"/>
      <c r="Y238" s="12"/>
    </row>
    <row r="239" ht="14.25" customHeight="1">
      <c r="A239" s="6"/>
      <c r="B239" s="6"/>
      <c r="D239" s="6"/>
      <c r="E239" s="6"/>
      <c r="F239" s="6"/>
      <c r="G239" s="6"/>
      <c r="H239" s="6"/>
      <c r="I239" s="6"/>
      <c r="J239" s="6"/>
      <c r="K239" s="6"/>
      <c r="L239" s="8"/>
      <c r="M239" s="8"/>
      <c r="N239" s="6"/>
      <c r="O239" s="6"/>
      <c r="P239" s="6"/>
      <c r="Q239" s="6"/>
      <c r="R239" s="6"/>
      <c r="S239" s="6"/>
      <c r="T239" s="6"/>
      <c r="X239" s="12"/>
      <c r="Y239" s="12"/>
    </row>
    <row r="240" ht="14.25" customHeight="1">
      <c r="A240" s="6"/>
      <c r="B240" s="6"/>
      <c r="D240" s="6"/>
      <c r="E240" s="6"/>
      <c r="F240" s="6"/>
      <c r="G240" s="6"/>
      <c r="H240" s="6"/>
      <c r="I240" s="6"/>
      <c r="J240" s="6"/>
      <c r="K240" s="6"/>
      <c r="L240" s="8"/>
      <c r="M240" s="8"/>
      <c r="N240" s="6"/>
      <c r="O240" s="6"/>
      <c r="P240" s="6"/>
      <c r="Q240" s="6"/>
      <c r="R240" s="6"/>
      <c r="S240" s="6"/>
      <c r="T240" s="6"/>
      <c r="X240" s="12"/>
      <c r="Y240" s="12"/>
    </row>
    <row r="241" ht="14.25" customHeight="1">
      <c r="A241" s="6"/>
      <c r="B241" s="6"/>
      <c r="D241" s="6"/>
      <c r="E241" s="6"/>
      <c r="F241" s="6"/>
      <c r="G241" s="6"/>
      <c r="H241" s="6"/>
      <c r="I241" s="6"/>
      <c r="J241" s="6"/>
      <c r="K241" s="6"/>
      <c r="L241" s="8"/>
      <c r="M241" s="8"/>
      <c r="N241" s="6"/>
      <c r="O241" s="6"/>
      <c r="P241" s="6"/>
      <c r="Q241" s="6"/>
      <c r="R241" s="6"/>
      <c r="S241" s="6"/>
      <c r="T241" s="6"/>
      <c r="X241" s="12"/>
      <c r="Y241" s="12"/>
    </row>
    <row r="242" ht="14.25" customHeight="1">
      <c r="A242" s="6"/>
      <c r="B242" s="6"/>
      <c r="D242" s="6"/>
      <c r="E242" s="6"/>
      <c r="F242" s="6"/>
      <c r="G242" s="6"/>
      <c r="H242" s="6"/>
      <c r="I242" s="6"/>
      <c r="J242" s="6"/>
      <c r="K242" s="6"/>
      <c r="L242" s="8"/>
      <c r="M242" s="8"/>
      <c r="N242" s="6"/>
      <c r="O242" s="6"/>
      <c r="P242" s="6"/>
      <c r="Q242" s="6"/>
      <c r="R242" s="6"/>
      <c r="S242" s="6"/>
      <c r="T242" s="6"/>
      <c r="X242" s="12"/>
      <c r="Y242" s="12"/>
    </row>
    <row r="243" ht="14.25" customHeight="1">
      <c r="A243" s="6"/>
      <c r="B243" s="6"/>
      <c r="D243" s="6"/>
      <c r="E243" s="6"/>
      <c r="F243" s="6"/>
      <c r="G243" s="6"/>
      <c r="H243" s="6"/>
      <c r="I243" s="6"/>
      <c r="J243" s="6"/>
      <c r="K243" s="6"/>
      <c r="L243" s="8"/>
      <c r="M243" s="8"/>
      <c r="N243" s="6"/>
      <c r="O243" s="6"/>
      <c r="P243" s="6"/>
      <c r="Q243" s="6"/>
      <c r="R243" s="6"/>
      <c r="S243" s="6"/>
      <c r="T243" s="6"/>
      <c r="X243" s="12"/>
      <c r="Y243" s="12"/>
    </row>
    <row r="244" ht="14.25" customHeight="1">
      <c r="A244" s="6"/>
      <c r="B244" s="6"/>
      <c r="D244" s="6"/>
      <c r="E244" s="6"/>
      <c r="F244" s="6"/>
      <c r="G244" s="6"/>
      <c r="H244" s="6"/>
      <c r="I244" s="6"/>
      <c r="J244" s="6"/>
      <c r="K244" s="6"/>
      <c r="L244" s="8"/>
      <c r="M244" s="8"/>
      <c r="N244" s="6"/>
      <c r="O244" s="6"/>
      <c r="P244" s="6"/>
      <c r="Q244" s="6"/>
      <c r="R244" s="6"/>
      <c r="S244" s="6"/>
      <c r="T244" s="6"/>
      <c r="X244" s="12"/>
      <c r="Y244" s="12"/>
    </row>
    <row r="245" ht="14.25" customHeight="1">
      <c r="A245" s="6"/>
      <c r="B245" s="6"/>
      <c r="D245" s="6"/>
      <c r="E245" s="6"/>
      <c r="F245" s="6"/>
      <c r="G245" s="6"/>
      <c r="H245" s="6"/>
      <c r="I245" s="6"/>
      <c r="J245" s="6"/>
      <c r="K245" s="6"/>
      <c r="L245" s="8"/>
      <c r="M245" s="8"/>
      <c r="N245" s="6"/>
      <c r="O245" s="6"/>
      <c r="P245" s="6"/>
      <c r="Q245" s="6"/>
      <c r="R245" s="6"/>
      <c r="S245" s="6"/>
      <c r="T245" s="6"/>
      <c r="X245" s="12"/>
      <c r="Y245" s="12"/>
    </row>
    <row r="246" ht="14.25" customHeight="1">
      <c r="A246" s="6"/>
      <c r="B246" s="6"/>
      <c r="D246" s="6"/>
      <c r="E246" s="6"/>
      <c r="F246" s="6"/>
      <c r="G246" s="6"/>
      <c r="H246" s="6"/>
      <c r="I246" s="6"/>
      <c r="J246" s="6"/>
      <c r="K246" s="6"/>
      <c r="L246" s="8"/>
      <c r="M246" s="8"/>
      <c r="N246" s="6"/>
      <c r="O246" s="6"/>
      <c r="P246" s="6"/>
      <c r="Q246" s="6"/>
      <c r="R246" s="6"/>
      <c r="S246" s="6"/>
      <c r="T246" s="6"/>
      <c r="X246" s="12"/>
      <c r="Y246" s="12"/>
    </row>
    <row r="247" ht="14.25" customHeight="1">
      <c r="A247" s="6"/>
      <c r="B247" s="6"/>
      <c r="D247" s="6"/>
      <c r="E247" s="6"/>
      <c r="F247" s="6"/>
      <c r="G247" s="6"/>
      <c r="H247" s="6"/>
      <c r="I247" s="6"/>
      <c r="J247" s="6"/>
      <c r="K247" s="6"/>
      <c r="L247" s="8"/>
      <c r="M247" s="8"/>
      <c r="N247" s="6"/>
      <c r="O247" s="6"/>
      <c r="P247" s="6"/>
      <c r="Q247" s="6"/>
      <c r="R247" s="6"/>
      <c r="S247" s="6"/>
      <c r="T247" s="6"/>
      <c r="X247" s="12"/>
      <c r="Y247" s="12"/>
    </row>
    <row r="248" ht="14.25" customHeight="1">
      <c r="A248" s="6"/>
      <c r="B248" s="6"/>
      <c r="D248" s="6"/>
      <c r="E248" s="6"/>
      <c r="F248" s="6"/>
      <c r="G248" s="6"/>
      <c r="H248" s="6"/>
      <c r="I248" s="6"/>
      <c r="J248" s="6"/>
      <c r="K248" s="6"/>
      <c r="L248" s="8"/>
      <c r="M248" s="8"/>
      <c r="N248" s="6"/>
      <c r="O248" s="6"/>
      <c r="P248" s="6"/>
      <c r="Q248" s="6"/>
      <c r="R248" s="6"/>
      <c r="S248" s="6"/>
      <c r="T248" s="6"/>
      <c r="X248" s="12"/>
      <c r="Y248" s="12"/>
    </row>
    <row r="249" ht="14.25" customHeight="1">
      <c r="A249" s="6"/>
      <c r="B249" s="6"/>
      <c r="D249" s="6"/>
      <c r="E249" s="6"/>
      <c r="F249" s="6"/>
      <c r="G249" s="6"/>
      <c r="H249" s="6"/>
      <c r="I249" s="6"/>
      <c r="J249" s="6"/>
      <c r="K249" s="6"/>
      <c r="L249" s="8"/>
      <c r="M249" s="8"/>
      <c r="N249" s="6"/>
      <c r="O249" s="6"/>
      <c r="P249" s="6"/>
      <c r="Q249" s="6"/>
      <c r="R249" s="6"/>
      <c r="S249" s="6"/>
      <c r="T249" s="6"/>
      <c r="X249" s="12"/>
      <c r="Y249" s="12"/>
    </row>
    <row r="250" ht="14.25" customHeight="1">
      <c r="A250" s="6"/>
      <c r="B250" s="6"/>
      <c r="D250" s="6"/>
      <c r="E250" s="6"/>
      <c r="F250" s="6"/>
      <c r="G250" s="6"/>
      <c r="H250" s="6"/>
      <c r="I250" s="6"/>
      <c r="J250" s="6"/>
      <c r="K250" s="6"/>
      <c r="L250" s="8"/>
      <c r="M250" s="8"/>
      <c r="N250" s="6"/>
      <c r="O250" s="6"/>
      <c r="P250" s="6"/>
      <c r="Q250" s="6"/>
      <c r="R250" s="6"/>
      <c r="S250" s="6"/>
      <c r="T250" s="6"/>
      <c r="X250" s="12"/>
      <c r="Y250" s="12"/>
    </row>
    <row r="251" ht="14.25" customHeight="1">
      <c r="A251" s="6"/>
      <c r="B251" s="6"/>
      <c r="D251" s="6"/>
      <c r="E251" s="6"/>
      <c r="F251" s="6"/>
      <c r="G251" s="6"/>
      <c r="H251" s="6"/>
      <c r="I251" s="6"/>
      <c r="J251" s="6"/>
      <c r="K251" s="6"/>
      <c r="L251" s="8"/>
      <c r="M251" s="8"/>
      <c r="N251" s="6"/>
      <c r="O251" s="6"/>
      <c r="P251" s="6"/>
      <c r="Q251" s="6"/>
      <c r="R251" s="6"/>
      <c r="S251" s="6"/>
      <c r="T251" s="6"/>
      <c r="X251" s="12"/>
      <c r="Y251" s="12"/>
    </row>
    <row r="252" ht="14.25" customHeight="1">
      <c r="A252" s="6"/>
      <c r="B252" s="6"/>
      <c r="D252" s="6"/>
      <c r="E252" s="6"/>
      <c r="F252" s="6"/>
      <c r="G252" s="6"/>
      <c r="H252" s="6"/>
      <c r="I252" s="6"/>
      <c r="J252" s="6"/>
      <c r="K252" s="6"/>
      <c r="L252" s="8"/>
      <c r="M252" s="8"/>
      <c r="N252" s="6"/>
      <c r="O252" s="6"/>
      <c r="P252" s="6"/>
      <c r="Q252" s="6"/>
      <c r="R252" s="6"/>
      <c r="S252" s="6"/>
      <c r="T252" s="6"/>
      <c r="X252" s="12"/>
      <c r="Y252" s="12"/>
    </row>
    <row r="253" ht="14.25" customHeight="1">
      <c r="A253" s="6"/>
      <c r="B253" s="6"/>
      <c r="D253" s="6"/>
      <c r="E253" s="6"/>
      <c r="F253" s="6"/>
      <c r="G253" s="6"/>
      <c r="H253" s="6"/>
      <c r="I253" s="6"/>
      <c r="J253" s="6"/>
      <c r="K253" s="6"/>
      <c r="L253" s="8"/>
      <c r="M253" s="8"/>
      <c r="N253" s="6"/>
      <c r="O253" s="6"/>
      <c r="P253" s="6"/>
      <c r="Q253" s="6"/>
      <c r="R253" s="6"/>
      <c r="S253" s="6"/>
      <c r="T253" s="6"/>
      <c r="X253" s="12"/>
      <c r="Y253" s="12"/>
    </row>
    <row r="254" ht="14.25" customHeight="1">
      <c r="A254" s="6"/>
      <c r="B254" s="6"/>
      <c r="D254" s="6"/>
      <c r="E254" s="6"/>
      <c r="F254" s="6"/>
      <c r="G254" s="6"/>
      <c r="H254" s="6"/>
      <c r="I254" s="6"/>
      <c r="J254" s="6"/>
      <c r="K254" s="6"/>
      <c r="L254" s="8"/>
      <c r="M254" s="8"/>
      <c r="N254" s="6"/>
      <c r="O254" s="6"/>
      <c r="P254" s="6"/>
      <c r="Q254" s="6"/>
      <c r="R254" s="6"/>
      <c r="S254" s="6"/>
      <c r="T254" s="6"/>
      <c r="X254" s="12"/>
      <c r="Y254" s="12"/>
    </row>
    <row r="255" ht="14.25" customHeight="1">
      <c r="A255" s="6"/>
      <c r="B255" s="6"/>
      <c r="D255" s="6"/>
      <c r="E255" s="6"/>
      <c r="F255" s="6"/>
      <c r="G255" s="6"/>
      <c r="H255" s="6"/>
      <c r="I255" s="6"/>
      <c r="J255" s="6"/>
      <c r="K255" s="6"/>
      <c r="L255" s="8"/>
      <c r="M255" s="8"/>
      <c r="N255" s="6"/>
      <c r="O255" s="6"/>
      <c r="P255" s="6"/>
      <c r="Q255" s="6"/>
      <c r="R255" s="6"/>
      <c r="S255" s="6"/>
      <c r="T255" s="6"/>
      <c r="X255" s="12"/>
      <c r="Y255" s="12"/>
    </row>
    <row r="256" ht="14.25" customHeight="1">
      <c r="A256" s="6"/>
      <c r="B256" s="6"/>
      <c r="D256" s="6"/>
      <c r="E256" s="6"/>
      <c r="F256" s="6"/>
      <c r="G256" s="6"/>
      <c r="H256" s="6"/>
      <c r="I256" s="6"/>
      <c r="J256" s="6"/>
      <c r="K256" s="6"/>
      <c r="L256" s="8"/>
      <c r="M256" s="8"/>
      <c r="N256" s="6"/>
      <c r="O256" s="6"/>
      <c r="P256" s="6"/>
      <c r="Q256" s="6"/>
      <c r="R256" s="6"/>
      <c r="S256" s="6"/>
      <c r="T256" s="6"/>
      <c r="X256" s="12"/>
      <c r="Y256" s="12"/>
    </row>
    <row r="257" ht="14.25" customHeight="1">
      <c r="A257" s="6"/>
      <c r="B257" s="6"/>
      <c r="D257" s="6"/>
      <c r="E257" s="6"/>
      <c r="F257" s="6"/>
      <c r="G257" s="6"/>
      <c r="H257" s="6"/>
      <c r="I257" s="6"/>
      <c r="J257" s="6"/>
      <c r="K257" s="6"/>
      <c r="L257" s="8"/>
      <c r="M257" s="8"/>
      <c r="N257" s="6"/>
      <c r="O257" s="6"/>
      <c r="P257" s="6"/>
      <c r="Q257" s="6"/>
      <c r="R257" s="6"/>
      <c r="S257" s="6"/>
      <c r="T257" s="6"/>
      <c r="X257" s="12"/>
      <c r="Y257" s="12"/>
    </row>
    <row r="258" ht="14.25" customHeight="1">
      <c r="A258" s="6"/>
      <c r="B258" s="6"/>
      <c r="D258" s="6"/>
      <c r="E258" s="6"/>
      <c r="F258" s="6"/>
      <c r="G258" s="6"/>
      <c r="H258" s="6"/>
      <c r="I258" s="6"/>
      <c r="J258" s="6"/>
      <c r="K258" s="6"/>
      <c r="L258" s="8"/>
      <c r="M258" s="8"/>
      <c r="N258" s="6"/>
      <c r="O258" s="6"/>
      <c r="P258" s="6"/>
      <c r="Q258" s="6"/>
      <c r="R258" s="6"/>
      <c r="S258" s="6"/>
      <c r="T258" s="6"/>
      <c r="X258" s="12"/>
      <c r="Y258" s="12"/>
    </row>
    <row r="259" ht="14.25" customHeight="1">
      <c r="A259" s="6"/>
      <c r="B259" s="6"/>
      <c r="D259" s="6"/>
      <c r="E259" s="6"/>
      <c r="F259" s="6"/>
      <c r="G259" s="6"/>
      <c r="H259" s="6"/>
      <c r="I259" s="6"/>
      <c r="J259" s="6"/>
      <c r="K259" s="6"/>
      <c r="L259" s="8"/>
      <c r="M259" s="8"/>
      <c r="N259" s="6"/>
      <c r="O259" s="6"/>
      <c r="P259" s="6"/>
      <c r="Q259" s="6"/>
      <c r="R259" s="6"/>
      <c r="S259" s="6"/>
      <c r="T259" s="6"/>
      <c r="X259" s="12"/>
      <c r="Y259" s="12"/>
    </row>
    <row r="260" ht="14.25" customHeight="1">
      <c r="A260" s="6"/>
      <c r="B260" s="6"/>
      <c r="D260" s="6"/>
      <c r="E260" s="6"/>
      <c r="F260" s="6"/>
      <c r="G260" s="6"/>
      <c r="H260" s="6"/>
      <c r="I260" s="6"/>
      <c r="J260" s="6"/>
      <c r="K260" s="6"/>
      <c r="L260" s="8"/>
      <c r="M260" s="8"/>
      <c r="N260" s="6"/>
      <c r="O260" s="6"/>
      <c r="P260" s="6"/>
      <c r="Q260" s="6"/>
      <c r="R260" s="6"/>
      <c r="S260" s="6"/>
      <c r="T260" s="6"/>
      <c r="X260" s="12"/>
      <c r="Y260" s="12"/>
    </row>
    <row r="261" ht="14.25" customHeight="1">
      <c r="A261" s="6"/>
      <c r="B261" s="6"/>
      <c r="D261" s="6"/>
      <c r="E261" s="6"/>
      <c r="F261" s="6"/>
      <c r="G261" s="6"/>
      <c r="H261" s="6"/>
      <c r="I261" s="6"/>
      <c r="J261" s="6"/>
      <c r="K261" s="6"/>
      <c r="L261" s="8"/>
      <c r="M261" s="8"/>
      <c r="N261" s="6"/>
      <c r="O261" s="6"/>
      <c r="P261" s="6"/>
      <c r="Q261" s="6"/>
      <c r="R261" s="6"/>
      <c r="S261" s="6"/>
      <c r="T261" s="6"/>
      <c r="X261" s="12"/>
      <c r="Y261" s="12"/>
    </row>
    <row r="262" ht="14.25" customHeight="1">
      <c r="A262" s="6"/>
      <c r="B262" s="6"/>
      <c r="D262" s="6"/>
      <c r="E262" s="6"/>
      <c r="F262" s="6"/>
      <c r="G262" s="6"/>
      <c r="H262" s="6"/>
      <c r="I262" s="6"/>
      <c r="J262" s="6"/>
      <c r="K262" s="6"/>
      <c r="L262" s="8"/>
      <c r="M262" s="8"/>
      <c r="N262" s="6"/>
      <c r="O262" s="6"/>
      <c r="P262" s="6"/>
      <c r="Q262" s="6"/>
      <c r="R262" s="6"/>
      <c r="S262" s="6"/>
      <c r="T262" s="6"/>
      <c r="X262" s="12"/>
      <c r="Y262" s="12"/>
    </row>
    <row r="263" ht="14.25" customHeight="1">
      <c r="A263" s="6"/>
      <c r="B263" s="6"/>
      <c r="D263" s="6"/>
      <c r="E263" s="6"/>
      <c r="F263" s="6"/>
      <c r="G263" s="6"/>
      <c r="H263" s="6"/>
      <c r="I263" s="6"/>
      <c r="J263" s="6"/>
      <c r="K263" s="6"/>
      <c r="L263" s="8"/>
      <c r="M263" s="8"/>
      <c r="N263" s="6"/>
      <c r="O263" s="6"/>
      <c r="P263" s="6"/>
      <c r="Q263" s="6"/>
      <c r="R263" s="6"/>
      <c r="S263" s="6"/>
      <c r="T263" s="6"/>
      <c r="X263" s="12"/>
      <c r="Y263" s="12"/>
    </row>
    <row r="264" ht="14.25" customHeight="1">
      <c r="A264" s="6"/>
      <c r="B264" s="6"/>
      <c r="D264" s="6"/>
      <c r="E264" s="6"/>
      <c r="F264" s="6"/>
      <c r="G264" s="6"/>
      <c r="H264" s="6"/>
      <c r="I264" s="6"/>
      <c r="J264" s="6"/>
      <c r="K264" s="6"/>
      <c r="L264" s="8"/>
      <c r="M264" s="8"/>
      <c r="N264" s="6"/>
      <c r="O264" s="6"/>
      <c r="P264" s="6"/>
      <c r="Q264" s="6"/>
      <c r="R264" s="6"/>
      <c r="S264" s="6"/>
      <c r="T264" s="6"/>
      <c r="X264" s="12"/>
      <c r="Y264" s="12"/>
    </row>
    <row r="265" ht="14.25" customHeight="1">
      <c r="A265" s="6"/>
      <c r="B265" s="6"/>
      <c r="D265" s="6"/>
      <c r="E265" s="6"/>
      <c r="F265" s="6"/>
      <c r="G265" s="6"/>
      <c r="H265" s="6"/>
      <c r="I265" s="6"/>
      <c r="J265" s="6"/>
      <c r="K265" s="6"/>
      <c r="L265" s="8"/>
      <c r="M265" s="8"/>
      <c r="N265" s="6"/>
      <c r="O265" s="6"/>
      <c r="P265" s="6"/>
      <c r="Q265" s="6"/>
      <c r="R265" s="6"/>
      <c r="S265" s="6"/>
      <c r="T265" s="6"/>
      <c r="X265" s="12"/>
      <c r="Y265" s="12"/>
    </row>
    <row r="266" ht="14.25" customHeight="1">
      <c r="A266" s="6"/>
      <c r="B266" s="6"/>
      <c r="D266" s="6"/>
      <c r="E266" s="6"/>
      <c r="F266" s="6"/>
      <c r="G266" s="6"/>
      <c r="H266" s="6"/>
      <c r="I266" s="6"/>
      <c r="J266" s="6"/>
      <c r="K266" s="6"/>
      <c r="L266" s="8"/>
      <c r="M266" s="8"/>
      <c r="N266" s="6"/>
      <c r="O266" s="6"/>
      <c r="P266" s="6"/>
      <c r="Q266" s="6"/>
      <c r="R266" s="6"/>
      <c r="S266" s="6"/>
      <c r="T266" s="6"/>
      <c r="X266" s="12"/>
      <c r="Y266" s="12"/>
    </row>
    <row r="267" ht="14.25" customHeight="1">
      <c r="A267" s="6"/>
      <c r="B267" s="6"/>
      <c r="D267" s="6"/>
      <c r="E267" s="6"/>
      <c r="F267" s="6"/>
      <c r="G267" s="6"/>
      <c r="H267" s="6"/>
      <c r="I267" s="6"/>
      <c r="J267" s="6"/>
      <c r="K267" s="6"/>
      <c r="L267" s="8"/>
      <c r="M267" s="8"/>
      <c r="N267" s="6"/>
      <c r="O267" s="6"/>
      <c r="P267" s="6"/>
      <c r="Q267" s="6"/>
      <c r="R267" s="6"/>
      <c r="S267" s="6"/>
      <c r="T267" s="6"/>
      <c r="X267" s="12"/>
      <c r="Y267" s="12"/>
    </row>
    <row r="268" ht="14.25" customHeight="1">
      <c r="A268" s="6"/>
      <c r="B268" s="6"/>
      <c r="D268" s="6"/>
      <c r="E268" s="6"/>
      <c r="F268" s="6"/>
      <c r="G268" s="6"/>
      <c r="H268" s="6"/>
      <c r="I268" s="6"/>
      <c r="J268" s="6"/>
      <c r="K268" s="6"/>
      <c r="L268" s="8"/>
      <c r="M268" s="8"/>
      <c r="N268" s="6"/>
      <c r="O268" s="6"/>
      <c r="P268" s="6"/>
      <c r="Q268" s="6"/>
      <c r="R268" s="6"/>
      <c r="S268" s="6"/>
      <c r="T268" s="6"/>
      <c r="X268" s="12"/>
      <c r="Y268" s="12"/>
    </row>
    <row r="269" ht="14.25" customHeight="1">
      <c r="A269" s="6"/>
      <c r="B269" s="6"/>
      <c r="D269" s="6"/>
      <c r="E269" s="6"/>
      <c r="F269" s="6"/>
      <c r="G269" s="6"/>
      <c r="H269" s="6"/>
      <c r="I269" s="6"/>
      <c r="J269" s="6"/>
      <c r="K269" s="6"/>
      <c r="L269" s="8"/>
      <c r="M269" s="8"/>
      <c r="N269" s="6"/>
      <c r="O269" s="6"/>
      <c r="P269" s="6"/>
      <c r="Q269" s="6"/>
      <c r="R269" s="6"/>
      <c r="S269" s="6"/>
      <c r="T269" s="6"/>
      <c r="X269" s="12"/>
      <c r="Y269" s="12"/>
    </row>
    <row r="270" ht="14.25" customHeight="1">
      <c r="A270" s="6"/>
      <c r="B270" s="6"/>
      <c r="D270" s="6"/>
      <c r="E270" s="6"/>
      <c r="F270" s="6"/>
      <c r="G270" s="6"/>
      <c r="H270" s="6"/>
      <c r="I270" s="6"/>
      <c r="J270" s="6"/>
      <c r="K270" s="6"/>
      <c r="L270" s="8"/>
      <c r="M270" s="8"/>
      <c r="N270" s="6"/>
      <c r="O270" s="6"/>
      <c r="P270" s="6"/>
      <c r="Q270" s="6"/>
      <c r="R270" s="6"/>
      <c r="S270" s="6"/>
      <c r="T270" s="6"/>
      <c r="X270" s="12"/>
      <c r="Y270" s="12"/>
    </row>
    <row r="271" ht="14.25" customHeight="1">
      <c r="A271" s="6"/>
      <c r="B271" s="6"/>
      <c r="D271" s="6"/>
      <c r="E271" s="6"/>
      <c r="F271" s="6"/>
      <c r="G271" s="6"/>
      <c r="H271" s="6"/>
      <c r="I271" s="6"/>
      <c r="J271" s="6"/>
      <c r="K271" s="6"/>
      <c r="L271" s="8"/>
      <c r="M271" s="8"/>
      <c r="N271" s="6"/>
      <c r="O271" s="6"/>
      <c r="P271" s="6"/>
      <c r="Q271" s="6"/>
      <c r="R271" s="6"/>
      <c r="S271" s="6"/>
      <c r="T271" s="6"/>
      <c r="X271" s="12"/>
      <c r="Y271" s="12"/>
    </row>
    <row r="272" ht="14.25" customHeight="1">
      <c r="A272" s="6"/>
      <c r="B272" s="6"/>
      <c r="D272" s="6"/>
      <c r="E272" s="6"/>
      <c r="F272" s="6"/>
      <c r="G272" s="6"/>
      <c r="H272" s="6"/>
      <c r="I272" s="6"/>
      <c r="J272" s="6"/>
      <c r="K272" s="6"/>
      <c r="L272" s="8"/>
      <c r="M272" s="8"/>
      <c r="N272" s="6"/>
      <c r="O272" s="6"/>
      <c r="P272" s="6"/>
      <c r="Q272" s="6"/>
      <c r="R272" s="6"/>
      <c r="S272" s="6"/>
      <c r="T272" s="6"/>
      <c r="X272" s="12"/>
      <c r="Y272" s="12"/>
    </row>
    <row r="273" ht="14.25" customHeight="1">
      <c r="A273" s="6"/>
      <c r="B273" s="6"/>
      <c r="D273" s="6"/>
      <c r="E273" s="6"/>
      <c r="F273" s="6"/>
      <c r="G273" s="6"/>
      <c r="H273" s="6"/>
      <c r="I273" s="6"/>
      <c r="J273" s="6"/>
      <c r="K273" s="6"/>
      <c r="L273" s="8"/>
      <c r="M273" s="8"/>
      <c r="N273" s="6"/>
      <c r="O273" s="6"/>
      <c r="P273" s="6"/>
      <c r="Q273" s="6"/>
      <c r="R273" s="6"/>
      <c r="S273" s="6"/>
      <c r="T273" s="6"/>
      <c r="X273" s="12"/>
      <c r="Y273" s="12"/>
    </row>
    <row r="274" ht="14.25" customHeight="1">
      <c r="A274" s="6"/>
      <c r="B274" s="6"/>
      <c r="D274" s="6"/>
      <c r="E274" s="6"/>
      <c r="F274" s="6"/>
      <c r="G274" s="6"/>
      <c r="H274" s="6"/>
      <c r="I274" s="6"/>
      <c r="J274" s="6"/>
      <c r="K274" s="6"/>
      <c r="L274" s="8"/>
      <c r="M274" s="8"/>
      <c r="N274" s="6"/>
      <c r="O274" s="6"/>
      <c r="P274" s="6"/>
      <c r="Q274" s="6"/>
      <c r="R274" s="6"/>
      <c r="S274" s="6"/>
      <c r="T274" s="6"/>
      <c r="X274" s="12"/>
      <c r="Y274" s="12"/>
    </row>
    <row r="275" ht="14.25" customHeight="1">
      <c r="A275" s="6"/>
      <c r="B275" s="6"/>
      <c r="D275" s="6"/>
      <c r="E275" s="6"/>
      <c r="F275" s="6"/>
      <c r="G275" s="6"/>
      <c r="H275" s="6"/>
      <c r="I275" s="6"/>
      <c r="J275" s="6"/>
      <c r="K275" s="6"/>
      <c r="L275" s="8"/>
      <c r="M275" s="8"/>
      <c r="N275" s="6"/>
      <c r="O275" s="6"/>
      <c r="P275" s="6"/>
      <c r="Q275" s="6"/>
      <c r="R275" s="6"/>
      <c r="S275" s="6"/>
      <c r="T275" s="6"/>
      <c r="X275" s="12"/>
      <c r="Y275" s="12"/>
    </row>
    <row r="276" ht="14.25" customHeight="1">
      <c r="A276" s="6"/>
      <c r="B276" s="6"/>
      <c r="D276" s="6"/>
      <c r="E276" s="6"/>
      <c r="F276" s="6"/>
      <c r="G276" s="6"/>
      <c r="H276" s="6"/>
      <c r="I276" s="6"/>
      <c r="J276" s="6"/>
      <c r="K276" s="6"/>
      <c r="L276" s="8"/>
      <c r="M276" s="8"/>
      <c r="N276" s="6"/>
      <c r="O276" s="6"/>
      <c r="P276" s="6"/>
      <c r="Q276" s="6"/>
      <c r="R276" s="6"/>
      <c r="S276" s="6"/>
      <c r="T276" s="6"/>
      <c r="X276" s="12"/>
      <c r="Y276" s="12"/>
    </row>
    <row r="277" ht="14.25" customHeight="1">
      <c r="A277" s="6"/>
      <c r="B277" s="6"/>
      <c r="D277" s="6"/>
      <c r="E277" s="6"/>
      <c r="F277" s="6"/>
      <c r="G277" s="6"/>
      <c r="H277" s="6"/>
      <c r="I277" s="6"/>
      <c r="J277" s="6"/>
      <c r="K277" s="6"/>
      <c r="L277" s="8"/>
      <c r="M277" s="8"/>
      <c r="N277" s="6"/>
      <c r="O277" s="6"/>
      <c r="P277" s="6"/>
      <c r="Q277" s="6"/>
      <c r="R277" s="6"/>
      <c r="S277" s="6"/>
      <c r="T277" s="6"/>
      <c r="X277" s="12"/>
      <c r="Y277" s="12"/>
    </row>
    <row r="278" ht="14.25" customHeight="1">
      <c r="A278" s="6"/>
      <c r="B278" s="6"/>
      <c r="D278" s="6"/>
      <c r="E278" s="6"/>
      <c r="F278" s="6"/>
      <c r="G278" s="6"/>
      <c r="H278" s="6"/>
      <c r="I278" s="6"/>
      <c r="J278" s="6"/>
      <c r="K278" s="6"/>
      <c r="L278" s="8"/>
      <c r="M278" s="8"/>
      <c r="N278" s="6"/>
      <c r="O278" s="6"/>
      <c r="P278" s="6"/>
      <c r="Q278" s="6"/>
      <c r="R278" s="6"/>
      <c r="S278" s="6"/>
      <c r="T278" s="6"/>
      <c r="X278" s="12"/>
      <c r="Y278" s="12"/>
    </row>
    <row r="279" ht="14.25" customHeight="1">
      <c r="A279" s="6"/>
      <c r="B279" s="6"/>
      <c r="D279" s="6"/>
      <c r="E279" s="6"/>
      <c r="F279" s="6"/>
      <c r="G279" s="6"/>
      <c r="H279" s="6"/>
      <c r="I279" s="6"/>
      <c r="J279" s="6"/>
      <c r="K279" s="6"/>
      <c r="L279" s="8"/>
      <c r="M279" s="8"/>
      <c r="N279" s="6"/>
      <c r="O279" s="6"/>
      <c r="P279" s="6"/>
      <c r="Q279" s="6"/>
      <c r="R279" s="6"/>
      <c r="S279" s="6"/>
      <c r="T279" s="6"/>
      <c r="X279" s="12"/>
      <c r="Y279" s="12"/>
    </row>
    <row r="280" ht="14.25" customHeight="1">
      <c r="A280" s="6"/>
      <c r="B280" s="6"/>
      <c r="D280" s="6"/>
      <c r="E280" s="6"/>
      <c r="F280" s="6"/>
      <c r="G280" s="6"/>
      <c r="H280" s="6"/>
      <c r="I280" s="6"/>
      <c r="J280" s="6"/>
      <c r="K280" s="6"/>
      <c r="L280" s="8"/>
      <c r="M280" s="8"/>
      <c r="N280" s="6"/>
      <c r="O280" s="6"/>
      <c r="P280" s="6"/>
      <c r="Q280" s="6"/>
      <c r="R280" s="6"/>
      <c r="S280" s="6"/>
      <c r="T280" s="6"/>
      <c r="X280" s="12"/>
      <c r="Y280" s="12"/>
    </row>
    <row r="281" ht="14.25" customHeight="1">
      <c r="A281" s="6"/>
      <c r="B281" s="6"/>
      <c r="D281" s="6"/>
      <c r="E281" s="6"/>
      <c r="F281" s="6"/>
      <c r="G281" s="6"/>
      <c r="H281" s="6"/>
      <c r="I281" s="6"/>
      <c r="J281" s="6"/>
      <c r="K281" s="6"/>
      <c r="L281" s="8"/>
      <c r="M281" s="8"/>
      <c r="N281" s="6"/>
      <c r="O281" s="6"/>
      <c r="P281" s="6"/>
      <c r="Q281" s="6"/>
      <c r="R281" s="6"/>
      <c r="S281" s="6"/>
      <c r="T281" s="6"/>
      <c r="X281" s="12"/>
      <c r="Y281" s="12"/>
    </row>
    <row r="282" ht="14.25" customHeight="1">
      <c r="A282" s="6"/>
      <c r="B282" s="6"/>
      <c r="D282" s="6"/>
      <c r="E282" s="6"/>
      <c r="F282" s="6"/>
      <c r="G282" s="6"/>
      <c r="H282" s="6"/>
      <c r="I282" s="6"/>
      <c r="J282" s="6"/>
      <c r="K282" s="6"/>
      <c r="L282" s="8"/>
      <c r="M282" s="8"/>
      <c r="N282" s="6"/>
      <c r="O282" s="6"/>
      <c r="P282" s="6"/>
      <c r="Q282" s="6"/>
      <c r="R282" s="6"/>
      <c r="S282" s="6"/>
      <c r="T282" s="6"/>
      <c r="X282" s="12"/>
      <c r="Y282" s="12"/>
    </row>
    <row r="283" ht="14.25" customHeight="1">
      <c r="A283" s="6"/>
      <c r="B283" s="6"/>
      <c r="D283" s="6"/>
      <c r="E283" s="6"/>
      <c r="F283" s="6"/>
      <c r="G283" s="6"/>
      <c r="H283" s="6"/>
      <c r="I283" s="6"/>
      <c r="J283" s="6"/>
      <c r="K283" s="6"/>
      <c r="L283" s="8"/>
      <c r="M283" s="8"/>
      <c r="N283" s="6"/>
      <c r="O283" s="6"/>
      <c r="P283" s="6"/>
      <c r="Q283" s="6"/>
      <c r="R283" s="6"/>
      <c r="S283" s="6"/>
      <c r="T283" s="6"/>
      <c r="X283" s="12"/>
      <c r="Y283" s="12"/>
    </row>
    <row r="284" ht="14.25" customHeight="1">
      <c r="A284" s="6"/>
      <c r="B284" s="6"/>
      <c r="D284" s="6"/>
      <c r="E284" s="6"/>
      <c r="F284" s="6"/>
      <c r="G284" s="6"/>
      <c r="H284" s="6"/>
      <c r="I284" s="6"/>
      <c r="J284" s="6"/>
      <c r="K284" s="6"/>
      <c r="L284" s="8"/>
      <c r="M284" s="8"/>
      <c r="N284" s="6"/>
      <c r="O284" s="6"/>
      <c r="P284" s="6"/>
      <c r="Q284" s="6"/>
      <c r="R284" s="6"/>
      <c r="S284" s="6"/>
      <c r="T284" s="6"/>
      <c r="X284" s="12"/>
      <c r="Y284" s="12"/>
    </row>
    <row r="285" ht="14.25" customHeight="1">
      <c r="A285" s="6"/>
      <c r="B285" s="6"/>
      <c r="D285" s="6"/>
      <c r="E285" s="6"/>
      <c r="F285" s="6"/>
      <c r="G285" s="6"/>
      <c r="H285" s="6"/>
      <c r="I285" s="6"/>
      <c r="J285" s="6"/>
      <c r="K285" s="6"/>
      <c r="L285" s="8"/>
      <c r="M285" s="8"/>
      <c r="N285" s="6"/>
      <c r="O285" s="6"/>
      <c r="P285" s="6"/>
      <c r="Q285" s="6"/>
      <c r="R285" s="6"/>
      <c r="S285" s="6"/>
      <c r="T285" s="6"/>
      <c r="X285" s="12"/>
      <c r="Y285" s="12"/>
    </row>
    <row r="286" ht="14.25" customHeight="1">
      <c r="A286" s="6"/>
      <c r="B286" s="6"/>
      <c r="D286" s="6"/>
      <c r="E286" s="6"/>
      <c r="F286" s="6"/>
      <c r="G286" s="6"/>
      <c r="H286" s="6"/>
      <c r="I286" s="6"/>
      <c r="J286" s="6"/>
      <c r="K286" s="6"/>
      <c r="L286" s="8"/>
      <c r="M286" s="8"/>
      <c r="N286" s="6"/>
      <c r="O286" s="6"/>
      <c r="P286" s="6"/>
      <c r="Q286" s="6"/>
      <c r="R286" s="6"/>
      <c r="S286" s="6"/>
      <c r="T286" s="6"/>
      <c r="X286" s="12"/>
      <c r="Y286" s="12"/>
    </row>
    <row r="287" ht="14.25" customHeight="1">
      <c r="A287" s="6"/>
      <c r="B287" s="6"/>
      <c r="D287" s="6"/>
      <c r="E287" s="6"/>
      <c r="F287" s="6"/>
      <c r="G287" s="6"/>
      <c r="H287" s="6"/>
      <c r="I287" s="6"/>
      <c r="J287" s="6"/>
      <c r="K287" s="6"/>
      <c r="L287" s="8"/>
      <c r="M287" s="8"/>
      <c r="N287" s="6"/>
      <c r="O287" s="6"/>
      <c r="P287" s="6"/>
      <c r="Q287" s="6"/>
      <c r="R287" s="6"/>
      <c r="S287" s="6"/>
      <c r="T287" s="6"/>
      <c r="X287" s="12"/>
      <c r="Y287" s="12"/>
    </row>
    <row r="288" ht="14.25" customHeight="1">
      <c r="A288" s="6"/>
      <c r="B288" s="6"/>
      <c r="D288" s="6"/>
      <c r="E288" s="6"/>
      <c r="F288" s="6"/>
      <c r="G288" s="6"/>
      <c r="H288" s="6"/>
      <c r="I288" s="6"/>
      <c r="J288" s="6"/>
      <c r="K288" s="6"/>
      <c r="L288" s="8"/>
      <c r="M288" s="8"/>
      <c r="N288" s="6"/>
      <c r="O288" s="6"/>
      <c r="P288" s="6"/>
      <c r="Q288" s="6"/>
      <c r="R288" s="6"/>
      <c r="S288" s="6"/>
      <c r="T288" s="6"/>
      <c r="X288" s="12"/>
      <c r="Y288" s="12"/>
    </row>
    <row r="289" ht="14.25" customHeight="1">
      <c r="A289" s="6"/>
      <c r="B289" s="6"/>
      <c r="D289" s="6"/>
      <c r="E289" s="6"/>
      <c r="F289" s="6"/>
      <c r="G289" s="6"/>
      <c r="H289" s="6"/>
      <c r="I289" s="6"/>
      <c r="J289" s="6"/>
      <c r="K289" s="6"/>
      <c r="L289" s="8"/>
      <c r="M289" s="8"/>
      <c r="N289" s="6"/>
      <c r="O289" s="6"/>
      <c r="P289" s="6"/>
      <c r="Q289" s="6"/>
      <c r="R289" s="6"/>
      <c r="S289" s="6"/>
      <c r="T289" s="6"/>
      <c r="X289" s="12"/>
      <c r="Y289" s="12"/>
    </row>
    <row r="290" ht="14.25" customHeight="1">
      <c r="A290" s="6"/>
      <c r="B290" s="6"/>
      <c r="D290" s="6"/>
      <c r="E290" s="6"/>
      <c r="F290" s="6"/>
      <c r="G290" s="6"/>
      <c r="H290" s="6"/>
      <c r="I290" s="6"/>
      <c r="J290" s="6"/>
      <c r="K290" s="6"/>
      <c r="L290" s="8"/>
      <c r="M290" s="8"/>
      <c r="N290" s="6"/>
      <c r="O290" s="6"/>
      <c r="P290" s="6"/>
      <c r="Q290" s="6"/>
      <c r="R290" s="6"/>
      <c r="S290" s="6"/>
      <c r="T290" s="6"/>
      <c r="X290" s="12"/>
      <c r="Y290" s="12"/>
    </row>
    <row r="291" ht="14.25" customHeight="1">
      <c r="A291" s="6"/>
      <c r="B291" s="6"/>
      <c r="D291" s="6"/>
      <c r="E291" s="6"/>
      <c r="F291" s="6"/>
      <c r="G291" s="6"/>
      <c r="H291" s="6"/>
      <c r="I291" s="6"/>
      <c r="J291" s="6"/>
      <c r="K291" s="6"/>
      <c r="L291" s="8"/>
      <c r="M291" s="8"/>
      <c r="N291" s="6"/>
      <c r="O291" s="6"/>
      <c r="P291" s="6"/>
      <c r="Q291" s="6"/>
      <c r="R291" s="6"/>
      <c r="S291" s="6"/>
      <c r="T291" s="6"/>
      <c r="X291" s="12"/>
      <c r="Y291" s="12"/>
    </row>
    <row r="292" ht="14.25" customHeight="1">
      <c r="A292" s="6"/>
      <c r="B292" s="6"/>
      <c r="D292" s="6"/>
      <c r="E292" s="6"/>
      <c r="F292" s="6"/>
      <c r="G292" s="6"/>
      <c r="H292" s="6"/>
      <c r="I292" s="6"/>
      <c r="J292" s="6"/>
      <c r="K292" s="6"/>
      <c r="L292" s="8"/>
      <c r="M292" s="8"/>
      <c r="N292" s="6"/>
      <c r="O292" s="6"/>
      <c r="P292" s="6"/>
      <c r="Q292" s="6"/>
      <c r="R292" s="6"/>
      <c r="S292" s="6"/>
      <c r="T292" s="6"/>
      <c r="X292" s="12"/>
      <c r="Y292" s="12"/>
    </row>
    <row r="293" ht="14.25" customHeight="1">
      <c r="A293" s="6"/>
      <c r="B293" s="6"/>
      <c r="D293" s="6"/>
      <c r="E293" s="6"/>
      <c r="F293" s="6"/>
      <c r="G293" s="6"/>
      <c r="H293" s="6"/>
      <c r="I293" s="6"/>
      <c r="J293" s="6"/>
      <c r="K293" s="6"/>
      <c r="L293" s="8"/>
      <c r="M293" s="8"/>
      <c r="N293" s="6"/>
      <c r="O293" s="6"/>
      <c r="P293" s="6"/>
      <c r="Q293" s="6"/>
      <c r="R293" s="6"/>
      <c r="S293" s="6"/>
      <c r="T293" s="6"/>
      <c r="X293" s="12"/>
      <c r="Y293" s="12"/>
    </row>
    <row r="294" ht="14.25" customHeight="1">
      <c r="A294" s="6"/>
      <c r="B294" s="6"/>
      <c r="D294" s="6"/>
      <c r="E294" s="6"/>
      <c r="F294" s="6"/>
      <c r="G294" s="6"/>
      <c r="H294" s="6"/>
      <c r="I294" s="6"/>
      <c r="J294" s="6"/>
      <c r="K294" s="6"/>
      <c r="L294" s="8"/>
      <c r="M294" s="8"/>
      <c r="N294" s="6"/>
      <c r="O294" s="6"/>
      <c r="P294" s="6"/>
      <c r="Q294" s="6"/>
      <c r="R294" s="6"/>
      <c r="S294" s="6"/>
      <c r="T294" s="6"/>
      <c r="X294" s="12"/>
      <c r="Y294" s="12"/>
    </row>
    <row r="295" ht="14.25" customHeight="1">
      <c r="A295" s="6"/>
      <c r="B295" s="6"/>
      <c r="D295" s="6"/>
      <c r="E295" s="6"/>
      <c r="F295" s="6"/>
      <c r="G295" s="6"/>
      <c r="H295" s="6"/>
      <c r="I295" s="6"/>
      <c r="J295" s="6"/>
      <c r="K295" s="6"/>
      <c r="L295" s="8"/>
      <c r="M295" s="8"/>
      <c r="N295" s="6"/>
      <c r="O295" s="6"/>
      <c r="P295" s="6"/>
      <c r="Q295" s="6"/>
      <c r="R295" s="6"/>
      <c r="S295" s="6"/>
      <c r="T295" s="6"/>
      <c r="X295" s="12"/>
      <c r="Y295" s="12"/>
    </row>
    <row r="296" ht="14.25" customHeight="1">
      <c r="A296" s="6"/>
      <c r="B296" s="6"/>
      <c r="D296" s="6"/>
      <c r="E296" s="6"/>
      <c r="F296" s="6"/>
      <c r="G296" s="6"/>
      <c r="H296" s="6"/>
      <c r="I296" s="6"/>
      <c r="J296" s="6"/>
      <c r="K296" s="6"/>
      <c r="L296" s="8"/>
      <c r="M296" s="8"/>
      <c r="N296" s="6"/>
      <c r="O296" s="6"/>
      <c r="P296" s="6"/>
      <c r="Q296" s="6"/>
      <c r="R296" s="6"/>
      <c r="S296" s="6"/>
      <c r="T296" s="6"/>
      <c r="X296" s="12"/>
      <c r="Y296" s="12"/>
    </row>
    <row r="297" ht="14.25" customHeight="1">
      <c r="A297" s="6"/>
      <c r="B297" s="6"/>
      <c r="D297" s="6"/>
      <c r="E297" s="6"/>
      <c r="F297" s="6"/>
      <c r="G297" s="6"/>
      <c r="H297" s="6"/>
      <c r="I297" s="6"/>
      <c r="J297" s="6"/>
      <c r="K297" s="6"/>
      <c r="L297" s="8"/>
      <c r="M297" s="8"/>
      <c r="N297" s="6"/>
      <c r="O297" s="6"/>
      <c r="P297" s="6"/>
      <c r="Q297" s="6"/>
      <c r="R297" s="6"/>
      <c r="S297" s="6"/>
      <c r="T297" s="6"/>
      <c r="X297" s="12"/>
      <c r="Y297" s="12"/>
    </row>
    <row r="298" ht="14.25" customHeight="1">
      <c r="A298" s="6"/>
      <c r="B298" s="6"/>
      <c r="D298" s="6"/>
      <c r="E298" s="6"/>
      <c r="F298" s="6"/>
      <c r="G298" s="6"/>
      <c r="H298" s="6"/>
      <c r="I298" s="6"/>
      <c r="J298" s="6"/>
      <c r="K298" s="6"/>
      <c r="L298" s="8"/>
      <c r="M298" s="8"/>
      <c r="N298" s="6"/>
      <c r="O298" s="6"/>
      <c r="P298" s="6"/>
      <c r="Q298" s="6"/>
      <c r="R298" s="6"/>
      <c r="S298" s="6"/>
      <c r="T298" s="6"/>
      <c r="X298" s="12"/>
      <c r="Y298" s="12"/>
    </row>
    <row r="299" ht="14.25" customHeight="1">
      <c r="A299" s="6"/>
      <c r="B299" s="6"/>
      <c r="D299" s="6"/>
      <c r="E299" s="6"/>
      <c r="F299" s="6"/>
      <c r="G299" s="6"/>
      <c r="H299" s="6"/>
      <c r="I299" s="6"/>
      <c r="J299" s="6"/>
      <c r="K299" s="6"/>
      <c r="L299" s="8"/>
      <c r="M299" s="8"/>
      <c r="N299" s="6"/>
      <c r="O299" s="6"/>
      <c r="P299" s="6"/>
      <c r="Q299" s="6"/>
      <c r="R299" s="6"/>
      <c r="S299" s="6"/>
      <c r="T299" s="6"/>
      <c r="X299" s="12"/>
      <c r="Y299" s="12"/>
    </row>
    <row r="300" ht="14.25" customHeight="1">
      <c r="A300" s="6"/>
      <c r="B300" s="6"/>
      <c r="D300" s="6"/>
      <c r="E300" s="6"/>
      <c r="F300" s="6"/>
      <c r="G300" s="6"/>
      <c r="H300" s="6"/>
      <c r="I300" s="6"/>
      <c r="J300" s="6"/>
      <c r="K300" s="6"/>
      <c r="L300" s="8"/>
      <c r="M300" s="8"/>
      <c r="N300" s="6"/>
      <c r="O300" s="6"/>
      <c r="P300" s="6"/>
      <c r="Q300" s="6"/>
      <c r="R300" s="6"/>
      <c r="S300" s="6"/>
      <c r="T300" s="6"/>
      <c r="X300" s="12"/>
      <c r="Y300" s="12"/>
    </row>
    <row r="301" ht="14.25" customHeight="1">
      <c r="A301" s="6"/>
      <c r="B301" s="6"/>
      <c r="D301" s="6"/>
      <c r="E301" s="6"/>
      <c r="F301" s="6"/>
      <c r="G301" s="6"/>
      <c r="H301" s="6"/>
      <c r="I301" s="6"/>
      <c r="J301" s="6"/>
      <c r="K301" s="6"/>
      <c r="L301" s="8"/>
      <c r="M301" s="8"/>
      <c r="N301" s="6"/>
      <c r="O301" s="6"/>
      <c r="P301" s="6"/>
      <c r="Q301" s="6"/>
      <c r="R301" s="6"/>
      <c r="S301" s="6"/>
      <c r="T301" s="6"/>
      <c r="X301" s="12"/>
      <c r="Y301" s="12"/>
    </row>
    <row r="302" ht="14.25" customHeight="1">
      <c r="A302" s="6"/>
      <c r="B302" s="6"/>
      <c r="D302" s="6"/>
      <c r="E302" s="6"/>
      <c r="F302" s="6"/>
      <c r="G302" s="6"/>
      <c r="H302" s="6"/>
      <c r="I302" s="6"/>
      <c r="J302" s="6"/>
      <c r="K302" s="6"/>
      <c r="L302" s="8"/>
      <c r="M302" s="8"/>
      <c r="N302" s="6"/>
      <c r="O302" s="6"/>
      <c r="P302" s="6"/>
      <c r="Q302" s="6"/>
      <c r="R302" s="6"/>
      <c r="S302" s="6"/>
      <c r="T302" s="6"/>
      <c r="X302" s="12"/>
      <c r="Y302" s="12"/>
    </row>
    <row r="303" ht="14.25" customHeight="1">
      <c r="A303" s="6"/>
      <c r="B303" s="6"/>
      <c r="D303" s="6"/>
      <c r="E303" s="6"/>
      <c r="F303" s="6"/>
      <c r="G303" s="6"/>
      <c r="H303" s="6"/>
      <c r="I303" s="6"/>
      <c r="J303" s="6"/>
      <c r="K303" s="6"/>
      <c r="L303" s="8"/>
      <c r="M303" s="8"/>
      <c r="N303" s="6"/>
      <c r="O303" s="6"/>
      <c r="P303" s="6"/>
      <c r="Q303" s="6"/>
      <c r="R303" s="6"/>
      <c r="S303" s="6"/>
      <c r="T303" s="6"/>
      <c r="X303" s="12"/>
      <c r="Y303" s="12"/>
    </row>
    <row r="304" ht="14.25" customHeight="1">
      <c r="A304" s="6"/>
      <c r="B304" s="6"/>
      <c r="D304" s="6"/>
      <c r="E304" s="6"/>
      <c r="F304" s="6"/>
      <c r="G304" s="6"/>
      <c r="H304" s="6"/>
      <c r="I304" s="6"/>
      <c r="J304" s="6"/>
      <c r="K304" s="6"/>
      <c r="L304" s="8"/>
      <c r="M304" s="8"/>
      <c r="N304" s="6"/>
      <c r="O304" s="6"/>
      <c r="P304" s="6"/>
      <c r="Q304" s="6"/>
      <c r="R304" s="6"/>
      <c r="S304" s="6"/>
      <c r="T304" s="6"/>
      <c r="X304" s="12"/>
      <c r="Y304" s="12"/>
    </row>
    <row r="305" ht="14.25" customHeight="1">
      <c r="A305" s="6"/>
      <c r="B305" s="6"/>
      <c r="D305" s="6"/>
      <c r="E305" s="6"/>
      <c r="F305" s="6"/>
      <c r="G305" s="6"/>
      <c r="H305" s="6"/>
      <c r="I305" s="6"/>
      <c r="J305" s="6"/>
      <c r="K305" s="6"/>
      <c r="L305" s="8"/>
      <c r="M305" s="8"/>
      <c r="N305" s="6"/>
      <c r="O305" s="6"/>
      <c r="P305" s="6"/>
      <c r="Q305" s="6"/>
      <c r="R305" s="6"/>
      <c r="S305" s="6"/>
      <c r="T305" s="6"/>
      <c r="X305" s="12"/>
      <c r="Y305" s="12"/>
    </row>
    <row r="306" ht="14.25" customHeight="1">
      <c r="A306" s="6"/>
      <c r="B306" s="6"/>
      <c r="D306" s="6"/>
      <c r="E306" s="6"/>
      <c r="F306" s="6"/>
      <c r="G306" s="6"/>
      <c r="H306" s="6"/>
      <c r="I306" s="6"/>
      <c r="J306" s="6"/>
      <c r="K306" s="6"/>
      <c r="L306" s="8"/>
      <c r="M306" s="8"/>
      <c r="N306" s="6"/>
      <c r="O306" s="6"/>
      <c r="P306" s="6"/>
      <c r="Q306" s="6"/>
      <c r="R306" s="6"/>
      <c r="S306" s="6"/>
      <c r="T306" s="6"/>
      <c r="X306" s="12"/>
      <c r="Y306" s="12"/>
    </row>
    <row r="307" ht="14.25" customHeight="1">
      <c r="A307" s="6"/>
      <c r="B307" s="6"/>
      <c r="D307" s="6"/>
      <c r="E307" s="6"/>
      <c r="F307" s="6"/>
      <c r="G307" s="6"/>
      <c r="H307" s="6"/>
      <c r="I307" s="6"/>
      <c r="J307" s="6"/>
      <c r="K307" s="6"/>
      <c r="L307" s="8"/>
      <c r="M307" s="8"/>
      <c r="N307" s="6"/>
      <c r="O307" s="6"/>
      <c r="P307" s="6"/>
      <c r="Q307" s="6"/>
      <c r="R307" s="6"/>
      <c r="S307" s="6"/>
      <c r="T307" s="6"/>
      <c r="X307" s="12"/>
      <c r="Y307" s="12"/>
    </row>
    <row r="308" ht="14.25" customHeight="1">
      <c r="A308" s="6"/>
      <c r="B308" s="6"/>
      <c r="D308" s="6"/>
      <c r="E308" s="6"/>
      <c r="F308" s="6"/>
      <c r="G308" s="6"/>
      <c r="H308" s="6"/>
      <c r="I308" s="6"/>
      <c r="J308" s="6"/>
      <c r="K308" s="6"/>
      <c r="L308" s="8"/>
      <c r="M308" s="8"/>
      <c r="N308" s="6"/>
      <c r="O308" s="6"/>
      <c r="P308" s="6"/>
      <c r="Q308" s="6"/>
      <c r="R308" s="6"/>
      <c r="S308" s="6"/>
      <c r="T308" s="6"/>
      <c r="X308" s="12"/>
      <c r="Y308" s="12"/>
    </row>
    <row r="309" ht="14.25" customHeight="1">
      <c r="A309" s="6"/>
      <c r="B309" s="6"/>
      <c r="D309" s="6"/>
      <c r="E309" s="6"/>
      <c r="F309" s="6"/>
      <c r="G309" s="6"/>
      <c r="H309" s="6"/>
      <c r="I309" s="6"/>
      <c r="J309" s="6"/>
      <c r="K309" s="6"/>
      <c r="L309" s="8"/>
      <c r="M309" s="8"/>
      <c r="N309" s="6"/>
      <c r="O309" s="6"/>
      <c r="P309" s="6"/>
      <c r="Q309" s="6"/>
      <c r="R309" s="6"/>
      <c r="S309" s="6"/>
      <c r="T309" s="6"/>
      <c r="X309" s="12"/>
      <c r="Y309" s="12"/>
    </row>
    <row r="310" ht="14.25" customHeight="1">
      <c r="A310" s="6"/>
      <c r="B310" s="6"/>
      <c r="D310" s="6"/>
      <c r="E310" s="6"/>
      <c r="F310" s="6"/>
      <c r="G310" s="6"/>
      <c r="H310" s="6"/>
      <c r="I310" s="6"/>
      <c r="J310" s="6"/>
      <c r="K310" s="6"/>
      <c r="L310" s="8"/>
      <c r="M310" s="8"/>
      <c r="N310" s="6"/>
      <c r="O310" s="6"/>
      <c r="P310" s="6"/>
      <c r="Q310" s="6"/>
      <c r="R310" s="6"/>
      <c r="S310" s="6"/>
      <c r="T310" s="6"/>
      <c r="X310" s="12"/>
      <c r="Y310" s="12"/>
    </row>
    <row r="311" ht="14.25" customHeight="1">
      <c r="A311" s="6"/>
      <c r="B311" s="6"/>
      <c r="D311" s="6"/>
      <c r="E311" s="6"/>
      <c r="F311" s="6"/>
      <c r="G311" s="6"/>
      <c r="H311" s="6"/>
      <c r="I311" s="6"/>
      <c r="J311" s="6"/>
      <c r="K311" s="6"/>
      <c r="L311" s="8"/>
      <c r="M311" s="8"/>
      <c r="N311" s="6"/>
      <c r="O311" s="6"/>
      <c r="P311" s="6"/>
      <c r="Q311" s="6"/>
      <c r="R311" s="6"/>
      <c r="S311" s="6"/>
      <c r="T311" s="6"/>
      <c r="X311" s="12"/>
      <c r="Y311" s="12"/>
    </row>
    <row r="312" ht="14.25" customHeight="1">
      <c r="A312" s="6"/>
      <c r="B312" s="6"/>
      <c r="D312" s="6"/>
      <c r="E312" s="6"/>
      <c r="F312" s="6"/>
      <c r="G312" s="6"/>
      <c r="H312" s="6"/>
      <c r="I312" s="6"/>
      <c r="J312" s="6"/>
      <c r="K312" s="6"/>
      <c r="L312" s="8"/>
      <c r="M312" s="8"/>
      <c r="N312" s="6"/>
      <c r="O312" s="6"/>
      <c r="P312" s="6"/>
      <c r="Q312" s="6"/>
      <c r="R312" s="6"/>
      <c r="S312" s="6"/>
      <c r="T312" s="6"/>
      <c r="X312" s="12"/>
      <c r="Y312" s="12"/>
    </row>
    <row r="313" ht="14.25" customHeight="1">
      <c r="A313" s="6"/>
      <c r="B313" s="6"/>
      <c r="D313" s="6"/>
      <c r="E313" s="6"/>
      <c r="F313" s="6"/>
      <c r="G313" s="6"/>
      <c r="H313" s="6"/>
      <c r="I313" s="6"/>
      <c r="J313" s="6"/>
      <c r="K313" s="6"/>
      <c r="L313" s="8"/>
      <c r="M313" s="8"/>
      <c r="N313" s="6"/>
      <c r="O313" s="6"/>
      <c r="P313" s="6"/>
      <c r="Q313" s="6"/>
      <c r="R313" s="6"/>
      <c r="S313" s="6"/>
      <c r="T313" s="6"/>
      <c r="X313" s="12"/>
      <c r="Y313" s="12"/>
    </row>
    <row r="314" ht="14.25" customHeight="1">
      <c r="A314" s="6"/>
      <c r="B314" s="6"/>
      <c r="D314" s="6"/>
      <c r="E314" s="6"/>
      <c r="F314" s="6"/>
      <c r="G314" s="6"/>
      <c r="H314" s="6"/>
      <c r="I314" s="6"/>
      <c r="J314" s="6"/>
      <c r="K314" s="6"/>
      <c r="L314" s="8"/>
      <c r="M314" s="8"/>
      <c r="N314" s="6"/>
      <c r="O314" s="6"/>
      <c r="P314" s="6"/>
      <c r="Q314" s="6"/>
      <c r="R314" s="6"/>
      <c r="S314" s="6"/>
      <c r="T314" s="6"/>
      <c r="X314" s="12"/>
      <c r="Y314" s="12"/>
    </row>
    <row r="315" ht="14.25" customHeight="1">
      <c r="A315" s="6"/>
      <c r="B315" s="6"/>
      <c r="D315" s="6"/>
      <c r="E315" s="6"/>
      <c r="F315" s="6"/>
      <c r="G315" s="6"/>
      <c r="H315" s="6"/>
      <c r="I315" s="6"/>
      <c r="J315" s="6"/>
      <c r="K315" s="6"/>
      <c r="L315" s="8"/>
      <c r="M315" s="8"/>
      <c r="N315" s="6"/>
      <c r="O315" s="6"/>
      <c r="P315" s="6"/>
      <c r="Q315" s="6"/>
      <c r="R315" s="6"/>
      <c r="S315" s="6"/>
      <c r="T315" s="6"/>
      <c r="X315" s="12"/>
      <c r="Y315" s="12"/>
    </row>
    <row r="316" ht="14.25" customHeight="1">
      <c r="A316" s="6"/>
      <c r="B316" s="6"/>
      <c r="D316" s="6"/>
      <c r="E316" s="6"/>
      <c r="F316" s="6"/>
      <c r="G316" s="6"/>
      <c r="H316" s="6"/>
      <c r="I316" s="6"/>
      <c r="J316" s="6"/>
      <c r="K316" s="6"/>
      <c r="L316" s="8"/>
      <c r="M316" s="8"/>
      <c r="N316" s="6"/>
      <c r="O316" s="6"/>
      <c r="P316" s="6"/>
      <c r="Q316" s="6"/>
      <c r="R316" s="6"/>
      <c r="S316" s="6"/>
      <c r="T316" s="6"/>
      <c r="X316" s="12"/>
      <c r="Y316" s="12"/>
    </row>
    <row r="317" ht="14.25" customHeight="1">
      <c r="A317" s="6"/>
      <c r="B317" s="6"/>
      <c r="D317" s="6"/>
      <c r="E317" s="6"/>
      <c r="F317" s="6"/>
      <c r="G317" s="6"/>
      <c r="H317" s="6"/>
      <c r="I317" s="6"/>
      <c r="J317" s="6"/>
      <c r="K317" s="6"/>
      <c r="L317" s="8"/>
      <c r="M317" s="8"/>
      <c r="N317" s="6"/>
      <c r="O317" s="6"/>
      <c r="P317" s="6"/>
      <c r="Q317" s="6"/>
      <c r="R317" s="6"/>
      <c r="S317" s="6"/>
      <c r="T317" s="6"/>
      <c r="X317" s="12"/>
      <c r="Y317" s="12"/>
    </row>
    <row r="318" ht="14.25" customHeight="1">
      <c r="A318" s="6"/>
      <c r="B318" s="6"/>
      <c r="D318" s="6"/>
      <c r="E318" s="6"/>
      <c r="F318" s="6"/>
      <c r="G318" s="6"/>
      <c r="H318" s="6"/>
      <c r="I318" s="6"/>
      <c r="J318" s="6"/>
      <c r="K318" s="6"/>
      <c r="L318" s="8"/>
      <c r="M318" s="8"/>
      <c r="N318" s="6"/>
      <c r="O318" s="6"/>
      <c r="P318" s="6"/>
      <c r="Q318" s="6"/>
      <c r="R318" s="6"/>
      <c r="S318" s="6"/>
      <c r="T318" s="6"/>
      <c r="X318" s="12"/>
      <c r="Y318" s="12"/>
    </row>
    <row r="319" ht="14.25" customHeight="1">
      <c r="A319" s="6"/>
      <c r="B319" s="6"/>
      <c r="D319" s="6"/>
      <c r="E319" s="6"/>
      <c r="F319" s="6"/>
      <c r="G319" s="6"/>
      <c r="H319" s="6"/>
      <c r="I319" s="6"/>
      <c r="J319" s="6"/>
      <c r="K319" s="6"/>
      <c r="L319" s="8"/>
      <c r="M319" s="8"/>
      <c r="N319" s="6"/>
      <c r="O319" s="6"/>
      <c r="P319" s="6"/>
      <c r="Q319" s="6"/>
      <c r="R319" s="6"/>
      <c r="S319" s="6"/>
      <c r="T319" s="6"/>
      <c r="X319" s="12"/>
      <c r="Y319" s="12"/>
    </row>
    <row r="320" ht="14.25" customHeight="1">
      <c r="A320" s="6"/>
      <c r="B320" s="6"/>
      <c r="D320" s="6"/>
      <c r="E320" s="6"/>
      <c r="F320" s="6"/>
      <c r="G320" s="6"/>
      <c r="H320" s="6"/>
      <c r="I320" s="6"/>
      <c r="J320" s="6"/>
      <c r="K320" s="6"/>
      <c r="L320" s="8"/>
      <c r="M320" s="8"/>
      <c r="N320" s="6"/>
      <c r="O320" s="6"/>
      <c r="P320" s="6"/>
      <c r="Q320" s="6"/>
      <c r="R320" s="6"/>
      <c r="S320" s="6"/>
      <c r="T320" s="6"/>
      <c r="X320" s="12"/>
      <c r="Y320" s="12"/>
    </row>
    <row r="321" ht="14.25" customHeight="1">
      <c r="A321" s="6"/>
      <c r="B321" s="6"/>
      <c r="D321" s="6"/>
      <c r="E321" s="6"/>
      <c r="F321" s="6"/>
      <c r="G321" s="6"/>
      <c r="H321" s="6"/>
      <c r="I321" s="6"/>
      <c r="J321" s="6"/>
      <c r="K321" s="6"/>
      <c r="L321" s="8"/>
      <c r="M321" s="8"/>
      <c r="N321" s="6"/>
      <c r="O321" s="6"/>
      <c r="P321" s="6"/>
      <c r="Q321" s="6"/>
      <c r="R321" s="6"/>
      <c r="S321" s="6"/>
      <c r="T321" s="6"/>
      <c r="X321" s="12"/>
      <c r="Y321" s="12"/>
    </row>
    <row r="322" ht="14.25" customHeight="1">
      <c r="A322" s="6"/>
      <c r="B322" s="6"/>
      <c r="D322" s="6"/>
      <c r="E322" s="6"/>
      <c r="F322" s="6"/>
      <c r="G322" s="6"/>
      <c r="H322" s="6"/>
      <c r="I322" s="6"/>
      <c r="J322" s="6"/>
      <c r="K322" s="6"/>
      <c r="L322" s="8"/>
      <c r="M322" s="8"/>
      <c r="N322" s="6"/>
      <c r="O322" s="6"/>
      <c r="P322" s="6"/>
      <c r="Q322" s="6"/>
      <c r="R322" s="6"/>
      <c r="S322" s="6"/>
      <c r="T322" s="6"/>
      <c r="X322" s="12"/>
      <c r="Y322" s="12"/>
    </row>
    <row r="323" ht="14.25" customHeight="1">
      <c r="A323" s="6"/>
      <c r="B323" s="6"/>
      <c r="D323" s="6"/>
      <c r="E323" s="6"/>
      <c r="F323" s="6"/>
      <c r="G323" s="6"/>
      <c r="H323" s="6"/>
      <c r="I323" s="6"/>
      <c r="J323" s="6"/>
      <c r="K323" s="6"/>
      <c r="L323" s="8"/>
      <c r="M323" s="8"/>
      <c r="N323" s="6"/>
      <c r="O323" s="6"/>
      <c r="P323" s="6"/>
      <c r="Q323" s="6"/>
      <c r="R323" s="6"/>
      <c r="S323" s="6"/>
      <c r="T323" s="6"/>
      <c r="X323" s="12"/>
      <c r="Y323" s="12"/>
    </row>
    <row r="324" ht="14.25" customHeight="1">
      <c r="A324" s="6"/>
      <c r="B324" s="6"/>
      <c r="D324" s="6"/>
      <c r="E324" s="6"/>
      <c r="F324" s="6"/>
      <c r="G324" s="6"/>
      <c r="H324" s="6"/>
      <c r="I324" s="6"/>
      <c r="J324" s="6"/>
      <c r="K324" s="6"/>
      <c r="L324" s="8"/>
      <c r="M324" s="8"/>
      <c r="N324" s="6"/>
      <c r="O324" s="6"/>
      <c r="P324" s="6"/>
      <c r="Q324" s="6"/>
      <c r="R324" s="6"/>
      <c r="S324" s="6"/>
      <c r="T324" s="6"/>
      <c r="X324" s="12"/>
      <c r="Y324" s="12"/>
    </row>
    <row r="325" ht="14.25" customHeight="1">
      <c r="A325" s="6"/>
      <c r="B325" s="6"/>
      <c r="D325" s="6"/>
      <c r="E325" s="6"/>
      <c r="F325" s="6"/>
      <c r="G325" s="6"/>
      <c r="H325" s="6"/>
      <c r="I325" s="6"/>
      <c r="J325" s="6"/>
      <c r="K325" s="6"/>
      <c r="L325" s="8"/>
      <c r="M325" s="8"/>
      <c r="N325" s="6"/>
      <c r="O325" s="6"/>
      <c r="P325" s="6"/>
      <c r="Q325" s="6"/>
      <c r="R325" s="6"/>
      <c r="S325" s="6"/>
      <c r="T325" s="6"/>
      <c r="X325" s="12"/>
      <c r="Y325" s="12"/>
    </row>
    <row r="326" ht="14.25" customHeight="1">
      <c r="A326" s="6"/>
      <c r="B326" s="6"/>
      <c r="D326" s="6"/>
      <c r="E326" s="6"/>
      <c r="F326" s="6"/>
      <c r="G326" s="6"/>
      <c r="H326" s="6"/>
      <c r="I326" s="6"/>
      <c r="J326" s="6"/>
      <c r="K326" s="6"/>
      <c r="L326" s="8"/>
      <c r="M326" s="8"/>
      <c r="N326" s="6"/>
      <c r="O326" s="6"/>
      <c r="P326" s="6"/>
      <c r="Q326" s="6"/>
      <c r="R326" s="6"/>
      <c r="S326" s="6"/>
      <c r="T326" s="6"/>
      <c r="X326" s="12"/>
      <c r="Y326" s="12"/>
    </row>
    <row r="327" ht="14.25" customHeight="1">
      <c r="A327" s="6"/>
      <c r="B327" s="6"/>
      <c r="D327" s="6"/>
      <c r="E327" s="6"/>
      <c r="F327" s="6"/>
      <c r="G327" s="6"/>
      <c r="H327" s="6"/>
      <c r="I327" s="6"/>
      <c r="J327" s="6"/>
      <c r="K327" s="6"/>
      <c r="L327" s="8"/>
      <c r="M327" s="8"/>
      <c r="N327" s="6"/>
      <c r="O327" s="6"/>
      <c r="P327" s="6"/>
      <c r="Q327" s="6"/>
      <c r="R327" s="6"/>
      <c r="S327" s="6"/>
      <c r="T327" s="6"/>
      <c r="X327" s="12"/>
      <c r="Y327" s="12"/>
    </row>
    <row r="328" ht="14.25" customHeight="1">
      <c r="A328" s="6"/>
      <c r="B328" s="6"/>
      <c r="D328" s="6"/>
      <c r="E328" s="6"/>
      <c r="F328" s="6"/>
      <c r="G328" s="6"/>
      <c r="H328" s="6"/>
      <c r="I328" s="6"/>
      <c r="J328" s="6"/>
      <c r="K328" s="6"/>
      <c r="L328" s="8"/>
      <c r="M328" s="8"/>
      <c r="N328" s="6"/>
      <c r="O328" s="6"/>
      <c r="P328" s="6"/>
      <c r="Q328" s="6"/>
      <c r="R328" s="6"/>
      <c r="S328" s="6"/>
      <c r="T328" s="6"/>
      <c r="X328" s="12"/>
      <c r="Y328" s="12"/>
    </row>
    <row r="329" ht="14.25" customHeight="1">
      <c r="A329" s="6"/>
      <c r="B329" s="6"/>
      <c r="D329" s="6"/>
      <c r="E329" s="6"/>
      <c r="F329" s="6"/>
      <c r="G329" s="6"/>
      <c r="H329" s="6"/>
      <c r="I329" s="6"/>
      <c r="J329" s="6"/>
      <c r="K329" s="6"/>
      <c r="L329" s="8"/>
      <c r="M329" s="8"/>
      <c r="N329" s="6"/>
      <c r="O329" s="6"/>
      <c r="P329" s="6"/>
      <c r="Q329" s="6"/>
      <c r="R329" s="6"/>
      <c r="S329" s="6"/>
      <c r="T329" s="6"/>
      <c r="X329" s="12"/>
      <c r="Y329" s="12"/>
    </row>
    <row r="330" ht="14.25" customHeight="1">
      <c r="A330" s="6"/>
      <c r="B330" s="6"/>
      <c r="D330" s="6"/>
      <c r="E330" s="6"/>
      <c r="F330" s="6"/>
      <c r="G330" s="6"/>
      <c r="H330" s="6"/>
      <c r="I330" s="6"/>
      <c r="J330" s="6"/>
      <c r="K330" s="6"/>
      <c r="L330" s="8"/>
      <c r="M330" s="8"/>
      <c r="N330" s="6"/>
      <c r="O330" s="6"/>
      <c r="P330" s="6"/>
      <c r="Q330" s="6"/>
      <c r="R330" s="6"/>
      <c r="S330" s="6"/>
      <c r="T330" s="6"/>
      <c r="X330" s="12"/>
      <c r="Y330" s="12"/>
    </row>
    <row r="331" ht="14.25" customHeight="1">
      <c r="A331" s="6"/>
      <c r="B331" s="6"/>
      <c r="D331" s="6"/>
      <c r="E331" s="6"/>
      <c r="F331" s="6"/>
      <c r="G331" s="6"/>
      <c r="H331" s="6"/>
      <c r="I331" s="6"/>
      <c r="J331" s="6"/>
      <c r="K331" s="6"/>
      <c r="L331" s="8"/>
      <c r="M331" s="8"/>
      <c r="N331" s="6"/>
      <c r="O331" s="6"/>
      <c r="P331" s="6"/>
      <c r="Q331" s="6"/>
      <c r="R331" s="6"/>
      <c r="S331" s="6"/>
      <c r="T331" s="6"/>
      <c r="X331" s="12"/>
      <c r="Y331" s="12"/>
    </row>
    <row r="332" ht="14.25" customHeight="1">
      <c r="A332" s="6"/>
      <c r="B332" s="6"/>
      <c r="D332" s="6"/>
      <c r="E332" s="6"/>
      <c r="F332" s="6"/>
      <c r="G332" s="6"/>
      <c r="H332" s="6"/>
      <c r="I332" s="6"/>
      <c r="J332" s="6"/>
      <c r="K332" s="6"/>
      <c r="L332" s="8"/>
      <c r="M332" s="8"/>
      <c r="N332" s="6"/>
      <c r="O332" s="6"/>
      <c r="P332" s="6"/>
      <c r="Q332" s="6"/>
      <c r="R332" s="6"/>
      <c r="S332" s="6"/>
      <c r="T332" s="6"/>
      <c r="X332" s="12"/>
      <c r="Y332" s="12"/>
    </row>
    <row r="333" ht="14.25" customHeight="1">
      <c r="A333" s="6"/>
      <c r="B333" s="6"/>
      <c r="D333" s="6"/>
      <c r="E333" s="6"/>
      <c r="F333" s="6"/>
      <c r="G333" s="6"/>
      <c r="H333" s="6"/>
      <c r="I333" s="6"/>
      <c r="J333" s="6"/>
      <c r="K333" s="6"/>
      <c r="L333" s="8"/>
      <c r="M333" s="8"/>
      <c r="N333" s="6"/>
      <c r="O333" s="6"/>
      <c r="P333" s="6"/>
      <c r="Q333" s="6"/>
      <c r="R333" s="6"/>
      <c r="S333" s="6"/>
      <c r="T333" s="6"/>
      <c r="X333" s="12"/>
      <c r="Y333" s="12"/>
    </row>
    <row r="334" ht="14.25" customHeight="1">
      <c r="A334" s="6"/>
      <c r="B334" s="6"/>
      <c r="D334" s="6"/>
      <c r="E334" s="6"/>
      <c r="F334" s="6"/>
      <c r="G334" s="6"/>
      <c r="H334" s="6"/>
      <c r="I334" s="6"/>
      <c r="J334" s="6"/>
      <c r="K334" s="6"/>
      <c r="L334" s="8"/>
      <c r="M334" s="8"/>
      <c r="N334" s="6"/>
      <c r="O334" s="6"/>
      <c r="P334" s="6"/>
      <c r="Q334" s="6"/>
      <c r="R334" s="6"/>
      <c r="S334" s="6"/>
      <c r="T334" s="6"/>
      <c r="X334" s="12"/>
      <c r="Y334" s="12"/>
    </row>
    <row r="335" ht="14.25" customHeight="1">
      <c r="A335" s="6"/>
      <c r="B335" s="6"/>
      <c r="D335" s="6"/>
      <c r="E335" s="6"/>
      <c r="F335" s="6"/>
      <c r="G335" s="6"/>
      <c r="H335" s="6"/>
      <c r="I335" s="6"/>
      <c r="J335" s="6"/>
      <c r="K335" s="6"/>
      <c r="L335" s="8"/>
      <c r="M335" s="8"/>
      <c r="N335" s="6"/>
      <c r="O335" s="6"/>
      <c r="P335" s="6"/>
      <c r="Q335" s="6"/>
      <c r="R335" s="6"/>
      <c r="S335" s="6"/>
      <c r="T335" s="6"/>
      <c r="X335" s="12"/>
      <c r="Y335" s="12"/>
    </row>
    <row r="336" ht="14.25" customHeight="1">
      <c r="A336" s="6"/>
      <c r="B336" s="6"/>
      <c r="D336" s="6"/>
      <c r="E336" s="6"/>
      <c r="F336" s="6"/>
      <c r="G336" s="6"/>
      <c r="H336" s="6"/>
      <c r="I336" s="6"/>
      <c r="J336" s="6"/>
      <c r="K336" s="6"/>
      <c r="L336" s="8"/>
      <c r="M336" s="8"/>
      <c r="N336" s="6"/>
      <c r="O336" s="6"/>
      <c r="P336" s="6"/>
      <c r="Q336" s="6"/>
      <c r="R336" s="6"/>
      <c r="S336" s="6"/>
      <c r="T336" s="6"/>
      <c r="X336" s="12"/>
      <c r="Y336" s="12"/>
    </row>
    <row r="337" ht="14.25" customHeight="1">
      <c r="A337" s="6"/>
      <c r="B337" s="6"/>
      <c r="D337" s="6"/>
      <c r="E337" s="6"/>
      <c r="F337" s="6"/>
      <c r="G337" s="6"/>
      <c r="H337" s="6"/>
      <c r="I337" s="6"/>
      <c r="J337" s="6"/>
      <c r="K337" s="6"/>
      <c r="L337" s="8"/>
      <c r="M337" s="8"/>
      <c r="N337" s="6"/>
      <c r="O337" s="6"/>
      <c r="P337" s="6"/>
      <c r="Q337" s="6"/>
      <c r="R337" s="6"/>
      <c r="S337" s="6"/>
      <c r="T337" s="6"/>
      <c r="X337" s="12"/>
      <c r="Y337" s="12"/>
    </row>
    <row r="338" ht="14.25" customHeight="1">
      <c r="A338" s="6"/>
      <c r="B338" s="6"/>
      <c r="D338" s="6"/>
      <c r="E338" s="6"/>
      <c r="F338" s="6"/>
      <c r="G338" s="6"/>
      <c r="H338" s="6"/>
      <c r="I338" s="6"/>
      <c r="J338" s="6"/>
      <c r="K338" s="6"/>
      <c r="L338" s="8"/>
      <c r="M338" s="8"/>
      <c r="N338" s="6"/>
      <c r="O338" s="6"/>
      <c r="P338" s="6"/>
      <c r="Q338" s="6"/>
      <c r="R338" s="6"/>
      <c r="S338" s="6"/>
      <c r="T338" s="6"/>
      <c r="X338" s="12"/>
      <c r="Y338" s="12"/>
    </row>
    <row r="339" ht="14.25" customHeight="1">
      <c r="A339" s="6"/>
      <c r="B339" s="6"/>
      <c r="D339" s="6"/>
      <c r="E339" s="6"/>
      <c r="F339" s="6"/>
      <c r="G339" s="6"/>
      <c r="H339" s="6"/>
      <c r="I339" s="6"/>
      <c r="J339" s="6"/>
      <c r="K339" s="6"/>
      <c r="L339" s="8"/>
      <c r="M339" s="8"/>
      <c r="N339" s="6"/>
      <c r="O339" s="6"/>
      <c r="P339" s="6"/>
      <c r="Q339" s="6"/>
      <c r="R339" s="6"/>
      <c r="S339" s="6"/>
      <c r="T339" s="6"/>
      <c r="X339" s="12"/>
      <c r="Y339" s="12"/>
    </row>
    <row r="340" ht="14.25" customHeight="1">
      <c r="A340" s="6"/>
      <c r="B340" s="6"/>
      <c r="D340" s="6"/>
      <c r="E340" s="6"/>
      <c r="F340" s="6"/>
      <c r="G340" s="6"/>
      <c r="H340" s="6"/>
      <c r="I340" s="6"/>
      <c r="J340" s="6"/>
      <c r="K340" s="6"/>
      <c r="L340" s="8"/>
      <c r="M340" s="8"/>
      <c r="N340" s="6"/>
      <c r="O340" s="6"/>
      <c r="P340" s="6"/>
      <c r="Q340" s="6"/>
      <c r="R340" s="6"/>
      <c r="S340" s="6"/>
      <c r="T340" s="6"/>
      <c r="X340" s="12"/>
      <c r="Y340" s="12"/>
    </row>
    <row r="341" ht="14.25" customHeight="1">
      <c r="A341" s="6"/>
      <c r="B341" s="6"/>
      <c r="D341" s="6"/>
      <c r="E341" s="6"/>
      <c r="F341" s="6"/>
      <c r="G341" s="6"/>
      <c r="H341" s="6"/>
      <c r="I341" s="6"/>
      <c r="J341" s="6"/>
      <c r="K341" s="6"/>
      <c r="L341" s="8"/>
      <c r="M341" s="8"/>
      <c r="N341" s="6"/>
      <c r="O341" s="6"/>
      <c r="P341" s="6"/>
      <c r="Q341" s="6"/>
      <c r="R341" s="6"/>
      <c r="S341" s="6"/>
      <c r="T341" s="6"/>
      <c r="X341" s="12"/>
      <c r="Y341" s="12"/>
    </row>
    <row r="342" ht="14.25" customHeight="1">
      <c r="A342" s="6"/>
      <c r="B342" s="6"/>
      <c r="D342" s="6"/>
      <c r="E342" s="6"/>
      <c r="F342" s="6"/>
      <c r="G342" s="6"/>
      <c r="H342" s="6"/>
      <c r="I342" s="6"/>
      <c r="J342" s="6"/>
      <c r="K342" s="6"/>
      <c r="L342" s="8"/>
      <c r="M342" s="8"/>
      <c r="N342" s="6"/>
      <c r="O342" s="6"/>
      <c r="P342" s="6"/>
      <c r="Q342" s="6"/>
      <c r="R342" s="6"/>
      <c r="S342" s="6"/>
      <c r="T342" s="6"/>
      <c r="X342" s="12"/>
      <c r="Y342" s="12"/>
    </row>
    <row r="343" ht="14.25" customHeight="1">
      <c r="A343" s="6"/>
      <c r="B343" s="6"/>
      <c r="D343" s="6"/>
      <c r="E343" s="6"/>
      <c r="F343" s="6"/>
      <c r="G343" s="6"/>
      <c r="H343" s="6"/>
      <c r="I343" s="6"/>
      <c r="J343" s="6"/>
      <c r="K343" s="6"/>
      <c r="L343" s="8"/>
      <c r="M343" s="8"/>
      <c r="N343" s="6"/>
      <c r="O343" s="6"/>
      <c r="P343" s="6"/>
      <c r="Q343" s="6"/>
      <c r="R343" s="6"/>
      <c r="S343" s="6"/>
      <c r="T343" s="6"/>
      <c r="X343" s="12"/>
      <c r="Y343" s="12"/>
    </row>
    <row r="344" ht="14.25" customHeight="1">
      <c r="A344" s="6"/>
      <c r="B344" s="6"/>
      <c r="D344" s="6"/>
      <c r="E344" s="6"/>
      <c r="F344" s="6"/>
      <c r="G344" s="6"/>
      <c r="H344" s="6"/>
      <c r="I344" s="6"/>
      <c r="J344" s="6"/>
      <c r="K344" s="6"/>
      <c r="L344" s="8"/>
      <c r="M344" s="8"/>
      <c r="N344" s="6"/>
      <c r="O344" s="6"/>
      <c r="P344" s="6"/>
      <c r="Q344" s="6"/>
      <c r="R344" s="6"/>
      <c r="S344" s="6"/>
      <c r="T344" s="6"/>
      <c r="X344" s="12"/>
      <c r="Y344" s="12"/>
    </row>
    <row r="345" ht="14.25" customHeight="1">
      <c r="A345" s="6"/>
      <c r="B345" s="6"/>
      <c r="D345" s="6"/>
      <c r="E345" s="6"/>
      <c r="F345" s="6"/>
      <c r="G345" s="6"/>
      <c r="H345" s="6"/>
      <c r="I345" s="6"/>
      <c r="J345" s="6"/>
      <c r="K345" s="6"/>
      <c r="L345" s="8"/>
      <c r="M345" s="8"/>
      <c r="N345" s="6"/>
      <c r="O345" s="6"/>
      <c r="P345" s="6"/>
      <c r="Q345" s="6"/>
      <c r="R345" s="6"/>
      <c r="S345" s="6"/>
      <c r="T345" s="6"/>
      <c r="X345" s="12"/>
      <c r="Y345" s="12"/>
    </row>
    <row r="346" ht="14.25" customHeight="1">
      <c r="A346" s="6"/>
      <c r="B346" s="6"/>
      <c r="D346" s="6"/>
      <c r="E346" s="6"/>
      <c r="F346" s="6"/>
      <c r="G346" s="6"/>
      <c r="H346" s="6"/>
      <c r="I346" s="6"/>
      <c r="J346" s="6"/>
      <c r="K346" s="6"/>
      <c r="L346" s="8"/>
      <c r="M346" s="8"/>
      <c r="N346" s="6"/>
      <c r="O346" s="6"/>
      <c r="P346" s="6"/>
      <c r="Q346" s="6"/>
      <c r="R346" s="6"/>
      <c r="S346" s="6"/>
      <c r="T346" s="6"/>
      <c r="X346" s="12"/>
      <c r="Y346" s="12"/>
    </row>
    <row r="347" ht="14.25" customHeight="1">
      <c r="A347" s="6"/>
      <c r="B347" s="6"/>
      <c r="D347" s="6"/>
      <c r="E347" s="6"/>
      <c r="F347" s="6"/>
      <c r="G347" s="6"/>
      <c r="H347" s="6"/>
      <c r="I347" s="6"/>
      <c r="J347" s="6"/>
      <c r="K347" s="6"/>
      <c r="L347" s="8"/>
      <c r="M347" s="8"/>
      <c r="N347" s="6"/>
      <c r="O347" s="6"/>
      <c r="P347" s="6"/>
      <c r="Q347" s="6"/>
      <c r="R347" s="6"/>
      <c r="S347" s="6"/>
      <c r="T347" s="6"/>
      <c r="X347" s="12"/>
      <c r="Y347" s="12"/>
    </row>
    <row r="348" ht="14.25" customHeight="1">
      <c r="A348" s="6"/>
      <c r="B348" s="6"/>
      <c r="D348" s="6"/>
      <c r="E348" s="6"/>
      <c r="F348" s="6"/>
      <c r="G348" s="6"/>
      <c r="H348" s="6"/>
      <c r="I348" s="6"/>
      <c r="J348" s="6"/>
      <c r="K348" s="6"/>
      <c r="L348" s="8"/>
      <c r="M348" s="8"/>
      <c r="N348" s="6"/>
      <c r="O348" s="6"/>
      <c r="P348" s="6"/>
      <c r="Q348" s="6"/>
      <c r="R348" s="6"/>
      <c r="S348" s="6"/>
      <c r="T348" s="6"/>
      <c r="X348" s="12"/>
      <c r="Y348" s="12"/>
    </row>
    <row r="349" ht="14.25" customHeight="1">
      <c r="A349" s="6"/>
      <c r="B349" s="6"/>
      <c r="D349" s="6"/>
      <c r="E349" s="6"/>
      <c r="F349" s="6"/>
      <c r="G349" s="6"/>
      <c r="H349" s="6"/>
      <c r="I349" s="6"/>
      <c r="J349" s="6"/>
      <c r="K349" s="6"/>
      <c r="L349" s="8"/>
      <c r="M349" s="8"/>
      <c r="N349" s="6"/>
      <c r="O349" s="6"/>
      <c r="P349" s="6"/>
      <c r="Q349" s="6"/>
      <c r="R349" s="6"/>
      <c r="S349" s="6"/>
      <c r="T349" s="6"/>
      <c r="X349" s="12"/>
      <c r="Y349" s="12"/>
    </row>
    <row r="350" ht="14.25" customHeight="1">
      <c r="A350" s="6"/>
      <c r="B350" s="6"/>
      <c r="D350" s="6"/>
      <c r="E350" s="6"/>
      <c r="F350" s="6"/>
      <c r="G350" s="6"/>
      <c r="H350" s="6"/>
      <c r="I350" s="6"/>
      <c r="J350" s="6"/>
      <c r="K350" s="6"/>
      <c r="L350" s="8"/>
      <c r="M350" s="8"/>
      <c r="N350" s="6"/>
      <c r="O350" s="6"/>
      <c r="P350" s="6"/>
      <c r="Q350" s="6"/>
      <c r="R350" s="6"/>
      <c r="S350" s="6"/>
      <c r="T350" s="6"/>
      <c r="X350" s="12"/>
      <c r="Y350" s="12"/>
    </row>
    <row r="351" ht="14.25" customHeight="1">
      <c r="A351" s="6"/>
      <c r="B351" s="6"/>
      <c r="D351" s="6"/>
      <c r="E351" s="6"/>
      <c r="F351" s="6"/>
      <c r="G351" s="6"/>
      <c r="H351" s="6"/>
      <c r="I351" s="6"/>
      <c r="J351" s="6"/>
      <c r="K351" s="6"/>
      <c r="L351" s="8"/>
      <c r="M351" s="8"/>
      <c r="N351" s="6"/>
      <c r="O351" s="6"/>
      <c r="P351" s="6"/>
      <c r="Q351" s="6"/>
      <c r="R351" s="6"/>
      <c r="S351" s="6"/>
      <c r="T351" s="6"/>
      <c r="X351" s="12"/>
      <c r="Y351" s="12"/>
    </row>
    <row r="352" ht="14.25" customHeight="1">
      <c r="A352" s="6"/>
      <c r="B352" s="6"/>
      <c r="D352" s="6"/>
      <c r="E352" s="6"/>
      <c r="F352" s="6"/>
      <c r="G352" s="6"/>
      <c r="H352" s="6"/>
      <c r="I352" s="6"/>
      <c r="J352" s="6"/>
      <c r="K352" s="6"/>
      <c r="L352" s="8"/>
      <c r="M352" s="8"/>
      <c r="N352" s="6"/>
      <c r="O352" s="6"/>
      <c r="P352" s="6"/>
      <c r="Q352" s="6"/>
      <c r="R352" s="6"/>
      <c r="S352" s="6"/>
      <c r="T352" s="6"/>
      <c r="X352" s="12"/>
      <c r="Y352" s="12"/>
    </row>
    <row r="353" ht="14.25" customHeight="1">
      <c r="A353" s="6"/>
      <c r="B353" s="6"/>
      <c r="D353" s="6"/>
      <c r="E353" s="6"/>
      <c r="F353" s="6"/>
      <c r="G353" s="6"/>
      <c r="H353" s="6"/>
      <c r="I353" s="6"/>
      <c r="J353" s="6"/>
      <c r="K353" s="6"/>
      <c r="L353" s="8"/>
      <c r="M353" s="8"/>
      <c r="N353" s="6"/>
      <c r="O353" s="6"/>
      <c r="P353" s="6"/>
      <c r="Q353" s="6"/>
      <c r="R353" s="6"/>
      <c r="S353" s="6"/>
      <c r="T353" s="6"/>
      <c r="X353" s="12"/>
      <c r="Y353" s="12"/>
    </row>
    <row r="354" ht="14.25" customHeight="1">
      <c r="A354" s="6"/>
      <c r="B354" s="6"/>
      <c r="D354" s="6"/>
      <c r="E354" s="6"/>
      <c r="F354" s="6"/>
      <c r="G354" s="6"/>
      <c r="H354" s="6"/>
      <c r="I354" s="6"/>
      <c r="J354" s="6"/>
      <c r="K354" s="6"/>
      <c r="L354" s="8"/>
      <c r="M354" s="8"/>
      <c r="N354" s="6"/>
      <c r="O354" s="6"/>
      <c r="P354" s="6"/>
      <c r="Q354" s="6"/>
      <c r="R354" s="6"/>
      <c r="S354" s="6"/>
      <c r="T354" s="6"/>
      <c r="X354" s="12"/>
      <c r="Y354" s="12"/>
    </row>
    <row r="355" ht="14.25" customHeight="1">
      <c r="A355" s="6"/>
      <c r="B355" s="6"/>
      <c r="D355" s="6"/>
      <c r="E355" s="6"/>
      <c r="F355" s="6"/>
      <c r="G355" s="6"/>
      <c r="H355" s="6"/>
      <c r="I355" s="6"/>
      <c r="J355" s="6"/>
      <c r="K355" s="6"/>
      <c r="L355" s="8"/>
      <c r="M355" s="8"/>
      <c r="N355" s="6"/>
      <c r="O355" s="6"/>
      <c r="P355" s="6"/>
      <c r="Q355" s="6"/>
      <c r="R355" s="6"/>
      <c r="S355" s="6"/>
      <c r="T355" s="6"/>
      <c r="X355" s="12"/>
      <c r="Y355" s="12"/>
    </row>
    <row r="356" ht="14.25" customHeight="1">
      <c r="A356" s="6"/>
      <c r="B356" s="6"/>
      <c r="D356" s="6"/>
      <c r="E356" s="6"/>
      <c r="F356" s="6"/>
      <c r="G356" s="6"/>
      <c r="H356" s="6"/>
      <c r="I356" s="6"/>
      <c r="J356" s="6"/>
      <c r="K356" s="6"/>
      <c r="L356" s="8"/>
      <c r="M356" s="8"/>
      <c r="N356" s="6"/>
      <c r="O356" s="6"/>
      <c r="P356" s="6"/>
      <c r="Q356" s="6"/>
      <c r="R356" s="6"/>
      <c r="S356" s="6"/>
      <c r="T356" s="6"/>
      <c r="X356" s="12"/>
      <c r="Y356" s="12"/>
    </row>
    <row r="357" ht="14.25" customHeight="1">
      <c r="A357" s="6"/>
      <c r="B357" s="6"/>
      <c r="D357" s="6"/>
      <c r="E357" s="6"/>
      <c r="F357" s="6"/>
      <c r="G357" s="6"/>
      <c r="H357" s="6"/>
      <c r="I357" s="6"/>
      <c r="J357" s="6"/>
      <c r="K357" s="6"/>
      <c r="L357" s="8"/>
      <c r="M357" s="8"/>
      <c r="N357" s="6"/>
      <c r="O357" s="6"/>
      <c r="P357" s="6"/>
      <c r="Q357" s="6"/>
      <c r="R357" s="6"/>
      <c r="S357" s="6"/>
      <c r="T357" s="6"/>
      <c r="X357" s="12"/>
      <c r="Y357" s="12"/>
    </row>
    <row r="358" ht="14.25" customHeight="1">
      <c r="A358" s="6"/>
      <c r="B358" s="6"/>
      <c r="D358" s="6"/>
      <c r="E358" s="6"/>
      <c r="F358" s="6"/>
      <c r="G358" s="6"/>
      <c r="H358" s="6"/>
      <c r="I358" s="6"/>
      <c r="J358" s="6"/>
      <c r="K358" s="6"/>
      <c r="L358" s="8"/>
      <c r="M358" s="8"/>
      <c r="N358" s="6"/>
      <c r="O358" s="6"/>
      <c r="P358" s="6"/>
      <c r="Q358" s="6"/>
      <c r="R358" s="6"/>
      <c r="S358" s="6"/>
      <c r="T358" s="6"/>
      <c r="X358" s="12"/>
      <c r="Y358" s="12"/>
    </row>
    <row r="359" ht="14.25" customHeight="1">
      <c r="A359" s="6"/>
      <c r="B359" s="6"/>
      <c r="D359" s="6"/>
      <c r="E359" s="6"/>
      <c r="F359" s="6"/>
      <c r="G359" s="6"/>
      <c r="H359" s="6"/>
      <c r="I359" s="6"/>
      <c r="J359" s="6"/>
      <c r="K359" s="6"/>
      <c r="L359" s="8"/>
      <c r="M359" s="8"/>
      <c r="N359" s="6"/>
      <c r="O359" s="6"/>
      <c r="P359" s="6"/>
      <c r="Q359" s="6"/>
      <c r="R359" s="6"/>
      <c r="S359" s="6"/>
      <c r="T359" s="6"/>
      <c r="X359" s="12"/>
      <c r="Y359" s="12"/>
    </row>
    <row r="360" ht="14.25" customHeight="1">
      <c r="A360" s="6"/>
      <c r="B360" s="6"/>
      <c r="D360" s="6"/>
      <c r="E360" s="6"/>
      <c r="F360" s="6"/>
      <c r="G360" s="6"/>
      <c r="H360" s="6"/>
      <c r="I360" s="6"/>
      <c r="J360" s="6"/>
      <c r="K360" s="6"/>
      <c r="L360" s="8"/>
      <c r="M360" s="8"/>
      <c r="N360" s="6"/>
      <c r="O360" s="6"/>
      <c r="P360" s="6"/>
      <c r="Q360" s="6"/>
      <c r="R360" s="6"/>
      <c r="S360" s="6"/>
      <c r="T360" s="6"/>
      <c r="X360" s="12"/>
      <c r="Y360" s="12"/>
    </row>
    <row r="361" ht="14.25" customHeight="1">
      <c r="A361" s="6"/>
      <c r="B361" s="6"/>
      <c r="D361" s="6"/>
      <c r="E361" s="6"/>
      <c r="F361" s="6"/>
      <c r="G361" s="6"/>
      <c r="H361" s="6"/>
      <c r="I361" s="6"/>
      <c r="J361" s="6"/>
      <c r="K361" s="6"/>
      <c r="L361" s="8"/>
      <c r="M361" s="8"/>
      <c r="N361" s="6"/>
      <c r="O361" s="6"/>
      <c r="P361" s="6"/>
      <c r="Q361" s="6"/>
      <c r="R361" s="6"/>
      <c r="S361" s="6"/>
      <c r="T361" s="6"/>
      <c r="X361" s="12"/>
      <c r="Y361" s="12"/>
    </row>
    <row r="362" ht="14.25" customHeight="1">
      <c r="A362" s="6"/>
      <c r="B362" s="6"/>
      <c r="D362" s="6"/>
      <c r="E362" s="6"/>
      <c r="F362" s="6"/>
      <c r="G362" s="6"/>
      <c r="H362" s="6"/>
      <c r="I362" s="6"/>
      <c r="J362" s="6"/>
      <c r="K362" s="6"/>
      <c r="L362" s="8"/>
      <c r="M362" s="8"/>
      <c r="N362" s="6"/>
      <c r="O362" s="6"/>
      <c r="P362" s="6"/>
      <c r="Q362" s="6"/>
      <c r="R362" s="6"/>
      <c r="S362" s="6"/>
      <c r="T362" s="6"/>
      <c r="X362" s="12"/>
      <c r="Y362" s="12"/>
    </row>
    <row r="363" ht="14.25" customHeight="1">
      <c r="A363" s="6"/>
      <c r="B363" s="6"/>
      <c r="D363" s="6"/>
      <c r="E363" s="6"/>
      <c r="F363" s="6"/>
      <c r="G363" s="6"/>
      <c r="H363" s="6"/>
      <c r="I363" s="6"/>
      <c r="J363" s="6"/>
      <c r="K363" s="6"/>
      <c r="L363" s="8"/>
      <c r="M363" s="8"/>
      <c r="N363" s="6"/>
      <c r="O363" s="6"/>
      <c r="P363" s="6"/>
      <c r="Q363" s="6"/>
      <c r="R363" s="6"/>
      <c r="S363" s="6"/>
      <c r="T363" s="6"/>
      <c r="X363" s="12"/>
      <c r="Y363" s="12"/>
    </row>
    <row r="364" ht="14.25" customHeight="1">
      <c r="A364" s="6"/>
      <c r="B364" s="6"/>
      <c r="D364" s="6"/>
      <c r="E364" s="6"/>
      <c r="F364" s="6"/>
      <c r="G364" s="6"/>
      <c r="H364" s="6"/>
      <c r="I364" s="6"/>
      <c r="J364" s="6"/>
      <c r="K364" s="6"/>
      <c r="L364" s="8"/>
      <c r="M364" s="8"/>
      <c r="N364" s="6"/>
      <c r="O364" s="6"/>
      <c r="P364" s="6"/>
      <c r="Q364" s="6"/>
      <c r="R364" s="6"/>
      <c r="S364" s="6"/>
      <c r="T364" s="6"/>
      <c r="X364" s="12"/>
      <c r="Y364" s="12"/>
    </row>
    <row r="365" ht="14.25" customHeight="1">
      <c r="A365" s="6"/>
      <c r="B365" s="6"/>
      <c r="D365" s="6"/>
      <c r="E365" s="6"/>
      <c r="F365" s="6"/>
      <c r="G365" s="6"/>
      <c r="H365" s="6"/>
      <c r="I365" s="6"/>
      <c r="J365" s="6"/>
      <c r="K365" s="6"/>
      <c r="L365" s="8"/>
      <c r="M365" s="8"/>
      <c r="N365" s="6"/>
      <c r="O365" s="6"/>
      <c r="P365" s="6"/>
      <c r="Q365" s="6"/>
      <c r="R365" s="6"/>
      <c r="S365" s="6"/>
      <c r="T365" s="6"/>
      <c r="X365" s="12"/>
      <c r="Y365" s="12"/>
    </row>
    <row r="366" ht="14.25" customHeight="1">
      <c r="A366" s="6"/>
      <c r="B366" s="6"/>
      <c r="D366" s="6"/>
      <c r="E366" s="6"/>
      <c r="F366" s="6"/>
      <c r="G366" s="6"/>
      <c r="H366" s="6"/>
      <c r="I366" s="6"/>
      <c r="J366" s="6"/>
      <c r="K366" s="6"/>
      <c r="L366" s="8"/>
      <c r="M366" s="8"/>
      <c r="N366" s="6"/>
      <c r="O366" s="6"/>
      <c r="P366" s="6"/>
      <c r="Q366" s="6"/>
      <c r="R366" s="6"/>
      <c r="S366" s="6"/>
      <c r="T366" s="6"/>
      <c r="X366" s="12"/>
      <c r="Y366" s="12"/>
    </row>
    <row r="367" ht="14.25" customHeight="1">
      <c r="A367" s="6"/>
      <c r="B367" s="6"/>
      <c r="D367" s="6"/>
      <c r="E367" s="6"/>
      <c r="F367" s="6"/>
      <c r="G367" s="6"/>
      <c r="H367" s="6"/>
      <c r="I367" s="6"/>
      <c r="J367" s="6"/>
      <c r="K367" s="6"/>
      <c r="L367" s="8"/>
      <c r="M367" s="8"/>
      <c r="N367" s="6"/>
      <c r="O367" s="6"/>
      <c r="P367" s="6"/>
      <c r="Q367" s="6"/>
      <c r="R367" s="6"/>
      <c r="S367" s="6"/>
      <c r="T367" s="6"/>
      <c r="X367" s="12"/>
      <c r="Y367" s="12"/>
    </row>
    <row r="368" ht="14.25" customHeight="1">
      <c r="A368" s="6"/>
      <c r="B368" s="6"/>
      <c r="D368" s="6"/>
      <c r="E368" s="6"/>
      <c r="F368" s="6"/>
      <c r="G368" s="6"/>
      <c r="H368" s="6"/>
      <c r="I368" s="6"/>
      <c r="J368" s="6"/>
      <c r="K368" s="6"/>
      <c r="L368" s="8"/>
      <c r="M368" s="8"/>
      <c r="N368" s="6"/>
      <c r="O368" s="6"/>
      <c r="P368" s="6"/>
      <c r="Q368" s="6"/>
      <c r="R368" s="6"/>
      <c r="S368" s="6"/>
      <c r="T368" s="6"/>
      <c r="X368" s="12"/>
      <c r="Y368" s="12"/>
    </row>
    <row r="369" ht="14.25" customHeight="1">
      <c r="A369" s="6"/>
      <c r="B369" s="6"/>
      <c r="D369" s="6"/>
      <c r="E369" s="6"/>
      <c r="F369" s="6"/>
      <c r="G369" s="6"/>
      <c r="H369" s="6"/>
      <c r="I369" s="6"/>
      <c r="J369" s="6"/>
      <c r="K369" s="6"/>
      <c r="L369" s="8"/>
      <c r="M369" s="8"/>
      <c r="N369" s="6"/>
      <c r="O369" s="6"/>
      <c r="P369" s="6"/>
      <c r="Q369" s="6"/>
      <c r="R369" s="6"/>
      <c r="S369" s="6"/>
      <c r="T369" s="6"/>
      <c r="X369" s="12"/>
      <c r="Y369" s="12"/>
    </row>
    <row r="370" ht="14.25" customHeight="1">
      <c r="A370" s="6"/>
      <c r="B370" s="6"/>
      <c r="D370" s="6"/>
      <c r="E370" s="6"/>
      <c r="F370" s="6"/>
      <c r="G370" s="6"/>
      <c r="H370" s="6"/>
      <c r="I370" s="6"/>
      <c r="J370" s="6"/>
      <c r="K370" s="6"/>
      <c r="L370" s="8"/>
      <c r="M370" s="8"/>
      <c r="N370" s="6"/>
      <c r="O370" s="6"/>
      <c r="P370" s="6"/>
      <c r="Q370" s="6"/>
      <c r="R370" s="6"/>
      <c r="S370" s="6"/>
      <c r="T370" s="6"/>
      <c r="X370" s="12"/>
      <c r="Y370" s="12"/>
    </row>
    <row r="371" ht="14.25" customHeight="1">
      <c r="A371" s="6"/>
      <c r="B371" s="6"/>
      <c r="D371" s="6"/>
      <c r="E371" s="6"/>
      <c r="F371" s="6"/>
      <c r="G371" s="6"/>
      <c r="H371" s="6"/>
      <c r="I371" s="6"/>
      <c r="J371" s="6"/>
      <c r="K371" s="6"/>
      <c r="L371" s="8"/>
      <c r="M371" s="8"/>
      <c r="N371" s="6"/>
      <c r="O371" s="6"/>
      <c r="P371" s="6"/>
      <c r="Q371" s="6"/>
      <c r="R371" s="6"/>
      <c r="S371" s="6"/>
      <c r="T371" s="6"/>
      <c r="X371" s="12"/>
      <c r="Y371" s="12"/>
    </row>
    <row r="372" ht="14.25" customHeight="1">
      <c r="A372" s="6"/>
      <c r="B372" s="6"/>
      <c r="D372" s="6"/>
      <c r="E372" s="6"/>
      <c r="F372" s="6"/>
      <c r="G372" s="6"/>
      <c r="H372" s="6"/>
      <c r="I372" s="6"/>
      <c r="J372" s="6"/>
      <c r="K372" s="6"/>
      <c r="L372" s="8"/>
      <c r="M372" s="8"/>
      <c r="N372" s="6"/>
      <c r="O372" s="6"/>
      <c r="P372" s="6"/>
      <c r="Q372" s="6"/>
      <c r="R372" s="6"/>
      <c r="S372" s="6"/>
      <c r="T372" s="6"/>
      <c r="X372" s="12"/>
      <c r="Y372" s="12"/>
    </row>
    <row r="373" ht="14.25" customHeight="1">
      <c r="A373" s="6"/>
      <c r="B373" s="6"/>
      <c r="D373" s="6"/>
      <c r="E373" s="6"/>
      <c r="F373" s="6"/>
      <c r="G373" s="6"/>
      <c r="H373" s="6"/>
      <c r="I373" s="6"/>
      <c r="J373" s="6"/>
      <c r="K373" s="6"/>
      <c r="L373" s="8"/>
      <c r="M373" s="8"/>
      <c r="N373" s="6"/>
      <c r="O373" s="6"/>
      <c r="P373" s="6"/>
      <c r="Q373" s="6"/>
      <c r="R373" s="6"/>
      <c r="S373" s="6"/>
      <c r="T373" s="6"/>
      <c r="X373" s="12"/>
      <c r="Y373" s="12"/>
    </row>
    <row r="374" ht="14.25" customHeight="1">
      <c r="A374" s="6"/>
      <c r="B374" s="6"/>
      <c r="D374" s="6"/>
      <c r="E374" s="6"/>
      <c r="F374" s="6"/>
      <c r="G374" s="6"/>
      <c r="H374" s="6"/>
      <c r="I374" s="6"/>
      <c r="J374" s="6"/>
      <c r="K374" s="6"/>
      <c r="L374" s="8"/>
      <c r="M374" s="8"/>
      <c r="N374" s="6"/>
      <c r="O374" s="6"/>
      <c r="P374" s="6"/>
      <c r="Q374" s="6"/>
      <c r="R374" s="6"/>
      <c r="S374" s="6"/>
      <c r="T374" s="6"/>
      <c r="X374" s="12"/>
      <c r="Y374" s="12"/>
    </row>
    <row r="375" ht="14.25" customHeight="1">
      <c r="A375" s="6"/>
      <c r="B375" s="6"/>
      <c r="D375" s="6"/>
      <c r="E375" s="6"/>
      <c r="F375" s="6"/>
      <c r="G375" s="6"/>
      <c r="H375" s="6"/>
      <c r="I375" s="6"/>
      <c r="J375" s="6"/>
      <c r="K375" s="6"/>
      <c r="L375" s="8"/>
      <c r="M375" s="8"/>
      <c r="N375" s="6"/>
      <c r="O375" s="6"/>
      <c r="P375" s="6"/>
      <c r="Q375" s="6"/>
      <c r="R375" s="6"/>
      <c r="S375" s="6"/>
      <c r="T375" s="6"/>
      <c r="X375" s="12"/>
      <c r="Y375" s="12"/>
    </row>
    <row r="376" ht="14.25" customHeight="1">
      <c r="A376" s="6"/>
      <c r="B376" s="6"/>
      <c r="D376" s="6"/>
      <c r="E376" s="6"/>
      <c r="F376" s="6"/>
      <c r="G376" s="6"/>
      <c r="H376" s="6"/>
      <c r="I376" s="6"/>
      <c r="J376" s="6"/>
      <c r="K376" s="6"/>
      <c r="L376" s="8"/>
      <c r="M376" s="8"/>
      <c r="N376" s="6"/>
      <c r="O376" s="6"/>
      <c r="P376" s="6"/>
      <c r="Q376" s="6"/>
      <c r="R376" s="6"/>
      <c r="S376" s="6"/>
      <c r="T376" s="6"/>
      <c r="X376" s="12"/>
      <c r="Y376" s="12"/>
    </row>
    <row r="377" ht="14.25" customHeight="1">
      <c r="A377" s="6"/>
      <c r="B377" s="6"/>
      <c r="D377" s="6"/>
      <c r="E377" s="6"/>
      <c r="F377" s="6"/>
      <c r="G377" s="6"/>
      <c r="H377" s="6"/>
      <c r="I377" s="6"/>
      <c r="J377" s="6"/>
      <c r="K377" s="6"/>
      <c r="L377" s="8"/>
      <c r="M377" s="8"/>
      <c r="N377" s="6"/>
      <c r="O377" s="6"/>
      <c r="P377" s="6"/>
      <c r="Q377" s="6"/>
      <c r="R377" s="6"/>
      <c r="S377" s="6"/>
      <c r="T377" s="6"/>
      <c r="X377" s="12"/>
      <c r="Y377" s="12"/>
    </row>
    <row r="378" ht="14.25" customHeight="1">
      <c r="A378" s="6"/>
      <c r="B378" s="6"/>
      <c r="D378" s="6"/>
      <c r="E378" s="6"/>
      <c r="F378" s="6"/>
      <c r="G378" s="6"/>
      <c r="H378" s="6"/>
      <c r="I378" s="6"/>
      <c r="J378" s="6"/>
      <c r="K378" s="6"/>
      <c r="L378" s="8"/>
      <c r="M378" s="8"/>
      <c r="N378" s="6"/>
      <c r="O378" s="6"/>
      <c r="P378" s="6"/>
      <c r="Q378" s="6"/>
      <c r="R378" s="6"/>
      <c r="S378" s="6"/>
      <c r="T378" s="6"/>
      <c r="X378" s="12"/>
      <c r="Y378" s="12"/>
    </row>
    <row r="379" ht="14.25" customHeight="1">
      <c r="A379" s="6"/>
      <c r="B379" s="6"/>
      <c r="D379" s="6"/>
      <c r="E379" s="6"/>
      <c r="F379" s="6"/>
      <c r="G379" s="6"/>
      <c r="H379" s="6"/>
      <c r="I379" s="6"/>
      <c r="J379" s="6"/>
      <c r="K379" s="6"/>
      <c r="L379" s="8"/>
      <c r="M379" s="8"/>
      <c r="N379" s="6"/>
      <c r="O379" s="6"/>
      <c r="P379" s="6"/>
      <c r="Q379" s="6"/>
      <c r="R379" s="6"/>
      <c r="S379" s="6"/>
      <c r="T379" s="6"/>
      <c r="X379" s="12"/>
      <c r="Y379" s="12"/>
    </row>
    <row r="380" ht="14.25" customHeight="1">
      <c r="A380" s="6"/>
      <c r="B380" s="6"/>
      <c r="D380" s="6"/>
      <c r="E380" s="6"/>
      <c r="F380" s="6"/>
      <c r="G380" s="6"/>
      <c r="H380" s="6"/>
      <c r="I380" s="6"/>
      <c r="J380" s="6"/>
      <c r="K380" s="6"/>
      <c r="L380" s="8"/>
      <c r="M380" s="8"/>
      <c r="N380" s="6"/>
      <c r="O380" s="6"/>
      <c r="P380" s="6"/>
      <c r="Q380" s="6"/>
      <c r="R380" s="6"/>
      <c r="S380" s="6"/>
      <c r="T380" s="6"/>
      <c r="X380" s="12"/>
      <c r="Y380" s="12"/>
    </row>
    <row r="381" ht="14.25" customHeight="1">
      <c r="A381" s="6"/>
      <c r="B381" s="6"/>
      <c r="D381" s="6"/>
      <c r="E381" s="6"/>
      <c r="F381" s="6"/>
      <c r="G381" s="6"/>
      <c r="H381" s="6"/>
      <c r="I381" s="6"/>
      <c r="J381" s="6"/>
      <c r="K381" s="6"/>
      <c r="L381" s="8"/>
      <c r="M381" s="8"/>
      <c r="N381" s="6"/>
      <c r="O381" s="6"/>
      <c r="P381" s="6"/>
      <c r="Q381" s="6"/>
      <c r="R381" s="6"/>
      <c r="S381" s="6"/>
      <c r="T381" s="6"/>
      <c r="X381" s="12"/>
      <c r="Y381" s="12"/>
    </row>
    <row r="382" ht="14.25" customHeight="1">
      <c r="A382" s="6"/>
      <c r="B382" s="6"/>
      <c r="D382" s="6"/>
      <c r="E382" s="6"/>
      <c r="F382" s="6"/>
      <c r="G382" s="6"/>
      <c r="H382" s="6"/>
      <c r="I382" s="6"/>
      <c r="J382" s="6"/>
      <c r="K382" s="6"/>
      <c r="L382" s="8"/>
      <c r="M382" s="8"/>
      <c r="N382" s="6"/>
      <c r="O382" s="6"/>
      <c r="P382" s="6"/>
      <c r="Q382" s="6"/>
      <c r="R382" s="6"/>
      <c r="S382" s="6"/>
      <c r="T382" s="6"/>
      <c r="X382" s="12"/>
      <c r="Y382" s="12"/>
    </row>
    <row r="383" ht="14.25" customHeight="1">
      <c r="A383" s="6"/>
      <c r="B383" s="6"/>
      <c r="D383" s="6"/>
      <c r="E383" s="6"/>
      <c r="F383" s="6"/>
      <c r="G383" s="6"/>
      <c r="H383" s="6"/>
      <c r="I383" s="6"/>
      <c r="J383" s="6"/>
      <c r="K383" s="6"/>
      <c r="L383" s="8"/>
      <c r="M383" s="8"/>
      <c r="N383" s="6"/>
      <c r="O383" s="6"/>
      <c r="P383" s="6"/>
      <c r="Q383" s="6"/>
      <c r="R383" s="6"/>
      <c r="S383" s="6"/>
      <c r="T383" s="6"/>
      <c r="X383" s="12"/>
      <c r="Y383" s="12"/>
    </row>
    <row r="384" ht="14.25" customHeight="1">
      <c r="A384" s="6"/>
      <c r="B384" s="6"/>
      <c r="D384" s="6"/>
      <c r="E384" s="6"/>
      <c r="F384" s="6"/>
      <c r="G384" s="6"/>
      <c r="H384" s="6"/>
      <c r="I384" s="6"/>
      <c r="J384" s="6"/>
      <c r="K384" s="6"/>
      <c r="L384" s="8"/>
      <c r="M384" s="8"/>
      <c r="N384" s="6"/>
      <c r="O384" s="6"/>
      <c r="P384" s="6"/>
      <c r="Q384" s="6"/>
      <c r="R384" s="6"/>
      <c r="S384" s="6"/>
      <c r="T384" s="6"/>
      <c r="X384" s="12"/>
      <c r="Y384" s="12"/>
    </row>
    <row r="385" ht="14.25" customHeight="1">
      <c r="A385" s="6"/>
      <c r="B385" s="6"/>
      <c r="D385" s="6"/>
      <c r="E385" s="6"/>
      <c r="F385" s="6"/>
      <c r="G385" s="6"/>
      <c r="H385" s="6"/>
      <c r="I385" s="6"/>
      <c r="J385" s="6"/>
      <c r="K385" s="6"/>
      <c r="L385" s="8"/>
      <c r="M385" s="8"/>
      <c r="N385" s="6"/>
      <c r="O385" s="6"/>
      <c r="P385" s="6"/>
      <c r="Q385" s="6"/>
      <c r="R385" s="6"/>
      <c r="S385" s="6"/>
      <c r="T385" s="6"/>
      <c r="X385" s="12"/>
      <c r="Y385" s="12"/>
    </row>
    <row r="386" ht="14.25" customHeight="1">
      <c r="A386" s="6"/>
      <c r="B386" s="6"/>
      <c r="D386" s="6"/>
      <c r="E386" s="6"/>
      <c r="F386" s="6"/>
      <c r="G386" s="6"/>
      <c r="H386" s="6"/>
      <c r="I386" s="6"/>
      <c r="J386" s="6"/>
      <c r="K386" s="6"/>
      <c r="L386" s="8"/>
      <c r="M386" s="8"/>
      <c r="N386" s="6"/>
      <c r="O386" s="6"/>
      <c r="P386" s="6"/>
      <c r="Q386" s="6"/>
      <c r="R386" s="6"/>
      <c r="S386" s="6"/>
      <c r="T386" s="6"/>
      <c r="X386" s="12"/>
      <c r="Y386" s="12"/>
    </row>
    <row r="387" ht="14.25" customHeight="1">
      <c r="A387" s="6"/>
      <c r="B387" s="6"/>
      <c r="D387" s="6"/>
      <c r="E387" s="6"/>
      <c r="F387" s="6"/>
      <c r="G387" s="6"/>
      <c r="H387" s="6"/>
      <c r="I387" s="6"/>
      <c r="J387" s="6"/>
      <c r="K387" s="6"/>
      <c r="L387" s="8"/>
      <c r="M387" s="8"/>
      <c r="N387" s="6"/>
      <c r="O387" s="6"/>
      <c r="P387" s="6"/>
      <c r="Q387" s="6"/>
      <c r="R387" s="6"/>
      <c r="S387" s="6"/>
      <c r="T387" s="6"/>
      <c r="X387" s="12"/>
      <c r="Y387" s="12"/>
    </row>
    <row r="388" ht="14.25" customHeight="1">
      <c r="A388" s="6"/>
      <c r="B388" s="6"/>
      <c r="D388" s="6"/>
      <c r="E388" s="6"/>
      <c r="F388" s="6"/>
      <c r="G388" s="6"/>
      <c r="H388" s="6"/>
      <c r="I388" s="6"/>
      <c r="J388" s="6"/>
      <c r="K388" s="6"/>
      <c r="L388" s="8"/>
      <c r="M388" s="8"/>
      <c r="N388" s="6"/>
      <c r="O388" s="6"/>
      <c r="P388" s="6"/>
      <c r="Q388" s="6"/>
      <c r="R388" s="6"/>
      <c r="S388" s="6"/>
      <c r="T388" s="6"/>
      <c r="X388" s="12"/>
      <c r="Y388" s="12"/>
    </row>
    <row r="389" ht="14.25" customHeight="1">
      <c r="A389" s="6"/>
      <c r="B389" s="6"/>
      <c r="D389" s="6"/>
      <c r="E389" s="6"/>
      <c r="F389" s="6"/>
      <c r="G389" s="6"/>
      <c r="H389" s="6"/>
      <c r="I389" s="6"/>
      <c r="J389" s="6"/>
      <c r="K389" s="6"/>
      <c r="L389" s="8"/>
      <c r="M389" s="8"/>
      <c r="N389" s="6"/>
      <c r="O389" s="6"/>
      <c r="P389" s="6"/>
      <c r="Q389" s="6"/>
      <c r="R389" s="6"/>
      <c r="S389" s="6"/>
      <c r="T389" s="6"/>
      <c r="X389" s="12"/>
      <c r="Y389" s="12"/>
    </row>
    <row r="390" ht="14.25" customHeight="1">
      <c r="A390" s="6"/>
      <c r="B390" s="6"/>
      <c r="D390" s="6"/>
      <c r="E390" s="6"/>
      <c r="F390" s="6"/>
      <c r="G390" s="6"/>
      <c r="H390" s="6"/>
      <c r="I390" s="6"/>
      <c r="J390" s="6"/>
      <c r="K390" s="6"/>
      <c r="L390" s="8"/>
      <c r="M390" s="8"/>
      <c r="N390" s="6"/>
      <c r="O390" s="6"/>
      <c r="P390" s="6"/>
      <c r="Q390" s="6"/>
      <c r="R390" s="6"/>
      <c r="S390" s="6"/>
      <c r="T390" s="6"/>
      <c r="X390" s="12"/>
      <c r="Y390" s="12"/>
    </row>
    <row r="391" ht="14.25" customHeight="1">
      <c r="A391" s="6"/>
      <c r="B391" s="6"/>
      <c r="D391" s="6"/>
      <c r="E391" s="6"/>
      <c r="F391" s="6"/>
      <c r="G391" s="6"/>
      <c r="H391" s="6"/>
      <c r="I391" s="6"/>
      <c r="J391" s="6"/>
      <c r="K391" s="6"/>
      <c r="L391" s="8"/>
      <c r="M391" s="8"/>
      <c r="N391" s="6"/>
      <c r="O391" s="6"/>
      <c r="P391" s="6"/>
      <c r="Q391" s="6"/>
      <c r="R391" s="6"/>
      <c r="S391" s="6"/>
      <c r="T391" s="6"/>
      <c r="X391" s="12"/>
      <c r="Y391" s="12"/>
    </row>
    <row r="392" ht="14.25" customHeight="1">
      <c r="A392" s="6"/>
      <c r="B392" s="6"/>
      <c r="D392" s="6"/>
      <c r="E392" s="6"/>
      <c r="F392" s="6"/>
      <c r="G392" s="6"/>
      <c r="H392" s="6"/>
      <c r="I392" s="6"/>
      <c r="J392" s="6"/>
      <c r="K392" s="6"/>
      <c r="L392" s="8"/>
      <c r="M392" s="8"/>
      <c r="N392" s="6"/>
      <c r="O392" s="6"/>
      <c r="P392" s="6"/>
      <c r="Q392" s="6"/>
      <c r="R392" s="6"/>
      <c r="S392" s="6"/>
      <c r="T392" s="6"/>
      <c r="X392" s="12"/>
      <c r="Y392" s="12"/>
    </row>
    <row r="393" ht="14.25" customHeight="1">
      <c r="A393" s="6"/>
      <c r="B393" s="6"/>
      <c r="D393" s="6"/>
      <c r="E393" s="6"/>
      <c r="F393" s="6"/>
      <c r="G393" s="6"/>
      <c r="H393" s="6"/>
      <c r="I393" s="6"/>
      <c r="J393" s="6"/>
      <c r="K393" s="6"/>
      <c r="L393" s="8"/>
      <c r="M393" s="8"/>
      <c r="N393" s="6"/>
      <c r="O393" s="6"/>
      <c r="P393" s="6"/>
      <c r="Q393" s="6"/>
      <c r="R393" s="6"/>
      <c r="S393" s="6"/>
      <c r="T393" s="6"/>
      <c r="X393" s="12"/>
      <c r="Y393" s="12"/>
    </row>
    <row r="394" ht="14.25" customHeight="1">
      <c r="A394" s="6"/>
      <c r="B394" s="6"/>
      <c r="D394" s="6"/>
      <c r="E394" s="6"/>
      <c r="F394" s="6"/>
      <c r="G394" s="6"/>
      <c r="H394" s="6"/>
      <c r="I394" s="6"/>
      <c r="J394" s="6"/>
      <c r="K394" s="6"/>
      <c r="L394" s="8"/>
      <c r="M394" s="8"/>
      <c r="N394" s="6"/>
      <c r="O394" s="6"/>
      <c r="P394" s="6"/>
      <c r="Q394" s="6"/>
      <c r="R394" s="6"/>
      <c r="S394" s="6"/>
      <c r="T394" s="6"/>
      <c r="X394" s="12"/>
      <c r="Y394" s="12"/>
    </row>
    <row r="395" ht="14.25" customHeight="1">
      <c r="A395" s="6"/>
      <c r="B395" s="6"/>
      <c r="D395" s="6"/>
      <c r="E395" s="6"/>
      <c r="F395" s="6"/>
      <c r="G395" s="6"/>
      <c r="H395" s="6"/>
      <c r="I395" s="6"/>
      <c r="J395" s="6"/>
      <c r="K395" s="6"/>
      <c r="L395" s="8"/>
      <c r="M395" s="8"/>
      <c r="N395" s="6"/>
      <c r="O395" s="6"/>
      <c r="P395" s="6"/>
      <c r="Q395" s="6"/>
      <c r="R395" s="6"/>
      <c r="S395" s="6"/>
      <c r="T395" s="6"/>
      <c r="X395" s="12"/>
      <c r="Y395" s="12"/>
    </row>
    <row r="396" ht="14.25" customHeight="1">
      <c r="A396" s="6"/>
      <c r="B396" s="6"/>
      <c r="D396" s="6"/>
      <c r="E396" s="6"/>
      <c r="F396" s="6"/>
      <c r="G396" s="6"/>
      <c r="H396" s="6"/>
      <c r="I396" s="6"/>
      <c r="J396" s="6"/>
      <c r="K396" s="6"/>
      <c r="L396" s="8"/>
      <c r="M396" s="8"/>
      <c r="N396" s="6"/>
      <c r="O396" s="6"/>
      <c r="P396" s="6"/>
      <c r="Q396" s="6"/>
      <c r="R396" s="6"/>
      <c r="S396" s="6"/>
      <c r="T396" s="6"/>
      <c r="X396" s="12"/>
      <c r="Y396" s="12"/>
    </row>
    <row r="397" ht="14.25" customHeight="1">
      <c r="A397" s="6"/>
      <c r="B397" s="6"/>
      <c r="D397" s="6"/>
      <c r="E397" s="6"/>
      <c r="F397" s="6"/>
      <c r="G397" s="6"/>
      <c r="H397" s="6"/>
      <c r="I397" s="6"/>
      <c r="J397" s="6"/>
      <c r="K397" s="6"/>
      <c r="L397" s="8"/>
      <c r="M397" s="8"/>
      <c r="N397" s="6"/>
      <c r="O397" s="6"/>
      <c r="P397" s="6"/>
      <c r="Q397" s="6"/>
      <c r="R397" s="6"/>
      <c r="S397" s="6"/>
      <c r="T397" s="6"/>
      <c r="X397" s="12"/>
      <c r="Y397" s="12"/>
    </row>
    <row r="398" ht="14.25" customHeight="1">
      <c r="A398" s="6"/>
      <c r="B398" s="6"/>
      <c r="D398" s="6"/>
      <c r="E398" s="6"/>
      <c r="F398" s="6"/>
      <c r="G398" s="6"/>
      <c r="H398" s="6"/>
      <c r="I398" s="6"/>
      <c r="J398" s="6"/>
      <c r="K398" s="6"/>
      <c r="L398" s="8"/>
      <c r="M398" s="8"/>
      <c r="N398" s="6"/>
      <c r="O398" s="6"/>
      <c r="P398" s="6"/>
      <c r="Q398" s="6"/>
      <c r="R398" s="6"/>
      <c r="S398" s="6"/>
      <c r="T398" s="6"/>
      <c r="X398" s="12"/>
      <c r="Y398" s="12"/>
    </row>
    <row r="399" ht="14.25" customHeight="1">
      <c r="A399" s="6"/>
      <c r="B399" s="6"/>
      <c r="D399" s="6"/>
      <c r="E399" s="6"/>
      <c r="F399" s="6"/>
      <c r="G399" s="6"/>
      <c r="H399" s="6"/>
      <c r="I399" s="6"/>
      <c r="J399" s="6"/>
      <c r="K399" s="6"/>
      <c r="L399" s="8"/>
      <c r="M399" s="8"/>
      <c r="N399" s="6"/>
      <c r="O399" s="6"/>
      <c r="P399" s="6"/>
      <c r="Q399" s="6"/>
      <c r="R399" s="6"/>
      <c r="S399" s="6"/>
      <c r="T399" s="6"/>
      <c r="X399" s="12"/>
      <c r="Y399" s="12"/>
    </row>
    <row r="400" ht="14.25" customHeight="1">
      <c r="A400" s="6"/>
      <c r="B400" s="6"/>
      <c r="D400" s="6"/>
      <c r="E400" s="6"/>
      <c r="F400" s="6"/>
      <c r="G400" s="6"/>
      <c r="H400" s="6"/>
      <c r="I400" s="6"/>
      <c r="J400" s="6"/>
      <c r="K400" s="6"/>
      <c r="L400" s="8"/>
      <c r="M400" s="8"/>
      <c r="N400" s="6"/>
      <c r="O400" s="6"/>
      <c r="P400" s="6"/>
      <c r="Q400" s="6"/>
      <c r="R400" s="6"/>
      <c r="S400" s="6"/>
      <c r="T400" s="6"/>
      <c r="X400" s="12"/>
      <c r="Y400" s="12"/>
    </row>
    <row r="401" ht="14.25" customHeight="1">
      <c r="A401" s="6"/>
      <c r="B401" s="6"/>
      <c r="D401" s="6"/>
      <c r="E401" s="6"/>
      <c r="F401" s="6"/>
      <c r="G401" s="6"/>
      <c r="H401" s="6"/>
      <c r="I401" s="6"/>
      <c r="J401" s="6"/>
      <c r="K401" s="6"/>
      <c r="L401" s="8"/>
      <c r="M401" s="8"/>
      <c r="N401" s="6"/>
      <c r="O401" s="6"/>
      <c r="P401" s="6"/>
      <c r="Q401" s="6"/>
      <c r="R401" s="6"/>
      <c r="S401" s="6"/>
      <c r="T401" s="6"/>
      <c r="X401" s="12"/>
      <c r="Y401" s="12"/>
    </row>
    <row r="402" ht="14.25" customHeight="1">
      <c r="A402" s="6"/>
      <c r="B402" s="6"/>
      <c r="D402" s="6"/>
      <c r="E402" s="6"/>
      <c r="F402" s="6"/>
      <c r="G402" s="6"/>
      <c r="H402" s="6"/>
      <c r="I402" s="6"/>
      <c r="J402" s="6"/>
      <c r="K402" s="6"/>
      <c r="L402" s="8"/>
      <c r="M402" s="8"/>
      <c r="N402" s="6"/>
      <c r="O402" s="6"/>
      <c r="P402" s="6"/>
      <c r="Q402" s="6"/>
      <c r="R402" s="6"/>
      <c r="S402" s="6"/>
      <c r="T402" s="6"/>
      <c r="X402" s="12"/>
      <c r="Y402" s="12"/>
    </row>
    <row r="403" ht="14.25" customHeight="1">
      <c r="A403" s="6"/>
      <c r="B403" s="6"/>
      <c r="D403" s="6"/>
      <c r="E403" s="6"/>
      <c r="F403" s="6"/>
      <c r="G403" s="6"/>
      <c r="H403" s="6"/>
      <c r="I403" s="6"/>
      <c r="J403" s="6"/>
      <c r="K403" s="6"/>
      <c r="L403" s="8"/>
      <c r="M403" s="8"/>
      <c r="N403" s="6"/>
      <c r="O403" s="6"/>
      <c r="P403" s="6"/>
      <c r="Q403" s="6"/>
      <c r="R403" s="6"/>
      <c r="S403" s="6"/>
      <c r="T403" s="6"/>
      <c r="X403" s="12"/>
      <c r="Y403" s="12"/>
    </row>
    <row r="404" ht="14.25" customHeight="1">
      <c r="A404" s="6"/>
      <c r="B404" s="6"/>
      <c r="D404" s="6"/>
      <c r="E404" s="6"/>
      <c r="F404" s="6"/>
      <c r="G404" s="6"/>
      <c r="H404" s="6"/>
      <c r="I404" s="6"/>
      <c r="J404" s="6"/>
      <c r="K404" s="6"/>
      <c r="L404" s="8"/>
      <c r="M404" s="8"/>
      <c r="N404" s="6"/>
      <c r="O404" s="6"/>
      <c r="P404" s="6"/>
      <c r="Q404" s="6"/>
      <c r="R404" s="6"/>
      <c r="S404" s="6"/>
      <c r="T404" s="6"/>
      <c r="X404" s="12"/>
      <c r="Y404" s="12"/>
    </row>
    <row r="405" ht="14.25" customHeight="1">
      <c r="A405" s="6"/>
      <c r="B405" s="6"/>
      <c r="D405" s="6"/>
      <c r="E405" s="6"/>
      <c r="F405" s="6"/>
      <c r="G405" s="6"/>
      <c r="H405" s="6"/>
      <c r="I405" s="6"/>
      <c r="J405" s="6"/>
      <c r="K405" s="6"/>
      <c r="L405" s="8"/>
      <c r="M405" s="8"/>
      <c r="N405" s="6"/>
      <c r="O405" s="6"/>
      <c r="P405" s="6"/>
      <c r="Q405" s="6"/>
      <c r="R405" s="6"/>
      <c r="S405" s="6"/>
      <c r="T405" s="6"/>
      <c r="X405" s="12"/>
      <c r="Y405" s="12"/>
    </row>
    <row r="406" ht="14.25" customHeight="1">
      <c r="A406" s="6"/>
      <c r="B406" s="6"/>
      <c r="D406" s="6"/>
      <c r="E406" s="6"/>
      <c r="F406" s="6"/>
      <c r="G406" s="6"/>
      <c r="H406" s="6"/>
      <c r="I406" s="6"/>
      <c r="J406" s="6"/>
      <c r="K406" s="6"/>
      <c r="L406" s="8"/>
      <c r="M406" s="8"/>
      <c r="N406" s="6"/>
      <c r="O406" s="6"/>
      <c r="P406" s="6"/>
      <c r="Q406" s="6"/>
      <c r="R406" s="6"/>
      <c r="S406" s="6"/>
      <c r="T406" s="6"/>
      <c r="X406" s="12"/>
      <c r="Y406" s="12"/>
    </row>
    <row r="407" ht="14.25" customHeight="1">
      <c r="A407" s="6"/>
      <c r="B407" s="6"/>
      <c r="D407" s="6"/>
      <c r="E407" s="6"/>
      <c r="F407" s="6"/>
      <c r="G407" s="6"/>
      <c r="H407" s="6"/>
      <c r="I407" s="6"/>
      <c r="J407" s="6"/>
      <c r="K407" s="6"/>
      <c r="L407" s="8"/>
      <c r="M407" s="8"/>
      <c r="N407" s="6"/>
      <c r="O407" s="6"/>
      <c r="P407" s="6"/>
      <c r="Q407" s="6"/>
      <c r="R407" s="6"/>
      <c r="S407" s="6"/>
      <c r="T407" s="6"/>
      <c r="X407" s="12"/>
      <c r="Y407" s="12"/>
    </row>
    <row r="408" ht="14.25" customHeight="1">
      <c r="A408" s="6"/>
      <c r="B408" s="6"/>
      <c r="D408" s="6"/>
      <c r="E408" s="6"/>
      <c r="F408" s="6"/>
      <c r="G408" s="6"/>
      <c r="H408" s="6"/>
      <c r="I408" s="6"/>
      <c r="J408" s="6"/>
      <c r="K408" s="6"/>
      <c r="L408" s="8"/>
      <c r="M408" s="8"/>
      <c r="N408" s="6"/>
      <c r="O408" s="6"/>
      <c r="P408" s="6"/>
      <c r="Q408" s="6"/>
      <c r="R408" s="6"/>
      <c r="S408" s="6"/>
      <c r="T408" s="6"/>
      <c r="X408" s="12"/>
      <c r="Y408" s="12"/>
    </row>
    <row r="409" ht="14.25" customHeight="1">
      <c r="A409" s="6"/>
      <c r="B409" s="6"/>
      <c r="D409" s="6"/>
      <c r="E409" s="6"/>
      <c r="F409" s="6"/>
      <c r="G409" s="6"/>
      <c r="H409" s="6"/>
      <c r="I409" s="6"/>
      <c r="J409" s="6"/>
      <c r="K409" s="6"/>
      <c r="L409" s="8"/>
      <c r="M409" s="8"/>
      <c r="N409" s="6"/>
      <c r="O409" s="6"/>
      <c r="P409" s="6"/>
      <c r="Q409" s="6"/>
      <c r="R409" s="6"/>
      <c r="S409" s="6"/>
      <c r="T409" s="6"/>
      <c r="X409" s="12"/>
      <c r="Y409" s="12"/>
    </row>
    <row r="410" ht="14.25" customHeight="1">
      <c r="A410" s="6"/>
      <c r="B410" s="6"/>
      <c r="D410" s="6"/>
      <c r="E410" s="6"/>
      <c r="F410" s="6"/>
      <c r="G410" s="6"/>
      <c r="H410" s="6"/>
      <c r="I410" s="6"/>
      <c r="J410" s="6"/>
      <c r="K410" s="6"/>
      <c r="L410" s="8"/>
      <c r="M410" s="8"/>
      <c r="N410" s="6"/>
      <c r="O410" s="6"/>
      <c r="P410" s="6"/>
      <c r="Q410" s="6"/>
      <c r="R410" s="6"/>
      <c r="S410" s="6"/>
      <c r="T410" s="6"/>
      <c r="X410" s="12"/>
      <c r="Y410" s="12"/>
    </row>
    <row r="411" ht="14.25" customHeight="1">
      <c r="A411" s="6"/>
      <c r="B411" s="6"/>
      <c r="D411" s="6"/>
      <c r="E411" s="6"/>
      <c r="F411" s="6"/>
      <c r="G411" s="6"/>
      <c r="H411" s="6"/>
      <c r="I411" s="6"/>
      <c r="J411" s="6"/>
      <c r="K411" s="6"/>
      <c r="L411" s="8"/>
      <c r="M411" s="8"/>
      <c r="N411" s="6"/>
      <c r="O411" s="6"/>
      <c r="P411" s="6"/>
      <c r="Q411" s="6"/>
      <c r="R411" s="6"/>
      <c r="S411" s="6"/>
      <c r="T411" s="6"/>
      <c r="X411" s="12"/>
      <c r="Y411" s="12"/>
    </row>
    <row r="412" ht="14.25" customHeight="1">
      <c r="A412" s="6"/>
      <c r="B412" s="6"/>
      <c r="D412" s="6"/>
      <c r="E412" s="6"/>
      <c r="F412" s="6"/>
      <c r="G412" s="6"/>
      <c r="H412" s="6"/>
      <c r="I412" s="6"/>
      <c r="J412" s="6"/>
      <c r="K412" s="6"/>
      <c r="L412" s="8"/>
      <c r="M412" s="8"/>
      <c r="N412" s="6"/>
      <c r="O412" s="6"/>
      <c r="P412" s="6"/>
      <c r="Q412" s="6"/>
      <c r="R412" s="6"/>
      <c r="S412" s="6"/>
      <c r="T412" s="6"/>
      <c r="X412" s="12"/>
      <c r="Y412" s="12"/>
    </row>
    <row r="413" ht="14.25" customHeight="1">
      <c r="A413" s="6"/>
      <c r="B413" s="6"/>
      <c r="D413" s="6"/>
      <c r="E413" s="6"/>
      <c r="F413" s="6"/>
      <c r="G413" s="6"/>
      <c r="H413" s="6"/>
      <c r="I413" s="6"/>
      <c r="J413" s="6"/>
      <c r="K413" s="6"/>
      <c r="L413" s="8"/>
      <c r="M413" s="8"/>
      <c r="N413" s="6"/>
      <c r="O413" s="6"/>
      <c r="P413" s="6"/>
      <c r="Q413" s="6"/>
      <c r="R413" s="6"/>
      <c r="S413" s="6"/>
      <c r="T413" s="6"/>
      <c r="X413" s="12"/>
      <c r="Y413" s="12"/>
    </row>
    <row r="414" ht="14.25" customHeight="1">
      <c r="A414" s="6"/>
      <c r="B414" s="6"/>
      <c r="D414" s="6"/>
      <c r="E414" s="6"/>
      <c r="F414" s="6"/>
      <c r="G414" s="6"/>
      <c r="H414" s="6"/>
      <c r="I414" s="6"/>
      <c r="J414" s="6"/>
      <c r="K414" s="6"/>
      <c r="L414" s="8"/>
      <c r="M414" s="8"/>
      <c r="N414" s="6"/>
      <c r="O414" s="6"/>
      <c r="P414" s="6"/>
      <c r="Q414" s="6"/>
      <c r="R414" s="6"/>
      <c r="S414" s="6"/>
      <c r="T414" s="6"/>
      <c r="X414" s="12"/>
      <c r="Y414" s="12"/>
    </row>
    <row r="415" ht="14.25" customHeight="1">
      <c r="A415" s="6"/>
      <c r="B415" s="6"/>
      <c r="D415" s="6"/>
      <c r="E415" s="6"/>
      <c r="F415" s="6"/>
      <c r="G415" s="6"/>
      <c r="H415" s="6"/>
      <c r="I415" s="6"/>
      <c r="J415" s="6"/>
      <c r="K415" s="6"/>
      <c r="L415" s="8"/>
      <c r="M415" s="8"/>
      <c r="N415" s="6"/>
      <c r="O415" s="6"/>
      <c r="P415" s="6"/>
      <c r="Q415" s="6"/>
      <c r="R415" s="6"/>
      <c r="S415" s="6"/>
      <c r="T415" s="6"/>
      <c r="X415" s="12"/>
      <c r="Y415" s="12"/>
    </row>
    <row r="416" ht="14.25" customHeight="1">
      <c r="A416" s="6"/>
      <c r="B416" s="6"/>
      <c r="D416" s="6"/>
      <c r="E416" s="6"/>
      <c r="F416" s="6"/>
      <c r="G416" s="6"/>
      <c r="H416" s="6"/>
      <c r="I416" s="6"/>
      <c r="J416" s="6"/>
      <c r="K416" s="6"/>
      <c r="L416" s="8"/>
      <c r="M416" s="8"/>
      <c r="N416" s="6"/>
      <c r="O416" s="6"/>
      <c r="P416" s="6"/>
      <c r="Q416" s="6"/>
      <c r="R416" s="6"/>
      <c r="S416" s="6"/>
      <c r="T416" s="6"/>
      <c r="X416" s="12"/>
      <c r="Y416" s="12"/>
    </row>
    <row r="417" ht="14.25" customHeight="1">
      <c r="A417" s="6"/>
      <c r="B417" s="6"/>
      <c r="D417" s="6"/>
      <c r="E417" s="6"/>
      <c r="F417" s="6"/>
      <c r="G417" s="6"/>
      <c r="H417" s="6"/>
      <c r="I417" s="6"/>
      <c r="J417" s="6"/>
      <c r="K417" s="6"/>
      <c r="L417" s="8"/>
      <c r="M417" s="8"/>
      <c r="N417" s="6"/>
      <c r="O417" s="6"/>
      <c r="P417" s="6"/>
      <c r="Q417" s="6"/>
      <c r="R417" s="6"/>
      <c r="S417" s="6"/>
      <c r="T417" s="6"/>
      <c r="X417" s="12"/>
      <c r="Y417" s="12"/>
    </row>
    <row r="418" ht="14.25" customHeight="1">
      <c r="A418" s="6"/>
      <c r="B418" s="6"/>
      <c r="D418" s="6"/>
      <c r="E418" s="6"/>
      <c r="F418" s="6"/>
      <c r="G418" s="6"/>
      <c r="H418" s="6"/>
      <c r="I418" s="6"/>
      <c r="J418" s="6"/>
      <c r="K418" s="6"/>
      <c r="L418" s="8"/>
      <c r="M418" s="8"/>
      <c r="N418" s="6"/>
      <c r="O418" s="6"/>
      <c r="P418" s="6"/>
      <c r="Q418" s="6"/>
      <c r="R418" s="6"/>
      <c r="S418" s="6"/>
      <c r="T418" s="6"/>
      <c r="X418" s="12"/>
      <c r="Y418" s="12"/>
    </row>
    <row r="419" ht="14.25" customHeight="1">
      <c r="A419" s="6"/>
      <c r="B419" s="6"/>
      <c r="D419" s="6"/>
      <c r="E419" s="6"/>
      <c r="F419" s="6"/>
      <c r="G419" s="6"/>
      <c r="H419" s="6"/>
      <c r="I419" s="6"/>
      <c r="J419" s="6"/>
      <c r="K419" s="6"/>
      <c r="L419" s="8"/>
      <c r="M419" s="8"/>
      <c r="N419" s="6"/>
      <c r="O419" s="6"/>
      <c r="P419" s="6"/>
      <c r="Q419" s="6"/>
      <c r="R419" s="6"/>
      <c r="S419" s="6"/>
      <c r="T419" s="6"/>
      <c r="X419" s="12"/>
      <c r="Y419" s="12"/>
    </row>
    <row r="420" ht="14.25" customHeight="1">
      <c r="A420" s="6"/>
      <c r="B420" s="6"/>
      <c r="D420" s="6"/>
      <c r="E420" s="6"/>
      <c r="F420" s="6"/>
      <c r="G420" s="6"/>
      <c r="H420" s="6"/>
      <c r="I420" s="6"/>
      <c r="J420" s="6"/>
      <c r="K420" s="6"/>
      <c r="L420" s="8"/>
      <c r="M420" s="8"/>
      <c r="N420" s="6"/>
      <c r="O420" s="6"/>
      <c r="P420" s="6"/>
      <c r="Q420" s="6"/>
      <c r="R420" s="6"/>
      <c r="S420" s="6"/>
      <c r="T420" s="6"/>
      <c r="X420" s="12"/>
      <c r="Y420" s="12"/>
    </row>
    <row r="421" ht="14.25" customHeight="1">
      <c r="A421" s="6"/>
      <c r="B421" s="6"/>
      <c r="D421" s="6"/>
      <c r="E421" s="6"/>
      <c r="F421" s="6"/>
      <c r="G421" s="6"/>
      <c r="H421" s="6"/>
      <c r="I421" s="6"/>
      <c r="J421" s="6"/>
      <c r="K421" s="6"/>
      <c r="L421" s="8"/>
      <c r="M421" s="8"/>
      <c r="N421" s="6"/>
      <c r="O421" s="6"/>
      <c r="P421" s="6"/>
      <c r="Q421" s="6"/>
      <c r="R421" s="6"/>
      <c r="S421" s="6"/>
      <c r="T421" s="6"/>
      <c r="X421" s="12"/>
      <c r="Y421" s="12"/>
    </row>
    <row r="422" ht="14.25" customHeight="1">
      <c r="A422" s="6"/>
      <c r="B422" s="6"/>
      <c r="D422" s="6"/>
      <c r="E422" s="6"/>
      <c r="F422" s="6"/>
      <c r="G422" s="6"/>
      <c r="H422" s="6"/>
      <c r="I422" s="6"/>
      <c r="J422" s="6"/>
      <c r="K422" s="6"/>
      <c r="L422" s="8"/>
      <c r="M422" s="8"/>
      <c r="N422" s="6"/>
      <c r="O422" s="6"/>
      <c r="P422" s="6"/>
      <c r="Q422" s="6"/>
      <c r="R422" s="6"/>
      <c r="S422" s="6"/>
      <c r="T422" s="6"/>
      <c r="X422" s="12"/>
      <c r="Y422" s="12"/>
    </row>
    <row r="423" ht="14.25" customHeight="1">
      <c r="A423" s="6"/>
      <c r="B423" s="6"/>
      <c r="D423" s="6"/>
      <c r="E423" s="6"/>
      <c r="F423" s="6"/>
      <c r="G423" s="6"/>
      <c r="H423" s="6"/>
      <c r="I423" s="6"/>
      <c r="J423" s="6"/>
      <c r="K423" s="6"/>
      <c r="L423" s="8"/>
      <c r="M423" s="8"/>
      <c r="N423" s="6"/>
      <c r="O423" s="6"/>
      <c r="P423" s="6"/>
      <c r="Q423" s="6"/>
      <c r="R423" s="6"/>
      <c r="S423" s="6"/>
      <c r="T423" s="6"/>
      <c r="X423" s="12"/>
      <c r="Y423" s="12"/>
    </row>
    <row r="424" ht="14.25" customHeight="1">
      <c r="A424" s="6"/>
      <c r="B424" s="6"/>
      <c r="D424" s="6"/>
      <c r="E424" s="6"/>
      <c r="F424" s="6"/>
      <c r="G424" s="6"/>
      <c r="H424" s="6"/>
      <c r="I424" s="6"/>
      <c r="J424" s="6"/>
      <c r="K424" s="6"/>
      <c r="L424" s="8"/>
      <c r="M424" s="8"/>
      <c r="N424" s="6"/>
      <c r="O424" s="6"/>
      <c r="P424" s="6"/>
      <c r="Q424" s="6"/>
      <c r="R424" s="6"/>
      <c r="S424" s="6"/>
      <c r="T424" s="6"/>
      <c r="X424" s="12"/>
      <c r="Y424" s="12"/>
    </row>
    <row r="425" ht="14.25" customHeight="1">
      <c r="A425" s="6"/>
      <c r="B425" s="6"/>
      <c r="D425" s="6"/>
      <c r="E425" s="6"/>
      <c r="F425" s="6"/>
      <c r="G425" s="6"/>
      <c r="H425" s="6"/>
      <c r="I425" s="6"/>
      <c r="J425" s="6"/>
      <c r="K425" s="6"/>
      <c r="L425" s="8"/>
      <c r="M425" s="8"/>
      <c r="N425" s="6"/>
      <c r="O425" s="6"/>
      <c r="P425" s="6"/>
      <c r="Q425" s="6"/>
      <c r="R425" s="6"/>
      <c r="S425" s="6"/>
      <c r="T425" s="6"/>
      <c r="X425" s="12"/>
      <c r="Y425" s="12"/>
    </row>
    <row r="426" ht="14.25" customHeight="1">
      <c r="A426" s="6"/>
      <c r="B426" s="6"/>
      <c r="D426" s="6"/>
      <c r="E426" s="6"/>
      <c r="F426" s="6"/>
      <c r="G426" s="6"/>
      <c r="H426" s="6"/>
      <c r="I426" s="6"/>
      <c r="J426" s="6"/>
      <c r="K426" s="6"/>
      <c r="L426" s="8"/>
      <c r="M426" s="8"/>
      <c r="N426" s="6"/>
      <c r="O426" s="6"/>
      <c r="P426" s="6"/>
      <c r="Q426" s="6"/>
      <c r="R426" s="6"/>
      <c r="S426" s="6"/>
      <c r="T426" s="6"/>
      <c r="X426" s="12"/>
      <c r="Y426" s="12"/>
    </row>
    <row r="427" ht="14.25" customHeight="1">
      <c r="A427" s="6"/>
      <c r="B427" s="6"/>
      <c r="D427" s="6"/>
      <c r="E427" s="6"/>
      <c r="F427" s="6"/>
      <c r="G427" s="6"/>
      <c r="H427" s="6"/>
      <c r="I427" s="6"/>
      <c r="J427" s="6"/>
      <c r="K427" s="6"/>
      <c r="L427" s="8"/>
      <c r="M427" s="8"/>
      <c r="N427" s="6"/>
      <c r="O427" s="6"/>
      <c r="P427" s="6"/>
      <c r="Q427" s="6"/>
      <c r="R427" s="6"/>
      <c r="S427" s="6"/>
      <c r="T427" s="6"/>
      <c r="X427" s="12"/>
      <c r="Y427" s="12"/>
    </row>
    <row r="428" ht="14.25" customHeight="1">
      <c r="A428" s="6"/>
      <c r="B428" s="6"/>
      <c r="D428" s="6"/>
      <c r="E428" s="6"/>
      <c r="F428" s="6"/>
      <c r="G428" s="6"/>
      <c r="H428" s="6"/>
      <c r="I428" s="6"/>
      <c r="J428" s="6"/>
      <c r="K428" s="6"/>
      <c r="L428" s="8"/>
      <c r="M428" s="8"/>
      <c r="N428" s="6"/>
      <c r="O428" s="6"/>
      <c r="P428" s="6"/>
      <c r="Q428" s="6"/>
      <c r="R428" s="6"/>
      <c r="S428" s="6"/>
      <c r="T428" s="6"/>
      <c r="X428" s="12"/>
      <c r="Y428" s="12"/>
    </row>
    <row r="429" ht="14.25" customHeight="1">
      <c r="A429" s="6"/>
      <c r="B429" s="6"/>
      <c r="D429" s="6"/>
      <c r="E429" s="6"/>
      <c r="F429" s="6"/>
      <c r="G429" s="6"/>
      <c r="H429" s="6"/>
      <c r="I429" s="6"/>
      <c r="J429" s="6"/>
      <c r="K429" s="6"/>
      <c r="L429" s="8"/>
      <c r="M429" s="8"/>
      <c r="N429" s="6"/>
      <c r="O429" s="6"/>
      <c r="P429" s="6"/>
      <c r="Q429" s="6"/>
      <c r="R429" s="6"/>
      <c r="S429" s="6"/>
      <c r="T429" s="6"/>
      <c r="X429" s="12"/>
      <c r="Y429" s="12"/>
    </row>
    <row r="430" ht="14.25" customHeight="1">
      <c r="A430" s="6"/>
      <c r="B430" s="6"/>
      <c r="D430" s="6"/>
      <c r="E430" s="6"/>
      <c r="F430" s="6"/>
      <c r="G430" s="6"/>
      <c r="H430" s="6"/>
      <c r="I430" s="6"/>
      <c r="J430" s="6"/>
      <c r="K430" s="6"/>
      <c r="L430" s="8"/>
      <c r="M430" s="8"/>
      <c r="N430" s="6"/>
      <c r="O430" s="6"/>
      <c r="P430" s="6"/>
      <c r="Q430" s="6"/>
      <c r="R430" s="6"/>
      <c r="S430" s="6"/>
      <c r="T430" s="6"/>
      <c r="X430" s="12"/>
      <c r="Y430" s="12"/>
    </row>
    <row r="431" ht="14.25" customHeight="1">
      <c r="A431" s="6"/>
      <c r="B431" s="6"/>
      <c r="D431" s="6"/>
      <c r="E431" s="6"/>
      <c r="F431" s="6"/>
      <c r="G431" s="6"/>
      <c r="H431" s="6"/>
      <c r="I431" s="6"/>
      <c r="J431" s="6"/>
      <c r="K431" s="6"/>
      <c r="L431" s="8"/>
      <c r="M431" s="8"/>
      <c r="N431" s="6"/>
      <c r="O431" s="6"/>
      <c r="P431" s="6"/>
      <c r="Q431" s="6"/>
      <c r="R431" s="6"/>
      <c r="S431" s="6"/>
      <c r="T431" s="6"/>
      <c r="X431" s="12"/>
      <c r="Y431" s="12"/>
    </row>
    <row r="432" ht="14.25" customHeight="1">
      <c r="A432" s="6"/>
      <c r="B432" s="6"/>
      <c r="D432" s="6"/>
      <c r="E432" s="6"/>
      <c r="F432" s="6"/>
      <c r="G432" s="6"/>
      <c r="H432" s="6"/>
      <c r="I432" s="6"/>
      <c r="J432" s="6"/>
      <c r="K432" s="6"/>
      <c r="L432" s="8"/>
      <c r="M432" s="8"/>
      <c r="N432" s="6"/>
      <c r="O432" s="6"/>
      <c r="P432" s="6"/>
      <c r="Q432" s="6"/>
      <c r="R432" s="6"/>
      <c r="S432" s="6"/>
      <c r="T432" s="6"/>
      <c r="X432" s="12"/>
      <c r="Y432" s="12"/>
    </row>
    <row r="433" ht="14.25" customHeight="1">
      <c r="A433" s="6"/>
      <c r="B433" s="6"/>
      <c r="D433" s="6"/>
      <c r="E433" s="6"/>
      <c r="F433" s="6"/>
      <c r="G433" s="6"/>
      <c r="H433" s="6"/>
      <c r="I433" s="6"/>
      <c r="J433" s="6"/>
      <c r="K433" s="6"/>
      <c r="L433" s="8"/>
      <c r="M433" s="8"/>
      <c r="N433" s="6"/>
      <c r="O433" s="6"/>
      <c r="P433" s="6"/>
      <c r="Q433" s="6"/>
      <c r="R433" s="6"/>
      <c r="S433" s="6"/>
      <c r="T433" s="6"/>
      <c r="X433" s="12"/>
      <c r="Y433" s="12"/>
    </row>
    <row r="434" ht="14.25" customHeight="1">
      <c r="A434" s="6"/>
      <c r="B434" s="6"/>
      <c r="D434" s="6"/>
      <c r="E434" s="6"/>
      <c r="F434" s="6"/>
      <c r="G434" s="6"/>
      <c r="H434" s="6"/>
      <c r="I434" s="6"/>
      <c r="J434" s="6"/>
      <c r="K434" s="6"/>
      <c r="L434" s="8"/>
      <c r="M434" s="8"/>
      <c r="N434" s="6"/>
      <c r="O434" s="6"/>
      <c r="P434" s="6"/>
      <c r="Q434" s="6"/>
      <c r="R434" s="6"/>
      <c r="S434" s="6"/>
      <c r="T434" s="6"/>
      <c r="X434" s="12"/>
      <c r="Y434" s="12"/>
    </row>
    <row r="435" ht="14.25" customHeight="1">
      <c r="A435" s="6"/>
      <c r="B435" s="6"/>
      <c r="D435" s="6"/>
      <c r="E435" s="6"/>
      <c r="F435" s="6"/>
      <c r="G435" s="6"/>
      <c r="H435" s="6"/>
      <c r="I435" s="6"/>
      <c r="J435" s="6"/>
      <c r="K435" s="6"/>
      <c r="L435" s="8"/>
      <c r="M435" s="8"/>
      <c r="N435" s="6"/>
      <c r="O435" s="6"/>
      <c r="P435" s="6"/>
      <c r="Q435" s="6"/>
      <c r="R435" s="6"/>
      <c r="S435" s="6"/>
      <c r="T435" s="6"/>
      <c r="X435" s="12"/>
      <c r="Y435" s="12"/>
    </row>
    <row r="436" ht="14.25" customHeight="1">
      <c r="A436" s="6"/>
      <c r="B436" s="6"/>
      <c r="D436" s="6"/>
      <c r="E436" s="6"/>
      <c r="F436" s="6"/>
      <c r="G436" s="6"/>
      <c r="H436" s="6"/>
      <c r="I436" s="6"/>
      <c r="J436" s="6"/>
      <c r="K436" s="6"/>
      <c r="L436" s="8"/>
      <c r="M436" s="8"/>
      <c r="N436" s="6"/>
      <c r="O436" s="6"/>
      <c r="P436" s="6"/>
      <c r="Q436" s="6"/>
      <c r="R436" s="6"/>
      <c r="S436" s="6"/>
      <c r="T436" s="6"/>
      <c r="X436" s="12"/>
      <c r="Y436" s="12"/>
    </row>
    <row r="437" ht="14.25" customHeight="1">
      <c r="A437" s="6"/>
      <c r="B437" s="6"/>
      <c r="D437" s="6"/>
      <c r="E437" s="6"/>
      <c r="F437" s="6"/>
      <c r="G437" s="6"/>
      <c r="H437" s="6"/>
      <c r="I437" s="6"/>
      <c r="J437" s="6"/>
      <c r="K437" s="6"/>
      <c r="L437" s="8"/>
      <c r="M437" s="8"/>
      <c r="N437" s="6"/>
      <c r="O437" s="6"/>
      <c r="P437" s="6"/>
      <c r="Q437" s="6"/>
      <c r="R437" s="6"/>
      <c r="S437" s="6"/>
      <c r="T437" s="6"/>
      <c r="X437" s="12"/>
      <c r="Y437" s="12"/>
    </row>
    <row r="438" ht="14.25" customHeight="1">
      <c r="A438" s="6"/>
      <c r="B438" s="6"/>
      <c r="D438" s="6"/>
      <c r="E438" s="6"/>
      <c r="F438" s="6"/>
      <c r="G438" s="6"/>
      <c r="H438" s="6"/>
      <c r="I438" s="6"/>
      <c r="J438" s="6"/>
      <c r="K438" s="6"/>
      <c r="L438" s="8"/>
      <c r="M438" s="8"/>
      <c r="N438" s="6"/>
      <c r="O438" s="6"/>
      <c r="P438" s="6"/>
      <c r="Q438" s="6"/>
      <c r="R438" s="6"/>
      <c r="S438" s="6"/>
      <c r="T438" s="6"/>
      <c r="X438" s="12"/>
      <c r="Y438" s="12"/>
    </row>
    <row r="439" ht="14.25" customHeight="1">
      <c r="A439" s="6"/>
      <c r="B439" s="6"/>
      <c r="D439" s="6"/>
      <c r="E439" s="6"/>
      <c r="F439" s="6"/>
      <c r="G439" s="6"/>
      <c r="H439" s="6"/>
      <c r="I439" s="6"/>
      <c r="J439" s="6"/>
      <c r="K439" s="6"/>
      <c r="L439" s="8"/>
      <c r="M439" s="8"/>
      <c r="N439" s="6"/>
      <c r="O439" s="6"/>
      <c r="P439" s="6"/>
      <c r="Q439" s="6"/>
      <c r="R439" s="6"/>
      <c r="S439" s="6"/>
      <c r="T439" s="6"/>
      <c r="X439" s="12"/>
      <c r="Y439" s="12"/>
    </row>
    <row r="440" ht="14.25" customHeight="1">
      <c r="A440" s="6"/>
      <c r="B440" s="6"/>
      <c r="D440" s="6"/>
      <c r="E440" s="6"/>
      <c r="F440" s="6"/>
      <c r="G440" s="6"/>
      <c r="H440" s="6"/>
      <c r="I440" s="6"/>
      <c r="J440" s="6"/>
      <c r="K440" s="6"/>
      <c r="L440" s="8"/>
      <c r="M440" s="8"/>
      <c r="N440" s="6"/>
      <c r="O440" s="6"/>
      <c r="P440" s="6"/>
      <c r="Q440" s="6"/>
      <c r="R440" s="6"/>
      <c r="S440" s="6"/>
      <c r="T440" s="6"/>
      <c r="X440" s="12"/>
      <c r="Y440" s="12"/>
    </row>
    <row r="441" ht="14.25" customHeight="1">
      <c r="A441" s="6"/>
      <c r="B441" s="6"/>
      <c r="D441" s="6"/>
      <c r="E441" s="6"/>
      <c r="F441" s="6"/>
      <c r="G441" s="6"/>
      <c r="H441" s="6"/>
      <c r="I441" s="6"/>
      <c r="J441" s="6"/>
      <c r="K441" s="6"/>
      <c r="L441" s="8"/>
      <c r="M441" s="8"/>
      <c r="N441" s="6"/>
      <c r="O441" s="6"/>
      <c r="P441" s="6"/>
      <c r="Q441" s="6"/>
      <c r="R441" s="6"/>
      <c r="S441" s="6"/>
      <c r="T441" s="6"/>
      <c r="X441" s="12"/>
      <c r="Y441" s="12"/>
    </row>
    <row r="442" ht="14.25" customHeight="1">
      <c r="A442" s="6"/>
      <c r="B442" s="6"/>
      <c r="D442" s="6"/>
      <c r="E442" s="6"/>
      <c r="F442" s="6"/>
      <c r="G442" s="6"/>
      <c r="H442" s="6"/>
      <c r="I442" s="6"/>
      <c r="J442" s="6"/>
      <c r="K442" s="6"/>
      <c r="L442" s="8"/>
      <c r="M442" s="8"/>
      <c r="N442" s="6"/>
      <c r="O442" s="6"/>
      <c r="P442" s="6"/>
      <c r="Q442" s="6"/>
      <c r="R442" s="6"/>
      <c r="S442" s="6"/>
      <c r="T442" s="6"/>
      <c r="X442" s="12"/>
      <c r="Y442" s="12"/>
    </row>
    <row r="443" ht="14.25" customHeight="1">
      <c r="A443" s="6"/>
      <c r="B443" s="6"/>
      <c r="D443" s="6"/>
      <c r="E443" s="6"/>
      <c r="F443" s="6"/>
      <c r="G443" s="6"/>
      <c r="H443" s="6"/>
      <c r="I443" s="6"/>
      <c r="J443" s="6"/>
      <c r="K443" s="6"/>
      <c r="L443" s="8"/>
      <c r="M443" s="8"/>
      <c r="N443" s="6"/>
      <c r="O443" s="6"/>
      <c r="P443" s="6"/>
      <c r="Q443" s="6"/>
      <c r="R443" s="6"/>
      <c r="S443" s="6"/>
      <c r="T443" s="6"/>
      <c r="X443" s="12"/>
      <c r="Y443" s="12"/>
    </row>
    <row r="444" ht="14.25" customHeight="1">
      <c r="A444" s="6"/>
      <c r="B444" s="6"/>
      <c r="D444" s="6"/>
      <c r="E444" s="6"/>
      <c r="F444" s="6"/>
      <c r="G444" s="6"/>
      <c r="H444" s="6"/>
      <c r="I444" s="6"/>
      <c r="J444" s="6"/>
      <c r="K444" s="6"/>
      <c r="L444" s="8"/>
      <c r="M444" s="8"/>
      <c r="N444" s="6"/>
      <c r="O444" s="6"/>
      <c r="P444" s="6"/>
      <c r="Q444" s="6"/>
      <c r="R444" s="6"/>
      <c r="S444" s="6"/>
      <c r="T444" s="6"/>
      <c r="X444" s="12"/>
      <c r="Y444" s="12"/>
    </row>
    <row r="445" ht="14.25" customHeight="1">
      <c r="A445" s="6"/>
      <c r="B445" s="6"/>
      <c r="D445" s="6"/>
      <c r="E445" s="6"/>
      <c r="F445" s="6"/>
      <c r="G445" s="6"/>
      <c r="H445" s="6"/>
      <c r="I445" s="6"/>
      <c r="J445" s="6"/>
      <c r="K445" s="6"/>
      <c r="L445" s="8"/>
      <c r="M445" s="8"/>
      <c r="N445" s="6"/>
      <c r="O445" s="6"/>
      <c r="P445" s="6"/>
      <c r="Q445" s="6"/>
      <c r="R445" s="6"/>
      <c r="S445" s="6"/>
      <c r="T445" s="6"/>
      <c r="X445" s="12"/>
      <c r="Y445" s="12"/>
    </row>
    <row r="446" ht="14.25" customHeight="1">
      <c r="A446" s="6"/>
      <c r="B446" s="6"/>
      <c r="D446" s="6"/>
      <c r="E446" s="6"/>
      <c r="F446" s="6"/>
      <c r="G446" s="6"/>
      <c r="H446" s="6"/>
      <c r="I446" s="6"/>
      <c r="J446" s="6"/>
      <c r="K446" s="6"/>
      <c r="L446" s="8"/>
      <c r="M446" s="8"/>
      <c r="N446" s="6"/>
      <c r="O446" s="6"/>
      <c r="P446" s="6"/>
      <c r="Q446" s="6"/>
      <c r="R446" s="6"/>
      <c r="S446" s="6"/>
      <c r="T446" s="6"/>
      <c r="X446" s="12"/>
      <c r="Y446" s="12"/>
    </row>
    <row r="447" ht="14.25" customHeight="1">
      <c r="A447" s="6"/>
      <c r="B447" s="6"/>
      <c r="D447" s="6"/>
      <c r="E447" s="6"/>
      <c r="F447" s="6"/>
      <c r="G447" s="6"/>
      <c r="H447" s="6"/>
      <c r="I447" s="6"/>
      <c r="J447" s="6"/>
      <c r="K447" s="6"/>
      <c r="L447" s="8"/>
      <c r="M447" s="8"/>
      <c r="N447" s="6"/>
      <c r="O447" s="6"/>
      <c r="P447" s="6"/>
      <c r="Q447" s="6"/>
      <c r="R447" s="6"/>
      <c r="S447" s="6"/>
      <c r="T447" s="6"/>
      <c r="X447" s="12"/>
      <c r="Y447" s="12"/>
    </row>
    <row r="448" ht="14.25" customHeight="1">
      <c r="A448" s="6"/>
      <c r="B448" s="6"/>
      <c r="D448" s="6"/>
      <c r="E448" s="6"/>
      <c r="F448" s="6"/>
      <c r="G448" s="6"/>
      <c r="H448" s="6"/>
      <c r="I448" s="6"/>
      <c r="J448" s="6"/>
      <c r="K448" s="6"/>
      <c r="L448" s="8"/>
      <c r="M448" s="8"/>
      <c r="N448" s="6"/>
      <c r="O448" s="6"/>
      <c r="P448" s="6"/>
      <c r="Q448" s="6"/>
      <c r="R448" s="6"/>
      <c r="S448" s="6"/>
      <c r="T448" s="6"/>
      <c r="X448" s="12"/>
      <c r="Y448" s="12"/>
    </row>
    <row r="449" ht="14.25" customHeight="1">
      <c r="A449" s="6"/>
      <c r="B449" s="6"/>
      <c r="D449" s="6"/>
      <c r="E449" s="6"/>
      <c r="F449" s="6"/>
      <c r="G449" s="6"/>
      <c r="H449" s="6"/>
      <c r="I449" s="6"/>
      <c r="J449" s="6"/>
      <c r="K449" s="6"/>
      <c r="L449" s="8"/>
      <c r="M449" s="8"/>
      <c r="N449" s="6"/>
      <c r="O449" s="6"/>
      <c r="P449" s="6"/>
      <c r="Q449" s="6"/>
      <c r="R449" s="6"/>
      <c r="S449" s="6"/>
      <c r="T449" s="6"/>
      <c r="X449" s="12"/>
      <c r="Y449" s="12"/>
    </row>
    <row r="450" ht="14.25" customHeight="1">
      <c r="A450" s="6"/>
      <c r="B450" s="6"/>
      <c r="D450" s="6"/>
      <c r="E450" s="6"/>
      <c r="F450" s="6"/>
      <c r="G450" s="6"/>
      <c r="H450" s="6"/>
      <c r="I450" s="6"/>
      <c r="J450" s="6"/>
      <c r="K450" s="6"/>
      <c r="L450" s="8"/>
      <c r="M450" s="8"/>
      <c r="N450" s="6"/>
      <c r="O450" s="6"/>
      <c r="P450" s="6"/>
      <c r="Q450" s="6"/>
      <c r="R450" s="6"/>
      <c r="S450" s="6"/>
      <c r="T450" s="6"/>
      <c r="X450" s="12"/>
      <c r="Y450" s="12"/>
    </row>
    <row r="451" ht="14.25" customHeight="1">
      <c r="A451" s="6"/>
      <c r="B451" s="6"/>
      <c r="D451" s="6"/>
      <c r="E451" s="6"/>
      <c r="F451" s="6"/>
      <c r="G451" s="6"/>
      <c r="H451" s="6"/>
      <c r="I451" s="6"/>
      <c r="J451" s="6"/>
      <c r="K451" s="6"/>
      <c r="L451" s="8"/>
      <c r="M451" s="8"/>
      <c r="N451" s="6"/>
      <c r="O451" s="6"/>
      <c r="P451" s="6"/>
      <c r="Q451" s="6"/>
      <c r="R451" s="6"/>
      <c r="S451" s="6"/>
      <c r="T451" s="6"/>
      <c r="X451" s="12"/>
      <c r="Y451" s="12"/>
    </row>
    <row r="452" ht="14.25" customHeight="1">
      <c r="A452" s="6"/>
      <c r="B452" s="6"/>
      <c r="D452" s="6"/>
      <c r="E452" s="6"/>
      <c r="F452" s="6"/>
      <c r="G452" s="6"/>
      <c r="H452" s="6"/>
      <c r="I452" s="6"/>
      <c r="J452" s="6"/>
      <c r="K452" s="6"/>
      <c r="L452" s="8"/>
      <c r="M452" s="8"/>
      <c r="N452" s="6"/>
      <c r="O452" s="6"/>
      <c r="P452" s="6"/>
      <c r="Q452" s="6"/>
      <c r="R452" s="6"/>
      <c r="S452" s="6"/>
      <c r="T452" s="6"/>
      <c r="X452" s="12"/>
      <c r="Y452" s="12"/>
    </row>
    <row r="453" ht="14.25" customHeight="1">
      <c r="A453" s="6"/>
      <c r="B453" s="6"/>
      <c r="D453" s="6"/>
      <c r="E453" s="6"/>
      <c r="F453" s="6"/>
      <c r="G453" s="6"/>
      <c r="H453" s="6"/>
      <c r="I453" s="6"/>
      <c r="J453" s="6"/>
      <c r="K453" s="6"/>
      <c r="L453" s="8"/>
      <c r="M453" s="8"/>
      <c r="N453" s="6"/>
      <c r="O453" s="6"/>
      <c r="P453" s="6"/>
      <c r="Q453" s="6"/>
      <c r="R453" s="6"/>
      <c r="S453" s="6"/>
      <c r="T453" s="6"/>
      <c r="X453" s="12"/>
      <c r="Y453" s="12"/>
    </row>
    <row r="454" ht="14.25" customHeight="1">
      <c r="A454" s="6"/>
      <c r="B454" s="6"/>
      <c r="D454" s="6"/>
      <c r="E454" s="6"/>
      <c r="F454" s="6"/>
      <c r="G454" s="6"/>
      <c r="H454" s="6"/>
      <c r="I454" s="6"/>
      <c r="J454" s="6"/>
      <c r="K454" s="6"/>
      <c r="L454" s="8"/>
      <c r="M454" s="8"/>
      <c r="N454" s="6"/>
      <c r="O454" s="6"/>
      <c r="P454" s="6"/>
      <c r="Q454" s="6"/>
      <c r="R454" s="6"/>
      <c r="S454" s="6"/>
      <c r="T454" s="6"/>
      <c r="X454" s="12"/>
      <c r="Y454" s="12"/>
    </row>
    <row r="455" ht="14.25" customHeight="1">
      <c r="A455" s="6"/>
      <c r="B455" s="6"/>
      <c r="D455" s="6"/>
      <c r="E455" s="6"/>
      <c r="F455" s="6"/>
      <c r="G455" s="6"/>
      <c r="H455" s="6"/>
      <c r="I455" s="6"/>
      <c r="J455" s="6"/>
      <c r="K455" s="6"/>
      <c r="L455" s="8"/>
      <c r="M455" s="8"/>
      <c r="N455" s="6"/>
      <c r="O455" s="6"/>
      <c r="P455" s="6"/>
      <c r="Q455" s="6"/>
      <c r="R455" s="6"/>
      <c r="S455" s="6"/>
      <c r="T455" s="6"/>
      <c r="X455" s="12"/>
      <c r="Y455" s="12"/>
    </row>
    <row r="456" ht="14.25" customHeight="1">
      <c r="A456" s="6"/>
      <c r="B456" s="6"/>
      <c r="D456" s="6"/>
      <c r="E456" s="6"/>
      <c r="F456" s="6"/>
      <c r="G456" s="6"/>
      <c r="H456" s="6"/>
      <c r="I456" s="6"/>
      <c r="J456" s="6"/>
      <c r="K456" s="6"/>
      <c r="L456" s="8"/>
      <c r="M456" s="8"/>
      <c r="N456" s="6"/>
      <c r="O456" s="6"/>
      <c r="P456" s="6"/>
      <c r="Q456" s="6"/>
      <c r="R456" s="6"/>
      <c r="S456" s="6"/>
      <c r="T456" s="6"/>
      <c r="X456" s="12"/>
      <c r="Y456" s="12"/>
    </row>
    <row r="457" ht="14.25" customHeight="1">
      <c r="A457" s="6"/>
      <c r="B457" s="6"/>
      <c r="D457" s="6"/>
      <c r="E457" s="6"/>
      <c r="F457" s="6"/>
      <c r="G457" s="6"/>
      <c r="H457" s="6"/>
      <c r="I457" s="6"/>
      <c r="J457" s="6"/>
      <c r="K457" s="6"/>
      <c r="L457" s="8"/>
      <c r="M457" s="8"/>
      <c r="N457" s="6"/>
      <c r="O457" s="6"/>
      <c r="P457" s="6"/>
      <c r="Q457" s="6"/>
      <c r="R457" s="6"/>
      <c r="S457" s="6"/>
      <c r="T457" s="6"/>
      <c r="X457" s="12"/>
      <c r="Y457" s="12"/>
    </row>
    <row r="458" ht="14.25" customHeight="1">
      <c r="A458" s="6"/>
      <c r="B458" s="6"/>
      <c r="D458" s="6"/>
      <c r="E458" s="6"/>
      <c r="F458" s="6"/>
      <c r="G458" s="6"/>
      <c r="H458" s="6"/>
      <c r="I458" s="6"/>
      <c r="J458" s="6"/>
      <c r="K458" s="6"/>
      <c r="L458" s="8"/>
      <c r="M458" s="8"/>
      <c r="N458" s="6"/>
      <c r="O458" s="6"/>
      <c r="P458" s="6"/>
      <c r="Q458" s="6"/>
      <c r="R458" s="6"/>
      <c r="S458" s="6"/>
      <c r="T458" s="6"/>
      <c r="X458" s="12"/>
      <c r="Y458" s="12"/>
    </row>
    <row r="459" ht="14.25" customHeight="1">
      <c r="A459" s="6"/>
      <c r="B459" s="6"/>
      <c r="D459" s="6"/>
      <c r="E459" s="6"/>
      <c r="F459" s="6"/>
      <c r="G459" s="6"/>
      <c r="H459" s="6"/>
      <c r="I459" s="6"/>
      <c r="J459" s="6"/>
      <c r="K459" s="6"/>
      <c r="L459" s="8"/>
      <c r="M459" s="8"/>
      <c r="N459" s="6"/>
      <c r="O459" s="6"/>
      <c r="P459" s="6"/>
      <c r="Q459" s="6"/>
      <c r="R459" s="6"/>
      <c r="S459" s="6"/>
      <c r="T459" s="6"/>
      <c r="X459" s="12"/>
      <c r="Y459" s="12"/>
    </row>
    <row r="460" ht="14.25" customHeight="1">
      <c r="A460" s="6"/>
      <c r="B460" s="6"/>
      <c r="D460" s="6"/>
      <c r="E460" s="6"/>
      <c r="F460" s="6"/>
      <c r="G460" s="6"/>
      <c r="H460" s="6"/>
      <c r="I460" s="6"/>
      <c r="J460" s="6"/>
      <c r="K460" s="6"/>
      <c r="L460" s="8"/>
      <c r="M460" s="8"/>
      <c r="N460" s="6"/>
      <c r="O460" s="6"/>
      <c r="P460" s="6"/>
      <c r="Q460" s="6"/>
      <c r="R460" s="6"/>
      <c r="S460" s="6"/>
      <c r="T460" s="6"/>
      <c r="X460" s="12"/>
      <c r="Y460" s="12"/>
    </row>
    <row r="461" ht="14.25" customHeight="1">
      <c r="A461" s="6"/>
      <c r="B461" s="6"/>
      <c r="D461" s="6"/>
      <c r="E461" s="6"/>
      <c r="F461" s="6"/>
      <c r="G461" s="6"/>
      <c r="H461" s="6"/>
      <c r="I461" s="6"/>
      <c r="J461" s="6"/>
      <c r="K461" s="6"/>
      <c r="L461" s="8"/>
      <c r="M461" s="8"/>
      <c r="N461" s="6"/>
      <c r="O461" s="6"/>
      <c r="P461" s="6"/>
      <c r="Q461" s="6"/>
      <c r="R461" s="6"/>
      <c r="S461" s="6"/>
      <c r="T461" s="6"/>
      <c r="X461" s="12"/>
      <c r="Y461" s="12"/>
    </row>
    <row r="462" ht="14.25" customHeight="1">
      <c r="A462" s="6"/>
      <c r="B462" s="6"/>
      <c r="D462" s="6"/>
      <c r="E462" s="6"/>
      <c r="F462" s="6"/>
      <c r="G462" s="6"/>
      <c r="H462" s="6"/>
      <c r="I462" s="6"/>
      <c r="J462" s="6"/>
      <c r="K462" s="6"/>
      <c r="L462" s="8"/>
      <c r="M462" s="8"/>
      <c r="N462" s="6"/>
      <c r="O462" s="6"/>
      <c r="P462" s="6"/>
      <c r="Q462" s="6"/>
      <c r="R462" s="6"/>
      <c r="S462" s="6"/>
      <c r="T462" s="6"/>
      <c r="X462" s="12"/>
      <c r="Y462" s="12"/>
    </row>
    <row r="463" ht="14.25" customHeight="1">
      <c r="A463" s="6"/>
      <c r="B463" s="6"/>
      <c r="D463" s="6"/>
      <c r="E463" s="6"/>
      <c r="F463" s="6"/>
      <c r="G463" s="6"/>
      <c r="H463" s="6"/>
      <c r="I463" s="6"/>
      <c r="J463" s="6"/>
      <c r="K463" s="6"/>
      <c r="L463" s="8"/>
      <c r="M463" s="8"/>
      <c r="N463" s="6"/>
      <c r="O463" s="6"/>
      <c r="P463" s="6"/>
      <c r="Q463" s="6"/>
      <c r="R463" s="6"/>
      <c r="S463" s="6"/>
      <c r="T463" s="6"/>
      <c r="X463" s="12"/>
      <c r="Y463" s="12"/>
    </row>
    <row r="464" ht="14.25" customHeight="1">
      <c r="A464" s="6"/>
      <c r="B464" s="6"/>
      <c r="D464" s="6"/>
      <c r="E464" s="6"/>
      <c r="F464" s="6"/>
      <c r="G464" s="6"/>
      <c r="H464" s="6"/>
      <c r="I464" s="6"/>
      <c r="J464" s="6"/>
      <c r="K464" s="6"/>
      <c r="L464" s="8"/>
      <c r="M464" s="8"/>
      <c r="N464" s="6"/>
      <c r="O464" s="6"/>
      <c r="P464" s="6"/>
      <c r="Q464" s="6"/>
      <c r="R464" s="6"/>
      <c r="S464" s="6"/>
      <c r="T464" s="6"/>
      <c r="X464" s="12"/>
      <c r="Y464" s="12"/>
    </row>
    <row r="465" ht="14.25" customHeight="1">
      <c r="A465" s="6"/>
      <c r="B465" s="6"/>
      <c r="D465" s="6"/>
      <c r="E465" s="6"/>
      <c r="F465" s="6"/>
      <c r="G465" s="6"/>
      <c r="H465" s="6"/>
      <c r="I465" s="6"/>
      <c r="J465" s="6"/>
      <c r="K465" s="6"/>
      <c r="L465" s="8"/>
      <c r="M465" s="8"/>
      <c r="N465" s="6"/>
      <c r="O465" s="6"/>
      <c r="P465" s="6"/>
      <c r="Q465" s="6"/>
      <c r="R465" s="6"/>
      <c r="S465" s="6"/>
      <c r="T465" s="6"/>
      <c r="X465" s="12"/>
      <c r="Y465" s="12"/>
    </row>
    <row r="466" ht="14.25" customHeight="1">
      <c r="A466" s="6"/>
      <c r="B466" s="6"/>
      <c r="D466" s="6"/>
      <c r="E466" s="6"/>
      <c r="F466" s="6"/>
      <c r="G466" s="6"/>
      <c r="H466" s="6"/>
      <c r="I466" s="6"/>
      <c r="J466" s="6"/>
      <c r="K466" s="6"/>
      <c r="L466" s="8"/>
      <c r="M466" s="8"/>
      <c r="N466" s="6"/>
      <c r="O466" s="6"/>
      <c r="P466" s="6"/>
      <c r="Q466" s="6"/>
      <c r="R466" s="6"/>
      <c r="S466" s="6"/>
      <c r="T466" s="6"/>
      <c r="X466" s="12"/>
      <c r="Y466" s="12"/>
    </row>
    <row r="467" ht="14.25" customHeight="1">
      <c r="A467" s="6"/>
      <c r="B467" s="6"/>
      <c r="D467" s="6"/>
      <c r="E467" s="6"/>
      <c r="F467" s="6"/>
      <c r="G467" s="6"/>
      <c r="H467" s="6"/>
      <c r="I467" s="6"/>
      <c r="J467" s="6"/>
      <c r="K467" s="6"/>
      <c r="L467" s="8"/>
      <c r="M467" s="8"/>
      <c r="N467" s="6"/>
      <c r="O467" s="6"/>
      <c r="P467" s="6"/>
      <c r="Q467" s="6"/>
      <c r="R467" s="6"/>
      <c r="S467" s="6"/>
      <c r="T467" s="6"/>
      <c r="X467" s="12"/>
      <c r="Y467" s="12"/>
    </row>
    <row r="468" ht="14.25" customHeight="1">
      <c r="A468" s="6"/>
      <c r="B468" s="6"/>
      <c r="D468" s="6"/>
      <c r="E468" s="6"/>
      <c r="F468" s="6"/>
      <c r="G468" s="6"/>
      <c r="H468" s="6"/>
      <c r="I468" s="6"/>
      <c r="J468" s="6"/>
      <c r="K468" s="6"/>
      <c r="L468" s="8"/>
      <c r="M468" s="8"/>
      <c r="N468" s="6"/>
      <c r="O468" s="6"/>
      <c r="P468" s="6"/>
      <c r="Q468" s="6"/>
      <c r="R468" s="6"/>
      <c r="S468" s="6"/>
      <c r="T468" s="6"/>
      <c r="X468" s="12"/>
      <c r="Y468" s="12"/>
    </row>
    <row r="469" ht="14.25" customHeight="1">
      <c r="A469" s="6"/>
      <c r="B469" s="6"/>
      <c r="D469" s="6"/>
      <c r="E469" s="6"/>
      <c r="F469" s="6"/>
      <c r="G469" s="6"/>
      <c r="H469" s="6"/>
      <c r="I469" s="6"/>
      <c r="J469" s="6"/>
      <c r="K469" s="6"/>
      <c r="L469" s="8"/>
      <c r="M469" s="8"/>
      <c r="N469" s="6"/>
      <c r="O469" s="6"/>
      <c r="P469" s="6"/>
      <c r="Q469" s="6"/>
      <c r="R469" s="6"/>
      <c r="S469" s="6"/>
      <c r="T469" s="6"/>
      <c r="X469" s="12"/>
      <c r="Y469" s="12"/>
    </row>
    <row r="470" ht="14.25" customHeight="1">
      <c r="A470" s="6"/>
      <c r="B470" s="6"/>
      <c r="D470" s="6"/>
      <c r="E470" s="6"/>
      <c r="F470" s="6"/>
      <c r="G470" s="6"/>
      <c r="H470" s="6"/>
      <c r="I470" s="6"/>
      <c r="J470" s="6"/>
      <c r="K470" s="6"/>
      <c r="L470" s="8"/>
      <c r="M470" s="8"/>
      <c r="N470" s="6"/>
      <c r="O470" s="6"/>
      <c r="P470" s="6"/>
      <c r="Q470" s="6"/>
      <c r="R470" s="6"/>
      <c r="S470" s="6"/>
      <c r="T470" s="6"/>
      <c r="X470" s="12"/>
      <c r="Y470" s="12"/>
    </row>
    <row r="471" ht="14.25" customHeight="1">
      <c r="A471" s="6"/>
      <c r="B471" s="6"/>
      <c r="D471" s="6"/>
      <c r="E471" s="6"/>
      <c r="F471" s="6"/>
      <c r="G471" s="6"/>
      <c r="H471" s="6"/>
      <c r="I471" s="6"/>
      <c r="J471" s="6"/>
      <c r="K471" s="6"/>
      <c r="L471" s="8"/>
      <c r="M471" s="8"/>
      <c r="N471" s="6"/>
      <c r="O471" s="6"/>
      <c r="P471" s="6"/>
      <c r="Q471" s="6"/>
      <c r="R471" s="6"/>
      <c r="S471" s="6"/>
      <c r="T471" s="6"/>
      <c r="X471" s="12"/>
      <c r="Y471" s="12"/>
    </row>
    <row r="472" ht="14.25" customHeight="1">
      <c r="A472" s="6"/>
      <c r="B472" s="6"/>
      <c r="D472" s="6"/>
      <c r="E472" s="6"/>
      <c r="F472" s="6"/>
      <c r="G472" s="6"/>
      <c r="H472" s="6"/>
      <c r="I472" s="6"/>
      <c r="J472" s="6"/>
      <c r="K472" s="6"/>
      <c r="L472" s="8"/>
      <c r="M472" s="8"/>
      <c r="N472" s="6"/>
      <c r="O472" s="6"/>
      <c r="P472" s="6"/>
      <c r="Q472" s="6"/>
      <c r="R472" s="6"/>
      <c r="S472" s="6"/>
      <c r="T472" s="6"/>
      <c r="X472" s="12"/>
      <c r="Y472" s="12"/>
    </row>
    <row r="473" ht="14.25" customHeight="1">
      <c r="A473" s="6"/>
      <c r="B473" s="6"/>
      <c r="D473" s="6"/>
      <c r="E473" s="6"/>
      <c r="F473" s="6"/>
      <c r="G473" s="6"/>
      <c r="H473" s="6"/>
      <c r="I473" s="6"/>
      <c r="J473" s="6"/>
      <c r="K473" s="6"/>
      <c r="L473" s="8"/>
      <c r="M473" s="8"/>
      <c r="N473" s="6"/>
      <c r="O473" s="6"/>
      <c r="P473" s="6"/>
      <c r="Q473" s="6"/>
      <c r="R473" s="6"/>
      <c r="S473" s="6"/>
      <c r="T473" s="6"/>
      <c r="X473" s="12"/>
      <c r="Y473" s="12"/>
    </row>
    <row r="474" ht="14.25" customHeight="1">
      <c r="A474" s="6"/>
      <c r="B474" s="6"/>
      <c r="D474" s="6"/>
      <c r="E474" s="6"/>
      <c r="F474" s="6"/>
      <c r="G474" s="6"/>
      <c r="H474" s="6"/>
      <c r="I474" s="6"/>
      <c r="J474" s="6"/>
      <c r="K474" s="6"/>
      <c r="L474" s="8"/>
      <c r="M474" s="8"/>
      <c r="N474" s="6"/>
      <c r="O474" s="6"/>
      <c r="P474" s="6"/>
      <c r="Q474" s="6"/>
      <c r="R474" s="6"/>
      <c r="S474" s="6"/>
      <c r="T474" s="6"/>
      <c r="X474" s="12"/>
      <c r="Y474" s="12"/>
    </row>
    <row r="475" ht="14.25" customHeight="1">
      <c r="A475" s="6"/>
      <c r="B475" s="6"/>
      <c r="D475" s="6"/>
      <c r="E475" s="6"/>
      <c r="F475" s="6"/>
      <c r="G475" s="6"/>
      <c r="H475" s="6"/>
      <c r="I475" s="6"/>
      <c r="J475" s="6"/>
      <c r="K475" s="6"/>
      <c r="L475" s="8"/>
      <c r="M475" s="8"/>
      <c r="N475" s="6"/>
      <c r="O475" s="6"/>
      <c r="P475" s="6"/>
      <c r="Q475" s="6"/>
      <c r="R475" s="6"/>
      <c r="S475" s="6"/>
      <c r="T475" s="6"/>
      <c r="X475" s="12"/>
      <c r="Y475" s="12"/>
    </row>
    <row r="476" ht="14.25" customHeight="1">
      <c r="A476" s="6"/>
      <c r="B476" s="6"/>
      <c r="D476" s="6"/>
      <c r="E476" s="6"/>
      <c r="F476" s="6"/>
      <c r="G476" s="6"/>
      <c r="H476" s="6"/>
      <c r="I476" s="6"/>
      <c r="J476" s="6"/>
      <c r="K476" s="6"/>
      <c r="L476" s="8"/>
      <c r="M476" s="8"/>
      <c r="N476" s="6"/>
      <c r="O476" s="6"/>
      <c r="P476" s="6"/>
      <c r="Q476" s="6"/>
      <c r="R476" s="6"/>
      <c r="S476" s="6"/>
      <c r="T476" s="6"/>
      <c r="X476" s="12"/>
      <c r="Y476" s="12"/>
    </row>
    <row r="477" ht="14.25" customHeight="1">
      <c r="A477" s="6"/>
      <c r="B477" s="6"/>
      <c r="D477" s="6"/>
      <c r="E477" s="6"/>
      <c r="F477" s="6"/>
      <c r="G477" s="6"/>
      <c r="H477" s="6"/>
      <c r="I477" s="6"/>
      <c r="J477" s="6"/>
      <c r="K477" s="6"/>
      <c r="L477" s="8"/>
      <c r="M477" s="8"/>
      <c r="N477" s="6"/>
      <c r="O477" s="6"/>
      <c r="P477" s="6"/>
      <c r="Q477" s="6"/>
      <c r="R477" s="6"/>
      <c r="S477" s="6"/>
      <c r="T477" s="6"/>
      <c r="X477" s="12"/>
      <c r="Y477" s="12"/>
    </row>
    <row r="478" ht="14.25" customHeight="1">
      <c r="A478" s="6"/>
      <c r="B478" s="6"/>
      <c r="D478" s="6"/>
      <c r="E478" s="6"/>
      <c r="F478" s="6"/>
      <c r="G478" s="6"/>
      <c r="H478" s="6"/>
      <c r="I478" s="6"/>
      <c r="J478" s="6"/>
      <c r="K478" s="6"/>
      <c r="L478" s="8"/>
      <c r="M478" s="8"/>
      <c r="N478" s="6"/>
      <c r="O478" s="6"/>
      <c r="P478" s="6"/>
      <c r="Q478" s="6"/>
      <c r="R478" s="6"/>
      <c r="S478" s="6"/>
      <c r="T478" s="6"/>
      <c r="X478" s="12"/>
      <c r="Y478" s="12"/>
    </row>
    <row r="479" ht="14.25" customHeight="1">
      <c r="A479" s="6"/>
      <c r="B479" s="6"/>
      <c r="D479" s="6"/>
      <c r="E479" s="6"/>
      <c r="F479" s="6"/>
      <c r="G479" s="6"/>
      <c r="H479" s="6"/>
      <c r="I479" s="6"/>
      <c r="J479" s="6"/>
      <c r="K479" s="6"/>
      <c r="L479" s="8"/>
      <c r="M479" s="8"/>
      <c r="N479" s="6"/>
      <c r="O479" s="6"/>
      <c r="P479" s="6"/>
      <c r="Q479" s="6"/>
      <c r="R479" s="6"/>
      <c r="S479" s="6"/>
      <c r="T479" s="6"/>
      <c r="X479" s="12"/>
      <c r="Y479" s="12"/>
    </row>
    <row r="480" ht="14.25" customHeight="1">
      <c r="A480" s="6"/>
      <c r="B480" s="6"/>
      <c r="D480" s="6"/>
      <c r="E480" s="6"/>
      <c r="F480" s="6"/>
      <c r="G480" s="6"/>
      <c r="H480" s="6"/>
      <c r="I480" s="6"/>
      <c r="J480" s="6"/>
      <c r="K480" s="6"/>
      <c r="L480" s="8"/>
      <c r="M480" s="8"/>
      <c r="N480" s="6"/>
      <c r="O480" s="6"/>
      <c r="P480" s="6"/>
      <c r="Q480" s="6"/>
      <c r="R480" s="6"/>
      <c r="S480" s="6"/>
      <c r="T480" s="6"/>
      <c r="X480" s="12"/>
      <c r="Y480" s="12"/>
    </row>
    <row r="481" ht="14.25" customHeight="1">
      <c r="A481" s="6"/>
      <c r="B481" s="6"/>
      <c r="D481" s="6"/>
      <c r="E481" s="6"/>
      <c r="F481" s="6"/>
      <c r="G481" s="6"/>
      <c r="H481" s="6"/>
      <c r="I481" s="6"/>
      <c r="J481" s="6"/>
      <c r="K481" s="6"/>
      <c r="L481" s="8"/>
      <c r="M481" s="8"/>
      <c r="N481" s="6"/>
      <c r="O481" s="6"/>
      <c r="P481" s="6"/>
      <c r="Q481" s="6"/>
      <c r="R481" s="6"/>
      <c r="S481" s="6"/>
      <c r="T481" s="6"/>
      <c r="X481" s="12"/>
      <c r="Y481" s="12"/>
    </row>
    <row r="482" ht="14.25" customHeight="1">
      <c r="A482" s="6"/>
      <c r="B482" s="6"/>
      <c r="D482" s="6"/>
      <c r="E482" s="6"/>
      <c r="F482" s="6"/>
      <c r="G482" s="6"/>
      <c r="H482" s="6"/>
      <c r="I482" s="6"/>
      <c r="J482" s="6"/>
      <c r="K482" s="6"/>
      <c r="L482" s="8"/>
      <c r="M482" s="8"/>
      <c r="N482" s="6"/>
      <c r="O482" s="6"/>
      <c r="P482" s="6"/>
      <c r="Q482" s="6"/>
      <c r="R482" s="6"/>
      <c r="S482" s="6"/>
      <c r="T482" s="6"/>
      <c r="X482" s="12"/>
      <c r="Y482" s="12"/>
    </row>
    <row r="483" ht="14.25" customHeight="1">
      <c r="A483" s="6"/>
      <c r="B483" s="6"/>
      <c r="D483" s="6"/>
      <c r="E483" s="6"/>
      <c r="F483" s="6"/>
      <c r="G483" s="6"/>
      <c r="H483" s="6"/>
      <c r="I483" s="6"/>
      <c r="J483" s="6"/>
      <c r="K483" s="6"/>
      <c r="L483" s="8"/>
      <c r="M483" s="8"/>
      <c r="N483" s="6"/>
      <c r="O483" s="6"/>
      <c r="P483" s="6"/>
      <c r="Q483" s="6"/>
      <c r="R483" s="6"/>
      <c r="S483" s="6"/>
      <c r="T483" s="6"/>
      <c r="X483" s="12"/>
      <c r="Y483" s="12"/>
    </row>
    <row r="484" ht="14.25" customHeight="1">
      <c r="A484" s="6"/>
      <c r="B484" s="6"/>
      <c r="D484" s="6"/>
      <c r="E484" s="6"/>
      <c r="F484" s="6"/>
      <c r="G484" s="6"/>
      <c r="H484" s="6"/>
      <c r="I484" s="6"/>
      <c r="J484" s="6"/>
      <c r="K484" s="6"/>
      <c r="L484" s="8"/>
      <c r="M484" s="8"/>
      <c r="N484" s="6"/>
      <c r="O484" s="6"/>
      <c r="P484" s="6"/>
      <c r="Q484" s="6"/>
      <c r="R484" s="6"/>
      <c r="S484" s="6"/>
      <c r="T484" s="6"/>
      <c r="X484" s="12"/>
      <c r="Y484" s="12"/>
    </row>
    <row r="485" ht="14.25" customHeight="1">
      <c r="A485" s="6"/>
      <c r="B485" s="6"/>
      <c r="D485" s="6"/>
      <c r="E485" s="6"/>
      <c r="F485" s="6"/>
      <c r="G485" s="6"/>
      <c r="H485" s="6"/>
      <c r="I485" s="6"/>
      <c r="J485" s="6"/>
      <c r="K485" s="6"/>
      <c r="L485" s="8"/>
      <c r="M485" s="8"/>
      <c r="N485" s="6"/>
      <c r="O485" s="6"/>
      <c r="P485" s="6"/>
      <c r="Q485" s="6"/>
      <c r="R485" s="6"/>
      <c r="S485" s="6"/>
      <c r="T485" s="6"/>
      <c r="X485" s="12"/>
      <c r="Y485" s="12"/>
    </row>
    <row r="486" ht="14.25" customHeight="1">
      <c r="A486" s="6"/>
      <c r="B486" s="6"/>
      <c r="D486" s="6"/>
      <c r="E486" s="6"/>
      <c r="F486" s="6"/>
      <c r="G486" s="6"/>
      <c r="H486" s="6"/>
      <c r="I486" s="6"/>
      <c r="J486" s="6"/>
      <c r="K486" s="6"/>
      <c r="L486" s="8"/>
      <c r="M486" s="8"/>
      <c r="N486" s="6"/>
      <c r="O486" s="6"/>
      <c r="P486" s="6"/>
      <c r="Q486" s="6"/>
      <c r="R486" s="6"/>
      <c r="S486" s="6"/>
      <c r="T486" s="6"/>
      <c r="X486" s="12"/>
      <c r="Y486" s="12"/>
    </row>
    <row r="487" ht="14.25" customHeight="1">
      <c r="A487" s="6"/>
      <c r="B487" s="6"/>
      <c r="D487" s="6"/>
      <c r="E487" s="6"/>
      <c r="F487" s="6"/>
      <c r="G487" s="6"/>
      <c r="H487" s="6"/>
      <c r="I487" s="6"/>
      <c r="J487" s="6"/>
      <c r="K487" s="6"/>
      <c r="L487" s="8"/>
      <c r="M487" s="8"/>
      <c r="N487" s="6"/>
      <c r="O487" s="6"/>
      <c r="P487" s="6"/>
      <c r="Q487" s="6"/>
      <c r="R487" s="6"/>
      <c r="S487" s="6"/>
      <c r="T487" s="6"/>
      <c r="X487" s="12"/>
      <c r="Y487" s="12"/>
    </row>
    <row r="488" ht="14.25" customHeight="1">
      <c r="A488" s="6"/>
      <c r="B488" s="6"/>
      <c r="D488" s="6"/>
      <c r="E488" s="6"/>
      <c r="F488" s="6"/>
      <c r="G488" s="6"/>
      <c r="H488" s="6"/>
      <c r="I488" s="6"/>
      <c r="J488" s="6"/>
      <c r="K488" s="6"/>
      <c r="L488" s="8"/>
      <c r="M488" s="8"/>
      <c r="N488" s="6"/>
      <c r="O488" s="6"/>
      <c r="P488" s="6"/>
      <c r="Q488" s="6"/>
      <c r="R488" s="6"/>
      <c r="S488" s="6"/>
      <c r="T488" s="6"/>
      <c r="X488" s="12"/>
      <c r="Y488" s="12"/>
    </row>
    <row r="489" ht="14.25" customHeight="1">
      <c r="A489" s="6"/>
      <c r="B489" s="6"/>
      <c r="D489" s="6"/>
      <c r="E489" s="6"/>
      <c r="F489" s="6"/>
      <c r="G489" s="6"/>
      <c r="H489" s="6"/>
      <c r="I489" s="6"/>
      <c r="J489" s="6"/>
      <c r="K489" s="6"/>
      <c r="L489" s="8"/>
      <c r="M489" s="8"/>
      <c r="N489" s="6"/>
      <c r="O489" s="6"/>
      <c r="P489" s="6"/>
      <c r="Q489" s="6"/>
      <c r="R489" s="6"/>
      <c r="S489" s="6"/>
      <c r="T489" s="6"/>
      <c r="X489" s="12"/>
      <c r="Y489" s="12"/>
    </row>
    <row r="490" ht="14.25" customHeight="1">
      <c r="A490" s="6"/>
      <c r="B490" s="6"/>
      <c r="D490" s="6"/>
      <c r="E490" s="6"/>
      <c r="F490" s="6"/>
      <c r="G490" s="6"/>
      <c r="H490" s="6"/>
      <c r="I490" s="6"/>
      <c r="J490" s="6"/>
      <c r="K490" s="6"/>
      <c r="L490" s="8"/>
      <c r="M490" s="8"/>
      <c r="N490" s="6"/>
      <c r="O490" s="6"/>
      <c r="P490" s="6"/>
      <c r="Q490" s="6"/>
      <c r="R490" s="6"/>
      <c r="S490" s="6"/>
      <c r="T490" s="6"/>
      <c r="X490" s="12"/>
      <c r="Y490" s="12"/>
    </row>
    <row r="491" ht="14.25" customHeight="1">
      <c r="A491" s="6"/>
      <c r="B491" s="6"/>
      <c r="D491" s="6"/>
      <c r="E491" s="6"/>
      <c r="F491" s="6"/>
      <c r="G491" s="6"/>
      <c r="H491" s="6"/>
      <c r="I491" s="6"/>
      <c r="J491" s="6"/>
      <c r="K491" s="6"/>
      <c r="L491" s="8"/>
      <c r="M491" s="8"/>
      <c r="N491" s="6"/>
      <c r="O491" s="6"/>
      <c r="P491" s="6"/>
      <c r="Q491" s="6"/>
      <c r="R491" s="6"/>
      <c r="S491" s="6"/>
      <c r="T491" s="6"/>
      <c r="X491" s="12"/>
      <c r="Y491" s="12"/>
    </row>
    <row r="492" ht="14.25" customHeight="1">
      <c r="A492" s="6"/>
      <c r="B492" s="6"/>
      <c r="D492" s="6"/>
      <c r="E492" s="6"/>
      <c r="F492" s="6"/>
      <c r="G492" s="6"/>
      <c r="H492" s="6"/>
      <c r="I492" s="6"/>
      <c r="J492" s="6"/>
      <c r="K492" s="6"/>
      <c r="L492" s="8"/>
      <c r="M492" s="8"/>
      <c r="N492" s="6"/>
      <c r="O492" s="6"/>
      <c r="P492" s="6"/>
      <c r="Q492" s="6"/>
      <c r="R492" s="6"/>
      <c r="S492" s="6"/>
      <c r="T492" s="6"/>
      <c r="X492" s="12"/>
      <c r="Y492" s="12"/>
    </row>
    <row r="493" ht="14.25" customHeight="1">
      <c r="A493" s="6"/>
      <c r="B493" s="6"/>
      <c r="D493" s="6"/>
      <c r="E493" s="6"/>
      <c r="F493" s="6"/>
      <c r="G493" s="6"/>
      <c r="H493" s="6"/>
      <c r="I493" s="6"/>
      <c r="J493" s="6"/>
      <c r="K493" s="6"/>
      <c r="L493" s="8"/>
      <c r="M493" s="8"/>
      <c r="N493" s="6"/>
      <c r="O493" s="6"/>
      <c r="P493" s="6"/>
      <c r="Q493" s="6"/>
      <c r="R493" s="6"/>
      <c r="S493" s="6"/>
      <c r="T493" s="6"/>
      <c r="X493" s="12"/>
      <c r="Y493" s="12"/>
    </row>
    <row r="494" ht="14.25" customHeight="1">
      <c r="A494" s="6"/>
      <c r="B494" s="6"/>
      <c r="D494" s="6"/>
      <c r="E494" s="6"/>
      <c r="F494" s="6"/>
      <c r="G494" s="6"/>
      <c r="H494" s="6"/>
      <c r="I494" s="6"/>
      <c r="J494" s="6"/>
      <c r="K494" s="6"/>
      <c r="L494" s="8"/>
      <c r="M494" s="8"/>
      <c r="N494" s="6"/>
      <c r="O494" s="6"/>
      <c r="P494" s="6"/>
      <c r="Q494" s="6"/>
      <c r="R494" s="6"/>
      <c r="S494" s="6"/>
      <c r="T494" s="6"/>
      <c r="X494" s="12"/>
      <c r="Y494" s="12"/>
    </row>
    <row r="495" ht="14.25" customHeight="1">
      <c r="A495" s="6"/>
      <c r="B495" s="6"/>
      <c r="D495" s="6"/>
      <c r="E495" s="6"/>
      <c r="F495" s="6"/>
      <c r="G495" s="6"/>
      <c r="H495" s="6"/>
      <c r="I495" s="6"/>
      <c r="J495" s="6"/>
      <c r="K495" s="6"/>
      <c r="L495" s="8"/>
      <c r="M495" s="8"/>
      <c r="N495" s="6"/>
      <c r="O495" s="6"/>
      <c r="P495" s="6"/>
      <c r="Q495" s="6"/>
      <c r="R495" s="6"/>
      <c r="S495" s="6"/>
      <c r="T495" s="6"/>
      <c r="X495" s="12"/>
      <c r="Y495" s="12"/>
    </row>
    <row r="496" ht="14.25" customHeight="1">
      <c r="A496" s="6"/>
      <c r="B496" s="6"/>
      <c r="D496" s="6"/>
      <c r="E496" s="6"/>
      <c r="F496" s="6"/>
      <c r="G496" s="6"/>
      <c r="H496" s="6"/>
      <c r="I496" s="6"/>
      <c r="J496" s="6"/>
      <c r="K496" s="6"/>
      <c r="L496" s="8"/>
      <c r="M496" s="8"/>
      <c r="N496" s="6"/>
      <c r="O496" s="6"/>
      <c r="P496" s="6"/>
      <c r="Q496" s="6"/>
      <c r="R496" s="6"/>
      <c r="S496" s="6"/>
      <c r="T496" s="6"/>
      <c r="X496" s="12"/>
      <c r="Y496" s="12"/>
    </row>
    <row r="497" ht="14.25" customHeight="1">
      <c r="A497" s="6"/>
      <c r="B497" s="6"/>
      <c r="D497" s="6"/>
      <c r="E497" s="6"/>
      <c r="F497" s="6"/>
      <c r="G497" s="6"/>
      <c r="H497" s="6"/>
      <c r="I497" s="6"/>
      <c r="J497" s="6"/>
      <c r="K497" s="6"/>
      <c r="L497" s="8"/>
      <c r="M497" s="8"/>
      <c r="N497" s="6"/>
      <c r="O497" s="6"/>
      <c r="P497" s="6"/>
      <c r="Q497" s="6"/>
      <c r="R497" s="6"/>
      <c r="S497" s="6"/>
      <c r="T497" s="6"/>
      <c r="X497" s="12"/>
      <c r="Y497" s="12"/>
    </row>
    <row r="498" ht="14.25" customHeight="1">
      <c r="A498" s="6"/>
      <c r="B498" s="6"/>
      <c r="D498" s="6"/>
      <c r="E498" s="6"/>
      <c r="F498" s="6"/>
      <c r="G498" s="6"/>
      <c r="H498" s="6"/>
      <c r="I498" s="6"/>
      <c r="J498" s="6"/>
      <c r="K498" s="6"/>
      <c r="L498" s="8"/>
      <c r="M498" s="8"/>
      <c r="N498" s="6"/>
      <c r="O498" s="6"/>
      <c r="P498" s="6"/>
      <c r="Q498" s="6"/>
      <c r="R498" s="6"/>
      <c r="S498" s="6"/>
      <c r="T498" s="6"/>
      <c r="X498" s="12"/>
      <c r="Y498" s="12"/>
    </row>
    <row r="499" ht="14.25" customHeight="1">
      <c r="A499" s="6"/>
      <c r="B499" s="6"/>
      <c r="D499" s="6"/>
      <c r="E499" s="6"/>
      <c r="F499" s="6"/>
      <c r="G499" s="6"/>
      <c r="H499" s="6"/>
      <c r="I499" s="6"/>
      <c r="J499" s="6"/>
      <c r="K499" s="6"/>
      <c r="L499" s="8"/>
      <c r="M499" s="8"/>
      <c r="N499" s="6"/>
      <c r="O499" s="6"/>
      <c r="P499" s="6"/>
      <c r="Q499" s="6"/>
      <c r="R499" s="6"/>
      <c r="S499" s="6"/>
      <c r="T499" s="6"/>
      <c r="X499" s="12"/>
      <c r="Y499" s="12"/>
    </row>
    <row r="500" ht="14.25" customHeight="1">
      <c r="A500" s="6"/>
      <c r="B500" s="6"/>
      <c r="D500" s="6"/>
      <c r="E500" s="6"/>
      <c r="F500" s="6"/>
      <c r="G500" s="6"/>
      <c r="H500" s="6"/>
      <c r="I500" s="6"/>
      <c r="J500" s="6"/>
      <c r="K500" s="6"/>
      <c r="L500" s="8"/>
      <c r="M500" s="8"/>
      <c r="N500" s="6"/>
      <c r="O500" s="6"/>
      <c r="P500" s="6"/>
      <c r="Q500" s="6"/>
      <c r="R500" s="6"/>
      <c r="S500" s="6"/>
      <c r="T500" s="6"/>
      <c r="X500" s="12"/>
      <c r="Y500" s="12"/>
    </row>
    <row r="501" ht="14.25" customHeight="1">
      <c r="A501" s="6"/>
      <c r="B501" s="6"/>
      <c r="D501" s="6"/>
      <c r="E501" s="6"/>
      <c r="F501" s="6"/>
      <c r="G501" s="6"/>
      <c r="H501" s="6"/>
      <c r="I501" s="6"/>
      <c r="J501" s="6"/>
      <c r="K501" s="6"/>
      <c r="L501" s="8"/>
      <c r="M501" s="8"/>
      <c r="N501" s="6"/>
      <c r="O501" s="6"/>
      <c r="P501" s="6"/>
      <c r="Q501" s="6"/>
      <c r="R501" s="6"/>
      <c r="S501" s="6"/>
      <c r="T501" s="6"/>
      <c r="X501" s="12"/>
      <c r="Y501" s="12"/>
    </row>
    <row r="502" ht="14.25" customHeight="1">
      <c r="A502" s="6"/>
      <c r="B502" s="6"/>
      <c r="D502" s="6"/>
      <c r="E502" s="6"/>
      <c r="F502" s="6"/>
      <c r="G502" s="6"/>
      <c r="H502" s="6"/>
      <c r="I502" s="6"/>
      <c r="J502" s="6"/>
      <c r="K502" s="6"/>
      <c r="L502" s="8"/>
      <c r="M502" s="8"/>
      <c r="N502" s="6"/>
      <c r="O502" s="6"/>
      <c r="P502" s="6"/>
      <c r="Q502" s="6"/>
      <c r="R502" s="6"/>
      <c r="S502" s="6"/>
      <c r="T502" s="6"/>
      <c r="X502" s="12"/>
      <c r="Y502" s="12"/>
    </row>
    <row r="503" ht="14.25" customHeight="1">
      <c r="A503" s="6"/>
      <c r="B503" s="6"/>
      <c r="D503" s="6"/>
      <c r="E503" s="6"/>
      <c r="F503" s="6"/>
      <c r="G503" s="6"/>
      <c r="H503" s="6"/>
      <c r="I503" s="6"/>
      <c r="J503" s="6"/>
      <c r="K503" s="6"/>
      <c r="L503" s="8"/>
      <c r="M503" s="8"/>
      <c r="N503" s="6"/>
      <c r="O503" s="6"/>
      <c r="P503" s="6"/>
      <c r="Q503" s="6"/>
      <c r="R503" s="6"/>
      <c r="S503" s="6"/>
      <c r="T503" s="6"/>
      <c r="X503" s="12"/>
      <c r="Y503" s="12"/>
    </row>
    <row r="504" ht="14.25" customHeight="1">
      <c r="A504" s="6"/>
      <c r="B504" s="6"/>
      <c r="D504" s="6"/>
      <c r="E504" s="6"/>
      <c r="F504" s="6"/>
      <c r="G504" s="6"/>
      <c r="H504" s="6"/>
      <c r="I504" s="6"/>
      <c r="J504" s="6"/>
      <c r="K504" s="6"/>
      <c r="L504" s="8"/>
      <c r="M504" s="8"/>
      <c r="N504" s="6"/>
      <c r="O504" s="6"/>
      <c r="P504" s="6"/>
      <c r="Q504" s="6"/>
      <c r="R504" s="6"/>
      <c r="S504" s="6"/>
      <c r="T504" s="6"/>
      <c r="X504" s="12"/>
      <c r="Y504" s="12"/>
    </row>
    <row r="505" ht="14.25" customHeight="1">
      <c r="A505" s="6"/>
      <c r="B505" s="6"/>
      <c r="D505" s="6"/>
      <c r="E505" s="6"/>
      <c r="F505" s="6"/>
      <c r="G505" s="6"/>
      <c r="H505" s="6"/>
      <c r="I505" s="6"/>
      <c r="J505" s="6"/>
      <c r="K505" s="6"/>
      <c r="L505" s="8"/>
      <c r="M505" s="8"/>
      <c r="N505" s="6"/>
      <c r="O505" s="6"/>
      <c r="P505" s="6"/>
      <c r="Q505" s="6"/>
      <c r="R505" s="6"/>
      <c r="S505" s="6"/>
      <c r="T505" s="6"/>
      <c r="X505" s="12"/>
      <c r="Y505" s="12"/>
    </row>
    <row r="506" ht="14.25" customHeight="1">
      <c r="A506" s="6"/>
      <c r="B506" s="6"/>
      <c r="D506" s="6"/>
      <c r="E506" s="6"/>
      <c r="F506" s="6"/>
      <c r="G506" s="6"/>
      <c r="H506" s="6"/>
      <c r="I506" s="6"/>
      <c r="J506" s="6"/>
      <c r="K506" s="6"/>
      <c r="L506" s="8"/>
      <c r="M506" s="8"/>
      <c r="N506" s="6"/>
      <c r="O506" s="6"/>
      <c r="P506" s="6"/>
      <c r="Q506" s="6"/>
      <c r="R506" s="6"/>
      <c r="S506" s="6"/>
      <c r="T506" s="6"/>
      <c r="X506" s="12"/>
      <c r="Y506" s="12"/>
    </row>
    <row r="507" ht="14.25" customHeight="1">
      <c r="A507" s="6"/>
      <c r="B507" s="6"/>
      <c r="D507" s="6"/>
      <c r="E507" s="6"/>
      <c r="F507" s="6"/>
      <c r="G507" s="6"/>
      <c r="H507" s="6"/>
      <c r="I507" s="6"/>
      <c r="J507" s="6"/>
      <c r="K507" s="6"/>
      <c r="L507" s="8"/>
      <c r="M507" s="8"/>
      <c r="N507" s="6"/>
      <c r="O507" s="6"/>
      <c r="P507" s="6"/>
      <c r="Q507" s="6"/>
      <c r="R507" s="6"/>
      <c r="S507" s="6"/>
      <c r="T507" s="6"/>
      <c r="X507" s="12"/>
      <c r="Y507" s="12"/>
    </row>
    <row r="508" ht="14.25" customHeight="1">
      <c r="A508" s="6"/>
      <c r="B508" s="6"/>
      <c r="D508" s="6"/>
      <c r="E508" s="6"/>
      <c r="F508" s="6"/>
      <c r="G508" s="6"/>
      <c r="H508" s="6"/>
      <c r="I508" s="6"/>
      <c r="J508" s="6"/>
      <c r="K508" s="6"/>
      <c r="L508" s="8"/>
      <c r="M508" s="8"/>
      <c r="N508" s="6"/>
      <c r="O508" s="6"/>
      <c r="P508" s="6"/>
      <c r="Q508" s="6"/>
      <c r="R508" s="6"/>
      <c r="S508" s="6"/>
      <c r="T508" s="6"/>
      <c r="X508" s="12"/>
      <c r="Y508" s="12"/>
    </row>
    <row r="509" ht="14.25" customHeight="1">
      <c r="A509" s="6"/>
      <c r="B509" s="6"/>
      <c r="D509" s="6"/>
      <c r="E509" s="6"/>
      <c r="F509" s="6"/>
      <c r="G509" s="6"/>
      <c r="H509" s="6"/>
      <c r="I509" s="6"/>
      <c r="J509" s="6"/>
      <c r="K509" s="6"/>
      <c r="L509" s="8"/>
      <c r="M509" s="8"/>
      <c r="N509" s="6"/>
      <c r="O509" s="6"/>
      <c r="P509" s="6"/>
      <c r="Q509" s="6"/>
      <c r="R509" s="6"/>
      <c r="S509" s="6"/>
      <c r="T509" s="6"/>
      <c r="X509" s="12"/>
      <c r="Y509" s="12"/>
    </row>
    <row r="510" ht="14.25" customHeight="1">
      <c r="A510" s="6"/>
      <c r="B510" s="6"/>
      <c r="D510" s="6"/>
      <c r="E510" s="6"/>
      <c r="F510" s="6"/>
      <c r="G510" s="6"/>
      <c r="H510" s="6"/>
      <c r="I510" s="6"/>
      <c r="J510" s="6"/>
      <c r="K510" s="6"/>
      <c r="L510" s="8"/>
      <c r="M510" s="8"/>
      <c r="N510" s="6"/>
      <c r="O510" s="6"/>
      <c r="P510" s="6"/>
      <c r="Q510" s="6"/>
      <c r="R510" s="6"/>
      <c r="S510" s="6"/>
      <c r="T510" s="6"/>
      <c r="X510" s="12"/>
      <c r="Y510" s="12"/>
    </row>
    <row r="511" ht="14.25" customHeight="1">
      <c r="A511" s="6"/>
      <c r="B511" s="6"/>
      <c r="D511" s="6"/>
      <c r="E511" s="6"/>
      <c r="F511" s="6"/>
      <c r="G511" s="6"/>
      <c r="H511" s="6"/>
      <c r="I511" s="6"/>
      <c r="J511" s="6"/>
      <c r="K511" s="6"/>
      <c r="L511" s="8"/>
      <c r="M511" s="8"/>
      <c r="N511" s="6"/>
      <c r="O511" s="6"/>
      <c r="P511" s="6"/>
      <c r="Q511" s="6"/>
      <c r="R511" s="6"/>
      <c r="S511" s="6"/>
      <c r="T511" s="6"/>
      <c r="X511" s="12"/>
      <c r="Y511" s="12"/>
    </row>
    <row r="512" ht="14.25" customHeight="1">
      <c r="A512" s="6"/>
      <c r="B512" s="6"/>
      <c r="D512" s="6"/>
      <c r="E512" s="6"/>
      <c r="F512" s="6"/>
      <c r="G512" s="6"/>
      <c r="H512" s="6"/>
      <c r="I512" s="6"/>
      <c r="J512" s="6"/>
      <c r="K512" s="6"/>
      <c r="L512" s="8"/>
      <c r="M512" s="8"/>
      <c r="N512" s="6"/>
      <c r="O512" s="6"/>
      <c r="P512" s="6"/>
      <c r="Q512" s="6"/>
      <c r="R512" s="6"/>
      <c r="S512" s="6"/>
      <c r="T512" s="6"/>
      <c r="X512" s="12"/>
      <c r="Y512" s="12"/>
    </row>
    <row r="513" ht="14.25" customHeight="1">
      <c r="A513" s="6"/>
      <c r="B513" s="6"/>
      <c r="D513" s="6"/>
      <c r="E513" s="6"/>
      <c r="F513" s="6"/>
      <c r="G513" s="6"/>
      <c r="H513" s="6"/>
      <c r="I513" s="6"/>
      <c r="J513" s="6"/>
      <c r="K513" s="6"/>
      <c r="L513" s="8"/>
      <c r="M513" s="8"/>
      <c r="N513" s="6"/>
      <c r="O513" s="6"/>
      <c r="P513" s="6"/>
      <c r="Q513" s="6"/>
      <c r="R513" s="6"/>
      <c r="S513" s="6"/>
      <c r="T513" s="6"/>
      <c r="X513" s="12"/>
      <c r="Y513" s="12"/>
    </row>
    <row r="514" ht="14.25" customHeight="1">
      <c r="A514" s="6"/>
      <c r="B514" s="6"/>
      <c r="D514" s="6"/>
      <c r="E514" s="6"/>
      <c r="F514" s="6"/>
      <c r="G514" s="6"/>
      <c r="H514" s="6"/>
      <c r="I514" s="6"/>
      <c r="J514" s="6"/>
      <c r="K514" s="6"/>
      <c r="L514" s="8"/>
      <c r="M514" s="8"/>
      <c r="N514" s="6"/>
      <c r="O514" s="6"/>
      <c r="P514" s="6"/>
      <c r="Q514" s="6"/>
      <c r="R514" s="6"/>
      <c r="S514" s="6"/>
      <c r="T514" s="6"/>
      <c r="X514" s="12"/>
      <c r="Y514" s="12"/>
    </row>
    <row r="515" ht="14.25" customHeight="1">
      <c r="A515" s="6"/>
      <c r="B515" s="6"/>
      <c r="D515" s="6"/>
      <c r="E515" s="6"/>
      <c r="F515" s="6"/>
      <c r="G515" s="6"/>
      <c r="H515" s="6"/>
      <c r="I515" s="6"/>
      <c r="J515" s="6"/>
      <c r="K515" s="6"/>
      <c r="L515" s="8"/>
      <c r="M515" s="8"/>
      <c r="N515" s="6"/>
      <c r="O515" s="6"/>
      <c r="P515" s="6"/>
      <c r="Q515" s="6"/>
      <c r="R515" s="6"/>
      <c r="S515" s="6"/>
      <c r="T515" s="6"/>
      <c r="X515" s="12"/>
      <c r="Y515" s="12"/>
    </row>
    <row r="516" ht="14.25" customHeight="1">
      <c r="A516" s="6"/>
      <c r="B516" s="6"/>
      <c r="D516" s="6"/>
      <c r="E516" s="6"/>
      <c r="F516" s="6"/>
      <c r="G516" s="6"/>
      <c r="H516" s="6"/>
      <c r="I516" s="6"/>
      <c r="J516" s="6"/>
      <c r="K516" s="6"/>
      <c r="L516" s="8"/>
      <c r="M516" s="8"/>
      <c r="N516" s="6"/>
      <c r="O516" s="6"/>
      <c r="P516" s="6"/>
      <c r="Q516" s="6"/>
      <c r="R516" s="6"/>
      <c r="S516" s="6"/>
      <c r="T516" s="6"/>
      <c r="X516" s="12"/>
      <c r="Y516" s="12"/>
    </row>
    <row r="517" ht="14.25" customHeight="1">
      <c r="A517" s="6"/>
      <c r="B517" s="6"/>
      <c r="D517" s="6"/>
      <c r="E517" s="6"/>
      <c r="F517" s="6"/>
      <c r="G517" s="6"/>
      <c r="H517" s="6"/>
      <c r="I517" s="6"/>
      <c r="J517" s="6"/>
      <c r="K517" s="6"/>
      <c r="L517" s="8"/>
      <c r="M517" s="8"/>
      <c r="N517" s="6"/>
      <c r="O517" s="6"/>
      <c r="P517" s="6"/>
      <c r="Q517" s="6"/>
      <c r="R517" s="6"/>
      <c r="S517" s="6"/>
      <c r="T517" s="6"/>
      <c r="X517" s="12"/>
      <c r="Y517" s="12"/>
    </row>
    <row r="518" ht="14.25" customHeight="1">
      <c r="A518" s="6"/>
      <c r="B518" s="6"/>
      <c r="D518" s="6"/>
      <c r="E518" s="6"/>
      <c r="F518" s="6"/>
      <c r="G518" s="6"/>
      <c r="H518" s="6"/>
      <c r="I518" s="6"/>
      <c r="J518" s="6"/>
      <c r="K518" s="6"/>
      <c r="L518" s="8"/>
      <c r="M518" s="8"/>
      <c r="N518" s="6"/>
      <c r="O518" s="6"/>
      <c r="P518" s="6"/>
      <c r="Q518" s="6"/>
      <c r="R518" s="6"/>
      <c r="S518" s="6"/>
      <c r="T518" s="6"/>
      <c r="X518" s="12"/>
      <c r="Y518" s="12"/>
    </row>
    <row r="519" ht="14.25" customHeight="1">
      <c r="A519" s="6"/>
      <c r="B519" s="6"/>
      <c r="D519" s="6"/>
      <c r="E519" s="6"/>
      <c r="F519" s="6"/>
      <c r="G519" s="6"/>
      <c r="H519" s="6"/>
      <c r="I519" s="6"/>
      <c r="J519" s="6"/>
      <c r="K519" s="6"/>
      <c r="L519" s="8"/>
      <c r="M519" s="8"/>
      <c r="N519" s="6"/>
      <c r="O519" s="6"/>
      <c r="P519" s="6"/>
      <c r="Q519" s="6"/>
      <c r="R519" s="6"/>
      <c r="S519" s="6"/>
      <c r="T519" s="6"/>
      <c r="X519" s="12"/>
      <c r="Y519" s="12"/>
    </row>
    <row r="520" ht="14.25" customHeight="1">
      <c r="A520" s="6"/>
      <c r="B520" s="6"/>
      <c r="D520" s="6"/>
      <c r="E520" s="6"/>
      <c r="F520" s="6"/>
      <c r="G520" s="6"/>
      <c r="H520" s="6"/>
      <c r="I520" s="6"/>
      <c r="J520" s="6"/>
      <c r="K520" s="6"/>
      <c r="L520" s="8"/>
      <c r="M520" s="8"/>
      <c r="N520" s="6"/>
      <c r="O520" s="6"/>
      <c r="P520" s="6"/>
      <c r="Q520" s="6"/>
      <c r="R520" s="6"/>
      <c r="S520" s="6"/>
      <c r="T520" s="6"/>
      <c r="X520" s="12"/>
      <c r="Y520" s="12"/>
    </row>
    <row r="521" ht="14.25" customHeight="1">
      <c r="A521" s="6"/>
      <c r="B521" s="6"/>
      <c r="D521" s="6"/>
      <c r="E521" s="6"/>
      <c r="F521" s="6"/>
      <c r="G521" s="6"/>
      <c r="H521" s="6"/>
      <c r="I521" s="6"/>
      <c r="J521" s="6"/>
      <c r="K521" s="6"/>
      <c r="L521" s="8"/>
      <c r="M521" s="8"/>
      <c r="N521" s="6"/>
      <c r="O521" s="6"/>
      <c r="P521" s="6"/>
      <c r="Q521" s="6"/>
      <c r="R521" s="6"/>
      <c r="S521" s="6"/>
      <c r="T521" s="6"/>
      <c r="X521" s="12"/>
      <c r="Y521" s="12"/>
    </row>
    <row r="522" ht="14.25" customHeight="1">
      <c r="A522" s="6"/>
      <c r="B522" s="6"/>
      <c r="D522" s="6"/>
      <c r="E522" s="6"/>
      <c r="F522" s="6"/>
      <c r="G522" s="6"/>
      <c r="H522" s="6"/>
      <c r="I522" s="6"/>
      <c r="J522" s="6"/>
      <c r="K522" s="6"/>
      <c r="L522" s="8"/>
      <c r="M522" s="8"/>
      <c r="N522" s="6"/>
      <c r="O522" s="6"/>
      <c r="P522" s="6"/>
      <c r="Q522" s="6"/>
      <c r="R522" s="6"/>
      <c r="S522" s="6"/>
      <c r="T522" s="6"/>
      <c r="X522" s="12"/>
      <c r="Y522" s="12"/>
    </row>
    <row r="523" ht="14.25" customHeight="1">
      <c r="A523" s="6"/>
      <c r="B523" s="6"/>
      <c r="D523" s="6"/>
      <c r="E523" s="6"/>
      <c r="F523" s="6"/>
      <c r="G523" s="6"/>
      <c r="H523" s="6"/>
      <c r="I523" s="6"/>
      <c r="J523" s="6"/>
      <c r="K523" s="6"/>
      <c r="L523" s="8"/>
      <c r="M523" s="8"/>
      <c r="N523" s="6"/>
      <c r="O523" s="6"/>
      <c r="P523" s="6"/>
      <c r="Q523" s="6"/>
      <c r="R523" s="6"/>
      <c r="S523" s="6"/>
      <c r="T523" s="6"/>
      <c r="X523" s="12"/>
      <c r="Y523" s="12"/>
    </row>
    <row r="524" ht="14.25" customHeight="1">
      <c r="A524" s="6"/>
      <c r="B524" s="6"/>
      <c r="D524" s="6"/>
      <c r="E524" s="6"/>
      <c r="F524" s="6"/>
      <c r="G524" s="6"/>
      <c r="H524" s="6"/>
      <c r="I524" s="6"/>
      <c r="J524" s="6"/>
      <c r="K524" s="6"/>
      <c r="L524" s="8"/>
      <c r="M524" s="8"/>
      <c r="N524" s="6"/>
      <c r="O524" s="6"/>
      <c r="P524" s="6"/>
      <c r="Q524" s="6"/>
      <c r="R524" s="6"/>
      <c r="S524" s="6"/>
      <c r="T524" s="6"/>
      <c r="X524" s="12"/>
      <c r="Y524" s="12"/>
    </row>
    <row r="525" ht="14.25" customHeight="1">
      <c r="A525" s="6"/>
      <c r="B525" s="6"/>
      <c r="D525" s="6"/>
      <c r="E525" s="6"/>
      <c r="F525" s="6"/>
      <c r="G525" s="6"/>
      <c r="H525" s="6"/>
      <c r="I525" s="6"/>
      <c r="J525" s="6"/>
      <c r="K525" s="6"/>
      <c r="L525" s="8"/>
      <c r="M525" s="8"/>
      <c r="N525" s="6"/>
      <c r="O525" s="6"/>
      <c r="P525" s="6"/>
      <c r="Q525" s="6"/>
      <c r="R525" s="6"/>
      <c r="S525" s="6"/>
      <c r="T525" s="6"/>
      <c r="X525" s="12"/>
      <c r="Y525" s="12"/>
    </row>
    <row r="526" ht="14.25" customHeight="1">
      <c r="A526" s="6"/>
      <c r="B526" s="6"/>
      <c r="D526" s="6"/>
      <c r="E526" s="6"/>
      <c r="F526" s="6"/>
      <c r="G526" s="6"/>
      <c r="H526" s="6"/>
      <c r="I526" s="6"/>
      <c r="J526" s="6"/>
      <c r="K526" s="6"/>
      <c r="L526" s="8"/>
      <c r="M526" s="8"/>
      <c r="N526" s="6"/>
      <c r="O526" s="6"/>
      <c r="P526" s="6"/>
      <c r="Q526" s="6"/>
      <c r="R526" s="6"/>
      <c r="S526" s="6"/>
      <c r="T526" s="6"/>
      <c r="X526" s="12"/>
      <c r="Y526" s="12"/>
    </row>
    <row r="527" ht="14.25" customHeight="1">
      <c r="A527" s="6"/>
      <c r="B527" s="6"/>
      <c r="D527" s="6"/>
      <c r="E527" s="6"/>
      <c r="F527" s="6"/>
      <c r="G527" s="6"/>
      <c r="H527" s="6"/>
      <c r="I527" s="6"/>
      <c r="J527" s="6"/>
      <c r="K527" s="6"/>
      <c r="L527" s="8"/>
      <c r="M527" s="8"/>
      <c r="N527" s="6"/>
      <c r="O527" s="6"/>
      <c r="P527" s="6"/>
      <c r="Q527" s="6"/>
      <c r="R527" s="6"/>
      <c r="S527" s="6"/>
      <c r="T527" s="6"/>
      <c r="X527" s="12"/>
      <c r="Y527" s="12"/>
    </row>
    <row r="528" ht="14.25" customHeight="1">
      <c r="A528" s="6"/>
      <c r="B528" s="6"/>
      <c r="D528" s="6"/>
      <c r="E528" s="6"/>
      <c r="F528" s="6"/>
      <c r="G528" s="6"/>
      <c r="H528" s="6"/>
      <c r="I528" s="6"/>
      <c r="J528" s="6"/>
      <c r="K528" s="6"/>
      <c r="L528" s="8"/>
      <c r="M528" s="8"/>
      <c r="N528" s="6"/>
      <c r="O528" s="6"/>
      <c r="P528" s="6"/>
      <c r="Q528" s="6"/>
      <c r="R528" s="6"/>
      <c r="S528" s="6"/>
      <c r="T528" s="6"/>
      <c r="X528" s="12"/>
      <c r="Y528" s="12"/>
    </row>
    <row r="529" ht="14.25" customHeight="1">
      <c r="A529" s="6"/>
      <c r="B529" s="6"/>
      <c r="D529" s="6"/>
      <c r="E529" s="6"/>
      <c r="F529" s="6"/>
      <c r="G529" s="6"/>
      <c r="H529" s="6"/>
      <c r="I529" s="6"/>
      <c r="J529" s="6"/>
      <c r="K529" s="6"/>
      <c r="L529" s="8"/>
      <c r="M529" s="8"/>
      <c r="N529" s="6"/>
      <c r="O529" s="6"/>
      <c r="P529" s="6"/>
      <c r="Q529" s="6"/>
      <c r="R529" s="6"/>
      <c r="S529" s="6"/>
      <c r="T529" s="6"/>
      <c r="X529" s="12"/>
      <c r="Y529" s="12"/>
    </row>
    <row r="530" ht="14.25" customHeight="1">
      <c r="A530" s="6"/>
      <c r="B530" s="6"/>
      <c r="D530" s="6"/>
      <c r="E530" s="6"/>
      <c r="F530" s="6"/>
      <c r="G530" s="6"/>
      <c r="H530" s="6"/>
      <c r="I530" s="6"/>
      <c r="J530" s="6"/>
      <c r="K530" s="6"/>
      <c r="L530" s="8"/>
      <c r="M530" s="8"/>
      <c r="N530" s="6"/>
      <c r="O530" s="6"/>
      <c r="P530" s="6"/>
      <c r="Q530" s="6"/>
      <c r="R530" s="6"/>
      <c r="S530" s="6"/>
      <c r="T530" s="6"/>
      <c r="X530" s="12"/>
      <c r="Y530" s="12"/>
    </row>
    <row r="531" ht="14.25" customHeight="1">
      <c r="A531" s="6"/>
      <c r="B531" s="6"/>
      <c r="D531" s="6"/>
      <c r="E531" s="6"/>
      <c r="F531" s="6"/>
      <c r="G531" s="6"/>
      <c r="H531" s="6"/>
      <c r="I531" s="6"/>
      <c r="J531" s="6"/>
      <c r="K531" s="6"/>
      <c r="L531" s="8"/>
      <c r="M531" s="8"/>
      <c r="N531" s="6"/>
      <c r="O531" s="6"/>
      <c r="P531" s="6"/>
      <c r="Q531" s="6"/>
      <c r="R531" s="6"/>
      <c r="S531" s="6"/>
      <c r="T531" s="6"/>
      <c r="X531" s="12"/>
      <c r="Y531" s="12"/>
    </row>
    <row r="532" ht="14.25" customHeight="1">
      <c r="A532" s="6"/>
      <c r="B532" s="6"/>
      <c r="D532" s="6"/>
      <c r="E532" s="6"/>
      <c r="F532" s="6"/>
      <c r="G532" s="6"/>
      <c r="H532" s="6"/>
      <c r="I532" s="6"/>
      <c r="J532" s="6"/>
      <c r="K532" s="6"/>
      <c r="L532" s="8"/>
      <c r="M532" s="8"/>
      <c r="N532" s="6"/>
      <c r="O532" s="6"/>
      <c r="P532" s="6"/>
      <c r="Q532" s="6"/>
      <c r="R532" s="6"/>
      <c r="S532" s="6"/>
      <c r="T532" s="6"/>
      <c r="X532" s="12"/>
      <c r="Y532" s="12"/>
    </row>
    <row r="533" ht="14.25" customHeight="1">
      <c r="A533" s="6"/>
      <c r="B533" s="6"/>
      <c r="D533" s="6"/>
      <c r="E533" s="6"/>
      <c r="F533" s="6"/>
      <c r="G533" s="6"/>
      <c r="H533" s="6"/>
      <c r="I533" s="6"/>
      <c r="J533" s="6"/>
      <c r="K533" s="6"/>
      <c r="L533" s="8"/>
      <c r="M533" s="8"/>
      <c r="N533" s="6"/>
      <c r="O533" s="6"/>
      <c r="P533" s="6"/>
      <c r="Q533" s="6"/>
      <c r="R533" s="6"/>
      <c r="S533" s="6"/>
      <c r="T533" s="6"/>
      <c r="X533" s="12"/>
      <c r="Y533" s="12"/>
    </row>
    <row r="534" ht="14.25" customHeight="1">
      <c r="A534" s="6"/>
      <c r="B534" s="6"/>
      <c r="D534" s="6"/>
      <c r="E534" s="6"/>
      <c r="F534" s="6"/>
      <c r="G534" s="6"/>
      <c r="H534" s="6"/>
      <c r="I534" s="6"/>
      <c r="J534" s="6"/>
      <c r="K534" s="6"/>
      <c r="L534" s="8"/>
      <c r="M534" s="8"/>
      <c r="N534" s="6"/>
      <c r="O534" s="6"/>
      <c r="P534" s="6"/>
      <c r="Q534" s="6"/>
      <c r="R534" s="6"/>
      <c r="S534" s="6"/>
      <c r="T534" s="6"/>
      <c r="X534" s="12"/>
      <c r="Y534" s="12"/>
    </row>
    <row r="535" ht="14.25" customHeight="1">
      <c r="A535" s="6"/>
      <c r="B535" s="6"/>
      <c r="D535" s="6"/>
      <c r="E535" s="6"/>
      <c r="F535" s="6"/>
      <c r="G535" s="6"/>
      <c r="H535" s="6"/>
      <c r="I535" s="6"/>
      <c r="J535" s="6"/>
      <c r="K535" s="6"/>
      <c r="L535" s="8"/>
      <c r="M535" s="8"/>
      <c r="N535" s="6"/>
      <c r="O535" s="6"/>
      <c r="P535" s="6"/>
      <c r="Q535" s="6"/>
      <c r="R535" s="6"/>
      <c r="S535" s="6"/>
      <c r="T535" s="6"/>
      <c r="X535" s="12"/>
      <c r="Y535" s="12"/>
    </row>
    <row r="536" ht="14.25" customHeight="1">
      <c r="A536" s="6"/>
      <c r="B536" s="6"/>
      <c r="D536" s="6"/>
      <c r="E536" s="6"/>
      <c r="F536" s="6"/>
      <c r="G536" s="6"/>
      <c r="H536" s="6"/>
      <c r="I536" s="6"/>
      <c r="J536" s="6"/>
      <c r="K536" s="6"/>
      <c r="L536" s="8"/>
      <c r="M536" s="8"/>
      <c r="N536" s="6"/>
      <c r="O536" s="6"/>
      <c r="P536" s="6"/>
      <c r="Q536" s="6"/>
      <c r="R536" s="6"/>
      <c r="S536" s="6"/>
      <c r="T536" s="6"/>
      <c r="X536" s="12"/>
      <c r="Y536" s="12"/>
    </row>
    <row r="537" ht="14.25" customHeight="1">
      <c r="A537" s="6"/>
      <c r="B537" s="6"/>
      <c r="D537" s="6"/>
      <c r="E537" s="6"/>
      <c r="F537" s="6"/>
      <c r="G537" s="6"/>
      <c r="H537" s="6"/>
      <c r="I537" s="6"/>
      <c r="J537" s="6"/>
      <c r="K537" s="6"/>
      <c r="L537" s="8"/>
      <c r="M537" s="8"/>
      <c r="N537" s="6"/>
      <c r="O537" s="6"/>
      <c r="P537" s="6"/>
      <c r="Q537" s="6"/>
      <c r="R537" s="6"/>
      <c r="S537" s="6"/>
      <c r="T537" s="6"/>
      <c r="X537" s="12"/>
      <c r="Y537" s="12"/>
    </row>
    <row r="538" ht="14.25" customHeight="1">
      <c r="A538" s="6"/>
      <c r="B538" s="6"/>
      <c r="D538" s="6"/>
      <c r="E538" s="6"/>
      <c r="F538" s="6"/>
      <c r="G538" s="6"/>
      <c r="H538" s="6"/>
      <c r="I538" s="6"/>
      <c r="J538" s="6"/>
      <c r="K538" s="6"/>
      <c r="L538" s="8"/>
      <c r="M538" s="8"/>
      <c r="N538" s="6"/>
      <c r="O538" s="6"/>
      <c r="P538" s="6"/>
      <c r="Q538" s="6"/>
      <c r="R538" s="6"/>
      <c r="S538" s="6"/>
      <c r="T538" s="6"/>
      <c r="X538" s="12"/>
      <c r="Y538" s="12"/>
    </row>
    <row r="539" ht="14.25" customHeight="1">
      <c r="A539" s="6"/>
      <c r="B539" s="6"/>
      <c r="D539" s="6"/>
      <c r="E539" s="6"/>
      <c r="F539" s="6"/>
      <c r="G539" s="6"/>
      <c r="H539" s="6"/>
      <c r="I539" s="6"/>
      <c r="J539" s="6"/>
      <c r="K539" s="6"/>
      <c r="L539" s="8"/>
      <c r="M539" s="8"/>
      <c r="N539" s="6"/>
      <c r="O539" s="6"/>
      <c r="P539" s="6"/>
      <c r="Q539" s="6"/>
      <c r="R539" s="6"/>
      <c r="S539" s="6"/>
      <c r="T539" s="6"/>
      <c r="X539" s="12"/>
      <c r="Y539" s="12"/>
    </row>
    <row r="540" ht="14.25" customHeight="1">
      <c r="A540" s="6"/>
      <c r="B540" s="6"/>
      <c r="D540" s="6"/>
      <c r="E540" s="6"/>
      <c r="F540" s="6"/>
      <c r="G540" s="6"/>
      <c r="H540" s="6"/>
      <c r="I540" s="6"/>
      <c r="J540" s="6"/>
      <c r="K540" s="6"/>
      <c r="L540" s="8"/>
      <c r="M540" s="8"/>
      <c r="N540" s="6"/>
      <c r="O540" s="6"/>
      <c r="P540" s="6"/>
      <c r="Q540" s="6"/>
      <c r="R540" s="6"/>
      <c r="S540" s="6"/>
      <c r="T540" s="6"/>
      <c r="X540" s="12"/>
      <c r="Y540" s="12"/>
    </row>
    <row r="541" ht="14.25" customHeight="1">
      <c r="A541" s="6"/>
      <c r="B541" s="6"/>
      <c r="D541" s="6"/>
      <c r="E541" s="6"/>
      <c r="F541" s="6"/>
      <c r="G541" s="6"/>
      <c r="H541" s="6"/>
      <c r="I541" s="6"/>
      <c r="J541" s="6"/>
      <c r="K541" s="6"/>
      <c r="L541" s="8"/>
      <c r="M541" s="8"/>
      <c r="N541" s="6"/>
      <c r="O541" s="6"/>
      <c r="P541" s="6"/>
      <c r="Q541" s="6"/>
      <c r="R541" s="6"/>
      <c r="S541" s="6"/>
      <c r="T541" s="6"/>
      <c r="X541" s="12"/>
      <c r="Y541" s="12"/>
    </row>
    <row r="542" ht="14.25" customHeight="1">
      <c r="A542" s="6"/>
      <c r="B542" s="6"/>
      <c r="D542" s="6"/>
      <c r="E542" s="6"/>
      <c r="F542" s="6"/>
      <c r="G542" s="6"/>
      <c r="H542" s="6"/>
      <c r="I542" s="6"/>
      <c r="J542" s="6"/>
      <c r="K542" s="6"/>
      <c r="L542" s="8"/>
      <c r="M542" s="8"/>
      <c r="N542" s="6"/>
      <c r="O542" s="6"/>
      <c r="P542" s="6"/>
      <c r="Q542" s="6"/>
      <c r="R542" s="6"/>
      <c r="S542" s="6"/>
      <c r="T542" s="6"/>
      <c r="X542" s="12"/>
      <c r="Y542" s="12"/>
    </row>
    <row r="543" ht="14.25" customHeight="1">
      <c r="A543" s="6"/>
      <c r="B543" s="6"/>
      <c r="D543" s="6"/>
      <c r="E543" s="6"/>
      <c r="F543" s="6"/>
      <c r="G543" s="6"/>
      <c r="H543" s="6"/>
      <c r="I543" s="6"/>
      <c r="J543" s="6"/>
      <c r="K543" s="6"/>
      <c r="L543" s="8"/>
      <c r="M543" s="8"/>
      <c r="N543" s="6"/>
      <c r="O543" s="6"/>
      <c r="P543" s="6"/>
      <c r="Q543" s="6"/>
      <c r="R543" s="6"/>
      <c r="S543" s="6"/>
      <c r="T543" s="6"/>
      <c r="X543" s="12"/>
      <c r="Y543" s="12"/>
    </row>
    <row r="544" ht="14.25" customHeight="1">
      <c r="A544" s="6"/>
      <c r="B544" s="6"/>
      <c r="D544" s="6"/>
      <c r="E544" s="6"/>
      <c r="F544" s="6"/>
      <c r="G544" s="6"/>
      <c r="H544" s="6"/>
      <c r="I544" s="6"/>
      <c r="J544" s="6"/>
      <c r="K544" s="6"/>
      <c r="L544" s="8"/>
      <c r="M544" s="8"/>
      <c r="N544" s="6"/>
      <c r="O544" s="6"/>
      <c r="P544" s="6"/>
      <c r="Q544" s="6"/>
      <c r="R544" s="6"/>
      <c r="S544" s="6"/>
      <c r="T544" s="6"/>
      <c r="X544" s="12"/>
      <c r="Y544" s="12"/>
    </row>
    <row r="545" ht="14.25" customHeight="1">
      <c r="A545" s="6"/>
      <c r="B545" s="6"/>
      <c r="D545" s="6"/>
      <c r="E545" s="6"/>
      <c r="F545" s="6"/>
      <c r="G545" s="6"/>
      <c r="H545" s="6"/>
      <c r="I545" s="6"/>
      <c r="J545" s="6"/>
      <c r="K545" s="6"/>
      <c r="L545" s="8"/>
      <c r="M545" s="8"/>
      <c r="N545" s="6"/>
      <c r="O545" s="6"/>
      <c r="P545" s="6"/>
      <c r="Q545" s="6"/>
      <c r="R545" s="6"/>
      <c r="S545" s="6"/>
      <c r="T545" s="6"/>
      <c r="X545" s="12"/>
      <c r="Y545" s="12"/>
    </row>
    <row r="546" ht="14.25" customHeight="1">
      <c r="A546" s="6"/>
      <c r="B546" s="6"/>
      <c r="D546" s="6"/>
      <c r="E546" s="6"/>
      <c r="F546" s="6"/>
      <c r="G546" s="6"/>
      <c r="H546" s="6"/>
      <c r="I546" s="6"/>
      <c r="J546" s="6"/>
      <c r="K546" s="6"/>
      <c r="L546" s="8"/>
      <c r="M546" s="8"/>
      <c r="N546" s="6"/>
      <c r="O546" s="6"/>
      <c r="P546" s="6"/>
      <c r="Q546" s="6"/>
      <c r="R546" s="6"/>
      <c r="S546" s="6"/>
      <c r="T546" s="6"/>
      <c r="X546" s="12"/>
      <c r="Y546" s="12"/>
    </row>
    <row r="547" ht="14.25" customHeight="1">
      <c r="A547" s="6"/>
      <c r="B547" s="6"/>
      <c r="D547" s="6"/>
      <c r="E547" s="6"/>
      <c r="F547" s="6"/>
      <c r="G547" s="6"/>
      <c r="H547" s="6"/>
      <c r="I547" s="6"/>
      <c r="J547" s="6"/>
      <c r="K547" s="6"/>
      <c r="L547" s="8"/>
      <c r="M547" s="8"/>
      <c r="N547" s="6"/>
      <c r="O547" s="6"/>
      <c r="P547" s="6"/>
      <c r="Q547" s="6"/>
      <c r="R547" s="6"/>
      <c r="S547" s="6"/>
      <c r="T547" s="6"/>
      <c r="X547" s="12"/>
      <c r="Y547" s="12"/>
    </row>
    <row r="548" ht="14.25" customHeight="1">
      <c r="A548" s="6"/>
      <c r="B548" s="6"/>
      <c r="D548" s="6"/>
      <c r="E548" s="6"/>
      <c r="F548" s="6"/>
      <c r="G548" s="6"/>
      <c r="H548" s="6"/>
      <c r="I548" s="6"/>
      <c r="J548" s="6"/>
      <c r="K548" s="6"/>
      <c r="L548" s="8"/>
      <c r="M548" s="8"/>
      <c r="N548" s="6"/>
      <c r="O548" s="6"/>
      <c r="P548" s="6"/>
      <c r="Q548" s="6"/>
      <c r="R548" s="6"/>
      <c r="S548" s="6"/>
      <c r="T548" s="6"/>
      <c r="X548" s="12"/>
      <c r="Y548" s="12"/>
    </row>
    <row r="549" ht="14.25" customHeight="1">
      <c r="A549" s="6"/>
      <c r="B549" s="6"/>
      <c r="D549" s="6"/>
      <c r="E549" s="6"/>
      <c r="F549" s="6"/>
      <c r="G549" s="6"/>
      <c r="H549" s="6"/>
      <c r="I549" s="6"/>
      <c r="J549" s="6"/>
      <c r="K549" s="6"/>
      <c r="L549" s="8"/>
      <c r="M549" s="8"/>
      <c r="N549" s="6"/>
      <c r="O549" s="6"/>
      <c r="P549" s="6"/>
      <c r="Q549" s="6"/>
      <c r="R549" s="6"/>
      <c r="S549" s="6"/>
      <c r="T549" s="6"/>
      <c r="X549" s="12"/>
      <c r="Y549" s="12"/>
    </row>
    <row r="550" ht="14.25" customHeight="1">
      <c r="A550" s="6"/>
      <c r="B550" s="6"/>
      <c r="D550" s="6"/>
      <c r="E550" s="6"/>
      <c r="F550" s="6"/>
      <c r="G550" s="6"/>
      <c r="H550" s="6"/>
      <c r="I550" s="6"/>
      <c r="J550" s="6"/>
      <c r="K550" s="6"/>
      <c r="L550" s="8"/>
      <c r="M550" s="8"/>
      <c r="N550" s="6"/>
      <c r="O550" s="6"/>
      <c r="P550" s="6"/>
      <c r="Q550" s="6"/>
      <c r="R550" s="6"/>
      <c r="S550" s="6"/>
      <c r="T550" s="6"/>
      <c r="X550" s="12"/>
      <c r="Y550" s="12"/>
    </row>
    <row r="551" ht="14.25" customHeight="1">
      <c r="A551" s="6"/>
      <c r="B551" s="6"/>
      <c r="D551" s="6"/>
      <c r="E551" s="6"/>
      <c r="F551" s="6"/>
      <c r="G551" s="6"/>
      <c r="H551" s="6"/>
      <c r="I551" s="6"/>
      <c r="J551" s="6"/>
      <c r="K551" s="6"/>
      <c r="L551" s="8"/>
      <c r="M551" s="8"/>
      <c r="N551" s="6"/>
      <c r="O551" s="6"/>
      <c r="P551" s="6"/>
      <c r="Q551" s="6"/>
      <c r="R551" s="6"/>
      <c r="S551" s="6"/>
      <c r="T551" s="6"/>
      <c r="X551" s="12"/>
      <c r="Y551" s="12"/>
    </row>
    <row r="552" ht="14.25" customHeight="1">
      <c r="A552" s="6"/>
      <c r="B552" s="6"/>
      <c r="D552" s="6"/>
      <c r="E552" s="6"/>
      <c r="F552" s="6"/>
      <c r="G552" s="6"/>
      <c r="H552" s="6"/>
      <c r="I552" s="6"/>
      <c r="J552" s="6"/>
      <c r="K552" s="6"/>
      <c r="L552" s="8"/>
      <c r="M552" s="8"/>
      <c r="N552" s="6"/>
      <c r="O552" s="6"/>
      <c r="P552" s="6"/>
      <c r="Q552" s="6"/>
      <c r="R552" s="6"/>
      <c r="S552" s="6"/>
      <c r="T552" s="6"/>
      <c r="X552" s="12"/>
      <c r="Y552" s="12"/>
    </row>
    <row r="553" ht="14.25" customHeight="1">
      <c r="A553" s="6"/>
      <c r="B553" s="6"/>
      <c r="D553" s="6"/>
      <c r="E553" s="6"/>
      <c r="F553" s="6"/>
      <c r="G553" s="6"/>
      <c r="H553" s="6"/>
      <c r="I553" s="6"/>
      <c r="J553" s="6"/>
      <c r="K553" s="6"/>
      <c r="L553" s="8"/>
      <c r="M553" s="8"/>
      <c r="N553" s="6"/>
      <c r="O553" s="6"/>
      <c r="P553" s="6"/>
      <c r="Q553" s="6"/>
      <c r="R553" s="6"/>
      <c r="S553" s="6"/>
      <c r="T553" s="6"/>
      <c r="X553" s="12"/>
      <c r="Y553" s="12"/>
    </row>
    <row r="554" ht="14.25" customHeight="1">
      <c r="A554" s="6"/>
      <c r="B554" s="6"/>
      <c r="D554" s="6"/>
      <c r="E554" s="6"/>
      <c r="F554" s="6"/>
      <c r="G554" s="6"/>
      <c r="H554" s="6"/>
      <c r="I554" s="6"/>
      <c r="J554" s="6"/>
      <c r="K554" s="6"/>
      <c r="L554" s="8"/>
      <c r="M554" s="8"/>
      <c r="N554" s="6"/>
      <c r="O554" s="6"/>
      <c r="P554" s="6"/>
      <c r="Q554" s="6"/>
      <c r="R554" s="6"/>
      <c r="S554" s="6"/>
      <c r="T554" s="6"/>
      <c r="X554" s="12"/>
      <c r="Y554" s="12"/>
    </row>
    <row r="555" ht="14.25" customHeight="1">
      <c r="A555" s="6"/>
      <c r="B555" s="6"/>
      <c r="D555" s="6"/>
      <c r="E555" s="6"/>
      <c r="F555" s="6"/>
      <c r="G555" s="6"/>
      <c r="H555" s="6"/>
      <c r="I555" s="6"/>
      <c r="J555" s="6"/>
      <c r="K555" s="6"/>
      <c r="L555" s="8"/>
      <c r="M555" s="8"/>
      <c r="N555" s="6"/>
      <c r="O555" s="6"/>
      <c r="P555" s="6"/>
      <c r="Q555" s="6"/>
      <c r="R555" s="6"/>
      <c r="S555" s="6"/>
      <c r="T555" s="6"/>
      <c r="X555" s="12"/>
      <c r="Y555" s="12"/>
    </row>
    <row r="556" ht="14.25" customHeight="1">
      <c r="A556" s="6"/>
      <c r="B556" s="6"/>
      <c r="D556" s="6"/>
      <c r="E556" s="6"/>
      <c r="F556" s="6"/>
      <c r="G556" s="6"/>
      <c r="H556" s="6"/>
      <c r="I556" s="6"/>
      <c r="J556" s="6"/>
      <c r="K556" s="6"/>
      <c r="L556" s="8"/>
      <c r="M556" s="8"/>
      <c r="N556" s="6"/>
      <c r="O556" s="6"/>
      <c r="P556" s="6"/>
      <c r="Q556" s="6"/>
      <c r="R556" s="6"/>
      <c r="S556" s="6"/>
      <c r="T556" s="6"/>
      <c r="X556" s="12"/>
      <c r="Y556" s="12"/>
    </row>
    <row r="557" ht="14.25" customHeight="1">
      <c r="A557" s="6"/>
      <c r="B557" s="6"/>
      <c r="D557" s="6"/>
      <c r="E557" s="6"/>
      <c r="F557" s="6"/>
      <c r="G557" s="6"/>
      <c r="H557" s="6"/>
      <c r="I557" s="6"/>
      <c r="J557" s="6"/>
      <c r="K557" s="6"/>
      <c r="L557" s="8"/>
      <c r="M557" s="8"/>
      <c r="N557" s="6"/>
      <c r="O557" s="6"/>
      <c r="P557" s="6"/>
      <c r="Q557" s="6"/>
      <c r="R557" s="6"/>
      <c r="S557" s="6"/>
      <c r="T557" s="6"/>
      <c r="X557" s="12"/>
      <c r="Y557" s="12"/>
    </row>
    <row r="558" ht="14.25" customHeight="1">
      <c r="A558" s="6"/>
      <c r="B558" s="6"/>
      <c r="D558" s="6"/>
      <c r="E558" s="6"/>
      <c r="F558" s="6"/>
      <c r="G558" s="6"/>
      <c r="H558" s="6"/>
      <c r="I558" s="6"/>
      <c r="J558" s="6"/>
      <c r="K558" s="6"/>
      <c r="L558" s="8"/>
      <c r="M558" s="8"/>
      <c r="N558" s="6"/>
      <c r="O558" s="6"/>
      <c r="P558" s="6"/>
      <c r="Q558" s="6"/>
      <c r="R558" s="6"/>
      <c r="S558" s="6"/>
      <c r="T558" s="6"/>
      <c r="X558" s="12"/>
      <c r="Y558" s="12"/>
    </row>
    <row r="559" ht="14.25" customHeight="1">
      <c r="A559" s="6"/>
      <c r="B559" s="6"/>
      <c r="D559" s="6"/>
      <c r="E559" s="6"/>
      <c r="F559" s="6"/>
      <c r="G559" s="6"/>
      <c r="H559" s="6"/>
      <c r="I559" s="6"/>
      <c r="J559" s="6"/>
      <c r="K559" s="6"/>
      <c r="L559" s="8"/>
      <c r="M559" s="8"/>
      <c r="N559" s="6"/>
      <c r="O559" s="6"/>
      <c r="P559" s="6"/>
      <c r="Q559" s="6"/>
      <c r="R559" s="6"/>
      <c r="S559" s="6"/>
      <c r="T559" s="6"/>
      <c r="X559" s="12"/>
      <c r="Y559" s="12"/>
    </row>
    <row r="560" ht="14.25" customHeight="1">
      <c r="A560" s="6"/>
      <c r="B560" s="6"/>
      <c r="D560" s="6"/>
      <c r="E560" s="6"/>
      <c r="F560" s="6"/>
      <c r="G560" s="6"/>
      <c r="H560" s="6"/>
      <c r="I560" s="6"/>
      <c r="J560" s="6"/>
      <c r="K560" s="6"/>
      <c r="L560" s="8"/>
      <c r="M560" s="8"/>
      <c r="N560" s="6"/>
      <c r="O560" s="6"/>
      <c r="P560" s="6"/>
      <c r="Q560" s="6"/>
      <c r="R560" s="6"/>
      <c r="S560" s="6"/>
      <c r="T560" s="6"/>
      <c r="X560" s="12"/>
      <c r="Y560" s="12"/>
    </row>
    <row r="561" ht="14.25" customHeight="1">
      <c r="A561" s="6"/>
      <c r="B561" s="6"/>
      <c r="D561" s="6"/>
      <c r="E561" s="6"/>
      <c r="F561" s="6"/>
      <c r="G561" s="6"/>
      <c r="H561" s="6"/>
      <c r="I561" s="6"/>
      <c r="J561" s="6"/>
      <c r="K561" s="6"/>
      <c r="L561" s="8"/>
      <c r="M561" s="8"/>
      <c r="N561" s="6"/>
      <c r="O561" s="6"/>
      <c r="P561" s="6"/>
      <c r="Q561" s="6"/>
      <c r="R561" s="6"/>
      <c r="S561" s="6"/>
      <c r="T561" s="6"/>
      <c r="X561" s="12"/>
      <c r="Y561" s="12"/>
    </row>
    <row r="562" ht="14.25" customHeight="1">
      <c r="A562" s="6"/>
      <c r="B562" s="6"/>
      <c r="D562" s="6"/>
      <c r="E562" s="6"/>
      <c r="F562" s="6"/>
      <c r="G562" s="6"/>
      <c r="H562" s="6"/>
      <c r="I562" s="6"/>
      <c r="J562" s="6"/>
      <c r="K562" s="6"/>
      <c r="L562" s="8"/>
      <c r="M562" s="8"/>
      <c r="N562" s="6"/>
      <c r="O562" s="6"/>
      <c r="P562" s="6"/>
      <c r="Q562" s="6"/>
      <c r="R562" s="6"/>
      <c r="S562" s="6"/>
      <c r="T562" s="6"/>
      <c r="X562" s="12"/>
      <c r="Y562" s="12"/>
    </row>
    <row r="563" ht="14.25" customHeight="1">
      <c r="A563" s="6"/>
      <c r="B563" s="6"/>
      <c r="D563" s="6"/>
      <c r="E563" s="6"/>
      <c r="F563" s="6"/>
      <c r="G563" s="6"/>
      <c r="H563" s="6"/>
      <c r="I563" s="6"/>
      <c r="J563" s="6"/>
      <c r="K563" s="6"/>
      <c r="L563" s="8"/>
      <c r="M563" s="8"/>
      <c r="N563" s="6"/>
      <c r="O563" s="6"/>
      <c r="P563" s="6"/>
      <c r="Q563" s="6"/>
      <c r="R563" s="6"/>
      <c r="S563" s="6"/>
      <c r="T563" s="6"/>
      <c r="X563" s="12"/>
      <c r="Y563" s="12"/>
    </row>
    <row r="564" ht="14.25" customHeight="1">
      <c r="A564" s="6"/>
      <c r="B564" s="6"/>
      <c r="D564" s="6"/>
      <c r="E564" s="6"/>
      <c r="F564" s="6"/>
      <c r="G564" s="6"/>
      <c r="H564" s="6"/>
      <c r="I564" s="6"/>
      <c r="J564" s="6"/>
      <c r="K564" s="6"/>
      <c r="L564" s="8"/>
      <c r="M564" s="8"/>
      <c r="N564" s="6"/>
      <c r="O564" s="6"/>
      <c r="P564" s="6"/>
      <c r="Q564" s="6"/>
      <c r="R564" s="6"/>
      <c r="S564" s="6"/>
      <c r="T564" s="6"/>
      <c r="X564" s="12"/>
      <c r="Y564" s="12"/>
    </row>
    <row r="565" ht="14.25" customHeight="1">
      <c r="A565" s="6"/>
      <c r="B565" s="6"/>
      <c r="D565" s="6"/>
      <c r="E565" s="6"/>
      <c r="F565" s="6"/>
      <c r="G565" s="6"/>
      <c r="H565" s="6"/>
      <c r="I565" s="6"/>
      <c r="J565" s="6"/>
      <c r="K565" s="6"/>
      <c r="L565" s="8"/>
      <c r="M565" s="8"/>
      <c r="N565" s="6"/>
      <c r="O565" s="6"/>
      <c r="P565" s="6"/>
      <c r="Q565" s="6"/>
      <c r="R565" s="6"/>
      <c r="S565" s="6"/>
      <c r="T565" s="6"/>
      <c r="X565" s="12"/>
      <c r="Y565" s="12"/>
    </row>
    <row r="566" ht="14.25" customHeight="1">
      <c r="A566" s="6"/>
      <c r="B566" s="6"/>
      <c r="D566" s="6"/>
      <c r="E566" s="6"/>
      <c r="F566" s="6"/>
      <c r="G566" s="6"/>
      <c r="H566" s="6"/>
      <c r="I566" s="6"/>
      <c r="J566" s="6"/>
      <c r="K566" s="6"/>
      <c r="L566" s="8"/>
      <c r="M566" s="8"/>
      <c r="N566" s="6"/>
      <c r="O566" s="6"/>
      <c r="P566" s="6"/>
      <c r="Q566" s="6"/>
      <c r="R566" s="6"/>
      <c r="S566" s="6"/>
      <c r="T566" s="6"/>
      <c r="X566" s="12"/>
      <c r="Y566" s="12"/>
    </row>
    <row r="567" ht="14.25" customHeight="1">
      <c r="A567" s="6"/>
      <c r="B567" s="6"/>
      <c r="D567" s="6"/>
      <c r="E567" s="6"/>
      <c r="F567" s="6"/>
      <c r="G567" s="6"/>
      <c r="H567" s="6"/>
      <c r="I567" s="6"/>
      <c r="J567" s="6"/>
      <c r="K567" s="6"/>
      <c r="L567" s="8"/>
      <c r="M567" s="8"/>
      <c r="N567" s="6"/>
      <c r="O567" s="6"/>
      <c r="P567" s="6"/>
      <c r="Q567" s="6"/>
      <c r="R567" s="6"/>
      <c r="S567" s="6"/>
      <c r="T567" s="6"/>
      <c r="X567" s="12"/>
      <c r="Y567" s="12"/>
    </row>
    <row r="568" ht="14.25" customHeight="1">
      <c r="A568" s="6"/>
      <c r="B568" s="6"/>
      <c r="D568" s="6"/>
      <c r="E568" s="6"/>
      <c r="F568" s="6"/>
      <c r="G568" s="6"/>
      <c r="H568" s="6"/>
      <c r="I568" s="6"/>
      <c r="J568" s="6"/>
      <c r="K568" s="6"/>
      <c r="L568" s="8"/>
      <c r="M568" s="8"/>
      <c r="N568" s="6"/>
      <c r="O568" s="6"/>
      <c r="P568" s="6"/>
      <c r="Q568" s="6"/>
      <c r="R568" s="6"/>
      <c r="S568" s="6"/>
      <c r="T568" s="6"/>
      <c r="X568" s="12"/>
      <c r="Y568" s="12"/>
    </row>
    <row r="569" ht="14.25" customHeight="1">
      <c r="A569" s="6"/>
      <c r="B569" s="6"/>
      <c r="D569" s="6"/>
      <c r="E569" s="6"/>
      <c r="F569" s="6"/>
      <c r="G569" s="6"/>
      <c r="H569" s="6"/>
      <c r="I569" s="6"/>
      <c r="J569" s="6"/>
      <c r="K569" s="6"/>
      <c r="L569" s="8"/>
      <c r="M569" s="8"/>
      <c r="N569" s="6"/>
      <c r="O569" s="6"/>
      <c r="P569" s="6"/>
      <c r="Q569" s="6"/>
      <c r="R569" s="6"/>
      <c r="S569" s="6"/>
      <c r="T569" s="6"/>
      <c r="X569" s="12"/>
      <c r="Y569" s="12"/>
    </row>
    <row r="570" ht="14.25" customHeight="1">
      <c r="A570" s="6"/>
      <c r="B570" s="6"/>
      <c r="D570" s="6"/>
      <c r="E570" s="6"/>
      <c r="F570" s="6"/>
      <c r="G570" s="6"/>
      <c r="H570" s="6"/>
      <c r="I570" s="6"/>
      <c r="J570" s="6"/>
      <c r="K570" s="6"/>
      <c r="L570" s="8"/>
      <c r="M570" s="8"/>
      <c r="N570" s="6"/>
      <c r="O570" s="6"/>
      <c r="P570" s="6"/>
      <c r="Q570" s="6"/>
      <c r="R570" s="6"/>
      <c r="S570" s="6"/>
      <c r="T570" s="6"/>
      <c r="X570" s="12"/>
      <c r="Y570" s="12"/>
    </row>
    <row r="571" ht="14.25" customHeight="1">
      <c r="A571" s="6"/>
      <c r="B571" s="6"/>
      <c r="D571" s="6"/>
      <c r="E571" s="6"/>
      <c r="F571" s="6"/>
      <c r="G571" s="6"/>
      <c r="H571" s="6"/>
      <c r="I571" s="6"/>
      <c r="J571" s="6"/>
      <c r="K571" s="6"/>
      <c r="L571" s="8"/>
      <c r="M571" s="8"/>
      <c r="N571" s="6"/>
      <c r="O571" s="6"/>
      <c r="P571" s="6"/>
      <c r="Q571" s="6"/>
      <c r="R571" s="6"/>
      <c r="S571" s="6"/>
      <c r="T571" s="6"/>
      <c r="X571" s="12"/>
      <c r="Y571" s="12"/>
    </row>
    <row r="572" ht="14.25" customHeight="1">
      <c r="A572" s="6"/>
      <c r="B572" s="6"/>
      <c r="D572" s="6"/>
      <c r="E572" s="6"/>
      <c r="F572" s="6"/>
      <c r="G572" s="6"/>
      <c r="H572" s="6"/>
      <c r="I572" s="6"/>
      <c r="J572" s="6"/>
      <c r="K572" s="6"/>
      <c r="L572" s="8"/>
      <c r="M572" s="8"/>
      <c r="N572" s="6"/>
      <c r="O572" s="6"/>
      <c r="P572" s="6"/>
      <c r="Q572" s="6"/>
      <c r="R572" s="6"/>
      <c r="S572" s="6"/>
      <c r="T572" s="6"/>
      <c r="X572" s="12"/>
      <c r="Y572" s="12"/>
    </row>
    <row r="573" ht="14.25" customHeight="1">
      <c r="A573" s="6"/>
      <c r="B573" s="6"/>
      <c r="D573" s="6"/>
      <c r="E573" s="6"/>
      <c r="F573" s="6"/>
      <c r="G573" s="6"/>
      <c r="H573" s="6"/>
      <c r="I573" s="6"/>
      <c r="J573" s="6"/>
      <c r="K573" s="6"/>
      <c r="L573" s="8"/>
      <c r="M573" s="8"/>
      <c r="N573" s="6"/>
      <c r="O573" s="6"/>
      <c r="P573" s="6"/>
      <c r="Q573" s="6"/>
      <c r="R573" s="6"/>
      <c r="S573" s="6"/>
      <c r="T573" s="6"/>
      <c r="X573" s="12"/>
      <c r="Y573" s="12"/>
    </row>
    <row r="574" ht="14.25" customHeight="1">
      <c r="A574" s="6"/>
      <c r="B574" s="6"/>
      <c r="D574" s="6"/>
      <c r="E574" s="6"/>
      <c r="F574" s="6"/>
      <c r="G574" s="6"/>
      <c r="H574" s="6"/>
      <c r="I574" s="6"/>
      <c r="J574" s="6"/>
      <c r="K574" s="6"/>
      <c r="L574" s="8"/>
      <c r="M574" s="8"/>
      <c r="N574" s="6"/>
      <c r="O574" s="6"/>
      <c r="P574" s="6"/>
      <c r="Q574" s="6"/>
      <c r="R574" s="6"/>
      <c r="S574" s="6"/>
      <c r="T574" s="6"/>
      <c r="X574" s="12"/>
      <c r="Y574" s="12"/>
    </row>
    <row r="575" ht="14.25" customHeight="1">
      <c r="A575" s="6"/>
      <c r="B575" s="6"/>
      <c r="D575" s="6"/>
      <c r="E575" s="6"/>
      <c r="F575" s="6"/>
      <c r="G575" s="6"/>
      <c r="H575" s="6"/>
      <c r="I575" s="6"/>
      <c r="J575" s="6"/>
      <c r="K575" s="6"/>
      <c r="L575" s="8"/>
      <c r="M575" s="8"/>
      <c r="N575" s="6"/>
      <c r="O575" s="6"/>
      <c r="P575" s="6"/>
      <c r="Q575" s="6"/>
      <c r="R575" s="6"/>
      <c r="S575" s="6"/>
      <c r="T575" s="6"/>
      <c r="X575" s="12"/>
      <c r="Y575" s="12"/>
    </row>
    <row r="576" ht="14.25" customHeight="1">
      <c r="A576" s="6"/>
      <c r="B576" s="6"/>
      <c r="D576" s="6"/>
      <c r="E576" s="6"/>
      <c r="F576" s="6"/>
      <c r="G576" s="6"/>
      <c r="H576" s="6"/>
      <c r="I576" s="6"/>
      <c r="J576" s="6"/>
      <c r="K576" s="6"/>
      <c r="L576" s="8"/>
      <c r="M576" s="8"/>
      <c r="N576" s="6"/>
      <c r="O576" s="6"/>
      <c r="P576" s="6"/>
      <c r="Q576" s="6"/>
      <c r="R576" s="6"/>
      <c r="S576" s="6"/>
      <c r="T576" s="6"/>
      <c r="X576" s="12"/>
      <c r="Y576" s="12"/>
    </row>
    <row r="577" ht="14.25" customHeight="1">
      <c r="A577" s="6"/>
      <c r="B577" s="6"/>
      <c r="D577" s="6"/>
      <c r="E577" s="6"/>
      <c r="F577" s="6"/>
      <c r="G577" s="6"/>
      <c r="H577" s="6"/>
      <c r="I577" s="6"/>
      <c r="J577" s="6"/>
      <c r="K577" s="6"/>
      <c r="L577" s="8"/>
      <c r="M577" s="8"/>
      <c r="N577" s="6"/>
      <c r="O577" s="6"/>
      <c r="P577" s="6"/>
      <c r="Q577" s="6"/>
      <c r="R577" s="6"/>
      <c r="S577" s="6"/>
      <c r="T577" s="6"/>
      <c r="X577" s="12"/>
      <c r="Y577" s="12"/>
    </row>
    <row r="578" ht="14.25" customHeight="1">
      <c r="A578" s="6"/>
      <c r="B578" s="6"/>
      <c r="D578" s="6"/>
      <c r="E578" s="6"/>
      <c r="F578" s="6"/>
      <c r="G578" s="6"/>
      <c r="H578" s="6"/>
      <c r="I578" s="6"/>
      <c r="J578" s="6"/>
      <c r="K578" s="6"/>
      <c r="L578" s="8"/>
      <c r="M578" s="8"/>
      <c r="N578" s="6"/>
      <c r="O578" s="6"/>
      <c r="P578" s="6"/>
      <c r="Q578" s="6"/>
      <c r="R578" s="6"/>
      <c r="S578" s="6"/>
      <c r="T578" s="6"/>
      <c r="X578" s="12"/>
      <c r="Y578" s="12"/>
    </row>
    <row r="579" ht="14.25" customHeight="1">
      <c r="A579" s="6"/>
      <c r="B579" s="6"/>
      <c r="D579" s="6"/>
      <c r="E579" s="6"/>
      <c r="F579" s="6"/>
      <c r="G579" s="6"/>
      <c r="H579" s="6"/>
      <c r="I579" s="6"/>
      <c r="J579" s="6"/>
      <c r="K579" s="6"/>
      <c r="L579" s="8"/>
      <c r="M579" s="8"/>
      <c r="N579" s="6"/>
      <c r="O579" s="6"/>
      <c r="P579" s="6"/>
      <c r="Q579" s="6"/>
      <c r="R579" s="6"/>
      <c r="S579" s="6"/>
      <c r="T579" s="6"/>
      <c r="X579" s="12"/>
      <c r="Y579" s="12"/>
    </row>
    <row r="580" ht="14.25" customHeight="1">
      <c r="A580" s="6"/>
      <c r="B580" s="6"/>
      <c r="D580" s="6"/>
      <c r="E580" s="6"/>
      <c r="F580" s="6"/>
      <c r="G580" s="6"/>
      <c r="H580" s="6"/>
      <c r="I580" s="6"/>
      <c r="J580" s="6"/>
      <c r="K580" s="6"/>
      <c r="L580" s="8"/>
      <c r="M580" s="8"/>
      <c r="N580" s="6"/>
      <c r="O580" s="6"/>
      <c r="P580" s="6"/>
      <c r="Q580" s="6"/>
      <c r="R580" s="6"/>
      <c r="S580" s="6"/>
      <c r="T580" s="6"/>
      <c r="X580" s="12"/>
      <c r="Y580" s="12"/>
    </row>
    <row r="581" ht="14.25" customHeight="1">
      <c r="A581" s="6"/>
      <c r="B581" s="6"/>
      <c r="D581" s="6"/>
      <c r="E581" s="6"/>
      <c r="F581" s="6"/>
      <c r="G581" s="6"/>
      <c r="H581" s="6"/>
      <c r="I581" s="6"/>
      <c r="J581" s="6"/>
      <c r="K581" s="6"/>
      <c r="L581" s="8"/>
      <c r="M581" s="8"/>
      <c r="N581" s="6"/>
      <c r="O581" s="6"/>
      <c r="P581" s="6"/>
      <c r="Q581" s="6"/>
      <c r="R581" s="6"/>
      <c r="S581" s="6"/>
      <c r="T581" s="6"/>
      <c r="X581" s="12"/>
      <c r="Y581" s="12"/>
    </row>
    <row r="582" ht="14.25" customHeight="1">
      <c r="A582" s="6"/>
      <c r="B582" s="6"/>
      <c r="D582" s="6"/>
      <c r="E582" s="6"/>
      <c r="F582" s="6"/>
      <c r="G582" s="6"/>
      <c r="H582" s="6"/>
      <c r="I582" s="6"/>
      <c r="J582" s="6"/>
      <c r="K582" s="6"/>
      <c r="L582" s="8"/>
      <c r="M582" s="8"/>
      <c r="N582" s="6"/>
      <c r="O582" s="6"/>
      <c r="P582" s="6"/>
      <c r="Q582" s="6"/>
      <c r="R582" s="6"/>
      <c r="S582" s="6"/>
      <c r="T582" s="6"/>
      <c r="X582" s="12"/>
      <c r="Y582" s="12"/>
    </row>
    <row r="583" ht="14.25" customHeight="1">
      <c r="A583" s="6"/>
      <c r="B583" s="6"/>
      <c r="D583" s="6"/>
      <c r="E583" s="6"/>
      <c r="F583" s="6"/>
      <c r="G583" s="6"/>
      <c r="H583" s="6"/>
      <c r="I583" s="6"/>
      <c r="J583" s="6"/>
      <c r="K583" s="6"/>
      <c r="L583" s="8"/>
      <c r="M583" s="8"/>
      <c r="N583" s="6"/>
      <c r="O583" s="6"/>
      <c r="P583" s="6"/>
      <c r="Q583" s="6"/>
      <c r="R583" s="6"/>
      <c r="S583" s="6"/>
      <c r="T583" s="6"/>
      <c r="X583" s="12"/>
      <c r="Y583" s="12"/>
    </row>
    <row r="584" ht="14.25" customHeight="1">
      <c r="A584" s="6"/>
      <c r="B584" s="6"/>
      <c r="D584" s="6"/>
      <c r="E584" s="6"/>
      <c r="F584" s="6"/>
      <c r="G584" s="6"/>
      <c r="H584" s="6"/>
      <c r="I584" s="6"/>
      <c r="J584" s="6"/>
      <c r="K584" s="6"/>
      <c r="L584" s="8"/>
      <c r="M584" s="8"/>
      <c r="N584" s="6"/>
      <c r="O584" s="6"/>
      <c r="P584" s="6"/>
      <c r="Q584" s="6"/>
      <c r="R584" s="6"/>
      <c r="S584" s="6"/>
      <c r="T584" s="6"/>
      <c r="X584" s="12"/>
      <c r="Y584" s="12"/>
    </row>
    <row r="585" ht="14.25" customHeight="1">
      <c r="A585" s="6"/>
      <c r="B585" s="6"/>
      <c r="D585" s="6"/>
      <c r="E585" s="6"/>
      <c r="F585" s="6"/>
      <c r="G585" s="6"/>
      <c r="H585" s="6"/>
      <c r="I585" s="6"/>
      <c r="J585" s="6"/>
      <c r="K585" s="6"/>
      <c r="L585" s="8"/>
      <c r="M585" s="8"/>
      <c r="N585" s="6"/>
      <c r="O585" s="6"/>
      <c r="P585" s="6"/>
      <c r="Q585" s="6"/>
      <c r="R585" s="6"/>
      <c r="S585" s="6"/>
      <c r="T585" s="6"/>
      <c r="X585" s="12"/>
      <c r="Y585" s="12"/>
    </row>
    <row r="586" ht="14.25" customHeight="1">
      <c r="A586" s="6"/>
      <c r="B586" s="6"/>
      <c r="D586" s="6"/>
      <c r="E586" s="6"/>
      <c r="F586" s="6"/>
      <c r="G586" s="6"/>
      <c r="H586" s="6"/>
      <c r="I586" s="6"/>
      <c r="J586" s="6"/>
      <c r="K586" s="6"/>
      <c r="L586" s="8"/>
      <c r="M586" s="8"/>
      <c r="N586" s="6"/>
      <c r="O586" s="6"/>
      <c r="P586" s="6"/>
      <c r="Q586" s="6"/>
      <c r="R586" s="6"/>
      <c r="S586" s="6"/>
      <c r="T586" s="6"/>
      <c r="X586" s="12"/>
      <c r="Y586" s="12"/>
    </row>
    <row r="587" ht="14.25" customHeight="1">
      <c r="A587" s="6"/>
      <c r="B587" s="6"/>
      <c r="D587" s="6"/>
      <c r="E587" s="6"/>
      <c r="F587" s="6"/>
      <c r="G587" s="6"/>
      <c r="H587" s="6"/>
      <c r="I587" s="6"/>
      <c r="J587" s="6"/>
      <c r="K587" s="6"/>
      <c r="L587" s="8"/>
      <c r="M587" s="8"/>
      <c r="N587" s="6"/>
      <c r="O587" s="6"/>
      <c r="P587" s="6"/>
      <c r="Q587" s="6"/>
      <c r="R587" s="6"/>
      <c r="S587" s="6"/>
      <c r="T587" s="6"/>
      <c r="X587" s="12"/>
      <c r="Y587" s="12"/>
    </row>
    <row r="588" ht="14.25" customHeight="1">
      <c r="A588" s="6"/>
      <c r="B588" s="6"/>
      <c r="D588" s="6"/>
      <c r="E588" s="6"/>
      <c r="F588" s="6"/>
      <c r="G588" s="6"/>
      <c r="H588" s="6"/>
      <c r="I588" s="6"/>
      <c r="J588" s="6"/>
      <c r="K588" s="6"/>
      <c r="L588" s="8"/>
      <c r="M588" s="8"/>
      <c r="N588" s="6"/>
      <c r="O588" s="6"/>
      <c r="P588" s="6"/>
      <c r="Q588" s="6"/>
      <c r="R588" s="6"/>
      <c r="S588" s="6"/>
      <c r="T588" s="6"/>
      <c r="X588" s="12"/>
      <c r="Y588" s="12"/>
    </row>
    <row r="589" ht="14.25" customHeight="1">
      <c r="A589" s="6"/>
      <c r="B589" s="6"/>
      <c r="D589" s="6"/>
      <c r="E589" s="6"/>
      <c r="F589" s="6"/>
      <c r="G589" s="6"/>
      <c r="H589" s="6"/>
      <c r="I589" s="6"/>
      <c r="J589" s="6"/>
      <c r="K589" s="6"/>
      <c r="L589" s="8"/>
      <c r="M589" s="8"/>
      <c r="N589" s="6"/>
      <c r="O589" s="6"/>
      <c r="P589" s="6"/>
      <c r="Q589" s="6"/>
      <c r="R589" s="6"/>
      <c r="S589" s="6"/>
      <c r="T589" s="6"/>
      <c r="X589" s="12"/>
      <c r="Y589" s="12"/>
    </row>
    <row r="590" ht="14.25" customHeight="1">
      <c r="A590" s="6"/>
      <c r="B590" s="6"/>
      <c r="D590" s="6"/>
      <c r="E590" s="6"/>
      <c r="F590" s="6"/>
      <c r="G590" s="6"/>
      <c r="H590" s="6"/>
      <c r="I590" s="6"/>
      <c r="J590" s="6"/>
      <c r="K590" s="6"/>
      <c r="L590" s="8"/>
      <c r="M590" s="8"/>
      <c r="N590" s="6"/>
      <c r="O590" s="6"/>
      <c r="P590" s="6"/>
      <c r="Q590" s="6"/>
      <c r="R590" s="6"/>
      <c r="S590" s="6"/>
      <c r="T590" s="6"/>
      <c r="X590" s="12"/>
      <c r="Y590" s="12"/>
    </row>
    <row r="591" ht="14.25" customHeight="1">
      <c r="A591" s="6"/>
      <c r="B591" s="6"/>
      <c r="D591" s="6"/>
      <c r="E591" s="6"/>
      <c r="F591" s="6"/>
      <c r="G591" s="6"/>
      <c r="H591" s="6"/>
      <c r="I591" s="6"/>
      <c r="J591" s="6"/>
      <c r="K591" s="6"/>
      <c r="L591" s="8"/>
      <c r="M591" s="8"/>
      <c r="N591" s="6"/>
      <c r="O591" s="6"/>
      <c r="P591" s="6"/>
      <c r="Q591" s="6"/>
      <c r="R591" s="6"/>
      <c r="S591" s="6"/>
      <c r="T591" s="6"/>
      <c r="X591" s="12"/>
      <c r="Y591" s="12"/>
    </row>
    <row r="592" ht="14.25" customHeight="1">
      <c r="A592" s="6"/>
      <c r="B592" s="6"/>
      <c r="D592" s="6"/>
      <c r="E592" s="6"/>
      <c r="F592" s="6"/>
      <c r="G592" s="6"/>
      <c r="H592" s="6"/>
      <c r="I592" s="6"/>
      <c r="J592" s="6"/>
      <c r="K592" s="6"/>
      <c r="L592" s="8"/>
      <c r="M592" s="8"/>
      <c r="N592" s="6"/>
      <c r="O592" s="6"/>
      <c r="P592" s="6"/>
      <c r="Q592" s="6"/>
      <c r="R592" s="6"/>
      <c r="S592" s="6"/>
      <c r="T592" s="6"/>
      <c r="X592" s="12"/>
      <c r="Y592" s="12"/>
    </row>
    <row r="593" ht="14.25" customHeight="1">
      <c r="A593" s="6"/>
      <c r="B593" s="6"/>
      <c r="D593" s="6"/>
      <c r="E593" s="6"/>
      <c r="F593" s="6"/>
      <c r="G593" s="6"/>
      <c r="H593" s="6"/>
      <c r="I593" s="6"/>
      <c r="J593" s="6"/>
      <c r="K593" s="6"/>
      <c r="L593" s="8"/>
      <c r="M593" s="8"/>
      <c r="N593" s="6"/>
      <c r="O593" s="6"/>
      <c r="P593" s="6"/>
      <c r="Q593" s="6"/>
      <c r="R593" s="6"/>
      <c r="S593" s="6"/>
      <c r="T593" s="6"/>
      <c r="X593" s="12"/>
      <c r="Y593" s="12"/>
    </row>
    <row r="594" ht="14.25" customHeight="1">
      <c r="A594" s="6"/>
      <c r="B594" s="6"/>
      <c r="D594" s="6"/>
      <c r="E594" s="6"/>
      <c r="F594" s="6"/>
      <c r="G594" s="6"/>
      <c r="H594" s="6"/>
      <c r="I594" s="6"/>
      <c r="J594" s="6"/>
      <c r="K594" s="6"/>
      <c r="L594" s="8"/>
      <c r="M594" s="8"/>
      <c r="N594" s="6"/>
      <c r="O594" s="6"/>
      <c r="P594" s="6"/>
      <c r="Q594" s="6"/>
      <c r="R594" s="6"/>
      <c r="S594" s="6"/>
      <c r="T594" s="6"/>
      <c r="X594" s="12"/>
      <c r="Y594" s="12"/>
    </row>
    <row r="595" ht="14.25" customHeight="1">
      <c r="A595" s="6"/>
      <c r="B595" s="6"/>
      <c r="D595" s="6"/>
      <c r="E595" s="6"/>
      <c r="F595" s="6"/>
      <c r="G595" s="6"/>
      <c r="H595" s="6"/>
      <c r="I595" s="6"/>
      <c r="J595" s="6"/>
      <c r="K595" s="6"/>
      <c r="L595" s="8"/>
      <c r="M595" s="8"/>
      <c r="N595" s="6"/>
      <c r="O595" s="6"/>
      <c r="P595" s="6"/>
      <c r="Q595" s="6"/>
      <c r="R595" s="6"/>
      <c r="S595" s="6"/>
      <c r="T595" s="6"/>
      <c r="X595" s="12"/>
      <c r="Y595" s="12"/>
    </row>
    <row r="596" ht="14.25" customHeight="1">
      <c r="A596" s="6"/>
      <c r="B596" s="6"/>
      <c r="D596" s="6"/>
      <c r="E596" s="6"/>
      <c r="F596" s="6"/>
      <c r="G596" s="6"/>
      <c r="H596" s="6"/>
      <c r="I596" s="6"/>
      <c r="J596" s="6"/>
      <c r="K596" s="6"/>
      <c r="L596" s="8"/>
      <c r="M596" s="8"/>
      <c r="N596" s="6"/>
      <c r="O596" s="6"/>
      <c r="P596" s="6"/>
      <c r="Q596" s="6"/>
      <c r="R596" s="6"/>
      <c r="S596" s="6"/>
      <c r="T596" s="6"/>
      <c r="X596" s="12"/>
      <c r="Y596" s="12"/>
    </row>
    <row r="597" ht="14.25" customHeight="1">
      <c r="A597" s="6"/>
      <c r="B597" s="6"/>
      <c r="D597" s="6"/>
      <c r="E597" s="6"/>
      <c r="F597" s="6"/>
      <c r="G597" s="6"/>
      <c r="H597" s="6"/>
      <c r="I597" s="6"/>
      <c r="J597" s="6"/>
      <c r="K597" s="6"/>
      <c r="L597" s="8"/>
      <c r="M597" s="8"/>
      <c r="N597" s="6"/>
      <c r="O597" s="6"/>
      <c r="P597" s="6"/>
      <c r="Q597" s="6"/>
      <c r="R597" s="6"/>
      <c r="S597" s="6"/>
      <c r="T597" s="6"/>
      <c r="X597" s="12"/>
      <c r="Y597" s="12"/>
    </row>
    <row r="598" ht="14.25" customHeight="1">
      <c r="A598" s="6"/>
      <c r="B598" s="6"/>
      <c r="D598" s="6"/>
      <c r="E598" s="6"/>
      <c r="F598" s="6"/>
      <c r="G598" s="6"/>
      <c r="H598" s="6"/>
      <c r="I598" s="6"/>
      <c r="J598" s="6"/>
      <c r="K598" s="6"/>
      <c r="L598" s="8"/>
      <c r="M598" s="8"/>
      <c r="N598" s="6"/>
      <c r="O598" s="6"/>
      <c r="P598" s="6"/>
      <c r="Q598" s="6"/>
      <c r="R598" s="6"/>
      <c r="S598" s="6"/>
      <c r="T598" s="6"/>
      <c r="X598" s="12"/>
      <c r="Y598" s="12"/>
    </row>
    <row r="599" ht="14.25" customHeight="1">
      <c r="A599" s="6"/>
      <c r="B599" s="6"/>
      <c r="D599" s="6"/>
      <c r="E599" s="6"/>
      <c r="F599" s="6"/>
      <c r="G599" s="6"/>
      <c r="H599" s="6"/>
      <c r="I599" s="6"/>
      <c r="J599" s="6"/>
      <c r="K599" s="6"/>
      <c r="L599" s="8"/>
      <c r="M599" s="8"/>
      <c r="N599" s="6"/>
      <c r="O599" s="6"/>
      <c r="P599" s="6"/>
      <c r="Q599" s="6"/>
      <c r="R599" s="6"/>
      <c r="S599" s="6"/>
      <c r="T599" s="6"/>
      <c r="X599" s="12"/>
      <c r="Y599" s="12"/>
    </row>
    <row r="600" ht="14.25" customHeight="1">
      <c r="A600" s="6"/>
      <c r="B600" s="6"/>
      <c r="D600" s="6"/>
      <c r="E600" s="6"/>
      <c r="F600" s="6"/>
      <c r="G600" s="6"/>
      <c r="H600" s="6"/>
      <c r="I600" s="6"/>
      <c r="J600" s="6"/>
      <c r="K600" s="6"/>
      <c r="L600" s="8"/>
      <c r="M600" s="8"/>
      <c r="N600" s="6"/>
      <c r="O600" s="6"/>
      <c r="P600" s="6"/>
      <c r="Q600" s="6"/>
      <c r="R600" s="6"/>
      <c r="S600" s="6"/>
      <c r="T600" s="6"/>
      <c r="X600" s="12"/>
      <c r="Y600" s="12"/>
    </row>
    <row r="601" ht="14.25" customHeight="1">
      <c r="A601" s="6"/>
      <c r="B601" s="6"/>
      <c r="D601" s="6"/>
      <c r="E601" s="6"/>
      <c r="F601" s="6"/>
      <c r="G601" s="6"/>
      <c r="H601" s="6"/>
      <c r="I601" s="6"/>
      <c r="J601" s="6"/>
      <c r="K601" s="6"/>
      <c r="L601" s="8"/>
      <c r="M601" s="8"/>
      <c r="N601" s="6"/>
      <c r="O601" s="6"/>
      <c r="P601" s="6"/>
      <c r="Q601" s="6"/>
      <c r="R601" s="6"/>
      <c r="S601" s="6"/>
      <c r="T601" s="6"/>
      <c r="X601" s="12"/>
      <c r="Y601" s="12"/>
    </row>
    <row r="602" ht="14.25" customHeight="1">
      <c r="A602" s="6"/>
      <c r="B602" s="6"/>
      <c r="D602" s="6"/>
      <c r="E602" s="6"/>
      <c r="F602" s="6"/>
      <c r="G602" s="6"/>
      <c r="H602" s="6"/>
      <c r="I602" s="6"/>
      <c r="J602" s="6"/>
      <c r="K602" s="6"/>
      <c r="L602" s="8"/>
      <c r="M602" s="8"/>
      <c r="N602" s="6"/>
      <c r="O602" s="6"/>
      <c r="P602" s="6"/>
      <c r="Q602" s="6"/>
      <c r="R602" s="6"/>
      <c r="S602" s="6"/>
      <c r="T602" s="6"/>
      <c r="X602" s="12"/>
      <c r="Y602" s="12"/>
    </row>
    <row r="603" ht="14.25" customHeight="1">
      <c r="A603" s="6"/>
      <c r="B603" s="6"/>
      <c r="D603" s="6"/>
      <c r="E603" s="6"/>
      <c r="F603" s="6"/>
      <c r="G603" s="6"/>
      <c r="H603" s="6"/>
      <c r="I603" s="6"/>
      <c r="J603" s="6"/>
      <c r="K603" s="6"/>
      <c r="L603" s="8"/>
      <c r="M603" s="8"/>
      <c r="N603" s="6"/>
      <c r="O603" s="6"/>
      <c r="P603" s="6"/>
      <c r="Q603" s="6"/>
      <c r="R603" s="6"/>
      <c r="S603" s="6"/>
      <c r="T603" s="6"/>
      <c r="X603" s="12"/>
      <c r="Y603" s="12"/>
    </row>
    <row r="604" ht="14.25" customHeight="1">
      <c r="A604" s="6"/>
      <c r="B604" s="6"/>
      <c r="D604" s="6"/>
      <c r="E604" s="6"/>
      <c r="F604" s="6"/>
      <c r="G604" s="6"/>
      <c r="H604" s="6"/>
      <c r="I604" s="6"/>
      <c r="J604" s="6"/>
      <c r="K604" s="6"/>
      <c r="L604" s="8"/>
      <c r="M604" s="8"/>
      <c r="N604" s="6"/>
      <c r="O604" s="6"/>
      <c r="P604" s="6"/>
      <c r="Q604" s="6"/>
      <c r="R604" s="6"/>
      <c r="S604" s="6"/>
      <c r="T604" s="6"/>
      <c r="X604" s="12"/>
      <c r="Y604" s="12"/>
    </row>
    <row r="605" ht="14.25" customHeight="1">
      <c r="A605" s="6"/>
      <c r="B605" s="6"/>
      <c r="D605" s="6"/>
      <c r="E605" s="6"/>
      <c r="F605" s="6"/>
      <c r="G605" s="6"/>
      <c r="H605" s="6"/>
      <c r="I605" s="6"/>
      <c r="J605" s="6"/>
      <c r="K605" s="6"/>
      <c r="L605" s="8"/>
      <c r="M605" s="8"/>
      <c r="N605" s="6"/>
      <c r="O605" s="6"/>
      <c r="P605" s="6"/>
      <c r="Q605" s="6"/>
      <c r="R605" s="6"/>
      <c r="S605" s="6"/>
      <c r="T605" s="6"/>
      <c r="X605" s="12"/>
      <c r="Y605" s="12"/>
    </row>
    <row r="606" ht="14.25" customHeight="1">
      <c r="A606" s="6"/>
      <c r="B606" s="6"/>
      <c r="D606" s="6"/>
      <c r="E606" s="6"/>
      <c r="F606" s="6"/>
      <c r="G606" s="6"/>
      <c r="H606" s="6"/>
      <c r="I606" s="6"/>
      <c r="J606" s="6"/>
      <c r="K606" s="6"/>
      <c r="L606" s="8"/>
      <c r="M606" s="8"/>
      <c r="N606" s="6"/>
      <c r="O606" s="6"/>
      <c r="P606" s="6"/>
      <c r="Q606" s="6"/>
      <c r="R606" s="6"/>
      <c r="S606" s="6"/>
      <c r="T606" s="6"/>
      <c r="X606" s="12"/>
      <c r="Y606" s="12"/>
    </row>
    <row r="607" ht="14.25" customHeight="1">
      <c r="A607" s="6"/>
      <c r="B607" s="6"/>
      <c r="D607" s="6"/>
      <c r="E607" s="6"/>
      <c r="F607" s="6"/>
      <c r="G607" s="6"/>
      <c r="H607" s="6"/>
      <c r="I607" s="6"/>
      <c r="J607" s="6"/>
      <c r="K607" s="6"/>
      <c r="L607" s="8"/>
      <c r="M607" s="8"/>
      <c r="N607" s="6"/>
      <c r="O607" s="6"/>
      <c r="P607" s="6"/>
      <c r="Q607" s="6"/>
      <c r="R607" s="6"/>
      <c r="S607" s="6"/>
      <c r="T607" s="6"/>
      <c r="X607" s="12"/>
      <c r="Y607" s="12"/>
    </row>
    <row r="608" ht="14.25" customHeight="1">
      <c r="A608" s="6"/>
      <c r="B608" s="6"/>
      <c r="D608" s="6"/>
      <c r="E608" s="6"/>
      <c r="F608" s="6"/>
      <c r="G608" s="6"/>
      <c r="H608" s="6"/>
      <c r="I608" s="6"/>
      <c r="J608" s="6"/>
      <c r="K608" s="6"/>
      <c r="L608" s="8"/>
      <c r="M608" s="8"/>
      <c r="N608" s="6"/>
      <c r="O608" s="6"/>
      <c r="P608" s="6"/>
      <c r="Q608" s="6"/>
      <c r="R608" s="6"/>
      <c r="S608" s="6"/>
      <c r="T608" s="6"/>
      <c r="X608" s="12"/>
      <c r="Y608" s="12"/>
    </row>
    <row r="609" ht="14.25" customHeight="1">
      <c r="A609" s="6"/>
      <c r="B609" s="6"/>
      <c r="D609" s="6"/>
      <c r="E609" s="6"/>
      <c r="F609" s="6"/>
      <c r="G609" s="6"/>
      <c r="H609" s="6"/>
      <c r="I609" s="6"/>
      <c r="J609" s="6"/>
      <c r="K609" s="6"/>
      <c r="L609" s="8"/>
      <c r="M609" s="8"/>
      <c r="N609" s="6"/>
      <c r="O609" s="6"/>
      <c r="P609" s="6"/>
      <c r="Q609" s="6"/>
      <c r="R609" s="6"/>
      <c r="S609" s="6"/>
      <c r="T609" s="6"/>
      <c r="X609" s="12"/>
      <c r="Y609" s="12"/>
    </row>
    <row r="610" ht="14.25" customHeight="1">
      <c r="A610" s="6"/>
      <c r="B610" s="6"/>
      <c r="D610" s="6"/>
      <c r="E610" s="6"/>
      <c r="F610" s="6"/>
      <c r="G610" s="6"/>
      <c r="H610" s="6"/>
      <c r="I610" s="6"/>
      <c r="J610" s="6"/>
      <c r="K610" s="6"/>
      <c r="L610" s="8"/>
      <c r="M610" s="8"/>
      <c r="N610" s="6"/>
      <c r="O610" s="6"/>
      <c r="P610" s="6"/>
      <c r="Q610" s="6"/>
      <c r="R610" s="6"/>
      <c r="S610" s="6"/>
      <c r="T610" s="6"/>
      <c r="X610" s="12"/>
      <c r="Y610" s="12"/>
    </row>
    <row r="611" ht="14.25" customHeight="1">
      <c r="A611" s="6"/>
      <c r="B611" s="6"/>
      <c r="D611" s="6"/>
      <c r="E611" s="6"/>
      <c r="F611" s="6"/>
      <c r="G611" s="6"/>
      <c r="H611" s="6"/>
      <c r="I611" s="6"/>
      <c r="J611" s="6"/>
      <c r="K611" s="6"/>
      <c r="L611" s="8"/>
      <c r="M611" s="8"/>
      <c r="N611" s="6"/>
      <c r="O611" s="6"/>
      <c r="P611" s="6"/>
      <c r="Q611" s="6"/>
      <c r="R611" s="6"/>
      <c r="S611" s="6"/>
      <c r="T611" s="6"/>
      <c r="X611" s="12"/>
      <c r="Y611" s="12"/>
    </row>
    <row r="612" ht="14.25" customHeight="1">
      <c r="A612" s="6"/>
      <c r="B612" s="6"/>
      <c r="D612" s="6"/>
      <c r="E612" s="6"/>
      <c r="F612" s="6"/>
      <c r="G612" s="6"/>
      <c r="H612" s="6"/>
      <c r="I612" s="6"/>
      <c r="J612" s="6"/>
      <c r="K612" s="6"/>
      <c r="L612" s="8"/>
      <c r="M612" s="8"/>
      <c r="N612" s="6"/>
      <c r="O612" s="6"/>
      <c r="P612" s="6"/>
      <c r="Q612" s="6"/>
      <c r="R612" s="6"/>
      <c r="S612" s="6"/>
      <c r="T612" s="6"/>
      <c r="X612" s="12"/>
      <c r="Y612" s="12"/>
    </row>
    <row r="613" ht="14.25" customHeight="1">
      <c r="A613" s="6"/>
      <c r="B613" s="6"/>
      <c r="D613" s="6"/>
      <c r="E613" s="6"/>
      <c r="F613" s="6"/>
      <c r="G613" s="6"/>
      <c r="H613" s="6"/>
      <c r="I613" s="6"/>
      <c r="J613" s="6"/>
      <c r="K613" s="6"/>
      <c r="L613" s="8"/>
      <c r="M613" s="8"/>
      <c r="N613" s="6"/>
      <c r="O613" s="6"/>
      <c r="P613" s="6"/>
      <c r="Q613" s="6"/>
      <c r="R613" s="6"/>
      <c r="S613" s="6"/>
      <c r="T613" s="6"/>
      <c r="X613" s="12"/>
      <c r="Y613" s="12"/>
    </row>
    <row r="614" ht="14.25" customHeight="1">
      <c r="A614" s="6"/>
      <c r="B614" s="6"/>
      <c r="D614" s="6"/>
      <c r="E614" s="6"/>
      <c r="F614" s="6"/>
      <c r="G614" s="6"/>
      <c r="H614" s="6"/>
      <c r="I614" s="6"/>
      <c r="J614" s="6"/>
      <c r="K614" s="6"/>
      <c r="L614" s="8"/>
      <c r="M614" s="8"/>
      <c r="N614" s="6"/>
      <c r="O614" s="6"/>
      <c r="P614" s="6"/>
      <c r="Q614" s="6"/>
      <c r="R614" s="6"/>
      <c r="S614" s="6"/>
      <c r="T614" s="6"/>
      <c r="X614" s="12"/>
      <c r="Y614" s="12"/>
    </row>
    <row r="615" ht="14.25" customHeight="1">
      <c r="A615" s="6"/>
      <c r="B615" s="6"/>
      <c r="D615" s="6"/>
      <c r="E615" s="6"/>
      <c r="F615" s="6"/>
      <c r="G615" s="6"/>
      <c r="H615" s="6"/>
      <c r="I615" s="6"/>
      <c r="J615" s="6"/>
      <c r="K615" s="6"/>
      <c r="L615" s="8"/>
      <c r="M615" s="8"/>
      <c r="N615" s="6"/>
      <c r="O615" s="6"/>
      <c r="P615" s="6"/>
      <c r="Q615" s="6"/>
      <c r="R615" s="6"/>
      <c r="S615" s="6"/>
      <c r="T615" s="6"/>
      <c r="X615" s="12"/>
      <c r="Y615" s="12"/>
    </row>
    <row r="616" ht="14.25" customHeight="1">
      <c r="A616" s="6"/>
      <c r="B616" s="6"/>
      <c r="D616" s="6"/>
      <c r="E616" s="6"/>
      <c r="F616" s="6"/>
      <c r="G616" s="6"/>
      <c r="H616" s="6"/>
      <c r="I616" s="6"/>
      <c r="J616" s="6"/>
      <c r="K616" s="6"/>
      <c r="L616" s="8"/>
      <c r="M616" s="8"/>
      <c r="N616" s="6"/>
      <c r="O616" s="6"/>
      <c r="P616" s="6"/>
      <c r="Q616" s="6"/>
      <c r="R616" s="6"/>
      <c r="S616" s="6"/>
      <c r="T616" s="6"/>
      <c r="X616" s="12"/>
      <c r="Y616" s="12"/>
    </row>
    <row r="617" ht="14.25" customHeight="1">
      <c r="A617" s="6"/>
      <c r="B617" s="6"/>
      <c r="D617" s="6"/>
      <c r="E617" s="6"/>
      <c r="F617" s="6"/>
      <c r="G617" s="6"/>
      <c r="H617" s="6"/>
      <c r="I617" s="6"/>
      <c r="J617" s="6"/>
      <c r="K617" s="6"/>
      <c r="L617" s="8"/>
      <c r="M617" s="8"/>
      <c r="N617" s="6"/>
      <c r="O617" s="6"/>
      <c r="P617" s="6"/>
      <c r="Q617" s="6"/>
      <c r="R617" s="6"/>
      <c r="S617" s="6"/>
      <c r="T617" s="6"/>
      <c r="X617" s="12"/>
      <c r="Y617" s="12"/>
    </row>
    <row r="618" ht="14.25" customHeight="1">
      <c r="A618" s="6"/>
      <c r="B618" s="6"/>
      <c r="D618" s="6"/>
      <c r="E618" s="6"/>
      <c r="F618" s="6"/>
      <c r="G618" s="6"/>
      <c r="H618" s="6"/>
      <c r="I618" s="6"/>
      <c r="J618" s="6"/>
      <c r="K618" s="6"/>
      <c r="L618" s="8"/>
      <c r="M618" s="8"/>
      <c r="N618" s="6"/>
      <c r="O618" s="6"/>
      <c r="P618" s="6"/>
      <c r="Q618" s="6"/>
      <c r="R618" s="6"/>
      <c r="S618" s="6"/>
      <c r="T618" s="6"/>
      <c r="X618" s="12"/>
      <c r="Y618" s="12"/>
    </row>
    <row r="619" ht="14.25" customHeight="1">
      <c r="A619" s="6"/>
      <c r="B619" s="6"/>
      <c r="D619" s="6"/>
      <c r="E619" s="6"/>
      <c r="F619" s="6"/>
      <c r="G619" s="6"/>
      <c r="H619" s="6"/>
      <c r="I619" s="6"/>
      <c r="J619" s="6"/>
      <c r="K619" s="6"/>
      <c r="L619" s="8"/>
      <c r="M619" s="8"/>
      <c r="N619" s="6"/>
      <c r="O619" s="6"/>
      <c r="P619" s="6"/>
      <c r="Q619" s="6"/>
      <c r="R619" s="6"/>
      <c r="S619" s="6"/>
      <c r="T619" s="6"/>
      <c r="X619" s="12"/>
      <c r="Y619" s="12"/>
    </row>
    <row r="620" ht="14.25" customHeight="1">
      <c r="A620" s="6"/>
      <c r="B620" s="6"/>
      <c r="D620" s="6"/>
      <c r="E620" s="6"/>
      <c r="F620" s="6"/>
      <c r="G620" s="6"/>
      <c r="H620" s="6"/>
      <c r="I620" s="6"/>
      <c r="J620" s="6"/>
      <c r="K620" s="6"/>
      <c r="L620" s="8"/>
      <c r="M620" s="8"/>
      <c r="N620" s="6"/>
      <c r="O620" s="6"/>
      <c r="P620" s="6"/>
      <c r="Q620" s="6"/>
      <c r="R620" s="6"/>
      <c r="S620" s="6"/>
      <c r="T620" s="6"/>
      <c r="X620" s="12"/>
      <c r="Y620" s="12"/>
    </row>
    <row r="621" ht="14.25" customHeight="1">
      <c r="A621" s="6"/>
      <c r="B621" s="6"/>
      <c r="D621" s="6"/>
      <c r="E621" s="6"/>
      <c r="F621" s="6"/>
      <c r="G621" s="6"/>
      <c r="H621" s="6"/>
      <c r="I621" s="6"/>
      <c r="J621" s="6"/>
      <c r="K621" s="6"/>
      <c r="L621" s="8"/>
      <c r="M621" s="8"/>
      <c r="N621" s="6"/>
      <c r="O621" s="6"/>
      <c r="P621" s="6"/>
      <c r="Q621" s="6"/>
      <c r="R621" s="6"/>
      <c r="S621" s="6"/>
      <c r="T621" s="6"/>
      <c r="X621" s="12"/>
      <c r="Y621" s="12"/>
    </row>
    <row r="622" ht="14.25" customHeight="1">
      <c r="A622" s="6"/>
      <c r="B622" s="6"/>
      <c r="D622" s="6"/>
      <c r="E622" s="6"/>
      <c r="F622" s="6"/>
      <c r="G622" s="6"/>
      <c r="H622" s="6"/>
      <c r="I622" s="6"/>
      <c r="J622" s="6"/>
      <c r="K622" s="6"/>
      <c r="L622" s="8"/>
      <c r="M622" s="8"/>
      <c r="N622" s="6"/>
      <c r="O622" s="6"/>
      <c r="P622" s="6"/>
      <c r="Q622" s="6"/>
      <c r="R622" s="6"/>
      <c r="S622" s="6"/>
      <c r="T622" s="6"/>
      <c r="X622" s="12"/>
      <c r="Y622" s="12"/>
    </row>
    <row r="623" ht="14.25" customHeight="1">
      <c r="A623" s="6"/>
      <c r="B623" s="6"/>
      <c r="D623" s="6"/>
      <c r="E623" s="6"/>
      <c r="F623" s="6"/>
      <c r="G623" s="6"/>
      <c r="H623" s="6"/>
      <c r="I623" s="6"/>
      <c r="J623" s="6"/>
      <c r="K623" s="6"/>
      <c r="L623" s="8"/>
      <c r="M623" s="8"/>
      <c r="N623" s="6"/>
      <c r="O623" s="6"/>
      <c r="P623" s="6"/>
      <c r="Q623" s="6"/>
      <c r="R623" s="6"/>
      <c r="S623" s="6"/>
      <c r="T623" s="6"/>
      <c r="X623" s="12"/>
      <c r="Y623" s="12"/>
    </row>
    <row r="624" ht="14.25" customHeight="1">
      <c r="A624" s="6"/>
      <c r="B624" s="6"/>
      <c r="D624" s="6"/>
      <c r="E624" s="6"/>
      <c r="F624" s="6"/>
      <c r="G624" s="6"/>
      <c r="H624" s="6"/>
      <c r="I624" s="6"/>
      <c r="J624" s="6"/>
      <c r="K624" s="6"/>
      <c r="L624" s="8"/>
      <c r="M624" s="8"/>
      <c r="N624" s="6"/>
      <c r="O624" s="6"/>
      <c r="P624" s="6"/>
      <c r="Q624" s="6"/>
      <c r="R624" s="6"/>
      <c r="S624" s="6"/>
      <c r="T624" s="6"/>
      <c r="X624" s="12"/>
      <c r="Y624" s="12"/>
    </row>
    <row r="625" ht="14.25" customHeight="1">
      <c r="A625" s="6"/>
      <c r="B625" s="6"/>
      <c r="D625" s="6"/>
      <c r="E625" s="6"/>
      <c r="F625" s="6"/>
      <c r="G625" s="6"/>
      <c r="H625" s="6"/>
      <c r="I625" s="6"/>
      <c r="J625" s="6"/>
      <c r="K625" s="6"/>
      <c r="L625" s="8"/>
      <c r="M625" s="8"/>
      <c r="N625" s="6"/>
      <c r="O625" s="6"/>
      <c r="P625" s="6"/>
      <c r="Q625" s="6"/>
      <c r="R625" s="6"/>
      <c r="S625" s="6"/>
      <c r="T625" s="6"/>
      <c r="X625" s="12"/>
      <c r="Y625" s="12"/>
    </row>
    <row r="626" ht="14.25" customHeight="1">
      <c r="A626" s="6"/>
      <c r="B626" s="6"/>
      <c r="D626" s="6"/>
      <c r="E626" s="6"/>
      <c r="F626" s="6"/>
      <c r="G626" s="6"/>
      <c r="H626" s="6"/>
      <c r="I626" s="6"/>
      <c r="J626" s="6"/>
      <c r="K626" s="6"/>
      <c r="L626" s="8"/>
      <c r="M626" s="8"/>
      <c r="N626" s="6"/>
      <c r="O626" s="6"/>
      <c r="P626" s="6"/>
      <c r="Q626" s="6"/>
      <c r="R626" s="6"/>
      <c r="S626" s="6"/>
      <c r="T626" s="6"/>
      <c r="X626" s="12"/>
      <c r="Y626" s="12"/>
    </row>
    <row r="627" ht="14.25" customHeight="1">
      <c r="A627" s="6"/>
      <c r="B627" s="6"/>
      <c r="D627" s="6"/>
      <c r="E627" s="6"/>
      <c r="F627" s="6"/>
      <c r="G627" s="6"/>
      <c r="H627" s="6"/>
      <c r="I627" s="6"/>
      <c r="J627" s="6"/>
      <c r="K627" s="6"/>
      <c r="L627" s="8"/>
      <c r="M627" s="8"/>
      <c r="N627" s="6"/>
      <c r="O627" s="6"/>
      <c r="P627" s="6"/>
      <c r="Q627" s="6"/>
      <c r="R627" s="6"/>
      <c r="S627" s="6"/>
      <c r="T627" s="6"/>
      <c r="X627" s="12"/>
      <c r="Y627" s="12"/>
    </row>
    <row r="628" ht="14.25" customHeight="1">
      <c r="A628" s="6"/>
      <c r="B628" s="6"/>
      <c r="D628" s="6"/>
      <c r="E628" s="6"/>
      <c r="F628" s="6"/>
      <c r="G628" s="6"/>
      <c r="H628" s="6"/>
      <c r="I628" s="6"/>
      <c r="J628" s="6"/>
      <c r="K628" s="6"/>
      <c r="L628" s="8"/>
      <c r="M628" s="8"/>
      <c r="N628" s="6"/>
      <c r="O628" s="6"/>
      <c r="P628" s="6"/>
      <c r="Q628" s="6"/>
      <c r="R628" s="6"/>
      <c r="S628" s="6"/>
      <c r="T628" s="6"/>
      <c r="X628" s="12"/>
      <c r="Y628" s="12"/>
    </row>
    <row r="629" ht="14.25" customHeight="1">
      <c r="A629" s="6"/>
      <c r="B629" s="6"/>
      <c r="D629" s="6"/>
      <c r="E629" s="6"/>
      <c r="F629" s="6"/>
      <c r="G629" s="6"/>
      <c r="H629" s="6"/>
      <c r="I629" s="6"/>
      <c r="J629" s="6"/>
      <c r="K629" s="6"/>
      <c r="L629" s="8"/>
      <c r="M629" s="8"/>
      <c r="N629" s="6"/>
      <c r="O629" s="6"/>
      <c r="P629" s="6"/>
      <c r="Q629" s="6"/>
      <c r="R629" s="6"/>
      <c r="S629" s="6"/>
      <c r="T629" s="6"/>
      <c r="X629" s="12"/>
      <c r="Y629" s="12"/>
    </row>
    <row r="630" ht="14.25" customHeight="1">
      <c r="A630" s="6"/>
      <c r="B630" s="6"/>
      <c r="D630" s="6"/>
      <c r="E630" s="6"/>
      <c r="F630" s="6"/>
      <c r="G630" s="6"/>
      <c r="H630" s="6"/>
      <c r="I630" s="6"/>
      <c r="J630" s="6"/>
      <c r="K630" s="6"/>
      <c r="L630" s="8"/>
      <c r="M630" s="8"/>
      <c r="N630" s="6"/>
      <c r="O630" s="6"/>
      <c r="P630" s="6"/>
      <c r="Q630" s="6"/>
      <c r="R630" s="6"/>
      <c r="S630" s="6"/>
      <c r="T630" s="6"/>
      <c r="X630" s="12"/>
      <c r="Y630" s="12"/>
    </row>
    <row r="631" ht="14.25" customHeight="1">
      <c r="A631" s="6"/>
      <c r="B631" s="6"/>
      <c r="D631" s="6"/>
      <c r="E631" s="6"/>
      <c r="F631" s="6"/>
      <c r="G631" s="6"/>
      <c r="H631" s="6"/>
      <c r="I631" s="6"/>
      <c r="J631" s="6"/>
      <c r="K631" s="6"/>
      <c r="L631" s="8"/>
      <c r="M631" s="8"/>
      <c r="N631" s="6"/>
      <c r="O631" s="6"/>
      <c r="P631" s="6"/>
      <c r="Q631" s="6"/>
      <c r="R631" s="6"/>
      <c r="S631" s="6"/>
      <c r="T631" s="6"/>
      <c r="X631" s="12"/>
      <c r="Y631" s="12"/>
    </row>
    <row r="632" ht="14.25" customHeight="1">
      <c r="A632" s="6"/>
      <c r="B632" s="6"/>
      <c r="D632" s="6"/>
      <c r="E632" s="6"/>
      <c r="F632" s="6"/>
      <c r="G632" s="6"/>
      <c r="H632" s="6"/>
      <c r="I632" s="6"/>
      <c r="J632" s="6"/>
      <c r="K632" s="6"/>
      <c r="L632" s="8"/>
      <c r="M632" s="8"/>
      <c r="N632" s="6"/>
      <c r="O632" s="6"/>
      <c r="P632" s="6"/>
      <c r="Q632" s="6"/>
      <c r="R632" s="6"/>
      <c r="S632" s="6"/>
      <c r="T632" s="6"/>
      <c r="X632" s="12"/>
      <c r="Y632" s="12"/>
    </row>
    <row r="633" ht="14.25" customHeight="1">
      <c r="A633" s="6"/>
      <c r="B633" s="6"/>
      <c r="D633" s="6"/>
      <c r="E633" s="6"/>
      <c r="F633" s="6"/>
      <c r="G633" s="6"/>
      <c r="H633" s="6"/>
      <c r="I633" s="6"/>
      <c r="J633" s="6"/>
      <c r="K633" s="6"/>
      <c r="L633" s="8"/>
      <c r="M633" s="8"/>
      <c r="N633" s="6"/>
      <c r="O633" s="6"/>
      <c r="P633" s="6"/>
      <c r="Q633" s="6"/>
      <c r="R633" s="6"/>
      <c r="S633" s="6"/>
      <c r="T633" s="6"/>
      <c r="X633" s="12"/>
      <c r="Y633" s="12"/>
    </row>
    <row r="634" ht="14.25" customHeight="1">
      <c r="A634" s="6"/>
      <c r="B634" s="6"/>
      <c r="D634" s="6"/>
      <c r="E634" s="6"/>
      <c r="F634" s="6"/>
      <c r="G634" s="6"/>
      <c r="H634" s="6"/>
      <c r="I634" s="6"/>
      <c r="J634" s="6"/>
      <c r="K634" s="6"/>
      <c r="L634" s="8"/>
      <c r="M634" s="8"/>
      <c r="N634" s="6"/>
      <c r="O634" s="6"/>
      <c r="P634" s="6"/>
      <c r="Q634" s="6"/>
      <c r="R634" s="6"/>
      <c r="S634" s="6"/>
      <c r="T634" s="6"/>
      <c r="X634" s="12"/>
      <c r="Y634" s="12"/>
    </row>
    <row r="635" ht="14.25" customHeight="1">
      <c r="A635" s="6"/>
      <c r="B635" s="6"/>
      <c r="D635" s="6"/>
      <c r="E635" s="6"/>
      <c r="F635" s="6"/>
      <c r="G635" s="6"/>
      <c r="H635" s="6"/>
      <c r="I635" s="6"/>
      <c r="J635" s="6"/>
      <c r="K635" s="6"/>
      <c r="L635" s="8"/>
      <c r="M635" s="8"/>
      <c r="N635" s="6"/>
      <c r="O635" s="6"/>
      <c r="P635" s="6"/>
      <c r="Q635" s="6"/>
      <c r="R635" s="6"/>
      <c r="S635" s="6"/>
      <c r="T635" s="6"/>
      <c r="X635" s="12"/>
      <c r="Y635" s="12"/>
    </row>
    <row r="636" ht="14.25" customHeight="1">
      <c r="A636" s="6"/>
      <c r="B636" s="6"/>
      <c r="D636" s="6"/>
      <c r="E636" s="6"/>
      <c r="F636" s="6"/>
      <c r="G636" s="6"/>
      <c r="H636" s="6"/>
      <c r="I636" s="6"/>
      <c r="J636" s="6"/>
      <c r="K636" s="6"/>
      <c r="L636" s="8"/>
      <c r="M636" s="8"/>
      <c r="N636" s="6"/>
      <c r="O636" s="6"/>
      <c r="P636" s="6"/>
      <c r="Q636" s="6"/>
      <c r="R636" s="6"/>
      <c r="S636" s="6"/>
      <c r="T636" s="6"/>
      <c r="X636" s="12"/>
      <c r="Y636" s="12"/>
    </row>
    <row r="637" ht="14.25" customHeight="1">
      <c r="A637" s="6"/>
      <c r="B637" s="6"/>
      <c r="D637" s="6"/>
      <c r="E637" s="6"/>
      <c r="F637" s="6"/>
      <c r="G637" s="6"/>
      <c r="H637" s="6"/>
      <c r="I637" s="6"/>
      <c r="J637" s="6"/>
      <c r="K637" s="6"/>
      <c r="L637" s="8"/>
      <c r="M637" s="8"/>
      <c r="N637" s="6"/>
      <c r="O637" s="6"/>
      <c r="P637" s="6"/>
      <c r="Q637" s="6"/>
      <c r="R637" s="6"/>
      <c r="S637" s="6"/>
      <c r="T637" s="6"/>
      <c r="X637" s="12"/>
      <c r="Y637" s="12"/>
    </row>
    <row r="638" ht="14.25" customHeight="1">
      <c r="A638" s="6"/>
      <c r="B638" s="6"/>
      <c r="D638" s="6"/>
      <c r="E638" s="6"/>
      <c r="F638" s="6"/>
      <c r="G638" s="6"/>
      <c r="H638" s="6"/>
      <c r="I638" s="6"/>
      <c r="J638" s="6"/>
      <c r="K638" s="6"/>
      <c r="L638" s="8"/>
      <c r="M638" s="8"/>
      <c r="N638" s="6"/>
      <c r="O638" s="6"/>
      <c r="P638" s="6"/>
      <c r="Q638" s="6"/>
      <c r="R638" s="6"/>
      <c r="S638" s="6"/>
      <c r="T638" s="6"/>
      <c r="X638" s="12"/>
      <c r="Y638" s="12"/>
    </row>
    <row r="639" ht="14.25" customHeight="1">
      <c r="A639" s="6"/>
      <c r="B639" s="6"/>
      <c r="D639" s="6"/>
      <c r="E639" s="6"/>
      <c r="F639" s="6"/>
      <c r="G639" s="6"/>
      <c r="H639" s="6"/>
      <c r="I639" s="6"/>
      <c r="J639" s="6"/>
      <c r="K639" s="6"/>
      <c r="L639" s="8"/>
      <c r="M639" s="8"/>
      <c r="N639" s="6"/>
      <c r="O639" s="6"/>
      <c r="P639" s="6"/>
      <c r="Q639" s="6"/>
      <c r="R639" s="6"/>
      <c r="S639" s="6"/>
      <c r="T639" s="6"/>
      <c r="X639" s="12"/>
      <c r="Y639" s="12"/>
    </row>
    <row r="640" ht="14.25" customHeight="1">
      <c r="A640" s="6"/>
      <c r="B640" s="6"/>
      <c r="D640" s="6"/>
      <c r="E640" s="6"/>
      <c r="F640" s="6"/>
      <c r="G640" s="6"/>
      <c r="H640" s="6"/>
      <c r="I640" s="6"/>
      <c r="J640" s="6"/>
      <c r="K640" s="6"/>
      <c r="L640" s="8"/>
      <c r="M640" s="8"/>
      <c r="N640" s="6"/>
      <c r="O640" s="6"/>
      <c r="P640" s="6"/>
      <c r="Q640" s="6"/>
      <c r="R640" s="6"/>
      <c r="S640" s="6"/>
      <c r="T640" s="6"/>
      <c r="X640" s="12"/>
      <c r="Y640" s="12"/>
    </row>
    <row r="641" ht="14.25" customHeight="1">
      <c r="A641" s="6"/>
      <c r="B641" s="6"/>
      <c r="D641" s="6"/>
      <c r="E641" s="6"/>
      <c r="F641" s="6"/>
      <c r="G641" s="6"/>
      <c r="H641" s="6"/>
      <c r="I641" s="6"/>
      <c r="J641" s="6"/>
      <c r="K641" s="6"/>
      <c r="L641" s="8"/>
      <c r="M641" s="8"/>
      <c r="N641" s="6"/>
      <c r="O641" s="6"/>
      <c r="P641" s="6"/>
      <c r="Q641" s="6"/>
      <c r="R641" s="6"/>
      <c r="S641" s="6"/>
      <c r="T641" s="6"/>
      <c r="X641" s="12"/>
      <c r="Y641" s="12"/>
    </row>
    <row r="642" ht="14.25" customHeight="1">
      <c r="A642" s="6"/>
      <c r="B642" s="6"/>
      <c r="D642" s="6"/>
      <c r="E642" s="6"/>
      <c r="F642" s="6"/>
      <c r="G642" s="6"/>
      <c r="H642" s="6"/>
      <c r="I642" s="6"/>
      <c r="J642" s="6"/>
      <c r="K642" s="6"/>
      <c r="L642" s="8"/>
      <c r="M642" s="8"/>
      <c r="N642" s="6"/>
      <c r="O642" s="6"/>
      <c r="P642" s="6"/>
      <c r="Q642" s="6"/>
      <c r="R642" s="6"/>
      <c r="S642" s="6"/>
      <c r="T642" s="6"/>
      <c r="X642" s="12"/>
      <c r="Y642" s="12"/>
    </row>
    <row r="643" ht="14.25" customHeight="1">
      <c r="A643" s="6"/>
      <c r="B643" s="6"/>
      <c r="D643" s="6"/>
      <c r="E643" s="6"/>
      <c r="F643" s="6"/>
      <c r="G643" s="6"/>
      <c r="H643" s="6"/>
      <c r="I643" s="6"/>
      <c r="J643" s="6"/>
      <c r="K643" s="6"/>
      <c r="L643" s="8"/>
      <c r="M643" s="8"/>
      <c r="N643" s="6"/>
      <c r="O643" s="6"/>
      <c r="P643" s="6"/>
      <c r="Q643" s="6"/>
      <c r="R643" s="6"/>
      <c r="S643" s="6"/>
      <c r="T643" s="6"/>
      <c r="X643" s="12"/>
      <c r="Y643" s="12"/>
    </row>
    <row r="644" ht="14.25" customHeight="1">
      <c r="A644" s="6"/>
      <c r="B644" s="6"/>
      <c r="D644" s="6"/>
      <c r="E644" s="6"/>
      <c r="F644" s="6"/>
      <c r="G644" s="6"/>
      <c r="H644" s="6"/>
      <c r="I644" s="6"/>
      <c r="J644" s="6"/>
      <c r="K644" s="6"/>
      <c r="L644" s="8"/>
      <c r="M644" s="8"/>
      <c r="N644" s="6"/>
      <c r="O644" s="6"/>
      <c r="P644" s="6"/>
      <c r="Q644" s="6"/>
      <c r="R644" s="6"/>
      <c r="S644" s="6"/>
      <c r="T644" s="6"/>
      <c r="X644" s="12"/>
      <c r="Y644" s="12"/>
    </row>
    <row r="645" ht="14.25" customHeight="1">
      <c r="A645" s="6"/>
      <c r="B645" s="6"/>
      <c r="D645" s="6"/>
      <c r="E645" s="6"/>
      <c r="F645" s="6"/>
      <c r="G645" s="6"/>
      <c r="H645" s="6"/>
      <c r="I645" s="6"/>
      <c r="J645" s="6"/>
      <c r="K645" s="6"/>
      <c r="L645" s="8"/>
      <c r="M645" s="8"/>
      <c r="N645" s="6"/>
      <c r="O645" s="6"/>
      <c r="P645" s="6"/>
      <c r="Q645" s="6"/>
      <c r="R645" s="6"/>
      <c r="S645" s="6"/>
      <c r="T645" s="6"/>
      <c r="X645" s="12"/>
      <c r="Y645" s="12"/>
    </row>
    <row r="646" ht="14.25" customHeight="1">
      <c r="A646" s="6"/>
      <c r="B646" s="6"/>
      <c r="D646" s="6"/>
      <c r="E646" s="6"/>
      <c r="F646" s="6"/>
      <c r="G646" s="6"/>
      <c r="H646" s="6"/>
      <c r="I646" s="6"/>
      <c r="J646" s="6"/>
      <c r="K646" s="6"/>
      <c r="L646" s="8"/>
      <c r="M646" s="8"/>
      <c r="N646" s="6"/>
      <c r="O646" s="6"/>
      <c r="P646" s="6"/>
      <c r="Q646" s="6"/>
      <c r="R646" s="6"/>
      <c r="S646" s="6"/>
      <c r="T646" s="6"/>
      <c r="X646" s="12"/>
      <c r="Y646" s="12"/>
    </row>
    <row r="647" ht="14.25" customHeight="1">
      <c r="A647" s="6"/>
      <c r="B647" s="6"/>
      <c r="D647" s="6"/>
      <c r="E647" s="6"/>
      <c r="F647" s="6"/>
      <c r="G647" s="6"/>
      <c r="H647" s="6"/>
      <c r="I647" s="6"/>
      <c r="J647" s="6"/>
      <c r="K647" s="6"/>
      <c r="L647" s="8"/>
      <c r="M647" s="8"/>
      <c r="N647" s="6"/>
      <c r="O647" s="6"/>
      <c r="P647" s="6"/>
      <c r="Q647" s="6"/>
      <c r="R647" s="6"/>
      <c r="S647" s="6"/>
      <c r="T647" s="6"/>
      <c r="X647" s="12"/>
      <c r="Y647" s="12"/>
    </row>
    <row r="648" ht="14.25" customHeight="1">
      <c r="A648" s="6"/>
      <c r="B648" s="6"/>
      <c r="D648" s="6"/>
      <c r="E648" s="6"/>
      <c r="F648" s="6"/>
      <c r="G648" s="6"/>
      <c r="H648" s="6"/>
      <c r="I648" s="6"/>
      <c r="J648" s="6"/>
      <c r="K648" s="6"/>
      <c r="L648" s="8"/>
      <c r="M648" s="8"/>
      <c r="N648" s="6"/>
      <c r="O648" s="6"/>
      <c r="P648" s="6"/>
      <c r="Q648" s="6"/>
      <c r="R648" s="6"/>
      <c r="S648" s="6"/>
      <c r="T648" s="6"/>
      <c r="X648" s="12"/>
      <c r="Y648" s="12"/>
    </row>
    <row r="649" ht="14.25" customHeight="1">
      <c r="A649" s="6"/>
      <c r="B649" s="6"/>
      <c r="D649" s="6"/>
      <c r="E649" s="6"/>
      <c r="F649" s="6"/>
      <c r="G649" s="6"/>
      <c r="H649" s="6"/>
      <c r="I649" s="6"/>
      <c r="J649" s="6"/>
      <c r="K649" s="6"/>
      <c r="L649" s="8"/>
      <c r="M649" s="8"/>
      <c r="N649" s="6"/>
      <c r="O649" s="6"/>
      <c r="P649" s="6"/>
      <c r="Q649" s="6"/>
      <c r="R649" s="6"/>
      <c r="S649" s="6"/>
      <c r="T649" s="6"/>
      <c r="X649" s="12"/>
      <c r="Y649" s="12"/>
    </row>
    <row r="650" ht="14.25" customHeight="1">
      <c r="A650" s="6"/>
      <c r="B650" s="6"/>
      <c r="D650" s="6"/>
      <c r="E650" s="6"/>
      <c r="F650" s="6"/>
      <c r="G650" s="6"/>
      <c r="H650" s="6"/>
      <c r="I650" s="6"/>
      <c r="J650" s="6"/>
      <c r="K650" s="6"/>
      <c r="L650" s="8"/>
      <c r="M650" s="8"/>
      <c r="N650" s="6"/>
      <c r="O650" s="6"/>
      <c r="P650" s="6"/>
      <c r="Q650" s="6"/>
      <c r="R650" s="6"/>
      <c r="S650" s="6"/>
      <c r="T650" s="6"/>
      <c r="X650" s="12"/>
      <c r="Y650" s="12"/>
    </row>
    <row r="651" ht="14.25" customHeight="1">
      <c r="A651" s="6"/>
      <c r="B651" s="6"/>
      <c r="D651" s="6"/>
      <c r="E651" s="6"/>
      <c r="F651" s="6"/>
      <c r="G651" s="6"/>
      <c r="H651" s="6"/>
      <c r="I651" s="6"/>
      <c r="J651" s="6"/>
      <c r="K651" s="6"/>
      <c r="L651" s="8"/>
      <c r="M651" s="8"/>
      <c r="N651" s="6"/>
      <c r="O651" s="6"/>
      <c r="P651" s="6"/>
      <c r="Q651" s="6"/>
      <c r="R651" s="6"/>
      <c r="S651" s="6"/>
      <c r="T651" s="6"/>
      <c r="X651" s="12"/>
      <c r="Y651" s="12"/>
    </row>
    <row r="652" ht="14.25" customHeight="1">
      <c r="A652" s="6"/>
      <c r="B652" s="6"/>
      <c r="D652" s="6"/>
      <c r="E652" s="6"/>
      <c r="F652" s="6"/>
      <c r="G652" s="6"/>
      <c r="H652" s="6"/>
      <c r="I652" s="6"/>
      <c r="J652" s="6"/>
      <c r="K652" s="6"/>
      <c r="L652" s="8"/>
      <c r="M652" s="8"/>
      <c r="N652" s="6"/>
      <c r="O652" s="6"/>
      <c r="P652" s="6"/>
      <c r="Q652" s="6"/>
      <c r="R652" s="6"/>
      <c r="S652" s="6"/>
      <c r="T652" s="6"/>
      <c r="X652" s="12"/>
      <c r="Y652" s="12"/>
    </row>
    <row r="653" ht="14.25" customHeight="1">
      <c r="A653" s="6"/>
      <c r="B653" s="6"/>
      <c r="D653" s="6"/>
      <c r="E653" s="6"/>
      <c r="F653" s="6"/>
      <c r="G653" s="6"/>
      <c r="H653" s="6"/>
      <c r="I653" s="6"/>
      <c r="J653" s="6"/>
      <c r="K653" s="6"/>
      <c r="L653" s="8"/>
      <c r="M653" s="8"/>
      <c r="N653" s="6"/>
      <c r="O653" s="6"/>
      <c r="P653" s="6"/>
      <c r="Q653" s="6"/>
      <c r="R653" s="6"/>
      <c r="S653" s="6"/>
      <c r="T653" s="6"/>
      <c r="X653" s="12"/>
      <c r="Y653" s="12"/>
    </row>
    <row r="654" ht="14.25" customHeight="1">
      <c r="A654" s="6"/>
      <c r="B654" s="6"/>
      <c r="D654" s="6"/>
      <c r="E654" s="6"/>
      <c r="F654" s="6"/>
      <c r="G654" s="6"/>
      <c r="H654" s="6"/>
      <c r="I654" s="6"/>
      <c r="J654" s="6"/>
      <c r="K654" s="6"/>
      <c r="L654" s="8"/>
      <c r="M654" s="8"/>
      <c r="N654" s="6"/>
      <c r="O654" s="6"/>
      <c r="P654" s="6"/>
      <c r="Q654" s="6"/>
      <c r="R654" s="6"/>
      <c r="S654" s="6"/>
      <c r="T654" s="6"/>
      <c r="X654" s="12"/>
      <c r="Y654" s="12"/>
    </row>
    <row r="655" ht="14.25" customHeight="1">
      <c r="A655" s="6"/>
      <c r="B655" s="6"/>
      <c r="D655" s="6"/>
      <c r="E655" s="6"/>
      <c r="F655" s="6"/>
      <c r="G655" s="6"/>
      <c r="H655" s="6"/>
      <c r="I655" s="6"/>
      <c r="J655" s="6"/>
      <c r="K655" s="6"/>
      <c r="L655" s="8"/>
      <c r="M655" s="8"/>
      <c r="N655" s="6"/>
      <c r="O655" s="6"/>
      <c r="P655" s="6"/>
      <c r="Q655" s="6"/>
      <c r="R655" s="6"/>
      <c r="S655" s="6"/>
      <c r="T655" s="6"/>
      <c r="X655" s="12"/>
      <c r="Y655" s="12"/>
    </row>
    <row r="656" ht="14.25" customHeight="1">
      <c r="A656" s="6"/>
      <c r="B656" s="6"/>
      <c r="D656" s="6"/>
      <c r="E656" s="6"/>
      <c r="F656" s="6"/>
      <c r="G656" s="6"/>
      <c r="H656" s="6"/>
      <c r="I656" s="6"/>
      <c r="J656" s="6"/>
      <c r="K656" s="6"/>
      <c r="L656" s="8"/>
      <c r="M656" s="8"/>
      <c r="N656" s="6"/>
      <c r="O656" s="6"/>
      <c r="P656" s="6"/>
      <c r="Q656" s="6"/>
      <c r="R656" s="6"/>
      <c r="S656" s="6"/>
      <c r="T656" s="6"/>
      <c r="X656" s="12"/>
      <c r="Y656" s="12"/>
    </row>
    <row r="657" ht="14.25" customHeight="1">
      <c r="A657" s="6"/>
      <c r="B657" s="6"/>
      <c r="D657" s="6"/>
      <c r="E657" s="6"/>
      <c r="F657" s="6"/>
      <c r="G657" s="6"/>
      <c r="H657" s="6"/>
      <c r="I657" s="6"/>
      <c r="J657" s="6"/>
      <c r="K657" s="6"/>
      <c r="L657" s="8"/>
      <c r="M657" s="8"/>
      <c r="N657" s="6"/>
      <c r="O657" s="6"/>
      <c r="P657" s="6"/>
      <c r="Q657" s="6"/>
      <c r="R657" s="6"/>
      <c r="S657" s="6"/>
      <c r="T657" s="6"/>
      <c r="X657" s="12"/>
      <c r="Y657" s="12"/>
    </row>
    <row r="658" ht="14.25" customHeight="1">
      <c r="A658" s="6"/>
      <c r="B658" s="6"/>
      <c r="D658" s="6"/>
      <c r="E658" s="6"/>
      <c r="F658" s="6"/>
      <c r="G658" s="6"/>
      <c r="H658" s="6"/>
      <c r="I658" s="6"/>
      <c r="J658" s="6"/>
      <c r="K658" s="6"/>
      <c r="L658" s="8"/>
      <c r="M658" s="8"/>
      <c r="N658" s="6"/>
      <c r="O658" s="6"/>
      <c r="P658" s="6"/>
      <c r="Q658" s="6"/>
      <c r="R658" s="6"/>
      <c r="S658" s="6"/>
      <c r="T658" s="6"/>
      <c r="X658" s="12"/>
      <c r="Y658" s="12"/>
    </row>
    <row r="659" ht="14.25" customHeight="1">
      <c r="A659" s="6"/>
      <c r="B659" s="6"/>
      <c r="D659" s="6"/>
      <c r="E659" s="6"/>
      <c r="F659" s="6"/>
      <c r="G659" s="6"/>
      <c r="H659" s="6"/>
      <c r="I659" s="6"/>
      <c r="J659" s="6"/>
      <c r="K659" s="6"/>
      <c r="L659" s="8"/>
      <c r="M659" s="8"/>
      <c r="N659" s="6"/>
      <c r="O659" s="6"/>
      <c r="P659" s="6"/>
      <c r="Q659" s="6"/>
      <c r="R659" s="6"/>
      <c r="S659" s="6"/>
      <c r="T659" s="6"/>
      <c r="X659" s="12"/>
      <c r="Y659" s="12"/>
    </row>
    <row r="660" ht="14.25" customHeight="1">
      <c r="A660" s="6"/>
      <c r="B660" s="6"/>
      <c r="D660" s="6"/>
      <c r="E660" s="6"/>
      <c r="F660" s="6"/>
      <c r="G660" s="6"/>
      <c r="H660" s="6"/>
      <c r="I660" s="6"/>
      <c r="J660" s="6"/>
      <c r="K660" s="6"/>
      <c r="L660" s="8"/>
      <c r="M660" s="8"/>
      <c r="N660" s="6"/>
      <c r="O660" s="6"/>
      <c r="P660" s="6"/>
      <c r="Q660" s="6"/>
      <c r="R660" s="6"/>
      <c r="S660" s="6"/>
      <c r="T660" s="6"/>
      <c r="X660" s="12"/>
      <c r="Y660" s="12"/>
    </row>
    <row r="661" ht="14.25" customHeight="1">
      <c r="A661" s="6"/>
      <c r="B661" s="6"/>
      <c r="D661" s="6"/>
      <c r="E661" s="6"/>
      <c r="F661" s="6"/>
      <c r="G661" s="6"/>
      <c r="H661" s="6"/>
      <c r="I661" s="6"/>
      <c r="J661" s="6"/>
      <c r="K661" s="6"/>
      <c r="L661" s="8"/>
      <c r="M661" s="8"/>
      <c r="N661" s="6"/>
      <c r="O661" s="6"/>
      <c r="P661" s="6"/>
      <c r="Q661" s="6"/>
      <c r="R661" s="6"/>
      <c r="S661" s="6"/>
      <c r="T661" s="6"/>
      <c r="X661" s="12"/>
      <c r="Y661" s="12"/>
    </row>
    <row r="662" ht="14.25" customHeight="1">
      <c r="A662" s="6"/>
      <c r="B662" s="6"/>
      <c r="D662" s="6"/>
      <c r="E662" s="6"/>
      <c r="F662" s="6"/>
      <c r="G662" s="6"/>
      <c r="H662" s="6"/>
      <c r="I662" s="6"/>
      <c r="J662" s="6"/>
      <c r="K662" s="6"/>
      <c r="L662" s="8"/>
      <c r="M662" s="8"/>
      <c r="N662" s="6"/>
      <c r="O662" s="6"/>
      <c r="P662" s="6"/>
      <c r="Q662" s="6"/>
      <c r="R662" s="6"/>
      <c r="S662" s="6"/>
      <c r="T662" s="6"/>
      <c r="X662" s="12"/>
      <c r="Y662" s="12"/>
    </row>
    <row r="663" ht="14.25" customHeight="1">
      <c r="A663" s="6"/>
      <c r="B663" s="6"/>
      <c r="D663" s="6"/>
      <c r="E663" s="6"/>
      <c r="F663" s="6"/>
      <c r="G663" s="6"/>
      <c r="H663" s="6"/>
      <c r="I663" s="6"/>
      <c r="J663" s="6"/>
      <c r="K663" s="6"/>
      <c r="L663" s="8"/>
      <c r="M663" s="8"/>
      <c r="N663" s="6"/>
      <c r="O663" s="6"/>
      <c r="P663" s="6"/>
      <c r="Q663" s="6"/>
      <c r="R663" s="6"/>
      <c r="S663" s="6"/>
      <c r="T663" s="6"/>
      <c r="X663" s="12"/>
      <c r="Y663" s="12"/>
    </row>
    <row r="664" ht="14.25" customHeight="1">
      <c r="A664" s="6"/>
      <c r="B664" s="6"/>
      <c r="D664" s="6"/>
      <c r="E664" s="6"/>
      <c r="F664" s="6"/>
      <c r="G664" s="6"/>
      <c r="H664" s="6"/>
      <c r="I664" s="6"/>
      <c r="J664" s="6"/>
      <c r="K664" s="6"/>
      <c r="L664" s="8"/>
      <c r="M664" s="8"/>
      <c r="N664" s="6"/>
      <c r="O664" s="6"/>
      <c r="P664" s="6"/>
      <c r="Q664" s="6"/>
      <c r="R664" s="6"/>
      <c r="S664" s="6"/>
      <c r="T664" s="6"/>
      <c r="X664" s="12"/>
      <c r="Y664" s="12"/>
    </row>
    <row r="665" ht="14.25" customHeight="1">
      <c r="A665" s="6"/>
      <c r="B665" s="6"/>
      <c r="D665" s="6"/>
      <c r="E665" s="6"/>
      <c r="F665" s="6"/>
      <c r="G665" s="6"/>
      <c r="H665" s="6"/>
      <c r="I665" s="6"/>
      <c r="J665" s="6"/>
      <c r="K665" s="6"/>
      <c r="L665" s="8"/>
      <c r="M665" s="8"/>
      <c r="N665" s="6"/>
      <c r="O665" s="6"/>
      <c r="P665" s="6"/>
      <c r="Q665" s="6"/>
      <c r="R665" s="6"/>
      <c r="S665" s="6"/>
      <c r="T665" s="6"/>
      <c r="X665" s="12"/>
      <c r="Y665" s="12"/>
    </row>
    <row r="666" ht="14.25" customHeight="1">
      <c r="A666" s="6"/>
      <c r="B666" s="6"/>
      <c r="D666" s="6"/>
      <c r="E666" s="6"/>
      <c r="F666" s="6"/>
      <c r="G666" s="6"/>
      <c r="H666" s="6"/>
      <c r="I666" s="6"/>
      <c r="J666" s="6"/>
      <c r="K666" s="6"/>
      <c r="L666" s="8"/>
      <c r="M666" s="8"/>
      <c r="N666" s="6"/>
      <c r="O666" s="6"/>
      <c r="P666" s="6"/>
      <c r="Q666" s="6"/>
      <c r="R666" s="6"/>
      <c r="S666" s="6"/>
      <c r="T666" s="6"/>
      <c r="X666" s="12"/>
      <c r="Y666" s="12"/>
    </row>
    <row r="667" ht="14.25" customHeight="1">
      <c r="A667" s="6"/>
      <c r="B667" s="6"/>
      <c r="D667" s="6"/>
      <c r="E667" s="6"/>
      <c r="F667" s="6"/>
      <c r="G667" s="6"/>
      <c r="H667" s="6"/>
      <c r="I667" s="6"/>
      <c r="J667" s="6"/>
      <c r="K667" s="6"/>
      <c r="L667" s="8"/>
      <c r="M667" s="8"/>
      <c r="N667" s="6"/>
      <c r="O667" s="6"/>
      <c r="P667" s="6"/>
      <c r="Q667" s="6"/>
      <c r="R667" s="6"/>
      <c r="S667" s="6"/>
      <c r="T667" s="6"/>
      <c r="X667" s="12"/>
      <c r="Y667" s="12"/>
    </row>
    <row r="668" ht="14.25" customHeight="1">
      <c r="A668" s="6"/>
      <c r="B668" s="6"/>
      <c r="D668" s="6"/>
      <c r="E668" s="6"/>
      <c r="F668" s="6"/>
      <c r="G668" s="6"/>
      <c r="H668" s="6"/>
      <c r="I668" s="6"/>
      <c r="J668" s="6"/>
      <c r="K668" s="6"/>
      <c r="L668" s="8"/>
      <c r="M668" s="8"/>
      <c r="N668" s="6"/>
      <c r="O668" s="6"/>
      <c r="P668" s="6"/>
      <c r="Q668" s="6"/>
      <c r="R668" s="6"/>
      <c r="S668" s="6"/>
      <c r="T668" s="6"/>
      <c r="X668" s="12"/>
      <c r="Y668" s="12"/>
    </row>
    <row r="669" ht="14.25" customHeight="1">
      <c r="A669" s="6"/>
      <c r="B669" s="6"/>
      <c r="D669" s="6"/>
      <c r="E669" s="6"/>
      <c r="F669" s="6"/>
      <c r="G669" s="6"/>
      <c r="H669" s="6"/>
      <c r="I669" s="6"/>
      <c r="J669" s="6"/>
      <c r="K669" s="6"/>
      <c r="L669" s="8"/>
      <c r="M669" s="8"/>
      <c r="N669" s="6"/>
      <c r="O669" s="6"/>
      <c r="P669" s="6"/>
      <c r="Q669" s="6"/>
      <c r="R669" s="6"/>
      <c r="S669" s="6"/>
      <c r="T669" s="6"/>
      <c r="X669" s="12"/>
      <c r="Y669" s="12"/>
    </row>
    <row r="670" ht="14.25" customHeight="1">
      <c r="A670" s="6"/>
      <c r="B670" s="6"/>
      <c r="D670" s="6"/>
      <c r="E670" s="6"/>
      <c r="F670" s="6"/>
      <c r="G670" s="6"/>
      <c r="H670" s="6"/>
      <c r="I670" s="6"/>
      <c r="J670" s="6"/>
      <c r="K670" s="6"/>
      <c r="L670" s="8"/>
      <c r="M670" s="8"/>
      <c r="N670" s="6"/>
      <c r="O670" s="6"/>
      <c r="P670" s="6"/>
      <c r="Q670" s="6"/>
      <c r="R670" s="6"/>
      <c r="S670" s="6"/>
      <c r="T670" s="6"/>
      <c r="X670" s="12"/>
      <c r="Y670" s="12"/>
    </row>
    <row r="671" ht="14.25" customHeight="1">
      <c r="A671" s="6"/>
      <c r="B671" s="6"/>
      <c r="D671" s="6"/>
      <c r="E671" s="6"/>
      <c r="F671" s="6"/>
      <c r="G671" s="6"/>
      <c r="H671" s="6"/>
      <c r="I671" s="6"/>
      <c r="J671" s="6"/>
      <c r="K671" s="6"/>
      <c r="L671" s="8"/>
      <c r="M671" s="8"/>
      <c r="N671" s="6"/>
      <c r="O671" s="6"/>
      <c r="P671" s="6"/>
      <c r="Q671" s="6"/>
      <c r="R671" s="6"/>
      <c r="S671" s="6"/>
      <c r="T671" s="6"/>
      <c r="X671" s="12"/>
      <c r="Y671" s="12"/>
    </row>
    <row r="672" ht="14.25" customHeight="1">
      <c r="A672" s="6"/>
      <c r="B672" s="6"/>
      <c r="D672" s="6"/>
      <c r="E672" s="6"/>
      <c r="F672" s="6"/>
      <c r="G672" s="6"/>
      <c r="H672" s="6"/>
      <c r="I672" s="6"/>
      <c r="J672" s="6"/>
      <c r="K672" s="6"/>
      <c r="L672" s="8"/>
      <c r="M672" s="8"/>
      <c r="N672" s="6"/>
      <c r="O672" s="6"/>
      <c r="P672" s="6"/>
      <c r="Q672" s="6"/>
      <c r="R672" s="6"/>
      <c r="S672" s="6"/>
      <c r="T672" s="6"/>
      <c r="X672" s="12"/>
      <c r="Y672" s="12"/>
    </row>
    <row r="673" ht="14.25" customHeight="1">
      <c r="A673" s="6"/>
      <c r="B673" s="6"/>
      <c r="D673" s="6"/>
      <c r="E673" s="6"/>
      <c r="F673" s="6"/>
      <c r="G673" s="6"/>
      <c r="H673" s="6"/>
      <c r="I673" s="6"/>
      <c r="J673" s="6"/>
      <c r="K673" s="6"/>
      <c r="L673" s="8"/>
      <c r="M673" s="8"/>
      <c r="N673" s="6"/>
      <c r="O673" s="6"/>
      <c r="P673" s="6"/>
      <c r="Q673" s="6"/>
      <c r="R673" s="6"/>
      <c r="S673" s="6"/>
      <c r="T673" s="6"/>
      <c r="X673" s="12"/>
      <c r="Y673" s="12"/>
    </row>
    <row r="674" ht="14.25" customHeight="1">
      <c r="A674" s="6"/>
      <c r="B674" s="6"/>
      <c r="D674" s="6"/>
      <c r="E674" s="6"/>
      <c r="F674" s="6"/>
      <c r="G674" s="6"/>
      <c r="H674" s="6"/>
      <c r="I674" s="6"/>
      <c r="J674" s="6"/>
      <c r="K674" s="6"/>
      <c r="L674" s="8"/>
      <c r="M674" s="8"/>
      <c r="N674" s="6"/>
      <c r="O674" s="6"/>
      <c r="P674" s="6"/>
      <c r="Q674" s="6"/>
      <c r="R674" s="6"/>
      <c r="S674" s="6"/>
      <c r="T674" s="6"/>
      <c r="X674" s="12"/>
      <c r="Y674" s="12"/>
    </row>
    <row r="675" ht="14.25" customHeight="1">
      <c r="A675" s="6"/>
      <c r="B675" s="6"/>
      <c r="D675" s="6"/>
      <c r="E675" s="6"/>
      <c r="F675" s="6"/>
      <c r="G675" s="6"/>
      <c r="H675" s="6"/>
      <c r="I675" s="6"/>
      <c r="J675" s="6"/>
      <c r="K675" s="6"/>
      <c r="L675" s="8"/>
      <c r="M675" s="8"/>
      <c r="N675" s="6"/>
      <c r="O675" s="6"/>
      <c r="P675" s="6"/>
      <c r="Q675" s="6"/>
      <c r="R675" s="6"/>
      <c r="S675" s="6"/>
      <c r="T675" s="6"/>
      <c r="X675" s="12"/>
      <c r="Y675" s="12"/>
    </row>
    <row r="676" ht="14.25" customHeight="1">
      <c r="A676" s="6"/>
      <c r="B676" s="6"/>
      <c r="D676" s="6"/>
      <c r="E676" s="6"/>
      <c r="F676" s="6"/>
      <c r="G676" s="6"/>
      <c r="H676" s="6"/>
      <c r="I676" s="6"/>
      <c r="J676" s="6"/>
      <c r="K676" s="6"/>
      <c r="L676" s="8"/>
      <c r="M676" s="8"/>
      <c r="N676" s="6"/>
      <c r="O676" s="6"/>
      <c r="P676" s="6"/>
      <c r="Q676" s="6"/>
      <c r="R676" s="6"/>
      <c r="S676" s="6"/>
      <c r="T676" s="6"/>
      <c r="X676" s="12"/>
      <c r="Y676" s="12"/>
    </row>
    <row r="677" ht="14.25" customHeight="1">
      <c r="A677" s="6"/>
      <c r="B677" s="6"/>
      <c r="D677" s="6"/>
      <c r="E677" s="6"/>
      <c r="F677" s="6"/>
      <c r="G677" s="6"/>
      <c r="H677" s="6"/>
      <c r="I677" s="6"/>
      <c r="J677" s="6"/>
      <c r="K677" s="6"/>
      <c r="L677" s="8"/>
      <c r="M677" s="8"/>
      <c r="N677" s="6"/>
      <c r="O677" s="6"/>
      <c r="P677" s="6"/>
      <c r="Q677" s="6"/>
      <c r="R677" s="6"/>
      <c r="S677" s="6"/>
      <c r="T677" s="6"/>
      <c r="X677" s="12"/>
      <c r="Y677" s="12"/>
    </row>
    <row r="678" ht="14.25" customHeight="1">
      <c r="A678" s="6"/>
      <c r="B678" s="6"/>
      <c r="D678" s="6"/>
      <c r="E678" s="6"/>
      <c r="F678" s="6"/>
      <c r="G678" s="6"/>
      <c r="H678" s="6"/>
      <c r="I678" s="6"/>
      <c r="J678" s="6"/>
      <c r="K678" s="6"/>
      <c r="L678" s="8"/>
      <c r="M678" s="8"/>
      <c r="N678" s="6"/>
      <c r="O678" s="6"/>
      <c r="P678" s="6"/>
      <c r="Q678" s="6"/>
      <c r="R678" s="6"/>
      <c r="S678" s="6"/>
      <c r="T678" s="6"/>
      <c r="X678" s="12"/>
      <c r="Y678" s="12"/>
    </row>
    <row r="679" ht="14.25" customHeight="1">
      <c r="A679" s="6"/>
      <c r="B679" s="6"/>
      <c r="D679" s="6"/>
      <c r="E679" s="6"/>
      <c r="F679" s="6"/>
      <c r="G679" s="6"/>
      <c r="H679" s="6"/>
      <c r="I679" s="6"/>
      <c r="J679" s="6"/>
      <c r="K679" s="6"/>
      <c r="L679" s="8"/>
      <c r="M679" s="8"/>
      <c r="N679" s="6"/>
      <c r="O679" s="6"/>
      <c r="P679" s="6"/>
      <c r="Q679" s="6"/>
      <c r="R679" s="6"/>
      <c r="S679" s="6"/>
      <c r="T679" s="6"/>
      <c r="X679" s="12"/>
      <c r="Y679" s="12"/>
    </row>
    <row r="680" ht="14.25" customHeight="1">
      <c r="A680" s="6"/>
      <c r="B680" s="6"/>
      <c r="D680" s="6"/>
      <c r="E680" s="6"/>
      <c r="F680" s="6"/>
      <c r="G680" s="6"/>
      <c r="H680" s="6"/>
      <c r="I680" s="6"/>
      <c r="J680" s="6"/>
      <c r="K680" s="6"/>
      <c r="L680" s="8"/>
      <c r="M680" s="8"/>
      <c r="N680" s="6"/>
      <c r="O680" s="6"/>
      <c r="P680" s="6"/>
      <c r="Q680" s="6"/>
      <c r="R680" s="6"/>
      <c r="S680" s="6"/>
      <c r="T680" s="6"/>
      <c r="X680" s="12"/>
      <c r="Y680" s="12"/>
    </row>
    <row r="681" ht="14.25" customHeight="1">
      <c r="A681" s="6"/>
      <c r="B681" s="6"/>
      <c r="D681" s="6"/>
      <c r="E681" s="6"/>
      <c r="F681" s="6"/>
      <c r="G681" s="6"/>
      <c r="H681" s="6"/>
      <c r="I681" s="6"/>
      <c r="J681" s="6"/>
      <c r="K681" s="6"/>
      <c r="L681" s="8"/>
      <c r="M681" s="8"/>
      <c r="N681" s="6"/>
      <c r="O681" s="6"/>
      <c r="P681" s="6"/>
      <c r="Q681" s="6"/>
      <c r="R681" s="6"/>
      <c r="S681" s="6"/>
      <c r="T681" s="6"/>
      <c r="X681" s="12"/>
      <c r="Y681" s="12"/>
    </row>
    <row r="682" ht="14.25" customHeight="1">
      <c r="A682" s="6"/>
      <c r="B682" s="6"/>
      <c r="D682" s="6"/>
      <c r="E682" s="6"/>
      <c r="F682" s="6"/>
      <c r="G682" s="6"/>
      <c r="H682" s="6"/>
      <c r="I682" s="6"/>
      <c r="J682" s="6"/>
      <c r="K682" s="6"/>
      <c r="L682" s="8"/>
      <c r="M682" s="8"/>
      <c r="N682" s="6"/>
      <c r="O682" s="6"/>
      <c r="P682" s="6"/>
      <c r="Q682" s="6"/>
      <c r="R682" s="6"/>
      <c r="S682" s="6"/>
      <c r="T682" s="6"/>
      <c r="X682" s="12"/>
      <c r="Y682" s="12"/>
    </row>
    <row r="683" ht="14.25" customHeight="1">
      <c r="A683" s="6"/>
      <c r="B683" s="6"/>
      <c r="D683" s="6"/>
      <c r="E683" s="6"/>
      <c r="F683" s="6"/>
      <c r="G683" s="6"/>
      <c r="H683" s="6"/>
      <c r="I683" s="6"/>
      <c r="J683" s="6"/>
      <c r="K683" s="6"/>
      <c r="L683" s="8"/>
      <c r="M683" s="8"/>
      <c r="N683" s="6"/>
      <c r="O683" s="6"/>
      <c r="P683" s="6"/>
      <c r="Q683" s="6"/>
      <c r="R683" s="6"/>
      <c r="S683" s="6"/>
      <c r="T683" s="6"/>
      <c r="X683" s="12"/>
      <c r="Y683" s="12"/>
    </row>
    <row r="684" ht="14.25" customHeight="1">
      <c r="A684" s="6"/>
      <c r="B684" s="6"/>
      <c r="D684" s="6"/>
      <c r="E684" s="6"/>
      <c r="F684" s="6"/>
      <c r="G684" s="6"/>
      <c r="H684" s="6"/>
      <c r="I684" s="6"/>
      <c r="J684" s="6"/>
      <c r="K684" s="6"/>
      <c r="L684" s="8"/>
      <c r="M684" s="8"/>
      <c r="N684" s="6"/>
      <c r="O684" s="6"/>
      <c r="P684" s="6"/>
      <c r="Q684" s="6"/>
      <c r="R684" s="6"/>
      <c r="S684" s="6"/>
      <c r="T684" s="6"/>
      <c r="X684" s="12"/>
      <c r="Y684" s="12"/>
    </row>
    <row r="685" ht="14.25" customHeight="1">
      <c r="A685" s="6"/>
      <c r="B685" s="6"/>
      <c r="D685" s="6"/>
      <c r="E685" s="6"/>
      <c r="F685" s="6"/>
      <c r="G685" s="6"/>
      <c r="H685" s="6"/>
      <c r="I685" s="6"/>
      <c r="J685" s="6"/>
      <c r="K685" s="6"/>
      <c r="L685" s="8"/>
      <c r="M685" s="8"/>
      <c r="N685" s="6"/>
      <c r="O685" s="6"/>
      <c r="P685" s="6"/>
      <c r="Q685" s="6"/>
      <c r="R685" s="6"/>
      <c r="S685" s="6"/>
      <c r="T685" s="6"/>
      <c r="X685" s="12"/>
      <c r="Y685" s="12"/>
    </row>
    <row r="686" ht="14.25" customHeight="1">
      <c r="A686" s="6"/>
      <c r="B686" s="6"/>
      <c r="D686" s="6"/>
      <c r="E686" s="6"/>
      <c r="F686" s="6"/>
      <c r="G686" s="6"/>
      <c r="H686" s="6"/>
      <c r="I686" s="6"/>
      <c r="J686" s="6"/>
      <c r="K686" s="6"/>
      <c r="L686" s="8"/>
      <c r="M686" s="8"/>
      <c r="N686" s="6"/>
      <c r="O686" s="6"/>
      <c r="P686" s="6"/>
      <c r="Q686" s="6"/>
      <c r="R686" s="6"/>
      <c r="S686" s="6"/>
      <c r="T686" s="6"/>
      <c r="X686" s="12"/>
      <c r="Y686" s="12"/>
    </row>
    <row r="687" ht="14.25" customHeight="1">
      <c r="A687" s="6"/>
      <c r="B687" s="6"/>
      <c r="D687" s="6"/>
      <c r="E687" s="6"/>
      <c r="F687" s="6"/>
      <c r="G687" s="6"/>
      <c r="H687" s="6"/>
      <c r="I687" s="6"/>
      <c r="J687" s="6"/>
      <c r="K687" s="6"/>
      <c r="L687" s="8"/>
      <c r="M687" s="8"/>
      <c r="N687" s="6"/>
      <c r="O687" s="6"/>
      <c r="P687" s="6"/>
      <c r="Q687" s="6"/>
      <c r="R687" s="6"/>
      <c r="S687" s="6"/>
      <c r="T687" s="6"/>
      <c r="X687" s="12"/>
      <c r="Y687" s="12"/>
    </row>
    <row r="688" ht="14.25" customHeight="1">
      <c r="A688" s="6"/>
      <c r="B688" s="6"/>
      <c r="D688" s="6"/>
      <c r="E688" s="6"/>
      <c r="F688" s="6"/>
      <c r="G688" s="6"/>
      <c r="H688" s="6"/>
      <c r="I688" s="6"/>
      <c r="J688" s="6"/>
      <c r="K688" s="6"/>
      <c r="L688" s="8"/>
      <c r="M688" s="8"/>
      <c r="N688" s="6"/>
      <c r="O688" s="6"/>
      <c r="P688" s="6"/>
      <c r="Q688" s="6"/>
      <c r="R688" s="6"/>
      <c r="S688" s="6"/>
      <c r="T688" s="6"/>
      <c r="X688" s="12"/>
      <c r="Y688" s="12"/>
    </row>
    <row r="689" ht="14.25" customHeight="1">
      <c r="A689" s="6"/>
      <c r="B689" s="6"/>
      <c r="D689" s="6"/>
      <c r="E689" s="6"/>
      <c r="F689" s="6"/>
      <c r="G689" s="6"/>
      <c r="H689" s="6"/>
      <c r="I689" s="6"/>
      <c r="J689" s="6"/>
      <c r="K689" s="6"/>
      <c r="L689" s="8"/>
      <c r="M689" s="8"/>
      <c r="N689" s="6"/>
      <c r="O689" s="6"/>
      <c r="P689" s="6"/>
      <c r="Q689" s="6"/>
      <c r="R689" s="6"/>
      <c r="S689" s="6"/>
      <c r="T689" s="6"/>
      <c r="X689" s="12"/>
      <c r="Y689" s="12"/>
    </row>
    <row r="690" ht="14.25" customHeight="1">
      <c r="A690" s="6"/>
      <c r="B690" s="6"/>
      <c r="D690" s="6"/>
      <c r="E690" s="6"/>
      <c r="F690" s="6"/>
      <c r="G690" s="6"/>
      <c r="H690" s="6"/>
      <c r="I690" s="6"/>
      <c r="J690" s="6"/>
      <c r="K690" s="6"/>
      <c r="L690" s="8"/>
      <c r="M690" s="8"/>
      <c r="N690" s="6"/>
      <c r="O690" s="6"/>
      <c r="P690" s="6"/>
      <c r="Q690" s="6"/>
      <c r="R690" s="6"/>
      <c r="S690" s="6"/>
      <c r="T690" s="6"/>
      <c r="X690" s="12"/>
      <c r="Y690" s="12"/>
    </row>
    <row r="691" ht="14.25" customHeight="1">
      <c r="A691" s="6"/>
      <c r="B691" s="6"/>
      <c r="D691" s="6"/>
      <c r="E691" s="6"/>
      <c r="F691" s="6"/>
      <c r="G691" s="6"/>
      <c r="H691" s="6"/>
      <c r="I691" s="6"/>
      <c r="J691" s="6"/>
      <c r="K691" s="6"/>
      <c r="L691" s="8"/>
      <c r="M691" s="8"/>
      <c r="N691" s="6"/>
      <c r="O691" s="6"/>
      <c r="P691" s="6"/>
      <c r="Q691" s="6"/>
      <c r="R691" s="6"/>
      <c r="S691" s="6"/>
      <c r="T691" s="6"/>
      <c r="X691" s="12"/>
      <c r="Y691" s="12"/>
    </row>
    <row r="692" ht="14.25" customHeight="1">
      <c r="A692" s="6"/>
      <c r="B692" s="6"/>
      <c r="D692" s="6"/>
      <c r="E692" s="6"/>
      <c r="F692" s="6"/>
      <c r="G692" s="6"/>
      <c r="H692" s="6"/>
      <c r="I692" s="6"/>
      <c r="J692" s="6"/>
      <c r="K692" s="6"/>
      <c r="L692" s="8"/>
      <c r="M692" s="8"/>
      <c r="N692" s="6"/>
      <c r="O692" s="6"/>
      <c r="P692" s="6"/>
      <c r="Q692" s="6"/>
      <c r="R692" s="6"/>
      <c r="S692" s="6"/>
      <c r="T692" s="6"/>
      <c r="X692" s="12"/>
      <c r="Y692" s="12"/>
    </row>
    <row r="693" ht="14.25" customHeight="1">
      <c r="A693" s="6"/>
      <c r="B693" s="6"/>
      <c r="D693" s="6"/>
      <c r="E693" s="6"/>
      <c r="F693" s="6"/>
      <c r="G693" s="6"/>
      <c r="H693" s="6"/>
      <c r="I693" s="6"/>
      <c r="J693" s="6"/>
      <c r="K693" s="6"/>
      <c r="L693" s="8"/>
      <c r="M693" s="8"/>
      <c r="N693" s="6"/>
      <c r="O693" s="6"/>
      <c r="P693" s="6"/>
      <c r="Q693" s="6"/>
      <c r="R693" s="6"/>
      <c r="S693" s="6"/>
      <c r="T693" s="6"/>
      <c r="X693" s="12"/>
      <c r="Y693" s="12"/>
    </row>
    <row r="694" ht="14.25" customHeight="1">
      <c r="A694" s="6"/>
      <c r="B694" s="6"/>
      <c r="D694" s="6"/>
      <c r="E694" s="6"/>
      <c r="F694" s="6"/>
      <c r="G694" s="6"/>
      <c r="H694" s="6"/>
      <c r="I694" s="6"/>
      <c r="J694" s="6"/>
      <c r="K694" s="6"/>
      <c r="L694" s="8"/>
      <c r="M694" s="8"/>
      <c r="N694" s="6"/>
      <c r="O694" s="6"/>
      <c r="P694" s="6"/>
      <c r="Q694" s="6"/>
      <c r="R694" s="6"/>
      <c r="S694" s="6"/>
      <c r="T694" s="6"/>
      <c r="X694" s="12"/>
      <c r="Y694" s="12"/>
    </row>
    <row r="695" ht="14.25" customHeight="1">
      <c r="A695" s="6"/>
      <c r="B695" s="6"/>
      <c r="D695" s="6"/>
      <c r="E695" s="6"/>
      <c r="F695" s="6"/>
      <c r="G695" s="6"/>
      <c r="H695" s="6"/>
      <c r="I695" s="6"/>
      <c r="J695" s="6"/>
      <c r="K695" s="6"/>
      <c r="L695" s="8"/>
      <c r="M695" s="8"/>
      <c r="N695" s="6"/>
      <c r="O695" s="6"/>
      <c r="P695" s="6"/>
      <c r="Q695" s="6"/>
      <c r="R695" s="6"/>
      <c r="S695" s="6"/>
      <c r="T695" s="6"/>
      <c r="X695" s="12"/>
      <c r="Y695" s="12"/>
    </row>
    <row r="696" ht="14.25" customHeight="1">
      <c r="A696" s="6"/>
      <c r="B696" s="6"/>
      <c r="D696" s="6"/>
      <c r="E696" s="6"/>
      <c r="F696" s="6"/>
      <c r="G696" s="6"/>
      <c r="H696" s="6"/>
      <c r="I696" s="6"/>
      <c r="J696" s="6"/>
      <c r="K696" s="6"/>
      <c r="L696" s="8"/>
      <c r="M696" s="8"/>
      <c r="N696" s="6"/>
      <c r="O696" s="6"/>
      <c r="P696" s="6"/>
      <c r="Q696" s="6"/>
      <c r="R696" s="6"/>
      <c r="S696" s="6"/>
      <c r="T696" s="6"/>
      <c r="X696" s="12"/>
      <c r="Y696" s="12"/>
    </row>
    <row r="697" ht="14.25" customHeight="1">
      <c r="A697" s="6"/>
      <c r="B697" s="6"/>
      <c r="D697" s="6"/>
      <c r="E697" s="6"/>
      <c r="F697" s="6"/>
      <c r="G697" s="6"/>
      <c r="H697" s="6"/>
      <c r="I697" s="6"/>
      <c r="J697" s="6"/>
      <c r="K697" s="6"/>
      <c r="L697" s="8"/>
      <c r="M697" s="8"/>
      <c r="N697" s="6"/>
      <c r="O697" s="6"/>
      <c r="P697" s="6"/>
      <c r="Q697" s="6"/>
      <c r="R697" s="6"/>
      <c r="S697" s="6"/>
      <c r="T697" s="6"/>
      <c r="X697" s="12"/>
      <c r="Y697" s="12"/>
    </row>
    <row r="698" ht="14.25" customHeight="1">
      <c r="A698" s="6"/>
      <c r="B698" s="6"/>
      <c r="D698" s="6"/>
      <c r="E698" s="6"/>
      <c r="F698" s="6"/>
      <c r="G698" s="6"/>
      <c r="H698" s="6"/>
      <c r="I698" s="6"/>
      <c r="J698" s="6"/>
      <c r="K698" s="6"/>
      <c r="L698" s="8"/>
      <c r="M698" s="8"/>
      <c r="N698" s="6"/>
      <c r="O698" s="6"/>
      <c r="P698" s="6"/>
      <c r="Q698" s="6"/>
      <c r="R698" s="6"/>
      <c r="S698" s="6"/>
      <c r="T698" s="6"/>
      <c r="X698" s="12"/>
      <c r="Y698" s="12"/>
    </row>
    <row r="699" ht="14.25" customHeight="1">
      <c r="A699" s="6"/>
      <c r="B699" s="6"/>
      <c r="D699" s="6"/>
      <c r="E699" s="6"/>
      <c r="F699" s="6"/>
      <c r="G699" s="6"/>
      <c r="H699" s="6"/>
      <c r="I699" s="6"/>
      <c r="J699" s="6"/>
      <c r="K699" s="6"/>
      <c r="L699" s="8"/>
      <c r="M699" s="8"/>
      <c r="N699" s="6"/>
      <c r="O699" s="6"/>
      <c r="P699" s="6"/>
      <c r="Q699" s="6"/>
      <c r="R699" s="6"/>
      <c r="S699" s="6"/>
      <c r="T699" s="6"/>
      <c r="X699" s="12"/>
      <c r="Y699" s="12"/>
    </row>
    <row r="700" ht="14.25" customHeight="1">
      <c r="A700" s="6"/>
      <c r="B700" s="6"/>
      <c r="D700" s="6"/>
      <c r="E700" s="6"/>
      <c r="F700" s="6"/>
      <c r="G700" s="6"/>
      <c r="H700" s="6"/>
      <c r="I700" s="6"/>
      <c r="J700" s="6"/>
      <c r="K700" s="6"/>
      <c r="L700" s="8"/>
      <c r="M700" s="8"/>
      <c r="N700" s="6"/>
      <c r="O700" s="6"/>
      <c r="P700" s="6"/>
      <c r="Q700" s="6"/>
      <c r="R700" s="6"/>
      <c r="S700" s="6"/>
      <c r="T700" s="6"/>
      <c r="X700" s="12"/>
      <c r="Y700" s="12"/>
    </row>
    <row r="701" ht="14.25" customHeight="1">
      <c r="A701" s="6"/>
      <c r="B701" s="6"/>
      <c r="D701" s="6"/>
      <c r="E701" s="6"/>
      <c r="F701" s="6"/>
      <c r="G701" s="6"/>
      <c r="H701" s="6"/>
      <c r="I701" s="6"/>
      <c r="J701" s="6"/>
      <c r="K701" s="6"/>
      <c r="L701" s="8"/>
      <c r="M701" s="8"/>
      <c r="N701" s="6"/>
      <c r="O701" s="6"/>
      <c r="P701" s="6"/>
      <c r="Q701" s="6"/>
      <c r="R701" s="6"/>
      <c r="S701" s="6"/>
      <c r="T701" s="6"/>
      <c r="X701" s="12"/>
      <c r="Y701" s="12"/>
    </row>
    <row r="702" ht="14.25" customHeight="1">
      <c r="A702" s="6"/>
      <c r="B702" s="6"/>
      <c r="D702" s="6"/>
      <c r="E702" s="6"/>
      <c r="F702" s="6"/>
      <c r="G702" s="6"/>
      <c r="H702" s="6"/>
      <c r="I702" s="6"/>
      <c r="J702" s="6"/>
      <c r="K702" s="6"/>
      <c r="L702" s="8"/>
      <c r="M702" s="8"/>
      <c r="N702" s="6"/>
      <c r="O702" s="6"/>
      <c r="P702" s="6"/>
      <c r="Q702" s="6"/>
      <c r="R702" s="6"/>
      <c r="S702" s="6"/>
      <c r="T702" s="6"/>
      <c r="X702" s="12"/>
      <c r="Y702" s="12"/>
    </row>
    <row r="703" ht="14.25" customHeight="1">
      <c r="A703" s="6"/>
      <c r="B703" s="6"/>
      <c r="D703" s="6"/>
      <c r="E703" s="6"/>
      <c r="F703" s="6"/>
      <c r="G703" s="6"/>
      <c r="H703" s="6"/>
      <c r="I703" s="6"/>
      <c r="J703" s="6"/>
      <c r="K703" s="6"/>
      <c r="L703" s="8"/>
      <c r="M703" s="8"/>
      <c r="N703" s="6"/>
      <c r="O703" s="6"/>
      <c r="P703" s="6"/>
      <c r="Q703" s="6"/>
      <c r="R703" s="6"/>
      <c r="S703" s="6"/>
      <c r="T703" s="6"/>
      <c r="X703" s="12"/>
      <c r="Y703" s="12"/>
    </row>
    <row r="704" ht="14.25" customHeight="1">
      <c r="A704" s="6"/>
      <c r="B704" s="6"/>
      <c r="D704" s="6"/>
      <c r="E704" s="6"/>
      <c r="F704" s="6"/>
      <c r="G704" s="6"/>
      <c r="H704" s="6"/>
      <c r="I704" s="6"/>
      <c r="J704" s="6"/>
      <c r="K704" s="6"/>
      <c r="L704" s="8"/>
      <c r="M704" s="8"/>
      <c r="N704" s="6"/>
      <c r="O704" s="6"/>
      <c r="P704" s="6"/>
      <c r="Q704" s="6"/>
      <c r="R704" s="6"/>
      <c r="S704" s="6"/>
      <c r="T704" s="6"/>
      <c r="X704" s="12"/>
      <c r="Y704" s="12"/>
    </row>
    <row r="705" ht="14.25" customHeight="1">
      <c r="A705" s="6"/>
      <c r="B705" s="6"/>
      <c r="D705" s="6"/>
      <c r="E705" s="6"/>
      <c r="F705" s="6"/>
      <c r="G705" s="6"/>
      <c r="H705" s="6"/>
      <c r="I705" s="6"/>
      <c r="J705" s="6"/>
      <c r="K705" s="6"/>
      <c r="L705" s="8"/>
      <c r="M705" s="8"/>
      <c r="N705" s="6"/>
      <c r="O705" s="6"/>
      <c r="P705" s="6"/>
      <c r="Q705" s="6"/>
      <c r="R705" s="6"/>
      <c r="S705" s="6"/>
      <c r="T705" s="6"/>
      <c r="X705" s="12"/>
      <c r="Y705" s="12"/>
    </row>
    <row r="706" ht="14.25" customHeight="1">
      <c r="A706" s="6"/>
      <c r="B706" s="6"/>
      <c r="D706" s="6"/>
      <c r="E706" s="6"/>
      <c r="F706" s="6"/>
      <c r="G706" s="6"/>
      <c r="H706" s="6"/>
      <c r="I706" s="6"/>
      <c r="J706" s="6"/>
      <c r="K706" s="6"/>
      <c r="L706" s="8"/>
      <c r="M706" s="8"/>
      <c r="N706" s="6"/>
      <c r="O706" s="6"/>
      <c r="P706" s="6"/>
      <c r="Q706" s="6"/>
      <c r="R706" s="6"/>
      <c r="S706" s="6"/>
      <c r="T706" s="6"/>
      <c r="X706" s="12"/>
      <c r="Y706" s="12"/>
    </row>
    <row r="707" ht="14.25" customHeight="1">
      <c r="A707" s="6"/>
      <c r="B707" s="6"/>
      <c r="D707" s="6"/>
      <c r="E707" s="6"/>
      <c r="F707" s="6"/>
      <c r="G707" s="6"/>
      <c r="H707" s="6"/>
      <c r="I707" s="6"/>
      <c r="J707" s="6"/>
      <c r="K707" s="6"/>
      <c r="L707" s="8"/>
      <c r="M707" s="8"/>
      <c r="N707" s="6"/>
      <c r="O707" s="6"/>
      <c r="P707" s="6"/>
      <c r="Q707" s="6"/>
      <c r="R707" s="6"/>
      <c r="S707" s="6"/>
      <c r="T707" s="6"/>
      <c r="X707" s="12"/>
      <c r="Y707" s="12"/>
    </row>
    <row r="708" ht="14.25" customHeight="1">
      <c r="A708" s="6"/>
      <c r="B708" s="6"/>
      <c r="D708" s="6"/>
      <c r="E708" s="6"/>
      <c r="F708" s="6"/>
      <c r="G708" s="6"/>
      <c r="H708" s="6"/>
      <c r="I708" s="6"/>
      <c r="J708" s="6"/>
      <c r="K708" s="6"/>
      <c r="L708" s="8"/>
      <c r="M708" s="8"/>
      <c r="N708" s="6"/>
      <c r="O708" s="6"/>
      <c r="P708" s="6"/>
      <c r="Q708" s="6"/>
      <c r="R708" s="6"/>
      <c r="S708" s="6"/>
      <c r="T708" s="6"/>
      <c r="X708" s="12"/>
      <c r="Y708" s="12"/>
    </row>
    <row r="709" ht="14.25" customHeight="1">
      <c r="A709" s="6"/>
      <c r="B709" s="6"/>
      <c r="D709" s="6"/>
      <c r="E709" s="6"/>
      <c r="F709" s="6"/>
      <c r="G709" s="6"/>
      <c r="H709" s="6"/>
      <c r="I709" s="6"/>
      <c r="J709" s="6"/>
      <c r="K709" s="6"/>
      <c r="L709" s="8"/>
      <c r="M709" s="8"/>
      <c r="N709" s="6"/>
      <c r="O709" s="6"/>
      <c r="P709" s="6"/>
      <c r="Q709" s="6"/>
      <c r="R709" s="6"/>
      <c r="S709" s="6"/>
      <c r="T709" s="6"/>
      <c r="X709" s="12"/>
      <c r="Y709" s="12"/>
    </row>
    <row r="710" ht="14.25" customHeight="1">
      <c r="A710" s="6"/>
      <c r="B710" s="6"/>
      <c r="D710" s="6"/>
      <c r="E710" s="6"/>
      <c r="F710" s="6"/>
      <c r="G710" s="6"/>
      <c r="H710" s="6"/>
      <c r="I710" s="6"/>
      <c r="J710" s="6"/>
      <c r="K710" s="6"/>
      <c r="L710" s="8"/>
      <c r="M710" s="8"/>
      <c r="N710" s="6"/>
      <c r="O710" s="6"/>
      <c r="P710" s="6"/>
      <c r="Q710" s="6"/>
      <c r="R710" s="6"/>
      <c r="S710" s="6"/>
      <c r="T710" s="6"/>
      <c r="X710" s="12"/>
      <c r="Y710" s="12"/>
    </row>
    <row r="711" ht="14.25" customHeight="1">
      <c r="A711" s="6"/>
      <c r="B711" s="6"/>
      <c r="D711" s="6"/>
      <c r="E711" s="6"/>
      <c r="F711" s="6"/>
      <c r="G711" s="6"/>
      <c r="H711" s="6"/>
      <c r="I711" s="6"/>
      <c r="J711" s="6"/>
      <c r="K711" s="6"/>
      <c r="L711" s="8"/>
      <c r="M711" s="8"/>
      <c r="N711" s="6"/>
      <c r="O711" s="6"/>
      <c r="P711" s="6"/>
      <c r="Q711" s="6"/>
      <c r="R711" s="6"/>
      <c r="S711" s="6"/>
      <c r="T711" s="6"/>
      <c r="X711" s="12"/>
      <c r="Y711" s="12"/>
    </row>
    <row r="712" ht="14.25" customHeight="1">
      <c r="A712" s="6"/>
      <c r="B712" s="6"/>
      <c r="D712" s="6"/>
      <c r="E712" s="6"/>
      <c r="F712" s="6"/>
      <c r="G712" s="6"/>
      <c r="H712" s="6"/>
      <c r="I712" s="6"/>
      <c r="J712" s="6"/>
      <c r="K712" s="6"/>
      <c r="L712" s="8"/>
      <c r="M712" s="8"/>
      <c r="N712" s="6"/>
      <c r="O712" s="6"/>
      <c r="P712" s="6"/>
      <c r="Q712" s="6"/>
      <c r="R712" s="6"/>
      <c r="S712" s="6"/>
      <c r="T712" s="6"/>
      <c r="X712" s="12"/>
      <c r="Y712" s="12"/>
    </row>
    <row r="713" ht="14.25" customHeight="1">
      <c r="A713" s="6"/>
      <c r="B713" s="6"/>
      <c r="D713" s="6"/>
      <c r="E713" s="6"/>
      <c r="F713" s="6"/>
      <c r="G713" s="6"/>
      <c r="H713" s="6"/>
      <c r="I713" s="6"/>
      <c r="J713" s="6"/>
      <c r="K713" s="6"/>
      <c r="L713" s="8"/>
      <c r="M713" s="8"/>
      <c r="N713" s="6"/>
      <c r="O713" s="6"/>
      <c r="P713" s="6"/>
      <c r="Q713" s="6"/>
      <c r="R713" s="6"/>
      <c r="S713" s="6"/>
      <c r="T713" s="6"/>
      <c r="X713" s="12"/>
      <c r="Y713" s="12"/>
    </row>
    <row r="714" ht="14.25" customHeight="1">
      <c r="A714" s="6"/>
      <c r="B714" s="6"/>
      <c r="D714" s="6"/>
      <c r="E714" s="6"/>
      <c r="F714" s="6"/>
      <c r="G714" s="6"/>
      <c r="H714" s="6"/>
      <c r="I714" s="6"/>
      <c r="J714" s="6"/>
      <c r="K714" s="6"/>
      <c r="L714" s="8"/>
      <c r="M714" s="8"/>
      <c r="N714" s="6"/>
      <c r="O714" s="6"/>
      <c r="P714" s="6"/>
      <c r="Q714" s="6"/>
      <c r="R714" s="6"/>
      <c r="S714" s="6"/>
      <c r="T714" s="6"/>
      <c r="X714" s="12"/>
      <c r="Y714" s="12"/>
    </row>
    <row r="715" ht="14.25" customHeight="1">
      <c r="A715" s="6"/>
      <c r="B715" s="6"/>
      <c r="D715" s="6"/>
      <c r="E715" s="6"/>
      <c r="F715" s="6"/>
      <c r="G715" s="6"/>
      <c r="H715" s="6"/>
      <c r="I715" s="6"/>
      <c r="J715" s="6"/>
      <c r="K715" s="6"/>
      <c r="L715" s="8"/>
      <c r="M715" s="8"/>
      <c r="N715" s="6"/>
      <c r="O715" s="6"/>
      <c r="P715" s="6"/>
      <c r="Q715" s="6"/>
      <c r="R715" s="6"/>
      <c r="S715" s="6"/>
      <c r="T715" s="6"/>
      <c r="X715" s="12"/>
      <c r="Y715" s="12"/>
    </row>
    <row r="716" ht="14.25" customHeight="1">
      <c r="A716" s="6"/>
      <c r="B716" s="6"/>
      <c r="D716" s="6"/>
      <c r="E716" s="6"/>
      <c r="F716" s="6"/>
      <c r="G716" s="6"/>
      <c r="H716" s="6"/>
      <c r="I716" s="6"/>
      <c r="J716" s="6"/>
      <c r="K716" s="6"/>
      <c r="L716" s="8"/>
      <c r="M716" s="8"/>
      <c r="N716" s="6"/>
      <c r="O716" s="6"/>
      <c r="P716" s="6"/>
      <c r="Q716" s="6"/>
      <c r="R716" s="6"/>
      <c r="S716" s="6"/>
      <c r="T716" s="6"/>
      <c r="X716" s="12"/>
      <c r="Y716" s="12"/>
    </row>
    <row r="717" ht="14.25" customHeight="1">
      <c r="A717" s="6"/>
      <c r="B717" s="6"/>
      <c r="D717" s="6"/>
      <c r="E717" s="6"/>
      <c r="F717" s="6"/>
      <c r="G717" s="6"/>
      <c r="H717" s="6"/>
      <c r="I717" s="6"/>
      <c r="J717" s="6"/>
      <c r="K717" s="6"/>
      <c r="L717" s="8"/>
      <c r="M717" s="8"/>
      <c r="N717" s="6"/>
      <c r="O717" s="6"/>
      <c r="P717" s="6"/>
      <c r="Q717" s="6"/>
      <c r="R717" s="6"/>
      <c r="S717" s="6"/>
      <c r="T717" s="6"/>
      <c r="X717" s="12"/>
      <c r="Y717" s="12"/>
    </row>
    <row r="718" ht="14.25" customHeight="1">
      <c r="A718" s="6"/>
      <c r="B718" s="6"/>
      <c r="D718" s="6"/>
      <c r="E718" s="6"/>
      <c r="F718" s="6"/>
      <c r="G718" s="6"/>
      <c r="H718" s="6"/>
      <c r="I718" s="6"/>
      <c r="J718" s="6"/>
      <c r="K718" s="6"/>
      <c r="L718" s="8"/>
      <c r="M718" s="8"/>
      <c r="N718" s="6"/>
      <c r="O718" s="6"/>
      <c r="P718" s="6"/>
      <c r="Q718" s="6"/>
      <c r="R718" s="6"/>
      <c r="S718" s="6"/>
      <c r="T718" s="6"/>
      <c r="X718" s="12"/>
      <c r="Y718" s="12"/>
    </row>
    <row r="719" ht="14.25" customHeight="1">
      <c r="A719" s="6"/>
      <c r="B719" s="6"/>
      <c r="D719" s="6"/>
      <c r="E719" s="6"/>
      <c r="F719" s="6"/>
      <c r="G719" s="6"/>
      <c r="H719" s="6"/>
      <c r="I719" s="6"/>
      <c r="J719" s="6"/>
      <c r="K719" s="6"/>
      <c r="L719" s="8"/>
      <c r="M719" s="8"/>
      <c r="N719" s="6"/>
      <c r="O719" s="6"/>
      <c r="P719" s="6"/>
      <c r="Q719" s="6"/>
      <c r="R719" s="6"/>
      <c r="S719" s="6"/>
      <c r="T719" s="6"/>
      <c r="X719" s="12"/>
      <c r="Y719" s="12"/>
    </row>
    <row r="720" ht="14.25" customHeight="1">
      <c r="A720" s="6"/>
      <c r="B720" s="6"/>
      <c r="D720" s="6"/>
      <c r="E720" s="6"/>
      <c r="F720" s="6"/>
      <c r="G720" s="6"/>
      <c r="H720" s="6"/>
      <c r="I720" s="6"/>
      <c r="J720" s="6"/>
      <c r="K720" s="6"/>
      <c r="L720" s="8"/>
      <c r="M720" s="8"/>
      <c r="N720" s="6"/>
      <c r="O720" s="6"/>
      <c r="P720" s="6"/>
      <c r="Q720" s="6"/>
      <c r="R720" s="6"/>
      <c r="S720" s="6"/>
      <c r="T720" s="6"/>
      <c r="X720" s="12"/>
      <c r="Y720" s="12"/>
    </row>
    <row r="721" ht="14.25" customHeight="1">
      <c r="A721" s="6"/>
      <c r="B721" s="6"/>
      <c r="D721" s="6"/>
      <c r="E721" s="6"/>
      <c r="F721" s="6"/>
      <c r="G721" s="6"/>
      <c r="H721" s="6"/>
      <c r="I721" s="6"/>
      <c r="J721" s="6"/>
      <c r="K721" s="6"/>
      <c r="L721" s="8"/>
      <c r="M721" s="8"/>
      <c r="N721" s="6"/>
      <c r="O721" s="6"/>
      <c r="P721" s="6"/>
      <c r="Q721" s="6"/>
      <c r="R721" s="6"/>
      <c r="S721" s="6"/>
      <c r="T721" s="6"/>
      <c r="X721" s="12"/>
      <c r="Y721" s="12"/>
    </row>
    <row r="722" ht="14.25" customHeight="1">
      <c r="A722" s="6"/>
      <c r="B722" s="6"/>
      <c r="D722" s="6"/>
      <c r="E722" s="6"/>
      <c r="F722" s="6"/>
      <c r="G722" s="6"/>
      <c r="H722" s="6"/>
      <c r="I722" s="6"/>
      <c r="J722" s="6"/>
      <c r="K722" s="6"/>
      <c r="L722" s="8"/>
      <c r="M722" s="8"/>
      <c r="N722" s="6"/>
      <c r="O722" s="6"/>
      <c r="P722" s="6"/>
      <c r="Q722" s="6"/>
      <c r="R722" s="6"/>
      <c r="S722" s="6"/>
      <c r="T722" s="6"/>
      <c r="X722" s="12"/>
      <c r="Y722" s="12"/>
    </row>
    <row r="723" ht="14.25" customHeight="1">
      <c r="A723" s="6"/>
      <c r="B723" s="6"/>
      <c r="D723" s="6"/>
      <c r="E723" s="6"/>
      <c r="F723" s="6"/>
      <c r="G723" s="6"/>
      <c r="H723" s="6"/>
      <c r="I723" s="6"/>
      <c r="J723" s="6"/>
      <c r="K723" s="6"/>
      <c r="L723" s="8"/>
      <c r="M723" s="8"/>
      <c r="N723" s="6"/>
      <c r="O723" s="6"/>
      <c r="P723" s="6"/>
      <c r="Q723" s="6"/>
      <c r="R723" s="6"/>
      <c r="S723" s="6"/>
      <c r="T723" s="6"/>
      <c r="X723" s="12"/>
      <c r="Y723" s="12"/>
    </row>
    <row r="724" ht="14.25" customHeight="1">
      <c r="A724" s="6"/>
      <c r="B724" s="6"/>
      <c r="D724" s="6"/>
      <c r="E724" s="6"/>
      <c r="F724" s="6"/>
      <c r="G724" s="6"/>
      <c r="H724" s="6"/>
      <c r="I724" s="6"/>
      <c r="J724" s="6"/>
      <c r="K724" s="6"/>
      <c r="L724" s="8"/>
      <c r="M724" s="8"/>
      <c r="N724" s="6"/>
      <c r="O724" s="6"/>
      <c r="P724" s="6"/>
      <c r="Q724" s="6"/>
      <c r="R724" s="6"/>
      <c r="S724" s="6"/>
      <c r="T724" s="6"/>
      <c r="X724" s="12"/>
      <c r="Y724" s="12"/>
    </row>
    <row r="725" ht="14.25" customHeight="1">
      <c r="A725" s="6"/>
      <c r="B725" s="6"/>
      <c r="D725" s="6"/>
      <c r="E725" s="6"/>
      <c r="F725" s="6"/>
      <c r="G725" s="6"/>
      <c r="H725" s="6"/>
      <c r="I725" s="6"/>
      <c r="J725" s="6"/>
      <c r="K725" s="6"/>
      <c r="L725" s="8"/>
      <c r="M725" s="8"/>
      <c r="N725" s="6"/>
      <c r="O725" s="6"/>
      <c r="P725" s="6"/>
      <c r="Q725" s="6"/>
      <c r="R725" s="6"/>
      <c r="S725" s="6"/>
      <c r="T725" s="6"/>
      <c r="X725" s="12"/>
      <c r="Y725" s="12"/>
    </row>
    <row r="726" ht="14.25" customHeight="1">
      <c r="A726" s="6"/>
      <c r="B726" s="6"/>
      <c r="D726" s="6"/>
      <c r="E726" s="6"/>
      <c r="F726" s="6"/>
      <c r="G726" s="6"/>
      <c r="H726" s="6"/>
      <c r="I726" s="6"/>
      <c r="J726" s="6"/>
      <c r="K726" s="6"/>
      <c r="L726" s="8"/>
      <c r="M726" s="8"/>
      <c r="N726" s="6"/>
      <c r="O726" s="6"/>
      <c r="P726" s="6"/>
      <c r="Q726" s="6"/>
      <c r="R726" s="6"/>
      <c r="S726" s="6"/>
      <c r="T726" s="6"/>
      <c r="X726" s="12"/>
      <c r="Y726" s="12"/>
    </row>
    <row r="727" ht="14.25" customHeight="1">
      <c r="A727" s="6"/>
      <c r="B727" s="6"/>
      <c r="D727" s="6"/>
      <c r="E727" s="6"/>
      <c r="F727" s="6"/>
      <c r="G727" s="6"/>
      <c r="H727" s="6"/>
      <c r="I727" s="6"/>
      <c r="J727" s="6"/>
      <c r="K727" s="6"/>
      <c r="L727" s="8"/>
      <c r="M727" s="8"/>
      <c r="N727" s="6"/>
      <c r="O727" s="6"/>
      <c r="P727" s="6"/>
      <c r="Q727" s="6"/>
      <c r="R727" s="6"/>
      <c r="S727" s="6"/>
      <c r="T727" s="6"/>
      <c r="X727" s="12"/>
      <c r="Y727" s="12"/>
    </row>
    <row r="728" ht="14.25" customHeight="1">
      <c r="A728" s="6"/>
      <c r="B728" s="6"/>
      <c r="D728" s="6"/>
      <c r="E728" s="6"/>
      <c r="F728" s="6"/>
      <c r="G728" s="6"/>
      <c r="H728" s="6"/>
      <c r="I728" s="6"/>
      <c r="J728" s="6"/>
      <c r="K728" s="6"/>
      <c r="L728" s="8"/>
      <c r="M728" s="8"/>
      <c r="N728" s="6"/>
      <c r="O728" s="6"/>
      <c r="P728" s="6"/>
      <c r="Q728" s="6"/>
      <c r="R728" s="6"/>
      <c r="S728" s="6"/>
      <c r="T728" s="6"/>
      <c r="X728" s="12"/>
      <c r="Y728" s="12"/>
    </row>
    <row r="729" ht="14.25" customHeight="1">
      <c r="A729" s="6"/>
      <c r="B729" s="6"/>
      <c r="D729" s="6"/>
      <c r="E729" s="6"/>
      <c r="F729" s="6"/>
      <c r="G729" s="6"/>
      <c r="H729" s="6"/>
      <c r="I729" s="6"/>
      <c r="J729" s="6"/>
      <c r="K729" s="6"/>
      <c r="L729" s="8"/>
      <c r="M729" s="8"/>
      <c r="N729" s="6"/>
      <c r="O729" s="6"/>
      <c r="P729" s="6"/>
      <c r="Q729" s="6"/>
      <c r="R729" s="6"/>
      <c r="S729" s="6"/>
      <c r="T729" s="6"/>
      <c r="X729" s="12"/>
      <c r="Y729" s="12"/>
    </row>
    <row r="730" ht="14.25" customHeight="1">
      <c r="A730" s="6"/>
      <c r="B730" s="6"/>
      <c r="D730" s="6"/>
      <c r="E730" s="6"/>
      <c r="F730" s="6"/>
      <c r="G730" s="6"/>
      <c r="H730" s="6"/>
      <c r="I730" s="6"/>
      <c r="J730" s="6"/>
      <c r="K730" s="6"/>
      <c r="L730" s="8"/>
      <c r="M730" s="8"/>
      <c r="N730" s="6"/>
      <c r="O730" s="6"/>
      <c r="P730" s="6"/>
      <c r="Q730" s="6"/>
      <c r="R730" s="6"/>
      <c r="S730" s="6"/>
      <c r="T730" s="6"/>
      <c r="X730" s="12"/>
      <c r="Y730" s="12"/>
    </row>
    <row r="731" ht="14.25" customHeight="1">
      <c r="A731" s="6"/>
      <c r="B731" s="6"/>
      <c r="D731" s="6"/>
      <c r="E731" s="6"/>
      <c r="F731" s="6"/>
      <c r="G731" s="6"/>
      <c r="H731" s="6"/>
      <c r="I731" s="6"/>
      <c r="J731" s="6"/>
      <c r="K731" s="6"/>
      <c r="L731" s="8"/>
      <c r="M731" s="8"/>
      <c r="N731" s="6"/>
      <c r="O731" s="6"/>
      <c r="P731" s="6"/>
      <c r="Q731" s="6"/>
      <c r="R731" s="6"/>
      <c r="S731" s="6"/>
      <c r="T731" s="6"/>
      <c r="X731" s="12"/>
      <c r="Y731" s="12"/>
    </row>
    <row r="732" ht="14.25" customHeight="1">
      <c r="A732" s="6"/>
      <c r="B732" s="6"/>
      <c r="D732" s="6"/>
      <c r="E732" s="6"/>
      <c r="F732" s="6"/>
      <c r="G732" s="6"/>
      <c r="H732" s="6"/>
      <c r="I732" s="6"/>
      <c r="J732" s="6"/>
      <c r="K732" s="6"/>
      <c r="L732" s="8"/>
      <c r="M732" s="8"/>
      <c r="N732" s="6"/>
      <c r="O732" s="6"/>
      <c r="P732" s="6"/>
      <c r="Q732" s="6"/>
      <c r="R732" s="6"/>
      <c r="S732" s="6"/>
      <c r="T732" s="6"/>
      <c r="X732" s="12"/>
      <c r="Y732" s="12"/>
    </row>
    <row r="733" ht="14.25" customHeight="1">
      <c r="A733" s="6"/>
      <c r="B733" s="6"/>
      <c r="D733" s="6"/>
      <c r="E733" s="6"/>
      <c r="F733" s="6"/>
      <c r="G733" s="6"/>
      <c r="H733" s="6"/>
      <c r="I733" s="6"/>
      <c r="J733" s="6"/>
      <c r="K733" s="6"/>
      <c r="L733" s="8"/>
      <c r="M733" s="8"/>
      <c r="N733" s="6"/>
      <c r="O733" s="6"/>
      <c r="P733" s="6"/>
      <c r="Q733" s="6"/>
      <c r="R733" s="6"/>
      <c r="S733" s="6"/>
      <c r="T733" s="6"/>
      <c r="X733" s="12"/>
      <c r="Y733" s="12"/>
    </row>
    <row r="734" ht="14.25" customHeight="1">
      <c r="A734" s="6"/>
      <c r="B734" s="6"/>
      <c r="D734" s="6"/>
      <c r="E734" s="6"/>
      <c r="F734" s="6"/>
      <c r="G734" s="6"/>
      <c r="H734" s="6"/>
      <c r="I734" s="6"/>
      <c r="J734" s="6"/>
      <c r="K734" s="6"/>
      <c r="L734" s="8"/>
      <c r="M734" s="8"/>
      <c r="N734" s="6"/>
      <c r="O734" s="6"/>
      <c r="P734" s="6"/>
      <c r="Q734" s="6"/>
      <c r="R734" s="6"/>
      <c r="S734" s="6"/>
      <c r="T734" s="6"/>
      <c r="X734" s="12"/>
      <c r="Y734" s="12"/>
    </row>
    <row r="735" ht="14.25" customHeight="1">
      <c r="A735" s="6"/>
      <c r="B735" s="6"/>
      <c r="D735" s="6"/>
      <c r="E735" s="6"/>
      <c r="F735" s="6"/>
      <c r="G735" s="6"/>
      <c r="H735" s="6"/>
      <c r="I735" s="6"/>
      <c r="J735" s="6"/>
      <c r="K735" s="6"/>
      <c r="L735" s="8"/>
      <c r="M735" s="8"/>
      <c r="N735" s="6"/>
      <c r="O735" s="6"/>
      <c r="P735" s="6"/>
      <c r="Q735" s="6"/>
      <c r="R735" s="6"/>
      <c r="S735" s="6"/>
      <c r="T735" s="6"/>
      <c r="X735" s="12"/>
      <c r="Y735" s="12"/>
    </row>
    <row r="736" ht="14.25" customHeight="1">
      <c r="A736" s="6"/>
      <c r="B736" s="6"/>
      <c r="D736" s="6"/>
      <c r="E736" s="6"/>
      <c r="F736" s="6"/>
      <c r="G736" s="6"/>
      <c r="H736" s="6"/>
      <c r="I736" s="6"/>
      <c r="J736" s="6"/>
      <c r="K736" s="6"/>
      <c r="L736" s="8"/>
      <c r="M736" s="8"/>
      <c r="N736" s="6"/>
      <c r="O736" s="6"/>
      <c r="P736" s="6"/>
      <c r="Q736" s="6"/>
      <c r="R736" s="6"/>
      <c r="S736" s="6"/>
      <c r="T736" s="6"/>
      <c r="X736" s="12"/>
      <c r="Y736" s="12"/>
    </row>
    <row r="737" ht="14.25" customHeight="1">
      <c r="A737" s="6"/>
      <c r="B737" s="6"/>
      <c r="D737" s="6"/>
      <c r="E737" s="6"/>
      <c r="F737" s="6"/>
      <c r="G737" s="6"/>
      <c r="H737" s="6"/>
      <c r="I737" s="6"/>
      <c r="J737" s="6"/>
      <c r="K737" s="6"/>
      <c r="L737" s="8"/>
      <c r="M737" s="8"/>
      <c r="N737" s="6"/>
      <c r="O737" s="6"/>
      <c r="P737" s="6"/>
      <c r="Q737" s="6"/>
      <c r="R737" s="6"/>
      <c r="S737" s="6"/>
      <c r="T737" s="6"/>
      <c r="X737" s="12"/>
      <c r="Y737" s="12"/>
    </row>
    <row r="738" ht="14.25" customHeight="1">
      <c r="A738" s="6"/>
      <c r="B738" s="6"/>
      <c r="D738" s="6"/>
      <c r="E738" s="6"/>
      <c r="F738" s="6"/>
      <c r="G738" s="6"/>
      <c r="H738" s="6"/>
      <c r="I738" s="6"/>
      <c r="J738" s="6"/>
      <c r="K738" s="6"/>
      <c r="L738" s="8"/>
      <c r="M738" s="8"/>
      <c r="N738" s="6"/>
      <c r="O738" s="6"/>
      <c r="P738" s="6"/>
      <c r="Q738" s="6"/>
      <c r="R738" s="6"/>
      <c r="S738" s="6"/>
      <c r="T738" s="6"/>
      <c r="X738" s="12"/>
      <c r="Y738" s="12"/>
    </row>
    <row r="739" ht="14.25" customHeight="1">
      <c r="A739" s="6"/>
      <c r="B739" s="6"/>
      <c r="D739" s="6"/>
      <c r="E739" s="6"/>
      <c r="F739" s="6"/>
      <c r="G739" s="6"/>
      <c r="H739" s="6"/>
      <c r="I739" s="6"/>
      <c r="J739" s="6"/>
      <c r="K739" s="6"/>
      <c r="L739" s="8"/>
      <c r="M739" s="8"/>
      <c r="N739" s="6"/>
      <c r="O739" s="6"/>
      <c r="P739" s="6"/>
      <c r="Q739" s="6"/>
      <c r="R739" s="6"/>
      <c r="S739" s="6"/>
      <c r="T739" s="6"/>
      <c r="X739" s="12"/>
      <c r="Y739" s="12"/>
    </row>
    <row r="740" ht="14.25" customHeight="1">
      <c r="A740" s="6"/>
      <c r="B740" s="6"/>
      <c r="D740" s="6"/>
      <c r="E740" s="6"/>
      <c r="F740" s="6"/>
      <c r="G740" s="6"/>
      <c r="H740" s="6"/>
      <c r="I740" s="6"/>
      <c r="J740" s="6"/>
      <c r="K740" s="6"/>
      <c r="L740" s="8"/>
      <c r="M740" s="8"/>
      <c r="N740" s="6"/>
      <c r="O740" s="6"/>
      <c r="P740" s="6"/>
      <c r="Q740" s="6"/>
      <c r="R740" s="6"/>
      <c r="S740" s="6"/>
      <c r="T740" s="6"/>
      <c r="X740" s="12"/>
      <c r="Y740" s="12"/>
    </row>
    <row r="741" ht="14.25" customHeight="1">
      <c r="A741" s="6"/>
      <c r="B741" s="6"/>
      <c r="D741" s="6"/>
      <c r="E741" s="6"/>
      <c r="F741" s="6"/>
      <c r="G741" s="6"/>
      <c r="H741" s="6"/>
      <c r="I741" s="6"/>
      <c r="J741" s="6"/>
      <c r="K741" s="6"/>
      <c r="L741" s="8"/>
      <c r="M741" s="8"/>
      <c r="N741" s="6"/>
      <c r="O741" s="6"/>
      <c r="P741" s="6"/>
      <c r="Q741" s="6"/>
      <c r="R741" s="6"/>
      <c r="S741" s="6"/>
      <c r="T741" s="6"/>
      <c r="X741" s="12"/>
      <c r="Y741" s="12"/>
    </row>
    <row r="742" ht="14.25" customHeight="1">
      <c r="A742" s="6"/>
      <c r="B742" s="6"/>
      <c r="D742" s="6"/>
      <c r="E742" s="6"/>
      <c r="F742" s="6"/>
      <c r="G742" s="6"/>
      <c r="H742" s="6"/>
      <c r="I742" s="6"/>
      <c r="J742" s="6"/>
      <c r="K742" s="6"/>
      <c r="L742" s="8"/>
      <c r="M742" s="8"/>
      <c r="N742" s="6"/>
      <c r="O742" s="6"/>
      <c r="P742" s="6"/>
      <c r="Q742" s="6"/>
      <c r="R742" s="6"/>
      <c r="S742" s="6"/>
      <c r="T742" s="6"/>
      <c r="X742" s="12"/>
      <c r="Y742" s="12"/>
    </row>
    <row r="743" ht="14.25" customHeight="1">
      <c r="A743" s="6"/>
      <c r="B743" s="6"/>
      <c r="D743" s="6"/>
      <c r="E743" s="6"/>
      <c r="F743" s="6"/>
      <c r="G743" s="6"/>
      <c r="H743" s="6"/>
      <c r="I743" s="6"/>
      <c r="J743" s="6"/>
      <c r="K743" s="6"/>
      <c r="L743" s="8"/>
      <c r="M743" s="8"/>
      <c r="N743" s="6"/>
      <c r="O743" s="6"/>
      <c r="P743" s="6"/>
      <c r="Q743" s="6"/>
      <c r="R743" s="6"/>
      <c r="S743" s="6"/>
      <c r="T743" s="6"/>
      <c r="X743" s="12"/>
      <c r="Y743" s="12"/>
    </row>
    <row r="744" ht="14.25" customHeight="1">
      <c r="A744" s="6"/>
      <c r="B744" s="6"/>
      <c r="D744" s="6"/>
      <c r="E744" s="6"/>
      <c r="F744" s="6"/>
      <c r="G744" s="6"/>
      <c r="H744" s="6"/>
      <c r="I744" s="6"/>
      <c r="J744" s="6"/>
      <c r="K744" s="6"/>
      <c r="L744" s="8"/>
      <c r="M744" s="8"/>
      <c r="N744" s="6"/>
      <c r="O744" s="6"/>
      <c r="P744" s="6"/>
      <c r="Q744" s="6"/>
      <c r="R744" s="6"/>
      <c r="S744" s="6"/>
      <c r="T744" s="6"/>
      <c r="X744" s="12"/>
      <c r="Y744" s="12"/>
    </row>
    <row r="745" ht="14.25" customHeight="1">
      <c r="A745" s="6"/>
      <c r="B745" s="6"/>
      <c r="D745" s="6"/>
      <c r="E745" s="6"/>
      <c r="F745" s="6"/>
      <c r="G745" s="6"/>
      <c r="H745" s="6"/>
      <c r="I745" s="6"/>
      <c r="J745" s="6"/>
      <c r="K745" s="6"/>
      <c r="L745" s="8"/>
      <c r="M745" s="8"/>
      <c r="N745" s="6"/>
      <c r="O745" s="6"/>
      <c r="P745" s="6"/>
      <c r="Q745" s="6"/>
      <c r="R745" s="6"/>
      <c r="S745" s="6"/>
      <c r="T745" s="6"/>
      <c r="X745" s="12"/>
      <c r="Y745" s="12"/>
    </row>
    <row r="746" ht="14.25" customHeight="1">
      <c r="A746" s="6"/>
      <c r="B746" s="6"/>
      <c r="D746" s="6"/>
      <c r="E746" s="6"/>
      <c r="F746" s="6"/>
      <c r="G746" s="6"/>
      <c r="H746" s="6"/>
      <c r="I746" s="6"/>
      <c r="J746" s="6"/>
      <c r="K746" s="6"/>
      <c r="L746" s="8"/>
      <c r="M746" s="8"/>
      <c r="N746" s="6"/>
      <c r="O746" s="6"/>
      <c r="P746" s="6"/>
      <c r="Q746" s="6"/>
      <c r="R746" s="6"/>
      <c r="S746" s="6"/>
      <c r="T746" s="6"/>
      <c r="X746" s="12"/>
      <c r="Y746" s="12"/>
    </row>
    <row r="747" ht="14.25" customHeight="1">
      <c r="A747" s="6"/>
      <c r="B747" s="6"/>
      <c r="D747" s="6"/>
      <c r="E747" s="6"/>
      <c r="F747" s="6"/>
      <c r="G747" s="6"/>
      <c r="H747" s="6"/>
      <c r="I747" s="6"/>
      <c r="J747" s="6"/>
      <c r="K747" s="6"/>
      <c r="L747" s="8"/>
      <c r="M747" s="8"/>
      <c r="N747" s="6"/>
      <c r="O747" s="6"/>
      <c r="P747" s="6"/>
      <c r="Q747" s="6"/>
      <c r="R747" s="6"/>
      <c r="S747" s="6"/>
      <c r="T747" s="6"/>
      <c r="X747" s="12"/>
      <c r="Y747" s="12"/>
    </row>
    <row r="748" ht="14.25" customHeight="1">
      <c r="A748" s="6"/>
      <c r="B748" s="6"/>
      <c r="D748" s="6"/>
      <c r="E748" s="6"/>
      <c r="F748" s="6"/>
      <c r="G748" s="6"/>
      <c r="H748" s="6"/>
      <c r="I748" s="6"/>
      <c r="J748" s="6"/>
      <c r="K748" s="6"/>
      <c r="L748" s="8"/>
      <c r="M748" s="8"/>
      <c r="N748" s="6"/>
      <c r="O748" s="6"/>
      <c r="P748" s="6"/>
      <c r="Q748" s="6"/>
      <c r="R748" s="6"/>
      <c r="S748" s="6"/>
      <c r="T748" s="6"/>
      <c r="X748" s="12"/>
      <c r="Y748" s="12"/>
    </row>
    <row r="749" ht="14.25" customHeight="1">
      <c r="A749" s="6"/>
      <c r="B749" s="6"/>
      <c r="D749" s="6"/>
      <c r="E749" s="6"/>
      <c r="F749" s="6"/>
      <c r="G749" s="6"/>
      <c r="H749" s="6"/>
      <c r="I749" s="6"/>
      <c r="J749" s="6"/>
      <c r="K749" s="6"/>
      <c r="L749" s="8"/>
      <c r="M749" s="8"/>
      <c r="N749" s="6"/>
      <c r="O749" s="6"/>
      <c r="P749" s="6"/>
      <c r="Q749" s="6"/>
      <c r="R749" s="6"/>
      <c r="S749" s="6"/>
      <c r="T749" s="6"/>
      <c r="X749" s="12"/>
      <c r="Y749" s="12"/>
    </row>
    <row r="750" ht="14.25" customHeight="1">
      <c r="A750" s="6"/>
      <c r="B750" s="6"/>
      <c r="D750" s="6"/>
      <c r="E750" s="6"/>
      <c r="F750" s="6"/>
      <c r="G750" s="6"/>
      <c r="H750" s="6"/>
      <c r="I750" s="6"/>
      <c r="J750" s="6"/>
      <c r="K750" s="6"/>
      <c r="L750" s="8"/>
      <c r="M750" s="8"/>
      <c r="N750" s="6"/>
      <c r="O750" s="6"/>
      <c r="P750" s="6"/>
      <c r="Q750" s="6"/>
      <c r="R750" s="6"/>
      <c r="S750" s="6"/>
      <c r="T750" s="6"/>
      <c r="X750" s="12"/>
      <c r="Y750" s="12"/>
    </row>
    <row r="751" ht="14.25" customHeight="1">
      <c r="A751" s="6"/>
      <c r="B751" s="6"/>
      <c r="D751" s="6"/>
      <c r="E751" s="6"/>
      <c r="F751" s="6"/>
      <c r="G751" s="6"/>
      <c r="H751" s="6"/>
      <c r="I751" s="6"/>
      <c r="J751" s="6"/>
      <c r="K751" s="6"/>
      <c r="L751" s="8"/>
      <c r="M751" s="8"/>
      <c r="N751" s="6"/>
      <c r="O751" s="6"/>
      <c r="P751" s="6"/>
      <c r="Q751" s="6"/>
      <c r="R751" s="6"/>
      <c r="S751" s="6"/>
      <c r="T751" s="6"/>
      <c r="X751" s="12"/>
      <c r="Y751" s="12"/>
    </row>
    <row r="752" ht="14.25" customHeight="1">
      <c r="A752" s="6"/>
      <c r="B752" s="6"/>
      <c r="D752" s="6"/>
      <c r="E752" s="6"/>
      <c r="F752" s="6"/>
      <c r="G752" s="6"/>
      <c r="H752" s="6"/>
      <c r="I752" s="6"/>
      <c r="J752" s="6"/>
      <c r="K752" s="6"/>
      <c r="L752" s="8"/>
      <c r="M752" s="8"/>
      <c r="N752" s="6"/>
      <c r="O752" s="6"/>
      <c r="P752" s="6"/>
      <c r="Q752" s="6"/>
      <c r="R752" s="6"/>
      <c r="S752" s="6"/>
      <c r="T752" s="6"/>
      <c r="X752" s="12"/>
      <c r="Y752" s="12"/>
    </row>
    <row r="753" ht="14.25" customHeight="1">
      <c r="A753" s="6"/>
      <c r="B753" s="6"/>
      <c r="D753" s="6"/>
      <c r="E753" s="6"/>
      <c r="F753" s="6"/>
      <c r="G753" s="6"/>
      <c r="H753" s="6"/>
      <c r="I753" s="6"/>
      <c r="J753" s="6"/>
      <c r="K753" s="6"/>
      <c r="L753" s="8"/>
      <c r="M753" s="8"/>
      <c r="N753" s="6"/>
      <c r="O753" s="6"/>
      <c r="P753" s="6"/>
      <c r="Q753" s="6"/>
      <c r="R753" s="6"/>
      <c r="S753" s="6"/>
      <c r="T753" s="6"/>
      <c r="X753" s="12"/>
      <c r="Y753" s="12"/>
    </row>
    <row r="754" ht="14.25" customHeight="1">
      <c r="A754" s="6"/>
      <c r="B754" s="6"/>
      <c r="D754" s="6"/>
      <c r="E754" s="6"/>
      <c r="F754" s="6"/>
      <c r="G754" s="6"/>
      <c r="H754" s="6"/>
      <c r="I754" s="6"/>
      <c r="J754" s="6"/>
      <c r="K754" s="6"/>
      <c r="L754" s="8"/>
      <c r="M754" s="8"/>
      <c r="N754" s="6"/>
      <c r="O754" s="6"/>
      <c r="P754" s="6"/>
      <c r="Q754" s="6"/>
      <c r="R754" s="6"/>
      <c r="S754" s="6"/>
      <c r="T754" s="6"/>
      <c r="X754" s="12"/>
      <c r="Y754" s="12"/>
    </row>
    <row r="755" ht="14.25" customHeight="1">
      <c r="A755" s="6"/>
      <c r="B755" s="6"/>
      <c r="D755" s="6"/>
      <c r="E755" s="6"/>
      <c r="F755" s="6"/>
      <c r="G755" s="6"/>
      <c r="H755" s="6"/>
      <c r="I755" s="6"/>
      <c r="J755" s="6"/>
      <c r="K755" s="6"/>
      <c r="L755" s="8"/>
      <c r="M755" s="8"/>
      <c r="N755" s="6"/>
      <c r="O755" s="6"/>
      <c r="P755" s="6"/>
      <c r="Q755" s="6"/>
      <c r="R755" s="6"/>
      <c r="S755" s="6"/>
      <c r="T755" s="6"/>
      <c r="X755" s="12"/>
      <c r="Y755" s="12"/>
    </row>
    <row r="756" ht="14.25" customHeight="1">
      <c r="A756" s="6"/>
      <c r="B756" s="6"/>
      <c r="D756" s="6"/>
      <c r="E756" s="6"/>
      <c r="F756" s="6"/>
      <c r="G756" s="6"/>
      <c r="H756" s="6"/>
      <c r="I756" s="6"/>
      <c r="J756" s="6"/>
      <c r="K756" s="6"/>
      <c r="L756" s="8"/>
      <c r="M756" s="8"/>
      <c r="N756" s="6"/>
      <c r="O756" s="6"/>
      <c r="P756" s="6"/>
      <c r="Q756" s="6"/>
      <c r="R756" s="6"/>
      <c r="S756" s="6"/>
      <c r="T756" s="6"/>
      <c r="X756" s="12"/>
      <c r="Y756" s="12"/>
    </row>
    <row r="757" ht="14.25" customHeight="1">
      <c r="A757" s="6"/>
      <c r="B757" s="6"/>
      <c r="D757" s="6"/>
      <c r="E757" s="6"/>
      <c r="F757" s="6"/>
      <c r="G757" s="6"/>
      <c r="H757" s="6"/>
      <c r="I757" s="6"/>
      <c r="J757" s="6"/>
      <c r="K757" s="6"/>
      <c r="L757" s="8"/>
      <c r="M757" s="8"/>
      <c r="N757" s="6"/>
      <c r="O757" s="6"/>
      <c r="P757" s="6"/>
      <c r="Q757" s="6"/>
      <c r="R757" s="6"/>
      <c r="S757" s="6"/>
      <c r="T757" s="6"/>
      <c r="X757" s="12"/>
      <c r="Y757" s="12"/>
    </row>
    <row r="758" ht="14.25" customHeight="1">
      <c r="A758" s="6"/>
      <c r="B758" s="6"/>
      <c r="D758" s="6"/>
      <c r="E758" s="6"/>
      <c r="F758" s="6"/>
      <c r="G758" s="6"/>
      <c r="H758" s="6"/>
      <c r="I758" s="6"/>
      <c r="J758" s="6"/>
      <c r="K758" s="6"/>
      <c r="L758" s="8"/>
      <c r="M758" s="8"/>
      <c r="N758" s="6"/>
      <c r="O758" s="6"/>
      <c r="P758" s="6"/>
      <c r="Q758" s="6"/>
      <c r="R758" s="6"/>
      <c r="S758" s="6"/>
      <c r="T758" s="6"/>
      <c r="X758" s="12"/>
      <c r="Y758" s="12"/>
    </row>
    <row r="759" ht="14.25" customHeight="1">
      <c r="A759" s="6"/>
      <c r="B759" s="6"/>
      <c r="D759" s="6"/>
      <c r="E759" s="6"/>
      <c r="F759" s="6"/>
      <c r="G759" s="6"/>
      <c r="H759" s="6"/>
      <c r="I759" s="6"/>
      <c r="J759" s="6"/>
      <c r="K759" s="6"/>
      <c r="L759" s="8"/>
      <c r="M759" s="8"/>
      <c r="N759" s="6"/>
      <c r="O759" s="6"/>
      <c r="P759" s="6"/>
      <c r="Q759" s="6"/>
      <c r="R759" s="6"/>
      <c r="S759" s="6"/>
      <c r="T759" s="6"/>
      <c r="X759" s="12"/>
      <c r="Y759" s="12"/>
    </row>
    <row r="760" ht="14.25" customHeight="1">
      <c r="A760" s="6"/>
      <c r="B760" s="6"/>
      <c r="D760" s="6"/>
      <c r="E760" s="6"/>
      <c r="F760" s="6"/>
      <c r="G760" s="6"/>
      <c r="H760" s="6"/>
      <c r="I760" s="6"/>
      <c r="J760" s="6"/>
      <c r="K760" s="6"/>
      <c r="L760" s="8"/>
      <c r="M760" s="8"/>
      <c r="N760" s="6"/>
      <c r="O760" s="6"/>
      <c r="P760" s="6"/>
      <c r="Q760" s="6"/>
      <c r="R760" s="6"/>
      <c r="S760" s="6"/>
      <c r="T760" s="6"/>
      <c r="X760" s="12"/>
      <c r="Y760" s="12"/>
    </row>
    <row r="761" ht="14.25" customHeight="1">
      <c r="A761" s="6"/>
      <c r="B761" s="6"/>
      <c r="D761" s="6"/>
      <c r="E761" s="6"/>
      <c r="F761" s="6"/>
      <c r="G761" s="6"/>
      <c r="H761" s="6"/>
      <c r="I761" s="6"/>
      <c r="J761" s="6"/>
      <c r="K761" s="6"/>
      <c r="L761" s="8"/>
      <c r="M761" s="8"/>
      <c r="N761" s="6"/>
      <c r="O761" s="6"/>
      <c r="P761" s="6"/>
      <c r="Q761" s="6"/>
      <c r="R761" s="6"/>
      <c r="S761" s="6"/>
      <c r="T761" s="6"/>
      <c r="X761" s="12"/>
      <c r="Y761" s="12"/>
    </row>
    <row r="762" ht="14.25" customHeight="1">
      <c r="A762" s="6"/>
      <c r="B762" s="6"/>
      <c r="D762" s="6"/>
      <c r="E762" s="6"/>
      <c r="F762" s="6"/>
      <c r="G762" s="6"/>
      <c r="H762" s="6"/>
      <c r="I762" s="6"/>
      <c r="J762" s="6"/>
      <c r="K762" s="6"/>
      <c r="L762" s="8"/>
      <c r="M762" s="8"/>
      <c r="N762" s="6"/>
      <c r="O762" s="6"/>
      <c r="P762" s="6"/>
      <c r="Q762" s="6"/>
      <c r="R762" s="6"/>
      <c r="S762" s="6"/>
      <c r="T762" s="6"/>
      <c r="X762" s="12"/>
      <c r="Y762" s="12"/>
    </row>
    <row r="763" ht="14.25" customHeight="1">
      <c r="A763" s="6"/>
      <c r="B763" s="6"/>
      <c r="D763" s="6"/>
      <c r="E763" s="6"/>
      <c r="F763" s="6"/>
      <c r="G763" s="6"/>
      <c r="H763" s="6"/>
      <c r="I763" s="6"/>
      <c r="J763" s="6"/>
      <c r="K763" s="6"/>
      <c r="L763" s="8"/>
      <c r="M763" s="8"/>
      <c r="N763" s="6"/>
      <c r="O763" s="6"/>
      <c r="P763" s="6"/>
      <c r="Q763" s="6"/>
      <c r="R763" s="6"/>
      <c r="S763" s="6"/>
      <c r="T763" s="6"/>
      <c r="X763" s="12"/>
      <c r="Y763" s="12"/>
    </row>
    <row r="764" ht="14.25" customHeight="1">
      <c r="A764" s="6"/>
      <c r="B764" s="6"/>
      <c r="D764" s="6"/>
      <c r="E764" s="6"/>
      <c r="F764" s="6"/>
      <c r="G764" s="6"/>
      <c r="H764" s="6"/>
      <c r="I764" s="6"/>
      <c r="J764" s="6"/>
      <c r="K764" s="6"/>
      <c r="L764" s="8"/>
      <c r="M764" s="8"/>
      <c r="N764" s="6"/>
      <c r="O764" s="6"/>
      <c r="P764" s="6"/>
      <c r="Q764" s="6"/>
      <c r="R764" s="6"/>
      <c r="S764" s="6"/>
      <c r="T764" s="6"/>
      <c r="X764" s="12"/>
      <c r="Y764" s="12"/>
    </row>
    <row r="765" ht="14.25" customHeight="1">
      <c r="A765" s="6"/>
      <c r="B765" s="6"/>
      <c r="D765" s="6"/>
      <c r="E765" s="6"/>
      <c r="F765" s="6"/>
      <c r="G765" s="6"/>
      <c r="H765" s="6"/>
      <c r="I765" s="6"/>
      <c r="J765" s="6"/>
      <c r="K765" s="6"/>
      <c r="L765" s="8"/>
      <c r="M765" s="8"/>
      <c r="N765" s="6"/>
      <c r="O765" s="6"/>
      <c r="P765" s="6"/>
      <c r="Q765" s="6"/>
      <c r="R765" s="6"/>
      <c r="S765" s="6"/>
      <c r="T765" s="6"/>
      <c r="X765" s="12"/>
      <c r="Y765" s="12"/>
    </row>
    <row r="766" ht="14.25" customHeight="1">
      <c r="A766" s="6"/>
      <c r="B766" s="6"/>
      <c r="D766" s="6"/>
      <c r="E766" s="6"/>
      <c r="F766" s="6"/>
      <c r="G766" s="6"/>
      <c r="H766" s="6"/>
      <c r="I766" s="6"/>
      <c r="J766" s="6"/>
      <c r="K766" s="6"/>
      <c r="L766" s="8"/>
      <c r="M766" s="8"/>
      <c r="N766" s="6"/>
      <c r="O766" s="6"/>
      <c r="P766" s="6"/>
      <c r="Q766" s="6"/>
      <c r="R766" s="6"/>
      <c r="S766" s="6"/>
      <c r="T766" s="6"/>
      <c r="X766" s="12"/>
      <c r="Y766" s="12"/>
    </row>
    <row r="767" ht="14.25" customHeight="1">
      <c r="A767" s="6"/>
      <c r="B767" s="6"/>
      <c r="D767" s="6"/>
      <c r="E767" s="6"/>
      <c r="F767" s="6"/>
      <c r="G767" s="6"/>
      <c r="H767" s="6"/>
      <c r="I767" s="6"/>
      <c r="J767" s="6"/>
      <c r="K767" s="6"/>
      <c r="L767" s="8"/>
      <c r="M767" s="8"/>
      <c r="N767" s="6"/>
      <c r="O767" s="6"/>
      <c r="P767" s="6"/>
      <c r="Q767" s="6"/>
      <c r="R767" s="6"/>
      <c r="S767" s="6"/>
      <c r="T767" s="6"/>
      <c r="X767" s="12"/>
      <c r="Y767" s="12"/>
    </row>
    <row r="768" ht="14.25" customHeight="1">
      <c r="A768" s="6"/>
      <c r="B768" s="6"/>
      <c r="D768" s="6"/>
      <c r="E768" s="6"/>
      <c r="F768" s="6"/>
      <c r="G768" s="6"/>
      <c r="H768" s="6"/>
      <c r="I768" s="6"/>
      <c r="J768" s="6"/>
      <c r="K768" s="6"/>
      <c r="L768" s="8"/>
      <c r="M768" s="8"/>
      <c r="N768" s="6"/>
      <c r="O768" s="6"/>
      <c r="P768" s="6"/>
      <c r="Q768" s="6"/>
      <c r="R768" s="6"/>
      <c r="S768" s="6"/>
      <c r="T768" s="6"/>
      <c r="X768" s="12"/>
      <c r="Y768" s="12"/>
    </row>
    <row r="769" ht="14.25" customHeight="1">
      <c r="A769" s="6"/>
      <c r="B769" s="6"/>
      <c r="D769" s="6"/>
      <c r="E769" s="6"/>
      <c r="F769" s="6"/>
      <c r="G769" s="6"/>
      <c r="H769" s="6"/>
      <c r="I769" s="6"/>
      <c r="J769" s="6"/>
      <c r="K769" s="6"/>
      <c r="L769" s="8"/>
      <c r="M769" s="8"/>
      <c r="N769" s="6"/>
      <c r="O769" s="6"/>
      <c r="P769" s="6"/>
      <c r="Q769" s="6"/>
      <c r="R769" s="6"/>
      <c r="S769" s="6"/>
      <c r="T769" s="6"/>
      <c r="X769" s="12"/>
      <c r="Y769" s="12"/>
    </row>
    <row r="770" ht="14.25" customHeight="1">
      <c r="A770" s="6"/>
      <c r="B770" s="6"/>
      <c r="D770" s="6"/>
      <c r="E770" s="6"/>
      <c r="F770" s="6"/>
      <c r="G770" s="6"/>
      <c r="H770" s="6"/>
      <c r="I770" s="6"/>
      <c r="J770" s="6"/>
      <c r="K770" s="6"/>
      <c r="L770" s="8"/>
      <c r="M770" s="8"/>
      <c r="N770" s="6"/>
      <c r="O770" s="6"/>
      <c r="P770" s="6"/>
      <c r="Q770" s="6"/>
      <c r="R770" s="6"/>
      <c r="S770" s="6"/>
      <c r="T770" s="6"/>
      <c r="X770" s="12"/>
      <c r="Y770" s="12"/>
    </row>
    <row r="771" ht="14.25" customHeight="1">
      <c r="A771" s="6"/>
      <c r="B771" s="6"/>
      <c r="D771" s="6"/>
      <c r="E771" s="6"/>
      <c r="F771" s="6"/>
      <c r="G771" s="6"/>
      <c r="H771" s="6"/>
      <c r="I771" s="6"/>
      <c r="J771" s="6"/>
      <c r="K771" s="6"/>
      <c r="L771" s="8"/>
      <c r="M771" s="8"/>
      <c r="N771" s="6"/>
      <c r="O771" s="6"/>
      <c r="P771" s="6"/>
      <c r="Q771" s="6"/>
      <c r="R771" s="6"/>
      <c r="S771" s="6"/>
      <c r="T771" s="6"/>
      <c r="X771" s="12"/>
      <c r="Y771" s="12"/>
    </row>
    <row r="772" ht="14.25" customHeight="1">
      <c r="A772" s="6"/>
      <c r="B772" s="6"/>
      <c r="D772" s="6"/>
      <c r="E772" s="6"/>
      <c r="F772" s="6"/>
      <c r="G772" s="6"/>
      <c r="H772" s="6"/>
      <c r="I772" s="6"/>
      <c r="J772" s="6"/>
      <c r="K772" s="6"/>
      <c r="L772" s="8"/>
      <c r="M772" s="8"/>
      <c r="N772" s="6"/>
      <c r="O772" s="6"/>
      <c r="P772" s="6"/>
      <c r="Q772" s="6"/>
      <c r="R772" s="6"/>
      <c r="S772" s="6"/>
      <c r="T772" s="6"/>
      <c r="X772" s="12"/>
      <c r="Y772" s="12"/>
    </row>
    <row r="773" ht="14.25" customHeight="1">
      <c r="A773" s="6"/>
      <c r="B773" s="6"/>
      <c r="D773" s="6"/>
      <c r="E773" s="6"/>
      <c r="F773" s="6"/>
      <c r="G773" s="6"/>
      <c r="H773" s="6"/>
      <c r="I773" s="6"/>
      <c r="J773" s="6"/>
      <c r="K773" s="6"/>
      <c r="L773" s="8"/>
      <c r="M773" s="8"/>
      <c r="N773" s="6"/>
      <c r="O773" s="6"/>
      <c r="P773" s="6"/>
      <c r="Q773" s="6"/>
      <c r="R773" s="6"/>
      <c r="S773" s="6"/>
      <c r="T773" s="6"/>
      <c r="X773" s="12"/>
      <c r="Y773" s="12"/>
    </row>
    <row r="774" ht="14.25" customHeight="1">
      <c r="A774" s="6"/>
      <c r="B774" s="6"/>
      <c r="D774" s="6"/>
      <c r="E774" s="6"/>
      <c r="F774" s="6"/>
      <c r="G774" s="6"/>
      <c r="H774" s="6"/>
      <c r="I774" s="6"/>
      <c r="J774" s="6"/>
      <c r="K774" s="6"/>
      <c r="L774" s="8"/>
      <c r="M774" s="8"/>
      <c r="N774" s="6"/>
      <c r="O774" s="6"/>
      <c r="P774" s="6"/>
      <c r="Q774" s="6"/>
      <c r="R774" s="6"/>
      <c r="S774" s="6"/>
      <c r="T774" s="6"/>
      <c r="X774" s="12"/>
      <c r="Y774" s="12"/>
    </row>
    <row r="775" ht="14.25" customHeight="1">
      <c r="A775" s="6"/>
      <c r="B775" s="6"/>
      <c r="D775" s="6"/>
      <c r="E775" s="6"/>
      <c r="F775" s="6"/>
      <c r="G775" s="6"/>
      <c r="H775" s="6"/>
      <c r="I775" s="6"/>
      <c r="J775" s="6"/>
      <c r="K775" s="6"/>
      <c r="L775" s="8"/>
      <c r="M775" s="8"/>
      <c r="N775" s="6"/>
      <c r="O775" s="6"/>
      <c r="P775" s="6"/>
      <c r="Q775" s="6"/>
      <c r="R775" s="6"/>
      <c r="S775" s="6"/>
      <c r="T775" s="6"/>
      <c r="X775" s="12"/>
      <c r="Y775" s="12"/>
    </row>
    <row r="776" ht="14.25" customHeight="1">
      <c r="A776" s="6"/>
      <c r="B776" s="6"/>
      <c r="D776" s="6"/>
      <c r="E776" s="6"/>
      <c r="F776" s="6"/>
      <c r="G776" s="6"/>
      <c r="H776" s="6"/>
      <c r="I776" s="6"/>
      <c r="J776" s="6"/>
      <c r="K776" s="6"/>
      <c r="L776" s="8"/>
      <c r="M776" s="8"/>
      <c r="N776" s="6"/>
      <c r="O776" s="6"/>
      <c r="P776" s="6"/>
      <c r="Q776" s="6"/>
      <c r="R776" s="6"/>
      <c r="S776" s="6"/>
      <c r="T776" s="6"/>
      <c r="X776" s="12"/>
      <c r="Y776" s="12"/>
    </row>
    <row r="777" ht="14.25" customHeight="1">
      <c r="A777" s="6"/>
      <c r="B777" s="6"/>
      <c r="D777" s="6"/>
      <c r="E777" s="6"/>
      <c r="F777" s="6"/>
      <c r="G777" s="6"/>
      <c r="H777" s="6"/>
      <c r="I777" s="6"/>
      <c r="J777" s="6"/>
      <c r="K777" s="6"/>
      <c r="L777" s="8"/>
      <c r="M777" s="8"/>
      <c r="N777" s="6"/>
      <c r="O777" s="6"/>
      <c r="P777" s="6"/>
      <c r="Q777" s="6"/>
      <c r="R777" s="6"/>
      <c r="S777" s="6"/>
      <c r="T777" s="6"/>
      <c r="X777" s="12"/>
      <c r="Y777" s="12"/>
    </row>
    <row r="778" ht="14.25" customHeight="1">
      <c r="A778" s="6"/>
      <c r="B778" s="6"/>
      <c r="D778" s="6"/>
      <c r="E778" s="6"/>
      <c r="F778" s="6"/>
      <c r="G778" s="6"/>
      <c r="H778" s="6"/>
      <c r="I778" s="6"/>
      <c r="J778" s="6"/>
      <c r="K778" s="6"/>
      <c r="L778" s="8"/>
      <c r="M778" s="8"/>
      <c r="N778" s="6"/>
      <c r="O778" s="6"/>
      <c r="P778" s="6"/>
      <c r="Q778" s="6"/>
      <c r="R778" s="6"/>
      <c r="S778" s="6"/>
      <c r="T778" s="6"/>
      <c r="X778" s="12"/>
      <c r="Y778" s="12"/>
    </row>
    <row r="779" ht="14.25" customHeight="1">
      <c r="A779" s="6"/>
      <c r="B779" s="6"/>
      <c r="D779" s="6"/>
      <c r="E779" s="6"/>
      <c r="F779" s="6"/>
      <c r="G779" s="6"/>
      <c r="H779" s="6"/>
      <c r="I779" s="6"/>
      <c r="J779" s="6"/>
      <c r="K779" s="6"/>
      <c r="L779" s="8"/>
      <c r="M779" s="8"/>
      <c r="N779" s="6"/>
      <c r="O779" s="6"/>
      <c r="P779" s="6"/>
      <c r="Q779" s="6"/>
      <c r="R779" s="6"/>
      <c r="S779" s="6"/>
      <c r="T779" s="6"/>
      <c r="X779" s="12"/>
      <c r="Y779" s="12"/>
    </row>
    <row r="780" ht="14.25" customHeight="1">
      <c r="A780" s="6"/>
      <c r="B780" s="6"/>
      <c r="D780" s="6"/>
      <c r="E780" s="6"/>
      <c r="F780" s="6"/>
      <c r="G780" s="6"/>
      <c r="H780" s="6"/>
      <c r="I780" s="6"/>
      <c r="J780" s="6"/>
      <c r="K780" s="6"/>
      <c r="L780" s="8"/>
      <c r="M780" s="8"/>
      <c r="N780" s="6"/>
      <c r="O780" s="6"/>
      <c r="P780" s="6"/>
      <c r="Q780" s="6"/>
      <c r="R780" s="6"/>
      <c r="S780" s="6"/>
      <c r="T780" s="6"/>
      <c r="X780" s="12"/>
      <c r="Y780" s="12"/>
    </row>
    <row r="781" ht="14.25" customHeight="1">
      <c r="A781" s="6"/>
      <c r="B781" s="6"/>
      <c r="D781" s="6"/>
      <c r="E781" s="6"/>
      <c r="F781" s="6"/>
      <c r="G781" s="6"/>
      <c r="H781" s="6"/>
      <c r="I781" s="6"/>
      <c r="J781" s="6"/>
      <c r="K781" s="6"/>
      <c r="L781" s="8"/>
      <c r="M781" s="8"/>
      <c r="N781" s="6"/>
      <c r="O781" s="6"/>
      <c r="P781" s="6"/>
      <c r="Q781" s="6"/>
      <c r="R781" s="6"/>
      <c r="S781" s="6"/>
      <c r="T781" s="6"/>
      <c r="X781" s="12"/>
      <c r="Y781" s="12"/>
    </row>
    <row r="782" ht="14.25" customHeight="1">
      <c r="A782" s="6"/>
      <c r="B782" s="6"/>
      <c r="D782" s="6"/>
      <c r="E782" s="6"/>
      <c r="F782" s="6"/>
      <c r="G782" s="6"/>
      <c r="H782" s="6"/>
      <c r="I782" s="6"/>
      <c r="J782" s="6"/>
      <c r="K782" s="6"/>
      <c r="L782" s="8"/>
      <c r="M782" s="8"/>
      <c r="N782" s="6"/>
      <c r="O782" s="6"/>
      <c r="P782" s="6"/>
      <c r="Q782" s="6"/>
      <c r="R782" s="6"/>
      <c r="S782" s="6"/>
      <c r="T782" s="6"/>
      <c r="X782" s="12"/>
      <c r="Y782" s="12"/>
    </row>
    <row r="783" ht="14.25" customHeight="1">
      <c r="A783" s="6"/>
      <c r="B783" s="6"/>
      <c r="D783" s="6"/>
      <c r="E783" s="6"/>
      <c r="F783" s="6"/>
      <c r="G783" s="6"/>
      <c r="H783" s="6"/>
      <c r="I783" s="6"/>
      <c r="J783" s="6"/>
      <c r="K783" s="6"/>
      <c r="L783" s="8"/>
      <c r="M783" s="8"/>
      <c r="N783" s="6"/>
      <c r="O783" s="6"/>
      <c r="P783" s="6"/>
      <c r="Q783" s="6"/>
      <c r="R783" s="6"/>
      <c r="S783" s="6"/>
      <c r="T783" s="6"/>
      <c r="X783" s="12"/>
      <c r="Y783" s="12"/>
    </row>
    <row r="784" ht="14.25" customHeight="1">
      <c r="A784" s="6"/>
      <c r="B784" s="6"/>
      <c r="D784" s="6"/>
      <c r="E784" s="6"/>
      <c r="F784" s="6"/>
      <c r="G784" s="6"/>
      <c r="H784" s="6"/>
      <c r="I784" s="6"/>
      <c r="J784" s="6"/>
      <c r="K784" s="6"/>
      <c r="L784" s="8"/>
      <c r="M784" s="8"/>
      <c r="N784" s="6"/>
      <c r="O784" s="6"/>
      <c r="P784" s="6"/>
      <c r="Q784" s="6"/>
      <c r="R784" s="6"/>
      <c r="S784" s="6"/>
      <c r="T784" s="6"/>
      <c r="X784" s="12"/>
      <c r="Y784" s="12"/>
    </row>
    <row r="785" ht="14.25" customHeight="1">
      <c r="A785" s="6"/>
      <c r="B785" s="6"/>
      <c r="D785" s="6"/>
      <c r="E785" s="6"/>
      <c r="F785" s="6"/>
      <c r="G785" s="6"/>
      <c r="H785" s="6"/>
      <c r="I785" s="6"/>
      <c r="J785" s="6"/>
      <c r="K785" s="6"/>
      <c r="L785" s="8"/>
      <c r="M785" s="8"/>
      <c r="N785" s="6"/>
      <c r="O785" s="6"/>
      <c r="P785" s="6"/>
      <c r="Q785" s="6"/>
      <c r="R785" s="6"/>
      <c r="S785" s="6"/>
      <c r="T785" s="6"/>
      <c r="X785" s="12"/>
      <c r="Y785" s="12"/>
    </row>
    <row r="786" ht="14.25" customHeight="1">
      <c r="A786" s="6"/>
      <c r="B786" s="6"/>
      <c r="D786" s="6"/>
      <c r="E786" s="6"/>
      <c r="F786" s="6"/>
      <c r="G786" s="6"/>
      <c r="H786" s="6"/>
      <c r="I786" s="6"/>
      <c r="J786" s="6"/>
      <c r="K786" s="6"/>
      <c r="L786" s="8"/>
      <c r="M786" s="8"/>
      <c r="N786" s="6"/>
      <c r="O786" s="6"/>
      <c r="P786" s="6"/>
      <c r="Q786" s="6"/>
      <c r="R786" s="6"/>
      <c r="S786" s="6"/>
      <c r="T786" s="6"/>
      <c r="X786" s="12"/>
      <c r="Y786" s="12"/>
    </row>
    <row r="787" ht="14.25" customHeight="1">
      <c r="A787" s="6"/>
      <c r="B787" s="6"/>
      <c r="D787" s="6"/>
      <c r="E787" s="6"/>
      <c r="F787" s="6"/>
      <c r="G787" s="6"/>
      <c r="H787" s="6"/>
      <c r="I787" s="6"/>
      <c r="J787" s="6"/>
      <c r="K787" s="6"/>
      <c r="L787" s="8"/>
      <c r="M787" s="8"/>
      <c r="N787" s="6"/>
      <c r="O787" s="6"/>
      <c r="P787" s="6"/>
      <c r="Q787" s="6"/>
      <c r="R787" s="6"/>
      <c r="S787" s="6"/>
      <c r="T787" s="6"/>
      <c r="X787" s="12"/>
      <c r="Y787" s="12"/>
    </row>
    <row r="788" ht="14.25" customHeight="1">
      <c r="A788" s="6"/>
      <c r="B788" s="6"/>
      <c r="D788" s="6"/>
      <c r="E788" s="6"/>
      <c r="F788" s="6"/>
      <c r="G788" s="6"/>
      <c r="H788" s="6"/>
      <c r="I788" s="6"/>
      <c r="J788" s="6"/>
      <c r="K788" s="6"/>
      <c r="L788" s="8"/>
      <c r="M788" s="8"/>
      <c r="N788" s="6"/>
      <c r="O788" s="6"/>
      <c r="P788" s="6"/>
      <c r="Q788" s="6"/>
      <c r="R788" s="6"/>
      <c r="S788" s="6"/>
      <c r="T788" s="6"/>
      <c r="X788" s="12"/>
      <c r="Y788" s="12"/>
    </row>
    <row r="789" ht="14.25" customHeight="1">
      <c r="A789" s="6"/>
      <c r="B789" s="6"/>
      <c r="D789" s="6"/>
      <c r="E789" s="6"/>
      <c r="F789" s="6"/>
      <c r="G789" s="6"/>
      <c r="H789" s="6"/>
      <c r="I789" s="6"/>
      <c r="J789" s="6"/>
      <c r="K789" s="6"/>
      <c r="L789" s="8"/>
      <c r="M789" s="8"/>
      <c r="N789" s="6"/>
      <c r="O789" s="6"/>
      <c r="P789" s="6"/>
      <c r="Q789" s="6"/>
      <c r="R789" s="6"/>
      <c r="S789" s="6"/>
      <c r="T789" s="6"/>
      <c r="X789" s="12"/>
      <c r="Y789" s="12"/>
    </row>
    <row r="790" ht="14.25" customHeight="1">
      <c r="A790" s="6"/>
      <c r="B790" s="6"/>
      <c r="D790" s="6"/>
      <c r="E790" s="6"/>
      <c r="F790" s="6"/>
      <c r="G790" s="6"/>
      <c r="H790" s="6"/>
      <c r="I790" s="6"/>
      <c r="J790" s="6"/>
      <c r="K790" s="6"/>
      <c r="L790" s="8"/>
      <c r="M790" s="8"/>
      <c r="N790" s="6"/>
      <c r="O790" s="6"/>
      <c r="P790" s="6"/>
      <c r="Q790" s="6"/>
      <c r="R790" s="6"/>
      <c r="S790" s="6"/>
      <c r="T790" s="6"/>
      <c r="X790" s="12"/>
      <c r="Y790" s="12"/>
    </row>
    <row r="791" ht="14.25" customHeight="1">
      <c r="A791" s="6"/>
      <c r="B791" s="6"/>
      <c r="D791" s="6"/>
      <c r="E791" s="6"/>
      <c r="F791" s="6"/>
      <c r="G791" s="6"/>
      <c r="H791" s="6"/>
      <c r="I791" s="6"/>
      <c r="J791" s="6"/>
      <c r="K791" s="6"/>
      <c r="L791" s="8"/>
      <c r="M791" s="8"/>
      <c r="N791" s="6"/>
      <c r="O791" s="6"/>
      <c r="P791" s="6"/>
      <c r="Q791" s="6"/>
      <c r="R791" s="6"/>
      <c r="S791" s="6"/>
      <c r="T791" s="6"/>
      <c r="X791" s="12"/>
      <c r="Y791" s="12"/>
    </row>
    <row r="792" ht="14.25" customHeight="1">
      <c r="A792" s="6"/>
      <c r="B792" s="6"/>
      <c r="D792" s="6"/>
      <c r="E792" s="6"/>
      <c r="F792" s="6"/>
      <c r="G792" s="6"/>
      <c r="H792" s="6"/>
      <c r="I792" s="6"/>
      <c r="J792" s="6"/>
      <c r="K792" s="6"/>
      <c r="L792" s="8"/>
      <c r="M792" s="8"/>
      <c r="N792" s="6"/>
      <c r="O792" s="6"/>
      <c r="P792" s="6"/>
      <c r="Q792" s="6"/>
      <c r="R792" s="6"/>
      <c r="S792" s="6"/>
      <c r="T792" s="6"/>
      <c r="X792" s="12"/>
      <c r="Y792" s="12"/>
    </row>
    <row r="793" ht="14.25" customHeight="1">
      <c r="A793" s="6"/>
      <c r="B793" s="6"/>
      <c r="D793" s="6"/>
      <c r="E793" s="6"/>
      <c r="F793" s="6"/>
      <c r="G793" s="6"/>
      <c r="H793" s="6"/>
      <c r="I793" s="6"/>
      <c r="J793" s="6"/>
      <c r="K793" s="6"/>
      <c r="L793" s="8"/>
      <c r="M793" s="8"/>
      <c r="N793" s="6"/>
      <c r="O793" s="6"/>
      <c r="P793" s="6"/>
      <c r="Q793" s="6"/>
      <c r="R793" s="6"/>
      <c r="S793" s="6"/>
      <c r="T793" s="6"/>
      <c r="X793" s="12"/>
      <c r="Y793" s="12"/>
    </row>
    <row r="794" ht="14.25" customHeight="1">
      <c r="A794" s="6"/>
      <c r="B794" s="6"/>
      <c r="D794" s="6"/>
      <c r="E794" s="6"/>
      <c r="F794" s="6"/>
      <c r="G794" s="6"/>
      <c r="H794" s="6"/>
      <c r="I794" s="6"/>
      <c r="J794" s="6"/>
      <c r="K794" s="6"/>
      <c r="L794" s="8"/>
      <c r="M794" s="8"/>
      <c r="N794" s="6"/>
      <c r="O794" s="6"/>
      <c r="P794" s="6"/>
      <c r="Q794" s="6"/>
      <c r="R794" s="6"/>
      <c r="S794" s="6"/>
      <c r="T794" s="6"/>
      <c r="X794" s="12"/>
      <c r="Y794" s="12"/>
    </row>
    <row r="795" ht="14.25" customHeight="1">
      <c r="A795" s="6"/>
      <c r="B795" s="6"/>
      <c r="D795" s="6"/>
      <c r="E795" s="6"/>
      <c r="F795" s="6"/>
      <c r="G795" s="6"/>
      <c r="H795" s="6"/>
      <c r="I795" s="6"/>
      <c r="J795" s="6"/>
      <c r="K795" s="6"/>
      <c r="L795" s="8"/>
      <c r="M795" s="8"/>
      <c r="N795" s="6"/>
      <c r="O795" s="6"/>
      <c r="P795" s="6"/>
      <c r="Q795" s="6"/>
      <c r="R795" s="6"/>
      <c r="S795" s="6"/>
      <c r="T795" s="6"/>
      <c r="X795" s="12"/>
      <c r="Y795" s="12"/>
    </row>
    <row r="796" ht="14.25" customHeight="1">
      <c r="A796" s="6"/>
      <c r="B796" s="6"/>
      <c r="D796" s="6"/>
      <c r="E796" s="6"/>
      <c r="F796" s="6"/>
      <c r="G796" s="6"/>
      <c r="H796" s="6"/>
      <c r="I796" s="6"/>
      <c r="J796" s="6"/>
      <c r="K796" s="6"/>
      <c r="L796" s="8"/>
      <c r="M796" s="8"/>
      <c r="N796" s="6"/>
      <c r="O796" s="6"/>
      <c r="P796" s="6"/>
      <c r="Q796" s="6"/>
      <c r="R796" s="6"/>
      <c r="S796" s="6"/>
      <c r="T796" s="6"/>
      <c r="X796" s="12"/>
      <c r="Y796" s="12"/>
    </row>
    <row r="797" ht="14.25" customHeight="1">
      <c r="A797" s="6"/>
      <c r="B797" s="6"/>
      <c r="D797" s="6"/>
      <c r="E797" s="6"/>
      <c r="F797" s="6"/>
      <c r="G797" s="6"/>
      <c r="H797" s="6"/>
      <c r="I797" s="6"/>
      <c r="J797" s="6"/>
      <c r="K797" s="6"/>
      <c r="L797" s="8"/>
      <c r="M797" s="8"/>
      <c r="N797" s="6"/>
      <c r="O797" s="6"/>
      <c r="P797" s="6"/>
      <c r="Q797" s="6"/>
      <c r="R797" s="6"/>
      <c r="S797" s="6"/>
      <c r="T797" s="6"/>
      <c r="X797" s="12"/>
      <c r="Y797" s="12"/>
    </row>
    <row r="798" ht="14.25" customHeight="1">
      <c r="A798" s="6"/>
      <c r="B798" s="6"/>
      <c r="D798" s="6"/>
      <c r="E798" s="6"/>
      <c r="F798" s="6"/>
      <c r="G798" s="6"/>
      <c r="H798" s="6"/>
      <c r="I798" s="6"/>
      <c r="J798" s="6"/>
      <c r="K798" s="6"/>
      <c r="L798" s="8"/>
      <c r="M798" s="8"/>
      <c r="N798" s="6"/>
      <c r="O798" s="6"/>
      <c r="P798" s="6"/>
      <c r="Q798" s="6"/>
      <c r="R798" s="6"/>
      <c r="S798" s="6"/>
      <c r="T798" s="6"/>
      <c r="X798" s="12"/>
      <c r="Y798" s="12"/>
    </row>
    <row r="799" ht="14.25" customHeight="1">
      <c r="A799" s="6"/>
      <c r="B799" s="6"/>
      <c r="D799" s="6"/>
      <c r="E799" s="6"/>
      <c r="F799" s="6"/>
      <c r="G799" s="6"/>
      <c r="H799" s="6"/>
      <c r="I799" s="6"/>
      <c r="J799" s="6"/>
      <c r="K799" s="6"/>
      <c r="L799" s="8"/>
      <c r="M799" s="8"/>
      <c r="N799" s="6"/>
      <c r="O799" s="6"/>
      <c r="P799" s="6"/>
      <c r="Q799" s="6"/>
      <c r="R799" s="6"/>
      <c r="S799" s="6"/>
      <c r="T799" s="6"/>
      <c r="X799" s="12"/>
      <c r="Y799" s="12"/>
    </row>
    <row r="800" ht="14.25" customHeight="1">
      <c r="A800" s="6"/>
      <c r="B800" s="6"/>
      <c r="D800" s="6"/>
      <c r="E800" s="6"/>
      <c r="F800" s="6"/>
      <c r="G800" s="6"/>
      <c r="H800" s="6"/>
      <c r="I800" s="6"/>
      <c r="J800" s="6"/>
      <c r="K800" s="6"/>
      <c r="L800" s="8"/>
      <c r="M800" s="8"/>
      <c r="N800" s="6"/>
      <c r="O800" s="6"/>
      <c r="P800" s="6"/>
      <c r="Q800" s="6"/>
      <c r="R800" s="6"/>
      <c r="S800" s="6"/>
      <c r="T800" s="6"/>
      <c r="X800" s="12"/>
      <c r="Y800" s="12"/>
    </row>
    <row r="801" ht="14.25" customHeight="1">
      <c r="A801" s="6"/>
      <c r="B801" s="6"/>
      <c r="D801" s="6"/>
      <c r="E801" s="6"/>
      <c r="F801" s="6"/>
      <c r="G801" s="6"/>
      <c r="H801" s="6"/>
      <c r="I801" s="6"/>
      <c r="J801" s="6"/>
      <c r="K801" s="6"/>
      <c r="L801" s="8"/>
      <c r="M801" s="8"/>
      <c r="N801" s="6"/>
      <c r="O801" s="6"/>
      <c r="P801" s="6"/>
      <c r="Q801" s="6"/>
      <c r="R801" s="6"/>
      <c r="S801" s="6"/>
      <c r="T801" s="6"/>
      <c r="X801" s="12"/>
      <c r="Y801" s="12"/>
    </row>
    <row r="802" ht="14.25" customHeight="1">
      <c r="A802" s="6"/>
      <c r="B802" s="6"/>
      <c r="D802" s="6"/>
      <c r="E802" s="6"/>
      <c r="F802" s="6"/>
      <c r="G802" s="6"/>
      <c r="H802" s="6"/>
      <c r="I802" s="6"/>
      <c r="J802" s="6"/>
      <c r="K802" s="6"/>
      <c r="L802" s="8"/>
      <c r="M802" s="8"/>
      <c r="N802" s="6"/>
      <c r="O802" s="6"/>
      <c r="P802" s="6"/>
      <c r="Q802" s="6"/>
      <c r="R802" s="6"/>
      <c r="S802" s="6"/>
      <c r="T802" s="6"/>
      <c r="X802" s="12"/>
      <c r="Y802" s="12"/>
    </row>
    <row r="803" ht="14.25" customHeight="1">
      <c r="A803" s="6"/>
      <c r="B803" s="6"/>
      <c r="D803" s="6"/>
      <c r="E803" s="6"/>
      <c r="F803" s="6"/>
      <c r="G803" s="6"/>
      <c r="H803" s="6"/>
      <c r="I803" s="6"/>
      <c r="J803" s="6"/>
      <c r="K803" s="6"/>
      <c r="L803" s="8"/>
      <c r="M803" s="8"/>
      <c r="N803" s="6"/>
      <c r="O803" s="6"/>
      <c r="P803" s="6"/>
      <c r="Q803" s="6"/>
      <c r="R803" s="6"/>
      <c r="S803" s="6"/>
      <c r="T803" s="6"/>
      <c r="X803" s="12"/>
      <c r="Y803" s="12"/>
    </row>
    <row r="804" ht="14.25" customHeight="1">
      <c r="A804" s="6"/>
      <c r="B804" s="6"/>
      <c r="D804" s="6"/>
      <c r="E804" s="6"/>
      <c r="F804" s="6"/>
      <c r="G804" s="6"/>
      <c r="H804" s="6"/>
      <c r="I804" s="6"/>
      <c r="J804" s="6"/>
      <c r="K804" s="6"/>
      <c r="L804" s="8"/>
      <c r="M804" s="8"/>
      <c r="N804" s="6"/>
      <c r="O804" s="6"/>
      <c r="P804" s="6"/>
      <c r="Q804" s="6"/>
      <c r="R804" s="6"/>
      <c r="S804" s="6"/>
      <c r="T804" s="6"/>
      <c r="X804" s="12"/>
      <c r="Y804" s="12"/>
    </row>
    <row r="805" ht="14.25" customHeight="1">
      <c r="A805" s="6"/>
      <c r="B805" s="6"/>
      <c r="D805" s="6"/>
      <c r="E805" s="6"/>
      <c r="F805" s="6"/>
      <c r="G805" s="6"/>
      <c r="H805" s="6"/>
      <c r="I805" s="6"/>
      <c r="J805" s="6"/>
      <c r="K805" s="6"/>
      <c r="L805" s="8"/>
      <c r="M805" s="8"/>
      <c r="N805" s="6"/>
      <c r="O805" s="6"/>
      <c r="P805" s="6"/>
      <c r="Q805" s="6"/>
      <c r="R805" s="6"/>
      <c r="S805" s="6"/>
      <c r="T805" s="6"/>
      <c r="X805" s="12"/>
      <c r="Y805" s="12"/>
    </row>
    <row r="806" ht="14.25" customHeight="1">
      <c r="A806" s="6"/>
      <c r="B806" s="6"/>
      <c r="D806" s="6"/>
      <c r="E806" s="6"/>
      <c r="F806" s="6"/>
      <c r="G806" s="6"/>
      <c r="H806" s="6"/>
      <c r="I806" s="6"/>
      <c r="J806" s="6"/>
      <c r="K806" s="6"/>
      <c r="L806" s="8"/>
      <c r="M806" s="8"/>
      <c r="N806" s="6"/>
      <c r="O806" s="6"/>
      <c r="P806" s="6"/>
      <c r="Q806" s="6"/>
      <c r="R806" s="6"/>
      <c r="S806" s="6"/>
      <c r="T806" s="6"/>
      <c r="X806" s="12"/>
      <c r="Y806" s="12"/>
    </row>
    <row r="807" ht="14.25" customHeight="1">
      <c r="A807" s="6"/>
      <c r="B807" s="6"/>
      <c r="D807" s="6"/>
      <c r="E807" s="6"/>
      <c r="F807" s="6"/>
      <c r="G807" s="6"/>
      <c r="H807" s="6"/>
      <c r="I807" s="6"/>
      <c r="J807" s="6"/>
      <c r="K807" s="6"/>
      <c r="L807" s="8"/>
      <c r="M807" s="8"/>
      <c r="N807" s="6"/>
      <c r="O807" s="6"/>
      <c r="P807" s="6"/>
      <c r="Q807" s="6"/>
      <c r="R807" s="6"/>
      <c r="S807" s="6"/>
      <c r="T807" s="6"/>
      <c r="X807" s="12"/>
      <c r="Y807" s="12"/>
    </row>
    <row r="808" ht="14.25" customHeight="1">
      <c r="A808" s="6"/>
      <c r="B808" s="6"/>
      <c r="D808" s="6"/>
      <c r="E808" s="6"/>
      <c r="F808" s="6"/>
      <c r="G808" s="6"/>
      <c r="H808" s="6"/>
      <c r="I808" s="6"/>
      <c r="J808" s="6"/>
      <c r="K808" s="6"/>
      <c r="L808" s="8"/>
      <c r="M808" s="8"/>
      <c r="N808" s="6"/>
      <c r="O808" s="6"/>
      <c r="P808" s="6"/>
      <c r="Q808" s="6"/>
      <c r="R808" s="6"/>
      <c r="S808" s="6"/>
      <c r="T808" s="6"/>
      <c r="X808" s="12"/>
      <c r="Y808" s="12"/>
    </row>
    <row r="809" ht="14.25" customHeight="1">
      <c r="A809" s="6"/>
      <c r="B809" s="6"/>
      <c r="D809" s="6"/>
      <c r="E809" s="6"/>
      <c r="F809" s="6"/>
      <c r="G809" s="6"/>
      <c r="H809" s="6"/>
      <c r="I809" s="6"/>
      <c r="J809" s="6"/>
      <c r="K809" s="6"/>
      <c r="L809" s="8"/>
      <c r="M809" s="8"/>
      <c r="N809" s="6"/>
      <c r="O809" s="6"/>
      <c r="P809" s="6"/>
      <c r="Q809" s="6"/>
      <c r="R809" s="6"/>
      <c r="S809" s="6"/>
      <c r="T809" s="6"/>
      <c r="X809" s="12"/>
      <c r="Y809" s="12"/>
    </row>
    <row r="810" ht="14.25" customHeight="1">
      <c r="A810" s="6"/>
      <c r="B810" s="6"/>
      <c r="D810" s="6"/>
      <c r="E810" s="6"/>
      <c r="F810" s="6"/>
      <c r="G810" s="6"/>
      <c r="H810" s="6"/>
      <c r="I810" s="6"/>
      <c r="J810" s="6"/>
      <c r="K810" s="6"/>
      <c r="L810" s="8"/>
      <c r="M810" s="8"/>
      <c r="N810" s="6"/>
      <c r="O810" s="6"/>
      <c r="P810" s="6"/>
      <c r="Q810" s="6"/>
      <c r="R810" s="6"/>
      <c r="S810" s="6"/>
      <c r="T810" s="6"/>
      <c r="X810" s="12"/>
      <c r="Y810" s="12"/>
    </row>
    <row r="811" ht="14.25" customHeight="1">
      <c r="A811" s="6"/>
      <c r="B811" s="6"/>
      <c r="D811" s="6"/>
      <c r="E811" s="6"/>
      <c r="F811" s="6"/>
      <c r="G811" s="6"/>
      <c r="H811" s="6"/>
      <c r="I811" s="6"/>
      <c r="J811" s="6"/>
      <c r="K811" s="6"/>
      <c r="L811" s="8"/>
      <c r="M811" s="8"/>
      <c r="N811" s="6"/>
      <c r="O811" s="6"/>
      <c r="P811" s="6"/>
      <c r="Q811" s="6"/>
      <c r="R811" s="6"/>
      <c r="S811" s="6"/>
      <c r="T811" s="6"/>
      <c r="X811" s="12"/>
      <c r="Y811" s="12"/>
    </row>
    <row r="812" ht="14.25" customHeight="1">
      <c r="A812" s="6"/>
      <c r="B812" s="6"/>
      <c r="D812" s="6"/>
      <c r="E812" s="6"/>
      <c r="F812" s="6"/>
      <c r="G812" s="6"/>
      <c r="H812" s="6"/>
      <c r="I812" s="6"/>
      <c r="J812" s="6"/>
      <c r="K812" s="6"/>
      <c r="L812" s="8"/>
      <c r="M812" s="8"/>
      <c r="N812" s="6"/>
      <c r="O812" s="6"/>
      <c r="P812" s="6"/>
      <c r="Q812" s="6"/>
      <c r="R812" s="6"/>
      <c r="S812" s="6"/>
      <c r="T812" s="6"/>
      <c r="X812" s="12"/>
      <c r="Y812" s="12"/>
    </row>
    <row r="813" ht="14.25" customHeight="1">
      <c r="A813" s="6"/>
      <c r="B813" s="6"/>
      <c r="D813" s="6"/>
      <c r="E813" s="6"/>
      <c r="F813" s="6"/>
      <c r="G813" s="6"/>
      <c r="H813" s="6"/>
      <c r="I813" s="6"/>
      <c r="J813" s="6"/>
      <c r="K813" s="6"/>
      <c r="L813" s="8"/>
      <c r="M813" s="8"/>
      <c r="N813" s="6"/>
      <c r="O813" s="6"/>
      <c r="P813" s="6"/>
      <c r="Q813" s="6"/>
      <c r="R813" s="6"/>
      <c r="S813" s="6"/>
      <c r="T813" s="6"/>
      <c r="X813" s="12"/>
      <c r="Y813" s="12"/>
    </row>
    <row r="814" ht="14.25" customHeight="1">
      <c r="A814" s="6"/>
      <c r="B814" s="6"/>
      <c r="D814" s="6"/>
      <c r="E814" s="6"/>
      <c r="F814" s="6"/>
      <c r="G814" s="6"/>
      <c r="H814" s="6"/>
      <c r="I814" s="6"/>
      <c r="J814" s="6"/>
      <c r="K814" s="6"/>
      <c r="L814" s="8"/>
      <c r="M814" s="8"/>
      <c r="N814" s="6"/>
      <c r="O814" s="6"/>
      <c r="P814" s="6"/>
      <c r="Q814" s="6"/>
      <c r="R814" s="6"/>
      <c r="S814" s="6"/>
      <c r="T814" s="6"/>
      <c r="X814" s="12"/>
      <c r="Y814" s="12"/>
    </row>
    <row r="815" ht="14.25" customHeight="1">
      <c r="A815" s="6"/>
      <c r="B815" s="6"/>
      <c r="D815" s="6"/>
      <c r="E815" s="6"/>
      <c r="F815" s="6"/>
      <c r="G815" s="6"/>
      <c r="H815" s="6"/>
      <c r="I815" s="6"/>
      <c r="J815" s="6"/>
      <c r="K815" s="6"/>
      <c r="L815" s="8"/>
      <c r="M815" s="8"/>
      <c r="N815" s="6"/>
      <c r="O815" s="6"/>
      <c r="P815" s="6"/>
      <c r="Q815" s="6"/>
      <c r="R815" s="6"/>
      <c r="S815" s="6"/>
      <c r="T815" s="6"/>
      <c r="X815" s="12"/>
      <c r="Y815" s="12"/>
    </row>
    <row r="816" ht="14.25" customHeight="1">
      <c r="A816" s="6"/>
      <c r="B816" s="6"/>
      <c r="D816" s="6"/>
      <c r="E816" s="6"/>
      <c r="F816" s="6"/>
      <c r="G816" s="6"/>
      <c r="H816" s="6"/>
      <c r="I816" s="6"/>
      <c r="J816" s="6"/>
      <c r="K816" s="6"/>
      <c r="L816" s="8"/>
      <c r="M816" s="8"/>
      <c r="N816" s="6"/>
      <c r="O816" s="6"/>
      <c r="P816" s="6"/>
      <c r="Q816" s="6"/>
      <c r="R816" s="6"/>
      <c r="S816" s="6"/>
      <c r="T816" s="6"/>
      <c r="X816" s="12"/>
      <c r="Y816" s="12"/>
    </row>
    <row r="817" ht="14.25" customHeight="1">
      <c r="A817" s="6"/>
      <c r="B817" s="6"/>
      <c r="D817" s="6"/>
      <c r="E817" s="6"/>
      <c r="F817" s="6"/>
      <c r="G817" s="6"/>
      <c r="H817" s="6"/>
      <c r="I817" s="6"/>
      <c r="J817" s="6"/>
      <c r="K817" s="6"/>
      <c r="L817" s="8"/>
      <c r="M817" s="8"/>
      <c r="N817" s="6"/>
      <c r="O817" s="6"/>
      <c r="P817" s="6"/>
      <c r="Q817" s="6"/>
      <c r="R817" s="6"/>
      <c r="S817" s="6"/>
      <c r="T817" s="6"/>
      <c r="X817" s="12"/>
      <c r="Y817" s="12"/>
    </row>
    <row r="818" ht="14.25" customHeight="1">
      <c r="A818" s="6"/>
      <c r="B818" s="6"/>
      <c r="D818" s="6"/>
      <c r="E818" s="6"/>
      <c r="F818" s="6"/>
      <c r="G818" s="6"/>
      <c r="H818" s="6"/>
      <c r="I818" s="6"/>
      <c r="J818" s="6"/>
      <c r="K818" s="6"/>
      <c r="L818" s="8"/>
      <c r="M818" s="8"/>
      <c r="N818" s="6"/>
      <c r="O818" s="6"/>
      <c r="P818" s="6"/>
      <c r="Q818" s="6"/>
      <c r="R818" s="6"/>
      <c r="S818" s="6"/>
      <c r="T818" s="6"/>
      <c r="X818" s="12"/>
      <c r="Y818" s="12"/>
    </row>
    <row r="819" ht="14.25" customHeight="1">
      <c r="A819" s="6"/>
      <c r="B819" s="6"/>
      <c r="D819" s="6"/>
      <c r="E819" s="6"/>
      <c r="F819" s="6"/>
      <c r="G819" s="6"/>
      <c r="H819" s="6"/>
      <c r="I819" s="6"/>
      <c r="J819" s="6"/>
      <c r="K819" s="6"/>
      <c r="L819" s="8"/>
      <c r="M819" s="8"/>
      <c r="N819" s="6"/>
      <c r="O819" s="6"/>
      <c r="P819" s="6"/>
      <c r="Q819" s="6"/>
      <c r="R819" s="6"/>
      <c r="S819" s="6"/>
      <c r="T819" s="6"/>
      <c r="X819" s="12"/>
      <c r="Y819" s="12"/>
    </row>
    <row r="820" ht="14.25" customHeight="1">
      <c r="A820" s="6"/>
      <c r="B820" s="6"/>
      <c r="D820" s="6"/>
      <c r="E820" s="6"/>
      <c r="F820" s="6"/>
      <c r="G820" s="6"/>
      <c r="H820" s="6"/>
      <c r="I820" s="6"/>
      <c r="J820" s="6"/>
      <c r="K820" s="6"/>
      <c r="L820" s="8"/>
      <c r="M820" s="8"/>
      <c r="N820" s="6"/>
      <c r="O820" s="6"/>
      <c r="P820" s="6"/>
      <c r="Q820" s="6"/>
      <c r="R820" s="6"/>
      <c r="S820" s="6"/>
      <c r="T820" s="6"/>
      <c r="X820" s="12"/>
      <c r="Y820" s="12"/>
    </row>
    <row r="821" ht="14.25" customHeight="1">
      <c r="A821" s="6"/>
      <c r="B821" s="6"/>
      <c r="D821" s="6"/>
      <c r="E821" s="6"/>
      <c r="F821" s="6"/>
      <c r="G821" s="6"/>
      <c r="H821" s="6"/>
      <c r="I821" s="6"/>
      <c r="J821" s="6"/>
      <c r="K821" s="6"/>
      <c r="L821" s="8"/>
      <c r="M821" s="8"/>
      <c r="N821" s="6"/>
      <c r="O821" s="6"/>
      <c r="P821" s="6"/>
      <c r="Q821" s="6"/>
      <c r="R821" s="6"/>
      <c r="S821" s="6"/>
      <c r="T821" s="6"/>
      <c r="X821" s="12"/>
      <c r="Y821" s="12"/>
    </row>
    <row r="822" ht="14.25" customHeight="1">
      <c r="A822" s="6"/>
      <c r="B822" s="6"/>
      <c r="D822" s="6"/>
      <c r="E822" s="6"/>
      <c r="F822" s="6"/>
      <c r="G822" s="6"/>
      <c r="H822" s="6"/>
      <c r="I822" s="6"/>
      <c r="J822" s="6"/>
      <c r="K822" s="6"/>
      <c r="L822" s="8"/>
      <c r="M822" s="8"/>
      <c r="N822" s="6"/>
      <c r="O822" s="6"/>
      <c r="P822" s="6"/>
      <c r="Q822" s="6"/>
      <c r="R822" s="6"/>
      <c r="S822" s="6"/>
      <c r="T822" s="6"/>
      <c r="X822" s="12"/>
      <c r="Y822" s="12"/>
    </row>
    <row r="823" ht="14.25" customHeight="1">
      <c r="A823" s="6"/>
      <c r="B823" s="6"/>
      <c r="D823" s="6"/>
      <c r="E823" s="6"/>
      <c r="F823" s="6"/>
      <c r="G823" s="6"/>
      <c r="H823" s="6"/>
      <c r="I823" s="6"/>
      <c r="J823" s="6"/>
      <c r="K823" s="6"/>
      <c r="L823" s="8"/>
      <c r="M823" s="8"/>
      <c r="N823" s="6"/>
      <c r="O823" s="6"/>
      <c r="P823" s="6"/>
      <c r="Q823" s="6"/>
      <c r="R823" s="6"/>
      <c r="S823" s="6"/>
      <c r="T823" s="6"/>
      <c r="X823" s="12"/>
      <c r="Y823" s="12"/>
    </row>
    <row r="824" ht="14.25" customHeight="1">
      <c r="A824" s="6"/>
      <c r="B824" s="6"/>
      <c r="D824" s="6"/>
      <c r="E824" s="6"/>
      <c r="F824" s="6"/>
      <c r="G824" s="6"/>
      <c r="H824" s="6"/>
      <c r="I824" s="6"/>
      <c r="J824" s="6"/>
      <c r="K824" s="6"/>
      <c r="L824" s="8"/>
      <c r="M824" s="8"/>
      <c r="N824" s="6"/>
      <c r="O824" s="6"/>
      <c r="P824" s="6"/>
      <c r="Q824" s="6"/>
      <c r="R824" s="6"/>
      <c r="S824" s="6"/>
      <c r="T824" s="6"/>
      <c r="X824" s="12"/>
      <c r="Y824" s="12"/>
    </row>
    <row r="825" ht="14.25" customHeight="1">
      <c r="A825" s="6"/>
      <c r="B825" s="6"/>
      <c r="D825" s="6"/>
      <c r="E825" s="6"/>
      <c r="F825" s="6"/>
      <c r="G825" s="6"/>
      <c r="H825" s="6"/>
      <c r="I825" s="6"/>
      <c r="J825" s="6"/>
      <c r="K825" s="6"/>
      <c r="L825" s="8"/>
      <c r="M825" s="8"/>
      <c r="N825" s="6"/>
      <c r="O825" s="6"/>
      <c r="P825" s="6"/>
      <c r="Q825" s="6"/>
      <c r="R825" s="6"/>
      <c r="S825" s="6"/>
      <c r="T825" s="6"/>
      <c r="X825" s="12"/>
      <c r="Y825" s="12"/>
    </row>
    <row r="826" ht="14.25" customHeight="1">
      <c r="A826" s="6"/>
      <c r="B826" s="6"/>
      <c r="D826" s="6"/>
      <c r="E826" s="6"/>
      <c r="F826" s="6"/>
      <c r="G826" s="6"/>
      <c r="H826" s="6"/>
      <c r="I826" s="6"/>
      <c r="J826" s="6"/>
      <c r="K826" s="6"/>
      <c r="L826" s="8"/>
      <c r="M826" s="8"/>
      <c r="N826" s="6"/>
      <c r="O826" s="6"/>
      <c r="P826" s="6"/>
      <c r="Q826" s="6"/>
      <c r="R826" s="6"/>
      <c r="S826" s="6"/>
      <c r="T826" s="6"/>
      <c r="X826" s="12"/>
      <c r="Y826" s="12"/>
    </row>
    <row r="827" ht="14.25" customHeight="1">
      <c r="A827" s="6"/>
      <c r="B827" s="6"/>
      <c r="D827" s="6"/>
      <c r="E827" s="6"/>
      <c r="F827" s="6"/>
      <c r="G827" s="6"/>
      <c r="H827" s="6"/>
      <c r="I827" s="6"/>
      <c r="J827" s="6"/>
      <c r="K827" s="6"/>
      <c r="L827" s="8"/>
      <c r="M827" s="8"/>
      <c r="N827" s="6"/>
      <c r="O827" s="6"/>
      <c r="P827" s="6"/>
      <c r="Q827" s="6"/>
      <c r="R827" s="6"/>
      <c r="S827" s="6"/>
      <c r="T827" s="6"/>
      <c r="X827" s="12"/>
      <c r="Y827" s="12"/>
    </row>
    <row r="828" ht="14.25" customHeight="1">
      <c r="A828" s="6"/>
      <c r="B828" s="6"/>
      <c r="D828" s="6"/>
      <c r="E828" s="6"/>
      <c r="F828" s="6"/>
      <c r="G828" s="6"/>
      <c r="H828" s="6"/>
      <c r="I828" s="6"/>
      <c r="J828" s="6"/>
      <c r="K828" s="6"/>
      <c r="L828" s="8"/>
      <c r="M828" s="8"/>
      <c r="N828" s="6"/>
      <c r="O828" s="6"/>
      <c r="P828" s="6"/>
      <c r="Q828" s="6"/>
      <c r="R828" s="6"/>
      <c r="S828" s="6"/>
      <c r="T828" s="6"/>
      <c r="X828" s="12"/>
      <c r="Y828" s="12"/>
    </row>
    <row r="829" ht="14.25" customHeight="1">
      <c r="A829" s="6"/>
      <c r="B829" s="6"/>
      <c r="D829" s="6"/>
      <c r="E829" s="6"/>
      <c r="F829" s="6"/>
      <c r="G829" s="6"/>
      <c r="H829" s="6"/>
      <c r="I829" s="6"/>
      <c r="J829" s="6"/>
      <c r="K829" s="6"/>
      <c r="L829" s="8"/>
      <c r="M829" s="8"/>
      <c r="N829" s="6"/>
      <c r="O829" s="6"/>
      <c r="P829" s="6"/>
      <c r="Q829" s="6"/>
      <c r="R829" s="6"/>
      <c r="S829" s="6"/>
      <c r="T829" s="6"/>
      <c r="X829" s="12"/>
      <c r="Y829" s="12"/>
    </row>
    <row r="830" ht="14.25" customHeight="1">
      <c r="A830" s="6"/>
      <c r="B830" s="6"/>
      <c r="D830" s="6"/>
      <c r="E830" s="6"/>
      <c r="F830" s="6"/>
      <c r="G830" s="6"/>
      <c r="H830" s="6"/>
      <c r="I830" s="6"/>
      <c r="J830" s="6"/>
      <c r="K830" s="6"/>
      <c r="L830" s="8"/>
      <c r="M830" s="8"/>
      <c r="N830" s="6"/>
      <c r="O830" s="6"/>
      <c r="P830" s="6"/>
      <c r="Q830" s="6"/>
      <c r="R830" s="6"/>
      <c r="S830" s="6"/>
      <c r="T830" s="6"/>
      <c r="X830" s="12"/>
      <c r="Y830" s="12"/>
    </row>
    <row r="831" ht="14.25" customHeight="1">
      <c r="A831" s="6"/>
      <c r="B831" s="6"/>
      <c r="D831" s="6"/>
      <c r="E831" s="6"/>
      <c r="F831" s="6"/>
      <c r="G831" s="6"/>
      <c r="H831" s="6"/>
      <c r="I831" s="6"/>
      <c r="J831" s="6"/>
      <c r="K831" s="6"/>
      <c r="L831" s="8"/>
      <c r="M831" s="8"/>
      <c r="N831" s="6"/>
      <c r="O831" s="6"/>
      <c r="P831" s="6"/>
      <c r="Q831" s="6"/>
      <c r="R831" s="6"/>
      <c r="S831" s="6"/>
      <c r="T831" s="6"/>
      <c r="X831" s="12"/>
      <c r="Y831" s="12"/>
    </row>
    <row r="832" ht="14.25" customHeight="1">
      <c r="A832" s="6"/>
      <c r="B832" s="6"/>
      <c r="D832" s="6"/>
      <c r="E832" s="6"/>
      <c r="F832" s="6"/>
      <c r="G832" s="6"/>
      <c r="H832" s="6"/>
      <c r="I832" s="6"/>
      <c r="J832" s="6"/>
      <c r="K832" s="6"/>
      <c r="L832" s="8"/>
      <c r="M832" s="8"/>
      <c r="N832" s="6"/>
      <c r="O832" s="6"/>
      <c r="P832" s="6"/>
      <c r="Q832" s="6"/>
      <c r="R832" s="6"/>
      <c r="S832" s="6"/>
      <c r="T832" s="6"/>
      <c r="X832" s="12"/>
      <c r="Y832" s="12"/>
    </row>
    <row r="833" ht="14.25" customHeight="1">
      <c r="A833" s="6"/>
      <c r="B833" s="6"/>
      <c r="D833" s="6"/>
      <c r="E833" s="6"/>
      <c r="F833" s="6"/>
      <c r="G833" s="6"/>
      <c r="H833" s="6"/>
      <c r="I833" s="6"/>
      <c r="J833" s="6"/>
      <c r="K833" s="6"/>
      <c r="L833" s="8"/>
      <c r="M833" s="8"/>
      <c r="N833" s="6"/>
      <c r="O833" s="6"/>
      <c r="P833" s="6"/>
      <c r="Q833" s="6"/>
      <c r="R833" s="6"/>
      <c r="S833" s="6"/>
      <c r="T833" s="6"/>
      <c r="X833" s="12"/>
      <c r="Y833" s="12"/>
    </row>
    <row r="834" ht="14.25" customHeight="1">
      <c r="A834" s="6"/>
      <c r="B834" s="6"/>
      <c r="D834" s="6"/>
      <c r="E834" s="6"/>
      <c r="F834" s="6"/>
      <c r="G834" s="6"/>
      <c r="H834" s="6"/>
      <c r="I834" s="6"/>
      <c r="J834" s="6"/>
      <c r="K834" s="6"/>
      <c r="L834" s="8"/>
      <c r="M834" s="8"/>
      <c r="N834" s="6"/>
      <c r="O834" s="6"/>
      <c r="P834" s="6"/>
      <c r="Q834" s="6"/>
      <c r="R834" s="6"/>
      <c r="S834" s="6"/>
      <c r="T834" s="6"/>
      <c r="X834" s="12"/>
      <c r="Y834" s="12"/>
    </row>
    <row r="835" ht="14.25" customHeight="1">
      <c r="A835" s="6"/>
      <c r="B835" s="6"/>
      <c r="D835" s="6"/>
      <c r="E835" s="6"/>
      <c r="F835" s="6"/>
      <c r="G835" s="6"/>
      <c r="H835" s="6"/>
      <c r="I835" s="6"/>
      <c r="J835" s="6"/>
      <c r="K835" s="6"/>
      <c r="L835" s="8"/>
      <c r="M835" s="8"/>
      <c r="N835" s="6"/>
      <c r="O835" s="6"/>
      <c r="P835" s="6"/>
      <c r="Q835" s="6"/>
      <c r="R835" s="6"/>
      <c r="S835" s="6"/>
      <c r="T835" s="6"/>
      <c r="X835" s="12"/>
      <c r="Y835" s="12"/>
    </row>
    <row r="836" ht="14.25" customHeight="1">
      <c r="A836" s="6"/>
      <c r="B836" s="6"/>
      <c r="D836" s="6"/>
      <c r="E836" s="6"/>
      <c r="F836" s="6"/>
      <c r="G836" s="6"/>
      <c r="H836" s="6"/>
      <c r="I836" s="6"/>
      <c r="J836" s="6"/>
      <c r="K836" s="6"/>
      <c r="L836" s="8"/>
      <c r="M836" s="8"/>
      <c r="N836" s="6"/>
      <c r="O836" s="6"/>
      <c r="P836" s="6"/>
      <c r="Q836" s="6"/>
      <c r="R836" s="6"/>
      <c r="S836" s="6"/>
      <c r="T836" s="6"/>
      <c r="X836" s="12"/>
      <c r="Y836" s="12"/>
    </row>
    <row r="837" ht="14.25" customHeight="1">
      <c r="A837" s="6"/>
      <c r="B837" s="6"/>
      <c r="D837" s="6"/>
      <c r="E837" s="6"/>
      <c r="F837" s="6"/>
      <c r="G837" s="6"/>
      <c r="H837" s="6"/>
      <c r="I837" s="6"/>
      <c r="J837" s="6"/>
      <c r="K837" s="6"/>
      <c r="L837" s="8"/>
      <c r="M837" s="8"/>
      <c r="N837" s="6"/>
      <c r="O837" s="6"/>
      <c r="P837" s="6"/>
      <c r="Q837" s="6"/>
      <c r="R837" s="6"/>
      <c r="S837" s="6"/>
      <c r="T837" s="6"/>
      <c r="X837" s="12"/>
      <c r="Y837" s="12"/>
    </row>
    <row r="838" ht="14.25" customHeight="1">
      <c r="A838" s="6"/>
      <c r="B838" s="6"/>
      <c r="D838" s="6"/>
      <c r="E838" s="6"/>
      <c r="F838" s="6"/>
      <c r="G838" s="6"/>
      <c r="H838" s="6"/>
      <c r="I838" s="6"/>
      <c r="J838" s="6"/>
      <c r="K838" s="6"/>
      <c r="L838" s="8"/>
      <c r="M838" s="8"/>
      <c r="N838" s="6"/>
      <c r="O838" s="6"/>
      <c r="P838" s="6"/>
      <c r="Q838" s="6"/>
      <c r="R838" s="6"/>
      <c r="S838" s="6"/>
      <c r="T838" s="6"/>
      <c r="X838" s="12"/>
      <c r="Y838" s="12"/>
    </row>
    <row r="839" ht="14.25" customHeight="1">
      <c r="A839" s="6"/>
      <c r="B839" s="6"/>
      <c r="D839" s="6"/>
      <c r="E839" s="6"/>
      <c r="F839" s="6"/>
      <c r="G839" s="6"/>
      <c r="H839" s="6"/>
      <c r="I839" s="6"/>
      <c r="J839" s="6"/>
      <c r="K839" s="6"/>
      <c r="L839" s="8"/>
      <c r="M839" s="8"/>
      <c r="N839" s="6"/>
      <c r="O839" s="6"/>
      <c r="P839" s="6"/>
      <c r="Q839" s="6"/>
      <c r="R839" s="6"/>
      <c r="S839" s="6"/>
      <c r="T839" s="6"/>
      <c r="X839" s="12"/>
      <c r="Y839" s="12"/>
    </row>
    <row r="840" ht="14.25" customHeight="1">
      <c r="A840" s="6"/>
      <c r="B840" s="6"/>
      <c r="D840" s="6"/>
      <c r="E840" s="6"/>
      <c r="F840" s="6"/>
      <c r="G840" s="6"/>
      <c r="H840" s="6"/>
      <c r="I840" s="6"/>
      <c r="J840" s="6"/>
      <c r="K840" s="6"/>
      <c r="L840" s="8"/>
      <c r="M840" s="8"/>
      <c r="N840" s="6"/>
      <c r="O840" s="6"/>
      <c r="P840" s="6"/>
      <c r="Q840" s="6"/>
      <c r="R840" s="6"/>
      <c r="S840" s="6"/>
      <c r="T840" s="6"/>
      <c r="X840" s="12"/>
      <c r="Y840" s="12"/>
    </row>
    <row r="841" ht="14.25" customHeight="1">
      <c r="A841" s="6"/>
      <c r="B841" s="6"/>
      <c r="D841" s="6"/>
      <c r="E841" s="6"/>
      <c r="F841" s="6"/>
      <c r="G841" s="6"/>
      <c r="H841" s="6"/>
      <c r="I841" s="6"/>
      <c r="J841" s="6"/>
      <c r="K841" s="6"/>
      <c r="L841" s="8"/>
      <c r="M841" s="8"/>
      <c r="N841" s="6"/>
      <c r="O841" s="6"/>
      <c r="P841" s="6"/>
      <c r="Q841" s="6"/>
      <c r="R841" s="6"/>
      <c r="S841" s="6"/>
      <c r="T841" s="6"/>
      <c r="X841" s="12"/>
      <c r="Y841" s="12"/>
    </row>
    <row r="842" ht="14.25" customHeight="1">
      <c r="A842" s="6"/>
      <c r="B842" s="6"/>
      <c r="D842" s="6"/>
      <c r="E842" s="6"/>
      <c r="F842" s="6"/>
      <c r="G842" s="6"/>
      <c r="H842" s="6"/>
      <c r="I842" s="6"/>
      <c r="J842" s="6"/>
      <c r="K842" s="6"/>
      <c r="L842" s="8"/>
      <c r="M842" s="8"/>
      <c r="N842" s="6"/>
      <c r="O842" s="6"/>
      <c r="P842" s="6"/>
      <c r="Q842" s="6"/>
      <c r="R842" s="6"/>
      <c r="S842" s="6"/>
      <c r="T842" s="6"/>
      <c r="X842" s="12"/>
      <c r="Y842" s="12"/>
    </row>
    <row r="843" ht="14.25" customHeight="1">
      <c r="A843" s="6"/>
      <c r="B843" s="6"/>
      <c r="D843" s="6"/>
      <c r="E843" s="6"/>
      <c r="F843" s="6"/>
      <c r="G843" s="6"/>
      <c r="H843" s="6"/>
      <c r="I843" s="6"/>
      <c r="J843" s="6"/>
      <c r="K843" s="6"/>
      <c r="L843" s="8"/>
      <c r="M843" s="8"/>
      <c r="N843" s="6"/>
      <c r="O843" s="6"/>
      <c r="P843" s="6"/>
      <c r="Q843" s="6"/>
      <c r="R843" s="6"/>
      <c r="S843" s="6"/>
      <c r="T843" s="6"/>
      <c r="X843" s="12"/>
      <c r="Y843" s="12"/>
    </row>
    <row r="844" ht="14.25" customHeight="1">
      <c r="A844" s="6"/>
      <c r="B844" s="6"/>
      <c r="D844" s="6"/>
      <c r="E844" s="6"/>
      <c r="F844" s="6"/>
      <c r="G844" s="6"/>
      <c r="H844" s="6"/>
      <c r="I844" s="6"/>
      <c r="J844" s="6"/>
      <c r="K844" s="6"/>
      <c r="L844" s="8"/>
      <c r="M844" s="8"/>
      <c r="N844" s="6"/>
      <c r="O844" s="6"/>
      <c r="P844" s="6"/>
      <c r="Q844" s="6"/>
      <c r="R844" s="6"/>
      <c r="S844" s="6"/>
      <c r="T844" s="6"/>
      <c r="X844" s="12"/>
      <c r="Y844" s="12"/>
    </row>
    <row r="845" ht="14.25" customHeight="1">
      <c r="A845" s="6"/>
      <c r="B845" s="6"/>
      <c r="D845" s="6"/>
      <c r="E845" s="6"/>
      <c r="F845" s="6"/>
      <c r="G845" s="6"/>
      <c r="H845" s="6"/>
      <c r="I845" s="6"/>
      <c r="J845" s="6"/>
      <c r="K845" s="6"/>
      <c r="L845" s="8"/>
      <c r="M845" s="8"/>
      <c r="N845" s="6"/>
      <c r="O845" s="6"/>
      <c r="P845" s="6"/>
      <c r="Q845" s="6"/>
      <c r="R845" s="6"/>
      <c r="S845" s="6"/>
      <c r="T845" s="6"/>
      <c r="X845" s="12"/>
      <c r="Y845" s="12"/>
    </row>
    <row r="846" ht="14.25" customHeight="1">
      <c r="A846" s="6"/>
      <c r="B846" s="6"/>
      <c r="D846" s="6"/>
      <c r="E846" s="6"/>
      <c r="F846" s="6"/>
      <c r="G846" s="6"/>
      <c r="H846" s="6"/>
      <c r="I846" s="6"/>
      <c r="J846" s="6"/>
      <c r="K846" s="6"/>
      <c r="L846" s="8"/>
      <c r="M846" s="8"/>
      <c r="N846" s="6"/>
      <c r="O846" s="6"/>
      <c r="P846" s="6"/>
      <c r="Q846" s="6"/>
      <c r="R846" s="6"/>
      <c r="S846" s="6"/>
      <c r="T846" s="6"/>
      <c r="X846" s="12"/>
      <c r="Y846" s="12"/>
    </row>
    <row r="847" ht="14.25" customHeight="1">
      <c r="A847" s="6"/>
      <c r="B847" s="6"/>
      <c r="D847" s="6"/>
      <c r="E847" s="6"/>
      <c r="F847" s="6"/>
      <c r="G847" s="6"/>
      <c r="H847" s="6"/>
      <c r="I847" s="6"/>
      <c r="J847" s="6"/>
      <c r="K847" s="6"/>
      <c r="L847" s="8"/>
      <c r="M847" s="8"/>
      <c r="N847" s="6"/>
      <c r="O847" s="6"/>
      <c r="P847" s="6"/>
      <c r="Q847" s="6"/>
      <c r="R847" s="6"/>
      <c r="S847" s="6"/>
      <c r="T847" s="6"/>
      <c r="X847" s="12"/>
      <c r="Y847" s="12"/>
    </row>
    <row r="848" ht="14.25" customHeight="1">
      <c r="A848" s="6"/>
      <c r="B848" s="6"/>
      <c r="D848" s="6"/>
      <c r="E848" s="6"/>
      <c r="F848" s="6"/>
      <c r="G848" s="6"/>
      <c r="H848" s="6"/>
      <c r="I848" s="6"/>
      <c r="J848" s="6"/>
      <c r="K848" s="6"/>
      <c r="L848" s="8"/>
      <c r="M848" s="8"/>
      <c r="N848" s="6"/>
      <c r="O848" s="6"/>
      <c r="P848" s="6"/>
      <c r="Q848" s="6"/>
      <c r="R848" s="6"/>
      <c r="S848" s="6"/>
      <c r="T848" s="6"/>
      <c r="X848" s="12"/>
      <c r="Y848" s="12"/>
    </row>
    <row r="849" ht="14.25" customHeight="1">
      <c r="A849" s="6"/>
      <c r="B849" s="6"/>
      <c r="D849" s="6"/>
      <c r="E849" s="6"/>
      <c r="F849" s="6"/>
      <c r="G849" s="6"/>
      <c r="H849" s="6"/>
      <c r="I849" s="6"/>
      <c r="J849" s="6"/>
      <c r="K849" s="6"/>
      <c r="L849" s="8"/>
      <c r="M849" s="8"/>
      <c r="N849" s="6"/>
      <c r="O849" s="6"/>
      <c r="P849" s="6"/>
      <c r="Q849" s="6"/>
      <c r="R849" s="6"/>
      <c r="S849" s="6"/>
      <c r="T849" s="6"/>
      <c r="X849" s="12"/>
      <c r="Y849" s="12"/>
    </row>
    <row r="850" ht="14.25" customHeight="1">
      <c r="A850" s="6"/>
      <c r="B850" s="6"/>
      <c r="D850" s="6"/>
      <c r="E850" s="6"/>
      <c r="F850" s="6"/>
      <c r="G850" s="6"/>
      <c r="H850" s="6"/>
      <c r="I850" s="6"/>
      <c r="J850" s="6"/>
      <c r="K850" s="6"/>
      <c r="L850" s="8"/>
      <c r="M850" s="8"/>
      <c r="N850" s="6"/>
      <c r="O850" s="6"/>
      <c r="P850" s="6"/>
      <c r="Q850" s="6"/>
      <c r="R850" s="6"/>
      <c r="S850" s="6"/>
      <c r="T850" s="6"/>
      <c r="X850" s="12"/>
      <c r="Y850" s="12"/>
    </row>
    <row r="851" ht="14.25" customHeight="1">
      <c r="A851" s="6"/>
      <c r="B851" s="6"/>
      <c r="D851" s="6"/>
      <c r="E851" s="6"/>
      <c r="F851" s="6"/>
      <c r="G851" s="6"/>
      <c r="H851" s="6"/>
      <c r="I851" s="6"/>
      <c r="J851" s="6"/>
      <c r="K851" s="6"/>
      <c r="L851" s="8"/>
      <c r="M851" s="8"/>
      <c r="N851" s="6"/>
      <c r="O851" s="6"/>
      <c r="P851" s="6"/>
      <c r="Q851" s="6"/>
      <c r="R851" s="6"/>
      <c r="S851" s="6"/>
      <c r="T851" s="6"/>
      <c r="X851" s="12"/>
      <c r="Y851" s="12"/>
    </row>
    <row r="852" ht="14.25" customHeight="1">
      <c r="A852" s="6"/>
      <c r="B852" s="6"/>
      <c r="D852" s="6"/>
      <c r="E852" s="6"/>
      <c r="F852" s="6"/>
      <c r="G852" s="6"/>
      <c r="H852" s="6"/>
      <c r="I852" s="6"/>
      <c r="J852" s="6"/>
      <c r="K852" s="6"/>
      <c r="L852" s="8"/>
      <c r="M852" s="8"/>
      <c r="N852" s="6"/>
      <c r="O852" s="6"/>
      <c r="P852" s="6"/>
      <c r="Q852" s="6"/>
      <c r="R852" s="6"/>
      <c r="S852" s="6"/>
      <c r="T852" s="6"/>
      <c r="X852" s="12"/>
      <c r="Y852" s="12"/>
    </row>
    <row r="853" ht="14.25" customHeight="1">
      <c r="A853" s="6"/>
      <c r="B853" s="6"/>
      <c r="D853" s="6"/>
      <c r="E853" s="6"/>
      <c r="F853" s="6"/>
      <c r="G853" s="6"/>
      <c r="H853" s="6"/>
      <c r="I853" s="6"/>
      <c r="J853" s="6"/>
      <c r="K853" s="6"/>
      <c r="L853" s="8"/>
      <c r="M853" s="8"/>
      <c r="N853" s="6"/>
      <c r="O853" s="6"/>
      <c r="P853" s="6"/>
      <c r="Q853" s="6"/>
      <c r="R853" s="6"/>
      <c r="S853" s="6"/>
      <c r="T853" s="6"/>
      <c r="X853" s="12"/>
      <c r="Y853" s="12"/>
    </row>
    <row r="854" ht="14.25" customHeight="1">
      <c r="A854" s="6"/>
      <c r="B854" s="6"/>
      <c r="D854" s="6"/>
      <c r="E854" s="6"/>
      <c r="F854" s="6"/>
      <c r="G854" s="6"/>
      <c r="H854" s="6"/>
      <c r="I854" s="6"/>
      <c r="J854" s="6"/>
      <c r="K854" s="6"/>
      <c r="L854" s="8"/>
      <c r="M854" s="8"/>
      <c r="N854" s="6"/>
      <c r="O854" s="6"/>
      <c r="P854" s="6"/>
      <c r="Q854" s="6"/>
      <c r="R854" s="6"/>
      <c r="S854" s="6"/>
      <c r="T854" s="6"/>
      <c r="X854" s="12"/>
      <c r="Y854" s="12"/>
    </row>
    <row r="855" ht="14.25" customHeight="1">
      <c r="A855" s="6"/>
      <c r="B855" s="6"/>
      <c r="D855" s="6"/>
      <c r="E855" s="6"/>
      <c r="F855" s="6"/>
      <c r="G855" s="6"/>
      <c r="H855" s="6"/>
      <c r="I855" s="6"/>
      <c r="J855" s="6"/>
      <c r="K855" s="6"/>
      <c r="L855" s="8"/>
      <c r="M855" s="8"/>
      <c r="N855" s="6"/>
      <c r="O855" s="6"/>
      <c r="P855" s="6"/>
      <c r="Q855" s="6"/>
      <c r="R855" s="6"/>
      <c r="S855" s="6"/>
      <c r="T855" s="6"/>
      <c r="X855" s="12"/>
      <c r="Y855" s="12"/>
    </row>
    <row r="856" ht="14.25" customHeight="1">
      <c r="A856" s="6"/>
      <c r="B856" s="6"/>
      <c r="D856" s="6"/>
      <c r="E856" s="6"/>
      <c r="F856" s="6"/>
      <c r="G856" s="6"/>
      <c r="H856" s="6"/>
      <c r="I856" s="6"/>
      <c r="J856" s="6"/>
      <c r="K856" s="6"/>
      <c r="L856" s="8"/>
      <c r="M856" s="8"/>
      <c r="N856" s="6"/>
      <c r="O856" s="6"/>
      <c r="P856" s="6"/>
      <c r="Q856" s="6"/>
      <c r="R856" s="6"/>
      <c r="S856" s="6"/>
      <c r="T856" s="6"/>
      <c r="X856" s="12"/>
      <c r="Y856" s="12"/>
    </row>
    <row r="857" ht="14.25" customHeight="1">
      <c r="A857" s="6"/>
      <c r="B857" s="6"/>
      <c r="D857" s="6"/>
      <c r="E857" s="6"/>
      <c r="F857" s="6"/>
      <c r="G857" s="6"/>
      <c r="H857" s="6"/>
      <c r="I857" s="6"/>
      <c r="J857" s="6"/>
      <c r="K857" s="6"/>
      <c r="L857" s="8"/>
      <c r="M857" s="8"/>
      <c r="N857" s="6"/>
      <c r="O857" s="6"/>
      <c r="P857" s="6"/>
      <c r="Q857" s="6"/>
      <c r="R857" s="6"/>
      <c r="S857" s="6"/>
      <c r="T857" s="6"/>
      <c r="X857" s="12"/>
      <c r="Y857" s="12"/>
    </row>
    <row r="858" ht="14.25" customHeight="1">
      <c r="A858" s="6"/>
      <c r="B858" s="6"/>
      <c r="D858" s="6"/>
      <c r="E858" s="6"/>
      <c r="F858" s="6"/>
      <c r="G858" s="6"/>
      <c r="H858" s="6"/>
      <c r="I858" s="6"/>
      <c r="J858" s="6"/>
      <c r="K858" s="6"/>
      <c r="L858" s="8"/>
      <c r="M858" s="8"/>
      <c r="N858" s="6"/>
      <c r="O858" s="6"/>
      <c r="P858" s="6"/>
      <c r="Q858" s="6"/>
      <c r="R858" s="6"/>
      <c r="S858" s="6"/>
      <c r="T858" s="6"/>
      <c r="X858" s="12"/>
      <c r="Y858" s="12"/>
    </row>
    <row r="859" ht="14.25" customHeight="1">
      <c r="A859" s="6"/>
      <c r="B859" s="6"/>
      <c r="D859" s="6"/>
      <c r="E859" s="6"/>
      <c r="F859" s="6"/>
      <c r="G859" s="6"/>
      <c r="H859" s="6"/>
      <c r="I859" s="6"/>
      <c r="J859" s="6"/>
      <c r="K859" s="6"/>
      <c r="L859" s="8"/>
      <c r="M859" s="8"/>
      <c r="N859" s="6"/>
      <c r="O859" s="6"/>
      <c r="P859" s="6"/>
      <c r="Q859" s="6"/>
      <c r="R859" s="6"/>
      <c r="S859" s="6"/>
      <c r="T859" s="6"/>
      <c r="X859" s="12"/>
      <c r="Y859" s="12"/>
    </row>
    <row r="860" ht="14.25" customHeight="1">
      <c r="A860" s="6"/>
      <c r="B860" s="6"/>
      <c r="D860" s="6"/>
      <c r="E860" s="6"/>
      <c r="F860" s="6"/>
      <c r="G860" s="6"/>
      <c r="H860" s="6"/>
      <c r="I860" s="6"/>
      <c r="J860" s="6"/>
      <c r="K860" s="6"/>
      <c r="L860" s="8"/>
      <c r="M860" s="8"/>
      <c r="N860" s="6"/>
      <c r="O860" s="6"/>
      <c r="P860" s="6"/>
      <c r="Q860" s="6"/>
      <c r="R860" s="6"/>
      <c r="S860" s="6"/>
      <c r="T860" s="6"/>
      <c r="X860" s="12"/>
      <c r="Y860" s="12"/>
    </row>
    <row r="861" ht="14.25" customHeight="1">
      <c r="A861" s="6"/>
      <c r="B861" s="6"/>
      <c r="D861" s="6"/>
      <c r="E861" s="6"/>
      <c r="F861" s="6"/>
      <c r="G861" s="6"/>
      <c r="H861" s="6"/>
      <c r="I861" s="6"/>
      <c r="J861" s="6"/>
      <c r="K861" s="6"/>
      <c r="L861" s="8"/>
      <c r="M861" s="8"/>
      <c r="N861" s="6"/>
      <c r="O861" s="6"/>
      <c r="P861" s="6"/>
      <c r="Q861" s="6"/>
      <c r="R861" s="6"/>
      <c r="S861" s="6"/>
      <c r="T861" s="6"/>
      <c r="X861" s="12"/>
      <c r="Y861" s="12"/>
    </row>
    <row r="862" ht="14.25" customHeight="1">
      <c r="A862" s="6"/>
      <c r="B862" s="6"/>
      <c r="D862" s="6"/>
      <c r="E862" s="6"/>
      <c r="F862" s="6"/>
      <c r="G862" s="6"/>
      <c r="H862" s="6"/>
      <c r="I862" s="6"/>
      <c r="J862" s="6"/>
      <c r="K862" s="6"/>
      <c r="L862" s="8"/>
      <c r="M862" s="8"/>
      <c r="N862" s="6"/>
      <c r="O862" s="6"/>
      <c r="P862" s="6"/>
      <c r="Q862" s="6"/>
      <c r="R862" s="6"/>
      <c r="S862" s="6"/>
      <c r="T862" s="6"/>
      <c r="X862" s="12"/>
      <c r="Y862" s="12"/>
    </row>
    <row r="863" ht="14.25" customHeight="1">
      <c r="A863" s="6"/>
      <c r="B863" s="6"/>
      <c r="D863" s="6"/>
      <c r="E863" s="6"/>
      <c r="F863" s="6"/>
      <c r="G863" s="6"/>
      <c r="H863" s="6"/>
      <c r="I863" s="6"/>
      <c r="J863" s="6"/>
      <c r="K863" s="6"/>
      <c r="L863" s="8"/>
      <c r="M863" s="8"/>
      <c r="N863" s="6"/>
      <c r="O863" s="6"/>
      <c r="P863" s="6"/>
      <c r="Q863" s="6"/>
      <c r="R863" s="6"/>
      <c r="S863" s="6"/>
      <c r="T863" s="6"/>
      <c r="X863" s="12"/>
      <c r="Y863" s="12"/>
    </row>
    <row r="864" ht="14.25" customHeight="1">
      <c r="A864" s="6"/>
      <c r="B864" s="6"/>
      <c r="D864" s="6"/>
      <c r="E864" s="6"/>
      <c r="F864" s="6"/>
      <c r="G864" s="6"/>
      <c r="H864" s="6"/>
      <c r="I864" s="6"/>
      <c r="J864" s="6"/>
      <c r="K864" s="6"/>
      <c r="L864" s="8"/>
      <c r="M864" s="8"/>
      <c r="N864" s="6"/>
      <c r="O864" s="6"/>
      <c r="P864" s="6"/>
      <c r="Q864" s="6"/>
      <c r="R864" s="6"/>
      <c r="S864" s="6"/>
      <c r="T864" s="6"/>
      <c r="X864" s="12"/>
      <c r="Y864" s="12"/>
    </row>
    <row r="865" ht="14.25" customHeight="1">
      <c r="A865" s="6"/>
      <c r="B865" s="6"/>
      <c r="D865" s="6"/>
      <c r="E865" s="6"/>
      <c r="F865" s="6"/>
      <c r="G865" s="6"/>
      <c r="H865" s="6"/>
      <c r="I865" s="6"/>
      <c r="J865" s="6"/>
      <c r="K865" s="6"/>
      <c r="L865" s="8"/>
      <c r="M865" s="8"/>
      <c r="N865" s="6"/>
      <c r="O865" s="6"/>
      <c r="P865" s="6"/>
      <c r="Q865" s="6"/>
      <c r="R865" s="6"/>
      <c r="S865" s="6"/>
      <c r="T865" s="6"/>
      <c r="X865" s="12"/>
      <c r="Y865" s="12"/>
    </row>
    <row r="866" ht="14.25" customHeight="1">
      <c r="A866" s="6"/>
      <c r="B866" s="6"/>
      <c r="D866" s="6"/>
      <c r="E866" s="6"/>
      <c r="F866" s="6"/>
      <c r="G866" s="6"/>
      <c r="H866" s="6"/>
      <c r="I866" s="6"/>
      <c r="J866" s="6"/>
      <c r="K866" s="6"/>
      <c r="L866" s="8"/>
      <c r="M866" s="8"/>
      <c r="N866" s="6"/>
      <c r="O866" s="6"/>
      <c r="P866" s="6"/>
      <c r="Q866" s="6"/>
      <c r="R866" s="6"/>
      <c r="S866" s="6"/>
      <c r="T866" s="6"/>
      <c r="X866" s="12"/>
      <c r="Y866" s="12"/>
    </row>
    <row r="867" ht="14.25" customHeight="1">
      <c r="A867" s="6"/>
      <c r="B867" s="6"/>
      <c r="D867" s="6"/>
      <c r="E867" s="6"/>
      <c r="F867" s="6"/>
      <c r="G867" s="6"/>
      <c r="H867" s="6"/>
      <c r="I867" s="6"/>
      <c r="J867" s="6"/>
      <c r="K867" s="6"/>
      <c r="L867" s="8"/>
      <c r="M867" s="8"/>
      <c r="N867" s="6"/>
      <c r="O867" s="6"/>
      <c r="P867" s="6"/>
      <c r="Q867" s="6"/>
      <c r="R867" s="6"/>
      <c r="S867" s="6"/>
      <c r="T867" s="6"/>
      <c r="X867" s="12"/>
      <c r="Y867" s="12"/>
    </row>
    <row r="868" ht="14.25" customHeight="1">
      <c r="A868" s="6"/>
      <c r="B868" s="6"/>
      <c r="D868" s="6"/>
      <c r="E868" s="6"/>
      <c r="F868" s="6"/>
      <c r="G868" s="6"/>
      <c r="H868" s="6"/>
      <c r="I868" s="6"/>
      <c r="J868" s="6"/>
      <c r="K868" s="6"/>
      <c r="L868" s="8"/>
      <c r="M868" s="8"/>
      <c r="N868" s="6"/>
      <c r="O868" s="6"/>
      <c r="P868" s="6"/>
      <c r="Q868" s="6"/>
      <c r="R868" s="6"/>
      <c r="S868" s="6"/>
      <c r="T868" s="6"/>
      <c r="X868" s="12"/>
      <c r="Y868" s="12"/>
    </row>
    <row r="869" ht="14.25" customHeight="1">
      <c r="A869" s="6"/>
      <c r="B869" s="6"/>
      <c r="D869" s="6"/>
      <c r="E869" s="6"/>
      <c r="F869" s="6"/>
      <c r="G869" s="6"/>
      <c r="H869" s="6"/>
      <c r="I869" s="6"/>
      <c r="J869" s="6"/>
      <c r="K869" s="6"/>
      <c r="L869" s="8"/>
      <c r="M869" s="8"/>
      <c r="N869" s="6"/>
      <c r="O869" s="6"/>
      <c r="P869" s="6"/>
      <c r="Q869" s="6"/>
      <c r="R869" s="6"/>
      <c r="S869" s="6"/>
      <c r="T869" s="6"/>
      <c r="X869" s="12"/>
      <c r="Y869" s="12"/>
    </row>
    <row r="870" ht="14.25" customHeight="1">
      <c r="A870" s="6"/>
      <c r="B870" s="6"/>
      <c r="D870" s="6"/>
      <c r="E870" s="6"/>
      <c r="F870" s="6"/>
      <c r="G870" s="6"/>
      <c r="H870" s="6"/>
      <c r="I870" s="6"/>
      <c r="J870" s="6"/>
      <c r="K870" s="6"/>
      <c r="L870" s="8"/>
      <c r="M870" s="8"/>
      <c r="N870" s="6"/>
      <c r="O870" s="6"/>
      <c r="P870" s="6"/>
      <c r="Q870" s="6"/>
      <c r="R870" s="6"/>
      <c r="S870" s="6"/>
      <c r="T870" s="6"/>
      <c r="X870" s="12"/>
      <c r="Y870" s="12"/>
    </row>
    <row r="871" ht="14.25" customHeight="1">
      <c r="A871" s="6"/>
      <c r="B871" s="6"/>
      <c r="D871" s="6"/>
      <c r="E871" s="6"/>
      <c r="F871" s="6"/>
      <c r="G871" s="6"/>
      <c r="H871" s="6"/>
      <c r="I871" s="6"/>
      <c r="J871" s="6"/>
      <c r="K871" s="6"/>
      <c r="L871" s="8"/>
      <c r="M871" s="8"/>
      <c r="N871" s="6"/>
      <c r="O871" s="6"/>
      <c r="P871" s="6"/>
      <c r="Q871" s="6"/>
      <c r="R871" s="6"/>
      <c r="S871" s="6"/>
      <c r="T871" s="6"/>
      <c r="X871" s="12"/>
      <c r="Y871" s="12"/>
    </row>
    <row r="872" ht="14.25" customHeight="1">
      <c r="A872" s="6"/>
      <c r="B872" s="6"/>
      <c r="D872" s="6"/>
      <c r="E872" s="6"/>
      <c r="F872" s="6"/>
      <c r="G872" s="6"/>
      <c r="H872" s="6"/>
      <c r="I872" s="6"/>
      <c r="J872" s="6"/>
      <c r="K872" s="6"/>
      <c r="L872" s="8"/>
      <c r="M872" s="8"/>
      <c r="N872" s="6"/>
      <c r="O872" s="6"/>
      <c r="P872" s="6"/>
      <c r="Q872" s="6"/>
      <c r="R872" s="6"/>
      <c r="S872" s="6"/>
      <c r="T872" s="6"/>
      <c r="X872" s="12"/>
      <c r="Y872" s="12"/>
    </row>
    <row r="873" ht="14.25" customHeight="1">
      <c r="A873" s="6"/>
      <c r="B873" s="6"/>
      <c r="D873" s="6"/>
      <c r="E873" s="6"/>
      <c r="F873" s="6"/>
      <c r="G873" s="6"/>
      <c r="H873" s="6"/>
      <c r="I873" s="6"/>
      <c r="J873" s="6"/>
      <c r="K873" s="6"/>
      <c r="L873" s="8"/>
      <c r="M873" s="8"/>
      <c r="N873" s="6"/>
      <c r="O873" s="6"/>
      <c r="P873" s="6"/>
      <c r="Q873" s="6"/>
      <c r="R873" s="6"/>
      <c r="S873" s="6"/>
      <c r="T873" s="6"/>
      <c r="X873" s="12"/>
      <c r="Y873" s="12"/>
    </row>
    <row r="874" ht="14.25" customHeight="1">
      <c r="A874" s="6"/>
      <c r="B874" s="6"/>
      <c r="D874" s="6"/>
      <c r="E874" s="6"/>
      <c r="F874" s="6"/>
      <c r="G874" s="6"/>
      <c r="H874" s="6"/>
      <c r="I874" s="6"/>
      <c r="J874" s="6"/>
      <c r="K874" s="6"/>
      <c r="L874" s="8"/>
      <c r="M874" s="8"/>
      <c r="N874" s="6"/>
      <c r="O874" s="6"/>
      <c r="P874" s="6"/>
      <c r="Q874" s="6"/>
      <c r="R874" s="6"/>
      <c r="S874" s="6"/>
      <c r="T874" s="6"/>
      <c r="X874" s="12"/>
      <c r="Y874" s="12"/>
    </row>
    <row r="875" ht="14.25" customHeight="1">
      <c r="A875" s="6"/>
      <c r="B875" s="6"/>
      <c r="D875" s="6"/>
      <c r="E875" s="6"/>
      <c r="F875" s="6"/>
      <c r="G875" s="6"/>
      <c r="H875" s="6"/>
      <c r="I875" s="6"/>
      <c r="J875" s="6"/>
      <c r="K875" s="6"/>
      <c r="L875" s="8"/>
      <c r="M875" s="8"/>
      <c r="N875" s="6"/>
      <c r="O875" s="6"/>
      <c r="P875" s="6"/>
      <c r="Q875" s="6"/>
      <c r="R875" s="6"/>
      <c r="S875" s="6"/>
      <c r="T875" s="6"/>
      <c r="X875" s="12"/>
      <c r="Y875" s="12"/>
    </row>
    <row r="876" ht="14.25" customHeight="1">
      <c r="A876" s="6"/>
      <c r="B876" s="6"/>
      <c r="D876" s="6"/>
      <c r="E876" s="6"/>
      <c r="F876" s="6"/>
      <c r="G876" s="6"/>
      <c r="H876" s="6"/>
      <c r="I876" s="6"/>
      <c r="J876" s="6"/>
      <c r="K876" s="6"/>
      <c r="L876" s="8"/>
      <c r="M876" s="8"/>
      <c r="N876" s="6"/>
      <c r="O876" s="6"/>
      <c r="P876" s="6"/>
      <c r="Q876" s="6"/>
      <c r="R876" s="6"/>
      <c r="S876" s="6"/>
      <c r="T876" s="6"/>
      <c r="X876" s="12"/>
      <c r="Y876" s="12"/>
    </row>
    <row r="877" ht="14.25" customHeight="1">
      <c r="A877" s="6"/>
      <c r="B877" s="6"/>
      <c r="D877" s="6"/>
      <c r="E877" s="6"/>
      <c r="F877" s="6"/>
      <c r="G877" s="6"/>
      <c r="H877" s="6"/>
      <c r="I877" s="6"/>
      <c r="J877" s="6"/>
      <c r="K877" s="6"/>
      <c r="L877" s="8"/>
      <c r="M877" s="8"/>
      <c r="N877" s="6"/>
      <c r="O877" s="6"/>
      <c r="P877" s="6"/>
      <c r="Q877" s="6"/>
      <c r="R877" s="6"/>
      <c r="S877" s="6"/>
      <c r="T877" s="6"/>
      <c r="X877" s="12"/>
      <c r="Y877" s="12"/>
    </row>
    <row r="878" ht="14.25" customHeight="1">
      <c r="A878" s="6"/>
      <c r="B878" s="6"/>
      <c r="D878" s="6"/>
      <c r="E878" s="6"/>
      <c r="F878" s="6"/>
      <c r="G878" s="6"/>
      <c r="H878" s="6"/>
      <c r="I878" s="6"/>
      <c r="J878" s="6"/>
      <c r="K878" s="6"/>
      <c r="L878" s="8"/>
      <c r="M878" s="8"/>
      <c r="N878" s="6"/>
      <c r="O878" s="6"/>
      <c r="P878" s="6"/>
      <c r="Q878" s="6"/>
      <c r="R878" s="6"/>
      <c r="S878" s="6"/>
      <c r="T878" s="6"/>
      <c r="X878" s="12"/>
      <c r="Y878" s="12"/>
    </row>
    <row r="879" ht="14.25" customHeight="1">
      <c r="A879" s="6"/>
      <c r="B879" s="6"/>
      <c r="D879" s="6"/>
      <c r="E879" s="6"/>
      <c r="F879" s="6"/>
      <c r="G879" s="6"/>
      <c r="H879" s="6"/>
      <c r="I879" s="6"/>
      <c r="J879" s="6"/>
      <c r="K879" s="6"/>
      <c r="L879" s="8"/>
      <c r="M879" s="8"/>
      <c r="N879" s="6"/>
      <c r="O879" s="6"/>
      <c r="P879" s="6"/>
      <c r="Q879" s="6"/>
      <c r="R879" s="6"/>
      <c r="S879" s="6"/>
      <c r="T879" s="6"/>
      <c r="X879" s="12"/>
      <c r="Y879" s="12"/>
    </row>
    <row r="880" ht="14.25" customHeight="1">
      <c r="A880" s="6"/>
      <c r="B880" s="6"/>
      <c r="D880" s="6"/>
      <c r="E880" s="6"/>
      <c r="F880" s="6"/>
      <c r="G880" s="6"/>
      <c r="H880" s="6"/>
      <c r="I880" s="6"/>
      <c r="J880" s="6"/>
      <c r="K880" s="6"/>
      <c r="L880" s="8"/>
      <c r="M880" s="8"/>
      <c r="N880" s="6"/>
      <c r="O880" s="6"/>
      <c r="P880" s="6"/>
      <c r="Q880" s="6"/>
      <c r="R880" s="6"/>
      <c r="S880" s="6"/>
      <c r="T880" s="6"/>
      <c r="X880" s="12"/>
      <c r="Y880" s="12"/>
    </row>
    <row r="881" ht="14.25" customHeight="1">
      <c r="A881" s="6"/>
      <c r="B881" s="6"/>
      <c r="D881" s="6"/>
      <c r="E881" s="6"/>
      <c r="F881" s="6"/>
      <c r="G881" s="6"/>
      <c r="H881" s="6"/>
      <c r="I881" s="6"/>
      <c r="J881" s="6"/>
      <c r="K881" s="6"/>
      <c r="L881" s="8"/>
      <c r="M881" s="8"/>
      <c r="N881" s="6"/>
      <c r="O881" s="6"/>
      <c r="P881" s="6"/>
      <c r="Q881" s="6"/>
      <c r="R881" s="6"/>
      <c r="S881" s="6"/>
      <c r="T881" s="6"/>
      <c r="X881" s="12"/>
      <c r="Y881" s="12"/>
    </row>
    <row r="882" ht="14.25" customHeight="1">
      <c r="A882" s="6"/>
      <c r="B882" s="6"/>
      <c r="D882" s="6"/>
      <c r="E882" s="6"/>
      <c r="F882" s="6"/>
      <c r="G882" s="6"/>
      <c r="H882" s="6"/>
      <c r="I882" s="6"/>
      <c r="J882" s="6"/>
      <c r="K882" s="6"/>
      <c r="L882" s="8"/>
      <c r="M882" s="8"/>
      <c r="N882" s="6"/>
      <c r="O882" s="6"/>
      <c r="P882" s="6"/>
      <c r="Q882" s="6"/>
      <c r="R882" s="6"/>
      <c r="S882" s="6"/>
      <c r="T882" s="6"/>
      <c r="X882" s="12"/>
      <c r="Y882" s="12"/>
    </row>
    <row r="883" ht="14.25" customHeight="1">
      <c r="A883" s="6"/>
      <c r="B883" s="6"/>
      <c r="D883" s="6"/>
      <c r="E883" s="6"/>
      <c r="F883" s="6"/>
      <c r="G883" s="6"/>
      <c r="H883" s="6"/>
      <c r="I883" s="6"/>
      <c r="J883" s="6"/>
      <c r="K883" s="6"/>
      <c r="L883" s="8"/>
      <c r="M883" s="8"/>
      <c r="N883" s="6"/>
      <c r="O883" s="6"/>
      <c r="P883" s="6"/>
      <c r="Q883" s="6"/>
      <c r="R883" s="6"/>
      <c r="S883" s="6"/>
      <c r="T883" s="6"/>
      <c r="X883" s="12"/>
      <c r="Y883" s="12"/>
    </row>
    <row r="884" ht="14.25" customHeight="1">
      <c r="A884" s="6"/>
      <c r="B884" s="6"/>
      <c r="D884" s="6"/>
      <c r="E884" s="6"/>
      <c r="F884" s="6"/>
      <c r="G884" s="6"/>
      <c r="H884" s="6"/>
      <c r="I884" s="6"/>
      <c r="J884" s="6"/>
      <c r="K884" s="6"/>
      <c r="L884" s="8"/>
      <c r="M884" s="8"/>
      <c r="N884" s="6"/>
      <c r="O884" s="6"/>
      <c r="P884" s="6"/>
      <c r="Q884" s="6"/>
      <c r="R884" s="6"/>
      <c r="S884" s="6"/>
      <c r="T884" s="6"/>
      <c r="X884" s="12"/>
      <c r="Y884" s="12"/>
    </row>
    <row r="885" ht="14.25" customHeight="1">
      <c r="A885" s="6"/>
      <c r="B885" s="6"/>
      <c r="D885" s="6"/>
      <c r="E885" s="6"/>
      <c r="F885" s="6"/>
      <c r="G885" s="6"/>
      <c r="H885" s="6"/>
      <c r="I885" s="6"/>
      <c r="J885" s="6"/>
      <c r="K885" s="6"/>
      <c r="L885" s="8"/>
      <c r="M885" s="8"/>
      <c r="N885" s="6"/>
      <c r="O885" s="6"/>
      <c r="P885" s="6"/>
      <c r="Q885" s="6"/>
      <c r="R885" s="6"/>
      <c r="S885" s="6"/>
      <c r="T885" s="6"/>
      <c r="X885" s="12"/>
      <c r="Y885" s="12"/>
    </row>
    <row r="886" ht="14.25" customHeight="1">
      <c r="A886" s="6"/>
      <c r="B886" s="6"/>
      <c r="D886" s="6"/>
      <c r="E886" s="6"/>
      <c r="F886" s="6"/>
      <c r="G886" s="6"/>
      <c r="H886" s="6"/>
      <c r="I886" s="6"/>
      <c r="J886" s="6"/>
      <c r="K886" s="6"/>
      <c r="L886" s="8"/>
      <c r="M886" s="8"/>
      <c r="N886" s="6"/>
      <c r="O886" s="6"/>
      <c r="P886" s="6"/>
      <c r="Q886" s="6"/>
      <c r="R886" s="6"/>
      <c r="S886" s="6"/>
      <c r="T886" s="6"/>
      <c r="X886" s="12"/>
      <c r="Y886" s="12"/>
    </row>
    <row r="887" ht="14.25" customHeight="1">
      <c r="A887" s="6"/>
      <c r="B887" s="6"/>
      <c r="D887" s="6"/>
      <c r="E887" s="6"/>
      <c r="F887" s="6"/>
      <c r="G887" s="6"/>
      <c r="H887" s="6"/>
      <c r="I887" s="6"/>
      <c r="J887" s="6"/>
      <c r="K887" s="6"/>
      <c r="L887" s="8"/>
      <c r="M887" s="8"/>
      <c r="N887" s="6"/>
      <c r="O887" s="6"/>
      <c r="P887" s="6"/>
      <c r="Q887" s="6"/>
      <c r="R887" s="6"/>
      <c r="S887" s="6"/>
      <c r="T887" s="6"/>
      <c r="X887" s="12"/>
      <c r="Y887" s="12"/>
    </row>
    <row r="888" ht="14.25" customHeight="1">
      <c r="A888" s="6"/>
      <c r="B888" s="6"/>
      <c r="D888" s="6"/>
      <c r="E888" s="6"/>
      <c r="F888" s="6"/>
      <c r="G888" s="6"/>
      <c r="H888" s="6"/>
      <c r="I888" s="6"/>
      <c r="J888" s="6"/>
      <c r="K888" s="6"/>
      <c r="L888" s="8"/>
      <c r="M888" s="8"/>
      <c r="N888" s="6"/>
      <c r="O888" s="6"/>
      <c r="P888" s="6"/>
      <c r="Q888" s="6"/>
      <c r="R888" s="6"/>
      <c r="S888" s="6"/>
      <c r="T888" s="6"/>
      <c r="X888" s="12"/>
      <c r="Y888" s="12"/>
    </row>
    <row r="889" ht="14.25" customHeight="1">
      <c r="A889" s="6"/>
      <c r="B889" s="6"/>
      <c r="D889" s="6"/>
      <c r="E889" s="6"/>
      <c r="F889" s="6"/>
      <c r="G889" s="6"/>
      <c r="H889" s="6"/>
      <c r="I889" s="6"/>
      <c r="J889" s="6"/>
      <c r="K889" s="6"/>
      <c r="L889" s="8"/>
      <c r="M889" s="8"/>
      <c r="N889" s="6"/>
      <c r="O889" s="6"/>
      <c r="P889" s="6"/>
      <c r="Q889" s="6"/>
      <c r="R889" s="6"/>
      <c r="S889" s="6"/>
      <c r="T889" s="6"/>
      <c r="X889" s="12"/>
      <c r="Y889" s="12"/>
    </row>
    <row r="890" ht="14.25" customHeight="1">
      <c r="A890" s="6"/>
      <c r="B890" s="6"/>
      <c r="D890" s="6"/>
      <c r="E890" s="6"/>
      <c r="F890" s="6"/>
      <c r="G890" s="6"/>
      <c r="H890" s="6"/>
      <c r="I890" s="6"/>
      <c r="J890" s="6"/>
      <c r="K890" s="6"/>
      <c r="L890" s="8"/>
      <c r="M890" s="8"/>
      <c r="N890" s="6"/>
      <c r="O890" s="6"/>
      <c r="P890" s="6"/>
      <c r="Q890" s="6"/>
      <c r="R890" s="6"/>
      <c r="S890" s="6"/>
      <c r="T890" s="6"/>
      <c r="X890" s="12"/>
      <c r="Y890" s="12"/>
    </row>
    <row r="891" ht="14.25" customHeight="1">
      <c r="A891" s="6"/>
      <c r="B891" s="6"/>
      <c r="D891" s="6"/>
      <c r="E891" s="6"/>
      <c r="F891" s="6"/>
      <c r="G891" s="6"/>
      <c r="H891" s="6"/>
      <c r="I891" s="6"/>
      <c r="J891" s="6"/>
      <c r="K891" s="6"/>
      <c r="L891" s="8"/>
      <c r="M891" s="8"/>
      <c r="N891" s="6"/>
      <c r="O891" s="6"/>
      <c r="P891" s="6"/>
      <c r="Q891" s="6"/>
      <c r="R891" s="6"/>
      <c r="S891" s="6"/>
      <c r="T891" s="6"/>
      <c r="X891" s="12"/>
      <c r="Y891" s="12"/>
    </row>
    <row r="892" ht="14.25" customHeight="1">
      <c r="A892" s="6"/>
      <c r="B892" s="6"/>
      <c r="D892" s="6"/>
      <c r="E892" s="6"/>
      <c r="F892" s="6"/>
      <c r="G892" s="6"/>
      <c r="H892" s="6"/>
      <c r="I892" s="6"/>
      <c r="J892" s="6"/>
      <c r="K892" s="6"/>
      <c r="L892" s="8"/>
      <c r="M892" s="8"/>
      <c r="N892" s="6"/>
      <c r="O892" s="6"/>
      <c r="P892" s="6"/>
      <c r="Q892" s="6"/>
      <c r="R892" s="6"/>
      <c r="S892" s="6"/>
      <c r="T892" s="6"/>
      <c r="X892" s="12"/>
      <c r="Y892" s="12"/>
    </row>
    <row r="893" ht="14.25" customHeight="1">
      <c r="A893" s="6"/>
      <c r="B893" s="6"/>
      <c r="D893" s="6"/>
      <c r="E893" s="6"/>
      <c r="F893" s="6"/>
      <c r="G893" s="6"/>
      <c r="H893" s="6"/>
      <c r="I893" s="6"/>
      <c r="J893" s="6"/>
      <c r="K893" s="6"/>
      <c r="L893" s="8"/>
      <c r="M893" s="8"/>
      <c r="N893" s="6"/>
      <c r="O893" s="6"/>
      <c r="P893" s="6"/>
      <c r="Q893" s="6"/>
      <c r="R893" s="6"/>
      <c r="S893" s="6"/>
      <c r="T893" s="6"/>
      <c r="X893" s="12"/>
      <c r="Y893" s="12"/>
    </row>
    <row r="894" ht="14.25" customHeight="1">
      <c r="A894" s="6"/>
      <c r="B894" s="6"/>
      <c r="D894" s="6"/>
      <c r="E894" s="6"/>
      <c r="F894" s="6"/>
      <c r="G894" s="6"/>
      <c r="H894" s="6"/>
      <c r="I894" s="6"/>
      <c r="J894" s="6"/>
      <c r="K894" s="6"/>
      <c r="L894" s="8"/>
      <c r="M894" s="8"/>
      <c r="N894" s="6"/>
      <c r="O894" s="6"/>
      <c r="P894" s="6"/>
      <c r="Q894" s="6"/>
      <c r="R894" s="6"/>
      <c r="S894" s="6"/>
      <c r="T894" s="6"/>
      <c r="X894" s="12"/>
      <c r="Y894" s="12"/>
    </row>
    <row r="895" ht="14.25" customHeight="1">
      <c r="A895" s="6"/>
      <c r="B895" s="6"/>
      <c r="D895" s="6"/>
      <c r="E895" s="6"/>
      <c r="F895" s="6"/>
      <c r="G895" s="6"/>
      <c r="H895" s="6"/>
      <c r="I895" s="6"/>
      <c r="J895" s="6"/>
      <c r="K895" s="6"/>
      <c r="L895" s="8"/>
      <c r="M895" s="8"/>
      <c r="N895" s="6"/>
      <c r="O895" s="6"/>
      <c r="P895" s="6"/>
      <c r="Q895" s="6"/>
      <c r="R895" s="6"/>
      <c r="S895" s="6"/>
      <c r="T895" s="6"/>
      <c r="X895" s="12"/>
      <c r="Y895" s="12"/>
    </row>
    <row r="896" ht="14.25" customHeight="1">
      <c r="A896" s="6"/>
      <c r="B896" s="6"/>
      <c r="D896" s="6"/>
      <c r="E896" s="6"/>
      <c r="F896" s="6"/>
      <c r="G896" s="6"/>
      <c r="H896" s="6"/>
      <c r="I896" s="6"/>
      <c r="J896" s="6"/>
      <c r="K896" s="6"/>
      <c r="L896" s="8"/>
      <c r="M896" s="8"/>
      <c r="N896" s="6"/>
      <c r="O896" s="6"/>
      <c r="P896" s="6"/>
      <c r="Q896" s="6"/>
      <c r="R896" s="6"/>
      <c r="S896" s="6"/>
      <c r="T896" s="6"/>
      <c r="X896" s="12"/>
      <c r="Y896" s="12"/>
    </row>
    <row r="897" ht="14.25" customHeight="1">
      <c r="A897" s="6"/>
      <c r="B897" s="6"/>
      <c r="D897" s="6"/>
      <c r="E897" s="6"/>
      <c r="F897" s="6"/>
      <c r="G897" s="6"/>
      <c r="H897" s="6"/>
      <c r="I897" s="6"/>
      <c r="J897" s="6"/>
      <c r="K897" s="6"/>
      <c r="L897" s="8"/>
      <c r="M897" s="8"/>
      <c r="N897" s="6"/>
      <c r="O897" s="6"/>
      <c r="P897" s="6"/>
      <c r="Q897" s="6"/>
      <c r="R897" s="6"/>
      <c r="S897" s="6"/>
      <c r="T897" s="6"/>
      <c r="X897" s="12"/>
      <c r="Y897" s="12"/>
    </row>
    <row r="898" ht="14.25" customHeight="1">
      <c r="A898" s="6"/>
      <c r="B898" s="6"/>
      <c r="D898" s="6"/>
      <c r="E898" s="6"/>
      <c r="F898" s="6"/>
      <c r="G898" s="6"/>
      <c r="H898" s="6"/>
      <c r="I898" s="6"/>
      <c r="J898" s="6"/>
      <c r="K898" s="6"/>
      <c r="L898" s="8"/>
      <c r="M898" s="8"/>
      <c r="N898" s="6"/>
      <c r="O898" s="6"/>
      <c r="P898" s="6"/>
      <c r="Q898" s="6"/>
      <c r="R898" s="6"/>
      <c r="S898" s="6"/>
      <c r="T898" s="6"/>
      <c r="X898" s="12"/>
      <c r="Y898" s="12"/>
    </row>
    <row r="899" ht="14.25" customHeight="1">
      <c r="A899" s="6"/>
      <c r="B899" s="6"/>
      <c r="D899" s="6"/>
      <c r="E899" s="6"/>
      <c r="F899" s="6"/>
      <c r="G899" s="6"/>
      <c r="H899" s="6"/>
      <c r="I899" s="6"/>
      <c r="J899" s="6"/>
      <c r="K899" s="6"/>
      <c r="L899" s="8"/>
      <c r="M899" s="8"/>
      <c r="N899" s="6"/>
      <c r="O899" s="6"/>
      <c r="P899" s="6"/>
      <c r="Q899" s="6"/>
      <c r="R899" s="6"/>
      <c r="S899" s="6"/>
      <c r="T899" s="6"/>
      <c r="X899" s="12"/>
      <c r="Y899" s="12"/>
    </row>
    <row r="900" ht="14.25" customHeight="1">
      <c r="A900" s="6"/>
      <c r="B900" s="6"/>
      <c r="D900" s="6"/>
      <c r="E900" s="6"/>
      <c r="F900" s="6"/>
      <c r="G900" s="6"/>
      <c r="H900" s="6"/>
      <c r="I900" s="6"/>
      <c r="J900" s="6"/>
      <c r="K900" s="6"/>
      <c r="L900" s="8"/>
      <c r="M900" s="8"/>
      <c r="N900" s="6"/>
      <c r="O900" s="6"/>
      <c r="P900" s="6"/>
      <c r="Q900" s="6"/>
      <c r="R900" s="6"/>
      <c r="S900" s="6"/>
      <c r="T900" s="6"/>
      <c r="X900" s="12"/>
      <c r="Y900" s="12"/>
    </row>
    <row r="901" ht="14.25" customHeight="1">
      <c r="A901" s="6"/>
      <c r="B901" s="6"/>
      <c r="D901" s="6"/>
      <c r="E901" s="6"/>
      <c r="F901" s="6"/>
      <c r="G901" s="6"/>
      <c r="H901" s="6"/>
      <c r="I901" s="6"/>
      <c r="J901" s="6"/>
      <c r="K901" s="6"/>
      <c r="L901" s="8"/>
      <c r="M901" s="8"/>
      <c r="N901" s="6"/>
      <c r="O901" s="6"/>
      <c r="P901" s="6"/>
      <c r="Q901" s="6"/>
      <c r="R901" s="6"/>
      <c r="S901" s="6"/>
      <c r="T901" s="6"/>
      <c r="X901" s="12"/>
      <c r="Y901" s="12"/>
    </row>
    <row r="902" ht="14.25" customHeight="1">
      <c r="A902" s="6"/>
      <c r="B902" s="6"/>
      <c r="D902" s="6"/>
      <c r="E902" s="6"/>
      <c r="F902" s="6"/>
      <c r="G902" s="6"/>
      <c r="H902" s="6"/>
      <c r="I902" s="6"/>
      <c r="J902" s="6"/>
      <c r="K902" s="6"/>
      <c r="L902" s="8"/>
      <c r="M902" s="8"/>
      <c r="N902" s="6"/>
      <c r="O902" s="6"/>
      <c r="P902" s="6"/>
      <c r="Q902" s="6"/>
      <c r="R902" s="6"/>
      <c r="S902" s="6"/>
      <c r="T902" s="6"/>
      <c r="X902" s="12"/>
      <c r="Y902" s="12"/>
    </row>
    <row r="903" ht="14.25" customHeight="1">
      <c r="A903" s="6"/>
      <c r="B903" s="6"/>
      <c r="D903" s="6"/>
      <c r="E903" s="6"/>
      <c r="F903" s="6"/>
      <c r="G903" s="6"/>
      <c r="H903" s="6"/>
      <c r="I903" s="6"/>
      <c r="J903" s="6"/>
      <c r="K903" s="6"/>
      <c r="L903" s="8"/>
      <c r="M903" s="8"/>
      <c r="N903" s="6"/>
      <c r="O903" s="6"/>
      <c r="P903" s="6"/>
      <c r="Q903" s="6"/>
      <c r="R903" s="6"/>
      <c r="S903" s="6"/>
      <c r="T903" s="6"/>
      <c r="X903" s="12"/>
      <c r="Y903" s="12"/>
    </row>
    <row r="904" ht="14.25" customHeight="1">
      <c r="A904" s="6"/>
      <c r="B904" s="6"/>
      <c r="D904" s="6"/>
      <c r="E904" s="6"/>
      <c r="F904" s="6"/>
      <c r="G904" s="6"/>
      <c r="H904" s="6"/>
      <c r="I904" s="6"/>
      <c r="J904" s="6"/>
      <c r="K904" s="6"/>
      <c r="L904" s="8"/>
      <c r="M904" s="8"/>
      <c r="N904" s="6"/>
      <c r="O904" s="6"/>
      <c r="P904" s="6"/>
      <c r="Q904" s="6"/>
      <c r="R904" s="6"/>
      <c r="S904" s="6"/>
      <c r="T904" s="6"/>
      <c r="X904" s="12"/>
      <c r="Y904" s="12"/>
    </row>
    <row r="905" ht="14.25" customHeight="1">
      <c r="A905" s="6"/>
      <c r="B905" s="6"/>
      <c r="D905" s="6"/>
      <c r="E905" s="6"/>
      <c r="F905" s="6"/>
      <c r="G905" s="6"/>
      <c r="H905" s="6"/>
      <c r="I905" s="6"/>
      <c r="J905" s="6"/>
      <c r="K905" s="6"/>
      <c r="L905" s="8"/>
      <c r="M905" s="8"/>
      <c r="N905" s="6"/>
      <c r="O905" s="6"/>
      <c r="P905" s="6"/>
      <c r="Q905" s="6"/>
      <c r="R905" s="6"/>
      <c r="S905" s="6"/>
      <c r="T905" s="6"/>
      <c r="X905" s="12"/>
      <c r="Y905" s="12"/>
    </row>
    <row r="906" ht="14.25" customHeight="1">
      <c r="A906" s="6"/>
      <c r="B906" s="6"/>
      <c r="D906" s="6"/>
      <c r="E906" s="6"/>
      <c r="F906" s="6"/>
      <c r="G906" s="6"/>
      <c r="H906" s="6"/>
      <c r="I906" s="6"/>
      <c r="J906" s="6"/>
      <c r="K906" s="6"/>
      <c r="L906" s="8"/>
      <c r="M906" s="8"/>
      <c r="N906" s="6"/>
      <c r="O906" s="6"/>
      <c r="P906" s="6"/>
      <c r="Q906" s="6"/>
      <c r="R906" s="6"/>
      <c r="S906" s="6"/>
      <c r="T906" s="6"/>
      <c r="X906" s="12"/>
      <c r="Y906" s="12"/>
    </row>
    <row r="907" ht="14.25" customHeight="1">
      <c r="A907" s="6"/>
      <c r="B907" s="6"/>
      <c r="D907" s="6"/>
      <c r="E907" s="6"/>
      <c r="F907" s="6"/>
      <c r="G907" s="6"/>
      <c r="H907" s="6"/>
      <c r="I907" s="6"/>
      <c r="J907" s="6"/>
      <c r="K907" s="6"/>
      <c r="L907" s="8"/>
      <c r="M907" s="8"/>
      <c r="N907" s="6"/>
      <c r="O907" s="6"/>
      <c r="P907" s="6"/>
      <c r="Q907" s="6"/>
      <c r="R907" s="6"/>
      <c r="S907" s="6"/>
      <c r="T907" s="6"/>
      <c r="X907" s="12"/>
      <c r="Y907" s="12"/>
    </row>
    <row r="908" ht="14.25" customHeight="1">
      <c r="A908" s="6"/>
      <c r="B908" s="6"/>
      <c r="D908" s="6"/>
      <c r="E908" s="6"/>
      <c r="F908" s="6"/>
      <c r="G908" s="6"/>
      <c r="H908" s="6"/>
      <c r="I908" s="6"/>
      <c r="J908" s="6"/>
      <c r="K908" s="6"/>
      <c r="L908" s="8"/>
      <c r="M908" s="8"/>
      <c r="N908" s="6"/>
      <c r="O908" s="6"/>
      <c r="P908" s="6"/>
      <c r="Q908" s="6"/>
      <c r="R908" s="6"/>
      <c r="S908" s="6"/>
      <c r="T908" s="6"/>
      <c r="X908" s="12"/>
      <c r="Y908" s="12"/>
    </row>
    <row r="909" ht="14.25" customHeight="1">
      <c r="A909" s="6"/>
      <c r="B909" s="6"/>
      <c r="D909" s="6"/>
      <c r="E909" s="6"/>
      <c r="F909" s="6"/>
      <c r="G909" s="6"/>
      <c r="H909" s="6"/>
      <c r="I909" s="6"/>
      <c r="J909" s="6"/>
      <c r="K909" s="6"/>
      <c r="L909" s="8"/>
      <c r="M909" s="8"/>
      <c r="N909" s="6"/>
      <c r="O909" s="6"/>
      <c r="P909" s="6"/>
      <c r="Q909" s="6"/>
      <c r="R909" s="6"/>
      <c r="S909" s="6"/>
      <c r="T909" s="6"/>
      <c r="X909" s="12"/>
      <c r="Y909" s="12"/>
    </row>
    <row r="910" ht="14.25" customHeight="1">
      <c r="A910" s="6"/>
      <c r="B910" s="6"/>
      <c r="D910" s="6"/>
      <c r="E910" s="6"/>
      <c r="F910" s="6"/>
      <c r="G910" s="6"/>
      <c r="H910" s="6"/>
      <c r="I910" s="6"/>
      <c r="J910" s="6"/>
      <c r="K910" s="6"/>
      <c r="L910" s="8"/>
      <c r="M910" s="8"/>
      <c r="N910" s="6"/>
      <c r="O910" s="6"/>
      <c r="P910" s="6"/>
      <c r="Q910" s="6"/>
      <c r="R910" s="6"/>
      <c r="S910" s="6"/>
      <c r="T910" s="6"/>
      <c r="X910" s="12"/>
      <c r="Y910" s="12"/>
    </row>
    <row r="911" ht="14.25" customHeight="1">
      <c r="A911" s="6"/>
      <c r="B911" s="6"/>
      <c r="D911" s="6"/>
      <c r="E911" s="6"/>
      <c r="F911" s="6"/>
      <c r="G911" s="6"/>
      <c r="H911" s="6"/>
      <c r="I911" s="6"/>
      <c r="J911" s="6"/>
      <c r="K911" s="6"/>
      <c r="L911" s="8"/>
      <c r="M911" s="8"/>
      <c r="N911" s="6"/>
      <c r="O911" s="6"/>
      <c r="P911" s="6"/>
      <c r="Q911" s="6"/>
      <c r="R911" s="6"/>
      <c r="S911" s="6"/>
      <c r="T911" s="6"/>
      <c r="X911" s="12"/>
      <c r="Y911" s="12"/>
    </row>
    <row r="912" ht="14.25" customHeight="1">
      <c r="A912" s="6"/>
      <c r="B912" s="6"/>
      <c r="D912" s="6"/>
      <c r="E912" s="6"/>
      <c r="F912" s="6"/>
      <c r="G912" s="6"/>
      <c r="H912" s="6"/>
      <c r="I912" s="6"/>
      <c r="J912" s="6"/>
      <c r="K912" s="6"/>
      <c r="L912" s="8"/>
      <c r="M912" s="8"/>
      <c r="N912" s="6"/>
      <c r="O912" s="6"/>
      <c r="P912" s="6"/>
      <c r="Q912" s="6"/>
      <c r="R912" s="6"/>
      <c r="S912" s="6"/>
      <c r="T912" s="6"/>
      <c r="X912" s="12"/>
      <c r="Y912" s="12"/>
    </row>
    <row r="913" ht="14.25" customHeight="1">
      <c r="A913" s="6"/>
      <c r="B913" s="6"/>
      <c r="D913" s="6"/>
      <c r="E913" s="6"/>
      <c r="F913" s="6"/>
      <c r="G913" s="6"/>
      <c r="H913" s="6"/>
      <c r="I913" s="6"/>
      <c r="J913" s="6"/>
      <c r="K913" s="6"/>
      <c r="L913" s="8"/>
      <c r="M913" s="8"/>
      <c r="N913" s="6"/>
      <c r="O913" s="6"/>
      <c r="P913" s="6"/>
      <c r="Q913" s="6"/>
      <c r="R913" s="6"/>
      <c r="S913" s="6"/>
      <c r="T913" s="6"/>
      <c r="X913" s="12"/>
      <c r="Y913" s="12"/>
    </row>
    <row r="914" ht="14.25" customHeight="1">
      <c r="A914" s="6"/>
      <c r="B914" s="6"/>
      <c r="D914" s="6"/>
      <c r="E914" s="6"/>
      <c r="F914" s="6"/>
      <c r="G914" s="6"/>
      <c r="H914" s="6"/>
      <c r="I914" s="6"/>
      <c r="J914" s="6"/>
      <c r="K914" s="6"/>
      <c r="L914" s="8"/>
      <c r="M914" s="8"/>
      <c r="N914" s="6"/>
      <c r="O914" s="6"/>
      <c r="P914" s="6"/>
      <c r="Q914" s="6"/>
      <c r="R914" s="6"/>
      <c r="S914" s="6"/>
      <c r="T914" s="6"/>
      <c r="X914" s="12"/>
      <c r="Y914" s="12"/>
    </row>
    <row r="915" ht="14.25" customHeight="1">
      <c r="A915" s="6"/>
      <c r="B915" s="6"/>
      <c r="D915" s="6"/>
      <c r="E915" s="6"/>
      <c r="F915" s="6"/>
      <c r="G915" s="6"/>
      <c r="H915" s="6"/>
      <c r="I915" s="6"/>
      <c r="J915" s="6"/>
      <c r="K915" s="6"/>
      <c r="L915" s="8"/>
      <c r="M915" s="8"/>
      <c r="N915" s="6"/>
      <c r="O915" s="6"/>
      <c r="P915" s="6"/>
      <c r="Q915" s="6"/>
      <c r="R915" s="6"/>
      <c r="S915" s="6"/>
      <c r="T915" s="6"/>
      <c r="X915" s="12"/>
      <c r="Y915" s="12"/>
    </row>
    <row r="916" ht="14.25" customHeight="1">
      <c r="A916" s="6"/>
      <c r="B916" s="6"/>
      <c r="D916" s="6"/>
      <c r="E916" s="6"/>
      <c r="F916" s="6"/>
      <c r="G916" s="6"/>
      <c r="H916" s="6"/>
      <c r="I916" s="6"/>
      <c r="J916" s="6"/>
      <c r="K916" s="6"/>
      <c r="L916" s="8"/>
      <c r="M916" s="8"/>
      <c r="N916" s="6"/>
      <c r="O916" s="6"/>
      <c r="P916" s="6"/>
      <c r="Q916" s="6"/>
      <c r="R916" s="6"/>
      <c r="S916" s="6"/>
      <c r="T916" s="6"/>
      <c r="X916" s="12"/>
      <c r="Y916" s="12"/>
    </row>
    <row r="917" ht="14.25" customHeight="1">
      <c r="A917" s="6"/>
      <c r="B917" s="6"/>
      <c r="D917" s="6"/>
      <c r="E917" s="6"/>
      <c r="F917" s="6"/>
      <c r="G917" s="6"/>
      <c r="H917" s="6"/>
      <c r="I917" s="6"/>
      <c r="J917" s="6"/>
      <c r="K917" s="6"/>
      <c r="L917" s="8"/>
      <c r="M917" s="8"/>
      <c r="N917" s="6"/>
      <c r="O917" s="6"/>
      <c r="P917" s="6"/>
      <c r="Q917" s="6"/>
      <c r="R917" s="6"/>
      <c r="S917" s="6"/>
      <c r="T917" s="6"/>
      <c r="X917" s="12"/>
      <c r="Y917" s="12"/>
    </row>
    <row r="918" ht="14.25" customHeight="1">
      <c r="A918" s="6"/>
      <c r="B918" s="6"/>
      <c r="D918" s="6"/>
      <c r="E918" s="6"/>
      <c r="F918" s="6"/>
      <c r="G918" s="6"/>
      <c r="H918" s="6"/>
      <c r="I918" s="6"/>
      <c r="J918" s="6"/>
      <c r="K918" s="6"/>
      <c r="L918" s="8"/>
      <c r="M918" s="8"/>
      <c r="N918" s="6"/>
      <c r="O918" s="6"/>
      <c r="P918" s="6"/>
      <c r="Q918" s="6"/>
      <c r="R918" s="6"/>
      <c r="S918" s="6"/>
      <c r="T918" s="6"/>
      <c r="X918" s="12"/>
      <c r="Y918" s="12"/>
    </row>
    <row r="919" ht="14.25" customHeight="1">
      <c r="A919" s="6"/>
      <c r="B919" s="6"/>
      <c r="D919" s="6"/>
      <c r="E919" s="6"/>
      <c r="F919" s="6"/>
      <c r="G919" s="6"/>
      <c r="H919" s="6"/>
      <c r="I919" s="6"/>
      <c r="J919" s="6"/>
      <c r="K919" s="6"/>
      <c r="L919" s="8"/>
      <c r="M919" s="8"/>
      <c r="N919" s="6"/>
      <c r="O919" s="6"/>
      <c r="P919" s="6"/>
      <c r="Q919" s="6"/>
      <c r="R919" s="6"/>
      <c r="S919" s="6"/>
      <c r="T919" s="6"/>
      <c r="X919" s="12"/>
      <c r="Y919" s="12"/>
    </row>
    <row r="920" ht="14.25" customHeight="1">
      <c r="A920" s="6"/>
      <c r="B920" s="6"/>
      <c r="D920" s="6"/>
      <c r="E920" s="6"/>
      <c r="F920" s="6"/>
      <c r="G920" s="6"/>
      <c r="H920" s="6"/>
      <c r="I920" s="6"/>
      <c r="J920" s="6"/>
      <c r="K920" s="6"/>
      <c r="L920" s="8"/>
      <c r="M920" s="8"/>
      <c r="N920" s="6"/>
      <c r="O920" s="6"/>
      <c r="P920" s="6"/>
      <c r="Q920" s="6"/>
      <c r="R920" s="6"/>
      <c r="S920" s="6"/>
      <c r="T920" s="6"/>
      <c r="X920" s="12"/>
      <c r="Y920" s="12"/>
    </row>
    <row r="921" ht="14.25" customHeight="1">
      <c r="A921" s="6"/>
      <c r="B921" s="6"/>
      <c r="D921" s="6"/>
      <c r="E921" s="6"/>
      <c r="F921" s="6"/>
      <c r="G921" s="6"/>
      <c r="H921" s="6"/>
      <c r="I921" s="6"/>
      <c r="J921" s="6"/>
      <c r="K921" s="6"/>
      <c r="L921" s="8"/>
      <c r="M921" s="8"/>
      <c r="N921" s="6"/>
      <c r="O921" s="6"/>
      <c r="P921" s="6"/>
      <c r="Q921" s="6"/>
      <c r="R921" s="6"/>
      <c r="S921" s="6"/>
      <c r="T921" s="6"/>
      <c r="X921" s="12"/>
      <c r="Y921" s="12"/>
    </row>
    <row r="922" ht="14.25" customHeight="1">
      <c r="A922" s="6"/>
      <c r="B922" s="6"/>
      <c r="D922" s="6"/>
      <c r="E922" s="6"/>
      <c r="F922" s="6"/>
      <c r="G922" s="6"/>
      <c r="H922" s="6"/>
      <c r="I922" s="6"/>
      <c r="J922" s="6"/>
      <c r="K922" s="6"/>
      <c r="L922" s="8"/>
      <c r="M922" s="8"/>
      <c r="N922" s="6"/>
      <c r="O922" s="6"/>
      <c r="P922" s="6"/>
      <c r="Q922" s="6"/>
      <c r="R922" s="6"/>
      <c r="S922" s="6"/>
      <c r="T922" s="6"/>
      <c r="X922" s="12"/>
      <c r="Y922" s="12"/>
    </row>
    <row r="923" ht="14.25" customHeight="1">
      <c r="A923" s="6"/>
      <c r="B923" s="6"/>
      <c r="D923" s="6"/>
      <c r="E923" s="6"/>
      <c r="F923" s="6"/>
      <c r="G923" s="6"/>
      <c r="H923" s="6"/>
      <c r="I923" s="6"/>
      <c r="J923" s="6"/>
      <c r="K923" s="6"/>
      <c r="L923" s="8"/>
      <c r="M923" s="8"/>
      <c r="N923" s="6"/>
      <c r="O923" s="6"/>
      <c r="P923" s="6"/>
      <c r="Q923" s="6"/>
      <c r="R923" s="6"/>
      <c r="S923" s="6"/>
      <c r="T923" s="6"/>
      <c r="X923" s="12"/>
      <c r="Y923" s="12"/>
    </row>
    <row r="924" ht="14.25" customHeight="1">
      <c r="A924" s="6"/>
      <c r="B924" s="6"/>
      <c r="D924" s="6"/>
      <c r="E924" s="6"/>
      <c r="F924" s="6"/>
      <c r="G924" s="6"/>
      <c r="H924" s="6"/>
      <c r="I924" s="6"/>
      <c r="J924" s="6"/>
      <c r="K924" s="6"/>
      <c r="L924" s="8"/>
      <c r="M924" s="8"/>
      <c r="N924" s="6"/>
      <c r="O924" s="6"/>
      <c r="P924" s="6"/>
      <c r="Q924" s="6"/>
      <c r="R924" s="6"/>
      <c r="S924" s="6"/>
      <c r="T924" s="6"/>
      <c r="X924" s="12"/>
      <c r="Y924" s="12"/>
    </row>
    <row r="925" ht="14.25" customHeight="1">
      <c r="A925" s="6"/>
      <c r="B925" s="6"/>
      <c r="D925" s="6"/>
      <c r="E925" s="6"/>
      <c r="F925" s="6"/>
      <c r="G925" s="6"/>
      <c r="H925" s="6"/>
      <c r="I925" s="6"/>
      <c r="J925" s="6"/>
      <c r="K925" s="6"/>
      <c r="L925" s="8"/>
      <c r="M925" s="8"/>
      <c r="N925" s="6"/>
      <c r="O925" s="6"/>
      <c r="P925" s="6"/>
      <c r="Q925" s="6"/>
      <c r="R925" s="6"/>
      <c r="S925" s="6"/>
      <c r="T925" s="6"/>
      <c r="X925" s="12"/>
      <c r="Y925" s="12"/>
    </row>
    <row r="926" ht="14.25" customHeight="1">
      <c r="A926" s="6"/>
      <c r="B926" s="6"/>
      <c r="D926" s="6"/>
      <c r="E926" s="6"/>
      <c r="F926" s="6"/>
      <c r="G926" s="6"/>
      <c r="H926" s="6"/>
      <c r="I926" s="6"/>
      <c r="J926" s="6"/>
      <c r="K926" s="6"/>
      <c r="L926" s="8"/>
      <c r="M926" s="8"/>
      <c r="N926" s="6"/>
      <c r="O926" s="6"/>
      <c r="P926" s="6"/>
      <c r="Q926" s="6"/>
      <c r="R926" s="6"/>
      <c r="S926" s="6"/>
      <c r="T926" s="6"/>
      <c r="X926" s="12"/>
      <c r="Y926" s="12"/>
    </row>
    <row r="927" ht="14.25" customHeight="1">
      <c r="A927" s="6"/>
      <c r="B927" s="6"/>
      <c r="D927" s="6"/>
      <c r="E927" s="6"/>
      <c r="F927" s="6"/>
      <c r="G927" s="6"/>
      <c r="H927" s="6"/>
      <c r="I927" s="6"/>
      <c r="J927" s="6"/>
      <c r="K927" s="6"/>
      <c r="L927" s="8"/>
      <c r="M927" s="8"/>
      <c r="N927" s="6"/>
      <c r="O927" s="6"/>
      <c r="P927" s="6"/>
      <c r="Q927" s="6"/>
      <c r="R927" s="6"/>
      <c r="S927" s="6"/>
      <c r="T927" s="6"/>
      <c r="X927" s="12"/>
      <c r="Y927" s="12"/>
    </row>
    <row r="928" ht="14.25" customHeight="1">
      <c r="A928" s="6"/>
      <c r="B928" s="6"/>
      <c r="D928" s="6"/>
      <c r="E928" s="6"/>
      <c r="F928" s="6"/>
      <c r="G928" s="6"/>
      <c r="H928" s="6"/>
      <c r="I928" s="6"/>
      <c r="J928" s="6"/>
      <c r="K928" s="6"/>
      <c r="L928" s="8"/>
      <c r="M928" s="8"/>
      <c r="N928" s="6"/>
      <c r="O928" s="6"/>
      <c r="P928" s="6"/>
      <c r="Q928" s="6"/>
      <c r="R928" s="6"/>
      <c r="S928" s="6"/>
      <c r="T928" s="6"/>
      <c r="X928" s="12"/>
      <c r="Y928" s="12"/>
    </row>
    <row r="929" ht="14.25" customHeight="1">
      <c r="A929" s="6"/>
      <c r="B929" s="6"/>
      <c r="D929" s="6"/>
      <c r="E929" s="6"/>
      <c r="F929" s="6"/>
      <c r="G929" s="6"/>
      <c r="H929" s="6"/>
      <c r="I929" s="6"/>
      <c r="J929" s="6"/>
      <c r="K929" s="6"/>
      <c r="L929" s="8"/>
      <c r="M929" s="8"/>
      <c r="N929" s="6"/>
      <c r="O929" s="6"/>
      <c r="P929" s="6"/>
      <c r="Q929" s="6"/>
      <c r="R929" s="6"/>
      <c r="S929" s="6"/>
      <c r="T929" s="6"/>
      <c r="X929" s="12"/>
      <c r="Y929" s="12"/>
    </row>
    <row r="930" ht="14.25" customHeight="1">
      <c r="A930" s="6"/>
      <c r="B930" s="6"/>
      <c r="D930" s="6"/>
      <c r="E930" s="6"/>
      <c r="F930" s="6"/>
      <c r="G930" s="6"/>
      <c r="H930" s="6"/>
      <c r="I930" s="6"/>
      <c r="J930" s="6"/>
      <c r="K930" s="6"/>
      <c r="L930" s="8"/>
      <c r="M930" s="8"/>
      <c r="N930" s="6"/>
      <c r="O930" s="6"/>
      <c r="P930" s="6"/>
      <c r="Q930" s="6"/>
      <c r="R930" s="6"/>
      <c r="S930" s="6"/>
      <c r="T930" s="6"/>
      <c r="X930" s="12"/>
      <c r="Y930" s="12"/>
    </row>
    <row r="931" ht="14.25" customHeight="1">
      <c r="A931" s="6"/>
      <c r="B931" s="6"/>
      <c r="D931" s="6"/>
      <c r="E931" s="6"/>
      <c r="F931" s="6"/>
      <c r="G931" s="6"/>
      <c r="H931" s="6"/>
      <c r="I931" s="6"/>
      <c r="J931" s="6"/>
      <c r="K931" s="6"/>
      <c r="L931" s="8"/>
      <c r="M931" s="8"/>
      <c r="N931" s="6"/>
      <c r="O931" s="6"/>
      <c r="P931" s="6"/>
      <c r="Q931" s="6"/>
      <c r="R931" s="6"/>
      <c r="S931" s="6"/>
      <c r="T931" s="6"/>
      <c r="X931" s="12"/>
      <c r="Y931" s="12"/>
    </row>
    <row r="932" ht="14.25" customHeight="1">
      <c r="A932" s="6"/>
      <c r="B932" s="6"/>
      <c r="D932" s="6"/>
      <c r="E932" s="6"/>
      <c r="F932" s="6"/>
      <c r="G932" s="6"/>
      <c r="H932" s="6"/>
      <c r="I932" s="6"/>
      <c r="J932" s="6"/>
      <c r="K932" s="6"/>
      <c r="L932" s="8"/>
      <c r="M932" s="8"/>
      <c r="N932" s="6"/>
      <c r="O932" s="6"/>
      <c r="P932" s="6"/>
      <c r="Q932" s="6"/>
      <c r="R932" s="6"/>
      <c r="S932" s="6"/>
      <c r="T932" s="6"/>
      <c r="X932" s="12"/>
      <c r="Y932" s="12"/>
    </row>
    <row r="933" ht="14.25" customHeight="1">
      <c r="A933" s="6"/>
      <c r="B933" s="6"/>
      <c r="D933" s="6"/>
      <c r="E933" s="6"/>
      <c r="F933" s="6"/>
      <c r="G933" s="6"/>
      <c r="H933" s="6"/>
      <c r="I933" s="6"/>
      <c r="J933" s="6"/>
      <c r="K933" s="6"/>
      <c r="L933" s="8"/>
      <c r="M933" s="8"/>
      <c r="N933" s="6"/>
      <c r="O933" s="6"/>
      <c r="P933" s="6"/>
      <c r="Q933" s="6"/>
      <c r="R933" s="6"/>
      <c r="S933" s="6"/>
      <c r="T933" s="6"/>
      <c r="X933" s="12"/>
      <c r="Y933" s="12"/>
    </row>
    <row r="934" ht="14.25" customHeight="1">
      <c r="A934" s="6"/>
      <c r="B934" s="6"/>
      <c r="D934" s="6"/>
      <c r="E934" s="6"/>
      <c r="F934" s="6"/>
      <c r="G934" s="6"/>
      <c r="H934" s="6"/>
      <c r="I934" s="6"/>
      <c r="J934" s="6"/>
      <c r="K934" s="6"/>
      <c r="L934" s="8"/>
      <c r="M934" s="8"/>
      <c r="N934" s="6"/>
      <c r="O934" s="6"/>
      <c r="P934" s="6"/>
      <c r="Q934" s="6"/>
      <c r="R934" s="6"/>
      <c r="S934" s="6"/>
      <c r="T934" s="6"/>
      <c r="X934" s="12"/>
      <c r="Y934" s="12"/>
    </row>
    <row r="935" ht="14.25" customHeight="1">
      <c r="A935" s="6"/>
      <c r="B935" s="6"/>
      <c r="D935" s="6"/>
      <c r="E935" s="6"/>
      <c r="F935" s="6"/>
      <c r="G935" s="6"/>
      <c r="H935" s="6"/>
      <c r="I935" s="6"/>
      <c r="J935" s="6"/>
      <c r="K935" s="6"/>
      <c r="L935" s="8"/>
      <c r="M935" s="8"/>
      <c r="N935" s="6"/>
      <c r="O935" s="6"/>
      <c r="P935" s="6"/>
      <c r="Q935" s="6"/>
      <c r="R935" s="6"/>
      <c r="S935" s="6"/>
      <c r="T935" s="6"/>
      <c r="X935" s="12"/>
      <c r="Y935" s="12"/>
    </row>
    <row r="936" ht="14.25" customHeight="1">
      <c r="A936" s="6"/>
      <c r="B936" s="6"/>
      <c r="D936" s="6"/>
      <c r="E936" s="6"/>
      <c r="F936" s="6"/>
      <c r="G936" s="6"/>
      <c r="H936" s="6"/>
      <c r="I936" s="6"/>
      <c r="J936" s="6"/>
      <c r="K936" s="6"/>
      <c r="L936" s="8"/>
      <c r="M936" s="8"/>
      <c r="N936" s="6"/>
      <c r="O936" s="6"/>
      <c r="P936" s="6"/>
      <c r="Q936" s="6"/>
      <c r="R936" s="6"/>
      <c r="S936" s="6"/>
      <c r="T936" s="6"/>
      <c r="X936" s="12"/>
      <c r="Y936" s="12"/>
    </row>
    <row r="937" ht="14.25" customHeight="1">
      <c r="A937" s="6"/>
      <c r="B937" s="6"/>
      <c r="D937" s="6"/>
      <c r="E937" s="6"/>
      <c r="F937" s="6"/>
      <c r="G937" s="6"/>
      <c r="H937" s="6"/>
      <c r="I937" s="6"/>
      <c r="J937" s="6"/>
      <c r="K937" s="6"/>
      <c r="L937" s="8"/>
      <c r="M937" s="8"/>
      <c r="N937" s="6"/>
      <c r="O937" s="6"/>
      <c r="P937" s="6"/>
      <c r="Q937" s="6"/>
      <c r="R937" s="6"/>
      <c r="S937" s="6"/>
      <c r="T937" s="6"/>
      <c r="X937" s="12"/>
      <c r="Y937" s="12"/>
    </row>
    <row r="938" ht="14.25" customHeight="1">
      <c r="A938" s="6"/>
      <c r="B938" s="6"/>
      <c r="D938" s="6"/>
      <c r="E938" s="6"/>
      <c r="F938" s="6"/>
      <c r="G938" s="6"/>
      <c r="H938" s="6"/>
      <c r="I938" s="6"/>
      <c r="J938" s="6"/>
      <c r="K938" s="6"/>
      <c r="L938" s="8"/>
      <c r="M938" s="8"/>
      <c r="N938" s="6"/>
      <c r="O938" s="6"/>
      <c r="P938" s="6"/>
      <c r="Q938" s="6"/>
      <c r="R938" s="6"/>
      <c r="S938" s="6"/>
      <c r="T938" s="6"/>
      <c r="X938" s="12"/>
      <c r="Y938" s="12"/>
    </row>
    <row r="939" ht="14.25" customHeight="1">
      <c r="A939" s="6"/>
      <c r="B939" s="6"/>
      <c r="D939" s="6"/>
      <c r="E939" s="6"/>
      <c r="F939" s="6"/>
      <c r="G939" s="6"/>
      <c r="H939" s="6"/>
      <c r="I939" s="6"/>
      <c r="J939" s="6"/>
      <c r="K939" s="6"/>
      <c r="L939" s="8"/>
      <c r="M939" s="8"/>
      <c r="N939" s="6"/>
      <c r="O939" s="6"/>
      <c r="P939" s="6"/>
      <c r="Q939" s="6"/>
      <c r="R939" s="6"/>
      <c r="S939" s="6"/>
      <c r="T939" s="6"/>
      <c r="X939" s="12"/>
      <c r="Y939" s="12"/>
    </row>
    <row r="940" ht="14.25" customHeight="1">
      <c r="A940" s="6"/>
      <c r="B940" s="6"/>
      <c r="D940" s="6"/>
      <c r="E940" s="6"/>
      <c r="F940" s="6"/>
      <c r="G940" s="6"/>
      <c r="H940" s="6"/>
      <c r="I940" s="6"/>
      <c r="J940" s="6"/>
      <c r="K940" s="6"/>
      <c r="L940" s="8"/>
      <c r="M940" s="8"/>
      <c r="N940" s="6"/>
      <c r="O940" s="6"/>
      <c r="P940" s="6"/>
      <c r="Q940" s="6"/>
      <c r="R940" s="6"/>
      <c r="S940" s="6"/>
      <c r="T940" s="6"/>
      <c r="X940" s="12"/>
      <c r="Y940" s="12"/>
    </row>
    <row r="941" ht="14.25" customHeight="1">
      <c r="A941" s="6"/>
      <c r="B941" s="6"/>
      <c r="D941" s="6"/>
      <c r="E941" s="6"/>
      <c r="F941" s="6"/>
      <c r="G941" s="6"/>
      <c r="H941" s="6"/>
      <c r="I941" s="6"/>
      <c r="J941" s="6"/>
      <c r="K941" s="6"/>
      <c r="L941" s="8"/>
      <c r="M941" s="8"/>
      <c r="N941" s="6"/>
      <c r="O941" s="6"/>
      <c r="P941" s="6"/>
      <c r="Q941" s="6"/>
      <c r="R941" s="6"/>
      <c r="S941" s="6"/>
      <c r="T941" s="6"/>
      <c r="X941" s="12"/>
      <c r="Y941" s="12"/>
    </row>
    <row r="942" ht="14.25" customHeight="1">
      <c r="A942" s="6"/>
      <c r="B942" s="6"/>
      <c r="D942" s="6"/>
      <c r="E942" s="6"/>
      <c r="F942" s="6"/>
      <c r="G942" s="6"/>
      <c r="H942" s="6"/>
      <c r="I942" s="6"/>
      <c r="J942" s="6"/>
      <c r="K942" s="6"/>
      <c r="L942" s="8"/>
      <c r="M942" s="8"/>
      <c r="N942" s="6"/>
      <c r="O942" s="6"/>
      <c r="P942" s="6"/>
      <c r="Q942" s="6"/>
      <c r="R942" s="6"/>
      <c r="S942" s="6"/>
      <c r="T942" s="6"/>
      <c r="X942" s="12"/>
      <c r="Y942" s="12"/>
    </row>
    <row r="943" ht="14.25" customHeight="1">
      <c r="A943" s="6"/>
      <c r="B943" s="6"/>
      <c r="D943" s="6"/>
      <c r="E943" s="6"/>
      <c r="F943" s="6"/>
      <c r="G943" s="6"/>
      <c r="H943" s="6"/>
      <c r="I943" s="6"/>
      <c r="J943" s="6"/>
      <c r="K943" s="6"/>
      <c r="L943" s="8"/>
      <c r="M943" s="8"/>
      <c r="N943" s="6"/>
      <c r="O943" s="6"/>
      <c r="P943" s="6"/>
      <c r="Q943" s="6"/>
      <c r="R943" s="6"/>
      <c r="S943" s="6"/>
      <c r="T943" s="6"/>
      <c r="X943" s="12"/>
      <c r="Y943" s="12"/>
    </row>
    <row r="944" ht="14.25" customHeight="1">
      <c r="A944" s="6"/>
      <c r="B944" s="6"/>
      <c r="D944" s="6"/>
      <c r="E944" s="6"/>
      <c r="F944" s="6"/>
      <c r="G944" s="6"/>
      <c r="H944" s="6"/>
      <c r="I944" s="6"/>
      <c r="J944" s="6"/>
      <c r="K944" s="6"/>
      <c r="L944" s="8"/>
      <c r="M944" s="8"/>
      <c r="N944" s="6"/>
      <c r="O944" s="6"/>
      <c r="P944" s="6"/>
      <c r="Q944" s="6"/>
      <c r="R944" s="6"/>
      <c r="S944" s="6"/>
      <c r="T944" s="6"/>
      <c r="X944" s="12"/>
      <c r="Y944" s="12"/>
    </row>
    <row r="945" ht="14.25" customHeight="1">
      <c r="A945" s="6"/>
      <c r="B945" s="6"/>
      <c r="D945" s="6"/>
      <c r="E945" s="6"/>
      <c r="F945" s="6"/>
      <c r="G945" s="6"/>
      <c r="H945" s="6"/>
      <c r="I945" s="6"/>
      <c r="J945" s="6"/>
      <c r="K945" s="6"/>
      <c r="L945" s="8"/>
      <c r="M945" s="8"/>
      <c r="N945" s="6"/>
      <c r="O945" s="6"/>
      <c r="P945" s="6"/>
      <c r="Q945" s="6"/>
      <c r="R945" s="6"/>
      <c r="S945" s="6"/>
      <c r="T945" s="6"/>
      <c r="X945" s="12"/>
      <c r="Y945" s="12"/>
    </row>
    <row r="946" ht="14.25" customHeight="1">
      <c r="A946" s="6"/>
      <c r="B946" s="6"/>
      <c r="D946" s="6"/>
      <c r="E946" s="6"/>
      <c r="F946" s="6"/>
      <c r="G946" s="6"/>
      <c r="H946" s="6"/>
      <c r="I946" s="6"/>
      <c r="J946" s="6"/>
      <c r="K946" s="6"/>
      <c r="L946" s="8"/>
      <c r="M946" s="8"/>
      <c r="N946" s="6"/>
      <c r="O946" s="6"/>
      <c r="P946" s="6"/>
      <c r="Q946" s="6"/>
      <c r="R946" s="6"/>
      <c r="S946" s="6"/>
      <c r="T946" s="6"/>
      <c r="X946" s="12"/>
      <c r="Y946" s="12"/>
    </row>
    <row r="947" ht="14.25" customHeight="1">
      <c r="A947" s="6"/>
      <c r="B947" s="6"/>
      <c r="D947" s="6"/>
      <c r="E947" s="6"/>
      <c r="F947" s="6"/>
      <c r="G947" s="6"/>
      <c r="H947" s="6"/>
      <c r="I947" s="6"/>
      <c r="J947" s="6"/>
      <c r="K947" s="6"/>
      <c r="L947" s="8"/>
      <c r="M947" s="8"/>
      <c r="N947" s="6"/>
      <c r="O947" s="6"/>
      <c r="P947" s="6"/>
      <c r="Q947" s="6"/>
      <c r="R947" s="6"/>
      <c r="S947" s="6"/>
      <c r="T947" s="6"/>
      <c r="X947" s="12"/>
      <c r="Y947" s="12"/>
    </row>
    <row r="948" ht="14.25" customHeight="1">
      <c r="A948" s="6"/>
      <c r="B948" s="6"/>
      <c r="D948" s="6"/>
      <c r="E948" s="6"/>
      <c r="F948" s="6"/>
      <c r="G948" s="6"/>
      <c r="H948" s="6"/>
      <c r="I948" s="6"/>
      <c r="J948" s="6"/>
      <c r="K948" s="6"/>
      <c r="L948" s="8"/>
      <c r="M948" s="8"/>
      <c r="N948" s="6"/>
      <c r="O948" s="6"/>
      <c r="P948" s="6"/>
      <c r="Q948" s="6"/>
      <c r="R948" s="6"/>
      <c r="S948" s="6"/>
      <c r="T948" s="6"/>
      <c r="X948" s="12"/>
      <c r="Y948" s="12"/>
    </row>
    <row r="949" ht="14.25" customHeight="1">
      <c r="A949" s="6"/>
      <c r="B949" s="6"/>
      <c r="D949" s="6"/>
      <c r="E949" s="6"/>
      <c r="F949" s="6"/>
      <c r="G949" s="6"/>
      <c r="H949" s="6"/>
      <c r="I949" s="6"/>
      <c r="J949" s="6"/>
      <c r="K949" s="6"/>
      <c r="L949" s="8"/>
      <c r="M949" s="8"/>
      <c r="N949" s="6"/>
      <c r="O949" s="6"/>
      <c r="P949" s="6"/>
      <c r="Q949" s="6"/>
      <c r="R949" s="6"/>
      <c r="S949" s="6"/>
      <c r="T949" s="6"/>
      <c r="X949" s="12"/>
      <c r="Y949" s="12"/>
    </row>
    <row r="950" ht="14.25" customHeight="1">
      <c r="A950" s="6"/>
      <c r="B950" s="6"/>
      <c r="D950" s="6"/>
      <c r="E950" s="6"/>
      <c r="F950" s="6"/>
      <c r="G950" s="6"/>
      <c r="H950" s="6"/>
      <c r="I950" s="6"/>
      <c r="J950" s="6"/>
      <c r="K950" s="6"/>
      <c r="L950" s="8"/>
      <c r="M950" s="8"/>
      <c r="N950" s="6"/>
      <c r="O950" s="6"/>
      <c r="P950" s="6"/>
      <c r="Q950" s="6"/>
      <c r="R950" s="6"/>
      <c r="S950" s="6"/>
      <c r="T950" s="6"/>
      <c r="X950" s="12"/>
      <c r="Y950" s="12"/>
    </row>
    <row r="951" ht="14.25" customHeight="1">
      <c r="A951" s="6"/>
      <c r="B951" s="6"/>
      <c r="D951" s="6"/>
      <c r="E951" s="6"/>
      <c r="F951" s="6"/>
      <c r="G951" s="6"/>
      <c r="H951" s="6"/>
      <c r="I951" s="6"/>
      <c r="J951" s="6"/>
      <c r="K951" s="6"/>
      <c r="L951" s="8"/>
      <c r="M951" s="8"/>
      <c r="N951" s="6"/>
      <c r="O951" s="6"/>
      <c r="P951" s="6"/>
      <c r="Q951" s="6"/>
      <c r="R951" s="6"/>
      <c r="S951" s="6"/>
      <c r="T951" s="6"/>
      <c r="X951" s="12"/>
      <c r="Y951" s="12"/>
    </row>
    <row r="952" ht="14.25" customHeight="1">
      <c r="A952" s="6"/>
      <c r="B952" s="6"/>
      <c r="D952" s="6"/>
      <c r="E952" s="6"/>
      <c r="F952" s="6"/>
      <c r="G952" s="6"/>
      <c r="H952" s="6"/>
      <c r="I952" s="6"/>
      <c r="J952" s="6"/>
      <c r="K952" s="6"/>
      <c r="L952" s="8"/>
      <c r="M952" s="8"/>
      <c r="N952" s="6"/>
      <c r="O952" s="6"/>
      <c r="P952" s="6"/>
      <c r="Q952" s="6"/>
      <c r="R952" s="6"/>
      <c r="S952" s="6"/>
      <c r="T952" s="6"/>
      <c r="X952" s="12"/>
      <c r="Y952" s="12"/>
    </row>
    <row r="953" ht="14.25" customHeight="1">
      <c r="A953" s="6"/>
      <c r="B953" s="6"/>
      <c r="D953" s="6"/>
      <c r="E953" s="6"/>
      <c r="F953" s="6"/>
      <c r="G953" s="6"/>
      <c r="H953" s="6"/>
      <c r="I953" s="6"/>
      <c r="J953" s="6"/>
      <c r="K953" s="6"/>
      <c r="L953" s="8"/>
      <c r="M953" s="8"/>
      <c r="N953" s="6"/>
      <c r="O953" s="6"/>
      <c r="P953" s="6"/>
      <c r="Q953" s="6"/>
      <c r="R953" s="6"/>
      <c r="S953" s="6"/>
      <c r="T953" s="6"/>
      <c r="X953" s="12"/>
      <c r="Y953" s="12"/>
    </row>
    <row r="954" ht="14.25" customHeight="1">
      <c r="A954" s="6"/>
      <c r="B954" s="6"/>
      <c r="D954" s="6"/>
      <c r="E954" s="6"/>
      <c r="F954" s="6"/>
      <c r="G954" s="6"/>
      <c r="H954" s="6"/>
      <c r="I954" s="6"/>
      <c r="J954" s="6"/>
      <c r="K954" s="6"/>
      <c r="L954" s="8"/>
      <c r="M954" s="8"/>
      <c r="N954" s="6"/>
      <c r="O954" s="6"/>
      <c r="P954" s="6"/>
      <c r="Q954" s="6"/>
      <c r="R954" s="6"/>
      <c r="S954" s="6"/>
      <c r="T954" s="6"/>
      <c r="X954" s="12"/>
      <c r="Y954" s="12"/>
    </row>
    <row r="955" ht="14.25" customHeight="1">
      <c r="A955" s="6"/>
      <c r="B955" s="6"/>
      <c r="D955" s="6"/>
      <c r="E955" s="6"/>
      <c r="F955" s="6"/>
      <c r="G955" s="6"/>
      <c r="H955" s="6"/>
      <c r="I955" s="6"/>
      <c r="J955" s="6"/>
      <c r="K955" s="6"/>
      <c r="L955" s="8"/>
      <c r="M955" s="8"/>
      <c r="N955" s="6"/>
      <c r="O955" s="6"/>
      <c r="P955" s="6"/>
      <c r="Q955" s="6"/>
      <c r="R955" s="6"/>
      <c r="S955" s="6"/>
      <c r="T955" s="6"/>
      <c r="X955" s="12"/>
      <c r="Y955" s="12"/>
    </row>
    <row r="956" ht="14.25" customHeight="1">
      <c r="A956" s="6"/>
      <c r="B956" s="6"/>
      <c r="D956" s="6"/>
      <c r="E956" s="6"/>
      <c r="F956" s="6"/>
      <c r="G956" s="6"/>
      <c r="H956" s="6"/>
      <c r="I956" s="6"/>
      <c r="J956" s="6"/>
      <c r="K956" s="6"/>
      <c r="L956" s="8"/>
      <c r="M956" s="8"/>
      <c r="N956" s="6"/>
      <c r="O956" s="6"/>
      <c r="P956" s="6"/>
      <c r="Q956" s="6"/>
      <c r="R956" s="6"/>
      <c r="S956" s="6"/>
      <c r="T956" s="6"/>
      <c r="X956" s="12"/>
      <c r="Y956" s="12"/>
    </row>
    <row r="957" ht="14.25" customHeight="1">
      <c r="A957" s="6"/>
      <c r="B957" s="6"/>
      <c r="D957" s="6"/>
      <c r="E957" s="6"/>
      <c r="F957" s="6"/>
      <c r="G957" s="6"/>
      <c r="H957" s="6"/>
      <c r="I957" s="6"/>
      <c r="J957" s="6"/>
      <c r="K957" s="6"/>
      <c r="L957" s="8"/>
      <c r="M957" s="8"/>
      <c r="N957" s="6"/>
      <c r="O957" s="6"/>
      <c r="P957" s="6"/>
      <c r="Q957" s="6"/>
      <c r="R957" s="6"/>
      <c r="S957" s="6"/>
      <c r="T957" s="6"/>
      <c r="X957" s="12"/>
      <c r="Y957" s="12"/>
    </row>
    <row r="958" ht="14.25" customHeight="1">
      <c r="A958" s="6"/>
      <c r="B958" s="6"/>
      <c r="D958" s="6"/>
      <c r="E958" s="6"/>
      <c r="F958" s="6"/>
      <c r="G958" s="6"/>
      <c r="H958" s="6"/>
      <c r="I958" s="6"/>
      <c r="J958" s="6"/>
      <c r="K958" s="6"/>
      <c r="L958" s="8"/>
      <c r="M958" s="8"/>
      <c r="N958" s="6"/>
      <c r="O958" s="6"/>
      <c r="P958" s="6"/>
      <c r="Q958" s="6"/>
      <c r="R958" s="6"/>
      <c r="S958" s="6"/>
      <c r="T958" s="6"/>
      <c r="X958" s="12"/>
      <c r="Y958" s="12"/>
    </row>
    <row r="959" ht="14.25" customHeight="1">
      <c r="A959" s="6"/>
      <c r="B959" s="6"/>
      <c r="D959" s="6"/>
      <c r="E959" s="6"/>
      <c r="F959" s="6"/>
      <c r="G959" s="6"/>
      <c r="H959" s="6"/>
      <c r="I959" s="6"/>
      <c r="J959" s="6"/>
      <c r="K959" s="6"/>
      <c r="L959" s="8"/>
      <c r="M959" s="8"/>
      <c r="N959" s="6"/>
      <c r="O959" s="6"/>
      <c r="P959" s="6"/>
      <c r="Q959" s="6"/>
      <c r="R959" s="6"/>
      <c r="S959" s="6"/>
      <c r="T959" s="6"/>
      <c r="X959" s="12"/>
      <c r="Y959" s="12"/>
    </row>
    <row r="960" ht="14.25" customHeight="1">
      <c r="A960" s="6"/>
      <c r="B960" s="6"/>
      <c r="D960" s="6"/>
      <c r="E960" s="6"/>
      <c r="F960" s="6"/>
      <c r="G960" s="6"/>
      <c r="H960" s="6"/>
      <c r="I960" s="6"/>
      <c r="J960" s="6"/>
      <c r="K960" s="6"/>
      <c r="L960" s="8"/>
      <c r="M960" s="8"/>
      <c r="N960" s="6"/>
      <c r="O960" s="6"/>
      <c r="P960" s="6"/>
      <c r="Q960" s="6"/>
      <c r="R960" s="6"/>
      <c r="S960" s="6"/>
      <c r="T960" s="6"/>
      <c r="X960" s="12"/>
      <c r="Y960" s="12"/>
    </row>
    <row r="961" ht="14.25" customHeight="1">
      <c r="A961" s="6"/>
      <c r="B961" s="6"/>
      <c r="D961" s="6"/>
      <c r="E961" s="6"/>
      <c r="F961" s="6"/>
      <c r="G961" s="6"/>
      <c r="H961" s="6"/>
      <c r="I961" s="6"/>
      <c r="J961" s="6"/>
      <c r="K961" s="6"/>
      <c r="L961" s="8"/>
      <c r="M961" s="8"/>
      <c r="N961" s="6"/>
      <c r="O961" s="6"/>
      <c r="P961" s="6"/>
      <c r="Q961" s="6"/>
      <c r="R961" s="6"/>
      <c r="S961" s="6"/>
      <c r="T961" s="6"/>
      <c r="X961" s="12"/>
      <c r="Y961" s="12"/>
    </row>
    <row r="962" ht="14.25" customHeight="1">
      <c r="A962" s="6"/>
      <c r="B962" s="6"/>
      <c r="D962" s="6"/>
      <c r="E962" s="6"/>
      <c r="F962" s="6"/>
      <c r="G962" s="6"/>
      <c r="H962" s="6"/>
      <c r="I962" s="6"/>
      <c r="J962" s="6"/>
      <c r="K962" s="6"/>
      <c r="L962" s="8"/>
      <c r="M962" s="8"/>
      <c r="N962" s="6"/>
      <c r="O962" s="6"/>
      <c r="P962" s="6"/>
      <c r="Q962" s="6"/>
      <c r="R962" s="6"/>
      <c r="S962" s="6"/>
      <c r="T962" s="6"/>
      <c r="X962" s="12"/>
      <c r="Y962" s="12"/>
    </row>
    <row r="963" ht="14.25" customHeight="1">
      <c r="A963" s="6"/>
      <c r="B963" s="6"/>
      <c r="D963" s="6"/>
      <c r="E963" s="6"/>
      <c r="F963" s="6"/>
      <c r="G963" s="6"/>
      <c r="H963" s="6"/>
      <c r="I963" s="6"/>
      <c r="J963" s="6"/>
      <c r="K963" s="6"/>
      <c r="L963" s="8"/>
      <c r="M963" s="8"/>
      <c r="N963" s="6"/>
      <c r="O963" s="6"/>
      <c r="P963" s="6"/>
      <c r="Q963" s="6"/>
      <c r="R963" s="6"/>
      <c r="S963" s="6"/>
      <c r="T963" s="6"/>
      <c r="X963" s="12"/>
      <c r="Y963" s="12"/>
    </row>
    <row r="964" ht="14.25" customHeight="1">
      <c r="A964" s="6"/>
      <c r="B964" s="6"/>
      <c r="D964" s="6"/>
      <c r="E964" s="6"/>
      <c r="F964" s="6"/>
      <c r="G964" s="6"/>
      <c r="H964" s="6"/>
      <c r="I964" s="6"/>
      <c r="J964" s="6"/>
      <c r="K964" s="6"/>
      <c r="L964" s="8"/>
      <c r="M964" s="8"/>
      <c r="N964" s="6"/>
      <c r="O964" s="6"/>
      <c r="P964" s="6"/>
      <c r="Q964" s="6"/>
      <c r="R964" s="6"/>
      <c r="S964" s="6"/>
      <c r="T964" s="6"/>
      <c r="X964" s="12"/>
      <c r="Y964" s="12"/>
    </row>
    <row r="965" ht="14.25" customHeight="1">
      <c r="A965" s="6"/>
      <c r="B965" s="6"/>
      <c r="D965" s="6"/>
      <c r="E965" s="6"/>
      <c r="F965" s="6"/>
      <c r="G965" s="6"/>
      <c r="H965" s="6"/>
      <c r="I965" s="6"/>
      <c r="J965" s="6"/>
      <c r="K965" s="6"/>
      <c r="L965" s="8"/>
      <c r="M965" s="8"/>
      <c r="N965" s="6"/>
      <c r="O965" s="6"/>
      <c r="P965" s="6"/>
      <c r="Q965" s="6"/>
      <c r="R965" s="6"/>
      <c r="S965" s="6"/>
      <c r="T965" s="6"/>
      <c r="X965" s="12"/>
      <c r="Y965" s="12"/>
    </row>
    <row r="966" ht="14.25" customHeight="1">
      <c r="A966" s="6"/>
      <c r="B966" s="6"/>
      <c r="D966" s="6"/>
      <c r="E966" s="6"/>
      <c r="F966" s="6"/>
      <c r="G966" s="6"/>
      <c r="H966" s="6"/>
      <c r="I966" s="6"/>
      <c r="J966" s="6"/>
      <c r="K966" s="6"/>
      <c r="L966" s="8"/>
      <c r="M966" s="8"/>
      <c r="N966" s="6"/>
      <c r="O966" s="6"/>
      <c r="P966" s="6"/>
      <c r="Q966" s="6"/>
      <c r="R966" s="6"/>
      <c r="S966" s="6"/>
      <c r="T966" s="6"/>
      <c r="X966" s="12"/>
      <c r="Y966" s="12"/>
    </row>
    <row r="967" ht="14.25" customHeight="1">
      <c r="A967" s="6"/>
      <c r="B967" s="6"/>
      <c r="D967" s="6"/>
      <c r="E967" s="6"/>
      <c r="F967" s="6"/>
      <c r="G967" s="6"/>
      <c r="H967" s="6"/>
      <c r="I967" s="6"/>
      <c r="J967" s="6"/>
      <c r="K967" s="6"/>
      <c r="L967" s="8"/>
      <c r="M967" s="8"/>
      <c r="N967" s="6"/>
      <c r="O967" s="6"/>
      <c r="P967" s="6"/>
      <c r="Q967" s="6"/>
      <c r="R967" s="6"/>
      <c r="S967" s="6"/>
      <c r="T967" s="6"/>
      <c r="X967" s="12"/>
      <c r="Y967" s="12"/>
    </row>
    <row r="968" ht="14.25" customHeight="1">
      <c r="A968" s="6"/>
      <c r="B968" s="6"/>
      <c r="D968" s="6"/>
      <c r="E968" s="6"/>
      <c r="F968" s="6"/>
      <c r="G968" s="6"/>
      <c r="H968" s="6"/>
      <c r="I968" s="6"/>
      <c r="J968" s="6"/>
      <c r="K968" s="6"/>
      <c r="L968" s="8"/>
      <c r="M968" s="8"/>
      <c r="N968" s="6"/>
      <c r="O968" s="6"/>
      <c r="P968" s="6"/>
      <c r="Q968" s="6"/>
      <c r="R968" s="6"/>
      <c r="S968" s="6"/>
      <c r="T968" s="6"/>
      <c r="X968" s="12"/>
      <c r="Y968" s="12"/>
    </row>
    <row r="969" ht="14.25" customHeight="1">
      <c r="A969" s="6"/>
      <c r="B969" s="6"/>
      <c r="D969" s="6"/>
      <c r="E969" s="6"/>
      <c r="F969" s="6"/>
      <c r="G969" s="6"/>
      <c r="H969" s="6"/>
      <c r="I969" s="6"/>
      <c r="J969" s="6"/>
      <c r="K969" s="6"/>
      <c r="L969" s="8"/>
      <c r="M969" s="8"/>
      <c r="N969" s="6"/>
      <c r="O969" s="6"/>
      <c r="P969" s="6"/>
      <c r="Q969" s="6"/>
      <c r="R969" s="6"/>
      <c r="S969" s="6"/>
      <c r="T969" s="6"/>
      <c r="X969" s="12"/>
      <c r="Y969" s="12"/>
    </row>
    <row r="970" ht="14.25" customHeight="1">
      <c r="A970" s="6"/>
      <c r="B970" s="6"/>
      <c r="D970" s="6"/>
      <c r="E970" s="6"/>
      <c r="F970" s="6"/>
      <c r="G970" s="6"/>
      <c r="H970" s="6"/>
      <c r="I970" s="6"/>
      <c r="J970" s="6"/>
      <c r="K970" s="6"/>
      <c r="L970" s="8"/>
      <c r="M970" s="8"/>
      <c r="N970" s="6"/>
      <c r="O970" s="6"/>
      <c r="P970" s="6"/>
      <c r="Q970" s="6"/>
      <c r="R970" s="6"/>
      <c r="S970" s="6"/>
      <c r="T970" s="6"/>
      <c r="X970" s="12"/>
      <c r="Y970" s="12"/>
    </row>
    <row r="971" ht="14.25" customHeight="1">
      <c r="A971" s="6"/>
      <c r="B971" s="6"/>
      <c r="D971" s="6"/>
      <c r="E971" s="6"/>
      <c r="F971" s="6"/>
      <c r="G971" s="6"/>
      <c r="H971" s="6"/>
      <c r="I971" s="6"/>
      <c r="J971" s="6"/>
      <c r="K971" s="6"/>
      <c r="L971" s="8"/>
      <c r="M971" s="8"/>
      <c r="N971" s="6"/>
      <c r="O971" s="6"/>
      <c r="P971" s="6"/>
      <c r="Q971" s="6"/>
      <c r="R971" s="6"/>
      <c r="S971" s="6"/>
      <c r="T971" s="6"/>
      <c r="X971" s="12"/>
      <c r="Y971" s="12"/>
    </row>
    <row r="972" ht="14.25" customHeight="1">
      <c r="A972" s="6"/>
      <c r="B972" s="6"/>
      <c r="D972" s="6"/>
      <c r="E972" s="6"/>
      <c r="F972" s="6"/>
      <c r="G972" s="6"/>
      <c r="H972" s="6"/>
      <c r="I972" s="6"/>
      <c r="J972" s="6"/>
      <c r="K972" s="6"/>
      <c r="L972" s="8"/>
      <c r="M972" s="8"/>
      <c r="N972" s="6"/>
      <c r="O972" s="6"/>
      <c r="P972" s="6"/>
      <c r="Q972" s="6"/>
      <c r="R972" s="6"/>
      <c r="S972" s="6"/>
      <c r="T972" s="6"/>
      <c r="X972" s="12"/>
      <c r="Y972" s="12"/>
    </row>
    <row r="973" ht="14.25" customHeight="1">
      <c r="A973" s="6"/>
      <c r="B973" s="6"/>
      <c r="D973" s="6"/>
      <c r="E973" s="6"/>
      <c r="F973" s="6"/>
      <c r="G973" s="6"/>
      <c r="H973" s="6"/>
      <c r="I973" s="6"/>
      <c r="J973" s="6"/>
      <c r="K973" s="6"/>
      <c r="L973" s="8"/>
      <c r="M973" s="8"/>
      <c r="N973" s="6"/>
      <c r="O973" s="6"/>
      <c r="P973" s="6"/>
      <c r="Q973" s="6"/>
      <c r="R973" s="6"/>
      <c r="S973" s="6"/>
      <c r="T973" s="6"/>
      <c r="X973" s="12"/>
      <c r="Y973" s="12"/>
    </row>
    <row r="974" ht="14.25" customHeight="1">
      <c r="A974" s="6"/>
      <c r="B974" s="6"/>
      <c r="D974" s="6"/>
      <c r="E974" s="6"/>
      <c r="F974" s="6"/>
      <c r="G974" s="6"/>
      <c r="H974" s="6"/>
      <c r="I974" s="6"/>
      <c r="J974" s="6"/>
      <c r="K974" s="6"/>
      <c r="L974" s="8"/>
      <c r="M974" s="8"/>
      <c r="N974" s="6"/>
      <c r="O974" s="6"/>
      <c r="P974" s="6"/>
      <c r="Q974" s="6"/>
      <c r="R974" s="6"/>
      <c r="S974" s="6"/>
      <c r="T974" s="6"/>
      <c r="X974" s="12"/>
      <c r="Y974" s="12"/>
    </row>
    <row r="975" ht="14.25" customHeight="1">
      <c r="A975" s="6"/>
      <c r="B975" s="6"/>
      <c r="D975" s="6"/>
      <c r="E975" s="6"/>
      <c r="F975" s="6"/>
      <c r="G975" s="6"/>
      <c r="H975" s="6"/>
      <c r="I975" s="6"/>
      <c r="J975" s="6"/>
      <c r="K975" s="6"/>
      <c r="L975" s="8"/>
      <c r="M975" s="8"/>
      <c r="N975" s="6"/>
      <c r="O975" s="6"/>
      <c r="P975" s="6"/>
      <c r="Q975" s="6"/>
      <c r="R975" s="6"/>
      <c r="S975" s="6"/>
      <c r="T975" s="6"/>
      <c r="X975" s="12"/>
      <c r="Y975" s="12"/>
    </row>
    <row r="976" ht="14.25" customHeight="1">
      <c r="A976" s="6"/>
      <c r="B976" s="6"/>
      <c r="D976" s="6"/>
      <c r="E976" s="6"/>
      <c r="F976" s="6"/>
      <c r="G976" s="6"/>
      <c r="H976" s="6"/>
      <c r="I976" s="6"/>
      <c r="J976" s="6"/>
      <c r="K976" s="6"/>
      <c r="L976" s="8"/>
      <c r="M976" s="8"/>
      <c r="N976" s="6"/>
      <c r="O976" s="6"/>
      <c r="P976" s="6"/>
      <c r="Q976" s="6"/>
      <c r="R976" s="6"/>
      <c r="S976" s="6"/>
      <c r="T976" s="6"/>
      <c r="X976" s="12"/>
      <c r="Y976" s="12"/>
    </row>
    <row r="977" ht="14.25" customHeight="1">
      <c r="A977" s="6"/>
      <c r="B977" s="6"/>
      <c r="D977" s="6"/>
      <c r="E977" s="6"/>
      <c r="F977" s="6"/>
      <c r="G977" s="6"/>
      <c r="H977" s="6"/>
      <c r="I977" s="6"/>
      <c r="J977" s="6"/>
      <c r="K977" s="6"/>
      <c r="L977" s="8"/>
      <c r="M977" s="8"/>
      <c r="N977" s="6"/>
      <c r="O977" s="6"/>
      <c r="P977" s="6"/>
      <c r="Q977" s="6"/>
      <c r="R977" s="6"/>
      <c r="S977" s="6"/>
      <c r="T977" s="6"/>
      <c r="X977" s="12"/>
      <c r="Y977" s="12"/>
    </row>
    <row r="978" ht="14.25" customHeight="1">
      <c r="A978" s="6"/>
      <c r="B978" s="6"/>
      <c r="D978" s="6"/>
      <c r="E978" s="6"/>
      <c r="F978" s="6"/>
      <c r="G978" s="6"/>
      <c r="H978" s="6"/>
      <c r="I978" s="6"/>
      <c r="J978" s="6"/>
      <c r="K978" s="6"/>
      <c r="L978" s="8"/>
      <c r="M978" s="8"/>
      <c r="N978" s="6"/>
      <c r="O978" s="6"/>
      <c r="P978" s="6"/>
      <c r="Q978" s="6"/>
      <c r="R978" s="6"/>
      <c r="S978" s="6"/>
      <c r="T978" s="6"/>
      <c r="X978" s="12"/>
      <c r="Y978" s="12"/>
    </row>
    <row r="979" ht="14.25" customHeight="1">
      <c r="A979" s="6"/>
      <c r="B979" s="6"/>
      <c r="D979" s="6"/>
      <c r="E979" s="6"/>
      <c r="F979" s="6"/>
      <c r="G979" s="6"/>
      <c r="H979" s="6"/>
      <c r="I979" s="6"/>
      <c r="J979" s="6"/>
      <c r="K979" s="6"/>
      <c r="L979" s="8"/>
      <c r="M979" s="8"/>
      <c r="N979" s="6"/>
      <c r="O979" s="6"/>
      <c r="P979" s="6"/>
      <c r="Q979" s="6"/>
      <c r="R979" s="6"/>
      <c r="S979" s="6"/>
      <c r="T979" s="6"/>
      <c r="X979" s="12"/>
      <c r="Y979" s="12"/>
    </row>
    <row r="980" ht="14.25" customHeight="1">
      <c r="A980" s="6"/>
      <c r="B980" s="6"/>
      <c r="D980" s="6"/>
      <c r="E980" s="6"/>
      <c r="F980" s="6"/>
      <c r="G980" s="6"/>
      <c r="H980" s="6"/>
      <c r="I980" s="6"/>
      <c r="J980" s="6"/>
      <c r="K980" s="6"/>
      <c r="L980" s="8"/>
      <c r="M980" s="8"/>
      <c r="N980" s="6"/>
      <c r="O980" s="6"/>
      <c r="P980" s="6"/>
      <c r="Q980" s="6"/>
      <c r="R980" s="6"/>
      <c r="S980" s="6"/>
      <c r="T980" s="6"/>
      <c r="X980" s="12"/>
      <c r="Y980" s="12"/>
    </row>
    <row r="981" ht="14.25" customHeight="1">
      <c r="A981" s="6"/>
      <c r="B981" s="6"/>
      <c r="D981" s="6"/>
      <c r="E981" s="6"/>
      <c r="F981" s="6"/>
      <c r="G981" s="6"/>
      <c r="H981" s="6"/>
      <c r="I981" s="6"/>
      <c r="J981" s="6"/>
      <c r="K981" s="6"/>
      <c r="L981" s="8"/>
      <c r="M981" s="8"/>
      <c r="N981" s="6"/>
      <c r="O981" s="6"/>
      <c r="P981" s="6"/>
      <c r="Q981" s="6"/>
      <c r="R981" s="6"/>
      <c r="S981" s="6"/>
      <c r="T981" s="6"/>
      <c r="X981" s="12"/>
      <c r="Y981" s="12"/>
    </row>
    <row r="982" ht="14.25" customHeight="1">
      <c r="A982" s="6"/>
      <c r="B982" s="6"/>
      <c r="D982" s="6"/>
      <c r="E982" s="6"/>
      <c r="F982" s="6"/>
      <c r="G982" s="6"/>
      <c r="H982" s="6"/>
      <c r="I982" s="6"/>
      <c r="J982" s="6"/>
      <c r="K982" s="6"/>
      <c r="L982" s="8"/>
      <c r="M982" s="8"/>
      <c r="N982" s="6"/>
      <c r="O982" s="6"/>
      <c r="P982" s="6"/>
      <c r="Q982" s="6"/>
      <c r="R982" s="6"/>
      <c r="S982" s="6"/>
      <c r="T982" s="6"/>
      <c r="X982" s="12"/>
      <c r="Y982" s="12"/>
    </row>
    <row r="983" ht="14.25" customHeight="1">
      <c r="A983" s="6"/>
      <c r="B983" s="6"/>
      <c r="D983" s="6"/>
      <c r="E983" s="6"/>
      <c r="F983" s="6"/>
      <c r="G983" s="6"/>
      <c r="H983" s="6"/>
      <c r="I983" s="6"/>
      <c r="J983" s="6"/>
      <c r="K983" s="6"/>
      <c r="L983" s="8"/>
      <c r="M983" s="8"/>
      <c r="N983" s="6"/>
      <c r="O983" s="6"/>
      <c r="P983" s="6"/>
      <c r="Q983" s="6"/>
      <c r="R983" s="6"/>
      <c r="S983" s="6"/>
      <c r="T983" s="6"/>
      <c r="X983" s="12"/>
      <c r="Y983" s="12"/>
    </row>
    <row r="984" ht="14.25" customHeight="1">
      <c r="A984" s="6"/>
      <c r="B984" s="6"/>
      <c r="D984" s="6"/>
      <c r="E984" s="6"/>
      <c r="F984" s="6"/>
      <c r="G984" s="6"/>
      <c r="H984" s="6"/>
      <c r="I984" s="6"/>
      <c r="J984" s="6"/>
      <c r="K984" s="6"/>
      <c r="L984" s="8"/>
      <c r="M984" s="8"/>
      <c r="N984" s="6"/>
      <c r="O984" s="6"/>
      <c r="P984" s="6"/>
      <c r="Q984" s="6"/>
      <c r="R984" s="6"/>
      <c r="S984" s="6"/>
      <c r="T984" s="6"/>
      <c r="X984" s="12"/>
      <c r="Y984" s="12"/>
    </row>
    <row r="985" ht="14.25" customHeight="1">
      <c r="A985" s="6"/>
      <c r="B985" s="6"/>
      <c r="D985" s="6"/>
      <c r="E985" s="6"/>
      <c r="F985" s="6"/>
      <c r="G985" s="6"/>
      <c r="H985" s="6"/>
      <c r="I985" s="6"/>
      <c r="J985" s="6"/>
      <c r="K985" s="6"/>
      <c r="L985" s="8"/>
      <c r="M985" s="8"/>
      <c r="N985" s="6"/>
      <c r="O985" s="6"/>
      <c r="P985" s="6"/>
      <c r="Q985" s="6"/>
      <c r="R985" s="6"/>
      <c r="S985" s="6"/>
      <c r="T985" s="6"/>
      <c r="X985" s="12"/>
      <c r="Y985" s="12"/>
    </row>
    <row r="986" ht="14.25" customHeight="1">
      <c r="A986" s="6"/>
      <c r="B986" s="6"/>
      <c r="D986" s="6"/>
      <c r="E986" s="6"/>
      <c r="F986" s="6"/>
      <c r="G986" s="6"/>
      <c r="H986" s="6"/>
      <c r="I986" s="6"/>
      <c r="J986" s="6"/>
      <c r="K986" s="6"/>
      <c r="L986" s="8"/>
      <c r="M986" s="8"/>
      <c r="N986" s="6"/>
      <c r="O986" s="6"/>
      <c r="P986" s="6"/>
      <c r="Q986" s="6"/>
      <c r="R986" s="6"/>
      <c r="S986" s="6"/>
      <c r="T986" s="6"/>
      <c r="X986" s="12"/>
      <c r="Y986" s="12"/>
    </row>
    <row r="987" ht="14.25" customHeight="1">
      <c r="A987" s="6"/>
      <c r="B987" s="6"/>
      <c r="D987" s="6"/>
      <c r="E987" s="6"/>
      <c r="F987" s="6"/>
      <c r="G987" s="6"/>
      <c r="H987" s="6"/>
      <c r="I987" s="6"/>
      <c r="J987" s="6"/>
      <c r="K987" s="6"/>
      <c r="L987" s="8"/>
      <c r="M987" s="8"/>
      <c r="N987" s="6"/>
      <c r="O987" s="6"/>
      <c r="P987" s="6"/>
      <c r="Q987" s="6"/>
      <c r="R987" s="6"/>
      <c r="S987" s="6"/>
      <c r="T987" s="6"/>
      <c r="X987" s="12"/>
      <c r="Y987" s="12"/>
    </row>
    <row r="988" ht="14.25" customHeight="1">
      <c r="A988" s="6"/>
      <c r="B988" s="6"/>
      <c r="D988" s="6"/>
      <c r="E988" s="6"/>
      <c r="F988" s="6"/>
      <c r="G988" s="6"/>
      <c r="H988" s="6"/>
      <c r="I988" s="6"/>
      <c r="J988" s="6"/>
      <c r="K988" s="6"/>
      <c r="L988" s="8"/>
      <c r="M988" s="8"/>
      <c r="N988" s="6"/>
      <c r="O988" s="6"/>
      <c r="P988" s="6"/>
      <c r="Q988" s="6"/>
      <c r="R988" s="6"/>
      <c r="S988" s="6"/>
      <c r="T988" s="6"/>
      <c r="X988" s="12"/>
      <c r="Y988" s="12"/>
    </row>
    <row r="989" ht="14.25" customHeight="1">
      <c r="A989" s="6"/>
      <c r="B989" s="6"/>
      <c r="D989" s="6"/>
      <c r="E989" s="6"/>
      <c r="F989" s="6"/>
      <c r="G989" s="6"/>
      <c r="H989" s="6"/>
      <c r="I989" s="6"/>
      <c r="J989" s="6"/>
      <c r="K989" s="6"/>
      <c r="L989" s="8"/>
      <c r="M989" s="8"/>
      <c r="N989" s="6"/>
      <c r="O989" s="6"/>
      <c r="P989" s="6"/>
      <c r="Q989" s="6"/>
      <c r="R989" s="6"/>
      <c r="S989" s="6"/>
      <c r="T989" s="6"/>
      <c r="X989" s="12"/>
      <c r="Y989" s="12"/>
    </row>
    <row r="990" ht="14.25" customHeight="1">
      <c r="A990" s="6"/>
      <c r="B990" s="6"/>
      <c r="D990" s="6"/>
      <c r="E990" s="6"/>
      <c r="F990" s="6"/>
      <c r="G990" s="6"/>
      <c r="H990" s="6"/>
      <c r="I990" s="6"/>
      <c r="J990" s="6"/>
      <c r="K990" s="6"/>
      <c r="L990" s="8"/>
      <c r="M990" s="8"/>
      <c r="N990" s="6"/>
      <c r="O990" s="6"/>
      <c r="P990" s="6"/>
      <c r="Q990" s="6"/>
      <c r="R990" s="6"/>
      <c r="S990" s="6"/>
      <c r="T990" s="6"/>
      <c r="X990" s="12"/>
      <c r="Y990" s="12"/>
    </row>
    <row r="991" ht="14.25" customHeight="1">
      <c r="A991" s="6"/>
      <c r="B991" s="6"/>
      <c r="D991" s="6"/>
      <c r="E991" s="6"/>
      <c r="F991" s="6"/>
      <c r="G991" s="6"/>
      <c r="H991" s="6"/>
      <c r="I991" s="6"/>
      <c r="J991" s="6"/>
      <c r="K991" s="6"/>
      <c r="L991" s="8"/>
      <c r="M991" s="8"/>
      <c r="N991" s="6"/>
      <c r="O991" s="6"/>
      <c r="P991" s="6"/>
      <c r="Q991" s="6"/>
      <c r="R991" s="6"/>
      <c r="S991" s="6"/>
      <c r="T991" s="6"/>
      <c r="X991" s="12"/>
      <c r="Y991" s="12"/>
    </row>
    <row r="992" ht="14.25" customHeight="1">
      <c r="A992" s="6"/>
      <c r="B992" s="6"/>
      <c r="D992" s="6"/>
      <c r="E992" s="6"/>
      <c r="F992" s="6"/>
      <c r="G992" s="6"/>
      <c r="H992" s="6"/>
      <c r="I992" s="6"/>
      <c r="J992" s="6"/>
      <c r="K992" s="6"/>
      <c r="L992" s="8"/>
      <c r="M992" s="8"/>
      <c r="N992" s="6"/>
      <c r="O992" s="6"/>
      <c r="P992" s="6"/>
      <c r="Q992" s="6"/>
      <c r="R992" s="6"/>
      <c r="S992" s="6"/>
      <c r="T992" s="6"/>
      <c r="X992" s="12"/>
      <c r="Y992" s="12"/>
    </row>
    <row r="993" ht="14.25" customHeight="1">
      <c r="A993" s="6"/>
      <c r="B993" s="6"/>
      <c r="D993" s="6"/>
      <c r="E993" s="6"/>
      <c r="F993" s="6"/>
      <c r="G993" s="6"/>
      <c r="H993" s="6"/>
      <c r="I993" s="6"/>
      <c r="J993" s="6"/>
      <c r="K993" s="6"/>
      <c r="L993" s="8"/>
      <c r="M993" s="8"/>
      <c r="N993" s="6"/>
      <c r="O993" s="6"/>
      <c r="P993" s="6"/>
      <c r="Q993" s="6"/>
      <c r="R993" s="6"/>
      <c r="S993" s="6"/>
      <c r="T993" s="6"/>
      <c r="X993" s="12"/>
      <c r="Y993" s="12"/>
    </row>
    <row r="994" ht="14.25" customHeight="1">
      <c r="A994" s="6"/>
      <c r="B994" s="6"/>
      <c r="D994" s="6"/>
      <c r="E994" s="6"/>
      <c r="F994" s="6"/>
      <c r="G994" s="6"/>
      <c r="H994" s="6"/>
      <c r="I994" s="6"/>
      <c r="J994" s="6"/>
      <c r="K994" s="6"/>
      <c r="L994" s="8"/>
      <c r="M994" s="8"/>
      <c r="N994" s="6"/>
      <c r="O994" s="6"/>
      <c r="P994" s="6"/>
      <c r="Q994" s="6"/>
      <c r="R994" s="6"/>
      <c r="S994" s="6"/>
      <c r="T994" s="6"/>
      <c r="X994" s="12"/>
      <c r="Y994" s="12"/>
    </row>
    <row r="995" ht="14.25" customHeight="1">
      <c r="A995" s="6"/>
      <c r="B995" s="6"/>
      <c r="D995" s="6"/>
      <c r="E995" s="6"/>
      <c r="F995" s="6"/>
      <c r="G995" s="6"/>
      <c r="H995" s="6"/>
      <c r="I995" s="6"/>
      <c r="J995" s="6"/>
      <c r="K995" s="6"/>
      <c r="L995" s="8"/>
      <c r="M995" s="8"/>
      <c r="N995" s="6"/>
      <c r="O995" s="6"/>
      <c r="P995" s="6"/>
      <c r="Q995" s="6"/>
      <c r="R995" s="6"/>
      <c r="S995" s="6"/>
      <c r="T995" s="6"/>
      <c r="X995" s="12"/>
      <c r="Y995" s="12"/>
    </row>
    <row r="996" ht="14.25" customHeight="1">
      <c r="A996" s="6"/>
      <c r="B996" s="6"/>
      <c r="D996" s="6"/>
      <c r="E996" s="6"/>
      <c r="F996" s="6"/>
      <c r="G996" s="6"/>
      <c r="H996" s="6"/>
      <c r="I996" s="6"/>
      <c r="J996" s="6"/>
      <c r="K996" s="6"/>
      <c r="L996" s="8"/>
      <c r="M996" s="8"/>
      <c r="N996" s="6"/>
      <c r="O996" s="6"/>
      <c r="P996" s="6"/>
      <c r="Q996" s="6"/>
      <c r="R996" s="6"/>
      <c r="S996" s="6"/>
      <c r="T996" s="6"/>
      <c r="X996" s="12"/>
      <c r="Y996" s="12"/>
    </row>
    <row r="997" ht="14.25" customHeight="1">
      <c r="A997" s="6"/>
      <c r="B997" s="6"/>
      <c r="D997" s="6"/>
      <c r="E997" s="6"/>
      <c r="F997" s="6"/>
      <c r="G997" s="6"/>
      <c r="H997" s="6"/>
      <c r="I997" s="6"/>
      <c r="J997" s="6"/>
      <c r="K997" s="6"/>
      <c r="L997" s="8"/>
      <c r="M997" s="8"/>
      <c r="N997" s="6"/>
      <c r="O997" s="6"/>
      <c r="P997" s="6"/>
      <c r="Q997" s="6"/>
      <c r="R997" s="6"/>
      <c r="S997" s="6"/>
      <c r="T997" s="6"/>
      <c r="X997" s="12"/>
      <c r="Y997" s="12"/>
    </row>
    <row r="998" ht="14.25" customHeight="1">
      <c r="A998" s="6"/>
      <c r="B998" s="6"/>
      <c r="D998" s="6"/>
      <c r="E998" s="6"/>
      <c r="F998" s="6"/>
      <c r="G998" s="6"/>
      <c r="H998" s="6"/>
      <c r="I998" s="6"/>
      <c r="J998" s="6"/>
      <c r="K998" s="6"/>
      <c r="L998" s="8"/>
      <c r="M998" s="8"/>
      <c r="N998" s="6"/>
      <c r="O998" s="6"/>
      <c r="P998" s="6"/>
      <c r="Q998" s="6"/>
      <c r="R998" s="6"/>
      <c r="S998" s="6"/>
      <c r="T998" s="6"/>
      <c r="X998" s="12"/>
      <c r="Y998" s="12"/>
    </row>
    <row r="999" ht="14.25" customHeight="1">
      <c r="A999" s="6"/>
      <c r="B999" s="6"/>
      <c r="D999" s="6"/>
      <c r="E999" s="6"/>
      <c r="F999" s="6"/>
      <c r="G999" s="6"/>
      <c r="H999" s="6"/>
      <c r="I999" s="6"/>
      <c r="J999" s="6"/>
      <c r="K999" s="6"/>
      <c r="L999" s="8"/>
      <c r="M999" s="8"/>
      <c r="N999" s="6"/>
      <c r="O999" s="6"/>
      <c r="P999" s="6"/>
      <c r="Q999" s="6"/>
      <c r="R999" s="6"/>
      <c r="S999" s="6"/>
      <c r="T999" s="6"/>
      <c r="X999" s="12"/>
      <c r="Y999" s="12"/>
    </row>
  </sheetData>
  <autoFilter ref="$A$1:$AM$21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0"/>
  <cols>
    <col customWidth="1" min="1" max="1" width="19.71"/>
    <col customWidth="1" min="2" max="2" width="8.71"/>
    <col customWidth="1" min="3" max="3" width="14.43"/>
    <col customWidth="1" min="4" max="4" width="8.71"/>
    <col customWidth="1" hidden="1" min="5" max="5" width="9.14"/>
    <col customWidth="1" hidden="1" min="6" max="6" width="16.71"/>
    <col customWidth="1" hidden="1" min="7" max="7" width="8.71"/>
    <col customWidth="1" hidden="1" min="8" max="8" width="21.14"/>
    <col customWidth="1" min="9" max="9" width="19.71"/>
    <col customWidth="1" min="10" max="11" width="14.29"/>
    <col customWidth="1" min="12" max="13" width="15.43"/>
    <col customWidth="1" min="14" max="14" width="19.57"/>
    <col customWidth="1" min="15" max="15" width="8.71"/>
    <col customWidth="1" min="16" max="16" width="19.71"/>
    <col customWidth="1" min="17" max="17" width="22.0"/>
    <col customWidth="1" min="18" max="23" width="14.0"/>
  </cols>
  <sheetData>
    <row r="1" ht="66.75" customHeight="1">
      <c r="A1" s="14" t="s">
        <v>48</v>
      </c>
      <c r="B1" s="16" t="s">
        <v>51</v>
      </c>
      <c r="C1" s="16" t="s">
        <v>2</v>
      </c>
      <c r="D1" s="16" t="s">
        <v>53</v>
      </c>
      <c r="E1" s="18" t="s">
        <v>56</v>
      </c>
      <c r="F1" s="16" t="s">
        <v>59</v>
      </c>
      <c r="G1" s="16" t="s">
        <v>61</v>
      </c>
      <c r="H1" s="16" t="s">
        <v>62</v>
      </c>
      <c r="I1" s="16" t="s">
        <v>65</v>
      </c>
      <c r="J1" s="21" t="s">
        <v>71</v>
      </c>
      <c r="K1" s="23" t="s">
        <v>84</v>
      </c>
      <c r="L1" s="25" t="s">
        <v>90</v>
      </c>
      <c r="M1" s="25" t="s">
        <v>95</v>
      </c>
      <c r="N1" s="25" t="s">
        <v>97</v>
      </c>
      <c r="O1" s="28" t="s">
        <v>98</v>
      </c>
      <c r="P1" s="28" t="s">
        <v>100</v>
      </c>
      <c r="Q1" s="31" t="s">
        <v>53</v>
      </c>
      <c r="R1" s="33" t="s">
        <v>104</v>
      </c>
      <c r="S1" s="33" t="s">
        <v>107</v>
      </c>
      <c r="T1" s="33" t="s">
        <v>109</v>
      </c>
      <c r="U1" s="33" t="s">
        <v>32</v>
      </c>
      <c r="V1" s="33" t="s">
        <v>110</v>
      </c>
      <c r="W1" s="33" t="s">
        <v>111</v>
      </c>
    </row>
    <row r="2" ht="14.25" customHeight="1">
      <c r="A2" s="6" t="str">
        <f t="shared" ref="A2:A2232" si="1">B2&amp;C2&amp;O2</f>
        <v>2011Hudspeath15</v>
      </c>
      <c r="B2" s="6">
        <v>2011.0</v>
      </c>
      <c r="C2" s="6" t="s">
        <v>39</v>
      </c>
      <c r="D2" s="6" t="s">
        <v>112</v>
      </c>
      <c r="E2" s="34">
        <v>42192.0</v>
      </c>
      <c r="F2" s="6" t="s">
        <v>113</v>
      </c>
      <c r="G2" s="6" t="s">
        <v>114</v>
      </c>
      <c r="H2" s="6" t="s">
        <v>115</v>
      </c>
      <c r="I2" s="35" t="s">
        <v>77</v>
      </c>
      <c r="J2" s="36">
        <v>94.3</v>
      </c>
      <c r="K2" s="36">
        <v>101.6</v>
      </c>
      <c r="L2" s="36">
        <f t="shared" ref="L2:L961" si="2">IF(LEFT(F2,1)="W",1,0)</f>
        <v>0</v>
      </c>
      <c r="M2" s="36" t="str">
        <f t="shared" ref="M2:M3146" si="3">IF(ISNUMBER(SEARCH("Round",D2)),"Playoffs","Regular Season")</f>
        <v>Playoffs</v>
      </c>
      <c r="N2" s="36" t="str">
        <f>IFERROR(VLOOKUP(I2,Mapped_Owner,2,0),"")</f>
        <v>Salty</v>
      </c>
      <c r="O2" s="6">
        <f>VLOOKUP(D2,'Mapped Opponent'!$G$4:$H$22,2,0)</f>
        <v>15</v>
      </c>
      <c r="P2" s="39"/>
      <c r="Q2" s="6" t="str">
        <f t="shared" ref="Q2:Q3146" si="4">"Week "&amp;O2</f>
        <v>Week 15</v>
      </c>
      <c r="R2" s="6" t="str">
        <f t="shared" ref="R2:R3146" si="5">B2&amp;D2</f>
        <v>2011Round 1</v>
      </c>
      <c r="S2" s="6">
        <f>IFERROR(__xludf.DUMMYFUNCTION("rank(J2,FILTER(J:J,R:R=R2))"),6.0)</f>
        <v>6</v>
      </c>
      <c r="T2" s="6">
        <f t="shared" ref="T2:T3146" si="6">IFERROR(12-S2,0)</f>
        <v>6</v>
      </c>
      <c r="U2" s="6">
        <f t="shared" ref="U2:U3146" si="7">12-T2</f>
        <v>6</v>
      </c>
      <c r="V2" s="42">
        <f>averageif(AllData!A:A,B2,AllData!R:R)/vlookup(B2,AllData!A:O,15,0)</f>
        <v>88.55128205</v>
      </c>
      <c r="W2" s="6"/>
    </row>
    <row r="3" ht="14.25" customHeight="1">
      <c r="A3" s="6" t="str">
        <f t="shared" si="1"/>
        <v>2011Salty15</v>
      </c>
      <c r="B3" s="6">
        <v>2011.0</v>
      </c>
      <c r="C3" s="6" t="s">
        <v>76</v>
      </c>
      <c r="D3" s="6" t="s">
        <v>112</v>
      </c>
      <c r="E3" s="34">
        <v>42252.0</v>
      </c>
      <c r="F3" s="6" t="s">
        <v>124</v>
      </c>
      <c r="G3" s="6" t="s">
        <v>125</v>
      </c>
      <c r="H3" s="6" t="s">
        <v>126</v>
      </c>
      <c r="I3" s="35" t="s">
        <v>64</v>
      </c>
      <c r="J3" s="36">
        <v>101.6</v>
      </c>
      <c r="K3" s="36">
        <v>94.3</v>
      </c>
      <c r="L3" s="36">
        <f t="shared" si="2"/>
        <v>1</v>
      </c>
      <c r="M3" s="36" t="str">
        <f t="shared" si="3"/>
        <v>Playoffs</v>
      </c>
      <c r="N3" s="36" t="str">
        <f>IFERROR(VLOOKUP(I3,Mapped_Owner,2,0),"")</f>
        <v>Hudspeath</v>
      </c>
      <c r="O3" s="6">
        <f>VLOOKUP(D3,'Mapped Opponent'!$G$4:$H$22,2,0)</f>
        <v>15</v>
      </c>
      <c r="P3" s="6"/>
      <c r="Q3" s="6" t="str">
        <f t="shared" si="4"/>
        <v>Week 15</v>
      </c>
      <c r="R3" s="6" t="str">
        <f t="shared" si="5"/>
        <v>2011Round 1</v>
      </c>
      <c r="S3" s="6">
        <f>IFERROR(__xludf.DUMMYFUNCTION("rank(J3,FILTER(J:J,R:R=R3))"),3.0)</f>
        <v>3</v>
      </c>
      <c r="T3" s="6">
        <f t="shared" si="6"/>
        <v>9</v>
      </c>
      <c r="U3" s="6">
        <f t="shared" si="7"/>
        <v>3</v>
      </c>
      <c r="V3" s="42">
        <f>averageif(AllData!A:A,B3,AllData!R:R)/vlookup(B3,AllData!A:O,15,0)</f>
        <v>88.55128205</v>
      </c>
      <c r="W3" s="6"/>
    </row>
    <row r="4" ht="14.25" customHeight="1">
      <c r="A4" s="6" t="str">
        <f t="shared" si="1"/>
        <v>2011Fellows15</v>
      </c>
      <c r="B4" s="6">
        <v>2011.0</v>
      </c>
      <c r="C4" s="6" t="s">
        <v>79</v>
      </c>
      <c r="D4" s="6" t="s">
        <v>112</v>
      </c>
      <c r="E4" s="34">
        <v>42104.0</v>
      </c>
      <c r="F4" s="6" t="s">
        <v>139</v>
      </c>
      <c r="G4" s="6" t="s">
        <v>125</v>
      </c>
      <c r="H4" s="6" t="s">
        <v>140</v>
      </c>
      <c r="I4" s="35" t="s">
        <v>54</v>
      </c>
      <c r="J4" s="36">
        <v>88.3</v>
      </c>
      <c r="K4" s="36">
        <v>114.4</v>
      </c>
      <c r="L4" s="36">
        <f t="shared" si="2"/>
        <v>0</v>
      </c>
      <c r="M4" s="36" t="str">
        <f t="shared" si="3"/>
        <v>Playoffs</v>
      </c>
      <c r="N4" s="36" t="str">
        <f>IFERROR(VLOOKUP(I4,Mapped_Owner,2,0),"")</f>
        <v>Tayski</v>
      </c>
      <c r="O4" s="6">
        <f>VLOOKUP(D4,'Mapped Opponent'!$G$4:$H$22,2,0)</f>
        <v>15</v>
      </c>
      <c r="P4" s="6"/>
      <c r="Q4" s="6" t="str">
        <f t="shared" si="4"/>
        <v>Week 15</v>
      </c>
      <c r="R4" s="6" t="str">
        <f t="shared" si="5"/>
        <v>2011Round 1</v>
      </c>
      <c r="S4" s="6">
        <f>IFERROR(__xludf.DUMMYFUNCTION("rank(J4,FILTER(J:J,R:R=R4))"),9.0)</f>
        <v>9</v>
      </c>
      <c r="T4" s="6">
        <f t="shared" si="6"/>
        <v>3</v>
      </c>
      <c r="U4" s="6">
        <f t="shared" si="7"/>
        <v>9</v>
      </c>
      <c r="V4" s="42">
        <f>averageif(AllData!A:A,B4,AllData!R:R)/vlookup(B4,AllData!A:O,15,0)</f>
        <v>88.55128205</v>
      </c>
      <c r="W4" s="6"/>
    </row>
    <row r="5" ht="14.25" customHeight="1">
      <c r="A5" s="6" t="str">
        <f t="shared" si="1"/>
        <v>2011Shep15</v>
      </c>
      <c r="B5" s="6">
        <v>2011.0</v>
      </c>
      <c r="C5" s="6" t="s">
        <v>89</v>
      </c>
      <c r="D5" s="6" t="s">
        <v>112</v>
      </c>
      <c r="E5" s="34">
        <v>42192.0</v>
      </c>
      <c r="F5" s="6" t="s">
        <v>163</v>
      </c>
      <c r="G5" s="6" t="s">
        <v>114</v>
      </c>
      <c r="H5" s="6" t="s">
        <v>164</v>
      </c>
      <c r="I5" s="35" t="s">
        <v>85</v>
      </c>
      <c r="J5" s="36">
        <v>98.6</v>
      </c>
      <c r="K5" s="36">
        <v>114.9</v>
      </c>
      <c r="L5" s="36">
        <f t="shared" si="2"/>
        <v>0</v>
      </c>
      <c r="M5" s="36" t="str">
        <f t="shared" si="3"/>
        <v>Playoffs</v>
      </c>
      <c r="N5" s="36" t="str">
        <f>IFERROR(VLOOKUP(I5,Mapped_Owner,2,0),"")</f>
        <v>T-How</v>
      </c>
      <c r="O5" s="6">
        <f>VLOOKUP(D5,'Mapped Opponent'!$G$4:$H$22,2,0)</f>
        <v>15</v>
      </c>
      <c r="P5" s="6"/>
      <c r="Q5" s="6" t="str">
        <f t="shared" si="4"/>
        <v>Week 15</v>
      </c>
      <c r="R5" s="6" t="str">
        <f t="shared" si="5"/>
        <v>2011Round 1</v>
      </c>
      <c r="S5" s="6">
        <f>IFERROR(__xludf.DUMMYFUNCTION("rank(J5,FILTER(J:J,R:R=R5))"),4.0)</f>
        <v>4</v>
      </c>
      <c r="T5" s="6">
        <f t="shared" si="6"/>
        <v>8</v>
      </c>
      <c r="U5" s="6">
        <f t="shared" si="7"/>
        <v>4</v>
      </c>
      <c r="V5" s="42">
        <f>averageif(AllData!A:A,B5,AllData!R:R)/vlookup(B5,AllData!A:O,15,0)</f>
        <v>88.55128205</v>
      </c>
      <c r="W5" s="6"/>
    </row>
    <row r="6" ht="14.25" customHeight="1">
      <c r="A6" s="6" t="str">
        <f t="shared" si="1"/>
        <v>2011Guckien15</v>
      </c>
      <c r="B6" s="6">
        <v>2011.0</v>
      </c>
      <c r="C6" s="6" t="s">
        <v>159</v>
      </c>
      <c r="D6" s="6" t="s">
        <v>112</v>
      </c>
      <c r="E6" s="34">
        <v>42222.0</v>
      </c>
      <c r="F6" s="6" t="s">
        <v>172</v>
      </c>
      <c r="G6" s="6" t="s">
        <v>125</v>
      </c>
      <c r="H6" s="6" t="s">
        <v>174</v>
      </c>
      <c r="I6" s="35" t="s">
        <v>132</v>
      </c>
      <c r="J6" s="36">
        <v>96.7</v>
      </c>
      <c r="K6" s="36">
        <v>77.4</v>
      </c>
      <c r="L6" s="36">
        <f t="shared" si="2"/>
        <v>1</v>
      </c>
      <c r="M6" s="36" t="str">
        <f t="shared" si="3"/>
        <v>Playoffs</v>
      </c>
      <c r="N6" s="36" t="str">
        <f>IFERROR(VLOOKUP(I6,Mapped_Owner,2,0),"")</f>
        <v>KnardDawg</v>
      </c>
      <c r="O6" s="6">
        <f>VLOOKUP(D6,'Mapped Opponent'!$G$4:$H$22,2,0)</f>
        <v>15</v>
      </c>
      <c r="P6" s="6"/>
      <c r="Q6" s="6" t="str">
        <f t="shared" si="4"/>
        <v>Week 15</v>
      </c>
      <c r="R6" s="6" t="str">
        <f t="shared" si="5"/>
        <v>2011Round 1</v>
      </c>
      <c r="S6" s="6">
        <f>IFERROR(__xludf.DUMMYFUNCTION("rank(J6,FILTER(J:J,R:R=R6))"),5.0)</f>
        <v>5</v>
      </c>
      <c r="T6" s="6">
        <f t="shared" si="6"/>
        <v>7</v>
      </c>
      <c r="U6" s="6">
        <f t="shared" si="7"/>
        <v>5</v>
      </c>
      <c r="V6" s="42">
        <f>averageif(AllData!A:A,B6,AllData!R:R)/vlookup(B6,AllData!A:O,15,0)</f>
        <v>88.55128205</v>
      </c>
      <c r="W6" s="6"/>
    </row>
    <row r="7">
      <c r="A7" s="6" t="str">
        <f t="shared" si="1"/>
        <v>2011Rooney/Jackson15</v>
      </c>
      <c r="B7" s="6">
        <v>2011.0</v>
      </c>
      <c r="C7" s="6" t="s">
        <v>57</v>
      </c>
      <c r="D7" s="6" t="s">
        <v>112</v>
      </c>
      <c r="E7" s="34">
        <v>42163.0</v>
      </c>
      <c r="F7" s="6" t="s">
        <v>187</v>
      </c>
      <c r="G7" s="6" t="s">
        <v>125</v>
      </c>
      <c r="H7" s="6" t="s">
        <v>188</v>
      </c>
      <c r="I7" s="35" t="s">
        <v>99</v>
      </c>
      <c r="J7" s="36">
        <v>92.1</v>
      </c>
      <c r="K7" s="36">
        <v>88.5</v>
      </c>
      <c r="L7" s="36">
        <f t="shared" si="2"/>
        <v>1</v>
      </c>
      <c r="M7" s="36" t="str">
        <f t="shared" si="3"/>
        <v>Playoffs</v>
      </c>
      <c r="N7" s="36" t="str">
        <f>IFERROR(VLOOKUP(I7,Mapped_Owner,2,0),"")</f>
        <v>Cock</v>
      </c>
      <c r="O7" s="6">
        <f>VLOOKUP(D7,'Mapped Opponent'!$G$4:$H$22,2,0)</f>
        <v>15</v>
      </c>
      <c r="P7" s="6"/>
      <c r="Q7" s="6" t="str">
        <f t="shared" si="4"/>
        <v>Week 15</v>
      </c>
      <c r="R7" s="6" t="str">
        <f t="shared" si="5"/>
        <v>2011Round 1</v>
      </c>
      <c r="S7" s="6">
        <f>IFERROR(__xludf.DUMMYFUNCTION("rank(J7,FILTER(J:J,R:R=R7))"),7.0)</f>
        <v>7</v>
      </c>
      <c r="T7" s="6">
        <f t="shared" si="6"/>
        <v>5</v>
      </c>
      <c r="U7" s="6">
        <f t="shared" si="7"/>
        <v>7</v>
      </c>
      <c r="V7" s="42">
        <f>averageif(AllData!A:A,B7,AllData!R:R)/vlookup(B7,AllData!A:O,15,0)</f>
        <v>88.55128205</v>
      </c>
      <c r="W7" s="6"/>
    </row>
    <row r="8" ht="14.25" customHeight="1">
      <c r="A8" s="6" t="str">
        <f t="shared" si="1"/>
        <v>2011Buser15</v>
      </c>
      <c r="B8" s="6">
        <v>2011.0</v>
      </c>
      <c r="C8" s="6" t="s">
        <v>47</v>
      </c>
      <c r="D8" s="6" t="s">
        <v>112</v>
      </c>
      <c r="E8" s="34">
        <v>42251.0</v>
      </c>
      <c r="F8" s="6" t="s">
        <v>191</v>
      </c>
      <c r="G8" s="6" t="s">
        <v>125</v>
      </c>
      <c r="H8" s="6" t="s">
        <v>155</v>
      </c>
      <c r="I8" s="35" t="s">
        <v>125</v>
      </c>
      <c r="J8" s="52">
        <v>0.0</v>
      </c>
      <c r="K8" s="52">
        <v>0.0</v>
      </c>
      <c r="L8" s="36">
        <f t="shared" si="2"/>
        <v>0</v>
      </c>
      <c r="M8" s="36" t="str">
        <f t="shared" si="3"/>
        <v>Playoffs</v>
      </c>
      <c r="N8" s="36" t="str">
        <f>IFERROR(VLOOKUP(I8,Mapped_Owner,2,0),"")</f>
        <v>BYE</v>
      </c>
      <c r="O8" s="6">
        <f>VLOOKUP(D8,'Mapped Opponent'!$G$4:$H$22,2,0)</f>
        <v>15</v>
      </c>
      <c r="P8" s="6"/>
      <c r="Q8" s="6" t="str">
        <f t="shared" si="4"/>
        <v>Week 15</v>
      </c>
      <c r="R8" s="6" t="str">
        <f t="shared" si="5"/>
        <v>2011Round 1</v>
      </c>
      <c r="S8" s="6">
        <f>IFERROR(__xludf.DUMMYFUNCTION("rank(J8,FILTER(J:J,R:R=R8))"),11.0)</f>
        <v>11</v>
      </c>
      <c r="T8" s="6">
        <f t="shared" si="6"/>
        <v>1</v>
      </c>
      <c r="U8" s="6">
        <f t="shared" si="7"/>
        <v>11</v>
      </c>
      <c r="V8" s="42">
        <f>averageif(AllData!A:A,B8,AllData!R:R)/vlookup(B8,AllData!A:O,15,0)</f>
        <v>88.55128205</v>
      </c>
      <c r="W8" s="6"/>
    </row>
    <row r="9" ht="14.25" customHeight="1">
      <c r="A9" s="6" t="str">
        <f t="shared" si="1"/>
        <v>2011Pierson15</v>
      </c>
      <c r="B9" s="6">
        <v>2011.0</v>
      </c>
      <c r="C9" s="6" t="s">
        <v>92</v>
      </c>
      <c r="D9" s="6" t="s">
        <v>112</v>
      </c>
      <c r="E9" s="34">
        <v>42251.0</v>
      </c>
      <c r="F9" s="6" t="s">
        <v>191</v>
      </c>
      <c r="G9" s="6" t="s">
        <v>125</v>
      </c>
      <c r="H9" s="6" t="s">
        <v>155</v>
      </c>
      <c r="I9" s="35" t="s">
        <v>125</v>
      </c>
      <c r="J9" s="52">
        <v>0.0</v>
      </c>
      <c r="K9" s="52">
        <v>0.0</v>
      </c>
      <c r="L9" s="36">
        <f t="shared" si="2"/>
        <v>0</v>
      </c>
      <c r="M9" s="36" t="str">
        <f t="shared" si="3"/>
        <v>Playoffs</v>
      </c>
      <c r="N9" s="36" t="str">
        <f>IFERROR(VLOOKUP(I9,Mapped_Owner,2,0),"")</f>
        <v>BYE</v>
      </c>
      <c r="O9" s="6">
        <f>VLOOKUP(D9,'Mapped Opponent'!$G$4:$H$22,2,0)</f>
        <v>15</v>
      </c>
      <c r="P9" s="6"/>
      <c r="Q9" s="6" t="str">
        <f t="shared" si="4"/>
        <v>Week 15</v>
      </c>
      <c r="R9" s="6" t="str">
        <f t="shared" si="5"/>
        <v>2011Round 1</v>
      </c>
      <c r="S9" s="6">
        <f>IFERROR(__xludf.DUMMYFUNCTION("rank(J9,FILTER(J:J,R:R=R9))"),11.0)</f>
        <v>11</v>
      </c>
      <c r="T9" s="6">
        <f t="shared" si="6"/>
        <v>1</v>
      </c>
      <c r="U9" s="6">
        <f t="shared" si="7"/>
        <v>11</v>
      </c>
      <c r="V9" s="42">
        <f>averageif(AllData!A:A,B9,AllData!R:R)/vlookup(B9,AllData!A:O,15,0)</f>
        <v>88.55128205</v>
      </c>
      <c r="W9" s="6"/>
    </row>
    <row r="10" ht="14.25" customHeight="1">
      <c r="A10" s="6" t="str">
        <f t="shared" si="1"/>
        <v>2011Cock15</v>
      </c>
      <c r="B10" s="6">
        <v>2011.0</v>
      </c>
      <c r="C10" s="6" t="s">
        <v>72</v>
      </c>
      <c r="D10" s="6" t="s">
        <v>112</v>
      </c>
      <c r="E10" s="34">
        <v>42133.0</v>
      </c>
      <c r="F10" s="6" t="s">
        <v>204</v>
      </c>
      <c r="G10" s="6" t="s">
        <v>114</v>
      </c>
      <c r="H10" s="6" t="s">
        <v>205</v>
      </c>
      <c r="I10" s="35" t="s">
        <v>157</v>
      </c>
      <c r="J10" s="36">
        <v>88.5</v>
      </c>
      <c r="K10" s="36">
        <v>92.1</v>
      </c>
      <c r="L10" s="36">
        <f t="shared" si="2"/>
        <v>0</v>
      </c>
      <c r="M10" s="36" t="str">
        <f t="shared" si="3"/>
        <v>Playoffs</v>
      </c>
      <c r="N10" s="36" t="str">
        <f>IFERROR(VLOOKUP(I10,Mapped_Owner,2,0),"")</f>
        <v>Rooney/Jackson</v>
      </c>
      <c r="O10" s="6">
        <f>VLOOKUP(D10,'Mapped Opponent'!$G$4:$H$22,2,0)</f>
        <v>15</v>
      </c>
      <c r="P10" s="6"/>
      <c r="Q10" s="6" t="str">
        <f t="shared" si="4"/>
        <v>Week 15</v>
      </c>
      <c r="R10" s="6" t="str">
        <f t="shared" si="5"/>
        <v>2011Round 1</v>
      </c>
      <c r="S10" s="6">
        <f>IFERROR(__xludf.DUMMYFUNCTION("rank(J10,FILTER(J:J,R:R=R10))"),8.0)</f>
        <v>8</v>
      </c>
      <c r="T10" s="6">
        <f t="shared" si="6"/>
        <v>4</v>
      </c>
      <c r="U10" s="6">
        <f t="shared" si="7"/>
        <v>8</v>
      </c>
      <c r="V10" s="42">
        <f>averageif(AllData!A:A,B10,AllData!R:R)/vlookup(B10,AllData!A:O,15,0)</f>
        <v>88.55128205</v>
      </c>
      <c r="W10" s="6"/>
    </row>
    <row r="11" ht="14.25" customHeight="1">
      <c r="A11" s="6" t="str">
        <f t="shared" si="1"/>
        <v>2011Tayski15</v>
      </c>
      <c r="B11" s="6">
        <v>2011.0</v>
      </c>
      <c r="C11" s="6" t="s">
        <v>52</v>
      </c>
      <c r="D11" s="6" t="s">
        <v>112</v>
      </c>
      <c r="E11" s="34">
        <v>42104.0</v>
      </c>
      <c r="F11" s="6" t="s">
        <v>211</v>
      </c>
      <c r="G11" s="6" t="s">
        <v>114</v>
      </c>
      <c r="H11" s="6" t="s">
        <v>212</v>
      </c>
      <c r="I11" s="35" t="s">
        <v>80</v>
      </c>
      <c r="J11" s="36">
        <v>114.4</v>
      </c>
      <c r="K11" s="36">
        <v>88.3</v>
      </c>
      <c r="L11" s="36">
        <f t="shared" si="2"/>
        <v>1</v>
      </c>
      <c r="M11" s="36" t="str">
        <f t="shared" si="3"/>
        <v>Playoffs</v>
      </c>
      <c r="N11" s="36" t="str">
        <f>IFERROR(VLOOKUP(I11,Mapped_Owner,2,0),"")</f>
        <v>Fellows</v>
      </c>
      <c r="O11" s="6">
        <f>VLOOKUP(D11,'Mapped Opponent'!$G$4:$H$22,2,0)</f>
        <v>15</v>
      </c>
      <c r="P11" s="6"/>
      <c r="Q11" s="6" t="str">
        <f t="shared" si="4"/>
        <v>Week 15</v>
      </c>
      <c r="R11" s="6" t="str">
        <f t="shared" si="5"/>
        <v>2011Round 1</v>
      </c>
      <c r="S11" s="6">
        <f>IFERROR(__xludf.DUMMYFUNCTION("rank(J11,FILTER(J:J,R:R=R11))"),2.0)</f>
        <v>2</v>
      </c>
      <c r="T11" s="6">
        <f t="shared" si="6"/>
        <v>10</v>
      </c>
      <c r="U11" s="6">
        <f t="shared" si="7"/>
        <v>2</v>
      </c>
      <c r="V11" s="42">
        <f>averageif(AllData!A:A,B11,AllData!R:R)/vlookup(B11,AllData!A:O,15,0)</f>
        <v>88.55128205</v>
      </c>
      <c r="W11" s="6"/>
    </row>
    <row r="12" ht="14.25" customHeight="1">
      <c r="A12" s="6" t="str">
        <f t="shared" si="1"/>
        <v>2011KnardDawg15</v>
      </c>
      <c r="B12" s="6">
        <v>2011.0</v>
      </c>
      <c r="C12" s="6" t="s">
        <v>86</v>
      </c>
      <c r="D12" s="6" t="s">
        <v>112</v>
      </c>
      <c r="E12" s="34">
        <v>42163.0</v>
      </c>
      <c r="F12" s="6" t="s">
        <v>218</v>
      </c>
      <c r="G12" s="6" t="s">
        <v>114</v>
      </c>
      <c r="H12" s="6" t="s">
        <v>219</v>
      </c>
      <c r="I12" s="35" t="s">
        <v>158</v>
      </c>
      <c r="J12" s="36">
        <v>77.4</v>
      </c>
      <c r="K12" s="36">
        <v>96.7</v>
      </c>
      <c r="L12" s="36">
        <f t="shared" si="2"/>
        <v>0</v>
      </c>
      <c r="M12" s="36" t="str">
        <f t="shared" si="3"/>
        <v>Playoffs</v>
      </c>
      <c r="N12" s="36" t="str">
        <f>IFERROR(VLOOKUP(I12,Mapped_Owner,2,0),"")</f>
        <v>Guckien</v>
      </c>
      <c r="O12" s="6">
        <f>VLOOKUP(D12,'Mapped Opponent'!$G$4:$H$22,2,0)</f>
        <v>15</v>
      </c>
      <c r="P12" s="6"/>
      <c r="Q12" s="6" t="str">
        <f t="shared" si="4"/>
        <v>Week 15</v>
      </c>
      <c r="R12" s="6" t="str">
        <f t="shared" si="5"/>
        <v>2011Round 1</v>
      </c>
      <c r="S12" s="6">
        <f>IFERROR(__xludf.DUMMYFUNCTION("rank(J12,FILTER(J:J,R:R=R12))"),10.0)</f>
        <v>10</v>
      </c>
      <c r="T12" s="6">
        <f t="shared" si="6"/>
        <v>2</v>
      </c>
      <c r="U12" s="6">
        <f t="shared" si="7"/>
        <v>10</v>
      </c>
      <c r="V12" s="42">
        <f>averageif(AllData!A:A,B12,AllData!R:R)/vlookup(B12,AllData!A:O,15,0)</f>
        <v>88.55128205</v>
      </c>
      <c r="W12" s="6"/>
    </row>
    <row r="13" ht="14.25" customHeight="1">
      <c r="A13" s="6" t="str">
        <f t="shared" si="1"/>
        <v>2011T-How15</v>
      </c>
      <c r="B13" s="6">
        <v>2011.0</v>
      </c>
      <c r="C13" s="6" t="s">
        <v>82</v>
      </c>
      <c r="D13" s="6" t="s">
        <v>112</v>
      </c>
      <c r="E13" s="34">
        <v>42252.0</v>
      </c>
      <c r="F13" s="6" t="s">
        <v>220</v>
      </c>
      <c r="G13" s="6" t="s">
        <v>125</v>
      </c>
      <c r="H13" s="6" t="s">
        <v>221</v>
      </c>
      <c r="I13" s="35" t="s">
        <v>91</v>
      </c>
      <c r="J13" s="36">
        <v>114.9</v>
      </c>
      <c r="K13" s="36">
        <v>98.6</v>
      </c>
      <c r="L13" s="36">
        <f t="shared" si="2"/>
        <v>1</v>
      </c>
      <c r="M13" s="36" t="str">
        <f t="shared" si="3"/>
        <v>Playoffs</v>
      </c>
      <c r="N13" s="36" t="str">
        <f>IFERROR(VLOOKUP(I13,Mapped_Owner,2,0),"")</f>
        <v>Shep</v>
      </c>
      <c r="O13" s="6">
        <f>VLOOKUP(D13,'Mapped Opponent'!$G$4:$H$22,2,0)</f>
        <v>15</v>
      </c>
      <c r="P13" s="6"/>
      <c r="Q13" s="6" t="str">
        <f t="shared" si="4"/>
        <v>Week 15</v>
      </c>
      <c r="R13" s="6" t="str">
        <f t="shared" si="5"/>
        <v>2011Round 1</v>
      </c>
      <c r="S13" s="6">
        <f>IFERROR(__xludf.DUMMYFUNCTION("rank(J13,FILTER(J:J,R:R=R13))"),1.0)</f>
        <v>1</v>
      </c>
      <c r="T13" s="6">
        <f t="shared" si="6"/>
        <v>11</v>
      </c>
      <c r="U13" s="6">
        <f t="shared" si="7"/>
        <v>1</v>
      </c>
      <c r="V13" s="42">
        <f>averageif(AllData!A:A,B13,AllData!R:R)/vlookup(B13,AllData!A:O,15,0)</f>
        <v>88.55128205</v>
      </c>
      <c r="W13" s="6"/>
    </row>
    <row r="14" ht="14.25" customHeight="1">
      <c r="A14" s="6" t="str">
        <f t="shared" si="1"/>
        <v>2011Hudspeath16</v>
      </c>
      <c r="B14" s="6">
        <v>2011.0</v>
      </c>
      <c r="C14" s="6" t="s">
        <v>39</v>
      </c>
      <c r="D14" s="6" t="s">
        <v>153</v>
      </c>
      <c r="E14" s="34">
        <v>42223.0</v>
      </c>
      <c r="F14" s="6" t="s">
        <v>227</v>
      </c>
      <c r="G14" s="6" t="s">
        <v>114</v>
      </c>
      <c r="H14" s="6" t="s">
        <v>228</v>
      </c>
      <c r="I14" s="35" t="s">
        <v>91</v>
      </c>
      <c r="J14" s="36">
        <v>139.1</v>
      </c>
      <c r="K14" s="36">
        <v>72.4</v>
      </c>
      <c r="L14" s="36">
        <f t="shared" si="2"/>
        <v>1</v>
      </c>
      <c r="M14" s="36" t="str">
        <f t="shared" si="3"/>
        <v>Playoffs</v>
      </c>
      <c r="N14" s="36" t="str">
        <f>IFERROR(VLOOKUP(I14,Mapped_Owner,2,0),"")</f>
        <v>Shep</v>
      </c>
      <c r="O14" s="6">
        <f>VLOOKUP(D14,'Mapped Opponent'!$G$4:$H$22,2,0)</f>
        <v>16</v>
      </c>
      <c r="P14" s="39"/>
      <c r="Q14" s="6" t="str">
        <f t="shared" si="4"/>
        <v>Week 16</v>
      </c>
      <c r="R14" s="6" t="str">
        <f t="shared" si="5"/>
        <v>2011Round 2</v>
      </c>
      <c r="S14" s="6">
        <f>IFERROR(__xludf.DUMMYFUNCTION("rank(J14,FILTER(J:J,R:R=R14))"),1.0)</f>
        <v>1</v>
      </c>
      <c r="T14" s="6">
        <f t="shared" si="6"/>
        <v>11</v>
      </c>
      <c r="U14" s="6">
        <f t="shared" si="7"/>
        <v>1</v>
      </c>
      <c r="V14" s="42">
        <f>averageif(AllData!A:A,B14,AllData!R:R)/vlookup(B14,AllData!A:O,15,0)</f>
        <v>88.55128205</v>
      </c>
      <c r="W14" s="6"/>
    </row>
    <row r="15" ht="14.25" customHeight="1">
      <c r="A15" s="6" t="str">
        <f t="shared" si="1"/>
        <v>2011Salty16</v>
      </c>
      <c r="B15" s="6">
        <v>2011.0</v>
      </c>
      <c r="C15" s="6" t="s">
        <v>76</v>
      </c>
      <c r="D15" s="6" t="s">
        <v>153</v>
      </c>
      <c r="E15" s="34">
        <v>42253.0</v>
      </c>
      <c r="F15" s="6" t="s">
        <v>235</v>
      </c>
      <c r="G15" s="6" t="s">
        <v>114</v>
      </c>
      <c r="H15" s="6" t="s">
        <v>236</v>
      </c>
      <c r="I15" s="35" t="s">
        <v>50</v>
      </c>
      <c r="J15" s="36">
        <v>51.8</v>
      </c>
      <c r="K15" s="36">
        <v>99.7</v>
      </c>
      <c r="L15" s="36">
        <f t="shared" si="2"/>
        <v>0</v>
      </c>
      <c r="M15" s="36" t="str">
        <f t="shared" si="3"/>
        <v>Playoffs</v>
      </c>
      <c r="N15" s="36" t="str">
        <f>IFERROR(VLOOKUP(I15,Mapped_Owner,2,0),"")</f>
        <v>Buser</v>
      </c>
      <c r="O15" s="6">
        <f>VLOOKUP(D15,'Mapped Opponent'!$G$4:$H$22,2,0)</f>
        <v>16</v>
      </c>
      <c r="P15" s="6"/>
      <c r="Q15" s="6" t="str">
        <f t="shared" si="4"/>
        <v>Week 16</v>
      </c>
      <c r="R15" s="6" t="str">
        <f t="shared" si="5"/>
        <v>2011Round 2</v>
      </c>
      <c r="S15" s="6">
        <f>IFERROR(__xludf.DUMMYFUNCTION("rank(J15,FILTER(J:J,R:R=R15))"),12.0)</f>
        <v>12</v>
      </c>
      <c r="T15" s="6">
        <f t="shared" si="6"/>
        <v>0</v>
      </c>
      <c r="U15" s="6">
        <f t="shared" si="7"/>
        <v>12</v>
      </c>
      <c r="V15" s="42">
        <f>averageif(AllData!A:A,B15,AllData!R:R)/vlookup(B15,AllData!A:O,15,0)</f>
        <v>88.55128205</v>
      </c>
      <c r="W15" s="6"/>
    </row>
    <row r="16" ht="14.25" customHeight="1">
      <c r="A16" s="6" t="str">
        <f t="shared" si="1"/>
        <v>2011Fellows16</v>
      </c>
      <c r="B16" s="6">
        <v>2011.0</v>
      </c>
      <c r="C16" s="6" t="s">
        <v>79</v>
      </c>
      <c r="D16" s="6" t="s">
        <v>153</v>
      </c>
      <c r="E16" s="34">
        <v>42134.0</v>
      </c>
      <c r="F16" s="6" t="s">
        <v>243</v>
      </c>
      <c r="G16" s="6" t="s">
        <v>114</v>
      </c>
      <c r="H16" s="6" t="s">
        <v>244</v>
      </c>
      <c r="I16" s="35" t="s">
        <v>99</v>
      </c>
      <c r="J16" s="36">
        <v>91.9</v>
      </c>
      <c r="K16" s="36">
        <v>76.1</v>
      </c>
      <c r="L16" s="36">
        <f t="shared" si="2"/>
        <v>1</v>
      </c>
      <c r="M16" s="36" t="str">
        <f t="shared" si="3"/>
        <v>Playoffs</v>
      </c>
      <c r="N16" s="36" t="str">
        <f>IFERROR(VLOOKUP(I16,Mapped_Owner,2,0),"")</f>
        <v>Cock</v>
      </c>
      <c r="O16" s="6">
        <f>VLOOKUP(D16,'Mapped Opponent'!$G$4:$H$22,2,0)</f>
        <v>16</v>
      </c>
      <c r="P16" s="6"/>
      <c r="Q16" s="6" t="str">
        <f t="shared" si="4"/>
        <v>Week 16</v>
      </c>
      <c r="R16" s="6" t="str">
        <f t="shared" si="5"/>
        <v>2011Round 2</v>
      </c>
      <c r="S16" s="6">
        <f>IFERROR(__xludf.DUMMYFUNCTION("rank(J16,FILTER(J:J,R:R=R16))"),7.0)</f>
        <v>7</v>
      </c>
      <c r="T16" s="6">
        <f t="shared" si="6"/>
        <v>5</v>
      </c>
      <c r="U16" s="6">
        <f t="shared" si="7"/>
        <v>7</v>
      </c>
      <c r="V16" s="42">
        <f>averageif(AllData!A:A,B16,AllData!R:R)/vlookup(B16,AllData!A:O,15,0)</f>
        <v>88.55128205</v>
      </c>
      <c r="W16" s="6"/>
    </row>
    <row r="17" ht="14.25" customHeight="1">
      <c r="A17" s="6" t="str">
        <f t="shared" si="1"/>
        <v>2011Shep16</v>
      </c>
      <c r="B17" s="6">
        <v>2011.0</v>
      </c>
      <c r="C17" s="6" t="s">
        <v>89</v>
      </c>
      <c r="D17" s="6" t="s">
        <v>153</v>
      </c>
      <c r="E17" s="34">
        <v>42193.0</v>
      </c>
      <c r="F17" s="6" t="s">
        <v>246</v>
      </c>
      <c r="G17" s="6" t="s">
        <v>125</v>
      </c>
      <c r="H17" s="6" t="s">
        <v>247</v>
      </c>
      <c r="I17" s="35" t="s">
        <v>64</v>
      </c>
      <c r="J17" s="36">
        <v>72.4</v>
      </c>
      <c r="K17" s="36">
        <v>139.1</v>
      </c>
      <c r="L17" s="36">
        <f t="shared" si="2"/>
        <v>0</v>
      </c>
      <c r="M17" s="36" t="str">
        <f t="shared" si="3"/>
        <v>Playoffs</v>
      </c>
      <c r="N17" s="36" t="str">
        <f>IFERROR(VLOOKUP(I17,Mapped_Owner,2,0),"")</f>
        <v>Hudspeath</v>
      </c>
      <c r="O17" s="6">
        <f>VLOOKUP(D17,'Mapped Opponent'!$G$4:$H$22,2,0)</f>
        <v>16</v>
      </c>
      <c r="P17" s="6"/>
      <c r="Q17" s="6" t="str">
        <f t="shared" si="4"/>
        <v>Week 16</v>
      </c>
      <c r="R17" s="6" t="str">
        <f t="shared" si="5"/>
        <v>2011Round 2</v>
      </c>
      <c r="S17" s="6">
        <f>IFERROR(__xludf.DUMMYFUNCTION("rank(J17,FILTER(J:J,R:R=R17))"),9.0)</f>
        <v>9</v>
      </c>
      <c r="T17" s="6">
        <f t="shared" si="6"/>
        <v>3</v>
      </c>
      <c r="U17" s="6">
        <f t="shared" si="7"/>
        <v>9</v>
      </c>
      <c r="V17" s="42">
        <f>averageif(AllData!A:A,B17,AllData!R:R)/vlookup(B17,AllData!A:O,15,0)</f>
        <v>88.55128205</v>
      </c>
      <c r="W17" s="6"/>
    </row>
    <row r="18" ht="14.25" customHeight="1">
      <c r="A18" s="6" t="str">
        <f t="shared" si="1"/>
        <v>2011Guckien16</v>
      </c>
      <c r="B18" s="6">
        <v>2011.0</v>
      </c>
      <c r="C18" s="6" t="s">
        <v>159</v>
      </c>
      <c r="D18" s="6" t="s">
        <v>153</v>
      </c>
      <c r="E18" s="34">
        <v>42253.0</v>
      </c>
      <c r="F18" s="6" t="s">
        <v>248</v>
      </c>
      <c r="G18" s="6" t="s">
        <v>125</v>
      </c>
      <c r="H18" s="6" t="s">
        <v>251</v>
      </c>
      <c r="I18" s="35" t="s">
        <v>157</v>
      </c>
      <c r="J18" s="36">
        <v>118.2</v>
      </c>
      <c r="K18" s="36">
        <v>92.3</v>
      </c>
      <c r="L18" s="36">
        <f t="shared" si="2"/>
        <v>1</v>
      </c>
      <c r="M18" s="36" t="str">
        <f t="shared" si="3"/>
        <v>Playoffs</v>
      </c>
      <c r="N18" s="36" t="str">
        <f>IFERROR(VLOOKUP(I18,Mapped_Owner,2,0),"")</f>
        <v>Rooney/Jackson</v>
      </c>
      <c r="O18" s="6">
        <f>VLOOKUP(D18,'Mapped Opponent'!$G$4:$H$22,2,0)</f>
        <v>16</v>
      </c>
      <c r="P18" s="6"/>
      <c r="Q18" s="6" t="str">
        <f t="shared" si="4"/>
        <v>Week 16</v>
      </c>
      <c r="R18" s="6" t="str">
        <f t="shared" si="5"/>
        <v>2011Round 2</v>
      </c>
      <c r="S18" s="6">
        <f>IFERROR(__xludf.DUMMYFUNCTION("rank(J18,FILTER(J:J,R:R=R18))"),2.0)</f>
        <v>2</v>
      </c>
      <c r="T18" s="6">
        <f t="shared" si="6"/>
        <v>10</v>
      </c>
      <c r="U18" s="6">
        <f t="shared" si="7"/>
        <v>2</v>
      </c>
      <c r="V18" s="42">
        <f>averageif(AllData!A:A,B18,AllData!R:R)/vlookup(B18,AllData!A:O,15,0)</f>
        <v>88.55128205</v>
      </c>
      <c r="W18" s="6"/>
    </row>
    <row r="19" ht="14.25" customHeight="1">
      <c r="A19" s="6" t="str">
        <f t="shared" si="1"/>
        <v>2011Rooney/Jackson16</v>
      </c>
      <c r="B19" s="6">
        <v>2011.0</v>
      </c>
      <c r="C19" s="6" t="s">
        <v>57</v>
      </c>
      <c r="D19" s="6" t="s">
        <v>153</v>
      </c>
      <c r="E19" s="34">
        <v>42164.0</v>
      </c>
      <c r="F19" s="6" t="s">
        <v>253</v>
      </c>
      <c r="G19" s="6" t="s">
        <v>114</v>
      </c>
      <c r="H19" s="6" t="s">
        <v>255</v>
      </c>
      <c r="I19" s="35" t="s">
        <v>158</v>
      </c>
      <c r="J19" s="36">
        <v>92.3</v>
      </c>
      <c r="K19" s="36">
        <v>118.2</v>
      </c>
      <c r="L19" s="36">
        <f t="shared" si="2"/>
        <v>0</v>
      </c>
      <c r="M19" s="36" t="str">
        <f t="shared" si="3"/>
        <v>Playoffs</v>
      </c>
      <c r="N19" s="36" t="str">
        <f>IFERROR(VLOOKUP(I19,Mapped_Owner,2,0),"")</f>
        <v>Guckien</v>
      </c>
      <c r="O19" s="6">
        <f>VLOOKUP(D19,'Mapped Opponent'!$G$4:$H$22,2,0)</f>
        <v>16</v>
      </c>
      <c r="P19" s="6"/>
      <c r="Q19" s="6" t="str">
        <f t="shared" si="4"/>
        <v>Week 16</v>
      </c>
      <c r="R19" s="6" t="str">
        <f t="shared" si="5"/>
        <v>2011Round 2</v>
      </c>
      <c r="S19" s="6">
        <f>IFERROR(__xludf.DUMMYFUNCTION("rank(J19,FILTER(J:J,R:R=R19))"),6.0)</f>
        <v>6</v>
      </c>
      <c r="T19" s="6">
        <f t="shared" si="6"/>
        <v>6</v>
      </c>
      <c r="U19" s="6">
        <f t="shared" si="7"/>
        <v>6</v>
      </c>
      <c r="V19" s="42">
        <f>averageif(AllData!A:A,B19,AllData!R:R)/vlookup(B19,AllData!A:O,15,0)</f>
        <v>88.55128205</v>
      </c>
      <c r="W19" s="6"/>
    </row>
    <row r="20" ht="14.25" customHeight="1">
      <c r="A20" s="6" t="str">
        <f t="shared" si="1"/>
        <v>2011Buser16</v>
      </c>
      <c r="B20" s="6">
        <v>2011.0</v>
      </c>
      <c r="C20" s="6" t="s">
        <v>47</v>
      </c>
      <c r="D20" s="6" t="s">
        <v>153</v>
      </c>
      <c r="E20" s="34">
        <v>42281.0</v>
      </c>
      <c r="F20" s="6" t="s">
        <v>256</v>
      </c>
      <c r="G20" s="6" t="s">
        <v>125</v>
      </c>
      <c r="H20" s="6" t="s">
        <v>257</v>
      </c>
      <c r="I20" s="35" t="s">
        <v>77</v>
      </c>
      <c r="J20" s="36">
        <v>99.7</v>
      </c>
      <c r="K20" s="36">
        <v>51.8</v>
      </c>
      <c r="L20" s="36">
        <f t="shared" si="2"/>
        <v>1</v>
      </c>
      <c r="M20" s="36" t="str">
        <f t="shared" si="3"/>
        <v>Playoffs</v>
      </c>
      <c r="N20" s="36" t="str">
        <f>IFERROR(VLOOKUP(I20,Mapped_Owner,2,0),"")</f>
        <v>Salty</v>
      </c>
      <c r="O20" s="6">
        <f>VLOOKUP(D20,'Mapped Opponent'!$G$4:$H$22,2,0)</f>
        <v>16</v>
      </c>
      <c r="P20" s="6"/>
      <c r="Q20" s="6" t="str">
        <f t="shared" si="4"/>
        <v>Week 16</v>
      </c>
      <c r="R20" s="6" t="str">
        <f t="shared" si="5"/>
        <v>2011Round 2</v>
      </c>
      <c r="S20" s="6">
        <f>IFERROR(__xludf.DUMMYFUNCTION("rank(J20,FILTER(J:J,R:R=R20))"),5.0)</f>
        <v>5</v>
      </c>
      <c r="T20" s="6">
        <f t="shared" si="6"/>
        <v>7</v>
      </c>
      <c r="U20" s="6">
        <f t="shared" si="7"/>
        <v>5</v>
      </c>
      <c r="V20" s="42">
        <f>averageif(AllData!A:A,B20,AllData!R:R)/vlookup(B20,AllData!A:O,15,0)</f>
        <v>88.55128205</v>
      </c>
      <c r="W20" s="6"/>
    </row>
    <row r="21" ht="14.25" customHeight="1">
      <c r="A21" s="6" t="str">
        <f t="shared" si="1"/>
        <v>2011Pierson16</v>
      </c>
      <c r="B21" s="6">
        <v>2011.0</v>
      </c>
      <c r="C21" s="6" t="s">
        <v>92</v>
      </c>
      <c r="D21" s="6" t="s">
        <v>153</v>
      </c>
      <c r="E21" s="34">
        <v>42252.0</v>
      </c>
      <c r="F21" s="6" t="s">
        <v>261</v>
      </c>
      <c r="G21" s="6" t="s">
        <v>125</v>
      </c>
      <c r="H21" s="6" t="s">
        <v>262</v>
      </c>
      <c r="I21" s="35" t="s">
        <v>85</v>
      </c>
      <c r="J21" s="36">
        <v>67.9</v>
      </c>
      <c r="K21" s="36">
        <v>109.9</v>
      </c>
      <c r="L21" s="36">
        <f t="shared" si="2"/>
        <v>0</v>
      </c>
      <c r="M21" s="36" t="str">
        <f t="shared" si="3"/>
        <v>Playoffs</v>
      </c>
      <c r="N21" s="36" t="str">
        <f>IFERROR(VLOOKUP(I21,Mapped_Owner,2,0),"")</f>
        <v>T-How</v>
      </c>
      <c r="O21" s="6">
        <f>VLOOKUP(D21,'Mapped Opponent'!$G$4:$H$22,2,0)</f>
        <v>16</v>
      </c>
      <c r="P21" s="6"/>
      <c r="Q21" s="6" t="str">
        <f t="shared" si="4"/>
        <v>Week 16</v>
      </c>
      <c r="R21" s="6" t="str">
        <f t="shared" si="5"/>
        <v>2011Round 2</v>
      </c>
      <c r="S21" s="6">
        <f>IFERROR(__xludf.DUMMYFUNCTION("rank(J21,FILTER(J:J,R:R=R21))"),11.0)</f>
        <v>11</v>
      </c>
      <c r="T21" s="6">
        <f t="shared" si="6"/>
        <v>1</v>
      </c>
      <c r="U21" s="6">
        <f t="shared" si="7"/>
        <v>11</v>
      </c>
      <c r="V21" s="42">
        <f>averageif(AllData!A:A,B21,AllData!R:R)/vlookup(B21,AllData!A:O,15,0)</f>
        <v>88.55128205</v>
      </c>
      <c r="W21" s="6"/>
    </row>
    <row r="22" ht="14.25" customHeight="1">
      <c r="A22" s="6" t="str">
        <f t="shared" si="1"/>
        <v>2011Cock16</v>
      </c>
      <c r="B22" s="6">
        <v>2011.0</v>
      </c>
      <c r="C22" s="6" t="s">
        <v>72</v>
      </c>
      <c r="D22" s="6" t="s">
        <v>153</v>
      </c>
      <c r="E22" s="34">
        <v>42134.0</v>
      </c>
      <c r="F22" s="6" t="s">
        <v>266</v>
      </c>
      <c r="G22" s="6" t="s">
        <v>125</v>
      </c>
      <c r="H22" s="6" t="s">
        <v>267</v>
      </c>
      <c r="I22" s="35" t="s">
        <v>80</v>
      </c>
      <c r="J22" s="36">
        <v>76.1</v>
      </c>
      <c r="K22" s="36">
        <v>91.9</v>
      </c>
      <c r="L22" s="36">
        <f t="shared" si="2"/>
        <v>0</v>
      </c>
      <c r="M22" s="36" t="str">
        <f t="shared" si="3"/>
        <v>Playoffs</v>
      </c>
      <c r="N22" s="36" t="str">
        <f>IFERROR(VLOOKUP(I22,Mapped_Owner,2,0),"")</f>
        <v>Fellows</v>
      </c>
      <c r="O22" s="6">
        <f>VLOOKUP(D22,'Mapped Opponent'!$G$4:$H$22,2,0)</f>
        <v>16</v>
      </c>
      <c r="P22" s="6"/>
      <c r="Q22" s="6" t="str">
        <f t="shared" si="4"/>
        <v>Week 16</v>
      </c>
      <c r="R22" s="6" t="str">
        <f t="shared" si="5"/>
        <v>2011Round 2</v>
      </c>
      <c r="S22" s="6">
        <f>IFERROR(__xludf.DUMMYFUNCTION("rank(J22,FILTER(J:J,R:R=R22))"),8.0)</f>
        <v>8</v>
      </c>
      <c r="T22" s="6">
        <f t="shared" si="6"/>
        <v>4</v>
      </c>
      <c r="U22" s="6">
        <f t="shared" si="7"/>
        <v>8</v>
      </c>
      <c r="V22" s="42">
        <f>averageif(AllData!A:A,B22,AllData!R:R)/vlookup(B22,AllData!A:O,15,0)</f>
        <v>88.55128205</v>
      </c>
      <c r="W22" s="6"/>
    </row>
    <row r="23" ht="14.25" customHeight="1">
      <c r="A23" s="6" t="str">
        <f t="shared" si="1"/>
        <v>2011Tayski16</v>
      </c>
      <c r="B23" s="6">
        <v>2011.0</v>
      </c>
      <c r="C23" s="6" t="s">
        <v>52</v>
      </c>
      <c r="D23" s="6" t="s">
        <v>153</v>
      </c>
      <c r="E23" s="34">
        <v>42105.0</v>
      </c>
      <c r="F23" s="6" t="s">
        <v>271</v>
      </c>
      <c r="G23" s="6" t="s">
        <v>114</v>
      </c>
      <c r="H23" s="6" t="s">
        <v>272</v>
      </c>
      <c r="I23" s="35" t="s">
        <v>132</v>
      </c>
      <c r="J23" s="36">
        <v>69.7</v>
      </c>
      <c r="K23" s="36">
        <v>110.3</v>
      </c>
      <c r="L23" s="36">
        <f t="shared" si="2"/>
        <v>0</v>
      </c>
      <c r="M23" s="36" t="str">
        <f t="shared" si="3"/>
        <v>Playoffs</v>
      </c>
      <c r="N23" s="36" t="str">
        <f>IFERROR(VLOOKUP(I23,Mapped_Owner,2,0),"")</f>
        <v>KnardDawg</v>
      </c>
      <c r="O23" s="6">
        <f>VLOOKUP(D23,'Mapped Opponent'!$G$4:$H$22,2,0)</f>
        <v>16</v>
      </c>
      <c r="P23" s="6"/>
      <c r="Q23" s="6" t="str">
        <f t="shared" si="4"/>
        <v>Week 16</v>
      </c>
      <c r="R23" s="6" t="str">
        <f t="shared" si="5"/>
        <v>2011Round 2</v>
      </c>
      <c r="S23" s="6">
        <f>IFERROR(__xludf.DUMMYFUNCTION("rank(J23,FILTER(J:J,R:R=R23))"),10.0)</f>
        <v>10</v>
      </c>
      <c r="T23" s="6">
        <f t="shared" si="6"/>
        <v>2</v>
      </c>
      <c r="U23" s="6">
        <f t="shared" si="7"/>
        <v>10</v>
      </c>
      <c r="V23" s="42">
        <f>averageif(AllData!A:A,B23,AllData!R:R)/vlookup(B23,AllData!A:O,15,0)</f>
        <v>88.55128205</v>
      </c>
      <c r="W23" s="6"/>
    </row>
    <row r="24" ht="14.25" customHeight="1">
      <c r="A24" s="6" t="str">
        <f t="shared" si="1"/>
        <v>2011KnardDawg16</v>
      </c>
      <c r="B24" s="6">
        <v>2011.0</v>
      </c>
      <c r="C24" s="6" t="s">
        <v>86</v>
      </c>
      <c r="D24" s="6" t="s">
        <v>153</v>
      </c>
      <c r="E24" s="34">
        <v>42193.0</v>
      </c>
      <c r="F24" s="6" t="s">
        <v>276</v>
      </c>
      <c r="G24" s="6" t="s">
        <v>125</v>
      </c>
      <c r="H24" s="6" t="s">
        <v>277</v>
      </c>
      <c r="I24" s="35" t="s">
        <v>54</v>
      </c>
      <c r="J24" s="36">
        <v>110.3</v>
      </c>
      <c r="K24" s="36">
        <v>69.7</v>
      </c>
      <c r="L24" s="36">
        <f t="shared" si="2"/>
        <v>1</v>
      </c>
      <c r="M24" s="36" t="str">
        <f t="shared" si="3"/>
        <v>Playoffs</v>
      </c>
      <c r="N24" s="36" t="str">
        <f>IFERROR(VLOOKUP(I24,Mapped_Owner,2,0),"")</f>
        <v>Tayski</v>
      </c>
      <c r="O24" s="6">
        <f>VLOOKUP(D24,'Mapped Opponent'!$G$4:$H$22,2,0)</f>
        <v>16</v>
      </c>
      <c r="P24" s="6"/>
      <c r="Q24" s="6" t="str">
        <f t="shared" si="4"/>
        <v>Week 16</v>
      </c>
      <c r="R24" s="6" t="str">
        <f t="shared" si="5"/>
        <v>2011Round 2</v>
      </c>
      <c r="S24" s="6">
        <f>IFERROR(__xludf.DUMMYFUNCTION("rank(J24,FILTER(J:J,R:R=R24))"),3.0)</f>
        <v>3</v>
      </c>
      <c r="T24" s="6">
        <f t="shared" si="6"/>
        <v>9</v>
      </c>
      <c r="U24" s="6">
        <f t="shared" si="7"/>
        <v>3</v>
      </c>
      <c r="V24" s="42">
        <f>averageif(AllData!A:A,B24,AllData!R:R)/vlookup(B24,AllData!A:O,15,0)</f>
        <v>88.55128205</v>
      </c>
      <c r="W24" s="6"/>
    </row>
    <row r="25" ht="14.25" customHeight="1">
      <c r="A25" s="6" t="str">
        <f t="shared" si="1"/>
        <v>2011T-How16</v>
      </c>
      <c r="B25" s="6">
        <v>2011.0</v>
      </c>
      <c r="C25" s="6" t="s">
        <v>82</v>
      </c>
      <c r="D25" s="6" t="s">
        <v>153</v>
      </c>
      <c r="E25" s="34">
        <v>42282.0</v>
      </c>
      <c r="F25" s="6" t="s">
        <v>281</v>
      </c>
      <c r="G25" s="6" t="s">
        <v>114</v>
      </c>
      <c r="H25" s="6" t="s">
        <v>282</v>
      </c>
      <c r="I25" s="35" t="s">
        <v>93</v>
      </c>
      <c r="J25" s="36">
        <v>109.9</v>
      </c>
      <c r="K25" s="36">
        <v>67.9</v>
      </c>
      <c r="L25" s="36">
        <f t="shared" si="2"/>
        <v>1</v>
      </c>
      <c r="M25" s="36" t="str">
        <f t="shared" si="3"/>
        <v>Playoffs</v>
      </c>
      <c r="N25" s="36" t="str">
        <f>IFERROR(VLOOKUP(I25,Mapped_Owner,2,0),"")</f>
        <v>Pierson</v>
      </c>
      <c r="O25" s="6">
        <f>VLOOKUP(D25,'Mapped Opponent'!$G$4:$H$22,2,0)</f>
        <v>16</v>
      </c>
      <c r="P25" s="6"/>
      <c r="Q25" s="6" t="str">
        <f t="shared" si="4"/>
        <v>Week 16</v>
      </c>
      <c r="R25" s="6" t="str">
        <f t="shared" si="5"/>
        <v>2011Round 2</v>
      </c>
      <c r="S25" s="6">
        <f>IFERROR(__xludf.DUMMYFUNCTION("rank(J25,FILTER(J:J,R:R=R25))"),4.0)</f>
        <v>4</v>
      </c>
      <c r="T25" s="6">
        <f t="shared" si="6"/>
        <v>8</v>
      </c>
      <c r="U25" s="6">
        <f t="shared" si="7"/>
        <v>4</v>
      </c>
      <c r="V25" s="42">
        <f>averageif(AllData!A:A,B25,AllData!R:R)/vlookup(B25,AllData!A:O,15,0)</f>
        <v>88.55128205</v>
      </c>
      <c r="W25" s="6"/>
    </row>
    <row r="26" ht="14.25" customHeight="1">
      <c r="A26" s="6" t="str">
        <f t="shared" si="1"/>
        <v>2011Hudspeath17</v>
      </c>
      <c r="B26" s="6">
        <v>2011.0</v>
      </c>
      <c r="C26" s="6" t="s">
        <v>39</v>
      </c>
      <c r="D26" s="6" t="s">
        <v>154</v>
      </c>
      <c r="E26" s="34">
        <v>42254.0</v>
      </c>
      <c r="F26" s="6" t="s">
        <v>285</v>
      </c>
      <c r="G26" s="6" t="s">
        <v>114</v>
      </c>
      <c r="H26" s="6" t="s">
        <v>288</v>
      </c>
      <c r="I26" s="35" t="s">
        <v>91</v>
      </c>
      <c r="J26" s="36">
        <v>123.3</v>
      </c>
      <c r="K26" s="36">
        <v>93.0</v>
      </c>
      <c r="L26" s="36">
        <f t="shared" si="2"/>
        <v>1</v>
      </c>
      <c r="M26" s="36" t="str">
        <f t="shared" si="3"/>
        <v>Playoffs</v>
      </c>
      <c r="N26" s="36" t="str">
        <f>IFERROR(VLOOKUP(I26,Mapped_Owner,2,0),"")</f>
        <v>Shep</v>
      </c>
      <c r="O26" s="6">
        <f>VLOOKUP(D26,'Mapped Opponent'!$G$4:$H$22,2,0)</f>
        <v>17</v>
      </c>
      <c r="P26" s="39"/>
      <c r="Q26" s="6" t="str">
        <f t="shared" si="4"/>
        <v>Week 17</v>
      </c>
      <c r="R26" s="6" t="str">
        <f t="shared" si="5"/>
        <v>2011Round 3</v>
      </c>
      <c r="S26" s="6">
        <f>IFERROR(__xludf.DUMMYFUNCTION("rank(J26,FILTER(J:J,R:R=R26))"),1.0)</f>
        <v>1</v>
      </c>
      <c r="T26" s="6">
        <f t="shared" si="6"/>
        <v>11</v>
      </c>
      <c r="U26" s="6">
        <f t="shared" si="7"/>
        <v>1</v>
      </c>
      <c r="V26" s="42">
        <f>averageif(AllData!A:A,B26,AllData!R:R)/vlookup(B26,AllData!A:O,15,0)</f>
        <v>88.55128205</v>
      </c>
      <c r="W26" s="6"/>
    </row>
    <row r="27" ht="14.25" customHeight="1">
      <c r="A27" s="6" t="str">
        <f t="shared" si="1"/>
        <v>2011Salty17</v>
      </c>
      <c r="B27" s="6">
        <v>2011.0</v>
      </c>
      <c r="C27" s="6" t="s">
        <v>76</v>
      </c>
      <c r="D27" s="6" t="s">
        <v>154</v>
      </c>
      <c r="E27" s="34">
        <v>42254.0</v>
      </c>
      <c r="F27" s="6" t="s">
        <v>289</v>
      </c>
      <c r="G27" s="6" t="s">
        <v>114</v>
      </c>
      <c r="H27" s="6" t="s">
        <v>290</v>
      </c>
      <c r="I27" s="35" t="s">
        <v>93</v>
      </c>
      <c r="J27" s="36">
        <v>76.6</v>
      </c>
      <c r="K27" s="36">
        <v>103.0</v>
      </c>
      <c r="L27" s="36">
        <f t="shared" si="2"/>
        <v>0</v>
      </c>
      <c r="M27" s="36" t="str">
        <f t="shared" si="3"/>
        <v>Playoffs</v>
      </c>
      <c r="N27" s="36" t="str">
        <f>IFERROR(VLOOKUP(I27,Mapped_Owner,2,0),"")</f>
        <v>Pierson</v>
      </c>
      <c r="O27" s="6">
        <f>VLOOKUP(D27,'Mapped Opponent'!$G$4:$H$22,2,0)</f>
        <v>17</v>
      </c>
      <c r="P27" s="6"/>
      <c r="Q27" s="6" t="str">
        <f t="shared" si="4"/>
        <v>Week 17</v>
      </c>
      <c r="R27" s="6" t="str">
        <f t="shared" si="5"/>
        <v>2011Round 3</v>
      </c>
      <c r="S27" s="6">
        <f>IFERROR(__xludf.DUMMYFUNCTION("rank(J27,FILTER(J:J,R:R=R27))"),8.0)</f>
        <v>8</v>
      </c>
      <c r="T27" s="6">
        <f t="shared" si="6"/>
        <v>4</v>
      </c>
      <c r="U27" s="6">
        <f t="shared" si="7"/>
        <v>8</v>
      </c>
      <c r="V27" s="42">
        <f>averageif(AllData!A:A,B27,AllData!R:R)/vlookup(B27,AllData!A:O,15,0)</f>
        <v>88.55128205</v>
      </c>
      <c r="W27" s="6"/>
    </row>
    <row r="28" ht="14.25" customHeight="1">
      <c r="A28" s="6" t="str">
        <f t="shared" si="1"/>
        <v>2011Fellows17</v>
      </c>
      <c r="B28" s="6">
        <v>2011.0</v>
      </c>
      <c r="C28" s="6" t="s">
        <v>79</v>
      </c>
      <c r="D28" s="6" t="s">
        <v>154</v>
      </c>
      <c r="E28" s="34">
        <v>42135.0</v>
      </c>
      <c r="F28" s="6" t="s">
        <v>296</v>
      </c>
      <c r="G28" s="6" t="s">
        <v>114</v>
      </c>
      <c r="H28" s="6" t="s">
        <v>297</v>
      </c>
      <c r="I28" s="35" t="s">
        <v>157</v>
      </c>
      <c r="J28" s="36">
        <v>53.4</v>
      </c>
      <c r="K28" s="36">
        <v>104.4</v>
      </c>
      <c r="L28" s="36">
        <f t="shared" si="2"/>
        <v>0</v>
      </c>
      <c r="M28" s="36" t="str">
        <f t="shared" si="3"/>
        <v>Playoffs</v>
      </c>
      <c r="N28" s="36" t="str">
        <f>IFERROR(VLOOKUP(I28,Mapped_Owner,2,0),"")</f>
        <v>Rooney/Jackson</v>
      </c>
      <c r="O28" s="6">
        <f>VLOOKUP(D28,'Mapped Opponent'!$G$4:$H$22,2,0)</f>
        <v>17</v>
      </c>
      <c r="P28" s="6"/>
      <c r="Q28" s="6" t="str">
        <f t="shared" si="4"/>
        <v>Week 17</v>
      </c>
      <c r="R28" s="6" t="str">
        <f t="shared" si="5"/>
        <v>2011Round 3</v>
      </c>
      <c r="S28" s="6">
        <f>IFERROR(__xludf.DUMMYFUNCTION("rank(J28,FILTER(J:J,R:R=R28))"),11.0)</f>
        <v>11</v>
      </c>
      <c r="T28" s="6">
        <f t="shared" si="6"/>
        <v>1</v>
      </c>
      <c r="U28" s="6">
        <f t="shared" si="7"/>
        <v>11</v>
      </c>
      <c r="V28" s="42">
        <f>averageif(AllData!A:A,B28,AllData!R:R)/vlookup(B28,AllData!A:O,15,0)</f>
        <v>88.55128205</v>
      </c>
      <c r="W28" s="6"/>
    </row>
    <row r="29" ht="14.25" customHeight="1">
      <c r="A29" s="6" t="str">
        <f t="shared" si="1"/>
        <v>2011Shep17</v>
      </c>
      <c r="B29" s="6">
        <v>2011.0</v>
      </c>
      <c r="C29" s="6" t="s">
        <v>89</v>
      </c>
      <c r="D29" s="6" t="s">
        <v>154</v>
      </c>
      <c r="E29" s="34">
        <v>42194.0</v>
      </c>
      <c r="F29" s="6" t="s">
        <v>301</v>
      </c>
      <c r="G29" s="6" t="s">
        <v>125</v>
      </c>
      <c r="H29" s="6" t="s">
        <v>302</v>
      </c>
      <c r="I29" s="35" t="s">
        <v>64</v>
      </c>
      <c r="J29" s="36">
        <v>93.0</v>
      </c>
      <c r="K29" s="36">
        <v>123.3</v>
      </c>
      <c r="L29" s="36">
        <f t="shared" si="2"/>
        <v>0</v>
      </c>
      <c r="M29" s="36" t="str">
        <f t="shared" si="3"/>
        <v>Playoffs</v>
      </c>
      <c r="N29" s="36" t="str">
        <f>IFERROR(VLOOKUP(I29,Mapped_Owner,2,0),"")</f>
        <v>Hudspeath</v>
      </c>
      <c r="O29" s="6">
        <f>VLOOKUP(D29,'Mapped Opponent'!$G$4:$H$22,2,0)</f>
        <v>17</v>
      </c>
      <c r="P29" s="6"/>
      <c r="Q29" s="6" t="str">
        <f t="shared" si="4"/>
        <v>Week 17</v>
      </c>
      <c r="R29" s="6" t="str">
        <f t="shared" si="5"/>
        <v>2011Round 3</v>
      </c>
      <c r="S29" s="6">
        <f>IFERROR(__xludf.DUMMYFUNCTION("rank(J29,FILTER(J:J,R:R=R29))"),6.0)</f>
        <v>6</v>
      </c>
      <c r="T29" s="6">
        <f t="shared" si="6"/>
        <v>6</v>
      </c>
      <c r="U29" s="6">
        <f t="shared" si="7"/>
        <v>6</v>
      </c>
      <c r="V29" s="42">
        <f>averageif(AllData!A:A,B29,AllData!R:R)/vlookup(B29,AllData!A:O,15,0)</f>
        <v>88.55128205</v>
      </c>
      <c r="W29" s="6"/>
    </row>
    <row r="30" ht="14.25" customHeight="1">
      <c r="A30" s="6" t="str">
        <f t="shared" si="1"/>
        <v>2011Guckien17</v>
      </c>
      <c r="B30" s="6">
        <v>2011.0</v>
      </c>
      <c r="C30" s="6" t="s">
        <v>159</v>
      </c>
      <c r="D30" s="6" t="s">
        <v>154</v>
      </c>
      <c r="E30" s="34">
        <v>42254.0</v>
      </c>
      <c r="F30" s="6" t="s">
        <v>309</v>
      </c>
      <c r="G30" s="6" t="s">
        <v>125</v>
      </c>
      <c r="H30" s="6" t="s">
        <v>310</v>
      </c>
      <c r="I30" s="35" t="s">
        <v>132</v>
      </c>
      <c r="J30" s="36">
        <v>74.7</v>
      </c>
      <c r="K30" s="36">
        <v>106.0</v>
      </c>
      <c r="L30" s="36">
        <f t="shared" si="2"/>
        <v>0</v>
      </c>
      <c r="M30" s="36" t="str">
        <f t="shared" si="3"/>
        <v>Playoffs</v>
      </c>
      <c r="N30" s="36" t="str">
        <f>IFERROR(VLOOKUP(I30,Mapped_Owner,2,0),"")</f>
        <v>KnardDawg</v>
      </c>
      <c r="O30" s="6">
        <f>VLOOKUP(D30,'Mapped Opponent'!$G$4:$H$22,2,0)</f>
        <v>17</v>
      </c>
      <c r="P30" s="6"/>
      <c r="Q30" s="6" t="str">
        <f t="shared" si="4"/>
        <v>Week 17</v>
      </c>
      <c r="R30" s="6" t="str">
        <f t="shared" si="5"/>
        <v>2011Round 3</v>
      </c>
      <c r="S30" s="6">
        <f>IFERROR(__xludf.DUMMYFUNCTION("rank(J30,FILTER(J:J,R:R=R30))"),9.0)</f>
        <v>9</v>
      </c>
      <c r="T30" s="6">
        <f t="shared" si="6"/>
        <v>3</v>
      </c>
      <c r="U30" s="6">
        <f t="shared" si="7"/>
        <v>9</v>
      </c>
      <c r="V30" s="42">
        <f>averageif(AllData!A:A,B30,AllData!R:R)/vlookup(B30,AllData!A:O,15,0)</f>
        <v>88.55128205</v>
      </c>
      <c r="W30" s="6"/>
    </row>
    <row r="31" ht="14.25" customHeight="1">
      <c r="A31" s="6" t="str">
        <f t="shared" si="1"/>
        <v>2011Rooney/Jackson17</v>
      </c>
      <c r="B31" s="6">
        <v>2011.0</v>
      </c>
      <c r="C31" s="6" t="s">
        <v>57</v>
      </c>
      <c r="D31" s="6" t="s">
        <v>154</v>
      </c>
      <c r="E31" s="34">
        <v>42194.0</v>
      </c>
      <c r="F31" s="6" t="s">
        <v>311</v>
      </c>
      <c r="G31" s="6" t="s">
        <v>125</v>
      </c>
      <c r="H31" s="6" t="s">
        <v>312</v>
      </c>
      <c r="I31" s="35" t="s">
        <v>80</v>
      </c>
      <c r="J31" s="36">
        <v>104.4</v>
      </c>
      <c r="K31" s="36">
        <v>53.4</v>
      </c>
      <c r="L31" s="36">
        <f t="shared" si="2"/>
        <v>1</v>
      </c>
      <c r="M31" s="36" t="str">
        <f t="shared" si="3"/>
        <v>Playoffs</v>
      </c>
      <c r="N31" s="36" t="str">
        <f>IFERROR(VLOOKUP(I31,Mapped_Owner,2,0),"")</f>
        <v>Fellows</v>
      </c>
      <c r="O31" s="6">
        <f>VLOOKUP(D31,'Mapped Opponent'!$G$4:$H$22,2,0)</f>
        <v>17</v>
      </c>
      <c r="P31" s="6"/>
      <c r="Q31" s="6" t="str">
        <f t="shared" si="4"/>
        <v>Week 17</v>
      </c>
      <c r="R31" s="6" t="str">
        <f t="shared" si="5"/>
        <v>2011Round 3</v>
      </c>
      <c r="S31" s="6">
        <f>IFERROR(__xludf.DUMMYFUNCTION("rank(J31,FILTER(J:J,R:R=R31))"),4.0)</f>
        <v>4</v>
      </c>
      <c r="T31" s="6">
        <f t="shared" si="6"/>
        <v>8</v>
      </c>
      <c r="U31" s="6">
        <f t="shared" si="7"/>
        <v>4</v>
      </c>
      <c r="V31" s="42">
        <f>averageif(AllData!A:A,B31,AllData!R:R)/vlookup(B31,AllData!A:O,15,0)</f>
        <v>88.55128205</v>
      </c>
      <c r="W31" s="6"/>
    </row>
    <row r="32" ht="14.25" customHeight="1">
      <c r="A32" s="6" t="str">
        <f t="shared" si="1"/>
        <v>2011Buser17</v>
      </c>
      <c r="B32" s="6">
        <v>2011.0</v>
      </c>
      <c r="C32" s="6" t="s">
        <v>47</v>
      </c>
      <c r="D32" s="6" t="s">
        <v>154</v>
      </c>
      <c r="E32" s="34">
        <v>42312.0</v>
      </c>
      <c r="F32" s="6" t="s">
        <v>317</v>
      </c>
      <c r="G32" s="6" t="s">
        <v>125</v>
      </c>
      <c r="H32" s="6" t="s">
        <v>318</v>
      </c>
      <c r="I32" s="35" t="s">
        <v>85</v>
      </c>
      <c r="J32" s="36">
        <v>105.3</v>
      </c>
      <c r="K32" s="36">
        <v>71.9</v>
      </c>
      <c r="L32" s="36">
        <f t="shared" si="2"/>
        <v>1</v>
      </c>
      <c r="M32" s="36" t="str">
        <f t="shared" si="3"/>
        <v>Playoffs</v>
      </c>
      <c r="N32" s="36" t="str">
        <f>IFERROR(VLOOKUP(I32,Mapped_Owner,2,0),"")</f>
        <v>T-How</v>
      </c>
      <c r="O32" s="6">
        <f>VLOOKUP(D32,'Mapped Opponent'!$G$4:$H$22,2,0)</f>
        <v>17</v>
      </c>
      <c r="P32" s="6"/>
      <c r="Q32" s="6" t="str">
        <f t="shared" si="4"/>
        <v>Week 17</v>
      </c>
      <c r="R32" s="6" t="str">
        <f t="shared" si="5"/>
        <v>2011Round 3</v>
      </c>
      <c r="S32" s="6">
        <f>IFERROR(__xludf.DUMMYFUNCTION("rank(J32,FILTER(J:J,R:R=R32))"),3.0)</f>
        <v>3</v>
      </c>
      <c r="T32" s="6">
        <f t="shared" si="6"/>
        <v>9</v>
      </c>
      <c r="U32" s="6">
        <f t="shared" si="7"/>
        <v>3</v>
      </c>
      <c r="V32" s="42">
        <f>averageif(AllData!A:A,B32,AllData!R:R)/vlookup(B32,AllData!A:O,15,0)</f>
        <v>88.55128205</v>
      </c>
      <c r="W32" s="6"/>
    </row>
    <row r="33" ht="14.25" customHeight="1">
      <c r="A33" s="6" t="str">
        <f t="shared" si="1"/>
        <v>2011Pierson17</v>
      </c>
      <c r="B33" s="6">
        <v>2011.0</v>
      </c>
      <c r="C33" s="6" t="s">
        <v>92</v>
      </c>
      <c r="D33" s="6" t="s">
        <v>154</v>
      </c>
      <c r="E33" s="34">
        <v>42282.0</v>
      </c>
      <c r="F33" s="6" t="s">
        <v>322</v>
      </c>
      <c r="G33" s="6" t="s">
        <v>125</v>
      </c>
      <c r="H33" s="6" t="s">
        <v>323</v>
      </c>
      <c r="I33" s="35" t="s">
        <v>77</v>
      </c>
      <c r="J33" s="36">
        <v>103.0</v>
      </c>
      <c r="K33" s="36">
        <v>76.6</v>
      </c>
      <c r="L33" s="36">
        <f t="shared" si="2"/>
        <v>1</v>
      </c>
      <c r="M33" s="36" t="str">
        <f t="shared" si="3"/>
        <v>Playoffs</v>
      </c>
      <c r="N33" s="36" t="str">
        <f>IFERROR(VLOOKUP(I33,Mapped_Owner,2,0),"")</f>
        <v>Salty</v>
      </c>
      <c r="O33" s="6">
        <f>VLOOKUP(D33,'Mapped Opponent'!$G$4:$H$22,2,0)</f>
        <v>17</v>
      </c>
      <c r="P33" s="6"/>
      <c r="Q33" s="6" t="str">
        <f t="shared" si="4"/>
        <v>Week 17</v>
      </c>
      <c r="R33" s="6" t="str">
        <f t="shared" si="5"/>
        <v>2011Round 3</v>
      </c>
      <c r="S33" s="6">
        <f>IFERROR(__xludf.DUMMYFUNCTION("rank(J33,FILTER(J:J,R:R=R33))"),5.0)</f>
        <v>5</v>
      </c>
      <c r="T33" s="6">
        <f t="shared" si="6"/>
        <v>7</v>
      </c>
      <c r="U33" s="6">
        <f t="shared" si="7"/>
        <v>5</v>
      </c>
      <c r="V33" s="42">
        <f>averageif(AllData!A:A,B33,AllData!R:R)/vlookup(B33,AllData!A:O,15,0)</f>
        <v>88.55128205</v>
      </c>
      <c r="W33" s="6"/>
    </row>
    <row r="34" ht="14.25" customHeight="1">
      <c r="A34" s="6" t="str">
        <f t="shared" si="1"/>
        <v>2011Cock17</v>
      </c>
      <c r="B34" s="6">
        <v>2011.0</v>
      </c>
      <c r="C34" s="6" t="s">
        <v>72</v>
      </c>
      <c r="D34" s="6" t="s">
        <v>154</v>
      </c>
      <c r="E34" s="34">
        <v>42135.0</v>
      </c>
      <c r="F34" s="6" t="s">
        <v>326</v>
      </c>
      <c r="G34" s="6" t="s">
        <v>125</v>
      </c>
      <c r="H34" s="6" t="s">
        <v>327</v>
      </c>
      <c r="I34" s="35" t="s">
        <v>54</v>
      </c>
      <c r="J34" s="36">
        <v>44.6</v>
      </c>
      <c r="K34" s="36">
        <v>80.1</v>
      </c>
      <c r="L34" s="36">
        <f t="shared" si="2"/>
        <v>0</v>
      </c>
      <c r="M34" s="36" t="str">
        <f t="shared" si="3"/>
        <v>Playoffs</v>
      </c>
      <c r="N34" s="36" t="str">
        <f>IFERROR(VLOOKUP(I34,Mapped_Owner,2,0),"")</f>
        <v>Tayski</v>
      </c>
      <c r="O34" s="6">
        <f>VLOOKUP(D34,'Mapped Opponent'!$G$4:$H$22,2,0)</f>
        <v>17</v>
      </c>
      <c r="P34" s="6"/>
      <c r="Q34" s="6" t="str">
        <f t="shared" si="4"/>
        <v>Week 17</v>
      </c>
      <c r="R34" s="6" t="str">
        <f t="shared" si="5"/>
        <v>2011Round 3</v>
      </c>
      <c r="S34" s="6">
        <f>IFERROR(__xludf.DUMMYFUNCTION("rank(J34,FILTER(J:J,R:R=R34))"),12.0)</f>
        <v>12</v>
      </c>
      <c r="T34" s="6">
        <f t="shared" si="6"/>
        <v>0</v>
      </c>
      <c r="U34" s="6">
        <f t="shared" si="7"/>
        <v>12</v>
      </c>
      <c r="V34" s="42">
        <f>averageif(AllData!A:A,B34,AllData!R:R)/vlookup(B34,AllData!A:O,15,0)</f>
        <v>88.55128205</v>
      </c>
      <c r="W34" s="6"/>
    </row>
    <row r="35" ht="14.25" customHeight="1">
      <c r="A35" s="6" t="str">
        <f t="shared" si="1"/>
        <v>2011Tayski17</v>
      </c>
      <c r="B35" s="6">
        <v>2011.0</v>
      </c>
      <c r="C35" s="6" t="s">
        <v>52</v>
      </c>
      <c r="D35" s="6" t="s">
        <v>154</v>
      </c>
      <c r="E35" s="34">
        <v>42135.0</v>
      </c>
      <c r="F35" s="6" t="s">
        <v>328</v>
      </c>
      <c r="G35" s="6" t="s">
        <v>114</v>
      </c>
      <c r="H35" s="6" t="s">
        <v>329</v>
      </c>
      <c r="I35" s="35" t="s">
        <v>99</v>
      </c>
      <c r="J35" s="36">
        <v>80.1</v>
      </c>
      <c r="K35" s="36">
        <v>44.6</v>
      </c>
      <c r="L35" s="36">
        <f t="shared" si="2"/>
        <v>1</v>
      </c>
      <c r="M35" s="36" t="str">
        <f t="shared" si="3"/>
        <v>Playoffs</v>
      </c>
      <c r="N35" s="36" t="str">
        <f>IFERROR(VLOOKUP(I35,Mapped_Owner,2,0),"")</f>
        <v>Cock</v>
      </c>
      <c r="O35" s="6">
        <f>VLOOKUP(D35,'Mapped Opponent'!$G$4:$H$22,2,0)</f>
        <v>17</v>
      </c>
      <c r="P35" s="6"/>
      <c r="Q35" s="6" t="str">
        <f t="shared" si="4"/>
        <v>Week 17</v>
      </c>
      <c r="R35" s="6" t="str">
        <f t="shared" si="5"/>
        <v>2011Round 3</v>
      </c>
      <c r="S35" s="6">
        <f>IFERROR(__xludf.DUMMYFUNCTION("rank(J35,FILTER(J:J,R:R=R35))"),7.0)</f>
        <v>7</v>
      </c>
      <c r="T35" s="6">
        <f t="shared" si="6"/>
        <v>5</v>
      </c>
      <c r="U35" s="6">
        <f t="shared" si="7"/>
        <v>7</v>
      </c>
      <c r="V35" s="42">
        <f>averageif(AllData!A:A,B35,AllData!R:R)/vlookup(B35,AllData!A:O,15,0)</f>
        <v>88.55128205</v>
      </c>
      <c r="W35" s="6"/>
    </row>
    <row r="36" ht="14.25" customHeight="1">
      <c r="A36" s="6" t="str">
        <f t="shared" si="1"/>
        <v>2011KnardDawg17</v>
      </c>
      <c r="B36" s="6">
        <v>2011.0</v>
      </c>
      <c r="C36" s="6" t="s">
        <v>86</v>
      </c>
      <c r="D36" s="6" t="s">
        <v>154</v>
      </c>
      <c r="E36" s="34">
        <v>42224.0</v>
      </c>
      <c r="F36" s="6" t="s">
        <v>334</v>
      </c>
      <c r="G36" s="6" t="s">
        <v>114</v>
      </c>
      <c r="H36" s="6" t="s">
        <v>335</v>
      </c>
      <c r="I36" s="35" t="s">
        <v>158</v>
      </c>
      <c r="J36" s="36">
        <v>106.0</v>
      </c>
      <c r="K36" s="36">
        <v>74.7</v>
      </c>
      <c r="L36" s="36">
        <f t="shared" si="2"/>
        <v>1</v>
      </c>
      <c r="M36" s="36" t="str">
        <f t="shared" si="3"/>
        <v>Playoffs</v>
      </c>
      <c r="N36" s="36" t="str">
        <f>IFERROR(VLOOKUP(I36,Mapped_Owner,2,0),"")</f>
        <v>Guckien</v>
      </c>
      <c r="O36" s="6">
        <f>VLOOKUP(D36,'Mapped Opponent'!$G$4:$H$22,2,0)</f>
        <v>17</v>
      </c>
      <c r="P36" s="6"/>
      <c r="Q36" s="6" t="str">
        <f t="shared" si="4"/>
        <v>Week 17</v>
      </c>
      <c r="R36" s="6" t="str">
        <f t="shared" si="5"/>
        <v>2011Round 3</v>
      </c>
      <c r="S36" s="6">
        <f>IFERROR(__xludf.DUMMYFUNCTION("rank(J36,FILTER(J:J,R:R=R36))"),2.0)</f>
        <v>2</v>
      </c>
      <c r="T36" s="6">
        <f t="shared" si="6"/>
        <v>10</v>
      </c>
      <c r="U36" s="6">
        <f t="shared" si="7"/>
        <v>2</v>
      </c>
      <c r="V36" s="42">
        <f>averageif(AllData!A:A,B36,AllData!R:R)/vlookup(B36,AllData!A:O,15,0)</f>
        <v>88.55128205</v>
      </c>
      <c r="W36" s="6"/>
    </row>
    <row r="37" ht="14.25" customHeight="1">
      <c r="A37" s="6" t="str">
        <f t="shared" si="1"/>
        <v>2011T-How17</v>
      </c>
      <c r="B37" s="6">
        <v>2011.0</v>
      </c>
      <c r="C37" s="6" t="s">
        <v>82</v>
      </c>
      <c r="D37" s="6" t="s">
        <v>154</v>
      </c>
      <c r="E37" s="34">
        <v>42283.0</v>
      </c>
      <c r="F37" s="6" t="s">
        <v>343</v>
      </c>
      <c r="G37" s="6" t="s">
        <v>114</v>
      </c>
      <c r="H37" s="6" t="s">
        <v>344</v>
      </c>
      <c r="I37" s="35" t="s">
        <v>50</v>
      </c>
      <c r="J37" s="36">
        <v>71.9</v>
      </c>
      <c r="K37" s="36">
        <v>105.3</v>
      </c>
      <c r="L37" s="36">
        <f t="shared" si="2"/>
        <v>0</v>
      </c>
      <c r="M37" s="36" t="str">
        <f t="shared" si="3"/>
        <v>Playoffs</v>
      </c>
      <c r="N37" s="36" t="str">
        <f>IFERROR(VLOOKUP(I37,Mapped_Owner,2,0),"")</f>
        <v>Buser</v>
      </c>
      <c r="O37" s="6">
        <f>VLOOKUP(D37,'Mapped Opponent'!$G$4:$H$22,2,0)</f>
        <v>17</v>
      </c>
      <c r="P37" s="6"/>
      <c r="Q37" s="6" t="str">
        <f t="shared" si="4"/>
        <v>Week 17</v>
      </c>
      <c r="R37" s="6" t="str">
        <f t="shared" si="5"/>
        <v>2011Round 3</v>
      </c>
      <c r="S37" s="6">
        <f>IFERROR(__xludf.DUMMYFUNCTION("rank(J37,FILTER(J:J,R:R=R37))"),10.0)</f>
        <v>10</v>
      </c>
      <c r="T37" s="6">
        <f t="shared" si="6"/>
        <v>2</v>
      </c>
      <c r="U37" s="6">
        <f t="shared" si="7"/>
        <v>10</v>
      </c>
      <c r="V37" s="42">
        <f>averageif(AllData!A:A,B37,AllData!R:R)/vlookup(B37,AllData!A:O,15,0)</f>
        <v>88.55128205</v>
      </c>
      <c r="W37" s="6"/>
    </row>
    <row r="38" ht="14.25" customHeight="1">
      <c r="A38" s="6" t="str">
        <f t="shared" si="1"/>
        <v>2011Hudspeath1</v>
      </c>
      <c r="B38" s="6">
        <v>2011.0</v>
      </c>
      <c r="C38" s="6" t="s">
        <v>39</v>
      </c>
      <c r="D38" s="6" t="s">
        <v>129</v>
      </c>
      <c r="E38" s="34">
        <v>36526.0</v>
      </c>
      <c r="F38" s="6" t="s">
        <v>348</v>
      </c>
      <c r="G38" s="6" t="s">
        <v>114</v>
      </c>
      <c r="H38" s="6" t="s">
        <v>349</v>
      </c>
      <c r="I38" s="35" t="s">
        <v>157</v>
      </c>
      <c r="J38" s="36">
        <v>97.4</v>
      </c>
      <c r="K38" s="36">
        <v>74.8</v>
      </c>
      <c r="L38" s="36">
        <f t="shared" si="2"/>
        <v>1</v>
      </c>
      <c r="M38" s="36" t="str">
        <f t="shared" si="3"/>
        <v>Regular Season</v>
      </c>
      <c r="N38" s="36" t="str">
        <f>IFERROR(VLOOKUP(I38,Mapped_Owner,2,0),"")</f>
        <v>Rooney/Jackson</v>
      </c>
      <c r="O38" s="6">
        <f>VLOOKUP(D38,'Mapped Opponent'!$G$4:$H$22,2,0)</f>
        <v>1</v>
      </c>
      <c r="P38" s="6"/>
      <c r="Q38" s="6" t="str">
        <f t="shared" si="4"/>
        <v>Week 1</v>
      </c>
      <c r="R38" s="6" t="str">
        <f t="shared" si="5"/>
        <v>2011Week 1</v>
      </c>
      <c r="S38" s="6">
        <f>IFERROR(__xludf.DUMMYFUNCTION("rank(J38,FILTER(J:J,R:R=R38))"),5.0)</f>
        <v>5</v>
      </c>
      <c r="T38" s="6">
        <f t="shared" si="6"/>
        <v>7</v>
      </c>
      <c r="U38" s="6">
        <f t="shared" si="7"/>
        <v>5</v>
      </c>
      <c r="V38" s="42">
        <f>averageif(AllData!A:A,B38,AllData!R:R)/vlookup(B38,AllData!A:O,15,0)</f>
        <v>88.55128205</v>
      </c>
      <c r="W38" s="6"/>
    </row>
    <row r="39" ht="14.25" customHeight="1">
      <c r="A39" s="6" t="str">
        <f t="shared" si="1"/>
        <v>2011Salty1</v>
      </c>
      <c r="B39" s="6">
        <v>2011.0</v>
      </c>
      <c r="C39" s="6" t="s">
        <v>76</v>
      </c>
      <c r="D39" s="6" t="s">
        <v>129</v>
      </c>
      <c r="E39" s="34">
        <v>36526.0</v>
      </c>
      <c r="F39" s="6" t="s">
        <v>354</v>
      </c>
      <c r="G39" s="6" t="s">
        <v>114</v>
      </c>
      <c r="H39" s="6" t="s">
        <v>355</v>
      </c>
      <c r="I39" s="35" t="s">
        <v>80</v>
      </c>
      <c r="J39" s="36">
        <v>111.9</v>
      </c>
      <c r="K39" s="36">
        <v>82.8</v>
      </c>
      <c r="L39" s="36">
        <f t="shared" si="2"/>
        <v>1</v>
      </c>
      <c r="M39" s="36" t="str">
        <f t="shared" si="3"/>
        <v>Regular Season</v>
      </c>
      <c r="N39" s="36" t="str">
        <f>IFERROR(VLOOKUP(I39,Mapped_Owner,2,0),"")</f>
        <v>Fellows</v>
      </c>
      <c r="O39" s="6">
        <f>VLOOKUP(D39,'Mapped Opponent'!$G$4:$H$22,2,0)</f>
        <v>1</v>
      </c>
      <c r="P39" s="39"/>
      <c r="Q39" s="6" t="str">
        <f t="shared" si="4"/>
        <v>Week 1</v>
      </c>
      <c r="R39" s="6" t="str">
        <f t="shared" si="5"/>
        <v>2011Week 1</v>
      </c>
      <c r="S39" s="6">
        <f>IFERROR(__xludf.DUMMYFUNCTION("rank(J39,FILTER(J:J,R:R=R39))"),2.0)</f>
        <v>2</v>
      </c>
      <c r="T39" s="6">
        <f t="shared" si="6"/>
        <v>10</v>
      </c>
      <c r="U39" s="6">
        <f t="shared" si="7"/>
        <v>2</v>
      </c>
      <c r="V39" s="42">
        <f>averageif(AllData!A:A,B39,AllData!R:R)/vlookup(B39,AllData!A:O,15,0)</f>
        <v>88.55128205</v>
      </c>
      <c r="W39" s="6"/>
    </row>
    <row r="40" ht="14.25" customHeight="1">
      <c r="A40" s="6" t="str">
        <f t="shared" si="1"/>
        <v>2011Fellows1</v>
      </c>
      <c r="B40" s="6">
        <v>2011.0</v>
      </c>
      <c r="C40" s="6" t="s">
        <v>79</v>
      </c>
      <c r="D40" s="6" t="s">
        <v>129</v>
      </c>
      <c r="E40" s="34" t="s">
        <v>359</v>
      </c>
      <c r="F40" s="6" t="s">
        <v>360</v>
      </c>
      <c r="G40" s="6" t="s">
        <v>125</v>
      </c>
      <c r="H40" s="6" t="s">
        <v>361</v>
      </c>
      <c r="I40" s="35" t="s">
        <v>77</v>
      </c>
      <c r="J40" s="36">
        <v>82.8</v>
      </c>
      <c r="K40" s="36">
        <v>111.9</v>
      </c>
      <c r="L40" s="36">
        <f t="shared" si="2"/>
        <v>0</v>
      </c>
      <c r="M40" s="36" t="str">
        <f t="shared" si="3"/>
        <v>Regular Season</v>
      </c>
      <c r="N40" s="36" t="str">
        <f>IFERROR(VLOOKUP(I40,Mapped_Owner,2,0),"")</f>
        <v>Salty</v>
      </c>
      <c r="O40" s="6">
        <f>VLOOKUP(D40,'Mapped Opponent'!$G$4:$H$22,2,0)</f>
        <v>1</v>
      </c>
      <c r="P40" s="6"/>
      <c r="Q40" s="6" t="str">
        <f t="shared" si="4"/>
        <v>Week 1</v>
      </c>
      <c r="R40" s="6" t="str">
        <f t="shared" si="5"/>
        <v>2011Week 1</v>
      </c>
      <c r="S40" s="6">
        <f>IFERROR(__xludf.DUMMYFUNCTION("rank(J40,FILTER(J:J,R:R=R40))"),8.0)</f>
        <v>8</v>
      </c>
      <c r="T40" s="6">
        <f t="shared" si="6"/>
        <v>4</v>
      </c>
      <c r="U40" s="6">
        <f t="shared" si="7"/>
        <v>8</v>
      </c>
      <c r="V40" s="42">
        <f>averageif(AllData!A:A,B40,AllData!R:R)/vlookup(B40,AllData!A:O,15,0)</f>
        <v>88.55128205</v>
      </c>
      <c r="W40" s="6"/>
    </row>
    <row r="41" ht="14.25" customHeight="1">
      <c r="A41" s="6" t="str">
        <f t="shared" si="1"/>
        <v>2011Shep1</v>
      </c>
      <c r="B41" s="6">
        <v>2011.0</v>
      </c>
      <c r="C41" s="6" t="s">
        <v>89</v>
      </c>
      <c r="D41" s="6" t="s">
        <v>129</v>
      </c>
      <c r="E41" s="34" t="s">
        <v>359</v>
      </c>
      <c r="F41" s="6" t="s">
        <v>365</v>
      </c>
      <c r="G41" s="6" t="s">
        <v>114</v>
      </c>
      <c r="H41" s="6" t="s">
        <v>366</v>
      </c>
      <c r="I41" s="35" t="s">
        <v>158</v>
      </c>
      <c r="J41" s="36">
        <v>102.1</v>
      </c>
      <c r="K41" s="36">
        <v>105.5</v>
      </c>
      <c r="L41" s="36">
        <f t="shared" si="2"/>
        <v>0</v>
      </c>
      <c r="M41" s="36" t="str">
        <f t="shared" si="3"/>
        <v>Regular Season</v>
      </c>
      <c r="N41" s="36" t="str">
        <f>IFERROR(VLOOKUP(I41,Mapped_Owner,2,0),"")</f>
        <v>Guckien</v>
      </c>
      <c r="O41" s="6">
        <f>VLOOKUP(D41,'Mapped Opponent'!$G$4:$H$22,2,0)</f>
        <v>1</v>
      </c>
      <c r="P41" s="6"/>
      <c r="Q41" s="6" t="str">
        <f t="shared" si="4"/>
        <v>Week 1</v>
      </c>
      <c r="R41" s="6" t="str">
        <f t="shared" si="5"/>
        <v>2011Week 1</v>
      </c>
      <c r="S41" s="6">
        <f>IFERROR(__xludf.DUMMYFUNCTION("rank(J41,FILTER(J:J,R:R=R41))"),4.0)</f>
        <v>4</v>
      </c>
      <c r="T41" s="6">
        <f t="shared" si="6"/>
        <v>8</v>
      </c>
      <c r="U41" s="6">
        <f t="shared" si="7"/>
        <v>4</v>
      </c>
      <c r="V41" s="42">
        <f>averageif(AllData!A:A,B41,AllData!R:R)/vlookup(B41,AllData!A:O,15,0)</f>
        <v>88.55128205</v>
      </c>
      <c r="W41" s="6"/>
    </row>
    <row r="42" ht="14.25" customHeight="1">
      <c r="A42" s="6" t="str">
        <f t="shared" si="1"/>
        <v>2011Guckien1</v>
      </c>
      <c r="B42" s="6">
        <v>2011.0</v>
      </c>
      <c r="C42" s="6" t="s">
        <v>159</v>
      </c>
      <c r="D42" s="6" t="s">
        <v>129</v>
      </c>
      <c r="E42" s="34">
        <v>36526.0</v>
      </c>
      <c r="F42" s="6" t="s">
        <v>368</v>
      </c>
      <c r="G42" s="6" t="s">
        <v>125</v>
      </c>
      <c r="H42" s="6" t="s">
        <v>369</v>
      </c>
      <c r="I42" s="35" t="s">
        <v>91</v>
      </c>
      <c r="J42" s="36">
        <v>105.5</v>
      </c>
      <c r="K42" s="36">
        <v>102.1</v>
      </c>
      <c r="L42" s="36">
        <f t="shared" si="2"/>
        <v>1</v>
      </c>
      <c r="M42" s="36" t="str">
        <f t="shared" si="3"/>
        <v>Regular Season</v>
      </c>
      <c r="N42" s="36" t="str">
        <f>IFERROR(VLOOKUP(I42,Mapped_Owner,2,0),"")</f>
        <v>Shep</v>
      </c>
      <c r="O42" s="6">
        <f>VLOOKUP(D42,'Mapped Opponent'!$G$4:$H$22,2,0)</f>
        <v>1</v>
      </c>
      <c r="P42" s="6"/>
      <c r="Q42" s="6" t="str">
        <f t="shared" si="4"/>
        <v>Week 1</v>
      </c>
      <c r="R42" s="6" t="str">
        <f t="shared" si="5"/>
        <v>2011Week 1</v>
      </c>
      <c r="S42" s="6">
        <f>IFERROR(__xludf.DUMMYFUNCTION("rank(J42,FILTER(J:J,R:R=R42))"),3.0)</f>
        <v>3</v>
      </c>
      <c r="T42" s="6">
        <f t="shared" si="6"/>
        <v>9</v>
      </c>
      <c r="U42" s="6">
        <f t="shared" si="7"/>
        <v>3</v>
      </c>
      <c r="V42" s="42">
        <f>averageif(AllData!A:A,B42,AllData!R:R)/vlookup(B42,AllData!A:O,15,0)</f>
        <v>88.55128205</v>
      </c>
      <c r="W42" s="6"/>
    </row>
    <row r="43" ht="14.25" customHeight="1">
      <c r="A43" s="6" t="str">
        <f t="shared" si="1"/>
        <v>2011Rooney/Jackson1</v>
      </c>
      <c r="B43" s="6">
        <v>2011.0</v>
      </c>
      <c r="C43" s="6" t="s">
        <v>57</v>
      </c>
      <c r="D43" s="6" t="s">
        <v>129</v>
      </c>
      <c r="E43" s="34" t="s">
        <v>359</v>
      </c>
      <c r="F43" s="6" t="s">
        <v>372</v>
      </c>
      <c r="G43" s="6" t="s">
        <v>125</v>
      </c>
      <c r="H43" s="6" t="s">
        <v>373</v>
      </c>
      <c r="I43" s="35" t="s">
        <v>64</v>
      </c>
      <c r="J43" s="36">
        <v>74.8</v>
      </c>
      <c r="K43" s="36">
        <v>97.4</v>
      </c>
      <c r="L43" s="36">
        <f t="shared" si="2"/>
        <v>0</v>
      </c>
      <c r="M43" s="36" t="str">
        <f t="shared" si="3"/>
        <v>Regular Season</v>
      </c>
      <c r="N43" s="36" t="str">
        <f>IFERROR(VLOOKUP(I43,Mapped_Owner,2,0),"")</f>
        <v>Hudspeath</v>
      </c>
      <c r="O43" s="6">
        <f>VLOOKUP(D43,'Mapped Opponent'!$G$4:$H$22,2,0)</f>
        <v>1</v>
      </c>
      <c r="P43" s="6"/>
      <c r="Q43" s="6" t="str">
        <f t="shared" si="4"/>
        <v>Week 1</v>
      </c>
      <c r="R43" s="6" t="str">
        <f t="shared" si="5"/>
        <v>2011Week 1</v>
      </c>
      <c r="S43" s="6">
        <f>IFERROR(__xludf.DUMMYFUNCTION("rank(J43,FILTER(J:J,R:R=R43))"),10.0)</f>
        <v>10</v>
      </c>
      <c r="T43" s="6">
        <f t="shared" si="6"/>
        <v>2</v>
      </c>
      <c r="U43" s="6">
        <f t="shared" si="7"/>
        <v>10</v>
      </c>
      <c r="V43" s="42">
        <f>averageif(AllData!A:A,B43,AllData!R:R)/vlookup(B43,AllData!A:O,15,0)</f>
        <v>88.55128205</v>
      </c>
      <c r="W43" s="6"/>
    </row>
    <row r="44" ht="14.25" customHeight="1">
      <c r="A44" s="6" t="str">
        <f t="shared" si="1"/>
        <v>2011Buser1</v>
      </c>
      <c r="B44" s="6">
        <v>2011.0</v>
      </c>
      <c r="C44" s="6" t="s">
        <v>47</v>
      </c>
      <c r="D44" s="6" t="s">
        <v>129</v>
      </c>
      <c r="E44" s="34" t="s">
        <v>359</v>
      </c>
      <c r="F44" s="6" t="s">
        <v>376</v>
      </c>
      <c r="G44" s="6" t="s">
        <v>114</v>
      </c>
      <c r="H44" s="6" t="s">
        <v>377</v>
      </c>
      <c r="I44" s="35" t="s">
        <v>93</v>
      </c>
      <c r="J44" s="36">
        <v>56.8</v>
      </c>
      <c r="K44" s="36">
        <v>86.8</v>
      </c>
      <c r="L44" s="36">
        <f t="shared" si="2"/>
        <v>0</v>
      </c>
      <c r="M44" s="36" t="str">
        <f t="shared" si="3"/>
        <v>Regular Season</v>
      </c>
      <c r="N44" s="36" t="str">
        <f>IFERROR(VLOOKUP(I44,Mapped_Owner,2,0),"")</f>
        <v>Pierson</v>
      </c>
      <c r="O44" s="6">
        <f>VLOOKUP(D44,'Mapped Opponent'!$G$4:$H$22,2,0)</f>
        <v>1</v>
      </c>
      <c r="P44" s="6"/>
      <c r="Q44" s="6" t="str">
        <f t="shared" si="4"/>
        <v>Week 1</v>
      </c>
      <c r="R44" s="6" t="str">
        <f t="shared" si="5"/>
        <v>2011Week 1</v>
      </c>
      <c r="S44" s="6">
        <f>IFERROR(__xludf.DUMMYFUNCTION("rank(J44,FILTER(J:J,R:R=R44))"),11.0)</f>
        <v>11</v>
      </c>
      <c r="T44" s="6">
        <f t="shared" si="6"/>
        <v>1</v>
      </c>
      <c r="U44" s="6">
        <f t="shared" si="7"/>
        <v>11</v>
      </c>
      <c r="V44" s="42">
        <f>averageif(AllData!A:A,B44,AllData!R:R)/vlookup(B44,AllData!A:O,15,0)</f>
        <v>88.55128205</v>
      </c>
      <c r="W44" s="6"/>
    </row>
    <row r="45" ht="14.25" customHeight="1">
      <c r="A45" s="6" t="str">
        <f t="shared" si="1"/>
        <v>2011Pierson1</v>
      </c>
      <c r="B45" s="6">
        <v>2011.0</v>
      </c>
      <c r="C45" s="6" t="s">
        <v>92</v>
      </c>
      <c r="D45" s="6" t="s">
        <v>129</v>
      </c>
      <c r="E45" s="34">
        <v>36526.0</v>
      </c>
      <c r="F45" s="6" t="s">
        <v>378</v>
      </c>
      <c r="G45" s="6" t="s">
        <v>125</v>
      </c>
      <c r="H45" s="6" t="s">
        <v>379</v>
      </c>
      <c r="I45" s="35" t="s">
        <v>50</v>
      </c>
      <c r="J45" s="36">
        <v>86.8</v>
      </c>
      <c r="K45" s="36">
        <v>56.8</v>
      </c>
      <c r="L45" s="36">
        <f t="shared" si="2"/>
        <v>1</v>
      </c>
      <c r="M45" s="36" t="str">
        <f t="shared" si="3"/>
        <v>Regular Season</v>
      </c>
      <c r="N45" s="36" t="str">
        <f>IFERROR(VLOOKUP(I45,Mapped_Owner,2,0),"")</f>
        <v>Buser</v>
      </c>
      <c r="O45" s="6">
        <f>VLOOKUP(D45,'Mapped Opponent'!$G$4:$H$22,2,0)</f>
        <v>1</v>
      </c>
      <c r="P45" s="6"/>
      <c r="Q45" s="6" t="str">
        <f t="shared" si="4"/>
        <v>Week 1</v>
      </c>
      <c r="R45" s="6" t="str">
        <f t="shared" si="5"/>
        <v>2011Week 1</v>
      </c>
      <c r="S45" s="6">
        <f>IFERROR(__xludf.DUMMYFUNCTION("rank(J45,FILTER(J:J,R:R=R45))"),7.0)</f>
        <v>7</v>
      </c>
      <c r="T45" s="6">
        <f t="shared" si="6"/>
        <v>5</v>
      </c>
      <c r="U45" s="6">
        <f t="shared" si="7"/>
        <v>7</v>
      </c>
      <c r="V45" s="42">
        <f>averageif(AllData!A:A,B45,AllData!R:R)/vlookup(B45,AllData!A:O,15,0)</f>
        <v>88.55128205</v>
      </c>
      <c r="W45" s="6"/>
    </row>
    <row r="46" ht="14.25" customHeight="1">
      <c r="A46" s="6" t="str">
        <f t="shared" si="1"/>
        <v>2011Cock1</v>
      </c>
      <c r="B46" s="6">
        <v>2011.0</v>
      </c>
      <c r="C46" s="6" t="s">
        <v>72</v>
      </c>
      <c r="D46" s="6" t="s">
        <v>129</v>
      </c>
      <c r="E46" s="34" t="s">
        <v>359</v>
      </c>
      <c r="F46" s="6" t="s">
        <v>382</v>
      </c>
      <c r="G46" s="6" t="s">
        <v>114</v>
      </c>
      <c r="H46" s="6" t="s">
        <v>383</v>
      </c>
      <c r="I46" s="35" t="s">
        <v>85</v>
      </c>
      <c r="J46" s="36">
        <v>79.8</v>
      </c>
      <c r="K46" s="36">
        <v>91.8</v>
      </c>
      <c r="L46" s="36">
        <f t="shared" si="2"/>
        <v>0</v>
      </c>
      <c r="M46" s="36" t="str">
        <f t="shared" si="3"/>
        <v>Regular Season</v>
      </c>
      <c r="N46" s="36" t="str">
        <f>IFERROR(VLOOKUP(I46,Mapped_Owner,2,0),"")</f>
        <v>T-How</v>
      </c>
      <c r="O46" s="6">
        <f>VLOOKUP(D46,'Mapped Opponent'!$G$4:$H$22,2,0)</f>
        <v>1</v>
      </c>
      <c r="P46" s="6"/>
      <c r="Q46" s="6" t="str">
        <f t="shared" si="4"/>
        <v>Week 1</v>
      </c>
      <c r="R46" s="6" t="str">
        <f t="shared" si="5"/>
        <v>2011Week 1</v>
      </c>
      <c r="S46" s="6">
        <f>IFERROR(__xludf.DUMMYFUNCTION("rank(J46,FILTER(J:J,R:R=R46))"),9.0)</f>
        <v>9</v>
      </c>
      <c r="T46" s="6">
        <f t="shared" si="6"/>
        <v>3</v>
      </c>
      <c r="U46" s="6">
        <f t="shared" si="7"/>
        <v>9</v>
      </c>
      <c r="V46" s="42">
        <f>averageif(AllData!A:A,B46,AllData!R:R)/vlookup(B46,AllData!A:O,15,0)</f>
        <v>88.55128205</v>
      </c>
      <c r="W46" s="6"/>
    </row>
    <row r="47" ht="14.25" customHeight="1">
      <c r="A47" s="6" t="str">
        <f t="shared" si="1"/>
        <v>2011Tayski1</v>
      </c>
      <c r="B47" s="6">
        <v>2011.0</v>
      </c>
      <c r="C47" s="6" t="s">
        <v>52</v>
      </c>
      <c r="D47" s="6" t="s">
        <v>129</v>
      </c>
      <c r="E47" s="34" t="s">
        <v>359</v>
      </c>
      <c r="F47" s="6" t="s">
        <v>385</v>
      </c>
      <c r="G47" s="6" t="s">
        <v>114</v>
      </c>
      <c r="H47" s="6" t="s">
        <v>386</v>
      </c>
      <c r="I47" s="35" t="s">
        <v>132</v>
      </c>
      <c r="J47" s="36">
        <v>56.4</v>
      </c>
      <c r="K47" s="36">
        <v>131.3</v>
      </c>
      <c r="L47" s="36">
        <f t="shared" si="2"/>
        <v>0</v>
      </c>
      <c r="M47" s="36" t="str">
        <f t="shared" si="3"/>
        <v>Regular Season</v>
      </c>
      <c r="N47" s="36" t="str">
        <f>IFERROR(VLOOKUP(I47,Mapped_Owner,2,0),"")</f>
        <v>KnardDawg</v>
      </c>
      <c r="O47" s="6">
        <f>VLOOKUP(D47,'Mapped Opponent'!$G$4:$H$22,2,0)</f>
        <v>1</v>
      </c>
      <c r="P47" s="6"/>
      <c r="Q47" s="6" t="str">
        <f t="shared" si="4"/>
        <v>Week 1</v>
      </c>
      <c r="R47" s="6" t="str">
        <f t="shared" si="5"/>
        <v>2011Week 1</v>
      </c>
      <c r="S47" s="6">
        <f>IFERROR(__xludf.DUMMYFUNCTION("rank(J47,FILTER(J:J,R:R=R47))"),12.0)</f>
        <v>12</v>
      </c>
      <c r="T47" s="6">
        <f t="shared" si="6"/>
        <v>0</v>
      </c>
      <c r="U47" s="6">
        <f t="shared" si="7"/>
        <v>12</v>
      </c>
      <c r="V47" s="42">
        <f>averageif(AllData!A:A,B47,AllData!R:R)/vlookup(B47,AllData!A:O,15,0)</f>
        <v>88.55128205</v>
      </c>
      <c r="W47" s="6"/>
    </row>
    <row r="48" ht="14.25" customHeight="1">
      <c r="A48" s="6" t="str">
        <f t="shared" si="1"/>
        <v>2011KnardDawg1</v>
      </c>
      <c r="B48" s="6">
        <v>2011.0</v>
      </c>
      <c r="C48" s="6" t="s">
        <v>86</v>
      </c>
      <c r="D48" s="6" t="s">
        <v>129</v>
      </c>
      <c r="E48" s="34">
        <v>36526.0</v>
      </c>
      <c r="F48" s="6" t="s">
        <v>391</v>
      </c>
      <c r="G48" s="6" t="s">
        <v>125</v>
      </c>
      <c r="H48" s="6" t="s">
        <v>392</v>
      </c>
      <c r="I48" s="35" t="s">
        <v>54</v>
      </c>
      <c r="J48" s="36">
        <v>131.3</v>
      </c>
      <c r="K48" s="36">
        <v>56.4</v>
      </c>
      <c r="L48" s="36">
        <f t="shared" si="2"/>
        <v>1</v>
      </c>
      <c r="M48" s="36" t="str">
        <f t="shared" si="3"/>
        <v>Regular Season</v>
      </c>
      <c r="N48" s="36" t="str">
        <f>IFERROR(VLOOKUP(I48,Mapped_Owner,2,0),"")</f>
        <v>Tayski</v>
      </c>
      <c r="O48" s="6">
        <f>VLOOKUP(D48,'Mapped Opponent'!$G$4:$H$22,2,0)</f>
        <v>1</v>
      </c>
      <c r="P48" s="6"/>
      <c r="Q48" s="6" t="str">
        <f t="shared" si="4"/>
        <v>Week 1</v>
      </c>
      <c r="R48" s="6" t="str">
        <f t="shared" si="5"/>
        <v>2011Week 1</v>
      </c>
      <c r="S48" s="6">
        <f>IFERROR(__xludf.DUMMYFUNCTION("rank(J48,FILTER(J:J,R:R=R48))"),1.0)</f>
        <v>1</v>
      </c>
      <c r="T48" s="6">
        <f t="shared" si="6"/>
        <v>11</v>
      </c>
      <c r="U48" s="6">
        <f t="shared" si="7"/>
        <v>1</v>
      </c>
      <c r="V48" s="42">
        <f>averageif(AllData!A:A,B48,AllData!R:R)/vlookup(B48,AllData!A:O,15,0)</f>
        <v>88.55128205</v>
      </c>
      <c r="W48" s="6"/>
    </row>
    <row r="49" ht="14.25" customHeight="1">
      <c r="A49" s="6" t="str">
        <f t="shared" si="1"/>
        <v>2011T-How1</v>
      </c>
      <c r="B49" s="6">
        <v>2011.0</v>
      </c>
      <c r="C49" s="6" t="s">
        <v>82</v>
      </c>
      <c r="D49" s="6" t="s">
        <v>129</v>
      </c>
      <c r="E49" s="34">
        <v>36526.0</v>
      </c>
      <c r="F49" s="6" t="s">
        <v>395</v>
      </c>
      <c r="G49" s="6" t="s">
        <v>125</v>
      </c>
      <c r="H49" s="6" t="s">
        <v>396</v>
      </c>
      <c r="I49" s="35" t="s">
        <v>99</v>
      </c>
      <c r="J49" s="36">
        <v>91.8</v>
      </c>
      <c r="K49" s="36">
        <v>79.8</v>
      </c>
      <c r="L49" s="36">
        <f t="shared" si="2"/>
        <v>1</v>
      </c>
      <c r="M49" s="36" t="str">
        <f t="shared" si="3"/>
        <v>Regular Season</v>
      </c>
      <c r="N49" s="36" t="str">
        <f>IFERROR(VLOOKUP(I49,Mapped_Owner,2,0),"")</f>
        <v>Cock</v>
      </c>
      <c r="O49" s="6">
        <f>VLOOKUP(D49,'Mapped Opponent'!$G$4:$H$22,2,0)</f>
        <v>1</v>
      </c>
      <c r="P49" s="6"/>
      <c r="Q49" s="6" t="str">
        <f t="shared" si="4"/>
        <v>Week 1</v>
      </c>
      <c r="R49" s="6" t="str">
        <f t="shared" si="5"/>
        <v>2011Week 1</v>
      </c>
      <c r="S49" s="6">
        <f>IFERROR(__xludf.DUMMYFUNCTION("rank(J49,FILTER(J:J,R:R=R49))"),6.0)</f>
        <v>6</v>
      </c>
      <c r="T49" s="6">
        <f t="shared" si="6"/>
        <v>6</v>
      </c>
      <c r="U49" s="6">
        <f t="shared" si="7"/>
        <v>6</v>
      </c>
      <c r="V49" s="42">
        <f>averageif(AllData!A:A,B49,AllData!R:R)/vlookup(B49,AllData!A:O,15,0)</f>
        <v>88.55128205</v>
      </c>
      <c r="W49" s="6"/>
    </row>
    <row r="50" ht="14.25" customHeight="1">
      <c r="A50" s="6" t="str">
        <f t="shared" si="1"/>
        <v>2011Hudspeath10</v>
      </c>
      <c r="B50" s="6">
        <v>2011.0</v>
      </c>
      <c r="C50" s="6" t="s">
        <v>39</v>
      </c>
      <c r="D50" s="6" t="s">
        <v>149</v>
      </c>
      <c r="E50" s="34">
        <v>42129.0</v>
      </c>
      <c r="F50" s="6" t="s">
        <v>398</v>
      </c>
      <c r="G50" s="6" t="s">
        <v>125</v>
      </c>
      <c r="H50" s="6" t="s">
        <v>399</v>
      </c>
      <c r="I50" s="35" t="s">
        <v>132</v>
      </c>
      <c r="J50" s="36">
        <v>119.6</v>
      </c>
      <c r="K50" s="36">
        <v>63.4</v>
      </c>
      <c r="L50" s="36">
        <f t="shared" si="2"/>
        <v>1</v>
      </c>
      <c r="M50" s="36" t="str">
        <f t="shared" si="3"/>
        <v>Regular Season</v>
      </c>
      <c r="N50" s="36" t="str">
        <f>IFERROR(VLOOKUP(I50,Mapped_Owner,2,0),"")</f>
        <v>KnardDawg</v>
      </c>
      <c r="O50" s="6">
        <f>VLOOKUP(D50,'Mapped Opponent'!$G$4:$H$22,2,0)</f>
        <v>10</v>
      </c>
      <c r="P50" s="39"/>
      <c r="Q50" s="6" t="str">
        <f t="shared" si="4"/>
        <v>Week 10</v>
      </c>
      <c r="R50" s="6" t="str">
        <f t="shared" si="5"/>
        <v>2011Week 10</v>
      </c>
      <c r="S50" s="6">
        <f>IFERROR(__xludf.DUMMYFUNCTION("rank(J50,FILTER(J:J,R:R=R50))"),2.0)</f>
        <v>2</v>
      </c>
      <c r="T50" s="6">
        <f t="shared" si="6"/>
        <v>10</v>
      </c>
      <c r="U50" s="6">
        <f t="shared" si="7"/>
        <v>2</v>
      </c>
      <c r="V50" s="42">
        <f>averageif(AllData!A:A,B50,AllData!R:R)/vlookup(B50,AllData!A:O,15,0)</f>
        <v>88.55128205</v>
      </c>
      <c r="W50" s="6"/>
    </row>
    <row r="51" ht="14.25" customHeight="1">
      <c r="A51" s="6" t="str">
        <f t="shared" si="1"/>
        <v>2011Salty10</v>
      </c>
      <c r="B51" s="6">
        <v>2011.0</v>
      </c>
      <c r="C51" s="6" t="s">
        <v>76</v>
      </c>
      <c r="D51" s="6" t="s">
        <v>149</v>
      </c>
      <c r="E51" s="34">
        <v>42159.0</v>
      </c>
      <c r="F51" s="6" t="s">
        <v>403</v>
      </c>
      <c r="G51" s="6" t="s">
        <v>125</v>
      </c>
      <c r="H51" s="6" t="s">
        <v>404</v>
      </c>
      <c r="I51" s="35" t="s">
        <v>99</v>
      </c>
      <c r="J51" s="36">
        <v>94.9</v>
      </c>
      <c r="K51" s="36">
        <v>54.8</v>
      </c>
      <c r="L51" s="36">
        <f t="shared" si="2"/>
        <v>1</v>
      </c>
      <c r="M51" s="36" t="str">
        <f t="shared" si="3"/>
        <v>Regular Season</v>
      </c>
      <c r="N51" s="36" t="str">
        <f>IFERROR(VLOOKUP(I51,Mapped_Owner,2,0),"")</f>
        <v>Cock</v>
      </c>
      <c r="O51" s="6">
        <f>VLOOKUP(D51,'Mapped Opponent'!$G$4:$H$22,2,0)</f>
        <v>10</v>
      </c>
      <c r="P51" s="6"/>
      <c r="Q51" s="6" t="str">
        <f t="shared" si="4"/>
        <v>Week 10</v>
      </c>
      <c r="R51" s="6" t="str">
        <f t="shared" si="5"/>
        <v>2011Week 10</v>
      </c>
      <c r="S51" s="6">
        <f>IFERROR(__xludf.DUMMYFUNCTION("rank(J51,FILTER(J:J,R:R=R51))"),4.0)</f>
        <v>4</v>
      </c>
      <c r="T51" s="6">
        <f t="shared" si="6"/>
        <v>8</v>
      </c>
      <c r="U51" s="6">
        <f t="shared" si="7"/>
        <v>4</v>
      </c>
      <c r="V51" s="42">
        <f>averageif(AllData!A:A,B51,AllData!R:R)/vlookup(B51,AllData!A:O,15,0)</f>
        <v>88.55128205</v>
      </c>
      <c r="W51" s="6"/>
    </row>
    <row r="52" ht="14.25" customHeight="1">
      <c r="A52" s="6" t="str">
        <f t="shared" si="1"/>
        <v>2011Fellows10</v>
      </c>
      <c r="B52" s="6">
        <v>2011.0</v>
      </c>
      <c r="C52" s="6" t="s">
        <v>79</v>
      </c>
      <c r="D52" s="6" t="s">
        <v>149</v>
      </c>
      <c r="E52" s="34">
        <v>42100.0</v>
      </c>
      <c r="F52" s="6" t="s">
        <v>408</v>
      </c>
      <c r="G52" s="6" t="s">
        <v>125</v>
      </c>
      <c r="H52" s="6" t="s">
        <v>409</v>
      </c>
      <c r="I52" s="35" t="s">
        <v>54</v>
      </c>
      <c r="J52" s="36">
        <v>83.1</v>
      </c>
      <c r="K52" s="36">
        <v>78.3</v>
      </c>
      <c r="L52" s="36">
        <f t="shared" si="2"/>
        <v>1</v>
      </c>
      <c r="M52" s="36" t="str">
        <f t="shared" si="3"/>
        <v>Regular Season</v>
      </c>
      <c r="N52" s="36" t="str">
        <f>IFERROR(VLOOKUP(I52,Mapped_Owner,2,0),"")</f>
        <v>Tayski</v>
      </c>
      <c r="O52" s="6">
        <f>VLOOKUP(D52,'Mapped Opponent'!$G$4:$H$22,2,0)</f>
        <v>10</v>
      </c>
      <c r="P52" s="6"/>
      <c r="Q52" s="6" t="str">
        <f t="shared" si="4"/>
        <v>Week 10</v>
      </c>
      <c r="R52" s="6" t="str">
        <f t="shared" si="5"/>
        <v>2011Week 10</v>
      </c>
      <c r="S52" s="6">
        <f>IFERROR(__xludf.DUMMYFUNCTION("rank(J52,FILTER(J:J,R:R=R52))"),6.0)</f>
        <v>6</v>
      </c>
      <c r="T52" s="6">
        <f t="shared" si="6"/>
        <v>6</v>
      </c>
      <c r="U52" s="6">
        <f t="shared" si="7"/>
        <v>6</v>
      </c>
      <c r="V52" s="42">
        <f>averageif(AllData!A:A,B52,AllData!R:R)/vlookup(B52,AllData!A:O,15,0)</f>
        <v>88.55128205</v>
      </c>
      <c r="W52" s="6"/>
    </row>
    <row r="53" ht="14.25" customHeight="1">
      <c r="A53" s="6" t="str">
        <f t="shared" si="1"/>
        <v>2011Shep10</v>
      </c>
      <c r="B53" s="6">
        <v>2011.0</v>
      </c>
      <c r="C53" s="6" t="s">
        <v>89</v>
      </c>
      <c r="D53" s="6" t="s">
        <v>149</v>
      </c>
      <c r="E53" s="34">
        <v>42159.0</v>
      </c>
      <c r="F53" s="6" t="s">
        <v>410</v>
      </c>
      <c r="G53" s="6" t="s">
        <v>125</v>
      </c>
      <c r="H53" s="6" t="s">
        <v>411</v>
      </c>
      <c r="I53" s="35" t="s">
        <v>85</v>
      </c>
      <c r="J53" s="36">
        <v>90.6</v>
      </c>
      <c r="K53" s="36">
        <v>96.6</v>
      </c>
      <c r="L53" s="36">
        <f t="shared" si="2"/>
        <v>0</v>
      </c>
      <c r="M53" s="36" t="str">
        <f t="shared" si="3"/>
        <v>Regular Season</v>
      </c>
      <c r="N53" s="36" t="str">
        <f>IFERROR(VLOOKUP(I53,Mapped_Owner,2,0),"")</f>
        <v>T-How</v>
      </c>
      <c r="O53" s="6">
        <f>VLOOKUP(D53,'Mapped Opponent'!$G$4:$H$22,2,0)</f>
        <v>10</v>
      </c>
      <c r="P53" s="6"/>
      <c r="Q53" s="6" t="str">
        <f t="shared" si="4"/>
        <v>Week 10</v>
      </c>
      <c r="R53" s="6" t="str">
        <f t="shared" si="5"/>
        <v>2011Week 10</v>
      </c>
      <c r="S53" s="6">
        <f>IFERROR(__xludf.DUMMYFUNCTION("rank(J53,FILTER(J:J,R:R=R53))"),5.0)</f>
        <v>5</v>
      </c>
      <c r="T53" s="6">
        <f t="shared" si="6"/>
        <v>7</v>
      </c>
      <c r="U53" s="6">
        <f t="shared" si="7"/>
        <v>5</v>
      </c>
      <c r="V53" s="42">
        <f>averageif(AllData!A:A,B53,AllData!R:R)/vlookup(B53,AllData!A:O,15,0)</f>
        <v>88.55128205</v>
      </c>
      <c r="W53" s="6"/>
    </row>
    <row r="54" ht="14.25" customHeight="1">
      <c r="A54" s="6" t="str">
        <f t="shared" si="1"/>
        <v>2011Guckien10</v>
      </c>
      <c r="B54" s="6">
        <v>2011.0</v>
      </c>
      <c r="C54" s="6" t="s">
        <v>159</v>
      </c>
      <c r="D54" s="6" t="s">
        <v>149</v>
      </c>
      <c r="E54" s="34">
        <v>42159.0</v>
      </c>
      <c r="F54" s="6" t="s">
        <v>415</v>
      </c>
      <c r="G54" s="6" t="s">
        <v>125</v>
      </c>
      <c r="H54" s="6" t="s">
        <v>416</v>
      </c>
      <c r="I54" s="35" t="s">
        <v>50</v>
      </c>
      <c r="J54" s="36">
        <v>81.6</v>
      </c>
      <c r="K54" s="36">
        <v>79.1</v>
      </c>
      <c r="L54" s="36">
        <f t="shared" si="2"/>
        <v>1</v>
      </c>
      <c r="M54" s="36" t="str">
        <f t="shared" si="3"/>
        <v>Regular Season</v>
      </c>
      <c r="N54" s="36" t="str">
        <f>IFERROR(VLOOKUP(I54,Mapped_Owner,2,0),"")</f>
        <v>Buser</v>
      </c>
      <c r="O54" s="6">
        <f>VLOOKUP(D54,'Mapped Opponent'!$G$4:$H$22,2,0)</f>
        <v>10</v>
      </c>
      <c r="P54" s="6"/>
      <c r="Q54" s="6" t="str">
        <f t="shared" si="4"/>
        <v>Week 10</v>
      </c>
      <c r="R54" s="6" t="str">
        <f t="shared" si="5"/>
        <v>2011Week 10</v>
      </c>
      <c r="S54" s="6">
        <f>IFERROR(__xludf.DUMMYFUNCTION("rank(J54,FILTER(J:J,R:R=R54))"),7.0)</f>
        <v>7</v>
      </c>
      <c r="T54" s="6">
        <f t="shared" si="6"/>
        <v>5</v>
      </c>
      <c r="U54" s="6">
        <f t="shared" si="7"/>
        <v>7</v>
      </c>
      <c r="V54" s="42">
        <f>averageif(AllData!A:A,B54,AllData!R:R)/vlookup(B54,AllData!A:O,15,0)</f>
        <v>88.55128205</v>
      </c>
      <c r="W54" s="6"/>
    </row>
    <row r="55" ht="14.25" customHeight="1">
      <c r="A55" s="6" t="str">
        <f t="shared" si="1"/>
        <v>2011Rooney/Jackson10</v>
      </c>
      <c r="B55" s="6">
        <v>2011.0</v>
      </c>
      <c r="C55" s="6" t="s">
        <v>57</v>
      </c>
      <c r="D55" s="6" t="s">
        <v>149</v>
      </c>
      <c r="E55" s="34">
        <v>42070.0</v>
      </c>
      <c r="F55" s="6" t="s">
        <v>419</v>
      </c>
      <c r="G55" s="6" t="s">
        <v>125</v>
      </c>
      <c r="H55" s="6" t="s">
        <v>420</v>
      </c>
      <c r="I55" s="35" t="s">
        <v>93</v>
      </c>
      <c r="J55" s="36">
        <v>76.7</v>
      </c>
      <c r="K55" s="36">
        <v>120.8</v>
      </c>
      <c r="L55" s="36">
        <f t="shared" si="2"/>
        <v>0</v>
      </c>
      <c r="M55" s="36" t="str">
        <f t="shared" si="3"/>
        <v>Regular Season</v>
      </c>
      <c r="N55" s="36" t="str">
        <f>IFERROR(VLOOKUP(I55,Mapped_Owner,2,0),"")</f>
        <v>Pierson</v>
      </c>
      <c r="O55" s="6">
        <f>VLOOKUP(D55,'Mapped Opponent'!$G$4:$H$22,2,0)</f>
        <v>10</v>
      </c>
      <c r="P55" s="6"/>
      <c r="Q55" s="6" t="str">
        <f t="shared" si="4"/>
        <v>Week 10</v>
      </c>
      <c r="R55" s="6" t="str">
        <f t="shared" si="5"/>
        <v>2011Week 10</v>
      </c>
      <c r="S55" s="6">
        <f>IFERROR(__xludf.DUMMYFUNCTION("rank(J55,FILTER(J:J,R:R=R55))"),10.0)</f>
        <v>10</v>
      </c>
      <c r="T55" s="6">
        <f t="shared" si="6"/>
        <v>2</v>
      </c>
      <c r="U55" s="6">
        <f t="shared" si="7"/>
        <v>10</v>
      </c>
      <c r="V55" s="42">
        <f>averageif(AllData!A:A,B55,AllData!R:R)/vlookup(B55,AllData!A:O,15,0)</f>
        <v>88.55128205</v>
      </c>
      <c r="W55" s="6"/>
    </row>
    <row r="56" ht="14.25" customHeight="1">
      <c r="A56" s="6" t="str">
        <f t="shared" si="1"/>
        <v>2011Buser10</v>
      </c>
      <c r="B56" s="6">
        <v>2011.0</v>
      </c>
      <c r="C56" s="6" t="s">
        <v>47</v>
      </c>
      <c r="D56" s="6" t="s">
        <v>149</v>
      </c>
      <c r="E56" s="34">
        <v>42159.0</v>
      </c>
      <c r="F56" s="6" t="s">
        <v>422</v>
      </c>
      <c r="G56" s="6" t="s">
        <v>114</v>
      </c>
      <c r="H56" s="6" t="s">
        <v>423</v>
      </c>
      <c r="I56" s="35" t="s">
        <v>158</v>
      </c>
      <c r="J56" s="36">
        <v>79.1</v>
      </c>
      <c r="K56" s="36">
        <v>81.6</v>
      </c>
      <c r="L56" s="36">
        <f t="shared" si="2"/>
        <v>0</v>
      </c>
      <c r="M56" s="36" t="str">
        <f t="shared" si="3"/>
        <v>Regular Season</v>
      </c>
      <c r="N56" s="36" t="str">
        <f>IFERROR(VLOOKUP(I56,Mapped_Owner,2,0),"")</f>
        <v>Guckien</v>
      </c>
      <c r="O56" s="6">
        <f>VLOOKUP(D56,'Mapped Opponent'!$G$4:$H$22,2,0)</f>
        <v>10</v>
      </c>
      <c r="P56" s="6"/>
      <c r="Q56" s="6" t="str">
        <f t="shared" si="4"/>
        <v>Week 10</v>
      </c>
      <c r="R56" s="6" t="str">
        <f t="shared" si="5"/>
        <v>2011Week 10</v>
      </c>
      <c r="S56" s="6">
        <f>IFERROR(__xludf.DUMMYFUNCTION("rank(J56,FILTER(J:J,R:R=R56))"),8.0)</f>
        <v>8</v>
      </c>
      <c r="T56" s="6">
        <f t="shared" si="6"/>
        <v>4</v>
      </c>
      <c r="U56" s="6">
        <f t="shared" si="7"/>
        <v>8</v>
      </c>
      <c r="V56" s="42">
        <f>averageif(AllData!A:A,B56,AllData!R:R)/vlookup(B56,AllData!A:O,15,0)</f>
        <v>88.55128205</v>
      </c>
      <c r="W56" s="6"/>
    </row>
    <row r="57" ht="14.25" customHeight="1">
      <c r="A57" s="6" t="str">
        <f t="shared" si="1"/>
        <v>2011Pierson10</v>
      </c>
      <c r="B57" s="6">
        <v>2011.0</v>
      </c>
      <c r="C57" s="6" t="s">
        <v>92</v>
      </c>
      <c r="D57" s="6" t="s">
        <v>149</v>
      </c>
      <c r="E57" s="34">
        <v>42188.0</v>
      </c>
      <c r="F57" s="6" t="s">
        <v>425</v>
      </c>
      <c r="G57" s="6" t="s">
        <v>114</v>
      </c>
      <c r="H57" s="6" t="s">
        <v>427</v>
      </c>
      <c r="I57" s="35" t="s">
        <v>157</v>
      </c>
      <c r="J57" s="36">
        <v>120.8</v>
      </c>
      <c r="K57" s="36">
        <v>76.7</v>
      </c>
      <c r="L57" s="36">
        <f t="shared" si="2"/>
        <v>1</v>
      </c>
      <c r="M57" s="36" t="str">
        <f t="shared" si="3"/>
        <v>Regular Season</v>
      </c>
      <c r="N57" s="36" t="str">
        <f>IFERROR(VLOOKUP(I57,Mapped_Owner,2,0),"")</f>
        <v>Rooney/Jackson</v>
      </c>
      <c r="O57" s="6">
        <f>VLOOKUP(D57,'Mapped Opponent'!$G$4:$H$22,2,0)</f>
        <v>10</v>
      </c>
      <c r="P57" s="6"/>
      <c r="Q57" s="6" t="str">
        <f t="shared" si="4"/>
        <v>Week 10</v>
      </c>
      <c r="R57" s="6" t="str">
        <f t="shared" si="5"/>
        <v>2011Week 10</v>
      </c>
      <c r="S57" s="6">
        <f>IFERROR(__xludf.DUMMYFUNCTION("rank(J57,FILTER(J:J,R:R=R57))"),1.0)</f>
        <v>1</v>
      </c>
      <c r="T57" s="6">
        <f t="shared" si="6"/>
        <v>11</v>
      </c>
      <c r="U57" s="6">
        <f t="shared" si="7"/>
        <v>1</v>
      </c>
      <c r="V57" s="42">
        <f>averageif(AllData!A:A,B57,AllData!R:R)/vlookup(B57,AllData!A:O,15,0)</f>
        <v>88.55128205</v>
      </c>
      <c r="W57" s="6"/>
    </row>
    <row r="58" ht="14.25" customHeight="1">
      <c r="A58" s="6" t="str">
        <f t="shared" si="1"/>
        <v>2011Cock10</v>
      </c>
      <c r="B58" s="6">
        <v>2011.0</v>
      </c>
      <c r="C58" s="6" t="s">
        <v>72</v>
      </c>
      <c r="D58" s="6" t="s">
        <v>149</v>
      </c>
      <c r="E58" s="34">
        <v>42100.0</v>
      </c>
      <c r="F58" s="6" t="s">
        <v>431</v>
      </c>
      <c r="G58" s="6" t="s">
        <v>114</v>
      </c>
      <c r="H58" s="6" t="s">
        <v>432</v>
      </c>
      <c r="I58" s="35" t="s">
        <v>77</v>
      </c>
      <c r="J58" s="36">
        <v>54.8</v>
      </c>
      <c r="K58" s="36">
        <v>94.9</v>
      </c>
      <c r="L58" s="36">
        <f t="shared" si="2"/>
        <v>0</v>
      </c>
      <c r="M58" s="36" t="str">
        <f t="shared" si="3"/>
        <v>Regular Season</v>
      </c>
      <c r="N58" s="36" t="str">
        <f>IFERROR(VLOOKUP(I58,Mapped_Owner,2,0),"")</f>
        <v>Salty</v>
      </c>
      <c r="O58" s="6">
        <f>VLOOKUP(D58,'Mapped Opponent'!$G$4:$H$22,2,0)</f>
        <v>10</v>
      </c>
      <c r="P58" s="6"/>
      <c r="Q58" s="6" t="str">
        <f t="shared" si="4"/>
        <v>Week 10</v>
      </c>
      <c r="R58" s="6" t="str">
        <f t="shared" si="5"/>
        <v>2011Week 10</v>
      </c>
      <c r="S58" s="6">
        <f>IFERROR(__xludf.DUMMYFUNCTION("rank(J58,FILTER(J:J,R:R=R58))"),12.0)</f>
        <v>12</v>
      </c>
      <c r="T58" s="6">
        <f t="shared" si="6"/>
        <v>0</v>
      </c>
      <c r="U58" s="6">
        <f t="shared" si="7"/>
        <v>12</v>
      </c>
      <c r="V58" s="42">
        <f>averageif(AllData!A:A,B58,AllData!R:R)/vlookup(B58,AllData!A:O,15,0)</f>
        <v>88.55128205</v>
      </c>
      <c r="W58" s="6"/>
    </row>
    <row r="59" ht="14.25" customHeight="1">
      <c r="A59" s="6" t="str">
        <f t="shared" si="1"/>
        <v>2011Tayski10</v>
      </c>
      <c r="B59" s="6">
        <v>2011.0</v>
      </c>
      <c r="C59" s="6" t="s">
        <v>52</v>
      </c>
      <c r="D59" s="6" t="s">
        <v>149</v>
      </c>
      <c r="E59" s="34">
        <v>42043.0</v>
      </c>
      <c r="F59" s="6" t="s">
        <v>435</v>
      </c>
      <c r="G59" s="6" t="s">
        <v>114</v>
      </c>
      <c r="H59" s="6" t="s">
        <v>436</v>
      </c>
      <c r="I59" s="35" t="s">
        <v>80</v>
      </c>
      <c r="J59" s="36">
        <v>78.3</v>
      </c>
      <c r="K59" s="36">
        <v>83.1</v>
      </c>
      <c r="L59" s="36">
        <f t="shared" si="2"/>
        <v>0</v>
      </c>
      <c r="M59" s="36" t="str">
        <f t="shared" si="3"/>
        <v>Regular Season</v>
      </c>
      <c r="N59" s="36" t="str">
        <f>IFERROR(VLOOKUP(I59,Mapped_Owner,2,0),"")</f>
        <v>Fellows</v>
      </c>
      <c r="O59" s="6">
        <f>VLOOKUP(D59,'Mapped Opponent'!$G$4:$H$22,2,0)</f>
        <v>10</v>
      </c>
      <c r="P59" s="6"/>
      <c r="Q59" s="6" t="str">
        <f t="shared" si="4"/>
        <v>Week 10</v>
      </c>
      <c r="R59" s="6" t="str">
        <f t="shared" si="5"/>
        <v>2011Week 10</v>
      </c>
      <c r="S59" s="6">
        <f>IFERROR(__xludf.DUMMYFUNCTION("rank(J59,FILTER(J:J,R:R=R59))"),9.0)</f>
        <v>9</v>
      </c>
      <c r="T59" s="6">
        <f t="shared" si="6"/>
        <v>3</v>
      </c>
      <c r="U59" s="6">
        <f t="shared" si="7"/>
        <v>9</v>
      </c>
      <c r="V59" s="42">
        <f>averageif(AllData!A:A,B59,AllData!R:R)/vlookup(B59,AllData!A:O,15,0)</f>
        <v>88.55128205</v>
      </c>
      <c r="W59" s="6"/>
    </row>
    <row r="60" ht="14.25" customHeight="1">
      <c r="A60" s="6" t="str">
        <f t="shared" si="1"/>
        <v>2011KnardDawg10</v>
      </c>
      <c r="B60" s="6">
        <v>2011.0</v>
      </c>
      <c r="C60" s="6" t="s">
        <v>86</v>
      </c>
      <c r="D60" s="6" t="s">
        <v>149</v>
      </c>
      <c r="E60" s="34">
        <v>42100.0</v>
      </c>
      <c r="F60" s="6" t="s">
        <v>441</v>
      </c>
      <c r="G60" s="6" t="s">
        <v>114</v>
      </c>
      <c r="H60" s="6" t="s">
        <v>442</v>
      </c>
      <c r="I60" s="35" t="s">
        <v>64</v>
      </c>
      <c r="J60" s="36">
        <v>63.4</v>
      </c>
      <c r="K60" s="36">
        <v>119.6</v>
      </c>
      <c r="L60" s="36">
        <f t="shared" si="2"/>
        <v>0</v>
      </c>
      <c r="M60" s="36" t="str">
        <f t="shared" si="3"/>
        <v>Regular Season</v>
      </c>
      <c r="N60" s="36" t="str">
        <f>IFERROR(VLOOKUP(I60,Mapped_Owner,2,0),"")</f>
        <v>Hudspeath</v>
      </c>
      <c r="O60" s="6">
        <f>VLOOKUP(D60,'Mapped Opponent'!$G$4:$H$22,2,0)</f>
        <v>10</v>
      </c>
      <c r="P60" s="6"/>
      <c r="Q60" s="6" t="str">
        <f t="shared" si="4"/>
        <v>Week 10</v>
      </c>
      <c r="R60" s="6" t="str">
        <f t="shared" si="5"/>
        <v>2011Week 10</v>
      </c>
      <c r="S60" s="6">
        <f>IFERROR(__xludf.DUMMYFUNCTION("rank(J60,FILTER(J:J,R:R=R60))"),11.0)</f>
        <v>11</v>
      </c>
      <c r="T60" s="6">
        <f t="shared" si="6"/>
        <v>1</v>
      </c>
      <c r="U60" s="6">
        <f t="shared" si="7"/>
        <v>11</v>
      </c>
      <c r="V60" s="42">
        <f>averageif(AllData!A:A,B60,AllData!R:R)/vlookup(B60,AllData!A:O,15,0)</f>
        <v>88.55128205</v>
      </c>
      <c r="W60" s="6"/>
    </row>
    <row r="61" ht="14.25" customHeight="1">
      <c r="A61" s="6" t="str">
        <f t="shared" si="1"/>
        <v>2011T-How10</v>
      </c>
      <c r="B61" s="6">
        <v>2011.0</v>
      </c>
      <c r="C61" s="6" t="s">
        <v>82</v>
      </c>
      <c r="D61" s="6" t="s">
        <v>149</v>
      </c>
      <c r="E61" s="34">
        <v>42188.0</v>
      </c>
      <c r="F61" s="6" t="s">
        <v>445</v>
      </c>
      <c r="G61" s="6" t="s">
        <v>114</v>
      </c>
      <c r="H61" s="6" t="s">
        <v>446</v>
      </c>
      <c r="I61" s="35" t="s">
        <v>91</v>
      </c>
      <c r="J61" s="36">
        <v>96.6</v>
      </c>
      <c r="K61" s="36">
        <v>90.6</v>
      </c>
      <c r="L61" s="36">
        <f t="shared" si="2"/>
        <v>1</v>
      </c>
      <c r="M61" s="36" t="str">
        <f t="shared" si="3"/>
        <v>Regular Season</v>
      </c>
      <c r="N61" s="36" t="str">
        <f>IFERROR(VLOOKUP(I61,Mapped_Owner,2,0),"")</f>
        <v>Shep</v>
      </c>
      <c r="O61" s="6">
        <f>VLOOKUP(D61,'Mapped Opponent'!$G$4:$H$22,2,0)</f>
        <v>10</v>
      </c>
      <c r="P61" s="6"/>
      <c r="Q61" s="6" t="str">
        <f t="shared" si="4"/>
        <v>Week 10</v>
      </c>
      <c r="R61" s="6" t="str">
        <f t="shared" si="5"/>
        <v>2011Week 10</v>
      </c>
      <c r="S61" s="6">
        <f>IFERROR(__xludf.DUMMYFUNCTION("rank(J61,FILTER(J:J,R:R=R61))"),3.0)</f>
        <v>3</v>
      </c>
      <c r="T61" s="6">
        <f t="shared" si="6"/>
        <v>9</v>
      </c>
      <c r="U61" s="6">
        <f t="shared" si="7"/>
        <v>3</v>
      </c>
      <c r="V61" s="42">
        <f>averageif(AllData!A:A,B61,AllData!R:R)/vlookup(B61,AllData!A:O,15,0)</f>
        <v>88.55128205</v>
      </c>
      <c r="W61" s="6"/>
    </row>
    <row r="62" ht="14.25" customHeight="1">
      <c r="A62" s="6" t="str">
        <f t="shared" si="1"/>
        <v>2011Hudspeath11</v>
      </c>
      <c r="B62" s="6">
        <v>2011.0</v>
      </c>
      <c r="C62" s="6" t="s">
        <v>39</v>
      </c>
      <c r="D62" s="6" t="s">
        <v>150</v>
      </c>
      <c r="E62" s="34">
        <v>42160.0</v>
      </c>
      <c r="F62" s="6" t="s">
        <v>448</v>
      </c>
      <c r="G62" s="6" t="s">
        <v>114</v>
      </c>
      <c r="H62" s="6" t="s">
        <v>449</v>
      </c>
      <c r="I62" s="35" t="s">
        <v>54</v>
      </c>
      <c r="J62" s="36">
        <v>76.6</v>
      </c>
      <c r="K62" s="36">
        <v>74.0</v>
      </c>
      <c r="L62" s="36">
        <f t="shared" si="2"/>
        <v>1</v>
      </c>
      <c r="M62" s="36" t="str">
        <f t="shared" si="3"/>
        <v>Regular Season</v>
      </c>
      <c r="N62" s="36" t="str">
        <f>IFERROR(VLOOKUP(I62,Mapped_Owner,2,0),"")</f>
        <v>Tayski</v>
      </c>
      <c r="O62" s="6">
        <f>VLOOKUP(D62,'Mapped Opponent'!$G$4:$H$22,2,0)</f>
        <v>11</v>
      </c>
      <c r="P62" s="39"/>
      <c r="Q62" s="6" t="str">
        <f t="shared" si="4"/>
        <v>Week 11</v>
      </c>
      <c r="R62" s="6" t="str">
        <f t="shared" si="5"/>
        <v>2011Week 11</v>
      </c>
      <c r="S62" s="6">
        <f>IFERROR(__xludf.DUMMYFUNCTION("rank(J62,FILTER(J:J,R:R=R62))"),8.0)</f>
        <v>8</v>
      </c>
      <c r="T62" s="6">
        <f t="shared" si="6"/>
        <v>4</v>
      </c>
      <c r="U62" s="6">
        <f t="shared" si="7"/>
        <v>8</v>
      </c>
      <c r="V62" s="42">
        <f>averageif(AllData!A:A,B62,AllData!R:R)/vlookup(B62,AllData!A:O,15,0)</f>
        <v>88.55128205</v>
      </c>
      <c r="W62" s="6"/>
    </row>
    <row r="63" ht="14.25" customHeight="1">
      <c r="A63" s="6" t="str">
        <f t="shared" si="1"/>
        <v>2011Salty11</v>
      </c>
      <c r="B63" s="6">
        <v>2011.0</v>
      </c>
      <c r="C63" s="6" t="s">
        <v>76</v>
      </c>
      <c r="D63" s="6" t="s">
        <v>150</v>
      </c>
      <c r="E63" s="34">
        <v>42189.0</v>
      </c>
      <c r="F63" s="6" t="s">
        <v>453</v>
      </c>
      <c r="G63" s="6" t="s">
        <v>114</v>
      </c>
      <c r="H63" s="6" t="s">
        <v>454</v>
      </c>
      <c r="I63" s="35" t="s">
        <v>93</v>
      </c>
      <c r="J63" s="36">
        <v>116.5</v>
      </c>
      <c r="K63" s="36">
        <v>58.4</v>
      </c>
      <c r="L63" s="36">
        <f t="shared" si="2"/>
        <v>1</v>
      </c>
      <c r="M63" s="36" t="str">
        <f t="shared" si="3"/>
        <v>Regular Season</v>
      </c>
      <c r="N63" s="36" t="str">
        <f>IFERROR(VLOOKUP(I63,Mapped_Owner,2,0),"")</f>
        <v>Pierson</v>
      </c>
      <c r="O63" s="6">
        <f>VLOOKUP(D63,'Mapped Opponent'!$G$4:$H$22,2,0)</f>
        <v>11</v>
      </c>
      <c r="P63" s="6"/>
      <c r="Q63" s="6" t="str">
        <f t="shared" si="4"/>
        <v>Week 11</v>
      </c>
      <c r="R63" s="6" t="str">
        <f t="shared" si="5"/>
        <v>2011Week 11</v>
      </c>
      <c r="S63" s="6">
        <f>IFERROR(__xludf.DUMMYFUNCTION("rank(J63,FILTER(J:J,R:R=R63))"),1.0)</f>
        <v>1</v>
      </c>
      <c r="T63" s="6">
        <f t="shared" si="6"/>
        <v>11</v>
      </c>
      <c r="U63" s="6">
        <f t="shared" si="7"/>
        <v>1</v>
      </c>
      <c r="V63" s="42">
        <f>averageif(AllData!A:A,B63,AllData!R:R)/vlookup(B63,AllData!A:O,15,0)</f>
        <v>88.55128205</v>
      </c>
      <c r="W63" s="6"/>
    </row>
    <row r="64" ht="14.25" customHeight="1">
      <c r="A64" s="6" t="str">
        <f t="shared" si="1"/>
        <v>2011Fellows11</v>
      </c>
      <c r="B64" s="6">
        <v>2011.0</v>
      </c>
      <c r="C64" s="6" t="s">
        <v>79</v>
      </c>
      <c r="D64" s="6" t="s">
        <v>150</v>
      </c>
      <c r="E64" s="34">
        <v>42101.0</v>
      </c>
      <c r="F64" s="6" t="s">
        <v>457</v>
      </c>
      <c r="G64" s="6" t="s">
        <v>114</v>
      </c>
      <c r="H64" s="6" t="s">
        <v>458</v>
      </c>
      <c r="I64" s="35" t="s">
        <v>99</v>
      </c>
      <c r="J64" s="36">
        <v>84.7</v>
      </c>
      <c r="K64" s="36">
        <v>90.6</v>
      </c>
      <c r="L64" s="36">
        <f t="shared" si="2"/>
        <v>0</v>
      </c>
      <c r="M64" s="36" t="str">
        <f t="shared" si="3"/>
        <v>Regular Season</v>
      </c>
      <c r="N64" s="36" t="str">
        <f>IFERROR(VLOOKUP(I64,Mapped_Owner,2,0),"")</f>
        <v>Cock</v>
      </c>
      <c r="O64" s="6">
        <f>VLOOKUP(D64,'Mapped Opponent'!$G$4:$H$22,2,0)</f>
        <v>11</v>
      </c>
      <c r="P64" s="6"/>
      <c r="Q64" s="6" t="str">
        <f t="shared" si="4"/>
        <v>Week 11</v>
      </c>
      <c r="R64" s="6" t="str">
        <f t="shared" si="5"/>
        <v>2011Week 11</v>
      </c>
      <c r="S64" s="6">
        <f>IFERROR(__xludf.DUMMYFUNCTION("rank(J64,FILTER(J:J,R:R=R64))"),7.0)</f>
        <v>7</v>
      </c>
      <c r="T64" s="6">
        <f t="shared" si="6"/>
        <v>5</v>
      </c>
      <c r="U64" s="6">
        <f t="shared" si="7"/>
        <v>7</v>
      </c>
      <c r="V64" s="42">
        <f>averageif(AllData!A:A,B64,AllData!R:R)/vlookup(B64,AllData!A:O,15,0)</f>
        <v>88.55128205</v>
      </c>
      <c r="W64" s="6"/>
    </row>
    <row r="65" ht="14.25" customHeight="1">
      <c r="A65" s="6" t="str">
        <f t="shared" si="1"/>
        <v>2011Shep11</v>
      </c>
      <c r="B65" s="6">
        <v>2011.0</v>
      </c>
      <c r="C65" s="6" t="s">
        <v>89</v>
      </c>
      <c r="D65" s="6" t="s">
        <v>150</v>
      </c>
      <c r="E65" s="34">
        <v>42160.0</v>
      </c>
      <c r="F65" s="6" t="s">
        <v>459</v>
      </c>
      <c r="G65" s="6" t="s">
        <v>114</v>
      </c>
      <c r="H65" s="6" t="s">
        <v>460</v>
      </c>
      <c r="I65" s="35" t="s">
        <v>132</v>
      </c>
      <c r="J65" s="36">
        <v>94.4</v>
      </c>
      <c r="K65" s="36">
        <v>107.6</v>
      </c>
      <c r="L65" s="36">
        <f t="shared" si="2"/>
        <v>0</v>
      </c>
      <c r="M65" s="36" t="str">
        <f t="shared" si="3"/>
        <v>Regular Season</v>
      </c>
      <c r="N65" s="36" t="str">
        <f>IFERROR(VLOOKUP(I65,Mapped_Owner,2,0),"")</f>
        <v>KnardDawg</v>
      </c>
      <c r="O65" s="6">
        <f>VLOOKUP(D65,'Mapped Opponent'!$G$4:$H$22,2,0)</f>
        <v>11</v>
      </c>
      <c r="P65" s="6"/>
      <c r="Q65" s="6" t="str">
        <f t="shared" si="4"/>
        <v>Week 11</v>
      </c>
      <c r="R65" s="6" t="str">
        <f t="shared" si="5"/>
        <v>2011Week 11</v>
      </c>
      <c r="S65" s="6">
        <f>IFERROR(__xludf.DUMMYFUNCTION("rank(J65,FILTER(J:J,R:R=R65))"),4.0)</f>
        <v>4</v>
      </c>
      <c r="T65" s="6">
        <f t="shared" si="6"/>
        <v>8</v>
      </c>
      <c r="U65" s="6">
        <f t="shared" si="7"/>
        <v>4</v>
      </c>
      <c r="V65" s="42">
        <f>averageif(AllData!A:A,B65,AllData!R:R)/vlookup(B65,AllData!A:O,15,0)</f>
        <v>88.55128205</v>
      </c>
      <c r="W65" s="6"/>
    </row>
    <row r="66" ht="14.25" customHeight="1">
      <c r="A66" s="6" t="str">
        <f t="shared" si="1"/>
        <v>2011Guckien11</v>
      </c>
      <c r="B66" s="6">
        <v>2011.0</v>
      </c>
      <c r="C66" s="6" t="s">
        <v>159</v>
      </c>
      <c r="D66" s="6" t="s">
        <v>150</v>
      </c>
      <c r="E66" s="34">
        <v>42160.0</v>
      </c>
      <c r="F66" s="6" t="s">
        <v>462</v>
      </c>
      <c r="G66" s="6" t="s">
        <v>114</v>
      </c>
      <c r="H66" s="6" t="s">
        <v>463</v>
      </c>
      <c r="I66" s="35" t="s">
        <v>85</v>
      </c>
      <c r="J66" s="36">
        <v>71.5</v>
      </c>
      <c r="K66" s="36">
        <v>95.1</v>
      </c>
      <c r="L66" s="36">
        <f t="shared" si="2"/>
        <v>0</v>
      </c>
      <c r="M66" s="36" t="str">
        <f t="shared" si="3"/>
        <v>Regular Season</v>
      </c>
      <c r="N66" s="36" t="str">
        <f>IFERROR(VLOOKUP(I66,Mapped_Owner,2,0),"")</f>
        <v>T-How</v>
      </c>
      <c r="O66" s="6">
        <f>VLOOKUP(D66,'Mapped Opponent'!$G$4:$H$22,2,0)</f>
        <v>11</v>
      </c>
      <c r="P66" s="6"/>
      <c r="Q66" s="6" t="str">
        <f t="shared" si="4"/>
        <v>Week 11</v>
      </c>
      <c r="R66" s="6" t="str">
        <f t="shared" si="5"/>
        <v>2011Week 11</v>
      </c>
      <c r="S66" s="6">
        <f>IFERROR(__xludf.DUMMYFUNCTION("rank(J66,FILTER(J:J,R:R=R66))"),10.0)</f>
        <v>10</v>
      </c>
      <c r="T66" s="6">
        <f t="shared" si="6"/>
        <v>2</v>
      </c>
      <c r="U66" s="6">
        <f t="shared" si="7"/>
        <v>10</v>
      </c>
      <c r="V66" s="42">
        <f>averageif(AllData!A:A,B66,AllData!R:R)/vlookup(B66,AllData!A:O,15,0)</f>
        <v>88.55128205</v>
      </c>
      <c r="W66" s="6"/>
    </row>
    <row r="67" ht="14.25" customHeight="1">
      <c r="A67" s="6" t="str">
        <f t="shared" si="1"/>
        <v>2011Rooney/Jackson11</v>
      </c>
      <c r="B67" s="6">
        <v>2011.0</v>
      </c>
      <c r="C67" s="6" t="s">
        <v>57</v>
      </c>
      <c r="D67" s="6" t="s">
        <v>150</v>
      </c>
      <c r="E67" s="34">
        <v>42071.0</v>
      </c>
      <c r="F67" s="6" t="s">
        <v>469</v>
      </c>
      <c r="G67" s="6" t="s">
        <v>114</v>
      </c>
      <c r="H67" s="6" t="s">
        <v>470</v>
      </c>
      <c r="I67" s="35" t="s">
        <v>50</v>
      </c>
      <c r="J67" s="36">
        <v>68.9</v>
      </c>
      <c r="K67" s="36">
        <v>88.5</v>
      </c>
      <c r="L67" s="36">
        <f t="shared" si="2"/>
        <v>0</v>
      </c>
      <c r="M67" s="36" t="str">
        <f t="shared" si="3"/>
        <v>Regular Season</v>
      </c>
      <c r="N67" s="36" t="str">
        <f>IFERROR(VLOOKUP(I67,Mapped_Owner,2,0),"")</f>
        <v>Buser</v>
      </c>
      <c r="O67" s="6">
        <f>VLOOKUP(D67,'Mapped Opponent'!$G$4:$H$22,2,0)</f>
        <v>11</v>
      </c>
      <c r="P67" s="6"/>
      <c r="Q67" s="6" t="str">
        <f t="shared" si="4"/>
        <v>Week 11</v>
      </c>
      <c r="R67" s="6" t="str">
        <f t="shared" si="5"/>
        <v>2011Week 11</v>
      </c>
      <c r="S67" s="6">
        <f>IFERROR(__xludf.DUMMYFUNCTION("rank(J67,FILTER(J:J,R:R=R67))"),11.0)</f>
        <v>11</v>
      </c>
      <c r="T67" s="6">
        <f t="shared" si="6"/>
        <v>1</v>
      </c>
      <c r="U67" s="6">
        <f t="shared" si="7"/>
        <v>11</v>
      </c>
      <c r="V67" s="42">
        <f>averageif(AllData!A:A,B67,AllData!R:R)/vlookup(B67,AllData!A:O,15,0)</f>
        <v>88.55128205</v>
      </c>
      <c r="W67" s="6"/>
    </row>
    <row r="68" ht="14.25" customHeight="1">
      <c r="A68" s="6" t="str">
        <f t="shared" si="1"/>
        <v>2011Buser11</v>
      </c>
      <c r="B68" s="6">
        <v>2011.0</v>
      </c>
      <c r="C68" s="6" t="s">
        <v>47</v>
      </c>
      <c r="D68" s="6" t="s">
        <v>150</v>
      </c>
      <c r="E68" s="34">
        <v>42189.0</v>
      </c>
      <c r="F68" s="6" t="s">
        <v>471</v>
      </c>
      <c r="G68" s="6" t="s">
        <v>125</v>
      </c>
      <c r="H68" s="6" t="s">
        <v>472</v>
      </c>
      <c r="I68" s="35" t="s">
        <v>157</v>
      </c>
      <c r="J68" s="36">
        <v>88.5</v>
      </c>
      <c r="K68" s="36">
        <v>68.9</v>
      </c>
      <c r="L68" s="36">
        <f t="shared" si="2"/>
        <v>1</v>
      </c>
      <c r="M68" s="36" t="str">
        <f t="shared" si="3"/>
        <v>Regular Season</v>
      </c>
      <c r="N68" s="36" t="str">
        <f>IFERROR(VLOOKUP(I68,Mapped_Owner,2,0),"")</f>
        <v>Rooney/Jackson</v>
      </c>
      <c r="O68" s="6">
        <f>VLOOKUP(D68,'Mapped Opponent'!$G$4:$H$22,2,0)</f>
        <v>11</v>
      </c>
      <c r="P68" s="6"/>
      <c r="Q68" s="6" t="str">
        <f t="shared" si="4"/>
        <v>Week 11</v>
      </c>
      <c r="R68" s="6" t="str">
        <f t="shared" si="5"/>
        <v>2011Week 11</v>
      </c>
      <c r="S68" s="6">
        <f>IFERROR(__xludf.DUMMYFUNCTION("rank(J68,FILTER(J:J,R:R=R68))"),6.0)</f>
        <v>6</v>
      </c>
      <c r="T68" s="6">
        <f t="shared" si="6"/>
        <v>6</v>
      </c>
      <c r="U68" s="6">
        <f t="shared" si="7"/>
        <v>6</v>
      </c>
      <c r="V68" s="42">
        <f>averageif(AllData!A:A,B68,AllData!R:R)/vlookup(B68,AllData!A:O,15,0)</f>
        <v>88.55128205</v>
      </c>
      <c r="W68" s="6"/>
    </row>
    <row r="69" ht="14.25" customHeight="1">
      <c r="A69" s="6" t="str">
        <f t="shared" si="1"/>
        <v>2011Pierson11</v>
      </c>
      <c r="B69" s="6">
        <v>2011.0</v>
      </c>
      <c r="C69" s="6" t="s">
        <v>92</v>
      </c>
      <c r="D69" s="6" t="s">
        <v>150</v>
      </c>
      <c r="E69" s="34">
        <v>42189.0</v>
      </c>
      <c r="F69" s="6" t="s">
        <v>475</v>
      </c>
      <c r="G69" s="6" t="s">
        <v>125</v>
      </c>
      <c r="H69" s="6" t="s">
        <v>476</v>
      </c>
      <c r="I69" s="35" t="s">
        <v>77</v>
      </c>
      <c r="J69" s="36">
        <v>58.4</v>
      </c>
      <c r="K69" s="36">
        <v>116.5</v>
      </c>
      <c r="L69" s="36">
        <f t="shared" si="2"/>
        <v>0</v>
      </c>
      <c r="M69" s="36" t="str">
        <f t="shared" si="3"/>
        <v>Regular Season</v>
      </c>
      <c r="N69" s="36" t="str">
        <f>IFERROR(VLOOKUP(I69,Mapped_Owner,2,0),"")</f>
        <v>Salty</v>
      </c>
      <c r="O69" s="6">
        <f>VLOOKUP(D69,'Mapped Opponent'!$G$4:$H$22,2,0)</f>
        <v>11</v>
      </c>
      <c r="P69" s="6"/>
      <c r="Q69" s="6" t="str">
        <f t="shared" si="4"/>
        <v>Week 11</v>
      </c>
      <c r="R69" s="6" t="str">
        <f t="shared" si="5"/>
        <v>2011Week 11</v>
      </c>
      <c r="S69" s="6">
        <f>IFERROR(__xludf.DUMMYFUNCTION("rank(J69,FILTER(J:J,R:R=R69))"),12.0)</f>
        <v>12</v>
      </c>
      <c r="T69" s="6">
        <f t="shared" si="6"/>
        <v>0</v>
      </c>
      <c r="U69" s="6">
        <f t="shared" si="7"/>
        <v>12</v>
      </c>
      <c r="V69" s="42">
        <f>averageif(AllData!A:A,B69,AllData!R:R)/vlookup(B69,AllData!A:O,15,0)</f>
        <v>88.55128205</v>
      </c>
      <c r="W69" s="6"/>
    </row>
    <row r="70" ht="14.25" customHeight="1">
      <c r="A70" s="6" t="str">
        <f t="shared" si="1"/>
        <v>2011Cock11</v>
      </c>
      <c r="B70" s="6">
        <v>2011.0</v>
      </c>
      <c r="C70" s="6" t="s">
        <v>72</v>
      </c>
      <c r="D70" s="6" t="s">
        <v>150</v>
      </c>
      <c r="E70" s="34">
        <v>42130.0</v>
      </c>
      <c r="F70" s="6" t="s">
        <v>481</v>
      </c>
      <c r="G70" s="6" t="s">
        <v>125</v>
      </c>
      <c r="H70" s="6" t="s">
        <v>482</v>
      </c>
      <c r="I70" s="35" t="s">
        <v>80</v>
      </c>
      <c r="J70" s="36">
        <v>90.6</v>
      </c>
      <c r="K70" s="36">
        <v>84.7</v>
      </c>
      <c r="L70" s="36">
        <f t="shared" si="2"/>
        <v>1</v>
      </c>
      <c r="M70" s="36" t="str">
        <f t="shared" si="3"/>
        <v>Regular Season</v>
      </c>
      <c r="N70" s="36" t="str">
        <f>IFERROR(VLOOKUP(I70,Mapped_Owner,2,0),"")</f>
        <v>Fellows</v>
      </c>
      <c r="O70" s="6">
        <f>VLOOKUP(D70,'Mapped Opponent'!$G$4:$H$22,2,0)</f>
        <v>11</v>
      </c>
      <c r="P70" s="6"/>
      <c r="Q70" s="6" t="str">
        <f t="shared" si="4"/>
        <v>Week 11</v>
      </c>
      <c r="R70" s="6" t="str">
        <f t="shared" si="5"/>
        <v>2011Week 11</v>
      </c>
      <c r="S70" s="6">
        <f>IFERROR(__xludf.DUMMYFUNCTION("rank(J70,FILTER(J:J,R:R=R70))"),5.0)</f>
        <v>5</v>
      </c>
      <c r="T70" s="6">
        <f t="shared" si="6"/>
        <v>7</v>
      </c>
      <c r="U70" s="6">
        <f t="shared" si="7"/>
        <v>5</v>
      </c>
      <c r="V70" s="42">
        <f>averageif(AllData!A:A,B70,AllData!R:R)/vlookup(B70,AllData!A:O,15,0)</f>
        <v>88.55128205</v>
      </c>
      <c r="W70" s="6"/>
    </row>
    <row r="71" ht="14.25" customHeight="1">
      <c r="A71" s="6" t="str">
        <f t="shared" si="1"/>
        <v>2011Tayski11</v>
      </c>
      <c r="B71" s="6">
        <v>2011.0</v>
      </c>
      <c r="C71" s="6" t="s">
        <v>52</v>
      </c>
      <c r="D71" s="6" t="s">
        <v>150</v>
      </c>
      <c r="E71" s="34">
        <v>42044.0</v>
      </c>
      <c r="F71" s="6" t="s">
        <v>487</v>
      </c>
      <c r="G71" s="6" t="s">
        <v>125</v>
      </c>
      <c r="H71" s="6" t="s">
        <v>488</v>
      </c>
      <c r="I71" s="35" t="s">
        <v>64</v>
      </c>
      <c r="J71" s="36">
        <v>74.0</v>
      </c>
      <c r="K71" s="36">
        <v>76.6</v>
      </c>
      <c r="L71" s="36">
        <f t="shared" si="2"/>
        <v>0</v>
      </c>
      <c r="M71" s="36" t="str">
        <f t="shared" si="3"/>
        <v>Regular Season</v>
      </c>
      <c r="N71" s="36" t="str">
        <f>IFERROR(VLOOKUP(I71,Mapped_Owner,2,0),"")</f>
        <v>Hudspeath</v>
      </c>
      <c r="O71" s="6">
        <f>VLOOKUP(D71,'Mapped Opponent'!$G$4:$H$22,2,0)</f>
        <v>11</v>
      </c>
      <c r="P71" s="6"/>
      <c r="Q71" s="6" t="str">
        <f t="shared" si="4"/>
        <v>Week 11</v>
      </c>
      <c r="R71" s="6" t="str">
        <f t="shared" si="5"/>
        <v>2011Week 11</v>
      </c>
      <c r="S71" s="6">
        <f>IFERROR(__xludf.DUMMYFUNCTION("rank(J71,FILTER(J:J,R:R=R71))"),9.0)</f>
        <v>9</v>
      </c>
      <c r="T71" s="6">
        <f t="shared" si="6"/>
        <v>3</v>
      </c>
      <c r="U71" s="6">
        <f t="shared" si="7"/>
        <v>9</v>
      </c>
      <c r="V71" s="42">
        <f>averageif(AllData!A:A,B71,AllData!R:R)/vlookup(B71,AllData!A:O,15,0)</f>
        <v>88.55128205</v>
      </c>
      <c r="W71" s="6"/>
    </row>
    <row r="72" ht="14.25" customHeight="1">
      <c r="A72" s="6" t="str">
        <f t="shared" si="1"/>
        <v>2011KnardDawg11</v>
      </c>
      <c r="B72" s="6">
        <v>2011.0</v>
      </c>
      <c r="C72" s="6" t="s">
        <v>86</v>
      </c>
      <c r="D72" s="6" t="s">
        <v>150</v>
      </c>
      <c r="E72" s="34">
        <v>42130.0</v>
      </c>
      <c r="F72" s="6" t="s">
        <v>490</v>
      </c>
      <c r="G72" s="6" t="s">
        <v>125</v>
      </c>
      <c r="H72" s="6" t="s">
        <v>492</v>
      </c>
      <c r="I72" s="35" t="s">
        <v>91</v>
      </c>
      <c r="J72" s="36">
        <v>107.6</v>
      </c>
      <c r="K72" s="36">
        <v>94.4</v>
      </c>
      <c r="L72" s="36">
        <f t="shared" si="2"/>
        <v>1</v>
      </c>
      <c r="M72" s="36" t="str">
        <f t="shared" si="3"/>
        <v>Regular Season</v>
      </c>
      <c r="N72" s="36" t="str">
        <f>IFERROR(VLOOKUP(I72,Mapped_Owner,2,0),"")</f>
        <v>Shep</v>
      </c>
      <c r="O72" s="6">
        <f>VLOOKUP(D72,'Mapped Opponent'!$G$4:$H$22,2,0)</f>
        <v>11</v>
      </c>
      <c r="P72" s="6"/>
      <c r="Q72" s="6" t="str">
        <f t="shared" si="4"/>
        <v>Week 11</v>
      </c>
      <c r="R72" s="6" t="str">
        <f t="shared" si="5"/>
        <v>2011Week 11</v>
      </c>
      <c r="S72" s="6">
        <f>IFERROR(__xludf.DUMMYFUNCTION("rank(J72,FILTER(J:J,R:R=R72))"),2.0)</f>
        <v>2</v>
      </c>
      <c r="T72" s="6">
        <f t="shared" si="6"/>
        <v>10</v>
      </c>
      <c r="U72" s="6">
        <f t="shared" si="7"/>
        <v>2</v>
      </c>
      <c r="V72" s="42">
        <f>averageif(AllData!A:A,B72,AllData!R:R)/vlookup(B72,AllData!A:O,15,0)</f>
        <v>88.55128205</v>
      </c>
      <c r="W72" s="6"/>
    </row>
    <row r="73" ht="14.25" customHeight="1">
      <c r="A73" s="6" t="str">
        <f t="shared" si="1"/>
        <v>2011T-How11</v>
      </c>
      <c r="B73" s="6">
        <v>2011.0</v>
      </c>
      <c r="C73" s="6" t="s">
        <v>82</v>
      </c>
      <c r="D73" s="6" t="s">
        <v>150</v>
      </c>
      <c r="E73" s="34">
        <v>42219.0</v>
      </c>
      <c r="F73" s="6" t="s">
        <v>493</v>
      </c>
      <c r="G73" s="6" t="s">
        <v>125</v>
      </c>
      <c r="H73" s="6" t="s">
        <v>494</v>
      </c>
      <c r="I73" s="35" t="s">
        <v>158</v>
      </c>
      <c r="J73" s="36">
        <v>95.1</v>
      </c>
      <c r="K73" s="36">
        <v>71.5</v>
      </c>
      <c r="L73" s="36">
        <f t="shared" si="2"/>
        <v>1</v>
      </c>
      <c r="M73" s="36" t="str">
        <f t="shared" si="3"/>
        <v>Regular Season</v>
      </c>
      <c r="N73" s="36" t="str">
        <f>IFERROR(VLOOKUP(I73,Mapped_Owner,2,0),"")</f>
        <v>Guckien</v>
      </c>
      <c r="O73" s="6">
        <f>VLOOKUP(D73,'Mapped Opponent'!$G$4:$H$22,2,0)</f>
        <v>11</v>
      </c>
      <c r="P73" s="6"/>
      <c r="Q73" s="6" t="str">
        <f t="shared" si="4"/>
        <v>Week 11</v>
      </c>
      <c r="R73" s="6" t="str">
        <f t="shared" si="5"/>
        <v>2011Week 11</v>
      </c>
      <c r="S73" s="6">
        <f>IFERROR(__xludf.DUMMYFUNCTION("rank(J73,FILTER(J:J,R:R=R73))"),3.0)</f>
        <v>3</v>
      </c>
      <c r="T73" s="6">
        <f t="shared" si="6"/>
        <v>9</v>
      </c>
      <c r="U73" s="6">
        <f t="shared" si="7"/>
        <v>3</v>
      </c>
      <c r="V73" s="42">
        <f>averageif(AllData!A:A,B73,AllData!R:R)/vlookup(B73,AllData!A:O,15,0)</f>
        <v>88.55128205</v>
      </c>
      <c r="W73" s="6"/>
    </row>
    <row r="74" ht="14.25" customHeight="1">
      <c r="A74" s="6" t="str">
        <f t="shared" si="1"/>
        <v>2011Hudspeath12</v>
      </c>
      <c r="B74" s="6">
        <v>2011.0</v>
      </c>
      <c r="C74" s="6" t="s">
        <v>39</v>
      </c>
      <c r="D74" s="6" t="s">
        <v>151</v>
      </c>
      <c r="E74" s="34">
        <v>42190.0</v>
      </c>
      <c r="F74" s="6" t="s">
        <v>496</v>
      </c>
      <c r="G74" s="6" t="s">
        <v>114</v>
      </c>
      <c r="H74" s="6" t="s">
        <v>497</v>
      </c>
      <c r="I74" s="35" t="s">
        <v>99</v>
      </c>
      <c r="J74" s="36">
        <v>114.2</v>
      </c>
      <c r="K74" s="36">
        <v>70.6</v>
      </c>
      <c r="L74" s="36">
        <f t="shared" si="2"/>
        <v>1</v>
      </c>
      <c r="M74" s="36" t="str">
        <f t="shared" si="3"/>
        <v>Regular Season</v>
      </c>
      <c r="N74" s="36" t="str">
        <f>IFERROR(VLOOKUP(I74,Mapped_Owner,2,0),"")</f>
        <v>Cock</v>
      </c>
      <c r="O74" s="6">
        <f>VLOOKUP(D74,'Mapped Opponent'!$G$4:$H$22,2,0)</f>
        <v>12</v>
      </c>
      <c r="P74" s="39"/>
      <c r="Q74" s="6" t="str">
        <f t="shared" si="4"/>
        <v>Week 12</v>
      </c>
      <c r="R74" s="6" t="str">
        <f t="shared" si="5"/>
        <v>2011Week 12</v>
      </c>
      <c r="S74" s="6">
        <f>IFERROR(__xludf.DUMMYFUNCTION("rank(J74,FILTER(J:J,R:R=R74))"),3.0)</f>
        <v>3</v>
      </c>
      <c r="T74" s="6">
        <f t="shared" si="6"/>
        <v>9</v>
      </c>
      <c r="U74" s="6">
        <f t="shared" si="7"/>
        <v>3</v>
      </c>
      <c r="V74" s="42">
        <f>averageif(AllData!A:A,B74,AllData!R:R)/vlookup(B74,AllData!A:O,15,0)</f>
        <v>88.55128205</v>
      </c>
      <c r="W74" s="6"/>
    </row>
    <row r="75" ht="14.25" customHeight="1">
      <c r="A75" s="6" t="str">
        <f t="shared" si="1"/>
        <v>2011Salty12</v>
      </c>
      <c r="B75" s="6">
        <v>2011.0</v>
      </c>
      <c r="C75" s="6" t="s">
        <v>76</v>
      </c>
      <c r="D75" s="6" t="s">
        <v>151</v>
      </c>
      <c r="E75" s="34">
        <v>42190.0</v>
      </c>
      <c r="F75" s="6" t="s">
        <v>499</v>
      </c>
      <c r="G75" s="6" t="s">
        <v>114</v>
      </c>
      <c r="H75" s="6" t="s">
        <v>500</v>
      </c>
      <c r="I75" s="35" t="s">
        <v>50</v>
      </c>
      <c r="J75" s="36">
        <v>74.9</v>
      </c>
      <c r="K75" s="36">
        <v>116.1</v>
      </c>
      <c r="L75" s="36">
        <f t="shared" si="2"/>
        <v>0</v>
      </c>
      <c r="M75" s="36" t="str">
        <f t="shared" si="3"/>
        <v>Regular Season</v>
      </c>
      <c r="N75" s="36" t="str">
        <f>IFERROR(VLOOKUP(I75,Mapped_Owner,2,0),"")</f>
        <v>Buser</v>
      </c>
      <c r="O75" s="6">
        <f>VLOOKUP(D75,'Mapped Opponent'!$G$4:$H$22,2,0)</f>
        <v>12</v>
      </c>
      <c r="P75" s="6"/>
      <c r="Q75" s="6" t="str">
        <f t="shared" si="4"/>
        <v>Week 12</v>
      </c>
      <c r="R75" s="6" t="str">
        <f t="shared" si="5"/>
        <v>2011Week 12</v>
      </c>
      <c r="S75" s="6">
        <f>IFERROR(__xludf.DUMMYFUNCTION("rank(J75,FILTER(J:J,R:R=R75))"),9.0)</f>
        <v>9</v>
      </c>
      <c r="T75" s="6">
        <f t="shared" si="6"/>
        <v>3</v>
      </c>
      <c r="U75" s="6">
        <f t="shared" si="7"/>
        <v>9</v>
      </c>
      <c r="V75" s="42">
        <f>averageif(AllData!A:A,B75,AllData!R:R)/vlookup(B75,AllData!A:O,15,0)</f>
        <v>88.55128205</v>
      </c>
      <c r="W75" s="6"/>
    </row>
    <row r="76" ht="14.25" customHeight="1">
      <c r="A76" s="6" t="str">
        <f t="shared" si="1"/>
        <v>2011Fellows12</v>
      </c>
      <c r="B76" s="6">
        <v>2011.0</v>
      </c>
      <c r="C76" s="6" t="s">
        <v>79</v>
      </c>
      <c r="D76" s="6" t="s">
        <v>151</v>
      </c>
      <c r="E76" s="34">
        <v>42102.0</v>
      </c>
      <c r="F76" s="6" t="s">
        <v>504</v>
      </c>
      <c r="G76" s="6" t="s">
        <v>114</v>
      </c>
      <c r="H76" s="6" t="s">
        <v>505</v>
      </c>
      <c r="I76" s="35" t="s">
        <v>93</v>
      </c>
      <c r="J76" s="36">
        <v>62.3</v>
      </c>
      <c r="K76" s="36">
        <v>98.1</v>
      </c>
      <c r="L76" s="36">
        <f t="shared" si="2"/>
        <v>0</v>
      </c>
      <c r="M76" s="36" t="str">
        <f t="shared" si="3"/>
        <v>Regular Season</v>
      </c>
      <c r="N76" s="36" t="str">
        <f>IFERROR(VLOOKUP(I76,Mapped_Owner,2,0),"")</f>
        <v>Pierson</v>
      </c>
      <c r="O76" s="6">
        <f>VLOOKUP(D76,'Mapped Opponent'!$G$4:$H$22,2,0)</f>
        <v>12</v>
      </c>
      <c r="P76" s="6"/>
      <c r="Q76" s="6" t="str">
        <f t="shared" si="4"/>
        <v>Week 12</v>
      </c>
      <c r="R76" s="6" t="str">
        <f t="shared" si="5"/>
        <v>2011Week 12</v>
      </c>
      <c r="S76" s="6">
        <f>IFERROR(__xludf.DUMMYFUNCTION("rank(J76,FILTER(J:J,R:R=R76))"),12.0)</f>
        <v>12</v>
      </c>
      <c r="T76" s="6">
        <f t="shared" si="6"/>
        <v>0</v>
      </c>
      <c r="U76" s="6">
        <f t="shared" si="7"/>
        <v>12</v>
      </c>
      <c r="V76" s="42">
        <f>averageif(AllData!A:A,B76,AllData!R:R)/vlookup(B76,AllData!A:O,15,0)</f>
        <v>88.55128205</v>
      </c>
      <c r="W76" s="6"/>
    </row>
    <row r="77" ht="14.25" customHeight="1">
      <c r="A77" s="6" t="str">
        <f t="shared" si="1"/>
        <v>2011Shep12</v>
      </c>
      <c r="B77" s="6">
        <v>2011.0</v>
      </c>
      <c r="C77" s="6" t="s">
        <v>89</v>
      </c>
      <c r="D77" s="6" t="s">
        <v>151</v>
      </c>
      <c r="E77" s="34">
        <v>42161.0</v>
      </c>
      <c r="F77" s="6" t="s">
        <v>508</v>
      </c>
      <c r="G77" s="6" t="s">
        <v>114</v>
      </c>
      <c r="H77" s="6" t="s">
        <v>509</v>
      </c>
      <c r="I77" s="35" t="s">
        <v>54</v>
      </c>
      <c r="J77" s="36">
        <v>81.2</v>
      </c>
      <c r="K77" s="36">
        <v>83.3</v>
      </c>
      <c r="L77" s="36">
        <f t="shared" si="2"/>
        <v>0</v>
      </c>
      <c r="M77" s="36" t="str">
        <f t="shared" si="3"/>
        <v>Regular Season</v>
      </c>
      <c r="N77" s="36" t="str">
        <f>IFERROR(VLOOKUP(I77,Mapped_Owner,2,0),"")</f>
        <v>Tayski</v>
      </c>
      <c r="O77" s="6">
        <f>VLOOKUP(D77,'Mapped Opponent'!$G$4:$H$22,2,0)</f>
        <v>12</v>
      </c>
      <c r="P77" s="6"/>
      <c r="Q77" s="6" t="str">
        <f t="shared" si="4"/>
        <v>Week 12</v>
      </c>
      <c r="R77" s="6" t="str">
        <f t="shared" si="5"/>
        <v>2011Week 12</v>
      </c>
      <c r="S77" s="6">
        <f>IFERROR(__xludf.DUMMYFUNCTION("rank(J77,FILTER(J:J,R:R=R77))"),8.0)</f>
        <v>8</v>
      </c>
      <c r="T77" s="6">
        <f t="shared" si="6"/>
        <v>4</v>
      </c>
      <c r="U77" s="6">
        <f t="shared" si="7"/>
        <v>8</v>
      </c>
      <c r="V77" s="42">
        <f>averageif(AllData!A:A,B77,AllData!R:R)/vlookup(B77,AllData!A:O,15,0)</f>
        <v>88.55128205</v>
      </c>
      <c r="W77" s="6"/>
    </row>
    <row r="78" ht="14.25" customHeight="1">
      <c r="A78" s="6" t="str">
        <f t="shared" si="1"/>
        <v>2011Guckien12</v>
      </c>
      <c r="B78" s="6">
        <v>2011.0</v>
      </c>
      <c r="C78" s="6" t="s">
        <v>159</v>
      </c>
      <c r="D78" s="6" t="s">
        <v>151</v>
      </c>
      <c r="E78" s="34">
        <v>42161.0</v>
      </c>
      <c r="F78" s="6" t="s">
        <v>512</v>
      </c>
      <c r="G78" s="6" t="s">
        <v>114</v>
      </c>
      <c r="H78" s="6" t="s">
        <v>513</v>
      </c>
      <c r="I78" s="35" t="s">
        <v>132</v>
      </c>
      <c r="J78" s="36">
        <v>89.6</v>
      </c>
      <c r="K78" s="36">
        <v>116.4</v>
      </c>
      <c r="L78" s="36">
        <f t="shared" si="2"/>
        <v>0</v>
      </c>
      <c r="M78" s="36" t="str">
        <f t="shared" si="3"/>
        <v>Regular Season</v>
      </c>
      <c r="N78" s="36" t="str">
        <f>IFERROR(VLOOKUP(I78,Mapped_Owner,2,0),"")</f>
        <v>KnardDawg</v>
      </c>
      <c r="O78" s="6">
        <f>VLOOKUP(D78,'Mapped Opponent'!$G$4:$H$22,2,0)</f>
        <v>12</v>
      </c>
      <c r="P78" s="6"/>
      <c r="Q78" s="6" t="str">
        <f t="shared" si="4"/>
        <v>Week 12</v>
      </c>
      <c r="R78" s="6" t="str">
        <f t="shared" si="5"/>
        <v>2011Week 12</v>
      </c>
      <c r="S78" s="6">
        <f>IFERROR(__xludf.DUMMYFUNCTION("rank(J78,FILTER(J:J,R:R=R78))"),6.0)</f>
        <v>6</v>
      </c>
      <c r="T78" s="6">
        <f t="shared" si="6"/>
        <v>6</v>
      </c>
      <c r="U78" s="6">
        <f t="shared" si="7"/>
        <v>6</v>
      </c>
      <c r="V78" s="42">
        <f>averageif(AllData!A:A,B78,AllData!R:R)/vlookup(B78,AllData!A:O,15,0)</f>
        <v>88.55128205</v>
      </c>
      <c r="W78" s="6"/>
    </row>
    <row r="79" ht="14.25" customHeight="1">
      <c r="A79" s="6" t="str">
        <f t="shared" si="1"/>
        <v>2011Rooney/Jackson12</v>
      </c>
      <c r="B79" s="6">
        <v>2011.0</v>
      </c>
      <c r="C79" s="6" t="s">
        <v>57</v>
      </c>
      <c r="D79" s="6" t="s">
        <v>151</v>
      </c>
      <c r="E79" s="34">
        <v>42102.0</v>
      </c>
      <c r="F79" s="6" t="s">
        <v>515</v>
      </c>
      <c r="G79" s="6" t="s">
        <v>114</v>
      </c>
      <c r="H79" s="6" t="s">
        <v>516</v>
      </c>
      <c r="I79" s="35" t="s">
        <v>85</v>
      </c>
      <c r="J79" s="36">
        <v>98.2</v>
      </c>
      <c r="K79" s="36">
        <v>70.8</v>
      </c>
      <c r="L79" s="36">
        <f t="shared" si="2"/>
        <v>1</v>
      </c>
      <c r="M79" s="36" t="str">
        <f t="shared" si="3"/>
        <v>Regular Season</v>
      </c>
      <c r="N79" s="36" t="str">
        <f>IFERROR(VLOOKUP(I79,Mapped_Owner,2,0),"")</f>
        <v>T-How</v>
      </c>
      <c r="O79" s="6">
        <f>VLOOKUP(D79,'Mapped Opponent'!$G$4:$H$22,2,0)</f>
        <v>12</v>
      </c>
      <c r="P79" s="6"/>
      <c r="Q79" s="6" t="str">
        <f t="shared" si="4"/>
        <v>Week 12</v>
      </c>
      <c r="R79" s="6" t="str">
        <f t="shared" si="5"/>
        <v>2011Week 12</v>
      </c>
      <c r="S79" s="6">
        <f>IFERROR(__xludf.DUMMYFUNCTION("rank(J79,FILTER(J:J,R:R=R79))"),4.0)</f>
        <v>4</v>
      </c>
      <c r="T79" s="6">
        <f t="shared" si="6"/>
        <v>8</v>
      </c>
      <c r="U79" s="6">
        <f t="shared" si="7"/>
        <v>4</v>
      </c>
      <c r="V79" s="42">
        <f>averageif(AllData!A:A,B79,AllData!R:R)/vlookup(B79,AllData!A:O,15,0)</f>
        <v>88.55128205</v>
      </c>
      <c r="W79" s="6"/>
    </row>
    <row r="80" ht="14.25" customHeight="1">
      <c r="A80" s="6" t="str">
        <f t="shared" si="1"/>
        <v>2011Buser12</v>
      </c>
      <c r="B80" s="6">
        <v>2011.0</v>
      </c>
      <c r="C80" s="6" t="s">
        <v>47</v>
      </c>
      <c r="D80" s="6" t="s">
        <v>151</v>
      </c>
      <c r="E80" s="34">
        <v>42220.0</v>
      </c>
      <c r="F80" s="6" t="s">
        <v>519</v>
      </c>
      <c r="G80" s="6" t="s">
        <v>125</v>
      </c>
      <c r="H80" s="6" t="s">
        <v>520</v>
      </c>
      <c r="I80" s="35" t="s">
        <v>77</v>
      </c>
      <c r="J80" s="36">
        <v>116.1</v>
      </c>
      <c r="K80" s="36">
        <v>74.9</v>
      </c>
      <c r="L80" s="36">
        <f t="shared" si="2"/>
        <v>1</v>
      </c>
      <c r="M80" s="36" t="str">
        <f t="shared" si="3"/>
        <v>Regular Season</v>
      </c>
      <c r="N80" s="36" t="str">
        <f>IFERROR(VLOOKUP(I80,Mapped_Owner,2,0),"")</f>
        <v>Salty</v>
      </c>
      <c r="O80" s="6">
        <f>VLOOKUP(D80,'Mapped Opponent'!$G$4:$H$22,2,0)</f>
        <v>12</v>
      </c>
      <c r="P80" s="6"/>
      <c r="Q80" s="6" t="str">
        <f t="shared" si="4"/>
        <v>Week 12</v>
      </c>
      <c r="R80" s="6" t="str">
        <f t="shared" si="5"/>
        <v>2011Week 12</v>
      </c>
      <c r="S80" s="6">
        <f>IFERROR(__xludf.DUMMYFUNCTION("rank(J80,FILTER(J:J,R:R=R80))"),2.0)</f>
        <v>2</v>
      </c>
      <c r="T80" s="6">
        <f t="shared" si="6"/>
        <v>10</v>
      </c>
      <c r="U80" s="6">
        <f t="shared" si="7"/>
        <v>2</v>
      </c>
      <c r="V80" s="42">
        <f>averageif(AllData!A:A,B80,AllData!R:R)/vlookup(B80,AllData!A:O,15,0)</f>
        <v>88.55128205</v>
      </c>
      <c r="W80" s="6"/>
    </row>
    <row r="81" ht="14.25" customHeight="1">
      <c r="A81" s="6" t="str">
        <f t="shared" si="1"/>
        <v>2011Pierson12</v>
      </c>
      <c r="B81" s="6">
        <v>2011.0</v>
      </c>
      <c r="C81" s="6" t="s">
        <v>92</v>
      </c>
      <c r="D81" s="6" t="s">
        <v>151</v>
      </c>
      <c r="E81" s="34">
        <v>42220.0</v>
      </c>
      <c r="F81" s="6" t="s">
        <v>525</v>
      </c>
      <c r="G81" s="6" t="s">
        <v>125</v>
      </c>
      <c r="H81" s="6" t="s">
        <v>526</v>
      </c>
      <c r="I81" s="35" t="s">
        <v>80</v>
      </c>
      <c r="J81" s="36">
        <v>98.1</v>
      </c>
      <c r="K81" s="36">
        <v>62.3</v>
      </c>
      <c r="L81" s="36">
        <f t="shared" si="2"/>
        <v>1</v>
      </c>
      <c r="M81" s="36" t="str">
        <f t="shared" si="3"/>
        <v>Regular Season</v>
      </c>
      <c r="N81" s="36" t="str">
        <f>IFERROR(VLOOKUP(I81,Mapped_Owner,2,0),"")</f>
        <v>Fellows</v>
      </c>
      <c r="O81" s="6">
        <f>VLOOKUP(D81,'Mapped Opponent'!$G$4:$H$22,2,0)</f>
        <v>12</v>
      </c>
      <c r="P81" s="6"/>
      <c r="Q81" s="6" t="str">
        <f t="shared" si="4"/>
        <v>Week 12</v>
      </c>
      <c r="R81" s="6" t="str">
        <f t="shared" si="5"/>
        <v>2011Week 12</v>
      </c>
      <c r="S81" s="6">
        <f>IFERROR(__xludf.DUMMYFUNCTION("rank(J81,FILTER(J:J,R:R=R81))"),5.0)</f>
        <v>5</v>
      </c>
      <c r="T81" s="6">
        <f t="shared" si="6"/>
        <v>7</v>
      </c>
      <c r="U81" s="6">
        <f t="shared" si="7"/>
        <v>5</v>
      </c>
      <c r="V81" s="42">
        <f>averageif(AllData!A:A,B81,AllData!R:R)/vlookup(B81,AllData!A:O,15,0)</f>
        <v>88.55128205</v>
      </c>
      <c r="W81" s="6"/>
    </row>
    <row r="82" ht="14.25" customHeight="1">
      <c r="A82" s="6" t="str">
        <f t="shared" si="1"/>
        <v>2011Cock12</v>
      </c>
      <c r="B82" s="6">
        <v>2011.0</v>
      </c>
      <c r="C82" s="6" t="s">
        <v>72</v>
      </c>
      <c r="D82" s="6" t="s">
        <v>151</v>
      </c>
      <c r="E82" s="34">
        <v>42131.0</v>
      </c>
      <c r="F82" s="6" t="s">
        <v>531</v>
      </c>
      <c r="G82" s="6" t="s">
        <v>125</v>
      </c>
      <c r="H82" s="6" t="s">
        <v>532</v>
      </c>
      <c r="I82" s="35" t="s">
        <v>64</v>
      </c>
      <c r="J82" s="36">
        <v>70.6</v>
      </c>
      <c r="K82" s="36">
        <v>114.2</v>
      </c>
      <c r="L82" s="36">
        <f t="shared" si="2"/>
        <v>0</v>
      </c>
      <c r="M82" s="36" t="str">
        <f t="shared" si="3"/>
        <v>Regular Season</v>
      </c>
      <c r="N82" s="36" t="str">
        <f>IFERROR(VLOOKUP(I82,Mapped_Owner,2,0),"")</f>
        <v>Hudspeath</v>
      </c>
      <c r="O82" s="6">
        <f>VLOOKUP(D82,'Mapped Opponent'!$G$4:$H$22,2,0)</f>
        <v>12</v>
      </c>
      <c r="P82" s="6"/>
      <c r="Q82" s="6" t="str">
        <f t="shared" si="4"/>
        <v>Week 12</v>
      </c>
      <c r="R82" s="6" t="str">
        <f t="shared" si="5"/>
        <v>2011Week 12</v>
      </c>
      <c r="S82" s="6">
        <f>IFERROR(__xludf.DUMMYFUNCTION("rank(J82,FILTER(J:J,R:R=R82))"),11.0)</f>
        <v>11</v>
      </c>
      <c r="T82" s="6">
        <f t="shared" si="6"/>
        <v>1</v>
      </c>
      <c r="U82" s="6">
        <f t="shared" si="7"/>
        <v>11</v>
      </c>
      <c r="V82" s="42">
        <f>averageif(AllData!A:A,B82,AllData!R:R)/vlookup(B82,AllData!A:O,15,0)</f>
        <v>88.55128205</v>
      </c>
      <c r="W82" s="6"/>
    </row>
    <row r="83" ht="14.25" customHeight="1">
      <c r="A83" s="6" t="str">
        <f t="shared" si="1"/>
        <v>2011Tayski12</v>
      </c>
      <c r="B83" s="6">
        <v>2011.0</v>
      </c>
      <c r="C83" s="6" t="s">
        <v>52</v>
      </c>
      <c r="D83" s="6" t="s">
        <v>151</v>
      </c>
      <c r="E83" s="34">
        <v>42072.0</v>
      </c>
      <c r="F83" s="6" t="s">
        <v>533</v>
      </c>
      <c r="G83" s="6" t="s">
        <v>125</v>
      </c>
      <c r="H83" s="6" t="s">
        <v>534</v>
      </c>
      <c r="I83" s="35" t="s">
        <v>91</v>
      </c>
      <c r="J83" s="36">
        <v>83.3</v>
      </c>
      <c r="K83" s="36">
        <v>81.2</v>
      </c>
      <c r="L83" s="36">
        <f t="shared" si="2"/>
        <v>1</v>
      </c>
      <c r="M83" s="36" t="str">
        <f t="shared" si="3"/>
        <v>Regular Season</v>
      </c>
      <c r="N83" s="36" t="str">
        <f>IFERROR(VLOOKUP(I83,Mapped_Owner,2,0),"")</f>
        <v>Shep</v>
      </c>
      <c r="O83" s="6">
        <f>VLOOKUP(D83,'Mapped Opponent'!$G$4:$H$22,2,0)</f>
        <v>12</v>
      </c>
      <c r="P83" s="6"/>
      <c r="Q83" s="6" t="str">
        <f t="shared" si="4"/>
        <v>Week 12</v>
      </c>
      <c r="R83" s="6" t="str">
        <f t="shared" si="5"/>
        <v>2011Week 12</v>
      </c>
      <c r="S83" s="6">
        <f>IFERROR(__xludf.DUMMYFUNCTION("rank(J83,FILTER(J:J,R:R=R83))"),7.0)</f>
        <v>7</v>
      </c>
      <c r="T83" s="6">
        <f t="shared" si="6"/>
        <v>5</v>
      </c>
      <c r="U83" s="6">
        <f t="shared" si="7"/>
        <v>7</v>
      </c>
      <c r="V83" s="42">
        <f>averageif(AllData!A:A,B83,AllData!R:R)/vlookup(B83,AllData!A:O,15,0)</f>
        <v>88.55128205</v>
      </c>
      <c r="W83" s="6"/>
    </row>
    <row r="84" ht="14.25" customHeight="1">
      <c r="A84" s="6" t="str">
        <f t="shared" si="1"/>
        <v>2011KnardDawg12</v>
      </c>
      <c r="B84" s="6">
        <v>2011.0</v>
      </c>
      <c r="C84" s="6" t="s">
        <v>86</v>
      </c>
      <c r="D84" s="6" t="s">
        <v>151</v>
      </c>
      <c r="E84" s="34">
        <v>42161.0</v>
      </c>
      <c r="F84" s="6" t="s">
        <v>538</v>
      </c>
      <c r="G84" s="6" t="s">
        <v>125</v>
      </c>
      <c r="H84" s="6" t="s">
        <v>539</v>
      </c>
      <c r="I84" s="35" t="s">
        <v>158</v>
      </c>
      <c r="J84" s="36">
        <v>116.4</v>
      </c>
      <c r="K84" s="36">
        <v>89.6</v>
      </c>
      <c r="L84" s="36">
        <f t="shared" si="2"/>
        <v>1</v>
      </c>
      <c r="M84" s="36" t="str">
        <f t="shared" si="3"/>
        <v>Regular Season</v>
      </c>
      <c r="N84" s="36" t="str">
        <f>IFERROR(VLOOKUP(I84,Mapped_Owner,2,0),"")</f>
        <v>Guckien</v>
      </c>
      <c r="O84" s="6">
        <f>VLOOKUP(D84,'Mapped Opponent'!$G$4:$H$22,2,0)</f>
        <v>12</v>
      </c>
      <c r="P84" s="6"/>
      <c r="Q84" s="6" t="str">
        <f t="shared" si="4"/>
        <v>Week 12</v>
      </c>
      <c r="R84" s="6" t="str">
        <f t="shared" si="5"/>
        <v>2011Week 12</v>
      </c>
      <c r="S84" s="6">
        <f>IFERROR(__xludf.DUMMYFUNCTION("rank(J84,FILTER(J:J,R:R=R84))"),1.0)</f>
        <v>1</v>
      </c>
      <c r="T84" s="6">
        <f t="shared" si="6"/>
        <v>11</v>
      </c>
      <c r="U84" s="6">
        <f t="shared" si="7"/>
        <v>1</v>
      </c>
      <c r="V84" s="42">
        <f>averageif(AllData!A:A,B84,AllData!R:R)/vlookup(B84,AllData!A:O,15,0)</f>
        <v>88.55128205</v>
      </c>
      <c r="W84" s="6"/>
    </row>
    <row r="85" ht="14.25" customHeight="1">
      <c r="A85" s="6" t="str">
        <f t="shared" si="1"/>
        <v>2011T-How12</v>
      </c>
      <c r="B85" s="6">
        <v>2011.0</v>
      </c>
      <c r="C85" s="6" t="s">
        <v>82</v>
      </c>
      <c r="D85" s="6" t="s">
        <v>151</v>
      </c>
      <c r="E85" s="34">
        <v>42220.0</v>
      </c>
      <c r="F85" s="6" t="s">
        <v>542</v>
      </c>
      <c r="G85" s="6" t="s">
        <v>125</v>
      </c>
      <c r="H85" s="6" t="s">
        <v>543</v>
      </c>
      <c r="I85" s="35" t="s">
        <v>157</v>
      </c>
      <c r="J85" s="36">
        <v>70.8</v>
      </c>
      <c r="K85" s="36">
        <v>98.2</v>
      </c>
      <c r="L85" s="36">
        <f t="shared" si="2"/>
        <v>0</v>
      </c>
      <c r="M85" s="36" t="str">
        <f t="shared" si="3"/>
        <v>Regular Season</v>
      </c>
      <c r="N85" s="36" t="str">
        <f>IFERROR(VLOOKUP(I85,Mapped_Owner,2,0),"")</f>
        <v>Rooney/Jackson</v>
      </c>
      <c r="O85" s="6">
        <f>VLOOKUP(D85,'Mapped Opponent'!$G$4:$H$22,2,0)</f>
        <v>12</v>
      </c>
      <c r="P85" s="6"/>
      <c r="Q85" s="6" t="str">
        <f t="shared" si="4"/>
        <v>Week 12</v>
      </c>
      <c r="R85" s="6" t="str">
        <f t="shared" si="5"/>
        <v>2011Week 12</v>
      </c>
      <c r="S85" s="6">
        <f>IFERROR(__xludf.DUMMYFUNCTION("rank(J85,FILTER(J:J,R:R=R85))"),10.0)</f>
        <v>10</v>
      </c>
      <c r="T85" s="6">
        <f t="shared" si="6"/>
        <v>2</v>
      </c>
      <c r="U85" s="6">
        <f t="shared" si="7"/>
        <v>10</v>
      </c>
      <c r="V85" s="42">
        <f>averageif(AllData!A:A,B85,AllData!R:R)/vlookup(B85,AllData!A:O,15,0)</f>
        <v>88.55128205</v>
      </c>
      <c r="W85" s="6"/>
    </row>
    <row r="86" ht="14.25" customHeight="1">
      <c r="A86" s="6" t="str">
        <f t="shared" si="1"/>
        <v>2011Hudspeath13</v>
      </c>
      <c r="B86" s="6">
        <v>2011.0</v>
      </c>
      <c r="C86" s="6" t="s">
        <v>39</v>
      </c>
      <c r="D86" s="6" t="s">
        <v>152</v>
      </c>
      <c r="E86" s="34">
        <v>42191.0</v>
      </c>
      <c r="F86" s="6" t="s">
        <v>547</v>
      </c>
      <c r="G86" s="6" t="s">
        <v>125</v>
      </c>
      <c r="H86" s="6" t="s">
        <v>548</v>
      </c>
      <c r="I86" s="35" t="s">
        <v>93</v>
      </c>
      <c r="J86" s="36">
        <v>128.4</v>
      </c>
      <c r="K86" s="36">
        <v>130.1</v>
      </c>
      <c r="L86" s="36">
        <f t="shared" si="2"/>
        <v>0</v>
      </c>
      <c r="M86" s="36" t="str">
        <f t="shared" si="3"/>
        <v>Regular Season</v>
      </c>
      <c r="N86" s="36" t="str">
        <f>IFERROR(VLOOKUP(I86,Mapped_Owner,2,0),"")</f>
        <v>Pierson</v>
      </c>
      <c r="O86" s="6">
        <f>VLOOKUP(D86,'Mapped Opponent'!$G$4:$H$22,2,0)</f>
        <v>13</v>
      </c>
      <c r="P86" s="39"/>
      <c r="Q86" s="6" t="str">
        <f t="shared" si="4"/>
        <v>Week 13</v>
      </c>
      <c r="R86" s="6" t="str">
        <f t="shared" si="5"/>
        <v>2011Week 13</v>
      </c>
      <c r="S86" s="6">
        <f>IFERROR(__xludf.DUMMYFUNCTION("rank(J86,FILTER(J:J,R:R=R86))"),2.0)</f>
        <v>2</v>
      </c>
      <c r="T86" s="6">
        <f t="shared" si="6"/>
        <v>10</v>
      </c>
      <c r="U86" s="6">
        <f t="shared" si="7"/>
        <v>2</v>
      </c>
      <c r="V86" s="42">
        <f>averageif(AllData!A:A,B86,AllData!R:R)/vlookup(B86,AllData!A:O,15,0)</f>
        <v>88.55128205</v>
      </c>
      <c r="W86" s="6"/>
    </row>
    <row r="87" ht="14.25" customHeight="1">
      <c r="A87" s="6" t="str">
        <f t="shared" si="1"/>
        <v>2011Salty13</v>
      </c>
      <c r="B87" s="6">
        <v>2011.0</v>
      </c>
      <c r="C87" s="6" t="s">
        <v>76</v>
      </c>
      <c r="D87" s="6" t="s">
        <v>152</v>
      </c>
      <c r="E87" s="34">
        <v>42221.0</v>
      </c>
      <c r="F87" s="6" t="s">
        <v>552</v>
      </c>
      <c r="G87" s="6" t="s">
        <v>125</v>
      </c>
      <c r="H87" s="6" t="s">
        <v>553</v>
      </c>
      <c r="I87" s="35" t="s">
        <v>85</v>
      </c>
      <c r="J87" s="36">
        <v>87.0</v>
      </c>
      <c r="K87" s="36">
        <v>72.8</v>
      </c>
      <c r="L87" s="36">
        <f t="shared" si="2"/>
        <v>1</v>
      </c>
      <c r="M87" s="36" t="str">
        <f t="shared" si="3"/>
        <v>Regular Season</v>
      </c>
      <c r="N87" s="36" t="str">
        <f>IFERROR(VLOOKUP(I87,Mapped_Owner,2,0),"")</f>
        <v>T-How</v>
      </c>
      <c r="O87" s="6">
        <f>VLOOKUP(D87,'Mapped Opponent'!$G$4:$H$22,2,0)</f>
        <v>13</v>
      </c>
      <c r="P87" s="6"/>
      <c r="Q87" s="6" t="str">
        <f t="shared" si="4"/>
        <v>Week 13</v>
      </c>
      <c r="R87" s="6" t="str">
        <f t="shared" si="5"/>
        <v>2011Week 13</v>
      </c>
      <c r="S87" s="6">
        <f>IFERROR(__xludf.DUMMYFUNCTION("rank(J87,FILTER(J:J,R:R=R87))"),6.0)</f>
        <v>6</v>
      </c>
      <c r="T87" s="6">
        <f t="shared" si="6"/>
        <v>6</v>
      </c>
      <c r="U87" s="6">
        <f t="shared" si="7"/>
        <v>6</v>
      </c>
      <c r="V87" s="42">
        <f>averageif(AllData!A:A,B87,AllData!R:R)/vlookup(B87,AllData!A:O,15,0)</f>
        <v>88.55128205</v>
      </c>
      <c r="W87" s="6"/>
    </row>
    <row r="88" ht="14.25" customHeight="1">
      <c r="A88" s="6" t="str">
        <f t="shared" si="1"/>
        <v>2011Fellows13</v>
      </c>
      <c r="B88" s="6">
        <v>2011.0</v>
      </c>
      <c r="C88" s="6" t="s">
        <v>79</v>
      </c>
      <c r="D88" s="6" t="s">
        <v>152</v>
      </c>
      <c r="E88" s="34">
        <v>42103.0</v>
      </c>
      <c r="F88" s="6" t="s">
        <v>558</v>
      </c>
      <c r="G88" s="6" t="s">
        <v>125</v>
      </c>
      <c r="H88" s="6" t="s">
        <v>559</v>
      </c>
      <c r="I88" s="35" t="s">
        <v>50</v>
      </c>
      <c r="J88" s="36">
        <v>76.1</v>
      </c>
      <c r="K88" s="36">
        <v>128.2</v>
      </c>
      <c r="L88" s="36">
        <f t="shared" si="2"/>
        <v>0</v>
      </c>
      <c r="M88" s="36" t="str">
        <f t="shared" si="3"/>
        <v>Regular Season</v>
      </c>
      <c r="N88" s="36" t="str">
        <f>IFERROR(VLOOKUP(I88,Mapped_Owner,2,0),"")</f>
        <v>Buser</v>
      </c>
      <c r="O88" s="6">
        <f>VLOOKUP(D88,'Mapped Opponent'!$G$4:$H$22,2,0)</f>
        <v>13</v>
      </c>
      <c r="P88" s="6"/>
      <c r="Q88" s="6" t="str">
        <f t="shared" si="4"/>
        <v>Week 13</v>
      </c>
      <c r="R88" s="6" t="str">
        <f t="shared" si="5"/>
        <v>2011Week 13</v>
      </c>
      <c r="S88" s="6">
        <f>IFERROR(__xludf.DUMMYFUNCTION("rank(J88,FILTER(J:J,R:R=R88))"),8.0)</f>
        <v>8</v>
      </c>
      <c r="T88" s="6">
        <f t="shared" si="6"/>
        <v>4</v>
      </c>
      <c r="U88" s="6">
        <f t="shared" si="7"/>
        <v>8</v>
      </c>
      <c r="V88" s="42">
        <f>averageif(AllData!A:A,B88,AllData!R:R)/vlookup(B88,AllData!A:O,15,0)</f>
        <v>88.55128205</v>
      </c>
      <c r="W88" s="6"/>
    </row>
    <row r="89" ht="14.25" customHeight="1">
      <c r="A89" s="6" t="str">
        <f t="shared" si="1"/>
        <v>2011Shep13</v>
      </c>
      <c r="B89" s="6">
        <v>2011.0</v>
      </c>
      <c r="C89" s="6" t="s">
        <v>89</v>
      </c>
      <c r="D89" s="6" t="s">
        <v>152</v>
      </c>
      <c r="E89" s="34">
        <v>42191.0</v>
      </c>
      <c r="F89" s="6" t="s">
        <v>563</v>
      </c>
      <c r="G89" s="6" t="s">
        <v>125</v>
      </c>
      <c r="H89" s="6" t="s">
        <v>564</v>
      </c>
      <c r="I89" s="35" t="s">
        <v>99</v>
      </c>
      <c r="J89" s="36">
        <v>109.8</v>
      </c>
      <c r="K89" s="36">
        <v>81.9</v>
      </c>
      <c r="L89" s="36">
        <f t="shared" si="2"/>
        <v>1</v>
      </c>
      <c r="M89" s="36" t="str">
        <f t="shared" si="3"/>
        <v>Regular Season</v>
      </c>
      <c r="N89" s="36" t="str">
        <f>IFERROR(VLOOKUP(I89,Mapped_Owner,2,0),"")</f>
        <v>Cock</v>
      </c>
      <c r="O89" s="6">
        <f>VLOOKUP(D89,'Mapped Opponent'!$G$4:$H$22,2,0)</f>
        <v>13</v>
      </c>
      <c r="P89" s="6"/>
      <c r="Q89" s="6" t="str">
        <f t="shared" si="4"/>
        <v>Week 13</v>
      </c>
      <c r="R89" s="6" t="str">
        <f t="shared" si="5"/>
        <v>2011Week 13</v>
      </c>
      <c r="S89" s="6">
        <f>IFERROR(__xludf.DUMMYFUNCTION("rank(J89,FILTER(J:J,R:R=R89))"),4.0)</f>
        <v>4</v>
      </c>
      <c r="T89" s="6">
        <f t="shared" si="6"/>
        <v>8</v>
      </c>
      <c r="U89" s="6">
        <f t="shared" si="7"/>
        <v>4</v>
      </c>
      <c r="V89" s="42">
        <f>averageif(AllData!A:A,B89,AllData!R:R)/vlookup(B89,AllData!A:O,15,0)</f>
        <v>88.55128205</v>
      </c>
      <c r="W89" s="6"/>
    </row>
    <row r="90" ht="14.25" customHeight="1">
      <c r="A90" s="6" t="str">
        <f t="shared" si="1"/>
        <v>2011Guckien13</v>
      </c>
      <c r="B90" s="6">
        <v>2011.0</v>
      </c>
      <c r="C90" s="6" t="s">
        <v>159</v>
      </c>
      <c r="D90" s="6" t="s">
        <v>152</v>
      </c>
      <c r="E90" s="34">
        <v>42191.0</v>
      </c>
      <c r="F90" s="6" t="s">
        <v>568</v>
      </c>
      <c r="G90" s="6" t="s">
        <v>125</v>
      </c>
      <c r="H90" s="6" t="s">
        <v>569</v>
      </c>
      <c r="I90" s="35" t="s">
        <v>54</v>
      </c>
      <c r="J90" s="36">
        <v>109.4</v>
      </c>
      <c r="K90" s="36">
        <v>51.3</v>
      </c>
      <c r="L90" s="36">
        <f t="shared" si="2"/>
        <v>1</v>
      </c>
      <c r="M90" s="36" t="str">
        <f t="shared" si="3"/>
        <v>Regular Season</v>
      </c>
      <c r="N90" s="36" t="str">
        <f>IFERROR(VLOOKUP(I90,Mapped_Owner,2,0),"")</f>
        <v>Tayski</v>
      </c>
      <c r="O90" s="6">
        <f>VLOOKUP(D90,'Mapped Opponent'!$G$4:$H$22,2,0)</f>
        <v>13</v>
      </c>
      <c r="P90" s="6"/>
      <c r="Q90" s="6" t="str">
        <f t="shared" si="4"/>
        <v>Week 13</v>
      </c>
      <c r="R90" s="6" t="str">
        <f t="shared" si="5"/>
        <v>2011Week 13</v>
      </c>
      <c r="S90" s="6">
        <f>IFERROR(__xludf.DUMMYFUNCTION("rank(J90,FILTER(J:J,R:R=R90))"),5.0)</f>
        <v>5</v>
      </c>
      <c r="T90" s="6">
        <f t="shared" si="6"/>
        <v>7</v>
      </c>
      <c r="U90" s="6">
        <f t="shared" si="7"/>
        <v>5</v>
      </c>
      <c r="V90" s="42">
        <f>averageif(AllData!A:A,B90,AllData!R:R)/vlookup(B90,AllData!A:O,15,0)</f>
        <v>88.55128205</v>
      </c>
      <c r="W90" s="6"/>
    </row>
    <row r="91" ht="14.25" customHeight="1">
      <c r="A91" s="6" t="str">
        <f t="shared" si="1"/>
        <v>2011Rooney/Jackson13</v>
      </c>
      <c r="B91" s="6">
        <v>2011.0</v>
      </c>
      <c r="C91" s="6" t="s">
        <v>57</v>
      </c>
      <c r="D91" s="6" t="s">
        <v>152</v>
      </c>
      <c r="E91" s="34">
        <v>42132.0</v>
      </c>
      <c r="F91" s="6" t="s">
        <v>570</v>
      </c>
      <c r="G91" s="6" t="s">
        <v>125</v>
      </c>
      <c r="H91" s="6" t="s">
        <v>571</v>
      </c>
      <c r="I91" s="35" t="s">
        <v>132</v>
      </c>
      <c r="J91" s="36">
        <v>72.0</v>
      </c>
      <c r="K91" s="36">
        <v>69.5</v>
      </c>
      <c r="L91" s="36">
        <f t="shared" si="2"/>
        <v>1</v>
      </c>
      <c r="M91" s="36" t="str">
        <f t="shared" si="3"/>
        <v>Regular Season</v>
      </c>
      <c r="N91" s="36" t="str">
        <f>IFERROR(VLOOKUP(I91,Mapped_Owner,2,0),"")</f>
        <v>KnardDawg</v>
      </c>
      <c r="O91" s="6">
        <f>VLOOKUP(D91,'Mapped Opponent'!$G$4:$H$22,2,0)</f>
        <v>13</v>
      </c>
      <c r="P91" s="6"/>
      <c r="Q91" s="6" t="str">
        <f t="shared" si="4"/>
        <v>Week 13</v>
      </c>
      <c r="R91" s="6" t="str">
        <f t="shared" si="5"/>
        <v>2011Week 13</v>
      </c>
      <c r="S91" s="6">
        <f>IFERROR(__xludf.DUMMYFUNCTION("rank(J91,FILTER(J:J,R:R=R91))"),10.0)</f>
        <v>10</v>
      </c>
      <c r="T91" s="6">
        <f t="shared" si="6"/>
        <v>2</v>
      </c>
      <c r="U91" s="6">
        <f t="shared" si="7"/>
        <v>10</v>
      </c>
      <c r="V91" s="42">
        <f>averageif(AllData!A:A,B91,AllData!R:R)/vlookup(B91,AllData!A:O,15,0)</f>
        <v>88.55128205</v>
      </c>
      <c r="W91" s="6"/>
    </row>
    <row r="92" ht="14.25" customHeight="1">
      <c r="A92" s="6" t="str">
        <f t="shared" si="1"/>
        <v>2011Buser13</v>
      </c>
      <c r="B92" s="6">
        <v>2011.0</v>
      </c>
      <c r="C92" s="6" t="s">
        <v>47</v>
      </c>
      <c r="D92" s="6" t="s">
        <v>152</v>
      </c>
      <c r="E92" s="34">
        <v>42251.0</v>
      </c>
      <c r="F92" s="6" t="s">
        <v>573</v>
      </c>
      <c r="G92" s="6" t="s">
        <v>114</v>
      </c>
      <c r="H92" s="6" t="s">
        <v>574</v>
      </c>
      <c r="I92" s="35" t="s">
        <v>80</v>
      </c>
      <c r="J92" s="36">
        <v>128.2</v>
      </c>
      <c r="K92" s="36">
        <v>76.1</v>
      </c>
      <c r="L92" s="36">
        <f t="shared" si="2"/>
        <v>1</v>
      </c>
      <c r="M92" s="36" t="str">
        <f t="shared" si="3"/>
        <v>Regular Season</v>
      </c>
      <c r="N92" s="36" t="str">
        <f>IFERROR(VLOOKUP(I92,Mapped_Owner,2,0),"")</f>
        <v>Fellows</v>
      </c>
      <c r="O92" s="6">
        <f>VLOOKUP(D92,'Mapped Opponent'!$G$4:$H$22,2,0)</f>
        <v>13</v>
      </c>
      <c r="P92" s="6"/>
      <c r="Q92" s="6" t="str">
        <f t="shared" si="4"/>
        <v>Week 13</v>
      </c>
      <c r="R92" s="6" t="str">
        <f t="shared" si="5"/>
        <v>2011Week 13</v>
      </c>
      <c r="S92" s="6">
        <f>IFERROR(__xludf.DUMMYFUNCTION("rank(J92,FILTER(J:J,R:R=R92))"),3.0)</f>
        <v>3</v>
      </c>
      <c r="T92" s="6">
        <f t="shared" si="6"/>
        <v>9</v>
      </c>
      <c r="U92" s="6">
        <f t="shared" si="7"/>
        <v>3</v>
      </c>
      <c r="V92" s="42">
        <f>averageif(AllData!A:A,B92,AllData!R:R)/vlookup(B92,AllData!A:O,15,0)</f>
        <v>88.55128205</v>
      </c>
      <c r="W92" s="6"/>
    </row>
    <row r="93" ht="14.25" customHeight="1">
      <c r="A93" s="6" t="str">
        <f t="shared" si="1"/>
        <v>2011Pierson13</v>
      </c>
      <c r="B93" s="6">
        <v>2011.0</v>
      </c>
      <c r="C93" s="6" t="s">
        <v>92</v>
      </c>
      <c r="D93" s="6" t="s">
        <v>152</v>
      </c>
      <c r="E93" s="34">
        <v>42251.0</v>
      </c>
      <c r="F93" s="6" t="s">
        <v>577</v>
      </c>
      <c r="G93" s="6" t="s">
        <v>114</v>
      </c>
      <c r="H93" s="6" t="s">
        <v>578</v>
      </c>
      <c r="I93" s="35" t="s">
        <v>64</v>
      </c>
      <c r="J93" s="36">
        <v>130.1</v>
      </c>
      <c r="K93" s="36">
        <v>128.4</v>
      </c>
      <c r="L93" s="36">
        <f t="shared" si="2"/>
        <v>1</v>
      </c>
      <c r="M93" s="36" t="str">
        <f t="shared" si="3"/>
        <v>Regular Season</v>
      </c>
      <c r="N93" s="36" t="str">
        <f>IFERROR(VLOOKUP(I93,Mapped_Owner,2,0),"")</f>
        <v>Hudspeath</v>
      </c>
      <c r="O93" s="6">
        <f>VLOOKUP(D93,'Mapped Opponent'!$G$4:$H$22,2,0)</f>
        <v>13</v>
      </c>
      <c r="P93" s="6"/>
      <c r="Q93" s="6" t="str">
        <f t="shared" si="4"/>
        <v>Week 13</v>
      </c>
      <c r="R93" s="6" t="str">
        <f t="shared" si="5"/>
        <v>2011Week 13</v>
      </c>
      <c r="S93" s="6">
        <f>IFERROR(__xludf.DUMMYFUNCTION("rank(J93,FILTER(J:J,R:R=R93))"),1.0)</f>
        <v>1</v>
      </c>
      <c r="T93" s="6">
        <f t="shared" si="6"/>
        <v>11</v>
      </c>
      <c r="U93" s="6">
        <f t="shared" si="7"/>
        <v>1</v>
      </c>
      <c r="V93" s="42">
        <f>averageif(AllData!A:A,B93,AllData!R:R)/vlookup(B93,AllData!A:O,15,0)</f>
        <v>88.55128205</v>
      </c>
      <c r="W93" s="6"/>
    </row>
    <row r="94" ht="14.25" customHeight="1">
      <c r="A94" s="6" t="str">
        <f t="shared" si="1"/>
        <v>2011Cock13</v>
      </c>
      <c r="B94" s="6">
        <v>2011.0</v>
      </c>
      <c r="C94" s="6" t="s">
        <v>72</v>
      </c>
      <c r="D94" s="6" t="s">
        <v>152</v>
      </c>
      <c r="E94" s="34">
        <v>42132.0</v>
      </c>
      <c r="F94" s="6" t="s">
        <v>582</v>
      </c>
      <c r="G94" s="6" t="s">
        <v>114</v>
      </c>
      <c r="H94" s="6" t="s">
        <v>583</v>
      </c>
      <c r="I94" s="35" t="s">
        <v>91</v>
      </c>
      <c r="J94" s="36">
        <v>81.9</v>
      </c>
      <c r="K94" s="36">
        <v>109.8</v>
      </c>
      <c r="L94" s="36">
        <f t="shared" si="2"/>
        <v>0</v>
      </c>
      <c r="M94" s="36" t="str">
        <f t="shared" si="3"/>
        <v>Regular Season</v>
      </c>
      <c r="N94" s="36" t="str">
        <f>IFERROR(VLOOKUP(I94,Mapped_Owner,2,0),"")</f>
        <v>Shep</v>
      </c>
      <c r="O94" s="6">
        <f>VLOOKUP(D94,'Mapped Opponent'!$G$4:$H$22,2,0)</f>
        <v>13</v>
      </c>
      <c r="P94" s="6"/>
      <c r="Q94" s="6" t="str">
        <f t="shared" si="4"/>
        <v>Week 13</v>
      </c>
      <c r="R94" s="6" t="str">
        <f t="shared" si="5"/>
        <v>2011Week 13</v>
      </c>
      <c r="S94" s="6">
        <f>IFERROR(__xludf.DUMMYFUNCTION("rank(J94,FILTER(J:J,R:R=R94))"),7.0)</f>
        <v>7</v>
      </c>
      <c r="T94" s="6">
        <f t="shared" si="6"/>
        <v>5</v>
      </c>
      <c r="U94" s="6">
        <f t="shared" si="7"/>
        <v>7</v>
      </c>
      <c r="V94" s="42">
        <f>averageif(AllData!A:A,B94,AllData!R:R)/vlookup(B94,AllData!A:O,15,0)</f>
        <v>88.55128205</v>
      </c>
      <c r="W94" s="6"/>
    </row>
    <row r="95" ht="14.25" customHeight="1">
      <c r="A95" s="6" t="str">
        <f t="shared" si="1"/>
        <v>2011Tayski13</v>
      </c>
      <c r="B95" s="6">
        <v>2011.0</v>
      </c>
      <c r="C95" s="6" t="s">
        <v>52</v>
      </c>
      <c r="D95" s="6" t="s">
        <v>152</v>
      </c>
      <c r="E95" s="34">
        <v>42073.0</v>
      </c>
      <c r="F95" s="6" t="s">
        <v>592</v>
      </c>
      <c r="G95" s="6" t="s">
        <v>114</v>
      </c>
      <c r="H95" s="6" t="s">
        <v>593</v>
      </c>
      <c r="I95" s="35" t="s">
        <v>158</v>
      </c>
      <c r="J95" s="36">
        <v>51.3</v>
      </c>
      <c r="K95" s="36">
        <v>109.4</v>
      </c>
      <c r="L95" s="36">
        <f t="shared" si="2"/>
        <v>0</v>
      </c>
      <c r="M95" s="36" t="str">
        <f t="shared" si="3"/>
        <v>Regular Season</v>
      </c>
      <c r="N95" s="36" t="str">
        <f>IFERROR(VLOOKUP(I95,Mapped_Owner,2,0),"")</f>
        <v>Guckien</v>
      </c>
      <c r="O95" s="6">
        <f>VLOOKUP(D95,'Mapped Opponent'!$G$4:$H$22,2,0)</f>
        <v>13</v>
      </c>
      <c r="P95" s="6"/>
      <c r="Q95" s="6" t="str">
        <f t="shared" si="4"/>
        <v>Week 13</v>
      </c>
      <c r="R95" s="6" t="str">
        <f t="shared" si="5"/>
        <v>2011Week 13</v>
      </c>
      <c r="S95" s="6">
        <f>IFERROR(__xludf.DUMMYFUNCTION("rank(J95,FILTER(J:J,R:R=R95))"),12.0)</f>
        <v>12</v>
      </c>
      <c r="T95" s="6">
        <f t="shared" si="6"/>
        <v>0</v>
      </c>
      <c r="U95" s="6">
        <f t="shared" si="7"/>
        <v>12</v>
      </c>
      <c r="V95" s="42">
        <f>averageif(AllData!A:A,B95,AllData!R:R)/vlookup(B95,AllData!A:O,15,0)</f>
        <v>88.55128205</v>
      </c>
      <c r="W95" s="6"/>
    </row>
    <row r="96" ht="14.25" customHeight="1">
      <c r="A96" s="6" t="str">
        <f t="shared" si="1"/>
        <v>2011KnardDawg13</v>
      </c>
      <c r="B96" s="6">
        <v>2011.0</v>
      </c>
      <c r="C96" s="6" t="s">
        <v>86</v>
      </c>
      <c r="D96" s="6" t="s">
        <v>152</v>
      </c>
      <c r="E96" s="34">
        <v>42162.0</v>
      </c>
      <c r="F96" s="6" t="s">
        <v>598</v>
      </c>
      <c r="G96" s="6" t="s">
        <v>114</v>
      </c>
      <c r="H96" s="6" t="s">
        <v>599</v>
      </c>
      <c r="I96" s="35" t="s">
        <v>157</v>
      </c>
      <c r="J96" s="36">
        <v>69.5</v>
      </c>
      <c r="K96" s="36">
        <v>72.0</v>
      </c>
      <c r="L96" s="36">
        <f t="shared" si="2"/>
        <v>0</v>
      </c>
      <c r="M96" s="36" t="str">
        <f t="shared" si="3"/>
        <v>Regular Season</v>
      </c>
      <c r="N96" s="36" t="str">
        <f>IFERROR(VLOOKUP(I96,Mapped_Owner,2,0),"")</f>
        <v>Rooney/Jackson</v>
      </c>
      <c r="O96" s="6">
        <f>VLOOKUP(D96,'Mapped Opponent'!$G$4:$H$22,2,0)</f>
        <v>13</v>
      </c>
      <c r="P96" s="6"/>
      <c r="Q96" s="6" t="str">
        <f t="shared" si="4"/>
        <v>Week 13</v>
      </c>
      <c r="R96" s="6" t="str">
        <f t="shared" si="5"/>
        <v>2011Week 13</v>
      </c>
      <c r="S96" s="6">
        <f>IFERROR(__xludf.DUMMYFUNCTION("rank(J96,FILTER(J:J,R:R=R96))"),11.0)</f>
        <v>11</v>
      </c>
      <c r="T96" s="6">
        <f t="shared" si="6"/>
        <v>1</v>
      </c>
      <c r="U96" s="6">
        <f t="shared" si="7"/>
        <v>11</v>
      </c>
      <c r="V96" s="42">
        <f>averageif(AllData!A:A,B96,AllData!R:R)/vlookup(B96,AllData!A:O,15,0)</f>
        <v>88.55128205</v>
      </c>
      <c r="W96" s="6"/>
    </row>
    <row r="97" ht="14.25" customHeight="1">
      <c r="A97" s="6" t="str">
        <f t="shared" si="1"/>
        <v>2011T-How13</v>
      </c>
      <c r="B97" s="6">
        <v>2011.0</v>
      </c>
      <c r="C97" s="6" t="s">
        <v>82</v>
      </c>
      <c r="D97" s="6" t="s">
        <v>152</v>
      </c>
      <c r="E97" s="34">
        <v>42221.0</v>
      </c>
      <c r="F97" s="6" t="s">
        <v>606</v>
      </c>
      <c r="G97" s="6" t="s">
        <v>114</v>
      </c>
      <c r="H97" s="6" t="s">
        <v>608</v>
      </c>
      <c r="I97" s="35" t="s">
        <v>77</v>
      </c>
      <c r="J97" s="36">
        <v>72.8</v>
      </c>
      <c r="K97" s="36">
        <v>87.0</v>
      </c>
      <c r="L97" s="36">
        <f t="shared" si="2"/>
        <v>0</v>
      </c>
      <c r="M97" s="36" t="str">
        <f t="shared" si="3"/>
        <v>Regular Season</v>
      </c>
      <c r="N97" s="36" t="str">
        <f>IFERROR(VLOOKUP(I97,Mapped_Owner,2,0),"")</f>
        <v>Salty</v>
      </c>
      <c r="O97" s="6">
        <f>VLOOKUP(D97,'Mapped Opponent'!$G$4:$H$22,2,0)</f>
        <v>13</v>
      </c>
      <c r="P97" s="6"/>
      <c r="Q97" s="6" t="str">
        <f t="shared" si="4"/>
        <v>Week 13</v>
      </c>
      <c r="R97" s="6" t="str">
        <f t="shared" si="5"/>
        <v>2011Week 13</v>
      </c>
      <c r="S97" s="6">
        <f>IFERROR(__xludf.DUMMYFUNCTION("rank(J97,FILTER(J:J,R:R=R97))"),9.0)</f>
        <v>9</v>
      </c>
      <c r="T97" s="6">
        <f t="shared" si="6"/>
        <v>3</v>
      </c>
      <c r="U97" s="6">
        <f t="shared" si="7"/>
        <v>9</v>
      </c>
      <c r="V97" s="42">
        <f>averageif(AllData!A:A,B97,AllData!R:R)/vlookup(B97,AllData!A:O,15,0)</f>
        <v>88.55128205</v>
      </c>
      <c r="W97" s="6"/>
    </row>
    <row r="98" ht="14.25" customHeight="1">
      <c r="A98" s="6" t="str">
        <f t="shared" si="1"/>
        <v>2011Hudspeath2</v>
      </c>
      <c r="B98" s="6">
        <v>2011.0</v>
      </c>
      <c r="C98" s="6" t="s">
        <v>39</v>
      </c>
      <c r="D98" s="6" t="s">
        <v>131</v>
      </c>
      <c r="E98" s="34">
        <v>42005.0</v>
      </c>
      <c r="F98" s="6" t="s">
        <v>616</v>
      </c>
      <c r="G98" s="6" t="s">
        <v>114</v>
      </c>
      <c r="H98" s="6" t="s">
        <v>617</v>
      </c>
      <c r="I98" s="35" t="s">
        <v>77</v>
      </c>
      <c r="J98" s="36">
        <v>120.0</v>
      </c>
      <c r="K98" s="36">
        <v>153.6</v>
      </c>
      <c r="L98" s="36">
        <f t="shared" si="2"/>
        <v>0</v>
      </c>
      <c r="M98" s="36" t="str">
        <f t="shared" si="3"/>
        <v>Regular Season</v>
      </c>
      <c r="N98" s="36" t="str">
        <f>IFERROR(VLOOKUP(I98,Mapped_Owner,2,0),"")</f>
        <v>Salty</v>
      </c>
      <c r="O98" s="6">
        <f>VLOOKUP(D98,'Mapped Opponent'!$G$4:$H$22,2,0)</f>
        <v>2</v>
      </c>
      <c r="P98" s="6"/>
      <c r="Q98" s="6" t="str">
        <f t="shared" si="4"/>
        <v>Week 2</v>
      </c>
      <c r="R98" s="6" t="str">
        <f t="shared" si="5"/>
        <v>2011Week 2</v>
      </c>
      <c r="S98" s="6">
        <f>IFERROR(__xludf.DUMMYFUNCTION("rank(J98,FILTER(J:J,R:R=R98))"),3.0)</f>
        <v>3</v>
      </c>
      <c r="T98" s="6">
        <f t="shared" si="6"/>
        <v>9</v>
      </c>
      <c r="U98" s="6">
        <f t="shared" si="7"/>
        <v>3</v>
      </c>
      <c r="V98" s="42">
        <f>averageif(AllData!A:A,B98,AllData!R:R)/vlookup(B98,AllData!A:O,15,0)</f>
        <v>88.55128205</v>
      </c>
      <c r="W98" s="6"/>
    </row>
    <row r="99" ht="14.25" customHeight="1">
      <c r="A99" s="6" t="str">
        <f t="shared" si="1"/>
        <v>2011Salty2</v>
      </c>
      <c r="B99" s="6">
        <v>2011.0</v>
      </c>
      <c r="C99" s="6" t="s">
        <v>76</v>
      </c>
      <c r="D99" s="6" t="s">
        <v>131</v>
      </c>
      <c r="E99" s="34">
        <v>36557.0</v>
      </c>
      <c r="F99" s="6" t="s">
        <v>618</v>
      </c>
      <c r="G99" s="6" t="s">
        <v>125</v>
      </c>
      <c r="H99" s="6" t="s">
        <v>619</v>
      </c>
      <c r="I99" s="35" t="s">
        <v>64</v>
      </c>
      <c r="J99" s="36">
        <v>153.6</v>
      </c>
      <c r="K99" s="36">
        <v>120.0</v>
      </c>
      <c r="L99" s="36">
        <f t="shared" si="2"/>
        <v>1</v>
      </c>
      <c r="M99" s="36" t="str">
        <f t="shared" si="3"/>
        <v>Regular Season</v>
      </c>
      <c r="N99" s="36" t="str">
        <f>IFERROR(VLOOKUP(I99,Mapped_Owner,2,0),"")</f>
        <v>Hudspeath</v>
      </c>
      <c r="O99" s="6">
        <f>VLOOKUP(D99,'Mapped Opponent'!$G$4:$H$22,2,0)</f>
        <v>2</v>
      </c>
      <c r="P99" s="6"/>
      <c r="Q99" s="6" t="str">
        <f t="shared" si="4"/>
        <v>Week 2</v>
      </c>
      <c r="R99" s="6" t="str">
        <f t="shared" si="5"/>
        <v>2011Week 2</v>
      </c>
      <c r="S99" s="6">
        <f>IFERROR(__xludf.DUMMYFUNCTION("rank(J99,FILTER(J:J,R:R=R99))"),1.0)</f>
        <v>1</v>
      </c>
      <c r="T99" s="6">
        <f t="shared" si="6"/>
        <v>11</v>
      </c>
      <c r="U99" s="6">
        <f t="shared" si="7"/>
        <v>1</v>
      </c>
      <c r="V99" s="42">
        <f>averageif(AllData!A:A,B99,AllData!R:R)/vlookup(B99,AllData!A:O,15,0)</f>
        <v>88.55128205</v>
      </c>
      <c r="W99" s="6"/>
    </row>
    <row r="100" ht="14.25" customHeight="1">
      <c r="A100" s="6" t="str">
        <f t="shared" si="1"/>
        <v>2011Fellows2</v>
      </c>
      <c r="B100" s="6">
        <v>2011.0</v>
      </c>
      <c r="C100" s="6" t="s">
        <v>79</v>
      </c>
      <c r="D100" s="6" t="s">
        <v>131</v>
      </c>
      <c r="E100" s="34">
        <v>42005.0</v>
      </c>
      <c r="F100" s="6" t="s">
        <v>621</v>
      </c>
      <c r="G100" s="6" t="s">
        <v>114</v>
      </c>
      <c r="H100" s="6" t="s">
        <v>622</v>
      </c>
      <c r="I100" s="35" t="s">
        <v>91</v>
      </c>
      <c r="J100" s="36">
        <v>128.5</v>
      </c>
      <c r="K100" s="36">
        <v>77.4</v>
      </c>
      <c r="L100" s="36">
        <f t="shared" si="2"/>
        <v>1</v>
      </c>
      <c r="M100" s="36" t="str">
        <f t="shared" si="3"/>
        <v>Regular Season</v>
      </c>
      <c r="N100" s="36" t="str">
        <f>IFERROR(VLOOKUP(I100,Mapped_Owner,2,0),"")</f>
        <v>Shep</v>
      </c>
      <c r="O100" s="6">
        <f>VLOOKUP(D100,'Mapped Opponent'!$G$4:$H$22,2,0)</f>
        <v>2</v>
      </c>
      <c r="P100" s="6"/>
      <c r="Q100" s="6" t="str">
        <f t="shared" si="4"/>
        <v>Week 2</v>
      </c>
      <c r="R100" s="6" t="str">
        <f t="shared" si="5"/>
        <v>2011Week 2</v>
      </c>
      <c r="S100" s="6">
        <f>IFERROR(__xludf.DUMMYFUNCTION("rank(J100,FILTER(J:J,R:R=R100))"),2.0)</f>
        <v>2</v>
      </c>
      <c r="T100" s="6">
        <f t="shared" si="6"/>
        <v>10</v>
      </c>
      <c r="U100" s="6">
        <f t="shared" si="7"/>
        <v>2</v>
      </c>
      <c r="V100" s="42">
        <f>averageif(AllData!A:A,B100,AllData!R:R)/vlookup(B100,AllData!A:O,15,0)</f>
        <v>88.55128205</v>
      </c>
      <c r="W100" s="6"/>
    </row>
    <row r="101" ht="14.25" customHeight="1">
      <c r="A101" s="6" t="str">
        <f t="shared" si="1"/>
        <v>2011Shep2</v>
      </c>
      <c r="B101" s="6">
        <v>2011.0</v>
      </c>
      <c r="C101" s="6" t="s">
        <v>89</v>
      </c>
      <c r="D101" s="6" t="s">
        <v>131</v>
      </c>
      <c r="E101" s="34" t="s">
        <v>626</v>
      </c>
      <c r="F101" s="6" t="s">
        <v>627</v>
      </c>
      <c r="G101" s="6" t="s">
        <v>125</v>
      </c>
      <c r="H101" s="6" t="s">
        <v>628</v>
      </c>
      <c r="I101" s="35" t="s">
        <v>80</v>
      </c>
      <c r="J101" s="36">
        <v>77.4</v>
      </c>
      <c r="K101" s="36">
        <v>128.5</v>
      </c>
      <c r="L101" s="36">
        <f t="shared" si="2"/>
        <v>0</v>
      </c>
      <c r="M101" s="36" t="str">
        <f t="shared" si="3"/>
        <v>Regular Season</v>
      </c>
      <c r="N101" s="36" t="str">
        <f>IFERROR(VLOOKUP(I101,Mapped_Owner,2,0),"")</f>
        <v>Fellows</v>
      </c>
      <c r="O101" s="6">
        <f>VLOOKUP(D101,'Mapped Opponent'!$G$4:$H$22,2,0)</f>
        <v>2</v>
      </c>
      <c r="P101" s="6"/>
      <c r="Q101" s="6" t="str">
        <f t="shared" si="4"/>
        <v>Week 2</v>
      </c>
      <c r="R101" s="6" t="str">
        <f t="shared" si="5"/>
        <v>2011Week 2</v>
      </c>
      <c r="S101" s="6">
        <f>IFERROR(__xludf.DUMMYFUNCTION("rank(J101,FILTER(J:J,R:R=R101))"),11.0)</f>
        <v>11</v>
      </c>
      <c r="T101" s="6">
        <f t="shared" si="6"/>
        <v>1</v>
      </c>
      <c r="U101" s="6">
        <f t="shared" si="7"/>
        <v>11</v>
      </c>
      <c r="V101" s="42">
        <f>averageif(AllData!A:A,B101,AllData!R:R)/vlookup(B101,AllData!A:O,15,0)</f>
        <v>88.55128205</v>
      </c>
      <c r="W101" s="6"/>
    </row>
    <row r="102" ht="14.25" customHeight="1">
      <c r="A102" s="6" t="str">
        <f t="shared" si="1"/>
        <v>2011Guckien2</v>
      </c>
      <c r="B102" s="6">
        <v>2011.0</v>
      </c>
      <c r="C102" s="6" t="s">
        <v>159</v>
      </c>
      <c r="D102" s="6" t="s">
        <v>131</v>
      </c>
      <c r="E102" s="34">
        <v>36557.0</v>
      </c>
      <c r="F102" s="6" t="s">
        <v>631</v>
      </c>
      <c r="G102" s="6" t="s">
        <v>125</v>
      </c>
      <c r="H102" s="6" t="s">
        <v>632</v>
      </c>
      <c r="I102" s="35" t="s">
        <v>157</v>
      </c>
      <c r="J102" s="36">
        <v>118.0</v>
      </c>
      <c r="K102" s="36">
        <v>95.2</v>
      </c>
      <c r="L102" s="36">
        <f t="shared" si="2"/>
        <v>1</v>
      </c>
      <c r="M102" s="36" t="str">
        <f t="shared" si="3"/>
        <v>Regular Season</v>
      </c>
      <c r="N102" s="36" t="str">
        <f>IFERROR(VLOOKUP(I102,Mapped_Owner,2,0),"")</f>
        <v>Rooney/Jackson</v>
      </c>
      <c r="O102" s="6">
        <f>VLOOKUP(D102,'Mapped Opponent'!$G$4:$H$22,2,0)</f>
        <v>2</v>
      </c>
      <c r="P102" s="6"/>
      <c r="Q102" s="6" t="str">
        <f t="shared" si="4"/>
        <v>Week 2</v>
      </c>
      <c r="R102" s="6" t="str">
        <f t="shared" si="5"/>
        <v>2011Week 2</v>
      </c>
      <c r="S102" s="6">
        <f>IFERROR(__xludf.DUMMYFUNCTION("rank(J102,FILTER(J:J,R:R=R102))"),4.0)</f>
        <v>4</v>
      </c>
      <c r="T102" s="6">
        <f t="shared" si="6"/>
        <v>8</v>
      </c>
      <c r="U102" s="6">
        <f t="shared" si="7"/>
        <v>4</v>
      </c>
      <c r="V102" s="42">
        <f>averageif(AllData!A:A,B102,AllData!R:R)/vlookup(B102,AllData!A:O,15,0)</f>
        <v>88.55128205</v>
      </c>
      <c r="W102" s="6"/>
    </row>
    <row r="103" ht="14.25" customHeight="1">
      <c r="A103" s="6" t="str">
        <f t="shared" si="1"/>
        <v>2011Rooney/Jackson2</v>
      </c>
      <c r="B103" s="6">
        <v>2011.0</v>
      </c>
      <c r="C103" s="6" t="s">
        <v>57</v>
      </c>
      <c r="D103" s="6" t="s">
        <v>131</v>
      </c>
      <c r="E103" s="34" t="s">
        <v>626</v>
      </c>
      <c r="F103" s="6" t="s">
        <v>635</v>
      </c>
      <c r="G103" s="6" t="s">
        <v>114</v>
      </c>
      <c r="H103" s="6" t="s">
        <v>636</v>
      </c>
      <c r="I103" s="35" t="s">
        <v>158</v>
      </c>
      <c r="J103" s="36">
        <v>95.2</v>
      </c>
      <c r="K103" s="36">
        <v>118.0</v>
      </c>
      <c r="L103" s="36">
        <f t="shared" si="2"/>
        <v>0</v>
      </c>
      <c r="M103" s="36" t="str">
        <f t="shared" si="3"/>
        <v>Regular Season</v>
      </c>
      <c r="N103" s="36" t="str">
        <f>IFERROR(VLOOKUP(I103,Mapped_Owner,2,0),"")</f>
        <v>Guckien</v>
      </c>
      <c r="O103" s="6">
        <f>VLOOKUP(D103,'Mapped Opponent'!$G$4:$H$22,2,0)</f>
        <v>2</v>
      </c>
      <c r="P103" s="6"/>
      <c r="Q103" s="6" t="str">
        <f t="shared" si="4"/>
        <v>Week 2</v>
      </c>
      <c r="R103" s="6" t="str">
        <f t="shared" si="5"/>
        <v>2011Week 2</v>
      </c>
      <c r="S103" s="6">
        <f>IFERROR(__xludf.DUMMYFUNCTION("rank(J103,FILTER(J:J,R:R=R103))"),7.0)</f>
        <v>7</v>
      </c>
      <c r="T103" s="6">
        <f t="shared" si="6"/>
        <v>5</v>
      </c>
      <c r="U103" s="6">
        <f t="shared" si="7"/>
        <v>7</v>
      </c>
      <c r="V103" s="42">
        <f>averageif(AllData!A:A,B103,AllData!R:R)/vlookup(B103,AllData!A:O,15,0)</f>
        <v>88.55128205</v>
      </c>
      <c r="W103" s="6"/>
    </row>
    <row r="104" ht="14.25" customHeight="1">
      <c r="A104" s="6" t="str">
        <f t="shared" si="1"/>
        <v>2011Buser2</v>
      </c>
      <c r="B104" s="6">
        <v>2011.0</v>
      </c>
      <c r="C104" s="6" t="s">
        <v>47</v>
      </c>
      <c r="D104" s="6" t="s">
        <v>131</v>
      </c>
      <c r="E104" s="34">
        <v>42005.0</v>
      </c>
      <c r="F104" s="6" t="s">
        <v>637</v>
      </c>
      <c r="G104" s="6" t="s">
        <v>125</v>
      </c>
      <c r="H104" s="6" t="s">
        <v>639</v>
      </c>
      <c r="I104" s="35" t="s">
        <v>99</v>
      </c>
      <c r="J104" s="36">
        <v>97.8</v>
      </c>
      <c r="K104" s="36">
        <v>87.9</v>
      </c>
      <c r="L104" s="36">
        <f t="shared" si="2"/>
        <v>1</v>
      </c>
      <c r="M104" s="36" t="str">
        <f t="shared" si="3"/>
        <v>Regular Season</v>
      </c>
      <c r="N104" s="36" t="str">
        <f>IFERROR(VLOOKUP(I104,Mapped_Owner,2,0),"")</f>
        <v>Cock</v>
      </c>
      <c r="O104" s="6">
        <f>VLOOKUP(D104,'Mapped Opponent'!$G$4:$H$22,2,0)</f>
        <v>2</v>
      </c>
      <c r="P104" s="6"/>
      <c r="Q104" s="6" t="str">
        <f t="shared" si="4"/>
        <v>Week 2</v>
      </c>
      <c r="R104" s="6" t="str">
        <f t="shared" si="5"/>
        <v>2011Week 2</v>
      </c>
      <c r="S104" s="6">
        <f>IFERROR(__xludf.DUMMYFUNCTION("rank(J104,FILTER(J:J,R:R=R104))"),6.0)</f>
        <v>6</v>
      </c>
      <c r="T104" s="6">
        <f t="shared" si="6"/>
        <v>6</v>
      </c>
      <c r="U104" s="6">
        <f t="shared" si="7"/>
        <v>6</v>
      </c>
      <c r="V104" s="42">
        <f>averageif(AllData!A:A,B104,AllData!R:R)/vlookup(B104,AllData!A:O,15,0)</f>
        <v>88.55128205</v>
      </c>
      <c r="W104" s="6"/>
    </row>
    <row r="105" ht="14.25" customHeight="1">
      <c r="A105" s="6" t="str">
        <f t="shared" si="1"/>
        <v>2011Pierson2</v>
      </c>
      <c r="B105" s="6">
        <v>2011.0</v>
      </c>
      <c r="C105" s="6" t="s">
        <v>92</v>
      </c>
      <c r="D105" s="6" t="s">
        <v>131</v>
      </c>
      <c r="E105" s="34">
        <v>42005.0</v>
      </c>
      <c r="F105" s="6" t="s">
        <v>642</v>
      </c>
      <c r="G105" s="6" t="s">
        <v>114</v>
      </c>
      <c r="H105" s="6" t="s">
        <v>643</v>
      </c>
      <c r="I105" s="35" t="s">
        <v>54</v>
      </c>
      <c r="J105" s="36">
        <v>64.2</v>
      </c>
      <c r="K105" s="36">
        <v>94.6</v>
      </c>
      <c r="L105" s="36">
        <f t="shared" si="2"/>
        <v>0</v>
      </c>
      <c r="M105" s="36" t="str">
        <f t="shared" si="3"/>
        <v>Regular Season</v>
      </c>
      <c r="N105" s="36" t="str">
        <f>IFERROR(VLOOKUP(I105,Mapped_Owner,2,0),"")</f>
        <v>Tayski</v>
      </c>
      <c r="O105" s="6">
        <f>VLOOKUP(D105,'Mapped Opponent'!$G$4:$H$22,2,0)</f>
        <v>2</v>
      </c>
      <c r="P105" s="6"/>
      <c r="Q105" s="6" t="str">
        <f t="shared" si="4"/>
        <v>Week 2</v>
      </c>
      <c r="R105" s="6" t="str">
        <f t="shared" si="5"/>
        <v>2011Week 2</v>
      </c>
      <c r="S105" s="6">
        <f>IFERROR(__xludf.DUMMYFUNCTION("rank(J105,FILTER(J:J,R:R=R105))"),12.0)</f>
        <v>12</v>
      </c>
      <c r="T105" s="6">
        <f t="shared" si="6"/>
        <v>0</v>
      </c>
      <c r="U105" s="6">
        <f t="shared" si="7"/>
        <v>12</v>
      </c>
      <c r="V105" s="42">
        <f>averageif(AllData!A:A,B105,AllData!R:R)/vlookup(B105,AllData!A:O,15,0)</f>
        <v>88.55128205</v>
      </c>
      <c r="W105" s="6"/>
    </row>
    <row r="106" ht="14.25" customHeight="1">
      <c r="A106" s="6" t="str">
        <f t="shared" si="1"/>
        <v>2011Cock2</v>
      </c>
      <c r="B106" s="6">
        <v>2011.0</v>
      </c>
      <c r="C106" s="6" t="s">
        <v>72</v>
      </c>
      <c r="D106" s="6" t="s">
        <v>131</v>
      </c>
      <c r="E106" s="34" t="s">
        <v>626</v>
      </c>
      <c r="F106" s="6" t="s">
        <v>645</v>
      </c>
      <c r="G106" s="6" t="s">
        <v>114</v>
      </c>
      <c r="H106" s="6" t="s">
        <v>646</v>
      </c>
      <c r="I106" s="35" t="s">
        <v>50</v>
      </c>
      <c r="J106" s="36">
        <v>87.9</v>
      </c>
      <c r="K106" s="36">
        <v>97.8</v>
      </c>
      <c r="L106" s="36">
        <f t="shared" si="2"/>
        <v>0</v>
      </c>
      <c r="M106" s="36" t="str">
        <f t="shared" si="3"/>
        <v>Regular Season</v>
      </c>
      <c r="N106" s="36" t="str">
        <f>IFERROR(VLOOKUP(I106,Mapped_Owner,2,0),"")</f>
        <v>Buser</v>
      </c>
      <c r="O106" s="6">
        <f>VLOOKUP(D106,'Mapped Opponent'!$G$4:$H$22,2,0)</f>
        <v>2</v>
      </c>
      <c r="P106" s="6"/>
      <c r="Q106" s="6" t="str">
        <f t="shared" si="4"/>
        <v>Week 2</v>
      </c>
      <c r="R106" s="6" t="str">
        <f t="shared" si="5"/>
        <v>2011Week 2</v>
      </c>
      <c r="S106" s="6">
        <f>IFERROR(__xludf.DUMMYFUNCTION("rank(J106,FILTER(J:J,R:R=R106))"),10.0)</f>
        <v>10</v>
      </c>
      <c r="T106" s="6">
        <f t="shared" si="6"/>
        <v>2</v>
      </c>
      <c r="U106" s="6">
        <f t="shared" si="7"/>
        <v>10</v>
      </c>
      <c r="V106" s="42">
        <f>averageif(AllData!A:A,B106,AllData!R:R)/vlookup(B106,AllData!A:O,15,0)</f>
        <v>88.55128205</v>
      </c>
      <c r="W106" s="6"/>
    </row>
    <row r="107" ht="14.25" customHeight="1">
      <c r="A107" s="6" t="str">
        <f t="shared" si="1"/>
        <v>2011Tayski2</v>
      </c>
      <c r="B107" s="6">
        <v>2011.0</v>
      </c>
      <c r="C107" s="6" t="s">
        <v>52</v>
      </c>
      <c r="D107" s="6" t="s">
        <v>131</v>
      </c>
      <c r="E107" s="34">
        <v>42005.0</v>
      </c>
      <c r="F107" s="6" t="s">
        <v>650</v>
      </c>
      <c r="G107" s="6" t="s">
        <v>125</v>
      </c>
      <c r="H107" s="6" t="s">
        <v>651</v>
      </c>
      <c r="I107" s="35" t="s">
        <v>93</v>
      </c>
      <c r="J107" s="36">
        <v>94.6</v>
      </c>
      <c r="K107" s="36">
        <v>64.2</v>
      </c>
      <c r="L107" s="36">
        <f t="shared" si="2"/>
        <v>1</v>
      </c>
      <c r="M107" s="36" t="str">
        <f t="shared" si="3"/>
        <v>Regular Season</v>
      </c>
      <c r="N107" s="36" t="str">
        <f>IFERROR(VLOOKUP(I107,Mapped_Owner,2,0),"")</f>
        <v>Pierson</v>
      </c>
      <c r="O107" s="6">
        <f>VLOOKUP(D107,'Mapped Opponent'!$G$4:$H$22,2,0)</f>
        <v>2</v>
      </c>
      <c r="P107" s="6"/>
      <c r="Q107" s="6" t="str">
        <f t="shared" si="4"/>
        <v>Week 2</v>
      </c>
      <c r="R107" s="6" t="str">
        <f t="shared" si="5"/>
        <v>2011Week 2</v>
      </c>
      <c r="S107" s="6">
        <f>IFERROR(__xludf.DUMMYFUNCTION("rank(J107,FILTER(J:J,R:R=R107))"),8.0)</f>
        <v>8</v>
      </c>
      <c r="T107" s="6">
        <f t="shared" si="6"/>
        <v>4</v>
      </c>
      <c r="U107" s="6">
        <f t="shared" si="7"/>
        <v>8</v>
      </c>
      <c r="V107" s="42">
        <f>averageif(AllData!A:A,B107,AllData!R:R)/vlookup(B107,AllData!A:O,15,0)</f>
        <v>88.55128205</v>
      </c>
      <c r="W107" s="6"/>
    </row>
    <row r="108" ht="14.25" customHeight="1">
      <c r="A108" s="6" t="str">
        <f t="shared" si="1"/>
        <v>2011KnardDawg2</v>
      </c>
      <c r="B108" s="6">
        <v>2011.0</v>
      </c>
      <c r="C108" s="6" t="s">
        <v>86</v>
      </c>
      <c r="D108" s="6" t="s">
        <v>131</v>
      </c>
      <c r="E108" s="34">
        <v>42005.0</v>
      </c>
      <c r="F108" s="6" t="s">
        <v>652</v>
      </c>
      <c r="G108" s="6" t="s">
        <v>125</v>
      </c>
      <c r="H108" s="6" t="s">
        <v>653</v>
      </c>
      <c r="I108" s="35" t="s">
        <v>85</v>
      </c>
      <c r="J108" s="36">
        <v>88.9</v>
      </c>
      <c r="K108" s="36">
        <v>105.6</v>
      </c>
      <c r="L108" s="36">
        <f t="shared" si="2"/>
        <v>0</v>
      </c>
      <c r="M108" s="36" t="str">
        <f t="shared" si="3"/>
        <v>Regular Season</v>
      </c>
      <c r="N108" s="36" t="str">
        <f>IFERROR(VLOOKUP(I108,Mapped_Owner,2,0),"")</f>
        <v>T-How</v>
      </c>
      <c r="O108" s="6">
        <f>VLOOKUP(D108,'Mapped Opponent'!$G$4:$H$22,2,0)</f>
        <v>2</v>
      </c>
      <c r="P108" s="6"/>
      <c r="Q108" s="6" t="str">
        <f t="shared" si="4"/>
        <v>Week 2</v>
      </c>
      <c r="R108" s="6" t="str">
        <f t="shared" si="5"/>
        <v>2011Week 2</v>
      </c>
      <c r="S108" s="6">
        <f>IFERROR(__xludf.DUMMYFUNCTION("rank(J108,FILTER(J:J,R:R=R108))"),9.0)</f>
        <v>9</v>
      </c>
      <c r="T108" s="6">
        <f t="shared" si="6"/>
        <v>3</v>
      </c>
      <c r="U108" s="6">
        <f t="shared" si="7"/>
        <v>9</v>
      </c>
      <c r="V108" s="42">
        <f>averageif(AllData!A:A,B108,AllData!R:R)/vlookup(B108,AllData!A:O,15,0)</f>
        <v>88.55128205</v>
      </c>
      <c r="W108" s="6"/>
    </row>
    <row r="109" ht="14.25" customHeight="1">
      <c r="A109" s="6" t="str">
        <f t="shared" si="1"/>
        <v>2011T-How2</v>
      </c>
      <c r="B109" s="6">
        <v>2011.0</v>
      </c>
      <c r="C109" s="6" t="s">
        <v>82</v>
      </c>
      <c r="D109" s="6" t="s">
        <v>131</v>
      </c>
      <c r="E109" s="34">
        <v>36557.0</v>
      </c>
      <c r="F109" s="6" t="s">
        <v>656</v>
      </c>
      <c r="G109" s="6" t="s">
        <v>114</v>
      </c>
      <c r="H109" s="6" t="s">
        <v>657</v>
      </c>
      <c r="I109" s="35" t="s">
        <v>132</v>
      </c>
      <c r="J109" s="36">
        <v>105.6</v>
      </c>
      <c r="K109" s="36">
        <v>88.9</v>
      </c>
      <c r="L109" s="36">
        <f t="shared" si="2"/>
        <v>1</v>
      </c>
      <c r="M109" s="36" t="str">
        <f t="shared" si="3"/>
        <v>Regular Season</v>
      </c>
      <c r="N109" s="36" t="str">
        <f>IFERROR(VLOOKUP(I109,Mapped_Owner,2,0),"")</f>
        <v>KnardDawg</v>
      </c>
      <c r="O109" s="6">
        <f>VLOOKUP(D109,'Mapped Opponent'!$G$4:$H$22,2,0)</f>
        <v>2</v>
      </c>
      <c r="P109" s="6"/>
      <c r="Q109" s="6" t="str">
        <f t="shared" si="4"/>
        <v>Week 2</v>
      </c>
      <c r="R109" s="6" t="str">
        <f t="shared" si="5"/>
        <v>2011Week 2</v>
      </c>
      <c r="S109" s="6">
        <f>IFERROR(__xludf.DUMMYFUNCTION("rank(J109,FILTER(J:J,R:R=R109))"),5.0)</f>
        <v>5</v>
      </c>
      <c r="T109" s="6">
        <f t="shared" si="6"/>
        <v>7</v>
      </c>
      <c r="U109" s="6">
        <f t="shared" si="7"/>
        <v>5</v>
      </c>
      <c r="V109" s="42">
        <f>averageif(AllData!A:A,B109,AllData!R:R)/vlookup(B109,AllData!A:O,15,0)</f>
        <v>88.55128205</v>
      </c>
      <c r="W109" s="6"/>
    </row>
    <row r="110" ht="14.25" customHeight="1">
      <c r="A110" s="6" t="str">
        <f t="shared" si="1"/>
        <v>2011Hudspeath3</v>
      </c>
      <c r="B110" s="6">
        <v>2011.0</v>
      </c>
      <c r="C110" s="6" t="s">
        <v>39</v>
      </c>
      <c r="D110" s="6" t="s">
        <v>135</v>
      </c>
      <c r="E110" s="34">
        <v>42006.0</v>
      </c>
      <c r="F110" s="6" t="s">
        <v>659</v>
      </c>
      <c r="G110" s="6" t="s">
        <v>125</v>
      </c>
      <c r="H110" s="6" t="s">
        <v>660</v>
      </c>
      <c r="I110" s="35" t="s">
        <v>158</v>
      </c>
      <c r="J110" s="36">
        <v>67.2</v>
      </c>
      <c r="K110" s="36">
        <v>137.5</v>
      </c>
      <c r="L110" s="36">
        <f t="shared" si="2"/>
        <v>0</v>
      </c>
      <c r="M110" s="36" t="str">
        <f t="shared" si="3"/>
        <v>Regular Season</v>
      </c>
      <c r="N110" s="36" t="str">
        <f>IFERROR(VLOOKUP(I110,Mapped_Owner,2,0),"")</f>
        <v>Guckien</v>
      </c>
      <c r="O110" s="6">
        <f>VLOOKUP(D110,'Mapped Opponent'!$G$4:$H$22,2,0)</f>
        <v>3</v>
      </c>
      <c r="P110" s="6"/>
      <c r="Q110" s="6" t="str">
        <f t="shared" si="4"/>
        <v>Week 3</v>
      </c>
      <c r="R110" s="6" t="str">
        <f t="shared" si="5"/>
        <v>2011Week 3</v>
      </c>
      <c r="S110" s="6">
        <f>IFERROR(__xludf.DUMMYFUNCTION("rank(J110,FILTER(J:J,R:R=R110))"),9.0)</f>
        <v>9</v>
      </c>
      <c r="T110" s="6">
        <f t="shared" si="6"/>
        <v>3</v>
      </c>
      <c r="U110" s="6">
        <f t="shared" si="7"/>
        <v>9</v>
      </c>
      <c r="V110" s="42">
        <f>averageif(AllData!A:A,B110,AllData!R:R)/vlookup(B110,AllData!A:O,15,0)</f>
        <v>88.55128205</v>
      </c>
      <c r="W110" s="6"/>
    </row>
    <row r="111" ht="14.25" customHeight="1">
      <c r="A111" s="6" t="str">
        <f t="shared" si="1"/>
        <v>2011Salty3</v>
      </c>
      <c r="B111" s="6">
        <v>2011.0</v>
      </c>
      <c r="C111" s="6" t="s">
        <v>76</v>
      </c>
      <c r="D111" s="6" t="s">
        <v>135</v>
      </c>
      <c r="E111" s="34">
        <v>42036.0</v>
      </c>
      <c r="F111" s="6" t="s">
        <v>663</v>
      </c>
      <c r="G111" s="6" t="s">
        <v>114</v>
      </c>
      <c r="H111" s="6" t="s">
        <v>664</v>
      </c>
      <c r="I111" s="35" t="s">
        <v>91</v>
      </c>
      <c r="J111" s="36">
        <v>83.0</v>
      </c>
      <c r="K111" s="36">
        <v>93.7</v>
      </c>
      <c r="L111" s="36">
        <f t="shared" si="2"/>
        <v>0</v>
      </c>
      <c r="M111" s="36" t="str">
        <f t="shared" si="3"/>
        <v>Regular Season</v>
      </c>
      <c r="N111" s="36" t="str">
        <f>IFERROR(VLOOKUP(I111,Mapped_Owner,2,0),"")</f>
        <v>Shep</v>
      </c>
      <c r="O111" s="6">
        <f>VLOOKUP(D111,'Mapped Opponent'!$G$4:$H$22,2,0)</f>
        <v>3</v>
      </c>
      <c r="P111" s="6"/>
      <c r="Q111" s="6" t="str">
        <f t="shared" si="4"/>
        <v>Week 3</v>
      </c>
      <c r="R111" s="6" t="str">
        <f t="shared" si="5"/>
        <v>2011Week 3</v>
      </c>
      <c r="S111" s="6">
        <f>IFERROR(__xludf.DUMMYFUNCTION("rank(J111,FILTER(J:J,R:R=R111))"),7.0)</f>
        <v>7</v>
      </c>
      <c r="T111" s="6">
        <f t="shared" si="6"/>
        <v>5</v>
      </c>
      <c r="U111" s="6">
        <f t="shared" si="7"/>
        <v>7</v>
      </c>
      <c r="V111" s="42">
        <f>averageif(AllData!A:A,B111,AllData!R:R)/vlookup(B111,AllData!A:O,15,0)</f>
        <v>88.55128205</v>
      </c>
      <c r="W111" s="6"/>
    </row>
    <row r="112" ht="14.25" customHeight="1">
      <c r="A112" s="6" t="str">
        <f t="shared" si="1"/>
        <v>2011Fellows3</v>
      </c>
      <c r="B112" s="6">
        <v>2011.0</v>
      </c>
      <c r="C112" s="6" t="s">
        <v>79</v>
      </c>
      <c r="D112" s="6" t="s">
        <v>135</v>
      </c>
      <c r="E112" s="34">
        <v>42006.0</v>
      </c>
      <c r="F112" s="6" t="s">
        <v>665</v>
      </c>
      <c r="G112" s="6" t="s">
        <v>125</v>
      </c>
      <c r="H112" s="6" t="s">
        <v>667</v>
      </c>
      <c r="I112" s="35" t="s">
        <v>157</v>
      </c>
      <c r="J112" s="36">
        <v>86.3</v>
      </c>
      <c r="K112" s="36">
        <v>122.0</v>
      </c>
      <c r="L112" s="36">
        <f t="shared" si="2"/>
        <v>0</v>
      </c>
      <c r="M112" s="36" t="str">
        <f t="shared" si="3"/>
        <v>Regular Season</v>
      </c>
      <c r="N112" s="36" t="str">
        <f>IFERROR(VLOOKUP(I112,Mapped_Owner,2,0),"")</f>
        <v>Rooney/Jackson</v>
      </c>
      <c r="O112" s="6">
        <f>VLOOKUP(D112,'Mapped Opponent'!$G$4:$H$22,2,0)</f>
        <v>3</v>
      </c>
      <c r="P112" s="6"/>
      <c r="Q112" s="6" t="str">
        <f t="shared" si="4"/>
        <v>Week 3</v>
      </c>
      <c r="R112" s="6" t="str">
        <f t="shared" si="5"/>
        <v>2011Week 3</v>
      </c>
      <c r="S112" s="6">
        <f>IFERROR(__xludf.DUMMYFUNCTION("rank(J112,FILTER(J:J,R:R=R112))"),6.0)</f>
        <v>6</v>
      </c>
      <c r="T112" s="6">
        <f t="shared" si="6"/>
        <v>6</v>
      </c>
      <c r="U112" s="6">
        <f t="shared" si="7"/>
        <v>6</v>
      </c>
      <c r="V112" s="42">
        <f>averageif(AllData!A:A,B112,AllData!R:R)/vlookup(B112,AllData!A:O,15,0)</f>
        <v>88.55128205</v>
      </c>
      <c r="W112" s="6"/>
    </row>
    <row r="113" ht="14.25" customHeight="1">
      <c r="A113" s="6" t="str">
        <f t="shared" si="1"/>
        <v>2011Shep3</v>
      </c>
      <c r="B113" s="6">
        <v>2011.0</v>
      </c>
      <c r="C113" s="6" t="s">
        <v>89</v>
      </c>
      <c r="D113" s="6" t="s">
        <v>135</v>
      </c>
      <c r="E113" s="34">
        <v>42006.0</v>
      </c>
      <c r="F113" s="6" t="s">
        <v>669</v>
      </c>
      <c r="G113" s="6" t="s">
        <v>125</v>
      </c>
      <c r="H113" s="6" t="s">
        <v>670</v>
      </c>
      <c r="I113" s="35" t="s">
        <v>77</v>
      </c>
      <c r="J113" s="36">
        <v>93.7</v>
      </c>
      <c r="K113" s="36">
        <v>83.0</v>
      </c>
      <c r="L113" s="36">
        <f t="shared" si="2"/>
        <v>1</v>
      </c>
      <c r="M113" s="36" t="str">
        <f t="shared" si="3"/>
        <v>Regular Season</v>
      </c>
      <c r="N113" s="36" t="str">
        <f>IFERROR(VLOOKUP(I113,Mapped_Owner,2,0),"")</f>
        <v>Salty</v>
      </c>
      <c r="O113" s="6">
        <f>VLOOKUP(D113,'Mapped Opponent'!$G$4:$H$22,2,0)</f>
        <v>3</v>
      </c>
      <c r="P113" s="6"/>
      <c r="Q113" s="6" t="str">
        <f t="shared" si="4"/>
        <v>Week 3</v>
      </c>
      <c r="R113" s="6" t="str">
        <f t="shared" si="5"/>
        <v>2011Week 3</v>
      </c>
      <c r="S113" s="6">
        <f>IFERROR(__xludf.DUMMYFUNCTION("rank(J113,FILTER(J:J,R:R=R113))"),5.0)</f>
        <v>5</v>
      </c>
      <c r="T113" s="6">
        <f t="shared" si="6"/>
        <v>7</v>
      </c>
      <c r="U113" s="6">
        <f t="shared" si="7"/>
        <v>5</v>
      </c>
      <c r="V113" s="42">
        <f>averageif(AllData!A:A,B113,AllData!R:R)/vlookup(B113,AllData!A:O,15,0)</f>
        <v>88.55128205</v>
      </c>
      <c r="W113" s="6"/>
    </row>
    <row r="114" ht="14.25" customHeight="1">
      <c r="A114" s="6" t="str">
        <f t="shared" si="1"/>
        <v>2011Guckien3</v>
      </c>
      <c r="B114" s="6">
        <v>2011.0</v>
      </c>
      <c r="C114" s="6" t="s">
        <v>159</v>
      </c>
      <c r="D114" s="6" t="s">
        <v>135</v>
      </c>
      <c r="E114" s="34">
        <v>36586.0</v>
      </c>
      <c r="F114" s="6" t="s">
        <v>673</v>
      </c>
      <c r="G114" s="6" t="s">
        <v>114</v>
      </c>
      <c r="H114" s="6" t="s">
        <v>674</v>
      </c>
      <c r="I114" s="35" t="s">
        <v>64</v>
      </c>
      <c r="J114" s="36">
        <v>137.5</v>
      </c>
      <c r="K114" s="36">
        <v>67.2</v>
      </c>
      <c r="L114" s="36">
        <f t="shared" si="2"/>
        <v>1</v>
      </c>
      <c r="M114" s="36" t="str">
        <f t="shared" si="3"/>
        <v>Regular Season</v>
      </c>
      <c r="N114" s="36" t="str">
        <f>IFERROR(VLOOKUP(I114,Mapped_Owner,2,0),"")</f>
        <v>Hudspeath</v>
      </c>
      <c r="O114" s="6">
        <f>VLOOKUP(D114,'Mapped Opponent'!$G$4:$H$22,2,0)</f>
        <v>3</v>
      </c>
      <c r="P114" s="6"/>
      <c r="Q114" s="6" t="str">
        <f t="shared" si="4"/>
        <v>Week 3</v>
      </c>
      <c r="R114" s="6" t="str">
        <f t="shared" si="5"/>
        <v>2011Week 3</v>
      </c>
      <c r="S114" s="6">
        <f>IFERROR(__xludf.DUMMYFUNCTION("rank(J114,FILTER(J:J,R:R=R114))"),1.0)</f>
        <v>1</v>
      </c>
      <c r="T114" s="6">
        <f t="shared" si="6"/>
        <v>11</v>
      </c>
      <c r="U114" s="6">
        <f t="shared" si="7"/>
        <v>1</v>
      </c>
      <c r="V114" s="42">
        <f>averageif(AllData!A:A,B114,AllData!R:R)/vlookup(B114,AllData!A:O,15,0)</f>
        <v>88.55128205</v>
      </c>
      <c r="W114" s="6"/>
    </row>
    <row r="115" ht="14.25" customHeight="1">
      <c r="A115" s="6" t="str">
        <f t="shared" si="1"/>
        <v>2011Rooney/Jackson3</v>
      </c>
      <c r="B115" s="6">
        <v>2011.0</v>
      </c>
      <c r="C115" s="6" t="s">
        <v>57</v>
      </c>
      <c r="D115" s="6" t="s">
        <v>135</v>
      </c>
      <c r="E115" s="34">
        <v>42006.0</v>
      </c>
      <c r="F115" s="6" t="s">
        <v>675</v>
      </c>
      <c r="G115" s="6" t="s">
        <v>114</v>
      </c>
      <c r="H115" s="6" t="s">
        <v>676</v>
      </c>
      <c r="I115" s="35" t="s">
        <v>80</v>
      </c>
      <c r="J115" s="36">
        <v>122.0</v>
      </c>
      <c r="K115" s="36">
        <v>86.3</v>
      </c>
      <c r="L115" s="36">
        <f t="shared" si="2"/>
        <v>1</v>
      </c>
      <c r="M115" s="36" t="str">
        <f t="shared" si="3"/>
        <v>Regular Season</v>
      </c>
      <c r="N115" s="36" t="str">
        <f>IFERROR(VLOOKUP(I115,Mapped_Owner,2,0),"")</f>
        <v>Fellows</v>
      </c>
      <c r="O115" s="6">
        <f>VLOOKUP(D115,'Mapped Opponent'!$G$4:$H$22,2,0)</f>
        <v>3</v>
      </c>
      <c r="P115" s="6"/>
      <c r="Q115" s="6" t="str">
        <f t="shared" si="4"/>
        <v>Week 3</v>
      </c>
      <c r="R115" s="6" t="str">
        <f t="shared" si="5"/>
        <v>2011Week 3</v>
      </c>
      <c r="S115" s="6">
        <f>IFERROR(__xludf.DUMMYFUNCTION("rank(J115,FILTER(J:J,R:R=R115))"),2.0)</f>
        <v>2</v>
      </c>
      <c r="T115" s="6">
        <f t="shared" si="6"/>
        <v>10</v>
      </c>
      <c r="U115" s="6">
        <f t="shared" si="7"/>
        <v>2</v>
      </c>
      <c r="V115" s="42">
        <f>averageif(AllData!A:A,B115,AllData!R:R)/vlookup(B115,AllData!A:O,15,0)</f>
        <v>88.55128205</v>
      </c>
      <c r="W115" s="6"/>
    </row>
    <row r="116" ht="14.25" customHeight="1">
      <c r="A116" s="6" t="str">
        <f t="shared" si="1"/>
        <v>2011Buser3</v>
      </c>
      <c r="B116" s="6">
        <v>2011.0</v>
      </c>
      <c r="C116" s="6" t="s">
        <v>47</v>
      </c>
      <c r="D116" s="6" t="s">
        <v>135</v>
      </c>
      <c r="E116" s="34">
        <v>42036.0</v>
      </c>
      <c r="F116" s="6" t="s">
        <v>679</v>
      </c>
      <c r="G116" s="6" t="s">
        <v>114</v>
      </c>
      <c r="H116" s="6" t="s">
        <v>680</v>
      </c>
      <c r="I116" s="35" t="s">
        <v>54</v>
      </c>
      <c r="J116" s="36">
        <v>96.4</v>
      </c>
      <c r="K116" s="36">
        <v>77.6</v>
      </c>
      <c r="L116" s="36">
        <f t="shared" si="2"/>
        <v>1</v>
      </c>
      <c r="M116" s="36" t="str">
        <f t="shared" si="3"/>
        <v>Regular Season</v>
      </c>
      <c r="N116" s="36" t="str">
        <f>IFERROR(VLOOKUP(I116,Mapped_Owner,2,0),"")</f>
        <v>Tayski</v>
      </c>
      <c r="O116" s="6">
        <f>VLOOKUP(D116,'Mapped Opponent'!$G$4:$H$22,2,0)</f>
        <v>3</v>
      </c>
      <c r="P116" s="6"/>
      <c r="Q116" s="6" t="str">
        <f t="shared" si="4"/>
        <v>Week 3</v>
      </c>
      <c r="R116" s="6" t="str">
        <f t="shared" si="5"/>
        <v>2011Week 3</v>
      </c>
      <c r="S116" s="6">
        <f>IFERROR(__xludf.DUMMYFUNCTION("rank(J116,FILTER(J:J,R:R=R116))"),4.0)</f>
        <v>4</v>
      </c>
      <c r="T116" s="6">
        <f t="shared" si="6"/>
        <v>8</v>
      </c>
      <c r="U116" s="6">
        <f t="shared" si="7"/>
        <v>4</v>
      </c>
      <c r="V116" s="42">
        <f>averageif(AllData!A:A,B116,AllData!R:R)/vlookup(B116,AllData!A:O,15,0)</f>
        <v>88.55128205</v>
      </c>
      <c r="W116" s="6"/>
    </row>
    <row r="117" ht="14.25" customHeight="1">
      <c r="A117" s="6" t="str">
        <f t="shared" si="1"/>
        <v>2011Pierson3</v>
      </c>
      <c r="B117" s="6">
        <v>2011.0</v>
      </c>
      <c r="C117" s="6" t="s">
        <v>92</v>
      </c>
      <c r="D117" s="6" t="s">
        <v>135</v>
      </c>
      <c r="E117" s="34">
        <v>42036.0</v>
      </c>
      <c r="F117" s="6" t="s">
        <v>682</v>
      </c>
      <c r="G117" s="6" t="s">
        <v>125</v>
      </c>
      <c r="H117" s="6" t="s">
        <v>683</v>
      </c>
      <c r="I117" s="35" t="s">
        <v>85</v>
      </c>
      <c r="J117" s="36">
        <v>99.2</v>
      </c>
      <c r="K117" s="36">
        <v>56.5</v>
      </c>
      <c r="L117" s="36">
        <f t="shared" si="2"/>
        <v>1</v>
      </c>
      <c r="M117" s="36" t="str">
        <f t="shared" si="3"/>
        <v>Regular Season</v>
      </c>
      <c r="N117" s="36" t="str">
        <f>IFERROR(VLOOKUP(I117,Mapped_Owner,2,0),"")</f>
        <v>T-How</v>
      </c>
      <c r="O117" s="6">
        <f>VLOOKUP(D117,'Mapped Opponent'!$G$4:$H$22,2,0)</f>
        <v>3</v>
      </c>
      <c r="P117" s="6"/>
      <c r="Q117" s="6" t="str">
        <f t="shared" si="4"/>
        <v>Week 3</v>
      </c>
      <c r="R117" s="6" t="str">
        <f t="shared" si="5"/>
        <v>2011Week 3</v>
      </c>
      <c r="S117" s="6">
        <f>IFERROR(__xludf.DUMMYFUNCTION("rank(J117,FILTER(J:J,R:R=R117))"),3.0)</f>
        <v>3</v>
      </c>
      <c r="T117" s="6">
        <f t="shared" si="6"/>
        <v>9</v>
      </c>
      <c r="U117" s="6">
        <f t="shared" si="7"/>
        <v>3</v>
      </c>
      <c r="V117" s="42">
        <f>averageif(AllData!A:A,B117,AllData!R:R)/vlookup(B117,AllData!A:O,15,0)</f>
        <v>88.55128205</v>
      </c>
      <c r="W117" s="6"/>
    </row>
    <row r="118" ht="14.25" customHeight="1">
      <c r="A118" s="6" t="str">
        <f t="shared" si="1"/>
        <v>2011Cock3</v>
      </c>
      <c r="B118" s="6">
        <v>2011.0</v>
      </c>
      <c r="C118" s="6" t="s">
        <v>72</v>
      </c>
      <c r="D118" s="6" t="s">
        <v>135</v>
      </c>
      <c r="E118" s="34" t="s">
        <v>684</v>
      </c>
      <c r="F118" s="6" t="s">
        <v>685</v>
      </c>
      <c r="G118" s="6" t="s">
        <v>125</v>
      </c>
      <c r="H118" s="6" t="s">
        <v>686</v>
      </c>
      <c r="I118" s="35" t="s">
        <v>132</v>
      </c>
      <c r="J118" s="36">
        <v>50.1</v>
      </c>
      <c r="K118" s="36">
        <v>59.8</v>
      </c>
      <c r="L118" s="36">
        <f t="shared" si="2"/>
        <v>0</v>
      </c>
      <c r="M118" s="36" t="str">
        <f t="shared" si="3"/>
        <v>Regular Season</v>
      </c>
      <c r="N118" s="36" t="str">
        <f>IFERROR(VLOOKUP(I118,Mapped_Owner,2,0),"")</f>
        <v>KnardDawg</v>
      </c>
      <c r="O118" s="6">
        <f>VLOOKUP(D118,'Mapped Opponent'!$G$4:$H$22,2,0)</f>
        <v>3</v>
      </c>
      <c r="P118" s="6"/>
      <c r="Q118" s="6" t="str">
        <f t="shared" si="4"/>
        <v>Week 3</v>
      </c>
      <c r="R118" s="6" t="str">
        <f t="shared" si="5"/>
        <v>2011Week 3</v>
      </c>
      <c r="S118" s="6">
        <f>IFERROR(__xludf.DUMMYFUNCTION("rank(J118,FILTER(J:J,R:R=R118))"),12.0)</f>
        <v>12</v>
      </c>
      <c r="T118" s="6">
        <f t="shared" si="6"/>
        <v>0</v>
      </c>
      <c r="U118" s="6">
        <f t="shared" si="7"/>
        <v>12</v>
      </c>
      <c r="V118" s="42">
        <f>averageif(AllData!A:A,B118,AllData!R:R)/vlookup(B118,AllData!A:O,15,0)</f>
        <v>88.55128205</v>
      </c>
      <c r="W118" s="6"/>
    </row>
    <row r="119" ht="14.25" customHeight="1">
      <c r="A119" s="6" t="str">
        <f t="shared" si="1"/>
        <v>2011Tayski3</v>
      </c>
      <c r="B119" s="6">
        <v>2011.0</v>
      </c>
      <c r="C119" s="6" t="s">
        <v>52</v>
      </c>
      <c r="D119" s="6" t="s">
        <v>135</v>
      </c>
      <c r="E119" s="34">
        <v>42006.0</v>
      </c>
      <c r="F119" s="6" t="s">
        <v>689</v>
      </c>
      <c r="G119" s="6" t="s">
        <v>125</v>
      </c>
      <c r="H119" s="6" t="s">
        <v>690</v>
      </c>
      <c r="I119" s="35" t="s">
        <v>50</v>
      </c>
      <c r="J119" s="36">
        <v>77.6</v>
      </c>
      <c r="K119" s="36">
        <v>96.4</v>
      </c>
      <c r="L119" s="36">
        <f t="shared" si="2"/>
        <v>0</v>
      </c>
      <c r="M119" s="36" t="str">
        <f t="shared" si="3"/>
        <v>Regular Season</v>
      </c>
      <c r="N119" s="36" t="str">
        <f>IFERROR(VLOOKUP(I119,Mapped_Owner,2,0),"")</f>
        <v>Buser</v>
      </c>
      <c r="O119" s="6">
        <f>VLOOKUP(D119,'Mapped Opponent'!$G$4:$H$22,2,0)</f>
        <v>3</v>
      </c>
      <c r="P119" s="6"/>
      <c r="Q119" s="6" t="str">
        <f t="shared" si="4"/>
        <v>Week 3</v>
      </c>
      <c r="R119" s="6" t="str">
        <f t="shared" si="5"/>
        <v>2011Week 3</v>
      </c>
      <c r="S119" s="6">
        <f>IFERROR(__xludf.DUMMYFUNCTION("rank(J119,FILTER(J:J,R:R=R119))"),8.0)</f>
        <v>8</v>
      </c>
      <c r="T119" s="6">
        <f t="shared" si="6"/>
        <v>4</v>
      </c>
      <c r="U119" s="6">
        <f t="shared" si="7"/>
        <v>8</v>
      </c>
      <c r="V119" s="42">
        <f>averageif(AllData!A:A,B119,AllData!R:R)/vlookup(B119,AllData!A:O,15,0)</f>
        <v>88.55128205</v>
      </c>
      <c r="W119" s="6"/>
    </row>
    <row r="120" ht="14.25" customHeight="1">
      <c r="A120" s="6" t="str">
        <f t="shared" si="1"/>
        <v>2011KnardDawg3</v>
      </c>
      <c r="B120" s="6">
        <v>2011.0</v>
      </c>
      <c r="C120" s="6" t="s">
        <v>86</v>
      </c>
      <c r="D120" s="6" t="s">
        <v>135</v>
      </c>
      <c r="E120" s="34">
        <v>42036.0</v>
      </c>
      <c r="F120" s="6" t="s">
        <v>691</v>
      </c>
      <c r="G120" s="6" t="s">
        <v>114</v>
      </c>
      <c r="H120" s="6" t="s">
        <v>692</v>
      </c>
      <c r="I120" s="35" t="s">
        <v>99</v>
      </c>
      <c r="J120" s="36">
        <v>59.8</v>
      </c>
      <c r="K120" s="36">
        <v>50.1</v>
      </c>
      <c r="L120" s="36">
        <f t="shared" si="2"/>
        <v>1</v>
      </c>
      <c r="M120" s="36" t="str">
        <f t="shared" si="3"/>
        <v>Regular Season</v>
      </c>
      <c r="N120" s="36" t="str">
        <f>IFERROR(VLOOKUP(I120,Mapped_Owner,2,0),"")</f>
        <v>Cock</v>
      </c>
      <c r="O120" s="6">
        <f>VLOOKUP(D120,'Mapped Opponent'!$G$4:$H$22,2,0)</f>
        <v>3</v>
      </c>
      <c r="P120" s="6"/>
      <c r="Q120" s="6" t="str">
        <f t="shared" si="4"/>
        <v>Week 3</v>
      </c>
      <c r="R120" s="6" t="str">
        <f t="shared" si="5"/>
        <v>2011Week 3</v>
      </c>
      <c r="S120" s="6">
        <f>IFERROR(__xludf.DUMMYFUNCTION("rank(J120,FILTER(J:J,R:R=R120))"),10.0)</f>
        <v>10</v>
      </c>
      <c r="T120" s="6">
        <f t="shared" si="6"/>
        <v>2</v>
      </c>
      <c r="U120" s="6">
        <f t="shared" si="7"/>
        <v>10</v>
      </c>
      <c r="V120" s="42">
        <f>averageif(AllData!A:A,B120,AllData!R:R)/vlookup(B120,AllData!A:O,15,0)</f>
        <v>88.55128205</v>
      </c>
      <c r="W120" s="6"/>
    </row>
    <row r="121" ht="14.25" customHeight="1">
      <c r="A121" s="6" t="str">
        <f t="shared" si="1"/>
        <v>2011T-How3</v>
      </c>
      <c r="B121" s="6">
        <v>2011.0</v>
      </c>
      <c r="C121" s="6" t="s">
        <v>82</v>
      </c>
      <c r="D121" s="6" t="s">
        <v>135</v>
      </c>
      <c r="E121" s="34">
        <v>42036.0</v>
      </c>
      <c r="F121" s="6" t="s">
        <v>694</v>
      </c>
      <c r="G121" s="6" t="s">
        <v>114</v>
      </c>
      <c r="H121" s="6" t="s">
        <v>695</v>
      </c>
      <c r="I121" s="35" t="s">
        <v>93</v>
      </c>
      <c r="J121" s="36">
        <v>56.5</v>
      </c>
      <c r="K121" s="36">
        <v>99.2</v>
      </c>
      <c r="L121" s="36">
        <f t="shared" si="2"/>
        <v>0</v>
      </c>
      <c r="M121" s="36" t="str">
        <f t="shared" si="3"/>
        <v>Regular Season</v>
      </c>
      <c r="N121" s="36" t="str">
        <f>IFERROR(VLOOKUP(I121,Mapped_Owner,2,0),"")</f>
        <v>Pierson</v>
      </c>
      <c r="O121" s="6">
        <f>VLOOKUP(D121,'Mapped Opponent'!$G$4:$H$22,2,0)</f>
        <v>3</v>
      </c>
      <c r="P121" s="6"/>
      <c r="Q121" s="6" t="str">
        <f t="shared" si="4"/>
        <v>Week 3</v>
      </c>
      <c r="R121" s="6" t="str">
        <f t="shared" si="5"/>
        <v>2011Week 3</v>
      </c>
      <c r="S121" s="6">
        <f>IFERROR(__xludf.DUMMYFUNCTION("rank(J121,FILTER(J:J,R:R=R121))"),11.0)</f>
        <v>11</v>
      </c>
      <c r="T121" s="6">
        <f t="shared" si="6"/>
        <v>1</v>
      </c>
      <c r="U121" s="6">
        <f t="shared" si="7"/>
        <v>11</v>
      </c>
      <c r="V121" s="42">
        <f>averageif(AllData!A:A,B121,AllData!R:R)/vlookup(B121,AllData!A:O,15,0)</f>
        <v>88.55128205</v>
      </c>
      <c r="W121" s="6"/>
    </row>
    <row r="122" ht="14.25" customHeight="1">
      <c r="A122" s="6" t="str">
        <f t="shared" si="1"/>
        <v>2011Hudspeath4</v>
      </c>
      <c r="B122" s="6">
        <v>2011.0</v>
      </c>
      <c r="C122" s="6" t="s">
        <v>39</v>
      </c>
      <c r="D122" s="6" t="s">
        <v>138</v>
      </c>
      <c r="E122" s="34">
        <v>42037.0</v>
      </c>
      <c r="F122" s="6" t="s">
        <v>696</v>
      </c>
      <c r="G122" s="6" t="s">
        <v>114</v>
      </c>
      <c r="H122" s="6" t="s">
        <v>697</v>
      </c>
      <c r="I122" s="35" t="s">
        <v>80</v>
      </c>
      <c r="J122" s="36">
        <v>73.4</v>
      </c>
      <c r="K122" s="36">
        <v>61.6</v>
      </c>
      <c r="L122" s="36">
        <f t="shared" si="2"/>
        <v>1</v>
      </c>
      <c r="M122" s="36" t="str">
        <f t="shared" si="3"/>
        <v>Regular Season</v>
      </c>
      <c r="N122" s="36" t="str">
        <f>IFERROR(VLOOKUP(I122,Mapped_Owner,2,0),"")</f>
        <v>Fellows</v>
      </c>
      <c r="O122" s="6">
        <f>VLOOKUP(D122,'Mapped Opponent'!$G$4:$H$22,2,0)</f>
        <v>4</v>
      </c>
      <c r="P122" s="6"/>
      <c r="Q122" s="6" t="str">
        <f t="shared" si="4"/>
        <v>Week 4</v>
      </c>
      <c r="R122" s="6" t="str">
        <f t="shared" si="5"/>
        <v>2011Week 4</v>
      </c>
      <c r="S122" s="6">
        <f>IFERROR(__xludf.DUMMYFUNCTION("rank(J122,FILTER(J:J,R:R=R122))"),10.0)</f>
        <v>10</v>
      </c>
      <c r="T122" s="6">
        <f t="shared" si="6"/>
        <v>2</v>
      </c>
      <c r="U122" s="6">
        <f t="shared" si="7"/>
        <v>10</v>
      </c>
      <c r="V122" s="42">
        <f>averageif(AllData!A:A,B122,AllData!R:R)/vlookup(B122,AllData!A:O,15,0)</f>
        <v>88.55128205</v>
      </c>
      <c r="W122" s="6"/>
    </row>
    <row r="123" ht="14.25" customHeight="1">
      <c r="A123" s="6" t="str">
        <f t="shared" si="1"/>
        <v>2011Salty4</v>
      </c>
      <c r="B123" s="6">
        <v>2011.0</v>
      </c>
      <c r="C123" s="6" t="s">
        <v>76</v>
      </c>
      <c r="D123" s="6" t="s">
        <v>138</v>
      </c>
      <c r="E123" s="34">
        <v>42064.0</v>
      </c>
      <c r="F123" s="6" t="s">
        <v>702</v>
      </c>
      <c r="G123" s="6" t="s">
        <v>125</v>
      </c>
      <c r="H123" s="6" t="s">
        <v>703</v>
      </c>
      <c r="I123" s="35" t="s">
        <v>158</v>
      </c>
      <c r="J123" s="36">
        <v>119.6</v>
      </c>
      <c r="K123" s="36">
        <v>87.5</v>
      </c>
      <c r="L123" s="36">
        <f t="shared" si="2"/>
        <v>1</v>
      </c>
      <c r="M123" s="36" t="str">
        <f t="shared" si="3"/>
        <v>Regular Season</v>
      </c>
      <c r="N123" s="36" t="str">
        <f>IFERROR(VLOOKUP(I123,Mapped_Owner,2,0),"")</f>
        <v>Guckien</v>
      </c>
      <c r="O123" s="6">
        <f>VLOOKUP(D123,'Mapped Opponent'!$G$4:$H$22,2,0)</f>
        <v>4</v>
      </c>
      <c r="P123" s="6"/>
      <c r="Q123" s="6" t="str">
        <f t="shared" si="4"/>
        <v>Week 4</v>
      </c>
      <c r="R123" s="6" t="str">
        <f t="shared" si="5"/>
        <v>2011Week 4</v>
      </c>
      <c r="S123" s="6">
        <f>IFERROR(__xludf.DUMMYFUNCTION("rank(J123,FILTER(J:J,R:R=R123))"),2.0)</f>
        <v>2</v>
      </c>
      <c r="T123" s="6">
        <f t="shared" si="6"/>
        <v>10</v>
      </c>
      <c r="U123" s="6">
        <f t="shared" si="7"/>
        <v>2</v>
      </c>
      <c r="V123" s="42">
        <f>averageif(AllData!A:A,B123,AllData!R:R)/vlookup(B123,AllData!A:O,15,0)</f>
        <v>88.55128205</v>
      </c>
      <c r="W123" s="6"/>
    </row>
    <row r="124" ht="14.25" customHeight="1">
      <c r="A124" s="6" t="str">
        <f t="shared" si="1"/>
        <v>2011Fellows4</v>
      </c>
      <c r="B124" s="6">
        <v>2011.0</v>
      </c>
      <c r="C124" s="6" t="s">
        <v>79</v>
      </c>
      <c r="D124" s="6" t="s">
        <v>138</v>
      </c>
      <c r="E124" s="34">
        <v>42007.0</v>
      </c>
      <c r="F124" s="6" t="s">
        <v>704</v>
      </c>
      <c r="G124" s="6" t="s">
        <v>125</v>
      </c>
      <c r="H124" s="6" t="s">
        <v>705</v>
      </c>
      <c r="I124" s="35" t="s">
        <v>64</v>
      </c>
      <c r="J124" s="36">
        <v>61.6</v>
      </c>
      <c r="K124" s="36">
        <v>73.4</v>
      </c>
      <c r="L124" s="36">
        <f t="shared" si="2"/>
        <v>0</v>
      </c>
      <c r="M124" s="36" t="str">
        <f t="shared" si="3"/>
        <v>Regular Season</v>
      </c>
      <c r="N124" s="36" t="str">
        <f>IFERROR(VLOOKUP(I124,Mapped_Owner,2,0),"")</f>
        <v>Hudspeath</v>
      </c>
      <c r="O124" s="6">
        <f>VLOOKUP(D124,'Mapped Opponent'!$G$4:$H$22,2,0)</f>
        <v>4</v>
      </c>
      <c r="P124" s="6"/>
      <c r="Q124" s="6" t="str">
        <f t="shared" si="4"/>
        <v>Week 4</v>
      </c>
      <c r="R124" s="6" t="str">
        <f t="shared" si="5"/>
        <v>2011Week 4</v>
      </c>
      <c r="S124" s="6">
        <f>IFERROR(__xludf.DUMMYFUNCTION("rank(J124,FILTER(J:J,R:R=R124))"),12.0)</f>
        <v>12</v>
      </c>
      <c r="T124" s="6">
        <f t="shared" si="6"/>
        <v>0</v>
      </c>
      <c r="U124" s="6">
        <f t="shared" si="7"/>
        <v>12</v>
      </c>
      <c r="V124" s="42">
        <f>averageif(AllData!A:A,B124,AllData!R:R)/vlookup(B124,AllData!A:O,15,0)</f>
        <v>88.55128205</v>
      </c>
      <c r="W124" s="6"/>
    </row>
    <row r="125" ht="14.25" customHeight="1">
      <c r="A125" s="6" t="str">
        <f t="shared" si="1"/>
        <v>2011Shep4</v>
      </c>
      <c r="B125" s="6">
        <v>2011.0</v>
      </c>
      <c r="C125" s="6" t="s">
        <v>89</v>
      </c>
      <c r="D125" s="6" t="s">
        <v>138</v>
      </c>
      <c r="E125" s="34">
        <v>42037.0</v>
      </c>
      <c r="F125" s="6" t="s">
        <v>709</v>
      </c>
      <c r="G125" s="6" t="s">
        <v>114</v>
      </c>
      <c r="H125" s="6" t="s">
        <v>710</v>
      </c>
      <c r="I125" s="35" t="s">
        <v>157</v>
      </c>
      <c r="J125" s="36">
        <v>132.3</v>
      </c>
      <c r="K125" s="36">
        <v>113.3</v>
      </c>
      <c r="L125" s="36">
        <f t="shared" si="2"/>
        <v>1</v>
      </c>
      <c r="M125" s="36" t="str">
        <f t="shared" si="3"/>
        <v>Regular Season</v>
      </c>
      <c r="N125" s="36" t="str">
        <f>IFERROR(VLOOKUP(I125,Mapped_Owner,2,0),"")</f>
        <v>Rooney/Jackson</v>
      </c>
      <c r="O125" s="6">
        <f>VLOOKUP(D125,'Mapped Opponent'!$G$4:$H$22,2,0)</f>
        <v>4</v>
      </c>
      <c r="P125" s="6"/>
      <c r="Q125" s="6" t="str">
        <f t="shared" si="4"/>
        <v>Week 4</v>
      </c>
      <c r="R125" s="6" t="str">
        <f t="shared" si="5"/>
        <v>2011Week 4</v>
      </c>
      <c r="S125" s="6">
        <f>IFERROR(__xludf.DUMMYFUNCTION("rank(J125,FILTER(J:J,R:R=R125))"),1.0)</f>
        <v>1</v>
      </c>
      <c r="T125" s="6">
        <f t="shared" si="6"/>
        <v>11</v>
      </c>
      <c r="U125" s="6">
        <f t="shared" si="7"/>
        <v>1</v>
      </c>
      <c r="V125" s="42">
        <f>averageif(AllData!A:A,B125,AllData!R:R)/vlookup(B125,AllData!A:O,15,0)</f>
        <v>88.55128205</v>
      </c>
      <c r="W125" s="6"/>
    </row>
    <row r="126" ht="14.25" customHeight="1">
      <c r="A126" s="6" t="str">
        <f t="shared" si="1"/>
        <v>2011Guckien4</v>
      </c>
      <c r="B126" s="6">
        <v>2011.0</v>
      </c>
      <c r="C126" s="6" t="s">
        <v>159</v>
      </c>
      <c r="D126" s="6" t="s">
        <v>138</v>
      </c>
      <c r="E126" s="34">
        <v>42064.0</v>
      </c>
      <c r="F126" s="6" t="s">
        <v>711</v>
      </c>
      <c r="G126" s="6" t="s">
        <v>114</v>
      </c>
      <c r="H126" s="6" t="s">
        <v>712</v>
      </c>
      <c r="I126" s="35" t="s">
        <v>77</v>
      </c>
      <c r="J126" s="36">
        <v>87.5</v>
      </c>
      <c r="K126" s="36">
        <v>119.6</v>
      </c>
      <c r="L126" s="36">
        <f t="shared" si="2"/>
        <v>0</v>
      </c>
      <c r="M126" s="36" t="str">
        <f t="shared" si="3"/>
        <v>Regular Season</v>
      </c>
      <c r="N126" s="36" t="str">
        <f>IFERROR(VLOOKUP(I126,Mapped_Owner,2,0),"")</f>
        <v>Salty</v>
      </c>
      <c r="O126" s="6">
        <f>VLOOKUP(D126,'Mapped Opponent'!$G$4:$H$22,2,0)</f>
        <v>4</v>
      </c>
      <c r="P126" s="6"/>
      <c r="Q126" s="6" t="str">
        <f t="shared" si="4"/>
        <v>Week 4</v>
      </c>
      <c r="R126" s="6" t="str">
        <f t="shared" si="5"/>
        <v>2011Week 4</v>
      </c>
      <c r="S126" s="6">
        <f>IFERROR(__xludf.DUMMYFUNCTION("rank(J126,FILTER(J:J,R:R=R126))"),8.0)</f>
        <v>8</v>
      </c>
      <c r="T126" s="6">
        <f t="shared" si="6"/>
        <v>4</v>
      </c>
      <c r="U126" s="6">
        <f t="shared" si="7"/>
        <v>8</v>
      </c>
      <c r="V126" s="42">
        <f>averageif(AllData!A:A,B126,AllData!R:R)/vlookup(B126,AllData!A:O,15,0)</f>
        <v>88.55128205</v>
      </c>
      <c r="W126" s="6"/>
    </row>
    <row r="127" ht="14.25" customHeight="1">
      <c r="A127" s="6" t="str">
        <f t="shared" si="1"/>
        <v>2011Rooney/Jackson4</v>
      </c>
      <c r="B127" s="6">
        <v>2011.0</v>
      </c>
      <c r="C127" s="6" t="s">
        <v>57</v>
      </c>
      <c r="D127" s="6" t="s">
        <v>138</v>
      </c>
      <c r="E127" s="34">
        <v>42007.0</v>
      </c>
      <c r="F127" s="6" t="s">
        <v>715</v>
      </c>
      <c r="G127" s="6" t="s">
        <v>125</v>
      </c>
      <c r="H127" s="6" t="s">
        <v>716</v>
      </c>
      <c r="I127" s="35" t="s">
        <v>91</v>
      </c>
      <c r="J127" s="36">
        <v>113.3</v>
      </c>
      <c r="K127" s="36">
        <v>132.3</v>
      </c>
      <c r="L127" s="36">
        <f t="shared" si="2"/>
        <v>0</v>
      </c>
      <c r="M127" s="36" t="str">
        <f t="shared" si="3"/>
        <v>Regular Season</v>
      </c>
      <c r="N127" s="36" t="str">
        <f>IFERROR(VLOOKUP(I127,Mapped_Owner,2,0),"")</f>
        <v>Shep</v>
      </c>
      <c r="O127" s="6">
        <f>VLOOKUP(D127,'Mapped Opponent'!$G$4:$H$22,2,0)</f>
        <v>4</v>
      </c>
      <c r="P127" s="6"/>
      <c r="Q127" s="6" t="str">
        <f t="shared" si="4"/>
        <v>Week 4</v>
      </c>
      <c r="R127" s="6" t="str">
        <f t="shared" si="5"/>
        <v>2011Week 4</v>
      </c>
      <c r="S127" s="6">
        <f>IFERROR(__xludf.DUMMYFUNCTION("rank(J127,FILTER(J:J,R:R=R127))"),3.0)</f>
        <v>3</v>
      </c>
      <c r="T127" s="6">
        <f t="shared" si="6"/>
        <v>9</v>
      </c>
      <c r="U127" s="6">
        <f t="shared" si="7"/>
        <v>3</v>
      </c>
      <c r="V127" s="42">
        <f>averageif(AllData!A:A,B127,AllData!R:R)/vlookup(B127,AllData!A:O,15,0)</f>
        <v>88.55128205</v>
      </c>
      <c r="W127" s="6"/>
    </row>
    <row r="128" ht="14.25" customHeight="1">
      <c r="A128" s="6" t="str">
        <f t="shared" si="1"/>
        <v>2011Buser4</v>
      </c>
      <c r="B128" s="6">
        <v>2011.0</v>
      </c>
      <c r="C128" s="6" t="s">
        <v>47</v>
      </c>
      <c r="D128" s="6" t="s">
        <v>138</v>
      </c>
      <c r="E128" s="34">
        <v>42037.0</v>
      </c>
      <c r="F128" s="6" t="s">
        <v>717</v>
      </c>
      <c r="G128" s="6" t="s">
        <v>125</v>
      </c>
      <c r="H128" s="6" t="s">
        <v>718</v>
      </c>
      <c r="I128" s="35" t="s">
        <v>132</v>
      </c>
      <c r="J128" s="36">
        <v>91.4</v>
      </c>
      <c r="K128" s="36">
        <v>108.1</v>
      </c>
      <c r="L128" s="36">
        <f t="shared" si="2"/>
        <v>0</v>
      </c>
      <c r="M128" s="36" t="str">
        <f t="shared" si="3"/>
        <v>Regular Season</v>
      </c>
      <c r="N128" s="36" t="str">
        <f>IFERROR(VLOOKUP(I128,Mapped_Owner,2,0),"")</f>
        <v>KnardDawg</v>
      </c>
      <c r="O128" s="6">
        <f>VLOOKUP(D128,'Mapped Opponent'!$G$4:$H$22,2,0)</f>
        <v>4</v>
      </c>
      <c r="P128" s="6"/>
      <c r="Q128" s="6" t="str">
        <f t="shared" si="4"/>
        <v>Week 4</v>
      </c>
      <c r="R128" s="6" t="str">
        <f t="shared" si="5"/>
        <v>2011Week 4</v>
      </c>
      <c r="S128" s="6">
        <f>IFERROR(__xludf.DUMMYFUNCTION("rank(J128,FILTER(J:J,R:R=R128))"),7.0)</f>
        <v>7</v>
      </c>
      <c r="T128" s="6">
        <f t="shared" si="6"/>
        <v>5</v>
      </c>
      <c r="U128" s="6">
        <f t="shared" si="7"/>
        <v>7</v>
      </c>
      <c r="V128" s="42">
        <f>averageif(AllData!A:A,B128,AllData!R:R)/vlookup(B128,AllData!A:O,15,0)</f>
        <v>88.55128205</v>
      </c>
      <c r="W128" s="6"/>
    </row>
    <row r="129" ht="14.25" customHeight="1">
      <c r="A129" s="6" t="str">
        <f t="shared" si="1"/>
        <v>2011Pierson4</v>
      </c>
      <c r="B129" s="6">
        <v>2011.0</v>
      </c>
      <c r="C129" s="6" t="s">
        <v>92</v>
      </c>
      <c r="D129" s="6" t="s">
        <v>138</v>
      </c>
      <c r="E129" s="34">
        <v>42037.0</v>
      </c>
      <c r="F129" s="6" t="s">
        <v>721</v>
      </c>
      <c r="G129" s="6" t="s">
        <v>125</v>
      </c>
      <c r="H129" s="6" t="s">
        <v>722</v>
      </c>
      <c r="I129" s="35" t="s">
        <v>99</v>
      </c>
      <c r="J129" s="36">
        <v>105.5</v>
      </c>
      <c r="K129" s="36">
        <v>110.8</v>
      </c>
      <c r="L129" s="36">
        <f t="shared" si="2"/>
        <v>0</v>
      </c>
      <c r="M129" s="36" t="str">
        <f t="shared" si="3"/>
        <v>Regular Season</v>
      </c>
      <c r="N129" s="36" t="str">
        <f>IFERROR(VLOOKUP(I129,Mapped_Owner,2,0),"")</f>
        <v>Cock</v>
      </c>
      <c r="O129" s="6">
        <f>VLOOKUP(D129,'Mapped Opponent'!$G$4:$H$22,2,0)</f>
        <v>4</v>
      </c>
      <c r="P129" s="6"/>
      <c r="Q129" s="6" t="str">
        <f t="shared" si="4"/>
        <v>Week 4</v>
      </c>
      <c r="R129" s="6" t="str">
        <f t="shared" si="5"/>
        <v>2011Week 4</v>
      </c>
      <c r="S129" s="6">
        <f>IFERROR(__xludf.DUMMYFUNCTION("rank(J129,FILTER(J:J,R:R=R129))"),6.0)</f>
        <v>6</v>
      </c>
      <c r="T129" s="6">
        <f t="shared" si="6"/>
        <v>6</v>
      </c>
      <c r="U129" s="6">
        <f t="shared" si="7"/>
        <v>6</v>
      </c>
      <c r="V129" s="42">
        <f>averageif(AllData!A:A,B129,AllData!R:R)/vlookup(B129,AllData!A:O,15,0)</f>
        <v>88.55128205</v>
      </c>
      <c r="W129" s="6"/>
    </row>
    <row r="130" ht="14.25" customHeight="1">
      <c r="A130" s="6" t="str">
        <f t="shared" si="1"/>
        <v>2011Cock4</v>
      </c>
      <c r="B130" s="6">
        <v>2011.0</v>
      </c>
      <c r="C130" s="6" t="s">
        <v>72</v>
      </c>
      <c r="D130" s="6" t="s">
        <v>138</v>
      </c>
      <c r="E130" s="34">
        <v>42007.0</v>
      </c>
      <c r="F130" s="6" t="s">
        <v>723</v>
      </c>
      <c r="G130" s="6" t="s">
        <v>114</v>
      </c>
      <c r="H130" s="6" t="s">
        <v>724</v>
      </c>
      <c r="I130" s="35" t="s">
        <v>93</v>
      </c>
      <c r="J130" s="36">
        <v>110.8</v>
      </c>
      <c r="K130" s="36">
        <v>105.5</v>
      </c>
      <c r="L130" s="36">
        <f t="shared" si="2"/>
        <v>1</v>
      </c>
      <c r="M130" s="36" t="str">
        <f t="shared" si="3"/>
        <v>Regular Season</v>
      </c>
      <c r="N130" s="36" t="str">
        <f>IFERROR(VLOOKUP(I130,Mapped_Owner,2,0),"")</f>
        <v>Pierson</v>
      </c>
      <c r="O130" s="6">
        <f>VLOOKUP(D130,'Mapped Opponent'!$G$4:$H$22,2,0)</f>
        <v>4</v>
      </c>
      <c r="P130" s="6"/>
      <c r="Q130" s="6" t="str">
        <f t="shared" si="4"/>
        <v>Week 4</v>
      </c>
      <c r="R130" s="6" t="str">
        <f t="shared" si="5"/>
        <v>2011Week 4</v>
      </c>
      <c r="S130" s="6">
        <f>IFERROR(__xludf.DUMMYFUNCTION("rank(J130,FILTER(J:J,R:R=R130))"),4.0)</f>
        <v>4</v>
      </c>
      <c r="T130" s="6">
        <f t="shared" si="6"/>
        <v>8</v>
      </c>
      <c r="U130" s="6">
        <f t="shared" si="7"/>
        <v>4</v>
      </c>
      <c r="V130" s="42">
        <f>averageif(AllData!A:A,B130,AllData!R:R)/vlookup(B130,AllData!A:O,15,0)</f>
        <v>88.55128205</v>
      </c>
      <c r="W130" s="6"/>
    </row>
    <row r="131" ht="14.25" customHeight="1">
      <c r="A131" s="6" t="str">
        <f t="shared" si="1"/>
        <v>2011Tayski4</v>
      </c>
      <c r="B131" s="6">
        <v>2011.0</v>
      </c>
      <c r="C131" s="6" t="s">
        <v>52</v>
      </c>
      <c r="D131" s="6" t="s">
        <v>138</v>
      </c>
      <c r="E131" s="34">
        <v>42007.0</v>
      </c>
      <c r="F131" s="6" t="s">
        <v>726</v>
      </c>
      <c r="G131" s="6" t="s">
        <v>114</v>
      </c>
      <c r="H131" s="6" t="s">
        <v>727</v>
      </c>
      <c r="I131" s="35" t="s">
        <v>85</v>
      </c>
      <c r="J131" s="36">
        <v>63.3</v>
      </c>
      <c r="K131" s="36">
        <v>86.1</v>
      </c>
      <c r="L131" s="36">
        <f t="shared" si="2"/>
        <v>0</v>
      </c>
      <c r="M131" s="36" t="str">
        <f t="shared" si="3"/>
        <v>Regular Season</v>
      </c>
      <c r="N131" s="36" t="str">
        <f>IFERROR(VLOOKUP(I131,Mapped_Owner,2,0),"")</f>
        <v>T-How</v>
      </c>
      <c r="O131" s="6">
        <f>VLOOKUP(D131,'Mapped Opponent'!$G$4:$H$22,2,0)</f>
        <v>4</v>
      </c>
      <c r="P131" s="6"/>
      <c r="Q131" s="6" t="str">
        <f t="shared" si="4"/>
        <v>Week 4</v>
      </c>
      <c r="R131" s="6" t="str">
        <f t="shared" si="5"/>
        <v>2011Week 4</v>
      </c>
      <c r="S131" s="6">
        <f>IFERROR(__xludf.DUMMYFUNCTION("rank(J131,FILTER(J:J,R:R=R131))"),11.0)</f>
        <v>11</v>
      </c>
      <c r="T131" s="6">
        <f t="shared" si="6"/>
        <v>1</v>
      </c>
      <c r="U131" s="6">
        <f t="shared" si="7"/>
        <v>11</v>
      </c>
      <c r="V131" s="42">
        <f>averageif(AllData!A:A,B131,AllData!R:R)/vlookup(B131,AllData!A:O,15,0)</f>
        <v>88.55128205</v>
      </c>
      <c r="W131" s="6"/>
    </row>
    <row r="132" ht="14.25" customHeight="1">
      <c r="A132" s="6" t="str">
        <f t="shared" si="1"/>
        <v>2011KnardDawg4</v>
      </c>
      <c r="B132" s="6">
        <v>2011.0</v>
      </c>
      <c r="C132" s="6" t="s">
        <v>86</v>
      </c>
      <c r="D132" s="6" t="s">
        <v>138</v>
      </c>
      <c r="E132" s="34">
        <v>42064.0</v>
      </c>
      <c r="F132" s="6" t="s">
        <v>728</v>
      </c>
      <c r="G132" s="6" t="s">
        <v>114</v>
      </c>
      <c r="H132" s="6" t="s">
        <v>729</v>
      </c>
      <c r="I132" s="35" t="s">
        <v>50</v>
      </c>
      <c r="J132" s="36">
        <v>108.1</v>
      </c>
      <c r="K132" s="36">
        <v>91.4</v>
      </c>
      <c r="L132" s="36">
        <f t="shared" si="2"/>
        <v>1</v>
      </c>
      <c r="M132" s="36" t="str">
        <f t="shared" si="3"/>
        <v>Regular Season</v>
      </c>
      <c r="N132" s="36" t="str">
        <f>IFERROR(VLOOKUP(I132,Mapped_Owner,2,0),"")</f>
        <v>Buser</v>
      </c>
      <c r="O132" s="6">
        <f>VLOOKUP(D132,'Mapped Opponent'!$G$4:$H$22,2,0)</f>
        <v>4</v>
      </c>
      <c r="P132" s="6"/>
      <c r="Q132" s="6" t="str">
        <f t="shared" si="4"/>
        <v>Week 4</v>
      </c>
      <c r="R132" s="6" t="str">
        <f t="shared" si="5"/>
        <v>2011Week 4</v>
      </c>
      <c r="S132" s="6">
        <f>IFERROR(__xludf.DUMMYFUNCTION("rank(J132,FILTER(J:J,R:R=R132))"),5.0)</f>
        <v>5</v>
      </c>
      <c r="T132" s="6">
        <f t="shared" si="6"/>
        <v>7</v>
      </c>
      <c r="U132" s="6">
        <f t="shared" si="7"/>
        <v>5</v>
      </c>
      <c r="V132" s="42">
        <f>averageif(AllData!A:A,B132,AllData!R:R)/vlookup(B132,AllData!A:O,15,0)</f>
        <v>88.55128205</v>
      </c>
      <c r="W132" s="6"/>
    </row>
    <row r="133" ht="14.25" customHeight="1">
      <c r="A133" s="6" t="str">
        <f t="shared" si="1"/>
        <v>2011T-How4</v>
      </c>
      <c r="B133" s="6">
        <v>2011.0</v>
      </c>
      <c r="C133" s="6" t="s">
        <v>82</v>
      </c>
      <c r="D133" s="6" t="s">
        <v>138</v>
      </c>
      <c r="E133" s="34">
        <v>42064.0</v>
      </c>
      <c r="F133" s="6" t="s">
        <v>733</v>
      </c>
      <c r="G133" s="6" t="s">
        <v>125</v>
      </c>
      <c r="H133" s="6" t="s">
        <v>734</v>
      </c>
      <c r="I133" s="35" t="s">
        <v>54</v>
      </c>
      <c r="J133" s="36">
        <v>86.1</v>
      </c>
      <c r="K133" s="36">
        <v>63.3</v>
      </c>
      <c r="L133" s="36">
        <f t="shared" si="2"/>
        <v>1</v>
      </c>
      <c r="M133" s="36" t="str">
        <f t="shared" si="3"/>
        <v>Regular Season</v>
      </c>
      <c r="N133" s="36" t="str">
        <f>IFERROR(VLOOKUP(I133,Mapped_Owner,2,0),"")</f>
        <v>Tayski</v>
      </c>
      <c r="O133" s="6">
        <f>VLOOKUP(D133,'Mapped Opponent'!$G$4:$H$22,2,0)</f>
        <v>4</v>
      </c>
      <c r="P133" s="6"/>
      <c r="Q133" s="6" t="str">
        <f t="shared" si="4"/>
        <v>Week 4</v>
      </c>
      <c r="R133" s="6" t="str">
        <f t="shared" si="5"/>
        <v>2011Week 4</v>
      </c>
      <c r="S133" s="6">
        <f>IFERROR(__xludf.DUMMYFUNCTION("rank(J133,FILTER(J:J,R:R=R133))"),9.0)</f>
        <v>9</v>
      </c>
      <c r="T133" s="6">
        <f t="shared" si="6"/>
        <v>3</v>
      </c>
      <c r="U133" s="6">
        <f t="shared" si="7"/>
        <v>9</v>
      </c>
      <c r="V133" s="42">
        <f>averageif(AllData!A:A,B133,AllData!R:R)/vlookup(B133,AllData!A:O,15,0)</f>
        <v>88.55128205</v>
      </c>
      <c r="W133" s="6"/>
    </row>
    <row r="134" ht="14.25" customHeight="1">
      <c r="A134" s="6" t="str">
        <f t="shared" si="1"/>
        <v>2011Hudspeath5</v>
      </c>
      <c r="B134" s="6">
        <v>2011.0</v>
      </c>
      <c r="C134" s="6" t="s">
        <v>39</v>
      </c>
      <c r="D134" s="6" t="s">
        <v>141</v>
      </c>
      <c r="E134" s="34">
        <v>42038.0</v>
      </c>
      <c r="F134" s="6" t="s">
        <v>735</v>
      </c>
      <c r="G134" s="6" t="s">
        <v>114</v>
      </c>
      <c r="H134" s="6" t="s">
        <v>736</v>
      </c>
      <c r="I134" s="35" t="s">
        <v>91</v>
      </c>
      <c r="J134" s="36">
        <v>94.7</v>
      </c>
      <c r="K134" s="36">
        <v>113.6</v>
      </c>
      <c r="L134" s="36">
        <f t="shared" si="2"/>
        <v>0</v>
      </c>
      <c r="M134" s="36" t="str">
        <f t="shared" si="3"/>
        <v>Regular Season</v>
      </c>
      <c r="N134" s="36" t="str">
        <f>IFERROR(VLOOKUP(I134,Mapped_Owner,2,0),"")</f>
        <v>Shep</v>
      </c>
      <c r="O134" s="6">
        <f>VLOOKUP(D134,'Mapped Opponent'!$G$4:$H$22,2,0)</f>
        <v>5</v>
      </c>
      <c r="P134" s="6"/>
      <c r="Q134" s="6" t="str">
        <f t="shared" si="4"/>
        <v>Week 5</v>
      </c>
      <c r="R134" s="6" t="str">
        <f t="shared" si="5"/>
        <v>2011Week 5</v>
      </c>
      <c r="S134" s="6">
        <f>IFERROR(__xludf.DUMMYFUNCTION("rank(J134,FILTER(J:J,R:R=R134))"),3.0)</f>
        <v>3</v>
      </c>
      <c r="T134" s="6">
        <f t="shared" si="6"/>
        <v>9</v>
      </c>
      <c r="U134" s="6">
        <f t="shared" si="7"/>
        <v>3</v>
      </c>
      <c r="V134" s="42">
        <f>averageif(AllData!A:A,B134,AllData!R:R)/vlookup(B134,AllData!A:O,15,0)</f>
        <v>88.55128205</v>
      </c>
      <c r="W134" s="6"/>
    </row>
    <row r="135" ht="14.25" customHeight="1">
      <c r="A135" s="6" t="str">
        <f t="shared" si="1"/>
        <v>2011Salty5</v>
      </c>
      <c r="B135" s="6">
        <v>2011.0</v>
      </c>
      <c r="C135" s="6" t="s">
        <v>76</v>
      </c>
      <c r="D135" s="6" t="s">
        <v>141</v>
      </c>
      <c r="E135" s="34">
        <v>42065.0</v>
      </c>
      <c r="F135" s="6" t="s">
        <v>740</v>
      </c>
      <c r="G135" s="6" t="s">
        <v>114</v>
      </c>
      <c r="H135" s="6" t="s">
        <v>741</v>
      </c>
      <c r="I135" s="35" t="s">
        <v>157</v>
      </c>
      <c r="J135" s="36">
        <v>64.2</v>
      </c>
      <c r="K135" s="36">
        <v>81.2</v>
      </c>
      <c r="L135" s="36">
        <f t="shared" si="2"/>
        <v>0</v>
      </c>
      <c r="M135" s="36" t="str">
        <f t="shared" si="3"/>
        <v>Regular Season</v>
      </c>
      <c r="N135" s="36" t="str">
        <f>IFERROR(VLOOKUP(I135,Mapped_Owner,2,0),"")</f>
        <v>Rooney/Jackson</v>
      </c>
      <c r="O135" s="6">
        <f>VLOOKUP(D135,'Mapped Opponent'!$G$4:$H$22,2,0)</f>
        <v>5</v>
      </c>
      <c r="P135" s="6"/>
      <c r="Q135" s="6" t="str">
        <f t="shared" si="4"/>
        <v>Week 5</v>
      </c>
      <c r="R135" s="6" t="str">
        <f t="shared" si="5"/>
        <v>2011Week 5</v>
      </c>
      <c r="S135" s="6">
        <f>IFERROR(__xludf.DUMMYFUNCTION("rank(J135,FILTER(J:J,R:R=R135))"),11.0)</f>
        <v>11</v>
      </c>
      <c r="T135" s="6">
        <f t="shared" si="6"/>
        <v>1</v>
      </c>
      <c r="U135" s="6">
        <f t="shared" si="7"/>
        <v>11</v>
      </c>
      <c r="V135" s="42">
        <f>averageif(AllData!A:A,B135,AllData!R:R)/vlookup(B135,AllData!A:O,15,0)</f>
        <v>88.55128205</v>
      </c>
      <c r="W135" s="6"/>
    </row>
    <row r="136" ht="14.25" customHeight="1">
      <c r="A136" s="6" t="str">
        <f t="shared" si="1"/>
        <v>2011Fellows5</v>
      </c>
      <c r="B136" s="6">
        <v>2011.0</v>
      </c>
      <c r="C136" s="6" t="s">
        <v>79</v>
      </c>
      <c r="D136" s="6" t="s">
        <v>141</v>
      </c>
      <c r="E136" s="34">
        <v>42038.0</v>
      </c>
      <c r="F136" s="6" t="s">
        <v>742</v>
      </c>
      <c r="G136" s="6" t="s">
        <v>114</v>
      </c>
      <c r="H136" s="6" t="s">
        <v>743</v>
      </c>
      <c r="I136" s="35" t="s">
        <v>158</v>
      </c>
      <c r="J136" s="36">
        <v>83.3</v>
      </c>
      <c r="K136" s="36">
        <v>81.6</v>
      </c>
      <c r="L136" s="36">
        <f t="shared" si="2"/>
        <v>1</v>
      </c>
      <c r="M136" s="36" t="str">
        <f t="shared" si="3"/>
        <v>Regular Season</v>
      </c>
      <c r="N136" s="36" t="str">
        <f>IFERROR(VLOOKUP(I136,Mapped_Owner,2,0),"")</f>
        <v>Guckien</v>
      </c>
      <c r="O136" s="6">
        <f>VLOOKUP(D136,'Mapped Opponent'!$G$4:$H$22,2,0)</f>
        <v>5</v>
      </c>
      <c r="P136" s="6"/>
      <c r="Q136" s="6" t="str">
        <f t="shared" si="4"/>
        <v>Week 5</v>
      </c>
      <c r="R136" s="6" t="str">
        <f t="shared" si="5"/>
        <v>2011Week 5</v>
      </c>
      <c r="S136" s="6">
        <f>IFERROR(__xludf.DUMMYFUNCTION("rank(J136,FILTER(J:J,R:R=R136))"),6.0)</f>
        <v>6</v>
      </c>
      <c r="T136" s="6">
        <f t="shared" si="6"/>
        <v>6</v>
      </c>
      <c r="U136" s="6">
        <f t="shared" si="7"/>
        <v>6</v>
      </c>
      <c r="V136" s="42">
        <f>averageif(AllData!A:A,B136,AllData!R:R)/vlookup(B136,AllData!A:O,15,0)</f>
        <v>88.55128205</v>
      </c>
      <c r="W136" s="6"/>
    </row>
    <row r="137" ht="14.25" customHeight="1">
      <c r="A137" s="6" t="str">
        <f t="shared" si="1"/>
        <v>2011Shep5</v>
      </c>
      <c r="B137" s="6">
        <v>2011.0</v>
      </c>
      <c r="C137" s="6" t="s">
        <v>89</v>
      </c>
      <c r="D137" s="6" t="s">
        <v>141</v>
      </c>
      <c r="E137" s="34">
        <v>42065.0</v>
      </c>
      <c r="F137" s="6" t="s">
        <v>746</v>
      </c>
      <c r="G137" s="6" t="s">
        <v>125</v>
      </c>
      <c r="H137" s="6" t="s">
        <v>749</v>
      </c>
      <c r="I137" s="35" t="s">
        <v>64</v>
      </c>
      <c r="J137" s="36">
        <v>113.6</v>
      </c>
      <c r="K137" s="36">
        <v>94.7</v>
      </c>
      <c r="L137" s="36">
        <f t="shared" si="2"/>
        <v>1</v>
      </c>
      <c r="M137" s="36" t="str">
        <f t="shared" si="3"/>
        <v>Regular Season</v>
      </c>
      <c r="N137" s="36" t="str">
        <f>IFERROR(VLOOKUP(I137,Mapped_Owner,2,0),"")</f>
        <v>Hudspeath</v>
      </c>
      <c r="O137" s="6">
        <f>VLOOKUP(D137,'Mapped Opponent'!$G$4:$H$22,2,0)</f>
        <v>5</v>
      </c>
      <c r="P137" s="6"/>
      <c r="Q137" s="6" t="str">
        <f t="shared" si="4"/>
        <v>Week 5</v>
      </c>
      <c r="R137" s="6" t="str">
        <f t="shared" si="5"/>
        <v>2011Week 5</v>
      </c>
      <c r="S137" s="6">
        <f>IFERROR(__xludf.DUMMYFUNCTION("rank(J137,FILTER(J:J,R:R=R137))"),1.0)</f>
        <v>1</v>
      </c>
      <c r="T137" s="6">
        <f t="shared" si="6"/>
        <v>11</v>
      </c>
      <c r="U137" s="6">
        <f t="shared" si="7"/>
        <v>1</v>
      </c>
      <c r="V137" s="42">
        <f>averageif(AllData!A:A,B137,AllData!R:R)/vlookup(B137,AllData!A:O,15,0)</f>
        <v>88.55128205</v>
      </c>
      <c r="W137" s="6"/>
    </row>
    <row r="138" ht="14.25" customHeight="1">
      <c r="A138" s="6" t="str">
        <f t="shared" si="1"/>
        <v>2011Guckien5</v>
      </c>
      <c r="B138" s="6">
        <v>2011.0</v>
      </c>
      <c r="C138" s="6" t="s">
        <v>159</v>
      </c>
      <c r="D138" s="6" t="s">
        <v>141</v>
      </c>
      <c r="E138" s="34">
        <v>42065.0</v>
      </c>
      <c r="F138" s="6" t="s">
        <v>751</v>
      </c>
      <c r="G138" s="6" t="s">
        <v>125</v>
      </c>
      <c r="H138" s="6" t="s">
        <v>752</v>
      </c>
      <c r="I138" s="35" t="s">
        <v>80</v>
      </c>
      <c r="J138" s="36">
        <v>81.6</v>
      </c>
      <c r="K138" s="36">
        <v>83.3</v>
      </c>
      <c r="L138" s="36">
        <f t="shared" si="2"/>
        <v>0</v>
      </c>
      <c r="M138" s="36" t="str">
        <f t="shared" si="3"/>
        <v>Regular Season</v>
      </c>
      <c r="N138" s="36" t="str">
        <f>IFERROR(VLOOKUP(I138,Mapped_Owner,2,0),"")</f>
        <v>Fellows</v>
      </c>
      <c r="O138" s="6">
        <f>VLOOKUP(D138,'Mapped Opponent'!$G$4:$H$22,2,0)</f>
        <v>5</v>
      </c>
      <c r="P138" s="6"/>
      <c r="Q138" s="6" t="str">
        <f t="shared" si="4"/>
        <v>Week 5</v>
      </c>
      <c r="R138" s="6" t="str">
        <f t="shared" si="5"/>
        <v>2011Week 5</v>
      </c>
      <c r="S138" s="6">
        <f>IFERROR(__xludf.DUMMYFUNCTION("rank(J138,FILTER(J:J,R:R=R138))"),7.0)</f>
        <v>7</v>
      </c>
      <c r="T138" s="6">
        <f t="shared" si="6"/>
        <v>5</v>
      </c>
      <c r="U138" s="6">
        <f t="shared" si="7"/>
        <v>7</v>
      </c>
      <c r="V138" s="42">
        <f>averageif(AllData!A:A,B138,AllData!R:R)/vlookup(B138,AllData!A:O,15,0)</f>
        <v>88.55128205</v>
      </c>
      <c r="W138" s="6"/>
    </row>
    <row r="139" ht="14.25" customHeight="1">
      <c r="A139" s="6" t="str">
        <f t="shared" si="1"/>
        <v>2011Rooney/Jackson5</v>
      </c>
      <c r="B139" s="6">
        <v>2011.0</v>
      </c>
      <c r="C139" s="6" t="s">
        <v>57</v>
      </c>
      <c r="D139" s="6" t="s">
        <v>141</v>
      </c>
      <c r="E139" s="34">
        <v>42038.0</v>
      </c>
      <c r="F139" s="6" t="s">
        <v>753</v>
      </c>
      <c r="G139" s="6" t="s">
        <v>125</v>
      </c>
      <c r="H139" s="6" t="s">
        <v>754</v>
      </c>
      <c r="I139" s="35" t="s">
        <v>77</v>
      </c>
      <c r="J139" s="36">
        <v>81.2</v>
      </c>
      <c r="K139" s="36">
        <v>64.2</v>
      </c>
      <c r="L139" s="36">
        <f t="shared" si="2"/>
        <v>1</v>
      </c>
      <c r="M139" s="36" t="str">
        <f t="shared" si="3"/>
        <v>Regular Season</v>
      </c>
      <c r="N139" s="36" t="str">
        <f>IFERROR(VLOOKUP(I139,Mapped_Owner,2,0),"")</f>
        <v>Salty</v>
      </c>
      <c r="O139" s="6">
        <f>VLOOKUP(D139,'Mapped Opponent'!$G$4:$H$22,2,0)</f>
        <v>5</v>
      </c>
      <c r="P139" s="6"/>
      <c r="Q139" s="6" t="str">
        <f t="shared" si="4"/>
        <v>Week 5</v>
      </c>
      <c r="R139" s="6" t="str">
        <f t="shared" si="5"/>
        <v>2011Week 5</v>
      </c>
      <c r="S139" s="6">
        <f>IFERROR(__xludf.DUMMYFUNCTION("rank(J139,FILTER(J:J,R:R=R139))"),8.0)</f>
        <v>8</v>
      </c>
      <c r="T139" s="6">
        <f t="shared" si="6"/>
        <v>4</v>
      </c>
      <c r="U139" s="6">
        <f t="shared" si="7"/>
        <v>8</v>
      </c>
      <c r="V139" s="42">
        <f>averageif(AllData!A:A,B139,AllData!R:R)/vlookup(B139,AllData!A:O,15,0)</f>
        <v>88.55128205</v>
      </c>
      <c r="W139" s="6"/>
    </row>
    <row r="140" ht="14.25" customHeight="1">
      <c r="A140" s="6" t="str">
        <f t="shared" si="1"/>
        <v>2011Buser5</v>
      </c>
      <c r="B140" s="6">
        <v>2011.0</v>
      </c>
      <c r="C140" s="6" t="s">
        <v>47</v>
      </c>
      <c r="D140" s="6" t="s">
        <v>141</v>
      </c>
      <c r="E140" s="34">
        <v>42065.0</v>
      </c>
      <c r="F140" s="6" t="s">
        <v>758</v>
      </c>
      <c r="G140" s="6" t="s">
        <v>114</v>
      </c>
      <c r="H140" s="6" t="s">
        <v>759</v>
      </c>
      <c r="I140" s="35" t="s">
        <v>85</v>
      </c>
      <c r="J140" s="36">
        <v>88.7</v>
      </c>
      <c r="K140" s="36">
        <v>61.7</v>
      </c>
      <c r="L140" s="36">
        <f t="shared" si="2"/>
        <v>1</v>
      </c>
      <c r="M140" s="36" t="str">
        <f t="shared" si="3"/>
        <v>Regular Season</v>
      </c>
      <c r="N140" s="36" t="str">
        <f>IFERROR(VLOOKUP(I140,Mapped_Owner,2,0),"")</f>
        <v>T-How</v>
      </c>
      <c r="O140" s="6">
        <f>VLOOKUP(D140,'Mapped Opponent'!$G$4:$H$22,2,0)</f>
        <v>5</v>
      </c>
      <c r="P140" s="6"/>
      <c r="Q140" s="6" t="str">
        <f t="shared" si="4"/>
        <v>Week 5</v>
      </c>
      <c r="R140" s="6" t="str">
        <f t="shared" si="5"/>
        <v>2011Week 5</v>
      </c>
      <c r="S140" s="6">
        <f>IFERROR(__xludf.DUMMYFUNCTION("rank(J140,FILTER(J:J,R:R=R140))"),5.0)</f>
        <v>5</v>
      </c>
      <c r="T140" s="6">
        <f t="shared" si="6"/>
        <v>7</v>
      </c>
      <c r="U140" s="6">
        <f t="shared" si="7"/>
        <v>5</v>
      </c>
      <c r="V140" s="42">
        <f>averageif(AllData!A:A,B140,AllData!R:R)/vlookup(B140,AllData!A:O,15,0)</f>
        <v>88.55128205</v>
      </c>
      <c r="W140" s="6"/>
    </row>
    <row r="141" ht="14.25" customHeight="1">
      <c r="A141" s="6" t="str">
        <f t="shared" si="1"/>
        <v>2011Pierson5</v>
      </c>
      <c r="B141" s="6">
        <v>2011.0</v>
      </c>
      <c r="C141" s="6" t="s">
        <v>92</v>
      </c>
      <c r="D141" s="6" t="s">
        <v>141</v>
      </c>
      <c r="E141" s="34">
        <v>42065.0</v>
      </c>
      <c r="F141" s="6" t="s">
        <v>761</v>
      </c>
      <c r="G141" s="6" t="s">
        <v>114</v>
      </c>
      <c r="H141" s="6" t="s">
        <v>763</v>
      </c>
      <c r="I141" s="35" t="s">
        <v>132</v>
      </c>
      <c r="J141" s="36">
        <v>100.6</v>
      </c>
      <c r="K141" s="36">
        <v>92.8</v>
      </c>
      <c r="L141" s="36">
        <f t="shared" si="2"/>
        <v>1</v>
      </c>
      <c r="M141" s="36" t="str">
        <f t="shared" si="3"/>
        <v>Regular Season</v>
      </c>
      <c r="N141" s="36" t="str">
        <f>IFERROR(VLOOKUP(I141,Mapped_Owner,2,0),"")</f>
        <v>KnardDawg</v>
      </c>
      <c r="O141" s="6">
        <f>VLOOKUP(D141,'Mapped Opponent'!$G$4:$H$22,2,0)</f>
        <v>5</v>
      </c>
      <c r="P141" s="6"/>
      <c r="Q141" s="6" t="str">
        <f t="shared" si="4"/>
        <v>Week 5</v>
      </c>
      <c r="R141" s="6" t="str">
        <f t="shared" si="5"/>
        <v>2011Week 5</v>
      </c>
      <c r="S141" s="6">
        <f>IFERROR(__xludf.DUMMYFUNCTION("rank(J141,FILTER(J:J,R:R=R141))"),2.0)</f>
        <v>2</v>
      </c>
      <c r="T141" s="6">
        <f t="shared" si="6"/>
        <v>10</v>
      </c>
      <c r="U141" s="6">
        <f t="shared" si="7"/>
        <v>2</v>
      </c>
      <c r="V141" s="42">
        <f>averageif(AllData!A:A,B141,AllData!R:R)/vlookup(B141,AllData!A:O,15,0)</f>
        <v>88.55128205</v>
      </c>
      <c r="W141" s="6"/>
    </row>
    <row r="142" ht="14.25" customHeight="1">
      <c r="A142" s="6" t="str">
        <f t="shared" si="1"/>
        <v>2011Cock5</v>
      </c>
      <c r="B142" s="6">
        <v>2011.0</v>
      </c>
      <c r="C142" s="6" t="s">
        <v>72</v>
      </c>
      <c r="D142" s="6" t="s">
        <v>141</v>
      </c>
      <c r="E142" s="34">
        <v>42038.0</v>
      </c>
      <c r="F142" s="6" t="s">
        <v>764</v>
      </c>
      <c r="G142" s="6" t="s">
        <v>114</v>
      </c>
      <c r="H142" s="6" t="s">
        <v>765</v>
      </c>
      <c r="I142" s="35" t="s">
        <v>54</v>
      </c>
      <c r="J142" s="36">
        <v>76.0</v>
      </c>
      <c r="K142" s="36">
        <v>68.5</v>
      </c>
      <c r="L142" s="36">
        <f t="shared" si="2"/>
        <v>1</v>
      </c>
      <c r="M142" s="36" t="str">
        <f t="shared" si="3"/>
        <v>Regular Season</v>
      </c>
      <c r="N142" s="36" t="str">
        <f>IFERROR(VLOOKUP(I142,Mapped_Owner,2,0),"")</f>
        <v>Tayski</v>
      </c>
      <c r="O142" s="6">
        <f>VLOOKUP(D142,'Mapped Opponent'!$G$4:$H$22,2,0)</f>
        <v>5</v>
      </c>
      <c r="P142" s="6"/>
      <c r="Q142" s="6" t="str">
        <f t="shared" si="4"/>
        <v>Week 5</v>
      </c>
      <c r="R142" s="6" t="str">
        <f t="shared" si="5"/>
        <v>2011Week 5</v>
      </c>
      <c r="S142" s="6">
        <f>IFERROR(__xludf.DUMMYFUNCTION("rank(J142,FILTER(J:J,R:R=R142))"),9.0)</f>
        <v>9</v>
      </c>
      <c r="T142" s="6">
        <f t="shared" si="6"/>
        <v>3</v>
      </c>
      <c r="U142" s="6">
        <f t="shared" si="7"/>
        <v>9</v>
      </c>
      <c r="V142" s="42">
        <f>averageif(AllData!A:A,B142,AllData!R:R)/vlookup(B142,AllData!A:O,15,0)</f>
        <v>88.55128205</v>
      </c>
      <c r="W142" s="6"/>
    </row>
    <row r="143" ht="14.25" customHeight="1">
      <c r="A143" s="6" t="str">
        <f t="shared" si="1"/>
        <v>2011Tayski5</v>
      </c>
      <c r="B143" s="6">
        <v>2011.0</v>
      </c>
      <c r="C143" s="6" t="s">
        <v>52</v>
      </c>
      <c r="D143" s="6" t="s">
        <v>141</v>
      </c>
      <c r="E143" s="34">
        <v>42008.0</v>
      </c>
      <c r="F143" s="6" t="s">
        <v>770</v>
      </c>
      <c r="G143" s="6" t="s">
        <v>125</v>
      </c>
      <c r="H143" s="6" t="s">
        <v>771</v>
      </c>
      <c r="I143" s="35" t="s">
        <v>99</v>
      </c>
      <c r="J143" s="36">
        <v>68.5</v>
      </c>
      <c r="K143" s="36">
        <v>76.0</v>
      </c>
      <c r="L143" s="36">
        <f t="shared" si="2"/>
        <v>0</v>
      </c>
      <c r="M143" s="36" t="str">
        <f t="shared" si="3"/>
        <v>Regular Season</v>
      </c>
      <c r="N143" s="36" t="str">
        <f>IFERROR(VLOOKUP(I143,Mapped_Owner,2,0),"")</f>
        <v>Cock</v>
      </c>
      <c r="O143" s="6">
        <f>VLOOKUP(D143,'Mapped Opponent'!$G$4:$H$22,2,0)</f>
        <v>5</v>
      </c>
      <c r="P143" s="6"/>
      <c r="Q143" s="6" t="str">
        <f t="shared" si="4"/>
        <v>Week 5</v>
      </c>
      <c r="R143" s="6" t="str">
        <f t="shared" si="5"/>
        <v>2011Week 5</v>
      </c>
      <c r="S143" s="6">
        <f>IFERROR(__xludf.DUMMYFUNCTION("rank(J143,FILTER(J:J,R:R=R143))"),10.0)</f>
        <v>10</v>
      </c>
      <c r="T143" s="6">
        <f t="shared" si="6"/>
        <v>2</v>
      </c>
      <c r="U143" s="6">
        <f t="shared" si="7"/>
        <v>10</v>
      </c>
      <c r="V143" s="42">
        <f>averageif(AllData!A:A,B143,AllData!R:R)/vlookup(B143,AllData!A:O,15,0)</f>
        <v>88.55128205</v>
      </c>
      <c r="W143" s="6"/>
    </row>
    <row r="144" ht="14.25" customHeight="1">
      <c r="A144" s="6" t="str">
        <f t="shared" si="1"/>
        <v>2011KnardDawg5</v>
      </c>
      <c r="B144" s="6">
        <v>2011.0</v>
      </c>
      <c r="C144" s="6" t="s">
        <v>86</v>
      </c>
      <c r="D144" s="6" t="s">
        <v>141</v>
      </c>
      <c r="E144" s="34">
        <v>42065.0</v>
      </c>
      <c r="F144" s="6" t="s">
        <v>772</v>
      </c>
      <c r="G144" s="6" t="s">
        <v>125</v>
      </c>
      <c r="H144" s="6" t="s">
        <v>773</v>
      </c>
      <c r="I144" s="35" t="s">
        <v>93</v>
      </c>
      <c r="J144" s="36">
        <v>92.8</v>
      </c>
      <c r="K144" s="36">
        <v>100.6</v>
      </c>
      <c r="L144" s="36">
        <f t="shared" si="2"/>
        <v>0</v>
      </c>
      <c r="M144" s="36" t="str">
        <f t="shared" si="3"/>
        <v>Regular Season</v>
      </c>
      <c r="N144" s="36" t="str">
        <f>IFERROR(VLOOKUP(I144,Mapped_Owner,2,0),"")</f>
        <v>Pierson</v>
      </c>
      <c r="O144" s="6">
        <f>VLOOKUP(D144,'Mapped Opponent'!$G$4:$H$22,2,0)</f>
        <v>5</v>
      </c>
      <c r="P144" s="6"/>
      <c r="Q144" s="6" t="str">
        <f t="shared" si="4"/>
        <v>Week 5</v>
      </c>
      <c r="R144" s="6" t="str">
        <f t="shared" si="5"/>
        <v>2011Week 5</v>
      </c>
      <c r="S144" s="6">
        <f>IFERROR(__xludf.DUMMYFUNCTION("rank(J144,FILTER(J:J,R:R=R144))"),4.0)</f>
        <v>4</v>
      </c>
      <c r="T144" s="6">
        <f t="shared" si="6"/>
        <v>8</v>
      </c>
      <c r="U144" s="6">
        <f t="shared" si="7"/>
        <v>4</v>
      </c>
      <c r="V144" s="42">
        <f>averageif(AllData!A:A,B144,AllData!R:R)/vlookup(B144,AllData!A:O,15,0)</f>
        <v>88.55128205</v>
      </c>
      <c r="W144" s="6"/>
    </row>
    <row r="145" ht="14.25" customHeight="1">
      <c r="A145" s="6" t="str">
        <f t="shared" si="1"/>
        <v>2011T-How5</v>
      </c>
      <c r="B145" s="6">
        <v>2011.0</v>
      </c>
      <c r="C145" s="6" t="s">
        <v>82</v>
      </c>
      <c r="D145" s="6" t="s">
        <v>141</v>
      </c>
      <c r="E145" s="34">
        <v>42065.0</v>
      </c>
      <c r="F145" s="6" t="s">
        <v>774</v>
      </c>
      <c r="G145" s="6" t="s">
        <v>125</v>
      </c>
      <c r="H145" s="6" t="s">
        <v>775</v>
      </c>
      <c r="I145" s="35" t="s">
        <v>50</v>
      </c>
      <c r="J145" s="36">
        <v>61.7</v>
      </c>
      <c r="K145" s="36">
        <v>88.7</v>
      </c>
      <c r="L145" s="36">
        <f t="shared" si="2"/>
        <v>0</v>
      </c>
      <c r="M145" s="36" t="str">
        <f t="shared" si="3"/>
        <v>Regular Season</v>
      </c>
      <c r="N145" s="36" t="str">
        <f>IFERROR(VLOOKUP(I145,Mapped_Owner,2,0),"")</f>
        <v>Buser</v>
      </c>
      <c r="O145" s="6">
        <f>VLOOKUP(D145,'Mapped Opponent'!$G$4:$H$22,2,0)</f>
        <v>5</v>
      </c>
      <c r="P145" s="6"/>
      <c r="Q145" s="6" t="str">
        <f t="shared" si="4"/>
        <v>Week 5</v>
      </c>
      <c r="R145" s="6" t="str">
        <f t="shared" si="5"/>
        <v>2011Week 5</v>
      </c>
      <c r="S145" s="6">
        <f>IFERROR(__xludf.DUMMYFUNCTION("rank(J145,FILTER(J:J,R:R=R145))"),12.0)</f>
        <v>12</v>
      </c>
      <c r="T145" s="6">
        <f t="shared" si="6"/>
        <v>0</v>
      </c>
      <c r="U145" s="6">
        <f t="shared" si="7"/>
        <v>12</v>
      </c>
      <c r="V145" s="42">
        <f>averageif(AllData!A:A,B145,AllData!R:R)/vlookup(B145,AllData!A:O,15,0)</f>
        <v>88.55128205</v>
      </c>
      <c r="W145" s="6"/>
    </row>
    <row r="146" ht="14.25" customHeight="1">
      <c r="A146" s="6" t="str">
        <f t="shared" si="1"/>
        <v>2011Hudspeath6</v>
      </c>
      <c r="B146" s="6">
        <v>2011.0</v>
      </c>
      <c r="C146" s="6" t="s">
        <v>39</v>
      </c>
      <c r="D146" s="6" t="s">
        <v>142</v>
      </c>
      <c r="E146" s="34">
        <v>42066.0</v>
      </c>
      <c r="F146" s="6" t="s">
        <v>780</v>
      </c>
      <c r="G146" s="6" t="s">
        <v>125</v>
      </c>
      <c r="H146" s="6" t="s">
        <v>781</v>
      </c>
      <c r="I146" s="35" t="s">
        <v>99</v>
      </c>
      <c r="J146" s="36">
        <v>90.2</v>
      </c>
      <c r="K146" s="36">
        <v>67.0</v>
      </c>
      <c r="L146" s="36">
        <f t="shared" si="2"/>
        <v>1</v>
      </c>
      <c r="M146" s="36" t="str">
        <f t="shared" si="3"/>
        <v>Regular Season</v>
      </c>
      <c r="N146" s="36" t="str">
        <f>IFERROR(VLOOKUP(I146,Mapped_Owner,2,0),"")</f>
        <v>Cock</v>
      </c>
      <c r="O146" s="6">
        <f>VLOOKUP(D146,'Mapped Opponent'!$G$4:$H$22,2,0)</f>
        <v>6</v>
      </c>
      <c r="P146" s="39"/>
      <c r="Q146" s="6" t="str">
        <f t="shared" si="4"/>
        <v>Week 6</v>
      </c>
      <c r="R146" s="6" t="str">
        <f t="shared" si="5"/>
        <v>2011Week 6</v>
      </c>
      <c r="S146" s="6">
        <f>IFERROR(__xludf.DUMMYFUNCTION("rank(J146,FILTER(J:J,R:R=R146))"),6.0)</f>
        <v>6</v>
      </c>
      <c r="T146" s="6">
        <f t="shared" si="6"/>
        <v>6</v>
      </c>
      <c r="U146" s="6">
        <f t="shared" si="7"/>
        <v>6</v>
      </c>
      <c r="V146" s="42">
        <f>averageif(AllData!A:A,B146,AllData!R:R)/vlookup(B146,AllData!A:O,15,0)</f>
        <v>88.55128205</v>
      </c>
      <c r="W146" s="6"/>
    </row>
    <row r="147" ht="14.25" customHeight="1">
      <c r="A147" s="6" t="str">
        <f t="shared" si="1"/>
        <v>2011Salty6</v>
      </c>
      <c r="B147" s="6">
        <v>2011.0</v>
      </c>
      <c r="C147" s="6" t="s">
        <v>76</v>
      </c>
      <c r="D147" s="6" t="s">
        <v>142</v>
      </c>
      <c r="E147" s="34">
        <v>42066.0</v>
      </c>
      <c r="F147" s="6" t="s">
        <v>782</v>
      </c>
      <c r="G147" s="6" t="s">
        <v>125</v>
      </c>
      <c r="H147" s="6" t="s">
        <v>783</v>
      </c>
      <c r="I147" s="35" t="s">
        <v>50</v>
      </c>
      <c r="J147" s="36">
        <v>90.9</v>
      </c>
      <c r="K147" s="36">
        <v>113.1</v>
      </c>
      <c r="L147" s="36">
        <f t="shared" si="2"/>
        <v>0</v>
      </c>
      <c r="M147" s="36" t="str">
        <f t="shared" si="3"/>
        <v>Regular Season</v>
      </c>
      <c r="N147" s="36" t="str">
        <f>IFERROR(VLOOKUP(I147,Mapped_Owner,2,0),"")</f>
        <v>Buser</v>
      </c>
      <c r="O147" s="6">
        <f>VLOOKUP(D147,'Mapped Opponent'!$G$4:$H$22,2,0)</f>
        <v>6</v>
      </c>
      <c r="P147" s="6"/>
      <c r="Q147" s="6" t="str">
        <f t="shared" si="4"/>
        <v>Week 6</v>
      </c>
      <c r="R147" s="6" t="str">
        <f t="shared" si="5"/>
        <v>2011Week 6</v>
      </c>
      <c r="S147" s="6">
        <f>IFERROR(__xludf.DUMMYFUNCTION("rank(J147,FILTER(J:J,R:R=R147))"),5.0)</f>
        <v>5</v>
      </c>
      <c r="T147" s="6">
        <f t="shared" si="6"/>
        <v>7</v>
      </c>
      <c r="U147" s="6">
        <f t="shared" si="7"/>
        <v>5</v>
      </c>
      <c r="V147" s="42">
        <f>averageif(AllData!A:A,B147,AllData!R:R)/vlookup(B147,AllData!A:O,15,0)</f>
        <v>88.55128205</v>
      </c>
      <c r="W147" s="6"/>
    </row>
    <row r="148" ht="14.25" customHeight="1">
      <c r="A148" s="6" t="str">
        <f t="shared" si="1"/>
        <v>2011Fellows6</v>
      </c>
      <c r="B148" s="6">
        <v>2011.0</v>
      </c>
      <c r="C148" s="6" t="s">
        <v>79</v>
      </c>
      <c r="D148" s="6" t="s">
        <v>142</v>
      </c>
      <c r="E148" s="34">
        <v>42039.0</v>
      </c>
      <c r="F148" s="6" t="s">
        <v>786</v>
      </c>
      <c r="G148" s="6" t="s">
        <v>125</v>
      </c>
      <c r="H148" s="6" t="s">
        <v>787</v>
      </c>
      <c r="I148" s="35" t="s">
        <v>93</v>
      </c>
      <c r="J148" s="36">
        <v>77.1</v>
      </c>
      <c r="K148" s="36">
        <v>82.4</v>
      </c>
      <c r="L148" s="36">
        <f t="shared" si="2"/>
        <v>0</v>
      </c>
      <c r="M148" s="36" t="str">
        <f t="shared" si="3"/>
        <v>Regular Season</v>
      </c>
      <c r="N148" s="36" t="str">
        <f>IFERROR(VLOOKUP(I148,Mapped_Owner,2,0),"")</f>
        <v>Pierson</v>
      </c>
      <c r="O148" s="6">
        <f>VLOOKUP(D148,'Mapped Opponent'!$G$4:$H$22,2,0)</f>
        <v>6</v>
      </c>
      <c r="P148" s="6"/>
      <c r="Q148" s="6" t="str">
        <f t="shared" si="4"/>
        <v>Week 6</v>
      </c>
      <c r="R148" s="6" t="str">
        <f t="shared" si="5"/>
        <v>2011Week 6</v>
      </c>
      <c r="S148" s="6">
        <f>IFERROR(__xludf.DUMMYFUNCTION("rank(J148,FILTER(J:J,R:R=R148))"),9.0)</f>
        <v>9</v>
      </c>
      <c r="T148" s="6">
        <f t="shared" si="6"/>
        <v>3</v>
      </c>
      <c r="U148" s="6">
        <f t="shared" si="7"/>
        <v>9</v>
      </c>
      <c r="V148" s="42">
        <f>averageif(AllData!A:A,B148,AllData!R:R)/vlookup(B148,AllData!A:O,15,0)</f>
        <v>88.55128205</v>
      </c>
      <c r="W148" s="6"/>
    </row>
    <row r="149" ht="14.25" customHeight="1">
      <c r="A149" s="6" t="str">
        <f t="shared" si="1"/>
        <v>2011Shep6</v>
      </c>
      <c r="B149" s="6">
        <v>2011.0</v>
      </c>
      <c r="C149" s="6" t="s">
        <v>89</v>
      </c>
      <c r="D149" s="6" t="s">
        <v>142</v>
      </c>
      <c r="E149" s="34">
        <v>42096.0</v>
      </c>
      <c r="F149" s="6" t="s">
        <v>788</v>
      </c>
      <c r="G149" s="6" t="s">
        <v>125</v>
      </c>
      <c r="H149" s="6" t="s">
        <v>789</v>
      </c>
      <c r="I149" s="35" t="s">
        <v>54</v>
      </c>
      <c r="J149" s="36">
        <v>96.8</v>
      </c>
      <c r="K149" s="36">
        <v>72.3</v>
      </c>
      <c r="L149" s="36">
        <f t="shared" si="2"/>
        <v>1</v>
      </c>
      <c r="M149" s="36" t="str">
        <f t="shared" si="3"/>
        <v>Regular Season</v>
      </c>
      <c r="N149" s="36" t="str">
        <f>IFERROR(VLOOKUP(I149,Mapped_Owner,2,0),"")</f>
        <v>Tayski</v>
      </c>
      <c r="O149" s="6">
        <f>VLOOKUP(D149,'Mapped Opponent'!$G$4:$H$22,2,0)</f>
        <v>6</v>
      </c>
      <c r="P149" s="6"/>
      <c r="Q149" s="6" t="str">
        <f t="shared" si="4"/>
        <v>Week 6</v>
      </c>
      <c r="R149" s="6" t="str">
        <f t="shared" si="5"/>
        <v>2011Week 6</v>
      </c>
      <c r="S149" s="6">
        <f>IFERROR(__xludf.DUMMYFUNCTION("rank(J149,FILTER(J:J,R:R=R149))"),4.0)</f>
        <v>4</v>
      </c>
      <c r="T149" s="6">
        <f t="shared" si="6"/>
        <v>8</v>
      </c>
      <c r="U149" s="6">
        <f t="shared" si="7"/>
        <v>4</v>
      </c>
      <c r="V149" s="42">
        <f>averageif(AllData!A:A,B149,AllData!R:R)/vlookup(B149,AllData!A:O,15,0)</f>
        <v>88.55128205</v>
      </c>
      <c r="W149" s="6"/>
    </row>
    <row r="150" ht="14.25" customHeight="1">
      <c r="A150" s="6" t="str">
        <f t="shared" si="1"/>
        <v>2011Guckien6</v>
      </c>
      <c r="B150" s="6">
        <v>2011.0</v>
      </c>
      <c r="C150" s="6" t="s">
        <v>159</v>
      </c>
      <c r="D150" s="6" t="s">
        <v>142</v>
      </c>
      <c r="E150" s="34">
        <v>42096.0</v>
      </c>
      <c r="F150" s="6" t="s">
        <v>793</v>
      </c>
      <c r="G150" s="6" t="s">
        <v>125</v>
      </c>
      <c r="H150" s="6" t="s">
        <v>794</v>
      </c>
      <c r="I150" s="35" t="s">
        <v>132</v>
      </c>
      <c r="J150" s="36">
        <v>86.3</v>
      </c>
      <c r="K150" s="36">
        <v>68.6</v>
      </c>
      <c r="L150" s="36">
        <f t="shared" si="2"/>
        <v>1</v>
      </c>
      <c r="M150" s="36" t="str">
        <f t="shared" si="3"/>
        <v>Regular Season</v>
      </c>
      <c r="N150" s="36" t="str">
        <f>IFERROR(VLOOKUP(I150,Mapped_Owner,2,0),"")</f>
        <v>KnardDawg</v>
      </c>
      <c r="O150" s="6">
        <f>VLOOKUP(D150,'Mapped Opponent'!$G$4:$H$22,2,0)</f>
        <v>6</v>
      </c>
      <c r="P150" s="6"/>
      <c r="Q150" s="6" t="str">
        <f t="shared" si="4"/>
        <v>Week 6</v>
      </c>
      <c r="R150" s="6" t="str">
        <f t="shared" si="5"/>
        <v>2011Week 6</v>
      </c>
      <c r="S150" s="6">
        <f>IFERROR(__xludf.DUMMYFUNCTION("rank(J150,FILTER(J:J,R:R=R150))"),7.0)</f>
        <v>7</v>
      </c>
      <c r="T150" s="6">
        <f t="shared" si="6"/>
        <v>5</v>
      </c>
      <c r="U150" s="6">
        <f t="shared" si="7"/>
        <v>7</v>
      </c>
      <c r="V150" s="42">
        <f>averageif(AllData!A:A,B150,AllData!R:R)/vlookup(B150,AllData!A:O,15,0)</f>
        <v>88.55128205</v>
      </c>
      <c r="W150" s="6"/>
    </row>
    <row r="151" ht="14.25" customHeight="1">
      <c r="A151" s="6" t="str">
        <f t="shared" si="1"/>
        <v>2011Rooney/Jackson6</v>
      </c>
      <c r="B151" s="6">
        <v>2011.0</v>
      </c>
      <c r="C151" s="6" t="s">
        <v>57</v>
      </c>
      <c r="D151" s="6" t="s">
        <v>142</v>
      </c>
      <c r="E151" s="34">
        <v>42039.0</v>
      </c>
      <c r="F151" s="6" t="s">
        <v>795</v>
      </c>
      <c r="G151" s="6" t="s">
        <v>125</v>
      </c>
      <c r="H151" s="6" t="s">
        <v>796</v>
      </c>
      <c r="I151" s="35" t="s">
        <v>85</v>
      </c>
      <c r="J151" s="36">
        <v>98.5</v>
      </c>
      <c r="K151" s="36">
        <v>108.2</v>
      </c>
      <c r="L151" s="36">
        <f t="shared" si="2"/>
        <v>0</v>
      </c>
      <c r="M151" s="36" t="str">
        <f t="shared" si="3"/>
        <v>Regular Season</v>
      </c>
      <c r="N151" s="36" t="str">
        <f>IFERROR(VLOOKUP(I151,Mapped_Owner,2,0),"")</f>
        <v>T-How</v>
      </c>
      <c r="O151" s="6">
        <f>VLOOKUP(D151,'Mapped Opponent'!$G$4:$H$22,2,0)</f>
        <v>6</v>
      </c>
      <c r="P151" s="6"/>
      <c r="Q151" s="6" t="str">
        <f t="shared" si="4"/>
        <v>Week 6</v>
      </c>
      <c r="R151" s="6" t="str">
        <f t="shared" si="5"/>
        <v>2011Week 6</v>
      </c>
      <c r="S151" s="6">
        <f>IFERROR(__xludf.DUMMYFUNCTION("rank(J151,FILTER(J:J,R:R=R151))"),3.0)</f>
        <v>3</v>
      </c>
      <c r="T151" s="6">
        <f t="shared" si="6"/>
        <v>9</v>
      </c>
      <c r="U151" s="6">
        <f t="shared" si="7"/>
        <v>3</v>
      </c>
      <c r="V151" s="42">
        <f>averageif(AllData!A:A,B151,AllData!R:R)/vlookup(B151,AllData!A:O,15,0)</f>
        <v>88.55128205</v>
      </c>
      <c r="W151" s="6"/>
    </row>
    <row r="152" ht="14.25" customHeight="1">
      <c r="A152" s="6" t="str">
        <f t="shared" si="1"/>
        <v>2011Buser6</v>
      </c>
      <c r="B152" s="6">
        <v>2011.0</v>
      </c>
      <c r="C152" s="6" t="s">
        <v>47</v>
      </c>
      <c r="D152" s="6" t="s">
        <v>142</v>
      </c>
      <c r="E152" s="34">
        <v>42096.0</v>
      </c>
      <c r="F152" s="6" t="s">
        <v>801</v>
      </c>
      <c r="G152" s="6" t="s">
        <v>114</v>
      </c>
      <c r="H152" s="6" t="s">
        <v>802</v>
      </c>
      <c r="I152" s="35" t="s">
        <v>77</v>
      </c>
      <c r="J152" s="36">
        <v>113.1</v>
      </c>
      <c r="K152" s="36">
        <v>90.9</v>
      </c>
      <c r="L152" s="36">
        <f t="shared" si="2"/>
        <v>1</v>
      </c>
      <c r="M152" s="36" t="str">
        <f t="shared" si="3"/>
        <v>Regular Season</v>
      </c>
      <c r="N152" s="36" t="str">
        <f>IFERROR(VLOOKUP(I152,Mapped_Owner,2,0),"")</f>
        <v>Salty</v>
      </c>
      <c r="O152" s="6">
        <f>VLOOKUP(D152,'Mapped Opponent'!$G$4:$H$22,2,0)</f>
        <v>6</v>
      </c>
      <c r="P152" s="6"/>
      <c r="Q152" s="6" t="str">
        <f t="shared" si="4"/>
        <v>Week 6</v>
      </c>
      <c r="R152" s="6" t="str">
        <f t="shared" si="5"/>
        <v>2011Week 6</v>
      </c>
      <c r="S152" s="6">
        <f>IFERROR(__xludf.DUMMYFUNCTION("rank(J152,FILTER(J:J,R:R=R152))"),1.0)</f>
        <v>1</v>
      </c>
      <c r="T152" s="6">
        <f t="shared" si="6"/>
        <v>11</v>
      </c>
      <c r="U152" s="6">
        <f t="shared" si="7"/>
        <v>1</v>
      </c>
      <c r="V152" s="42">
        <f>averageif(AllData!A:A,B152,AllData!R:R)/vlookup(B152,AllData!A:O,15,0)</f>
        <v>88.55128205</v>
      </c>
      <c r="W152" s="6"/>
    </row>
    <row r="153" ht="14.25" customHeight="1">
      <c r="A153" s="6" t="str">
        <f t="shared" si="1"/>
        <v>2011Pierson6</v>
      </c>
      <c r="B153" s="6">
        <v>2011.0</v>
      </c>
      <c r="C153" s="6" t="s">
        <v>92</v>
      </c>
      <c r="D153" s="6" t="s">
        <v>142</v>
      </c>
      <c r="E153" s="34">
        <v>42096.0</v>
      </c>
      <c r="F153" s="6" t="s">
        <v>803</v>
      </c>
      <c r="G153" s="6" t="s">
        <v>114</v>
      </c>
      <c r="H153" s="6" t="s">
        <v>804</v>
      </c>
      <c r="I153" s="35" t="s">
        <v>80</v>
      </c>
      <c r="J153" s="36">
        <v>82.4</v>
      </c>
      <c r="K153" s="36">
        <v>77.1</v>
      </c>
      <c r="L153" s="36">
        <f t="shared" si="2"/>
        <v>1</v>
      </c>
      <c r="M153" s="36" t="str">
        <f t="shared" si="3"/>
        <v>Regular Season</v>
      </c>
      <c r="N153" s="36" t="str">
        <f>IFERROR(VLOOKUP(I153,Mapped_Owner,2,0),"")</f>
        <v>Fellows</v>
      </c>
      <c r="O153" s="6">
        <f>VLOOKUP(D153,'Mapped Opponent'!$G$4:$H$22,2,0)</f>
        <v>6</v>
      </c>
      <c r="P153" s="6"/>
      <c r="Q153" s="6" t="str">
        <f t="shared" si="4"/>
        <v>Week 6</v>
      </c>
      <c r="R153" s="6" t="str">
        <f t="shared" si="5"/>
        <v>2011Week 6</v>
      </c>
      <c r="S153" s="6">
        <f>IFERROR(__xludf.DUMMYFUNCTION("rank(J153,FILTER(J:J,R:R=R153))"),8.0)</f>
        <v>8</v>
      </c>
      <c r="T153" s="6">
        <f t="shared" si="6"/>
        <v>4</v>
      </c>
      <c r="U153" s="6">
        <f t="shared" si="7"/>
        <v>8</v>
      </c>
      <c r="V153" s="42">
        <f>averageif(AllData!A:A,B153,AllData!R:R)/vlookup(B153,AllData!A:O,15,0)</f>
        <v>88.55128205</v>
      </c>
      <c r="W153" s="6"/>
    </row>
    <row r="154" ht="14.25" customHeight="1">
      <c r="A154" s="6" t="str">
        <f t="shared" si="1"/>
        <v>2011Cock6</v>
      </c>
      <c r="B154" s="6">
        <v>2011.0</v>
      </c>
      <c r="C154" s="6" t="s">
        <v>72</v>
      </c>
      <c r="D154" s="6" t="s">
        <v>142</v>
      </c>
      <c r="E154" s="34">
        <v>42039.0</v>
      </c>
      <c r="F154" s="6" t="s">
        <v>809</v>
      </c>
      <c r="G154" s="6" t="s">
        <v>114</v>
      </c>
      <c r="H154" s="6" t="s">
        <v>810</v>
      </c>
      <c r="I154" s="35" t="s">
        <v>64</v>
      </c>
      <c r="J154" s="36">
        <v>67.0</v>
      </c>
      <c r="K154" s="36">
        <v>90.2</v>
      </c>
      <c r="L154" s="36">
        <f t="shared" si="2"/>
        <v>0</v>
      </c>
      <c r="M154" s="36" t="str">
        <f t="shared" si="3"/>
        <v>Regular Season</v>
      </c>
      <c r="N154" s="36" t="str">
        <f>IFERROR(VLOOKUP(I154,Mapped_Owner,2,0),"")</f>
        <v>Hudspeath</v>
      </c>
      <c r="O154" s="6">
        <f>VLOOKUP(D154,'Mapped Opponent'!$G$4:$H$22,2,0)</f>
        <v>6</v>
      </c>
      <c r="P154" s="6"/>
      <c r="Q154" s="6" t="str">
        <f t="shared" si="4"/>
        <v>Week 6</v>
      </c>
      <c r="R154" s="6" t="str">
        <f t="shared" si="5"/>
        <v>2011Week 6</v>
      </c>
      <c r="S154" s="6">
        <f>IFERROR(__xludf.DUMMYFUNCTION("rank(J154,FILTER(J:J,R:R=R154))"),12.0)</f>
        <v>12</v>
      </c>
      <c r="T154" s="6">
        <f t="shared" si="6"/>
        <v>0</v>
      </c>
      <c r="U154" s="6">
        <f t="shared" si="7"/>
        <v>12</v>
      </c>
      <c r="V154" s="42">
        <f>averageif(AllData!A:A,B154,AllData!R:R)/vlookup(B154,AllData!A:O,15,0)</f>
        <v>88.55128205</v>
      </c>
      <c r="W154" s="6"/>
    </row>
    <row r="155" ht="14.25" customHeight="1">
      <c r="A155" s="6" t="str">
        <f t="shared" si="1"/>
        <v>2011Tayski6</v>
      </c>
      <c r="B155" s="6">
        <v>2011.0</v>
      </c>
      <c r="C155" s="6" t="s">
        <v>52</v>
      </c>
      <c r="D155" s="6" t="s">
        <v>142</v>
      </c>
      <c r="E155" s="34">
        <v>42009.0</v>
      </c>
      <c r="F155" s="6" t="s">
        <v>811</v>
      </c>
      <c r="G155" s="6" t="s">
        <v>114</v>
      </c>
      <c r="H155" s="6" t="s">
        <v>812</v>
      </c>
      <c r="I155" s="35" t="s">
        <v>91</v>
      </c>
      <c r="J155" s="36">
        <v>72.3</v>
      </c>
      <c r="K155" s="36">
        <v>96.8</v>
      </c>
      <c r="L155" s="36">
        <f t="shared" si="2"/>
        <v>0</v>
      </c>
      <c r="M155" s="36" t="str">
        <f t="shared" si="3"/>
        <v>Regular Season</v>
      </c>
      <c r="N155" s="36" t="str">
        <f>IFERROR(VLOOKUP(I155,Mapped_Owner,2,0),"")</f>
        <v>Shep</v>
      </c>
      <c r="O155" s="6">
        <f>VLOOKUP(D155,'Mapped Opponent'!$G$4:$H$22,2,0)</f>
        <v>6</v>
      </c>
      <c r="P155" s="6"/>
      <c r="Q155" s="6" t="str">
        <f t="shared" si="4"/>
        <v>Week 6</v>
      </c>
      <c r="R155" s="6" t="str">
        <f t="shared" si="5"/>
        <v>2011Week 6</v>
      </c>
      <c r="S155" s="6">
        <f>IFERROR(__xludf.DUMMYFUNCTION("rank(J155,FILTER(J:J,R:R=R155))"),10.0)</f>
        <v>10</v>
      </c>
      <c r="T155" s="6">
        <f t="shared" si="6"/>
        <v>2</v>
      </c>
      <c r="U155" s="6">
        <f t="shared" si="7"/>
        <v>10</v>
      </c>
      <c r="V155" s="42">
        <f>averageif(AllData!A:A,B155,AllData!R:R)/vlookup(B155,AllData!A:O,15,0)</f>
        <v>88.55128205</v>
      </c>
      <c r="W155" s="6"/>
    </row>
    <row r="156" ht="14.25" customHeight="1">
      <c r="A156" s="6" t="str">
        <f t="shared" si="1"/>
        <v>2011KnardDawg6</v>
      </c>
      <c r="B156" s="6">
        <v>2011.0</v>
      </c>
      <c r="C156" s="6" t="s">
        <v>86</v>
      </c>
      <c r="D156" s="6" t="s">
        <v>142</v>
      </c>
      <c r="E156" s="34">
        <v>42066.0</v>
      </c>
      <c r="F156" s="6" t="s">
        <v>816</v>
      </c>
      <c r="G156" s="6" t="s">
        <v>114</v>
      </c>
      <c r="H156" s="6" t="s">
        <v>817</v>
      </c>
      <c r="I156" s="35" t="s">
        <v>158</v>
      </c>
      <c r="J156" s="36">
        <v>68.6</v>
      </c>
      <c r="K156" s="36">
        <v>86.3</v>
      </c>
      <c r="L156" s="36">
        <f t="shared" si="2"/>
        <v>0</v>
      </c>
      <c r="M156" s="36" t="str">
        <f t="shared" si="3"/>
        <v>Regular Season</v>
      </c>
      <c r="N156" s="36" t="str">
        <f>IFERROR(VLOOKUP(I156,Mapped_Owner,2,0),"")</f>
        <v>Guckien</v>
      </c>
      <c r="O156" s="6">
        <f>VLOOKUP(D156,'Mapped Opponent'!$G$4:$H$22,2,0)</f>
        <v>6</v>
      </c>
      <c r="P156" s="6"/>
      <c r="Q156" s="6" t="str">
        <f t="shared" si="4"/>
        <v>Week 6</v>
      </c>
      <c r="R156" s="6" t="str">
        <f t="shared" si="5"/>
        <v>2011Week 6</v>
      </c>
      <c r="S156" s="6">
        <f>IFERROR(__xludf.DUMMYFUNCTION("rank(J156,FILTER(J:J,R:R=R156))"),11.0)</f>
        <v>11</v>
      </c>
      <c r="T156" s="6">
        <f t="shared" si="6"/>
        <v>1</v>
      </c>
      <c r="U156" s="6">
        <f t="shared" si="7"/>
        <v>11</v>
      </c>
      <c r="V156" s="42">
        <f>averageif(AllData!A:A,B156,AllData!R:R)/vlookup(B156,AllData!A:O,15,0)</f>
        <v>88.55128205</v>
      </c>
      <c r="W156" s="6"/>
    </row>
    <row r="157" ht="14.25" customHeight="1">
      <c r="A157" s="6" t="str">
        <f t="shared" si="1"/>
        <v>2011T-How6</v>
      </c>
      <c r="B157" s="6">
        <v>2011.0</v>
      </c>
      <c r="C157" s="6" t="s">
        <v>82</v>
      </c>
      <c r="D157" s="6" t="s">
        <v>142</v>
      </c>
      <c r="E157" s="34">
        <v>42096.0</v>
      </c>
      <c r="F157" s="6" t="s">
        <v>818</v>
      </c>
      <c r="G157" s="6" t="s">
        <v>114</v>
      </c>
      <c r="H157" s="6" t="s">
        <v>819</v>
      </c>
      <c r="I157" s="35" t="s">
        <v>157</v>
      </c>
      <c r="J157" s="36">
        <v>108.2</v>
      </c>
      <c r="K157" s="36">
        <v>98.5</v>
      </c>
      <c r="L157" s="36">
        <f t="shared" si="2"/>
        <v>1</v>
      </c>
      <c r="M157" s="36" t="str">
        <f t="shared" si="3"/>
        <v>Regular Season</v>
      </c>
      <c r="N157" s="36" t="str">
        <f>IFERROR(VLOOKUP(I157,Mapped_Owner,2,0),"")</f>
        <v>Rooney/Jackson</v>
      </c>
      <c r="O157" s="6">
        <f>VLOOKUP(D157,'Mapped Opponent'!$G$4:$H$22,2,0)</f>
        <v>6</v>
      </c>
      <c r="P157" s="6"/>
      <c r="Q157" s="6" t="str">
        <f t="shared" si="4"/>
        <v>Week 6</v>
      </c>
      <c r="R157" s="6" t="str">
        <f t="shared" si="5"/>
        <v>2011Week 6</v>
      </c>
      <c r="S157" s="6">
        <f>IFERROR(__xludf.DUMMYFUNCTION("rank(J157,FILTER(J:J,R:R=R157))"),2.0)</f>
        <v>2</v>
      </c>
      <c r="T157" s="6">
        <f t="shared" si="6"/>
        <v>10</v>
      </c>
      <c r="U157" s="6">
        <f t="shared" si="7"/>
        <v>2</v>
      </c>
      <c r="V157" s="42">
        <f>averageif(AllData!A:A,B157,AllData!R:R)/vlookup(B157,AllData!A:O,15,0)</f>
        <v>88.55128205</v>
      </c>
      <c r="W157" s="6"/>
    </row>
    <row r="158" ht="14.25" customHeight="1">
      <c r="A158" s="6" t="str">
        <f t="shared" si="1"/>
        <v>2011Hudspeath7</v>
      </c>
      <c r="B158" s="6">
        <v>2011.0</v>
      </c>
      <c r="C158" s="6" t="s">
        <v>39</v>
      </c>
      <c r="D158" s="6" t="s">
        <v>143</v>
      </c>
      <c r="E158" s="34">
        <v>42067.0</v>
      </c>
      <c r="F158" s="6" t="s">
        <v>824</v>
      </c>
      <c r="G158" s="6" t="s">
        <v>114</v>
      </c>
      <c r="H158" s="6" t="s">
        <v>825</v>
      </c>
      <c r="I158" s="35" t="s">
        <v>93</v>
      </c>
      <c r="J158" s="36">
        <v>82.8</v>
      </c>
      <c r="K158" s="36">
        <v>100.8</v>
      </c>
      <c r="L158" s="36">
        <f t="shared" si="2"/>
        <v>0</v>
      </c>
      <c r="M158" s="36" t="str">
        <f t="shared" si="3"/>
        <v>Regular Season</v>
      </c>
      <c r="N158" s="36" t="str">
        <f>IFERROR(VLOOKUP(I158,Mapped_Owner,2,0),"")</f>
        <v>Pierson</v>
      </c>
      <c r="O158" s="6">
        <f>VLOOKUP(D158,'Mapped Opponent'!$G$4:$H$22,2,0)</f>
        <v>7</v>
      </c>
      <c r="P158" s="39"/>
      <c r="Q158" s="6" t="str">
        <f t="shared" si="4"/>
        <v>Week 7</v>
      </c>
      <c r="R158" s="6" t="str">
        <f t="shared" si="5"/>
        <v>2011Week 7</v>
      </c>
      <c r="S158" s="6">
        <f>IFERROR(__xludf.DUMMYFUNCTION("rank(J158,FILTER(J:J,R:R=R158))"),7.0)</f>
        <v>7</v>
      </c>
      <c r="T158" s="6">
        <f t="shared" si="6"/>
        <v>5</v>
      </c>
      <c r="U158" s="6">
        <f t="shared" si="7"/>
        <v>7</v>
      </c>
      <c r="V158" s="42">
        <f>averageif(AllData!A:A,B158,AllData!R:R)/vlookup(B158,AllData!A:O,15,0)</f>
        <v>88.55128205</v>
      </c>
      <c r="W158" s="6"/>
    </row>
    <row r="159" ht="14.25" customHeight="1">
      <c r="A159" s="6" t="str">
        <f t="shared" si="1"/>
        <v>2011Salty7</v>
      </c>
      <c r="B159" s="6">
        <v>2011.0</v>
      </c>
      <c r="C159" s="6" t="s">
        <v>76</v>
      </c>
      <c r="D159" s="6" t="s">
        <v>143</v>
      </c>
      <c r="E159" s="34">
        <v>42067.0</v>
      </c>
      <c r="F159" s="6" t="s">
        <v>826</v>
      </c>
      <c r="G159" s="6" t="s">
        <v>114</v>
      </c>
      <c r="H159" s="6" t="s">
        <v>827</v>
      </c>
      <c r="I159" s="35" t="s">
        <v>85</v>
      </c>
      <c r="J159" s="36">
        <v>81.4</v>
      </c>
      <c r="K159" s="36">
        <v>86.5</v>
      </c>
      <c r="L159" s="36">
        <f t="shared" si="2"/>
        <v>0</v>
      </c>
      <c r="M159" s="36" t="str">
        <f t="shared" si="3"/>
        <v>Regular Season</v>
      </c>
      <c r="N159" s="36" t="str">
        <f>IFERROR(VLOOKUP(I159,Mapped_Owner,2,0),"")</f>
        <v>T-How</v>
      </c>
      <c r="O159" s="6">
        <f>VLOOKUP(D159,'Mapped Opponent'!$G$4:$H$22,2,0)</f>
        <v>7</v>
      </c>
      <c r="P159" s="6"/>
      <c r="Q159" s="6" t="str">
        <f t="shared" si="4"/>
        <v>Week 7</v>
      </c>
      <c r="R159" s="6" t="str">
        <f t="shared" si="5"/>
        <v>2011Week 7</v>
      </c>
      <c r="S159" s="6">
        <f>IFERROR(__xludf.DUMMYFUNCTION("rank(J159,FILTER(J:J,R:R=R159))"),8.0)</f>
        <v>8</v>
      </c>
      <c r="T159" s="6">
        <f t="shared" si="6"/>
        <v>4</v>
      </c>
      <c r="U159" s="6">
        <f t="shared" si="7"/>
        <v>8</v>
      </c>
      <c r="V159" s="42">
        <f>averageif(AllData!A:A,B159,AllData!R:R)/vlookup(B159,AllData!A:O,15,0)</f>
        <v>88.55128205</v>
      </c>
      <c r="W159" s="6"/>
    </row>
    <row r="160" ht="14.25" customHeight="1">
      <c r="A160" s="6" t="str">
        <f t="shared" si="1"/>
        <v>2011Fellows7</v>
      </c>
      <c r="B160" s="6">
        <v>2011.0</v>
      </c>
      <c r="C160" s="6" t="s">
        <v>79</v>
      </c>
      <c r="D160" s="6" t="s">
        <v>143</v>
      </c>
      <c r="E160" s="34">
        <v>42040.0</v>
      </c>
      <c r="F160" s="6" t="s">
        <v>829</v>
      </c>
      <c r="G160" s="6" t="s">
        <v>114</v>
      </c>
      <c r="H160" s="6" t="s">
        <v>832</v>
      </c>
      <c r="I160" s="35" t="s">
        <v>50</v>
      </c>
      <c r="J160" s="36">
        <v>84.6</v>
      </c>
      <c r="K160" s="36">
        <v>108.3</v>
      </c>
      <c r="L160" s="36">
        <f t="shared" si="2"/>
        <v>0</v>
      </c>
      <c r="M160" s="36" t="str">
        <f t="shared" si="3"/>
        <v>Regular Season</v>
      </c>
      <c r="N160" s="36" t="str">
        <f>IFERROR(VLOOKUP(I160,Mapped_Owner,2,0),"")</f>
        <v>Buser</v>
      </c>
      <c r="O160" s="6">
        <f>VLOOKUP(D160,'Mapped Opponent'!$G$4:$H$22,2,0)</f>
        <v>7</v>
      </c>
      <c r="P160" s="6"/>
      <c r="Q160" s="6" t="str">
        <f t="shared" si="4"/>
        <v>Week 7</v>
      </c>
      <c r="R160" s="6" t="str">
        <f t="shared" si="5"/>
        <v>2011Week 7</v>
      </c>
      <c r="S160" s="6">
        <f>IFERROR(__xludf.DUMMYFUNCTION("rank(J160,FILTER(J:J,R:R=R160))"),4.0)</f>
        <v>4</v>
      </c>
      <c r="T160" s="6">
        <f t="shared" si="6"/>
        <v>8</v>
      </c>
      <c r="U160" s="6">
        <f t="shared" si="7"/>
        <v>4</v>
      </c>
      <c r="V160" s="42">
        <f>averageif(AllData!A:A,B160,AllData!R:R)/vlookup(B160,AllData!A:O,15,0)</f>
        <v>88.55128205</v>
      </c>
      <c r="W160" s="6"/>
    </row>
    <row r="161" ht="14.25" customHeight="1">
      <c r="A161" s="6" t="str">
        <f t="shared" si="1"/>
        <v>2011Shep7</v>
      </c>
      <c r="B161" s="6">
        <v>2011.0</v>
      </c>
      <c r="C161" s="6" t="s">
        <v>89</v>
      </c>
      <c r="D161" s="6" t="s">
        <v>143</v>
      </c>
      <c r="E161" s="34">
        <v>42097.0</v>
      </c>
      <c r="F161" s="6" t="s">
        <v>833</v>
      </c>
      <c r="G161" s="6" t="s">
        <v>114</v>
      </c>
      <c r="H161" s="6" t="s">
        <v>834</v>
      </c>
      <c r="I161" s="35" t="s">
        <v>99</v>
      </c>
      <c r="J161" s="36">
        <v>80.4</v>
      </c>
      <c r="K161" s="36">
        <v>83.1</v>
      </c>
      <c r="L161" s="36">
        <f t="shared" si="2"/>
        <v>0</v>
      </c>
      <c r="M161" s="36" t="str">
        <f t="shared" si="3"/>
        <v>Regular Season</v>
      </c>
      <c r="N161" s="36" t="str">
        <f>IFERROR(VLOOKUP(I161,Mapped_Owner,2,0),"")</f>
        <v>Cock</v>
      </c>
      <c r="O161" s="6">
        <f>VLOOKUP(D161,'Mapped Opponent'!$G$4:$H$22,2,0)</f>
        <v>7</v>
      </c>
      <c r="P161" s="6"/>
      <c r="Q161" s="6" t="str">
        <f t="shared" si="4"/>
        <v>Week 7</v>
      </c>
      <c r="R161" s="6" t="str">
        <f t="shared" si="5"/>
        <v>2011Week 7</v>
      </c>
      <c r="S161" s="6">
        <f>IFERROR(__xludf.DUMMYFUNCTION("rank(J161,FILTER(J:J,R:R=R161))"),9.0)</f>
        <v>9</v>
      </c>
      <c r="T161" s="6">
        <f t="shared" si="6"/>
        <v>3</v>
      </c>
      <c r="U161" s="6">
        <f t="shared" si="7"/>
        <v>9</v>
      </c>
      <c r="V161" s="42">
        <f>averageif(AllData!A:A,B161,AllData!R:R)/vlookup(B161,AllData!A:O,15,0)</f>
        <v>88.55128205</v>
      </c>
      <c r="W161" s="6"/>
    </row>
    <row r="162" ht="14.25" customHeight="1">
      <c r="A162" s="6" t="str">
        <f t="shared" si="1"/>
        <v>2011Guckien7</v>
      </c>
      <c r="B162" s="6">
        <v>2011.0</v>
      </c>
      <c r="C162" s="6" t="s">
        <v>159</v>
      </c>
      <c r="D162" s="6" t="s">
        <v>143</v>
      </c>
      <c r="E162" s="34">
        <v>42097.0</v>
      </c>
      <c r="F162" s="6" t="s">
        <v>835</v>
      </c>
      <c r="G162" s="6" t="s">
        <v>114</v>
      </c>
      <c r="H162" s="6" t="s">
        <v>837</v>
      </c>
      <c r="I162" s="35" t="s">
        <v>54</v>
      </c>
      <c r="J162" s="36">
        <v>62.8</v>
      </c>
      <c r="K162" s="36">
        <v>68.0</v>
      </c>
      <c r="L162" s="36">
        <f t="shared" si="2"/>
        <v>0</v>
      </c>
      <c r="M162" s="36" t="str">
        <f t="shared" si="3"/>
        <v>Regular Season</v>
      </c>
      <c r="N162" s="36" t="str">
        <f>IFERROR(VLOOKUP(I162,Mapped_Owner,2,0),"")</f>
        <v>Tayski</v>
      </c>
      <c r="O162" s="6">
        <f>VLOOKUP(D162,'Mapped Opponent'!$G$4:$H$22,2,0)</f>
        <v>7</v>
      </c>
      <c r="P162" s="6"/>
      <c r="Q162" s="6" t="str">
        <f t="shared" si="4"/>
        <v>Week 7</v>
      </c>
      <c r="R162" s="6" t="str">
        <f t="shared" si="5"/>
        <v>2011Week 7</v>
      </c>
      <c r="S162" s="6">
        <f>IFERROR(__xludf.DUMMYFUNCTION("rank(J162,FILTER(J:J,R:R=R162))"),12.0)</f>
        <v>12</v>
      </c>
      <c r="T162" s="6">
        <f t="shared" si="6"/>
        <v>0</v>
      </c>
      <c r="U162" s="6">
        <f t="shared" si="7"/>
        <v>12</v>
      </c>
      <c r="V162" s="42">
        <f>averageif(AllData!A:A,B162,AllData!R:R)/vlookup(B162,AllData!A:O,15,0)</f>
        <v>88.55128205</v>
      </c>
      <c r="W162" s="6"/>
    </row>
    <row r="163" ht="14.25" customHeight="1">
      <c r="A163" s="6" t="str">
        <f t="shared" si="1"/>
        <v>2011Rooney/Jackson7</v>
      </c>
      <c r="B163" s="6">
        <v>2011.0</v>
      </c>
      <c r="C163" s="6" t="s">
        <v>57</v>
      </c>
      <c r="D163" s="6" t="s">
        <v>143</v>
      </c>
      <c r="E163" s="34">
        <v>42040.0</v>
      </c>
      <c r="F163" s="6" t="s">
        <v>841</v>
      </c>
      <c r="G163" s="6" t="s">
        <v>114</v>
      </c>
      <c r="H163" s="6" t="s">
        <v>842</v>
      </c>
      <c r="I163" s="35" t="s">
        <v>132</v>
      </c>
      <c r="J163" s="36">
        <v>72.3</v>
      </c>
      <c r="K163" s="36">
        <v>84.4</v>
      </c>
      <c r="L163" s="36">
        <f t="shared" si="2"/>
        <v>0</v>
      </c>
      <c r="M163" s="36" t="str">
        <f t="shared" si="3"/>
        <v>Regular Season</v>
      </c>
      <c r="N163" s="36" t="str">
        <f>IFERROR(VLOOKUP(I163,Mapped_Owner,2,0),"")</f>
        <v>KnardDawg</v>
      </c>
      <c r="O163" s="6">
        <f>VLOOKUP(D163,'Mapped Opponent'!$G$4:$H$22,2,0)</f>
        <v>7</v>
      </c>
      <c r="P163" s="6"/>
      <c r="Q163" s="6" t="str">
        <f t="shared" si="4"/>
        <v>Week 7</v>
      </c>
      <c r="R163" s="6" t="str">
        <f t="shared" si="5"/>
        <v>2011Week 7</v>
      </c>
      <c r="S163" s="6">
        <f>IFERROR(__xludf.DUMMYFUNCTION("rank(J163,FILTER(J:J,R:R=R163))"),10.0)</f>
        <v>10</v>
      </c>
      <c r="T163" s="6">
        <f t="shared" si="6"/>
        <v>2</v>
      </c>
      <c r="U163" s="6">
        <f t="shared" si="7"/>
        <v>10</v>
      </c>
      <c r="V163" s="42">
        <f>averageif(AllData!A:A,B163,AllData!R:R)/vlookup(B163,AllData!A:O,15,0)</f>
        <v>88.55128205</v>
      </c>
      <c r="W163" s="6"/>
    </row>
    <row r="164" ht="14.25" customHeight="1">
      <c r="A164" s="6" t="str">
        <f t="shared" si="1"/>
        <v>2011Buser7</v>
      </c>
      <c r="B164" s="6">
        <v>2011.0</v>
      </c>
      <c r="C164" s="6" t="s">
        <v>47</v>
      </c>
      <c r="D164" s="6" t="s">
        <v>143</v>
      </c>
      <c r="E164" s="34">
        <v>42126.0</v>
      </c>
      <c r="F164" s="6" t="s">
        <v>843</v>
      </c>
      <c r="G164" s="6" t="s">
        <v>125</v>
      </c>
      <c r="H164" s="6" t="s">
        <v>844</v>
      </c>
      <c r="I164" s="35" t="s">
        <v>80</v>
      </c>
      <c r="J164" s="36">
        <v>108.3</v>
      </c>
      <c r="K164" s="36">
        <v>84.6</v>
      </c>
      <c r="L164" s="36">
        <f t="shared" si="2"/>
        <v>1</v>
      </c>
      <c r="M164" s="36" t="str">
        <f t="shared" si="3"/>
        <v>Regular Season</v>
      </c>
      <c r="N164" s="36" t="str">
        <f>IFERROR(VLOOKUP(I164,Mapped_Owner,2,0),"")</f>
        <v>Fellows</v>
      </c>
      <c r="O164" s="6">
        <f>VLOOKUP(D164,'Mapped Opponent'!$G$4:$H$22,2,0)</f>
        <v>7</v>
      </c>
      <c r="P164" s="6"/>
      <c r="Q164" s="6" t="str">
        <f t="shared" si="4"/>
        <v>Week 7</v>
      </c>
      <c r="R164" s="6" t="str">
        <f t="shared" si="5"/>
        <v>2011Week 7</v>
      </c>
      <c r="S164" s="6">
        <f>IFERROR(__xludf.DUMMYFUNCTION("rank(J164,FILTER(J:J,R:R=R164))"),1.0)</f>
        <v>1</v>
      </c>
      <c r="T164" s="6">
        <f t="shared" si="6"/>
        <v>11</v>
      </c>
      <c r="U164" s="6">
        <f t="shared" si="7"/>
        <v>1</v>
      </c>
      <c r="V164" s="42">
        <f>averageif(AllData!A:A,B164,AllData!R:R)/vlookup(B164,AllData!A:O,15,0)</f>
        <v>88.55128205</v>
      </c>
      <c r="W164" s="6"/>
    </row>
    <row r="165" ht="14.25" customHeight="1">
      <c r="A165" s="6" t="str">
        <f t="shared" si="1"/>
        <v>2011Pierson7</v>
      </c>
      <c r="B165" s="6">
        <v>2011.0</v>
      </c>
      <c r="C165" s="6" t="s">
        <v>92</v>
      </c>
      <c r="D165" s="6" t="s">
        <v>143</v>
      </c>
      <c r="E165" s="34">
        <v>42126.0</v>
      </c>
      <c r="F165" s="6" t="s">
        <v>847</v>
      </c>
      <c r="G165" s="6" t="s">
        <v>125</v>
      </c>
      <c r="H165" s="6" t="s">
        <v>848</v>
      </c>
      <c r="I165" s="35" t="s">
        <v>64</v>
      </c>
      <c r="J165" s="36">
        <v>100.8</v>
      </c>
      <c r="K165" s="36">
        <v>82.8</v>
      </c>
      <c r="L165" s="36">
        <f t="shared" si="2"/>
        <v>1</v>
      </c>
      <c r="M165" s="36" t="str">
        <f t="shared" si="3"/>
        <v>Regular Season</v>
      </c>
      <c r="N165" s="36" t="str">
        <f>IFERROR(VLOOKUP(I165,Mapped_Owner,2,0),"")</f>
        <v>Hudspeath</v>
      </c>
      <c r="O165" s="6">
        <f>VLOOKUP(D165,'Mapped Opponent'!$G$4:$H$22,2,0)</f>
        <v>7</v>
      </c>
      <c r="P165" s="6"/>
      <c r="Q165" s="6" t="str">
        <f t="shared" si="4"/>
        <v>Week 7</v>
      </c>
      <c r="R165" s="6" t="str">
        <f t="shared" si="5"/>
        <v>2011Week 7</v>
      </c>
      <c r="S165" s="6">
        <f>IFERROR(__xludf.DUMMYFUNCTION("rank(J165,FILTER(J:J,R:R=R165))"),2.0)</f>
        <v>2</v>
      </c>
      <c r="T165" s="6">
        <f t="shared" si="6"/>
        <v>10</v>
      </c>
      <c r="U165" s="6">
        <f t="shared" si="7"/>
        <v>2</v>
      </c>
      <c r="V165" s="42">
        <f>averageif(AllData!A:A,B165,AllData!R:R)/vlookup(B165,AllData!A:O,15,0)</f>
        <v>88.55128205</v>
      </c>
      <c r="W165" s="6"/>
    </row>
    <row r="166" ht="14.25" customHeight="1">
      <c r="A166" s="6" t="str">
        <f t="shared" si="1"/>
        <v>2011Cock7</v>
      </c>
      <c r="B166" s="6">
        <v>2011.0</v>
      </c>
      <c r="C166" s="6" t="s">
        <v>72</v>
      </c>
      <c r="D166" s="6" t="s">
        <v>143</v>
      </c>
      <c r="E166" s="34">
        <v>42067.0</v>
      </c>
      <c r="F166" s="6" t="s">
        <v>849</v>
      </c>
      <c r="G166" s="6" t="s">
        <v>125</v>
      </c>
      <c r="H166" s="6" t="s">
        <v>850</v>
      </c>
      <c r="I166" s="35" t="s">
        <v>91</v>
      </c>
      <c r="J166" s="36">
        <v>83.1</v>
      </c>
      <c r="K166" s="36">
        <v>80.4</v>
      </c>
      <c r="L166" s="36">
        <f t="shared" si="2"/>
        <v>1</v>
      </c>
      <c r="M166" s="36" t="str">
        <f t="shared" si="3"/>
        <v>Regular Season</v>
      </c>
      <c r="N166" s="36" t="str">
        <f>IFERROR(VLOOKUP(I166,Mapped_Owner,2,0),"")</f>
        <v>Shep</v>
      </c>
      <c r="O166" s="6">
        <f>VLOOKUP(D166,'Mapped Opponent'!$G$4:$H$22,2,0)</f>
        <v>7</v>
      </c>
      <c r="P166" s="6"/>
      <c r="Q166" s="6" t="str">
        <f t="shared" si="4"/>
        <v>Week 7</v>
      </c>
      <c r="R166" s="6" t="str">
        <f t="shared" si="5"/>
        <v>2011Week 7</v>
      </c>
      <c r="S166" s="6">
        <f>IFERROR(__xludf.DUMMYFUNCTION("rank(J166,FILTER(J:J,R:R=R166))"),6.0)</f>
        <v>6</v>
      </c>
      <c r="T166" s="6">
        <f t="shared" si="6"/>
        <v>6</v>
      </c>
      <c r="U166" s="6">
        <f t="shared" si="7"/>
        <v>6</v>
      </c>
      <c r="V166" s="42">
        <f>averageif(AllData!A:A,B166,AllData!R:R)/vlookup(B166,AllData!A:O,15,0)</f>
        <v>88.55128205</v>
      </c>
      <c r="W166" s="6"/>
    </row>
    <row r="167" ht="14.25" customHeight="1">
      <c r="A167" s="6" t="str">
        <f t="shared" si="1"/>
        <v>2011Tayski7</v>
      </c>
      <c r="B167" s="6">
        <v>2011.0</v>
      </c>
      <c r="C167" s="6" t="s">
        <v>52</v>
      </c>
      <c r="D167" s="6" t="s">
        <v>143</v>
      </c>
      <c r="E167" s="34">
        <v>42040.0</v>
      </c>
      <c r="F167" s="6" t="s">
        <v>856</v>
      </c>
      <c r="G167" s="6" t="s">
        <v>125</v>
      </c>
      <c r="H167" s="6" t="s">
        <v>857</v>
      </c>
      <c r="I167" s="35" t="s">
        <v>158</v>
      </c>
      <c r="J167" s="36">
        <v>68.0</v>
      </c>
      <c r="K167" s="36">
        <v>62.8</v>
      </c>
      <c r="L167" s="36">
        <f t="shared" si="2"/>
        <v>1</v>
      </c>
      <c r="M167" s="36" t="str">
        <f t="shared" si="3"/>
        <v>Regular Season</v>
      </c>
      <c r="N167" s="36" t="str">
        <f>IFERROR(VLOOKUP(I167,Mapped_Owner,2,0),"")</f>
        <v>Guckien</v>
      </c>
      <c r="O167" s="6">
        <f>VLOOKUP(D167,'Mapped Opponent'!$G$4:$H$22,2,0)</f>
        <v>7</v>
      </c>
      <c r="P167" s="6"/>
      <c r="Q167" s="6" t="str">
        <f t="shared" si="4"/>
        <v>Week 7</v>
      </c>
      <c r="R167" s="6" t="str">
        <f t="shared" si="5"/>
        <v>2011Week 7</v>
      </c>
      <c r="S167" s="6">
        <f>IFERROR(__xludf.DUMMYFUNCTION("rank(J167,FILTER(J:J,R:R=R167))"),11.0)</f>
        <v>11</v>
      </c>
      <c r="T167" s="6">
        <f t="shared" si="6"/>
        <v>1</v>
      </c>
      <c r="U167" s="6">
        <f t="shared" si="7"/>
        <v>11</v>
      </c>
      <c r="V167" s="42">
        <f>averageif(AllData!A:A,B167,AllData!R:R)/vlookup(B167,AllData!A:O,15,0)</f>
        <v>88.55128205</v>
      </c>
      <c r="W167" s="6"/>
    </row>
    <row r="168" ht="14.25" customHeight="1">
      <c r="A168" s="6" t="str">
        <f t="shared" si="1"/>
        <v>2011KnardDawg7</v>
      </c>
      <c r="B168" s="6">
        <v>2011.0</v>
      </c>
      <c r="C168" s="6" t="s">
        <v>86</v>
      </c>
      <c r="D168" s="6" t="s">
        <v>143</v>
      </c>
      <c r="E168" s="34">
        <v>42097.0</v>
      </c>
      <c r="F168" s="6" t="s">
        <v>858</v>
      </c>
      <c r="G168" s="6" t="s">
        <v>125</v>
      </c>
      <c r="H168" s="6" t="s">
        <v>859</v>
      </c>
      <c r="I168" s="35" t="s">
        <v>157</v>
      </c>
      <c r="J168" s="36">
        <v>84.4</v>
      </c>
      <c r="K168" s="36">
        <v>72.3</v>
      </c>
      <c r="L168" s="36">
        <f t="shared" si="2"/>
        <v>1</v>
      </c>
      <c r="M168" s="36" t="str">
        <f t="shared" si="3"/>
        <v>Regular Season</v>
      </c>
      <c r="N168" s="36" t="str">
        <f>IFERROR(VLOOKUP(I168,Mapped_Owner,2,0),"")</f>
        <v>Rooney/Jackson</v>
      </c>
      <c r="O168" s="6">
        <f>VLOOKUP(D168,'Mapped Opponent'!$G$4:$H$22,2,0)</f>
        <v>7</v>
      </c>
      <c r="P168" s="6"/>
      <c r="Q168" s="6" t="str">
        <f t="shared" si="4"/>
        <v>Week 7</v>
      </c>
      <c r="R168" s="6" t="str">
        <f t="shared" si="5"/>
        <v>2011Week 7</v>
      </c>
      <c r="S168" s="6">
        <f>IFERROR(__xludf.DUMMYFUNCTION("rank(J168,FILTER(J:J,R:R=R168))"),5.0)</f>
        <v>5</v>
      </c>
      <c r="T168" s="6">
        <f t="shared" si="6"/>
        <v>7</v>
      </c>
      <c r="U168" s="6">
        <f t="shared" si="7"/>
        <v>5</v>
      </c>
      <c r="V168" s="42">
        <f>averageif(AllData!A:A,B168,AllData!R:R)/vlookup(B168,AllData!A:O,15,0)</f>
        <v>88.55128205</v>
      </c>
      <c r="W168" s="6"/>
    </row>
    <row r="169" ht="14.25" customHeight="1">
      <c r="A169" s="6" t="str">
        <f t="shared" si="1"/>
        <v>2011T-How7</v>
      </c>
      <c r="B169" s="6">
        <v>2011.0</v>
      </c>
      <c r="C169" s="6" t="s">
        <v>82</v>
      </c>
      <c r="D169" s="6" t="s">
        <v>143</v>
      </c>
      <c r="E169" s="34">
        <v>42126.0</v>
      </c>
      <c r="F169" s="6" t="s">
        <v>861</v>
      </c>
      <c r="G169" s="6" t="s">
        <v>125</v>
      </c>
      <c r="H169" s="6" t="s">
        <v>862</v>
      </c>
      <c r="I169" s="35" t="s">
        <v>77</v>
      </c>
      <c r="J169" s="36">
        <v>86.5</v>
      </c>
      <c r="K169" s="36">
        <v>81.4</v>
      </c>
      <c r="L169" s="36">
        <f t="shared" si="2"/>
        <v>1</v>
      </c>
      <c r="M169" s="36" t="str">
        <f t="shared" si="3"/>
        <v>Regular Season</v>
      </c>
      <c r="N169" s="36" t="str">
        <f>IFERROR(VLOOKUP(I169,Mapped_Owner,2,0),"")</f>
        <v>Salty</v>
      </c>
      <c r="O169" s="6">
        <f>VLOOKUP(D169,'Mapped Opponent'!$G$4:$H$22,2,0)</f>
        <v>7</v>
      </c>
      <c r="P169" s="6"/>
      <c r="Q169" s="6" t="str">
        <f t="shared" si="4"/>
        <v>Week 7</v>
      </c>
      <c r="R169" s="6" t="str">
        <f t="shared" si="5"/>
        <v>2011Week 7</v>
      </c>
      <c r="S169" s="6">
        <f>IFERROR(__xludf.DUMMYFUNCTION("rank(J169,FILTER(J:J,R:R=R169))"),3.0)</f>
        <v>3</v>
      </c>
      <c r="T169" s="6">
        <f t="shared" si="6"/>
        <v>9</v>
      </c>
      <c r="U169" s="6">
        <f t="shared" si="7"/>
        <v>3</v>
      </c>
      <c r="V169" s="42">
        <f>averageif(AllData!A:A,B169,AllData!R:R)/vlookup(B169,AllData!A:O,15,0)</f>
        <v>88.55128205</v>
      </c>
      <c r="W169" s="6"/>
    </row>
    <row r="170" ht="14.25" customHeight="1">
      <c r="A170" s="6" t="str">
        <f t="shared" si="1"/>
        <v>2011Hudspeath8</v>
      </c>
      <c r="B170" s="6">
        <v>2011.0</v>
      </c>
      <c r="C170" s="6" t="s">
        <v>39</v>
      </c>
      <c r="D170" s="6" t="s">
        <v>145</v>
      </c>
      <c r="E170" s="34">
        <v>42068.0</v>
      </c>
      <c r="F170" s="6" t="s">
        <v>867</v>
      </c>
      <c r="G170" s="6" t="s">
        <v>125</v>
      </c>
      <c r="H170" s="6" t="s">
        <v>868</v>
      </c>
      <c r="I170" s="35" t="s">
        <v>50</v>
      </c>
      <c r="J170" s="36">
        <v>63.3</v>
      </c>
      <c r="K170" s="36">
        <v>96.6</v>
      </c>
      <c r="L170" s="36">
        <f t="shared" si="2"/>
        <v>0</v>
      </c>
      <c r="M170" s="36" t="str">
        <f t="shared" si="3"/>
        <v>Regular Season</v>
      </c>
      <c r="N170" s="36" t="str">
        <f>IFERROR(VLOOKUP(I170,Mapped_Owner,2,0),"")</f>
        <v>Buser</v>
      </c>
      <c r="O170" s="6">
        <f>VLOOKUP(D170,'Mapped Opponent'!$G$4:$H$22,2,0)</f>
        <v>8</v>
      </c>
      <c r="P170" s="39"/>
      <c r="Q170" s="6" t="str">
        <f t="shared" si="4"/>
        <v>Week 8</v>
      </c>
      <c r="R170" s="6" t="str">
        <f t="shared" si="5"/>
        <v>2011Week 8</v>
      </c>
      <c r="S170" s="6">
        <f>IFERROR(__xludf.DUMMYFUNCTION("rank(J170,FILTER(J:J,R:R=R170))"),11.0)</f>
        <v>11</v>
      </c>
      <c r="T170" s="6">
        <f t="shared" si="6"/>
        <v>1</v>
      </c>
      <c r="U170" s="6">
        <f t="shared" si="7"/>
        <v>11</v>
      </c>
      <c r="V170" s="42">
        <f>averageif(AllData!A:A,B170,AllData!R:R)/vlookup(B170,AllData!A:O,15,0)</f>
        <v>88.55128205</v>
      </c>
      <c r="W170" s="6"/>
    </row>
    <row r="171" ht="14.25" customHeight="1">
      <c r="A171" s="6" t="str">
        <f t="shared" si="1"/>
        <v>2011Salty8</v>
      </c>
      <c r="B171" s="6">
        <v>2011.0</v>
      </c>
      <c r="C171" s="6" t="s">
        <v>76</v>
      </c>
      <c r="D171" s="6" t="s">
        <v>145</v>
      </c>
      <c r="E171" s="34">
        <v>42098.0</v>
      </c>
      <c r="F171" s="6" t="s">
        <v>869</v>
      </c>
      <c r="G171" s="6" t="s">
        <v>125</v>
      </c>
      <c r="H171" s="6" t="s">
        <v>870</v>
      </c>
      <c r="I171" s="35" t="s">
        <v>132</v>
      </c>
      <c r="J171" s="36">
        <v>118.8</v>
      </c>
      <c r="K171" s="36">
        <v>97.1</v>
      </c>
      <c r="L171" s="36">
        <f t="shared" si="2"/>
        <v>1</v>
      </c>
      <c r="M171" s="36" t="str">
        <f t="shared" si="3"/>
        <v>Regular Season</v>
      </c>
      <c r="N171" s="36" t="str">
        <f>IFERROR(VLOOKUP(I171,Mapped_Owner,2,0),"")</f>
        <v>KnardDawg</v>
      </c>
      <c r="O171" s="6">
        <f>VLOOKUP(D171,'Mapped Opponent'!$G$4:$H$22,2,0)</f>
        <v>8</v>
      </c>
      <c r="P171" s="6"/>
      <c r="Q171" s="6" t="str">
        <f t="shared" si="4"/>
        <v>Week 8</v>
      </c>
      <c r="R171" s="6" t="str">
        <f t="shared" si="5"/>
        <v>2011Week 8</v>
      </c>
      <c r="S171" s="6">
        <f>IFERROR(__xludf.DUMMYFUNCTION("rank(J171,FILTER(J:J,R:R=R171))"),1.0)</f>
        <v>1</v>
      </c>
      <c r="T171" s="6">
        <f t="shared" si="6"/>
        <v>11</v>
      </c>
      <c r="U171" s="6">
        <f t="shared" si="7"/>
        <v>1</v>
      </c>
      <c r="V171" s="42">
        <f>averageif(AllData!A:A,B171,AllData!R:R)/vlookup(B171,AllData!A:O,15,0)</f>
        <v>88.55128205</v>
      </c>
      <c r="W171" s="6"/>
    </row>
    <row r="172" ht="14.25" customHeight="1">
      <c r="A172" s="6" t="str">
        <f t="shared" si="1"/>
        <v>2011Fellows8</v>
      </c>
      <c r="B172" s="6">
        <v>2011.0</v>
      </c>
      <c r="C172" s="6" t="s">
        <v>79</v>
      </c>
      <c r="D172" s="6" t="s">
        <v>145</v>
      </c>
      <c r="E172" s="34">
        <v>42041.0</v>
      </c>
      <c r="F172" s="6" t="s">
        <v>875</v>
      </c>
      <c r="G172" s="6" t="s">
        <v>125</v>
      </c>
      <c r="H172" s="6" t="s">
        <v>876</v>
      </c>
      <c r="I172" s="35" t="s">
        <v>85</v>
      </c>
      <c r="J172" s="36">
        <v>68.0</v>
      </c>
      <c r="K172" s="36">
        <v>75.5</v>
      </c>
      <c r="L172" s="36">
        <f t="shared" si="2"/>
        <v>0</v>
      </c>
      <c r="M172" s="36" t="str">
        <f t="shared" si="3"/>
        <v>Regular Season</v>
      </c>
      <c r="N172" s="36" t="str">
        <f>IFERROR(VLOOKUP(I172,Mapped_Owner,2,0),"")</f>
        <v>T-How</v>
      </c>
      <c r="O172" s="6">
        <f>VLOOKUP(D172,'Mapped Opponent'!$G$4:$H$22,2,0)</f>
        <v>8</v>
      </c>
      <c r="P172" s="6"/>
      <c r="Q172" s="6" t="str">
        <f t="shared" si="4"/>
        <v>Week 8</v>
      </c>
      <c r="R172" s="6" t="str">
        <f t="shared" si="5"/>
        <v>2011Week 8</v>
      </c>
      <c r="S172" s="6">
        <f>IFERROR(__xludf.DUMMYFUNCTION("rank(J172,FILTER(J:J,R:R=R172))"),10.0)</f>
        <v>10</v>
      </c>
      <c r="T172" s="6">
        <f t="shared" si="6"/>
        <v>2</v>
      </c>
      <c r="U172" s="6">
        <f t="shared" si="7"/>
        <v>10</v>
      </c>
      <c r="V172" s="42">
        <f>averageif(AllData!A:A,B172,AllData!R:R)/vlookup(B172,AllData!A:O,15,0)</f>
        <v>88.55128205</v>
      </c>
      <c r="W172" s="6"/>
    </row>
    <row r="173" ht="14.25" customHeight="1">
      <c r="A173" s="6" t="str">
        <f t="shared" si="1"/>
        <v>2011Shep8</v>
      </c>
      <c r="B173" s="6">
        <v>2011.0</v>
      </c>
      <c r="C173" s="6" t="s">
        <v>89</v>
      </c>
      <c r="D173" s="6" t="s">
        <v>145</v>
      </c>
      <c r="E173" s="34">
        <v>42127.0</v>
      </c>
      <c r="F173" s="6" t="s">
        <v>877</v>
      </c>
      <c r="G173" s="6" t="s">
        <v>125</v>
      </c>
      <c r="H173" s="6" t="s">
        <v>878</v>
      </c>
      <c r="I173" s="35" t="s">
        <v>93</v>
      </c>
      <c r="J173" s="36">
        <v>85.4</v>
      </c>
      <c r="K173" s="36">
        <v>76.5</v>
      </c>
      <c r="L173" s="36">
        <f t="shared" si="2"/>
        <v>1</v>
      </c>
      <c r="M173" s="36" t="str">
        <f t="shared" si="3"/>
        <v>Regular Season</v>
      </c>
      <c r="N173" s="36" t="str">
        <f>IFERROR(VLOOKUP(I173,Mapped_Owner,2,0),"")</f>
        <v>Pierson</v>
      </c>
      <c r="O173" s="6">
        <f>VLOOKUP(D173,'Mapped Opponent'!$G$4:$H$22,2,0)</f>
        <v>8</v>
      </c>
      <c r="P173" s="6"/>
      <c r="Q173" s="6" t="str">
        <f t="shared" si="4"/>
        <v>Week 8</v>
      </c>
      <c r="R173" s="6" t="str">
        <f t="shared" si="5"/>
        <v>2011Week 8</v>
      </c>
      <c r="S173" s="6">
        <f>IFERROR(__xludf.DUMMYFUNCTION("rank(J173,FILTER(J:J,R:R=R173))"),7.0)</f>
        <v>7</v>
      </c>
      <c r="T173" s="6">
        <f t="shared" si="6"/>
        <v>5</v>
      </c>
      <c r="U173" s="6">
        <f t="shared" si="7"/>
        <v>7</v>
      </c>
      <c r="V173" s="42">
        <f>averageif(AllData!A:A,B173,AllData!R:R)/vlookup(B173,AllData!A:O,15,0)</f>
        <v>88.55128205</v>
      </c>
      <c r="W173" s="6"/>
    </row>
    <row r="174" ht="14.25" customHeight="1">
      <c r="A174" s="6" t="str">
        <f t="shared" si="1"/>
        <v>2011Guckien8</v>
      </c>
      <c r="B174" s="6">
        <v>2011.0</v>
      </c>
      <c r="C174" s="6" t="s">
        <v>159</v>
      </c>
      <c r="D174" s="6" t="s">
        <v>145</v>
      </c>
      <c r="E174" s="34">
        <v>42127.0</v>
      </c>
      <c r="F174" s="6" t="s">
        <v>883</v>
      </c>
      <c r="G174" s="6" t="s">
        <v>125</v>
      </c>
      <c r="H174" s="6" t="s">
        <v>884</v>
      </c>
      <c r="I174" s="35" t="s">
        <v>99</v>
      </c>
      <c r="J174" s="36">
        <v>98.0</v>
      </c>
      <c r="K174" s="36">
        <v>91.0</v>
      </c>
      <c r="L174" s="36">
        <f t="shared" si="2"/>
        <v>1</v>
      </c>
      <c r="M174" s="36" t="str">
        <f t="shared" si="3"/>
        <v>Regular Season</v>
      </c>
      <c r="N174" s="36" t="str">
        <f>IFERROR(VLOOKUP(I174,Mapped_Owner,2,0),"")</f>
        <v>Cock</v>
      </c>
      <c r="O174" s="6">
        <f>VLOOKUP(D174,'Mapped Opponent'!$G$4:$H$22,2,0)</f>
        <v>8</v>
      </c>
      <c r="P174" s="6"/>
      <c r="Q174" s="6" t="str">
        <f t="shared" si="4"/>
        <v>Week 8</v>
      </c>
      <c r="R174" s="6" t="str">
        <f t="shared" si="5"/>
        <v>2011Week 8</v>
      </c>
      <c r="S174" s="6">
        <f>IFERROR(__xludf.DUMMYFUNCTION("rank(J174,FILTER(J:J,R:R=R174))"),2.0)</f>
        <v>2</v>
      </c>
      <c r="T174" s="6">
        <f t="shared" si="6"/>
        <v>10</v>
      </c>
      <c r="U174" s="6">
        <f t="shared" si="7"/>
        <v>2</v>
      </c>
      <c r="V174" s="42">
        <f>averageif(AllData!A:A,B174,AllData!R:R)/vlookup(B174,AllData!A:O,15,0)</f>
        <v>88.55128205</v>
      </c>
      <c r="W174" s="6"/>
    </row>
    <row r="175" ht="14.25" customHeight="1">
      <c r="A175" s="6" t="str">
        <f t="shared" si="1"/>
        <v>2011Rooney/Jackson8</v>
      </c>
      <c r="B175" s="6">
        <v>2011.0</v>
      </c>
      <c r="C175" s="6" t="s">
        <v>57</v>
      </c>
      <c r="D175" s="6" t="s">
        <v>145</v>
      </c>
      <c r="E175" s="34">
        <v>42068.0</v>
      </c>
      <c r="F175" s="6" t="s">
        <v>885</v>
      </c>
      <c r="G175" s="6" t="s">
        <v>125</v>
      </c>
      <c r="H175" s="6" t="s">
        <v>886</v>
      </c>
      <c r="I175" s="35" t="s">
        <v>54</v>
      </c>
      <c r="J175" s="36">
        <v>85.8</v>
      </c>
      <c r="K175" s="36">
        <v>60.4</v>
      </c>
      <c r="L175" s="36">
        <f t="shared" si="2"/>
        <v>1</v>
      </c>
      <c r="M175" s="36" t="str">
        <f t="shared" si="3"/>
        <v>Regular Season</v>
      </c>
      <c r="N175" s="36" t="str">
        <f>IFERROR(VLOOKUP(I175,Mapped_Owner,2,0),"")</f>
        <v>Tayski</v>
      </c>
      <c r="O175" s="6">
        <f>VLOOKUP(D175,'Mapped Opponent'!$G$4:$H$22,2,0)</f>
        <v>8</v>
      </c>
      <c r="P175" s="6"/>
      <c r="Q175" s="6" t="str">
        <f t="shared" si="4"/>
        <v>Week 8</v>
      </c>
      <c r="R175" s="6" t="str">
        <f t="shared" si="5"/>
        <v>2011Week 8</v>
      </c>
      <c r="S175" s="6">
        <f>IFERROR(__xludf.DUMMYFUNCTION("rank(J175,FILTER(J:J,R:R=R175))"),6.0)</f>
        <v>6</v>
      </c>
      <c r="T175" s="6">
        <f t="shared" si="6"/>
        <v>6</v>
      </c>
      <c r="U175" s="6">
        <f t="shared" si="7"/>
        <v>6</v>
      </c>
      <c r="V175" s="42">
        <f>averageif(AllData!A:A,B175,AllData!R:R)/vlookup(B175,AllData!A:O,15,0)</f>
        <v>88.55128205</v>
      </c>
      <c r="W175" s="6"/>
    </row>
    <row r="176" ht="14.25" customHeight="1">
      <c r="A176" s="6" t="str">
        <f t="shared" si="1"/>
        <v>2011Buser8</v>
      </c>
      <c r="B176" s="6">
        <v>2011.0</v>
      </c>
      <c r="C176" s="6" t="s">
        <v>47</v>
      </c>
      <c r="D176" s="6" t="s">
        <v>145</v>
      </c>
      <c r="E176" s="34">
        <v>42157.0</v>
      </c>
      <c r="F176" s="6" t="s">
        <v>891</v>
      </c>
      <c r="G176" s="6" t="s">
        <v>114</v>
      </c>
      <c r="H176" s="6" t="s">
        <v>892</v>
      </c>
      <c r="I176" s="35" t="s">
        <v>64</v>
      </c>
      <c r="J176" s="36">
        <v>96.6</v>
      </c>
      <c r="K176" s="36">
        <v>63.3</v>
      </c>
      <c r="L176" s="36">
        <f t="shared" si="2"/>
        <v>1</v>
      </c>
      <c r="M176" s="36" t="str">
        <f t="shared" si="3"/>
        <v>Regular Season</v>
      </c>
      <c r="N176" s="36" t="str">
        <f>IFERROR(VLOOKUP(I176,Mapped_Owner,2,0),"")</f>
        <v>Hudspeath</v>
      </c>
      <c r="O176" s="6">
        <f>VLOOKUP(D176,'Mapped Opponent'!$G$4:$H$22,2,0)</f>
        <v>8</v>
      </c>
      <c r="P176" s="6"/>
      <c r="Q176" s="6" t="str">
        <f t="shared" si="4"/>
        <v>Week 8</v>
      </c>
      <c r="R176" s="6" t="str">
        <f t="shared" si="5"/>
        <v>2011Week 8</v>
      </c>
      <c r="S176" s="6">
        <f>IFERROR(__xludf.DUMMYFUNCTION("rank(J176,FILTER(J:J,R:R=R176))"),4.0)</f>
        <v>4</v>
      </c>
      <c r="T176" s="6">
        <f t="shared" si="6"/>
        <v>8</v>
      </c>
      <c r="U176" s="6">
        <f t="shared" si="7"/>
        <v>4</v>
      </c>
      <c r="V176" s="42">
        <f>averageif(AllData!A:A,B176,AllData!R:R)/vlookup(B176,AllData!A:O,15,0)</f>
        <v>88.55128205</v>
      </c>
      <c r="W176" s="6"/>
    </row>
    <row r="177" ht="14.25" customHeight="1">
      <c r="A177" s="6" t="str">
        <f t="shared" si="1"/>
        <v>2011Pierson8</v>
      </c>
      <c r="B177" s="6">
        <v>2011.0</v>
      </c>
      <c r="C177" s="6" t="s">
        <v>92</v>
      </c>
      <c r="D177" s="6" t="s">
        <v>145</v>
      </c>
      <c r="E177" s="34">
        <v>42127.0</v>
      </c>
      <c r="F177" s="6" t="s">
        <v>893</v>
      </c>
      <c r="G177" s="6" t="s">
        <v>114</v>
      </c>
      <c r="H177" s="6" t="s">
        <v>894</v>
      </c>
      <c r="I177" s="35" t="s">
        <v>91</v>
      </c>
      <c r="J177" s="36">
        <v>76.5</v>
      </c>
      <c r="K177" s="36">
        <v>85.4</v>
      </c>
      <c r="L177" s="36">
        <f t="shared" si="2"/>
        <v>0</v>
      </c>
      <c r="M177" s="36" t="str">
        <f t="shared" si="3"/>
        <v>Regular Season</v>
      </c>
      <c r="N177" s="36" t="str">
        <f>IFERROR(VLOOKUP(I177,Mapped_Owner,2,0),"")</f>
        <v>Shep</v>
      </c>
      <c r="O177" s="6">
        <f>VLOOKUP(D177,'Mapped Opponent'!$G$4:$H$22,2,0)</f>
        <v>8</v>
      </c>
      <c r="P177" s="6"/>
      <c r="Q177" s="6" t="str">
        <f t="shared" si="4"/>
        <v>Week 8</v>
      </c>
      <c r="R177" s="6" t="str">
        <f t="shared" si="5"/>
        <v>2011Week 8</v>
      </c>
      <c r="S177" s="6">
        <f>IFERROR(__xludf.DUMMYFUNCTION("rank(J177,FILTER(J:J,R:R=R177))"),8.0)</f>
        <v>8</v>
      </c>
      <c r="T177" s="6">
        <f t="shared" si="6"/>
        <v>4</v>
      </c>
      <c r="U177" s="6">
        <f t="shared" si="7"/>
        <v>8</v>
      </c>
      <c r="V177" s="42">
        <f>averageif(AllData!A:A,B177,AllData!R:R)/vlookup(B177,AllData!A:O,15,0)</f>
        <v>88.55128205</v>
      </c>
      <c r="W177" s="6"/>
    </row>
    <row r="178" ht="14.25" customHeight="1">
      <c r="A178" s="6" t="str">
        <f t="shared" si="1"/>
        <v>2011Cock8</v>
      </c>
      <c r="B178" s="6">
        <v>2011.0</v>
      </c>
      <c r="C178" s="6" t="s">
        <v>72</v>
      </c>
      <c r="D178" s="6" t="s">
        <v>145</v>
      </c>
      <c r="E178" s="34">
        <v>42068.0</v>
      </c>
      <c r="F178" s="6" t="s">
        <v>900</v>
      </c>
      <c r="G178" s="6" t="s">
        <v>114</v>
      </c>
      <c r="H178" s="6" t="s">
        <v>901</v>
      </c>
      <c r="I178" s="35" t="s">
        <v>158</v>
      </c>
      <c r="J178" s="36">
        <v>91.0</v>
      </c>
      <c r="K178" s="36">
        <v>98.0</v>
      </c>
      <c r="L178" s="36">
        <f t="shared" si="2"/>
        <v>0</v>
      </c>
      <c r="M178" s="36" t="str">
        <f t="shared" si="3"/>
        <v>Regular Season</v>
      </c>
      <c r="N178" s="36" t="str">
        <f>IFERROR(VLOOKUP(I178,Mapped_Owner,2,0),"")</f>
        <v>Guckien</v>
      </c>
      <c r="O178" s="6">
        <f>VLOOKUP(D178,'Mapped Opponent'!$G$4:$H$22,2,0)</f>
        <v>8</v>
      </c>
      <c r="P178" s="6"/>
      <c r="Q178" s="6" t="str">
        <f t="shared" si="4"/>
        <v>Week 8</v>
      </c>
      <c r="R178" s="6" t="str">
        <f t="shared" si="5"/>
        <v>2011Week 8</v>
      </c>
      <c r="S178" s="6">
        <f>IFERROR(__xludf.DUMMYFUNCTION("rank(J178,FILTER(J:J,R:R=R178))"),5.0)</f>
        <v>5</v>
      </c>
      <c r="T178" s="6">
        <f t="shared" si="6"/>
        <v>7</v>
      </c>
      <c r="U178" s="6">
        <f t="shared" si="7"/>
        <v>5</v>
      </c>
      <c r="V178" s="42">
        <f>averageif(AllData!A:A,B178,AllData!R:R)/vlookup(B178,AllData!A:O,15,0)</f>
        <v>88.55128205</v>
      </c>
      <c r="W178" s="6"/>
    </row>
    <row r="179" ht="14.25" customHeight="1">
      <c r="A179" s="6" t="str">
        <f t="shared" si="1"/>
        <v>2011Tayski8</v>
      </c>
      <c r="B179" s="6">
        <v>2011.0</v>
      </c>
      <c r="C179" s="6" t="s">
        <v>52</v>
      </c>
      <c r="D179" s="6" t="s">
        <v>145</v>
      </c>
      <c r="E179" s="34">
        <v>42041.0</v>
      </c>
      <c r="F179" s="6" t="s">
        <v>904</v>
      </c>
      <c r="G179" s="6" t="s">
        <v>114</v>
      </c>
      <c r="H179" s="6" t="s">
        <v>905</v>
      </c>
      <c r="I179" s="35" t="s">
        <v>157</v>
      </c>
      <c r="J179" s="36">
        <v>60.4</v>
      </c>
      <c r="K179" s="36">
        <v>85.8</v>
      </c>
      <c r="L179" s="36">
        <f t="shared" si="2"/>
        <v>0</v>
      </c>
      <c r="M179" s="36" t="str">
        <f t="shared" si="3"/>
        <v>Regular Season</v>
      </c>
      <c r="N179" s="36" t="str">
        <f>IFERROR(VLOOKUP(I179,Mapped_Owner,2,0),"")</f>
        <v>Rooney/Jackson</v>
      </c>
      <c r="O179" s="6">
        <f>VLOOKUP(D179,'Mapped Opponent'!$G$4:$H$22,2,0)</f>
        <v>8</v>
      </c>
      <c r="P179" s="6"/>
      <c r="Q179" s="6" t="str">
        <f t="shared" si="4"/>
        <v>Week 8</v>
      </c>
      <c r="R179" s="6" t="str">
        <f t="shared" si="5"/>
        <v>2011Week 8</v>
      </c>
      <c r="S179" s="6">
        <f>IFERROR(__xludf.DUMMYFUNCTION("rank(J179,FILTER(J:J,R:R=R179))"),12.0)</f>
        <v>12</v>
      </c>
      <c r="T179" s="6">
        <f t="shared" si="6"/>
        <v>0</v>
      </c>
      <c r="U179" s="6">
        <f t="shared" si="7"/>
        <v>12</v>
      </c>
      <c r="V179" s="42">
        <f>averageif(AllData!A:A,B179,AllData!R:R)/vlookup(B179,AllData!A:O,15,0)</f>
        <v>88.55128205</v>
      </c>
      <c r="W179" s="6"/>
    </row>
    <row r="180" ht="14.25" customHeight="1">
      <c r="A180" s="6" t="str">
        <f t="shared" si="1"/>
        <v>2011KnardDawg8</v>
      </c>
      <c r="B180" s="6">
        <v>2011.0</v>
      </c>
      <c r="C180" s="6" t="s">
        <v>86</v>
      </c>
      <c r="D180" s="6" t="s">
        <v>145</v>
      </c>
      <c r="E180" s="34">
        <v>42098.0</v>
      </c>
      <c r="F180" s="6" t="s">
        <v>911</v>
      </c>
      <c r="G180" s="6" t="s">
        <v>114</v>
      </c>
      <c r="H180" s="6" t="s">
        <v>913</v>
      </c>
      <c r="I180" s="35" t="s">
        <v>77</v>
      </c>
      <c r="J180" s="36">
        <v>97.1</v>
      </c>
      <c r="K180" s="36">
        <v>118.8</v>
      </c>
      <c r="L180" s="36">
        <f t="shared" si="2"/>
        <v>0</v>
      </c>
      <c r="M180" s="36" t="str">
        <f t="shared" si="3"/>
        <v>Regular Season</v>
      </c>
      <c r="N180" s="36" t="str">
        <f>IFERROR(VLOOKUP(I180,Mapped_Owner,2,0),"")</f>
        <v>Salty</v>
      </c>
      <c r="O180" s="6">
        <f>VLOOKUP(D180,'Mapped Opponent'!$G$4:$H$22,2,0)</f>
        <v>8</v>
      </c>
      <c r="P180" s="6"/>
      <c r="Q180" s="6" t="str">
        <f t="shared" si="4"/>
        <v>Week 8</v>
      </c>
      <c r="R180" s="6" t="str">
        <f t="shared" si="5"/>
        <v>2011Week 8</v>
      </c>
      <c r="S180" s="6">
        <f>IFERROR(__xludf.DUMMYFUNCTION("rank(J180,FILTER(J:J,R:R=R180))"),3.0)</f>
        <v>3</v>
      </c>
      <c r="T180" s="6">
        <f t="shared" si="6"/>
        <v>9</v>
      </c>
      <c r="U180" s="6">
        <f t="shared" si="7"/>
        <v>3</v>
      </c>
      <c r="V180" s="42">
        <f>averageif(AllData!A:A,B180,AllData!R:R)/vlookup(B180,AllData!A:O,15,0)</f>
        <v>88.55128205</v>
      </c>
      <c r="W180" s="6"/>
    </row>
    <row r="181" ht="14.25" customHeight="1">
      <c r="A181" s="6" t="str">
        <f t="shared" si="1"/>
        <v>2011T-How8</v>
      </c>
      <c r="B181" s="6">
        <v>2011.0</v>
      </c>
      <c r="C181" s="6" t="s">
        <v>82</v>
      </c>
      <c r="D181" s="6" t="s">
        <v>145</v>
      </c>
      <c r="E181" s="34">
        <v>42157.0</v>
      </c>
      <c r="F181" s="6" t="s">
        <v>916</v>
      </c>
      <c r="G181" s="6" t="s">
        <v>114</v>
      </c>
      <c r="H181" s="6" t="s">
        <v>917</v>
      </c>
      <c r="I181" s="35" t="s">
        <v>80</v>
      </c>
      <c r="J181" s="36">
        <v>75.5</v>
      </c>
      <c r="K181" s="36">
        <v>68.0</v>
      </c>
      <c r="L181" s="36">
        <f t="shared" si="2"/>
        <v>1</v>
      </c>
      <c r="M181" s="36" t="str">
        <f t="shared" si="3"/>
        <v>Regular Season</v>
      </c>
      <c r="N181" s="36" t="str">
        <f>IFERROR(VLOOKUP(I181,Mapped_Owner,2,0),"")</f>
        <v>Fellows</v>
      </c>
      <c r="O181" s="6">
        <f>VLOOKUP(D181,'Mapped Opponent'!$G$4:$H$22,2,0)</f>
        <v>8</v>
      </c>
      <c r="P181" s="6"/>
      <c r="Q181" s="6" t="str">
        <f t="shared" si="4"/>
        <v>Week 8</v>
      </c>
      <c r="R181" s="6" t="str">
        <f t="shared" si="5"/>
        <v>2011Week 8</v>
      </c>
      <c r="S181" s="6">
        <f>IFERROR(__xludf.DUMMYFUNCTION("rank(J181,FILTER(J:J,R:R=R181))"),9.0)</f>
        <v>9</v>
      </c>
      <c r="T181" s="6">
        <f t="shared" si="6"/>
        <v>3</v>
      </c>
      <c r="U181" s="6">
        <f t="shared" si="7"/>
        <v>9</v>
      </c>
      <c r="V181" s="42">
        <f>averageif(AllData!A:A,B181,AllData!R:R)/vlookup(B181,AllData!A:O,15,0)</f>
        <v>88.55128205</v>
      </c>
      <c r="W181" s="6"/>
    </row>
    <row r="182" ht="14.25" customHeight="1">
      <c r="A182" s="6" t="str">
        <f t="shared" si="1"/>
        <v>2011Hudspeath9</v>
      </c>
      <c r="B182" s="6">
        <v>2011.0</v>
      </c>
      <c r="C182" s="6" t="s">
        <v>39</v>
      </c>
      <c r="D182" s="6" t="s">
        <v>147</v>
      </c>
      <c r="E182" s="34">
        <v>42099.0</v>
      </c>
      <c r="F182" s="6" t="s">
        <v>925</v>
      </c>
      <c r="G182" s="6" t="s">
        <v>114</v>
      </c>
      <c r="H182" s="6" t="s">
        <v>926</v>
      </c>
      <c r="I182" s="35" t="s">
        <v>85</v>
      </c>
      <c r="J182" s="36">
        <v>99.5</v>
      </c>
      <c r="K182" s="36">
        <v>93.1</v>
      </c>
      <c r="L182" s="36">
        <f t="shared" si="2"/>
        <v>1</v>
      </c>
      <c r="M182" s="36" t="str">
        <f t="shared" si="3"/>
        <v>Regular Season</v>
      </c>
      <c r="N182" s="36" t="str">
        <f>IFERROR(VLOOKUP(I182,Mapped_Owner,2,0),"")</f>
        <v>T-How</v>
      </c>
      <c r="O182" s="6">
        <f>VLOOKUP(D182,'Mapped Opponent'!$G$4:$H$22,2,0)</f>
        <v>9</v>
      </c>
      <c r="P182" s="39"/>
      <c r="Q182" s="6" t="str">
        <f t="shared" si="4"/>
        <v>Week 9</v>
      </c>
      <c r="R182" s="6" t="str">
        <f t="shared" si="5"/>
        <v>2011Week 9</v>
      </c>
      <c r="S182" s="6">
        <f>IFERROR(__xludf.DUMMYFUNCTION("rank(J182,FILTER(J:J,R:R=R182))"),3.0)</f>
        <v>3</v>
      </c>
      <c r="T182" s="6">
        <f t="shared" si="6"/>
        <v>9</v>
      </c>
      <c r="U182" s="6">
        <f t="shared" si="7"/>
        <v>3</v>
      </c>
      <c r="V182" s="42">
        <f>averageif(AllData!A:A,B182,AllData!R:R)/vlookup(B182,AllData!A:O,15,0)</f>
        <v>88.55128205</v>
      </c>
      <c r="W182" s="6"/>
    </row>
    <row r="183" ht="14.25" customHeight="1">
      <c r="A183" s="6" t="str">
        <f t="shared" si="1"/>
        <v>2011Salty9</v>
      </c>
      <c r="B183" s="6">
        <v>2011.0</v>
      </c>
      <c r="C183" s="6" t="s">
        <v>76</v>
      </c>
      <c r="D183" s="6" t="s">
        <v>147</v>
      </c>
      <c r="E183" s="34">
        <v>42128.0</v>
      </c>
      <c r="F183" s="6" t="s">
        <v>931</v>
      </c>
      <c r="G183" s="6" t="s">
        <v>114</v>
      </c>
      <c r="H183" s="6" t="s">
        <v>932</v>
      </c>
      <c r="I183" s="35" t="s">
        <v>54</v>
      </c>
      <c r="J183" s="36">
        <v>111.4</v>
      </c>
      <c r="K183" s="36">
        <v>26.8</v>
      </c>
      <c r="L183" s="36">
        <f t="shared" si="2"/>
        <v>1</v>
      </c>
      <c r="M183" s="36" t="str">
        <f t="shared" si="3"/>
        <v>Regular Season</v>
      </c>
      <c r="N183" s="36" t="str">
        <f>IFERROR(VLOOKUP(I183,Mapped_Owner,2,0),"")</f>
        <v>Tayski</v>
      </c>
      <c r="O183" s="6">
        <f>VLOOKUP(D183,'Mapped Opponent'!$G$4:$H$22,2,0)</f>
        <v>9</v>
      </c>
      <c r="P183" s="6"/>
      <c r="Q183" s="6" t="str">
        <f t="shared" si="4"/>
        <v>Week 9</v>
      </c>
      <c r="R183" s="6" t="str">
        <f t="shared" si="5"/>
        <v>2011Week 9</v>
      </c>
      <c r="S183" s="6">
        <f>IFERROR(__xludf.DUMMYFUNCTION("rank(J183,FILTER(J:J,R:R=R183))"),2.0)</f>
        <v>2</v>
      </c>
      <c r="T183" s="6">
        <f t="shared" si="6"/>
        <v>10</v>
      </c>
      <c r="U183" s="6">
        <f t="shared" si="7"/>
        <v>2</v>
      </c>
      <c r="V183" s="42">
        <f>averageif(AllData!A:A,B183,AllData!R:R)/vlookup(B183,AllData!A:O,15,0)</f>
        <v>88.55128205</v>
      </c>
      <c r="W183" s="6"/>
    </row>
    <row r="184" ht="14.25" customHeight="1">
      <c r="A184" s="6" t="str">
        <f t="shared" si="1"/>
        <v>2011Fellows9</v>
      </c>
      <c r="B184" s="6">
        <v>2011.0</v>
      </c>
      <c r="C184" s="6" t="s">
        <v>79</v>
      </c>
      <c r="D184" s="6" t="s">
        <v>147</v>
      </c>
      <c r="E184" s="34">
        <v>42069.0</v>
      </c>
      <c r="F184" s="6" t="s">
        <v>937</v>
      </c>
      <c r="G184" s="6" t="s">
        <v>114</v>
      </c>
      <c r="H184" s="6" t="s">
        <v>938</v>
      </c>
      <c r="I184" s="35" t="s">
        <v>132</v>
      </c>
      <c r="J184" s="36">
        <v>89.4</v>
      </c>
      <c r="K184" s="36">
        <v>61.0</v>
      </c>
      <c r="L184" s="36">
        <f t="shared" si="2"/>
        <v>1</v>
      </c>
      <c r="M184" s="36" t="str">
        <f t="shared" si="3"/>
        <v>Regular Season</v>
      </c>
      <c r="N184" s="36" t="str">
        <f>IFERROR(VLOOKUP(I184,Mapped_Owner,2,0),"")</f>
        <v>KnardDawg</v>
      </c>
      <c r="O184" s="6">
        <f>VLOOKUP(D184,'Mapped Opponent'!$G$4:$H$22,2,0)</f>
        <v>9</v>
      </c>
      <c r="P184" s="6"/>
      <c r="Q184" s="6" t="str">
        <f t="shared" si="4"/>
        <v>Week 9</v>
      </c>
      <c r="R184" s="6" t="str">
        <f t="shared" si="5"/>
        <v>2011Week 9</v>
      </c>
      <c r="S184" s="6">
        <f>IFERROR(__xludf.DUMMYFUNCTION("rank(J184,FILTER(J:J,R:R=R184))"),7.0)</f>
        <v>7</v>
      </c>
      <c r="T184" s="6">
        <f t="shared" si="6"/>
        <v>5</v>
      </c>
      <c r="U184" s="6">
        <f t="shared" si="7"/>
        <v>7</v>
      </c>
      <c r="V184" s="42">
        <f>averageif(AllData!A:A,B184,AllData!R:R)/vlookup(B184,AllData!A:O,15,0)</f>
        <v>88.55128205</v>
      </c>
      <c r="W184" s="6"/>
    </row>
    <row r="185" ht="14.25" customHeight="1">
      <c r="A185" s="6" t="str">
        <f t="shared" si="1"/>
        <v>2011Shep9</v>
      </c>
      <c r="B185" s="6">
        <v>2011.0</v>
      </c>
      <c r="C185" s="6" t="s">
        <v>89</v>
      </c>
      <c r="D185" s="6" t="s">
        <v>147</v>
      </c>
      <c r="E185" s="34">
        <v>42158.0</v>
      </c>
      <c r="F185" s="6" t="s">
        <v>943</v>
      </c>
      <c r="G185" s="6" t="s">
        <v>114</v>
      </c>
      <c r="H185" s="6" t="s">
        <v>944</v>
      </c>
      <c r="I185" s="35" t="s">
        <v>50</v>
      </c>
      <c r="J185" s="36">
        <v>75.7</v>
      </c>
      <c r="K185" s="36">
        <v>69.0</v>
      </c>
      <c r="L185" s="36">
        <f t="shared" si="2"/>
        <v>1</v>
      </c>
      <c r="M185" s="36" t="str">
        <f t="shared" si="3"/>
        <v>Regular Season</v>
      </c>
      <c r="N185" s="36" t="str">
        <f>IFERROR(VLOOKUP(I185,Mapped_Owner,2,0),"")</f>
        <v>Buser</v>
      </c>
      <c r="O185" s="6">
        <f>VLOOKUP(D185,'Mapped Opponent'!$G$4:$H$22,2,0)</f>
        <v>9</v>
      </c>
      <c r="P185" s="6"/>
      <c r="Q185" s="6" t="str">
        <f t="shared" si="4"/>
        <v>Week 9</v>
      </c>
      <c r="R185" s="6" t="str">
        <f t="shared" si="5"/>
        <v>2011Week 9</v>
      </c>
      <c r="S185" s="6">
        <f>IFERROR(__xludf.DUMMYFUNCTION("rank(J185,FILTER(J:J,R:R=R185))"),8.0)</f>
        <v>8</v>
      </c>
      <c r="T185" s="6">
        <f t="shared" si="6"/>
        <v>4</v>
      </c>
      <c r="U185" s="6">
        <f t="shared" si="7"/>
        <v>8</v>
      </c>
      <c r="V185" s="42">
        <f>averageif(AllData!A:A,B185,AllData!R:R)/vlookup(B185,AllData!A:O,15,0)</f>
        <v>88.55128205</v>
      </c>
      <c r="W185" s="6"/>
    </row>
    <row r="186" ht="14.25" customHeight="1">
      <c r="A186" s="6" t="str">
        <f t="shared" si="1"/>
        <v>2011Guckien9</v>
      </c>
      <c r="B186" s="6">
        <v>2011.0</v>
      </c>
      <c r="C186" s="6" t="s">
        <v>159</v>
      </c>
      <c r="D186" s="6" t="s">
        <v>147</v>
      </c>
      <c r="E186" s="34">
        <v>42128.0</v>
      </c>
      <c r="F186" s="6" t="s">
        <v>945</v>
      </c>
      <c r="G186" s="6" t="s">
        <v>114</v>
      </c>
      <c r="H186" s="6" t="s">
        <v>946</v>
      </c>
      <c r="I186" s="35" t="s">
        <v>93</v>
      </c>
      <c r="J186" s="36">
        <v>64.5</v>
      </c>
      <c r="K186" s="36">
        <v>124.4</v>
      </c>
      <c r="L186" s="36">
        <f t="shared" si="2"/>
        <v>0</v>
      </c>
      <c r="M186" s="36" t="str">
        <f t="shared" si="3"/>
        <v>Regular Season</v>
      </c>
      <c r="N186" s="36" t="str">
        <f>IFERROR(VLOOKUP(I186,Mapped_Owner,2,0),"")</f>
        <v>Pierson</v>
      </c>
      <c r="O186" s="6">
        <f>VLOOKUP(D186,'Mapped Opponent'!$G$4:$H$22,2,0)</f>
        <v>9</v>
      </c>
      <c r="P186" s="6"/>
      <c r="Q186" s="6" t="str">
        <f t="shared" si="4"/>
        <v>Week 9</v>
      </c>
      <c r="R186" s="6" t="str">
        <f t="shared" si="5"/>
        <v>2011Week 9</v>
      </c>
      <c r="S186" s="6">
        <f>IFERROR(__xludf.DUMMYFUNCTION("rank(J186,FILTER(J:J,R:R=R186))"),10.0)</f>
        <v>10</v>
      </c>
      <c r="T186" s="6">
        <f t="shared" si="6"/>
        <v>2</v>
      </c>
      <c r="U186" s="6">
        <f t="shared" si="7"/>
        <v>10</v>
      </c>
      <c r="V186" s="42">
        <f>averageif(AllData!A:A,B186,AllData!R:R)/vlookup(B186,AllData!A:O,15,0)</f>
        <v>88.55128205</v>
      </c>
      <c r="W186" s="6"/>
    </row>
    <row r="187" ht="14.25" customHeight="1">
      <c r="A187" s="6" t="str">
        <f t="shared" si="1"/>
        <v>2011Rooney/Jackson9</v>
      </c>
      <c r="B187" s="6">
        <v>2011.0</v>
      </c>
      <c r="C187" s="6" t="s">
        <v>57</v>
      </c>
      <c r="D187" s="6" t="s">
        <v>147</v>
      </c>
      <c r="E187" s="34">
        <v>42069.0</v>
      </c>
      <c r="F187" s="6" t="s">
        <v>951</v>
      </c>
      <c r="G187" s="6" t="s">
        <v>114</v>
      </c>
      <c r="H187" s="6" t="s">
        <v>952</v>
      </c>
      <c r="I187" s="35" t="s">
        <v>99</v>
      </c>
      <c r="J187" s="36">
        <v>92.4</v>
      </c>
      <c r="K187" s="36">
        <v>94.0</v>
      </c>
      <c r="L187" s="36">
        <f t="shared" si="2"/>
        <v>0</v>
      </c>
      <c r="M187" s="36" t="str">
        <f t="shared" si="3"/>
        <v>Regular Season</v>
      </c>
      <c r="N187" s="36" t="str">
        <f>IFERROR(VLOOKUP(I187,Mapped_Owner,2,0),"")</f>
        <v>Cock</v>
      </c>
      <c r="O187" s="6">
        <f>VLOOKUP(D187,'Mapped Opponent'!$G$4:$H$22,2,0)</f>
        <v>9</v>
      </c>
      <c r="P187" s="6"/>
      <c r="Q187" s="6" t="str">
        <f t="shared" si="4"/>
        <v>Week 9</v>
      </c>
      <c r="R187" s="6" t="str">
        <f t="shared" si="5"/>
        <v>2011Week 9</v>
      </c>
      <c r="S187" s="6">
        <f>IFERROR(__xludf.DUMMYFUNCTION("rank(J187,FILTER(J:J,R:R=R187))"),6.0)</f>
        <v>6</v>
      </c>
      <c r="T187" s="6">
        <f t="shared" si="6"/>
        <v>6</v>
      </c>
      <c r="U187" s="6">
        <f t="shared" si="7"/>
        <v>6</v>
      </c>
      <c r="V187" s="42">
        <f>averageif(AllData!A:A,B187,AllData!R:R)/vlookup(B187,AllData!A:O,15,0)</f>
        <v>88.55128205</v>
      </c>
      <c r="W187" s="6"/>
    </row>
    <row r="188" ht="14.25" customHeight="1">
      <c r="A188" s="6" t="str">
        <f t="shared" si="1"/>
        <v>2011Buser9</v>
      </c>
      <c r="B188" s="6">
        <v>2011.0</v>
      </c>
      <c r="C188" s="6" t="s">
        <v>47</v>
      </c>
      <c r="D188" s="6" t="s">
        <v>147</v>
      </c>
      <c r="E188" s="34">
        <v>42158.0</v>
      </c>
      <c r="F188" s="6" t="s">
        <v>953</v>
      </c>
      <c r="G188" s="6" t="s">
        <v>125</v>
      </c>
      <c r="H188" s="6" t="s">
        <v>954</v>
      </c>
      <c r="I188" s="35" t="s">
        <v>91</v>
      </c>
      <c r="J188" s="36">
        <v>69.0</v>
      </c>
      <c r="K188" s="36">
        <v>75.7</v>
      </c>
      <c r="L188" s="36">
        <f t="shared" si="2"/>
        <v>0</v>
      </c>
      <c r="M188" s="36" t="str">
        <f t="shared" si="3"/>
        <v>Regular Season</v>
      </c>
      <c r="N188" s="36" t="str">
        <f>IFERROR(VLOOKUP(I188,Mapped_Owner,2,0),"")</f>
        <v>Shep</v>
      </c>
      <c r="O188" s="6">
        <f>VLOOKUP(D188,'Mapped Opponent'!$G$4:$H$22,2,0)</f>
        <v>9</v>
      </c>
      <c r="P188" s="6"/>
      <c r="Q188" s="6" t="str">
        <f t="shared" si="4"/>
        <v>Week 9</v>
      </c>
      <c r="R188" s="6" t="str">
        <f t="shared" si="5"/>
        <v>2011Week 9</v>
      </c>
      <c r="S188" s="6">
        <f>IFERROR(__xludf.DUMMYFUNCTION("rank(J188,FILTER(J:J,R:R=R188))"),9.0)</f>
        <v>9</v>
      </c>
      <c r="T188" s="6">
        <f t="shared" si="6"/>
        <v>3</v>
      </c>
      <c r="U188" s="6">
        <f t="shared" si="7"/>
        <v>9</v>
      </c>
      <c r="V188" s="42">
        <f>averageif(AllData!A:A,B188,AllData!R:R)/vlookup(B188,AllData!A:O,15,0)</f>
        <v>88.55128205</v>
      </c>
      <c r="W188" s="6"/>
    </row>
    <row r="189" ht="14.25" customHeight="1">
      <c r="A189" s="6" t="str">
        <f t="shared" si="1"/>
        <v>2011Pierson9</v>
      </c>
      <c r="B189" s="6">
        <v>2011.0</v>
      </c>
      <c r="C189" s="6" t="s">
        <v>92</v>
      </c>
      <c r="D189" s="6" t="s">
        <v>147</v>
      </c>
      <c r="E189" s="34">
        <v>42158.0</v>
      </c>
      <c r="F189" s="6" t="s">
        <v>959</v>
      </c>
      <c r="G189" s="6" t="s">
        <v>125</v>
      </c>
      <c r="H189" s="6" t="s">
        <v>960</v>
      </c>
      <c r="I189" s="35" t="s">
        <v>158</v>
      </c>
      <c r="J189" s="36">
        <v>124.4</v>
      </c>
      <c r="K189" s="36">
        <v>64.5</v>
      </c>
      <c r="L189" s="36">
        <f t="shared" si="2"/>
        <v>1</v>
      </c>
      <c r="M189" s="36" t="str">
        <f t="shared" si="3"/>
        <v>Regular Season</v>
      </c>
      <c r="N189" s="36" t="str">
        <f>IFERROR(VLOOKUP(I189,Mapped_Owner,2,0),"")</f>
        <v>Guckien</v>
      </c>
      <c r="O189" s="6">
        <f>VLOOKUP(D189,'Mapped Opponent'!$G$4:$H$22,2,0)</f>
        <v>9</v>
      </c>
      <c r="P189" s="6"/>
      <c r="Q189" s="6" t="str">
        <f t="shared" si="4"/>
        <v>Week 9</v>
      </c>
      <c r="R189" s="6" t="str">
        <f t="shared" si="5"/>
        <v>2011Week 9</v>
      </c>
      <c r="S189" s="6">
        <f>IFERROR(__xludf.DUMMYFUNCTION("rank(J189,FILTER(J:J,R:R=R189))"),1.0)</f>
        <v>1</v>
      </c>
      <c r="T189" s="6">
        <f t="shared" si="6"/>
        <v>11</v>
      </c>
      <c r="U189" s="6">
        <f t="shared" si="7"/>
        <v>1</v>
      </c>
      <c r="V189" s="42">
        <f>averageif(AllData!A:A,B189,AllData!R:R)/vlookup(B189,AllData!A:O,15,0)</f>
        <v>88.55128205</v>
      </c>
      <c r="W189" s="6"/>
    </row>
    <row r="190" ht="14.25" customHeight="1">
      <c r="A190" s="6" t="str">
        <f t="shared" si="1"/>
        <v>2011Cock9</v>
      </c>
      <c r="B190" s="6">
        <v>2011.0</v>
      </c>
      <c r="C190" s="6" t="s">
        <v>72</v>
      </c>
      <c r="D190" s="6" t="s">
        <v>147</v>
      </c>
      <c r="E190" s="34">
        <v>42099.0</v>
      </c>
      <c r="F190" s="6" t="s">
        <v>961</v>
      </c>
      <c r="G190" s="6" t="s">
        <v>125</v>
      </c>
      <c r="H190" s="6" t="s">
        <v>962</v>
      </c>
      <c r="I190" s="35" t="s">
        <v>157</v>
      </c>
      <c r="J190" s="36">
        <v>94.0</v>
      </c>
      <c r="K190" s="36">
        <v>92.4</v>
      </c>
      <c r="L190" s="36">
        <f t="shared" si="2"/>
        <v>1</v>
      </c>
      <c r="M190" s="36" t="str">
        <f t="shared" si="3"/>
        <v>Regular Season</v>
      </c>
      <c r="N190" s="36" t="str">
        <f>IFERROR(VLOOKUP(I190,Mapped_Owner,2,0),"")</f>
        <v>Rooney/Jackson</v>
      </c>
      <c r="O190" s="6">
        <f>VLOOKUP(D190,'Mapped Opponent'!$G$4:$H$22,2,0)</f>
        <v>9</v>
      </c>
      <c r="P190" s="6"/>
      <c r="Q190" s="6" t="str">
        <f t="shared" si="4"/>
        <v>Week 9</v>
      </c>
      <c r="R190" s="6" t="str">
        <f t="shared" si="5"/>
        <v>2011Week 9</v>
      </c>
      <c r="S190" s="6">
        <f>IFERROR(__xludf.DUMMYFUNCTION("rank(J190,FILTER(J:J,R:R=R190))"),4.0)</f>
        <v>4</v>
      </c>
      <c r="T190" s="6">
        <f t="shared" si="6"/>
        <v>8</v>
      </c>
      <c r="U190" s="6">
        <f t="shared" si="7"/>
        <v>4</v>
      </c>
      <c r="V190" s="42">
        <f>averageif(AllData!A:A,B190,AllData!R:R)/vlookup(B190,AllData!A:O,15,0)</f>
        <v>88.55128205</v>
      </c>
      <c r="W190" s="6"/>
    </row>
    <row r="191" ht="14.25" customHeight="1">
      <c r="A191" s="6" t="str">
        <f t="shared" si="1"/>
        <v>2011Tayski9</v>
      </c>
      <c r="B191" s="6">
        <v>2011.0</v>
      </c>
      <c r="C191" s="6" t="s">
        <v>52</v>
      </c>
      <c r="D191" s="6" t="s">
        <v>147</v>
      </c>
      <c r="E191" s="34">
        <v>42042.0</v>
      </c>
      <c r="F191" s="6" t="s">
        <v>967</v>
      </c>
      <c r="G191" s="6" t="s">
        <v>125</v>
      </c>
      <c r="H191" s="6" t="s">
        <v>968</v>
      </c>
      <c r="I191" s="35" t="s">
        <v>77</v>
      </c>
      <c r="J191" s="36">
        <v>26.8</v>
      </c>
      <c r="K191" s="36">
        <v>111.4</v>
      </c>
      <c r="L191" s="36">
        <f t="shared" si="2"/>
        <v>0</v>
      </c>
      <c r="M191" s="36" t="str">
        <f t="shared" si="3"/>
        <v>Regular Season</v>
      </c>
      <c r="N191" s="36" t="str">
        <f>IFERROR(VLOOKUP(I191,Mapped_Owner,2,0),"")</f>
        <v>Salty</v>
      </c>
      <c r="O191" s="6">
        <f>VLOOKUP(D191,'Mapped Opponent'!$G$4:$H$22,2,0)</f>
        <v>9</v>
      </c>
      <c r="P191" s="6"/>
      <c r="Q191" s="6" t="str">
        <f t="shared" si="4"/>
        <v>Week 9</v>
      </c>
      <c r="R191" s="6" t="str">
        <f t="shared" si="5"/>
        <v>2011Week 9</v>
      </c>
      <c r="S191" s="6">
        <f>IFERROR(__xludf.DUMMYFUNCTION("rank(J191,FILTER(J:J,R:R=R191))"),12.0)</f>
        <v>12</v>
      </c>
      <c r="T191" s="6">
        <f t="shared" si="6"/>
        <v>0</v>
      </c>
      <c r="U191" s="6">
        <f t="shared" si="7"/>
        <v>12</v>
      </c>
      <c r="V191" s="42">
        <f>averageif(AllData!A:A,B191,AllData!R:R)/vlookup(B191,AllData!A:O,15,0)</f>
        <v>88.55128205</v>
      </c>
      <c r="W191" s="6"/>
    </row>
    <row r="192" ht="14.25" customHeight="1">
      <c r="A192" s="6" t="str">
        <f t="shared" si="1"/>
        <v>2011KnardDawg9</v>
      </c>
      <c r="B192" s="6">
        <v>2011.0</v>
      </c>
      <c r="C192" s="6" t="s">
        <v>86</v>
      </c>
      <c r="D192" s="6" t="s">
        <v>147</v>
      </c>
      <c r="E192" s="34">
        <v>42099.0</v>
      </c>
      <c r="F192" s="6" t="s">
        <v>969</v>
      </c>
      <c r="G192" s="6" t="s">
        <v>125</v>
      </c>
      <c r="H192" s="6" t="s">
        <v>970</v>
      </c>
      <c r="I192" s="35" t="s">
        <v>80</v>
      </c>
      <c r="J192" s="36">
        <v>61.0</v>
      </c>
      <c r="K192" s="36">
        <v>89.4</v>
      </c>
      <c r="L192" s="36">
        <f t="shared" si="2"/>
        <v>0</v>
      </c>
      <c r="M192" s="36" t="str">
        <f t="shared" si="3"/>
        <v>Regular Season</v>
      </c>
      <c r="N192" s="36" t="str">
        <f>IFERROR(VLOOKUP(I192,Mapped_Owner,2,0),"")</f>
        <v>Fellows</v>
      </c>
      <c r="O192" s="6">
        <f>VLOOKUP(D192,'Mapped Opponent'!$G$4:$H$22,2,0)</f>
        <v>9</v>
      </c>
      <c r="P192" s="6"/>
      <c r="Q192" s="6" t="str">
        <f t="shared" si="4"/>
        <v>Week 9</v>
      </c>
      <c r="R192" s="6" t="str">
        <f t="shared" si="5"/>
        <v>2011Week 9</v>
      </c>
      <c r="S192" s="6">
        <f>IFERROR(__xludf.DUMMYFUNCTION("rank(J192,FILTER(J:J,R:R=R192))"),11.0)</f>
        <v>11</v>
      </c>
      <c r="T192" s="6">
        <f t="shared" si="6"/>
        <v>1</v>
      </c>
      <c r="U192" s="6">
        <f t="shared" si="7"/>
        <v>11</v>
      </c>
      <c r="V192" s="42">
        <f>averageif(AllData!A:A,B192,AllData!R:R)/vlookup(B192,AllData!A:O,15,0)</f>
        <v>88.55128205</v>
      </c>
      <c r="W192" s="6"/>
    </row>
    <row r="193" ht="14.25" customHeight="1">
      <c r="A193" s="6" t="str">
        <f t="shared" si="1"/>
        <v>2011T-How9</v>
      </c>
      <c r="B193" s="6">
        <v>2011.0</v>
      </c>
      <c r="C193" s="6" t="s">
        <v>82</v>
      </c>
      <c r="D193" s="6" t="s">
        <v>147</v>
      </c>
      <c r="E193" s="34">
        <v>42158.0</v>
      </c>
      <c r="F193" s="6" t="s">
        <v>972</v>
      </c>
      <c r="G193" s="6" t="s">
        <v>125</v>
      </c>
      <c r="H193" s="6" t="s">
        <v>973</v>
      </c>
      <c r="I193" s="35" t="s">
        <v>64</v>
      </c>
      <c r="J193" s="36">
        <v>93.1</v>
      </c>
      <c r="K193" s="36">
        <v>99.5</v>
      </c>
      <c r="L193" s="36">
        <f t="shared" si="2"/>
        <v>0</v>
      </c>
      <c r="M193" s="36" t="str">
        <f t="shared" si="3"/>
        <v>Regular Season</v>
      </c>
      <c r="N193" s="36" t="str">
        <f>IFERROR(VLOOKUP(I193,Mapped_Owner,2,0),"")</f>
        <v>Hudspeath</v>
      </c>
      <c r="O193" s="6">
        <f>VLOOKUP(D193,'Mapped Opponent'!$G$4:$H$22,2,0)</f>
        <v>9</v>
      </c>
      <c r="P193" s="6"/>
      <c r="Q193" s="6" t="str">
        <f t="shared" si="4"/>
        <v>Week 9</v>
      </c>
      <c r="R193" s="6" t="str">
        <f t="shared" si="5"/>
        <v>2011Week 9</v>
      </c>
      <c r="S193" s="6">
        <f>IFERROR(__xludf.DUMMYFUNCTION("rank(J193,FILTER(J:J,R:R=R193))"),5.0)</f>
        <v>5</v>
      </c>
      <c r="T193" s="6">
        <f t="shared" si="6"/>
        <v>7</v>
      </c>
      <c r="U193" s="6">
        <f t="shared" si="7"/>
        <v>5</v>
      </c>
      <c r="V193" s="42">
        <f>averageif(AllData!A:A,B193,AllData!R:R)/vlookup(B193,AllData!A:O,15,0)</f>
        <v>88.55128205</v>
      </c>
      <c r="W193" s="6"/>
    </row>
    <row r="194" ht="14.25" customHeight="1">
      <c r="A194" s="6" t="str">
        <f t="shared" si="1"/>
        <v>2012Hudspeath15</v>
      </c>
      <c r="B194" s="6">
        <v>2012.0</v>
      </c>
      <c r="C194" s="6" t="s">
        <v>39</v>
      </c>
      <c r="D194" s="6" t="s">
        <v>112</v>
      </c>
      <c r="E194" s="34">
        <v>42163.0</v>
      </c>
      <c r="F194" s="6" t="s">
        <v>976</v>
      </c>
      <c r="G194" s="6" t="s">
        <v>125</v>
      </c>
      <c r="H194" s="6" t="s">
        <v>977</v>
      </c>
      <c r="I194" s="35" t="s">
        <v>77</v>
      </c>
      <c r="J194" s="36">
        <v>115.1</v>
      </c>
      <c r="K194" s="36">
        <v>76.3</v>
      </c>
      <c r="L194" s="36">
        <f t="shared" si="2"/>
        <v>1</v>
      </c>
      <c r="M194" s="36" t="str">
        <f t="shared" si="3"/>
        <v>Playoffs</v>
      </c>
      <c r="N194" s="36" t="str">
        <f>IFERROR(VLOOKUP(I194,Mapped_Owner,2,0),"")</f>
        <v>Salty</v>
      </c>
      <c r="O194" s="6">
        <f>VLOOKUP(D194,'Mapped Opponent'!$G$4:$H$22,2,0)</f>
        <v>15</v>
      </c>
      <c r="P194" s="6"/>
      <c r="Q194" s="6" t="str">
        <f t="shared" si="4"/>
        <v>Week 15</v>
      </c>
      <c r="R194" s="6" t="str">
        <f t="shared" si="5"/>
        <v>2012Round 1</v>
      </c>
      <c r="S194" s="6">
        <f>IFERROR(__xludf.DUMMYFUNCTION("rank(J194,FILTER(J:J,R:R=R194))"),2.0)</f>
        <v>2</v>
      </c>
      <c r="T194" s="6">
        <f t="shared" si="6"/>
        <v>10</v>
      </c>
      <c r="U194" s="6">
        <f t="shared" si="7"/>
        <v>2</v>
      </c>
      <c r="V194" s="42">
        <f>averageif(AllData!A:A,B194,AllData!R:R)/vlookup(B194,AllData!A:O,15,0)</f>
        <v>91.6025641</v>
      </c>
      <c r="W194" s="6"/>
    </row>
    <row r="195" ht="14.25" customHeight="1">
      <c r="A195" s="6" t="str">
        <f t="shared" si="1"/>
        <v>2012Salty15</v>
      </c>
      <c r="B195" s="6">
        <v>2012.0</v>
      </c>
      <c r="C195" s="6" t="s">
        <v>76</v>
      </c>
      <c r="D195" s="6" t="s">
        <v>112</v>
      </c>
      <c r="E195" s="34">
        <v>42104.0</v>
      </c>
      <c r="F195" s="6" t="s">
        <v>978</v>
      </c>
      <c r="G195" s="6" t="s">
        <v>114</v>
      </c>
      <c r="H195" s="6" t="s">
        <v>979</v>
      </c>
      <c r="I195" s="35" t="s">
        <v>64</v>
      </c>
      <c r="J195" s="36">
        <v>76.3</v>
      </c>
      <c r="K195" s="36">
        <v>115.1</v>
      </c>
      <c r="L195" s="36">
        <f t="shared" si="2"/>
        <v>0</v>
      </c>
      <c r="M195" s="36" t="str">
        <f t="shared" si="3"/>
        <v>Playoffs</v>
      </c>
      <c r="N195" s="36" t="str">
        <f>IFERROR(VLOOKUP(I195,Mapped_Owner,2,0),"")</f>
        <v>Hudspeath</v>
      </c>
      <c r="O195" s="6">
        <f>VLOOKUP(D195,'Mapped Opponent'!$G$4:$H$22,2,0)</f>
        <v>15</v>
      </c>
      <c r="P195" s="6"/>
      <c r="Q195" s="6" t="str">
        <f t="shared" si="4"/>
        <v>Week 15</v>
      </c>
      <c r="R195" s="6" t="str">
        <f t="shared" si="5"/>
        <v>2012Round 1</v>
      </c>
      <c r="S195" s="6">
        <f>IFERROR(__xludf.DUMMYFUNCTION("rank(J195,FILTER(J:J,R:R=R195))"),9.0)</f>
        <v>9</v>
      </c>
      <c r="T195" s="6">
        <f t="shared" si="6"/>
        <v>3</v>
      </c>
      <c r="U195" s="6">
        <f t="shared" si="7"/>
        <v>9</v>
      </c>
      <c r="V195" s="42">
        <f>averageif(AllData!A:A,B195,AllData!R:R)/vlookup(B195,AllData!A:O,15,0)</f>
        <v>91.6025641</v>
      </c>
      <c r="W195" s="6"/>
    </row>
    <row r="196" ht="14.25" customHeight="1">
      <c r="A196" s="6" t="str">
        <f t="shared" si="1"/>
        <v>2012Fellows15</v>
      </c>
      <c r="B196" s="6">
        <v>2012.0</v>
      </c>
      <c r="C196" s="6" t="s">
        <v>79</v>
      </c>
      <c r="D196" s="6" t="s">
        <v>112</v>
      </c>
      <c r="E196" s="34">
        <v>42163.0</v>
      </c>
      <c r="F196" s="6" t="s">
        <v>983</v>
      </c>
      <c r="G196" s="6" t="s">
        <v>114</v>
      </c>
      <c r="H196" s="6" t="s">
        <v>984</v>
      </c>
      <c r="I196" s="35" t="s">
        <v>50</v>
      </c>
      <c r="J196" s="36">
        <v>87.1</v>
      </c>
      <c r="K196" s="36">
        <v>122.7</v>
      </c>
      <c r="L196" s="36">
        <f t="shared" si="2"/>
        <v>0</v>
      </c>
      <c r="M196" s="36" t="str">
        <f t="shared" si="3"/>
        <v>Playoffs</v>
      </c>
      <c r="N196" s="36" t="str">
        <f>IFERROR(VLOOKUP(I196,Mapped_Owner,2,0),"")</f>
        <v>Buser</v>
      </c>
      <c r="O196" s="6">
        <f>VLOOKUP(D196,'Mapped Opponent'!$G$4:$H$22,2,0)</f>
        <v>15</v>
      </c>
      <c r="P196" s="6"/>
      <c r="Q196" s="6" t="str">
        <f t="shared" si="4"/>
        <v>Week 15</v>
      </c>
      <c r="R196" s="6" t="str">
        <f t="shared" si="5"/>
        <v>2012Round 1</v>
      </c>
      <c r="S196" s="6">
        <f>IFERROR(__xludf.DUMMYFUNCTION("rank(J196,FILTER(J:J,R:R=R196))"),6.0)</f>
        <v>6</v>
      </c>
      <c r="T196" s="6">
        <f t="shared" si="6"/>
        <v>6</v>
      </c>
      <c r="U196" s="6">
        <f t="shared" si="7"/>
        <v>6</v>
      </c>
      <c r="V196" s="42">
        <f>averageif(AllData!A:A,B196,AllData!R:R)/vlookup(B196,AllData!A:O,15,0)</f>
        <v>91.6025641</v>
      </c>
      <c r="W196" s="6"/>
    </row>
    <row r="197" ht="14.25" customHeight="1">
      <c r="A197" s="6" t="str">
        <f t="shared" si="1"/>
        <v>2012Shep15</v>
      </c>
      <c r="B197" s="6">
        <v>2012.0</v>
      </c>
      <c r="C197" s="6" t="s">
        <v>89</v>
      </c>
      <c r="D197" s="6" t="s">
        <v>112</v>
      </c>
      <c r="E197" s="34">
        <v>42280.0</v>
      </c>
      <c r="F197" s="6" t="s">
        <v>985</v>
      </c>
      <c r="G197" s="6" t="s">
        <v>125</v>
      </c>
      <c r="H197" s="6" t="s">
        <v>155</v>
      </c>
      <c r="I197" s="35" t="s">
        <v>125</v>
      </c>
      <c r="J197" s="52">
        <v>0.0</v>
      </c>
      <c r="K197" s="52">
        <v>0.0</v>
      </c>
      <c r="L197" s="36">
        <f t="shared" si="2"/>
        <v>0</v>
      </c>
      <c r="M197" s="36" t="str">
        <f t="shared" si="3"/>
        <v>Playoffs</v>
      </c>
      <c r="N197" s="36" t="str">
        <f>IFERROR(VLOOKUP(I197,Mapped_Owner,2,0),"")</f>
        <v>BYE</v>
      </c>
      <c r="O197" s="6">
        <f>VLOOKUP(D197,'Mapped Opponent'!$G$4:$H$22,2,0)</f>
        <v>15</v>
      </c>
      <c r="P197" s="6"/>
      <c r="Q197" s="6" t="str">
        <f t="shared" si="4"/>
        <v>Week 15</v>
      </c>
      <c r="R197" s="6" t="str">
        <f t="shared" si="5"/>
        <v>2012Round 1</v>
      </c>
      <c r="S197" s="6">
        <f>IFERROR(__xludf.DUMMYFUNCTION("rank(J197,FILTER(J:J,R:R=R197))"),11.0)</f>
        <v>11</v>
      </c>
      <c r="T197" s="6">
        <f t="shared" si="6"/>
        <v>1</v>
      </c>
      <c r="U197" s="6">
        <f t="shared" si="7"/>
        <v>11</v>
      </c>
      <c r="V197" s="42">
        <f>averageif(AllData!A:A,B197,AllData!R:R)/vlookup(B197,AllData!A:O,15,0)</f>
        <v>91.6025641</v>
      </c>
      <c r="W197" s="6"/>
    </row>
    <row r="198" ht="14.25" customHeight="1">
      <c r="A198" s="6" t="str">
        <f t="shared" si="1"/>
        <v>2012Guckien15</v>
      </c>
      <c r="B198" s="6">
        <v>2012.0</v>
      </c>
      <c r="C198" s="6" t="s">
        <v>159</v>
      </c>
      <c r="D198" s="6" t="s">
        <v>112</v>
      </c>
      <c r="E198" s="34">
        <v>42133.0</v>
      </c>
      <c r="F198" s="6" t="s">
        <v>991</v>
      </c>
      <c r="G198" s="6" t="s">
        <v>125</v>
      </c>
      <c r="H198" s="6" t="s">
        <v>992</v>
      </c>
      <c r="I198" s="35" t="s">
        <v>85</v>
      </c>
      <c r="J198" s="36">
        <v>91.6</v>
      </c>
      <c r="K198" s="36">
        <v>106.9</v>
      </c>
      <c r="L198" s="36">
        <f t="shared" si="2"/>
        <v>0</v>
      </c>
      <c r="M198" s="36" t="str">
        <f t="shared" si="3"/>
        <v>Playoffs</v>
      </c>
      <c r="N198" s="36" t="str">
        <f>IFERROR(VLOOKUP(I198,Mapped_Owner,2,0),"")</f>
        <v>T-How</v>
      </c>
      <c r="O198" s="6">
        <f>VLOOKUP(D198,'Mapped Opponent'!$G$4:$H$22,2,0)</f>
        <v>15</v>
      </c>
      <c r="P198" s="6"/>
      <c r="Q198" s="6" t="str">
        <f t="shared" si="4"/>
        <v>Week 15</v>
      </c>
      <c r="R198" s="6" t="str">
        <f t="shared" si="5"/>
        <v>2012Round 1</v>
      </c>
      <c r="S198" s="6">
        <f>IFERROR(__xludf.DUMMYFUNCTION("rank(J198,FILTER(J:J,R:R=R198))"),5.0)</f>
        <v>5</v>
      </c>
      <c r="T198" s="6">
        <f t="shared" si="6"/>
        <v>7</v>
      </c>
      <c r="U198" s="6">
        <f t="shared" si="7"/>
        <v>5</v>
      </c>
      <c r="V198" s="42">
        <f>averageif(AllData!A:A,B198,AllData!R:R)/vlookup(B198,AllData!A:O,15,0)</f>
        <v>91.6025641</v>
      </c>
      <c r="W198" s="6"/>
    </row>
    <row r="199" ht="14.25" customHeight="1">
      <c r="A199" s="6" t="str">
        <f t="shared" si="1"/>
        <v>2012Rooney/Jackson15</v>
      </c>
      <c r="B199" s="6">
        <v>2012.0</v>
      </c>
      <c r="C199" s="6" t="s">
        <v>57</v>
      </c>
      <c r="D199" s="6" t="s">
        <v>112</v>
      </c>
      <c r="E199" s="34">
        <v>42222.0</v>
      </c>
      <c r="F199" s="6" t="s">
        <v>993</v>
      </c>
      <c r="G199" s="6" t="s">
        <v>114</v>
      </c>
      <c r="H199" s="6" t="s">
        <v>994</v>
      </c>
      <c r="I199" s="35" t="s">
        <v>93</v>
      </c>
      <c r="J199" s="36">
        <v>82.9</v>
      </c>
      <c r="K199" s="36">
        <v>70.6</v>
      </c>
      <c r="L199" s="36">
        <f t="shared" si="2"/>
        <v>1</v>
      </c>
      <c r="M199" s="36" t="str">
        <f t="shared" si="3"/>
        <v>Playoffs</v>
      </c>
      <c r="N199" s="36" t="str">
        <f>IFERROR(VLOOKUP(I199,Mapped_Owner,2,0),"")</f>
        <v>Pierson</v>
      </c>
      <c r="O199" s="6">
        <f>VLOOKUP(D199,'Mapped Opponent'!$G$4:$H$22,2,0)</f>
        <v>15</v>
      </c>
      <c r="P199" s="6"/>
      <c r="Q199" s="6" t="str">
        <f t="shared" si="4"/>
        <v>Week 15</v>
      </c>
      <c r="R199" s="6" t="str">
        <f t="shared" si="5"/>
        <v>2012Round 1</v>
      </c>
      <c r="S199" s="6">
        <f>IFERROR(__xludf.DUMMYFUNCTION("rank(J199,FILTER(J:J,R:R=R199))"),8.0)</f>
        <v>8</v>
      </c>
      <c r="T199" s="6">
        <f t="shared" si="6"/>
        <v>4</v>
      </c>
      <c r="U199" s="6">
        <f t="shared" si="7"/>
        <v>8</v>
      </c>
      <c r="V199" s="42">
        <f>averageif(AllData!A:A,B199,AllData!R:R)/vlookup(B199,AllData!A:O,15,0)</f>
        <v>91.6025641</v>
      </c>
      <c r="W199" s="6"/>
    </row>
    <row r="200" ht="14.25" customHeight="1">
      <c r="A200" s="6" t="str">
        <f t="shared" si="1"/>
        <v>2012Buser15</v>
      </c>
      <c r="B200" s="6">
        <v>2012.0</v>
      </c>
      <c r="C200" s="6" t="s">
        <v>47</v>
      </c>
      <c r="D200" s="6" t="s">
        <v>112</v>
      </c>
      <c r="E200" s="34">
        <v>42252.0</v>
      </c>
      <c r="F200" s="6" t="s">
        <v>998</v>
      </c>
      <c r="G200" s="6" t="s">
        <v>125</v>
      </c>
      <c r="H200" s="6" t="s">
        <v>999</v>
      </c>
      <c r="I200" s="35" t="s">
        <v>80</v>
      </c>
      <c r="J200" s="36">
        <v>122.7</v>
      </c>
      <c r="K200" s="36">
        <v>87.1</v>
      </c>
      <c r="L200" s="36">
        <f t="shared" si="2"/>
        <v>1</v>
      </c>
      <c r="M200" s="36" t="str">
        <f t="shared" si="3"/>
        <v>Playoffs</v>
      </c>
      <c r="N200" s="36" t="str">
        <f>IFERROR(VLOOKUP(I200,Mapped_Owner,2,0),"")</f>
        <v>Fellows</v>
      </c>
      <c r="O200" s="6">
        <f>VLOOKUP(D200,'Mapped Opponent'!$G$4:$H$22,2,0)</f>
        <v>15</v>
      </c>
      <c r="P200" s="6"/>
      <c r="Q200" s="6" t="str">
        <f t="shared" si="4"/>
        <v>Week 15</v>
      </c>
      <c r="R200" s="6" t="str">
        <f t="shared" si="5"/>
        <v>2012Round 1</v>
      </c>
      <c r="S200" s="6">
        <f>IFERROR(__xludf.DUMMYFUNCTION("rank(J200,FILTER(J:J,R:R=R200))"),1.0)</f>
        <v>1</v>
      </c>
      <c r="T200" s="6">
        <f t="shared" si="6"/>
        <v>11</v>
      </c>
      <c r="U200" s="6">
        <f t="shared" si="7"/>
        <v>1</v>
      </c>
      <c r="V200" s="42">
        <f>averageif(AllData!A:A,B200,AllData!R:R)/vlookup(B200,AllData!A:O,15,0)</f>
        <v>91.6025641</v>
      </c>
      <c r="W200" s="6"/>
    </row>
    <row r="201" ht="14.25" customHeight="1">
      <c r="A201" s="6" t="str">
        <f t="shared" si="1"/>
        <v>2012Pierson15</v>
      </c>
      <c r="B201" s="6">
        <v>2012.0</v>
      </c>
      <c r="C201" s="6" t="s">
        <v>92</v>
      </c>
      <c r="D201" s="6" t="s">
        <v>112</v>
      </c>
      <c r="E201" s="34">
        <v>42222.0</v>
      </c>
      <c r="F201" s="6" t="s">
        <v>1000</v>
      </c>
      <c r="G201" s="6" t="s">
        <v>125</v>
      </c>
      <c r="H201" s="6" t="s">
        <v>1001</v>
      </c>
      <c r="I201" s="35" t="s">
        <v>58</v>
      </c>
      <c r="J201" s="36">
        <v>70.6</v>
      </c>
      <c r="K201" s="36">
        <v>82.9</v>
      </c>
      <c r="L201" s="36">
        <f t="shared" si="2"/>
        <v>0</v>
      </c>
      <c r="M201" s="36" t="str">
        <f t="shared" si="3"/>
        <v>Playoffs</v>
      </c>
      <c r="N201" s="36" t="str">
        <f>IFERROR(VLOOKUP(I201,Mapped_Owner,2,0),"")</f>
        <v>Rooney/Jackson</v>
      </c>
      <c r="O201" s="6">
        <f>VLOOKUP(D201,'Mapped Opponent'!$G$4:$H$22,2,0)</f>
        <v>15</v>
      </c>
      <c r="P201" s="6"/>
      <c r="Q201" s="6" t="str">
        <f t="shared" si="4"/>
        <v>Week 15</v>
      </c>
      <c r="R201" s="6" t="str">
        <f t="shared" si="5"/>
        <v>2012Round 1</v>
      </c>
      <c r="S201" s="6">
        <f>IFERROR(__xludf.DUMMYFUNCTION("rank(J201,FILTER(J:J,R:R=R201))"),10.0)</f>
        <v>10</v>
      </c>
      <c r="T201" s="6">
        <f t="shared" si="6"/>
        <v>2</v>
      </c>
      <c r="U201" s="6">
        <f t="shared" si="7"/>
        <v>10</v>
      </c>
      <c r="V201" s="42">
        <f>averageif(AllData!A:A,B201,AllData!R:R)/vlookup(B201,AllData!A:O,15,0)</f>
        <v>91.6025641</v>
      </c>
      <c r="W201" s="6"/>
    </row>
    <row r="202" ht="14.25" customHeight="1">
      <c r="A202" s="6" t="str">
        <f t="shared" si="1"/>
        <v>2012Cock15</v>
      </c>
      <c r="B202" s="6">
        <v>2012.0</v>
      </c>
      <c r="C202" s="6" t="s">
        <v>72</v>
      </c>
      <c r="D202" s="6" t="s">
        <v>112</v>
      </c>
      <c r="E202" s="34">
        <v>42163.0</v>
      </c>
      <c r="F202" s="6" t="s">
        <v>1002</v>
      </c>
      <c r="G202" s="6" t="s">
        <v>114</v>
      </c>
      <c r="H202" s="6" t="s">
        <v>1003</v>
      </c>
      <c r="I202" s="35" t="s">
        <v>161</v>
      </c>
      <c r="J202" s="36">
        <v>93.2</v>
      </c>
      <c r="K202" s="36">
        <v>85.2</v>
      </c>
      <c r="L202" s="36">
        <f t="shared" si="2"/>
        <v>1</v>
      </c>
      <c r="M202" s="36" t="str">
        <f t="shared" si="3"/>
        <v>Playoffs</v>
      </c>
      <c r="N202" s="36" t="str">
        <f>IFERROR(VLOOKUP(I202,Mapped_Owner,2,0),"")</f>
        <v>Tayski</v>
      </c>
      <c r="O202" s="6">
        <f>VLOOKUP(D202,'Mapped Opponent'!$G$4:$H$22,2,0)</f>
        <v>15</v>
      </c>
      <c r="P202" s="6"/>
      <c r="Q202" s="6" t="str">
        <f t="shared" si="4"/>
        <v>Week 15</v>
      </c>
      <c r="R202" s="6" t="str">
        <f t="shared" si="5"/>
        <v>2012Round 1</v>
      </c>
      <c r="S202" s="6">
        <f>IFERROR(__xludf.DUMMYFUNCTION("rank(J202,FILTER(J:J,R:R=R202))"),4.0)</f>
        <v>4</v>
      </c>
      <c r="T202" s="6">
        <f t="shared" si="6"/>
        <v>8</v>
      </c>
      <c r="U202" s="6">
        <f t="shared" si="7"/>
        <v>4</v>
      </c>
      <c r="V202" s="42">
        <f>averageif(AllData!A:A,B202,AllData!R:R)/vlookup(B202,AllData!A:O,15,0)</f>
        <v>91.6025641</v>
      </c>
      <c r="W202" s="6"/>
    </row>
    <row r="203" ht="14.25" customHeight="1">
      <c r="A203" s="6" t="str">
        <f t="shared" si="1"/>
        <v>2012Tayski15</v>
      </c>
      <c r="B203" s="6">
        <v>2012.0</v>
      </c>
      <c r="C203" s="6" t="s">
        <v>52</v>
      </c>
      <c r="D203" s="6" t="s">
        <v>112</v>
      </c>
      <c r="E203" s="34">
        <v>42163.0</v>
      </c>
      <c r="F203" s="6" t="s">
        <v>1004</v>
      </c>
      <c r="G203" s="6" t="s">
        <v>125</v>
      </c>
      <c r="H203" s="6" t="s">
        <v>1005</v>
      </c>
      <c r="I203" s="35" t="s">
        <v>99</v>
      </c>
      <c r="J203" s="36">
        <v>85.2</v>
      </c>
      <c r="K203" s="36">
        <v>93.2</v>
      </c>
      <c r="L203" s="36">
        <f t="shared" si="2"/>
        <v>0</v>
      </c>
      <c r="M203" s="36" t="str">
        <f t="shared" si="3"/>
        <v>Playoffs</v>
      </c>
      <c r="N203" s="36" t="str">
        <f>IFERROR(VLOOKUP(I203,Mapped_Owner,2,0),"")</f>
        <v>Cock</v>
      </c>
      <c r="O203" s="6">
        <f>VLOOKUP(D203,'Mapped Opponent'!$G$4:$H$22,2,0)</f>
        <v>15</v>
      </c>
      <c r="P203" s="6"/>
      <c r="Q203" s="6" t="str">
        <f t="shared" si="4"/>
        <v>Week 15</v>
      </c>
      <c r="R203" s="6" t="str">
        <f t="shared" si="5"/>
        <v>2012Round 1</v>
      </c>
      <c r="S203" s="6">
        <f>IFERROR(__xludf.DUMMYFUNCTION("rank(J203,FILTER(J:J,R:R=R203))"),7.0)</f>
        <v>7</v>
      </c>
      <c r="T203" s="6">
        <f t="shared" si="6"/>
        <v>5</v>
      </c>
      <c r="U203" s="6">
        <f t="shared" si="7"/>
        <v>7</v>
      </c>
      <c r="V203" s="42">
        <f>averageif(AllData!A:A,B203,AllData!R:R)/vlookup(B203,AllData!A:O,15,0)</f>
        <v>91.6025641</v>
      </c>
      <c r="W203" s="6"/>
    </row>
    <row r="204" ht="14.25" customHeight="1">
      <c r="A204" s="6" t="str">
        <f t="shared" si="1"/>
        <v>2012KnardDawg15</v>
      </c>
      <c r="B204" s="6">
        <v>2012.0</v>
      </c>
      <c r="C204" s="6" t="s">
        <v>86</v>
      </c>
      <c r="D204" s="6" t="s">
        <v>112</v>
      </c>
      <c r="E204" s="34">
        <v>42251.0</v>
      </c>
      <c r="F204" s="6" t="s">
        <v>1006</v>
      </c>
      <c r="G204" s="6" t="s">
        <v>125</v>
      </c>
      <c r="H204" s="6" t="s">
        <v>155</v>
      </c>
      <c r="I204" s="35" t="s">
        <v>125</v>
      </c>
      <c r="J204" s="52">
        <v>0.0</v>
      </c>
      <c r="K204" s="52">
        <v>0.0</v>
      </c>
      <c r="L204" s="36">
        <f t="shared" si="2"/>
        <v>0</v>
      </c>
      <c r="M204" s="36" t="str">
        <f t="shared" si="3"/>
        <v>Playoffs</v>
      </c>
      <c r="N204" s="36" t="str">
        <f>IFERROR(VLOOKUP(I204,Mapped_Owner,2,0),"")</f>
        <v>BYE</v>
      </c>
      <c r="O204" s="6">
        <f>VLOOKUP(D204,'Mapped Opponent'!$G$4:$H$22,2,0)</f>
        <v>15</v>
      </c>
      <c r="P204" s="6"/>
      <c r="Q204" s="6" t="str">
        <f t="shared" si="4"/>
        <v>Week 15</v>
      </c>
      <c r="R204" s="6" t="str">
        <f t="shared" si="5"/>
        <v>2012Round 1</v>
      </c>
      <c r="S204" s="6">
        <f>IFERROR(__xludf.DUMMYFUNCTION("rank(J204,FILTER(J:J,R:R=R204))"),11.0)</f>
        <v>11</v>
      </c>
      <c r="T204" s="6">
        <f t="shared" si="6"/>
        <v>1</v>
      </c>
      <c r="U204" s="6">
        <f t="shared" si="7"/>
        <v>11</v>
      </c>
      <c r="V204" s="42">
        <f>averageif(AllData!A:A,B204,AllData!R:R)/vlookup(B204,AllData!A:O,15,0)</f>
        <v>91.6025641</v>
      </c>
      <c r="W204" s="6"/>
    </row>
    <row r="205" ht="14.25" customHeight="1">
      <c r="A205" s="6" t="str">
        <f t="shared" si="1"/>
        <v>2012T-How15</v>
      </c>
      <c r="B205" s="6">
        <v>2012.0</v>
      </c>
      <c r="C205" s="6" t="s">
        <v>82</v>
      </c>
      <c r="D205" s="6" t="s">
        <v>112</v>
      </c>
      <c r="E205" s="34">
        <v>42163.0</v>
      </c>
      <c r="F205" s="6" t="s">
        <v>1010</v>
      </c>
      <c r="G205" s="6" t="s">
        <v>114</v>
      </c>
      <c r="H205" s="6" t="s">
        <v>1011</v>
      </c>
      <c r="I205" s="35" t="s">
        <v>158</v>
      </c>
      <c r="J205" s="36">
        <v>106.9</v>
      </c>
      <c r="K205" s="36">
        <v>91.6</v>
      </c>
      <c r="L205" s="36">
        <f t="shared" si="2"/>
        <v>1</v>
      </c>
      <c r="M205" s="36" t="str">
        <f t="shared" si="3"/>
        <v>Playoffs</v>
      </c>
      <c r="N205" s="36" t="str">
        <f>IFERROR(VLOOKUP(I205,Mapped_Owner,2,0),"")</f>
        <v>Guckien</v>
      </c>
      <c r="O205" s="6">
        <f>VLOOKUP(D205,'Mapped Opponent'!$G$4:$H$22,2,0)</f>
        <v>15</v>
      </c>
      <c r="P205" s="6"/>
      <c r="Q205" s="6" t="str">
        <f t="shared" si="4"/>
        <v>Week 15</v>
      </c>
      <c r="R205" s="6" t="str">
        <f t="shared" si="5"/>
        <v>2012Round 1</v>
      </c>
      <c r="S205" s="6">
        <f>IFERROR(__xludf.DUMMYFUNCTION("rank(J205,FILTER(J:J,R:R=R205))"),3.0)</f>
        <v>3</v>
      </c>
      <c r="T205" s="6">
        <f t="shared" si="6"/>
        <v>9</v>
      </c>
      <c r="U205" s="6">
        <f t="shared" si="7"/>
        <v>3</v>
      </c>
      <c r="V205" s="42">
        <f>averageif(AllData!A:A,B205,AllData!R:R)/vlookup(B205,AllData!A:O,15,0)</f>
        <v>91.6025641</v>
      </c>
      <c r="W205" s="6"/>
    </row>
    <row r="206" ht="14.25" customHeight="1">
      <c r="A206" s="6" t="str">
        <f t="shared" si="1"/>
        <v>2012Hudspeath16</v>
      </c>
      <c r="B206" s="6">
        <v>2012.0</v>
      </c>
      <c r="C206" s="6" t="s">
        <v>39</v>
      </c>
      <c r="D206" s="6" t="s">
        <v>153</v>
      </c>
      <c r="E206" s="34">
        <v>42164.0</v>
      </c>
      <c r="F206" s="6" t="s">
        <v>1012</v>
      </c>
      <c r="G206" s="6" t="s">
        <v>114</v>
      </c>
      <c r="H206" s="6" t="s">
        <v>1013</v>
      </c>
      <c r="I206" s="35" t="s">
        <v>161</v>
      </c>
      <c r="J206" s="36">
        <v>48.8</v>
      </c>
      <c r="K206" s="36">
        <v>90.9</v>
      </c>
      <c r="L206" s="36">
        <f t="shared" si="2"/>
        <v>0</v>
      </c>
      <c r="M206" s="36" t="str">
        <f t="shared" si="3"/>
        <v>Playoffs</v>
      </c>
      <c r="N206" s="36" t="str">
        <f>IFERROR(VLOOKUP(I206,Mapped_Owner,2,0),"")</f>
        <v>Tayski</v>
      </c>
      <c r="O206" s="6">
        <f>VLOOKUP(D206,'Mapped Opponent'!$G$4:$H$22,2,0)</f>
        <v>16</v>
      </c>
      <c r="P206" s="6"/>
      <c r="Q206" s="6" t="str">
        <f t="shared" si="4"/>
        <v>Week 16</v>
      </c>
      <c r="R206" s="6" t="str">
        <f t="shared" si="5"/>
        <v>2012Round 2</v>
      </c>
      <c r="S206" s="6">
        <f>IFERROR(__xludf.DUMMYFUNCTION("rank(J206,FILTER(J:J,R:R=R206))"),11.0)</f>
        <v>11</v>
      </c>
      <c r="T206" s="6">
        <f t="shared" si="6"/>
        <v>1</v>
      </c>
      <c r="U206" s="6">
        <f t="shared" si="7"/>
        <v>11</v>
      </c>
      <c r="V206" s="42">
        <f>averageif(AllData!A:A,B206,AllData!R:R)/vlookup(B206,AllData!A:O,15,0)</f>
        <v>91.6025641</v>
      </c>
      <c r="W206" s="6"/>
    </row>
    <row r="207" ht="14.25" customHeight="1">
      <c r="A207" s="6" t="str">
        <f t="shared" si="1"/>
        <v>2012Salty16</v>
      </c>
      <c r="B207" s="6">
        <v>2012.0</v>
      </c>
      <c r="C207" s="6" t="s">
        <v>76</v>
      </c>
      <c r="D207" s="6" t="s">
        <v>153</v>
      </c>
      <c r="E207" s="34">
        <v>42134.0</v>
      </c>
      <c r="F207" s="6" t="s">
        <v>1014</v>
      </c>
      <c r="G207" s="6" t="s">
        <v>114</v>
      </c>
      <c r="H207" s="6" t="s">
        <v>1015</v>
      </c>
      <c r="I207" s="35" t="s">
        <v>158</v>
      </c>
      <c r="J207" s="36">
        <v>100.4</v>
      </c>
      <c r="K207" s="36">
        <v>84.2</v>
      </c>
      <c r="L207" s="36">
        <f t="shared" si="2"/>
        <v>1</v>
      </c>
      <c r="M207" s="36" t="str">
        <f t="shared" si="3"/>
        <v>Playoffs</v>
      </c>
      <c r="N207" s="36" t="str">
        <f>IFERROR(VLOOKUP(I207,Mapped_Owner,2,0),"")</f>
        <v>Guckien</v>
      </c>
      <c r="O207" s="6">
        <f>VLOOKUP(D207,'Mapped Opponent'!$G$4:$H$22,2,0)</f>
        <v>16</v>
      </c>
      <c r="P207" s="6"/>
      <c r="Q207" s="6" t="str">
        <f t="shared" si="4"/>
        <v>Week 16</v>
      </c>
      <c r="R207" s="6" t="str">
        <f t="shared" si="5"/>
        <v>2012Round 2</v>
      </c>
      <c r="S207" s="6">
        <f>IFERROR(__xludf.DUMMYFUNCTION("rank(J207,FILTER(J:J,R:R=R207))"),4.0)</f>
        <v>4</v>
      </c>
      <c r="T207" s="6">
        <f t="shared" si="6"/>
        <v>8</v>
      </c>
      <c r="U207" s="6">
        <f t="shared" si="7"/>
        <v>4</v>
      </c>
      <c r="V207" s="42">
        <f>averageif(AllData!A:A,B207,AllData!R:R)/vlookup(B207,AllData!A:O,15,0)</f>
        <v>91.6025641</v>
      </c>
      <c r="W207" s="6"/>
    </row>
    <row r="208" ht="14.25" customHeight="1">
      <c r="A208" s="6" t="str">
        <f t="shared" si="1"/>
        <v>2012Fellows16</v>
      </c>
      <c r="B208" s="6">
        <v>2012.0</v>
      </c>
      <c r="C208" s="6" t="s">
        <v>79</v>
      </c>
      <c r="D208" s="6" t="s">
        <v>153</v>
      </c>
      <c r="E208" s="34">
        <v>42164.0</v>
      </c>
      <c r="F208" s="6" t="s">
        <v>1020</v>
      </c>
      <c r="G208" s="6" t="s">
        <v>114</v>
      </c>
      <c r="H208" s="6" t="s">
        <v>1021</v>
      </c>
      <c r="I208" s="35" t="s">
        <v>93</v>
      </c>
      <c r="J208" s="36">
        <v>71.3</v>
      </c>
      <c r="K208" s="36">
        <v>126.4</v>
      </c>
      <c r="L208" s="36">
        <f t="shared" si="2"/>
        <v>0</v>
      </c>
      <c r="M208" s="36" t="str">
        <f t="shared" si="3"/>
        <v>Playoffs</v>
      </c>
      <c r="N208" s="36" t="str">
        <f>IFERROR(VLOOKUP(I208,Mapped_Owner,2,0),"")</f>
        <v>Pierson</v>
      </c>
      <c r="O208" s="6">
        <f>VLOOKUP(D208,'Mapped Opponent'!$G$4:$H$22,2,0)</f>
        <v>16</v>
      </c>
      <c r="P208" s="6"/>
      <c r="Q208" s="6" t="str">
        <f t="shared" si="4"/>
        <v>Week 16</v>
      </c>
      <c r="R208" s="6" t="str">
        <f t="shared" si="5"/>
        <v>2012Round 2</v>
      </c>
      <c r="S208" s="6">
        <f>IFERROR(__xludf.DUMMYFUNCTION("rank(J208,FILTER(J:J,R:R=R208))"),9.0)</f>
        <v>9</v>
      </c>
      <c r="T208" s="6">
        <f t="shared" si="6"/>
        <v>3</v>
      </c>
      <c r="U208" s="6">
        <f t="shared" si="7"/>
        <v>9</v>
      </c>
      <c r="V208" s="42">
        <f>averageif(AllData!A:A,B208,AllData!R:R)/vlookup(B208,AllData!A:O,15,0)</f>
        <v>91.6025641</v>
      </c>
      <c r="W208" s="6"/>
    </row>
    <row r="209" ht="14.25" customHeight="1">
      <c r="A209" s="6" t="str">
        <f t="shared" si="1"/>
        <v>2012Shep16</v>
      </c>
      <c r="B209" s="6">
        <v>2012.0</v>
      </c>
      <c r="C209" s="6" t="s">
        <v>89</v>
      </c>
      <c r="D209" s="6" t="s">
        <v>153</v>
      </c>
      <c r="E209" s="34">
        <v>42311.0</v>
      </c>
      <c r="F209" s="6" t="s">
        <v>1022</v>
      </c>
      <c r="G209" s="6" t="s">
        <v>125</v>
      </c>
      <c r="H209" s="6" t="s">
        <v>1023</v>
      </c>
      <c r="I209" s="35" t="s">
        <v>58</v>
      </c>
      <c r="J209" s="36">
        <v>112.1</v>
      </c>
      <c r="K209" s="36">
        <v>83.2</v>
      </c>
      <c r="L209" s="36">
        <f t="shared" si="2"/>
        <v>1</v>
      </c>
      <c r="M209" s="36" t="str">
        <f t="shared" si="3"/>
        <v>Playoffs</v>
      </c>
      <c r="N209" s="36" t="str">
        <f>IFERROR(VLOOKUP(I209,Mapped_Owner,2,0),"")</f>
        <v>Rooney/Jackson</v>
      </c>
      <c r="O209" s="6">
        <f>VLOOKUP(D209,'Mapped Opponent'!$G$4:$H$22,2,0)</f>
        <v>16</v>
      </c>
      <c r="P209" s="6"/>
      <c r="Q209" s="6" t="str">
        <f t="shared" si="4"/>
        <v>Week 16</v>
      </c>
      <c r="R209" s="6" t="str">
        <f t="shared" si="5"/>
        <v>2012Round 2</v>
      </c>
      <c r="S209" s="6">
        <f>IFERROR(__xludf.DUMMYFUNCTION("rank(J209,FILTER(J:J,R:R=R209))"),3.0)</f>
        <v>3</v>
      </c>
      <c r="T209" s="6">
        <f t="shared" si="6"/>
        <v>9</v>
      </c>
      <c r="U209" s="6">
        <f t="shared" si="7"/>
        <v>3</v>
      </c>
      <c r="V209" s="42">
        <f>averageif(AllData!A:A,B209,AllData!R:R)/vlookup(B209,AllData!A:O,15,0)</f>
        <v>91.6025641</v>
      </c>
      <c r="W209" s="6"/>
    </row>
    <row r="210" ht="14.25" customHeight="1">
      <c r="A210" s="6" t="str">
        <f t="shared" si="1"/>
        <v>2012Guckien16</v>
      </c>
      <c r="B210" s="6">
        <v>2012.0</v>
      </c>
      <c r="C210" s="6" t="s">
        <v>159</v>
      </c>
      <c r="D210" s="6" t="s">
        <v>153</v>
      </c>
      <c r="E210" s="34">
        <v>42134.0</v>
      </c>
      <c r="F210" s="6" t="s">
        <v>1024</v>
      </c>
      <c r="G210" s="6" t="s">
        <v>125</v>
      </c>
      <c r="H210" s="6" t="s">
        <v>1025</v>
      </c>
      <c r="I210" s="35" t="s">
        <v>77</v>
      </c>
      <c r="J210" s="36">
        <v>84.2</v>
      </c>
      <c r="K210" s="36">
        <v>100.4</v>
      </c>
      <c r="L210" s="36">
        <f t="shared" si="2"/>
        <v>0</v>
      </c>
      <c r="M210" s="36" t="str">
        <f t="shared" si="3"/>
        <v>Playoffs</v>
      </c>
      <c r="N210" s="36" t="str">
        <f>IFERROR(VLOOKUP(I210,Mapped_Owner,2,0),"")</f>
        <v>Salty</v>
      </c>
      <c r="O210" s="6">
        <f>VLOOKUP(D210,'Mapped Opponent'!$G$4:$H$22,2,0)</f>
        <v>16</v>
      </c>
      <c r="P210" s="6"/>
      <c r="Q210" s="6" t="str">
        <f t="shared" si="4"/>
        <v>Week 16</v>
      </c>
      <c r="R210" s="6" t="str">
        <f t="shared" si="5"/>
        <v>2012Round 2</v>
      </c>
      <c r="S210" s="6">
        <f>IFERROR(__xludf.DUMMYFUNCTION("rank(J210,FILTER(J:J,R:R=R210))"),7.0)</f>
        <v>7</v>
      </c>
      <c r="T210" s="6">
        <f t="shared" si="6"/>
        <v>5</v>
      </c>
      <c r="U210" s="6">
        <f t="shared" si="7"/>
        <v>7</v>
      </c>
      <c r="V210" s="42">
        <f>averageif(AllData!A:A,B210,AllData!R:R)/vlookup(B210,AllData!A:O,15,0)</f>
        <v>91.6025641</v>
      </c>
      <c r="W210" s="6"/>
    </row>
    <row r="211" ht="14.25" customHeight="1">
      <c r="A211" s="6" t="str">
        <f t="shared" si="1"/>
        <v>2012Rooney/Jackson16</v>
      </c>
      <c r="B211" s="6">
        <v>2012.0</v>
      </c>
      <c r="C211" s="6" t="s">
        <v>57</v>
      </c>
      <c r="D211" s="6" t="s">
        <v>153</v>
      </c>
      <c r="E211" s="34">
        <v>42223.0</v>
      </c>
      <c r="F211" s="6" t="s">
        <v>1028</v>
      </c>
      <c r="G211" s="6" t="s">
        <v>114</v>
      </c>
      <c r="H211" s="6" t="s">
        <v>1029</v>
      </c>
      <c r="I211" s="35" t="s">
        <v>91</v>
      </c>
      <c r="J211" s="36">
        <v>83.2</v>
      </c>
      <c r="K211" s="36">
        <v>112.1</v>
      </c>
      <c r="L211" s="36">
        <f t="shared" si="2"/>
        <v>0</v>
      </c>
      <c r="M211" s="36" t="str">
        <f t="shared" si="3"/>
        <v>Playoffs</v>
      </c>
      <c r="N211" s="36" t="str">
        <f>IFERROR(VLOOKUP(I211,Mapped_Owner,2,0),"")</f>
        <v>Shep</v>
      </c>
      <c r="O211" s="6">
        <f>VLOOKUP(D211,'Mapped Opponent'!$G$4:$H$22,2,0)</f>
        <v>16</v>
      </c>
      <c r="P211" s="6"/>
      <c r="Q211" s="6" t="str">
        <f t="shared" si="4"/>
        <v>Week 16</v>
      </c>
      <c r="R211" s="6" t="str">
        <f t="shared" si="5"/>
        <v>2012Round 2</v>
      </c>
      <c r="S211" s="6">
        <f>IFERROR(__xludf.DUMMYFUNCTION("rank(J211,FILTER(J:J,R:R=R211))"),8.0)</f>
        <v>8</v>
      </c>
      <c r="T211" s="6">
        <f t="shared" si="6"/>
        <v>4</v>
      </c>
      <c r="U211" s="6">
        <f t="shared" si="7"/>
        <v>8</v>
      </c>
      <c r="V211" s="42">
        <f>averageif(AllData!A:A,B211,AllData!R:R)/vlookup(B211,AllData!A:O,15,0)</f>
        <v>91.6025641</v>
      </c>
      <c r="W211" s="6"/>
    </row>
    <row r="212" ht="14.25" customHeight="1">
      <c r="A212" s="6" t="str">
        <f t="shared" si="1"/>
        <v>2012Buser16</v>
      </c>
      <c r="B212" s="6">
        <v>2012.0</v>
      </c>
      <c r="C212" s="6" t="s">
        <v>47</v>
      </c>
      <c r="D212" s="6" t="s">
        <v>153</v>
      </c>
      <c r="E212" s="34">
        <v>42253.0</v>
      </c>
      <c r="F212" s="6" t="s">
        <v>1030</v>
      </c>
      <c r="G212" s="6" t="s">
        <v>114</v>
      </c>
      <c r="H212" s="6" t="s">
        <v>1031</v>
      </c>
      <c r="I212" s="35" t="s">
        <v>132</v>
      </c>
      <c r="J212" s="36">
        <v>91.0</v>
      </c>
      <c r="K212" s="36">
        <v>123.8</v>
      </c>
      <c r="L212" s="36">
        <f t="shared" si="2"/>
        <v>0</v>
      </c>
      <c r="M212" s="36" t="str">
        <f t="shared" si="3"/>
        <v>Playoffs</v>
      </c>
      <c r="N212" s="36" t="str">
        <f>IFERROR(VLOOKUP(I212,Mapped_Owner,2,0),"")</f>
        <v>KnardDawg</v>
      </c>
      <c r="O212" s="6">
        <f>VLOOKUP(D212,'Mapped Opponent'!$G$4:$H$22,2,0)</f>
        <v>16</v>
      </c>
      <c r="P212" s="6"/>
      <c r="Q212" s="6" t="str">
        <f t="shared" si="4"/>
        <v>Week 16</v>
      </c>
      <c r="R212" s="6" t="str">
        <f t="shared" si="5"/>
        <v>2012Round 2</v>
      </c>
      <c r="S212" s="6">
        <f>IFERROR(__xludf.DUMMYFUNCTION("rank(J212,FILTER(J:J,R:R=R212))"),5.0)</f>
        <v>5</v>
      </c>
      <c r="T212" s="6">
        <f t="shared" si="6"/>
        <v>7</v>
      </c>
      <c r="U212" s="6">
        <f t="shared" si="7"/>
        <v>5</v>
      </c>
      <c r="V212" s="42">
        <f>averageif(AllData!A:A,B212,AllData!R:R)/vlookup(B212,AllData!A:O,15,0)</f>
        <v>91.6025641</v>
      </c>
      <c r="W212" s="6"/>
    </row>
    <row r="213" ht="14.25" customHeight="1">
      <c r="A213" s="6" t="str">
        <f t="shared" si="1"/>
        <v>2012Pierson16</v>
      </c>
      <c r="B213" s="6">
        <v>2012.0</v>
      </c>
      <c r="C213" s="6" t="s">
        <v>92</v>
      </c>
      <c r="D213" s="6" t="s">
        <v>153</v>
      </c>
      <c r="E213" s="34">
        <v>42253.0</v>
      </c>
      <c r="F213" s="6" t="s">
        <v>1032</v>
      </c>
      <c r="G213" s="6" t="s">
        <v>125</v>
      </c>
      <c r="H213" s="6" t="s">
        <v>1033</v>
      </c>
      <c r="I213" s="35" t="s">
        <v>80</v>
      </c>
      <c r="J213" s="36">
        <v>126.4</v>
      </c>
      <c r="K213" s="36">
        <v>71.3</v>
      </c>
      <c r="L213" s="36">
        <f t="shared" si="2"/>
        <v>1</v>
      </c>
      <c r="M213" s="36" t="str">
        <f t="shared" si="3"/>
        <v>Playoffs</v>
      </c>
      <c r="N213" s="36" t="str">
        <f>IFERROR(VLOOKUP(I213,Mapped_Owner,2,0),"")</f>
        <v>Fellows</v>
      </c>
      <c r="O213" s="6">
        <f>VLOOKUP(D213,'Mapped Opponent'!$G$4:$H$22,2,0)</f>
        <v>16</v>
      </c>
      <c r="P213" s="6"/>
      <c r="Q213" s="6" t="str">
        <f t="shared" si="4"/>
        <v>Week 16</v>
      </c>
      <c r="R213" s="6" t="str">
        <f t="shared" si="5"/>
        <v>2012Round 2</v>
      </c>
      <c r="S213" s="6">
        <f>IFERROR(__xludf.DUMMYFUNCTION("rank(J213,FILTER(J:J,R:R=R213))"),1.0)</f>
        <v>1</v>
      </c>
      <c r="T213" s="6">
        <f t="shared" si="6"/>
        <v>11</v>
      </c>
      <c r="U213" s="6">
        <f t="shared" si="7"/>
        <v>1</v>
      </c>
      <c r="V213" s="42">
        <f>averageif(AllData!A:A,B213,AllData!R:R)/vlookup(B213,AllData!A:O,15,0)</f>
        <v>91.6025641</v>
      </c>
      <c r="W213" s="6"/>
    </row>
    <row r="214" ht="14.25" customHeight="1">
      <c r="A214" s="6" t="str">
        <f t="shared" si="1"/>
        <v>2012Cock16</v>
      </c>
      <c r="B214" s="6">
        <v>2012.0</v>
      </c>
      <c r="C214" s="6" t="s">
        <v>72</v>
      </c>
      <c r="D214" s="6" t="s">
        <v>153</v>
      </c>
      <c r="E214" s="34">
        <v>42193.0</v>
      </c>
      <c r="F214" s="6" t="s">
        <v>1038</v>
      </c>
      <c r="G214" s="6" t="s">
        <v>125</v>
      </c>
      <c r="H214" s="6" t="s">
        <v>1039</v>
      </c>
      <c r="I214" s="35" t="s">
        <v>85</v>
      </c>
      <c r="J214" s="36">
        <v>50.9</v>
      </c>
      <c r="K214" s="36">
        <v>40.4</v>
      </c>
      <c r="L214" s="36">
        <f t="shared" si="2"/>
        <v>1</v>
      </c>
      <c r="M214" s="36" t="str">
        <f t="shared" si="3"/>
        <v>Playoffs</v>
      </c>
      <c r="N214" s="36" t="str">
        <f>IFERROR(VLOOKUP(I214,Mapped_Owner,2,0),"")</f>
        <v>T-How</v>
      </c>
      <c r="O214" s="6">
        <f>VLOOKUP(D214,'Mapped Opponent'!$G$4:$H$22,2,0)</f>
        <v>16</v>
      </c>
      <c r="P214" s="6"/>
      <c r="Q214" s="6" t="str">
        <f t="shared" si="4"/>
        <v>Week 16</v>
      </c>
      <c r="R214" s="6" t="str">
        <f t="shared" si="5"/>
        <v>2012Round 2</v>
      </c>
      <c r="S214" s="6">
        <f>IFERROR(__xludf.DUMMYFUNCTION("rank(J214,FILTER(J:J,R:R=R214))"),10.0)</f>
        <v>10</v>
      </c>
      <c r="T214" s="6">
        <f t="shared" si="6"/>
        <v>2</v>
      </c>
      <c r="U214" s="6">
        <f t="shared" si="7"/>
        <v>10</v>
      </c>
      <c r="V214" s="42">
        <f>averageif(AllData!A:A,B214,AllData!R:R)/vlookup(B214,AllData!A:O,15,0)</f>
        <v>91.6025641</v>
      </c>
      <c r="W214" s="6"/>
    </row>
    <row r="215" ht="14.25" customHeight="1">
      <c r="A215" s="6" t="str">
        <f t="shared" si="1"/>
        <v>2012Tayski16</v>
      </c>
      <c r="B215" s="6">
        <v>2012.0</v>
      </c>
      <c r="C215" s="6" t="s">
        <v>52</v>
      </c>
      <c r="D215" s="6" t="s">
        <v>153</v>
      </c>
      <c r="E215" s="34">
        <v>42193.0</v>
      </c>
      <c r="F215" s="6" t="s">
        <v>1040</v>
      </c>
      <c r="G215" s="6" t="s">
        <v>125</v>
      </c>
      <c r="H215" s="6" t="s">
        <v>1041</v>
      </c>
      <c r="I215" s="35" t="s">
        <v>64</v>
      </c>
      <c r="J215" s="36">
        <v>90.9</v>
      </c>
      <c r="K215" s="36">
        <v>48.8</v>
      </c>
      <c r="L215" s="36">
        <f t="shared" si="2"/>
        <v>1</v>
      </c>
      <c r="M215" s="36" t="str">
        <f t="shared" si="3"/>
        <v>Playoffs</v>
      </c>
      <c r="N215" s="36" t="str">
        <f>IFERROR(VLOOKUP(I215,Mapped_Owner,2,0),"")</f>
        <v>Hudspeath</v>
      </c>
      <c r="O215" s="6">
        <f>VLOOKUP(D215,'Mapped Opponent'!$G$4:$H$22,2,0)</f>
        <v>16</v>
      </c>
      <c r="P215" s="6"/>
      <c r="Q215" s="6" t="str">
        <f t="shared" si="4"/>
        <v>Week 16</v>
      </c>
      <c r="R215" s="6" t="str">
        <f t="shared" si="5"/>
        <v>2012Round 2</v>
      </c>
      <c r="S215" s="6">
        <f>IFERROR(__xludf.DUMMYFUNCTION("rank(J215,FILTER(J:J,R:R=R215))"),6.0)</f>
        <v>6</v>
      </c>
      <c r="T215" s="6">
        <f t="shared" si="6"/>
        <v>6</v>
      </c>
      <c r="U215" s="6">
        <f t="shared" si="7"/>
        <v>6</v>
      </c>
      <c r="V215" s="42">
        <f>averageif(AllData!A:A,B215,AllData!R:R)/vlookup(B215,AllData!A:O,15,0)</f>
        <v>91.6025641</v>
      </c>
      <c r="W215" s="6"/>
    </row>
    <row r="216" ht="14.25" customHeight="1">
      <c r="A216" s="6" t="str">
        <f t="shared" si="1"/>
        <v>2012KnardDawg16</v>
      </c>
      <c r="B216" s="6">
        <v>2012.0</v>
      </c>
      <c r="C216" s="6" t="s">
        <v>86</v>
      </c>
      <c r="D216" s="6" t="s">
        <v>153</v>
      </c>
      <c r="E216" s="34">
        <v>42281.0</v>
      </c>
      <c r="F216" s="6" t="s">
        <v>1044</v>
      </c>
      <c r="G216" s="6" t="s">
        <v>125</v>
      </c>
      <c r="H216" s="6" t="s">
        <v>1045</v>
      </c>
      <c r="I216" s="35" t="s">
        <v>50</v>
      </c>
      <c r="J216" s="36">
        <v>123.8</v>
      </c>
      <c r="K216" s="36">
        <v>91.0</v>
      </c>
      <c r="L216" s="36">
        <f t="shared" si="2"/>
        <v>1</v>
      </c>
      <c r="M216" s="36" t="str">
        <f t="shared" si="3"/>
        <v>Playoffs</v>
      </c>
      <c r="N216" s="36" t="str">
        <f>IFERROR(VLOOKUP(I216,Mapped_Owner,2,0),"")</f>
        <v>Buser</v>
      </c>
      <c r="O216" s="6">
        <f>VLOOKUP(D216,'Mapped Opponent'!$G$4:$H$22,2,0)</f>
        <v>16</v>
      </c>
      <c r="P216" s="6"/>
      <c r="Q216" s="6" t="str">
        <f t="shared" si="4"/>
        <v>Week 16</v>
      </c>
      <c r="R216" s="6" t="str">
        <f t="shared" si="5"/>
        <v>2012Round 2</v>
      </c>
      <c r="S216" s="6">
        <f>IFERROR(__xludf.DUMMYFUNCTION("rank(J216,FILTER(J:J,R:R=R216))"),2.0)</f>
        <v>2</v>
      </c>
      <c r="T216" s="6">
        <f t="shared" si="6"/>
        <v>10</v>
      </c>
      <c r="U216" s="6">
        <f t="shared" si="7"/>
        <v>2</v>
      </c>
      <c r="V216" s="42">
        <f>averageif(AllData!A:A,B216,AllData!R:R)/vlookup(B216,AllData!A:O,15,0)</f>
        <v>91.6025641</v>
      </c>
      <c r="W216" s="6"/>
    </row>
    <row r="217" ht="14.25" customHeight="1">
      <c r="A217" s="6" t="str">
        <f t="shared" si="1"/>
        <v>2012T-How16</v>
      </c>
      <c r="B217" s="6">
        <v>2012.0</v>
      </c>
      <c r="C217" s="6" t="s">
        <v>82</v>
      </c>
      <c r="D217" s="6" t="s">
        <v>153</v>
      </c>
      <c r="E217" s="34">
        <v>42164.0</v>
      </c>
      <c r="F217" s="6" t="s">
        <v>1046</v>
      </c>
      <c r="G217" s="6" t="s">
        <v>114</v>
      </c>
      <c r="H217" s="6" t="s">
        <v>1047</v>
      </c>
      <c r="I217" s="35" t="s">
        <v>99</v>
      </c>
      <c r="J217" s="36">
        <v>40.4</v>
      </c>
      <c r="K217" s="36">
        <v>50.9</v>
      </c>
      <c r="L217" s="36">
        <f t="shared" si="2"/>
        <v>0</v>
      </c>
      <c r="M217" s="36" t="str">
        <f t="shared" si="3"/>
        <v>Playoffs</v>
      </c>
      <c r="N217" s="36" t="str">
        <f>IFERROR(VLOOKUP(I217,Mapped_Owner,2,0),"")</f>
        <v>Cock</v>
      </c>
      <c r="O217" s="6">
        <f>VLOOKUP(D217,'Mapped Opponent'!$G$4:$H$22,2,0)</f>
        <v>16</v>
      </c>
      <c r="P217" s="6"/>
      <c r="Q217" s="6" t="str">
        <f t="shared" si="4"/>
        <v>Week 16</v>
      </c>
      <c r="R217" s="6" t="str">
        <f t="shared" si="5"/>
        <v>2012Round 2</v>
      </c>
      <c r="S217" s="6">
        <f>IFERROR(__xludf.DUMMYFUNCTION("rank(J217,FILTER(J:J,R:R=R217))"),12.0)</f>
        <v>12</v>
      </c>
      <c r="T217" s="6">
        <f t="shared" si="6"/>
        <v>0</v>
      </c>
      <c r="U217" s="6">
        <f t="shared" si="7"/>
        <v>12</v>
      </c>
      <c r="V217" s="42">
        <f>averageif(AllData!A:A,B217,AllData!R:R)/vlookup(B217,AllData!A:O,15,0)</f>
        <v>91.6025641</v>
      </c>
      <c r="W217" s="6"/>
    </row>
    <row r="218" ht="14.25" customHeight="1">
      <c r="A218" s="6" t="str">
        <f t="shared" si="1"/>
        <v>2012Hudspeath17</v>
      </c>
      <c r="B218" s="6">
        <v>2012.0</v>
      </c>
      <c r="C218" s="6" t="s">
        <v>39</v>
      </c>
      <c r="D218" s="6" t="s">
        <v>154</v>
      </c>
      <c r="E218" s="34">
        <v>42194.0</v>
      </c>
      <c r="F218" s="6" t="s">
        <v>1048</v>
      </c>
      <c r="G218" s="6" t="s">
        <v>114</v>
      </c>
      <c r="H218" s="6" t="s">
        <v>1049</v>
      </c>
      <c r="I218" s="35" t="s">
        <v>158</v>
      </c>
      <c r="J218" s="36">
        <v>135.8</v>
      </c>
      <c r="K218" s="36">
        <v>102.5</v>
      </c>
      <c r="L218" s="36">
        <f t="shared" si="2"/>
        <v>1</v>
      </c>
      <c r="M218" s="36" t="str">
        <f t="shared" si="3"/>
        <v>Playoffs</v>
      </c>
      <c r="N218" s="36" t="str">
        <f>IFERROR(VLOOKUP(I218,Mapped_Owner,2,0),"")</f>
        <v>Guckien</v>
      </c>
      <c r="O218" s="6">
        <f>VLOOKUP(D218,'Mapped Opponent'!$G$4:$H$22,2,0)</f>
        <v>17</v>
      </c>
      <c r="P218" s="6"/>
      <c r="Q218" s="6" t="str">
        <f t="shared" si="4"/>
        <v>Week 17</v>
      </c>
      <c r="R218" s="6" t="str">
        <f t="shared" si="5"/>
        <v>2012Round 3</v>
      </c>
      <c r="S218" s="6">
        <f>IFERROR(__xludf.DUMMYFUNCTION("rank(J218,FILTER(J:J,R:R=R218))"),1.0)</f>
        <v>1</v>
      </c>
      <c r="T218" s="6">
        <f t="shared" si="6"/>
        <v>11</v>
      </c>
      <c r="U218" s="6">
        <f t="shared" si="7"/>
        <v>1</v>
      </c>
      <c r="V218" s="42">
        <f>averageif(AllData!A:A,B218,AllData!R:R)/vlookup(B218,AllData!A:O,15,0)</f>
        <v>91.6025641</v>
      </c>
      <c r="W218" s="6"/>
    </row>
    <row r="219" ht="14.25" customHeight="1">
      <c r="A219" s="6" t="str">
        <f t="shared" si="1"/>
        <v>2012Salty17</v>
      </c>
      <c r="B219" s="6">
        <v>2012.0</v>
      </c>
      <c r="C219" s="6" t="s">
        <v>76</v>
      </c>
      <c r="D219" s="6" t="s">
        <v>154</v>
      </c>
      <c r="E219" s="34">
        <v>42135.0</v>
      </c>
      <c r="F219" s="6" t="s">
        <v>1054</v>
      </c>
      <c r="G219" s="6" t="s">
        <v>114</v>
      </c>
      <c r="H219" s="6" t="s">
        <v>1055</v>
      </c>
      <c r="I219" s="35" t="s">
        <v>85</v>
      </c>
      <c r="J219" s="36">
        <v>75.3</v>
      </c>
      <c r="K219" s="36">
        <v>83.9</v>
      </c>
      <c r="L219" s="36">
        <f t="shared" si="2"/>
        <v>0</v>
      </c>
      <c r="M219" s="36" t="str">
        <f t="shared" si="3"/>
        <v>Playoffs</v>
      </c>
      <c r="N219" s="36" t="str">
        <f>IFERROR(VLOOKUP(I219,Mapped_Owner,2,0),"")</f>
        <v>T-How</v>
      </c>
      <c r="O219" s="6">
        <f>VLOOKUP(D219,'Mapped Opponent'!$G$4:$H$22,2,0)</f>
        <v>17</v>
      </c>
      <c r="P219" s="6"/>
      <c r="Q219" s="6" t="str">
        <f t="shared" si="4"/>
        <v>Week 17</v>
      </c>
      <c r="R219" s="6" t="str">
        <f t="shared" si="5"/>
        <v>2012Round 3</v>
      </c>
      <c r="S219" s="6">
        <f>IFERROR(__xludf.DUMMYFUNCTION("rank(J219,FILTER(J:J,R:R=R219))"),11.0)</f>
        <v>11</v>
      </c>
      <c r="T219" s="6">
        <f t="shared" si="6"/>
        <v>1</v>
      </c>
      <c r="U219" s="6">
        <f t="shared" si="7"/>
        <v>11</v>
      </c>
      <c r="V219" s="42">
        <f>averageif(AllData!A:A,B219,AllData!R:R)/vlookup(B219,AllData!A:O,15,0)</f>
        <v>91.6025641</v>
      </c>
      <c r="W219" s="6"/>
    </row>
    <row r="220" ht="14.25" customHeight="1">
      <c r="A220" s="6" t="str">
        <f t="shared" si="1"/>
        <v>2012Fellows17</v>
      </c>
      <c r="B220" s="6">
        <v>2012.0</v>
      </c>
      <c r="C220" s="6" t="s">
        <v>79</v>
      </c>
      <c r="D220" s="6" t="s">
        <v>154</v>
      </c>
      <c r="E220" s="34">
        <v>42194.0</v>
      </c>
      <c r="F220" s="6" t="s">
        <v>1056</v>
      </c>
      <c r="G220" s="6" t="s">
        <v>114</v>
      </c>
      <c r="H220" s="6" t="s">
        <v>1057</v>
      </c>
      <c r="I220" s="35" t="s">
        <v>93</v>
      </c>
      <c r="J220" s="36">
        <v>92.8</v>
      </c>
      <c r="K220" s="36">
        <v>65.3</v>
      </c>
      <c r="L220" s="36">
        <f t="shared" si="2"/>
        <v>1</v>
      </c>
      <c r="M220" s="36" t="str">
        <f t="shared" si="3"/>
        <v>Playoffs</v>
      </c>
      <c r="N220" s="36" t="str">
        <f>IFERROR(VLOOKUP(I220,Mapped_Owner,2,0),"")</f>
        <v>Pierson</v>
      </c>
      <c r="O220" s="6">
        <f>VLOOKUP(D220,'Mapped Opponent'!$G$4:$H$22,2,0)</f>
        <v>17</v>
      </c>
      <c r="P220" s="6"/>
      <c r="Q220" s="6" t="str">
        <f t="shared" si="4"/>
        <v>Week 17</v>
      </c>
      <c r="R220" s="6" t="str">
        <f t="shared" si="5"/>
        <v>2012Round 3</v>
      </c>
      <c r="S220" s="6">
        <f>IFERROR(__xludf.DUMMYFUNCTION("rank(J220,FILTER(J:J,R:R=R220))"),6.0)</f>
        <v>6</v>
      </c>
      <c r="T220" s="6">
        <f t="shared" si="6"/>
        <v>6</v>
      </c>
      <c r="U220" s="6">
        <f t="shared" si="7"/>
        <v>6</v>
      </c>
      <c r="V220" s="42">
        <f>averageif(AllData!A:A,B220,AllData!R:R)/vlookup(B220,AllData!A:O,15,0)</f>
        <v>91.6025641</v>
      </c>
      <c r="W220" s="6"/>
    </row>
    <row r="221" ht="14.25" customHeight="1">
      <c r="A221" s="6" t="str">
        <f t="shared" si="1"/>
        <v>2012Shep17</v>
      </c>
      <c r="B221" s="6">
        <v>2012.0</v>
      </c>
      <c r="C221" s="6" t="s">
        <v>89</v>
      </c>
      <c r="D221" s="6" t="s">
        <v>154</v>
      </c>
      <c r="E221" s="34">
        <v>42312.0</v>
      </c>
      <c r="F221" s="6" t="s">
        <v>1061</v>
      </c>
      <c r="G221" s="6" t="s">
        <v>125</v>
      </c>
      <c r="H221" s="6" t="s">
        <v>1062</v>
      </c>
      <c r="I221" s="35" t="s">
        <v>132</v>
      </c>
      <c r="J221" s="36">
        <v>84.0</v>
      </c>
      <c r="K221" s="36">
        <v>107.7</v>
      </c>
      <c r="L221" s="36">
        <f t="shared" si="2"/>
        <v>0</v>
      </c>
      <c r="M221" s="36" t="str">
        <f t="shared" si="3"/>
        <v>Playoffs</v>
      </c>
      <c r="N221" s="36" t="str">
        <f>IFERROR(VLOOKUP(I221,Mapped_Owner,2,0),"")</f>
        <v>KnardDawg</v>
      </c>
      <c r="O221" s="6">
        <f>VLOOKUP(D221,'Mapped Opponent'!$G$4:$H$22,2,0)</f>
        <v>17</v>
      </c>
      <c r="P221" s="6"/>
      <c r="Q221" s="6" t="str">
        <f t="shared" si="4"/>
        <v>Week 17</v>
      </c>
      <c r="R221" s="6" t="str">
        <f t="shared" si="5"/>
        <v>2012Round 3</v>
      </c>
      <c r="S221" s="6">
        <f>IFERROR(__xludf.DUMMYFUNCTION("rank(J221,FILTER(J:J,R:R=R221))"),8.0)</f>
        <v>8</v>
      </c>
      <c r="T221" s="6">
        <f t="shared" si="6"/>
        <v>4</v>
      </c>
      <c r="U221" s="6">
        <f t="shared" si="7"/>
        <v>8</v>
      </c>
      <c r="V221" s="42">
        <f>averageif(AllData!A:A,B221,AllData!R:R)/vlookup(B221,AllData!A:O,15,0)</f>
        <v>91.6025641</v>
      </c>
      <c r="W221" s="6"/>
    </row>
    <row r="222" ht="14.25" customHeight="1">
      <c r="A222" s="6" t="str">
        <f t="shared" si="1"/>
        <v>2012Guckien17</v>
      </c>
      <c r="B222" s="6">
        <v>2012.0</v>
      </c>
      <c r="C222" s="6" t="s">
        <v>159</v>
      </c>
      <c r="D222" s="6" t="s">
        <v>154</v>
      </c>
      <c r="E222" s="34">
        <v>42135.0</v>
      </c>
      <c r="F222" s="6" t="s">
        <v>1063</v>
      </c>
      <c r="G222" s="6" t="s">
        <v>125</v>
      </c>
      <c r="H222" s="6" t="s">
        <v>1064</v>
      </c>
      <c r="I222" s="35" t="s">
        <v>64</v>
      </c>
      <c r="J222" s="36">
        <v>102.5</v>
      </c>
      <c r="K222" s="36">
        <v>135.8</v>
      </c>
      <c r="L222" s="36">
        <f t="shared" si="2"/>
        <v>0</v>
      </c>
      <c r="M222" s="36" t="str">
        <f t="shared" si="3"/>
        <v>Playoffs</v>
      </c>
      <c r="N222" s="36" t="str">
        <f>IFERROR(VLOOKUP(I222,Mapped_Owner,2,0),"")</f>
        <v>Hudspeath</v>
      </c>
      <c r="O222" s="6">
        <f>VLOOKUP(D222,'Mapped Opponent'!$G$4:$H$22,2,0)</f>
        <v>17</v>
      </c>
      <c r="P222" s="6"/>
      <c r="Q222" s="6" t="str">
        <f t="shared" si="4"/>
        <v>Week 17</v>
      </c>
      <c r="R222" s="6" t="str">
        <f t="shared" si="5"/>
        <v>2012Round 3</v>
      </c>
      <c r="S222" s="6">
        <f>IFERROR(__xludf.DUMMYFUNCTION("rank(J222,FILTER(J:J,R:R=R222))"),4.0)</f>
        <v>4</v>
      </c>
      <c r="T222" s="6">
        <f t="shared" si="6"/>
        <v>8</v>
      </c>
      <c r="U222" s="6">
        <f t="shared" si="7"/>
        <v>4</v>
      </c>
      <c r="V222" s="42">
        <f>averageif(AllData!A:A,B222,AllData!R:R)/vlookup(B222,AllData!A:O,15,0)</f>
        <v>91.6025641</v>
      </c>
      <c r="W222" s="6"/>
    </row>
    <row r="223" ht="14.25" customHeight="1">
      <c r="A223" s="6" t="str">
        <f t="shared" si="1"/>
        <v>2012Rooney/Jackson17</v>
      </c>
      <c r="B223" s="6">
        <v>2012.0</v>
      </c>
      <c r="C223" s="6" t="s">
        <v>57</v>
      </c>
      <c r="D223" s="6" t="s">
        <v>154</v>
      </c>
      <c r="E223" s="34">
        <v>42224.0</v>
      </c>
      <c r="F223" s="6" t="s">
        <v>1067</v>
      </c>
      <c r="G223" s="6" t="s">
        <v>114</v>
      </c>
      <c r="H223" s="6" t="s">
        <v>1068</v>
      </c>
      <c r="I223" s="35" t="s">
        <v>50</v>
      </c>
      <c r="J223" s="36">
        <v>81.6</v>
      </c>
      <c r="K223" s="36">
        <v>86.0</v>
      </c>
      <c r="L223" s="36">
        <f t="shared" si="2"/>
        <v>0</v>
      </c>
      <c r="M223" s="36" t="str">
        <f t="shared" si="3"/>
        <v>Playoffs</v>
      </c>
      <c r="N223" s="36" t="str">
        <f>IFERROR(VLOOKUP(I223,Mapped_Owner,2,0),"")</f>
        <v>Buser</v>
      </c>
      <c r="O223" s="6">
        <f>VLOOKUP(D223,'Mapped Opponent'!$G$4:$H$22,2,0)</f>
        <v>17</v>
      </c>
      <c r="P223" s="6"/>
      <c r="Q223" s="6" t="str">
        <f t="shared" si="4"/>
        <v>Week 17</v>
      </c>
      <c r="R223" s="6" t="str">
        <f t="shared" si="5"/>
        <v>2012Round 3</v>
      </c>
      <c r="S223" s="6">
        <f>IFERROR(__xludf.DUMMYFUNCTION("rank(J223,FILTER(J:J,R:R=R223))"),10.0)</f>
        <v>10</v>
      </c>
      <c r="T223" s="6">
        <f t="shared" si="6"/>
        <v>2</v>
      </c>
      <c r="U223" s="6">
        <f t="shared" si="7"/>
        <v>10</v>
      </c>
      <c r="V223" s="42">
        <f>averageif(AllData!A:A,B223,AllData!R:R)/vlookup(B223,AllData!A:O,15,0)</f>
        <v>91.6025641</v>
      </c>
      <c r="W223" s="6"/>
    </row>
    <row r="224" ht="14.25" customHeight="1">
      <c r="A224" s="6" t="str">
        <f t="shared" si="1"/>
        <v>2012Buser17</v>
      </c>
      <c r="B224" s="6">
        <v>2012.0</v>
      </c>
      <c r="C224" s="6" t="s">
        <v>47</v>
      </c>
      <c r="D224" s="6" t="s">
        <v>154</v>
      </c>
      <c r="E224" s="34">
        <v>42283.0</v>
      </c>
      <c r="F224" s="6" t="s">
        <v>1069</v>
      </c>
      <c r="G224" s="6" t="s">
        <v>125</v>
      </c>
      <c r="H224" s="6" t="s">
        <v>1070</v>
      </c>
      <c r="I224" s="35" t="s">
        <v>58</v>
      </c>
      <c r="J224" s="36">
        <v>86.0</v>
      </c>
      <c r="K224" s="36">
        <v>81.6</v>
      </c>
      <c r="L224" s="36">
        <f t="shared" si="2"/>
        <v>1</v>
      </c>
      <c r="M224" s="36" t="str">
        <f t="shared" si="3"/>
        <v>Playoffs</v>
      </c>
      <c r="N224" s="36" t="str">
        <f>IFERROR(VLOOKUP(I224,Mapped_Owner,2,0),"")</f>
        <v>Rooney/Jackson</v>
      </c>
      <c r="O224" s="6">
        <f>VLOOKUP(D224,'Mapped Opponent'!$G$4:$H$22,2,0)</f>
        <v>17</v>
      </c>
      <c r="P224" s="6"/>
      <c r="Q224" s="6" t="str">
        <f t="shared" si="4"/>
        <v>Week 17</v>
      </c>
      <c r="R224" s="6" t="str">
        <f t="shared" si="5"/>
        <v>2012Round 3</v>
      </c>
      <c r="S224" s="6">
        <f>IFERROR(__xludf.DUMMYFUNCTION("rank(J224,FILTER(J:J,R:R=R224))"),7.0)</f>
        <v>7</v>
      </c>
      <c r="T224" s="6">
        <f t="shared" si="6"/>
        <v>5</v>
      </c>
      <c r="U224" s="6">
        <f t="shared" si="7"/>
        <v>7</v>
      </c>
      <c r="V224" s="42">
        <f>averageif(AllData!A:A,B224,AllData!R:R)/vlookup(B224,AllData!A:O,15,0)</f>
        <v>91.6025641</v>
      </c>
      <c r="W224" s="6"/>
    </row>
    <row r="225" ht="14.25" customHeight="1">
      <c r="A225" s="6" t="str">
        <f t="shared" si="1"/>
        <v>2012Pierson17</v>
      </c>
      <c r="B225" s="6">
        <v>2012.0</v>
      </c>
      <c r="C225" s="6" t="s">
        <v>92</v>
      </c>
      <c r="D225" s="6" t="s">
        <v>154</v>
      </c>
      <c r="E225" s="34">
        <v>42254.0</v>
      </c>
      <c r="F225" s="6" t="s">
        <v>1071</v>
      </c>
      <c r="G225" s="6" t="s">
        <v>125</v>
      </c>
      <c r="H225" s="6" t="s">
        <v>1072</v>
      </c>
      <c r="I225" s="35" t="s">
        <v>80</v>
      </c>
      <c r="J225" s="36">
        <v>65.3</v>
      </c>
      <c r="K225" s="36">
        <v>92.8</v>
      </c>
      <c r="L225" s="36">
        <f t="shared" si="2"/>
        <v>0</v>
      </c>
      <c r="M225" s="36" t="str">
        <f t="shared" si="3"/>
        <v>Playoffs</v>
      </c>
      <c r="N225" s="36" t="str">
        <f>IFERROR(VLOOKUP(I225,Mapped_Owner,2,0),"")</f>
        <v>Fellows</v>
      </c>
      <c r="O225" s="6">
        <f>VLOOKUP(D225,'Mapped Opponent'!$G$4:$H$22,2,0)</f>
        <v>17</v>
      </c>
      <c r="P225" s="6"/>
      <c r="Q225" s="6" t="str">
        <f t="shared" si="4"/>
        <v>Week 17</v>
      </c>
      <c r="R225" s="6" t="str">
        <f t="shared" si="5"/>
        <v>2012Round 3</v>
      </c>
      <c r="S225" s="6">
        <f>IFERROR(__xludf.DUMMYFUNCTION("rank(J225,FILTER(J:J,R:R=R225))"),12.0)</f>
        <v>12</v>
      </c>
      <c r="T225" s="6">
        <f t="shared" si="6"/>
        <v>0</v>
      </c>
      <c r="U225" s="6">
        <f t="shared" si="7"/>
        <v>12</v>
      </c>
      <c r="V225" s="42">
        <f>averageif(AllData!A:A,B225,AllData!R:R)/vlookup(B225,AllData!A:O,15,0)</f>
        <v>91.6025641</v>
      </c>
      <c r="W225" s="6"/>
    </row>
    <row r="226" ht="14.25" customHeight="1">
      <c r="A226" s="6" t="str">
        <f t="shared" si="1"/>
        <v>2012Cock17</v>
      </c>
      <c r="B226" s="6">
        <v>2012.0</v>
      </c>
      <c r="C226" s="6" t="s">
        <v>72</v>
      </c>
      <c r="D226" s="6" t="s">
        <v>154</v>
      </c>
      <c r="E226" s="34">
        <v>42194.0</v>
      </c>
      <c r="F226" s="6" t="s">
        <v>1077</v>
      </c>
      <c r="G226" s="6" t="s">
        <v>114</v>
      </c>
      <c r="H226" s="6" t="s">
        <v>1078</v>
      </c>
      <c r="I226" s="35" t="s">
        <v>161</v>
      </c>
      <c r="J226" s="36">
        <v>93.6</v>
      </c>
      <c r="K226" s="36">
        <v>107.5</v>
      </c>
      <c r="L226" s="36">
        <f t="shared" si="2"/>
        <v>0</v>
      </c>
      <c r="M226" s="36" t="str">
        <f t="shared" si="3"/>
        <v>Playoffs</v>
      </c>
      <c r="N226" s="36" t="str">
        <f>IFERROR(VLOOKUP(I226,Mapped_Owner,2,0),"")</f>
        <v>Tayski</v>
      </c>
      <c r="O226" s="6">
        <f>VLOOKUP(D226,'Mapped Opponent'!$G$4:$H$22,2,0)</f>
        <v>17</v>
      </c>
      <c r="P226" s="6"/>
      <c r="Q226" s="6" t="str">
        <f t="shared" si="4"/>
        <v>Week 17</v>
      </c>
      <c r="R226" s="6" t="str">
        <f t="shared" si="5"/>
        <v>2012Round 3</v>
      </c>
      <c r="S226" s="6">
        <f>IFERROR(__xludf.DUMMYFUNCTION("rank(J226,FILTER(J:J,R:R=R226))"),5.0)</f>
        <v>5</v>
      </c>
      <c r="T226" s="6">
        <f t="shared" si="6"/>
        <v>7</v>
      </c>
      <c r="U226" s="6">
        <f t="shared" si="7"/>
        <v>5</v>
      </c>
      <c r="V226" s="42">
        <f>averageif(AllData!A:A,B226,AllData!R:R)/vlookup(B226,AllData!A:O,15,0)</f>
        <v>91.6025641</v>
      </c>
      <c r="W226" s="6"/>
    </row>
    <row r="227" ht="14.25" customHeight="1">
      <c r="A227" s="6" t="str">
        <f t="shared" si="1"/>
        <v>2012Tayski17</v>
      </c>
      <c r="B227" s="6">
        <v>2012.0</v>
      </c>
      <c r="C227" s="6" t="s">
        <v>52</v>
      </c>
      <c r="D227" s="6" t="s">
        <v>154</v>
      </c>
      <c r="E227" s="34">
        <v>42224.0</v>
      </c>
      <c r="F227" s="6" t="s">
        <v>1079</v>
      </c>
      <c r="G227" s="6" t="s">
        <v>125</v>
      </c>
      <c r="H227" s="6" t="s">
        <v>1080</v>
      </c>
      <c r="I227" s="35" t="s">
        <v>99</v>
      </c>
      <c r="J227" s="36">
        <v>107.5</v>
      </c>
      <c r="K227" s="36">
        <v>93.6</v>
      </c>
      <c r="L227" s="36">
        <f t="shared" si="2"/>
        <v>1</v>
      </c>
      <c r="M227" s="36" t="str">
        <f t="shared" si="3"/>
        <v>Playoffs</v>
      </c>
      <c r="N227" s="36" t="str">
        <f>IFERROR(VLOOKUP(I227,Mapped_Owner,2,0),"")</f>
        <v>Cock</v>
      </c>
      <c r="O227" s="6">
        <f>VLOOKUP(D227,'Mapped Opponent'!$G$4:$H$22,2,0)</f>
        <v>17</v>
      </c>
      <c r="P227" s="6"/>
      <c r="Q227" s="6" t="str">
        <f t="shared" si="4"/>
        <v>Week 17</v>
      </c>
      <c r="R227" s="6" t="str">
        <f t="shared" si="5"/>
        <v>2012Round 3</v>
      </c>
      <c r="S227" s="6">
        <f>IFERROR(__xludf.DUMMYFUNCTION("rank(J227,FILTER(J:J,R:R=R227))"),3.0)</f>
        <v>3</v>
      </c>
      <c r="T227" s="6">
        <f t="shared" si="6"/>
        <v>9</v>
      </c>
      <c r="U227" s="6">
        <f t="shared" si="7"/>
        <v>3</v>
      </c>
      <c r="V227" s="42">
        <f>averageif(AllData!A:A,B227,AllData!R:R)/vlookup(B227,AllData!A:O,15,0)</f>
        <v>91.6025641</v>
      </c>
      <c r="W227" s="6"/>
    </row>
    <row r="228" ht="14.25" customHeight="1">
      <c r="A228" s="6" t="str">
        <f t="shared" si="1"/>
        <v>2012KnardDawg17</v>
      </c>
      <c r="B228" s="6">
        <v>2012.0</v>
      </c>
      <c r="C228" s="6" t="s">
        <v>86</v>
      </c>
      <c r="D228" s="6" t="s">
        <v>154</v>
      </c>
      <c r="E228" s="34">
        <v>42312.0</v>
      </c>
      <c r="F228" s="6" t="s">
        <v>1083</v>
      </c>
      <c r="G228" s="6" t="s">
        <v>114</v>
      </c>
      <c r="H228" s="6" t="s">
        <v>1084</v>
      </c>
      <c r="I228" s="35" t="s">
        <v>91</v>
      </c>
      <c r="J228" s="36">
        <v>107.7</v>
      </c>
      <c r="K228" s="36">
        <v>84.0</v>
      </c>
      <c r="L228" s="36">
        <f t="shared" si="2"/>
        <v>1</v>
      </c>
      <c r="M228" s="36" t="str">
        <f t="shared" si="3"/>
        <v>Playoffs</v>
      </c>
      <c r="N228" s="36" t="str">
        <f>IFERROR(VLOOKUP(I228,Mapped_Owner,2,0),"")</f>
        <v>Shep</v>
      </c>
      <c r="O228" s="6">
        <f>VLOOKUP(D228,'Mapped Opponent'!$G$4:$H$22,2,0)</f>
        <v>17</v>
      </c>
      <c r="P228" s="6"/>
      <c r="Q228" s="6" t="str">
        <f t="shared" si="4"/>
        <v>Week 17</v>
      </c>
      <c r="R228" s="6" t="str">
        <f t="shared" si="5"/>
        <v>2012Round 3</v>
      </c>
      <c r="S228" s="6">
        <f>IFERROR(__xludf.DUMMYFUNCTION("rank(J228,FILTER(J:J,R:R=R228))"),2.0)</f>
        <v>2</v>
      </c>
      <c r="T228" s="6">
        <f t="shared" si="6"/>
        <v>10</v>
      </c>
      <c r="U228" s="6">
        <f t="shared" si="7"/>
        <v>2</v>
      </c>
      <c r="V228" s="42">
        <f>averageif(AllData!A:A,B228,AllData!R:R)/vlookup(B228,AllData!A:O,15,0)</f>
        <v>91.6025641</v>
      </c>
      <c r="W228" s="6"/>
    </row>
    <row r="229" ht="14.25" customHeight="1">
      <c r="A229" s="6" t="str">
        <f t="shared" si="1"/>
        <v>2012T-How17</v>
      </c>
      <c r="B229" s="6">
        <v>2012.0</v>
      </c>
      <c r="C229" s="6" t="s">
        <v>82</v>
      </c>
      <c r="D229" s="6" t="s">
        <v>154</v>
      </c>
      <c r="E229" s="34">
        <v>42194.0</v>
      </c>
      <c r="F229" s="6" t="s">
        <v>1085</v>
      </c>
      <c r="G229" s="6" t="s">
        <v>125</v>
      </c>
      <c r="H229" s="6" t="s">
        <v>1086</v>
      </c>
      <c r="I229" s="35" t="s">
        <v>77</v>
      </c>
      <c r="J229" s="36">
        <v>83.9</v>
      </c>
      <c r="K229" s="36">
        <v>75.3</v>
      </c>
      <c r="L229" s="36">
        <f t="shared" si="2"/>
        <v>1</v>
      </c>
      <c r="M229" s="36" t="str">
        <f t="shared" si="3"/>
        <v>Playoffs</v>
      </c>
      <c r="N229" s="36" t="str">
        <f>IFERROR(VLOOKUP(I229,Mapped_Owner,2,0),"")</f>
        <v>Salty</v>
      </c>
      <c r="O229" s="6">
        <f>VLOOKUP(D229,'Mapped Opponent'!$G$4:$H$22,2,0)</f>
        <v>17</v>
      </c>
      <c r="P229" s="6"/>
      <c r="Q229" s="6" t="str">
        <f t="shared" si="4"/>
        <v>Week 17</v>
      </c>
      <c r="R229" s="6" t="str">
        <f t="shared" si="5"/>
        <v>2012Round 3</v>
      </c>
      <c r="S229" s="6">
        <f>IFERROR(__xludf.DUMMYFUNCTION("rank(J229,FILTER(J:J,R:R=R229))"),9.0)</f>
        <v>9</v>
      </c>
      <c r="T229" s="6">
        <f t="shared" si="6"/>
        <v>3</v>
      </c>
      <c r="U229" s="6">
        <f t="shared" si="7"/>
        <v>9</v>
      </c>
      <c r="V229" s="42">
        <f>averageif(AllData!A:A,B229,AllData!R:R)/vlookup(B229,AllData!A:O,15,0)</f>
        <v>91.6025641</v>
      </c>
      <c r="W229" s="6"/>
    </row>
    <row r="230" ht="14.25" customHeight="1">
      <c r="A230" s="6" t="str">
        <f t="shared" si="1"/>
        <v>2012Hudspeath1</v>
      </c>
      <c r="B230" s="6">
        <v>2012.0</v>
      </c>
      <c r="C230" s="6" t="s">
        <v>39</v>
      </c>
      <c r="D230" s="6" t="s">
        <v>129</v>
      </c>
      <c r="E230" s="34" t="s">
        <v>359</v>
      </c>
      <c r="F230" s="6" t="s">
        <v>1087</v>
      </c>
      <c r="G230" s="6" t="s">
        <v>114</v>
      </c>
      <c r="H230" s="6" t="s">
        <v>1088</v>
      </c>
      <c r="I230" s="35" t="s">
        <v>58</v>
      </c>
      <c r="J230" s="36">
        <v>86.1</v>
      </c>
      <c r="K230" s="36">
        <v>87.1</v>
      </c>
      <c r="L230" s="36">
        <f t="shared" si="2"/>
        <v>0</v>
      </c>
      <c r="M230" s="36" t="str">
        <f t="shared" si="3"/>
        <v>Regular Season</v>
      </c>
      <c r="N230" s="36" t="str">
        <f>IFERROR(VLOOKUP(I230,Mapped_Owner,2,0),"")</f>
        <v>Rooney/Jackson</v>
      </c>
      <c r="O230" s="6">
        <f>VLOOKUP(D230,'Mapped Opponent'!$G$4:$H$22,2,0)</f>
        <v>1</v>
      </c>
      <c r="P230" s="6"/>
      <c r="Q230" s="6" t="str">
        <f t="shared" si="4"/>
        <v>Week 1</v>
      </c>
      <c r="R230" s="6" t="str">
        <f t="shared" si="5"/>
        <v>2012Week 1</v>
      </c>
      <c r="S230" s="6">
        <f>IFERROR(__xludf.DUMMYFUNCTION("rank(J230,FILTER(J:J,R:R=R230))"),9.0)</f>
        <v>9</v>
      </c>
      <c r="T230" s="6">
        <f t="shared" si="6"/>
        <v>3</v>
      </c>
      <c r="U230" s="6">
        <f t="shared" si="7"/>
        <v>9</v>
      </c>
      <c r="V230" s="42">
        <f>averageif(AllData!A:A,B230,AllData!R:R)/vlookup(B230,AllData!A:O,15,0)</f>
        <v>91.6025641</v>
      </c>
      <c r="W230" s="6"/>
    </row>
    <row r="231" ht="14.25" customHeight="1">
      <c r="A231" s="6" t="str">
        <f t="shared" si="1"/>
        <v>2012Salty1</v>
      </c>
      <c r="B231" s="6">
        <v>2012.0</v>
      </c>
      <c r="C231" s="6" t="s">
        <v>76</v>
      </c>
      <c r="D231" s="6" t="s">
        <v>129</v>
      </c>
      <c r="E231" s="34" t="s">
        <v>359</v>
      </c>
      <c r="F231" s="6" t="s">
        <v>1092</v>
      </c>
      <c r="G231" s="6" t="s">
        <v>114</v>
      </c>
      <c r="H231" s="6" t="s">
        <v>1093</v>
      </c>
      <c r="I231" s="35" t="s">
        <v>80</v>
      </c>
      <c r="J231" s="36">
        <v>81.1</v>
      </c>
      <c r="K231" s="36">
        <v>114.0</v>
      </c>
      <c r="L231" s="36">
        <f t="shared" si="2"/>
        <v>0</v>
      </c>
      <c r="M231" s="36" t="str">
        <f t="shared" si="3"/>
        <v>Regular Season</v>
      </c>
      <c r="N231" s="36" t="str">
        <f>IFERROR(VLOOKUP(I231,Mapped_Owner,2,0),"")</f>
        <v>Fellows</v>
      </c>
      <c r="O231" s="6">
        <f>VLOOKUP(D231,'Mapped Opponent'!$G$4:$H$22,2,0)</f>
        <v>1</v>
      </c>
      <c r="P231" s="6"/>
      <c r="Q231" s="6" t="str">
        <f t="shared" si="4"/>
        <v>Week 1</v>
      </c>
      <c r="R231" s="6" t="str">
        <f t="shared" si="5"/>
        <v>2012Week 1</v>
      </c>
      <c r="S231" s="6">
        <f>IFERROR(__xludf.DUMMYFUNCTION("rank(J231,FILTER(J:J,R:R=R231))"),10.0)</f>
        <v>10</v>
      </c>
      <c r="T231" s="6">
        <f t="shared" si="6"/>
        <v>2</v>
      </c>
      <c r="U231" s="6">
        <f t="shared" si="7"/>
        <v>10</v>
      </c>
      <c r="V231" s="42">
        <f>averageif(AllData!A:A,B231,AllData!R:R)/vlookup(B231,AllData!A:O,15,0)</f>
        <v>91.6025641</v>
      </c>
      <c r="W231" s="6"/>
    </row>
    <row r="232" ht="14.25" customHeight="1">
      <c r="A232" s="6" t="str">
        <f t="shared" si="1"/>
        <v>2012Fellows1</v>
      </c>
      <c r="B232" s="6">
        <v>2012.0</v>
      </c>
      <c r="C232" s="6" t="s">
        <v>79</v>
      </c>
      <c r="D232" s="6" t="s">
        <v>129</v>
      </c>
      <c r="E232" s="34">
        <v>36526.0</v>
      </c>
      <c r="F232" s="6" t="s">
        <v>1096</v>
      </c>
      <c r="G232" s="6" t="s">
        <v>125</v>
      </c>
      <c r="H232" s="6" t="s">
        <v>1097</v>
      </c>
      <c r="I232" s="35" t="s">
        <v>77</v>
      </c>
      <c r="J232" s="36">
        <v>114.0</v>
      </c>
      <c r="K232" s="36">
        <v>81.1</v>
      </c>
      <c r="L232" s="36">
        <f t="shared" si="2"/>
        <v>1</v>
      </c>
      <c r="M232" s="36" t="str">
        <f t="shared" si="3"/>
        <v>Regular Season</v>
      </c>
      <c r="N232" s="36" t="str">
        <f>IFERROR(VLOOKUP(I232,Mapped_Owner,2,0),"")</f>
        <v>Salty</v>
      </c>
      <c r="O232" s="6">
        <f>VLOOKUP(D232,'Mapped Opponent'!$G$4:$H$22,2,0)</f>
        <v>1</v>
      </c>
      <c r="P232" s="6"/>
      <c r="Q232" s="6" t="str">
        <f t="shared" si="4"/>
        <v>Week 1</v>
      </c>
      <c r="R232" s="6" t="str">
        <f t="shared" si="5"/>
        <v>2012Week 1</v>
      </c>
      <c r="S232" s="6">
        <f>IFERROR(__xludf.DUMMYFUNCTION("rank(J232,FILTER(J:J,R:R=R232))"),2.0)</f>
        <v>2</v>
      </c>
      <c r="T232" s="6">
        <f t="shared" si="6"/>
        <v>10</v>
      </c>
      <c r="U232" s="6">
        <f t="shared" si="7"/>
        <v>2</v>
      </c>
      <c r="V232" s="42">
        <f>averageif(AllData!A:A,B232,AllData!R:R)/vlookup(B232,AllData!A:O,15,0)</f>
        <v>91.6025641</v>
      </c>
      <c r="W232" s="6"/>
    </row>
    <row r="233" ht="14.25" customHeight="1">
      <c r="A233" s="6" t="str">
        <f t="shared" si="1"/>
        <v>2012Shep1</v>
      </c>
      <c r="B233" s="6">
        <v>2012.0</v>
      </c>
      <c r="C233" s="6" t="s">
        <v>89</v>
      </c>
      <c r="D233" s="6" t="s">
        <v>129</v>
      </c>
      <c r="E233" s="34">
        <v>36526.0</v>
      </c>
      <c r="F233" s="6" t="s">
        <v>1098</v>
      </c>
      <c r="G233" s="6" t="s">
        <v>114</v>
      </c>
      <c r="H233" s="6" t="s">
        <v>1099</v>
      </c>
      <c r="I233" s="35" t="s">
        <v>158</v>
      </c>
      <c r="J233" s="36">
        <v>110.8</v>
      </c>
      <c r="K233" s="36">
        <v>98.0</v>
      </c>
      <c r="L233" s="36">
        <f t="shared" si="2"/>
        <v>1</v>
      </c>
      <c r="M233" s="36" t="str">
        <f t="shared" si="3"/>
        <v>Regular Season</v>
      </c>
      <c r="N233" s="36" t="str">
        <f>IFERROR(VLOOKUP(I233,Mapped_Owner,2,0),"")</f>
        <v>Guckien</v>
      </c>
      <c r="O233" s="6">
        <f>VLOOKUP(D233,'Mapped Opponent'!$G$4:$H$22,2,0)</f>
        <v>1</v>
      </c>
      <c r="P233" s="6"/>
      <c r="Q233" s="6" t="str">
        <f t="shared" si="4"/>
        <v>Week 1</v>
      </c>
      <c r="R233" s="6" t="str">
        <f t="shared" si="5"/>
        <v>2012Week 1</v>
      </c>
      <c r="S233" s="6">
        <f>IFERROR(__xludf.DUMMYFUNCTION("rank(J233,FILTER(J:J,R:R=R233))"),4.0)</f>
        <v>4</v>
      </c>
      <c r="T233" s="6">
        <f t="shared" si="6"/>
        <v>8</v>
      </c>
      <c r="U233" s="6">
        <f t="shared" si="7"/>
        <v>4</v>
      </c>
      <c r="V233" s="42">
        <f>averageif(AllData!A:A,B233,AllData!R:R)/vlookup(B233,AllData!A:O,15,0)</f>
        <v>91.6025641</v>
      </c>
      <c r="W233" s="6"/>
    </row>
    <row r="234" ht="14.25" customHeight="1">
      <c r="A234" s="6" t="str">
        <f t="shared" si="1"/>
        <v>2012Guckien1</v>
      </c>
      <c r="B234" s="6">
        <v>2012.0</v>
      </c>
      <c r="C234" s="6" t="s">
        <v>159</v>
      </c>
      <c r="D234" s="6" t="s">
        <v>129</v>
      </c>
      <c r="E234" s="34" t="s">
        <v>359</v>
      </c>
      <c r="F234" s="6" t="s">
        <v>1103</v>
      </c>
      <c r="G234" s="6" t="s">
        <v>125</v>
      </c>
      <c r="H234" s="6" t="s">
        <v>1104</v>
      </c>
      <c r="I234" s="35" t="s">
        <v>91</v>
      </c>
      <c r="J234" s="36">
        <v>98.0</v>
      </c>
      <c r="K234" s="36">
        <v>110.8</v>
      </c>
      <c r="L234" s="36">
        <f t="shared" si="2"/>
        <v>0</v>
      </c>
      <c r="M234" s="36" t="str">
        <f t="shared" si="3"/>
        <v>Regular Season</v>
      </c>
      <c r="N234" s="36" t="str">
        <f>IFERROR(VLOOKUP(I234,Mapped_Owner,2,0),"")</f>
        <v>Shep</v>
      </c>
      <c r="O234" s="6">
        <f>VLOOKUP(D234,'Mapped Opponent'!$G$4:$H$22,2,0)</f>
        <v>1</v>
      </c>
      <c r="P234" s="6"/>
      <c r="Q234" s="6" t="str">
        <f t="shared" si="4"/>
        <v>Week 1</v>
      </c>
      <c r="R234" s="6" t="str">
        <f t="shared" si="5"/>
        <v>2012Week 1</v>
      </c>
      <c r="S234" s="6">
        <f>IFERROR(__xludf.DUMMYFUNCTION("rank(J234,FILTER(J:J,R:R=R234))"),6.0)</f>
        <v>6</v>
      </c>
      <c r="T234" s="6">
        <f t="shared" si="6"/>
        <v>6</v>
      </c>
      <c r="U234" s="6">
        <f t="shared" si="7"/>
        <v>6</v>
      </c>
      <c r="V234" s="42">
        <f>averageif(AllData!A:A,B234,AllData!R:R)/vlookup(B234,AllData!A:O,15,0)</f>
        <v>91.6025641</v>
      </c>
      <c r="W234" s="6"/>
    </row>
    <row r="235" ht="14.25" customHeight="1">
      <c r="A235" s="6" t="str">
        <f t="shared" si="1"/>
        <v>2012Rooney/Jackson1</v>
      </c>
      <c r="B235" s="6">
        <v>2012.0</v>
      </c>
      <c r="C235" s="6" t="s">
        <v>57</v>
      </c>
      <c r="D235" s="6" t="s">
        <v>129</v>
      </c>
      <c r="E235" s="34">
        <v>36526.0</v>
      </c>
      <c r="F235" s="6" t="s">
        <v>1105</v>
      </c>
      <c r="G235" s="6" t="s">
        <v>125</v>
      </c>
      <c r="H235" s="6" t="s">
        <v>1106</v>
      </c>
      <c r="I235" s="35" t="s">
        <v>64</v>
      </c>
      <c r="J235" s="36">
        <v>87.1</v>
      </c>
      <c r="K235" s="36">
        <v>86.1</v>
      </c>
      <c r="L235" s="36">
        <f t="shared" si="2"/>
        <v>1</v>
      </c>
      <c r="M235" s="36" t="str">
        <f t="shared" si="3"/>
        <v>Regular Season</v>
      </c>
      <c r="N235" s="36" t="str">
        <f>IFERROR(VLOOKUP(I235,Mapped_Owner,2,0),"")</f>
        <v>Hudspeath</v>
      </c>
      <c r="O235" s="6">
        <f>VLOOKUP(D235,'Mapped Opponent'!$G$4:$H$22,2,0)</f>
        <v>1</v>
      </c>
      <c r="P235" s="6"/>
      <c r="Q235" s="6" t="str">
        <f t="shared" si="4"/>
        <v>Week 1</v>
      </c>
      <c r="R235" s="6" t="str">
        <f t="shared" si="5"/>
        <v>2012Week 1</v>
      </c>
      <c r="S235" s="6">
        <f>IFERROR(__xludf.DUMMYFUNCTION("rank(J235,FILTER(J:J,R:R=R235))"),8.0)</f>
        <v>8</v>
      </c>
      <c r="T235" s="6">
        <f t="shared" si="6"/>
        <v>4</v>
      </c>
      <c r="U235" s="6">
        <f t="shared" si="7"/>
        <v>8</v>
      </c>
      <c r="V235" s="42">
        <f>averageif(AllData!A:A,B235,AllData!R:R)/vlookup(B235,AllData!A:O,15,0)</f>
        <v>91.6025641</v>
      </c>
      <c r="W235" s="6"/>
    </row>
    <row r="236" ht="14.25" customHeight="1">
      <c r="A236" s="6" t="str">
        <f t="shared" si="1"/>
        <v>2012Buser1</v>
      </c>
      <c r="B236" s="6">
        <v>2012.0</v>
      </c>
      <c r="C236" s="6" t="s">
        <v>47</v>
      </c>
      <c r="D236" s="6" t="s">
        <v>129</v>
      </c>
      <c r="E236" s="34" t="s">
        <v>359</v>
      </c>
      <c r="F236" s="6" t="s">
        <v>1108</v>
      </c>
      <c r="G236" s="6" t="s">
        <v>114</v>
      </c>
      <c r="H236" s="6" t="s">
        <v>1109</v>
      </c>
      <c r="I236" s="35" t="s">
        <v>93</v>
      </c>
      <c r="J236" s="36">
        <v>89.0</v>
      </c>
      <c r="K236" s="36">
        <v>119.6</v>
      </c>
      <c r="L236" s="36">
        <f t="shared" si="2"/>
        <v>0</v>
      </c>
      <c r="M236" s="36" t="str">
        <f t="shared" si="3"/>
        <v>Regular Season</v>
      </c>
      <c r="N236" s="36" t="str">
        <f>IFERROR(VLOOKUP(I236,Mapped_Owner,2,0),"")</f>
        <v>Pierson</v>
      </c>
      <c r="O236" s="6">
        <f>VLOOKUP(D236,'Mapped Opponent'!$G$4:$H$22,2,0)</f>
        <v>1</v>
      </c>
      <c r="P236" s="6"/>
      <c r="Q236" s="6" t="str">
        <f t="shared" si="4"/>
        <v>Week 1</v>
      </c>
      <c r="R236" s="6" t="str">
        <f t="shared" si="5"/>
        <v>2012Week 1</v>
      </c>
      <c r="S236" s="6">
        <f>IFERROR(__xludf.DUMMYFUNCTION("rank(J236,FILTER(J:J,R:R=R236))"),7.0)</f>
        <v>7</v>
      </c>
      <c r="T236" s="6">
        <f t="shared" si="6"/>
        <v>5</v>
      </c>
      <c r="U236" s="6">
        <f t="shared" si="7"/>
        <v>7</v>
      </c>
      <c r="V236" s="42">
        <f>averageif(AllData!A:A,B236,AllData!R:R)/vlookup(B236,AllData!A:O,15,0)</f>
        <v>91.6025641</v>
      </c>
      <c r="W236" s="6"/>
    </row>
    <row r="237" ht="14.25" customHeight="1">
      <c r="A237" s="6" t="str">
        <f t="shared" si="1"/>
        <v>2012Pierson1</v>
      </c>
      <c r="B237" s="6">
        <v>2012.0</v>
      </c>
      <c r="C237" s="6" t="s">
        <v>92</v>
      </c>
      <c r="D237" s="6" t="s">
        <v>129</v>
      </c>
      <c r="E237" s="34">
        <v>36526.0</v>
      </c>
      <c r="F237" s="6" t="s">
        <v>1110</v>
      </c>
      <c r="G237" s="6" t="s">
        <v>125</v>
      </c>
      <c r="H237" s="6" t="s">
        <v>1111</v>
      </c>
      <c r="I237" s="35" t="s">
        <v>50</v>
      </c>
      <c r="J237" s="36">
        <v>119.6</v>
      </c>
      <c r="K237" s="36">
        <v>89.0</v>
      </c>
      <c r="L237" s="36">
        <f t="shared" si="2"/>
        <v>1</v>
      </c>
      <c r="M237" s="36" t="str">
        <f t="shared" si="3"/>
        <v>Regular Season</v>
      </c>
      <c r="N237" s="36" t="str">
        <f>IFERROR(VLOOKUP(I237,Mapped_Owner,2,0),"")</f>
        <v>Buser</v>
      </c>
      <c r="O237" s="6">
        <f>VLOOKUP(D237,'Mapped Opponent'!$G$4:$H$22,2,0)</f>
        <v>1</v>
      </c>
      <c r="P237" s="6"/>
      <c r="Q237" s="6" t="str">
        <f t="shared" si="4"/>
        <v>Week 1</v>
      </c>
      <c r="R237" s="6" t="str">
        <f t="shared" si="5"/>
        <v>2012Week 1</v>
      </c>
      <c r="S237" s="6">
        <f>IFERROR(__xludf.DUMMYFUNCTION("rank(J237,FILTER(J:J,R:R=R237))"),1.0)</f>
        <v>1</v>
      </c>
      <c r="T237" s="6">
        <f t="shared" si="6"/>
        <v>11</v>
      </c>
      <c r="U237" s="6">
        <f t="shared" si="7"/>
        <v>1</v>
      </c>
      <c r="V237" s="42">
        <f>averageif(AllData!A:A,B237,AllData!R:R)/vlookup(B237,AllData!A:O,15,0)</f>
        <v>91.6025641</v>
      </c>
      <c r="W237" s="6"/>
    </row>
    <row r="238" ht="14.25" customHeight="1">
      <c r="A238" s="6" t="str">
        <f t="shared" si="1"/>
        <v>2012Cock1</v>
      </c>
      <c r="B238" s="6">
        <v>2012.0</v>
      </c>
      <c r="C238" s="6" t="s">
        <v>72</v>
      </c>
      <c r="D238" s="6" t="s">
        <v>129</v>
      </c>
      <c r="E238" s="34">
        <v>36526.0</v>
      </c>
      <c r="F238" s="6" t="s">
        <v>1113</v>
      </c>
      <c r="G238" s="6" t="s">
        <v>114</v>
      </c>
      <c r="H238" s="6" t="s">
        <v>1115</v>
      </c>
      <c r="I238" s="35" t="s">
        <v>85</v>
      </c>
      <c r="J238" s="36">
        <v>107.2</v>
      </c>
      <c r="K238" s="36">
        <v>70.9</v>
      </c>
      <c r="L238" s="36">
        <f t="shared" si="2"/>
        <v>1</v>
      </c>
      <c r="M238" s="36" t="str">
        <f t="shared" si="3"/>
        <v>Regular Season</v>
      </c>
      <c r="N238" s="36" t="str">
        <f>IFERROR(VLOOKUP(I238,Mapped_Owner,2,0),"")</f>
        <v>T-How</v>
      </c>
      <c r="O238" s="6">
        <f>VLOOKUP(D238,'Mapped Opponent'!$G$4:$H$22,2,0)</f>
        <v>1</v>
      </c>
      <c r="P238" s="6"/>
      <c r="Q238" s="6" t="str">
        <f t="shared" si="4"/>
        <v>Week 1</v>
      </c>
      <c r="R238" s="6" t="str">
        <f t="shared" si="5"/>
        <v>2012Week 1</v>
      </c>
      <c r="S238" s="6">
        <f>IFERROR(__xludf.DUMMYFUNCTION("rank(J238,FILTER(J:J,R:R=R238))"),5.0)</f>
        <v>5</v>
      </c>
      <c r="T238" s="6">
        <f t="shared" si="6"/>
        <v>7</v>
      </c>
      <c r="U238" s="6">
        <f t="shared" si="7"/>
        <v>5</v>
      </c>
      <c r="V238" s="42">
        <f>averageif(AllData!A:A,B238,AllData!R:R)/vlookup(B238,AllData!A:O,15,0)</f>
        <v>91.6025641</v>
      </c>
      <c r="W238" s="6"/>
    </row>
    <row r="239" ht="14.25" customHeight="1">
      <c r="A239" s="6" t="str">
        <f t="shared" si="1"/>
        <v>2012Tayski1</v>
      </c>
      <c r="B239" s="6">
        <v>2012.0</v>
      </c>
      <c r="C239" s="6" t="s">
        <v>52</v>
      </c>
      <c r="D239" s="6" t="s">
        <v>129</v>
      </c>
      <c r="E239" s="34" t="s">
        <v>359</v>
      </c>
      <c r="F239" s="6" t="s">
        <v>1116</v>
      </c>
      <c r="G239" s="6" t="s">
        <v>114</v>
      </c>
      <c r="H239" s="6" t="s">
        <v>1117</v>
      </c>
      <c r="I239" s="35" t="s">
        <v>132</v>
      </c>
      <c r="J239" s="36">
        <v>71.1</v>
      </c>
      <c r="K239" s="36">
        <v>112.1</v>
      </c>
      <c r="L239" s="36">
        <f t="shared" si="2"/>
        <v>0</v>
      </c>
      <c r="M239" s="36" t="str">
        <f t="shared" si="3"/>
        <v>Regular Season</v>
      </c>
      <c r="N239" s="36" t="str">
        <f>IFERROR(VLOOKUP(I239,Mapped_Owner,2,0),"")</f>
        <v>KnardDawg</v>
      </c>
      <c r="O239" s="6">
        <f>VLOOKUP(D239,'Mapped Opponent'!$G$4:$H$22,2,0)</f>
        <v>1</v>
      </c>
      <c r="P239" s="6"/>
      <c r="Q239" s="6" t="str">
        <f t="shared" si="4"/>
        <v>Week 1</v>
      </c>
      <c r="R239" s="6" t="str">
        <f t="shared" si="5"/>
        <v>2012Week 1</v>
      </c>
      <c r="S239" s="6">
        <f>IFERROR(__xludf.DUMMYFUNCTION("rank(J239,FILTER(J:J,R:R=R239))"),11.0)</f>
        <v>11</v>
      </c>
      <c r="T239" s="6">
        <f t="shared" si="6"/>
        <v>1</v>
      </c>
      <c r="U239" s="6">
        <f t="shared" si="7"/>
        <v>11</v>
      </c>
      <c r="V239" s="42">
        <f>averageif(AllData!A:A,B239,AllData!R:R)/vlookup(B239,AllData!A:O,15,0)</f>
        <v>91.6025641</v>
      </c>
      <c r="W239" s="6"/>
    </row>
    <row r="240" ht="14.25" customHeight="1">
      <c r="A240" s="6" t="str">
        <f t="shared" si="1"/>
        <v>2012KnardDawg1</v>
      </c>
      <c r="B240" s="6">
        <v>2012.0</v>
      </c>
      <c r="C240" s="6" t="s">
        <v>86</v>
      </c>
      <c r="D240" s="6" t="s">
        <v>129</v>
      </c>
      <c r="E240" s="34">
        <v>36526.0</v>
      </c>
      <c r="F240" s="6" t="s">
        <v>1118</v>
      </c>
      <c r="G240" s="6" t="s">
        <v>125</v>
      </c>
      <c r="H240" s="6" t="s">
        <v>1119</v>
      </c>
      <c r="I240" s="35" t="s">
        <v>161</v>
      </c>
      <c r="J240" s="36">
        <v>112.1</v>
      </c>
      <c r="K240" s="36">
        <v>71.1</v>
      </c>
      <c r="L240" s="36">
        <f t="shared" si="2"/>
        <v>1</v>
      </c>
      <c r="M240" s="36" t="str">
        <f t="shared" si="3"/>
        <v>Regular Season</v>
      </c>
      <c r="N240" s="36" t="str">
        <f>IFERROR(VLOOKUP(I240,Mapped_Owner,2,0),"")</f>
        <v>Tayski</v>
      </c>
      <c r="O240" s="6">
        <f>VLOOKUP(D240,'Mapped Opponent'!$G$4:$H$22,2,0)</f>
        <v>1</v>
      </c>
      <c r="P240" s="6"/>
      <c r="Q240" s="6" t="str">
        <f t="shared" si="4"/>
        <v>Week 1</v>
      </c>
      <c r="R240" s="6" t="str">
        <f t="shared" si="5"/>
        <v>2012Week 1</v>
      </c>
      <c r="S240" s="6">
        <f>IFERROR(__xludf.DUMMYFUNCTION("rank(J240,FILTER(J:J,R:R=R240))"),3.0)</f>
        <v>3</v>
      </c>
      <c r="T240" s="6">
        <f t="shared" si="6"/>
        <v>9</v>
      </c>
      <c r="U240" s="6">
        <f t="shared" si="7"/>
        <v>3</v>
      </c>
      <c r="V240" s="42">
        <f>averageif(AllData!A:A,B240,AllData!R:R)/vlookup(B240,AllData!A:O,15,0)</f>
        <v>91.6025641</v>
      </c>
      <c r="W240" s="6"/>
    </row>
    <row r="241" ht="14.25" customHeight="1">
      <c r="A241" s="6" t="str">
        <f t="shared" si="1"/>
        <v>2012T-How1</v>
      </c>
      <c r="B241" s="6">
        <v>2012.0</v>
      </c>
      <c r="C241" s="6" t="s">
        <v>82</v>
      </c>
      <c r="D241" s="6" t="s">
        <v>129</v>
      </c>
      <c r="E241" s="34" t="s">
        <v>359</v>
      </c>
      <c r="F241" s="6" t="s">
        <v>1123</v>
      </c>
      <c r="G241" s="6" t="s">
        <v>125</v>
      </c>
      <c r="H241" s="6" t="s">
        <v>1124</v>
      </c>
      <c r="I241" s="35" t="s">
        <v>99</v>
      </c>
      <c r="J241" s="36">
        <v>70.9</v>
      </c>
      <c r="K241" s="36">
        <v>107.2</v>
      </c>
      <c r="L241" s="36">
        <f t="shared" si="2"/>
        <v>0</v>
      </c>
      <c r="M241" s="36" t="str">
        <f t="shared" si="3"/>
        <v>Regular Season</v>
      </c>
      <c r="N241" s="36" t="str">
        <f>IFERROR(VLOOKUP(I241,Mapped_Owner,2,0),"")</f>
        <v>Cock</v>
      </c>
      <c r="O241" s="6">
        <f>VLOOKUP(D241,'Mapped Opponent'!$G$4:$H$22,2,0)</f>
        <v>1</v>
      </c>
      <c r="P241" s="6"/>
      <c r="Q241" s="6" t="str">
        <f t="shared" si="4"/>
        <v>Week 1</v>
      </c>
      <c r="R241" s="6" t="str">
        <f t="shared" si="5"/>
        <v>2012Week 1</v>
      </c>
      <c r="S241" s="6">
        <f>IFERROR(__xludf.DUMMYFUNCTION("rank(J241,FILTER(J:J,R:R=R241))"),12.0)</f>
        <v>12</v>
      </c>
      <c r="T241" s="6">
        <f t="shared" si="6"/>
        <v>0</v>
      </c>
      <c r="U241" s="6">
        <f t="shared" si="7"/>
        <v>12</v>
      </c>
      <c r="V241" s="42">
        <f>averageif(AllData!A:A,B241,AllData!R:R)/vlookup(B241,AllData!A:O,15,0)</f>
        <v>91.6025641</v>
      </c>
      <c r="W241" s="6"/>
    </row>
    <row r="242" ht="14.25" customHeight="1">
      <c r="A242" s="6" t="str">
        <f t="shared" si="1"/>
        <v>2012Hudspeath10</v>
      </c>
      <c r="B242" s="6">
        <v>2012.0</v>
      </c>
      <c r="C242" s="6" t="s">
        <v>39</v>
      </c>
      <c r="D242" s="6" t="s">
        <v>149</v>
      </c>
      <c r="E242" s="34">
        <v>42100.0</v>
      </c>
      <c r="F242" s="6" t="s">
        <v>1125</v>
      </c>
      <c r="G242" s="6" t="s">
        <v>125</v>
      </c>
      <c r="H242" s="6" t="s">
        <v>1126</v>
      </c>
      <c r="I242" s="35" t="s">
        <v>132</v>
      </c>
      <c r="J242" s="36">
        <v>99.9</v>
      </c>
      <c r="K242" s="36">
        <v>89.9</v>
      </c>
      <c r="L242" s="36">
        <f t="shared" si="2"/>
        <v>1</v>
      </c>
      <c r="M242" s="36" t="str">
        <f t="shared" si="3"/>
        <v>Regular Season</v>
      </c>
      <c r="N242" s="36" t="str">
        <f>IFERROR(VLOOKUP(I242,Mapped_Owner,2,0),"")</f>
        <v>KnardDawg</v>
      </c>
      <c r="O242" s="6">
        <f>VLOOKUP(D242,'Mapped Opponent'!$G$4:$H$22,2,0)</f>
        <v>10</v>
      </c>
      <c r="P242" s="6"/>
      <c r="Q242" s="6" t="str">
        <f t="shared" si="4"/>
        <v>Week 10</v>
      </c>
      <c r="R242" s="6" t="str">
        <f t="shared" si="5"/>
        <v>2012Week 10</v>
      </c>
      <c r="S242" s="6">
        <f>IFERROR(__xludf.DUMMYFUNCTION("rank(J242,FILTER(J:J,R:R=R242))"),4.0)</f>
        <v>4</v>
      </c>
      <c r="T242" s="6">
        <f t="shared" si="6"/>
        <v>8</v>
      </c>
      <c r="U242" s="6">
        <f t="shared" si="7"/>
        <v>4</v>
      </c>
      <c r="V242" s="42">
        <f>averageif(AllData!A:A,B242,AllData!R:R)/vlookup(B242,AllData!A:O,15,0)</f>
        <v>91.6025641</v>
      </c>
      <c r="W242" s="6"/>
    </row>
    <row r="243" ht="14.25" customHeight="1">
      <c r="A243" s="6" t="str">
        <f t="shared" si="1"/>
        <v>2012Salty10</v>
      </c>
      <c r="B243" s="6">
        <v>2012.0</v>
      </c>
      <c r="C243" s="6" t="s">
        <v>76</v>
      </c>
      <c r="D243" s="6" t="s">
        <v>149</v>
      </c>
      <c r="E243" s="34">
        <v>42070.0</v>
      </c>
      <c r="F243" s="6" t="s">
        <v>1127</v>
      </c>
      <c r="G243" s="6" t="s">
        <v>125</v>
      </c>
      <c r="H243" s="6" t="s">
        <v>1128</v>
      </c>
      <c r="I243" s="35" t="s">
        <v>99</v>
      </c>
      <c r="J243" s="36">
        <v>86.8</v>
      </c>
      <c r="K243" s="36">
        <v>110.0</v>
      </c>
      <c r="L243" s="36">
        <f t="shared" si="2"/>
        <v>0</v>
      </c>
      <c r="M243" s="36" t="str">
        <f t="shared" si="3"/>
        <v>Regular Season</v>
      </c>
      <c r="N243" s="36" t="str">
        <f>IFERROR(VLOOKUP(I243,Mapped_Owner,2,0),"")</f>
        <v>Cock</v>
      </c>
      <c r="O243" s="6">
        <f>VLOOKUP(D243,'Mapped Opponent'!$G$4:$H$22,2,0)</f>
        <v>10</v>
      </c>
      <c r="P243" s="6"/>
      <c r="Q243" s="6" t="str">
        <f t="shared" si="4"/>
        <v>Week 10</v>
      </c>
      <c r="R243" s="6" t="str">
        <f t="shared" si="5"/>
        <v>2012Week 10</v>
      </c>
      <c r="S243" s="6">
        <f>IFERROR(__xludf.DUMMYFUNCTION("rank(J243,FILTER(J:J,R:R=R243))"),10.0)</f>
        <v>10</v>
      </c>
      <c r="T243" s="6">
        <f t="shared" si="6"/>
        <v>2</v>
      </c>
      <c r="U243" s="6">
        <f t="shared" si="7"/>
        <v>10</v>
      </c>
      <c r="V243" s="42">
        <f>averageif(AllData!A:A,B243,AllData!R:R)/vlookup(B243,AllData!A:O,15,0)</f>
        <v>91.6025641</v>
      </c>
      <c r="W243" s="6"/>
    </row>
    <row r="244" ht="14.25" customHeight="1">
      <c r="A244" s="6" t="str">
        <f t="shared" si="1"/>
        <v>2012Fellows10</v>
      </c>
      <c r="B244" s="6">
        <v>2012.0</v>
      </c>
      <c r="C244" s="6" t="s">
        <v>79</v>
      </c>
      <c r="D244" s="6" t="s">
        <v>149</v>
      </c>
      <c r="E244" s="34">
        <v>42129.0</v>
      </c>
      <c r="F244" s="6" t="s">
        <v>1131</v>
      </c>
      <c r="G244" s="6" t="s">
        <v>125</v>
      </c>
      <c r="H244" s="6" t="s">
        <v>1132</v>
      </c>
      <c r="I244" s="35" t="s">
        <v>161</v>
      </c>
      <c r="J244" s="36">
        <v>87.4</v>
      </c>
      <c r="K244" s="36">
        <v>117.8</v>
      </c>
      <c r="L244" s="36">
        <f t="shared" si="2"/>
        <v>0</v>
      </c>
      <c r="M244" s="36" t="str">
        <f t="shared" si="3"/>
        <v>Regular Season</v>
      </c>
      <c r="N244" s="36" t="str">
        <f>IFERROR(VLOOKUP(I244,Mapped_Owner,2,0),"")</f>
        <v>Tayski</v>
      </c>
      <c r="O244" s="6">
        <f>VLOOKUP(D244,'Mapped Opponent'!$G$4:$H$22,2,0)</f>
        <v>10</v>
      </c>
      <c r="P244" s="6"/>
      <c r="Q244" s="6" t="str">
        <f t="shared" si="4"/>
        <v>Week 10</v>
      </c>
      <c r="R244" s="6" t="str">
        <f t="shared" si="5"/>
        <v>2012Week 10</v>
      </c>
      <c r="S244" s="6">
        <f>IFERROR(__xludf.DUMMYFUNCTION("rank(J244,FILTER(J:J,R:R=R244))"),9.0)</f>
        <v>9</v>
      </c>
      <c r="T244" s="6">
        <f t="shared" si="6"/>
        <v>3</v>
      </c>
      <c r="U244" s="6">
        <f t="shared" si="7"/>
        <v>9</v>
      </c>
      <c r="V244" s="42">
        <f>averageif(AllData!A:A,B244,AllData!R:R)/vlookup(B244,AllData!A:O,15,0)</f>
        <v>91.6025641</v>
      </c>
      <c r="W244" s="6"/>
    </row>
    <row r="245" ht="14.25" customHeight="1">
      <c r="A245" s="6" t="str">
        <f t="shared" si="1"/>
        <v>2012Shep10</v>
      </c>
      <c r="B245" s="6">
        <v>2012.0</v>
      </c>
      <c r="C245" s="6" t="s">
        <v>89</v>
      </c>
      <c r="D245" s="6" t="s">
        <v>149</v>
      </c>
      <c r="E245" s="34">
        <v>42218.0</v>
      </c>
      <c r="F245" s="6" t="s">
        <v>1133</v>
      </c>
      <c r="G245" s="6" t="s">
        <v>125</v>
      </c>
      <c r="H245" s="6" t="s">
        <v>1134</v>
      </c>
      <c r="I245" s="35" t="s">
        <v>85</v>
      </c>
      <c r="J245" s="36">
        <v>103.2</v>
      </c>
      <c r="K245" s="36">
        <v>88.5</v>
      </c>
      <c r="L245" s="36">
        <f t="shared" si="2"/>
        <v>1</v>
      </c>
      <c r="M245" s="36" t="str">
        <f t="shared" si="3"/>
        <v>Regular Season</v>
      </c>
      <c r="N245" s="36" t="str">
        <f>IFERROR(VLOOKUP(I245,Mapped_Owner,2,0),"")</f>
        <v>T-How</v>
      </c>
      <c r="O245" s="6">
        <f>VLOOKUP(D245,'Mapped Opponent'!$G$4:$H$22,2,0)</f>
        <v>10</v>
      </c>
      <c r="P245" s="6"/>
      <c r="Q245" s="6" t="str">
        <f t="shared" si="4"/>
        <v>Week 10</v>
      </c>
      <c r="R245" s="6" t="str">
        <f t="shared" si="5"/>
        <v>2012Week 10</v>
      </c>
      <c r="S245" s="6">
        <f>IFERROR(__xludf.DUMMYFUNCTION("rank(J245,FILTER(J:J,R:R=R245))"),3.0)</f>
        <v>3</v>
      </c>
      <c r="T245" s="6">
        <f t="shared" si="6"/>
        <v>9</v>
      </c>
      <c r="U245" s="6">
        <f t="shared" si="7"/>
        <v>3</v>
      </c>
      <c r="V245" s="42">
        <f>averageif(AllData!A:A,B245,AllData!R:R)/vlookup(B245,AllData!A:O,15,0)</f>
        <v>91.6025641</v>
      </c>
      <c r="W245" s="6"/>
    </row>
    <row r="246" ht="14.25" customHeight="1">
      <c r="A246" s="6" t="str">
        <f t="shared" si="1"/>
        <v>2012Guckien10</v>
      </c>
      <c r="B246" s="6">
        <v>2012.0</v>
      </c>
      <c r="C246" s="6" t="s">
        <v>159</v>
      </c>
      <c r="D246" s="6" t="s">
        <v>149</v>
      </c>
      <c r="E246" s="34">
        <v>42100.0</v>
      </c>
      <c r="F246" s="6" t="s">
        <v>1135</v>
      </c>
      <c r="G246" s="6" t="s">
        <v>125</v>
      </c>
      <c r="H246" s="6" t="s">
        <v>1136</v>
      </c>
      <c r="I246" s="35" t="s">
        <v>50</v>
      </c>
      <c r="J246" s="36">
        <v>89.1</v>
      </c>
      <c r="K246" s="36">
        <v>80.6</v>
      </c>
      <c r="L246" s="36">
        <f t="shared" si="2"/>
        <v>1</v>
      </c>
      <c r="M246" s="36" t="str">
        <f t="shared" si="3"/>
        <v>Regular Season</v>
      </c>
      <c r="N246" s="36" t="str">
        <f>IFERROR(VLOOKUP(I246,Mapped_Owner,2,0),"")</f>
        <v>Buser</v>
      </c>
      <c r="O246" s="6">
        <f>VLOOKUP(D246,'Mapped Opponent'!$G$4:$H$22,2,0)</f>
        <v>10</v>
      </c>
      <c r="P246" s="6"/>
      <c r="Q246" s="6" t="str">
        <f t="shared" si="4"/>
        <v>Week 10</v>
      </c>
      <c r="R246" s="6" t="str">
        <f t="shared" si="5"/>
        <v>2012Week 10</v>
      </c>
      <c r="S246" s="6">
        <f>IFERROR(__xludf.DUMMYFUNCTION("rank(J246,FILTER(J:J,R:R=R246))"),7.0)</f>
        <v>7</v>
      </c>
      <c r="T246" s="6">
        <f t="shared" si="6"/>
        <v>5</v>
      </c>
      <c r="U246" s="6">
        <f t="shared" si="7"/>
        <v>7</v>
      </c>
      <c r="V246" s="42">
        <f>averageif(AllData!A:A,B246,AllData!R:R)/vlookup(B246,AllData!A:O,15,0)</f>
        <v>91.6025641</v>
      </c>
      <c r="W246" s="6"/>
    </row>
    <row r="247" ht="14.25" customHeight="1">
      <c r="A247" s="6" t="str">
        <f t="shared" si="1"/>
        <v>2012Rooney/Jackson10</v>
      </c>
      <c r="B247" s="6">
        <v>2012.0</v>
      </c>
      <c r="C247" s="6" t="s">
        <v>57</v>
      </c>
      <c r="D247" s="6" t="s">
        <v>149</v>
      </c>
      <c r="E247" s="34">
        <v>42159.0</v>
      </c>
      <c r="F247" s="6" t="s">
        <v>1138</v>
      </c>
      <c r="G247" s="6" t="s">
        <v>125</v>
      </c>
      <c r="H247" s="6" t="s">
        <v>1139</v>
      </c>
      <c r="I247" s="35" t="s">
        <v>93</v>
      </c>
      <c r="J247" s="36">
        <v>73.4</v>
      </c>
      <c r="K247" s="36">
        <v>89.9</v>
      </c>
      <c r="L247" s="36">
        <f t="shared" si="2"/>
        <v>0</v>
      </c>
      <c r="M247" s="36" t="str">
        <f t="shared" si="3"/>
        <v>Regular Season</v>
      </c>
      <c r="N247" s="36" t="str">
        <f>IFERROR(VLOOKUP(I247,Mapped_Owner,2,0),"")</f>
        <v>Pierson</v>
      </c>
      <c r="O247" s="6">
        <f>VLOOKUP(D247,'Mapped Opponent'!$G$4:$H$22,2,0)</f>
        <v>10</v>
      </c>
      <c r="P247" s="6"/>
      <c r="Q247" s="6" t="str">
        <f t="shared" si="4"/>
        <v>Week 10</v>
      </c>
      <c r="R247" s="6" t="str">
        <f t="shared" si="5"/>
        <v>2012Week 10</v>
      </c>
      <c r="S247" s="6">
        <f>IFERROR(__xludf.DUMMYFUNCTION("rank(J247,FILTER(J:J,R:R=R247))"),12.0)</f>
        <v>12</v>
      </c>
      <c r="T247" s="6">
        <f t="shared" si="6"/>
        <v>0</v>
      </c>
      <c r="U247" s="6">
        <f t="shared" si="7"/>
        <v>12</v>
      </c>
      <c r="V247" s="42">
        <f>averageif(AllData!A:A,B247,AllData!R:R)/vlookup(B247,AllData!A:O,15,0)</f>
        <v>91.6025641</v>
      </c>
      <c r="W247" s="6"/>
    </row>
    <row r="248" ht="14.25" customHeight="1">
      <c r="A248" s="6" t="str">
        <f t="shared" si="1"/>
        <v>2012Buser10</v>
      </c>
      <c r="B248" s="6">
        <v>2012.0</v>
      </c>
      <c r="C248" s="6" t="s">
        <v>47</v>
      </c>
      <c r="D248" s="6" t="s">
        <v>149</v>
      </c>
      <c r="E248" s="34">
        <v>42129.0</v>
      </c>
      <c r="F248" s="6" t="s">
        <v>1140</v>
      </c>
      <c r="G248" s="6" t="s">
        <v>114</v>
      </c>
      <c r="H248" s="6" t="s">
        <v>1141</v>
      </c>
      <c r="I248" s="35" t="s">
        <v>158</v>
      </c>
      <c r="J248" s="36">
        <v>80.6</v>
      </c>
      <c r="K248" s="36">
        <v>89.1</v>
      </c>
      <c r="L248" s="36">
        <f t="shared" si="2"/>
        <v>0</v>
      </c>
      <c r="M248" s="36" t="str">
        <f t="shared" si="3"/>
        <v>Regular Season</v>
      </c>
      <c r="N248" s="36" t="str">
        <f>IFERROR(VLOOKUP(I248,Mapped_Owner,2,0),"")</f>
        <v>Guckien</v>
      </c>
      <c r="O248" s="6">
        <f>VLOOKUP(D248,'Mapped Opponent'!$G$4:$H$22,2,0)</f>
        <v>10</v>
      </c>
      <c r="P248" s="6"/>
      <c r="Q248" s="6" t="str">
        <f t="shared" si="4"/>
        <v>Week 10</v>
      </c>
      <c r="R248" s="6" t="str">
        <f t="shared" si="5"/>
        <v>2012Week 10</v>
      </c>
      <c r="S248" s="6">
        <f>IFERROR(__xludf.DUMMYFUNCTION("rank(J248,FILTER(J:J,R:R=R248))"),11.0)</f>
        <v>11</v>
      </c>
      <c r="T248" s="6">
        <f t="shared" si="6"/>
        <v>1</v>
      </c>
      <c r="U248" s="6">
        <f t="shared" si="7"/>
        <v>11</v>
      </c>
      <c r="V248" s="42">
        <f>averageif(AllData!A:A,B248,AllData!R:R)/vlookup(B248,AllData!A:O,15,0)</f>
        <v>91.6025641</v>
      </c>
      <c r="W248" s="6"/>
    </row>
    <row r="249" ht="14.25" customHeight="1">
      <c r="A249" s="6" t="str">
        <f t="shared" si="1"/>
        <v>2012Pierson10</v>
      </c>
      <c r="B249" s="6">
        <v>2012.0</v>
      </c>
      <c r="C249" s="6" t="s">
        <v>92</v>
      </c>
      <c r="D249" s="6" t="s">
        <v>149</v>
      </c>
      <c r="E249" s="34">
        <v>42159.0</v>
      </c>
      <c r="F249" s="6" t="s">
        <v>1144</v>
      </c>
      <c r="G249" s="6" t="s">
        <v>114</v>
      </c>
      <c r="H249" s="6" t="s">
        <v>1145</v>
      </c>
      <c r="I249" s="35" t="s">
        <v>58</v>
      </c>
      <c r="J249" s="36">
        <v>89.9</v>
      </c>
      <c r="K249" s="36">
        <v>73.4</v>
      </c>
      <c r="L249" s="36">
        <f t="shared" si="2"/>
        <v>1</v>
      </c>
      <c r="M249" s="36" t="str">
        <f t="shared" si="3"/>
        <v>Regular Season</v>
      </c>
      <c r="N249" s="36" t="str">
        <f>IFERROR(VLOOKUP(I249,Mapped_Owner,2,0),"")</f>
        <v>Rooney/Jackson</v>
      </c>
      <c r="O249" s="6">
        <f>VLOOKUP(D249,'Mapped Opponent'!$G$4:$H$22,2,0)</f>
        <v>10</v>
      </c>
      <c r="P249" s="6"/>
      <c r="Q249" s="6" t="str">
        <f t="shared" si="4"/>
        <v>Week 10</v>
      </c>
      <c r="R249" s="6" t="str">
        <f t="shared" si="5"/>
        <v>2012Week 10</v>
      </c>
      <c r="S249" s="6">
        <f>IFERROR(__xludf.DUMMYFUNCTION("rank(J249,FILTER(J:J,R:R=R249))"),5.0)</f>
        <v>5</v>
      </c>
      <c r="T249" s="6">
        <f t="shared" si="6"/>
        <v>7</v>
      </c>
      <c r="U249" s="6">
        <f t="shared" si="7"/>
        <v>5</v>
      </c>
      <c r="V249" s="42">
        <f>averageif(AllData!A:A,B249,AllData!R:R)/vlookup(B249,AllData!A:O,15,0)</f>
        <v>91.6025641</v>
      </c>
      <c r="W249" s="6"/>
    </row>
    <row r="250" ht="14.25" customHeight="1">
      <c r="A250" s="6" t="str">
        <f t="shared" si="1"/>
        <v>2012Cock10</v>
      </c>
      <c r="B250" s="6">
        <v>2012.0</v>
      </c>
      <c r="C250" s="6" t="s">
        <v>72</v>
      </c>
      <c r="D250" s="6" t="s">
        <v>149</v>
      </c>
      <c r="E250" s="34">
        <v>42100.0</v>
      </c>
      <c r="F250" s="6" t="s">
        <v>1147</v>
      </c>
      <c r="G250" s="6" t="s">
        <v>114</v>
      </c>
      <c r="H250" s="6" t="s">
        <v>1148</v>
      </c>
      <c r="I250" s="35" t="s">
        <v>77</v>
      </c>
      <c r="J250" s="36">
        <v>110.0</v>
      </c>
      <c r="K250" s="36">
        <v>86.8</v>
      </c>
      <c r="L250" s="36">
        <f t="shared" si="2"/>
        <v>1</v>
      </c>
      <c r="M250" s="36" t="str">
        <f t="shared" si="3"/>
        <v>Regular Season</v>
      </c>
      <c r="N250" s="36" t="str">
        <f>IFERROR(VLOOKUP(I250,Mapped_Owner,2,0),"")</f>
        <v>Salty</v>
      </c>
      <c r="O250" s="6">
        <f>VLOOKUP(D250,'Mapped Opponent'!$G$4:$H$22,2,0)</f>
        <v>10</v>
      </c>
      <c r="P250" s="6"/>
      <c r="Q250" s="6" t="str">
        <f t="shared" si="4"/>
        <v>Week 10</v>
      </c>
      <c r="R250" s="6" t="str">
        <f t="shared" si="5"/>
        <v>2012Week 10</v>
      </c>
      <c r="S250" s="6">
        <f>IFERROR(__xludf.DUMMYFUNCTION("rank(J250,FILTER(J:J,R:R=R250))"),2.0)</f>
        <v>2</v>
      </c>
      <c r="T250" s="6">
        <f t="shared" si="6"/>
        <v>10</v>
      </c>
      <c r="U250" s="6">
        <f t="shared" si="7"/>
        <v>2</v>
      </c>
      <c r="V250" s="42">
        <f>averageif(AllData!A:A,B250,AllData!R:R)/vlookup(B250,AllData!A:O,15,0)</f>
        <v>91.6025641</v>
      </c>
      <c r="W250" s="6"/>
    </row>
    <row r="251" ht="14.25" customHeight="1">
      <c r="A251" s="6" t="str">
        <f t="shared" si="1"/>
        <v>2012Tayski10</v>
      </c>
      <c r="B251" s="6">
        <v>2012.0</v>
      </c>
      <c r="C251" s="6" t="s">
        <v>52</v>
      </c>
      <c r="D251" s="6" t="s">
        <v>149</v>
      </c>
      <c r="E251" s="34">
        <v>42100.0</v>
      </c>
      <c r="F251" s="6" t="s">
        <v>1150</v>
      </c>
      <c r="G251" s="6" t="s">
        <v>114</v>
      </c>
      <c r="H251" s="6" t="s">
        <v>1151</v>
      </c>
      <c r="I251" s="35" t="s">
        <v>80</v>
      </c>
      <c r="J251" s="36">
        <v>117.8</v>
      </c>
      <c r="K251" s="36">
        <v>87.4</v>
      </c>
      <c r="L251" s="36">
        <f t="shared" si="2"/>
        <v>1</v>
      </c>
      <c r="M251" s="36" t="str">
        <f t="shared" si="3"/>
        <v>Regular Season</v>
      </c>
      <c r="N251" s="36" t="str">
        <f>IFERROR(VLOOKUP(I251,Mapped_Owner,2,0),"")</f>
        <v>Fellows</v>
      </c>
      <c r="O251" s="6">
        <f>VLOOKUP(D251,'Mapped Opponent'!$G$4:$H$22,2,0)</f>
        <v>10</v>
      </c>
      <c r="P251" s="6"/>
      <c r="Q251" s="6" t="str">
        <f t="shared" si="4"/>
        <v>Week 10</v>
      </c>
      <c r="R251" s="6" t="str">
        <f t="shared" si="5"/>
        <v>2012Week 10</v>
      </c>
      <c r="S251" s="6">
        <f>IFERROR(__xludf.DUMMYFUNCTION("rank(J251,FILTER(J:J,R:R=R251))"),1.0)</f>
        <v>1</v>
      </c>
      <c r="T251" s="6">
        <f t="shared" si="6"/>
        <v>11</v>
      </c>
      <c r="U251" s="6">
        <f t="shared" si="7"/>
        <v>1</v>
      </c>
      <c r="V251" s="42">
        <f>averageif(AllData!A:A,B251,AllData!R:R)/vlookup(B251,AllData!A:O,15,0)</f>
        <v>91.6025641</v>
      </c>
      <c r="W251" s="6"/>
    </row>
    <row r="252" ht="14.25" customHeight="1">
      <c r="A252" s="6" t="str">
        <f t="shared" si="1"/>
        <v>2012KnardDawg10</v>
      </c>
      <c r="B252" s="6">
        <v>2012.0</v>
      </c>
      <c r="C252" s="6" t="s">
        <v>86</v>
      </c>
      <c r="D252" s="6" t="s">
        <v>149</v>
      </c>
      <c r="E252" s="34">
        <v>42188.0</v>
      </c>
      <c r="F252" s="6" t="s">
        <v>1155</v>
      </c>
      <c r="G252" s="6" t="s">
        <v>114</v>
      </c>
      <c r="H252" s="6" t="s">
        <v>1156</v>
      </c>
      <c r="I252" s="35" t="s">
        <v>64</v>
      </c>
      <c r="J252" s="36">
        <v>89.9</v>
      </c>
      <c r="K252" s="36">
        <v>99.9</v>
      </c>
      <c r="L252" s="36">
        <f t="shared" si="2"/>
        <v>0</v>
      </c>
      <c r="M252" s="36" t="str">
        <f t="shared" si="3"/>
        <v>Regular Season</v>
      </c>
      <c r="N252" s="36" t="str">
        <f>IFERROR(VLOOKUP(I252,Mapped_Owner,2,0),"")</f>
        <v>Hudspeath</v>
      </c>
      <c r="O252" s="6">
        <f>VLOOKUP(D252,'Mapped Opponent'!$G$4:$H$22,2,0)</f>
        <v>10</v>
      </c>
      <c r="P252" s="6"/>
      <c r="Q252" s="6" t="str">
        <f t="shared" si="4"/>
        <v>Week 10</v>
      </c>
      <c r="R252" s="6" t="str">
        <f t="shared" si="5"/>
        <v>2012Week 10</v>
      </c>
      <c r="S252" s="6">
        <f>IFERROR(__xludf.DUMMYFUNCTION("rank(J252,FILTER(J:J,R:R=R252))"),5.0)</f>
        <v>5</v>
      </c>
      <c r="T252" s="6">
        <f t="shared" si="6"/>
        <v>7</v>
      </c>
      <c r="U252" s="6">
        <f t="shared" si="7"/>
        <v>5</v>
      </c>
      <c r="V252" s="42">
        <f>averageif(AllData!A:A,B252,AllData!R:R)/vlookup(B252,AllData!A:O,15,0)</f>
        <v>91.6025641</v>
      </c>
      <c r="W252" s="6"/>
    </row>
    <row r="253" ht="14.25" customHeight="1">
      <c r="A253" s="6" t="str">
        <f t="shared" si="1"/>
        <v>2012T-How10</v>
      </c>
      <c r="B253" s="6">
        <v>2012.0</v>
      </c>
      <c r="C253" s="6" t="s">
        <v>82</v>
      </c>
      <c r="D253" s="6" t="s">
        <v>149</v>
      </c>
      <c r="E253" s="34">
        <v>42100.0</v>
      </c>
      <c r="F253" s="6" t="s">
        <v>1157</v>
      </c>
      <c r="G253" s="6" t="s">
        <v>114</v>
      </c>
      <c r="H253" s="6" t="s">
        <v>1158</v>
      </c>
      <c r="I253" s="35" t="s">
        <v>91</v>
      </c>
      <c r="J253" s="36">
        <v>88.5</v>
      </c>
      <c r="K253" s="36">
        <v>103.2</v>
      </c>
      <c r="L253" s="36">
        <f t="shared" si="2"/>
        <v>0</v>
      </c>
      <c r="M253" s="36" t="str">
        <f t="shared" si="3"/>
        <v>Regular Season</v>
      </c>
      <c r="N253" s="36" t="str">
        <f>IFERROR(VLOOKUP(I253,Mapped_Owner,2,0),"")</f>
        <v>Shep</v>
      </c>
      <c r="O253" s="6">
        <f>VLOOKUP(D253,'Mapped Opponent'!$G$4:$H$22,2,0)</f>
        <v>10</v>
      </c>
      <c r="P253" s="6"/>
      <c r="Q253" s="6" t="str">
        <f t="shared" si="4"/>
        <v>Week 10</v>
      </c>
      <c r="R253" s="6" t="str">
        <f t="shared" si="5"/>
        <v>2012Week 10</v>
      </c>
      <c r="S253" s="6">
        <f>IFERROR(__xludf.DUMMYFUNCTION("rank(J253,FILTER(J:J,R:R=R253))"),8.0)</f>
        <v>8</v>
      </c>
      <c r="T253" s="6">
        <f t="shared" si="6"/>
        <v>4</v>
      </c>
      <c r="U253" s="6">
        <f t="shared" si="7"/>
        <v>8</v>
      </c>
      <c r="V253" s="42">
        <f>averageif(AllData!A:A,B253,AllData!R:R)/vlookup(B253,AllData!A:O,15,0)</f>
        <v>91.6025641</v>
      </c>
      <c r="W253" s="6"/>
    </row>
    <row r="254" ht="14.25" customHeight="1">
      <c r="A254" s="6" t="str">
        <f t="shared" si="1"/>
        <v>2012Hudspeath11</v>
      </c>
      <c r="B254" s="6">
        <v>2012.0</v>
      </c>
      <c r="C254" s="6" t="s">
        <v>39</v>
      </c>
      <c r="D254" s="6" t="s">
        <v>150</v>
      </c>
      <c r="E254" s="34">
        <v>42101.0</v>
      </c>
      <c r="F254" s="6" t="s">
        <v>1160</v>
      </c>
      <c r="G254" s="6" t="s">
        <v>114</v>
      </c>
      <c r="H254" s="6" t="s">
        <v>1161</v>
      </c>
      <c r="I254" s="35" t="s">
        <v>161</v>
      </c>
      <c r="J254" s="36">
        <v>57.2</v>
      </c>
      <c r="K254" s="36">
        <v>85.7</v>
      </c>
      <c r="L254" s="36">
        <f t="shared" si="2"/>
        <v>0</v>
      </c>
      <c r="M254" s="36" t="str">
        <f t="shared" si="3"/>
        <v>Regular Season</v>
      </c>
      <c r="N254" s="36" t="str">
        <f>IFERROR(VLOOKUP(I254,Mapped_Owner,2,0),"")</f>
        <v>Tayski</v>
      </c>
      <c r="O254" s="6">
        <f>VLOOKUP(D254,'Mapped Opponent'!$G$4:$H$22,2,0)</f>
        <v>11</v>
      </c>
      <c r="P254" s="6"/>
      <c r="Q254" s="6" t="str">
        <f t="shared" si="4"/>
        <v>Week 11</v>
      </c>
      <c r="R254" s="6" t="str">
        <f t="shared" si="5"/>
        <v>2012Week 11</v>
      </c>
      <c r="S254" s="6">
        <f>IFERROR(__xludf.DUMMYFUNCTION("rank(J254,FILTER(J:J,R:R=R254))"),12.0)</f>
        <v>12</v>
      </c>
      <c r="T254" s="6">
        <f t="shared" si="6"/>
        <v>0</v>
      </c>
      <c r="U254" s="6">
        <f t="shared" si="7"/>
        <v>12</v>
      </c>
      <c r="V254" s="42">
        <f>averageif(AllData!A:A,B254,AllData!R:R)/vlookup(B254,AllData!A:O,15,0)</f>
        <v>91.6025641</v>
      </c>
      <c r="W254" s="6"/>
    </row>
    <row r="255" ht="14.25" customHeight="1">
      <c r="A255" s="6" t="str">
        <f t="shared" si="1"/>
        <v>2012Salty11</v>
      </c>
      <c r="B255" s="6">
        <v>2012.0</v>
      </c>
      <c r="C255" s="6" t="s">
        <v>76</v>
      </c>
      <c r="D255" s="6" t="s">
        <v>150</v>
      </c>
      <c r="E255" s="34">
        <v>42071.0</v>
      </c>
      <c r="F255" s="6" t="s">
        <v>1162</v>
      </c>
      <c r="G255" s="6" t="s">
        <v>114</v>
      </c>
      <c r="H255" s="6" t="s">
        <v>1163</v>
      </c>
      <c r="I255" s="35" t="s">
        <v>93</v>
      </c>
      <c r="J255" s="36">
        <v>71.5</v>
      </c>
      <c r="K255" s="36">
        <v>108.8</v>
      </c>
      <c r="L255" s="36">
        <f t="shared" si="2"/>
        <v>0</v>
      </c>
      <c r="M255" s="36" t="str">
        <f t="shared" si="3"/>
        <v>Regular Season</v>
      </c>
      <c r="N255" s="36" t="str">
        <f>IFERROR(VLOOKUP(I255,Mapped_Owner,2,0),"")</f>
        <v>Pierson</v>
      </c>
      <c r="O255" s="6">
        <f>VLOOKUP(D255,'Mapped Opponent'!$G$4:$H$22,2,0)</f>
        <v>11</v>
      </c>
      <c r="P255" s="6"/>
      <c r="Q255" s="6" t="str">
        <f t="shared" si="4"/>
        <v>Week 11</v>
      </c>
      <c r="R255" s="6" t="str">
        <f t="shared" si="5"/>
        <v>2012Week 11</v>
      </c>
      <c r="S255" s="6">
        <f>IFERROR(__xludf.DUMMYFUNCTION("rank(J255,FILTER(J:J,R:R=R255))"),10.0)</f>
        <v>10</v>
      </c>
      <c r="T255" s="6">
        <f t="shared" si="6"/>
        <v>2</v>
      </c>
      <c r="U255" s="6">
        <f t="shared" si="7"/>
        <v>10</v>
      </c>
      <c r="V255" s="42">
        <f>averageif(AllData!A:A,B255,AllData!R:R)/vlookup(B255,AllData!A:O,15,0)</f>
        <v>91.6025641</v>
      </c>
      <c r="W255" s="6"/>
    </row>
    <row r="256" ht="14.25" customHeight="1">
      <c r="A256" s="6" t="str">
        <f t="shared" si="1"/>
        <v>2012Fellows11</v>
      </c>
      <c r="B256" s="6">
        <v>2012.0</v>
      </c>
      <c r="C256" s="6" t="s">
        <v>79</v>
      </c>
      <c r="D256" s="6" t="s">
        <v>150</v>
      </c>
      <c r="E256" s="34">
        <v>42160.0</v>
      </c>
      <c r="F256" s="6" t="s">
        <v>1164</v>
      </c>
      <c r="G256" s="6" t="s">
        <v>114</v>
      </c>
      <c r="H256" s="6" t="s">
        <v>1165</v>
      </c>
      <c r="I256" s="35" t="s">
        <v>99</v>
      </c>
      <c r="J256" s="36">
        <v>83.2</v>
      </c>
      <c r="K256" s="36">
        <v>69.4</v>
      </c>
      <c r="L256" s="36">
        <f t="shared" si="2"/>
        <v>1</v>
      </c>
      <c r="M256" s="36" t="str">
        <f t="shared" si="3"/>
        <v>Regular Season</v>
      </c>
      <c r="N256" s="36" t="str">
        <f>IFERROR(VLOOKUP(I256,Mapped_Owner,2,0),"")</f>
        <v>Cock</v>
      </c>
      <c r="O256" s="6">
        <f>VLOOKUP(D256,'Mapped Opponent'!$G$4:$H$22,2,0)</f>
        <v>11</v>
      </c>
      <c r="P256" s="6"/>
      <c r="Q256" s="6" t="str">
        <f t="shared" si="4"/>
        <v>Week 11</v>
      </c>
      <c r="R256" s="6" t="str">
        <f t="shared" si="5"/>
        <v>2012Week 11</v>
      </c>
      <c r="S256" s="6">
        <f>IFERROR(__xludf.DUMMYFUNCTION("rank(J256,FILTER(J:J,R:R=R256))"),6.0)</f>
        <v>6</v>
      </c>
      <c r="T256" s="6">
        <f t="shared" si="6"/>
        <v>6</v>
      </c>
      <c r="U256" s="6">
        <f t="shared" si="7"/>
        <v>6</v>
      </c>
      <c r="V256" s="42">
        <f>averageif(AllData!A:A,B256,AllData!R:R)/vlookup(B256,AllData!A:O,15,0)</f>
        <v>91.6025641</v>
      </c>
      <c r="W256" s="6"/>
    </row>
    <row r="257" ht="14.25" customHeight="1">
      <c r="A257" s="6" t="str">
        <f t="shared" si="1"/>
        <v>2012Shep11</v>
      </c>
      <c r="B257" s="6">
        <v>2012.0</v>
      </c>
      <c r="C257" s="6" t="s">
        <v>89</v>
      </c>
      <c r="D257" s="6" t="s">
        <v>150</v>
      </c>
      <c r="E257" s="34">
        <v>42249.0</v>
      </c>
      <c r="F257" s="6" t="s">
        <v>1167</v>
      </c>
      <c r="G257" s="6" t="s">
        <v>114</v>
      </c>
      <c r="H257" s="6" t="s">
        <v>1168</v>
      </c>
      <c r="I257" s="35" t="s">
        <v>132</v>
      </c>
      <c r="J257" s="36">
        <v>89.6</v>
      </c>
      <c r="K257" s="36">
        <v>83.0</v>
      </c>
      <c r="L257" s="36">
        <f t="shared" si="2"/>
        <v>1</v>
      </c>
      <c r="M257" s="36" t="str">
        <f t="shared" si="3"/>
        <v>Regular Season</v>
      </c>
      <c r="N257" s="36" t="str">
        <f>IFERROR(VLOOKUP(I257,Mapped_Owner,2,0),"")</f>
        <v>KnardDawg</v>
      </c>
      <c r="O257" s="6">
        <f>VLOOKUP(D257,'Mapped Opponent'!$G$4:$H$22,2,0)</f>
        <v>11</v>
      </c>
      <c r="P257" s="6"/>
      <c r="Q257" s="6" t="str">
        <f t="shared" si="4"/>
        <v>Week 11</v>
      </c>
      <c r="R257" s="6" t="str">
        <f t="shared" si="5"/>
        <v>2012Week 11</v>
      </c>
      <c r="S257" s="6">
        <f>IFERROR(__xludf.DUMMYFUNCTION("rank(J257,FILTER(J:J,R:R=R257))"),3.0)</f>
        <v>3</v>
      </c>
      <c r="T257" s="6">
        <f t="shared" si="6"/>
        <v>9</v>
      </c>
      <c r="U257" s="6">
        <f t="shared" si="7"/>
        <v>3</v>
      </c>
      <c r="V257" s="42">
        <f>averageif(AllData!A:A,B257,AllData!R:R)/vlookup(B257,AllData!A:O,15,0)</f>
        <v>91.6025641</v>
      </c>
      <c r="W257" s="6"/>
    </row>
    <row r="258" ht="14.25" customHeight="1">
      <c r="A258" s="6" t="str">
        <f t="shared" si="1"/>
        <v>2012Guckien11</v>
      </c>
      <c r="B258" s="6">
        <v>2012.0</v>
      </c>
      <c r="C258" s="6" t="s">
        <v>159</v>
      </c>
      <c r="D258" s="6" t="s">
        <v>150</v>
      </c>
      <c r="E258" s="34">
        <v>42101.0</v>
      </c>
      <c r="F258" s="6" t="s">
        <v>1171</v>
      </c>
      <c r="G258" s="6" t="s">
        <v>114</v>
      </c>
      <c r="H258" s="6" t="s">
        <v>1172</v>
      </c>
      <c r="I258" s="35" t="s">
        <v>85</v>
      </c>
      <c r="J258" s="36">
        <v>76.3</v>
      </c>
      <c r="K258" s="36">
        <v>103.5</v>
      </c>
      <c r="L258" s="36">
        <f t="shared" si="2"/>
        <v>0</v>
      </c>
      <c r="M258" s="36" t="str">
        <f t="shared" si="3"/>
        <v>Regular Season</v>
      </c>
      <c r="N258" s="36" t="str">
        <f>IFERROR(VLOOKUP(I258,Mapped_Owner,2,0),"")</f>
        <v>T-How</v>
      </c>
      <c r="O258" s="6">
        <f>VLOOKUP(D258,'Mapped Opponent'!$G$4:$H$22,2,0)</f>
        <v>11</v>
      </c>
      <c r="P258" s="6"/>
      <c r="Q258" s="6" t="str">
        <f t="shared" si="4"/>
        <v>Week 11</v>
      </c>
      <c r="R258" s="6" t="str">
        <f t="shared" si="5"/>
        <v>2012Week 11</v>
      </c>
      <c r="S258" s="6">
        <f>IFERROR(__xludf.DUMMYFUNCTION("rank(J258,FILTER(J:J,R:R=R258))"),9.0)</f>
        <v>9</v>
      </c>
      <c r="T258" s="6">
        <f t="shared" si="6"/>
        <v>3</v>
      </c>
      <c r="U258" s="6">
        <f t="shared" si="7"/>
        <v>9</v>
      </c>
      <c r="V258" s="42">
        <f>averageif(AllData!A:A,B258,AllData!R:R)/vlookup(B258,AllData!A:O,15,0)</f>
        <v>91.6025641</v>
      </c>
      <c r="W258" s="6"/>
    </row>
    <row r="259" ht="14.25" customHeight="1">
      <c r="A259" s="6" t="str">
        <f t="shared" si="1"/>
        <v>2012Rooney/Jackson11</v>
      </c>
      <c r="B259" s="6">
        <v>2012.0</v>
      </c>
      <c r="C259" s="6" t="s">
        <v>57</v>
      </c>
      <c r="D259" s="6" t="s">
        <v>150</v>
      </c>
      <c r="E259" s="34">
        <v>42160.0</v>
      </c>
      <c r="F259" s="6" t="s">
        <v>1175</v>
      </c>
      <c r="G259" s="6" t="s">
        <v>114</v>
      </c>
      <c r="H259" s="6" t="s">
        <v>1176</v>
      </c>
      <c r="I259" s="35" t="s">
        <v>50</v>
      </c>
      <c r="J259" s="36">
        <v>81.3</v>
      </c>
      <c r="K259" s="36">
        <v>85.3</v>
      </c>
      <c r="L259" s="36">
        <f t="shared" si="2"/>
        <v>0</v>
      </c>
      <c r="M259" s="36" t="str">
        <f t="shared" si="3"/>
        <v>Regular Season</v>
      </c>
      <c r="N259" s="36" t="str">
        <f>IFERROR(VLOOKUP(I259,Mapped_Owner,2,0),"")</f>
        <v>Buser</v>
      </c>
      <c r="O259" s="6">
        <f>VLOOKUP(D259,'Mapped Opponent'!$G$4:$H$22,2,0)</f>
        <v>11</v>
      </c>
      <c r="P259" s="6"/>
      <c r="Q259" s="6" t="str">
        <f t="shared" si="4"/>
        <v>Week 11</v>
      </c>
      <c r="R259" s="6" t="str">
        <f t="shared" si="5"/>
        <v>2012Week 11</v>
      </c>
      <c r="S259" s="6">
        <f>IFERROR(__xludf.DUMMYFUNCTION("rank(J259,FILTER(J:J,R:R=R259))"),8.0)</f>
        <v>8</v>
      </c>
      <c r="T259" s="6">
        <f t="shared" si="6"/>
        <v>4</v>
      </c>
      <c r="U259" s="6">
        <f t="shared" si="7"/>
        <v>8</v>
      </c>
      <c r="V259" s="42">
        <f>averageif(AllData!A:A,B259,AllData!R:R)/vlookup(B259,AllData!A:O,15,0)</f>
        <v>91.6025641</v>
      </c>
      <c r="W259" s="6"/>
    </row>
    <row r="260" ht="14.25" customHeight="1">
      <c r="A260" s="6" t="str">
        <f t="shared" si="1"/>
        <v>2012Buser11</v>
      </c>
      <c r="B260" s="6">
        <v>2012.0</v>
      </c>
      <c r="C260" s="6" t="s">
        <v>47</v>
      </c>
      <c r="D260" s="6" t="s">
        <v>150</v>
      </c>
      <c r="E260" s="34">
        <v>42160.0</v>
      </c>
      <c r="F260" s="6" t="s">
        <v>1177</v>
      </c>
      <c r="G260" s="6" t="s">
        <v>125</v>
      </c>
      <c r="H260" s="6" t="s">
        <v>1178</v>
      </c>
      <c r="I260" s="35" t="s">
        <v>58</v>
      </c>
      <c r="J260" s="36">
        <v>85.3</v>
      </c>
      <c r="K260" s="36">
        <v>81.3</v>
      </c>
      <c r="L260" s="36">
        <f t="shared" si="2"/>
        <v>1</v>
      </c>
      <c r="M260" s="36" t="str">
        <f t="shared" si="3"/>
        <v>Regular Season</v>
      </c>
      <c r="N260" s="36" t="str">
        <f>IFERROR(VLOOKUP(I260,Mapped_Owner,2,0),"")</f>
        <v>Rooney/Jackson</v>
      </c>
      <c r="O260" s="6">
        <f>VLOOKUP(D260,'Mapped Opponent'!$G$4:$H$22,2,0)</f>
        <v>11</v>
      </c>
      <c r="P260" s="6"/>
      <c r="Q260" s="6" t="str">
        <f t="shared" si="4"/>
        <v>Week 11</v>
      </c>
      <c r="R260" s="6" t="str">
        <f t="shared" si="5"/>
        <v>2012Week 11</v>
      </c>
      <c r="S260" s="6">
        <f>IFERROR(__xludf.DUMMYFUNCTION("rank(J260,FILTER(J:J,R:R=R260))"),5.0)</f>
        <v>5</v>
      </c>
      <c r="T260" s="6">
        <f t="shared" si="6"/>
        <v>7</v>
      </c>
      <c r="U260" s="6">
        <f t="shared" si="7"/>
        <v>5</v>
      </c>
      <c r="V260" s="42">
        <f>averageif(AllData!A:A,B260,AllData!R:R)/vlookup(B260,AllData!A:O,15,0)</f>
        <v>91.6025641</v>
      </c>
      <c r="W260" s="6"/>
    </row>
    <row r="261" ht="14.25" customHeight="1">
      <c r="A261" s="6" t="str">
        <f t="shared" si="1"/>
        <v>2012Pierson11</v>
      </c>
      <c r="B261" s="6">
        <v>2012.0</v>
      </c>
      <c r="C261" s="6" t="s">
        <v>92</v>
      </c>
      <c r="D261" s="6" t="s">
        <v>150</v>
      </c>
      <c r="E261" s="34">
        <v>42189.0</v>
      </c>
      <c r="F261" s="6" t="s">
        <v>1179</v>
      </c>
      <c r="G261" s="6" t="s">
        <v>125</v>
      </c>
      <c r="H261" s="6" t="s">
        <v>1180</v>
      </c>
      <c r="I261" s="35" t="s">
        <v>77</v>
      </c>
      <c r="J261" s="36">
        <v>108.8</v>
      </c>
      <c r="K261" s="36">
        <v>71.5</v>
      </c>
      <c r="L261" s="36">
        <f t="shared" si="2"/>
        <v>1</v>
      </c>
      <c r="M261" s="36" t="str">
        <f t="shared" si="3"/>
        <v>Regular Season</v>
      </c>
      <c r="N261" s="36" t="str">
        <f>IFERROR(VLOOKUP(I261,Mapped_Owner,2,0),"")</f>
        <v>Salty</v>
      </c>
      <c r="O261" s="6">
        <f>VLOOKUP(D261,'Mapped Opponent'!$G$4:$H$22,2,0)</f>
        <v>11</v>
      </c>
      <c r="P261" s="6"/>
      <c r="Q261" s="6" t="str">
        <f t="shared" si="4"/>
        <v>Week 11</v>
      </c>
      <c r="R261" s="6" t="str">
        <f t="shared" si="5"/>
        <v>2012Week 11</v>
      </c>
      <c r="S261" s="6">
        <f>IFERROR(__xludf.DUMMYFUNCTION("rank(J261,FILTER(J:J,R:R=R261))"),1.0)</f>
        <v>1</v>
      </c>
      <c r="T261" s="6">
        <f t="shared" si="6"/>
        <v>11</v>
      </c>
      <c r="U261" s="6">
        <f t="shared" si="7"/>
        <v>1</v>
      </c>
      <c r="V261" s="42">
        <f>averageif(AllData!A:A,B261,AllData!R:R)/vlookup(B261,AllData!A:O,15,0)</f>
        <v>91.6025641</v>
      </c>
      <c r="W261" s="6"/>
    </row>
    <row r="262" ht="14.25" customHeight="1">
      <c r="A262" s="6" t="str">
        <f t="shared" si="1"/>
        <v>2012Cock11</v>
      </c>
      <c r="B262" s="6">
        <v>2012.0</v>
      </c>
      <c r="C262" s="6" t="s">
        <v>72</v>
      </c>
      <c r="D262" s="6" t="s">
        <v>150</v>
      </c>
      <c r="E262" s="34">
        <v>42101.0</v>
      </c>
      <c r="F262" s="6" t="s">
        <v>1183</v>
      </c>
      <c r="G262" s="6" t="s">
        <v>125</v>
      </c>
      <c r="H262" s="6" t="s">
        <v>1184</v>
      </c>
      <c r="I262" s="35" t="s">
        <v>80</v>
      </c>
      <c r="J262" s="36">
        <v>69.4</v>
      </c>
      <c r="K262" s="36">
        <v>83.2</v>
      </c>
      <c r="L262" s="36">
        <f t="shared" si="2"/>
        <v>0</v>
      </c>
      <c r="M262" s="36" t="str">
        <f t="shared" si="3"/>
        <v>Regular Season</v>
      </c>
      <c r="N262" s="36" t="str">
        <f>IFERROR(VLOOKUP(I262,Mapped_Owner,2,0),"")</f>
        <v>Fellows</v>
      </c>
      <c r="O262" s="6">
        <f>VLOOKUP(D262,'Mapped Opponent'!$G$4:$H$22,2,0)</f>
        <v>11</v>
      </c>
      <c r="P262" s="6"/>
      <c r="Q262" s="6" t="str">
        <f t="shared" si="4"/>
        <v>Week 11</v>
      </c>
      <c r="R262" s="6" t="str">
        <f t="shared" si="5"/>
        <v>2012Week 11</v>
      </c>
      <c r="S262" s="6">
        <f>IFERROR(__xludf.DUMMYFUNCTION("rank(J262,FILTER(J:J,R:R=R262))"),11.0)</f>
        <v>11</v>
      </c>
      <c r="T262" s="6">
        <f t="shared" si="6"/>
        <v>1</v>
      </c>
      <c r="U262" s="6">
        <f t="shared" si="7"/>
        <v>11</v>
      </c>
      <c r="V262" s="42">
        <f>averageif(AllData!A:A,B262,AllData!R:R)/vlookup(B262,AllData!A:O,15,0)</f>
        <v>91.6025641</v>
      </c>
      <c r="W262" s="6"/>
    </row>
    <row r="263" ht="14.25" customHeight="1">
      <c r="A263" s="6" t="str">
        <f t="shared" si="1"/>
        <v>2012Tayski11</v>
      </c>
      <c r="B263" s="6">
        <v>2012.0</v>
      </c>
      <c r="C263" s="6" t="s">
        <v>52</v>
      </c>
      <c r="D263" s="6" t="s">
        <v>150</v>
      </c>
      <c r="E263" s="34">
        <v>42130.0</v>
      </c>
      <c r="F263" s="6" t="s">
        <v>1188</v>
      </c>
      <c r="G263" s="6" t="s">
        <v>125</v>
      </c>
      <c r="H263" s="6" t="s">
        <v>1189</v>
      </c>
      <c r="I263" s="35" t="s">
        <v>64</v>
      </c>
      <c r="J263" s="36">
        <v>85.7</v>
      </c>
      <c r="K263" s="36">
        <v>57.2</v>
      </c>
      <c r="L263" s="36">
        <f t="shared" si="2"/>
        <v>1</v>
      </c>
      <c r="M263" s="36" t="str">
        <f t="shared" si="3"/>
        <v>Regular Season</v>
      </c>
      <c r="N263" s="36" t="str">
        <f>IFERROR(VLOOKUP(I263,Mapped_Owner,2,0),"")</f>
        <v>Hudspeath</v>
      </c>
      <c r="O263" s="6">
        <f>VLOOKUP(D263,'Mapped Opponent'!$G$4:$H$22,2,0)</f>
        <v>11</v>
      </c>
      <c r="P263" s="6"/>
      <c r="Q263" s="6" t="str">
        <f t="shared" si="4"/>
        <v>Week 11</v>
      </c>
      <c r="R263" s="6" t="str">
        <f t="shared" si="5"/>
        <v>2012Week 11</v>
      </c>
      <c r="S263" s="6">
        <f>IFERROR(__xludf.DUMMYFUNCTION("rank(J263,FILTER(J:J,R:R=R263))"),4.0)</f>
        <v>4</v>
      </c>
      <c r="T263" s="6">
        <f t="shared" si="6"/>
        <v>8</v>
      </c>
      <c r="U263" s="6">
        <f t="shared" si="7"/>
        <v>4</v>
      </c>
      <c r="V263" s="42">
        <f>averageif(AllData!A:A,B263,AllData!R:R)/vlookup(B263,AllData!A:O,15,0)</f>
        <v>91.6025641</v>
      </c>
      <c r="W263" s="6"/>
    </row>
    <row r="264" ht="14.25" customHeight="1">
      <c r="A264" s="6" t="str">
        <f t="shared" si="1"/>
        <v>2012KnardDawg11</v>
      </c>
      <c r="B264" s="6">
        <v>2012.0</v>
      </c>
      <c r="C264" s="6" t="s">
        <v>86</v>
      </c>
      <c r="D264" s="6" t="s">
        <v>150</v>
      </c>
      <c r="E264" s="34">
        <v>42189.0</v>
      </c>
      <c r="F264" s="6" t="s">
        <v>1193</v>
      </c>
      <c r="G264" s="6" t="s">
        <v>125</v>
      </c>
      <c r="H264" s="6" t="s">
        <v>1195</v>
      </c>
      <c r="I264" s="35" t="s">
        <v>91</v>
      </c>
      <c r="J264" s="36">
        <v>83.0</v>
      </c>
      <c r="K264" s="36">
        <v>89.6</v>
      </c>
      <c r="L264" s="36">
        <f t="shared" si="2"/>
        <v>0</v>
      </c>
      <c r="M264" s="36" t="str">
        <f t="shared" si="3"/>
        <v>Regular Season</v>
      </c>
      <c r="N264" s="36" t="str">
        <f>IFERROR(VLOOKUP(I264,Mapped_Owner,2,0),"")</f>
        <v>Shep</v>
      </c>
      <c r="O264" s="6">
        <f>VLOOKUP(D264,'Mapped Opponent'!$G$4:$H$22,2,0)</f>
        <v>11</v>
      </c>
      <c r="P264" s="6"/>
      <c r="Q264" s="6" t="str">
        <f t="shared" si="4"/>
        <v>Week 11</v>
      </c>
      <c r="R264" s="6" t="str">
        <f t="shared" si="5"/>
        <v>2012Week 11</v>
      </c>
      <c r="S264" s="6">
        <f>IFERROR(__xludf.DUMMYFUNCTION("rank(J264,FILTER(J:J,R:R=R264))"),7.0)</f>
        <v>7</v>
      </c>
      <c r="T264" s="6">
        <f t="shared" si="6"/>
        <v>5</v>
      </c>
      <c r="U264" s="6">
        <f t="shared" si="7"/>
        <v>7</v>
      </c>
      <c r="V264" s="42">
        <f>averageif(AllData!A:A,B264,AllData!R:R)/vlookup(B264,AllData!A:O,15,0)</f>
        <v>91.6025641</v>
      </c>
      <c r="W264" s="6"/>
    </row>
    <row r="265" ht="14.25" customHeight="1">
      <c r="A265" s="6" t="str">
        <f t="shared" si="1"/>
        <v>2012T-How11</v>
      </c>
      <c r="B265" s="6">
        <v>2012.0</v>
      </c>
      <c r="C265" s="6" t="s">
        <v>82</v>
      </c>
      <c r="D265" s="6" t="s">
        <v>150</v>
      </c>
      <c r="E265" s="34">
        <v>42130.0</v>
      </c>
      <c r="F265" s="6" t="s">
        <v>1201</v>
      </c>
      <c r="G265" s="6" t="s">
        <v>125</v>
      </c>
      <c r="H265" s="6" t="s">
        <v>1203</v>
      </c>
      <c r="I265" s="35" t="s">
        <v>158</v>
      </c>
      <c r="J265" s="36">
        <v>103.5</v>
      </c>
      <c r="K265" s="36">
        <v>76.3</v>
      </c>
      <c r="L265" s="36">
        <f t="shared" si="2"/>
        <v>1</v>
      </c>
      <c r="M265" s="36" t="str">
        <f t="shared" si="3"/>
        <v>Regular Season</v>
      </c>
      <c r="N265" s="36" t="str">
        <f>IFERROR(VLOOKUP(I265,Mapped_Owner,2,0),"")</f>
        <v>Guckien</v>
      </c>
      <c r="O265" s="6">
        <f>VLOOKUP(D265,'Mapped Opponent'!$G$4:$H$22,2,0)</f>
        <v>11</v>
      </c>
      <c r="P265" s="6"/>
      <c r="Q265" s="6" t="str">
        <f t="shared" si="4"/>
        <v>Week 11</v>
      </c>
      <c r="R265" s="6" t="str">
        <f t="shared" si="5"/>
        <v>2012Week 11</v>
      </c>
      <c r="S265" s="6">
        <f>IFERROR(__xludf.DUMMYFUNCTION("rank(J265,FILTER(J:J,R:R=R265))"),2.0)</f>
        <v>2</v>
      </c>
      <c r="T265" s="6">
        <f t="shared" si="6"/>
        <v>10</v>
      </c>
      <c r="U265" s="6">
        <f t="shared" si="7"/>
        <v>2</v>
      </c>
      <c r="V265" s="42">
        <f>averageif(AllData!A:A,B265,AllData!R:R)/vlookup(B265,AllData!A:O,15,0)</f>
        <v>91.6025641</v>
      </c>
      <c r="W265" s="6"/>
    </row>
    <row r="266" ht="14.25" customHeight="1">
      <c r="A266" s="6" t="str">
        <f t="shared" si="1"/>
        <v>2012Hudspeath12</v>
      </c>
      <c r="B266" s="6">
        <v>2012.0</v>
      </c>
      <c r="C266" s="6" t="s">
        <v>39</v>
      </c>
      <c r="D266" s="6" t="s">
        <v>151</v>
      </c>
      <c r="E266" s="34">
        <v>42102.0</v>
      </c>
      <c r="F266" s="6" t="s">
        <v>1204</v>
      </c>
      <c r="G266" s="6" t="s">
        <v>114</v>
      </c>
      <c r="H266" s="6" t="s">
        <v>1205</v>
      </c>
      <c r="I266" s="35" t="s">
        <v>99</v>
      </c>
      <c r="J266" s="36">
        <v>95.5</v>
      </c>
      <c r="K266" s="36">
        <v>120.1</v>
      </c>
      <c r="L266" s="36">
        <f t="shared" si="2"/>
        <v>0</v>
      </c>
      <c r="M266" s="36" t="str">
        <f t="shared" si="3"/>
        <v>Regular Season</v>
      </c>
      <c r="N266" s="36" t="str">
        <f>IFERROR(VLOOKUP(I266,Mapped_Owner,2,0),"")</f>
        <v>Cock</v>
      </c>
      <c r="O266" s="6">
        <f>VLOOKUP(D266,'Mapped Opponent'!$G$4:$H$22,2,0)</f>
        <v>12</v>
      </c>
      <c r="P266" s="6"/>
      <c r="Q266" s="6" t="str">
        <f t="shared" si="4"/>
        <v>Week 12</v>
      </c>
      <c r="R266" s="6" t="str">
        <f t="shared" si="5"/>
        <v>2012Week 12</v>
      </c>
      <c r="S266" s="6">
        <f>IFERROR(__xludf.DUMMYFUNCTION("rank(J266,FILTER(J:J,R:R=R266))"),5.0)</f>
        <v>5</v>
      </c>
      <c r="T266" s="6">
        <f t="shared" si="6"/>
        <v>7</v>
      </c>
      <c r="U266" s="6">
        <f t="shared" si="7"/>
        <v>5</v>
      </c>
      <c r="V266" s="42">
        <f>averageif(AllData!A:A,B266,AllData!R:R)/vlookup(B266,AllData!A:O,15,0)</f>
        <v>91.6025641</v>
      </c>
      <c r="W266" s="6"/>
    </row>
    <row r="267" ht="14.25" customHeight="1">
      <c r="A267" s="6" t="str">
        <f t="shared" si="1"/>
        <v>2012Salty12</v>
      </c>
      <c r="B267" s="6">
        <v>2012.0</v>
      </c>
      <c r="C267" s="6" t="s">
        <v>76</v>
      </c>
      <c r="D267" s="6" t="s">
        <v>151</v>
      </c>
      <c r="E267" s="34">
        <v>42072.0</v>
      </c>
      <c r="F267" s="6" t="s">
        <v>1207</v>
      </c>
      <c r="G267" s="6" t="s">
        <v>114</v>
      </c>
      <c r="H267" s="6" t="s">
        <v>1208</v>
      </c>
      <c r="I267" s="35" t="s">
        <v>50</v>
      </c>
      <c r="J267" s="36">
        <v>110.9</v>
      </c>
      <c r="K267" s="36">
        <v>112.7</v>
      </c>
      <c r="L267" s="36">
        <f t="shared" si="2"/>
        <v>0</v>
      </c>
      <c r="M267" s="36" t="str">
        <f t="shared" si="3"/>
        <v>Regular Season</v>
      </c>
      <c r="N267" s="36" t="str">
        <f>IFERROR(VLOOKUP(I267,Mapped_Owner,2,0),"")</f>
        <v>Buser</v>
      </c>
      <c r="O267" s="6">
        <f>VLOOKUP(D267,'Mapped Opponent'!$G$4:$H$22,2,0)</f>
        <v>12</v>
      </c>
      <c r="P267" s="6"/>
      <c r="Q267" s="6" t="str">
        <f t="shared" si="4"/>
        <v>Week 12</v>
      </c>
      <c r="R267" s="6" t="str">
        <f t="shared" si="5"/>
        <v>2012Week 12</v>
      </c>
      <c r="S267" s="6">
        <f>IFERROR(__xludf.DUMMYFUNCTION("rank(J267,FILTER(J:J,R:R=R267))"),3.0)</f>
        <v>3</v>
      </c>
      <c r="T267" s="6">
        <f t="shared" si="6"/>
        <v>9</v>
      </c>
      <c r="U267" s="6">
        <f t="shared" si="7"/>
        <v>3</v>
      </c>
      <c r="V267" s="42">
        <f>averageif(AllData!A:A,B267,AllData!R:R)/vlookup(B267,AllData!A:O,15,0)</f>
        <v>91.6025641</v>
      </c>
      <c r="W267" s="6"/>
    </row>
    <row r="268" ht="14.25" customHeight="1">
      <c r="A268" s="6" t="str">
        <f t="shared" si="1"/>
        <v>2012Fellows12</v>
      </c>
      <c r="B268" s="6">
        <v>2012.0</v>
      </c>
      <c r="C268" s="6" t="s">
        <v>79</v>
      </c>
      <c r="D268" s="6" t="s">
        <v>151</v>
      </c>
      <c r="E268" s="34">
        <v>42161.0</v>
      </c>
      <c r="F268" s="6" t="s">
        <v>1209</v>
      </c>
      <c r="G268" s="6" t="s">
        <v>114</v>
      </c>
      <c r="H268" s="6" t="s">
        <v>1210</v>
      </c>
      <c r="I268" s="35" t="s">
        <v>93</v>
      </c>
      <c r="J268" s="36">
        <v>83.0</v>
      </c>
      <c r="K268" s="36">
        <v>93.1</v>
      </c>
      <c r="L268" s="36">
        <f t="shared" si="2"/>
        <v>0</v>
      </c>
      <c r="M268" s="36" t="str">
        <f t="shared" si="3"/>
        <v>Regular Season</v>
      </c>
      <c r="N268" s="36" t="str">
        <f>IFERROR(VLOOKUP(I268,Mapped_Owner,2,0),"")</f>
        <v>Pierson</v>
      </c>
      <c r="O268" s="6">
        <f>VLOOKUP(D268,'Mapped Opponent'!$G$4:$H$22,2,0)</f>
        <v>12</v>
      </c>
      <c r="P268" s="6"/>
      <c r="Q268" s="6" t="str">
        <f t="shared" si="4"/>
        <v>Week 12</v>
      </c>
      <c r="R268" s="6" t="str">
        <f t="shared" si="5"/>
        <v>2012Week 12</v>
      </c>
      <c r="S268" s="6">
        <f>IFERROR(__xludf.DUMMYFUNCTION("rank(J268,FILTER(J:J,R:R=R268))"),9.0)</f>
        <v>9</v>
      </c>
      <c r="T268" s="6">
        <f t="shared" si="6"/>
        <v>3</v>
      </c>
      <c r="U268" s="6">
        <f t="shared" si="7"/>
        <v>9</v>
      </c>
      <c r="V268" s="42">
        <f>averageif(AllData!A:A,B268,AllData!R:R)/vlookup(B268,AllData!A:O,15,0)</f>
        <v>91.6025641</v>
      </c>
      <c r="W268" s="6"/>
    </row>
    <row r="269" ht="14.25" customHeight="1">
      <c r="A269" s="6" t="str">
        <f t="shared" si="1"/>
        <v>2012Shep12</v>
      </c>
      <c r="B269" s="6">
        <v>2012.0</v>
      </c>
      <c r="C269" s="6" t="s">
        <v>89</v>
      </c>
      <c r="D269" s="6" t="s">
        <v>151</v>
      </c>
      <c r="E269" s="34">
        <v>42250.0</v>
      </c>
      <c r="F269" s="6" t="s">
        <v>1211</v>
      </c>
      <c r="G269" s="6" t="s">
        <v>114</v>
      </c>
      <c r="H269" s="6" t="s">
        <v>1212</v>
      </c>
      <c r="I269" s="35" t="s">
        <v>161</v>
      </c>
      <c r="J269" s="36">
        <v>87.9</v>
      </c>
      <c r="K269" s="36">
        <v>107.6</v>
      </c>
      <c r="L269" s="36">
        <f t="shared" si="2"/>
        <v>0</v>
      </c>
      <c r="M269" s="36" t="str">
        <f t="shared" si="3"/>
        <v>Regular Season</v>
      </c>
      <c r="N269" s="36" t="str">
        <f>IFERROR(VLOOKUP(I269,Mapped_Owner,2,0),"")</f>
        <v>Tayski</v>
      </c>
      <c r="O269" s="6">
        <f>VLOOKUP(D269,'Mapped Opponent'!$G$4:$H$22,2,0)</f>
        <v>12</v>
      </c>
      <c r="P269" s="6"/>
      <c r="Q269" s="6" t="str">
        <f t="shared" si="4"/>
        <v>Week 12</v>
      </c>
      <c r="R269" s="6" t="str">
        <f t="shared" si="5"/>
        <v>2012Week 12</v>
      </c>
      <c r="S269" s="6">
        <f>IFERROR(__xludf.DUMMYFUNCTION("rank(J269,FILTER(J:J,R:R=R269))"),7.0)</f>
        <v>7</v>
      </c>
      <c r="T269" s="6">
        <f t="shared" si="6"/>
        <v>5</v>
      </c>
      <c r="U269" s="6">
        <f t="shared" si="7"/>
        <v>7</v>
      </c>
      <c r="V269" s="42">
        <f>averageif(AllData!A:A,B269,AllData!R:R)/vlookup(B269,AllData!A:O,15,0)</f>
        <v>91.6025641</v>
      </c>
      <c r="W269" s="6"/>
    </row>
    <row r="270" ht="14.25" customHeight="1">
      <c r="A270" s="6" t="str">
        <f t="shared" si="1"/>
        <v>2012Guckien12</v>
      </c>
      <c r="B270" s="6">
        <v>2012.0</v>
      </c>
      <c r="C270" s="6" t="s">
        <v>159</v>
      </c>
      <c r="D270" s="6" t="s">
        <v>151</v>
      </c>
      <c r="E270" s="34">
        <v>42102.0</v>
      </c>
      <c r="F270" s="6" t="s">
        <v>1215</v>
      </c>
      <c r="G270" s="6" t="s">
        <v>114</v>
      </c>
      <c r="H270" s="6" t="s">
        <v>1216</v>
      </c>
      <c r="I270" s="35" t="s">
        <v>132</v>
      </c>
      <c r="J270" s="36">
        <v>78.6</v>
      </c>
      <c r="K270" s="36">
        <v>84.2</v>
      </c>
      <c r="L270" s="36">
        <f t="shared" si="2"/>
        <v>0</v>
      </c>
      <c r="M270" s="36" t="str">
        <f t="shared" si="3"/>
        <v>Regular Season</v>
      </c>
      <c r="N270" s="36" t="str">
        <f>IFERROR(VLOOKUP(I270,Mapped_Owner,2,0),"")</f>
        <v>KnardDawg</v>
      </c>
      <c r="O270" s="6">
        <f>VLOOKUP(D270,'Mapped Opponent'!$G$4:$H$22,2,0)</f>
        <v>12</v>
      </c>
      <c r="P270" s="6"/>
      <c r="Q270" s="6" t="str">
        <f t="shared" si="4"/>
        <v>Week 12</v>
      </c>
      <c r="R270" s="6" t="str">
        <f t="shared" si="5"/>
        <v>2012Week 12</v>
      </c>
      <c r="S270" s="6">
        <f>IFERROR(__xludf.DUMMYFUNCTION("rank(J270,FILTER(J:J,R:R=R270))"),10.0)</f>
        <v>10</v>
      </c>
      <c r="T270" s="6">
        <f t="shared" si="6"/>
        <v>2</v>
      </c>
      <c r="U270" s="6">
        <f t="shared" si="7"/>
        <v>10</v>
      </c>
      <c r="V270" s="42">
        <f>averageif(AllData!A:A,B270,AllData!R:R)/vlookup(B270,AllData!A:O,15,0)</f>
        <v>91.6025641</v>
      </c>
      <c r="W270" s="6"/>
    </row>
    <row r="271" ht="14.25" customHeight="1">
      <c r="A271" s="6" t="str">
        <f t="shared" si="1"/>
        <v>2012Rooney/Jackson12</v>
      </c>
      <c r="B271" s="6">
        <v>2012.0</v>
      </c>
      <c r="C271" s="6" t="s">
        <v>57</v>
      </c>
      <c r="D271" s="6" t="s">
        <v>151</v>
      </c>
      <c r="E271" s="34">
        <v>42190.0</v>
      </c>
      <c r="F271" s="6" t="s">
        <v>1218</v>
      </c>
      <c r="G271" s="6" t="s">
        <v>114</v>
      </c>
      <c r="H271" s="6" t="s">
        <v>1220</v>
      </c>
      <c r="I271" s="35" t="s">
        <v>85</v>
      </c>
      <c r="J271" s="36">
        <v>77.6</v>
      </c>
      <c r="K271" s="36">
        <v>76.8</v>
      </c>
      <c r="L271" s="36">
        <f t="shared" si="2"/>
        <v>1</v>
      </c>
      <c r="M271" s="36" t="str">
        <f t="shared" si="3"/>
        <v>Regular Season</v>
      </c>
      <c r="N271" s="36" t="str">
        <f>IFERROR(VLOOKUP(I271,Mapped_Owner,2,0),"")</f>
        <v>T-How</v>
      </c>
      <c r="O271" s="6">
        <f>VLOOKUP(D271,'Mapped Opponent'!$G$4:$H$22,2,0)</f>
        <v>12</v>
      </c>
      <c r="P271" s="6"/>
      <c r="Q271" s="6" t="str">
        <f t="shared" si="4"/>
        <v>Week 12</v>
      </c>
      <c r="R271" s="6" t="str">
        <f t="shared" si="5"/>
        <v>2012Week 12</v>
      </c>
      <c r="S271" s="6">
        <f>IFERROR(__xludf.DUMMYFUNCTION("rank(J271,FILTER(J:J,R:R=R271))"),11.0)</f>
        <v>11</v>
      </c>
      <c r="T271" s="6">
        <f t="shared" si="6"/>
        <v>1</v>
      </c>
      <c r="U271" s="6">
        <f t="shared" si="7"/>
        <v>11</v>
      </c>
      <c r="V271" s="42">
        <f>averageif(AllData!A:A,B271,AllData!R:R)/vlookup(B271,AllData!A:O,15,0)</f>
        <v>91.6025641</v>
      </c>
      <c r="W271" s="6"/>
    </row>
    <row r="272" ht="14.25" customHeight="1">
      <c r="A272" s="6" t="str">
        <f t="shared" si="1"/>
        <v>2012Buser12</v>
      </c>
      <c r="B272" s="6">
        <v>2012.0</v>
      </c>
      <c r="C272" s="6" t="s">
        <v>47</v>
      </c>
      <c r="D272" s="6" t="s">
        <v>151</v>
      </c>
      <c r="E272" s="34">
        <v>42190.0</v>
      </c>
      <c r="F272" s="6" t="s">
        <v>1222</v>
      </c>
      <c r="G272" s="6" t="s">
        <v>125</v>
      </c>
      <c r="H272" s="6" t="s">
        <v>1223</v>
      </c>
      <c r="I272" s="35" t="s">
        <v>77</v>
      </c>
      <c r="J272" s="36">
        <v>112.7</v>
      </c>
      <c r="K272" s="36">
        <v>110.9</v>
      </c>
      <c r="L272" s="36">
        <f t="shared" si="2"/>
        <v>1</v>
      </c>
      <c r="M272" s="36" t="str">
        <f t="shared" si="3"/>
        <v>Regular Season</v>
      </c>
      <c r="N272" s="36" t="str">
        <f>IFERROR(VLOOKUP(I272,Mapped_Owner,2,0),"")</f>
        <v>Salty</v>
      </c>
      <c r="O272" s="6">
        <f>VLOOKUP(D272,'Mapped Opponent'!$G$4:$H$22,2,0)</f>
        <v>12</v>
      </c>
      <c r="P272" s="6"/>
      <c r="Q272" s="6" t="str">
        <f t="shared" si="4"/>
        <v>Week 12</v>
      </c>
      <c r="R272" s="6" t="str">
        <f t="shared" si="5"/>
        <v>2012Week 12</v>
      </c>
      <c r="S272" s="6">
        <f>IFERROR(__xludf.DUMMYFUNCTION("rank(J272,FILTER(J:J,R:R=R272))"),2.0)</f>
        <v>2</v>
      </c>
      <c r="T272" s="6">
        <f t="shared" si="6"/>
        <v>10</v>
      </c>
      <c r="U272" s="6">
        <f t="shared" si="7"/>
        <v>2</v>
      </c>
      <c r="V272" s="42">
        <f>averageif(AllData!A:A,B272,AllData!R:R)/vlookup(B272,AllData!A:O,15,0)</f>
        <v>91.6025641</v>
      </c>
      <c r="W272" s="6"/>
    </row>
    <row r="273" ht="14.25" customHeight="1">
      <c r="A273" s="6" t="str">
        <f t="shared" si="1"/>
        <v>2012Pierson12</v>
      </c>
      <c r="B273" s="6">
        <v>2012.0</v>
      </c>
      <c r="C273" s="6" t="s">
        <v>92</v>
      </c>
      <c r="D273" s="6" t="s">
        <v>151</v>
      </c>
      <c r="E273" s="34">
        <v>42220.0</v>
      </c>
      <c r="F273" s="6" t="s">
        <v>1224</v>
      </c>
      <c r="G273" s="6" t="s">
        <v>125</v>
      </c>
      <c r="H273" s="6" t="s">
        <v>1225</v>
      </c>
      <c r="I273" s="35" t="s">
        <v>80</v>
      </c>
      <c r="J273" s="36">
        <v>93.1</v>
      </c>
      <c r="K273" s="36">
        <v>83.0</v>
      </c>
      <c r="L273" s="36">
        <f t="shared" si="2"/>
        <v>1</v>
      </c>
      <c r="M273" s="36" t="str">
        <f t="shared" si="3"/>
        <v>Regular Season</v>
      </c>
      <c r="N273" s="36" t="str">
        <f>IFERROR(VLOOKUP(I273,Mapped_Owner,2,0),"")</f>
        <v>Fellows</v>
      </c>
      <c r="O273" s="6">
        <f>VLOOKUP(D273,'Mapped Opponent'!$G$4:$H$22,2,0)</f>
        <v>12</v>
      </c>
      <c r="P273" s="6"/>
      <c r="Q273" s="6" t="str">
        <f t="shared" si="4"/>
        <v>Week 12</v>
      </c>
      <c r="R273" s="6" t="str">
        <f t="shared" si="5"/>
        <v>2012Week 12</v>
      </c>
      <c r="S273" s="6">
        <f>IFERROR(__xludf.DUMMYFUNCTION("rank(J273,FILTER(J:J,R:R=R273))"),6.0)</f>
        <v>6</v>
      </c>
      <c r="T273" s="6">
        <f t="shared" si="6"/>
        <v>6</v>
      </c>
      <c r="U273" s="6">
        <f t="shared" si="7"/>
        <v>6</v>
      </c>
      <c r="V273" s="42">
        <f>averageif(AllData!A:A,B273,AllData!R:R)/vlookup(B273,AllData!A:O,15,0)</f>
        <v>91.6025641</v>
      </c>
      <c r="W273" s="6"/>
    </row>
    <row r="274" ht="14.25" customHeight="1">
      <c r="A274" s="6" t="str">
        <f t="shared" si="1"/>
        <v>2012Cock12</v>
      </c>
      <c r="B274" s="6">
        <v>2012.0</v>
      </c>
      <c r="C274" s="6" t="s">
        <v>72</v>
      </c>
      <c r="D274" s="6" t="s">
        <v>151</v>
      </c>
      <c r="E274" s="34">
        <v>42131.0</v>
      </c>
      <c r="F274" s="6" t="s">
        <v>1228</v>
      </c>
      <c r="G274" s="6" t="s">
        <v>125</v>
      </c>
      <c r="H274" s="6" t="s">
        <v>1229</v>
      </c>
      <c r="I274" s="35" t="s">
        <v>64</v>
      </c>
      <c r="J274" s="36">
        <v>120.1</v>
      </c>
      <c r="K274" s="36">
        <v>95.5</v>
      </c>
      <c r="L274" s="36">
        <f t="shared" si="2"/>
        <v>1</v>
      </c>
      <c r="M274" s="36" t="str">
        <f t="shared" si="3"/>
        <v>Regular Season</v>
      </c>
      <c r="N274" s="36" t="str">
        <f>IFERROR(VLOOKUP(I274,Mapped_Owner,2,0),"")</f>
        <v>Hudspeath</v>
      </c>
      <c r="O274" s="6">
        <f>VLOOKUP(D274,'Mapped Opponent'!$G$4:$H$22,2,0)</f>
        <v>12</v>
      </c>
      <c r="P274" s="6"/>
      <c r="Q274" s="6" t="str">
        <f t="shared" si="4"/>
        <v>Week 12</v>
      </c>
      <c r="R274" s="6" t="str">
        <f t="shared" si="5"/>
        <v>2012Week 12</v>
      </c>
      <c r="S274" s="6">
        <f>IFERROR(__xludf.DUMMYFUNCTION("rank(J274,FILTER(J:J,R:R=R274))"),1.0)</f>
        <v>1</v>
      </c>
      <c r="T274" s="6">
        <f t="shared" si="6"/>
        <v>11</v>
      </c>
      <c r="U274" s="6">
        <f t="shared" si="7"/>
        <v>1</v>
      </c>
      <c r="V274" s="42">
        <f>averageif(AllData!A:A,B274,AllData!R:R)/vlookup(B274,AllData!A:O,15,0)</f>
        <v>91.6025641</v>
      </c>
      <c r="W274" s="6"/>
    </row>
    <row r="275" ht="14.25" customHeight="1">
      <c r="A275" s="6" t="str">
        <f t="shared" si="1"/>
        <v>2012Tayski12</v>
      </c>
      <c r="B275" s="6">
        <v>2012.0</v>
      </c>
      <c r="C275" s="6" t="s">
        <v>52</v>
      </c>
      <c r="D275" s="6" t="s">
        <v>151</v>
      </c>
      <c r="E275" s="34">
        <v>42161.0</v>
      </c>
      <c r="F275" s="6" t="s">
        <v>1230</v>
      </c>
      <c r="G275" s="6" t="s">
        <v>125</v>
      </c>
      <c r="H275" s="6" t="s">
        <v>1231</v>
      </c>
      <c r="I275" s="35" t="s">
        <v>91</v>
      </c>
      <c r="J275" s="36">
        <v>107.6</v>
      </c>
      <c r="K275" s="36">
        <v>87.9</v>
      </c>
      <c r="L275" s="36">
        <f t="shared" si="2"/>
        <v>1</v>
      </c>
      <c r="M275" s="36" t="str">
        <f t="shared" si="3"/>
        <v>Regular Season</v>
      </c>
      <c r="N275" s="36" t="str">
        <f>IFERROR(VLOOKUP(I275,Mapped_Owner,2,0),"")</f>
        <v>Shep</v>
      </c>
      <c r="O275" s="6">
        <f>VLOOKUP(D275,'Mapped Opponent'!$G$4:$H$22,2,0)</f>
        <v>12</v>
      </c>
      <c r="P275" s="6"/>
      <c r="Q275" s="6" t="str">
        <f t="shared" si="4"/>
        <v>Week 12</v>
      </c>
      <c r="R275" s="6" t="str">
        <f t="shared" si="5"/>
        <v>2012Week 12</v>
      </c>
      <c r="S275" s="6">
        <f>IFERROR(__xludf.DUMMYFUNCTION("rank(J275,FILTER(J:J,R:R=R275))"),4.0)</f>
        <v>4</v>
      </c>
      <c r="T275" s="6">
        <f t="shared" si="6"/>
        <v>8</v>
      </c>
      <c r="U275" s="6">
        <f t="shared" si="7"/>
        <v>4</v>
      </c>
      <c r="V275" s="42">
        <f>averageif(AllData!A:A,B275,AllData!R:R)/vlookup(B275,AllData!A:O,15,0)</f>
        <v>91.6025641</v>
      </c>
      <c r="W275" s="6"/>
    </row>
    <row r="276" ht="14.25" customHeight="1">
      <c r="A276" s="6" t="str">
        <f t="shared" si="1"/>
        <v>2012KnardDawg12</v>
      </c>
      <c r="B276" s="6">
        <v>2012.0</v>
      </c>
      <c r="C276" s="6" t="s">
        <v>86</v>
      </c>
      <c r="D276" s="6" t="s">
        <v>151</v>
      </c>
      <c r="E276" s="34">
        <v>42220.0</v>
      </c>
      <c r="F276" s="6" t="s">
        <v>1233</v>
      </c>
      <c r="G276" s="6" t="s">
        <v>125</v>
      </c>
      <c r="H276" s="6" t="s">
        <v>1234</v>
      </c>
      <c r="I276" s="35" t="s">
        <v>158</v>
      </c>
      <c r="J276" s="36">
        <v>84.2</v>
      </c>
      <c r="K276" s="36">
        <v>78.6</v>
      </c>
      <c r="L276" s="36">
        <f t="shared" si="2"/>
        <v>1</v>
      </c>
      <c r="M276" s="36" t="str">
        <f t="shared" si="3"/>
        <v>Regular Season</v>
      </c>
      <c r="N276" s="36" t="str">
        <f>IFERROR(VLOOKUP(I276,Mapped_Owner,2,0),"")</f>
        <v>Guckien</v>
      </c>
      <c r="O276" s="6">
        <f>VLOOKUP(D276,'Mapped Opponent'!$G$4:$H$22,2,0)</f>
        <v>12</v>
      </c>
      <c r="P276" s="6"/>
      <c r="Q276" s="6" t="str">
        <f t="shared" si="4"/>
        <v>Week 12</v>
      </c>
      <c r="R276" s="6" t="str">
        <f t="shared" si="5"/>
        <v>2012Week 12</v>
      </c>
      <c r="S276" s="6">
        <f>IFERROR(__xludf.DUMMYFUNCTION("rank(J276,FILTER(J:J,R:R=R276))"),8.0)</f>
        <v>8</v>
      </c>
      <c r="T276" s="6">
        <f t="shared" si="6"/>
        <v>4</v>
      </c>
      <c r="U276" s="6">
        <f t="shared" si="7"/>
        <v>8</v>
      </c>
      <c r="V276" s="42">
        <f>averageif(AllData!A:A,B276,AllData!R:R)/vlookup(B276,AllData!A:O,15,0)</f>
        <v>91.6025641</v>
      </c>
      <c r="W276" s="6"/>
    </row>
    <row r="277" ht="14.25" customHeight="1">
      <c r="A277" s="6" t="str">
        <f t="shared" si="1"/>
        <v>2012T-How12</v>
      </c>
      <c r="B277" s="6">
        <v>2012.0</v>
      </c>
      <c r="C277" s="6" t="s">
        <v>82</v>
      </c>
      <c r="D277" s="6" t="s">
        <v>151</v>
      </c>
      <c r="E277" s="34">
        <v>42131.0</v>
      </c>
      <c r="F277" s="6" t="s">
        <v>1236</v>
      </c>
      <c r="G277" s="6" t="s">
        <v>125</v>
      </c>
      <c r="H277" s="6" t="s">
        <v>1237</v>
      </c>
      <c r="I277" s="35" t="s">
        <v>58</v>
      </c>
      <c r="J277" s="36">
        <v>76.8</v>
      </c>
      <c r="K277" s="36">
        <v>77.6</v>
      </c>
      <c r="L277" s="36">
        <f t="shared" si="2"/>
        <v>0</v>
      </c>
      <c r="M277" s="36" t="str">
        <f t="shared" si="3"/>
        <v>Regular Season</v>
      </c>
      <c r="N277" s="36" t="str">
        <f>IFERROR(VLOOKUP(I277,Mapped_Owner,2,0),"")</f>
        <v>Rooney/Jackson</v>
      </c>
      <c r="O277" s="6">
        <f>VLOOKUP(D277,'Mapped Opponent'!$G$4:$H$22,2,0)</f>
        <v>12</v>
      </c>
      <c r="P277" s="6"/>
      <c r="Q277" s="6" t="str">
        <f t="shared" si="4"/>
        <v>Week 12</v>
      </c>
      <c r="R277" s="6" t="str">
        <f t="shared" si="5"/>
        <v>2012Week 12</v>
      </c>
      <c r="S277" s="6">
        <f>IFERROR(__xludf.DUMMYFUNCTION("rank(J277,FILTER(J:J,R:R=R277))"),12.0)</f>
        <v>12</v>
      </c>
      <c r="T277" s="6">
        <f t="shared" si="6"/>
        <v>0</v>
      </c>
      <c r="U277" s="6">
        <f t="shared" si="7"/>
        <v>12</v>
      </c>
      <c r="V277" s="42">
        <f>averageif(AllData!A:A,B277,AllData!R:R)/vlookup(B277,AllData!A:O,15,0)</f>
        <v>91.6025641</v>
      </c>
      <c r="W277" s="6"/>
    </row>
    <row r="278" ht="14.25" customHeight="1">
      <c r="A278" s="6" t="str">
        <f t="shared" si="1"/>
        <v>2012Hudspeath13</v>
      </c>
      <c r="B278" s="6">
        <v>2012.0</v>
      </c>
      <c r="C278" s="6" t="s">
        <v>39</v>
      </c>
      <c r="D278" s="6" t="s">
        <v>152</v>
      </c>
      <c r="E278" s="34">
        <v>42132.0</v>
      </c>
      <c r="F278" s="6" t="s">
        <v>1238</v>
      </c>
      <c r="G278" s="6" t="s">
        <v>125</v>
      </c>
      <c r="H278" s="6" t="s">
        <v>1239</v>
      </c>
      <c r="I278" s="35" t="s">
        <v>93</v>
      </c>
      <c r="J278" s="36">
        <v>91.5</v>
      </c>
      <c r="K278" s="36">
        <v>86.8</v>
      </c>
      <c r="L278" s="36">
        <f t="shared" si="2"/>
        <v>1</v>
      </c>
      <c r="M278" s="36" t="str">
        <f t="shared" si="3"/>
        <v>Regular Season</v>
      </c>
      <c r="N278" s="36" t="str">
        <f>IFERROR(VLOOKUP(I278,Mapped_Owner,2,0),"")</f>
        <v>Pierson</v>
      </c>
      <c r="O278" s="6">
        <f>VLOOKUP(D278,'Mapped Opponent'!$G$4:$H$22,2,0)</f>
        <v>13</v>
      </c>
      <c r="P278" s="6"/>
      <c r="Q278" s="6" t="str">
        <f t="shared" si="4"/>
        <v>Week 13</v>
      </c>
      <c r="R278" s="6" t="str">
        <f t="shared" si="5"/>
        <v>2012Week 13</v>
      </c>
      <c r="S278" s="6">
        <f>IFERROR(__xludf.DUMMYFUNCTION("rank(J278,FILTER(J:J,R:R=R278))"),7.0)</f>
        <v>7</v>
      </c>
      <c r="T278" s="6">
        <f t="shared" si="6"/>
        <v>5</v>
      </c>
      <c r="U278" s="6">
        <f t="shared" si="7"/>
        <v>7</v>
      </c>
      <c r="V278" s="42">
        <f>averageif(AllData!A:A,B278,AllData!R:R)/vlookup(B278,AllData!A:O,15,0)</f>
        <v>91.6025641</v>
      </c>
      <c r="W278" s="6"/>
    </row>
    <row r="279" ht="14.25" customHeight="1">
      <c r="A279" s="6" t="str">
        <f t="shared" si="1"/>
        <v>2012Salty13</v>
      </c>
      <c r="B279" s="6">
        <v>2012.0</v>
      </c>
      <c r="C279" s="6" t="s">
        <v>76</v>
      </c>
      <c r="D279" s="6" t="s">
        <v>152</v>
      </c>
      <c r="E279" s="34">
        <v>42103.0</v>
      </c>
      <c r="F279" s="6" t="s">
        <v>1241</v>
      </c>
      <c r="G279" s="6" t="s">
        <v>125</v>
      </c>
      <c r="H279" s="6" t="s">
        <v>1242</v>
      </c>
      <c r="I279" s="35" t="s">
        <v>85</v>
      </c>
      <c r="J279" s="36">
        <v>73.7</v>
      </c>
      <c r="K279" s="36">
        <v>66.9</v>
      </c>
      <c r="L279" s="36">
        <f t="shared" si="2"/>
        <v>1</v>
      </c>
      <c r="M279" s="36" t="str">
        <f t="shared" si="3"/>
        <v>Regular Season</v>
      </c>
      <c r="N279" s="36" t="str">
        <f>IFERROR(VLOOKUP(I279,Mapped_Owner,2,0),"")</f>
        <v>T-How</v>
      </c>
      <c r="O279" s="6">
        <f>VLOOKUP(D279,'Mapped Opponent'!$G$4:$H$22,2,0)</f>
        <v>13</v>
      </c>
      <c r="P279" s="6"/>
      <c r="Q279" s="6" t="str">
        <f t="shared" si="4"/>
        <v>Week 13</v>
      </c>
      <c r="R279" s="6" t="str">
        <f t="shared" si="5"/>
        <v>2012Week 13</v>
      </c>
      <c r="S279" s="6">
        <f>IFERROR(__xludf.DUMMYFUNCTION("rank(J279,FILTER(J:J,R:R=R279))"),11.0)</f>
        <v>11</v>
      </c>
      <c r="T279" s="6">
        <f t="shared" si="6"/>
        <v>1</v>
      </c>
      <c r="U279" s="6">
        <f t="shared" si="7"/>
        <v>11</v>
      </c>
      <c r="V279" s="42">
        <f>averageif(AllData!A:A,B279,AllData!R:R)/vlookup(B279,AllData!A:O,15,0)</f>
        <v>91.6025641</v>
      </c>
      <c r="W279" s="6"/>
    </row>
    <row r="280" ht="14.25" customHeight="1">
      <c r="A280" s="6" t="str">
        <f t="shared" si="1"/>
        <v>2012Fellows13</v>
      </c>
      <c r="B280" s="6">
        <v>2012.0</v>
      </c>
      <c r="C280" s="6" t="s">
        <v>79</v>
      </c>
      <c r="D280" s="6" t="s">
        <v>152</v>
      </c>
      <c r="E280" s="34">
        <v>42162.0</v>
      </c>
      <c r="F280" s="6" t="s">
        <v>1243</v>
      </c>
      <c r="G280" s="6" t="s">
        <v>125</v>
      </c>
      <c r="H280" s="6" t="s">
        <v>1244</v>
      </c>
      <c r="I280" s="35" t="s">
        <v>50</v>
      </c>
      <c r="J280" s="36">
        <v>98.9</v>
      </c>
      <c r="K280" s="36">
        <v>100.7</v>
      </c>
      <c r="L280" s="36">
        <f t="shared" si="2"/>
        <v>0</v>
      </c>
      <c r="M280" s="36" t="str">
        <f t="shared" si="3"/>
        <v>Regular Season</v>
      </c>
      <c r="N280" s="36" t="str">
        <f>IFERROR(VLOOKUP(I280,Mapped_Owner,2,0),"")</f>
        <v>Buser</v>
      </c>
      <c r="O280" s="6">
        <f>VLOOKUP(D280,'Mapped Opponent'!$G$4:$H$22,2,0)</f>
        <v>13</v>
      </c>
      <c r="P280" s="6"/>
      <c r="Q280" s="6" t="str">
        <f t="shared" si="4"/>
        <v>Week 13</v>
      </c>
      <c r="R280" s="6" t="str">
        <f t="shared" si="5"/>
        <v>2012Week 13</v>
      </c>
      <c r="S280" s="6">
        <f>IFERROR(__xludf.DUMMYFUNCTION("rank(J280,FILTER(J:J,R:R=R280))"),5.0)</f>
        <v>5</v>
      </c>
      <c r="T280" s="6">
        <f t="shared" si="6"/>
        <v>7</v>
      </c>
      <c r="U280" s="6">
        <f t="shared" si="7"/>
        <v>5</v>
      </c>
      <c r="V280" s="42">
        <f>averageif(AllData!A:A,B280,AllData!R:R)/vlookup(B280,AllData!A:O,15,0)</f>
        <v>91.6025641</v>
      </c>
      <c r="W280" s="6"/>
    </row>
    <row r="281" ht="14.25" customHeight="1">
      <c r="A281" s="6" t="str">
        <f t="shared" si="1"/>
        <v>2012Shep13</v>
      </c>
      <c r="B281" s="6">
        <v>2012.0</v>
      </c>
      <c r="C281" s="6" t="s">
        <v>89</v>
      </c>
      <c r="D281" s="6" t="s">
        <v>152</v>
      </c>
      <c r="E281" s="34">
        <v>42280.0</v>
      </c>
      <c r="F281" s="6" t="s">
        <v>1245</v>
      </c>
      <c r="G281" s="6" t="s">
        <v>125</v>
      </c>
      <c r="H281" s="6" t="s">
        <v>1246</v>
      </c>
      <c r="I281" s="35" t="s">
        <v>99</v>
      </c>
      <c r="J281" s="36">
        <v>100.1</v>
      </c>
      <c r="K281" s="36">
        <v>82.6</v>
      </c>
      <c r="L281" s="36">
        <f t="shared" si="2"/>
        <v>1</v>
      </c>
      <c r="M281" s="36" t="str">
        <f t="shared" si="3"/>
        <v>Regular Season</v>
      </c>
      <c r="N281" s="36" t="str">
        <f>IFERROR(VLOOKUP(I281,Mapped_Owner,2,0),"")</f>
        <v>Cock</v>
      </c>
      <c r="O281" s="6">
        <f>VLOOKUP(D281,'Mapped Opponent'!$G$4:$H$22,2,0)</f>
        <v>13</v>
      </c>
      <c r="P281" s="6"/>
      <c r="Q281" s="6" t="str">
        <f t="shared" si="4"/>
        <v>Week 13</v>
      </c>
      <c r="R281" s="6" t="str">
        <f t="shared" si="5"/>
        <v>2012Week 13</v>
      </c>
      <c r="S281" s="6">
        <f>IFERROR(__xludf.DUMMYFUNCTION("rank(J281,FILTER(J:J,R:R=R281))"),3.0)</f>
        <v>3</v>
      </c>
      <c r="T281" s="6">
        <f t="shared" si="6"/>
        <v>9</v>
      </c>
      <c r="U281" s="6">
        <f t="shared" si="7"/>
        <v>3</v>
      </c>
      <c r="V281" s="42">
        <f>averageif(AllData!A:A,B281,AllData!R:R)/vlookup(B281,AllData!A:O,15,0)</f>
        <v>91.6025641</v>
      </c>
      <c r="W281" s="6"/>
    </row>
    <row r="282" ht="14.25" customHeight="1">
      <c r="A282" s="6" t="str">
        <f t="shared" si="1"/>
        <v>2012Guckien13</v>
      </c>
      <c r="B282" s="6">
        <v>2012.0</v>
      </c>
      <c r="C282" s="6" t="s">
        <v>159</v>
      </c>
      <c r="D282" s="6" t="s">
        <v>152</v>
      </c>
      <c r="E282" s="34">
        <v>42132.0</v>
      </c>
      <c r="F282" s="6" t="s">
        <v>1249</v>
      </c>
      <c r="G282" s="6" t="s">
        <v>125</v>
      </c>
      <c r="H282" s="6" t="s">
        <v>1250</v>
      </c>
      <c r="I282" s="35" t="s">
        <v>161</v>
      </c>
      <c r="J282" s="36">
        <v>116.5</v>
      </c>
      <c r="K282" s="36">
        <v>97.4</v>
      </c>
      <c r="L282" s="36">
        <f t="shared" si="2"/>
        <v>1</v>
      </c>
      <c r="M282" s="36" t="str">
        <f t="shared" si="3"/>
        <v>Regular Season</v>
      </c>
      <c r="N282" s="36" t="str">
        <f>IFERROR(VLOOKUP(I282,Mapped_Owner,2,0),"")</f>
        <v>Tayski</v>
      </c>
      <c r="O282" s="6">
        <f>VLOOKUP(D282,'Mapped Opponent'!$G$4:$H$22,2,0)</f>
        <v>13</v>
      </c>
      <c r="P282" s="6"/>
      <c r="Q282" s="6" t="str">
        <f t="shared" si="4"/>
        <v>Week 13</v>
      </c>
      <c r="R282" s="6" t="str">
        <f t="shared" si="5"/>
        <v>2012Week 13</v>
      </c>
      <c r="S282" s="6">
        <f>IFERROR(__xludf.DUMMYFUNCTION("rank(J282,FILTER(J:J,R:R=R282))"),1.0)</f>
        <v>1</v>
      </c>
      <c r="T282" s="6">
        <f t="shared" si="6"/>
        <v>11</v>
      </c>
      <c r="U282" s="6">
        <f t="shared" si="7"/>
        <v>1</v>
      </c>
      <c r="V282" s="42">
        <f>averageif(AllData!A:A,B282,AllData!R:R)/vlookup(B282,AllData!A:O,15,0)</f>
        <v>91.6025641</v>
      </c>
      <c r="W282" s="6"/>
    </row>
    <row r="283" ht="14.25" customHeight="1">
      <c r="A283" s="6" t="str">
        <f t="shared" si="1"/>
        <v>2012Rooney/Jackson13</v>
      </c>
      <c r="B283" s="6">
        <v>2012.0</v>
      </c>
      <c r="C283" s="6" t="s">
        <v>57</v>
      </c>
      <c r="D283" s="6" t="s">
        <v>152</v>
      </c>
      <c r="E283" s="34">
        <v>42191.0</v>
      </c>
      <c r="F283" s="6" t="s">
        <v>1251</v>
      </c>
      <c r="G283" s="6" t="s">
        <v>125</v>
      </c>
      <c r="H283" s="6" t="s">
        <v>1252</v>
      </c>
      <c r="I283" s="35" t="s">
        <v>132</v>
      </c>
      <c r="J283" s="36">
        <v>84.2</v>
      </c>
      <c r="K283" s="36">
        <v>99.9</v>
      </c>
      <c r="L283" s="36">
        <f t="shared" si="2"/>
        <v>0</v>
      </c>
      <c r="M283" s="36" t="str">
        <f t="shared" si="3"/>
        <v>Regular Season</v>
      </c>
      <c r="N283" s="36" t="str">
        <f>IFERROR(VLOOKUP(I283,Mapped_Owner,2,0),"")</f>
        <v>KnardDawg</v>
      </c>
      <c r="O283" s="6">
        <f>VLOOKUP(D283,'Mapped Opponent'!$G$4:$H$22,2,0)</f>
        <v>13</v>
      </c>
      <c r="P283" s="6"/>
      <c r="Q283" s="6" t="str">
        <f t="shared" si="4"/>
        <v>Week 13</v>
      </c>
      <c r="R283" s="6" t="str">
        <f t="shared" si="5"/>
        <v>2012Week 13</v>
      </c>
      <c r="S283" s="6">
        <f>IFERROR(__xludf.DUMMYFUNCTION("rank(J283,FILTER(J:J,R:R=R283))"),9.0)</f>
        <v>9</v>
      </c>
      <c r="T283" s="6">
        <f t="shared" si="6"/>
        <v>3</v>
      </c>
      <c r="U283" s="6">
        <f t="shared" si="7"/>
        <v>9</v>
      </c>
      <c r="V283" s="42">
        <f>averageif(AllData!A:A,B283,AllData!R:R)/vlookup(B283,AllData!A:O,15,0)</f>
        <v>91.6025641</v>
      </c>
      <c r="W283" s="6"/>
    </row>
    <row r="284" ht="14.25" customHeight="1">
      <c r="A284" s="6" t="str">
        <f t="shared" si="1"/>
        <v>2012Buser13</v>
      </c>
      <c r="B284" s="6">
        <v>2012.0</v>
      </c>
      <c r="C284" s="6" t="s">
        <v>47</v>
      </c>
      <c r="D284" s="6" t="s">
        <v>152</v>
      </c>
      <c r="E284" s="34">
        <v>42221.0</v>
      </c>
      <c r="F284" s="6" t="s">
        <v>1253</v>
      </c>
      <c r="G284" s="6" t="s">
        <v>114</v>
      </c>
      <c r="H284" s="6" t="s">
        <v>1254</v>
      </c>
      <c r="I284" s="35" t="s">
        <v>80</v>
      </c>
      <c r="J284" s="36">
        <v>100.7</v>
      </c>
      <c r="K284" s="36">
        <v>98.9</v>
      </c>
      <c r="L284" s="36">
        <f t="shared" si="2"/>
        <v>1</v>
      </c>
      <c r="M284" s="36" t="str">
        <f t="shared" si="3"/>
        <v>Regular Season</v>
      </c>
      <c r="N284" s="36" t="str">
        <f>IFERROR(VLOOKUP(I284,Mapped_Owner,2,0),"")</f>
        <v>Fellows</v>
      </c>
      <c r="O284" s="6">
        <f>VLOOKUP(D284,'Mapped Opponent'!$G$4:$H$22,2,0)</f>
        <v>13</v>
      </c>
      <c r="P284" s="6"/>
      <c r="Q284" s="6" t="str">
        <f t="shared" si="4"/>
        <v>Week 13</v>
      </c>
      <c r="R284" s="6" t="str">
        <f t="shared" si="5"/>
        <v>2012Week 13</v>
      </c>
      <c r="S284" s="6">
        <f>IFERROR(__xludf.DUMMYFUNCTION("rank(J284,FILTER(J:J,R:R=R284))"),2.0)</f>
        <v>2</v>
      </c>
      <c r="T284" s="6">
        <f t="shared" si="6"/>
        <v>10</v>
      </c>
      <c r="U284" s="6">
        <f t="shared" si="7"/>
        <v>2</v>
      </c>
      <c r="V284" s="42">
        <f>averageif(AllData!A:A,B284,AllData!R:R)/vlookup(B284,AllData!A:O,15,0)</f>
        <v>91.6025641</v>
      </c>
      <c r="W284" s="6"/>
    </row>
    <row r="285" ht="14.25" customHeight="1">
      <c r="A285" s="6" t="str">
        <f t="shared" si="1"/>
        <v>2012Pierson13</v>
      </c>
      <c r="B285" s="6">
        <v>2012.0</v>
      </c>
      <c r="C285" s="6" t="s">
        <v>92</v>
      </c>
      <c r="D285" s="6" t="s">
        <v>152</v>
      </c>
      <c r="E285" s="34">
        <v>42221.0</v>
      </c>
      <c r="F285" s="6" t="s">
        <v>1259</v>
      </c>
      <c r="G285" s="6" t="s">
        <v>114</v>
      </c>
      <c r="H285" s="6" t="s">
        <v>1260</v>
      </c>
      <c r="I285" s="35" t="s">
        <v>64</v>
      </c>
      <c r="J285" s="36">
        <v>86.8</v>
      </c>
      <c r="K285" s="36">
        <v>91.5</v>
      </c>
      <c r="L285" s="36">
        <f t="shared" si="2"/>
        <v>0</v>
      </c>
      <c r="M285" s="36" t="str">
        <f t="shared" si="3"/>
        <v>Regular Season</v>
      </c>
      <c r="N285" s="36" t="str">
        <f>IFERROR(VLOOKUP(I285,Mapped_Owner,2,0),"")</f>
        <v>Hudspeath</v>
      </c>
      <c r="O285" s="6">
        <f>VLOOKUP(D285,'Mapped Opponent'!$G$4:$H$22,2,0)</f>
        <v>13</v>
      </c>
      <c r="P285" s="6"/>
      <c r="Q285" s="6" t="str">
        <f t="shared" si="4"/>
        <v>Week 13</v>
      </c>
      <c r="R285" s="6" t="str">
        <f t="shared" si="5"/>
        <v>2012Week 13</v>
      </c>
      <c r="S285" s="6">
        <f>IFERROR(__xludf.DUMMYFUNCTION("rank(J285,FILTER(J:J,R:R=R285))"),8.0)</f>
        <v>8</v>
      </c>
      <c r="T285" s="6">
        <f t="shared" si="6"/>
        <v>4</v>
      </c>
      <c r="U285" s="6">
        <f t="shared" si="7"/>
        <v>8</v>
      </c>
      <c r="V285" s="42">
        <f>averageif(AllData!A:A,B285,AllData!R:R)/vlookup(B285,AllData!A:O,15,0)</f>
        <v>91.6025641</v>
      </c>
      <c r="W285" s="6"/>
    </row>
    <row r="286" ht="14.25" customHeight="1">
      <c r="A286" s="6" t="str">
        <f t="shared" si="1"/>
        <v>2012Cock13</v>
      </c>
      <c r="B286" s="6">
        <v>2012.0</v>
      </c>
      <c r="C286" s="6" t="s">
        <v>72</v>
      </c>
      <c r="D286" s="6" t="s">
        <v>152</v>
      </c>
      <c r="E286" s="34">
        <v>42132.0</v>
      </c>
      <c r="F286" s="6" t="s">
        <v>1261</v>
      </c>
      <c r="G286" s="6" t="s">
        <v>114</v>
      </c>
      <c r="H286" s="6" t="s">
        <v>1262</v>
      </c>
      <c r="I286" s="35" t="s">
        <v>91</v>
      </c>
      <c r="J286" s="36">
        <v>82.6</v>
      </c>
      <c r="K286" s="36">
        <v>100.1</v>
      </c>
      <c r="L286" s="36">
        <f t="shared" si="2"/>
        <v>0</v>
      </c>
      <c r="M286" s="36" t="str">
        <f t="shared" si="3"/>
        <v>Regular Season</v>
      </c>
      <c r="N286" s="36" t="str">
        <f>IFERROR(VLOOKUP(I286,Mapped_Owner,2,0),"")</f>
        <v>Shep</v>
      </c>
      <c r="O286" s="6">
        <f>VLOOKUP(D286,'Mapped Opponent'!$G$4:$H$22,2,0)</f>
        <v>13</v>
      </c>
      <c r="P286" s="6"/>
      <c r="Q286" s="6" t="str">
        <f t="shared" si="4"/>
        <v>Week 13</v>
      </c>
      <c r="R286" s="6" t="str">
        <f t="shared" si="5"/>
        <v>2012Week 13</v>
      </c>
      <c r="S286" s="6">
        <f>IFERROR(__xludf.DUMMYFUNCTION("rank(J286,FILTER(J:J,R:R=R286))"),10.0)</f>
        <v>10</v>
      </c>
      <c r="T286" s="6">
        <f t="shared" si="6"/>
        <v>2</v>
      </c>
      <c r="U286" s="6">
        <f t="shared" si="7"/>
        <v>10</v>
      </c>
      <c r="V286" s="42">
        <f>averageif(AllData!A:A,B286,AllData!R:R)/vlookup(B286,AllData!A:O,15,0)</f>
        <v>91.6025641</v>
      </c>
      <c r="W286" s="6"/>
    </row>
    <row r="287" ht="14.25" customHeight="1">
      <c r="A287" s="6" t="str">
        <f t="shared" si="1"/>
        <v>2012Tayski13</v>
      </c>
      <c r="B287" s="6">
        <v>2012.0</v>
      </c>
      <c r="C287" s="6" t="s">
        <v>52</v>
      </c>
      <c r="D287" s="6" t="s">
        <v>152</v>
      </c>
      <c r="E287" s="34">
        <v>42162.0</v>
      </c>
      <c r="F287" s="6" t="s">
        <v>1263</v>
      </c>
      <c r="G287" s="6" t="s">
        <v>114</v>
      </c>
      <c r="H287" s="6" t="s">
        <v>1264</v>
      </c>
      <c r="I287" s="35" t="s">
        <v>158</v>
      </c>
      <c r="J287" s="36">
        <v>97.4</v>
      </c>
      <c r="K287" s="36">
        <v>116.5</v>
      </c>
      <c r="L287" s="36">
        <f t="shared" si="2"/>
        <v>0</v>
      </c>
      <c r="M287" s="36" t="str">
        <f t="shared" si="3"/>
        <v>Regular Season</v>
      </c>
      <c r="N287" s="36" t="str">
        <f>IFERROR(VLOOKUP(I287,Mapped_Owner,2,0),"")</f>
        <v>Guckien</v>
      </c>
      <c r="O287" s="6">
        <f>VLOOKUP(D287,'Mapped Opponent'!$G$4:$H$22,2,0)</f>
        <v>13</v>
      </c>
      <c r="P287" s="6"/>
      <c r="Q287" s="6" t="str">
        <f t="shared" si="4"/>
        <v>Week 13</v>
      </c>
      <c r="R287" s="6" t="str">
        <f t="shared" si="5"/>
        <v>2012Week 13</v>
      </c>
      <c r="S287" s="6">
        <f>IFERROR(__xludf.DUMMYFUNCTION("rank(J287,FILTER(J:J,R:R=R287))"),6.0)</f>
        <v>6</v>
      </c>
      <c r="T287" s="6">
        <f t="shared" si="6"/>
        <v>6</v>
      </c>
      <c r="U287" s="6">
        <f t="shared" si="7"/>
        <v>6</v>
      </c>
      <c r="V287" s="42">
        <f>averageif(AllData!A:A,B287,AllData!R:R)/vlookup(B287,AllData!A:O,15,0)</f>
        <v>91.6025641</v>
      </c>
      <c r="W287" s="6"/>
    </row>
    <row r="288" ht="14.25" customHeight="1">
      <c r="A288" s="6" t="str">
        <f t="shared" si="1"/>
        <v>2012KnardDawg13</v>
      </c>
      <c r="B288" s="6">
        <v>2012.0</v>
      </c>
      <c r="C288" s="6" t="s">
        <v>86</v>
      </c>
      <c r="D288" s="6" t="s">
        <v>152</v>
      </c>
      <c r="E288" s="34">
        <v>42251.0</v>
      </c>
      <c r="F288" s="6" t="s">
        <v>1267</v>
      </c>
      <c r="G288" s="6" t="s">
        <v>114</v>
      </c>
      <c r="H288" s="6" t="s">
        <v>1268</v>
      </c>
      <c r="I288" s="35" t="s">
        <v>58</v>
      </c>
      <c r="J288" s="36">
        <v>99.9</v>
      </c>
      <c r="K288" s="36">
        <v>84.2</v>
      </c>
      <c r="L288" s="36">
        <f t="shared" si="2"/>
        <v>1</v>
      </c>
      <c r="M288" s="36" t="str">
        <f t="shared" si="3"/>
        <v>Regular Season</v>
      </c>
      <c r="N288" s="36" t="str">
        <f>IFERROR(VLOOKUP(I288,Mapped_Owner,2,0),"")</f>
        <v>Rooney/Jackson</v>
      </c>
      <c r="O288" s="6">
        <f>VLOOKUP(D288,'Mapped Opponent'!$G$4:$H$22,2,0)</f>
        <v>13</v>
      </c>
      <c r="P288" s="6"/>
      <c r="Q288" s="6" t="str">
        <f t="shared" si="4"/>
        <v>Week 13</v>
      </c>
      <c r="R288" s="6" t="str">
        <f t="shared" si="5"/>
        <v>2012Week 13</v>
      </c>
      <c r="S288" s="6">
        <f>IFERROR(__xludf.DUMMYFUNCTION("rank(J288,FILTER(J:J,R:R=R288))"),4.0)</f>
        <v>4</v>
      </c>
      <c r="T288" s="6">
        <f t="shared" si="6"/>
        <v>8</v>
      </c>
      <c r="U288" s="6">
        <f t="shared" si="7"/>
        <v>4</v>
      </c>
      <c r="V288" s="42">
        <f>averageif(AllData!A:A,B288,AllData!R:R)/vlookup(B288,AllData!A:O,15,0)</f>
        <v>91.6025641</v>
      </c>
      <c r="W288" s="6"/>
    </row>
    <row r="289" ht="14.25" customHeight="1">
      <c r="A289" s="6" t="str">
        <f t="shared" si="1"/>
        <v>2012T-How13</v>
      </c>
      <c r="B289" s="6">
        <v>2012.0</v>
      </c>
      <c r="C289" s="6" t="s">
        <v>82</v>
      </c>
      <c r="D289" s="6" t="s">
        <v>152</v>
      </c>
      <c r="E289" s="34">
        <v>42132.0</v>
      </c>
      <c r="F289" s="6" t="s">
        <v>1269</v>
      </c>
      <c r="G289" s="6" t="s">
        <v>114</v>
      </c>
      <c r="H289" s="6" t="s">
        <v>1270</v>
      </c>
      <c r="I289" s="35" t="s">
        <v>77</v>
      </c>
      <c r="J289" s="36">
        <v>66.9</v>
      </c>
      <c r="K289" s="36">
        <v>73.7</v>
      </c>
      <c r="L289" s="36">
        <f t="shared" si="2"/>
        <v>0</v>
      </c>
      <c r="M289" s="36" t="str">
        <f t="shared" si="3"/>
        <v>Regular Season</v>
      </c>
      <c r="N289" s="36" t="str">
        <f>IFERROR(VLOOKUP(I289,Mapped_Owner,2,0),"")</f>
        <v>Salty</v>
      </c>
      <c r="O289" s="6">
        <f>VLOOKUP(D289,'Mapped Opponent'!$G$4:$H$22,2,0)</f>
        <v>13</v>
      </c>
      <c r="P289" s="6"/>
      <c r="Q289" s="6" t="str">
        <f t="shared" si="4"/>
        <v>Week 13</v>
      </c>
      <c r="R289" s="6" t="str">
        <f t="shared" si="5"/>
        <v>2012Week 13</v>
      </c>
      <c r="S289" s="6">
        <f>IFERROR(__xludf.DUMMYFUNCTION("rank(J289,FILTER(J:J,R:R=R289))"),12.0)</f>
        <v>12</v>
      </c>
      <c r="T289" s="6">
        <f t="shared" si="6"/>
        <v>0</v>
      </c>
      <c r="U289" s="6">
        <f t="shared" si="7"/>
        <v>12</v>
      </c>
      <c r="V289" s="42">
        <f>averageif(AllData!A:A,B289,AllData!R:R)/vlookup(B289,AllData!A:O,15,0)</f>
        <v>91.6025641</v>
      </c>
      <c r="W289" s="6"/>
    </row>
    <row r="290" ht="14.25" customHeight="1">
      <c r="A290" s="6" t="str">
        <f t="shared" si="1"/>
        <v>2012Hudspeath2</v>
      </c>
      <c r="B290" s="6">
        <v>2012.0</v>
      </c>
      <c r="C290" s="6" t="s">
        <v>39</v>
      </c>
      <c r="D290" s="6" t="s">
        <v>131</v>
      </c>
      <c r="E290" s="34">
        <v>42005.0</v>
      </c>
      <c r="F290" s="6" t="s">
        <v>1271</v>
      </c>
      <c r="G290" s="6" t="s">
        <v>114</v>
      </c>
      <c r="H290" s="6" t="s">
        <v>1272</v>
      </c>
      <c r="I290" s="35" t="s">
        <v>77</v>
      </c>
      <c r="J290" s="36">
        <v>106.3</v>
      </c>
      <c r="K290" s="36">
        <v>67.5</v>
      </c>
      <c r="L290" s="36">
        <f t="shared" si="2"/>
        <v>1</v>
      </c>
      <c r="M290" s="36" t="str">
        <f t="shared" si="3"/>
        <v>Regular Season</v>
      </c>
      <c r="N290" s="36" t="str">
        <f>IFERROR(VLOOKUP(I290,Mapped_Owner,2,0),"")</f>
        <v>Salty</v>
      </c>
      <c r="O290" s="6">
        <f>VLOOKUP(D290,'Mapped Opponent'!$G$4:$H$22,2,0)</f>
        <v>2</v>
      </c>
      <c r="P290" s="6"/>
      <c r="Q290" s="6" t="str">
        <f t="shared" si="4"/>
        <v>Week 2</v>
      </c>
      <c r="R290" s="6" t="str">
        <f t="shared" si="5"/>
        <v>2012Week 2</v>
      </c>
      <c r="S290" s="6">
        <f>IFERROR(__xludf.DUMMYFUNCTION("rank(J290,FILTER(J:J,R:R=R290))"),6.0)</f>
        <v>6</v>
      </c>
      <c r="T290" s="6">
        <f t="shared" si="6"/>
        <v>6</v>
      </c>
      <c r="U290" s="6">
        <f t="shared" si="7"/>
        <v>6</v>
      </c>
      <c r="V290" s="42">
        <f>averageif(AllData!A:A,B290,AllData!R:R)/vlookup(B290,AllData!A:O,15,0)</f>
        <v>91.6025641</v>
      </c>
      <c r="W290" s="6"/>
    </row>
    <row r="291" ht="14.25" customHeight="1">
      <c r="A291" s="6" t="str">
        <f t="shared" si="1"/>
        <v>2012Salty2</v>
      </c>
      <c r="B291" s="6">
        <v>2012.0</v>
      </c>
      <c r="C291" s="6" t="s">
        <v>76</v>
      </c>
      <c r="D291" s="6" t="s">
        <v>131</v>
      </c>
      <c r="E291" s="34" t="s">
        <v>626</v>
      </c>
      <c r="F291" s="6" t="s">
        <v>1275</v>
      </c>
      <c r="G291" s="6" t="s">
        <v>125</v>
      </c>
      <c r="H291" s="6" t="s">
        <v>619</v>
      </c>
      <c r="I291" s="35" t="s">
        <v>64</v>
      </c>
      <c r="J291" s="36">
        <v>67.5</v>
      </c>
      <c r="K291" s="36">
        <v>106.3</v>
      </c>
      <c r="L291" s="36">
        <f t="shared" si="2"/>
        <v>0</v>
      </c>
      <c r="M291" s="36" t="str">
        <f t="shared" si="3"/>
        <v>Regular Season</v>
      </c>
      <c r="N291" s="36" t="str">
        <f>IFERROR(VLOOKUP(I291,Mapped_Owner,2,0),"")</f>
        <v>Hudspeath</v>
      </c>
      <c r="O291" s="6">
        <f>VLOOKUP(D291,'Mapped Opponent'!$G$4:$H$22,2,0)</f>
        <v>2</v>
      </c>
      <c r="P291" s="6"/>
      <c r="Q291" s="6" t="str">
        <f t="shared" si="4"/>
        <v>Week 2</v>
      </c>
      <c r="R291" s="6" t="str">
        <f t="shared" si="5"/>
        <v>2012Week 2</v>
      </c>
      <c r="S291" s="6">
        <f>IFERROR(__xludf.DUMMYFUNCTION("rank(J291,FILTER(J:J,R:R=R291))"),12.0)</f>
        <v>12</v>
      </c>
      <c r="T291" s="6">
        <f t="shared" si="6"/>
        <v>0</v>
      </c>
      <c r="U291" s="6">
        <f t="shared" si="7"/>
        <v>12</v>
      </c>
      <c r="V291" s="42">
        <f>averageif(AllData!A:A,B291,AllData!R:R)/vlookup(B291,AllData!A:O,15,0)</f>
        <v>91.6025641</v>
      </c>
      <c r="W291" s="6"/>
    </row>
    <row r="292" ht="14.25" customHeight="1">
      <c r="A292" s="6" t="str">
        <f t="shared" si="1"/>
        <v>2012Fellows2</v>
      </c>
      <c r="B292" s="6">
        <v>2012.0</v>
      </c>
      <c r="C292" s="6" t="s">
        <v>79</v>
      </c>
      <c r="D292" s="6" t="s">
        <v>131</v>
      </c>
      <c r="E292" s="34">
        <v>42005.0</v>
      </c>
      <c r="F292" s="6" t="s">
        <v>1276</v>
      </c>
      <c r="G292" s="6" t="s">
        <v>114</v>
      </c>
      <c r="H292" s="6" t="s">
        <v>1277</v>
      </c>
      <c r="I292" s="35" t="s">
        <v>91</v>
      </c>
      <c r="J292" s="36">
        <v>69.8</v>
      </c>
      <c r="K292" s="36">
        <v>100.2</v>
      </c>
      <c r="L292" s="36">
        <f t="shared" si="2"/>
        <v>0</v>
      </c>
      <c r="M292" s="36" t="str">
        <f t="shared" si="3"/>
        <v>Regular Season</v>
      </c>
      <c r="N292" s="36" t="str">
        <f>IFERROR(VLOOKUP(I292,Mapped_Owner,2,0),"")</f>
        <v>Shep</v>
      </c>
      <c r="O292" s="6">
        <f>VLOOKUP(D292,'Mapped Opponent'!$G$4:$H$22,2,0)</f>
        <v>2</v>
      </c>
      <c r="P292" s="6"/>
      <c r="Q292" s="6" t="str">
        <f t="shared" si="4"/>
        <v>Week 2</v>
      </c>
      <c r="R292" s="6" t="str">
        <f t="shared" si="5"/>
        <v>2012Week 2</v>
      </c>
      <c r="S292" s="6">
        <f>IFERROR(__xludf.DUMMYFUNCTION("rank(J292,FILTER(J:J,R:R=R292))"),10.0)</f>
        <v>10</v>
      </c>
      <c r="T292" s="6">
        <f t="shared" si="6"/>
        <v>2</v>
      </c>
      <c r="U292" s="6">
        <f t="shared" si="7"/>
        <v>10</v>
      </c>
      <c r="V292" s="42">
        <f>averageif(AllData!A:A,B292,AllData!R:R)/vlookup(B292,AllData!A:O,15,0)</f>
        <v>91.6025641</v>
      </c>
      <c r="W292" s="6"/>
    </row>
    <row r="293" ht="14.25" customHeight="1">
      <c r="A293" s="6" t="str">
        <f t="shared" si="1"/>
        <v>2012Shep2</v>
      </c>
      <c r="B293" s="6">
        <v>2012.0</v>
      </c>
      <c r="C293" s="6" t="s">
        <v>89</v>
      </c>
      <c r="D293" s="6" t="s">
        <v>131</v>
      </c>
      <c r="E293" s="34">
        <v>36557.0</v>
      </c>
      <c r="F293" s="6" t="s">
        <v>1280</v>
      </c>
      <c r="G293" s="6" t="s">
        <v>125</v>
      </c>
      <c r="H293" s="6" t="s">
        <v>1281</v>
      </c>
      <c r="I293" s="35" t="s">
        <v>80</v>
      </c>
      <c r="J293" s="36">
        <v>100.2</v>
      </c>
      <c r="K293" s="36">
        <v>69.8</v>
      </c>
      <c r="L293" s="36">
        <f t="shared" si="2"/>
        <v>1</v>
      </c>
      <c r="M293" s="36" t="str">
        <f t="shared" si="3"/>
        <v>Regular Season</v>
      </c>
      <c r="N293" s="36" t="str">
        <f>IFERROR(VLOOKUP(I293,Mapped_Owner,2,0),"")</f>
        <v>Fellows</v>
      </c>
      <c r="O293" s="6">
        <f>VLOOKUP(D293,'Mapped Opponent'!$G$4:$H$22,2,0)</f>
        <v>2</v>
      </c>
      <c r="P293" s="6"/>
      <c r="Q293" s="6" t="str">
        <f t="shared" si="4"/>
        <v>Week 2</v>
      </c>
      <c r="R293" s="6" t="str">
        <f t="shared" si="5"/>
        <v>2012Week 2</v>
      </c>
      <c r="S293" s="6">
        <f>IFERROR(__xludf.DUMMYFUNCTION("rank(J293,FILTER(J:J,R:R=R293))"),7.0)</f>
        <v>7</v>
      </c>
      <c r="T293" s="6">
        <f t="shared" si="6"/>
        <v>5</v>
      </c>
      <c r="U293" s="6">
        <f t="shared" si="7"/>
        <v>7</v>
      </c>
      <c r="V293" s="42">
        <f>averageif(AllData!A:A,B293,AllData!R:R)/vlookup(B293,AllData!A:O,15,0)</f>
        <v>91.6025641</v>
      </c>
      <c r="W293" s="6"/>
    </row>
    <row r="294" ht="14.25" customHeight="1">
      <c r="A294" s="6" t="str">
        <f t="shared" si="1"/>
        <v>2012Guckien2</v>
      </c>
      <c r="B294" s="6">
        <v>2012.0</v>
      </c>
      <c r="C294" s="6" t="s">
        <v>159</v>
      </c>
      <c r="D294" s="6" t="s">
        <v>131</v>
      </c>
      <c r="E294" s="34" t="s">
        <v>626</v>
      </c>
      <c r="F294" s="6" t="s">
        <v>1285</v>
      </c>
      <c r="G294" s="6" t="s">
        <v>125</v>
      </c>
      <c r="H294" s="6" t="s">
        <v>1286</v>
      </c>
      <c r="I294" s="35" t="s">
        <v>58</v>
      </c>
      <c r="J294" s="36">
        <v>84.7</v>
      </c>
      <c r="K294" s="36">
        <v>109.7</v>
      </c>
      <c r="L294" s="36">
        <f t="shared" si="2"/>
        <v>0</v>
      </c>
      <c r="M294" s="36" t="str">
        <f t="shared" si="3"/>
        <v>Regular Season</v>
      </c>
      <c r="N294" s="36" t="str">
        <f>IFERROR(VLOOKUP(I294,Mapped_Owner,2,0),"")</f>
        <v>Rooney/Jackson</v>
      </c>
      <c r="O294" s="6">
        <f>VLOOKUP(D294,'Mapped Opponent'!$G$4:$H$22,2,0)</f>
        <v>2</v>
      </c>
      <c r="P294" s="6"/>
      <c r="Q294" s="6" t="str">
        <f t="shared" si="4"/>
        <v>Week 2</v>
      </c>
      <c r="R294" s="6" t="str">
        <f t="shared" si="5"/>
        <v>2012Week 2</v>
      </c>
      <c r="S294" s="6">
        <f>IFERROR(__xludf.DUMMYFUNCTION("rank(J294,FILTER(J:J,R:R=R294))"),8.0)</f>
        <v>8</v>
      </c>
      <c r="T294" s="6">
        <f t="shared" si="6"/>
        <v>4</v>
      </c>
      <c r="U294" s="6">
        <f t="shared" si="7"/>
        <v>8</v>
      </c>
      <c r="V294" s="42">
        <f>averageif(AllData!A:A,B294,AllData!R:R)/vlookup(B294,AllData!A:O,15,0)</f>
        <v>91.6025641</v>
      </c>
      <c r="W294" s="6"/>
    </row>
    <row r="295" ht="14.25" customHeight="1">
      <c r="A295" s="6" t="str">
        <f t="shared" si="1"/>
        <v>2012Rooney/Jackson2</v>
      </c>
      <c r="B295" s="6">
        <v>2012.0</v>
      </c>
      <c r="C295" s="6" t="s">
        <v>57</v>
      </c>
      <c r="D295" s="6" t="s">
        <v>131</v>
      </c>
      <c r="E295" s="34">
        <v>36557.0</v>
      </c>
      <c r="F295" s="6" t="s">
        <v>1290</v>
      </c>
      <c r="G295" s="6" t="s">
        <v>114</v>
      </c>
      <c r="H295" s="6" t="s">
        <v>1291</v>
      </c>
      <c r="I295" s="35" t="s">
        <v>158</v>
      </c>
      <c r="J295" s="36">
        <v>109.7</v>
      </c>
      <c r="K295" s="36">
        <v>84.7</v>
      </c>
      <c r="L295" s="36">
        <f t="shared" si="2"/>
        <v>1</v>
      </c>
      <c r="M295" s="36" t="str">
        <f t="shared" si="3"/>
        <v>Regular Season</v>
      </c>
      <c r="N295" s="36" t="str">
        <f>IFERROR(VLOOKUP(I295,Mapped_Owner,2,0),"")</f>
        <v>Guckien</v>
      </c>
      <c r="O295" s="6">
        <f>VLOOKUP(D295,'Mapped Opponent'!$G$4:$H$22,2,0)</f>
        <v>2</v>
      </c>
      <c r="P295" s="6"/>
      <c r="Q295" s="6" t="str">
        <f t="shared" si="4"/>
        <v>Week 2</v>
      </c>
      <c r="R295" s="6" t="str">
        <f t="shared" si="5"/>
        <v>2012Week 2</v>
      </c>
      <c r="S295" s="6">
        <f>IFERROR(__xludf.DUMMYFUNCTION("rank(J295,FILTER(J:J,R:R=R295))"),3.0)</f>
        <v>3</v>
      </c>
      <c r="T295" s="6">
        <f t="shared" si="6"/>
        <v>9</v>
      </c>
      <c r="U295" s="6">
        <f t="shared" si="7"/>
        <v>3</v>
      </c>
      <c r="V295" s="42">
        <f>averageif(AllData!A:A,B295,AllData!R:R)/vlookup(B295,AllData!A:O,15,0)</f>
        <v>91.6025641</v>
      </c>
      <c r="W295" s="6"/>
    </row>
    <row r="296" ht="14.25" customHeight="1">
      <c r="A296" s="6" t="str">
        <f t="shared" si="1"/>
        <v>2012Buser2</v>
      </c>
      <c r="B296" s="6">
        <v>2012.0</v>
      </c>
      <c r="C296" s="6" t="s">
        <v>47</v>
      </c>
      <c r="D296" s="6" t="s">
        <v>131</v>
      </c>
      <c r="E296" s="34">
        <v>42005.0</v>
      </c>
      <c r="F296" s="6" t="s">
        <v>1292</v>
      </c>
      <c r="G296" s="6" t="s">
        <v>125</v>
      </c>
      <c r="H296" s="6" t="s">
        <v>1293</v>
      </c>
      <c r="I296" s="35" t="s">
        <v>99</v>
      </c>
      <c r="J296" s="36">
        <v>109.1</v>
      </c>
      <c r="K296" s="36">
        <v>67.6</v>
      </c>
      <c r="L296" s="36">
        <f t="shared" si="2"/>
        <v>1</v>
      </c>
      <c r="M296" s="36" t="str">
        <f t="shared" si="3"/>
        <v>Regular Season</v>
      </c>
      <c r="N296" s="36" t="str">
        <f>IFERROR(VLOOKUP(I296,Mapped_Owner,2,0),"")</f>
        <v>Cock</v>
      </c>
      <c r="O296" s="6">
        <f>VLOOKUP(D296,'Mapped Opponent'!$G$4:$H$22,2,0)</f>
        <v>2</v>
      </c>
      <c r="P296" s="6"/>
      <c r="Q296" s="6" t="str">
        <f t="shared" si="4"/>
        <v>Week 2</v>
      </c>
      <c r="R296" s="6" t="str">
        <f t="shared" si="5"/>
        <v>2012Week 2</v>
      </c>
      <c r="S296" s="6">
        <f>IFERROR(__xludf.DUMMYFUNCTION("rank(J296,FILTER(J:J,R:R=R296))"),4.0)</f>
        <v>4</v>
      </c>
      <c r="T296" s="6">
        <f t="shared" si="6"/>
        <v>8</v>
      </c>
      <c r="U296" s="6">
        <f t="shared" si="7"/>
        <v>4</v>
      </c>
      <c r="V296" s="42">
        <f>averageif(AllData!A:A,B296,AllData!R:R)/vlookup(B296,AllData!A:O,15,0)</f>
        <v>91.6025641</v>
      </c>
      <c r="W296" s="6"/>
    </row>
    <row r="297" ht="14.25" customHeight="1">
      <c r="A297" s="6" t="str">
        <f t="shared" si="1"/>
        <v>2012Pierson2</v>
      </c>
      <c r="B297" s="6">
        <v>2012.0</v>
      </c>
      <c r="C297" s="6" t="s">
        <v>92</v>
      </c>
      <c r="D297" s="6" t="s">
        <v>131</v>
      </c>
      <c r="E297" s="34">
        <v>36557.0</v>
      </c>
      <c r="F297" s="6" t="s">
        <v>1296</v>
      </c>
      <c r="G297" s="6" t="s">
        <v>114</v>
      </c>
      <c r="H297" s="6" t="s">
        <v>1297</v>
      </c>
      <c r="I297" s="35" t="s">
        <v>161</v>
      </c>
      <c r="J297" s="36">
        <v>106.7</v>
      </c>
      <c r="K297" s="36">
        <v>70.1</v>
      </c>
      <c r="L297" s="36">
        <f t="shared" si="2"/>
        <v>1</v>
      </c>
      <c r="M297" s="36" t="str">
        <f t="shared" si="3"/>
        <v>Regular Season</v>
      </c>
      <c r="N297" s="36" t="str">
        <f>IFERROR(VLOOKUP(I297,Mapped_Owner,2,0),"")</f>
        <v>Tayski</v>
      </c>
      <c r="O297" s="6">
        <f>VLOOKUP(D297,'Mapped Opponent'!$G$4:$H$22,2,0)</f>
        <v>2</v>
      </c>
      <c r="P297" s="6"/>
      <c r="Q297" s="6" t="str">
        <f t="shared" si="4"/>
        <v>Week 2</v>
      </c>
      <c r="R297" s="6" t="str">
        <f t="shared" si="5"/>
        <v>2012Week 2</v>
      </c>
      <c r="S297" s="6">
        <f>IFERROR(__xludf.DUMMYFUNCTION("rank(J297,FILTER(J:J,R:R=R297))"),5.0)</f>
        <v>5</v>
      </c>
      <c r="T297" s="6">
        <f t="shared" si="6"/>
        <v>7</v>
      </c>
      <c r="U297" s="6">
        <f t="shared" si="7"/>
        <v>5</v>
      </c>
      <c r="V297" s="42">
        <f>averageif(AllData!A:A,B297,AllData!R:R)/vlookup(B297,AllData!A:O,15,0)</f>
        <v>91.6025641</v>
      </c>
      <c r="W297" s="6"/>
    </row>
    <row r="298" ht="14.25" customHeight="1">
      <c r="A298" s="6" t="str">
        <f t="shared" si="1"/>
        <v>2012Cock2</v>
      </c>
      <c r="B298" s="6">
        <v>2012.0</v>
      </c>
      <c r="C298" s="6" t="s">
        <v>72</v>
      </c>
      <c r="D298" s="6" t="s">
        <v>131</v>
      </c>
      <c r="E298" s="34">
        <v>42005.0</v>
      </c>
      <c r="F298" s="6" t="s">
        <v>1300</v>
      </c>
      <c r="G298" s="6" t="s">
        <v>114</v>
      </c>
      <c r="H298" s="6" t="s">
        <v>1301</v>
      </c>
      <c r="I298" s="35" t="s">
        <v>50</v>
      </c>
      <c r="J298" s="36">
        <v>67.6</v>
      </c>
      <c r="K298" s="36">
        <v>109.1</v>
      </c>
      <c r="L298" s="36">
        <f t="shared" si="2"/>
        <v>0</v>
      </c>
      <c r="M298" s="36" t="str">
        <f t="shared" si="3"/>
        <v>Regular Season</v>
      </c>
      <c r="N298" s="36" t="str">
        <f>IFERROR(VLOOKUP(I298,Mapped_Owner,2,0),"")</f>
        <v>Buser</v>
      </c>
      <c r="O298" s="6">
        <f>VLOOKUP(D298,'Mapped Opponent'!$G$4:$H$22,2,0)</f>
        <v>2</v>
      </c>
      <c r="P298" s="6"/>
      <c r="Q298" s="6" t="str">
        <f t="shared" si="4"/>
        <v>Week 2</v>
      </c>
      <c r="R298" s="6" t="str">
        <f t="shared" si="5"/>
        <v>2012Week 2</v>
      </c>
      <c r="S298" s="6">
        <f>IFERROR(__xludf.DUMMYFUNCTION("rank(J298,FILTER(J:J,R:R=R298))"),11.0)</f>
        <v>11</v>
      </c>
      <c r="T298" s="6">
        <f t="shared" si="6"/>
        <v>1</v>
      </c>
      <c r="U298" s="6">
        <f t="shared" si="7"/>
        <v>11</v>
      </c>
      <c r="V298" s="42">
        <f>averageif(AllData!A:A,B298,AllData!R:R)/vlookup(B298,AllData!A:O,15,0)</f>
        <v>91.6025641</v>
      </c>
      <c r="W298" s="6"/>
    </row>
    <row r="299" ht="14.25" customHeight="1">
      <c r="A299" s="6" t="str">
        <f t="shared" si="1"/>
        <v>2012Tayski2</v>
      </c>
      <c r="B299" s="6">
        <v>2012.0</v>
      </c>
      <c r="C299" s="6" t="s">
        <v>52</v>
      </c>
      <c r="D299" s="6" t="s">
        <v>131</v>
      </c>
      <c r="E299" s="34" t="s">
        <v>626</v>
      </c>
      <c r="F299" s="6" t="s">
        <v>1302</v>
      </c>
      <c r="G299" s="6" t="s">
        <v>125</v>
      </c>
      <c r="H299" s="6" t="s">
        <v>1303</v>
      </c>
      <c r="I299" s="35" t="s">
        <v>93</v>
      </c>
      <c r="J299" s="36">
        <v>70.1</v>
      </c>
      <c r="K299" s="36">
        <v>106.7</v>
      </c>
      <c r="L299" s="36">
        <f t="shared" si="2"/>
        <v>0</v>
      </c>
      <c r="M299" s="36" t="str">
        <f t="shared" si="3"/>
        <v>Regular Season</v>
      </c>
      <c r="N299" s="36" t="str">
        <f>IFERROR(VLOOKUP(I299,Mapped_Owner,2,0),"")</f>
        <v>Pierson</v>
      </c>
      <c r="O299" s="6">
        <f>VLOOKUP(D299,'Mapped Opponent'!$G$4:$H$22,2,0)</f>
        <v>2</v>
      </c>
      <c r="P299" s="6"/>
      <c r="Q299" s="6" t="str">
        <f t="shared" si="4"/>
        <v>Week 2</v>
      </c>
      <c r="R299" s="6" t="str">
        <f t="shared" si="5"/>
        <v>2012Week 2</v>
      </c>
      <c r="S299" s="6">
        <f>IFERROR(__xludf.DUMMYFUNCTION("rank(J299,FILTER(J:J,R:R=R299))"),9.0)</f>
        <v>9</v>
      </c>
      <c r="T299" s="6">
        <f t="shared" si="6"/>
        <v>3</v>
      </c>
      <c r="U299" s="6">
        <f t="shared" si="7"/>
        <v>9</v>
      </c>
      <c r="V299" s="42">
        <f>averageif(AllData!A:A,B299,AllData!R:R)/vlookup(B299,AllData!A:O,15,0)</f>
        <v>91.6025641</v>
      </c>
      <c r="W299" s="6"/>
    </row>
    <row r="300" ht="14.25" customHeight="1">
      <c r="A300" s="6" t="str">
        <f t="shared" si="1"/>
        <v>2012KnardDawg2</v>
      </c>
      <c r="B300" s="6">
        <v>2012.0</v>
      </c>
      <c r="C300" s="6" t="s">
        <v>86</v>
      </c>
      <c r="D300" s="6" t="s">
        <v>131</v>
      </c>
      <c r="E300" s="34">
        <v>42005.0</v>
      </c>
      <c r="F300" s="6" t="s">
        <v>1307</v>
      </c>
      <c r="G300" s="6" t="s">
        <v>125</v>
      </c>
      <c r="H300" s="6" t="s">
        <v>1308</v>
      </c>
      <c r="I300" s="35" t="s">
        <v>85</v>
      </c>
      <c r="J300" s="36">
        <v>112.7</v>
      </c>
      <c r="K300" s="36">
        <v>133.5</v>
      </c>
      <c r="L300" s="36">
        <f t="shared" si="2"/>
        <v>0</v>
      </c>
      <c r="M300" s="36" t="str">
        <f t="shared" si="3"/>
        <v>Regular Season</v>
      </c>
      <c r="N300" s="36" t="str">
        <f>IFERROR(VLOOKUP(I300,Mapped_Owner,2,0),"")</f>
        <v>T-How</v>
      </c>
      <c r="O300" s="6">
        <f>VLOOKUP(D300,'Mapped Opponent'!$G$4:$H$22,2,0)</f>
        <v>2</v>
      </c>
      <c r="P300" s="6"/>
      <c r="Q300" s="6" t="str">
        <f t="shared" si="4"/>
        <v>Week 2</v>
      </c>
      <c r="R300" s="6" t="str">
        <f t="shared" si="5"/>
        <v>2012Week 2</v>
      </c>
      <c r="S300" s="6">
        <f>IFERROR(__xludf.DUMMYFUNCTION("rank(J300,FILTER(J:J,R:R=R300))"),2.0)</f>
        <v>2</v>
      </c>
      <c r="T300" s="6">
        <f t="shared" si="6"/>
        <v>10</v>
      </c>
      <c r="U300" s="6">
        <f t="shared" si="7"/>
        <v>2</v>
      </c>
      <c r="V300" s="42">
        <f>averageif(AllData!A:A,B300,AllData!R:R)/vlookup(B300,AllData!A:O,15,0)</f>
        <v>91.6025641</v>
      </c>
      <c r="W300" s="6"/>
    </row>
    <row r="301" ht="14.25" customHeight="1">
      <c r="A301" s="6" t="str">
        <f t="shared" si="1"/>
        <v>2012T-How2</v>
      </c>
      <c r="B301" s="6">
        <v>2012.0</v>
      </c>
      <c r="C301" s="6" t="s">
        <v>82</v>
      </c>
      <c r="D301" s="6" t="s">
        <v>131</v>
      </c>
      <c r="E301" s="34">
        <v>42005.0</v>
      </c>
      <c r="F301" s="6" t="s">
        <v>1313</v>
      </c>
      <c r="G301" s="6" t="s">
        <v>114</v>
      </c>
      <c r="H301" s="6" t="s">
        <v>1314</v>
      </c>
      <c r="I301" s="35" t="s">
        <v>132</v>
      </c>
      <c r="J301" s="36">
        <v>133.5</v>
      </c>
      <c r="K301" s="36">
        <v>112.7</v>
      </c>
      <c r="L301" s="36">
        <f t="shared" si="2"/>
        <v>1</v>
      </c>
      <c r="M301" s="36" t="str">
        <f t="shared" si="3"/>
        <v>Regular Season</v>
      </c>
      <c r="N301" s="36" t="str">
        <f>IFERROR(VLOOKUP(I301,Mapped_Owner,2,0),"")</f>
        <v>KnardDawg</v>
      </c>
      <c r="O301" s="6">
        <f>VLOOKUP(D301,'Mapped Opponent'!$G$4:$H$22,2,0)</f>
        <v>2</v>
      </c>
      <c r="P301" s="6"/>
      <c r="Q301" s="6" t="str">
        <f t="shared" si="4"/>
        <v>Week 2</v>
      </c>
      <c r="R301" s="6" t="str">
        <f t="shared" si="5"/>
        <v>2012Week 2</v>
      </c>
      <c r="S301" s="6">
        <f>IFERROR(__xludf.DUMMYFUNCTION("rank(J301,FILTER(J:J,R:R=R301))"),1.0)</f>
        <v>1</v>
      </c>
      <c r="T301" s="6">
        <f t="shared" si="6"/>
        <v>11</v>
      </c>
      <c r="U301" s="6">
        <f t="shared" si="7"/>
        <v>1</v>
      </c>
      <c r="V301" s="42">
        <f>averageif(AllData!A:A,B301,AllData!R:R)/vlookup(B301,AllData!A:O,15,0)</f>
        <v>91.6025641</v>
      </c>
      <c r="W301" s="6"/>
    </row>
    <row r="302" ht="14.25" customHeight="1">
      <c r="A302" s="6" t="str">
        <f t="shared" si="1"/>
        <v>2012Hudspeath3</v>
      </c>
      <c r="B302" s="6">
        <v>2012.0</v>
      </c>
      <c r="C302" s="6" t="s">
        <v>39</v>
      </c>
      <c r="D302" s="6" t="s">
        <v>135</v>
      </c>
      <c r="E302" s="34">
        <v>42036.0</v>
      </c>
      <c r="F302" s="6" t="s">
        <v>1316</v>
      </c>
      <c r="G302" s="6" t="s">
        <v>125</v>
      </c>
      <c r="H302" s="6" t="s">
        <v>1317</v>
      </c>
      <c r="I302" s="35" t="s">
        <v>158</v>
      </c>
      <c r="J302" s="36">
        <v>99.4</v>
      </c>
      <c r="K302" s="36">
        <v>71.6</v>
      </c>
      <c r="L302" s="36">
        <f t="shared" si="2"/>
        <v>1</v>
      </c>
      <c r="M302" s="36" t="str">
        <f t="shared" si="3"/>
        <v>Regular Season</v>
      </c>
      <c r="N302" s="36" t="str">
        <f>IFERROR(VLOOKUP(I302,Mapped_Owner,2,0),"")</f>
        <v>Guckien</v>
      </c>
      <c r="O302" s="6">
        <f>VLOOKUP(D302,'Mapped Opponent'!$G$4:$H$22,2,0)</f>
        <v>3</v>
      </c>
      <c r="P302" s="6"/>
      <c r="Q302" s="6" t="str">
        <f t="shared" si="4"/>
        <v>Week 3</v>
      </c>
      <c r="R302" s="6" t="str">
        <f t="shared" si="5"/>
        <v>2012Week 3</v>
      </c>
      <c r="S302" s="6">
        <f>IFERROR(__xludf.DUMMYFUNCTION("rank(J302,FILTER(J:J,R:R=R302))"),5.0)</f>
        <v>5</v>
      </c>
      <c r="T302" s="6">
        <f t="shared" si="6"/>
        <v>7</v>
      </c>
      <c r="U302" s="6">
        <f t="shared" si="7"/>
        <v>5</v>
      </c>
      <c r="V302" s="42">
        <f>averageif(AllData!A:A,B302,AllData!R:R)/vlookup(B302,AllData!A:O,15,0)</f>
        <v>91.6025641</v>
      </c>
      <c r="W302" s="6"/>
    </row>
    <row r="303" ht="14.25" customHeight="1">
      <c r="A303" s="6" t="str">
        <f t="shared" si="1"/>
        <v>2012Salty3</v>
      </c>
      <c r="B303" s="6">
        <v>2012.0</v>
      </c>
      <c r="C303" s="6" t="s">
        <v>76</v>
      </c>
      <c r="D303" s="6" t="s">
        <v>135</v>
      </c>
      <c r="E303" s="34" t="s">
        <v>684</v>
      </c>
      <c r="F303" s="6" t="s">
        <v>1321</v>
      </c>
      <c r="G303" s="6" t="s">
        <v>114</v>
      </c>
      <c r="H303" s="6" t="s">
        <v>1322</v>
      </c>
      <c r="I303" s="35" t="s">
        <v>91</v>
      </c>
      <c r="J303" s="36">
        <v>65.4</v>
      </c>
      <c r="K303" s="36">
        <v>120.1</v>
      </c>
      <c r="L303" s="36">
        <f t="shared" si="2"/>
        <v>0</v>
      </c>
      <c r="M303" s="36" t="str">
        <f t="shared" si="3"/>
        <v>Regular Season</v>
      </c>
      <c r="N303" s="36" t="str">
        <f>IFERROR(VLOOKUP(I303,Mapped_Owner,2,0),"")</f>
        <v>Shep</v>
      </c>
      <c r="O303" s="6">
        <f>VLOOKUP(D303,'Mapped Opponent'!$G$4:$H$22,2,0)</f>
        <v>3</v>
      </c>
      <c r="P303" s="6"/>
      <c r="Q303" s="6" t="str">
        <f t="shared" si="4"/>
        <v>Week 3</v>
      </c>
      <c r="R303" s="6" t="str">
        <f t="shared" si="5"/>
        <v>2012Week 3</v>
      </c>
      <c r="S303" s="6">
        <f>IFERROR(__xludf.DUMMYFUNCTION("rank(J303,FILTER(J:J,R:R=R303))"),11.0)</f>
        <v>11</v>
      </c>
      <c r="T303" s="6">
        <f t="shared" si="6"/>
        <v>1</v>
      </c>
      <c r="U303" s="6">
        <f t="shared" si="7"/>
        <v>11</v>
      </c>
      <c r="V303" s="42">
        <f>averageif(AllData!A:A,B303,AllData!R:R)/vlookup(B303,AllData!A:O,15,0)</f>
        <v>91.6025641</v>
      </c>
      <c r="W303" s="6"/>
    </row>
    <row r="304" ht="14.25" customHeight="1">
      <c r="A304" s="6" t="str">
        <f t="shared" si="1"/>
        <v>2012Fellows3</v>
      </c>
      <c r="B304" s="6">
        <v>2012.0</v>
      </c>
      <c r="C304" s="6" t="s">
        <v>79</v>
      </c>
      <c r="D304" s="6" t="s">
        <v>135</v>
      </c>
      <c r="E304" s="34">
        <v>42036.0</v>
      </c>
      <c r="F304" s="6" t="s">
        <v>1323</v>
      </c>
      <c r="G304" s="6" t="s">
        <v>125</v>
      </c>
      <c r="H304" s="6" t="s">
        <v>1325</v>
      </c>
      <c r="I304" s="35" t="s">
        <v>58</v>
      </c>
      <c r="J304" s="36">
        <v>117.9</v>
      </c>
      <c r="K304" s="36">
        <v>62.4</v>
      </c>
      <c r="L304" s="36">
        <f t="shared" si="2"/>
        <v>1</v>
      </c>
      <c r="M304" s="36" t="str">
        <f t="shared" si="3"/>
        <v>Regular Season</v>
      </c>
      <c r="N304" s="36" t="str">
        <f>IFERROR(VLOOKUP(I304,Mapped_Owner,2,0),"")</f>
        <v>Rooney/Jackson</v>
      </c>
      <c r="O304" s="6">
        <f>VLOOKUP(D304,'Mapped Opponent'!$G$4:$H$22,2,0)</f>
        <v>3</v>
      </c>
      <c r="P304" s="6"/>
      <c r="Q304" s="6" t="str">
        <f t="shared" si="4"/>
        <v>Week 3</v>
      </c>
      <c r="R304" s="6" t="str">
        <f t="shared" si="5"/>
        <v>2012Week 3</v>
      </c>
      <c r="S304" s="6">
        <f>IFERROR(__xludf.DUMMYFUNCTION("rank(J304,FILTER(J:J,R:R=R304))"),2.0)</f>
        <v>2</v>
      </c>
      <c r="T304" s="6">
        <f t="shared" si="6"/>
        <v>10</v>
      </c>
      <c r="U304" s="6">
        <f t="shared" si="7"/>
        <v>2</v>
      </c>
      <c r="V304" s="42">
        <f>averageif(AllData!A:A,B304,AllData!R:R)/vlookup(B304,AllData!A:O,15,0)</f>
        <v>91.6025641</v>
      </c>
      <c r="W304" s="6"/>
    </row>
    <row r="305" ht="14.25" customHeight="1">
      <c r="A305" s="6" t="str">
        <f t="shared" si="1"/>
        <v>2012Shep3</v>
      </c>
      <c r="B305" s="6">
        <v>2012.0</v>
      </c>
      <c r="C305" s="6" t="s">
        <v>89</v>
      </c>
      <c r="D305" s="6" t="s">
        <v>135</v>
      </c>
      <c r="E305" s="34">
        <v>36586.0</v>
      </c>
      <c r="F305" s="6" t="s">
        <v>1329</v>
      </c>
      <c r="G305" s="6" t="s">
        <v>125</v>
      </c>
      <c r="H305" s="6" t="s">
        <v>1330</v>
      </c>
      <c r="I305" s="35" t="s">
        <v>77</v>
      </c>
      <c r="J305" s="36">
        <v>120.1</v>
      </c>
      <c r="K305" s="36">
        <v>65.4</v>
      </c>
      <c r="L305" s="36">
        <f t="shared" si="2"/>
        <v>1</v>
      </c>
      <c r="M305" s="36" t="str">
        <f t="shared" si="3"/>
        <v>Regular Season</v>
      </c>
      <c r="N305" s="36" t="str">
        <f>IFERROR(VLOOKUP(I305,Mapped_Owner,2,0),"")</f>
        <v>Salty</v>
      </c>
      <c r="O305" s="6">
        <f>VLOOKUP(D305,'Mapped Opponent'!$G$4:$H$22,2,0)</f>
        <v>3</v>
      </c>
      <c r="P305" s="6"/>
      <c r="Q305" s="6" t="str">
        <f t="shared" si="4"/>
        <v>Week 3</v>
      </c>
      <c r="R305" s="6" t="str">
        <f t="shared" si="5"/>
        <v>2012Week 3</v>
      </c>
      <c r="S305" s="6">
        <f>IFERROR(__xludf.DUMMYFUNCTION("rank(J305,FILTER(J:J,R:R=R305))"),1.0)</f>
        <v>1</v>
      </c>
      <c r="T305" s="6">
        <f t="shared" si="6"/>
        <v>11</v>
      </c>
      <c r="U305" s="6">
        <f t="shared" si="7"/>
        <v>1</v>
      </c>
      <c r="V305" s="42">
        <f>averageif(AllData!A:A,B305,AllData!R:R)/vlookup(B305,AllData!A:O,15,0)</f>
        <v>91.6025641</v>
      </c>
      <c r="W305" s="6"/>
    </row>
    <row r="306" ht="14.25" customHeight="1">
      <c r="A306" s="6" t="str">
        <f t="shared" si="1"/>
        <v>2012Guckien3</v>
      </c>
      <c r="B306" s="6">
        <v>2012.0</v>
      </c>
      <c r="C306" s="6" t="s">
        <v>159</v>
      </c>
      <c r="D306" s="6" t="s">
        <v>135</v>
      </c>
      <c r="E306" s="34" t="s">
        <v>684</v>
      </c>
      <c r="F306" s="6" t="s">
        <v>1333</v>
      </c>
      <c r="G306" s="6" t="s">
        <v>114</v>
      </c>
      <c r="H306" s="6" t="s">
        <v>1334</v>
      </c>
      <c r="I306" s="35" t="s">
        <v>64</v>
      </c>
      <c r="J306" s="36">
        <v>71.6</v>
      </c>
      <c r="K306" s="36">
        <v>99.4</v>
      </c>
      <c r="L306" s="36">
        <f t="shared" si="2"/>
        <v>0</v>
      </c>
      <c r="M306" s="36" t="str">
        <f t="shared" si="3"/>
        <v>Regular Season</v>
      </c>
      <c r="N306" s="36" t="str">
        <f>IFERROR(VLOOKUP(I306,Mapped_Owner,2,0),"")</f>
        <v>Hudspeath</v>
      </c>
      <c r="O306" s="6">
        <f>VLOOKUP(D306,'Mapped Opponent'!$G$4:$H$22,2,0)</f>
        <v>3</v>
      </c>
      <c r="P306" s="6"/>
      <c r="Q306" s="6" t="str">
        <f t="shared" si="4"/>
        <v>Week 3</v>
      </c>
      <c r="R306" s="6" t="str">
        <f t="shared" si="5"/>
        <v>2012Week 3</v>
      </c>
      <c r="S306" s="6">
        <f>IFERROR(__xludf.DUMMYFUNCTION("rank(J306,FILTER(J:J,R:R=R306))"),10.0)</f>
        <v>10</v>
      </c>
      <c r="T306" s="6">
        <f t="shared" si="6"/>
        <v>2</v>
      </c>
      <c r="U306" s="6">
        <f t="shared" si="7"/>
        <v>10</v>
      </c>
      <c r="V306" s="42">
        <f>averageif(AllData!A:A,B306,AllData!R:R)/vlookup(B306,AllData!A:O,15,0)</f>
        <v>91.6025641</v>
      </c>
      <c r="W306" s="6"/>
    </row>
    <row r="307" ht="14.25" customHeight="1">
      <c r="A307" s="6" t="str">
        <f t="shared" si="1"/>
        <v>2012Rooney/Jackson3</v>
      </c>
      <c r="B307" s="6">
        <v>2012.0</v>
      </c>
      <c r="C307" s="6" t="s">
        <v>57</v>
      </c>
      <c r="D307" s="6" t="s">
        <v>135</v>
      </c>
      <c r="E307" s="34">
        <v>42036.0</v>
      </c>
      <c r="F307" s="6" t="s">
        <v>1335</v>
      </c>
      <c r="G307" s="6" t="s">
        <v>114</v>
      </c>
      <c r="H307" s="6" t="s">
        <v>1336</v>
      </c>
      <c r="I307" s="35" t="s">
        <v>80</v>
      </c>
      <c r="J307" s="36">
        <v>62.4</v>
      </c>
      <c r="K307" s="36">
        <v>117.9</v>
      </c>
      <c r="L307" s="36">
        <f t="shared" si="2"/>
        <v>0</v>
      </c>
      <c r="M307" s="36" t="str">
        <f t="shared" si="3"/>
        <v>Regular Season</v>
      </c>
      <c r="N307" s="36" t="str">
        <f>IFERROR(VLOOKUP(I307,Mapped_Owner,2,0),"")</f>
        <v>Fellows</v>
      </c>
      <c r="O307" s="6">
        <f>VLOOKUP(D307,'Mapped Opponent'!$G$4:$H$22,2,0)</f>
        <v>3</v>
      </c>
      <c r="P307" s="6"/>
      <c r="Q307" s="6" t="str">
        <f t="shared" si="4"/>
        <v>Week 3</v>
      </c>
      <c r="R307" s="6" t="str">
        <f t="shared" si="5"/>
        <v>2012Week 3</v>
      </c>
      <c r="S307" s="6">
        <f>IFERROR(__xludf.DUMMYFUNCTION("rank(J307,FILTER(J:J,R:R=R307))"),12.0)</f>
        <v>12</v>
      </c>
      <c r="T307" s="6">
        <f t="shared" si="6"/>
        <v>0</v>
      </c>
      <c r="U307" s="6">
        <f t="shared" si="7"/>
        <v>12</v>
      </c>
      <c r="V307" s="42">
        <f>averageif(AllData!A:A,B307,AllData!R:R)/vlookup(B307,AllData!A:O,15,0)</f>
        <v>91.6025641</v>
      </c>
      <c r="W307" s="6"/>
    </row>
    <row r="308" ht="14.25" customHeight="1">
      <c r="A308" s="6" t="str">
        <f t="shared" si="1"/>
        <v>2012Buser3</v>
      </c>
      <c r="B308" s="6">
        <v>2012.0</v>
      </c>
      <c r="C308" s="6" t="s">
        <v>47</v>
      </c>
      <c r="D308" s="6" t="s">
        <v>135</v>
      </c>
      <c r="E308" s="34">
        <v>42006.0</v>
      </c>
      <c r="F308" s="6" t="s">
        <v>1339</v>
      </c>
      <c r="G308" s="6" t="s">
        <v>114</v>
      </c>
      <c r="H308" s="6" t="s">
        <v>1340</v>
      </c>
      <c r="I308" s="35" t="s">
        <v>161</v>
      </c>
      <c r="J308" s="36">
        <v>81.3</v>
      </c>
      <c r="K308" s="36">
        <v>110.0</v>
      </c>
      <c r="L308" s="36">
        <f t="shared" si="2"/>
        <v>0</v>
      </c>
      <c r="M308" s="36" t="str">
        <f t="shared" si="3"/>
        <v>Regular Season</v>
      </c>
      <c r="N308" s="36" t="str">
        <f>IFERROR(VLOOKUP(I308,Mapped_Owner,2,0),"")</f>
        <v>Tayski</v>
      </c>
      <c r="O308" s="6">
        <f>VLOOKUP(D308,'Mapped Opponent'!$G$4:$H$22,2,0)</f>
        <v>3</v>
      </c>
      <c r="P308" s="6"/>
      <c r="Q308" s="6" t="str">
        <f t="shared" si="4"/>
        <v>Week 3</v>
      </c>
      <c r="R308" s="6" t="str">
        <f t="shared" si="5"/>
        <v>2012Week 3</v>
      </c>
      <c r="S308" s="6">
        <f>IFERROR(__xludf.DUMMYFUNCTION("rank(J308,FILTER(J:J,R:R=R308))"),9.0)</f>
        <v>9</v>
      </c>
      <c r="T308" s="6">
        <f t="shared" si="6"/>
        <v>3</v>
      </c>
      <c r="U308" s="6">
        <f t="shared" si="7"/>
        <v>9</v>
      </c>
      <c r="V308" s="42">
        <f>averageif(AllData!A:A,B308,AllData!R:R)/vlookup(B308,AllData!A:O,15,0)</f>
        <v>91.6025641</v>
      </c>
      <c r="W308" s="6"/>
    </row>
    <row r="309" ht="14.25" customHeight="1">
      <c r="A309" s="6" t="str">
        <f t="shared" si="1"/>
        <v>2012Pierson3</v>
      </c>
      <c r="B309" s="6">
        <v>2012.0</v>
      </c>
      <c r="C309" s="6" t="s">
        <v>92</v>
      </c>
      <c r="D309" s="6" t="s">
        <v>135</v>
      </c>
      <c r="E309" s="34">
        <v>36586.0</v>
      </c>
      <c r="F309" s="6" t="s">
        <v>1343</v>
      </c>
      <c r="G309" s="6" t="s">
        <v>125</v>
      </c>
      <c r="H309" s="6" t="s">
        <v>1344</v>
      </c>
      <c r="I309" s="35" t="s">
        <v>85</v>
      </c>
      <c r="J309" s="36">
        <v>93.1</v>
      </c>
      <c r="K309" s="36">
        <v>90.8</v>
      </c>
      <c r="L309" s="36">
        <f t="shared" si="2"/>
        <v>1</v>
      </c>
      <c r="M309" s="36" t="str">
        <f t="shared" si="3"/>
        <v>Regular Season</v>
      </c>
      <c r="N309" s="36" t="str">
        <f>IFERROR(VLOOKUP(I309,Mapped_Owner,2,0),"")</f>
        <v>T-How</v>
      </c>
      <c r="O309" s="6">
        <f>VLOOKUP(D309,'Mapped Opponent'!$G$4:$H$22,2,0)</f>
        <v>3</v>
      </c>
      <c r="P309" s="6"/>
      <c r="Q309" s="6" t="str">
        <f t="shared" si="4"/>
        <v>Week 3</v>
      </c>
      <c r="R309" s="6" t="str">
        <f t="shared" si="5"/>
        <v>2012Week 3</v>
      </c>
      <c r="S309" s="6">
        <f>IFERROR(__xludf.DUMMYFUNCTION("rank(J309,FILTER(J:J,R:R=R309))"),7.0)</f>
        <v>7</v>
      </c>
      <c r="T309" s="6">
        <f t="shared" si="6"/>
        <v>5</v>
      </c>
      <c r="U309" s="6">
        <f t="shared" si="7"/>
        <v>7</v>
      </c>
      <c r="V309" s="42">
        <f>averageif(AllData!A:A,B309,AllData!R:R)/vlookup(B309,AllData!A:O,15,0)</f>
        <v>91.6025641</v>
      </c>
      <c r="W309" s="6"/>
    </row>
    <row r="310" ht="14.25" customHeight="1">
      <c r="A310" s="6" t="str">
        <f t="shared" si="1"/>
        <v>2012Cock3</v>
      </c>
      <c r="B310" s="6">
        <v>2012.0</v>
      </c>
      <c r="C310" s="6" t="s">
        <v>72</v>
      </c>
      <c r="D310" s="6" t="s">
        <v>135</v>
      </c>
      <c r="E310" s="34">
        <v>42006.0</v>
      </c>
      <c r="F310" s="6" t="s">
        <v>1345</v>
      </c>
      <c r="G310" s="6" t="s">
        <v>125</v>
      </c>
      <c r="H310" s="6" t="s">
        <v>1346</v>
      </c>
      <c r="I310" s="35" t="s">
        <v>132</v>
      </c>
      <c r="J310" s="36">
        <v>98.9</v>
      </c>
      <c r="K310" s="36">
        <v>116.9</v>
      </c>
      <c r="L310" s="36">
        <f t="shared" si="2"/>
        <v>0</v>
      </c>
      <c r="M310" s="36" t="str">
        <f t="shared" si="3"/>
        <v>Regular Season</v>
      </c>
      <c r="N310" s="36" t="str">
        <f>IFERROR(VLOOKUP(I310,Mapped_Owner,2,0),"")</f>
        <v>KnardDawg</v>
      </c>
      <c r="O310" s="6">
        <f>VLOOKUP(D310,'Mapped Opponent'!$G$4:$H$22,2,0)</f>
        <v>3</v>
      </c>
      <c r="P310" s="6"/>
      <c r="Q310" s="6" t="str">
        <f t="shared" si="4"/>
        <v>Week 3</v>
      </c>
      <c r="R310" s="6" t="str">
        <f t="shared" si="5"/>
        <v>2012Week 3</v>
      </c>
      <c r="S310" s="6">
        <f>IFERROR(__xludf.DUMMYFUNCTION("rank(J310,FILTER(J:J,R:R=R310))"),6.0)</f>
        <v>6</v>
      </c>
      <c r="T310" s="6">
        <f t="shared" si="6"/>
        <v>6</v>
      </c>
      <c r="U310" s="6">
        <f t="shared" si="7"/>
        <v>6</v>
      </c>
      <c r="V310" s="42">
        <f>averageif(AllData!A:A,B310,AllData!R:R)/vlookup(B310,AllData!A:O,15,0)</f>
        <v>91.6025641</v>
      </c>
      <c r="W310" s="6"/>
    </row>
    <row r="311" ht="14.25" customHeight="1">
      <c r="A311" s="6" t="str">
        <f t="shared" si="1"/>
        <v>2012Tayski3</v>
      </c>
      <c r="B311" s="6">
        <v>2012.0</v>
      </c>
      <c r="C311" s="6" t="s">
        <v>52</v>
      </c>
      <c r="D311" s="6" t="s">
        <v>135</v>
      </c>
      <c r="E311" s="34">
        <v>42006.0</v>
      </c>
      <c r="F311" s="6" t="s">
        <v>1351</v>
      </c>
      <c r="G311" s="6" t="s">
        <v>125</v>
      </c>
      <c r="H311" s="6" t="s">
        <v>1352</v>
      </c>
      <c r="I311" s="35" t="s">
        <v>50</v>
      </c>
      <c r="J311" s="36">
        <v>110.0</v>
      </c>
      <c r="K311" s="36">
        <v>81.3</v>
      </c>
      <c r="L311" s="36">
        <f t="shared" si="2"/>
        <v>1</v>
      </c>
      <c r="M311" s="36" t="str">
        <f t="shared" si="3"/>
        <v>Regular Season</v>
      </c>
      <c r="N311" s="36" t="str">
        <f>IFERROR(VLOOKUP(I311,Mapped_Owner,2,0),"")</f>
        <v>Buser</v>
      </c>
      <c r="O311" s="6">
        <f>VLOOKUP(D311,'Mapped Opponent'!$G$4:$H$22,2,0)</f>
        <v>3</v>
      </c>
      <c r="P311" s="6"/>
      <c r="Q311" s="6" t="str">
        <f t="shared" si="4"/>
        <v>Week 3</v>
      </c>
      <c r="R311" s="6" t="str">
        <f t="shared" si="5"/>
        <v>2012Week 3</v>
      </c>
      <c r="S311" s="6">
        <f>IFERROR(__xludf.DUMMYFUNCTION("rank(J311,FILTER(J:J,R:R=R311))"),4.0)</f>
        <v>4</v>
      </c>
      <c r="T311" s="6">
        <f t="shared" si="6"/>
        <v>8</v>
      </c>
      <c r="U311" s="6">
        <f t="shared" si="7"/>
        <v>4</v>
      </c>
      <c r="V311" s="42">
        <f>averageif(AllData!A:A,B311,AllData!R:R)/vlookup(B311,AllData!A:O,15,0)</f>
        <v>91.6025641</v>
      </c>
      <c r="W311" s="6"/>
    </row>
    <row r="312" ht="14.25" customHeight="1">
      <c r="A312" s="6" t="str">
        <f t="shared" si="1"/>
        <v>2012KnardDawg3</v>
      </c>
      <c r="B312" s="6">
        <v>2012.0</v>
      </c>
      <c r="C312" s="6" t="s">
        <v>86</v>
      </c>
      <c r="D312" s="6" t="s">
        <v>135</v>
      </c>
      <c r="E312" s="34">
        <v>42036.0</v>
      </c>
      <c r="F312" s="6" t="s">
        <v>1355</v>
      </c>
      <c r="G312" s="6" t="s">
        <v>114</v>
      </c>
      <c r="H312" s="6" t="s">
        <v>1356</v>
      </c>
      <c r="I312" s="35" t="s">
        <v>99</v>
      </c>
      <c r="J312" s="36">
        <v>116.9</v>
      </c>
      <c r="K312" s="36">
        <v>98.9</v>
      </c>
      <c r="L312" s="36">
        <f t="shared" si="2"/>
        <v>1</v>
      </c>
      <c r="M312" s="36" t="str">
        <f t="shared" si="3"/>
        <v>Regular Season</v>
      </c>
      <c r="N312" s="36" t="str">
        <f>IFERROR(VLOOKUP(I312,Mapped_Owner,2,0),"")</f>
        <v>Cock</v>
      </c>
      <c r="O312" s="6">
        <f>VLOOKUP(D312,'Mapped Opponent'!$G$4:$H$22,2,0)</f>
        <v>3</v>
      </c>
      <c r="P312" s="6"/>
      <c r="Q312" s="6" t="str">
        <f t="shared" si="4"/>
        <v>Week 3</v>
      </c>
      <c r="R312" s="6" t="str">
        <f t="shared" si="5"/>
        <v>2012Week 3</v>
      </c>
      <c r="S312" s="6">
        <f>IFERROR(__xludf.DUMMYFUNCTION("rank(J312,FILTER(J:J,R:R=R312))"),3.0)</f>
        <v>3</v>
      </c>
      <c r="T312" s="6">
        <f t="shared" si="6"/>
        <v>9</v>
      </c>
      <c r="U312" s="6">
        <f t="shared" si="7"/>
        <v>3</v>
      </c>
      <c r="V312" s="42">
        <f>averageif(AllData!A:A,B312,AllData!R:R)/vlookup(B312,AllData!A:O,15,0)</f>
        <v>91.6025641</v>
      </c>
      <c r="W312" s="6"/>
    </row>
    <row r="313" ht="14.25" customHeight="1">
      <c r="A313" s="6" t="str">
        <f t="shared" si="1"/>
        <v>2012T-How3</v>
      </c>
      <c r="B313" s="6">
        <v>2012.0</v>
      </c>
      <c r="C313" s="6" t="s">
        <v>82</v>
      </c>
      <c r="D313" s="6" t="s">
        <v>135</v>
      </c>
      <c r="E313" s="34">
        <v>42006.0</v>
      </c>
      <c r="F313" s="6" t="s">
        <v>1359</v>
      </c>
      <c r="G313" s="6" t="s">
        <v>114</v>
      </c>
      <c r="H313" s="6" t="s">
        <v>1360</v>
      </c>
      <c r="I313" s="35" t="s">
        <v>93</v>
      </c>
      <c r="J313" s="36">
        <v>90.8</v>
      </c>
      <c r="K313" s="36">
        <v>93.1</v>
      </c>
      <c r="L313" s="36">
        <f t="shared" si="2"/>
        <v>0</v>
      </c>
      <c r="M313" s="36" t="str">
        <f t="shared" si="3"/>
        <v>Regular Season</v>
      </c>
      <c r="N313" s="36" t="str">
        <f>IFERROR(VLOOKUP(I313,Mapped_Owner,2,0),"")</f>
        <v>Pierson</v>
      </c>
      <c r="O313" s="6">
        <f>VLOOKUP(D313,'Mapped Opponent'!$G$4:$H$22,2,0)</f>
        <v>3</v>
      </c>
      <c r="P313" s="6"/>
      <c r="Q313" s="6" t="str">
        <f t="shared" si="4"/>
        <v>Week 3</v>
      </c>
      <c r="R313" s="6" t="str">
        <f t="shared" si="5"/>
        <v>2012Week 3</v>
      </c>
      <c r="S313" s="6">
        <f>IFERROR(__xludf.DUMMYFUNCTION("rank(J313,FILTER(J:J,R:R=R313))"),8.0)</f>
        <v>8</v>
      </c>
      <c r="T313" s="6">
        <f t="shared" si="6"/>
        <v>4</v>
      </c>
      <c r="U313" s="6">
        <f t="shared" si="7"/>
        <v>8</v>
      </c>
      <c r="V313" s="42">
        <f>averageif(AllData!A:A,B313,AllData!R:R)/vlookup(B313,AllData!A:O,15,0)</f>
        <v>91.6025641</v>
      </c>
      <c r="W313" s="6"/>
    </row>
    <row r="314" ht="14.25" customHeight="1">
      <c r="A314" s="6" t="str">
        <f t="shared" si="1"/>
        <v>2012Hudspeath4</v>
      </c>
      <c r="B314" s="6">
        <v>2012.0</v>
      </c>
      <c r="C314" s="6" t="s">
        <v>39</v>
      </c>
      <c r="D314" s="6" t="s">
        <v>138</v>
      </c>
      <c r="E314" s="34">
        <v>42037.0</v>
      </c>
      <c r="F314" s="6" t="s">
        <v>1361</v>
      </c>
      <c r="G314" s="6" t="s">
        <v>114</v>
      </c>
      <c r="H314" s="6" t="s">
        <v>1362</v>
      </c>
      <c r="I314" s="35" t="s">
        <v>80</v>
      </c>
      <c r="J314" s="36">
        <v>90.7</v>
      </c>
      <c r="K314" s="36">
        <v>96.5</v>
      </c>
      <c r="L314" s="36">
        <f t="shared" si="2"/>
        <v>0</v>
      </c>
      <c r="M314" s="36" t="str">
        <f t="shared" si="3"/>
        <v>Regular Season</v>
      </c>
      <c r="N314" s="36" t="str">
        <f>IFERROR(VLOOKUP(I314,Mapped_Owner,2,0),"")</f>
        <v>Fellows</v>
      </c>
      <c r="O314" s="6">
        <f>VLOOKUP(D314,'Mapped Opponent'!$G$4:$H$22,2,0)</f>
        <v>4</v>
      </c>
      <c r="P314" s="6"/>
      <c r="Q314" s="6" t="str">
        <f t="shared" si="4"/>
        <v>Week 4</v>
      </c>
      <c r="R314" s="6" t="str">
        <f t="shared" si="5"/>
        <v>2012Week 4</v>
      </c>
      <c r="S314" s="6">
        <f>IFERROR(__xludf.DUMMYFUNCTION("rank(J314,FILTER(J:J,R:R=R314))"),8.0)</f>
        <v>8</v>
      </c>
      <c r="T314" s="6">
        <f t="shared" si="6"/>
        <v>4</v>
      </c>
      <c r="U314" s="6">
        <f t="shared" si="7"/>
        <v>8</v>
      </c>
      <c r="V314" s="42">
        <f>averageif(AllData!A:A,B314,AllData!R:R)/vlookup(B314,AllData!A:O,15,0)</f>
        <v>91.6025641</v>
      </c>
      <c r="W314" s="6"/>
    </row>
    <row r="315" ht="14.25" customHeight="1">
      <c r="A315" s="6" t="str">
        <f t="shared" si="1"/>
        <v>2012Salty4</v>
      </c>
      <c r="B315" s="6">
        <v>2012.0</v>
      </c>
      <c r="C315" s="6" t="s">
        <v>76</v>
      </c>
      <c r="D315" s="6" t="s">
        <v>138</v>
      </c>
      <c r="E315" s="34">
        <v>42007.0</v>
      </c>
      <c r="F315" s="6" t="s">
        <v>1364</v>
      </c>
      <c r="G315" s="6" t="s">
        <v>125</v>
      </c>
      <c r="H315" s="6" t="s">
        <v>1365</v>
      </c>
      <c r="I315" s="35" t="s">
        <v>158</v>
      </c>
      <c r="J315" s="36">
        <v>117.3</v>
      </c>
      <c r="K315" s="36">
        <v>87.7</v>
      </c>
      <c r="L315" s="36">
        <f t="shared" si="2"/>
        <v>1</v>
      </c>
      <c r="M315" s="36" t="str">
        <f t="shared" si="3"/>
        <v>Regular Season</v>
      </c>
      <c r="N315" s="36" t="str">
        <f>IFERROR(VLOOKUP(I315,Mapped_Owner,2,0),"")</f>
        <v>Guckien</v>
      </c>
      <c r="O315" s="6">
        <f>VLOOKUP(D315,'Mapped Opponent'!$G$4:$H$22,2,0)</f>
        <v>4</v>
      </c>
      <c r="P315" s="6"/>
      <c r="Q315" s="6" t="str">
        <f t="shared" si="4"/>
        <v>Week 4</v>
      </c>
      <c r="R315" s="6" t="str">
        <f t="shared" si="5"/>
        <v>2012Week 4</v>
      </c>
      <c r="S315" s="6">
        <f>IFERROR(__xludf.DUMMYFUNCTION("rank(J315,FILTER(J:J,R:R=R315))"),1.0)</f>
        <v>1</v>
      </c>
      <c r="T315" s="6">
        <f t="shared" si="6"/>
        <v>11</v>
      </c>
      <c r="U315" s="6">
        <f t="shared" si="7"/>
        <v>1</v>
      </c>
      <c r="V315" s="42">
        <f>averageif(AllData!A:A,B315,AllData!R:R)/vlookup(B315,AllData!A:O,15,0)</f>
        <v>91.6025641</v>
      </c>
      <c r="W315" s="6"/>
    </row>
    <row r="316" ht="14.25" customHeight="1">
      <c r="A316" s="6" t="str">
        <f t="shared" si="1"/>
        <v>2012Fellows4</v>
      </c>
      <c r="B316" s="6">
        <v>2012.0</v>
      </c>
      <c r="C316" s="6" t="s">
        <v>79</v>
      </c>
      <c r="D316" s="6" t="s">
        <v>138</v>
      </c>
      <c r="E316" s="34">
        <v>42064.0</v>
      </c>
      <c r="F316" s="6" t="s">
        <v>1367</v>
      </c>
      <c r="G316" s="6" t="s">
        <v>125</v>
      </c>
      <c r="H316" s="6" t="s">
        <v>705</v>
      </c>
      <c r="I316" s="35" t="s">
        <v>64</v>
      </c>
      <c r="J316" s="36">
        <v>96.5</v>
      </c>
      <c r="K316" s="36">
        <v>90.7</v>
      </c>
      <c r="L316" s="36">
        <f t="shared" si="2"/>
        <v>1</v>
      </c>
      <c r="M316" s="36" t="str">
        <f t="shared" si="3"/>
        <v>Regular Season</v>
      </c>
      <c r="N316" s="36" t="str">
        <f>IFERROR(VLOOKUP(I316,Mapped_Owner,2,0),"")</f>
        <v>Hudspeath</v>
      </c>
      <c r="O316" s="6">
        <f>VLOOKUP(D316,'Mapped Opponent'!$G$4:$H$22,2,0)</f>
        <v>4</v>
      </c>
      <c r="P316" s="6"/>
      <c r="Q316" s="6" t="str">
        <f t="shared" si="4"/>
        <v>Week 4</v>
      </c>
      <c r="R316" s="6" t="str">
        <f t="shared" si="5"/>
        <v>2012Week 4</v>
      </c>
      <c r="S316" s="6">
        <f>IFERROR(__xludf.DUMMYFUNCTION("rank(J316,FILTER(J:J,R:R=R316))"),4.0)</f>
        <v>4</v>
      </c>
      <c r="T316" s="6">
        <f t="shared" si="6"/>
        <v>8</v>
      </c>
      <c r="U316" s="6">
        <f t="shared" si="7"/>
        <v>4</v>
      </c>
      <c r="V316" s="42">
        <f>averageif(AllData!A:A,B316,AllData!R:R)/vlookup(B316,AllData!A:O,15,0)</f>
        <v>91.6025641</v>
      </c>
      <c r="W316" s="6"/>
    </row>
    <row r="317" ht="14.25" customHeight="1">
      <c r="A317" s="6" t="str">
        <f t="shared" si="1"/>
        <v>2012Shep4</v>
      </c>
      <c r="B317" s="6">
        <v>2012.0</v>
      </c>
      <c r="C317" s="6" t="s">
        <v>89</v>
      </c>
      <c r="D317" s="6" t="s">
        <v>138</v>
      </c>
      <c r="E317" s="34">
        <v>42064.0</v>
      </c>
      <c r="F317" s="6" t="s">
        <v>1370</v>
      </c>
      <c r="G317" s="6" t="s">
        <v>114</v>
      </c>
      <c r="H317" s="6" t="s">
        <v>1371</v>
      </c>
      <c r="I317" s="35" t="s">
        <v>58</v>
      </c>
      <c r="J317" s="36">
        <v>88.0</v>
      </c>
      <c r="K317" s="36">
        <v>94.3</v>
      </c>
      <c r="L317" s="36">
        <f t="shared" si="2"/>
        <v>0</v>
      </c>
      <c r="M317" s="36" t="str">
        <f t="shared" si="3"/>
        <v>Regular Season</v>
      </c>
      <c r="N317" s="36" t="str">
        <f>IFERROR(VLOOKUP(I317,Mapped_Owner,2,0),"")</f>
        <v>Rooney/Jackson</v>
      </c>
      <c r="O317" s="6">
        <f>VLOOKUP(D317,'Mapped Opponent'!$G$4:$H$22,2,0)</f>
        <v>4</v>
      </c>
      <c r="P317" s="6"/>
      <c r="Q317" s="6" t="str">
        <f t="shared" si="4"/>
        <v>Week 4</v>
      </c>
      <c r="R317" s="6" t="str">
        <f t="shared" si="5"/>
        <v>2012Week 4</v>
      </c>
      <c r="S317" s="6">
        <f>IFERROR(__xludf.DUMMYFUNCTION("rank(J317,FILTER(J:J,R:R=R317))"),9.0)</f>
        <v>9</v>
      </c>
      <c r="T317" s="6">
        <f t="shared" si="6"/>
        <v>3</v>
      </c>
      <c r="U317" s="6">
        <f t="shared" si="7"/>
        <v>9</v>
      </c>
      <c r="V317" s="42">
        <f>averageif(AllData!A:A,B317,AllData!R:R)/vlookup(B317,AllData!A:O,15,0)</f>
        <v>91.6025641</v>
      </c>
      <c r="W317" s="6"/>
    </row>
    <row r="318" ht="14.25" customHeight="1">
      <c r="A318" s="6" t="str">
        <f t="shared" si="1"/>
        <v>2012Guckien4</v>
      </c>
      <c r="B318" s="6">
        <v>2012.0</v>
      </c>
      <c r="C318" s="6" t="s">
        <v>159</v>
      </c>
      <c r="D318" s="6" t="s">
        <v>138</v>
      </c>
      <c r="E318" s="34" t="s">
        <v>1373</v>
      </c>
      <c r="F318" s="6" t="s">
        <v>1374</v>
      </c>
      <c r="G318" s="6" t="s">
        <v>114</v>
      </c>
      <c r="H318" s="6" t="s">
        <v>1375</v>
      </c>
      <c r="I318" s="35" t="s">
        <v>77</v>
      </c>
      <c r="J318" s="36">
        <v>87.7</v>
      </c>
      <c r="K318" s="36">
        <v>117.3</v>
      </c>
      <c r="L318" s="36">
        <f t="shared" si="2"/>
        <v>0</v>
      </c>
      <c r="M318" s="36" t="str">
        <f t="shared" si="3"/>
        <v>Regular Season</v>
      </c>
      <c r="N318" s="36" t="str">
        <f>IFERROR(VLOOKUP(I318,Mapped_Owner,2,0),"")</f>
        <v>Salty</v>
      </c>
      <c r="O318" s="6">
        <f>VLOOKUP(D318,'Mapped Opponent'!$G$4:$H$22,2,0)</f>
        <v>4</v>
      </c>
      <c r="P318" s="6"/>
      <c r="Q318" s="6" t="str">
        <f t="shared" si="4"/>
        <v>Week 4</v>
      </c>
      <c r="R318" s="6" t="str">
        <f t="shared" si="5"/>
        <v>2012Week 4</v>
      </c>
      <c r="S318" s="6">
        <f>IFERROR(__xludf.DUMMYFUNCTION("rank(J318,FILTER(J:J,R:R=R318))"),10.0)</f>
        <v>10</v>
      </c>
      <c r="T318" s="6">
        <f t="shared" si="6"/>
        <v>2</v>
      </c>
      <c r="U318" s="6">
        <f t="shared" si="7"/>
        <v>10</v>
      </c>
      <c r="V318" s="42">
        <f>averageif(AllData!A:A,B318,AllData!R:R)/vlookup(B318,AllData!A:O,15,0)</f>
        <v>91.6025641</v>
      </c>
      <c r="W318" s="6"/>
    </row>
    <row r="319" ht="14.25" customHeight="1">
      <c r="A319" s="6" t="str">
        <f t="shared" si="1"/>
        <v>2012Rooney/Jackson4</v>
      </c>
      <c r="B319" s="6">
        <v>2012.0</v>
      </c>
      <c r="C319" s="6" t="s">
        <v>57</v>
      </c>
      <c r="D319" s="6" t="s">
        <v>138</v>
      </c>
      <c r="E319" s="34">
        <v>42064.0</v>
      </c>
      <c r="F319" s="6" t="s">
        <v>1377</v>
      </c>
      <c r="G319" s="6" t="s">
        <v>125</v>
      </c>
      <c r="H319" s="6" t="s">
        <v>1379</v>
      </c>
      <c r="I319" s="35" t="s">
        <v>91</v>
      </c>
      <c r="J319" s="36">
        <v>94.3</v>
      </c>
      <c r="K319" s="36">
        <v>88.0</v>
      </c>
      <c r="L319" s="36">
        <f t="shared" si="2"/>
        <v>1</v>
      </c>
      <c r="M319" s="36" t="str">
        <f t="shared" si="3"/>
        <v>Regular Season</v>
      </c>
      <c r="N319" s="36" t="str">
        <f>IFERROR(VLOOKUP(I319,Mapped_Owner,2,0),"")</f>
        <v>Shep</v>
      </c>
      <c r="O319" s="6">
        <f>VLOOKUP(D319,'Mapped Opponent'!$G$4:$H$22,2,0)</f>
        <v>4</v>
      </c>
      <c r="P319" s="6"/>
      <c r="Q319" s="6" t="str">
        <f t="shared" si="4"/>
        <v>Week 4</v>
      </c>
      <c r="R319" s="6" t="str">
        <f t="shared" si="5"/>
        <v>2012Week 4</v>
      </c>
      <c r="S319" s="6">
        <f>IFERROR(__xludf.DUMMYFUNCTION("rank(J319,FILTER(J:J,R:R=R319))"),7.0)</f>
        <v>7</v>
      </c>
      <c r="T319" s="6">
        <f t="shared" si="6"/>
        <v>5</v>
      </c>
      <c r="U319" s="6">
        <f t="shared" si="7"/>
        <v>7</v>
      </c>
      <c r="V319" s="42">
        <f>averageif(AllData!A:A,B319,AllData!R:R)/vlookup(B319,AllData!A:O,15,0)</f>
        <v>91.6025641</v>
      </c>
      <c r="W319" s="6"/>
    </row>
    <row r="320" ht="14.25" customHeight="1">
      <c r="A320" s="6" t="str">
        <f t="shared" si="1"/>
        <v>2012Buser4</v>
      </c>
      <c r="B320" s="6">
        <v>2012.0</v>
      </c>
      <c r="C320" s="6" t="s">
        <v>47</v>
      </c>
      <c r="D320" s="6" t="s">
        <v>138</v>
      </c>
      <c r="E320" s="34">
        <v>42007.0</v>
      </c>
      <c r="F320" s="6" t="s">
        <v>1382</v>
      </c>
      <c r="G320" s="6" t="s">
        <v>125</v>
      </c>
      <c r="H320" s="6" t="s">
        <v>1383</v>
      </c>
      <c r="I320" s="35" t="s">
        <v>132</v>
      </c>
      <c r="J320" s="36">
        <v>82.0</v>
      </c>
      <c r="K320" s="36">
        <v>113.0</v>
      </c>
      <c r="L320" s="36">
        <f t="shared" si="2"/>
        <v>0</v>
      </c>
      <c r="M320" s="36" t="str">
        <f t="shared" si="3"/>
        <v>Regular Season</v>
      </c>
      <c r="N320" s="36" t="str">
        <f>IFERROR(VLOOKUP(I320,Mapped_Owner,2,0),"")</f>
        <v>KnardDawg</v>
      </c>
      <c r="O320" s="6">
        <f>VLOOKUP(D320,'Mapped Opponent'!$G$4:$H$22,2,0)</f>
        <v>4</v>
      </c>
      <c r="P320" s="6"/>
      <c r="Q320" s="6" t="str">
        <f t="shared" si="4"/>
        <v>Week 4</v>
      </c>
      <c r="R320" s="6" t="str">
        <f t="shared" si="5"/>
        <v>2012Week 4</v>
      </c>
      <c r="S320" s="6">
        <f>IFERROR(__xludf.DUMMYFUNCTION("rank(J320,FILTER(J:J,R:R=R320))"),12.0)</f>
        <v>12</v>
      </c>
      <c r="T320" s="6">
        <f t="shared" si="6"/>
        <v>0</v>
      </c>
      <c r="U320" s="6">
        <f t="shared" si="7"/>
        <v>12</v>
      </c>
      <c r="V320" s="42">
        <f>averageif(AllData!A:A,B320,AllData!R:R)/vlookup(B320,AllData!A:O,15,0)</f>
        <v>91.6025641</v>
      </c>
      <c r="W320" s="6"/>
    </row>
    <row r="321" ht="14.25" customHeight="1">
      <c r="A321" s="6" t="str">
        <f t="shared" si="1"/>
        <v>2012Pierson4</v>
      </c>
      <c r="B321" s="6">
        <v>2012.0</v>
      </c>
      <c r="C321" s="6" t="s">
        <v>92</v>
      </c>
      <c r="D321" s="6" t="s">
        <v>138</v>
      </c>
      <c r="E321" s="34">
        <v>36617.0</v>
      </c>
      <c r="F321" s="6" t="s">
        <v>1388</v>
      </c>
      <c r="G321" s="6" t="s">
        <v>125</v>
      </c>
      <c r="H321" s="6" t="s">
        <v>1389</v>
      </c>
      <c r="I321" s="35" t="s">
        <v>99</v>
      </c>
      <c r="J321" s="36">
        <v>99.4</v>
      </c>
      <c r="K321" s="36">
        <v>96.5</v>
      </c>
      <c r="L321" s="36">
        <f t="shared" si="2"/>
        <v>1</v>
      </c>
      <c r="M321" s="36" t="str">
        <f t="shared" si="3"/>
        <v>Regular Season</v>
      </c>
      <c r="N321" s="36" t="str">
        <f>IFERROR(VLOOKUP(I321,Mapped_Owner,2,0),"")</f>
        <v>Cock</v>
      </c>
      <c r="O321" s="6">
        <f>VLOOKUP(D321,'Mapped Opponent'!$G$4:$H$22,2,0)</f>
        <v>4</v>
      </c>
      <c r="P321" s="6"/>
      <c r="Q321" s="6" t="str">
        <f t="shared" si="4"/>
        <v>Week 4</v>
      </c>
      <c r="R321" s="6" t="str">
        <f t="shared" si="5"/>
        <v>2012Week 4</v>
      </c>
      <c r="S321" s="6">
        <f>IFERROR(__xludf.DUMMYFUNCTION("rank(J321,FILTER(J:J,R:R=R321))"),3.0)</f>
        <v>3</v>
      </c>
      <c r="T321" s="6">
        <f t="shared" si="6"/>
        <v>9</v>
      </c>
      <c r="U321" s="6">
        <f t="shared" si="7"/>
        <v>3</v>
      </c>
      <c r="V321" s="42">
        <f>averageif(AllData!A:A,B321,AllData!R:R)/vlookup(B321,AllData!A:O,15,0)</f>
        <v>91.6025641</v>
      </c>
      <c r="W321" s="6"/>
    </row>
    <row r="322" ht="14.25" customHeight="1">
      <c r="A322" s="6" t="str">
        <f t="shared" si="1"/>
        <v>2012Cock4</v>
      </c>
      <c r="B322" s="6">
        <v>2012.0</v>
      </c>
      <c r="C322" s="6" t="s">
        <v>72</v>
      </c>
      <c r="D322" s="6" t="s">
        <v>138</v>
      </c>
      <c r="E322" s="34">
        <v>42007.0</v>
      </c>
      <c r="F322" s="6" t="s">
        <v>1390</v>
      </c>
      <c r="G322" s="6" t="s">
        <v>114</v>
      </c>
      <c r="H322" s="6" t="s">
        <v>1391</v>
      </c>
      <c r="I322" s="35" t="s">
        <v>93</v>
      </c>
      <c r="J322" s="36">
        <v>96.5</v>
      </c>
      <c r="K322" s="36">
        <v>99.4</v>
      </c>
      <c r="L322" s="36">
        <f t="shared" si="2"/>
        <v>0</v>
      </c>
      <c r="M322" s="36" t="str">
        <f t="shared" si="3"/>
        <v>Regular Season</v>
      </c>
      <c r="N322" s="36" t="str">
        <f>IFERROR(VLOOKUP(I322,Mapped_Owner,2,0),"")</f>
        <v>Pierson</v>
      </c>
      <c r="O322" s="6">
        <f>VLOOKUP(D322,'Mapped Opponent'!$G$4:$H$22,2,0)</f>
        <v>4</v>
      </c>
      <c r="P322" s="6"/>
      <c r="Q322" s="6" t="str">
        <f t="shared" si="4"/>
        <v>Week 4</v>
      </c>
      <c r="R322" s="6" t="str">
        <f t="shared" si="5"/>
        <v>2012Week 4</v>
      </c>
      <c r="S322" s="6">
        <f>IFERROR(__xludf.DUMMYFUNCTION("rank(J322,FILTER(J:J,R:R=R322))"),4.0)</f>
        <v>4</v>
      </c>
      <c r="T322" s="6">
        <f t="shared" si="6"/>
        <v>8</v>
      </c>
      <c r="U322" s="6">
        <f t="shared" si="7"/>
        <v>4</v>
      </c>
      <c r="V322" s="42">
        <f>averageif(AllData!A:A,B322,AllData!R:R)/vlookup(B322,AllData!A:O,15,0)</f>
        <v>91.6025641</v>
      </c>
      <c r="W322" s="6"/>
    </row>
    <row r="323" ht="14.25" customHeight="1">
      <c r="A323" s="6" t="str">
        <f t="shared" si="1"/>
        <v>2012Tayski4</v>
      </c>
      <c r="B323" s="6">
        <v>2012.0</v>
      </c>
      <c r="C323" s="6" t="s">
        <v>52</v>
      </c>
      <c r="D323" s="6" t="s">
        <v>138</v>
      </c>
      <c r="E323" s="34">
        <v>42037.0</v>
      </c>
      <c r="F323" s="6" t="s">
        <v>1396</v>
      </c>
      <c r="G323" s="6" t="s">
        <v>114</v>
      </c>
      <c r="H323" s="6" t="s">
        <v>1397</v>
      </c>
      <c r="I323" s="35" t="s">
        <v>85</v>
      </c>
      <c r="J323" s="36">
        <v>94.8</v>
      </c>
      <c r="K323" s="36">
        <v>84.1</v>
      </c>
      <c r="L323" s="36">
        <f t="shared" si="2"/>
        <v>1</v>
      </c>
      <c r="M323" s="36" t="str">
        <f t="shared" si="3"/>
        <v>Regular Season</v>
      </c>
      <c r="N323" s="36" t="str">
        <f>IFERROR(VLOOKUP(I323,Mapped_Owner,2,0),"")</f>
        <v>T-How</v>
      </c>
      <c r="O323" s="6">
        <f>VLOOKUP(D323,'Mapped Opponent'!$G$4:$H$22,2,0)</f>
        <v>4</v>
      </c>
      <c r="P323" s="6"/>
      <c r="Q323" s="6" t="str">
        <f t="shared" si="4"/>
        <v>Week 4</v>
      </c>
      <c r="R323" s="6" t="str">
        <f t="shared" si="5"/>
        <v>2012Week 4</v>
      </c>
      <c r="S323" s="6">
        <f>IFERROR(__xludf.DUMMYFUNCTION("rank(J323,FILTER(J:J,R:R=R323))"),6.0)</f>
        <v>6</v>
      </c>
      <c r="T323" s="6">
        <f t="shared" si="6"/>
        <v>6</v>
      </c>
      <c r="U323" s="6">
        <f t="shared" si="7"/>
        <v>6</v>
      </c>
      <c r="V323" s="42">
        <f>averageif(AllData!A:A,B323,AllData!R:R)/vlookup(B323,AllData!A:O,15,0)</f>
        <v>91.6025641</v>
      </c>
      <c r="W323" s="6"/>
    </row>
    <row r="324" ht="14.25" customHeight="1">
      <c r="A324" s="6" t="str">
        <f t="shared" si="1"/>
        <v>2012KnardDawg4</v>
      </c>
      <c r="B324" s="6">
        <v>2012.0</v>
      </c>
      <c r="C324" s="6" t="s">
        <v>86</v>
      </c>
      <c r="D324" s="6" t="s">
        <v>138</v>
      </c>
      <c r="E324" s="34">
        <v>42064.0</v>
      </c>
      <c r="F324" s="6" t="s">
        <v>1400</v>
      </c>
      <c r="G324" s="6" t="s">
        <v>114</v>
      </c>
      <c r="H324" s="6" t="s">
        <v>1401</v>
      </c>
      <c r="I324" s="35" t="s">
        <v>50</v>
      </c>
      <c r="J324" s="36">
        <v>113.0</v>
      </c>
      <c r="K324" s="36">
        <v>82.0</v>
      </c>
      <c r="L324" s="36">
        <f t="shared" si="2"/>
        <v>1</v>
      </c>
      <c r="M324" s="36" t="str">
        <f t="shared" si="3"/>
        <v>Regular Season</v>
      </c>
      <c r="N324" s="36" t="str">
        <f>IFERROR(VLOOKUP(I324,Mapped_Owner,2,0),"")</f>
        <v>Buser</v>
      </c>
      <c r="O324" s="6">
        <f>VLOOKUP(D324,'Mapped Opponent'!$G$4:$H$22,2,0)</f>
        <v>4</v>
      </c>
      <c r="P324" s="6"/>
      <c r="Q324" s="6" t="str">
        <f t="shared" si="4"/>
        <v>Week 4</v>
      </c>
      <c r="R324" s="6" t="str">
        <f t="shared" si="5"/>
        <v>2012Week 4</v>
      </c>
      <c r="S324" s="6">
        <f>IFERROR(__xludf.DUMMYFUNCTION("rank(J324,FILTER(J:J,R:R=R324))"),2.0)</f>
        <v>2</v>
      </c>
      <c r="T324" s="6">
        <f t="shared" si="6"/>
        <v>10</v>
      </c>
      <c r="U324" s="6">
        <f t="shared" si="7"/>
        <v>2</v>
      </c>
      <c r="V324" s="42">
        <f>averageif(AllData!A:A,B324,AllData!R:R)/vlookup(B324,AllData!A:O,15,0)</f>
        <v>91.6025641</v>
      </c>
      <c r="W324" s="6"/>
    </row>
    <row r="325" ht="14.25" customHeight="1">
      <c r="A325" s="6" t="str">
        <f t="shared" si="1"/>
        <v>2012T-How4</v>
      </c>
      <c r="B325" s="6">
        <v>2012.0</v>
      </c>
      <c r="C325" s="6" t="s">
        <v>82</v>
      </c>
      <c r="D325" s="6" t="s">
        <v>138</v>
      </c>
      <c r="E325" s="34">
        <v>42007.0</v>
      </c>
      <c r="F325" s="6" t="s">
        <v>1402</v>
      </c>
      <c r="G325" s="6" t="s">
        <v>125</v>
      </c>
      <c r="H325" s="6" t="s">
        <v>1403</v>
      </c>
      <c r="I325" s="35" t="s">
        <v>161</v>
      </c>
      <c r="J325" s="36">
        <v>84.1</v>
      </c>
      <c r="K325" s="36">
        <v>94.8</v>
      </c>
      <c r="L325" s="36">
        <f t="shared" si="2"/>
        <v>0</v>
      </c>
      <c r="M325" s="36" t="str">
        <f t="shared" si="3"/>
        <v>Regular Season</v>
      </c>
      <c r="N325" s="36" t="str">
        <f>IFERROR(VLOOKUP(I325,Mapped_Owner,2,0),"")</f>
        <v>Tayski</v>
      </c>
      <c r="O325" s="6">
        <f>VLOOKUP(D325,'Mapped Opponent'!$G$4:$H$22,2,0)</f>
        <v>4</v>
      </c>
      <c r="P325" s="6"/>
      <c r="Q325" s="6" t="str">
        <f t="shared" si="4"/>
        <v>Week 4</v>
      </c>
      <c r="R325" s="6" t="str">
        <f t="shared" si="5"/>
        <v>2012Week 4</v>
      </c>
      <c r="S325" s="6">
        <f>IFERROR(__xludf.DUMMYFUNCTION("rank(J325,FILTER(J:J,R:R=R325))"),11.0)</f>
        <v>11</v>
      </c>
      <c r="T325" s="6">
        <f t="shared" si="6"/>
        <v>1</v>
      </c>
      <c r="U325" s="6">
        <f t="shared" si="7"/>
        <v>11</v>
      </c>
      <c r="V325" s="42">
        <f>averageif(AllData!A:A,B325,AllData!R:R)/vlookup(B325,AllData!A:O,15,0)</f>
        <v>91.6025641</v>
      </c>
      <c r="W325" s="6"/>
    </row>
    <row r="326" ht="14.25" customHeight="1">
      <c r="A326" s="6" t="str">
        <f t="shared" si="1"/>
        <v>2012Hudspeath5</v>
      </c>
      <c r="B326" s="6">
        <v>2012.0</v>
      </c>
      <c r="C326" s="6" t="s">
        <v>39</v>
      </c>
      <c r="D326" s="6" t="s">
        <v>141</v>
      </c>
      <c r="E326" s="34">
        <v>42038.0</v>
      </c>
      <c r="F326" s="6" t="s">
        <v>1406</v>
      </c>
      <c r="G326" s="6" t="s">
        <v>114</v>
      </c>
      <c r="H326" s="6" t="s">
        <v>1407</v>
      </c>
      <c r="I326" s="35" t="s">
        <v>91</v>
      </c>
      <c r="J326" s="36">
        <v>67.8</v>
      </c>
      <c r="K326" s="36">
        <v>106.2</v>
      </c>
      <c r="L326" s="36">
        <f t="shared" si="2"/>
        <v>0</v>
      </c>
      <c r="M326" s="36" t="str">
        <f t="shared" si="3"/>
        <v>Regular Season</v>
      </c>
      <c r="N326" s="36" t="str">
        <f>IFERROR(VLOOKUP(I326,Mapped_Owner,2,0),"")</f>
        <v>Shep</v>
      </c>
      <c r="O326" s="6">
        <f>VLOOKUP(D326,'Mapped Opponent'!$G$4:$H$22,2,0)</f>
        <v>5</v>
      </c>
      <c r="P326" s="6"/>
      <c r="Q326" s="6" t="str">
        <f t="shared" si="4"/>
        <v>Week 5</v>
      </c>
      <c r="R326" s="6" t="str">
        <f t="shared" si="5"/>
        <v>2012Week 5</v>
      </c>
      <c r="S326" s="6">
        <f>IFERROR(__xludf.DUMMYFUNCTION("rank(J326,FILTER(J:J,R:R=R326))"),11.0)</f>
        <v>11</v>
      </c>
      <c r="T326" s="6">
        <f t="shared" si="6"/>
        <v>1</v>
      </c>
      <c r="U326" s="6">
        <f t="shared" si="7"/>
        <v>11</v>
      </c>
      <c r="V326" s="42">
        <f>averageif(AllData!A:A,B326,AllData!R:R)/vlookup(B326,AllData!A:O,15,0)</f>
        <v>91.6025641</v>
      </c>
      <c r="W326" s="6"/>
    </row>
    <row r="327" ht="14.25" customHeight="1">
      <c r="A327" s="6" t="str">
        <f t="shared" si="1"/>
        <v>2012Salty5</v>
      </c>
      <c r="B327" s="6">
        <v>2012.0</v>
      </c>
      <c r="C327" s="6" t="s">
        <v>76</v>
      </c>
      <c r="D327" s="6" t="s">
        <v>141</v>
      </c>
      <c r="E327" s="34">
        <v>42038.0</v>
      </c>
      <c r="F327" s="6" t="s">
        <v>1408</v>
      </c>
      <c r="G327" s="6" t="s">
        <v>114</v>
      </c>
      <c r="H327" s="6" t="s">
        <v>1409</v>
      </c>
      <c r="I327" s="35" t="s">
        <v>58</v>
      </c>
      <c r="J327" s="36">
        <v>108.5</v>
      </c>
      <c r="K327" s="36">
        <v>84.8</v>
      </c>
      <c r="L327" s="36">
        <f t="shared" si="2"/>
        <v>1</v>
      </c>
      <c r="M327" s="36" t="str">
        <f t="shared" si="3"/>
        <v>Regular Season</v>
      </c>
      <c r="N327" s="36" t="str">
        <f>IFERROR(VLOOKUP(I327,Mapped_Owner,2,0),"")</f>
        <v>Rooney/Jackson</v>
      </c>
      <c r="O327" s="6">
        <f>VLOOKUP(D327,'Mapped Opponent'!$G$4:$H$22,2,0)</f>
        <v>5</v>
      </c>
      <c r="P327" s="6"/>
      <c r="Q327" s="6" t="str">
        <f t="shared" si="4"/>
        <v>Week 5</v>
      </c>
      <c r="R327" s="6" t="str">
        <f t="shared" si="5"/>
        <v>2012Week 5</v>
      </c>
      <c r="S327" s="6">
        <f>IFERROR(__xludf.DUMMYFUNCTION("rank(J327,FILTER(J:J,R:R=R327))"),2.0)</f>
        <v>2</v>
      </c>
      <c r="T327" s="6">
        <f t="shared" si="6"/>
        <v>10</v>
      </c>
      <c r="U327" s="6">
        <f t="shared" si="7"/>
        <v>2</v>
      </c>
      <c r="V327" s="42">
        <f>averageif(AllData!A:A,B327,AllData!R:R)/vlookup(B327,AllData!A:O,15,0)</f>
        <v>91.6025641</v>
      </c>
      <c r="W327" s="6"/>
    </row>
    <row r="328" ht="14.25" customHeight="1">
      <c r="A328" s="6" t="str">
        <f t="shared" si="1"/>
        <v>2012Fellows5</v>
      </c>
      <c r="B328" s="6">
        <v>2012.0</v>
      </c>
      <c r="C328" s="6" t="s">
        <v>79</v>
      </c>
      <c r="D328" s="6" t="s">
        <v>141</v>
      </c>
      <c r="E328" s="34">
        <v>42065.0</v>
      </c>
      <c r="F328" s="6" t="s">
        <v>1416</v>
      </c>
      <c r="G328" s="6" t="s">
        <v>114</v>
      </c>
      <c r="H328" s="6" t="s">
        <v>1417</v>
      </c>
      <c r="I328" s="35" t="s">
        <v>158</v>
      </c>
      <c r="J328" s="36">
        <v>60.3</v>
      </c>
      <c r="K328" s="36">
        <v>96.2</v>
      </c>
      <c r="L328" s="36">
        <f t="shared" si="2"/>
        <v>0</v>
      </c>
      <c r="M328" s="36" t="str">
        <f t="shared" si="3"/>
        <v>Regular Season</v>
      </c>
      <c r="N328" s="36" t="str">
        <f>IFERROR(VLOOKUP(I328,Mapped_Owner,2,0),"")</f>
        <v>Guckien</v>
      </c>
      <c r="O328" s="6">
        <f>VLOOKUP(D328,'Mapped Opponent'!$G$4:$H$22,2,0)</f>
        <v>5</v>
      </c>
      <c r="P328" s="6"/>
      <c r="Q328" s="6" t="str">
        <f t="shared" si="4"/>
        <v>Week 5</v>
      </c>
      <c r="R328" s="6" t="str">
        <f t="shared" si="5"/>
        <v>2012Week 5</v>
      </c>
      <c r="S328" s="6">
        <f>IFERROR(__xludf.DUMMYFUNCTION("rank(J328,FILTER(J:J,R:R=R328))"),12.0)</f>
        <v>12</v>
      </c>
      <c r="T328" s="6">
        <f t="shared" si="6"/>
        <v>0</v>
      </c>
      <c r="U328" s="6">
        <f t="shared" si="7"/>
        <v>12</v>
      </c>
      <c r="V328" s="42">
        <f>averageif(AllData!A:A,B328,AllData!R:R)/vlookup(B328,AllData!A:O,15,0)</f>
        <v>91.6025641</v>
      </c>
      <c r="W328" s="6"/>
    </row>
    <row r="329" ht="14.25" customHeight="1">
      <c r="A329" s="6" t="str">
        <f t="shared" si="1"/>
        <v>2012Shep5</v>
      </c>
      <c r="B329" s="6">
        <v>2012.0</v>
      </c>
      <c r="C329" s="6" t="s">
        <v>89</v>
      </c>
      <c r="D329" s="6" t="s">
        <v>141</v>
      </c>
      <c r="E329" s="34">
        <v>42095.0</v>
      </c>
      <c r="F329" s="6" t="s">
        <v>1418</v>
      </c>
      <c r="G329" s="6" t="s">
        <v>125</v>
      </c>
      <c r="H329" s="6" t="s">
        <v>749</v>
      </c>
      <c r="I329" s="35" t="s">
        <v>64</v>
      </c>
      <c r="J329" s="36">
        <v>106.2</v>
      </c>
      <c r="K329" s="36">
        <v>67.8</v>
      </c>
      <c r="L329" s="36">
        <f t="shared" si="2"/>
        <v>1</v>
      </c>
      <c r="M329" s="36" t="str">
        <f t="shared" si="3"/>
        <v>Regular Season</v>
      </c>
      <c r="N329" s="36" t="str">
        <f>IFERROR(VLOOKUP(I329,Mapped_Owner,2,0),"")</f>
        <v>Hudspeath</v>
      </c>
      <c r="O329" s="6">
        <f>VLOOKUP(D329,'Mapped Opponent'!$G$4:$H$22,2,0)</f>
        <v>5</v>
      </c>
      <c r="P329" s="6"/>
      <c r="Q329" s="6" t="str">
        <f t="shared" si="4"/>
        <v>Week 5</v>
      </c>
      <c r="R329" s="6" t="str">
        <f t="shared" si="5"/>
        <v>2012Week 5</v>
      </c>
      <c r="S329" s="6">
        <f>IFERROR(__xludf.DUMMYFUNCTION("rank(J329,FILTER(J:J,R:R=R329))"),3.0)</f>
        <v>3</v>
      </c>
      <c r="T329" s="6">
        <f t="shared" si="6"/>
        <v>9</v>
      </c>
      <c r="U329" s="6">
        <f t="shared" si="7"/>
        <v>3</v>
      </c>
      <c r="V329" s="42">
        <f>averageif(AllData!A:A,B329,AllData!R:R)/vlookup(B329,AllData!A:O,15,0)</f>
        <v>91.6025641</v>
      </c>
      <c r="W329" s="6"/>
    </row>
    <row r="330" ht="14.25" customHeight="1">
      <c r="A330" s="6" t="str">
        <f t="shared" si="1"/>
        <v>2012Guckien5</v>
      </c>
      <c r="B330" s="6">
        <v>2012.0</v>
      </c>
      <c r="C330" s="6" t="s">
        <v>159</v>
      </c>
      <c r="D330" s="6" t="s">
        <v>141</v>
      </c>
      <c r="E330" s="34">
        <v>42008.0</v>
      </c>
      <c r="F330" s="6" t="s">
        <v>1419</v>
      </c>
      <c r="G330" s="6" t="s">
        <v>125</v>
      </c>
      <c r="H330" s="6" t="s">
        <v>1420</v>
      </c>
      <c r="I330" s="35" t="s">
        <v>80</v>
      </c>
      <c r="J330" s="36">
        <v>96.2</v>
      </c>
      <c r="K330" s="36">
        <v>60.3</v>
      </c>
      <c r="L330" s="36">
        <f t="shared" si="2"/>
        <v>1</v>
      </c>
      <c r="M330" s="36" t="str">
        <f t="shared" si="3"/>
        <v>Regular Season</v>
      </c>
      <c r="N330" s="36" t="str">
        <f>IFERROR(VLOOKUP(I330,Mapped_Owner,2,0),"")</f>
        <v>Fellows</v>
      </c>
      <c r="O330" s="6">
        <f>VLOOKUP(D330,'Mapped Opponent'!$G$4:$H$22,2,0)</f>
        <v>5</v>
      </c>
      <c r="P330" s="6"/>
      <c r="Q330" s="6" t="str">
        <f t="shared" si="4"/>
        <v>Week 5</v>
      </c>
      <c r="R330" s="6" t="str">
        <f t="shared" si="5"/>
        <v>2012Week 5</v>
      </c>
      <c r="S330" s="6">
        <f>IFERROR(__xludf.DUMMYFUNCTION("rank(J330,FILTER(J:J,R:R=R330))"),6.0)</f>
        <v>6</v>
      </c>
      <c r="T330" s="6">
        <f t="shared" si="6"/>
        <v>6</v>
      </c>
      <c r="U330" s="6">
        <f t="shared" si="7"/>
        <v>6</v>
      </c>
      <c r="V330" s="42">
        <f>averageif(AllData!A:A,B330,AllData!R:R)/vlookup(B330,AllData!A:O,15,0)</f>
        <v>91.6025641</v>
      </c>
      <c r="W330" s="6"/>
    </row>
    <row r="331" ht="14.25" customHeight="1">
      <c r="A331" s="6" t="str">
        <f t="shared" si="1"/>
        <v>2012Rooney/Jackson5</v>
      </c>
      <c r="B331" s="6">
        <v>2012.0</v>
      </c>
      <c r="C331" s="6" t="s">
        <v>57</v>
      </c>
      <c r="D331" s="6" t="s">
        <v>141</v>
      </c>
      <c r="E331" s="34">
        <v>42065.0</v>
      </c>
      <c r="F331" s="6" t="s">
        <v>1423</v>
      </c>
      <c r="G331" s="6" t="s">
        <v>125</v>
      </c>
      <c r="H331" s="6" t="s">
        <v>1424</v>
      </c>
      <c r="I331" s="35" t="s">
        <v>77</v>
      </c>
      <c r="J331" s="36">
        <v>84.8</v>
      </c>
      <c r="K331" s="36">
        <v>108.5</v>
      </c>
      <c r="L331" s="36">
        <f t="shared" si="2"/>
        <v>0</v>
      </c>
      <c r="M331" s="36" t="str">
        <f t="shared" si="3"/>
        <v>Regular Season</v>
      </c>
      <c r="N331" s="36" t="str">
        <f>IFERROR(VLOOKUP(I331,Mapped_Owner,2,0),"")</f>
        <v>Salty</v>
      </c>
      <c r="O331" s="6">
        <f>VLOOKUP(D331,'Mapped Opponent'!$G$4:$H$22,2,0)</f>
        <v>5</v>
      </c>
      <c r="P331" s="6"/>
      <c r="Q331" s="6" t="str">
        <f t="shared" si="4"/>
        <v>Week 5</v>
      </c>
      <c r="R331" s="6" t="str">
        <f t="shared" si="5"/>
        <v>2012Week 5</v>
      </c>
      <c r="S331" s="6">
        <f>IFERROR(__xludf.DUMMYFUNCTION("rank(J331,FILTER(J:J,R:R=R331))"),8.0)</f>
        <v>8</v>
      </c>
      <c r="T331" s="6">
        <f t="shared" si="6"/>
        <v>4</v>
      </c>
      <c r="U331" s="6">
        <f t="shared" si="7"/>
        <v>8</v>
      </c>
      <c r="V331" s="42">
        <f>averageif(AllData!A:A,B331,AllData!R:R)/vlookup(B331,AllData!A:O,15,0)</f>
        <v>91.6025641</v>
      </c>
      <c r="W331" s="6"/>
    </row>
    <row r="332" ht="14.25" customHeight="1">
      <c r="A332" s="6" t="str">
        <f t="shared" si="1"/>
        <v>2012Buser5</v>
      </c>
      <c r="B332" s="6">
        <v>2012.0</v>
      </c>
      <c r="C332" s="6" t="s">
        <v>47</v>
      </c>
      <c r="D332" s="6" t="s">
        <v>141</v>
      </c>
      <c r="E332" s="34">
        <v>42008.0</v>
      </c>
      <c r="F332" s="6" t="s">
        <v>1425</v>
      </c>
      <c r="G332" s="6" t="s">
        <v>114</v>
      </c>
      <c r="H332" s="6" t="s">
        <v>1426</v>
      </c>
      <c r="I332" s="35" t="s">
        <v>85</v>
      </c>
      <c r="J332" s="36">
        <v>70.5</v>
      </c>
      <c r="K332" s="36">
        <v>116.4</v>
      </c>
      <c r="L332" s="36">
        <f t="shared" si="2"/>
        <v>0</v>
      </c>
      <c r="M332" s="36" t="str">
        <f t="shared" si="3"/>
        <v>Regular Season</v>
      </c>
      <c r="N332" s="36" t="str">
        <f>IFERROR(VLOOKUP(I332,Mapped_Owner,2,0),"")</f>
        <v>T-How</v>
      </c>
      <c r="O332" s="6">
        <f>VLOOKUP(D332,'Mapped Opponent'!$G$4:$H$22,2,0)</f>
        <v>5</v>
      </c>
      <c r="P332" s="6"/>
      <c r="Q332" s="6" t="str">
        <f t="shared" si="4"/>
        <v>Week 5</v>
      </c>
      <c r="R332" s="6" t="str">
        <f t="shared" si="5"/>
        <v>2012Week 5</v>
      </c>
      <c r="S332" s="6">
        <f>IFERROR(__xludf.DUMMYFUNCTION("rank(J332,FILTER(J:J,R:R=R332))"),10.0)</f>
        <v>10</v>
      </c>
      <c r="T332" s="6">
        <f t="shared" si="6"/>
        <v>2</v>
      </c>
      <c r="U332" s="6">
        <f t="shared" si="7"/>
        <v>10</v>
      </c>
      <c r="V332" s="42">
        <f>averageif(AllData!A:A,B332,AllData!R:R)/vlookup(B332,AllData!A:O,15,0)</f>
        <v>91.6025641</v>
      </c>
      <c r="W332" s="6"/>
    </row>
    <row r="333" ht="14.25" customHeight="1">
      <c r="A333" s="6" t="str">
        <f t="shared" si="1"/>
        <v>2012Pierson5</v>
      </c>
      <c r="B333" s="6">
        <v>2012.0</v>
      </c>
      <c r="C333" s="6" t="s">
        <v>92</v>
      </c>
      <c r="D333" s="6" t="s">
        <v>141</v>
      </c>
      <c r="E333" s="34">
        <v>42095.0</v>
      </c>
      <c r="F333" s="6" t="s">
        <v>1429</v>
      </c>
      <c r="G333" s="6" t="s">
        <v>114</v>
      </c>
      <c r="H333" s="6" t="s">
        <v>1430</v>
      </c>
      <c r="I333" s="35" t="s">
        <v>132</v>
      </c>
      <c r="J333" s="36">
        <v>77.2</v>
      </c>
      <c r="K333" s="36">
        <v>88.1</v>
      </c>
      <c r="L333" s="36">
        <f t="shared" si="2"/>
        <v>0</v>
      </c>
      <c r="M333" s="36" t="str">
        <f t="shared" si="3"/>
        <v>Regular Season</v>
      </c>
      <c r="N333" s="36" t="str">
        <f>IFERROR(VLOOKUP(I333,Mapped_Owner,2,0),"")</f>
        <v>KnardDawg</v>
      </c>
      <c r="O333" s="6">
        <f>VLOOKUP(D333,'Mapped Opponent'!$G$4:$H$22,2,0)</f>
        <v>5</v>
      </c>
      <c r="P333" s="6"/>
      <c r="Q333" s="6" t="str">
        <f t="shared" si="4"/>
        <v>Week 5</v>
      </c>
      <c r="R333" s="6" t="str">
        <f t="shared" si="5"/>
        <v>2012Week 5</v>
      </c>
      <c r="S333" s="6">
        <f>IFERROR(__xludf.DUMMYFUNCTION("rank(J333,FILTER(J:J,R:R=R333))"),9.0)</f>
        <v>9</v>
      </c>
      <c r="T333" s="6">
        <f t="shared" si="6"/>
        <v>3</v>
      </c>
      <c r="U333" s="6">
        <f t="shared" si="7"/>
        <v>9</v>
      </c>
      <c r="V333" s="42">
        <f>averageif(AllData!A:A,B333,AllData!R:R)/vlookup(B333,AllData!A:O,15,0)</f>
        <v>91.6025641</v>
      </c>
      <c r="W333" s="6"/>
    </row>
    <row r="334" ht="14.25" customHeight="1">
      <c r="A334" s="6" t="str">
        <f t="shared" si="1"/>
        <v>2012Cock5</v>
      </c>
      <c r="B334" s="6">
        <v>2012.0</v>
      </c>
      <c r="C334" s="6" t="s">
        <v>72</v>
      </c>
      <c r="D334" s="6" t="s">
        <v>141</v>
      </c>
      <c r="E334" s="34">
        <v>42038.0</v>
      </c>
      <c r="F334" s="6" t="s">
        <v>1431</v>
      </c>
      <c r="G334" s="6" t="s">
        <v>114</v>
      </c>
      <c r="H334" s="6" t="s">
        <v>1432</v>
      </c>
      <c r="I334" s="35" t="s">
        <v>161</v>
      </c>
      <c r="J334" s="36">
        <v>104.0</v>
      </c>
      <c r="K334" s="36">
        <v>101.6</v>
      </c>
      <c r="L334" s="36">
        <f t="shared" si="2"/>
        <v>1</v>
      </c>
      <c r="M334" s="36" t="str">
        <f t="shared" si="3"/>
        <v>Regular Season</v>
      </c>
      <c r="N334" s="36" t="str">
        <f>IFERROR(VLOOKUP(I334,Mapped_Owner,2,0),"")</f>
        <v>Tayski</v>
      </c>
      <c r="O334" s="6">
        <f>VLOOKUP(D334,'Mapped Opponent'!$G$4:$H$22,2,0)</f>
        <v>5</v>
      </c>
      <c r="P334" s="6"/>
      <c r="Q334" s="6" t="str">
        <f t="shared" si="4"/>
        <v>Week 5</v>
      </c>
      <c r="R334" s="6" t="str">
        <f t="shared" si="5"/>
        <v>2012Week 5</v>
      </c>
      <c r="S334" s="6">
        <f>IFERROR(__xludf.DUMMYFUNCTION("rank(J334,FILTER(J:J,R:R=R334))"),4.0)</f>
        <v>4</v>
      </c>
      <c r="T334" s="6">
        <f t="shared" si="6"/>
        <v>8</v>
      </c>
      <c r="U334" s="6">
        <f t="shared" si="7"/>
        <v>4</v>
      </c>
      <c r="V334" s="42">
        <f>averageif(AllData!A:A,B334,AllData!R:R)/vlookup(B334,AllData!A:O,15,0)</f>
        <v>91.6025641</v>
      </c>
      <c r="W334" s="6"/>
    </row>
    <row r="335" ht="14.25" customHeight="1">
      <c r="A335" s="6" t="str">
        <f t="shared" si="1"/>
        <v>2012Tayski5</v>
      </c>
      <c r="B335" s="6">
        <v>2012.0</v>
      </c>
      <c r="C335" s="6" t="s">
        <v>52</v>
      </c>
      <c r="D335" s="6" t="s">
        <v>141</v>
      </c>
      <c r="E335" s="34">
        <v>42038.0</v>
      </c>
      <c r="F335" s="6" t="s">
        <v>1436</v>
      </c>
      <c r="G335" s="6" t="s">
        <v>125</v>
      </c>
      <c r="H335" s="6" t="s">
        <v>1437</v>
      </c>
      <c r="I335" s="35" t="s">
        <v>99</v>
      </c>
      <c r="J335" s="36">
        <v>101.6</v>
      </c>
      <c r="K335" s="36">
        <v>104.0</v>
      </c>
      <c r="L335" s="36">
        <f t="shared" si="2"/>
        <v>0</v>
      </c>
      <c r="M335" s="36" t="str">
        <f t="shared" si="3"/>
        <v>Regular Season</v>
      </c>
      <c r="N335" s="36" t="str">
        <f>IFERROR(VLOOKUP(I335,Mapped_Owner,2,0),"")</f>
        <v>Cock</v>
      </c>
      <c r="O335" s="6">
        <f>VLOOKUP(D335,'Mapped Opponent'!$G$4:$H$22,2,0)</f>
        <v>5</v>
      </c>
      <c r="P335" s="6"/>
      <c r="Q335" s="6" t="str">
        <f t="shared" si="4"/>
        <v>Week 5</v>
      </c>
      <c r="R335" s="6" t="str">
        <f t="shared" si="5"/>
        <v>2012Week 5</v>
      </c>
      <c r="S335" s="6">
        <f>IFERROR(__xludf.DUMMYFUNCTION("rank(J335,FILTER(J:J,R:R=R335))"),5.0)</f>
        <v>5</v>
      </c>
      <c r="T335" s="6">
        <f t="shared" si="6"/>
        <v>7</v>
      </c>
      <c r="U335" s="6">
        <f t="shared" si="7"/>
        <v>5</v>
      </c>
      <c r="V335" s="42">
        <f>averageif(AllData!A:A,B335,AllData!R:R)/vlookup(B335,AllData!A:O,15,0)</f>
        <v>91.6025641</v>
      </c>
      <c r="W335" s="6"/>
    </row>
    <row r="336" ht="14.25" customHeight="1">
      <c r="A336" s="6" t="str">
        <f t="shared" si="1"/>
        <v>2012KnardDawg5</v>
      </c>
      <c r="B336" s="6">
        <v>2012.0</v>
      </c>
      <c r="C336" s="6" t="s">
        <v>86</v>
      </c>
      <c r="D336" s="6" t="s">
        <v>141</v>
      </c>
      <c r="E336" s="34">
        <v>42095.0</v>
      </c>
      <c r="F336" s="6" t="s">
        <v>1438</v>
      </c>
      <c r="G336" s="6" t="s">
        <v>125</v>
      </c>
      <c r="H336" s="6" t="s">
        <v>1439</v>
      </c>
      <c r="I336" s="35" t="s">
        <v>93</v>
      </c>
      <c r="J336" s="36">
        <v>88.1</v>
      </c>
      <c r="K336" s="36">
        <v>77.2</v>
      </c>
      <c r="L336" s="36">
        <f t="shared" si="2"/>
        <v>1</v>
      </c>
      <c r="M336" s="36" t="str">
        <f t="shared" si="3"/>
        <v>Regular Season</v>
      </c>
      <c r="N336" s="36" t="str">
        <f>IFERROR(VLOOKUP(I336,Mapped_Owner,2,0),"")</f>
        <v>Pierson</v>
      </c>
      <c r="O336" s="6">
        <f>VLOOKUP(D336,'Mapped Opponent'!$G$4:$H$22,2,0)</f>
        <v>5</v>
      </c>
      <c r="P336" s="6"/>
      <c r="Q336" s="6" t="str">
        <f t="shared" si="4"/>
        <v>Week 5</v>
      </c>
      <c r="R336" s="6" t="str">
        <f t="shared" si="5"/>
        <v>2012Week 5</v>
      </c>
      <c r="S336" s="6">
        <f>IFERROR(__xludf.DUMMYFUNCTION("rank(J336,FILTER(J:J,R:R=R336))"),7.0)</f>
        <v>7</v>
      </c>
      <c r="T336" s="6">
        <f t="shared" si="6"/>
        <v>5</v>
      </c>
      <c r="U336" s="6">
        <f t="shared" si="7"/>
        <v>7</v>
      </c>
      <c r="V336" s="42">
        <f>averageif(AllData!A:A,B336,AllData!R:R)/vlookup(B336,AllData!A:O,15,0)</f>
        <v>91.6025641</v>
      </c>
      <c r="W336" s="6"/>
    </row>
    <row r="337" ht="14.25" customHeight="1">
      <c r="A337" s="6" t="str">
        <f t="shared" si="1"/>
        <v>2012T-How5</v>
      </c>
      <c r="B337" s="6">
        <v>2012.0</v>
      </c>
      <c r="C337" s="6" t="s">
        <v>82</v>
      </c>
      <c r="D337" s="6" t="s">
        <v>141</v>
      </c>
      <c r="E337" s="34">
        <v>42038.0</v>
      </c>
      <c r="F337" s="6" t="s">
        <v>1443</v>
      </c>
      <c r="G337" s="6" t="s">
        <v>125</v>
      </c>
      <c r="H337" s="6" t="s">
        <v>1444</v>
      </c>
      <c r="I337" s="35" t="s">
        <v>50</v>
      </c>
      <c r="J337" s="36">
        <v>116.4</v>
      </c>
      <c r="K337" s="36">
        <v>70.5</v>
      </c>
      <c r="L337" s="36">
        <f t="shared" si="2"/>
        <v>1</v>
      </c>
      <c r="M337" s="36" t="str">
        <f t="shared" si="3"/>
        <v>Regular Season</v>
      </c>
      <c r="N337" s="36" t="str">
        <f>IFERROR(VLOOKUP(I337,Mapped_Owner,2,0),"")</f>
        <v>Buser</v>
      </c>
      <c r="O337" s="6">
        <f>VLOOKUP(D337,'Mapped Opponent'!$G$4:$H$22,2,0)</f>
        <v>5</v>
      </c>
      <c r="P337" s="6"/>
      <c r="Q337" s="6" t="str">
        <f t="shared" si="4"/>
        <v>Week 5</v>
      </c>
      <c r="R337" s="6" t="str">
        <f t="shared" si="5"/>
        <v>2012Week 5</v>
      </c>
      <c r="S337" s="6">
        <f>IFERROR(__xludf.DUMMYFUNCTION("rank(J337,FILTER(J:J,R:R=R337))"),1.0)</f>
        <v>1</v>
      </c>
      <c r="T337" s="6">
        <f t="shared" si="6"/>
        <v>11</v>
      </c>
      <c r="U337" s="6">
        <f t="shared" si="7"/>
        <v>1</v>
      </c>
      <c r="V337" s="42">
        <f>averageif(AllData!A:A,B337,AllData!R:R)/vlookup(B337,AllData!A:O,15,0)</f>
        <v>91.6025641</v>
      </c>
      <c r="W337" s="6"/>
    </row>
    <row r="338" ht="14.25" customHeight="1">
      <c r="A338" s="6" t="str">
        <f t="shared" si="1"/>
        <v>2012Hudspeath6</v>
      </c>
      <c r="B338" s="6">
        <v>2012.0</v>
      </c>
      <c r="C338" s="6" t="s">
        <v>39</v>
      </c>
      <c r="D338" s="6" t="s">
        <v>142</v>
      </c>
      <c r="E338" s="34">
        <v>42066.0</v>
      </c>
      <c r="F338" s="6" t="s">
        <v>1445</v>
      </c>
      <c r="G338" s="6" t="s">
        <v>125</v>
      </c>
      <c r="H338" s="6" t="s">
        <v>1446</v>
      </c>
      <c r="I338" s="35" t="s">
        <v>99</v>
      </c>
      <c r="J338" s="36">
        <v>96.8</v>
      </c>
      <c r="K338" s="36">
        <v>93.1</v>
      </c>
      <c r="L338" s="36">
        <f t="shared" si="2"/>
        <v>1</v>
      </c>
      <c r="M338" s="36" t="str">
        <f t="shared" si="3"/>
        <v>Regular Season</v>
      </c>
      <c r="N338" s="36" t="str">
        <f>IFERROR(VLOOKUP(I338,Mapped_Owner,2,0),"")</f>
        <v>Cock</v>
      </c>
      <c r="O338" s="6">
        <f>VLOOKUP(D338,'Mapped Opponent'!$G$4:$H$22,2,0)</f>
        <v>6</v>
      </c>
      <c r="P338" s="6"/>
      <c r="Q338" s="6" t="str">
        <f t="shared" si="4"/>
        <v>Week 6</v>
      </c>
      <c r="R338" s="6" t="str">
        <f t="shared" si="5"/>
        <v>2012Week 6</v>
      </c>
      <c r="S338" s="6">
        <f>IFERROR(__xludf.DUMMYFUNCTION("rank(J338,FILTER(J:J,R:R=R338))"),3.0)</f>
        <v>3</v>
      </c>
      <c r="T338" s="6">
        <f t="shared" si="6"/>
        <v>9</v>
      </c>
      <c r="U338" s="6">
        <f t="shared" si="7"/>
        <v>3</v>
      </c>
      <c r="V338" s="42">
        <f>averageif(AllData!A:A,B338,AllData!R:R)/vlookup(B338,AllData!A:O,15,0)</f>
        <v>91.6025641</v>
      </c>
      <c r="W338" s="6"/>
    </row>
    <row r="339" ht="14.25" customHeight="1">
      <c r="A339" s="6" t="str">
        <f t="shared" si="1"/>
        <v>2012Salty6</v>
      </c>
      <c r="B339" s="6">
        <v>2012.0</v>
      </c>
      <c r="C339" s="6" t="s">
        <v>76</v>
      </c>
      <c r="D339" s="6" t="s">
        <v>142</v>
      </c>
      <c r="E339" s="34">
        <v>42039.0</v>
      </c>
      <c r="F339" s="6" t="s">
        <v>1448</v>
      </c>
      <c r="G339" s="6" t="s">
        <v>125</v>
      </c>
      <c r="H339" s="6" t="s">
        <v>1450</v>
      </c>
      <c r="I339" s="35" t="s">
        <v>50</v>
      </c>
      <c r="J339" s="36">
        <v>50.5</v>
      </c>
      <c r="K339" s="36">
        <v>94.0</v>
      </c>
      <c r="L339" s="36">
        <f t="shared" si="2"/>
        <v>0</v>
      </c>
      <c r="M339" s="36" t="str">
        <f t="shared" si="3"/>
        <v>Regular Season</v>
      </c>
      <c r="N339" s="36" t="str">
        <f>IFERROR(VLOOKUP(I339,Mapped_Owner,2,0),"")</f>
        <v>Buser</v>
      </c>
      <c r="O339" s="6">
        <f>VLOOKUP(D339,'Mapped Opponent'!$G$4:$H$22,2,0)</f>
        <v>6</v>
      </c>
      <c r="P339" s="6"/>
      <c r="Q339" s="6" t="str">
        <f t="shared" si="4"/>
        <v>Week 6</v>
      </c>
      <c r="R339" s="6" t="str">
        <f t="shared" si="5"/>
        <v>2012Week 6</v>
      </c>
      <c r="S339" s="6">
        <f>IFERROR(__xludf.DUMMYFUNCTION("rank(J339,FILTER(J:J,R:R=R339))"),12.0)</f>
        <v>12</v>
      </c>
      <c r="T339" s="6">
        <f t="shared" si="6"/>
        <v>0</v>
      </c>
      <c r="U339" s="6">
        <f t="shared" si="7"/>
        <v>12</v>
      </c>
      <c r="V339" s="42">
        <f>averageif(AllData!A:A,B339,AllData!R:R)/vlookup(B339,AllData!A:O,15,0)</f>
        <v>91.6025641</v>
      </c>
      <c r="W339" s="6"/>
    </row>
    <row r="340" ht="14.25" customHeight="1">
      <c r="A340" s="6" t="str">
        <f t="shared" si="1"/>
        <v>2012Fellows6</v>
      </c>
      <c r="B340" s="6">
        <v>2012.0</v>
      </c>
      <c r="C340" s="6" t="s">
        <v>79</v>
      </c>
      <c r="D340" s="6" t="s">
        <v>142</v>
      </c>
      <c r="E340" s="34">
        <v>42096.0</v>
      </c>
      <c r="F340" s="6" t="s">
        <v>1455</v>
      </c>
      <c r="G340" s="6" t="s">
        <v>125</v>
      </c>
      <c r="H340" s="6" t="s">
        <v>1456</v>
      </c>
      <c r="I340" s="35" t="s">
        <v>93</v>
      </c>
      <c r="J340" s="36">
        <v>113.9</v>
      </c>
      <c r="K340" s="36">
        <v>86.1</v>
      </c>
      <c r="L340" s="36">
        <f t="shared" si="2"/>
        <v>1</v>
      </c>
      <c r="M340" s="36" t="str">
        <f t="shared" si="3"/>
        <v>Regular Season</v>
      </c>
      <c r="N340" s="36" t="str">
        <f>IFERROR(VLOOKUP(I340,Mapped_Owner,2,0),"")</f>
        <v>Pierson</v>
      </c>
      <c r="O340" s="6">
        <f>VLOOKUP(D340,'Mapped Opponent'!$G$4:$H$22,2,0)</f>
        <v>6</v>
      </c>
      <c r="P340" s="6"/>
      <c r="Q340" s="6" t="str">
        <f t="shared" si="4"/>
        <v>Week 6</v>
      </c>
      <c r="R340" s="6" t="str">
        <f t="shared" si="5"/>
        <v>2012Week 6</v>
      </c>
      <c r="S340" s="6">
        <f>IFERROR(__xludf.DUMMYFUNCTION("rank(J340,FILTER(J:J,R:R=R340))"),2.0)</f>
        <v>2</v>
      </c>
      <c r="T340" s="6">
        <f t="shared" si="6"/>
        <v>10</v>
      </c>
      <c r="U340" s="6">
        <f t="shared" si="7"/>
        <v>2</v>
      </c>
      <c r="V340" s="42">
        <f>averageif(AllData!A:A,B340,AllData!R:R)/vlookup(B340,AllData!A:O,15,0)</f>
        <v>91.6025641</v>
      </c>
      <c r="W340" s="6"/>
    </row>
    <row r="341" ht="14.25" customHeight="1">
      <c r="A341" s="6" t="str">
        <f t="shared" si="1"/>
        <v>2012Shep6</v>
      </c>
      <c r="B341" s="6">
        <v>2012.0</v>
      </c>
      <c r="C341" s="6" t="s">
        <v>89</v>
      </c>
      <c r="D341" s="6" t="s">
        <v>142</v>
      </c>
      <c r="E341" s="34">
        <v>42125.0</v>
      </c>
      <c r="F341" s="6" t="s">
        <v>1458</v>
      </c>
      <c r="G341" s="6" t="s">
        <v>125</v>
      </c>
      <c r="H341" s="6" t="s">
        <v>1459</v>
      </c>
      <c r="I341" s="35" t="s">
        <v>161</v>
      </c>
      <c r="J341" s="36">
        <v>87.0</v>
      </c>
      <c r="K341" s="36">
        <v>82.2</v>
      </c>
      <c r="L341" s="36">
        <f t="shared" si="2"/>
        <v>1</v>
      </c>
      <c r="M341" s="36" t="str">
        <f t="shared" si="3"/>
        <v>Regular Season</v>
      </c>
      <c r="N341" s="36" t="str">
        <f>IFERROR(VLOOKUP(I341,Mapped_Owner,2,0),"")</f>
        <v>Tayski</v>
      </c>
      <c r="O341" s="6">
        <f>VLOOKUP(D341,'Mapped Opponent'!$G$4:$H$22,2,0)</f>
        <v>6</v>
      </c>
      <c r="P341" s="6"/>
      <c r="Q341" s="6" t="str">
        <f t="shared" si="4"/>
        <v>Week 6</v>
      </c>
      <c r="R341" s="6" t="str">
        <f t="shared" si="5"/>
        <v>2012Week 6</v>
      </c>
      <c r="S341" s="6">
        <f>IFERROR(__xludf.DUMMYFUNCTION("rank(J341,FILTER(J:J,R:R=R341))"),8.0)</f>
        <v>8</v>
      </c>
      <c r="T341" s="6">
        <f t="shared" si="6"/>
        <v>4</v>
      </c>
      <c r="U341" s="6">
        <f t="shared" si="7"/>
        <v>8</v>
      </c>
      <c r="V341" s="42">
        <f>averageif(AllData!A:A,B341,AllData!R:R)/vlookup(B341,AllData!A:O,15,0)</f>
        <v>91.6025641</v>
      </c>
      <c r="W341" s="6"/>
    </row>
    <row r="342" ht="14.25" customHeight="1">
      <c r="A342" s="6" t="str">
        <f t="shared" si="1"/>
        <v>2012Guckien6</v>
      </c>
      <c r="B342" s="6">
        <v>2012.0</v>
      </c>
      <c r="C342" s="6" t="s">
        <v>159</v>
      </c>
      <c r="D342" s="6" t="s">
        <v>142</v>
      </c>
      <c r="E342" s="34">
        <v>42009.0</v>
      </c>
      <c r="F342" s="6" t="s">
        <v>1465</v>
      </c>
      <c r="G342" s="6" t="s">
        <v>125</v>
      </c>
      <c r="H342" s="6" t="s">
        <v>1466</v>
      </c>
      <c r="I342" s="35" t="s">
        <v>132</v>
      </c>
      <c r="J342" s="36">
        <v>71.3</v>
      </c>
      <c r="K342" s="36">
        <v>90.2</v>
      </c>
      <c r="L342" s="36">
        <f t="shared" si="2"/>
        <v>0</v>
      </c>
      <c r="M342" s="36" t="str">
        <f t="shared" si="3"/>
        <v>Regular Season</v>
      </c>
      <c r="N342" s="36" t="str">
        <f>IFERROR(VLOOKUP(I342,Mapped_Owner,2,0),"")</f>
        <v>KnardDawg</v>
      </c>
      <c r="O342" s="6">
        <f>VLOOKUP(D342,'Mapped Opponent'!$G$4:$H$22,2,0)</f>
        <v>6</v>
      </c>
      <c r="P342" s="6"/>
      <c r="Q342" s="6" t="str">
        <f t="shared" si="4"/>
        <v>Week 6</v>
      </c>
      <c r="R342" s="6" t="str">
        <f t="shared" si="5"/>
        <v>2012Week 6</v>
      </c>
      <c r="S342" s="6">
        <f>IFERROR(__xludf.DUMMYFUNCTION("rank(J342,FILTER(J:J,R:R=R342))"),11.0)</f>
        <v>11</v>
      </c>
      <c r="T342" s="6">
        <f t="shared" si="6"/>
        <v>1</v>
      </c>
      <c r="U342" s="6">
        <f t="shared" si="7"/>
        <v>11</v>
      </c>
      <c r="V342" s="42">
        <f>averageif(AllData!A:A,B342,AllData!R:R)/vlookup(B342,AllData!A:O,15,0)</f>
        <v>91.6025641</v>
      </c>
      <c r="W342" s="6"/>
    </row>
    <row r="343" ht="14.25" customHeight="1">
      <c r="A343" s="6" t="str">
        <f t="shared" si="1"/>
        <v>2012Rooney/Jackson6</v>
      </c>
      <c r="B343" s="6">
        <v>2012.0</v>
      </c>
      <c r="C343" s="6" t="s">
        <v>57</v>
      </c>
      <c r="D343" s="6" t="s">
        <v>142</v>
      </c>
      <c r="E343" s="34">
        <v>42096.0</v>
      </c>
      <c r="F343" s="6" t="s">
        <v>1468</v>
      </c>
      <c r="G343" s="6" t="s">
        <v>125</v>
      </c>
      <c r="H343" s="6" t="s">
        <v>1469</v>
      </c>
      <c r="I343" s="35" t="s">
        <v>85</v>
      </c>
      <c r="J343" s="36">
        <v>115.6</v>
      </c>
      <c r="K343" s="36">
        <v>92.3</v>
      </c>
      <c r="L343" s="36">
        <f t="shared" si="2"/>
        <v>1</v>
      </c>
      <c r="M343" s="36" t="str">
        <f t="shared" si="3"/>
        <v>Regular Season</v>
      </c>
      <c r="N343" s="36" t="str">
        <f>IFERROR(VLOOKUP(I343,Mapped_Owner,2,0),"")</f>
        <v>T-How</v>
      </c>
      <c r="O343" s="6">
        <f>VLOOKUP(D343,'Mapped Opponent'!$G$4:$H$22,2,0)</f>
        <v>6</v>
      </c>
      <c r="P343" s="6"/>
      <c r="Q343" s="6" t="str">
        <f t="shared" si="4"/>
        <v>Week 6</v>
      </c>
      <c r="R343" s="6" t="str">
        <f t="shared" si="5"/>
        <v>2012Week 6</v>
      </c>
      <c r="S343" s="6">
        <f>IFERROR(__xludf.DUMMYFUNCTION("rank(J343,FILTER(J:J,R:R=R343))"),1.0)</f>
        <v>1</v>
      </c>
      <c r="T343" s="6">
        <f t="shared" si="6"/>
        <v>11</v>
      </c>
      <c r="U343" s="6">
        <f t="shared" si="7"/>
        <v>1</v>
      </c>
      <c r="V343" s="42">
        <f>averageif(AllData!A:A,B343,AllData!R:R)/vlookup(B343,AllData!A:O,15,0)</f>
        <v>91.6025641</v>
      </c>
      <c r="W343" s="6"/>
    </row>
    <row r="344" ht="14.25" customHeight="1">
      <c r="A344" s="6" t="str">
        <f t="shared" si="1"/>
        <v>2012Buser6</v>
      </c>
      <c r="B344" s="6">
        <v>2012.0</v>
      </c>
      <c r="C344" s="6" t="s">
        <v>47</v>
      </c>
      <c r="D344" s="6" t="s">
        <v>142</v>
      </c>
      <c r="E344" s="34">
        <v>42039.0</v>
      </c>
      <c r="F344" s="6" t="s">
        <v>1474</v>
      </c>
      <c r="G344" s="6" t="s">
        <v>114</v>
      </c>
      <c r="H344" s="6" t="s">
        <v>1475</v>
      </c>
      <c r="I344" s="35" t="s">
        <v>77</v>
      </c>
      <c r="J344" s="36">
        <v>94.0</v>
      </c>
      <c r="K344" s="36">
        <v>50.5</v>
      </c>
      <c r="L344" s="36">
        <f t="shared" si="2"/>
        <v>1</v>
      </c>
      <c r="M344" s="36" t="str">
        <f t="shared" si="3"/>
        <v>Regular Season</v>
      </c>
      <c r="N344" s="36" t="str">
        <f>IFERROR(VLOOKUP(I344,Mapped_Owner,2,0),"")</f>
        <v>Salty</v>
      </c>
      <c r="O344" s="6">
        <f>VLOOKUP(D344,'Mapped Opponent'!$G$4:$H$22,2,0)</f>
        <v>6</v>
      </c>
      <c r="P344" s="6"/>
      <c r="Q344" s="6" t="str">
        <f t="shared" si="4"/>
        <v>Week 6</v>
      </c>
      <c r="R344" s="6" t="str">
        <f t="shared" si="5"/>
        <v>2012Week 6</v>
      </c>
      <c r="S344" s="6">
        <f>IFERROR(__xludf.DUMMYFUNCTION("rank(J344,FILTER(J:J,R:R=R344))"),4.0)</f>
        <v>4</v>
      </c>
      <c r="T344" s="6">
        <f t="shared" si="6"/>
        <v>8</v>
      </c>
      <c r="U344" s="6">
        <f t="shared" si="7"/>
        <v>4</v>
      </c>
      <c r="V344" s="42">
        <f>averageif(AllData!A:A,B344,AllData!R:R)/vlookup(B344,AllData!A:O,15,0)</f>
        <v>91.6025641</v>
      </c>
      <c r="W344" s="6"/>
    </row>
    <row r="345" ht="14.25" customHeight="1">
      <c r="A345" s="6" t="str">
        <f t="shared" si="1"/>
        <v>2012Pierson6</v>
      </c>
      <c r="B345" s="6">
        <v>2012.0</v>
      </c>
      <c r="C345" s="6" t="s">
        <v>92</v>
      </c>
      <c r="D345" s="6" t="s">
        <v>142</v>
      </c>
      <c r="E345" s="34">
        <v>42096.0</v>
      </c>
      <c r="F345" s="6" t="s">
        <v>1478</v>
      </c>
      <c r="G345" s="6" t="s">
        <v>114</v>
      </c>
      <c r="H345" s="6" t="s">
        <v>1479</v>
      </c>
      <c r="I345" s="35" t="s">
        <v>80</v>
      </c>
      <c r="J345" s="36">
        <v>86.1</v>
      </c>
      <c r="K345" s="36">
        <v>113.9</v>
      </c>
      <c r="L345" s="36">
        <f t="shared" si="2"/>
        <v>0</v>
      </c>
      <c r="M345" s="36" t="str">
        <f t="shared" si="3"/>
        <v>Regular Season</v>
      </c>
      <c r="N345" s="36" t="str">
        <f>IFERROR(VLOOKUP(I345,Mapped_Owner,2,0),"")</f>
        <v>Fellows</v>
      </c>
      <c r="O345" s="6">
        <f>VLOOKUP(D345,'Mapped Opponent'!$G$4:$H$22,2,0)</f>
        <v>6</v>
      </c>
      <c r="P345" s="6"/>
      <c r="Q345" s="6" t="str">
        <f t="shared" si="4"/>
        <v>Week 6</v>
      </c>
      <c r="R345" s="6" t="str">
        <f t="shared" si="5"/>
        <v>2012Week 6</v>
      </c>
      <c r="S345" s="6">
        <f>IFERROR(__xludf.DUMMYFUNCTION("rank(J345,FILTER(J:J,R:R=R345))"),9.0)</f>
        <v>9</v>
      </c>
      <c r="T345" s="6">
        <f t="shared" si="6"/>
        <v>3</v>
      </c>
      <c r="U345" s="6">
        <f t="shared" si="7"/>
        <v>9</v>
      </c>
      <c r="V345" s="42">
        <f>averageif(AllData!A:A,B345,AllData!R:R)/vlookup(B345,AllData!A:O,15,0)</f>
        <v>91.6025641</v>
      </c>
      <c r="W345" s="6"/>
    </row>
    <row r="346" ht="14.25" customHeight="1">
      <c r="A346" s="6" t="str">
        <f t="shared" si="1"/>
        <v>2012Cock6</v>
      </c>
      <c r="B346" s="6">
        <v>2012.0</v>
      </c>
      <c r="C346" s="6" t="s">
        <v>72</v>
      </c>
      <c r="D346" s="6" t="s">
        <v>142</v>
      </c>
      <c r="E346" s="34">
        <v>42039.0</v>
      </c>
      <c r="F346" s="6" t="s">
        <v>1481</v>
      </c>
      <c r="G346" s="6" t="s">
        <v>114</v>
      </c>
      <c r="H346" s="6" t="s">
        <v>810</v>
      </c>
      <c r="I346" s="35" t="s">
        <v>64</v>
      </c>
      <c r="J346" s="36">
        <v>93.1</v>
      </c>
      <c r="K346" s="36">
        <v>96.8</v>
      </c>
      <c r="L346" s="36">
        <f t="shared" si="2"/>
        <v>0</v>
      </c>
      <c r="M346" s="36" t="str">
        <f t="shared" si="3"/>
        <v>Regular Season</v>
      </c>
      <c r="N346" s="36" t="str">
        <f>IFERROR(VLOOKUP(I346,Mapped_Owner,2,0),"")</f>
        <v>Hudspeath</v>
      </c>
      <c r="O346" s="6">
        <f>VLOOKUP(D346,'Mapped Opponent'!$G$4:$H$22,2,0)</f>
        <v>6</v>
      </c>
      <c r="P346" s="6"/>
      <c r="Q346" s="6" t="str">
        <f t="shared" si="4"/>
        <v>Week 6</v>
      </c>
      <c r="R346" s="6" t="str">
        <f t="shared" si="5"/>
        <v>2012Week 6</v>
      </c>
      <c r="S346" s="6">
        <f>IFERROR(__xludf.DUMMYFUNCTION("rank(J346,FILTER(J:J,R:R=R346))"),5.0)</f>
        <v>5</v>
      </c>
      <c r="T346" s="6">
        <f t="shared" si="6"/>
        <v>7</v>
      </c>
      <c r="U346" s="6">
        <f t="shared" si="7"/>
        <v>5</v>
      </c>
      <c r="V346" s="42">
        <f>averageif(AllData!A:A,B346,AllData!R:R)/vlookup(B346,AllData!A:O,15,0)</f>
        <v>91.6025641</v>
      </c>
      <c r="W346" s="6"/>
    </row>
    <row r="347" ht="14.25" customHeight="1">
      <c r="A347" s="6" t="str">
        <f t="shared" si="1"/>
        <v>2012Tayski6</v>
      </c>
      <c r="B347" s="6">
        <v>2012.0</v>
      </c>
      <c r="C347" s="6" t="s">
        <v>52</v>
      </c>
      <c r="D347" s="6" t="s">
        <v>142</v>
      </c>
      <c r="E347" s="34">
        <v>42039.0</v>
      </c>
      <c r="F347" s="6" t="s">
        <v>1484</v>
      </c>
      <c r="G347" s="6" t="s">
        <v>114</v>
      </c>
      <c r="H347" s="6" t="s">
        <v>1485</v>
      </c>
      <c r="I347" s="35" t="s">
        <v>91</v>
      </c>
      <c r="J347" s="36">
        <v>82.2</v>
      </c>
      <c r="K347" s="36">
        <v>87.0</v>
      </c>
      <c r="L347" s="36">
        <f t="shared" si="2"/>
        <v>0</v>
      </c>
      <c r="M347" s="36" t="str">
        <f t="shared" si="3"/>
        <v>Regular Season</v>
      </c>
      <c r="N347" s="36" t="str">
        <f>IFERROR(VLOOKUP(I347,Mapped_Owner,2,0),"")</f>
        <v>Shep</v>
      </c>
      <c r="O347" s="6">
        <f>VLOOKUP(D347,'Mapped Opponent'!$G$4:$H$22,2,0)</f>
        <v>6</v>
      </c>
      <c r="P347" s="6"/>
      <c r="Q347" s="6" t="str">
        <f t="shared" si="4"/>
        <v>Week 6</v>
      </c>
      <c r="R347" s="6" t="str">
        <f t="shared" si="5"/>
        <v>2012Week 6</v>
      </c>
      <c r="S347" s="6">
        <f>IFERROR(__xludf.DUMMYFUNCTION("rank(J347,FILTER(J:J,R:R=R347))"),10.0)</f>
        <v>10</v>
      </c>
      <c r="T347" s="6">
        <f t="shared" si="6"/>
        <v>2</v>
      </c>
      <c r="U347" s="6">
        <f t="shared" si="7"/>
        <v>10</v>
      </c>
      <c r="V347" s="42">
        <f>averageif(AllData!A:A,B347,AllData!R:R)/vlookup(B347,AllData!A:O,15,0)</f>
        <v>91.6025641</v>
      </c>
      <c r="W347" s="6"/>
    </row>
    <row r="348" ht="14.25" customHeight="1">
      <c r="A348" s="6" t="str">
        <f t="shared" si="1"/>
        <v>2012KnardDawg6</v>
      </c>
      <c r="B348" s="6">
        <v>2012.0</v>
      </c>
      <c r="C348" s="6" t="s">
        <v>86</v>
      </c>
      <c r="D348" s="6" t="s">
        <v>142</v>
      </c>
      <c r="E348" s="34">
        <v>42125.0</v>
      </c>
      <c r="F348" s="6" t="s">
        <v>1487</v>
      </c>
      <c r="G348" s="6" t="s">
        <v>114</v>
      </c>
      <c r="H348" s="6" t="s">
        <v>1488</v>
      </c>
      <c r="I348" s="35" t="s">
        <v>158</v>
      </c>
      <c r="J348" s="36">
        <v>90.2</v>
      </c>
      <c r="K348" s="36">
        <v>71.3</v>
      </c>
      <c r="L348" s="36">
        <f t="shared" si="2"/>
        <v>1</v>
      </c>
      <c r="M348" s="36" t="str">
        <f t="shared" si="3"/>
        <v>Regular Season</v>
      </c>
      <c r="N348" s="36" t="str">
        <f>IFERROR(VLOOKUP(I348,Mapped_Owner,2,0),"")</f>
        <v>Guckien</v>
      </c>
      <c r="O348" s="6">
        <f>VLOOKUP(D348,'Mapped Opponent'!$G$4:$H$22,2,0)</f>
        <v>6</v>
      </c>
      <c r="P348" s="6"/>
      <c r="Q348" s="6" t="str">
        <f t="shared" si="4"/>
        <v>Week 6</v>
      </c>
      <c r="R348" s="6" t="str">
        <f t="shared" si="5"/>
        <v>2012Week 6</v>
      </c>
      <c r="S348" s="6">
        <f>IFERROR(__xludf.DUMMYFUNCTION("rank(J348,FILTER(J:J,R:R=R348))"),7.0)</f>
        <v>7</v>
      </c>
      <c r="T348" s="6">
        <f t="shared" si="6"/>
        <v>5</v>
      </c>
      <c r="U348" s="6">
        <f t="shared" si="7"/>
        <v>7</v>
      </c>
      <c r="V348" s="42">
        <f>averageif(AllData!A:A,B348,AllData!R:R)/vlookup(B348,AllData!A:O,15,0)</f>
        <v>91.6025641</v>
      </c>
      <c r="W348" s="6"/>
    </row>
    <row r="349" ht="14.25" customHeight="1">
      <c r="A349" s="6" t="str">
        <f t="shared" si="1"/>
        <v>2012T-How6</v>
      </c>
      <c r="B349" s="6">
        <v>2012.0</v>
      </c>
      <c r="C349" s="6" t="s">
        <v>82</v>
      </c>
      <c r="D349" s="6" t="s">
        <v>142</v>
      </c>
      <c r="E349" s="34">
        <v>42039.0</v>
      </c>
      <c r="F349" s="6" t="s">
        <v>1491</v>
      </c>
      <c r="G349" s="6" t="s">
        <v>114</v>
      </c>
      <c r="H349" s="6" t="s">
        <v>1492</v>
      </c>
      <c r="I349" s="35" t="s">
        <v>58</v>
      </c>
      <c r="J349" s="36">
        <v>92.3</v>
      </c>
      <c r="K349" s="36">
        <v>115.6</v>
      </c>
      <c r="L349" s="36">
        <f t="shared" si="2"/>
        <v>0</v>
      </c>
      <c r="M349" s="36" t="str">
        <f t="shared" si="3"/>
        <v>Regular Season</v>
      </c>
      <c r="N349" s="36" t="str">
        <f>IFERROR(VLOOKUP(I349,Mapped_Owner,2,0),"")</f>
        <v>Rooney/Jackson</v>
      </c>
      <c r="O349" s="6">
        <f>VLOOKUP(D349,'Mapped Opponent'!$G$4:$H$22,2,0)</f>
        <v>6</v>
      </c>
      <c r="P349" s="6"/>
      <c r="Q349" s="6" t="str">
        <f t="shared" si="4"/>
        <v>Week 6</v>
      </c>
      <c r="R349" s="6" t="str">
        <f t="shared" si="5"/>
        <v>2012Week 6</v>
      </c>
      <c r="S349" s="6">
        <f>IFERROR(__xludf.DUMMYFUNCTION("rank(J349,FILTER(J:J,R:R=R349))"),6.0)</f>
        <v>6</v>
      </c>
      <c r="T349" s="6">
        <f t="shared" si="6"/>
        <v>6</v>
      </c>
      <c r="U349" s="6">
        <f t="shared" si="7"/>
        <v>6</v>
      </c>
      <c r="V349" s="42">
        <f>averageif(AllData!A:A,B349,AllData!R:R)/vlookup(B349,AllData!A:O,15,0)</f>
        <v>91.6025641</v>
      </c>
      <c r="W349" s="6"/>
    </row>
    <row r="350" ht="14.25" customHeight="1">
      <c r="A350" s="6" t="str">
        <f t="shared" si="1"/>
        <v>2012Hudspeath7</v>
      </c>
      <c r="B350" s="6">
        <v>2012.0</v>
      </c>
      <c r="C350" s="6" t="s">
        <v>39</v>
      </c>
      <c r="D350" s="6" t="s">
        <v>143</v>
      </c>
      <c r="E350" s="34">
        <v>42067.0</v>
      </c>
      <c r="F350" s="6" t="s">
        <v>1493</v>
      </c>
      <c r="G350" s="6" t="s">
        <v>114</v>
      </c>
      <c r="H350" s="6" t="s">
        <v>1494</v>
      </c>
      <c r="I350" s="35" t="s">
        <v>93</v>
      </c>
      <c r="J350" s="36">
        <v>82.3</v>
      </c>
      <c r="K350" s="36">
        <v>97.9</v>
      </c>
      <c r="L350" s="36">
        <f t="shared" si="2"/>
        <v>0</v>
      </c>
      <c r="M350" s="36" t="str">
        <f t="shared" si="3"/>
        <v>Regular Season</v>
      </c>
      <c r="N350" s="36" t="str">
        <f>IFERROR(VLOOKUP(I350,Mapped_Owner,2,0),"")</f>
        <v>Pierson</v>
      </c>
      <c r="O350" s="6">
        <f>VLOOKUP(D350,'Mapped Opponent'!$G$4:$H$22,2,0)</f>
        <v>7</v>
      </c>
      <c r="P350" s="6"/>
      <c r="Q350" s="6" t="str">
        <f t="shared" si="4"/>
        <v>Week 7</v>
      </c>
      <c r="R350" s="6" t="str">
        <f t="shared" si="5"/>
        <v>2012Week 7</v>
      </c>
      <c r="S350" s="6">
        <f>IFERROR(__xludf.DUMMYFUNCTION("rank(J350,FILTER(J:J,R:R=R350))"),9.0)</f>
        <v>9</v>
      </c>
      <c r="T350" s="6">
        <f t="shared" si="6"/>
        <v>3</v>
      </c>
      <c r="U350" s="6">
        <f t="shared" si="7"/>
        <v>9</v>
      </c>
      <c r="V350" s="42">
        <f>averageif(AllData!A:A,B350,AllData!R:R)/vlookup(B350,AllData!A:O,15,0)</f>
        <v>91.6025641</v>
      </c>
      <c r="W350" s="6"/>
    </row>
    <row r="351" ht="14.25" customHeight="1">
      <c r="A351" s="6" t="str">
        <f t="shared" si="1"/>
        <v>2012Salty7</v>
      </c>
      <c r="B351" s="6">
        <v>2012.0</v>
      </c>
      <c r="C351" s="6" t="s">
        <v>76</v>
      </c>
      <c r="D351" s="6" t="s">
        <v>143</v>
      </c>
      <c r="E351" s="34">
        <v>42040.0</v>
      </c>
      <c r="F351" s="6" t="s">
        <v>1496</v>
      </c>
      <c r="G351" s="6" t="s">
        <v>114</v>
      </c>
      <c r="H351" s="6" t="s">
        <v>1497</v>
      </c>
      <c r="I351" s="35" t="s">
        <v>85</v>
      </c>
      <c r="J351" s="36">
        <v>92.3</v>
      </c>
      <c r="K351" s="36">
        <v>109.3</v>
      </c>
      <c r="L351" s="36">
        <f t="shared" si="2"/>
        <v>0</v>
      </c>
      <c r="M351" s="36" t="str">
        <f t="shared" si="3"/>
        <v>Regular Season</v>
      </c>
      <c r="N351" s="36" t="str">
        <f>IFERROR(VLOOKUP(I351,Mapped_Owner,2,0),"")</f>
        <v>T-How</v>
      </c>
      <c r="O351" s="6">
        <f>VLOOKUP(D351,'Mapped Opponent'!$G$4:$H$22,2,0)</f>
        <v>7</v>
      </c>
      <c r="P351" s="6"/>
      <c r="Q351" s="6" t="str">
        <f t="shared" si="4"/>
        <v>Week 7</v>
      </c>
      <c r="R351" s="6" t="str">
        <f t="shared" si="5"/>
        <v>2012Week 7</v>
      </c>
      <c r="S351" s="6">
        <f>IFERROR(__xludf.DUMMYFUNCTION("rank(J351,FILTER(J:J,R:R=R351))"),6.0)</f>
        <v>6</v>
      </c>
      <c r="T351" s="6">
        <f t="shared" si="6"/>
        <v>6</v>
      </c>
      <c r="U351" s="6">
        <f t="shared" si="7"/>
        <v>6</v>
      </c>
      <c r="V351" s="42">
        <f>averageif(AllData!A:A,B351,AllData!R:R)/vlookup(B351,AllData!A:O,15,0)</f>
        <v>91.6025641</v>
      </c>
      <c r="W351" s="6"/>
    </row>
    <row r="352" ht="14.25" customHeight="1">
      <c r="A352" s="6" t="str">
        <f t="shared" si="1"/>
        <v>2012Fellows7</v>
      </c>
      <c r="B352" s="6">
        <v>2012.0</v>
      </c>
      <c r="C352" s="6" t="s">
        <v>79</v>
      </c>
      <c r="D352" s="6" t="s">
        <v>143</v>
      </c>
      <c r="E352" s="34">
        <v>42097.0</v>
      </c>
      <c r="F352" s="6" t="s">
        <v>1498</v>
      </c>
      <c r="G352" s="6" t="s">
        <v>114</v>
      </c>
      <c r="H352" s="6" t="s">
        <v>1499</v>
      </c>
      <c r="I352" s="35" t="s">
        <v>50</v>
      </c>
      <c r="J352" s="36">
        <v>93.1</v>
      </c>
      <c r="K352" s="36">
        <v>110.8</v>
      </c>
      <c r="L352" s="36">
        <f t="shared" si="2"/>
        <v>0</v>
      </c>
      <c r="M352" s="36" t="str">
        <f t="shared" si="3"/>
        <v>Regular Season</v>
      </c>
      <c r="N352" s="36" t="str">
        <f>IFERROR(VLOOKUP(I352,Mapped_Owner,2,0),"")</f>
        <v>Buser</v>
      </c>
      <c r="O352" s="6">
        <f>VLOOKUP(D352,'Mapped Opponent'!$G$4:$H$22,2,0)</f>
        <v>7</v>
      </c>
      <c r="P352" s="6"/>
      <c r="Q352" s="6" t="str">
        <f t="shared" si="4"/>
        <v>Week 7</v>
      </c>
      <c r="R352" s="6" t="str">
        <f t="shared" si="5"/>
        <v>2012Week 7</v>
      </c>
      <c r="S352" s="6">
        <f>IFERROR(__xludf.DUMMYFUNCTION("rank(J352,FILTER(J:J,R:R=R352))"),5.0)</f>
        <v>5</v>
      </c>
      <c r="T352" s="6">
        <f t="shared" si="6"/>
        <v>7</v>
      </c>
      <c r="U352" s="6">
        <f t="shared" si="7"/>
        <v>5</v>
      </c>
      <c r="V352" s="42">
        <f>averageif(AllData!A:A,B352,AllData!R:R)/vlookup(B352,AllData!A:O,15,0)</f>
        <v>91.6025641</v>
      </c>
      <c r="W352" s="6"/>
    </row>
    <row r="353" ht="14.25" customHeight="1">
      <c r="A353" s="6" t="str">
        <f t="shared" si="1"/>
        <v>2012Shep7</v>
      </c>
      <c r="B353" s="6">
        <v>2012.0</v>
      </c>
      <c r="C353" s="6" t="s">
        <v>89</v>
      </c>
      <c r="D353" s="6" t="s">
        <v>143</v>
      </c>
      <c r="E353" s="34">
        <v>42156.0</v>
      </c>
      <c r="F353" s="6" t="s">
        <v>1505</v>
      </c>
      <c r="G353" s="6" t="s">
        <v>114</v>
      </c>
      <c r="H353" s="6" t="s">
        <v>1506</v>
      </c>
      <c r="I353" s="35" t="s">
        <v>99</v>
      </c>
      <c r="J353" s="36">
        <v>88.5</v>
      </c>
      <c r="K353" s="36">
        <v>67.4</v>
      </c>
      <c r="L353" s="36">
        <f t="shared" si="2"/>
        <v>1</v>
      </c>
      <c r="M353" s="36" t="str">
        <f t="shared" si="3"/>
        <v>Regular Season</v>
      </c>
      <c r="N353" s="36" t="str">
        <f>IFERROR(VLOOKUP(I353,Mapped_Owner,2,0),"")</f>
        <v>Cock</v>
      </c>
      <c r="O353" s="6">
        <f>VLOOKUP(D353,'Mapped Opponent'!$G$4:$H$22,2,0)</f>
        <v>7</v>
      </c>
      <c r="P353" s="6"/>
      <c r="Q353" s="6" t="str">
        <f t="shared" si="4"/>
        <v>Week 7</v>
      </c>
      <c r="R353" s="6" t="str">
        <f t="shared" si="5"/>
        <v>2012Week 7</v>
      </c>
      <c r="S353" s="6">
        <f>IFERROR(__xludf.DUMMYFUNCTION("rank(J353,FILTER(J:J,R:R=R353))"),8.0)</f>
        <v>8</v>
      </c>
      <c r="T353" s="6">
        <f t="shared" si="6"/>
        <v>4</v>
      </c>
      <c r="U353" s="6">
        <f t="shared" si="7"/>
        <v>8</v>
      </c>
      <c r="V353" s="42">
        <f>averageif(AllData!A:A,B353,AllData!R:R)/vlookup(B353,AllData!A:O,15,0)</f>
        <v>91.6025641</v>
      </c>
      <c r="W353" s="6"/>
    </row>
    <row r="354" ht="14.25" customHeight="1">
      <c r="A354" s="6" t="str">
        <f t="shared" si="1"/>
        <v>2012Guckien7</v>
      </c>
      <c r="B354" s="6">
        <v>2012.0</v>
      </c>
      <c r="C354" s="6" t="s">
        <v>159</v>
      </c>
      <c r="D354" s="6" t="s">
        <v>143</v>
      </c>
      <c r="E354" s="34">
        <v>42040.0</v>
      </c>
      <c r="F354" s="6" t="s">
        <v>1509</v>
      </c>
      <c r="G354" s="6" t="s">
        <v>114</v>
      </c>
      <c r="H354" s="6" t="s">
        <v>1510</v>
      </c>
      <c r="I354" s="35" t="s">
        <v>161</v>
      </c>
      <c r="J354" s="36">
        <v>91.2</v>
      </c>
      <c r="K354" s="36">
        <v>59.6</v>
      </c>
      <c r="L354" s="36">
        <f t="shared" si="2"/>
        <v>1</v>
      </c>
      <c r="M354" s="36" t="str">
        <f t="shared" si="3"/>
        <v>Regular Season</v>
      </c>
      <c r="N354" s="36" t="str">
        <f>IFERROR(VLOOKUP(I354,Mapped_Owner,2,0),"")</f>
        <v>Tayski</v>
      </c>
      <c r="O354" s="6">
        <f>VLOOKUP(D354,'Mapped Opponent'!$G$4:$H$22,2,0)</f>
        <v>7</v>
      </c>
      <c r="P354" s="6"/>
      <c r="Q354" s="6" t="str">
        <f t="shared" si="4"/>
        <v>Week 7</v>
      </c>
      <c r="R354" s="6" t="str">
        <f t="shared" si="5"/>
        <v>2012Week 7</v>
      </c>
      <c r="S354" s="6">
        <f>IFERROR(__xludf.DUMMYFUNCTION("rank(J354,FILTER(J:J,R:R=R354))"),7.0)</f>
        <v>7</v>
      </c>
      <c r="T354" s="6">
        <f t="shared" si="6"/>
        <v>5</v>
      </c>
      <c r="U354" s="6">
        <f t="shared" si="7"/>
        <v>7</v>
      </c>
      <c r="V354" s="42">
        <f>averageif(AllData!A:A,B354,AllData!R:R)/vlookup(B354,AllData!A:O,15,0)</f>
        <v>91.6025641</v>
      </c>
      <c r="W354" s="6"/>
    </row>
    <row r="355" ht="14.25" customHeight="1">
      <c r="A355" s="6" t="str">
        <f t="shared" si="1"/>
        <v>2012Rooney/Jackson7</v>
      </c>
      <c r="B355" s="6">
        <v>2012.0</v>
      </c>
      <c r="C355" s="6" t="s">
        <v>57</v>
      </c>
      <c r="D355" s="6" t="s">
        <v>143</v>
      </c>
      <c r="E355" s="34">
        <v>42126.0</v>
      </c>
      <c r="F355" s="6" t="s">
        <v>1511</v>
      </c>
      <c r="G355" s="6" t="s">
        <v>114</v>
      </c>
      <c r="H355" s="6" t="s">
        <v>1512</v>
      </c>
      <c r="I355" s="35" t="s">
        <v>132</v>
      </c>
      <c r="J355" s="36">
        <v>94.2</v>
      </c>
      <c r="K355" s="36">
        <v>68.5</v>
      </c>
      <c r="L355" s="36">
        <f t="shared" si="2"/>
        <v>1</v>
      </c>
      <c r="M355" s="36" t="str">
        <f t="shared" si="3"/>
        <v>Regular Season</v>
      </c>
      <c r="N355" s="36" t="str">
        <f>IFERROR(VLOOKUP(I355,Mapped_Owner,2,0),"")</f>
        <v>KnardDawg</v>
      </c>
      <c r="O355" s="6">
        <f>VLOOKUP(D355,'Mapped Opponent'!$G$4:$H$22,2,0)</f>
        <v>7</v>
      </c>
      <c r="P355" s="6"/>
      <c r="Q355" s="6" t="str">
        <f t="shared" si="4"/>
        <v>Week 7</v>
      </c>
      <c r="R355" s="6" t="str">
        <f t="shared" si="5"/>
        <v>2012Week 7</v>
      </c>
      <c r="S355" s="6">
        <f>IFERROR(__xludf.DUMMYFUNCTION("rank(J355,FILTER(J:J,R:R=R355))"),4.0)</f>
        <v>4</v>
      </c>
      <c r="T355" s="6">
        <f t="shared" si="6"/>
        <v>8</v>
      </c>
      <c r="U355" s="6">
        <f t="shared" si="7"/>
        <v>4</v>
      </c>
      <c r="V355" s="42">
        <f>averageif(AllData!A:A,B355,AllData!R:R)/vlookup(B355,AllData!A:O,15,0)</f>
        <v>91.6025641</v>
      </c>
      <c r="W355" s="6"/>
    </row>
    <row r="356" ht="14.25" customHeight="1">
      <c r="A356" s="6" t="str">
        <f t="shared" si="1"/>
        <v>2012Buser7</v>
      </c>
      <c r="B356" s="6">
        <v>2012.0</v>
      </c>
      <c r="C356" s="6" t="s">
        <v>47</v>
      </c>
      <c r="D356" s="6" t="s">
        <v>143</v>
      </c>
      <c r="E356" s="34">
        <v>42067.0</v>
      </c>
      <c r="F356" s="6" t="s">
        <v>1513</v>
      </c>
      <c r="G356" s="6" t="s">
        <v>125</v>
      </c>
      <c r="H356" s="6" t="s">
        <v>1514</v>
      </c>
      <c r="I356" s="35" t="s">
        <v>80</v>
      </c>
      <c r="J356" s="36">
        <v>110.8</v>
      </c>
      <c r="K356" s="36">
        <v>93.1</v>
      </c>
      <c r="L356" s="36">
        <f t="shared" si="2"/>
        <v>1</v>
      </c>
      <c r="M356" s="36" t="str">
        <f t="shared" si="3"/>
        <v>Regular Season</v>
      </c>
      <c r="N356" s="36" t="str">
        <f>IFERROR(VLOOKUP(I356,Mapped_Owner,2,0),"")</f>
        <v>Fellows</v>
      </c>
      <c r="O356" s="6">
        <f>VLOOKUP(D356,'Mapped Opponent'!$G$4:$H$22,2,0)</f>
        <v>7</v>
      </c>
      <c r="P356" s="6"/>
      <c r="Q356" s="6" t="str">
        <f t="shared" si="4"/>
        <v>Week 7</v>
      </c>
      <c r="R356" s="6" t="str">
        <f t="shared" si="5"/>
        <v>2012Week 7</v>
      </c>
      <c r="S356" s="6">
        <f>IFERROR(__xludf.DUMMYFUNCTION("rank(J356,FILTER(J:J,R:R=R356))"),1.0)</f>
        <v>1</v>
      </c>
      <c r="T356" s="6">
        <f t="shared" si="6"/>
        <v>11</v>
      </c>
      <c r="U356" s="6">
        <f t="shared" si="7"/>
        <v>1</v>
      </c>
      <c r="V356" s="42">
        <f>averageif(AllData!A:A,B356,AllData!R:R)/vlookup(B356,AllData!A:O,15,0)</f>
        <v>91.6025641</v>
      </c>
      <c r="W356" s="6"/>
    </row>
    <row r="357" ht="14.25" customHeight="1">
      <c r="A357" s="6" t="str">
        <f t="shared" si="1"/>
        <v>2012Pierson7</v>
      </c>
      <c r="B357" s="6">
        <v>2012.0</v>
      </c>
      <c r="C357" s="6" t="s">
        <v>92</v>
      </c>
      <c r="D357" s="6" t="s">
        <v>143</v>
      </c>
      <c r="E357" s="34">
        <v>42126.0</v>
      </c>
      <c r="F357" s="6" t="s">
        <v>1516</v>
      </c>
      <c r="G357" s="6" t="s">
        <v>125</v>
      </c>
      <c r="H357" s="6" t="s">
        <v>848</v>
      </c>
      <c r="I357" s="35" t="s">
        <v>64</v>
      </c>
      <c r="J357" s="36">
        <v>97.9</v>
      </c>
      <c r="K357" s="36">
        <v>82.3</v>
      </c>
      <c r="L357" s="36">
        <f t="shared" si="2"/>
        <v>1</v>
      </c>
      <c r="M357" s="36" t="str">
        <f t="shared" si="3"/>
        <v>Regular Season</v>
      </c>
      <c r="N357" s="36" t="str">
        <f>IFERROR(VLOOKUP(I357,Mapped_Owner,2,0),"")</f>
        <v>Hudspeath</v>
      </c>
      <c r="O357" s="6">
        <f>VLOOKUP(D357,'Mapped Opponent'!$G$4:$H$22,2,0)</f>
        <v>7</v>
      </c>
      <c r="P357" s="6"/>
      <c r="Q357" s="6" t="str">
        <f t="shared" si="4"/>
        <v>Week 7</v>
      </c>
      <c r="R357" s="6" t="str">
        <f t="shared" si="5"/>
        <v>2012Week 7</v>
      </c>
      <c r="S357" s="6">
        <f>IFERROR(__xludf.DUMMYFUNCTION("rank(J357,FILTER(J:J,R:R=R357))"),3.0)</f>
        <v>3</v>
      </c>
      <c r="T357" s="6">
        <f t="shared" si="6"/>
        <v>9</v>
      </c>
      <c r="U357" s="6">
        <f t="shared" si="7"/>
        <v>3</v>
      </c>
      <c r="V357" s="42">
        <f>averageif(AllData!A:A,B357,AllData!R:R)/vlookup(B357,AllData!A:O,15,0)</f>
        <v>91.6025641</v>
      </c>
      <c r="W357" s="6"/>
    </row>
    <row r="358" ht="14.25" customHeight="1">
      <c r="A358" s="6" t="str">
        <f t="shared" si="1"/>
        <v>2012Cock7</v>
      </c>
      <c r="B358" s="6">
        <v>2012.0</v>
      </c>
      <c r="C358" s="6" t="s">
        <v>72</v>
      </c>
      <c r="D358" s="6" t="s">
        <v>143</v>
      </c>
      <c r="E358" s="34">
        <v>42040.0</v>
      </c>
      <c r="F358" s="6" t="s">
        <v>1517</v>
      </c>
      <c r="G358" s="6" t="s">
        <v>125</v>
      </c>
      <c r="H358" s="6" t="s">
        <v>1518</v>
      </c>
      <c r="I358" s="35" t="s">
        <v>91</v>
      </c>
      <c r="J358" s="36">
        <v>67.4</v>
      </c>
      <c r="K358" s="36">
        <v>88.5</v>
      </c>
      <c r="L358" s="36">
        <f t="shared" si="2"/>
        <v>0</v>
      </c>
      <c r="M358" s="36" t="str">
        <f t="shared" si="3"/>
        <v>Regular Season</v>
      </c>
      <c r="N358" s="36" t="str">
        <f>IFERROR(VLOOKUP(I358,Mapped_Owner,2,0),"")</f>
        <v>Shep</v>
      </c>
      <c r="O358" s="6">
        <f>VLOOKUP(D358,'Mapped Opponent'!$G$4:$H$22,2,0)</f>
        <v>7</v>
      </c>
      <c r="P358" s="6"/>
      <c r="Q358" s="6" t="str">
        <f t="shared" si="4"/>
        <v>Week 7</v>
      </c>
      <c r="R358" s="6" t="str">
        <f t="shared" si="5"/>
        <v>2012Week 7</v>
      </c>
      <c r="S358" s="6">
        <f>IFERROR(__xludf.DUMMYFUNCTION("rank(J358,FILTER(J:J,R:R=R358))"),11.0)</f>
        <v>11</v>
      </c>
      <c r="T358" s="6">
        <f t="shared" si="6"/>
        <v>1</v>
      </c>
      <c r="U358" s="6">
        <f t="shared" si="7"/>
        <v>11</v>
      </c>
      <c r="V358" s="42">
        <f>averageif(AllData!A:A,B358,AllData!R:R)/vlookup(B358,AllData!A:O,15,0)</f>
        <v>91.6025641</v>
      </c>
      <c r="W358" s="6"/>
    </row>
    <row r="359" ht="14.25" customHeight="1">
      <c r="A359" s="6" t="str">
        <f t="shared" si="1"/>
        <v>2012Tayski7</v>
      </c>
      <c r="B359" s="6">
        <v>2012.0</v>
      </c>
      <c r="C359" s="6" t="s">
        <v>52</v>
      </c>
      <c r="D359" s="6" t="s">
        <v>143</v>
      </c>
      <c r="E359" s="34">
        <v>42040.0</v>
      </c>
      <c r="F359" s="6" t="s">
        <v>1519</v>
      </c>
      <c r="G359" s="6" t="s">
        <v>125</v>
      </c>
      <c r="H359" s="6" t="s">
        <v>1520</v>
      </c>
      <c r="I359" s="35" t="s">
        <v>158</v>
      </c>
      <c r="J359" s="36">
        <v>59.6</v>
      </c>
      <c r="K359" s="36">
        <v>91.2</v>
      </c>
      <c r="L359" s="36">
        <f t="shared" si="2"/>
        <v>0</v>
      </c>
      <c r="M359" s="36" t="str">
        <f t="shared" si="3"/>
        <v>Regular Season</v>
      </c>
      <c r="N359" s="36" t="str">
        <f>IFERROR(VLOOKUP(I359,Mapped_Owner,2,0),"")</f>
        <v>Guckien</v>
      </c>
      <c r="O359" s="6">
        <f>VLOOKUP(D359,'Mapped Opponent'!$G$4:$H$22,2,0)</f>
        <v>7</v>
      </c>
      <c r="P359" s="6"/>
      <c r="Q359" s="6" t="str">
        <f t="shared" si="4"/>
        <v>Week 7</v>
      </c>
      <c r="R359" s="6" t="str">
        <f t="shared" si="5"/>
        <v>2012Week 7</v>
      </c>
      <c r="S359" s="6">
        <f>IFERROR(__xludf.DUMMYFUNCTION("rank(J359,FILTER(J:J,R:R=R359))"),12.0)</f>
        <v>12</v>
      </c>
      <c r="T359" s="6">
        <f t="shared" si="6"/>
        <v>0</v>
      </c>
      <c r="U359" s="6">
        <f t="shared" si="7"/>
        <v>12</v>
      </c>
      <c r="V359" s="42">
        <f>averageif(AllData!A:A,B359,AllData!R:R)/vlookup(B359,AllData!A:O,15,0)</f>
        <v>91.6025641</v>
      </c>
      <c r="W359" s="6"/>
    </row>
    <row r="360" ht="14.25" customHeight="1">
      <c r="A360" s="6" t="str">
        <f t="shared" si="1"/>
        <v>2012KnardDawg7</v>
      </c>
      <c r="B360" s="6">
        <v>2012.0</v>
      </c>
      <c r="C360" s="6" t="s">
        <v>86</v>
      </c>
      <c r="D360" s="6" t="s">
        <v>143</v>
      </c>
      <c r="E360" s="34">
        <v>42126.0</v>
      </c>
      <c r="F360" s="6" t="s">
        <v>1524</v>
      </c>
      <c r="G360" s="6" t="s">
        <v>125</v>
      </c>
      <c r="H360" s="6" t="s">
        <v>1525</v>
      </c>
      <c r="I360" s="35" t="s">
        <v>58</v>
      </c>
      <c r="J360" s="36">
        <v>68.5</v>
      </c>
      <c r="K360" s="36">
        <v>94.2</v>
      </c>
      <c r="L360" s="36">
        <f t="shared" si="2"/>
        <v>0</v>
      </c>
      <c r="M360" s="36" t="str">
        <f t="shared" si="3"/>
        <v>Regular Season</v>
      </c>
      <c r="N360" s="36" t="str">
        <f>IFERROR(VLOOKUP(I360,Mapped_Owner,2,0),"")</f>
        <v>Rooney/Jackson</v>
      </c>
      <c r="O360" s="6">
        <f>VLOOKUP(D360,'Mapped Opponent'!$G$4:$H$22,2,0)</f>
        <v>7</v>
      </c>
      <c r="P360" s="6"/>
      <c r="Q360" s="6" t="str">
        <f t="shared" si="4"/>
        <v>Week 7</v>
      </c>
      <c r="R360" s="6" t="str">
        <f t="shared" si="5"/>
        <v>2012Week 7</v>
      </c>
      <c r="S360" s="6">
        <f>IFERROR(__xludf.DUMMYFUNCTION("rank(J360,FILTER(J:J,R:R=R360))"),10.0)</f>
        <v>10</v>
      </c>
      <c r="T360" s="6">
        <f t="shared" si="6"/>
        <v>2</v>
      </c>
      <c r="U360" s="6">
        <f t="shared" si="7"/>
        <v>10</v>
      </c>
      <c r="V360" s="42">
        <f>averageif(AllData!A:A,B360,AllData!R:R)/vlookup(B360,AllData!A:O,15,0)</f>
        <v>91.6025641</v>
      </c>
      <c r="W360" s="6"/>
    </row>
    <row r="361" ht="14.25" customHeight="1">
      <c r="A361" s="6" t="str">
        <f t="shared" si="1"/>
        <v>2012T-How7</v>
      </c>
      <c r="B361" s="6">
        <v>2012.0</v>
      </c>
      <c r="C361" s="6" t="s">
        <v>82</v>
      </c>
      <c r="D361" s="6" t="s">
        <v>143</v>
      </c>
      <c r="E361" s="34">
        <v>42067.0</v>
      </c>
      <c r="F361" s="6" t="s">
        <v>1526</v>
      </c>
      <c r="G361" s="6" t="s">
        <v>125</v>
      </c>
      <c r="H361" s="6" t="s">
        <v>1527</v>
      </c>
      <c r="I361" s="35" t="s">
        <v>77</v>
      </c>
      <c r="J361" s="36">
        <v>109.3</v>
      </c>
      <c r="K361" s="36">
        <v>92.3</v>
      </c>
      <c r="L361" s="36">
        <f t="shared" si="2"/>
        <v>1</v>
      </c>
      <c r="M361" s="36" t="str">
        <f t="shared" si="3"/>
        <v>Regular Season</v>
      </c>
      <c r="N361" s="36" t="str">
        <f>IFERROR(VLOOKUP(I361,Mapped_Owner,2,0),"")</f>
        <v>Salty</v>
      </c>
      <c r="O361" s="6">
        <f>VLOOKUP(D361,'Mapped Opponent'!$G$4:$H$22,2,0)</f>
        <v>7</v>
      </c>
      <c r="P361" s="6"/>
      <c r="Q361" s="6" t="str">
        <f t="shared" si="4"/>
        <v>Week 7</v>
      </c>
      <c r="R361" s="6" t="str">
        <f t="shared" si="5"/>
        <v>2012Week 7</v>
      </c>
      <c r="S361" s="6">
        <f>IFERROR(__xludf.DUMMYFUNCTION("rank(J361,FILTER(J:J,R:R=R361))"),2.0)</f>
        <v>2</v>
      </c>
      <c r="T361" s="6">
        <f t="shared" si="6"/>
        <v>10</v>
      </c>
      <c r="U361" s="6">
        <f t="shared" si="7"/>
        <v>2</v>
      </c>
      <c r="V361" s="42">
        <f>averageif(AllData!A:A,B361,AllData!R:R)/vlookup(B361,AllData!A:O,15,0)</f>
        <v>91.6025641</v>
      </c>
      <c r="W361" s="6"/>
    </row>
    <row r="362" ht="14.25" customHeight="1">
      <c r="A362" s="6" t="str">
        <f t="shared" si="1"/>
        <v>2012Hudspeath8</v>
      </c>
      <c r="B362" s="6">
        <v>2012.0</v>
      </c>
      <c r="C362" s="6" t="s">
        <v>39</v>
      </c>
      <c r="D362" s="6" t="s">
        <v>145</v>
      </c>
      <c r="E362" s="34">
        <v>42068.0</v>
      </c>
      <c r="F362" s="6" t="s">
        <v>1530</v>
      </c>
      <c r="G362" s="6" t="s">
        <v>125</v>
      </c>
      <c r="H362" s="6" t="s">
        <v>1531</v>
      </c>
      <c r="I362" s="35" t="s">
        <v>50</v>
      </c>
      <c r="J362" s="36">
        <v>75.9</v>
      </c>
      <c r="K362" s="36">
        <v>111.6</v>
      </c>
      <c r="L362" s="36">
        <f t="shared" si="2"/>
        <v>0</v>
      </c>
      <c r="M362" s="36" t="str">
        <f t="shared" si="3"/>
        <v>Regular Season</v>
      </c>
      <c r="N362" s="36" t="str">
        <f>IFERROR(VLOOKUP(I362,Mapped_Owner,2,0),"")</f>
        <v>Buser</v>
      </c>
      <c r="O362" s="6">
        <f>VLOOKUP(D362,'Mapped Opponent'!$G$4:$H$22,2,0)</f>
        <v>8</v>
      </c>
      <c r="P362" s="6"/>
      <c r="Q362" s="6" t="str">
        <f t="shared" si="4"/>
        <v>Week 8</v>
      </c>
      <c r="R362" s="6" t="str">
        <f t="shared" si="5"/>
        <v>2012Week 8</v>
      </c>
      <c r="S362" s="6">
        <f>IFERROR(__xludf.DUMMYFUNCTION("rank(J362,FILTER(J:J,R:R=R362))"),9.0)</f>
        <v>9</v>
      </c>
      <c r="T362" s="6">
        <f t="shared" si="6"/>
        <v>3</v>
      </c>
      <c r="U362" s="6">
        <f t="shared" si="7"/>
        <v>9</v>
      </c>
      <c r="V362" s="42">
        <f>averageif(AllData!A:A,B362,AllData!R:R)/vlookup(B362,AllData!A:O,15,0)</f>
        <v>91.6025641</v>
      </c>
      <c r="W362" s="6"/>
    </row>
    <row r="363" ht="14.25" customHeight="1">
      <c r="A363" s="6" t="str">
        <f t="shared" si="1"/>
        <v>2012Salty8</v>
      </c>
      <c r="B363" s="6">
        <v>2012.0</v>
      </c>
      <c r="C363" s="6" t="s">
        <v>76</v>
      </c>
      <c r="D363" s="6" t="s">
        <v>145</v>
      </c>
      <c r="E363" s="34">
        <v>42041.0</v>
      </c>
      <c r="F363" s="6" t="s">
        <v>1532</v>
      </c>
      <c r="G363" s="6" t="s">
        <v>125</v>
      </c>
      <c r="H363" s="6" t="s">
        <v>1533</v>
      </c>
      <c r="I363" s="35" t="s">
        <v>132</v>
      </c>
      <c r="J363" s="36">
        <v>74.2</v>
      </c>
      <c r="K363" s="36">
        <v>93.5</v>
      </c>
      <c r="L363" s="36">
        <f t="shared" si="2"/>
        <v>0</v>
      </c>
      <c r="M363" s="36" t="str">
        <f t="shared" si="3"/>
        <v>Regular Season</v>
      </c>
      <c r="N363" s="36" t="str">
        <f>IFERROR(VLOOKUP(I363,Mapped_Owner,2,0),"")</f>
        <v>KnardDawg</v>
      </c>
      <c r="O363" s="6">
        <f>VLOOKUP(D363,'Mapped Opponent'!$G$4:$H$22,2,0)</f>
        <v>8</v>
      </c>
      <c r="P363" s="6"/>
      <c r="Q363" s="6" t="str">
        <f t="shared" si="4"/>
        <v>Week 8</v>
      </c>
      <c r="R363" s="6" t="str">
        <f t="shared" si="5"/>
        <v>2012Week 8</v>
      </c>
      <c r="S363" s="6">
        <f>IFERROR(__xludf.DUMMYFUNCTION("rank(J363,FILTER(J:J,R:R=R363))"),10.0)</f>
        <v>10</v>
      </c>
      <c r="T363" s="6">
        <f t="shared" si="6"/>
        <v>2</v>
      </c>
      <c r="U363" s="6">
        <f t="shared" si="7"/>
        <v>10</v>
      </c>
      <c r="V363" s="42">
        <f>averageif(AllData!A:A,B363,AllData!R:R)/vlookup(B363,AllData!A:O,15,0)</f>
        <v>91.6025641</v>
      </c>
      <c r="W363" s="6"/>
    </row>
    <row r="364" ht="14.25" customHeight="1">
      <c r="A364" s="6" t="str">
        <f t="shared" si="1"/>
        <v>2012Fellows8</v>
      </c>
      <c r="B364" s="6">
        <v>2012.0</v>
      </c>
      <c r="C364" s="6" t="s">
        <v>79</v>
      </c>
      <c r="D364" s="6" t="s">
        <v>145</v>
      </c>
      <c r="E364" s="34">
        <v>42127.0</v>
      </c>
      <c r="F364" s="6" t="s">
        <v>1534</v>
      </c>
      <c r="G364" s="6" t="s">
        <v>125</v>
      </c>
      <c r="H364" s="6" t="s">
        <v>1535</v>
      </c>
      <c r="I364" s="35" t="s">
        <v>85</v>
      </c>
      <c r="J364" s="36">
        <v>103.1</v>
      </c>
      <c r="K364" s="36">
        <v>59.2</v>
      </c>
      <c r="L364" s="36">
        <f t="shared" si="2"/>
        <v>1</v>
      </c>
      <c r="M364" s="36" t="str">
        <f t="shared" si="3"/>
        <v>Regular Season</v>
      </c>
      <c r="N364" s="36" t="str">
        <f>IFERROR(VLOOKUP(I364,Mapped_Owner,2,0),"")</f>
        <v>T-How</v>
      </c>
      <c r="O364" s="6">
        <f>VLOOKUP(D364,'Mapped Opponent'!$G$4:$H$22,2,0)</f>
        <v>8</v>
      </c>
      <c r="P364" s="6"/>
      <c r="Q364" s="6" t="str">
        <f t="shared" si="4"/>
        <v>Week 8</v>
      </c>
      <c r="R364" s="6" t="str">
        <f t="shared" si="5"/>
        <v>2012Week 8</v>
      </c>
      <c r="S364" s="6">
        <f>IFERROR(__xludf.DUMMYFUNCTION("rank(J364,FILTER(J:J,R:R=R364))"),4.0)</f>
        <v>4</v>
      </c>
      <c r="T364" s="6">
        <f t="shared" si="6"/>
        <v>8</v>
      </c>
      <c r="U364" s="6">
        <f t="shared" si="7"/>
        <v>4</v>
      </c>
      <c r="V364" s="42">
        <f>averageif(AllData!A:A,B364,AllData!R:R)/vlookup(B364,AllData!A:O,15,0)</f>
        <v>91.6025641</v>
      </c>
      <c r="W364" s="6"/>
    </row>
    <row r="365" ht="14.25" customHeight="1">
      <c r="A365" s="6" t="str">
        <f t="shared" si="1"/>
        <v>2012Shep8</v>
      </c>
      <c r="B365" s="6">
        <v>2012.0</v>
      </c>
      <c r="C365" s="6" t="s">
        <v>89</v>
      </c>
      <c r="D365" s="6" t="s">
        <v>145</v>
      </c>
      <c r="E365" s="34">
        <v>42186.0</v>
      </c>
      <c r="F365" s="6" t="s">
        <v>1539</v>
      </c>
      <c r="G365" s="6" t="s">
        <v>125</v>
      </c>
      <c r="H365" s="6" t="s">
        <v>1540</v>
      </c>
      <c r="I365" s="35" t="s">
        <v>93</v>
      </c>
      <c r="J365" s="36">
        <v>87.7</v>
      </c>
      <c r="K365" s="36">
        <v>66.1</v>
      </c>
      <c r="L365" s="36">
        <f t="shared" si="2"/>
        <v>1</v>
      </c>
      <c r="M365" s="36" t="str">
        <f t="shared" si="3"/>
        <v>Regular Season</v>
      </c>
      <c r="N365" s="36" t="str">
        <f>IFERROR(VLOOKUP(I365,Mapped_Owner,2,0),"")</f>
        <v>Pierson</v>
      </c>
      <c r="O365" s="6">
        <f>VLOOKUP(D365,'Mapped Opponent'!$G$4:$H$22,2,0)</f>
        <v>8</v>
      </c>
      <c r="P365" s="6"/>
      <c r="Q365" s="6" t="str">
        <f t="shared" si="4"/>
        <v>Week 8</v>
      </c>
      <c r="R365" s="6" t="str">
        <f t="shared" si="5"/>
        <v>2012Week 8</v>
      </c>
      <c r="S365" s="6">
        <f>IFERROR(__xludf.DUMMYFUNCTION("rank(J365,FILTER(J:J,R:R=R365))"),6.0)</f>
        <v>6</v>
      </c>
      <c r="T365" s="6">
        <f t="shared" si="6"/>
        <v>6</v>
      </c>
      <c r="U365" s="6">
        <f t="shared" si="7"/>
        <v>6</v>
      </c>
      <c r="V365" s="42">
        <f>averageif(AllData!A:A,B365,AllData!R:R)/vlookup(B365,AllData!A:O,15,0)</f>
        <v>91.6025641</v>
      </c>
      <c r="W365" s="6"/>
    </row>
    <row r="366" ht="14.25" customHeight="1">
      <c r="A366" s="6" t="str">
        <f t="shared" si="1"/>
        <v>2012Guckien8</v>
      </c>
      <c r="B366" s="6">
        <v>2012.0</v>
      </c>
      <c r="C366" s="6" t="s">
        <v>159</v>
      </c>
      <c r="D366" s="6" t="s">
        <v>145</v>
      </c>
      <c r="E366" s="34">
        <v>42041.0</v>
      </c>
      <c r="F366" s="6" t="s">
        <v>1541</v>
      </c>
      <c r="G366" s="6" t="s">
        <v>125</v>
      </c>
      <c r="H366" s="6" t="s">
        <v>1542</v>
      </c>
      <c r="I366" s="35" t="s">
        <v>99</v>
      </c>
      <c r="J366" s="36">
        <v>114.7</v>
      </c>
      <c r="K366" s="36">
        <v>115.6</v>
      </c>
      <c r="L366" s="36">
        <f t="shared" si="2"/>
        <v>0</v>
      </c>
      <c r="M366" s="36" t="str">
        <f t="shared" si="3"/>
        <v>Regular Season</v>
      </c>
      <c r="N366" s="36" t="str">
        <f>IFERROR(VLOOKUP(I366,Mapped_Owner,2,0),"")</f>
        <v>Cock</v>
      </c>
      <c r="O366" s="6">
        <f>VLOOKUP(D366,'Mapped Opponent'!$G$4:$H$22,2,0)</f>
        <v>8</v>
      </c>
      <c r="P366" s="6"/>
      <c r="Q366" s="6" t="str">
        <f t="shared" si="4"/>
        <v>Week 8</v>
      </c>
      <c r="R366" s="6" t="str">
        <f t="shared" si="5"/>
        <v>2012Week 8</v>
      </c>
      <c r="S366" s="6">
        <f>IFERROR(__xludf.DUMMYFUNCTION("rank(J366,FILTER(J:J,R:R=R366))"),2.0)</f>
        <v>2</v>
      </c>
      <c r="T366" s="6">
        <f t="shared" si="6"/>
        <v>10</v>
      </c>
      <c r="U366" s="6">
        <f t="shared" si="7"/>
        <v>2</v>
      </c>
      <c r="V366" s="42">
        <f>averageif(AllData!A:A,B366,AllData!R:R)/vlookup(B366,AllData!A:O,15,0)</f>
        <v>91.6025641</v>
      </c>
      <c r="W366" s="6"/>
    </row>
    <row r="367" ht="14.25" customHeight="1">
      <c r="A367" s="6" t="str">
        <f t="shared" si="1"/>
        <v>2012Rooney/Jackson8</v>
      </c>
      <c r="B367" s="6">
        <v>2012.0</v>
      </c>
      <c r="C367" s="6" t="s">
        <v>57</v>
      </c>
      <c r="D367" s="6" t="s">
        <v>145</v>
      </c>
      <c r="E367" s="34">
        <v>42127.0</v>
      </c>
      <c r="F367" s="6" t="s">
        <v>1543</v>
      </c>
      <c r="G367" s="6" t="s">
        <v>125</v>
      </c>
      <c r="H367" s="6" t="s">
        <v>1544</v>
      </c>
      <c r="I367" s="35" t="s">
        <v>161</v>
      </c>
      <c r="J367" s="36">
        <v>76.4</v>
      </c>
      <c r="K367" s="36">
        <v>86.3</v>
      </c>
      <c r="L367" s="36">
        <f t="shared" si="2"/>
        <v>0</v>
      </c>
      <c r="M367" s="36" t="str">
        <f t="shared" si="3"/>
        <v>Regular Season</v>
      </c>
      <c r="N367" s="36" t="str">
        <f>IFERROR(VLOOKUP(I367,Mapped_Owner,2,0),"")</f>
        <v>Tayski</v>
      </c>
      <c r="O367" s="6">
        <f>VLOOKUP(D367,'Mapped Opponent'!$G$4:$H$22,2,0)</f>
        <v>8</v>
      </c>
      <c r="P367" s="6"/>
      <c r="Q367" s="6" t="str">
        <f t="shared" si="4"/>
        <v>Week 8</v>
      </c>
      <c r="R367" s="6" t="str">
        <f t="shared" si="5"/>
        <v>2012Week 8</v>
      </c>
      <c r="S367" s="6">
        <f>IFERROR(__xludf.DUMMYFUNCTION("rank(J367,FILTER(J:J,R:R=R367))"),8.0)</f>
        <v>8</v>
      </c>
      <c r="T367" s="6">
        <f t="shared" si="6"/>
        <v>4</v>
      </c>
      <c r="U367" s="6">
        <f t="shared" si="7"/>
        <v>8</v>
      </c>
      <c r="V367" s="42">
        <f>averageif(AllData!A:A,B367,AllData!R:R)/vlookup(B367,AllData!A:O,15,0)</f>
        <v>91.6025641</v>
      </c>
      <c r="W367" s="6"/>
    </row>
    <row r="368" ht="14.25" customHeight="1">
      <c r="A368" s="6" t="str">
        <f t="shared" si="1"/>
        <v>2012Buser8</v>
      </c>
      <c r="B368" s="6">
        <v>2012.0</v>
      </c>
      <c r="C368" s="6" t="s">
        <v>47</v>
      </c>
      <c r="D368" s="6" t="s">
        <v>145</v>
      </c>
      <c r="E368" s="34">
        <v>42098.0</v>
      </c>
      <c r="F368" s="6" t="s">
        <v>1547</v>
      </c>
      <c r="G368" s="6" t="s">
        <v>114</v>
      </c>
      <c r="H368" s="6" t="s">
        <v>892</v>
      </c>
      <c r="I368" s="35" t="s">
        <v>64</v>
      </c>
      <c r="J368" s="36">
        <v>111.6</v>
      </c>
      <c r="K368" s="36">
        <v>75.9</v>
      </c>
      <c r="L368" s="36">
        <f t="shared" si="2"/>
        <v>1</v>
      </c>
      <c r="M368" s="36" t="str">
        <f t="shared" si="3"/>
        <v>Regular Season</v>
      </c>
      <c r="N368" s="36" t="str">
        <f>IFERROR(VLOOKUP(I368,Mapped_Owner,2,0),"")</f>
        <v>Hudspeath</v>
      </c>
      <c r="O368" s="6">
        <f>VLOOKUP(D368,'Mapped Opponent'!$G$4:$H$22,2,0)</f>
        <v>8</v>
      </c>
      <c r="P368" s="6"/>
      <c r="Q368" s="6" t="str">
        <f t="shared" si="4"/>
        <v>Week 8</v>
      </c>
      <c r="R368" s="6" t="str">
        <f t="shared" si="5"/>
        <v>2012Week 8</v>
      </c>
      <c r="S368" s="6">
        <f>IFERROR(__xludf.DUMMYFUNCTION("rank(J368,FILTER(J:J,R:R=R368))"),3.0)</f>
        <v>3</v>
      </c>
      <c r="T368" s="6">
        <f t="shared" si="6"/>
        <v>9</v>
      </c>
      <c r="U368" s="6">
        <f t="shared" si="7"/>
        <v>3</v>
      </c>
      <c r="V368" s="42">
        <f>averageif(AllData!A:A,B368,AllData!R:R)/vlookup(B368,AllData!A:O,15,0)</f>
        <v>91.6025641</v>
      </c>
      <c r="W368" s="6"/>
    </row>
    <row r="369" ht="14.25" customHeight="1">
      <c r="A369" s="6" t="str">
        <f t="shared" si="1"/>
        <v>2012Pierson8</v>
      </c>
      <c r="B369" s="6">
        <v>2012.0</v>
      </c>
      <c r="C369" s="6" t="s">
        <v>92</v>
      </c>
      <c r="D369" s="6" t="s">
        <v>145</v>
      </c>
      <c r="E369" s="34">
        <v>42127.0</v>
      </c>
      <c r="F369" s="6" t="s">
        <v>1548</v>
      </c>
      <c r="G369" s="6" t="s">
        <v>114</v>
      </c>
      <c r="H369" s="6" t="s">
        <v>1549</v>
      </c>
      <c r="I369" s="35" t="s">
        <v>91</v>
      </c>
      <c r="J369" s="36">
        <v>66.1</v>
      </c>
      <c r="K369" s="36">
        <v>87.7</v>
      </c>
      <c r="L369" s="36">
        <f t="shared" si="2"/>
        <v>0</v>
      </c>
      <c r="M369" s="36" t="str">
        <f t="shared" si="3"/>
        <v>Regular Season</v>
      </c>
      <c r="N369" s="36" t="str">
        <f>IFERROR(VLOOKUP(I369,Mapped_Owner,2,0),"")</f>
        <v>Shep</v>
      </c>
      <c r="O369" s="6">
        <f>VLOOKUP(D369,'Mapped Opponent'!$G$4:$H$22,2,0)</f>
        <v>8</v>
      </c>
      <c r="P369" s="6"/>
      <c r="Q369" s="6" t="str">
        <f t="shared" si="4"/>
        <v>Week 8</v>
      </c>
      <c r="R369" s="6" t="str">
        <f t="shared" si="5"/>
        <v>2012Week 8</v>
      </c>
      <c r="S369" s="6">
        <f>IFERROR(__xludf.DUMMYFUNCTION("rank(J369,FILTER(J:J,R:R=R369))"),11.0)</f>
        <v>11</v>
      </c>
      <c r="T369" s="6">
        <f t="shared" si="6"/>
        <v>1</v>
      </c>
      <c r="U369" s="6">
        <f t="shared" si="7"/>
        <v>11</v>
      </c>
      <c r="V369" s="42">
        <f>averageif(AllData!A:A,B369,AllData!R:R)/vlookup(B369,AllData!A:O,15,0)</f>
        <v>91.6025641</v>
      </c>
      <c r="W369" s="6"/>
    </row>
    <row r="370" ht="14.25" customHeight="1">
      <c r="A370" s="6" t="str">
        <f t="shared" si="1"/>
        <v>2012Cock8</v>
      </c>
      <c r="B370" s="6">
        <v>2012.0</v>
      </c>
      <c r="C370" s="6" t="s">
        <v>72</v>
      </c>
      <c r="D370" s="6" t="s">
        <v>145</v>
      </c>
      <c r="E370" s="34">
        <v>42068.0</v>
      </c>
      <c r="F370" s="6" t="s">
        <v>1553</v>
      </c>
      <c r="G370" s="6" t="s">
        <v>114</v>
      </c>
      <c r="H370" s="6" t="s">
        <v>1554</v>
      </c>
      <c r="I370" s="35" t="s">
        <v>158</v>
      </c>
      <c r="J370" s="36">
        <v>115.6</v>
      </c>
      <c r="K370" s="36">
        <v>114.7</v>
      </c>
      <c r="L370" s="36">
        <f t="shared" si="2"/>
        <v>1</v>
      </c>
      <c r="M370" s="36" t="str">
        <f t="shared" si="3"/>
        <v>Regular Season</v>
      </c>
      <c r="N370" s="36" t="str">
        <f>IFERROR(VLOOKUP(I370,Mapped_Owner,2,0),"")</f>
        <v>Guckien</v>
      </c>
      <c r="O370" s="6">
        <f>VLOOKUP(D370,'Mapped Opponent'!$G$4:$H$22,2,0)</f>
        <v>8</v>
      </c>
      <c r="P370" s="6"/>
      <c r="Q370" s="6" t="str">
        <f t="shared" si="4"/>
        <v>Week 8</v>
      </c>
      <c r="R370" s="6" t="str">
        <f t="shared" si="5"/>
        <v>2012Week 8</v>
      </c>
      <c r="S370" s="6">
        <f>IFERROR(__xludf.DUMMYFUNCTION("rank(J370,FILTER(J:J,R:R=R370))"),1.0)</f>
        <v>1</v>
      </c>
      <c r="T370" s="6">
        <f t="shared" si="6"/>
        <v>11</v>
      </c>
      <c r="U370" s="6">
        <f t="shared" si="7"/>
        <v>1</v>
      </c>
      <c r="V370" s="42">
        <f>averageif(AllData!A:A,B370,AllData!R:R)/vlookup(B370,AllData!A:O,15,0)</f>
        <v>91.6025641</v>
      </c>
      <c r="W370" s="6"/>
    </row>
    <row r="371" ht="14.25" customHeight="1">
      <c r="A371" s="6" t="str">
        <f t="shared" si="1"/>
        <v>2012Tayski8</v>
      </c>
      <c r="B371" s="6">
        <v>2012.0</v>
      </c>
      <c r="C371" s="6" t="s">
        <v>52</v>
      </c>
      <c r="D371" s="6" t="s">
        <v>145</v>
      </c>
      <c r="E371" s="34">
        <v>42068.0</v>
      </c>
      <c r="F371" s="6" t="s">
        <v>1555</v>
      </c>
      <c r="G371" s="6" t="s">
        <v>114</v>
      </c>
      <c r="H371" s="6" t="s">
        <v>1556</v>
      </c>
      <c r="I371" s="35" t="s">
        <v>58</v>
      </c>
      <c r="J371" s="36">
        <v>86.3</v>
      </c>
      <c r="K371" s="36">
        <v>76.4</v>
      </c>
      <c r="L371" s="36">
        <f t="shared" si="2"/>
        <v>1</v>
      </c>
      <c r="M371" s="36" t="str">
        <f t="shared" si="3"/>
        <v>Regular Season</v>
      </c>
      <c r="N371" s="36" t="str">
        <f>IFERROR(VLOOKUP(I371,Mapped_Owner,2,0),"")</f>
        <v>Rooney/Jackson</v>
      </c>
      <c r="O371" s="6">
        <f>VLOOKUP(D371,'Mapped Opponent'!$G$4:$H$22,2,0)</f>
        <v>8</v>
      </c>
      <c r="P371" s="6"/>
      <c r="Q371" s="6" t="str">
        <f t="shared" si="4"/>
        <v>Week 8</v>
      </c>
      <c r="R371" s="6" t="str">
        <f t="shared" si="5"/>
        <v>2012Week 8</v>
      </c>
      <c r="S371" s="6">
        <f>IFERROR(__xludf.DUMMYFUNCTION("rank(J371,FILTER(J:J,R:R=R371))"),7.0)</f>
        <v>7</v>
      </c>
      <c r="T371" s="6">
        <f t="shared" si="6"/>
        <v>5</v>
      </c>
      <c r="U371" s="6">
        <f t="shared" si="7"/>
        <v>7</v>
      </c>
      <c r="V371" s="42">
        <f>averageif(AllData!A:A,B371,AllData!R:R)/vlookup(B371,AllData!A:O,15,0)</f>
        <v>91.6025641</v>
      </c>
      <c r="W371" s="6"/>
    </row>
    <row r="372" ht="14.25" customHeight="1">
      <c r="A372" s="6" t="str">
        <f t="shared" si="1"/>
        <v>2012KnardDawg8</v>
      </c>
      <c r="B372" s="6">
        <v>2012.0</v>
      </c>
      <c r="C372" s="6" t="s">
        <v>86</v>
      </c>
      <c r="D372" s="6" t="s">
        <v>145</v>
      </c>
      <c r="E372" s="34">
        <v>42157.0</v>
      </c>
      <c r="F372" s="6" t="s">
        <v>1557</v>
      </c>
      <c r="G372" s="6" t="s">
        <v>114</v>
      </c>
      <c r="H372" s="6" t="s">
        <v>1558</v>
      </c>
      <c r="I372" s="35" t="s">
        <v>77</v>
      </c>
      <c r="J372" s="36">
        <v>93.5</v>
      </c>
      <c r="K372" s="36">
        <v>74.2</v>
      </c>
      <c r="L372" s="36">
        <f t="shared" si="2"/>
        <v>1</v>
      </c>
      <c r="M372" s="36" t="str">
        <f t="shared" si="3"/>
        <v>Regular Season</v>
      </c>
      <c r="N372" s="36" t="str">
        <f>IFERROR(VLOOKUP(I372,Mapped_Owner,2,0),"")</f>
        <v>Salty</v>
      </c>
      <c r="O372" s="6">
        <f>VLOOKUP(D372,'Mapped Opponent'!$G$4:$H$22,2,0)</f>
        <v>8</v>
      </c>
      <c r="P372" s="6"/>
      <c r="Q372" s="6" t="str">
        <f t="shared" si="4"/>
        <v>Week 8</v>
      </c>
      <c r="R372" s="6" t="str">
        <f t="shared" si="5"/>
        <v>2012Week 8</v>
      </c>
      <c r="S372" s="6">
        <f>IFERROR(__xludf.DUMMYFUNCTION("rank(J372,FILTER(J:J,R:R=R372))"),5.0)</f>
        <v>5</v>
      </c>
      <c r="T372" s="6">
        <f t="shared" si="6"/>
        <v>7</v>
      </c>
      <c r="U372" s="6">
        <f t="shared" si="7"/>
        <v>5</v>
      </c>
      <c r="V372" s="42">
        <f>averageif(AllData!A:A,B372,AllData!R:R)/vlookup(B372,AllData!A:O,15,0)</f>
        <v>91.6025641</v>
      </c>
      <c r="W372" s="6"/>
    </row>
    <row r="373" ht="14.25" customHeight="1">
      <c r="A373" s="6" t="str">
        <f t="shared" si="1"/>
        <v>2012T-How8</v>
      </c>
      <c r="B373" s="6">
        <v>2012.0</v>
      </c>
      <c r="C373" s="6" t="s">
        <v>82</v>
      </c>
      <c r="D373" s="6" t="s">
        <v>145</v>
      </c>
      <c r="E373" s="34">
        <v>42068.0</v>
      </c>
      <c r="F373" s="6" t="s">
        <v>1563</v>
      </c>
      <c r="G373" s="6" t="s">
        <v>114</v>
      </c>
      <c r="H373" s="6" t="s">
        <v>1564</v>
      </c>
      <c r="I373" s="35" t="s">
        <v>80</v>
      </c>
      <c r="J373" s="36">
        <v>59.2</v>
      </c>
      <c r="K373" s="36">
        <v>103.1</v>
      </c>
      <c r="L373" s="36">
        <f t="shared" si="2"/>
        <v>0</v>
      </c>
      <c r="M373" s="36" t="str">
        <f t="shared" si="3"/>
        <v>Regular Season</v>
      </c>
      <c r="N373" s="36" t="str">
        <f>IFERROR(VLOOKUP(I373,Mapped_Owner,2,0),"")</f>
        <v>Fellows</v>
      </c>
      <c r="O373" s="6">
        <f>VLOOKUP(D373,'Mapped Opponent'!$G$4:$H$22,2,0)</f>
        <v>8</v>
      </c>
      <c r="P373" s="6"/>
      <c r="Q373" s="6" t="str">
        <f t="shared" si="4"/>
        <v>Week 8</v>
      </c>
      <c r="R373" s="6" t="str">
        <f t="shared" si="5"/>
        <v>2012Week 8</v>
      </c>
      <c r="S373" s="6">
        <f>IFERROR(__xludf.DUMMYFUNCTION("rank(J373,FILTER(J:J,R:R=R373))"),12.0)</f>
        <v>12</v>
      </c>
      <c r="T373" s="6">
        <f t="shared" si="6"/>
        <v>0</v>
      </c>
      <c r="U373" s="6">
        <f t="shared" si="7"/>
        <v>12</v>
      </c>
      <c r="V373" s="42">
        <f>averageif(AllData!A:A,B373,AllData!R:R)/vlookup(B373,AllData!A:O,15,0)</f>
        <v>91.6025641</v>
      </c>
      <c r="W373" s="6"/>
    </row>
    <row r="374" ht="14.25" customHeight="1">
      <c r="A374" s="6" t="str">
        <f t="shared" si="1"/>
        <v>2012Hudspeath9</v>
      </c>
      <c r="B374" s="6">
        <v>2012.0</v>
      </c>
      <c r="C374" s="6" t="s">
        <v>39</v>
      </c>
      <c r="D374" s="6" t="s">
        <v>147</v>
      </c>
      <c r="E374" s="34">
        <v>42069.0</v>
      </c>
      <c r="F374" s="6" t="s">
        <v>1565</v>
      </c>
      <c r="G374" s="6" t="s">
        <v>114</v>
      </c>
      <c r="H374" s="6" t="s">
        <v>1566</v>
      </c>
      <c r="I374" s="35" t="s">
        <v>85</v>
      </c>
      <c r="J374" s="36">
        <v>57.1</v>
      </c>
      <c r="K374" s="36">
        <v>83.8</v>
      </c>
      <c r="L374" s="36">
        <f t="shared" si="2"/>
        <v>0</v>
      </c>
      <c r="M374" s="36" t="str">
        <f t="shared" si="3"/>
        <v>Regular Season</v>
      </c>
      <c r="N374" s="36" t="str">
        <f>IFERROR(VLOOKUP(I374,Mapped_Owner,2,0),"")</f>
        <v>T-How</v>
      </c>
      <c r="O374" s="6">
        <f>VLOOKUP(D374,'Mapped Opponent'!$G$4:$H$22,2,0)</f>
        <v>9</v>
      </c>
      <c r="P374" s="6"/>
      <c r="Q374" s="6" t="str">
        <f t="shared" si="4"/>
        <v>Week 9</v>
      </c>
      <c r="R374" s="6" t="str">
        <f t="shared" si="5"/>
        <v>2012Week 9</v>
      </c>
      <c r="S374" s="6">
        <f>IFERROR(__xludf.DUMMYFUNCTION("rank(J374,FILTER(J:J,R:R=R374))"),12.0)</f>
        <v>12</v>
      </c>
      <c r="T374" s="6">
        <f t="shared" si="6"/>
        <v>0</v>
      </c>
      <c r="U374" s="6">
        <f t="shared" si="7"/>
        <v>12</v>
      </c>
      <c r="V374" s="42">
        <f>averageif(AllData!A:A,B374,AllData!R:R)/vlookup(B374,AllData!A:O,15,0)</f>
        <v>91.6025641</v>
      </c>
      <c r="W374" s="6"/>
    </row>
    <row r="375" ht="14.25" customHeight="1">
      <c r="A375" s="6" t="str">
        <f t="shared" si="1"/>
        <v>2012Salty9</v>
      </c>
      <c r="B375" s="6">
        <v>2012.0</v>
      </c>
      <c r="C375" s="6" t="s">
        <v>76</v>
      </c>
      <c r="D375" s="6" t="s">
        <v>147</v>
      </c>
      <c r="E375" s="34">
        <v>42069.0</v>
      </c>
      <c r="F375" s="6" t="s">
        <v>1567</v>
      </c>
      <c r="G375" s="6" t="s">
        <v>114</v>
      </c>
      <c r="H375" s="6" t="s">
        <v>1568</v>
      </c>
      <c r="I375" s="35" t="s">
        <v>161</v>
      </c>
      <c r="J375" s="36">
        <v>119.9</v>
      </c>
      <c r="K375" s="36">
        <v>98.1</v>
      </c>
      <c r="L375" s="36">
        <f t="shared" si="2"/>
        <v>1</v>
      </c>
      <c r="M375" s="36" t="str">
        <f t="shared" si="3"/>
        <v>Regular Season</v>
      </c>
      <c r="N375" s="36" t="str">
        <f>IFERROR(VLOOKUP(I375,Mapped_Owner,2,0),"")</f>
        <v>Tayski</v>
      </c>
      <c r="O375" s="6">
        <f>VLOOKUP(D375,'Mapped Opponent'!$G$4:$H$22,2,0)</f>
        <v>9</v>
      </c>
      <c r="P375" s="6"/>
      <c r="Q375" s="6" t="str">
        <f t="shared" si="4"/>
        <v>Week 9</v>
      </c>
      <c r="R375" s="6" t="str">
        <f t="shared" si="5"/>
        <v>2012Week 9</v>
      </c>
      <c r="S375" s="6">
        <f>IFERROR(__xludf.DUMMYFUNCTION("rank(J375,FILTER(J:J,R:R=R375))"),1.0)</f>
        <v>1</v>
      </c>
      <c r="T375" s="6">
        <f t="shared" si="6"/>
        <v>11</v>
      </c>
      <c r="U375" s="6">
        <f t="shared" si="7"/>
        <v>1</v>
      </c>
      <c r="V375" s="42">
        <f>averageif(AllData!A:A,B375,AllData!R:R)/vlookup(B375,AllData!A:O,15,0)</f>
        <v>91.6025641</v>
      </c>
      <c r="W375" s="6"/>
    </row>
    <row r="376" ht="14.25" customHeight="1">
      <c r="A376" s="6" t="str">
        <f t="shared" si="1"/>
        <v>2012Fellows9</v>
      </c>
      <c r="B376" s="6">
        <v>2012.0</v>
      </c>
      <c r="C376" s="6" t="s">
        <v>79</v>
      </c>
      <c r="D376" s="6" t="s">
        <v>147</v>
      </c>
      <c r="E376" s="34">
        <v>42128.0</v>
      </c>
      <c r="F376" s="6" t="s">
        <v>1571</v>
      </c>
      <c r="G376" s="6" t="s">
        <v>114</v>
      </c>
      <c r="H376" s="6" t="s">
        <v>1572</v>
      </c>
      <c r="I376" s="35" t="s">
        <v>132</v>
      </c>
      <c r="J376" s="36">
        <v>92.7</v>
      </c>
      <c r="K376" s="36">
        <v>93.5</v>
      </c>
      <c r="L376" s="36">
        <f t="shared" si="2"/>
        <v>0</v>
      </c>
      <c r="M376" s="36" t="str">
        <f t="shared" si="3"/>
        <v>Regular Season</v>
      </c>
      <c r="N376" s="36" t="str">
        <f>IFERROR(VLOOKUP(I376,Mapped_Owner,2,0),"")</f>
        <v>KnardDawg</v>
      </c>
      <c r="O376" s="6">
        <f>VLOOKUP(D376,'Mapped Opponent'!$G$4:$H$22,2,0)</f>
        <v>9</v>
      </c>
      <c r="P376" s="6"/>
      <c r="Q376" s="6" t="str">
        <f t="shared" si="4"/>
        <v>Week 9</v>
      </c>
      <c r="R376" s="6" t="str">
        <f t="shared" si="5"/>
        <v>2012Week 9</v>
      </c>
      <c r="S376" s="6">
        <f>IFERROR(__xludf.DUMMYFUNCTION("rank(J376,FILTER(J:J,R:R=R376))"),7.0)</f>
        <v>7</v>
      </c>
      <c r="T376" s="6">
        <f t="shared" si="6"/>
        <v>5</v>
      </c>
      <c r="U376" s="6">
        <f t="shared" si="7"/>
        <v>7</v>
      </c>
      <c r="V376" s="42">
        <f>averageif(AllData!A:A,B376,AllData!R:R)/vlookup(B376,AllData!A:O,15,0)</f>
        <v>91.6025641</v>
      </c>
      <c r="W376" s="6"/>
    </row>
    <row r="377" ht="14.25" customHeight="1">
      <c r="A377" s="6" t="str">
        <f t="shared" si="1"/>
        <v>2012Shep9</v>
      </c>
      <c r="B377" s="6">
        <v>2012.0</v>
      </c>
      <c r="C377" s="6" t="s">
        <v>89</v>
      </c>
      <c r="D377" s="6" t="s">
        <v>147</v>
      </c>
      <c r="E377" s="34">
        <v>42187.0</v>
      </c>
      <c r="F377" s="6" t="s">
        <v>1573</v>
      </c>
      <c r="G377" s="6" t="s">
        <v>114</v>
      </c>
      <c r="H377" s="6" t="s">
        <v>1574</v>
      </c>
      <c r="I377" s="35" t="s">
        <v>50</v>
      </c>
      <c r="J377" s="36">
        <v>102.2</v>
      </c>
      <c r="K377" s="36">
        <v>111.8</v>
      </c>
      <c r="L377" s="36">
        <f t="shared" si="2"/>
        <v>0</v>
      </c>
      <c r="M377" s="36" t="str">
        <f t="shared" si="3"/>
        <v>Regular Season</v>
      </c>
      <c r="N377" s="36" t="str">
        <f>IFERROR(VLOOKUP(I377,Mapped_Owner,2,0),"")</f>
        <v>Buser</v>
      </c>
      <c r="O377" s="6">
        <f>VLOOKUP(D377,'Mapped Opponent'!$G$4:$H$22,2,0)</f>
        <v>9</v>
      </c>
      <c r="P377" s="6"/>
      <c r="Q377" s="6" t="str">
        <f t="shared" si="4"/>
        <v>Week 9</v>
      </c>
      <c r="R377" s="6" t="str">
        <f t="shared" si="5"/>
        <v>2012Week 9</v>
      </c>
      <c r="S377" s="6">
        <f>IFERROR(__xludf.DUMMYFUNCTION("rank(J377,FILTER(J:J,R:R=R377))"),4.0)</f>
        <v>4</v>
      </c>
      <c r="T377" s="6">
        <f t="shared" si="6"/>
        <v>8</v>
      </c>
      <c r="U377" s="6">
        <f t="shared" si="7"/>
        <v>4</v>
      </c>
      <c r="V377" s="42">
        <f>averageif(AllData!A:A,B377,AllData!R:R)/vlookup(B377,AllData!A:O,15,0)</f>
        <v>91.6025641</v>
      </c>
      <c r="W377" s="6"/>
    </row>
    <row r="378" ht="14.25" customHeight="1">
      <c r="A378" s="6" t="str">
        <f t="shared" si="1"/>
        <v>2012Guckien9</v>
      </c>
      <c r="B378" s="6">
        <v>2012.0</v>
      </c>
      <c r="C378" s="6" t="s">
        <v>159</v>
      </c>
      <c r="D378" s="6" t="s">
        <v>147</v>
      </c>
      <c r="E378" s="34">
        <v>42069.0</v>
      </c>
      <c r="F378" s="6" t="s">
        <v>1578</v>
      </c>
      <c r="G378" s="6" t="s">
        <v>114</v>
      </c>
      <c r="H378" s="6" t="s">
        <v>1579</v>
      </c>
      <c r="I378" s="35" t="s">
        <v>93</v>
      </c>
      <c r="J378" s="36">
        <v>118.1</v>
      </c>
      <c r="K378" s="36">
        <v>82.8</v>
      </c>
      <c r="L378" s="36">
        <f t="shared" si="2"/>
        <v>1</v>
      </c>
      <c r="M378" s="36" t="str">
        <f t="shared" si="3"/>
        <v>Regular Season</v>
      </c>
      <c r="N378" s="36" t="str">
        <f>IFERROR(VLOOKUP(I378,Mapped_Owner,2,0),"")</f>
        <v>Pierson</v>
      </c>
      <c r="O378" s="6">
        <f>VLOOKUP(D378,'Mapped Opponent'!$G$4:$H$22,2,0)</f>
        <v>9</v>
      </c>
      <c r="P378" s="6"/>
      <c r="Q378" s="6" t="str">
        <f t="shared" si="4"/>
        <v>Week 9</v>
      </c>
      <c r="R378" s="6" t="str">
        <f t="shared" si="5"/>
        <v>2012Week 9</v>
      </c>
      <c r="S378" s="6">
        <f>IFERROR(__xludf.DUMMYFUNCTION("rank(J378,FILTER(J:J,R:R=R378))"),2.0)</f>
        <v>2</v>
      </c>
      <c r="T378" s="6">
        <f t="shared" si="6"/>
        <v>10</v>
      </c>
      <c r="U378" s="6">
        <f t="shared" si="7"/>
        <v>2</v>
      </c>
      <c r="V378" s="42">
        <f>averageif(AllData!A:A,B378,AllData!R:R)/vlookup(B378,AllData!A:O,15,0)</f>
        <v>91.6025641</v>
      </c>
      <c r="W378" s="6"/>
    </row>
    <row r="379" ht="14.25" customHeight="1">
      <c r="A379" s="6" t="str">
        <f t="shared" si="1"/>
        <v>2012Rooney/Jackson9</v>
      </c>
      <c r="B379" s="6">
        <v>2012.0</v>
      </c>
      <c r="C379" s="6" t="s">
        <v>57</v>
      </c>
      <c r="D379" s="6" t="s">
        <v>147</v>
      </c>
      <c r="E379" s="34">
        <v>42158.0</v>
      </c>
      <c r="F379" s="6" t="s">
        <v>1580</v>
      </c>
      <c r="G379" s="6" t="s">
        <v>114</v>
      </c>
      <c r="H379" s="6" t="s">
        <v>1581</v>
      </c>
      <c r="I379" s="35" t="s">
        <v>99</v>
      </c>
      <c r="J379" s="36">
        <v>89.0</v>
      </c>
      <c r="K379" s="36">
        <v>76.6</v>
      </c>
      <c r="L379" s="36">
        <f t="shared" si="2"/>
        <v>1</v>
      </c>
      <c r="M379" s="36" t="str">
        <f t="shared" si="3"/>
        <v>Regular Season</v>
      </c>
      <c r="N379" s="36" t="str">
        <f>IFERROR(VLOOKUP(I379,Mapped_Owner,2,0),"")</f>
        <v>Cock</v>
      </c>
      <c r="O379" s="6">
        <f>VLOOKUP(D379,'Mapped Opponent'!$G$4:$H$22,2,0)</f>
        <v>9</v>
      </c>
      <c r="P379" s="6"/>
      <c r="Q379" s="6" t="str">
        <f t="shared" si="4"/>
        <v>Week 9</v>
      </c>
      <c r="R379" s="6" t="str">
        <f t="shared" si="5"/>
        <v>2012Week 9</v>
      </c>
      <c r="S379" s="6">
        <f>IFERROR(__xludf.DUMMYFUNCTION("rank(J379,FILTER(J:J,R:R=R379))"),8.0)</f>
        <v>8</v>
      </c>
      <c r="T379" s="6">
        <f t="shared" si="6"/>
        <v>4</v>
      </c>
      <c r="U379" s="6">
        <f t="shared" si="7"/>
        <v>8</v>
      </c>
      <c r="V379" s="42">
        <f>averageif(AllData!A:A,B379,AllData!R:R)/vlookup(B379,AllData!A:O,15,0)</f>
        <v>91.6025641</v>
      </c>
      <c r="W379" s="6"/>
    </row>
    <row r="380" ht="14.25" customHeight="1">
      <c r="A380" s="6" t="str">
        <f t="shared" si="1"/>
        <v>2012Buser9</v>
      </c>
      <c r="B380" s="6">
        <v>2012.0</v>
      </c>
      <c r="C380" s="6" t="s">
        <v>47</v>
      </c>
      <c r="D380" s="6" t="s">
        <v>147</v>
      </c>
      <c r="E380" s="34">
        <v>42128.0</v>
      </c>
      <c r="F380" s="6" t="s">
        <v>1582</v>
      </c>
      <c r="G380" s="6" t="s">
        <v>125</v>
      </c>
      <c r="H380" s="6" t="s">
        <v>1583</v>
      </c>
      <c r="I380" s="35" t="s">
        <v>91</v>
      </c>
      <c r="J380" s="36">
        <v>111.8</v>
      </c>
      <c r="K380" s="36">
        <v>102.2</v>
      </c>
      <c r="L380" s="36">
        <f t="shared" si="2"/>
        <v>1</v>
      </c>
      <c r="M380" s="36" t="str">
        <f t="shared" si="3"/>
        <v>Regular Season</v>
      </c>
      <c r="N380" s="36" t="str">
        <f>IFERROR(VLOOKUP(I380,Mapped_Owner,2,0),"")</f>
        <v>Shep</v>
      </c>
      <c r="O380" s="6">
        <f>VLOOKUP(D380,'Mapped Opponent'!$G$4:$H$22,2,0)</f>
        <v>9</v>
      </c>
      <c r="P380" s="6"/>
      <c r="Q380" s="6" t="str">
        <f t="shared" si="4"/>
        <v>Week 9</v>
      </c>
      <c r="R380" s="6" t="str">
        <f t="shared" si="5"/>
        <v>2012Week 9</v>
      </c>
      <c r="S380" s="6">
        <f>IFERROR(__xludf.DUMMYFUNCTION("rank(J380,FILTER(J:J,R:R=R380))"),3.0)</f>
        <v>3</v>
      </c>
      <c r="T380" s="6">
        <f t="shared" si="6"/>
        <v>9</v>
      </c>
      <c r="U380" s="6">
        <f t="shared" si="7"/>
        <v>3</v>
      </c>
      <c r="V380" s="42">
        <f>averageif(AllData!A:A,B380,AllData!R:R)/vlookup(B380,AllData!A:O,15,0)</f>
        <v>91.6025641</v>
      </c>
      <c r="W380" s="6"/>
    </row>
    <row r="381" ht="14.25" customHeight="1">
      <c r="A381" s="6" t="str">
        <f t="shared" si="1"/>
        <v>2012Pierson9</v>
      </c>
      <c r="B381" s="6">
        <v>2012.0</v>
      </c>
      <c r="C381" s="6" t="s">
        <v>92</v>
      </c>
      <c r="D381" s="6" t="s">
        <v>147</v>
      </c>
      <c r="E381" s="34">
        <v>42128.0</v>
      </c>
      <c r="F381" s="6" t="s">
        <v>1584</v>
      </c>
      <c r="G381" s="6" t="s">
        <v>125</v>
      </c>
      <c r="H381" s="6" t="s">
        <v>1585</v>
      </c>
      <c r="I381" s="35" t="s">
        <v>158</v>
      </c>
      <c r="J381" s="36">
        <v>82.8</v>
      </c>
      <c r="K381" s="36">
        <v>118.1</v>
      </c>
      <c r="L381" s="36">
        <f t="shared" si="2"/>
        <v>0</v>
      </c>
      <c r="M381" s="36" t="str">
        <f t="shared" si="3"/>
        <v>Regular Season</v>
      </c>
      <c r="N381" s="36" t="str">
        <f>IFERROR(VLOOKUP(I381,Mapped_Owner,2,0),"")</f>
        <v>Guckien</v>
      </c>
      <c r="O381" s="6">
        <f>VLOOKUP(D381,'Mapped Opponent'!$G$4:$H$22,2,0)</f>
        <v>9</v>
      </c>
      <c r="P381" s="6"/>
      <c r="Q381" s="6" t="str">
        <f t="shared" si="4"/>
        <v>Week 9</v>
      </c>
      <c r="R381" s="6" t="str">
        <f t="shared" si="5"/>
        <v>2012Week 9</v>
      </c>
      <c r="S381" s="6">
        <f>IFERROR(__xludf.DUMMYFUNCTION("rank(J381,FILTER(J:J,R:R=R381))"),10.0)</f>
        <v>10</v>
      </c>
      <c r="T381" s="6">
        <f t="shared" si="6"/>
        <v>2</v>
      </c>
      <c r="U381" s="6">
        <f t="shared" si="7"/>
        <v>10</v>
      </c>
      <c r="V381" s="42">
        <f>averageif(AllData!A:A,B381,AllData!R:R)/vlookup(B381,AllData!A:O,15,0)</f>
        <v>91.6025641</v>
      </c>
      <c r="W381" s="6"/>
    </row>
    <row r="382" ht="14.25" customHeight="1">
      <c r="A382" s="6" t="str">
        <f t="shared" si="1"/>
        <v>2012Cock9</v>
      </c>
      <c r="B382" s="6">
        <v>2012.0</v>
      </c>
      <c r="C382" s="6" t="s">
        <v>72</v>
      </c>
      <c r="D382" s="6" t="s">
        <v>147</v>
      </c>
      <c r="E382" s="34">
        <v>42069.0</v>
      </c>
      <c r="F382" s="6" t="s">
        <v>1586</v>
      </c>
      <c r="G382" s="6" t="s">
        <v>125</v>
      </c>
      <c r="H382" s="6" t="s">
        <v>1587</v>
      </c>
      <c r="I382" s="35" t="s">
        <v>58</v>
      </c>
      <c r="J382" s="36">
        <v>76.6</v>
      </c>
      <c r="K382" s="36">
        <v>89.0</v>
      </c>
      <c r="L382" s="36">
        <f t="shared" si="2"/>
        <v>0</v>
      </c>
      <c r="M382" s="36" t="str">
        <f t="shared" si="3"/>
        <v>Regular Season</v>
      </c>
      <c r="N382" s="36" t="str">
        <f>IFERROR(VLOOKUP(I382,Mapped_Owner,2,0),"")</f>
        <v>Rooney/Jackson</v>
      </c>
      <c r="O382" s="6">
        <f>VLOOKUP(D382,'Mapped Opponent'!$G$4:$H$22,2,0)</f>
        <v>9</v>
      </c>
      <c r="P382" s="6"/>
      <c r="Q382" s="6" t="str">
        <f t="shared" si="4"/>
        <v>Week 9</v>
      </c>
      <c r="R382" s="6" t="str">
        <f t="shared" si="5"/>
        <v>2012Week 9</v>
      </c>
      <c r="S382" s="6">
        <f>IFERROR(__xludf.DUMMYFUNCTION("rank(J382,FILTER(J:J,R:R=R382))"),11.0)</f>
        <v>11</v>
      </c>
      <c r="T382" s="6">
        <f t="shared" si="6"/>
        <v>1</v>
      </c>
      <c r="U382" s="6">
        <f t="shared" si="7"/>
        <v>11</v>
      </c>
      <c r="V382" s="42">
        <f>averageif(AllData!A:A,B382,AllData!R:R)/vlookup(B382,AllData!A:O,15,0)</f>
        <v>91.6025641</v>
      </c>
      <c r="W382" s="6"/>
    </row>
    <row r="383" ht="14.25" customHeight="1">
      <c r="A383" s="6" t="str">
        <f t="shared" si="1"/>
        <v>2012Tayski9</v>
      </c>
      <c r="B383" s="6">
        <v>2012.0</v>
      </c>
      <c r="C383" s="6" t="s">
        <v>52</v>
      </c>
      <c r="D383" s="6" t="s">
        <v>147</v>
      </c>
      <c r="E383" s="34">
        <v>42069.0</v>
      </c>
      <c r="F383" s="6" t="s">
        <v>1588</v>
      </c>
      <c r="G383" s="6" t="s">
        <v>125</v>
      </c>
      <c r="H383" s="6" t="s">
        <v>1589</v>
      </c>
      <c r="I383" s="35" t="s">
        <v>77</v>
      </c>
      <c r="J383" s="36">
        <v>98.1</v>
      </c>
      <c r="K383" s="36">
        <v>119.9</v>
      </c>
      <c r="L383" s="36">
        <f t="shared" si="2"/>
        <v>0</v>
      </c>
      <c r="M383" s="36" t="str">
        <f t="shared" si="3"/>
        <v>Regular Season</v>
      </c>
      <c r="N383" s="36" t="str">
        <f>IFERROR(VLOOKUP(I383,Mapped_Owner,2,0),"")</f>
        <v>Salty</v>
      </c>
      <c r="O383" s="6">
        <f>VLOOKUP(D383,'Mapped Opponent'!$G$4:$H$22,2,0)</f>
        <v>9</v>
      </c>
      <c r="P383" s="6"/>
      <c r="Q383" s="6" t="str">
        <f t="shared" si="4"/>
        <v>Week 9</v>
      </c>
      <c r="R383" s="6" t="str">
        <f t="shared" si="5"/>
        <v>2012Week 9</v>
      </c>
      <c r="S383" s="6">
        <f>IFERROR(__xludf.DUMMYFUNCTION("rank(J383,FILTER(J:J,R:R=R383))"),5.0)</f>
        <v>5</v>
      </c>
      <c r="T383" s="6">
        <f t="shared" si="6"/>
        <v>7</v>
      </c>
      <c r="U383" s="6">
        <f t="shared" si="7"/>
        <v>5</v>
      </c>
      <c r="V383" s="42">
        <f>averageif(AllData!A:A,B383,AllData!R:R)/vlookup(B383,AllData!A:O,15,0)</f>
        <v>91.6025641</v>
      </c>
      <c r="W383" s="6"/>
    </row>
    <row r="384" ht="14.25" customHeight="1">
      <c r="A384" s="6" t="str">
        <f t="shared" si="1"/>
        <v>2012KnardDawg9</v>
      </c>
      <c r="B384" s="6">
        <v>2012.0</v>
      </c>
      <c r="C384" s="6" t="s">
        <v>86</v>
      </c>
      <c r="D384" s="6" t="s">
        <v>147</v>
      </c>
      <c r="E384" s="34">
        <v>42187.0</v>
      </c>
      <c r="F384" s="6" t="s">
        <v>1590</v>
      </c>
      <c r="G384" s="6" t="s">
        <v>125</v>
      </c>
      <c r="H384" s="6" t="s">
        <v>1591</v>
      </c>
      <c r="I384" s="35" t="s">
        <v>80</v>
      </c>
      <c r="J384" s="36">
        <v>93.5</v>
      </c>
      <c r="K384" s="36">
        <v>92.7</v>
      </c>
      <c r="L384" s="36">
        <f t="shared" si="2"/>
        <v>1</v>
      </c>
      <c r="M384" s="36" t="str">
        <f t="shared" si="3"/>
        <v>Regular Season</v>
      </c>
      <c r="N384" s="36" t="str">
        <f>IFERROR(VLOOKUP(I384,Mapped_Owner,2,0),"")</f>
        <v>Fellows</v>
      </c>
      <c r="O384" s="6">
        <f>VLOOKUP(D384,'Mapped Opponent'!$G$4:$H$22,2,0)</f>
        <v>9</v>
      </c>
      <c r="P384" s="6"/>
      <c r="Q384" s="6" t="str">
        <f t="shared" si="4"/>
        <v>Week 9</v>
      </c>
      <c r="R384" s="6" t="str">
        <f t="shared" si="5"/>
        <v>2012Week 9</v>
      </c>
      <c r="S384" s="6">
        <f>IFERROR(__xludf.DUMMYFUNCTION("rank(J384,FILTER(J:J,R:R=R384))"),6.0)</f>
        <v>6</v>
      </c>
      <c r="T384" s="6">
        <f t="shared" si="6"/>
        <v>6</v>
      </c>
      <c r="U384" s="6">
        <f t="shared" si="7"/>
        <v>6</v>
      </c>
      <c r="V384" s="42">
        <f>averageif(AllData!A:A,B384,AllData!R:R)/vlookup(B384,AllData!A:O,15,0)</f>
        <v>91.6025641</v>
      </c>
      <c r="W384" s="6"/>
    </row>
    <row r="385" ht="14.25" customHeight="1">
      <c r="A385" s="6" t="str">
        <f t="shared" si="1"/>
        <v>2012T-How9</v>
      </c>
      <c r="B385" s="6">
        <v>2012.0</v>
      </c>
      <c r="C385" s="6" t="s">
        <v>82</v>
      </c>
      <c r="D385" s="6" t="s">
        <v>147</v>
      </c>
      <c r="E385" s="34">
        <v>42099.0</v>
      </c>
      <c r="F385" s="6" t="s">
        <v>1592</v>
      </c>
      <c r="G385" s="6" t="s">
        <v>125</v>
      </c>
      <c r="H385" s="6" t="s">
        <v>1593</v>
      </c>
      <c r="I385" s="35" t="s">
        <v>64</v>
      </c>
      <c r="J385" s="36">
        <v>83.8</v>
      </c>
      <c r="K385" s="36">
        <v>57.1</v>
      </c>
      <c r="L385" s="36">
        <f t="shared" si="2"/>
        <v>1</v>
      </c>
      <c r="M385" s="36" t="str">
        <f t="shared" si="3"/>
        <v>Regular Season</v>
      </c>
      <c r="N385" s="36" t="str">
        <f>IFERROR(VLOOKUP(I385,Mapped_Owner,2,0),"")</f>
        <v>Hudspeath</v>
      </c>
      <c r="O385" s="6">
        <f>VLOOKUP(D385,'Mapped Opponent'!$G$4:$H$22,2,0)</f>
        <v>9</v>
      </c>
      <c r="P385" s="6"/>
      <c r="Q385" s="6" t="str">
        <f t="shared" si="4"/>
        <v>Week 9</v>
      </c>
      <c r="R385" s="6" t="str">
        <f t="shared" si="5"/>
        <v>2012Week 9</v>
      </c>
      <c r="S385" s="6">
        <f>IFERROR(__xludf.DUMMYFUNCTION("rank(J385,FILTER(J:J,R:R=R385))"),9.0)</f>
        <v>9</v>
      </c>
      <c r="T385" s="6">
        <f t="shared" si="6"/>
        <v>3</v>
      </c>
      <c r="U385" s="6">
        <f t="shared" si="7"/>
        <v>9</v>
      </c>
      <c r="V385" s="42">
        <f>averageif(AllData!A:A,B385,AllData!R:R)/vlookup(B385,AllData!A:O,15,0)</f>
        <v>91.6025641</v>
      </c>
      <c r="W385" s="6"/>
    </row>
    <row r="386" ht="14.25" customHeight="1">
      <c r="A386" s="6" t="str">
        <f t="shared" si="1"/>
        <v>2013Hudspeath15</v>
      </c>
      <c r="B386" s="6">
        <v>2013.0</v>
      </c>
      <c r="C386" s="6" t="s">
        <v>39</v>
      </c>
      <c r="D386" s="6" t="s">
        <v>112</v>
      </c>
      <c r="E386" s="34">
        <v>42251.0</v>
      </c>
      <c r="F386" s="6" t="s">
        <v>1594</v>
      </c>
      <c r="G386" s="6" t="s">
        <v>125</v>
      </c>
      <c r="H386" s="6" t="s">
        <v>155</v>
      </c>
      <c r="I386" s="35" t="s">
        <v>125</v>
      </c>
      <c r="J386" s="52">
        <v>0.0</v>
      </c>
      <c r="K386" s="52">
        <v>0.0</v>
      </c>
      <c r="L386" s="36">
        <f t="shared" si="2"/>
        <v>0</v>
      </c>
      <c r="M386" s="36" t="str">
        <f t="shared" si="3"/>
        <v>Playoffs</v>
      </c>
      <c r="N386" s="36" t="str">
        <f>IFERROR(VLOOKUP(I386,Mapped_Owner,2,0),"")</f>
        <v>BYE</v>
      </c>
      <c r="O386" s="6">
        <f>VLOOKUP(D386,'Mapped Opponent'!$G$4:$H$22,2,0)</f>
        <v>15</v>
      </c>
      <c r="P386" s="6"/>
      <c r="Q386" s="6" t="str">
        <f t="shared" si="4"/>
        <v>Week 15</v>
      </c>
      <c r="R386" s="6" t="str">
        <f t="shared" si="5"/>
        <v>2013Round 1</v>
      </c>
      <c r="S386" s="6">
        <f>IFERROR(__xludf.DUMMYFUNCTION("rank(J386,FILTER(J:J,R:R=R386))"),11.0)</f>
        <v>11</v>
      </c>
      <c r="T386" s="6">
        <f t="shared" si="6"/>
        <v>1</v>
      </c>
      <c r="U386" s="6">
        <f t="shared" si="7"/>
        <v>11</v>
      </c>
      <c r="V386" s="42">
        <f>averageif(AllData!A:A,B386,AllData!R:R)/vlookup(B386,AllData!A:O,15,0)</f>
        <v>92.82051282</v>
      </c>
      <c r="W386" s="6"/>
    </row>
    <row r="387" ht="14.25" customHeight="1">
      <c r="A387" s="6" t="str">
        <f t="shared" si="1"/>
        <v>2013Salty15</v>
      </c>
      <c r="B387" s="6">
        <v>2013.0</v>
      </c>
      <c r="C387" s="6" t="s">
        <v>76</v>
      </c>
      <c r="D387" s="6" t="s">
        <v>112</v>
      </c>
      <c r="E387" s="34">
        <v>42192.0</v>
      </c>
      <c r="F387" s="6" t="s">
        <v>1595</v>
      </c>
      <c r="G387" s="6" t="s">
        <v>125</v>
      </c>
      <c r="H387" s="6" t="s">
        <v>1596</v>
      </c>
      <c r="I387" s="35" t="s">
        <v>80</v>
      </c>
      <c r="J387" s="36">
        <v>107.6</v>
      </c>
      <c r="K387" s="36">
        <v>98.7</v>
      </c>
      <c r="L387" s="36">
        <f t="shared" si="2"/>
        <v>1</v>
      </c>
      <c r="M387" s="36" t="str">
        <f t="shared" si="3"/>
        <v>Playoffs</v>
      </c>
      <c r="N387" s="36" t="str">
        <f>IFERROR(VLOOKUP(I387,Mapped_Owner,2,0),"")</f>
        <v>Fellows</v>
      </c>
      <c r="O387" s="6">
        <f>VLOOKUP(D387,'Mapped Opponent'!$G$4:$H$22,2,0)</f>
        <v>15</v>
      </c>
      <c r="P387" s="6"/>
      <c r="Q387" s="6" t="str">
        <f t="shared" si="4"/>
        <v>Week 15</v>
      </c>
      <c r="R387" s="6" t="str">
        <f t="shared" si="5"/>
        <v>2013Round 1</v>
      </c>
      <c r="S387" s="6">
        <f>IFERROR(__xludf.DUMMYFUNCTION("rank(J387,FILTER(J:J,R:R=R387))"),3.0)</f>
        <v>3</v>
      </c>
      <c r="T387" s="6">
        <f t="shared" si="6"/>
        <v>9</v>
      </c>
      <c r="U387" s="6">
        <f t="shared" si="7"/>
        <v>3</v>
      </c>
      <c r="V387" s="42">
        <f>averageif(AllData!A:A,B387,AllData!R:R)/vlookup(B387,AllData!A:O,15,0)</f>
        <v>92.82051282</v>
      </c>
      <c r="W387" s="6"/>
    </row>
    <row r="388" ht="14.25" customHeight="1">
      <c r="A388" s="6" t="str">
        <f t="shared" si="1"/>
        <v>2013Fellows15</v>
      </c>
      <c r="B388" s="6">
        <v>2013.0</v>
      </c>
      <c r="C388" s="6" t="s">
        <v>79</v>
      </c>
      <c r="D388" s="6" t="s">
        <v>112</v>
      </c>
      <c r="E388" s="34">
        <v>42163.0</v>
      </c>
      <c r="F388" s="6" t="s">
        <v>1597</v>
      </c>
      <c r="G388" s="6" t="s">
        <v>114</v>
      </c>
      <c r="H388" s="6" t="s">
        <v>1598</v>
      </c>
      <c r="I388" s="35" t="s">
        <v>77</v>
      </c>
      <c r="J388" s="36">
        <v>98.7</v>
      </c>
      <c r="K388" s="36">
        <v>107.6</v>
      </c>
      <c r="L388" s="36">
        <f t="shared" si="2"/>
        <v>0</v>
      </c>
      <c r="M388" s="36" t="str">
        <f t="shared" si="3"/>
        <v>Playoffs</v>
      </c>
      <c r="N388" s="36" t="str">
        <f>IFERROR(VLOOKUP(I388,Mapped_Owner,2,0),"")</f>
        <v>Salty</v>
      </c>
      <c r="O388" s="6">
        <f>VLOOKUP(D388,'Mapped Opponent'!$G$4:$H$22,2,0)</f>
        <v>15</v>
      </c>
      <c r="P388" s="6"/>
      <c r="Q388" s="6" t="str">
        <f t="shared" si="4"/>
        <v>Week 15</v>
      </c>
      <c r="R388" s="6" t="str">
        <f t="shared" si="5"/>
        <v>2013Round 1</v>
      </c>
      <c r="S388" s="6">
        <f>IFERROR(__xludf.DUMMYFUNCTION("rank(J388,FILTER(J:J,R:R=R388))"),6.0)</f>
        <v>6</v>
      </c>
      <c r="T388" s="6">
        <f t="shared" si="6"/>
        <v>6</v>
      </c>
      <c r="U388" s="6">
        <f t="shared" si="7"/>
        <v>6</v>
      </c>
      <c r="V388" s="42">
        <f>averageif(AllData!A:A,B388,AllData!R:R)/vlookup(B388,AllData!A:O,15,0)</f>
        <v>92.82051282</v>
      </c>
      <c r="W388" s="6"/>
    </row>
    <row r="389" ht="14.25" customHeight="1">
      <c r="A389" s="6" t="str">
        <f t="shared" si="1"/>
        <v>2013Shep15</v>
      </c>
      <c r="B389" s="6">
        <v>2013.0</v>
      </c>
      <c r="C389" s="6" t="s">
        <v>89</v>
      </c>
      <c r="D389" s="6" t="s">
        <v>112</v>
      </c>
      <c r="E389" s="34">
        <v>42104.0</v>
      </c>
      <c r="F389" s="6" t="s">
        <v>1599</v>
      </c>
      <c r="G389" s="6" t="s">
        <v>125</v>
      </c>
      <c r="H389" s="6" t="s">
        <v>1600</v>
      </c>
      <c r="I389" s="35" t="s">
        <v>93</v>
      </c>
      <c r="J389" s="36">
        <v>83.6</v>
      </c>
      <c r="K389" s="36">
        <v>101.9</v>
      </c>
      <c r="L389" s="36">
        <f t="shared" si="2"/>
        <v>0</v>
      </c>
      <c r="M389" s="36" t="str">
        <f t="shared" si="3"/>
        <v>Playoffs</v>
      </c>
      <c r="N389" s="36" t="str">
        <f>IFERROR(VLOOKUP(I389,Mapped_Owner,2,0),"")</f>
        <v>Pierson</v>
      </c>
      <c r="O389" s="6">
        <f>VLOOKUP(D389,'Mapped Opponent'!$G$4:$H$22,2,0)</f>
        <v>15</v>
      </c>
      <c r="P389" s="6"/>
      <c r="Q389" s="6" t="str">
        <f t="shared" si="4"/>
        <v>Week 15</v>
      </c>
      <c r="R389" s="6" t="str">
        <f t="shared" si="5"/>
        <v>2013Round 1</v>
      </c>
      <c r="S389" s="6">
        <f>IFERROR(__xludf.DUMMYFUNCTION("rank(J389,FILTER(J:J,R:R=R389))"),9.0)</f>
        <v>9</v>
      </c>
      <c r="T389" s="6">
        <f t="shared" si="6"/>
        <v>3</v>
      </c>
      <c r="U389" s="6">
        <f t="shared" si="7"/>
        <v>9</v>
      </c>
      <c r="V389" s="42">
        <f>averageif(AllData!A:A,B389,AllData!R:R)/vlookup(B389,AllData!A:O,15,0)</f>
        <v>92.82051282</v>
      </c>
      <c r="W389" s="6"/>
    </row>
    <row r="390" ht="14.25" customHeight="1">
      <c r="A390" s="6" t="str">
        <f t="shared" si="1"/>
        <v>2013Riley15</v>
      </c>
      <c r="B390" s="6">
        <v>2013.0</v>
      </c>
      <c r="C390" s="6" t="s">
        <v>67</v>
      </c>
      <c r="D390" s="6" t="s">
        <v>112</v>
      </c>
      <c r="E390" s="34">
        <v>42192.0</v>
      </c>
      <c r="F390" s="6" t="s">
        <v>1601</v>
      </c>
      <c r="G390" s="6" t="s">
        <v>125</v>
      </c>
      <c r="H390" s="6" t="s">
        <v>1602</v>
      </c>
      <c r="I390" s="35" t="s">
        <v>50</v>
      </c>
      <c r="J390" s="36">
        <v>94.7</v>
      </c>
      <c r="K390" s="36">
        <v>120.2</v>
      </c>
      <c r="L390" s="36">
        <f t="shared" si="2"/>
        <v>0</v>
      </c>
      <c r="M390" s="36" t="str">
        <f t="shared" si="3"/>
        <v>Playoffs</v>
      </c>
      <c r="N390" s="36" t="str">
        <f>IFERROR(VLOOKUP(I390,Mapped_Owner,2,0),"")</f>
        <v>Buser</v>
      </c>
      <c r="O390" s="6">
        <f>VLOOKUP(D390,'Mapped Opponent'!$G$4:$H$22,2,0)</f>
        <v>15</v>
      </c>
      <c r="P390" s="6"/>
      <c r="Q390" s="6" t="str">
        <f t="shared" si="4"/>
        <v>Week 15</v>
      </c>
      <c r="R390" s="6" t="str">
        <f t="shared" si="5"/>
        <v>2013Round 1</v>
      </c>
      <c r="S390" s="6">
        <f>IFERROR(__xludf.DUMMYFUNCTION("rank(J390,FILTER(J:J,R:R=R390))"),7.0)</f>
        <v>7</v>
      </c>
      <c r="T390" s="6">
        <f t="shared" si="6"/>
        <v>5</v>
      </c>
      <c r="U390" s="6">
        <f t="shared" si="7"/>
        <v>7</v>
      </c>
      <c r="V390" s="42">
        <f>averageif(AllData!A:A,B390,AllData!R:R)/vlookup(B390,AllData!A:O,15,0)</f>
        <v>92.82051282</v>
      </c>
      <c r="W390" s="6"/>
    </row>
    <row r="391" ht="14.25" customHeight="1">
      <c r="A391" s="6" t="str">
        <f t="shared" si="1"/>
        <v>2013Rooney/Jackson15</v>
      </c>
      <c r="B391" s="6">
        <v>2013.0</v>
      </c>
      <c r="C391" s="6" t="s">
        <v>57</v>
      </c>
      <c r="D391" s="6" t="s">
        <v>112</v>
      </c>
      <c r="E391" s="34">
        <v>42222.0</v>
      </c>
      <c r="F391" s="6" t="s">
        <v>1603</v>
      </c>
      <c r="G391" s="6" t="s">
        <v>114</v>
      </c>
      <c r="H391" s="6" t="s">
        <v>1604</v>
      </c>
      <c r="I391" s="35" t="s">
        <v>99</v>
      </c>
      <c r="J391" s="36">
        <v>104.8</v>
      </c>
      <c r="K391" s="36">
        <v>86.8</v>
      </c>
      <c r="L391" s="36">
        <f t="shared" si="2"/>
        <v>1</v>
      </c>
      <c r="M391" s="36" t="str">
        <f t="shared" si="3"/>
        <v>Playoffs</v>
      </c>
      <c r="N391" s="36" t="str">
        <f>IFERROR(VLOOKUP(I391,Mapped_Owner,2,0),"")</f>
        <v>Cock</v>
      </c>
      <c r="O391" s="6">
        <f>VLOOKUP(D391,'Mapped Opponent'!$G$4:$H$22,2,0)</f>
        <v>15</v>
      </c>
      <c r="P391" s="6"/>
      <c r="Q391" s="6" t="str">
        <f t="shared" si="4"/>
        <v>Week 15</v>
      </c>
      <c r="R391" s="6" t="str">
        <f t="shared" si="5"/>
        <v>2013Round 1</v>
      </c>
      <c r="S391" s="6">
        <f>IFERROR(__xludf.DUMMYFUNCTION("rank(J391,FILTER(J:J,R:R=R391))"),4.0)</f>
        <v>4</v>
      </c>
      <c r="T391" s="6">
        <f t="shared" si="6"/>
        <v>8</v>
      </c>
      <c r="U391" s="6">
        <f t="shared" si="7"/>
        <v>4</v>
      </c>
      <c r="V391" s="42">
        <f>averageif(AllData!A:A,B391,AllData!R:R)/vlookup(B391,AllData!A:O,15,0)</f>
        <v>92.82051282</v>
      </c>
      <c r="W391" s="6"/>
    </row>
    <row r="392" ht="14.25" customHeight="1">
      <c r="A392" s="6" t="str">
        <f t="shared" si="1"/>
        <v>2013Buser15</v>
      </c>
      <c r="B392" s="6">
        <v>2013.0</v>
      </c>
      <c r="C392" s="6" t="s">
        <v>47</v>
      </c>
      <c r="D392" s="6" t="s">
        <v>112</v>
      </c>
      <c r="E392" s="34">
        <v>42222.0</v>
      </c>
      <c r="F392" s="6" t="s">
        <v>1605</v>
      </c>
      <c r="G392" s="6" t="s">
        <v>114</v>
      </c>
      <c r="H392" s="6" t="s">
        <v>1606</v>
      </c>
      <c r="I392" s="35" t="s">
        <v>68</v>
      </c>
      <c r="J392" s="36">
        <v>120.2</v>
      </c>
      <c r="K392" s="36">
        <v>94.7</v>
      </c>
      <c r="L392" s="36">
        <f t="shared" si="2"/>
        <v>1</v>
      </c>
      <c r="M392" s="36" t="str">
        <f t="shared" si="3"/>
        <v>Playoffs</v>
      </c>
      <c r="N392" s="36" t="str">
        <f>IFERROR(VLOOKUP(I392,Mapped_Owner,2,0),"")</f>
        <v>Riley</v>
      </c>
      <c r="O392" s="6">
        <f>VLOOKUP(D392,'Mapped Opponent'!$G$4:$H$22,2,0)</f>
        <v>15</v>
      </c>
      <c r="P392" s="6"/>
      <c r="Q392" s="6" t="str">
        <f t="shared" si="4"/>
        <v>Week 15</v>
      </c>
      <c r="R392" s="6" t="str">
        <f t="shared" si="5"/>
        <v>2013Round 1</v>
      </c>
      <c r="S392" s="6">
        <f>IFERROR(__xludf.DUMMYFUNCTION("rank(J392,FILTER(J:J,R:R=R392))"),1.0)</f>
        <v>1</v>
      </c>
      <c r="T392" s="6">
        <f t="shared" si="6"/>
        <v>11</v>
      </c>
      <c r="U392" s="6">
        <f t="shared" si="7"/>
        <v>1</v>
      </c>
      <c r="V392" s="42">
        <f>averageif(AllData!A:A,B392,AllData!R:R)/vlookup(B392,AllData!A:O,15,0)</f>
        <v>92.82051282</v>
      </c>
      <c r="W392" s="6"/>
    </row>
    <row r="393" ht="14.25" customHeight="1">
      <c r="A393" s="6" t="str">
        <f t="shared" si="1"/>
        <v>2013Pierson15</v>
      </c>
      <c r="B393" s="6">
        <v>2013.0</v>
      </c>
      <c r="C393" s="6" t="s">
        <v>92</v>
      </c>
      <c r="D393" s="6" t="s">
        <v>112</v>
      </c>
      <c r="E393" s="34">
        <v>42133.0</v>
      </c>
      <c r="F393" s="6" t="s">
        <v>1607</v>
      </c>
      <c r="G393" s="6" t="s">
        <v>114</v>
      </c>
      <c r="H393" s="6" t="s">
        <v>1608</v>
      </c>
      <c r="I393" s="35" t="s">
        <v>91</v>
      </c>
      <c r="J393" s="36">
        <v>101.9</v>
      </c>
      <c r="K393" s="36">
        <v>83.6</v>
      </c>
      <c r="L393" s="36">
        <f t="shared" si="2"/>
        <v>1</v>
      </c>
      <c r="M393" s="36" t="str">
        <f t="shared" si="3"/>
        <v>Playoffs</v>
      </c>
      <c r="N393" s="36" t="str">
        <f>IFERROR(VLOOKUP(I393,Mapped_Owner,2,0),"")</f>
        <v>Shep</v>
      </c>
      <c r="O393" s="6">
        <f>VLOOKUP(D393,'Mapped Opponent'!$G$4:$H$22,2,0)</f>
        <v>15</v>
      </c>
      <c r="P393" s="6"/>
      <c r="Q393" s="6" t="str">
        <f t="shared" si="4"/>
        <v>Week 15</v>
      </c>
      <c r="R393" s="6" t="str">
        <f t="shared" si="5"/>
        <v>2013Round 1</v>
      </c>
      <c r="S393" s="6">
        <f>IFERROR(__xludf.DUMMYFUNCTION("rank(J393,FILTER(J:J,R:R=R393))"),5.0)</f>
        <v>5</v>
      </c>
      <c r="T393" s="6">
        <f t="shared" si="6"/>
        <v>7</v>
      </c>
      <c r="U393" s="6">
        <f t="shared" si="7"/>
        <v>5</v>
      </c>
      <c r="V393" s="42">
        <f>averageif(AllData!A:A,B393,AllData!R:R)/vlookup(B393,AllData!A:O,15,0)</f>
        <v>92.82051282</v>
      </c>
      <c r="W393" s="6"/>
    </row>
    <row r="394" ht="14.25" customHeight="1">
      <c r="A394" s="6" t="str">
        <f t="shared" si="1"/>
        <v>2013Cock15</v>
      </c>
      <c r="B394" s="6">
        <v>2013.0</v>
      </c>
      <c r="C394" s="6" t="s">
        <v>72</v>
      </c>
      <c r="D394" s="6" t="s">
        <v>112</v>
      </c>
      <c r="E394" s="34">
        <v>42222.0</v>
      </c>
      <c r="F394" s="6" t="s">
        <v>1609</v>
      </c>
      <c r="G394" s="6" t="s">
        <v>125</v>
      </c>
      <c r="H394" s="6" t="s">
        <v>1610</v>
      </c>
      <c r="I394" s="35" t="s">
        <v>58</v>
      </c>
      <c r="J394" s="36">
        <v>86.8</v>
      </c>
      <c r="K394" s="36">
        <v>104.8</v>
      </c>
      <c r="L394" s="36">
        <f t="shared" si="2"/>
        <v>0</v>
      </c>
      <c r="M394" s="36" t="str">
        <f t="shared" si="3"/>
        <v>Playoffs</v>
      </c>
      <c r="N394" s="36" t="str">
        <f>IFERROR(VLOOKUP(I394,Mapped_Owner,2,0),"")</f>
        <v>Rooney/Jackson</v>
      </c>
      <c r="O394" s="6">
        <f>VLOOKUP(D394,'Mapped Opponent'!$G$4:$H$22,2,0)</f>
        <v>15</v>
      </c>
      <c r="P394" s="6"/>
      <c r="Q394" s="6" t="str">
        <f t="shared" si="4"/>
        <v>Week 15</v>
      </c>
      <c r="R394" s="6" t="str">
        <f t="shared" si="5"/>
        <v>2013Round 1</v>
      </c>
      <c r="S394" s="6">
        <f>IFERROR(__xludf.DUMMYFUNCTION("rank(J394,FILTER(J:J,R:R=R394))"),8.0)</f>
        <v>8</v>
      </c>
      <c r="T394" s="6">
        <f t="shared" si="6"/>
        <v>4</v>
      </c>
      <c r="U394" s="6">
        <f t="shared" si="7"/>
        <v>8</v>
      </c>
      <c r="V394" s="42">
        <f>averageif(AllData!A:A,B394,AllData!R:R)/vlookup(B394,AllData!A:O,15,0)</f>
        <v>92.82051282</v>
      </c>
      <c r="W394" s="6"/>
    </row>
    <row r="395" ht="14.25" customHeight="1">
      <c r="A395" s="6" t="str">
        <f t="shared" si="1"/>
        <v>2013Tayski15</v>
      </c>
      <c r="B395" s="6">
        <v>2013.0</v>
      </c>
      <c r="C395" s="6" t="s">
        <v>52</v>
      </c>
      <c r="D395" s="6" t="s">
        <v>112</v>
      </c>
      <c r="E395" s="34">
        <v>42221.0</v>
      </c>
      <c r="F395" s="6" t="s">
        <v>1611</v>
      </c>
      <c r="G395" s="6" t="s">
        <v>125</v>
      </c>
      <c r="H395" s="6" t="s">
        <v>155</v>
      </c>
      <c r="I395" s="35" t="s">
        <v>125</v>
      </c>
      <c r="J395" s="52">
        <v>0.0</v>
      </c>
      <c r="K395" s="52">
        <v>0.0</v>
      </c>
      <c r="L395" s="36">
        <f t="shared" si="2"/>
        <v>0</v>
      </c>
      <c r="M395" s="36" t="str">
        <f t="shared" si="3"/>
        <v>Playoffs</v>
      </c>
      <c r="N395" s="36" t="str">
        <f>IFERROR(VLOOKUP(I395,Mapped_Owner,2,0),"")</f>
        <v>BYE</v>
      </c>
      <c r="O395" s="6">
        <f>VLOOKUP(D395,'Mapped Opponent'!$G$4:$H$22,2,0)</f>
        <v>15</v>
      </c>
      <c r="P395" s="6"/>
      <c r="Q395" s="6" t="str">
        <f t="shared" si="4"/>
        <v>Week 15</v>
      </c>
      <c r="R395" s="6" t="str">
        <f t="shared" si="5"/>
        <v>2013Round 1</v>
      </c>
      <c r="S395" s="6">
        <f>IFERROR(__xludf.DUMMYFUNCTION("rank(J395,FILTER(J:J,R:R=R395))"),11.0)</f>
        <v>11</v>
      </c>
      <c r="T395" s="6">
        <f t="shared" si="6"/>
        <v>1</v>
      </c>
      <c r="U395" s="6">
        <f t="shared" si="7"/>
        <v>11</v>
      </c>
      <c r="V395" s="42">
        <f>averageif(AllData!A:A,B395,AllData!R:R)/vlookup(B395,AllData!A:O,15,0)</f>
        <v>92.82051282</v>
      </c>
      <c r="W395" s="6"/>
    </row>
    <row r="396" ht="14.25" customHeight="1">
      <c r="A396" s="6" t="str">
        <f t="shared" si="1"/>
        <v>2013KnardDawg15</v>
      </c>
      <c r="B396" s="6">
        <v>2013.0</v>
      </c>
      <c r="C396" s="6" t="s">
        <v>86</v>
      </c>
      <c r="D396" s="6" t="s">
        <v>112</v>
      </c>
      <c r="E396" s="34">
        <v>42192.0</v>
      </c>
      <c r="F396" s="6" t="s">
        <v>1612</v>
      </c>
      <c r="G396" s="6" t="s">
        <v>114</v>
      </c>
      <c r="H396" s="6" t="s">
        <v>1613</v>
      </c>
      <c r="I396" s="35" t="s">
        <v>85</v>
      </c>
      <c r="J396" s="36">
        <v>119.4</v>
      </c>
      <c r="K396" s="36">
        <v>79.8</v>
      </c>
      <c r="L396" s="36">
        <f t="shared" si="2"/>
        <v>1</v>
      </c>
      <c r="M396" s="36" t="str">
        <f t="shared" si="3"/>
        <v>Playoffs</v>
      </c>
      <c r="N396" s="36" t="str">
        <f>IFERROR(VLOOKUP(I396,Mapped_Owner,2,0),"")</f>
        <v>T-How</v>
      </c>
      <c r="O396" s="6">
        <f>VLOOKUP(D396,'Mapped Opponent'!$G$4:$H$22,2,0)</f>
        <v>15</v>
      </c>
      <c r="P396" s="6"/>
      <c r="Q396" s="6" t="str">
        <f t="shared" si="4"/>
        <v>Week 15</v>
      </c>
      <c r="R396" s="6" t="str">
        <f t="shared" si="5"/>
        <v>2013Round 1</v>
      </c>
      <c r="S396" s="6">
        <f>IFERROR(__xludf.DUMMYFUNCTION("rank(J396,FILTER(J:J,R:R=R396))"),2.0)</f>
        <v>2</v>
      </c>
      <c r="T396" s="6">
        <f t="shared" si="6"/>
        <v>10</v>
      </c>
      <c r="U396" s="6">
        <f t="shared" si="7"/>
        <v>2</v>
      </c>
      <c r="V396" s="42">
        <f>averageif(AllData!A:A,B396,AllData!R:R)/vlookup(B396,AllData!A:O,15,0)</f>
        <v>92.82051282</v>
      </c>
      <c r="W396" s="6"/>
    </row>
    <row r="397" ht="14.25" customHeight="1">
      <c r="A397" s="6" t="str">
        <f t="shared" si="1"/>
        <v>2013T-How15</v>
      </c>
      <c r="B397" s="6">
        <v>2013.0</v>
      </c>
      <c r="C397" s="6" t="s">
        <v>82</v>
      </c>
      <c r="D397" s="6" t="s">
        <v>112</v>
      </c>
      <c r="E397" s="34">
        <v>42163.0</v>
      </c>
      <c r="F397" s="6" t="s">
        <v>1614</v>
      </c>
      <c r="G397" s="6" t="s">
        <v>125</v>
      </c>
      <c r="H397" s="6" t="s">
        <v>1615</v>
      </c>
      <c r="I397" s="35" t="s">
        <v>132</v>
      </c>
      <c r="J397" s="36">
        <v>79.8</v>
      </c>
      <c r="K397" s="36">
        <v>119.4</v>
      </c>
      <c r="L397" s="36">
        <f t="shared" si="2"/>
        <v>0</v>
      </c>
      <c r="M397" s="36" t="str">
        <f t="shared" si="3"/>
        <v>Playoffs</v>
      </c>
      <c r="N397" s="36" t="str">
        <f>IFERROR(VLOOKUP(I397,Mapped_Owner,2,0),"")</f>
        <v>KnardDawg</v>
      </c>
      <c r="O397" s="6">
        <f>VLOOKUP(D397,'Mapped Opponent'!$G$4:$H$22,2,0)</f>
        <v>15</v>
      </c>
      <c r="P397" s="6"/>
      <c r="Q397" s="6" t="str">
        <f t="shared" si="4"/>
        <v>Week 15</v>
      </c>
      <c r="R397" s="6" t="str">
        <f t="shared" si="5"/>
        <v>2013Round 1</v>
      </c>
      <c r="S397" s="6">
        <f>IFERROR(__xludf.DUMMYFUNCTION("rank(J397,FILTER(J:J,R:R=R397))"),10.0)</f>
        <v>10</v>
      </c>
      <c r="T397" s="6">
        <f t="shared" si="6"/>
        <v>2</v>
      </c>
      <c r="U397" s="6">
        <f t="shared" si="7"/>
        <v>10</v>
      </c>
      <c r="V397" s="42">
        <f>averageif(AllData!A:A,B397,AllData!R:R)/vlookup(B397,AllData!A:O,15,0)</f>
        <v>92.82051282</v>
      </c>
      <c r="W397" s="6"/>
    </row>
    <row r="398" ht="14.25" customHeight="1">
      <c r="A398" s="6" t="str">
        <f t="shared" si="1"/>
        <v>2013Hudspeath16</v>
      </c>
      <c r="B398" s="6">
        <v>2013.0</v>
      </c>
      <c r="C398" s="6" t="s">
        <v>39</v>
      </c>
      <c r="D398" s="6" t="s">
        <v>153</v>
      </c>
      <c r="E398" s="34">
        <v>42252.0</v>
      </c>
      <c r="F398" s="6" t="s">
        <v>1616</v>
      </c>
      <c r="G398" s="6" t="s">
        <v>125</v>
      </c>
      <c r="H398" s="6" t="s">
        <v>1617</v>
      </c>
      <c r="I398" s="35" t="s">
        <v>50</v>
      </c>
      <c r="J398" s="36">
        <v>96.3</v>
      </c>
      <c r="K398" s="36">
        <v>110.9</v>
      </c>
      <c r="L398" s="36">
        <f t="shared" si="2"/>
        <v>0</v>
      </c>
      <c r="M398" s="36" t="str">
        <f t="shared" si="3"/>
        <v>Playoffs</v>
      </c>
      <c r="N398" s="36" t="str">
        <f>IFERROR(VLOOKUP(I398,Mapped_Owner,2,0),"")</f>
        <v>Buser</v>
      </c>
      <c r="O398" s="6">
        <f>VLOOKUP(D398,'Mapped Opponent'!$G$4:$H$22,2,0)</f>
        <v>16</v>
      </c>
      <c r="P398" s="6"/>
      <c r="Q398" s="6" t="str">
        <f t="shared" si="4"/>
        <v>Week 16</v>
      </c>
      <c r="R398" s="6" t="str">
        <f t="shared" si="5"/>
        <v>2013Round 2</v>
      </c>
      <c r="S398" s="6">
        <f>IFERROR(__xludf.DUMMYFUNCTION("rank(J398,FILTER(J:J,R:R=R398))"),8.0)</f>
        <v>8</v>
      </c>
      <c r="T398" s="6">
        <f t="shared" si="6"/>
        <v>4</v>
      </c>
      <c r="U398" s="6">
        <f t="shared" si="7"/>
        <v>8</v>
      </c>
      <c r="V398" s="42">
        <f>averageif(AllData!A:A,B398,AllData!R:R)/vlookup(B398,AllData!A:O,15,0)</f>
        <v>92.82051282</v>
      </c>
      <c r="W398" s="6"/>
    </row>
    <row r="399" ht="14.25" customHeight="1">
      <c r="A399" s="6" t="str">
        <f t="shared" si="1"/>
        <v>2013Salty16</v>
      </c>
      <c r="B399" s="6">
        <v>2013.0</v>
      </c>
      <c r="C399" s="6" t="s">
        <v>76</v>
      </c>
      <c r="D399" s="6" t="s">
        <v>153</v>
      </c>
      <c r="E399" s="34">
        <v>42223.0</v>
      </c>
      <c r="F399" s="6" t="s">
        <v>1618</v>
      </c>
      <c r="G399" s="6" t="s">
        <v>125</v>
      </c>
      <c r="H399" s="6" t="s">
        <v>1619</v>
      </c>
      <c r="I399" s="35" t="s">
        <v>132</v>
      </c>
      <c r="J399" s="36">
        <v>86.8</v>
      </c>
      <c r="K399" s="36">
        <v>67.6</v>
      </c>
      <c r="L399" s="36">
        <f t="shared" si="2"/>
        <v>1</v>
      </c>
      <c r="M399" s="36" t="str">
        <f t="shared" si="3"/>
        <v>Playoffs</v>
      </c>
      <c r="N399" s="36" t="str">
        <f>IFERROR(VLOOKUP(I399,Mapped_Owner,2,0),"")</f>
        <v>KnardDawg</v>
      </c>
      <c r="O399" s="6">
        <f>VLOOKUP(D399,'Mapped Opponent'!$G$4:$H$22,2,0)</f>
        <v>16</v>
      </c>
      <c r="P399" s="6"/>
      <c r="Q399" s="6" t="str">
        <f t="shared" si="4"/>
        <v>Week 16</v>
      </c>
      <c r="R399" s="6" t="str">
        <f t="shared" si="5"/>
        <v>2013Round 2</v>
      </c>
      <c r="S399" s="6">
        <f>IFERROR(__xludf.DUMMYFUNCTION("rank(J399,FILTER(J:J,R:R=R399))"),10.0)</f>
        <v>10</v>
      </c>
      <c r="T399" s="6">
        <f t="shared" si="6"/>
        <v>2</v>
      </c>
      <c r="U399" s="6">
        <f t="shared" si="7"/>
        <v>10</v>
      </c>
      <c r="V399" s="42">
        <f>averageif(AllData!A:A,B399,AllData!R:R)/vlookup(B399,AllData!A:O,15,0)</f>
        <v>92.82051282</v>
      </c>
      <c r="W399" s="6"/>
    </row>
    <row r="400" ht="14.25" customHeight="1">
      <c r="A400" s="6" t="str">
        <f t="shared" si="1"/>
        <v>2013Fellows16</v>
      </c>
      <c r="B400" s="6">
        <v>2013.0</v>
      </c>
      <c r="C400" s="6" t="s">
        <v>79</v>
      </c>
      <c r="D400" s="6" t="s">
        <v>153</v>
      </c>
      <c r="E400" s="34">
        <v>42164.0</v>
      </c>
      <c r="F400" s="6" t="s">
        <v>1620</v>
      </c>
      <c r="G400" s="6" t="s">
        <v>125</v>
      </c>
      <c r="H400" s="6" t="s">
        <v>1621</v>
      </c>
      <c r="I400" s="35" t="s">
        <v>93</v>
      </c>
      <c r="J400" s="36">
        <v>62.5</v>
      </c>
      <c r="K400" s="36">
        <v>118.8</v>
      </c>
      <c r="L400" s="36">
        <f t="shared" si="2"/>
        <v>0</v>
      </c>
      <c r="M400" s="36" t="str">
        <f t="shared" si="3"/>
        <v>Playoffs</v>
      </c>
      <c r="N400" s="36" t="str">
        <f>IFERROR(VLOOKUP(I400,Mapped_Owner,2,0),"")</f>
        <v>Pierson</v>
      </c>
      <c r="O400" s="6">
        <f>VLOOKUP(D400,'Mapped Opponent'!$G$4:$H$22,2,0)</f>
        <v>16</v>
      </c>
      <c r="P400" s="6"/>
      <c r="Q400" s="6" t="str">
        <f t="shared" si="4"/>
        <v>Week 16</v>
      </c>
      <c r="R400" s="6" t="str">
        <f t="shared" si="5"/>
        <v>2013Round 2</v>
      </c>
      <c r="S400" s="6">
        <f>IFERROR(__xludf.DUMMYFUNCTION("rank(J400,FILTER(J:J,R:R=R400))"),12.0)</f>
        <v>12</v>
      </c>
      <c r="T400" s="6">
        <f t="shared" si="6"/>
        <v>0</v>
      </c>
      <c r="U400" s="6">
        <f t="shared" si="7"/>
        <v>12</v>
      </c>
      <c r="V400" s="42">
        <f>averageif(AllData!A:A,B400,AllData!R:R)/vlookup(B400,AllData!A:O,15,0)</f>
        <v>92.82051282</v>
      </c>
      <c r="W400" s="6"/>
    </row>
    <row r="401" ht="14.25" customHeight="1">
      <c r="A401" s="6" t="str">
        <f t="shared" si="1"/>
        <v>2013Shep16</v>
      </c>
      <c r="B401" s="6">
        <v>2013.0</v>
      </c>
      <c r="C401" s="6" t="s">
        <v>89</v>
      </c>
      <c r="D401" s="6" t="s">
        <v>153</v>
      </c>
      <c r="E401" s="34">
        <v>42134.0</v>
      </c>
      <c r="F401" s="6" t="s">
        <v>1622</v>
      </c>
      <c r="G401" s="6" t="s">
        <v>114</v>
      </c>
      <c r="H401" s="6" t="s">
        <v>1623</v>
      </c>
      <c r="I401" s="35" t="s">
        <v>85</v>
      </c>
      <c r="J401" s="36">
        <v>101.7</v>
      </c>
      <c r="K401" s="36">
        <v>93.9</v>
      </c>
      <c r="L401" s="36">
        <f t="shared" si="2"/>
        <v>1</v>
      </c>
      <c r="M401" s="36" t="str">
        <f t="shared" si="3"/>
        <v>Playoffs</v>
      </c>
      <c r="N401" s="36" t="str">
        <f>IFERROR(VLOOKUP(I401,Mapped_Owner,2,0),"")</f>
        <v>T-How</v>
      </c>
      <c r="O401" s="6">
        <f>VLOOKUP(D401,'Mapped Opponent'!$G$4:$H$22,2,0)</f>
        <v>16</v>
      </c>
      <c r="P401" s="6"/>
      <c r="Q401" s="6" t="str">
        <f t="shared" si="4"/>
        <v>Week 16</v>
      </c>
      <c r="R401" s="6" t="str">
        <f t="shared" si="5"/>
        <v>2013Round 2</v>
      </c>
      <c r="S401" s="6">
        <f>IFERROR(__xludf.DUMMYFUNCTION("rank(J401,FILTER(J:J,R:R=R401))"),6.0)</f>
        <v>6</v>
      </c>
      <c r="T401" s="6">
        <f t="shared" si="6"/>
        <v>6</v>
      </c>
      <c r="U401" s="6">
        <f t="shared" si="7"/>
        <v>6</v>
      </c>
      <c r="V401" s="42">
        <f>averageif(AllData!A:A,B401,AllData!R:R)/vlookup(B401,AllData!A:O,15,0)</f>
        <v>92.82051282</v>
      </c>
      <c r="W401" s="6"/>
    </row>
    <row r="402" ht="14.25" customHeight="1">
      <c r="A402" s="6" t="str">
        <f t="shared" si="1"/>
        <v>2013Riley16</v>
      </c>
      <c r="B402" s="6">
        <v>2013.0</v>
      </c>
      <c r="C402" s="6" t="s">
        <v>67</v>
      </c>
      <c r="D402" s="6" t="s">
        <v>153</v>
      </c>
      <c r="E402" s="34">
        <v>42193.0</v>
      </c>
      <c r="F402" s="6" t="s">
        <v>1624</v>
      </c>
      <c r="G402" s="6" t="s">
        <v>114</v>
      </c>
      <c r="H402" s="6" t="s">
        <v>1625</v>
      </c>
      <c r="I402" s="35" t="s">
        <v>99</v>
      </c>
      <c r="J402" s="36">
        <v>102.5</v>
      </c>
      <c r="K402" s="36">
        <v>132.2</v>
      </c>
      <c r="L402" s="36">
        <f t="shared" si="2"/>
        <v>0</v>
      </c>
      <c r="M402" s="36" t="str">
        <f t="shared" si="3"/>
        <v>Playoffs</v>
      </c>
      <c r="N402" s="36" t="str">
        <f>IFERROR(VLOOKUP(I402,Mapped_Owner,2,0),"")</f>
        <v>Cock</v>
      </c>
      <c r="O402" s="6">
        <f>VLOOKUP(D402,'Mapped Opponent'!$G$4:$H$22,2,0)</f>
        <v>16</v>
      </c>
      <c r="P402" s="6"/>
      <c r="Q402" s="6" t="str">
        <f t="shared" si="4"/>
        <v>Week 16</v>
      </c>
      <c r="R402" s="6" t="str">
        <f t="shared" si="5"/>
        <v>2013Round 2</v>
      </c>
      <c r="S402" s="6">
        <f>IFERROR(__xludf.DUMMYFUNCTION("rank(J402,FILTER(J:J,R:R=R402))"),5.0)</f>
        <v>5</v>
      </c>
      <c r="T402" s="6">
        <f t="shared" si="6"/>
        <v>7</v>
      </c>
      <c r="U402" s="6">
        <f t="shared" si="7"/>
        <v>5</v>
      </c>
      <c r="V402" s="42">
        <f>averageif(AllData!A:A,B402,AllData!R:R)/vlookup(B402,AllData!A:O,15,0)</f>
        <v>92.82051282</v>
      </c>
      <c r="W402" s="6"/>
    </row>
    <row r="403" ht="14.25" customHeight="1">
      <c r="A403" s="6" t="str">
        <f t="shared" si="1"/>
        <v>2013Rooney/Jackson16</v>
      </c>
      <c r="B403" s="6">
        <v>2013.0</v>
      </c>
      <c r="C403" s="6" t="s">
        <v>57</v>
      </c>
      <c r="D403" s="6" t="s">
        <v>153</v>
      </c>
      <c r="E403" s="34">
        <v>42223.0</v>
      </c>
      <c r="F403" s="6" t="s">
        <v>1626</v>
      </c>
      <c r="G403" s="6" t="s">
        <v>114</v>
      </c>
      <c r="H403" s="6" t="s">
        <v>1627</v>
      </c>
      <c r="I403" s="35" t="s">
        <v>54</v>
      </c>
      <c r="J403" s="36">
        <v>101.5</v>
      </c>
      <c r="K403" s="36">
        <v>102.8</v>
      </c>
      <c r="L403" s="36">
        <f t="shared" si="2"/>
        <v>0</v>
      </c>
      <c r="M403" s="36" t="str">
        <f t="shared" si="3"/>
        <v>Playoffs</v>
      </c>
      <c r="N403" s="36" t="str">
        <f>IFERROR(VLOOKUP(I403,Mapped_Owner,2,0),"")</f>
        <v>Tayski</v>
      </c>
      <c r="O403" s="6">
        <f>VLOOKUP(D403,'Mapped Opponent'!$G$4:$H$22,2,0)</f>
        <v>16</v>
      </c>
      <c r="P403" s="6"/>
      <c r="Q403" s="6" t="str">
        <f t="shared" si="4"/>
        <v>Week 16</v>
      </c>
      <c r="R403" s="6" t="str">
        <f t="shared" si="5"/>
        <v>2013Round 2</v>
      </c>
      <c r="S403" s="6">
        <f>IFERROR(__xludf.DUMMYFUNCTION("rank(J403,FILTER(J:J,R:R=R403))"),7.0)</f>
        <v>7</v>
      </c>
      <c r="T403" s="6">
        <f t="shared" si="6"/>
        <v>5</v>
      </c>
      <c r="U403" s="6">
        <f t="shared" si="7"/>
        <v>7</v>
      </c>
      <c r="V403" s="42">
        <f>averageif(AllData!A:A,B403,AllData!R:R)/vlookup(B403,AllData!A:O,15,0)</f>
        <v>92.82051282</v>
      </c>
      <c r="W403" s="6"/>
    </row>
    <row r="404" ht="14.25" customHeight="1">
      <c r="A404" s="6" t="str">
        <f t="shared" si="1"/>
        <v>2013Buser16</v>
      </c>
      <c r="B404" s="6">
        <v>2013.0</v>
      </c>
      <c r="C404" s="6" t="s">
        <v>47</v>
      </c>
      <c r="D404" s="6" t="s">
        <v>153</v>
      </c>
      <c r="E404" s="34">
        <v>42253.0</v>
      </c>
      <c r="F404" s="6" t="s">
        <v>1628</v>
      </c>
      <c r="G404" s="6" t="s">
        <v>114</v>
      </c>
      <c r="H404" s="6" t="s">
        <v>1629</v>
      </c>
      <c r="I404" s="35" t="s">
        <v>64</v>
      </c>
      <c r="J404" s="36">
        <v>110.9</v>
      </c>
      <c r="K404" s="36">
        <v>96.3</v>
      </c>
      <c r="L404" s="36">
        <f t="shared" si="2"/>
        <v>1</v>
      </c>
      <c r="M404" s="36" t="str">
        <f t="shared" si="3"/>
        <v>Playoffs</v>
      </c>
      <c r="N404" s="36" t="str">
        <f>IFERROR(VLOOKUP(I404,Mapped_Owner,2,0),"")</f>
        <v>Hudspeath</v>
      </c>
      <c r="O404" s="6">
        <f>VLOOKUP(D404,'Mapped Opponent'!$G$4:$H$22,2,0)</f>
        <v>16</v>
      </c>
      <c r="P404" s="6"/>
      <c r="Q404" s="6" t="str">
        <f t="shared" si="4"/>
        <v>Week 16</v>
      </c>
      <c r="R404" s="6" t="str">
        <f t="shared" si="5"/>
        <v>2013Round 2</v>
      </c>
      <c r="S404" s="6">
        <f>IFERROR(__xludf.DUMMYFUNCTION("rank(J404,FILTER(J:J,R:R=R404))"),3.0)</f>
        <v>3</v>
      </c>
      <c r="T404" s="6">
        <f t="shared" si="6"/>
        <v>9</v>
      </c>
      <c r="U404" s="6">
        <f t="shared" si="7"/>
        <v>3</v>
      </c>
      <c r="V404" s="42">
        <f>averageif(AllData!A:A,B404,AllData!R:R)/vlookup(B404,AllData!A:O,15,0)</f>
        <v>92.82051282</v>
      </c>
      <c r="W404" s="6"/>
    </row>
    <row r="405" ht="14.25" customHeight="1">
      <c r="A405" s="6" t="str">
        <f t="shared" si="1"/>
        <v>2013Pierson16</v>
      </c>
      <c r="B405" s="6">
        <v>2013.0</v>
      </c>
      <c r="C405" s="6" t="s">
        <v>92</v>
      </c>
      <c r="D405" s="6" t="s">
        <v>153</v>
      </c>
      <c r="E405" s="34">
        <v>42164.0</v>
      </c>
      <c r="F405" s="6" t="s">
        <v>1630</v>
      </c>
      <c r="G405" s="6" t="s">
        <v>114</v>
      </c>
      <c r="H405" s="6" t="s">
        <v>1631</v>
      </c>
      <c r="I405" s="35" t="s">
        <v>80</v>
      </c>
      <c r="J405" s="36">
        <v>118.8</v>
      </c>
      <c r="K405" s="36">
        <v>62.5</v>
      </c>
      <c r="L405" s="36">
        <f t="shared" si="2"/>
        <v>1</v>
      </c>
      <c r="M405" s="36" t="str">
        <f t="shared" si="3"/>
        <v>Playoffs</v>
      </c>
      <c r="N405" s="36" t="str">
        <f>IFERROR(VLOOKUP(I405,Mapped_Owner,2,0),"")</f>
        <v>Fellows</v>
      </c>
      <c r="O405" s="6">
        <f>VLOOKUP(D405,'Mapped Opponent'!$G$4:$H$22,2,0)</f>
        <v>16</v>
      </c>
      <c r="P405" s="6"/>
      <c r="Q405" s="6" t="str">
        <f t="shared" si="4"/>
        <v>Week 16</v>
      </c>
      <c r="R405" s="6" t="str">
        <f t="shared" si="5"/>
        <v>2013Round 2</v>
      </c>
      <c r="S405" s="6">
        <f>IFERROR(__xludf.DUMMYFUNCTION("rank(J405,FILTER(J:J,R:R=R405))"),2.0)</f>
        <v>2</v>
      </c>
      <c r="T405" s="6">
        <f t="shared" si="6"/>
        <v>10</v>
      </c>
      <c r="U405" s="6">
        <f t="shared" si="7"/>
        <v>2</v>
      </c>
      <c r="V405" s="42">
        <f>averageif(AllData!A:A,B405,AllData!R:R)/vlookup(B405,AllData!A:O,15,0)</f>
        <v>92.82051282</v>
      </c>
      <c r="W405" s="6"/>
    </row>
    <row r="406" ht="14.25" customHeight="1">
      <c r="A406" s="6" t="str">
        <f t="shared" si="1"/>
        <v>2013Cock16</v>
      </c>
      <c r="B406" s="6">
        <v>2013.0</v>
      </c>
      <c r="C406" s="6" t="s">
        <v>72</v>
      </c>
      <c r="D406" s="6" t="s">
        <v>153</v>
      </c>
      <c r="E406" s="34">
        <v>42253.0</v>
      </c>
      <c r="F406" s="6" t="s">
        <v>1632</v>
      </c>
      <c r="G406" s="6" t="s">
        <v>125</v>
      </c>
      <c r="H406" s="6" t="s">
        <v>1633</v>
      </c>
      <c r="I406" s="35" t="s">
        <v>68</v>
      </c>
      <c r="J406" s="36">
        <v>132.2</v>
      </c>
      <c r="K406" s="36">
        <v>102.5</v>
      </c>
      <c r="L406" s="36">
        <f t="shared" si="2"/>
        <v>1</v>
      </c>
      <c r="M406" s="36" t="str">
        <f t="shared" si="3"/>
        <v>Playoffs</v>
      </c>
      <c r="N406" s="36" t="str">
        <f>IFERROR(VLOOKUP(I406,Mapped_Owner,2,0),"")</f>
        <v>Riley</v>
      </c>
      <c r="O406" s="6">
        <f>VLOOKUP(D406,'Mapped Opponent'!$G$4:$H$22,2,0)</f>
        <v>16</v>
      </c>
      <c r="P406" s="6"/>
      <c r="Q406" s="6" t="str">
        <f t="shared" si="4"/>
        <v>Week 16</v>
      </c>
      <c r="R406" s="6" t="str">
        <f t="shared" si="5"/>
        <v>2013Round 2</v>
      </c>
      <c r="S406" s="6">
        <f>IFERROR(__xludf.DUMMYFUNCTION("rank(J406,FILTER(J:J,R:R=R406))"),1.0)</f>
        <v>1</v>
      </c>
      <c r="T406" s="6">
        <f t="shared" si="6"/>
        <v>11</v>
      </c>
      <c r="U406" s="6">
        <f t="shared" si="7"/>
        <v>1</v>
      </c>
      <c r="V406" s="42">
        <f>averageif(AllData!A:A,B406,AllData!R:R)/vlookup(B406,AllData!A:O,15,0)</f>
        <v>92.82051282</v>
      </c>
      <c r="W406" s="6"/>
    </row>
    <row r="407" ht="14.25" customHeight="1">
      <c r="A407" s="6" t="str">
        <f t="shared" si="1"/>
        <v>2013Tayski16</v>
      </c>
      <c r="B407" s="6">
        <v>2013.0</v>
      </c>
      <c r="C407" s="6" t="s">
        <v>52</v>
      </c>
      <c r="D407" s="6" t="s">
        <v>153</v>
      </c>
      <c r="E407" s="34">
        <v>42252.0</v>
      </c>
      <c r="F407" s="6" t="s">
        <v>1634</v>
      </c>
      <c r="G407" s="6" t="s">
        <v>125</v>
      </c>
      <c r="H407" s="6" t="s">
        <v>1635</v>
      </c>
      <c r="I407" s="35" t="s">
        <v>58</v>
      </c>
      <c r="J407" s="36">
        <v>102.8</v>
      </c>
      <c r="K407" s="36">
        <v>101.5</v>
      </c>
      <c r="L407" s="36">
        <f t="shared" si="2"/>
        <v>1</v>
      </c>
      <c r="M407" s="36" t="str">
        <f t="shared" si="3"/>
        <v>Playoffs</v>
      </c>
      <c r="N407" s="36" t="str">
        <f>IFERROR(VLOOKUP(I407,Mapped_Owner,2,0),"")</f>
        <v>Rooney/Jackson</v>
      </c>
      <c r="O407" s="6">
        <f>VLOOKUP(D407,'Mapped Opponent'!$G$4:$H$22,2,0)</f>
        <v>16</v>
      </c>
      <c r="P407" s="6"/>
      <c r="Q407" s="6" t="str">
        <f t="shared" si="4"/>
        <v>Week 16</v>
      </c>
      <c r="R407" s="6" t="str">
        <f t="shared" si="5"/>
        <v>2013Round 2</v>
      </c>
      <c r="S407" s="6">
        <f>IFERROR(__xludf.DUMMYFUNCTION("rank(J407,FILTER(J:J,R:R=R407))"),4.0)</f>
        <v>4</v>
      </c>
      <c r="T407" s="6">
        <f t="shared" si="6"/>
        <v>8</v>
      </c>
      <c r="U407" s="6">
        <f t="shared" si="7"/>
        <v>4</v>
      </c>
      <c r="V407" s="42">
        <f>averageif(AllData!A:A,B407,AllData!R:R)/vlookup(B407,AllData!A:O,15,0)</f>
        <v>92.82051282</v>
      </c>
      <c r="W407" s="6"/>
    </row>
    <row r="408" ht="14.25" customHeight="1">
      <c r="A408" s="6" t="str">
        <f t="shared" si="1"/>
        <v>2013KnardDawg16</v>
      </c>
      <c r="B408" s="6">
        <v>2013.0</v>
      </c>
      <c r="C408" s="6" t="s">
        <v>86</v>
      </c>
      <c r="D408" s="6" t="s">
        <v>153</v>
      </c>
      <c r="E408" s="34">
        <v>42193.0</v>
      </c>
      <c r="F408" s="6" t="s">
        <v>1636</v>
      </c>
      <c r="G408" s="6" t="s">
        <v>114</v>
      </c>
      <c r="H408" s="6" t="s">
        <v>1637</v>
      </c>
      <c r="I408" s="35" t="s">
        <v>77</v>
      </c>
      <c r="J408" s="36">
        <v>67.6</v>
      </c>
      <c r="K408" s="36">
        <v>86.8</v>
      </c>
      <c r="L408" s="36">
        <f t="shared" si="2"/>
        <v>0</v>
      </c>
      <c r="M408" s="36" t="str">
        <f t="shared" si="3"/>
        <v>Playoffs</v>
      </c>
      <c r="N408" s="36" t="str">
        <f>IFERROR(VLOOKUP(I408,Mapped_Owner,2,0),"")</f>
        <v>Salty</v>
      </c>
      <c r="O408" s="6">
        <f>VLOOKUP(D408,'Mapped Opponent'!$G$4:$H$22,2,0)</f>
        <v>16</v>
      </c>
      <c r="P408" s="6"/>
      <c r="Q408" s="6" t="str">
        <f t="shared" si="4"/>
        <v>Week 16</v>
      </c>
      <c r="R408" s="6" t="str">
        <f t="shared" si="5"/>
        <v>2013Round 2</v>
      </c>
      <c r="S408" s="6">
        <f>IFERROR(__xludf.DUMMYFUNCTION("rank(J408,FILTER(J:J,R:R=R408))"),11.0)</f>
        <v>11</v>
      </c>
      <c r="T408" s="6">
        <f t="shared" si="6"/>
        <v>1</v>
      </c>
      <c r="U408" s="6">
        <f t="shared" si="7"/>
        <v>11</v>
      </c>
      <c r="V408" s="42">
        <f>averageif(AllData!A:A,B408,AllData!R:R)/vlookup(B408,AllData!A:O,15,0)</f>
        <v>92.82051282</v>
      </c>
      <c r="W408" s="6"/>
    </row>
    <row r="409" ht="14.25" customHeight="1">
      <c r="A409" s="6" t="str">
        <f t="shared" si="1"/>
        <v>2013T-How16</v>
      </c>
      <c r="B409" s="6">
        <v>2013.0</v>
      </c>
      <c r="C409" s="6" t="s">
        <v>82</v>
      </c>
      <c r="D409" s="6" t="s">
        <v>153</v>
      </c>
      <c r="E409" s="34">
        <v>42164.0</v>
      </c>
      <c r="F409" s="6" t="s">
        <v>1638</v>
      </c>
      <c r="G409" s="6" t="s">
        <v>125</v>
      </c>
      <c r="H409" s="6" t="s">
        <v>1639</v>
      </c>
      <c r="I409" s="35" t="s">
        <v>91</v>
      </c>
      <c r="J409" s="36">
        <v>93.9</v>
      </c>
      <c r="K409" s="36">
        <v>101.7</v>
      </c>
      <c r="L409" s="36">
        <f t="shared" si="2"/>
        <v>0</v>
      </c>
      <c r="M409" s="36" t="str">
        <f t="shared" si="3"/>
        <v>Playoffs</v>
      </c>
      <c r="N409" s="36" t="str">
        <f>IFERROR(VLOOKUP(I409,Mapped_Owner,2,0),"")</f>
        <v>Shep</v>
      </c>
      <c r="O409" s="6">
        <f>VLOOKUP(D409,'Mapped Opponent'!$G$4:$H$22,2,0)</f>
        <v>16</v>
      </c>
      <c r="P409" s="6"/>
      <c r="Q409" s="6" t="str">
        <f t="shared" si="4"/>
        <v>Week 16</v>
      </c>
      <c r="R409" s="6" t="str">
        <f t="shared" si="5"/>
        <v>2013Round 2</v>
      </c>
      <c r="S409" s="6">
        <f>IFERROR(__xludf.DUMMYFUNCTION("rank(J409,FILTER(J:J,R:R=R409))"),9.0)</f>
        <v>9</v>
      </c>
      <c r="T409" s="6">
        <f t="shared" si="6"/>
        <v>3</v>
      </c>
      <c r="U409" s="6">
        <f t="shared" si="7"/>
        <v>9</v>
      </c>
      <c r="V409" s="42">
        <f>averageif(AllData!A:A,B409,AllData!R:R)/vlookup(B409,AllData!A:O,15,0)</f>
        <v>92.82051282</v>
      </c>
      <c r="W409" s="6"/>
    </row>
    <row r="410" ht="14.25" customHeight="1">
      <c r="A410" s="6" t="str">
        <f t="shared" si="1"/>
        <v>2013Hudspeath17</v>
      </c>
      <c r="B410" s="6">
        <v>2013.0</v>
      </c>
      <c r="C410" s="6" t="s">
        <v>39</v>
      </c>
      <c r="D410" s="6" t="s">
        <v>154</v>
      </c>
      <c r="E410" s="34">
        <v>42253.0</v>
      </c>
      <c r="F410" s="6" t="s">
        <v>1640</v>
      </c>
      <c r="G410" s="6" t="s">
        <v>125</v>
      </c>
      <c r="H410" s="6" t="s">
        <v>1641</v>
      </c>
      <c r="I410" s="35" t="s">
        <v>58</v>
      </c>
      <c r="J410" s="36">
        <v>79.6</v>
      </c>
      <c r="K410" s="36">
        <v>99.8</v>
      </c>
      <c r="L410" s="36">
        <f t="shared" si="2"/>
        <v>0</v>
      </c>
      <c r="M410" s="36" t="str">
        <f t="shared" si="3"/>
        <v>Playoffs</v>
      </c>
      <c r="N410" s="36" t="str">
        <f>IFERROR(VLOOKUP(I410,Mapped_Owner,2,0),"")</f>
        <v>Rooney/Jackson</v>
      </c>
      <c r="O410" s="6">
        <f>VLOOKUP(D410,'Mapped Opponent'!$G$4:$H$22,2,0)</f>
        <v>17</v>
      </c>
      <c r="P410" s="6"/>
      <c r="Q410" s="6" t="str">
        <f t="shared" si="4"/>
        <v>Week 17</v>
      </c>
      <c r="R410" s="6" t="str">
        <f t="shared" si="5"/>
        <v>2013Round 3</v>
      </c>
      <c r="S410" s="6">
        <f>IFERROR(__xludf.DUMMYFUNCTION("rank(J410,FILTER(J:J,R:R=R410))"),6.0)</f>
        <v>6</v>
      </c>
      <c r="T410" s="6">
        <f t="shared" si="6"/>
        <v>6</v>
      </c>
      <c r="U410" s="6">
        <f t="shared" si="7"/>
        <v>6</v>
      </c>
      <c r="V410" s="42">
        <f>averageif(AllData!A:A,B410,AllData!R:R)/vlookup(B410,AllData!A:O,15,0)</f>
        <v>92.82051282</v>
      </c>
      <c r="W410" s="6"/>
    </row>
    <row r="411" ht="14.25" customHeight="1">
      <c r="A411" s="6" t="str">
        <f t="shared" si="1"/>
        <v>2013Salty17</v>
      </c>
      <c r="B411" s="6">
        <v>2013.0</v>
      </c>
      <c r="C411" s="6" t="s">
        <v>76</v>
      </c>
      <c r="D411" s="6" t="s">
        <v>154</v>
      </c>
      <c r="E411" s="34">
        <v>42224.0</v>
      </c>
      <c r="F411" s="6" t="s">
        <v>1642</v>
      </c>
      <c r="G411" s="6" t="s">
        <v>125</v>
      </c>
      <c r="H411" s="6" t="s">
        <v>1643</v>
      </c>
      <c r="I411" s="35" t="s">
        <v>93</v>
      </c>
      <c r="J411" s="36">
        <v>51.8</v>
      </c>
      <c r="K411" s="36">
        <v>56.9</v>
      </c>
      <c r="L411" s="36">
        <f t="shared" si="2"/>
        <v>0</v>
      </c>
      <c r="M411" s="36" t="str">
        <f t="shared" si="3"/>
        <v>Playoffs</v>
      </c>
      <c r="N411" s="36" t="str">
        <f>IFERROR(VLOOKUP(I411,Mapped_Owner,2,0),"")</f>
        <v>Pierson</v>
      </c>
      <c r="O411" s="6">
        <f>VLOOKUP(D411,'Mapped Opponent'!$G$4:$H$22,2,0)</f>
        <v>17</v>
      </c>
      <c r="P411" s="6"/>
      <c r="Q411" s="6" t="str">
        <f t="shared" si="4"/>
        <v>Week 17</v>
      </c>
      <c r="R411" s="6" t="str">
        <f t="shared" si="5"/>
        <v>2013Round 3</v>
      </c>
      <c r="S411" s="6">
        <f>IFERROR(__xludf.DUMMYFUNCTION("rank(J411,FILTER(J:J,R:R=R411))"),12.0)</f>
        <v>12</v>
      </c>
      <c r="T411" s="6">
        <f t="shared" si="6"/>
        <v>0</v>
      </c>
      <c r="U411" s="6">
        <f t="shared" si="7"/>
        <v>12</v>
      </c>
      <c r="V411" s="42">
        <f>averageif(AllData!A:A,B411,AllData!R:R)/vlookup(B411,AllData!A:O,15,0)</f>
        <v>92.82051282</v>
      </c>
      <c r="W411" s="6"/>
    </row>
    <row r="412" ht="14.25" customHeight="1">
      <c r="A412" s="6" t="str">
        <f t="shared" si="1"/>
        <v>2013Fellows17</v>
      </c>
      <c r="B412" s="6">
        <v>2013.0</v>
      </c>
      <c r="C412" s="6" t="s">
        <v>79</v>
      </c>
      <c r="D412" s="6" t="s">
        <v>154</v>
      </c>
      <c r="E412" s="34">
        <v>42165.0</v>
      </c>
      <c r="F412" s="6" t="s">
        <v>1644</v>
      </c>
      <c r="G412" s="6" t="s">
        <v>125</v>
      </c>
      <c r="H412" s="6" t="s">
        <v>1645</v>
      </c>
      <c r="I412" s="35" t="s">
        <v>85</v>
      </c>
      <c r="J412" s="36">
        <v>71.5</v>
      </c>
      <c r="K412" s="36">
        <v>80.5</v>
      </c>
      <c r="L412" s="36">
        <f t="shared" si="2"/>
        <v>0</v>
      </c>
      <c r="M412" s="36" t="str">
        <f t="shared" si="3"/>
        <v>Playoffs</v>
      </c>
      <c r="N412" s="36" t="str">
        <f>IFERROR(VLOOKUP(I412,Mapped_Owner,2,0),"")</f>
        <v>T-How</v>
      </c>
      <c r="O412" s="6">
        <f>VLOOKUP(D412,'Mapped Opponent'!$G$4:$H$22,2,0)</f>
        <v>17</v>
      </c>
      <c r="P412" s="6"/>
      <c r="Q412" s="6" t="str">
        <f t="shared" si="4"/>
        <v>Week 17</v>
      </c>
      <c r="R412" s="6" t="str">
        <f t="shared" si="5"/>
        <v>2013Round 3</v>
      </c>
      <c r="S412" s="6">
        <f>IFERROR(__xludf.DUMMYFUNCTION("rank(J412,FILTER(J:J,R:R=R412))"),9.0)</f>
        <v>9</v>
      </c>
      <c r="T412" s="6">
        <f t="shared" si="6"/>
        <v>3</v>
      </c>
      <c r="U412" s="6">
        <f t="shared" si="7"/>
        <v>9</v>
      </c>
      <c r="V412" s="42">
        <f>averageif(AllData!A:A,B412,AllData!R:R)/vlookup(B412,AllData!A:O,15,0)</f>
        <v>92.82051282</v>
      </c>
      <c r="W412" s="6"/>
    </row>
    <row r="413" ht="14.25" customHeight="1">
      <c r="A413" s="6" t="str">
        <f t="shared" si="1"/>
        <v>2013Shep17</v>
      </c>
      <c r="B413" s="6">
        <v>2013.0</v>
      </c>
      <c r="C413" s="6" t="s">
        <v>89</v>
      </c>
      <c r="D413" s="6" t="s">
        <v>154</v>
      </c>
      <c r="E413" s="34">
        <v>42165.0</v>
      </c>
      <c r="F413" s="6" t="s">
        <v>1646</v>
      </c>
      <c r="G413" s="6" t="s">
        <v>114</v>
      </c>
      <c r="H413" s="6" t="s">
        <v>1647</v>
      </c>
      <c r="I413" s="35" t="s">
        <v>132</v>
      </c>
      <c r="J413" s="36">
        <v>117.0</v>
      </c>
      <c r="K413" s="36">
        <v>69.5</v>
      </c>
      <c r="L413" s="36">
        <f t="shared" si="2"/>
        <v>1</v>
      </c>
      <c r="M413" s="36" t="str">
        <f t="shared" si="3"/>
        <v>Playoffs</v>
      </c>
      <c r="N413" s="36" t="str">
        <f>IFERROR(VLOOKUP(I413,Mapped_Owner,2,0),"")</f>
        <v>KnardDawg</v>
      </c>
      <c r="O413" s="6">
        <f>VLOOKUP(D413,'Mapped Opponent'!$G$4:$H$22,2,0)</f>
        <v>17</v>
      </c>
      <c r="P413" s="6"/>
      <c r="Q413" s="6" t="str">
        <f t="shared" si="4"/>
        <v>Week 17</v>
      </c>
      <c r="R413" s="6" t="str">
        <f t="shared" si="5"/>
        <v>2013Round 3</v>
      </c>
      <c r="S413" s="6">
        <f>IFERROR(__xludf.DUMMYFUNCTION("rank(J413,FILTER(J:J,R:R=R413))"),2.0)</f>
        <v>2</v>
      </c>
      <c r="T413" s="6">
        <f t="shared" si="6"/>
        <v>10</v>
      </c>
      <c r="U413" s="6">
        <f t="shared" si="7"/>
        <v>2</v>
      </c>
      <c r="V413" s="42">
        <f>averageif(AllData!A:A,B413,AllData!R:R)/vlookup(B413,AllData!A:O,15,0)</f>
        <v>92.82051282</v>
      </c>
      <c r="W413" s="6"/>
    </row>
    <row r="414" ht="14.25" customHeight="1">
      <c r="A414" s="6" t="str">
        <f t="shared" si="1"/>
        <v>2013Riley17</v>
      </c>
      <c r="B414" s="6">
        <v>2013.0</v>
      </c>
      <c r="C414" s="6" t="s">
        <v>67</v>
      </c>
      <c r="D414" s="6" t="s">
        <v>154</v>
      </c>
      <c r="E414" s="34">
        <v>42224.0</v>
      </c>
      <c r="F414" s="6" t="s">
        <v>1648</v>
      </c>
      <c r="G414" s="6" t="s">
        <v>114</v>
      </c>
      <c r="H414" s="6" t="s">
        <v>1649</v>
      </c>
      <c r="I414" s="35" t="s">
        <v>99</v>
      </c>
      <c r="J414" s="36">
        <v>103.1</v>
      </c>
      <c r="K414" s="36">
        <v>75.3</v>
      </c>
      <c r="L414" s="36">
        <f t="shared" si="2"/>
        <v>1</v>
      </c>
      <c r="M414" s="36" t="str">
        <f t="shared" si="3"/>
        <v>Playoffs</v>
      </c>
      <c r="N414" s="36" t="str">
        <f>IFERROR(VLOOKUP(I414,Mapped_Owner,2,0),"")</f>
        <v>Cock</v>
      </c>
      <c r="O414" s="6">
        <f>VLOOKUP(D414,'Mapped Opponent'!$G$4:$H$22,2,0)</f>
        <v>17</v>
      </c>
      <c r="P414" s="6"/>
      <c r="Q414" s="6" t="str">
        <f t="shared" si="4"/>
        <v>Week 17</v>
      </c>
      <c r="R414" s="6" t="str">
        <f t="shared" si="5"/>
        <v>2013Round 3</v>
      </c>
      <c r="S414" s="6">
        <f>IFERROR(__xludf.DUMMYFUNCTION("rank(J414,FILTER(J:J,R:R=R414))"),3.0)</f>
        <v>3</v>
      </c>
      <c r="T414" s="6">
        <f t="shared" si="6"/>
        <v>9</v>
      </c>
      <c r="U414" s="6">
        <f t="shared" si="7"/>
        <v>3</v>
      </c>
      <c r="V414" s="42">
        <f>averageif(AllData!A:A,B414,AllData!R:R)/vlookup(B414,AllData!A:O,15,0)</f>
        <v>92.82051282</v>
      </c>
      <c r="W414" s="6"/>
    </row>
    <row r="415" ht="14.25" customHeight="1">
      <c r="A415" s="6" t="str">
        <f t="shared" si="1"/>
        <v>2013Rooney/Jackson17</v>
      </c>
      <c r="B415" s="6">
        <v>2013.0</v>
      </c>
      <c r="C415" s="6" t="s">
        <v>57</v>
      </c>
      <c r="D415" s="6" t="s">
        <v>154</v>
      </c>
      <c r="E415" s="34">
        <v>42254.0</v>
      </c>
      <c r="F415" s="6" t="s">
        <v>1650</v>
      </c>
      <c r="G415" s="6" t="s">
        <v>114</v>
      </c>
      <c r="H415" s="6" t="s">
        <v>1651</v>
      </c>
      <c r="I415" s="35" t="s">
        <v>64</v>
      </c>
      <c r="J415" s="36">
        <v>99.8</v>
      </c>
      <c r="K415" s="36">
        <v>79.6</v>
      </c>
      <c r="L415" s="36">
        <f t="shared" si="2"/>
        <v>1</v>
      </c>
      <c r="M415" s="36" t="str">
        <f t="shared" si="3"/>
        <v>Playoffs</v>
      </c>
      <c r="N415" s="36" t="str">
        <f>IFERROR(VLOOKUP(I415,Mapped_Owner,2,0),"")</f>
        <v>Hudspeath</v>
      </c>
      <c r="O415" s="6">
        <f>VLOOKUP(D415,'Mapped Opponent'!$G$4:$H$22,2,0)</f>
        <v>17</v>
      </c>
      <c r="P415" s="6"/>
      <c r="Q415" s="6" t="str">
        <f t="shared" si="4"/>
        <v>Week 17</v>
      </c>
      <c r="R415" s="6" t="str">
        <f t="shared" si="5"/>
        <v>2013Round 3</v>
      </c>
      <c r="S415" s="6">
        <f>IFERROR(__xludf.DUMMYFUNCTION("rank(J415,FILTER(J:J,R:R=R415))"),4.0)</f>
        <v>4</v>
      </c>
      <c r="T415" s="6">
        <f t="shared" si="6"/>
        <v>8</v>
      </c>
      <c r="U415" s="6">
        <f t="shared" si="7"/>
        <v>4</v>
      </c>
      <c r="V415" s="42">
        <f>averageif(AllData!A:A,B415,AllData!R:R)/vlookup(B415,AllData!A:O,15,0)</f>
        <v>92.82051282</v>
      </c>
      <c r="W415" s="6"/>
    </row>
    <row r="416" ht="14.25" customHeight="1">
      <c r="A416" s="6" t="str">
        <f t="shared" si="1"/>
        <v>2013Buser17</v>
      </c>
      <c r="B416" s="6">
        <v>2013.0</v>
      </c>
      <c r="C416" s="6" t="s">
        <v>47</v>
      </c>
      <c r="D416" s="6" t="s">
        <v>154</v>
      </c>
      <c r="E416" s="34">
        <v>42283.0</v>
      </c>
      <c r="F416" s="6" t="s">
        <v>1652</v>
      </c>
      <c r="G416" s="6" t="s">
        <v>114</v>
      </c>
      <c r="H416" s="6" t="s">
        <v>1653</v>
      </c>
      <c r="I416" s="35" t="s">
        <v>54</v>
      </c>
      <c r="J416" s="36">
        <v>121.4</v>
      </c>
      <c r="K416" s="36">
        <v>79.0</v>
      </c>
      <c r="L416" s="36">
        <f t="shared" si="2"/>
        <v>1</v>
      </c>
      <c r="M416" s="36" t="str">
        <f t="shared" si="3"/>
        <v>Playoffs</v>
      </c>
      <c r="N416" s="36" t="str">
        <f>IFERROR(VLOOKUP(I416,Mapped_Owner,2,0),"")</f>
        <v>Tayski</v>
      </c>
      <c r="O416" s="6">
        <f>VLOOKUP(D416,'Mapped Opponent'!$G$4:$H$22,2,0)</f>
        <v>17</v>
      </c>
      <c r="P416" s="6"/>
      <c r="Q416" s="6" t="str">
        <f t="shared" si="4"/>
        <v>Week 17</v>
      </c>
      <c r="R416" s="6" t="str">
        <f t="shared" si="5"/>
        <v>2013Round 3</v>
      </c>
      <c r="S416" s="6">
        <f>IFERROR(__xludf.DUMMYFUNCTION("rank(J416,FILTER(J:J,R:R=R416))"),1.0)</f>
        <v>1</v>
      </c>
      <c r="T416" s="6">
        <f t="shared" si="6"/>
        <v>11</v>
      </c>
      <c r="U416" s="6">
        <f t="shared" si="7"/>
        <v>1</v>
      </c>
      <c r="V416" s="42">
        <f>averageif(AllData!A:A,B416,AllData!R:R)/vlookup(B416,AllData!A:O,15,0)</f>
        <v>92.82051282</v>
      </c>
      <c r="W416" s="6"/>
    </row>
    <row r="417" ht="14.25" customHeight="1">
      <c r="A417" s="6" t="str">
        <f t="shared" si="1"/>
        <v>2013Pierson17</v>
      </c>
      <c r="B417" s="6">
        <v>2013.0</v>
      </c>
      <c r="C417" s="6" t="s">
        <v>92</v>
      </c>
      <c r="D417" s="6" t="s">
        <v>154</v>
      </c>
      <c r="E417" s="34">
        <v>42194.0</v>
      </c>
      <c r="F417" s="6" t="s">
        <v>1654</v>
      </c>
      <c r="G417" s="6" t="s">
        <v>114</v>
      </c>
      <c r="H417" s="6" t="s">
        <v>1655</v>
      </c>
      <c r="I417" s="35" t="s">
        <v>77</v>
      </c>
      <c r="J417" s="36">
        <v>56.9</v>
      </c>
      <c r="K417" s="36">
        <v>51.8</v>
      </c>
      <c r="L417" s="36">
        <f t="shared" si="2"/>
        <v>1</v>
      </c>
      <c r="M417" s="36" t="str">
        <f t="shared" si="3"/>
        <v>Playoffs</v>
      </c>
      <c r="N417" s="36" t="str">
        <f>IFERROR(VLOOKUP(I417,Mapped_Owner,2,0),"")</f>
        <v>Salty</v>
      </c>
      <c r="O417" s="6">
        <f>VLOOKUP(D417,'Mapped Opponent'!$G$4:$H$22,2,0)</f>
        <v>17</v>
      </c>
      <c r="P417" s="6"/>
      <c r="Q417" s="6" t="str">
        <f t="shared" si="4"/>
        <v>Week 17</v>
      </c>
      <c r="R417" s="6" t="str">
        <f t="shared" si="5"/>
        <v>2013Round 3</v>
      </c>
      <c r="S417" s="6">
        <f>IFERROR(__xludf.DUMMYFUNCTION("rank(J417,FILTER(J:J,R:R=R417))"),11.0)</f>
        <v>11</v>
      </c>
      <c r="T417" s="6">
        <f t="shared" si="6"/>
        <v>1</v>
      </c>
      <c r="U417" s="6">
        <f t="shared" si="7"/>
        <v>11</v>
      </c>
      <c r="V417" s="42">
        <f>averageif(AllData!A:A,B417,AllData!R:R)/vlookup(B417,AllData!A:O,15,0)</f>
        <v>92.82051282</v>
      </c>
      <c r="W417" s="6"/>
    </row>
    <row r="418" ht="14.25" customHeight="1">
      <c r="A418" s="6" t="str">
        <f t="shared" si="1"/>
        <v>2013Cock17</v>
      </c>
      <c r="B418" s="6">
        <v>2013.0</v>
      </c>
      <c r="C418" s="6" t="s">
        <v>72</v>
      </c>
      <c r="D418" s="6" t="s">
        <v>154</v>
      </c>
      <c r="E418" s="34">
        <v>42254.0</v>
      </c>
      <c r="F418" s="6" t="s">
        <v>1656</v>
      </c>
      <c r="G418" s="6" t="s">
        <v>125</v>
      </c>
      <c r="H418" s="6" t="s">
        <v>1657</v>
      </c>
      <c r="I418" s="35" t="s">
        <v>68</v>
      </c>
      <c r="J418" s="36">
        <v>75.3</v>
      </c>
      <c r="K418" s="36">
        <v>103.1</v>
      </c>
      <c r="L418" s="36">
        <f t="shared" si="2"/>
        <v>0</v>
      </c>
      <c r="M418" s="36" t="str">
        <f t="shared" si="3"/>
        <v>Playoffs</v>
      </c>
      <c r="N418" s="36" t="str">
        <f>IFERROR(VLOOKUP(I418,Mapped_Owner,2,0),"")</f>
        <v>Riley</v>
      </c>
      <c r="O418" s="6">
        <f>VLOOKUP(D418,'Mapped Opponent'!$G$4:$H$22,2,0)</f>
        <v>17</v>
      </c>
      <c r="P418" s="6"/>
      <c r="Q418" s="6" t="str">
        <f t="shared" si="4"/>
        <v>Week 17</v>
      </c>
      <c r="R418" s="6" t="str">
        <f t="shared" si="5"/>
        <v>2013Round 3</v>
      </c>
      <c r="S418" s="6">
        <f>IFERROR(__xludf.DUMMYFUNCTION("rank(J418,FILTER(J:J,R:R=R418))"),8.0)</f>
        <v>8</v>
      </c>
      <c r="T418" s="6">
        <f t="shared" si="6"/>
        <v>4</v>
      </c>
      <c r="U418" s="6">
        <f t="shared" si="7"/>
        <v>8</v>
      </c>
      <c r="V418" s="42">
        <f>averageif(AllData!A:A,B418,AllData!R:R)/vlookup(B418,AllData!A:O,15,0)</f>
        <v>92.82051282</v>
      </c>
      <c r="W418" s="6"/>
    </row>
    <row r="419" ht="14.25" customHeight="1">
      <c r="A419" s="6" t="str">
        <f t="shared" si="1"/>
        <v>2013Tayski17</v>
      </c>
      <c r="B419" s="6">
        <v>2013.0</v>
      </c>
      <c r="C419" s="6" t="s">
        <v>52</v>
      </c>
      <c r="D419" s="6" t="s">
        <v>154</v>
      </c>
      <c r="E419" s="34">
        <v>42253.0</v>
      </c>
      <c r="F419" s="6" t="s">
        <v>1658</v>
      </c>
      <c r="G419" s="6" t="s">
        <v>125</v>
      </c>
      <c r="H419" s="6" t="s">
        <v>1659</v>
      </c>
      <c r="I419" s="35" t="s">
        <v>50</v>
      </c>
      <c r="J419" s="36">
        <v>79.0</v>
      </c>
      <c r="K419" s="36">
        <v>121.4</v>
      </c>
      <c r="L419" s="36">
        <f t="shared" si="2"/>
        <v>0</v>
      </c>
      <c r="M419" s="36" t="str">
        <f t="shared" si="3"/>
        <v>Playoffs</v>
      </c>
      <c r="N419" s="36" t="str">
        <f>IFERROR(VLOOKUP(I419,Mapped_Owner,2,0),"")</f>
        <v>Buser</v>
      </c>
      <c r="O419" s="6">
        <f>VLOOKUP(D419,'Mapped Opponent'!$G$4:$H$22,2,0)</f>
        <v>17</v>
      </c>
      <c r="P419" s="6"/>
      <c r="Q419" s="6" t="str">
        <f t="shared" si="4"/>
        <v>Week 17</v>
      </c>
      <c r="R419" s="6" t="str">
        <f t="shared" si="5"/>
        <v>2013Round 3</v>
      </c>
      <c r="S419" s="6">
        <f>IFERROR(__xludf.DUMMYFUNCTION("rank(J419,FILTER(J:J,R:R=R419))"),7.0)</f>
        <v>7</v>
      </c>
      <c r="T419" s="6">
        <f t="shared" si="6"/>
        <v>5</v>
      </c>
      <c r="U419" s="6">
        <f t="shared" si="7"/>
        <v>7</v>
      </c>
      <c r="V419" s="42">
        <f>averageif(AllData!A:A,B419,AllData!R:R)/vlookup(B419,AllData!A:O,15,0)</f>
        <v>92.82051282</v>
      </c>
      <c r="W419" s="6"/>
    </row>
    <row r="420" ht="14.25" customHeight="1">
      <c r="A420" s="6" t="str">
        <f t="shared" si="1"/>
        <v>2013KnardDawg17</v>
      </c>
      <c r="B420" s="6">
        <v>2013.0</v>
      </c>
      <c r="C420" s="6" t="s">
        <v>86</v>
      </c>
      <c r="D420" s="6" t="s">
        <v>154</v>
      </c>
      <c r="E420" s="34">
        <v>42194.0</v>
      </c>
      <c r="F420" s="6" t="s">
        <v>1660</v>
      </c>
      <c r="G420" s="6" t="s">
        <v>125</v>
      </c>
      <c r="H420" s="6" t="s">
        <v>1661</v>
      </c>
      <c r="I420" s="35" t="s">
        <v>91</v>
      </c>
      <c r="J420" s="36">
        <v>69.5</v>
      </c>
      <c r="K420" s="36">
        <v>117.0</v>
      </c>
      <c r="L420" s="36">
        <f t="shared" si="2"/>
        <v>0</v>
      </c>
      <c r="M420" s="36" t="str">
        <f t="shared" si="3"/>
        <v>Playoffs</v>
      </c>
      <c r="N420" s="36" t="str">
        <f>IFERROR(VLOOKUP(I420,Mapped_Owner,2,0),"")</f>
        <v>Shep</v>
      </c>
      <c r="O420" s="6">
        <f>VLOOKUP(D420,'Mapped Opponent'!$G$4:$H$22,2,0)</f>
        <v>17</v>
      </c>
      <c r="P420" s="6"/>
      <c r="Q420" s="6" t="str">
        <f t="shared" si="4"/>
        <v>Week 17</v>
      </c>
      <c r="R420" s="6" t="str">
        <f t="shared" si="5"/>
        <v>2013Round 3</v>
      </c>
      <c r="S420" s="6">
        <f>IFERROR(__xludf.DUMMYFUNCTION("rank(J420,FILTER(J:J,R:R=R420))"),10.0)</f>
        <v>10</v>
      </c>
      <c r="T420" s="6">
        <f t="shared" si="6"/>
        <v>2</v>
      </c>
      <c r="U420" s="6">
        <f t="shared" si="7"/>
        <v>10</v>
      </c>
      <c r="V420" s="42">
        <f>averageif(AllData!A:A,B420,AllData!R:R)/vlookup(B420,AllData!A:O,15,0)</f>
        <v>92.82051282</v>
      </c>
      <c r="W420" s="6"/>
    </row>
    <row r="421" ht="14.25" customHeight="1">
      <c r="A421" s="6" t="str">
        <f t="shared" si="1"/>
        <v>2013T-How17</v>
      </c>
      <c r="B421" s="6">
        <v>2013.0</v>
      </c>
      <c r="C421" s="6" t="s">
        <v>82</v>
      </c>
      <c r="D421" s="6" t="s">
        <v>154</v>
      </c>
      <c r="E421" s="34">
        <v>42194.0</v>
      </c>
      <c r="F421" s="6" t="s">
        <v>1662</v>
      </c>
      <c r="G421" s="6" t="s">
        <v>114</v>
      </c>
      <c r="H421" s="6" t="s">
        <v>1663</v>
      </c>
      <c r="I421" s="35" t="s">
        <v>80</v>
      </c>
      <c r="J421" s="36">
        <v>80.5</v>
      </c>
      <c r="K421" s="36">
        <v>71.5</v>
      </c>
      <c r="L421" s="36">
        <f t="shared" si="2"/>
        <v>1</v>
      </c>
      <c r="M421" s="36" t="str">
        <f t="shared" si="3"/>
        <v>Playoffs</v>
      </c>
      <c r="N421" s="36" t="str">
        <f>IFERROR(VLOOKUP(I421,Mapped_Owner,2,0),"")</f>
        <v>Fellows</v>
      </c>
      <c r="O421" s="6">
        <f>VLOOKUP(D421,'Mapped Opponent'!$G$4:$H$22,2,0)</f>
        <v>17</v>
      </c>
      <c r="P421" s="6"/>
      <c r="Q421" s="6" t="str">
        <f t="shared" si="4"/>
        <v>Week 17</v>
      </c>
      <c r="R421" s="6" t="str">
        <f t="shared" si="5"/>
        <v>2013Round 3</v>
      </c>
      <c r="S421" s="6">
        <f>IFERROR(__xludf.DUMMYFUNCTION("rank(J421,FILTER(J:J,R:R=R421))"),5.0)</f>
        <v>5</v>
      </c>
      <c r="T421" s="6">
        <f t="shared" si="6"/>
        <v>7</v>
      </c>
      <c r="U421" s="6">
        <f t="shared" si="7"/>
        <v>5</v>
      </c>
      <c r="V421" s="42">
        <f>averageif(AllData!A:A,B421,AllData!R:R)/vlookup(B421,AllData!A:O,15,0)</f>
        <v>92.82051282</v>
      </c>
      <c r="W421" s="6"/>
    </row>
    <row r="422" ht="14.25" customHeight="1">
      <c r="A422" s="6" t="str">
        <f t="shared" si="1"/>
        <v>2013Hudspeath1</v>
      </c>
      <c r="B422" s="6">
        <v>2013.0</v>
      </c>
      <c r="C422" s="6" t="s">
        <v>39</v>
      </c>
      <c r="D422" s="6" t="s">
        <v>129</v>
      </c>
      <c r="E422" s="34">
        <v>36526.0</v>
      </c>
      <c r="F422" s="6" t="s">
        <v>1664</v>
      </c>
      <c r="G422" s="6" t="s">
        <v>114</v>
      </c>
      <c r="H422" s="6" t="s">
        <v>1665</v>
      </c>
      <c r="I422" s="35" t="s">
        <v>85</v>
      </c>
      <c r="J422" s="36">
        <v>103.2</v>
      </c>
      <c r="K422" s="36">
        <v>96.9</v>
      </c>
      <c r="L422" s="36">
        <f t="shared" si="2"/>
        <v>1</v>
      </c>
      <c r="M422" s="36" t="str">
        <f t="shared" si="3"/>
        <v>Regular Season</v>
      </c>
      <c r="N422" s="36" t="str">
        <f>IFERROR(VLOOKUP(I422,Mapped_Owner,2,0),"")</f>
        <v>T-How</v>
      </c>
      <c r="O422" s="6">
        <f>VLOOKUP(D422,'Mapped Opponent'!$G$4:$H$22,2,0)</f>
        <v>1</v>
      </c>
      <c r="P422" s="6"/>
      <c r="Q422" s="6" t="str">
        <f t="shared" si="4"/>
        <v>Week 1</v>
      </c>
      <c r="R422" s="6" t="str">
        <f t="shared" si="5"/>
        <v>2013Week 1</v>
      </c>
      <c r="S422" s="6">
        <f>IFERROR(__xludf.DUMMYFUNCTION("rank(J422,FILTER(J:J,R:R=R422))"),8.0)</f>
        <v>8</v>
      </c>
      <c r="T422" s="6">
        <f t="shared" si="6"/>
        <v>4</v>
      </c>
      <c r="U422" s="6">
        <f t="shared" si="7"/>
        <v>8</v>
      </c>
      <c r="V422" s="42">
        <f>averageif(AllData!A:A,B422,AllData!R:R)/vlookup(B422,AllData!A:O,15,0)</f>
        <v>92.82051282</v>
      </c>
      <c r="W422" s="6"/>
    </row>
    <row r="423" ht="14.25" customHeight="1">
      <c r="A423" s="6" t="str">
        <f t="shared" si="1"/>
        <v>2013Salty1</v>
      </c>
      <c r="B423" s="6">
        <v>2013.0</v>
      </c>
      <c r="C423" s="6" t="s">
        <v>76</v>
      </c>
      <c r="D423" s="6" t="s">
        <v>129</v>
      </c>
      <c r="E423" s="34">
        <v>36526.0</v>
      </c>
      <c r="F423" s="6" t="s">
        <v>1666</v>
      </c>
      <c r="G423" s="6" t="s">
        <v>114</v>
      </c>
      <c r="H423" s="6" t="s">
        <v>1667</v>
      </c>
      <c r="I423" s="35" t="s">
        <v>80</v>
      </c>
      <c r="J423" s="36">
        <v>125.2</v>
      </c>
      <c r="K423" s="36">
        <v>80.0</v>
      </c>
      <c r="L423" s="36">
        <f t="shared" si="2"/>
        <v>1</v>
      </c>
      <c r="M423" s="36" t="str">
        <f t="shared" si="3"/>
        <v>Regular Season</v>
      </c>
      <c r="N423" s="36" t="str">
        <f>IFERROR(VLOOKUP(I423,Mapped_Owner,2,0),"")</f>
        <v>Fellows</v>
      </c>
      <c r="O423" s="6">
        <f>VLOOKUP(D423,'Mapped Opponent'!$G$4:$H$22,2,0)</f>
        <v>1</v>
      </c>
      <c r="P423" s="6"/>
      <c r="Q423" s="6" t="str">
        <f t="shared" si="4"/>
        <v>Week 1</v>
      </c>
      <c r="R423" s="6" t="str">
        <f t="shared" si="5"/>
        <v>2013Week 1</v>
      </c>
      <c r="S423" s="6">
        <f>IFERROR(__xludf.DUMMYFUNCTION("rank(J423,FILTER(J:J,R:R=R423))"),4.0)</f>
        <v>4</v>
      </c>
      <c r="T423" s="6">
        <f t="shared" si="6"/>
        <v>8</v>
      </c>
      <c r="U423" s="6">
        <f t="shared" si="7"/>
        <v>4</v>
      </c>
      <c r="V423" s="42">
        <f>averageif(AllData!A:A,B423,AllData!R:R)/vlookup(B423,AllData!A:O,15,0)</f>
        <v>92.82051282</v>
      </c>
      <c r="W423" s="6"/>
    </row>
    <row r="424" ht="14.25" customHeight="1">
      <c r="A424" s="6" t="str">
        <f t="shared" si="1"/>
        <v>2013Fellows1</v>
      </c>
      <c r="B424" s="6">
        <v>2013.0</v>
      </c>
      <c r="C424" s="6" t="s">
        <v>79</v>
      </c>
      <c r="D424" s="6" t="s">
        <v>129</v>
      </c>
      <c r="E424" s="34" t="s">
        <v>359</v>
      </c>
      <c r="F424" s="6" t="s">
        <v>1668</v>
      </c>
      <c r="G424" s="6" t="s">
        <v>125</v>
      </c>
      <c r="H424" s="6" t="s">
        <v>1669</v>
      </c>
      <c r="I424" s="35" t="s">
        <v>77</v>
      </c>
      <c r="J424" s="36">
        <v>80.0</v>
      </c>
      <c r="K424" s="36">
        <v>125.2</v>
      </c>
      <c r="L424" s="36">
        <f t="shared" si="2"/>
        <v>0</v>
      </c>
      <c r="M424" s="36" t="str">
        <f t="shared" si="3"/>
        <v>Regular Season</v>
      </c>
      <c r="N424" s="36" t="str">
        <f>IFERROR(VLOOKUP(I424,Mapped_Owner,2,0),"")</f>
        <v>Salty</v>
      </c>
      <c r="O424" s="6">
        <f>VLOOKUP(D424,'Mapped Opponent'!$G$4:$H$22,2,0)</f>
        <v>1</v>
      </c>
      <c r="P424" s="6"/>
      <c r="Q424" s="6" t="str">
        <f t="shared" si="4"/>
        <v>Week 1</v>
      </c>
      <c r="R424" s="6" t="str">
        <f t="shared" si="5"/>
        <v>2013Week 1</v>
      </c>
      <c r="S424" s="6">
        <f>IFERROR(__xludf.DUMMYFUNCTION("rank(J424,FILTER(J:J,R:R=R424))"),11.0)</f>
        <v>11</v>
      </c>
      <c r="T424" s="6">
        <f t="shared" si="6"/>
        <v>1</v>
      </c>
      <c r="U424" s="6">
        <f t="shared" si="7"/>
        <v>11</v>
      </c>
      <c r="V424" s="42">
        <f>averageif(AllData!A:A,B424,AllData!R:R)/vlookup(B424,AllData!A:O,15,0)</f>
        <v>92.82051282</v>
      </c>
      <c r="W424" s="6"/>
    </row>
    <row r="425" ht="14.25" customHeight="1">
      <c r="A425" s="6" t="str">
        <f t="shared" si="1"/>
        <v>2013Shep1</v>
      </c>
      <c r="B425" s="6">
        <v>2013.0</v>
      </c>
      <c r="C425" s="6" t="s">
        <v>89</v>
      </c>
      <c r="D425" s="6" t="s">
        <v>129</v>
      </c>
      <c r="E425" s="34" t="s">
        <v>359</v>
      </c>
      <c r="F425" s="6" t="s">
        <v>1670</v>
      </c>
      <c r="G425" s="6" t="s">
        <v>114</v>
      </c>
      <c r="H425" s="6" t="s">
        <v>1671</v>
      </c>
      <c r="I425" s="35" t="s">
        <v>132</v>
      </c>
      <c r="J425" s="36">
        <v>120.7</v>
      </c>
      <c r="K425" s="36">
        <v>129.0</v>
      </c>
      <c r="L425" s="36">
        <f t="shared" si="2"/>
        <v>0</v>
      </c>
      <c r="M425" s="36" t="str">
        <f t="shared" si="3"/>
        <v>Regular Season</v>
      </c>
      <c r="N425" s="36" t="str">
        <f>IFERROR(VLOOKUP(I425,Mapped_Owner,2,0),"")</f>
        <v>KnardDawg</v>
      </c>
      <c r="O425" s="6">
        <f>VLOOKUP(D425,'Mapped Opponent'!$G$4:$H$22,2,0)</f>
        <v>1</v>
      </c>
      <c r="P425" s="6"/>
      <c r="Q425" s="6" t="str">
        <f t="shared" si="4"/>
        <v>Week 1</v>
      </c>
      <c r="R425" s="6" t="str">
        <f t="shared" si="5"/>
        <v>2013Week 1</v>
      </c>
      <c r="S425" s="6">
        <f>IFERROR(__xludf.DUMMYFUNCTION("rank(J425,FILTER(J:J,R:R=R425))"),5.0)</f>
        <v>5</v>
      </c>
      <c r="T425" s="6">
        <f t="shared" si="6"/>
        <v>7</v>
      </c>
      <c r="U425" s="6">
        <f t="shared" si="7"/>
        <v>5</v>
      </c>
      <c r="V425" s="42">
        <f>averageif(AllData!A:A,B425,AllData!R:R)/vlookup(B425,AllData!A:O,15,0)</f>
        <v>92.82051282</v>
      </c>
      <c r="W425" s="6"/>
    </row>
    <row r="426" ht="14.25" customHeight="1">
      <c r="A426" s="6" t="str">
        <f t="shared" si="1"/>
        <v>2013Riley1</v>
      </c>
      <c r="B426" s="6">
        <v>2013.0</v>
      </c>
      <c r="C426" s="6" t="s">
        <v>67</v>
      </c>
      <c r="D426" s="6" t="s">
        <v>129</v>
      </c>
      <c r="E426" s="34">
        <v>36526.0</v>
      </c>
      <c r="F426" s="6" t="s">
        <v>1672</v>
      </c>
      <c r="G426" s="6" t="s">
        <v>114</v>
      </c>
      <c r="H426" s="6" t="s">
        <v>1673</v>
      </c>
      <c r="I426" s="35" t="s">
        <v>54</v>
      </c>
      <c r="J426" s="36">
        <v>137.7</v>
      </c>
      <c r="K426" s="36">
        <v>86.7</v>
      </c>
      <c r="L426" s="36">
        <f t="shared" si="2"/>
        <v>1</v>
      </c>
      <c r="M426" s="36" t="str">
        <f t="shared" si="3"/>
        <v>Regular Season</v>
      </c>
      <c r="N426" s="36" t="str">
        <f>IFERROR(VLOOKUP(I426,Mapped_Owner,2,0),"")</f>
        <v>Tayski</v>
      </c>
      <c r="O426" s="6">
        <f>VLOOKUP(D426,'Mapped Opponent'!$G$4:$H$22,2,0)</f>
        <v>1</v>
      </c>
      <c r="P426" s="6"/>
      <c r="Q426" s="6" t="str">
        <f t="shared" si="4"/>
        <v>Week 1</v>
      </c>
      <c r="R426" s="6" t="str">
        <f t="shared" si="5"/>
        <v>2013Week 1</v>
      </c>
      <c r="S426" s="6">
        <f>IFERROR(__xludf.DUMMYFUNCTION("rank(J426,FILTER(J:J,R:R=R426))"),1.0)</f>
        <v>1</v>
      </c>
      <c r="T426" s="6">
        <f t="shared" si="6"/>
        <v>11</v>
      </c>
      <c r="U426" s="6">
        <f t="shared" si="7"/>
        <v>1</v>
      </c>
      <c r="V426" s="42">
        <f>averageif(AllData!A:A,B426,AllData!R:R)/vlookup(B426,AllData!A:O,15,0)</f>
        <v>92.82051282</v>
      </c>
      <c r="W426" s="6"/>
    </row>
    <row r="427" ht="14.25" customHeight="1">
      <c r="A427" s="6" t="str">
        <f t="shared" si="1"/>
        <v>2013Rooney/Jackson1</v>
      </c>
      <c r="B427" s="6">
        <v>2013.0</v>
      </c>
      <c r="C427" s="6" t="s">
        <v>57</v>
      </c>
      <c r="D427" s="6" t="s">
        <v>129</v>
      </c>
      <c r="E427" s="34">
        <v>36526.0</v>
      </c>
      <c r="F427" s="6" t="s">
        <v>1674</v>
      </c>
      <c r="G427" s="6" t="s">
        <v>114</v>
      </c>
      <c r="H427" s="6" t="s">
        <v>1675</v>
      </c>
      <c r="I427" s="35" t="s">
        <v>99</v>
      </c>
      <c r="J427" s="36">
        <v>116.6</v>
      </c>
      <c r="K427" s="36">
        <v>76.1</v>
      </c>
      <c r="L427" s="36">
        <f t="shared" si="2"/>
        <v>1</v>
      </c>
      <c r="M427" s="36" t="str">
        <f t="shared" si="3"/>
        <v>Regular Season</v>
      </c>
      <c r="N427" s="36" t="str">
        <f>IFERROR(VLOOKUP(I427,Mapped_Owner,2,0),"")</f>
        <v>Cock</v>
      </c>
      <c r="O427" s="6">
        <f>VLOOKUP(D427,'Mapped Opponent'!$G$4:$H$22,2,0)</f>
        <v>1</v>
      </c>
      <c r="P427" s="6"/>
      <c r="Q427" s="6" t="str">
        <f t="shared" si="4"/>
        <v>Week 1</v>
      </c>
      <c r="R427" s="6" t="str">
        <f t="shared" si="5"/>
        <v>2013Week 1</v>
      </c>
      <c r="S427" s="6">
        <f>IFERROR(__xludf.DUMMYFUNCTION("rank(J427,FILTER(J:J,R:R=R427))"),6.0)</f>
        <v>6</v>
      </c>
      <c r="T427" s="6">
        <f t="shared" si="6"/>
        <v>6</v>
      </c>
      <c r="U427" s="6">
        <f t="shared" si="7"/>
        <v>6</v>
      </c>
      <c r="V427" s="42">
        <f>averageif(AllData!A:A,B427,AllData!R:R)/vlookup(B427,AllData!A:O,15,0)</f>
        <v>92.82051282</v>
      </c>
      <c r="W427" s="6"/>
    </row>
    <row r="428" ht="14.25" customHeight="1">
      <c r="A428" s="6" t="str">
        <f t="shared" si="1"/>
        <v>2013Buser1</v>
      </c>
      <c r="B428" s="6">
        <v>2013.0</v>
      </c>
      <c r="C428" s="6" t="s">
        <v>47</v>
      </c>
      <c r="D428" s="6" t="s">
        <v>129</v>
      </c>
      <c r="E428" s="34" t="s">
        <v>359</v>
      </c>
      <c r="F428" s="6" t="s">
        <v>1676</v>
      </c>
      <c r="G428" s="6" t="s">
        <v>114</v>
      </c>
      <c r="H428" s="6" t="s">
        <v>1677</v>
      </c>
      <c r="I428" s="35" t="s">
        <v>93</v>
      </c>
      <c r="J428" s="36">
        <v>106.6</v>
      </c>
      <c r="K428" s="36">
        <v>130.0</v>
      </c>
      <c r="L428" s="36">
        <f t="shared" si="2"/>
        <v>0</v>
      </c>
      <c r="M428" s="36" t="str">
        <f t="shared" si="3"/>
        <v>Regular Season</v>
      </c>
      <c r="N428" s="36" t="str">
        <f>IFERROR(VLOOKUP(I428,Mapped_Owner,2,0),"")</f>
        <v>Pierson</v>
      </c>
      <c r="O428" s="6">
        <f>VLOOKUP(D428,'Mapped Opponent'!$G$4:$H$22,2,0)</f>
        <v>1</v>
      </c>
      <c r="P428" s="6"/>
      <c r="Q428" s="6" t="str">
        <f t="shared" si="4"/>
        <v>Week 1</v>
      </c>
      <c r="R428" s="6" t="str">
        <f t="shared" si="5"/>
        <v>2013Week 1</v>
      </c>
      <c r="S428" s="6">
        <f>IFERROR(__xludf.DUMMYFUNCTION("rank(J428,FILTER(J:J,R:R=R428))"),7.0)</f>
        <v>7</v>
      </c>
      <c r="T428" s="6">
        <f t="shared" si="6"/>
        <v>5</v>
      </c>
      <c r="U428" s="6">
        <f t="shared" si="7"/>
        <v>7</v>
      </c>
      <c r="V428" s="42">
        <f>averageif(AllData!A:A,B428,AllData!R:R)/vlookup(B428,AllData!A:O,15,0)</f>
        <v>92.82051282</v>
      </c>
      <c r="W428" s="6"/>
    </row>
    <row r="429" ht="14.25" customHeight="1">
      <c r="A429" s="6" t="str">
        <f t="shared" si="1"/>
        <v>2013Pierson1</v>
      </c>
      <c r="B429" s="6">
        <v>2013.0</v>
      </c>
      <c r="C429" s="6" t="s">
        <v>92</v>
      </c>
      <c r="D429" s="6" t="s">
        <v>129</v>
      </c>
      <c r="E429" s="34">
        <v>36526.0</v>
      </c>
      <c r="F429" s="6" t="s">
        <v>1678</v>
      </c>
      <c r="G429" s="6" t="s">
        <v>125</v>
      </c>
      <c r="H429" s="6" t="s">
        <v>1679</v>
      </c>
      <c r="I429" s="35" t="s">
        <v>50</v>
      </c>
      <c r="J429" s="36">
        <v>130.0</v>
      </c>
      <c r="K429" s="36">
        <v>106.6</v>
      </c>
      <c r="L429" s="36">
        <f t="shared" si="2"/>
        <v>1</v>
      </c>
      <c r="M429" s="36" t="str">
        <f t="shared" si="3"/>
        <v>Regular Season</v>
      </c>
      <c r="N429" s="36" t="str">
        <f>IFERROR(VLOOKUP(I429,Mapped_Owner,2,0),"")</f>
        <v>Buser</v>
      </c>
      <c r="O429" s="6">
        <f>VLOOKUP(D429,'Mapped Opponent'!$G$4:$H$22,2,0)</f>
        <v>1</v>
      </c>
      <c r="P429" s="6"/>
      <c r="Q429" s="6" t="str">
        <f t="shared" si="4"/>
        <v>Week 1</v>
      </c>
      <c r="R429" s="6" t="str">
        <f t="shared" si="5"/>
        <v>2013Week 1</v>
      </c>
      <c r="S429" s="6">
        <f>IFERROR(__xludf.DUMMYFUNCTION("rank(J429,FILTER(J:J,R:R=R429))"),2.0)</f>
        <v>2</v>
      </c>
      <c r="T429" s="6">
        <f t="shared" si="6"/>
        <v>10</v>
      </c>
      <c r="U429" s="6">
        <f t="shared" si="7"/>
        <v>2</v>
      </c>
      <c r="V429" s="42">
        <f>averageif(AllData!A:A,B429,AllData!R:R)/vlookup(B429,AllData!A:O,15,0)</f>
        <v>92.82051282</v>
      </c>
      <c r="W429" s="6"/>
    </row>
    <row r="430" ht="14.25" customHeight="1">
      <c r="A430" s="6" t="str">
        <f t="shared" si="1"/>
        <v>2013Cock1</v>
      </c>
      <c r="B430" s="6">
        <v>2013.0</v>
      </c>
      <c r="C430" s="6" t="s">
        <v>72</v>
      </c>
      <c r="D430" s="6" t="s">
        <v>129</v>
      </c>
      <c r="E430" s="34" t="s">
        <v>359</v>
      </c>
      <c r="F430" s="6" t="s">
        <v>1680</v>
      </c>
      <c r="G430" s="6" t="s">
        <v>125</v>
      </c>
      <c r="H430" s="6" t="s">
        <v>1681</v>
      </c>
      <c r="I430" s="35" t="s">
        <v>58</v>
      </c>
      <c r="J430" s="36">
        <v>76.1</v>
      </c>
      <c r="K430" s="36">
        <v>116.6</v>
      </c>
      <c r="L430" s="36">
        <f t="shared" si="2"/>
        <v>0</v>
      </c>
      <c r="M430" s="36" t="str">
        <f t="shared" si="3"/>
        <v>Regular Season</v>
      </c>
      <c r="N430" s="36" t="str">
        <f>IFERROR(VLOOKUP(I430,Mapped_Owner,2,0),"")</f>
        <v>Rooney/Jackson</v>
      </c>
      <c r="O430" s="6">
        <f>VLOOKUP(D430,'Mapped Opponent'!$G$4:$H$22,2,0)</f>
        <v>1</v>
      </c>
      <c r="P430" s="6"/>
      <c r="Q430" s="6" t="str">
        <f t="shared" si="4"/>
        <v>Week 1</v>
      </c>
      <c r="R430" s="6" t="str">
        <f t="shared" si="5"/>
        <v>2013Week 1</v>
      </c>
      <c r="S430" s="6">
        <f>IFERROR(__xludf.DUMMYFUNCTION("rank(J430,FILTER(J:J,R:R=R430))"),12.0)</f>
        <v>12</v>
      </c>
      <c r="T430" s="6">
        <f t="shared" si="6"/>
        <v>0</v>
      </c>
      <c r="U430" s="6">
        <f t="shared" si="7"/>
        <v>12</v>
      </c>
      <c r="V430" s="42">
        <f>averageif(AllData!A:A,B430,AllData!R:R)/vlookup(B430,AllData!A:O,15,0)</f>
        <v>92.82051282</v>
      </c>
      <c r="W430" s="6"/>
    </row>
    <row r="431" ht="14.25" customHeight="1">
      <c r="A431" s="6" t="str">
        <f t="shared" si="1"/>
        <v>2013Tayski1</v>
      </c>
      <c r="B431" s="6">
        <v>2013.0</v>
      </c>
      <c r="C431" s="6" t="s">
        <v>52</v>
      </c>
      <c r="D431" s="6" t="s">
        <v>129</v>
      </c>
      <c r="E431" s="34" t="s">
        <v>359</v>
      </c>
      <c r="F431" s="6" t="s">
        <v>1682</v>
      </c>
      <c r="G431" s="6" t="s">
        <v>125</v>
      </c>
      <c r="H431" s="6" t="s">
        <v>1683</v>
      </c>
      <c r="I431" s="35" t="s">
        <v>68</v>
      </c>
      <c r="J431" s="36">
        <v>86.7</v>
      </c>
      <c r="K431" s="36">
        <v>137.7</v>
      </c>
      <c r="L431" s="36">
        <f t="shared" si="2"/>
        <v>0</v>
      </c>
      <c r="M431" s="36" t="str">
        <f t="shared" si="3"/>
        <v>Regular Season</v>
      </c>
      <c r="N431" s="36" t="str">
        <f>IFERROR(VLOOKUP(I431,Mapped_Owner,2,0),"")</f>
        <v>Riley</v>
      </c>
      <c r="O431" s="6">
        <f>VLOOKUP(D431,'Mapped Opponent'!$G$4:$H$22,2,0)</f>
        <v>1</v>
      </c>
      <c r="P431" s="6"/>
      <c r="Q431" s="6" t="str">
        <f t="shared" si="4"/>
        <v>Week 1</v>
      </c>
      <c r="R431" s="6" t="str">
        <f t="shared" si="5"/>
        <v>2013Week 1</v>
      </c>
      <c r="S431" s="6">
        <f>IFERROR(__xludf.DUMMYFUNCTION("rank(J431,FILTER(J:J,R:R=R431))"),10.0)</f>
        <v>10</v>
      </c>
      <c r="T431" s="6">
        <f t="shared" si="6"/>
        <v>2</v>
      </c>
      <c r="U431" s="6">
        <f t="shared" si="7"/>
        <v>10</v>
      </c>
      <c r="V431" s="42">
        <f>averageif(AllData!A:A,B431,AllData!R:R)/vlookup(B431,AllData!A:O,15,0)</f>
        <v>92.82051282</v>
      </c>
      <c r="W431" s="6"/>
    </row>
    <row r="432" ht="14.25" customHeight="1">
      <c r="A432" s="6" t="str">
        <f t="shared" si="1"/>
        <v>2013KnardDawg1</v>
      </c>
      <c r="B432" s="6">
        <v>2013.0</v>
      </c>
      <c r="C432" s="6" t="s">
        <v>86</v>
      </c>
      <c r="D432" s="6" t="s">
        <v>129</v>
      </c>
      <c r="E432" s="34">
        <v>36526.0</v>
      </c>
      <c r="F432" s="6" t="s">
        <v>1684</v>
      </c>
      <c r="G432" s="6" t="s">
        <v>125</v>
      </c>
      <c r="H432" s="6" t="s">
        <v>1685</v>
      </c>
      <c r="I432" s="35" t="s">
        <v>91</v>
      </c>
      <c r="J432" s="36">
        <v>129.0</v>
      </c>
      <c r="K432" s="36">
        <v>120.7</v>
      </c>
      <c r="L432" s="36">
        <f t="shared" si="2"/>
        <v>1</v>
      </c>
      <c r="M432" s="36" t="str">
        <f t="shared" si="3"/>
        <v>Regular Season</v>
      </c>
      <c r="N432" s="36" t="str">
        <f>IFERROR(VLOOKUP(I432,Mapped_Owner,2,0),"")</f>
        <v>Shep</v>
      </c>
      <c r="O432" s="6">
        <f>VLOOKUP(D432,'Mapped Opponent'!$G$4:$H$22,2,0)</f>
        <v>1</v>
      </c>
      <c r="P432" s="6"/>
      <c r="Q432" s="6" t="str">
        <f t="shared" si="4"/>
        <v>Week 1</v>
      </c>
      <c r="R432" s="6" t="str">
        <f t="shared" si="5"/>
        <v>2013Week 1</v>
      </c>
      <c r="S432" s="6">
        <f>IFERROR(__xludf.DUMMYFUNCTION("rank(J432,FILTER(J:J,R:R=R432))"),3.0)</f>
        <v>3</v>
      </c>
      <c r="T432" s="6">
        <f t="shared" si="6"/>
        <v>9</v>
      </c>
      <c r="U432" s="6">
        <f t="shared" si="7"/>
        <v>3</v>
      </c>
      <c r="V432" s="42">
        <f>averageif(AllData!A:A,B432,AllData!R:R)/vlookup(B432,AllData!A:O,15,0)</f>
        <v>92.82051282</v>
      </c>
      <c r="W432" s="6"/>
    </row>
    <row r="433" ht="14.25" customHeight="1">
      <c r="A433" s="6" t="str">
        <f t="shared" si="1"/>
        <v>2013T-How1</v>
      </c>
      <c r="B433" s="6">
        <v>2013.0</v>
      </c>
      <c r="C433" s="6" t="s">
        <v>82</v>
      </c>
      <c r="D433" s="6" t="s">
        <v>129</v>
      </c>
      <c r="E433" s="34" t="s">
        <v>359</v>
      </c>
      <c r="F433" s="6" t="s">
        <v>1686</v>
      </c>
      <c r="G433" s="6" t="s">
        <v>125</v>
      </c>
      <c r="H433" s="6" t="s">
        <v>373</v>
      </c>
      <c r="I433" s="35" t="s">
        <v>64</v>
      </c>
      <c r="J433" s="36">
        <v>96.9</v>
      </c>
      <c r="K433" s="36">
        <v>103.2</v>
      </c>
      <c r="L433" s="36">
        <f t="shared" si="2"/>
        <v>0</v>
      </c>
      <c r="M433" s="36" t="str">
        <f t="shared" si="3"/>
        <v>Regular Season</v>
      </c>
      <c r="N433" s="36" t="str">
        <f>IFERROR(VLOOKUP(I433,Mapped_Owner,2,0),"")</f>
        <v>Hudspeath</v>
      </c>
      <c r="O433" s="6">
        <f>VLOOKUP(D433,'Mapped Opponent'!$G$4:$H$22,2,0)</f>
        <v>1</v>
      </c>
      <c r="P433" s="6"/>
      <c r="Q433" s="6" t="str">
        <f t="shared" si="4"/>
        <v>Week 1</v>
      </c>
      <c r="R433" s="6" t="str">
        <f t="shared" si="5"/>
        <v>2013Week 1</v>
      </c>
      <c r="S433" s="6">
        <f>IFERROR(__xludf.DUMMYFUNCTION("rank(J433,FILTER(J:J,R:R=R433))"),9.0)</f>
        <v>9</v>
      </c>
      <c r="T433" s="6">
        <f t="shared" si="6"/>
        <v>3</v>
      </c>
      <c r="U433" s="6">
        <f t="shared" si="7"/>
        <v>9</v>
      </c>
      <c r="V433" s="42">
        <f>averageif(AllData!A:A,B433,AllData!R:R)/vlookup(B433,AllData!A:O,15,0)</f>
        <v>92.82051282</v>
      </c>
      <c r="W433" s="6"/>
    </row>
    <row r="434" ht="14.25" customHeight="1">
      <c r="A434" s="6" t="str">
        <f t="shared" si="1"/>
        <v>2013Hudspeath10</v>
      </c>
      <c r="B434" s="6">
        <v>2013.0</v>
      </c>
      <c r="C434" s="6" t="s">
        <v>39</v>
      </c>
      <c r="D434" s="6" t="s">
        <v>149</v>
      </c>
      <c r="E434" s="34">
        <v>42188.0</v>
      </c>
      <c r="F434" s="6" t="s">
        <v>1687</v>
      </c>
      <c r="G434" s="6" t="s">
        <v>125</v>
      </c>
      <c r="H434" s="6" t="s">
        <v>1688</v>
      </c>
      <c r="I434" s="35" t="s">
        <v>93</v>
      </c>
      <c r="J434" s="36">
        <v>97.6</v>
      </c>
      <c r="K434" s="36">
        <v>88.8</v>
      </c>
      <c r="L434" s="36">
        <f t="shared" si="2"/>
        <v>1</v>
      </c>
      <c r="M434" s="36" t="str">
        <f t="shared" si="3"/>
        <v>Regular Season</v>
      </c>
      <c r="N434" s="36" t="str">
        <f>IFERROR(VLOOKUP(I434,Mapped_Owner,2,0),"")</f>
        <v>Pierson</v>
      </c>
      <c r="O434" s="6">
        <f>VLOOKUP(D434,'Mapped Opponent'!$G$4:$H$22,2,0)</f>
        <v>10</v>
      </c>
      <c r="P434" s="6"/>
      <c r="Q434" s="6" t="str">
        <f t="shared" si="4"/>
        <v>Week 10</v>
      </c>
      <c r="R434" s="6" t="str">
        <f t="shared" si="5"/>
        <v>2013Week 10</v>
      </c>
      <c r="S434" s="6">
        <f>IFERROR(__xludf.DUMMYFUNCTION("rank(J434,FILTER(J:J,R:R=R434))"),2.0)</f>
        <v>2</v>
      </c>
      <c r="T434" s="6">
        <f t="shared" si="6"/>
        <v>10</v>
      </c>
      <c r="U434" s="6">
        <f t="shared" si="7"/>
        <v>2</v>
      </c>
      <c r="V434" s="42">
        <f>averageif(AllData!A:A,B434,AllData!R:R)/vlookup(B434,AllData!A:O,15,0)</f>
        <v>92.82051282</v>
      </c>
      <c r="W434" s="6"/>
    </row>
    <row r="435" ht="14.25" customHeight="1">
      <c r="A435" s="6" t="str">
        <f t="shared" si="1"/>
        <v>2013Salty10</v>
      </c>
      <c r="B435" s="6">
        <v>2013.0</v>
      </c>
      <c r="C435" s="6" t="s">
        <v>76</v>
      </c>
      <c r="D435" s="6" t="s">
        <v>149</v>
      </c>
      <c r="E435" s="34">
        <v>42100.0</v>
      </c>
      <c r="F435" s="6" t="s">
        <v>1689</v>
      </c>
      <c r="G435" s="6" t="s">
        <v>125</v>
      </c>
      <c r="H435" s="6" t="s">
        <v>1690</v>
      </c>
      <c r="I435" s="35" t="s">
        <v>132</v>
      </c>
      <c r="J435" s="36">
        <v>67.2</v>
      </c>
      <c r="K435" s="36">
        <v>71.8</v>
      </c>
      <c r="L435" s="36">
        <f t="shared" si="2"/>
        <v>0</v>
      </c>
      <c r="M435" s="36" t="str">
        <f t="shared" si="3"/>
        <v>Regular Season</v>
      </c>
      <c r="N435" s="36" t="str">
        <f>IFERROR(VLOOKUP(I435,Mapped_Owner,2,0),"")</f>
        <v>KnardDawg</v>
      </c>
      <c r="O435" s="6">
        <f>VLOOKUP(D435,'Mapped Opponent'!$G$4:$H$22,2,0)</f>
        <v>10</v>
      </c>
      <c r="P435" s="6"/>
      <c r="Q435" s="6" t="str">
        <f t="shared" si="4"/>
        <v>Week 10</v>
      </c>
      <c r="R435" s="6" t="str">
        <f t="shared" si="5"/>
        <v>2013Week 10</v>
      </c>
      <c r="S435" s="6">
        <f>IFERROR(__xludf.DUMMYFUNCTION("rank(J435,FILTER(J:J,R:R=R435))"),11.0)</f>
        <v>11</v>
      </c>
      <c r="T435" s="6">
        <f t="shared" si="6"/>
        <v>1</v>
      </c>
      <c r="U435" s="6">
        <f t="shared" si="7"/>
        <v>11</v>
      </c>
      <c r="V435" s="42">
        <f>averageif(AllData!A:A,B435,AllData!R:R)/vlookup(B435,AllData!A:O,15,0)</f>
        <v>92.82051282</v>
      </c>
      <c r="W435" s="6"/>
    </row>
    <row r="436" ht="14.25" customHeight="1">
      <c r="A436" s="6" t="str">
        <f t="shared" si="1"/>
        <v>2013Fellows10</v>
      </c>
      <c r="B436" s="6">
        <v>2013.0</v>
      </c>
      <c r="C436" s="6" t="s">
        <v>79</v>
      </c>
      <c r="D436" s="6" t="s">
        <v>149</v>
      </c>
      <c r="E436" s="34">
        <v>42129.0</v>
      </c>
      <c r="F436" s="6" t="s">
        <v>1691</v>
      </c>
      <c r="G436" s="6" t="s">
        <v>125</v>
      </c>
      <c r="H436" s="6" t="s">
        <v>1692</v>
      </c>
      <c r="I436" s="35" t="s">
        <v>99</v>
      </c>
      <c r="J436" s="36">
        <v>91.0</v>
      </c>
      <c r="K436" s="36">
        <v>81.0</v>
      </c>
      <c r="L436" s="36">
        <f t="shared" si="2"/>
        <v>1</v>
      </c>
      <c r="M436" s="36" t="str">
        <f t="shared" si="3"/>
        <v>Regular Season</v>
      </c>
      <c r="N436" s="36" t="str">
        <f>IFERROR(VLOOKUP(I436,Mapped_Owner,2,0),"")</f>
        <v>Cock</v>
      </c>
      <c r="O436" s="6">
        <f>VLOOKUP(D436,'Mapped Opponent'!$G$4:$H$22,2,0)</f>
        <v>10</v>
      </c>
      <c r="P436" s="6"/>
      <c r="Q436" s="6" t="str">
        <f t="shared" si="4"/>
        <v>Week 10</v>
      </c>
      <c r="R436" s="6" t="str">
        <f t="shared" si="5"/>
        <v>2013Week 10</v>
      </c>
      <c r="S436" s="6">
        <f>IFERROR(__xludf.DUMMYFUNCTION("rank(J436,FILTER(J:J,R:R=R436))"),5.0)</f>
        <v>5</v>
      </c>
      <c r="T436" s="6">
        <f t="shared" si="6"/>
        <v>7</v>
      </c>
      <c r="U436" s="6">
        <f t="shared" si="7"/>
        <v>5</v>
      </c>
      <c r="V436" s="42">
        <f>averageif(AllData!A:A,B436,AllData!R:R)/vlookup(B436,AllData!A:O,15,0)</f>
        <v>92.82051282</v>
      </c>
      <c r="W436" s="6"/>
    </row>
    <row r="437" ht="14.25" customHeight="1">
      <c r="A437" s="6" t="str">
        <f t="shared" si="1"/>
        <v>2013Shep10</v>
      </c>
      <c r="B437" s="6">
        <v>2013.0</v>
      </c>
      <c r="C437" s="6" t="s">
        <v>89</v>
      </c>
      <c r="D437" s="6" t="s">
        <v>149</v>
      </c>
      <c r="E437" s="34">
        <v>42070.0</v>
      </c>
      <c r="F437" s="6" t="s">
        <v>1693</v>
      </c>
      <c r="G437" s="6" t="s">
        <v>125</v>
      </c>
      <c r="H437" s="6" t="s">
        <v>1694</v>
      </c>
      <c r="I437" s="35" t="s">
        <v>50</v>
      </c>
      <c r="J437" s="36">
        <v>60.4</v>
      </c>
      <c r="K437" s="36">
        <v>90.7</v>
      </c>
      <c r="L437" s="36">
        <f t="shared" si="2"/>
        <v>0</v>
      </c>
      <c r="M437" s="36" t="str">
        <f t="shared" si="3"/>
        <v>Regular Season</v>
      </c>
      <c r="N437" s="36" t="str">
        <f>IFERROR(VLOOKUP(I437,Mapped_Owner,2,0),"")</f>
        <v>Buser</v>
      </c>
      <c r="O437" s="6">
        <f>VLOOKUP(D437,'Mapped Opponent'!$G$4:$H$22,2,0)</f>
        <v>10</v>
      </c>
      <c r="P437" s="6"/>
      <c r="Q437" s="6" t="str">
        <f t="shared" si="4"/>
        <v>Week 10</v>
      </c>
      <c r="R437" s="6" t="str">
        <f t="shared" si="5"/>
        <v>2013Week 10</v>
      </c>
      <c r="S437" s="6">
        <f>IFERROR(__xludf.DUMMYFUNCTION("rank(J437,FILTER(J:J,R:R=R437))"),12.0)</f>
        <v>12</v>
      </c>
      <c r="T437" s="6">
        <f t="shared" si="6"/>
        <v>0</v>
      </c>
      <c r="U437" s="6">
        <f t="shared" si="7"/>
        <v>12</v>
      </c>
      <c r="V437" s="42">
        <f>averageif(AllData!A:A,B437,AllData!R:R)/vlookup(B437,AllData!A:O,15,0)</f>
        <v>92.82051282</v>
      </c>
      <c r="W437" s="6"/>
    </row>
    <row r="438" ht="14.25" customHeight="1">
      <c r="A438" s="6" t="str">
        <f t="shared" si="1"/>
        <v>2013Riley10</v>
      </c>
      <c r="B438" s="6">
        <v>2013.0</v>
      </c>
      <c r="C438" s="6" t="s">
        <v>67</v>
      </c>
      <c r="D438" s="6" t="s">
        <v>149</v>
      </c>
      <c r="E438" s="34">
        <v>42129.0</v>
      </c>
      <c r="F438" s="6" t="s">
        <v>1695</v>
      </c>
      <c r="G438" s="6" t="s">
        <v>125</v>
      </c>
      <c r="H438" s="6" t="s">
        <v>1696</v>
      </c>
      <c r="I438" s="35" t="s">
        <v>58</v>
      </c>
      <c r="J438" s="36">
        <v>95.3</v>
      </c>
      <c r="K438" s="36">
        <v>124.7</v>
      </c>
      <c r="L438" s="36">
        <f t="shared" si="2"/>
        <v>0</v>
      </c>
      <c r="M438" s="36" t="str">
        <f t="shared" si="3"/>
        <v>Regular Season</v>
      </c>
      <c r="N438" s="36" t="str">
        <f>IFERROR(VLOOKUP(I438,Mapped_Owner,2,0),"")</f>
        <v>Rooney/Jackson</v>
      </c>
      <c r="O438" s="6">
        <f>VLOOKUP(D438,'Mapped Opponent'!$G$4:$H$22,2,0)</f>
        <v>10</v>
      </c>
      <c r="P438" s="6"/>
      <c r="Q438" s="6" t="str">
        <f t="shared" si="4"/>
        <v>Week 10</v>
      </c>
      <c r="R438" s="6" t="str">
        <f t="shared" si="5"/>
        <v>2013Week 10</v>
      </c>
      <c r="S438" s="6">
        <f>IFERROR(__xludf.DUMMYFUNCTION("rank(J438,FILTER(J:J,R:R=R438))"),3.0)</f>
        <v>3</v>
      </c>
      <c r="T438" s="6">
        <f t="shared" si="6"/>
        <v>9</v>
      </c>
      <c r="U438" s="6">
        <f t="shared" si="7"/>
        <v>3</v>
      </c>
      <c r="V438" s="42">
        <f>averageif(AllData!A:A,B438,AllData!R:R)/vlookup(B438,AllData!A:O,15,0)</f>
        <v>92.82051282</v>
      </c>
      <c r="W438" s="6"/>
    </row>
    <row r="439" ht="14.25" customHeight="1">
      <c r="A439" s="6" t="str">
        <f t="shared" si="1"/>
        <v>2013Rooney/Jackson10</v>
      </c>
      <c r="B439" s="6">
        <v>2013.0</v>
      </c>
      <c r="C439" s="6" t="s">
        <v>57</v>
      </c>
      <c r="D439" s="6" t="s">
        <v>149</v>
      </c>
      <c r="E439" s="34">
        <v>42129.0</v>
      </c>
      <c r="F439" s="6" t="s">
        <v>1697</v>
      </c>
      <c r="G439" s="6" t="s">
        <v>114</v>
      </c>
      <c r="H439" s="6" t="s">
        <v>1698</v>
      </c>
      <c r="I439" s="35" t="s">
        <v>68</v>
      </c>
      <c r="J439" s="36">
        <v>124.7</v>
      </c>
      <c r="K439" s="36">
        <v>95.3</v>
      </c>
      <c r="L439" s="36">
        <f t="shared" si="2"/>
        <v>1</v>
      </c>
      <c r="M439" s="36" t="str">
        <f t="shared" si="3"/>
        <v>Regular Season</v>
      </c>
      <c r="N439" s="36" t="str">
        <f>IFERROR(VLOOKUP(I439,Mapped_Owner,2,0),"")</f>
        <v>Riley</v>
      </c>
      <c r="O439" s="6">
        <f>VLOOKUP(D439,'Mapped Opponent'!$G$4:$H$22,2,0)</f>
        <v>10</v>
      </c>
      <c r="P439" s="6"/>
      <c r="Q439" s="6" t="str">
        <f t="shared" si="4"/>
        <v>Week 10</v>
      </c>
      <c r="R439" s="6" t="str">
        <f t="shared" si="5"/>
        <v>2013Week 10</v>
      </c>
      <c r="S439" s="6">
        <f>IFERROR(__xludf.DUMMYFUNCTION("rank(J439,FILTER(J:J,R:R=R439))"),1.0)</f>
        <v>1</v>
      </c>
      <c r="T439" s="6">
        <f t="shared" si="6"/>
        <v>11</v>
      </c>
      <c r="U439" s="6">
        <f t="shared" si="7"/>
        <v>1</v>
      </c>
      <c r="V439" s="42">
        <f>averageif(AllData!A:A,B439,AllData!R:R)/vlookup(B439,AllData!A:O,15,0)</f>
        <v>92.82051282</v>
      </c>
      <c r="W439" s="6"/>
    </row>
    <row r="440" ht="14.25" customHeight="1">
      <c r="A440" s="6" t="str">
        <f t="shared" si="1"/>
        <v>2013Buser10</v>
      </c>
      <c r="B440" s="6">
        <v>2013.0</v>
      </c>
      <c r="C440" s="6" t="s">
        <v>47</v>
      </c>
      <c r="D440" s="6" t="s">
        <v>149</v>
      </c>
      <c r="E440" s="34">
        <v>42159.0</v>
      </c>
      <c r="F440" s="6" t="s">
        <v>1699</v>
      </c>
      <c r="G440" s="6" t="s">
        <v>114</v>
      </c>
      <c r="H440" s="6" t="s">
        <v>1700</v>
      </c>
      <c r="I440" s="35" t="s">
        <v>91</v>
      </c>
      <c r="J440" s="36">
        <v>90.7</v>
      </c>
      <c r="K440" s="36">
        <v>60.4</v>
      </c>
      <c r="L440" s="36">
        <f t="shared" si="2"/>
        <v>1</v>
      </c>
      <c r="M440" s="36" t="str">
        <f t="shared" si="3"/>
        <v>Regular Season</v>
      </c>
      <c r="N440" s="36" t="str">
        <f>IFERROR(VLOOKUP(I440,Mapped_Owner,2,0),"")</f>
        <v>Shep</v>
      </c>
      <c r="O440" s="6">
        <f>VLOOKUP(D440,'Mapped Opponent'!$G$4:$H$22,2,0)</f>
        <v>10</v>
      </c>
      <c r="P440" s="6"/>
      <c r="Q440" s="6" t="str">
        <f t="shared" si="4"/>
        <v>Week 10</v>
      </c>
      <c r="R440" s="6" t="str">
        <f t="shared" si="5"/>
        <v>2013Week 10</v>
      </c>
      <c r="S440" s="6">
        <f>IFERROR(__xludf.DUMMYFUNCTION("rank(J440,FILTER(J:J,R:R=R440))"),6.0)</f>
        <v>6</v>
      </c>
      <c r="T440" s="6">
        <f t="shared" si="6"/>
        <v>6</v>
      </c>
      <c r="U440" s="6">
        <f t="shared" si="7"/>
        <v>6</v>
      </c>
      <c r="V440" s="42">
        <f>averageif(AllData!A:A,B440,AllData!R:R)/vlookup(B440,AllData!A:O,15,0)</f>
        <v>92.82051282</v>
      </c>
      <c r="W440" s="6"/>
    </row>
    <row r="441" ht="14.25" customHeight="1">
      <c r="A441" s="6" t="str">
        <f t="shared" si="1"/>
        <v>2013Pierson10</v>
      </c>
      <c r="B441" s="6">
        <v>2013.0</v>
      </c>
      <c r="C441" s="6" t="s">
        <v>92</v>
      </c>
      <c r="D441" s="6" t="s">
        <v>149</v>
      </c>
      <c r="E441" s="34">
        <v>42070.0</v>
      </c>
      <c r="F441" s="6" t="s">
        <v>1701</v>
      </c>
      <c r="G441" s="6" t="s">
        <v>114</v>
      </c>
      <c r="H441" s="6" t="s">
        <v>1702</v>
      </c>
      <c r="I441" s="35" t="s">
        <v>64</v>
      </c>
      <c r="J441" s="36">
        <v>88.8</v>
      </c>
      <c r="K441" s="36">
        <v>97.6</v>
      </c>
      <c r="L441" s="36">
        <f t="shared" si="2"/>
        <v>0</v>
      </c>
      <c r="M441" s="36" t="str">
        <f t="shared" si="3"/>
        <v>Regular Season</v>
      </c>
      <c r="N441" s="36" t="str">
        <f>IFERROR(VLOOKUP(I441,Mapped_Owner,2,0),"")</f>
        <v>Hudspeath</v>
      </c>
      <c r="O441" s="6">
        <f>VLOOKUP(D441,'Mapped Opponent'!$G$4:$H$22,2,0)</f>
        <v>10</v>
      </c>
      <c r="P441" s="6"/>
      <c r="Q441" s="6" t="str">
        <f t="shared" si="4"/>
        <v>Week 10</v>
      </c>
      <c r="R441" s="6" t="str">
        <f t="shared" si="5"/>
        <v>2013Week 10</v>
      </c>
      <c r="S441" s="6">
        <f>IFERROR(__xludf.DUMMYFUNCTION("rank(J441,FILTER(J:J,R:R=R441))"),8.0)</f>
        <v>8</v>
      </c>
      <c r="T441" s="6">
        <f t="shared" si="6"/>
        <v>4</v>
      </c>
      <c r="U441" s="6">
        <f t="shared" si="7"/>
        <v>8</v>
      </c>
      <c r="V441" s="42">
        <f>averageif(AllData!A:A,B441,AllData!R:R)/vlookup(B441,AllData!A:O,15,0)</f>
        <v>92.82051282</v>
      </c>
      <c r="W441" s="6"/>
    </row>
    <row r="442" ht="14.25" customHeight="1">
      <c r="A442" s="6" t="str">
        <f t="shared" si="1"/>
        <v>2013Cock10</v>
      </c>
      <c r="B442" s="6">
        <v>2013.0</v>
      </c>
      <c r="C442" s="6" t="s">
        <v>72</v>
      </c>
      <c r="D442" s="6" t="s">
        <v>149</v>
      </c>
      <c r="E442" s="34">
        <v>42129.0</v>
      </c>
      <c r="F442" s="6" t="s">
        <v>1703</v>
      </c>
      <c r="G442" s="6" t="s">
        <v>114</v>
      </c>
      <c r="H442" s="6" t="s">
        <v>1704</v>
      </c>
      <c r="I442" s="35" t="s">
        <v>80</v>
      </c>
      <c r="J442" s="36">
        <v>81.0</v>
      </c>
      <c r="K442" s="36">
        <v>91.0</v>
      </c>
      <c r="L442" s="36">
        <f t="shared" si="2"/>
        <v>0</v>
      </c>
      <c r="M442" s="36" t="str">
        <f t="shared" si="3"/>
        <v>Regular Season</v>
      </c>
      <c r="N442" s="36" t="str">
        <f>IFERROR(VLOOKUP(I442,Mapped_Owner,2,0),"")</f>
        <v>Fellows</v>
      </c>
      <c r="O442" s="6">
        <f>VLOOKUP(D442,'Mapped Opponent'!$G$4:$H$22,2,0)</f>
        <v>10</v>
      </c>
      <c r="P442" s="6"/>
      <c r="Q442" s="6" t="str">
        <f t="shared" si="4"/>
        <v>Week 10</v>
      </c>
      <c r="R442" s="6" t="str">
        <f t="shared" si="5"/>
        <v>2013Week 10</v>
      </c>
      <c r="S442" s="6">
        <f>IFERROR(__xludf.DUMMYFUNCTION("rank(J442,FILTER(J:J,R:R=R442))"),9.0)</f>
        <v>9</v>
      </c>
      <c r="T442" s="6">
        <f t="shared" si="6"/>
        <v>3</v>
      </c>
      <c r="U442" s="6">
        <f t="shared" si="7"/>
        <v>9</v>
      </c>
      <c r="V442" s="42">
        <f>averageif(AllData!A:A,B442,AllData!R:R)/vlookup(B442,AllData!A:O,15,0)</f>
        <v>92.82051282</v>
      </c>
      <c r="W442" s="6"/>
    </row>
    <row r="443" ht="14.25" customHeight="1">
      <c r="A443" s="6" t="str">
        <f t="shared" si="1"/>
        <v>2013Tayski10</v>
      </c>
      <c r="B443" s="6">
        <v>2013.0</v>
      </c>
      <c r="C443" s="6" t="s">
        <v>52</v>
      </c>
      <c r="D443" s="6" t="s">
        <v>149</v>
      </c>
      <c r="E443" s="34">
        <v>42159.0</v>
      </c>
      <c r="F443" s="6" t="s">
        <v>1705</v>
      </c>
      <c r="G443" s="6" t="s">
        <v>114</v>
      </c>
      <c r="H443" s="6" t="s">
        <v>1706</v>
      </c>
      <c r="I443" s="35" t="s">
        <v>85</v>
      </c>
      <c r="J443" s="36">
        <v>93.3</v>
      </c>
      <c r="K443" s="36">
        <v>89.1</v>
      </c>
      <c r="L443" s="36">
        <f t="shared" si="2"/>
        <v>1</v>
      </c>
      <c r="M443" s="36" t="str">
        <f t="shared" si="3"/>
        <v>Regular Season</v>
      </c>
      <c r="N443" s="36" t="str">
        <f>IFERROR(VLOOKUP(I443,Mapped_Owner,2,0),"")</f>
        <v>T-How</v>
      </c>
      <c r="O443" s="6">
        <f>VLOOKUP(D443,'Mapped Opponent'!$G$4:$H$22,2,0)</f>
        <v>10</v>
      </c>
      <c r="P443" s="6"/>
      <c r="Q443" s="6" t="str">
        <f t="shared" si="4"/>
        <v>Week 10</v>
      </c>
      <c r="R443" s="6" t="str">
        <f t="shared" si="5"/>
        <v>2013Week 10</v>
      </c>
      <c r="S443" s="6">
        <f>IFERROR(__xludf.DUMMYFUNCTION("rank(J443,FILTER(J:J,R:R=R443))"),4.0)</f>
        <v>4</v>
      </c>
      <c r="T443" s="6">
        <f t="shared" si="6"/>
        <v>8</v>
      </c>
      <c r="U443" s="6">
        <f t="shared" si="7"/>
        <v>4</v>
      </c>
      <c r="V443" s="42">
        <f>averageif(AllData!A:A,B443,AllData!R:R)/vlookup(B443,AllData!A:O,15,0)</f>
        <v>92.82051282</v>
      </c>
      <c r="W443" s="6"/>
    </row>
    <row r="444" ht="14.25" customHeight="1">
      <c r="A444" s="6" t="str">
        <f t="shared" si="1"/>
        <v>2013KnardDawg10</v>
      </c>
      <c r="B444" s="6">
        <v>2013.0</v>
      </c>
      <c r="C444" s="6" t="s">
        <v>86</v>
      </c>
      <c r="D444" s="6" t="s">
        <v>149</v>
      </c>
      <c r="E444" s="34">
        <v>42129.0</v>
      </c>
      <c r="F444" s="6" t="s">
        <v>1707</v>
      </c>
      <c r="G444" s="6" t="s">
        <v>114</v>
      </c>
      <c r="H444" s="6" t="s">
        <v>1708</v>
      </c>
      <c r="I444" s="35" t="s">
        <v>77</v>
      </c>
      <c r="J444" s="36">
        <v>71.8</v>
      </c>
      <c r="K444" s="36">
        <v>67.2</v>
      </c>
      <c r="L444" s="36">
        <f t="shared" si="2"/>
        <v>1</v>
      </c>
      <c r="M444" s="36" t="str">
        <f t="shared" si="3"/>
        <v>Regular Season</v>
      </c>
      <c r="N444" s="36" t="str">
        <f>IFERROR(VLOOKUP(I444,Mapped_Owner,2,0),"")</f>
        <v>Salty</v>
      </c>
      <c r="O444" s="6">
        <f>VLOOKUP(D444,'Mapped Opponent'!$G$4:$H$22,2,0)</f>
        <v>10</v>
      </c>
      <c r="P444" s="6"/>
      <c r="Q444" s="6" t="str">
        <f t="shared" si="4"/>
        <v>Week 10</v>
      </c>
      <c r="R444" s="6" t="str">
        <f t="shared" si="5"/>
        <v>2013Week 10</v>
      </c>
      <c r="S444" s="6">
        <f>IFERROR(__xludf.DUMMYFUNCTION("rank(J444,FILTER(J:J,R:R=R444))"),10.0)</f>
        <v>10</v>
      </c>
      <c r="T444" s="6">
        <f t="shared" si="6"/>
        <v>2</v>
      </c>
      <c r="U444" s="6">
        <f t="shared" si="7"/>
        <v>10</v>
      </c>
      <c r="V444" s="42">
        <f>averageif(AllData!A:A,B444,AllData!R:R)/vlookup(B444,AllData!A:O,15,0)</f>
        <v>92.82051282</v>
      </c>
      <c r="W444" s="6"/>
    </row>
    <row r="445" ht="14.25" customHeight="1">
      <c r="A445" s="6" t="str">
        <f t="shared" si="1"/>
        <v>2013T-How10</v>
      </c>
      <c r="B445" s="6">
        <v>2013.0</v>
      </c>
      <c r="C445" s="6" t="s">
        <v>82</v>
      </c>
      <c r="D445" s="6" t="s">
        <v>149</v>
      </c>
      <c r="E445" s="34">
        <v>42159.0</v>
      </c>
      <c r="F445" s="6" t="s">
        <v>1709</v>
      </c>
      <c r="G445" s="6" t="s">
        <v>125</v>
      </c>
      <c r="H445" s="6" t="s">
        <v>1710</v>
      </c>
      <c r="I445" s="35" t="s">
        <v>54</v>
      </c>
      <c r="J445" s="36">
        <v>89.1</v>
      </c>
      <c r="K445" s="36">
        <v>93.3</v>
      </c>
      <c r="L445" s="36">
        <f t="shared" si="2"/>
        <v>0</v>
      </c>
      <c r="M445" s="36" t="str">
        <f t="shared" si="3"/>
        <v>Regular Season</v>
      </c>
      <c r="N445" s="36" t="str">
        <f>IFERROR(VLOOKUP(I445,Mapped_Owner,2,0),"")</f>
        <v>Tayski</v>
      </c>
      <c r="O445" s="6">
        <f>VLOOKUP(D445,'Mapped Opponent'!$G$4:$H$22,2,0)</f>
        <v>10</v>
      </c>
      <c r="P445" s="6"/>
      <c r="Q445" s="6" t="str">
        <f t="shared" si="4"/>
        <v>Week 10</v>
      </c>
      <c r="R445" s="6" t="str">
        <f t="shared" si="5"/>
        <v>2013Week 10</v>
      </c>
      <c r="S445" s="6">
        <f>IFERROR(__xludf.DUMMYFUNCTION("rank(J445,FILTER(J:J,R:R=R445))"),7.0)</f>
        <v>7</v>
      </c>
      <c r="T445" s="6">
        <f t="shared" si="6"/>
        <v>5</v>
      </c>
      <c r="U445" s="6">
        <f t="shared" si="7"/>
        <v>7</v>
      </c>
      <c r="V445" s="42">
        <f>averageif(AllData!A:A,B445,AllData!R:R)/vlookup(B445,AllData!A:O,15,0)</f>
        <v>92.82051282</v>
      </c>
      <c r="W445" s="6"/>
    </row>
    <row r="446" ht="14.25" customHeight="1">
      <c r="A446" s="6" t="str">
        <f t="shared" si="1"/>
        <v>2013Hudspeath11</v>
      </c>
      <c r="B446" s="6">
        <v>2013.0</v>
      </c>
      <c r="C446" s="6" t="s">
        <v>39</v>
      </c>
      <c r="D446" s="6" t="s">
        <v>150</v>
      </c>
      <c r="E446" s="34">
        <v>42189.0</v>
      </c>
      <c r="F446" s="6" t="s">
        <v>1711</v>
      </c>
      <c r="G446" s="6" t="s">
        <v>114</v>
      </c>
      <c r="H446" s="6" t="s">
        <v>1712</v>
      </c>
      <c r="I446" s="35" t="s">
        <v>54</v>
      </c>
      <c r="J446" s="36">
        <v>94.7</v>
      </c>
      <c r="K446" s="36">
        <v>125.0</v>
      </c>
      <c r="L446" s="36">
        <f t="shared" si="2"/>
        <v>0</v>
      </c>
      <c r="M446" s="36" t="str">
        <f t="shared" si="3"/>
        <v>Regular Season</v>
      </c>
      <c r="N446" s="36" t="str">
        <f>IFERROR(VLOOKUP(I446,Mapped_Owner,2,0),"")</f>
        <v>Tayski</v>
      </c>
      <c r="O446" s="6">
        <f>VLOOKUP(D446,'Mapped Opponent'!$G$4:$H$22,2,0)</f>
        <v>11</v>
      </c>
      <c r="P446" s="6"/>
      <c r="Q446" s="6" t="str">
        <f t="shared" si="4"/>
        <v>Week 11</v>
      </c>
      <c r="R446" s="6" t="str">
        <f t="shared" si="5"/>
        <v>2013Week 11</v>
      </c>
      <c r="S446" s="6">
        <f>IFERROR(__xludf.DUMMYFUNCTION("rank(J446,FILTER(J:J,R:R=R446))"),4.0)</f>
        <v>4</v>
      </c>
      <c r="T446" s="6">
        <f t="shared" si="6"/>
        <v>8</v>
      </c>
      <c r="U446" s="6">
        <f t="shared" si="7"/>
        <v>4</v>
      </c>
      <c r="V446" s="42">
        <f>averageif(AllData!A:A,B446,AllData!R:R)/vlookup(B446,AllData!A:O,15,0)</f>
        <v>92.82051282</v>
      </c>
      <c r="W446" s="6"/>
    </row>
    <row r="447" ht="14.25" customHeight="1">
      <c r="A447" s="6" t="str">
        <f t="shared" si="1"/>
        <v>2013Salty11</v>
      </c>
      <c r="B447" s="6">
        <v>2013.0</v>
      </c>
      <c r="C447" s="6" t="s">
        <v>76</v>
      </c>
      <c r="D447" s="6" t="s">
        <v>150</v>
      </c>
      <c r="E447" s="34">
        <v>42130.0</v>
      </c>
      <c r="F447" s="6" t="s">
        <v>1713</v>
      </c>
      <c r="G447" s="6" t="s">
        <v>114</v>
      </c>
      <c r="H447" s="6" t="s">
        <v>1714</v>
      </c>
      <c r="I447" s="35" t="s">
        <v>85</v>
      </c>
      <c r="J447" s="36">
        <v>79.2</v>
      </c>
      <c r="K447" s="36">
        <v>73.4</v>
      </c>
      <c r="L447" s="36">
        <f t="shared" si="2"/>
        <v>1</v>
      </c>
      <c r="M447" s="36" t="str">
        <f t="shared" si="3"/>
        <v>Regular Season</v>
      </c>
      <c r="N447" s="36" t="str">
        <f>IFERROR(VLOOKUP(I447,Mapped_Owner,2,0),"")</f>
        <v>T-How</v>
      </c>
      <c r="O447" s="6">
        <f>VLOOKUP(D447,'Mapped Opponent'!$G$4:$H$22,2,0)</f>
        <v>11</v>
      </c>
      <c r="P447" s="6"/>
      <c r="Q447" s="6" t="str">
        <f t="shared" si="4"/>
        <v>Week 11</v>
      </c>
      <c r="R447" s="6" t="str">
        <f t="shared" si="5"/>
        <v>2013Week 11</v>
      </c>
      <c r="S447" s="6">
        <f>IFERROR(__xludf.DUMMYFUNCTION("rank(J447,FILTER(J:J,R:R=R447))"),9.0)</f>
        <v>9</v>
      </c>
      <c r="T447" s="6">
        <f t="shared" si="6"/>
        <v>3</v>
      </c>
      <c r="U447" s="6">
        <f t="shared" si="7"/>
        <v>9</v>
      </c>
      <c r="V447" s="42">
        <f>averageif(AllData!A:A,B447,AllData!R:R)/vlookup(B447,AllData!A:O,15,0)</f>
        <v>92.82051282</v>
      </c>
      <c r="W447" s="6"/>
    </row>
    <row r="448" ht="14.25" customHeight="1">
      <c r="A448" s="6" t="str">
        <f t="shared" si="1"/>
        <v>2013Fellows11</v>
      </c>
      <c r="B448" s="6">
        <v>2013.0</v>
      </c>
      <c r="C448" s="6" t="s">
        <v>79</v>
      </c>
      <c r="D448" s="6" t="s">
        <v>150</v>
      </c>
      <c r="E448" s="34">
        <v>42160.0</v>
      </c>
      <c r="F448" s="6" t="s">
        <v>1715</v>
      </c>
      <c r="G448" s="6" t="s">
        <v>114</v>
      </c>
      <c r="H448" s="6" t="s">
        <v>1716</v>
      </c>
      <c r="I448" s="35" t="s">
        <v>132</v>
      </c>
      <c r="J448" s="36">
        <v>101.0</v>
      </c>
      <c r="K448" s="36">
        <v>78.9</v>
      </c>
      <c r="L448" s="36">
        <f t="shared" si="2"/>
        <v>1</v>
      </c>
      <c r="M448" s="36" t="str">
        <f t="shared" si="3"/>
        <v>Regular Season</v>
      </c>
      <c r="N448" s="36" t="str">
        <f>IFERROR(VLOOKUP(I448,Mapped_Owner,2,0),"")</f>
        <v>KnardDawg</v>
      </c>
      <c r="O448" s="6">
        <f>VLOOKUP(D448,'Mapped Opponent'!$G$4:$H$22,2,0)</f>
        <v>11</v>
      </c>
      <c r="P448" s="6"/>
      <c r="Q448" s="6" t="str">
        <f t="shared" si="4"/>
        <v>Week 11</v>
      </c>
      <c r="R448" s="6" t="str">
        <f t="shared" si="5"/>
        <v>2013Week 11</v>
      </c>
      <c r="S448" s="6">
        <f>IFERROR(__xludf.DUMMYFUNCTION("rank(J448,FILTER(J:J,R:R=R448))"),3.0)</f>
        <v>3</v>
      </c>
      <c r="T448" s="6">
        <f t="shared" si="6"/>
        <v>9</v>
      </c>
      <c r="U448" s="6">
        <f t="shared" si="7"/>
        <v>3</v>
      </c>
      <c r="V448" s="42">
        <f>averageif(AllData!A:A,B448,AllData!R:R)/vlookup(B448,AllData!A:O,15,0)</f>
        <v>92.82051282</v>
      </c>
      <c r="W448" s="6"/>
    </row>
    <row r="449" ht="14.25" customHeight="1">
      <c r="A449" s="6" t="str">
        <f t="shared" si="1"/>
        <v>2013Shep11</v>
      </c>
      <c r="B449" s="6">
        <v>2013.0</v>
      </c>
      <c r="C449" s="6" t="s">
        <v>89</v>
      </c>
      <c r="D449" s="6" t="s">
        <v>150</v>
      </c>
      <c r="E449" s="34">
        <v>42071.0</v>
      </c>
      <c r="F449" s="6" t="s">
        <v>1717</v>
      </c>
      <c r="G449" s="6" t="s">
        <v>114</v>
      </c>
      <c r="H449" s="6" t="s">
        <v>1718</v>
      </c>
      <c r="I449" s="35" t="s">
        <v>99</v>
      </c>
      <c r="J449" s="36">
        <v>61.7</v>
      </c>
      <c r="K449" s="36">
        <v>128.0</v>
      </c>
      <c r="L449" s="36">
        <f t="shared" si="2"/>
        <v>0</v>
      </c>
      <c r="M449" s="36" t="str">
        <f t="shared" si="3"/>
        <v>Regular Season</v>
      </c>
      <c r="N449" s="36" t="str">
        <f>IFERROR(VLOOKUP(I449,Mapped_Owner,2,0),"")</f>
        <v>Cock</v>
      </c>
      <c r="O449" s="6">
        <f>VLOOKUP(D449,'Mapped Opponent'!$G$4:$H$22,2,0)</f>
        <v>11</v>
      </c>
      <c r="P449" s="6"/>
      <c r="Q449" s="6" t="str">
        <f t="shared" si="4"/>
        <v>Week 11</v>
      </c>
      <c r="R449" s="6" t="str">
        <f t="shared" si="5"/>
        <v>2013Week 11</v>
      </c>
      <c r="S449" s="6">
        <f>IFERROR(__xludf.DUMMYFUNCTION("rank(J449,FILTER(J:J,R:R=R449))"),12.0)</f>
        <v>12</v>
      </c>
      <c r="T449" s="6">
        <f t="shared" si="6"/>
        <v>0</v>
      </c>
      <c r="U449" s="6">
        <f t="shared" si="7"/>
        <v>12</v>
      </c>
      <c r="V449" s="42">
        <f>averageif(AllData!A:A,B449,AllData!R:R)/vlookup(B449,AllData!A:O,15,0)</f>
        <v>92.82051282</v>
      </c>
      <c r="W449" s="6"/>
    </row>
    <row r="450" ht="14.25" customHeight="1">
      <c r="A450" s="6" t="str">
        <f t="shared" si="1"/>
        <v>2013Riley11</v>
      </c>
      <c r="B450" s="6">
        <v>2013.0</v>
      </c>
      <c r="C450" s="6" t="s">
        <v>67</v>
      </c>
      <c r="D450" s="6" t="s">
        <v>150</v>
      </c>
      <c r="E450" s="34">
        <v>42130.0</v>
      </c>
      <c r="F450" s="6" t="s">
        <v>1719</v>
      </c>
      <c r="G450" s="6" t="s">
        <v>114</v>
      </c>
      <c r="H450" s="6" t="s">
        <v>1720</v>
      </c>
      <c r="I450" s="35" t="s">
        <v>93</v>
      </c>
      <c r="J450" s="36">
        <v>82.6</v>
      </c>
      <c r="K450" s="36">
        <v>85.4</v>
      </c>
      <c r="L450" s="36">
        <f t="shared" si="2"/>
        <v>0</v>
      </c>
      <c r="M450" s="36" t="str">
        <f t="shared" si="3"/>
        <v>Regular Season</v>
      </c>
      <c r="N450" s="36" t="str">
        <f>IFERROR(VLOOKUP(I450,Mapped_Owner,2,0),"")</f>
        <v>Pierson</v>
      </c>
      <c r="O450" s="6">
        <f>VLOOKUP(D450,'Mapped Opponent'!$G$4:$H$22,2,0)</f>
        <v>11</v>
      </c>
      <c r="P450" s="6"/>
      <c r="Q450" s="6" t="str">
        <f t="shared" si="4"/>
        <v>Week 11</v>
      </c>
      <c r="R450" s="6" t="str">
        <f t="shared" si="5"/>
        <v>2013Week 11</v>
      </c>
      <c r="S450" s="6">
        <f>IFERROR(__xludf.DUMMYFUNCTION("rank(J450,FILTER(J:J,R:R=R450))"),8.0)</f>
        <v>8</v>
      </c>
      <c r="T450" s="6">
        <f t="shared" si="6"/>
        <v>4</v>
      </c>
      <c r="U450" s="6">
        <f t="shared" si="7"/>
        <v>8</v>
      </c>
      <c r="V450" s="42">
        <f>averageif(AllData!A:A,B450,AllData!R:R)/vlookup(B450,AllData!A:O,15,0)</f>
        <v>92.82051282</v>
      </c>
      <c r="W450" s="6"/>
    </row>
    <row r="451" ht="14.25" customHeight="1">
      <c r="A451" s="6" t="str">
        <f t="shared" si="1"/>
        <v>2013Rooney/Jackson11</v>
      </c>
      <c r="B451" s="6">
        <v>2013.0</v>
      </c>
      <c r="C451" s="6" t="s">
        <v>57</v>
      </c>
      <c r="D451" s="6" t="s">
        <v>150</v>
      </c>
      <c r="E451" s="34">
        <v>42160.0</v>
      </c>
      <c r="F451" s="6" t="s">
        <v>1721</v>
      </c>
      <c r="G451" s="6" t="s">
        <v>114</v>
      </c>
      <c r="H451" s="6" t="s">
        <v>1722</v>
      </c>
      <c r="I451" s="35" t="s">
        <v>50</v>
      </c>
      <c r="J451" s="36">
        <v>94.0</v>
      </c>
      <c r="K451" s="36">
        <v>89.9</v>
      </c>
      <c r="L451" s="36">
        <f t="shared" si="2"/>
        <v>1</v>
      </c>
      <c r="M451" s="36" t="str">
        <f t="shared" si="3"/>
        <v>Regular Season</v>
      </c>
      <c r="N451" s="36" t="str">
        <f>IFERROR(VLOOKUP(I451,Mapped_Owner,2,0),"")</f>
        <v>Buser</v>
      </c>
      <c r="O451" s="6">
        <f>VLOOKUP(D451,'Mapped Opponent'!$G$4:$H$22,2,0)</f>
        <v>11</v>
      </c>
      <c r="P451" s="6"/>
      <c r="Q451" s="6" t="str">
        <f t="shared" si="4"/>
        <v>Week 11</v>
      </c>
      <c r="R451" s="6" t="str">
        <f t="shared" si="5"/>
        <v>2013Week 11</v>
      </c>
      <c r="S451" s="6">
        <f>IFERROR(__xludf.DUMMYFUNCTION("rank(J451,FILTER(J:J,R:R=R451))"),5.0)</f>
        <v>5</v>
      </c>
      <c r="T451" s="6">
        <f t="shared" si="6"/>
        <v>7</v>
      </c>
      <c r="U451" s="6">
        <f t="shared" si="7"/>
        <v>5</v>
      </c>
      <c r="V451" s="42">
        <f>averageif(AllData!A:A,B451,AllData!R:R)/vlookup(B451,AllData!A:O,15,0)</f>
        <v>92.82051282</v>
      </c>
      <c r="W451" s="6"/>
    </row>
    <row r="452" ht="14.25" customHeight="1">
      <c r="A452" s="6" t="str">
        <f t="shared" si="1"/>
        <v>2013Buser11</v>
      </c>
      <c r="B452" s="6">
        <v>2013.0</v>
      </c>
      <c r="C452" s="6" t="s">
        <v>47</v>
      </c>
      <c r="D452" s="6" t="s">
        <v>150</v>
      </c>
      <c r="E452" s="34">
        <v>42160.0</v>
      </c>
      <c r="F452" s="6" t="s">
        <v>1723</v>
      </c>
      <c r="G452" s="6" t="s">
        <v>125</v>
      </c>
      <c r="H452" s="6" t="s">
        <v>1724</v>
      </c>
      <c r="I452" s="35" t="s">
        <v>58</v>
      </c>
      <c r="J452" s="36">
        <v>89.9</v>
      </c>
      <c r="K452" s="36">
        <v>94.0</v>
      </c>
      <c r="L452" s="36">
        <f t="shared" si="2"/>
        <v>0</v>
      </c>
      <c r="M452" s="36" t="str">
        <f t="shared" si="3"/>
        <v>Regular Season</v>
      </c>
      <c r="N452" s="36" t="str">
        <f>IFERROR(VLOOKUP(I452,Mapped_Owner,2,0),"")</f>
        <v>Rooney/Jackson</v>
      </c>
      <c r="O452" s="6">
        <f>VLOOKUP(D452,'Mapped Opponent'!$G$4:$H$22,2,0)</f>
        <v>11</v>
      </c>
      <c r="P452" s="6"/>
      <c r="Q452" s="6" t="str">
        <f t="shared" si="4"/>
        <v>Week 11</v>
      </c>
      <c r="R452" s="6" t="str">
        <f t="shared" si="5"/>
        <v>2013Week 11</v>
      </c>
      <c r="S452" s="6">
        <f>IFERROR(__xludf.DUMMYFUNCTION("rank(J452,FILTER(J:J,R:R=R452))"),6.0)</f>
        <v>6</v>
      </c>
      <c r="T452" s="6">
        <f t="shared" si="6"/>
        <v>6</v>
      </c>
      <c r="U452" s="6">
        <f t="shared" si="7"/>
        <v>6</v>
      </c>
      <c r="V452" s="42">
        <f>averageif(AllData!A:A,B452,AllData!R:R)/vlookup(B452,AllData!A:O,15,0)</f>
        <v>92.82051282</v>
      </c>
      <c r="W452" s="6"/>
    </row>
    <row r="453" ht="14.25" customHeight="1">
      <c r="A453" s="6" t="str">
        <f t="shared" si="1"/>
        <v>2013Pierson11</v>
      </c>
      <c r="B453" s="6">
        <v>2013.0</v>
      </c>
      <c r="C453" s="6" t="s">
        <v>92</v>
      </c>
      <c r="D453" s="6" t="s">
        <v>150</v>
      </c>
      <c r="E453" s="34">
        <v>42101.0</v>
      </c>
      <c r="F453" s="6" t="s">
        <v>1725</v>
      </c>
      <c r="G453" s="6" t="s">
        <v>125</v>
      </c>
      <c r="H453" s="6" t="s">
        <v>1726</v>
      </c>
      <c r="I453" s="35" t="s">
        <v>68</v>
      </c>
      <c r="J453" s="36">
        <v>85.4</v>
      </c>
      <c r="K453" s="36">
        <v>82.6</v>
      </c>
      <c r="L453" s="36">
        <f t="shared" si="2"/>
        <v>1</v>
      </c>
      <c r="M453" s="36" t="str">
        <f t="shared" si="3"/>
        <v>Regular Season</v>
      </c>
      <c r="N453" s="36" t="str">
        <f>IFERROR(VLOOKUP(I453,Mapped_Owner,2,0),"")</f>
        <v>Riley</v>
      </c>
      <c r="O453" s="6">
        <f>VLOOKUP(D453,'Mapped Opponent'!$G$4:$H$22,2,0)</f>
        <v>11</v>
      </c>
      <c r="P453" s="6"/>
      <c r="Q453" s="6" t="str">
        <f t="shared" si="4"/>
        <v>Week 11</v>
      </c>
      <c r="R453" s="6" t="str">
        <f t="shared" si="5"/>
        <v>2013Week 11</v>
      </c>
      <c r="S453" s="6">
        <f>IFERROR(__xludf.DUMMYFUNCTION("rank(J453,FILTER(J:J,R:R=R453))"),7.0)</f>
        <v>7</v>
      </c>
      <c r="T453" s="6">
        <f t="shared" si="6"/>
        <v>5</v>
      </c>
      <c r="U453" s="6">
        <f t="shared" si="7"/>
        <v>7</v>
      </c>
      <c r="V453" s="42">
        <f>averageif(AllData!A:A,B453,AllData!R:R)/vlookup(B453,AllData!A:O,15,0)</f>
        <v>92.82051282</v>
      </c>
      <c r="W453" s="6"/>
    </row>
    <row r="454" ht="14.25" customHeight="1">
      <c r="A454" s="6" t="str">
        <f t="shared" si="1"/>
        <v>2013Cock11</v>
      </c>
      <c r="B454" s="6">
        <v>2013.0</v>
      </c>
      <c r="C454" s="6" t="s">
        <v>72</v>
      </c>
      <c r="D454" s="6" t="s">
        <v>150</v>
      </c>
      <c r="E454" s="34">
        <v>42160.0</v>
      </c>
      <c r="F454" s="6" t="s">
        <v>1727</v>
      </c>
      <c r="G454" s="6" t="s">
        <v>125</v>
      </c>
      <c r="H454" s="6" t="s">
        <v>1728</v>
      </c>
      <c r="I454" s="35" t="s">
        <v>91</v>
      </c>
      <c r="J454" s="36">
        <v>128.0</v>
      </c>
      <c r="K454" s="36">
        <v>61.7</v>
      </c>
      <c r="L454" s="36">
        <f t="shared" si="2"/>
        <v>1</v>
      </c>
      <c r="M454" s="36" t="str">
        <f t="shared" si="3"/>
        <v>Regular Season</v>
      </c>
      <c r="N454" s="36" t="str">
        <f>IFERROR(VLOOKUP(I454,Mapped_Owner,2,0),"")</f>
        <v>Shep</v>
      </c>
      <c r="O454" s="6">
        <f>VLOOKUP(D454,'Mapped Opponent'!$G$4:$H$22,2,0)</f>
        <v>11</v>
      </c>
      <c r="P454" s="6"/>
      <c r="Q454" s="6" t="str">
        <f t="shared" si="4"/>
        <v>Week 11</v>
      </c>
      <c r="R454" s="6" t="str">
        <f t="shared" si="5"/>
        <v>2013Week 11</v>
      </c>
      <c r="S454" s="6">
        <f>IFERROR(__xludf.DUMMYFUNCTION("rank(J454,FILTER(J:J,R:R=R454))"),1.0)</f>
        <v>1</v>
      </c>
      <c r="T454" s="6">
        <f t="shared" si="6"/>
        <v>11</v>
      </c>
      <c r="U454" s="6">
        <f t="shared" si="7"/>
        <v>1</v>
      </c>
      <c r="V454" s="42">
        <f>averageif(AllData!A:A,B454,AllData!R:R)/vlookup(B454,AllData!A:O,15,0)</f>
        <v>92.82051282</v>
      </c>
      <c r="W454" s="6"/>
    </row>
    <row r="455" ht="14.25" customHeight="1">
      <c r="A455" s="6" t="str">
        <f t="shared" si="1"/>
        <v>2013Tayski11</v>
      </c>
      <c r="B455" s="6">
        <v>2013.0</v>
      </c>
      <c r="C455" s="6" t="s">
        <v>52</v>
      </c>
      <c r="D455" s="6" t="s">
        <v>150</v>
      </c>
      <c r="E455" s="34">
        <v>42189.0</v>
      </c>
      <c r="F455" s="6" t="s">
        <v>1729</v>
      </c>
      <c r="G455" s="6" t="s">
        <v>125</v>
      </c>
      <c r="H455" s="6" t="s">
        <v>1730</v>
      </c>
      <c r="I455" s="35" t="s">
        <v>64</v>
      </c>
      <c r="J455" s="36">
        <v>125.0</v>
      </c>
      <c r="K455" s="36">
        <v>94.7</v>
      </c>
      <c r="L455" s="36">
        <f t="shared" si="2"/>
        <v>1</v>
      </c>
      <c r="M455" s="36" t="str">
        <f t="shared" si="3"/>
        <v>Regular Season</v>
      </c>
      <c r="N455" s="36" t="str">
        <f>IFERROR(VLOOKUP(I455,Mapped_Owner,2,0),"")</f>
        <v>Hudspeath</v>
      </c>
      <c r="O455" s="6">
        <f>VLOOKUP(D455,'Mapped Opponent'!$G$4:$H$22,2,0)</f>
        <v>11</v>
      </c>
      <c r="P455" s="6"/>
      <c r="Q455" s="6" t="str">
        <f t="shared" si="4"/>
        <v>Week 11</v>
      </c>
      <c r="R455" s="6" t="str">
        <f t="shared" si="5"/>
        <v>2013Week 11</v>
      </c>
      <c r="S455" s="6">
        <f>IFERROR(__xludf.DUMMYFUNCTION("rank(J455,FILTER(J:J,R:R=R455))"),2.0)</f>
        <v>2</v>
      </c>
      <c r="T455" s="6">
        <f t="shared" si="6"/>
        <v>10</v>
      </c>
      <c r="U455" s="6">
        <f t="shared" si="7"/>
        <v>2</v>
      </c>
      <c r="V455" s="42">
        <f>averageif(AllData!A:A,B455,AllData!R:R)/vlookup(B455,AllData!A:O,15,0)</f>
        <v>92.82051282</v>
      </c>
      <c r="W455" s="6"/>
    </row>
    <row r="456" ht="14.25" customHeight="1">
      <c r="A456" s="6" t="str">
        <f t="shared" si="1"/>
        <v>2013KnardDawg11</v>
      </c>
      <c r="B456" s="6">
        <v>2013.0</v>
      </c>
      <c r="C456" s="6" t="s">
        <v>86</v>
      </c>
      <c r="D456" s="6" t="s">
        <v>150</v>
      </c>
      <c r="E456" s="34">
        <v>42130.0</v>
      </c>
      <c r="F456" s="6" t="s">
        <v>1731</v>
      </c>
      <c r="G456" s="6" t="s">
        <v>125</v>
      </c>
      <c r="H456" s="6" t="s">
        <v>1732</v>
      </c>
      <c r="I456" s="35" t="s">
        <v>80</v>
      </c>
      <c r="J456" s="36">
        <v>78.9</v>
      </c>
      <c r="K456" s="36">
        <v>101.0</v>
      </c>
      <c r="L456" s="36">
        <f t="shared" si="2"/>
        <v>0</v>
      </c>
      <c r="M456" s="36" t="str">
        <f t="shared" si="3"/>
        <v>Regular Season</v>
      </c>
      <c r="N456" s="36" t="str">
        <f>IFERROR(VLOOKUP(I456,Mapped_Owner,2,0),"")</f>
        <v>Fellows</v>
      </c>
      <c r="O456" s="6">
        <f>VLOOKUP(D456,'Mapped Opponent'!$G$4:$H$22,2,0)</f>
        <v>11</v>
      </c>
      <c r="P456" s="6"/>
      <c r="Q456" s="6" t="str">
        <f t="shared" si="4"/>
        <v>Week 11</v>
      </c>
      <c r="R456" s="6" t="str">
        <f t="shared" si="5"/>
        <v>2013Week 11</v>
      </c>
      <c r="S456" s="6">
        <f>IFERROR(__xludf.DUMMYFUNCTION("rank(J456,FILTER(J:J,R:R=R456))"),10.0)</f>
        <v>10</v>
      </c>
      <c r="T456" s="6">
        <f t="shared" si="6"/>
        <v>2</v>
      </c>
      <c r="U456" s="6">
        <f t="shared" si="7"/>
        <v>10</v>
      </c>
      <c r="V456" s="42">
        <f>averageif(AllData!A:A,B456,AllData!R:R)/vlookup(B456,AllData!A:O,15,0)</f>
        <v>92.82051282</v>
      </c>
      <c r="W456" s="6"/>
    </row>
    <row r="457" ht="14.25" customHeight="1">
      <c r="A457" s="6" t="str">
        <f t="shared" si="1"/>
        <v>2013T-How11</v>
      </c>
      <c r="B457" s="6">
        <v>2013.0</v>
      </c>
      <c r="C457" s="6" t="s">
        <v>82</v>
      </c>
      <c r="D457" s="6" t="s">
        <v>150</v>
      </c>
      <c r="E457" s="34">
        <v>42160.0</v>
      </c>
      <c r="F457" s="6" t="s">
        <v>1733</v>
      </c>
      <c r="G457" s="6" t="s">
        <v>125</v>
      </c>
      <c r="H457" s="6" t="s">
        <v>1734</v>
      </c>
      <c r="I457" s="35" t="s">
        <v>77</v>
      </c>
      <c r="J457" s="36">
        <v>73.4</v>
      </c>
      <c r="K457" s="36">
        <v>79.2</v>
      </c>
      <c r="L457" s="36">
        <f t="shared" si="2"/>
        <v>0</v>
      </c>
      <c r="M457" s="36" t="str">
        <f t="shared" si="3"/>
        <v>Regular Season</v>
      </c>
      <c r="N457" s="36" t="str">
        <f>IFERROR(VLOOKUP(I457,Mapped_Owner,2,0),"")</f>
        <v>Salty</v>
      </c>
      <c r="O457" s="6">
        <f>VLOOKUP(D457,'Mapped Opponent'!$G$4:$H$22,2,0)</f>
        <v>11</v>
      </c>
      <c r="P457" s="6"/>
      <c r="Q457" s="6" t="str">
        <f t="shared" si="4"/>
        <v>Week 11</v>
      </c>
      <c r="R457" s="6" t="str">
        <f t="shared" si="5"/>
        <v>2013Week 11</v>
      </c>
      <c r="S457" s="6">
        <f>IFERROR(__xludf.DUMMYFUNCTION("rank(J457,FILTER(J:J,R:R=R457))"),11.0)</f>
        <v>11</v>
      </c>
      <c r="T457" s="6">
        <f t="shared" si="6"/>
        <v>1</v>
      </c>
      <c r="U457" s="6">
        <f t="shared" si="7"/>
        <v>11</v>
      </c>
      <c r="V457" s="42">
        <f>averageif(AllData!A:A,B457,AllData!R:R)/vlookup(B457,AllData!A:O,15,0)</f>
        <v>92.82051282</v>
      </c>
      <c r="W457" s="6"/>
    </row>
    <row r="458" ht="14.25" customHeight="1">
      <c r="A458" s="6" t="str">
        <f t="shared" si="1"/>
        <v>2013Hudspeath12</v>
      </c>
      <c r="B458" s="6">
        <v>2013.0</v>
      </c>
      <c r="C458" s="6" t="s">
        <v>39</v>
      </c>
      <c r="D458" s="6" t="s">
        <v>151</v>
      </c>
      <c r="E458" s="34">
        <v>42220.0</v>
      </c>
      <c r="F458" s="6" t="s">
        <v>1735</v>
      </c>
      <c r="G458" s="6" t="s">
        <v>125</v>
      </c>
      <c r="H458" s="6" t="s">
        <v>1736</v>
      </c>
      <c r="I458" s="35" t="s">
        <v>85</v>
      </c>
      <c r="J458" s="36">
        <v>93.6</v>
      </c>
      <c r="K458" s="36">
        <v>82.9</v>
      </c>
      <c r="L458" s="36">
        <f t="shared" si="2"/>
        <v>1</v>
      </c>
      <c r="M458" s="36" t="str">
        <f t="shared" si="3"/>
        <v>Regular Season</v>
      </c>
      <c r="N458" s="36" t="str">
        <f>IFERROR(VLOOKUP(I458,Mapped_Owner,2,0),"")</f>
        <v>T-How</v>
      </c>
      <c r="O458" s="6">
        <f>VLOOKUP(D458,'Mapped Opponent'!$G$4:$H$22,2,0)</f>
        <v>12</v>
      </c>
      <c r="P458" s="6"/>
      <c r="Q458" s="6" t="str">
        <f t="shared" si="4"/>
        <v>Week 12</v>
      </c>
      <c r="R458" s="6" t="str">
        <f t="shared" si="5"/>
        <v>2013Week 12</v>
      </c>
      <c r="S458" s="6">
        <f>IFERROR(__xludf.DUMMYFUNCTION("rank(J458,FILTER(J:J,R:R=R458))"),5.0)</f>
        <v>5</v>
      </c>
      <c r="T458" s="6">
        <f t="shared" si="6"/>
        <v>7</v>
      </c>
      <c r="U458" s="6">
        <f t="shared" si="7"/>
        <v>5</v>
      </c>
      <c r="V458" s="42">
        <f>averageif(AllData!A:A,B458,AllData!R:R)/vlookup(B458,AllData!A:O,15,0)</f>
        <v>92.82051282</v>
      </c>
      <c r="W458" s="6"/>
    </row>
    <row r="459" ht="14.25" customHeight="1">
      <c r="A459" s="6" t="str">
        <f t="shared" si="1"/>
        <v>2013Salty12</v>
      </c>
      <c r="B459" s="6">
        <v>2013.0</v>
      </c>
      <c r="C459" s="6" t="s">
        <v>76</v>
      </c>
      <c r="D459" s="6" t="s">
        <v>151</v>
      </c>
      <c r="E459" s="34">
        <v>42161.0</v>
      </c>
      <c r="F459" s="6" t="s">
        <v>1737</v>
      </c>
      <c r="G459" s="6" t="s">
        <v>125</v>
      </c>
      <c r="H459" s="6" t="s">
        <v>1738</v>
      </c>
      <c r="I459" s="35" t="s">
        <v>80</v>
      </c>
      <c r="J459" s="36">
        <v>72.7</v>
      </c>
      <c r="K459" s="36">
        <v>44.7</v>
      </c>
      <c r="L459" s="36">
        <f t="shared" si="2"/>
        <v>1</v>
      </c>
      <c r="M459" s="36" t="str">
        <f t="shared" si="3"/>
        <v>Regular Season</v>
      </c>
      <c r="N459" s="36" t="str">
        <f>IFERROR(VLOOKUP(I459,Mapped_Owner,2,0),"")</f>
        <v>Fellows</v>
      </c>
      <c r="O459" s="6">
        <f>VLOOKUP(D459,'Mapped Opponent'!$G$4:$H$22,2,0)</f>
        <v>12</v>
      </c>
      <c r="P459" s="6"/>
      <c r="Q459" s="6" t="str">
        <f t="shared" si="4"/>
        <v>Week 12</v>
      </c>
      <c r="R459" s="6" t="str">
        <f t="shared" si="5"/>
        <v>2013Week 12</v>
      </c>
      <c r="S459" s="6">
        <f>IFERROR(__xludf.DUMMYFUNCTION("rank(J459,FILTER(J:J,R:R=R459))"),10.0)</f>
        <v>10</v>
      </c>
      <c r="T459" s="6">
        <f t="shared" si="6"/>
        <v>2</v>
      </c>
      <c r="U459" s="6">
        <f t="shared" si="7"/>
        <v>10</v>
      </c>
      <c r="V459" s="42">
        <f>averageif(AllData!A:A,B459,AllData!R:R)/vlookup(B459,AllData!A:O,15,0)</f>
        <v>92.82051282</v>
      </c>
      <c r="W459" s="6"/>
    </row>
    <row r="460" ht="14.25" customHeight="1">
      <c r="A460" s="6" t="str">
        <f t="shared" si="1"/>
        <v>2013Fellows12</v>
      </c>
      <c r="B460" s="6">
        <v>2013.0</v>
      </c>
      <c r="C460" s="6" t="s">
        <v>79</v>
      </c>
      <c r="D460" s="6" t="s">
        <v>151</v>
      </c>
      <c r="E460" s="34">
        <v>42161.0</v>
      </c>
      <c r="F460" s="6" t="s">
        <v>1739</v>
      </c>
      <c r="G460" s="6" t="s">
        <v>114</v>
      </c>
      <c r="H460" s="6" t="s">
        <v>1740</v>
      </c>
      <c r="I460" s="35" t="s">
        <v>77</v>
      </c>
      <c r="J460" s="36">
        <v>44.7</v>
      </c>
      <c r="K460" s="36">
        <v>72.7</v>
      </c>
      <c r="L460" s="36">
        <f t="shared" si="2"/>
        <v>0</v>
      </c>
      <c r="M460" s="36" t="str">
        <f t="shared" si="3"/>
        <v>Regular Season</v>
      </c>
      <c r="N460" s="36" t="str">
        <f>IFERROR(VLOOKUP(I460,Mapped_Owner,2,0),"")</f>
        <v>Salty</v>
      </c>
      <c r="O460" s="6">
        <f>VLOOKUP(D460,'Mapped Opponent'!$G$4:$H$22,2,0)</f>
        <v>12</v>
      </c>
      <c r="P460" s="6"/>
      <c r="Q460" s="6" t="str">
        <f t="shared" si="4"/>
        <v>Week 12</v>
      </c>
      <c r="R460" s="6" t="str">
        <f t="shared" si="5"/>
        <v>2013Week 12</v>
      </c>
      <c r="S460" s="6">
        <f>IFERROR(__xludf.DUMMYFUNCTION("rank(J460,FILTER(J:J,R:R=R460))"),12.0)</f>
        <v>12</v>
      </c>
      <c r="T460" s="6">
        <f t="shared" si="6"/>
        <v>0</v>
      </c>
      <c r="U460" s="6">
        <f t="shared" si="7"/>
        <v>12</v>
      </c>
      <c r="V460" s="42">
        <f>averageif(AllData!A:A,B460,AllData!R:R)/vlookup(B460,AllData!A:O,15,0)</f>
        <v>92.82051282</v>
      </c>
      <c r="W460" s="6"/>
    </row>
    <row r="461" ht="14.25" customHeight="1">
      <c r="A461" s="6" t="str">
        <f t="shared" si="1"/>
        <v>2013Shep12</v>
      </c>
      <c r="B461" s="6">
        <v>2013.0</v>
      </c>
      <c r="C461" s="6" t="s">
        <v>89</v>
      </c>
      <c r="D461" s="6" t="s">
        <v>151</v>
      </c>
      <c r="E461" s="34">
        <v>42072.0</v>
      </c>
      <c r="F461" s="6" t="s">
        <v>1741</v>
      </c>
      <c r="G461" s="6" t="s">
        <v>125</v>
      </c>
      <c r="H461" s="6" t="s">
        <v>1742</v>
      </c>
      <c r="I461" s="35" t="s">
        <v>132</v>
      </c>
      <c r="J461" s="36">
        <v>60.1</v>
      </c>
      <c r="K461" s="36">
        <v>113.3</v>
      </c>
      <c r="L461" s="36">
        <f t="shared" si="2"/>
        <v>0</v>
      </c>
      <c r="M461" s="36" t="str">
        <f t="shared" si="3"/>
        <v>Regular Season</v>
      </c>
      <c r="N461" s="36" t="str">
        <f>IFERROR(VLOOKUP(I461,Mapped_Owner,2,0),"")</f>
        <v>KnardDawg</v>
      </c>
      <c r="O461" s="6">
        <f>VLOOKUP(D461,'Mapped Opponent'!$G$4:$H$22,2,0)</f>
        <v>12</v>
      </c>
      <c r="P461" s="6"/>
      <c r="Q461" s="6" t="str">
        <f t="shared" si="4"/>
        <v>Week 12</v>
      </c>
      <c r="R461" s="6" t="str">
        <f t="shared" si="5"/>
        <v>2013Week 12</v>
      </c>
      <c r="S461" s="6">
        <f>IFERROR(__xludf.DUMMYFUNCTION("rank(J461,FILTER(J:J,R:R=R461))"),11.0)</f>
        <v>11</v>
      </c>
      <c r="T461" s="6">
        <f t="shared" si="6"/>
        <v>1</v>
      </c>
      <c r="U461" s="6">
        <f t="shared" si="7"/>
        <v>11</v>
      </c>
      <c r="V461" s="42">
        <f>averageif(AllData!A:A,B461,AllData!R:R)/vlookup(B461,AllData!A:O,15,0)</f>
        <v>92.82051282</v>
      </c>
      <c r="W461" s="6"/>
    </row>
    <row r="462" ht="14.25" customHeight="1">
      <c r="A462" s="6" t="str">
        <f t="shared" si="1"/>
        <v>2013Riley12</v>
      </c>
      <c r="B462" s="6">
        <v>2013.0</v>
      </c>
      <c r="C462" s="6" t="s">
        <v>67</v>
      </c>
      <c r="D462" s="6" t="s">
        <v>151</v>
      </c>
      <c r="E462" s="34">
        <v>42161.0</v>
      </c>
      <c r="F462" s="6" t="s">
        <v>1743</v>
      </c>
      <c r="G462" s="6" t="s">
        <v>125</v>
      </c>
      <c r="H462" s="6" t="s">
        <v>1744</v>
      </c>
      <c r="I462" s="35" t="s">
        <v>54</v>
      </c>
      <c r="J462" s="36">
        <v>107.1</v>
      </c>
      <c r="K462" s="36">
        <v>74.0</v>
      </c>
      <c r="L462" s="36">
        <f t="shared" si="2"/>
        <v>1</v>
      </c>
      <c r="M462" s="36" t="str">
        <f t="shared" si="3"/>
        <v>Regular Season</v>
      </c>
      <c r="N462" s="36" t="str">
        <f>IFERROR(VLOOKUP(I462,Mapped_Owner,2,0),"")</f>
        <v>Tayski</v>
      </c>
      <c r="O462" s="6">
        <f>VLOOKUP(D462,'Mapped Opponent'!$G$4:$H$22,2,0)</f>
        <v>12</v>
      </c>
      <c r="P462" s="6"/>
      <c r="Q462" s="6" t="str">
        <f t="shared" si="4"/>
        <v>Week 12</v>
      </c>
      <c r="R462" s="6" t="str">
        <f t="shared" si="5"/>
        <v>2013Week 12</v>
      </c>
      <c r="S462" s="6">
        <f>IFERROR(__xludf.DUMMYFUNCTION("rank(J462,FILTER(J:J,R:R=R462))"),3.0)</f>
        <v>3</v>
      </c>
      <c r="T462" s="6">
        <f t="shared" si="6"/>
        <v>9</v>
      </c>
      <c r="U462" s="6">
        <f t="shared" si="7"/>
        <v>3</v>
      </c>
      <c r="V462" s="42">
        <f>averageif(AllData!A:A,B462,AllData!R:R)/vlookup(B462,AllData!A:O,15,0)</f>
        <v>92.82051282</v>
      </c>
      <c r="W462" s="6"/>
    </row>
    <row r="463" ht="14.25" customHeight="1">
      <c r="A463" s="6" t="str">
        <f t="shared" si="1"/>
        <v>2013Rooney/Jackson12</v>
      </c>
      <c r="B463" s="6">
        <v>2013.0</v>
      </c>
      <c r="C463" s="6" t="s">
        <v>57</v>
      </c>
      <c r="D463" s="6" t="s">
        <v>151</v>
      </c>
      <c r="E463" s="34">
        <v>42161.0</v>
      </c>
      <c r="F463" s="6" t="s">
        <v>1745</v>
      </c>
      <c r="G463" s="6" t="s">
        <v>125</v>
      </c>
      <c r="H463" s="6" t="s">
        <v>1746</v>
      </c>
      <c r="I463" s="35" t="s">
        <v>99</v>
      </c>
      <c r="J463" s="36">
        <v>75.9</v>
      </c>
      <c r="K463" s="36">
        <v>76.9</v>
      </c>
      <c r="L463" s="36">
        <f t="shared" si="2"/>
        <v>0</v>
      </c>
      <c r="M463" s="36" t="str">
        <f t="shared" si="3"/>
        <v>Regular Season</v>
      </c>
      <c r="N463" s="36" t="str">
        <f>IFERROR(VLOOKUP(I463,Mapped_Owner,2,0),"")</f>
        <v>Cock</v>
      </c>
      <c r="O463" s="6">
        <f>VLOOKUP(D463,'Mapped Opponent'!$G$4:$H$22,2,0)</f>
        <v>12</v>
      </c>
      <c r="P463" s="6"/>
      <c r="Q463" s="6" t="str">
        <f t="shared" si="4"/>
        <v>Week 12</v>
      </c>
      <c r="R463" s="6" t="str">
        <f t="shared" si="5"/>
        <v>2013Week 12</v>
      </c>
      <c r="S463" s="6">
        <f>IFERROR(__xludf.DUMMYFUNCTION("rank(J463,FILTER(J:J,R:R=R463))"),8.0)</f>
        <v>8</v>
      </c>
      <c r="T463" s="6">
        <f t="shared" si="6"/>
        <v>4</v>
      </c>
      <c r="U463" s="6">
        <f t="shared" si="7"/>
        <v>8</v>
      </c>
      <c r="V463" s="42">
        <f>averageif(AllData!A:A,B463,AllData!R:R)/vlookup(B463,AllData!A:O,15,0)</f>
        <v>92.82051282</v>
      </c>
      <c r="W463" s="6"/>
    </row>
    <row r="464" ht="14.25" customHeight="1">
      <c r="A464" s="6" t="str">
        <f t="shared" si="1"/>
        <v>2013Buser12</v>
      </c>
      <c r="B464" s="6">
        <v>2013.0</v>
      </c>
      <c r="C464" s="6" t="s">
        <v>47</v>
      </c>
      <c r="D464" s="6" t="s">
        <v>151</v>
      </c>
      <c r="E464" s="34">
        <v>42190.0</v>
      </c>
      <c r="F464" s="6" t="s">
        <v>1747</v>
      </c>
      <c r="G464" s="6" t="s">
        <v>125</v>
      </c>
      <c r="H464" s="6" t="s">
        <v>1748</v>
      </c>
      <c r="I464" s="35" t="s">
        <v>93</v>
      </c>
      <c r="J464" s="36">
        <v>107.9</v>
      </c>
      <c r="K464" s="36">
        <v>104.1</v>
      </c>
      <c r="L464" s="36">
        <f t="shared" si="2"/>
        <v>1</v>
      </c>
      <c r="M464" s="36" t="str">
        <f t="shared" si="3"/>
        <v>Regular Season</v>
      </c>
      <c r="N464" s="36" t="str">
        <f>IFERROR(VLOOKUP(I464,Mapped_Owner,2,0),"")</f>
        <v>Pierson</v>
      </c>
      <c r="O464" s="6">
        <f>VLOOKUP(D464,'Mapped Opponent'!$G$4:$H$22,2,0)</f>
        <v>12</v>
      </c>
      <c r="P464" s="6"/>
      <c r="Q464" s="6" t="str">
        <f t="shared" si="4"/>
        <v>Week 12</v>
      </c>
      <c r="R464" s="6" t="str">
        <f t="shared" si="5"/>
        <v>2013Week 12</v>
      </c>
      <c r="S464" s="6">
        <f>IFERROR(__xludf.DUMMYFUNCTION("rank(J464,FILTER(J:J,R:R=R464))"),2.0)</f>
        <v>2</v>
      </c>
      <c r="T464" s="6">
        <f t="shared" si="6"/>
        <v>10</v>
      </c>
      <c r="U464" s="6">
        <f t="shared" si="7"/>
        <v>2</v>
      </c>
      <c r="V464" s="42">
        <f>averageif(AllData!A:A,B464,AllData!R:R)/vlookup(B464,AllData!A:O,15,0)</f>
        <v>92.82051282</v>
      </c>
      <c r="W464" s="6"/>
    </row>
    <row r="465" ht="14.25" customHeight="1">
      <c r="A465" s="6" t="str">
        <f t="shared" si="1"/>
        <v>2013Pierson12</v>
      </c>
      <c r="B465" s="6">
        <v>2013.0</v>
      </c>
      <c r="C465" s="6" t="s">
        <v>92</v>
      </c>
      <c r="D465" s="6" t="s">
        <v>151</v>
      </c>
      <c r="E465" s="34">
        <v>42102.0</v>
      </c>
      <c r="F465" s="6" t="s">
        <v>1749</v>
      </c>
      <c r="G465" s="6" t="s">
        <v>114</v>
      </c>
      <c r="H465" s="6" t="s">
        <v>1750</v>
      </c>
      <c r="I465" s="35" t="s">
        <v>50</v>
      </c>
      <c r="J465" s="36">
        <v>104.1</v>
      </c>
      <c r="K465" s="36">
        <v>107.9</v>
      </c>
      <c r="L465" s="36">
        <f t="shared" si="2"/>
        <v>0</v>
      </c>
      <c r="M465" s="36" t="str">
        <f t="shared" si="3"/>
        <v>Regular Season</v>
      </c>
      <c r="N465" s="36" t="str">
        <f>IFERROR(VLOOKUP(I465,Mapped_Owner,2,0),"")</f>
        <v>Buser</v>
      </c>
      <c r="O465" s="6">
        <f>VLOOKUP(D465,'Mapped Opponent'!$G$4:$H$22,2,0)</f>
        <v>12</v>
      </c>
      <c r="P465" s="6"/>
      <c r="Q465" s="6" t="str">
        <f t="shared" si="4"/>
        <v>Week 12</v>
      </c>
      <c r="R465" s="6" t="str">
        <f t="shared" si="5"/>
        <v>2013Week 12</v>
      </c>
      <c r="S465" s="6">
        <f>IFERROR(__xludf.DUMMYFUNCTION("rank(J465,FILTER(J:J,R:R=R465))"),4.0)</f>
        <v>4</v>
      </c>
      <c r="T465" s="6">
        <f t="shared" si="6"/>
        <v>8</v>
      </c>
      <c r="U465" s="6">
        <f t="shared" si="7"/>
        <v>4</v>
      </c>
      <c r="V465" s="42">
        <f>averageif(AllData!A:A,B465,AllData!R:R)/vlookup(B465,AllData!A:O,15,0)</f>
        <v>92.82051282</v>
      </c>
      <c r="W465" s="6"/>
    </row>
    <row r="466" ht="14.25" customHeight="1">
      <c r="A466" s="6" t="str">
        <f t="shared" si="1"/>
        <v>2013Cock12</v>
      </c>
      <c r="B466" s="6">
        <v>2013.0</v>
      </c>
      <c r="C466" s="6" t="s">
        <v>72</v>
      </c>
      <c r="D466" s="6" t="s">
        <v>151</v>
      </c>
      <c r="E466" s="34">
        <v>42190.0</v>
      </c>
      <c r="F466" s="6" t="s">
        <v>1751</v>
      </c>
      <c r="G466" s="6" t="s">
        <v>114</v>
      </c>
      <c r="H466" s="6" t="s">
        <v>1752</v>
      </c>
      <c r="I466" s="35" t="s">
        <v>58</v>
      </c>
      <c r="J466" s="36">
        <v>76.9</v>
      </c>
      <c r="K466" s="36">
        <v>75.9</v>
      </c>
      <c r="L466" s="36">
        <f t="shared" si="2"/>
        <v>1</v>
      </c>
      <c r="M466" s="36" t="str">
        <f t="shared" si="3"/>
        <v>Regular Season</v>
      </c>
      <c r="N466" s="36" t="str">
        <f>IFERROR(VLOOKUP(I466,Mapped_Owner,2,0),"")</f>
        <v>Rooney/Jackson</v>
      </c>
      <c r="O466" s="6">
        <f>VLOOKUP(D466,'Mapped Opponent'!$G$4:$H$22,2,0)</f>
        <v>12</v>
      </c>
      <c r="P466" s="6"/>
      <c r="Q466" s="6" t="str">
        <f t="shared" si="4"/>
        <v>Week 12</v>
      </c>
      <c r="R466" s="6" t="str">
        <f t="shared" si="5"/>
        <v>2013Week 12</v>
      </c>
      <c r="S466" s="6">
        <f>IFERROR(__xludf.DUMMYFUNCTION("rank(J466,FILTER(J:J,R:R=R466))"),7.0)</f>
        <v>7</v>
      </c>
      <c r="T466" s="6">
        <f t="shared" si="6"/>
        <v>5</v>
      </c>
      <c r="U466" s="6">
        <f t="shared" si="7"/>
        <v>7</v>
      </c>
      <c r="V466" s="42">
        <f>averageif(AllData!A:A,B466,AllData!R:R)/vlookup(B466,AllData!A:O,15,0)</f>
        <v>92.82051282</v>
      </c>
      <c r="W466" s="6"/>
    </row>
    <row r="467" ht="14.25" customHeight="1">
      <c r="A467" s="6" t="str">
        <f t="shared" si="1"/>
        <v>2013Tayski12</v>
      </c>
      <c r="B467" s="6">
        <v>2013.0</v>
      </c>
      <c r="C467" s="6" t="s">
        <v>52</v>
      </c>
      <c r="D467" s="6" t="s">
        <v>151</v>
      </c>
      <c r="E467" s="34">
        <v>42190.0</v>
      </c>
      <c r="F467" s="6" t="s">
        <v>1753</v>
      </c>
      <c r="G467" s="6" t="s">
        <v>114</v>
      </c>
      <c r="H467" s="6" t="s">
        <v>1754</v>
      </c>
      <c r="I467" s="35" t="s">
        <v>68</v>
      </c>
      <c r="J467" s="36">
        <v>74.0</v>
      </c>
      <c r="K467" s="36">
        <v>107.1</v>
      </c>
      <c r="L467" s="36">
        <f t="shared" si="2"/>
        <v>0</v>
      </c>
      <c r="M467" s="36" t="str">
        <f t="shared" si="3"/>
        <v>Regular Season</v>
      </c>
      <c r="N467" s="36" t="str">
        <f>IFERROR(VLOOKUP(I467,Mapped_Owner,2,0),"")</f>
        <v>Riley</v>
      </c>
      <c r="O467" s="6">
        <f>VLOOKUP(D467,'Mapped Opponent'!$G$4:$H$22,2,0)</f>
        <v>12</v>
      </c>
      <c r="P467" s="6"/>
      <c r="Q467" s="6" t="str">
        <f t="shared" si="4"/>
        <v>Week 12</v>
      </c>
      <c r="R467" s="6" t="str">
        <f t="shared" si="5"/>
        <v>2013Week 12</v>
      </c>
      <c r="S467" s="6">
        <f>IFERROR(__xludf.DUMMYFUNCTION("rank(J467,FILTER(J:J,R:R=R467))"),9.0)</f>
        <v>9</v>
      </c>
      <c r="T467" s="6">
        <f t="shared" si="6"/>
        <v>3</v>
      </c>
      <c r="U467" s="6">
        <f t="shared" si="7"/>
        <v>9</v>
      </c>
      <c r="V467" s="42">
        <f>averageif(AllData!A:A,B467,AllData!R:R)/vlookup(B467,AllData!A:O,15,0)</f>
        <v>92.82051282</v>
      </c>
      <c r="W467" s="6"/>
    </row>
    <row r="468" ht="14.25" customHeight="1">
      <c r="A468" s="6" t="str">
        <f t="shared" si="1"/>
        <v>2013KnardDawg12</v>
      </c>
      <c r="B468" s="6">
        <v>2013.0</v>
      </c>
      <c r="C468" s="6" t="s">
        <v>86</v>
      </c>
      <c r="D468" s="6" t="s">
        <v>151</v>
      </c>
      <c r="E468" s="34">
        <v>42161.0</v>
      </c>
      <c r="F468" s="6" t="s">
        <v>1755</v>
      </c>
      <c r="G468" s="6" t="s">
        <v>114</v>
      </c>
      <c r="H468" s="6" t="s">
        <v>1756</v>
      </c>
      <c r="I468" s="35" t="s">
        <v>91</v>
      </c>
      <c r="J468" s="36">
        <v>113.3</v>
      </c>
      <c r="K468" s="36">
        <v>60.1</v>
      </c>
      <c r="L468" s="36">
        <f t="shared" si="2"/>
        <v>1</v>
      </c>
      <c r="M468" s="36" t="str">
        <f t="shared" si="3"/>
        <v>Regular Season</v>
      </c>
      <c r="N468" s="36" t="str">
        <f>IFERROR(VLOOKUP(I468,Mapped_Owner,2,0),"")</f>
        <v>Shep</v>
      </c>
      <c r="O468" s="6">
        <f>VLOOKUP(D468,'Mapped Opponent'!$G$4:$H$22,2,0)</f>
        <v>12</v>
      </c>
      <c r="P468" s="6"/>
      <c r="Q468" s="6" t="str">
        <f t="shared" si="4"/>
        <v>Week 12</v>
      </c>
      <c r="R468" s="6" t="str">
        <f t="shared" si="5"/>
        <v>2013Week 12</v>
      </c>
      <c r="S468" s="6">
        <f>IFERROR(__xludf.DUMMYFUNCTION("rank(J468,FILTER(J:J,R:R=R468))"),1.0)</f>
        <v>1</v>
      </c>
      <c r="T468" s="6">
        <f t="shared" si="6"/>
        <v>11</v>
      </c>
      <c r="U468" s="6">
        <f t="shared" si="7"/>
        <v>1</v>
      </c>
      <c r="V468" s="42">
        <f>averageif(AllData!A:A,B468,AllData!R:R)/vlookup(B468,AllData!A:O,15,0)</f>
        <v>92.82051282</v>
      </c>
      <c r="W468" s="6"/>
    </row>
    <row r="469" ht="14.25" customHeight="1">
      <c r="A469" s="6" t="str">
        <f t="shared" si="1"/>
        <v>2013T-How12</v>
      </c>
      <c r="B469" s="6">
        <v>2013.0</v>
      </c>
      <c r="C469" s="6" t="s">
        <v>82</v>
      </c>
      <c r="D469" s="6" t="s">
        <v>151</v>
      </c>
      <c r="E469" s="34">
        <v>42161.0</v>
      </c>
      <c r="F469" s="6" t="s">
        <v>1757</v>
      </c>
      <c r="G469" s="6" t="s">
        <v>114</v>
      </c>
      <c r="H469" s="6" t="s">
        <v>1758</v>
      </c>
      <c r="I469" s="35" t="s">
        <v>64</v>
      </c>
      <c r="J469" s="36">
        <v>82.9</v>
      </c>
      <c r="K469" s="36">
        <v>93.6</v>
      </c>
      <c r="L469" s="36">
        <f t="shared" si="2"/>
        <v>0</v>
      </c>
      <c r="M469" s="36" t="str">
        <f t="shared" si="3"/>
        <v>Regular Season</v>
      </c>
      <c r="N469" s="36" t="str">
        <f>IFERROR(VLOOKUP(I469,Mapped_Owner,2,0),"")</f>
        <v>Hudspeath</v>
      </c>
      <c r="O469" s="6">
        <f>VLOOKUP(D469,'Mapped Opponent'!$G$4:$H$22,2,0)</f>
        <v>12</v>
      </c>
      <c r="P469" s="6"/>
      <c r="Q469" s="6" t="str">
        <f t="shared" si="4"/>
        <v>Week 12</v>
      </c>
      <c r="R469" s="6" t="str">
        <f t="shared" si="5"/>
        <v>2013Week 12</v>
      </c>
      <c r="S469" s="6">
        <f>IFERROR(__xludf.DUMMYFUNCTION("rank(J469,FILTER(J:J,R:R=R469))"),6.0)</f>
        <v>6</v>
      </c>
      <c r="T469" s="6">
        <f t="shared" si="6"/>
        <v>6</v>
      </c>
      <c r="U469" s="6">
        <f t="shared" si="7"/>
        <v>6</v>
      </c>
      <c r="V469" s="42">
        <f>averageif(AllData!A:A,B469,AllData!R:R)/vlookup(B469,AllData!A:O,15,0)</f>
        <v>92.82051282</v>
      </c>
      <c r="W469" s="6"/>
    </row>
    <row r="470" ht="14.25" customHeight="1">
      <c r="A470" s="6" t="str">
        <f t="shared" si="1"/>
        <v>2013Hudspeath13</v>
      </c>
      <c r="B470" s="6">
        <v>2013.0</v>
      </c>
      <c r="C470" s="6" t="s">
        <v>39</v>
      </c>
      <c r="D470" s="6" t="s">
        <v>152</v>
      </c>
      <c r="E470" s="34">
        <v>42251.0</v>
      </c>
      <c r="F470" s="6" t="s">
        <v>1759</v>
      </c>
      <c r="G470" s="6" t="s">
        <v>125</v>
      </c>
      <c r="H470" s="6" t="s">
        <v>1760</v>
      </c>
      <c r="I470" s="35" t="s">
        <v>77</v>
      </c>
      <c r="J470" s="36">
        <v>110.5</v>
      </c>
      <c r="K470" s="36">
        <v>99.4</v>
      </c>
      <c r="L470" s="36">
        <f t="shared" si="2"/>
        <v>1</v>
      </c>
      <c r="M470" s="36" t="str">
        <f t="shared" si="3"/>
        <v>Regular Season</v>
      </c>
      <c r="N470" s="36" t="str">
        <f>IFERROR(VLOOKUP(I470,Mapped_Owner,2,0),"")</f>
        <v>Salty</v>
      </c>
      <c r="O470" s="6">
        <f>VLOOKUP(D470,'Mapped Opponent'!$G$4:$H$22,2,0)</f>
        <v>13</v>
      </c>
      <c r="P470" s="6"/>
      <c r="Q470" s="6" t="str">
        <f t="shared" si="4"/>
        <v>Week 13</v>
      </c>
      <c r="R470" s="6" t="str">
        <f t="shared" si="5"/>
        <v>2013Week 13</v>
      </c>
      <c r="S470" s="6">
        <f>IFERROR(__xludf.DUMMYFUNCTION("rank(J470,FILTER(J:J,R:R=R470))"),4.0)</f>
        <v>4</v>
      </c>
      <c r="T470" s="6">
        <f t="shared" si="6"/>
        <v>8</v>
      </c>
      <c r="U470" s="6">
        <f t="shared" si="7"/>
        <v>4</v>
      </c>
      <c r="V470" s="42">
        <f>averageif(AllData!A:A,B470,AllData!R:R)/vlookup(B470,AllData!A:O,15,0)</f>
        <v>92.82051282</v>
      </c>
      <c r="W470" s="6"/>
    </row>
    <row r="471" ht="14.25" customHeight="1">
      <c r="A471" s="6" t="str">
        <f t="shared" si="1"/>
        <v>2013Salty13</v>
      </c>
      <c r="B471" s="6">
        <v>2013.0</v>
      </c>
      <c r="C471" s="6" t="s">
        <v>76</v>
      </c>
      <c r="D471" s="6" t="s">
        <v>152</v>
      </c>
      <c r="E471" s="34">
        <v>42162.0</v>
      </c>
      <c r="F471" s="6" t="s">
        <v>1761</v>
      </c>
      <c r="G471" s="6" t="s">
        <v>114</v>
      </c>
      <c r="H471" s="6" t="s">
        <v>1762</v>
      </c>
      <c r="I471" s="35" t="s">
        <v>64</v>
      </c>
      <c r="J471" s="36">
        <v>99.4</v>
      </c>
      <c r="K471" s="36">
        <v>110.5</v>
      </c>
      <c r="L471" s="36">
        <f t="shared" si="2"/>
        <v>0</v>
      </c>
      <c r="M471" s="36" t="str">
        <f t="shared" si="3"/>
        <v>Regular Season</v>
      </c>
      <c r="N471" s="36" t="str">
        <f>IFERROR(VLOOKUP(I471,Mapped_Owner,2,0),"")</f>
        <v>Hudspeath</v>
      </c>
      <c r="O471" s="6">
        <f>VLOOKUP(D471,'Mapped Opponent'!$G$4:$H$22,2,0)</f>
        <v>13</v>
      </c>
      <c r="P471" s="6"/>
      <c r="Q471" s="6" t="str">
        <f t="shared" si="4"/>
        <v>Week 13</v>
      </c>
      <c r="R471" s="6" t="str">
        <f t="shared" si="5"/>
        <v>2013Week 13</v>
      </c>
      <c r="S471" s="6">
        <f>IFERROR(__xludf.DUMMYFUNCTION("rank(J471,FILTER(J:J,R:R=R471))"),7.0)</f>
        <v>7</v>
      </c>
      <c r="T471" s="6">
        <f t="shared" si="6"/>
        <v>5</v>
      </c>
      <c r="U471" s="6">
        <f t="shared" si="7"/>
        <v>7</v>
      </c>
      <c r="V471" s="42">
        <f>averageif(AllData!A:A,B471,AllData!R:R)/vlookup(B471,AllData!A:O,15,0)</f>
        <v>92.82051282</v>
      </c>
      <c r="W471" s="6"/>
    </row>
    <row r="472" ht="14.25" customHeight="1">
      <c r="A472" s="6" t="str">
        <f t="shared" si="1"/>
        <v>2013Fellows13</v>
      </c>
      <c r="B472" s="6">
        <v>2013.0</v>
      </c>
      <c r="C472" s="6" t="s">
        <v>79</v>
      </c>
      <c r="D472" s="6" t="s">
        <v>152</v>
      </c>
      <c r="E472" s="34">
        <v>42162.0</v>
      </c>
      <c r="F472" s="6" t="s">
        <v>1763</v>
      </c>
      <c r="G472" s="6" t="s">
        <v>125</v>
      </c>
      <c r="H472" s="6" t="s">
        <v>1764</v>
      </c>
      <c r="I472" s="35" t="s">
        <v>91</v>
      </c>
      <c r="J472" s="36">
        <v>128.3</v>
      </c>
      <c r="K472" s="36">
        <v>138.4</v>
      </c>
      <c r="L472" s="36">
        <f t="shared" si="2"/>
        <v>0</v>
      </c>
      <c r="M472" s="36" t="str">
        <f t="shared" si="3"/>
        <v>Regular Season</v>
      </c>
      <c r="N472" s="36" t="str">
        <f>IFERROR(VLOOKUP(I472,Mapped_Owner,2,0),"")</f>
        <v>Shep</v>
      </c>
      <c r="O472" s="6">
        <f>VLOOKUP(D472,'Mapped Opponent'!$G$4:$H$22,2,0)</f>
        <v>13</v>
      </c>
      <c r="P472" s="6"/>
      <c r="Q472" s="6" t="str">
        <f t="shared" si="4"/>
        <v>Week 13</v>
      </c>
      <c r="R472" s="6" t="str">
        <f t="shared" si="5"/>
        <v>2013Week 13</v>
      </c>
      <c r="S472" s="6">
        <f>IFERROR(__xludf.DUMMYFUNCTION("rank(J472,FILTER(J:J,R:R=R472))"),2.0)</f>
        <v>2</v>
      </c>
      <c r="T472" s="6">
        <f t="shared" si="6"/>
        <v>10</v>
      </c>
      <c r="U472" s="6">
        <f t="shared" si="7"/>
        <v>2</v>
      </c>
      <c r="V472" s="42">
        <f>averageif(AllData!A:A,B472,AllData!R:R)/vlookup(B472,AllData!A:O,15,0)</f>
        <v>92.82051282</v>
      </c>
      <c r="W472" s="6"/>
    </row>
    <row r="473" ht="14.25" customHeight="1">
      <c r="A473" s="6" t="str">
        <f t="shared" si="1"/>
        <v>2013Shep13</v>
      </c>
      <c r="B473" s="6">
        <v>2013.0</v>
      </c>
      <c r="C473" s="6" t="s">
        <v>89</v>
      </c>
      <c r="D473" s="6" t="s">
        <v>152</v>
      </c>
      <c r="E473" s="34">
        <v>42103.0</v>
      </c>
      <c r="F473" s="6" t="s">
        <v>1765</v>
      </c>
      <c r="G473" s="6" t="s">
        <v>114</v>
      </c>
      <c r="H473" s="6" t="s">
        <v>1766</v>
      </c>
      <c r="I473" s="35" t="s">
        <v>80</v>
      </c>
      <c r="J473" s="36">
        <v>138.4</v>
      </c>
      <c r="K473" s="36">
        <v>128.3</v>
      </c>
      <c r="L473" s="36">
        <f t="shared" si="2"/>
        <v>1</v>
      </c>
      <c r="M473" s="36" t="str">
        <f t="shared" si="3"/>
        <v>Regular Season</v>
      </c>
      <c r="N473" s="36" t="str">
        <f>IFERROR(VLOOKUP(I473,Mapped_Owner,2,0),"")</f>
        <v>Fellows</v>
      </c>
      <c r="O473" s="6">
        <f>VLOOKUP(D473,'Mapped Opponent'!$G$4:$H$22,2,0)</f>
        <v>13</v>
      </c>
      <c r="P473" s="6"/>
      <c r="Q473" s="6" t="str">
        <f t="shared" si="4"/>
        <v>Week 13</v>
      </c>
      <c r="R473" s="6" t="str">
        <f t="shared" si="5"/>
        <v>2013Week 13</v>
      </c>
      <c r="S473" s="6">
        <f>IFERROR(__xludf.DUMMYFUNCTION("rank(J473,FILTER(J:J,R:R=R473))"),1.0)</f>
        <v>1</v>
      </c>
      <c r="T473" s="6">
        <f t="shared" si="6"/>
        <v>11</v>
      </c>
      <c r="U473" s="6">
        <f t="shared" si="7"/>
        <v>1</v>
      </c>
      <c r="V473" s="42">
        <f>averageif(AllData!A:A,B473,AllData!R:R)/vlookup(B473,AllData!A:O,15,0)</f>
        <v>92.82051282</v>
      </c>
      <c r="W473" s="6"/>
    </row>
    <row r="474" ht="14.25" customHeight="1">
      <c r="A474" s="6" t="str">
        <f t="shared" si="1"/>
        <v>2013Riley13</v>
      </c>
      <c r="B474" s="6">
        <v>2013.0</v>
      </c>
      <c r="C474" s="6" t="s">
        <v>67</v>
      </c>
      <c r="D474" s="6" t="s">
        <v>152</v>
      </c>
      <c r="E474" s="34">
        <v>42191.0</v>
      </c>
      <c r="F474" s="6" t="s">
        <v>1767</v>
      </c>
      <c r="G474" s="6" t="s">
        <v>114</v>
      </c>
      <c r="H474" s="6" t="s">
        <v>1768</v>
      </c>
      <c r="I474" s="35" t="s">
        <v>85</v>
      </c>
      <c r="J474" s="36">
        <v>104.1</v>
      </c>
      <c r="K474" s="36">
        <v>59.8</v>
      </c>
      <c r="L474" s="36">
        <f t="shared" si="2"/>
        <v>1</v>
      </c>
      <c r="M474" s="36" t="str">
        <f t="shared" si="3"/>
        <v>Regular Season</v>
      </c>
      <c r="N474" s="36" t="str">
        <f>IFERROR(VLOOKUP(I474,Mapped_Owner,2,0),"")</f>
        <v>T-How</v>
      </c>
      <c r="O474" s="6">
        <f>VLOOKUP(D474,'Mapped Opponent'!$G$4:$H$22,2,0)</f>
        <v>13</v>
      </c>
      <c r="P474" s="6"/>
      <c r="Q474" s="6" t="str">
        <f t="shared" si="4"/>
        <v>Week 13</v>
      </c>
      <c r="R474" s="6" t="str">
        <f t="shared" si="5"/>
        <v>2013Week 13</v>
      </c>
      <c r="S474" s="6">
        <f>IFERROR(__xludf.DUMMYFUNCTION("rank(J474,FILTER(J:J,R:R=R474))"),5.0)</f>
        <v>5</v>
      </c>
      <c r="T474" s="6">
        <f t="shared" si="6"/>
        <v>7</v>
      </c>
      <c r="U474" s="6">
        <f t="shared" si="7"/>
        <v>5</v>
      </c>
      <c r="V474" s="42">
        <f>averageif(AllData!A:A,B474,AllData!R:R)/vlookup(B474,AllData!A:O,15,0)</f>
        <v>92.82051282</v>
      </c>
      <c r="W474" s="6"/>
    </row>
    <row r="475" ht="14.25" customHeight="1">
      <c r="A475" s="6" t="str">
        <f t="shared" si="1"/>
        <v>2013Rooney/Jackson13</v>
      </c>
      <c r="B475" s="6">
        <v>2013.0</v>
      </c>
      <c r="C475" s="6" t="s">
        <v>57</v>
      </c>
      <c r="D475" s="6" t="s">
        <v>152</v>
      </c>
      <c r="E475" s="34">
        <v>42191.0</v>
      </c>
      <c r="F475" s="6" t="s">
        <v>1769</v>
      </c>
      <c r="G475" s="6" t="s">
        <v>114</v>
      </c>
      <c r="H475" s="6" t="s">
        <v>1770</v>
      </c>
      <c r="I475" s="35" t="s">
        <v>132</v>
      </c>
      <c r="J475" s="36">
        <v>113.7</v>
      </c>
      <c r="K475" s="36">
        <v>67.7</v>
      </c>
      <c r="L475" s="36">
        <f t="shared" si="2"/>
        <v>1</v>
      </c>
      <c r="M475" s="36" t="str">
        <f t="shared" si="3"/>
        <v>Regular Season</v>
      </c>
      <c r="N475" s="36" t="str">
        <f>IFERROR(VLOOKUP(I475,Mapped_Owner,2,0),"")</f>
        <v>KnardDawg</v>
      </c>
      <c r="O475" s="6">
        <f>VLOOKUP(D475,'Mapped Opponent'!$G$4:$H$22,2,0)</f>
        <v>13</v>
      </c>
      <c r="P475" s="6"/>
      <c r="Q475" s="6" t="str">
        <f t="shared" si="4"/>
        <v>Week 13</v>
      </c>
      <c r="R475" s="6" t="str">
        <f t="shared" si="5"/>
        <v>2013Week 13</v>
      </c>
      <c r="S475" s="6">
        <f>IFERROR(__xludf.DUMMYFUNCTION("rank(J475,FILTER(J:J,R:R=R475))"),3.0)</f>
        <v>3</v>
      </c>
      <c r="T475" s="6">
        <f t="shared" si="6"/>
        <v>9</v>
      </c>
      <c r="U475" s="6">
        <f t="shared" si="7"/>
        <v>3</v>
      </c>
      <c r="V475" s="42">
        <f>averageif(AllData!A:A,B475,AllData!R:R)/vlookup(B475,AllData!A:O,15,0)</f>
        <v>92.82051282</v>
      </c>
      <c r="W475" s="6"/>
    </row>
    <row r="476" ht="14.25" customHeight="1">
      <c r="A476" s="6" t="str">
        <f t="shared" si="1"/>
        <v>2013Buser13</v>
      </c>
      <c r="B476" s="6">
        <v>2013.0</v>
      </c>
      <c r="C476" s="6" t="s">
        <v>47</v>
      </c>
      <c r="D476" s="6" t="s">
        <v>152</v>
      </c>
      <c r="E476" s="34">
        <v>42191.0</v>
      </c>
      <c r="F476" s="6" t="s">
        <v>1771</v>
      </c>
      <c r="G476" s="6" t="s">
        <v>114</v>
      </c>
      <c r="H476" s="6" t="s">
        <v>1772</v>
      </c>
      <c r="I476" s="35" t="s">
        <v>54</v>
      </c>
      <c r="J476" s="36">
        <v>87.8</v>
      </c>
      <c r="K476" s="36">
        <v>103.7</v>
      </c>
      <c r="L476" s="36">
        <f t="shared" si="2"/>
        <v>0</v>
      </c>
      <c r="M476" s="36" t="str">
        <f t="shared" si="3"/>
        <v>Regular Season</v>
      </c>
      <c r="N476" s="36" t="str">
        <f>IFERROR(VLOOKUP(I476,Mapped_Owner,2,0),"")</f>
        <v>Tayski</v>
      </c>
      <c r="O476" s="6">
        <f>VLOOKUP(D476,'Mapped Opponent'!$G$4:$H$22,2,0)</f>
        <v>13</v>
      </c>
      <c r="P476" s="6"/>
      <c r="Q476" s="6" t="str">
        <f t="shared" si="4"/>
        <v>Week 13</v>
      </c>
      <c r="R476" s="6" t="str">
        <f t="shared" si="5"/>
        <v>2013Week 13</v>
      </c>
      <c r="S476" s="6">
        <f>IFERROR(__xludf.DUMMYFUNCTION("rank(J476,FILTER(J:J,R:R=R476))"),10.0)</f>
        <v>10</v>
      </c>
      <c r="T476" s="6">
        <f t="shared" si="6"/>
        <v>2</v>
      </c>
      <c r="U476" s="6">
        <f t="shared" si="7"/>
        <v>10</v>
      </c>
      <c r="V476" s="42">
        <f>averageif(AllData!A:A,B476,AllData!R:R)/vlookup(B476,AllData!A:O,15,0)</f>
        <v>92.82051282</v>
      </c>
      <c r="W476" s="6"/>
    </row>
    <row r="477" ht="14.25" customHeight="1">
      <c r="A477" s="6" t="str">
        <f t="shared" si="1"/>
        <v>2013Pierson13</v>
      </c>
      <c r="B477" s="6">
        <v>2013.0</v>
      </c>
      <c r="C477" s="6" t="s">
        <v>92</v>
      </c>
      <c r="D477" s="6" t="s">
        <v>152</v>
      </c>
      <c r="E477" s="34">
        <v>42103.0</v>
      </c>
      <c r="F477" s="6" t="s">
        <v>1774</v>
      </c>
      <c r="G477" s="6" t="s">
        <v>114</v>
      </c>
      <c r="H477" s="6" t="s">
        <v>1775</v>
      </c>
      <c r="I477" s="35" t="s">
        <v>99</v>
      </c>
      <c r="J477" s="36">
        <v>88.3</v>
      </c>
      <c r="K477" s="36">
        <v>94.3</v>
      </c>
      <c r="L477" s="36">
        <f t="shared" si="2"/>
        <v>0</v>
      </c>
      <c r="M477" s="36" t="str">
        <f t="shared" si="3"/>
        <v>Regular Season</v>
      </c>
      <c r="N477" s="36" t="str">
        <f>IFERROR(VLOOKUP(I477,Mapped_Owner,2,0),"")</f>
        <v>Cock</v>
      </c>
      <c r="O477" s="6">
        <f>VLOOKUP(D477,'Mapped Opponent'!$G$4:$H$22,2,0)</f>
        <v>13</v>
      </c>
      <c r="P477" s="6"/>
      <c r="Q477" s="6" t="str">
        <f t="shared" si="4"/>
        <v>Week 13</v>
      </c>
      <c r="R477" s="6" t="str">
        <f t="shared" si="5"/>
        <v>2013Week 13</v>
      </c>
      <c r="S477" s="6">
        <f>IFERROR(__xludf.DUMMYFUNCTION("rank(J477,FILTER(J:J,R:R=R477))"),9.0)</f>
        <v>9</v>
      </c>
      <c r="T477" s="6">
        <f t="shared" si="6"/>
        <v>3</v>
      </c>
      <c r="U477" s="6">
        <f t="shared" si="7"/>
        <v>9</v>
      </c>
      <c r="V477" s="42">
        <f>averageif(AllData!A:A,B477,AllData!R:R)/vlookup(B477,AllData!A:O,15,0)</f>
        <v>92.82051282</v>
      </c>
      <c r="W477" s="6"/>
    </row>
    <row r="478" ht="14.25" customHeight="1">
      <c r="A478" s="6" t="str">
        <f t="shared" si="1"/>
        <v>2013Cock13</v>
      </c>
      <c r="B478" s="6">
        <v>2013.0</v>
      </c>
      <c r="C478" s="6" t="s">
        <v>72</v>
      </c>
      <c r="D478" s="6" t="s">
        <v>152</v>
      </c>
      <c r="E478" s="34">
        <v>42221.0</v>
      </c>
      <c r="F478" s="6" t="s">
        <v>1776</v>
      </c>
      <c r="G478" s="6" t="s">
        <v>125</v>
      </c>
      <c r="H478" s="6" t="s">
        <v>1777</v>
      </c>
      <c r="I478" s="35" t="s">
        <v>93</v>
      </c>
      <c r="J478" s="36">
        <v>94.3</v>
      </c>
      <c r="K478" s="36">
        <v>88.3</v>
      </c>
      <c r="L478" s="36">
        <f t="shared" si="2"/>
        <v>1</v>
      </c>
      <c r="M478" s="36" t="str">
        <f t="shared" si="3"/>
        <v>Regular Season</v>
      </c>
      <c r="N478" s="36" t="str">
        <f>IFERROR(VLOOKUP(I478,Mapped_Owner,2,0),"")</f>
        <v>Pierson</v>
      </c>
      <c r="O478" s="6">
        <f>VLOOKUP(D478,'Mapped Opponent'!$G$4:$H$22,2,0)</f>
        <v>13</v>
      </c>
      <c r="P478" s="6"/>
      <c r="Q478" s="6" t="str">
        <f t="shared" si="4"/>
        <v>Week 13</v>
      </c>
      <c r="R478" s="6" t="str">
        <f t="shared" si="5"/>
        <v>2013Week 13</v>
      </c>
      <c r="S478" s="6">
        <f>IFERROR(__xludf.DUMMYFUNCTION("rank(J478,FILTER(J:J,R:R=R478))"),8.0)</f>
        <v>8</v>
      </c>
      <c r="T478" s="6">
        <f t="shared" si="6"/>
        <v>4</v>
      </c>
      <c r="U478" s="6">
        <f t="shared" si="7"/>
        <v>8</v>
      </c>
      <c r="V478" s="42">
        <f>averageif(AllData!A:A,B478,AllData!R:R)/vlookup(B478,AllData!A:O,15,0)</f>
        <v>92.82051282</v>
      </c>
      <c r="W478" s="6"/>
    </row>
    <row r="479" ht="14.25" customHeight="1">
      <c r="A479" s="6" t="str">
        <f t="shared" si="1"/>
        <v>2013Tayski13</v>
      </c>
      <c r="B479" s="6">
        <v>2013.0</v>
      </c>
      <c r="C479" s="6" t="s">
        <v>52</v>
      </c>
      <c r="D479" s="6" t="s">
        <v>152</v>
      </c>
      <c r="E479" s="34">
        <v>42221.0</v>
      </c>
      <c r="F479" s="6" t="s">
        <v>1778</v>
      </c>
      <c r="G479" s="6" t="s">
        <v>125</v>
      </c>
      <c r="H479" s="6" t="s">
        <v>1779</v>
      </c>
      <c r="I479" s="35" t="s">
        <v>50</v>
      </c>
      <c r="J479" s="36">
        <v>103.7</v>
      </c>
      <c r="K479" s="36">
        <v>87.8</v>
      </c>
      <c r="L479" s="36">
        <f t="shared" si="2"/>
        <v>1</v>
      </c>
      <c r="M479" s="36" t="str">
        <f t="shared" si="3"/>
        <v>Regular Season</v>
      </c>
      <c r="N479" s="36" t="str">
        <f>IFERROR(VLOOKUP(I479,Mapped_Owner,2,0),"")</f>
        <v>Buser</v>
      </c>
      <c r="O479" s="6">
        <f>VLOOKUP(D479,'Mapped Opponent'!$G$4:$H$22,2,0)</f>
        <v>13</v>
      </c>
      <c r="P479" s="6"/>
      <c r="Q479" s="6" t="str">
        <f t="shared" si="4"/>
        <v>Week 13</v>
      </c>
      <c r="R479" s="6" t="str">
        <f t="shared" si="5"/>
        <v>2013Week 13</v>
      </c>
      <c r="S479" s="6">
        <f>IFERROR(__xludf.DUMMYFUNCTION("rank(J479,FILTER(J:J,R:R=R479))"),6.0)</f>
        <v>6</v>
      </c>
      <c r="T479" s="6">
        <f t="shared" si="6"/>
        <v>6</v>
      </c>
      <c r="U479" s="6">
        <f t="shared" si="7"/>
        <v>6</v>
      </c>
      <c r="V479" s="42">
        <f>averageif(AllData!A:A,B479,AllData!R:R)/vlookup(B479,AllData!A:O,15,0)</f>
        <v>92.82051282</v>
      </c>
      <c r="W479" s="6"/>
    </row>
    <row r="480" ht="14.25" customHeight="1">
      <c r="A480" s="6" t="str">
        <f t="shared" si="1"/>
        <v>2013KnardDawg13</v>
      </c>
      <c r="B480" s="6">
        <v>2013.0</v>
      </c>
      <c r="C480" s="6" t="s">
        <v>86</v>
      </c>
      <c r="D480" s="6" t="s">
        <v>152</v>
      </c>
      <c r="E480" s="34">
        <v>42162.0</v>
      </c>
      <c r="F480" s="6" t="s">
        <v>1780</v>
      </c>
      <c r="G480" s="6" t="s">
        <v>125</v>
      </c>
      <c r="H480" s="6" t="s">
        <v>1781</v>
      </c>
      <c r="I480" s="35" t="s">
        <v>58</v>
      </c>
      <c r="J480" s="36">
        <v>67.7</v>
      </c>
      <c r="K480" s="36">
        <v>113.7</v>
      </c>
      <c r="L480" s="36">
        <f t="shared" si="2"/>
        <v>0</v>
      </c>
      <c r="M480" s="36" t="str">
        <f t="shared" si="3"/>
        <v>Regular Season</v>
      </c>
      <c r="N480" s="36" t="str">
        <f>IFERROR(VLOOKUP(I480,Mapped_Owner,2,0),"")</f>
        <v>Rooney/Jackson</v>
      </c>
      <c r="O480" s="6">
        <f>VLOOKUP(D480,'Mapped Opponent'!$G$4:$H$22,2,0)</f>
        <v>13</v>
      </c>
      <c r="P480" s="6"/>
      <c r="Q480" s="6" t="str">
        <f t="shared" si="4"/>
        <v>Week 13</v>
      </c>
      <c r="R480" s="6" t="str">
        <f t="shared" si="5"/>
        <v>2013Week 13</v>
      </c>
      <c r="S480" s="6">
        <f>IFERROR(__xludf.DUMMYFUNCTION("rank(J480,FILTER(J:J,R:R=R480))"),11.0)</f>
        <v>11</v>
      </c>
      <c r="T480" s="6">
        <f t="shared" si="6"/>
        <v>1</v>
      </c>
      <c r="U480" s="6">
        <f t="shared" si="7"/>
        <v>11</v>
      </c>
      <c r="V480" s="42">
        <f>averageif(AllData!A:A,B480,AllData!R:R)/vlookup(B480,AllData!A:O,15,0)</f>
        <v>92.82051282</v>
      </c>
      <c r="W480" s="6"/>
    </row>
    <row r="481" ht="14.25" customHeight="1">
      <c r="A481" s="6" t="str">
        <f t="shared" si="1"/>
        <v>2013T-How13</v>
      </c>
      <c r="B481" s="6">
        <v>2013.0</v>
      </c>
      <c r="C481" s="6" t="s">
        <v>82</v>
      </c>
      <c r="D481" s="6" t="s">
        <v>152</v>
      </c>
      <c r="E481" s="34">
        <v>42162.0</v>
      </c>
      <c r="F481" s="6" t="s">
        <v>1782</v>
      </c>
      <c r="G481" s="6" t="s">
        <v>125</v>
      </c>
      <c r="H481" s="6" t="s">
        <v>1783</v>
      </c>
      <c r="I481" s="35" t="s">
        <v>68</v>
      </c>
      <c r="J481" s="36">
        <v>59.8</v>
      </c>
      <c r="K481" s="36">
        <v>104.1</v>
      </c>
      <c r="L481" s="36">
        <f t="shared" si="2"/>
        <v>0</v>
      </c>
      <c r="M481" s="36" t="str">
        <f t="shared" si="3"/>
        <v>Regular Season</v>
      </c>
      <c r="N481" s="36" t="str">
        <f>IFERROR(VLOOKUP(I481,Mapped_Owner,2,0),"")</f>
        <v>Riley</v>
      </c>
      <c r="O481" s="6">
        <f>VLOOKUP(D481,'Mapped Opponent'!$G$4:$H$22,2,0)</f>
        <v>13</v>
      </c>
      <c r="P481" s="6"/>
      <c r="Q481" s="6" t="str">
        <f t="shared" si="4"/>
        <v>Week 13</v>
      </c>
      <c r="R481" s="6" t="str">
        <f t="shared" si="5"/>
        <v>2013Week 13</v>
      </c>
      <c r="S481" s="6">
        <f>IFERROR(__xludf.DUMMYFUNCTION("rank(J481,FILTER(J:J,R:R=R481))"),12.0)</f>
        <v>12</v>
      </c>
      <c r="T481" s="6">
        <f t="shared" si="6"/>
        <v>0</v>
      </c>
      <c r="U481" s="6">
        <f t="shared" si="7"/>
        <v>12</v>
      </c>
      <c r="V481" s="42">
        <f>averageif(AllData!A:A,B481,AllData!R:R)/vlookup(B481,AllData!A:O,15,0)</f>
        <v>92.82051282</v>
      </c>
      <c r="W481" s="6"/>
    </row>
    <row r="482" ht="14.25" customHeight="1">
      <c r="A482" s="6" t="str">
        <f t="shared" si="1"/>
        <v>2013Hudspeath2</v>
      </c>
      <c r="B482" s="6">
        <v>2013.0</v>
      </c>
      <c r="C482" s="6" t="s">
        <v>39</v>
      </c>
      <c r="D482" s="6" t="s">
        <v>131</v>
      </c>
      <c r="E482" s="34">
        <v>36557.0</v>
      </c>
      <c r="F482" s="6" t="s">
        <v>1784</v>
      </c>
      <c r="G482" s="6" t="s">
        <v>114</v>
      </c>
      <c r="H482" s="6" t="s">
        <v>1785</v>
      </c>
      <c r="I482" s="35" t="s">
        <v>77</v>
      </c>
      <c r="J482" s="36">
        <v>109.3</v>
      </c>
      <c r="K482" s="36">
        <v>69.5</v>
      </c>
      <c r="L482" s="36">
        <f t="shared" si="2"/>
        <v>1</v>
      </c>
      <c r="M482" s="36" t="str">
        <f t="shared" si="3"/>
        <v>Regular Season</v>
      </c>
      <c r="N482" s="36" t="str">
        <f>IFERROR(VLOOKUP(I482,Mapped_Owner,2,0),"")</f>
        <v>Salty</v>
      </c>
      <c r="O482" s="6">
        <f>VLOOKUP(D482,'Mapped Opponent'!$G$4:$H$22,2,0)</f>
        <v>2</v>
      </c>
      <c r="P482" s="6"/>
      <c r="Q482" s="6" t="str">
        <f t="shared" si="4"/>
        <v>Week 2</v>
      </c>
      <c r="R482" s="6" t="str">
        <f t="shared" si="5"/>
        <v>2013Week 2</v>
      </c>
      <c r="S482" s="6">
        <f>IFERROR(__xludf.DUMMYFUNCTION("rank(J482,FILTER(J:J,R:R=R482))"),4.0)</f>
        <v>4</v>
      </c>
      <c r="T482" s="6">
        <f t="shared" si="6"/>
        <v>8</v>
      </c>
      <c r="U482" s="6">
        <f t="shared" si="7"/>
        <v>4</v>
      </c>
      <c r="V482" s="42">
        <f>averageif(AllData!A:A,B482,AllData!R:R)/vlookup(B482,AllData!A:O,15,0)</f>
        <v>92.82051282</v>
      </c>
      <c r="W482" s="6"/>
    </row>
    <row r="483" ht="14.25" customHeight="1">
      <c r="A483" s="6" t="str">
        <f t="shared" si="1"/>
        <v>2013Salty2</v>
      </c>
      <c r="B483" s="6">
        <v>2013.0</v>
      </c>
      <c r="C483" s="6" t="s">
        <v>76</v>
      </c>
      <c r="D483" s="6" t="s">
        <v>131</v>
      </c>
      <c r="E483" s="34">
        <v>42005.0</v>
      </c>
      <c r="F483" s="6" t="s">
        <v>1786</v>
      </c>
      <c r="G483" s="6" t="s">
        <v>125</v>
      </c>
      <c r="H483" s="6" t="s">
        <v>1787</v>
      </c>
      <c r="I483" s="35" t="s">
        <v>64</v>
      </c>
      <c r="J483" s="36">
        <v>69.5</v>
      </c>
      <c r="K483" s="36">
        <v>109.3</v>
      </c>
      <c r="L483" s="36">
        <f t="shared" si="2"/>
        <v>0</v>
      </c>
      <c r="M483" s="36" t="str">
        <f t="shared" si="3"/>
        <v>Regular Season</v>
      </c>
      <c r="N483" s="36" t="str">
        <f>IFERROR(VLOOKUP(I483,Mapped_Owner,2,0),"")</f>
        <v>Hudspeath</v>
      </c>
      <c r="O483" s="6">
        <f>VLOOKUP(D483,'Mapped Opponent'!$G$4:$H$22,2,0)</f>
        <v>2</v>
      </c>
      <c r="P483" s="6"/>
      <c r="Q483" s="6" t="str">
        <f t="shared" si="4"/>
        <v>Week 2</v>
      </c>
      <c r="R483" s="6" t="str">
        <f t="shared" si="5"/>
        <v>2013Week 2</v>
      </c>
      <c r="S483" s="6">
        <f>IFERROR(__xludf.DUMMYFUNCTION("rank(J483,FILTER(J:J,R:R=R483))"),11.0)</f>
        <v>11</v>
      </c>
      <c r="T483" s="6">
        <f t="shared" si="6"/>
        <v>1</v>
      </c>
      <c r="U483" s="6">
        <f t="shared" si="7"/>
        <v>11</v>
      </c>
      <c r="V483" s="42">
        <f>averageif(AllData!A:A,B483,AllData!R:R)/vlookup(B483,AllData!A:O,15,0)</f>
        <v>92.82051282</v>
      </c>
      <c r="W483" s="6"/>
    </row>
    <row r="484" ht="14.25" customHeight="1">
      <c r="A484" s="6" t="str">
        <f t="shared" si="1"/>
        <v>2013Fellows2</v>
      </c>
      <c r="B484" s="6">
        <v>2013.0</v>
      </c>
      <c r="C484" s="6" t="s">
        <v>79</v>
      </c>
      <c r="D484" s="6" t="s">
        <v>131</v>
      </c>
      <c r="E484" s="34">
        <v>42005.0</v>
      </c>
      <c r="F484" s="6" t="s">
        <v>1788</v>
      </c>
      <c r="G484" s="6" t="s">
        <v>114</v>
      </c>
      <c r="H484" s="6" t="s">
        <v>1789</v>
      </c>
      <c r="I484" s="35" t="s">
        <v>91</v>
      </c>
      <c r="J484" s="36">
        <v>100.6</v>
      </c>
      <c r="K484" s="36">
        <v>98.6</v>
      </c>
      <c r="L484" s="36">
        <f t="shared" si="2"/>
        <v>1</v>
      </c>
      <c r="M484" s="36" t="str">
        <f t="shared" si="3"/>
        <v>Regular Season</v>
      </c>
      <c r="N484" s="36" t="str">
        <f>IFERROR(VLOOKUP(I484,Mapped_Owner,2,0),"")</f>
        <v>Shep</v>
      </c>
      <c r="O484" s="6">
        <f>VLOOKUP(D484,'Mapped Opponent'!$G$4:$H$22,2,0)</f>
        <v>2</v>
      </c>
      <c r="P484" s="6"/>
      <c r="Q484" s="6" t="str">
        <f t="shared" si="4"/>
        <v>Week 2</v>
      </c>
      <c r="R484" s="6" t="str">
        <f t="shared" si="5"/>
        <v>2013Week 2</v>
      </c>
      <c r="S484" s="6">
        <f>IFERROR(__xludf.DUMMYFUNCTION("rank(J484,FILTER(J:J,R:R=R484))"),6.0)</f>
        <v>6</v>
      </c>
      <c r="T484" s="6">
        <f t="shared" si="6"/>
        <v>6</v>
      </c>
      <c r="U484" s="6">
        <f t="shared" si="7"/>
        <v>6</v>
      </c>
      <c r="V484" s="42">
        <f>averageif(AllData!A:A,B484,AllData!R:R)/vlookup(B484,AllData!A:O,15,0)</f>
        <v>92.82051282</v>
      </c>
      <c r="W484" s="6"/>
    </row>
    <row r="485" ht="14.25" customHeight="1">
      <c r="A485" s="6" t="str">
        <f t="shared" si="1"/>
        <v>2013Shep2</v>
      </c>
      <c r="B485" s="6">
        <v>2013.0</v>
      </c>
      <c r="C485" s="6" t="s">
        <v>89</v>
      </c>
      <c r="D485" s="6" t="s">
        <v>131</v>
      </c>
      <c r="E485" s="34" t="s">
        <v>626</v>
      </c>
      <c r="F485" s="6" t="s">
        <v>1790</v>
      </c>
      <c r="G485" s="6" t="s">
        <v>125</v>
      </c>
      <c r="H485" s="6" t="s">
        <v>1791</v>
      </c>
      <c r="I485" s="35" t="s">
        <v>80</v>
      </c>
      <c r="J485" s="36">
        <v>98.6</v>
      </c>
      <c r="K485" s="36">
        <v>100.6</v>
      </c>
      <c r="L485" s="36">
        <f t="shared" si="2"/>
        <v>0</v>
      </c>
      <c r="M485" s="36" t="str">
        <f t="shared" si="3"/>
        <v>Regular Season</v>
      </c>
      <c r="N485" s="36" t="str">
        <f>IFERROR(VLOOKUP(I485,Mapped_Owner,2,0),"")</f>
        <v>Fellows</v>
      </c>
      <c r="O485" s="6">
        <f>VLOOKUP(D485,'Mapped Opponent'!$G$4:$H$22,2,0)</f>
        <v>2</v>
      </c>
      <c r="P485" s="6"/>
      <c r="Q485" s="6" t="str">
        <f t="shared" si="4"/>
        <v>Week 2</v>
      </c>
      <c r="R485" s="6" t="str">
        <f t="shared" si="5"/>
        <v>2013Week 2</v>
      </c>
      <c r="S485" s="6">
        <f>IFERROR(__xludf.DUMMYFUNCTION("rank(J485,FILTER(J:J,R:R=R485))"),7.0)</f>
        <v>7</v>
      </c>
      <c r="T485" s="6">
        <f t="shared" si="6"/>
        <v>5</v>
      </c>
      <c r="U485" s="6">
        <f t="shared" si="7"/>
        <v>7</v>
      </c>
      <c r="V485" s="42">
        <f>averageif(AllData!A:A,B485,AllData!R:R)/vlookup(B485,AllData!A:O,15,0)</f>
        <v>92.82051282</v>
      </c>
      <c r="W485" s="6"/>
    </row>
    <row r="486" ht="14.25" customHeight="1">
      <c r="A486" s="6" t="str">
        <f t="shared" si="1"/>
        <v>2013Riley2</v>
      </c>
      <c r="B486" s="6">
        <v>2013.0</v>
      </c>
      <c r="C486" s="6" t="s">
        <v>67</v>
      </c>
      <c r="D486" s="6" t="s">
        <v>131</v>
      </c>
      <c r="E486" s="34">
        <v>42005.0</v>
      </c>
      <c r="F486" s="6" t="s">
        <v>1793</v>
      </c>
      <c r="G486" s="6" t="s">
        <v>125</v>
      </c>
      <c r="H486" s="6" t="s">
        <v>1794</v>
      </c>
      <c r="I486" s="35" t="s">
        <v>85</v>
      </c>
      <c r="J486" s="36">
        <v>84.2</v>
      </c>
      <c r="K486" s="36">
        <v>100.9</v>
      </c>
      <c r="L486" s="36">
        <f t="shared" si="2"/>
        <v>0</v>
      </c>
      <c r="M486" s="36" t="str">
        <f t="shared" si="3"/>
        <v>Regular Season</v>
      </c>
      <c r="N486" s="36" t="str">
        <f>IFERROR(VLOOKUP(I486,Mapped_Owner,2,0),"")</f>
        <v>T-How</v>
      </c>
      <c r="O486" s="6">
        <f>VLOOKUP(D486,'Mapped Opponent'!$G$4:$H$22,2,0)</f>
        <v>2</v>
      </c>
      <c r="P486" s="6"/>
      <c r="Q486" s="6" t="str">
        <f t="shared" si="4"/>
        <v>Week 2</v>
      </c>
      <c r="R486" s="6" t="str">
        <f t="shared" si="5"/>
        <v>2013Week 2</v>
      </c>
      <c r="S486" s="6">
        <f>IFERROR(__xludf.DUMMYFUNCTION("rank(J486,FILTER(J:J,R:R=R486))"),9.0)</f>
        <v>9</v>
      </c>
      <c r="T486" s="6">
        <f t="shared" si="6"/>
        <v>3</v>
      </c>
      <c r="U486" s="6">
        <f t="shared" si="7"/>
        <v>9</v>
      </c>
      <c r="V486" s="42">
        <f>averageif(AllData!A:A,B486,AllData!R:R)/vlookup(B486,AllData!A:O,15,0)</f>
        <v>92.82051282</v>
      </c>
      <c r="W486" s="6"/>
    </row>
    <row r="487" ht="14.25" customHeight="1">
      <c r="A487" s="6" t="str">
        <f t="shared" si="1"/>
        <v>2013Rooney/Jackson2</v>
      </c>
      <c r="B487" s="6">
        <v>2013.0</v>
      </c>
      <c r="C487" s="6" t="s">
        <v>57</v>
      </c>
      <c r="D487" s="6" t="s">
        <v>131</v>
      </c>
      <c r="E487" s="34">
        <v>36557.0</v>
      </c>
      <c r="F487" s="6" t="s">
        <v>1796</v>
      </c>
      <c r="G487" s="6" t="s">
        <v>125</v>
      </c>
      <c r="H487" s="6" t="s">
        <v>1797</v>
      </c>
      <c r="I487" s="35" t="s">
        <v>132</v>
      </c>
      <c r="J487" s="36">
        <v>135.4</v>
      </c>
      <c r="K487" s="36">
        <v>52.4</v>
      </c>
      <c r="L487" s="36">
        <f t="shared" si="2"/>
        <v>1</v>
      </c>
      <c r="M487" s="36" t="str">
        <f t="shared" si="3"/>
        <v>Regular Season</v>
      </c>
      <c r="N487" s="36" t="str">
        <f>IFERROR(VLOOKUP(I487,Mapped_Owner,2,0),"")</f>
        <v>KnardDawg</v>
      </c>
      <c r="O487" s="6">
        <f>VLOOKUP(D487,'Mapped Opponent'!$G$4:$H$22,2,0)</f>
        <v>2</v>
      </c>
      <c r="P487" s="6"/>
      <c r="Q487" s="6" t="str">
        <f t="shared" si="4"/>
        <v>Week 2</v>
      </c>
      <c r="R487" s="6" t="str">
        <f t="shared" si="5"/>
        <v>2013Week 2</v>
      </c>
      <c r="S487" s="6">
        <f>IFERROR(__xludf.DUMMYFUNCTION("rank(J487,FILTER(J:J,R:R=R487))"),1.0)</f>
        <v>1</v>
      </c>
      <c r="T487" s="6">
        <f t="shared" si="6"/>
        <v>11</v>
      </c>
      <c r="U487" s="6">
        <f t="shared" si="7"/>
        <v>1</v>
      </c>
      <c r="V487" s="42">
        <f>averageif(AllData!A:A,B487,AllData!R:R)/vlookup(B487,AllData!A:O,15,0)</f>
        <v>92.82051282</v>
      </c>
      <c r="W487" s="6"/>
    </row>
    <row r="488" ht="14.25" customHeight="1">
      <c r="A488" s="6" t="str">
        <f t="shared" si="1"/>
        <v>2013Buser2</v>
      </c>
      <c r="B488" s="6">
        <v>2013.0</v>
      </c>
      <c r="C488" s="6" t="s">
        <v>47</v>
      </c>
      <c r="D488" s="6" t="s">
        <v>131</v>
      </c>
      <c r="E488" s="34">
        <v>42005.0</v>
      </c>
      <c r="F488" s="6" t="s">
        <v>1798</v>
      </c>
      <c r="G488" s="6" t="s">
        <v>125</v>
      </c>
      <c r="H488" s="6" t="s">
        <v>1799</v>
      </c>
      <c r="I488" s="35" t="s">
        <v>54</v>
      </c>
      <c r="J488" s="36">
        <v>86.3</v>
      </c>
      <c r="K488" s="36">
        <v>81.7</v>
      </c>
      <c r="L488" s="36">
        <f t="shared" si="2"/>
        <v>1</v>
      </c>
      <c r="M488" s="36" t="str">
        <f t="shared" si="3"/>
        <v>Regular Season</v>
      </c>
      <c r="N488" s="36" t="str">
        <f>IFERROR(VLOOKUP(I488,Mapped_Owner,2,0),"")</f>
        <v>Tayski</v>
      </c>
      <c r="O488" s="6">
        <f>VLOOKUP(D488,'Mapped Opponent'!$G$4:$H$22,2,0)</f>
        <v>2</v>
      </c>
      <c r="P488" s="6"/>
      <c r="Q488" s="6" t="str">
        <f t="shared" si="4"/>
        <v>Week 2</v>
      </c>
      <c r="R488" s="6" t="str">
        <f t="shared" si="5"/>
        <v>2013Week 2</v>
      </c>
      <c r="S488" s="6">
        <f>IFERROR(__xludf.DUMMYFUNCTION("rank(J488,FILTER(J:J,R:R=R488))"),8.0)</f>
        <v>8</v>
      </c>
      <c r="T488" s="6">
        <f t="shared" si="6"/>
        <v>4</v>
      </c>
      <c r="U488" s="6">
        <f t="shared" si="7"/>
        <v>8</v>
      </c>
      <c r="V488" s="42">
        <f>averageif(AllData!A:A,B488,AllData!R:R)/vlookup(B488,AllData!A:O,15,0)</f>
        <v>92.82051282</v>
      </c>
      <c r="W488" s="6"/>
    </row>
    <row r="489" ht="14.25" customHeight="1">
      <c r="A489" s="6" t="str">
        <f t="shared" si="1"/>
        <v>2013Pierson2</v>
      </c>
      <c r="B489" s="6">
        <v>2013.0</v>
      </c>
      <c r="C489" s="6" t="s">
        <v>92</v>
      </c>
      <c r="D489" s="6" t="s">
        <v>131</v>
      </c>
      <c r="E489" s="34">
        <v>42005.0</v>
      </c>
      <c r="F489" s="6" t="s">
        <v>1800</v>
      </c>
      <c r="G489" s="6" t="s">
        <v>125</v>
      </c>
      <c r="H489" s="6" t="s">
        <v>1801</v>
      </c>
      <c r="I489" s="35" t="s">
        <v>99</v>
      </c>
      <c r="J489" s="36">
        <v>109.6</v>
      </c>
      <c r="K489" s="36">
        <v>117.6</v>
      </c>
      <c r="L489" s="36">
        <f t="shared" si="2"/>
        <v>0</v>
      </c>
      <c r="M489" s="36" t="str">
        <f t="shared" si="3"/>
        <v>Regular Season</v>
      </c>
      <c r="N489" s="36" t="str">
        <f>IFERROR(VLOOKUP(I489,Mapped_Owner,2,0),"")</f>
        <v>Cock</v>
      </c>
      <c r="O489" s="6">
        <f>VLOOKUP(D489,'Mapped Opponent'!$G$4:$H$22,2,0)</f>
        <v>2</v>
      </c>
      <c r="P489" s="6"/>
      <c r="Q489" s="6" t="str">
        <f t="shared" si="4"/>
        <v>Week 2</v>
      </c>
      <c r="R489" s="6" t="str">
        <f t="shared" si="5"/>
        <v>2013Week 2</v>
      </c>
      <c r="S489" s="6">
        <f>IFERROR(__xludf.DUMMYFUNCTION("rank(J489,FILTER(J:J,R:R=R489))"),3.0)</f>
        <v>3</v>
      </c>
      <c r="T489" s="6">
        <f t="shared" si="6"/>
        <v>9</v>
      </c>
      <c r="U489" s="6">
        <f t="shared" si="7"/>
        <v>3</v>
      </c>
      <c r="V489" s="42">
        <f>averageif(AllData!A:A,B489,AllData!R:R)/vlookup(B489,AllData!A:O,15,0)</f>
        <v>92.82051282</v>
      </c>
      <c r="W489" s="6"/>
    </row>
    <row r="490" ht="14.25" customHeight="1">
      <c r="A490" s="6" t="str">
        <f t="shared" si="1"/>
        <v>2013Cock2</v>
      </c>
      <c r="B490" s="6">
        <v>2013.0</v>
      </c>
      <c r="C490" s="6" t="s">
        <v>72</v>
      </c>
      <c r="D490" s="6" t="s">
        <v>131</v>
      </c>
      <c r="E490" s="34">
        <v>42005.0</v>
      </c>
      <c r="F490" s="6" t="s">
        <v>1802</v>
      </c>
      <c r="G490" s="6" t="s">
        <v>114</v>
      </c>
      <c r="H490" s="6" t="s">
        <v>1803</v>
      </c>
      <c r="I490" s="35" t="s">
        <v>93</v>
      </c>
      <c r="J490" s="36">
        <v>117.6</v>
      </c>
      <c r="K490" s="36">
        <v>109.6</v>
      </c>
      <c r="L490" s="36">
        <f t="shared" si="2"/>
        <v>1</v>
      </c>
      <c r="M490" s="36" t="str">
        <f t="shared" si="3"/>
        <v>Regular Season</v>
      </c>
      <c r="N490" s="36" t="str">
        <f>IFERROR(VLOOKUP(I490,Mapped_Owner,2,0),"")</f>
        <v>Pierson</v>
      </c>
      <c r="O490" s="6">
        <f>VLOOKUP(D490,'Mapped Opponent'!$G$4:$H$22,2,0)</f>
        <v>2</v>
      </c>
      <c r="P490" s="6"/>
      <c r="Q490" s="6" t="str">
        <f t="shared" si="4"/>
        <v>Week 2</v>
      </c>
      <c r="R490" s="6" t="str">
        <f t="shared" si="5"/>
        <v>2013Week 2</v>
      </c>
      <c r="S490" s="6">
        <f>IFERROR(__xludf.DUMMYFUNCTION("rank(J490,FILTER(J:J,R:R=R490))"),2.0)</f>
        <v>2</v>
      </c>
      <c r="T490" s="6">
        <f t="shared" si="6"/>
        <v>10</v>
      </c>
      <c r="U490" s="6">
        <f t="shared" si="7"/>
        <v>2</v>
      </c>
      <c r="V490" s="42">
        <f>averageif(AllData!A:A,B490,AllData!R:R)/vlookup(B490,AllData!A:O,15,0)</f>
        <v>92.82051282</v>
      </c>
      <c r="W490" s="6"/>
    </row>
    <row r="491" ht="14.25" customHeight="1">
      <c r="A491" s="6" t="str">
        <f t="shared" si="1"/>
        <v>2013Tayski2</v>
      </c>
      <c r="B491" s="6">
        <v>2013.0</v>
      </c>
      <c r="C491" s="6" t="s">
        <v>52</v>
      </c>
      <c r="D491" s="6" t="s">
        <v>131</v>
      </c>
      <c r="E491" s="34" t="s">
        <v>626</v>
      </c>
      <c r="F491" s="6" t="s">
        <v>1804</v>
      </c>
      <c r="G491" s="6" t="s">
        <v>114</v>
      </c>
      <c r="H491" s="6" t="s">
        <v>1805</v>
      </c>
      <c r="I491" s="35" t="s">
        <v>50</v>
      </c>
      <c r="J491" s="36">
        <v>81.7</v>
      </c>
      <c r="K491" s="36">
        <v>86.3</v>
      </c>
      <c r="L491" s="36">
        <f t="shared" si="2"/>
        <v>0</v>
      </c>
      <c r="M491" s="36" t="str">
        <f t="shared" si="3"/>
        <v>Regular Season</v>
      </c>
      <c r="N491" s="36" t="str">
        <f>IFERROR(VLOOKUP(I491,Mapped_Owner,2,0),"")</f>
        <v>Buser</v>
      </c>
      <c r="O491" s="6">
        <f>VLOOKUP(D491,'Mapped Opponent'!$G$4:$H$22,2,0)</f>
        <v>2</v>
      </c>
      <c r="P491" s="6"/>
      <c r="Q491" s="6" t="str">
        <f t="shared" si="4"/>
        <v>Week 2</v>
      </c>
      <c r="R491" s="6" t="str">
        <f t="shared" si="5"/>
        <v>2013Week 2</v>
      </c>
      <c r="S491" s="6">
        <f>IFERROR(__xludf.DUMMYFUNCTION("rank(J491,FILTER(J:J,R:R=R491))"),10.0)</f>
        <v>10</v>
      </c>
      <c r="T491" s="6">
        <f t="shared" si="6"/>
        <v>2</v>
      </c>
      <c r="U491" s="6">
        <f t="shared" si="7"/>
        <v>10</v>
      </c>
      <c r="V491" s="42">
        <f>averageif(AllData!A:A,B491,AllData!R:R)/vlookup(B491,AllData!A:O,15,0)</f>
        <v>92.82051282</v>
      </c>
      <c r="W491" s="6"/>
    </row>
    <row r="492" ht="14.25" customHeight="1">
      <c r="A492" s="6" t="str">
        <f t="shared" si="1"/>
        <v>2013KnardDawg2</v>
      </c>
      <c r="B492" s="6">
        <v>2013.0</v>
      </c>
      <c r="C492" s="6" t="s">
        <v>86</v>
      </c>
      <c r="D492" s="6" t="s">
        <v>131</v>
      </c>
      <c r="E492" s="34">
        <v>42005.0</v>
      </c>
      <c r="F492" s="6" t="s">
        <v>1806</v>
      </c>
      <c r="G492" s="6" t="s">
        <v>114</v>
      </c>
      <c r="H492" s="6" t="s">
        <v>1807</v>
      </c>
      <c r="I492" s="35" t="s">
        <v>58</v>
      </c>
      <c r="J492" s="36">
        <v>52.4</v>
      </c>
      <c r="K492" s="36">
        <v>135.4</v>
      </c>
      <c r="L492" s="36">
        <f t="shared" si="2"/>
        <v>0</v>
      </c>
      <c r="M492" s="36" t="str">
        <f t="shared" si="3"/>
        <v>Regular Season</v>
      </c>
      <c r="N492" s="36" t="str">
        <f>IFERROR(VLOOKUP(I492,Mapped_Owner,2,0),"")</f>
        <v>Rooney/Jackson</v>
      </c>
      <c r="O492" s="6">
        <f>VLOOKUP(D492,'Mapped Opponent'!$G$4:$H$22,2,0)</f>
        <v>2</v>
      </c>
      <c r="P492" s="6"/>
      <c r="Q492" s="6" t="str">
        <f t="shared" si="4"/>
        <v>Week 2</v>
      </c>
      <c r="R492" s="6" t="str">
        <f t="shared" si="5"/>
        <v>2013Week 2</v>
      </c>
      <c r="S492" s="6">
        <f>IFERROR(__xludf.DUMMYFUNCTION("rank(J492,FILTER(J:J,R:R=R492))"),12.0)</f>
        <v>12</v>
      </c>
      <c r="T492" s="6">
        <f t="shared" si="6"/>
        <v>0</v>
      </c>
      <c r="U492" s="6">
        <f t="shared" si="7"/>
        <v>12</v>
      </c>
      <c r="V492" s="42">
        <f>averageif(AllData!A:A,B492,AllData!R:R)/vlookup(B492,AllData!A:O,15,0)</f>
        <v>92.82051282</v>
      </c>
      <c r="W492" s="6"/>
    </row>
    <row r="493" ht="14.25" customHeight="1">
      <c r="A493" s="6" t="str">
        <f t="shared" si="1"/>
        <v>2013T-How2</v>
      </c>
      <c r="B493" s="6">
        <v>2013.0</v>
      </c>
      <c r="C493" s="6" t="s">
        <v>82</v>
      </c>
      <c r="D493" s="6" t="s">
        <v>131</v>
      </c>
      <c r="E493" s="34">
        <v>42005.0</v>
      </c>
      <c r="F493" s="6" t="s">
        <v>1808</v>
      </c>
      <c r="G493" s="6" t="s">
        <v>114</v>
      </c>
      <c r="H493" s="6" t="s">
        <v>1809</v>
      </c>
      <c r="I493" s="35" t="s">
        <v>68</v>
      </c>
      <c r="J493" s="36">
        <v>100.9</v>
      </c>
      <c r="K493" s="36">
        <v>84.2</v>
      </c>
      <c r="L493" s="36">
        <f t="shared" si="2"/>
        <v>1</v>
      </c>
      <c r="M493" s="36" t="str">
        <f t="shared" si="3"/>
        <v>Regular Season</v>
      </c>
      <c r="N493" s="36" t="str">
        <f>IFERROR(VLOOKUP(I493,Mapped_Owner,2,0),"")</f>
        <v>Riley</v>
      </c>
      <c r="O493" s="6">
        <f>VLOOKUP(D493,'Mapped Opponent'!$G$4:$H$22,2,0)</f>
        <v>2</v>
      </c>
      <c r="P493" s="6"/>
      <c r="Q493" s="6" t="str">
        <f t="shared" si="4"/>
        <v>Week 2</v>
      </c>
      <c r="R493" s="6" t="str">
        <f t="shared" si="5"/>
        <v>2013Week 2</v>
      </c>
      <c r="S493" s="6">
        <f>IFERROR(__xludf.DUMMYFUNCTION("rank(J493,FILTER(J:J,R:R=R493))"),5.0)</f>
        <v>5</v>
      </c>
      <c r="T493" s="6">
        <f t="shared" si="6"/>
        <v>7</v>
      </c>
      <c r="U493" s="6">
        <f t="shared" si="7"/>
        <v>5</v>
      </c>
      <c r="V493" s="42">
        <f>averageif(AllData!A:A,B493,AllData!R:R)/vlookup(B493,AllData!A:O,15,0)</f>
        <v>92.82051282</v>
      </c>
      <c r="W493" s="6"/>
    </row>
    <row r="494" ht="14.25" customHeight="1">
      <c r="A494" s="6" t="str">
        <f t="shared" si="1"/>
        <v>2013Hudspeath3</v>
      </c>
      <c r="B494" s="6">
        <v>2013.0</v>
      </c>
      <c r="C494" s="6" t="s">
        <v>39</v>
      </c>
      <c r="D494" s="6" t="s">
        <v>135</v>
      </c>
      <c r="E494" s="34">
        <v>36586.0</v>
      </c>
      <c r="F494" s="6" t="s">
        <v>1810</v>
      </c>
      <c r="G494" s="6" t="s">
        <v>125</v>
      </c>
      <c r="H494" s="6" t="s">
        <v>1811</v>
      </c>
      <c r="I494" s="35" t="s">
        <v>68</v>
      </c>
      <c r="J494" s="36">
        <v>112.0</v>
      </c>
      <c r="K494" s="36">
        <v>69.8</v>
      </c>
      <c r="L494" s="36">
        <f t="shared" si="2"/>
        <v>1</v>
      </c>
      <c r="M494" s="36" t="str">
        <f t="shared" si="3"/>
        <v>Regular Season</v>
      </c>
      <c r="N494" s="36" t="str">
        <f>IFERROR(VLOOKUP(I494,Mapped_Owner,2,0),"")</f>
        <v>Riley</v>
      </c>
      <c r="O494" s="6">
        <f>VLOOKUP(D494,'Mapped Opponent'!$G$4:$H$22,2,0)</f>
        <v>3</v>
      </c>
      <c r="P494" s="6"/>
      <c r="Q494" s="6" t="str">
        <f t="shared" si="4"/>
        <v>Week 3</v>
      </c>
      <c r="R494" s="6" t="str">
        <f t="shared" si="5"/>
        <v>2013Week 3</v>
      </c>
      <c r="S494" s="6">
        <f>IFERROR(__xludf.DUMMYFUNCTION("rank(J494,FILTER(J:J,R:R=R494))"),2.0)</f>
        <v>2</v>
      </c>
      <c r="T494" s="6">
        <f t="shared" si="6"/>
        <v>10</v>
      </c>
      <c r="U494" s="6">
        <f t="shared" si="7"/>
        <v>2</v>
      </c>
      <c r="V494" s="42">
        <f>averageif(AllData!A:A,B494,AllData!R:R)/vlookup(B494,AllData!A:O,15,0)</f>
        <v>92.82051282</v>
      </c>
      <c r="W494" s="6"/>
    </row>
    <row r="495" ht="14.25" customHeight="1">
      <c r="A495" s="6" t="str">
        <f t="shared" si="1"/>
        <v>2013Salty3</v>
      </c>
      <c r="B495" s="6">
        <v>2013.0</v>
      </c>
      <c r="C495" s="6" t="s">
        <v>76</v>
      </c>
      <c r="D495" s="6" t="s">
        <v>135</v>
      </c>
      <c r="E495" s="34">
        <v>42006.0</v>
      </c>
      <c r="F495" s="6" t="s">
        <v>1812</v>
      </c>
      <c r="G495" s="6" t="s">
        <v>114</v>
      </c>
      <c r="H495" s="6" t="s">
        <v>1813</v>
      </c>
      <c r="I495" s="35" t="s">
        <v>91</v>
      </c>
      <c r="J495" s="36">
        <v>88.6</v>
      </c>
      <c r="K495" s="36">
        <v>108.7</v>
      </c>
      <c r="L495" s="36">
        <f t="shared" si="2"/>
        <v>0</v>
      </c>
      <c r="M495" s="36" t="str">
        <f t="shared" si="3"/>
        <v>Regular Season</v>
      </c>
      <c r="N495" s="36" t="str">
        <f>IFERROR(VLOOKUP(I495,Mapped_Owner,2,0),"")</f>
        <v>Shep</v>
      </c>
      <c r="O495" s="6">
        <f>VLOOKUP(D495,'Mapped Opponent'!$G$4:$H$22,2,0)</f>
        <v>3</v>
      </c>
      <c r="P495" s="6"/>
      <c r="Q495" s="6" t="str">
        <f t="shared" si="4"/>
        <v>Week 3</v>
      </c>
      <c r="R495" s="6" t="str">
        <f t="shared" si="5"/>
        <v>2013Week 3</v>
      </c>
      <c r="S495" s="6">
        <f>IFERROR(__xludf.DUMMYFUNCTION("rank(J495,FILTER(J:J,R:R=R495))"),5.0)</f>
        <v>5</v>
      </c>
      <c r="T495" s="6">
        <f t="shared" si="6"/>
        <v>7</v>
      </c>
      <c r="U495" s="6">
        <f t="shared" si="7"/>
        <v>5</v>
      </c>
      <c r="V495" s="42">
        <f>averageif(AllData!A:A,B495,AllData!R:R)/vlookup(B495,AllData!A:O,15,0)</f>
        <v>92.82051282</v>
      </c>
      <c r="W495" s="6"/>
    </row>
    <row r="496" ht="14.25" customHeight="1">
      <c r="A496" s="6" t="str">
        <f t="shared" si="1"/>
        <v>2013Fellows3</v>
      </c>
      <c r="B496" s="6">
        <v>2013.0</v>
      </c>
      <c r="C496" s="6" t="s">
        <v>79</v>
      </c>
      <c r="D496" s="6" t="s">
        <v>135</v>
      </c>
      <c r="E496" s="34">
        <v>42036.0</v>
      </c>
      <c r="F496" s="6" t="s">
        <v>1815</v>
      </c>
      <c r="G496" s="6" t="s">
        <v>125</v>
      </c>
      <c r="H496" s="6" t="s">
        <v>1816</v>
      </c>
      <c r="I496" s="35" t="s">
        <v>58</v>
      </c>
      <c r="J496" s="36">
        <v>65.2</v>
      </c>
      <c r="K496" s="36">
        <v>62.9</v>
      </c>
      <c r="L496" s="36">
        <f t="shared" si="2"/>
        <v>1</v>
      </c>
      <c r="M496" s="36" t="str">
        <f t="shared" si="3"/>
        <v>Regular Season</v>
      </c>
      <c r="N496" s="36" t="str">
        <f>IFERROR(VLOOKUP(I496,Mapped_Owner,2,0),"")</f>
        <v>Rooney/Jackson</v>
      </c>
      <c r="O496" s="6">
        <f>VLOOKUP(D496,'Mapped Opponent'!$G$4:$H$22,2,0)</f>
        <v>3</v>
      </c>
      <c r="P496" s="6"/>
      <c r="Q496" s="6" t="str">
        <f t="shared" si="4"/>
        <v>Week 3</v>
      </c>
      <c r="R496" s="6" t="str">
        <f t="shared" si="5"/>
        <v>2013Week 3</v>
      </c>
      <c r="S496" s="6">
        <f>IFERROR(__xludf.DUMMYFUNCTION("rank(J496,FILTER(J:J,R:R=R496))"),11.0)</f>
        <v>11</v>
      </c>
      <c r="T496" s="6">
        <f t="shared" si="6"/>
        <v>1</v>
      </c>
      <c r="U496" s="6">
        <f t="shared" si="7"/>
        <v>11</v>
      </c>
      <c r="V496" s="42">
        <f>averageif(AllData!A:A,B496,AllData!R:R)/vlookup(B496,AllData!A:O,15,0)</f>
        <v>92.82051282</v>
      </c>
      <c r="W496" s="6"/>
    </row>
    <row r="497" ht="14.25" customHeight="1">
      <c r="A497" s="6" t="str">
        <f t="shared" si="1"/>
        <v>2013Shep3</v>
      </c>
      <c r="B497" s="6">
        <v>2013.0</v>
      </c>
      <c r="C497" s="6" t="s">
        <v>89</v>
      </c>
      <c r="D497" s="6" t="s">
        <v>135</v>
      </c>
      <c r="E497" s="34">
        <v>42006.0</v>
      </c>
      <c r="F497" s="6" t="s">
        <v>1818</v>
      </c>
      <c r="G497" s="6" t="s">
        <v>125</v>
      </c>
      <c r="H497" s="6" t="s">
        <v>1819</v>
      </c>
      <c r="I497" s="35" t="s">
        <v>77</v>
      </c>
      <c r="J497" s="36">
        <v>108.7</v>
      </c>
      <c r="K497" s="36">
        <v>88.6</v>
      </c>
      <c r="L497" s="36">
        <f t="shared" si="2"/>
        <v>1</v>
      </c>
      <c r="M497" s="36" t="str">
        <f t="shared" si="3"/>
        <v>Regular Season</v>
      </c>
      <c r="N497" s="36" t="str">
        <f>IFERROR(VLOOKUP(I497,Mapped_Owner,2,0),"")</f>
        <v>Salty</v>
      </c>
      <c r="O497" s="6">
        <f>VLOOKUP(D497,'Mapped Opponent'!$G$4:$H$22,2,0)</f>
        <v>3</v>
      </c>
      <c r="P497" s="6"/>
      <c r="Q497" s="6" t="str">
        <f t="shared" si="4"/>
        <v>Week 3</v>
      </c>
      <c r="R497" s="6" t="str">
        <f t="shared" si="5"/>
        <v>2013Week 3</v>
      </c>
      <c r="S497" s="6">
        <f>IFERROR(__xludf.DUMMYFUNCTION("rank(J497,FILTER(J:J,R:R=R497))"),3.0)</f>
        <v>3</v>
      </c>
      <c r="T497" s="6">
        <f t="shared" si="6"/>
        <v>9</v>
      </c>
      <c r="U497" s="6">
        <f t="shared" si="7"/>
        <v>3</v>
      </c>
      <c r="V497" s="42">
        <f>averageif(AllData!A:A,B497,AllData!R:R)/vlookup(B497,AllData!A:O,15,0)</f>
        <v>92.82051282</v>
      </c>
      <c r="W497" s="6"/>
    </row>
    <row r="498" ht="14.25" customHeight="1">
      <c r="A498" s="6" t="str">
        <f t="shared" si="1"/>
        <v>2013Riley3</v>
      </c>
      <c r="B498" s="6">
        <v>2013.0</v>
      </c>
      <c r="C498" s="6" t="s">
        <v>67</v>
      </c>
      <c r="D498" s="6" t="s">
        <v>135</v>
      </c>
      <c r="E498" s="34">
        <v>42006.0</v>
      </c>
      <c r="F498" s="6" t="s">
        <v>1821</v>
      </c>
      <c r="G498" s="6" t="s">
        <v>114</v>
      </c>
      <c r="H498" s="6" t="s">
        <v>1822</v>
      </c>
      <c r="I498" s="35" t="s">
        <v>64</v>
      </c>
      <c r="J498" s="36">
        <v>69.8</v>
      </c>
      <c r="K498" s="36">
        <v>112.0</v>
      </c>
      <c r="L498" s="36">
        <f t="shared" si="2"/>
        <v>0</v>
      </c>
      <c r="M498" s="36" t="str">
        <f t="shared" si="3"/>
        <v>Regular Season</v>
      </c>
      <c r="N498" s="36" t="str">
        <f>IFERROR(VLOOKUP(I498,Mapped_Owner,2,0),"")</f>
        <v>Hudspeath</v>
      </c>
      <c r="O498" s="6">
        <f>VLOOKUP(D498,'Mapped Opponent'!$G$4:$H$22,2,0)</f>
        <v>3</v>
      </c>
      <c r="P498" s="6"/>
      <c r="Q498" s="6" t="str">
        <f t="shared" si="4"/>
        <v>Week 3</v>
      </c>
      <c r="R498" s="6" t="str">
        <f t="shared" si="5"/>
        <v>2013Week 3</v>
      </c>
      <c r="S498" s="6">
        <f>IFERROR(__xludf.DUMMYFUNCTION("rank(J498,FILTER(J:J,R:R=R498))"),10.0)</f>
        <v>10</v>
      </c>
      <c r="T498" s="6">
        <f t="shared" si="6"/>
        <v>2</v>
      </c>
      <c r="U498" s="6">
        <f t="shared" si="7"/>
        <v>10</v>
      </c>
      <c r="V498" s="42">
        <f>averageif(AllData!A:A,B498,AllData!R:R)/vlookup(B498,AllData!A:O,15,0)</f>
        <v>92.82051282</v>
      </c>
      <c r="W498" s="6"/>
    </row>
    <row r="499" ht="14.25" customHeight="1">
      <c r="A499" s="6" t="str">
        <f t="shared" si="1"/>
        <v>2013Rooney/Jackson3</v>
      </c>
      <c r="B499" s="6">
        <v>2013.0</v>
      </c>
      <c r="C499" s="6" t="s">
        <v>57</v>
      </c>
      <c r="D499" s="6" t="s">
        <v>135</v>
      </c>
      <c r="E499" s="34">
        <v>42036.0</v>
      </c>
      <c r="F499" s="6" t="s">
        <v>1823</v>
      </c>
      <c r="G499" s="6" t="s">
        <v>114</v>
      </c>
      <c r="H499" s="6" t="s">
        <v>1824</v>
      </c>
      <c r="I499" s="35" t="s">
        <v>80</v>
      </c>
      <c r="J499" s="36">
        <v>62.9</v>
      </c>
      <c r="K499" s="36">
        <v>65.2</v>
      </c>
      <c r="L499" s="36">
        <f t="shared" si="2"/>
        <v>0</v>
      </c>
      <c r="M499" s="36" t="str">
        <f t="shared" si="3"/>
        <v>Regular Season</v>
      </c>
      <c r="N499" s="36" t="str">
        <f>IFERROR(VLOOKUP(I499,Mapped_Owner,2,0),"")</f>
        <v>Fellows</v>
      </c>
      <c r="O499" s="6">
        <f>VLOOKUP(D499,'Mapped Opponent'!$G$4:$H$22,2,0)</f>
        <v>3</v>
      </c>
      <c r="P499" s="6"/>
      <c r="Q499" s="6" t="str">
        <f t="shared" si="4"/>
        <v>Week 3</v>
      </c>
      <c r="R499" s="6" t="str">
        <f t="shared" si="5"/>
        <v>2013Week 3</v>
      </c>
      <c r="S499" s="6">
        <f>IFERROR(__xludf.DUMMYFUNCTION("rank(J499,FILTER(J:J,R:R=R499))"),12.0)</f>
        <v>12</v>
      </c>
      <c r="T499" s="6">
        <f t="shared" si="6"/>
        <v>0</v>
      </c>
      <c r="U499" s="6">
        <f t="shared" si="7"/>
        <v>12</v>
      </c>
      <c r="V499" s="42">
        <f>averageif(AllData!A:A,B499,AllData!R:R)/vlookup(B499,AllData!A:O,15,0)</f>
        <v>92.82051282</v>
      </c>
      <c r="W499" s="6"/>
    </row>
    <row r="500" ht="14.25" customHeight="1">
      <c r="A500" s="6" t="str">
        <f t="shared" si="1"/>
        <v>2013Buser3</v>
      </c>
      <c r="B500" s="6">
        <v>2013.0</v>
      </c>
      <c r="C500" s="6" t="s">
        <v>47</v>
      </c>
      <c r="D500" s="6" t="s">
        <v>135</v>
      </c>
      <c r="E500" s="34">
        <v>42036.0</v>
      </c>
      <c r="F500" s="6" t="s">
        <v>1825</v>
      </c>
      <c r="G500" s="6" t="s">
        <v>114</v>
      </c>
      <c r="H500" s="6" t="s">
        <v>1826</v>
      </c>
      <c r="I500" s="35" t="s">
        <v>85</v>
      </c>
      <c r="J500" s="36">
        <v>127.3</v>
      </c>
      <c r="K500" s="36">
        <v>76.6</v>
      </c>
      <c r="L500" s="36">
        <f t="shared" si="2"/>
        <v>1</v>
      </c>
      <c r="M500" s="36" t="str">
        <f t="shared" si="3"/>
        <v>Regular Season</v>
      </c>
      <c r="N500" s="36" t="str">
        <f>IFERROR(VLOOKUP(I500,Mapped_Owner,2,0),"")</f>
        <v>T-How</v>
      </c>
      <c r="O500" s="6">
        <f>VLOOKUP(D500,'Mapped Opponent'!$G$4:$H$22,2,0)</f>
        <v>3</v>
      </c>
      <c r="P500" s="6"/>
      <c r="Q500" s="6" t="str">
        <f t="shared" si="4"/>
        <v>Week 3</v>
      </c>
      <c r="R500" s="6" t="str">
        <f t="shared" si="5"/>
        <v>2013Week 3</v>
      </c>
      <c r="S500" s="6">
        <f>IFERROR(__xludf.DUMMYFUNCTION("rank(J500,FILTER(J:J,R:R=R500))"),1.0)</f>
        <v>1</v>
      </c>
      <c r="T500" s="6">
        <f t="shared" si="6"/>
        <v>11</v>
      </c>
      <c r="U500" s="6">
        <f t="shared" si="7"/>
        <v>1</v>
      </c>
      <c r="V500" s="42">
        <f>averageif(AllData!A:A,B500,AllData!R:R)/vlookup(B500,AllData!A:O,15,0)</f>
        <v>92.82051282</v>
      </c>
      <c r="W500" s="6"/>
    </row>
    <row r="501" ht="14.25" customHeight="1">
      <c r="A501" s="6" t="str">
        <f t="shared" si="1"/>
        <v>2013Pierson3</v>
      </c>
      <c r="B501" s="6">
        <v>2013.0</v>
      </c>
      <c r="C501" s="6" t="s">
        <v>92</v>
      </c>
      <c r="D501" s="6" t="s">
        <v>135</v>
      </c>
      <c r="E501" s="34">
        <v>42006.0</v>
      </c>
      <c r="F501" s="6" t="s">
        <v>1827</v>
      </c>
      <c r="G501" s="6" t="s">
        <v>114</v>
      </c>
      <c r="H501" s="6" t="s">
        <v>1828</v>
      </c>
      <c r="I501" s="35" t="s">
        <v>132</v>
      </c>
      <c r="J501" s="36">
        <v>71.8</v>
      </c>
      <c r="K501" s="36">
        <v>86.2</v>
      </c>
      <c r="L501" s="36">
        <f t="shared" si="2"/>
        <v>0</v>
      </c>
      <c r="M501" s="36" t="str">
        <f t="shared" si="3"/>
        <v>Regular Season</v>
      </c>
      <c r="N501" s="36" t="str">
        <f>IFERROR(VLOOKUP(I501,Mapped_Owner,2,0),"")</f>
        <v>KnardDawg</v>
      </c>
      <c r="O501" s="6">
        <f>VLOOKUP(D501,'Mapped Opponent'!$G$4:$H$22,2,0)</f>
        <v>3</v>
      </c>
      <c r="P501" s="6"/>
      <c r="Q501" s="6" t="str">
        <f t="shared" si="4"/>
        <v>Week 3</v>
      </c>
      <c r="R501" s="6" t="str">
        <f t="shared" si="5"/>
        <v>2013Week 3</v>
      </c>
      <c r="S501" s="6">
        <f>IFERROR(__xludf.DUMMYFUNCTION("rank(J501,FILTER(J:J,R:R=R501))"),9.0)</f>
        <v>9</v>
      </c>
      <c r="T501" s="6">
        <f t="shared" si="6"/>
        <v>3</v>
      </c>
      <c r="U501" s="6">
        <f t="shared" si="7"/>
        <v>9</v>
      </c>
      <c r="V501" s="42">
        <f>averageif(AllData!A:A,B501,AllData!R:R)/vlookup(B501,AllData!A:O,15,0)</f>
        <v>92.82051282</v>
      </c>
      <c r="W501" s="6"/>
    </row>
    <row r="502" ht="14.25" customHeight="1">
      <c r="A502" s="6" t="str">
        <f t="shared" si="1"/>
        <v>2013Cock3</v>
      </c>
      <c r="B502" s="6">
        <v>2013.0</v>
      </c>
      <c r="C502" s="6" t="s">
        <v>72</v>
      </c>
      <c r="D502" s="6" t="s">
        <v>135</v>
      </c>
      <c r="E502" s="34">
        <v>42036.0</v>
      </c>
      <c r="F502" s="6" t="s">
        <v>1829</v>
      </c>
      <c r="G502" s="6" t="s">
        <v>114</v>
      </c>
      <c r="H502" s="6" t="s">
        <v>1830</v>
      </c>
      <c r="I502" s="35" t="s">
        <v>54</v>
      </c>
      <c r="J502" s="36">
        <v>102.0</v>
      </c>
      <c r="K502" s="36">
        <v>86.9</v>
      </c>
      <c r="L502" s="36">
        <f t="shared" si="2"/>
        <v>1</v>
      </c>
      <c r="M502" s="36" t="str">
        <f t="shared" si="3"/>
        <v>Regular Season</v>
      </c>
      <c r="N502" s="36" t="str">
        <f>IFERROR(VLOOKUP(I502,Mapped_Owner,2,0),"")</f>
        <v>Tayski</v>
      </c>
      <c r="O502" s="6">
        <f>VLOOKUP(D502,'Mapped Opponent'!$G$4:$H$22,2,0)</f>
        <v>3</v>
      </c>
      <c r="P502" s="6"/>
      <c r="Q502" s="6" t="str">
        <f t="shared" si="4"/>
        <v>Week 3</v>
      </c>
      <c r="R502" s="6" t="str">
        <f t="shared" si="5"/>
        <v>2013Week 3</v>
      </c>
      <c r="S502" s="6">
        <f>IFERROR(__xludf.DUMMYFUNCTION("rank(J502,FILTER(J:J,R:R=R502))"),4.0)</f>
        <v>4</v>
      </c>
      <c r="T502" s="6">
        <f t="shared" si="6"/>
        <v>8</v>
      </c>
      <c r="U502" s="6">
        <f t="shared" si="7"/>
        <v>4</v>
      </c>
      <c r="V502" s="42">
        <f>averageif(AllData!A:A,B502,AllData!R:R)/vlookup(B502,AllData!A:O,15,0)</f>
        <v>92.82051282</v>
      </c>
      <c r="W502" s="6"/>
    </row>
    <row r="503" ht="14.25" customHeight="1">
      <c r="A503" s="6" t="str">
        <f t="shared" si="1"/>
        <v>2013Tayski3</v>
      </c>
      <c r="B503" s="6">
        <v>2013.0</v>
      </c>
      <c r="C503" s="6" t="s">
        <v>52</v>
      </c>
      <c r="D503" s="6" t="s">
        <v>135</v>
      </c>
      <c r="E503" s="34" t="s">
        <v>684</v>
      </c>
      <c r="F503" s="6" t="s">
        <v>1831</v>
      </c>
      <c r="G503" s="6" t="s">
        <v>125</v>
      </c>
      <c r="H503" s="6" t="s">
        <v>1832</v>
      </c>
      <c r="I503" s="35" t="s">
        <v>99</v>
      </c>
      <c r="J503" s="36">
        <v>86.9</v>
      </c>
      <c r="K503" s="36">
        <v>102.0</v>
      </c>
      <c r="L503" s="36">
        <f t="shared" si="2"/>
        <v>0</v>
      </c>
      <c r="M503" s="36" t="str">
        <f t="shared" si="3"/>
        <v>Regular Season</v>
      </c>
      <c r="N503" s="36" t="str">
        <f>IFERROR(VLOOKUP(I503,Mapped_Owner,2,0),"")</f>
        <v>Cock</v>
      </c>
      <c r="O503" s="6">
        <f>VLOOKUP(D503,'Mapped Opponent'!$G$4:$H$22,2,0)</f>
        <v>3</v>
      </c>
      <c r="P503" s="6"/>
      <c r="Q503" s="6" t="str">
        <f t="shared" si="4"/>
        <v>Week 3</v>
      </c>
      <c r="R503" s="6" t="str">
        <f t="shared" si="5"/>
        <v>2013Week 3</v>
      </c>
      <c r="S503" s="6">
        <f>IFERROR(__xludf.DUMMYFUNCTION("rank(J503,FILTER(J:J,R:R=R503))"),6.0)</f>
        <v>6</v>
      </c>
      <c r="T503" s="6">
        <f t="shared" si="6"/>
        <v>6</v>
      </c>
      <c r="U503" s="6">
        <f t="shared" si="7"/>
        <v>6</v>
      </c>
      <c r="V503" s="42">
        <f>averageif(AllData!A:A,B503,AllData!R:R)/vlookup(B503,AllData!A:O,15,0)</f>
        <v>92.82051282</v>
      </c>
      <c r="W503" s="6"/>
    </row>
    <row r="504" ht="14.25" customHeight="1">
      <c r="A504" s="6" t="str">
        <f t="shared" si="1"/>
        <v>2013KnardDawg3</v>
      </c>
      <c r="B504" s="6">
        <v>2013.0</v>
      </c>
      <c r="C504" s="6" t="s">
        <v>86</v>
      </c>
      <c r="D504" s="6" t="s">
        <v>135</v>
      </c>
      <c r="E504" s="34">
        <v>42036.0</v>
      </c>
      <c r="F504" s="6" t="s">
        <v>1833</v>
      </c>
      <c r="G504" s="6" t="s">
        <v>125</v>
      </c>
      <c r="H504" s="6" t="s">
        <v>1834</v>
      </c>
      <c r="I504" s="35" t="s">
        <v>93</v>
      </c>
      <c r="J504" s="36">
        <v>86.2</v>
      </c>
      <c r="K504" s="36">
        <v>71.8</v>
      </c>
      <c r="L504" s="36">
        <f t="shared" si="2"/>
        <v>1</v>
      </c>
      <c r="M504" s="36" t="str">
        <f t="shared" si="3"/>
        <v>Regular Season</v>
      </c>
      <c r="N504" s="36" t="str">
        <f>IFERROR(VLOOKUP(I504,Mapped_Owner,2,0),"")</f>
        <v>Pierson</v>
      </c>
      <c r="O504" s="6">
        <f>VLOOKUP(D504,'Mapped Opponent'!$G$4:$H$22,2,0)</f>
        <v>3</v>
      </c>
      <c r="P504" s="6"/>
      <c r="Q504" s="6" t="str">
        <f t="shared" si="4"/>
        <v>Week 3</v>
      </c>
      <c r="R504" s="6" t="str">
        <f t="shared" si="5"/>
        <v>2013Week 3</v>
      </c>
      <c r="S504" s="6">
        <f>IFERROR(__xludf.DUMMYFUNCTION("rank(J504,FILTER(J:J,R:R=R504))"),7.0)</f>
        <v>7</v>
      </c>
      <c r="T504" s="6">
        <f t="shared" si="6"/>
        <v>5</v>
      </c>
      <c r="U504" s="6">
        <f t="shared" si="7"/>
        <v>7</v>
      </c>
      <c r="V504" s="42">
        <f>averageif(AllData!A:A,B504,AllData!R:R)/vlookup(B504,AllData!A:O,15,0)</f>
        <v>92.82051282</v>
      </c>
      <c r="W504" s="6"/>
    </row>
    <row r="505" ht="14.25" customHeight="1">
      <c r="A505" s="6" t="str">
        <f t="shared" si="1"/>
        <v>2013T-How3</v>
      </c>
      <c r="B505" s="6">
        <v>2013.0</v>
      </c>
      <c r="C505" s="6" t="s">
        <v>82</v>
      </c>
      <c r="D505" s="6" t="s">
        <v>135</v>
      </c>
      <c r="E505" s="34">
        <v>42006.0</v>
      </c>
      <c r="F505" s="6" t="s">
        <v>1835</v>
      </c>
      <c r="G505" s="6" t="s">
        <v>125</v>
      </c>
      <c r="H505" s="6" t="s">
        <v>1836</v>
      </c>
      <c r="I505" s="35" t="s">
        <v>50</v>
      </c>
      <c r="J505" s="36">
        <v>76.6</v>
      </c>
      <c r="K505" s="36">
        <v>127.3</v>
      </c>
      <c r="L505" s="36">
        <f t="shared" si="2"/>
        <v>0</v>
      </c>
      <c r="M505" s="36" t="str">
        <f t="shared" si="3"/>
        <v>Regular Season</v>
      </c>
      <c r="N505" s="36" t="str">
        <f>IFERROR(VLOOKUP(I505,Mapped_Owner,2,0),"")</f>
        <v>Buser</v>
      </c>
      <c r="O505" s="6">
        <f>VLOOKUP(D505,'Mapped Opponent'!$G$4:$H$22,2,0)</f>
        <v>3</v>
      </c>
      <c r="P505" s="6"/>
      <c r="Q505" s="6" t="str">
        <f t="shared" si="4"/>
        <v>Week 3</v>
      </c>
      <c r="R505" s="6" t="str">
        <f t="shared" si="5"/>
        <v>2013Week 3</v>
      </c>
      <c r="S505" s="6">
        <f>IFERROR(__xludf.DUMMYFUNCTION("rank(J505,FILTER(J:J,R:R=R505))"),8.0)</f>
        <v>8</v>
      </c>
      <c r="T505" s="6">
        <f t="shared" si="6"/>
        <v>4</v>
      </c>
      <c r="U505" s="6">
        <f t="shared" si="7"/>
        <v>8</v>
      </c>
      <c r="V505" s="42">
        <f>averageif(AllData!A:A,B505,AllData!R:R)/vlookup(B505,AllData!A:O,15,0)</f>
        <v>92.82051282</v>
      </c>
      <c r="W505" s="6"/>
    </row>
    <row r="506" ht="14.25" customHeight="1">
      <c r="A506" s="6" t="str">
        <f t="shared" si="1"/>
        <v>2013Hudspeath4</v>
      </c>
      <c r="B506" s="6">
        <v>2013.0</v>
      </c>
      <c r="C506" s="6" t="s">
        <v>39</v>
      </c>
      <c r="D506" s="6" t="s">
        <v>138</v>
      </c>
      <c r="E506" s="34">
        <v>42064.0</v>
      </c>
      <c r="F506" s="6" t="s">
        <v>1837</v>
      </c>
      <c r="G506" s="6" t="s">
        <v>114</v>
      </c>
      <c r="H506" s="6" t="s">
        <v>1838</v>
      </c>
      <c r="I506" s="35" t="s">
        <v>50</v>
      </c>
      <c r="J506" s="36">
        <v>65.5</v>
      </c>
      <c r="K506" s="36">
        <v>123.3</v>
      </c>
      <c r="L506" s="36">
        <f t="shared" si="2"/>
        <v>0</v>
      </c>
      <c r="M506" s="36" t="str">
        <f t="shared" si="3"/>
        <v>Regular Season</v>
      </c>
      <c r="N506" s="36" t="str">
        <f>IFERROR(VLOOKUP(I506,Mapped_Owner,2,0),"")</f>
        <v>Buser</v>
      </c>
      <c r="O506" s="6">
        <f>VLOOKUP(D506,'Mapped Opponent'!$G$4:$H$22,2,0)</f>
        <v>4</v>
      </c>
      <c r="P506" s="6"/>
      <c r="Q506" s="6" t="str">
        <f t="shared" si="4"/>
        <v>Week 4</v>
      </c>
      <c r="R506" s="6" t="str">
        <f t="shared" si="5"/>
        <v>2013Week 4</v>
      </c>
      <c r="S506" s="6">
        <f>IFERROR(__xludf.DUMMYFUNCTION("rank(J506,FILTER(J:J,R:R=R506))"),12.0)</f>
        <v>12</v>
      </c>
      <c r="T506" s="6">
        <f t="shared" si="6"/>
        <v>0</v>
      </c>
      <c r="U506" s="6">
        <f t="shared" si="7"/>
        <v>12</v>
      </c>
      <c r="V506" s="42">
        <f>averageif(AllData!A:A,B506,AllData!R:R)/vlookup(B506,AllData!A:O,15,0)</f>
        <v>92.82051282</v>
      </c>
      <c r="W506" s="6"/>
    </row>
    <row r="507" ht="14.25" customHeight="1">
      <c r="A507" s="6" t="str">
        <f t="shared" si="1"/>
        <v>2013Salty4</v>
      </c>
      <c r="B507" s="6">
        <v>2013.0</v>
      </c>
      <c r="C507" s="6" t="s">
        <v>76</v>
      </c>
      <c r="D507" s="6" t="s">
        <v>138</v>
      </c>
      <c r="E507" s="34">
        <v>42037.0</v>
      </c>
      <c r="F507" s="6" t="s">
        <v>1839</v>
      </c>
      <c r="G507" s="6" t="s">
        <v>125</v>
      </c>
      <c r="H507" s="6" t="s">
        <v>1840</v>
      </c>
      <c r="I507" s="35" t="s">
        <v>68</v>
      </c>
      <c r="J507" s="36">
        <v>130.4</v>
      </c>
      <c r="K507" s="36">
        <v>112.9</v>
      </c>
      <c r="L507" s="36">
        <f t="shared" si="2"/>
        <v>1</v>
      </c>
      <c r="M507" s="36" t="str">
        <f t="shared" si="3"/>
        <v>Regular Season</v>
      </c>
      <c r="N507" s="36" t="str">
        <f>IFERROR(VLOOKUP(I507,Mapped_Owner,2,0),"")</f>
        <v>Riley</v>
      </c>
      <c r="O507" s="6">
        <f>VLOOKUP(D507,'Mapped Opponent'!$G$4:$H$22,2,0)</f>
        <v>4</v>
      </c>
      <c r="P507" s="6"/>
      <c r="Q507" s="6" t="str">
        <f t="shared" si="4"/>
        <v>Week 4</v>
      </c>
      <c r="R507" s="6" t="str">
        <f t="shared" si="5"/>
        <v>2013Week 4</v>
      </c>
      <c r="S507" s="6">
        <f>IFERROR(__xludf.DUMMYFUNCTION("rank(J507,FILTER(J:J,R:R=R507))"),1.0)</f>
        <v>1</v>
      </c>
      <c r="T507" s="6">
        <f t="shared" si="6"/>
        <v>11</v>
      </c>
      <c r="U507" s="6">
        <f t="shared" si="7"/>
        <v>1</v>
      </c>
      <c r="V507" s="42">
        <f>averageif(AllData!A:A,B507,AllData!R:R)/vlookup(B507,AllData!A:O,15,0)</f>
        <v>92.82051282</v>
      </c>
      <c r="W507" s="6"/>
    </row>
    <row r="508" ht="14.25" customHeight="1">
      <c r="A508" s="6" t="str">
        <f t="shared" si="1"/>
        <v>2013Fellows4</v>
      </c>
      <c r="B508" s="6">
        <v>2013.0</v>
      </c>
      <c r="C508" s="6" t="s">
        <v>79</v>
      </c>
      <c r="D508" s="6" t="s">
        <v>138</v>
      </c>
      <c r="E508" s="34">
        <v>42064.0</v>
      </c>
      <c r="F508" s="6" t="s">
        <v>1841</v>
      </c>
      <c r="G508" s="6" t="s">
        <v>114</v>
      </c>
      <c r="H508" s="6" t="s">
        <v>1842</v>
      </c>
      <c r="I508" s="35" t="s">
        <v>93</v>
      </c>
      <c r="J508" s="36">
        <v>76.0</v>
      </c>
      <c r="K508" s="36">
        <v>67.2</v>
      </c>
      <c r="L508" s="36">
        <f t="shared" si="2"/>
        <v>1</v>
      </c>
      <c r="M508" s="36" t="str">
        <f t="shared" si="3"/>
        <v>Regular Season</v>
      </c>
      <c r="N508" s="36" t="str">
        <f>IFERROR(VLOOKUP(I508,Mapped_Owner,2,0),"")</f>
        <v>Pierson</v>
      </c>
      <c r="O508" s="6">
        <f>VLOOKUP(D508,'Mapped Opponent'!$G$4:$H$22,2,0)</f>
        <v>4</v>
      </c>
      <c r="P508" s="6"/>
      <c r="Q508" s="6" t="str">
        <f t="shared" si="4"/>
        <v>Week 4</v>
      </c>
      <c r="R508" s="6" t="str">
        <f t="shared" si="5"/>
        <v>2013Week 4</v>
      </c>
      <c r="S508" s="6">
        <f>IFERROR(__xludf.DUMMYFUNCTION("rank(J508,FILTER(J:J,R:R=R508))"),9.0)</f>
        <v>9</v>
      </c>
      <c r="T508" s="6">
        <f t="shared" si="6"/>
        <v>3</v>
      </c>
      <c r="U508" s="6">
        <f t="shared" si="7"/>
        <v>9</v>
      </c>
      <c r="V508" s="42">
        <f>averageif(AllData!A:A,B508,AllData!R:R)/vlookup(B508,AllData!A:O,15,0)</f>
        <v>92.82051282</v>
      </c>
      <c r="W508" s="6"/>
    </row>
    <row r="509" ht="14.25" customHeight="1">
      <c r="A509" s="6" t="str">
        <f t="shared" si="1"/>
        <v>2013Shep4</v>
      </c>
      <c r="B509" s="6">
        <v>2013.0</v>
      </c>
      <c r="C509" s="6" t="s">
        <v>89</v>
      </c>
      <c r="D509" s="6" t="s">
        <v>138</v>
      </c>
      <c r="E509" s="34">
        <v>42007.0</v>
      </c>
      <c r="F509" s="6" t="s">
        <v>1844</v>
      </c>
      <c r="G509" s="6" t="s">
        <v>114</v>
      </c>
      <c r="H509" s="6" t="s">
        <v>1845</v>
      </c>
      <c r="I509" s="35" t="s">
        <v>58</v>
      </c>
      <c r="J509" s="36">
        <v>90.3</v>
      </c>
      <c r="K509" s="36">
        <v>121.1</v>
      </c>
      <c r="L509" s="36">
        <f t="shared" si="2"/>
        <v>0</v>
      </c>
      <c r="M509" s="36" t="str">
        <f t="shared" si="3"/>
        <v>Regular Season</v>
      </c>
      <c r="N509" s="36" t="str">
        <f>IFERROR(VLOOKUP(I509,Mapped_Owner,2,0),"")</f>
        <v>Rooney/Jackson</v>
      </c>
      <c r="O509" s="6">
        <f>VLOOKUP(D509,'Mapped Opponent'!$G$4:$H$22,2,0)</f>
        <v>4</v>
      </c>
      <c r="P509" s="6"/>
      <c r="Q509" s="6" t="str">
        <f t="shared" si="4"/>
        <v>Week 4</v>
      </c>
      <c r="R509" s="6" t="str">
        <f t="shared" si="5"/>
        <v>2013Week 4</v>
      </c>
      <c r="S509" s="6">
        <f>IFERROR(__xludf.DUMMYFUNCTION("rank(J509,FILTER(J:J,R:R=R509))"),8.0)</f>
        <v>8</v>
      </c>
      <c r="T509" s="6">
        <f t="shared" si="6"/>
        <v>4</v>
      </c>
      <c r="U509" s="6">
        <f t="shared" si="7"/>
        <v>8</v>
      </c>
      <c r="V509" s="42">
        <f>averageif(AllData!A:A,B509,AllData!R:R)/vlookup(B509,AllData!A:O,15,0)</f>
        <v>92.82051282</v>
      </c>
      <c r="W509" s="6"/>
    </row>
    <row r="510" ht="14.25" customHeight="1">
      <c r="A510" s="6" t="str">
        <f t="shared" si="1"/>
        <v>2013Riley4</v>
      </c>
      <c r="B510" s="6">
        <v>2013.0</v>
      </c>
      <c r="C510" s="6" t="s">
        <v>67</v>
      </c>
      <c r="D510" s="6" t="s">
        <v>138</v>
      </c>
      <c r="E510" s="34">
        <v>42007.0</v>
      </c>
      <c r="F510" s="6" t="s">
        <v>1846</v>
      </c>
      <c r="G510" s="6" t="s">
        <v>114</v>
      </c>
      <c r="H510" s="6" t="s">
        <v>1847</v>
      </c>
      <c r="I510" s="35" t="s">
        <v>77</v>
      </c>
      <c r="J510" s="36">
        <v>112.9</v>
      </c>
      <c r="K510" s="36">
        <v>130.4</v>
      </c>
      <c r="L510" s="36">
        <f t="shared" si="2"/>
        <v>0</v>
      </c>
      <c r="M510" s="36" t="str">
        <f t="shared" si="3"/>
        <v>Regular Season</v>
      </c>
      <c r="N510" s="36" t="str">
        <f>IFERROR(VLOOKUP(I510,Mapped_Owner,2,0),"")</f>
        <v>Salty</v>
      </c>
      <c r="O510" s="6">
        <f>VLOOKUP(D510,'Mapped Opponent'!$G$4:$H$22,2,0)</f>
        <v>4</v>
      </c>
      <c r="P510" s="6"/>
      <c r="Q510" s="6" t="str">
        <f t="shared" si="4"/>
        <v>Week 4</v>
      </c>
      <c r="R510" s="6" t="str">
        <f t="shared" si="5"/>
        <v>2013Week 4</v>
      </c>
      <c r="S510" s="6">
        <f>IFERROR(__xludf.DUMMYFUNCTION("rank(J510,FILTER(J:J,R:R=R510))"),6.0)</f>
        <v>6</v>
      </c>
      <c r="T510" s="6">
        <f t="shared" si="6"/>
        <v>6</v>
      </c>
      <c r="U510" s="6">
        <f t="shared" si="7"/>
        <v>6</v>
      </c>
      <c r="V510" s="42">
        <f>averageif(AllData!A:A,B510,AllData!R:R)/vlookup(B510,AllData!A:O,15,0)</f>
        <v>92.82051282</v>
      </c>
      <c r="W510" s="6"/>
    </row>
    <row r="511" ht="14.25" customHeight="1">
      <c r="A511" s="6" t="str">
        <f t="shared" si="1"/>
        <v>2013Rooney/Jackson4</v>
      </c>
      <c r="B511" s="6">
        <v>2013.0</v>
      </c>
      <c r="C511" s="6" t="s">
        <v>57</v>
      </c>
      <c r="D511" s="6" t="s">
        <v>138</v>
      </c>
      <c r="E511" s="34">
        <v>42064.0</v>
      </c>
      <c r="F511" s="6" t="s">
        <v>1848</v>
      </c>
      <c r="G511" s="6" t="s">
        <v>125</v>
      </c>
      <c r="H511" s="6" t="s">
        <v>1849</v>
      </c>
      <c r="I511" s="35" t="s">
        <v>91</v>
      </c>
      <c r="J511" s="36">
        <v>121.1</v>
      </c>
      <c r="K511" s="36">
        <v>90.3</v>
      </c>
      <c r="L511" s="36">
        <f t="shared" si="2"/>
        <v>1</v>
      </c>
      <c r="M511" s="36" t="str">
        <f t="shared" si="3"/>
        <v>Regular Season</v>
      </c>
      <c r="N511" s="36" t="str">
        <f>IFERROR(VLOOKUP(I511,Mapped_Owner,2,0),"")</f>
        <v>Shep</v>
      </c>
      <c r="O511" s="6">
        <f>VLOOKUP(D511,'Mapped Opponent'!$G$4:$H$22,2,0)</f>
        <v>4</v>
      </c>
      <c r="P511" s="6"/>
      <c r="Q511" s="6" t="str">
        <f t="shared" si="4"/>
        <v>Week 4</v>
      </c>
      <c r="R511" s="6" t="str">
        <f t="shared" si="5"/>
        <v>2013Week 4</v>
      </c>
      <c r="S511" s="6">
        <f>IFERROR(__xludf.DUMMYFUNCTION("rank(J511,FILTER(J:J,R:R=R511))"),3.0)</f>
        <v>3</v>
      </c>
      <c r="T511" s="6">
        <f t="shared" si="6"/>
        <v>9</v>
      </c>
      <c r="U511" s="6">
        <f t="shared" si="7"/>
        <v>3</v>
      </c>
      <c r="V511" s="42">
        <f>averageif(AllData!A:A,B511,AllData!R:R)/vlookup(B511,AllData!A:O,15,0)</f>
        <v>92.82051282</v>
      </c>
      <c r="W511" s="6"/>
    </row>
    <row r="512" ht="14.25" customHeight="1">
      <c r="A512" s="6" t="str">
        <f t="shared" si="1"/>
        <v>2013Buser4</v>
      </c>
      <c r="B512" s="6">
        <v>2013.0</v>
      </c>
      <c r="C512" s="6" t="s">
        <v>47</v>
      </c>
      <c r="D512" s="6" t="s">
        <v>138</v>
      </c>
      <c r="E512" s="34">
        <v>42064.0</v>
      </c>
      <c r="F512" s="6" t="s">
        <v>1850</v>
      </c>
      <c r="G512" s="6" t="s">
        <v>125</v>
      </c>
      <c r="H512" s="6" t="s">
        <v>1851</v>
      </c>
      <c r="I512" s="35" t="s">
        <v>64</v>
      </c>
      <c r="J512" s="36">
        <v>123.3</v>
      </c>
      <c r="K512" s="36">
        <v>65.5</v>
      </c>
      <c r="L512" s="36">
        <f t="shared" si="2"/>
        <v>1</v>
      </c>
      <c r="M512" s="36" t="str">
        <f t="shared" si="3"/>
        <v>Regular Season</v>
      </c>
      <c r="N512" s="36" t="str">
        <f>IFERROR(VLOOKUP(I512,Mapped_Owner,2,0),"")</f>
        <v>Hudspeath</v>
      </c>
      <c r="O512" s="6">
        <f>VLOOKUP(D512,'Mapped Opponent'!$G$4:$H$22,2,0)</f>
        <v>4</v>
      </c>
      <c r="P512" s="6"/>
      <c r="Q512" s="6" t="str">
        <f t="shared" si="4"/>
        <v>Week 4</v>
      </c>
      <c r="R512" s="6" t="str">
        <f t="shared" si="5"/>
        <v>2013Week 4</v>
      </c>
      <c r="S512" s="6">
        <f>IFERROR(__xludf.DUMMYFUNCTION("rank(J512,FILTER(J:J,R:R=R512))"),2.0)</f>
        <v>2</v>
      </c>
      <c r="T512" s="6">
        <f t="shared" si="6"/>
        <v>10</v>
      </c>
      <c r="U512" s="6">
        <f t="shared" si="7"/>
        <v>2</v>
      </c>
      <c r="V512" s="42">
        <f>averageif(AllData!A:A,B512,AllData!R:R)/vlookup(B512,AllData!A:O,15,0)</f>
        <v>92.82051282</v>
      </c>
      <c r="W512" s="6"/>
    </row>
    <row r="513" ht="14.25" customHeight="1">
      <c r="A513" s="6" t="str">
        <f t="shared" si="1"/>
        <v>2013Pierson4</v>
      </c>
      <c r="B513" s="6">
        <v>2013.0</v>
      </c>
      <c r="C513" s="6" t="s">
        <v>92</v>
      </c>
      <c r="D513" s="6" t="s">
        <v>138</v>
      </c>
      <c r="E513" s="34">
        <v>42007.0</v>
      </c>
      <c r="F513" s="6" t="s">
        <v>1852</v>
      </c>
      <c r="G513" s="6" t="s">
        <v>125</v>
      </c>
      <c r="H513" s="6" t="s">
        <v>1853</v>
      </c>
      <c r="I513" s="35" t="s">
        <v>80</v>
      </c>
      <c r="J513" s="36">
        <v>67.2</v>
      </c>
      <c r="K513" s="36">
        <v>76.0</v>
      </c>
      <c r="L513" s="36">
        <f t="shared" si="2"/>
        <v>0</v>
      </c>
      <c r="M513" s="36" t="str">
        <f t="shared" si="3"/>
        <v>Regular Season</v>
      </c>
      <c r="N513" s="36" t="str">
        <f>IFERROR(VLOOKUP(I513,Mapped_Owner,2,0),"")</f>
        <v>Fellows</v>
      </c>
      <c r="O513" s="6">
        <f>VLOOKUP(D513,'Mapped Opponent'!$G$4:$H$22,2,0)</f>
        <v>4</v>
      </c>
      <c r="P513" s="6"/>
      <c r="Q513" s="6" t="str">
        <f t="shared" si="4"/>
        <v>Week 4</v>
      </c>
      <c r="R513" s="6" t="str">
        <f t="shared" si="5"/>
        <v>2013Week 4</v>
      </c>
      <c r="S513" s="6">
        <f>IFERROR(__xludf.DUMMYFUNCTION("rank(J513,FILTER(J:J,R:R=R513))"),11.0)</f>
        <v>11</v>
      </c>
      <c r="T513" s="6">
        <f t="shared" si="6"/>
        <v>1</v>
      </c>
      <c r="U513" s="6">
        <f t="shared" si="7"/>
        <v>11</v>
      </c>
      <c r="V513" s="42">
        <f>averageif(AllData!A:A,B513,AllData!R:R)/vlookup(B513,AllData!A:O,15,0)</f>
        <v>92.82051282</v>
      </c>
      <c r="W513" s="6"/>
    </row>
    <row r="514" ht="14.25" customHeight="1">
      <c r="A514" s="6" t="str">
        <f t="shared" si="1"/>
        <v>2013Cock4</v>
      </c>
      <c r="B514" s="6">
        <v>2013.0</v>
      </c>
      <c r="C514" s="6" t="s">
        <v>72</v>
      </c>
      <c r="D514" s="6" t="s">
        <v>138</v>
      </c>
      <c r="E514" s="34">
        <v>42037.0</v>
      </c>
      <c r="F514" s="6" t="s">
        <v>1854</v>
      </c>
      <c r="G514" s="6" t="s">
        <v>125</v>
      </c>
      <c r="H514" s="6" t="s">
        <v>1855</v>
      </c>
      <c r="I514" s="35" t="s">
        <v>85</v>
      </c>
      <c r="J514" s="36">
        <v>76.0</v>
      </c>
      <c r="K514" s="36">
        <v>107.9</v>
      </c>
      <c r="L514" s="36">
        <f t="shared" si="2"/>
        <v>0</v>
      </c>
      <c r="M514" s="36" t="str">
        <f t="shared" si="3"/>
        <v>Regular Season</v>
      </c>
      <c r="N514" s="36" t="str">
        <f>IFERROR(VLOOKUP(I514,Mapped_Owner,2,0),"")</f>
        <v>T-How</v>
      </c>
      <c r="O514" s="6">
        <f>VLOOKUP(D514,'Mapped Opponent'!$G$4:$H$22,2,0)</f>
        <v>4</v>
      </c>
      <c r="P514" s="6"/>
      <c r="Q514" s="6" t="str">
        <f t="shared" si="4"/>
        <v>Week 4</v>
      </c>
      <c r="R514" s="6" t="str">
        <f t="shared" si="5"/>
        <v>2013Week 4</v>
      </c>
      <c r="S514" s="6">
        <f>IFERROR(__xludf.DUMMYFUNCTION("rank(J514,FILTER(J:J,R:R=R514))"),9.0)</f>
        <v>9</v>
      </c>
      <c r="T514" s="6">
        <f t="shared" si="6"/>
        <v>3</v>
      </c>
      <c r="U514" s="6">
        <f t="shared" si="7"/>
        <v>9</v>
      </c>
      <c r="V514" s="42">
        <f>averageif(AllData!A:A,B514,AllData!R:R)/vlookup(B514,AllData!A:O,15,0)</f>
        <v>92.82051282</v>
      </c>
      <c r="W514" s="6"/>
    </row>
    <row r="515" ht="14.25" customHeight="1">
      <c r="A515" s="6" t="str">
        <f t="shared" si="1"/>
        <v>2013Tayski4</v>
      </c>
      <c r="B515" s="6">
        <v>2013.0</v>
      </c>
      <c r="C515" s="6" t="s">
        <v>52</v>
      </c>
      <c r="D515" s="6" t="s">
        <v>138</v>
      </c>
      <c r="E515" s="34">
        <v>42007.0</v>
      </c>
      <c r="F515" s="6" t="s">
        <v>1856</v>
      </c>
      <c r="G515" s="6" t="s">
        <v>125</v>
      </c>
      <c r="H515" s="6" t="s">
        <v>1857</v>
      </c>
      <c r="I515" s="35" t="s">
        <v>132</v>
      </c>
      <c r="J515" s="36">
        <v>118.3</v>
      </c>
      <c r="K515" s="36">
        <v>115.8</v>
      </c>
      <c r="L515" s="36">
        <f t="shared" si="2"/>
        <v>1</v>
      </c>
      <c r="M515" s="36" t="str">
        <f t="shared" si="3"/>
        <v>Regular Season</v>
      </c>
      <c r="N515" s="36" t="str">
        <f>IFERROR(VLOOKUP(I515,Mapped_Owner,2,0),"")</f>
        <v>KnardDawg</v>
      </c>
      <c r="O515" s="6">
        <f>VLOOKUP(D515,'Mapped Opponent'!$G$4:$H$22,2,0)</f>
        <v>4</v>
      </c>
      <c r="P515" s="6"/>
      <c r="Q515" s="6" t="str">
        <f t="shared" si="4"/>
        <v>Week 4</v>
      </c>
      <c r="R515" s="6" t="str">
        <f t="shared" si="5"/>
        <v>2013Week 4</v>
      </c>
      <c r="S515" s="6">
        <f>IFERROR(__xludf.DUMMYFUNCTION("rank(J515,FILTER(J:J,R:R=R515))"),4.0)</f>
        <v>4</v>
      </c>
      <c r="T515" s="6">
        <f t="shared" si="6"/>
        <v>8</v>
      </c>
      <c r="U515" s="6">
        <f t="shared" si="7"/>
        <v>4</v>
      </c>
      <c r="V515" s="42">
        <f>averageif(AllData!A:A,B515,AllData!R:R)/vlookup(B515,AllData!A:O,15,0)</f>
        <v>92.82051282</v>
      </c>
      <c r="W515" s="6"/>
    </row>
    <row r="516" ht="14.25" customHeight="1">
      <c r="A516" s="6" t="str">
        <f t="shared" si="1"/>
        <v>2013KnardDawg4</v>
      </c>
      <c r="B516" s="6">
        <v>2013.0</v>
      </c>
      <c r="C516" s="6" t="s">
        <v>86</v>
      </c>
      <c r="D516" s="6" t="s">
        <v>138</v>
      </c>
      <c r="E516" s="34">
        <v>42037.0</v>
      </c>
      <c r="F516" s="6" t="s">
        <v>1858</v>
      </c>
      <c r="G516" s="6" t="s">
        <v>114</v>
      </c>
      <c r="H516" s="6" t="s">
        <v>1859</v>
      </c>
      <c r="I516" s="35" t="s">
        <v>54</v>
      </c>
      <c r="J516" s="36">
        <v>115.8</v>
      </c>
      <c r="K516" s="36">
        <v>118.3</v>
      </c>
      <c r="L516" s="36">
        <f t="shared" si="2"/>
        <v>0</v>
      </c>
      <c r="M516" s="36" t="str">
        <f t="shared" si="3"/>
        <v>Regular Season</v>
      </c>
      <c r="N516" s="36" t="str">
        <f>IFERROR(VLOOKUP(I516,Mapped_Owner,2,0),"")</f>
        <v>Tayski</v>
      </c>
      <c r="O516" s="6">
        <f>VLOOKUP(D516,'Mapped Opponent'!$G$4:$H$22,2,0)</f>
        <v>4</v>
      </c>
      <c r="P516" s="6"/>
      <c r="Q516" s="6" t="str">
        <f t="shared" si="4"/>
        <v>Week 4</v>
      </c>
      <c r="R516" s="6" t="str">
        <f t="shared" si="5"/>
        <v>2013Week 4</v>
      </c>
      <c r="S516" s="6">
        <f>IFERROR(__xludf.DUMMYFUNCTION("rank(J516,FILTER(J:J,R:R=R516))"),5.0)</f>
        <v>5</v>
      </c>
      <c r="T516" s="6">
        <f t="shared" si="6"/>
        <v>7</v>
      </c>
      <c r="U516" s="6">
        <f t="shared" si="7"/>
        <v>5</v>
      </c>
      <c r="V516" s="42">
        <f>averageif(AllData!A:A,B516,AllData!R:R)/vlookup(B516,AllData!A:O,15,0)</f>
        <v>92.82051282</v>
      </c>
      <c r="W516" s="6"/>
    </row>
    <row r="517" ht="14.25" customHeight="1">
      <c r="A517" s="6" t="str">
        <f t="shared" si="1"/>
        <v>2013T-How4</v>
      </c>
      <c r="B517" s="6">
        <v>2013.0</v>
      </c>
      <c r="C517" s="6" t="s">
        <v>82</v>
      </c>
      <c r="D517" s="6" t="s">
        <v>138</v>
      </c>
      <c r="E517" s="34">
        <v>42037.0</v>
      </c>
      <c r="F517" s="6" t="s">
        <v>1860</v>
      </c>
      <c r="G517" s="6" t="s">
        <v>114</v>
      </c>
      <c r="H517" s="6" t="s">
        <v>1861</v>
      </c>
      <c r="I517" s="35" t="s">
        <v>99</v>
      </c>
      <c r="J517" s="36">
        <v>107.9</v>
      </c>
      <c r="K517" s="36">
        <v>76.0</v>
      </c>
      <c r="L517" s="36">
        <f t="shared" si="2"/>
        <v>1</v>
      </c>
      <c r="M517" s="36" t="str">
        <f t="shared" si="3"/>
        <v>Regular Season</v>
      </c>
      <c r="N517" s="36" t="str">
        <f>IFERROR(VLOOKUP(I517,Mapped_Owner,2,0),"")</f>
        <v>Cock</v>
      </c>
      <c r="O517" s="6">
        <f>VLOOKUP(D517,'Mapped Opponent'!$G$4:$H$22,2,0)</f>
        <v>4</v>
      </c>
      <c r="P517" s="6"/>
      <c r="Q517" s="6" t="str">
        <f t="shared" si="4"/>
        <v>Week 4</v>
      </c>
      <c r="R517" s="6" t="str">
        <f t="shared" si="5"/>
        <v>2013Week 4</v>
      </c>
      <c r="S517" s="6">
        <f>IFERROR(__xludf.DUMMYFUNCTION("rank(J517,FILTER(J:J,R:R=R517))"),7.0)</f>
        <v>7</v>
      </c>
      <c r="T517" s="6">
        <f t="shared" si="6"/>
        <v>5</v>
      </c>
      <c r="U517" s="6">
        <f t="shared" si="7"/>
        <v>7</v>
      </c>
      <c r="V517" s="42">
        <f>averageif(AllData!A:A,B517,AllData!R:R)/vlookup(B517,AllData!A:O,15,0)</f>
        <v>92.82051282</v>
      </c>
      <c r="W517" s="6"/>
    </row>
    <row r="518" ht="14.25" customHeight="1">
      <c r="A518" s="6" t="str">
        <f t="shared" si="1"/>
        <v>2013Hudspeath5</v>
      </c>
      <c r="B518" s="6">
        <v>2013.0</v>
      </c>
      <c r="C518" s="6" t="s">
        <v>39</v>
      </c>
      <c r="D518" s="6" t="s">
        <v>141</v>
      </c>
      <c r="E518" s="34">
        <v>42065.0</v>
      </c>
      <c r="F518" s="6" t="s">
        <v>1862</v>
      </c>
      <c r="G518" s="6" t="s">
        <v>125</v>
      </c>
      <c r="H518" s="6" t="s">
        <v>1863</v>
      </c>
      <c r="I518" s="35" t="s">
        <v>99</v>
      </c>
      <c r="J518" s="36">
        <v>68.4</v>
      </c>
      <c r="K518" s="36">
        <v>95.6</v>
      </c>
      <c r="L518" s="36">
        <f t="shared" si="2"/>
        <v>0</v>
      </c>
      <c r="M518" s="36" t="str">
        <f t="shared" si="3"/>
        <v>Regular Season</v>
      </c>
      <c r="N518" s="36" t="str">
        <f>IFERROR(VLOOKUP(I518,Mapped_Owner,2,0),"")</f>
        <v>Cock</v>
      </c>
      <c r="O518" s="6">
        <f>VLOOKUP(D518,'Mapped Opponent'!$G$4:$H$22,2,0)</f>
        <v>5</v>
      </c>
      <c r="P518" s="6"/>
      <c r="Q518" s="6" t="str">
        <f t="shared" si="4"/>
        <v>Week 5</v>
      </c>
      <c r="R518" s="6" t="str">
        <f t="shared" si="5"/>
        <v>2013Week 5</v>
      </c>
      <c r="S518" s="6">
        <f>IFERROR(__xludf.DUMMYFUNCTION("rank(J518,FILTER(J:J,R:R=R518))"),11.0)</f>
        <v>11</v>
      </c>
      <c r="T518" s="6">
        <f t="shared" si="6"/>
        <v>1</v>
      </c>
      <c r="U518" s="6">
        <f t="shared" si="7"/>
        <v>11</v>
      </c>
      <c r="V518" s="42">
        <f>averageif(AllData!A:A,B518,AllData!R:R)/vlookup(B518,AllData!A:O,15,0)</f>
        <v>92.82051282</v>
      </c>
      <c r="W518" s="6"/>
    </row>
    <row r="519" ht="14.25" customHeight="1">
      <c r="A519" s="6" t="str">
        <f t="shared" si="1"/>
        <v>2013Salty5</v>
      </c>
      <c r="B519" s="6">
        <v>2013.0</v>
      </c>
      <c r="C519" s="6" t="s">
        <v>76</v>
      </c>
      <c r="D519" s="6" t="s">
        <v>141</v>
      </c>
      <c r="E519" s="34">
        <v>42038.0</v>
      </c>
      <c r="F519" s="6" t="s">
        <v>1864</v>
      </c>
      <c r="G519" s="6" t="s">
        <v>114</v>
      </c>
      <c r="H519" s="6" t="s">
        <v>1865</v>
      </c>
      <c r="I519" s="35" t="s">
        <v>58</v>
      </c>
      <c r="J519" s="36">
        <v>90.9</v>
      </c>
      <c r="K519" s="36">
        <v>104.7</v>
      </c>
      <c r="L519" s="36">
        <f t="shared" si="2"/>
        <v>0</v>
      </c>
      <c r="M519" s="36" t="str">
        <f t="shared" si="3"/>
        <v>Regular Season</v>
      </c>
      <c r="N519" s="36" t="str">
        <f>IFERROR(VLOOKUP(I519,Mapped_Owner,2,0),"")</f>
        <v>Rooney/Jackson</v>
      </c>
      <c r="O519" s="6">
        <f>VLOOKUP(D519,'Mapped Opponent'!$G$4:$H$22,2,0)</f>
        <v>5</v>
      </c>
      <c r="P519" s="6"/>
      <c r="Q519" s="6" t="str">
        <f t="shared" si="4"/>
        <v>Week 5</v>
      </c>
      <c r="R519" s="6" t="str">
        <f t="shared" si="5"/>
        <v>2013Week 5</v>
      </c>
      <c r="S519" s="6">
        <f>IFERROR(__xludf.DUMMYFUNCTION("rank(J519,FILTER(J:J,R:R=R519))"),8.0)</f>
        <v>8</v>
      </c>
      <c r="T519" s="6">
        <f t="shared" si="6"/>
        <v>4</v>
      </c>
      <c r="U519" s="6">
        <f t="shared" si="7"/>
        <v>8</v>
      </c>
      <c r="V519" s="42">
        <f>averageif(AllData!A:A,B519,AllData!R:R)/vlookup(B519,AllData!A:O,15,0)</f>
        <v>92.82051282</v>
      </c>
      <c r="W519" s="6"/>
    </row>
    <row r="520" ht="14.25" customHeight="1">
      <c r="A520" s="6" t="str">
        <f t="shared" si="1"/>
        <v>2013Fellows5</v>
      </c>
      <c r="B520" s="6">
        <v>2013.0</v>
      </c>
      <c r="C520" s="6" t="s">
        <v>79</v>
      </c>
      <c r="D520" s="6" t="s">
        <v>141</v>
      </c>
      <c r="E520" s="34">
        <v>42065.0</v>
      </c>
      <c r="F520" s="6" t="s">
        <v>1866</v>
      </c>
      <c r="G520" s="6" t="s">
        <v>125</v>
      </c>
      <c r="H520" s="6" t="s">
        <v>1867</v>
      </c>
      <c r="I520" s="35" t="s">
        <v>54</v>
      </c>
      <c r="J520" s="36">
        <v>92.8</v>
      </c>
      <c r="K520" s="36">
        <v>95.3</v>
      </c>
      <c r="L520" s="36">
        <f t="shared" si="2"/>
        <v>0</v>
      </c>
      <c r="M520" s="36" t="str">
        <f t="shared" si="3"/>
        <v>Regular Season</v>
      </c>
      <c r="N520" s="36" t="str">
        <f>IFERROR(VLOOKUP(I520,Mapped_Owner,2,0),"")</f>
        <v>Tayski</v>
      </c>
      <c r="O520" s="6">
        <f>VLOOKUP(D520,'Mapped Opponent'!$G$4:$H$22,2,0)</f>
        <v>5</v>
      </c>
      <c r="P520" s="6"/>
      <c r="Q520" s="6" t="str">
        <f t="shared" si="4"/>
        <v>Week 5</v>
      </c>
      <c r="R520" s="6" t="str">
        <f t="shared" si="5"/>
        <v>2013Week 5</v>
      </c>
      <c r="S520" s="6">
        <f>IFERROR(__xludf.DUMMYFUNCTION("rank(J520,FILTER(J:J,R:R=R520))"),5.0)</f>
        <v>5</v>
      </c>
      <c r="T520" s="6">
        <f t="shared" si="6"/>
        <v>7</v>
      </c>
      <c r="U520" s="6">
        <f t="shared" si="7"/>
        <v>5</v>
      </c>
      <c r="V520" s="42">
        <f>averageif(AllData!A:A,B520,AllData!R:R)/vlookup(B520,AllData!A:O,15,0)</f>
        <v>92.82051282</v>
      </c>
      <c r="W520" s="6"/>
    </row>
    <row r="521" ht="14.25" customHeight="1">
      <c r="A521" s="6" t="str">
        <f t="shared" si="1"/>
        <v>2013Shep5</v>
      </c>
      <c r="B521" s="6">
        <v>2013.0</v>
      </c>
      <c r="C521" s="6" t="s">
        <v>89</v>
      </c>
      <c r="D521" s="6" t="s">
        <v>141</v>
      </c>
      <c r="E521" s="34">
        <v>42038.0</v>
      </c>
      <c r="F521" s="6" t="s">
        <v>1870</v>
      </c>
      <c r="G521" s="6" t="s">
        <v>125</v>
      </c>
      <c r="H521" s="6" t="s">
        <v>1871</v>
      </c>
      <c r="I521" s="35" t="s">
        <v>93</v>
      </c>
      <c r="J521" s="36">
        <v>106.6</v>
      </c>
      <c r="K521" s="36">
        <v>80.9</v>
      </c>
      <c r="L521" s="36">
        <f t="shared" si="2"/>
        <v>1</v>
      </c>
      <c r="M521" s="36" t="str">
        <f t="shared" si="3"/>
        <v>Regular Season</v>
      </c>
      <c r="N521" s="36" t="str">
        <f>IFERROR(VLOOKUP(I521,Mapped_Owner,2,0),"")</f>
        <v>Pierson</v>
      </c>
      <c r="O521" s="6">
        <f>VLOOKUP(D521,'Mapped Opponent'!$G$4:$H$22,2,0)</f>
        <v>5</v>
      </c>
      <c r="P521" s="6"/>
      <c r="Q521" s="6" t="str">
        <f t="shared" si="4"/>
        <v>Week 5</v>
      </c>
      <c r="R521" s="6" t="str">
        <f t="shared" si="5"/>
        <v>2013Week 5</v>
      </c>
      <c r="S521" s="6">
        <f>IFERROR(__xludf.DUMMYFUNCTION("rank(J521,FILTER(J:J,R:R=R521))"),1.0)</f>
        <v>1</v>
      </c>
      <c r="T521" s="6">
        <f t="shared" si="6"/>
        <v>11</v>
      </c>
      <c r="U521" s="6">
        <f t="shared" si="7"/>
        <v>1</v>
      </c>
      <c r="V521" s="42">
        <f>averageif(AllData!A:A,B521,AllData!R:R)/vlookup(B521,AllData!A:O,15,0)</f>
        <v>92.82051282</v>
      </c>
      <c r="W521" s="6"/>
    </row>
    <row r="522" ht="14.25" customHeight="1">
      <c r="A522" s="6" t="str">
        <f t="shared" si="1"/>
        <v>2013Riley5</v>
      </c>
      <c r="B522" s="6">
        <v>2013.0</v>
      </c>
      <c r="C522" s="6" t="s">
        <v>67</v>
      </c>
      <c r="D522" s="6" t="s">
        <v>141</v>
      </c>
      <c r="E522" s="34">
        <v>42008.0</v>
      </c>
      <c r="F522" s="6" t="s">
        <v>1873</v>
      </c>
      <c r="G522" s="6" t="s">
        <v>125</v>
      </c>
      <c r="H522" s="6" t="s">
        <v>1874</v>
      </c>
      <c r="I522" s="35" t="s">
        <v>50</v>
      </c>
      <c r="J522" s="36">
        <v>91.9</v>
      </c>
      <c r="K522" s="36">
        <v>92.3</v>
      </c>
      <c r="L522" s="36">
        <f t="shared" si="2"/>
        <v>0</v>
      </c>
      <c r="M522" s="36" t="str">
        <f t="shared" si="3"/>
        <v>Regular Season</v>
      </c>
      <c r="N522" s="36" t="str">
        <f>IFERROR(VLOOKUP(I522,Mapped_Owner,2,0),"")</f>
        <v>Buser</v>
      </c>
      <c r="O522" s="6">
        <f>VLOOKUP(D522,'Mapped Opponent'!$G$4:$H$22,2,0)</f>
        <v>5</v>
      </c>
      <c r="P522" s="6"/>
      <c r="Q522" s="6" t="str">
        <f t="shared" si="4"/>
        <v>Week 5</v>
      </c>
      <c r="R522" s="6" t="str">
        <f t="shared" si="5"/>
        <v>2013Week 5</v>
      </c>
      <c r="S522" s="6">
        <f>IFERROR(__xludf.DUMMYFUNCTION("rank(J522,FILTER(J:J,R:R=R522))"),7.0)</f>
        <v>7</v>
      </c>
      <c r="T522" s="6">
        <f t="shared" si="6"/>
        <v>5</v>
      </c>
      <c r="U522" s="6">
        <f t="shared" si="7"/>
        <v>7</v>
      </c>
      <c r="V522" s="42">
        <f>averageif(AllData!A:A,B522,AllData!R:R)/vlookup(B522,AllData!A:O,15,0)</f>
        <v>92.82051282</v>
      </c>
      <c r="W522" s="6"/>
    </row>
    <row r="523" ht="14.25" customHeight="1">
      <c r="A523" s="6" t="str">
        <f t="shared" si="1"/>
        <v>2013Rooney/Jackson5</v>
      </c>
      <c r="B523" s="6">
        <v>2013.0</v>
      </c>
      <c r="C523" s="6" t="s">
        <v>57</v>
      </c>
      <c r="D523" s="6" t="s">
        <v>141</v>
      </c>
      <c r="E523" s="34">
        <v>42095.0</v>
      </c>
      <c r="F523" s="6" t="s">
        <v>1877</v>
      </c>
      <c r="G523" s="6" t="s">
        <v>125</v>
      </c>
      <c r="H523" s="6" t="s">
        <v>1878</v>
      </c>
      <c r="I523" s="35" t="s">
        <v>77</v>
      </c>
      <c r="J523" s="36">
        <v>104.7</v>
      </c>
      <c r="K523" s="36">
        <v>90.9</v>
      </c>
      <c r="L523" s="36">
        <f t="shared" si="2"/>
        <v>1</v>
      </c>
      <c r="M523" s="36" t="str">
        <f t="shared" si="3"/>
        <v>Regular Season</v>
      </c>
      <c r="N523" s="36" t="str">
        <f>IFERROR(VLOOKUP(I523,Mapped_Owner,2,0),"")</f>
        <v>Salty</v>
      </c>
      <c r="O523" s="6">
        <f>VLOOKUP(D523,'Mapped Opponent'!$G$4:$H$22,2,0)</f>
        <v>5</v>
      </c>
      <c r="P523" s="6"/>
      <c r="Q523" s="6" t="str">
        <f t="shared" si="4"/>
        <v>Week 5</v>
      </c>
      <c r="R523" s="6" t="str">
        <f t="shared" si="5"/>
        <v>2013Week 5</v>
      </c>
      <c r="S523" s="6">
        <f>IFERROR(__xludf.DUMMYFUNCTION("rank(J523,FILTER(J:J,R:R=R523))"),2.0)</f>
        <v>2</v>
      </c>
      <c r="T523" s="6">
        <f t="shared" si="6"/>
        <v>10</v>
      </c>
      <c r="U523" s="6">
        <f t="shared" si="7"/>
        <v>2</v>
      </c>
      <c r="V523" s="42">
        <f>averageif(AllData!A:A,B523,AllData!R:R)/vlookup(B523,AllData!A:O,15,0)</f>
        <v>92.82051282</v>
      </c>
      <c r="W523" s="6"/>
    </row>
    <row r="524" ht="14.25" customHeight="1">
      <c r="A524" s="6" t="str">
        <f t="shared" si="1"/>
        <v>2013Buser5</v>
      </c>
      <c r="B524" s="6">
        <v>2013.0</v>
      </c>
      <c r="C524" s="6" t="s">
        <v>47</v>
      </c>
      <c r="D524" s="6" t="s">
        <v>141</v>
      </c>
      <c r="E524" s="34">
        <v>42095.0</v>
      </c>
      <c r="F524" s="6" t="s">
        <v>1880</v>
      </c>
      <c r="G524" s="6" t="s">
        <v>114</v>
      </c>
      <c r="H524" s="6" t="s">
        <v>1881</v>
      </c>
      <c r="I524" s="35" t="s">
        <v>68</v>
      </c>
      <c r="J524" s="36">
        <v>92.3</v>
      </c>
      <c r="K524" s="36">
        <v>91.9</v>
      </c>
      <c r="L524" s="36">
        <f t="shared" si="2"/>
        <v>1</v>
      </c>
      <c r="M524" s="36" t="str">
        <f t="shared" si="3"/>
        <v>Regular Season</v>
      </c>
      <c r="N524" s="36" t="str">
        <f>IFERROR(VLOOKUP(I524,Mapped_Owner,2,0),"")</f>
        <v>Riley</v>
      </c>
      <c r="O524" s="6">
        <f>VLOOKUP(D524,'Mapped Opponent'!$G$4:$H$22,2,0)</f>
        <v>5</v>
      </c>
      <c r="P524" s="6"/>
      <c r="Q524" s="6" t="str">
        <f t="shared" si="4"/>
        <v>Week 5</v>
      </c>
      <c r="R524" s="6" t="str">
        <f t="shared" si="5"/>
        <v>2013Week 5</v>
      </c>
      <c r="S524" s="6">
        <f>IFERROR(__xludf.DUMMYFUNCTION("rank(J524,FILTER(J:J,R:R=R524))"),6.0)</f>
        <v>6</v>
      </c>
      <c r="T524" s="6">
        <f t="shared" si="6"/>
        <v>6</v>
      </c>
      <c r="U524" s="6">
        <f t="shared" si="7"/>
        <v>6</v>
      </c>
      <c r="V524" s="42">
        <f>averageif(AllData!A:A,B524,AllData!R:R)/vlookup(B524,AllData!A:O,15,0)</f>
        <v>92.82051282</v>
      </c>
      <c r="W524" s="6"/>
    </row>
    <row r="525" ht="14.25" customHeight="1">
      <c r="A525" s="6" t="str">
        <f t="shared" si="1"/>
        <v>2013Pierson5</v>
      </c>
      <c r="B525" s="6">
        <v>2013.0</v>
      </c>
      <c r="C525" s="6" t="s">
        <v>92</v>
      </c>
      <c r="D525" s="6" t="s">
        <v>141</v>
      </c>
      <c r="E525" s="34">
        <v>42008.0</v>
      </c>
      <c r="F525" s="6" t="s">
        <v>1883</v>
      </c>
      <c r="G525" s="6" t="s">
        <v>114</v>
      </c>
      <c r="H525" s="6" t="s">
        <v>1884</v>
      </c>
      <c r="I525" s="35" t="s">
        <v>91</v>
      </c>
      <c r="J525" s="36">
        <v>80.9</v>
      </c>
      <c r="K525" s="36">
        <v>106.6</v>
      </c>
      <c r="L525" s="36">
        <f t="shared" si="2"/>
        <v>0</v>
      </c>
      <c r="M525" s="36" t="str">
        <f t="shared" si="3"/>
        <v>Regular Season</v>
      </c>
      <c r="N525" s="36" t="str">
        <f>IFERROR(VLOOKUP(I525,Mapped_Owner,2,0),"")</f>
        <v>Shep</v>
      </c>
      <c r="O525" s="6">
        <f>VLOOKUP(D525,'Mapped Opponent'!$G$4:$H$22,2,0)</f>
        <v>5</v>
      </c>
      <c r="P525" s="6"/>
      <c r="Q525" s="6" t="str">
        <f t="shared" si="4"/>
        <v>Week 5</v>
      </c>
      <c r="R525" s="6" t="str">
        <f t="shared" si="5"/>
        <v>2013Week 5</v>
      </c>
      <c r="S525" s="6">
        <f>IFERROR(__xludf.DUMMYFUNCTION("rank(J525,FILTER(J:J,R:R=R525))"),10.0)</f>
        <v>10</v>
      </c>
      <c r="T525" s="6">
        <f t="shared" si="6"/>
        <v>2</v>
      </c>
      <c r="U525" s="6">
        <f t="shared" si="7"/>
        <v>10</v>
      </c>
      <c r="V525" s="42">
        <f>averageif(AllData!A:A,B525,AllData!R:R)/vlookup(B525,AllData!A:O,15,0)</f>
        <v>92.82051282</v>
      </c>
      <c r="W525" s="6"/>
    </row>
    <row r="526" ht="14.25" customHeight="1">
      <c r="A526" s="6" t="str">
        <f t="shared" si="1"/>
        <v>2013Cock5</v>
      </c>
      <c r="B526" s="6">
        <v>2013.0</v>
      </c>
      <c r="C526" s="6" t="s">
        <v>72</v>
      </c>
      <c r="D526" s="6" t="s">
        <v>141</v>
      </c>
      <c r="E526" s="34">
        <v>42065.0</v>
      </c>
      <c r="F526" s="6" t="s">
        <v>1887</v>
      </c>
      <c r="G526" s="6" t="s">
        <v>114</v>
      </c>
      <c r="H526" s="6" t="s">
        <v>1888</v>
      </c>
      <c r="I526" s="35" t="s">
        <v>64</v>
      </c>
      <c r="J526" s="36">
        <v>95.6</v>
      </c>
      <c r="K526" s="36">
        <v>68.4</v>
      </c>
      <c r="L526" s="36">
        <f t="shared" si="2"/>
        <v>1</v>
      </c>
      <c r="M526" s="36" t="str">
        <f t="shared" si="3"/>
        <v>Regular Season</v>
      </c>
      <c r="N526" s="36" t="str">
        <f>IFERROR(VLOOKUP(I526,Mapped_Owner,2,0),"")</f>
        <v>Hudspeath</v>
      </c>
      <c r="O526" s="6">
        <f>VLOOKUP(D526,'Mapped Opponent'!$G$4:$H$22,2,0)</f>
        <v>5</v>
      </c>
      <c r="P526" s="6"/>
      <c r="Q526" s="6" t="str">
        <f t="shared" si="4"/>
        <v>Week 5</v>
      </c>
      <c r="R526" s="6" t="str">
        <f t="shared" si="5"/>
        <v>2013Week 5</v>
      </c>
      <c r="S526" s="6">
        <f>IFERROR(__xludf.DUMMYFUNCTION("rank(J526,FILTER(J:J,R:R=R526))"),3.0)</f>
        <v>3</v>
      </c>
      <c r="T526" s="6">
        <f t="shared" si="6"/>
        <v>9</v>
      </c>
      <c r="U526" s="6">
        <f t="shared" si="7"/>
        <v>3</v>
      </c>
      <c r="V526" s="42">
        <f>averageif(AllData!A:A,B526,AllData!R:R)/vlookup(B526,AllData!A:O,15,0)</f>
        <v>92.82051282</v>
      </c>
      <c r="W526" s="6"/>
    </row>
    <row r="527" ht="14.25" customHeight="1">
      <c r="A527" s="6" t="str">
        <f t="shared" si="1"/>
        <v>2013Tayski5</v>
      </c>
      <c r="B527" s="6">
        <v>2013.0</v>
      </c>
      <c r="C527" s="6" t="s">
        <v>52</v>
      </c>
      <c r="D527" s="6" t="s">
        <v>141</v>
      </c>
      <c r="E527" s="34">
        <v>42038.0</v>
      </c>
      <c r="F527" s="6" t="s">
        <v>1891</v>
      </c>
      <c r="G527" s="6" t="s">
        <v>114</v>
      </c>
      <c r="H527" s="6" t="s">
        <v>1892</v>
      </c>
      <c r="I527" s="35" t="s">
        <v>80</v>
      </c>
      <c r="J527" s="36">
        <v>95.3</v>
      </c>
      <c r="K527" s="36">
        <v>92.8</v>
      </c>
      <c r="L527" s="36">
        <f t="shared" si="2"/>
        <v>1</v>
      </c>
      <c r="M527" s="36" t="str">
        <f t="shared" si="3"/>
        <v>Regular Season</v>
      </c>
      <c r="N527" s="36" t="str">
        <f>IFERROR(VLOOKUP(I527,Mapped_Owner,2,0),"")</f>
        <v>Fellows</v>
      </c>
      <c r="O527" s="6">
        <f>VLOOKUP(D527,'Mapped Opponent'!$G$4:$H$22,2,0)</f>
        <v>5</v>
      </c>
      <c r="P527" s="6"/>
      <c r="Q527" s="6" t="str">
        <f t="shared" si="4"/>
        <v>Week 5</v>
      </c>
      <c r="R527" s="6" t="str">
        <f t="shared" si="5"/>
        <v>2013Week 5</v>
      </c>
      <c r="S527" s="6">
        <f>IFERROR(__xludf.DUMMYFUNCTION("rank(J527,FILTER(J:J,R:R=R527))"),4.0)</f>
        <v>4</v>
      </c>
      <c r="T527" s="6">
        <f t="shared" si="6"/>
        <v>8</v>
      </c>
      <c r="U527" s="6">
        <f t="shared" si="7"/>
        <v>4</v>
      </c>
      <c r="V527" s="42">
        <f>averageif(AllData!A:A,B527,AllData!R:R)/vlookup(B527,AllData!A:O,15,0)</f>
        <v>92.82051282</v>
      </c>
      <c r="W527" s="6"/>
    </row>
    <row r="528" ht="14.25" customHeight="1">
      <c r="A528" s="6" t="str">
        <f t="shared" si="1"/>
        <v>2013KnardDawg5</v>
      </c>
      <c r="B528" s="6">
        <v>2013.0</v>
      </c>
      <c r="C528" s="6" t="s">
        <v>86</v>
      </c>
      <c r="D528" s="6" t="s">
        <v>141</v>
      </c>
      <c r="E528" s="34">
        <v>42038.0</v>
      </c>
      <c r="F528" s="6" t="s">
        <v>1894</v>
      </c>
      <c r="G528" s="6" t="s">
        <v>114</v>
      </c>
      <c r="H528" s="6" t="s">
        <v>1895</v>
      </c>
      <c r="I528" s="35" t="s">
        <v>85</v>
      </c>
      <c r="J528" s="36">
        <v>60.0</v>
      </c>
      <c r="K528" s="36">
        <v>86.2</v>
      </c>
      <c r="L528" s="36">
        <f t="shared" si="2"/>
        <v>0</v>
      </c>
      <c r="M528" s="36" t="str">
        <f t="shared" si="3"/>
        <v>Regular Season</v>
      </c>
      <c r="N528" s="36" t="str">
        <f>IFERROR(VLOOKUP(I528,Mapped_Owner,2,0),"")</f>
        <v>T-How</v>
      </c>
      <c r="O528" s="6">
        <f>VLOOKUP(D528,'Mapped Opponent'!$G$4:$H$22,2,0)</f>
        <v>5</v>
      </c>
      <c r="P528" s="6"/>
      <c r="Q528" s="6" t="str">
        <f t="shared" si="4"/>
        <v>Week 5</v>
      </c>
      <c r="R528" s="6" t="str">
        <f t="shared" si="5"/>
        <v>2013Week 5</v>
      </c>
      <c r="S528" s="6">
        <f>IFERROR(__xludf.DUMMYFUNCTION("rank(J528,FILTER(J:J,R:R=R528))"),12.0)</f>
        <v>12</v>
      </c>
      <c r="T528" s="6">
        <f t="shared" si="6"/>
        <v>0</v>
      </c>
      <c r="U528" s="6">
        <f t="shared" si="7"/>
        <v>12</v>
      </c>
      <c r="V528" s="42">
        <f>averageif(AllData!A:A,B528,AllData!R:R)/vlookup(B528,AllData!A:O,15,0)</f>
        <v>92.82051282</v>
      </c>
      <c r="W528" s="6"/>
    </row>
    <row r="529" ht="14.25" customHeight="1">
      <c r="A529" s="6" t="str">
        <f t="shared" si="1"/>
        <v>2013T-How5</v>
      </c>
      <c r="B529" s="6">
        <v>2013.0</v>
      </c>
      <c r="C529" s="6" t="s">
        <v>82</v>
      </c>
      <c r="D529" s="6" t="s">
        <v>141</v>
      </c>
      <c r="E529" s="34">
        <v>42065.0</v>
      </c>
      <c r="F529" s="6" t="s">
        <v>1896</v>
      </c>
      <c r="G529" s="6" t="s">
        <v>125</v>
      </c>
      <c r="H529" s="6" t="s">
        <v>1897</v>
      </c>
      <c r="I529" s="35" t="s">
        <v>132</v>
      </c>
      <c r="J529" s="36">
        <v>86.2</v>
      </c>
      <c r="K529" s="36">
        <v>60.0</v>
      </c>
      <c r="L529" s="36">
        <f t="shared" si="2"/>
        <v>1</v>
      </c>
      <c r="M529" s="36" t="str">
        <f t="shared" si="3"/>
        <v>Regular Season</v>
      </c>
      <c r="N529" s="36" t="str">
        <f>IFERROR(VLOOKUP(I529,Mapped_Owner,2,0),"")</f>
        <v>KnardDawg</v>
      </c>
      <c r="O529" s="6">
        <f>VLOOKUP(D529,'Mapped Opponent'!$G$4:$H$22,2,0)</f>
        <v>5</v>
      </c>
      <c r="P529" s="6"/>
      <c r="Q529" s="6" t="str">
        <f t="shared" si="4"/>
        <v>Week 5</v>
      </c>
      <c r="R529" s="6" t="str">
        <f t="shared" si="5"/>
        <v>2013Week 5</v>
      </c>
      <c r="S529" s="6">
        <f>IFERROR(__xludf.DUMMYFUNCTION("rank(J529,FILTER(J:J,R:R=R529))"),9.0)</f>
        <v>9</v>
      </c>
      <c r="T529" s="6">
        <f t="shared" si="6"/>
        <v>3</v>
      </c>
      <c r="U529" s="6">
        <f t="shared" si="7"/>
        <v>9</v>
      </c>
      <c r="V529" s="42">
        <f>averageif(AllData!A:A,B529,AllData!R:R)/vlookup(B529,AllData!A:O,15,0)</f>
        <v>92.82051282</v>
      </c>
      <c r="W529" s="6"/>
    </row>
    <row r="530" ht="14.25" customHeight="1">
      <c r="A530" s="6" t="str">
        <f t="shared" si="1"/>
        <v>2013Hudspeath6</v>
      </c>
      <c r="B530" s="6">
        <v>2013.0</v>
      </c>
      <c r="C530" s="6" t="s">
        <v>39</v>
      </c>
      <c r="D530" s="6" t="s">
        <v>142</v>
      </c>
      <c r="E530" s="34">
        <v>42066.0</v>
      </c>
      <c r="F530" s="6" t="s">
        <v>1898</v>
      </c>
      <c r="G530" s="6" t="s">
        <v>114</v>
      </c>
      <c r="H530" s="6" t="s">
        <v>1899</v>
      </c>
      <c r="I530" s="35" t="s">
        <v>132</v>
      </c>
      <c r="J530" s="36">
        <v>77.3</v>
      </c>
      <c r="K530" s="36">
        <v>78.8</v>
      </c>
      <c r="L530" s="36">
        <f t="shared" si="2"/>
        <v>0</v>
      </c>
      <c r="M530" s="36" t="str">
        <f t="shared" si="3"/>
        <v>Regular Season</v>
      </c>
      <c r="N530" s="36" t="str">
        <f>IFERROR(VLOOKUP(I530,Mapped_Owner,2,0),"")</f>
        <v>KnardDawg</v>
      </c>
      <c r="O530" s="6">
        <f>VLOOKUP(D530,'Mapped Opponent'!$G$4:$H$22,2,0)</f>
        <v>6</v>
      </c>
      <c r="P530" s="6"/>
      <c r="Q530" s="6" t="str">
        <f t="shared" si="4"/>
        <v>Week 6</v>
      </c>
      <c r="R530" s="6" t="str">
        <f t="shared" si="5"/>
        <v>2013Week 6</v>
      </c>
      <c r="S530" s="6">
        <f>IFERROR(__xludf.DUMMYFUNCTION("rank(J530,FILTER(J:J,R:R=R530))"),9.0)</f>
        <v>9</v>
      </c>
      <c r="T530" s="6">
        <f t="shared" si="6"/>
        <v>3</v>
      </c>
      <c r="U530" s="6">
        <f t="shared" si="7"/>
        <v>9</v>
      </c>
      <c r="V530" s="42">
        <f>averageif(AllData!A:A,B530,AllData!R:R)/vlookup(B530,AllData!A:O,15,0)</f>
        <v>92.82051282</v>
      </c>
      <c r="W530" s="6"/>
    </row>
    <row r="531" ht="14.25" customHeight="1">
      <c r="A531" s="6" t="str">
        <f t="shared" si="1"/>
        <v>2013Salty6</v>
      </c>
      <c r="B531" s="6">
        <v>2013.0</v>
      </c>
      <c r="C531" s="6" t="s">
        <v>76</v>
      </c>
      <c r="D531" s="6" t="s">
        <v>142</v>
      </c>
      <c r="E531" s="34">
        <v>42066.0</v>
      </c>
      <c r="F531" s="6" t="s">
        <v>1901</v>
      </c>
      <c r="G531" s="6" t="s">
        <v>125</v>
      </c>
      <c r="H531" s="6" t="s">
        <v>1902</v>
      </c>
      <c r="I531" s="35" t="s">
        <v>50</v>
      </c>
      <c r="J531" s="36">
        <v>121.3</v>
      </c>
      <c r="K531" s="36">
        <v>84.0</v>
      </c>
      <c r="L531" s="36">
        <f t="shared" si="2"/>
        <v>1</v>
      </c>
      <c r="M531" s="36" t="str">
        <f t="shared" si="3"/>
        <v>Regular Season</v>
      </c>
      <c r="N531" s="36" t="str">
        <f>IFERROR(VLOOKUP(I531,Mapped_Owner,2,0),"")</f>
        <v>Buser</v>
      </c>
      <c r="O531" s="6">
        <f>VLOOKUP(D531,'Mapped Opponent'!$G$4:$H$22,2,0)</f>
        <v>6</v>
      </c>
      <c r="P531" s="6"/>
      <c r="Q531" s="6" t="str">
        <f t="shared" si="4"/>
        <v>Week 6</v>
      </c>
      <c r="R531" s="6" t="str">
        <f t="shared" si="5"/>
        <v>2013Week 6</v>
      </c>
      <c r="S531" s="6">
        <f>IFERROR(__xludf.DUMMYFUNCTION("rank(J531,FILTER(J:J,R:R=R531))"),1.0)</f>
        <v>1</v>
      </c>
      <c r="T531" s="6">
        <f t="shared" si="6"/>
        <v>11</v>
      </c>
      <c r="U531" s="6">
        <f t="shared" si="7"/>
        <v>1</v>
      </c>
      <c r="V531" s="42">
        <f>averageif(AllData!A:A,B531,AllData!R:R)/vlookup(B531,AllData!A:O,15,0)</f>
        <v>92.82051282</v>
      </c>
      <c r="W531" s="6"/>
    </row>
    <row r="532" ht="14.25" customHeight="1">
      <c r="A532" s="6" t="str">
        <f t="shared" si="1"/>
        <v>2013Fellows6</v>
      </c>
      <c r="B532" s="6">
        <v>2013.0</v>
      </c>
      <c r="C532" s="6" t="s">
        <v>79</v>
      </c>
      <c r="D532" s="6" t="s">
        <v>142</v>
      </c>
      <c r="E532" s="34">
        <v>42066.0</v>
      </c>
      <c r="F532" s="6" t="s">
        <v>1904</v>
      </c>
      <c r="G532" s="6" t="s">
        <v>114</v>
      </c>
      <c r="H532" s="6" t="s">
        <v>1905</v>
      </c>
      <c r="I532" s="35" t="s">
        <v>85</v>
      </c>
      <c r="J532" s="36">
        <v>63.4</v>
      </c>
      <c r="K532" s="36">
        <v>94.4</v>
      </c>
      <c r="L532" s="36">
        <f t="shared" si="2"/>
        <v>0</v>
      </c>
      <c r="M532" s="36" t="str">
        <f t="shared" si="3"/>
        <v>Regular Season</v>
      </c>
      <c r="N532" s="36" t="str">
        <f>IFERROR(VLOOKUP(I532,Mapped_Owner,2,0),"")</f>
        <v>T-How</v>
      </c>
      <c r="O532" s="6">
        <f>VLOOKUP(D532,'Mapped Opponent'!$G$4:$H$22,2,0)</f>
        <v>6</v>
      </c>
      <c r="P532" s="6"/>
      <c r="Q532" s="6" t="str">
        <f t="shared" si="4"/>
        <v>Week 6</v>
      </c>
      <c r="R532" s="6" t="str">
        <f t="shared" si="5"/>
        <v>2013Week 6</v>
      </c>
      <c r="S532" s="6">
        <f>IFERROR(__xludf.DUMMYFUNCTION("rank(J532,FILTER(J:J,R:R=R532))"),12.0)</f>
        <v>12</v>
      </c>
      <c r="T532" s="6">
        <f t="shared" si="6"/>
        <v>0</v>
      </c>
      <c r="U532" s="6">
        <f t="shared" si="7"/>
        <v>12</v>
      </c>
      <c r="V532" s="42">
        <f>averageif(AllData!A:A,B532,AllData!R:R)/vlookup(B532,AllData!A:O,15,0)</f>
        <v>92.82051282</v>
      </c>
      <c r="W532" s="6"/>
    </row>
    <row r="533" ht="14.25" customHeight="1">
      <c r="A533" s="6" t="str">
        <f t="shared" si="1"/>
        <v>2013Shep6</v>
      </c>
      <c r="B533" s="6">
        <v>2013.0</v>
      </c>
      <c r="C533" s="6" t="s">
        <v>89</v>
      </c>
      <c r="D533" s="6" t="s">
        <v>142</v>
      </c>
      <c r="E533" s="34">
        <v>42039.0</v>
      </c>
      <c r="F533" s="6" t="s">
        <v>1908</v>
      </c>
      <c r="G533" s="6" t="s">
        <v>114</v>
      </c>
      <c r="H533" s="6" t="s">
        <v>1909</v>
      </c>
      <c r="I533" s="35" t="s">
        <v>54</v>
      </c>
      <c r="J533" s="36">
        <v>64.2</v>
      </c>
      <c r="K533" s="36">
        <v>69.8</v>
      </c>
      <c r="L533" s="36">
        <f t="shared" si="2"/>
        <v>0</v>
      </c>
      <c r="M533" s="36" t="str">
        <f t="shared" si="3"/>
        <v>Regular Season</v>
      </c>
      <c r="N533" s="36" t="str">
        <f>IFERROR(VLOOKUP(I533,Mapped_Owner,2,0),"")</f>
        <v>Tayski</v>
      </c>
      <c r="O533" s="6">
        <f>VLOOKUP(D533,'Mapped Opponent'!$G$4:$H$22,2,0)</f>
        <v>6</v>
      </c>
      <c r="P533" s="6"/>
      <c r="Q533" s="6" t="str">
        <f t="shared" si="4"/>
        <v>Week 6</v>
      </c>
      <c r="R533" s="6" t="str">
        <f t="shared" si="5"/>
        <v>2013Week 6</v>
      </c>
      <c r="S533" s="6">
        <f>IFERROR(__xludf.DUMMYFUNCTION("rank(J533,FILTER(J:J,R:R=R533))"),11.0)</f>
        <v>11</v>
      </c>
      <c r="T533" s="6">
        <f t="shared" si="6"/>
        <v>1</v>
      </c>
      <c r="U533" s="6">
        <f t="shared" si="7"/>
        <v>11</v>
      </c>
      <c r="V533" s="42">
        <f>averageif(AllData!A:A,B533,AllData!R:R)/vlookup(B533,AllData!A:O,15,0)</f>
        <v>92.82051282</v>
      </c>
      <c r="W533" s="6"/>
    </row>
    <row r="534" ht="14.25" customHeight="1">
      <c r="A534" s="6" t="str">
        <f t="shared" si="1"/>
        <v>2013Riley6</v>
      </c>
      <c r="B534" s="6">
        <v>2013.0</v>
      </c>
      <c r="C534" s="6" t="s">
        <v>67</v>
      </c>
      <c r="D534" s="6" t="s">
        <v>142</v>
      </c>
      <c r="E534" s="34">
        <v>42039.0</v>
      </c>
      <c r="F534" s="6" t="s">
        <v>631</v>
      </c>
      <c r="G534" s="6" t="s">
        <v>114</v>
      </c>
      <c r="H534" s="6" t="s">
        <v>1911</v>
      </c>
      <c r="I534" s="35" t="s">
        <v>99</v>
      </c>
      <c r="J534" s="36">
        <v>118.0</v>
      </c>
      <c r="K534" s="36">
        <v>95.2</v>
      </c>
      <c r="L534" s="36">
        <f t="shared" si="2"/>
        <v>1</v>
      </c>
      <c r="M534" s="36" t="str">
        <f t="shared" si="3"/>
        <v>Regular Season</v>
      </c>
      <c r="N534" s="36" t="str">
        <f>IFERROR(VLOOKUP(I534,Mapped_Owner,2,0),"")</f>
        <v>Cock</v>
      </c>
      <c r="O534" s="6">
        <f>VLOOKUP(D534,'Mapped Opponent'!$G$4:$H$22,2,0)</f>
        <v>6</v>
      </c>
      <c r="P534" s="6"/>
      <c r="Q534" s="6" t="str">
        <f t="shared" si="4"/>
        <v>Week 6</v>
      </c>
      <c r="R534" s="6" t="str">
        <f t="shared" si="5"/>
        <v>2013Week 6</v>
      </c>
      <c r="S534" s="6">
        <f>IFERROR(__xludf.DUMMYFUNCTION("rank(J534,FILTER(J:J,R:R=R534))"),2.0)</f>
        <v>2</v>
      </c>
      <c r="T534" s="6">
        <f t="shared" si="6"/>
        <v>10</v>
      </c>
      <c r="U534" s="6">
        <f t="shared" si="7"/>
        <v>2</v>
      </c>
      <c r="V534" s="42">
        <f>averageif(AllData!A:A,B534,AllData!R:R)/vlookup(B534,AllData!A:O,15,0)</f>
        <v>92.82051282</v>
      </c>
      <c r="W534" s="6"/>
    </row>
    <row r="535" ht="14.25" customHeight="1">
      <c r="A535" s="6" t="str">
        <f t="shared" si="1"/>
        <v>2013Rooney/Jackson6</v>
      </c>
      <c r="B535" s="6">
        <v>2013.0</v>
      </c>
      <c r="C535" s="6" t="s">
        <v>57</v>
      </c>
      <c r="D535" s="6" t="s">
        <v>142</v>
      </c>
      <c r="E535" s="34">
        <v>42096.0</v>
      </c>
      <c r="F535" s="6" t="s">
        <v>1914</v>
      </c>
      <c r="G535" s="6" t="s">
        <v>114</v>
      </c>
      <c r="H535" s="6" t="s">
        <v>1915</v>
      </c>
      <c r="I535" s="35" t="s">
        <v>93</v>
      </c>
      <c r="J535" s="36">
        <v>80.7</v>
      </c>
      <c r="K535" s="36">
        <v>97.0</v>
      </c>
      <c r="L535" s="36">
        <f t="shared" si="2"/>
        <v>0</v>
      </c>
      <c r="M535" s="36" t="str">
        <f t="shared" si="3"/>
        <v>Regular Season</v>
      </c>
      <c r="N535" s="36" t="str">
        <f>IFERROR(VLOOKUP(I535,Mapped_Owner,2,0),"")</f>
        <v>Pierson</v>
      </c>
      <c r="O535" s="6">
        <f>VLOOKUP(D535,'Mapped Opponent'!$G$4:$H$22,2,0)</f>
        <v>6</v>
      </c>
      <c r="P535" s="6"/>
      <c r="Q535" s="6" t="str">
        <f t="shared" si="4"/>
        <v>Week 6</v>
      </c>
      <c r="R535" s="6" t="str">
        <f t="shared" si="5"/>
        <v>2013Week 6</v>
      </c>
      <c r="S535" s="6">
        <f>IFERROR(__xludf.DUMMYFUNCTION("rank(J535,FILTER(J:J,R:R=R535))"),7.0)</f>
        <v>7</v>
      </c>
      <c r="T535" s="6">
        <f t="shared" si="6"/>
        <v>5</v>
      </c>
      <c r="U535" s="6">
        <f t="shared" si="7"/>
        <v>7</v>
      </c>
      <c r="V535" s="42">
        <f>averageif(AllData!A:A,B535,AllData!R:R)/vlookup(B535,AllData!A:O,15,0)</f>
        <v>92.82051282</v>
      </c>
      <c r="W535" s="6"/>
    </row>
    <row r="536" ht="14.25" customHeight="1">
      <c r="A536" s="6" t="str">
        <f t="shared" si="1"/>
        <v>2013Buser6</v>
      </c>
      <c r="B536" s="6">
        <v>2013.0</v>
      </c>
      <c r="C536" s="6" t="s">
        <v>47</v>
      </c>
      <c r="D536" s="6" t="s">
        <v>142</v>
      </c>
      <c r="E536" s="34">
        <v>42096.0</v>
      </c>
      <c r="F536" s="6" t="s">
        <v>1918</v>
      </c>
      <c r="G536" s="6" t="s">
        <v>114</v>
      </c>
      <c r="H536" s="6" t="s">
        <v>1919</v>
      </c>
      <c r="I536" s="35" t="s">
        <v>77</v>
      </c>
      <c r="J536" s="36">
        <v>84.0</v>
      </c>
      <c r="K536" s="36">
        <v>121.3</v>
      </c>
      <c r="L536" s="36">
        <f t="shared" si="2"/>
        <v>0</v>
      </c>
      <c r="M536" s="36" t="str">
        <f t="shared" si="3"/>
        <v>Regular Season</v>
      </c>
      <c r="N536" s="36" t="str">
        <f>IFERROR(VLOOKUP(I536,Mapped_Owner,2,0),"")</f>
        <v>Salty</v>
      </c>
      <c r="O536" s="6">
        <f>VLOOKUP(D536,'Mapped Opponent'!$G$4:$H$22,2,0)</f>
        <v>6</v>
      </c>
      <c r="P536" s="6"/>
      <c r="Q536" s="6" t="str">
        <f t="shared" si="4"/>
        <v>Week 6</v>
      </c>
      <c r="R536" s="6" t="str">
        <f t="shared" si="5"/>
        <v>2013Week 6</v>
      </c>
      <c r="S536" s="6">
        <f>IFERROR(__xludf.DUMMYFUNCTION("rank(J536,FILTER(J:J,R:R=R536))"),6.0)</f>
        <v>6</v>
      </c>
      <c r="T536" s="6">
        <f t="shared" si="6"/>
        <v>6</v>
      </c>
      <c r="U536" s="6">
        <f t="shared" si="7"/>
        <v>6</v>
      </c>
      <c r="V536" s="42">
        <f>averageif(AllData!A:A,B536,AllData!R:R)/vlookup(B536,AllData!A:O,15,0)</f>
        <v>92.82051282</v>
      </c>
      <c r="W536" s="6"/>
    </row>
    <row r="537" ht="14.25" customHeight="1">
      <c r="A537" s="6" t="str">
        <f t="shared" si="1"/>
        <v>2013Pierson6</v>
      </c>
      <c r="B537" s="6">
        <v>2013.0</v>
      </c>
      <c r="C537" s="6" t="s">
        <v>92</v>
      </c>
      <c r="D537" s="6" t="s">
        <v>142</v>
      </c>
      <c r="E537" s="34">
        <v>42039.0</v>
      </c>
      <c r="F537" s="6" t="s">
        <v>1923</v>
      </c>
      <c r="G537" s="6" t="s">
        <v>125</v>
      </c>
      <c r="H537" s="6" t="s">
        <v>1924</v>
      </c>
      <c r="I537" s="35" t="s">
        <v>58</v>
      </c>
      <c r="J537" s="36">
        <v>97.0</v>
      </c>
      <c r="K537" s="36">
        <v>80.7</v>
      </c>
      <c r="L537" s="36">
        <f t="shared" si="2"/>
        <v>1</v>
      </c>
      <c r="M537" s="36" t="str">
        <f t="shared" si="3"/>
        <v>Regular Season</v>
      </c>
      <c r="N537" s="36" t="str">
        <f>IFERROR(VLOOKUP(I537,Mapped_Owner,2,0),"")</f>
        <v>Rooney/Jackson</v>
      </c>
      <c r="O537" s="6">
        <f>VLOOKUP(D537,'Mapped Opponent'!$G$4:$H$22,2,0)</f>
        <v>6</v>
      </c>
      <c r="P537" s="6"/>
      <c r="Q537" s="6" t="str">
        <f t="shared" si="4"/>
        <v>Week 6</v>
      </c>
      <c r="R537" s="6" t="str">
        <f t="shared" si="5"/>
        <v>2013Week 6</v>
      </c>
      <c r="S537" s="6">
        <f>IFERROR(__xludf.DUMMYFUNCTION("rank(J537,FILTER(J:J,R:R=R537))"),3.0)</f>
        <v>3</v>
      </c>
      <c r="T537" s="6">
        <f t="shared" si="6"/>
        <v>9</v>
      </c>
      <c r="U537" s="6">
        <f t="shared" si="7"/>
        <v>3</v>
      </c>
      <c r="V537" s="42">
        <f>averageif(AllData!A:A,B537,AllData!R:R)/vlookup(B537,AllData!A:O,15,0)</f>
        <v>92.82051282</v>
      </c>
      <c r="W537" s="6"/>
    </row>
    <row r="538" ht="14.25" customHeight="1">
      <c r="A538" s="6" t="str">
        <f t="shared" si="1"/>
        <v>2013Cock6</v>
      </c>
      <c r="B538" s="6">
        <v>2013.0</v>
      </c>
      <c r="C538" s="6" t="s">
        <v>72</v>
      </c>
      <c r="D538" s="6" t="s">
        <v>142</v>
      </c>
      <c r="E538" s="34">
        <v>42066.0</v>
      </c>
      <c r="F538" s="6" t="s">
        <v>635</v>
      </c>
      <c r="G538" s="6" t="s">
        <v>125</v>
      </c>
      <c r="H538" s="6" t="s">
        <v>1925</v>
      </c>
      <c r="I538" s="35" t="s">
        <v>68</v>
      </c>
      <c r="J538" s="36">
        <v>95.2</v>
      </c>
      <c r="K538" s="36">
        <v>118.0</v>
      </c>
      <c r="L538" s="36">
        <f t="shared" si="2"/>
        <v>0</v>
      </c>
      <c r="M538" s="36" t="str">
        <f t="shared" si="3"/>
        <v>Regular Season</v>
      </c>
      <c r="N538" s="36" t="str">
        <f>IFERROR(VLOOKUP(I538,Mapped_Owner,2,0),"")</f>
        <v>Riley</v>
      </c>
      <c r="O538" s="6">
        <f>VLOOKUP(D538,'Mapped Opponent'!$G$4:$H$22,2,0)</f>
        <v>6</v>
      </c>
      <c r="P538" s="6"/>
      <c r="Q538" s="6" t="str">
        <f t="shared" si="4"/>
        <v>Week 6</v>
      </c>
      <c r="R538" s="6" t="str">
        <f t="shared" si="5"/>
        <v>2013Week 6</v>
      </c>
      <c r="S538" s="6">
        <f>IFERROR(__xludf.DUMMYFUNCTION("rank(J538,FILTER(J:J,R:R=R538))"),4.0)</f>
        <v>4</v>
      </c>
      <c r="T538" s="6">
        <f t="shared" si="6"/>
        <v>8</v>
      </c>
      <c r="U538" s="6">
        <f t="shared" si="7"/>
        <v>4</v>
      </c>
      <c r="V538" s="42">
        <f>averageif(AllData!A:A,B538,AllData!R:R)/vlookup(B538,AllData!A:O,15,0)</f>
        <v>92.82051282</v>
      </c>
      <c r="W538" s="6"/>
    </row>
    <row r="539" ht="14.25" customHeight="1">
      <c r="A539" s="6" t="str">
        <f t="shared" si="1"/>
        <v>2013Tayski6</v>
      </c>
      <c r="B539" s="6">
        <v>2013.0</v>
      </c>
      <c r="C539" s="6" t="s">
        <v>52</v>
      </c>
      <c r="D539" s="6" t="s">
        <v>142</v>
      </c>
      <c r="E539" s="34">
        <v>42066.0</v>
      </c>
      <c r="F539" s="6" t="s">
        <v>1926</v>
      </c>
      <c r="G539" s="6" t="s">
        <v>125</v>
      </c>
      <c r="H539" s="6" t="s">
        <v>1927</v>
      </c>
      <c r="I539" s="35" t="s">
        <v>91</v>
      </c>
      <c r="J539" s="36">
        <v>69.8</v>
      </c>
      <c r="K539" s="36">
        <v>64.2</v>
      </c>
      <c r="L539" s="36">
        <f t="shared" si="2"/>
        <v>1</v>
      </c>
      <c r="M539" s="36" t="str">
        <f t="shared" si="3"/>
        <v>Regular Season</v>
      </c>
      <c r="N539" s="36" t="str">
        <f>IFERROR(VLOOKUP(I539,Mapped_Owner,2,0),"")</f>
        <v>Shep</v>
      </c>
      <c r="O539" s="6">
        <f>VLOOKUP(D539,'Mapped Opponent'!$G$4:$H$22,2,0)</f>
        <v>6</v>
      </c>
      <c r="P539" s="6"/>
      <c r="Q539" s="6" t="str">
        <f t="shared" si="4"/>
        <v>Week 6</v>
      </c>
      <c r="R539" s="6" t="str">
        <f t="shared" si="5"/>
        <v>2013Week 6</v>
      </c>
      <c r="S539" s="6">
        <f>IFERROR(__xludf.DUMMYFUNCTION("rank(J539,FILTER(J:J,R:R=R539))"),10.0)</f>
        <v>10</v>
      </c>
      <c r="T539" s="6">
        <f t="shared" si="6"/>
        <v>2</v>
      </c>
      <c r="U539" s="6">
        <f t="shared" si="7"/>
        <v>10</v>
      </c>
      <c r="V539" s="42">
        <f>averageif(AllData!A:A,B539,AllData!R:R)/vlookup(B539,AllData!A:O,15,0)</f>
        <v>92.82051282</v>
      </c>
      <c r="W539" s="6"/>
    </row>
    <row r="540" ht="14.25" customHeight="1">
      <c r="A540" s="6" t="str">
        <f t="shared" si="1"/>
        <v>2013KnardDawg6</v>
      </c>
      <c r="B540" s="6">
        <v>2013.0</v>
      </c>
      <c r="C540" s="6" t="s">
        <v>86</v>
      </c>
      <c r="D540" s="6" t="s">
        <v>142</v>
      </c>
      <c r="E540" s="34">
        <v>42066.0</v>
      </c>
      <c r="F540" s="6" t="s">
        <v>1928</v>
      </c>
      <c r="G540" s="6" t="s">
        <v>125</v>
      </c>
      <c r="H540" s="6" t="s">
        <v>810</v>
      </c>
      <c r="I540" s="35" t="s">
        <v>64</v>
      </c>
      <c r="J540" s="36">
        <v>78.8</v>
      </c>
      <c r="K540" s="36">
        <v>77.3</v>
      </c>
      <c r="L540" s="36">
        <f t="shared" si="2"/>
        <v>1</v>
      </c>
      <c r="M540" s="36" t="str">
        <f t="shared" si="3"/>
        <v>Regular Season</v>
      </c>
      <c r="N540" s="36" t="str">
        <f>IFERROR(VLOOKUP(I540,Mapped_Owner,2,0),"")</f>
        <v>Hudspeath</v>
      </c>
      <c r="O540" s="6">
        <f>VLOOKUP(D540,'Mapped Opponent'!$G$4:$H$22,2,0)</f>
        <v>6</v>
      </c>
      <c r="P540" s="6"/>
      <c r="Q540" s="6" t="str">
        <f t="shared" si="4"/>
        <v>Week 6</v>
      </c>
      <c r="R540" s="6" t="str">
        <f t="shared" si="5"/>
        <v>2013Week 6</v>
      </c>
      <c r="S540" s="6">
        <f>IFERROR(__xludf.DUMMYFUNCTION("rank(J540,FILTER(J:J,R:R=R540))"),8.0)</f>
        <v>8</v>
      </c>
      <c r="T540" s="6">
        <f t="shared" si="6"/>
        <v>4</v>
      </c>
      <c r="U540" s="6">
        <f t="shared" si="7"/>
        <v>8</v>
      </c>
      <c r="V540" s="42">
        <f>averageif(AllData!A:A,B540,AllData!R:R)/vlookup(B540,AllData!A:O,15,0)</f>
        <v>92.82051282</v>
      </c>
      <c r="W540" s="6"/>
    </row>
    <row r="541" ht="14.25" customHeight="1">
      <c r="A541" s="6" t="str">
        <f t="shared" si="1"/>
        <v>2013T-How6</v>
      </c>
      <c r="B541" s="6">
        <v>2013.0</v>
      </c>
      <c r="C541" s="6" t="s">
        <v>82</v>
      </c>
      <c r="D541" s="6" t="s">
        <v>142</v>
      </c>
      <c r="E541" s="34">
        <v>42096.0</v>
      </c>
      <c r="F541" s="6" t="s">
        <v>1929</v>
      </c>
      <c r="G541" s="6" t="s">
        <v>125</v>
      </c>
      <c r="H541" s="6" t="s">
        <v>1930</v>
      </c>
      <c r="I541" s="35" t="s">
        <v>80</v>
      </c>
      <c r="J541" s="36">
        <v>94.4</v>
      </c>
      <c r="K541" s="36">
        <v>63.4</v>
      </c>
      <c r="L541" s="36">
        <f t="shared" si="2"/>
        <v>1</v>
      </c>
      <c r="M541" s="36" t="str">
        <f t="shared" si="3"/>
        <v>Regular Season</v>
      </c>
      <c r="N541" s="36" t="str">
        <f>IFERROR(VLOOKUP(I541,Mapped_Owner,2,0),"")</f>
        <v>Fellows</v>
      </c>
      <c r="O541" s="6">
        <f>VLOOKUP(D541,'Mapped Opponent'!$G$4:$H$22,2,0)</f>
        <v>6</v>
      </c>
      <c r="P541" s="6"/>
      <c r="Q541" s="6" t="str">
        <f t="shared" si="4"/>
        <v>Week 6</v>
      </c>
      <c r="R541" s="6" t="str">
        <f t="shared" si="5"/>
        <v>2013Week 6</v>
      </c>
      <c r="S541" s="6">
        <f>IFERROR(__xludf.DUMMYFUNCTION("rank(J541,FILTER(J:J,R:R=R541))"),5.0)</f>
        <v>5</v>
      </c>
      <c r="T541" s="6">
        <f t="shared" si="6"/>
        <v>7</v>
      </c>
      <c r="U541" s="6">
        <f t="shared" si="7"/>
        <v>5</v>
      </c>
      <c r="V541" s="42">
        <f>averageif(AllData!A:A,B541,AllData!R:R)/vlookup(B541,AllData!A:O,15,0)</f>
        <v>92.82051282</v>
      </c>
      <c r="W541" s="6"/>
    </row>
    <row r="542" ht="14.25" customHeight="1">
      <c r="A542" s="6" t="str">
        <f t="shared" si="1"/>
        <v>2013Hudspeath7</v>
      </c>
      <c r="B542" s="6">
        <v>2013.0</v>
      </c>
      <c r="C542" s="6" t="s">
        <v>39</v>
      </c>
      <c r="D542" s="6" t="s">
        <v>143</v>
      </c>
      <c r="E542" s="34">
        <v>42097.0</v>
      </c>
      <c r="F542" s="6" t="s">
        <v>1931</v>
      </c>
      <c r="G542" s="6" t="s">
        <v>125</v>
      </c>
      <c r="H542" s="6" t="s">
        <v>1932</v>
      </c>
      <c r="I542" s="35" t="s">
        <v>80</v>
      </c>
      <c r="J542" s="36">
        <v>90.8</v>
      </c>
      <c r="K542" s="36">
        <v>90.4</v>
      </c>
      <c r="L542" s="36">
        <f t="shared" si="2"/>
        <v>1</v>
      </c>
      <c r="M542" s="36" t="str">
        <f t="shared" si="3"/>
        <v>Regular Season</v>
      </c>
      <c r="N542" s="36" t="str">
        <f>IFERROR(VLOOKUP(I542,Mapped_Owner,2,0),"")</f>
        <v>Fellows</v>
      </c>
      <c r="O542" s="6">
        <f>VLOOKUP(D542,'Mapped Opponent'!$G$4:$H$22,2,0)</f>
        <v>7</v>
      </c>
      <c r="P542" s="6"/>
      <c r="Q542" s="6" t="str">
        <f t="shared" si="4"/>
        <v>Week 7</v>
      </c>
      <c r="R542" s="6" t="str">
        <f t="shared" si="5"/>
        <v>2013Week 7</v>
      </c>
      <c r="S542" s="6">
        <f>IFERROR(__xludf.DUMMYFUNCTION("rank(J542,FILTER(J:J,R:R=R542))"),4.0)</f>
        <v>4</v>
      </c>
      <c r="T542" s="6">
        <f t="shared" si="6"/>
        <v>8</v>
      </c>
      <c r="U542" s="6">
        <f t="shared" si="7"/>
        <v>4</v>
      </c>
      <c r="V542" s="42">
        <f>averageif(AllData!A:A,B542,AllData!R:R)/vlookup(B542,AllData!A:O,15,0)</f>
        <v>92.82051282</v>
      </c>
      <c r="W542" s="6"/>
    </row>
    <row r="543" ht="14.25" customHeight="1">
      <c r="A543" s="6" t="str">
        <f t="shared" si="1"/>
        <v>2013Salty7</v>
      </c>
      <c r="B543" s="6">
        <v>2013.0</v>
      </c>
      <c r="C543" s="6" t="s">
        <v>76</v>
      </c>
      <c r="D543" s="6" t="s">
        <v>143</v>
      </c>
      <c r="E543" s="34">
        <v>42067.0</v>
      </c>
      <c r="F543" s="6" t="s">
        <v>1933</v>
      </c>
      <c r="G543" s="6" t="s">
        <v>114</v>
      </c>
      <c r="H543" s="6" t="s">
        <v>1934</v>
      </c>
      <c r="I543" s="35" t="s">
        <v>93</v>
      </c>
      <c r="J543" s="36">
        <v>59.5</v>
      </c>
      <c r="K543" s="36">
        <v>74.2</v>
      </c>
      <c r="L543" s="36">
        <f t="shared" si="2"/>
        <v>0</v>
      </c>
      <c r="M543" s="36" t="str">
        <f t="shared" si="3"/>
        <v>Regular Season</v>
      </c>
      <c r="N543" s="36" t="str">
        <f>IFERROR(VLOOKUP(I543,Mapped_Owner,2,0),"")</f>
        <v>Pierson</v>
      </c>
      <c r="O543" s="6">
        <f>VLOOKUP(D543,'Mapped Opponent'!$G$4:$H$22,2,0)</f>
        <v>7</v>
      </c>
      <c r="P543" s="6"/>
      <c r="Q543" s="6" t="str">
        <f t="shared" si="4"/>
        <v>Week 7</v>
      </c>
      <c r="R543" s="6" t="str">
        <f t="shared" si="5"/>
        <v>2013Week 7</v>
      </c>
      <c r="S543" s="6">
        <f>IFERROR(__xludf.DUMMYFUNCTION("rank(J543,FILTER(J:J,R:R=R543))"),12.0)</f>
        <v>12</v>
      </c>
      <c r="T543" s="6">
        <f t="shared" si="6"/>
        <v>0</v>
      </c>
      <c r="U543" s="6">
        <f t="shared" si="7"/>
        <v>12</v>
      </c>
      <c r="V543" s="42">
        <f>averageif(AllData!A:A,B543,AllData!R:R)/vlookup(B543,AllData!A:O,15,0)</f>
        <v>92.82051282</v>
      </c>
      <c r="W543" s="6"/>
    </row>
    <row r="544" ht="14.25" customHeight="1">
      <c r="A544" s="6" t="str">
        <f t="shared" si="1"/>
        <v>2013Fellows7</v>
      </c>
      <c r="B544" s="6">
        <v>2013.0</v>
      </c>
      <c r="C544" s="6" t="s">
        <v>79</v>
      </c>
      <c r="D544" s="6" t="s">
        <v>143</v>
      </c>
      <c r="E544" s="34">
        <v>42067.0</v>
      </c>
      <c r="F544" s="6" t="s">
        <v>1935</v>
      </c>
      <c r="G544" s="6" t="s">
        <v>114</v>
      </c>
      <c r="H544" s="6" t="s">
        <v>1936</v>
      </c>
      <c r="I544" s="35" t="s">
        <v>64</v>
      </c>
      <c r="J544" s="36">
        <v>90.4</v>
      </c>
      <c r="K544" s="36">
        <v>90.8</v>
      </c>
      <c r="L544" s="36">
        <f t="shared" si="2"/>
        <v>0</v>
      </c>
      <c r="M544" s="36" t="str">
        <f t="shared" si="3"/>
        <v>Regular Season</v>
      </c>
      <c r="N544" s="36" t="str">
        <f>IFERROR(VLOOKUP(I544,Mapped_Owner,2,0),"")</f>
        <v>Hudspeath</v>
      </c>
      <c r="O544" s="6">
        <f>VLOOKUP(D544,'Mapped Opponent'!$G$4:$H$22,2,0)</f>
        <v>7</v>
      </c>
      <c r="P544" s="6"/>
      <c r="Q544" s="6" t="str">
        <f t="shared" si="4"/>
        <v>Week 7</v>
      </c>
      <c r="R544" s="6" t="str">
        <f t="shared" si="5"/>
        <v>2013Week 7</v>
      </c>
      <c r="S544" s="6">
        <f>IFERROR(__xludf.DUMMYFUNCTION("rank(J544,FILTER(J:J,R:R=R544))"),5.0)</f>
        <v>5</v>
      </c>
      <c r="T544" s="6">
        <f t="shared" si="6"/>
        <v>7</v>
      </c>
      <c r="U544" s="6">
        <f t="shared" si="7"/>
        <v>5</v>
      </c>
      <c r="V544" s="42">
        <f>averageif(AllData!A:A,B544,AllData!R:R)/vlookup(B544,AllData!A:O,15,0)</f>
        <v>92.82051282</v>
      </c>
      <c r="W544" s="6"/>
    </row>
    <row r="545" ht="14.25" customHeight="1">
      <c r="A545" s="6" t="str">
        <f t="shared" si="1"/>
        <v>2013Shep7</v>
      </c>
      <c r="B545" s="6">
        <v>2013.0</v>
      </c>
      <c r="C545" s="6" t="s">
        <v>89</v>
      </c>
      <c r="D545" s="6" t="s">
        <v>143</v>
      </c>
      <c r="E545" s="34">
        <v>42067.0</v>
      </c>
      <c r="F545" s="6" t="s">
        <v>1937</v>
      </c>
      <c r="G545" s="6" t="s">
        <v>125</v>
      </c>
      <c r="H545" s="6" t="s">
        <v>1938</v>
      </c>
      <c r="I545" s="35" t="s">
        <v>85</v>
      </c>
      <c r="J545" s="36">
        <v>87.1</v>
      </c>
      <c r="K545" s="36">
        <v>77.1</v>
      </c>
      <c r="L545" s="36">
        <f t="shared" si="2"/>
        <v>1</v>
      </c>
      <c r="M545" s="36" t="str">
        <f t="shared" si="3"/>
        <v>Regular Season</v>
      </c>
      <c r="N545" s="36" t="str">
        <f>IFERROR(VLOOKUP(I545,Mapped_Owner,2,0),"")</f>
        <v>T-How</v>
      </c>
      <c r="O545" s="6">
        <f>VLOOKUP(D545,'Mapped Opponent'!$G$4:$H$22,2,0)</f>
        <v>7</v>
      </c>
      <c r="P545" s="6"/>
      <c r="Q545" s="6" t="str">
        <f t="shared" si="4"/>
        <v>Week 7</v>
      </c>
      <c r="R545" s="6" t="str">
        <f t="shared" si="5"/>
        <v>2013Week 7</v>
      </c>
      <c r="S545" s="6">
        <f>IFERROR(__xludf.DUMMYFUNCTION("rank(J545,FILTER(J:J,R:R=R545))"),6.0)</f>
        <v>6</v>
      </c>
      <c r="T545" s="6">
        <f t="shared" si="6"/>
        <v>6</v>
      </c>
      <c r="U545" s="6">
        <f t="shared" si="7"/>
        <v>6</v>
      </c>
      <c r="V545" s="42">
        <f>averageif(AllData!A:A,B545,AllData!R:R)/vlookup(B545,AllData!A:O,15,0)</f>
        <v>92.82051282</v>
      </c>
      <c r="W545" s="6"/>
    </row>
    <row r="546" ht="14.25" customHeight="1">
      <c r="A546" s="6" t="str">
        <f t="shared" si="1"/>
        <v>2013Riley7</v>
      </c>
      <c r="B546" s="6">
        <v>2013.0</v>
      </c>
      <c r="C546" s="6" t="s">
        <v>67</v>
      </c>
      <c r="D546" s="6" t="s">
        <v>143</v>
      </c>
      <c r="E546" s="34">
        <v>42067.0</v>
      </c>
      <c r="F546" s="6" t="s">
        <v>1939</v>
      </c>
      <c r="G546" s="6" t="s">
        <v>125</v>
      </c>
      <c r="H546" s="6" t="s">
        <v>1940</v>
      </c>
      <c r="I546" s="35" t="s">
        <v>132</v>
      </c>
      <c r="J546" s="36">
        <v>117.0</v>
      </c>
      <c r="K546" s="36">
        <v>81.3</v>
      </c>
      <c r="L546" s="36">
        <f t="shared" si="2"/>
        <v>1</v>
      </c>
      <c r="M546" s="36" t="str">
        <f t="shared" si="3"/>
        <v>Regular Season</v>
      </c>
      <c r="N546" s="36" t="str">
        <f>IFERROR(VLOOKUP(I546,Mapped_Owner,2,0),"")</f>
        <v>KnardDawg</v>
      </c>
      <c r="O546" s="6">
        <f>VLOOKUP(D546,'Mapped Opponent'!$G$4:$H$22,2,0)</f>
        <v>7</v>
      </c>
      <c r="P546" s="6"/>
      <c r="Q546" s="6" t="str">
        <f t="shared" si="4"/>
        <v>Week 7</v>
      </c>
      <c r="R546" s="6" t="str">
        <f t="shared" si="5"/>
        <v>2013Week 7</v>
      </c>
      <c r="S546" s="6">
        <f>IFERROR(__xludf.DUMMYFUNCTION("rank(J546,FILTER(J:J,R:R=R546))"),2.0)</f>
        <v>2</v>
      </c>
      <c r="T546" s="6">
        <f t="shared" si="6"/>
        <v>10</v>
      </c>
      <c r="U546" s="6">
        <f t="shared" si="7"/>
        <v>2</v>
      </c>
      <c r="V546" s="42">
        <f>averageif(AllData!A:A,B546,AllData!R:R)/vlookup(B546,AllData!A:O,15,0)</f>
        <v>92.82051282</v>
      </c>
      <c r="W546" s="6"/>
    </row>
    <row r="547" ht="14.25" customHeight="1">
      <c r="A547" s="6" t="str">
        <f t="shared" si="1"/>
        <v>2013Rooney/Jackson7</v>
      </c>
      <c r="B547" s="6">
        <v>2013.0</v>
      </c>
      <c r="C547" s="6" t="s">
        <v>57</v>
      </c>
      <c r="D547" s="6" t="s">
        <v>143</v>
      </c>
      <c r="E547" s="34">
        <v>42097.0</v>
      </c>
      <c r="F547" s="6" t="s">
        <v>1941</v>
      </c>
      <c r="G547" s="6" t="s">
        <v>125</v>
      </c>
      <c r="H547" s="6" t="s">
        <v>1942</v>
      </c>
      <c r="I547" s="35" t="s">
        <v>54</v>
      </c>
      <c r="J547" s="36">
        <v>84.9</v>
      </c>
      <c r="K547" s="36">
        <v>128.4</v>
      </c>
      <c r="L547" s="36">
        <f t="shared" si="2"/>
        <v>0</v>
      </c>
      <c r="M547" s="36" t="str">
        <f t="shared" si="3"/>
        <v>Regular Season</v>
      </c>
      <c r="N547" s="36" t="str">
        <f>IFERROR(VLOOKUP(I547,Mapped_Owner,2,0),"")</f>
        <v>Tayski</v>
      </c>
      <c r="O547" s="6">
        <f>VLOOKUP(D547,'Mapped Opponent'!$G$4:$H$22,2,0)</f>
        <v>7</v>
      </c>
      <c r="P547" s="6"/>
      <c r="Q547" s="6" t="str">
        <f t="shared" si="4"/>
        <v>Week 7</v>
      </c>
      <c r="R547" s="6" t="str">
        <f t="shared" si="5"/>
        <v>2013Week 7</v>
      </c>
      <c r="S547" s="6">
        <f>IFERROR(__xludf.DUMMYFUNCTION("rank(J547,FILTER(J:J,R:R=R547))"),7.0)</f>
        <v>7</v>
      </c>
      <c r="T547" s="6">
        <f t="shared" si="6"/>
        <v>5</v>
      </c>
      <c r="U547" s="6">
        <f t="shared" si="7"/>
        <v>7</v>
      </c>
      <c r="V547" s="42">
        <f>averageif(AllData!A:A,B547,AllData!R:R)/vlookup(B547,AllData!A:O,15,0)</f>
        <v>92.82051282</v>
      </c>
      <c r="W547" s="6"/>
    </row>
    <row r="548" ht="14.25" customHeight="1">
      <c r="A548" s="6" t="str">
        <f t="shared" si="1"/>
        <v>2013Buser7</v>
      </c>
      <c r="B548" s="6">
        <v>2013.0</v>
      </c>
      <c r="C548" s="6" t="s">
        <v>47</v>
      </c>
      <c r="D548" s="6" t="s">
        <v>143</v>
      </c>
      <c r="E548" s="34">
        <v>42097.0</v>
      </c>
      <c r="F548" s="6" t="s">
        <v>1943</v>
      </c>
      <c r="G548" s="6" t="s">
        <v>125</v>
      </c>
      <c r="H548" s="6" t="s">
        <v>1944</v>
      </c>
      <c r="I548" s="35" t="s">
        <v>99</v>
      </c>
      <c r="J548" s="36">
        <v>73.9</v>
      </c>
      <c r="K548" s="36">
        <v>93.7</v>
      </c>
      <c r="L548" s="36">
        <f t="shared" si="2"/>
        <v>0</v>
      </c>
      <c r="M548" s="36" t="str">
        <f t="shared" si="3"/>
        <v>Regular Season</v>
      </c>
      <c r="N548" s="36" t="str">
        <f>IFERROR(VLOOKUP(I548,Mapped_Owner,2,0),"")</f>
        <v>Cock</v>
      </c>
      <c r="O548" s="6">
        <f>VLOOKUP(D548,'Mapped Opponent'!$G$4:$H$22,2,0)</f>
        <v>7</v>
      </c>
      <c r="P548" s="6"/>
      <c r="Q548" s="6" t="str">
        <f t="shared" si="4"/>
        <v>Week 7</v>
      </c>
      <c r="R548" s="6" t="str">
        <f t="shared" si="5"/>
        <v>2013Week 7</v>
      </c>
      <c r="S548" s="6">
        <f>IFERROR(__xludf.DUMMYFUNCTION("rank(J548,FILTER(J:J,R:R=R548))"),11.0)</f>
        <v>11</v>
      </c>
      <c r="T548" s="6">
        <f t="shared" si="6"/>
        <v>1</v>
      </c>
      <c r="U548" s="6">
        <f t="shared" si="7"/>
        <v>11</v>
      </c>
      <c r="V548" s="42">
        <f>averageif(AllData!A:A,B548,AllData!R:R)/vlookup(B548,AllData!A:O,15,0)</f>
        <v>92.82051282</v>
      </c>
      <c r="W548" s="6"/>
    </row>
    <row r="549" ht="14.25" customHeight="1">
      <c r="A549" s="6" t="str">
        <f t="shared" si="1"/>
        <v>2013Pierson7</v>
      </c>
      <c r="B549" s="6">
        <v>2013.0</v>
      </c>
      <c r="C549" s="6" t="s">
        <v>92</v>
      </c>
      <c r="D549" s="6" t="s">
        <v>143</v>
      </c>
      <c r="E549" s="34">
        <v>42067.0</v>
      </c>
      <c r="F549" s="6" t="s">
        <v>1945</v>
      </c>
      <c r="G549" s="6" t="s">
        <v>125</v>
      </c>
      <c r="H549" s="6" t="s">
        <v>1946</v>
      </c>
      <c r="I549" s="35" t="s">
        <v>77</v>
      </c>
      <c r="J549" s="36">
        <v>74.2</v>
      </c>
      <c r="K549" s="36">
        <v>59.5</v>
      </c>
      <c r="L549" s="36">
        <f t="shared" si="2"/>
        <v>1</v>
      </c>
      <c r="M549" s="36" t="str">
        <f t="shared" si="3"/>
        <v>Regular Season</v>
      </c>
      <c r="N549" s="36" t="str">
        <f>IFERROR(VLOOKUP(I549,Mapped_Owner,2,0),"")</f>
        <v>Salty</v>
      </c>
      <c r="O549" s="6">
        <f>VLOOKUP(D549,'Mapped Opponent'!$G$4:$H$22,2,0)</f>
        <v>7</v>
      </c>
      <c r="P549" s="6"/>
      <c r="Q549" s="6" t="str">
        <f t="shared" si="4"/>
        <v>Week 7</v>
      </c>
      <c r="R549" s="6" t="str">
        <f t="shared" si="5"/>
        <v>2013Week 7</v>
      </c>
      <c r="S549" s="6">
        <f>IFERROR(__xludf.DUMMYFUNCTION("rank(J549,FILTER(J:J,R:R=R549))"),10.0)</f>
        <v>10</v>
      </c>
      <c r="T549" s="6">
        <f t="shared" si="6"/>
        <v>2</v>
      </c>
      <c r="U549" s="6">
        <f t="shared" si="7"/>
        <v>10</v>
      </c>
      <c r="V549" s="42">
        <f>averageif(AllData!A:A,B549,AllData!R:R)/vlookup(B549,AllData!A:O,15,0)</f>
        <v>92.82051282</v>
      </c>
      <c r="W549" s="6"/>
    </row>
    <row r="550" ht="14.25" customHeight="1">
      <c r="A550" s="6" t="str">
        <f t="shared" si="1"/>
        <v>2013Cock7</v>
      </c>
      <c r="B550" s="6">
        <v>2013.0</v>
      </c>
      <c r="C550" s="6" t="s">
        <v>72</v>
      </c>
      <c r="D550" s="6" t="s">
        <v>143</v>
      </c>
      <c r="E550" s="34">
        <v>42097.0</v>
      </c>
      <c r="F550" s="6" t="s">
        <v>1947</v>
      </c>
      <c r="G550" s="6" t="s">
        <v>114</v>
      </c>
      <c r="H550" s="6" t="s">
        <v>1948</v>
      </c>
      <c r="I550" s="35" t="s">
        <v>50</v>
      </c>
      <c r="J550" s="36">
        <v>93.7</v>
      </c>
      <c r="K550" s="36">
        <v>73.9</v>
      </c>
      <c r="L550" s="36">
        <f t="shared" si="2"/>
        <v>1</v>
      </c>
      <c r="M550" s="36" t="str">
        <f t="shared" si="3"/>
        <v>Regular Season</v>
      </c>
      <c r="N550" s="36" t="str">
        <f>IFERROR(VLOOKUP(I550,Mapped_Owner,2,0),"")</f>
        <v>Buser</v>
      </c>
      <c r="O550" s="6">
        <f>VLOOKUP(D550,'Mapped Opponent'!$G$4:$H$22,2,0)</f>
        <v>7</v>
      </c>
      <c r="P550" s="6"/>
      <c r="Q550" s="6" t="str">
        <f t="shared" si="4"/>
        <v>Week 7</v>
      </c>
      <c r="R550" s="6" t="str">
        <f t="shared" si="5"/>
        <v>2013Week 7</v>
      </c>
      <c r="S550" s="6">
        <f>IFERROR(__xludf.DUMMYFUNCTION("rank(J550,FILTER(J:J,R:R=R550))"),3.0)</f>
        <v>3</v>
      </c>
      <c r="T550" s="6">
        <f t="shared" si="6"/>
        <v>9</v>
      </c>
      <c r="U550" s="6">
        <f t="shared" si="7"/>
        <v>3</v>
      </c>
      <c r="V550" s="42">
        <f>averageif(AllData!A:A,B550,AllData!R:R)/vlookup(B550,AllData!A:O,15,0)</f>
        <v>92.82051282</v>
      </c>
      <c r="W550" s="6"/>
    </row>
    <row r="551" ht="14.25" customHeight="1">
      <c r="A551" s="6" t="str">
        <f t="shared" si="1"/>
        <v>2013Tayski7</v>
      </c>
      <c r="B551" s="6">
        <v>2013.0</v>
      </c>
      <c r="C551" s="6" t="s">
        <v>52</v>
      </c>
      <c r="D551" s="6" t="s">
        <v>143</v>
      </c>
      <c r="E551" s="34">
        <v>42097.0</v>
      </c>
      <c r="F551" s="6" t="s">
        <v>1949</v>
      </c>
      <c r="G551" s="6" t="s">
        <v>114</v>
      </c>
      <c r="H551" s="6" t="s">
        <v>1950</v>
      </c>
      <c r="I551" s="35" t="s">
        <v>58</v>
      </c>
      <c r="J551" s="36">
        <v>128.4</v>
      </c>
      <c r="K551" s="36">
        <v>84.9</v>
      </c>
      <c r="L551" s="36">
        <f t="shared" si="2"/>
        <v>1</v>
      </c>
      <c r="M551" s="36" t="str">
        <f t="shared" si="3"/>
        <v>Regular Season</v>
      </c>
      <c r="N551" s="36" t="str">
        <f>IFERROR(VLOOKUP(I551,Mapped_Owner,2,0),"")</f>
        <v>Rooney/Jackson</v>
      </c>
      <c r="O551" s="6">
        <f>VLOOKUP(D551,'Mapped Opponent'!$G$4:$H$22,2,0)</f>
        <v>7</v>
      </c>
      <c r="P551" s="6"/>
      <c r="Q551" s="6" t="str">
        <f t="shared" si="4"/>
        <v>Week 7</v>
      </c>
      <c r="R551" s="6" t="str">
        <f t="shared" si="5"/>
        <v>2013Week 7</v>
      </c>
      <c r="S551" s="6">
        <f>IFERROR(__xludf.DUMMYFUNCTION("rank(J551,FILTER(J:J,R:R=R551))"),1.0)</f>
        <v>1</v>
      </c>
      <c r="T551" s="6">
        <f t="shared" si="6"/>
        <v>11</v>
      </c>
      <c r="U551" s="6">
        <f t="shared" si="7"/>
        <v>1</v>
      </c>
      <c r="V551" s="42">
        <f>averageif(AllData!A:A,B551,AllData!R:R)/vlookup(B551,AllData!A:O,15,0)</f>
        <v>92.82051282</v>
      </c>
      <c r="W551" s="6"/>
    </row>
    <row r="552" ht="14.25" customHeight="1">
      <c r="A552" s="6" t="str">
        <f t="shared" si="1"/>
        <v>2013KnardDawg7</v>
      </c>
      <c r="B552" s="6">
        <v>2013.0</v>
      </c>
      <c r="C552" s="6" t="s">
        <v>86</v>
      </c>
      <c r="D552" s="6" t="s">
        <v>143</v>
      </c>
      <c r="E552" s="34">
        <v>42067.0</v>
      </c>
      <c r="F552" s="6" t="s">
        <v>1951</v>
      </c>
      <c r="G552" s="6" t="s">
        <v>114</v>
      </c>
      <c r="H552" s="6" t="s">
        <v>1952</v>
      </c>
      <c r="I552" s="35" t="s">
        <v>68</v>
      </c>
      <c r="J552" s="36">
        <v>81.3</v>
      </c>
      <c r="K552" s="36">
        <v>117.0</v>
      </c>
      <c r="L552" s="36">
        <f t="shared" si="2"/>
        <v>0</v>
      </c>
      <c r="M552" s="36" t="str">
        <f t="shared" si="3"/>
        <v>Regular Season</v>
      </c>
      <c r="N552" s="36" t="str">
        <f>IFERROR(VLOOKUP(I552,Mapped_Owner,2,0),"")</f>
        <v>Riley</v>
      </c>
      <c r="O552" s="6">
        <f>VLOOKUP(D552,'Mapped Opponent'!$G$4:$H$22,2,0)</f>
        <v>7</v>
      </c>
      <c r="P552" s="6"/>
      <c r="Q552" s="6" t="str">
        <f t="shared" si="4"/>
        <v>Week 7</v>
      </c>
      <c r="R552" s="6" t="str">
        <f t="shared" si="5"/>
        <v>2013Week 7</v>
      </c>
      <c r="S552" s="6">
        <f>IFERROR(__xludf.DUMMYFUNCTION("rank(J552,FILTER(J:J,R:R=R552))"),8.0)</f>
        <v>8</v>
      </c>
      <c r="T552" s="6">
        <f t="shared" si="6"/>
        <v>4</v>
      </c>
      <c r="U552" s="6">
        <f t="shared" si="7"/>
        <v>8</v>
      </c>
      <c r="V552" s="42">
        <f>averageif(AllData!A:A,B552,AllData!R:R)/vlookup(B552,AllData!A:O,15,0)</f>
        <v>92.82051282</v>
      </c>
      <c r="W552" s="6"/>
    </row>
    <row r="553" ht="14.25" customHeight="1">
      <c r="A553" s="6" t="str">
        <f t="shared" si="1"/>
        <v>2013T-How7</v>
      </c>
      <c r="B553" s="6">
        <v>2013.0</v>
      </c>
      <c r="C553" s="6" t="s">
        <v>82</v>
      </c>
      <c r="D553" s="6" t="s">
        <v>143</v>
      </c>
      <c r="E553" s="34">
        <v>42097.0</v>
      </c>
      <c r="F553" s="6" t="s">
        <v>1953</v>
      </c>
      <c r="G553" s="6" t="s">
        <v>114</v>
      </c>
      <c r="H553" s="6" t="s">
        <v>1954</v>
      </c>
      <c r="I553" s="35" t="s">
        <v>91</v>
      </c>
      <c r="J553" s="36">
        <v>77.1</v>
      </c>
      <c r="K553" s="36">
        <v>87.1</v>
      </c>
      <c r="L553" s="36">
        <f t="shared" si="2"/>
        <v>0</v>
      </c>
      <c r="M553" s="36" t="str">
        <f t="shared" si="3"/>
        <v>Regular Season</v>
      </c>
      <c r="N553" s="36" t="str">
        <f>IFERROR(VLOOKUP(I553,Mapped_Owner,2,0),"")</f>
        <v>Shep</v>
      </c>
      <c r="O553" s="6">
        <f>VLOOKUP(D553,'Mapped Opponent'!$G$4:$H$22,2,0)</f>
        <v>7</v>
      </c>
      <c r="P553" s="6"/>
      <c r="Q553" s="6" t="str">
        <f t="shared" si="4"/>
        <v>Week 7</v>
      </c>
      <c r="R553" s="6" t="str">
        <f t="shared" si="5"/>
        <v>2013Week 7</v>
      </c>
      <c r="S553" s="6">
        <f>IFERROR(__xludf.DUMMYFUNCTION("rank(J553,FILTER(J:J,R:R=R553))"),9.0)</f>
        <v>9</v>
      </c>
      <c r="T553" s="6">
        <f t="shared" si="6"/>
        <v>3</v>
      </c>
      <c r="U553" s="6">
        <f t="shared" si="7"/>
        <v>9</v>
      </c>
      <c r="V553" s="42">
        <f>averageif(AllData!A:A,B553,AllData!R:R)/vlookup(B553,AllData!A:O,15,0)</f>
        <v>92.82051282</v>
      </c>
      <c r="W553" s="6"/>
    </row>
    <row r="554" ht="14.25" customHeight="1">
      <c r="A554" s="6" t="str">
        <f t="shared" si="1"/>
        <v>2013Hudspeath8</v>
      </c>
      <c r="B554" s="6">
        <v>2013.0</v>
      </c>
      <c r="C554" s="6" t="s">
        <v>39</v>
      </c>
      <c r="D554" s="6" t="s">
        <v>145</v>
      </c>
      <c r="E554" s="34">
        <v>42127.0</v>
      </c>
      <c r="F554" s="6" t="s">
        <v>1955</v>
      </c>
      <c r="G554" s="6" t="s">
        <v>125</v>
      </c>
      <c r="H554" s="6" t="s">
        <v>1956</v>
      </c>
      <c r="I554" s="35" t="s">
        <v>91</v>
      </c>
      <c r="J554" s="36">
        <v>99.6</v>
      </c>
      <c r="K554" s="36">
        <v>95.2</v>
      </c>
      <c r="L554" s="36">
        <f t="shared" si="2"/>
        <v>1</v>
      </c>
      <c r="M554" s="36" t="str">
        <f t="shared" si="3"/>
        <v>Regular Season</v>
      </c>
      <c r="N554" s="36" t="str">
        <f>IFERROR(VLOOKUP(I554,Mapped_Owner,2,0),"")</f>
        <v>Shep</v>
      </c>
      <c r="O554" s="6">
        <f>VLOOKUP(D554,'Mapped Opponent'!$G$4:$H$22,2,0)</f>
        <v>8</v>
      </c>
      <c r="P554" s="6"/>
      <c r="Q554" s="6" t="str">
        <f t="shared" si="4"/>
        <v>Week 8</v>
      </c>
      <c r="R554" s="6" t="str">
        <f t="shared" si="5"/>
        <v>2013Week 8</v>
      </c>
      <c r="S554" s="6">
        <f>IFERROR(__xludf.DUMMYFUNCTION("rank(J554,FILTER(J:J,R:R=R554))"),4.0)</f>
        <v>4</v>
      </c>
      <c r="T554" s="6">
        <f t="shared" si="6"/>
        <v>8</v>
      </c>
      <c r="U554" s="6">
        <f t="shared" si="7"/>
        <v>4</v>
      </c>
      <c r="V554" s="42">
        <f>averageif(AllData!A:A,B554,AllData!R:R)/vlookup(B554,AllData!A:O,15,0)</f>
        <v>92.82051282</v>
      </c>
      <c r="W554" s="6"/>
    </row>
    <row r="555" ht="14.25" customHeight="1">
      <c r="A555" s="6" t="str">
        <f t="shared" si="1"/>
        <v>2013Salty8</v>
      </c>
      <c r="B555" s="6">
        <v>2013.0</v>
      </c>
      <c r="C555" s="6" t="s">
        <v>76</v>
      </c>
      <c r="D555" s="6" t="s">
        <v>145</v>
      </c>
      <c r="E555" s="34">
        <v>42068.0</v>
      </c>
      <c r="F555" s="6" t="s">
        <v>1957</v>
      </c>
      <c r="G555" s="6" t="s">
        <v>125</v>
      </c>
      <c r="H555" s="6" t="s">
        <v>1958</v>
      </c>
      <c r="I555" s="35" t="s">
        <v>99</v>
      </c>
      <c r="J555" s="36">
        <v>75.0</v>
      </c>
      <c r="K555" s="36">
        <v>94.1</v>
      </c>
      <c r="L555" s="36">
        <f t="shared" si="2"/>
        <v>0</v>
      </c>
      <c r="M555" s="36" t="str">
        <f t="shared" si="3"/>
        <v>Regular Season</v>
      </c>
      <c r="N555" s="36" t="str">
        <f>IFERROR(VLOOKUP(I555,Mapped_Owner,2,0),"")</f>
        <v>Cock</v>
      </c>
      <c r="O555" s="6">
        <f>VLOOKUP(D555,'Mapped Opponent'!$G$4:$H$22,2,0)</f>
        <v>8</v>
      </c>
      <c r="P555" s="6"/>
      <c r="Q555" s="6" t="str">
        <f t="shared" si="4"/>
        <v>Week 8</v>
      </c>
      <c r="R555" s="6" t="str">
        <f t="shared" si="5"/>
        <v>2013Week 8</v>
      </c>
      <c r="S555" s="6">
        <f>IFERROR(__xludf.DUMMYFUNCTION("rank(J555,FILTER(J:J,R:R=R555))"),10.0)</f>
        <v>10</v>
      </c>
      <c r="T555" s="6">
        <f t="shared" si="6"/>
        <v>2</v>
      </c>
      <c r="U555" s="6">
        <f t="shared" si="7"/>
        <v>10</v>
      </c>
      <c r="V555" s="42">
        <f>averageif(AllData!A:A,B555,AllData!R:R)/vlookup(B555,AllData!A:O,15,0)</f>
        <v>92.82051282</v>
      </c>
      <c r="W555" s="6"/>
    </row>
    <row r="556" ht="14.25" customHeight="1">
      <c r="A556" s="6" t="str">
        <f t="shared" si="1"/>
        <v>2013Fellows8</v>
      </c>
      <c r="B556" s="6">
        <v>2013.0</v>
      </c>
      <c r="C556" s="6" t="s">
        <v>79</v>
      </c>
      <c r="D556" s="6" t="s">
        <v>145</v>
      </c>
      <c r="E556" s="34">
        <v>42068.0</v>
      </c>
      <c r="F556" s="6" t="s">
        <v>1959</v>
      </c>
      <c r="G556" s="6" t="s">
        <v>125</v>
      </c>
      <c r="H556" s="6" t="s">
        <v>1960</v>
      </c>
      <c r="I556" s="35" t="s">
        <v>68</v>
      </c>
      <c r="J556" s="36">
        <v>71.3</v>
      </c>
      <c r="K556" s="36">
        <v>101.8</v>
      </c>
      <c r="L556" s="36">
        <f t="shared" si="2"/>
        <v>0</v>
      </c>
      <c r="M556" s="36" t="str">
        <f t="shared" si="3"/>
        <v>Regular Season</v>
      </c>
      <c r="N556" s="36" t="str">
        <f>IFERROR(VLOOKUP(I556,Mapped_Owner,2,0),"")</f>
        <v>Riley</v>
      </c>
      <c r="O556" s="6">
        <f>VLOOKUP(D556,'Mapped Opponent'!$G$4:$H$22,2,0)</f>
        <v>8</v>
      </c>
      <c r="P556" s="6"/>
      <c r="Q556" s="6" t="str">
        <f t="shared" si="4"/>
        <v>Week 8</v>
      </c>
      <c r="R556" s="6" t="str">
        <f t="shared" si="5"/>
        <v>2013Week 8</v>
      </c>
      <c r="S556" s="6">
        <f>IFERROR(__xludf.DUMMYFUNCTION("rank(J556,FILTER(J:J,R:R=R556))"),11.0)</f>
        <v>11</v>
      </c>
      <c r="T556" s="6">
        <f t="shared" si="6"/>
        <v>1</v>
      </c>
      <c r="U556" s="6">
        <f t="shared" si="7"/>
        <v>11</v>
      </c>
      <c r="V556" s="42">
        <f>averageif(AllData!A:A,B556,AllData!R:R)/vlookup(B556,AllData!A:O,15,0)</f>
        <v>92.82051282</v>
      </c>
      <c r="W556" s="6"/>
    </row>
    <row r="557" ht="14.25" customHeight="1">
      <c r="A557" s="6" t="str">
        <f t="shared" si="1"/>
        <v>2013Shep8</v>
      </c>
      <c r="B557" s="6">
        <v>2013.0</v>
      </c>
      <c r="C557" s="6" t="s">
        <v>89</v>
      </c>
      <c r="D557" s="6" t="s">
        <v>145</v>
      </c>
      <c r="E557" s="34">
        <v>42068.0</v>
      </c>
      <c r="F557" s="6" t="s">
        <v>1961</v>
      </c>
      <c r="G557" s="6" t="s">
        <v>114</v>
      </c>
      <c r="H557" s="6" t="s">
        <v>1962</v>
      </c>
      <c r="I557" s="35" t="s">
        <v>64</v>
      </c>
      <c r="J557" s="36">
        <v>95.2</v>
      </c>
      <c r="K557" s="36">
        <v>99.6</v>
      </c>
      <c r="L557" s="36">
        <f t="shared" si="2"/>
        <v>0</v>
      </c>
      <c r="M557" s="36" t="str">
        <f t="shared" si="3"/>
        <v>Regular Season</v>
      </c>
      <c r="N557" s="36" t="str">
        <f>IFERROR(VLOOKUP(I557,Mapped_Owner,2,0),"")</f>
        <v>Hudspeath</v>
      </c>
      <c r="O557" s="6">
        <f>VLOOKUP(D557,'Mapped Opponent'!$G$4:$H$22,2,0)</f>
        <v>8</v>
      </c>
      <c r="P557" s="6"/>
      <c r="Q557" s="6" t="str">
        <f t="shared" si="4"/>
        <v>Week 8</v>
      </c>
      <c r="R557" s="6" t="str">
        <f t="shared" si="5"/>
        <v>2013Week 8</v>
      </c>
      <c r="S557" s="6">
        <f>IFERROR(__xludf.DUMMYFUNCTION("rank(J557,FILTER(J:J,R:R=R557))"),5.0)</f>
        <v>5</v>
      </c>
      <c r="T557" s="6">
        <f t="shared" si="6"/>
        <v>7</v>
      </c>
      <c r="U557" s="6">
        <f t="shared" si="7"/>
        <v>5</v>
      </c>
      <c r="V557" s="42">
        <f>averageif(AllData!A:A,B557,AllData!R:R)/vlookup(B557,AllData!A:O,15,0)</f>
        <v>92.82051282</v>
      </c>
      <c r="W557" s="6"/>
    </row>
    <row r="558" ht="14.25" customHeight="1">
      <c r="A558" s="6" t="str">
        <f t="shared" si="1"/>
        <v>2013Riley8</v>
      </c>
      <c r="B558" s="6">
        <v>2013.0</v>
      </c>
      <c r="C558" s="6" t="s">
        <v>67</v>
      </c>
      <c r="D558" s="6" t="s">
        <v>145</v>
      </c>
      <c r="E558" s="34">
        <v>42098.0</v>
      </c>
      <c r="F558" s="6" t="s">
        <v>1963</v>
      </c>
      <c r="G558" s="6" t="s">
        <v>114</v>
      </c>
      <c r="H558" s="6" t="s">
        <v>1964</v>
      </c>
      <c r="I558" s="35" t="s">
        <v>80</v>
      </c>
      <c r="J558" s="36">
        <v>101.8</v>
      </c>
      <c r="K558" s="36">
        <v>71.3</v>
      </c>
      <c r="L558" s="36">
        <f t="shared" si="2"/>
        <v>1</v>
      </c>
      <c r="M558" s="36" t="str">
        <f t="shared" si="3"/>
        <v>Regular Season</v>
      </c>
      <c r="N558" s="36" t="str">
        <f>IFERROR(VLOOKUP(I558,Mapped_Owner,2,0),"")</f>
        <v>Fellows</v>
      </c>
      <c r="O558" s="6">
        <f>VLOOKUP(D558,'Mapped Opponent'!$G$4:$H$22,2,0)</f>
        <v>8</v>
      </c>
      <c r="P558" s="6"/>
      <c r="Q558" s="6" t="str">
        <f t="shared" si="4"/>
        <v>Week 8</v>
      </c>
      <c r="R558" s="6" t="str">
        <f t="shared" si="5"/>
        <v>2013Week 8</v>
      </c>
      <c r="S558" s="6">
        <f>IFERROR(__xludf.DUMMYFUNCTION("rank(J558,FILTER(J:J,R:R=R558))"),2.0)</f>
        <v>2</v>
      </c>
      <c r="T558" s="6">
        <f t="shared" si="6"/>
        <v>10</v>
      </c>
      <c r="U558" s="6">
        <f t="shared" si="7"/>
        <v>2</v>
      </c>
      <c r="V558" s="42">
        <f>averageif(AllData!A:A,B558,AllData!R:R)/vlookup(B558,AllData!A:O,15,0)</f>
        <v>92.82051282</v>
      </c>
      <c r="W558" s="6"/>
    </row>
    <row r="559" ht="14.25" customHeight="1">
      <c r="A559" s="6" t="str">
        <f t="shared" si="1"/>
        <v>2013Rooney/Jackson8</v>
      </c>
      <c r="B559" s="6">
        <v>2013.0</v>
      </c>
      <c r="C559" s="6" t="s">
        <v>57</v>
      </c>
      <c r="D559" s="6" t="s">
        <v>145</v>
      </c>
      <c r="E559" s="34">
        <v>42098.0</v>
      </c>
      <c r="F559" s="6" t="s">
        <v>1965</v>
      </c>
      <c r="G559" s="6" t="s">
        <v>114</v>
      </c>
      <c r="H559" s="6" t="s">
        <v>1966</v>
      </c>
      <c r="I559" s="35" t="s">
        <v>85</v>
      </c>
      <c r="J559" s="36">
        <v>87.6</v>
      </c>
      <c r="K559" s="36">
        <v>100.6</v>
      </c>
      <c r="L559" s="36">
        <f t="shared" si="2"/>
        <v>0</v>
      </c>
      <c r="M559" s="36" t="str">
        <f t="shared" si="3"/>
        <v>Regular Season</v>
      </c>
      <c r="N559" s="36" t="str">
        <f>IFERROR(VLOOKUP(I559,Mapped_Owner,2,0),"")</f>
        <v>T-How</v>
      </c>
      <c r="O559" s="6">
        <f>VLOOKUP(D559,'Mapped Opponent'!$G$4:$H$22,2,0)</f>
        <v>8</v>
      </c>
      <c r="P559" s="6"/>
      <c r="Q559" s="6" t="str">
        <f t="shared" si="4"/>
        <v>Week 8</v>
      </c>
      <c r="R559" s="6" t="str">
        <f t="shared" si="5"/>
        <v>2013Week 8</v>
      </c>
      <c r="S559" s="6">
        <f>IFERROR(__xludf.DUMMYFUNCTION("rank(J559,FILTER(J:J,R:R=R559))"),9.0)</f>
        <v>9</v>
      </c>
      <c r="T559" s="6">
        <f t="shared" si="6"/>
        <v>3</v>
      </c>
      <c r="U559" s="6">
        <f t="shared" si="7"/>
        <v>9</v>
      </c>
      <c r="V559" s="42">
        <f>averageif(AllData!A:A,B559,AllData!R:R)/vlookup(B559,AllData!A:O,15,0)</f>
        <v>92.82051282</v>
      </c>
      <c r="W559" s="6"/>
    </row>
    <row r="560" ht="14.25" customHeight="1">
      <c r="A560" s="6" t="str">
        <f t="shared" si="1"/>
        <v>2013Buser8</v>
      </c>
      <c r="B560" s="6">
        <v>2013.0</v>
      </c>
      <c r="C560" s="6" t="s">
        <v>47</v>
      </c>
      <c r="D560" s="6" t="s">
        <v>145</v>
      </c>
      <c r="E560" s="34">
        <v>42127.0</v>
      </c>
      <c r="F560" s="6" t="s">
        <v>1967</v>
      </c>
      <c r="G560" s="6" t="s">
        <v>114</v>
      </c>
      <c r="H560" s="6" t="s">
        <v>1968</v>
      </c>
      <c r="I560" s="35" t="s">
        <v>132</v>
      </c>
      <c r="J560" s="36">
        <v>93.7</v>
      </c>
      <c r="K560" s="36">
        <v>90.2</v>
      </c>
      <c r="L560" s="36">
        <f t="shared" si="2"/>
        <v>1</v>
      </c>
      <c r="M560" s="36" t="str">
        <f t="shared" si="3"/>
        <v>Regular Season</v>
      </c>
      <c r="N560" s="36" t="str">
        <f>IFERROR(VLOOKUP(I560,Mapped_Owner,2,0),"")</f>
        <v>KnardDawg</v>
      </c>
      <c r="O560" s="6">
        <f>VLOOKUP(D560,'Mapped Opponent'!$G$4:$H$22,2,0)</f>
        <v>8</v>
      </c>
      <c r="P560" s="6"/>
      <c r="Q560" s="6" t="str">
        <f t="shared" si="4"/>
        <v>Week 8</v>
      </c>
      <c r="R560" s="6" t="str">
        <f t="shared" si="5"/>
        <v>2013Week 8</v>
      </c>
      <c r="S560" s="6">
        <f>IFERROR(__xludf.DUMMYFUNCTION("rank(J560,FILTER(J:J,R:R=R560))"),7.0)</f>
        <v>7</v>
      </c>
      <c r="T560" s="6">
        <f t="shared" si="6"/>
        <v>5</v>
      </c>
      <c r="U560" s="6">
        <f t="shared" si="7"/>
        <v>7</v>
      </c>
      <c r="V560" s="42">
        <f>averageif(AllData!A:A,B560,AllData!R:R)/vlookup(B560,AllData!A:O,15,0)</f>
        <v>92.82051282</v>
      </c>
      <c r="W560" s="6"/>
    </row>
    <row r="561" ht="14.25" customHeight="1">
      <c r="A561" s="6" t="str">
        <f t="shared" si="1"/>
        <v>2013Pierson8</v>
      </c>
      <c r="B561" s="6">
        <v>2013.0</v>
      </c>
      <c r="C561" s="6" t="s">
        <v>92</v>
      </c>
      <c r="D561" s="6" t="s">
        <v>145</v>
      </c>
      <c r="E561" s="34">
        <v>42068.0</v>
      </c>
      <c r="F561" s="6" t="s">
        <v>1969</v>
      </c>
      <c r="G561" s="6" t="s">
        <v>114</v>
      </c>
      <c r="H561" s="6" t="s">
        <v>1970</v>
      </c>
      <c r="I561" s="35" t="s">
        <v>54</v>
      </c>
      <c r="J561" s="36">
        <v>48.7</v>
      </c>
      <c r="K561" s="36">
        <v>110.6</v>
      </c>
      <c r="L561" s="36">
        <f t="shared" si="2"/>
        <v>0</v>
      </c>
      <c r="M561" s="36" t="str">
        <f t="shared" si="3"/>
        <v>Regular Season</v>
      </c>
      <c r="N561" s="36" t="str">
        <f>IFERROR(VLOOKUP(I561,Mapped_Owner,2,0),"")</f>
        <v>Tayski</v>
      </c>
      <c r="O561" s="6">
        <f>VLOOKUP(D561,'Mapped Opponent'!$G$4:$H$22,2,0)</f>
        <v>8</v>
      </c>
      <c r="P561" s="6"/>
      <c r="Q561" s="6" t="str">
        <f t="shared" si="4"/>
        <v>Week 8</v>
      </c>
      <c r="R561" s="6" t="str">
        <f t="shared" si="5"/>
        <v>2013Week 8</v>
      </c>
      <c r="S561" s="6">
        <f>IFERROR(__xludf.DUMMYFUNCTION("rank(J561,FILTER(J:J,R:R=R561))"),12.0)</f>
        <v>12</v>
      </c>
      <c r="T561" s="6">
        <f t="shared" si="6"/>
        <v>0</v>
      </c>
      <c r="U561" s="6">
        <f t="shared" si="7"/>
        <v>12</v>
      </c>
      <c r="V561" s="42">
        <f>averageif(AllData!A:A,B561,AllData!R:R)/vlookup(B561,AllData!A:O,15,0)</f>
        <v>92.82051282</v>
      </c>
      <c r="W561" s="6"/>
    </row>
    <row r="562" ht="14.25" customHeight="1">
      <c r="A562" s="6" t="str">
        <f t="shared" si="1"/>
        <v>2013Cock8</v>
      </c>
      <c r="B562" s="6">
        <v>2013.0</v>
      </c>
      <c r="C562" s="6" t="s">
        <v>72</v>
      </c>
      <c r="D562" s="6" t="s">
        <v>145</v>
      </c>
      <c r="E562" s="34">
        <v>42127.0</v>
      </c>
      <c r="F562" s="6" t="s">
        <v>1971</v>
      </c>
      <c r="G562" s="6" t="s">
        <v>114</v>
      </c>
      <c r="H562" s="6" t="s">
        <v>1972</v>
      </c>
      <c r="I562" s="35" t="s">
        <v>77</v>
      </c>
      <c r="J562" s="36">
        <v>94.1</v>
      </c>
      <c r="K562" s="36">
        <v>75.0</v>
      </c>
      <c r="L562" s="36">
        <f t="shared" si="2"/>
        <v>1</v>
      </c>
      <c r="M562" s="36" t="str">
        <f t="shared" si="3"/>
        <v>Regular Season</v>
      </c>
      <c r="N562" s="36" t="str">
        <f>IFERROR(VLOOKUP(I562,Mapped_Owner,2,0),"")</f>
        <v>Salty</v>
      </c>
      <c r="O562" s="6">
        <f>VLOOKUP(D562,'Mapped Opponent'!$G$4:$H$22,2,0)</f>
        <v>8</v>
      </c>
      <c r="P562" s="6"/>
      <c r="Q562" s="6" t="str">
        <f t="shared" si="4"/>
        <v>Week 8</v>
      </c>
      <c r="R562" s="6" t="str">
        <f t="shared" si="5"/>
        <v>2013Week 8</v>
      </c>
      <c r="S562" s="6">
        <f>IFERROR(__xludf.DUMMYFUNCTION("rank(J562,FILTER(J:J,R:R=R562))"),6.0)</f>
        <v>6</v>
      </c>
      <c r="T562" s="6">
        <f t="shared" si="6"/>
        <v>6</v>
      </c>
      <c r="U562" s="6">
        <f t="shared" si="7"/>
        <v>6</v>
      </c>
      <c r="V562" s="42">
        <f>averageif(AllData!A:A,B562,AllData!R:R)/vlookup(B562,AllData!A:O,15,0)</f>
        <v>92.82051282</v>
      </c>
      <c r="W562" s="6"/>
    </row>
    <row r="563" ht="14.25" customHeight="1">
      <c r="A563" s="6" t="str">
        <f t="shared" si="1"/>
        <v>2013Tayski8</v>
      </c>
      <c r="B563" s="6">
        <v>2013.0</v>
      </c>
      <c r="C563" s="6" t="s">
        <v>52</v>
      </c>
      <c r="D563" s="6" t="s">
        <v>145</v>
      </c>
      <c r="E563" s="34">
        <v>42127.0</v>
      </c>
      <c r="F563" s="6" t="s">
        <v>1973</v>
      </c>
      <c r="G563" s="6" t="s">
        <v>125</v>
      </c>
      <c r="H563" s="6" t="s">
        <v>1974</v>
      </c>
      <c r="I563" s="35" t="s">
        <v>93</v>
      </c>
      <c r="J563" s="36">
        <v>110.6</v>
      </c>
      <c r="K563" s="36">
        <v>48.7</v>
      </c>
      <c r="L563" s="36">
        <f t="shared" si="2"/>
        <v>1</v>
      </c>
      <c r="M563" s="36" t="str">
        <f t="shared" si="3"/>
        <v>Regular Season</v>
      </c>
      <c r="N563" s="36" t="str">
        <f>IFERROR(VLOOKUP(I563,Mapped_Owner,2,0),"")</f>
        <v>Pierson</v>
      </c>
      <c r="O563" s="6">
        <f>VLOOKUP(D563,'Mapped Opponent'!$G$4:$H$22,2,0)</f>
        <v>8</v>
      </c>
      <c r="P563" s="6"/>
      <c r="Q563" s="6" t="str">
        <f t="shared" si="4"/>
        <v>Week 8</v>
      </c>
      <c r="R563" s="6" t="str">
        <f t="shared" si="5"/>
        <v>2013Week 8</v>
      </c>
      <c r="S563" s="6">
        <f>IFERROR(__xludf.DUMMYFUNCTION("rank(J563,FILTER(J:J,R:R=R563))"),1.0)</f>
        <v>1</v>
      </c>
      <c r="T563" s="6">
        <f t="shared" si="6"/>
        <v>11</v>
      </c>
      <c r="U563" s="6">
        <f t="shared" si="7"/>
        <v>1</v>
      </c>
      <c r="V563" s="42">
        <f>averageif(AllData!A:A,B563,AllData!R:R)/vlookup(B563,AllData!A:O,15,0)</f>
        <v>92.82051282</v>
      </c>
      <c r="W563" s="6"/>
    </row>
    <row r="564" ht="14.25" customHeight="1">
      <c r="A564" s="6" t="str">
        <f t="shared" si="1"/>
        <v>2013KnardDawg8</v>
      </c>
      <c r="B564" s="6">
        <v>2013.0</v>
      </c>
      <c r="C564" s="6" t="s">
        <v>86</v>
      </c>
      <c r="D564" s="6" t="s">
        <v>145</v>
      </c>
      <c r="E564" s="34">
        <v>42068.0</v>
      </c>
      <c r="F564" s="6" t="s">
        <v>1975</v>
      </c>
      <c r="G564" s="6" t="s">
        <v>125</v>
      </c>
      <c r="H564" s="6" t="s">
        <v>1976</v>
      </c>
      <c r="I564" s="35" t="s">
        <v>50</v>
      </c>
      <c r="J564" s="36">
        <v>90.2</v>
      </c>
      <c r="K564" s="36">
        <v>93.7</v>
      </c>
      <c r="L564" s="36">
        <f t="shared" si="2"/>
        <v>0</v>
      </c>
      <c r="M564" s="36" t="str">
        <f t="shared" si="3"/>
        <v>Regular Season</v>
      </c>
      <c r="N564" s="36" t="str">
        <f>IFERROR(VLOOKUP(I564,Mapped_Owner,2,0),"")</f>
        <v>Buser</v>
      </c>
      <c r="O564" s="6">
        <f>VLOOKUP(D564,'Mapped Opponent'!$G$4:$H$22,2,0)</f>
        <v>8</v>
      </c>
      <c r="P564" s="6"/>
      <c r="Q564" s="6" t="str">
        <f t="shared" si="4"/>
        <v>Week 8</v>
      </c>
      <c r="R564" s="6" t="str">
        <f t="shared" si="5"/>
        <v>2013Week 8</v>
      </c>
      <c r="S564" s="6">
        <f>IFERROR(__xludf.DUMMYFUNCTION("rank(J564,FILTER(J:J,R:R=R564))"),8.0)</f>
        <v>8</v>
      </c>
      <c r="T564" s="6">
        <f t="shared" si="6"/>
        <v>4</v>
      </c>
      <c r="U564" s="6">
        <f t="shared" si="7"/>
        <v>8</v>
      </c>
      <c r="V564" s="42">
        <f>averageif(AllData!A:A,B564,AllData!R:R)/vlookup(B564,AllData!A:O,15,0)</f>
        <v>92.82051282</v>
      </c>
      <c r="W564" s="6"/>
    </row>
    <row r="565" ht="14.25" customHeight="1">
      <c r="A565" s="6" t="str">
        <f t="shared" si="1"/>
        <v>2013T-How8</v>
      </c>
      <c r="B565" s="6">
        <v>2013.0</v>
      </c>
      <c r="C565" s="6" t="s">
        <v>82</v>
      </c>
      <c r="D565" s="6" t="s">
        <v>145</v>
      </c>
      <c r="E565" s="34">
        <v>42127.0</v>
      </c>
      <c r="F565" s="6" t="s">
        <v>1977</v>
      </c>
      <c r="G565" s="6" t="s">
        <v>125</v>
      </c>
      <c r="H565" s="6" t="s">
        <v>1978</v>
      </c>
      <c r="I565" s="35" t="s">
        <v>58</v>
      </c>
      <c r="J565" s="36">
        <v>100.6</v>
      </c>
      <c r="K565" s="36">
        <v>87.6</v>
      </c>
      <c r="L565" s="36">
        <f t="shared" si="2"/>
        <v>1</v>
      </c>
      <c r="M565" s="36" t="str">
        <f t="shared" si="3"/>
        <v>Regular Season</v>
      </c>
      <c r="N565" s="36" t="str">
        <f>IFERROR(VLOOKUP(I565,Mapped_Owner,2,0),"")</f>
        <v>Rooney/Jackson</v>
      </c>
      <c r="O565" s="6">
        <f>VLOOKUP(D565,'Mapped Opponent'!$G$4:$H$22,2,0)</f>
        <v>8</v>
      </c>
      <c r="P565" s="6"/>
      <c r="Q565" s="6" t="str">
        <f t="shared" si="4"/>
        <v>Week 8</v>
      </c>
      <c r="R565" s="6" t="str">
        <f t="shared" si="5"/>
        <v>2013Week 8</v>
      </c>
      <c r="S565" s="6">
        <f>IFERROR(__xludf.DUMMYFUNCTION("rank(J565,FILTER(J:J,R:R=R565))"),3.0)</f>
        <v>3</v>
      </c>
      <c r="T565" s="6">
        <f t="shared" si="6"/>
        <v>9</v>
      </c>
      <c r="U565" s="6">
        <f t="shared" si="7"/>
        <v>3</v>
      </c>
      <c r="V565" s="42">
        <f>averageif(AllData!A:A,B565,AllData!R:R)/vlookup(B565,AllData!A:O,15,0)</f>
        <v>92.82051282</v>
      </c>
      <c r="W565" s="6"/>
    </row>
    <row r="566" ht="14.25" customHeight="1">
      <c r="A566" s="6" t="str">
        <f t="shared" si="1"/>
        <v>2013Hudspeath9</v>
      </c>
      <c r="B566" s="6">
        <v>2013.0</v>
      </c>
      <c r="C566" s="6" t="s">
        <v>39</v>
      </c>
      <c r="D566" s="6" t="s">
        <v>147</v>
      </c>
      <c r="E566" s="34">
        <v>42158.0</v>
      </c>
      <c r="F566" s="6" t="s">
        <v>1979</v>
      </c>
      <c r="G566" s="6" t="s">
        <v>114</v>
      </c>
      <c r="H566" s="6" t="s">
        <v>1980</v>
      </c>
      <c r="I566" s="35" t="s">
        <v>58</v>
      </c>
      <c r="J566" s="36">
        <v>97.7</v>
      </c>
      <c r="K566" s="36">
        <v>66.9</v>
      </c>
      <c r="L566" s="36">
        <f t="shared" si="2"/>
        <v>1</v>
      </c>
      <c r="M566" s="36" t="str">
        <f t="shared" si="3"/>
        <v>Regular Season</v>
      </c>
      <c r="N566" s="36" t="str">
        <f>IFERROR(VLOOKUP(I566,Mapped_Owner,2,0),"")</f>
        <v>Rooney/Jackson</v>
      </c>
      <c r="O566" s="6">
        <f>VLOOKUP(D566,'Mapped Opponent'!$G$4:$H$22,2,0)</f>
        <v>9</v>
      </c>
      <c r="P566" s="6"/>
      <c r="Q566" s="6" t="str">
        <f t="shared" si="4"/>
        <v>Week 9</v>
      </c>
      <c r="R566" s="6" t="str">
        <f t="shared" si="5"/>
        <v>2013Week 9</v>
      </c>
      <c r="S566" s="6">
        <f>IFERROR(__xludf.DUMMYFUNCTION("rank(J566,FILTER(J:J,R:R=R566))"),7.0)</f>
        <v>7</v>
      </c>
      <c r="T566" s="6">
        <f t="shared" si="6"/>
        <v>5</v>
      </c>
      <c r="U566" s="6">
        <f t="shared" si="7"/>
        <v>7</v>
      </c>
      <c r="V566" s="42">
        <f>averageif(AllData!A:A,B566,AllData!R:R)/vlookup(B566,AllData!A:O,15,0)</f>
        <v>92.82051282</v>
      </c>
      <c r="W566" s="6"/>
    </row>
    <row r="567" ht="14.25" customHeight="1">
      <c r="A567" s="6" t="str">
        <f t="shared" si="1"/>
        <v>2013Salty9</v>
      </c>
      <c r="B567" s="6">
        <v>2013.0</v>
      </c>
      <c r="C567" s="6" t="s">
        <v>76</v>
      </c>
      <c r="D567" s="6" t="s">
        <v>147</v>
      </c>
      <c r="E567" s="34">
        <v>42099.0</v>
      </c>
      <c r="F567" s="6" t="s">
        <v>1981</v>
      </c>
      <c r="G567" s="6" t="s">
        <v>114</v>
      </c>
      <c r="H567" s="6" t="s">
        <v>1982</v>
      </c>
      <c r="I567" s="35" t="s">
        <v>54</v>
      </c>
      <c r="J567" s="36">
        <v>115.3</v>
      </c>
      <c r="K567" s="36">
        <v>88.5</v>
      </c>
      <c r="L567" s="36">
        <f t="shared" si="2"/>
        <v>1</v>
      </c>
      <c r="M567" s="36" t="str">
        <f t="shared" si="3"/>
        <v>Regular Season</v>
      </c>
      <c r="N567" s="36" t="str">
        <f>IFERROR(VLOOKUP(I567,Mapped_Owner,2,0),"")</f>
        <v>Tayski</v>
      </c>
      <c r="O567" s="6">
        <f>VLOOKUP(D567,'Mapped Opponent'!$G$4:$H$22,2,0)</f>
        <v>9</v>
      </c>
      <c r="P567" s="6"/>
      <c r="Q567" s="6" t="str">
        <f t="shared" si="4"/>
        <v>Week 9</v>
      </c>
      <c r="R567" s="6" t="str">
        <f t="shared" si="5"/>
        <v>2013Week 9</v>
      </c>
      <c r="S567" s="6">
        <f>IFERROR(__xludf.DUMMYFUNCTION("rank(J567,FILTER(J:J,R:R=R567))"),3.0)</f>
        <v>3</v>
      </c>
      <c r="T567" s="6">
        <f t="shared" si="6"/>
        <v>9</v>
      </c>
      <c r="U567" s="6">
        <f t="shared" si="7"/>
        <v>3</v>
      </c>
      <c r="V567" s="42">
        <f>averageif(AllData!A:A,B567,AllData!R:R)/vlookup(B567,AllData!A:O,15,0)</f>
        <v>92.82051282</v>
      </c>
      <c r="W567" s="6"/>
    </row>
    <row r="568" ht="14.25" customHeight="1">
      <c r="A568" s="6" t="str">
        <f t="shared" si="1"/>
        <v>2013Fellows9</v>
      </c>
      <c r="B568" s="6">
        <v>2013.0</v>
      </c>
      <c r="C568" s="6" t="s">
        <v>79</v>
      </c>
      <c r="D568" s="6" t="s">
        <v>147</v>
      </c>
      <c r="E568" s="34">
        <v>42099.0</v>
      </c>
      <c r="F568" s="6" t="s">
        <v>1983</v>
      </c>
      <c r="G568" s="6" t="s">
        <v>114</v>
      </c>
      <c r="H568" s="6" t="s">
        <v>1984</v>
      </c>
      <c r="I568" s="35" t="s">
        <v>50</v>
      </c>
      <c r="J568" s="36">
        <v>163.4</v>
      </c>
      <c r="K568" s="36">
        <v>106.9</v>
      </c>
      <c r="L568" s="36">
        <f t="shared" si="2"/>
        <v>1</v>
      </c>
      <c r="M568" s="36" t="str">
        <f t="shared" si="3"/>
        <v>Regular Season</v>
      </c>
      <c r="N568" s="36" t="str">
        <f>IFERROR(VLOOKUP(I568,Mapped_Owner,2,0),"")</f>
        <v>Buser</v>
      </c>
      <c r="O568" s="6">
        <f>VLOOKUP(D568,'Mapped Opponent'!$G$4:$H$22,2,0)</f>
        <v>9</v>
      </c>
      <c r="P568" s="6"/>
      <c r="Q568" s="6" t="str">
        <f t="shared" si="4"/>
        <v>Week 9</v>
      </c>
      <c r="R568" s="6" t="str">
        <f t="shared" si="5"/>
        <v>2013Week 9</v>
      </c>
      <c r="S568" s="6">
        <f>IFERROR(__xludf.DUMMYFUNCTION("rank(J568,FILTER(J:J,R:R=R568))"),1.0)</f>
        <v>1</v>
      </c>
      <c r="T568" s="6">
        <f t="shared" si="6"/>
        <v>11</v>
      </c>
      <c r="U568" s="6">
        <f t="shared" si="7"/>
        <v>1</v>
      </c>
      <c r="V568" s="42">
        <f>averageif(AllData!A:A,B568,AllData!R:R)/vlookup(B568,AllData!A:O,15,0)</f>
        <v>92.82051282</v>
      </c>
      <c r="W568" s="6"/>
    </row>
    <row r="569" ht="14.25" customHeight="1">
      <c r="A569" s="6" t="str">
        <f t="shared" si="1"/>
        <v>2013Shep9</v>
      </c>
      <c r="B569" s="6">
        <v>2013.0</v>
      </c>
      <c r="C569" s="6" t="s">
        <v>89</v>
      </c>
      <c r="D569" s="6" t="s">
        <v>147</v>
      </c>
      <c r="E569" s="34">
        <v>42069.0</v>
      </c>
      <c r="F569" s="6" t="s">
        <v>1985</v>
      </c>
      <c r="G569" s="6" t="s">
        <v>114</v>
      </c>
      <c r="H569" s="6" t="s">
        <v>1986</v>
      </c>
      <c r="I569" s="35" t="s">
        <v>68</v>
      </c>
      <c r="J569" s="36">
        <v>66.4</v>
      </c>
      <c r="K569" s="36">
        <v>117.1</v>
      </c>
      <c r="L569" s="36">
        <f t="shared" si="2"/>
        <v>0</v>
      </c>
      <c r="M569" s="36" t="str">
        <f t="shared" si="3"/>
        <v>Regular Season</v>
      </c>
      <c r="N569" s="36" t="str">
        <f>IFERROR(VLOOKUP(I569,Mapped_Owner,2,0),"")</f>
        <v>Riley</v>
      </c>
      <c r="O569" s="6">
        <f>VLOOKUP(D569,'Mapped Opponent'!$G$4:$H$22,2,0)</f>
        <v>9</v>
      </c>
      <c r="P569" s="6"/>
      <c r="Q569" s="6" t="str">
        <f t="shared" si="4"/>
        <v>Week 9</v>
      </c>
      <c r="R569" s="6" t="str">
        <f t="shared" si="5"/>
        <v>2013Week 9</v>
      </c>
      <c r="S569" s="6">
        <f>IFERROR(__xludf.DUMMYFUNCTION("rank(J569,FILTER(J:J,R:R=R569))"),11.0)</f>
        <v>11</v>
      </c>
      <c r="T569" s="6">
        <f t="shared" si="6"/>
        <v>1</v>
      </c>
      <c r="U569" s="6">
        <f t="shared" si="7"/>
        <v>11</v>
      </c>
      <c r="V569" s="42">
        <f>averageif(AllData!A:A,B569,AllData!R:R)/vlookup(B569,AllData!A:O,15,0)</f>
        <v>92.82051282</v>
      </c>
      <c r="W569" s="6"/>
    </row>
    <row r="570" ht="14.25" customHeight="1">
      <c r="A570" s="6" t="str">
        <f t="shared" si="1"/>
        <v>2013Riley9</v>
      </c>
      <c r="B570" s="6">
        <v>2013.0</v>
      </c>
      <c r="C570" s="6" t="s">
        <v>67</v>
      </c>
      <c r="D570" s="6" t="s">
        <v>147</v>
      </c>
      <c r="E570" s="34">
        <v>42128.0</v>
      </c>
      <c r="F570" s="6" t="s">
        <v>1987</v>
      </c>
      <c r="G570" s="6" t="s">
        <v>125</v>
      </c>
      <c r="H570" s="6" t="s">
        <v>1988</v>
      </c>
      <c r="I570" s="35" t="s">
        <v>91</v>
      </c>
      <c r="J570" s="36">
        <v>117.1</v>
      </c>
      <c r="K570" s="36">
        <v>66.4</v>
      </c>
      <c r="L570" s="36">
        <f t="shared" si="2"/>
        <v>1</v>
      </c>
      <c r="M570" s="36" t="str">
        <f t="shared" si="3"/>
        <v>Regular Season</v>
      </c>
      <c r="N570" s="36" t="str">
        <f>IFERROR(VLOOKUP(I570,Mapped_Owner,2,0),"")</f>
        <v>Shep</v>
      </c>
      <c r="O570" s="6">
        <f>VLOOKUP(D570,'Mapped Opponent'!$G$4:$H$22,2,0)</f>
        <v>9</v>
      </c>
      <c r="P570" s="6"/>
      <c r="Q570" s="6" t="str">
        <f t="shared" si="4"/>
        <v>Week 9</v>
      </c>
      <c r="R570" s="6" t="str">
        <f t="shared" si="5"/>
        <v>2013Week 9</v>
      </c>
      <c r="S570" s="6">
        <f>IFERROR(__xludf.DUMMYFUNCTION("rank(J570,FILTER(J:J,R:R=R570))"),2.0)</f>
        <v>2</v>
      </c>
      <c r="T570" s="6">
        <f t="shared" si="6"/>
        <v>10</v>
      </c>
      <c r="U570" s="6">
        <f t="shared" si="7"/>
        <v>2</v>
      </c>
      <c r="V570" s="42">
        <f>averageif(AllData!A:A,B570,AllData!R:R)/vlookup(B570,AllData!A:O,15,0)</f>
        <v>92.82051282</v>
      </c>
      <c r="W570" s="6"/>
    </row>
    <row r="571" ht="14.25" customHeight="1">
      <c r="A571" s="6" t="str">
        <f t="shared" si="1"/>
        <v>2013Rooney/Jackson9</v>
      </c>
      <c r="B571" s="6">
        <v>2013.0</v>
      </c>
      <c r="C571" s="6" t="s">
        <v>57</v>
      </c>
      <c r="D571" s="6" t="s">
        <v>147</v>
      </c>
      <c r="E571" s="34">
        <v>42099.0</v>
      </c>
      <c r="F571" s="6" t="s">
        <v>1989</v>
      </c>
      <c r="G571" s="6" t="s">
        <v>125</v>
      </c>
      <c r="H571" s="6" t="s">
        <v>1990</v>
      </c>
      <c r="I571" s="35" t="s">
        <v>64</v>
      </c>
      <c r="J571" s="36">
        <v>66.9</v>
      </c>
      <c r="K571" s="36">
        <v>97.7</v>
      </c>
      <c r="L571" s="36">
        <f t="shared" si="2"/>
        <v>0</v>
      </c>
      <c r="M571" s="36" t="str">
        <f t="shared" si="3"/>
        <v>Regular Season</v>
      </c>
      <c r="N571" s="36" t="str">
        <f>IFERROR(VLOOKUP(I571,Mapped_Owner,2,0),"")</f>
        <v>Hudspeath</v>
      </c>
      <c r="O571" s="6">
        <f>VLOOKUP(D571,'Mapped Opponent'!$G$4:$H$22,2,0)</f>
        <v>9</v>
      </c>
      <c r="P571" s="6"/>
      <c r="Q571" s="6" t="str">
        <f t="shared" si="4"/>
        <v>Week 9</v>
      </c>
      <c r="R571" s="6" t="str">
        <f t="shared" si="5"/>
        <v>2013Week 9</v>
      </c>
      <c r="S571" s="6">
        <f>IFERROR(__xludf.DUMMYFUNCTION("rank(J571,FILTER(J:J,R:R=R571))"),10.0)</f>
        <v>10</v>
      </c>
      <c r="T571" s="6">
        <f t="shared" si="6"/>
        <v>2</v>
      </c>
      <c r="U571" s="6">
        <f t="shared" si="7"/>
        <v>10</v>
      </c>
      <c r="V571" s="42">
        <f>averageif(AllData!A:A,B571,AllData!R:R)/vlookup(B571,AllData!A:O,15,0)</f>
        <v>92.82051282</v>
      </c>
      <c r="W571" s="6"/>
    </row>
    <row r="572" ht="14.25" customHeight="1">
      <c r="A572" s="6" t="str">
        <f t="shared" si="1"/>
        <v>2013Buser9</v>
      </c>
      <c r="B572" s="6">
        <v>2013.0</v>
      </c>
      <c r="C572" s="6" t="s">
        <v>47</v>
      </c>
      <c r="D572" s="6" t="s">
        <v>147</v>
      </c>
      <c r="E572" s="34">
        <v>42128.0</v>
      </c>
      <c r="F572" s="6" t="s">
        <v>1991</v>
      </c>
      <c r="G572" s="6" t="s">
        <v>125</v>
      </c>
      <c r="H572" s="6" t="s">
        <v>1992</v>
      </c>
      <c r="I572" s="35" t="s">
        <v>80</v>
      </c>
      <c r="J572" s="36">
        <v>106.9</v>
      </c>
      <c r="K572" s="36">
        <v>163.4</v>
      </c>
      <c r="L572" s="36">
        <f t="shared" si="2"/>
        <v>0</v>
      </c>
      <c r="M572" s="36" t="str">
        <f t="shared" si="3"/>
        <v>Regular Season</v>
      </c>
      <c r="N572" s="36" t="str">
        <f>IFERROR(VLOOKUP(I572,Mapped_Owner,2,0),"")</f>
        <v>Fellows</v>
      </c>
      <c r="O572" s="6">
        <f>VLOOKUP(D572,'Mapped Opponent'!$G$4:$H$22,2,0)</f>
        <v>9</v>
      </c>
      <c r="P572" s="6"/>
      <c r="Q572" s="6" t="str">
        <f t="shared" si="4"/>
        <v>Week 9</v>
      </c>
      <c r="R572" s="6" t="str">
        <f t="shared" si="5"/>
        <v>2013Week 9</v>
      </c>
      <c r="S572" s="6">
        <f>IFERROR(__xludf.DUMMYFUNCTION("rank(J572,FILTER(J:J,R:R=R572))"),5.0)</f>
        <v>5</v>
      </c>
      <c r="T572" s="6">
        <f t="shared" si="6"/>
        <v>7</v>
      </c>
      <c r="U572" s="6">
        <f t="shared" si="7"/>
        <v>5</v>
      </c>
      <c r="V572" s="42">
        <f>averageif(AllData!A:A,B572,AllData!R:R)/vlookup(B572,AllData!A:O,15,0)</f>
        <v>92.82051282</v>
      </c>
      <c r="W572" s="6"/>
    </row>
    <row r="573" ht="14.25" customHeight="1">
      <c r="A573" s="6" t="str">
        <f t="shared" si="1"/>
        <v>2013Pierson9</v>
      </c>
      <c r="B573" s="6">
        <v>2013.0</v>
      </c>
      <c r="C573" s="6" t="s">
        <v>92</v>
      </c>
      <c r="D573" s="6" t="s">
        <v>147</v>
      </c>
      <c r="E573" s="34">
        <v>42069.0</v>
      </c>
      <c r="F573" s="6" t="s">
        <v>1993</v>
      </c>
      <c r="G573" s="6" t="s">
        <v>125</v>
      </c>
      <c r="H573" s="6" t="s">
        <v>1994</v>
      </c>
      <c r="I573" s="35" t="s">
        <v>85</v>
      </c>
      <c r="J573" s="36">
        <v>103.1</v>
      </c>
      <c r="K573" s="36">
        <v>111.1</v>
      </c>
      <c r="L573" s="36">
        <f t="shared" si="2"/>
        <v>0</v>
      </c>
      <c r="M573" s="36" t="str">
        <f t="shared" si="3"/>
        <v>Regular Season</v>
      </c>
      <c r="N573" s="36" t="str">
        <f>IFERROR(VLOOKUP(I573,Mapped_Owner,2,0),"")</f>
        <v>T-How</v>
      </c>
      <c r="O573" s="6">
        <f>VLOOKUP(D573,'Mapped Opponent'!$G$4:$H$22,2,0)</f>
        <v>9</v>
      </c>
      <c r="P573" s="6"/>
      <c r="Q573" s="6" t="str">
        <f t="shared" si="4"/>
        <v>Week 9</v>
      </c>
      <c r="R573" s="6" t="str">
        <f t="shared" si="5"/>
        <v>2013Week 9</v>
      </c>
      <c r="S573" s="6">
        <f>IFERROR(__xludf.DUMMYFUNCTION("rank(J573,FILTER(J:J,R:R=R573))"),6.0)</f>
        <v>6</v>
      </c>
      <c r="T573" s="6">
        <f t="shared" si="6"/>
        <v>6</v>
      </c>
      <c r="U573" s="6">
        <f t="shared" si="7"/>
        <v>6</v>
      </c>
      <c r="V573" s="42">
        <f>averageif(AllData!A:A,B573,AllData!R:R)/vlookup(B573,AllData!A:O,15,0)</f>
        <v>92.82051282</v>
      </c>
      <c r="W573" s="6"/>
    </row>
    <row r="574" ht="14.25" customHeight="1">
      <c r="A574" s="6" t="str">
        <f t="shared" si="1"/>
        <v>2013Cock9</v>
      </c>
      <c r="B574" s="6">
        <v>2013.0</v>
      </c>
      <c r="C574" s="6" t="s">
        <v>72</v>
      </c>
      <c r="D574" s="6" t="s">
        <v>147</v>
      </c>
      <c r="E574" s="34">
        <v>42128.0</v>
      </c>
      <c r="F574" s="6" t="s">
        <v>1995</v>
      </c>
      <c r="G574" s="6" t="s">
        <v>125</v>
      </c>
      <c r="H574" s="6" t="s">
        <v>1996</v>
      </c>
      <c r="I574" s="35" t="s">
        <v>132</v>
      </c>
      <c r="J574" s="36">
        <v>59.5</v>
      </c>
      <c r="K574" s="36">
        <v>80.9</v>
      </c>
      <c r="L574" s="36">
        <f t="shared" si="2"/>
        <v>0</v>
      </c>
      <c r="M574" s="36" t="str">
        <f t="shared" si="3"/>
        <v>Regular Season</v>
      </c>
      <c r="N574" s="36" t="str">
        <f>IFERROR(VLOOKUP(I574,Mapped_Owner,2,0),"")</f>
        <v>KnardDawg</v>
      </c>
      <c r="O574" s="6">
        <f>VLOOKUP(D574,'Mapped Opponent'!$G$4:$H$22,2,0)</f>
        <v>9</v>
      </c>
      <c r="P574" s="6"/>
      <c r="Q574" s="6" t="str">
        <f t="shared" si="4"/>
        <v>Week 9</v>
      </c>
      <c r="R574" s="6" t="str">
        <f t="shared" si="5"/>
        <v>2013Week 9</v>
      </c>
      <c r="S574" s="6">
        <f>IFERROR(__xludf.DUMMYFUNCTION("rank(J574,FILTER(J:J,R:R=R574))"),12.0)</f>
        <v>12</v>
      </c>
      <c r="T574" s="6">
        <f t="shared" si="6"/>
        <v>0</v>
      </c>
      <c r="U574" s="6">
        <f t="shared" si="7"/>
        <v>12</v>
      </c>
      <c r="V574" s="42">
        <f>averageif(AllData!A:A,B574,AllData!R:R)/vlookup(B574,AllData!A:O,15,0)</f>
        <v>92.82051282</v>
      </c>
      <c r="W574" s="6"/>
    </row>
    <row r="575" ht="14.25" customHeight="1">
      <c r="A575" s="6" t="str">
        <f t="shared" si="1"/>
        <v>2013Tayski9</v>
      </c>
      <c r="B575" s="6">
        <v>2013.0</v>
      </c>
      <c r="C575" s="6" t="s">
        <v>52</v>
      </c>
      <c r="D575" s="6" t="s">
        <v>147</v>
      </c>
      <c r="E575" s="34">
        <v>42128.0</v>
      </c>
      <c r="F575" s="6" t="s">
        <v>1997</v>
      </c>
      <c r="G575" s="6" t="s">
        <v>125</v>
      </c>
      <c r="H575" s="6" t="s">
        <v>1998</v>
      </c>
      <c r="I575" s="35" t="s">
        <v>77</v>
      </c>
      <c r="J575" s="36">
        <v>88.5</v>
      </c>
      <c r="K575" s="36">
        <v>115.3</v>
      </c>
      <c r="L575" s="36">
        <f t="shared" si="2"/>
        <v>0</v>
      </c>
      <c r="M575" s="36" t="str">
        <f t="shared" si="3"/>
        <v>Regular Season</v>
      </c>
      <c r="N575" s="36" t="str">
        <f>IFERROR(VLOOKUP(I575,Mapped_Owner,2,0),"")</f>
        <v>Salty</v>
      </c>
      <c r="O575" s="6">
        <f>VLOOKUP(D575,'Mapped Opponent'!$G$4:$H$22,2,0)</f>
        <v>9</v>
      </c>
      <c r="P575" s="6"/>
      <c r="Q575" s="6" t="str">
        <f t="shared" si="4"/>
        <v>Week 9</v>
      </c>
      <c r="R575" s="6" t="str">
        <f t="shared" si="5"/>
        <v>2013Week 9</v>
      </c>
      <c r="S575" s="6">
        <f>IFERROR(__xludf.DUMMYFUNCTION("rank(J575,FILTER(J:J,R:R=R575))"),8.0)</f>
        <v>8</v>
      </c>
      <c r="T575" s="6">
        <f t="shared" si="6"/>
        <v>4</v>
      </c>
      <c r="U575" s="6">
        <f t="shared" si="7"/>
        <v>8</v>
      </c>
      <c r="V575" s="42">
        <f>averageif(AllData!A:A,B575,AllData!R:R)/vlookup(B575,AllData!A:O,15,0)</f>
        <v>92.82051282</v>
      </c>
      <c r="W575" s="6"/>
    </row>
    <row r="576" ht="14.25" customHeight="1">
      <c r="A576" s="6" t="str">
        <f t="shared" si="1"/>
        <v>2013KnardDawg9</v>
      </c>
      <c r="B576" s="6">
        <v>2013.0</v>
      </c>
      <c r="C576" s="6" t="s">
        <v>86</v>
      </c>
      <c r="D576" s="6" t="s">
        <v>147</v>
      </c>
      <c r="E576" s="34">
        <v>42099.0</v>
      </c>
      <c r="F576" s="6" t="s">
        <v>1999</v>
      </c>
      <c r="G576" s="6" t="s">
        <v>114</v>
      </c>
      <c r="H576" s="6" t="s">
        <v>2000</v>
      </c>
      <c r="I576" s="35" t="s">
        <v>99</v>
      </c>
      <c r="J576" s="36">
        <v>80.9</v>
      </c>
      <c r="K576" s="36">
        <v>59.5</v>
      </c>
      <c r="L576" s="36">
        <f t="shared" si="2"/>
        <v>1</v>
      </c>
      <c r="M576" s="36" t="str">
        <f t="shared" si="3"/>
        <v>Regular Season</v>
      </c>
      <c r="N576" s="36" t="str">
        <f>IFERROR(VLOOKUP(I576,Mapped_Owner,2,0),"")</f>
        <v>Cock</v>
      </c>
      <c r="O576" s="6">
        <f>VLOOKUP(D576,'Mapped Opponent'!$G$4:$H$22,2,0)</f>
        <v>9</v>
      </c>
      <c r="P576" s="6"/>
      <c r="Q576" s="6" t="str">
        <f t="shared" si="4"/>
        <v>Week 9</v>
      </c>
      <c r="R576" s="6" t="str">
        <f t="shared" si="5"/>
        <v>2013Week 9</v>
      </c>
      <c r="S576" s="6">
        <f>IFERROR(__xludf.DUMMYFUNCTION("rank(J576,FILTER(J:J,R:R=R576))"),9.0)</f>
        <v>9</v>
      </c>
      <c r="T576" s="6">
        <f t="shared" si="6"/>
        <v>3</v>
      </c>
      <c r="U576" s="6">
        <f t="shared" si="7"/>
        <v>9</v>
      </c>
      <c r="V576" s="42">
        <f>averageif(AllData!A:A,B576,AllData!R:R)/vlookup(B576,AllData!A:O,15,0)</f>
        <v>92.82051282</v>
      </c>
      <c r="W576" s="6"/>
    </row>
    <row r="577" ht="14.25" customHeight="1">
      <c r="A577" s="6" t="str">
        <f t="shared" si="1"/>
        <v>2013T-How9</v>
      </c>
      <c r="B577" s="6">
        <v>2013.0</v>
      </c>
      <c r="C577" s="6" t="s">
        <v>82</v>
      </c>
      <c r="D577" s="6" t="s">
        <v>147</v>
      </c>
      <c r="E577" s="34">
        <v>42158.0</v>
      </c>
      <c r="F577" s="6" t="s">
        <v>2001</v>
      </c>
      <c r="G577" s="6" t="s">
        <v>114</v>
      </c>
      <c r="H577" s="6" t="s">
        <v>2002</v>
      </c>
      <c r="I577" s="35" t="s">
        <v>93</v>
      </c>
      <c r="J577" s="36">
        <v>111.1</v>
      </c>
      <c r="K577" s="36">
        <v>103.1</v>
      </c>
      <c r="L577" s="36">
        <f t="shared" si="2"/>
        <v>1</v>
      </c>
      <c r="M577" s="36" t="str">
        <f t="shared" si="3"/>
        <v>Regular Season</v>
      </c>
      <c r="N577" s="36" t="str">
        <f>IFERROR(VLOOKUP(I577,Mapped_Owner,2,0),"")</f>
        <v>Pierson</v>
      </c>
      <c r="O577" s="6">
        <f>VLOOKUP(D577,'Mapped Opponent'!$G$4:$H$22,2,0)</f>
        <v>9</v>
      </c>
      <c r="P577" s="6"/>
      <c r="Q577" s="6" t="str">
        <f t="shared" si="4"/>
        <v>Week 9</v>
      </c>
      <c r="R577" s="6" t="str">
        <f t="shared" si="5"/>
        <v>2013Week 9</v>
      </c>
      <c r="S577" s="6">
        <f>IFERROR(__xludf.DUMMYFUNCTION("rank(J577,FILTER(J:J,R:R=R577))"),4.0)</f>
        <v>4</v>
      </c>
      <c r="T577" s="6">
        <f t="shared" si="6"/>
        <v>8</v>
      </c>
      <c r="U577" s="6">
        <f t="shared" si="7"/>
        <v>4</v>
      </c>
      <c r="V577" s="42">
        <f>averageif(AllData!A:A,B577,AllData!R:R)/vlookup(B577,AllData!A:O,15,0)</f>
        <v>92.82051282</v>
      </c>
      <c r="W577" s="6"/>
    </row>
    <row r="578" ht="14.25" customHeight="1">
      <c r="A578" s="6" t="str">
        <f t="shared" si="1"/>
        <v>2014Hudspeath15</v>
      </c>
      <c r="B578" s="6">
        <v>2014.0</v>
      </c>
      <c r="C578" s="6" t="s">
        <v>39</v>
      </c>
      <c r="D578" s="6" t="s">
        <v>112</v>
      </c>
      <c r="E578" s="34">
        <v>42310.0</v>
      </c>
      <c r="F578" s="6" t="s">
        <v>2003</v>
      </c>
      <c r="G578" s="6" t="s">
        <v>125</v>
      </c>
      <c r="H578" s="6" t="s">
        <v>155</v>
      </c>
      <c r="I578" s="35" t="s">
        <v>125</v>
      </c>
      <c r="J578" s="52">
        <v>0.0</v>
      </c>
      <c r="K578" s="52">
        <v>0.0</v>
      </c>
      <c r="L578" s="36">
        <f t="shared" si="2"/>
        <v>0</v>
      </c>
      <c r="M578" s="36" t="str">
        <f t="shared" si="3"/>
        <v>Playoffs</v>
      </c>
      <c r="N578" s="36" t="str">
        <f>IFERROR(VLOOKUP(I578,Mapped_Owner,2,0),"")</f>
        <v>BYE</v>
      </c>
      <c r="O578" s="6">
        <f>VLOOKUP(D578,'Mapped Opponent'!$G$4:$H$22,2,0)</f>
        <v>15</v>
      </c>
      <c r="P578" s="6"/>
      <c r="Q578" s="6" t="str">
        <f t="shared" si="4"/>
        <v>Week 15</v>
      </c>
      <c r="R578" s="6" t="str">
        <f t="shared" si="5"/>
        <v>2014Round 1</v>
      </c>
      <c r="S578" s="6">
        <f>IFERROR(__xludf.DUMMYFUNCTION("rank(J578,FILTER(J:J,R:R=R578))"),11.0)</f>
        <v>11</v>
      </c>
      <c r="T578" s="6">
        <f t="shared" si="6"/>
        <v>1</v>
      </c>
      <c r="U578" s="6">
        <f t="shared" si="7"/>
        <v>11</v>
      </c>
      <c r="V578" s="42">
        <f>averageif(AllData!A:A,B578,AllData!R:R)/vlookup(B578,AllData!A:O,15,0)</f>
        <v>94.87820513</v>
      </c>
      <c r="W578" s="6"/>
    </row>
    <row r="579" ht="14.25" customHeight="1">
      <c r="A579" s="6" t="str">
        <f t="shared" si="1"/>
        <v>2014Salty15</v>
      </c>
      <c r="B579" s="6">
        <v>2014.0</v>
      </c>
      <c r="C579" s="6" t="s">
        <v>76</v>
      </c>
      <c r="D579" s="6" t="s">
        <v>112</v>
      </c>
      <c r="E579" s="34">
        <v>42163.0</v>
      </c>
      <c r="F579" s="6" t="s">
        <v>2004</v>
      </c>
      <c r="G579" s="6" t="s">
        <v>125</v>
      </c>
      <c r="H579" s="6" t="s">
        <v>2005</v>
      </c>
      <c r="I579" s="35" t="s">
        <v>58</v>
      </c>
      <c r="J579" s="36">
        <v>71.8</v>
      </c>
      <c r="K579" s="36">
        <v>79.2</v>
      </c>
      <c r="L579" s="36">
        <f t="shared" si="2"/>
        <v>0</v>
      </c>
      <c r="M579" s="36" t="str">
        <f t="shared" si="3"/>
        <v>Playoffs</v>
      </c>
      <c r="N579" s="36" t="str">
        <f>IFERROR(VLOOKUP(I579,Mapped_Owner,2,0),"")</f>
        <v>Rooney/Jackson</v>
      </c>
      <c r="O579" s="6">
        <f>VLOOKUP(D579,'Mapped Opponent'!$G$4:$H$22,2,0)</f>
        <v>15</v>
      </c>
      <c r="P579" s="6"/>
      <c r="Q579" s="6" t="str">
        <f t="shared" si="4"/>
        <v>Week 15</v>
      </c>
      <c r="R579" s="6" t="str">
        <f t="shared" si="5"/>
        <v>2014Round 1</v>
      </c>
      <c r="S579" s="6">
        <f>IFERROR(__xludf.DUMMYFUNCTION("rank(J579,FILTER(J:J,R:R=R579))"),10.0)</f>
        <v>10</v>
      </c>
      <c r="T579" s="6">
        <f t="shared" si="6"/>
        <v>2</v>
      </c>
      <c r="U579" s="6">
        <f t="shared" si="7"/>
        <v>10</v>
      </c>
      <c r="V579" s="42">
        <f>averageif(AllData!A:A,B579,AllData!R:R)/vlookup(B579,AllData!A:O,15,0)</f>
        <v>94.87820513</v>
      </c>
      <c r="W579" s="6"/>
    </row>
    <row r="580" ht="14.25" customHeight="1">
      <c r="A580" s="6" t="str">
        <f t="shared" si="1"/>
        <v>2014Fellows15</v>
      </c>
      <c r="B580" s="6">
        <v>2014.0</v>
      </c>
      <c r="C580" s="6" t="s">
        <v>79</v>
      </c>
      <c r="D580" s="6" t="s">
        <v>112</v>
      </c>
      <c r="E580" s="34">
        <v>42222.0</v>
      </c>
      <c r="F580" s="6" t="s">
        <v>2006</v>
      </c>
      <c r="G580" s="6" t="s">
        <v>125</v>
      </c>
      <c r="H580" s="6" t="s">
        <v>2007</v>
      </c>
      <c r="I580" s="35" t="s">
        <v>93</v>
      </c>
      <c r="J580" s="36">
        <v>89.6</v>
      </c>
      <c r="K580" s="36">
        <v>138.0</v>
      </c>
      <c r="L580" s="36">
        <f t="shared" si="2"/>
        <v>0</v>
      </c>
      <c r="M580" s="36" t="str">
        <f t="shared" si="3"/>
        <v>Playoffs</v>
      </c>
      <c r="N580" s="36" t="str">
        <f>IFERROR(VLOOKUP(I580,Mapped_Owner,2,0),"")</f>
        <v>Pierson</v>
      </c>
      <c r="O580" s="6">
        <f>VLOOKUP(D580,'Mapped Opponent'!$G$4:$H$22,2,0)</f>
        <v>15</v>
      </c>
      <c r="P580" s="6"/>
      <c r="Q580" s="6" t="str">
        <f t="shared" si="4"/>
        <v>Week 15</v>
      </c>
      <c r="R580" s="6" t="str">
        <f t="shared" si="5"/>
        <v>2014Round 1</v>
      </c>
      <c r="S580" s="6">
        <f>IFERROR(__xludf.DUMMYFUNCTION("rank(J580,FILTER(J:J,R:R=R580))"),7.0)</f>
        <v>7</v>
      </c>
      <c r="T580" s="6">
        <f t="shared" si="6"/>
        <v>5</v>
      </c>
      <c r="U580" s="6">
        <f t="shared" si="7"/>
        <v>7</v>
      </c>
      <c r="V580" s="42">
        <f>averageif(AllData!A:A,B580,AllData!R:R)/vlookup(B580,AllData!A:O,15,0)</f>
        <v>94.87820513</v>
      </c>
      <c r="W580" s="6"/>
    </row>
    <row r="581" ht="14.25" customHeight="1">
      <c r="A581" s="6" t="str">
        <f t="shared" si="1"/>
        <v>2014Shep15</v>
      </c>
      <c r="B581" s="6">
        <v>2014.0</v>
      </c>
      <c r="C581" s="6" t="s">
        <v>89</v>
      </c>
      <c r="D581" s="6" t="s">
        <v>112</v>
      </c>
      <c r="E581" s="34">
        <v>42192.0</v>
      </c>
      <c r="F581" s="6" t="s">
        <v>2008</v>
      </c>
      <c r="G581" s="6" t="s">
        <v>114</v>
      </c>
      <c r="H581" s="6" t="s">
        <v>2009</v>
      </c>
      <c r="I581" s="35" t="s">
        <v>54</v>
      </c>
      <c r="J581" s="36">
        <v>109.6</v>
      </c>
      <c r="K581" s="36">
        <v>112.6</v>
      </c>
      <c r="L581" s="36">
        <f t="shared" si="2"/>
        <v>0</v>
      </c>
      <c r="M581" s="36" t="str">
        <f t="shared" si="3"/>
        <v>Playoffs</v>
      </c>
      <c r="N581" s="36" t="str">
        <f>IFERROR(VLOOKUP(I581,Mapped_Owner,2,0),"")</f>
        <v>Tayski</v>
      </c>
      <c r="O581" s="6">
        <f>VLOOKUP(D581,'Mapped Opponent'!$G$4:$H$22,2,0)</f>
        <v>15</v>
      </c>
      <c r="P581" s="6"/>
      <c r="Q581" s="6" t="str">
        <f t="shared" si="4"/>
        <v>Week 15</v>
      </c>
      <c r="R581" s="6" t="str">
        <f t="shared" si="5"/>
        <v>2014Round 1</v>
      </c>
      <c r="S581" s="6">
        <f>IFERROR(__xludf.DUMMYFUNCTION("rank(J581,FILTER(J:J,R:R=R581))"),5.0)</f>
        <v>5</v>
      </c>
      <c r="T581" s="6">
        <f t="shared" si="6"/>
        <v>7</v>
      </c>
      <c r="U581" s="6">
        <f t="shared" si="7"/>
        <v>5</v>
      </c>
      <c r="V581" s="42">
        <f>averageif(AllData!A:A,B581,AllData!R:R)/vlookup(B581,AllData!A:O,15,0)</f>
        <v>94.87820513</v>
      </c>
      <c r="W581" s="6"/>
    </row>
    <row r="582" ht="14.25" customHeight="1">
      <c r="A582" s="6" t="str">
        <f t="shared" si="1"/>
        <v>2014Riley15</v>
      </c>
      <c r="B582" s="6">
        <v>2014.0</v>
      </c>
      <c r="C582" s="6" t="s">
        <v>67</v>
      </c>
      <c r="D582" s="6" t="s">
        <v>112</v>
      </c>
      <c r="E582" s="34">
        <v>42280.0</v>
      </c>
      <c r="F582" s="6" t="s">
        <v>2010</v>
      </c>
      <c r="G582" s="6" t="s">
        <v>125</v>
      </c>
      <c r="H582" s="6" t="s">
        <v>155</v>
      </c>
      <c r="I582" s="35" t="s">
        <v>125</v>
      </c>
      <c r="J582" s="52">
        <v>0.0</v>
      </c>
      <c r="K582" s="52">
        <v>0.0</v>
      </c>
      <c r="L582" s="36">
        <f t="shared" si="2"/>
        <v>0</v>
      </c>
      <c r="M582" s="36" t="str">
        <f t="shared" si="3"/>
        <v>Playoffs</v>
      </c>
      <c r="N582" s="36" t="str">
        <f>IFERROR(VLOOKUP(I582,Mapped_Owner,2,0),"")</f>
        <v>BYE</v>
      </c>
      <c r="O582" s="6">
        <f>VLOOKUP(D582,'Mapped Opponent'!$G$4:$H$22,2,0)</f>
        <v>15</v>
      </c>
      <c r="P582" s="6"/>
      <c r="Q582" s="6" t="str">
        <f t="shared" si="4"/>
        <v>Week 15</v>
      </c>
      <c r="R582" s="6" t="str">
        <f t="shared" si="5"/>
        <v>2014Round 1</v>
      </c>
      <c r="S582" s="6">
        <f>IFERROR(__xludf.DUMMYFUNCTION("rank(J582,FILTER(J:J,R:R=R582))"),11.0)</f>
        <v>11</v>
      </c>
      <c r="T582" s="6">
        <f t="shared" si="6"/>
        <v>1</v>
      </c>
      <c r="U582" s="6">
        <f t="shared" si="7"/>
        <v>11</v>
      </c>
      <c r="V582" s="42">
        <f>averageif(AllData!A:A,B582,AllData!R:R)/vlookup(B582,AllData!A:O,15,0)</f>
        <v>94.87820513</v>
      </c>
      <c r="W582" s="6"/>
    </row>
    <row r="583" ht="14.25" customHeight="1">
      <c r="A583" s="6" t="str">
        <f t="shared" si="1"/>
        <v>2014Rooney/Jackson15</v>
      </c>
      <c r="B583" s="6">
        <v>2014.0</v>
      </c>
      <c r="C583" s="6" t="s">
        <v>57</v>
      </c>
      <c r="D583" s="6" t="s">
        <v>112</v>
      </c>
      <c r="E583" s="34">
        <v>42163.0</v>
      </c>
      <c r="F583" s="6" t="s">
        <v>2011</v>
      </c>
      <c r="G583" s="6" t="s">
        <v>114</v>
      </c>
      <c r="H583" s="6" t="s">
        <v>2012</v>
      </c>
      <c r="I583" s="35" t="s">
        <v>77</v>
      </c>
      <c r="J583" s="36">
        <v>79.2</v>
      </c>
      <c r="K583" s="36">
        <v>71.8</v>
      </c>
      <c r="L583" s="36">
        <f t="shared" si="2"/>
        <v>1</v>
      </c>
      <c r="M583" s="36" t="str">
        <f t="shared" si="3"/>
        <v>Playoffs</v>
      </c>
      <c r="N583" s="36" t="str">
        <f>IFERROR(VLOOKUP(I583,Mapped_Owner,2,0),"")</f>
        <v>Salty</v>
      </c>
      <c r="O583" s="6">
        <f>VLOOKUP(D583,'Mapped Opponent'!$G$4:$H$22,2,0)</f>
        <v>15</v>
      </c>
      <c r="P583" s="6"/>
      <c r="Q583" s="6" t="str">
        <f t="shared" si="4"/>
        <v>Week 15</v>
      </c>
      <c r="R583" s="6" t="str">
        <f t="shared" si="5"/>
        <v>2014Round 1</v>
      </c>
      <c r="S583" s="6">
        <f>IFERROR(__xludf.DUMMYFUNCTION("rank(J583,FILTER(J:J,R:R=R583))"),9.0)</f>
        <v>9</v>
      </c>
      <c r="T583" s="6">
        <f t="shared" si="6"/>
        <v>3</v>
      </c>
      <c r="U583" s="6">
        <f t="shared" si="7"/>
        <v>9</v>
      </c>
      <c r="V583" s="42">
        <f>averageif(AllData!A:A,B583,AllData!R:R)/vlookup(B583,AllData!A:O,15,0)</f>
        <v>94.87820513</v>
      </c>
      <c r="W583" s="6"/>
    </row>
    <row r="584" ht="14.25" customHeight="1">
      <c r="A584" s="6" t="str">
        <f t="shared" si="1"/>
        <v>2014Buser15</v>
      </c>
      <c r="B584" s="6">
        <v>2014.0</v>
      </c>
      <c r="C584" s="6" t="s">
        <v>47</v>
      </c>
      <c r="D584" s="6" t="s">
        <v>112</v>
      </c>
      <c r="E584" s="34">
        <v>42104.0</v>
      </c>
      <c r="F584" s="6" t="s">
        <v>2013</v>
      </c>
      <c r="G584" s="6" t="s">
        <v>125</v>
      </c>
      <c r="H584" s="6" t="s">
        <v>2014</v>
      </c>
      <c r="I584" s="35" t="s">
        <v>85</v>
      </c>
      <c r="J584" s="36">
        <v>79.7</v>
      </c>
      <c r="K584" s="36">
        <v>90.8</v>
      </c>
      <c r="L584" s="36">
        <f t="shared" si="2"/>
        <v>0</v>
      </c>
      <c r="M584" s="36" t="str">
        <f t="shared" si="3"/>
        <v>Playoffs</v>
      </c>
      <c r="N584" s="36" t="str">
        <f>IFERROR(VLOOKUP(I584,Mapped_Owner,2,0),"")</f>
        <v>T-How</v>
      </c>
      <c r="O584" s="6">
        <f>VLOOKUP(D584,'Mapped Opponent'!$G$4:$H$22,2,0)</f>
        <v>15</v>
      </c>
      <c r="P584" s="6"/>
      <c r="Q584" s="6" t="str">
        <f t="shared" si="4"/>
        <v>Week 15</v>
      </c>
      <c r="R584" s="6" t="str">
        <f t="shared" si="5"/>
        <v>2014Round 1</v>
      </c>
      <c r="S584" s="6">
        <f>IFERROR(__xludf.DUMMYFUNCTION("rank(J584,FILTER(J:J,R:R=R584))"),8.0)</f>
        <v>8</v>
      </c>
      <c r="T584" s="6">
        <f t="shared" si="6"/>
        <v>4</v>
      </c>
      <c r="U584" s="6">
        <f t="shared" si="7"/>
        <v>8</v>
      </c>
      <c r="V584" s="42">
        <f>averageif(AllData!A:A,B584,AllData!R:R)/vlookup(B584,AllData!A:O,15,0)</f>
        <v>94.87820513</v>
      </c>
      <c r="W584" s="6"/>
    </row>
    <row r="585" ht="14.25" customHeight="1">
      <c r="A585" s="6" t="str">
        <f t="shared" si="1"/>
        <v>2014Pierson15</v>
      </c>
      <c r="B585" s="6">
        <v>2014.0</v>
      </c>
      <c r="C585" s="6" t="s">
        <v>92</v>
      </c>
      <c r="D585" s="6" t="s">
        <v>112</v>
      </c>
      <c r="E585" s="34">
        <v>42252.0</v>
      </c>
      <c r="F585" s="6" t="s">
        <v>2015</v>
      </c>
      <c r="G585" s="6" t="s">
        <v>114</v>
      </c>
      <c r="H585" s="6" t="s">
        <v>2016</v>
      </c>
      <c r="I585" s="35" t="s">
        <v>80</v>
      </c>
      <c r="J585" s="36">
        <v>138.0</v>
      </c>
      <c r="K585" s="36">
        <v>89.6</v>
      </c>
      <c r="L585" s="36">
        <f t="shared" si="2"/>
        <v>1</v>
      </c>
      <c r="M585" s="36" t="str">
        <f t="shared" si="3"/>
        <v>Playoffs</v>
      </c>
      <c r="N585" s="36" t="str">
        <f>IFERROR(VLOOKUP(I585,Mapped_Owner,2,0),"")</f>
        <v>Fellows</v>
      </c>
      <c r="O585" s="6">
        <f>VLOOKUP(D585,'Mapped Opponent'!$G$4:$H$22,2,0)</f>
        <v>15</v>
      </c>
      <c r="P585" s="6"/>
      <c r="Q585" s="6" t="str">
        <f t="shared" si="4"/>
        <v>Week 15</v>
      </c>
      <c r="R585" s="6" t="str">
        <f t="shared" si="5"/>
        <v>2014Round 1</v>
      </c>
      <c r="S585" s="6">
        <f>IFERROR(__xludf.DUMMYFUNCTION("rank(J585,FILTER(J:J,R:R=R585))"),1.0)</f>
        <v>1</v>
      </c>
      <c r="T585" s="6">
        <f t="shared" si="6"/>
        <v>11</v>
      </c>
      <c r="U585" s="6">
        <f t="shared" si="7"/>
        <v>1</v>
      </c>
      <c r="V585" s="42">
        <f>averageif(AllData!A:A,B585,AllData!R:R)/vlookup(B585,AllData!A:O,15,0)</f>
        <v>94.87820513</v>
      </c>
      <c r="W585" s="6"/>
    </row>
    <row r="586" ht="14.25" customHeight="1">
      <c r="A586" s="6" t="str">
        <f t="shared" si="1"/>
        <v>2014Cock15</v>
      </c>
      <c r="B586" s="6">
        <v>2014.0</v>
      </c>
      <c r="C586" s="6" t="s">
        <v>72</v>
      </c>
      <c r="D586" s="6" t="s">
        <v>112</v>
      </c>
      <c r="E586" s="34">
        <v>42133.0</v>
      </c>
      <c r="F586" s="6" t="s">
        <v>2017</v>
      </c>
      <c r="G586" s="6" t="s">
        <v>125</v>
      </c>
      <c r="H586" s="6" t="s">
        <v>2018</v>
      </c>
      <c r="I586" s="35" t="s">
        <v>132</v>
      </c>
      <c r="J586" s="36">
        <v>114.2</v>
      </c>
      <c r="K586" s="36">
        <v>110.9</v>
      </c>
      <c r="L586" s="36">
        <f t="shared" si="2"/>
        <v>1</v>
      </c>
      <c r="M586" s="36" t="str">
        <f t="shared" si="3"/>
        <v>Playoffs</v>
      </c>
      <c r="N586" s="36" t="str">
        <f>IFERROR(VLOOKUP(I586,Mapped_Owner,2,0),"")</f>
        <v>KnardDawg</v>
      </c>
      <c r="O586" s="6">
        <f>VLOOKUP(D586,'Mapped Opponent'!$G$4:$H$22,2,0)</f>
        <v>15</v>
      </c>
      <c r="P586" s="6"/>
      <c r="Q586" s="6" t="str">
        <f t="shared" si="4"/>
        <v>Week 15</v>
      </c>
      <c r="R586" s="6" t="str">
        <f t="shared" si="5"/>
        <v>2014Round 1</v>
      </c>
      <c r="S586" s="6">
        <f>IFERROR(__xludf.DUMMYFUNCTION("rank(J586,FILTER(J:J,R:R=R586))"),2.0)</f>
        <v>2</v>
      </c>
      <c r="T586" s="6">
        <f t="shared" si="6"/>
        <v>10</v>
      </c>
      <c r="U586" s="6">
        <f t="shared" si="7"/>
        <v>2</v>
      </c>
      <c r="V586" s="42">
        <f>averageif(AllData!A:A,B586,AllData!R:R)/vlookup(B586,AllData!A:O,15,0)</f>
        <v>94.87820513</v>
      </c>
      <c r="W586" s="6"/>
    </row>
    <row r="587" ht="14.25" customHeight="1">
      <c r="A587" s="6" t="str">
        <f t="shared" si="1"/>
        <v>2014Tayski15</v>
      </c>
      <c r="B587" s="6">
        <v>2014.0</v>
      </c>
      <c r="C587" s="6" t="s">
        <v>52</v>
      </c>
      <c r="D587" s="6" t="s">
        <v>112</v>
      </c>
      <c r="E587" s="34">
        <v>42281.0</v>
      </c>
      <c r="F587" s="6" t="s">
        <v>2019</v>
      </c>
      <c r="G587" s="6" t="s">
        <v>125</v>
      </c>
      <c r="H587" s="6" t="s">
        <v>2020</v>
      </c>
      <c r="I587" s="35" t="s">
        <v>91</v>
      </c>
      <c r="J587" s="36">
        <v>112.6</v>
      </c>
      <c r="K587" s="36">
        <v>109.6</v>
      </c>
      <c r="L587" s="36">
        <f t="shared" si="2"/>
        <v>1</v>
      </c>
      <c r="M587" s="36" t="str">
        <f t="shared" si="3"/>
        <v>Playoffs</v>
      </c>
      <c r="N587" s="36" t="str">
        <f>IFERROR(VLOOKUP(I587,Mapped_Owner,2,0),"")</f>
        <v>Shep</v>
      </c>
      <c r="O587" s="6">
        <f>VLOOKUP(D587,'Mapped Opponent'!$G$4:$H$22,2,0)</f>
        <v>15</v>
      </c>
      <c r="P587" s="6"/>
      <c r="Q587" s="6" t="str">
        <f t="shared" si="4"/>
        <v>Week 15</v>
      </c>
      <c r="R587" s="6" t="str">
        <f t="shared" si="5"/>
        <v>2014Round 1</v>
      </c>
      <c r="S587" s="6">
        <f>IFERROR(__xludf.DUMMYFUNCTION("rank(J587,FILTER(J:J,R:R=R587))"),3.0)</f>
        <v>3</v>
      </c>
      <c r="T587" s="6">
        <f t="shared" si="6"/>
        <v>9</v>
      </c>
      <c r="U587" s="6">
        <f t="shared" si="7"/>
        <v>3</v>
      </c>
      <c r="V587" s="42">
        <f>averageif(AllData!A:A,B587,AllData!R:R)/vlookup(B587,AllData!A:O,15,0)</f>
        <v>94.87820513</v>
      </c>
      <c r="W587" s="6"/>
    </row>
    <row r="588" ht="14.25" customHeight="1">
      <c r="A588" s="6" t="str">
        <f t="shared" si="1"/>
        <v>2014KnardDawg15</v>
      </c>
      <c r="B588" s="6">
        <v>2014.0</v>
      </c>
      <c r="C588" s="6" t="s">
        <v>86</v>
      </c>
      <c r="D588" s="6" t="s">
        <v>112</v>
      </c>
      <c r="E588" s="34">
        <v>42104.0</v>
      </c>
      <c r="F588" s="6" t="s">
        <v>2021</v>
      </c>
      <c r="G588" s="6" t="s">
        <v>114</v>
      </c>
      <c r="H588" s="6" t="s">
        <v>2022</v>
      </c>
      <c r="I588" s="35" t="s">
        <v>99</v>
      </c>
      <c r="J588" s="36">
        <v>110.9</v>
      </c>
      <c r="K588" s="36">
        <v>114.2</v>
      </c>
      <c r="L588" s="36">
        <f t="shared" si="2"/>
        <v>0</v>
      </c>
      <c r="M588" s="36" t="str">
        <f t="shared" si="3"/>
        <v>Playoffs</v>
      </c>
      <c r="N588" s="36" t="str">
        <f>IFERROR(VLOOKUP(I588,Mapped_Owner,2,0),"")</f>
        <v>Cock</v>
      </c>
      <c r="O588" s="6">
        <f>VLOOKUP(D588,'Mapped Opponent'!$G$4:$H$22,2,0)</f>
        <v>15</v>
      </c>
      <c r="P588" s="6"/>
      <c r="Q588" s="6" t="str">
        <f t="shared" si="4"/>
        <v>Week 15</v>
      </c>
      <c r="R588" s="6" t="str">
        <f t="shared" si="5"/>
        <v>2014Round 1</v>
      </c>
      <c r="S588" s="6">
        <f>IFERROR(__xludf.DUMMYFUNCTION("rank(J588,FILTER(J:J,R:R=R588))"),4.0)</f>
        <v>4</v>
      </c>
      <c r="T588" s="6">
        <f t="shared" si="6"/>
        <v>8</v>
      </c>
      <c r="U588" s="6">
        <f t="shared" si="7"/>
        <v>4</v>
      </c>
      <c r="V588" s="42">
        <f>averageif(AllData!A:A,B588,AllData!R:R)/vlookup(B588,AllData!A:O,15,0)</f>
        <v>94.87820513</v>
      </c>
      <c r="W588" s="6"/>
    </row>
    <row r="589" ht="14.25" customHeight="1">
      <c r="A589" s="6" t="str">
        <f t="shared" si="1"/>
        <v>2014T-How15</v>
      </c>
      <c r="B589" s="6">
        <v>2014.0</v>
      </c>
      <c r="C589" s="6" t="s">
        <v>82</v>
      </c>
      <c r="D589" s="6" t="s">
        <v>112</v>
      </c>
      <c r="E589" s="34">
        <v>42074.0</v>
      </c>
      <c r="F589" s="6" t="s">
        <v>2023</v>
      </c>
      <c r="G589" s="6" t="s">
        <v>114</v>
      </c>
      <c r="H589" s="6" t="s">
        <v>2024</v>
      </c>
      <c r="I589" s="35" t="s">
        <v>50</v>
      </c>
      <c r="J589" s="36">
        <v>90.8</v>
      </c>
      <c r="K589" s="36">
        <v>79.7</v>
      </c>
      <c r="L589" s="36">
        <f t="shared" si="2"/>
        <v>1</v>
      </c>
      <c r="M589" s="36" t="str">
        <f t="shared" si="3"/>
        <v>Playoffs</v>
      </c>
      <c r="N589" s="36" t="str">
        <f>IFERROR(VLOOKUP(I589,Mapped_Owner,2,0),"")</f>
        <v>Buser</v>
      </c>
      <c r="O589" s="6">
        <f>VLOOKUP(D589,'Mapped Opponent'!$G$4:$H$22,2,0)</f>
        <v>15</v>
      </c>
      <c r="P589" s="6"/>
      <c r="Q589" s="6" t="str">
        <f t="shared" si="4"/>
        <v>Week 15</v>
      </c>
      <c r="R589" s="6" t="str">
        <f t="shared" si="5"/>
        <v>2014Round 1</v>
      </c>
      <c r="S589" s="6">
        <f>IFERROR(__xludf.DUMMYFUNCTION("rank(J589,FILTER(J:J,R:R=R589))"),6.0)</f>
        <v>6</v>
      </c>
      <c r="T589" s="6">
        <f t="shared" si="6"/>
        <v>6</v>
      </c>
      <c r="U589" s="6">
        <f t="shared" si="7"/>
        <v>6</v>
      </c>
      <c r="V589" s="42">
        <f>averageif(AllData!A:A,B589,AllData!R:R)/vlookup(B589,AllData!A:O,15,0)</f>
        <v>94.87820513</v>
      </c>
      <c r="W589" s="6"/>
    </row>
    <row r="590" ht="14.25" customHeight="1">
      <c r="A590" s="6" t="str">
        <f t="shared" si="1"/>
        <v>2014Hudspeath16</v>
      </c>
      <c r="B590" s="6">
        <v>2014.0</v>
      </c>
      <c r="C590" s="6" t="s">
        <v>39</v>
      </c>
      <c r="D590" s="6" t="s">
        <v>153</v>
      </c>
      <c r="E590" s="34">
        <v>42311.0</v>
      </c>
      <c r="F590" s="6" t="s">
        <v>2025</v>
      </c>
      <c r="G590" s="6" t="s">
        <v>125</v>
      </c>
      <c r="H590" s="6" t="s">
        <v>2026</v>
      </c>
      <c r="I590" s="35" t="s">
        <v>93</v>
      </c>
      <c r="J590" s="36">
        <v>79.6</v>
      </c>
      <c r="K590" s="36">
        <v>100.6</v>
      </c>
      <c r="L590" s="36">
        <f t="shared" si="2"/>
        <v>0</v>
      </c>
      <c r="M590" s="36" t="str">
        <f t="shared" si="3"/>
        <v>Playoffs</v>
      </c>
      <c r="N590" s="36" t="str">
        <f>IFERROR(VLOOKUP(I590,Mapped_Owner,2,0),"")</f>
        <v>Pierson</v>
      </c>
      <c r="O590" s="6">
        <f>VLOOKUP(D590,'Mapped Opponent'!$G$4:$H$22,2,0)</f>
        <v>16</v>
      </c>
      <c r="P590" s="6"/>
      <c r="Q590" s="6" t="str">
        <f t="shared" si="4"/>
        <v>Week 16</v>
      </c>
      <c r="R590" s="6" t="str">
        <f t="shared" si="5"/>
        <v>2014Round 2</v>
      </c>
      <c r="S590" s="6">
        <f>IFERROR(__xludf.DUMMYFUNCTION("rank(J590,FILTER(J:J,R:R=R590))"),6.0)</f>
        <v>6</v>
      </c>
      <c r="T590" s="6">
        <f t="shared" si="6"/>
        <v>6</v>
      </c>
      <c r="U590" s="6">
        <f t="shared" si="7"/>
        <v>6</v>
      </c>
      <c r="V590" s="42">
        <f>averageif(AllData!A:A,B590,AllData!R:R)/vlookup(B590,AllData!A:O,15,0)</f>
        <v>94.87820513</v>
      </c>
      <c r="W590" s="6"/>
    </row>
    <row r="591" ht="14.25" customHeight="1">
      <c r="A591" s="6" t="str">
        <f t="shared" si="1"/>
        <v>2014Salty16</v>
      </c>
      <c r="B591" s="6">
        <v>2014.0</v>
      </c>
      <c r="C591" s="6" t="s">
        <v>76</v>
      </c>
      <c r="D591" s="6" t="s">
        <v>153</v>
      </c>
      <c r="E591" s="34">
        <v>42193.0</v>
      </c>
      <c r="F591" s="6" t="s">
        <v>2027</v>
      </c>
      <c r="G591" s="6" t="s">
        <v>125</v>
      </c>
      <c r="H591" s="6" t="s">
        <v>2028</v>
      </c>
      <c r="I591" s="35" t="s">
        <v>85</v>
      </c>
      <c r="J591" s="36">
        <v>128.2</v>
      </c>
      <c r="K591" s="36">
        <v>66.3</v>
      </c>
      <c r="L591" s="36">
        <f t="shared" si="2"/>
        <v>1</v>
      </c>
      <c r="M591" s="36" t="str">
        <f t="shared" si="3"/>
        <v>Playoffs</v>
      </c>
      <c r="N591" s="36" t="str">
        <f>IFERROR(VLOOKUP(I591,Mapped_Owner,2,0),"")</f>
        <v>T-How</v>
      </c>
      <c r="O591" s="6">
        <f>VLOOKUP(D591,'Mapped Opponent'!$G$4:$H$22,2,0)</f>
        <v>16</v>
      </c>
      <c r="P591" s="6"/>
      <c r="Q591" s="6" t="str">
        <f t="shared" si="4"/>
        <v>Week 16</v>
      </c>
      <c r="R591" s="6" t="str">
        <f t="shared" si="5"/>
        <v>2014Round 2</v>
      </c>
      <c r="S591" s="6">
        <f>IFERROR(__xludf.DUMMYFUNCTION("rank(J591,FILTER(J:J,R:R=R591))"),1.0)</f>
        <v>1</v>
      </c>
      <c r="T591" s="6">
        <f t="shared" si="6"/>
        <v>11</v>
      </c>
      <c r="U591" s="6">
        <f t="shared" si="7"/>
        <v>1</v>
      </c>
      <c r="V591" s="42">
        <f>averageif(AllData!A:A,B591,AllData!R:R)/vlookup(B591,AllData!A:O,15,0)</f>
        <v>94.87820513</v>
      </c>
      <c r="W591" s="6"/>
    </row>
    <row r="592" ht="14.25" customHeight="1">
      <c r="A592" s="6" t="str">
        <f t="shared" si="1"/>
        <v>2014Fellows16</v>
      </c>
      <c r="B592" s="6">
        <v>2014.0</v>
      </c>
      <c r="C592" s="6" t="s">
        <v>79</v>
      </c>
      <c r="D592" s="6" t="s">
        <v>153</v>
      </c>
      <c r="E592" s="34">
        <v>42253.0</v>
      </c>
      <c r="F592" s="6" t="s">
        <v>2029</v>
      </c>
      <c r="G592" s="6" t="s">
        <v>125</v>
      </c>
      <c r="H592" s="6" t="s">
        <v>2030</v>
      </c>
      <c r="I592" s="35" t="s">
        <v>91</v>
      </c>
      <c r="J592" s="36">
        <v>117.7</v>
      </c>
      <c r="K592" s="36">
        <v>74.2</v>
      </c>
      <c r="L592" s="36">
        <f t="shared" si="2"/>
        <v>1</v>
      </c>
      <c r="M592" s="36" t="str">
        <f t="shared" si="3"/>
        <v>Playoffs</v>
      </c>
      <c r="N592" s="36" t="str">
        <f>IFERROR(VLOOKUP(I592,Mapped_Owner,2,0),"")</f>
        <v>Shep</v>
      </c>
      <c r="O592" s="6">
        <f>VLOOKUP(D592,'Mapped Opponent'!$G$4:$H$22,2,0)</f>
        <v>16</v>
      </c>
      <c r="P592" s="6"/>
      <c r="Q592" s="6" t="str">
        <f t="shared" si="4"/>
        <v>Week 16</v>
      </c>
      <c r="R592" s="6" t="str">
        <f t="shared" si="5"/>
        <v>2014Round 2</v>
      </c>
      <c r="S592" s="6">
        <f>IFERROR(__xludf.DUMMYFUNCTION("rank(J592,FILTER(J:J,R:R=R592))"),2.0)</f>
        <v>2</v>
      </c>
      <c r="T592" s="6">
        <f t="shared" si="6"/>
        <v>10</v>
      </c>
      <c r="U592" s="6">
        <f t="shared" si="7"/>
        <v>2</v>
      </c>
      <c r="V592" s="42">
        <f>averageif(AllData!A:A,B592,AllData!R:R)/vlookup(B592,AllData!A:O,15,0)</f>
        <v>94.87820513</v>
      </c>
      <c r="W592" s="6"/>
    </row>
    <row r="593" ht="14.25" customHeight="1">
      <c r="A593" s="6" t="str">
        <f t="shared" si="1"/>
        <v>2014Shep16</v>
      </c>
      <c r="B593" s="6">
        <v>2014.0</v>
      </c>
      <c r="C593" s="6" t="s">
        <v>89</v>
      </c>
      <c r="D593" s="6" t="s">
        <v>153</v>
      </c>
      <c r="E593" s="34">
        <v>42193.0</v>
      </c>
      <c r="F593" s="6" t="s">
        <v>2031</v>
      </c>
      <c r="G593" s="6" t="s">
        <v>114</v>
      </c>
      <c r="H593" s="6" t="s">
        <v>2032</v>
      </c>
      <c r="I593" s="35" t="s">
        <v>80</v>
      </c>
      <c r="J593" s="36">
        <v>74.2</v>
      </c>
      <c r="K593" s="36">
        <v>117.7</v>
      </c>
      <c r="L593" s="36">
        <f t="shared" si="2"/>
        <v>0</v>
      </c>
      <c r="M593" s="36" t="str">
        <f t="shared" si="3"/>
        <v>Playoffs</v>
      </c>
      <c r="N593" s="36" t="str">
        <f>IFERROR(VLOOKUP(I593,Mapped_Owner,2,0),"")</f>
        <v>Fellows</v>
      </c>
      <c r="O593" s="6">
        <f>VLOOKUP(D593,'Mapped Opponent'!$G$4:$H$22,2,0)</f>
        <v>16</v>
      </c>
      <c r="P593" s="6"/>
      <c r="Q593" s="6" t="str">
        <f t="shared" si="4"/>
        <v>Week 16</v>
      </c>
      <c r="R593" s="6" t="str">
        <f t="shared" si="5"/>
        <v>2014Round 2</v>
      </c>
      <c r="S593" s="6">
        <f>IFERROR(__xludf.DUMMYFUNCTION("rank(J593,FILTER(J:J,R:R=R593))"),7.0)</f>
        <v>7</v>
      </c>
      <c r="T593" s="6">
        <f t="shared" si="6"/>
        <v>5</v>
      </c>
      <c r="U593" s="6">
        <f t="shared" si="7"/>
        <v>7</v>
      </c>
      <c r="V593" s="42">
        <f>averageif(AllData!A:A,B593,AllData!R:R)/vlookup(B593,AllData!A:O,15,0)</f>
        <v>94.87820513</v>
      </c>
      <c r="W593" s="6"/>
    </row>
    <row r="594" ht="14.25" customHeight="1">
      <c r="A594" s="6" t="str">
        <f t="shared" si="1"/>
        <v>2014Riley16</v>
      </c>
      <c r="B594" s="6">
        <v>2014.0</v>
      </c>
      <c r="C594" s="6" t="s">
        <v>67</v>
      </c>
      <c r="D594" s="6" t="s">
        <v>153</v>
      </c>
      <c r="E594" s="34">
        <v>42311.0</v>
      </c>
      <c r="F594" s="6" t="s">
        <v>2033</v>
      </c>
      <c r="G594" s="6" t="s">
        <v>125</v>
      </c>
      <c r="H594" s="6" t="s">
        <v>2034</v>
      </c>
      <c r="I594" s="35" t="s">
        <v>54</v>
      </c>
      <c r="J594" s="36">
        <v>91.4</v>
      </c>
      <c r="K594" s="36">
        <v>67.3</v>
      </c>
      <c r="L594" s="36">
        <f t="shared" si="2"/>
        <v>1</v>
      </c>
      <c r="M594" s="36" t="str">
        <f t="shared" si="3"/>
        <v>Playoffs</v>
      </c>
      <c r="N594" s="36" t="str">
        <f>IFERROR(VLOOKUP(I594,Mapped_Owner,2,0),"")</f>
        <v>Tayski</v>
      </c>
      <c r="O594" s="6">
        <f>VLOOKUP(D594,'Mapped Opponent'!$G$4:$H$22,2,0)</f>
        <v>16</v>
      </c>
      <c r="P594" s="6"/>
      <c r="Q594" s="6" t="str">
        <f t="shared" si="4"/>
        <v>Week 16</v>
      </c>
      <c r="R594" s="6" t="str">
        <f t="shared" si="5"/>
        <v>2014Round 2</v>
      </c>
      <c r="S594" s="6">
        <f>IFERROR(__xludf.DUMMYFUNCTION("rank(J594,FILTER(J:J,R:R=R594))"),5.0)</f>
        <v>5</v>
      </c>
      <c r="T594" s="6">
        <f t="shared" si="6"/>
        <v>7</v>
      </c>
      <c r="U594" s="6">
        <f t="shared" si="7"/>
        <v>5</v>
      </c>
      <c r="V594" s="42">
        <f>averageif(AllData!A:A,B594,AllData!R:R)/vlookup(B594,AllData!A:O,15,0)</f>
        <v>94.87820513</v>
      </c>
      <c r="W594" s="6"/>
    </row>
    <row r="595" ht="14.25" customHeight="1">
      <c r="A595" s="6" t="str">
        <f t="shared" si="1"/>
        <v>2014Rooney/Jackson16</v>
      </c>
      <c r="B595" s="6">
        <v>2014.0</v>
      </c>
      <c r="C595" s="6" t="s">
        <v>57</v>
      </c>
      <c r="D595" s="6" t="s">
        <v>153</v>
      </c>
      <c r="E595" s="34">
        <v>42193.0</v>
      </c>
      <c r="F595" s="6" t="s">
        <v>2035</v>
      </c>
      <c r="G595" s="6" t="s">
        <v>125</v>
      </c>
      <c r="H595" s="6" t="s">
        <v>2036</v>
      </c>
      <c r="I595" s="35" t="s">
        <v>99</v>
      </c>
      <c r="J595" s="36">
        <v>59.1</v>
      </c>
      <c r="K595" s="36">
        <v>56.5</v>
      </c>
      <c r="L595" s="36">
        <f t="shared" si="2"/>
        <v>1</v>
      </c>
      <c r="M595" s="36" t="str">
        <f t="shared" si="3"/>
        <v>Playoffs</v>
      </c>
      <c r="N595" s="36" t="str">
        <f>IFERROR(VLOOKUP(I595,Mapped_Owner,2,0),"")</f>
        <v>Cock</v>
      </c>
      <c r="O595" s="6">
        <f>VLOOKUP(D595,'Mapped Opponent'!$G$4:$H$22,2,0)</f>
        <v>16</v>
      </c>
      <c r="P595" s="6"/>
      <c r="Q595" s="6" t="str">
        <f t="shared" si="4"/>
        <v>Week 16</v>
      </c>
      <c r="R595" s="6" t="str">
        <f t="shared" si="5"/>
        <v>2014Round 2</v>
      </c>
      <c r="S595" s="6">
        <f>IFERROR(__xludf.DUMMYFUNCTION("rank(J595,FILTER(J:J,R:R=R595))"),10.0)</f>
        <v>10</v>
      </c>
      <c r="T595" s="6">
        <f t="shared" si="6"/>
        <v>2</v>
      </c>
      <c r="U595" s="6">
        <f t="shared" si="7"/>
        <v>10</v>
      </c>
      <c r="V595" s="42">
        <f>averageif(AllData!A:A,B595,AllData!R:R)/vlookup(B595,AllData!A:O,15,0)</f>
        <v>94.87820513</v>
      </c>
      <c r="W595" s="6"/>
    </row>
    <row r="596" ht="14.25" customHeight="1">
      <c r="A596" s="6" t="str">
        <f t="shared" si="1"/>
        <v>2014Buser16</v>
      </c>
      <c r="B596" s="6">
        <v>2014.0</v>
      </c>
      <c r="C596" s="6" t="s">
        <v>47</v>
      </c>
      <c r="D596" s="6" t="s">
        <v>153</v>
      </c>
      <c r="E596" s="34">
        <v>42105.0</v>
      </c>
      <c r="F596" s="6" t="s">
        <v>2037</v>
      </c>
      <c r="G596" s="6" t="s">
        <v>114</v>
      </c>
      <c r="H596" s="6" t="s">
        <v>2038</v>
      </c>
      <c r="I596" s="35" t="s">
        <v>132</v>
      </c>
      <c r="J596" s="36">
        <v>56.7</v>
      </c>
      <c r="K596" s="36">
        <v>98.2</v>
      </c>
      <c r="L596" s="36">
        <f t="shared" si="2"/>
        <v>0</v>
      </c>
      <c r="M596" s="36" t="str">
        <f t="shared" si="3"/>
        <v>Playoffs</v>
      </c>
      <c r="N596" s="36" t="str">
        <f>IFERROR(VLOOKUP(I596,Mapped_Owner,2,0),"")</f>
        <v>KnardDawg</v>
      </c>
      <c r="O596" s="6">
        <f>VLOOKUP(D596,'Mapped Opponent'!$G$4:$H$22,2,0)</f>
        <v>16</v>
      </c>
      <c r="P596" s="6"/>
      <c r="Q596" s="6" t="str">
        <f t="shared" si="4"/>
        <v>Week 16</v>
      </c>
      <c r="R596" s="6" t="str">
        <f t="shared" si="5"/>
        <v>2014Round 2</v>
      </c>
      <c r="S596" s="6">
        <f>IFERROR(__xludf.DUMMYFUNCTION("rank(J596,FILTER(J:J,R:R=R596))"),11.0)</f>
        <v>11</v>
      </c>
      <c r="T596" s="6">
        <f t="shared" si="6"/>
        <v>1</v>
      </c>
      <c r="U596" s="6">
        <f t="shared" si="7"/>
        <v>11</v>
      </c>
      <c r="V596" s="42">
        <f>averageif(AllData!A:A,B596,AllData!R:R)/vlookup(B596,AllData!A:O,15,0)</f>
        <v>94.87820513</v>
      </c>
      <c r="W596" s="6"/>
    </row>
    <row r="597" ht="14.25" customHeight="1">
      <c r="A597" s="6" t="str">
        <f t="shared" si="1"/>
        <v>2014Pierson16</v>
      </c>
      <c r="B597" s="6">
        <v>2014.0</v>
      </c>
      <c r="C597" s="6" t="s">
        <v>92</v>
      </c>
      <c r="D597" s="6" t="s">
        <v>153</v>
      </c>
      <c r="E597" s="34">
        <v>42282.0</v>
      </c>
      <c r="F597" s="6" t="s">
        <v>2039</v>
      </c>
      <c r="G597" s="6" t="s">
        <v>114</v>
      </c>
      <c r="H597" s="6" t="s">
        <v>2040</v>
      </c>
      <c r="I597" s="35" t="s">
        <v>64</v>
      </c>
      <c r="J597" s="36">
        <v>100.6</v>
      </c>
      <c r="K597" s="36">
        <v>79.6</v>
      </c>
      <c r="L597" s="36">
        <f t="shared" si="2"/>
        <v>1</v>
      </c>
      <c r="M597" s="36" t="str">
        <f t="shared" si="3"/>
        <v>Playoffs</v>
      </c>
      <c r="N597" s="36" t="str">
        <f>IFERROR(VLOOKUP(I597,Mapped_Owner,2,0),"")</f>
        <v>Hudspeath</v>
      </c>
      <c r="O597" s="6">
        <f>VLOOKUP(D597,'Mapped Opponent'!$G$4:$H$22,2,0)</f>
        <v>16</v>
      </c>
      <c r="P597" s="6"/>
      <c r="Q597" s="6" t="str">
        <f t="shared" si="4"/>
        <v>Week 16</v>
      </c>
      <c r="R597" s="6" t="str">
        <f t="shared" si="5"/>
        <v>2014Round 2</v>
      </c>
      <c r="S597" s="6">
        <f>IFERROR(__xludf.DUMMYFUNCTION("rank(J597,FILTER(J:J,R:R=R597))"),3.0)</f>
        <v>3</v>
      </c>
      <c r="T597" s="6">
        <f t="shared" si="6"/>
        <v>9</v>
      </c>
      <c r="U597" s="6">
        <f t="shared" si="7"/>
        <v>3</v>
      </c>
      <c r="V597" s="42">
        <f>averageif(AllData!A:A,B597,AllData!R:R)/vlookup(B597,AllData!A:O,15,0)</f>
        <v>94.87820513</v>
      </c>
      <c r="W597" s="6"/>
    </row>
    <row r="598" ht="14.25" customHeight="1">
      <c r="A598" s="6" t="str">
        <f t="shared" si="1"/>
        <v>2014Cock16</v>
      </c>
      <c r="B598" s="6">
        <v>2014.0</v>
      </c>
      <c r="C598" s="6" t="s">
        <v>72</v>
      </c>
      <c r="D598" s="6" t="s">
        <v>153</v>
      </c>
      <c r="E598" s="34">
        <v>42134.0</v>
      </c>
      <c r="F598" s="6" t="s">
        <v>2041</v>
      </c>
      <c r="G598" s="6" t="s">
        <v>114</v>
      </c>
      <c r="H598" s="6" t="s">
        <v>2042</v>
      </c>
      <c r="I598" s="35" t="s">
        <v>58</v>
      </c>
      <c r="J598" s="36">
        <v>56.5</v>
      </c>
      <c r="K598" s="36">
        <v>59.1</v>
      </c>
      <c r="L598" s="36">
        <f t="shared" si="2"/>
        <v>0</v>
      </c>
      <c r="M598" s="36" t="str">
        <f t="shared" si="3"/>
        <v>Playoffs</v>
      </c>
      <c r="N598" s="36" t="str">
        <f>IFERROR(VLOOKUP(I598,Mapped_Owner,2,0),"")</f>
        <v>Rooney/Jackson</v>
      </c>
      <c r="O598" s="6">
        <f>VLOOKUP(D598,'Mapped Opponent'!$G$4:$H$22,2,0)</f>
        <v>16</v>
      </c>
      <c r="P598" s="6"/>
      <c r="Q598" s="6" t="str">
        <f t="shared" si="4"/>
        <v>Week 16</v>
      </c>
      <c r="R598" s="6" t="str">
        <f t="shared" si="5"/>
        <v>2014Round 2</v>
      </c>
      <c r="S598" s="6">
        <f>IFERROR(__xludf.DUMMYFUNCTION("rank(J598,FILTER(J:J,R:R=R598))"),12.0)</f>
        <v>12</v>
      </c>
      <c r="T598" s="6">
        <f t="shared" si="6"/>
        <v>0</v>
      </c>
      <c r="U598" s="6">
        <f t="shared" si="7"/>
        <v>12</v>
      </c>
      <c r="V598" s="42">
        <f>averageif(AllData!A:A,B598,AllData!R:R)/vlookup(B598,AllData!A:O,15,0)</f>
        <v>94.87820513</v>
      </c>
      <c r="W598" s="6"/>
    </row>
    <row r="599" ht="14.25" customHeight="1">
      <c r="A599" s="6" t="str">
        <f t="shared" si="1"/>
        <v>2014Tayski16</v>
      </c>
      <c r="B599" s="6">
        <v>2014.0</v>
      </c>
      <c r="C599" s="6" t="s">
        <v>52</v>
      </c>
      <c r="D599" s="6" t="s">
        <v>153</v>
      </c>
      <c r="E599" s="34">
        <v>42282.0</v>
      </c>
      <c r="F599" s="6" t="s">
        <v>2043</v>
      </c>
      <c r="G599" s="6" t="s">
        <v>114</v>
      </c>
      <c r="H599" s="6" t="s">
        <v>2044</v>
      </c>
      <c r="I599" s="35" t="s">
        <v>68</v>
      </c>
      <c r="J599" s="36">
        <v>67.3</v>
      </c>
      <c r="K599" s="36">
        <v>91.4</v>
      </c>
      <c r="L599" s="36">
        <f t="shared" si="2"/>
        <v>0</v>
      </c>
      <c r="M599" s="36" t="str">
        <f t="shared" si="3"/>
        <v>Playoffs</v>
      </c>
      <c r="N599" s="36" t="str">
        <f>IFERROR(VLOOKUP(I599,Mapped_Owner,2,0),"")</f>
        <v>Riley</v>
      </c>
      <c r="O599" s="6">
        <f>VLOOKUP(D599,'Mapped Opponent'!$G$4:$H$22,2,0)</f>
        <v>16</v>
      </c>
      <c r="P599" s="6"/>
      <c r="Q599" s="6" t="str">
        <f t="shared" si="4"/>
        <v>Week 16</v>
      </c>
      <c r="R599" s="6" t="str">
        <f t="shared" si="5"/>
        <v>2014Round 2</v>
      </c>
      <c r="S599" s="6">
        <f>IFERROR(__xludf.DUMMYFUNCTION("rank(J599,FILTER(J:J,R:R=R599))"),8.0)</f>
        <v>8</v>
      </c>
      <c r="T599" s="6">
        <f t="shared" si="6"/>
        <v>4</v>
      </c>
      <c r="U599" s="6">
        <f t="shared" si="7"/>
        <v>8</v>
      </c>
      <c r="V599" s="42">
        <f>averageif(AllData!A:A,B599,AllData!R:R)/vlookup(B599,AllData!A:O,15,0)</f>
        <v>94.87820513</v>
      </c>
      <c r="W599" s="6"/>
    </row>
    <row r="600" ht="14.25" customHeight="1">
      <c r="A600" s="6" t="str">
        <f t="shared" si="1"/>
        <v>2014KnardDawg16</v>
      </c>
      <c r="B600" s="6">
        <v>2014.0</v>
      </c>
      <c r="C600" s="6" t="s">
        <v>86</v>
      </c>
      <c r="D600" s="6" t="s">
        <v>153</v>
      </c>
      <c r="E600" s="34">
        <v>42134.0</v>
      </c>
      <c r="F600" s="6" t="s">
        <v>2045</v>
      </c>
      <c r="G600" s="6" t="s">
        <v>125</v>
      </c>
      <c r="H600" s="6" t="s">
        <v>2046</v>
      </c>
      <c r="I600" s="35" t="s">
        <v>50</v>
      </c>
      <c r="J600" s="36">
        <v>98.2</v>
      </c>
      <c r="K600" s="36">
        <v>56.7</v>
      </c>
      <c r="L600" s="36">
        <f t="shared" si="2"/>
        <v>1</v>
      </c>
      <c r="M600" s="36" t="str">
        <f t="shared" si="3"/>
        <v>Playoffs</v>
      </c>
      <c r="N600" s="36" t="str">
        <f>IFERROR(VLOOKUP(I600,Mapped_Owner,2,0),"")</f>
        <v>Buser</v>
      </c>
      <c r="O600" s="6">
        <f>VLOOKUP(D600,'Mapped Opponent'!$G$4:$H$22,2,0)</f>
        <v>16</v>
      </c>
      <c r="P600" s="6"/>
      <c r="Q600" s="6" t="str">
        <f t="shared" si="4"/>
        <v>Week 16</v>
      </c>
      <c r="R600" s="6" t="str">
        <f t="shared" si="5"/>
        <v>2014Round 2</v>
      </c>
      <c r="S600" s="6">
        <f>IFERROR(__xludf.DUMMYFUNCTION("rank(J600,FILTER(J:J,R:R=R600))"),4.0)</f>
        <v>4</v>
      </c>
      <c r="T600" s="6">
        <f t="shared" si="6"/>
        <v>8</v>
      </c>
      <c r="U600" s="6">
        <f t="shared" si="7"/>
        <v>4</v>
      </c>
      <c r="V600" s="42">
        <f>averageif(AllData!A:A,B600,AllData!R:R)/vlookup(B600,AllData!A:O,15,0)</f>
        <v>94.87820513</v>
      </c>
      <c r="W600" s="6"/>
    </row>
    <row r="601" ht="14.25" customHeight="1">
      <c r="A601" s="6" t="str">
        <f t="shared" si="1"/>
        <v>2014T-How16</v>
      </c>
      <c r="B601" s="6">
        <v>2014.0</v>
      </c>
      <c r="C601" s="6" t="s">
        <v>82</v>
      </c>
      <c r="D601" s="6" t="s">
        <v>153</v>
      </c>
      <c r="E601" s="34">
        <v>42075.0</v>
      </c>
      <c r="F601" s="6" t="s">
        <v>2047</v>
      </c>
      <c r="G601" s="6" t="s">
        <v>114</v>
      </c>
      <c r="H601" s="6" t="s">
        <v>2048</v>
      </c>
      <c r="I601" s="35" t="s">
        <v>77</v>
      </c>
      <c r="J601" s="36">
        <v>66.3</v>
      </c>
      <c r="K601" s="36">
        <v>128.2</v>
      </c>
      <c r="L601" s="36">
        <f t="shared" si="2"/>
        <v>0</v>
      </c>
      <c r="M601" s="36" t="str">
        <f t="shared" si="3"/>
        <v>Playoffs</v>
      </c>
      <c r="N601" s="36" t="str">
        <f>IFERROR(VLOOKUP(I601,Mapped_Owner,2,0),"")</f>
        <v>Salty</v>
      </c>
      <c r="O601" s="6">
        <f>VLOOKUP(D601,'Mapped Opponent'!$G$4:$H$22,2,0)</f>
        <v>16</v>
      </c>
      <c r="P601" s="6"/>
      <c r="Q601" s="6" t="str">
        <f t="shared" si="4"/>
        <v>Week 16</v>
      </c>
      <c r="R601" s="6" t="str">
        <f t="shared" si="5"/>
        <v>2014Round 2</v>
      </c>
      <c r="S601" s="6">
        <f>IFERROR(__xludf.DUMMYFUNCTION("rank(J601,FILTER(J:J,R:R=R601))"),9.0)</f>
        <v>9</v>
      </c>
      <c r="T601" s="6">
        <f t="shared" si="6"/>
        <v>3</v>
      </c>
      <c r="U601" s="6">
        <f t="shared" si="7"/>
        <v>9</v>
      </c>
      <c r="V601" s="42">
        <f>averageif(AllData!A:A,B601,AllData!R:R)/vlookup(B601,AllData!A:O,15,0)</f>
        <v>94.87820513</v>
      </c>
      <c r="W601" s="6"/>
    </row>
    <row r="602" ht="14.25" customHeight="1">
      <c r="A602" s="6" t="str">
        <f t="shared" si="1"/>
        <v>2014Hudspeath17</v>
      </c>
      <c r="B602" s="6">
        <v>2014.0</v>
      </c>
      <c r="C602" s="6" t="s">
        <v>39</v>
      </c>
      <c r="D602" s="6" t="s">
        <v>154</v>
      </c>
      <c r="E602" s="34">
        <v>42312.0</v>
      </c>
      <c r="F602" s="6" t="s">
        <v>2049</v>
      </c>
      <c r="G602" s="6" t="s">
        <v>125</v>
      </c>
      <c r="H602" s="6" t="s">
        <v>2050</v>
      </c>
      <c r="I602" s="35" t="s">
        <v>54</v>
      </c>
      <c r="J602" s="36">
        <v>81.4</v>
      </c>
      <c r="K602" s="36">
        <v>102.1</v>
      </c>
      <c r="L602" s="36">
        <f t="shared" si="2"/>
        <v>0</v>
      </c>
      <c r="M602" s="36" t="str">
        <f t="shared" si="3"/>
        <v>Playoffs</v>
      </c>
      <c r="N602" s="36" t="str">
        <f>IFERROR(VLOOKUP(I602,Mapped_Owner,2,0),"")</f>
        <v>Tayski</v>
      </c>
      <c r="O602" s="6">
        <f>VLOOKUP(D602,'Mapped Opponent'!$G$4:$H$22,2,0)</f>
        <v>17</v>
      </c>
      <c r="P602" s="6"/>
      <c r="Q602" s="6" t="str">
        <f t="shared" si="4"/>
        <v>Week 17</v>
      </c>
      <c r="R602" s="6" t="str">
        <f t="shared" si="5"/>
        <v>2014Round 3</v>
      </c>
      <c r="S602" s="6">
        <f>IFERROR(__xludf.DUMMYFUNCTION("rank(J602,FILTER(J:J,R:R=R602))"),6.0)</f>
        <v>6</v>
      </c>
      <c r="T602" s="6">
        <f t="shared" si="6"/>
        <v>6</v>
      </c>
      <c r="U602" s="6">
        <f t="shared" si="7"/>
        <v>6</v>
      </c>
      <c r="V602" s="42">
        <f>averageif(AllData!A:A,B602,AllData!R:R)/vlookup(B602,AllData!A:O,15,0)</f>
        <v>94.87820513</v>
      </c>
      <c r="W602" s="6"/>
    </row>
    <row r="603" ht="14.25" customHeight="1">
      <c r="A603" s="6" t="str">
        <f t="shared" si="1"/>
        <v>2014Salty17</v>
      </c>
      <c r="B603" s="6">
        <v>2014.0</v>
      </c>
      <c r="C603" s="6" t="s">
        <v>76</v>
      </c>
      <c r="D603" s="6" t="s">
        <v>154</v>
      </c>
      <c r="E603" s="34">
        <v>42224.0</v>
      </c>
      <c r="F603" s="6" t="s">
        <v>2051</v>
      </c>
      <c r="G603" s="6" t="s">
        <v>125</v>
      </c>
      <c r="H603" s="6" t="s">
        <v>2052</v>
      </c>
      <c r="I603" s="35" t="s">
        <v>58</v>
      </c>
      <c r="J603" s="36">
        <v>84.8</v>
      </c>
      <c r="K603" s="36">
        <v>62.8</v>
      </c>
      <c r="L603" s="36">
        <f t="shared" si="2"/>
        <v>1</v>
      </c>
      <c r="M603" s="36" t="str">
        <f t="shared" si="3"/>
        <v>Playoffs</v>
      </c>
      <c r="N603" s="36" t="str">
        <f>IFERROR(VLOOKUP(I603,Mapped_Owner,2,0),"")</f>
        <v>Rooney/Jackson</v>
      </c>
      <c r="O603" s="6">
        <f>VLOOKUP(D603,'Mapped Opponent'!$G$4:$H$22,2,0)</f>
        <v>17</v>
      </c>
      <c r="P603" s="6"/>
      <c r="Q603" s="6" t="str">
        <f t="shared" si="4"/>
        <v>Week 17</v>
      </c>
      <c r="R603" s="6" t="str">
        <f t="shared" si="5"/>
        <v>2014Round 3</v>
      </c>
      <c r="S603" s="6">
        <f>IFERROR(__xludf.DUMMYFUNCTION("rank(J603,FILTER(J:J,R:R=R603))"),5.0)</f>
        <v>5</v>
      </c>
      <c r="T603" s="6">
        <f t="shared" si="6"/>
        <v>7</v>
      </c>
      <c r="U603" s="6">
        <f t="shared" si="7"/>
        <v>5</v>
      </c>
      <c r="V603" s="42">
        <f>averageif(AllData!A:A,B603,AllData!R:R)/vlookup(B603,AllData!A:O,15,0)</f>
        <v>94.87820513</v>
      </c>
      <c r="W603" s="6"/>
    </row>
    <row r="604" ht="14.25" customHeight="1">
      <c r="A604" s="6" t="str">
        <f t="shared" si="1"/>
        <v>2014Fellows17</v>
      </c>
      <c r="B604" s="6">
        <v>2014.0</v>
      </c>
      <c r="C604" s="6" t="s">
        <v>79</v>
      </c>
      <c r="D604" s="6" t="s">
        <v>154</v>
      </c>
      <c r="E604" s="34">
        <v>42283.0</v>
      </c>
      <c r="F604" s="6" t="s">
        <v>2053</v>
      </c>
      <c r="G604" s="6" t="s">
        <v>125</v>
      </c>
      <c r="H604" s="6" t="s">
        <v>2054</v>
      </c>
      <c r="I604" s="35" t="s">
        <v>91</v>
      </c>
      <c r="J604" s="36">
        <v>77.7</v>
      </c>
      <c r="K604" s="36">
        <v>58.9</v>
      </c>
      <c r="L604" s="36">
        <f t="shared" si="2"/>
        <v>1</v>
      </c>
      <c r="M604" s="36" t="str">
        <f t="shared" si="3"/>
        <v>Playoffs</v>
      </c>
      <c r="N604" s="36" t="str">
        <f>IFERROR(VLOOKUP(I604,Mapped_Owner,2,0),"")</f>
        <v>Shep</v>
      </c>
      <c r="O604" s="6">
        <f>VLOOKUP(D604,'Mapped Opponent'!$G$4:$H$22,2,0)</f>
        <v>17</v>
      </c>
      <c r="P604" s="6"/>
      <c r="Q604" s="6" t="str">
        <f t="shared" si="4"/>
        <v>Week 17</v>
      </c>
      <c r="R604" s="6" t="str">
        <f t="shared" si="5"/>
        <v>2014Round 3</v>
      </c>
      <c r="S604" s="6">
        <f>IFERROR(__xludf.DUMMYFUNCTION("rank(J604,FILTER(J:J,R:R=R604))"),8.0)</f>
        <v>8</v>
      </c>
      <c r="T604" s="6">
        <f t="shared" si="6"/>
        <v>4</v>
      </c>
      <c r="U604" s="6">
        <f t="shared" si="7"/>
        <v>8</v>
      </c>
      <c r="V604" s="42">
        <f>averageif(AllData!A:A,B604,AllData!R:R)/vlookup(B604,AllData!A:O,15,0)</f>
        <v>94.87820513</v>
      </c>
      <c r="W604" s="6"/>
    </row>
    <row r="605" ht="14.25" customHeight="1">
      <c r="A605" s="6" t="str">
        <f t="shared" si="1"/>
        <v>2014Shep17</v>
      </c>
      <c r="B605" s="6">
        <v>2014.0</v>
      </c>
      <c r="C605" s="6" t="s">
        <v>89</v>
      </c>
      <c r="D605" s="6" t="s">
        <v>154</v>
      </c>
      <c r="E605" s="34">
        <v>42194.0</v>
      </c>
      <c r="F605" s="6" t="s">
        <v>2055</v>
      </c>
      <c r="G605" s="6" t="s">
        <v>114</v>
      </c>
      <c r="H605" s="6" t="s">
        <v>2056</v>
      </c>
      <c r="I605" s="35" t="s">
        <v>80</v>
      </c>
      <c r="J605" s="36">
        <v>58.9</v>
      </c>
      <c r="K605" s="36">
        <v>77.7</v>
      </c>
      <c r="L605" s="36">
        <f t="shared" si="2"/>
        <v>0</v>
      </c>
      <c r="M605" s="36" t="str">
        <f t="shared" si="3"/>
        <v>Playoffs</v>
      </c>
      <c r="N605" s="36" t="str">
        <f>IFERROR(VLOOKUP(I605,Mapped_Owner,2,0),"")</f>
        <v>Fellows</v>
      </c>
      <c r="O605" s="6">
        <f>VLOOKUP(D605,'Mapped Opponent'!$G$4:$H$22,2,0)</f>
        <v>17</v>
      </c>
      <c r="P605" s="6"/>
      <c r="Q605" s="6" t="str">
        <f t="shared" si="4"/>
        <v>Week 17</v>
      </c>
      <c r="R605" s="6" t="str">
        <f t="shared" si="5"/>
        <v>2014Round 3</v>
      </c>
      <c r="S605" s="6">
        <f>IFERROR(__xludf.DUMMYFUNCTION("rank(J605,FILTER(J:J,R:R=R605))"),12.0)</f>
        <v>12</v>
      </c>
      <c r="T605" s="6">
        <f t="shared" si="6"/>
        <v>0</v>
      </c>
      <c r="U605" s="6">
        <f t="shared" si="7"/>
        <v>12</v>
      </c>
      <c r="V605" s="42">
        <f>averageif(AllData!A:A,B605,AllData!R:R)/vlookup(B605,AllData!A:O,15,0)</f>
        <v>94.87820513</v>
      </c>
      <c r="W605" s="6"/>
    </row>
    <row r="606" ht="14.25" customHeight="1">
      <c r="A606" s="6" t="str">
        <f t="shared" si="1"/>
        <v>2014Riley17</v>
      </c>
      <c r="B606" s="6">
        <v>2014.0</v>
      </c>
      <c r="C606" s="6" t="s">
        <v>67</v>
      </c>
      <c r="D606" s="6" t="s">
        <v>154</v>
      </c>
      <c r="E606" s="34">
        <v>42341.0</v>
      </c>
      <c r="F606" s="6" t="s">
        <v>2057</v>
      </c>
      <c r="G606" s="6" t="s">
        <v>125</v>
      </c>
      <c r="H606" s="6" t="s">
        <v>2058</v>
      </c>
      <c r="I606" s="35" t="s">
        <v>93</v>
      </c>
      <c r="J606" s="36">
        <v>127.7</v>
      </c>
      <c r="K606" s="36">
        <v>80.6</v>
      </c>
      <c r="L606" s="36">
        <f t="shared" si="2"/>
        <v>1</v>
      </c>
      <c r="M606" s="36" t="str">
        <f t="shared" si="3"/>
        <v>Playoffs</v>
      </c>
      <c r="N606" s="36" t="str">
        <f>IFERROR(VLOOKUP(I606,Mapped_Owner,2,0),"")</f>
        <v>Pierson</v>
      </c>
      <c r="O606" s="6">
        <f>VLOOKUP(D606,'Mapped Opponent'!$G$4:$H$22,2,0)</f>
        <v>17</v>
      </c>
      <c r="P606" s="6"/>
      <c r="Q606" s="6" t="str">
        <f t="shared" si="4"/>
        <v>Week 17</v>
      </c>
      <c r="R606" s="6" t="str">
        <f t="shared" si="5"/>
        <v>2014Round 3</v>
      </c>
      <c r="S606" s="6">
        <f>IFERROR(__xludf.DUMMYFUNCTION("rank(J606,FILTER(J:J,R:R=R606))"),1.0)</f>
        <v>1</v>
      </c>
      <c r="T606" s="6">
        <f t="shared" si="6"/>
        <v>11</v>
      </c>
      <c r="U606" s="6">
        <f t="shared" si="7"/>
        <v>1</v>
      </c>
      <c r="V606" s="42">
        <f>averageif(AllData!A:A,B606,AllData!R:R)/vlookup(B606,AllData!A:O,15,0)</f>
        <v>94.87820513</v>
      </c>
      <c r="W606" s="6"/>
    </row>
    <row r="607" ht="14.25" customHeight="1">
      <c r="A607" s="6" t="str">
        <f t="shared" si="1"/>
        <v>2014Rooney/Jackson17</v>
      </c>
      <c r="B607" s="6">
        <v>2014.0</v>
      </c>
      <c r="C607" s="6" t="s">
        <v>57</v>
      </c>
      <c r="D607" s="6" t="s">
        <v>154</v>
      </c>
      <c r="E607" s="34">
        <v>42194.0</v>
      </c>
      <c r="F607" s="6" t="s">
        <v>2059</v>
      </c>
      <c r="G607" s="6" t="s">
        <v>114</v>
      </c>
      <c r="H607" s="6" t="s">
        <v>2060</v>
      </c>
      <c r="I607" s="35" t="s">
        <v>77</v>
      </c>
      <c r="J607" s="36">
        <v>62.8</v>
      </c>
      <c r="K607" s="36">
        <v>84.8</v>
      </c>
      <c r="L607" s="36">
        <f t="shared" si="2"/>
        <v>0</v>
      </c>
      <c r="M607" s="36" t="str">
        <f t="shared" si="3"/>
        <v>Playoffs</v>
      </c>
      <c r="N607" s="36" t="str">
        <f>IFERROR(VLOOKUP(I607,Mapped_Owner,2,0),"")</f>
        <v>Salty</v>
      </c>
      <c r="O607" s="6">
        <f>VLOOKUP(D607,'Mapped Opponent'!$G$4:$H$22,2,0)</f>
        <v>17</v>
      </c>
      <c r="P607" s="6"/>
      <c r="Q607" s="6" t="str">
        <f t="shared" si="4"/>
        <v>Week 17</v>
      </c>
      <c r="R607" s="6" t="str">
        <f t="shared" si="5"/>
        <v>2014Round 3</v>
      </c>
      <c r="S607" s="6">
        <f>IFERROR(__xludf.DUMMYFUNCTION("rank(J607,FILTER(J:J,R:R=R607))"),10.0)</f>
        <v>10</v>
      </c>
      <c r="T607" s="6">
        <f t="shared" si="6"/>
        <v>2</v>
      </c>
      <c r="U607" s="6">
        <f t="shared" si="7"/>
        <v>10</v>
      </c>
      <c r="V607" s="42">
        <f>averageif(AllData!A:A,B607,AllData!R:R)/vlookup(B607,AllData!A:O,15,0)</f>
        <v>94.87820513</v>
      </c>
      <c r="W607" s="6"/>
    </row>
    <row r="608" ht="14.25" customHeight="1">
      <c r="A608" s="6" t="str">
        <f t="shared" si="1"/>
        <v>2014Buser17</v>
      </c>
      <c r="B608" s="6">
        <v>2014.0</v>
      </c>
      <c r="C608" s="6" t="s">
        <v>47</v>
      </c>
      <c r="D608" s="6" t="s">
        <v>154</v>
      </c>
      <c r="E608" s="34">
        <v>42106.0</v>
      </c>
      <c r="F608" s="6" t="s">
        <v>2061</v>
      </c>
      <c r="G608" s="6" t="s">
        <v>125</v>
      </c>
      <c r="H608" s="6" t="s">
        <v>2062</v>
      </c>
      <c r="I608" s="35" t="s">
        <v>85</v>
      </c>
      <c r="J608" s="36">
        <v>86.8</v>
      </c>
      <c r="K608" s="36">
        <v>96.4</v>
      </c>
      <c r="L608" s="36">
        <f t="shared" si="2"/>
        <v>0</v>
      </c>
      <c r="M608" s="36" t="str">
        <f t="shared" si="3"/>
        <v>Playoffs</v>
      </c>
      <c r="N608" s="36" t="str">
        <f>IFERROR(VLOOKUP(I608,Mapped_Owner,2,0),"")</f>
        <v>T-How</v>
      </c>
      <c r="O608" s="6">
        <f>VLOOKUP(D608,'Mapped Opponent'!$G$4:$H$22,2,0)</f>
        <v>17</v>
      </c>
      <c r="P608" s="6"/>
      <c r="Q608" s="6" t="str">
        <f t="shared" si="4"/>
        <v>Week 17</v>
      </c>
      <c r="R608" s="6" t="str">
        <f t="shared" si="5"/>
        <v>2014Round 3</v>
      </c>
      <c r="S608" s="6">
        <f>IFERROR(__xludf.DUMMYFUNCTION("rank(J608,FILTER(J:J,R:R=R608))"),4.0)</f>
        <v>4</v>
      </c>
      <c r="T608" s="6">
        <f t="shared" si="6"/>
        <v>8</v>
      </c>
      <c r="U608" s="6">
        <f t="shared" si="7"/>
        <v>4</v>
      </c>
      <c r="V608" s="42">
        <f>averageif(AllData!A:A,B608,AllData!R:R)/vlookup(B608,AllData!A:O,15,0)</f>
        <v>94.87820513</v>
      </c>
      <c r="W608" s="6"/>
    </row>
    <row r="609" ht="14.25" customHeight="1">
      <c r="A609" s="6" t="str">
        <f t="shared" si="1"/>
        <v>2014Pierson17</v>
      </c>
      <c r="B609" s="6">
        <v>2014.0</v>
      </c>
      <c r="C609" s="6" t="s">
        <v>92</v>
      </c>
      <c r="D609" s="6" t="s">
        <v>154</v>
      </c>
      <c r="E609" s="34">
        <v>42283.0</v>
      </c>
      <c r="F609" s="6" t="s">
        <v>2063</v>
      </c>
      <c r="G609" s="6" t="s">
        <v>114</v>
      </c>
      <c r="H609" s="6" t="s">
        <v>2064</v>
      </c>
      <c r="I609" s="35" t="s">
        <v>68</v>
      </c>
      <c r="J609" s="36">
        <v>80.6</v>
      </c>
      <c r="K609" s="36">
        <v>127.7</v>
      </c>
      <c r="L609" s="36">
        <f t="shared" si="2"/>
        <v>0</v>
      </c>
      <c r="M609" s="36" t="str">
        <f t="shared" si="3"/>
        <v>Playoffs</v>
      </c>
      <c r="N609" s="36" t="str">
        <f>IFERROR(VLOOKUP(I609,Mapped_Owner,2,0),"")</f>
        <v>Riley</v>
      </c>
      <c r="O609" s="6">
        <f>VLOOKUP(D609,'Mapped Opponent'!$G$4:$H$22,2,0)</f>
        <v>17</v>
      </c>
      <c r="P609" s="6"/>
      <c r="Q609" s="6" t="str">
        <f t="shared" si="4"/>
        <v>Week 17</v>
      </c>
      <c r="R609" s="6" t="str">
        <f t="shared" si="5"/>
        <v>2014Round 3</v>
      </c>
      <c r="S609" s="6">
        <f>IFERROR(__xludf.DUMMYFUNCTION("rank(J609,FILTER(J:J,R:R=R609))"),7.0)</f>
        <v>7</v>
      </c>
      <c r="T609" s="6">
        <f t="shared" si="6"/>
        <v>5</v>
      </c>
      <c r="U609" s="6">
        <f t="shared" si="7"/>
        <v>7</v>
      </c>
      <c r="V609" s="42">
        <f>averageif(AllData!A:A,B609,AllData!R:R)/vlookup(B609,AllData!A:O,15,0)</f>
        <v>94.87820513</v>
      </c>
      <c r="W609" s="6"/>
    </row>
    <row r="610" ht="14.25" customHeight="1">
      <c r="A610" s="6" t="str">
        <f t="shared" si="1"/>
        <v>2014Cock17</v>
      </c>
      <c r="B610" s="6">
        <v>2014.0</v>
      </c>
      <c r="C610" s="6" t="s">
        <v>72</v>
      </c>
      <c r="D610" s="6" t="s">
        <v>154</v>
      </c>
      <c r="E610" s="34">
        <v>42135.0</v>
      </c>
      <c r="F610" s="6" t="s">
        <v>2065</v>
      </c>
      <c r="G610" s="6" t="s">
        <v>125</v>
      </c>
      <c r="H610" s="6" t="s">
        <v>2066</v>
      </c>
      <c r="I610" s="35" t="s">
        <v>132</v>
      </c>
      <c r="J610" s="36">
        <v>61.6</v>
      </c>
      <c r="K610" s="36">
        <v>63.7</v>
      </c>
      <c r="L610" s="36">
        <f t="shared" si="2"/>
        <v>0</v>
      </c>
      <c r="M610" s="36" t="str">
        <f t="shared" si="3"/>
        <v>Playoffs</v>
      </c>
      <c r="N610" s="36" t="str">
        <f>IFERROR(VLOOKUP(I610,Mapped_Owner,2,0),"")</f>
        <v>KnardDawg</v>
      </c>
      <c r="O610" s="6">
        <f>VLOOKUP(D610,'Mapped Opponent'!$G$4:$H$22,2,0)</f>
        <v>17</v>
      </c>
      <c r="P610" s="6"/>
      <c r="Q610" s="6" t="str">
        <f t="shared" si="4"/>
        <v>Week 17</v>
      </c>
      <c r="R610" s="6" t="str">
        <f t="shared" si="5"/>
        <v>2014Round 3</v>
      </c>
      <c r="S610" s="6">
        <f>IFERROR(__xludf.DUMMYFUNCTION("rank(J610,FILTER(J:J,R:R=R610))"),11.0)</f>
        <v>11</v>
      </c>
      <c r="T610" s="6">
        <f t="shared" si="6"/>
        <v>1</v>
      </c>
      <c r="U610" s="6">
        <f t="shared" si="7"/>
        <v>11</v>
      </c>
      <c r="V610" s="42">
        <f>averageif(AllData!A:A,B610,AllData!R:R)/vlookup(B610,AllData!A:O,15,0)</f>
        <v>94.87820513</v>
      </c>
      <c r="W610" s="6"/>
    </row>
    <row r="611" ht="14.25" customHeight="1">
      <c r="A611" s="6" t="str">
        <f t="shared" si="1"/>
        <v>2014Tayski17</v>
      </c>
      <c r="B611" s="6">
        <v>2014.0</v>
      </c>
      <c r="C611" s="6" t="s">
        <v>52</v>
      </c>
      <c r="D611" s="6" t="s">
        <v>154</v>
      </c>
      <c r="E611" s="34">
        <v>42313.0</v>
      </c>
      <c r="F611" s="6" t="s">
        <v>2067</v>
      </c>
      <c r="G611" s="6" t="s">
        <v>114</v>
      </c>
      <c r="H611" s="6" t="s">
        <v>2068</v>
      </c>
      <c r="I611" s="35" t="s">
        <v>64</v>
      </c>
      <c r="J611" s="36">
        <v>102.1</v>
      </c>
      <c r="K611" s="36">
        <v>81.4</v>
      </c>
      <c r="L611" s="36">
        <f t="shared" si="2"/>
        <v>1</v>
      </c>
      <c r="M611" s="36" t="str">
        <f t="shared" si="3"/>
        <v>Playoffs</v>
      </c>
      <c r="N611" s="36" t="str">
        <f>IFERROR(VLOOKUP(I611,Mapped_Owner,2,0),"")</f>
        <v>Hudspeath</v>
      </c>
      <c r="O611" s="6">
        <f>VLOOKUP(D611,'Mapped Opponent'!$G$4:$H$22,2,0)</f>
        <v>17</v>
      </c>
      <c r="P611" s="6"/>
      <c r="Q611" s="6" t="str">
        <f t="shared" si="4"/>
        <v>Week 17</v>
      </c>
      <c r="R611" s="6" t="str">
        <f t="shared" si="5"/>
        <v>2014Round 3</v>
      </c>
      <c r="S611" s="6">
        <f>IFERROR(__xludf.DUMMYFUNCTION("rank(J611,FILTER(J:J,R:R=R611))"),2.0)</f>
        <v>2</v>
      </c>
      <c r="T611" s="6">
        <f t="shared" si="6"/>
        <v>10</v>
      </c>
      <c r="U611" s="6">
        <f t="shared" si="7"/>
        <v>2</v>
      </c>
      <c r="V611" s="42">
        <f>averageif(AllData!A:A,B611,AllData!R:R)/vlookup(B611,AllData!A:O,15,0)</f>
        <v>94.87820513</v>
      </c>
      <c r="W611" s="6"/>
    </row>
    <row r="612" ht="14.25" customHeight="1">
      <c r="A612" s="6" t="str">
        <f t="shared" si="1"/>
        <v>2014KnardDawg17</v>
      </c>
      <c r="B612" s="6">
        <v>2014.0</v>
      </c>
      <c r="C612" s="6" t="s">
        <v>86</v>
      </c>
      <c r="D612" s="6" t="s">
        <v>154</v>
      </c>
      <c r="E612" s="34">
        <v>42165.0</v>
      </c>
      <c r="F612" s="6" t="s">
        <v>2069</v>
      </c>
      <c r="G612" s="6" t="s">
        <v>114</v>
      </c>
      <c r="H612" s="6" t="s">
        <v>2070</v>
      </c>
      <c r="I612" s="35" t="s">
        <v>99</v>
      </c>
      <c r="J612" s="36">
        <v>63.7</v>
      </c>
      <c r="K612" s="36">
        <v>61.6</v>
      </c>
      <c r="L612" s="36">
        <f t="shared" si="2"/>
        <v>1</v>
      </c>
      <c r="M612" s="36" t="str">
        <f t="shared" si="3"/>
        <v>Playoffs</v>
      </c>
      <c r="N612" s="36" t="str">
        <f>IFERROR(VLOOKUP(I612,Mapped_Owner,2,0),"")</f>
        <v>Cock</v>
      </c>
      <c r="O612" s="6">
        <f>VLOOKUP(D612,'Mapped Opponent'!$G$4:$H$22,2,0)</f>
        <v>17</v>
      </c>
      <c r="P612" s="6"/>
      <c r="Q612" s="6" t="str">
        <f t="shared" si="4"/>
        <v>Week 17</v>
      </c>
      <c r="R612" s="6" t="str">
        <f t="shared" si="5"/>
        <v>2014Round 3</v>
      </c>
      <c r="S612" s="6">
        <f>IFERROR(__xludf.DUMMYFUNCTION("rank(J612,FILTER(J:J,R:R=R612))"),9.0)</f>
        <v>9</v>
      </c>
      <c r="T612" s="6">
        <f t="shared" si="6"/>
        <v>3</v>
      </c>
      <c r="U612" s="6">
        <f t="shared" si="7"/>
        <v>9</v>
      </c>
      <c r="V612" s="42">
        <f>averageif(AllData!A:A,B612,AllData!R:R)/vlookup(B612,AllData!A:O,15,0)</f>
        <v>94.87820513</v>
      </c>
      <c r="W612" s="6"/>
    </row>
    <row r="613" ht="14.25" customHeight="1">
      <c r="A613" s="6" t="str">
        <f t="shared" si="1"/>
        <v>2014T-How17</v>
      </c>
      <c r="B613" s="6">
        <v>2014.0</v>
      </c>
      <c r="C613" s="6" t="s">
        <v>82</v>
      </c>
      <c r="D613" s="6" t="s">
        <v>154</v>
      </c>
      <c r="E613" s="34">
        <v>42106.0</v>
      </c>
      <c r="F613" s="6" t="s">
        <v>2071</v>
      </c>
      <c r="G613" s="6" t="s">
        <v>114</v>
      </c>
      <c r="H613" s="6" t="s">
        <v>2072</v>
      </c>
      <c r="I613" s="35" t="s">
        <v>50</v>
      </c>
      <c r="J613" s="36">
        <v>96.4</v>
      </c>
      <c r="K613" s="36">
        <v>86.8</v>
      </c>
      <c r="L613" s="36">
        <f t="shared" si="2"/>
        <v>1</v>
      </c>
      <c r="M613" s="36" t="str">
        <f t="shared" si="3"/>
        <v>Playoffs</v>
      </c>
      <c r="N613" s="36" t="str">
        <f>IFERROR(VLOOKUP(I613,Mapped_Owner,2,0),"")</f>
        <v>Buser</v>
      </c>
      <c r="O613" s="6">
        <f>VLOOKUP(D613,'Mapped Opponent'!$G$4:$H$22,2,0)</f>
        <v>17</v>
      </c>
      <c r="P613" s="6"/>
      <c r="Q613" s="6" t="str">
        <f t="shared" si="4"/>
        <v>Week 17</v>
      </c>
      <c r="R613" s="6" t="str">
        <f t="shared" si="5"/>
        <v>2014Round 3</v>
      </c>
      <c r="S613" s="6">
        <f>IFERROR(__xludf.DUMMYFUNCTION("rank(J613,FILTER(J:J,R:R=R613))"),3.0)</f>
        <v>3</v>
      </c>
      <c r="T613" s="6">
        <f t="shared" si="6"/>
        <v>9</v>
      </c>
      <c r="U613" s="6">
        <f t="shared" si="7"/>
        <v>3</v>
      </c>
      <c r="V613" s="42">
        <f>averageif(AllData!A:A,B613,AllData!R:R)/vlookup(B613,AllData!A:O,15,0)</f>
        <v>94.87820513</v>
      </c>
      <c r="W613" s="6"/>
    </row>
    <row r="614" ht="14.25" customHeight="1">
      <c r="A614" s="6" t="str">
        <f t="shared" si="1"/>
        <v>2014Hudspeath1</v>
      </c>
      <c r="B614" s="6">
        <v>2014.0</v>
      </c>
      <c r="C614" s="6" t="s">
        <v>39</v>
      </c>
      <c r="D614" s="6" t="s">
        <v>129</v>
      </c>
      <c r="E614" s="34">
        <v>36526.0</v>
      </c>
      <c r="F614" s="6" t="s">
        <v>2073</v>
      </c>
      <c r="G614" s="6" t="s">
        <v>125</v>
      </c>
      <c r="H614" s="6" t="s">
        <v>2074</v>
      </c>
      <c r="I614" s="35" t="s">
        <v>77</v>
      </c>
      <c r="J614" s="36">
        <v>109.7</v>
      </c>
      <c r="K614" s="36">
        <v>107.5</v>
      </c>
      <c r="L614" s="36">
        <f t="shared" si="2"/>
        <v>1</v>
      </c>
      <c r="M614" s="36" t="str">
        <f t="shared" si="3"/>
        <v>Regular Season</v>
      </c>
      <c r="N614" s="36" t="str">
        <f>IFERROR(VLOOKUP(I614,Mapped_Owner,2,0),"")</f>
        <v>Salty</v>
      </c>
      <c r="O614" s="6">
        <f>VLOOKUP(D614,'Mapped Opponent'!$G$4:$H$22,2,0)</f>
        <v>1</v>
      </c>
      <c r="P614" s="6"/>
      <c r="Q614" s="6" t="str">
        <f t="shared" si="4"/>
        <v>Week 1</v>
      </c>
      <c r="R614" s="6" t="str">
        <f t="shared" si="5"/>
        <v>2014Week 1</v>
      </c>
      <c r="S614" s="6">
        <f>IFERROR(__xludf.DUMMYFUNCTION("rank(J614,FILTER(J:J,R:R=R614))"),3.0)</f>
        <v>3</v>
      </c>
      <c r="T614" s="6">
        <f t="shared" si="6"/>
        <v>9</v>
      </c>
      <c r="U614" s="6">
        <f t="shared" si="7"/>
        <v>3</v>
      </c>
      <c r="V614" s="42">
        <f>averageif(AllData!A:A,B614,AllData!R:R)/vlookup(B614,AllData!A:O,15,0)</f>
        <v>94.87820513</v>
      </c>
      <c r="W614" s="6"/>
    </row>
    <row r="615" ht="14.25" customHeight="1">
      <c r="A615" s="6" t="str">
        <f t="shared" si="1"/>
        <v>2014Salty1</v>
      </c>
      <c r="B615" s="6">
        <v>2014.0</v>
      </c>
      <c r="C615" s="6" t="s">
        <v>76</v>
      </c>
      <c r="D615" s="6" t="s">
        <v>129</v>
      </c>
      <c r="E615" s="34" t="s">
        <v>359</v>
      </c>
      <c r="F615" s="6" t="s">
        <v>2075</v>
      </c>
      <c r="G615" s="6" t="s">
        <v>114</v>
      </c>
      <c r="H615" s="6" t="s">
        <v>373</v>
      </c>
      <c r="I615" s="35" t="s">
        <v>64</v>
      </c>
      <c r="J615" s="36">
        <v>107.5</v>
      </c>
      <c r="K615" s="36">
        <v>109.7</v>
      </c>
      <c r="L615" s="36">
        <f t="shared" si="2"/>
        <v>0</v>
      </c>
      <c r="M615" s="36" t="str">
        <f t="shared" si="3"/>
        <v>Regular Season</v>
      </c>
      <c r="N615" s="36" t="str">
        <f>IFERROR(VLOOKUP(I615,Mapped_Owner,2,0),"")</f>
        <v>Hudspeath</v>
      </c>
      <c r="O615" s="6">
        <f>VLOOKUP(D615,'Mapped Opponent'!$G$4:$H$22,2,0)</f>
        <v>1</v>
      </c>
      <c r="P615" s="6"/>
      <c r="Q615" s="6" t="str">
        <f t="shared" si="4"/>
        <v>Week 1</v>
      </c>
      <c r="R615" s="6" t="str">
        <f t="shared" si="5"/>
        <v>2014Week 1</v>
      </c>
      <c r="S615" s="6">
        <f>IFERROR(__xludf.DUMMYFUNCTION("rank(J615,FILTER(J:J,R:R=R615))"),5.0)</f>
        <v>5</v>
      </c>
      <c r="T615" s="6">
        <f t="shared" si="6"/>
        <v>7</v>
      </c>
      <c r="U615" s="6">
        <f t="shared" si="7"/>
        <v>5</v>
      </c>
      <c r="V615" s="42">
        <f>averageif(AllData!A:A,B615,AllData!R:R)/vlookup(B615,AllData!A:O,15,0)</f>
        <v>94.87820513</v>
      </c>
      <c r="W615" s="6"/>
    </row>
    <row r="616" ht="14.25" customHeight="1">
      <c r="A616" s="6" t="str">
        <f t="shared" si="1"/>
        <v>2014Fellows1</v>
      </c>
      <c r="B616" s="6">
        <v>2014.0</v>
      </c>
      <c r="C616" s="6" t="s">
        <v>79</v>
      </c>
      <c r="D616" s="6" t="s">
        <v>129</v>
      </c>
      <c r="E616" s="34">
        <v>36526.0</v>
      </c>
      <c r="F616" s="6" t="s">
        <v>2076</v>
      </c>
      <c r="G616" s="6" t="s">
        <v>114</v>
      </c>
      <c r="H616" s="6" t="s">
        <v>2077</v>
      </c>
      <c r="I616" s="35" t="s">
        <v>91</v>
      </c>
      <c r="J616" s="36">
        <v>94.7</v>
      </c>
      <c r="K616" s="36">
        <v>87.3</v>
      </c>
      <c r="L616" s="36">
        <f t="shared" si="2"/>
        <v>1</v>
      </c>
      <c r="M616" s="36" t="str">
        <f t="shared" si="3"/>
        <v>Regular Season</v>
      </c>
      <c r="N616" s="36" t="str">
        <f>IFERROR(VLOOKUP(I616,Mapped_Owner,2,0),"")</f>
        <v>Shep</v>
      </c>
      <c r="O616" s="6">
        <f>VLOOKUP(D616,'Mapped Opponent'!$G$4:$H$22,2,0)</f>
        <v>1</v>
      </c>
      <c r="P616" s="6"/>
      <c r="Q616" s="6" t="str">
        <f t="shared" si="4"/>
        <v>Week 1</v>
      </c>
      <c r="R616" s="6" t="str">
        <f t="shared" si="5"/>
        <v>2014Week 1</v>
      </c>
      <c r="S616" s="6">
        <f>IFERROR(__xludf.DUMMYFUNCTION("rank(J616,FILTER(J:J,R:R=R616))"),6.0)</f>
        <v>6</v>
      </c>
      <c r="T616" s="6">
        <f t="shared" si="6"/>
        <v>6</v>
      </c>
      <c r="U616" s="6">
        <f t="shared" si="7"/>
        <v>6</v>
      </c>
      <c r="V616" s="42">
        <f>averageif(AllData!A:A,B616,AllData!R:R)/vlookup(B616,AllData!A:O,15,0)</f>
        <v>94.87820513</v>
      </c>
      <c r="W616" s="6"/>
    </row>
    <row r="617" ht="14.25" customHeight="1">
      <c r="A617" s="6" t="str">
        <f t="shared" si="1"/>
        <v>2014Shep1</v>
      </c>
      <c r="B617" s="6">
        <v>2014.0</v>
      </c>
      <c r="C617" s="6" t="s">
        <v>89</v>
      </c>
      <c r="D617" s="6" t="s">
        <v>129</v>
      </c>
      <c r="E617" s="34" t="s">
        <v>359</v>
      </c>
      <c r="F617" s="6" t="s">
        <v>2078</v>
      </c>
      <c r="G617" s="6" t="s">
        <v>125</v>
      </c>
      <c r="H617" s="6" t="s">
        <v>2079</v>
      </c>
      <c r="I617" s="35" t="s">
        <v>80</v>
      </c>
      <c r="J617" s="36">
        <v>87.3</v>
      </c>
      <c r="K617" s="36">
        <v>94.7</v>
      </c>
      <c r="L617" s="36">
        <f t="shared" si="2"/>
        <v>0</v>
      </c>
      <c r="M617" s="36" t="str">
        <f t="shared" si="3"/>
        <v>Regular Season</v>
      </c>
      <c r="N617" s="36" t="str">
        <f>IFERROR(VLOOKUP(I617,Mapped_Owner,2,0),"")</f>
        <v>Fellows</v>
      </c>
      <c r="O617" s="6">
        <f>VLOOKUP(D617,'Mapped Opponent'!$G$4:$H$22,2,0)</f>
        <v>1</v>
      </c>
      <c r="P617" s="6"/>
      <c r="Q617" s="6" t="str">
        <f t="shared" si="4"/>
        <v>Week 1</v>
      </c>
      <c r="R617" s="6" t="str">
        <f t="shared" si="5"/>
        <v>2014Week 1</v>
      </c>
      <c r="S617" s="6">
        <f>IFERROR(__xludf.DUMMYFUNCTION("rank(J617,FILTER(J:J,R:R=R617))"),8.0)</f>
        <v>8</v>
      </c>
      <c r="T617" s="6">
        <f t="shared" si="6"/>
        <v>4</v>
      </c>
      <c r="U617" s="6">
        <f t="shared" si="7"/>
        <v>8</v>
      </c>
      <c r="V617" s="42">
        <f>averageif(AllData!A:A,B617,AllData!R:R)/vlookup(B617,AllData!A:O,15,0)</f>
        <v>94.87820513</v>
      </c>
      <c r="W617" s="6"/>
    </row>
    <row r="618" ht="14.25" customHeight="1">
      <c r="A618" s="6" t="str">
        <f t="shared" si="1"/>
        <v>2014Riley1</v>
      </c>
      <c r="B618" s="6">
        <v>2014.0</v>
      </c>
      <c r="C618" s="6" t="s">
        <v>67</v>
      </c>
      <c r="D618" s="6" t="s">
        <v>129</v>
      </c>
      <c r="E618" s="34">
        <v>36526.0</v>
      </c>
      <c r="F618" s="6" t="s">
        <v>2080</v>
      </c>
      <c r="G618" s="6" t="s">
        <v>114</v>
      </c>
      <c r="H618" s="6" t="s">
        <v>2081</v>
      </c>
      <c r="I618" s="35" t="s">
        <v>50</v>
      </c>
      <c r="J618" s="36">
        <v>110.3</v>
      </c>
      <c r="K618" s="36">
        <v>51.0</v>
      </c>
      <c r="L618" s="36">
        <f t="shared" si="2"/>
        <v>1</v>
      </c>
      <c r="M618" s="36" t="str">
        <f t="shared" si="3"/>
        <v>Regular Season</v>
      </c>
      <c r="N618" s="36" t="str">
        <f>IFERROR(VLOOKUP(I618,Mapped_Owner,2,0),"")</f>
        <v>Buser</v>
      </c>
      <c r="O618" s="6">
        <f>VLOOKUP(D618,'Mapped Opponent'!$G$4:$H$22,2,0)</f>
        <v>1</v>
      </c>
      <c r="P618" s="6"/>
      <c r="Q618" s="6" t="str">
        <f t="shared" si="4"/>
        <v>Week 1</v>
      </c>
      <c r="R618" s="6" t="str">
        <f t="shared" si="5"/>
        <v>2014Week 1</v>
      </c>
      <c r="S618" s="6">
        <f>IFERROR(__xludf.DUMMYFUNCTION("rank(J618,FILTER(J:J,R:R=R618))"),2.0)</f>
        <v>2</v>
      </c>
      <c r="T618" s="6">
        <f t="shared" si="6"/>
        <v>10</v>
      </c>
      <c r="U618" s="6">
        <f t="shared" si="7"/>
        <v>2</v>
      </c>
      <c r="V618" s="42">
        <f>averageif(AllData!A:A,B618,AllData!R:R)/vlookup(B618,AllData!A:O,15,0)</f>
        <v>94.87820513</v>
      </c>
      <c r="W618" s="6"/>
    </row>
    <row r="619" ht="14.25" customHeight="1">
      <c r="A619" s="6" t="str">
        <f t="shared" si="1"/>
        <v>2014Rooney/Jackson1</v>
      </c>
      <c r="B619" s="6">
        <v>2014.0</v>
      </c>
      <c r="C619" s="6" t="s">
        <v>57</v>
      </c>
      <c r="D619" s="6" t="s">
        <v>129</v>
      </c>
      <c r="E619" s="34" t="s">
        <v>359</v>
      </c>
      <c r="F619" s="6" t="s">
        <v>2082</v>
      </c>
      <c r="G619" s="6" t="s">
        <v>114</v>
      </c>
      <c r="H619" s="6" t="s">
        <v>2083</v>
      </c>
      <c r="I619" s="35" t="s">
        <v>99</v>
      </c>
      <c r="J619" s="36">
        <v>69.7</v>
      </c>
      <c r="K619" s="36">
        <v>83.5</v>
      </c>
      <c r="L619" s="36">
        <f t="shared" si="2"/>
        <v>0</v>
      </c>
      <c r="M619" s="36" t="str">
        <f t="shared" si="3"/>
        <v>Regular Season</v>
      </c>
      <c r="N619" s="36" t="str">
        <f>IFERROR(VLOOKUP(I619,Mapped_Owner,2,0),"")</f>
        <v>Cock</v>
      </c>
      <c r="O619" s="6">
        <f>VLOOKUP(D619,'Mapped Opponent'!$G$4:$H$22,2,0)</f>
        <v>1</v>
      </c>
      <c r="P619" s="6"/>
      <c r="Q619" s="6" t="str">
        <f t="shared" si="4"/>
        <v>Week 1</v>
      </c>
      <c r="R619" s="6" t="str">
        <f t="shared" si="5"/>
        <v>2014Week 1</v>
      </c>
      <c r="S619" s="6">
        <f>IFERROR(__xludf.DUMMYFUNCTION("rank(J619,FILTER(J:J,R:R=R619))"),11.0)</f>
        <v>11</v>
      </c>
      <c r="T619" s="6">
        <f t="shared" si="6"/>
        <v>1</v>
      </c>
      <c r="U619" s="6">
        <f t="shared" si="7"/>
        <v>11</v>
      </c>
      <c r="V619" s="42">
        <f>averageif(AllData!A:A,B619,AllData!R:R)/vlookup(B619,AllData!A:O,15,0)</f>
        <v>94.87820513</v>
      </c>
      <c r="W619" s="6"/>
    </row>
    <row r="620" ht="14.25" customHeight="1">
      <c r="A620" s="6" t="str">
        <f t="shared" si="1"/>
        <v>2014Buser1</v>
      </c>
      <c r="B620" s="6">
        <v>2014.0</v>
      </c>
      <c r="C620" s="6" t="s">
        <v>47</v>
      </c>
      <c r="D620" s="6" t="s">
        <v>129</v>
      </c>
      <c r="E620" s="34" t="s">
        <v>359</v>
      </c>
      <c r="F620" s="6" t="s">
        <v>2084</v>
      </c>
      <c r="G620" s="6" t="s">
        <v>125</v>
      </c>
      <c r="H620" s="6" t="s">
        <v>2085</v>
      </c>
      <c r="I620" s="35" t="s">
        <v>68</v>
      </c>
      <c r="J620" s="36">
        <v>51.0</v>
      </c>
      <c r="K620" s="36">
        <v>110.3</v>
      </c>
      <c r="L620" s="36">
        <f t="shared" si="2"/>
        <v>0</v>
      </c>
      <c r="M620" s="36" t="str">
        <f t="shared" si="3"/>
        <v>Regular Season</v>
      </c>
      <c r="N620" s="36" t="str">
        <f>IFERROR(VLOOKUP(I620,Mapped_Owner,2,0),"")</f>
        <v>Riley</v>
      </c>
      <c r="O620" s="6">
        <f>VLOOKUP(D620,'Mapped Opponent'!$G$4:$H$22,2,0)</f>
        <v>1</v>
      </c>
      <c r="P620" s="6"/>
      <c r="Q620" s="6" t="str">
        <f t="shared" si="4"/>
        <v>Week 1</v>
      </c>
      <c r="R620" s="6" t="str">
        <f t="shared" si="5"/>
        <v>2014Week 1</v>
      </c>
      <c r="S620" s="6">
        <f>IFERROR(__xludf.DUMMYFUNCTION("rank(J620,FILTER(J:J,R:R=R620))"),12.0)</f>
        <v>12</v>
      </c>
      <c r="T620" s="6">
        <f t="shared" si="6"/>
        <v>0</v>
      </c>
      <c r="U620" s="6">
        <f t="shared" si="7"/>
        <v>12</v>
      </c>
      <c r="V620" s="42">
        <f>averageif(AllData!A:A,B620,AllData!R:R)/vlookup(B620,AllData!A:O,15,0)</f>
        <v>94.87820513</v>
      </c>
      <c r="W620" s="6"/>
    </row>
    <row r="621" ht="14.25" customHeight="1">
      <c r="A621" s="6" t="str">
        <f t="shared" si="1"/>
        <v>2014Pierson1</v>
      </c>
      <c r="B621" s="6">
        <v>2014.0</v>
      </c>
      <c r="C621" s="6" t="s">
        <v>92</v>
      </c>
      <c r="D621" s="6" t="s">
        <v>129</v>
      </c>
      <c r="E621" s="34">
        <v>36526.0</v>
      </c>
      <c r="F621" s="6" t="s">
        <v>2086</v>
      </c>
      <c r="G621" s="6" t="s">
        <v>125</v>
      </c>
      <c r="H621" s="6" t="s">
        <v>2087</v>
      </c>
      <c r="I621" s="35" t="s">
        <v>85</v>
      </c>
      <c r="J621" s="36">
        <v>93.5</v>
      </c>
      <c r="K621" s="36">
        <v>79.9</v>
      </c>
      <c r="L621" s="36">
        <f t="shared" si="2"/>
        <v>1</v>
      </c>
      <c r="M621" s="36" t="str">
        <f t="shared" si="3"/>
        <v>Regular Season</v>
      </c>
      <c r="N621" s="36" t="str">
        <f>IFERROR(VLOOKUP(I621,Mapped_Owner,2,0),"")</f>
        <v>T-How</v>
      </c>
      <c r="O621" s="6">
        <f>VLOOKUP(D621,'Mapped Opponent'!$G$4:$H$22,2,0)</f>
        <v>1</v>
      </c>
      <c r="P621" s="6"/>
      <c r="Q621" s="6" t="str">
        <f t="shared" si="4"/>
        <v>Week 1</v>
      </c>
      <c r="R621" s="6" t="str">
        <f t="shared" si="5"/>
        <v>2014Week 1</v>
      </c>
      <c r="S621" s="6">
        <f>IFERROR(__xludf.DUMMYFUNCTION("rank(J621,FILTER(J:J,R:R=R621))"),7.0)</f>
        <v>7</v>
      </c>
      <c r="T621" s="6">
        <f t="shared" si="6"/>
        <v>5</v>
      </c>
      <c r="U621" s="6">
        <f t="shared" si="7"/>
        <v>7</v>
      </c>
      <c r="V621" s="42">
        <f>averageif(AllData!A:A,B621,AllData!R:R)/vlookup(B621,AllData!A:O,15,0)</f>
        <v>94.87820513</v>
      </c>
      <c r="W621" s="6"/>
    </row>
    <row r="622" ht="14.25" customHeight="1">
      <c r="A622" s="6" t="str">
        <f t="shared" si="1"/>
        <v>2014Cock1</v>
      </c>
      <c r="B622" s="6">
        <v>2014.0</v>
      </c>
      <c r="C622" s="6" t="s">
        <v>72</v>
      </c>
      <c r="D622" s="6" t="s">
        <v>129</v>
      </c>
      <c r="E622" s="34">
        <v>36526.0</v>
      </c>
      <c r="F622" s="6" t="s">
        <v>2088</v>
      </c>
      <c r="G622" s="6" t="s">
        <v>125</v>
      </c>
      <c r="H622" s="6" t="s">
        <v>2089</v>
      </c>
      <c r="I622" s="35" t="s">
        <v>58</v>
      </c>
      <c r="J622" s="36">
        <v>83.5</v>
      </c>
      <c r="K622" s="36">
        <v>69.7</v>
      </c>
      <c r="L622" s="36">
        <f t="shared" si="2"/>
        <v>1</v>
      </c>
      <c r="M622" s="36" t="str">
        <f t="shared" si="3"/>
        <v>Regular Season</v>
      </c>
      <c r="N622" s="36" t="str">
        <f>IFERROR(VLOOKUP(I622,Mapped_Owner,2,0),"")</f>
        <v>Rooney/Jackson</v>
      </c>
      <c r="O622" s="6">
        <f>VLOOKUP(D622,'Mapped Opponent'!$G$4:$H$22,2,0)</f>
        <v>1</v>
      </c>
      <c r="P622" s="6"/>
      <c r="Q622" s="6" t="str">
        <f t="shared" si="4"/>
        <v>Week 1</v>
      </c>
      <c r="R622" s="6" t="str">
        <f t="shared" si="5"/>
        <v>2014Week 1</v>
      </c>
      <c r="S622" s="6">
        <f>IFERROR(__xludf.DUMMYFUNCTION("rank(J622,FILTER(J:J,R:R=R622))"),9.0)</f>
        <v>9</v>
      </c>
      <c r="T622" s="6">
        <f t="shared" si="6"/>
        <v>3</v>
      </c>
      <c r="U622" s="6">
        <f t="shared" si="7"/>
        <v>9</v>
      </c>
      <c r="V622" s="42">
        <f>averageif(AllData!A:A,B622,AllData!R:R)/vlookup(B622,AllData!A:O,15,0)</f>
        <v>94.87820513</v>
      </c>
      <c r="W622" s="6"/>
    </row>
    <row r="623" ht="14.25" customHeight="1">
      <c r="A623" s="6" t="str">
        <f t="shared" si="1"/>
        <v>2014Tayski1</v>
      </c>
      <c r="B623" s="6">
        <v>2014.0</v>
      </c>
      <c r="C623" s="6" t="s">
        <v>52</v>
      </c>
      <c r="D623" s="6" t="s">
        <v>129</v>
      </c>
      <c r="E623" s="34">
        <v>36526.0</v>
      </c>
      <c r="F623" s="6" t="s">
        <v>2090</v>
      </c>
      <c r="G623" s="6" t="s">
        <v>114</v>
      </c>
      <c r="H623" s="6" t="s">
        <v>2091</v>
      </c>
      <c r="I623" s="35" t="s">
        <v>132</v>
      </c>
      <c r="J623" s="36">
        <v>116.4</v>
      </c>
      <c r="K623" s="36">
        <v>107.6</v>
      </c>
      <c r="L623" s="36">
        <f t="shared" si="2"/>
        <v>1</v>
      </c>
      <c r="M623" s="36" t="str">
        <f t="shared" si="3"/>
        <v>Regular Season</v>
      </c>
      <c r="N623" s="36" t="str">
        <f>IFERROR(VLOOKUP(I623,Mapped_Owner,2,0),"")</f>
        <v>KnardDawg</v>
      </c>
      <c r="O623" s="6">
        <f>VLOOKUP(D623,'Mapped Opponent'!$G$4:$H$22,2,0)</f>
        <v>1</v>
      </c>
      <c r="P623" s="6"/>
      <c r="Q623" s="6" t="str">
        <f t="shared" si="4"/>
        <v>Week 1</v>
      </c>
      <c r="R623" s="6" t="str">
        <f t="shared" si="5"/>
        <v>2014Week 1</v>
      </c>
      <c r="S623" s="6">
        <f>IFERROR(__xludf.DUMMYFUNCTION("rank(J623,FILTER(J:J,R:R=R623))"),1.0)</f>
        <v>1</v>
      </c>
      <c r="T623" s="6">
        <f t="shared" si="6"/>
        <v>11</v>
      </c>
      <c r="U623" s="6">
        <f t="shared" si="7"/>
        <v>1</v>
      </c>
      <c r="V623" s="42">
        <f>averageif(AllData!A:A,B623,AllData!R:R)/vlookup(B623,AllData!A:O,15,0)</f>
        <v>94.87820513</v>
      </c>
      <c r="W623" s="6"/>
    </row>
    <row r="624" ht="14.25" customHeight="1">
      <c r="A624" s="6" t="str">
        <f t="shared" si="1"/>
        <v>2014KnardDawg1</v>
      </c>
      <c r="B624" s="6">
        <v>2014.0</v>
      </c>
      <c r="C624" s="6" t="s">
        <v>86</v>
      </c>
      <c r="D624" s="6" t="s">
        <v>129</v>
      </c>
      <c r="E624" s="34" t="s">
        <v>359</v>
      </c>
      <c r="F624" s="6" t="s">
        <v>2092</v>
      </c>
      <c r="G624" s="6" t="s">
        <v>125</v>
      </c>
      <c r="H624" s="6" t="s">
        <v>2093</v>
      </c>
      <c r="I624" s="35" t="s">
        <v>54</v>
      </c>
      <c r="J624" s="36">
        <v>107.6</v>
      </c>
      <c r="K624" s="36">
        <v>116.4</v>
      </c>
      <c r="L624" s="36">
        <f t="shared" si="2"/>
        <v>0</v>
      </c>
      <c r="M624" s="36" t="str">
        <f t="shared" si="3"/>
        <v>Regular Season</v>
      </c>
      <c r="N624" s="36" t="str">
        <f>IFERROR(VLOOKUP(I624,Mapped_Owner,2,0),"")</f>
        <v>Tayski</v>
      </c>
      <c r="O624" s="6">
        <f>VLOOKUP(D624,'Mapped Opponent'!$G$4:$H$22,2,0)</f>
        <v>1</v>
      </c>
      <c r="P624" s="6"/>
      <c r="Q624" s="6" t="str">
        <f t="shared" si="4"/>
        <v>Week 1</v>
      </c>
      <c r="R624" s="6" t="str">
        <f t="shared" si="5"/>
        <v>2014Week 1</v>
      </c>
      <c r="S624" s="6">
        <f>IFERROR(__xludf.DUMMYFUNCTION("rank(J624,FILTER(J:J,R:R=R624))"),4.0)</f>
        <v>4</v>
      </c>
      <c r="T624" s="6">
        <f t="shared" si="6"/>
        <v>8</v>
      </c>
      <c r="U624" s="6">
        <f t="shared" si="7"/>
        <v>4</v>
      </c>
      <c r="V624" s="42">
        <f>averageif(AllData!A:A,B624,AllData!R:R)/vlookup(B624,AllData!A:O,15,0)</f>
        <v>94.87820513</v>
      </c>
      <c r="W624" s="6"/>
    </row>
    <row r="625" ht="14.25" customHeight="1">
      <c r="A625" s="6" t="str">
        <f t="shared" si="1"/>
        <v>2014T-How1</v>
      </c>
      <c r="B625" s="6">
        <v>2014.0</v>
      </c>
      <c r="C625" s="6" t="s">
        <v>82</v>
      </c>
      <c r="D625" s="6" t="s">
        <v>129</v>
      </c>
      <c r="E625" s="34" t="s">
        <v>359</v>
      </c>
      <c r="F625" s="6" t="s">
        <v>2094</v>
      </c>
      <c r="G625" s="6" t="s">
        <v>114</v>
      </c>
      <c r="H625" s="6" t="s">
        <v>2095</v>
      </c>
      <c r="I625" s="35" t="s">
        <v>93</v>
      </c>
      <c r="J625" s="36">
        <v>79.9</v>
      </c>
      <c r="K625" s="36">
        <v>93.5</v>
      </c>
      <c r="L625" s="36">
        <f t="shared" si="2"/>
        <v>0</v>
      </c>
      <c r="M625" s="36" t="str">
        <f t="shared" si="3"/>
        <v>Regular Season</v>
      </c>
      <c r="N625" s="36" t="str">
        <f>IFERROR(VLOOKUP(I625,Mapped_Owner,2,0),"")</f>
        <v>Pierson</v>
      </c>
      <c r="O625" s="6">
        <f>VLOOKUP(D625,'Mapped Opponent'!$G$4:$H$22,2,0)</f>
        <v>1</v>
      </c>
      <c r="P625" s="6"/>
      <c r="Q625" s="6" t="str">
        <f t="shared" si="4"/>
        <v>Week 1</v>
      </c>
      <c r="R625" s="6" t="str">
        <f t="shared" si="5"/>
        <v>2014Week 1</v>
      </c>
      <c r="S625" s="6">
        <f>IFERROR(__xludf.DUMMYFUNCTION("rank(J625,FILTER(J:J,R:R=R625))"),10.0)</f>
        <v>10</v>
      </c>
      <c r="T625" s="6">
        <f t="shared" si="6"/>
        <v>2</v>
      </c>
      <c r="U625" s="6">
        <f t="shared" si="7"/>
        <v>10</v>
      </c>
      <c r="V625" s="42">
        <f>averageif(AllData!A:A,B625,AllData!R:R)/vlookup(B625,AllData!A:O,15,0)</f>
        <v>94.87820513</v>
      </c>
      <c r="W625" s="6"/>
    </row>
    <row r="626" ht="14.25" customHeight="1">
      <c r="A626" s="6" t="str">
        <f t="shared" si="1"/>
        <v>2014Hudspeath10</v>
      </c>
      <c r="B626" s="6">
        <v>2014.0</v>
      </c>
      <c r="C626" s="6" t="s">
        <v>39</v>
      </c>
      <c r="D626" s="6" t="s">
        <v>149</v>
      </c>
      <c r="E626" s="34">
        <v>42218.0</v>
      </c>
      <c r="F626" s="6" t="s">
        <v>2096</v>
      </c>
      <c r="G626" s="6" t="s">
        <v>125</v>
      </c>
      <c r="H626" s="6" t="s">
        <v>2097</v>
      </c>
      <c r="I626" s="35" t="s">
        <v>99</v>
      </c>
      <c r="J626" s="36">
        <v>113.6</v>
      </c>
      <c r="K626" s="36">
        <v>91.9</v>
      </c>
      <c r="L626" s="36">
        <f t="shared" si="2"/>
        <v>1</v>
      </c>
      <c r="M626" s="36" t="str">
        <f t="shared" si="3"/>
        <v>Regular Season</v>
      </c>
      <c r="N626" s="36" t="str">
        <f>IFERROR(VLOOKUP(I626,Mapped_Owner,2,0),"")</f>
        <v>Cock</v>
      </c>
      <c r="O626" s="6">
        <f>VLOOKUP(D626,'Mapped Opponent'!$G$4:$H$22,2,0)</f>
        <v>10</v>
      </c>
      <c r="P626" s="6"/>
      <c r="Q626" s="6" t="str">
        <f t="shared" si="4"/>
        <v>Week 10</v>
      </c>
      <c r="R626" s="6" t="str">
        <f t="shared" si="5"/>
        <v>2014Week 10</v>
      </c>
      <c r="S626" s="6">
        <f>IFERROR(__xludf.DUMMYFUNCTION("rank(J626,FILTER(J:J,R:R=R626))"),4.0)</f>
        <v>4</v>
      </c>
      <c r="T626" s="6">
        <f t="shared" si="6"/>
        <v>8</v>
      </c>
      <c r="U626" s="6">
        <f t="shared" si="7"/>
        <v>4</v>
      </c>
      <c r="V626" s="42">
        <f>averageif(AllData!A:A,B626,AllData!R:R)/vlookup(B626,AllData!A:O,15,0)</f>
        <v>94.87820513</v>
      </c>
      <c r="W626" s="6"/>
    </row>
    <row r="627" ht="14.25" customHeight="1">
      <c r="A627" s="6" t="str">
        <f t="shared" si="1"/>
        <v>2014Salty10</v>
      </c>
      <c r="B627" s="6">
        <v>2014.0</v>
      </c>
      <c r="C627" s="6" t="s">
        <v>76</v>
      </c>
      <c r="D627" s="6" t="s">
        <v>149</v>
      </c>
      <c r="E627" s="34">
        <v>42159.0</v>
      </c>
      <c r="F627" s="6" t="s">
        <v>2098</v>
      </c>
      <c r="G627" s="6" t="s">
        <v>125</v>
      </c>
      <c r="H627" s="6" t="s">
        <v>2099</v>
      </c>
      <c r="I627" s="35" t="s">
        <v>91</v>
      </c>
      <c r="J627" s="36">
        <v>82.2</v>
      </c>
      <c r="K627" s="36">
        <v>83.1</v>
      </c>
      <c r="L627" s="36">
        <f t="shared" si="2"/>
        <v>0</v>
      </c>
      <c r="M627" s="36" t="str">
        <f t="shared" si="3"/>
        <v>Regular Season</v>
      </c>
      <c r="N627" s="36" t="str">
        <f>IFERROR(VLOOKUP(I627,Mapped_Owner,2,0),"")</f>
        <v>Shep</v>
      </c>
      <c r="O627" s="6">
        <f>VLOOKUP(D627,'Mapped Opponent'!$G$4:$H$22,2,0)</f>
        <v>10</v>
      </c>
      <c r="P627" s="6"/>
      <c r="Q627" s="6" t="str">
        <f t="shared" si="4"/>
        <v>Week 10</v>
      </c>
      <c r="R627" s="6" t="str">
        <f t="shared" si="5"/>
        <v>2014Week 10</v>
      </c>
      <c r="S627" s="6">
        <f>IFERROR(__xludf.DUMMYFUNCTION("rank(J627,FILTER(J:J,R:R=R627))"),9.0)</f>
        <v>9</v>
      </c>
      <c r="T627" s="6">
        <f t="shared" si="6"/>
        <v>3</v>
      </c>
      <c r="U627" s="6">
        <f t="shared" si="7"/>
        <v>9</v>
      </c>
      <c r="V627" s="42">
        <f>averageif(AllData!A:A,B627,AllData!R:R)/vlookup(B627,AllData!A:O,15,0)</f>
        <v>94.87820513</v>
      </c>
      <c r="W627" s="6"/>
    </row>
    <row r="628" ht="14.25" customHeight="1">
      <c r="A628" s="6" t="str">
        <f t="shared" si="1"/>
        <v>2014Fellows10</v>
      </c>
      <c r="B628" s="6">
        <v>2014.0</v>
      </c>
      <c r="C628" s="6" t="s">
        <v>79</v>
      </c>
      <c r="D628" s="6" t="s">
        <v>149</v>
      </c>
      <c r="E628" s="34">
        <v>42159.0</v>
      </c>
      <c r="F628" s="6" t="s">
        <v>2100</v>
      </c>
      <c r="G628" s="6" t="s">
        <v>125</v>
      </c>
      <c r="H628" s="6" t="s">
        <v>2101</v>
      </c>
      <c r="I628" s="35" t="s">
        <v>50</v>
      </c>
      <c r="J628" s="36">
        <v>142.8</v>
      </c>
      <c r="K628" s="36">
        <v>84.9</v>
      </c>
      <c r="L628" s="36">
        <f t="shared" si="2"/>
        <v>1</v>
      </c>
      <c r="M628" s="36" t="str">
        <f t="shared" si="3"/>
        <v>Regular Season</v>
      </c>
      <c r="N628" s="36" t="str">
        <f>IFERROR(VLOOKUP(I628,Mapped_Owner,2,0),"")</f>
        <v>Buser</v>
      </c>
      <c r="O628" s="6">
        <f>VLOOKUP(D628,'Mapped Opponent'!$G$4:$H$22,2,0)</f>
        <v>10</v>
      </c>
      <c r="P628" s="6"/>
      <c r="Q628" s="6" t="str">
        <f t="shared" si="4"/>
        <v>Week 10</v>
      </c>
      <c r="R628" s="6" t="str">
        <f t="shared" si="5"/>
        <v>2014Week 10</v>
      </c>
      <c r="S628" s="6">
        <f>IFERROR(__xludf.DUMMYFUNCTION("rank(J628,FILTER(J:J,R:R=R628))"),2.0)</f>
        <v>2</v>
      </c>
      <c r="T628" s="6">
        <f t="shared" si="6"/>
        <v>10</v>
      </c>
      <c r="U628" s="6">
        <f t="shared" si="7"/>
        <v>2</v>
      </c>
      <c r="V628" s="42">
        <f>averageif(AllData!A:A,B628,AllData!R:R)/vlookup(B628,AllData!A:O,15,0)</f>
        <v>94.87820513</v>
      </c>
      <c r="W628" s="6"/>
    </row>
    <row r="629" ht="14.25" customHeight="1">
      <c r="A629" s="6" t="str">
        <f t="shared" si="1"/>
        <v>2014Shep10</v>
      </c>
      <c r="B629" s="6">
        <v>2014.0</v>
      </c>
      <c r="C629" s="6" t="s">
        <v>89</v>
      </c>
      <c r="D629" s="6" t="s">
        <v>149</v>
      </c>
      <c r="E629" s="34">
        <v>42129.0</v>
      </c>
      <c r="F629" s="6" t="s">
        <v>2102</v>
      </c>
      <c r="G629" s="6" t="s">
        <v>114</v>
      </c>
      <c r="H629" s="6" t="s">
        <v>2103</v>
      </c>
      <c r="I629" s="35" t="s">
        <v>77</v>
      </c>
      <c r="J629" s="36">
        <v>83.1</v>
      </c>
      <c r="K629" s="36">
        <v>82.2</v>
      </c>
      <c r="L629" s="36">
        <f t="shared" si="2"/>
        <v>1</v>
      </c>
      <c r="M629" s="36" t="str">
        <f t="shared" si="3"/>
        <v>Regular Season</v>
      </c>
      <c r="N629" s="36" t="str">
        <f>IFERROR(VLOOKUP(I629,Mapped_Owner,2,0),"")</f>
        <v>Salty</v>
      </c>
      <c r="O629" s="6">
        <f>VLOOKUP(D629,'Mapped Opponent'!$G$4:$H$22,2,0)</f>
        <v>10</v>
      </c>
      <c r="P629" s="6"/>
      <c r="Q629" s="6" t="str">
        <f t="shared" si="4"/>
        <v>Week 10</v>
      </c>
      <c r="R629" s="6" t="str">
        <f t="shared" si="5"/>
        <v>2014Week 10</v>
      </c>
      <c r="S629" s="6">
        <f>IFERROR(__xludf.DUMMYFUNCTION("rank(J629,FILTER(J:J,R:R=R629))"),8.0)</f>
        <v>8</v>
      </c>
      <c r="T629" s="6">
        <f t="shared" si="6"/>
        <v>4</v>
      </c>
      <c r="U629" s="6">
        <f t="shared" si="7"/>
        <v>8</v>
      </c>
      <c r="V629" s="42">
        <f>averageif(AllData!A:A,B629,AllData!R:R)/vlookup(B629,AllData!A:O,15,0)</f>
        <v>94.87820513</v>
      </c>
      <c r="W629" s="6"/>
    </row>
    <row r="630" ht="14.25" customHeight="1">
      <c r="A630" s="6" t="str">
        <f t="shared" si="1"/>
        <v>2014Riley10</v>
      </c>
      <c r="B630" s="6">
        <v>2014.0</v>
      </c>
      <c r="C630" s="6" t="s">
        <v>67</v>
      </c>
      <c r="D630" s="6" t="s">
        <v>149</v>
      </c>
      <c r="E630" s="34">
        <v>42218.0</v>
      </c>
      <c r="F630" s="6" t="s">
        <v>2104</v>
      </c>
      <c r="G630" s="6" t="s">
        <v>114</v>
      </c>
      <c r="H630" s="6" t="s">
        <v>2105</v>
      </c>
      <c r="I630" s="35" t="s">
        <v>132</v>
      </c>
      <c r="J630" s="36">
        <v>150.9</v>
      </c>
      <c r="K630" s="36">
        <v>73.1</v>
      </c>
      <c r="L630" s="36">
        <f t="shared" si="2"/>
        <v>1</v>
      </c>
      <c r="M630" s="36" t="str">
        <f t="shared" si="3"/>
        <v>Regular Season</v>
      </c>
      <c r="N630" s="36" t="str">
        <f>IFERROR(VLOOKUP(I630,Mapped_Owner,2,0),"")</f>
        <v>KnardDawg</v>
      </c>
      <c r="O630" s="6">
        <f>VLOOKUP(D630,'Mapped Opponent'!$G$4:$H$22,2,0)</f>
        <v>10</v>
      </c>
      <c r="P630" s="6"/>
      <c r="Q630" s="6" t="str">
        <f t="shared" si="4"/>
        <v>Week 10</v>
      </c>
      <c r="R630" s="6" t="str">
        <f t="shared" si="5"/>
        <v>2014Week 10</v>
      </c>
      <c r="S630" s="6">
        <f>IFERROR(__xludf.DUMMYFUNCTION("rank(J630,FILTER(J:J,R:R=R630))"),1.0)</f>
        <v>1</v>
      </c>
      <c r="T630" s="6">
        <f t="shared" si="6"/>
        <v>11</v>
      </c>
      <c r="U630" s="6">
        <f t="shared" si="7"/>
        <v>1</v>
      </c>
      <c r="V630" s="42">
        <f>averageif(AllData!A:A,B630,AllData!R:R)/vlookup(B630,AllData!A:O,15,0)</f>
        <v>94.87820513</v>
      </c>
      <c r="W630" s="6"/>
    </row>
    <row r="631" ht="14.25" customHeight="1">
      <c r="A631" s="6" t="str">
        <f t="shared" si="1"/>
        <v>2014Rooney/Jackson10</v>
      </c>
      <c r="B631" s="6">
        <v>2014.0</v>
      </c>
      <c r="C631" s="6" t="s">
        <v>57</v>
      </c>
      <c r="D631" s="6" t="s">
        <v>149</v>
      </c>
      <c r="E631" s="34">
        <v>42129.0</v>
      </c>
      <c r="F631" s="6" t="s">
        <v>2106</v>
      </c>
      <c r="G631" s="6" t="s">
        <v>114</v>
      </c>
      <c r="H631" s="6" t="s">
        <v>2107</v>
      </c>
      <c r="I631" s="35" t="s">
        <v>93</v>
      </c>
      <c r="J631" s="36">
        <v>77.2</v>
      </c>
      <c r="K631" s="36">
        <v>115.9</v>
      </c>
      <c r="L631" s="36">
        <f t="shared" si="2"/>
        <v>0</v>
      </c>
      <c r="M631" s="36" t="str">
        <f t="shared" si="3"/>
        <v>Regular Season</v>
      </c>
      <c r="N631" s="36" t="str">
        <f>IFERROR(VLOOKUP(I631,Mapped_Owner,2,0),"")</f>
        <v>Pierson</v>
      </c>
      <c r="O631" s="6">
        <f>VLOOKUP(D631,'Mapped Opponent'!$G$4:$H$22,2,0)</f>
        <v>10</v>
      </c>
      <c r="P631" s="6"/>
      <c r="Q631" s="6" t="str">
        <f t="shared" si="4"/>
        <v>Week 10</v>
      </c>
      <c r="R631" s="6" t="str">
        <f t="shared" si="5"/>
        <v>2014Week 10</v>
      </c>
      <c r="S631" s="6">
        <f>IFERROR(__xludf.DUMMYFUNCTION("rank(J631,FILTER(J:J,R:R=R631))"),10.0)</f>
        <v>10</v>
      </c>
      <c r="T631" s="6">
        <f t="shared" si="6"/>
        <v>2</v>
      </c>
      <c r="U631" s="6">
        <f t="shared" si="7"/>
        <v>10</v>
      </c>
      <c r="V631" s="42">
        <f>averageif(AllData!A:A,B631,AllData!R:R)/vlookup(B631,AllData!A:O,15,0)</f>
        <v>94.87820513</v>
      </c>
      <c r="W631" s="6"/>
    </row>
    <row r="632" ht="14.25" customHeight="1">
      <c r="A632" s="6" t="str">
        <f t="shared" si="1"/>
        <v>2014Buser10</v>
      </c>
      <c r="B632" s="6">
        <v>2014.0</v>
      </c>
      <c r="C632" s="6" t="s">
        <v>47</v>
      </c>
      <c r="D632" s="6" t="s">
        <v>149</v>
      </c>
      <c r="E632" s="34">
        <v>42070.0</v>
      </c>
      <c r="F632" s="6" t="s">
        <v>2108</v>
      </c>
      <c r="G632" s="6" t="s">
        <v>114</v>
      </c>
      <c r="H632" s="6" t="s">
        <v>2109</v>
      </c>
      <c r="I632" s="35" t="s">
        <v>80</v>
      </c>
      <c r="J632" s="36">
        <v>84.9</v>
      </c>
      <c r="K632" s="36">
        <v>142.8</v>
      </c>
      <c r="L632" s="36">
        <f t="shared" si="2"/>
        <v>0</v>
      </c>
      <c r="M632" s="36" t="str">
        <f t="shared" si="3"/>
        <v>Regular Season</v>
      </c>
      <c r="N632" s="36" t="str">
        <f>IFERROR(VLOOKUP(I632,Mapped_Owner,2,0),"")</f>
        <v>Fellows</v>
      </c>
      <c r="O632" s="6">
        <f>VLOOKUP(D632,'Mapped Opponent'!$G$4:$H$22,2,0)</f>
        <v>10</v>
      </c>
      <c r="P632" s="6"/>
      <c r="Q632" s="6" t="str">
        <f t="shared" si="4"/>
        <v>Week 10</v>
      </c>
      <c r="R632" s="6" t="str">
        <f t="shared" si="5"/>
        <v>2014Week 10</v>
      </c>
      <c r="S632" s="6">
        <f>IFERROR(__xludf.DUMMYFUNCTION("rank(J632,FILTER(J:J,R:R=R632))"),7.0)</f>
        <v>7</v>
      </c>
      <c r="T632" s="6">
        <f t="shared" si="6"/>
        <v>5</v>
      </c>
      <c r="U632" s="6">
        <f t="shared" si="7"/>
        <v>7</v>
      </c>
      <c r="V632" s="42">
        <f>averageif(AllData!A:A,B632,AllData!R:R)/vlookup(B632,AllData!A:O,15,0)</f>
        <v>94.87820513</v>
      </c>
      <c r="W632" s="6"/>
    </row>
    <row r="633" ht="14.25" customHeight="1">
      <c r="A633" s="6" t="str">
        <f t="shared" si="1"/>
        <v>2014Pierson10</v>
      </c>
      <c r="B633" s="6">
        <v>2014.0</v>
      </c>
      <c r="C633" s="6" t="s">
        <v>92</v>
      </c>
      <c r="D633" s="6" t="s">
        <v>149</v>
      </c>
      <c r="E633" s="34">
        <v>42159.0</v>
      </c>
      <c r="F633" s="6" t="s">
        <v>2110</v>
      </c>
      <c r="G633" s="6" t="s">
        <v>125</v>
      </c>
      <c r="H633" s="6" t="s">
        <v>2111</v>
      </c>
      <c r="I633" s="35" t="s">
        <v>58</v>
      </c>
      <c r="J633" s="36">
        <v>115.9</v>
      </c>
      <c r="K633" s="36">
        <v>77.2</v>
      </c>
      <c r="L633" s="36">
        <f t="shared" si="2"/>
        <v>1</v>
      </c>
      <c r="M633" s="36" t="str">
        <f t="shared" si="3"/>
        <v>Regular Season</v>
      </c>
      <c r="N633" s="36" t="str">
        <f>IFERROR(VLOOKUP(I633,Mapped_Owner,2,0),"")</f>
        <v>Rooney/Jackson</v>
      </c>
      <c r="O633" s="6">
        <f>VLOOKUP(D633,'Mapped Opponent'!$G$4:$H$22,2,0)</f>
        <v>10</v>
      </c>
      <c r="P633" s="6"/>
      <c r="Q633" s="6" t="str">
        <f t="shared" si="4"/>
        <v>Week 10</v>
      </c>
      <c r="R633" s="6" t="str">
        <f t="shared" si="5"/>
        <v>2014Week 10</v>
      </c>
      <c r="S633" s="6">
        <f>IFERROR(__xludf.DUMMYFUNCTION("rank(J633,FILTER(J:J,R:R=R633))"),3.0)</f>
        <v>3</v>
      </c>
      <c r="T633" s="6">
        <f t="shared" si="6"/>
        <v>9</v>
      </c>
      <c r="U633" s="6">
        <f t="shared" si="7"/>
        <v>3</v>
      </c>
      <c r="V633" s="42">
        <f>averageif(AllData!A:A,B633,AllData!R:R)/vlookup(B633,AllData!A:O,15,0)</f>
        <v>94.87820513</v>
      </c>
      <c r="W633" s="6"/>
    </row>
    <row r="634" ht="14.25" customHeight="1">
      <c r="A634" s="6" t="str">
        <f t="shared" si="1"/>
        <v>2014Cock10</v>
      </c>
      <c r="B634" s="6">
        <v>2014.0</v>
      </c>
      <c r="C634" s="6" t="s">
        <v>72</v>
      </c>
      <c r="D634" s="6" t="s">
        <v>149</v>
      </c>
      <c r="E634" s="34">
        <v>42070.0</v>
      </c>
      <c r="F634" s="6" t="s">
        <v>2112</v>
      </c>
      <c r="G634" s="6" t="s">
        <v>114</v>
      </c>
      <c r="H634" s="6" t="s">
        <v>2113</v>
      </c>
      <c r="I634" s="35" t="s">
        <v>64</v>
      </c>
      <c r="J634" s="36">
        <v>91.9</v>
      </c>
      <c r="K634" s="36">
        <v>113.6</v>
      </c>
      <c r="L634" s="36">
        <f t="shared" si="2"/>
        <v>0</v>
      </c>
      <c r="M634" s="36" t="str">
        <f t="shared" si="3"/>
        <v>Regular Season</v>
      </c>
      <c r="N634" s="36" t="str">
        <f>IFERROR(VLOOKUP(I634,Mapped_Owner,2,0),"")</f>
        <v>Hudspeath</v>
      </c>
      <c r="O634" s="6">
        <f>VLOOKUP(D634,'Mapped Opponent'!$G$4:$H$22,2,0)</f>
        <v>10</v>
      </c>
      <c r="P634" s="6"/>
      <c r="Q634" s="6" t="str">
        <f t="shared" si="4"/>
        <v>Week 10</v>
      </c>
      <c r="R634" s="6" t="str">
        <f t="shared" si="5"/>
        <v>2014Week 10</v>
      </c>
      <c r="S634" s="6">
        <f>IFERROR(__xludf.DUMMYFUNCTION("rank(J634,FILTER(J:J,R:R=R634))"),6.0)</f>
        <v>6</v>
      </c>
      <c r="T634" s="6">
        <f t="shared" si="6"/>
        <v>6</v>
      </c>
      <c r="U634" s="6">
        <f t="shared" si="7"/>
        <v>6</v>
      </c>
      <c r="V634" s="42">
        <f>averageif(AllData!A:A,B634,AllData!R:R)/vlookup(B634,AllData!A:O,15,0)</f>
        <v>94.87820513</v>
      </c>
      <c r="W634" s="6"/>
    </row>
    <row r="635" ht="14.25" customHeight="1">
      <c r="A635" s="6" t="str">
        <f t="shared" si="1"/>
        <v>2014Tayski10</v>
      </c>
      <c r="B635" s="6">
        <v>2014.0</v>
      </c>
      <c r="C635" s="6" t="s">
        <v>52</v>
      </c>
      <c r="D635" s="6" t="s">
        <v>149</v>
      </c>
      <c r="E635" s="34">
        <v>42188.0</v>
      </c>
      <c r="F635" s="6" t="s">
        <v>2114</v>
      </c>
      <c r="G635" s="6" t="s">
        <v>114</v>
      </c>
      <c r="H635" s="6" t="s">
        <v>2115</v>
      </c>
      <c r="I635" s="35" t="s">
        <v>85</v>
      </c>
      <c r="J635" s="36">
        <v>95.5</v>
      </c>
      <c r="K635" s="36">
        <v>75.5</v>
      </c>
      <c r="L635" s="36">
        <f t="shared" si="2"/>
        <v>1</v>
      </c>
      <c r="M635" s="36" t="str">
        <f t="shared" si="3"/>
        <v>Regular Season</v>
      </c>
      <c r="N635" s="36" t="str">
        <f>IFERROR(VLOOKUP(I635,Mapped_Owner,2,0),"")</f>
        <v>T-How</v>
      </c>
      <c r="O635" s="6">
        <f>VLOOKUP(D635,'Mapped Opponent'!$G$4:$H$22,2,0)</f>
        <v>10</v>
      </c>
      <c r="P635" s="6"/>
      <c r="Q635" s="6" t="str">
        <f t="shared" si="4"/>
        <v>Week 10</v>
      </c>
      <c r="R635" s="6" t="str">
        <f t="shared" si="5"/>
        <v>2014Week 10</v>
      </c>
      <c r="S635" s="6">
        <f>IFERROR(__xludf.DUMMYFUNCTION("rank(J635,FILTER(J:J,R:R=R635))"),5.0)</f>
        <v>5</v>
      </c>
      <c r="T635" s="6">
        <f t="shared" si="6"/>
        <v>7</v>
      </c>
      <c r="U635" s="6">
        <f t="shared" si="7"/>
        <v>5</v>
      </c>
      <c r="V635" s="42">
        <f>averageif(AllData!A:A,B635,AllData!R:R)/vlookup(B635,AllData!A:O,15,0)</f>
        <v>94.87820513</v>
      </c>
      <c r="W635" s="6"/>
    </row>
    <row r="636" ht="14.25" customHeight="1">
      <c r="A636" s="6" t="str">
        <f t="shared" si="1"/>
        <v>2014KnardDawg10</v>
      </c>
      <c r="B636" s="6">
        <v>2014.0</v>
      </c>
      <c r="C636" s="6" t="s">
        <v>86</v>
      </c>
      <c r="D636" s="6" t="s">
        <v>149</v>
      </c>
      <c r="E636" s="34">
        <v>42043.0</v>
      </c>
      <c r="F636" s="6" t="s">
        <v>2116</v>
      </c>
      <c r="G636" s="6" t="s">
        <v>125</v>
      </c>
      <c r="H636" s="6" t="s">
        <v>2117</v>
      </c>
      <c r="I636" s="35" t="s">
        <v>68</v>
      </c>
      <c r="J636" s="36">
        <v>73.1</v>
      </c>
      <c r="K636" s="36">
        <v>150.9</v>
      </c>
      <c r="L636" s="36">
        <f t="shared" si="2"/>
        <v>0</v>
      </c>
      <c r="M636" s="36" t="str">
        <f t="shared" si="3"/>
        <v>Regular Season</v>
      </c>
      <c r="N636" s="36" t="str">
        <f>IFERROR(VLOOKUP(I636,Mapped_Owner,2,0),"")</f>
        <v>Riley</v>
      </c>
      <c r="O636" s="6">
        <f>VLOOKUP(D636,'Mapped Opponent'!$G$4:$H$22,2,0)</f>
        <v>10</v>
      </c>
      <c r="P636" s="6"/>
      <c r="Q636" s="6" t="str">
        <f t="shared" si="4"/>
        <v>Week 10</v>
      </c>
      <c r="R636" s="6" t="str">
        <f t="shared" si="5"/>
        <v>2014Week 10</v>
      </c>
      <c r="S636" s="6">
        <f>IFERROR(__xludf.DUMMYFUNCTION("rank(J636,FILTER(J:J,R:R=R636))"),12.0)</f>
        <v>12</v>
      </c>
      <c r="T636" s="6">
        <f t="shared" si="6"/>
        <v>0</v>
      </c>
      <c r="U636" s="6">
        <f t="shared" si="7"/>
        <v>12</v>
      </c>
      <c r="V636" s="42">
        <f>averageif(AllData!A:A,B636,AllData!R:R)/vlookup(B636,AllData!A:O,15,0)</f>
        <v>94.87820513</v>
      </c>
      <c r="W636" s="6"/>
    </row>
    <row r="637" ht="14.25" customHeight="1">
      <c r="A637" s="6" t="str">
        <f t="shared" si="1"/>
        <v>2014T-How10</v>
      </c>
      <c r="B637" s="6">
        <v>2014.0</v>
      </c>
      <c r="C637" s="6" t="s">
        <v>82</v>
      </c>
      <c r="D637" s="6" t="s">
        <v>149</v>
      </c>
      <c r="E637" s="34">
        <v>42013.0</v>
      </c>
      <c r="F637" s="6" t="s">
        <v>2118</v>
      </c>
      <c r="G637" s="6" t="s">
        <v>125</v>
      </c>
      <c r="H637" s="6" t="s">
        <v>2119</v>
      </c>
      <c r="I637" s="35" t="s">
        <v>54</v>
      </c>
      <c r="J637" s="36">
        <v>75.5</v>
      </c>
      <c r="K637" s="36">
        <v>95.5</v>
      </c>
      <c r="L637" s="36">
        <f t="shared" si="2"/>
        <v>0</v>
      </c>
      <c r="M637" s="36" t="str">
        <f t="shared" si="3"/>
        <v>Regular Season</v>
      </c>
      <c r="N637" s="36" t="str">
        <f>IFERROR(VLOOKUP(I637,Mapped_Owner,2,0),"")</f>
        <v>Tayski</v>
      </c>
      <c r="O637" s="6">
        <f>VLOOKUP(D637,'Mapped Opponent'!$G$4:$H$22,2,0)</f>
        <v>10</v>
      </c>
      <c r="P637" s="6"/>
      <c r="Q637" s="6" t="str">
        <f t="shared" si="4"/>
        <v>Week 10</v>
      </c>
      <c r="R637" s="6" t="str">
        <f t="shared" si="5"/>
        <v>2014Week 10</v>
      </c>
      <c r="S637" s="6">
        <f>IFERROR(__xludf.DUMMYFUNCTION("rank(J637,FILTER(J:J,R:R=R637))"),11.0)</f>
        <v>11</v>
      </c>
      <c r="T637" s="6">
        <f t="shared" si="6"/>
        <v>1</v>
      </c>
      <c r="U637" s="6">
        <f t="shared" si="7"/>
        <v>11</v>
      </c>
      <c r="V637" s="42">
        <f>averageif(AllData!A:A,B637,AllData!R:R)/vlookup(B637,AllData!A:O,15,0)</f>
        <v>94.87820513</v>
      </c>
      <c r="W637" s="6"/>
    </row>
    <row r="638" ht="14.25" customHeight="1">
      <c r="A638" s="6" t="str">
        <f t="shared" si="1"/>
        <v>2014Hudspeath11</v>
      </c>
      <c r="B638" s="6">
        <v>2014.0</v>
      </c>
      <c r="C638" s="6" t="s">
        <v>39</v>
      </c>
      <c r="D638" s="6" t="s">
        <v>150</v>
      </c>
      <c r="E638" s="34">
        <v>42249.0</v>
      </c>
      <c r="F638" s="6" t="s">
        <v>2120</v>
      </c>
      <c r="G638" s="6" t="s">
        <v>125</v>
      </c>
      <c r="H638" s="6" t="s">
        <v>2121</v>
      </c>
      <c r="I638" s="35" t="s">
        <v>68</v>
      </c>
      <c r="J638" s="36">
        <v>119.3</v>
      </c>
      <c r="K638" s="36">
        <v>75.2</v>
      </c>
      <c r="L638" s="36">
        <f t="shared" si="2"/>
        <v>1</v>
      </c>
      <c r="M638" s="36" t="str">
        <f t="shared" si="3"/>
        <v>Regular Season</v>
      </c>
      <c r="N638" s="36" t="str">
        <f>IFERROR(VLOOKUP(I638,Mapped_Owner,2,0),"")</f>
        <v>Riley</v>
      </c>
      <c r="O638" s="6">
        <f>VLOOKUP(D638,'Mapped Opponent'!$G$4:$H$22,2,0)</f>
        <v>11</v>
      </c>
      <c r="P638" s="6"/>
      <c r="Q638" s="6" t="str">
        <f t="shared" si="4"/>
        <v>Week 11</v>
      </c>
      <c r="R638" s="6" t="str">
        <f t="shared" si="5"/>
        <v>2014Week 11</v>
      </c>
      <c r="S638" s="6">
        <f>IFERROR(__xludf.DUMMYFUNCTION("rank(J638,FILTER(J:J,R:R=R638))"),1.0)</f>
        <v>1</v>
      </c>
      <c r="T638" s="6">
        <f t="shared" si="6"/>
        <v>11</v>
      </c>
      <c r="U638" s="6">
        <f t="shared" si="7"/>
        <v>1</v>
      </c>
      <c r="V638" s="42">
        <f>averageif(AllData!A:A,B638,AllData!R:R)/vlookup(B638,AllData!A:O,15,0)</f>
        <v>94.87820513</v>
      </c>
      <c r="W638" s="6"/>
    </row>
    <row r="639" ht="14.25" customHeight="1">
      <c r="A639" s="6" t="str">
        <f t="shared" si="1"/>
        <v>2014Salty11</v>
      </c>
      <c r="B639" s="6">
        <v>2014.0</v>
      </c>
      <c r="C639" s="6" t="s">
        <v>76</v>
      </c>
      <c r="D639" s="6" t="s">
        <v>150</v>
      </c>
      <c r="E639" s="34">
        <v>42160.0</v>
      </c>
      <c r="F639" s="6" t="s">
        <v>2122</v>
      </c>
      <c r="G639" s="6" t="s">
        <v>114</v>
      </c>
      <c r="H639" s="6" t="s">
        <v>2123</v>
      </c>
      <c r="I639" s="35" t="s">
        <v>80</v>
      </c>
      <c r="J639" s="36">
        <v>81.5</v>
      </c>
      <c r="K639" s="36">
        <v>82.3</v>
      </c>
      <c r="L639" s="36">
        <f t="shared" si="2"/>
        <v>0</v>
      </c>
      <c r="M639" s="36" t="str">
        <f t="shared" si="3"/>
        <v>Regular Season</v>
      </c>
      <c r="N639" s="36" t="str">
        <f>IFERROR(VLOOKUP(I639,Mapped_Owner,2,0),"")</f>
        <v>Fellows</v>
      </c>
      <c r="O639" s="6">
        <f>VLOOKUP(D639,'Mapped Opponent'!$G$4:$H$22,2,0)</f>
        <v>11</v>
      </c>
      <c r="P639" s="6"/>
      <c r="Q639" s="6" t="str">
        <f t="shared" si="4"/>
        <v>Week 11</v>
      </c>
      <c r="R639" s="6" t="str">
        <f t="shared" si="5"/>
        <v>2014Week 11</v>
      </c>
      <c r="S639" s="6">
        <f>IFERROR(__xludf.DUMMYFUNCTION("rank(J639,FILTER(J:J,R:R=R639))"),8.0)</f>
        <v>8</v>
      </c>
      <c r="T639" s="6">
        <f t="shared" si="6"/>
        <v>4</v>
      </c>
      <c r="U639" s="6">
        <f t="shared" si="7"/>
        <v>8</v>
      </c>
      <c r="V639" s="42">
        <f>averageif(AllData!A:A,B639,AllData!R:R)/vlookup(B639,AllData!A:O,15,0)</f>
        <v>94.87820513</v>
      </c>
      <c r="W639" s="6"/>
    </row>
    <row r="640" ht="14.25" customHeight="1">
      <c r="A640" s="6" t="str">
        <f t="shared" si="1"/>
        <v>2014Fellows11</v>
      </c>
      <c r="B640" s="6">
        <v>2014.0</v>
      </c>
      <c r="C640" s="6" t="s">
        <v>79</v>
      </c>
      <c r="D640" s="6" t="s">
        <v>150</v>
      </c>
      <c r="E640" s="34">
        <v>42189.0</v>
      </c>
      <c r="F640" s="6" t="s">
        <v>2124</v>
      </c>
      <c r="G640" s="6" t="s">
        <v>125</v>
      </c>
      <c r="H640" s="6" t="s">
        <v>2125</v>
      </c>
      <c r="I640" s="35" t="s">
        <v>77</v>
      </c>
      <c r="J640" s="36">
        <v>82.3</v>
      </c>
      <c r="K640" s="36">
        <v>81.5</v>
      </c>
      <c r="L640" s="36">
        <f t="shared" si="2"/>
        <v>1</v>
      </c>
      <c r="M640" s="36" t="str">
        <f t="shared" si="3"/>
        <v>Regular Season</v>
      </c>
      <c r="N640" s="36" t="str">
        <f>IFERROR(VLOOKUP(I640,Mapped_Owner,2,0),"")</f>
        <v>Salty</v>
      </c>
      <c r="O640" s="6">
        <f>VLOOKUP(D640,'Mapped Opponent'!$G$4:$H$22,2,0)</f>
        <v>11</v>
      </c>
      <c r="P640" s="6"/>
      <c r="Q640" s="6" t="str">
        <f t="shared" si="4"/>
        <v>Week 11</v>
      </c>
      <c r="R640" s="6" t="str">
        <f t="shared" si="5"/>
        <v>2014Week 11</v>
      </c>
      <c r="S640" s="6">
        <f>IFERROR(__xludf.DUMMYFUNCTION("rank(J640,FILTER(J:J,R:R=R640))"),6.0)</f>
        <v>6</v>
      </c>
      <c r="T640" s="6">
        <f t="shared" si="6"/>
        <v>6</v>
      </c>
      <c r="U640" s="6">
        <f t="shared" si="7"/>
        <v>6</v>
      </c>
      <c r="V640" s="42">
        <f>averageif(AllData!A:A,B640,AllData!R:R)/vlookup(B640,AllData!A:O,15,0)</f>
        <v>94.87820513</v>
      </c>
      <c r="W640" s="6"/>
    </row>
    <row r="641" ht="14.25" customHeight="1">
      <c r="A641" s="6" t="str">
        <f t="shared" si="1"/>
        <v>2014Shep11</v>
      </c>
      <c r="B641" s="6">
        <v>2014.0</v>
      </c>
      <c r="C641" s="6" t="s">
        <v>89</v>
      </c>
      <c r="D641" s="6" t="s">
        <v>150</v>
      </c>
      <c r="E641" s="34">
        <v>42160.0</v>
      </c>
      <c r="F641" s="6" t="s">
        <v>2126</v>
      </c>
      <c r="G641" s="6" t="s">
        <v>114</v>
      </c>
      <c r="H641" s="6" t="s">
        <v>2127</v>
      </c>
      <c r="I641" s="35" t="s">
        <v>132</v>
      </c>
      <c r="J641" s="36">
        <v>81.8</v>
      </c>
      <c r="K641" s="36">
        <v>73.3</v>
      </c>
      <c r="L641" s="36">
        <f t="shared" si="2"/>
        <v>1</v>
      </c>
      <c r="M641" s="36" t="str">
        <f t="shared" si="3"/>
        <v>Regular Season</v>
      </c>
      <c r="N641" s="36" t="str">
        <f>IFERROR(VLOOKUP(I641,Mapped_Owner,2,0),"")</f>
        <v>KnardDawg</v>
      </c>
      <c r="O641" s="6">
        <f>VLOOKUP(D641,'Mapped Opponent'!$G$4:$H$22,2,0)</f>
        <v>11</v>
      </c>
      <c r="P641" s="6"/>
      <c r="Q641" s="6" t="str">
        <f t="shared" si="4"/>
        <v>Week 11</v>
      </c>
      <c r="R641" s="6" t="str">
        <f t="shared" si="5"/>
        <v>2014Week 11</v>
      </c>
      <c r="S641" s="6">
        <f>IFERROR(__xludf.DUMMYFUNCTION("rank(J641,FILTER(J:J,R:R=R641))"),7.0)</f>
        <v>7</v>
      </c>
      <c r="T641" s="6">
        <f t="shared" si="6"/>
        <v>5</v>
      </c>
      <c r="U641" s="6">
        <f t="shared" si="7"/>
        <v>7</v>
      </c>
      <c r="V641" s="42">
        <f>averageif(AllData!A:A,B641,AllData!R:R)/vlookup(B641,AllData!A:O,15,0)</f>
        <v>94.87820513</v>
      </c>
      <c r="W641" s="6"/>
    </row>
    <row r="642" ht="14.25" customHeight="1">
      <c r="A642" s="6" t="str">
        <f t="shared" si="1"/>
        <v>2014Riley11</v>
      </c>
      <c r="B642" s="6">
        <v>2014.0</v>
      </c>
      <c r="C642" s="6" t="s">
        <v>67</v>
      </c>
      <c r="D642" s="6" t="s">
        <v>150</v>
      </c>
      <c r="E642" s="34">
        <v>42219.0</v>
      </c>
      <c r="F642" s="6" t="s">
        <v>2128</v>
      </c>
      <c r="G642" s="6" t="s">
        <v>114</v>
      </c>
      <c r="H642" s="6" t="s">
        <v>2129</v>
      </c>
      <c r="I642" s="35" t="s">
        <v>64</v>
      </c>
      <c r="J642" s="36">
        <v>75.2</v>
      </c>
      <c r="K642" s="36">
        <v>119.3</v>
      </c>
      <c r="L642" s="36">
        <f t="shared" si="2"/>
        <v>0</v>
      </c>
      <c r="M642" s="36" t="str">
        <f t="shared" si="3"/>
        <v>Regular Season</v>
      </c>
      <c r="N642" s="36" t="str">
        <f>IFERROR(VLOOKUP(I642,Mapped_Owner,2,0),"")</f>
        <v>Hudspeath</v>
      </c>
      <c r="O642" s="6">
        <f>VLOOKUP(D642,'Mapped Opponent'!$G$4:$H$22,2,0)</f>
        <v>11</v>
      </c>
      <c r="P642" s="6"/>
      <c r="Q642" s="6" t="str">
        <f t="shared" si="4"/>
        <v>Week 11</v>
      </c>
      <c r="R642" s="6" t="str">
        <f t="shared" si="5"/>
        <v>2014Week 11</v>
      </c>
      <c r="S642" s="6">
        <f>IFERROR(__xludf.DUMMYFUNCTION("rank(J642,FILTER(J:J,R:R=R642))"),9.0)</f>
        <v>9</v>
      </c>
      <c r="T642" s="6">
        <f t="shared" si="6"/>
        <v>3</v>
      </c>
      <c r="U642" s="6">
        <f t="shared" si="7"/>
        <v>9</v>
      </c>
      <c r="V642" s="42">
        <f>averageif(AllData!A:A,B642,AllData!R:R)/vlookup(B642,AllData!A:O,15,0)</f>
        <v>94.87820513</v>
      </c>
      <c r="W642" s="6"/>
    </row>
    <row r="643" ht="14.25" customHeight="1">
      <c r="A643" s="6" t="str">
        <f t="shared" si="1"/>
        <v>2014Rooney/Jackson11</v>
      </c>
      <c r="B643" s="6">
        <v>2014.0</v>
      </c>
      <c r="C643" s="6" t="s">
        <v>57</v>
      </c>
      <c r="D643" s="6" t="s">
        <v>150</v>
      </c>
      <c r="E643" s="34">
        <v>42130.0</v>
      </c>
      <c r="F643" s="6" t="s">
        <v>2130</v>
      </c>
      <c r="G643" s="6" t="s">
        <v>125</v>
      </c>
      <c r="H643" s="6" t="s">
        <v>2131</v>
      </c>
      <c r="I643" s="35" t="s">
        <v>85</v>
      </c>
      <c r="J643" s="36">
        <v>69.0</v>
      </c>
      <c r="K643" s="36">
        <v>114.1</v>
      </c>
      <c r="L643" s="36">
        <f t="shared" si="2"/>
        <v>0</v>
      </c>
      <c r="M643" s="36" t="str">
        <f t="shared" si="3"/>
        <v>Regular Season</v>
      </c>
      <c r="N643" s="36" t="str">
        <f>IFERROR(VLOOKUP(I643,Mapped_Owner,2,0),"")</f>
        <v>T-How</v>
      </c>
      <c r="O643" s="6">
        <f>VLOOKUP(D643,'Mapped Opponent'!$G$4:$H$22,2,0)</f>
        <v>11</v>
      </c>
      <c r="P643" s="6"/>
      <c r="Q643" s="6" t="str">
        <f t="shared" si="4"/>
        <v>Week 11</v>
      </c>
      <c r="R643" s="6" t="str">
        <f t="shared" si="5"/>
        <v>2014Week 11</v>
      </c>
      <c r="S643" s="6">
        <f>IFERROR(__xludf.DUMMYFUNCTION("rank(J643,FILTER(J:J,R:R=R643))"),11.0)</f>
        <v>11</v>
      </c>
      <c r="T643" s="6">
        <f t="shared" si="6"/>
        <v>1</v>
      </c>
      <c r="U643" s="6">
        <f t="shared" si="7"/>
        <v>11</v>
      </c>
      <c r="V643" s="42">
        <f>averageif(AllData!A:A,B643,AllData!R:R)/vlookup(B643,AllData!A:O,15,0)</f>
        <v>94.87820513</v>
      </c>
      <c r="W643" s="6"/>
    </row>
    <row r="644" ht="14.25" customHeight="1">
      <c r="A644" s="6" t="str">
        <f t="shared" si="1"/>
        <v>2014Buser11</v>
      </c>
      <c r="B644" s="6">
        <v>2014.0</v>
      </c>
      <c r="C644" s="6" t="s">
        <v>47</v>
      </c>
      <c r="D644" s="6" t="s">
        <v>150</v>
      </c>
      <c r="E644" s="34">
        <v>42071.0</v>
      </c>
      <c r="F644" s="6" t="s">
        <v>2132</v>
      </c>
      <c r="G644" s="6" t="s">
        <v>125</v>
      </c>
      <c r="H644" s="6" t="s">
        <v>2133</v>
      </c>
      <c r="I644" s="35" t="s">
        <v>99</v>
      </c>
      <c r="J644" s="36">
        <v>63.0</v>
      </c>
      <c r="K644" s="36">
        <v>89.5</v>
      </c>
      <c r="L644" s="36">
        <f t="shared" si="2"/>
        <v>0</v>
      </c>
      <c r="M644" s="36" t="str">
        <f t="shared" si="3"/>
        <v>Regular Season</v>
      </c>
      <c r="N644" s="36" t="str">
        <f>IFERROR(VLOOKUP(I644,Mapped_Owner,2,0),"")</f>
        <v>Cock</v>
      </c>
      <c r="O644" s="6">
        <f>VLOOKUP(D644,'Mapped Opponent'!$G$4:$H$22,2,0)</f>
        <v>11</v>
      </c>
      <c r="P644" s="6"/>
      <c r="Q644" s="6" t="str">
        <f t="shared" si="4"/>
        <v>Week 11</v>
      </c>
      <c r="R644" s="6" t="str">
        <f t="shared" si="5"/>
        <v>2014Week 11</v>
      </c>
      <c r="S644" s="6">
        <f>IFERROR(__xludf.DUMMYFUNCTION("rank(J644,FILTER(J:J,R:R=R644))"),12.0)</f>
        <v>12</v>
      </c>
      <c r="T644" s="6">
        <f t="shared" si="6"/>
        <v>0</v>
      </c>
      <c r="U644" s="6">
        <f t="shared" si="7"/>
        <v>12</v>
      </c>
      <c r="V644" s="42">
        <f>averageif(AllData!A:A,B644,AllData!R:R)/vlookup(B644,AllData!A:O,15,0)</f>
        <v>94.87820513</v>
      </c>
      <c r="W644" s="6"/>
    </row>
    <row r="645" ht="14.25" customHeight="1">
      <c r="A645" s="6" t="str">
        <f t="shared" si="1"/>
        <v>2014Pierson11</v>
      </c>
      <c r="B645" s="6">
        <v>2014.0</v>
      </c>
      <c r="C645" s="6" t="s">
        <v>92</v>
      </c>
      <c r="D645" s="6" t="s">
        <v>150</v>
      </c>
      <c r="E645" s="34">
        <v>42160.0</v>
      </c>
      <c r="F645" s="6" t="s">
        <v>2134</v>
      </c>
      <c r="G645" s="6" t="s">
        <v>114</v>
      </c>
      <c r="H645" s="6" t="s">
        <v>2135</v>
      </c>
      <c r="I645" s="35" t="s">
        <v>54</v>
      </c>
      <c r="J645" s="36">
        <v>83.7</v>
      </c>
      <c r="K645" s="36">
        <v>107.0</v>
      </c>
      <c r="L645" s="36">
        <f t="shared" si="2"/>
        <v>0</v>
      </c>
      <c r="M645" s="36" t="str">
        <f t="shared" si="3"/>
        <v>Regular Season</v>
      </c>
      <c r="N645" s="36" t="str">
        <f>IFERROR(VLOOKUP(I645,Mapped_Owner,2,0),"")</f>
        <v>Tayski</v>
      </c>
      <c r="O645" s="6">
        <f>VLOOKUP(D645,'Mapped Opponent'!$G$4:$H$22,2,0)</f>
        <v>11</v>
      </c>
      <c r="P645" s="6"/>
      <c r="Q645" s="6" t="str">
        <f t="shared" si="4"/>
        <v>Week 11</v>
      </c>
      <c r="R645" s="6" t="str">
        <f t="shared" si="5"/>
        <v>2014Week 11</v>
      </c>
      <c r="S645" s="6">
        <f>IFERROR(__xludf.DUMMYFUNCTION("rank(J645,FILTER(J:J,R:R=R645))"),5.0)</f>
        <v>5</v>
      </c>
      <c r="T645" s="6">
        <f t="shared" si="6"/>
        <v>7</v>
      </c>
      <c r="U645" s="6">
        <f t="shared" si="7"/>
        <v>5</v>
      </c>
      <c r="V645" s="42">
        <f>averageif(AllData!A:A,B645,AllData!R:R)/vlookup(B645,AllData!A:O,15,0)</f>
        <v>94.87820513</v>
      </c>
      <c r="W645" s="6"/>
    </row>
    <row r="646" ht="14.25" customHeight="1">
      <c r="A646" s="6" t="str">
        <f t="shared" si="1"/>
        <v>2014Cock11</v>
      </c>
      <c r="B646" s="6">
        <v>2014.0</v>
      </c>
      <c r="C646" s="6" t="s">
        <v>72</v>
      </c>
      <c r="D646" s="6" t="s">
        <v>150</v>
      </c>
      <c r="E646" s="34">
        <v>42101.0</v>
      </c>
      <c r="F646" s="6" t="s">
        <v>2136</v>
      </c>
      <c r="G646" s="6" t="s">
        <v>114</v>
      </c>
      <c r="H646" s="6" t="s">
        <v>2137</v>
      </c>
      <c r="I646" s="35" t="s">
        <v>50</v>
      </c>
      <c r="J646" s="36">
        <v>89.5</v>
      </c>
      <c r="K646" s="36">
        <v>63.0</v>
      </c>
      <c r="L646" s="36">
        <f t="shared" si="2"/>
        <v>1</v>
      </c>
      <c r="M646" s="36" t="str">
        <f t="shared" si="3"/>
        <v>Regular Season</v>
      </c>
      <c r="N646" s="36" t="str">
        <f>IFERROR(VLOOKUP(I646,Mapped_Owner,2,0),"")</f>
        <v>Buser</v>
      </c>
      <c r="O646" s="6">
        <f>VLOOKUP(D646,'Mapped Opponent'!$G$4:$H$22,2,0)</f>
        <v>11</v>
      </c>
      <c r="P646" s="6"/>
      <c r="Q646" s="6" t="str">
        <f t="shared" si="4"/>
        <v>Week 11</v>
      </c>
      <c r="R646" s="6" t="str">
        <f t="shared" si="5"/>
        <v>2014Week 11</v>
      </c>
      <c r="S646" s="6">
        <f>IFERROR(__xludf.DUMMYFUNCTION("rank(J646,FILTER(J:J,R:R=R646))"),4.0)</f>
        <v>4</v>
      </c>
      <c r="T646" s="6">
        <f t="shared" si="6"/>
        <v>8</v>
      </c>
      <c r="U646" s="6">
        <f t="shared" si="7"/>
        <v>4</v>
      </c>
      <c r="V646" s="42">
        <f>averageif(AllData!A:A,B646,AllData!R:R)/vlookup(B646,AllData!A:O,15,0)</f>
        <v>94.87820513</v>
      </c>
      <c r="W646" s="6"/>
    </row>
    <row r="647" ht="14.25" customHeight="1">
      <c r="A647" s="6" t="str">
        <f t="shared" si="1"/>
        <v>2014Tayski11</v>
      </c>
      <c r="B647" s="6">
        <v>2014.0</v>
      </c>
      <c r="C647" s="6" t="s">
        <v>52</v>
      </c>
      <c r="D647" s="6" t="s">
        <v>150</v>
      </c>
      <c r="E647" s="34">
        <v>42219.0</v>
      </c>
      <c r="F647" s="6" t="s">
        <v>2138</v>
      </c>
      <c r="G647" s="6" t="s">
        <v>125</v>
      </c>
      <c r="H647" s="6" t="s">
        <v>2139</v>
      </c>
      <c r="I647" s="35" t="s">
        <v>93</v>
      </c>
      <c r="J647" s="36">
        <v>107.0</v>
      </c>
      <c r="K647" s="36">
        <v>83.7</v>
      </c>
      <c r="L647" s="36">
        <f t="shared" si="2"/>
        <v>1</v>
      </c>
      <c r="M647" s="36" t="str">
        <f t="shared" si="3"/>
        <v>Regular Season</v>
      </c>
      <c r="N647" s="36" t="str">
        <f>IFERROR(VLOOKUP(I647,Mapped_Owner,2,0),"")</f>
        <v>Pierson</v>
      </c>
      <c r="O647" s="6">
        <f>VLOOKUP(D647,'Mapped Opponent'!$G$4:$H$22,2,0)</f>
        <v>11</v>
      </c>
      <c r="P647" s="6"/>
      <c r="Q647" s="6" t="str">
        <f t="shared" si="4"/>
        <v>Week 11</v>
      </c>
      <c r="R647" s="6" t="str">
        <f t="shared" si="5"/>
        <v>2014Week 11</v>
      </c>
      <c r="S647" s="6">
        <f>IFERROR(__xludf.DUMMYFUNCTION("rank(J647,FILTER(J:J,R:R=R647))"),3.0)</f>
        <v>3</v>
      </c>
      <c r="T647" s="6">
        <f t="shared" si="6"/>
        <v>9</v>
      </c>
      <c r="U647" s="6">
        <f t="shared" si="7"/>
        <v>3</v>
      </c>
      <c r="V647" s="42">
        <f>averageif(AllData!A:A,B647,AllData!R:R)/vlookup(B647,AllData!A:O,15,0)</f>
        <v>94.87820513</v>
      </c>
      <c r="W647" s="6"/>
    </row>
    <row r="648" ht="14.25" customHeight="1">
      <c r="A648" s="6" t="str">
        <f t="shared" si="1"/>
        <v>2014KnardDawg11</v>
      </c>
      <c r="B648" s="6">
        <v>2014.0</v>
      </c>
      <c r="C648" s="6" t="s">
        <v>86</v>
      </c>
      <c r="D648" s="6" t="s">
        <v>150</v>
      </c>
      <c r="E648" s="34">
        <v>42044.0</v>
      </c>
      <c r="F648" s="6" t="s">
        <v>2140</v>
      </c>
      <c r="G648" s="6" t="s">
        <v>125</v>
      </c>
      <c r="H648" s="6" t="s">
        <v>2141</v>
      </c>
      <c r="I648" s="35" t="s">
        <v>91</v>
      </c>
      <c r="J648" s="36">
        <v>73.3</v>
      </c>
      <c r="K648" s="36">
        <v>81.8</v>
      </c>
      <c r="L648" s="36">
        <f t="shared" si="2"/>
        <v>0</v>
      </c>
      <c r="M648" s="36" t="str">
        <f t="shared" si="3"/>
        <v>Regular Season</v>
      </c>
      <c r="N648" s="36" t="str">
        <f>IFERROR(VLOOKUP(I648,Mapped_Owner,2,0),"")</f>
        <v>Shep</v>
      </c>
      <c r="O648" s="6">
        <f>VLOOKUP(D648,'Mapped Opponent'!$G$4:$H$22,2,0)</f>
        <v>11</v>
      </c>
      <c r="P648" s="6"/>
      <c r="Q648" s="6" t="str">
        <f t="shared" si="4"/>
        <v>Week 11</v>
      </c>
      <c r="R648" s="6" t="str">
        <f t="shared" si="5"/>
        <v>2014Week 11</v>
      </c>
      <c r="S648" s="6">
        <f>IFERROR(__xludf.DUMMYFUNCTION("rank(J648,FILTER(J:J,R:R=R648))"),10.0)</f>
        <v>10</v>
      </c>
      <c r="T648" s="6">
        <f t="shared" si="6"/>
        <v>2</v>
      </c>
      <c r="U648" s="6">
        <f t="shared" si="7"/>
        <v>10</v>
      </c>
      <c r="V648" s="42">
        <f>averageif(AllData!A:A,B648,AllData!R:R)/vlookup(B648,AllData!A:O,15,0)</f>
        <v>94.87820513</v>
      </c>
      <c r="W648" s="6"/>
    </row>
    <row r="649" ht="14.25" customHeight="1">
      <c r="A649" s="6" t="str">
        <f t="shared" si="1"/>
        <v>2014T-How11</v>
      </c>
      <c r="B649" s="6">
        <v>2014.0</v>
      </c>
      <c r="C649" s="6" t="s">
        <v>82</v>
      </c>
      <c r="D649" s="6" t="s">
        <v>150</v>
      </c>
      <c r="E649" s="34">
        <v>42044.0</v>
      </c>
      <c r="F649" s="6" t="s">
        <v>2142</v>
      </c>
      <c r="G649" s="6" t="s">
        <v>114</v>
      </c>
      <c r="H649" s="6" t="s">
        <v>2143</v>
      </c>
      <c r="I649" s="35" t="s">
        <v>58</v>
      </c>
      <c r="J649" s="36">
        <v>114.1</v>
      </c>
      <c r="K649" s="36">
        <v>69.0</v>
      </c>
      <c r="L649" s="36">
        <f t="shared" si="2"/>
        <v>1</v>
      </c>
      <c r="M649" s="36" t="str">
        <f t="shared" si="3"/>
        <v>Regular Season</v>
      </c>
      <c r="N649" s="36" t="str">
        <f>IFERROR(VLOOKUP(I649,Mapped_Owner,2,0),"")</f>
        <v>Rooney/Jackson</v>
      </c>
      <c r="O649" s="6">
        <f>VLOOKUP(D649,'Mapped Opponent'!$G$4:$H$22,2,0)</f>
        <v>11</v>
      </c>
      <c r="P649" s="6"/>
      <c r="Q649" s="6" t="str">
        <f t="shared" si="4"/>
        <v>Week 11</v>
      </c>
      <c r="R649" s="6" t="str">
        <f t="shared" si="5"/>
        <v>2014Week 11</v>
      </c>
      <c r="S649" s="6">
        <f>IFERROR(__xludf.DUMMYFUNCTION("rank(J649,FILTER(J:J,R:R=R649))"),2.0)</f>
        <v>2</v>
      </c>
      <c r="T649" s="6">
        <f t="shared" si="6"/>
        <v>10</v>
      </c>
      <c r="U649" s="6">
        <f t="shared" si="7"/>
        <v>2</v>
      </c>
      <c r="V649" s="42">
        <f>averageif(AllData!A:A,B649,AllData!R:R)/vlookup(B649,AllData!A:O,15,0)</f>
        <v>94.87820513</v>
      </c>
      <c r="W649" s="6"/>
    </row>
    <row r="650" ht="14.25" customHeight="1">
      <c r="A650" s="6" t="str">
        <f t="shared" si="1"/>
        <v>2014Hudspeath12</v>
      </c>
      <c r="B650" s="6">
        <v>2014.0</v>
      </c>
      <c r="C650" s="6" t="s">
        <v>39</v>
      </c>
      <c r="D650" s="6" t="s">
        <v>151</v>
      </c>
      <c r="E650" s="34">
        <v>42279.0</v>
      </c>
      <c r="F650" s="6" t="s">
        <v>2144</v>
      </c>
      <c r="G650" s="6" t="s">
        <v>114</v>
      </c>
      <c r="H650" s="6" t="s">
        <v>2145</v>
      </c>
      <c r="I650" s="35" t="s">
        <v>50</v>
      </c>
      <c r="J650" s="36">
        <v>120.0</v>
      </c>
      <c r="K650" s="36">
        <v>99.7</v>
      </c>
      <c r="L650" s="36">
        <f t="shared" si="2"/>
        <v>1</v>
      </c>
      <c r="M650" s="36" t="str">
        <f t="shared" si="3"/>
        <v>Regular Season</v>
      </c>
      <c r="N650" s="36" t="str">
        <f>IFERROR(VLOOKUP(I650,Mapped_Owner,2,0),"")</f>
        <v>Buser</v>
      </c>
      <c r="O650" s="6">
        <f>VLOOKUP(D650,'Mapped Opponent'!$G$4:$H$22,2,0)</f>
        <v>12</v>
      </c>
      <c r="P650" s="6"/>
      <c r="Q650" s="6" t="str">
        <f t="shared" si="4"/>
        <v>Week 12</v>
      </c>
      <c r="R650" s="6" t="str">
        <f t="shared" si="5"/>
        <v>2014Week 12</v>
      </c>
      <c r="S650" s="6">
        <f>IFERROR(__xludf.DUMMYFUNCTION("rank(J650,FILTER(J:J,R:R=R650))"),2.0)</f>
        <v>2</v>
      </c>
      <c r="T650" s="6">
        <f t="shared" si="6"/>
        <v>10</v>
      </c>
      <c r="U650" s="6">
        <f t="shared" si="7"/>
        <v>2</v>
      </c>
      <c r="V650" s="42">
        <f>averageif(AllData!A:A,B650,AllData!R:R)/vlookup(B650,AllData!A:O,15,0)</f>
        <v>94.87820513</v>
      </c>
      <c r="W650" s="6"/>
    </row>
    <row r="651" ht="14.25" customHeight="1">
      <c r="A651" s="6" t="str">
        <f t="shared" si="1"/>
        <v>2014Salty12</v>
      </c>
      <c r="B651" s="6">
        <v>2014.0</v>
      </c>
      <c r="C651" s="6" t="s">
        <v>76</v>
      </c>
      <c r="D651" s="6" t="s">
        <v>151</v>
      </c>
      <c r="E651" s="34">
        <v>42161.0</v>
      </c>
      <c r="F651" s="6" t="s">
        <v>2146</v>
      </c>
      <c r="G651" s="6" t="s">
        <v>125</v>
      </c>
      <c r="H651" s="6" t="s">
        <v>2147</v>
      </c>
      <c r="I651" s="35" t="s">
        <v>68</v>
      </c>
      <c r="J651" s="36">
        <v>109.7</v>
      </c>
      <c r="K651" s="36">
        <v>126.6</v>
      </c>
      <c r="L651" s="36">
        <f t="shared" si="2"/>
        <v>0</v>
      </c>
      <c r="M651" s="36" t="str">
        <f t="shared" si="3"/>
        <v>Regular Season</v>
      </c>
      <c r="N651" s="36" t="str">
        <f>IFERROR(VLOOKUP(I651,Mapped_Owner,2,0),"")</f>
        <v>Riley</v>
      </c>
      <c r="O651" s="6">
        <f>VLOOKUP(D651,'Mapped Opponent'!$G$4:$H$22,2,0)</f>
        <v>12</v>
      </c>
      <c r="P651" s="6"/>
      <c r="Q651" s="6" t="str">
        <f t="shared" si="4"/>
        <v>Week 12</v>
      </c>
      <c r="R651" s="6" t="str">
        <f t="shared" si="5"/>
        <v>2014Week 12</v>
      </c>
      <c r="S651" s="6">
        <f>IFERROR(__xludf.DUMMYFUNCTION("rank(J651,FILTER(J:J,R:R=R651))"),3.0)</f>
        <v>3</v>
      </c>
      <c r="T651" s="6">
        <f t="shared" si="6"/>
        <v>9</v>
      </c>
      <c r="U651" s="6">
        <f t="shared" si="7"/>
        <v>3</v>
      </c>
      <c r="V651" s="42">
        <f>averageif(AllData!A:A,B651,AllData!R:R)/vlookup(B651,AllData!A:O,15,0)</f>
        <v>94.87820513</v>
      </c>
      <c r="W651" s="6"/>
    </row>
    <row r="652" ht="14.25" customHeight="1">
      <c r="A652" s="6" t="str">
        <f t="shared" si="1"/>
        <v>2014Fellows12</v>
      </c>
      <c r="B652" s="6">
        <v>2014.0</v>
      </c>
      <c r="C652" s="6" t="s">
        <v>79</v>
      </c>
      <c r="D652" s="6" t="s">
        <v>151</v>
      </c>
      <c r="E652" s="34">
        <v>42220.0</v>
      </c>
      <c r="F652" s="6" t="s">
        <v>2148</v>
      </c>
      <c r="G652" s="6" t="s">
        <v>125</v>
      </c>
      <c r="H652" s="6" t="s">
        <v>2149</v>
      </c>
      <c r="I652" s="35" t="s">
        <v>85</v>
      </c>
      <c r="J652" s="36">
        <v>98.5</v>
      </c>
      <c r="K652" s="36">
        <v>93.8</v>
      </c>
      <c r="L652" s="36">
        <f t="shared" si="2"/>
        <v>1</v>
      </c>
      <c r="M652" s="36" t="str">
        <f t="shared" si="3"/>
        <v>Regular Season</v>
      </c>
      <c r="N652" s="36" t="str">
        <f>IFERROR(VLOOKUP(I652,Mapped_Owner,2,0),"")</f>
        <v>T-How</v>
      </c>
      <c r="O652" s="6">
        <f>VLOOKUP(D652,'Mapped Opponent'!$G$4:$H$22,2,0)</f>
        <v>12</v>
      </c>
      <c r="P652" s="6"/>
      <c r="Q652" s="6" t="str">
        <f t="shared" si="4"/>
        <v>Week 12</v>
      </c>
      <c r="R652" s="6" t="str">
        <f t="shared" si="5"/>
        <v>2014Week 12</v>
      </c>
      <c r="S652" s="6">
        <f>IFERROR(__xludf.DUMMYFUNCTION("rank(J652,FILTER(J:J,R:R=R652))"),5.0)</f>
        <v>5</v>
      </c>
      <c r="T652" s="6">
        <f t="shared" si="6"/>
        <v>7</v>
      </c>
      <c r="U652" s="6">
        <f t="shared" si="7"/>
        <v>5</v>
      </c>
      <c r="V652" s="42">
        <f>averageif(AllData!A:A,B652,AllData!R:R)/vlookup(B652,AllData!A:O,15,0)</f>
        <v>94.87820513</v>
      </c>
      <c r="W652" s="6"/>
    </row>
    <row r="653" ht="14.25" customHeight="1">
      <c r="A653" s="6" t="str">
        <f t="shared" si="1"/>
        <v>2014Shep12</v>
      </c>
      <c r="B653" s="6">
        <v>2014.0</v>
      </c>
      <c r="C653" s="6" t="s">
        <v>89</v>
      </c>
      <c r="D653" s="6" t="s">
        <v>151</v>
      </c>
      <c r="E653" s="34">
        <v>42161.0</v>
      </c>
      <c r="F653" s="6" t="s">
        <v>2150</v>
      </c>
      <c r="G653" s="6" t="s">
        <v>125</v>
      </c>
      <c r="H653" s="6" t="s">
        <v>2151</v>
      </c>
      <c r="I653" s="35" t="s">
        <v>93</v>
      </c>
      <c r="J653" s="36">
        <v>84.2</v>
      </c>
      <c r="K653" s="36">
        <v>94.1</v>
      </c>
      <c r="L653" s="36">
        <f t="shared" si="2"/>
        <v>0</v>
      </c>
      <c r="M653" s="36" t="str">
        <f t="shared" si="3"/>
        <v>Regular Season</v>
      </c>
      <c r="N653" s="36" t="str">
        <f>IFERROR(VLOOKUP(I653,Mapped_Owner,2,0),"")</f>
        <v>Pierson</v>
      </c>
      <c r="O653" s="6">
        <f>VLOOKUP(D653,'Mapped Opponent'!$G$4:$H$22,2,0)</f>
        <v>12</v>
      </c>
      <c r="P653" s="6"/>
      <c r="Q653" s="6" t="str">
        <f t="shared" si="4"/>
        <v>Week 12</v>
      </c>
      <c r="R653" s="6" t="str">
        <f t="shared" si="5"/>
        <v>2014Week 12</v>
      </c>
      <c r="S653" s="6">
        <f>IFERROR(__xludf.DUMMYFUNCTION("rank(J653,FILTER(J:J,R:R=R653))"),10.0)</f>
        <v>10</v>
      </c>
      <c r="T653" s="6">
        <f t="shared" si="6"/>
        <v>2</v>
      </c>
      <c r="U653" s="6">
        <f t="shared" si="7"/>
        <v>10</v>
      </c>
      <c r="V653" s="42">
        <f>averageif(AllData!A:A,B653,AllData!R:R)/vlookup(B653,AllData!A:O,15,0)</f>
        <v>94.87820513</v>
      </c>
      <c r="W653" s="6"/>
    </row>
    <row r="654" ht="14.25" customHeight="1">
      <c r="A654" s="6" t="str">
        <f t="shared" si="1"/>
        <v>2014Riley12</v>
      </c>
      <c r="B654" s="6">
        <v>2014.0</v>
      </c>
      <c r="C654" s="6" t="s">
        <v>67</v>
      </c>
      <c r="D654" s="6" t="s">
        <v>151</v>
      </c>
      <c r="E654" s="34">
        <v>42250.0</v>
      </c>
      <c r="F654" s="6" t="s">
        <v>2152</v>
      </c>
      <c r="G654" s="6" t="s">
        <v>114</v>
      </c>
      <c r="H654" s="6" t="s">
        <v>2153</v>
      </c>
      <c r="I654" s="35" t="s">
        <v>77</v>
      </c>
      <c r="J654" s="36">
        <v>126.6</v>
      </c>
      <c r="K654" s="36">
        <v>109.7</v>
      </c>
      <c r="L654" s="36">
        <f t="shared" si="2"/>
        <v>1</v>
      </c>
      <c r="M654" s="36" t="str">
        <f t="shared" si="3"/>
        <v>Regular Season</v>
      </c>
      <c r="N654" s="36" t="str">
        <f>IFERROR(VLOOKUP(I654,Mapped_Owner,2,0),"")</f>
        <v>Salty</v>
      </c>
      <c r="O654" s="6">
        <f>VLOOKUP(D654,'Mapped Opponent'!$G$4:$H$22,2,0)</f>
        <v>12</v>
      </c>
      <c r="P654" s="6"/>
      <c r="Q654" s="6" t="str">
        <f t="shared" si="4"/>
        <v>Week 12</v>
      </c>
      <c r="R654" s="6" t="str">
        <f t="shared" si="5"/>
        <v>2014Week 12</v>
      </c>
      <c r="S654" s="6">
        <f>IFERROR(__xludf.DUMMYFUNCTION("rank(J654,FILTER(J:J,R:R=R654))"),1.0)</f>
        <v>1</v>
      </c>
      <c r="T654" s="6">
        <f t="shared" si="6"/>
        <v>11</v>
      </c>
      <c r="U654" s="6">
        <f t="shared" si="7"/>
        <v>1</v>
      </c>
      <c r="V654" s="42">
        <f>averageif(AllData!A:A,B654,AllData!R:R)/vlookup(B654,AllData!A:O,15,0)</f>
        <v>94.87820513</v>
      </c>
      <c r="W654" s="6"/>
    </row>
    <row r="655" ht="14.25" customHeight="1">
      <c r="A655" s="6" t="str">
        <f t="shared" si="1"/>
        <v>2014Rooney/Jackson12</v>
      </c>
      <c r="B655" s="6">
        <v>2014.0</v>
      </c>
      <c r="C655" s="6" t="s">
        <v>57</v>
      </c>
      <c r="D655" s="6" t="s">
        <v>151</v>
      </c>
      <c r="E655" s="34">
        <v>42131.0</v>
      </c>
      <c r="F655" s="6" t="s">
        <v>2155</v>
      </c>
      <c r="G655" s="6" t="s">
        <v>125</v>
      </c>
      <c r="H655" s="6" t="s">
        <v>2156</v>
      </c>
      <c r="I655" s="35" t="s">
        <v>132</v>
      </c>
      <c r="J655" s="36">
        <v>78.2</v>
      </c>
      <c r="K655" s="36">
        <v>91.2</v>
      </c>
      <c r="L655" s="36">
        <f t="shared" si="2"/>
        <v>0</v>
      </c>
      <c r="M655" s="36" t="str">
        <f t="shared" si="3"/>
        <v>Regular Season</v>
      </c>
      <c r="N655" s="36" t="str">
        <f>IFERROR(VLOOKUP(I655,Mapped_Owner,2,0),"")</f>
        <v>KnardDawg</v>
      </c>
      <c r="O655" s="6">
        <f>VLOOKUP(D655,'Mapped Opponent'!$G$4:$H$22,2,0)</f>
        <v>12</v>
      </c>
      <c r="P655" s="6"/>
      <c r="Q655" s="6" t="str">
        <f t="shared" si="4"/>
        <v>Week 12</v>
      </c>
      <c r="R655" s="6" t="str">
        <f t="shared" si="5"/>
        <v>2014Week 12</v>
      </c>
      <c r="S655" s="6">
        <f>IFERROR(__xludf.DUMMYFUNCTION("rank(J655,FILTER(J:J,R:R=R655))"),11.0)</f>
        <v>11</v>
      </c>
      <c r="T655" s="6">
        <f t="shared" si="6"/>
        <v>1</v>
      </c>
      <c r="U655" s="6">
        <f t="shared" si="7"/>
        <v>11</v>
      </c>
      <c r="V655" s="42">
        <f>averageif(AllData!A:A,B655,AllData!R:R)/vlookup(B655,AllData!A:O,15,0)</f>
        <v>94.87820513</v>
      </c>
      <c r="W655" s="6"/>
    </row>
    <row r="656" ht="14.25" customHeight="1">
      <c r="A656" s="6" t="str">
        <f t="shared" si="1"/>
        <v>2014Buser12</v>
      </c>
      <c r="B656" s="6">
        <v>2014.0</v>
      </c>
      <c r="C656" s="6" t="s">
        <v>47</v>
      </c>
      <c r="D656" s="6" t="s">
        <v>151</v>
      </c>
      <c r="E656" s="34">
        <v>42072.0</v>
      </c>
      <c r="F656" s="6" t="s">
        <v>2158</v>
      </c>
      <c r="G656" s="6" t="s">
        <v>125</v>
      </c>
      <c r="H656" s="6" t="s">
        <v>2159</v>
      </c>
      <c r="I656" s="35" t="s">
        <v>64</v>
      </c>
      <c r="J656" s="36">
        <v>99.7</v>
      </c>
      <c r="K656" s="36">
        <v>120.0</v>
      </c>
      <c r="L656" s="36">
        <f t="shared" si="2"/>
        <v>0</v>
      </c>
      <c r="M656" s="36" t="str">
        <f t="shared" si="3"/>
        <v>Regular Season</v>
      </c>
      <c r="N656" s="36" t="str">
        <f>IFERROR(VLOOKUP(I656,Mapped_Owner,2,0),"")</f>
        <v>Hudspeath</v>
      </c>
      <c r="O656" s="6">
        <f>VLOOKUP(D656,'Mapped Opponent'!$G$4:$H$22,2,0)</f>
        <v>12</v>
      </c>
      <c r="P656" s="6"/>
      <c r="Q656" s="6" t="str">
        <f t="shared" si="4"/>
        <v>Week 12</v>
      </c>
      <c r="R656" s="6" t="str">
        <f t="shared" si="5"/>
        <v>2014Week 12</v>
      </c>
      <c r="S656" s="6">
        <f>IFERROR(__xludf.DUMMYFUNCTION("rank(J656,FILTER(J:J,R:R=R656))"),4.0)</f>
        <v>4</v>
      </c>
      <c r="T656" s="6">
        <f t="shared" si="6"/>
        <v>8</v>
      </c>
      <c r="U656" s="6">
        <f t="shared" si="7"/>
        <v>4</v>
      </c>
      <c r="V656" s="42">
        <f>averageif(AllData!A:A,B656,AllData!R:R)/vlookup(B656,AllData!A:O,15,0)</f>
        <v>94.87820513</v>
      </c>
      <c r="W656" s="6"/>
    </row>
    <row r="657" ht="14.25" customHeight="1">
      <c r="A657" s="6" t="str">
        <f t="shared" si="1"/>
        <v>2014Pierson12</v>
      </c>
      <c r="B657" s="6">
        <v>2014.0</v>
      </c>
      <c r="C657" s="6" t="s">
        <v>92</v>
      </c>
      <c r="D657" s="6" t="s">
        <v>151</v>
      </c>
      <c r="E657" s="34">
        <v>42190.0</v>
      </c>
      <c r="F657" s="6" t="s">
        <v>2161</v>
      </c>
      <c r="G657" s="6" t="s">
        <v>114</v>
      </c>
      <c r="H657" s="6" t="s">
        <v>2162</v>
      </c>
      <c r="I657" s="35" t="s">
        <v>91</v>
      </c>
      <c r="J657" s="36">
        <v>94.1</v>
      </c>
      <c r="K657" s="36">
        <v>84.2</v>
      </c>
      <c r="L657" s="36">
        <f t="shared" si="2"/>
        <v>1</v>
      </c>
      <c r="M657" s="36" t="str">
        <f t="shared" si="3"/>
        <v>Regular Season</v>
      </c>
      <c r="N657" s="36" t="str">
        <f>IFERROR(VLOOKUP(I657,Mapped_Owner,2,0),"")</f>
        <v>Shep</v>
      </c>
      <c r="O657" s="6">
        <f>VLOOKUP(D657,'Mapped Opponent'!$G$4:$H$22,2,0)</f>
        <v>12</v>
      </c>
      <c r="P657" s="6"/>
      <c r="Q657" s="6" t="str">
        <f t="shared" si="4"/>
        <v>Week 12</v>
      </c>
      <c r="R657" s="6" t="str">
        <f t="shared" si="5"/>
        <v>2014Week 12</v>
      </c>
      <c r="S657" s="6">
        <f>IFERROR(__xludf.DUMMYFUNCTION("rank(J657,FILTER(J:J,R:R=R657))"),7.0)</f>
        <v>7</v>
      </c>
      <c r="T657" s="6">
        <f t="shared" si="6"/>
        <v>5</v>
      </c>
      <c r="U657" s="6">
        <f t="shared" si="7"/>
        <v>7</v>
      </c>
      <c r="V657" s="42">
        <f>averageif(AllData!A:A,B657,AllData!R:R)/vlookup(B657,AllData!A:O,15,0)</f>
        <v>94.87820513</v>
      </c>
      <c r="W657" s="6"/>
    </row>
    <row r="658" ht="14.25" customHeight="1">
      <c r="A658" s="6" t="str">
        <f t="shared" si="1"/>
        <v>2014Cock12</v>
      </c>
      <c r="B658" s="6">
        <v>2014.0</v>
      </c>
      <c r="C658" s="6" t="s">
        <v>72</v>
      </c>
      <c r="D658" s="6" t="s">
        <v>151</v>
      </c>
      <c r="E658" s="34">
        <v>42102.0</v>
      </c>
      <c r="F658" s="6" t="s">
        <v>2164</v>
      </c>
      <c r="G658" s="6" t="s">
        <v>125</v>
      </c>
      <c r="H658" s="6" t="s">
        <v>2165</v>
      </c>
      <c r="I658" s="35" t="s">
        <v>54</v>
      </c>
      <c r="J658" s="36">
        <v>78.2</v>
      </c>
      <c r="K658" s="36">
        <v>94.3</v>
      </c>
      <c r="L658" s="36">
        <f t="shared" si="2"/>
        <v>0</v>
      </c>
      <c r="M658" s="36" t="str">
        <f t="shared" si="3"/>
        <v>Regular Season</v>
      </c>
      <c r="N658" s="36" t="str">
        <f>IFERROR(VLOOKUP(I658,Mapped_Owner,2,0),"")</f>
        <v>Tayski</v>
      </c>
      <c r="O658" s="6">
        <f>VLOOKUP(D658,'Mapped Opponent'!$G$4:$H$22,2,0)</f>
        <v>12</v>
      </c>
      <c r="P658" s="6"/>
      <c r="Q658" s="6" t="str">
        <f t="shared" si="4"/>
        <v>Week 12</v>
      </c>
      <c r="R658" s="6" t="str">
        <f t="shared" si="5"/>
        <v>2014Week 12</v>
      </c>
      <c r="S658" s="6">
        <f>IFERROR(__xludf.DUMMYFUNCTION("rank(J658,FILTER(J:J,R:R=R658))"),11.0)</f>
        <v>11</v>
      </c>
      <c r="T658" s="6">
        <f t="shared" si="6"/>
        <v>1</v>
      </c>
      <c r="U658" s="6">
        <f t="shared" si="7"/>
        <v>11</v>
      </c>
      <c r="V658" s="42">
        <f>averageif(AllData!A:A,B658,AllData!R:R)/vlookup(B658,AllData!A:O,15,0)</f>
        <v>94.87820513</v>
      </c>
      <c r="W658" s="6"/>
    </row>
    <row r="659" ht="14.25" customHeight="1">
      <c r="A659" s="6" t="str">
        <f t="shared" si="1"/>
        <v>2014Tayski12</v>
      </c>
      <c r="B659" s="6">
        <v>2014.0</v>
      </c>
      <c r="C659" s="6" t="s">
        <v>52</v>
      </c>
      <c r="D659" s="6" t="s">
        <v>151</v>
      </c>
      <c r="E659" s="34">
        <v>42250.0</v>
      </c>
      <c r="F659" s="6" t="s">
        <v>2167</v>
      </c>
      <c r="G659" s="6" t="s">
        <v>114</v>
      </c>
      <c r="H659" s="6" t="s">
        <v>2169</v>
      </c>
      <c r="I659" s="35" t="s">
        <v>99</v>
      </c>
      <c r="J659" s="36">
        <v>94.3</v>
      </c>
      <c r="K659" s="36">
        <v>78.2</v>
      </c>
      <c r="L659" s="36">
        <f t="shared" si="2"/>
        <v>1</v>
      </c>
      <c r="M659" s="36" t="str">
        <f t="shared" si="3"/>
        <v>Regular Season</v>
      </c>
      <c r="N659" s="36" t="str">
        <f>IFERROR(VLOOKUP(I659,Mapped_Owner,2,0),"")</f>
        <v>Cock</v>
      </c>
      <c r="O659" s="6">
        <f>VLOOKUP(D659,'Mapped Opponent'!$G$4:$H$22,2,0)</f>
        <v>12</v>
      </c>
      <c r="P659" s="6"/>
      <c r="Q659" s="6" t="str">
        <f t="shared" si="4"/>
        <v>Week 12</v>
      </c>
      <c r="R659" s="6" t="str">
        <f t="shared" si="5"/>
        <v>2014Week 12</v>
      </c>
      <c r="S659" s="6">
        <f>IFERROR(__xludf.DUMMYFUNCTION("rank(J659,FILTER(J:J,R:R=R659))"),6.0)</f>
        <v>6</v>
      </c>
      <c r="T659" s="6">
        <f t="shared" si="6"/>
        <v>6</v>
      </c>
      <c r="U659" s="6">
        <f t="shared" si="7"/>
        <v>6</v>
      </c>
      <c r="V659" s="42">
        <f>averageif(AllData!A:A,B659,AllData!R:R)/vlookup(B659,AllData!A:O,15,0)</f>
        <v>94.87820513</v>
      </c>
      <c r="W659" s="6"/>
    </row>
    <row r="660" ht="14.25" customHeight="1">
      <c r="A660" s="6" t="str">
        <f t="shared" si="1"/>
        <v>2014KnardDawg12</v>
      </c>
      <c r="B660" s="6">
        <v>2014.0</v>
      </c>
      <c r="C660" s="6" t="s">
        <v>86</v>
      </c>
      <c r="D660" s="6" t="s">
        <v>151</v>
      </c>
      <c r="E660" s="34">
        <v>42072.0</v>
      </c>
      <c r="F660" s="6" t="s">
        <v>2170</v>
      </c>
      <c r="G660" s="6" t="s">
        <v>114</v>
      </c>
      <c r="H660" s="6" t="s">
        <v>2171</v>
      </c>
      <c r="I660" s="35" t="s">
        <v>58</v>
      </c>
      <c r="J660" s="36">
        <v>91.2</v>
      </c>
      <c r="K660" s="36">
        <v>78.2</v>
      </c>
      <c r="L660" s="36">
        <f t="shared" si="2"/>
        <v>1</v>
      </c>
      <c r="M660" s="36" t="str">
        <f t="shared" si="3"/>
        <v>Regular Season</v>
      </c>
      <c r="N660" s="36" t="str">
        <f>IFERROR(VLOOKUP(I660,Mapped_Owner,2,0),"")</f>
        <v>Rooney/Jackson</v>
      </c>
      <c r="O660" s="6">
        <f>VLOOKUP(D660,'Mapped Opponent'!$G$4:$H$22,2,0)</f>
        <v>12</v>
      </c>
      <c r="P660" s="6"/>
      <c r="Q660" s="6" t="str">
        <f t="shared" si="4"/>
        <v>Week 12</v>
      </c>
      <c r="R660" s="6" t="str">
        <f t="shared" si="5"/>
        <v>2014Week 12</v>
      </c>
      <c r="S660" s="6">
        <f>IFERROR(__xludf.DUMMYFUNCTION("rank(J660,FILTER(J:J,R:R=R660))"),9.0)</f>
        <v>9</v>
      </c>
      <c r="T660" s="6">
        <f t="shared" si="6"/>
        <v>3</v>
      </c>
      <c r="U660" s="6">
        <f t="shared" si="7"/>
        <v>9</v>
      </c>
      <c r="V660" s="42">
        <f>averageif(AllData!A:A,B660,AllData!R:R)/vlookup(B660,AllData!A:O,15,0)</f>
        <v>94.87820513</v>
      </c>
      <c r="W660" s="6"/>
    </row>
    <row r="661" ht="14.25" customHeight="1">
      <c r="A661" s="6" t="str">
        <f t="shared" si="1"/>
        <v>2014T-How12</v>
      </c>
      <c r="B661" s="6">
        <v>2014.0</v>
      </c>
      <c r="C661" s="6" t="s">
        <v>82</v>
      </c>
      <c r="D661" s="6" t="s">
        <v>151</v>
      </c>
      <c r="E661" s="34">
        <v>42045.0</v>
      </c>
      <c r="F661" s="6" t="s">
        <v>2174</v>
      </c>
      <c r="G661" s="6" t="s">
        <v>114</v>
      </c>
      <c r="H661" s="6" t="s">
        <v>2175</v>
      </c>
      <c r="I661" s="35" t="s">
        <v>80</v>
      </c>
      <c r="J661" s="36">
        <v>93.8</v>
      </c>
      <c r="K661" s="36">
        <v>98.5</v>
      </c>
      <c r="L661" s="36">
        <f t="shared" si="2"/>
        <v>0</v>
      </c>
      <c r="M661" s="36" t="str">
        <f t="shared" si="3"/>
        <v>Regular Season</v>
      </c>
      <c r="N661" s="36" t="str">
        <f>IFERROR(VLOOKUP(I661,Mapped_Owner,2,0),"")</f>
        <v>Fellows</v>
      </c>
      <c r="O661" s="6">
        <f>VLOOKUP(D661,'Mapped Opponent'!$G$4:$H$22,2,0)</f>
        <v>12</v>
      </c>
      <c r="P661" s="6"/>
      <c r="Q661" s="6" t="str">
        <f t="shared" si="4"/>
        <v>Week 12</v>
      </c>
      <c r="R661" s="6" t="str">
        <f t="shared" si="5"/>
        <v>2014Week 12</v>
      </c>
      <c r="S661" s="6">
        <f>IFERROR(__xludf.DUMMYFUNCTION("rank(J661,FILTER(J:J,R:R=R661))"),8.0)</f>
        <v>8</v>
      </c>
      <c r="T661" s="6">
        <f t="shared" si="6"/>
        <v>4</v>
      </c>
      <c r="U661" s="6">
        <f t="shared" si="7"/>
        <v>8</v>
      </c>
      <c r="V661" s="42">
        <f>averageif(AllData!A:A,B661,AllData!R:R)/vlookup(B661,AllData!A:O,15,0)</f>
        <v>94.87820513</v>
      </c>
      <c r="W661" s="6"/>
    </row>
    <row r="662" ht="14.25" customHeight="1">
      <c r="A662" s="6" t="str">
        <f t="shared" si="1"/>
        <v>2014Hudspeath13</v>
      </c>
      <c r="B662" s="6">
        <v>2014.0</v>
      </c>
      <c r="C662" s="6" t="s">
        <v>39</v>
      </c>
      <c r="D662" s="6" t="s">
        <v>152</v>
      </c>
      <c r="E662" s="34">
        <v>42310.0</v>
      </c>
      <c r="F662" s="6" t="s">
        <v>2178</v>
      </c>
      <c r="G662" s="6" t="s">
        <v>114</v>
      </c>
      <c r="H662" s="6" t="s">
        <v>2179</v>
      </c>
      <c r="I662" s="35" t="s">
        <v>85</v>
      </c>
      <c r="J662" s="36">
        <v>122.6</v>
      </c>
      <c r="K662" s="36">
        <v>78.6</v>
      </c>
      <c r="L662" s="36">
        <f t="shared" si="2"/>
        <v>1</v>
      </c>
      <c r="M662" s="36" t="str">
        <f t="shared" si="3"/>
        <v>Regular Season</v>
      </c>
      <c r="N662" s="36" t="str">
        <f>IFERROR(VLOOKUP(I662,Mapped_Owner,2,0),"")</f>
        <v>T-How</v>
      </c>
      <c r="O662" s="6">
        <f>VLOOKUP(D662,'Mapped Opponent'!$G$4:$H$22,2,0)</f>
        <v>13</v>
      </c>
      <c r="P662" s="6"/>
      <c r="Q662" s="6" t="str">
        <f t="shared" si="4"/>
        <v>Week 13</v>
      </c>
      <c r="R662" s="6" t="str">
        <f t="shared" si="5"/>
        <v>2014Week 13</v>
      </c>
      <c r="S662" s="6">
        <f>IFERROR(__xludf.DUMMYFUNCTION("rank(J662,FILTER(J:J,R:R=R662))"),3.0)</f>
        <v>3</v>
      </c>
      <c r="T662" s="6">
        <f t="shared" si="6"/>
        <v>9</v>
      </c>
      <c r="U662" s="6">
        <f t="shared" si="7"/>
        <v>3</v>
      </c>
      <c r="V662" s="42">
        <f>averageif(AllData!A:A,B662,AllData!R:R)/vlookup(B662,AllData!A:O,15,0)</f>
        <v>94.87820513</v>
      </c>
      <c r="W662" s="6"/>
    </row>
    <row r="663" ht="14.25" customHeight="1">
      <c r="A663" s="6" t="str">
        <f t="shared" si="1"/>
        <v>2014Salty13</v>
      </c>
      <c r="B663" s="6">
        <v>2014.0</v>
      </c>
      <c r="C663" s="6" t="s">
        <v>76</v>
      </c>
      <c r="D663" s="6" t="s">
        <v>152</v>
      </c>
      <c r="E663" s="34">
        <v>42162.0</v>
      </c>
      <c r="F663" s="6" t="s">
        <v>2181</v>
      </c>
      <c r="G663" s="6" t="s">
        <v>125</v>
      </c>
      <c r="H663" s="6" t="s">
        <v>2182</v>
      </c>
      <c r="I663" s="35" t="s">
        <v>50</v>
      </c>
      <c r="J663" s="36">
        <v>97.2</v>
      </c>
      <c r="K663" s="36">
        <v>104.5</v>
      </c>
      <c r="L663" s="36">
        <f t="shared" si="2"/>
        <v>0</v>
      </c>
      <c r="M663" s="36" t="str">
        <f t="shared" si="3"/>
        <v>Regular Season</v>
      </c>
      <c r="N663" s="36" t="str">
        <f>IFERROR(VLOOKUP(I663,Mapped_Owner,2,0),"")</f>
        <v>Buser</v>
      </c>
      <c r="O663" s="6">
        <f>VLOOKUP(D663,'Mapped Opponent'!$G$4:$H$22,2,0)</f>
        <v>13</v>
      </c>
      <c r="P663" s="6"/>
      <c r="Q663" s="6" t="str">
        <f t="shared" si="4"/>
        <v>Week 13</v>
      </c>
      <c r="R663" s="6" t="str">
        <f t="shared" si="5"/>
        <v>2014Week 13</v>
      </c>
      <c r="S663" s="6">
        <f>IFERROR(__xludf.DUMMYFUNCTION("rank(J663,FILTER(J:J,R:R=R663))"),7.0)</f>
        <v>7</v>
      </c>
      <c r="T663" s="6">
        <f t="shared" si="6"/>
        <v>5</v>
      </c>
      <c r="U663" s="6">
        <f t="shared" si="7"/>
        <v>7</v>
      </c>
      <c r="V663" s="42">
        <f>averageif(AllData!A:A,B663,AllData!R:R)/vlookup(B663,AllData!A:O,15,0)</f>
        <v>94.87820513</v>
      </c>
      <c r="W663" s="6"/>
    </row>
    <row r="664" ht="14.25" customHeight="1">
      <c r="A664" s="6" t="str">
        <f t="shared" si="1"/>
        <v>2014Fellows13</v>
      </c>
      <c r="B664" s="6">
        <v>2014.0</v>
      </c>
      <c r="C664" s="6" t="s">
        <v>79</v>
      </c>
      <c r="D664" s="6" t="s">
        <v>152</v>
      </c>
      <c r="E664" s="34">
        <v>42221.0</v>
      </c>
      <c r="F664" s="6" t="s">
        <v>2184</v>
      </c>
      <c r="G664" s="6" t="s">
        <v>114</v>
      </c>
      <c r="H664" s="6" t="s">
        <v>2185</v>
      </c>
      <c r="I664" s="35" t="s">
        <v>132</v>
      </c>
      <c r="J664" s="36">
        <v>92.3</v>
      </c>
      <c r="K664" s="36">
        <v>95.2</v>
      </c>
      <c r="L664" s="36">
        <f t="shared" si="2"/>
        <v>0</v>
      </c>
      <c r="M664" s="36" t="str">
        <f t="shared" si="3"/>
        <v>Regular Season</v>
      </c>
      <c r="N664" s="36" t="str">
        <f>IFERROR(VLOOKUP(I664,Mapped_Owner,2,0),"")</f>
        <v>KnardDawg</v>
      </c>
      <c r="O664" s="6">
        <f>VLOOKUP(D664,'Mapped Opponent'!$G$4:$H$22,2,0)</f>
        <v>13</v>
      </c>
      <c r="P664" s="6"/>
      <c r="Q664" s="6" t="str">
        <f t="shared" si="4"/>
        <v>Week 13</v>
      </c>
      <c r="R664" s="6" t="str">
        <f t="shared" si="5"/>
        <v>2014Week 13</v>
      </c>
      <c r="S664" s="6">
        <f>IFERROR(__xludf.DUMMYFUNCTION("rank(J664,FILTER(J:J,R:R=R664))"),9.0)</f>
        <v>9</v>
      </c>
      <c r="T664" s="6">
        <f t="shared" si="6"/>
        <v>3</v>
      </c>
      <c r="U664" s="6">
        <f t="shared" si="7"/>
        <v>9</v>
      </c>
      <c r="V664" s="42">
        <f>averageif(AllData!A:A,B664,AllData!R:R)/vlookup(B664,AllData!A:O,15,0)</f>
        <v>94.87820513</v>
      </c>
      <c r="W664" s="6"/>
    </row>
    <row r="665" ht="14.25" customHeight="1">
      <c r="A665" s="6" t="str">
        <f t="shared" si="1"/>
        <v>2014Shep13</v>
      </c>
      <c r="B665" s="6">
        <v>2014.0</v>
      </c>
      <c r="C665" s="6" t="s">
        <v>89</v>
      </c>
      <c r="D665" s="6" t="s">
        <v>152</v>
      </c>
      <c r="E665" s="34">
        <v>42191.0</v>
      </c>
      <c r="F665" s="6" t="s">
        <v>2186</v>
      </c>
      <c r="G665" s="6" t="s">
        <v>114</v>
      </c>
      <c r="H665" s="6" t="s">
        <v>2187</v>
      </c>
      <c r="I665" s="35" t="s">
        <v>54</v>
      </c>
      <c r="J665" s="36">
        <v>117.6</v>
      </c>
      <c r="K665" s="36">
        <v>104.9</v>
      </c>
      <c r="L665" s="36">
        <f t="shared" si="2"/>
        <v>1</v>
      </c>
      <c r="M665" s="36" t="str">
        <f t="shared" si="3"/>
        <v>Regular Season</v>
      </c>
      <c r="N665" s="36" t="str">
        <f>IFERROR(VLOOKUP(I665,Mapped_Owner,2,0),"")</f>
        <v>Tayski</v>
      </c>
      <c r="O665" s="6">
        <f>VLOOKUP(D665,'Mapped Opponent'!$G$4:$H$22,2,0)</f>
        <v>13</v>
      </c>
      <c r="P665" s="6"/>
      <c r="Q665" s="6" t="str">
        <f t="shared" si="4"/>
        <v>Week 13</v>
      </c>
      <c r="R665" s="6" t="str">
        <f t="shared" si="5"/>
        <v>2014Week 13</v>
      </c>
      <c r="S665" s="6">
        <f>IFERROR(__xludf.DUMMYFUNCTION("rank(J665,FILTER(J:J,R:R=R665))"),4.0)</f>
        <v>4</v>
      </c>
      <c r="T665" s="6">
        <f t="shared" si="6"/>
        <v>8</v>
      </c>
      <c r="U665" s="6">
        <f t="shared" si="7"/>
        <v>4</v>
      </c>
      <c r="V665" s="42">
        <f>averageif(AllData!A:A,B665,AllData!R:R)/vlookup(B665,AllData!A:O,15,0)</f>
        <v>94.87820513</v>
      </c>
      <c r="W665" s="6"/>
    </row>
    <row r="666" ht="14.25" customHeight="1">
      <c r="A666" s="6" t="str">
        <f t="shared" si="1"/>
        <v>2014Riley13</v>
      </c>
      <c r="B666" s="6">
        <v>2014.0</v>
      </c>
      <c r="C666" s="6" t="s">
        <v>67</v>
      </c>
      <c r="D666" s="6" t="s">
        <v>152</v>
      </c>
      <c r="E666" s="34">
        <v>42280.0</v>
      </c>
      <c r="F666" s="6" t="s">
        <v>2189</v>
      </c>
      <c r="G666" s="6" t="s">
        <v>114</v>
      </c>
      <c r="H666" s="6" t="s">
        <v>2190</v>
      </c>
      <c r="I666" s="35" t="s">
        <v>58</v>
      </c>
      <c r="J666" s="36">
        <v>135.7</v>
      </c>
      <c r="K666" s="36">
        <v>76.3</v>
      </c>
      <c r="L666" s="36">
        <f t="shared" si="2"/>
        <v>1</v>
      </c>
      <c r="M666" s="36" t="str">
        <f t="shared" si="3"/>
        <v>Regular Season</v>
      </c>
      <c r="N666" s="36" t="str">
        <f>IFERROR(VLOOKUP(I666,Mapped_Owner,2,0),"")</f>
        <v>Rooney/Jackson</v>
      </c>
      <c r="O666" s="6">
        <f>VLOOKUP(D666,'Mapped Opponent'!$G$4:$H$22,2,0)</f>
        <v>13</v>
      </c>
      <c r="P666" s="6"/>
      <c r="Q666" s="6" t="str">
        <f t="shared" si="4"/>
        <v>Week 13</v>
      </c>
      <c r="R666" s="6" t="str">
        <f t="shared" si="5"/>
        <v>2014Week 13</v>
      </c>
      <c r="S666" s="6">
        <f>IFERROR(__xludf.DUMMYFUNCTION("rank(J666,FILTER(J:J,R:R=R666))"),2.0)</f>
        <v>2</v>
      </c>
      <c r="T666" s="6">
        <f t="shared" si="6"/>
        <v>10</v>
      </c>
      <c r="U666" s="6">
        <f t="shared" si="7"/>
        <v>2</v>
      </c>
      <c r="V666" s="42">
        <f>averageif(AllData!A:A,B666,AllData!R:R)/vlookup(B666,AllData!A:O,15,0)</f>
        <v>94.87820513</v>
      </c>
      <c r="W666" s="6"/>
    </row>
    <row r="667" ht="14.25" customHeight="1">
      <c r="A667" s="6" t="str">
        <f t="shared" si="1"/>
        <v>2014Rooney/Jackson13</v>
      </c>
      <c r="B667" s="6">
        <v>2014.0</v>
      </c>
      <c r="C667" s="6" t="s">
        <v>57</v>
      </c>
      <c r="D667" s="6" t="s">
        <v>152</v>
      </c>
      <c r="E667" s="34">
        <v>42132.0</v>
      </c>
      <c r="F667" s="6" t="s">
        <v>2192</v>
      </c>
      <c r="G667" s="6" t="s">
        <v>125</v>
      </c>
      <c r="H667" s="6" t="s">
        <v>2193</v>
      </c>
      <c r="I667" s="35" t="s">
        <v>68</v>
      </c>
      <c r="J667" s="36">
        <v>76.3</v>
      </c>
      <c r="K667" s="36">
        <v>135.7</v>
      </c>
      <c r="L667" s="36">
        <f t="shared" si="2"/>
        <v>0</v>
      </c>
      <c r="M667" s="36" t="str">
        <f t="shared" si="3"/>
        <v>Regular Season</v>
      </c>
      <c r="N667" s="36" t="str">
        <f>IFERROR(VLOOKUP(I667,Mapped_Owner,2,0),"")</f>
        <v>Riley</v>
      </c>
      <c r="O667" s="6">
        <f>VLOOKUP(D667,'Mapped Opponent'!$G$4:$H$22,2,0)</f>
        <v>13</v>
      </c>
      <c r="P667" s="6"/>
      <c r="Q667" s="6" t="str">
        <f t="shared" si="4"/>
        <v>Week 13</v>
      </c>
      <c r="R667" s="6" t="str">
        <f t="shared" si="5"/>
        <v>2014Week 13</v>
      </c>
      <c r="S667" s="6">
        <f>IFERROR(__xludf.DUMMYFUNCTION("rank(J667,FILTER(J:J,R:R=R667))"),11.0)</f>
        <v>11</v>
      </c>
      <c r="T667" s="6">
        <f t="shared" si="6"/>
        <v>1</v>
      </c>
      <c r="U667" s="6">
        <f t="shared" si="7"/>
        <v>11</v>
      </c>
      <c r="V667" s="42">
        <f>averageif(AllData!A:A,B667,AllData!R:R)/vlookup(B667,AllData!A:O,15,0)</f>
        <v>94.87820513</v>
      </c>
      <c r="W667" s="6"/>
    </row>
    <row r="668" ht="14.25" customHeight="1">
      <c r="A668" s="6" t="str">
        <f t="shared" si="1"/>
        <v>2014Buser13</v>
      </c>
      <c r="B668" s="6">
        <v>2014.0</v>
      </c>
      <c r="C668" s="6" t="s">
        <v>47</v>
      </c>
      <c r="D668" s="6" t="s">
        <v>152</v>
      </c>
      <c r="E668" s="34">
        <v>42103.0</v>
      </c>
      <c r="F668" s="6" t="s">
        <v>2195</v>
      </c>
      <c r="G668" s="6" t="s">
        <v>114</v>
      </c>
      <c r="H668" s="6" t="s">
        <v>2196</v>
      </c>
      <c r="I668" s="35" t="s">
        <v>77</v>
      </c>
      <c r="J668" s="36">
        <v>104.5</v>
      </c>
      <c r="K668" s="36">
        <v>97.2</v>
      </c>
      <c r="L668" s="36">
        <f t="shared" si="2"/>
        <v>1</v>
      </c>
      <c r="M668" s="36" t="str">
        <f t="shared" si="3"/>
        <v>Regular Season</v>
      </c>
      <c r="N668" s="36" t="str">
        <f>IFERROR(VLOOKUP(I668,Mapped_Owner,2,0),"")</f>
        <v>Salty</v>
      </c>
      <c r="O668" s="6">
        <f>VLOOKUP(D668,'Mapped Opponent'!$G$4:$H$22,2,0)</f>
        <v>13</v>
      </c>
      <c r="P668" s="6"/>
      <c r="Q668" s="6" t="str">
        <f t="shared" si="4"/>
        <v>Week 13</v>
      </c>
      <c r="R668" s="6" t="str">
        <f t="shared" si="5"/>
        <v>2014Week 13</v>
      </c>
      <c r="S668" s="6">
        <f>IFERROR(__xludf.DUMMYFUNCTION("rank(J668,FILTER(J:J,R:R=R668))"),6.0)</f>
        <v>6</v>
      </c>
      <c r="T668" s="6">
        <f t="shared" si="6"/>
        <v>6</v>
      </c>
      <c r="U668" s="6">
        <f t="shared" si="7"/>
        <v>6</v>
      </c>
      <c r="V668" s="42">
        <f>averageif(AllData!A:A,B668,AllData!R:R)/vlookup(B668,AllData!A:O,15,0)</f>
        <v>94.87820513</v>
      </c>
      <c r="W668" s="6"/>
    </row>
    <row r="669" ht="14.25" customHeight="1">
      <c r="A669" s="6" t="str">
        <f t="shared" si="1"/>
        <v>2014Pierson13</v>
      </c>
      <c r="B669" s="6">
        <v>2014.0</v>
      </c>
      <c r="C669" s="6" t="s">
        <v>92</v>
      </c>
      <c r="D669" s="6" t="s">
        <v>152</v>
      </c>
      <c r="E669" s="34">
        <v>42221.0</v>
      </c>
      <c r="F669" s="6" t="s">
        <v>2199</v>
      </c>
      <c r="G669" s="6" t="s">
        <v>114</v>
      </c>
      <c r="H669" s="6" t="s">
        <v>2200</v>
      </c>
      <c r="I669" s="35" t="s">
        <v>99</v>
      </c>
      <c r="J669" s="36">
        <v>137.8</v>
      </c>
      <c r="K669" s="36">
        <v>74.1</v>
      </c>
      <c r="L669" s="36">
        <f t="shared" si="2"/>
        <v>1</v>
      </c>
      <c r="M669" s="36" t="str">
        <f t="shared" si="3"/>
        <v>Regular Season</v>
      </c>
      <c r="N669" s="36" t="str">
        <f>IFERROR(VLOOKUP(I669,Mapped_Owner,2,0),"")</f>
        <v>Cock</v>
      </c>
      <c r="O669" s="6">
        <f>VLOOKUP(D669,'Mapped Opponent'!$G$4:$H$22,2,0)</f>
        <v>13</v>
      </c>
      <c r="P669" s="6"/>
      <c r="Q669" s="6" t="str">
        <f t="shared" si="4"/>
        <v>Week 13</v>
      </c>
      <c r="R669" s="6" t="str">
        <f t="shared" si="5"/>
        <v>2014Week 13</v>
      </c>
      <c r="S669" s="6">
        <f>IFERROR(__xludf.DUMMYFUNCTION("rank(J669,FILTER(J:J,R:R=R669))"),1.0)</f>
        <v>1</v>
      </c>
      <c r="T669" s="6">
        <f t="shared" si="6"/>
        <v>11</v>
      </c>
      <c r="U669" s="6">
        <f t="shared" si="7"/>
        <v>1</v>
      </c>
      <c r="V669" s="42">
        <f>averageif(AllData!A:A,B669,AllData!R:R)/vlookup(B669,AllData!A:O,15,0)</f>
        <v>94.87820513</v>
      </c>
      <c r="W669" s="6"/>
    </row>
    <row r="670" ht="14.25" customHeight="1">
      <c r="A670" s="6" t="str">
        <f t="shared" si="1"/>
        <v>2014Cock13</v>
      </c>
      <c r="B670" s="6">
        <v>2014.0</v>
      </c>
      <c r="C670" s="6" t="s">
        <v>72</v>
      </c>
      <c r="D670" s="6" t="s">
        <v>152</v>
      </c>
      <c r="E670" s="34">
        <v>42103.0</v>
      </c>
      <c r="F670" s="6" t="s">
        <v>2202</v>
      </c>
      <c r="G670" s="6" t="s">
        <v>125</v>
      </c>
      <c r="H670" s="6" t="s">
        <v>2203</v>
      </c>
      <c r="I670" s="35" t="s">
        <v>93</v>
      </c>
      <c r="J670" s="36">
        <v>74.1</v>
      </c>
      <c r="K670" s="36">
        <v>137.8</v>
      </c>
      <c r="L670" s="36">
        <f t="shared" si="2"/>
        <v>0</v>
      </c>
      <c r="M670" s="36" t="str">
        <f t="shared" si="3"/>
        <v>Regular Season</v>
      </c>
      <c r="N670" s="36" t="str">
        <f>IFERROR(VLOOKUP(I670,Mapped_Owner,2,0),"")</f>
        <v>Pierson</v>
      </c>
      <c r="O670" s="6">
        <f>VLOOKUP(D670,'Mapped Opponent'!$G$4:$H$22,2,0)</f>
        <v>13</v>
      </c>
      <c r="P670" s="6"/>
      <c r="Q670" s="6" t="str">
        <f t="shared" si="4"/>
        <v>Week 13</v>
      </c>
      <c r="R670" s="6" t="str">
        <f t="shared" si="5"/>
        <v>2014Week 13</v>
      </c>
      <c r="S670" s="6">
        <f>IFERROR(__xludf.DUMMYFUNCTION("rank(J670,FILTER(J:J,R:R=R670))"),12.0)</f>
        <v>12</v>
      </c>
      <c r="T670" s="6">
        <f t="shared" si="6"/>
        <v>0</v>
      </c>
      <c r="U670" s="6">
        <f t="shared" si="7"/>
        <v>12</v>
      </c>
      <c r="V670" s="42">
        <f>averageif(AllData!A:A,B670,AllData!R:R)/vlookup(B670,AllData!A:O,15,0)</f>
        <v>94.87820513</v>
      </c>
      <c r="W670" s="6"/>
    </row>
    <row r="671" ht="14.25" customHeight="1">
      <c r="A671" s="6" t="str">
        <f t="shared" si="1"/>
        <v>2014Tayski13</v>
      </c>
      <c r="B671" s="6">
        <v>2014.0</v>
      </c>
      <c r="C671" s="6" t="s">
        <v>52</v>
      </c>
      <c r="D671" s="6" t="s">
        <v>152</v>
      </c>
      <c r="E671" s="34">
        <v>42251.0</v>
      </c>
      <c r="F671" s="6" t="s">
        <v>2205</v>
      </c>
      <c r="G671" s="6" t="s">
        <v>125</v>
      </c>
      <c r="H671" s="6" t="s">
        <v>2206</v>
      </c>
      <c r="I671" s="35" t="s">
        <v>91</v>
      </c>
      <c r="J671" s="36">
        <v>104.9</v>
      </c>
      <c r="K671" s="36">
        <v>117.6</v>
      </c>
      <c r="L671" s="36">
        <f t="shared" si="2"/>
        <v>0</v>
      </c>
      <c r="M671" s="36" t="str">
        <f t="shared" si="3"/>
        <v>Regular Season</v>
      </c>
      <c r="N671" s="36" t="str">
        <f>IFERROR(VLOOKUP(I671,Mapped_Owner,2,0),"")</f>
        <v>Shep</v>
      </c>
      <c r="O671" s="6">
        <f>VLOOKUP(D671,'Mapped Opponent'!$G$4:$H$22,2,0)</f>
        <v>13</v>
      </c>
      <c r="P671" s="6"/>
      <c r="Q671" s="6" t="str">
        <f t="shared" si="4"/>
        <v>Week 13</v>
      </c>
      <c r="R671" s="6" t="str">
        <f t="shared" si="5"/>
        <v>2014Week 13</v>
      </c>
      <c r="S671" s="6">
        <f>IFERROR(__xludf.DUMMYFUNCTION("rank(J671,FILTER(J:J,R:R=R671))"),5.0)</f>
        <v>5</v>
      </c>
      <c r="T671" s="6">
        <f t="shared" si="6"/>
        <v>7</v>
      </c>
      <c r="U671" s="6">
        <f t="shared" si="7"/>
        <v>5</v>
      </c>
      <c r="V671" s="42">
        <f>averageif(AllData!A:A,B671,AllData!R:R)/vlookup(B671,AllData!A:O,15,0)</f>
        <v>94.87820513</v>
      </c>
      <c r="W671" s="6"/>
    </row>
    <row r="672" ht="14.25" customHeight="1">
      <c r="A672" s="6" t="str">
        <f t="shared" si="1"/>
        <v>2014KnardDawg13</v>
      </c>
      <c r="B672" s="6">
        <v>2014.0</v>
      </c>
      <c r="C672" s="6" t="s">
        <v>86</v>
      </c>
      <c r="D672" s="6" t="s">
        <v>152</v>
      </c>
      <c r="E672" s="34">
        <v>42103.0</v>
      </c>
      <c r="F672" s="6" t="s">
        <v>2208</v>
      </c>
      <c r="G672" s="6" t="s">
        <v>125</v>
      </c>
      <c r="H672" s="6" t="s">
        <v>2209</v>
      </c>
      <c r="I672" s="35" t="s">
        <v>80</v>
      </c>
      <c r="J672" s="36">
        <v>95.2</v>
      </c>
      <c r="K672" s="36">
        <v>92.3</v>
      </c>
      <c r="L672" s="36">
        <f t="shared" si="2"/>
        <v>1</v>
      </c>
      <c r="M672" s="36" t="str">
        <f t="shared" si="3"/>
        <v>Regular Season</v>
      </c>
      <c r="N672" s="36" t="str">
        <f>IFERROR(VLOOKUP(I672,Mapped_Owner,2,0),"")</f>
        <v>Fellows</v>
      </c>
      <c r="O672" s="6">
        <f>VLOOKUP(D672,'Mapped Opponent'!$G$4:$H$22,2,0)</f>
        <v>13</v>
      </c>
      <c r="P672" s="6"/>
      <c r="Q672" s="6" t="str">
        <f t="shared" si="4"/>
        <v>Week 13</v>
      </c>
      <c r="R672" s="6" t="str">
        <f t="shared" si="5"/>
        <v>2014Week 13</v>
      </c>
      <c r="S672" s="6">
        <f>IFERROR(__xludf.DUMMYFUNCTION("rank(J672,FILTER(J:J,R:R=R672))"),8.0)</f>
        <v>8</v>
      </c>
      <c r="T672" s="6">
        <f t="shared" si="6"/>
        <v>4</v>
      </c>
      <c r="U672" s="6">
        <f t="shared" si="7"/>
        <v>8</v>
      </c>
      <c r="V672" s="42">
        <f>averageif(AllData!A:A,B672,AllData!R:R)/vlookup(B672,AllData!A:O,15,0)</f>
        <v>94.87820513</v>
      </c>
      <c r="W672" s="6"/>
    </row>
    <row r="673" ht="14.25" customHeight="1">
      <c r="A673" s="6" t="str">
        <f t="shared" si="1"/>
        <v>2014T-How13</v>
      </c>
      <c r="B673" s="6">
        <v>2014.0</v>
      </c>
      <c r="C673" s="6" t="s">
        <v>82</v>
      </c>
      <c r="D673" s="6" t="s">
        <v>152</v>
      </c>
      <c r="E673" s="34">
        <v>42046.0</v>
      </c>
      <c r="F673" s="6" t="s">
        <v>2211</v>
      </c>
      <c r="G673" s="6" t="s">
        <v>125</v>
      </c>
      <c r="H673" s="6" t="s">
        <v>2212</v>
      </c>
      <c r="I673" s="35" t="s">
        <v>64</v>
      </c>
      <c r="J673" s="36">
        <v>78.6</v>
      </c>
      <c r="K673" s="36">
        <v>122.6</v>
      </c>
      <c r="L673" s="36">
        <f t="shared" si="2"/>
        <v>0</v>
      </c>
      <c r="M673" s="36" t="str">
        <f t="shared" si="3"/>
        <v>Regular Season</v>
      </c>
      <c r="N673" s="36" t="str">
        <f>IFERROR(VLOOKUP(I673,Mapped_Owner,2,0),"")</f>
        <v>Hudspeath</v>
      </c>
      <c r="O673" s="6">
        <f>VLOOKUP(D673,'Mapped Opponent'!$G$4:$H$22,2,0)</f>
        <v>13</v>
      </c>
      <c r="P673" s="6"/>
      <c r="Q673" s="6" t="str">
        <f t="shared" si="4"/>
        <v>Week 13</v>
      </c>
      <c r="R673" s="6" t="str">
        <f t="shared" si="5"/>
        <v>2014Week 13</v>
      </c>
      <c r="S673" s="6">
        <f>IFERROR(__xludf.DUMMYFUNCTION("rank(J673,FILTER(J:J,R:R=R673))"),10.0)</f>
        <v>10</v>
      </c>
      <c r="T673" s="6">
        <f t="shared" si="6"/>
        <v>2</v>
      </c>
      <c r="U673" s="6">
        <f t="shared" si="7"/>
        <v>10</v>
      </c>
      <c r="V673" s="42">
        <f>averageif(AllData!A:A,B673,AllData!R:R)/vlookup(B673,AllData!A:O,15,0)</f>
        <v>94.87820513</v>
      </c>
      <c r="W673" s="6"/>
    </row>
    <row r="674" ht="14.25" customHeight="1">
      <c r="A674" s="6" t="str">
        <f t="shared" si="1"/>
        <v>2014Hudspeath2</v>
      </c>
      <c r="B674" s="6">
        <v>2014.0</v>
      </c>
      <c r="C674" s="6" t="s">
        <v>39</v>
      </c>
      <c r="D674" s="6" t="s">
        <v>131</v>
      </c>
      <c r="E674" s="34">
        <v>36557.0</v>
      </c>
      <c r="F674" s="6" t="s">
        <v>2214</v>
      </c>
      <c r="G674" s="6" t="s">
        <v>114</v>
      </c>
      <c r="H674" s="6" t="s">
        <v>2215</v>
      </c>
      <c r="I674" s="35" t="s">
        <v>54</v>
      </c>
      <c r="J674" s="36">
        <v>91.8</v>
      </c>
      <c r="K674" s="36">
        <v>86.9</v>
      </c>
      <c r="L674" s="36">
        <f t="shared" si="2"/>
        <v>1</v>
      </c>
      <c r="M674" s="36" t="str">
        <f t="shared" si="3"/>
        <v>Regular Season</v>
      </c>
      <c r="N674" s="36" t="str">
        <f>IFERROR(VLOOKUP(I674,Mapped_Owner,2,0),"")</f>
        <v>Tayski</v>
      </c>
      <c r="O674" s="6">
        <f>VLOOKUP(D674,'Mapped Opponent'!$G$4:$H$22,2,0)</f>
        <v>2</v>
      </c>
      <c r="P674" s="6"/>
      <c r="Q674" s="6" t="str">
        <f t="shared" si="4"/>
        <v>Week 2</v>
      </c>
      <c r="R674" s="6" t="str">
        <f t="shared" si="5"/>
        <v>2014Week 2</v>
      </c>
      <c r="S674" s="6">
        <f>IFERROR(__xludf.DUMMYFUNCTION("rank(J674,FILTER(J:J,R:R=R674))"),6.0)</f>
        <v>6</v>
      </c>
      <c r="T674" s="6">
        <f t="shared" si="6"/>
        <v>6</v>
      </c>
      <c r="U674" s="6">
        <f t="shared" si="7"/>
        <v>6</v>
      </c>
      <c r="V674" s="42">
        <f>averageif(AllData!A:A,B674,AllData!R:R)/vlookup(B674,AllData!A:O,15,0)</f>
        <v>94.87820513</v>
      </c>
      <c r="W674" s="6"/>
    </row>
    <row r="675" ht="14.25" customHeight="1">
      <c r="A675" s="6" t="str">
        <f t="shared" si="1"/>
        <v>2014Salty2</v>
      </c>
      <c r="B675" s="6">
        <v>2014.0</v>
      </c>
      <c r="C675" s="6" t="s">
        <v>76</v>
      </c>
      <c r="D675" s="6" t="s">
        <v>131</v>
      </c>
      <c r="E675" s="34">
        <v>42005.0</v>
      </c>
      <c r="F675" s="6" t="s">
        <v>2218</v>
      </c>
      <c r="G675" s="6" t="s">
        <v>125</v>
      </c>
      <c r="H675" s="6" t="s">
        <v>2219</v>
      </c>
      <c r="I675" s="35" t="s">
        <v>132</v>
      </c>
      <c r="J675" s="36">
        <v>85.2</v>
      </c>
      <c r="K675" s="36">
        <v>45.9</v>
      </c>
      <c r="L675" s="36">
        <f t="shared" si="2"/>
        <v>1</v>
      </c>
      <c r="M675" s="36" t="str">
        <f t="shared" si="3"/>
        <v>Regular Season</v>
      </c>
      <c r="N675" s="36" t="str">
        <f>IFERROR(VLOOKUP(I675,Mapped_Owner,2,0),"")</f>
        <v>KnardDawg</v>
      </c>
      <c r="O675" s="6">
        <f>VLOOKUP(D675,'Mapped Opponent'!$G$4:$H$22,2,0)</f>
        <v>2</v>
      </c>
      <c r="P675" s="6"/>
      <c r="Q675" s="6" t="str">
        <f t="shared" si="4"/>
        <v>Week 2</v>
      </c>
      <c r="R675" s="6" t="str">
        <f t="shared" si="5"/>
        <v>2014Week 2</v>
      </c>
      <c r="S675" s="6">
        <f>IFERROR(__xludf.DUMMYFUNCTION("rank(J675,FILTER(J:J,R:R=R675))"),8.0)</f>
        <v>8</v>
      </c>
      <c r="T675" s="6">
        <f t="shared" si="6"/>
        <v>4</v>
      </c>
      <c r="U675" s="6">
        <f t="shared" si="7"/>
        <v>8</v>
      </c>
      <c r="V675" s="42">
        <f>averageif(AllData!A:A,B675,AllData!R:R)/vlookup(B675,AllData!A:O,15,0)</f>
        <v>94.87820513</v>
      </c>
      <c r="W675" s="6"/>
    </row>
    <row r="676" ht="14.25" customHeight="1">
      <c r="A676" s="6" t="str">
        <f t="shared" si="1"/>
        <v>2014Fellows2</v>
      </c>
      <c r="B676" s="6">
        <v>2014.0</v>
      </c>
      <c r="C676" s="6" t="s">
        <v>79</v>
      </c>
      <c r="D676" s="6" t="s">
        <v>131</v>
      </c>
      <c r="E676" s="34">
        <v>42005.0</v>
      </c>
      <c r="F676" s="6" t="s">
        <v>2220</v>
      </c>
      <c r="G676" s="6" t="s">
        <v>114</v>
      </c>
      <c r="H676" s="6" t="s">
        <v>2221</v>
      </c>
      <c r="I676" s="35" t="s">
        <v>58</v>
      </c>
      <c r="J676" s="36">
        <v>105.9</v>
      </c>
      <c r="K676" s="36">
        <v>116.7</v>
      </c>
      <c r="L676" s="36">
        <f t="shared" si="2"/>
        <v>0</v>
      </c>
      <c r="M676" s="36" t="str">
        <f t="shared" si="3"/>
        <v>Regular Season</v>
      </c>
      <c r="N676" s="36" t="str">
        <f>IFERROR(VLOOKUP(I676,Mapped_Owner,2,0),"")</f>
        <v>Rooney/Jackson</v>
      </c>
      <c r="O676" s="6">
        <f>VLOOKUP(D676,'Mapped Opponent'!$G$4:$H$22,2,0)</f>
        <v>2</v>
      </c>
      <c r="P676" s="6"/>
      <c r="Q676" s="6" t="str">
        <f t="shared" si="4"/>
        <v>Week 2</v>
      </c>
      <c r="R676" s="6" t="str">
        <f t="shared" si="5"/>
        <v>2014Week 2</v>
      </c>
      <c r="S676" s="6">
        <f>IFERROR(__xludf.DUMMYFUNCTION("rank(J676,FILTER(J:J,R:R=R676))"),4.0)</f>
        <v>4</v>
      </c>
      <c r="T676" s="6">
        <f t="shared" si="6"/>
        <v>8</v>
      </c>
      <c r="U676" s="6">
        <f t="shared" si="7"/>
        <v>4</v>
      </c>
      <c r="V676" s="42">
        <f>averageif(AllData!A:A,B676,AllData!R:R)/vlookup(B676,AllData!A:O,15,0)</f>
        <v>94.87820513</v>
      </c>
      <c r="W676" s="6"/>
    </row>
    <row r="677" ht="14.25" customHeight="1">
      <c r="A677" s="6" t="str">
        <f t="shared" si="1"/>
        <v>2014Shep2</v>
      </c>
      <c r="B677" s="6">
        <v>2014.0</v>
      </c>
      <c r="C677" s="6" t="s">
        <v>89</v>
      </c>
      <c r="D677" s="6" t="s">
        <v>131</v>
      </c>
      <c r="E677" s="34">
        <v>42005.0</v>
      </c>
      <c r="F677" s="6" t="s">
        <v>2222</v>
      </c>
      <c r="G677" s="6" t="s">
        <v>125</v>
      </c>
      <c r="H677" s="6" t="s">
        <v>2223</v>
      </c>
      <c r="I677" s="35" t="s">
        <v>99</v>
      </c>
      <c r="J677" s="36">
        <v>114.4</v>
      </c>
      <c r="K677" s="36">
        <v>60.3</v>
      </c>
      <c r="L677" s="36">
        <f t="shared" si="2"/>
        <v>1</v>
      </c>
      <c r="M677" s="36" t="str">
        <f t="shared" si="3"/>
        <v>Regular Season</v>
      </c>
      <c r="N677" s="36" t="str">
        <f>IFERROR(VLOOKUP(I677,Mapped_Owner,2,0),"")</f>
        <v>Cock</v>
      </c>
      <c r="O677" s="6">
        <f>VLOOKUP(D677,'Mapped Opponent'!$G$4:$H$22,2,0)</f>
        <v>2</v>
      </c>
      <c r="P677" s="6"/>
      <c r="Q677" s="6" t="str">
        <f t="shared" si="4"/>
        <v>Week 2</v>
      </c>
      <c r="R677" s="6" t="str">
        <f t="shared" si="5"/>
        <v>2014Week 2</v>
      </c>
      <c r="S677" s="6">
        <f>IFERROR(__xludf.DUMMYFUNCTION("rank(J677,FILTER(J:J,R:R=R677))"),2.0)</f>
        <v>2</v>
      </c>
      <c r="T677" s="6">
        <f t="shared" si="6"/>
        <v>10</v>
      </c>
      <c r="U677" s="6">
        <f t="shared" si="7"/>
        <v>2</v>
      </c>
      <c r="V677" s="42">
        <f>averageif(AllData!A:A,B677,AllData!R:R)/vlookup(B677,AllData!A:O,15,0)</f>
        <v>94.87820513</v>
      </c>
      <c r="W677" s="6"/>
    </row>
    <row r="678" ht="14.25" customHeight="1">
      <c r="A678" s="6" t="str">
        <f t="shared" si="1"/>
        <v>2014Riley2</v>
      </c>
      <c r="B678" s="6">
        <v>2014.0</v>
      </c>
      <c r="C678" s="6" t="s">
        <v>67</v>
      </c>
      <c r="D678" s="6" t="s">
        <v>131</v>
      </c>
      <c r="E678" s="34">
        <v>36557.0</v>
      </c>
      <c r="F678" s="6" t="s">
        <v>2224</v>
      </c>
      <c r="G678" s="6" t="s">
        <v>125</v>
      </c>
      <c r="H678" s="6" t="s">
        <v>2225</v>
      </c>
      <c r="I678" s="35" t="s">
        <v>85</v>
      </c>
      <c r="J678" s="36">
        <v>111.6</v>
      </c>
      <c r="K678" s="36">
        <v>72.4</v>
      </c>
      <c r="L678" s="36">
        <f t="shared" si="2"/>
        <v>1</v>
      </c>
      <c r="M678" s="36" t="str">
        <f t="shared" si="3"/>
        <v>Regular Season</v>
      </c>
      <c r="N678" s="36" t="str">
        <f>IFERROR(VLOOKUP(I678,Mapped_Owner,2,0),"")</f>
        <v>T-How</v>
      </c>
      <c r="O678" s="6">
        <f>VLOOKUP(D678,'Mapped Opponent'!$G$4:$H$22,2,0)</f>
        <v>2</v>
      </c>
      <c r="P678" s="6"/>
      <c r="Q678" s="6" t="str">
        <f t="shared" si="4"/>
        <v>Week 2</v>
      </c>
      <c r="R678" s="6" t="str">
        <f t="shared" si="5"/>
        <v>2014Week 2</v>
      </c>
      <c r="S678" s="6">
        <f>IFERROR(__xludf.DUMMYFUNCTION("rank(J678,FILTER(J:J,R:R=R678))"),3.0)</f>
        <v>3</v>
      </c>
      <c r="T678" s="6">
        <f t="shared" si="6"/>
        <v>9</v>
      </c>
      <c r="U678" s="6">
        <f t="shared" si="7"/>
        <v>3</v>
      </c>
      <c r="V678" s="42">
        <f>averageif(AllData!A:A,B678,AllData!R:R)/vlookup(B678,AllData!A:O,15,0)</f>
        <v>94.87820513</v>
      </c>
      <c r="W678" s="6"/>
    </row>
    <row r="679" ht="14.25" customHeight="1">
      <c r="A679" s="6" t="str">
        <f t="shared" si="1"/>
        <v>2014Rooney/Jackson2</v>
      </c>
      <c r="B679" s="6">
        <v>2014.0</v>
      </c>
      <c r="C679" s="6" t="s">
        <v>57</v>
      </c>
      <c r="D679" s="6" t="s">
        <v>131</v>
      </c>
      <c r="E679" s="34">
        <v>42005.0</v>
      </c>
      <c r="F679" s="6" t="s">
        <v>2226</v>
      </c>
      <c r="G679" s="6" t="s">
        <v>125</v>
      </c>
      <c r="H679" s="6" t="s">
        <v>2227</v>
      </c>
      <c r="I679" s="35" t="s">
        <v>80</v>
      </c>
      <c r="J679" s="36">
        <v>116.7</v>
      </c>
      <c r="K679" s="36">
        <v>105.9</v>
      </c>
      <c r="L679" s="36">
        <f t="shared" si="2"/>
        <v>1</v>
      </c>
      <c r="M679" s="36" t="str">
        <f t="shared" si="3"/>
        <v>Regular Season</v>
      </c>
      <c r="N679" s="36" t="str">
        <f>IFERROR(VLOOKUP(I679,Mapped_Owner,2,0),"")</f>
        <v>Fellows</v>
      </c>
      <c r="O679" s="6">
        <f>VLOOKUP(D679,'Mapped Opponent'!$G$4:$H$22,2,0)</f>
        <v>2</v>
      </c>
      <c r="P679" s="6"/>
      <c r="Q679" s="6" t="str">
        <f t="shared" si="4"/>
        <v>Week 2</v>
      </c>
      <c r="R679" s="6" t="str">
        <f t="shared" si="5"/>
        <v>2014Week 2</v>
      </c>
      <c r="S679" s="6">
        <f>IFERROR(__xludf.DUMMYFUNCTION("rank(J679,FILTER(J:J,R:R=R679))"),1.0)</f>
        <v>1</v>
      </c>
      <c r="T679" s="6">
        <f t="shared" si="6"/>
        <v>11</v>
      </c>
      <c r="U679" s="6">
        <f t="shared" si="7"/>
        <v>1</v>
      </c>
      <c r="V679" s="42">
        <f>averageif(AllData!A:A,B679,AllData!R:R)/vlookup(B679,AllData!A:O,15,0)</f>
        <v>94.87820513</v>
      </c>
      <c r="W679" s="6"/>
    </row>
    <row r="680" ht="14.25" customHeight="1">
      <c r="A680" s="6" t="str">
        <f t="shared" si="1"/>
        <v>2014Buser2</v>
      </c>
      <c r="B680" s="6">
        <v>2014.0</v>
      </c>
      <c r="C680" s="6" t="s">
        <v>47</v>
      </c>
      <c r="D680" s="6" t="s">
        <v>131</v>
      </c>
      <c r="E680" s="34" t="s">
        <v>626</v>
      </c>
      <c r="F680" s="6" t="s">
        <v>2228</v>
      </c>
      <c r="G680" s="6" t="s">
        <v>125</v>
      </c>
      <c r="H680" s="6" t="s">
        <v>2229</v>
      </c>
      <c r="I680" s="35" t="s">
        <v>93</v>
      </c>
      <c r="J680" s="36">
        <v>79.5</v>
      </c>
      <c r="K680" s="36">
        <v>94.3</v>
      </c>
      <c r="L680" s="36">
        <f t="shared" si="2"/>
        <v>0</v>
      </c>
      <c r="M680" s="36" t="str">
        <f t="shared" si="3"/>
        <v>Regular Season</v>
      </c>
      <c r="N680" s="36" t="str">
        <f>IFERROR(VLOOKUP(I680,Mapped_Owner,2,0),"")</f>
        <v>Pierson</v>
      </c>
      <c r="O680" s="6">
        <f>VLOOKUP(D680,'Mapped Opponent'!$G$4:$H$22,2,0)</f>
        <v>2</v>
      </c>
      <c r="P680" s="6"/>
      <c r="Q680" s="6" t="str">
        <f t="shared" si="4"/>
        <v>Week 2</v>
      </c>
      <c r="R680" s="6" t="str">
        <f t="shared" si="5"/>
        <v>2014Week 2</v>
      </c>
      <c r="S680" s="6">
        <f>IFERROR(__xludf.DUMMYFUNCTION("rank(J680,FILTER(J:J,R:R=R680))"),9.0)</f>
        <v>9</v>
      </c>
      <c r="T680" s="6">
        <f t="shared" si="6"/>
        <v>3</v>
      </c>
      <c r="U680" s="6">
        <f t="shared" si="7"/>
        <v>9</v>
      </c>
      <c r="V680" s="42">
        <f>averageif(AllData!A:A,B680,AllData!R:R)/vlookup(B680,AllData!A:O,15,0)</f>
        <v>94.87820513</v>
      </c>
      <c r="W680" s="6"/>
    </row>
    <row r="681" ht="14.25" customHeight="1">
      <c r="A681" s="6" t="str">
        <f t="shared" si="1"/>
        <v>2014Pierson2</v>
      </c>
      <c r="B681" s="6">
        <v>2014.0</v>
      </c>
      <c r="C681" s="6" t="s">
        <v>92</v>
      </c>
      <c r="D681" s="6" t="s">
        <v>131</v>
      </c>
      <c r="E681" s="34">
        <v>36557.0</v>
      </c>
      <c r="F681" s="6" t="s">
        <v>2230</v>
      </c>
      <c r="G681" s="6" t="s">
        <v>114</v>
      </c>
      <c r="H681" s="6" t="s">
        <v>2231</v>
      </c>
      <c r="I681" s="35" t="s">
        <v>50</v>
      </c>
      <c r="J681" s="36">
        <v>94.3</v>
      </c>
      <c r="K681" s="36">
        <v>79.5</v>
      </c>
      <c r="L681" s="36">
        <f t="shared" si="2"/>
        <v>1</v>
      </c>
      <c r="M681" s="36" t="str">
        <f t="shared" si="3"/>
        <v>Regular Season</v>
      </c>
      <c r="N681" s="36" t="str">
        <f>IFERROR(VLOOKUP(I681,Mapped_Owner,2,0),"")</f>
        <v>Buser</v>
      </c>
      <c r="O681" s="6">
        <f>VLOOKUP(D681,'Mapped Opponent'!$G$4:$H$22,2,0)</f>
        <v>2</v>
      </c>
      <c r="P681" s="6"/>
      <c r="Q681" s="6" t="str">
        <f t="shared" si="4"/>
        <v>Week 2</v>
      </c>
      <c r="R681" s="6" t="str">
        <f t="shared" si="5"/>
        <v>2014Week 2</v>
      </c>
      <c r="S681" s="6">
        <f>IFERROR(__xludf.DUMMYFUNCTION("rank(J681,FILTER(J:J,R:R=R681))"),5.0)</f>
        <v>5</v>
      </c>
      <c r="T681" s="6">
        <f t="shared" si="6"/>
        <v>7</v>
      </c>
      <c r="U681" s="6">
        <f t="shared" si="7"/>
        <v>5</v>
      </c>
      <c r="V681" s="42">
        <f>averageif(AllData!A:A,B681,AllData!R:R)/vlookup(B681,AllData!A:O,15,0)</f>
        <v>94.87820513</v>
      </c>
      <c r="W681" s="6"/>
    </row>
    <row r="682" ht="14.25" customHeight="1">
      <c r="A682" s="6" t="str">
        <f t="shared" si="1"/>
        <v>2014Cock2</v>
      </c>
      <c r="B682" s="6">
        <v>2014.0</v>
      </c>
      <c r="C682" s="6" t="s">
        <v>72</v>
      </c>
      <c r="D682" s="6" t="s">
        <v>131</v>
      </c>
      <c r="E682" s="34">
        <v>42005.0</v>
      </c>
      <c r="F682" s="6" t="s">
        <v>2232</v>
      </c>
      <c r="G682" s="6" t="s">
        <v>114</v>
      </c>
      <c r="H682" s="6" t="s">
        <v>2233</v>
      </c>
      <c r="I682" s="35" t="s">
        <v>91</v>
      </c>
      <c r="J682" s="36">
        <v>60.3</v>
      </c>
      <c r="K682" s="36">
        <v>114.4</v>
      </c>
      <c r="L682" s="36">
        <f t="shared" si="2"/>
        <v>0</v>
      </c>
      <c r="M682" s="36" t="str">
        <f t="shared" si="3"/>
        <v>Regular Season</v>
      </c>
      <c r="N682" s="36" t="str">
        <f>IFERROR(VLOOKUP(I682,Mapped_Owner,2,0),"")</f>
        <v>Shep</v>
      </c>
      <c r="O682" s="6">
        <f>VLOOKUP(D682,'Mapped Opponent'!$G$4:$H$22,2,0)</f>
        <v>2</v>
      </c>
      <c r="P682" s="6"/>
      <c r="Q682" s="6" t="str">
        <f t="shared" si="4"/>
        <v>Week 2</v>
      </c>
      <c r="R682" s="6" t="str">
        <f t="shared" si="5"/>
        <v>2014Week 2</v>
      </c>
      <c r="S682" s="6">
        <f>IFERROR(__xludf.DUMMYFUNCTION("rank(J682,FILTER(J:J,R:R=R682))"),11.0)</f>
        <v>11</v>
      </c>
      <c r="T682" s="6">
        <f t="shared" si="6"/>
        <v>1</v>
      </c>
      <c r="U682" s="6">
        <f t="shared" si="7"/>
        <v>11</v>
      </c>
      <c r="V682" s="42">
        <f>averageif(AllData!A:A,B682,AllData!R:R)/vlookup(B682,AllData!A:O,15,0)</f>
        <v>94.87820513</v>
      </c>
      <c r="W682" s="6"/>
    </row>
    <row r="683" ht="14.25" customHeight="1">
      <c r="A683" s="6" t="str">
        <f t="shared" si="1"/>
        <v>2014Tayski2</v>
      </c>
      <c r="B683" s="6">
        <v>2014.0</v>
      </c>
      <c r="C683" s="6" t="s">
        <v>52</v>
      </c>
      <c r="D683" s="6" t="s">
        <v>131</v>
      </c>
      <c r="E683" s="34">
        <v>42005.0</v>
      </c>
      <c r="F683" s="6" t="s">
        <v>2234</v>
      </c>
      <c r="G683" s="6" t="s">
        <v>125</v>
      </c>
      <c r="H683" s="6" t="s">
        <v>1787</v>
      </c>
      <c r="I683" s="35" t="s">
        <v>64</v>
      </c>
      <c r="J683" s="36">
        <v>86.9</v>
      </c>
      <c r="K683" s="36">
        <v>91.8</v>
      </c>
      <c r="L683" s="36">
        <f t="shared" si="2"/>
        <v>0</v>
      </c>
      <c r="M683" s="36" t="str">
        <f t="shared" si="3"/>
        <v>Regular Season</v>
      </c>
      <c r="N683" s="36" t="str">
        <f>IFERROR(VLOOKUP(I683,Mapped_Owner,2,0),"")</f>
        <v>Hudspeath</v>
      </c>
      <c r="O683" s="6">
        <f>VLOOKUP(D683,'Mapped Opponent'!$G$4:$H$22,2,0)</f>
        <v>2</v>
      </c>
      <c r="P683" s="6"/>
      <c r="Q683" s="6" t="str">
        <f t="shared" si="4"/>
        <v>Week 2</v>
      </c>
      <c r="R683" s="6" t="str">
        <f t="shared" si="5"/>
        <v>2014Week 2</v>
      </c>
      <c r="S683" s="6">
        <f>IFERROR(__xludf.DUMMYFUNCTION("rank(J683,FILTER(J:J,R:R=R683))"),7.0)</f>
        <v>7</v>
      </c>
      <c r="T683" s="6">
        <f t="shared" si="6"/>
        <v>5</v>
      </c>
      <c r="U683" s="6">
        <f t="shared" si="7"/>
        <v>7</v>
      </c>
      <c r="V683" s="42">
        <f>averageif(AllData!A:A,B683,AllData!R:R)/vlookup(B683,AllData!A:O,15,0)</f>
        <v>94.87820513</v>
      </c>
      <c r="W683" s="6"/>
    </row>
    <row r="684" ht="14.25" customHeight="1">
      <c r="A684" s="6" t="str">
        <f t="shared" si="1"/>
        <v>2014KnardDawg2</v>
      </c>
      <c r="B684" s="6">
        <v>2014.0</v>
      </c>
      <c r="C684" s="6" t="s">
        <v>86</v>
      </c>
      <c r="D684" s="6" t="s">
        <v>131</v>
      </c>
      <c r="E684" s="34" t="s">
        <v>626</v>
      </c>
      <c r="F684" s="6" t="s">
        <v>2235</v>
      </c>
      <c r="G684" s="6" t="s">
        <v>114</v>
      </c>
      <c r="H684" s="6" t="s">
        <v>2236</v>
      </c>
      <c r="I684" s="35" t="s">
        <v>77</v>
      </c>
      <c r="J684" s="36">
        <v>45.9</v>
      </c>
      <c r="K684" s="36">
        <v>85.2</v>
      </c>
      <c r="L684" s="36">
        <f t="shared" si="2"/>
        <v>0</v>
      </c>
      <c r="M684" s="36" t="str">
        <f t="shared" si="3"/>
        <v>Regular Season</v>
      </c>
      <c r="N684" s="36" t="str">
        <f>IFERROR(VLOOKUP(I684,Mapped_Owner,2,0),"")</f>
        <v>Salty</v>
      </c>
      <c r="O684" s="6">
        <f>VLOOKUP(D684,'Mapped Opponent'!$G$4:$H$22,2,0)</f>
        <v>2</v>
      </c>
      <c r="P684" s="6"/>
      <c r="Q684" s="6" t="str">
        <f t="shared" si="4"/>
        <v>Week 2</v>
      </c>
      <c r="R684" s="6" t="str">
        <f t="shared" si="5"/>
        <v>2014Week 2</v>
      </c>
      <c r="S684" s="6">
        <f>IFERROR(__xludf.DUMMYFUNCTION("rank(J684,FILTER(J:J,R:R=R684))"),12.0)</f>
        <v>12</v>
      </c>
      <c r="T684" s="6">
        <f t="shared" si="6"/>
        <v>0</v>
      </c>
      <c r="U684" s="6">
        <f t="shared" si="7"/>
        <v>12</v>
      </c>
      <c r="V684" s="42">
        <f>averageif(AllData!A:A,B684,AllData!R:R)/vlookup(B684,AllData!A:O,15,0)</f>
        <v>94.87820513</v>
      </c>
      <c r="W684" s="6"/>
    </row>
    <row r="685" ht="14.25" customHeight="1">
      <c r="A685" s="6" t="str">
        <f t="shared" si="1"/>
        <v>2014T-How2</v>
      </c>
      <c r="B685" s="6">
        <v>2014.0</v>
      </c>
      <c r="C685" s="6" t="s">
        <v>82</v>
      </c>
      <c r="D685" s="6" t="s">
        <v>131</v>
      </c>
      <c r="E685" s="34" t="s">
        <v>626</v>
      </c>
      <c r="F685" s="6" t="s">
        <v>2237</v>
      </c>
      <c r="G685" s="6" t="s">
        <v>114</v>
      </c>
      <c r="H685" s="6" t="s">
        <v>2238</v>
      </c>
      <c r="I685" s="35" t="s">
        <v>68</v>
      </c>
      <c r="J685" s="36">
        <v>72.4</v>
      </c>
      <c r="K685" s="36">
        <v>111.6</v>
      </c>
      <c r="L685" s="36">
        <f t="shared" si="2"/>
        <v>0</v>
      </c>
      <c r="M685" s="36" t="str">
        <f t="shared" si="3"/>
        <v>Regular Season</v>
      </c>
      <c r="N685" s="36" t="str">
        <f>IFERROR(VLOOKUP(I685,Mapped_Owner,2,0),"")</f>
        <v>Riley</v>
      </c>
      <c r="O685" s="6">
        <f>VLOOKUP(D685,'Mapped Opponent'!$G$4:$H$22,2,0)</f>
        <v>2</v>
      </c>
      <c r="P685" s="6"/>
      <c r="Q685" s="6" t="str">
        <f t="shared" si="4"/>
        <v>Week 2</v>
      </c>
      <c r="R685" s="6" t="str">
        <f t="shared" si="5"/>
        <v>2014Week 2</v>
      </c>
      <c r="S685" s="6">
        <f>IFERROR(__xludf.DUMMYFUNCTION("rank(J685,FILTER(J:J,R:R=R685))"),10.0)</f>
        <v>10</v>
      </c>
      <c r="T685" s="6">
        <f t="shared" si="6"/>
        <v>2</v>
      </c>
      <c r="U685" s="6">
        <f t="shared" si="7"/>
        <v>10</v>
      </c>
      <c r="V685" s="42">
        <f>averageif(AllData!A:A,B685,AllData!R:R)/vlookup(B685,AllData!A:O,15,0)</f>
        <v>94.87820513</v>
      </c>
      <c r="W685" s="6"/>
    </row>
    <row r="686" ht="14.25" customHeight="1">
      <c r="A686" s="6" t="str">
        <f t="shared" si="1"/>
        <v>2014Hudspeath3</v>
      </c>
      <c r="B686" s="6">
        <v>2014.0</v>
      </c>
      <c r="C686" s="6" t="s">
        <v>39</v>
      </c>
      <c r="D686" s="6" t="s">
        <v>135</v>
      </c>
      <c r="E686" s="34">
        <v>36586.0</v>
      </c>
      <c r="F686" s="6" t="s">
        <v>2240</v>
      </c>
      <c r="G686" s="6" t="s">
        <v>125</v>
      </c>
      <c r="H686" s="6" t="s">
        <v>2241</v>
      </c>
      <c r="I686" s="35" t="s">
        <v>132</v>
      </c>
      <c r="J686" s="36">
        <v>93.6</v>
      </c>
      <c r="K686" s="36">
        <v>82.1</v>
      </c>
      <c r="L686" s="36">
        <f t="shared" si="2"/>
        <v>1</v>
      </c>
      <c r="M686" s="36" t="str">
        <f t="shared" si="3"/>
        <v>Regular Season</v>
      </c>
      <c r="N686" s="36" t="str">
        <f>IFERROR(VLOOKUP(I686,Mapped_Owner,2,0),"")</f>
        <v>KnardDawg</v>
      </c>
      <c r="O686" s="6">
        <f>VLOOKUP(D686,'Mapped Opponent'!$G$4:$H$22,2,0)</f>
        <v>3</v>
      </c>
      <c r="P686" s="6"/>
      <c r="Q686" s="6" t="str">
        <f t="shared" si="4"/>
        <v>Week 3</v>
      </c>
      <c r="R686" s="6" t="str">
        <f t="shared" si="5"/>
        <v>2014Week 3</v>
      </c>
      <c r="S686" s="6">
        <f>IFERROR(__xludf.DUMMYFUNCTION("rank(J686,FILTER(J:J,R:R=R686))"),5.0)</f>
        <v>5</v>
      </c>
      <c r="T686" s="6">
        <f t="shared" si="6"/>
        <v>7</v>
      </c>
      <c r="U686" s="6">
        <f t="shared" si="7"/>
        <v>5</v>
      </c>
      <c r="V686" s="42">
        <f>averageif(AllData!A:A,B686,AllData!R:R)/vlookup(B686,AllData!A:O,15,0)</f>
        <v>94.87820513</v>
      </c>
      <c r="W686" s="6"/>
    </row>
    <row r="687" ht="14.25" customHeight="1">
      <c r="A687" s="6" t="str">
        <f t="shared" si="1"/>
        <v>2014Salty3</v>
      </c>
      <c r="B687" s="6">
        <v>2014.0</v>
      </c>
      <c r="C687" s="6" t="s">
        <v>76</v>
      </c>
      <c r="D687" s="6" t="s">
        <v>135</v>
      </c>
      <c r="E687" s="34">
        <v>42036.0</v>
      </c>
      <c r="F687" s="6" t="s">
        <v>2242</v>
      </c>
      <c r="G687" s="6" t="s">
        <v>114</v>
      </c>
      <c r="H687" s="6" t="s">
        <v>2243</v>
      </c>
      <c r="I687" s="35" t="s">
        <v>54</v>
      </c>
      <c r="J687" s="36">
        <v>93.9</v>
      </c>
      <c r="K687" s="36">
        <v>92.9</v>
      </c>
      <c r="L687" s="36">
        <f t="shared" si="2"/>
        <v>1</v>
      </c>
      <c r="M687" s="36" t="str">
        <f t="shared" si="3"/>
        <v>Regular Season</v>
      </c>
      <c r="N687" s="36" t="str">
        <f>IFERROR(VLOOKUP(I687,Mapped_Owner,2,0),"")</f>
        <v>Tayski</v>
      </c>
      <c r="O687" s="6">
        <f>VLOOKUP(D687,'Mapped Opponent'!$G$4:$H$22,2,0)</f>
        <v>3</v>
      </c>
      <c r="P687" s="6"/>
      <c r="Q687" s="6" t="str">
        <f t="shared" si="4"/>
        <v>Week 3</v>
      </c>
      <c r="R687" s="6" t="str">
        <f t="shared" si="5"/>
        <v>2014Week 3</v>
      </c>
      <c r="S687" s="6">
        <f>IFERROR(__xludf.DUMMYFUNCTION("rank(J687,FILTER(J:J,R:R=R687))"),4.0)</f>
        <v>4</v>
      </c>
      <c r="T687" s="6">
        <f t="shared" si="6"/>
        <v>8</v>
      </c>
      <c r="U687" s="6">
        <f t="shared" si="7"/>
        <v>4</v>
      </c>
      <c r="V687" s="42">
        <f>averageif(AllData!A:A,B687,AllData!R:R)/vlookup(B687,AllData!A:O,15,0)</f>
        <v>94.87820513</v>
      </c>
      <c r="W687" s="6"/>
    </row>
    <row r="688" ht="14.25" customHeight="1">
      <c r="A688" s="6" t="str">
        <f t="shared" si="1"/>
        <v>2014Fellows3</v>
      </c>
      <c r="B688" s="6">
        <v>2014.0</v>
      </c>
      <c r="C688" s="6" t="s">
        <v>79</v>
      </c>
      <c r="D688" s="6" t="s">
        <v>135</v>
      </c>
      <c r="E688" s="34">
        <v>42036.0</v>
      </c>
      <c r="F688" s="6" t="s">
        <v>2244</v>
      </c>
      <c r="G688" s="6" t="s">
        <v>125</v>
      </c>
      <c r="H688" s="6" t="s">
        <v>2245</v>
      </c>
      <c r="I688" s="35" t="s">
        <v>99</v>
      </c>
      <c r="J688" s="36">
        <v>108.8</v>
      </c>
      <c r="K688" s="36">
        <v>81.3</v>
      </c>
      <c r="L688" s="36">
        <f t="shared" si="2"/>
        <v>1</v>
      </c>
      <c r="M688" s="36" t="str">
        <f t="shared" si="3"/>
        <v>Regular Season</v>
      </c>
      <c r="N688" s="36" t="str">
        <f>IFERROR(VLOOKUP(I688,Mapped_Owner,2,0),"")</f>
        <v>Cock</v>
      </c>
      <c r="O688" s="6">
        <f>VLOOKUP(D688,'Mapped Opponent'!$G$4:$H$22,2,0)</f>
        <v>3</v>
      </c>
      <c r="P688" s="6"/>
      <c r="Q688" s="6" t="str">
        <f t="shared" si="4"/>
        <v>Week 3</v>
      </c>
      <c r="R688" s="6" t="str">
        <f t="shared" si="5"/>
        <v>2014Week 3</v>
      </c>
      <c r="S688" s="6">
        <f>IFERROR(__xludf.DUMMYFUNCTION("rank(J688,FILTER(J:J,R:R=R688))"),2.0)</f>
        <v>2</v>
      </c>
      <c r="T688" s="6">
        <f t="shared" si="6"/>
        <v>10</v>
      </c>
      <c r="U688" s="6">
        <f t="shared" si="7"/>
        <v>2</v>
      </c>
      <c r="V688" s="42">
        <f>averageif(AllData!A:A,B688,AllData!R:R)/vlookup(B688,AllData!A:O,15,0)</f>
        <v>94.87820513</v>
      </c>
      <c r="W688" s="6"/>
    </row>
    <row r="689" ht="14.25" customHeight="1">
      <c r="A689" s="6" t="str">
        <f t="shared" si="1"/>
        <v>2014Shep3</v>
      </c>
      <c r="B689" s="6">
        <v>2014.0</v>
      </c>
      <c r="C689" s="6" t="s">
        <v>89</v>
      </c>
      <c r="D689" s="6" t="s">
        <v>135</v>
      </c>
      <c r="E689" s="34">
        <v>42036.0</v>
      </c>
      <c r="F689" s="6" t="s">
        <v>2246</v>
      </c>
      <c r="G689" s="6" t="s">
        <v>125</v>
      </c>
      <c r="H689" s="6" t="s">
        <v>2247</v>
      </c>
      <c r="I689" s="35" t="s">
        <v>58</v>
      </c>
      <c r="J689" s="36">
        <v>88.5</v>
      </c>
      <c r="K689" s="36">
        <v>58.0</v>
      </c>
      <c r="L689" s="36">
        <f t="shared" si="2"/>
        <v>1</v>
      </c>
      <c r="M689" s="36" t="str">
        <f t="shared" si="3"/>
        <v>Regular Season</v>
      </c>
      <c r="N689" s="36" t="str">
        <f>IFERROR(VLOOKUP(I689,Mapped_Owner,2,0),"")</f>
        <v>Rooney/Jackson</v>
      </c>
      <c r="O689" s="6">
        <f>VLOOKUP(D689,'Mapped Opponent'!$G$4:$H$22,2,0)</f>
        <v>3</v>
      </c>
      <c r="P689" s="6"/>
      <c r="Q689" s="6" t="str">
        <f t="shared" si="4"/>
        <v>Week 3</v>
      </c>
      <c r="R689" s="6" t="str">
        <f t="shared" si="5"/>
        <v>2014Week 3</v>
      </c>
      <c r="S689" s="6">
        <f>IFERROR(__xludf.DUMMYFUNCTION("rank(J689,FILTER(J:J,R:R=R689))"),7.0)</f>
        <v>7</v>
      </c>
      <c r="T689" s="6">
        <f t="shared" si="6"/>
        <v>5</v>
      </c>
      <c r="U689" s="6">
        <f t="shared" si="7"/>
        <v>7</v>
      </c>
      <c r="V689" s="42">
        <f>averageif(AllData!A:A,B689,AllData!R:R)/vlookup(B689,AllData!A:O,15,0)</f>
        <v>94.87820513</v>
      </c>
      <c r="W689" s="6"/>
    </row>
    <row r="690" ht="14.25" customHeight="1">
      <c r="A690" s="6" t="str">
        <f t="shared" si="1"/>
        <v>2014Riley3</v>
      </c>
      <c r="B690" s="6">
        <v>2014.0</v>
      </c>
      <c r="C690" s="6" t="s">
        <v>67</v>
      </c>
      <c r="D690" s="6" t="s">
        <v>135</v>
      </c>
      <c r="E690" s="34">
        <v>36586.0</v>
      </c>
      <c r="F690" s="6" t="s">
        <v>2248</v>
      </c>
      <c r="G690" s="6" t="s">
        <v>114</v>
      </c>
      <c r="H690" s="6" t="s">
        <v>2249</v>
      </c>
      <c r="I690" s="35" t="s">
        <v>93</v>
      </c>
      <c r="J690" s="36">
        <v>95.6</v>
      </c>
      <c r="K690" s="36">
        <v>69.6</v>
      </c>
      <c r="L690" s="36">
        <f t="shared" si="2"/>
        <v>1</v>
      </c>
      <c r="M690" s="36" t="str">
        <f t="shared" si="3"/>
        <v>Regular Season</v>
      </c>
      <c r="N690" s="36" t="str">
        <f>IFERROR(VLOOKUP(I690,Mapped_Owner,2,0),"")</f>
        <v>Pierson</v>
      </c>
      <c r="O690" s="6">
        <f>VLOOKUP(D690,'Mapped Opponent'!$G$4:$H$22,2,0)</f>
        <v>3</v>
      </c>
      <c r="P690" s="6"/>
      <c r="Q690" s="6" t="str">
        <f t="shared" si="4"/>
        <v>Week 3</v>
      </c>
      <c r="R690" s="6" t="str">
        <f t="shared" si="5"/>
        <v>2014Week 3</v>
      </c>
      <c r="S690" s="6">
        <f>IFERROR(__xludf.DUMMYFUNCTION("rank(J690,FILTER(J:J,R:R=R690))"),3.0)</f>
        <v>3</v>
      </c>
      <c r="T690" s="6">
        <f t="shared" si="6"/>
        <v>9</v>
      </c>
      <c r="U690" s="6">
        <f t="shared" si="7"/>
        <v>3</v>
      </c>
      <c r="V690" s="42">
        <f>averageif(AllData!A:A,B690,AllData!R:R)/vlookup(B690,AllData!A:O,15,0)</f>
        <v>94.87820513</v>
      </c>
      <c r="W690" s="6"/>
    </row>
    <row r="691" ht="14.25" customHeight="1">
      <c r="A691" s="6" t="str">
        <f t="shared" si="1"/>
        <v>2014Rooney/Jackson3</v>
      </c>
      <c r="B691" s="6">
        <v>2014.0</v>
      </c>
      <c r="C691" s="6" t="s">
        <v>57</v>
      </c>
      <c r="D691" s="6" t="s">
        <v>135</v>
      </c>
      <c r="E691" s="34">
        <v>42006.0</v>
      </c>
      <c r="F691" s="6" t="s">
        <v>2250</v>
      </c>
      <c r="G691" s="6" t="s">
        <v>114</v>
      </c>
      <c r="H691" s="6" t="s">
        <v>2251</v>
      </c>
      <c r="I691" s="35" t="s">
        <v>91</v>
      </c>
      <c r="J691" s="36">
        <v>58.0</v>
      </c>
      <c r="K691" s="36">
        <v>88.5</v>
      </c>
      <c r="L691" s="36">
        <f t="shared" si="2"/>
        <v>0</v>
      </c>
      <c r="M691" s="36" t="str">
        <f t="shared" si="3"/>
        <v>Regular Season</v>
      </c>
      <c r="N691" s="36" t="str">
        <f>IFERROR(VLOOKUP(I691,Mapped_Owner,2,0),"")</f>
        <v>Shep</v>
      </c>
      <c r="O691" s="6">
        <f>VLOOKUP(D691,'Mapped Opponent'!$G$4:$H$22,2,0)</f>
        <v>3</v>
      </c>
      <c r="P691" s="6"/>
      <c r="Q691" s="6" t="str">
        <f t="shared" si="4"/>
        <v>Week 3</v>
      </c>
      <c r="R691" s="6" t="str">
        <f t="shared" si="5"/>
        <v>2014Week 3</v>
      </c>
      <c r="S691" s="6">
        <f>IFERROR(__xludf.DUMMYFUNCTION("rank(J691,FILTER(J:J,R:R=R691))"),12.0)</f>
        <v>12</v>
      </c>
      <c r="T691" s="6">
        <f t="shared" si="6"/>
        <v>0</v>
      </c>
      <c r="U691" s="6">
        <f t="shared" si="7"/>
        <v>12</v>
      </c>
      <c r="V691" s="42">
        <f>averageif(AllData!A:A,B691,AllData!R:R)/vlookup(B691,AllData!A:O,15,0)</f>
        <v>94.87820513</v>
      </c>
      <c r="W691" s="6"/>
    </row>
    <row r="692" ht="14.25" customHeight="1">
      <c r="A692" s="6" t="str">
        <f t="shared" si="1"/>
        <v>2014Buser3</v>
      </c>
      <c r="B692" s="6">
        <v>2014.0</v>
      </c>
      <c r="C692" s="6" t="s">
        <v>47</v>
      </c>
      <c r="D692" s="6" t="s">
        <v>135</v>
      </c>
      <c r="E692" s="34" t="s">
        <v>684</v>
      </c>
      <c r="F692" s="6" t="s">
        <v>2252</v>
      </c>
      <c r="G692" s="6" t="s">
        <v>114</v>
      </c>
      <c r="H692" s="6" t="s">
        <v>2253</v>
      </c>
      <c r="I692" s="35" t="s">
        <v>85</v>
      </c>
      <c r="J692" s="36">
        <v>87.1</v>
      </c>
      <c r="K692" s="36">
        <v>118.7</v>
      </c>
      <c r="L692" s="36">
        <f t="shared" si="2"/>
        <v>0</v>
      </c>
      <c r="M692" s="36" t="str">
        <f t="shared" si="3"/>
        <v>Regular Season</v>
      </c>
      <c r="N692" s="36" t="str">
        <f>IFERROR(VLOOKUP(I692,Mapped_Owner,2,0),"")</f>
        <v>T-How</v>
      </c>
      <c r="O692" s="6">
        <f>VLOOKUP(D692,'Mapped Opponent'!$G$4:$H$22,2,0)</f>
        <v>3</v>
      </c>
      <c r="P692" s="6"/>
      <c r="Q692" s="6" t="str">
        <f t="shared" si="4"/>
        <v>Week 3</v>
      </c>
      <c r="R692" s="6" t="str">
        <f t="shared" si="5"/>
        <v>2014Week 3</v>
      </c>
      <c r="S692" s="6">
        <f>IFERROR(__xludf.DUMMYFUNCTION("rank(J692,FILTER(J:J,R:R=R692))"),8.0)</f>
        <v>8</v>
      </c>
      <c r="T692" s="6">
        <f t="shared" si="6"/>
        <v>4</v>
      </c>
      <c r="U692" s="6">
        <f t="shared" si="7"/>
        <v>8</v>
      </c>
      <c r="V692" s="42">
        <f>averageif(AllData!A:A,B692,AllData!R:R)/vlookup(B692,AllData!A:O,15,0)</f>
        <v>94.87820513</v>
      </c>
      <c r="W692" s="6"/>
    </row>
    <row r="693" ht="14.25" customHeight="1">
      <c r="A693" s="6" t="str">
        <f t="shared" si="1"/>
        <v>2014Pierson3</v>
      </c>
      <c r="B693" s="6">
        <v>2014.0</v>
      </c>
      <c r="C693" s="6" t="s">
        <v>92</v>
      </c>
      <c r="D693" s="6" t="s">
        <v>135</v>
      </c>
      <c r="E693" s="34">
        <v>42036.0</v>
      </c>
      <c r="F693" s="6" t="s">
        <v>2254</v>
      </c>
      <c r="G693" s="6" t="s">
        <v>125</v>
      </c>
      <c r="H693" s="6" t="s">
        <v>2255</v>
      </c>
      <c r="I693" s="35" t="s">
        <v>68</v>
      </c>
      <c r="J693" s="36">
        <v>69.6</v>
      </c>
      <c r="K693" s="36">
        <v>95.6</v>
      </c>
      <c r="L693" s="36">
        <f t="shared" si="2"/>
        <v>0</v>
      </c>
      <c r="M693" s="36" t="str">
        <f t="shared" si="3"/>
        <v>Regular Season</v>
      </c>
      <c r="N693" s="36" t="str">
        <f>IFERROR(VLOOKUP(I693,Mapped_Owner,2,0),"")</f>
        <v>Riley</v>
      </c>
      <c r="O693" s="6">
        <f>VLOOKUP(D693,'Mapped Opponent'!$G$4:$H$22,2,0)</f>
        <v>3</v>
      </c>
      <c r="P693" s="6"/>
      <c r="Q693" s="6" t="str">
        <f t="shared" si="4"/>
        <v>Week 3</v>
      </c>
      <c r="R693" s="6" t="str">
        <f t="shared" si="5"/>
        <v>2014Week 3</v>
      </c>
      <c r="S693" s="6">
        <f>IFERROR(__xludf.DUMMYFUNCTION("rank(J693,FILTER(J:J,R:R=R693))"),11.0)</f>
        <v>11</v>
      </c>
      <c r="T693" s="6">
        <f t="shared" si="6"/>
        <v>1</v>
      </c>
      <c r="U693" s="6">
        <f t="shared" si="7"/>
        <v>11</v>
      </c>
      <c r="V693" s="42">
        <f>averageif(AllData!A:A,B693,AllData!R:R)/vlookup(B693,AllData!A:O,15,0)</f>
        <v>94.87820513</v>
      </c>
      <c r="W693" s="6"/>
    </row>
    <row r="694" ht="14.25" customHeight="1">
      <c r="A694" s="6" t="str">
        <f t="shared" si="1"/>
        <v>2014Cock3</v>
      </c>
      <c r="B694" s="6">
        <v>2014.0</v>
      </c>
      <c r="C694" s="6" t="s">
        <v>72</v>
      </c>
      <c r="D694" s="6" t="s">
        <v>135</v>
      </c>
      <c r="E694" s="34">
        <v>42006.0</v>
      </c>
      <c r="F694" s="6" t="s">
        <v>2256</v>
      </c>
      <c r="G694" s="6" t="s">
        <v>114</v>
      </c>
      <c r="H694" s="6" t="s">
        <v>2257</v>
      </c>
      <c r="I694" s="35" t="s">
        <v>80</v>
      </c>
      <c r="J694" s="36">
        <v>81.3</v>
      </c>
      <c r="K694" s="36">
        <v>108.8</v>
      </c>
      <c r="L694" s="36">
        <f t="shared" si="2"/>
        <v>0</v>
      </c>
      <c r="M694" s="36" t="str">
        <f t="shared" si="3"/>
        <v>Regular Season</v>
      </c>
      <c r="N694" s="36" t="str">
        <f>IFERROR(VLOOKUP(I694,Mapped_Owner,2,0),"")</f>
        <v>Fellows</v>
      </c>
      <c r="O694" s="6">
        <f>VLOOKUP(D694,'Mapped Opponent'!$G$4:$H$22,2,0)</f>
        <v>3</v>
      </c>
      <c r="P694" s="6"/>
      <c r="Q694" s="6" t="str">
        <f t="shared" si="4"/>
        <v>Week 3</v>
      </c>
      <c r="R694" s="6" t="str">
        <f t="shared" si="5"/>
        <v>2014Week 3</v>
      </c>
      <c r="S694" s="6">
        <f>IFERROR(__xludf.DUMMYFUNCTION("rank(J694,FILTER(J:J,R:R=R694))"),10.0)</f>
        <v>10</v>
      </c>
      <c r="T694" s="6">
        <f t="shared" si="6"/>
        <v>2</v>
      </c>
      <c r="U694" s="6">
        <f t="shared" si="7"/>
        <v>10</v>
      </c>
      <c r="V694" s="42">
        <f>averageif(AllData!A:A,B694,AllData!R:R)/vlookup(B694,AllData!A:O,15,0)</f>
        <v>94.87820513</v>
      </c>
      <c r="W694" s="6"/>
    </row>
    <row r="695" ht="14.25" customHeight="1">
      <c r="A695" s="6" t="str">
        <f t="shared" si="1"/>
        <v>2014Tayski3</v>
      </c>
      <c r="B695" s="6">
        <v>2014.0</v>
      </c>
      <c r="C695" s="6" t="s">
        <v>52</v>
      </c>
      <c r="D695" s="6" t="s">
        <v>135</v>
      </c>
      <c r="E695" s="34">
        <v>42006.0</v>
      </c>
      <c r="F695" s="6" t="s">
        <v>2259</v>
      </c>
      <c r="G695" s="6" t="s">
        <v>125</v>
      </c>
      <c r="H695" s="6" t="s">
        <v>2260</v>
      </c>
      <c r="I695" s="35" t="s">
        <v>77</v>
      </c>
      <c r="J695" s="36">
        <v>92.9</v>
      </c>
      <c r="K695" s="36">
        <v>93.9</v>
      </c>
      <c r="L695" s="36">
        <f t="shared" si="2"/>
        <v>0</v>
      </c>
      <c r="M695" s="36" t="str">
        <f t="shared" si="3"/>
        <v>Regular Season</v>
      </c>
      <c r="N695" s="36" t="str">
        <f>IFERROR(VLOOKUP(I695,Mapped_Owner,2,0),"")</f>
        <v>Salty</v>
      </c>
      <c r="O695" s="6">
        <f>VLOOKUP(D695,'Mapped Opponent'!$G$4:$H$22,2,0)</f>
        <v>3</v>
      </c>
      <c r="P695" s="6"/>
      <c r="Q695" s="6" t="str">
        <f t="shared" si="4"/>
        <v>Week 3</v>
      </c>
      <c r="R695" s="6" t="str">
        <f t="shared" si="5"/>
        <v>2014Week 3</v>
      </c>
      <c r="S695" s="6">
        <f>IFERROR(__xludf.DUMMYFUNCTION("rank(J695,FILTER(J:J,R:R=R695))"),6.0)</f>
        <v>6</v>
      </c>
      <c r="T695" s="6">
        <f t="shared" si="6"/>
        <v>6</v>
      </c>
      <c r="U695" s="6">
        <f t="shared" si="7"/>
        <v>6</v>
      </c>
      <c r="V695" s="42">
        <f>averageif(AllData!A:A,B695,AllData!R:R)/vlookup(B695,AllData!A:O,15,0)</f>
        <v>94.87820513</v>
      </c>
      <c r="W695" s="6"/>
    </row>
    <row r="696" ht="14.25" customHeight="1">
      <c r="A696" s="6" t="str">
        <f t="shared" si="1"/>
        <v>2014KnardDawg3</v>
      </c>
      <c r="B696" s="6">
        <v>2014.0</v>
      </c>
      <c r="C696" s="6" t="s">
        <v>86</v>
      </c>
      <c r="D696" s="6" t="s">
        <v>135</v>
      </c>
      <c r="E696" s="34" t="s">
        <v>684</v>
      </c>
      <c r="F696" s="6" t="s">
        <v>2261</v>
      </c>
      <c r="G696" s="6" t="s">
        <v>114</v>
      </c>
      <c r="H696" s="6" t="s">
        <v>1822</v>
      </c>
      <c r="I696" s="35" t="s">
        <v>64</v>
      </c>
      <c r="J696" s="36">
        <v>82.1</v>
      </c>
      <c r="K696" s="36">
        <v>93.6</v>
      </c>
      <c r="L696" s="36">
        <f t="shared" si="2"/>
        <v>0</v>
      </c>
      <c r="M696" s="36" t="str">
        <f t="shared" si="3"/>
        <v>Regular Season</v>
      </c>
      <c r="N696" s="36" t="str">
        <f>IFERROR(VLOOKUP(I696,Mapped_Owner,2,0),"")</f>
        <v>Hudspeath</v>
      </c>
      <c r="O696" s="6">
        <f>VLOOKUP(D696,'Mapped Opponent'!$G$4:$H$22,2,0)</f>
        <v>3</v>
      </c>
      <c r="P696" s="6"/>
      <c r="Q696" s="6" t="str">
        <f t="shared" si="4"/>
        <v>Week 3</v>
      </c>
      <c r="R696" s="6" t="str">
        <f t="shared" si="5"/>
        <v>2014Week 3</v>
      </c>
      <c r="S696" s="6">
        <f>IFERROR(__xludf.DUMMYFUNCTION("rank(J696,FILTER(J:J,R:R=R696))"),9.0)</f>
        <v>9</v>
      </c>
      <c r="T696" s="6">
        <f t="shared" si="6"/>
        <v>3</v>
      </c>
      <c r="U696" s="6">
        <f t="shared" si="7"/>
        <v>9</v>
      </c>
      <c r="V696" s="42">
        <f>averageif(AllData!A:A,B696,AllData!R:R)/vlookup(B696,AllData!A:O,15,0)</f>
        <v>94.87820513</v>
      </c>
      <c r="W696" s="6"/>
    </row>
    <row r="697" ht="14.25" customHeight="1">
      <c r="A697" s="6" t="str">
        <f t="shared" si="1"/>
        <v>2014T-How3</v>
      </c>
      <c r="B697" s="6">
        <v>2014.0</v>
      </c>
      <c r="C697" s="6" t="s">
        <v>82</v>
      </c>
      <c r="D697" s="6" t="s">
        <v>135</v>
      </c>
      <c r="E697" s="34">
        <v>42006.0</v>
      </c>
      <c r="F697" s="6" t="s">
        <v>2262</v>
      </c>
      <c r="G697" s="6" t="s">
        <v>125</v>
      </c>
      <c r="H697" s="6" t="s">
        <v>2263</v>
      </c>
      <c r="I697" s="35" t="s">
        <v>50</v>
      </c>
      <c r="J697" s="36">
        <v>118.7</v>
      </c>
      <c r="K697" s="36">
        <v>87.1</v>
      </c>
      <c r="L697" s="36">
        <f t="shared" si="2"/>
        <v>1</v>
      </c>
      <c r="M697" s="36" t="str">
        <f t="shared" si="3"/>
        <v>Regular Season</v>
      </c>
      <c r="N697" s="36" t="str">
        <f>IFERROR(VLOOKUP(I697,Mapped_Owner,2,0),"")</f>
        <v>Buser</v>
      </c>
      <c r="O697" s="6">
        <f>VLOOKUP(D697,'Mapped Opponent'!$G$4:$H$22,2,0)</f>
        <v>3</v>
      </c>
      <c r="P697" s="6"/>
      <c r="Q697" s="6" t="str">
        <f t="shared" si="4"/>
        <v>Week 3</v>
      </c>
      <c r="R697" s="6" t="str">
        <f t="shared" si="5"/>
        <v>2014Week 3</v>
      </c>
      <c r="S697" s="6">
        <f>IFERROR(__xludf.DUMMYFUNCTION("rank(J697,FILTER(J:J,R:R=R697))"),1.0)</f>
        <v>1</v>
      </c>
      <c r="T697" s="6">
        <f t="shared" si="6"/>
        <v>11</v>
      </c>
      <c r="U697" s="6">
        <f t="shared" si="7"/>
        <v>1</v>
      </c>
      <c r="V697" s="42">
        <f>averageif(AllData!A:A,B697,AllData!R:R)/vlookup(B697,AllData!A:O,15,0)</f>
        <v>94.87820513</v>
      </c>
      <c r="W697" s="6"/>
    </row>
    <row r="698" ht="14.25" customHeight="1">
      <c r="A698" s="6" t="str">
        <f t="shared" si="1"/>
        <v>2014Hudspeath4</v>
      </c>
      <c r="B698" s="6">
        <v>2014.0</v>
      </c>
      <c r="C698" s="6" t="s">
        <v>39</v>
      </c>
      <c r="D698" s="6" t="s">
        <v>138</v>
      </c>
      <c r="E698" s="34">
        <v>42064.0</v>
      </c>
      <c r="F698" s="6" t="s">
        <v>2264</v>
      </c>
      <c r="G698" s="6" t="s">
        <v>114</v>
      </c>
      <c r="H698" s="6" t="s">
        <v>2265</v>
      </c>
      <c r="I698" s="35" t="s">
        <v>50</v>
      </c>
      <c r="J698" s="36">
        <v>96.0</v>
      </c>
      <c r="K698" s="36">
        <v>132.7</v>
      </c>
      <c r="L698" s="36">
        <f t="shared" si="2"/>
        <v>0</v>
      </c>
      <c r="M698" s="36" t="str">
        <f t="shared" si="3"/>
        <v>Regular Season</v>
      </c>
      <c r="N698" s="36" t="str">
        <f>IFERROR(VLOOKUP(I698,Mapped_Owner,2,0),"")</f>
        <v>Buser</v>
      </c>
      <c r="O698" s="6">
        <f>VLOOKUP(D698,'Mapped Opponent'!$G$4:$H$22,2,0)</f>
        <v>4</v>
      </c>
      <c r="P698" s="6"/>
      <c r="Q698" s="6" t="str">
        <f t="shared" si="4"/>
        <v>Week 4</v>
      </c>
      <c r="R698" s="6" t="str">
        <f t="shared" si="5"/>
        <v>2014Week 4</v>
      </c>
      <c r="S698" s="6">
        <f>IFERROR(__xludf.DUMMYFUNCTION("rank(J698,FILTER(J:J,R:R=R698))"),8.0)</f>
        <v>8</v>
      </c>
      <c r="T698" s="6">
        <f t="shared" si="6"/>
        <v>4</v>
      </c>
      <c r="U698" s="6">
        <f t="shared" si="7"/>
        <v>8</v>
      </c>
      <c r="V698" s="42">
        <f>averageif(AllData!A:A,B698,AllData!R:R)/vlookup(B698,AllData!A:O,15,0)</f>
        <v>94.87820513</v>
      </c>
      <c r="W698" s="6"/>
    </row>
    <row r="699" ht="14.25" customHeight="1">
      <c r="A699" s="6" t="str">
        <f t="shared" si="1"/>
        <v>2014Salty4</v>
      </c>
      <c r="B699" s="6">
        <v>2014.0</v>
      </c>
      <c r="C699" s="6" t="s">
        <v>76</v>
      </c>
      <c r="D699" s="6" t="s">
        <v>138</v>
      </c>
      <c r="E699" s="34">
        <v>42037.0</v>
      </c>
      <c r="F699" s="6" t="s">
        <v>2266</v>
      </c>
      <c r="G699" s="6" t="s">
        <v>125</v>
      </c>
      <c r="H699" s="6" t="s">
        <v>2267</v>
      </c>
      <c r="I699" s="35" t="s">
        <v>68</v>
      </c>
      <c r="J699" s="36">
        <v>72.5</v>
      </c>
      <c r="K699" s="36">
        <v>97.0</v>
      </c>
      <c r="L699" s="36">
        <f t="shared" si="2"/>
        <v>0</v>
      </c>
      <c r="M699" s="36" t="str">
        <f t="shared" si="3"/>
        <v>Regular Season</v>
      </c>
      <c r="N699" s="36" t="str">
        <f>IFERROR(VLOOKUP(I699,Mapped_Owner,2,0),"")</f>
        <v>Riley</v>
      </c>
      <c r="O699" s="6">
        <f>VLOOKUP(D699,'Mapped Opponent'!$G$4:$H$22,2,0)</f>
        <v>4</v>
      </c>
      <c r="P699" s="6"/>
      <c r="Q699" s="6" t="str">
        <f t="shared" si="4"/>
        <v>Week 4</v>
      </c>
      <c r="R699" s="6" t="str">
        <f t="shared" si="5"/>
        <v>2014Week 4</v>
      </c>
      <c r="S699" s="6">
        <f>IFERROR(__xludf.DUMMYFUNCTION("rank(J699,FILTER(J:J,R:R=R699))"),11.0)</f>
        <v>11</v>
      </c>
      <c r="T699" s="6">
        <f t="shared" si="6"/>
        <v>1</v>
      </c>
      <c r="U699" s="6">
        <f t="shared" si="7"/>
        <v>11</v>
      </c>
      <c r="V699" s="42">
        <f>averageif(AllData!A:A,B699,AllData!R:R)/vlookup(B699,AllData!A:O,15,0)</f>
        <v>94.87820513</v>
      </c>
      <c r="W699" s="6"/>
    </row>
    <row r="700" ht="14.25" customHeight="1">
      <c r="A700" s="6" t="str">
        <f t="shared" si="1"/>
        <v>2014Fellows4</v>
      </c>
      <c r="B700" s="6">
        <v>2014.0</v>
      </c>
      <c r="C700" s="6" t="s">
        <v>79</v>
      </c>
      <c r="D700" s="6" t="s">
        <v>138</v>
      </c>
      <c r="E700" s="34">
        <v>42064.0</v>
      </c>
      <c r="F700" s="6" t="s">
        <v>2268</v>
      </c>
      <c r="G700" s="6" t="s">
        <v>114</v>
      </c>
      <c r="H700" s="6" t="s">
        <v>2269</v>
      </c>
      <c r="I700" s="35" t="s">
        <v>85</v>
      </c>
      <c r="J700" s="36">
        <v>101.8</v>
      </c>
      <c r="K700" s="36">
        <v>61.1</v>
      </c>
      <c r="L700" s="36">
        <f t="shared" si="2"/>
        <v>1</v>
      </c>
      <c r="M700" s="36" t="str">
        <f t="shared" si="3"/>
        <v>Regular Season</v>
      </c>
      <c r="N700" s="36" t="str">
        <f>IFERROR(VLOOKUP(I700,Mapped_Owner,2,0),"")</f>
        <v>T-How</v>
      </c>
      <c r="O700" s="6">
        <f>VLOOKUP(D700,'Mapped Opponent'!$G$4:$H$22,2,0)</f>
        <v>4</v>
      </c>
      <c r="P700" s="6"/>
      <c r="Q700" s="6" t="str">
        <f t="shared" si="4"/>
        <v>Week 4</v>
      </c>
      <c r="R700" s="6" t="str">
        <f t="shared" si="5"/>
        <v>2014Week 4</v>
      </c>
      <c r="S700" s="6">
        <f>IFERROR(__xludf.DUMMYFUNCTION("rank(J700,FILTER(J:J,R:R=R700))"),5.0)</f>
        <v>5</v>
      </c>
      <c r="T700" s="6">
        <f t="shared" si="6"/>
        <v>7</v>
      </c>
      <c r="U700" s="6">
        <f t="shared" si="7"/>
        <v>5</v>
      </c>
      <c r="V700" s="42">
        <f>averageif(AllData!A:A,B700,AllData!R:R)/vlookup(B700,AllData!A:O,15,0)</f>
        <v>94.87820513</v>
      </c>
      <c r="W700" s="6"/>
    </row>
    <row r="701" ht="14.25" customHeight="1">
      <c r="A701" s="6" t="str">
        <f t="shared" si="1"/>
        <v>2014Shep4</v>
      </c>
      <c r="B701" s="6">
        <v>2014.0</v>
      </c>
      <c r="C701" s="6" t="s">
        <v>89</v>
      </c>
      <c r="D701" s="6" t="s">
        <v>138</v>
      </c>
      <c r="E701" s="34">
        <v>42037.0</v>
      </c>
      <c r="F701" s="6" t="s">
        <v>2270</v>
      </c>
      <c r="G701" s="6" t="s">
        <v>114</v>
      </c>
      <c r="H701" s="6" t="s">
        <v>2271</v>
      </c>
      <c r="I701" s="35" t="s">
        <v>93</v>
      </c>
      <c r="J701" s="36">
        <v>103.0</v>
      </c>
      <c r="K701" s="36">
        <v>107.7</v>
      </c>
      <c r="L701" s="36">
        <f t="shared" si="2"/>
        <v>0</v>
      </c>
      <c r="M701" s="36" t="str">
        <f t="shared" si="3"/>
        <v>Regular Season</v>
      </c>
      <c r="N701" s="36" t="str">
        <f>IFERROR(VLOOKUP(I701,Mapped_Owner,2,0),"")</f>
        <v>Pierson</v>
      </c>
      <c r="O701" s="6">
        <f>VLOOKUP(D701,'Mapped Opponent'!$G$4:$H$22,2,0)</f>
        <v>4</v>
      </c>
      <c r="P701" s="6"/>
      <c r="Q701" s="6" t="str">
        <f t="shared" si="4"/>
        <v>Week 4</v>
      </c>
      <c r="R701" s="6" t="str">
        <f t="shared" si="5"/>
        <v>2014Week 4</v>
      </c>
      <c r="S701" s="6">
        <f>IFERROR(__xludf.DUMMYFUNCTION("rank(J701,FILTER(J:J,R:R=R701))"),4.0)</f>
        <v>4</v>
      </c>
      <c r="T701" s="6">
        <f t="shared" si="6"/>
        <v>8</v>
      </c>
      <c r="U701" s="6">
        <f t="shared" si="7"/>
        <v>4</v>
      </c>
      <c r="V701" s="42">
        <f>averageif(AllData!A:A,B701,AllData!R:R)/vlookup(B701,AllData!A:O,15,0)</f>
        <v>94.87820513</v>
      </c>
      <c r="W701" s="6"/>
    </row>
    <row r="702" ht="14.25" customHeight="1">
      <c r="A702" s="6" t="str">
        <f t="shared" si="1"/>
        <v>2014Riley4</v>
      </c>
      <c r="B702" s="6">
        <v>2014.0</v>
      </c>
      <c r="C702" s="6" t="s">
        <v>67</v>
      </c>
      <c r="D702" s="6" t="s">
        <v>138</v>
      </c>
      <c r="E702" s="34">
        <v>36617.0</v>
      </c>
      <c r="F702" s="6" t="s">
        <v>2272</v>
      </c>
      <c r="G702" s="6" t="s">
        <v>114</v>
      </c>
      <c r="H702" s="6" t="s">
        <v>2273</v>
      </c>
      <c r="I702" s="35" t="s">
        <v>77</v>
      </c>
      <c r="J702" s="36">
        <v>97.0</v>
      </c>
      <c r="K702" s="36">
        <v>72.5</v>
      </c>
      <c r="L702" s="36">
        <f t="shared" si="2"/>
        <v>1</v>
      </c>
      <c r="M702" s="36" t="str">
        <f t="shared" si="3"/>
        <v>Regular Season</v>
      </c>
      <c r="N702" s="36" t="str">
        <f>IFERROR(VLOOKUP(I702,Mapped_Owner,2,0),"")</f>
        <v>Salty</v>
      </c>
      <c r="O702" s="6">
        <f>VLOOKUP(D702,'Mapped Opponent'!$G$4:$H$22,2,0)</f>
        <v>4</v>
      </c>
      <c r="P702" s="6"/>
      <c r="Q702" s="6" t="str">
        <f t="shared" si="4"/>
        <v>Week 4</v>
      </c>
      <c r="R702" s="6" t="str">
        <f t="shared" si="5"/>
        <v>2014Week 4</v>
      </c>
      <c r="S702" s="6">
        <f>IFERROR(__xludf.DUMMYFUNCTION("rank(J702,FILTER(J:J,R:R=R702))"),7.0)</f>
        <v>7</v>
      </c>
      <c r="T702" s="6">
        <f t="shared" si="6"/>
        <v>5</v>
      </c>
      <c r="U702" s="6">
        <f t="shared" si="7"/>
        <v>7</v>
      </c>
      <c r="V702" s="42">
        <f>averageif(AllData!A:A,B702,AllData!R:R)/vlookup(B702,AllData!A:O,15,0)</f>
        <v>94.87820513</v>
      </c>
      <c r="W702" s="6"/>
    </row>
    <row r="703" ht="14.25" customHeight="1">
      <c r="A703" s="6" t="str">
        <f t="shared" si="1"/>
        <v>2014Rooney/Jackson4</v>
      </c>
      <c r="B703" s="6">
        <v>2014.0</v>
      </c>
      <c r="C703" s="6" t="s">
        <v>57</v>
      </c>
      <c r="D703" s="6" t="s">
        <v>138</v>
      </c>
      <c r="E703" s="34">
        <v>42037.0</v>
      </c>
      <c r="F703" s="6" t="s">
        <v>2274</v>
      </c>
      <c r="G703" s="6" t="s">
        <v>125</v>
      </c>
      <c r="H703" s="6" t="s">
        <v>2275</v>
      </c>
      <c r="I703" s="35" t="s">
        <v>132</v>
      </c>
      <c r="J703" s="36">
        <v>100.0</v>
      </c>
      <c r="K703" s="36">
        <v>87.7</v>
      </c>
      <c r="L703" s="36">
        <f t="shared" si="2"/>
        <v>1</v>
      </c>
      <c r="M703" s="36" t="str">
        <f t="shared" si="3"/>
        <v>Regular Season</v>
      </c>
      <c r="N703" s="36" t="str">
        <f>IFERROR(VLOOKUP(I703,Mapped_Owner,2,0),"")</f>
        <v>KnardDawg</v>
      </c>
      <c r="O703" s="6">
        <f>VLOOKUP(D703,'Mapped Opponent'!$G$4:$H$22,2,0)</f>
        <v>4</v>
      </c>
      <c r="P703" s="6"/>
      <c r="Q703" s="6" t="str">
        <f t="shared" si="4"/>
        <v>Week 4</v>
      </c>
      <c r="R703" s="6" t="str">
        <f t="shared" si="5"/>
        <v>2014Week 4</v>
      </c>
      <c r="S703" s="6">
        <f>IFERROR(__xludf.DUMMYFUNCTION("rank(J703,FILTER(J:J,R:R=R703))"),6.0)</f>
        <v>6</v>
      </c>
      <c r="T703" s="6">
        <f t="shared" si="6"/>
        <v>6</v>
      </c>
      <c r="U703" s="6">
        <f t="shared" si="7"/>
        <v>6</v>
      </c>
      <c r="V703" s="42">
        <f>averageif(AllData!A:A,B703,AllData!R:R)/vlookup(B703,AllData!A:O,15,0)</f>
        <v>94.87820513</v>
      </c>
      <c r="W703" s="6"/>
    </row>
    <row r="704" ht="14.25" customHeight="1">
      <c r="A704" s="6" t="str">
        <f t="shared" si="1"/>
        <v>2014Buser4</v>
      </c>
      <c r="B704" s="6">
        <v>2014.0</v>
      </c>
      <c r="C704" s="6" t="s">
        <v>47</v>
      </c>
      <c r="D704" s="6" t="s">
        <v>138</v>
      </c>
      <c r="E704" s="34">
        <v>42007.0</v>
      </c>
      <c r="F704" s="6" t="s">
        <v>2276</v>
      </c>
      <c r="G704" s="6" t="s">
        <v>125</v>
      </c>
      <c r="H704" s="6" t="s">
        <v>1851</v>
      </c>
      <c r="I704" s="35" t="s">
        <v>64</v>
      </c>
      <c r="J704" s="36">
        <v>132.7</v>
      </c>
      <c r="K704" s="36">
        <v>96.0</v>
      </c>
      <c r="L704" s="36">
        <f t="shared" si="2"/>
        <v>1</v>
      </c>
      <c r="M704" s="36" t="str">
        <f t="shared" si="3"/>
        <v>Regular Season</v>
      </c>
      <c r="N704" s="36" t="str">
        <f>IFERROR(VLOOKUP(I704,Mapped_Owner,2,0),"")</f>
        <v>Hudspeath</v>
      </c>
      <c r="O704" s="6">
        <f>VLOOKUP(D704,'Mapped Opponent'!$G$4:$H$22,2,0)</f>
        <v>4</v>
      </c>
      <c r="P704" s="6"/>
      <c r="Q704" s="6" t="str">
        <f t="shared" si="4"/>
        <v>Week 4</v>
      </c>
      <c r="R704" s="6" t="str">
        <f t="shared" si="5"/>
        <v>2014Week 4</v>
      </c>
      <c r="S704" s="6">
        <f>IFERROR(__xludf.DUMMYFUNCTION("rank(J704,FILTER(J:J,R:R=R704))"),1.0)</f>
        <v>1</v>
      </c>
      <c r="T704" s="6">
        <f t="shared" si="6"/>
        <v>11</v>
      </c>
      <c r="U704" s="6">
        <f t="shared" si="7"/>
        <v>1</v>
      </c>
      <c r="V704" s="42">
        <f>averageif(AllData!A:A,B704,AllData!R:R)/vlookup(B704,AllData!A:O,15,0)</f>
        <v>94.87820513</v>
      </c>
      <c r="W704" s="6"/>
    </row>
    <row r="705" ht="14.25" customHeight="1">
      <c r="A705" s="6" t="str">
        <f t="shared" si="1"/>
        <v>2014Pierson4</v>
      </c>
      <c r="B705" s="6">
        <v>2014.0</v>
      </c>
      <c r="C705" s="6" t="s">
        <v>92</v>
      </c>
      <c r="D705" s="6" t="s">
        <v>138</v>
      </c>
      <c r="E705" s="34">
        <v>42064.0</v>
      </c>
      <c r="F705" s="6" t="s">
        <v>2277</v>
      </c>
      <c r="G705" s="6" t="s">
        <v>125</v>
      </c>
      <c r="H705" s="6" t="s">
        <v>2278</v>
      </c>
      <c r="I705" s="35" t="s">
        <v>91</v>
      </c>
      <c r="J705" s="36">
        <v>107.7</v>
      </c>
      <c r="K705" s="36">
        <v>103.0</v>
      </c>
      <c r="L705" s="36">
        <f t="shared" si="2"/>
        <v>1</v>
      </c>
      <c r="M705" s="36" t="str">
        <f t="shared" si="3"/>
        <v>Regular Season</v>
      </c>
      <c r="N705" s="36" t="str">
        <f>IFERROR(VLOOKUP(I705,Mapped_Owner,2,0),"")</f>
        <v>Shep</v>
      </c>
      <c r="O705" s="6">
        <f>VLOOKUP(D705,'Mapped Opponent'!$G$4:$H$22,2,0)</f>
        <v>4</v>
      </c>
      <c r="P705" s="6"/>
      <c r="Q705" s="6" t="str">
        <f t="shared" si="4"/>
        <v>Week 4</v>
      </c>
      <c r="R705" s="6" t="str">
        <f t="shared" si="5"/>
        <v>2014Week 4</v>
      </c>
      <c r="S705" s="6">
        <f>IFERROR(__xludf.DUMMYFUNCTION("rank(J705,FILTER(J:J,R:R=R705))"),3.0)</f>
        <v>3</v>
      </c>
      <c r="T705" s="6">
        <f t="shared" si="6"/>
        <v>9</v>
      </c>
      <c r="U705" s="6">
        <f t="shared" si="7"/>
        <v>3</v>
      </c>
      <c r="V705" s="42">
        <f>averageif(AllData!A:A,B705,AllData!R:R)/vlookup(B705,AllData!A:O,15,0)</f>
        <v>94.87820513</v>
      </c>
      <c r="W705" s="6"/>
    </row>
    <row r="706" ht="14.25" customHeight="1">
      <c r="A706" s="6" t="str">
        <f t="shared" si="1"/>
        <v>2014Cock4</v>
      </c>
      <c r="B706" s="6">
        <v>2014.0</v>
      </c>
      <c r="C706" s="6" t="s">
        <v>72</v>
      </c>
      <c r="D706" s="6" t="s">
        <v>138</v>
      </c>
      <c r="E706" s="34">
        <v>42037.0</v>
      </c>
      <c r="F706" s="6" t="s">
        <v>2280</v>
      </c>
      <c r="G706" s="6" t="s">
        <v>125</v>
      </c>
      <c r="H706" s="6" t="s">
        <v>2281</v>
      </c>
      <c r="I706" s="35" t="s">
        <v>54</v>
      </c>
      <c r="J706" s="36">
        <v>125.6</v>
      </c>
      <c r="K706" s="36">
        <v>77.1</v>
      </c>
      <c r="L706" s="36">
        <f t="shared" si="2"/>
        <v>1</v>
      </c>
      <c r="M706" s="36" t="str">
        <f t="shared" si="3"/>
        <v>Regular Season</v>
      </c>
      <c r="N706" s="36" t="str">
        <f>IFERROR(VLOOKUP(I706,Mapped_Owner,2,0),"")</f>
        <v>Tayski</v>
      </c>
      <c r="O706" s="6">
        <f>VLOOKUP(D706,'Mapped Opponent'!$G$4:$H$22,2,0)</f>
        <v>4</v>
      </c>
      <c r="P706" s="6"/>
      <c r="Q706" s="6" t="str">
        <f t="shared" si="4"/>
        <v>Week 4</v>
      </c>
      <c r="R706" s="6" t="str">
        <f t="shared" si="5"/>
        <v>2014Week 4</v>
      </c>
      <c r="S706" s="6">
        <f>IFERROR(__xludf.DUMMYFUNCTION("rank(J706,FILTER(J:J,R:R=R706))"),2.0)</f>
        <v>2</v>
      </c>
      <c r="T706" s="6">
        <f t="shared" si="6"/>
        <v>10</v>
      </c>
      <c r="U706" s="6">
        <f t="shared" si="7"/>
        <v>2</v>
      </c>
      <c r="V706" s="42">
        <f>averageif(AllData!A:A,B706,AllData!R:R)/vlookup(B706,AllData!A:O,15,0)</f>
        <v>94.87820513</v>
      </c>
      <c r="W706" s="6"/>
    </row>
    <row r="707" ht="14.25" customHeight="1">
      <c r="A707" s="6" t="str">
        <f t="shared" si="1"/>
        <v>2014Tayski4</v>
      </c>
      <c r="B707" s="6">
        <v>2014.0</v>
      </c>
      <c r="C707" s="6" t="s">
        <v>52</v>
      </c>
      <c r="D707" s="6" t="s">
        <v>138</v>
      </c>
      <c r="E707" s="34">
        <v>42007.0</v>
      </c>
      <c r="F707" s="6" t="s">
        <v>2282</v>
      </c>
      <c r="G707" s="6" t="s">
        <v>114</v>
      </c>
      <c r="H707" s="6" t="s">
        <v>2283</v>
      </c>
      <c r="I707" s="35" t="s">
        <v>99</v>
      </c>
      <c r="J707" s="36">
        <v>77.1</v>
      </c>
      <c r="K707" s="36">
        <v>125.6</v>
      </c>
      <c r="L707" s="36">
        <f t="shared" si="2"/>
        <v>0</v>
      </c>
      <c r="M707" s="36" t="str">
        <f t="shared" si="3"/>
        <v>Regular Season</v>
      </c>
      <c r="N707" s="36" t="str">
        <f>IFERROR(VLOOKUP(I707,Mapped_Owner,2,0),"")</f>
        <v>Cock</v>
      </c>
      <c r="O707" s="6">
        <f>VLOOKUP(D707,'Mapped Opponent'!$G$4:$H$22,2,0)</f>
        <v>4</v>
      </c>
      <c r="P707" s="6"/>
      <c r="Q707" s="6" t="str">
        <f t="shared" si="4"/>
        <v>Week 4</v>
      </c>
      <c r="R707" s="6" t="str">
        <f t="shared" si="5"/>
        <v>2014Week 4</v>
      </c>
      <c r="S707" s="6">
        <f>IFERROR(__xludf.DUMMYFUNCTION("rank(J707,FILTER(J:J,R:R=R707))"),10.0)</f>
        <v>10</v>
      </c>
      <c r="T707" s="6">
        <f t="shared" si="6"/>
        <v>2</v>
      </c>
      <c r="U707" s="6">
        <f t="shared" si="7"/>
        <v>10</v>
      </c>
      <c r="V707" s="42">
        <f>averageif(AllData!A:A,B707,AllData!R:R)/vlookup(B707,AllData!A:O,15,0)</f>
        <v>94.87820513</v>
      </c>
      <c r="W707" s="6"/>
    </row>
    <row r="708" ht="14.25" customHeight="1">
      <c r="A708" s="6" t="str">
        <f t="shared" si="1"/>
        <v>2014KnardDawg4</v>
      </c>
      <c r="B708" s="6">
        <v>2014.0</v>
      </c>
      <c r="C708" s="6" t="s">
        <v>86</v>
      </c>
      <c r="D708" s="6" t="s">
        <v>138</v>
      </c>
      <c r="E708" s="34" t="s">
        <v>1373</v>
      </c>
      <c r="F708" s="6" t="s">
        <v>2284</v>
      </c>
      <c r="G708" s="6" t="s">
        <v>114</v>
      </c>
      <c r="H708" s="6" t="s">
        <v>2285</v>
      </c>
      <c r="I708" s="35" t="s">
        <v>58</v>
      </c>
      <c r="J708" s="36">
        <v>87.7</v>
      </c>
      <c r="K708" s="36">
        <v>100.0</v>
      </c>
      <c r="L708" s="36">
        <f t="shared" si="2"/>
        <v>0</v>
      </c>
      <c r="M708" s="36" t="str">
        <f t="shared" si="3"/>
        <v>Regular Season</v>
      </c>
      <c r="N708" s="36" t="str">
        <f>IFERROR(VLOOKUP(I708,Mapped_Owner,2,0),"")</f>
        <v>Rooney/Jackson</v>
      </c>
      <c r="O708" s="6">
        <f>VLOOKUP(D708,'Mapped Opponent'!$G$4:$H$22,2,0)</f>
        <v>4</v>
      </c>
      <c r="P708" s="6"/>
      <c r="Q708" s="6" t="str">
        <f t="shared" si="4"/>
        <v>Week 4</v>
      </c>
      <c r="R708" s="6" t="str">
        <f t="shared" si="5"/>
        <v>2014Week 4</v>
      </c>
      <c r="S708" s="6">
        <f>IFERROR(__xludf.DUMMYFUNCTION("rank(J708,FILTER(J:J,R:R=R708))"),9.0)</f>
        <v>9</v>
      </c>
      <c r="T708" s="6">
        <f t="shared" si="6"/>
        <v>3</v>
      </c>
      <c r="U708" s="6">
        <f t="shared" si="7"/>
        <v>9</v>
      </c>
      <c r="V708" s="42">
        <f>averageif(AllData!A:A,B708,AllData!R:R)/vlookup(B708,AllData!A:O,15,0)</f>
        <v>94.87820513</v>
      </c>
      <c r="W708" s="6"/>
    </row>
    <row r="709" ht="14.25" customHeight="1">
      <c r="A709" s="6" t="str">
        <f t="shared" si="1"/>
        <v>2014T-How4</v>
      </c>
      <c r="B709" s="6">
        <v>2014.0</v>
      </c>
      <c r="C709" s="6" t="s">
        <v>82</v>
      </c>
      <c r="D709" s="6" t="s">
        <v>138</v>
      </c>
      <c r="E709" s="34">
        <v>42007.0</v>
      </c>
      <c r="F709" s="6" t="s">
        <v>2286</v>
      </c>
      <c r="G709" s="6" t="s">
        <v>125</v>
      </c>
      <c r="H709" s="6" t="s">
        <v>2287</v>
      </c>
      <c r="I709" s="35" t="s">
        <v>80</v>
      </c>
      <c r="J709" s="36">
        <v>61.1</v>
      </c>
      <c r="K709" s="36">
        <v>101.8</v>
      </c>
      <c r="L709" s="36">
        <f t="shared" si="2"/>
        <v>0</v>
      </c>
      <c r="M709" s="36" t="str">
        <f t="shared" si="3"/>
        <v>Regular Season</v>
      </c>
      <c r="N709" s="36" t="str">
        <f>IFERROR(VLOOKUP(I709,Mapped_Owner,2,0),"")</f>
        <v>Fellows</v>
      </c>
      <c r="O709" s="6">
        <f>VLOOKUP(D709,'Mapped Opponent'!$G$4:$H$22,2,0)</f>
        <v>4</v>
      </c>
      <c r="P709" s="6"/>
      <c r="Q709" s="6" t="str">
        <f t="shared" si="4"/>
        <v>Week 4</v>
      </c>
      <c r="R709" s="6" t="str">
        <f t="shared" si="5"/>
        <v>2014Week 4</v>
      </c>
      <c r="S709" s="6">
        <f>IFERROR(__xludf.DUMMYFUNCTION("rank(J709,FILTER(J:J,R:R=R709))"),12.0)</f>
        <v>12</v>
      </c>
      <c r="T709" s="6">
        <f t="shared" si="6"/>
        <v>0</v>
      </c>
      <c r="U709" s="6">
        <f t="shared" si="7"/>
        <v>12</v>
      </c>
      <c r="V709" s="42">
        <f>averageif(AllData!A:A,B709,AllData!R:R)/vlookup(B709,AllData!A:O,15,0)</f>
        <v>94.87820513</v>
      </c>
      <c r="W709" s="6"/>
    </row>
    <row r="710" ht="14.25" customHeight="1">
      <c r="A710" s="6" t="str">
        <f t="shared" si="1"/>
        <v>2014Hudspeath5</v>
      </c>
      <c r="B710" s="6">
        <v>2014.0</v>
      </c>
      <c r="C710" s="6" t="s">
        <v>39</v>
      </c>
      <c r="D710" s="6" t="s">
        <v>141</v>
      </c>
      <c r="E710" s="34">
        <v>42095.0</v>
      </c>
      <c r="F710" s="6" t="s">
        <v>2288</v>
      </c>
      <c r="G710" s="6" t="s">
        <v>114</v>
      </c>
      <c r="H710" s="6" t="s">
        <v>2289</v>
      </c>
      <c r="I710" s="35" t="s">
        <v>85</v>
      </c>
      <c r="J710" s="36">
        <v>83.1</v>
      </c>
      <c r="K710" s="36">
        <v>60.2</v>
      </c>
      <c r="L710" s="36">
        <f t="shared" si="2"/>
        <v>1</v>
      </c>
      <c r="M710" s="36" t="str">
        <f t="shared" si="3"/>
        <v>Regular Season</v>
      </c>
      <c r="N710" s="36" t="str">
        <f>IFERROR(VLOOKUP(I710,Mapped_Owner,2,0),"")</f>
        <v>T-How</v>
      </c>
      <c r="O710" s="6">
        <f>VLOOKUP(D710,'Mapped Opponent'!$G$4:$H$22,2,0)</f>
        <v>5</v>
      </c>
      <c r="P710" s="6"/>
      <c r="Q710" s="6" t="str">
        <f t="shared" si="4"/>
        <v>Week 5</v>
      </c>
      <c r="R710" s="6" t="str">
        <f t="shared" si="5"/>
        <v>2014Week 5</v>
      </c>
      <c r="S710" s="6">
        <f>IFERROR(__xludf.DUMMYFUNCTION("rank(J710,FILTER(J:J,R:R=R710))"),8.0)</f>
        <v>8</v>
      </c>
      <c r="T710" s="6">
        <f t="shared" si="6"/>
        <v>4</v>
      </c>
      <c r="U710" s="6">
        <f t="shared" si="7"/>
        <v>8</v>
      </c>
      <c r="V710" s="42">
        <f>averageif(AllData!A:A,B710,AllData!R:R)/vlookup(B710,AllData!A:O,15,0)</f>
        <v>94.87820513</v>
      </c>
      <c r="W710" s="6"/>
    </row>
    <row r="711" ht="14.25" customHeight="1">
      <c r="A711" s="6" t="str">
        <f t="shared" si="1"/>
        <v>2014Salty5</v>
      </c>
      <c r="B711" s="6">
        <v>2014.0</v>
      </c>
      <c r="C711" s="6" t="s">
        <v>76</v>
      </c>
      <c r="D711" s="6" t="s">
        <v>141</v>
      </c>
      <c r="E711" s="34">
        <v>42065.0</v>
      </c>
      <c r="F711" s="6" t="s">
        <v>2290</v>
      </c>
      <c r="G711" s="6" t="s">
        <v>125</v>
      </c>
      <c r="H711" s="6" t="s">
        <v>2291</v>
      </c>
      <c r="I711" s="35" t="s">
        <v>50</v>
      </c>
      <c r="J711" s="36">
        <v>115.9</v>
      </c>
      <c r="K711" s="36">
        <v>64.2</v>
      </c>
      <c r="L711" s="36">
        <f t="shared" si="2"/>
        <v>1</v>
      </c>
      <c r="M711" s="36" t="str">
        <f t="shared" si="3"/>
        <v>Regular Season</v>
      </c>
      <c r="N711" s="36" t="str">
        <f>IFERROR(VLOOKUP(I711,Mapped_Owner,2,0),"")</f>
        <v>Buser</v>
      </c>
      <c r="O711" s="6">
        <f>VLOOKUP(D711,'Mapped Opponent'!$G$4:$H$22,2,0)</f>
        <v>5</v>
      </c>
      <c r="P711" s="6"/>
      <c r="Q711" s="6" t="str">
        <f t="shared" si="4"/>
        <v>Week 5</v>
      </c>
      <c r="R711" s="6" t="str">
        <f t="shared" si="5"/>
        <v>2014Week 5</v>
      </c>
      <c r="S711" s="6">
        <f>IFERROR(__xludf.DUMMYFUNCTION("rank(J711,FILTER(J:J,R:R=R711))"),3.0)</f>
        <v>3</v>
      </c>
      <c r="T711" s="6">
        <f t="shared" si="6"/>
        <v>9</v>
      </c>
      <c r="U711" s="6">
        <f t="shared" si="7"/>
        <v>3</v>
      </c>
      <c r="V711" s="42">
        <f>averageif(AllData!A:A,B711,AllData!R:R)/vlookup(B711,AllData!A:O,15,0)</f>
        <v>94.87820513</v>
      </c>
      <c r="W711" s="6"/>
    </row>
    <row r="712" ht="14.25" customHeight="1">
      <c r="A712" s="6" t="str">
        <f t="shared" si="1"/>
        <v>2014Fellows5</v>
      </c>
      <c r="B712" s="6">
        <v>2014.0</v>
      </c>
      <c r="C712" s="6" t="s">
        <v>79</v>
      </c>
      <c r="D712" s="6" t="s">
        <v>141</v>
      </c>
      <c r="E712" s="34">
        <v>42095.0</v>
      </c>
      <c r="F712" s="6" t="s">
        <v>2292</v>
      </c>
      <c r="G712" s="6" t="s">
        <v>125</v>
      </c>
      <c r="H712" s="6" t="s">
        <v>2293</v>
      </c>
      <c r="I712" s="35" t="s">
        <v>132</v>
      </c>
      <c r="J712" s="36">
        <v>97.4</v>
      </c>
      <c r="K712" s="36">
        <v>87.6</v>
      </c>
      <c r="L712" s="36">
        <f t="shared" si="2"/>
        <v>1</v>
      </c>
      <c r="M712" s="36" t="str">
        <f t="shared" si="3"/>
        <v>Regular Season</v>
      </c>
      <c r="N712" s="36" t="str">
        <f>IFERROR(VLOOKUP(I712,Mapped_Owner,2,0),"")</f>
        <v>KnardDawg</v>
      </c>
      <c r="O712" s="6">
        <f>VLOOKUP(D712,'Mapped Opponent'!$G$4:$H$22,2,0)</f>
        <v>5</v>
      </c>
      <c r="P712" s="6"/>
      <c r="Q712" s="6" t="str">
        <f t="shared" si="4"/>
        <v>Week 5</v>
      </c>
      <c r="R712" s="6" t="str">
        <f t="shared" si="5"/>
        <v>2014Week 5</v>
      </c>
      <c r="S712" s="6">
        <f>IFERROR(__xludf.DUMMYFUNCTION("rank(J712,FILTER(J:J,R:R=R712))"),5.0)</f>
        <v>5</v>
      </c>
      <c r="T712" s="6">
        <f t="shared" si="6"/>
        <v>7</v>
      </c>
      <c r="U712" s="6">
        <f t="shared" si="7"/>
        <v>5</v>
      </c>
      <c r="V712" s="42">
        <f>averageif(AllData!A:A,B712,AllData!R:R)/vlookup(B712,AllData!A:O,15,0)</f>
        <v>94.87820513</v>
      </c>
      <c r="W712" s="6"/>
    </row>
    <row r="713" ht="14.25" customHeight="1">
      <c r="A713" s="6" t="str">
        <f t="shared" si="1"/>
        <v>2014Shep5</v>
      </c>
      <c r="B713" s="6">
        <v>2014.0</v>
      </c>
      <c r="C713" s="6" t="s">
        <v>89</v>
      </c>
      <c r="D713" s="6" t="s">
        <v>141</v>
      </c>
      <c r="E713" s="34">
        <v>42038.0</v>
      </c>
      <c r="F713" s="6" t="s">
        <v>2294</v>
      </c>
      <c r="G713" s="6" t="s">
        <v>125</v>
      </c>
      <c r="H713" s="6" t="s">
        <v>2295</v>
      </c>
      <c r="I713" s="35" t="s">
        <v>54</v>
      </c>
      <c r="J713" s="36">
        <v>113.3</v>
      </c>
      <c r="K713" s="36">
        <v>128.5</v>
      </c>
      <c r="L713" s="36">
        <f t="shared" si="2"/>
        <v>0</v>
      </c>
      <c r="M713" s="36" t="str">
        <f t="shared" si="3"/>
        <v>Regular Season</v>
      </c>
      <c r="N713" s="36" t="str">
        <f>IFERROR(VLOOKUP(I713,Mapped_Owner,2,0),"")</f>
        <v>Tayski</v>
      </c>
      <c r="O713" s="6">
        <f>VLOOKUP(D713,'Mapped Opponent'!$G$4:$H$22,2,0)</f>
        <v>5</v>
      </c>
      <c r="P713" s="6"/>
      <c r="Q713" s="6" t="str">
        <f t="shared" si="4"/>
        <v>Week 5</v>
      </c>
      <c r="R713" s="6" t="str">
        <f t="shared" si="5"/>
        <v>2014Week 5</v>
      </c>
      <c r="S713" s="6">
        <f>IFERROR(__xludf.DUMMYFUNCTION("rank(J713,FILTER(J:J,R:R=R713))"),4.0)</f>
        <v>4</v>
      </c>
      <c r="T713" s="6">
        <f t="shared" si="6"/>
        <v>8</v>
      </c>
      <c r="U713" s="6">
        <f t="shared" si="7"/>
        <v>4</v>
      </c>
      <c r="V713" s="42">
        <f>averageif(AllData!A:A,B713,AllData!R:R)/vlookup(B713,AllData!A:O,15,0)</f>
        <v>94.87820513</v>
      </c>
      <c r="W713" s="6"/>
    </row>
    <row r="714" ht="14.25" customHeight="1">
      <c r="A714" s="6" t="str">
        <f t="shared" si="1"/>
        <v>2014Riley5</v>
      </c>
      <c r="B714" s="6">
        <v>2014.0</v>
      </c>
      <c r="C714" s="6" t="s">
        <v>67</v>
      </c>
      <c r="D714" s="6" t="s">
        <v>141</v>
      </c>
      <c r="E714" s="34">
        <v>36647.0</v>
      </c>
      <c r="F714" s="6" t="s">
        <v>2296</v>
      </c>
      <c r="G714" s="6" t="s">
        <v>114</v>
      </c>
      <c r="H714" s="6" t="s">
        <v>2297</v>
      </c>
      <c r="I714" s="35" t="s">
        <v>58</v>
      </c>
      <c r="J714" s="36">
        <v>93.3</v>
      </c>
      <c r="K714" s="36">
        <v>82.9</v>
      </c>
      <c r="L714" s="36">
        <f t="shared" si="2"/>
        <v>1</v>
      </c>
      <c r="M714" s="36" t="str">
        <f t="shared" si="3"/>
        <v>Regular Season</v>
      </c>
      <c r="N714" s="36" t="str">
        <f>IFERROR(VLOOKUP(I714,Mapped_Owner,2,0),"")</f>
        <v>Rooney/Jackson</v>
      </c>
      <c r="O714" s="6">
        <f>VLOOKUP(D714,'Mapped Opponent'!$G$4:$H$22,2,0)</f>
        <v>5</v>
      </c>
      <c r="P714" s="6"/>
      <c r="Q714" s="6" t="str">
        <f t="shared" si="4"/>
        <v>Week 5</v>
      </c>
      <c r="R714" s="6" t="str">
        <f t="shared" si="5"/>
        <v>2014Week 5</v>
      </c>
      <c r="S714" s="6">
        <f>IFERROR(__xludf.DUMMYFUNCTION("rank(J714,FILTER(J:J,R:R=R714))"),6.0)</f>
        <v>6</v>
      </c>
      <c r="T714" s="6">
        <f t="shared" si="6"/>
        <v>6</v>
      </c>
      <c r="U714" s="6">
        <f t="shared" si="7"/>
        <v>6</v>
      </c>
      <c r="V714" s="42">
        <f>averageif(AllData!A:A,B714,AllData!R:R)/vlookup(B714,AllData!A:O,15,0)</f>
        <v>94.87820513</v>
      </c>
      <c r="W714" s="6"/>
    </row>
    <row r="715" ht="14.25" customHeight="1">
      <c r="A715" s="6" t="str">
        <f t="shared" si="1"/>
        <v>2014Rooney/Jackson5</v>
      </c>
      <c r="B715" s="6">
        <v>2014.0</v>
      </c>
      <c r="C715" s="6" t="s">
        <v>57</v>
      </c>
      <c r="D715" s="6" t="s">
        <v>141</v>
      </c>
      <c r="E715" s="34">
        <v>42038.0</v>
      </c>
      <c r="F715" s="6" t="s">
        <v>2298</v>
      </c>
      <c r="G715" s="6" t="s">
        <v>125</v>
      </c>
      <c r="H715" s="6" t="s">
        <v>2299</v>
      </c>
      <c r="I715" s="35" t="s">
        <v>68</v>
      </c>
      <c r="J715" s="36">
        <v>82.9</v>
      </c>
      <c r="K715" s="36">
        <v>93.3</v>
      </c>
      <c r="L715" s="36">
        <f t="shared" si="2"/>
        <v>0</v>
      </c>
      <c r="M715" s="36" t="str">
        <f t="shared" si="3"/>
        <v>Regular Season</v>
      </c>
      <c r="N715" s="36" t="str">
        <f>IFERROR(VLOOKUP(I715,Mapped_Owner,2,0),"")</f>
        <v>Riley</v>
      </c>
      <c r="O715" s="6">
        <f>VLOOKUP(D715,'Mapped Opponent'!$G$4:$H$22,2,0)</f>
        <v>5</v>
      </c>
      <c r="P715" s="6"/>
      <c r="Q715" s="6" t="str">
        <f t="shared" si="4"/>
        <v>Week 5</v>
      </c>
      <c r="R715" s="6" t="str">
        <f t="shared" si="5"/>
        <v>2014Week 5</v>
      </c>
      <c r="S715" s="6">
        <f>IFERROR(__xludf.DUMMYFUNCTION("rank(J715,FILTER(J:J,R:R=R715))"),9.0)</f>
        <v>9</v>
      </c>
      <c r="T715" s="6">
        <f t="shared" si="6"/>
        <v>3</v>
      </c>
      <c r="U715" s="6">
        <f t="shared" si="7"/>
        <v>9</v>
      </c>
      <c r="V715" s="42">
        <f>averageif(AllData!A:A,B715,AllData!R:R)/vlookup(B715,AllData!A:O,15,0)</f>
        <v>94.87820513</v>
      </c>
      <c r="W715" s="6"/>
    </row>
    <row r="716" ht="14.25" customHeight="1">
      <c r="A716" s="6" t="str">
        <f t="shared" si="1"/>
        <v>2014Buser5</v>
      </c>
      <c r="B716" s="6">
        <v>2014.0</v>
      </c>
      <c r="C716" s="6" t="s">
        <v>47</v>
      </c>
      <c r="D716" s="6" t="s">
        <v>141</v>
      </c>
      <c r="E716" s="34">
        <v>42008.0</v>
      </c>
      <c r="F716" s="6" t="s">
        <v>2300</v>
      </c>
      <c r="G716" s="6" t="s">
        <v>114</v>
      </c>
      <c r="H716" s="6" t="s">
        <v>2301</v>
      </c>
      <c r="I716" s="35" t="s">
        <v>77</v>
      </c>
      <c r="J716" s="36">
        <v>64.2</v>
      </c>
      <c r="K716" s="36">
        <v>115.9</v>
      </c>
      <c r="L716" s="36">
        <f t="shared" si="2"/>
        <v>0</v>
      </c>
      <c r="M716" s="36" t="str">
        <f t="shared" si="3"/>
        <v>Regular Season</v>
      </c>
      <c r="N716" s="36" t="str">
        <f>IFERROR(VLOOKUP(I716,Mapped_Owner,2,0),"")</f>
        <v>Salty</v>
      </c>
      <c r="O716" s="6">
        <f>VLOOKUP(D716,'Mapped Opponent'!$G$4:$H$22,2,0)</f>
        <v>5</v>
      </c>
      <c r="P716" s="6"/>
      <c r="Q716" s="6" t="str">
        <f t="shared" si="4"/>
        <v>Week 5</v>
      </c>
      <c r="R716" s="6" t="str">
        <f t="shared" si="5"/>
        <v>2014Week 5</v>
      </c>
      <c r="S716" s="6">
        <f>IFERROR(__xludf.DUMMYFUNCTION("rank(J716,FILTER(J:J,R:R=R716))"),11.0)</f>
        <v>11</v>
      </c>
      <c r="T716" s="6">
        <f t="shared" si="6"/>
        <v>1</v>
      </c>
      <c r="U716" s="6">
        <f t="shared" si="7"/>
        <v>11</v>
      </c>
      <c r="V716" s="42">
        <f>averageif(AllData!A:A,B716,AllData!R:R)/vlookup(B716,AllData!A:O,15,0)</f>
        <v>94.87820513</v>
      </c>
      <c r="W716" s="6"/>
    </row>
    <row r="717" ht="14.25" customHeight="1">
      <c r="A717" s="6" t="str">
        <f t="shared" si="1"/>
        <v>2014Pierson5</v>
      </c>
      <c r="B717" s="6">
        <v>2014.0</v>
      </c>
      <c r="C717" s="6" t="s">
        <v>92</v>
      </c>
      <c r="D717" s="6" t="s">
        <v>141</v>
      </c>
      <c r="E717" s="34">
        <v>42095.0</v>
      </c>
      <c r="F717" s="6" t="s">
        <v>2302</v>
      </c>
      <c r="G717" s="6" t="s">
        <v>114</v>
      </c>
      <c r="H717" s="6" t="s">
        <v>2303</v>
      </c>
      <c r="I717" s="35" t="s">
        <v>99</v>
      </c>
      <c r="J717" s="36">
        <v>135.8</v>
      </c>
      <c r="K717" s="36">
        <v>74.6</v>
      </c>
      <c r="L717" s="36">
        <f t="shared" si="2"/>
        <v>1</v>
      </c>
      <c r="M717" s="36" t="str">
        <f t="shared" si="3"/>
        <v>Regular Season</v>
      </c>
      <c r="N717" s="36" t="str">
        <f>IFERROR(VLOOKUP(I717,Mapped_Owner,2,0),"")</f>
        <v>Cock</v>
      </c>
      <c r="O717" s="6">
        <f>VLOOKUP(D717,'Mapped Opponent'!$G$4:$H$22,2,0)</f>
        <v>5</v>
      </c>
      <c r="P717" s="6"/>
      <c r="Q717" s="6" t="str">
        <f t="shared" si="4"/>
        <v>Week 5</v>
      </c>
      <c r="R717" s="6" t="str">
        <f t="shared" si="5"/>
        <v>2014Week 5</v>
      </c>
      <c r="S717" s="6">
        <f>IFERROR(__xludf.DUMMYFUNCTION("rank(J717,FILTER(J:J,R:R=R717))"),1.0)</f>
        <v>1</v>
      </c>
      <c r="T717" s="6">
        <f t="shared" si="6"/>
        <v>11</v>
      </c>
      <c r="U717" s="6">
        <f t="shared" si="7"/>
        <v>1</v>
      </c>
      <c r="V717" s="42">
        <f>averageif(AllData!A:A,B717,AllData!R:R)/vlookup(B717,AllData!A:O,15,0)</f>
        <v>94.87820513</v>
      </c>
      <c r="W717" s="6"/>
    </row>
    <row r="718" ht="14.25" customHeight="1">
      <c r="A718" s="6" t="str">
        <f t="shared" si="1"/>
        <v>2014Cock5</v>
      </c>
      <c r="B718" s="6">
        <v>2014.0</v>
      </c>
      <c r="C718" s="6" t="s">
        <v>72</v>
      </c>
      <c r="D718" s="6" t="s">
        <v>141</v>
      </c>
      <c r="E718" s="34">
        <v>42038.0</v>
      </c>
      <c r="F718" s="6" t="s">
        <v>2304</v>
      </c>
      <c r="G718" s="6" t="s">
        <v>125</v>
      </c>
      <c r="H718" s="6" t="s">
        <v>2305</v>
      </c>
      <c r="I718" s="35" t="s">
        <v>93</v>
      </c>
      <c r="J718" s="36">
        <v>74.6</v>
      </c>
      <c r="K718" s="36">
        <v>135.8</v>
      </c>
      <c r="L718" s="36">
        <f t="shared" si="2"/>
        <v>0</v>
      </c>
      <c r="M718" s="36" t="str">
        <f t="shared" si="3"/>
        <v>Regular Season</v>
      </c>
      <c r="N718" s="36" t="str">
        <f>IFERROR(VLOOKUP(I718,Mapped_Owner,2,0),"")</f>
        <v>Pierson</v>
      </c>
      <c r="O718" s="6">
        <f>VLOOKUP(D718,'Mapped Opponent'!$G$4:$H$22,2,0)</f>
        <v>5</v>
      </c>
      <c r="P718" s="6"/>
      <c r="Q718" s="6" t="str">
        <f t="shared" si="4"/>
        <v>Week 5</v>
      </c>
      <c r="R718" s="6" t="str">
        <f t="shared" si="5"/>
        <v>2014Week 5</v>
      </c>
      <c r="S718" s="6">
        <f>IFERROR(__xludf.DUMMYFUNCTION("rank(J718,FILTER(J:J,R:R=R718))"),10.0)</f>
        <v>10</v>
      </c>
      <c r="T718" s="6">
        <f t="shared" si="6"/>
        <v>2</v>
      </c>
      <c r="U718" s="6">
        <f t="shared" si="7"/>
        <v>10</v>
      </c>
      <c r="V718" s="42">
        <f>averageif(AllData!A:A,B718,AllData!R:R)/vlookup(B718,AllData!A:O,15,0)</f>
        <v>94.87820513</v>
      </c>
      <c r="W718" s="6"/>
    </row>
    <row r="719" ht="14.25" customHeight="1">
      <c r="A719" s="6" t="str">
        <f t="shared" si="1"/>
        <v>2014Tayski5</v>
      </c>
      <c r="B719" s="6">
        <v>2014.0</v>
      </c>
      <c r="C719" s="6" t="s">
        <v>52</v>
      </c>
      <c r="D719" s="6" t="s">
        <v>141</v>
      </c>
      <c r="E719" s="34">
        <v>42038.0</v>
      </c>
      <c r="F719" s="6" t="s">
        <v>2306</v>
      </c>
      <c r="G719" s="6" t="s">
        <v>114</v>
      </c>
      <c r="H719" s="6" t="s">
        <v>2307</v>
      </c>
      <c r="I719" s="35" t="s">
        <v>91</v>
      </c>
      <c r="J719" s="36">
        <v>128.5</v>
      </c>
      <c r="K719" s="36">
        <v>113.3</v>
      </c>
      <c r="L719" s="36">
        <f t="shared" si="2"/>
        <v>1</v>
      </c>
      <c r="M719" s="36" t="str">
        <f t="shared" si="3"/>
        <v>Regular Season</v>
      </c>
      <c r="N719" s="36" t="str">
        <f>IFERROR(VLOOKUP(I719,Mapped_Owner,2,0),"")</f>
        <v>Shep</v>
      </c>
      <c r="O719" s="6">
        <f>VLOOKUP(D719,'Mapped Opponent'!$G$4:$H$22,2,0)</f>
        <v>5</v>
      </c>
      <c r="P719" s="6"/>
      <c r="Q719" s="6" t="str">
        <f t="shared" si="4"/>
        <v>Week 5</v>
      </c>
      <c r="R719" s="6" t="str">
        <f t="shared" si="5"/>
        <v>2014Week 5</v>
      </c>
      <c r="S719" s="6">
        <f>IFERROR(__xludf.DUMMYFUNCTION("rank(J719,FILTER(J:J,R:R=R719))"),2.0)</f>
        <v>2</v>
      </c>
      <c r="T719" s="6">
        <f t="shared" si="6"/>
        <v>10</v>
      </c>
      <c r="U719" s="6">
        <f t="shared" si="7"/>
        <v>2</v>
      </c>
      <c r="V719" s="42">
        <f>averageif(AllData!A:A,B719,AllData!R:R)/vlookup(B719,AllData!A:O,15,0)</f>
        <v>94.87820513</v>
      </c>
      <c r="W719" s="6"/>
    </row>
    <row r="720" ht="14.25" customHeight="1">
      <c r="A720" s="6" t="str">
        <f t="shared" si="1"/>
        <v>2014KnardDawg5</v>
      </c>
      <c r="B720" s="6">
        <v>2014.0</v>
      </c>
      <c r="C720" s="6" t="s">
        <v>86</v>
      </c>
      <c r="D720" s="6" t="s">
        <v>141</v>
      </c>
      <c r="E720" s="34" t="s">
        <v>2308</v>
      </c>
      <c r="F720" s="6" t="s">
        <v>2309</v>
      </c>
      <c r="G720" s="6" t="s">
        <v>114</v>
      </c>
      <c r="H720" s="6" t="s">
        <v>2310</v>
      </c>
      <c r="I720" s="35" t="s">
        <v>80</v>
      </c>
      <c r="J720" s="36">
        <v>87.6</v>
      </c>
      <c r="K720" s="36">
        <v>97.4</v>
      </c>
      <c r="L720" s="36">
        <f t="shared" si="2"/>
        <v>0</v>
      </c>
      <c r="M720" s="36" t="str">
        <f t="shared" si="3"/>
        <v>Regular Season</v>
      </c>
      <c r="N720" s="36" t="str">
        <f>IFERROR(VLOOKUP(I720,Mapped_Owner,2,0),"")</f>
        <v>Fellows</v>
      </c>
      <c r="O720" s="6">
        <f>VLOOKUP(D720,'Mapped Opponent'!$G$4:$H$22,2,0)</f>
        <v>5</v>
      </c>
      <c r="P720" s="6"/>
      <c r="Q720" s="6" t="str">
        <f t="shared" si="4"/>
        <v>Week 5</v>
      </c>
      <c r="R720" s="6" t="str">
        <f t="shared" si="5"/>
        <v>2014Week 5</v>
      </c>
      <c r="S720" s="6">
        <f>IFERROR(__xludf.DUMMYFUNCTION("rank(J720,FILTER(J:J,R:R=R720))"),7.0)</f>
        <v>7</v>
      </c>
      <c r="T720" s="6">
        <f t="shared" si="6"/>
        <v>5</v>
      </c>
      <c r="U720" s="6">
        <f t="shared" si="7"/>
        <v>7</v>
      </c>
      <c r="V720" s="42">
        <f>averageif(AllData!A:A,B720,AllData!R:R)/vlookup(B720,AllData!A:O,15,0)</f>
        <v>94.87820513</v>
      </c>
      <c r="W720" s="6"/>
    </row>
    <row r="721" ht="14.25" customHeight="1">
      <c r="A721" s="6" t="str">
        <f t="shared" si="1"/>
        <v>2014T-How5</v>
      </c>
      <c r="B721" s="6">
        <v>2014.0</v>
      </c>
      <c r="C721" s="6" t="s">
        <v>82</v>
      </c>
      <c r="D721" s="6" t="s">
        <v>141</v>
      </c>
      <c r="E721" s="34">
        <v>42008.0</v>
      </c>
      <c r="F721" s="6" t="s">
        <v>2311</v>
      </c>
      <c r="G721" s="6" t="s">
        <v>125</v>
      </c>
      <c r="H721" s="6" t="s">
        <v>2312</v>
      </c>
      <c r="I721" s="35" t="s">
        <v>64</v>
      </c>
      <c r="J721" s="36">
        <v>60.2</v>
      </c>
      <c r="K721" s="36">
        <v>83.1</v>
      </c>
      <c r="L721" s="36">
        <f t="shared" si="2"/>
        <v>0</v>
      </c>
      <c r="M721" s="36" t="str">
        <f t="shared" si="3"/>
        <v>Regular Season</v>
      </c>
      <c r="N721" s="36" t="str">
        <f>IFERROR(VLOOKUP(I721,Mapped_Owner,2,0),"")</f>
        <v>Hudspeath</v>
      </c>
      <c r="O721" s="6">
        <f>VLOOKUP(D721,'Mapped Opponent'!$G$4:$H$22,2,0)</f>
        <v>5</v>
      </c>
      <c r="P721" s="6"/>
      <c r="Q721" s="6" t="str">
        <f t="shared" si="4"/>
        <v>Week 5</v>
      </c>
      <c r="R721" s="6" t="str">
        <f t="shared" si="5"/>
        <v>2014Week 5</v>
      </c>
      <c r="S721" s="6">
        <f>IFERROR(__xludf.DUMMYFUNCTION("rank(J721,FILTER(J:J,R:R=R721))"),12.0)</f>
        <v>12</v>
      </c>
      <c r="T721" s="6">
        <f t="shared" si="6"/>
        <v>0</v>
      </c>
      <c r="U721" s="6">
        <f t="shared" si="7"/>
        <v>12</v>
      </c>
      <c r="V721" s="42">
        <f>averageif(AllData!A:A,B721,AllData!R:R)/vlookup(B721,AllData!A:O,15,0)</f>
        <v>94.87820513</v>
      </c>
      <c r="W721" s="6"/>
    </row>
    <row r="722" ht="14.25" customHeight="1">
      <c r="A722" s="6" t="str">
        <f t="shared" si="1"/>
        <v>2014Hudspeath6</v>
      </c>
      <c r="B722" s="6">
        <v>2014.0</v>
      </c>
      <c r="C722" s="6" t="s">
        <v>39</v>
      </c>
      <c r="D722" s="6" t="s">
        <v>142</v>
      </c>
      <c r="E722" s="34">
        <v>42096.0</v>
      </c>
      <c r="F722" s="6" t="s">
        <v>2313</v>
      </c>
      <c r="G722" s="6" t="s">
        <v>125</v>
      </c>
      <c r="H722" s="6" t="s">
        <v>2314</v>
      </c>
      <c r="I722" s="35" t="s">
        <v>58</v>
      </c>
      <c r="J722" s="36">
        <v>93.6</v>
      </c>
      <c r="K722" s="36">
        <v>136.7</v>
      </c>
      <c r="L722" s="36">
        <f t="shared" si="2"/>
        <v>0</v>
      </c>
      <c r="M722" s="36" t="str">
        <f t="shared" si="3"/>
        <v>Regular Season</v>
      </c>
      <c r="N722" s="36" t="str">
        <f>IFERROR(VLOOKUP(I722,Mapped_Owner,2,0),"")</f>
        <v>Rooney/Jackson</v>
      </c>
      <c r="O722" s="6">
        <f>VLOOKUP(D722,'Mapped Opponent'!$G$4:$H$22,2,0)</f>
        <v>6</v>
      </c>
      <c r="P722" s="6"/>
      <c r="Q722" s="6" t="str">
        <f t="shared" si="4"/>
        <v>Week 6</v>
      </c>
      <c r="R722" s="6" t="str">
        <f t="shared" si="5"/>
        <v>2014Week 6</v>
      </c>
      <c r="S722" s="6">
        <f>IFERROR(__xludf.DUMMYFUNCTION("rank(J722,FILTER(J:J,R:R=R722))"),7.0)</f>
        <v>7</v>
      </c>
      <c r="T722" s="6">
        <f t="shared" si="6"/>
        <v>5</v>
      </c>
      <c r="U722" s="6">
        <f t="shared" si="7"/>
        <v>7</v>
      </c>
      <c r="V722" s="42">
        <f>averageif(AllData!A:A,B722,AllData!R:R)/vlookup(B722,AllData!A:O,15,0)</f>
        <v>94.87820513</v>
      </c>
      <c r="W722" s="6"/>
    </row>
    <row r="723" ht="14.25" customHeight="1">
      <c r="A723" s="6" t="str">
        <f t="shared" si="1"/>
        <v>2014Salty6</v>
      </c>
      <c r="B723" s="6">
        <v>2014.0</v>
      </c>
      <c r="C723" s="6" t="s">
        <v>76</v>
      </c>
      <c r="D723" s="6" t="s">
        <v>142</v>
      </c>
      <c r="E723" s="34">
        <v>42096.0</v>
      </c>
      <c r="F723" s="6" t="s">
        <v>2315</v>
      </c>
      <c r="G723" s="6" t="s">
        <v>125</v>
      </c>
      <c r="H723" s="6" t="s">
        <v>2316</v>
      </c>
      <c r="I723" s="35" t="s">
        <v>99</v>
      </c>
      <c r="J723" s="36">
        <v>130.0</v>
      </c>
      <c r="K723" s="36">
        <v>68.0</v>
      </c>
      <c r="L723" s="36">
        <f t="shared" si="2"/>
        <v>1</v>
      </c>
      <c r="M723" s="36" t="str">
        <f t="shared" si="3"/>
        <v>Regular Season</v>
      </c>
      <c r="N723" s="36" t="str">
        <f>IFERROR(VLOOKUP(I723,Mapped_Owner,2,0),"")</f>
        <v>Cock</v>
      </c>
      <c r="O723" s="6">
        <f>VLOOKUP(D723,'Mapped Opponent'!$G$4:$H$22,2,0)</f>
        <v>6</v>
      </c>
      <c r="P723" s="6"/>
      <c r="Q723" s="6" t="str">
        <f t="shared" si="4"/>
        <v>Week 6</v>
      </c>
      <c r="R723" s="6" t="str">
        <f t="shared" si="5"/>
        <v>2014Week 6</v>
      </c>
      <c r="S723" s="6">
        <f>IFERROR(__xludf.DUMMYFUNCTION("rank(J723,FILTER(J:J,R:R=R723))"),2.0)</f>
        <v>2</v>
      </c>
      <c r="T723" s="6">
        <f t="shared" si="6"/>
        <v>10</v>
      </c>
      <c r="U723" s="6">
        <f t="shared" si="7"/>
        <v>2</v>
      </c>
      <c r="V723" s="42">
        <f>averageif(AllData!A:A,B723,AllData!R:R)/vlookup(B723,AllData!A:O,15,0)</f>
        <v>94.87820513</v>
      </c>
      <c r="W723" s="6"/>
    </row>
    <row r="724" ht="14.25" customHeight="1">
      <c r="A724" s="6" t="str">
        <f t="shared" si="1"/>
        <v>2014Fellows6</v>
      </c>
      <c r="B724" s="6">
        <v>2014.0</v>
      </c>
      <c r="C724" s="6" t="s">
        <v>79</v>
      </c>
      <c r="D724" s="6" t="s">
        <v>142</v>
      </c>
      <c r="E724" s="34">
        <v>42096.0</v>
      </c>
      <c r="F724" s="6" t="s">
        <v>2317</v>
      </c>
      <c r="G724" s="6" t="s">
        <v>114</v>
      </c>
      <c r="H724" s="6" t="s">
        <v>2318</v>
      </c>
      <c r="I724" s="35" t="s">
        <v>68</v>
      </c>
      <c r="J724" s="36">
        <v>98.8</v>
      </c>
      <c r="K724" s="36">
        <v>112.7</v>
      </c>
      <c r="L724" s="36">
        <f t="shared" si="2"/>
        <v>0</v>
      </c>
      <c r="M724" s="36" t="str">
        <f t="shared" si="3"/>
        <v>Regular Season</v>
      </c>
      <c r="N724" s="36" t="str">
        <f>IFERROR(VLOOKUP(I724,Mapped_Owner,2,0),"")</f>
        <v>Riley</v>
      </c>
      <c r="O724" s="6">
        <f>VLOOKUP(D724,'Mapped Opponent'!$G$4:$H$22,2,0)</f>
        <v>6</v>
      </c>
      <c r="P724" s="6"/>
      <c r="Q724" s="6" t="str">
        <f t="shared" si="4"/>
        <v>Week 6</v>
      </c>
      <c r="R724" s="6" t="str">
        <f t="shared" si="5"/>
        <v>2014Week 6</v>
      </c>
      <c r="S724" s="6">
        <f>IFERROR(__xludf.DUMMYFUNCTION("rank(J724,FILTER(J:J,R:R=R724))"),6.0)</f>
        <v>6</v>
      </c>
      <c r="T724" s="6">
        <f t="shared" si="6"/>
        <v>6</v>
      </c>
      <c r="U724" s="6">
        <f t="shared" si="7"/>
        <v>6</v>
      </c>
      <c r="V724" s="42">
        <f>averageif(AllData!A:A,B724,AllData!R:R)/vlookup(B724,AllData!A:O,15,0)</f>
        <v>94.87820513</v>
      </c>
      <c r="W724" s="6"/>
    </row>
    <row r="725" ht="14.25" customHeight="1">
      <c r="A725" s="6" t="str">
        <f t="shared" si="1"/>
        <v>2014Shep6</v>
      </c>
      <c r="B725" s="6">
        <v>2014.0</v>
      </c>
      <c r="C725" s="6" t="s">
        <v>89</v>
      </c>
      <c r="D725" s="6" t="s">
        <v>142</v>
      </c>
      <c r="E725" s="34">
        <v>42066.0</v>
      </c>
      <c r="F725" s="6" t="s">
        <v>2319</v>
      </c>
      <c r="G725" s="6" t="s">
        <v>125</v>
      </c>
      <c r="H725" s="6" t="s">
        <v>2320</v>
      </c>
      <c r="I725" s="35" t="s">
        <v>85</v>
      </c>
      <c r="J725" s="36">
        <v>79.5</v>
      </c>
      <c r="K725" s="36">
        <v>71.6</v>
      </c>
      <c r="L725" s="36">
        <f t="shared" si="2"/>
        <v>1</v>
      </c>
      <c r="M725" s="36" t="str">
        <f t="shared" si="3"/>
        <v>Regular Season</v>
      </c>
      <c r="N725" s="36" t="str">
        <f>IFERROR(VLOOKUP(I725,Mapped_Owner,2,0),"")</f>
        <v>T-How</v>
      </c>
      <c r="O725" s="6">
        <f>VLOOKUP(D725,'Mapped Opponent'!$G$4:$H$22,2,0)</f>
        <v>6</v>
      </c>
      <c r="P725" s="6"/>
      <c r="Q725" s="6" t="str">
        <f t="shared" si="4"/>
        <v>Week 6</v>
      </c>
      <c r="R725" s="6" t="str">
        <f t="shared" si="5"/>
        <v>2014Week 6</v>
      </c>
      <c r="S725" s="6">
        <f>IFERROR(__xludf.DUMMYFUNCTION("rank(J725,FILTER(J:J,R:R=R725))"),9.0)</f>
        <v>9</v>
      </c>
      <c r="T725" s="6">
        <f t="shared" si="6"/>
        <v>3</v>
      </c>
      <c r="U725" s="6">
        <f t="shared" si="7"/>
        <v>9</v>
      </c>
      <c r="V725" s="42">
        <f>averageif(AllData!A:A,B725,AllData!R:R)/vlookup(B725,AllData!A:O,15,0)</f>
        <v>94.87820513</v>
      </c>
      <c r="W725" s="6"/>
    </row>
    <row r="726" ht="14.25" customHeight="1">
      <c r="A726" s="6" t="str">
        <f t="shared" si="1"/>
        <v>2014Riley6</v>
      </c>
      <c r="B726" s="6">
        <v>2014.0</v>
      </c>
      <c r="C726" s="6" t="s">
        <v>67</v>
      </c>
      <c r="D726" s="6" t="s">
        <v>142</v>
      </c>
      <c r="E726" s="34">
        <v>36678.0</v>
      </c>
      <c r="F726" s="6" t="s">
        <v>2321</v>
      </c>
      <c r="G726" s="6" t="s">
        <v>125</v>
      </c>
      <c r="H726" s="6" t="s">
        <v>2322</v>
      </c>
      <c r="I726" s="35" t="s">
        <v>80</v>
      </c>
      <c r="J726" s="36">
        <v>112.7</v>
      </c>
      <c r="K726" s="36">
        <v>98.8</v>
      </c>
      <c r="L726" s="36">
        <f t="shared" si="2"/>
        <v>1</v>
      </c>
      <c r="M726" s="36" t="str">
        <f t="shared" si="3"/>
        <v>Regular Season</v>
      </c>
      <c r="N726" s="36" t="str">
        <f>IFERROR(VLOOKUP(I726,Mapped_Owner,2,0),"")</f>
        <v>Fellows</v>
      </c>
      <c r="O726" s="6">
        <f>VLOOKUP(D726,'Mapped Opponent'!$G$4:$H$22,2,0)</f>
        <v>6</v>
      </c>
      <c r="P726" s="6"/>
      <c r="Q726" s="6" t="str">
        <f t="shared" si="4"/>
        <v>Week 6</v>
      </c>
      <c r="R726" s="6" t="str">
        <f t="shared" si="5"/>
        <v>2014Week 6</v>
      </c>
      <c r="S726" s="6">
        <f>IFERROR(__xludf.DUMMYFUNCTION("rank(J726,FILTER(J:J,R:R=R726))"),4.0)</f>
        <v>4</v>
      </c>
      <c r="T726" s="6">
        <f t="shared" si="6"/>
        <v>8</v>
      </c>
      <c r="U726" s="6">
        <f t="shared" si="7"/>
        <v>4</v>
      </c>
      <c r="V726" s="42">
        <f>averageif(AllData!A:A,B726,AllData!R:R)/vlookup(B726,AllData!A:O,15,0)</f>
        <v>94.87820513</v>
      </c>
      <c r="W726" s="6"/>
    </row>
    <row r="727" ht="14.25" customHeight="1">
      <c r="A727" s="6" t="str">
        <f t="shared" si="1"/>
        <v>2014Rooney/Jackson6</v>
      </c>
      <c r="B727" s="6">
        <v>2014.0</v>
      </c>
      <c r="C727" s="6" t="s">
        <v>57</v>
      </c>
      <c r="D727" s="6" t="s">
        <v>142</v>
      </c>
      <c r="E727" s="34">
        <v>42066.0</v>
      </c>
      <c r="F727" s="6" t="s">
        <v>2323</v>
      </c>
      <c r="G727" s="6" t="s">
        <v>114</v>
      </c>
      <c r="H727" s="6" t="s">
        <v>2324</v>
      </c>
      <c r="I727" s="35" t="s">
        <v>64</v>
      </c>
      <c r="J727" s="36">
        <v>136.7</v>
      </c>
      <c r="K727" s="36">
        <v>93.6</v>
      </c>
      <c r="L727" s="36">
        <f t="shared" si="2"/>
        <v>1</v>
      </c>
      <c r="M727" s="36" t="str">
        <f t="shared" si="3"/>
        <v>Regular Season</v>
      </c>
      <c r="N727" s="36" t="str">
        <f>IFERROR(VLOOKUP(I727,Mapped_Owner,2,0),"")</f>
        <v>Hudspeath</v>
      </c>
      <c r="O727" s="6">
        <f>VLOOKUP(D727,'Mapped Opponent'!$G$4:$H$22,2,0)</f>
        <v>6</v>
      </c>
      <c r="P727" s="6"/>
      <c r="Q727" s="6" t="str">
        <f t="shared" si="4"/>
        <v>Week 6</v>
      </c>
      <c r="R727" s="6" t="str">
        <f t="shared" si="5"/>
        <v>2014Week 6</v>
      </c>
      <c r="S727" s="6">
        <f>IFERROR(__xludf.DUMMYFUNCTION("rank(J727,FILTER(J:J,R:R=R727))"),1.0)</f>
        <v>1</v>
      </c>
      <c r="T727" s="6">
        <f t="shared" si="6"/>
        <v>11</v>
      </c>
      <c r="U727" s="6">
        <f t="shared" si="7"/>
        <v>1</v>
      </c>
      <c r="V727" s="42">
        <f>averageif(AllData!A:A,B727,AllData!R:R)/vlookup(B727,AllData!A:O,15,0)</f>
        <v>94.87820513</v>
      </c>
      <c r="W727" s="6"/>
    </row>
    <row r="728" ht="14.25" customHeight="1">
      <c r="A728" s="6" t="str">
        <f t="shared" si="1"/>
        <v>2014Buser6</v>
      </c>
      <c r="B728" s="6">
        <v>2014.0</v>
      </c>
      <c r="C728" s="6" t="s">
        <v>47</v>
      </c>
      <c r="D728" s="6" t="s">
        <v>142</v>
      </c>
      <c r="E728" s="34">
        <v>42009.0</v>
      </c>
      <c r="F728" s="6" t="s">
        <v>2326</v>
      </c>
      <c r="G728" s="6" t="s">
        <v>114</v>
      </c>
      <c r="H728" s="6" t="s">
        <v>2327</v>
      </c>
      <c r="I728" s="35" t="s">
        <v>54</v>
      </c>
      <c r="J728" s="36">
        <v>63.3</v>
      </c>
      <c r="K728" s="36">
        <v>85.4</v>
      </c>
      <c r="L728" s="36">
        <f t="shared" si="2"/>
        <v>0</v>
      </c>
      <c r="M728" s="36" t="str">
        <f t="shared" si="3"/>
        <v>Regular Season</v>
      </c>
      <c r="N728" s="36" t="str">
        <f>IFERROR(VLOOKUP(I728,Mapped_Owner,2,0),"")</f>
        <v>Tayski</v>
      </c>
      <c r="O728" s="6">
        <f>VLOOKUP(D728,'Mapped Opponent'!$G$4:$H$22,2,0)</f>
        <v>6</v>
      </c>
      <c r="P728" s="6"/>
      <c r="Q728" s="6" t="str">
        <f t="shared" si="4"/>
        <v>Week 6</v>
      </c>
      <c r="R728" s="6" t="str">
        <f t="shared" si="5"/>
        <v>2014Week 6</v>
      </c>
      <c r="S728" s="6">
        <f>IFERROR(__xludf.DUMMYFUNCTION("rank(J728,FILTER(J:J,R:R=R728))"),12.0)</f>
        <v>12</v>
      </c>
      <c r="T728" s="6">
        <f t="shared" si="6"/>
        <v>0</v>
      </c>
      <c r="U728" s="6">
        <f t="shared" si="7"/>
        <v>12</v>
      </c>
      <c r="V728" s="42">
        <f>averageif(AllData!A:A,B728,AllData!R:R)/vlookup(B728,AllData!A:O,15,0)</f>
        <v>94.87820513</v>
      </c>
      <c r="W728" s="6"/>
    </row>
    <row r="729" ht="14.25" customHeight="1">
      <c r="A729" s="6" t="str">
        <f t="shared" si="1"/>
        <v>2014Pierson6</v>
      </c>
      <c r="B729" s="6">
        <v>2014.0</v>
      </c>
      <c r="C729" s="6" t="s">
        <v>92</v>
      </c>
      <c r="D729" s="6" t="s">
        <v>142</v>
      </c>
      <c r="E729" s="34">
        <v>42125.0</v>
      </c>
      <c r="F729" s="6" t="s">
        <v>2328</v>
      </c>
      <c r="G729" s="6" t="s">
        <v>114</v>
      </c>
      <c r="H729" s="6" t="s">
        <v>2329</v>
      </c>
      <c r="I729" s="35" t="s">
        <v>132</v>
      </c>
      <c r="J729" s="36">
        <v>124.3</v>
      </c>
      <c r="K729" s="36">
        <v>101.6</v>
      </c>
      <c r="L729" s="36">
        <f t="shared" si="2"/>
        <v>1</v>
      </c>
      <c r="M729" s="36" t="str">
        <f t="shared" si="3"/>
        <v>Regular Season</v>
      </c>
      <c r="N729" s="36" t="str">
        <f>IFERROR(VLOOKUP(I729,Mapped_Owner,2,0),"")</f>
        <v>KnardDawg</v>
      </c>
      <c r="O729" s="6">
        <f>VLOOKUP(D729,'Mapped Opponent'!$G$4:$H$22,2,0)</f>
        <v>6</v>
      </c>
      <c r="P729" s="6"/>
      <c r="Q729" s="6" t="str">
        <f t="shared" si="4"/>
        <v>Week 6</v>
      </c>
      <c r="R729" s="6" t="str">
        <f t="shared" si="5"/>
        <v>2014Week 6</v>
      </c>
      <c r="S729" s="6">
        <f>IFERROR(__xludf.DUMMYFUNCTION("rank(J729,FILTER(J:J,R:R=R729))"),3.0)</f>
        <v>3</v>
      </c>
      <c r="T729" s="6">
        <f t="shared" si="6"/>
        <v>9</v>
      </c>
      <c r="U729" s="6">
        <f t="shared" si="7"/>
        <v>3</v>
      </c>
      <c r="V729" s="42">
        <f>averageif(AllData!A:A,B729,AllData!R:R)/vlookup(B729,AllData!A:O,15,0)</f>
        <v>94.87820513</v>
      </c>
      <c r="W729" s="6"/>
    </row>
    <row r="730" ht="14.25" customHeight="1">
      <c r="A730" s="6" t="str">
        <f t="shared" si="1"/>
        <v>2014Cock6</v>
      </c>
      <c r="B730" s="6">
        <v>2014.0</v>
      </c>
      <c r="C730" s="6" t="s">
        <v>72</v>
      </c>
      <c r="D730" s="6" t="s">
        <v>142</v>
      </c>
      <c r="E730" s="34">
        <v>42039.0</v>
      </c>
      <c r="F730" s="6" t="s">
        <v>2330</v>
      </c>
      <c r="G730" s="6" t="s">
        <v>114</v>
      </c>
      <c r="H730" s="6" t="s">
        <v>2331</v>
      </c>
      <c r="I730" s="35" t="s">
        <v>77</v>
      </c>
      <c r="J730" s="36">
        <v>68.0</v>
      </c>
      <c r="K730" s="36">
        <v>130.0</v>
      </c>
      <c r="L730" s="36">
        <f t="shared" si="2"/>
        <v>0</v>
      </c>
      <c r="M730" s="36" t="str">
        <f t="shared" si="3"/>
        <v>Regular Season</v>
      </c>
      <c r="N730" s="36" t="str">
        <f>IFERROR(VLOOKUP(I730,Mapped_Owner,2,0),"")</f>
        <v>Salty</v>
      </c>
      <c r="O730" s="6">
        <f>VLOOKUP(D730,'Mapped Opponent'!$G$4:$H$22,2,0)</f>
        <v>6</v>
      </c>
      <c r="P730" s="6"/>
      <c r="Q730" s="6" t="str">
        <f t="shared" si="4"/>
        <v>Week 6</v>
      </c>
      <c r="R730" s="6" t="str">
        <f t="shared" si="5"/>
        <v>2014Week 6</v>
      </c>
      <c r="S730" s="6">
        <f>IFERROR(__xludf.DUMMYFUNCTION("rank(J730,FILTER(J:J,R:R=R730))"),11.0)</f>
        <v>11</v>
      </c>
      <c r="T730" s="6">
        <f t="shared" si="6"/>
        <v>1</v>
      </c>
      <c r="U730" s="6">
        <f t="shared" si="7"/>
        <v>11</v>
      </c>
      <c r="V730" s="42">
        <f>averageif(AllData!A:A,B730,AllData!R:R)/vlookup(B730,AllData!A:O,15,0)</f>
        <v>94.87820513</v>
      </c>
      <c r="W730" s="6"/>
    </row>
    <row r="731" ht="14.25" customHeight="1">
      <c r="A731" s="6" t="str">
        <f t="shared" si="1"/>
        <v>2014Tayski6</v>
      </c>
      <c r="B731" s="6">
        <v>2014.0</v>
      </c>
      <c r="C731" s="6" t="s">
        <v>52</v>
      </c>
      <c r="D731" s="6" t="s">
        <v>142</v>
      </c>
      <c r="E731" s="34">
        <v>42066.0</v>
      </c>
      <c r="F731" s="6" t="s">
        <v>2332</v>
      </c>
      <c r="G731" s="6" t="s">
        <v>125</v>
      </c>
      <c r="H731" s="6" t="s">
        <v>2333</v>
      </c>
      <c r="I731" s="35" t="s">
        <v>50</v>
      </c>
      <c r="J731" s="36">
        <v>85.4</v>
      </c>
      <c r="K731" s="36">
        <v>63.3</v>
      </c>
      <c r="L731" s="36">
        <f t="shared" si="2"/>
        <v>1</v>
      </c>
      <c r="M731" s="36" t="str">
        <f t="shared" si="3"/>
        <v>Regular Season</v>
      </c>
      <c r="N731" s="36" t="str">
        <f>IFERROR(VLOOKUP(I731,Mapped_Owner,2,0),"")</f>
        <v>Buser</v>
      </c>
      <c r="O731" s="6">
        <f>VLOOKUP(D731,'Mapped Opponent'!$G$4:$H$22,2,0)</f>
        <v>6</v>
      </c>
      <c r="P731" s="6"/>
      <c r="Q731" s="6" t="str">
        <f t="shared" si="4"/>
        <v>Week 6</v>
      </c>
      <c r="R731" s="6" t="str">
        <f t="shared" si="5"/>
        <v>2014Week 6</v>
      </c>
      <c r="S731" s="6">
        <f>IFERROR(__xludf.DUMMYFUNCTION("rank(J731,FILTER(J:J,R:R=R731))"),8.0)</f>
        <v>8</v>
      </c>
      <c r="T731" s="6">
        <f t="shared" si="6"/>
        <v>4</v>
      </c>
      <c r="U731" s="6">
        <f t="shared" si="7"/>
        <v>8</v>
      </c>
      <c r="V731" s="42">
        <f>averageif(AllData!A:A,B731,AllData!R:R)/vlookup(B731,AllData!A:O,15,0)</f>
        <v>94.87820513</v>
      </c>
      <c r="W731" s="6"/>
    </row>
    <row r="732" ht="14.25" customHeight="1">
      <c r="A732" s="6" t="str">
        <f t="shared" si="1"/>
        <v>2014KnardDawg6</v>
      </c>
      <c r="B732" s="6">
        <v>2014.0</v>
      </c>
      <c r="C732" s="6" t="s">
        <v>86</v>
      </c>
      <c r="D732" s="6" t="s">
        <v>142</v>
      </c>
      <c r="E732" s="34" t="s">
        <v>2334</v>
      </c>
      <c r="F732" s="6" t="s">
        <v>2335</v>
      </c>
      <c r="G732" s="6" t="s">
        <v>125</v>
      </c>
      <c r="H732" s="6" t="s">
        <v>2336</v>
      </c>
      <c r="I732" s="35" t="s">
        <v>93</v>
      </c>
      <c r="J732" s="36">
        <v>101.6</v>
      </c>
      <c r="K732" s="36">
        <v>124.3</v>
      </c>
      <c r="L732" s="36">
        <f t="shared" si="2"/>
        <v>0</v>
      </c>
      <c r="M732" s="36" t="str">
        <f t="shared" si="3"/>
        <v>Regular Season</v>
      </c>
      <c r="N732" s="36" t="str">
        <f>IFERROR(VLOOKUP(I732,Mapped_Owner,2,0),"")</f>
        <v>Pierson</v>
      </c>
      <c r="O732" s="6">
        <f>VLOOKUP(D732,'Mapped Opponent'!$G$4:$H$22,2,0)</f>
        <v>6</v>
      </c>
      <c r="P732" s="6"/>
      <c r="Q732" s="6" t="str">
        <f t="shared" si="4"/>
        <v>Week 6</v>
      </c>
      <c r="R732" s="6" t="str">
        <f t="shared" si="5"/>
        <v>2014Week 6</v>
      </c>
      <c r="S732" s="6">
        <f>IFERROR(__xludf.DUMMYFUNCTION("rank(J732,FILTER(J:J,R:R=R732))"),5.0)</f>
        <v>5</v>
      </c>
      <c r="T732" s="6">
        <f t="shared" si="6"/>
        <v>7</v>
      </c>
      <c r="U732" s="6">
        <f t="shared" si="7"/>
        <v>5</v>
      </c>
      <c r="V732" s="42">
        <f>averageif(AllData!A:A,B732,AllData!R:R)/vlookup(B732,AllData!A:O,15,0)</f>
        <v>94.87820513</v>
      </c>
      <c r="W732" s="6"/>
    </row>
    <row r="733" ht="14.25" customHeight="1">
      <c r="A733" s="6" t="str">
        <f t="shared" si="1"/>
        <v>2014T-How6</v>
      </c>
      <c r="B733" s="6">
        <v>2014.0</v>
      </c>
      <c r="C733" s="6" t="s">
        <v>82</v>
      </c>
      <c r="D733" s="6" t="s">
        <v>142</v>
      </c>
      <c r="E733" s="34">
        <v>42009.0</v>
      </c>
      <c r="F733" s="6" t="s">
        <v>2337</v>
      </c>
      <c r="G733" s="6" t="s">
        <v>114</v>
      </c>
      <c r="H733" s="6" t="s">
        <v>2338</v>
      </c>
      <c r="I733" s="35" t="s">
        <v>91</v>
      </c>
      <c r="J733" s="36">
        <v>71.6</v>
      </c>
      <c r="K733" s="36">
        <v>79.5</v>
      </c>
      <c r="L733" s="36">
        <f t="shared" si="2"/>
        <v>0</v>
      </c>
      <c r="M733" s="36" t="str">
        <f t="shared" si="3"/>
        <v>Regular Season</v>
      </c>
      <c r="N733" s="36" t="str">
        <f>IFERROR(VLOOKUP(I733,Mapped_Owner,2,0),"")</f>
        <v>Shep</v>
      </c>
      <c r="O733" s="6">
        <f>VLOOKUP(D733,'Mapped Opponent'!$G$4:$H$22,2,0)</f>
        <v>6</v>
      </c>
      <c r="P733" s="6"/>
      <c r="Q733" s="6" t="str">
        <f t="shared" si="4"/>
        <v>Week 6</v>
      </c>
      <c r="R733" s="6" t="str">
        <f t="shared" si="5"/>
        <v>2014Week 6</v>
      </c>
      <c r="S733" s="6">
        <f>IFERROR(__xludf.DUMMYFUNCTION("rank(J733,FILTER(J:J,R:R=R733))"),10.0)</f>
        <v>10</v>
      </c>
      <c r="T733" s="6">
        <f t="shared" si="6"/>
        <v>2</v>
      </c>
      <c r="U733" s="6">
        <f t="shared" si="7"/>
        <v>10</v>
      </c>
      <c r="V733" s="42">
        <f>averageif(AllData!A:A,B733,AllData!R:R)/vlookup(B733,AllData!A:O,15,0)</f>
        <v>94.87820513</v>
      </c>
      <c r="W733" s="6"/>
    </row>
    <row r="734" ht="14.25" customHeight="1">
      <c r="A734" s="6" t="str">
        <f t="shared" si="1"/>
        <v>2014Hudspeath7</v>
      </c>
      <c r="B734" s="6">
        <v>2014.0</v>
      </c>
      <c r="C734" s="6" t="s">
        <v>39</v>
      </c>
      <c r="D734" s="6" t="s">
        <v>143</v>
      </c>
      <c r="E734" s="34">
        <v>42126.0</v>
      </c>
      <c r="F734" s="6" t="s">
        <v>2339</v>
      </c>
      <c r="G734" s="6" t="s">
        <v>114</v>
      </c>
      <c r="H734" s="6" t="s">
        <v>2340</v>
      </c>
      <c r="I734" s="35" t="s">
        <v>91</v>
      </c>
      <c r="J734" s="36">
        <v>111.3</v>
      </c>
      <c r="K734" s="36">
        <v>104.0</v>
      </c>
      <c r="L734" s="36">
        <f t="shared" si="2"/>
        <v>1</v>
      </c>
      <c r="M734" s="36" t="str">
        <f t="shared" si="3"/>
        <v>Regular Season</v>
      </c>
      <c r="N734" s="36" t="str">
        <f>IFERROR(VLOOKUP(I734,Mapped_Owner,2,0),"")</f>
        <v>Shep</v>
      </c>
      <c r="O734" s="6">
        <f>VLOOKUP(D734,'Mapped Opponent'!$G$4:$H$22,2,0)</f>
        <v>7</v>
      </c>
      <c r="P734" s="6"/>
      <c r="Q734" s="6" t="str">
        <f t="shared" si="4"/>
        <v>Week 7</v>
      </c>
      <c r="R734" s="6" t="str">
        <f t="shared" si="5"/>
        <v>2014Week 7</v>
      </c>
      <c r="S734" s="6">
        <f>IFERROR(__xludf.DUMMYFUNCTION("rank(J734,FILTER(J:J,R:R=R734))"),1.0)</f>
        <v>1</v>
      </c>
      <c r="T734" s="6">
        <f t="shared" si="6"/>
        <v>11</v>
      </c>
      <c r="U734" s="6">
        <f t="shared" si="7"/>
        <v>1</v>
      </c>
      <c r="V734" s="42">
        <f>averageif(AllData!A:A,B734,AllData!R:R)/vlookup(B734,AllData!A:O,15,0)</f>
        <v>94.87820513</v>
      </c>
      <c r="W734" s="6"/>
    </row>
    <row r="735" ht="14.25" customHeight="1">
      <c r="A735" s="6" t="str">
        <f t="shared" si="1"/>
        <v>2014Salty7</v>
      </c>
      <c r="B735" s="6">
        <v>2014.0</v>
      </c>
      <c r="C735" s="6" t="s">
        <v>76</v>
      </c>
      <c r="D735" s="6" t="s">
        <v>143</v>
      </c>
      <c r="E735" s="34">
        <v>42097.0</v>
      </c>
      <c r="F735" s="6" t="s">
        <v>2341</v>
      </c>
      <c r="G735" s="6" t="s">
        <v>114</v>
      </c>
      <c r="H735" s="6" t="s">
        <v>2342</v>
      </c>
      <c r="I735" s="35" t="s">
        <v>58</v>
      </c>
      <c r="J735" s="36">
        <v>70.3</v>
      </c>
      <c r="K735" s="36">
        <v>102.5</v>
      </c>
      <c r="L735" s="36">
        <f t="shared" si="2"/>
        <v>0</v>
      </c>
      <c r="M735" s="36" t="str">
        <f t="shared" si="3"/>
        <v>Regular Season</v>
      </c>
      <c r="N735" s="36" t="str">
        <f>IFERROR(VLOOKUP(I735,Mapped_Owner,2,0),"")</f>
        <v>Rooney/Jackson</v>
      </c>
      <c r="O735" s="6">
        <f>VLOOKUP(D735,'Mapped Opponent'!$G$4:$H$22,2,0)</f>
        <v>7</v>
      </c>
      <c r="P735" s="6"/>
      <c r="Q735" s="6" t="str">
        <f t="shared" si="4"/>
        <v>Week 7</v>
      </c>
      <c r="R735" s="6" t="str">
        <f t="shared" si="5"/>
        <v>2014Week 7</v>
      </c>
      <c r="S735" s="6">
        <f>IFERROR(__xludf.DUMMYFUNCTION("rank(J735,FILTER(J:J,R:R=R735))"),10.0)</f>
        <v>10</v>
      </c>
      <c r="T735" s="6">
        <f t="shared" si="6"/>
        <v>2</v>
      </c>
      <c r="U735" s="6">
        <f t="shared" si="7"/>
        <v>10</v>
      </c>
      <c r="V735" s="42">
        <f>averageif(AllData!A:A,B735,AllData!R:R)/vlookup(B735,AllData!A:O,15,0)</f>
        <v>94.87820513</v>
      </c>
      <c r="W735" s="6"/>
    </row>
    <row r="736" ht="14.25" customHeight="1">
      <c r="A736" s="6" t="str">
        <f t="shared" si="1"/>
        <v>2014Fellows7</v>
      </c>
      <c r="B736" s="6">
        <v>2014.0</v>
      </c>
      <c r="C736" s="6" t="s">
        <v>79</v>
      </c>
      <c r="D736" s="6" t="s">
        <v>143</v>
      </c>
      <c r="E736" s="34">
        <v>42126.0</v>
      </c>
      <c r="F736" s="6" t="s">
        <v>2343</v>
      </c>
      <c r="G736" s="6" t="s">
        <v>114</v>
      </c>
      <c r="H736" s="6" t="s">
        <v>2344</v>
      </c>
      <c r="I736" s="35" t="s">
        <v>93</v>
      </c>
      <c r="J736" s="36">
        <v>108.6</v>
      </c>
      <c r="K736" s="36">
        <v>96.9</v>
      </c>
      <c r="L736" s="36">
        <f t="shared" si="2"/>
        <v>1</v>
      </c>
      <c r="M736" s="36" t="str">
        <f t="shared" si="3"/>
        <v>Regular Season</v>
      </c>
      <c r="N736" s="36" t="str">
        <f>IFERROR(VLOOKUP(I736,Mapped_Owner,2,0),"")</f>
        <v>Pierson</v>
      </c>
      <c r="O736" s="6">
        <f>VLOOKUP(D736,'Mapped Opponent'!$G$4:$H$22,2,0)</f>
        <v>7</v>
      </c>
      <c r="P736" s="6"/>
      <c r="Q736" s="6" t="str">
        <f t="shared" si="4"/>
        <v>Week 7</v>
      </c>
      <c r="R736" s="6" t="str">
        <f t="shared" si="5"/>
        <v>2014Week 7</v>
      </c>
      <c r="S736" s="6">
        <f>IFERROR(__xludf.DUMMYFUNCTION("rank(J736,FILTER(J:J,R:R=R736))"),2.0)</f>
        <v>2</v>
      </c>
      <c r="T736" s="6">
        <f t="shared" si="6"/>
        <v>10</v>
      </c>
      <c r="U736" s="6">
        <f t="shared" si="7"/>
        <v>2</v>
      </c>
      <c r="V736" s="42">
        <f>averageif(AllData!A:A,B736,AllData!R:R)/vlookup(B736,AllData!A:O,15,0)</f>
        <v>94.87820513</v>
      </c>
      <c r="W736" s="6"/>
    </row>
    <row r="737" ht="14.25" customHeight="1">
      <c r="A737" s="6" t="str">
        <f t="shared" si="1"/>
        <v>2014Shep7</v>
      </c>
      <c r="B737" s="6">
        <v>2014.0</v>
      </c>
      <c r="C737" s="6" t="s">
        <v>89</v>
      </c>
      <c r="D737" s="6" t="s">
        <v>143</v>
      </c>
      <c r="E737" s="34">
        <v>42067.0</v>
      </c>
      <c r="F737" s="6" t="s">
        <v>2346</v>
      </c>
      <c r="G737" s="6" t="s">
        <v>125</v>
      </c>
      <c r="H737" s="6" t="s">
        <v>2347</v>
      </c>
      <c r="I737" s="35" t="s">
        <v>64</v>
      </c>
      <c r="J737" s="36">
        <v>104.0</v>
      </c>
      <c r="K737" s="36">
        <v>111.3</v>
      </c>
      <c r="L737" s="36">
        <f t="shared" si="2"/>
        <v>0</v>
      </c>
      <c r="M737" s="36" t="str">
        <f t="shared" si="3"/>
        <v>Regular Season</v>
      </c>
      <c r="N737" s="36" t="str">
        <f>IFERROR(VLOOKUP(I737,Mapped_Owner,2,0),"")</f>
        <v>Hudspeath</v>
      </c>
      <c r="O737" s="6">
        <f>VLOOKUP(D737,'Mapped Opponent'!$G$4:$H$22,2,0)</f>
        <v>7</v>
      </c>
      <c r="P737" s="6"/>
      <c r="Q737" s="6" t="str">
        <f t="shared" si="4"/>
        <v>Week 7</v>
      </c>
      <c r="R737" s="6" t="str">
        <f t="shared" si="5"/>
        <v>2014Week 7</v>
      </c>
      <c r="S737" s="6">
        <f>IFERROR(__xludf.DUMMYFUNCTION("rank(J737,FILTER(J:J,R:R=R737))"),4.0)</f>
        <v>4</v>
      </c>
      <c r="T737" s="6">
        <f t="shared" si="6"/>
        <v>8</v>
      </c>
      <c r="U737" s="6">
        <f t="shared" si="7"/>
        <v>4</v>
      </c>
      <c r="V737" s="42">
        <f>averageif(AllData!A:A,B737,AllData!R:R)/vlookup(B737,AllData!A:O,15,0)</f>
        <v>94.87820513</v>
      </c>
      <c r="W737" s="6"/>
    </row>
    <row r="738" ht="14.25" customHeight="1">
      <c r="A738" s="6" t="str">
        <f t="shared" si="1"/>
        <v>2014Riley7</v>
      </c>
      <c r="B738" s="6">
        <v>2014.0</v>
      </c>
      <c r="C738" s="6" t="s">
        <v>67</v>
      </c>
      <c r="D738" s="6" t="s">
        <v>143</v>
      </c>
      <c r="E738" s="34">
        <v>42156.0</v>
      </c>
      <c r="F738" s="6" t="s">
        <v>2348</v>
      </c>
      <c r="G738" s="6" t="s">
        <v>125</v>
      </c>
      <c r="H738" s="6" t="s">
        <v>2349</v>
      </c>
      <c r="I738" s="35" t="s">
        <v>54</v>
      </c>
      <c r="J738" s="36">
        <v>73.1</v>
      </c>
      <c r="K738" s="36">
        <v>105.2</v>
      </c>
      <c r="L738" s="36">
        <f t="shared" si="2"/>
        <v>0</v>
      </c>
      <c r="M738" s="36" t="str">
        <f t="shared" si="3"/>
        <v>Regular Season</v>
      </c>
      <c r="N738" s="36" t="str">
        <f>IFERROR(VLOOKUP(I738,Mapped_Owner,2,0),"")</f>
        <v>Tayski</v>
      </c>
      <c r="O738" s="6">
        <f>VLOOKUP(D738,'Mapped Opponent'!$G$4:$H$22,2,0)</f>
        <v>7</v>
      </c>
      <c r="P738" s="6"/>
      <c r="Q738" s="6" t="str">
        <f t="shared" si="4"/>
        <v>Week 7</v>
      </c>
      <c r="R738" s="6" t="str">
        <f t="shared" si="5"/>
        <v>2014Week 7</v>
      </c>
      <c r="S738" s="6">
        <f>IFERROR(__xludf.DUMMYFUNCTION("rank(J738,FILTER(J:J,R:R=R738))"),9.0)</f>
        <v>9</v>
      </c>
      <c r="T738" s="6">
        <f t="shared" si="6"/>
        <v>3</v>
      </c>
      <c r="U738" s="6">
        <f t="shared" si="7"/>
        <v>9</v>
      </c>
      <c r="V738" s="42">
        <f>averageif(AllData!A:A,B738,AllData!R:R)/vlookup(B738,AllData!A:O,15,0)</f>
        <v>94.87820513</v>
      </c>
      <c r="W738" s="6"/>
    </row>
    <row r="739" ht="14.25" customHeight="1">
      <c r="A739" s="6" t="str">
        <f t="shared" si="1"/>
        <v>2014Rooney/Jackson7</v>
      </c>
      <c r="B739" s="6">
        <v>2014.0</v>
      </c>
      <c r="C739" s="6" t="s">
        <v>57</v>
      </c>
      <c r="D739" s="6" t="s">
        <v>143</v>
      </c>
      <c r="E739" s="34">
        <v>42097.0</v>
      </c>
      <c r="F739" s="6" t="s">
        <v>2350</v>
      </c>
      <c r="G739" s="6" t="s">
        <v>125</v>
      </c>
      <c r="H739" s="6" t="s">
        <v>2351</v>
      </c>
      <c r="I739" s="35" t="s">
        <v>77</v>
      </c>
      <c r="J739" s="36">
        <v>102.5</v>
      </c>
      <c r="K739" s="36">
        <v>70.3</v>
      </c>
      <c r="L739" s="36">
        <f t="shared" si="2"/>
        <v>1</v>
      </c>
      <c r="M739" s="36" t="str">
        <f t="shared" si="3"/>
        <v>Regular Season</v>
      </c>
      <c r="N739" s="36" t="str">
        <f>IFERROR(VLOOKUP(I739,Mapped_Owner,2,0),"")</f>
        <v>Salty</v>
      </c>
      <c r="O739" s="6">
        <f>VLOOKUP(D739,'Mapped Opponent'!$G$4:$H$22,2,0)</f>
        <v>7</v>
      </c>
      <c r="P739" s="6"/>
      <c r="Q739" s="6" t="str">
        <f t="shared" si="4"/>
        <v>Week 7</v>
      </c>
      <c r="R739" s="6" t="str">
        <f t="shared" si="5"/>
        <v>2014Week 7</v>
      </c>
      <c r="S739" s="6">
        <f>IFERROR(__xludf.DUMMYFUNCTION("rank(J739,FILTER(J:J,R:R=R739))"),5.0)</f>
        <v>5</v>
      </c>
      <c r="T739" s="6">
        <f t="shared" si="6"/>
        <v>7</v>
      </c>
      <c r="U739" s="6">
        <f t="shared" si="7"/>
        <v>5</v>
      </c>
      <c r="V739" s="42">
        <f>averageif(AllData!A:A,B739,AllData!R:R)/vlookup(B739,AllData!A:O,15,0)</f>
        <v>94.87820513</v>
      </c>
      <c r="W739" s="6"/>
    </row>
    <row r="740" ht="14.25" customHeight="1">
      <c r="A740" s="6" t="str">
        <f t="shared" si="1"/>
        <v>2014Buser7</v>
      </c>
      <c r="B740" s="6">
        <v>2014.0</v>
      </c>
      <c r="C740" s="6" t="s">
        <v>47</v>
      </c>
      <c r="D740" s="6" t="s">
        <v>143</v>
      </c>
      <c r="E740" s="34">
        <v>42040.0</v>
      </c>
      <c r="F740" s="6" t="s">
        <v>2352</v>
      </c>
      <c r="G740" s="6" t="s">
        <v>125</v>
      </c>
      <c r="H740" s="6" t="s">
        <v>2353</v>
      </c>
      <c r="I740" s="35" t="s">
        <v>132</v>
      </c>
      <c r="J740" s="36">
        <v>82.9</v>
      </c>
      <c r="K740" s="36">
        <v>50.5</v>
      </c>
      <c r="L740" s="36">
        <f t="shared" si="2"/>
        <v>1</v>
      </c>
      <c r="M740" s="36" t="str">
        <f t="shared" si="3"/>
        <v>Regular Season</v>
      </c>
      <c r="N740" s="36" t="str">
        <f>IFERROR(VLOOKUP(I740,Mapped_Owner,2,0),"")</f>
        <v>KnardDawg</v>
      </c>
      <c r="O740" s="6">
        <f>VLOOKUP(D740,'Mapped Opponent'!$G$4:$H$22,2,0)</f>
        <v>7</v>
      </c>
      <c r="P740" s="6"/>
      <c r="Q740" s="6" t="str">
        <f t="shared" si="4"/>
        <v>Week 7</v>
      </c>
      <c r="R740" s="6" t="str">
        <f t="shared" si="5"/>
        <v>2014Week 7</v>
      </c>
      <c r="S740" s="6">
        <f>IFERROR(__xludf.DUMMYFUNCTION("rank(J740,FILTER(J:J,R:R=R740))"),8.0)</f>
        <v>8</v>
      </c>
      <c r="T740" s="6">
        <f t="shared" si="6"/>
        <v>4</v>
      </c>
      <c r="U740" s="6">
        <f t="shared" si="7"/>
        <v>8</v>
      </c>
      <c r="V740" s="42">
        <f>averageif(AllData!A:A,B740,AllData!R:R)/vlookup(B740,AllData!A:O,15,0)</f>
        <v>94.87820513</v>
      </c>
      <c r="W740" s="6"/>
    </row>
    <row r="741" ht="14.25" customHeight="1">
      <c r="A741" s="6" t="str">
        <f t="shared" si="1"/>
        <v>2014Pierson7</v>
      </c>
      <c r="B741" s="6">
        <v>2014.0</v>
      </c>
      <c r="C741" s="6" t="s">
        <v>92</v>
      </c>
      <c r="D741" s="6" t="s">
        <v>143</v>
      </c>
      <c r="E741" s="34">
        <v>42126.0</v>
      </c>
      <c r="F741" s="6" t="s">
        <v>2354</v>
      </c>
      <c r="G741" s="6" t="s">
        <v>125</v>
      </c>
      <c r="H741" s="6" t="s">
        <v>2355</v>
      </c>
      <c r="I741" s="35" t="s">
        <v>80</v>
      </c>
      <c r="J741" s="36">
        <v>96.9</v>
      </c>
      <c r="K741" s="36">
        <v>108.6</v>
      </c>
      <c r="L741" s="36">
        <f t="shared" si="2"/>
        <v>0</v>
      </c>
      <c r="M741" s="36" t="str">
        <f t="shared" si="3"/>
        <v>Regular Season</v>
      </c>
      <c r="N741" s="36" t="str">
        <f>IFERROR(VLOOKUP(I741,Mapped_Owner,2,0),"")</f>
        <v>Fellows</v>
      </c>
      <c r="O741" s="6">
        <f>VLOOKUP(D741,'Mapped Opponent'!$G$4:$H$22,2,0)</f>
        <v>7</v>
      </c>
      <c r="P741" s="6"/>
      <c r="Q741" s="6" t="str">
        <f t="shared" si="4"/>
        <v>Week 7</v>
      </c>
      <c r="R741" s="6" t="str">
        <f t="shared" si="5"/>
        <v>2014Week 7</v>
      </c>
      <c r="S741" s="6">
        <f>IFERROR(__xludf.DUMMYFUNCTION("rank(J741,FILTER(J:J,R:R=R741))"),6.0)</f>
        <v>6</v>
      </c>
      <c r="T741" s="6">
        <f t="shared" si="6"/>
        <v>6</v>
      </c>
      <c r="U741" s="6">
        <f t="shared" si="7"/>
        <v>6</v>
      </c>
      <c r="V741" s="42">
        <f>averageif(AllData!A:A,B741,AllData!R:R)/vlookup(B741,AllData!A:O,15,0)</f>
        <v>94.87820513</v>
      </c>
      <c r="W741" s="6"/>
    </row>
    <row r="742" ht="14.25" customHeight="1">
      <c r="A742" s="6" t="str">
        <f t="shared" si="1"/>
        <v>2014Cock7</v>
      </c>
      <c r="B742" s="6">
        <v>2014.0</v>
      </c>
      <c r="C742" s="6" t="s">
        <v>72</v>
      </c>
      <c r="D742" s="6" t="s">
        <v>143</v>
      </c>
      <c r="E742" s="34">
        <v>42067.0</v>
      </c>
      <c r="F742" s="6" t="s">
        <v>2356</v>
      </c>
      <c r="G742" s="6" t="s">
        <v>125</v>
      </c>
      <c r="H742" s="6" t="s">
        <v>2357</v>
      </c>
      <c r="I742" s="35" t="s">
        <v>85</v>
      </c>
      <c r="J742" s="36">
        <v>83.7</v>
      </c>
      <c r="K742" s="36">
        <v>66.4</v>
      </c>
      <c r="L742" s="36">
        <f t="shared" si="2"/>
        <v>1</v>
      </c>
      <c r="M742" s="36" t="str">
        <f t="shared" si="3"/>
        <v>Regular Season</v>
      </c>
      <c r="N742" s="36" t="str">
        <f>IFERROR(VLOOKUP(I742,Mapped_Owner,2,0),"")</f>
        <v>T-How</v>
      </c>
      <c r="O742" s="6">
        <f>VLOOKUP(D742,'Mapped Opponent'!$G$4:$H$22,2,0)</f>
        <v>7</v>
      </c>
      <c r="P742" s="6"/>
      <c r="Q742" s="6" t="str">
        <f t="shared" si="4"/>
        <v>Week 7</v>
      </c>
      <c r="R742" s="6" t="str">
        <f t="shared" si="5"/>
        <v>2014Week 7</v>
      </c>
      <c r="S742" s="6">
        <f>IFERROR(__xludf.DUMMYFUNCTION("rank(J742,FILTER(J:J,R:R=R742))"),7.0)</f>
        <v>7</v>
      </c>
      <c r="T742" s="6">
        <f t="shared" si="6"/>
        <v>5</v>
      </c>
      <c r="U742" s="6">
        <f t="shared" si="7"/>
        <v>7</v>
      </c>
      <c r="V742" s="42">
        <f>averageif(AllData!A:A,B742,AllData!R:R)/vlookup(B742,AllData!A:O,15,0)</f>
        <v>94.87820513</v>
      </c>
      <c r="W742" s="6"/>
    </row>
    <row r="743" ht="14.25" customHeight="1">
      <c r="A743" s="6" t="str">
        <f t="shared" si="1"/>
        <v>2014Tayski7</v>
      </c>
      <c r="B743" s="6">
        <v>2014.0</v>
      </c>
      <c r="C743" s="6" t="s">
        <v>52</v>
      </c>
      <c r="D743" s="6" t="s">
        <v>143</v>
      </c>
      <c r="E743" s="34">
        <v>42097.0</v>
      </c>
      <c r="F743" s="6" t="s">
        <v>2358</v>
      </c>
      <c r="G743" s="6" t="s">
        <v>114</v>
      </c>
      <c r="H743" s="6" t="s">
        <v>2359</v>
      </c>
      <c r="I743" s="35" t="s">
        <v>68</v>
      </c>
      <c r="J743" s="36">
        <v>105.2</v>
      </c>
      <c r="K743" s="36">
        <v>73.1</v>
      </c>
      <c r="L743" s="36">
        <f t="shared" si="2"/>
        <v>1</v>
      </c>
      <c r="M743" s="36" t="str">
        <f t="shared" si="3"/>
        <v>Regular Season</v>
      </c>
      <c r="N743" s="36" t="str">
        <f>IFERROR(VLOOKUP(I743,Mapped_Owner,2,0),"")</f>
        <v>Riley</v>
      </c>
      <c r="O743" s="6">
        <f>VLOOKUP(D743,'Mapped Opponent'!$G$4:$H$22,2,0)</f>
        <v>7</v>
      </c>
      <c r="P743" s="6"/>
      <c r="Q743" s="6" t="str">
        <f t="shared" si="4"/>
        <v>Week 7</v>
      </c>
      <c r="R743" s="6" t="str">
        <f t="shared" si="5"/>
        <v>2014Week 7</v>
      </c>
      <c r="S743" s="6">
        <f>IFERROR(__xludf.DUMMYFUNCTION("rank(J743,FILTER(J:J,R:R=R743))"),3.0)</f>
        <v>3</v>
      </c>
      <c r="T743" s="6">
        <f t="shared" si="6"/>
        <v>9</v>
      </c>
      <c r="U743" s="6">
        <f t="shared" si="7"/>
        <v>3</v>
      </c>
      <c r="V743" s="42">
        <f>averageif(AllData!A:A,B743,AllData!R:R)/vlookup(B743,AllData!A:O,15,0)</f>
        <v>94.87820513</v>
      </c>
      <c r="W743" s="6"/>
    </row>
    <row r="744" ht="14.25" customHeight="1">
      <c r="A744" s="6" t="str">
        <f t="shared" si="1"/>
        <v>2014KnardDawg7</v>
      </c>
      <c r="B744" s="6">
        <v>2014.0</v>
      </c>
      <c r="C744" s="6" t="s">
        <v>86</v>
      </c>
      <c r="D744" s="6" t="s">
        <v>143</v>
      </c>
      <c r="E744" s="34" t="s">
        <v>2360</v>
      </c>
      <c r="F744" s="6" t="s">
        <v>2361</v>
      </c>
      <c r="G744" s="6" t="s">
        <v>114</v>
      </c>
      <c r="H744" s="6" t="s">
        <v>2362</v>
      </c>
      <c r="I744" s="35" t="s">
        <v>50</v>
      </c>
      <c r="J744" s="36">
        <v>50.5</v>
      </c>
      <c r="K744" s="36">
        <v>82.9</v>
      </c>
      <c r="L744" s="36">
        <f t="shared" si="2"/>
        <v>0</v>
      </c>
      <c r="M744" s="36" t="str">
        <f t="shared" si="3"/>
        <v>Regular Season</v>
      </c>
      <c r="N744" s="36" t="str">
        <f>IFERROR(VLOOKUP(I744,Mapped_Owner,2,0),"")</f>
        <v>Buser</v>
      </c>
      <c r="O744" s="6">
        <f>VLOOKUP(D744,'Mapped Opponent'!$G$4:$H$22,2,0)</f>
        <v>7</v>
      </c>
      <c r="P744" s="6"/>
      <c r="Q744" s="6" t="str">
        <f t="shared" si="4"/>
        <v>Week 7</v>
      </c>
      <c r="R744" s="6" t="str">
        <f t="shared" si="5"/>
        <v>2014Week 7</v>
      </c>
      <c r="S744" s="6">
        <f>IFERROR(__xludf.DUMMYFUNCTION("rank(J744,FILTER(J:J,R:R=R744))"),12.0)</f>
        <v>12</v>
      </c>
      <c r="T744" s="6">
        <f t="shared" si="6"/>
        <v>0</v>
      </c>
      <c r="U744" s="6">
        <f t="shared" si="7"/>
        <v>12</v>
      </c>
      <c r="V744" s="42">
        <f>averageif(AllData!A:A,B744,AllData!R:R)/vlookup(B744,AllData!A:O,15,0)</f>
        <v>94.87820513</v>
      </c>
      <c r="W744" s="6"/>
    </row>
    <row r="745" ht="14.25" customHeight="1">
      <c r="A745" s="6" t="str">
        <f t="shared" si="1"/>
        <v>2014T-How7</v>
      </c>
      <c r="B745" s="6">
        <v>2014.0</v>
      </c>
      <c r="C745" s="6" t="s">
        <v>82</v>
      </c>
      <c r="D745" s="6" t="s">
        <v>143</v>
      </c>
      <c r="E745" s="34">
        <v>42010.0</v>
      </c>
      <c r="F745" s="6" t="s">
        <v>2363</v>
      </c>
      <c r="G745" s="6" t="s">
        <v>114</v>
      </c>
      <c r="H745" s="6" t="s">
        <v>2364</v>
      </c>
      <c r="I745" s="35" t="s">
        <v>99</v>
      </c>
      <c r="J745" s="36">
        <v>66.4</v>
      </c>
      <c r="K745" s="36">
        <v>83.7</v>
      </c>
      <c r="L745" s="36">
        <f t="shared" si="2"/>
        <v>0</v>
      </c>
      <c r="M745" s="36" t="str">
        <f t="shared" si="3"/>
        <v>Regular Season</v>
      </c>
      <c r="N745" s="36" t="str">
        <f>IFERROR(VLOOKUP(I745,Mapped_Owner,2,0),"")</f>
        <v>Cock</v>
      </c>
      <c r="O745" s="6">
        <f>VLOOKUP(D745,'Mapped Opponent'!$G$4:$H$22,2,0)</f>
        <v>7</v>
      </c>
      <c r="P745" s="6"/>
      <c r="Q745" s="6" t="str">
        <f t="shared" si="4"/>
        <v>Week 7</v>
      </c>
      <c r="R745" s="6" t="str">
        <f t="shared" si="5"/>
        <v>2014Week 7</v>
      </c>
      <c r="S745" s="6">
        <f>IFERROR(__xludf.DUMMYFUNCTION("rank(J745,FILTER(J:J,R:R=R745))"),11.0)</f>
        <v>11</v>
      </c>
      <c r="T745" s="6">
        <f t="shared" si="6"/>
        <v>1</v>
      </c>
      <c r="U745" s="6">
        <f t="shared" si="7"/>
        <v>11</v>
      </c>
      <c r="V745" s="42">
        <f>averageif(AllData!A:A,B745,AllData!R:R)/vlookup(B745,AllData!A:O,15,0)</f>
        <v>94.87820513</v>
      </c>
      <c r="W745" s="6"/>
    </row>
    <row r="746" ht="14.25" customHeight="1">
      <c r="A746" s="6" t="str">
        <f t="shared" si="1"/>
        <v>2014Hudspeath8</v>
      </c>
      <c r="B746" s="6">
        <v>2014.0</v>
      </c>
      <c r="C746" s="6" t="s">
        <v>39</v>
      </c>
      <c r="D746" s="6" t="s">
        <v>145</v>
      </c>
      <c r="E746" s="34">
        <v>42157.0</v>
      </c>
      <c r="F746" s="6" t="s">
        <v>2365</v>
      </c>
      <c r="G746" s="6" t="s">
        <v>125</v>
      </c>
      <c r="H746" s="6" t="s">
        <v>2366</v>
      </c>
      <c r="I746" s="35" t="s">
        <v>93</v>
      </c>
      <c r="J746" s="36">
        <v>121.0</v>
      </c>
      <c r="K746" s="36">
        <v>115.9</v>
      </c>
      <c r="L746" s="36">
        <f t="shared" si="2"/>
        <v>1</v>
      </c>
      <c r="M746" s="36" t="str">
        <f t="shared" si="3"/>
        <v>Regular Season</v>
      </c>
      <c r="N746" s="36" t="str">
        <f>IFERROR(VLOOKUP(I746,Mapped_Owner,2,0),"")</f>
        <v>Pierson</v>
      </c>
      <c r="O746" s="6">
        <f>VLOOKUP(D746,'Mapped Opponent'!$G$4:$H$22,2,0)</f>
        <v>8</v>
      </c>
      <c r="P746" s="6"/>
      <c r="Q746" s="6" t="str">
        <f t="shared" si="4"/>
        <v>Week 8</v>
      </c>
      <c r="R746" s="6" t="str">
        <f t="shared" si="5"/>
        <v>2014Week 8</v>
      </c>
      <c r="S746" s="6">
        <f>IFERROR(__xludf.DUMMYFUNCTION("rank(J746,FILTER(J:J,R:R=R746))"),2.0)</f>
        <v>2</v>
      </c>
      <c r="T746" s="6">
        <f t="shared" si="6"/>
        <v>10</v>
      </c>
      <c r="U746" s="6">
        <f t="shared" si="7"/>
        <v>2</v>
      </c>
      <c r="V746" s="42">
        <f>averageif(AllData!A:A,B746,AllData!R:R)/vlookup(B746,AllData!A:O,15,0)</f>
        <v>94.87820513</v>
      </c>
      <c r="W746" s="6"/>
    </row>
    <row r="747" ht="14.25" customHeight="1">
      <c r="A747" s="6" t="str">
        <f t="shared" si="1"/>
        <v>2014Salty8</v>
      </c>
      <c r="B747" s="6">
        <v>2014.0</v>
      </c>
      <c r="C747" s="6" t="s">
        <v>76</v>
      </c>
      <c r="D747" s="6" t="s">
        <v>145</v>
      </c>
      <c r="E747" s="34">
        <v>42127.0</v>
      </c>
      <c r="F747" s="6" t="s">
        <v>2367</v>
      </c>
      <c r="G747" s="6" t="s">
        <v>114</v>
      </c>
      <c r="H747" s="6" t="s">
        <v>2368</v>
      </c>
      <c r="I747" s="35" t="s">
        <v>85</v>
      </c>
      <c r="J747" s="36">
        <v>104.9</v>
      </c>
      <c r="K747" s="36">
        <v>80.7</v>
      </c>
      <c r="L747" s="36">
        <f t="shared" si="2"/>
        <v>1</v>
      </c>
      <c r="M747" s="36" t="str">
        <f t="shared" si="3"/>
        <v>Regular Season</v>
      </c>
      <c r="N747" s="36" t="str">
        <f>IFERROR(VLOOKUP(I747,Mapped_Owner,2,0),"")</f>
        <v>T-How</v>
      </c>
      <c r="O747" s="6">
        <f>VLOOKUP(D747,'Mapped Opponent'!$G$4:$H$22,2,0)</f>
        <v>8</v>
      </c>
      <c r="P747" s="6"/>
      <c r="Q747" s="6" t="str">
        <f t="shared" si="4"/>
        <v>Week 8</v>
      </c>
      <c r="R747" s="6" t="str">
        <f t="shared" si="5"/>
        <v>2014Week 8</v>
      </c>
      <c r="S747" s="6">
        <f>IFERROR(__xludf.DUMMYFUNCTION("rank(J747,FILTER(J:J,R:R=R747))"),7.0)</f>
        <v>7</v>
      </c>
      <c r="T747" s="6">
        <f t="shared" si="6"/>
        <v>5</v>
      </c>
      <c r="U747" s="6">
        <f t="shared" si="7"/>
        <v>7</v>
      </c>
      <c r="V747" s="42">
        <f>averageif(AllData!A:A,B747,AllData!R:R)/vlookup(B747,AllData!A:O,15,0)</f>
        <v>94.87820513</v>
      </c>
      <c r="W747" s="6"/>
    </row>
    <row r="748" ht="14.25" customHeight="1">
      <c r="A748" s="6" t="str">
        <f t="shared" si="1"/>
        <v>2014Fellows8</v>
      </c>
      <c r="B748" s="6">
        <v>2014.0</v>
      </c>
      <c r="C748" s="6" t="s">
        <v>79</v>
      </c>
      <c r="D748" s="6" t="s">
        <v>145</v>
      </c>
      <c r="E748" s="34">
        <v>42127.0</v>
      </c>
      <c r="F748" s="6" t="s">
        <v>2369</v>
      </c>
      <c r="G748" s="6" t="s">
        <v>114</v>
      </c>
      <c r="H748" s="6" t="s">
        <v>2370</v>
      </c>
      <c r="I748" s="35" t="s">
        <v>54</v>
      </c>
      <c r="J748" s="36">
        <v>114.3</v>
      </c>
      <c r="K748" s="36">
        <v>186.4</v>
      </c>
      <c r="L748" s="36">
        <f t="shared" si="2"/>
        <v>0</v>
      </c>
      <c r="M748" s="36" t="str">
        <f t="shared" si="3"/>
        <v>Regular Season</v>
      </c>
      <c r="N748" s="36" t="str">
        <f>IFERROR(VLOOKUP(I748,Mapped_Owner,2,0),"")</f>
        <v>Tayski</v>
      </c>
      <c r="O748" s="6">
        <f>VLOOKUP(D748,'Mapped Opponent'!$G$4:$H$22,2,0)</f>
        <v>8</v>
      </c>
      <c r="P748" s="6"/>
      <c r="Q748" s="6" t="str">
        <f t="shared" si="4"/>
        <v>Week 8</v>
      </c>
      <c r="R748" s="6" t="str">
        <f t="shared" si="5"/>
        <v>2014Week 8</v>
      </c>
      <c r="S748" s="6">
        <f>IFERROR(__xludf.DUMMYFUNCTION("rank(J748,FILTER(J:J,R:R=R748))"),5.0)</f>
        <v>5</v>
      </c>
      <c r="T748" s="6">
        <f t="shared" si="6"/>
        <v>7</v>
      </c>
      <c r="U748" s="6">
        <f t="shared" si="7"/>
        <v>5</v>
      </c>
      <c r="V748" s="42">
        <f>averageif(AllData!A:A,B748,AllData!R:R)/vlookup(B748,AllData!A:O,15,0)</f>
        <v>94.87820513</v>
      </c>
      <c r="W748" s="6"/>
    </row>
    <row r="749" ht="14.25" customHeight="1">
      <c r="A749" s="6" t="str">
        <f t="shared" si="1"/>
        <v>2014Shep8</v>
      </c>
      <c r="B749" s="6">
        <v>2014.0</v>
      </c>
      <c r="C749" s="6" t="s">
        <v>89</v>
      </c>
      <c r="D749" s="6" t="s">
        <v>145</v>
      </c>
      <c r="E749" s="34">
        <v>42098.0</v>
      </c>
      <c r="F749" s="6" t="s">
        <v>2371</v>
      </c>
      <c r="G749" s="6" t="s">
        <v>125</v>
      </c>
      <c r="H749" s="6" t="s">
        <v>2372</v>
      </c>
      <c r="I749" s="35" t="s">
        <v>68</v>
      </c>
      <c r="J749" s="36">
        <v>117.6</v>
      </c>
      <c r="K749" s="36">
        <v>113.5</v>
      </c>
      <c r="L749" s="36">
        <f t="shared" si="2"/>
        <v>1</v>
      </c>
      <c r="M749" s="36" t="str">
        <f t="shared" si="3"/>
        <v>Regular Season</v>
      </c>
      <c r="N749" s="36" t="str">
        <f>IFERROR(VLOOKUP(I749,Mapped_Owner,2,0),"")</f>
        <v>Riley</v>
      </c>
      <c r="O749" s="6">
        <f>VLOOKUP(D749,'Mapped Opponent'!$G$4:$H$22,2,0)</f>
        <v>8</v>
      </c>
      <c r="P749" s="6"/>
      <c r="Q749" s="6" t="str">
        <f t="shared" si="4"/>
        <v>Week 8</v>
      </c>
      <c r="R749" s="6" t="str">
        <f t="shared" si="5"/>
        <v>2014Week 8</v>
      </c>
      <c r="S749" s="6">
        <f>IFERROR(__xludf.DUMMYFUNCTION("rank(J749,FILTER(J:J,R:R=R749))"),3.0)</f>
        <v>3</v>
      </c>
      <c r="T749" s="6">
        <f t="shared" si="6"/>
        <v>9</v>
      </c>
      <c r="U749" s="6">
        <f t="shared" si="7"/>
        <v>3</v>
      </c>
      <c r="V749" s="42">
        <f>averageif(AllData!A:A,B749,AllData!R:R)/vlookup(B749,AllData!A:O,15,0)</f>
        <v>94.87820513</v>
      </c>
      <c r="W749" s="6"/>
    </row>
    <row r="750" ht="14.25" customHeight="1">
      <c r="A750" s="6" t="str">
        <f t="shared" si="1"/>
        <v>2014Riley8</v>
      </c>
      <c r="B750" s="6">
        <v>2014.0</v>
      </c>
      <c r="C750" s="6" t="s">
        <v>67</v>
      </c>
      <c r="D750" s="6" t="s">
        <v>145</v>
      </c>
      <c r="E750" s="34">
        <v>42157.0</v>
      </c>
      <c r="F750" s="6" t="s">
        <v>2373</v>
      </c>
      <c r="G750" s="6" t="s">
        <v>114</v>
      </c>
      <c r="H750" s="6" t="s">
        <v>2374</v>
      </c>
      <c r="I750" s="35" t="s">
        <v>91</v>
      </c>
      <c r="J750" s="36">
        <v>113.5</v>
      </c>
      <c r="K750" s="36">
        <v>117.6</v>
      </c>
      <c r="L750" s="36">
        <f t="shared" si="2"/>
        <v>0</v>
      </c>
      <c r="M750" s="36" t="str">
        <f t="shared" si="3"/>
        <v>Regular Season</v>
      </c>
      <c r="N750" s="36" t="str">
        <f>IFERROR(VLOOKUP(I750,Mapped_Owner,2,0),"")</f>
        <v>Shep</v>
      </c>
      <c r="O750" s="6">
        <f>VLOOKUP(D750,'Mapped Opponent'!$G$4:$H$22,2,0)</f>
        <v>8</v>
      </c>
      <c r="P750" s="6"/>
      <c r="Q750" s="6" t="str">
        <f t="shared" si="4"/>
        <v>Week 8</v>
      </c>
      <c r="R750" s="6" t="str">
        <f t="shared" si="5"/>
        <v>2014Week 8</v>
      </c>
      <c r="S750" s="6">
        <f>IFERROR(__xludf.DUMMYFUNCTION("rank(J750,FILTER(J:J,R:R=R750))"),6.0)</f>
        <v>6</v>
      </c>
      <c r="T750" s="6">
        <f t="shared" si="6"/>
        <v>6</v>
      </c>
      <c r="U750" s="6">
        <f t="shared" si="7"/>
        <v>6</v>
      </c>
      <c r="V750" s="42">
        <f>averageif(AllData!A:A,B750,AllData!R:R)/vlookup(B750,AllData!A:O,15,0)</f>
        <v>94.87820513</v>
      </c>
      <c r="W750" s="6"/>
    </row>
    <row r="751" ht="14.25" customHeight="1">
      <c r="A751" s="6" t="str">
        <f t="shared" si="1"/>
        <v>2014Rooney/Jackson8</v>
      </c>
      <c r="B751" s="6">
        <v>2014.0</v>
      </c>
      <c r="C751" s="6" t="s">
        <v>57</v>
      </c>
      <c r="D751" s="6" t="s">
        <v>145</v>
      </c>
      <c r="E751" s="34">
        <v>42127.0</v>
      </c>
      <c r="F751" s="6" t="s">
        <v>2375</v>
      </c>
      <c r="G751" s="6" t="s">
        <v>125</v>
      </c>
      <c r="H751" s="6" t="s">
        <v>2376</v>
      </c>
      <c r="I751" s="35" t="s">
        <v>50</v>
      </c>
      <c r="J751" s="36">
        <v>103.1</v>
      </c>
      <c r="K751" s="36">
        <v>56.6</v>
      </c>
      <c r="L751" s="36">
        <f t="shared" si="2"/>
        <v>1</v>
      </c>
      <c r="M751" s="36" t="str">
        <f t="shared" si="3"/>
        <v>Regular Season</v>
      </c>
      <c r="N751" s="36" t="str">
        <f>IFERROR(VLOOKUP(I751,Mapped_Owner,2,0),"")</f>
        <v>Buser</v>
      </c>
      <c r="O751" s="6">
        <f>VLOOKUP(D751,'Mapped Opponent'!$G$4:$H$22,2,0)</f>
        <v>8</v>
      </c>
      <c r="P751" s="6"/>
      <c r="Q751" s="6" t="str">
        <f t="shared" si="4"/>
        <v>Week 8</v>
      </c>
      <c r="R751" s="6" t="str">
        <f t="shared" si="5"/>
        <v>2014Week 8</v>
      </c>
      <c r="S751" s="6">
        <f>IFERROR(__xludf.DUMMYFUNCTION("rank(J751,FILTER(J:J,R:R=R751))"),8.0)</f>
        <v>8</v>
      </c>
      <c r="T751" s="6">
        <f t="shared" si="6"/>
        <v>4</v>
      </c>
      <c r="U751" s="6">
        <f t="shared" si="7"/>
        <v>8</v>
      </c>
      <c r="V751" s="42">
        <f>averageif(AllData!A:A,B751,AllData!R:R)/vlookup(B751,AllData!A:O,15,0)</f>
        <v>94.87820513</v>
      </c>
      <c r="W751" s="6"/>
    </row>
    <row r="752" ht="14.25" customHeight="1">
      <c r="A752" s="6" t="str">
        <f t="shared" si="1"/>
        <v>2014Buser8</v>
      </c>
      <c r="B752" s="6">
        <v>2014.0</v>
      </c>
      <c r="C752" s="6" t="s">
        <v>47</v>
      </c>
      <c r="D752" s="6" t="s">
        <v>145</v>
      </c>
      <c r="E752" s="34">
        <v>42041.0</v>
      </c>
      <c r="F752" s="6" t="s">
        <v>2377</v>
      </c>
      <c r="G752" s="6" t="s">
        <v>114</v>
      </c>
      <c r="H752" s="6" t="s">
        <v>2378</v>
      </c>
      <c r="I752" s="35" t="s">
        <v>58</v>
      </c>
      <c r="J752" s="36">
        <v>56.6</v>
      </c>
      <c r="K752" s="36">
        <v>103.1</v>
      </c>
      <c r="L752" s="36">
        <f t="shared" si="2"/>
        <v>0</v>
      </c>
      <c r="M752" s="36" t="str">
        <f t="shared" si="3"/>
        <v>Regular Season</v>
      </c>
      <c r="N752" s="36" t="str">
        <f>IFERROR(VLOOKUP(I752,Mapped_Owner,2,0),"")</f>
        <v>Rooney/Jackson</v>
      </c>
      <c r="O752" s="6">
        <f>VLOOKUP(D752,'Mapped Opponent'!$G$4:$H$22,2,0)</f>
        <v>8</v>
      </c>
      <c r="P752" s="6"/>
      <c r="Q752" s="6" t="str">
        <f t="shared" si="4"/>
        <v>Week 8</v>
      </c>
      <c r="R752" s="6" t="str">
        <f t="shared" si="5"/>
        <v>2014Week 8</v>
      </c>
      <c r="S752" s="6">
        <f>IFERROR(__xludf.DUMMYFUNCTION("rank(J752,FILTER(J:J,R:R=R752))"),12.0)</f>
        <v>12</v>
      </c>
      <c r="T752" s="6">
        <f t="shared" si="6"/>
        <v>0</v>
      </c>
      <c r="U752" s="6">
        <f t="shared" si="7"/>
        <v>12</v>
      </c>
      <c r="V752" s="42">
        <f>averageif(AllData!A:A,B752,AllData!R:R)/vlookup(B752,AllData!A:O,15,0)</f>
        <v>94.87820513</v>
      </c>
      <c r="W752" s="6"/>
    </row>
    <row r="753" ht="14.25" customHeight="1">
      <c r="A753" s="6" t="str">
        <f t="shared" si="1"/>
        <v>2014Pierson8</v>
      </c>
      <c r="B753" s="6">
        <v>2014.0</v>
      </c>
      <c r="C753" s="6" t="s">
        <v>92</v>
      </c>
      <c r="D753" s="6" t="s">
        <v>145</v>
      </c>
      <c r="E753" s="34">
        <v>42127.0</v>
      </c>
      <c r="F753" s="6" t="s">
        <v>2379</v>
      </c>
      <c r="G753" s="6" t="s">
        <v>114</v>
      </c>
      <c r="H753" s="6" t="s">
        <v>2380</v>
      </c>
      <c r="I753" s="35" t="s">
        <v>64</v>
      </c>
      <c r="J753" s="36">
        <v>115.9</v>
      </c>
      <c r="K753" s="36">
        <v>121.0</v>
      </c>
      <c r="L753" s="36">
        <f t="shared" si="2"/>
        <v>0</v>
      </c>
      <c r="M753" s="36" t="str">
        <f t="shared" si="3"/>
        <v>Regular Season</v>
      </c>
      <c r="N753" s="36" t="str">
        <f>IFERROR(VLOOKUP(I753,Mapped_Owner,2,0),"")</f>
        <v>Hudspeath</v>
      </c>
      <c r="O753" s="6">
        <f>VLOOKUP(D753,'Mapped Opponent'!$G$4:$H$22,2,0)</f>
        <v>8</v>
      </c>
      <c r="P753" s="6"/>
      <c r="Q753" s="6" t="str">
        <f t="shared" si="4"/>
        <v>Week 8</v>
      </c>
      <c r="R753" s="6" t="str">
        <f t="shared" si="5"/>
        <v>2014Week 8</v>
      </c>
      <c r="S753" s="6">
        <f>IFERROR(__xludf.DUMMYFUNCTION("rank(J753,FILTER(J:J,R:R=R753))"),4.0)</f>
        <v>4</v>
      </c>
      <c r="T753" s="6">
        <f t="shared" si="6"/>
        <v>8</v>
      </c>
      <c r="U753" s="6">
        <f t="shared" si="7"/>
        <v>4</v>
      </c>
      <c r="V753" s="42">
        <f>averageif(AllData!A:A,B753,AllData!R:R)/vlookup(B753,AllData!A:O,15,0)</f>
        <v>94.87820513</v>
      </c>
      <c r="W753" s="6"/>
    </row>
    <row r="754" ht="14.25" customHeight="1">
      <c r="A754" s="6" t="str">
        <f t="shared" si="1"/>
        <v>2014Cock8</v>
      </c>
      <c r="B754" s="6">
        <v>2014.0</v>
      </c>
      <c r="C754" s="6" t="s">
        <v>72</v>
      </c>
      <c r="D754" s="6" t="s">
        <v>145</v>
      </c>
      <c r="E754" s="34">
        <v>42068.0</v>
      </c>
      <c r="F754" s="6" t="s">
        <v>2381</v>
      </c>
      <c r="G754" s="6" t="s">
        <v>114</v>
      </c>
      <c r="H754" s="6" t="s">
        <v>2382</v>
      </c>
      <c r="I754" s="35" t="s">
        <v>132</v>
      </c>
      <c r="J754" s="36">
        <v>83.7</v>
      </c>
      <c r="K754" s="36">
        <v>96.1</v>
      </c>
      <c r="L754" s="36">
        <f t="shared" si="2"/>
        <v>0</v>
      </c>
      <c r="M754" s="36" t="str">
        <f t="shared" si="3"/>
        <v>Regular Season</v>
      </c>
      <c r="N754" s="36" t="str">
        <f>IFERROR(VLOOKUP(I754,Mapped_Owner,2,0),"")</f>
        <v>KnardDawg</v>
      </c>
      <c r="O754" s="6">
        <f>VLOOKUP(D754,'Mapped Opponent'!$G$4:$H$22,2,0)</f>
        <v>8</v>
      </c>
      <c r="P754" s="6"/>
      <c r="Q754" s="6" t="str">
        <f t="shared" si="4"/>
        <v>Week 8</v>
      </c>
      <c r="R754" s="6" t="str">
        <f t="shared" si="5"/>
        <v>2014Week 8</v>
      </c>
      <c r="S754" s="6">
        <f>IFERROR(__xludf.DUMMYFUNCTION("rank(J754,FILTER(J:J,R:R=R754))"),10.0)</f>
        <v>10</v>
      </c>
      <c r="T754" s="6">
        <f t="shared" si="6"/>
        <v>2</v>
      </c>
      <c r="U754" s="6">
        <f t="shared" si="7"/>
        <v>10</v>
      </c>
      <c r="V754" s="42">
        <f>averageif(AllData!A:A,B754,AllData!R:R)/vlookup(B754,AllData!A:O,15,0)</f>
        <v>94.87820513</v>
      </c>
      <c r="W754" s="6"/>
    </row>
    <row r="755" ht="14.25" customHeight="1">
      <c r="A755" s="6" t="str">
        <f t="shared" si="1"/>
        <v>2014Tayski8</v>
      </c>
      <c r="B755" s="6">
        <v>2014.0</v>
      </c>
      <c r="C755" s="6" t="s">
        <v>52</v>
      </c>
      <c r="D755" s="6" t="s">
        <v>145</v>
      </c>
      <c r="E755" s="34">
        <v>42127.0</v>
      </c>
      <c r="F755" s="6" t="s">
        <v>2383</v>
      </c>
      <c r="G755" s="6" t="s">
        <v>125</v>
      </c>
      <c r="H755" s="6" t="s">
        <v>2384</v>
      </c>
      <c r="I755" s="35" t="s">
        <v>80</v>
      </c>
      <c r="J755" s="36">
        <v>186.4</v>
      </c>
      <c r="K755" s="36">
        <v>114.3</v>
      </c>
      <c r="L755" s="36">
        <f t="shared" si="2"/>
        <v>1</v>
      </c>
      <c r="M755" s="36" t="str">
        <f t="shared" si="3"/>
        <v>Regular Season</v>
      </c>
      <c r="N755" s="36" t="str">
        <f>IFERROR(VLOOKUP(I755,Mapped_Owner,2,0),"")</f>
        <v>Fellows</v>
      </c>
      <c r="O755" s="6">
        <f>VLOOKUP(D755,'Mapped Opponent'!$G$4:$H$22,2,0)</f>
        <v>8</v>
      </c>
      <c r="P755" s="6"/>
      <c r="Q755" s="6" t="str">
        <f t="shared" si="4"/>
        <v>Week 8</v>
      </c>
      <c r="R755" s="6" t="str">
        <f t="shared" si="5"/>
        <v>2014Week 8</v>
      </c>
      <c r="S755" s="6">
        <f>IFERROR(__xludf.DUMMYFUNCTION("rank(J755,FILTER(J:J,R:R=R755))"),1.0)</f>
        <v>1</v>
      </c>
      <c r="T755" s="6">
        <f t="shared" si="6"/>
        <v>11</v>
      </c>
      <c r="U755" s="6">
        <f t="shared" si="7"/>
        <v>1</v>
      </c>
      <c r="V755" s="42">
        <f>averageif(AllData!A:A,B755,AllData!R:R)/vlookup(B755,AllData!A:O,15,0)</f>
        <v>94.87820513</v>
      </c>
      <c r="W755" s="6"/>
    </row>
    <row r="756" ht="14.25" customHeight="1">
      <c r="A756" s="6" t="str">
        <f t="shared" si="1"/>
        <v>2014KnardDawg8</v>
      </c>
      <c r="B756" s="6">
        <v>2014.0</v>
      </c>
      <c r="C756" s="6" t="s">
        <v>86</v>
      </c>
      <c r="D756" s="6" t="s">
        <v>145</v>
      </c>
      <c r="E756" s="34">
        <v>42011.0</v>
      </c>
      <c r="F756" s="6" t="s">
        <v>2385</v>
      </c>
      <c r="G756" s="6" t="s">
        <v>125</v>
      </c>
      <c r="H756" s="6" t="s">
        <v>2386</v>
      </c>
      <c r="I756" s="35" t="s">
        <v>99</v>
      </c>
      <c r="J756" s="36">
        <v>96.1</v>
      </c>
      <c r="K756" s="36">
        <v>83.7</v>
      </c>
      <c r="L756" s="36">
        <f t="shared" si="2"/>
        <v>1</v>
      </c>
      <c r="M756" s="36" t="str">
        <f t="shared" si="3"/>
        <v>Regular Season</v>
      </c>
      <c r="N756" s="36" t="str">
        <f>IFERROR(VLOOKUP(I756,Mapped_Owner,2,0),"")</f>
        <v>Cock</v>
      </c>
      <c r="O756" s="6">
        <f>VLOOKUP(D756,'Mapped Opponent'!$G$4:$H$22,2,0)</f>
        <v>8</v>
      </c>
      <c r="P756" s="6"/>
      <c r="Q756" s="6" t="str">
        <f t="shared" si="4"/>
        <v>Week 8</v>
      </c>
      <c r="R756" s="6" t="str">
        <f t="shared" si="5"/>
        <v>2014Week 8</v>
      </c>
      <c r="S756" s="6">
        <f>IFERROR(__xludf.DUMMYFUNCTION("rank(J756,FILTER(J:J,R:R=R756))"),9.0)</f>
        <v>9</v>
      </c>
      <c r="T756" s="6">
        <f t="shared" si="6"/>
        <v>3</v>
      </c>
      <c r="U756" s="6">
        <f t="shared" si="7"/>
        <v>9</v>
      </c>
      <c r="V756" s="42">
        <f>averageif(AllData!A:A,B756,AllData!R:R)/vlookup(B756,AllData!A:O,15,0)</f>
        <v>94.87820513</v>
      </c>
      <c r="W756" s="6"/>
    </row>
    <row r="757" ht="14.25" customHeight="1">
      <c r="A757" s="6" t="str">
        <f t="shared" si="1"/>
        <v>2014T-How8</v>
      </c>
      <c r="B757" s="6">
        <v>2014.0</v>
      </c>
      <c r="C757" s="6" t="s">
        <v>82</v>
      </c>
      <c r="D757" s="6" t="s">
        <v>145</v>
      </c>
      <c r="E757" s="34">
        <v>42011.0</v>
      </c>
      <c r="F757" s="6" t="s">
        <v>2387</v>
      </c>
      <c r="G757" s="6" t="s">
        <v>125</v>
      </c>
      <c r="H757" s="6" t="s">
        <v>2388</v>
      </c>
      <c r="I757" s="35" t="s">
        <v>77</v>
      </c>
      <c r="J757" s="36">
        <v>80.7</v>
      </c>
      <c r="K757" s="36">
        <v>104.9</v>
      </c>
      <c r="L757" s="36">
        <f t="shared" si="2"/>
        <v>0</v>
      </c>
      <c r="M757" s="36" t="str">
        <f t="shared" si="3"/>
        <v>Regular Season</v>
      </c>
      <c r="N757" s="36" t="str">
        <f>IFERROR(VLOOKUP(I757,Mapped_Owner,2,0),"")</f>
        <v>Salty</v>
      </c>
      <c r="O757" s="6">
        <f>VLOOKUP(D757,'Mapped Opponent'!$G$4:$H$22,2,0)</f>
        <v>8</v>
      </c>
      <c r="P757" s="6"/>
      <c r="Q757" s="6" t="str">
        <f t="shared" si="4"/>
        <v>Week 8</v>
      </c>
      <c r="R757" s="6" t="str">
        <f t="shared" si="5"/>
        <v>2014Week 8</v>
      </c>
      <c r="S757" s="6">
        <f>IFERROR(__xludf.DUMMYFUNCTION("rank(J757,FILTER(J:J,R:R=R757))"),11.0)</f>
        <v>11</v>
      </c>
      <c r="T757" s="6">
        <f t="shared" si="6"/>
        <v>1</v>
      </c>
      <c r="U757" s="6">
        <f t="shared" si="7"/>
        <v>11</v>
      </c>
      <c r="V757" s="42">
        <f>averageif(AllData!A:A,B757,AllData!R:R)/vlookup(B757,AllData!A:O,15,0)</f>
        <v>94.87820513</v>
      </c>
      <c r="W757" s="6"/>
    </row>
    <row r="758" ht="14.25" customHeight="1">
      <c r="A758" s="6" t="str">
        <f t="shared" si="1"/>
        <v>2014Hudspeath9</v>
      </c>
      <c r="B758" s="6">
        <v>2014.0</v>
      </c>
      <c r="C758" s="6" t="s">
        <v>39</v>
      </c>
      <c r="D758" s="6" t="s">
        <v>147</v>
      </c>
      <c r="E758" s="34">
        <v>42187.0</v>
      </c>
      <c r="F758" s="6" t="s">
        <v>2389</v>
      </c>
      <c r="G758" s="6" t="s">
        <v>125</v>
      </c>
      <c r="H758" s="6" t="s">
        <v>2390</v>
      </c>
      <c r="I758" s="35" t="s">
        <v>80</v>
      </c>
      <c r="J758" s="36">
        <v>117.3</v>
      </c>
      <c r="K758" s="36">
        <v>106.8</v>
      </c>
      <c r="L758" s="36">
        <f t="shared" si="2"/>
        <v>1</v>
      </c>
      <c r="M758" s="36" t="str">
        <f t="shared" si="3"/>
        <v>Regular Season</v>
      </c>
      <c r="N758" s="36" t="str">
        <f>IFERROR(VLOOKUP(I758,Mapped_Owner,2,0),"")</f>
        <v>Fellows</v>
      </c>
      <c r="O758" s="6">
        <f>VLOOKUP(D758,'Mapped Opponent'!$G$4:$H$22,2,0)</f>
        <v>9</v>
      </c>
      <c r="P758" s="6"/>
      <c r="Q758" s="6" t="str">
        <f t="shared" si="4"/>
        <v>Week 9</v>
      </c>
      <c r="R758" s="6" t="str">
        <f t="shared" si="5"/>
        <v>2014Week 9</v>
      </c>
      <c r="S758" s="6">
        <f>IFERROR(__xludf.DUMMYFUNCTION("rank(J758,FILTER(J:J,R:R=R758))"),3.0)</f>
        <v>3</v>
      </c>
      <c r="T758" s="6">
        <f t="shared" si="6"/>
        <v>9</v>
      </c>
      <c r="U758" s="6">
        <f t="shared" si="7"/>
        <v>3</v>
      </c>
      <c r="V758" s="42">
        <f>averageif(AllData!A:A,B758,AllData!R:R)/vlookup(B758,AllData!A:O,15,0)</f>
        <v>94.87820513</v>
      </c>
      <c r="W758" s="6"/>
    </row>
    <row r="759" ht="14.25" customHeight="1">
      <c r="A759" s="6" t="str">
        <f t="shared" si="1"/>
        <v>2014Salty9</v>
      </c>
      <c r="B759" s="6">
        <v>2014.0</v>
      </c>
      <c r="C759" s="6" t="s">
        <v>76</v>
      </c>
      <c r="D759" s="6" t="s">
        <v>147</v>
      </c>
      <c r="E759" s="34">
        <v>42158.0</v>
      </c>
      <c r="F759" s="6" t="s">
        <v>2391</v>
      </c>
      <c r="G759" s="6" t="s">
        <v>114</v>
      </c>
      <c r="H759" s="6" t="s">
        <v>2392</v>
      </c>
      <c r="I759" s="35" t="s">
        <v>93</v>
      </c>
      <c r="J759" s="36">
        <v>130.9</v>
      </c>
      <c r="K759" s="36">
        <v>68.6</v>
      </c>
      <c r="L759" s="36">
        <f t="shared" si="2"/>
        <v>1</v>
      </c>
      <c r="M759" s="36" t="str">
        <f t="shared" si="3"/>
        <v>Regular Season</v>
      </c>
      <c r="N759" s="36" t="str">
        <f>IFERROR(VLOOKUP(I759,Mapped_Owner,2,0),"")</f>
        <v>Pierson</v>
      </c>
      <c r="O759" s="6">
        <f>VLOOKUP(D759,'Mapped Opponent'!$G$4:$H$22,2,0)</f>
        <v>9</v>
      </c>
      <c r="P759" s="6"/>
      <c r="Q759" s="6" t="str">
        <f t="shared" si="4"/>
        <v>Week 9</v>
      </c>
      <c r="R759" s="6" t="str">
        <f t="shared" si="5"/>
        <v>2014Week 9</v>
      </c>
      <c r="S759" s="6">
        <f>IFERROR(__xludf.DUMMYFUNCTION("rank(J759,FILTER(J:J,R:R=R759))"),1.0)</f>
        <v>1</v>
      </c>
      <c r="T759" s="6">
        <f t="shared" si="6"/>
        <v>11</v>
      </c>
      <c r="U759" s="6">
        <f t="shared" si="7"/>
        <v>1</v>
      </c>
      <c r="V759" s="42">
        <f>averageif(AllData!A:A,B759,AllData!R:R)/vlookup(B759,AllData!A:O,15,0)</f>
        <v>94.87820513</v>
      </c>
      <c r="W759" s="6"/>
    </row>
    <row r="760" ht="14.25" customHeight="1">
      <c r="A760" s="6" t="str">
        <f t="shared" si="1"/>
        <v>2014Fellows9</v>
      </c>
      <c r="B760" s="6">
        <v>2014.0</v>
      </c>
      <c r="C760" s="6" t="s">
        <v>79</v>
      </c>
      <c r="D760" s="6" t="s">
        <v>147</v>
      </c>
      <c r="E760" s="34">
        <v>42128.0</v>
      </c>
      <c r="F760" s="6" t="s">
        <v>2393</v>
      </c>
      <c r="G760" s="6" t="s">
        <v>114</v>
      </c>
      <c r="H760" s="6" t="s">
        <v>2394</v>
      </c>
      <c r="I760" s="35" t="s">
        <v>64</v>
      </c>
      <c r="J760" s="36">
        <v>106.8</v>
      </c>
      <c r="K760" s="36">
        <v>117.3</v>
      </c>
      <c r="L760" s="36">
        <f t="shared" si="2"/>
        <v>0</v>
      </c>
      <c r="M760" s="36" t="str">
        <f t="shared" si="3"/>
        <v>Regular Season</v>
      </c>
      <c r="N760" s="36" t="str">
        <f>IFERROR(VLOOKUP(I760,Mapped_Owner,2,0),"")</f>
        <v>Hudspeath</v>
      </c>
      <c r="O760" s="6">
        <f>VLOOKUP(D760,'Mapped Opponent'!$G$4:$H$22,2,0)</f>
        <v>9</v>
      </c>
      <c r="P760" s="6"/>
      <c r="Q760" s="6" t="str">
        <f t="shared" si="4"/>
        <v>Week 9</v>
      </c>
      <c r="R760" s="6" t="str">
        <f t="shared" si="5"/>
        <v>2014Week 9</v>
      </c>
      <c r="S760" s="6">
        <f>IFERROR(__xludf.DUMMYFUNCTION("rank(J760,FILTER(J:J,R:R=R760))"),5.0)</f>
        <v>5</v>
      </c>
      <c r="T760" s="6">
        <f t="shared" si="6"/>
        <v>7</v>
      </c>
      <c r="U760" s="6">
        <f t="shared" si="7"/>
        <v>5</v>
      </c>
      <c r="V760" s="42">
        <f>averageif(AllData!A:A,B760,AllData!R:R)/vlookup(B760,AllData!A:O,15,0)</f>
        <v>94.87820513</v>
      </c>
      <c r="W760" s="6"/>
    </row>
    <row r="761" ht="14.25" customHeight="1">
      <c r="A761" s="6" t="str">
        <f t="shared" si="1"/>
        <v>2014Shep9</v>
      </c>
      <c r="B761" s="6">
        <v>2014.0</v>
      </c>
      <c r="C761" s="6" t="s">
        <v>89</v>
      </c>
      <c r="D761" s="6" t="s">
        <v>147</v>
      </c>
      <c r="E761" s="34">
        <v>42099.0</v>
      </c>
      <c r="F761" s="6" t="s">
        <v>2395</v>
      </c>
      <c r="G761" s="6" t="s">
        <v>114</v>
      </c>
      <c r="H761" s="6" t="s">
        <v>2396</v>
      </c>
      <c r="I761" s="35" t="s">
        <v>50</v>
      </c>
      <c r="J761" s="36">
        <v>71.0</v>
      </c>
      <c r="K761" s="36">
        <v>77.6</v>
      </c>
      <c r="L761" s="36">
        <f t="shared" si="2"/>
        <v>0</v>
      </c>
      <c r="M761" s="36" t="str">
        <f t="shared" si="3"/>
        <v>Regular Season</v>
      </c>
      <c r="N761" s="36" t="str">
        <f>IFERROR(VLOOKUP(I761,Mapped_Owner,2,0),"")</f>
        <v>Buser</v>
      </c>
      <c r="O761" s="6">
        <f>VLOOKUP(D761,'Mapped Opponent'!$G$4:$H$22,2,0)</f>
        <v>9</v>
      </c>
      <c r="P761" s="6"/>
      <c r="Q761" s="6" t="str">
        <f t="shared" si="4"/>
        <v>Week 9</v>
      </c>
      <c r="R761" s="6" t="str">
        <f t="shared" si="5"/>
        <v>2014Week 9</v>
      </c>
      <c r="S761" s="6">
        <f>IFERROR(__xludf.DUMMYFUNCTION("rank(J761,FILTER(J:J,R:R=R761))"),10.0)</f>
        <v>10</v>
      </c>
      <c r="T761" s="6">
        <f t="shared" si="6"/>
        <v>2</v>
      </c>
      <c r="U761" s="6">
        <f t="shared" si="7"/>
        <v>10</v>
      </c>
      <c r="V761" s="42">
        <f>averageif(AllData!A:A,B761,AllData!R:R)/vlookup(B761,AllData!A:O,15,0)</f>
        <v>94.87820513</v>
      </c>
      <c r="W761" s="6"/>
    </row>
    <row r="762" ht="14.25" customHeight="1">
      <c r="A762" s="6" t="str">
        <f t="shared" si="1"/>
        <v>2014Riley9</v>
      </c>
      <c r="B762" s="6">
        <v>2014.0</v>
      </c>
      <c r="C762" s="6" t="s">
        <v>67</v>
      </c>
      <c r="D762" s="6" t="s">
        <v>147</v>
      </c>
      <c r="E762" s="34">
        <v>42187.0</v>
      </c>
      <c r="F762" s="6" t="s">
        <v>2397</v>
      </c>
      <c r="G762" s="6" t="s">
        <v>125</v>
      </c>
      <c r="H762" s="6" t="s">
        <v>2398</v>
      </c>
      <c r="I762" s="35" t="s">
        <v>99</v>
      </c>
      <c r="J762" s="36">
        <v>118.6</v>
      </c>
      <c r="K762" s="36">
        <v>104.9</v>
      </c>
      <c r="L762" s="36">
        <f t="shared" si="2"/>
        <v>1</v>
      </c>
      <c r="M762" s="36" t="str">
        <f t="shared" si="3"/>
        <v>Regular Season</v>
      </c>
      <c r="N762" s="36" t="str">
        <f>IFERROR(VLOOKUP(I762,Mapped_Owner,2,0),"")</f>
        <v>Cock</v>
      </c>
      <c r="O762" s="6">
        <f>VLOOKUP(D762,'Mapped Opponent'!$G$4:$H$22,2,0)</f>
        <v>9</v>
      </c>
      <c r="P762" s="6"/>
      <c r="Q762" s="6" t="str">
        <f t="shared" si="4"/>
        <v>Week 9</v>
      </c>
      <c r="R762" s="6" t="str">
        <f t="shared" si="5"/>
        <v>2014Week 9</v>
      </c>
      <c r="S762" s="6">
        <f>IFERROR(__xludf.DUMMYFUNCTION("rank(J762,FILTER(J:J,R:R=R762))"),2.0)</f>
        <v>2</v>
      </c>
      <c r="T762" s="6">
        <f t="shared" si="6"/>
        <v>10</v>
      </c>
      <c r="U762" s="6">
        <f t="shared" si="7"/>
        <v>2</v>
      </c>
      <c r="V762" s="42">
        <f>averageif(AllData!A:A,B762,AllData!R:R)/vlookup(B762,AllData!A:O,15,0)</f>
        <v>94.87820513</v>
      </c>
      <c r="W762" s="6"/>
    </row>
    <row r="763" ht="14.25" customHeight="1">
      <c r="A763" s="6" t="str">
        <f t="shared" si="1"/>
        <v>2014Rooney/Jackson9</v>
      </c>
      <c r="B763" s="6">
        <v>2014.0</v>
      </c>
      <c r="C763" s="6" t="s">
        <v>57</v>
      </c>
      <c r="D763" s="6" t="s">
        <v>147</v>
      </c>
      <c r="E763" s="34">
        <v>42128.0</v>
      </c>
      <c r="F763" s="6" t="s">
        <v>2399</v>
      </c>
      <c r="G763" s="6" t="s">
        <v>114</v>
      </c>
      <c r="H763" s="6" t="s">
        <v>2400</v>
      </c>
      <c r="I763" s="35" t="s">
        <v>54</v>
      </c>
      <c r="J763" s="36">
        <v>83.2</v>
      </c>
      <c r="K763" s="36">
        <v>107.9</v>
      </c>
      <c r="L763" s="36">
        <f t="shared" si="2"/>
        <v>0</v>
      </c>
      <c r="M763" s="36" t="str">
        <f t="shared" si="3"/>
        <v>Regular Season</v>
      </c>
      <c r="N763" s="36" t="str">
        <f>IFERROR(VLOOKUP(I763,Mapped_Owner,2,0),"")</f>
        <v>Tayski</v>
      </c>
      <c r="O763" s="6">
        <f>VLOOKUP(D763,'Mapped Opponent'!$G$4:$H$22,2,0)</f>
        <v>9</v>
      </c>
      <c r="P763" s="6"/>
      <c r="Q763" s="6" t="str">
        <f t="shared" si="4"/>
        <v>Week 9</v>
      </c>
      <c r="R763" s="6" t="str">
        <f t="shared" si="5"/>
        <v>2014Week 9</v>
      </c>
      <c r="S763" s="6">
        <f>IFERROR(__xludf.DUMMYFUNCTION("rank(J763,FILTER(J:J,R:R=R763))"),8.0)</f>
        <v>8</v>
      </c>
      <c r="T763" s="6">
        <f t="shared" si="6"/>
        <v>4</v>
      </c>
      <c r="U763" s="6">
        <f t="shared" si="7"/>
        <v>8</v>
      </c>
      <c r="V763" s="42">
        <f>averageif(AllData!A:A,B763,AllData!R:R)/vlookup(B763,AllData!A:O,15,0)</f>
        <v>94.87820513</v>
      </c>
      <c r="W763" s="6"/>
    </row>
    <row r="764" ht="14.25" customHeight="1">
      <c r="A764" s="6" t="str">
        <f t="shared" si="1"/>
        <v>2014Buser9</v>
      </c>
      <c r="B764" s="6">
        <v>2014.0</v>
      </c>
      <c r="C764" s="6" t="s">
        <v>47</v>
      </c>
      <c r="D764" s="6" t="s">
        <v>147</v>
      </c>
      <c r="E764" s="34">
        <v>42069.0</v>
      </c>
      <c r="F764" s="6" t="s">
        <v>2401</v>
      </c>
      <c r="G764" s="6" t="s">
        <v>125</v>
      </c>
      <c r="H764" s="6" t="s">
        <v>2402</v>
      </c>
      <c r="I764" s="35" t="s">
        <v>91</v>
      </c>
      <c r="J764" s="36">
        <v>77.6</v>
      </c>
      <c r="K764" s="36">
        <v>71.0</v>
      </c>
      <c r="L764" s="36">
        <f t="shared" si="2"/>
        <v>1</v>
      </c>
      <c r="M764" s="36" t="str">
        <f t="shared" si="3"/>
        <v>Regular Season</v>
      </c>
      <c r="N764" s="36" t="str">
        <f>IFERROR(VLOOKUP(I764,Mapped_Owner,2,0),"")</f>
        <v>Shep</v>
      </c>
      <c r="O764" s="6">
        <f>VLOOKUP(D764,'Mapped Opponent'!$G$4:$H$22,2,0)</f>
        <v>9</v>
      </c>
      <c r="P764" s="6"/>
      <c r="Q764" s="6" t="str">
        <f t="shared" si="4"/>
        <v>Week 9</v>
      </c>
      <c r="R764" s="6" t="str">
        <f t="shared" si="5"/>
        <v>2014Week 9</v>
      </c>
      <c r="S764" s="6">
        <f>IFERROR(__xludf.DUMMYFUNCTION("rank(J764,FILTER(J:J,R:R=R764))"),9.0)</f>
        <v>9</v>
      </c>
      <c r="T764" s="6">
        <f t="shared" si="6"/>
        <v>3</v>
      </c>
      <c r="U764" s="6">
        <f t="shared" si="7"/>
        <v>9</v>
      </c>
      <c r="V764" s="42">
        <f>averageif(AllData!A:A,B764,AllData!R:R)/vlookup(B764,AllData!A:O,15,0)</f>
        <v>94.87820513</v>
      </c>
      <c r="W764" s="6"/>
    </row>
    <row r="765" ht="14.25" customHeight="1">
      <c r="A765" s="6" t="str">
        <f t="shared" si="1"/>
        <v>2014Pierson9</v>
      </c>
      <c r="B765" s="6">
        <v>2014.0</v>
      </c>
      <c r="C765" s="6" t="s">
        <v>92</v>
      </c>
      <c r="D765" s="6" t="s">
        <v>147</v>
      </c>
      <c r="E765" s="34">
        <v>42128.0</v>
      </c>
      <c r="F765" s="6" t="s">
        <v>2403</v>
      </c>
      <c r="G765" s="6" t="s">
        <v>125</v>
      </c>
      <c r="H765" s="6" t="s">
        <v>2404</v>
      </c>
      <c r="I765" s="35" t="s">
        <v>77</v>
      </c>
      <c r="J765" s="36">
        <v>68.6</v>
      </c>
      <c r="K765" s="36">
        <v>130.9</v>
      </c>
      <c r="L765" s="36">
        <f t="shared" si="2"/>
        <v>0</v>
      </c>
      <c r="M765" s="36" t="str">
        <f t="shared" si="3"/>
        <v>Regular Season</v>
      </c>
      <c r="N765" s="36" t="str">
        <f>IFERROR(VLOOKUP(I765,Mapped_Owner,2,0),"")</f>
        <v>Salty</v>
      </c>
      <c r="O765" s="6">
        <f>VLOOKUP(D765,'Mapped Opponent'!$G$4:$H$22,2,0)</f>
        <v>9</v>
      </c>
      <c r="P765" s="6"/>
      <c r="Q765" s="6" t="str">
        <f t="shared" si="4"/>
        <v>Week 9</v>
      </c>
      <c r="R765" s="6" t="str">
        <f t="shared" si="5"/>
        <v>2014Week 9</v>
      </c>
      <c r="S765" s="6">
        <f>IFERROR(__xludf.DUMMYFUNCTION("rank(J765,FILTER(J:J,R:R=R765))"),11.0)</f>
        <v>11</v>
      </c>
      <c r="T765" s="6">
        <f t="shared" si="6"/>
        <v>1</v>
      </c>
      <c r="U765" s="6">
        <f t="shared" si="7"/>
        <v>11</v>
      </c>
      <c r="V765" s="42">
        <f>averageif(AllData!A:A,B765,AllData!R:R)/vlookup(B765,AllData!A:O,15,0)</f>
        <v>94.87820513</v>
      </c>
      <c r="W765" s="6"/>
    </row>
    <row r="766" ht="14.25" customHeight="1">
      <c r="A766" s="6" t="str">
        <f t="shared" si="1"/>
        <v>2014Cock9</v>
      </c>
      <c r="B766" s="6">
        <v>2014.0</v>
      </c>
      <c r="C766" s="6" t="s">
        <v>72</v>
      </c>
      <c r="D766" s="6" t="s">
        <v>147</v>
      </c>
      <c r="E766" s="34">
        <v>42069.0</v>
      </c>
      <c r="F766" s="6" t="s">
        <v>2405</v>
      </c>
      <c r="G766" s="6" t="s">
        <v>114</v>
      </c>
      <c r="H766" s="6" t="s">
        <v>2406</v>
      </c>
      <c r="I766" s="35" t="s">
        <v>68</v>
      </c>
      <c r="J766" s="36">
        <v>104.9</v>
      </c>
      <c r="K766" s="36">
        <v>118.6</v>
      </c>
      <c r="L766" s="36">
        <f t="shared" si="2"/>
        <v>0</v>
      </c>
      <c r="M766" s="36" t="str">
        <f t="shared" si="3"/>
        <v>Regular Season</v>
      </c>
      <c r="N766" s="36" t="str">
        <f>IFERROR(VLOOKUP(I766,Mapped_Owner,2,0),"")</f>
        <v>Riley</v>
      </c>
      <c r="O766" s="6">
        <f>VLOOKUP(D766,'Mapped Opponent'!$G$4:$H$22,2,0)</f>
        <v>9</v>
      </c>
      <c r="P766" s="6"/>
      <c r="Q766" s="6" t="str">
        <f t="shared" si="4"/>
        <v>Week 9</v>
      </c>
      <c r="R766" s="6" t="str">
        <f t="shared" si="5"/>
        <v>2014Week 9</v>
      </c>
      <c r="S766" s="6">
        <f>IFERROR(__xludf.DUMMYFUNCTION("rank(J766,FILTER(J:J,R:R=R766))"),6.0)</f>
        <v>6</v>
      </c>
      <c r="T766" s="6">
        <f t="shared" si="6"/>
        <v>6</v>
      </c>
      <c r="U766" s="6">
        <f t="shared" si="7"/>
        <v>6</v>
      </c>
      <c r="V766" s="42">
        <f>averageif(AllData!A:A,B766,AllData!R:R)/vlookup(B766,AllData!A:O,15,0)</f>
        <v>94.87820513</v>
      </c>
      <c r="W766" s="6"/>
    </row>
    <row r="767" ht="14.25" customHeight="1">
      <c r="A767" s="6" t="str">
        <f t="shared" si="1"/>
        <v>2014Tayski9</v>
      </c>
      <c r="B767" s="6">
        <v>2014.0</v>
      </c>
      <c r="C767" s="6" t="s">
        <v>52</v>
      </c>
      <c r="D767" s="6" t="s">
        <v>147</v>
      </c>
      <c r="E767" s="34">
        <v>42158.0</v>
      </c>
      <c r="F767" s="6" t="s">
        <v>2407</v>
      </c>
      <c r="G767" s="6" t="s">
        <v>125</v>
      </c>
      <c r="H767" s="6" t="s">
        <v>2408</v>
      </c>
      <c r="I767" s="35" t="s">
        <v>58</v>
      </c>
      <c r="J767" s="36">
        <v>107.9</v>
      </c>
      <c r="K767" s="36">
        <v>83.2</v>
      </c>
      <c r="L767" s="36">
        <f t="shared" si="2"/>
        <v>1</v>
      </c>
      <c r="M767" s="36" t="str">
        <f t="shared" si="3"/>
        <v>Regular Season</v>
      </c>
      <c r="N767" s="36" t="str">
        <f>IFERROR(VLOOKUP(I767,Mapped_Owner,2,0),"")</f>
        <v>Rooney/Jackson</v>
      </c>
      <c r="O767" s="6">
        <f>VLOOKUP(D767,'Mapped Opponent'!$G$4:$H$22,2,0)</f>
        <v>9</v>
      </c>
      <c r="P767" s="6"/>
      <c r="Q767" s="6" t="str">
        <f t="shared" si="4"/>
        <v>Week 9</v>
      </c>
      <c r="R767" s="6" t="str">
        <f t="shared" si="5"/>
        <v>2014Week 9</v>
      </c>
      <c r="S767" s="6">
        <f>IFERROR(__xludf.DUMMYFUNCTION("rank(J767,FILTER(J:J,R:R=R767))"),4.0)</f>
        <v>4</v>
      </c>
      <c r="T767" s="6">
        <f t="shared" si="6"/>
        <v>8</v>
      </c>
      <c r="U767" s="6">
        <f t="shared" si="7"/>
        <v>4</v>
      </c>
      <c r="V767" s="42">
        <f>averageif(AllData!A:A,B767,AllData!R:R)/vlookup(B767,AllData!A:O,15,0)</f>
        <v>94.87820513</v>
      </c>
      <c r="W767" s="6"/>
    </row>
    <row r="768" ht="14.25" customHeight="1">
      <c r="A768" s="6" t="str">
        <f t="shared" si="1"/>
        <v>2014KnardDawg9</v>
      </c>
      <c r="B768" s="6">
        <v>2014.0</v>
      </c>
      <c r="C768" s="6" t="s">
        <v>86</v>
      </c>
      <c r="D768" s="6" t="s">
        <v>147</v>
      </c>
      <c r="E768" s="34">
        <v>42042.0</v>
      </c>
      <c r="F768" s="6" t="s">
        <v>2409</v>
      </c>
      <c r="G768" s="6" t="s">
        <v>114</v>
      </c>
      <c r="H768" s="6" t="s">
        <v>2410</v>
      </c>
      <c r="I768" s="35" t="s">
        <v>85</v>
      </c>
      <c r="J768" s="36">
        <v>95.9</v>
      </c>
      <c r="K768" s="36">
        <v>30.6</v>
      </c>
      <c r="L768" s="36">
        <f t="shared" si="2"/>
        <v>1</v>
      </c>
      <c r="M768" s="36" t="str">
        <f t="shared" si="3"/>
        <v>Regular Season</v>
      </c>
      <c r="N768" s="36" t="str">
        <f>IFERROR(VLOOKUP(I768,Mapped_Owner,2,0),"")</f>
        <v>T-How</v>
      </c>
      <c r="O768" s="6">
        <f>VLOOKUP(D768,'Mapped Opponent'!$G$4:$H$22,2,0)</f>
        <v>9</v>
      </c>
      <c r="P768" s="6"/>
      <c r="Q768" s="6" t="str">
        <f t="shared" si="4"/>
        <v>Week 9</v>
      </c>
      <c r="R768" s="6" t="str">
        <f t="shared" si="5"/>
        <v>2014Week 9</v>
      </c>
      <c r="S768" s="6">
        <f>IFERROR(__xludf.DUMMYFUNCTION("rank(J768,FILTER(J:J,R:R=R768))"),7.0)</f>
        <v>7</v>
      </c>
      <c r="T768" s="6">
        <f t="shared" si="6"/>
        <v>5</v>
      </c>
      <c r="U768" s="6">
        <f t="shared" si="7"/>
        <v>7</v>
      </c>
      <c r="V768" s="42">
        <f>averageif(AllData!A:A,B768,AllData!R:R)/vlookup(B768,AllData!A:O,15,0)</f>
        <v>94.87820513</v>
      </c>
      <c r="W768" s="6"/>
    </row>
    <row r="769" ht="14.25" customHeight="1">
      <c r="A769" s="6" t="str">
        <f t="shared" si="1"/>
        <v>2014T-How9</v>
      </c>
      <c r="B769" s="6">
        <v>2014.0</v>
      </c>
      <c r="C769" s="6" t="s">
        <v>82</v>
      </c>
      <c r="D769" s="6" t="s">
        <v>147</v>
      </c>
      <c r="E769" s="34">
        <v>42012.0</v>
      </c>
      <c r="F769" s="6" t="s">
        <v>2411</v>
      </c>
      <c r="G769" s="6" t="s">
        <v>125</v>
      </c>
      <c r="H769" s="6" t="s">
        <v>2412</v>
      </c>
      <c r="I769" s="35" t="s">
        <v>132</v>
      </c>
      <c r="J769" s="36">
        <v>30.6</v>
      </c>
      <c r="K769" s="36">
        <v>95.9</v>
      </c>
      <c r="L769" s="36">
        <f t="shared" si="2"/>
        <v>0</v>
      </c>
      <c r="M769" s="36" t="str">
        <f t="shared" si="3"/>
        <v>Regular Season</v>
      </c>
      <c r="N769" s="36" t="str">
        <f>IFERROR(VLOOKUP(I769,Mapped_Owner,2,0),"")</f>
        <v>KnardDawg</v>
      </c>
      <c r="O769" s="6">
        <f>VLOOKUP(D769,'Mapped Opponent'!$G$4:$H$22,2,0)</f>
        <v>9</v>
      </c>
      <c r="P769" s="6"/>
      <c r="Q769" s="6" t="str">
        <f t="shared" si="4"/>
        <v>Week 9</v>
      </c>
      <c r="R769" s="6" t="str">
        <f t="shared" si="5"/>
        <v>2014Week 9</v>
      </c>
      <c r="S769" s="6">
        <f>IFERROR(__xludf.DUMMYFUNCTION("rank(J769,FILTER(J:J,R:R=R769))"),12.0)</f>
        <v>12</v>
      </c>
      <c r="T769" s="6">
        <f t="shared" si="6"/>
        <v>0</v>
      </c>
      <c r="U769" s="6">
        <f t="shared" si="7"/>
        <v>12</v>
      </c>
      <c r="V769" s="42">
        <f>averageif(AllData!A:A,B769,AllData!R:R)/vlookup(B769,AllData!A:O,15,0)</f>
        <v>94.87820513</v>
      </c>
      <c r="W769" s="6"/>
    </row>
    <row r="770" ht="14.25" customHeight="1">
      <c r="A770" s="6" t="str">
        <f t="shared" si="1"/>
        <v>2015Hudspeath15</v>
      </c>
      <c r="B770" s="6">
        <v>2015.0</v>
      </c>
      <c r="C770" s="6" t="s">
        <v>39</v>
      </c>
      <c r="D770" s="6" t="s">
        <v>112</v>
      </c>
      <c r="E770" s="34"/>
      <c r="F770" s="34" t="s">
        <v>2413</v>
      </c>
      <c r="G770" s="6" t="s">
        <v>125</v>
      </c>
      <c r="H770" s="6" t="s">
        <v>2414</v>
      </c>
      <c r="I770" s="6" t="s">
        <v>80</v>
      </c>
      <c r="J770" s="36">
        <v>96.8</v>
      </c>
      <c r="K770" s="36">
        <v>78.4</v>
      </c>
      <c r="L770" s="36">
        <f t="shared" si="2"/>
        <v>1</v>
      </c>
      <c r="M770" s="36" t="str">
        <f t="shared" si="3"/>
        <v>Playoffs</v>
      </c>
      <c r="N770" s="36" t="str">
        <f>IFERROR(VLOOKUP(I770,Mapped_Owner,2,0),"")</f>
        <v>Fellows</v>
      </c>
      <c r="O770" s="6">
        <f>VLOOKUP(D770,'Mapped Opponent'!$G$4:$H$22,2,0)</f>
        <v>15</v>
      </c>
      <c r="P770" s="6"/>
      <c r="Q770" s="6" t="str">
        <f t="shared" si="4"/>
        <v>Week 15</v>
      </c>
      <c r="R770" s="6" t="str">
        <f t="shared" si="5"/>
        <v>2015Round 1</v>
      </c>
      <c r="S770" s="6">
        <f>IFERROR(__xludf.DUMMYFUNCTION("rank(J770,FILTER(J:J,R:R=R770))"),3.0)</f>
        <v>3</v>
      </c>
      <c r="T770" s="6">
        <f t="shared" si="6"/>
        <v>9</v>
      </c>
      <c r="U770" s="6">
        <f t="shared" si="7"/>
        <v>3</v>
      </c>
      <c r="V770" s="42">
        <f>averageif(AllData!A:A,B770,AllData!R:R)/vlookup(B770,AllData!A:O,15,0)</f>
        <v>92.55128205</v>
      </c>
      <c r="W770" s="6"/>
    </row>
    <row r="771" ht="14.25" customHeight="1">
      <c r="A771" s="6" t="str">
        <f t="shared" si="1"/>
        <v>2015Salty15</v>
      </c>
      <c r="B771" s="6">
        <v>2015.0</v>
      </c>
      <c r="C771" s="6" t="s">
        <v>76</v>
      </c>
      <c r="D771" s="6" t="s">
        <v>112</v>
      </c>
      <c r="E771" s="34"/>
      <c r="F771" s="6" t="s">
        <v>2415</v>
      </c>
      <c r="G771" s="6" t="s">
        <v>125</v>
      </c>
      <c r="H771" s="6" t="s">
        <v>155</v>
      </c>
      <c r="I771" s="35" t="s">
        <v>125</v>
      </c>
      <c r="J771" s="36">
        <v>88.5</v>
      </c>
      <c r="K771" s="36"/>
      <c r="L771" s="36">
        <f t="shared" si="2"/>
        <v>0</v>
      </c>
      <c r="M771" s="36" t="str">
        <f t="shared" si="3"/>
        <v>Playoffs</v>
      </c>
      <c r="N771" s="36" t="str">
        <f>IFERROR(VLOOKUP(I771,Mapped_Owner,2,0),"")</f>
        <v>BYE</v>
      </c>
      <c r="O771" s="6">
        <f>VLOOKUP(D771,'Mapped Opponent'!$G$4:$H$22,2,0)</f>
        <v>15</v>
      </c>
      <c r="P771" s="6"/>
      <c r="Q771" s="6" t="str">
        <f t="shared" si="4"/>
        <v>Week 15</v>
      </c>
      <c r="R771" s="6" t="str">
        <f t="shared" si="5"/>
        <v>2015Round 1</v>
      </c>
      <c r="S771" s="6">
        <f>IFERROR(__xludf.DUMMYFUNCTION("rank(J771,FILTER(J:J,R:R=R771))"),8.0)</f>
        <v>8</v>
      </c>
      <c r="T771" s="6">
        <f t="shared" si="6"/>
        <v>4</v>
      </c>
      <c r="U771" s="6">
        <f t="shared" si="7"/>
        <v>8</v>
      </c>
      <c r="V771" s="42">
        <f>averageif(AllData!A:A,B771,AllData!R:R)/vlookup(B771,AllData!A:O,15,0)</f>
        <v>92.55128205</v>
      </c>
      <c r="W771" s="6"/>
    </row>
    <row r="772" ht="14.25" customHeight="1">
      <c r="A772" s="6" t="str">
        <f t="shared" si="1"/>
        <v>2015Fellows15</v>
      </c>
      <c r="B772" s="6">
        <v>2015.0</v>
      </c>
      <c r="C772" s="6" t="s">
        <v>79</v>
      </c>
      <c r="D772" s="6" t="s">
        <v>112</v>
      </c>
      <c r="E772" s="34"/>
      <c r="F772" s="6" t="s">
        <v>2416</v>
      </c>
      <c r="G772" s="6" t="s">
        <v>114</v>
      </c>
      <c r="H772" s="6" t="s">
        <v>2417</v>
      </c>
      <c r="I772" s="35" t="s">
        <v>64</v>
      </c>
      <c r="J772" s="36">
        <v>78.4</v>
      </c>
      <c r="K772" s="36">
        <v>96.8</v>
      </c>
      <c r="L772" s="36">
        <f t="shared" si="2"/>
        <v>0</v>
      </c>
      <c r="M772" s="36" t="str">
        <f t="shared" si="3"/>
        <v>Playoffs</v>
      </c>
      <c r="N772" s="36" t="str">
        <f>IFERROR(VLOOKUP(I772,Mapped_Owner,2,0),"")</f>
        <v>Hudspeath</v>
      </c>
      <c r="O772" s="6">
        <f>VLOOKUP(D772,'Mapped Opponent'!$G$4:$H$22,2,0)</f>
        <v>15</v>
      </c>
      <c r="P772" s="6"/>
      <c r="Q772" s="6" t="str">
        <f t="shared" si="4"/>
        <v>Week 15</v>
      </c>
      <c r="R772" s="6" t="str">
        <f t="shared" si="5"/>
        <v>2015Round 1</v>
      </c>
      <c r="S772" s="6">
        <f>IFERROR(__xludf.DUMMYFUNCTION("rank(J772,FILTER(J:J,R:R=R772))"),10.0)</f>
        <v>10</v>
      </c>
      <c r="T772" s="6">
        <f t="shared" si="6"/>
        <v>2</v>
      </c>
      <c r="U772" s="6">
        <f t="shared" si="7"/>
        <v>10</v>
      </c>
      <c r="V772" s="42">
        <f>averageif(AllData!A:A,B772,AllData!R:R)/vlookup(B772,AllData!A:O,15,0)</f>
        <v>92.55128205</v>
      </c>
      <c r="W772" s="6"/>
    </row>
    <row r="773" ht="14.25" customHeight="1">
      <c r="A773" s="6" t="str">
        <f t="shared" si="1"/>
        <v>2015Shep15</v>
      </c>
      <c r="B773" s="6">
        <v>2015.0</v>
      </c>
      <c r="C773" s="6" t="s">
        <v>89</v>
      </c>
      <c r="D773" s="6" t="s">
        <v>112</v>
      </c>
      <c r="E773" s="34"/>
      <c r="F773" s="6" t="s">
        <v>2418</v>
      </c>
      <c r="G773" s="6" t="s">
        <v>114</v>
      </c>
      <c r="H773" s="6" t="s">
        <v>2419</v>
      </c>
      <c r="I773" s="35" t="s">
        <v>50</v>
      </c>
      <c r="J773" s="36">
        <v>100.2</v>
      </c>
      <c r="K773" s="36">
        <v>70.7</v>
      </c>
      <c r="L773" s="36">
        <f t="shared" si="2"/>
        <v>1</v>
      </c>
      <c r="M773" s="36" t="str">
        <f t="shared" si="3"/>
        <v>Playoffs</v>
      </c>
      <c r="N773" s="36" t="str">
        <f>IFERROR(VLOOKUP(I773,Mapped_Owner,2,0),"")</f>
        <v>Buser</v>
      </c>
      <c r="O773" s="6">
        <f>VLOOKUP(D773,'Mapped Opponent'!$G$4:$H$22,2,0)</f>
        <v>15</v>
      </c>
      <c r="P773" s="6"/>
      <c r="Q773" s="6" t="str">
        <f t="shared" si="4"/>
        <v>Week 15</v>
      </c>
      <c r="R773" s="6" t="str">
        <f t="shared" si="5"/>
        <v>2015Round 1</v>
      </c>
      <c r="S773" s="6">
        <f>IFERROR(__xludf.DUMMYFUNCTION("rank(J773,FILTER(J:J,R:R=R773))"),2.0)</f>
        <v>2</v>
      </c>
      <c r="T773" s="6">
        <f t="shared" si="6"/>
        <v>10</v>
      </c>
      <c r="U773" s="6">
        <f t="shared" si="7"/>
        <v>2</v>
      </c>
      <c r="V773" s="42">
        <f>averageif(AllData!A:A,B773,AllData!R:R)/vlookup(B773,AllData!A:O,15,0)</f>
        <v>92.55128205</v>
      </c>
      <c r="W773" s="6"/>
    </row>
    <row r="774" ht="14.25" customHeight="1">
      <c r="A774" s="6" t="str">
        <f t="shared" si="1"/>
        <v>2015Riley15</v>
      </c>
      <c r="B774" s="6">
        <v>2015.0</v>
      </c>
      <c r="C774" s="6" t="s">
        <v>67</v>
      </c>
      <c r="D774" s="6" t="s">
        <v>112</v>
      </c>
      <c r="E774" s="34"/>
      <c r="F774" s="6" t="s">
        <v>2420</v>
      </c>
      <c r="G774" s="6" t="s">
        <v>114</v>
      </c>
      <c r="H774" s="6" t="s">
        <v>2421</v>
      </c>
      <c r="I774" s="35" t="s">
        <v>93</v>
      </c>
      <c r="J774" s="36">
        <v>76.1</v>
      </c>
      <c r="K774" s="36">
        <v>79.7</v>
      </c>
      <c r="L774" s="36">
        <f t="shared" si="2"/>
        <v>0</v>
      </c>
      <c r="M774" s="36" t="str">
        <f t="shared" si="3"/>
        <v>Playoffs</v>
      </c>
      <c r="N774" s="36" t="str">
        <f>IFERROR(VLOOKUP(I774,Mapped_Owner,2,0),"")</f>
        <v>Pierson</v>
      </c>
      <c r="O774" s="6">
        <f>VLOOKUP(D774,'Mapped Opponent'!$G$4:$H$22,2,0)</f>
        <v>15</v>
      </c>
      <c r="P774" s="6"/>
      <c r="Q774" s="6" t="str">
        <f t="shared" si="4"/>
        <v>Week 15</v>
      </c>
      <c r="R774" s="6" t="str">
        <f t="shared" si="5"/>
        <v>2015Round 1</v>
      </c>
      <c r="S774" s="6">
        <f>IFERROR(__xludf.DUMMYFUNCTION("rank(J774,FILTER(J:J,R:R=R774))"),11.0)</f>
        <v>11</v>
      </c>
      <c r="T774" s="6">
        <f t="shared" si="6"/>
        <v>1</v>
      </c>
      <c r="U774" s="6">
        <f t="shared" si="7"/>
        <v>11</v>
      </c>
      <c r="V774" s="42">
        <f>averageif(AllData!A:A,B774,AllData!R:R)/vlookup(B774,AllData!A:O,15,0)</f>
        <v>92.55128205</v>
      </c>
      <c r="W774" s="6"/>
    </row>
    <row r="775" ht="14.25" customHeight="1">
      <c r="A775" s="6" t="str">
        <f t="shared" si="1"/>
        <v>2015Rooney/Jackson15</v>
      </c>
      <c r="B775" s="6">
        <v>2015.0</v>
      </c>
      <c r="C775" s="6" t="s">
        <v>57</v>
      </c>
      <c r="D775" s="6" t="s">
        <v>112</v>
      </c>
      <c r="E775" s="34"/>
      <c r="F775" s="6" t="s">
        <v>2422</v>
      </c>
      <c r="G775" s="6" t="s">
        <v>125</v>
      </c>
      <c r="H775" s="6" t="s">
        <v>2423</v>
      </c>
      <c r="I775" s="35" t="s">
        <v>99</v>
      </c>
      <c r="J775" s="36">
        <v>94.1</v>
      </c>
      <c r="K775" s="36">
        <v>95.3</v>
      </c>
      <c r="L775" s="36">
        <f t="shared" si="2"/>
        <v>0</v>
      </c>
      <c r="M775" s="36" t="str">
        <f t="shared" si="3"/>
        <v>Playoffs</v>
      </c>
      <c r="N775" s="36" t="str">
        <f>IFERROR(VLOOKUP(I775,Mapped_Owner,2,0),"")</f>
        <v>Cock</v>
      </c>
      <c r="O775" s="6">
        <f>VLOOKUP(D775,'Mapped Opponent'!$G$4:$H$22,2,0)</f>
        <v>15</v>
      </c>
      <c r="P775" s="6"/>
      <c r="Q775" s="6" t="str">
        <f t="shared" si="4"/>
        <v>Week 15</v>
      </c>
      <c r="R775" s="6" t="str">
        <f t="shared" si="5"/>
        <v>2015Round 1</v>
      </c>
      <c r="S775" s="6">
        <f>IFERROR(__xludf.DUMMYFUNCTION("rank(J775,FILTER(J:J,R:R=R775))"),6.0)</f>
        <v>6</v>
      </c>
      <c r="T775" s="6">
        <f t="shared" si="6"/>
        <v>6</v>
      </c>
      <c r="U775" s="6">
        <f t="shared" si="7"/>
        <v>6</v>
      </c>
      <c r="V775" s="42">
        <f>averageif(AllData!A:A,B775,AllData!R:R)/vlookup(B775,AllData!A:O,15,0)</f>
        <v>92.55128205</v>
      </c>
      <c r="W775" s="6"/>
    </row>
    <row r="776" ht="14.25" customHeight="1">
      <c r="A776" s="6" t="str">
        <f t="shared" si="1"/>
        <v>2015Buser15</v>
      </c>
      <c r="B776" s="6">
        <v>2015.0</v>
      </c>
      <c r="C776" s="6" t="s">
        <v>47</v>
      </c>
      <c r="D776" s="6" t="s">
        <v>112</v>
      </c>
      <c r="E776" s="34"/>
      <c r="F776" s="6" t="s">
        <v>2424</v>
      </c>
      <c r="G776" s="6" t="s">
        <v>125</v>
      </c>
      <c r="H776" s="6" t="s">
        <v>2425</v>
      </c>
      <c r="I776" s="35" t="s">
        <v>91</v>
      </c>
      <c r="J776" s="36">
        <v>70.7</v>
      </c>
      <c r="K776" s="36">
        <v>100.2</v>
      </c>
      <c r="L776" s="36">
        <f t="shared" si="2"/>
        <v>0</v>
      </c>
      <c r="M776" s="36" t="str">
        <f t="shared" si="3"/>
        <v>Playoffs</v>
      </c>
      <c r="N776" s="36" t="str">
        <f>IFERROR(VLOOKUP(I776,Mapped_Owner,2,0),"")</f>
        <v>Shep</v>
      </c>
      <c r="O776" s="6">
        <f>VLOOKUP(D776,'Mapped Opponent'!$G$4:$H$22,2,0)</f>
        <v>15</v>
      </c>
      <c r="P776" s="6"/>
      <c r="Q776" s="6" t="str">
        <f t="shared" si="4"/>
        <v>Week 15</v>
      </c>
      <c r="R776" s="6" t="str">
        <f t="shared" si="5"/>
        <v>2015Round 1</v>
      </c>
      <c r="S776" s="6">
        <f>IFERROR(__xludf.DUMMYFUNCTION("rank(J776,FILTER(J:J,R:R=R776))"),12.0)</f>
        <v>12</v>
      </c>
      <c r="T776" s="6">
        <f t="shared" si="6"/>
        <v>0</v>
      </c>
      <c r="U776" s="6">
        <f t="shared" si="7"/>
        <v>12</v>
      </c>
      <c r="V776" s="42">
        <f>averageif(AllData!A:A,B776,AllData!R:R)/vlookup(B776,AllData!A:O,15,0)</f>
        <v>92.55128205</v>
      </c>
      <c r="W776" s="6"/>
    </row>
    <row r="777" ht="14.25" customHeight="1">
      <c r="A777" s="6" t="str">
        <f t="shared" si="1"/>
        <v>2015Pierson15</v>
      </c>
      <c r="B777" s="6">
        <v>2015.0</v>
      </c>
      <c r="C777" s="6" t="s">
        <v>92</v>
      </c>
      <c r="D777" s="6" t="s">
        <v>112</v>
      </c>
      <c r="E777" s="34"/>
      <c r="F777" s="6" t="s">
        <v>2426</v>
      </c>
      <c r="G777" s="6" t="s">
        <v>125</v>
      </c>
      <c r="H777" s="6" t="s">
        <v>2427</v>
      </c>
      <c r="I777" s="35" t="s">
        <v>68</v>
      </c>
      <c r="J777" s="36">
        <v>79.7</v>
      </c>
      <c r="K777" s="36">
        <v>76.1</v>
      </c>
      <c r="L777" s="36">
        <f t="shared" si="2"/>
        <v>1</v>
      </c>
      <c r="M777" s="36" t="str">
        <f t="shared" si="3"/>
        <v>Playoffs</v>
      </c>
      <c r="N777" s="36" t="str">
        <f>IFERROR(VLOOKUP(I777,Mapped_Owner,2,0),"")</f>
        <v>Riley</v>
      </c>
      <c r="O777" s="6">
        <f>VLOOKUP(D777,'Mapped Opponent'!$G$4:$H$22,2,0)</f>
        <v>15</v>
      </c>
      <c r="P777" s="6"/>
      <c r="Q777" s="6" t="str">
        <f t="shared" si="4"/>
        <v>Week 15</v>
      </c>
      <c r="R777" s="6" t="str">
        <f t="shared" si="5"/>
        <v>2015Round 1</v>
      </c>
      <c r="S777" s="6">
        <f>IFERROR(__xludf.DUMMYFUNCTION("rank(J777,FILTER(J:J,R:R=R777))"),9.0)</f>
        <v>9</v>
      </c>
      <c r="T777" s="6">
        <f t="shared" si="6"/>
        <v>3</v>
      </c>
      <c r="U777" s="6">
        <f t="shared" si="7"/>
        <v>9</v>
      </c>
      <c r="V777" s="42">
        <f>averageif(AllData!A:A,B777,AllData!R:R)/vlookup(B777,AllData!A:O,15,0)</f>
        <v>92.55128205</v>
      </c>
      <c r="W777" s="6"/>
    </row>
    <row r="778" ht="14.25" customHeight="1">
      <c r="A778" s="6" t="str">
        <f t="shared" si="1"/>
        <v>2015Cock15</v>
      </c>
      <c r="B778" s="6">
        <v>2015.0</v>
      </c>
      <c r="C778" s="6" t="s">
        <v>72</v>
      </c>
      <c r="D778" s="6" t="s">
        <v>112</v>
      </c>
      <c r="E778" s="6"/>
      <c r="F778" s="6" t="s">
        <v>2428</v>
      </c>
      <c r="G778" s="6" t="s">
        <v>114</v>
      </c>
      <c r="H778" s="35" t="s">
        <v>2429</v>
      </c>
      <c r="I778" s="180" t="s">
        <v>58</v>
      </c>
      <c r="J778" s="36">
        <v>95.3</v>
      </c>
      <c r="K778" s="36">
        <v>94.1</v>
      </c>
      <c r="L778" s="36">
        <f t="shared" si="2"/>
        <v>1</v>
      </c>
      <c r="M778" s="36" t="str">
        <f t="shared" si="3"/>
        <v>Playoffs</v>
      </c>
      <c r="N778" s="36" t="str">
        <f>IFERROR(VLOOKUP(I778,Mapped_Owner,2,0),"")</f>
        <v>Rooney/Jackson</v>
      </c>
      <c r="O778" s="6">
        <f>VLOOKUP(D778,'Mapped Opponent'!$G$4:$H$22,2,0)</f>
        <v>15</v>
      </c>
      <c r="P778" s="6"/>
      <c r="Q778" s="6" t="str">
        <f t="shared" si="4"/>
        <v>Week 15</v>
      </c>
      <c r="R778" s="6" t="str">
        <f t="shared" si="5"/>
        <v>2015Round 1</v>
      </c>
      <c r="S778" s="6">
        <f>IFERROR(__xludf.DUMMYFUNCTION("rank(J778,FILTER(J:J,R:R=R778))"),4.0)</f>
        <v>4</v>
      </c>
      <c r="T778" s="6">
        <f t="shared" si="6"/>
        <v>8</v>
      </c>
      <c r="U778" s="6">
        <f t="shared" si="7"/>
        <v>4</v>
      </c>
      <c r="V778" s="42">
        <f>averageif(AllData!A:A,B778,AllData!R:R)/vlookup(B778,AllData!A:O,15,0)</f>
        <v>92.55128205</v>
      </c>
      <c r="W778" s="6"/>
    </row>
    <row r="779" ht="14.25" customHeight="1">
      <c r="A779" s="6" t="str">
        <f t="shared" si="1"/>
        <v>2015Tayski15</v>
      </c>
      <c r="B779" s="6">
        <v>2015.0</v>
      </c>
      <c r="C779" s="6" t="s">
        <v>52</v>
      </c>
      <c r="D779" s="6" t="s">
        <v>112</v>
      </c>
      <c r="E779" s="34"/>
      <c r="F779" s="34" t="s">
        <v>2430</v>
      </c>
      <c r="G779" s="6" t="s">
        <v>114</v>
      </c>
      <c r="H779" s="6" t="s">
        <v>2431</v>
      </c>
      <c r="I779" s="6" t="s">
        <v>132</v>
      </c>
      <c r="J779" s="36">
        <v>94.5</v>
      </c>
      <c r="K779" s="36">
        <v>109.6</v>
      </c>
      <c r="L779" s="36">
        <f t="shared" si="2"/>
        <v>0</v>
      </c>
      <c r="M779" s="36" t="str">
        <f t="shared" si="3"/>
        <v>Playoffs</v>
      </c>
      <c r="N779" s="36" t="str">
        <f>IFERROR(VLOOKUP(I779,Mapped_Owner,2,0),"")</f>
        <v>KnardDawg</v>
      </c>
      <c r="O779" s="6">
        <f>VLOOKUP(D779,'Mapped Opponent'!$G$4:$H$22,2,0)</f>
        <v>15</v>
      </c>
      <c r="P779" s="6"/>
      <c r="Q779" s="6" t="str">
        <f t="shared" si="4"/>
        <v>Week 15</v>
      </c>
      <c r="R779" s="6" t="str">
        <f t="shared" si="5"/>
        <v>2015Round 1</v>
      </c>
      <c r="S779" s="6">
        <f>IFERROR(__xludf.DUMMYFUNCTION("rank(J779,FILTER(J:J,R:R=R779))"),5.0)</f>
        <v>5</v>
      </c>
      <c r="T779" s="6">
        <f t="shared" si="6"/>
        <v>7</v>
      </c>
      <c r="U779" s="6">
        <f t="shared" si="7"/>
        <v>5</v>
      </c>
      <c r="V779" s="42">
        <f>averageif(AllData!A:A,B779,AllData!R:R)/vlookup(B779,AllData!A:O,15,0)</f>
        <v>92.55128205</v>
      </c>
      <c r="W779" s="6"/>
    </row>
    <row r="780" ht="14.25" customHeight="1">
      <c r="A780" s="6" t="str">
        <f t="shared" si="1"/>
        <v>2015KnardDawg15</v>
      </c>
      <c r="B780" s="6">
        <v>2015.0</v>
      </c>
      <c r="C780" s="6" t="s">
        <v>86</v>
      </c>
      <c r="D780" s="6" t="s">
        <v>112</v>
      </c>
      <c r="E780" s="34"/>
      <c r="F780" s="34" t="s">
        <v>2432</v>
      </c>
      <c r="G780" s="6" t="s">
        <v>125</v>
      </c>
      <c r="H780" s="6" t="s">
        <v>2433</v>
      </c>
      <c r="I780" s="6" t="s">
        <v>54</v>
      </c>
      <c r="J780" s="36">
        <v>109.6</v>
      </c>
      <c r="K780" s="36">
        <v>94.5</v>
      </c>
      <c r="L780" s="36">
        <f t="shared" si="2"/>
        <v>1</v>
      </c>
      <c r="M780" s="36" t="str">
        <f t="shared" si="3"/>
        <v>Playoffs</v>
      </c>
      <c r="N780" s="36" t="str">
        <f>IFERROR(VLOOKUP(I780,Mapped_Owner,2,0),"")</f>
        <v>Tayski</v>
      </c>
      <c r="O780" s="6">
        <f>VLOOKUP(D780,'Mapped Opponent'!$G$4:$H$22,2,0)</f>
        <v>15</v>
      </c>
      <c r="P780" s="6"/>
      <c r="Q780" s="6" t="str">
        <f t="shared" si="4"/>
        <v>Week 15</v>
      </c>
      <c r="R780" s="6" t="str">
        <f t="shared" si="5"/>
        <v>2015Round 1</v>
      </c>
      <c r="S780" s="6">
        <f>IFERROR(__xludf.DUMMYFUNCTION("rank(J780,FILTER(J:J,R:R=R780))"),1.0)</f>
        <v>1</v>
      </c>
      <c r="T780" s="6">
        <f t="shared" si="6"/>
        <v>11</v>
      </c>
      <c r="U780" s="6">
        <f t="shared" si="7"/>
        <v>1</v>
      </c>
      <c r="V780" s="42">
        <f>averageif(AllData!A:A,B780,AllData!R:R)/vlookup(B780,AllData!A:O,15,0)</f>
        <v>92.55128205</v>
      </c>
      <c r="W780" s="6"/>
    </row>
    <row r="781" ht="14.25" customHeight="1">
      <c r="A781" s="6" t="str">
        <f t="shared" si="1"/>
        <v>2015T-How15</v>
      </c>
      <c r="B781" s="6">
        <v>2015.0</v>
      </c>
      <c r="C781" s="6" t="s">
        <v>82</v>
      </c>
      <c r="D781" s="6" t="s">
        <v>112</v>
      </c>
      <c r="E781" s="34"/>
      <c r="F781" s="34" t="s">
        <v>2434</v>
      </c>
      <c r="G781" s="6" t="s">
        <v>125</v>
      </c>
      <c r="H781" s="6" t="s">
        <v>155</v>
      </c>
      <c r="I781" s="6" t="s">
        <v>125</v>
      </c>
      <c r="J781" s="36">
        <v>88.9</v>
      </c>
      <c r="K781" s="36"/>
      <c r="L781" s="36">
        <f t="shared" si="2"/>
        <v>0</v>
      </c>
      <c r="M781" s="36" t="str">
        <f t="shared" si="3"/>
        <v>Playoffs</v>
      </c>
      <c r="N781" s="36" t="str">
        <f>IFERROR(VLOOKUP(I781,Mapped_Owner,2,0),"")</f>
        <v>BYE</v>
      </c>
      <c r="O781" s="6">
        <f>VLOOKUP(D781,'Mapped Opponent'!$G$4:$H$22,2,0)</f>
        <v>15</v>
      </c>
      <c r="P781" s="6"/>
      <c r="Q781" s="6" t="str">
        <f t="shared" si="4"/>
        <v>Week 15</v>
      </c>
      <c r="R781" s="6" t="str">
        <f t="shared" si="5"/>
        <v>2015Round 1</v>
      </c>
      <c r="S781" s="6">
        <f>IFERROR(__xludf.DUMMYFUNCTION("rank(J781,FILTER(J:J,R:R=R781))"),7.0)</f>
        <v>7</v>
      </c>
      <c r="T781" s="6">
        <f t="shared" si="6"/>
        <v>5</v>
      </c>
      <c r="U781" s="6">
        <f t="shared" si="7"/>
        <v>7</v>
      </c>
      <c r="V781" s="42">
        <f>averageif(AllData!A:A,B781,AllData!R:R)/vlookup(B781,AllData!A:O,15,0)</f>
        <v>92.55128205</v>
      </c>
      <c r="W781" s="6"/>
    </row>
    <row r="782" ht="14.25" customHeight="1">
      <c r="A782" s="6" t="str">
        <f t="shared" si="1"/>
        <v>2015Hudspeath16</v>
      </c>
      <c r="B782" s="6">
        <v>2015.0</v>
      </c>
      <c r="C782" s="6" t="s">
        <v>39</v>
      </c>
      <c r="D782" s="6" t="s">
        <v>153</v>
      </c>
      <c r="E782" s="34"/>
      <c r="F782" s="34" t="s">
        <v>2435</v>
      </c>
      <c r="G782" s="6" t="s">
        <v>114</v>
      </c>
      <c r="H782" s="6" t="s">
        <v>2436</v>
      </c>
      <c r="I782" s="6" t="s">
        <v>85</v>
      </c>
      <c r="J782" s="36">
        <v>109.8</v>
      </c>
      <c r="K782" s="36">
        <v>89.2</v>
      </c>
      <c r="L782" s="36">
        <f t="shared" si="2"/>
        <v>1</v>
      </c>
      <c r="M782" s="36" t="str">
        <f t="shared" si="3"/>
        <v>Playoffs</v>
      </c>
      <c r="N782" s="36" t="str">
        <f>IFERROR(VLOOKUP(I782,Mapped_Owner,2,0),"")</f>
        <v>T-How</v>
      </c>
      <c r="O782" s="6">
        <f>VLOOKUP(D782,'Mapped Opponent'!$G$4:$H$22,2,0)</f>
        <v>16</v>
      </c>
      <c r="P782" s="6"/>
      <c r="Q782" s="6" t="str">
        <f t="shared" si="4"/>
        <v>Week 16</v>
      </c>
      <c r="R782" s="6" t="str">
        <f t="shared" si="5"/>
        <v>2015Round 2</v>
      </c>
      <c r="S782" s="6">
        <f>IFERROR(__xludf.DUMMYFUNCTION("rank(J782,FILTER(J:J,R:R=R782))"),4.0)</f>
        <v>4</v>
      </c>
      <c r="T782" s="6">
        <f t="shared" si="6"/>
        <v>8</v>
      </c>
      <c r="U782" s="6">
        <f t="shared" si="7"/>
        <v>4</v>
      </c>
      <c r="V782" s="42">
        <f>averageif(AllData!A:A,B782,AllData!R:R)/vlookup(B782,AllData!A:O,15,0)</f>
        <v>92.55128205</v>
      </c>
      <c r="W782" s="6"/>
    </row>
    <row r="783" ht="14.25" customHeight="1">
      <c r="A783" s="6" t="str">
        <f t="shared" si="1"/>
        <v>2015Salty16</v>
      </c>
      <c r="B783" s="6">
        <v>2015.0</v>
      </c>
      <c r="C783" s="6" t="s">
        <v>76</v>
      </c>
      <c r="D783" s="6" t="s">
        <v>153</v>
      </c>
      <c r="E783" s="34"/>
      <c r="F783" s="6" t="s">
        <v>2437</v>
      </c>
      <c r="G783" s="6" t="s">
        <v>125</v>
      </c>
      <c r="H783" s="6" t="s">
        <v>2425</v>
      </c>
      <c r="I783" s="35" t="s">
        <v>91</v>
      </c>
      <c r="J783" s="36">
        <v>103.1</v>
      </c>
      <c r="K783" s="36">
        <v>123.8</v>
      </c>
      <c r="L783" s="36">
        <f t="shared" si="2"/>
        <v>0</v>
      </c>
      <c r="M783" s="36" t="str">
        <f t="shared" si="3"/>
        <v>Playoffs</v>
      </c>
      <c r="N783" s="36" t="str">
        <f>IFERROR(VLOOKUP(I783,Mapped_Owner,2,0),"")</f>
        <v>Shep</v>
      </c>
      <c r="O783" s="6">
        <f>VLOOKUP(D783,'Mapped Opponent'!$G$4:$H$22,2,0)</f>
        <v>16</v>
      </c>
      <c r="P783" s="6"/>
      <c r="Q783" s="6" t="str">
        <f t="shared" si="4"/>
        <v>Week 16</v>
      </c>
      <c r="R783" s="6" t="str">
        <f t="shared" si="5"/>
        <v>2015Round 2</v>
      </c>
      <c r="S783" s="6">
        <f>IFERROR(__xludf.DUMMYFUNCTION("rank(J783,FILTER(J:J,R:R=R783))"),5.0)</f>
        <v>5</v>
      </c>
      <c r="T783" s="6">
        <f t="shared" si="6"/>
        <v>7</v>
      </c>
      <c r="U783" s="6">
        <f t="shared" si="7"/>
        <v>5</v>
      </c>
      <c r="V783" s="42">
        <f>averageif(AllData!A:A,B783,AllData!R:R)/vlookup(B783,AllData!A:O,15,0)</f>
        <v>92.55128205</v>
      </c>
      <c r="W783" s="6"/>
    </row>
    <row r="784" ht="14.25" customHeight="1">
      <c r="A784" s="6" t="str">
        <f t="shared" si="1"/>
        <v>2015Fellows16</v>
      </c>
      <c r="B784" s="6">
        <v>2015.0</v>
      </c>
      <c r="C784" s="6" t="s">
        <v>79</v>
      </c>
      <c r="D784" s="6" t="s">
        <v>153</v>
      </c>
      <c r="E784" s="34"/>
      <c r="F784" s="6" t="s">
        <v>2438</v>
      </c>
      <c r="G784" s="6" t="s">
        <v>114</v>
      </c>
      <c r="H784" s="6" t="s">
        <v>2419</v>
      </c>
      <c r="I784" s="35" t="s">
        <v>50</v>
      </c>
      <c r="J784" s="36">
        <v>78.5</v>
      </c>
      <c r="K784" s="36">
        <v>110.7</v>
      </c>
      <c r="L784" s="36">
        <f t="shared" si="2"/>
        <v>0</v>
      </c>
      <c r="M784" s="36" t="str">
        <f t="shared" si="3"/>
        <v>Playoffs</v>
      </c>
      <c r="N784" s="36" t="str">
        <f>IFERROR(VLOOKUP(I784,Mapped_Owner,2,0),"")</f>
        <v>Buser</v>
      </c>
      <c r="O784" s="6">
        <f>VLOOKUP(D784,'Mapped Opponent'!$G$4:$H$22,2,0)</f>
        <v>16</v>
      </c>
      <c r="P784" s="6"/>
      <c r="Q784" s="6" t="str">
        <f t="shared" si="4"/>
        <v>Week 16</v>
      </c>
      <c r="R784" s="6" t="str">
        <f t="shared" si="5"/>
        <v>2015Round 2</v>
      </c>
      <c r="S784" s="6">
        <f>IFERROR(__xludf.DUMMYFUNCTION("rank(J784,FILTER(J:J,R:R=R784))"),12.0)</f>
        <v>12</v>
      </c>
      <c r="T784" s="6">
        <f t="shared" si="6"/>
        <v>0</v>
      </c>
      <c r="U784" s="6">
        <f t="shared" si="7"/>
        <v>12</v>
      </c>
      <c r="V784" s="42">
        <f>averageif(AllData!A:A,B784,AllData!R:R)/vlookup(B784,AllData!A:O,15,0)</f>
        <v>92.55128205</v>
      </c>
      <c r="W784" s="6"/>
    </row>
    <row r="785" ht="14.25" customHeight="1">
      <c r="A785" s="6" t="str">
        <f t="shared" si="1"/>
        <v>2015Shep16</v>
      </c>
      <c r="B785" s="6">
        <v>2015.0</v>
      </c>
      <c r="C785" s="6" t="s">
        <v>89</v>
      </c>
      <c r="D785" s="6" t="s">
        <v>153</v>
      </c>
      <c r="E785" s="34"/>
      <c r="F785" s="6" t="s">
        <v>2439</v>
      </c>
      <c r="G785" s="6" t="s">
        <v>114</v>
      </c>
      <c r="H785" s="6" t="s">
        <v>2440</v>
      </c>
      <c r="I785" s="35" t="s">
        <v>77</v>
      </c>
      <c r="J785" s="36">
        <v>123.8</v>
      </c>
      <c r="K785" s="36">
        <v>103.1</v>
      </c>
      <c r="L785" s="36">
        <f t="shared" si="2"/>
        <v>1</v>
      </c>
      <c r="M785" s="36" t="str">
        <f t="shared" si="3"/>
        <v>Playoffs</v>
      </c>
      <c r="N785" s="36" t="str">
        <f>IFERROR(VLOOKUP(I785,Mapped_Owner,2,0),"")</f>
        <v>Salty</v>
      </c>
      <c r="O785" s="6">
        <f>VLOOKUP(D785,'Mapped Opponent'!$G$4:$H$22,2,0)</f>
        <v>16</v>
      </c>
      <c r="P785" s="6"/>
      <c r="Q785" s="6" t="str">
        <f t="shared" si="4"/>
        <v>Week 16</v>
      </c>
      <c r="R785" s="6" t="str">
        <f t="shared" si="5"/>
        <v>2015Round 2</v>
      </c>
      <c r="S785" s="6">
        <f>IFERROR(__xludf.DUMMYFUNCTION("rank(J785,FILTER(J:J,R:R=R785))"),1.0)</f>
        <v>1</v>
      </c>
      <c r="T785" s="6">
        <f t="shared" si="6"/>
        <v>11</v>
      </c>
      <c r="U785" s="6">
        <f t="shared" si="7"/>
        <v>1</v>
      </c>
      <c r="V785" s="42">
        <f>averageif(AllData!A:A,B785,AllData!R:R)/vlookup(B785,AllData!A:O,15,0)</f>
        <v>92.55128205</v>
      </c>
      <c r="W785" s="6"/>
    </row>
    <row r="786" ht="14.25" customHeight="1">
      <c r="A786" s="6" t="str">
        <f t="shared" si="1"/>
        <v>2015Riley16</v>
      </c>
      <c r="B786" s="6">
        <v>2015.0</v>
      </c>
      <c r="C786" s="6" t="s">
        <v>67</v>
      </c>
      <c r="D786" s="6" t="s">
        <v>153</v>
      </c>
      <c r="E786" s="34"/>
      <c r="F786" s="6" t="s">
        <v>2441</v>
      </c>
      <c r="G786" s="6" t="s">
        <v>125</v>
      </c>
      <c r="H786" s="6" t="s">
        <v>2429</v>
      </c>
      <c r="I786" s="35" t="s">
        <v>58</v>
      </c>
      <c r="J786" s="36">
        <v>92.0</v>
      </c>
      <c r="K786" s="36">
        <v>90.5</v>
      </c>
      <c r="L786" s="36">
        <f t="shared" si="2"/>
        <v>1</v>
      </c>
      <c r="M786" s="36" t="str">
        <f t="shared" si="3"/>
        <v>Playoffs</v>
      </c>
      <c r="N786" s="36" t="str">
        <f>IFERROR(VLOOKUP(I786,Mapped_Owner,2,0),"")</f>
        <v>Rooney/Jackson</v>
      </c>
      <c r="O786" s="6">
        <f>VLOOKUP(D786,'Mapped Opponent'!$G$4:$H$22,2,0)</f>
        <v>16</v>
      </c>
      <c r="P786" s="6"/>
      <c r="Q786" s="6" t="str">
        <f t="shared" si="4"/>
        <v>Week 16</v>
      </c>
      <c r="R786" s="6" t="str">
        <f t="shared" si="5"/>
        <v>2015Round 2</v>
      </c>
      <c r="S786" s="6">
        <f>IFERROR(__xludf.DUMMYFUNCTION("rank(J786,FILTER(J:J,R:R=R786))"),7.0)</f>
        <v>7</v>
      </c>
      <c r="T786" s="6">
        <f t="shared" si="6"/>
        <v>5</v>
      </c>
      <c r="U786" s="6">
        <f t="shared" si="7"/>
        <v>7</v>
      </c>
      <c r="V786" s="42">
        <f>averageif(AllData!A:A,B786,AllData!R:R)/vlookup(B786,AllData!A:O,15,0)</f>
        <v>92.55128205</v>
      </c>
      <c r="W786" s="6"/>
    </row>
    <row r="787" ht="14.25" customHeight="1">
      <c r="A787" s="6" t="str">
        <f t="shared" si="1"/>
        <v>2015Rooney/Jackson16</v>
      </c>
      <c r="B787" s="6">
        <v>2015.0</v>
      </c>
      <c r="C787" s="6" t="s">
        <v>57</v>
      </c>
      <c r="D787" s="6" t="s">
        <v>153</v>
      </c>
      <c r="E787" s="34"/>
      <c r="F787" s="6" t="s">
        <v>2442</v>
      </c>
      <c r="G787" s="6" t="s">
        <v>114</v>
      </c>
      <c r="H787" s="6" t="s">
        <v>2427</v>
      </c>
      <c r="I787" s="35" t="s">
        <v>68</v>
      </c>
      <c r="J787" s="36">
        <v>90.5</v>
      </c>
      <c r="K787" s="36">
        <v>92.0</v>
      </c>
      <c r="L787" s="36">
        <f t="shared" si="2"/>
        <v>0</v>
      </c>
      <c r="M787" s="36" t="str">
        <f t="shared" si="3"/>
        <v>Playoffs</v>
      </c>
      <c r="N787" s="36" t="str">
        <f>IFERROR(VLOOKUP(I787,Mapped_Owner,2,0),"")</f>
        <v>Riley</v>
      </c>
      <c r="O787" s="6">
        <f>VLOOKUP(D787,'Mapped Opponent'!$G$4:$H$22,2,0)</f>
        <v>16</v>
      </c>
      <c r="P787" s="6"/>
      <c r="Q787" s="6" t="str">
        <f t="shared" si="4"/>
        <v>Week 16</v>
      </c>
      <c r="R787" s="6" t="str">
        <f t="shared" si="5"/>
        <v>2015Round 2</v>
      </c>
      <c r="S787" s="6">
        <f>IFERROR(__xludf.DUMMYFUNCTION("rank(J787,FILTER(J:J,R:R=R787))"),8.0)</f>
        <v>8</v>
      </c>
      <c r="T787" s="6">
        <f t="shared" si="6"/>
        <v>4</v>
      </c>
      <c r="U787" s="6">
        <f t="shared" si="7"/>
        <v>8</v>
      </c>
      <c r="V787" s="42">
        <f>averageif(AllData!A:A,B787,AllData!R:R)/vlookup(B787,AllData!A:O,15,0)</f>
        <v>92.55128205</v>
      </c>
      <c r="W787" s="6"/>
    </row>
    <row r="788" ht="14.25" customHeight="1">
      <c r="A788" s="6" t="str">
        <f t="shared" si="1"/>
        <v>2015Buser16</v>
      </c>
      <c r="B788" s="6">
        <v>2015.0</v>
      </c>
      <c r="C788" s="6" t="s">
        <v>47</v>
      </c>
      <c r="D788" s="6" t="s">
        <v>153</v>
      </c>
      <c r="E788" s="34"/>
      <c r="F788" s="6" t="s">
        <v>2443</v>
      </c>
      <c r="G788" s="6" t="s">
        <v>125</v>
      </c>
      <c r="H788" s="6" t="s">
        <v>2414</v>
      </c>
      <c r="I788" s="35" t="s">
        <v>80</v>
      </c>
      <c r="J788" s="36">
        <v>110.7</v>
      </c>
      <c r="K788" s="36">
        <v>78.5</v>
      </c>
      <c r="L788" s="36">
        <f t="shared" si="2"/>
        <v>1</v>
      </c>
      <c r="M788" s="36" t="str">
        <f t="shared" si="3"/>
        <v>Playoffs</v>
      </c>
      <c r="N788" s="36" t="str">
        <f>IFERROR(VLOOKUP(I788,Mapped_Owner,2,0),"")</f>
        <v>Fellows</v>
      </c>
      <c r="O788" s="6">
        <f>VLOOKUP(D788,'Mapped Opponent'!$G$4:$H$22,2,0)</f>
        <v>16</v>
      </c>
      <c r="P788" s="6"/>
      <c r="Q788" s="6" t="str">
        <f t="shared" si="4"/>
        <v>Week 16</v>
      </c>
      <c r="R788" s="6" t="str">
        <f t="shared" si="5"/>
        <v>2015Round 2</v>
      </c>
      <c r="S788" s="6">
        <f>IFERROR(__xludf.DUMMYFUNCTION("rank(J788,FILTER(J:J,R:R=R788))"),3.0)</f>
        <v>3</v>
      </c>
      <c r="T788" s="6">
        <f t="shared" si="6"/>
        <v>9</v>
      </c>
      <c r="U788" s="6">
        <f t="shared" si="7"/>
        <v>3</v>
      </c>
      <c r="V788" s="42">
        <f>averageif(AllData!A:A,B788,AllData!R:R)/vlookup(B788,AllData!A:O,15,0)</f>
        <v>92.55128205</v>
      </c>
      <c r="W788" s="6"/>
    </row>
    <row r="789" ht="14.25" customHeight="1">
      <c r="A789" s="6" t="str">
        <f t="shared" si="1"/>
        <v>2015Pierson16</v>
      </c>
      <c r="B789" s="6">
        <v>2015.0</v>
      </c>
      <c r="C789" s="6" t="s">
        <v>92</v>
      </c>
      <c r="D789" s="6" t="s">
        <v>153</v>
      </c>
      <c r="E789" s="34"/>
      <c r="F789" s="6" t="s">
        <v>2444</v>
      </c>
      <c r="G789" s="6" t="s">
        <v>114</v>
      </c>
      <c r="H789" s="6" t="s">
        <v>2431</v>
      </c>
      <c r="I789" s="35" t="s">
        <v>132</v>
      </c>
      <c r="J789" s="36">
        <v>84.0</v>
      </c>
      <c r="K789" s="36">
        <v>99.4</v>
      </c>
      <c r="L789" s="36">
        <f t="shared" si="2"/>
        <v>0</v>
      </c>
      <c r="M789" s="36" t="str">
        <f t="shared" si="3"/>
        <v>Playoffs</v>
      </c>
      <c r="N789" s="36" t="str">
        <f>IFERROR(VLOOKUP(I789,Mapped_Owner,2,0),"")</f>
        <v>KnardDawg</v>
      </c>
      <c r="O789" s="6">
        <f>VLOOKUP(D789,'Mapped Opponent'!$G$4:$H$22,2,0)</f>
        <v>16</v>
      </c>
      <c r="P789" s="6"/>
      <c r="Q789" s="6" t="str">
        <f t="shared" si="4"/>
        <v>Week 16</v>
      </c>
      <c r="R789" s="6" t="str">
        <f t="shared" si="5"/>
        <v>2015Round 2</v>
      </c>
      <c r="S789" s="6">
        <f>IFERROR(__xludf.DUMMYFUNCTION("rank(J789,FILTER(J:J,R:R=R789))"),11.0)</f>
        <v>11</v>
      </c>
      <c r="T789" s="6">
        <f t="shared" si="6"/>
        <v>1</v>
      </c>
      <c r="U789" s="6">
        <f t="shared" si="7"/>
        <v>11</v>
      </c>
      <c r="V789" s="42">
        <f>averageif(AllData!A:A,B789,AllData!R:R)/vlookup(B789,AllData!A:O,15,0)</f>
        <v>92.55128205</v>
      </c>
      <c r="W789" s="6"/>
    </row>
    <row r="790" ht="14.25" customHeight="1">
      <c r="A790" s="6" t="str">
        <f t="shared" si="1"/>
        <v>2015Cock16</v>
      </c>
      <c r="B790" s="6">
        <v>2015.0</v>
      </c>
      <c r="C790" s="6" t="s">
        <v>72</v>
      </c>
      <c r="D790" s="6" t="s">
        <v>153</v>
      </c>
      <c r="E790" s="34"/>
      <c r="F790" s="6" t="s">
        <v>2445</v>
      </c>
      <c r="G790" s="6" t="s">
        <v>114</v>
      </c>
      <c r="H790" s="6" t="s">
        <v>2433</v>
      </c>
      <c r="I790" s="35" t="s">
        <v>54</v>
      </c>
      <c r="J790" s="36">
        <v>86.3</v>
      </c>
      <c r="K790" s="36">
        <v>116.9</v>
      </c>
      <c r="L790" s="36">
        <f t="shared" si="2"/>
        <v>0</v>
      </c>
      <c r="M790" s="36" t="str">
        <f t="shared" si="3"/>
        <v>Playoffs</v>
      </c>
      <c r="N790" s="36" t="str">
        <f>IFERROR(VLOOKUP(I790,Mapped_Owner,2,0),"")</f>
        <v>Tayski</v>
      </c>
      <c r="O790" s="6">
        <f>VLOOKUP(D790,'Mapped Opponent'!$G$4:$H$22,2,0)</f>
        <v>16</v>
      </c>
      <c r="P790" s="6"/>
      <c r="Q790" s="6" t="str">
        <f t="shared" si="4"/>
        <v>Week 16</v>
      </c>
      <c r="R790" s="6" t="str">
        <f t="shared" si="5"/>
        <v>2015Round 2</v>
      </c>
      <c r="S790" s="6">
        <f>IFERROR(__xludf.DUMMYFUNCTION("rank(J790,FILTER(J:J,R:R=R790))"),10.0)</f>
        <v>10</v>
      </c>
      <c r="T790" s="6">
        <f t="shared" si="6"/>
        <v>2</v>
      </c>
      <c r="U790" s="6">
        <f t="shared" si="7"/>
        <v>10</v>
      </c>
      <c r="V790" s="42">
        <f>averageif(AllData!A:A,B790,AllData!R:R)/vlookup(B790,AllData!A:O,15,0)</f>
        <v>92.55128205</v>
      </c>
      <c r="W790" s="6"/>
    </row>
    <row r="791" ht="14.25" customHeight="1">
      <c r="A791" s="6" t="str">
        <f t="shared" si="1"/>
        <v>2015Tayski16</v>
      </c>
      <c r="B791" s="6">
        <v>2015.0</v>
      </c>
      <c r="C791" s="6" t="s">
        <v>52</v>
      </c>
      <c r="D791" s="6" t="s">
        <v>153</v>
      </c>
      <c r="E791" s="34"/>
      <c r="F791" s="34" t="s">
        <v>2446</v>
      </c>
      <c r="G791" s="6" t="s">
        <v>125</v>
      </c>
      <c r="H791" s="6" t="s">
        <v>2423</v>
      </c>
      <c r="I791" s="6" t="s">
        <v>99</v>
      </c>
      <c r="J791" s="36">
        <v>116.9</v>
      </c>
      <c r="K791" s="36">
        <v>86.3</v>
      </c>
      <c r="L791" s="36">
        <f t="shared" si="2"/>
        <v>1</v>
      </c>
      <c r="M791" s="36" t="str">
        <f t="shared" si="3"/>
        <v>Playoffs</v>
      </c>
      <c r="N791" s="36" t="str">
        <f>IFERROR(VLOOKUP(I791,Mapped_Owner,2,0),"")</f>
        <v>Cock</v>
      </c>
      <c r="O791" s="6">
        <f>VLOOKUP(D791,'Mapped Opponent'!$G$4:$H$22,2,0)</f>
        <v>16</v>
      </c>
      <c r="P791" s="6"/>
      <c r="Q791" s="6" t="str">
        <f t="shared" si="4"/>
        <v>Week 16</v>
      </c>
      <c r="R791" s="6" t="str">
        <f t="shared" si="5"/>
        <v>2015Round 2</v>
      </c>
      <c r="S791" s="6">
        <f>IFERROR(__xludf.DUMMYFUNCTION("rank(J791,FILTER(J:J,R:R=R791))"),2.0)</f>
        <v>2</v>
      </c>
      <c r="T791" s="6">
        <f t="shared" si="6"/>
        <v>10</v>
      </c>
      <c r="U791" s="6">
        <f t="shared" si="7"/>
        <v>2</v>
      </c>
      <c r="V791" s="42">
        <f>averageif(AllData!A:A,B791,AllData!R:R)/vlookup(B791,AllData!A:O,15,0)</f>
        <v>92.55128205</v>
      </c>
      <c r="W791" s="6"/>
    </row>
    <row r="792" ht="14.25" customHeight="1">
      <c r="A792" s="6" t="str">
        <f t="shared" si="1"/>
        <v>2015KnardDawg16</v>
      </c>
      <c r="B792" s="6">
        <v>2015.0</v>
      </c>
      <c r="C792" s="6" t="s">
        <v>86</v>
      </c>
      <c r="D792" s="6" t="s">
        <v>153</v>
      </c>
      <c r="E792" s="34"/>
      <c r="F792" s="34" t="s">
        <v>2447</v>
      </c>
      <c r="G792" s="6" t="s">
        <v>125</v>
      </c>
      <c r="H792" s="6" t="s">
        <v>2421</v>
      </c>
      <c r="I792" s="6" t="s">
        <v>93</v>
      </c>
      <c r="J792" s="36">
        <v>99.4</v>
      </c>
      <c r="K792" s="36">
        <v>84.0</v>
      </c>
      <c r="L792" s="36">
        <f t="shared" si="2"/>
        <v>1</v>
      </c>
      <c r="M792" s="36" t="str">
        <f t="shared" si="3"/>
        <v>Playoffs</v>
      </c>
      <c r="N792" s="36" t="str">
        <f>IFERROR(VLOOKUP(I792,Mapped_Owner,2,0),"")</f>
        <v>Pierson</v>
      </c>
      <c r="O792" s="6">
        <f>VLOOKUP(D792,'Mapped Opponent'!$G$4:$H$22,2,0)</f>
        <v>16</v>
      </c>
      <c r="P792" s="6"/>
      <c r="Q792" s="6" t="str">
        <f t="shared" si="4"/>
        <v>Week 16</v>
      </c>
      <c r="R792" s="6" t="str">
        <f t="shared" si="5"/>
        <v>2015Round 2</v>
      </c>
      <c r="S792" s="6">
        <f>IFERROR(__xludf.DUMMYFUNCTION("rank(J792,FILTER(J:J,R:R=R792))"),6.0)</f>
        <v>6</v>
      </c>
      <c r="T792" s="6">
        <f t="shared" si="6"/>
        <v>6</v>
      </c>
      <c r="U792" s="6">
        <f t="shared" si="7"/>
        <v>6</v>
      </c>
      <c r="V792" s="42">
        <f>averageif(AllData!A:A,B792,AllData!R:R)/vlookup(B792,AllData!A:O,15,0)</f>
        <v>92.55128205</v>
      </c>
      <c r="W792" s="6"/>
    </row>
    <row r="793" ht="14.25" customHeight="1">
      <c r="A793" s="6" t="str">
        <f t="shared" si="1"/>
        <v>2015T-How16</v>
      </c>
      <c r="B793" s="6">
        <v>2015.0</v>
      </c>
      <c r="C793" s="6" t="s">
        <v>82</v>
      </c>
      <c r="D793" s="6" t="s">
        <v>153</v>
      </c>
      <c r="E793" s="34"/>
      <c r="F793" s="6" t="s">
        <v>2448</v>
      </c>
      <c r="G793" s="6" t="s">
        <v>2449</v>
      </c>
      <c r="H793" s="6" t="s">
        <v>2450</v>
      </c>
      <c r="I793" s="6" t="s">
        <v>85</v>
      </c>
      <c r="J793" s="36">
        <v>89.2</v>
      </c>
      <c r="K793" s="36">
        <v>109.8</v>
      </c>
      <c r="L793" s="36">
        <f t="shared" si="2"/>
        <v>0</v>
      </c>
      <c r="M793" s="36" t="str">
        <f t="shared" si="3"/>
        <v>Playoffs</v>
      </c>
      <c r="N793" s="36" t="str">
        <f>IFERROR(VLOOKUP(I793,Mapped_Owner,2,0),"")</f>
        <v>T-How</v>
      </c>
      <c r="O793" s="6">
        <f>VLOOKUP(D793,'Mapped Opponent'!$G$4:$H$22,2,0)</f>
        <v>16</v>
      </c>
      <c r="P793" s="6"/>
      <c r="Q793" s="6" t="str">
        <f t="shared" si="4"/>
        <v>Week 16</v>
      </c>
      <c r="R793" s="6" t="str">
        <f t="shared" si="5"/>
        <v>2015Round 2</v>
      </c>
      <c r="S793" s="6">
        <f>IFERROR(__xludf.DUMMYFUNCTION("rank(J793,FILTER(J:J,R:R=R793))"),9.0)</f>
        <v>9</v>
      </c>
      <c r="T793" s="6">
        <f t="shared" si="6"/>
        <v>3</v>
      </c>
      <c r="U793" s="6">
        <f t="shared" si="7"/>
        <v>9</v>
      </c>
      <c r="V793" s="42">
        <f>averageif(AllData!A:A,B793,AllData!R:R)/vlookup(B793,AllData!A:O,15,0)</f>
        <v>92.55128205</v>
      </c>
      <c r="W793" s="6"/>
    </row>
    <row r="794" ht="14.25" customHeight="1">
      <c r="A794" s="6" t="str">
        <f t="shared" si="1"/>
        <v>2015Hudspeath17</v>
      </c>
      <c r="B794" s="6">
        <v>2015.0</v>
      </c>
      <c r="C794" s="6" t="s">
        <v>39</v>
      </c>
      <c r="D794" s="6" t="s">
        <v>154</v>
      </c>
      <c r="E794" s="34"/>
      <c r="F794" s="34" t="s">
        <v>2451</v>
      </c>
      <c r="G794" s="6" t="s">
        <v>125</v>
      </c>
      <c r="H794" s="6" t="s">
        <v>2425</v>
      </c>
      <c r="I794" s="6" t="s">
        <v>91</v>
      </c>
      <c r="J794" s="36">
        <v>86.9</v>
      </c>
      <c r="K794" s="36">
        <v>90.1</v>
      </c>
      <c r="L794" s="36">
        <f t="shared" si="2"/>
        <v>0</v>
      </c>
      <c r="M794" s="36" t="str">
        <f t="shared" si="3"/>
        <v>Playoffs</v>
      </c>
      <c r="N794" s="36" t="str">
        <f>IFERROR(VLOOKUP(I794,Mapped_Owner,2,0),"")</f>
        <v>Shep</v>
      </c>
      <c r="O794" s="6">
        <f>VLOOKUP(D794,'Mapped Opponent'!$G$4:$H$22,2,0)</f>
        <v>17</v>
      </c>
      <c r="P794" s="6"/>
      <c r="Q794" s="6" t="str">
        <f t="shared" si="4"/>
        <v>Week 17</v>
      </c>
      <c r="R794" s="6" t="str">
        <f t="shared" si="5"/>
        <v>2015Round 3</v>
      </c>
      <c r="S794" s="6">
        <f>IFERROR(__xludf.DUMMYFUNCTION("rank(J794,FILTER(J:J,R:R=R794))"),8.0)</f>
        <v>8</v>
      </c>
      <c r="T794" s="6">
        <f t="shared" si="6"/>
        <v>4</v>
      </c>
      <c r="U794" s="6">
        <f t="shared" si="7"/>
        <v>8</v>
      </c>
      <c r="V794" s="42">
        <f>averageif(AllData!A:A,B794,AllData!R:R)/vlookup(B794,AllData!A:O,15,0)</f>
        <v>92.55128205</v>
      </c>
      <c r="W794" s="6"/>
    </row>
    <row r="795" ht="14.25" customHeight="1">
      <c r="A795" s="6" t="str">
        <f t="shared" si="1"/>
        <v>2015Salty17</v>
      </c>
      <c r="B795" s="6">
        <v>2015.0</v>
      </c>
      <c r="C795" s="6" t="s">
        <v>76</v>
      </c>
      <c r="D795" s="6" t="s">
        <v>154</v>
      </c>
      <c r="E795" s="34"/>
      <c r="F795" s="6" t="s">
        <v>2452</v>
      </c>
      <c r="G795" s="6" t="s">
        <v>114</v>
      </c>
      <c r="H795" s="6" t="s">
        <v>2436</v>
      </c>
      <c r="I795" s="35" t="s">
        <v>85</v>
      </c>
      <c r="J795" s="36">
        <v>101.4</v>
      </c>
      <c r="K795" s="36">
        <v>96.7</v>
      </c>
      <c r="L795" s="36">
        <f t="shared" si="2"/>
        <v>1</v>
      </c>
      <c r="M795" s="36" t="str">
        <f t="shared" si="3"/>
        <v>Playoffs</v>
      </c>
      <c r="N795" s="36" t="str">
        <f>IFERROR(VLOOKUP(I795,Mapped_Owner,2,0),"")</f>
        <v>T-How</v>
      </c>
      <c r="O795" s="6">
        <f>VLOOKUP(D795,'Mapped Opponent'!$G$4:$H$22,2,0)</f>
        <v>17</v>
      </c>
      <c r="P795" s="6"/>
      <c r="Q795" s="6" t="str">
        <f t="shared" si="4"/>
        <v>Week 17</v>
      </c>
      <c r="R795" s="6" t="str">
        <f t="shared" si="5"/>
        <v>2015Round 3</v>
      </c>
      <c r="S795" s="6">
        <f>IFERROR(__xludf.DUMMYFUNCTION("rank(J795,FILTER(J:J,R:R=R795))"),3.0)</f>
        <v>3</v>
      </c>
      <c r="T795" s="6">
        <f t="shared" si="6"/>
        <v>9</v>
      </c>
      <c r="U795" s="6">
        <f t="shared" si="7"/>
        <v>3</v>
      </c>
      <c r="V795" s="42">
        <f>averageif(AllData!A:A,B795,AllData!R:R)/vlookup(B795,AllData!A:O,15,0)</f>
        <v>92.55128205</v>
      </c>
      <c r="W795" s="6"/>
    </row>
    <row r="796" ht="14.25" customHeight="1">
      <c r="A796" s="6" t="str">
        <f t="shared" si="1"/>
        <v>2015Fellows17</v>
      </c>
      <c r="B796" s="6">
        <v>2015.0</v>
      </c>
      <c r="C796" s="6" t="s">
        <v>79</v>
      </c>
      <c r="D796" s="6" t="s">
        <v>154</v>
      </c>
      <c r="E796" s="34"/>
      <c r="F796" s="6" t="s">
        <v>2453</v>
      </c>
      <c r="G796" s="6" t="s">
        <v>114</v>
      </c>
      <c r="H796" s="6" t="s">
        <v>2419</v>
      </c>
      <c r="I796" s="35" t="s">
        <v>50</v>
      </c>
      <c r="J796" s="36">
        <v>87.5</v>
      </c>
      <c r="K796" s="36">
        <v>77.8</v>
      </c>
      <c r="L796" s="36">
        <f t="shared" si="2"/>
        <v>1</v>
      </c>
      <c r="M796" s="36" t="str">
        <f t="shared" si="3"/>
        <v>Playoffs</v>
      </c>
      <c r="N796" s="36" t="str">
        <f>IFERROR(VLOOKUP(I796,Mapped_Owner,2,0),"")</f>
        <v>Buser</v>
      </c>
      <c r="O796" s="6">
        <f>VLOOKUP(D796,'Mapped Opponent'!$G$4:$H$22,2,0)</f>
        <v>17</v>
      </c>
      <c r="P796" s="6"/>
      <c r="Q796" s="6" t="str">
        <f t="shared" si="4"/>
        <v>Week 17</v>
      </c>
      <c r="R796" s="6" t="str">
        <f t="shared" si="5"/>
        <v>2015Round 3</v>
      </c>
      <c r="S796" s="6">
        <f>IFERROR(__xludf.DUMMYFUNCTION("rank(J796,FILTER(J:J,R:R=R796))"),7.0)</f>
        <v>7</v>
      </c>
      <c r="T796" s="6">
        <f t="shared" si="6"/>
        <v>5</v>
      </c>
      <c r="U796" s="6">
        <f t="shared" si="7"/>
        <v>7</v>
      </c>
      <c r="V796" s="42">
        <f>averageif(AllData!A:A,B796,AllData!R:R)/vlookup(B796,AllData!A:O,15,0)</f>
        <v>92.55128205</v>
      </c>
      <c r="W796" s="6"/>
    </row>
    <row r="797" ht="14.25" customHeight="1">
      <c r="A797" s="6" t="str">
        <f t="shared" si="1"/>
        <v>2015Shep17</v>
      </c>
      <c r="B797" s="6">
        <v>2015.0</v>
      </c>
      <c r="C797" s="6" t="s">
        <v>89</v>
      </c>
      <c r="D797" s="6" t="s">
        <v>154</v>
      </c>
      <c r="E797" s="34"/>
      <c r="F797" s="6" t="s">
        <v>2454</v>
      </c>
      <c r="G797" s="6" t="s">
        <v>114</v>
      </c>
      <c r="H797" s="6" t="s">
        <v>2417</v>
      </c>
      <c r="I797" s="35" t="s">
        <v>64</v>
      </c>
      <c r="J797" s="36">
        <v>90.1</v>
      </c>
      <c r="K797" s="36">
        <v>86.9</v>
      </c>
      <c r="L797" s="36">
        <f t="shared" si="2"/>
        <v>1</v>
      </c>
      <c r="M797" s="36" t="str">
        <f t="shared" si="3"/>
        <v>Playoffs</v>
      </c>
      <c r="N797" s="36" t="str">
        <f>IFERROR(VLOOKUP(I797,Mapped_Owner,2,0),"")</f>
        <v>Hudspeath</v>
      </c>
      <c r="O797" s="6">
        <f>VLOOKUP(D797,'Mapped Opponent'!$G$4:$H$22,2,0)</f>
        <v>17</v>
      </c>
      <c r="P797" s="6"/>
      <c r="Q797" s="6" t="str">
        <f t="shared" si="4"/>
        <v>Week 17</v>
      </c>
      <c r="R797" s="6" t="str">
        <f t="shared" si="5"/>
        <v>2015Round 3</v>
      </c>
      <c r="S797" s="6">
        <f>IFERROR(__xludf.DUMMYFUNCTION("rank(J797,FILTER(J:J,R:R=R797))"),6.0)</f>
        <v>6</v>
      </c>
      <c r="T797" s="6">
        <f t="shared" si="6"/>
        <v>6</v>
      </c>
      <c r="U797" s="6">
        <f t="shared" si="7"/>
        <v>6</v>
      </c>
      <c r="V797" s="42">
        <f>averageif(AllData!A:A,B797,AllData!R:R)/vlookup(B797,AllData!A:O,15,0)</f>
        <v>92.55128205</v>
      </c>
      <c r="W797" s="6"/>
    </row>
    <row r="798" ht="14.25" customHeight="1">
      <c r="A798" s="6" t="str">
        <f t="shared" si="1"/>
        <v>2015Riley17</v>
      </c>
      <c r="B798" s="6">
        <v>2015.0</v>
      </c>
      <c r="C798" s="6" t="s">
        <v>67</v>
      </c>
      <c r="D798" s="6" t="s">
        <v>154</v>
      </c>
      <c r="E798" s="34"/>
      <c r="F798" s="6" t="s">
        <v>2455</v>
      </c>
      <c r="G798" s="6" t="s">
        <v>114</v>
      </c>
      <c r="H798" s="6" t="s">
        <v>2421</v>
      </c>
      <c r="I798" s="35" t="s">
        <v>93</v>
      </c>
      <c r="J798" s="36">
        <v>66.8</v>
      </c>
      <c r="K798" s="36">
        <v>131.6</v>
      </c>
      <c r="L798" s="36">
        <f t="shared" si="2"/>
        <v>0</v>
      </c>
      <c r="M798" s="36" t="str">
        <f t="shared" si="3"/>
        <v>Playoffs</v>
      </c>
      <c r="N798" s="36" t="str">
        <f>IFERROR(VLOOKUP(I798,Mapped_Owner,2,0),"")</f>
        <v>Pierson</v>
      </c>
      <c r="O798" s="6">
        <f>VLOOKUP(D798,'Mapped Opponent'!$G$4:$H$22,2,0)</f>
        <v>17</v>
      </c>
      <c r="P798" s="6"/>
      <c r="Q798" s="6" t="str">
        <f t="shared" si="4"/>
        <v>Week 17</v>
      </c>
      <c r="R798" s="6" t="str">
        <f t="shared" si="5"/>
        <v>2015Round 3</v>
      </c>
      <c r="S798" s="6">
        <f>IFERROR(__xludf.DUMMYFUNCTION("rank(J798,FILTER(J:J,R:R=R798))"),11.0)</f>
        <v>11</v>
      </c>
      <c r="T798" s="6">
        <f t="shared" si="6"/>
        <v>1</v>
      </c>
      <c r="U798" s="6">
        <f t="shared" si="7"/>
        <v>11</v>
      </c>
      <c r="V798" s="42">
        <f>averageif(AllData!A:A,B798,AllData!R:R)/vlookup(B798,AllData!A:O,15,0)</f>
        <v>92.55128205</v>
      </c>
      <c r="W798" s="6"/>
    </row>
    <row r="799" ht="14.25" customHeight="1">
      <c r="A799" s="6" t="str">
        <f t="shared" si="1"/>
        <v>2015Rooney/Jackson17</v>
      </c>
      <c r="B799" s="6">
        <v>2015.0</v>
      </c>
      <c r="C799" s="6" t="s">
        <v>57</v>
      </c>
      <c r="D799" s="6" t="s">
        <v>154</v>
      </c>
      <c r="E799" s="34"/>
      <c r="F799" s="6" t="s">
        <v>2456</v>
      </c>
      <c r="G799" s="6" t="s">
        <v>125</v>
      </c>
      <c r="H799" s="6" t="s">
        <v>2423</v>
      </c>
      <c r="I799" s="35" t="s">
        <v>99</v>
      </c>
      <c r="J799" s="36">
        <v>93.2</v>
      </c>
      <c r="K799" s="36">
        <v>80.1</v>
      </c>
      <c r="L799" s="36">
        <f t="shared" si="2"/>
        <v>1</v>
      </c>
      <c r="M799" s="36" t="str">
        <f t="shared" si="3"/>
        <v>Playoffs</v>
      </c>
      <c r="N799" s="36" t="str">
        <f>IFERROR(VLOOKUP(I799,Mapped_Owner,2,0),"")</f>
        <v>Cock</v>
      </c>
      <c r="O799" s="6">
        <f>VLOOKUP(D799,'Mapped Opponent'!$G$4:$H$22,2,0)</f>
        <v>17</v>
      </c>
      <c r="P799" s="6"/>
      <c r="Q799" s="6" t="str">
        <f t="shared" si="4"/>
        <v>Week 17</v>
      </c>
      <c r="R799" s="6" t="str">
        <f t="shared" si="5"/>
        <v>2015Round 3</v>
      </c>
      <c r="S799" s="6">
        <f>IFERROR(__xludf.DUMMYFUNCTION("rank(J799,FILTER(J:J,R:R=R799))"),5.0)</f>
        <v>5</v>
      </c>
      <c r="T799" s="6">
        <f t="shared" si="6"/>
        <v>7</v>
      </c>
      <c r="U799" s="6">
        <f t="shared" si="7"/>
        <v>5</v>
      </c>
      <c r="V799" s="42">
        <f>averageif(AllData!A:A,B799,AllData!R:R)/vlookup(B799,AllData!A:O,15,0)</f>
        <v>92.55128205</v>
      </c>
      <c r="W799" s="6"/>
    </row>
    <row r="800" ht="14.25" customHeight="1">
      <c r="A800" s="6" t="str">
        <f t="shared" si="1"/>
        <v>2015Buser17</v>
      </c>
      <c r="B800" s="6">
        <v>2015.0</v>
      </c>
      <c r="C800" s="6" t="s">
        <v>47</v>
      </c>
      <c r="D800" s="6" t="s">
        <v>154</v>
      </c>
      <c r="E800" s="34"/>
      <c r="F800" s="6" t="s">
        <v>2457</v>
      </c>
      <c r="G800" s="6" t="s">
        <v>125</v>
      </c>
      <c r="H800" s="6" t="s">
        <v>2414</v>
      </c>
      <c r="I800" s="35" t="s">
        <v>80</v>
      </c>
      <c r="J800" s="36">
        <v>77.8</v>
      </c>
      <c r="K800" s="36">
        <v>87.5</v>
      </c>
      <c r="L800" s="36">
        <f t="shared" si="2"/>
        <v>0</v>
      </c>
      <c r="M800" s="36" t="str">
        <f t="shared" si="3"/>
        <v>Playoffs</v>
      </c>
      <c r="N800" s="36" t="str">
        <f>IFERROR(VLOOKUP(I800,Mapped_Owner,2,0),"")</f>
        <v>Fellows</v>
      </c>
      <c r="O800" s="6">
        <f>VLOOKUP(D800,'Mapped Opponent'!$G$4:$H$22,2,0)</f>
        <v>17</v>
      </c>
      <c r="P800" s="6"/>
      <c r="Q800" s="6" t="str">
        <f t="shared" si="4"/>
        <v>Week 17</v>
      </c>
      <c r="R800" s="6" t="str">
        <f t="shared" si="5"/>
        <v>2015Round 3</v>
      </c>
      <c r="S800" s="6">
        <f>IFERROR(__xludf.DUMMYFUNCTION("rank(J800,FILTER(J:J,R:R=R800))"),10.0)</f>
        <v>10</v>
      </c>
      <c r="T800" s="6">
        <f t="shared" si="6"/>
        <v>2</v>
      </c>
      <c r="U800" s="6">
        <f t="shared" si="7"/>
        <v>10</v>
      </c>
      <c r="V800" s="42">
        <f>averageif(AllData!A:A,B800,AllData!R:R)/vlookup(B800,AllData!A:O,15,0)</f>
        <v>92.55128205</v>
      </c>
      <c r="W800" s="6"/>
    </row>
    <row r="801" ht="14.25" customHeight="1">
      <c r="A801" s="6" t="str">
        <f t="shared" si="1"/>
        <v>2015Pierson17</v>
      </c>
      <c r="B801" s="6">
        <v>2015.0</v>
      </c>
      <c r="C801" s="6" t="s">
        <v>92</v>
      </c>
      <c r="D801" s="6" t="s">
        <v>154</v>
      </c>
      <c r="E801" s="34"/>
      <c r="F801" s="6" t="s">
        <v>2458</v>
      </c>
      <c r="G801" s="6" t="s">
        <v>125</v>
      </c>
      <c r="H801" s="6" t="s">
        <v>2427</v>
      </c>
      <c r="I801" s="35" t="s">
        <v>68</v>
      </c>
      <c r="J801" s="36">
        <v>131.6</v>
      </c>
      <c r="K801" s="36">
        <v>66.8</v>
      </c>
      <c r="L801" s="36">
        <f t="shared" si="2"/>
        <v>1</v>
      </c>
      <c r="M801" s="36" t="str">
        <f t="shared" si="3"/>
        <v>Playoffs</v>
      </c>
      <c r="N801" s="36" t="str">
        <f>IFERROR(VLOOKUP(I801,Mapped_Owner,2,0),"")</f>
        <v>Riley</v>
      </c>
      <c r="O801" s="6">
        <f>VLOOKUP(D801,'Mapped Opponent'!$G$4:$H$22,2,0)</f>
        <v>17</v>
      </c>
      <c r="P801" s="6"/>
      <c r="Q801" s="6" t="str">
        <f t="shared" si="4"/>
        <v>Week 17</v>
      </c>
      <c r="R801" s="6" t="str">
        <f t="shared" si="5"/>
        <v>2015Round 3</v>
      </c>
      <c r="S801" s="6">
        <f>IFERROR(__xludf.DUMMYFUNCTION("rank(J801,FILTER(J:J,R:R=R801))"),1.0)</f>
        <v>1</v>
      </c>
      <c r="T801" s="6">
        <f t="shared" si="6"/>
        <v>11</v>
      </c>
      <c r="U801" s="6">
        <f t="shared" si="7"/>
        <v>1</v>
      </c>
      <c r="V801" s="42">
        <f>averageif(AllData!A:A,B801,AllData!R:R)/vlookup(B801,AllData!A:O,15,0)</f>
        <v>92.55128205</v>
      </c>
      <c r="W801" s="6"/>
    </row>
    <row r="802" ht="14.25" customHeight="1">
      <c r="A802" s="6" t="str">
        <f t="shared" si="1"/>
        <v>2015Cock17</v>
      </c>
      <c r="B802" s="6">
        <v>2015.0</v>
      </c>
      <c r="C802" s="6" t="s">
        <v>72</v>
      </c>
      <c r="D802" s="6" t="s">
        <v>154</v>
      </c>
      <c r="E802" s="34"/>
      <c r="F802" s="6" t="s">
        <v>2459</v>
      </c>
      <c r="G802" s="6" t="s">
        <v>114</v>
      </c>
      <c r="H802" s="6" t="s">
        <v>2429</v>
      </c>
      <c r="I802" s="35" t="s">
        <v>58</v>
      </c>
      <c r="J802" s="36">
        <v>80.1</v>
      </c>
      <c r="K802" s="36">
        <v>93.2</v>
      </c>
      <c r="L802" s="36">
        <f t="shared" si="2"/>
        <v>0</v>
      </c>
      <c r="M802" s="36" t="str">
        <f t="shared" si="3"/>
        <v>Playoffs</v>
      </c>
      <c r="N802" s="36" t="str">
        <f>IFERROR(VLOOKUP(I802,Mapped_Owner,2,0),"")</f>
        <v>Rooney/Jackson</v>
      </c>
      <c r="O802" s="6">
        <f>VLOOKUP(D802,'Mapped Opponent'!$G$4:$H$22,2,0)</f>
        <v>17</v>
      </c>
      <c r="P802" s="6"/>
      <c r="Q802" s="6" t="str">
        <f t="shared" si="4"/>
        <v>Week 17</v>
      </c>
      <c r="R802" s="6" t="str">
        <f t="shared" si="5"/>
        <v>2015Round 3</v>
      </c>
      <c r="S802" s="6">
        <f>IFERROR(__xludf.DUMMYFUNCTION("rank(J802,FILTER(J:J,R:R=R802))"),9.0)</f>
        <v>9</v>
      </c>
      <c r="T802" s="6">
        <f t="shared" si="6"/>
        <v>3</v>
      </c>
      <c r="U802" s="6">
        <f t="shared" si="7"/>
        <v>9</v>
      </c>
      <c r="V802" s="42">
        <f>averageif(AllData!A:A,B802,AllData!R:R)/vlookup(B802,AllData!A:O,15,0)</f>
        <v>92.55128205</v>
      </c>
      <c r="W802" s="6"/>
    </row>
    <row r="803" ht="14.25" customHeight="1">
      <c r="A803" s="6" t="str">
        <f t="shared" si="1"/>
        <v>2015Tayski17</v>
      </c>
      <c r="B803" s="6">
        <v>2015.0</v>
      </c>
      <c r="C803" s="6" t="s">
        <v>52</v>
      </c>
      <c r="D803" s="6" t="s">
        <v>154</v>
      </c>
      <c r="E803" s="34"/>
      <c r="F803" s="34" t="s">
        <v>2460</v>
      </c>
      <c r="G803" s="6" t="s">
        <v>114</v>
      </c>
      <c r="H803" s="6" t="s">
        <v>2431</v>
      </c>
      <c r="I803" s="6" t="s">
        <v>132</v>
      </c>
      <c r="J803" s="36">
        <v>121.1</v>
      </c>
      <c r="K803" s="36">
        <v>43.8</v>
      </c>
      <c r="L803" s="36">
        <f t="shared" si="2"/>
        <v>1</v>
      </c>
      <c r="M803" s="36" t="str">
        <f t="shared" si="3"/>
        <v>Playoffs</v>
      </c>
      <c r="N803" s="36" t="str">
        <f>IFERROR(VLOOKUP(I803,Mapped_Owner,2,0),"")</f>
        <v>KnardDawg</v>
      </c>
      <c r="O803" s="6">
        <f>VLOOKUP(D803,'Mapped Opponent'!$G$4:$H$22,2,0)</f>
        <v>17</v>
      </c>
      <c r="P803" s="6"/>
      <c r="Q803" s="6" t="str">
        <f t="shared" si="4"/>
        <v>Week 17</v>
      </c>
      <c r="R803" s="6" t="str">
        <f t="shared" si="5"/>
        <v>2015Round 3</v>
      </c>
      <c r="S803" s="6">
        <f>IFERROR(__xludf.DUMMYFUNCTION("rank(J803,FILTER(J:J,R:R=R803))"),2.0)</f>
        <v>2</v>
      </c>
      <c r="T803" s="6">
        <f t="shared" si="6"/>
        <v>10</v>
      </c>
      <c r="U803" s="6">
        <f t="shared" si="7"/>
        <v>2</v>
      </c>
      <c r="V803" s="42">
        <f>averageif(AllData!A:A,B803,AllData!R:R)/vlookup(B803,AllData!A:O,15,0)</f>
        <v>92.55128205</v>
      </c>
      <c r="W803" s="6"/>
    </row>
    <row r="804" ht="14.25" customHeight="1">
      <c r="A804" s="6" t="str">
        <f t="shared" si="1"/>
        <v>2015KnardDawg17</v>
      </c>
      <c r="B804" s="6">
        <v>2015.0</v>
      </c>
      <c r="C804" s="6" t="s">
        <v>86</v>
      </c>
      <c r="D804" s="6" t="s">
        <v>154</v>
      </c>
      <c r="E804" s="34"/>
      <c r="F804" s="34" t="s">
        <v>2461</v>
      </c>
      <c r="G804" s="6" t="s">
        <v>125</v>
      </c>
      <c r="H804" s="6" t="s">
        <v>2433</v>
      </c>
      <c r="I804" s="6" t="s">
        <v>54</v>
      </c>
      <c r="J804" s="36">
        <v>43.8</v>
      </c>
      <c r="K804" s="36">
        <v>121.1</v>
      </c>
      <c r="L804" s="36">
        <f t="shared" si="2"/>
        <v>0</v>
      </c>
      <c r="M804" s="36" t="str">
        <f t="shared" si="3"/>
        <v>Playoffs</v>
      </c>
      <c r="N804" s="36" t="str">
        <f>IFERROR(VLOOKUP(I804,Mapped_Owner,2,0),"")</f>
        <v>Tayski</v>
      </c>
      <c r="O804" s="6">
        <f>VLOOKUP(D804,'Mapped Opponent'!$G$4:$H$22,2,0)</f>
        <v>17</v>
      </c>
      <c r="P804" s="6"/>
      <c r="Q804" s="6" t="str">
        <f t="shared" si="4"/>
        <v>Week 17</v>
      </c>
      <c r="R804" s="6" t="str">
        <f t="shared" si="5"/>
        <v>2015Round 3</v>
      </c>
      <c r="S804" s="6">
        <f>IFERROR(__xludf.DUMMYFUNCTION("rank(J804,FILTER(J:J,R:R=R804))"),12.0)</f>
        <v>12</v>
      </c>
      <c r="T804" s="6">
        <f t="shared" si="6"/>
        <v>0</v>
      </c>
      <c r="U804" s="6">
        <f t="shared" si="7"/>
        <v>12</v>
      </c>
      <c r="V804" s="42">
        <f>averageif(AllData!A:A,B804,AllData!R:R)/vlookup(B804,AllData!A:O,15,0)</f>
        <v>92.55128205</v>
      </c>
      <c r="W804" s="6"/>
    </row>
    <row r="805" ht="14.25" customHeight="1">
      <c r="A805" s="6" t="str">
        <f t="shared" si="1"/>
        <v>2015T-How17</v>
      </c>
      <c r="B805" s="6">
        <v>2015.0</v>
      </c>
      <c r="C805" s="6" t="s">
        <v>82</v>
      </c>
      <c r="D805" s="6" t="s">
        <v>154</v>
      </c>
      <c r="E805" s="34"/>
      <c r="F805" s="6" t="s">
        <v>2463</v>
      </c>
      <c r="H805" s="6" t="s">
        <v>2464</v>
      </c>
      <c r="I805" s="6" t="s">
        <v>80</v>
      </c>
      <c r="J805" s="36">
        <v>96.7</v>
      </c>
      <c r="K805" s="36">
        <v>101.4</v>
      </c>
      <c r="L805" s="36">
        <f t="shared" si="2"/>
        <v>0</v>
      </c>
      <c r="M805" s="36" t="str">
        <f t="shared" si="3"/>
        <v>Playoffs</v>
      </c>
      <c r="N805" s="36" t="str">
        <f>IFERROR(VLOOKUP(I805,Mapped_Owner,2,0),"")</f>
        <v>Fellows</v>
      </c>
      <c r="O805" s="6">
        <f>VLOOKUP(D805,'Mapped Opponent'!$G$4:$H$22,2,0)</f>
        <v>17</v>
      </c>
      <c r="P805" s="6"/>
      <c r="Q805" s="6" t="str">
        <f t="shared" si="4"/>
        <v>Week 17</v>
      </c>
      <c r="R805" s="6" t="str">
        <f t="shared" si="5"/>
        <v>2015Round 3</v>
      </c>
      <c r="S805" s="6">
        <f>IFERROR(__xludf.DUMMYFUNCTION("rank(J805,FILTER(J:J,R:R=R805))"),4.0)</f>
        <v>4</v>
      </c>
      <c r="T805" s="6">
        <f t="shared" si="6"/>
        <v>8</v>
      </c>
      <c r="U805" s="6">
        <f t="shared" si="7"/>
        <v>4</v>
      </c>
      <c r="V805" s="42">
        <f>averageif(AllData!A:A,B805,AllData!R:R)/vlookup(B805,AllData!A:O,15,0)</f>
        <v>92.55128205</v>
      </c>
      <c r="W805" s="6"/>
    </row>
    <row r="806" ht="14.25" customHeight="1">
      <c r="A806" s="6" t="str">
        <f t="shared" si="1"/>
        <v>2015Hudspeath1</v>
      </c>
      <c r="B806" s="6">
        <v>2015.0</v>
      </c>
      <c r="C806" s="6" t="s">
        <v>39</v>
      </c>
      <c r="D806" s="6" t="s">
        <v>129</v>
      </c>
      <c r="E806" s="34"/>
      <c r="F806" s="34" t="s">
        <v>2466</v>
      </c>
      <c r="G806" s="6" t="s">
        <v>114</v>
      </c>
      <c r="H806" s="6" t="s">
        <v>2423</v>
      </c>
      <c r="I806" s="6" t="s">
        <v>99</v>
      </c>
      <c r="J806" s="36">
        <v>115.3</v>
      </c>
      <c r="K806" s="36">
        <v>86.5</v>
      </c>
      <c r="L806" s="36">
        <f t="shared" si="2"/>
        <v>1</v>
      </c>
      <c r="M806" s="36" t="str">
        <f t="shared" si="3"/>
        <v>Regular Season</v>
      </c>
      <c r="N806" s="36" t="str">
        <f>IFERROR(VLOOKUP(I806,Mapped_Owner,2,0),"")</f>
        <v>Cock</v>
      </c>
      <c r="O806" s="6">
        <f>VLOOKUP(D806,'Mapped Opponent'!$G$4:$H$22,2,0)</f>
        <v>1</v>
      </c>
      <c r="P806" s="6"/>
      <c r="Q806" s="6" t="str">
        <f t="shared" si="4"/>
        <v>Week 1</v>
      </c>
      <c r="R806" s="6" t="str">
        <f t="shared" si="5"/>
        <v>2015Week 1</v>
      </c>
      <c r="S806" s="6">
        <f>IFERROR(__xludf.DUMMYFUNCTION("rank(J806,FILTER(J:J,R:R=R806))"),2.0)</f>
        <v>2</v>
      </c>
      <c r="T806" s="6">
        <f t="shared" si="6"/>
        <v>10</v>
      </c>
      <c r="U806" s="6">
        <f t="shared" si="7"/>
        <v>2</v>
      </c>
      <c r="V806" s="42">
        <f>averageif(AllData!A:A,B806,AllData!R:R)/vlookup(B806,AllData!A:O,15,0)</f>
        <v>92.55128205</v>
      </c>
      <c r="W806" s="6"/>
    </row>
    <row r="807" ht="14.25" customHeight="1">
      <c r="A807" s="6" t="str">
        <f t="shared" si="1"/>
        <v>2015Salty1</v>
      </c>
      <c r="B807" s="6">
        <v>2015.0</v>
      </c>
      <c r="C807" s="6" t="s">
        <v>76</v>
      </c>
      <c r="D807" s="6" t="s">
        <v>129</v>
      </c>
      <c r="E807" s="34"/>
      <c r="F807" s="6" t="s">
        <v>2467</v>
      </c>
      <c r="G807" s="6" t="s">
        <v>125</v>
      </c>
      <c r="H807" s="6" t="s">
        <v>2421</v>
      </c>
      <c r="I807" s="35" t="s">
        <v>93</v>
      </c>
      <c r="J807" s="36">
        <v>104.3</v>
      </c>
      <c r="K807" s="36">
        <v>79.1</v>
      </c>
      <c r="L807" s="36">
        <f t="shared" si="2"/>
        <v>1</v>
      </c>
      <c r="M807" s="36" t="str">
        <f t="shared" si="3"/>
        <v>Regular Season</v>
      </c>
      <c r="N807" s="36" t="str">
        <f>IFERROR(VLOOKUP(I807,Mapped_Owner,2,0),"")</f>
        <v>Pierson</v>
      </c>
      <c r="O807" s="6">
        <f>VLOOKUP(D807,'Mapped Opponent'!$G$4:$H$22,2,0)</f>
        <v>1</v>
      </c>
      <c r="P807" s="6"/>
      <c r="Q807" s="6" t="str">
        <f t="shared" si="4"/>
        <v>Week 1</v>
      </c>
      <c r="R807" s="6" t="str">
        <f t="shared" si="5"/>
        <v>2015Week 1</v>
      </c>
      <c r="S807" s="6">
        <f>IFERROR(__xludf.DUMMYFUNCTION("rank(J807,FILTER(J:J,R:R=R807))"),6.0)</f>
        <v>6</v>
      </c>
      <c r="T807" s="6">
        <f t="shared" si="6"/>
        <v>6</v>
      </c>
      <c r="U807" s="6">
        <f t="shared" si="7"/>
        <v>6</v>
      </c>
      <c r="V807" s="42">
        <f>averageif(AllData!A:A,B807,AllData!R:R)/vlookup(B807,AllData!A:O,15,0)</f>
        <v>92.55128205</v>
      </c>
      <c r="W807" s="6"/>
    </row>
    <row r="808" ht="14.25" customHeight="1">
      <c r="A808" s="6" t="str">
        <f t="shared" si="1"/>
        <v>2015Fellows1</v>
      </c>
      <c r="B808" s="6">
        <v>2015.0</v>
      </c>
      <c r="C808" s="6" t="s">
        <v>79</v>
      </c>
      <c r="D808" s="6" t="s">
        <v>129</v>
      </c>
      <c r="E808" s="6"/>
      <c r="F808" s="6" t="s">
        <v>2468</v>
      </c>
      <c r="G808" s="6" t="s">
        <v>125</v>
      </c>
      <c r="H808" s="35" t="s">
        <v>2436</v>
      </c>
      <c r="I808" s="180" t="s">
        <v>85</v>
      </c>
      <c r="J808" s="36">
        <v>73.0</v>
      </c>
      <c r="K808" s="36">
        <v>115.0</v>
      </c>
      <c r="L808" s="36">
        <f t="shared" si="2"/>
        <v>0</v>
      </c>
      <c r="M808" s="36" t="str">
        <f t="shared" si="3"/>
        <v>Regular Season</v>
      </c>
      <c r="N808" s="36" t="str">
        <f>IFERROR(VLOOKUP(I808,Mapped_Owner,2,0),"")</f>
        <v>T-How</v>
      </c>
      <c r="O808" s="6">
        <f>VLOOKUP(D808,'Mapped Opponent'!$G$4:$H$22,2,0)</f>
        <v>1</v>
      </c>
      <c r="P808" s="6"/>
      <c r="Q808" s="6" t="str">
        <f t="shared" si="4"/>
        <v>Week 1</v>
      </c>
      <c r="R808" s="6" t="str">
        <f t="shared" si="5"/>
        <v>2015Week 1</v>
      </c>
      <c r="S808" s="6">
        <f>IFERROR(__xludf.DUMMYFUNCTION("rank(J808,FILTER(J:J,R:R=R808))"),10.0)</f>
        <v>10</v>
      </c>
      <c r="T808" s="6">
        <f t="shared" si="6"/>
        <v>2</v>
      </c>
      <c r="U808" s="6">
        <f t="shared" si="7"/>
        <v>10</v>
      </c>
      <c r="V808" s="42">
        <f>averageif(AllData!A:A,B808,AllData!R:R)/vlookup(B808,AllData!A:O,15,0)</f>
        <v>92.55128205</v>
      </c>
      <c r="W808" s="6"/>
    </row>
    <row r="809" ht="14.25" customHeight="1">
      <c r="A809" s="6" t="str">
        <f t="shared" si="1"/>
        <v>2015Shep1</v>
      </c>
      <c r="B809" s="6">
        <v>2015.0</v>
      </c>
      <c r="C809" s="6" t="s">
        <v>89</v>
      </c>
      <c r="D809" s="6" t="s">
        <v>129</v>
      </c>
      <c r="E809" s="34"/>
      <c r="F809" s="6" t="s">
        <v>2469</v>
      </c>
      <c r="G809" s="6" t="s">
        <v>125</v>
      </c>
      <c r="H809" s="6" t="s">
        <v>2431</v>
      </c>
      <c r="I809" s="35" t="s">
        <v>132</v>
      </c>
      <c r="J809" s="36">
        <v>46.2</v>
      </c>
      <c r="K809" s="36">
        <v>63.7</v>
      </c>
      <c r="L809" s="36">
        <f t="shared" si="2"/>
        <v>0</v>
      </c>
      <c r="M809" s="36" t="str">
        <f t="shared" si="3"/>
        <v>Regular Season</v>
      </c>
      <c r="N809" s="36" t="str">
        <f>IFERROR(VLOOKUP(I809,Mapped_Owner,2,0),"")</f>
        <v>KnardDawg</v>
      </c>
      <c r="O809" s="6">
        <f>VLOOKUP(D809,'Mapped Opponent'!$G$4:$H$22,2,0)</f>
        <v>1</v>
      </c>
      <c r="P809" s="6"/>
      <c r="Q809" s="6" t="str">
        <f t="shared" si="4"/>
        <v>Week 1</v>
      </c>
      <c r="R809" s="6" t="str">
        <f t="shared" si="5"/>
        <v>2015Week 1</v>
      </c>
      <c r="S809" s="6">
        <f>IFERROR(__xludf.DUMMYFUNCTION("rank(J809,FILTER(J:J,R:R=R809))"),12.0)</f>
        <v>12</v>
      </c>
      <c r="T809" s="6">
        <f t="shared" si="6"/>
        <v>0</v>
      </c>
      <c r="U809" s="6">
        <f t="shared" si="7"/>
        <v>12</v>
      </c>
      <c r="V809" s="42">
        <f>averageif(AllData!A:A,B809,AllData!R:R)/vlookup(B809,AllData!A:O,15,0)</f>
        <v>92.55128205</v>
      </c>
      <c r="W809" s="6"/>
    </row>
    <row r="810" ht="14.25" customHeight="1">
      <c r="A810" s="6" t="str">
        <f t="shared" si="1"/>
        <v>2015Riley1</v>
      </c>
      <c r="B810" s="6">
        <v>2015.0</v>
      </c>
      <c r="C810" s="6" t="s">
        <v>67</v>
      </c>
      <c r="D810" s="6" t="s">
        <v>129</v>
      </c>
      <c r="E810" s="34"/>
      <c r="F810" s="6" t="s">
        <v>2470</v>
      </c>
      <c r="G810" s="6" t="s">
        <v>114</v>
      </c>
      <c r="H810" s="6" t="s">
        <v>2433</v>
      </c>
      <c r="I810" s="35" t="s">
        <v>54</v>
      </c>
      <c r="J810" s="36">
        <v>106.6</v>
      </c>
      <c r="K810" s="36">
        <v>112.5</v>
      </c>
      <c r="L810" s="36">
        <f t="shared" si="2"/>
        <v>0</v>
      </c>
      <c r="M810" s="36" t="str">
        <f t="shared" si="3"/>
        <v>Regular Season</v>
      </c>
      <c r="N810" s="36" t="str">
        <f>IFERROR(VLOOKUP(I810,Mapped_Owner,2,0),"")</f>
        <v>Tayski</v>
      </c>
      <c r="O810" s="6">
        <f>VLOOKUP(D810,'Mapped Opponent'!$G$4:$H$22,2,0)</f>
        <v>1</v>
      </c>
      <c r="P810" s="6"/>
      <c r="Q810" s="6" t="str">
        <f t="shared" si="4"/>
        <v>Week 1</v>
      </c>
      <c r="R810" s="6" t="str">
        <f t="shared" si="5"/>
        <v>2015Week 1</v>
      </c>
      <c r="S810" s="6">
        <f>IFERROR(__xludf.DUMMYFUNCTION("rank(J810,FILTER(J:J,R:R=R810))"),5.0)</f>
        <v>5</v>
      </c>
      <c r="T810" s="6">
        <f t="shared" si="6"/>
        <v>7</v>
      </c>
      <c r="U810" s="6">
        <f t="shared" si="7"/>
        <v>5</v>
      </c>
      <c r="V810" s="42">
        <f>averageif(AllData!A:A,B810,AllData!R:R)/vlookup(B810,AllData!A:O,15,0)</f>
        <v>92.55128205</v>
      </c>
      <c r="W810" s="6"/>
    </row>
    <row r="811" ht="14.25" customHeight="1">
      <c r="A811" s="6" t="str">
        <f t="shared" si="1"/>
        <v>2015Rooney/Jackson1</v>
      </c>
      <c r="B811" s="6">
        <v>2015.0</v>
      </c>
      <c r="C811" s="6" t="s">
        <v>57</v>
      </c>
      <c r="D811" s="6" t="s">
        <v>129</v>
      </c>
      <c r="E811" s="34"/>
      <c r="F811" s="6" t="s">
        <v>2471</v>
      </c>
      <c r="G811" s="6" t="s">
        <v>114</v>
      </c>
      <c r="H811" s="6" t="s">
        <v>2419</v>
      </c>
      <c r="I811" s="35" t="s">
        <v>50</v>
      </c>
      <c r="J811" s="36">
        <v>81.9</v>
      </c>
      <c r="K811" s="36">
        <v>137.1</v>
      </c>
      <c r="L811" s="36">
        <f t="shared" si="2"/>
        <v>0</v>
      </c>
      <c r="M811" s="36" t="str">
        <f t="shared" si="3"/>
        <v>Regular Season</v>
      </c>
      <c r="N811" s="36" t="str">
        <f>IFERROR(VLOOKUP(I811,Mapped_Owner,2,0),"")</f>
        <v>Buser</v>
      </c>
      <c r="O811" s="6">
        <f>VLOOKUP(D811,'Mapped Opponent'!$G$4:$H$22,2,0)</f>
        <v>1</v>
      </c>
      <c r="P811" s="6"/>
      <c r="Q811" s="6" t="str">
        <f t="shared" si="4"/>
        <v>Week 1</v>
      </c>
      <c r="R811" s="6" t="str">
        <f t="shared" si="5"/>
        <v>2015Week 1</v>
      </c>
      <c r="S811" s="6">
        <f>IFERROR(__xludf.DUMMYFUNCTION("rank(J811,FILTER(J:J,R:R=R811))"),8.0)</f>
        <v>8</v>
      </c>
      <c r="T811" s="6">
        <f t="shared" si="6"/>
        <v>4</v>
      </c>
      <c r="U811" s="6">
        <f t="shared" si="7"/>
        <v>8</v>
      </c>
      <c r="V811" s="42">
        <f>averageif(AllData!A:A,B811,AllData!R:R)/vlookup(B811,AllData!A:O,15,0)</f>
        <v>92.55128205</v>
      </c>
      <c r="W811" s="6"/>
    </row>
    <row r="812" ht="14.25" customHeight="1">
      <c r="A812" s="6" t="str">
        <f t="shared" si="1"/>
        <v>2015Buser1</v>
      </c>
      <c r="B812" s="6">
        <v>2015.0</v>
      </c>
      <c r="C812" s="6" t="s">
        <v>47</v>
      </c>
      <c r="D812" s="6" t="s">
        <v>129</v>
      </c>
      <c r="E812" s="6"/>
      <c r="F812" s="6" t="s">
        <v>2472</v>
      </c>
      <c r="G812" s="6" t="s">
        <v>125</v>
      </c>
      <c r="H812" s="35" t="s">
        <v>2429</v>
      </c>
      <c r="I812" s="180" t="s">
        <v>58</v>
      </c>
      <c r="J812" s="36">
        <v>137.1</v>
      </c>
      <c r="K812" s="36">
        <v>81.9</v>
      </c>
      <c r="L812" s="36">
        <f t="shared" si="2"/>
        <v>1</v>
      </c>
      <c r="M812" s="36" t="str">
        <f t="shared" si="3"/>
        <v>Regular Season</v>
      </c>
      <c r="N812" s="36" t="str">
        <f>IFERROR(VLOOKUP(I812,Mapped_Owner,2,0),"")</f>
        <v>Rooney/Jackson</v>
      </c>
      <c r="O812" s="6">
        <f>VLOOKUP(D812,'Mapped Opponent'!$G$4:$H$22,2,0)</f>
        <v>1</v>
      </c>
      <c r="P812" s="6"/>
      <c r="Q812" s="6" t="str">
        <f t="shared" si="4"/>
        <v>Week 1</v>
      </c>
      <c r="R812" s="6" t="str">
        <f t="shared" si="5"/>
        <v>2015Week 1</v>
      </c>
      <c r="S812" s="6">
        <f>IFERROR(__xludf.DUMMYFUNCTION("rank(J812,FILTER(J:J,R:R=R812))"),1.0)</f>
        <v>1</v>
      </c>
      <c r="T812" s="6">
        <f t="shared" si="6"/>
        <v>11</v>
      </c>
      <c r="U812" s="6">
        <f t="shared" si="7"/>
        <v>1</v>
      </c>
      <c r="V812" s="42">
        <f>averageif(AllData!A:A,B812,AllData!R:R)/vlookup(B812,AllData!A:O,15,0)</f>
        <v>92.55128205</v>
      </c>
      <c r="W812" s="6"/>
    </row>
    <row r="813" ht="14.25" customHeight="1">
      <c r="A813" s="6" t="str">
        <f t="shared" si="1"/>
        <v>2015Pierson1</v>
      </c>
      <c r="B813" s="6">
        <v>2015.0</v>
      </c>
      <c r="C813" s="6" t="s">
        <v>92</v>
      </c>
      <c r="D813" s="6" t="s">
        <v>129</v>
      </c>
      <c r="E813" s="34"/>
      <c r="F813" s="6" t="s">
        <v>2473</v>
      </c>
      <c r="G813" s="6" t="s">
        <v>114</v>
      </c>
      <c r="H813" s="6" t="s">
        <v>2440</v>
      </c>
      <c r="I813" s="35" t="s">
        <v>77</v>
      </c>
      <c r="J813" s="36">
        <v>79.1</v>
      </c>
      <c r="K813" s="36">
        <v>104.3</v>
      </c>
      <c r="L813" s="36">
        <f t="shared" si="2"/>
        <v>0</v>
      </c>
      <c r="M813" s="36" t="str">
        <f t="shared" si="3"/>
        <v>Regular Season</v>
      </c>
      <c r="N813" s="36" t="str">
        <f>IFERROR(VLOOKUP(I813,Mapped_Owner,2,0),"")</f>
        <v>Salty</v>
      </c>
      <c r="O813" s="6">
        <f>VLOOKUP(D813,'Mapped Opponent'!$G$4:$H$22,2,0)</f>
        <v>1</v>
      </c>
      <c r="P813" s="6"/>
      <c r="Q813" s="6" t="str">
        <f t="shared" si="4"/>
        <v>Week 1</v>
      </c>
      <c r="R813" s="6" t="str">
        <f t="shared" si="5"/>
        <v>2015Week 1</v>
      </c>
      <c r="S813" s="6">
        <f>IFERROR(__xludf.DUMMYFUNCTION("rank(J813,FILTER(J:J,R:R=R813))"),9.0)</f>
        <v>9</v>
      </c>
      <c r="T813" s="6">
        <f t="shared" si="6"/>
        <v>3</v>
      </c>
      <c r="U813" s="6">
        <f t="shared" si="7"/>
        <v>9</v>
      </c>
      <c r="V813" s="42">
        <f>averageif(AllData!A:A,B813,AllData!R:R)/vlookup(B813,AllData!A:O,15,0)</f>
        <v>92.55128205</v>
      </c>
      <c r="W813" s="6"/>
    </row>
    <row r="814" ht="14.25" customHeight="1">
      <c r="A814" s="6" t="str">
        <f t="shared" si="1"/>
        <v>2015Cock1</v>
      </c>
      <c r="B814" s="6">
        <v>2015.0</v>
      </c>
      <c r="C814" s="6" t="s">
        <v>72</v>
      </c>
      <c r="D814" s="6" t="s">
        <v>129</v>
      </c>
      <c r="E814" s="6"/>
      <c r="F814" s="6" t="s">
        <v>2474</v>
      </c>
      <c r="G814" s="6" t="s">
        <v>125</v>
      </c>
      <c r="H814" s="35" t="s">
        <v>2417</v>
      </c>
      <c r="I814" s="180" t="s">
        <v>64</v>
      </c>
      <c r="J814" s="36">
        <v>86.5</v>
      </c>
      <c r="K814" s="36">
        <v>115.3</v>
      </c>
      <c r="L814" s="36">
        <f t="shared" si="2"/>
        <v>0</v>
      </c>
      <c r="M814" s="36" t="str">
        <f t="shared" si="3"/>
        <v>Regular Season</v>
      </c>
      <c r="N814" s="36" t="str">
        <f>IFERROR(VLOOKUP(I814,Mapped_Owner,2,0),"")</f>
        <v>Hudspeath</v>
      </c>
      <c r="O814" s="6">
        <f>VLOOKUP(D814,'Mapped Opponent'!$G$4:$H$22,2,0)</f>
        <v>1</v>
      </c>
      <c r="P814" s="6"/>
      <c r="Q814" s="6" t="str">
        <f t="shared" si="4"/>
        <v>Week 1</v>
      </c>
      <c r="R814" s="6" t="str">
        <f t="shared" si="5"/>
        <v>2015Week 1</v>
      </c>
      <c r="S814" s="6">
        <f>IFERROR(__xludf.DUMMYFUNCTION("rank(J814,FILTER(J:J,R:R=R814))"),7.0)</f>
        <v>7</v>
      </c>
      <c r="T814" s="6">
        <f t="shared" si="6"/>
        <v>5</v>
      </c>
      <c r="U814" s="6">
        <f t="shared" si="7"/>
        <v>7</v>
      </c>
      <c r="V814" s="42">
        <f>averageif(AllData!A:A,B814,AllData!R:R)/vlookup(B814,AllData!A:O,15,0)</f>
        <v>92.55128205</v>
      </c>
      <c r="W814" s="6"/>
    </row>
    <row r="815" ht="14.25" customHeight="1">
      <c r="A815" s="6" t="str">
        <f t="shared" si="1"/>
        <v>2015Tayski1</v>
      </c>
      <c r="B815" s="6">
        <v>2015.0</v>
      </c>
      <c r="C815" s="6" t="s">
        <v>52</v>
      </c>
      <c r="D815" s="6" t="s">
        <v>129</v>
      </c>
      <c r="E815" s="34"/>
      <c r="F815" s="6" t="s">
        <v>2475</v>
      </c>
      <c r="G815" s="6" t="s">
        <v>125</v>
      </c>
      <c r="H815" s="6" t="s">
        <v>2427</v>
      </c>
      <c r="I815" s="35" t="s">
        <v>68</v>
      </c>
      <c r="J815" s="36">
        <v>112.5</v>
      </c>
      <c r="K815" s="36">
        <v>106.6</v>
      </c>
      <c r="L815" s="36">
        <f t="shared" si="2"/>
        <v>1</v>
      </c>
      <c r="M815" s="36" t="str">
        <f t="shared" si="3"/>
        <v>Regular Season</v>
      </c>
      <c r="N815" s="36" t="str">
        <f>IFERROR(VLOOKUP(I815,Mapped_Owner,2,0),"")</f>
        <v>Riley</v>
      </c>
      <c r="O815" s="6">
        <f>VLOOKUP(D815,'Mapped Opponent'!$G$4:$H$22,2,0)</f>
        <v>1</v>
      </c>
      <c r="P815" s="6"/>
      <c r="Q815" s="6" t="str">
        <f t="shared" si="4"/>
        <v>Week 1</v>
      </c>
      <c r="R815" s="6" t="str">
        <f t="shared" si="5"/>
        <v>2015Week 1</v>
      </c>
      <c r="S815" s="6">
        <f>IFERROR(__xludf.DUMMYFUNCTION("rank(J815,FILTER(J:J,R:R=R815))"),4.0)</f>
        <v>4</v>
      </c>
      <c r="T815" s="6">
        <f t="shared" si="6"/>
        <v>8</v>
      </c>
      <c r="U815" s="6">
        <f t="shared" si="7"/>
        <v>4</v>
      </c>
      <c r="V815" s="42">
        <f>averageif(AllData!A:A,B815,AllData!R:R)/vlookup(B815,AllData!A:O,15,0)</f>
        <v>92.55128205</v>
      </c>
      <c r="W815" s="6"/>
    </row>
    <row r="816" ht="14.25" customHeight="1">
      <c r="A816" s="6" t="str">
        <f t="shared" si="1"/>
        <v>2015KnardDawg1</v>
      </c>
      <c r="B816" s="6">
        <v>2015.0</v>
      </c>
      <c r="C816" s="6" t="s">
        <v>86</v>
      </c>
      <c r="D816" s="6" t="s">
        <v>129</v>
      </c>
      <c r="E816" s="34"/>
      <c r="F816" s="6" t="s">
        <v>2476</v>
      </c>
      <c r="G816" s="6" t="s">
        <v>114</v>
      </c>
      <c r="H816" s="6" t="s">
        <v>2425</v>
      </c>
      <c r="I816" s="35" t="s">
        <v>91</v>
      </c>
      <c r="J816" s="36">
        <v>63.7</v>
      </c>
      <c r="K816" s="36">
        <v>46.2</v>
      </c>
      <c r="L816" s="36">
        <f t="shared" si="2"/>
        <v>1</v>
      </c>
      <c r="M816" s="36" t="str">
        <f t="shared" si="3"/>
        <v>Regular Season</v>
      </c>
      <c r="N816" s="36" t="str">
        <f>IFERROR(VLOOKUP(I816,Mapped_Owner,2,0),"")</f>
        <v>Shep</v>
      </c>
      <c r="O816" s="6">
        <f>VLOOKUP(D816,'Mapped Opponent'!$G$4:$H$22,2,0)</f>
        <v>1</v>
      </c>
      <c r="P816" s="6"/>
      <c r="Q816" s="6" t="str">
        <f t="shared" si="4"/>
        <v>Week 1</v>
      </c>
      <c r="R816" s="6" t="str">
        <f t="shared" si="5"/>
        <v>2015Week 1</v>
      </c>
      <c r="S816" s="6">
        <f>IFERROR(__xludf.DUMMYFUNCTION("rank(J816,FILTER(J:J,R:R=R816))"),11.0)</f>
        <v>11</v>
      </c>
      <c r="T816" s="6">
        <f t="shared" si="6"/>
        <v>1</v>
      </c>
      <c r="U816" s="6">
        <f t="shared" si="7"/>
        <v>11</v>
      </c>
      <c r="V816" s="42">
        <f>averageif(AllData!A:A,B816,AllData!R:R)/vlookup(B816,AllData!A:O,15,0)</f>
        <v>92.55128205</v>
      </c>
      <c r="W816" s="6"/>
    </row>
    <row r="817" ht="14.25" customHeight="1">
      <c r="A817" s="6" t="str">
        <f t="shared" si="1"/>
        <v>2015T-How1</v>
      </c>
      <c r="B817" s="6">
        <v>2015.0</v>
      </c>
      <c r="C817" s="6" t="s">
        <v>82</v>
      </c>
      <c r="D817" s="6" t="s">
        <v>129</v>
      </c>
      <c r="E817" s="34"/>
      <c r="F817" s="6" t="s">
        <v>2477</v>
      </c>
      <c r="G817" s="6" t="s">
        <v>114</v>
      </c>
      <c r="H817" s="6" t="s">
        <v>2414</v>
      </c>
      <c r="I817" s="35" t="s">
        <v>80</v>
      </c>
      <c r="J817" s="36">
        <v>115.0</v>
      </c>
      <c r="K817" s="36">
        <v>73.0</v>
      </c>
      <c r="L817" s="36">
        <f t="shared" si="2"/>
        <v>1</v>
      </c>
      <c r="M817" s="36" t="str">
        <f t="shared" si="3"/>
        <v>Regular Season</v>
      </c>
      <c r="N817" s="36" t="str">
        <f>IFERROR(VLOOKUP(I817,Mapped_Owner,2,0),"")</f>
        <v>Fellows</v>
      </c>
      <c r="O817" s="6">
        <f>VLOOKUP(D817,'Mapped Opponent'!$G$4:$H$22,2,0)</f>
        <v>1</v>
      </c>
      <c r="P817" s="6"/>
      <c r="Q817" s="6" t="str">
        <f t="shared" si="4"/>
        <v>Week 1</v>
      </c>
      <c r="R817" s="6" t="str">
        <f t="shared" si="5"/>
        <v>2015Week 1</v>
      </c>
      <c r="S817" s="6">
        <f>IFERROR(__xludf.DUMMYFUNCTION("rank(J817,FILTER(J:J,R:R=R817))"),3.0)</f>
        <v>3</v>
      </c>
      <c r="T817" s="6">
        <f t="shared" si="6"/>
        <v>9</v>
      </c>
      <c r="U817" s="6">
        <f t="shared" si="7"/>
        <v>3</v>
      </c>
      <c r="V817" s="42">
        <f>averageif(AllData!A:A,B817,AllData!R:R)/vlookup(B817,AllData!A:O,15,0)</f>
        <v>92.55128205</v>
      </c>
      <c r="W817" s="6"/>
    </row>
    <row r="818" ht="14.25" customHeight="1">
      <c r="A818" s="6" t="str">
        <f t="shared" si="1"/>
        <v>2015Hudspeath10</v>
      </c>
      <c r="B818" s="6">
        <v>2015.0</v>
      </c>
      <c r="C818" s="6" t="s">
        <v>39</v>
      </c>
      <c r="D818" s="6" t="s">
        <v>149</v>
      </c>
      <c r="E818" s="34"/>
      <c r="F818" s="34" t="s">
        <v>2478</v>
      </c>
      <c r="G818" s="6" t="s">
        <v>125</v>
      </c>
      <c r="H818" s="6" t="s">
        <v>2433</v>
      </c>
      <c r="I818" s="6" t="s">
        <v>54</v>
      </c>
      <c r="J818" s="36">
        <v>64.3</v>
      </c>
      <c r="K818" s="36">
        <v>108.2</v>
      </c>
      <c r="L818" s="36">
        <f t="shared" si="2"/>
        <v>0</v>
      </c>
      <c r="M818" s="36" t="str">
        <f t="shared" si="3"/>
        <v>Regular Season</v>
      </c>
      <c r="N818" s="36" t="str">
        <f>IFERROR(VLOOKUP(I818,Mapped_Owner,2,0),"")</f>
        <v>Tayski</v>
      </c>
      <c r="O818" s="6">
        <f>VLOOKUP(D818,'Mapped Opponent'!$G$4:$H$22,2,0)</f>
        <v>10</v>
      </c>
      <c r="P818" s="6"/>
      <c r="Q818" s="6" t="str">
        <f t="shared" si="4"/>
        <v>Week 10</v>
      </c>
      <c r="R818" s="6" t="str">
        <f t="shared" si="5"/>
        <v>2015Week 10</v>
      </c>
      <c r="S818" s="6">
        <f>IFERROR(__xludf.DUMMYFUNCTION("rank(J818,FILTER(J:J,R:R=R818))"),10.0)</f>
        <v>10</v>
      </c>
      <c r="T818" s="6">
        <f t="shared" si="6"/>
        <v>2</v>
      </c>
      <c r="U818" s="6">
        <f t="shared" si="7"/>
        <v>10</v>
      </c>
      <c r="V818" s="42">
        <f>averageif(AllData!A:A,B818,AllData!R:R)/vlookup(B818,AllData!A:O,15,0)</f>
        <v>92.55128205</v>
      </c>
      <c r="W818" s="6"/>
    </row>
    <row r="819" ht="14.25" customHeight="1">
      <c r="A819" s="6" t="str">
        <f t="shared" si="1"/>
        <v>2015Salty10</v>
      </c>
      <c r="B819" s="6">
        <v>2015.0</v>
      </c>
      <c r="C819" s="6" t="s">
        <v>76</v>
      </c>
      <c r="D819" s="6" t="s">
        <v>149</v>
      </c>
      <c r="E819" s="34"/>
      <c r="F819" s="6" t="s">
        <v>2479</v>
      </c>
      <c r="G819" s="6" t="s">
        <v>114</v>
      </c>
      <c r="H819" s="6" t="s">
        <v>2419</v>
      </c>
      <c r="I819" s="35" t="s">
        <v>50</v>
      </c>
      <c r="J819" s="36">
        <v>95.2</v>
      </c>
      <c r="K819" s="36">
        <v>114.3</v>
      </c>
      <c r="L819" s="36">
        <f t="shared" si="2"/>
        <v>0</v>
      </c>
      <c r="M819" s="36" t="str">
        <f t="shared" si="3"/>
        <v>Regular Season</v>
      </c>
      <c r="N819" s="36" t="str">
        <f>IFERROR(VLOOKUP(I819,Mapped_Owner,2,0),"")</f>
        <v>Buser</v>
      </c>
      <c r="O819" s="6">
        <f>VLOOKUP(D819,'Mapped Opponent'!$G$4:$H$22,2,0)</f>
        <v>10</v>
      </c>
      <c r="P819" s="6"/>
      <c r="Q819" s="6" t="str">
        <f t="shared" si="4"/>
        <v>Week 10</v>
      </c>
      <c r="R819" s="6" t="str">
        <f t="shared" si="5"/>
        <v>2015Week 10</v>
      </c>
      <c r="S819" s="6">
        <f>IFERROR(__xludf.DUMMYFUNCTION("rank(J819,FILTER(J:J,R:R=R819))"),6.0)</f>
        <v>6</v>
      </c>
      <c r="T819" s="6">
        <f t="shared" si="6"/>
        <v>6</v>
      </c>
      <c r="U819" s="6">
        <f t="shared" si="7"/>
        <v>6</v>
      </c>
      <c r="V819" s="42">
        <f>averageif(AllData!A:A,B819,AllData!R:R)/vlookup(B819,AllData!A:O,15,0)</f>
        <v>92.55128205</v>
      </c>
      <c r="W819" s="6"/>
    </row>
    <row r="820" ht="14.25" customHeight="1">
      <c r="A820" s="6" t="str">
        <f t="shared" si="1"/>
        <v>2015Fellows10</v>
      </c>
      <c r="B820" s="6">
        <v>2015.0</v>
      </c>
      <c r="C820" s="6" t="s">
        <v>79</v>
      </c>
      <c r="D820" s="6" t="s">
        <v>149</v>
      </c>
      <c r="E820" s="6"/>
      <c r="F820" s="6" t="s">
        <v>2480</v>
      </c>
      <c r="G820" s="6" t="s">
        <v>114</v>
      </c>
      <c r="H820" s="35" t="s">
        <v>2423</v>
      </c>
      <c r="I820" s="180" t="s">
        <v>99</v>
      </c>
      <c r="J820" s="36">
        <v>105.2</v>
      </c>
      <c r="K820" s="36">
        <v>85.8</v>
      </c>
      <c r="L820" s="36">
        <f t="shared" si="2"/>
        <v>1</v>
      </c>
      <c r="M820" s="36" t="str">
        <f t="shared" si="3"/>
        <v>Regular Season</v>
      </c>
      <c r="N820" s="36" t="str">
        <f>IFERROR(VLOOKUP(I820,Mapped_Owner,2,0),"")</f>
        <v>Cock</v>
      </c>
      <c r="O820" s="6">
        <f>VLOOKUP(D820,'Mapped Opponent'!$G$4:$H$22,2,0)</f>
        <v>10</v>
      </c>
      <c r="P820" s="6"/>
      <c r="Q820" s="6" t="str">
        <f t="shared" si="4"/>
        <v>Week 10</v>
      </c>
      <c r="R820" s="6" t="str">
        <f t="shared" si="5"/>
        <v>2015Week 10</v>
      </c>
      <c r="S820" s="6">
        <f>IFERROR(__xludf.DUMMYFUNCTION("rank(J820,FILTER(J:J,R:R=R820))"),4.0)</f>
        <v>4</v>
      </c>
      <c r="T820" s="6">
        <f t="shared" si="6"/>
        <v>8</v>
      </c>
      <c r="U820" s="6">
        <f t="shared" si="7"/>
        <v>4</v>
      </c>
      <c r="V820" s="42">
        <f>averageif(AllData!A:A,B820,AllData!R:R)/vlookup(B820,AllData!A:O,15,0)</f>
        <v>92.55128205</v>
      </c>
      <c r="W820" s="6"/>
    </row>
    <row r="821" ht="14.25" customHeight="1">
      <c r="A821" s="6" t="str">
        <f t="shared" si="1"/>
        <v>2015Shep10</v>
      </c>
      <c r="B821" s="6">
        <v>2015.0</v>
      </c>
      <c r="C821" s="6" t="s">
        <v>89</v>
      </c>
      <c r="D821" s="6" t="s">
        <v>149</v>
      </c>
      <c r="E821" s="34"/>
      <c r="F821" s="6" t="s">
        <v>2481</v>
      </c>
      <c r="G821" s="6" t="s">
        <v>114</v>
      </c>
      <c r="H821" s="6" t="s">
        <v>2429</v>
      </c>
      <c r="I821" s="35" t="s">
        <v>58</v>
      </c>
      <c r="J821" s="36">
        <v>52.7</v>
      </c>
      <c r="K821" s="36">
        <v>79.4</v>
      </c>
      <c r="L821" s="36">
        <f t="shared" si="2"/>
        <v>0</v>
      </c>
      <c r="M821" s="36" t="str">
        <f t="shared" si="3"/>
        <v>Regular Season</v>
      </c>
      <c r="N821" s="36" t="str">
        <f>IFERROR(VLOOKUP(I821,Mapped_Owner,2,0),"")</f>
        <v>Rooney/Jackson</v>
      </c>
      <c r="O821" s="6">
        <f>VLOOKUP(D821,'Mapped Opponent'!$G$4:$H$22,2,0)</f>
        <v>10</v>
      </c>
      <c r="P821" s="6"/>
      <c r="Q821" s="6" t="str">
        <f t="shared" si="4"/>
        <v>Week 10</v>
      </c>
      <c r="R821" s="6" t="str">
        <f t="shared" si="5"/>
        <v>2015Week 10</v>
      </c>
      <c r="S821" s="6">
        <f>IFERROR(__xludf.DUMMYFUNCTION("rank(J821,FILTER(J:J,R:R=R821))"),12.0)</f>
        <v>12</v>
      </c>
      <c r="T821" s="6">
        <f t="shared" si="6"/>
        <v>0</v>
      </c>
      <c r="U821" s="6">
        <f t="shared" si="7"/>
        <v>12</v>
      </c>
      <c r="V821" s="42">
        <f>averageif(AllData!A:A,B821,AllData!R:R)/vlookup(B821,AllData!A:O,15,0)</f>
        <v>92.55128205</v>
      </c>
      <c r="W821" s="6"/>
    </row>
    <row r="822" ht="14.25" customHeight="1">
      <c r="A822" s="6" t="str">
        <f t="shared" si="1"/>
        <v>2015Riley10</v>
      </c>
      <c r="B822" s="6">
        <v>2015.0</v>
      </c>
      <c r="C822" s="6" t="s">
        <v>67</v>
      </c>
      <c r="D822" s="6" t="s">
        <v>149</v>
      </c>
      <c r="E822" s="34"/>
      <c r="F822" s="6" t="s">
        <v>2482</v>
      </c>
      <c r="G822" s="6" t="s">
        <v>125</v>
      </c>
      <c r="H822" s="6" t="s">
        <v>2431</v>
      </c>
      <c r="I822" s="35" t="s">
        <v>132</v>
      </c>
      <c r="J822" s="36">
        <v>62.4</v>
      </c>
      <c r="K822" s="36">
        <v>91.2</v>
      </c>
      <c r="L822" s="36">
        <f t="shared" si="2"/>
        <v>0</v>
      </c>
      <c r="M822" s="36" t="str">
        <f t="shared" si="3"/>
        <v>Regular Season</v>
      </c>
      <c r="N822" s="36" t="str">
        <f>IFERROR(VLOOKUP(I822,Mapped_Owner,2,0),"")</f>
        <v>KnardDawg</v>
      </c>
      <c r="O822" s="6">
        <f>VLOOKUP(D822,'Mapped Opponent'!$G$4:$H$22,2,0)</f>
        <v>10</v>
      </c>
      <c r="P822" s="6"/>
      <c r="Q822" s="6" t="str">
        <f t="shared" si="4"/>
        <v>Week 10</v>
      </c>
      <c r="R822" s="6" t="str">
        <f t="shared" si="5"/>
        <v>2015Week 10</v>
      </c>
      <c r="S822" s="6">
        <f>IFERROR(__xludf.DUMMYFUNCTION("rank(J822,FILTER(J:J,R:R=R822))"),11.0)</f>
        <v>11</v>
      </c>
      <c r="T822" s="6">
        <f t="shared" si="6"/>
        <v>1</v>
      </c>
      <c r="U822" s="6">
        <f t="shared" si="7"/>
        <v>11</v>
      </c>
      <c r="V822" s="42">
        <f>averageif(AllData!A:A,B822,AllData!R:R)/vlookup(B822,AllData!A:O,15,0)</f>
        <v>92.55128205</v>
      </c>
      <c r="W822" s="6"/>
    </row>
    <row r="823" ht="14.25" customHeight="1">
      <c r="A823" s="6" t="str">
        <f t="shared" si="1"/>
        <v>2015Rooney/Jackson10</v>
      </c>
      <c r="B823" s="6">
        <v>2015.0</v>
      </c>
      <c r="C823" s="6" t="s">
        <v>57</v>
      </c>
      <c r="D823" s="6" t="s">
        <v>149</v>
      </c>
      <c r="E823" s="34"/>
      <c r="F823" s="6" t="s">
        <v>2483</v>
      </c>
      <c r="G823" s="6" t="s">
        <v>125</v>
      </c>
      <c r="H823" s="6" t="s">
        <v>2425</v>
      </c>
      <c r="I823" s="35" t="s">
        <v>91</v>
      </c>
      <c r="J823" s="36">
        <v>79.4</v>
      </c>
      <c r="K823" s="36">
        <v>52.7</v>
      </c>
      <c r="L823" s="36">
        <f t="shared" si="2"/>
        <v>1</v>
      </c>
      <c r="M823" s="36" t="str">
        <f t="shared" si="3"/>
        <v>Regular Season</v>
      </c>
      <c r="N823" s="36" t="str">
        <f>IFERROR(VLOOKUP(I823,Mapped_Owner,2,0),"")</f>
        <v>Shep</v>
      </c>
      <c r="O823" s="6">
        <f>VLOOKUP(D823,'Mapped Opponent'!$G$4:$H$22,2,0)</f>
        <v>10</v>
      </c>
      <c r="P823" s="6"/>
      <c r="Q823" s="6" t="str">
        <f t="shared" si="4"/>
        <v>Week 10</v>
      </c>
      <c r="R823" s="6" t="str">
        <f t="shared" si="5"/>
        <v>2015Week 10</v>
      </c>
      <c r="S823" s="6">
        <f>IFERROR(__xludf.DUMMYFUNCTION("rank(J823,FILTER(J:J,R:R=R823))"),9.0)</f>
        <v>9</v>
      </c>
      <c r="T823" s="6">
        <f t="shared" si="6"/>
        <v>3</v>
      </c>
      <c r="U823" s="6">
        <f t="shared" si="7"/>
        <v>9</v>
      </c>
      <c r="V823" s="42">
        <f>averageif(AllData!A:A,B823,AllData!R:R)/vlookup(B823,AllData!A:O,15,0)</f>
        <v>92.55128205</v>
      </c>
      <c r="W823" s="6"/>
    </row>
    <row r="824" ht="14.25" customHeight="1">
      <c r="A824" s="6" t="str">
        <f t="shared" si="1"/>
        <v>2015Buser10</v>
      </c>
      <c r="B824" s="6">
        <v>2015.0</v>
      </c>
      <c r="C824" s="6" t="s">
        <v>47</v>
      </c>
      <c r="D824" s="6" t="s">
        <v>149</v>
      </c>
      <c r="E824" s="6"/>
      <c r="F824" s="6" t="s">
        <v>2484</v>
      </c>
      <c r="G824" s="6" t="s">
        <v>125</v>
      </c>
      <c r="H824" s="35" t="s">
        <v>2440</v>
      </c>
      <c r="I824" s="180" t="s">
        <v>77</v>
      </c>
      <c r="J824" s="36">
        <v>114.3</v>
      </c>
      <c r="K824" s="36">
        <v>95.2</v>
      </c>
      <c r="L824" s="36">
        <f t="shared" si="2"/>
        <v>1</v>
      </c>
      <c r="M824" s="36" t="str">
        <f t="shared" si="3"/>
        <v>Regular Season</v>
      </c>
      <c r="N824" s="36" t="str">
        <f>IFERROR(VLOOKUP(I824,Mapped_Owner,2,0),"")</f>
        <v>Salty</v>
      </c>
      <c r="O824" s="6">
        <f>VLOOKUP(D824,'Mapped Opponent'!$G$4:$H$22,2,0)</f>
        <v>10</v>
      </c>
      <c r="P824" s="6"/>
      <c r="Q824" s="6" t="str">
        <f t="shared" si="4"/>
        <v>Week 10</v>
      </c>
      <c r="R824" s="6" t="str">
        <f t="shared" si="5"/>
        <v>2015Week 10</v>
      </c>
      <c r="S824" s="6">
        <f>IFERROR(__xludf.DUMMYFUNCTION("rank(J824,FILTER(J:J,R:R=R824))"),2.0)</f>
        <v>2</v>
      </c>
      <c r="T824" s="6">
        <f t="shared" si="6"/>
        <v>10</v>
      </c>
      <c r="U824" s="6">
        <f t="shared" si="7"/>
        <v>2</v>
      </c>
      <c r="V824" s="42">
        <f>averageif(AllData!A:A,B824,AllData!R:R)/vlookup(B824,AllData!A:O,15,0)</f>
        <v>92.55128205</v>
      </c>
      <c r="W824" s="6"/>
    </row>
    <row r="825" ht="14.25" customHeight="1">
      <c r="A825" s="6" t="str">
        <f t="shared" si="1"/>
        <v>2015Pierson10</v>
      </c>
      <c r="B825" s="6">
        <v>2015.0</v>
      </c>
      <c r="C825" s="6" t="s">
        <v>92</v>
      </c>
      <c r="D825" s="6" t="s">
        <v>149</v>
      </c>
      <c r="E825" s="34"/>
      <c r="F825" s="6" t="s">
        <v>2485</v>
      </c>
      <c r="G825" s="6" t="s">
        <v>125</v>
      </c>
      <c r="H825" s="6" t="s">
        <v>2436</v>
      </c>
      <c r="I825" s="35" t="s">
        <v>85</v>
      </c>
      <c r="J825" s="36">
        <v>116.1</v>
      </c>
      <c r="K825" s="36">
        <v>102.6</v>
      </c>
      <c r="L825" s="36">
        <f t="shared" si="2"/>
        <v>1</v>
      </c>
      <c r="M825" s="36" t="str">
        <f t="shared" si="3"/>
        <v>Regular Season</v>
      </c>
      <c r="N825" s="36" t="str">
        <f>IFERROR(VLOOKUP(I825,Mapped_Owner,2,0),"")</f>
        <v>T-How</v>
      </c>
      <c r="O825" s="6">
        <f>VLOOKUP(D825,'Mapped Opponent'!$G$4:$H$22,2,0)</f>
        <v>10</v>
      </c>
      <c r="P825" s="6"/>
      <c r="Q825" s="6" t="str">
        <f t="shared" si="4"/>
        <v>Week 10</v>
      </c>
      <c r="R825" s="6" t="str">
        <f t="shared" si="5"/>
        <v>2015Week 10</v>
      </c>
      <c r="S825" s="6">
        <f>IFERROR(__xludf.DUMMYFUNCTION("rank(J825,FILTER(J:J,R:R=R825))"),1.0)</f>
        <v>1</v>
      </c>
      <c r="T825" s="6">
        <f t="shared" si="6"/>
        <v>11</v>
      </c>
      <c r="U825" s="6">
        <f t="shared" si="7"/>
        <v>1</v>
      </c>
      <c r="V825" s="42">
        <f>averageif(AllData!A:A,B825,AllData!R:R)/vlookup(B825,AllData!A:O,15,0)</f>
        <v>92.55128205</v>
      </c>
      <c r="W825" s="6"/>
    </row>
    <row r="826" ht="14.25" customHeight="1">
      <c r="A826" s="6" t="str">
        <f t="shared" si="1"/>
        <v>2015Cock10</v>
      </c>
      <c r="B826" s="6">
        <v>2015.0</v>
      </c>
      <c r="C826" s="6" t="s">
        <v>72</v>
      </c>
      <c r="D826" s="6" t="s">
        <v>149</v>
      </c>
      <c r="E826" s="6"/>
      <c r="F826" s="6" t="s">
        <v>2486</v>
      </c>
      <c r="G826" s="6" t="s">
        <v>125</v>
      </c>
      <c r="H826" s="35" t="s">
        <v>2414</v>
      </c>
      <c r="I826" s="180" t="s">
        <v>80</v>
      </c>
      <c r="J826" s="36">
        <v>85.8</v>
      </c>
      <c r="K826" s="36">
        <v>105.2</v>
      </c>
      <c r="L826" s="36">
        <f t="shared" si="2"/>
        <v>0</v>
      </c>
      <c r="M826" s="36" t="str">
        <f t="shared" si="3"/>
        <v>Regular Season</v>
      </c>
      <c r="N826" s="36" t="str">
        <f>IFERROR(VLOOKUP(I826,Mapped_Owner,2,0),"")</f>
        <v>Fellows</v>
      </c>
      <c r="O826" s="6">
        <f>VLOOKUP(D826,'Mapped Opponent'!$G$4:$H$22,2,0)</f>
        <v>10</v>
      </c>
      <c r="P826" s="6"/>
      <c r="Q826" s="6" t="str">
        <f t="shared" si="4"/>
        <v>Week 10</v>
      </c>
      <c r="R826" s="6" t="str">
        <f t="shared" si="5"/>
        <v>2015Week 10</v>
      </c>
      <c r="S826" s="6">
        <f>IFERROR(__xludf.DUMMYFUNCTION("rank(J826,FILTER(J:J,R:R=R826))"),8.0)</f>
        <v>8</v>
      </c>
      <c r="T826" s="6">
        <f t="shared" si="6"/>
        <v>4</v>
      </c>
      <c r="U826" s="6">
        <f t="shared" si="7"/>
        <v>8</v>
      </c>
      <c r="V826" s="42">
        <f>averageif(AllData!A:A,B826,AllData!R:R)/vlookup(B826,AllData!A:O,15,0)</f>
        <v>92.55128205</v>
      </c>
      <c r="W826" s="6"/>
    </row>
    <row r="827" ht="14.25" customHeight="1">
      <c r="A827" s="6" t="str">
        <f t="shared" si="1"/>
        <v>2015Tayski10</v>
      </c>
      <c r="B827" s="6">
        <v>2015.0</v>
      </c>
      <c r="C827" s="6" t="s">
        <v>52</v>
      </c>
      <c r="D827" s="6" t="s">
        <v>149</v>
      </c>
      <c r="E827" s="34"/>
      <c r="F827" s="6" t="s">
        <v>2487</v>
      </c>
      <c r="G827" s="6" t="s">
        <v>114</v>
      </c>
      <c r="H827" s="6" t="s">
        <v>2417</v>
      </c>
      <c r="I827" s="35" t="s">
        <v>64</v>
      </c>
      <c r="J827" s="36">
        <v>108.2</v>
      </c>
      <c r="K827" s="36">
        <v>64.3</v>
      </c>
      <c r="L827" s="36">
        <f t="shared" si="2"/>
        <v>1</v>
      </c>
      <c r="M827" s="36" t="str">
        <f t="shared" si="3"/>
        <v>Regular Season</v>
      </c>
      <c r="N827" s="36" t="str">
        <f>IFERROR(VLOOKUP(I827,Mapped_Owner,2,0),"")</f>
        <v>Hudspeath</v>
      </c>
      <c r="O827" s="6">
        <f>VLOOKUP(D827,'Mapped Opponent'!$G$4:$H$22,2,0)</f>
        <v>10</v>
      </c>
      <c r="P827" s="6"/>
      <c r="Q827" s="6" t="str">
        <f t="shared" si="4"/>
        <v>Week 10</v>
      </c>
      <c r="R827" s="6" t="str">
        <f t="shared" si="5"/>
        <v>2015Week 10</v>
      </c>
      <c r="S827" s="6">
        <f>IFERROR(__xludf.DUMMYFUNCTION("rank(J827,FILTER(J:J,R:R=R827))"),3.0)</f>
        <v>3</v>
      </c>
      <c r="T827" s="6">
        <f t="shared" si="6"/>
        <v>9</v>
      </c>
      <c r="U827" s="6">
        <f t="shared" si="7"/>
        <v>3</v>
      </c>
      <c r="V827" s="42">
        <f>averageif(AllData!A:A,B827,AllData!R:R)/vlookup(B827,AllData!A:O,15,0)</f>
        <v>92.55128205</v>
      </c>
      <c r="W827" s="6"/>
    </row>
    <row r="828" ht="14.25" customHeight="1">
      <c r="A828" s="6" t="str">
        <f t="shared" si="1"/>
        <v>2015KnardDawg10</v>
      </c>
      <c r="B828" s="6">
        <v>2015.0</v>
      </c>
      <c r="C828" s="6" t="s">
        <v>86</v>
      </c>
      <c r="D828" s="6" t="s">
        <v>149</v>
      </c>
      <c r="E828" s="34"/>
      <c r="F828" s="6" t="s">
        <v>2488</v>
      </c>
      <c r="G828" s="6" t="s">
        <v>114</v>
      </c>
      <c r="H828" s="6" t="s">
        <v>2427</v>
      </c>
      <c r="I828" s="35" t="s">
        <v>68</v>
      </c>
      <c r="J828" s="36">
        <v>91.2</v>
      </c>
      <c r="K828" s="36">
        <v>62.4</v>
      </c>
      <c r="L828" s="36">
        <f t="shared" si="2"/>
        <v>1</v>
      </c>
      <c r="M828" s="36" t="str">
        <f t="shared" si="3"/>
        <v>Regular Season</v>
      </c>
      <c r="N828" s="36" t="str">
        <f>IFERROR(VLOOKUP(I828,Mapped_Owner,2,0),"")</f>
        <v>Riley</v>
      </c>
      <c r="O828" s="6">
        <f>VLOOKUP(D828,'Mapped Opponent'!$G$4:$H$22,2,0)</f>
        <v>10</v>
      </c>
      <c r="P828" s="6"/>
      <c r="Q828" s="6" t="str">
        <f t="shared" si="4"/>
        <v>Week 10</v>
      </c>
      <c r="R828" s="6" t="str">
        <f t="shared" si="5"/>
        <v>2015Week 10</v>
      </c>
      <c r="S828" s="6">
        <f>IFERROR(__xludf.DUMMYFUNCTION("rank(J828,FILTER(J:J,R:R=R828))"),7.0)</f>
        <v>7</v>
      </c>
      <c r="T828" s="6">
        <f t="shared" si="6"/>
        <v>5</v>
      </c>
      <c r="U828" s="6">
        <f t="shared" si="7"/>
        <v>7</v>
      </c>
      <c r="V828" s="42">
        <f>averageif(AllData!A:A,B828,AllData!R:R)/vlookup(B828,AllData!A:O,15,0)</f>
        <v>92.55128205</v>
      </c>
      <c r="W828" s="6"/>
    </row>
    <row r="829" ht="14.25" customHeight="1">
      <c r="A829" s="6" t="str">
        <f t="shared" si="1"/>
        <v>2015T-How10</v>
      </c>
      <c r="B829" s="6">
        <v>2015.0</v>
      </c>
      <c r="C829" s="6" t="s">
        <v>82</v>
      </c>
      <c r="D829" s="6" t="s">
        <v>149</v>
      </c>
      <c r="E829" s="34"/>
      <c r="F829" s="6" t="s">
        <v>2489</v>
      </c>
      <c r="G829" s="6" t="s">
        <v>114</v>
      </c>
      <c r="H829" s="6" t="s">
        <v>2421</v>
      </c>
      <c r="I829" s="35" t="s">
        <v>93</v>
      </c>
      <c r="J829" s="36">
        <v>102.6</v>
      </c>
      <c r="K829" s="36">
        <v>116.1</v>
      </c>
      <c r="L829" s="36">
        <f t="shared" si="2"/>
        <v>0</v>
      </c>
      <c r="M829" s="36" t="str">
        <f t="shared" si="3"/>
        <v>Regular Season</v>
      </c>
      <c r="N829" s="36" t="str">
        <f>IFERROR(VLOOKUP(I829,Mapped_Owner,2,0),"")</f>
        <v>Pierson</v>
      </c>
      <c r="O829" s="6">
        <f>VLOOKUP(D829,'Mapped Opponent'!$G$4:$H$22,2,0)</f>
        <v>10</v>
      </c>
      <c r="P829" s="6"/>
      <c r="Q829" s="6" t="str">
        <f t="shared" si="4"/>
        <v>Week 10</v>
      </c>
      <c r="R829" s="6" t="str">
        <f t="shared" si="5"/>
        <v>2015Week 10</v>
      </c>
      <c r="S829" s="6">
        <f>IFERROR(__xludf.DUMMYFUNCTION("rank(J829,FILTER(J:J,R:R=R829))"),5.0)</f>
        <v>5</v>
      </c>
      <c r="T829" s="6">
        <f t="shared" si="6"/>
        <v>7</v>
      </c>
      <c r="U829" s="6">
        <f t="shared" si="7"/>
        <v>5</v>
      </c>
      <c r="V829" s="42">
        <f>averageif(AllData!A:A,B829,AllData!R:R)/vlookup(B829,AllData!A:O,15,0)</f>
        <v>92.55128205</v>
      </c>
      <c r="W829" s="6"/>
    </row>
    <row r="830" ht="14.25" customHeight="1">
      <c r="A830" s="6" t="str">
        <f t="shared" si="1"/>
        <v>2015Hudspeath11</v>
      </c>
      <c r="B830" s="6">
        <v>2015.0</v>
      </c>
      <c r="C830" s="6" t="s">
        <v>39</v>
      </c>
      <c r="D830" s="6" t="s">
        <v>150</v>
      </c>
      <c r="E830" s="34"/>
      <c r="F830" s="34" t="s">
        <v>2491</v>
      </c>
      <c r="G830" s="6" t="s">
        <v>114</v>
      </c>
      <c r="H830" s="6" t="s">
        <v>2419</v>
      </c>
      <c r="I830" s="6" t="s">
        <v>50</v>
      </c>
      <c r="J830" s="36">
        <v>74.8</v>
      </c>
      <c r="K830" s="36">
        <v>101.7</v>
      </c>
      <c r="L830" s="36">
        <f t="shared" si="2"/>
        <v>0</v>
      </c>
      <c r="M830" s="36" t="str">
        <f t="shared" si="3"/>
        <v>Regular Season</v>
      </c>
      <c r="N830" s="36" t="str">
        <f>IFERROR(VLOOKUP(I830,Mapped_Owner,2,0),"")</f>
        <v>Buser</v>
      </c>
      <c r="O830" s="6">
        <f>VLOOKUP(D830,'Mapped Opponent'!$G$4:$H$22,2,0)</f>
        <v>11</v>
      </c>
      <c r="P830" s="6"/>
      <c r="Q830" s="6" t="str">
        <f t="shared" si="4"/>
        <v>Week 11</v>
      </c>
      <c r="R830" s="6" t="str">
        <f t="shared" si="5"/>
        <v>2015Week 11</v>
      </c>
      <c r="S830" s="6">
        <f>IFERROR(__xludf.DUMMYFUNCTION("rank(J830,FILTER(J:J,R:R=R830))"),7.0)</f>
        <v>7</v>
      </c>
      <c r="T830" s="6">
        <f t="shared" si="6"/>
        <v>5</v>
      </c>
      <c r="U830" s="6">
        <f t="shared" si="7"/>
        <v>7</v>
      </c>
      <c r="V830" s="42">
        <f>averageif(AllData!A:A,B830,AllData!R:R)/vlookup(B830,AllData!A:O,15,0)</f>
        <v>92.55128205</v>
      </c>
      <c r="W830" s="6"/>
    </row>
    <row r="831" ht="14.25" customHeight="1">
      <c r="A831" s="6" t="str">
        <f t="shared" si="1"/>
        <v>2015Salty11</v>
      </c>
      <c r="B831" s="6">
        <v>2015.0</v>
      </c>
      <c r="C831" s="6" t="s">
        <v>76</v>
      </c>
      <c r="D831" s="6" t="s">
        <v>150</v>
      </c>
      <c r="E831" s="34"/>
      <c r="F831" s="6" t="s">
        <v>2493</v>
      </c>
      <c r="G831" s="6" t="s">
        <v>125</v>
      </c>
      <c r="H831" s="6" t="s">
        <v>2429</v>
      </c>
      <c r="I831" s="35" t="s">
        <v>58</v>
      </c>
      <c r="J831" s="36">
        <v>96.1</v>
      </c>
      <c r="K831" s="36">
        <v>73.7</v>
      </c>
      <c r="L831" s="36">
        <f t="shared" si="2"/>
        <v>1</v>
      </c>
      <c r="M831" s="36" t="str">
        <f t="shared" si="3"/>
        <v>Regular Season</v>
      </c>
      <c r="N831" s="36" t="str">
        <f>IFERROR(VLOOKUP(I831,Mapped_Owner,2,0),"")</f>
        <v>Rooney/Jackson</v>
      </c>
      <c r="O831" s="6">
        <f>VLOOKUP(D831,'Mapped Opponent'!$G$4:$H$22,2,0)</f>
        <v>11</v>
      </c>
      <c r="P831" s="6"/>
      <c r="Q831" s="6" t="str">
        <f t="shared" si="4"/>
        <v>Week 11</v>
      </c>
      <c r="R831" s="6" t="str">
        <f t="shared" si="5"/>
        <v>2015Week 11</v>
      </c>
      <c r="S831" s="6">
        <f>IFERROR(__xludf.DUMMYFUNCTION("rank(J831,FILTER(J:J,R:R=R831))"),4.0)</f>
        <v>4</v>
      </c>
      <c r="T831" s="6">
        <f t="shared" si="6"/>
        <v>8</v>
      </c>
      <c r="U831" s="6">
        <f t="shared" si="7"/>
        <v>4</v>
      </c>
      <c r="V831" s="42">
        <f>averageif(AllData!A:A,B831,AllData!R:R)/vlookup(B831,AllData!A:O,15,0)</f>
        <v>92.55128205</v>
      </c>
      <c r="W831" s="6"/>
    </row>
    <row r="832" ht="14.25" customHeight="1">
      <c r="A832" s="6" t="str">
        <f t="shared" si="1"/>
        <v>2015Fellows11</v>
      </c>
      <c r="B832" s="6">
        <v>2015.0</v>
      </c>
      <c r="C832" s="6" t="s">
        <v>79</v>
      </c>
      <c r="D832" s="6" t="s">
        <v>150</v>
      </c>
      <c r="E832" s="6"/>
      <c r="F832" s="6" t="s">
        <v>2495</v>
      </c>
      <c r="G832" s="6" t="s">
        <v>125</v>
      </c>
      <c r="H832" s="35" t="s">
        <v>2427</v>
      </c>
      <c r="I832" s="180" t="s">
        <v>68</v>
      </c>
      <c r="J832" s="36">
        <v>106.4</v>
      </c>
      <c r="K832" s="36">
        <v>71.6</v>
      </c>
      <c r="L832" s="36">
        <f t="shared" si="2"/>
        <v>1</v>
      </c>
      <c r="M832" s="36" t="str">
        <f t="shared" si="3"/>
        <v>Regular Season</v>
      </c>
      <c r="N832" s="36" t="str">
        <f>IFERROR(VLOOKUP(I832,Mapped_Owner,2,0),"")</f>
        <v>Riley</v>
      </c>
      <c r="O832" s="6">
        <f>VLOOKUP(D832,'Mapped Opponent'!$G$4:$H$22,2,0)</f>
        <v>11</v>
      </c>
      <c r="P832" s="6"/>
      <c r="Q832" s="6" t="str">
        <f t="shared" si="4"/>
        <v>Week 11</v>
      </c>
      <c r="R832" s="6" t="str">
        <f t="shared" si="5"/>
        <v>2015Week 11</v>
      </c>
      <c r="S832" s="6">
        <f>IFERROR(__xludf.DUMMYFUNCTION("rank(J832,FILTER(J:J,R:R=R832))"),1.0)</f>
        <v>1</v>
      </c>
      <c r="T832" s="6">
        <f t="shared" si="6"/>
        <v>11</v>
      </c>
      <c r="U832" s="6">
        <f t="shared" si="7"/>
        <v>1</v>
      </c>
      <c r="V832" s="42">
        <f>averageif(AllData!A:A,B832,AllData!R:R)/vlookup(B832,AllData!A:O,15,0)</f>
        <v>92.55128205</v>
      </c>
      <c r="W832" s="6"/>
    </row>
    <row r="833" ht="14.25" customHeight="1">
      <c r="A833" s="6" t="str">
        <f t="shared" si="1"/>
        <v>2015Shep11</v>
      </c>
      <c r="B833" s="6">
        <v>2015.0</v>
      </c>
      <c r="C833" s="6" t="s">
        <v>89</v>
      </c>
      <c r="D833" s="6" t="s">
        <v>150</v>
      </c>
      <c r="E833" s="34"/>
      <c r="F833" s="6" t="s">
        <v>2497</v>
      </c>
      <c r="G833" s="6" t="s">
        <v>125</v>
      </c>
      <c r="H833" s="6" t="s">
        <v>2421</v>
      </c>
      <c r="I833" s="35" t="s">
        <v>93</v>
      </c>
      <c r="J833" s="36">
        <v>98.4</v>
      </c>
      <c r="K833" s="36">
        <v>81.0</v>
      </c>
      <c r="L833" s="36">
        <f t="shared" si="2"/>
        <v>1</v>
      </c>
      <c r="M833" s="36" t="str">
        <f t="shared" si="3"/>
        <v>Regular Season</v>
      </c>
      <c r="N833" s="36" t="str">
        <f>IFERROR(VLOOKUP(I833,Mapped_Owner,2,0),"")</f>
        <v>Pierson</v>
      </c>
      <c r="O833" s="6">
        <f>VLOOKUP(D833,'Mapped Opponent'!$G$4:$H$22,2,0)</f>
        <v>11</v>
      </c>
      <c r="P833" s="6"/>
      <c r="Q833" s="6" t="str">
        <f t="shared" si="4"/>
        <v>Week 11</v>
      </c>
      <c r="R833" s="6" t="str">
        <f t="shared" si="5"/>
        <v>2015Week 11</v>
      </c>
      <c r="S833" s="6">
        <f>IFERROR(__xludf.DUMMYFUNCTION("rank(J833,FILTER(J:J,R:R=R833))"),3.0)</f>
        <v>3</v>
      </c>
      <c r="T833" s="6">
        <f t="shared" si="6"/>
        <v>9</v>
      </c>
      <c r="U833" s="6">
        <f t="shared" si="7"/>
        <v>3</v>
      </c>
      <c r="V833" s="42">
        <f>averageif(AllData!A:A,B833,AllData!R:R)/vlookup(B833,AllData!A:O,15,0)</f>
        <v>92.55128205</v>
      </c>
      <c r="W833" s="6"/>
    </row>
    <row r="834" ht="14.25" customHeight="1">
      <c r="A834" s="6" t="str">
        <f t="shared" si="1"/>
        <v>2015Riley11</v>
      </c>
      <c r="B834" s="6">
        <v>2015.0</v>
      </c>
      <c r="C834" s="6" t="s">
        <v>67</v>
      </c>
      <c r="D834" s="6" t="s">
        <v>150</v>
      </c>
      <c r="E834" s="34"/>
      <c r="F834" s="6" t="s">
        <v>2500</v>
      </c>
      <c r="G834" s="6" t="s">
        <v>114</v>
      </c>
      <c r="H834" s="6" t="s">
        <v>2414</v>
      </c>
      <c r="I834" s="35" t="s">
        <v>80</v>
      </c>
      <c r="J834" s="36">
        <v>71.6</v>
      </c>
      <c r="K834" s="36">
        <v>106.4</v>
      </c>
      <c r="L834" s="36">
        <f t="shared" si="2"/>
        <v>0</v>
      </c>
      <c r="M834" s="36" t="str">
        <f t="shared" si="3"/>
        <v>Regular Season</v>
      </c>
      <c r="N834" s="36" t="str">
        <f>IFERROR(VLOOKUP(I834,Mapped_Owner,2,0),"")</f>
        <v>Fellows</v>
      </c>
      <c r="O834" s="6">
        <f>VLOOKUP(D834,'Mapped Opponent'!$G$4:$H$22,2,0)</f>
        <v>11</v>
      </c>
      <c r="P834" s="6"/>
      <c r="Q834" s="6" t="str">
        <f t="shared" si="4"/>
        <v>Week 11</v>
      </c>
      <c r="R834" s="6" t="str">
        <f t="shared" si="5"/>
        <v>2015Week 11</v>
      </c>
      <c r="S834" s="6">
        <f>IFERROR(__xludf.DUMMYFUNCTION("rank(J834,FILTER(J:J,R:R=R834))"),9.0)</f>
        <v>9</v>
      </c>
      <c r="T834" s="6">
        <f t="shared" si="6"/>
        <v>3</v>
      </c>
      <c r="U834" s="6">
        <f t="shared" si="7"/>
        <v>9</v>
      </c>
      <c r="V834" s="42">
        <f>averageif(AllData!A:A,B834,AllData!R:R)/vlookup(B834,AllData!A:O,15,0)</f>
        <v>92.55128205</v>
      </c>
      <c r="W834" s="6"/>
    </row>
    <row r="835" ht="14.25" customHeight="1">
      <c r="A835" s="6" t="str">
        <f t="shared" si="1"/>
        <v>2015Rooney/Jackson11</v>
      </c>
      <c r="B835" s="6">
        <v>2015.0</v>
      </c>
      <c r="C835" s="6" t="s">
        <v>57</v>
      </c>
      <c r="D835" s="6" t="s">
        <v>150</v>
      </c>
      <c r="E835" s="34"/>
      <c r="F835" s="6" t="s">
        <v>2503</v>
      </c>
      <c r="G835" s="6" t="s">
        <v>114</v>
      </c>
      <c r="H835" s="6" t="s">
        <v>2440</v>
      </c>
      <c r="I835" s="35" t="s">
        <v>77</v>
      </c>
      <c r="J835" s="36">
        <v>73.7</v>
      </c>
      <c r="K835" s="36">
        <v>96.1</v>
      </c>
      <c r="L835" s="36">
        <f t="shared" si="2"/>
        <v>0</v>
      </c>
      <c r="M835" s="36" t="str">
        <f t="shared" si="3"/>
        <v>Regular Season</v>
      </c>
      <c r="N835" s="36" t="str">
        <f>IFERROR(VLOOKUP(I835,Mapped_Owner,2,0),"")</f>
        <v>Salty</v>
      </c>
      <c r="O835" s="6">
        <f>VLOOKUP(D835,'Mapped Opponent'!$G$4:$H$22,2,0)</f>
        <v>11</v>
      </c>
      <c r="P835" s="6"/>
      <c r="Q835" s="6" t="str">
        <f t="shared" si="4"/>
        <v>Week 11</v>
      </c>
      <c r="R835" s="6" t="str">
        <f t="shared" si="5"/>
        <v>2015Week 11</v>
      </c>
      <c r="S835" s="6">
        <f>IFERROR(__xludf.DUMMYFUNCTION("rank(J835,FILTER(J:J,R:R=R835))"),8.0)</f>
        <v>8</v>
      </c>
      <c r="T835" s="6">
        <f t="shared" si="6"/>
        <v>4</v>
      </c>
      <c r="U835" s="6">
        <f t="shared" si="7"/>
        <v>8</v>
      </c>
      <c r="V835" s="42">
        <f>averageif(AllData!A:A,B835,AllData!R:R)/vlookup(B835,AllData!A:O,15,0)</f>
        <v>92.55128205</v>
      </c>
      <c r="W835" s="6"/>
    </row>
    <row r="836" ht="14.25" customHeight="1">
      <c r="A836" s="6" t="str">
        <f t="shared" si="1"/>
        <v>2015Buser11</v>
      </c>
      <c r="B836" s="6">
        <v>2015.0</v>
      </c>
      <c r="C836" s="6" t="s">
        <v>47</v>
      </c>
      <c r="D836" s="6" t="s">
        <v>150</v>
      </c>
      <c r="E836" s="6"/>
      <c r="F836" s="6" t="s">
        <v>2506</v>
      </c>
      <c r="G836" s="6" t="s">
        <v>125</v>
      </c>
      <c r="H836" s="35" t="s">
        <v>2417</v>
      </c>
      <c r="I836" s="180" t="s">
        <v>64</v>
      </c>
      <c r="J836" s="36">
        <v>101.7</v>
      </c>
      <c r="K836" s="36">
        <v>74.8</v>
      </c>
      <c r="L836" s="36">
        <f t="shared" si="2"/>
        <v>1</v>
      </c>
      <c r="M836" s="36" t="str">
        <f t="shared" si="3"/>
        <v>Regular Season</v>
      </c>
      <c r="N836" s="36" t="str">
        <f>IFERROR(VLOOKUP(I836,Mapped_Owner,2,0),"")</f>
        <v>Hudspeath</v>
      </c>
      <c r="O836" s="6">
        <f>VLOOKUP(D836,'Mapped Opponent'!$G$4:$H$22,2,0)</f>
        <v>11</v>
      </c>
      <c r="P836" s="6"/>
      <c r="Q836" s="6" t="str">
        <f t="shared" si="4"/>
        <v>Week 11</v>
      </c>
      <c r="R836" s="6" t="str">
        <f t="shared" si="5"/>
        <v>2015Week 11</v>
      </c>
      <c r="S836" s="6">
        <f>IFERROR(__xludf.DUMMYFUNCTION("rank(J836,FILTER(J:J,R:R=R836))"),2.0)</f>
        <v>2</v>
      </c>
      <c r="T836" s="6">
        <f t="shared" si="6"/>
        <v>10</v>
      </c>
      <c r="U836" s="6">
        <f t="shared" si="7"/>
        <v>2</v>
      </c>
      <c r="V836" s="42">
        <f>averageif(AllData!A:A,B836,AllData!R:R)/vlookup(B836,AllData!A:O,15,0)</f>
        <v>92.55128205</v>
      </c>
      <c r="W836" s="6"/>
    </row>
    <row r="837" ht="14.25" customHeight="1">
      <c r="A837" s="6" t="str">
        <f t="shared" si="1"/>
        <v>2015Pierson11</v>
      </c>
      <c r="B837" s="6">
        <v>2015.0</v>
      </c>
      <c r="C837" s="6" t="s">
        <v>92</v>
      </c>
      <c r="D837" s="6" t="s">
        <v>150</v>
      </c>
      <c r="E837" s="34"/>
      <c r="F837" s="6" t="s">
        <v>2508</v>
      </c>
      <c r="G837" s="6" t="s">
        <v>114</v>
      </c>
      <c r="H837" s="6" t="s">
        <v>2425</v>
      </c>
      <c r="I837" s="35" t="s">
        <v>91</v>
      </c>
      <c r="J837" s="36">
        <v>81.0</v>
      </c>
      <c r="K837" s="36">
        <v>98.4</v>
      </c>
      <c r="L837" s="36">
        <f t="shared" si="2"/>
        <v>0</v>
      </c>
      <c r="M837" s="36" t="str">
        <f t="shared" si="3"/>
        <v>Regular Season</v>
      </c>
      <c r="N837" s="36" t="str">
        <f>IFERROR(VLOOKUP(I837,Mapped_Owner,2,0),"")</f>
        <v>Shep</v>
      </c>
      <c r="O837" s="6">
        <f>VLOOKUP(D837,'Mapped Opponent'!$G$4:$H$22,2,0)</f>
        <v>11</v>
      </c>
      <c r="P837" s="6"/>
      <c r="Q837" s="6" t="str">
        <f t="shared" si="4"/>
        <v>Week 11</v>
      </c>
      <c r="R837" s="6" t="str">
        <f t="shared" si="5"/>
        <v>2015Week 11</v>
      </c>
      <c r="S837" s="6">
        <f>IFERROR(__xludf.DUMMYFUNCTION("rank(J837,FILTER(J:J,R:R=R837))"),6.0)</f>
        <v>6</v>
      </c>
      <c r="T837" s="6">
        <f t="shared" si="6"/>
        <v>6</v>
      </c>
      <c r="U837" s="6">
        <f t="shared" si="7"/>
        <v>6</v>
      </c>
      <c r="V837" s="42">
        <f>averageif(AllData!A:A,B837,AllData!R:R)/vlookup(B837,AllData!A:O,15,0)</f>
        <v>92.55128205</v>
      </c>
      <c r="W837" s="6"/>
    </row>
    <row r="838" ht="14.25" customHeight="1">
      <c r="A838" s="6" t="str">
        <f t="shared" si="1"/>
        <v>2015Cock11</v>
      </c>
      <c r="B838" s="6">
        <v>2015.0</v>
      </c>
      <c r="C838" s="6" t="s">
        <v>72</v>
      </c>
      <c r="D838" s="6" t="s">
        <v>150</v>
      </c>
      <c r="E838" s="6"/>
      <c r="F838" s="6" t="s">
        <v>2510</v>
      </c>
      <c r="G838" s="6" t="s">
        <v>114</v>
      </c>
      <c r="H838" s="35" t="s">
        <v>2433</v>
      </c>
      <c r="I838" s="180" t="s">
        <v>54</v>
      </c>
      <c r="J838" s="36">
        <v>58.9</v>
      </c>
      <c r="K838" s="36">
        <v>93.2</v>
      </c>
      <c r="L838" s="36">
        <f t="shared" si="2"/>
        <v>0</v>
      </c>
      <c r="M838" s="36" t="str">
        <f t="shared" si="3"/>
        <v>Regular Season</v>
      </c>
      <c r="N838" s="36" t="str">
        <f>IFERROR(VLOOKUP(I838,Mapped_Owner,2,0),"")</f>
        <v>Tayski</v>
      </c>
      <c r="O838" s="6">
        <f>VLOOKUP(D838,'Mapped Opponent'!$G$4:$H$22,2,0)</f>
        <v>11</v>
      </c>
      <c r="P838" s="6"/>
      <c r="Q838" s="6" t="str">
        <f t="shared" si="4"/>
        <v>Week 11</v>
      </c>
      <c r="R838" s="6" t="str">
        <f t="shared" si="5"/>
        <v>2015Week 11</v>
      </c>
      <c r="S838" s="6">
        <f>IFERROR(__xludf.DUMMYFUNCTION("rank(J838,FILTER(J:J,R:R=R838))"),11.0)</f>
        <v>11</v>
      </c>
      <c r="T838" s="6">
        <f t="shared" si="6"/>
        <v>1</v>
      </c>
      <c r="U838" s="6">
        <f t="shared" si="7"/>
        <v>11</v>
      </c>
      <c r="V838" s="42">
        <f>averageif(AllData!A:A,B838,AllData!R:R)/vlookup(B838,AllData!A:O,15,0)</f>
        <v>92.55128205</v>
      </c>
      <c r="W838" s="6"/>
    </row>
    <row r="839" ht="14.25" customHeight="1">
      <c r="A839" s="6" t="str">
        <f t="shared" si="1"/>
        <v>2015Tayski11</v>
      </c>
      <c r="B839" s="6">
        <v>2015.0</v>
      </c>
      <c r="C839" s="6" t="s">
        <v>52</v>
      </c>
      <c r="D839" s="6" t="s">
        <v>150</v>
      </c>
      <c r="E839" s="34"/>
      <c r="F839" s="6" t="s">
        <v>2511</v>
      </c>
      <c r="G839" s="6" t="s">
        <v>125</v>
      </c>
      <c r="H839" s="6" t="s">
        <v>2423</v>
      </c>
      <c r="I839" s="35" t="s">
        <v>99</v>
      </c>
      <c r="J839" s="36">
        <v>93.2</v>
      </c>
      <c r="K839" s="36">
        <v>58.9</v>
      </c>
      <c r="L839" s="36">
        <f t="shared" si="2"/>
        <v>1</v>
      </c>
      <c r="M839" s="36" t="str">
        <f t="shared" si="3"/>
        <v>Regular Season</v>
      </c>
      <c r="N839" s="36" t="str">
        <f>IFERROR(VLOOKUP(I839,Mapped_Owner,2,0),"")</f>
        <v>Cock</v>
      </c>
      <c r="O839" s="6">
        <f>VLOOKUP(D839,'Mapped Opponent'!$G$4:$H$22,2,0)</f>
        <v>11</v>
      </c>
      <c r="P839" s="6"/>
      <c r="Q839" s="6" t="str">
        <f t="shared" si="4"/>
        <v>Week 11</v>
      </c>
      <c r="R839" s="6" t="str">
        <f t="shared" si="5"/>
        <v>2015Week 11</v>
      </c>
      <c r="S839" s="6">
        <f>IFERROR(__xludf.DUMMYFUNCTION("rank(J839,FILTER(J:J,R:R=R839))"),5.0)</f>
        <v>5</v>
      </c>
      <c r="T839" s="6">
        <f t="shared" si="6"/>
        <v>7</v>
      </c>
      <c r="U839" s="6">
        <f t="shared" si="7"/>
        <v>5</v>
      </c>
      <c r="V839" s="42">
        <f>averageif(AllData!A:A,B839,AllData!R:R)/vlookup(B839,AllData!A:O,15,0)</f>
        <v>92.55128205</v>
      </c>
      <c r="W839" s="6"/>
    </row>
    <row r="840" ht="14.25" customHeight="1">
      <c r="A840" s="6" t="str">
        <f t="shared" si="1"/>
        <v>2015KnardDawg11</v>
      </c>
      <c r="B840" s="6">
        <v>2015.0</v>
      </c>
      <c r="C840" s="6" t="s">
        <v>86</v>
      </c>
      <c r="D840" s="6" t="s">
        <v>150</v>
      </c>
      <c r="E840" s="34"/>
      <c r="F840" s="6" t="s">
        <v>2512</v>
      </c>
      <c r="G840" s="6" t="s">
        <v>125</v>
      </c>
      <c r="H840" s="6" t="s">
        <v>2436</v>
      </c>
      <c r="I840" s="35" t="s">
        <v>85</v>
      </c>
      <c r="J840" s="36">
        <v>63.6</v>
      </c>
      <c r="K840" s="36">
        <v>57.4</v>
      </c>
      <c r="L840" s="36">
        <f t="shared" si="2"/>
        <v>1</v>
      </c>
      <c r="M840" s="36" t="str">
        <f t="shared" si="3"/>
        <v>Regular Season</v>
      </c>
      <c r="N840" s="36" t="str">
        <f>IFERROR(VLOOKUP(I840,Mapped_Owner,2,0),"")</f>
        <v>T-How</v>
      </c>
      <c r="O840" s="6">
        <f>VLOOKUP(D840,'Mapped Opponent'!$G$4:$H$22,2,0)</f>
        <v>11</v>
      </c>
      <c r="P840" s="6"/>
      <c r="Q840" s="6" t="str">
        <f t="shared" si="4"/>
        <v>Week 11</v>
      </c>
      <c r="R840" s="6" t="str">
        <f t="shared" si="5"/>
        <v>2015Week 11</v>
      </c>
      <c r="S840" s="6">
        <f>IFERROR(__xludf.DUMMYFUNCTION("rank(J840,FILTER(J:J,R:R=R840))"),10.0)</f>
        <v>10</v>
      </c>
      <c r="T840" s="6">
        <f t="shared" si="6"/>
        <v>2</v>
      </c>
      <c r="U840" s="6">
        <f t="shared" si="7"/>
        <v>10</v>
      </c>
      <c r="V840" s="42">
        <f>averageif(AllData!A:A,B840,AllData!R:R)/vlookup(B840,AllData!A:O,15,0)</f>
        <v>92.55128205</v>
      </c>
      <c r="W840" s="6"/>
    </row>
    <row r="841" ht="14.25" customHeight="1">
      <c r="A841" s="6" t="str">
        <f t="shared" si="1"/>
        <v>2015T-How11</v>
      </c>
      <c r="B841" s="6">
        <v>2015.0</v>
      </c>
      <c r="C841" s="6" t="s">
        <v>82</v>
      </c>
      <c r="D841" s="6" t="s">
        <v>150</v>
      </c>
      <c r="E841" s="34"/>
      <c r="F841" s="6" t="s">
        <v>2515</v>
      </c>
      <c r="G841" s="6" t="s">
        <v>114</v>
      </c>
      <c r="H841" s="6" t="s">
        <v>2431</v>
      </c>
      <c r="I841" s="35" t="s">
        <v>132</v>
      </c>
      <c r="J841" s="36">
        <v>57.4</v>
      </c>
      <c r="K841" s="36">
        <v>63.6</v>
      </c>
      <c r="L841" s="36">
        <f t="shared" si="2"/>
        <v>0</v>
      </c>
      <c r="M841" s="36" t="str">
        <f t="shared" si="3"/>
        <v>Regular Season</v>
      </c>
      <c r="N841" s="36" t="str">
        <f>IFERROR(VLOOKUP(I841,Mapped_Owner,2,0),"")</f>
        <v>KnardDawg</v>
      </c>
      <c r="O841" s="6">
        <f>VLOOKUP(D841,'Mapped Opponent'!$G$4:$H$22,2,0)</f>
        <v>11</v>
      </c>
      <c r="P841" s="6"/>
      <c r="Q841" s="6" t="str">
        <f t="shared" si="4"/>
        <v>Week 11</v>
      </c>
      <c r="R841" s="6" t="str">
        <f t="shared" si="5"/>
        <v>2015Week 11</v>
      </c>
      <c r="S841" s="6">
        <f>IFERROR(__xludf.DUMMYFUNCTION("rank(J841,FILTER(J:J,R:R=R841))"),12.0)</f>
        <v>12</v>
      </c>
      <c r="T841" s="6">
        <f t="shared" si="6"/>
        <v>0</v>
      </c>
      <c r="U841" s="6">
        <f t="shared" si="7"/>
        <v>12</v>
      </c>
      <c r="V841" s="42">
        <f>averageif(AllData!A:A,B841,AllData!R:R)/vlookup(B841,AllData!A:O,15,0)</f>
        <v>92.55128205</v>
      </c>
      <c r="W841" s="6"/>
    </row>
    <row r="842" ht="14.25" customHeight="1">
      <c r="A842" s="6" t="str">
        <f t="shared" si="1"/>
        <v>2015Hudspeath12</v>
      </c>
      <c r="B842" s="6">
        <v>2015.0</v>
      </c>
      <c r="C842" s="6" t="s">
        <v>39</v>
      </c>
      <c r="D842" s="6" t="s">
        <v>151</v>
      </c>
      <c r="E842" s="34"/>
      <c r="F842" s="34" t="s">
        <v>2517</v>
      </c>
      <c r="G842" s="6" t="s">
        <v>125</v>
      </c>
      <c r="H842" s="6" t="s">
        <v>2423</v>
      </c>
      <c r="I842" s="6" t="s">
        <v>99</v>
      </c>
      <c r="J842" s="36">
        <v>64.8</v>
      </c>
      <c r="K842" s="36">
        <v>96.7</v>
      </c>
      <c r="L842" s="36">
        <f t="shared" si="2"/>
        <v>0</v>
      </c>
      <c r="M842" s="36" t="str">
        <f t="shared" si="3"/>
        <v>Regular Season</v>
      </c>
      <c r="N842" s="36" t="str">
        <f>IFERROR(VLOOKUP(I842,Mapped_Owner,2,0),"")</f>
        <v>Cock</v>
      </c>
      <c r="O842" s="6">
        <f>VLOOKUP(D842,'Mapped Opponent'!$G$4:$H$22,2,0)</f>
        <v>12</v>
      </c>
      <c r="P842" s="6"/>
      <c r="Q842" s="6" t="str">
        <f t="shared" si="4"/>
        <v>Week 12</v>
      </c>
      <c r="R842" s="6" t="str">
        <f t="shared" si="5"/>
        <v>2015Week 12</v>
      </c>
      <c r="S842" s="6">
        <f>IFERROR(__xludf.DUMMYFUNCTION("rank(J842,FILTER(J:J,R:R=R842))"),11.0)</f>
        <v>11</v>
      </c>
      <c r="T842" s="6">
        <f t="shared" si="6"/>
        <v>1</v>
      </c>
      <c r="U842" s="6">
        <f t="shared" si="7"/>
        <v>11</v>
      </c>
      <c r="V842" s="42">
        <f>averageif(AllData!A:A,B842,AllData!R:R)/vlookup(B842,AllData!A:O,15,0)</f>
        <v>92.55128205</v>
      </c>
      <c r="W842" s="6"/>
    </row>
    <row r="843" ht="14.25" customHeight="1">
      <c r="A843" s="6" t="str">
        <f t="shared" si="1"/>
        <v>2015Salty12</v>
      </c>
      <c r="B843" s="6">
        <v>2015.0</v>
      </c>
      <c r="C843" s="6" t="s">
        <v>76</v>
      </c>
      <c r="D843" s="6" t="s">
        <v>151</v>
      </c>
      <c r="E843" s="34"/>
      <c r="F843" s="6" t="s">
        <v>2519</v>
      </c>
      <c r="G843" s="6" t="s">
        <v>114</v>
      </c>
      <c r="H843" s="6" t="s">
        <v>2421</v>
      </c>
      <c r="I843" s="35" t="s">
        <v>93</v>
      </c>
      <c r="J843" s="36">
        <v>137.2</v>
      </c>
      <c r="K843" s="36">
        <v>68.9</v>
      </c>
      <c r="L843" s="36">
        <f t="shared" si="2"/>
        <v>1</v>
      </c>
      <c r="M843" s="36" t="str">
        <f t="shared" si="3"/>
        <v>Regular Season</v>
      </c>
      <c r="N843" s="36" t="str">
        <f>IFERROR(VLOOKUP(I843,Mapped_Owner,2,0),"")</f>
        <v>Pierson</v>
      </c>
      <c r="O843" s="6">
        <f>VLOOKUP(D843,'Mapped Opponent'!$G$4:$H$22,2,0)</f>
        <v>12</v>
      </c>
      <c r="P843" s="6"/>
      <c r="Q843" s="6" t="str">
        <f t="shared" si="4"/>
        <v>Week 12</v>
      </c>
      <c r="R843" s="6" t="str">
        <f t="shared" si="5"/>
        <v>2015Week 12</v>
      </c>
      <c r="S843" s="6">
        <f>IFERROR(__xludf.DUMMYFUNCTION("rank(J843,FILTER(J:J,R:R=R843))"),1.0)</f>
        <v>1</v>
      </c>
      <c r="T843" s="6">
        <f t="shared" si="6"/>
        <v>11</v>
      </c>
      <c r="U843" s="6">
        <f t="shared" si="7"/>
        <v>1</v>
      </c>
      <c r="V843" s="42">
        <f>averageif(AllData!A:A,B843,AllData!R:R)/vlookup(B843,AllData!A:O,15,0)</f>
        <v>92.55128205</v>
      </c>
      <c r="W843" s="6"/>
    </row>
    <row r="844" ht="14.25" customHeight="1">
      <c r="A844" s="6" t="str">
        <f t="shared" si="1"/>
        <v>2015Fellows12</v>
      </c>
      <c r="B844" s="6">
        <v>2015.0</v>
      </c>
      <c r="C844" s="6" t="s">
        <v>79</v>
      </c>
      <c r="D844" s="6" t="s">
        <v>151</v>
      </c>
      <c r="E844" s="6"/>
      <c r="F844" s="6" t="s">
        <v>2522</v>
      </c>
      <c r="G844" s="6" t="s">
        <v>114</v>
      </c>
      <c r="H844" s="35" t="s">
        <v>2436</v>
      </c>
      <c r="I844" s="180" t="s">
        <v>85</v>
      </c>
      <c r="J844" s="36">
        <v>82.7</v>
      </c>
      <c r="K844" s="36">
        <v>83.5</v>
      </c>
      <c r="L844" s="36">
        <f t="shared" si="2"/>
        <v>0</v>
      </c>
      <c r="M844" s="36" t="str">
        <f t="shared" si="3"/>
        <v>Regular Season</v>
      </c>
      <c r="N844" s="36" t="str">
        <f>IFERROR(VLOOKUP(I844,Mapped_Owner,2,0),"")</f>
        <v>T-How</v>
      </c>
      <c r="O844" s="6">
        <f>VLOOKUP(D844,'Mapped Opponent'!$G$4:$H$22,2,0)</f>
        <v>12</v>
      </c>
      <c r="P844" s="6"/>
      <c r="Q844" s="6" t="str">
        <f t="shared" si="4"/>
        <v>Week 12</v>
      </c>
      <c r="R844" s="6" t="str">
        <f t="shared" si="5"/>
        <v>2015Week 12</v>
      </c>
      <c r="S844" s="6">
        <f>IFERROR(__xludf.DUMMYFUNCTION("rank(J844,FILTER(J:J,R:R=R844))"),9.0)</f>
        <v>9</v>
      </c>
      <c r="T844" s="6">
        <f t="shared" si="6"/>
        <v>3</v>
      </c>
      <c r="U844" s="6">
        <f t="shared" si="7"/>
        <v>9</v>
      </c>
      <c r="V844" s="42">
        <f>averageif(AllData!A:A,B844,AllData!R:R)/vlookup(B844,AllData!A:O,15,0)</f>
        <v>92.55128205</v>
      </c>
      <c r="W844" s="6"/>
    </row>
    <row r="845" ht="14.25" customHeight="1">
      <c r="A845" s="6" t="str">
        <f t="shared" si="1"/>
        <v>2015Shep12</v>
      </c>
      <c r="B845" s="6">
        <v>2015.0</v>
      </c>
      <c r="C845" s="6" t="s">
        <v>89</v>
      </c>
      <c r="D845" s="6" t="s">
        <v>151</v>
      </c>
      <c r="E845" s="34"/>
      <c r="F845" s="6" t="s">
        <v>2524</v>
      </c>
      <c r="G845" s="6" t="s">
        <v>114</v>
      </c>
      <c r="H845" s="6" t="s">
        <v>2431</v>
      </c>
      <c r="I845" s="35" t="s">
        <v>132</v>
      </c>
      <c r="J845" s="36">
        <v>95.5</v>
      </c>
      <c r="K845" s="36">
        <v>105.5</v>
      </c>
      <c r="L845" s="36">
        <f t="shared" si="2"/>
        <v>0</v>
      </c>
      <c r="M845" s="36" t="str">
        <f t="shared" si="3"/>
        <v>Regular Season</v>
      </c>
      <c r="N845" s="36" t="str">
        <f>IFERROR(VLOOKUP(I845,Mapped_Owner,2,0),"")</f>
        <v>KnardDawg</v>
      </c>
      <c r="O845" s="6">
        <f>VLOOKUP(D845,'Mapped Opponent'!$G$4:$H$22,2,0)</f>
        <v>12</v>
      </c>
      <c r="P845" s="6"/>
      <c r="Q845" s="6" t="str">
        <f t="shared" si="4"/>
        <v>Week 12</v>
      </c>
      <c r="R845" s="6" t="str">
        <f t="shared" si="5"/>
        <v>2015Week 12</v>
      </c>
      <c r="S845" s="6">
        <f>IFERROR(__xludf.DUMMYFUNCTION("rank(J845,FILTER(J:J,R:R=R845))"),7.0)</f>
        <v>7</v>
      </c>
      <c r="T845" s="6">
        <f t="shared" si="6"/>
        <v>5</v>
      </c>
      <c r="U845" s="6">
        <f t="shared" si="7"/>
        <v>7</v>
      </c>
      <c r="V845" s="42">
        <f>averageif(AllData!A:A,B845,AllData!R:R)/vlookup(B845,AllData!A:O,15,0)</f>
        <v>92.55128205</v>
      </c>
      <c r="W845" s="6"/>
    </row>
    <row r="846" ht="14.25" customHeight="1">
      <c r="A846" s="6" t="str">
        <f t="shared" si="1"/>
        <v>2015Riley12</v>
      </c>
      <c r="B846" s="6">
        <v>2015.0</v>
      </c>
      <c r="C846" s="6" t="s">
        <v>67</v>
      </c>
      <c r="D846" s="6" t="s">
        <v>151</v>
      </c>
      <c r="E846" s="34"/>
      <c r="F846" s="6" t="s">
        <v>2527</v>
      </c>
      <c r="G846" s="6" t="s">
        <v>125</v>
      </c>
      <c r="H846" s="6" t="s">
        <v>2433</v>
      </c>
      <c r="I846" s="35" t="s">
        <v>54</v>
      </c>
      <c r="J846" s="36">
        <v>121.1</v>
      </c>
      <c r="K846" s="36">
        <v>101.6</v>
      </c>
      <c r="L846" s="36">
        <f t="shared" si="2"/>
        <v>1</v>
      </c>
      <c r="M846" s="36" t="str">
        <f t="shared" si="3"/>
        <v>Regular Season</v>
      </c>
      <c r="N846" s="36" t="str">
        <f>IFERROR(VLOOKUP(I846,Mapped_Owner,2,0),"")</f>
        <v>Tayski</v>
      </c>
      <c r="O846" s="6">
        <f>VLOOKUP(D846,'Mapped Opponent'!$G$4:$H$22,2,0)</f>
        <v>12</v>
      </c>
      <c r="P846" s="6"/>
      <c r="Q846" s="6" t="str">
        <f t="shared" si="4"/>
        <v>Week 12</v>
      </c>
      <c r="R846" s="6" t="str">
        <f t="shared" si="5"/>
        <v>2015Week 12</v>
      </c>
      <c r="S846" s="6">
        <f>IFERROR(__xludf.DUMMYFUNCTION("rank(J846,FILTER(J:J,R:R=R846))"),2.0)</f>
        <v>2</v>
      </c>
      <c r="T846" s="6">
        <f t="shared" si="6"/>
        <v>10</v>
      </c>
      <c r="U846" s="6">
        <f t="shared" si="7"/>
        <v>2</v>
      </c>
      <c r="V846" s="42">
        <f>averageif(AllData!A:A,B846,AllData!R:R)/vlookup(B846,AllData!A:O,15,0)</f>
        <v>92.55128205</v>
      </c>
      <c r="W846" s="6"/>
    </row>
    <row r="847" ht="14.25" customHeight="1">
      <c r="A847" s="6" t="str">
        <f t="shared" si="1"/>
        <v>2015Rooney/Jackson12</v>
      </c>
      <c r="B847" s="6">
        <v>2015.0</v>
      </c>
      <c r="C847" s="6" t="s">
        <v>57</v>
      </c>
      <c r="D847" s="6" t="s">
        <v>151</v>
      </c>
      <c r="E847" s="34"/>
      <c r="F847" s="6" t="s">
        <v>2529</v>
      </c>
      <c r="G847" s="6" t="s">
        <v>125</v>
      </c>
      <c r="H847" s="6" t="s">
        <v>2419</v>
      </c>
      <c r="I847" s="35" t="s">
        <v>50</v>
      </c>
      <c r="J847" s="36">
        <v>50.1</v>
      </c>
      <c r="K847" s="36">
        <v>103.1</v>
      </c>
      <c r="L847" s="36">
        <f t="shared" si="2"/>
        <v>0</v>
      </c>
      <c r="M847" s="36" t="str">
        <f t="shared" si="3"/>
        <v>Regular Season</v>
      </c>
      <c r="N847" s="36" t="str">
        <f>IFERROR(VLOOKUP(I847,Mapped_Owner,2,0),"")</f>
        <v>Buser</v>
      </c>
      <c r="O847" s="6">
        <f>VLOOKUP(D847,'Mapped Opponent'!$G$4:$H$22,2,0)</f>
        <v>12</v>
      </c>
      <c r="P847" s="6"/>
      <c r="Q847" s="6" t="str">
        <f t="shared" si="4"/>
        <v>Week 12</v>
      </c>
      <c r="R847" s="6" t="str">
        <f t="shared" si="5"/>
        <v>2015Week 12</v>
      </c>
      <c r="S847" s="6">
        <f>IFERROR(__xludf.DUMMYFUNCTION("rank(J847,FILTER(J:J,R:R=R847))"),12.0)</f>
        <v>12</v>
      </c>
      <c r="T847" s="6">
        <f t="shared" si="6"/>
        <v>0</v>
      </c>
      <c r="U847" s="6">
        <f t="shared" si="7"/>
        <v>12</v>
      </c>
      <c r="V847" s="42">
        <f>averageif(AllData!A:A,B847,AllData!R:R)/vlookup(B847,AllData!A:O,15,0)</f>
        <v>92.55128205</v>
      </c>
      <c r="W847" s="6"/>
    </row>
    <row r="848" ht="14.25" customHeight="1">
      <c r="A848" s="6" t="str">
        <f t="shared" si="1"/>
        <v>2015Buser12</v>
      </c>
      <c r="B848" s="6">
        <v>2015.0</v>
      </c>
      <c r="C848" s="6" t="s">
        <v>47</v>
      </c>
      <c r="D848" s="6" t="s">
        <v>151</v>
      </c>
      <c r="E848" s="6"/>
      <c r="F848" s="6" t="s">
        <v>2532</v>
      </c>
      <c r="G848" s="6" t="s">
        <v>114</v>
      </c>
      <c r="H848" s="35" t="s">
        <v>2429</v>
      </c>
      <c r="I848" s="180" t="s">
        <v>58</v>
      </c>
      <c r="J848" s="36">
        <v>103.1</v>
      </c>
      <c r="K848" s="36">
        <v>50.1</v>
      </c>
      <c r="L848" s="36">
        <f t="shared" si="2"/>
        <v>1</v>
      </c>
      <c r="M848" s="36" t="str">
        <f t="shared" si="3"/>
        <v>Regular Season</v>
      </c>
      <c r="N848" s="36" t="str">
        <f>IFERROR(VLOOKUP(I848,Mapped_Owner,2,0),"")</f>
        <v>Rooney/Jackson</v>
      </c>
      <c r="O848" s="6">
        <f>VLOOKUP(D848,'Mapped Opponent'!$G$4:$H$22,2,0)</f>
        <v>12</v>
      </c>
      <c r="P848" s="6"/>
      <c r="Q848" s="6" t="str">
        <f t="shared" si="4"/>
        <v>Week 12</v>
      </c>
      <c r="R848" s="6" t="str">
        <f t="shared" si="5"/>
        <v>2015Week 12</v>
      </c>
      <c r="S848" s="6">
        <f>IFERROR(__xludf.DUMMYFUNCTION("rank(J848,FILTER(J:J,R:R=R848))"),4.0)</f>
        <v>4</v>
      </c>
      <c r="T848" s="6">
        <f t="shared" si="6"/>
        <v>8</v>
      </c>
      <c r="U848" s="6">
        <f t="shared" si="7"/>
        <v>4</v>
      </c>
      <c r="V848" s="42">
        <f>averageif(AllData!A:A,B848,AllData!R:R)/vlookup(B848,AllData!A:O,15,0)</f>
        <v>92.55128205</v>
      </c>
      <c r="W848" s="6"/>
    </row>
    <row r="849" ht="14.25" customHeight="1">
      <c r="A849" s="6" t="str">
        <f t="shared" si="1"/>
        <v>2015Pierson12</v>
      </c>
      <c r="B849" s="6">
        <v>2015.0</v>
      </c>
      <c r="C849" s="6" t="s">
        <v>92</v>
      </c>
      <c r="D849" s="6" t="s">
        <v>151</v>
      </c>
      <c r="E849" s="34"/>
      <c r="F849" s="6" t="s">
        <v>2533</v>
      </c>
      <c r="G849" s="6" t="s">
        <v>125</v>
      </c>
      <c r="H849" s="6" t="s">
        <v>2440</v>
      </c>
      <c r="I849" s="35" t="s">
        <v>77</v>
      </c>
      <c r="J849" s="36">
        <v>68.9</v>
      </c>
      <c r="K849" s="36">
        <v>137.2</v>
      </c>
      <c r="L849" s="36">
        <f t="shared" si="2"/>
        <v>0</v>
      </c>
      <c r="M849" s="36" t="str">
        <f t="shared" si="3"/>
        <v>Regular Season</v>
      </c>
      <c r="N849" s="36" t="str">
        <f>IFERROR(VLOOKUP(I849,Mapped_Owner,2,0),"")</f>
        <v>Salty</v>
      </c>
      <c r="O849" s="6">
        <f>VLOOKUP(D849,'Mapped Opponent'!$G$4:$H$22,2,0)</f>
        <v>12</v>
      </c>
      <c r="P849" s="6"/>
      <c r="Q849" s="6" t="str">
        <f t="shared" si="4"/>
        <v>Week 12</v>
      </c>
      <c r="R849" s="6" t="str">
        <f t="shared" si="5"/>
        <v>2015Week 12</v>
      </c>
      <c r="S849" s="6">
        <f>IFERROR(__xludf.DUMMYFUNCTION("rank(J849,FILTER(J:J,R:R=R849))"),10.0)</f>
        <v>10</v>
      </c>
      <c r="T849" s="6">
        <f t="shared" si="6"/>
        <v>2</v>
      </c>
      <c r="U849" s="6">
        <f t="shared" si="7"/>
        <v>10</v>
      </c>
      <c r="V849" s="42">
        <f>averageif(AllData!A:A,B849,AllData!R:R)/vlookup(B849,AllData!A:O,15,0)</f>
        <v>92.55128205</v>
      </c>
      <c r="W849" s="6"/>
    </row>
    <row r="850" ht="14.25" customHeight="1">
      <c r="A850" s="6" t="str">
        <f t="shared" si="1"/>
        <v>2015Cock12</v>
      </c>
      <c r="B850" s="6">
        <v>2015.0</v>
      </c>
      <c r="C850" s="6" t="s">
        <v>72</v>
      </c>
      <c r="D850" s="6" t="s">
        <v>151</v>
      </c>
      <c r="E850" s="6"/>
      <c r="F850" s="6" t="s">
        <v>2534</v>
      </c>
      <c r="G850" s="6" t="s">
        <v>114</v>
      </c>
      <c r="H850" s="35" t="s">
        <v>2417</v>
      </c>
      <c r="I850" s="180" t="s">
        <v>64</v>
      </c>
      <c r="J850" s="36">
        <v>96.7</v>
      </c>
      <c r="K850" s="36">
        <v>64.8</v>
      </c>
      <c r="L850" s="36">
        <f t="shared" si="2"/>
        <v>1</v>
      </c>
      <c r="M850" s="36" t="str">
        <f t="shared" si="3"/>
        <v>Regular Season</v>
      </c>
      <c r="N850" s="36" t="str">
        <f>IFERROR(VLOOKUP(I850,Mapped_Owner,2,0),"")</f>
        <v>Hudspeath</v>
      </c>
      <c r="O850" s="6">
        <f>VLOOKUP(D850,'Mapped Opponent'!$G$4:$H$22,2,0)</f>
        <v>12</v>
      </c>
      <c r="P850" s="6"/>
      <c r="Q850" s="6" t="str">
        <f t="shared" si="4"/>
        <v>Week 12</v>
      </c>
      <c r="R850" s="6" t="str">
        <f t="shared" si="5"/>
        <v>2015Week 12</v>
      </c>
      <c r="S850" s="6">
        <f>IFERROR(__xludf.DUMMYFUNCTION("rank(J850,FILTER(J:J,R:R=R850))"),6.0)</f>
        <v>6</v>
      </c>
      <c r="T850" s="6">
        <f t="shared" si="6"/>
        <v>6</v>
      </c>
      <c r="U850" s="6">
        <f t="shared" si="7"/>
        <v>6</v>
      </c>
      <c r="V850" s="42">
        <f>averageif(AllData!A:A,B850,AllData!R:R)/vlookup(B850,AllData!A:O,15,0)</f>
        <v>92.55128205</v>
      </c>
      <c r="W850" s="6"/>
    </row>
    <row r="851" ht="14.25" customHeight="1">
      <c r="A851" s="6" t="str">
        <f t="shared" si="1"/>
        <v>2015Tayski12</v>
      </c>
      <c r="B851" s="6">
        <v>2015.0</v>
      </c>
      <c r="C851" s="6" t="s">
        <v>52</v>
      </c>
      <c r="D851" s="6" t="s">
        <v>151</v>
      </c>
      <c r="E851" s="34"/>
      <c r="F851" s="6" t="s">
        <v>2535</v>
      </c>
      <c r="G851" s="6" t="s">
        <v>114</v>
      </c>
      <c r="H851" s="6" t="s">
        <v>2427</v>
      </c>
      <c r="I851" s="35" t="s">
        <v>68</v>
      </c>
      <c r="J851" s="36">
        <v>101.6</v>
      </c>
      <c r="K851" s="36">
        <v>121.1</v>
      </c>
      <c r="L851" s="36">
        <f t="shared" si="2"/>
        <v>0</v>
      </c>
      <c r="M851" s="36" t="str">
        <f t="shared" si="3"/>
        <v>Regular Season</v>
      </c>
      <c r="N851" s="36" t="str">
        <f>IFERROR(VLOOKUP(I851,Mapped_Owner,2,0),"")</f>
        <v>Riley</v>
      </c>
      <c r="O851" s="6">
        <f>VLOOKUP(D851,'Mapped Opponent'!$G$4:$H$22,2,0)</f>
        <v>12</v>
      </c>
      <c r="P851" s="6"/>
      <c r="Q851" s="6" t="str">
        <f t="shared" si="4"/>
        <v>Week 12</v>
      </c>
      <c r="R851" s="6" t="str">
        <f t="shared" si="5"/>
        <v>2015Week 12</v>
      </c>
      <c r="S851" s="6">
        <f>IFERROR(__xludf.DUMMYFUNCTION("rank(J851,FILTER(J:J,R:R=R851))"),5.0)</f>
        <v>5</v>
      </c>
      <c r="T851" s="6">
        <f t="shared" si="6"/>
        <v>7</v>
      </c>
      <c r="U851" s="6">
        <f t="shared" si="7"/>
        <v>5</v>
      </c>
      <c r="V851" s="42">
        <f>averageif(AllData!A:A,B851,AllData!R:R)/vlookup(B851,AllData!A:O,15,0)</f>
        <v>92.55128205</v>
      </c>
      <c r="W851" s="6"/>
    </row>
    <row r="852" ht="14.25" customHeight="1">
      <c r="A852" s="6" t="str">
        <f t="shared" si="1"/>
        <v>2015KnardDawg12</v>
      </c>
      <c r="B852" s="6">
        <v>2015.0</v>
      </c>
      <c r="C852" s="6" t="s">
        <v>86</v>
      </c>
      <c r="D852" s="6" t="s">
        <v>151</v>
      </c>
      <c r="E852" s="34"/>
      <c r="F852" s="6" t="s">
        <v>2536</v>
      </c>
      <c r="G852" s="6" t="s">
        <v>125</v>
      </c>
      <c r="H852" s="6" t="s">
        <v>2425</v>
      </c>
      <c r="I852" s="35" t="s">
        <v>91</v>
      </c>
      <c r="J852" s="36">
        <v>105.5</v>
      </c>
      <c r="K852" s="36">
        <v>95.5</v>
      </c>
      <c r="L852" s="36">
        <f t="shared" si="2"/>
        <v>1</v>
      </c>
      <c r="M852" s="36" t="str">
        <f t="shared" si="3"/>
        <v>Regular Season</v>
      </c>
      <c r="N852" s="36" t="str">
        <f>IFERROR(VLOOKUP(I852,Mapped_Owner,2,0),"")</f>
        <v>Shep</v>
      </c>
      <c r="O852" s="6">
        <f>VLOOKUP(D852,'Mapped Opponent'!$G$4:$H$22,2,0)</f>
        <v>12</v>
      </c>
      <c r="P852" s="6"/>
      <c r="Q852" s="6" t="str">
        <f t="shared" si="4"/>
        <v>Week 12</v>
      </c>
      <c r="R852" s="6" t="str">
        <f t="shared" si="5"/>
        <v>2015Week 12</v>
      </c>
      <c r="S852" s="6">
        <f>IFERROR(__xludf.DUMMYFUNCTION("rank(J852,FILTER(J:J,R:R=R852))"),3.0)</f>
        <v>3</v>
      </c>
      <c r="T852" s="6">
        <f t="shared" si="6"/>
        <v>9</v>
      </c>
      <c r="U852" s="6">
        <f t="shared" si="7"/>
        <v>3</v>
      </c>
      <c r="V852" s="42">
        <f>averageif(AllData!A:A,B852,AllData!R:R)/vlookup(B852,AllData!A:O,15,0)</f>
        <v>92.55128205</v>
      </c>
      <c r="W852" s="6"/>
    </row>
    <row r="853" ht="14.25" customHeight="1">
      <c r="A853" s="6" t="str">
        <f t="shared" si="1"/>
        <v>2015T-How12</v>
      </c>
      <c r="B853" s="6">
        <v>2015.0</v>
      </c>
      <c r="C853" s="6" t="s">
        <v>82</v>
      </c>
      <c r="D853" s="6" t="s">
        <v>151</v>
      </c>
      <c r="E853" s="34"/>
      <c r="F853" s="6" t="s">
        <v>2537</v>
      </c>
      <c r="G853" s="6" t="s">
        <v>125</v>
      </c>
      <c r="H853" s="6" t="s">
        <v>2414</v>
      </c>
      <c r="I853" s="35" t="s">
        <v>80</v>
      </c>
      <c r="J853" s="36">
        <v>83.5</v>
      </c>
      <c r="K853" s="36">
        <v>82.7</v>
      </c>
      <c r="L853" s="36">
        <f t="shared" si="2"/>
        <v>1</v>
      </c>
      <c r="M853" s="36" t="str">
        <f t="shared" si="3"/>
        <v>Regular Season</v>
      </c>
      <c r="N853" s="36" t="str">
        <f>IFERROR(VLOOKUP(I853,Mapped_Owner,2,0),"")</f>
        <v>Fellows</v>
      </c>
      <c r="O853" s="6">
        <f>VLOOKUP(D853,'Mapped Opponent'!$G$4:$H$22,2,0)</f>
        <v>12</v>
      </c>
      <c r="P853" s="6"/>
      <c r="Q853" s="6" t="str">
        <f t="shared" si="4"/>
        <v>Week 12</v>
      </c>
      <c r="R853" s="6" t="str">
        <f t="shared" si="5"/>
        <v>2015Week 12</v>
      </c>
      <c r="S853" s="6">
        <f>IFERROR(__xludf.DUMMYFUNCTION("rank(J853,FILTER(J:J,R:R=R853))"),8.0)</f>
        <v>8</v>
      </c>
      <c r="T853" s="6">
        <f t="shared" si="6"/>
        <v>4</v>
      </c>
      <c r="U853" s="6">
        <f t="shared" si="7"/>
        <v>8</v>
      </c>
      <c r="V853" s="42">
        <f>averageif(AllData!A:A,B853,AllData!R:R)/vlookup(B853,AllData!A:O,15,0)</f>
        <v>92.55128205</v>
      </c>
      <c r="W853" s="6"/>
    </row>
    <row r="854" ht="14.25" customHeight="1">
      <c r="A854" s="6" t="str">
        <f t="shared" si="1"/>
        <v>2015Hudspeath13</v>
      </c>
      <c r="B854" s="6">
        <v>2015.0</v>
      </c>
      <c r="C854" s="6" t="s">
        <v>39</v>
      </c>
      <c r="D854" s="6" t="s">
        <v>152</v>
      </c>
      <c r="E854" s="34"/>
      <c r="F854" s="34" t="s">
        <v>2538</v>
      </c>
      <c r="G854" s="6" t="s">
        <v>114</v>
      </c>
      <c r="H854" s="6" t="s">
        <v>2429</v>
      </c>
      <c r="I854" s="6" t="s">
        <v>58</v>
      </c>
      <c r="J854" s="36">
        <v>99.5</v>
      </c>
      <c r="K854" s="36">
        <v>63.6</v>
      </c>
      <c r="L854" s="36">
        <f t="shared" si="2"/>
        <v>1</v>
      </c>
      <c r="M854" s="36" t="str">
        <f t="shared" si="3"/>
        <v>Regular Season</v>
      </c>
      <c r="N854" s="36" t="str">
        <f>IFERROR(VLOOKUP(I854,Mapped_Owner,2,0),"")</f>
        <v>Rooney/Jackson</v>
      </c>
      <c r="O854" s="6">
        <f>VLOOKUP(D854,'Mapped Opponent'!$G$4:$H$22,2,0)</f>
        <v>13</v>
      </c>
      <c r="P854" s="6"/>
      <c r="Q854" s="6" t="str">
        <f t="shared" si="4"/>
        <v>Week 13</v>
      </c>
      <c r="R854" s="6" t="str">
        <f t="shared" si="5"/>
        <v>2015Week 13</v>
      </c>
      <c r="S854" s="6">
        <f>IFERROR(__xludf.DUMMYFUNCTION("rank(J854,FILTER(J:J,R:R=R854))"),6.0)</f>
        <v>6</v>
      </c>
      <c r="T854" s="6">
        <f t="shared" si="6"/>
        <v>6</v>
      </c>
      <c r="U854" s="6">
        <f t="shared" si="7"/>
        <v>6</v>
      </c>
      <c r="V854" s="42">
        <f>averageif(AllData!A:A,B854,AllData!R:R)/vlookup(B854,AllData!A:O,15,0)</f>
        <v>92.55128205</v>
      </c>
      <c r="W854" s="6"/>
    </row>
    <row r="855" ht="14.25" customHeight="1">
      <c r="A855" s="6" t="str">
        <f t="shared" si="1"/>
        <v>2015Salty13</v>
      </c>
      <c r="B855" s="6">
        <v>2015.0</v>
      </c>
      <c r="C855" s="6" t="s">
        <v>76</v>
      </c>
      <c r="D855" s="6" t="s">
        <v>152</v>
      </c>
      <c r="E855" s="34"/>
      <c r="F855" s="6" t="s">
        <v>2539</v>
      </c>
      <c r="G855" s="6" t="s">
        <v>125</v>
      </c>
      <c r="H855" s="6" t="s">
        <v>2431</v>
      </c>
      <c r="I855" s="35" t="s">
        <v>132</v>
      </c>
      <c r="J855" s="36">
        <v>113.2</v>
      </c>
      <c r="K855" s="36">
        <v>92.7</v>
      </c>
      <c r="L855" s="36">
        <f t="shared" si="2"/>
        <v>1</v>
      </c>
      <c r="M855" s="36" t="str">
        <f t="shared" si="3"/>
        <v>Regular Season</v>
      </c>
      <c r="N855" s="36" t="str">
        <f>IFERROR(VLOOKUP(I855,Mapped_Owner,2,0),"")</f>
        <v>KnardDawg</v>
      </c>
      <c r="O855" s="6">
        <f>VLOOKUP(D855,'Mapped Opponent'!$G$4:$H$22,2,0)</f>
        <v>13</v>
      </c>
      <c r="P855" s="6"/>
      <c r="Q855" s="6" t="str">
        <f t="shared" si="4"/>
        <v>Week 13</v>
      </c>
      <c r="R855" s="6" t="str">
        <f t="shared" si="5"/>
        <v>2015Week 13</v>
      </c>
      <c r="S855" s="6">
        <f>IFERROR(__xludf.DUMMYFUNCTION("rank(J855,FILTER(J:J,R:R=R855))"),3.0)</f>
        <v>3</v>
      </c>
      <c r="T855" s="6">
        <f t="shared" si="6"/>
        <v>9</v>
      </c>
      <c r="U855" s="6">
        <f t="shared" si="7"/>
        <v>3</v>
      </c>
      <c r="V855" s="42">
        <f>averageif(AllData!A:A,B855,AllData!R:R)/vlookup(B855,AllData!A:O,15,0)</f>
        <v>92.55128205</v>
      </c>
      <c r="W855" s="6"/>
    </row>
    <row r="856" ht="14.25" customHeight="1">
      <c r="A856" s="6" t="str">
        <f t="shared" si="1"/>
        <v>2015Fellows13</v>
      </c>
      <c r="B856" s="6">
        <v>2015.0</v>
      </c>
      <c r="C856" s="6" t="s">
        <v>79</v>
      </c>
      <c r="D856" s="6" t="s">
        <v>152</v>
      </c>
      <c r="E856" s="6"/>
      <c r="F856" s="6" t="s">
        <v>2540</v>
      </c>
      <c r="G856" s="6" t="s">
        <v>125</v>
      </c>
      <c r="H856" s="35" t="s">
        <v>2425</v>
      </c>
      <c r="I856" s="180" t="s">
        <v>91</v>
      </c>
      <c r="J856" s="36">
        <v>109.2</v>
      </c>
      <c r="K856" s="36">
        <v>100.9</v>
      </c>
      <c r="L856" s="36">
        <f t="shared" si="2"/>
        <v>1</v>
      </c>
      <c r="M856" s="36" t="str">
        <f t="shared" si="3"/>
        <v>Regular Season</v>
      </c>
      <c r="N856" s="36" t="str">
        <f>IFERROR(VLOOKUP(I856,Mapped_Owner,2,0),"")</f>
        <v>Shep</v>
      </c>
      <c r="O856" s="6">
        <f>VLOOKUP(D856,'Mapped Opponent'!$G$4:$H$22,2,0)</f>
        <v>13</v>
      </c>
      <c r="P856" s="6"/>
      <c r="Q856" s="6" t="str">
        <f t="shared" si="4"/>
        <v>Week 13</v>
      </c>
      <c r="R856" s="6" t="str">
        <f t="shared" si="5"/>
        <v>2015Week 13</v>
      </c>
      <c r="S856" s="6">
        <f>IFERROR(__xludf.DUMMYFUNCTION("rank(J856,FILTER(J:J,R:R=R856))"),4.0)</f>
        <v>4</v>
      </c>
      <c r="T856" s="6">
        <f t="shared" si="6"/>
        <v>8</v>
      </c>
      <c r="U856" s="6">
        <f t="shared" si="7"/>
        <v>4</v>
      </c>
      <c r="V856" s="42">
        <f>averageif(AllData!A:A,B856,AllData!R:R)/vlookup(B856,AllData!A:O,15,0)</f>
        <v>92.55128205</v>
      </c>
      <c r="W856" s="6"/>
    </row>
    <row r="857" ht="14.25" customHeight="1">
      <c r="A857" s="6" t="str">
        <f t="shared" si="1"/>
        <v>2015Shep13</v>
      </c>
      <c r="B857" s="6">
        <v>2015.0</v>
      </c>
      <c r="C857" s="6" t="s">
        <v>89</v>
      </c>
      <c r="D857" s="6" t="s">
        <v>152</v>
      </c>
      <c r="E857" s="34"/>
      <c r="F857" s="6" t="s">
        <v>2541</v>
      </c>
      <c r="G857" s="6" t="s">
        <v>114</v>
      </c>
      <c r="H857" s="6" t="s">
        <v>2414</v>
      </c>
      <c r="I857" s="35" t="s">
        <v>80</v>
      </c>
      <c r="J857" s="36">
        <v>100.9</v>
      </c>
      <c r="K857" s="36">
        <v>109.2</v>
      </c>
      <c r="L857" s="36">
        <f t="shared" si="2"/>
        <v>0</v>
      </c>
      <c r="M857" s="36" t="str">
        <f t="shared" si="3"/>
        <v>Regular Season</v>
      </c>
      <c r="N857" s="36" t="str">
        <f>IFERROR(VLOOKUP(I857,Mapped_Owner,2,0),"")</f>
        <v>Fellows</v>
      </c>
      <c r="O857" s="6">
        <f>VLOOKUP(D857,'Mapped Opponent'!$G$4:$H$22,2,0)</f>
        <v>13</v>
      </c>
      <c r="P857" s="6"/>
      <c r="Q857" s="6" t="str">
        <f t="shared" si="4"/>
        <v>Week 13</v>
      </c>
      <c r="R857" s="6" t="str">
        <f t="shared" si="5"/>
        <v>2015Week 13</v>
      </c>
      <c r="S857" s="6">
        <f>IFERROR(__xludf.DUMMYFUNCTION("rank(J857,FILTER(J:J,R:R=R857))"),5.0)</f>
        <v>5</v>
      </c>
      <c r="T857" s="6">
        <f t="shared" si="6"/>
        <v>7</v>
      </c>
      <c r="U857" s="6">
        <f t="shared" si="7"/>
        <v>5</v>
      </c>
      <c r="V857" s="42">
        <f>averageif(AllData!A:A,B857,AllData!R:R)/vlookup(B857,AllData!A:O,15,0)</f>
        <v>92.55128205</v>
      </c>
      <c r="W857" s="6"/>
    </row>
    <row r="858" ht="14.25" customHeight="1">
      <c r="A858" s="6" t="str">
        <f t="shared" si="1"/>
        <v>2015Riley13</v>
      </c>
      <c r="B858" s="6">
        <v>2015.0</v>
      </c>
      <c r="C858" s="6" t="s">
        <v>67</v>
      </c>
      <c r="D858" s="6" t="s">
        <v>152</v>
      </c>
      <c r="E858" s="34"/>
      <c r="F858" s="6" t="s">
        <v>2542</v>
      </c>
      <c r="G858" s="6" t="s">
        <v>114</v>
      </c>
      <c r="H858" s="6" t="s">
        <v>2423</v>
      </c>
      <c r="I858" s="35" t="s">
        <v>99</v>
      </c>
      <c r="J858" s="36">
        <v>84.9</v>
      </c>
      <c r="K858" s="36">
        <v>113.8</v>
      </c>
      <c r="L858" s="36">
        <f t="shared" si="2"/>
        <v>0</v>
      </c>
      <c r="M858" s="36" t="str">
        <f t="shared" si="3"/>
        <v>Regular Season</v>
      </c>
      <c r="N858" s="36" t="str">
        <f>IFERROR(VLOOKUP(I858,Mapped_Owner,2,0),"")</f>
        <v>Cock</v>
      </c>
      <c r="O858" s="6">
        <f>VLOOKUP(D858,'Mapped Opponent'!$G$4:$H$22,2,0)</f>
        <v>13</v>
      </c>
      <c r="P858" s="6"/>
      <c r="Q858" s="6" t="str">
        <f t="shared" si="4"/>
        <v>Week 13</v>
      </c>
      <c r="R858" s="6" t="str">
        <f t="shared" si="5"/>
        <v>2015Week 13</v>
      </c>
      <c r="S858" s="6">
        <f>IFERROR(__xludf.DUMMYFUNCTION("rank(J858,FILTER(J:J,R:R=R858))"),10.0)</f>
        <v>10</v>
      </c>
      <c r="T858" s="6">
        <f t="shared" si="6"/>
        <v>2</v>
      </c>
      <c r="U858" s="6">
        <f t="shared" si="7"/>
        <v>10</v>
      </c>
      <c r="V858" s="42">
        <f>averageif(AllData!A:A,B858,AllData!R:R)/vlookup(B858,AllData!A:O,15,0)</f>
        <v>92.55128205</v>
      </c>
      <c r="W858" s="6"/>
    </row>
    <row r="859" ht="14.25" customHeight="1">
      <c r="A859" s="6" t="str">
        <f t="shared" si="1"/>
        <v>2015Rooney/Jackson13</v>
      </c>
      <c r="B859" s="6">
        <v>2015.0</v>
      </c>
      <c r="C859" s="6" t="s">
        <v>57</v>
      </c>
      <c r="D859" s="6" t="s">
        <v>152</v>
      </c>
      <c r="E859" s="34"/>
      <c r="F859" s="6" t="s">
        <v>2543</v>
      </c>
      <c r="G859" s="6" t="s">
        <v>125</v>
      </c>
      <c r="H859" s="6" t="s">
        <v>2417</v>
      </c>
      <c r="I859" s="35" t="s">
        <v>64</v>
      </c>
      <c r="J859" s="36">
        <v>63.6</v>
      </c>
      <c r="K859" s="36">
        <v>99.5</v>
      </c>
      <c r="L859" s="36">
        <f t="shared" si="2"/>
        <v>0</v>
      </c>
      <c r="M859" s="36" t="str">
        <f t="shared" si="3"/>
        <v>Regular Season</v>
      </c>
      <c r="N859" s="36" t="str">
        <f>IFERROR(VLOOKUP(I859,Mapped_Owner,2,0),"")</f>
        <v>Hudspeath</v>
      </c>
      <c r="O859" s="6">
        <f>VLOOKUP(D859,'Mapped Opponent'!$G$4:$H$22,2,0)</f>
        <v>13</v>
      </c>
      <c r="P859" s="6"/>
      <c r="Q859" s="6" t="str">
        <f t="shared" si="4"/>
        <v>Week 13</v>
      </c>
      <c r="R859" s="6" t="str">
        <f t="shared" si="5"/>
        <v>2015Week 13</v>
      </c>
      <c r="S859" s="6">
        <f>IFERROR(__xludf.DUMMYFUNCTION("rank(J859,FILTER(J:J,R:R=R859))"),12.0)</f>
        <v>12</v>
      </c>
      <c r="T859" s="6">
        <f t="shared" si="6"/>
        <v>0</v>
      </c>
      <c r="U859" s="6">
        <f t="shared" si="7"/>
        <v>12</v>
      </c>
      <c r="V859" s="42">
        <f>averageif(AllData!A:A,B859,AllData!R:R)/vlookup(B859,AllData!A:O,15,0)</f>
        <v>92.55128205</v>
      </c>
      <c r="W859" s="6"/>
    </row>
    <row r="860" ht="14.25" customHeight="1">
      <c r="A860" s="6" t="str">
        <f t="shared" si="1"/>
        <v>2015Buser13</v>
      </c>
      <c r="B860" s="6">
        <v>2015.0</v>
      </c>
      <c r="C860" s="6" t="s">
        <v>47</v>
      </c>
      <c r="D860" s="6" t="s">
        <v>152</v>
      </c>
      <c r="E860" s="6"/>
      <c r="F860" s="6" t="s">
        <v>2544</v>
      </c>
      <c r="G860" s="6" t="s">
        <v>125</v>
      </c>
      <c r="H860" s="35" t="s">
        <v>2421</v>
      </c>
      <c r="I860" s="180" t="s">
        <v>93</v>
      </c>
      <c r="J860" s="36">
        <v>92.2</v>
      </c>
      <c r="K860" s="36">
        <v>99.4</v>
      </c>
      <c r="L860" s="36">
        <f t="shared" si="2"/>
        <v>0</v>
      </c>
      <c r="M860" s="36" t="str">
        <f t="shared" si="3"/>
        <v>Regular Season</v>
      </c>
      <c r="N860" s="36" t="str">
        <f>IFERROR(VLOOKUP(I860,Mapped_Owner,2,0),"")</f>
        <v>Pierson</v>
      </c>
      <c r="O860" s="6">
        <f>VLOOKUP(D860,'Mapped Opponent'!$G$4:$H$22,2,0)</f>
        <v>13</v>
      </c>
      <c r="P860" s="6"/>
      <c r="Q860" s="6" t="str">
        <f t="shared" si="4"/>
        <v>Week 13</v>
      </c>
      <c r="R860" s="6" t="str">
        <f t="shared" si="5"/>
        <v>2015Week 13</v>
      </c>
      <c r="S860" s="6">
        <f>IFERROR(__xludf.DUMMYFUNCTION("rank(J860,FILTER(J:J,R:R=R860))"),9.0)</f>
        <v>9</v>
      </c>
      <c r="T860" s="6">
        <f t="shared" si="6"/>
        <v>3</v>
      </c>
      <c r="U860" s="6">
        <f t="shared" si="7"/>
        <v>9</v>
      </c>
      <c r="V860" s="42">
        <f>averageif(AllData!A:A,B860,AllData!R:R)/vlookup(B860,AllData!A:O,15,0)</f>
        <v>92.55128205</v>
      </c>
      <c r="W860" s="6"/>
    </row>
    <row r="861" ht="14.25" customHeight="1">
      <c r="A861" s="6" t="str">
        <f t="shared" si="1"/>
        <v>2015Pierson13</v>
      </c>
      <c r="B861" s="6">
        <v>2015.0</v>
      </c>
      <c r="C861" s="6" t="s">
        <v>92</v>
      </c>
      <c r="D861" s="6" t="s">
        <v>152</v>
      </c>
      <c r="E861" s="34"/>
      <c r="F861" s="6" t="s">
        <v>2545</v>
      </c>
      <c r="G861" s="6" t="s">
        <v>114</v>
      </c>
      <c r="H861" s="6" t="s">
        <v>2419</v>
      </c>
      <c r="I861" s="35" t="s">
        <v>50</v>
      </c>
      <c r="J861" s="36">
        <v>99.4</v>
      </c>
      <c r="K861" s="36">
        <v>92.2</v>
      </c>
      <c r="L861" s="36">
        <f t="shared" si="2"/>
        <v>1</v>
      </c>
      <c r="M861" s="36" t="str">
        <f t="shared" si="3"/>
        <v>Regular Season</v>
      </c>
      <c r="N861" s="36" t="str">
        <f>IFERROR(VLOOKUP(I861,Mapped_Owner,2,0),"")</f>
        <v>Buser</v>
      </c>
      <c r="O861" s="6">
        <f>VLOOKUP(D861,'Mapped Opponent'!$G$4:$H$22,2,0)</f>
        <v>13</v>
      </c>
      <c r="P861" s="6"/>
      <c r="Q861" s="6" t="str">
        <f t="shared" si="4"/>
        <v>Week 13</v>
      </c>
      <c r="R861" s="6" t="str">
        <f t="shared" si="5"/>
        <v>2015Week 13</v>
      </c>
      <c r="S861" s="6">
        <f>IFERROR(__xludf.DUMMYFUNCTION("rank(J861,FILTER(J:J,R:R=R861))"),7.0)</f>
        <v>7</v>
      </c>
      <c r="T861" s="6">
        <f t="shared" si="6"/>
        <v>5</v>
      </c>
      <c r="U861" s="6">
        <f t="shared" si="7"/>
        <v>7</v>
      </c>
      <c r="V861" s="42">
        <f>averageif(AllData!A:A,B861,AllData!R:R)/vlookup(B861,AllData!A:O,15,0)</f>
        <v>92.55128205</v>
      </c>
      <c r="W861" s="6"/>
    </row>
    <row r="862" ht="14.25" customHeight="1">
      <c r="A862" s="6" t="str">
        <f t="shared" si="1"/>
        <v>2015Cock13</v>
      </c>
      <c r="B862" s="6">
        <v>2015.0</v>
      </c>
      <c r="C862" s="6" t="s">
        <v>72</v>
      </c>
      <c r="D862" s="6" t="s">
        <v>152</v>
      </c>
      <c r="E862" s="6"/>
      <c r="F862" s="6" t="s">
        <v>2546</v>
      </c>
      <c r="G862" s="6" t="s">
        <v>125</v>
      </c>
      <c r="H862" s="35" t="s">
        <v>2427</v>
      </c>
      <c r="I862" s="180" t="s">
        <v>68</v>
      </c>
      <c r="J862" s="36">
        <v>113.8</v>
      </c>
      <c r="K862" s="36">
        <v>84.9</v>
      </c>
      <c r="L862" s="36">
        <f t="shared" si="2"/>
        <v>1</v>
      </c>
      <c r="M862" s="36" t="str">
        <f t="shared" si="3"/>
        <v>Regular Season</v>
      </c>
      <c r="N862" s="36" t="str">
        <f>IFERROR(VLOOKUP(I862,Mapped_Owner,2,0),"")</f>
        <v>Riley</v>
      </c>
      <c r="O862" s="6">
        <f>VLOOKUP(D862,'Mapped Opponent'!$G$4:$H$22,2,0)</f>
        <v>13</v>
      </c>
      <c r="P862" s="6"/>
      <c r="Q862" s="6" t="str">
        <f t="shared" si="4"/>
        <v>Week 13</v>
      </c>
      <c r="R862" s="6" t="str">
        <f t="shared" si="5"/>
        <v>2015Week 13</v>
      </c>
      <c r="S862" s="6">
        <f>IFERROR(__xludf.DUMMYFUNCTION("rank(J862,FILTER(J:J,R:R=R862))"),2.0)</f>
        <v>2</v>
      </c>
      <c r="T862" s="6">
        <f t="shared" si="6"/>
        <v>10</v>
      </c>
      <c r="U862" s="6">
        <f t="shared" si="7"/>
        <v>2</v>
      </c>
      <c r="V862" s="42">
        <f>averageif(AllData!A:A,B862,AllData!R:R)/vlookup(B862,AllData!A:O,15,0)</f>
        <v>92.55128205</v>
      </c>
      <c r="W862" s="6"/>
    </row>
    <row r="863" ht="14.25" customHeight="1">
      <c r="A863" s="6" t="str">
        <f t="shared" si="1"/>
        <v>2015Tayski13</v>
      </c>
      <c r="B863" s="6">
        <v>2015.0</v>
      </c>
      <c r="C863" s="6" t="s">
        <v>52</v>
      </c>
      <c r="D863" s="6" t="s">
        <v>152</v>
      </c>
      <c r="E863" s="34"/>
      <c r="F863" s="6" t="s">
        <v>2547</v>
      </c>
      <c r="G863" s="6" t="s">
        <v>125</v>
      </c>
      <c r="H863" s="6" t="s">
        <v>2436</v>
      </c>
      <c r="I863" s="35" t="s">
        <v>85</v>
      </c>
      <c r="J863" s="36">
        <v>76.1</v>
      </c>
      <c r="K863" s="36">
        <v>130.1</v>
      </c>
      <c r="L863" s="36">
        <f t="shared" si="2"/>
        <v>0</v>
      </c>
      <c r="M863" s="36" t="str">
        <f t="shared" si="3"/>
        <v>Regular Season</v>
      </c>
      <c r="N863" s="36" t="str">
        <f>IFERROR(VLOOKUP(I863,Mapped_Owner,2,0),"")</f>
        <v>T-How</v>
      </c>
      <c r="O863" s="6">
        <f>VLOOKUP(D863,'Mapped Opponent'!$G$4:$H$22,2,0)</f>
        <v>13</v>
      </c>
      <c r="P863" s="6"/>
      <c r="Q863" s="6" t="str">
        <f t="shared" si="4"/>
        <v>Week 13</v>
      </c>
      <c r="R863" s="6" t="str">
        <f t="shared" si="5"/>
        <v>2015Week 13</v>
      </c>
      <c r="S863" s="6">
        <f>IFERROR(__xludf.DUMMYFUNCTION("rank(J863,FILTER(J:J,R:R=R863))"),11.0)</f>
        <v>11</v>
      </c>
      <c r="T863" s="6">
        <f t="shared" si="6"/>
        <v>1</v>
      </c>
      <c r="U863" s="6">
        <f t="shared" si="7"/>
        <v>11</v>
      </c>
      <c r="V863" s="42">
        <f>averageif(AllData!A:A,B863,AllData!R:R)/vlookup(B863,AllData!A:O,15,0)</f>
        <v>92.55128205</v>
      </c>
      <c r="W863" s="6"/>
    </row>
    <row r="864" ht="14.25" customHeight="1">
      <c r="A864" s="6" t="str">
        <f t="shared" si="1"/>
        <v>2015KnardDawg13</v>
      </c>
      <c r="B864" s="6">
        <v>2015.0</v>
      </c>
      <c r="C864" s="6" t="s">
        <v>86</v>
      </c>
      <c r="D864" s="6" t="s">
        <v>152</v>
      </c>
      <c r="E864" s="34"/>
      <c r="F864" s="6" t="s">
        <v>2548</v>
      </c>
      <c r="G864" s="6" t="s">
        <v>114</v>
      </c>
      <c r="H864" s="6" t="s">
        <v>2440</v>
      </c>
      <c r="I864" s="35" t="s">
        <v>77</v>
      </c>
      <c r="J864" s="36">
        <v>92.7</v>
      </c>
      <c r="K864" s="36">
        <v>113.2</v>
      </c>
      <c r="L864" s="36">
        <f t="shared" si="2"/>
        <v>0</v>
      </c>
      <c r="M864" s="36" t="str">
        <f t="shared" si="3"/>
        <v>Regular Season</v>
      </c>
      <c r="N864" s="36" t="str">
        <f>IFERROR(VLOOKUP(I864,Mapped_Owner,2,0),"")</f>
        <v>Salty</v>
      </c>
      <c r="O864" s="6">
        <f>VLOOKUP(D864,'Mapped Opponent'!$G$4:$H$22,2,0)</f>
        <v>13</v>
      </c>
      <c r="P864" s="6"/>
      <c r="Q864" s="6" t="str">
        <f t="shared" si="4"/>
        <v>Week 13</v>
      </c>
      <c r="R864" s="6" t="str">
        <f t="shared" si="5"/>
        <v>2015Week 13</v>
      </c>
      <c r="S864" s="6">
        <f>IFERROR(__xludf.DUMMYFUNCTION("rank(J864,FILTER(J:J,R:R=R864))"),8.0)</f>
        <v>8</v>
      </c>
      <c r="T864" s="6">
        <f t="shared" si="6"/>
        <v>4</v>
      </c>
      <c r="U864" s="6">
        <f t="shared" si="7"/>
        <v>8</v>
      </c>
      <c r="V864" s="42">
        <f>averageif(AllData!A:A,B864,AllData!R:R)/vlookup(B864,AllData!A:O,15,0)</f>
        <v>92.55128205</v>
      </c>
      <c r="W864" s="6"/>
    </row>
    <row r="865" ht="14.25" customHeight="1">
      <c r="A865" s="6" t="str">
        <f t="shared" si="1"/>
        <v>2015T-How13</v>
      </c>
      <c r="B865" s="6">
        <v>2015.0</v>
      </c>
      <c r="C865" s="6" t="s">
        <v>82</v>
      </c>
      <c r="D865" s="6" t="s">
        <v>152</v>
      </c>
      <c r="E865" s="34"/>
      <c r="F865" s="6" t="s">
        <v>2549</v>
      </c>
      <c r="G865" s="6" t="s">
        <v>114</v>
      </c>
      <c r="H865" s="6" t="s">
        <v>2433</v>
      </c>
      <c r="I865" s="35" t="s">
        <v>54</v>
      </c>
      <c r="J865" s="36">
        <v>130.1</v>
      </c>
      <c r="K865" s="36">
        <v>76.1</v>
      </c>
      <c r="L865" s="36">
        <f t="shared" si="2"/>
        <v>1</v>
      </c>
      <c r="M865" s="36" t="str">
        <f t="shared" si="3"/>
        <v>Regular Season</v>
      </c>
      <c r="N865" s="36" t="str">
        <f>IFERROR(VLOOKUP(I865,Mapped_Owner,2,0),"")</f>
        <v>Tayski</v>
      </c>
      <c r="O865" s="6">
        <f>VLOOKUP(D865,'Mapped Opponent'!$G$4:$H$22,2,0)</f>
        <v>13</v>
      </c>
      <c r="P865" s="6"/>
      <c r="Q865" s="6" t="str">
        <f t="shared" si="4"/>
        <v>Week 13</v>
      </c>
      <c r="R865" s="6" t="str">
        <f t="shared" si="5"/>
        <v>2015Week 13</v>
      </c>
      <c r="S865" s="6">
        <f>IFERROR(__xludf.DUMMYFUNCTION("rank(J865,FILTER(J:J,R:R=R865))"),1.0)</f>
        <v>1</v>
      </c>
      <c r="T865" s="6">
        <f t="shared" si="6"/>
        <v>11</v>
      </c>
      <c r="U865" s="6">
        <f t="shared" si="7"/>
        <v>1</v>
      </c>
      <c r="V865" s="42">
        <f>averageif(AllData!A:A,B865,AllData!R:R)/vlookup(B865,AllData!A:O,15,0)</f>
        <v>92.55128205</v>
      </c>
      <c r="W865" s="6"/>
    </row>
    <row r="866" ht="14.25" customHeight="1">
      <c r="A866" s="6" t="str">
        <f t="shared" si="1"/>
        <v>2015Hudspeath2</v>
      </c>
      <c r="B866" s="6">
        <v>2015.0</v>
      </c>
      <c r="C866" s="6" t="s">
        <v>39</v>
      </c>
      <c r="D866" s="6" t="s">
        <v>131</v>
      </c>
      <c r="E866" s="34"/>
      <c r="F866" s="34" t="s">
        <v>2551</v>
      </c>
      <c r="G866" s="6" t="s">
        <v>125</v>
      </c>
      <c r="H866" s="6" t="s">
        <v>2429</v>
      </c>
      <c r="I866" s="6" t="s">
        <v>58</v>
      </c>
      <c r="J866" s="36">
        <v>85.2</v>
      </c>
      <c r="K866" s="36">
        <v>100.1</v>
      </c>
      <c r="L866" s="36">
        <f t="shared" si="2"/>
        <v>0</v>
      </c>
      <c r="M866" s="36" t="str">
        <f t="shared" si="3"/>
        <v>Regular Season</v>
      </c>
      <c r="N866" s="36" t="str">
        <f>IFERROR(VLOOKUP(I866,Mapped_Owner,2,0),"")</f>
        <v>Rooney/Jackson</v>
      </c>
      <c r="O866" s="6">
        <f>VLOOKUP(D866,'Mapped Opponent'!$G$4:$H$22,2,0)</f>
        <v>2</v>
      </c>
      <c r="P866" s="6"/>
      <c r="Q866" s="6" t="str">
        <f t="shared" si="4"/>
        <v>Week 2</v>
      </c>
      <c r="R866" s="6" t="str">
        <f t="shared" si="5"/>
        <v>2015Week 2</v>
      </c>
      <c r="S866" s="6">
        <f>IFERROR(__xludf.DUMMYFUNCTION("rank(J866,FILTER(J:J,R:R=R866))"),9.0)</f>
        <v>9</v>
      </c>
      <c r="T866" s="6">
        <f t="shared" si="6"/>
        <v>3</v>
      </c>
      <c r="U866" s="6">
        <f t="shared" si="7"/>
        <v>9</v>
      </c>
      <c r="V866" s="42">
        <f>averageif(AllData!A:A,B866,AllData!R:R)/vlookup(B866,AllData!A:O,15,0)</f>
        <v>92.55128205</v>
      </c>
      <c r="W866" s="6"/>
    </row>
    <row r="867" ht="14.25" customHeight="1">
      <c r="A867" s="6" t="str">
        <f t="shared" si="1"/>
        <v>2015Salty2</v>
      </c>
      <c r="B867" s="6">
        <v>2015.0</v>
      </c>
      <c r="C867" s="6" t="s">
        <v>76</v>
      </c>
      <c r="D867" s="6" t="s">
        <v>131</v>
      </c>
      <c r="E867" s="34"/>
      <c r="F867" s="6" t="s">
        <v>2552</v>
      </c>
      <c r="G867" s="6" t="s">
        <v>114</v>
      </c>
      <c r="H867" s="6" t="s">
        <v>2431</v>
      </c>
      <c r="I867" s="35" t="s">
        <v>132</v>
      </c>
      <c r="J867" s="36">
        <v>103.8</v>
      </c>
      <c r="K867" s="36">
        <v>118.0</v>
      </c>
      <c r="L867" s="36">
        <f t="shared" si="2"/>
        <v>0</v>
      </c>
      <c r="M867" s="36" t="str">
        <f t="shared" si="3"/>
        <v>Regular Season</v>
      </c>
      <c r="N867" s="36" t="str">
        <f>IFERROR(VLOOKUP(I867,Mapped_Owner,2,0),"")</f>
        <v>KnardDawg</v>
      </c>
      <c r="O867" s="6">
        <f>VLOOKUP(D867,'Mapped Opponent'!$G$4:$H$22,2,0)</f>
        <v>2</v>
      </c>
      <c r="P867" s="6"/>
      <c r="Q867" s="6" t="str">
        <f t="shared" si="4"/>
        <v>Week 2</v>
      </c>
      <c r="R867" s="6" t="str">
        <f t="shared" si="5"/>
        <v>2015Week 2</v>
      </c>
      <c r="S867" s="6">
        <f>IFERROR(__xludf.DUMMYFUNCTION("rank(J867,FILTER(J:J,R:R=R867))"),4.0)</f>
        <v>4</v>
      </c>
      <c r="T867" s="6">
        <f t="shared" si="6"/>
        <v>8</v>
      </c>
      <c r="U867" s="6">
        <f t="shared" si="7"/>
        <v>4</v>
      </c>
      <c r="V867" s="42">
        <f>averageif(AllData!A:A,B867,AllData!R:R)/vlookup(B867,AllData!A:O,15,0)</f>
        <v>92.55128205</v>
      </c>
      <c r="W867" s="6"/>
    </row>
    <row r="868" ht="14.25" customHeight="1">
      <c r="A868" s="6" t="str">
        <f t="shared" si="1"/>
        <v>2015Fellows2</v>
      </c>
      <c r="B868" s="6">
        <v>2015.0</v>
      </c>
      <c r="C868" s="6" t="s">
        <v>79</v>
      </c>
      <c r="D868" s="6" t="s">
        <v>131</v>
      </c>
      <c r="E868" s="6"/>
      <c r="F868" s="6" t="s">
        <v>2553</v>
      </c>
      <c r="G868" s="6" t="s">
        <v>114</v>
      </c>
      <c r="H868" s="35" t="s">
        <v>2425</v>
      </c>
      <c r="I868" s="180" t="s">
        <v>91</v>
      </c>
      <c r="J868" s="36">
        <v>62.5</v>
      </c>
      <c r="K868" s="36">
        <v>104.6</v>
      </c>
      <c r="L868" s="36">
        <f t="shared" si="2"/>
        <v>0</v>
      </c>
      <c r="M868" s="36" t="str">
        <f t="shared" si="3"/>
        <v>Regular Season</v>
      </c>
      <c r="N868" s="36" t="str">
        <f>IFERROR(VLOOKUP(I868,Mapped_Owner,2,0),"")</f>
        <v>Shep</v>
      </c>
      <c r="O868" s="6">
        <f>VLOOKUP(D868,'Mapped Opponent'!$G$4:$H$22,2,0)</f>
        <v>2</v>
      </c>
      <c r="P868" s="6"/>
      <c r="Q868" s="6" t="str">
        <f t="shared" si="4"/>
        <v>Week 2</v>
      </c>
      <c r="R868" s="6" t="str">
        <f t="shared" si="5"/>
        <v>2015Week 2</v>
      </c>
      <c r="S868" s="6">
        <f>IFERROR(__xludf.DUMMYFUNCTION("rank(J868,FILTER(J:J,R:R=R868))"),11.0)</f>
        <v>11</v>
      </c>
      <c r="T868" s="6">
        <f t="shared" si="6"/>
        <v>1</v>
      </c>
      <c r="U868" s="6">
        <f t="shared" si="7"/>
        <v>11</v>
      </c>
      <c r="V868" s="42">
        <f>averageif(AllData!A:A,B868,AllData!R:R)/vlookup(B868,AllData!A:O,15,0)</f>
        <v>92.55128205</v>
      </c>
      <c r="W868" s="6"/>
    </row>
    <row r="869" ht="14.25" customHeight="1">
      <c r="A869" s="6" t="str">
        <f t="shared" si="1"/>
        <v>2015Shep2</v>
      </c>
      <c r="B869" s="6">
        <v>2015.0</v>
      </c>
      <c r="C869" s="6" t="s">
        <v>89</v>
      </c>
      <c r="D869" s="6" t="s">
        <v>131</v>
      </c>
      <c r="E869" s="34"/>
      <c r="F869" s="6" t="s">
        <v>2554</v>
      </c>
      <c r="G869" s="6" t="s">
        <v>125</v>
      </c>
      <c r="H869" s="6" t="s">
        <v>2414</v>
      </c>
      <c r="I869" s="35" t="s">
        <v>80</v>
      </c>
      <c r="J869" s="36">
        <v>104.6</v>
      </c>
      <c r="K869" s="36">
        <v>62.5</v>
      </c>
      <c r="L869" s="36">
        <f t="shared" si="2"/>
        <v>1</v>
      </c>
      <c r="M869" s="36" t="str">
        <f t="shared" si="3"/>
        <v>Regular Season</v>
      </c>
      <c r="N869" s="36" t="str">
        <f>IFERROR(VLOOKUP(I869,Mapped_Owner,2,0),"")</f>
        <v>Fellows</v>
      </c>
      <c r="O869" s="6">
        <f>VLOOKUP(D869,'Mapped Opponent'!$G$4:$H$22,2,0)</f>
        <v>2</v>
      </c>
      <c r="P869" s="6"/>
      <c r="Q869" s="6" t="str">
        <f t="shared" si="4"/>
        <v>Week 2</v>
      </c>
      <c r="R869" s="6" t="str">
        <f t="shared" si="5"/>
        <v>2015Week 2</v>
      </c>
      <c r="S869" s="6">
        <f>IFERROR(__xludf.DUMMYFUNCTION("rank(J869,FILTER(J:J,R:R=R869))"),3.0)</f>
        <v>3</v>
      </c>
      <c r="T869" s="6">
        <f t="shared" si="6"/>
        <v>9</v>
      </c>
      <c r="U869" s="6">
        <f t="shared" si="7"/>
        <v>3</v>
      </c>
      <c r="V869" s="42">
        <f>averageif(AllData!A:A,B869,AllData!R:R)/vlookup(B869,AllData!A:O,15,0)</f>
        <v>92.55128205</v>
      </c>
      <c r="W869" s="6"/>
    </row>
    <row r="870" ht="14.25" customHeight="1">
      <c r="A870" s="6" t="str">
        <f t="shared" si="1"/>
        <v>2015Riley2</v>
      </c>
      <c r="B870" s="6">
        <v>2015.0</v>
      </c>
      <c r="C870" s="6" t="s">
        <v>67</v>
      </c>
      <c r="D870" s="6" t="s">
        <v>131</v>
      </c>
      <c r="E870" s="34"/>
      <c r="F870" s="6" t="s">
        <v>2555</v>
      </c>
      <c r="G870" s="6" t="s">
        <v>125</v>
      </c>
      <c r="H870" s="6" t="s">
        <v>2423</v>
      </c>
      <c r="I870" s="35" t="s">
        <v>99</v>
      </c>
      <c r="J870" s="36">
        <v>44.3</v>
      </c>
      <c r="K870" s="36">
        <v>107.1</v>
      </c>
      <c r="L870" s="36">
        <f t="shared" si="2"/>
        <v>0</v>
      </c>
      <c r="M870" s="36" t="str">
        <f t="shared" si="3"/>
        <v>Regular Season</v>
      </c>
      <c r="N870" s="36" t="str">
        <f>IFERROR(VLOOKUP(I870,Mapped_Owner,2,0),"")</f>
        <v>Cock</v>
      </c>
      <c r="O870" s="6">
        <f>VLOOKUP(D870,'Mapped Opponent'!$G$4:$H$22,2,0)</f>
        <v>2</v>
      </c>
      <c r="P870" s="6"/>
      <c r="Q870" s="6" t="str">
        <f t="shared" si="4"/>
        <v>Week 2</v>
      </c>
      <c r="R870" s="6" t="str">
        <f t="shared" si="5"/>
        <v>2015Week 2</v>
      </c>
      <c r="S870" s="6">
        <f>IFERROR(__xludf.DUMMYFUNCTION("rank(J870,FILTER(J:J,R:R=R870))"),12.0)</f>
        <v>12</v>
      </c>
      <c r="T870" s="6">
        <f t="shared" si="6"/>
        <v>0</v>
      </c>
      <c r="U870" s="6">
        <f t="shared" si="7"/>
        <v>12</v>
      </c>
      <c r="V870" s="42">
        <f>averageif(AllData!A:A,B870,AllData!R:R)/vlookup(B870,AllData!A:O,15,0)</f>
        <v>92.55128205</v>
      </c>
      <c r="W870" s="6"/>
    </row>
    <row r="871" ht="14.25" customHeight="1">
      <c r="A871" s="6" t="str">
        <f t="shared" si="1"/>
        <v>2015Rooney/Jackson2</v>
      </c>
      <c r="B871" s="6">
        <v>2015.0</v>
      </c>
      <c r="C871" s="6" t="s">
        <v>57</v>
      </c>
      <c r="D871" s="6" t="s">
        <v>131</v>
      </c>
      <c r="E871" s="34"/>
      <c r="F871" s="6" t="s">
        <v>2556</v>
      </c>
      <c r="G871" s="6" t="s">
        <v>114</v>
      </c>
      <c r="H871" s="6" t="s">
        <v>2417</v>
      </c>
      <c r="I871" s="35" t="s">
        <v>64</v>
      </c>
      <c r="J871" s="36">
        <v>100.1</v>
      </c>
      <c r="K871" s="36">
        <v>85.2</v>
      </c>
      <c r="L871" s="36">
        <f t="shared" si="2"/>
        <v>1</v>
      </c>
      <c r="M871" s="36" t="str">
        <f t="shared" si="3"/>
        <v>Regular Season</v>
      </c>
      <c r="N871" s="36" t="str">
        <f>IFERROR(VLOOKUP(I871,Mapped_Owner,2,0),"")</f>
        <v>Hudspeath</v>
      </c>
      <c r="O871" s="6">
        <f>VLOOKUP(D871,'Mapped Opponent'!$G$4:$H$22,2,0)</f>
        <v>2</v>
      </c>
      <c r="P871" s="6"/>
      <c r="Q871" s="6" t="str">
        <f t="shared" si="4"/>
        <v>Week 2</v>
      </c>
      <c r="R871" s="6" t="str">
        <f t="shared" si="5"/>
        <v>2015Week 2</v>
      </c>
      <c r="S871" s="6">
        <f>IFERROR(__xludf.DUMMYFUNCTION("rank(J871,FILTER(J:J,R:R=R871))"),5.0)</f>
        <v>5</v>
      </c>
      <c r="T871" s="6">
        <f t="shared" si="6"/>
        <v>7</v>
      </c>
      <c r="U871" s="6">
        <f t="shared" si="7"/>
        <v>5</v>
      </c>
      <c r="V871" s="42">
        <f>averageif(AllData!A:A,B871,AllData!R:R)/vlookup(B871,AllData!A:O,15,0)</f>
        <v>92.55128205</v>
      </c>
      <c r="W871" s="6"/>
    </row>
    <row r="872" ht="14.25" customHeight="1">
      <c r="A872" s="6" t="str">
        <f t="shared" si="1"/>
        <v>2015Buser2</v>
      </c>
      <c r="B872" s="6">
        <v>2015.0</v>
      </c>
      <c r="C872" s="6" t="s">
        <v>47</v>
      </c>
      <c r="D872" s="6" t="s">
        <v>131</v>
      </c>
      <c r="E872" s="6"/>
      <c r="F872" s="6" t="s">
        <v>2557</v>
      </c>
      <c r="G872" s="6" t="s">
        <v>114</v>
      </c>
      <c r="H872" s="35" t="s">
        <v>2421</v>
      </c>
      <c r="I872" s="180" t="s">
        <v>93</v>
      </c>
      <c r="J872" s="36">
        <v>96.8</v>
      </c>
      <c r="K872" s="36">
        <v>96.1</v>
      </c>
      <c r="L872" s="36">
        <f t="shared" si="2"/>
        <v>1</v>
      </c>
      <c r="M872" s="36" t="str">
        <f t="shared" si="3"/>
        <v>Regular Season</v>
      </c>
      <c r="N872" s="36" t="str">
        <f>IFERROR(VLOOKUP(I872,Mapped_Owner,2,0),"")</f>
        <v>Pierson</v>
      </c>
      <c r="O872" s="6">
        <f>VLOOKUP(D872,'Mapped Opponent'!$G$4:$H$22,2,0)</f>
        <v>2</v>
      </c>
      <c r="P872" s="6"/>
      <c r="Q872" s="6" t="str">
        <f t="shared" si="4"/>
        <v>Week 2</v>
      </c>
      <c r="R872" s="6" t="str">
        <f t="shared" si="5"/>
        <v>2015Week 2</v>
      </c>
      <c r="S872" s="6">
        <f>IFERROR(__xludf.DUMMYFUNCTION("rank(J872,FILTER(J:J,R:R=R872))"),6.0)</f>
        <v>6</v>
      </c>
      <c r="T872" s="6">
        <f t="shared" si="6"/>
        <v>6</v>
      </c>
      <c r="U872" s="6">
        <f t="shared" si="7"/>
        <v>6</v>
      </c>
      <c r="V872" s="42">
        <f>averageif(AllData!A:A,B872,AllData!R:R)/vlookup(B872,AllData!A:O,15,0)</f>
        <v>92.55128205</v>
      </c>
      <c r="W872" s="6"/>
    </row>
    <row r="873" ht="14.25" customHeight="1">
      <c r="A873" s="6" t="str">
        <f t="shared" si="1"/>
        <v>2015Pierson2</v>
      </c>
      <c r="B873" s="6">
        <v>2015.0</v>
      </c>
      <c r="C873" s="6" t="s">
        <v>92</v>
      </c>
      <c r="D873" s="6" t="s">
        <v>131</v>
      </c>
      <c r="E873" s="34"/>
      <c r="F873" s="6" t="s">
        <v>2558</v>
      </c>
      <c r="G873" s="6" t="s">
        <v>125</v>
      </c>
      <c r="H873" s="6" t="s">
        <v>2419</v>
      </c>
      <c r="I873" s="35" t="s">
        <v>50</v>
      </c>
      <c r="J873" s="36">
        <v>96.1</v>
      </c>
      <c r="K873" s="36">
        <v>96.8</v>
      </c>
      <c r="L873" s="36">
        <f t="shared" si="2"/>
        <v>0</v>
      </c>
      <c r="M873" s="36" t="str">
        <f t="shared" si="3"/>
        <v>Regular Season</v>
      </c>
      <c r="N873" s="36" t="str">
        <f>IFERROR(VLOOKUP(I873,Mapped_Owner,2,0),"")</f>
        <v>Buser</v>
      </c>
      <c r="O873" s="6">
        <f>VLOOKUP(D873,'Mapped Opponent'!$G$4:$H$22,2,0)</f>
        <v>2</v>
      </c>
      <c r="P873" s="6"/>
      <c r="Q873" s="6" t="str">
        <f t="shared" si="4"/>
        <v>Week 2</v>
      </c>
      <c r="R873" s="6" t="str">
        <f t="shared" si="5"/>
        <v>2015Week 2</v>
      </c>
      <c r="S873" s="6">
        <f>IFERROR(__xludf.DUMMYFUNCTION("rank(J873,FILTER(J:J,R:R=R873))"),7.0)</f>
        <v>7</v>
      </c>
      <c r="T873" s="6">
        <f t="shared" si="6"/>
        <v>5</v>
      </c>
      <c r="U873" s="6">
        <f t="shared" si="7"/>
        <v>7</v>
      </c>
      <c r="V873" s="42">
        <f>averageif(AllData!A:A,B873,AllData!R:R)/vlookup(B873,AllData!A:O,15,0)</f>
        <v>92.55128205</v>
      </c>
      <c r="W873" s="6"/>
    </row>
    <row r="874" ht="14.25" customHeight="1">
      <c r="A874" s="6" t="str">
        <f t="shared" si="1"/>
        <v>2015Cock2</v>
      </c>
      <c r="B874" s="6">
        <v>2015.0</v>
      </c>
      <c r="C874" s="6" t="s">
        <v>72</v>
      </c>
      <c r="D874" s="6" t="s">
        <v>131</v>
      </c>
      <c r="E874" s="6"/>
      <c r="F874" s="6" t="s">
        <v>2559</v>
      </c>
      <c r="G874" s="6" t="s">
        <v>114</v>
      </c>
      <c r="H874" s="35" t="s">
        <v>2427</v>
      </c>
      <c r="I874" s="180" t="s">
        <v>68</v>
      </c>
      <c r="J874" s="36">
        <v>107.1</v>
      </c>
      <c r="K874" s="36">
        <v>44.3</v>
      </c>
      <c r="L874" s="36">
        <f t="shared" si="2"/>
        <v>1</v>
      </c>
      <c r="M874" s="36" t="str">
        <f t="shared" si="3"/>
        <v>Regular Season</v>
      </c>
      <c r="N874" s="36" t="str">
        <f>IFERROR(VLOOKUP(I874,Mapped_Owner,2,0),"")</f>
        <v>Riley</v>
      </c>
      <c r="O874" s="6">
        <f>VLOOKUP(D874,'Mapped Opponent'!$G$4:$H$22,2,0)</f>
        <v>2</v>
      </c>
      <c r="P874" s="6"/>
      <c r="Q874" s="6" t="str">
        <f t="shared" si="4"/>
        <v>Week 2</v>
      </c>
      <c r="R874" s="6" t="str">
        <f t="shared" si="5"/>
        <v>2015Week 2</v>
      </c>
      <c r="S874" s="6">
        <f>IFERROR(__xludf.DUMMYFUNCTION("rank(J874,FILTER(J:J,R:R=R874))"),2.0)</f>
        <v>2</v>
      </c>
      <c r="T874" s="6">
        <f t="shared" si="6"/>
        <v>10</v>
      </c>
      <c r="U874" s="6">
        <f t="shared" si="7"/>
        <v>2</v>
      </c>
      <c r="V874" s="42">
        <f>averageif(AllData!A:A,B874,AllData!R:R)/vlookup(B874,AllData!A:O,15,0)</f>
        <v>92.55128205</v>
      </c>
      <c r="W874" s="6"/>
    </row>
    <row r="875" ht="14.25" customHeight="1">
      <c r="A875" s="6" t="str">
        <f t="shared" si="1"/>
        <v>2015Tayski2</v>
      </c>
      <c r="B875" s="6">
        <v>2015.0</v>
      </c>
      <c r="C875" s="6" t="s">
        <v>52</v>
      </c>
      <c r="D875" s="6" t="s">
        <v>131</v>
      </c>
      <c r="E875" s="34"/>
      <c r="F875" s="6" t="s">
        <v>2560</v>
      </c>
      <c r="G875" s="6" t="s">
        <v>114</v>
      </c>
      <c r="H875" s="6" t="s">
        <v>2436</v>
      </c>
      <c r="I875" s="35" t="s">
        <v>85</v>
      </c>
      <c r="J875" s="36">
        <v>85.2</v>
      </c>
      <c r="K875" s="36">
        <v>87.0</v>
      </c>
      <c r="L875" s="36">
        <f t="shared" si="2"/>
        <v>0</v>
      </c>
      <c r="M875" s="36" t="str">
        <f t="shared" si="3"/>
        <v>Regular Season</v>
      </c>
      <c r="N875" s="36" t="str">
        <f>IFERROR(VLOOKUP(I875,Mapped_Owner,2,0),"")</f>
        <v>T-How</v>
      </c>
      <c r="O875" s="6">
        <f>VLOOKUP(D875,'Mapped Opponent'!$G$4:$H$22,2,0)</f>
        <v>2</v>
      </c>
      <c r="P875" s="6"/>
      <c r="Q875" s="6" t="str">
        <f t="shared" si="4"/>
        <v>Week 2</v>
      </c>
      <c r="R875" s="6" t="str">
        <f t="shared" si="5"/>
        <v>2015Week 2</v>
      </c>
      <c r="S875" s="6">
        <f>IFERROR(__xludf.DUMMYFUNCTION("rank(J875,FILTER(J:J,R:R=R875))"),9.0)</f>
        <v>9</v>
      </c>
      <c r="T875" s="6">
        <f t="shared" si="6"/>
        <v>3</v>
      </c>
      <c r="U875" s="6">
        <f t="shared" si="7"/>
        <v>9</v>
      </c>
      <c r="V875" s="42">
        <f>averageif(AllData!A:A,B875,AllData!R:R)/vlookup(B875,AllData!A:O,15,0)</f>
        <v>92.55128205</v>
      </c>
      <c r="W875" s="6"/>
    </row>
    <row r="876" ht="14.25" customHeight="1">
      <c r="A876" s="6" t="str">
        <f t="shared" si="1"/>
        <v>2015KnardDawg2</v>
      </c>
      <c r="B876" s="6">
        <v>2015.0</v>
      </c>
      <c r="C876" s="6" t="s">
        <v>86</v>
      </c>
      <c r="D876" s="6" t="s">
        <v>131</v>
      </c>
      <c r="E876" s="34"/>
      <c r="F876" s="6" t="s">
        <v>2561</v>
      </c>
      <c r="G876" s="6" t="s">
        <v>125</v>
      </c>
      <c r="H876" s="6" t="s">
        <v>2440</v>
      </c>
      <c r="I876" s="35" t="s">
        <v>77</v>
      </c>
      <c r="J876" s="36">
        <v>118.0</v>
      </c>
      <c r="K876" s="36">
        <v>103.8</v>
      </c>
      <c r="L876" s="36">
        <f t="shared" si="2"/>
        <v>1</v>
      </c>
      <c r="M876" s="36" t="str">
        <f t="shared" si="3"/>
        <v>Regular Season</v>
      </c>
      <c r="N876" s="36" t="str">
        <f>IFERROR(VLOOKUP(I876,Mapped_Owner,2,0),"")</f>
        <v>Salty</v>
      </c>
      <c r="O876" s="6">
        <f>VLOOKUP(D876,'Mapped Opponent'!$G$4:$H$22,2,0)</f>
        <v>2</v>
      </c>
      <c r="P876" s="6"/>
      <c r="Q876" s="6" t="str">
        <f t="shared" si="4"/>
        <v>Week 2</v>
      </c>
      <c r="R876" s="6" t="str">
        <f t="shared" si="5"/>
        <v>2015Week 2</v>
      </c>
      <c r="S876" s="6">
        <f>IFERROR(__xludf.DUMMYFUNCTION("rank(J876,FILTER(J:J,R:R=R876))"),1.0)</f>
        <v>1</v>
      </c>
      <c r="T876" s="6">
        <f t="shared" si="6"/>
        <v>11</v>
      </c>
      <c r="U876" s="6">
        <f t="shared" si="7"/>
        <v>1</v>
      </c>
      <c r="V876" s="42">
        <f>averageif(AllData!A:A,B876,AllData!R:R)/vlookup(B876,AllData!A:O,15,0)</f>
        <v>92.55128205</v>
      </c>
      <c r="W876" s="6"/>
    </row>
    <row r="877" ht="14.25" customHeight="1">
      <c r="A877" s="6" t="str">
        <f t="shared" si="1"/>
        <v>2015T-How2</v>
      </c>
      <c r="B877" s="6">
        <v>2015.0</v>
      </c>
      <c r="C877" s="6" t="s">
        <v>82</v>
      </c>
      <c r="D877" s="6" t="s">
        <v>131</v>
      </c>
      <c r="E877" s="34"/>
      <c r="F877" s="6" t="s">
        <v>2562</v>
      </c>
      <c r="G877" s="6" t="s">
        <v>125</v>
      </c>
      <c r="H877" s="6" t="s">
        <v>2433</v>
      </c>
      <c r="I877" s="35" t="s">
        <v>54</v>
      </c>
      <c r="J877" s="36">
        <v>87.0</v>
      </c>
      <c r="K877" s="36">
        <v>85.2</v>
      </c>
      <c r="L877" s="36">
        <f t="shared" si="2"/>
        <v>1</v>
      </c>
      <c r="M877" s="36" t="str">
        <f t="shared" si="3"/>
        <v>Regular Season</v>
      </c>
      <c r="N877" s="36" t="str">
        <f>IFERROR(VLOOKUP(I877,Mapped_Owner,2,0),"")</f>
        <v>Tayski</v>
      </c>
      <c r="O877" s="6">
        <f>VLOOKUP(D877,'Mapped Opponent'!$G$4:$H$22,2,0)</f>
        <v>2</v>
      </c>
      <c r="P877" s="6"/>
      <c r="Q877" s="6" t="str">
        <f t="shared" si="4"/>
        <v>Week 2</v>
      </c>
      <c r="R877" s="6" t="str">
        <f t="shared" si="5"/>
        <v>2015Week 2</v>
      </c>
      <c r="S877" s="6">
        <f>IFERROR(__xludf.DUMMYFUNCTION("rank(J877,FILTER(J:J,R:R=R877))"),8.0)</f>
        <v>8</v>
      </c>
      <c r="T877" s="6">
        <f t="shared" si="6"/>
        <v>4</v>
      </c>
      <c r="U877" s="6">
        <f t="shared" si="7"/>
        <v>8</v>
      </c>
      <c r="V877" s="42">
        <f>averageif(AllData!A:A,B877,AllData!R:R)/vlookup(B877,AllData!A:O,15,0)</f>
        <v>92.55128205</v>
      </c>
      <c r="W877" s="6"/>
    </row>
    <row r="878" ht="14.25" customHeight="1">
      <c r="A878" s="6" t="str">
        <f t="shared" si="1"/>
        <v>2015Hudspeath3</v>
      </c>
      <c r="B878" s="6">
        <v>2015.0</v>
      </c>
      <c r="C878" s="6" t="s">
        <v>39</v>
      </c>
      <c r="D878" s="6" t="s">
        <v>135</v>
      </c>
      <c r="E878" s="34"/>
      <c r="F878" s="34" t="s">
        <v>2563</v>
      </c>
      <c r="G878" s="6" t="s">
        <v>114</v>
      </c>
      <c r="H878" s="6" t="s">
        <v>2427</v>
      </c>
      <c r="I878" s="6" t="s">
        <v>68</v>
      </c>
      <c r="J878" s="36">
        <v>104.2</v>
      </c>
      <c r="K878" s="36">
        <v>101.6</v>
      </c>
      <c r="L878" s="36">
        <f t="shared" si="2"/>
        <v>1</v>
      </c>
      <c r="M878" s="36" t="str">
        <f t="shared" si="3"/>
        <v>Regular Season</v>
      </c>
      <c r="N878" s="36" t="str">
        <f>IFERROR(VLOOKUP(I878,Mapped_Owner,2,0),"")</f>
        <v>Riley</v>
      </c>
      <c r="O878" s="6">
        <f>VLOOKUP(D878,'Mapped Opponent'!$G$4:$H$22,2,0)</f>
        <v>3</v>
      </c>
      <c r="P878" s="6"/>
      <c r="Q878" s="6" t="str">
        <f t="shared" si="4"/>
        <v>Week 3</v>
      </c>
      <c r="R878" s="6" t="str">
        <f t="shared" si="5"/>
        <v>2015Week 3</v>
      </c>
      <c r="S878" s="6">
        <f>IFERROR(__xludf.DUMMYFUNCTION("rank(J878,FILTER(J:J,R:R=R878))"),5.0)</f>
        <v>5</v>
      </c>
      <c r="T878" s="6">
        <f t="shared" si="6"/>
        <v>7</v>
      </c>
      <c r="U878" s="6">
        <f t="shared" si="7"/>
        <v>5</v>
      </c>
      <c r="V878" s="42">
        <f>averageif(AllData!A:A,B878,AllData!R:R)/vlookup(B878,AllData!A:O,15,0)</f>
        <v>92.55128205</v>
      </c>
      <c r="W878" s="6"/>
    </row>
    <row r="879" ht="14.25" customHeight="1">
      <c r="A879" s="6" t="str">
        <f t="shared" si="1"/>
        <v>2015Salty3</v>
      </c>
      <c r="B879" s="6">
        <v>2015.0</v>
      </c>
      <c r="C879" s="6" t="s">
        <v>76</v>
      </c>
      <c r="D879" s="6" t="s">
        <v>135</v>
      </c>
      <c r="E879" s="34"/>
      <c r="F879" s="6" t="s">
        <v>2564</v>
      </c>
      <c r="G879" s="6" t="s">
        <v>125</v>
      </c>
      <c r="H879" s="6" t="s">
        <v>2414</v>
      </c>
      <c r="I879" s="35" t="s">
        <v>80</v>
      </c>
      <c r="J879" s="36">
        <v>133.7</v>
      </c>
      <c r="K879" s="36">
        <v>71.1</v>
      </c>
      <c r="L879" s="36">
        <f t="shared" si="2"/>
        <v>1</v>
      </c>
      <c r="M879" s="36" t="str">
        <f t="shared" si="3"/>
        <v>Regular Season</v>
      </c>
      <c r="N879" s="36" t="str">
        <f>IFERROR(VLOOKUP(I879,Mapped_Owner,2,0),"")</f>
        <v>Fellows</v>
      </c>
      <c r="O879" s="6">
        <f>VLOOKUP(D879,'Mapped Opponent'!$G$4:$H$22,2,0)</f>
        <v>3</v>
      </c>
      <c r="P879" s="6"/>
      <c r="Q879" s="6" t="str">
        <f t="shared" si="4"/>
        <v>Week 3</v>
      </c>
      <c r="R879" s="6" t="str">
        <f t="shared" si="5"/>
        <v>2015Week 3</v>
      </c>
      <c r="S879" s="6">
        <f>IFERROR(__xludf.DUMMYFUNCTION("rank(J879,FILTER(J:J,R:R=R879))"),2.0)</f>
        <v>2</v>
      </c>
      <c r="T879" s="6">
        <f t="shared" si="6"/>
        <v>10</v>
      </c>
      <c r="U879" s="6">
        <f t="shared" si="7"/>
        <v>2</v>
      </c>
      <c r="V879" s="42">
        <f>averageif(AllData!A:A,B879,AllData!R:R)/vlookup(B879,AllData!A:O,15,0)</f>
        <v>92.55128205</v>
      </c>
      <c r="W879" s="6"/>
    </row>
    <row r="880" ht="14.25" customHeight="1">
      <c r="A880" s="6" t="str">
        <f t="shared" si="1"/>
        <v>2015Fellows3</v>
      </c>
      <c r="B880" s="6">
        <v>2015.0</v>
      </c>
      <c r="C880" s="6" t="s">
        <v>79</v>
      </c>
      <c r="D880" s="6" t="s">
        <v>135</v>
      </c>
      <c r="E880" s="6"/>
      <c r="F880" s="6" t="s">
        <v>2565</v>
      </c>
      <c r="G880" s="6" t="s">
        <v>114</v>
      </c>
      <c r="H880" s="35" t="s">
        <v>2440</v>
      </c>
      <c r="I880" s="180" t="s">
        <v>77</v>
      </c>
      <c r="J880" s="36">
        <v>71.1</v>
      </c>
      <c r="K880" s="36">
        <v>133.7</v>
      </c>
      <c r="L880" s="36">
        <f t="shared" si="2"/>
        <v>0</v>
      </c>
      <c r="M880" s="36" t="str">
        <f t="shared" si="3"/>
        <v>Regular Season</v>
      </c>
      <c r="N880" s="36" t="str">
        <f>IFERROR(VLOOKUP(I880,Mapped_Owner,2,0),"")</f>
        <v>Salty</v>
      </c>
      <c r="O880" s="6">
        <f>VLOOKUP(D880,'Mapped Opponent'!$G$4:$H$22,2,0)</f>
        <v>3</v>
      </c>
      <c r="P880" s="6"/>
      <c r="Q880" s="6" t="str">
        <f t="shared" si="4"/>
        <v>Week 3</v>
      </c>
      <c r="R880" s="6" t="str">
        <f t="shared" si="5"/>
        <v>2015Week 3</v>
      </c>
      <c r="S880" s="6">
        <f>IFERROR(__xludf.DUMMYFUNCTION("rank(J880,FILTER(J:J,R:R=R880))"),10.0)</f>
        <v>10</v>
      </c>
      <c r="T880" s="6">
        <f t="shared" si="6"/>
        <v>2</v>
      </c>
      <c r="U880" s="6">
        <f t="shared" si="7"/>
        <v>10</v>
      </c>
      <c r="V880" s="42">
        <f>averageif(AllData!A:A,B880,AllData!R:R)/vlookup(B880,AllData!A:O,15,0)</f>
        <v>92.55128205</v>
      </c>
      <c r="W880" s="6"/>
    </row>
    <row r="881" ht="14.25" customHeight="1">
      <c r="A881" s="6" t="str">
        <f t="shared" si="1"/>
        <v>2015Shep3</v>
      </c>
      <c r="B881" s="6">
        <v>2015.0</v>
      </c>
      <c r="C881" s="6" t="s">
        <v>89</v>
      </c>
      <c r="D881" s="6" t="s">
        <v>135</v>
      </c>
      <c r="E881" s="34"/>
      <c r="F881" s="6" t="s">
        <v>2566</v>
      </c>
      <c r="G881" s="6" t="s">
        <v>114</v>
      </c>
      <c r="H881" s="6" t="s">
        <v>2433</v>
      </c>
      <c r="I881" s="35" t="s">
        <v>54</v>
      </c>
      <c r="J881" s="36">
        <v>147.2</v>
      </c>
      <c r="K881" s="36">
        <v>127.6</v>
      </c>
      <c r="L881" s="36">
        <f t="shared" si="2"/>
        <v>1</v>
      </c>
      <c r="M881" s="36" t="str">
        <f t="shared" si="3"/>
        <v>Regular Season</v>
      </c>
      <c r="N881" s="36" t="str">
        <f>IFERROR(VLOOKUP(I881,Mapped_Owner,2,0),"")</f>
        <v>Tayski</v>
      </c>
      <c r="O881" s="6">
        <f>VLOOKUP(D881,'Mapped Opponent'!$G$4:$H$22,2,0)</f>
        <v>3</v>
      </c>
      <c r="P881" s="6"/>
      <c r="Q881" s="6" t="str">
        <f t="shared" si="4"/>
        <v>Week 3</v>
      </c>
      <c r="R881" s="6" t="str">
        <f t="shared" si="5"/>
        <v>2015Week 3</v>
      </c>
      <c r="S881" s="6">
        <f>IFERROR(__xludf.DUMMYFUNCTION("rank(J881,FILTER(J:J,R:R=R881))"),1.0)</f>
        <v>1</v>
      </c>
      <c r="T881" s="6">
        <f t="shared" si="6"/>
        <v>11</v>
      </c>
      <c r="U881" s="6">
        <f t="shared" si="7"/>
        <v>1</v>
      </c>
      <c r="V881" s="42">
        <f>averageif(AllData!A:A,B881,AllData!R:R)/vlookup(B881,AllData!A:O,15,0)</f>
        <v>92.55128205</v>
      </c>
      <c r="W881" s="6"/>
    </row>
    <row r="882" ht="14.25" customHeight="1">
      <c r="A882" s="6" t="str">
        <f t="shared" si="1"/>
        <v>2015Riley3</v>
      </c>
      <c r="B882" s="6">
        <v>2015.0</v>
      </c>
      <c r="C882" s="6" t="s">
        <v>67</v>
      </c>
      <c r="D882" s="6" t="s">
        <v>135</v>
      </c>
      <c r="E882" s="34"/>
      <c r="F882" s="6" t="s">
        <v>2567</v>
      </c>
      <c r="G882" s="6" t="s">
        <v>125</v>
      </c>
      <c r="H882" s="6" t="s">
        <v>2417</v>
      </c>
      <c r="I882" s="35" t="s">
        <v>64</v>
      </c>
      <c r="J882" s="36">
        <v>101.6</v>
      </c>
      <c r="K882" s="36">
        <v>104.2</v>
      </c>
      <c r="L882" s="36">
        <f t="shared" si="2"/>
        <v>0</v>
      </c>
      <c r="M882" s="36" t="str">
        <f t="shared" si="3"/>
        <v>Regular Season</v>
      </c>
      <c r="N882" s="36" t="str">
        <f>IFERROR(VLOOKUP(I882,Mapped_Owner,2,0),"")</f>
        <v>Hudspeath</v>
      </c>
      <c r="O882" s="6">
        <f>VLOOKUP(D882,'Mapped Opponent'!$G$4:$H$22,2,0)</f>
        <v>3</v>
      </c>
      <c r="P882" s="6"/>
      <c r="Q882" s="6" t="str">
        <f t="shared" si="4"/>
        <v>Week 3</v>
      </c>
      <c r="R882" s="6" t="str">
        <f t="shared" si="5"/>
        <v>2015Week 3</v>
      </c>
      <c r="S882" s="6">
        <f>IFERROR(__xludf.DUMMYFUNCTION("rank(J882,FILTER(J:J,R:R=R882))"),6.0)</f>
        <v>6</v>
      </c>
      <c r="T882" s="6">
        <f t="shared" si="6"/>
        <v>6</v>
      </c>
      <c r="U882" s="6">
        <f t="shared" si="7"/>
        <v>6</v>
      </c>
      <c r="V882" s="42">
        <f>averageif(AllData!A:A,B882,AllData!R:R)/vlookup(B882,AllData!A:O,15,0)</f>
        <v>92.55128205</v>
      </c>
      <c r="W882" s="6"/>
    </row>
    <row r="883" ht="14.25" customHeight="1">
      <c r="A883" s="6" t="str">
        <f t="shared" si="1"/>
        <v>2015Rooney/Jackson3</v>
      </c>
      <c r="B883" s="6">
        <v>2015.0</v>
      </c>
      <c r="C883" s="6" t="s">
        <v>57</v>
      </c>
      <c r="D883" s="6" t="s">
        <v>135</v>
      </c>
      <c r="E883" s="34"/>
      <c r="F883" s="6" t="s">
        <v>2568</v>
      </c>
      <c r="G883" s="6" t="s">
        <v>125</v>
      </c>
      <c r="H883" s="6" t="s">
        <v>2421</v>
      </c>
      <c r="I883" s="35" t="s">
        <v>93</v>
      </c>
      <c r="J883" s="36">
        <v>62.5</v>
      </c>
      <c r="K883" s="36">
        <v>89.6</v>
      </c>
      <c r="L883" s="36">
        <f t="shared" si="2"/>
        <v>0</v>
      </c>
      <c r="M883" s="36" t="str">
        <f t="shared" si="3"/>
        <v>Regular Season</v>
      </c>
      <c r="N883" s="36" t="str">
        <f>IFERROR(VLOOKUP(I883,Mapped_Owner,2,0),"")</f>
        <v>Pierson</v>
      </c>
      <c r="O883" s="6">
        <f>VLOOKUP(D883,'Mapped Opponent'!$G$4:$H$22,2,0)</f>
        <v>3</v>
      </c>
      <c r="P883" s="6"/>
      <c r="Q883" s="6" t="str">
        <f t="shared" si="4"/>
        <v>Week 3</v>
      </c>
      <c r="R883" s="6" t="str">
        <f t="shared" si="5"/>
        <v>2015Week 3</v>
      </c>
      <c r="S883" s="6">
        <f>IFERROR(__xludf.DUMMYFUNCTION("rank(J883,FILTER(J:J,R:R=R883))"),12.0)</f>
        <v>12</v>
      </c>
      <c r="T883" s="6">
        <f t="shared" si="6"/>
        <v>0</v>
      </c>
      <c r="U883" s="6">
        <f t="shared" si="7"/>
        <v>12</v>
      </c>
      <c r="V883" s="42">
        <f>averageif(AllData!A:A,B883,AllData!R:R)/vlookup(B883,AllData!A:O,15,0)</f>
        <v>92.55128205</v>
      </c>
      <c r="W883" s="6"/>
    </row>
    <row r="884" ht="14.25" customHeight="1">
      <c r="A884" s="6" t="str">
        <f t="shared" si="1"/>
        <v>2015Buser3</v>
      </c>
      <c r="B884" s="6">
        <v>2015.0</v>
      </c>
      <c r="C884" s="6" t="s">
        <v>47</v>
      </c>
      <c r="D884" s="6" t="s">
        <v>135</v>
      </c>
      <c r="E884" s="6"/>
      <c r="F884" s="6" t="s">
        <v>2569</v>
      </c>
      <c r="G884" s="6" t="s">
        <v>125</v>
      </c>
      <c r="H884" s="35" t="s">
        <v>2431</v>
      </c>
      <c r="I884" s="180" t="s">
        <v>132</v>
      </c>
      <c r="J884" s="36">
        <v>63.4</v>
      </c>
      <c r="K884" s="36">
        <v>75.1</v>
      </c>
      <c r="L884" s="36">
        <f t="shared" si="2"/>
        <v>0</v>
      </c>
      <c r="M884" s="36" t="str">
        <f t="shared" si="3"/>
        <v>Regular Season</v>
      </c>
      <c r="N884" s="36" t="str">
        <f>IFERROR(VLOOKUP(I884,Mapped_Owner,2,0),"")</f>
        <v>KnardDawg</v>
      </c>
      <c r="O884" s="6">
        <f>VLOOKUP(D884,'Mapped Opponent'!$G$4:$H$22,2,0)</f>
        <v>3</v>
      </c>
      <c r="P884" s="6"/>
      <c r="Q884" s="6" t="str">
        <f t="shared" si="4"/>
        <v>Week 3</v>
      </c>
      <c r="R884" s="6" t="str">
        <f t="shared" si="5"/>
        <v>2015Week 3</v>
      </c>
      <c r="S884" s="6">
        <f>IFERROR(__xludf.DUMMYFUNCTION("rank(J884,FILTER(J:J,R:R=R884))"),11.0)</f>
        <v>11</v>
      </c>
      <c r="T884" s="6">
        <f t="shared" si="6"/>
        <v>1</v>
      </c>
      <c r="U884" s="6">
        <f t="shared" si="7"/>
        <v>11</v>
      </c>
      <c r="V884" s="42">
        <f>averageif(AllData!A:A,B884,AllData!R:R)/vlookup(B884,AllData!A:O,15,0)</f>
        <v>92.55128205</v>
      </c>
      <c r="W884" s="6"/>
    </row>
    <row r="885" ht="14.25" customHeight="1">
      <c r="A885" s="6" t="str">
        <f t="shared" si="1"/>
        <v>2015Pierson3</v>
      </c>
      <c r="B885" s="6">
        <v>2015.0</v>
      </c>
      <c r="C885" s="6" t="s">
        <v>92</v>
      </c>
      <c r="D885" s="6" t="s">
        <v>135</v>
      </c>
      <c r="E885" s="34"/>
      <c r="F885" s="6" t="s">
        <v>2570</v>
      </c>
      <c r="G885" s="6" t="s">
        <v>114</v>
      </c>
      <c r="H885" s="6" t="s">
        <v>2429</v>
      </c>
      <c r="I885" s="35" t="s">
        <v>58</v>
      </c>
      <c r="J885" s="36">
        <v>89.6</v>
      </c>
      <c r="K885" s="36">
        <v>62.5</v>
      </c>
      <c r="L885" s="36">
        <f t="shared" si="2"/>
        <v>1</v>
      </c>
      <c r="M885" s="36" t="str">
        <f t="shared" si="3"/>
        <v>Regular Season</v>
      </c>
      <c r="N885" s="36" t="str">
        <f>IFERROR(VLOOKUP(I885,Mapped_Owner,2,0),"")</f>
        <v>Rooney/Jackson</v>
      </c>
      <c r="O885" s="6">
        <f>VLOOKUP(D885,'Mapped Opponent'!$G$4:$H$22,2,0)</f>
        <v>3</v>
      </c>
      <c r="P885" s="6"/>
      <c r="Q885" s="6" t="str">
        <f t="shared" si="4"/>
        <v>Week 3</v>
      </c>
      <c r="R885" s="6" t="str">
        <f t="shared" si="5"/>
        <v>2015Week 3</v>
      </c>
      <c r="S885" s="6">
        <f>IFERROR(__xludf.DUMMYFUNCTION("rank(J885,FILTER(J:J,R:R=R885))"),7.0)</f>
        <v>7</v>
      </c>
      <c r="T885" s="6">
        <f t="shared" si="6"/>
        <v>5</v>
      </c>
      <c r="U885" s="6">
        <f t="shared" si="7"/>
        <v>7</v>
      </c>
      <c r="V885" s="42">
        <f>averageif(AllData!A:A,B885,AllData!R:R)/vlookup(B885,AllData!A:O,15,0)</f>
        <v>92.55128205</v>
      </c>
      <c r="W885" s="6"/>
    </row>
    <row r="886" ht="14.25" customHeight="1">
      <c r="A886" s="6" t="str">
        <f t="shared" si="1"/>
        <v>2015Cock3</v>
      </c>
      <c r="B886" s="6">
        <v>2015.0</v>
      </c>
      <c r="C886" s="6" t="s">
        <v>72</v>
      </c>
      <c r="D886" s="6" t="s">
        <v>135</v>
      </c>
      <c r="E886" s="6"/>
      <c r="F886" s="6" t="s">
        <v>2571</v>
      </c>
      <c r="G886" s="6" t="s">
        <v>125</v>
      </c>
      <c r="H886" s="35" t="s">
        <v>2436</v>
      </c>
      <c r="I886" s="180" t="s">
        <v>85</v>
      </c>
      <c r="J886" s="36">
        <v>88.5</v>
      </c>
      <c r="K886" s="36">
        <v>113.7</v>
      </c>
      <c r="L886" s="36">
        <f t="shared" si="2"/>
        <v>0</v>
      </c>
      <c r="M886" s="36" t="str">
        <f t="shared" si="3"/>
        <v>Regular Season</v>
      </c>
      <c r="N886" s="36" t="str">
        <f>IFERROR(VLOOKUP(I886,Mapped_Owner,2,0),"")</f>
        <v>T-How</v>
      </c>
      <c r="O886" s="6">
        <f>VLOOKUP(D886,'Mapped Opponent'!$G$4:$H$22,2,0)</f>
        <v>3</v>
      </c>
      <c r="P886" s="6"/>
      <c r="Q886" s="6" t="str">
        <f t="shared" si="4"/>
        <v>Week 3</v>
      </c>
      <c r="R886" s="6" t="str">
        <f t="shared" si="5"/>
        <v>2015Week 3</v>
      </c>
      <c r="S886" s="6">
        <f>IFERROR(__xludf.DUMMYFUNCTION("rank(J886,FILTER(J:J,R:R=R886))"),8.0)</f>
        <v>8</v>
      </c>
      <c r="T886" s="6">
        <f t="shared" si="6"/>
        <v>4</v>
      </c>
      <c r="U886" s="6">
        <f t="shared" si="7"/>
        <v>8</v>
      </c>
      <c r="V886" s="42">
        <f>averageif(AllData!A:A,B886,AllData!R:R)/vlookup(B886,AllData!A:O,15,0)</f>
        <v>92.55128205</v>
      </c>
      <c r="W886" s="6"/>
    </row>
    <row r="887" ht="14.25" customHeight="1">
      <c r="A887" s="6" t="str">
        <f t="shared" si="1"/>
        <v>2015Tayski3</v>
      </c>
      <c r="B887" s="6">
        <v>2015.0</v>
      </c>
      <c r="C887" s="6" t="s">
        <v>52</v>
      </c>
      <c r="D887" s="6" t="s">
        <v>135</v>
      </c>
      <c r="E887" s="34"/>
      <c r="F887" s="6" t="s">
        <v>2572</v>
      </c>
      <c r="G887" s="6" t="s">
        <v>125</v>
      </c>
      <c r="H887" s="6" t="s">
        <v>2425</v>
      </c>
      <c r="I887" s="35" t="s">
        <v>91</v>
      </c>
      <c r="J887" s="36">
        <v>127.6</v>
      </c>
      <c r="K887" s="36">
        <v>147.2</v>
      </c>
      <c r="L887" s="36">
        <f t="shared" si="2"/>
        <v>0</v>
      </c>
      <c r="M887" s="36" t="str">
        <f t="shared" si="3"/>
        <v>Regular Season</v>
      </c>
      <c r="N887" s="36" t="str">
        <f>IFERROR(VLOOKUP(I887,Mapped_Owner,2,0),"")</f>
        <v>Shep</v>
      </c>
      <c r="O887" s="6">
        <f>VLOOKUP(D887,'Mapped Opponent'!$G$4:$H$22,2,0)</f>
        <v>3</v>
      </c>
      <c r="P887" s="6"/>
      <c r="Q887" s="6" t="str">
        <f t="shared" si="4"/>
        <v>Week 3</v>
      </c>
      <c r="R887" s="6" t="str">
        <f t="shared" si="5"/>
        <v>2015Week 3</v>
      </c>
      <c r="S887" s="6">
        <f>IFERROR(__xludf.DUMMYFUNCTION("rank(J887,FILTER(J:J,R:R=R887))"),3.0)</f>
        <v>3</v>
      </c>
      <c r="T887" s="6">
        <f t="shared" si="6"/>
        <v>9</v>
      </c>
      <c r="U887" s="6">
        <f t="shared" si="7"/>
        <v>3</v>
      </c>
      <c r="V887" s="42">
        <f>averageif(AllData!A:A,B887,AllData!R:R)/vlookup(B887,AllData!A:O,15,0)</f>
        <v>92.55128205</v>
      </c>
      <c r="W887" s="6"/>
    </row>
    <row r="888" ht="14.25" customHeight="1">
      <c r="A888" s="6" t="str">
        <f t="shared" si="1"/>
        <v>2015KnardDawg3</v>
      </c>
      <c r="B888" s="6">
        <v>2015.0</v>
      </c>
      <c r="C888" s="6" t="s">
        <v>86</v>
      </c>
      <c r="D888" s="6" t="s">
        <v>135</v>
      </c>
      <c r="E888" s="34"/>
      <c r="F888" s="6" t="s">
        <v>2573</v>
      </c>
      <c r="G888" s="6" t="s">
        <v>114</v>
      </c>
      <c r="H888" s="6" t="s">
        <v>2419</v>
      </c>
      <c r="I888" s="35" t="s">
        <v>50</v>
      </c>
      <c r="J888" s="36">
        <v>75.1</v>
      </c>
      <c r="K888" s="36">
        <v>63.4</v>
      </c>
      <c r="L888" s="36">
        <f t="shared" si="2"/>
        <v>1</v>
      </c>
      <c r="M888" s="36" t="str">
        <f t="shared" si="3"/>
        <v>Regular Season</v>
      </c>
      <c r="N888" s="36" t="str">
        <f>IFERROR(VLOOKUP(I888,Mapped_Owner,2,0),"")</f>
        <v>Buser</v>
      </c>
      <c r="O888" s="6">
        <f>VLOOKUP(D888,'Mapped Opponent'!$G$4:$H$22,2,0)</f>
        <v>3</v>
      </c>
      <c r="P888" s="6"/>
      <c r="Q888" s="6" t="str">
        <f t="shared" si="4"/>
        <v>Week 3</v>
      </c>
      <c r="R888" s="6" t="str">
        <f t="shared" si="5"/>
        <v>2015Week 3</v>
      </c>
      <c r="S888" s="6">
        <f>IFERROR(__xludf.DUMMYFUNCTION("rank(J888,FILTER(J:J,R:R=R888))"),9.0)</f>
        <v>9</v>
      </c>
      <c r="T888" s="6">
        <f t="shared" si="6"/>
        <v>3</v>
      </c>
      <c r="U888" s="6">
        <f t="shared" si="7"/>
        <v>9</v>
      </c>
      <c r="V888" s="42">
        <f>averageif(AllData!A:A,B888,AllData!R:R)/vlookup(B888,AllData!A:O,15,0)</f>
        <v>92.55128205</v>
      </c>
      <c r="W888" s="6"/>
    </row>
    <row r="889" ht="14.25" customHeight="1">
      <c r="A889" s="6" t="str">
        <f t="shared" si="1"/>
        <v>2015T-How3</v>
      </c>
      <c r="B889" s="6">
        <v>2015.0</v>
      </c>
      <c r="C889" s="6" t="s">
        <v>82</v>
      </c>
      <c r="D889" s="6" t="s">
        <v>135</v>
      </c>
      <c r="E889" s="34"/>
      <c r="F889" s="6" t="s">
        <v>2574</v>
      </c>
      <c r="G889" s="6" t="s">
        <v>114</v>
      </c>
      <c r="H889" s="6" t="s">
        <v>2423</v>
      </c>
      <c r="I889" s="35" t="s">
        <v>99</v>
      </c>
      <c r="J889" s="36">
        <v>113.7</v>
      </c>
      <c r="K889" s="36">
        <v>88.5</v>
      </c>
      <c r="L889" s="36">
        <f t="shared" si="2"/>
        <v>1</v>
      </c>
      <c r="M889" s="36" t="str">
        <f t="shared" si="3"/>
        <v>Regular Season</v>
      </c>
      <c r="N889" s="36" t="str">
        <f>IFERROR(VLOOKUP(I889,Mapped_Owner,2,0),"")</f>
        <v>Cock</v>
      </c>
      <c r="O889" s="6">
        <f>VLOOKUP(D889,'Mapped Opponent'!$G$4:$H$22,2,0)</f>
        <v>3</v>
      </c>
      <c r="P889" s="6"/>
      <c r="Q889" s="6" t="str">
        <f t="shared" si="4"/>
        <v>Week 3</v>
      </c>
      <c r="R889" s="6" t="str">
        <f t="shared" si="5"/>
        <v>2015Week 3</v>
      </c>
      <c r="S889" s="6">
        <f>IFERROR(__xludf.DUMMYFUNCTION("rank(J889,FILTER(J:J,R:R=R889))"),4.0)</f>
        <v>4</v>
      </c>
      <c r="T889" s="6">
        <f t="shared" si="6"/>
        <v>8</v>
      </c>
      <c r="U889" s="6">
        <f t="shared" si="7"/>
        <v>4</v>
      </c>
      <c r="V889" s="42">
        <f>averageif(AllData!A:A,B889,AllData!R:R)/vlookup(B889,AllData!A:O,15,0)</f>
        <v>92.55128205</v>
      </c>
      <c r="W889" s="6"/>
    </row>
    <row r="890" ht="14.25" customHeight="1">
      <c r="A890" s="6" t="str">
        <f t="shared" si="1"/>
        <v>2015Hudspeath4</v>
      </c>
      <c r="B890" s="6">
        <v>2015.0</v>
      </c>
      <c r="C890" s="6" t="s">
        <v>39</v>
      </c>
      <c r="D890" s="6" t="s">
        <v>138</v>
      </c>
      <c r="E890" s="34"/>
      <c r="F890" s="34" t="s">
        <v>2575</v>
      </c>
      <c r="G890" s="6" t="s">
        <v>125</v>
      </c>
      <c r="H890" s="6" t="s">
        <v>2421</v>
      </c>
      <c r="I890" s="6" t="s">
        <v>93</v>
      </c>
      <c r="J890" s="36">
        <v>86.5</v>
      </c>
      <c r="K890" s="36">
        <v>77.1</v>
      </c>
      <c r="L890" s="36">
        <f t="shared" si="2"/>
        <v>1</v>
      </c>
      <c r="M890" s="36" t="str">
        <f t="shared" si="3"/>
        <v>Regular Season</v>
      </c>
      <c r="N890" s="36" t="str">
        <f>IFERROR(VLOOKUP(I890,Mapped_Owner,2,0),"")</f>
        <v>Pierson</v>
      </c>
      <c r="O890" s="6">
        <f>VLOOKUP(D890,'Mapped Opponent'!$G$4:$H$22,2,0)</f>
        <v>4</v>
      </c>
      <c r="P890" s="6"/>
      <c r="Q890" s="6" t="str">
        <f t="shared" si="4"/>
        <v>Week 4</v>
      </c>
      <c r="R890" s="6" t="str">
        <f t="shared" si="5"/>
        <v>2015Week 4</v>
      </c>
      <c r="S890" s="6">
        <f>IFERROR(__xludf.DUMMYFUNCTION("rank(J890,FILTER(J:J,R:R=R890))"),5.0)</f>
        <v>5</v>
      </c>
      <c r="T890" s="6">
        <f t="shared" si="6"/>
        <v>7</v>
      </c>
      <c r="U890" s="6">
        <f t="shared" si="7"/>
        <v>5</v>
      </c>
      <c r="V890" s="42">
        <f>averageif(AllData!A:A,B890,AllData!R:R)/vlookup(B890,AllData!A:O,15,0)</f>
        <v>92.55128205</v>
      </c>
      <c r="W890" s="6"/>
    </row>
    <row r="891" ht="14.25" customHeight="1">
      <c r="A891" s="6" t="str">
        <f t="shared" si="1"/>
        <v>2015Salty4</v>
      </c>
      <c r="B891" s="6">
        <v>2015.0</v>
      </c>
      <c r="C891" s="6" t="s">
        <v>76</v>
      </c>
      <c r="D891" s="6" t="s">
        <v>138</v>
      </c>
      <c r="E891" s="34"/>
      <c r="F891" s="6" t="s">
        <v>2576</v>
      </c>
      <c r="G891" s="6" t="s">
        <v>125</v>
      </c>
      <c r="H891" s="6" t="s">
        <v>2433</v>
      </c>
      <c r="I891" s="35" t="s">
        <v>54</v>
      </c>
      <c r="J891" s="36">
        <v>99.4</v>
      </c>
      <c r="K891" s="36">
        <v>88.6</v>
      </c>
      <c r="L891" s="36">
        <f t="shared" si="2"/>
        <v>1</v>
      </c>
      <c r="M891" s="36" t="str">
        <f t="shared" si="3"/>
        <v>Regular Season</v>
      </c>
      <c r="N891" s="36" t="str">
        <f>IFERROR(VLOOKUP(I891,Mapped_Owner,2,0),"")</f>
        <v>Tayski</v>
      </c>
      <c r="O891" s="6">
        <f>VLOOKUP(D891,'Mapped Opponent'!$G$4:$H$22,2,0)</f>
        <v>4</v>
      </c>
      <c r="P891" s="6"/>
      <c r="Q891" s="6" t="str">
        <f t="shared" si="4"/>
        <v>Week 4</v>
      </c>
      <c r="R891" s="6" t="str">
        <f t="shared" si="5"/>
        <v>2015Week 4</v>
      </c>
      <c r="S891" s="6">
        <f>IFERROR(__xludf.DUMMYFUNCTION("rank(J891,FILTER(J:J,R:R=R891))"),2.0)</f>
        <v>2</v>
      </c>
      <c r="T891" s="6">
        <f t="shared" si="6"/>
        <v>10</v>
      </c>
      <c r="U891" s="6">
        <f t="shared" si="7"/>
        <v>2</v>
      </c>
      <c r="V891" s="42">
        <f>averageif(AllData!A:A,B891,AllData!R:R)/vlookup(B891,AllData!A:O,15,0)</f>
        <v>92.55128205</v>
      </c>
      <c r="W891" s="6"/>
    </row>
    <row r="892" ht="14.25" customHeight="1">
      <c r="A892" s="6" t="str">
        <f t="shared" si="1"/>
        <v>2015Fellows4</v>
      </c>
      <c r="B892" s="6">
        <v>2015.0</v>
      </c>
      <c r="C892" s="6" t="s">
        <v>79</v>
      </c>
      <c r="D892" s="6" t="s">
        <v>138</v>
      </c>
      <c r="E892" s="6"/>
      <c r="F892" s="6" t="s">
        <v>2577</v>
      </c>
      <c r="G892" s="6" t="s">
        <v>125</v>
      </c>
      <c r="H892" s="35" t="s">
        <v>2419</v>
      </c>
      <c r="I892" s="180" t="s">
        <v>50</v>
      </c>
      <c r="J892" s="36">
        <v>61.4</v>
      </c>
      <c r="K892" s="36">
        <v>79.7</v>
      </c>
      <c r="L892" s="36">
        <f t="shared" si="2"/>
        <v>0</v>
      </c>
      <c r="M892" s="36" t="str">
        <f t="shared" si="3"/>
        <v>Regular Season</v>
      </c>
      <c r="N892" s="36" t="str">
        <f>IFERROR(VLOOKUP(I892,Mapped_Owner,2,0),"")</f>
        <v>Buser</v>
      </c>
      <c r="O892" s="6">
        <f>VLOOKUP(D892,'Mapped Opponent'!$G$4:$H$22,2,0)</f>
        <v>4</v>
      </c>
      <c r="P892" s="6"/>
      <c r="Q892" s="6" t="str">
        <f t="shared" si="4"/>
        <v>Week 4</v>
      </c>
      <c r="R892" s="6" t="str">
        <f t="shared" si="5"/>
        <v>2015Week 4</v>
      </c>
      <c r="S892" s="6">
        <f>IFERROR(__xludf.DUMMYFUNCTION("rank(J892,FILTER(J:J,R:R=R892))"),12.0)</f>
        <v>12</v>
      </c>
      <c r="T892" s="6">
        <f t="shared" si="6"/>
        <v>0</v>
      </c>
      <c r="U892" s="6">
        <f t="shared" si="7"/>
        <v>12</v>
      </c>
      <c r="V892" s="42">
        <f>averageif(AllData!A:A,B892,AllData!R:R)/vlookup(B892,AllData!A:O,15,0)</f>
        <v>92.55128205</v>
      </c>
      <c r="W892" s="6"/>
    </row>
    <row r="893" ht="14.25" customHeight="1">
      <c r="A893" s="6" t="str">
        <f t="shared" si="1"/>
        <v>2015Shep4</v>
      </c>
      <c r="B893" s="6">
        <v>2015.0</v>
      </c>
      <c r="C893" s="6" t="s">
        <v>89</v>
      </c>
      <c r="D893" s="6" t="s">
        <v>138</v>
      </c>
      <c r="E893" s="34"/>
      <c r="F893" s="6" t="s">
        <v>2578</v>
      </c>
      <c r="G893" s="6" t="s">
        <v>125</v>
      </c>
      <c r="H893" s="6" t="s">
        <v>2423</v>
      </c>
      <c r="I893" s="35" t="s">
        <v>99</v>
      </c>
      <c r="J893" s="36">
        <v>94.7</v>
      </c>
      <c r="K893" s="36">
        <v>84.5</v>
      </c>
      <c r="L893" s="36">
        <f t="shared" si="2"/>
        <v>1</v>
      </c>
      <c r="M893" s="36" t="str">
        <f t="shared" si="3"/>
        <v>Regular Season</v>
      </c>
      <c r="N893" s="36" t="str">
        <f>IFERROR(VLOOKUP(I893,Mapped_Owner,2,0),"")</f>
        <v>Cock</v>
      </c>
      <c r="O893" s="6">
        <f>VLOOKUP(D893,'Mapped Opponent'!$G$4:$H$22,2,0)</f>
        <v>4</v>
      </c>
      <c r="P893" s="6"/>
      <c r="Q893" s="6" t="str">
        <f t="shared" si="4"/>
        <v>Week 4</v>
      </c>
      <c r="R893" s="6" t="str">
        <f t="shared" si="5"/>
        <v>2015Week 4</v>
      </c>
      <c r="S893" s="6">
        <f>IFERROR(__xludf.DUMMYFUNCTION("rank(J893,FILTER(J:J,R:R=R893))"),3.0)</f>
        <v>3</v>
      </c>
      <c r="T893" s="6">
        <f t="shared" si="6"/>
        <v>9</v>
      </c>
      <c r="U893" s="6">
        <f t="shared" si="7"/>
        <v>3</v>
      </c>
      <c r="V893" s="42">
        <f>averageif(AllData!A:A,B893,AllData!R:R)/vlookup(B893,AllData!A:O,15,0)</f>
        <v>92.55128205</v>
      </c>
      <c r="W893" s="6"/>
    </row>
    <row r="894" ht="14.25" customHeight="1">
      <c r="A894" s="6" t="str">
        <f t="shared" si="1"/>
        <v>2015Riley4</v>
      </c>
      <c r="B894" s="6">
        <v>2015.0</v>
      </c>
      <c r="C894" s="6" t="s">
        <v>67</v>
      </c>
      <c r="D894" s="6" t="s">
        <v>138</v>
      </c>
      <c r="E894" s="34"/>
      <c r="F894" s="6" t="s">
        <v>2579</v>
      </c>
      <c r="G894" s="6" t="s">
        <v>114</v>
      </c>
      <c r="H894" s="6" t="s">
        <v>2436</v>
      </c>
      <c r="I894" s="35" t="s">
        <v>85</v>
      </c>
      <c r="J894" s="36">
        <v>119.1</v>
      </c>
      <c r="K894" s="36">
        <v>74.9</v>
      </c>
      <c r="L894" s="36">
        <f t="shared" si="2"/>
        <v>1</v>
      </c>
      <c r="M894" s="36" t="str">
        <f t="shared" si="3"/>
        <v>Regular Season</v>
      </c>
      <c r="N894" s="36" t="str">
        <f>IFERROR(VLOOKUP(I894,Mapped_Owner,2,0),"")</f>
        <v>T-How</v>
      </c>
      <c r="O894" s="6">
        <f>VLOOKUP(D894,'Mapped Opponent'!$G$4:$H$22,2,0)</f>
        <v>4</v>
      </c>
      <c r="P894" s="6"/>
      <c r="Q894" s="6" t="str">
        <f t="shared" si="4"/>
        <v>Week 4</v>
      </c>
      <c r="R894" s="6" t="str">
        <f t="shared" si="5"/>
        <v>2015Week 4</v>
      </c>
      <c r="S894" s="6">
        <f>IFERROR(__xludf.DUMMYFUNCTION("rank(J894,FILTER(J:J,R:R=R894))"),1.0)</f>
        <v>1</v>
      </c>
      <c r="T894" s="6">
        <f t="shared" si="6"/>
        <v>11</v>
      </c>
      <c r="U894" s="6">
        <f t="shared" si="7"/>
        <v>1</v>
      </c>
      <c r="V894" s="42">
        <f>averageif(AllData!A:A,B894,AllData!R:R)/vlookup(B894,AllData!A:O,15,0)</f>
        <v>92.55128205</v>
      </c>
      <c r="W894" s="6"/>
    </row>
    <row r="895" ht="14.25" customHeight="1">
      <c r="A895" s="6" t="str">
        <f t="shared" si="1"/>
        <v>2015Rooney/Jackson4</v>
      </c>
      <c r="B895" s="6">
        <v>2015.0</v>
      </c>
      <c r="C895" s="6" t="s">
        <v>57</v>
      </c>
      <c r="D895" s="6" t="s">
        <v>138</v>
      </c>
      <c r="E895" s="34"/>
      <c r="F895" s="6" t="s">
        <v>2580</v>
      </c>
      <c r="G895" s="6" t="s">
        <v>114</v>
      </c>
      <c r="H895" s="6" t="s">
        <v>2431</v>
      </c>
      <c r="I895" s="35" t="s">
        <v>132</v>
      </c>
      <c r="J895" s="36">
        <v>82.2</v>
      </c>
      <c r="K895" s="36">
        <v>65.1</v>
      </c>
      <c r="L895" s="36">
        <f t="shared" si="2"/>
        <v>1</v>
      </c>
      <c r="M895" s="36" t="str">
        <f t="shared" si="3"/>
        <v>Regular Season</v>
      </c>
      <c r="N895" s="36" t="str">
        <f>IFERROR(VLOOKUP(I895,Mapped_Owner,2,0),"")</f>
        <v>KnardDawg</v>
      </c>
      <c r="O895" s="6">
        <f>VLOOKUP(D895,'Mapped Opponent'!$G$4:$H$22,2,0)</f>
        <v>4</v>
      </c>
      <c r="P895" s="6"/>
      <c r="Q895" s="6" t="str">
        <f t="shared" si="4"/>
        <v>Week 4</v>
      </c>
      <c r="R895" s="6" t="str">
        <f t="shared" si="5"/>
        <v>2015Week 4</v>
      </c>
      <c r="S895" s="6">
        <f>IFERROR(__xludf.DUMMYFUNCTION("rank(J895,FILTER(J:J,R:R=R895))"),7.0)</f>
        <v>7</v>
      </c>
      <c r="T895" s="6">
        <f t="shared" si="6"/>
        <v>5</v>
      </c>
      <c r="U895" s="6">
        <f t="shared" si="7"/>
        <v>7</v>
      </c>
      <c r="V895" s="42">
        <f>averageif(AllData!A:A,B895,AllData!R:R)/vlookup(B895,AllData!A:O,15,0)</f>
        <v>92.55128205</v>
      </c>
      <c r="W895" s="6"/>
    </row>
    <row r="896" ht="14.25" customHeight="1">
      <c r="A896" s="6" t="str">
        <f t="shared" si="1"/>
        <v>2015Buser4</v>
      </c>
      <c r="B896" s="6">
        <v>2015.0</v>
      </c>
      <c r="C896" s="6" t="s">
        <v>47</v>
      </c>
      <c r="D896" s="6" t="s">
        <v>138</v>
      </c>
      <c r="E896" s="6"/>
      <c r="F896" s="6" t="s">
        <v>2581</v>
      </c>
      <c r="G896" s="6" t="s">
        <v>114</v>
      </c>
      <c r="H896" s="35" t="s">
        <v>2414</v>
      </c>
      <c r="I896" s="180" t="s">
        <v>80</v>
      </c>
      <c r="J896" s="36">
        <v>79.7</v>
      </c>
      <c r="K896" s="36">
        <v>61.4</v>
      </c>
      <c r="L896" s="36">
        <f t="shared" si="2"/>
        <v>1</v>
      </c>
      <c r="M896" s="36" t="str">
        <f t="shared" si="3"/>
        <v>Regular Season</v>
      </c>
      <c r="N896" s="36" t="str">
        <f>IFERROR(VLOOKUP(I896,Mapped_Owner,2,0),"")</f>
        <v>Fellows</v>
      </c>
      <c r="O896" s="6">
        <f>VLOOKUP(D896,'Mapped Opponent'!$G$4:$H$22,2,0)</f>
        <v>4</v>
      </c>
      <c r="P896" s="6"/>
      <c r="Q896" s="6" t="str">
        <f t="shared" si="4"/>
        <v>Week 4</v>
      </c>
      <c r="R896" s="6" t="str">
        <f t="shared" si="5"/>
        <v>2015Week 4</v>
      </c>
      <c r="S896" s="6">
        <f>IFERROR(__xludf.DUMMYFUNCTION("rank(J896,FILTER(J:J,R:R=R896))"),8.0)</f>
        <v>8</v>
      </c>
      <c r="T896" s="6">
        <f t="shared" si="6"/>
        <v>4</v>
      </c>
      <c r="U896" s="6">
        <f t="shared" si="7"/>
        <v>8</v>
      </c>
      <c r="V896" s="42">
        <f>averageif(AllData!A:A,B896,AllData!R:R)/vlookup(B896,AllData!A:O,15,0)</f>
        <v>92.55128205</v>
      </c>
      <c r="W896" s="6"/>
    </row>
    <row r="897" ht="14.25" customHeight="1">
      <c r="A897" s="6" t="str">
        <f t="shared" si="1"/>
        <v>2015Pierson4</v>
      </c>
      <c r="B897" s="6">
        <v>2015.0</v>
      </c>
      <c r="C897" s="6" t="s">
        <v>92</v>
      </c>
      <c r="D897" s="6" t="s">
        <v>138</v>
      </c>
      <c r="E897" s="34"/>
      <c r="F897" s="6" t="s">
        <v>2582</v>
      </c>
      <c r="G897" s="6" t="s">
        <v>114</v>
      </c>
      <c r="H897" s="6" t="s">
        <v>2417</v>
      </c>
      <c r="I897" s="35" t="s">
        <v>64</v>
      </c>
      <c r="J897" s="36">
        <v>77.1</v>
      </c>
      <c r="K897" s="36">
        <v>86.5</v>
      </c>
      <c r="L897" s="36">
        <f t="shared" si="2"/>
        <v>0</v>
      </c>
      <c r="M897" s="36" t="str">
        <f t="shared" si="3"/>
        <v>Regular Season</v>
      </c>
      <c r="N897" s="36" t="str">
        <f>IFERROR(VLOOKUP(I897,Mapped_Owner,2,0),"")</f>
        <v>Hudspeath</v>
      </c>
      <c r="O897" s="6">
        <f>VLOOKUP(D897,'Mapped Opponent'!$G$4:$H$22,2,0)</f>
        <v>4</v>
      </c>
      <c r="P897" s="6"/>
      <c r="Q897" s="6" t="str">
        <f t="shared" si="4"/>
        <v>Week 4</v>
      </c>
      <c r="R897" s="6" t="str">
        <f t="shared" si="5"/>
        <v>2015Week 4</v>
      </c>
      <c r="S897" s="6">
        <f>IFERROR(__xludf.DUMMYFUNCTION("rank(J897,FILTER(J:J,R:R=R897))"),9.0)</f>
        <v>9</v>
      </c>
      <c r="T897" s="6">
        <f t="shared" si="6"/>
        <v>3</v>
      </c>
      <c r="U897" s="6">
        <f t="shared" si="7"/>
        <v>9</v>
      </c>
      <c r="V897" s="42">
        <f>averageif(AllData!A:A,B897,AllData!R:R)/vlookup(B897,AllData!A:O,15,0)</f>
        <v>92.55128205</v>
      </c>
      <c r="W897" s="6"/>
    </row>
    <row r="898" ht="14.25" customHeight="1">
      <c r="A898" s="6" t="str">
        <f t="shared" si="1"/>
        <v>2015Cock4</v>
      </c>
      <c r="B898" s="6">
        <v>2015.0</v>
      </c>
      <c r="C898" s="6" t="s">
        <v>72</v>
      </c>
      <c r="D898" s="6" t="s">
        <v>138</v>
      </c>
      <c r="E898" s="6"/>
      <c r="F898" s="6" t="s">
        <v>2583</v>
      </c>
      <c r="G898" s="6" t="s">
        <v>114</v>
      </c>
      <c r="H898" s="35" t="s">
        <v>2425</v>
      </c>
      <c r="I898" s="180" t="s">
        <v>91</v>
      </c>
      <c r="J898" s="36">
        <v>84.5</v>
      </c>
      <c r="K898" s="36">
        <v>94.7</v>
      </c>
      <c r="L898" s="36">
        <f t="shared" si="2"/>
        <v>0</v>
      </c>
      <c r="M898" s="36" t="str">
        <f t="shared" si="3"/>
        <v>Regular Season</v>
      </c>
      <c r="N898" s="36" t="str">
        <f>IFERROR(VLOOKUP(I898,Mapped_Owner,2,0),"")</f>
        <v>Shep</v>
      </c>
      <c r="O898" s="6">
        <f>VLOOKUP(D898,'Mapped Opponent'!$G$4:$H$22,2,0)</f>
        <v>4</v>
      </c>
      <c r="P898" s="6"/>
      <c r="Q898" s="6" t="str">
        <f t="shared" si="4"/>
        <v>Week 4</v>
      </c>
      <c r="R898" s="6" t="str">
        <f t="shared" si="5"/>
        <v>2015Week 4</v>
      </c>
      <c r="S898" s="6">
        <f>IFERROR(__xludf.DUMMYFUNCTION("rank(J898,FILTER(J:J,R:R=R898))"),6.0)</f>
        <v>6</v>
      </c>
      <c r="T898" s="6">
        <f t="shared" si="6"/>
        <v>6</v>
      </c>
      <c r="U898" s="6">
        <f t="shared" si="7"/>
        <v>6</v>
      </c>
      <c r="V898" s="42">
        <f>averageif(AllData!A:A,B898,AllData!R:R)/vlookup(B898,AllData!A:O,15,0)</f>
        <v>92.55128205</v>
      </c>
      <c r="W898" s="6"/>
    </row>
    <row r="899" ht="14.25" customHeight="1">
      <c r="A899" s="6" t="str">
        <f t="shared" si="1"/>
        <v>2015Tayski4</v>
      </c>
      <c r="B899" s="6">
        <v>2015.0</v>
      </c>
      <c r="C899" s="6" t="s">
        <v>52</v>
      </c>
      <c r="D899" s="6" t="s">
        <v>138</v>
      </c>
      <c r="E899" s="34"/>
      <c r="F899" s="6" t="s">
        <v>2584</v>
      </c>
      <c r="G899" s="6" t="s">
        <v>114</v>
      </c>
      <c r="H899" s="6" t="s">
        <v>2440</v>
      </c>
      <c r="I899" s="35" t="s">
        <v>77</v>
      </c>
      <c r="J899" s="36">
        <v>88.6</v>
      </c>
      <c r="K899" s="36">
        <v>99.4</v>
      </c>
      <c r="L899" s="36">
        <f t="shared" si="2"/>
        <v>0</v>
      </c>
      <c r="M899" s="36" t="str">
        <f t="shared" si="3"/>
        <v>Regular Season</v>
      </c>
      <c r="N899" s="36" t="str">
        <f>IFERROR(VLOOKUP(I899,Mapped_Owner,2,0),"")</f>
        <v>Salty</v>
      </c>
      <c r="O899" s="6">
        <f>VLOOKUP(D899,'Mapped Opponent'!$G$4:$H$22,2,0)</f>
        <v>4</v>
      </c>
      <c r="P899" s="6"/>
      <c r="Q899" s="6" t="str">
        <f t="shared" si="4"/>
        <v>Week 4</v>
      </c>
      <c r="R899" s="6" t="str">
        <f t="shared" si="5"/>
        <v>2015Week 4</v>
      </c>
      <c r="S899" s="6">
        <f>IFERROR(__xludf.DUMMYFUNCTION("rank(J899,FILTER(J:J,R:R=R899))"),4.0)</f>
        <v>4</v>
      </c>
      <c r="T899" s="6">
        <f t="shared" si="6"/>
        <v>8</v>
      </c>
      <c r="U899" s="6">
        <f t="shared" si="7"/>
        <v>4</v>
      </c>
      <c r="V899" s="42">
        <f>averageif(AllData!A:A,B899,AllData!R:R)/vlookup(B899,AllData!A:O,15,0)</f>
        <v>92.55128205</v>
      </c>
      <c r="W899" s="6"/>
    </row>
    <row r="900" ht="14.25" customHeight="1">
      <c r="A900" s="6" t="str">
        <f t="shared" si="1"/>
        <v>2015KnardDawg4</v>
      </c>
      <c r="B900" s="6">
        <v>2015.0</v>
      </c>
      <c r="C900" s="6" t="s">
        <v>86</v>
      </c>
      <c r="D900" s="6" t="s">
        <v>138</v>
      </c>
      <c r="E900" s="34"/>
      <c r="F900" s="6" t="s">
        <v>2585</v>
      </c>
      <c r="G900" s="6" t="s">
        <v>125</v>
      </c>
      <c r="H900" s="6" t="s">
        <v>2429</v>
      </c>
      <c r="I900" s="35" t="s">
        <v>58</v>
      </c>
      <c r="J900" s="36">
        <v>65.1</v>
      </c>
      <c r="K900" s="36">
        <v>82.2</v>
      </c>
      <c r="L900" s="36">
        <f t="shared" si="2"/>
        <v>0</v>
      </c>
      <c r="M900" s="36" t="str">
        <f t="shared" si="3"/>
        <v>Regular Season</v>
      </c>
      <c r="N900" s="36" t="str">
        <f>IFERROR(VLOOKUP(I900,Mapped_Owner,2,0),"")</f>
        <v>Rooney/Jackson</v>
      </c>
      <c r="O900" s="6">
        <f>VLOOKUP(D900,'Mapped Opponent'!$G$4:$H$22,2,0)</f>
        <v>4</v>
      </c>
      <c r="P900" s="6"/>
      <c r="Q900" s="6" t="str">
        <f t="shared" si="4"/>
        <v>Week 4</v>
      </c>
      <c r="R900" s="6" t="str">
        <f t="shared" si="5"/>
        <v>2015Week 4</v>
      </c>
      <c r="S900" s="6">
        <f>IFERROR(__xludf.DUMMYFUNCTION("rank(J900,FILTER(J:J,R:R=R900))"),11.0)</f>
        <v>11</v>
      </c>
      <c r="T900" s="6">
        <f t="shared" si="6"/>
        <v>1</v>
      </c>
      <c r="U900" s="6">
        <f t="shared" si="7"/>
        <v>11</v>
      </c>
      <c r="V900" s="42">
        <f>averageif(AllData!A:A,B900,AllData!R:R)/vlookup(B900,AllData!A:O,15,0)</f>
        <v>92.55128205</v>
      </c>
      <c r="W900" s="6"/>
    </row>
    <row r="901" ht="14.25" customHeight="1">
      <c r="A901" s="6" t="str">
        <f t="shared" si="1"/>
        <v>2015T-How4</v>
      </c>
      <c r="B901" s="6">
        <v>2015.0</v>
      </c>
      <c r="C901" s="6" t="s">
        <v>82</v>
      </c>
      <c r="D901" s="6" t="s">
        <v>138</v>
      </c>
      <c r="E901" s="34"/>
      <c r="F901" s="6" t="s">
        <v>2586</v>
      </c>
      <c r="G901" s="6" t="s">
        <v>125</v>
      </c>
      <c r="H901" s="6" t="s">
        <v>2427</v>
      </c>
      <c r="I901" s="35" t="s">
        <v>68</v>
      </c>
      <c r="J901" s="36">
        <v>74.9</v>
      </c>
      <c r="K901" s="36">
        <v>119.1</v>
      </c>
      <c r="L901" s="36">
        <f t="shared" si="2"/>
        <v>0</v>
      </c>
      <c r="M901" s="36" t="str">
        <f t="shared" si="3"/>
        <v>Regular Season</v>
      </c>
      <c r="N901" s="36" t="str">
        <f>IFERROR(VLOOKUP(I901,Mapped_Owner,2,0),"")</f>
        <v>Riley</v>
      </c>
      <c r="O901" s="6">
        <f>VLOOKUP(D901,'Mapped Opponent'!$G$4:$H$22,2,0)</f>
        <v>4</v>
      </c>
      <c r="P901" s="6"/>
      <c r="Q901" s="6" t="str">
        <f t="shared" si="4"/>
        <v>Week 4</v>
      </c>
      <c r="R901" s="6" t="str">
        <f t="shared" si="5"/>
        <v>2015Week 4</v>
      </c>
      <c r="S901" s="6">
        <f>IFERROR(__xludf.DUMMYFUNCTION("rank(J901,FILTER(J:J,R:R=R901))"),10.0)</f>
        <v>10</v>
      </c>
      <c r="T901" s="6">
        <f t="shared" si="6"/>
        <v>2</v>
      </c>
      <c r="U901" s="6">
        <f t="shared" si="7"/>
        <v>10</v>
      </c>
      <c r="V901" s="42">
        <f>averageif(AllData!A:A,B901,AllData!R:R)/vlookup(B901,AllData!A:O,15,0)</f>
        <v>92.55128205</v>
      </c>
      <c r="W901" s="6"/>
    </row>
    <row r="902" ht="14.25" customHeight="1">
      <c r="A902" s="6" t="str">
        <f t="shared" si="1"/>
        <v>2015Hudspeath5</v>
      </c>
      <c r="B902" s="6">
        <v>2015.0</v>
      </c>
      <c r="C902" s="6" t="s">
        <v>39</v>
      </c>
      <c r="D902" s="6" t="s">
        <v>141</v>
      </c>
      <c r="E902" s="34"/>
      <c r="F902" s="34" t="s">
        <v>2587</v>
      </c>
      <c r="G902" s="6" t="s">
        <v>114</v>
      </c>
      <c r="H902" s="6" t="s">
        <v>2436</v>
      </c>
      <c r="I902" s="6" t="s">
        <v>85</v>
      </c>
      <c r="J902" s="36">
        <v>82.3</v>
      </c>
      <c r="K902" s="36">
        <v>91.4</v>
      </c>
      <c r="L902" s="36">
        <f t="shared" si="2"/>
        <v>0</v>
      </c>
      <c r="M902" s="36" t="str">
        <f t="shared" si="3"/>
        <v>Regular Season</v>
      </c>
      <c r="N902" s="36" t="str">
        <f>IFERROR(VLOOKUP(I902,Mapped_Owner,2,0),"")</f>
        <v>T-How</v>
      </c>
      <c r="O902" s="6">
        <f>VLOOKUP(D902,'Mapped Opponent'!$G$4:$H$22,2,0)</f>
        <v>5</v>
      </c>
      <c r="P902" s="6"/>
      <c r="Q902" s="6" t="str">
        <f t="shared" si="4"/>
        <v>Week 5</v>
      </c>
      <c r="R902" s="6" t="str">
        <f t="shared" si="5"/>
        <v>2015Week 5</v>
      </c>
      <c r="S902" s="6">
        <f>IFERROR(__xludf.DUMMYFUNCTION("rank(J902,FILTER(J:J,R:R=R902))"),10.0)</f>
        <v>10</v>
      </c>
      <c r="T902" s="6">
        <f t="shared" si="6"/>
        <v>2</v>
      </c>
      <c r="U902" s="6">
        <f t="shared" si="7"/>
        <v>10</v>
      </c>
      <c r="V902" s="42">
        <f>averageif(AllData!A:A,B902,AllData!R:R)/vlookup(B902,AllData!A:O,15,0)</f>
        <v>92.55128205</v>
      </c>
      <c r="W902" s="6"/>
    </row>
    <row r="903" ht="14.25" customHeight="1">
      <c r="A903" s="6" t="str">
        <f t="shared" si="1"/>
        <v>2015Salty5</v>
      </c>
      <c r="B903" s="6">
        <v>2015.0</v>
      </c>
      <c r="C903" s="6" t="s">
        <v>76</v>
      </c>
      <c r="D903" s="6" t="s">
        <v>141</v>
      </c>
      <c r="E903" s="34"/>
      <c r="F903" s="6" t="s">
        <v>2588</v>
      </c>
      <c r="G903" s="6" t="s">
        <v>114</v>
      </c>
      <c r="H903" s="6" t="s">
        <v>2423</v>
      </c>
      <c r="I903" s="35" t="s">
        <v>99</v>
      </c>
      <c r="J903" s="36">
        <v>92.2</v>
      </c>
      <c r="K903" s="36">
        <v>74.6</v>
      </c>
      <c r="L903" s="36">
        <f t="shared" si="2"/>
        <v>1</v>
      </c>
      <c r="M903" s="36" t="str">
        <f t="shared" si="3"/>
        <v>Regular Season</v>
      </c>
      <c r="N903" s="36" t="str">
        <f>IFERROR(VLOOKUP(I903,Mapped_Owner,2,0),"")</f>
        <v>Cock</v>
      </c>
      <c r="O903" s="6">
        <f>VLOOKUP(D903,'Mapped Opponent'!$G$4:$H$22,2,0)</f>
        <v>5</v>
      </c>
      <c r="P903" s="6"/>
      <c r="Q903" s="6" t="str">
        <f t="shared" si="4"/>
        <v>Week 5</v>
      </c>
      <c r="R903" s="6" t="str">
        <f t="shared" si="5"/>
        <v>2015Week 5</v>
      </c>
      <c r="S903" s="6">
        <f>IFERROR(__xludf.DUMMYFUNCTION("rank(J903,FILTER(J:J,R:R=R903))"),7.0)</f>
        <v>7</v>
      </c>
      <c r="T903" s="6">
        <f t="shared" si="6"/>
        <v>5</v>
      </c>
      <c r="U903" s="6">
        <f t="shared" si="7"/>
        <v>7</v>
      </c>
      <c r="V903" s="42">
        <f>averageif(AllData!A:A,B903,AllData!R:R)/vlookup(B903,AllData!A:O,15,0)</f>
        <v>92.55128205</v>
      </c>
      <c r="W903" s="6"/>
    </row>
    <row r="904" ht="14.25" customHeight="1">
      <c r="A904" s="6" t="str">
        <f t="shared" si="1"/>
        <v>2015Fellows5</v>
      </c>
      <c r="B904" s="6">
        <v>2015.0</v>
      </c>
      <c r="C904" s="6" t="s">
        <v>79</v>
      </c>
      <c r="D904" s="6" t="s">
        <v>141</v>
      </c>
      <c r="E904" s="6"/>
      <c r="F904" s="6" t="s">
        <v>2589</v>
      </c>
      <c r="G904" s="6" t="s">
        <v>114</v>
      </c>
      <c r="H904" s="35" t="s">
        <v>2429</v>
      </c>
      <c r="I904" s="180" t="s">
        <v>58</v>
      </c>
      <c r="J904" s="36">
        <v>101.5</v>
      </c>
      <c r="K904" s="36">
        <v>73.6</v>
      </c>
      <c r="L904" s="36">
        <f t="shared" si="2"/>
        <v>1</v>
      </c>
      <c r="M904" s="36" t="str">
        <f t="shared" si="3"/>
        <v>Regular Season</v>
      </c>
      <c r="N904" s="36" t="str">
        <f>IFERROR(VLOOKUP(I904,Mapped_Owner,2,0),"")</f>
        <v>Rooney/Jackson</v>
      </c>
      <c r="O904" s="6">
        <f>VLOOKUP(D904,'Mapped Opponent'!$G$4:$H$22,2,0)</f>
        <v>5</v>
      </c>
      <c r="P904" s="6"/>
      <c r="Q904" s="6" t="str">
        <f t="shared" si="4"/>
        <v>Week 5</v>
      </c>
      <c r="R904" s="6" t="str">
        <f t="shared" si="5"/>
        <v>2015Week 5</v>
      </c>
      <c r="S904" s="6">
        <f>IFERROR(__xludf.DUMMYFUNCTION("rank(J904,FILTER(J:J,R:R=R904))"),3.0)</f>
        <v>3</v>
      </c>
      <c r="T904" s="6">
        <f t="shared" si="6"/>
        <v>9</v>
      </c>
      <c r="U904" s="6">
        <f t="shared" si="7"/>
        <v>3</v>
      </c>
      <c r="V904" s="42">
        <f>averageif(AllData!A:A,B904,AllData!R:R)/vlookup(B904,AllData!A:O,15,0)</f>
        <v>92.55128205</v>
      </c>
      <c r="W904" s="6"/>
    </row>
    <row r="905" ht="14.25" customHeight="1">
      <c r="A905" s="6" t="str">
        <f t="shared" si="1"/>
        <v>2015Shep5</v>
      </c>
      <c r="B905" s="6">
        <v>2015.0</v>
      </c>
      <c r="C905" s="6" t="s">
        <v>89</v>
      </c>
      <c r="D905" s="6" t="s">
        <v>141</v>
      </c>
      <c r="E905" s="34"/>
      <c r="F905" s="6" t="s">
        <v>2590</v>
      </c>
      <c r="G905" s="6" t="s">
        <v>114</v>
      </c>
      <c r="H905" s="6" t="s">
        <v>2427</v>
      </c>
      <c r="I905" s="35" t="s">
        <v>68</v>
      </c>
      <c r="J905" s="36">
        <v>108.9</v>
      </c>
      <c r="K905" s="36">
        <v>98.2</v>
      </c>
      <c r="L905" s="36">
        <f t="shared" si="2"/>
        <v>1</v>
      </c>
      <c r="M905" s="36" t="str">
        <f t="shared" si="3"/>
        <v>Regular Season</v>
      </c>
      <c r="N905" s="36" t="str">
        <f>IFERROR(VLOOKUP(I905,Mapped_Owner,2,0),"")</f>
        <v>Riley</v>
      </c>
      <c r="O905" s="6">
        <f>VLOOKUP(D905,'Mapped Opponent'!$G$4:$H$22,2,0)</f>
        <v>5</v>
      </c>
      <c r="P905" s="6"/>
      <c r="Q905" s="6" t="str">
        <f t="shared" si="4"/>
        <v>Week 5</v>
      </c>
      <c r="R905" s="6" t="str">
        <f t="shared" si="5"/>
        <v>2015Week 5</v>
      </c>
      <c r="S905" s="6">
        <f>IFERROR(__xludf.DUMMYFUNCTION("rank(J905,FILTER(J:J,R:R=R905))"),1.0)</f>
        <v>1</v>
      </c>
      <c r="T905" s="6">
        <f t="shared" si="6"/>
        <v>11</v>
      </c>
      <c r="U905" s="6">
        <f t="shared" si="7"/>
        <v>1</v>
      </c>
      <c r="V905" s="42">
        <f>averageif(AllData!A:A,B905,AllData!R:R)/vlookup(B905,AllData!A:O,15,0)</f>
        <v>92.55128205</v>
      </c>
      <c r="W905" s="6"/>
    </row>
    <row r="906" ht="14.25" customHeight="1">
      <c r="A906" s="6" t="str">
        <f t="shared" si="1"/>
        <v>2015Riley5</v>
      </c>
      <c r="B906" s="6">
        <v>2015.0</v>
      </c>
      <c r="C906" s="6" t="s">
        <v>67</v>
      </c>
      <c r="D906" s="6" t="s">
        <v>141</v>
      </c>
      <c r="E906" s="34"/>
      <c r="F906" s="6" t="s">
        <v>2591</v>
      </c>
      <c r="G906" s="6" t="s">
        <v>125</v>
      </c>
      <c r="H906" s="6" t="s">
        <v>2425</v>
      </c>
      <c r="I906" s="35" t="s">
        <v>91</v>
      </c>
      <c r="J906" s="36">
        <v>98.2</v>
      </c>
      <c r="K906" s="36">
        <v>108.9</v>
      </c>
      <c r="L906" s="36">
        <f t="shared" si="2"/>
        <v>0</v>
      </c>
      <c r="M906" s="36" t="str">
        <f t="shared" si="3"/>
        <v>Regular Season</v>
      </c>
      <c r="N906" s="36" t="str">
        <f>IFERROR(VLOOKUP(I906,Mapped_Owner,2,0),"")</f>
        <v>Shep</v>
      </c>
      <c r="O906" s="6">
        <f>VLOOKUP(D906,'Mapped Opponent'!$G$4:$H$22,2,0)</f>
        <v>5</v>
      </c>
      <c r="P906" s="6"/>
      <c r="Q906" s="6" t="str">
        <f t="shared" si="4"/>
        <v>Week 5</v>
      </c>
      <c r="R906" s="6" t="str">
        <f t="shared" si="5"/>
        <v>2015Week 5</v>
      </c>
      <c r="S906" s="6">
        <f>IFERROR(__xludf.DUMMYFUNCTION("rank(J906,FILTER(J:J,R:R=R906))"),5.0)</f>
        <v>5</v>
      </c>
      <c r="T906" s="6">
        <f t="shared" si="6"/>
        <v>7</v>
      </c>
      <c r="U906" s="6">
        <f t="shared" si="7"/>
        <v>5</v>
      </c>
      <c r="V906" s="42">
        <f>averageif(AllData!A:A,B906,AllData!R:R)/vlookup(B906,AllData!A:O,15,0)</f>
        <v>92.55128205</v>
      </c>
      <c r="W906" s="6"/>
    </row>
    <row r="907" ht="14.25" customHeight="1">
      <c r="A907" s="6" t="str">
        <f t="shared" si="1"/>
        <v>2015Rooney/Jackson5</v>
      </c>
      <c r="B907" s="6">
        <v>2015.0</v>
      </c>
      <c r="C907" s="6" t="s">
        <v>57</v>
      </c>
      <c r="D907" s="6" t="s">
        <v>141</v>
      </c>
      <c r="E907" s="34"/>
      <c r="F907" s="6" t="s">
        <v>2592</v>
      </c>
      <c r="G907" s="6" t="s">
        <v>125</v>
      </c>
      <c r="H907" s="6" t="s">
        <v>2414</v>
      </c>
      <c r="I907" s="35" t="s">
        <v>80</v>
      </c>
      <c r="J907" s="36">
        <v>73.6</v>
      </c>
      <c r="K907" s="36">
        <v>101.5</v>
      </c>
      <c r="L907" s="36">
        <f t="shared" si="2"/>
        <v>0</v>
      </c>
      <c r="M907" s="36" t="str">
        <f t="shared" si="3"/>
        <v>Regular Season</v>
      </c>
      <c r="N907" s="36" t="str">
        <f>IFERROR(VLOOKUP(I907,Mapped_Owner,2,0),"")</f>
        <v>Fellows</v>
      </c>
      <c r="O907" s="6">
        <f>VLOOKUP(D907,'Mapped Opponent'!$G$4:$H$22,2,0)</f>
        <v>5</v>
      </c>
      <c r="P907" s="6"/>
      <c r="Q907" s="6" t="str">
        <f t="shared" si="4"/>
        <v>Week 5</v>
      </c>
      <c r="R907" s="6" t="str">
        <f t="shared" si="5"/>
        <v>2015Week 5</v>
      </c>
      <c r="S907" s="6">
        <f>IFERROR(__xludf.DUMMYFUNCTION("rank(J907,FILTER(J:J,R:R=R907))"),12.0)</f>
        <v>12</v>
      </c>
      <c r="T907" s="6">
        <f t="shared" si="6"/>
        <v>0</v>
      </c>
      <c r="U907" s="6">
        <f t="shared" si="7"/>
        <v>12</v>
      </c>
      <c r="V907" s="42">
        <f>averageif(AllData!A:A,B907,AllData!R:R)/vlookup(B907,AllData!A:O,15,0)</f>
        <v>92.55128205</v>
      </c>
      <c r="W907" s="6"/>
    </row>
    <row r="908" ht="14.25" customHeight="1">
      <c r="A908" s="6" t="str">
        <f t="shared" si="1"/>
        <v>2015Buser5</v>
      </c>
      <c r="B908" s="6">
        <v>2015.0</v>
      </c>
      <c r="C908" s="6" t="s">
        <v>47</v>
      </c>
      <c r="D908" s="6" t="s">
        <v>141</v>
      </c>
      <c r="E908" s="6"/>
      <c r="F908" s="6" t="s">
        <v>2593</v>
      </c>
      <c r="G908" s="6" t="s">
        <v>125</v>
      </c>
      <c r="H908" s="35" t="s">
        <v>2433</v>
      </c>
      <c r="I908" s="180" t="s">
        <v>54</v>
      </c>
      <c r="J908" s="36">
        <v>95.2</v>
      </c>
      <c r="K908" s="36">
        <v>85.5</v>
      </c>
      <c r="L908" s="36">
        <f t="shared" si="2"/>
        <v>1</v>
      </c>
      <c r="M908" s="36" t="str">
        <f t="shared" si="3"/>
        <v>Regular Season</v>
      </c>
      <c r="N908" s="36" t="str">
        <f>IFERROR(VLOOKUP(I908,Mapped_Owner,2,0),"")</f>
        <v>Tayski</v>
      </c>
      <c r="O908" s="6">
        <f>VLOOKUP(D908,'Mapped Opponent'!$G$4:$H$22,2,0)</f>
        <v>5</v>
      </c>
      <c r="P908" s="6"/>
      <c r="Q908" s="6" t="str">
        <f t="shared" si="4"/>
        <v>Week 5</v>
      </c>
      <c r="R908" s="6" t="str">
        <f t="shared" si="5"/>
        <v>2015Week 5</v>
      </c>
      <c r="S908" s="6">
        <f>IFERROR(__xludf.DUMMYFUNCTION("rank(J908,FILTER(J:J,R:R=R908))"),6.0)</f>
        <v>6</v>
      </c>
      <c r="T908" s="6">
        <f t="shared" si="6"/>
        <v>6</v>
      </c>
      <c r="U908" s="6">
        <f t="shared" si="7"/>
        <v>6</v>
      </c>
      <c r="V908" s="42">
        <f>averageif(AllData!A:A,B908,AllData!R:R)/vlookup(B908,AllData!A:O,15,0)</f>
        <v>92.55128205</v>
      </c>
      <c r="W908" s="6"/>
    </row>
    <row r="909" ht="14.25" customHeight="1">
      <c r="A909" s="6" t="str">
        <f t="shared" si="1"/>
        <v>2015Pierson5</v>
      </c>
      <c r="B909" s="6">
        <v>2015.0</v>
      </c>
      <c r="C909" s="6" t="s">
        <v>92</v>
      </c>
      <c r="D909" s="6" t="s">
        <v>141</v>
      </c>
      <c r="E909" s="34"/>
      <c r="F909" s="6" t="s">
        <v>2594</v>
      </c>
      <c r="G909" s="6" t="s">
        <v>125</v>
      </c>
      <c r="H909" s="6" t="s">
        <v>2431</v>
      </c>
      <c r="I909" s="35" t="s">
        <v>132</v>
      </c>
      <c r="J909" s="36">
        <v>101.8</v>
      </c>
      <c r="K909" s="36">
        <v>98.6</v>
      </c>
      <c r="L909" s="36">
        <f t="shared" si="2"/>
        <v>1</v>
      </c>
      <c r="M909" s="36" t="str">
        <f t="shared" si="3"/>
        <v>Regular Season</v>
      </c>
      <c r="N909" s="36" t="str">
        <f>IFERROR(VLOOKUP(I909,Mapped_Owner,2,0),"")</f>
        <v>KnardDawg</v>
      </c>
      <c r="O909" s="6">
        <f>VLOOKUP(D909,'Mapped Opponent'!$G$4:$H$22,2,0)</f>
        <v>5</v>
      </c>
      <c r="P909" s="6"/>
      <c r="Q909" s="6" t="str">
        <f t="shared" si="4"/>
        <v>Week 5</v>
      </c>
      <c r="R909" s="6" t="str">
        <f t="shared" si="5"/>
        <v>2015Week 5</v>
      </c>
      <c r="S909" s="6">
        <f>IFERROR(__xludf.DUMMYFUNCTION("rank(J909,FILTER(J:J,R:R=R909))"),2.0)</f>
        <v>2</v>
      </c>
      <c r="T909" s="6">
        <f t="shared" si="6"/>
        <v>10</v>
      </c>
      <c r="U909" s="6">
        <f t="shared" si="7"/>
        <v>2</v>
      </c>
      <c r="V909" s="42">
        <f>averageif(AllData!A:A,B909,AllData!R:R)/vlookup(B909,AllData!A:O,15,0)</f>
        <v>92.55128205</v>
      </c>
      <c r="W909" s="6"/>
    </row>
    <row r="910" ht="14.25" customHeight="1">
      <c r="A910" s="6" t="str">
        <f t="shared" si="1"/>
        <v>2015Cock5</v>
      </c>
      <c r="B910" s="6">
        <v>2015.0</v>
      </c>
      <c r="C910" s="6" t="s">
        <v>72</v>
      </c>
      <c r="D910" s="6" t="s">
        <v>141</v>
      </c>
      <c r="E910" s="6"/>
      <c r="F910" s="6" t="s">
        <v>2595</v>
      </c>
      <c r="G910" s="6" t="s">
        <v>125</v>
      </c>
      <c r="H910" s="35" t="s">
        <v>2440</v>
      </c>
      <c r="I910" s="180" t="s">
        <v>77</v>
      </c>
      <c r="J910" s="36">
        <v>74.6</v>
      </c>
      <c r="K910" s="36">
        <v>92.2</v>
      </c>
      <c r="L910" s="36">
        <f t="shared" si="2"/>
        <v>0</v>
      </c>
      <c r="M910" s="36" t="str">
        <f t="shared" si="3"/>
        <v>Regular Season</v>
      </c>
      <c r="N910" s="36" t="str">
        <f>IFERROR(VLOOKUP(I910,Mapped_Owner,2,0),"")</f>
        <v>Salty</v>
      </c>
      <c r="O910" s="6">
        <f>VLOOKUP(D910,'Mapped Opponent'!$G$4:$H$22,2,0)</f>
        <v>5</v>
      </c>
      <c r="P910" s="6"/>
      <c r="Q910" s="6" t="str">
        <f t="shared" si="4"/>
        <v>Week 5</v>
      </c>
      <c r="R910" s="6" t="str">
        <f t="shared" si="5"/>
        <v>2015Week 5</v>
      </c>
      <c r="S910" s="6">
        <f>IFERROR(__xludf.DUMMYFUNCTION("rank(J910,FILTER(J:J,R:R=R910))"),11.0)</f>
        <v>11</v>
      </c>
      <c r="T910" s="6">
        <f t="shared" si="6"/>
        <v>1</v>
      </c>
      <c r="U910" s="6">
        <f t="shared" si="7"/>
        <v>11</v>
      </c>
      <c r="V910" s="42">
        <f>averageif(AllData!A:A,B910,AllData!R:R)/vlookup(B910,AllData!A:O,15,0)</f>
        <v>92.55128205</v>
      </c>
      <c r="W910" s="6"/>
    </row>
    <row r="911" ht="14.25" customHeight="1">
      <c r="A911" s="6" t="str">
        <f t="shared" si="1"/>
        <v>2015Tayski5</v>
      </c>
      <c r="B911" s="6">
        <v>2015.0</v>
      </c>
      <c r="C911" s="6" t="s">
        <v>52</v>
      </c>
      <c r="D911" s="6" t="s">
        <v>141</v>
      </c>
      <c r="E911" s="34"/>
      <c r="F911" s="6" t="s">
        <v>2596</v>
      </c>
      <c r="G911" s="6" t="s">
        <v>114</v>
      </c>
      <c r="H911" s="6" t="s">
        <v>2419</v>
      </c>
      <c r="I911" s="35" t="s">
        <v>50</v>
      </c>
      <c r="J911" s="36">
        <v>85.5</v>
      </c>
      <c r="K911" s="36">
        <v>95.2</v>
      </c>
      <c r="L911" s="36">
        <f t="shared" si="2"/>
        <v>0</v>
      </c>
      <c r="M911" s="36" t="str">
        <f t="shared" si="3"/>
        <v>Regular Season</v>
      </c>
      <c r="N911" s="36" t="str">
        <f>IFERROR(VLOOKUP(I911,Mapped_Owner,2,0),"")</f>
        <v>Buser</v>
      </c>
      <c r="O911" s="6">
        <f>VLOOKUP(D911,'Mapped Opponent'!$G$4:$H$22,2,0)</f>
        <v>5</v>
      </c>
      <c r="P911" s="6"/>
      <c r="Q911" s="6" t="str">
        <f t="shared" si="4"/>
        <v>Week 5</v>
      </c>
      <c r="R911" s="6" t="str">
        <f t="shared" si="5"/>
        <v>2015Week 5</v>
      </c>
      <c r="S911" s="6">
        <f>IFERROR(__xludf.DUMMYFUNCTION("rank(J911,FILTER(J:J,R:R=R911))"),9.0)</f>
        <v>9</v>
      </c>
      <c r="T911" s="6">
        <f t="shared" si="6"/>
        <v>3</v>
      </c>
      <c r="U911" s="6">
        <f t="shared" si="7"/>
        <v>9</v>
      </c>
      <c r="V911" s="42">
        <f>averageif(AllData!A:A,B911,AllData!R:R)/vlookup(B911,AllData!A:O,15,0)</f>
        <v>92.55128205</v>
      </c>
      <c r="W911" s="6"/>
    </row>
    <row r="912" ht="14.25" customHeight="1">
      <c r="A912" s="6" t="str">
        <f t="shared" si="1"/>
        <v>2015KnardDawg5</v>
      </c>
      <c r="B912" s="6">
        <v>2015.0</v>
      </c>
      <c r="C912" s="6" t="s">
        <v>86</v>
      </c>
      <c r="D912" s="6" t="s">
        <v>141</v>
      </c>
      <c r="E912" s="34"/>
      <c r="F912" s="6" t="s">
        <v>2597</v>
      </c>
      <c r="G912" s="6" t="s">
        <v>114</v>
      </c>
      <c r="H912" s="6" t="s">
        <v>2421</v>
      </c>
      <c r="I912" s="35" t="s">
        <v>93</v>
      </c>
      <c r="J912" s="36">
        <v>98.6</v>
      </c>
      <c r="K912" s="36">
        <v>101.8</v>
      </c>
      <c r="L912" s="36">
        <f t="shared" si="2"/>
        <v>0</v>
      </c>
      <c r="M912" s="36" t="str">
        <f t="shared" si="3"/>
        <v>Regular Season</v>
      </c>
      <c r="N912" s="36" t="str">
        <f>IFERROR(VLOOKUP(I912,Mapped_Owner,2,0),"")</f>
        <v>Pierson</v>
      </c>
      <c r="O912" s="6">
        <f>VLOOKUP(D912,'Mapped Opponent'!$G$4:$H$22,2,0)</f>
        <v>5</v>
      </c>
      <c r="P912" s="6"/>
      <c r="Q912" s="6" t="str">
        <f t="shared" si="4"/>
        <v>Week 5</v>
      </c>
      <c r="R912" s="6" t="str">
        <f t="shared" si="5"/>
        <v>2015Week 5</v>
      </c>
      <c r="S912" s="6">
        <f>IFERROR(__xludf.DUMMYFUNCTION("rank(J912,FILTER(J:J,R:R=R912))"),4.0)</f>
        <v>4</v>
      </c>
      <c r="T912" s="6">
        <f t="shared" si="6"/>
        <v>8</v>
      </c>
      <c r="U912" s="6">
        <f t="shared" si="7"/>
        <v>4</v>
      </c>
      <c r="V912" s="42">
        <f>averageif(AllData!A:A,B912,AllData!R:R)/vlookup(B912,AllData!A:O,15,0)</f>
        <v>92.55128205</v>
      </c>
      <c r="W912" s="6"/>
    </row>
    <row r="913" ht="14.25" customHeight="1">
      <c r="A913" s="6" t="str">
        <f t="shared" si="1"/>
        <v>2015T-How5</v>
      </c>
      <c r="B913" s="6">
        <v>2015.0</v>
      </c>
      <c r="C913" s="6" t="s">
        <v>82</v>
      </c>
      <c r="D913" s="6" t="s">
        <v>141</v>
      </c>
      <c r="E913" s="34"/>
      <c r="F913" s="6" t="s">
        <v>2598</v>
      </c>
      <c r="G913" s="6" t="s">
        <v>125</v>
      </c>
      <c r="H913" s="6" t="s">
        <v>2417</v>
      </c>
      <c r="I913" s="35" t="s">
        <v>64</v>
      </c>
      <c r="J913" s="36">
        <v>91.4</v>
      </c>
      <c r="K913" s="36">
        <v>82.3</v>
      </c>
      <c r="L913" s="36">
        <f t="shared" si="2"/>
        <v>1</v>
      </c>
      <c r="M913" s="36" t="str">
        <f t="shared" si="3"/>
        <v>Regular Season</v>
      </c>
      <c r="N913" s="36" t="str">
        <f>IFERROR(VLOOKUP(I913,Mapped_Owner,2,0),"")</f>
        <v>Hudspeath</v>
      </c>
      <c r="O913" s="6">
        <f>VLOOKUP(D913,'Mapped Opponent'!$G$4:$H$22,2,0)</f>
        <v>5</v>
      </c>
      <c r="P913" s="6"/>
      <c r="Q913" s="6" t="str">
        <f t="shared" si="4"/>
        <v>Week 5</v>
      </c>
      <c r="R913" s="6" t="str">
        <f t="shared" si="5"/>
        <v>2015Week 5</v>
      </c>
      <c r="S913" s="6">
        <f>IFERROR(__xludf.DUMMYFUNCTION("rank(J913,FILTER(J:J,R:R=R913))"),8.0)</f>
        <v>8</v>
      </c>
      <c r="T913" s="6">
        <f t="shared" si="6"/>
        <v>4</v>
      </c>
      <c r="U913" s="6">
        <f t="shared" si="7"/>
        <v>8</v>
      </c>
      <c r="V913" s="42">
        <f>averageif(AllData!A:A,B913,AllData!R:R)/vlookup(B913,AllData!A:O,15,0)</f>
        <v>92.55128205</v>
      </c>
      <c r="W913" s="6"/>
    </row>
    <row r="914" ht="14.25" customHeight="1">
      <c r="A914" s="6" t="str">
        <f t="shared" si="1"/>
        <v>2015Hudspeath6</v>
      </c>
      <c r="B914" s="6">
        <v>2015.0</v>
      </c>
      <c r="C914" s="6" t="s">
        <v>39</v>
      </c>
      <c r="D914" s="6" t="s">
        <v>142</v>
      </c>
      <c r="E914" s="34"/>
      <c r="F914" s="34" t="s">
        <v>2599</v>
      </c>
      <c r="G914" s="6" t="s">
        <v>125</v>
      </c>
      <c r="H914" s="6" t="s">
        <v>2431</v>
      </c>
      <c r="I914" s="6" t="s">
        <v>132</v>
      </c>
      <c r="J914" s="36">
        <v>95.5</v>
      </c>
      <c r="K914" s="36">
        <v>61.6</v>
      </c>
      <c r="L914" s="36">
        <f t="shared" si="2"/>
        <v>1</v>
      </c>
      <c r="M914" s="36" t="str">
        <f t="shared" si="3"/>
        <v>Regular Season</v>
      </c>
      <c r="N914" s="36" t="str">
        <f>IFERROR(VLOOKUP(I914,Mapped_Owner,2,0),"")</f>
        <v>KnardDawg</v>
      </c>
      <c r="O914" s="6">
        <f>VLOOKUP(D914,'Mapped Opponent'!$G$4:$H$22,2,0)</f>
        <v>6</v>
      </c>
      <c r="P914" s="6"/>
      <c r="Q914" s="6" t="str">
        <f t="shared" si="4"/>
        <v>Week 6</v>
      </c>
      <c r="R914" s="6" t="str">
        <f t="shared" si="5"/>
        <v>2015Week 6</v>
      </c>
      <c r="S914" s="6">
        <f>IFERROR(__xludf.DUMMYFUNCTION("rank(J914,FILTER(J:J,R:R=R914))"),7.0)</f>
        <v>7</v>
      </c>
      <c r="T914" s="6">
        <f t="shared" si="6"/>
        <v>5</v>
      </c>
      <c r="U914" s="6">
        <f t="shared" si="7"/>
        <v>7</v>
      </c>
      <c r="V914" s="42">
        <f>averageif(AllData!A:A,B914,AllData!R:R)/vlookup(B914,AllData!A:O,15,0)</f>
        <v>92.55128205</v>
      </c>
      <c r="W914" s="6"/>
    </row>
    <row r="915" ht="14.25" customHeight="1">
      <c r="A915" s="6" t="str">
        <f t="shared" si="1"/>
        <v>2015Salty6</v>
      </c>
      <c r="B915" s="6">
        <v>2015.0</v>
      </c>
      <c r="C915" s="6" t="s">
        <v>76</v>
      </c>
      <c r="D915" s="6" t="s">
        <v>142</v>
      </c>
      <c r="E915" s="34"/>
      <c r="F915" s="6" t="s">
        <v>2600</v>
      </c>
      <c r="G915" s="6" t="s">
        <v>125</v>
      </c>
      <c r="H915" s="6" t="s">
        <v>2427</v>
      </c>
      <c r="I915" s="35" t="s">
        <v>68</v>
      </c>
      <c r="J915" s="36">
        <v>99.7</v>
      </c>
      <c r="K915" s="36">
        <v>123.6</v>
      </c>
      <c r="L915" s="36">
        <f t="shared" si="2"/>
        <v>0</v>
      </c>
      <c r="M915" s="36" t="str">
        <f t="shared" si="3"/>
        <v>Regular Season</v>
      </c>
      <c r="N915" s="36" t="str">
        <f>IFERROR(VLOOKUP(I915,Mapped_Owner,2,0),"")</f>
        <v>Riley</v>
      </c>
      <c r="O915" s="6">
        <f>VLOOKUP(D915,'Mapped Opponent'!$G$4:$H$22,2,0)</f>
        <v>6</v>
      </c>
      <c r="P915" s="6"/>
      <c r="Q915" s="6" t="str">
        <f t="shared" si="4"/>
        <v>Week 6</v>
      </c>
      <c r="R915" s="6" t="str">
        <f t="shared" si="5"/>
        <v>2015Week 6</v>
      </c>
      <c r="S915" s="6">
        <f>IFERROR(__xludf.DUMMYFUNCTION("rank(J915,FILTER(J:J,R:R=R915))"),5.0)</f>
        <v>5</v>
      </c>
      <c r="T915" s="6">
        <f t="shared" si="6"/>
        <v>7</v>
      </c>
      <c r="U915" s="6">
        <f t="shared" si="7"/>
        <v>5</v>
      </c>
      <c r="V915" s="42">
        <f>averageif(AllData!A:A,B915,AllData!R:R)/vlookup(B915,AllData!A:O,15,0)</f>
        <v>92.55128205</v>
      </c>
      <c r="W915" s="6"/>
    </row>
    <row r="916" ht="14.25" customHeight="1">
      <c r="A916" s="6" t="str">
        <f t="shared" si="1"/>
        <v>2015Fellows6</v>
      </c>
      <c r="B916" s="6">
        <v>2015.0</v>
      </c>
      <c r="C916" s="6" t="s">
        <v>79</v>
      </c>
      <c r="D916" s="6" t="s">
        <v>142</v>
      </c>
      <c r="E916" s="6"/>
      <c r="F916" s="6" t="s">
        <v>2601</v>
      </c>
      <c r="G916" s="6" t="s">
        <v>125</v>
      </c>
      <c r="H916" s="35" t="s">
        <v>2421</v>
      </c>
      <c r="I916" s="180" t="s">
        <v>93</v>
      </c>
      <c r="J916" s="36">
        <v>130.6</v>
      </c>
      <c r="K916" s="36">
        <v>101.1</v>
      </c>
      <c r="L916" s="36">
        <f t="shared" si="2"/>
        <v>1</v>
      </c>
      <c r="M916" s="36" t="str">
        <f t="shared" si="3"/>
        <v>Regular Season</v>
      </c>
      <c r="N916" s="36" t="str">
        <f>IFERROR(VLOOKUP(I916,Mapped_Owner,2,0),"")</f>
        <v>Pierson</v>
      </c>
      <c r="O916" s="6">
        <f>VLOOKUP(D916,'Mapped Opponent'!$G$4:$H$22,2,0)</f>
        <v>6</v>
      </c>
      <c r="P916" s="6"/>
      <c r="Q916" s="6" t="str">
        <f t="shared" si="4"/>
        <v>Week 6</v>
      </c>
      <c r="R916" s="6" t="str">
        <f t="shared" si="5"/>
        <v>2015Week 6</v>
      </c>
      <c r="S916" s="6">
        <f>IFERROR(__xludf.DUMMYFUNCTION("rank(J916,FILTER(J:J,R:R=R916))"),1.0)</f>
        <v>1</v>
      </c>
      <c r="T916" s="6">
        <f t="shared" si="6"/>
        <v>11</v>
      </c>
      <c r="U916" s="6">
        <f t="shared" si="7"/>
        <v>1</v>
      </c>
      <c r="V916" s="42">
        <f>averageif(AllData!A:A,B916,AllData!R:R)/vlookup(B916,AllData!A:O,15,0)</f>
        <v>92.55128205</v>
      </c>
      <c r="W916" s="6"/>
    </row>
    <row r="917" ht="14.25" customHeight="1">
      <c r="A917" s="6" t="str">
        <f t="shared" si="1"/>
        <v>2015Shep6</v>
      </c>
      <c r="B917" s="6">
        <v>2015.0</v>
      </c>
      <c r="C917" s="6" t="s">
        <v>89</v>
      </c>
      <c r="D917" s="6" t="s">
        <v>142</v>
      </c>
      <c r="E917" s="34"/>
      <c r="F917" s="6" t="s">
        <v>2602</v>
      </c>
      <c r="G917" s="6" t="s">
        <v>125</v>
      </c>
      <c r="H917" s="6" t="s">
        <v>2436</v>
      </c>
      <c r="I917" s="35" t="s">
        <v>85</v>
      </c>
      <c r="J917" s="36">
        <v>69.3</v>
      </c>
      <c r="K917" s="36">
        <v>85.2</v>
      </c>
      <c r="L917" s="36">
        <f t="shared" si="2"/>
        <v>0</v>
      </c>
      <c r="M917" s="36" t="str">
        <f t="shared" si="3"/>
        <v>Regular Season</v>
      </c>
      <c r="N917" s="36" t="str">
        <f>IFERROR(VLOOKUP(I917,Mapped_Owner,2,0),"")</f>
        <v>T-How</v>
      </c>
      <c r="O917" s="6">
        <f>VLOOKUP(D917,'Mapped Opponent'!$G$4:$H$22,2,0)</f>
        <v>6</v>
      </c>
      <c r="P917" s="6"/>
      <c r="Q917" s="6" t="str">
        <f t="shared" si="4"/>
        <v>Week 6</v>
      </c>
      <c r="R917" s="6" t="str">
        <f t="shared" si="5"/>
        <v>2015Week 6</v>
      </c>
      <c r="S917" s="6">
        <f>IFERROR(__xludf.DUMMYFUNCTION("rank(J917,FILTER(J:J,R:R=R917))"),11.0)</f>
        <v>11</v>
      </c>
      <c r="T917" s="6">
        <f t="shared" si="6"/>
        <v>1</v>
      </c>
      <c r="U917" s="6">
        <f t="shared" si="7"/>
        <v>11</v>
      </c>
      <c r="V917" s="42">
        <f>averageif(AllData!A:A,B917,AllData!R:R)/vlookup(B917,AllData!A:O,15,0)</f>
        <v>92.55128205</v>
      </c>
      <c r="W917" s="6"/>
    </row>
    <row r="918" ht="14.25" customHeight="1">
      <c r="A918" s="6" t="str">
        <f t="shared" si="1"/>
        <v>2015Riley6</v>
      </c>
      <c r="B918" s="6">
        <v>2015.0</v>
      </c>
      <c r="C918" s="6" t="s">
        <v>67</v>
      </c>
      <c r="D918" s="6" t="s">
        <v>142</v>
      </c>
      <c r="E918" s="34"/>
      <c r="F918" s="6" t="s">
        <v>2603</v>
      </c>
      <c r="G918" s="6" t="s">
        <v>114</v>
      </c>
      <c r="H918" s="6" t="s">
        <v>2440</v>
      </c>
      <c r="I918" s="35" t="s">
        <v>77</v>
      </c>
      <c r="J918" s="36">
        <v>123.6</v>
      </c>
      <c r="K918" s="36">
        <v>99.7</v>
      </c>
      <c r="L918" s="36">
        <f t="shared" si="2"/>
        <v>1</v>
      </c>
      <c r="M918" s="36" t="str">
        <f t="shared" si="3"/>
        <v>Regular Season</v>
      </c>
      <c r="N918" s="36" t="str">
        <f>IFERROR(VLOOKUP(I918,Mapped_Owner,2,0),"")</f>
        <v>Salty</v>
      </c>
      <c r="O918" s="6">
        <f>VLOOKUP(D918,'Mapped Opponent'!$G$4:$H$22,2,0)</f>
        <v>6</v>
      </c>
      <c r="P918" s="6"/>
      <c r="Q918" s="6" t="str">
        <f t="shared" si="4"/>
        <v>Week 6</v>
      </c>
      <c r="R918" s="6" t="str">
        <f t="shared" si="5"/>
        <v>2015Week 6</v>
      </c>
      <c r="S918" s="6">
        <f>IFERROR(__xludf.DUMMYFUNCTION("rank(J918,FILTER(J:J,R:R=R918))"),2.0)</f>
        <v>2</v>
      </c>
      <c r="T918" s="6">
        <f t="shared" si="6"/>
        <v>10</v>
      </c>
      <c r="U918" s="6">
        <f t="shared" si="7"/>
        <v>2</v>
      </c>
      <c r="V918" s="42">
        <f>averageif(AllData!A:A,B918,AllData!R:R)/vlookup(B918,AllData!A:O,15,0)</f>
        <v>92.55128205</v>
      </c>
      <c r="W918" s="6"/>
    </row>
    <row r="919" ht="14.25" customHeight="1">
      <c r="A919" s="6" t="str">
        <f t="shared" si="1"/>
        <v>2015Rooney/Jackson6</v>
      </c>
      <c r="B919" s="6">
        <v>2015.0</v>
      </c>
      <c r="C919" s="6" t="s">
        <v>57</v>
      </c>
      <c r="D919" s="6" t="s">
        <v>142</v>
      </c>
      <c r="E919" s="34"/>
      <c r="F919" s="6" t="s">
        <v>2604</v>
      </c>
      <c r="G919" s="6" t="s">
        <v>114</v>
      </c>
      <c r="H919" s="6" t="s">
        <v>2433</v>
      </c>
      <c r="I919" s="35" t="s">
        <v>54</v>
      </c>
      <c r="J919" s="36">
        <v>76.5</v>
      </c>
      <c r="K919" s="36">
        <v>114.9</v>
      </c>
      <c r="L919" s="36">
        <f t="shared" si="2"/>
        <v>0</v>
      </c>
      <c r="M919" s="36" t="str">
        <f t="shared" si="3"/>
        <v>Regular Season</v>
      </c>
      <c r="N919" s="36" t="str">
        <f>IFERROR(VLOOKUP(I919,Mapped_Owner,2,0),"")</f>
        <v>Tayski</v>
      </c>
      <c r="O919" s="6">
        <f>VLOOKUP(D919,'Mapped Opponent'!$G$4:$H$22,2,0)</f>
        <v>6</v>
      </c>
      <c r="P919" s="6"/>
      <c r="Q919" s="6" t="str">
        <f t="shared" si="4"/>
        <v>Week 6</v>
      </c>
      <c r="R919" s="6" t="str">
        <f t="shared" si="5"/>
        <v>2015Week 6</v>
      </c>
      <c r="S919" s="6">
        <f>IFERROR(__xludf.DUMMYFUNCTION("rank(J919,FILTER(J:J,R:R=R919))"),10.0)</f>
        <v>10</v>
      </c>
      <c r="T919" s="6">
        <f t="shared" si="6"/>
        <v>2</v>
      </c>
      <c r="U919" s="6">
        <f t="shared" si="7"/>
        <v>10</v>
      </c>
      <c r="V919" s="42">
        <f>averageif(AllData!A:A,B919,AllData!R:R)/vlookup(B919,AllData!A:O,15,0)</f>
        <v>92.55128205</v>
      </c>
      <c r="W919" s="6"/>
    </row>
    <row r="920" ht="14.25" customHeight="1">
      <c r="A920" s="6" t="str">
        <f t="shared" si="1"/>
        <v>2015Buser6</v>
      </c>
      <c r="B920" s="6">
        <v>2015.0</v>
      </c>
      <c r="C920" s="6" t="s">
        <v>47</v>
      </c>
      <c r="D920" s="6" t="s">
        <v>142</v>
      </c>
      <c r="E920" s="6"/>
      <c r="F920" s="6" t="s">
        <v>2605</v>
      </c>
      <c r="G920" s="6" t="s">
        <v>125</v>
      </c>
      <c r="H920" s="35" t="s">
        <v>2423</v>
      </c>
      <c r="I920" s="180" t="s">
        <v>99</v>
      </c>
      <c r="J920" s="36">
        <v>96.1</v>
      </c>
      <c r="K920" s="36">
        <v>86.9</v>
      </c>
      <c r="L920" s="36">
        <f t="shared" si="2"/>
        <v>1</v>
      </c>
      <c r="M920" s="36" t="str">
        <f t="shared" si="3"/>
        <v>Regular Season</v>
      </c>
      <c r="N920" s="36" t="str">
        <f>IFERROR(VLOOKUP(I920,Mapped_Owner,2,0),"")</f>
        <v>Cock</v>
      </c>
      <c r="O920" s="6">
        <f>VLOOKUP(D920,'Mapped Opponent'!$G$4:$H$22,2,0)</f>
        <v>6</v>
      </c>
      <c r="P920" s="6"/>
      <c r="Q920" s="6" t="str">
        <f t="shared" si="4"/>
        <v>Week 6</v>
      </c>
      <c r="R920" s="6" t="str">
        <f t="shared" si="5"/>
        <v>2015Week 6</v>
      </c>
      <c r="S920" s="6">
        <f>IFERROR(__xludf.DUMMYFUNCTION("rank(J920,FILTER(J:J,R:R=R920))"),6.0)</f>
        <v>6</v>
      </c>
      <c r="T920" s="6">
        <f t="shared" si="6"/>
        <v>6</v>
      </c>
      <c r="U920" s="6">
        <f t="shared" si="7"/>
        <v>6</v>
      </c>
      <c r="V920" s="42">
        <f>averageif(AllData!A:A,B920,AllData!R:R)/vlookup(B920,AllData!A:O,15,0)</f>
        <v>92.55128205</v>
      </c>
      <c r="W920" s="6"/>
    </row>
    <row r="921" ht="14.25" customHeight="1">
      <c r="A921" s="6" t="str">
        <f t="shared" si="1"/>
        <v>2015Pierson6</v>
      </c>
      <c r="B921" s="6">
        <v>2015.0</v>
      </c>
      <c r="C921" s="6" t="s">
        <v>92</v>
      </c>
      <c r="D921" s="6" t="s">
        <v>142</v>
      </c>
      <c r="E921" s="34"/>
      <c r="F921" s="6" t="s">
        <v>2606</v>
      </c>
      <c r="G921" s="6" t="s">
        <v>114</v>
      </c>
      <c r="H921" s="6" t="s">
        <v>2414</v>
      </c>
      <c r="I921" s="35" t="s">
        <v>80</v>
      </c>
      <c r="J921" s="36">
        <v>101.1</v>
      </c>
      <c r="K921" s="36">
        <v>130.6</v>
      </c>
      <c r="L921" s="36">
        <f t="shared" si="2"/>
        <v>0</v>
      </c>
      <c r="M921" s="36" t="str">
        <f t="shared" si="3"/>
        <v>Regular Season</v>
      </c>
      <c r="N921" s="36" t="str">
        <f>IFERROR(VLOOKUP(I921,Mapped_Owner,2,0),"")</f>
        <v>Fellows</v>
      </c>
      <c r="O921" s="6">
        <f>VLOOKUP(D921,'Mapped Opponent'!$G$4:$H$22,2,0)</f>
        <v>6</v>
      </c>
      <c r="P921" s="6"/>
      <c r="Q921" s="6" t="str">
        <f t="shared" si="4"/>
        <v>Week 6</v>
      </c>
      <c r="R921" s="6" t="str">
        <f t="shared" si="5"/>
        <v>2015Week 6</v>
      </c>
      <c r="S921" s="6">
        <f>IFERROR(__xludf.DUMMYFUNCTION("rank(J921,FILTER(J:J,R:R=R921))"),4.0)</f>
        <v>4</v>
      </c>
      <c r="T921" s="6">
        <f t="shared" si="6"/>
        <v>8</v>
      </c>
      <c r="U921" s="6">
        <f t="shared" si="7"/>
        <v>4</v>
      </c>
      <c r="V921" s="42">
        <f>averageif(AllData!A:A,B921,AllData!R:R)/vlookup(B921,AllData!A:O,15,0)</f>
        <v>92.55128205</v>
      </c>
      <c r="W921" s="6"/>
    </row>
    <row r="922" ht="14.25" customHeight="1">
      <c r="A922" s="6" t="str">
        <f t="shared" si="1"/>
        <v>2015Cock6</v>
      </c>
      <c r="B922" s="6">
        <v>2015.0</v>
      </c>
      <c r="C922" s="6" t="s">
        <v>72</v>
      </c>
      <c r="D922" s="6" t="s">
        <v>142</v>
      </c>
      <c r="E922" s="6"/>
      <c r="F922" s="6" t="s">
        <v>2607</v>
      </c>
      <c r="G922" s="6" t="s">
        <v>114</v>
      </c>
      <c r="H922" s="35" t="s">
        <v>2419</v>
      </c>
      <c r="I922" s="180" t="s">
        <v>50</v>
      </c>
      <c r="J922" s="36">
        <v>86.9</v>
      </c>
      <c r="K922" s="36">
        <v>96.1</v>
      </c>
      <c r="L922" s="36">
        <f t="shared" si="2"/>
        <v>0</v>
      </c>
      <c r="M922" s="36" t="str">
        <f t="shared" si="3"/>
        <v>Regular Season</v>
      </c>
      <c r="N922" s="36" t="str">
        <f>IFERROR(VLOOKUP(I922,Mapped_Owner,2,0),"")</f>
        <v>Buser</v>
      </c>
      <c r="O922" s="6">
        <f>VLOOKUP(D922,'Mapped Opponent'!$G$4:$H$22,2,0)</f>
        <v>6</v>
      </c>
      <c r="P922" s="6"/>
      <c r="Q922" s="6" t="str">
        <f t="shared" si="4"/>
        <v>Week 6</v>
      </c>
      <c r="R922" s="6" t="str">
        <f t="shared" si="5"/>
        <v>2015Week 6</v>
      </c>
      <c r="S922" s="6">
        <f>IFERROR(__xludf.DUMMYFUNCTION("rank(J922,FILTER(J:J,R:R=R922))"),8.0)</f>
        <v>8</v>
      </c>
      <c r="T922" s="6">
        <f t="shared" si="6"/>
        <v>4</v>
      </c>
      <c r="U922" s="6">
        <f t="shared" si="7"/>
        <v>8</v>
      </c>
      <c r="V922" s="42">
        <f>averageif(AllData!A:A,B922,AllData!R:R)/vlookup(B922,AllData!A:O,15,0)</f>
        <v>92.55128205</v>
      </c>
      <c r="W922" s="6"/>
    </row>
    <row r="923" ht="14.25" customHeight="1">
      <c r="A923" s="6" t="str">
        <f t="shared" si="1"/>
        <v>2015Tayski6</v>
      </c>
      <c r="B923" s="6">
        <v>2015.0</v>
      </c>
      <c r="C923" s="6" t="s">
        <v>52</v>
      </c>
      <c r="D923" s="6" t="s">
        <v>142</v>
      </c>
      <c r="E923" s="34"/>
      <c r="F923" s="6" t="s">
        <v>2608</v>
      </c>
      <c r="G923" s="6" t="s">
        <v>125</v>
      </c>
      <c r="H923" s="6" t="s">
        <v>2429</v>
      </c>
      <c r="I923" s="35" t="s">
        <v>58</v>
      </c>
      <c r="J923" s="36">
        <v>114.9</v>
      </c>
      <c r="K923" s="36">
        <v>76.5</v>
      </c>
      <c r="L923" s="36">
        <f t="shared" si="2"/>
        <v>1</v>
      </c>
      <c r="M923" s="36" t="str">
        <f t="shared" si="3"/>
        <v>Regular Season</v>
      </c>
      <c r="N923" s="36" t="str">
        <f>IFERROR(VLOOKUP(I923,Mapped_Owner,2,0),"")</f>
        <v>Rooney/Jackson</v>
      </c>
      <c r="O923" s="6">
        <f>VLOOKUP(D923,'Mapped Opponent'!$G$4:$H$22,2,0)</f>
        <v>6</v>
      </c>
      <c r="P923" s="6"/>
      <c r="Q923" s="6" t="str">
        <f t="shared" si="4"/>
        <v>Week 6</v>
      </c>
      <c r="R923" s="6" t="str">
        <f t="shared" si="5"/>
        <v>2015Week 6</v>
      </c>
      <c r="S923" s="6">
        <f>IFERROR(__xludf.DUMMYFUNCTION("rank(J923,FILTER(J:J,R:R=R923))"),3.0)</f>
        <v>3</v>
      </c>
      <c r="T923" s="6">
        <f t="shared" si="6"/>
        <v>9</v>
      </c>
      <c r="U923" s="6">
        <f t="shared" si="7"/>
        <v>3</v>
      </c>
      <c r="V923" s="42">
        <f>averageif(AllData!A:A,B923,AllData!R:R)/vlookup(B923,AllData!A:O,15,0)</f>
        <v>92.55128205</v>
      </c>
      <c r="W923" s="6"/>
    </row>
    <row r="924" ht="14.25" customHeight="1">
      <c r="A924" s="6" t="str">
        <f t="shared" si="1"/>
        <v>2015KnardDawg6</v>
      </c>
      <c r="B924" s="6">
        <v>2015.0</v>
      </c>
      <c r="C924" s="6" t="s">
        <v>86</v>
      </c>
      <c r="D924" s="6" t="s">
        <v>142</v>
      </c>
      <c r="E924" s="34"/>
      <c r="F924" s="6" t="s">
        <v>2609</v>
      </c>
      <c r="G924" s="6" t="s">
        <v>114</v>
      </c>
      <c r="H924" s="6" t="s">
        <v>2417</v>
      </c>
      <c r="I924" s="35" t="s">
        <v>64</v>
      </c>
      <c r="J924" s="36">
        <v>61.6</v>
      </c>
      <c r="K924" s="36">
        <v>95.5</v>
      </c>
      <c r="L924" s="36">
        <f t="shared" si="2"/>
        <v>0</v>
      </c>
      <c r="M924" s="36" t="str">
        <f t="shared" si="3"/>
        <v>Regular Season</v>
      </c>
      <c r="N924" s="36" t="str">
        <f>IFERROR(VLOOKUP(I924,Mapped_Owner,2,0),"")</f>
        <v>Hudspeath</v>
      </c>
      <c r="O924" s="6">
        <f>VLOOKUP(D924,'Mapped Opponent'!$G$4:$H$22,2,0)</f>
        <v>6</v>
      </c>
      <c r="P924" s="6"/>
      <c r="Q924" s="6" t="str">
        <f t="shared" si="4"/>
        <v>Week 6</v>
      </c>
      <c r="R924" s="6" t="str">
        <f t="shared" si="5"/>
        <v>2015Week 6</v>
      </c>
      <c r="S924" s="6">
        <f>IFERROR(__xludf.DUMMYFUNCTION("rank(J924,FILTER(J:J,R:R=R924))"),12.0)</f>
        <v>12</v>
      </c>
      <c r="T924" s="6">
        <f t="shared" si="6"/>
        <v>0</v>
      </c>
      <c r="U924" s="6">
        <f t="shared" si="7"/>
        <v>12</v>
      </c>
      <c r="V924" s="42">
        <f>averageif(AllData!A:A,B924,AllData!R:R)/vlookup(B924,AllData!A:O,15,0)</f>
        <v>92.55128205</v>
      </c>
      <c r="W924" s="6"/>
    </row>
    <row r="925" ht="14.25" customHeight="1">
      <c r="A925" s="6" t="str">
        <f t="shared" si="1"/>
        <v>2015T-How6</v>
      </c>
      <c r="B925" s="6">
        <v>2015.0</v>
      </c>
      <c r="C925" s="6" t="s">
        <v>82</v>
      </c>
      <c r="D925" s="6" t="s">
        <v>142</v>
      </c>
      <c r="E925" s="34"/>
      <c r="F925" s="6" t="s">
        <v>2610</v>
      </c>
      <c r="G925" s="6" t="s">
        <v>114</v>
      </c>
      <c r="H925" s="6" t="s">
        <v>2425</v>
      </c>
      <c r="I925" s="35" t="s">
        <v>91</v>
      </c>
      <c r="J925" s="36">
        <v>85.2</v>
      </c>
      <c r="K925" s="36">
        <v>69.3</v>
      </c>
      <c r="L925" s="36">
        <f t="shared" si="2"/>
        <v>1</v>
      </c>
      <c r="M925" s="36" t="str">
        <f t="shared" si="3"/>
        <v>Regular Season</v>
      </c>
      <c r="N925" s="36" t="str">
        <f>IFERROR(VLOOKUP(I925,Mapped_Owner,2,0),"")</f>
        <v>Shep</v>
      </c>
      <c r="O925" s="6">
        <f>VLOOKUP(D925,'Mapped Opponent'!$G$4:$H$22,2,0)</f>
        <v>6</v>
      </c>
      <c r="P925" s="6"/>
      <c r="Q925" s="6" t="str">
        <f t="shared" si="4"/>
        <v>Week 6</v>
      </c>
      <c r="R925" s="6" t="str">
        <f t="shared" si="5"/>
        <v>2015Week 6</v>
      </c>
      <c r="S925" s="6">
        <f>IFERROR(__xludf.DUMMYFUNCTION("rank(J925,FILTER(J:J,R:R=R925))"),9.0)</f>
        <v>9</v>
      </c>
      <c r="T925" s="6">
        <f t="shared" si="6"/>
        <v>3</v>
      </c>
      <c r="U925" s="6">
        <f t="shared" si="7"/>
        <v>9</v>
      </c>
      <c r="V925" s="42">
        <f>averageif(AllData!A:A,B925,AllData!R:R)/vlookup(B925,AllData!A:O,15,0)</f>
        <v>92.55128205</v>
      </c>
      <c r="W925" s="6"/>
    </row>
    <row r="926" ht="14.25" customHeight="1">
      <c r="A926" s="6" t="str">
        <f t="shared" si="1"/>
        <v>2015Hudspeath7</v>
      </c>
      <c r="B926" s="6">
        <v>2015.0</v>
      </c>
      <c r="C926" s="6" t="s">
        <v>39</v>
      </c>
      <c r="D926" s="6" t="s">
        <v>143</v>
      </c>
      <c r="E926" s="34"/>
      <c r="F926" s="34" t="s">
        <v>2611</v>
      </c>
      <c r="G926" s="6" t="s">
        <v>114</v>
      </c>
      <c r="H926" s="6" t="s">
        <v>2425</v>
      </c>
      <c r="I926" s="6" t="s">
        <v>91</v>
      </c>
      <c r="J926" s="36">
        <v>94.1</v>
      </c>
      <c r="K926" s="36">
        <v>62.9</v>
      </c>
      <c r="L926" s="36">
        <f t="shared" si="2"/>
        <v>1</v>
      </c>
      <c r="M926" s="36" t="str">
        <f t="shared" si="3"/>
        <v>Regular Season</v>
      </c>
      <c r="N926" s="36" t="str">
        <f>IFERROR(VLOOKUP(I926,Mapped_Owner,2,0),"")</f>
        <v>Shep</v>
      </c>
      <c r="O926" s="6">
        <f>VLOOKUP(D926,'Mapped Opponent'!$G$4:$H$22,2,0)</f>
        <v>7</v>
      </c>
      <c r="P926" s="6"/>
      <c r="Q926" s="6" t="str">
        <f t="shared" si="4"/>
        <v>Week 7</v>
      </c>
      <c r="R926" s="6" t="str">
        <f t="shared" si="5"/>
        <v>2015Week 7</v>
      </c>
      <c r="S926" s="6">
        <f>IFERROR(__xludf.DUMMYFUNCTION("rank(J926,FILTER(J:J,R:R=R926))"),8.0)</f>
        <v>8</v>
      </c>
      <c r="T926" s="6">
        <f t="shared" si="6"/>
        <v>4</v>
      </c>
      <c r="U926" s="6">
        <f t="shared" si="7"/>
        <v>8</v>
      </c>
      <c r="V926" s="42">
        <f>averageif(AllData!A:A,B926,AllData!R:R)/vlookup(B926,AllData!A:O,15,0)</f>
        <v>92.55128205</v>
      </c>
      <c r="W926" s="6"/>
    </row>
    <row r="927" ht="14.25" customHeight="1">
      <c r="A927" s="6" t="str">
        <f t="shared" si="1"/>
        <v>2015Salty7</v>
      </c>
      <c r="B927" s="6">
        <v>2015.0</v>
      </c>
      <c r="C927" s="6" t="s">
        <v>76</v>
      </c>
      <c r="D927" s="6" t="s">
        <v>143</v>
      </c>
      <c r="E927" s="34"/>
      <c r="F927" s="6" t="s">
        <v>2612</v>
      </c>
      <c r="G927" s="6" t="s">
        <v>114</v>
      </c>
      <c r="H927" s="6" t="s">
        <v>2436</v>
      </c>
      <c r="I927" s="35" t="s">
        <v>85</v>
      </c>
      <c r="J927" s="36">
        <v>125.8</v>
      </c>
      <c r="K927" s="36">
        <v>113.9</v>
      </c>
      <c r="L927" s="36">
        <f t="shared" si="2"/>
        <v>1</v>
      </c>
      <c r="M927" s="36" t="str">
        <f t="shared" si="3"/>
        <v>Regular Season</v>
      </c>
      <c r="N927" s="36" t="str">
        <f>IFERROR(VLOOKUP(I927,Mapped_Owner,2,0),"")</f>
        <v>T-How</v>
      </c>
      <c r="O927" s="6">
        <f>VLOOKUP(D927,'Mapped Opponent'!$G$4:$H$22,2,0)</f>
        <v>7</v>
      </c>
      <c r="P927" s="6"/>
      <c r="Q927" s="6" t="str">
        <f t="shared" si="4"/>
        <v>Week 7</v>
      </c>
      <c r="R927" s="6" t="str">
        <f t="shared" si="5"/>
        <v>2015Week 7</v>
      </c>
      <c r="S927" s="6">
        <f>IFERROR(__xludf.DUMMYFUNCTION("rank(J927,FILTER(J:J,R:R=R927))"),1.0)</f>
        <v>1</v>
      </c>
      <c r="T927" s="6">
        <f t="shared" si="6"/>
        <v>11</v>
      </c>
      <c r="U927" s="6">
        <f t="shared" si="7"/>
        <v>1</v>
      </c>
      <c r="V927" s="42">
        <f>averageif(AllData!A:A,B927,AllData!R:R)/vlookup(B927,AllData!A:O,15,0)</f>
        <v>92.55128205</v>
      </c>
      <c r="W927" s="6"/>
    </row>
    <row r="928" ht="14.25" customHeight="1">
      <c r="A928" s="6" t="str">
        <f t="shared" si="1"/>
        <v>2015Fellows7</v>
      </c>
      <c r="B928" s="6">
        <v>2015.0</v>
      </c>
      <c r="C928" s="6" t="s">
        <v>79</v>
      </c>
      <c r="D928" s="6" t="s">
        <v>143</v>
      </c>
      <c r="E928" s="6"/>
      <c r="F928" s="6" t="s">
        <v>2613</v>
      </c>
      <c r="G928" s="6" t="s">
        <v>114</v>
      </c>
      <c r="H928" s="35" t="s">
        <v>2431</v>
      </c>
      <c r="I928" s="180" t="s">
        <v>132</v>
      </c>
      <c r="J928" s="36">
        <v>108.6</v>
      </c>
      <c r="K928" s="36">
        <v>94.2</v>
      </c>
      <c r="L928" s="36">
        <f t="shared" si="2"/>
        <v>1</v>
      </c>
      <c r="M928" s="36" t="str">
        <f t="shared" si="3"/>
        <v>Regular Season</v>
      </c>
      <c r="N928" s="36" t="str">
        <f>IFERROR(VLOOKUP(I928,Mapped_Owner,2,0),"")</f>
        <v>KnardDawg</v>
      </c>
      <c r="O928" s="6">
        <f>VLOOKUP(D928,'Mapped Opponent'!$G$4:$H$22,2,0)</f>
        <v>7</v>
      </c>
      <c r="P928" s="6"/>
      <c r="Q928" s="6" t="str">
        <f t="shared" si="4"/>
        <v>Week 7</v>
      </c>
      <c r="R928" s="6" t="str">
        <f t="shared" si="5"/>
        <v>2015Week 7</v>
      </c>
      <c r="S928" s="6">
        <f>IFERROR(__xludf.DUMMYFUNCTION("rank(J928,FILTER(J:J,R:R=R928))"),5.0)</f>
        <v>5</v>
      </c>
      <c r="T928" s="6">
        <f t="shared" si="6"/>
        <v>7</v>
      </c>
      <c r="U928" s="6">
        <f t="shared" si="7"/>
        <v>5</v>
      </c>
      <c r="V928" s="42">
        <f>averageif(AllData!A:A,B928,AllData!R:R)/vlookup(B928,AllData!A:O,15,0)</f>
        <v>92.55128205</v>
      </c>
      <c r="W928" s="6"/>
    </row>
    <row r="929" ht="14.25" customHeight="1">
      <c r="A929" s="6" t="str">
        <f t="shared" si="1"/>
        <v>2015Shep7</v>
      </c>
      <c r="B929" s="6">
        <v>2015.0</v>
      </c>
      <c r="C929" s="6" t="s">
        <v>89</v>
      </c>
      <c r="D929" s="6" t="s">
        <v>143</v>
      </c>
      <c r="E929" s="34"/>
      <c r="F929" s="6" t="s">
        <v>2614</v>
      </c>
      <c r="G929" s="6" t="s">
        <v>125</v>
      </c>
      <c r="H929" s="6" t="s">
        <v>2417</v>
      </c>
      <c r="I929" s="35" t="s">
        <v>64</v>
      </c>
      <c r="J929" s="36">
        <v>62.9</v>
      </c>
      <c r="K929" s="36">
        <v>94.1</v>
      </c>
      <c r="L929" s="36">
        <f t="shared" si="2"/>
        <v>0</v>
      </c>
      <c r="M929" s="36" t="str">
        <f t="shared" si="3"/>
        <v>Regular Season</v>
      </c>
      <c r="N929" s="36" t="str">
        <f>IFERROR(VLOOKUP(I929,Mapped_Owner,2,0),"")</f>
        <v>Hudspeath</v>
      </c>
      <c r="O929" s="6">
        <f>VLOOKUP(D929,'Mapped Opponent'!$G$4:$H$22,2,0)</f>
        <v>7</v>
      </c>
      <c r="P929" s="6"/>
      <c r="Q929" s="6" t="str">
        <f t="shared" si="4"/>
        <v>Week 7</v>
      </c>
      <c r="R929" s="6" t="str">
        <f t="shared" si="5"/>
        <v>2015Week 7</v>
      </c>
      <c r="S929" s="6">
        <f>IFERROR(__xludf.DUMMYFUNCTION("rank(J929,FILTER(J:J,R:R=R929))"),11.0)</f>
        <v>11</v>
      </c>
      <c r="T929" s="6">
        <f t="shared" si="6"/>
        <v>1</v>
      </c>
      <c r="U929" s="6">
        <f t="shared" si="7"/>
        <v>11</v>
      </c>
      <c r="V929" s="42">
        <f>averageif(AllData!A:A,B929,AllData!R:R)/vlookup(B929,AllData!A:O,15,0)</f>
        <v>92.55128205</v>
      </c>
      <c r="W929" s="6"/>
    </row>
    <row r="930" ht="14.25" customHeight="1">
      <c r="A930" s="6" t="str">
        <f t="shared" si="1"/>
        <v>2015Riley7</v>
      </c>
      <c r="B930" s="6">
        <v>2015.0</v>
      </c>
      <c r="C930" s="6" t="s">
        <v>67</v>
      </c>
      <c r="D930" s="6" t="s">
        <v>143</v>
      </c>
      <c r="E930" s="34"/>
      <c r="F930" s="6" t="s">
        <v>2615</v>
      </c>
      <c r="G930" s="6" t="s">
        <v>125</v>
      </c>
      <c r="H930" s="6" t="s">
        <v>2419</v>
      </c>
      <c r="I930" s="35" t="s">
        <v>50</v>
      </c>
      <c r="J930" s="36">
        <v>116.1</v>
      </c>
      <c r="K930" s="36">
        <v>54.1</v>
      </c>
      <c r="L930" s="36">
        <f t="shared" si="2"/>
        <v>1</v>
      </c>
      <c r="M930" s="36" t="str">
        <f t="shared" si="3"/>
        <v>Regular Season</v>
      </c>
      <c r="N930" s="36" t="str">
        <f>IFERROR(VLOOKUP(I930,Mapped_Owner,2,0),"")</f>
        <v>Buser</v>
      </c>
      <c r="O930" s="6">
        <f>VLOOKUP(D930,'Mapped Opponent'!$G$4:$H$22,2,0)</f>
        <v>7</v>
      </c>
      <c r="P930" s="6"/>
      <c r="Q930" s="6" t="str">
        <f t="shared" si="4"/>
        <v>Week 7</v>
      </c>
      <c r="R930" s="6" t="str">
        <f t="shared" si="5"/>
        <v>2015Week 7</v>
      </c>
      <c r="S930" s="6">
        <f>IFERROR(__xludf.DUMMYFUNCTION("rank(J930,FILTER(J:J,R:R=R930))"),2.0)</f>
        <v>2</v>
      </c>
      <c r="T930" s="6">
        <f t="shared" si="6"/>
        <v>10</v>
      </c>
      <c r="U930" s="6">
        <f t="shared" si="7"/>
        <v>2</v>
      </c>
      <c r="V930" s="42">
        <f>averageif(AllData!A:A,B930,AllData!R:R)/vlookup(B930,AllData!A:O,15,0)</f>
        <v>92.55128205</v>
      </c>
      <c r="W930" s="6"/>
    </row>
    <row r="931" ht="14.25" customHeight="1">
      <c r="A931" s="6" t="str">
        <f t="shared" si="1"/>
        <v>2015Rooney/Jackson7</v>
      </c>
      <c r="B931" s="6">
        <v>2015.0</v>
      </c>
      <c r="C931" s="6" t="s">
        <v>57</v>
      </c>
      <c r="D931" s="6" t="s">
        <v>143</v>
      </c>
      <c r="E931" s="34"/>
      <c r="F931" s="6" t="s">
        <v>2616</v>
      </c>
      <c r="G931" s="6" t="s">
        <v>125</v>
      </c>
      <c r="H931" s="6" t="s">
        <v>2423</v>
      </c>
      <c r="I931" s="35" t="s">
        <v>99</v>
      </c>
      <c r="J931" s="36">
        <v>99.3</v>
      </c>
      <c r="K931" s="36">
        <v>89.4</v>
      </c>
      <c r="L931" s="36">
        <f t="shared" si="2"/>
        <v>1</v>
      </c>
      <c r="M931" s="36" t="str">
        <f t="shared" si="3"/>
        <v>Regular Season</v>
      </c>
      <c r="N931" s="36" t="str">
        <f>IFERROR(VLOOKUP(I931,Mapped_Owner,2,0),"")</f>
        <v>Cock</v>
      </c>
      <c r="O931" s="6">
        <f>VLOOKUP(D931,'Mapped Opponent'!$G$4:$H$22,2,0)</f>
        <v>7</v>
      </c>
      <c r="P931" s="6"/>
      <c r="Q931" s="6" t="str">
        <f t="shared" si="4"/>
        <v>Week 7</v>
      </c>
      <c r="R931" s="6" t="str">
        <f t="shared" si="5"/>
        <v>2015Week 7</v>
      </c>
      <c r="S931" s="6">
        <f>IFERROR(__xludf.DUMMYFUNCTION("rank(J931,FILTER(J:J,R:R=R931))"),6.0)</f>
        <v>6</v>
      </c>
      <c r="T931" s="6">
        <f t="shared" si="6"/>
        <v>6</v>
      </c>
      <c r="U931" s="6">
        <f t="shared" si="7"/>
        <v>6</v>
      </c>
      <c r="V931" s="42">
        <f>averageif(AllData!A:A,B931,AllData!R:R)/vlookup(B931,AllData!A:O,15,0)</f>
        <v>92.55128205</v>
      </c>
      <c r="W931" s="6"/>
    </row>
    <row r="932" ht="14.25" customHeight="1">
      <c r="A932" s="6" t="str">
        <f t="shared" si="1"/>
        <v>2015Buser7</v>
      </c>
      <c r="B932" s="6">
        <v>2015.0</v>
      </c>
      <c r="C932" s="6" t="s">
        <v>47</v>
      </c>
      <c r="D932" s="6" t="s">
        <v>143</v>
      </c>
      <c r="E932" s="6"/>
      <c r="F932" s="6" t="s">
        <v>2617</v>
      </c>
      <c r="G932" s="6" t="s">
        <v>114</v>
      </c>
      <c r="H932" s="35" t="s">
        <v>2427</v>
      </c>
      <c r="I932" s="180" t="s">
        <v>68</v>
      </c>
      <c r="J932" s="36">
        <v>54.1</v>
      </c>
      <c r="K932" s="36">
        <v>116.1</v>
      </c>
      <c r="L932" s="36">
        <f t="shared" si="2"/>
        <v>0</v>
      </c>
      <c r="M932" s="36" t="str">
        <f t="shared" si="3"/>
        <v>Regular Season</v>
      </c>
      <c r="N932" s="36" t="str">
        <f>IFERROR(VLOOKUP(I932,Mapped_Owner,2,0),"")</f>
        <v>Riley</v>
      </c>
      <c r="O932" s="6">
        <f>VLOOKUP(D932,'Mapped Opponent'!$G$4:$H$22,2,0)</f>
        <v>7</v>
      </c>
      <c r="P932" s="6"/>
      <c r="Q932" s="6" t="str">
        <f t="shared" si="4"/>
        <v>Week 7</v>
      </c>
      <c r="R932" s="6" t="str">
        <f t="shared" si="5"/>
        <v>2015Week 7</v>
      </c>
      <c r="S932" s="6">
        <f>IFERROR(__xludf.DUMMYFUNCTION("rank(J932,FILTER(J:J,R:R=R932))"),12.0)</f>
        <v>12</v>
      </c>
      <c r="T932" s="6">
        <f t="shared" si="6"/>
        <v>0</v>
      </c>
      <c r="U932" s="6">
        <f t="shared" si="7"/>
        <v>12</v>
      </c>
      <c r="V932" s="42">
        <f>averageif(AllData!A:A,B932,AllData!R:R)/vlookup(B932,AllData!A:O,15,0)</f>
        <v>92.55128205</v>
      </c>
      <c r="W932" s="6"/>
    </row>
    <row r="933" ht="14.25" customHeight="1">
      <c r="A933" s="6" t="str">
        <f t="shared" si="1"/>
        <v>2015Pierson7</v>
      </c>
      <c r="B933" s="6">
        <v>2015.0</v>
      </c>
      <c r="C933" s="6" t="s">
        <v>92</v>
      </c>
      <c r="D933" s="6" t="s">
        <v>143</v>
      </c>
      <c r="E933" s="34"/>
      <c r="F933" s="6" t="s">
        <v>2618</v>
      </c>
      <c r="G933" s="6" t="s">
        <v>125</v>
      </c>
      <c r="H933" s="6" t="s">
        <v>2433</v>
      </c>
      <c r="I933" s="35" t="s">
        <v>54</v>
      </c>
      <c r="J933" s="36">
        <v>77.2</v>
      </c>
      <c r="K933" s="36">
        <v>114.0</v>
      </c>
      <c r="L933" s="36">
        <f t="shared" si="2"/>
        <v>0</v>
      </c>
      <c r="M933" s="36" t="str">
        <f t="shared" si="3"/>
        <v>Regular Season</v>
      </c>
      <c r="N933" s="36" t="str">
        <f>IFERROR(VLOOKUP(I933,Mapped_Owner,2,0),"")</f>
        <v>Tayski</v>
      </c>
      <c r="O933" s="6">
        <f>VLOOKUP(D933,'Mapped Opponent'!$G$4:$H$22,2,0)</f>
        <v>7</v>
      </c>
      <c r="P933" s="6"/>
      <c r="Q933" s="6" t="str">
        <f t="shared" si="4"/>
        <v>Week 7</v>
      </c>
      <c r="R933" s="6" t="str">
        <f t="shared" si="5"/>
        <v>2015Week 7</v>
      </c>
      <c r="S933" s="6">
        <f>IFERROR(__xludf.DUMMYFUNCTION("rank(J933,FILTER(J:J,R:R=R933))"),10.0)</f>
        <v>10</v>
      </c>
      <c r="T933" s="6">
        <f t="shared" si="6"/>
        <v>2</v>
      </c>
      <c r="U933" s="6">
        <f t="shared" si="7"/>
        <v>10</v>
      </c>
      <c r="V933" s="42">
        <f>averageif(AllData!A:A,B933,AllData!R:R)/vlookup(B933,AllData!A:O,15,0)</f>
        <v>92.55128205</v>
      </c>
      <c r="W933" s="6"/>
    </row>
    <row r="934" ht="14.25" customHeight="1">
      <c r="A934" s="6" t="str">
        <f t="shared" si="1"/>
        <v>2015Cock7</v>
      </c>
      <c r="B934" s="6">
        <v>2015.0</v>
      </c>
      <c r="C934" s="6" t="s">
        <v>72</v>
      </c>
      <c r="D934" s="6" t="s">
        <v>143</v>
      </c>
      <c r="E934" s="6"/>
      <c r="F934" s="6" t="s">
        <v>2619</v>
      </c>
      <c r="G934" s="6" t="s">
        <v>114</v>
      </c>
      <c r="H934" s="35" t="s">
        <v>2429</v>
      </c>
      <c r="I934" s="180" t="s">
        <v>58</v>
      </c>
      <c r="J934" s="36">
        <v>89.4</v>
      </c>
      <c r="K934" s="36">
        <v>99.3</v>
      </c>
      <c r="L934" s="36">
        <f t="shared" si="2"/>
        <v>0</v>
      </c>
      <c r="M934" s="36" t="str">
        <f t="shared" si="3"/>
        <v>Regular Season</v>
      </c>
      <c r="N934" s="36" t="str">
        <f>IFERROR(VLOOKUP(I934,Mapped_Owner,2,0),"")</f>
        <v>Rooney/Jackson</v>
      </c>
      <c r="O934" s="6">
        <f>VLOOKUP(D934,'Mapped Opponent'!$G$4:$H$22,2,0)</f>
        <v>7</v>
      </c>
      <c r="P934" s="6"/>
      <c r="Q934" s="6" t="str">
        <f t="shared" si="4"/>
        <v>Week 7</v>
      </c>
      <c r="R934" s="6" t="str">
        <f t="shared" si="5"/>
        <v>2015Week 7</v>
      </c>
      <c r="S934" s="6">
        <f>IFERROR(__xludf.DUMMYFUNCTION("rank(J934,FILTER(J:J,R:R=R934))"),9.0)</f>
        <v>9</v>
      </c>
      <c r="T934" s="6">
        <f t="shared" si="6"/>
        <v>3</v>
      </c>
      <c r="U934" s="6">
        <f t="shared" si="7"/>
        <v>9</v>
      </c>
      <c r="V934" s="42">
        <f>averageif(AllData!A:A,B934,AllData!R:R)/vlookup(B934,AllData!A:O,15,0)</f>
        <v>92.55128205</v>
      </c>
      <c r="W934" s="6"/>
    </row>
    <row r="935" ht="14.25" customHeight="1">
      <c r="A935" s="6" t="str">
        <f t="shared" si="1"/>
        <v>2015Tayski7</v>
      </c>
      <c r="B935" s="6">
        <v>2015.0</v>
      </c>
      <c r="C935" s="6" t="s">
        <v>52</v>
      </c>
      <c r="D935" s="6" t="s">
        <v>143</v>
      </c>
      <c r="E935" s="34"/>
      <c r="F935" s="6" t="s">
        <v>2620</v>
      </c>
      <c r="G935" s="6" t="s">
        <v>114</v>
      </c>
      <c r="H935" s="6" t="s">
        <v>2421</v>
      </c>
      <c r="I935" s="35" t="s">
        <v>93</v>
      </c>
      <c r="J935" s="36">
        <v>114.0</v>
      </c>
      <c r="K935" s="36">
        <v>77.2</v>
      </c>
      <c r="L935" s="36">
        <f t="shared" si="2"/>
        <v>1</v>
      </c>
      <c r="M935" s="36" t="str">
        <f t="shared" si="3"/>
        <v>Regular Season</v>
      </c>
      <c r="N935" s="36" t="str">
        <f>IFERROR(VLOOKUP(I935,Mapped_Owner,2,0),"")</f>
        <v>Pierson</v>
      </c>
      <c r="O935" s="6">
        <f>VLOOKUP(D935,'Mapped Opponent'!$G$4:$H$22,2,0)</f>
        <v>7</v>
      </c>
      <c r="P935" s="6"/>
      <c r="Q935" s="6" t="str">
        <f t="shared" si="4"/>
        <v>Week 7</v>
      </c>
      <c r="R935" s="6" t="str">
        <f t="shared" si="5"/>
        <v>2015Week 7</v>
      </c>
      <c r="S935" s="6">
        <f>IFERROR(__xludf.DUMMYFUNCTION("rank(J935,FILTER(J:J,R:R=R935))"),3.0)</f>
        <v>3</v>
      </c>
      <c r="T935" s="6">
        <f t="shared" si="6"/>
        <v>9</v>
      </c>
      <c r="U935" s="6">
        <f t="shared" si="7"/>
        <v>3</v>
      </c>
      <c r="V935" s="42">
        <f>averageif(AllData!A:A,B935,AllData!R:R)/vlookup(B935,AllData!A:O,15,0)</f>
        <v>92.55128205</v>
      </c>
      <c r="W935" s="6"/>
    </row>
    <row r="936" ht="14.25" customHeight="1">
      <c r="A936" s="6" t="str">
        <f t="shared" si="1"/>
        <v>2015KnardDawg7</v>
      </c>
      <c r="B936" s="6">
        <v>2015.0</v>
      </c>
      <c r="C936" s="6" t="s">
        <v>86</v>
      </c>
      <c r="D936" s="6" t="s">
        <v>143</v>
      </c>
      <c r="E936" s="34"/>
      <c r="F936" s="6" t="s">
        <v>2621</v>
      </c>
      <c r="G936" s="6" t="s">
        <v>125</v>
      </c>
      <c r="H936" s="6" t="s">
        <v>2414</v>
      </c>
      <c r="I936" s="35" t="s">
        <v>80</v>
      </c>
      <c r="J936" s="36">
        <v>94.2</v>
      </c>
      <c r="K936" s="36">
        <v>108.6</v>
      </c>
      <c r="L936" s="36">
        <f t="shared" si="2"/>
        <v>0</v>
      </c>
      <c r="M936" s="36" t="str">
        <f t="shared" si="3"/>
        <v>Regular Season</v>
      </c>
      <c r="N936" s="36" t="str">
        <f>IFERROR(VLOOKUP(I936,Mapped_Owner,2,0),"")</f>
        <v>Fellows</v>
      </c>
      <c r="O936" s="6">
        <f>VLOOKUP(D936,'Mapped Opponent'!$G$4:$H$22,2,0)</f>
        <v>7</v>
      </c>
      <c r="P936" s="6"/>
      <c r="Q936" s="6" t="str">
        <f t="shared" si="4"/>
        <v>Week 7</v>
      </c>
      <c r="R936" s="6" t="str">
        <f t="shared" si="5"/>
        <v>2015Week 7</v>
      </c>
      <c r="S936" s="6">
        <f>IFERROR(__xludf.DUMMYFUNCTION("rank(J936,FILTER(J:J,R:R=R936))"),7.0)</f>
        <v>7</v>
      </c>
      <c r="T936" s="6">
        <f t="shared" si="6"/>
        <v>5</v>
      </c>
      <c r="U936" s="6">
        <f t="shared" si="7"/>
        <v>7</v>
      </c>
      <c r="V936" s="42">
        <f>averageif(AllData!A:A,B936,AllData!R:R)/vlookup(B936,AllData!A:O,15,0)</f>
        <v>92.55128205</v>
      </c>
      <c r="W936" s="6"/>
    </row>
    <row r="937" ht="14.25" customHeight="1">
      <c r="A937" s="6" t="str">
        <f t="shared" si="1"/>
        <v>2015T-How7</v>
      </c>
      <c r="B937" s="6">
        <v>2015.0</v>
      </c>
      <c r="C937" s="6" t="s">
        <v>82</v>
      </c>
      <c r="D937" s="6" t="s">
        <v>143</v>
      </c>
      <c r="E937" s="34"/>
      <c r="F937" s="6" t="s">
        <v>2622</v>
      </c>
      <c r="G937" s="6" t="s">
        <v>125</v>
      </c>
      <c r="H937" s="6" t="s">
        <v>2440</v>
      </c>
      <c r="I937" s="35" t="s">
        <v>77</v>
      </c>
      <c r="J937" s="36">
        <v>113.9</v>
      </c>
      <c r="K937" s="36">
        <v>125.8</v>
      </c>
      <c r="L937" s="36">
        <f t="shared" si="2"/>
        <v>0</v>
      </c>
      <c r="M937" s="36" t="str">
        <f t="shared" si="3"/>
        <v>Regular Season</v>
      </c>
      <c r="N937" s="36" t="str">
        <f>IFERROR(VLOOKUP(I937,Mapped_Owner,2,0),"")</f>
        <v>Salty</v>
      </c>
      <c r="O937" s="6">
        <f>VLOOKUP(D937,'Mapped Opponent'!$G$4:$H$22,2,0)</f>
        <v>7</v>
      </c>
      <c r="P937" s="6"/>
      <c r="Q937" s="6" t="str">
        <f t="shared" si="4"/>
        <v>Week 7</v>
      </c>
      <c r="R937" s="6" t="str">
        <f t="shared" si="5"/>
        <v>2015Week 7</v>
      </c>
      <c r="S937" s="6">
        <f>IFERROR(__xludf.DUMMYFUNCTION("rank(J937,FILTER(J:J,R:R=R937))"),4.0)</f>
        <v>4</v>
      </c>
      <c r="T937" s="6">
        <f t="shared" si="6"/>
        <v>8</v>
      </c>
      <c r="U937" s="6">
        <f t="shared" si="7"/>
        <v>4</v>
      </c>
      <c r="V937" s="42">
        <f>averageif(AllData!A:A,B937,AllData!R:R)/vlookup(B937,AllData!A:O,15,0)</f>
        <v>92.55128205</v>
      </c>
      <c r="W937" s="6"/>
    </row>
    <row r="938" ht="14.25" customHeight="1">
      <c r="A938" s="6" t="str">
        <f t="shared" si="1"/>
        <v>2015Hudspeath8</v>
      </c>
      <c r="B938" s="6">
        <v>2015.0</v>
      </c>
      <c r="C938" s="6" t="s">
        <v>39</v>
      </c>
      <c r="D938" s="6" t="s">
        <v>145</v>
      </c>
      <c r="E938" s="34"/>
      <c r="F938" s="34" t="s">
        <v>2623</v>
      </c>
      <c r="G938" s="6" t="s">
        <v>125</v>
      </c>
      <c r="H938" s="6" t="s">
        <v>2414</v>
      </c>
      <c r="I938" s="6" t="s">
        <v>80</v>
      </c>
      <c r="J938" s="36">
        <v>114.1</v>
      </c>
      <c r="K938" s="36">
        <v>99.6</v>
      </c>
      <c r="L938" s="36">
        <f t="shared" si="2"/>
        <v>1</v>
      </c>
      <c r="M938" s="36" t="str">
        <f t="shared" si="3"/>
        <v>Regular Season</v>
      </c>
      <c r="N938" s="36" t="str">
        <f>IFERROR(VLOOKUP(I938,Mapped_Owner,2,0),"")</f>
        <v>Fellows</v>
      </c>
      <c r="O938" s="6">
        <f>VLOOKUP(D938,'Mapped Opponent'!$G$4:$H$22,2,0)</f>
        <v>8</v>
      </c>
      <c r="P938" s="6"/>
      <c r="Q938" s="6" t="str">
        <f t="shared" si="4"/>
        <v>Week 8</v>
      </c>
      <c r="R938" s="6" t="str">
        <f t="shared" si="5"/>
        <v>2015Week 8</v>
      </c>
      <c r="S938" s="6">
        <f>IFERROR(__xludf.DUMMYFUNCTION("rank(J938,FILTER(J:J,R:R=R938))"),2.0)</f>
        <v>2</v>
      </c>
      <c r="T938" s="6">
        <f t="shared" si="6"/>
        <v>10</v>
      </c>
      <c r="U938" s="6">
        <f t="shared" si="7"/>
        <v>2</v>
      </c>
      <c r="V938" s="42">
        <f>averageif(AllData!A:A,B938,AllData!R:R)/vlookup(B938,AllData!A:O,15,0)</f>
        <v>92.55128205</v>
      </c>
      <c r="W938" s="6"/>
    </row>
    <row r="939" ht="14.25" customHeight="1">
      <c r="A939" s="6" t="str">
        <f t="shared" si="1"/>
        <v>2015Salty8</v>
      </c>
      <c r="B939" s="6">
        <v>2015.0</v>
      </c>
      <c r="C939" s="6" t="s">
        <v>76</v>
      </c>
      <c r="D939" s="6" t="s">
        <v>145</v>
      </c>
      <c r="E939" s="34"/>
      <c r="F939" s="6" t="s">
        <v>2624</v>
      </c>
      <c r="G939" s="6" t="s">
        <v>125</v>
      </c>
      <c r="H939" s="6" t="s">
        <v>2425</v>
      </c>
      <c r="I939" s="35" t="s">
        <v>91</v>
      </c>
      <c r="J939" s="36">
        <v>72.2</v>
      </c>
      <c r="K939" s="36">
        <v>96.7</v>
      </c>
      <c r="L939" s="36">
        <f t="shared" si="2"/>
        <v>0</v>
      </c>
      <c r="M939" s="36" t="str">
        <f t="shared" si="3"/>
        <v>Regular Season</v>
      </c>
      <c r="N939" s="36" t="str">
        <f>IFERROR(VLOOKUP(I939,Mapped_Owner,2,0),"")</f>
        <v>Shep</v>
      </c>
      <c r="O939" s="6">
        <f>VLOOKUP(D939,'Mapped Opponent'!$G$4:$H$22,2,0)</f>
        <v>8</v>
      </c>
      <c r="P939" s="6"/>
      <c r="Q939" s="6" t="str">
        <f t="shared" si="4"/>
        <v>Week 8</v>
      </c>
      <c r="R939" s="6" t="str">
        <f t="shared" si="5"/>
        <v>2015Week 8</v>
      </c>
      <c r="S939" s="6">
        <f>IFERROR(__xludf.DUMMYFUNCTION("rank(J939,FILTER(J:J,R:R=R939))"),12.0)</f>
        <v>12</v>
      </c>
      <c r="T939" s="6">
        <f t="shared" si="6"/>
        <v>0</v>
      </c>
      <c r="U939" s="6">
        <f t="shared" si="7"/>
        <v>12</v>
      </c>
      <c r="V939" s="42">
        <f>averageif(AllData!A:A,B939,AllData!R:R)/vlookup(B939,AllData!A:O,15,0)</f>
        <v>92.55128205</v>
      </c>
      <c r="W939" s="6"/>
    </row>
    <row r="940" ht="14.25" customHeight="1">
      <c r="A940" s="6" t="str">
        <f t="shared" si="1"/>
        <v>2015Fellows8</v>
      </c>
      <c r="B940" s="6">
        <v>2015.0</v>
      </c>
      <c r="C940" s="6" t="s">
        <v>79</v>
      </c>
      <c r="D940" s="6" t="s">
        <v>145</v>
      </c>
      <c r="E940" s="6"/>
      <c r="F940" s="6" t="s">
        <v>2625</v>
      </c>
      <c r="G940" s="6" t="s">
        <v>114</v>
      </c>
      <c r="H940" s="35" t="s">
        <v>2417</v>
      </c>
      <c r="I940" s="180" t="s">
        <v>64</v>
      </c>
      <c r="J940" s="36">
        <v>99.6</v>
      </c>
      <c r="K940" s="36">
        <v>114.1</v>
      </c>
      <c r="L940" s="36">
        <f t="shared" si="2"/>
        <v>0</v>
      </c>
      <c r="M940" s="36" t="str">
        <f t="shared" si="3"/>
        <v>Regular Season</v>
      </c>
      <c r="N940" s="36" t="str">
        <f>IFERROR(VLOOKUP(I940,Mapped_Owner,2,0),"")</f>
        <v>Hudspeath</v>
      </c>
      <c r="O940" s="6">
        <f>VLOOKUP(D940,'Mapped Opponent'!$G$4:$H$22,2,0)</f>
        <v>8</v>
      </c>
      <c r="P940" s="6"/>
      <c r="Q940" s="6" t="str">
        <f t="shared" si="4"/>
        <v>Week 8</v>
      </c>
      <c r="R940" s="6" t="str">
        <f t="shared" si="5"/>
        <v>2015Week 8</v>
      </c>
      <c r="S940" s="6">
        <f>IFERROR(__xludf.DUMMYFUNCTION("rank(J940,FILTER(J:J,R:R=R940))"),5.0)</f>
        <v>5</v>
      </c>
      <c r="T940" s="6">
        <f t="shared" si="6"/>
        <v>7</v>
      </c>
      <c r="U940" s="6">
        <f t="shared" si="7"/>
        <v>5</v>
      </c>
      <c r="V940" s="42">
        <f>averageif(AllData!A:A,B940,AllData!R:R)/vlookup(B940,AllData!A:O,15,0)</f>
        <v>92.55128205</v>
      </c>
      <c r="W940" s="6"/>
    </row>
    <row r="941" ht="14.25" customHeight="1">
      <c r="A941" s="6" t="str">
        <f t="shared" si="1"/>
        <v>2015Shep8</v>
      </c>
      <c r="B941" s="6">
        <v>2015.0</v>
      </c>
      <c r="C941" s="6" t="s">
        <v>89</v>
      </c>
      <c r="D941" s="6" t="s">
        <v>145</v>
      </c>
      <c r="E941" s="34"/>
      <c r="F941" s="6" t="s">
        <v>2626</v>
      </c>
      <c r="G941" s="6" t="s">
        <v>114</v>
      </c>
      <c r="H941" s="6" t="s">
        <v>2440</v>
      </c>
      <c r="I941" s="35" t="s">
        <v>77</v>
      </c>
      <c r="J941" s="36">
        <v>96.7</v>
      </c>
      <c r="K941" s="36">
        <v>72.2</v>
      </c>
      <c r="L941" s="36">
        <f t="shared" si="2"/>
        <v>1</v>
      </c>
      <c r="M941" s="36" t="str">
        <f t="shared" si="3"/>
        <v>Regular Season</v>
      </c>
      <c r="N941" s="36" t="str">
        <f>IFERROR(VLOOKUP(I941,Mapped_Owner,2,0),"")</f>
        <v>Salty</v>
      </c>
      <c r="O941" s="6">
        <f>VLOOKUP(D941,'Mapped Opponent'!$G$4:$H$22,2,0)</f>
        <v>8</v>
      </c>
      <c r="P941" s="6"/>
      <c r="Q941" s="6" t="str">
        <f t="shared" si="4"/>
        <v>Week 8</v>
      </c>
      <c r="R941" s="6" t="str">
        <f t="shared" si="5"/>
        <v>2015Week 8</v>
      </c>
      <c r="S941" s="6">
        <f>IFERROR(__xludf.DUMMYFUNCTION("rank(J941,FILTER(J:J,R:R=R941))"),6.0)</f>
        <v>6</v>
      </c>
      <c r="T941" s="6">
        <f t="shared" si="6"/>
        <v>6</v>
      </c>
      <c r="U941" s="6">
        <f t="shared" si="7"/>
        <v>6</v>
      </c>
      <c r="V941" s="42">
        <f>averageif(AllData!A:A,B941,AllData!R:R)/vlookup(B941,AllData!A:O,15,0)</f>
        <v>92.55128205</v>
      </c>
      <c r="W941" s="6"/>
    </row>
    <row r="942" ht="14.25" customHeight="1">
      <c r="A942" s="6" t="str">
        <f t="shared" si="1"/>
        <v>2015Riley8</v>
      </c>
      <c r="B942" s="6">
        <v>2015.0</v>
      </c>
      <c r="C942" s="6" t="s">
        <v>67</v>
      </c>
      <c r="D942" s="6" t="s">
        <v>145</v>
      </c>
      <c r="E942" s="34"/>
      <c r="F942" s="6" t="s">
        <v>2627</v>
      </c>
      <c r="G942" s="6" t="s">
        <v>114</v>
      </c>
      <c r="H942" s="6" t="s">
        <v>2429</v>
      </c>
      <c r="I942" s="35" t="s">
        <v>58</v>
      </c>
      <c r="J942" s="36">
        <v>80.2</v>
      </c>
      <c r="K942" s="36">
        <v>75.5</v>
      </c>
      <c r="L942" s="36">
        <f t="shared" si="2"/>
        <v>1</v>
      </c>
      <c r="M942" s="36" t="str">
        <f t="shared" si="3"/>
        <v>Regular Season</v>
      </c>
      <c r="N942" s="36" t="str">
        <f>IFERROR(VLOOKUP(I942,Mapped_Owner,2,0),"")</f>
        <v>Rooney/Jackson</v>
      </c>
      <c r="O942" s="6">
        <f>VLOOKUP(D942,'Mapped Opponent'!$G$4:$H$22,2,0)</f>
        <v>8</v>
      </c>
      <c r="P942" s="6"/>
      <c r="Q942" s="6" t="str">
        <f t="shared" si="4"/>
        <v>Week 8</v>
      </c>
      <c r="R942" s="6" t="str">
        <f t="shared" si="5"/>
        <v>2015Week 8</v>
      </c>
      <c r="S942" s="6">
        <f>IFERROR(__xludf.DUMMYFUNCTION("rank(J942,FILTER(J:J,R:R=R942))"),9.0)</f>
        <v>9</v>
      </c>
      <c r="T942" s="6">
        <f t="shared" si="6"/>
        <v>3</v>
      </c>
      <c r="U942" s="6">
        <f t="shared" si="7"/>
        <v>9</v>
      </c>
      <c r="V942" s="42">
        <f>averageif(AllData!A:A,B942,AllData!R:R)/vlookup(B942,AllData!A:O,15,0)</f>
        <v>92.55128205</v>
      </c>
      <c r="W942" s="6"/>
    </row>
    <row r="943" ht="14.25" customHeight="1">
      <c r="A943" s="6" t="str">
        <f t="shared" si="1"/>
        <v>2015Rooney/Jackson8</v>
      </c>
      <c r="B943" s="6">
        <v>2015.0</v>
      </c>
      <c r="C943" s="6" t="s">
        <v>57</v>
      </c>
      <c r="D943" s="6" t="s">
        <v>145</v>
      </c>
      <c r="E943" s="34"/>
      <c r="F943" s="6" t="s">
        <v>2628</v>
      </c>
      <c r="G943" s="6" t="s">
        <v>125</v>
      </c>
      <c r="H943" s="6" t="s">
        <v>2427</v>
      </c>
      <c r="I943" s="35" t="s">
        <v>68</v>
      </c>
      <c r="J943" s="36">
        <v>75.5</v>
      </c>
      <c r="K943" s="36">
        <v>80.2</v>
      </c>
      <c r="L943" s="36">
        <f t="shared" si="2"/>
        <v>0</v>
      </c>
      <c r="M943" s="36" t="str">
        <f t="shared" si="3"/>
        <v>Regular Season</v>
      </c>
      <c r="N943" s="36" t="str">
        <f>IFERROR(VLOOKUP(I943,Mapped_Owner,2,0),"")</f>
        <v>Riley</v>
      </c>
      <c r="O943" s="6">
        <f>VLOOKUP(D943,'Mapped Opponent'!$G$4:$H$22,2,0)</f>
        <v>8</v>
      </c>
      <c r="P943" s="6"/>
      <c r="Q943" s="6" t="str">
        <f t="shared" si="4"/>
        <v>Week 8</v>
      </c>
      <c r="R943" s="6" t="str">
        <f t="shared" si="5"/>
        <v>2015Week 8</v>
      </c>
      <c r="S943" s="6">
        <f>IFERROR(__xludf.DUMMYFUNCTION("rank(J943,FILTER(J:J,R:R=R943))"),11.0)</f>
        <v>11</v>
      </c>
      <c r="T943" s="6">
        <f t="shared" si="6"/>
        <v>1</v>
      </c>
      <c r="U943" s="6">
        <f t="shared" si="7"/>
        <v>11</v>
      </c>
      <c r="V943" s="42">
        <f>averageif(AllData!A:A,B943,AllData!R:R)/vlookup(B943,AllData!A:O,15,0)</f>
        <v>92.55128205</v>
      </c>
      <c r="W943" s="6"/>
    </row>
    <row r="944" ht="14.25" customHeight="1">
      <c r="A944" s="6" t="str">
        <f t="shared" si="1"/>
        <v>2015Buser8</v>
      </c>
      <c r="B944" s="6">
        <v>2015.0</v>
      </c>
      <c r="C944" s="6" t="s">
        <v>47</v>
      </c>
      <c r="D944" s="6" t="s">
        <v>145</v>
      </c>
      <c r="E944" s="6"/>
      <c r="F944" s="6" t="s">
        <v>2629</v>
      </c>
      <c r="G944" s="6" t="s">
        <v>125</v>
      </c>
      <c r="H944" s="35" t="s">
        <v>2436</v>
      </c>
      <c r="I944" s="180" t="s">
        <v>85</v>
      </c>
      <c r="J944" s="36">
        <v>88.9</v>
      </c>
      <c r="K944" s="36">
        <v>101.4</v>
      </c>
      <c r="L944" s="36">
        <f t="shared" si="2"/>
        <v>0</v>
      </c>
      <c r="M944" s="36" t="str">
        <f t="shared" si="3"/>
        <v>Regular Season</v>
      </c>
      <c r="N944" s="36" t="str">
        <f>IFERROR(VLOOKUP(I944,Mapped_Owner,2,0),"")</f>
        <v>T-How</v>
      </c>
      <c r="O944" s="6">
        <f>VLOOKUP(D944,'Mapped Opponent'!$G$4:$H$22,2,0)</f>
        <v>8</v>
      </c>
      <c r="P944" s="6"/>
      <c r="Q944" s="6" t="str">
        <f t="shared" si="4"/>
        <v>Week 8</v>
      </c>
      <c r="R944" s="6" t="str">
        <f t="shared" si="5"/>
        <v>2015Week 8</v>
      </c>
      <c r="S944" s="6">
        <f>IFERROR(__xludf.DUMMYFUNCTION("rank(J944,FILTER(J:J,R:R=R944))"),7.0)</f>
        <v>7</v>
      </c>
      <c r="T944" s="6">
        <f t="shared" si="6"/>
        <v>5</v>
      </c>
      <c r="U944" s="6">
        <f t="shared" si="7"/>
        <v>7</v>
      </c>
      <c r="V944" s="42">
        <f>averageif(AllData!A:A,B944,AllData!R:R)/vlookup(B944,AllData!A:O,15,0)</f>
        <v>92.55128205</v>
      </c>
      <c r="W944" s="6"/>
    </row>
    <row r="945" ht="14.25" customHeight="1">
      <c r="A945" s="6" t="str">
        <f t="shared" si="1"/>
        <v>2015Pierson8</v>
      </c>
      <c r="B945" s="6">
        <v>2015.0</v>
      </c>
      <c r="C945" s="6" t="s">
        <v>92</v>
      </c>
      <c r="D945" s="6" t="s">
        <v>145</v>
      </c>
      <c r="E945" s="34"/>
      <c r="F945" s="6" t="s">
        <v>2630</v>
      </c>
      <c r="G945" s="6" t="s">
        <v>114</v>
      </c>
      <c r="H945" s="6" t="s">
        <v>2423</v>
      </c>
      <c r="I945" s="35" t="s">
        <v>99</v>
      </c>
      <c r="J945" s="36">
        <v>84.0</v>
      </c>
      <c r="K945" s="36">
        <v>80.1</v>
      </c>
      <c r="L945" s="36">
        <f t="shared" si="2"/>
        <v>1</v>
      </c>
      <c r="M945" s="36" t="str">
        <f t="shared" si="3"/>
        <v>Regular Season</v>
      </c>
      <c r="N945" s="36" t="str">
        <f>IFERROR(VLOOKUP(I945,Mapped_Owner,2,0),"")</f>
        <v>Cock</v>
      </c>
      <c r="O945" s="6">
        <f>VLOOKUP(D945,'Mapped Opponent'!$G$4:$H$22,2,0)</f>
        <v>8</v>
      </c>
      <c r="P945" s="6"/>
      <c r="Q945" s="6" t="str">
        <f t="shared" si="4"/>
        <v>Week 8</v>
      </c>
      <c r="R945" s="6" t="str">
        <f t="shared" si="5"/>
        <v>2015Week 8</v>
      </c>
      <c r="S945" s="6">
        <f>IFERROR(__xludf.DUMMYFUNCTION("rank(J945,FILTER(J:J,R:R=R945))"),8.0)</f>
        <v>8</v>
      </c>
      <c r="T945" s="6">
        <f t="shared" si="6"/>
        <v>4</v>
      </c>
      <c r="U945" s="6">
        <f t="shared" si="7"/>
        <v>8</v>
      </c>
      <c r="V945" s="42">
        <f>averageif(AllData!A:A,B945,AllData!R:R)/vlookup(B945,AllData!A:O,15,0)</f>
        <v>92.55128205</v>
      </c>
      <c r="W945" s="6"/>
    </row>
    <row r="946" ht="14.25" customHeight="1">
      <c r="A946" s="6" t="str">
        <f t="shared" si="1"/>
        <v>2015Cock8</v>
      </c>
      <c r="B946" s="6">
        <v>2015.0</v>
      </c>
      <c r="C946" s="6" t="s">
        <v>72</v>
      </c>
      <c r="D946" s="6" t="s">
        <v>145</v>
      </c>
      <c r="E946" s="6"/>
      <c r="F946" s="6" t="s">
        <v>2631</v>
      </c>
      <c r="G946" s="6" t="s">
        <v>125</v>
      </c>
      <c r="H946" s="35" t="s">
        <v>2421</v>
      </c>
      <c r="I946" s="180" t="s">
        <v>93</v>
      </c>
      <c r="J946" s="36">
        <v>80.1</v>
      </c>
      <c r="K946" s="36">
        <v>84.0</v>
      </c>
      <c r="L946" s="36">
        <f t="shared" si="2"/>
        <v>0</v>
      </c>
      <c r="M946" s="36" t="str">
        <f t="shared" si="3"/>
        <v>Regular Season</v>
      </c>
      <c r="N946" s="36" t="str">
        <f>IFERROR(VLOOKUP(I946,Mapped_Owner,2,0),"")</f>
        <v>Pierson</v>
      </c>
      <c r="O946" s="6">
        <f>VLOOKUP(D946,'Mapped Opponent'!$G$4:$H$22,2,0)</f>
        <v>8</v>
      </c>
      <c r="P946" s="6"/>
      <c r="Q946" s="6" t="str">
        <f t="shared" si="4"/>
        <v>Week 8</v>
      </c>
      <c r="R946" s="6" t="str">
        <f t="shared" si="5"/>
        <v>2015Week 8</v>
      </c>
      <c r="S946" s="6">
        <f>IFERROR(__xludf.DUMMYFUNCTION("rank(J946,FILTER(J:J,R:R=R946))"),10.0)</f>
        <v>10</v>
      </c>
      <c r="T946" s="6">
        <f t="shared" si="6"/>
        <v>2</v>
      </c>
      <c r="U946" s="6">
        <f t="shared" si="7"/>
        <v>10</v>
      </c>
      <c r="V946" s="42">
        <f>averageif(AllData!A:A,B946,AllData!R:R)/vlookup(B946,AllData!A:O,15,0)</f>
        <v>92.55128205</v>
      </c>
      <c r="W946" s="6"/>
    </row>
    <row r="947" ht="14.25" customHeight="1">
      <c r="A947" s="6" t="str">
        <f t="shared" si="1"/>
        <v>2015Tayski8</v>
      </c>
      <c r="B947" s="6">
        <v>2015.0</v>
      </c>
      <c r="C947" s="6" t="s">
        <v>52</v>
      </c>
      <c r="D947" s="6" t="s">
        <v>145</v>
      </c>
      <c r="E947" s="34"/>
      <c r="F947" s="6" t="s">
        <v>2632</v>
      </c>
      <c r="G947" s="6" t="s">
        <v>125</v>
      </c>
      <c r="H947" s="6" t="s">
        <v>2431</v>
      </c>
      <c r="I947" s="35" t="s">
        <v>132</v>
      </c>
      <c r="J947" s="36">
        <v>117.9</v>
      </c>
      <c r="K947" s="36">
        <v>112.2</v>
      </c>
      <c r="L947" s="36">
        <f t="shared" si="2"/>
        <v>1</v>
      </c>
      <c r="M947" s="36" t="str">
        <f t="shared" si="3"/>
        <v>Regular Season</v>
      </c>
      <c r="N947" s="36" t="str">
        <f>IFERROR(VLOOKUP(I947,Mapped_Owner,2,0),"")</f>
        <v>KnardDawg</v>
      </c>
      <c r="O947" s="6">
        <f>VLOOKUP(D947,'Mapped Opponent'!$G$4:$H$22,2,0)</f>
        <v>8</v>
      </c>
      <c r="P947" s="6"/>
      <c r="Q947" s="6" t="str">
        <f t="shared" si="4"/>
        <v>Week 8</v>
      </c>
      <c r="R947" s="6" t="str">
        <f t="shared" si="5"/>
        <v>2015Week 8</v>
      </c>
      <c r="S947" s="6">
        <f>IFERROR(__xludf.DUMMYFUNCTION("rank(J947,FILTER(J:J,R:R=R947))"),1.0)</f>
        <v>1</v>
      </c>
      <c r="T947" s="6">
        <f t="shared" si="6"/>
        <v>11</v>
      </c>
      <c r="U947" s="6">
        <f t="shared" si="7"/>
        <v>1</v>
      </c>
      <c r="V947" s="42">
        <f>averageif(AllData!A:A,B947,AllData!R:R)/vlookup(B947,AllData!A:O,15,0)</f>
        <v>92.55128205</v>
      </c>
      <c r="W947" s="6"/>
    </row>
    <row r="948" ht="14.25" customHeight="1">
      <c r="A948" s="6" t="str">
        <f t="shared" si="1"/>
        <v>2015KnardDawg8</v>
      </c>
      <c r="B948" s="6">
        <v>2015.0</v>
      </c>
      <c r="C948" s="6" t="s">
        <v>86</v>
      </c>
      <c r="D948" s="6" t="s">
        <v>145</v>
      </c>
      <c r="E948" s="34"/>
      <c r="F948" s="6" t="s">
        <v>2633</v>
      </c>
      <c r="G948" s="6" t="s">
        <v>114</v>
      </c>
      <c r="H948" s="6" t="s">
        <v>2433</v>
      </c>
      <c r="I948" s="35" t="s">
        <v>54</v>
      </c>
      <c r="J948" s="36">
        <v>112.2</v>
      </c>
      <c r="K948" s="36">
        <v>117.9</v>
      </c>
      <c r="L948" s="36">
        <f t="shared" si="2"/>
        <v>0</v>
      </c>
      <c r="M948" s="36" t="str">
        <f t="shared" si="3"/>
        <v>Regular Season</v>
      </c>
      <c r="N948" s="36" t="str">
        <f>IFERROR(VLOOKUP(I948,Mapped_Owner,2,0),"")</f>
        <v>Tayski</v>
      </c>
      <c r="O948" s="6">
        <f>VLOOKUP(D948,'Mapped Opponent'!$G$4:$H$22,2,0)</f>
        <v>8</v>
      </c>
      <c r="P948" s="6"/>
      <c r="Q948" s="6" t="str">
        <f t="shared" si="4"/>
        <v>Week 8</v>
      </c>
      <c r="R948" s="6" t="str">
        <f t="shared" si="5"/>
        <v>2015Week 8</v>
      </c>
      <c r="S948" s="6">
        <f>IFERROR(__xludf.DUMMYFUNCTION("rank(J948,FILTER(J:J,R:R=R948))"),3.0)</f>
        <v>3</v>
      </c>
      <c r="T948" s="6">
        <f t="shared" si="6"/>
        <v>9</v>
      </c>
      <c r="U948" s="6">
        <f t="shared" si="7"/>
        <v>3</v>
      </c>
      <c r="V948" s="42">
        <f>averageif(AllData!A:A,B948,AllData!R:R)/vlookup(B948,AllData!A:O,15,0)</f>
        <v>92.55128205</v>
      </c>
      <c r="W948" s="6"/>
    </row>
    <row r="949" ht="14.25" customHeight="1">
      <c r="A949" s="6" t="str">
        <f t="shared" si="1"/>
        <v>2015T-How8</v>
      </c>
      <c r="B949" s="6">
        <v>2015.0</v>
      </c>
      <c r="C949" s="6" t="s">
        <v>82</v>
      </c>
      <c r="D949" s="6" t="s">
        <v>145</v>
      </c>
      <c r="E949" s="34"/>
      <c r="F949" s="6" t="s">
        <v>2634</v>
      </c>
      <c r="G949" s="6" t="s">
        <v>114</v>
      </c>
      <c r="H949" s="6" t="s">
        <v>2419</v>
      </c>
      <c r="I949" s="35" t="s">
        <v>50</v>
      </c>
      <c r="J949" s="36">
        <v>101.4</v>
      </c>
      <c r="K949" s="36">
        <v>88.9</v>
      </c>
      <c r="L949" s="36">
        <f t="shared" si="2"/>
        <v>1</v>
      </c>
      <c r="M949" s="36" t="str">
        <f t="shared" si="3"/>
        <v>Regular Season</v>
      </c>
      <c r="N949" s="36" t="str">
        <f>IFERROR(VLOOKUP(I949,Mapped_Owner,2,0),"")</f>
        <v>Buser</v>
      </c>
      <c r="O949" s="6">
        <f>VLOOKUP(D949,'Mapped Opponent'!$G$4:$H$22,2,0)</f>
        <v>8</v>
      </c>
      <c r="P949" s="6"/>
      <c r="Q949" s="6" t="str">
        <f t="shared" si="4"/>
        <v>Week 8</v>
      </c>
      <c r="R949" s="6" t="str">
        <f t="shared" si="5"/>
        <v>2015Week 8</v>
      </c>
      <c r="S949" s="6">
        <f>IFERROR(__xludf.DUMMYFUNCTION("rank(J949,FILTER(J:J,R:R=R949))"),4.0)</f>
        <v>4</v>
      </c>
      <c r="T949" s="6">
        <f t="shared" si="6"/>
        <v>8</v>
      </c>
      <c r="U949" s="6">
        <f t="shared" si="7"/>
        <v>4</v>
      </c>
      <c r="V949" s="42">
        <f>averageif(AllData!A:A,B949,AllData!R:R)/vlookup(B949,AllData!A:O,15,0)</f>
        <v>92.55128205</v>
      </c>
      <c r="W949" s="6"/>
    </row>
    <row r="950" ht="14.25" customHeight="1">
      <c r="A950" s="6" t="str">
        <f t="shared" si="1"/>
        <v>2015Hudspeath9</v>
      </c>
      <c r="B950" s="6">
        <v>2015.0</v>
      </c>
      <c r="C950" s="6" t="s">
        <v>39</v>
      </c>
      <c r="D950" s="6" t="s">
        <v>147</v>
      </c>
      <c r="E950" s="34"/>
      <c r="F950" s="34" t="s">
        <v>2635</v>
      </c>
      <c r="G950" s="6" t="s">
        <v>114</v>
      </c>
      <c r="H950" s="6" t="s">
        <v>2440</v>
      </c>
      <c r="I950" s="6" t="s">
        <v>77</v>
      </c>
      <c r="J950" s="36">
        <v>110.0</v>
      </c>
      <c r="K950" s="36">
        <v>109.3</v>
      </c>
      <c r="L950" s="36">
        <f t="shared" si="2"/>
        <v>1</v>
      </c>
      <c r="M950" s="36" t="str">
        <f t="shared" si="3"/>
        <v>Regular Season</v>
      </c>
      <c r="N950" s="36" t="str">
        <f>IFERROR(VLOOKUP(I950,Mapped_Owner,2,0),"")</f>
        <v>Salty</v>
      </c>
      <c r="O950" s="6">
        <f>VLOOKUP(D950,'Mapped Opponent'!$G$4:$H$22,2,0)</f>
        <v>9</v>
      </c>
      <c r="P950" s="6"/>
      <c r="Q950" s="6" t="str">
        <f t="shared" si="4"/>
        <v>Week 9</v>
      </c>
      <c r="R950" s="6" t="str">
        <f t="shared" si="5"/>
        <v>2015Week 9</v>
      </c>
      <c r="S950" s="6">
        <f>IFERROR(__xludf.DUMMYFUNCTION("rank(J950,FILTER(J:J,R:R=R950))"),4.0)</f>
        <v>4</v>
      </c>
      <c r="T950" s="6">
        <f t="shared" si="6"/>
        <v>8</v>
      </c>
      <c r="U950" s="6">
        <f t="shared" si="7"/>
        <v>4</v>
      </c>
      <c r="V950" s="42">
        <f>averageif(AllData!A:A,B950,AllData!R:R)/vlookup(B950,AllData!A:O,15,0)</f>
        <v>92.55128205</v>
      </c>
      <c r="W950" s="6"/>
    </row>
    <row r="951" ht="14.25" customHeight="1">
      <c r="A951" s="6" t="str">
        <f t="shared" si="1"/>
        <v>2015Salty9</v>
      </c>
      <c r="B951" s="6">
        <v>2015.0</v>
      </c>
      <c r="C951" s="6" t="s">
        <v>76</v>
      </c>
      <c r="D951" s="6" t="s">
        <v>147</v>
      </c>
      <c r="E951" s="34"/>
      <c r="F951" s="6" t="s">
        <v>2636</v>
      </c>
      <c r="G951" s="6" t="s">
        <v>125</v>
      </c>
      <c r="H951" s="6" t="s">
        <v>2417</v>
      </c>
      <c r="I951" s="35" t="s">
        <v>64</v>
      </c>
      <c r="J951" s="36">
        <v>109.3</v>
      </c>
      <c r="K951" s="36">
        <v>110.0</v>
      </c>
      <c r="L951" s="36">
        <f t="shared" si="2"/>
        <v>0</v>
      </c>
      <c r="M951" s="36" t="str">
        <f t="shared" si="3"/>
        <v>Regular Season</v>
      </c>
      <c r="N951" s="36" t="str">
        <f>IFERROR(VLOOKUP(I951,Mapped_Owner,2,0),"")</f>
        <v>Hudspeath</v>
      </c>
      <c r="O951" s="6">
        <f>VLOOKUP(D951,'Mapped Opponent'!$G$4:$H$22,2,0)</f>
        <v>9</v>
      </c>
      <c r="P951" s="6"/>
      <c r="Q951" s="6" t="str">
        <f t="shared" si="4"/>
        <v>Week 9</v>
      </c>
      <c r="R951" s="6" t="str">
        <f t="shared" si="5"/>
        <v>2015Week 9</v>
      </c>
      <c r="S951" s="6">
        <f>IFERROR(__xludf.DUMMYFUNCTION("rank(J951,FILTER(J:J,R:R=R951))"),5.0)</f>
        <v>5</v>
      </c>
      <c r="T951" s="6">
        <f t="shared" si="6"/>
        <v>7</v>
      </c>
      <c r="U951" s="6">
        <f t="shared" si="7"/>
        <v>5</v>
      </c>
      <c r="V951" s="42">
        <f>averageif(AllData!A:A,B951,AllData!R:R)/vlookup(B951,AllData!A:O,15,0)</f>
        <v>92.55128205</v>
      </c>
      <c r="W951" s="6"/>
    </row>
    <row r="952" ht="14.25" customHeight="1">
      <c r="A952" s="6" t="str">
        <f t="shared" si="1"/>
        <v>2015Fellows9</v>
      </c>
      <c r="B952" s="6">
        <v>2015.0</v>
      </c>
      <c r="C952" s="6" t="s">
        <v>79</v>
      </c>
      <c r="D952" s="6" t="s">
        <v>147</v>
      </c>
      <c r="E952" s="6"/>
      <c r="F952" s="6" t="s">
        <v>2637</v>
      </c>
      <c r="G952" s="6" t="s">
        <v>125</v>
      </c>
      <c r="H952" s="35" t="s">
        <v>2433</v>
      </c>
      <c r="I952" s="180" t="s">
        <v>54</v>
      </c>
      <c r="J952" s="36">
        <v>123.4</v>
      </c>
      <c r="K952" s="36">
        <v>87.7</v>
      </c>
      <c r="L952" s="36">
        <f t="shared" si="2"/>
        <v>1</v>
      </c>
      <c r="M952" s="36" t="str">
        <f t="shared" si="3"/>
        <v>Regular Season</v>
      </c>
      <c r="N952" s="36" t="str">
        <f>IFERROR(VLOOKUP(I952,Mapped_Owner,2,0),"")</f>
        <v>Tayski</v>
      </c>
      <c r="O952" s="6">
        <f>VLOOKUP(D952,'Mapped Opponent'!$G$4:$H$22,2,0)</f>
        <v>9</v>
      </c>
      <c r="P952" s="6"/>
      <c r="Q952" s="6" t="str">
        <f t="shared" si="4"/>
        <v>Week 9</v>
      </c>
      <c r="R952" s="6" t="str">
        <f t="shared" si="5"/>
        <v>2015Week 9</v>
      </c>
      <c r="S952" s="6">
        <f>IFERROR(__xludf.DUMMYFUNCTION("rank(J952,FILTER(J:J,R:R=R952))"),1.0)</f>
        <v>1</v>
      </c>
      <c r="T952" s="6">
        <f t="shared" si="6"/>
        <v>11</v>
      </c>
      <c r="U952" s="6">
        <f t="shared" si="7"/>
        <v>1</v>
      </c>
      <c r="V952" s="42">
        <f>averageif(AllData!A:A,B952,AllData!R:R)/vlookup(B952,AllData!A:O,15,0)</f>
        <v>92.55128205</v>
      </c>
      <c r="W952" s="6"/>
    </row>
    <row r="953" ht="14.25" customHeight="1">
      <c r="A953" s="6" t="str">
        <f t="shared" si="1"/>
        <v>2015Shep9</v>
      </c>
      <c r="B953" s="6">
        <v>2015.0</v>
      </c>
      <c r="C953" s="6" t="s">
        <v>89</v>
      </c>
      <c r="D953" s="6" t="s">
        <v>147</v>
      </c>
      <c r="E953" s="34"/>
      <c r="F953" s="6" t="s">
        <v>2638</v>
      </c>
      <c r="G953" s="6" t="s">
        <v>125</v>
      </c>
      <c r="H953" s="6" t="s">
        <v>2419</v>
      </c>
      <c r="I953" s="35" t="s">
        <v>50</v>
      </c>
      <c r="J953" s="36">
        <v>101.8</v>
      </c>
      <c r="K953" s="36">
        <v>98.4</v>
      </c>
      <c r="L953" s="36">
        <f t="shared" si="2"/>
        <v>1</v>
      </c>
      <c r="M953" s="36" t="str">
        <f t="shared" si="3"/>
        <v>Regular Season</v>
      </c>
      <c r="N953" s="36" t="str">
        <f>IFERROR(VLOOKUP(I953,Mapped_Owner,2,0),"")</f>
        <v>Buser</v>
      </c>
      <c r="O953" s="6">
        <f>VLOOKUP(D953,'Mapped Opponent'!$G$4:$H$22,2,0)</f>
        <v>9</v>
      </c>
      <c r="P953" s="6"/>
      <c r="Q953" s="6" t="str">
        <f t="shared" si="4"/>
        <v>Week 9</v>
      </c>
      <c r="R953" s="6" t="str">
        <f t="shared" si="5"/>
        <v>2015Week 9</v>
      </c>
      <c r="S953" s="6">
        <f>IFERROR(__xludf.DUMMYFUNCTION("rank(J953,FILTER(J:J,R:R=R953))"),6.0)</f>
        <v>6</v>
      </c>
      <c r="T953" s="6">
        <f t="shared" si="6"/>
        <v>6</v>
      </c>
      <c r="U953" s="6">
        <f t="shared" si="7"/>
        <v>6</v>
      </c>
      <c r="V953" s="42">
        <f>averageif(AllData!A:A,B953,AllData!R:R)/vlookup(B953,AllData!A:O,15,0)</f>
        <v>92.55128205</v>
      </c>
      <c r="W953" s="6"/>
    </row>
    <row r="954" ht="14.25" customHeight="1">
      <c r="A954" s="6" t="str">
        <f t="shared" si="1"/>
        <v>2015Riley9</v>
      </c>
      <c r="B954" s="6">
        <v>2015.0</v>
      </c>
      <c r="C954" s="6" t="s">
        <v>67</v>
      </c>
      <c r="D954" s="6" t="s">
        <v>147</v>
      </c>
      <c r="E954" s="34"/>
      <c r="F954" s="6" t="s">
        <v>2639</v>
      </c>
      <c r="G954" s="6" t="s">
        <v>114</v>
      </c>
      <c r="H954" s="6" t="s">
        <v>2421</v>
      </c>
      <c r="I954" s="35" t="s">
        <v>93</v>
      </c>
      <c r="J954" s="36">
        <v>78.1</v>
      </c>
      <c r="K954" s="36">
        <v>115.1</v>
      </c>
      <c r="L954" s="36">
        <f t="shared" si="2"/>
        <v>0</v>
      </c>
      <c r="M954" s="36" t="str">
        <f t="shared" si="3"/>
        <v>Regular Season</v>
      </c>
      <c r="N954" s="36" t="str">
        <f>IFERROR(VLOOKUP(I954,Mapped_Owner,2,0),"")</f>
        <v>Pierson</v>
      </c>
      <c r="O954" s="6">
        <f>VLOOKUP(D954,'Mapped Opponent'!$G$4:$H$22,2,0)</f>
        <v>9</v>
      </c>
      <c r="P954" s="6"/>
      <c r="Q954" s="6" t="str">
        <f t="shared" si="4"/>
        <v>Week 9</v>
      </c>
      <c r="R954" s="6" t="str">
        <f t="shared" si="5"/>
        <v>2015Week 9</v>
      </c>
      <c r="S954" s="6">
        <f>IFERROR(__xludf.DUMMYFUNCTION("rank(J954,FILTER(J:J,R:R=R954))"),11.0)</f>
        <v>11</v>
      </c>
      <c r="T954" s="6">
        <f t="shared" si="6"/>
        <v>1</v>
      </c>
      <c r="U954" s="6">
        <f t="shared" si="7"/>
        <v>11</v>
      </c>
      <c r="V954" s="42">
        <f>averageif(AllData!A:A,B954,AllData!R:R)/vlookup(B954,AllData!A:O,15,0)</f>
        <v>92.55128205</v>
      </c>
      <c r="W954" s="6"/>
    </row>
    <row r="955" ht="14.25" customHeight="1">
      <c r="A955" s="6" t="str">
        <f t="shared" si="1"/>
        <v>2015Rooney/Jackson9</v>
      </c>
      <c r="B955" s="6">
        <v>2015.0</v>
      </c>
      <c r="C955" s="6" t="s">
        <v>57</v>
      </c>
      <c r="D955" s="6" t="s">
        <v>147</v>
      </c>
      <c r="E955" s="34"/>
      <c r="F955" s="6" t="s">
        <v>2640</v>
      </c>
      <c r="G955" s="6" t="s">
        <v>114</v>
      </c>
      <c r="H955" s="6" t="s">
        <v>2436</v>
      </c>
      <c r="I955" s="35" t="s">
        <v>85</v>
      </c>
      <c r="J955" s="36">
        <v>84.6</v>
      </c>
      <c r="K955" s="36">
        <v>95.7</v>
      </c>
      <c r="L955" s="36">
        <f t="shared" si="2"/>
        <v>0</v>
      </c>
      <c r="M955" s="36" t="str">
        <f t="shared" si="3"/>
        <v>Regular Season</v>
      </c>
      <c r="N955" s="36" t="str">
        <f>IFERROR(VLOOKUP(I955,Mapped_Owner,2,0),"")</f>
        <v>T-How</v>
      </c>
      <c r="O955" s="6">
        <f>VLOOKUP(D955,'Mapped Opponent'!$G$4:$H$22,2,0)</f>
        <v>9</v>
      </c>
      <c r="P955" s="6"/>
      <c r="Q955" s="6" t="str">
        <f t="shared" si="4"/>
        <v>Week 9</v>
      </c>
      <c r="R955" s="6" t="str">
        <f t="shared" si="5"/>
        <v>2015Week 9</v>
      </c>
      <c r="S955" s="6">
        <f>IFERROR(__xludf.DUMMYFUNCTION("rank(J955,FILTER(J:J,R:R=R955))"),10.0)</f>
        <v>10</v>
      </c>
      <c r="T955" s="6">
        <f t="shared" si="6"/>
        <v>2</v>
      </c>
      <c r="U955" s="6">
        <f t="shared" si="7"/>
        <v>10</v>
      </c>
      <c r="V955" s="42">
        <f>averageif(AllData!A:A,B955,AllData!R:R)/vlookup(B955,AllData!A:O,15,0)</f>
        <v>92.55128205</v>
      </c>
      <c r="W955" s="6"/>
    </row>
    <row r="956" ht="14.25" customHeight="1">
      <c r="A956" s="6" t="str">
        <f t="shared" si="1"/>
        <v>2015Buser9</v>
      </c>
      <c r="B956" s="6">
        <v>2015.0</v>
      </c>
      <c r="C956" s="6" t="s">
        <v>47</v>
      </c>
      <c r="D956" s="6" t="s">
        <v>147</v>
      </c>
      <c r="E956" s="6"/>
      <c r="F956" s="6" t="s">
        <v>2641</v>
      </c>
      <c r="G956" s="6" t="s">
        <v>114</v>
      </c>
      <c r="H956" s="35" t="s">
        <v>2425</v>
      </c>
      <c r="I956" s="180" t="s">
        <v>91</v>
      </c>
      <c r="J956" s="36">
        <v>98.4</v>
      </c>
      <c r="K956" s="36">
        <v>101.8</v>
      </c>
      <c r="L956" s="36">
        <f t="shared" si="2"/>
        <v>0</v>
      </c>
      <c r="M956" s="36" t="str">
        <f t="shared" si="3"/>
        <v>Regular Season</v>
      </c>
      <c r="N956" s="36" t="str">
        <f>IFERROR(VLOOKUP(I956,Mapped_Owner,2,0),"")</f>
        <v>Shep</v>
      </c>
      <c r="O956" s="6">
        <f>VLOOKUP(D956,'Mapped Opponent'!$G$4:$H$22,2,0)</f>
        <v>9</v>
      </c>
      <c r="P956" s="6"/>
      <c r="Q956" s="6" t="str">
        <f t="shared" si="4"/>
        <v>Week 9</v>
      </c>
      <c r="R956" s="6" t="str">
        <f t="shared" si="5"/>
        <v>2015Week 9</v>
      </c>
      <c r="S956" s="6">
        <f>IFERROR(__xludf.DUMMYFUNCTION("rank(J956,FILTER(J:J,R:R=R956))"),7.0)</f>
        <v>7</v>
      </c>
      <c r="T956" s="6">
        <f t="shared" si="6"/>
        <v>5</v>
      </c>
      <c r="U956" s="6">
        <f t="shared" si="7"/>
        <v>7</v>
      </c>
      <c r="V956" s="42">
        <f>averageif(AllData!A:A,B956,AllData!R:R)/vlookup(B956,AllData!A:O,15,0)</f>
        <v>92.55128205</v>
      </c>
      <c r="W956" s="6"/>
    </row>
    <row r="957" ht="14.25" customHeight="1">
      <c r="A957" s="6" t="str">
        <f t="shared" si="1"/>
        <v>2015Pierson9</v>
      </c>
      <c r="B957" s="6">
        <v>2015.0</v>
      </c>
      <c r="C957" s="6" t="s">
        <v>92</v>
      </c>
      <c r="D957" s="6" t="s">
        <v>147</v>
      </c>
      <c r="E957" s="34"/>
      <c r="F957" s="6" t="s">
        <v>2642</v>
      </c>
      <c r="G957" s="6" t="s">
        <v>125</v>
      </c>
      <c r="H957" s="6" t="s">
        <v>2427</v>
      </c>
      <c r="I957" s="35" t="s">
        <v>68</v>
      </c>
      <c r="J957" s="36">
        <v>115.1</v>
      </c>
      <c r="K957" s="36">
        <v>78.1</v>
      </c>
      <c r="L957" s="36">
        <f t="shared" si="2"/>
        <v>1</v>
      </c>
      <c r="M957" s="36" t="str">
        <f t="shared" si="3"/>
        <v>Regular Season</v>
      </c>
      <c r="N957" s="36" t="str">
        <f>IFERROR(VLOOKUP(I957,Mapped_Owner,2,0),"")</f>
        <v>Riley</v>
      </c>
      <c r="O957" s="6">
        <f>VLOOKUP(D957,'Mapped Opponent'!$G$4:$H$22,2,0)</f>
        <v>9</v>
      </c>
      <c r="P957" s="6"/>
      <c r="Q957" s="6" t="str">
        <f t="shared" si="4"/>
        <v>Week 9</v>
      </c>
      <c r="R957" s="6" t="str">
        <f t="shared" si="5"/>
        <v>2015Week 9</v>
      </c>
      <c r="S957" s="6">
        <f>IFERROR(__xludf.DUMMYFUNCTION("rank(J957,FILTER(J:J,R:R=R957))"),3.0)</f>
        <v>3</v>
      </c>
      <c r="T957" s="6">
        <f t="shared" si="6"/>
        <v>9</v>
      </c>
      <c r="U957" s="6">
        <f t="shared" si="7"/>
        <v>3</v>
      </c>
      <c r="V957" s="42">
        <f>averageif(AllData!A:A,B957,AllData!R:R)/vlookup(B957,AllData!A:O,15,0)</f>
        <v>92.55128205</v>
      </c>
      <c r="W957" s="6"/>
    </row>
    <row r="958" ht="14.25" customHeight="1">
      <c r="A958" s="6" t="str">
        <f t="shared" si="1"/>
        <v>2015Cock9</v>
      </c>
      <c r="B958" s="6">
        <v>2015.0</v>
      </c>
      <c r="C958" s="6" t="s">
        <v>72</v>
      </c>
      <c r="D958" s="6" t="s">
        <v>147</v>
      </c>
      <c r="E958" s="6"/>
      <c r="F958" s="6" t="s">
        <v>2643</v>
      </c>
      <c r="G958" s="6" t="s">
        <v>114</v>
      </c>
      <c r="H958" s="35" t="s">
        <v>2431</v>
      </c>
      <c r="I958" s="180" t="s">
        <v>132</v>
      </c>
      <c r="J958" s="36">
        <v>55.3</v>
      </c>
      <c r="K958" s="36">
        <v>118.9</v>
      </c>
      <c r="L958" s="36">
        <f t="shared" si="2"/>
        <v>0</v>
      </c>
      <c r="M958" s="36" t="str">
        <f t="shared" si="3"/>
        <v>Regular Season</v>
      </c>
      <c r="N958" s="36" t="str">
        <f>IFERROR(VLOOKUP(I958,Mapped_Owner,2,0),"")</f>
        <v>KnardDawg</v>
      </c>
      <c r="O958" s="6">
        <f>VLOOKUP(D958,'Mapped Opponent'!$G$4:$H$22,2,0)</f>
        <v>9</v>
      </c>
      <c r="P958" s="6"/>
      <c r="Q958" s="6" t="str">
        <f t="shared" si="4"/>
        <v>Week 9</v>
      </c>
      <c r="R958" s="6" t="str">
        <f t="shared" si="5"/>
        <v>2015Week 9</v>
      </c>
      <c r="S958" s="6">
        <f>IFERROR(__xludf.DUMMYFUNCTION("rank(J958,FILTER(J:J,R:R=R958))"),12.0)</f>
        <v>12</v>
      </c>
      <c r="T958" s="6">
        <f t="shared" si="6"/>
        <v>0</v>
      </c>
      <c r="U958" s="6">
        <f t="shared" si="7"/>
        <v>12</v>
      </c>
      <c r="V958" s="42">
        <f>averageif(AllData!A:A,B958,AllData!R:R)/vlookup(B958,AllData!A:O,15,0)</f>
        <v>92.55128205</v>
      </c>
      <c r="W958" s="6"/>
    </row>
    <row r="959" ht="14.25" customHeight="1">
      <c r="A959" s="6" t="str">
        <f t="shared" si="1"/>
        <v>2015Tayski9</v>
      </c>
      <c r="B959" s="6">
        <v>2015.0</v>
      </c>
      <c r="C959" s="6" t="s">
        <v>52</v>
      </c>
      <c r="D959" s="6" t="s">
        <v>147</v>
      </c>
      <c r="E959" s="34"/>
      <c r="F959" s="6" t="s">
        <v>2644</v>
      </c>
      <c r="G959" s="6" t="s">
        <v>114</v>
      </c>
      <c r="H959" s="6" t="s">
        <v>2414</v>
      </c>
      <c r="I959" s="35" t="s">
        <v>80</v>
      </c>
      <c r="J959" s="36">
        <v>87.7</v>
      </c>
      <c r="K959" s="36">
        <v>123.4</v>
      </c>
      <c r="L959" s="36">
        <f t="shared" si="2"/>
        <v>0</v>
      </c>
      <c r="M959" s="36" t="str">
        <f t="shared" si="3"/>
        <v>Regular Season</v>
      </c>
      <c r="N959" s="36" t="str">
        <f>IFERROR(VLOOKUP(I959,Mapped_Owner,2,0),"")</f>
        <v>Fellows</v>
      </c>
      <c r="O959" s="6">
        <f>VLOOKUP(D959,'Mapped Opponent'!$G$4:$H$22,2,0)</f>
        <v>9</v>
      </c>
      <c r="P959" s="6"/>
      <c r="Q959" s="6" t="str">
        <f t="shared" si="4"/>
        <v>Week 9</v>
      </c>
      <c r="R959" s="6" t="str">
        <f t="shared" si="5"/>
        <v>2015Week 9</v>
      </c>
      <c r="S959" s="6">
        <f>IFERROR(__xludf.DUMMYFUNCTION("rank(J959,FILTER(J:J,R:R=R959))"),9.0)</f>
        <v>9</v>
      </c>
      <c r="T959" s="6">
        <f t="shared" si="6"/>
        <v>3</v>
      </c>
      <c r="U959" s="6">
        <f t="shared" si="7"/>
        <v>9</v>
      </c>
      <c r="V959" s="42">
        <f>averageif(AllData!A:A,B959,AllData!R:R)/vlookup(B959,AllData!A:O,15,0)</f>
        <v>92.55128205</v>
      </c>
      <c r="W959" s="6"/>
    </row>
    <row r="960" ht="14.25" customHeight="1">
      <c r="A960" s="6" t="str">
        <f t="shared" si="1"/>
        <v>2015KnardDawg9</v>
      </c>
      <c r="B960" s="6">
        <v>2015.0</v>
      </c>
      <c r="C960" s="6" t="s">
        <v>86</v>
      </c>
      <c r="D960" s="6" t="s">
        <v>147</v>
      </c>
      <c r="E960" s="34"/>
      <c r="F960" s="6" t="s">
        <v>2645</v>
      </c>
      <c r="G960" s="6" t="s">
        <v>125</v>
      </c>
      <c r="H960" s="6" t="s">
        <v>2423</v>
      </c>
      <c r="I960" s="35" t="s">
        <v>99</v>
      </c>
      <c r="J960" s="36">
        <v>118.9</v>
      </c>
      <c r="K960" s="36">
        <v>55.3</v>
      </c>
      <c r="L960" s="36">
        <f t="shared" si="2"/>
        <v>1</v>
      </c>
      <c r="M960" s="36" t="str">
        <f t="shared" si="3"/>
        <v>Regular Season</v>
      </c>
      <c r="N960" s="36" t="str">
        <f>IFERROR(VLOOKUP(I960,Mapped_Owner,2,0),"")</f>
        <v>Cock</v>
      </c>
      <c r="O960" s="6">
        <f>VLOOKUP(D960,'Mapped Opponent'!$G$4:$H$22,2,0)</f>
        <v>9</v>
      </c>
      <c r="P960" s="6"/>
      <c r="Q960" s="6" t="str">
        <f t="shared" si="4"/>
        <v>Week 9</v>
      </c>
      <c r="R960" s="6" t="str">
        <f t="shared" si="5"/>
        <v>2015Week 9</v>
      </c>
      <c r="S960" s="6">
        <f>IFERROR(__xludf.DUMMYFUNCTION("rank(J960,FILTER(J:J,R:R=R960))"),2.0)</f>
        <v>2</v>
      </c>
      <c r="T960" s="6">
        <f t="shared" si="6"/>
        <v>10</v>
      </c>
      <c r="U960" s="6">
        <f t="shared" si="7"/>
        <v>2</v>
      </c>
      <c r="V960" s="42">
        <f>averageif(AllData!A:A,B960,AllData!R:R)/vlookup(B960,AllData!A:O,15,0)</f>
        <v>92.55128205</v>
      </c>
      <c r="W960" s="6"/>
    </row>
    <row r="961" ht="14.25" customHeight="1">
      <c r="A961" s="6" t="str">
        <f t="shared" si="1"/>
        <v>2015T-How9</v>
      </c>
      <c r="B961" s="6">
        <v>2015.0</v>
      </c>
      <c r="C961" s="6" t="s">
        <v>82</v>
      </c>
      <c r="D961" s="6" t="s">
        <v>147</v>
      </c>
      <c r="E961" s="34"/>
      <c r="F961" s="6" t="s">
        <v>2646</v>
      </c>
      <c r="G961" s="6" t="s">
        <v>125</v>
      </c>
      <c r="H961" s="6" t="s">
        <v>2429</v>
      </c>
      <c r="I961" s="35" t="s">
        <v>58</v>
      </c>
      <c r="J961" s="36">
        <v>95.7</v>
      </c>
      <c r="K961" s="36">
        <v>84.6</v>
      </c>
      <c r="L961" s="36">
        <f t="shared" si="2"/>
        <v>1</v>
      </c>
      <c r="M961" s="36" t="str">
        <f t="shared" si="3"/>
        <v>Regular Season</v>
      </c>
      <c r="N961" s="36" t="str">
        <f>IFERROR(VLOOKUP(I961,Mapped_Owner,2,0),"")</f>
        <v>Rooney/Jackson</v>
      </c>
      <c r="O961" s="6">
        <f>VLOOKUP(D961,'Mapped Opponent'!$G$4:$H$22,2,0)</f>
        <v>9</v>
      </c>
      <c r="P961" s="6"/>
      <c r="Q961" s="6" t="str">
        <f t="shared" si="4"/>
        <v>Week 9</v>
      </c>
      <c r="R961" s="6" t="str">
        <f t="shared" si="5"/>
        <v>2015Week 9</v>
      </c>
      <c r="S961" s="6">
        <f>IFERROR(__xludf.DUMMYFUNCTION("rank(J961,FILTER(J:J,R:R=R961))"),8.0)</f>
        <v>8</v>
      </c>
      <c r="T961" s="6">
        <f t="shared" si="6"/>
        <v>4</v>
      </c>
      <c r="U961" s="6">
        <f t="shared" si="7"/>
        <v>8</v>
      </c>
      <c r="V961" s="42">
        <f>averageif(AllData!A:A,B961,AllData!R:R)/vlookup(B961,AllData!A:O,15,0)</f>
        <v>92.55128205</v>
      </c>
      <c r="W961" s="6"/>
    </row>
    <row r="962" ht="14.25" customHeight="1">
      <c r="A962" s="6" t="str">
        <f t="shared" si="1"/>
        <v>2016Hudspeath15</v>
      </c>
      <c r="B962" s="6">
        <v>2016.0</v>
      </c>
      <c r="C962" s="6" t="s">
        <v>39</v>
      </c>
      <c r="D962" s="6" t="s">
        <v>112</v>
      </c>
      <c r="E962" s="34"/>
      <c r="F962" s="6" t="s">
        <v>2647</v>
      </c>
      <c r="H962" s="6" t="s">
        <v>2648</v>
      </c>
      <c r="I962" s="35" t="s">
        <v>146</v>
      </c>
      <c r="J962" s="36">
        <v>99.3</v>
      </c>
      <c r="K962" s="36">
        <v>77.2</v>
      </c>
      <c r="L962" s="36">
        <f t="shared" ref="L962:L1153" si="8">IF(J962&gt;K962,1,0)</f>
        <v>1</v>
      </c>
      <c r="M962" s="36" t="str">
        <f t="shared" si="3"/>
        <v>Playoffs</v>
      </c>
      <c r="N962" s="36" t="str">
        <f>IFERROR(VLOOKUP(I962,Mapped_Owner,2,0),"")</f>
        <v>Cock</v>
      </c>
      <c r="O962" s="6">
        <f>VLOOKUP(D962,'Mapped Opponent'!$G$4:$H$22,2,0)</f>
        <v>15</v>
      </c>
      <c r="P962" s="6"/>
      <c r="Q962" s="6" t="str">
        <f t="shared" si="4"/>
        <v>Week 15</v>
      </c>
      <c r="R962" s="6" t="str">
        <f t="shared" si="5"/>
        <v>2016Round 1</v>
      </c>
      <c r="S962" s="6">
        <f>IFERROR(__xludf.DUMMYFUNCTION("rank(J962,FILTER(J:J,R:R=R962))"),2.0)</f>
        <v>2</v>
      </c>
      <c r="T962" s="6">
        <f t="shared" si="6"/>
        <v>10</v>
      </c>
      <c r="U962" s="6">
        <f t="shared" si="7"/>
        <v>2</v>
      </c>
      <c r="V962" s="42">
        <f>averageif(AllData!A:A,B962,AllData!R:R)/vlookup(B962,AllData!A:O,15,0)</f>
        <v>94.18910256</v>
      </c>
      <c r="W962" s="6"/>
    </row>
    <row r="963" ht="14.25" customHeight="1">
      <c r="A963" s="6" t="str">
        <f t="shared" si="1"/>
        <v>2016Salty15</v>
      </c>
      <c r="B963" s="6">
        <v>2016.0</v>
      </c>
      <c r="C963" s="6" t="s">
        <v>76</v>
      </c>
      <c r="D963" s="6" t="s">
        <v>112</v>
      </c>
      <c r="E963" s="34"/>
      <c r="F963" s="6" t="s">
        <v>2649</v>
      </c>
      <c r="G963" s="6" t="s">
        <v>2449</v>
      </c>
      <c r="H963" s="6" t="s">
        <v>2464</v>
      </c>
      <c r="I963" s="35" t="s">
        <v>80</v>
      </c>
      <c r="J963" s="36">
        <v>87.8</v>
      </c>
      <c r="K963" s="36">
        <v>45.0</v>
      </c>
      <c r="L963" s="36">
        <f t="shared" si="8"/>
        <v>1</v>
      </c>
      <c r="M963" s="36" t="str">
        <f t="shared" si="3"/>
        <v>Playoffs</v>
      </c>
      <c r="N963" s="36" t="str">
        <f>IFERROR(VLOOKUP(I963,Mapped_Owner,2,0),"")</f>
        <v>Fellows</v>
      </c>
      <c r="O963" s="6">
        <f>VLOOKUP(D963,'Mapped Opponent'!$G$4:$H$22,2,0)</f>
        <v>15</v>
      </c>
      <c r="P963" s="6"/>
      <c r="Q963" s="6" t="str">
        <f t="shared" si="4"/>
        <v>Week 15</v>
      </c>
      <c r="R963" s="6" t="str">
        <f t="shared" si="5"/>
        <v>2016Round 1</v>
      </c>
      <c r="S963" s="6">
        <f>IFERROR(__xludf.DUMMYFUNCTION("rank(J963,FILTER(J:J,R:R=R963))"),4.0)</f>
        <v>4</v>
      </c>
      <c r="T963" s="6">
        <f t="shared" si="6"/>
        <v>8</v>
      </c>
      <c r="U963" s="6">
        <f t="shared" si="7"/>
        <v>4</v>
      </c>
      <c r="V963" s="42">
        <f>averageif(AllData!A:A,B963,AllData!R:R)/vlookup(B963,AllData!A:O,15,0)</f>
        <v>94.18910256</v>
      </c>
      <c r="W963" s="6"/>
    </row>
    <row r="964" ht="14.25" customHeight="1">
      <c r="A964" s="6" t="str">
        <f t="shared" si="1"/>
        <v>2016Fellows15</v>
      </c>
      <c r="B964" s="6">
        <v>2016.0</v>
      </c>
      <c r="C964" s="6" t="s">
        <v>79</v>
      </c>
      <c r="D964" s="6" t="s">
        <v>112</v>
      </c>
      <c r="E964" s="34"/>
      <c r="F964" s="6" t="s">
        <v>2650</v>
      </c>
      <c r="H964" s="6" t="s">
        <v>2651</v>
      </c>
      <c r="I964" s="35" t="s">
        <v>77</v>
      </c>
      <c r="J964" s="36">
        <v>45.0</v>
      </c>
      <c r="K964" s="36">
        <v>87.8</v>
      </c>
      <c r="L964" s="36">
        <f t="shared" si="8"/>
        <v>0</v>
      </c>
      <c r="M964" s="36" t="str">
        <f t="shared" si="3"/>
        <v>Playoffs</v>
      </c>
      <c r="N964" s="36" t="str">
        <f>IFERROR(VLOOKUP(I964,Mapped_Owner,2,0),"")</f>
        <v>Salty</v>
      </c>
      <c r="O964" s="6">
        <f>VLOOKUP(D964,'Mapped Opponent'!$G$4:$H$22,2,0)</f>
        <v>15</v>
      </c>
      <c r="P964" s="6" t="str">
        <f t="shared" ref="P964:P973" si="9">LEFT(H964,FIND("(",H964)-2)</f>
        <v>Last Manning Standing</v>
      </c>
      <c r="Q964" s="6" t="str">
        <f t="shared" si="4"/>
        <v>Week 15</v>
      </c>
      <c r="R964" s="6" t="str">
        <f t="shared" si="5"/>
        <v>2016Round 1</v>
      </c>
      <c r="S964" s="6">
        <f>IFERROR(__xludf.DUMMYFUNCTION("rank(J964,FILTER(J:J,R:R=R964))"),10.0)</f>
        <v>10</v>
      </c>
      <c r="T964" s="6">
        <f t="shared" si="6"/>
        <v>2</v>
      </c>
      <c r="U964" s="6">
        <f t="shared" si="7"/>
        <v>10</v>
      </c>
      <c r="V964" s="42">
        <f>averageif(AllData!A:A,B964,AllData!R:R)/vlookup(B964,AllData!A:O,15,0)</f>
        <v>94.18910256</v>
      </c>
      <c r="W964" s="6"/>
    </row>
    <row r="965" ht="14.25" customHeight="1">
      <c r="A965" s="6" t="str">
        <f t="shared" si="1"/>
        <v>2016Shep15</v>
      </c>
      <c r="B965" s="6">
        <v>2016.0</v>
      </c>
      <c r="C965" s="6" t="s">
        <v>89</v>
      </c>
      <c r="D965" s="6" t="s">
        <v>112</v>
      </c>
      <c r="E965" s="34"/>
      <c r="F965" s="6" t="s">
        <v>2652</v>
      </c>
      <c r="H965" s="6" t="s">
        <v>155</v>
      </c>
      <c r="I965" s="35"/>
      <c r="J965" s="36"/>
      <c r="K965" s="36"/>
      <c r="L965" s="36">
        <f t="shared" si="8"/>
        <v>0</v>
      </c>
      <c r="M965" s="36" t="str">
        <f t="shared" si="3"/>
        <v>Playoffs</v>
      </c>
      <c r="N965" s="36" t="str">
        <f>IFERROR(VLOOKUP(I965,Mapped_Owner,2,0),"")</f>
        <v/>
      </c>
      <c r="O965" s="6">
        <f>VLOOKUP(D965,'Mapped Opponent'!$G$4:$H$22,2,0)</f>
        <v>15</v>
      </c>
      <c r="P965" s="6" t="str">
        <f t="shared" si="9"/>
        <v>#VALUE!</v>
      </c>
      <c r="Q965" s="6" t="str">
        <f t="shared" si="4"/>
        <v>Week 15</v>
      </c>
      <c r="R965" s="6" t="str">
        <f t="shared" si="5"/>
        <v>2016Round 1</v>
      </c>
      <c r="S965" s="6" t="str">
        <f>IFERROR(__xludf.DUMMYFUNCTION("rank(J965,FILTER(J:J,R:R=R965))"),"#N/A")</f>
        <v>#N/A</v>
      </c>
      <c r="T965" s="6">
        <f t="shared" si="6"/>
        <v>0</v>
      </c>
      <c r="U965" s="6">
        <f t="shared" si="7"/>
        <v>12</v>
      </c>
      <c r="V965" s="42">
        <f>averageif(AllData!A:A,B965,AllData!R:R)/vlookup(B965,AllData!A:O,15,0)</f>
        <v>94.18910256</v>
      </c>
      <c r="W965" s="6"/>
    </row>
    <row r="966" ht="14.25" customHeight="1">
      <c r="A966" s="6" t="str">
        <f t="shared" si="1"/>
        <v>2016Riley15</v>
      </c>
      <c r="B966" s="6">
        <v>2016.0</v>
      </c>
      <c r="C966" s="6" t="s">
        <v>67</v>
      </c>
      <c r="D966" s="6" t="s">
        <v>112</v>
      </c>
      <c r="E966" s="34"/>
      <c r="F966" s="6" t="s">
        <v>2653</v>
      </c>
      <c r="H966" s="6" t="s">
        <v>2654</v>
      </c>
      <c r="I966" s="35" t="s">
        <v>132</v>
      </c>
      <c r="J966" s="36">
        <v>72.4</v>
      </c>
      <c r="K966" s="36">
        <v>109.7</v>
      </c>
      <c r="L966" s="36">
        <f t="shared" si="8"/>
        <v>0</v>
      </c>
      <c r="M966" s="36" t="str">
        <f t="shared" si="3"/>
        <v>Playoffs</v>
      </c>
      <c r="N966" s="36" t="str">
        <f>IFERROR(VLOOKUP(I966,Mapped_Owner,2,0),"")</f>
        <v>KnardDawg</v>
      </c>
      <c r="O966" s="6">
        <f>VLOOKUP(D966,'Mapped Opponent'!$G$4:$H$22,2,0)</f>
        <v>15</v>
      </c>
      <c r="P966" s="6" t="str">
        <f t="shared" si="9"/>
        <v>Bring tha Juice</v>
      </c>
      <c r="Q966" s="6" t="str">
        <f t="shared" si="4"/>
        <v>Week 15</v>
      </c>
      <c r="R966" s="6" t="str">
        <f t="shared" si="5"/>
        <v>2016Round 1</v>
      </c>
      <c r="S966" s="6">
        <f>IFERROR(__xludf.DUMMYFUNCTION("rank(J966,FILTER(J:J,R:R=R966))"),7.0)</f>
        <v>7</v>
      </c>
      <c r="T966" s="6">
        <f t="shared" si="6"/>
        <v>5</v>
      </c>
      <c r="U966" s="6">
        <f t="shared" si="7"/>
        <v>7</v>
      </c>
      <c r="V966" s="42">
        <f>averageif(AllData!A:A,B966,AllData!R:R)/vlookup(B966,AllData!A:O,15,0)</f>
        <v>94.18910256</v>
      </c>
      <c r="W966" s="6"/>
    </row>
    <row r="967" ht="14.25" customHeight="1">
      <c r="A967" s="6" t="str">
        <f t="shared" si="1"/>
        <v>2016Rooney/Jackson15</v>
      </c>
      <c r="B967" s="6">
        <v>2016.0</v>
      </c>
      <c r="C967" s="6" t="s">
        <v>57</v>
      </c>
      <c r="D967" s="6" t="s">
        <v>112</v>
      </c>
      <c r="E967" s="34"/>
      <c r="F967" s="6" t="s">
        <v>2655</v>
      </c>
      <c r="H967" s="6" t="s">
        <v>2656</v>
      </c>
      <c r="I967" s="35" t="s">
        <v>54</v>
      </c>
      <c r="J967" s="36">
        <v>67.9</v>
      </c>
      <c r="K967" s="36">
        <v>57.9</v>
      </c>
      <c r="L967" s="36">
        <f t="shared" si="8"/>
        <v>1</v>
      </c>
      <c r="M967" s="36" t="str">
        <f t="shared" si="3"/>
        <v>Playoffs</v>
      </c>
      <c r="N967" s="36" t="str">
        <f>IFERROR(VLOOKUP(I967,Mapped_Owner,2,0),"")</f>
        <v>Tayski</v>
      </c>
      <c r="O967" s="6">
        <f>VLOOKUP(D967,'Mapped Opponent'!$G$4:$H$22,2,0)</f>
        <v>15</v>
      </c>
      <c r="P967" s="6" t="str">
        <f t="shared" si="9"/>
        <v>Keenan Allen Memorial Team</v>
      </c>
      <c r="Q967" s="6" t="str">
        <f t="shared" si="4"/>
        <v>Week 15</v>
      </c>
      <c r="R967" s="6" t="str">
        <f t="shared" si="5"/>
        <v>2016Round 1</v>
      </c>
      <c r="S967" s="6">
        <f>IFERROR(__xludf.DUMMYFUNCTION("rank(J967,FILTER(J:J,R:R=R967))"),8.0)</f>
        <v>8</v>
      </c>
      <c r="T967" s="6">
        <f t="shared" si="6"/>
        <v>4</v>
      </c>
      <c r="U967" s="6">
        <f t="shared" si="7"/>
        <v>8</v>
      </c>
      <c r="V967" s="42">
        <f>averageif(AllData!A:A,B967,AllData!R:R)/vlookup(B967,AllData!A:O,15,0)</f>
        <v>94.18910256</v>
      </c>
      <c r="W967" s="6"/>
    </row>
    <row r="968" ht="14.25" customHeight="1">
      <c r="A968" s="6" t="str">
        <f t="shared" si="1"/>
        <v>2016Buser15</v>
      </c>
      <c r="B968" s="6">
        <v>2016.0</v>
      </c>
      <c r="C968" s="6" t="s">
        <v>47</v>
      </c>
      <c r="D968" s="6" t="s">
        <v>112</v>
      </c>
      <c r="E968" s="34"/>
      <c r="F968" s="6" t="s">
        <v>2657</v>
      </c>
      <c r="G968" s="6" t="s">
        <v>2449</v>
      </c>
      <c r="H968" s="6" t="s">
        <v>2658</v>
      </c>
      <c r="I968" s="35" t="s">
        <v>93</v>
      </c>
      <c r="J968" s="36">
        <v>77.3</v>
      </c>
      <c r="K968" s="36">
        <v>95.5</v>
      </c>
      <c r="L968" s="36">
        <f t="shared" si="8"/>
        <v>0</v>
      </c>
      <c r="M968" s="36" t="str">
        <f t="shared" si="3"/>
        <v>Playoffs</v>
      </c>
      <c r="N968" s="36" t="str">
        <f>IFERROR(VLOOKUP(I968,Mapped_Owner,2,0),"")</f>
        <v>Pierson</v>
      </c>
      <c r="O968" s="6">
        <f>VLOOKUP(D968,'Mapped Opponent'!$G$4:$H$22,2,0)</f>
        <v>15</v>
      </c>
      <c r="P968" s="6" t="str">
        <f t="shared" si="9"/>
        <v>Yung Breezy n Lil' LeSean</v>
      </c>
      <c r="Q968" s="6" t="str">
        <f t="shared" si="4"/>
        <v>Week 15</v>
      </c>
      <c r="R968" s="6" t="str">
        <f t="shared" si="5"/>
        <v>2016Round 1</v>
      </c>
      <c r="S968" s="6">
        <f>IFERROR(__xludf.DUMMYFUNCTION("rank(J968,FILTER(J:J,R:R=R968))"),5.0)</f>
        <v>5</v>
      </c>
      <c r="T968" s="6">
        <f t="shared" si="6"/>
        <v>7</v>
      </c>
      <c r="U968" s="6">
        <f t="shared" si="7"/>
        <v>5</v>
      </c>
      <c r="V968" s="42">
        <f>averageif(AllData!A:A,B968,AllData!R:R)/vlookup(B968,AllData!A:O,15,0)</f>
        <v>94.18910256</v>
      </c>
      <c r="W968" s="6"/>
    </row>
    <row r="969" ht="14.25" customHeight="1">
      <c r="A969" s="6" t="str">
        <f t="shared" si="1"/>
        <v>2016Pierson15</v>
      </c>
      <c r="B969" s="6">
        <v>2016.0</v>
      </c>
      <c r="C969" s="6" t="s">
        <v>92</v>
      </c>
      <c r="D969" s="6" t="s">
        <v>112</v>
      </c>
      <c r="E969" s="34"/>
      <c r="F969" s="6" t="s">
        <v>2659</v>
      </c>
      <c r="H969" s="6" t="s">
        <v>2660</v>
      </c>
      <c r="I969" s="35" t="s">
        <v>50</v>
      </c>
      <c r="J969" s="36">
        <v>95.5</v>
      </c>
      <c r="K969" s="36">
        <v>77.3</v>
      </c>
      <c r="L969" s="36">
        <f t="shared" si="8"/>
        <v>1</v>
      </c>
      <c r="M969" s="36" t="str">
        <f t="shared" si="3"/>
        <v>Playoffs</v>
      </c>
      <c r="N969" s="36" t="str">
        <f>IFERROR(VLOOKUP(I969,Mapped_Owner,2,0),"")</f>
        <v>Buser</v>
      </c>
      <c r="O969" s="6">
        <f>VLOOKUP(D969,'Mapped Opponent'!$G$4:$H$22,2,0)</f>
        <v>15</v>
      </c>
      <c r="P969" s="6" t="str">
        <f t="shared" si="9"/>
        <v>Julio, Get The Catch!</v>
      </c>
      <c r="Q969" s="6" t="str">
        <f t="shared" si="4"/>
        <v>Week 15</v>
      </c>
      <c r="R969" s="6" t="str">
        <f t="shared" si="5"/>
        <v>2016Round 1</v>
      </c>
      <c r="S969" s="6">
        <f>IFERROR(__xludf.DUMMYFUNCTION("rank(J969,FILTER(J:J,R:R=R969))"),3.0)</f>
        <v>3</v>
      </c>
      <c r="T969" s="6">
        <f t="shared" si="6"/>
        <v>9</v>
      </c>
      <c r="U969" s="6">
        <f t="shared" si="7"/>
        <v>3</v>
      </c>
      <c r="V969" s="42">
        <f>averageif(AllData!A:A,B969,AllData!R:R)/vlookup(B969,AllData!A:O,15,0)</f>
        <v>94.18910256</v>
      </c>
      <c r="W969" s="6"/>
    </row>
    <row r="970" ht="14.25" customHeight="1">
      <c r="A970" s="6" t="str">
        <f t="shared" si="1"/>
        <v>2016Cock15</v>
      </c>
      <c r="B970" s="6">
        <v>2016.0</v>
      </c>
      <c r="C970" s="6" t="s">
        <v>72</v>
      </c>
      <c r="D970" s="6" t="s">
        <v>112</v>
      </c>
      <c r="E970" s="34"/>
      <c r="F970" s="6" t="s">
        <v>2661</v>
      </c>
      <c r="G970" s="6" t="s">
        <v>2449</v>
      </c>
      <c r="H970" s="6" t="s">
        <v>2662</v>
      </c>
      <c r="I970" s="35" t="s">
        <v>64</v>
      </c>
      <c r="J970" s="36">
        <v>77.2</v>
      </c>
      <c r="K970" s="36">
        <v>99.3</v>
      </c>
      <c r="L970" s="36">
        <f t="shared" si="8"/>
        <v>0</v>
      </c>
      <c r="M970" s="36" t="str">
        <f t="shared" si="3"/>
        <v>Playoffs</v>
      </c>
      <c r="N970" s="36" t="str">
        <f>IFERROR(VLOOKUP(I970,Mapped_Owner,2,0),"")</f>
        <v>Hudspeath</v>
      </c>
      <c r="O970" s="6">
        <f>VLOOKUP(D970,'Mapped Opponent'!$G$4:$H$22,2,0)</f>
        <v>15</v>
      </c>
      <c r="P970" s="6" t="str">
        <f t="shared" si="9"/>
        <v>Cutler's Year</v>
      </c>
      <c r="Q970" s="6" t="str">
        <f t="shared" si="4"/>
        <v>Week 15</v>
      </c>
      <c r="R970" s="6" t="str">
        <f t="shared" si="5"/>
        <v>2016Round 1</v>
      </c>
      <c r="S970" s="6">
        <f>IFERROR(__xludf.DUMMYFUNCTION("rank(J970,FILTER(J:J,R:R=R970))"),6.0)</f>
        <v>6</v>
      </c>
      <c r="T970" s="6">
        <f t="shared" si="6"/>
        <v>6</v>
      </c>
      <c r="U970" s="6">
        <f t="shared" si="7"/>
        <v>6</v>
      </c>
      <c r="V970" s="42">
        <f>averageif(AllData!A:A,B970,AllData!R:R)/vlookup(B970,AllData!A:O,15,0)</f>
        <v>94.18910256</v>
      </c>
      <c r="W970" s="6"/>
    </row>
    <row r="971" ht="14.25" customHeight="1">
      <c r="A971" s="6" t="str">
        <f t="shared" si="1"/>
        <v>2016Tayski15</v>
      </c>
      <c r="B971" s="6">
        <v>2016.0</v>
      </c>
      <c r="C971" s="6" t="s">
        <v>52</v>
      </c>
      <c r="D971" s="6" t="s">
        <v>112</v>
      </c>
      <c r="E971" s="34"/>
      <c r="F971" s="6" t="s">
        <v>2663</v>
      </c>
      <c r="G971" s="6" t="s">
        <v>2449</v>
      </c>
      <c r="H971" s="6" t="s">
        <v>2664</v>
      </c>
      <c r="I971" s="35" t="s">
        <v>58</v>
      </c>
      <c r="J971" s="36">
        <v>57.9</v>
      </c>
      <c r="K971" s="36">
        <v>67.9</v>
      </c>
      <c r="L971" s="36">
        <f t="shared" si="8"/>
        <v>0</v>
      </c>
      <c r="M971" s="36" t="str">
        <f t="shared" si="3"/>
        <v>Playoffs</v>
      </c>
      <c r="N971" s="36" t="str">
        <f>IFERROR(VLOOKUP(I971,Mapped_Owner,2,0),"")</f>
        <v>Rooney/Jackson</v>
      </c>
      <c r="O971" s="6">
        <f>VLOOKUP(D971,'Mapped Opponent'!$G$4:$H$22,2,0)</f>
        <v>15</v>
      </c>
      <c r="P971" s="6" t="str">
        <f t="shared" si="9"/>
        <v>Rob "Ryan Chip" Kelley</v>
      </c>
      <c r="Q971" s="6" t="str">
        <f t="shared" si="4"/>
        <v>Week 15</v>
      </c>
      <c r="R971" s="6" t="str">
        <f t="shared" si="5"/>
        <v>2016Round 1</v>
      </c>
      <c r="S971" s="6">
        <f>IFERROR(__xludf.DUMMYFUNCTION("rank(J971,FILTER(J:J,R:R=R971))"),9.0)</f>
        <v>9</v>
      </c>
      <c r="T971" s="6">
        <f t="shared" si="6"/>
        <v>3</v>
      </c>
      <c r="U971" s="6">
        <f t="shared" si="7"/>
        <v>9</v>
      </c>
      <c r="V971" s="42">
        <f>averageif(AllData!A:A,B971,AllData!R:R)/vlookup(B971,AllData!A:O,15,0)</f>
        <v>94.18910256</v>
      </c>
      <c r="W971" s="6"/>
    </row>
    <row r="972" ht="14.25" customHeight="1">
      <c r="A972" s="6" t="str">
        <f t="shared" si="1"/>
        <v>2016KnardDawg15</v>
      </c>
      <c r="B972" s="6">
        <v>2016.0</v>
      </c>
      <c r="C972" s="6" t="s">
        <v>86</v>
      </c>
      <c r="D972" s="6" t="s">
        <v>112</v>
      </c>
      <c r="E972" s="34"/>
      <c r="F972" s="6" t="s">
        <v>2665</v>
      </c>
      <c r="G972" s="6" t="s">
        <v>2449</v>
      </c>
      <c r="H972" s="6" t="s">
        <v>2666</v>
      </c>
      <c r="I972" s="35" t="s">
        <v>68</v>
      </c>
      <c r="J972" s="36">
        <v>109.7</v>
      </c>
      <c r="K972" s="36">
        <v>72.4</v>
      </c>
      <c r="L972" s="36">
        <f t="shared" si="8"/>
        <v>1</v>
      </c>
      <c r="M972" s="36" t="str">
        <f t="shared" si="3"/>
        <v>Playoffs</v>
      </c>
      <c r="N972" s="36" t="str">
        <f>IFERROR(VLOOKUP(I972,Mapped_Owner,2,0),"")</f>
        <v>Riley</v>
      </c>
      <c r="O972" s="6">
        <f>VLOOKUP(D972,'Mapped Opponent'!$G$4:$H$22,2,0)</f>
        <v>15</v>
      </c>
      <c r="P972" s="6" t="str">
        <f t="shared" si="9"/>
        <v>Wain Newton</v>
      </c>
      <c r="Q972" s="6" t="str">
        <f t="shared" si="4"/>
        <v>Week 15</v>
      </c>
      <c r="R972" s="6" t="str">
        <f t="shared" si="5"/>
        <v>2016Round 1</v>
      </c>
      <c r="S972" s="6">
        <f>IFERROR(__xludf.DUMMYFUNCTION("rank(J972,FILTER(J:J,R:R=R972))"),1.0)</f>
        <v>1</v>
      </c>
      <c r="T972" s="6">
        <f t="shared" si="6"/>
        <v>11</v>
      </c>
      <c r="U972" s="6">
        <f t="shared" si="7"/>
        <v>1</v>
      </c>
      <c r="V972" s="42">
        <f>averageif(AllData!A:A,B972,AllData!R:R)/vlookup(B972,AllData!A:O,15,0)</f>
        <v>94.18910256</v>
      </c>
      <c r="W972" s="6"/>
    </row>
    <row r="973" ht="14.25" customHeight="1">
      <c r="A973" s="6" t="str">
        <f t="shared" si="1"/>
        <v>2016T-How15</v>
      </c>
      <c r="B973" s="6">
        <v>2016.0</v>
      </c>
      <c r="C973" s="6" t="s">
        <v>82</v>
      </c>
      <c r="D973" s="6" t="s">
        <v>112</v>
      </c>
      <c r="E973" s="34"/>
      <c r="F973" s="6" t="s">
        <v>2667</v>
      </c>
      <c r="H973" s="6" t="s">
        <v>155</v>
      </c>
      <c r="I973" s="35"/>
      <c r="J973" s="36"/>
      <c r="K973" s="36"/>
      <c r="L973" s="36">
        <f t="shared" si="8"/>
        <v>0</v>
      </c>
      <c r="M973" s="36" t="str">
        <f t="shared" si="3"/>
        <v>Playoffs</v>
      </c>
      <c r="N973" s="36" t="str">
        <f>IFERROR(VLOOKUP(I973,Mapped_Owner,2,0),"")</f>
        <v/>
      </c>
      <c r="O973" s="6">
        <f>VLOOKUP(D973,'Mapped Opponent'!$G$4:$H$22,2,0)</f>
        <v>15</v>
      </c>
      <c r="P973" s="6" t="str">
        <f t="shared" si="9"/>
        <v>#VALUE!</v>
      </c>
      <c r="Q973" s="6" t="str">
        <f t="shared" si="4"/>
        <v>Week 15</v>
      </c>
      <c r="R973" s="6" t="str">
        <f t="shared" si="5"/>
        <v>2016Round 1</v>
      </c>
      <c r="S973" s="6" t="str">
        <f>IFERROR(__xludf.DUMMYFUNCTION("rank(J973,FILTER(J:J,R:R=R973))"),"#N/A")</f>
        <v>#N/A</v>
      </c>
      <c r="T973" s="6">
        <f t="shared" si="6"/>
        <v>0</v>
      </c>
      <c r="U973" s="6">
        <f t="shared" si="7"/>
        <v>12</v>
      </c>
      <c r="V973" s="42">
        <f>averageif(AllData!A:A,B973,AllData!R:R)/vlookup(B973,AllData!A:O,15,0)</f>
        <v>94.18910256</v>
      </c>
      <c r="W973" s="6"/>
    </row>
    <row r="974" ht="14.25" customHeight="1">
      <c r="A974" s="6" t="str">
        <f t="shared" si="1"/>
        <v>2016Hudspeath16</v>
      </c>
      <c r="B974" s="6">
        <v>2016.0</v>
      </c>
      <c r="C974" s="6" t="s">
        <v>39</v>
      </c>
      <c r="D974" s="6" t="s">
        <v>153</v>
      </c>
      <c r="E974" s="34"/>
      <c r="F974" s="6" t="s">
        <v>2668</v>
      </c>
      <c r="H974" s="6" t="s">
        <v>2654</v>
      </c>
      <c r="I974" s="35" t="s">
        <v>132</v>
      </c>
      <c r="J974" s="36">
        <v>98.7</v>
      </c>
      <c r="K974" s="36">
        <v>74.9</v>
      </c>
      <c r="L974" s="36">
        <f t="shared" si="8"/>
        <v>1</v>
      </c>
      <c r="M974" s="36" t="str">
        <f t="shared" si="3"/>
        <v>Playoffs</v>
      </c>
      <c r="N974" s="36" t="str">
        <f>IFERROR(VLOOKUP(I974,Mapped_Owner,2,0),"")</f>
        <v>KnardDawg</v>
      </c>
      <c r="O974" s="6">
        <f>VLOOKUP(D974,'Mapped Opponent'!$G$4:$H$22,2,0)</f>
        <v>16</v>
      </c>
      <c r="P974" s="6"/>
      <c r="Q974" s="6" t="str">
        <f t="shared" si="4"/>
        <v>Week 16</v>
      </c>
      <c r="R974" s="6" t="str">
        <f t="shared" si="5"/>
        <v>2016Round 2</v>
      </c>
      <c r="S974" s="6">
        <f>IFERROR(__xludf.DUMMYFUNCTION("rank(J974,FILTER(J:J,R:R=R974))"),4.0)</f>
        <v>4</v>
      </c>
      <c r="T974" s="6">
        <f t="shared" si="6"/>
        <v>8</v>
      </c>
      <c r="U974" s="6">
        <f t="shared" si="7"/>
        <v>4</v>
      </c>
      <c r="V974" s="42">
        <f>averageif(AllData!A:A,B974,AllData!R:R)/vlookup(B974,AllData!A:O,15,0)</f>
        <v>94.18910256</v>
      </c>
      <c r="W974" s="6"/>
    </row>
    <row r="975" ht="14.25" customHeight="1">
      <c r="A975" s="6" t="str">
        <f t="shared" si="1"/>
        <v>2016Salty16</v>
      </c>
      <c r="B975" s="6">
        <v>2016.0</v>
      </c>
      <c r="C975" s="6" t="s">
        <v>76</v>
      </c>
      <c r="D975" s="6" t="s">
        <v>153</v>
      </c>
      <c r="E975" s="34"/>
      <c r="F975" s="6" t="s">
        <v>2669</v>
      </c>
      <c r="G975" s="6" t="s">
        <v>2449</v>
      </c>
      <c r="H975" s="6" t="s">
        <v>2450</v>
      </c>
      <c r="I975" s="35" t="s">
        <v>85</v>
      </c>
      <c r="J975" s="36">
        <v>54.6</v>
      </c>
      <c r="K975" s="36">
        <v>104.2</v>
      </c>
      <c r="L975" s="36">
        <f t="shared" si="8"/>
        <v>0</v>
      </c>
      <c r="M975" s="36" t="str">
        <f t="shared" si="3"/>
        <v>Playoffs</v>
      </c>
      <c r="N975" s="36" t="str">
        <f>IFERROR(VLOOKUP(I975,Mapped_Owner,2,0),"")</f>
        <v>T-How</v>
      </c>
      <c r="O975" s="6">
        <f>VLOOKUP(D975,'Mapped Opponent'!$G$4:$H$22,2,0)</f>
        <v>16</v>
      </c>
      <c r="P975" s="6"/>
      <c r="Q975" s="6" t="str">
        <f t="shared" si="4"/>
        <v>Week 16</v>
      </c>
      <c r="R975" s="6" t="str">
        <f t="shared" si="5"/>
        <v>2016Round 2</v>
      </c>
      <c r="S975" s="6">
        <f>IFERROR(__xludf.DUMMYFUNCTION("rank(J975,FILTER(J:J,R:R=R975))"),11.0)</f>
        <v>11</v>
      </c>
      <c r="T975" s="6">
        <f t="shared" si="6"/>
        <v>1</v>
      </c>
      <c r="U975" s="6">
        <f t="shared" si="7"/>
        <v>11</v>
      </c>
      <c r="V975" s="42">
        <f>averageif(AllData!A:A,B975,AllData!R:R)/vlookup(B975,AllData!A:O,15,0)</f>
        <v>94.18910256</v>
      </c>
      <c r="W975" s="6"/>
    </row>
    <row r="976" ht="14.25" customHeight="1">
      <c r="A976" s="6" t="str">
        <f t="shared" si="1"/>
        <v>2016Fellows16</v>
      </c>
      <c r="B976" s="6">
        <v>2016.0</v>
      </c>
      <c r="C976" s="6" t="s">
        <v>79</v>
      </c>
      <c r="D976" s="6" t="s">
        <v>153</v>
      </c>
      <c r="E976" s="34"/>
      <c r="F976" s="6" t="s">
        <v>2671</v>
      </c>
      <c r="H976" s="6" t="s">
        <v>2660</v>
      </c>
      <c r="I976" s="35" t="s">
        <v>50</v>
      </c>
      <c r="J976" s="36">
        <v>70.6</v>
      </c>
      <c r="K976" s="36">
        <v>69.8</v>
      </c>
      <c r="L976" s="36">
        <f t="shared" si="8"/>
        <v>1</v>
      </c>
      <c r="M976" s="36" t="str">
        <f t="shared" si="3"/>
        <v>Playoffs</v>
      </c>
      <c r="N976" s="36" t="str">
        <f>IFERROR(VLOOKUP(I976,Mapped_Owner,2,0),"")</f>
        <v>Buser</v>
      </c>
      <c r="O976" s="6">
        <f>VLOOKUP(D976,'Mapped Opponent'!$G$4:$H$22,2,0)</f>
        <v>16</v>
      </c>
      <c r="P976" s="6" t="str">
        <f t="shared" ref="P976:P985" si="10">LEFT(H976,FIND("(",H976)-2)</f>
        <v>Julio, Get The Catch!</v>
      </c>
      <c r="Q976" s="6" t="str">
        <f t="shared" si="4"/>
        <v>Week 16</v>
      </c>
      <c r="R976" s="6" t="str">
        <f t="shared" si="5"/>
        <v>2016Round 2</v>
      </c>
      <c r="S976" s="6">
        <f>IFERROR(__xludf.DUMMYFUNCTION("rank(J976,FILTER(J:J,R:R=R976))"),8.0)</f>
        <v>8</v>
      </c>
      <c r="T976" s="6">
        <f t="shared" si="6"/>
        <v>4</v>
      </c>
      <c r="U976" s="6">
        <f t="shared" si="7"/>
        <v>8</v>
      </c>
      <c r="V976" s="42">
        <f>averageif(AllData!A:A,B976,AllData!R:R)/vlookup(B976,AllData!A:O,15,0)</f>
        <v>94.18910256</v>
      </c>
      <c r="W976" s="6"/>
    </row>
    <row r="977" ht="14.25" customHeight="1">
      <c r="A977" s="6" t="str">
        <f t="shared" si="1"/>
        <v>2016Shep16</v>
      </c>
      <c r="B977" s="6">
        <v>2016.0</v>
      </c>
      <c r="C977" s="6" t="s">
        <v>89</v>
      </c>
      <c r="D977" s="6" t="s">
        <v>153</v>
      </c>
      <c r="E977" s="34"/>
      <c r="F977" s="6" t="s">
        <v>2673</v>
      </c>
      <c r="H977" s="6" t="s">
        <v>2658</v>
      </c>
      <c r="I977" s="35" t="s">
        <v>93</v>
      </c>
      <c r="J977" s="36">
        <v>84.1</v>
      </c>
      <c r="K977" s="36">
        <v>121.1</v>
      </c>
      <c r="L977" s="36">
        <f t="shared" si="8"/>
        <v>0</v>
      </c>
      <c r="M977" s="36" t="str">
        <f t="shared" si="3"/>
        <v>Playoffs</v>
      </c>
      <c r="N977" s="36" t="str">
        <f>IFERROR(VLOOKUP(I977,Mapped_Owner,2,0),"")</f>
        <v>Pierson</v>
      </c>
      <c r="O977" s="6">
        <f>VLOOKUP(D977,'Mapped Opponent'!$G$4:$H$22,2,0)</f>
        <v>16</v>
      </c>
      <c r="P977" s="6" t="str">
        <f t="shared" si="10"/>
        <v>Yung Breezy n Lil' LeSean</v>
      </c>
      <c r="Q977" s="6" t="str">
        <f t="shared" si="4"/>
        <v>Week 16</v>
      </c>
      <c r="R977" s="6" t="str">
        <f t="shared" si="5"/>
        <v>2016Round 2</v>
      </c>
      <c r="S977" s="6">
        <f>IFERROR(__xludf.DUMMYFUNCTION("rank(J977,FILTER(J:J,R:R=R977))"),6.0)</f>
        <v>6</v>
      </c>
      <c r="T977" s="6">
        <f t="shared" si="6"/>
        <v>6</v>
      </c>
      <c r="U977" s="6">
        <f t="shared" si="7"/>
        <v>6</v>
      </c>
      <c r="V977" s="42">
        <f>averageif(AllData!A:A,B977,AllData!R:R)/vlookup(B977,AllData!A:O,15,0)</f>
        <v>94.18910256</v>
      </c>
      <c r="W977" s="6"/>
    </row>
    <row r="978" ht="14.25" customHeight="1">
      <c r="A978" s="6" t="str">
        <f t="shared" si="1"/>
        <v>2016Riley16</v>
      </c>
      <c r="B978" s="6">
        <v>2016.0</v>
      </c>
      <c r="C978" s="6" t="s">
        <v>67</v>
      </c>
      <c r="D978" s="6" t="s">
        <v>153</v>
      </c>
      <c r="E978" s="34"/>
      <c r="F978" s="6" t="s">
        <v>2674</v>
      </c>
      <c r="H978" s="6" t="s">
        <v>2656</v>
      </c>
      <c r="I978" s="35" t="s">
        <v>54</v>
      </c>
      <c r="J978" s="36">
        <v>142.5</v>
      </c>
      <c r="K978" s="36">
        <v>37.3</v>
      </c>
      <c r="L978" s="36">
        <f t="shared" si="8"/>
        <v>1</v>
      </c>
      <c r="M978" s="36" t="str">
        <f t="shared" si="3"/>
        <v>Playoffs</v>
      </c>
      <c r="N978" s="36" t="str">
        <f>IFERROR(VLOOKUP(I978,Mapped_Owner,2,0),"")</f>
        <v>Tayski</v>
      </c>
      <c r="O978" s="6">
        <f>VLOOKUP(D978,'Mapped Opponent'!$G$4:$H$22,2,0)</f>
        <v>16</v>
      </c>
      <c r="P978" s="6" t="str">
        <f t="shared" si="10"/>
        <v>Keenan Allen Memorial Team</v>
      </c>
      <c r="Q978" s="6" t="str">
        <f t="shared" si="4"/>
        <v>Week 16</v>
      </c>
      <c r="R978" s="6" t="str">
        <f t="shared" si="5"/>
        <v>2016Round 2</v>
      </c>
      <c r="S978" s="6">
        <f>IFERROR(__xludf.DUMMYFUNCTION("rank(J978,FILTER(J:J,R:R=R978))"),1.0)</f>
        <v>1</v>
      </c>
      <c r="T978" s="6">
        <f t="shared" si="6"/>
        <v>11</v>
      </c>
      <c r="U978" s="6">
        <f t="shared" si="7"/>
        <v>1</v>
      </c>
      <c r="V978" s="42">
        <f>averageif(AllData!A:A,B978,AllData!R:R)/vlookup(B978,AllData!A:O,15,0)</f>
        <v>94.18910256</v>
      </c>
      <c r="W978" s="6"/>
    </row>
    <row r="979" ht="14.25" customHeight="1">
      <c r="A979" s="6" t="str">
        <f t="shared" si="1"/>
        <v>2016Rooney/Jackson16</v>
      </c>
      <c r="B979" s="6">
        <v>2016.0</v>
      </c>
      <c r="C979" s="6" t="s">
        <v>57</v>
      </c>
      <c r="D979" s="6" t="s">
        <v>153</v>
      </c>
      <c r="E979" s="34"/>
      <c r="F979" s="6" t="s">
        <v>2675</v>
      </c>
      <c r="G979" s="6" t="s">
        <v>2449</v>
      </c>
      <c r="H979" s="6" t="s">
        <v>2648</v>
      </c>
      <c r="I979" s="35" t="s">
        <v>146</v>
      </c>
      <c r="J979" s="36">
        <v>70.6</v>
      </c>
      <c r="K979" s="36">
        <v>92.4</v>
      </c>
      <c r="L979" s="36">
        <f t="shared" si="8"/>
        <v>0</v>
      </c>
      <c r="M979" s="36" t="str">
        <f t="shared" si="3"/>
        <v>Playoffs</v>
      </c>
      <c r="N979" s="36" t="str">
        <f>IFERROR(VLOOKUP(I979,Mapped_Owner,2,0),"")</f>
        <v>Cock</v>
      </c>
      <c r="O979" s="6">
        <f>VLOOKUP(D979,'Mapped Opponent'!$G$4:$H$22,2,0)</f>
        <v>16</v>
      </c>
      <c r="P979" s="6" t="str">
        <f t="shared" si="10"/>
        <v>J. Cash and The Cochslappers</v>
      </c>
      <c r="Q979" s="6" t="str">
        <f t="shared" si="4"/>
        <v>Week 16</v>
      </c>
      <c r="R979" s="6" t="str">
        <f t="shared" si="5"/>
        <v>2016Round 2</v>
      </c>
      <c r="S979" s="6">
        <f>IFERROR(__xludf.DUMMYFUNCTION("rank(J979,FILTER(J:J,R:R=R979))"),8.0)</f>
        <v>8</v>
      </c>
      <c r="T979" s="6">
        <f t="shared" si="6"/>
        <v>4</v>
      </c>
      <c r="U979" s="6">
        <f t="shared" si="7"/>
        <v>8</v>
      </c>
      <c r="V979" s="42">
        <f>averageif(AllData!A:A,B979,AllData!R:R)/vlookup(B979,AllData!A:O,15,0)</f>
        <v>94.18910256</v>
      </c>
      <c r="W979" s="6"/>
    </row>
    <row r="980" ht="14.25" customHeight="1">
      <c r="A980" s="6" t="str">
        <f t="shared" si="1"/>
        <v>2016Buser16</v>
      </c>
      <c r="B980" s="6">
        <v>2016.0</v>
      </c>
      <c r="C980" s="6" t="s">
        <v>47</v>
      </c>
      <c r="D980" s="6" t="s">
        <v>153</v>
      </c>
      <c r="E980" s="34"/>
      <c r="F980" s="6" t="s">
        <v>2676</v>
      </c>
      <c r="G980" s="6" t="s">
        <v>2449</v>
      </c>
      <c r="H980" s="6" t="s">
        <v>2464</v>
      </c>
      <c r="I980" s="35" t="s">
        <v>80</v>
      </c>
      <c r="J980" s="36">
        <v>69.8</v>
      </c>
      <c r="K980" s="36">
        <v>70.6</v>
      </c>
      <c r="L980" s="36">
        <f t="shared" si="8"/>
        <v>0</v>
      </c>
      <c r="M980" s="36" t="str">
        <f t="shared" si="3"/>
        <v>Playoffs</v>
      </c>
      <c r="N980" s="36" t="str">
        <f>IFERROR(VLOOKUP(I980,Mapped_Owner,2,0),"")</f>
        <v>Fellows</v>
      </c>
      <c r="O980" s="6">
        <f>VLOOKUP(D980,'Mapped Opponent'!$G$4:$H$22,2,0)</f>
        <v>16</v>
      </c>
      <c r="P980" s="6" t="str">
        <f t="shared" si="10"/>
        <v>Dak to Dak Jacks</v>
      </c>
      <c r="Q980" s="6" t="str">
        <f t="shared" si="4"/>
        <v>Week 16</v>
      </c>
      <c r="R980" s="6" t="str">
        <f t="shared" si="5"/>
        <v>2016Round 2</v>
      </c>
      <c r="S980" s="6">
        <f>IFERROR(__xludf.DUMMYFUNCTION("rank(J980,FILTER(J:J,R:R=R980))"),10.0)</f>
        <v>10</v>
      </c>
      <c r="T980" s="6">
        <f t="shared" si="6"/>
        <v>2</v>
      </c>
      <c r="U980" s="6">
        <f t="shared" si="7"/>
        <v>10</v>
      </c>
      <c r="V980" s="42">
        <f>averageif(AllData!A:A,B980,AllData!R:R)/vlookup(B980,AllData!A:O,15,0)</f>
        <v>94.18910256</v>
      </c>
      <c r="W980" s="6"/>
    </row>
    <row r="981" ht="14.25" customHeight="1">
      <c r="A981" s="6" t="str">
        <f t="shared" si="1"/>
        <v>2016Pierson16</v>
      </c>
      <c r="B981" s="6">
        <v>2016.0</v>
      </c>
      <c r="C981" s="6" t="s">
        <v>92</v>
      </c>
      <c r="D981" s="6" t="s">
        <v>153</v>
      </c>
      <c r="E981" s="34"/>
      <c r="F981" s="6" t="s">
        <v>2677</v>
      </c>
      <c r="G981" s="6" t="s">
        <v>2449</v>
      </c>
      <c r="H981" s="6" t="s">
        <v>2678</v>
      </c>
      <c r="I981" s="35" t="s">
        <v>91</v>
      </c>
      <c r="J981" s="36">
        <v>121.1</v>
      </c>
      <c r="K981" s="36">
        <v>84.1</v>
      </c>
      <c r="L981" s="36">
        <f t="shared" si="8"/>
        <v>1</v>
      </c>
      <c r="M981" s="36" t="str">
        <f t="shared" si="3"/>
        <v>Playoffs</v>
      </c>
      <c r="N981" s="36" t="str">
        <f>IFERROR(VLOOKUP(I981,Mapped_Owner,2,0),"")</f>
        <v>Shep</v>
      </c>
      <c r="O981" s="6">
        <f>VLOOKUP(D981,'Mapped Opponent'!$G$4:$H$22,2,0)</f>
        <v>16</v>
      </c>
      <c r="P981" s="6" t="str">
        <f t="shared" si="10"/>
        <v>Suburban Kings II</v>
      </c>
      <c r="Q981" s="6" t="str">
        <f t="shared" si="4"/>
        <v>Week 16</v>
      </c>
      <c r="R981" s="6" t="str">
        <f t="shared" si="5"/>
        <v>2016Round 2</v>
      </c>
      <c r="S981" s="6">
        <f>IFERROR(__xludf.DUMMYFUNCTION("rank(J981,FILTER(J:J,R:R=R981))"),2.0)</f>
        <v>2</v>
      </c>
      <c r="T981" s="6">
        <f t="shared" si="6"/>
        <v>10</v>
      </c>
      <c r="U981" s="6">
        <f t="shared" si="7"/>
        <v>2</v>
      </c>
      <c r="V981" s="42">
        <f>averageif(AllData!A:A,B981,AllData!R:R)/vlookup(B981,AllData!A:O,15,0)</f>
        <v>94.18910256</v>
      </c>
      <c r="W981" s="6"/>
    </row>
    <row r="982" ht="14.25" customHeight="1">
      <c r="A982" s="6" t="str">
        <f t="shared" si="1"/>
        <v>2016Cock16</v>
      </c>
      <c r="B982" s="6">
        <v>2016.0</v>
      </c>
      <c r="C982" s="6" t="s">
        <v>72</v>
      </c>
      <c r="D982" s="6" t="s">
        <v>153</v>
      </c>
      <c r="E982" s="34"/>
      <c r="F982" s="6" t="s">
        <v>2679</v>
      </c>
      <c r="H982" s="6" t="s">
        <v>2664</v>
      </c>
      <c r="I982" s="35" t="s">
        <v>58</v>
      </c>
      <c r="J982" s="36">
        <v>92.4</v>
      </c>
      <c r="K982" s="36">
        <v>70.6</v>
      </c>
      <c r="L982" s="36">
        <f t="shared" si="8"/>
        <v>1</v>
      </c>
      <c r="M982" s="36" t="str">
        <f t="shared" si="3"/>
        <v>Playoffs</v>
      </c>
      <c r="N982" s="36" t="str">
        <f>IFERROR(VLOOKUP(I982,Mapped_Owner,2,0),"")</f>
        <v>Rooney/Jackson</v>
      </c>
      <c r="O982" s="6">
        <f>VLOOKUP(D982,'Mapped Opponent'!$G$4:$H$22,2,0)</f>
        <v>16</v>
      </c>
      <c r="P982" s="6" t="str">
        <f t="shared" si="10"/>
        <v>Rob "Ryan Chip" Kelley</v>
      </c>
      <c r="Q982" s="6" t="str">
        <f t="shared" si="4"/>
        <v>Week 16</v>
      </c>
      <c r="R982" s="6" t="str">
        <f t="shared" si="5"/>
        <v>2016Round 2</v>
      </c>
      <c r="S982" s="6">
        <f>IFERROR(__xludf.DUMMYFUNCTION("rank(J982,FILTER(J:J,R:R=R982))"),5.0)</f>
        <v>5</v>
      </c>
      <c r="T982" s="6">
        <f t="shared" si="6"/>
        <v>7</v>
      </c>
      <c r="U982" s="6">
        <f t="shared" si="7"/>
        <v>5</v>
      </c>
      <c r="V982" s="42">
        <f>averageif(AllData!A:A,B982,AllData!R:R)/vlookup(B982,AllData!A:O,15,0)</f>
        <v>94.18910256</v>
      </c>
      <c r="W982" s="6"/>
    </row>
    <row r="983" ht="14.25" customHeight="1">
      <c r="A983" s="6" t="str">
        <f t="shared" si="1"/>
        <v>2016Tayski16</v>
      </c>
      <c r="B983" s="6">
        <v>2016.0</v>
      </c>
      <c r="C983" s="6" t="s">
        <v>52</v>
      </c>
      <c r="D983" s="6" t="s">
        <v>153</v>
      </c>
      <c r="E983" s="34"/>
      <c r="F983" s="6" t="s">
        <v>2680</v>
      </c>
      <c r="G983" s="6" t="s">
        <v>2449</v>
      </c>
      <c r="H983" s="6" t="s">
        <v>2666</v>
      </c>
      <c r="I983" s="35" t="s">
        <v>68</v>
      </c>
      <c r="J983" s="36">
        <v>37.3</v>
      </c>
      <c r="K983" s="36">
        <v>142.5</v>
      </c>
      <c r="L983" s="36">
        <f t="shared" si="8"/>
        <v>0</v>
      </c>
      <c r="M983" s="36" t="str">
        <f t="shared" si="3"/>
        <v>Playoffs</v>
      </c>
      <c r="N983" s="36" t="str">
        <f>IFERROR(VLOOKUP(I983,Mapped_Owner,2,0),"")</f>
        <v>Riley</v>
      </c>
      <c r="O983" s="6">
        <f>VLOOKUP(D983,'Mapped Opponent'!$G$4:$H$22,2,0)</f>
        <v>16</v>
      </c>
      <c r="P983" s="6" t="str">
        <f t="shared" si="10"/>
        <v>Wain Newton</v>
      </c>
      <c r="Q983" s="6" t="str">
        <f t="shared" si="4"/>
        <v>Week 16</v>
      </c>
      <c r="R983" s="6" t="str">
        <f t="shared" si="5"/>
        <v>2016Round 2</v>
      </c>
      <c r="S983" s="6">
        <f>IFERROR(__xludf.DUMMYFUNCTION("rank(J983,FILTER(J:J,R:R=R983))"),12.0)</f>
        <v>12</v>
      </c>
      <c r="T983" s="6">
        <f t="shared" si="6"/>
        <v>0</v>
      </c>
      <c r="U983" s="6">
        <f t="shared" si="7"/>
        <v>12</v>
      </c>
      <c r="V983" s="42">
        <f>averageif(AllData!A:A,B983,AllData!R:R)/vlookup(B983,AllData!A:O,15,0)</f>
        <v>94.18910256</v>
      </c>
      <c r="W983" s="6"/>
    </row>
    <row r="984" ht="14.25" customHeight="1">
      <c r="A984" s="6" t="str">
        <f t="shared" si="1"/>
        <v>2016KnardDawg16</v>
      </c>
      <c r="B984" s="6">
        <v>2016.0</v>
      </c>
      <c r="C984" s="6" t="s">
        <v>86</v>
      </c>
      <c r="D984" s="6" t="s">
        <v>153</v>
      </c>
      <c r="E984" s="34"/>
      <c r="F984" s="6" t="s">
        <v>2681</v>
      </c>
      <c r="G984" s="6" t="s">
        <v>2449</v>
      </c>
      <c r="H984" s="6" t="s">
        <v>2662</v>
      </c>
      <c r="I984" s="35" t="s">
        <v>64</v>
      </c>
      <c r="J984" s="36">
        <v>74.9</v>
      </c>
      <c r="K984" s="36">
        <v>98.7</v>
      </c>
      <c r="L984" s="36">
        <f t="shared" si="8"/>
        <v>0</v>
      </c>
      <c r="M984" s="36" t="str">
        <f t="shared" si="3"/>
        <v>Playoffs</v>
      </c>
      <c r="N984" s="36" t="str">
        <f>IFERROR(VLOOKUP(I984,Mapped_Owner,2,0),"")</f>
        <v>Hudspeath</v>
      </c>
      <c r="O984" s="6">
        <f>VLOOKUP(D984,'Mapped Opponent'!$G$4:$H$22,2,0)</f>
        <v>16</v>
      </c>
      <c r="P984" s="6" t="str">
        <f t="shared" si="10"/>
        <v>Cutler's Year</v>
      </c>
      <c r="Q984" s="6" t="str">
        <f t="shared" si="4"/>
        <v>Week 16</v>
      </c>
      <c r="R984" s="6" t="str">
        <f t="shared" si="5"/>
        <v>2016Round 2</v>
      </c>
      <c r="S984" s="6">
        <f>IFERROR(__xludf.DUMMYFUNCTION("rank(J984,FILTER(J:J,R:R=R984))"),7.0)</f>
        <v>7</v>
      </c>
      <c r="T984" s="6">
        <f t="shared" si="6"/>
        <v>5</v>
      </c>
      <c r="U984" s="6">
        <f t="shared" si="7"/>
        <v>7</v>
      </c>
      <c r="V984" s="42">
        <f>averageif(AllData!A:A,B984,AllData!R:R)/vlookup(B984,AllData!A:O,15,0)</f>
        <v>94.18910256</v>
      </c>
      <c r="W984" s="6"/>
    </row>
    <row r="985" ht="14.25" customHeight="1">
      <c r="A985" s="6" t="str">
        <f t="shared" si="1"/>
        <v>2016T-How16</v>
      </c>
      <c r="B985" s="6">
        <v>2016.0</v>
      </c>
      <c r="C985" s="6" t="s">
        <v>82</v>
      </c>
      <c r="D985" s="6" t="s">
        <v>153</v>
      </c>
      <c r="E985" s="34"/>
      <c r="F985" s="6" t="s">
        <v>2682</v>
      </c>
      <c r="H985" s="6" t="s">
        <v>2651</v>
      </c>
      <c r="I985" s="35" t="s">
        <v>77</v>
      </c>
      <c r="J985" s="36">
        <v>104.2</v>
      </c>
      <c r="K985" s="36">
        <v>54.6</v>
      </c>
      <c r="L985" s="36">
        <f t="shared" si="8"/>
        <v>1</v>
      </c>
      <c r="M985" s="36" t="str">
        <f t="shared" si="3"/>
        <v>Playoffs</v>
      </c>
      <c r="N985" s="36" t="str">
        <f>IFERROR(VLOOKUP(I985,Mapped_Owner,2,0),"")</f>
        <v>Salty</v>
      </c>
      <c r="O985" s="6">
        <f>VLOOKUP(D985,'Mapped Opponent'!$G$4:$H$22,2,0)</f>
        <v>16</v>
      </c>
      <c r="P985" s="6" t="str">
        <f t="shared" si="10"/>
        <v>Last Manning Standing</v>
      </c>
      <c r="Q985" s="6" t="str">
        <f t="shared" si="4"/>
        <v>Week 16</v>
      </c>
      <c r="R985" s="6" t="str">
        <f t="shared" si="5"/>
        <v>2016Round 2</v>
      </c>
      <c r="S985" s="6">
        <f>IFERROR(__xludf.DUMMYFUNCTION("rank(J985,FILTER(J:J,R:R=R985))"),3.0)</f>
        <v>3</v>
      </c>
      <c r="T985" s="6">
        <f t="shared" si="6"/>
        <v>9</v>
      </c>
      <c r="U985" s="6">
        <f t="shared" si="7"/>
        <v>3</v>
      </c>
      <c r="V985" s="42">
        <f>averageif(AllData!A:A,B985,AllData!R:R)/vlookup(B985,AllData!A:O,15,0)</f>
        <v>94.18910256</v>
      </c>
      <c r="W985" s="6"/>
    </row>
    <row r="986" ht="14.25" customHeight="1">
      <c r="A986" s="6" t="str">
        <f t="shared" si="1"/>
        <v>2016Hudspeath17</v>
      </c>
      <c r="B986" s="6">
        <v>2016.0</v>
      </c>
      <c r="C986" s="6" t="s">
        <v>39</v>
      </c>
      <c r="D986" s="6" t="s">
        <v>154</v>
      </c>
      <c r="E986" s="34"/>
      <c r="F986" s="6" t="s">
        <v>2683</v>
      </c>
      <c r="H986" s="6" t="s">
        <v>2648</v>
      </c>
      <c r="I986" s="35" t="s">
        <v>146</v>
      </c>
      <c r="J986" s="36"/>
      <c r="K986" s="36"/>
      <c r="L986" s="36">
        <f t="shared" si="8"/>
        <v>0</v>
      </c>
      <c r="M986" s="36" t="str">
        <f t="shared" si="3"/>
        <v>Playoffs</v>
      </c>
      <c r="N986" s="36" t="str">
        <f>IFERROR(VLOOKUP(I986,Mapped_Owner,2,0),"")</f>
        <v>Cock</v>
      </c>
      <c r="O986" s="6">
        <f>VLOOKUP(D986,'Mapped Opponent'!$G$4:$H$22,2,0)</f>
        <v>17</v>
      </c>
      <c r="P986" s="6"/>
      <c r="Q986" s="6" t="str">
        <f t="shared" si="4"/>
        <v>Week 17</v>
      </c>
      <c r="R986" s="6" t="str">
        <f t="shared" si="5"/>
        <v>2016Round 3</v>
      </c>
      <c r="S986" s="6" t="str">
        <f>IFERROR(__xludf.DUMMYFUNCTION("rank(J986,FILTER(J:J,R:R=R986))"),"#N/A")</f>
        <v>#N/A</v>
      </c>
      <c r="T986" s="6">
        <f t="shared" si="6"/>
        <v>0</v>
      </c>
      <c r="U986" s="6">
        <f t="shared" si="7"/>
        <v>12</v>
      </c>
      <c r="V986" s="42">
        <f>averageif(AllData!A:A,B986,AllData!R:R)/vlookup(B986,AllData!A:O,15,0)</f>
        <v>94.18910256</v>
      </c>
      <c r="W986" s="6"/>
    </row>
    <row r="987" ht="14.25" customHeight="1">
      <c r="A987" s="6" t="str">
        <f t="shared" si="1"/>
        <v>2016Salty17</v>
      </c>
      <c r="B987" s="6">
        <v>2016.0</v>
      </c>
      <c r="C987" s="6" t="s">
        <v>76</v>
      </c>
      <c r="D987" s="6" t="s">
        <v>154</v>
      </c>
      <c r="E987" s="34"/>
      <c r="F987" s="6" t="s">
        <v>2683</v>
      </c>
      <c r="G987" s="6" t="s">
        <v>2449</v>
      </c>
      <c r="H987" s="6" t="s">
        <v>2678</v>
      </c>
      <c r="I987" s="35" t="s">
        <v>91</v>
      </c>
      <c r="J987" s="36"/>
      <c r="K987" s="36"/>
      <c r="L987" s="36">
        <f t="shared" si="8"/>
        <v>0</v>
      </c>
      <c r="M987" s="36" t="str">
        <f t="shared" si="3"/>
        <v>Playoffs</v>
      </c>
      <c r="N987" s="36" t="str">
        <f>IFERROR(VLOOKUP(I987,Mapped_Owner,2,0),"")</f>
        <v>Shep</v>
      </c>
      <c r="O987" s="6">
        <f>VLOOKUP(D987,'Mapped Opponent'!$G$4:$H$22,2,0)</f>
        <v>17</v>
      </c>
      <c r="P987" s="6"/>
      <c r="Q987" s="6" t="str">
        <f t="shared" si="4"/>
        <v>Week 17</v>
      </c>
      <c r="R987" s="6" t="str">
        <f t="shared" si="5"/>
        <v>2016Round 3</v>
      </c>
      <c r="S987" s="6" t="str">
        <f>IFERROR(__xludf.DUMMYFUNCTION("rank(J987,FILTER(J:J,R:R=R987))"),"#N/A")</f>
        <v>#N/A</v>
      </c>
      <c r="T987" s="6">
        <f t="shared" si="6"/>
        <v>0</v>
      </c>
      <c r="U987" s="6">
        <f t="shared" si="7"/>
        <v>12</v>
      </c>
      <c r="V987" s="42">
        <f>averageif(AllData!A:A,B987,AllData!R:R)/vlookup(B987,AllData!A:O,15,0)</f>
        <v>94.18910256</v>
      </c>
      <c r="W987" s="6"/>
    </row>
    <row r="988" ht="14.25" customHeight="1">
      <c r="A988" s="6" t="str">
        <f t="shared" si="1"/>
        <v>2016Fellows17</v>
      </c>
      <c r="B988" s="6">
        <v>2016.0</v>
      </c>
      <c r="C988" s="6" t="s">
        <v>79</v>
      </c>
      <c r="D988" s="6" t="s">
        <v>154</v>
      </c>
      <c r="E988" s="34"/>
      <c r="F988" s="6" t="s">
        <v>2683</v>
      </c>
      <c r="H988" s="6" t="s">
        <v>2660</v>
      </c>
      <c r="I988" s="35" t="s">
        <v>50</v>
      </c>
      <c r="J988" s="36"/>
      <c r="K988" s="36"/>
      <c r="L988" s="36">
        <f t="shared" si="8"/>
        <v>0</v>
      </c>
      <c r="M988" s="36" t="str">
        <f t="shared" si="3"/>
        <v>Playoffs</v>
      </c>
      <c r="N988" s="36" t="str">
        <f>IFERROR(VLOOKUP(I988,Mapped_Owner,2,0),"")</f>
        <v>Buser</v>
      </c>
      <c r="O988" s="6">
        <f>VLOOKUP(D988,'Mapped Opponent'!$G$4:$H$22,2,0)</f>
        <v>17</v>
      </c>
      <c r="P988" s="6" t="str">
        <f t="shared" ref="P988:P997" si="11">LEFT(H988,FIND("(",H988)-2)</f>
        <v>Julio, Get The Catch!</v>
      </c>
      <c r="Q988" s="6" t="str">
        <f t="shared" si="4"/>
        <v>Week 17</v>
      </c>
      <c r="R988" s="6" t="str">
        <f t="shared" si="5"/>
        <v>2016Round 3</v>
      </c>
      <c r="S988" s="6" t="str">
        <f>IFERROR(__xludf.DUMMYFUNCTION("rank(J988,FILTER(J:J,R:R=R988))"),"#N/A")</f>
        <v>#N/A</v>
      </c>
      <c r="T988" s="6">
        <f t="shared" si="6"/>
        <v>0</v>
      </c>
      <c r="U988" s="6">
        <f t="shared" si="7"/>
        <v>12</v>
      </c>
      <c r="V988" s="42">
        <f>averageif(AllData!A:A,B988,AllData!R:R)/vlookup(B988,AllData!A:O,15,0)</f>
        <v>94.18910256</v>
      </c>
      <c r="W988" s="6"/>
    </row>
    <row r="989" ht="14.25" customHeight="1">
      <c r="A989" s="6" t="str">
        <f t="shared" si="1"/>
        <v>2016Shep17</v>
      </c>
      <c r="B989" s="6">
        <v>2016.0</v>
      </c>
      <c r="C989" s="6" t="s">
        <v>89</v>
      </c>
      <c r="D989" s="6" t="s">
        <v>154</v>
      </c>
      <c r="E989" s="34"/>
      <c r="F989" s="6" t="s">
        <v>2683</v>
      </c>
      <c r="H989" s="6" t="s">
        <v>2651</v>
      </c>
      <c r="I989" s="35" t="s">
        <v>77</v>
      </c>
      <c r="J989" s="36"/>
      <c r="K989" s="36"/>
      <c r="L989" s="36">
        <f t="shared" si="8"/>
        <v>0</v>
      </c>
      <c r="M989" s="36" t="str">
        <f t="shared" si="3"/>
        <v>Playoffs</v>
      </c>
      <c r="N989" s="36" t="str">
        <f>IFERROR(VLOOKUP(I989,Mapped_Owner,2,0),"")</f>
        <v>Salty</v>
      </c>
      <c r="O989" s="6">
        <f>VLOOKUP(D989,'Mapped Opponent'!$G$4:$H$22,2,0)</f>
        <v>17</v>
      </c>
      <c r="P989" s="6" t="str">
        <f t="shared" si="11"/>
        <v>Last Manning Standing</v>
      </c>
      <c r="Q989" s="6" t="str">
        <f t="shared" si="4"/>
        <v>Week 17</v>
      </c>
      <c r="R989" s="6" t="str">
        <f t="shared" si="5"/>
        <v>2016Round 3</v>
      </c>
      <c r="S989" s="6" t="str">
        <f>IFERROR(__xludf.DUMMYFUNCTION("rank(J989,FILTER(J:J,R:R=R989))"),"#N/A")</f>
        <v>#N/A</v>
      </c>
      <c r="T989" s="6">
        <f t="shared" si="6"/>
        <v>0</v>
      </c>
      <c r="U989" s="6">
        <f t="shared" si="7"/>
        <v>12</v>
      </c>
      <c r="V989" s="42">
        <f>averageif(AllData!A:A,B989,AllData!R:R)/vlookup(B989,AllData!A:O,15,0)</f>
        <v>94.18910256</v>
      </c>
      <c r="W989" s="6"/>
    </row>
    <row r="990" ht="14.25" customHeight="1">
      <c r="A990" s="6" t="str">
        <f t="shared" si="1"/>
        <v>2016Riley17</v>
      </c>
      <c r="B990" s="6">
        <v>2016.0</v>
      </c>
      <c r="C990" s="6" t="s">
        <v>67</v>
      </c>
      <c r="D990" s="6" t="s">
        <v>154</v>
      </c>
      <c r="E990" s="34"/>
      <c r="F990" s="6" t="s">
        <v>2683</v>
      </c>
      <c r="H990" s="6" t="s">
        <v>2654</v>
      </c>
      <c r="I990" s="35" t="s">
        <v>132</v>
      </c>
      <c r="J990" s="36"/>
      <c r="K990" s="36"/>
      <c r="L990" s="36">
        <f t="shared" si="8"/>
        <v>0</v>
      </c>
      <c r="M990" s="36" t="str">
        <f t="shared" si="3"/>
        <v>Playoffs</v>
      </c>
      <c r="N990" s="36" t="str">
        <f>IFERROR(VLOOKUP(I990,Mapped_Owner,2,0),"")</f>
        <v>KnardDawg</v>
      </c>
      <c r="O990" s="6">
        <f>VLOOKUP(D990,'Mapped Opponent'!$G$4:$H$22,2,0)</f>
        <v>17</v>
      </c>
      <c r="P990" s="6" t="str">
        <f t="shared" si="11"/>
        <v>Bring tha Juice</v>
      </c>
      <c r="Q990" s="6" t="str">
        <f t="shared" si="4"/>
        <v>Week 17</v>
      </c>
      <c r="R990" s="6" t="str">
        <f t="shared" si="5"/>
        <v>2016Round 3</v>
      </c>
      <c r="S990" s="6" t="str">
        <f>IFERROR(__xludf.DUMMYFUNCTION("rank(J990,FILTER(J:J,R:R=R990))"),"#N/A")</f>
        <v>#N/A</v>
      </c>
      <c r="T990" s="6">
        <f t="shared" si="6"/>
        <v>0</v>
      </c>
      <c r="U990" s="6">
        <f t="shared" si="7"/>
        <v>12</v>
      </c>
      <c r="V990" s="42">
        <f>averageif(AllData!A:A,B990,AllData!R:R)/vlookup(B990,AllData!A:O,15,0)</f>
        <v>94.18910256</v>
      </c>
      <c r="W990" s="6"/>
    </row>
    <row r="991" ht="14.25" customHeight="1">
      <c r="A991" s="6" t="str">
        <f t="shared" si="1"/>
        <v>2016Rooney/Jackson17</v>
      </c>
      <c r="B991" s="6">
        <v>2016.0</v>
      </c>
      <c r="C991" s="6" t="s">
        <v>57</v>
      </c>
      <c r="D991" s="6" t="s">
        <v>154</v>
      </c>
      <c r="E991" s="34"/>
      <c r="F991" s="6" t="s">
        <v>2683</v>
      </c>
      <c r="H991" s="6" t="s">
        <v>2656</v>
      </c>
      <c r="I991" s="35" t="s">
        <v>54</v>
      </c>
      <c r="J991" s="36"/>
      <c r="K991" s="36"/>
      <c r="L991" s="36">
        <f t="shared" si="8"/>
        <v>0</v>
      </c>
      <c r="M991" s="36" t="str">
        <f t="shared" si="3"/>
        <v>Playoffs</v>
      </c>
      <c r="N991" s="36" t="str">
        <f>IFERROR(VLOOKUP(I991,Mapped_Owner,2,0),"")</f>
        <v>Tayski</v>
      </c>
      <c r="O991" s="6">
        <f>VLOOKUP(D991,'Mapped Opponent'!$G$4:$H$22,2,0)</f>
        <v>17</v>
      </c>
      <c r="P991" s="6" t="str">
        <f t="shared" si="11"/>
        <v>Keenan Allen Memorial Team</v>
      </c>
      <c r="Q991" s="6" t="str">
        <f t="shared" si="4"/>
        <v>Week 17</v>
      </c>
      <c r="R991" s="6" t="str">
        <f t="shared" si="5"/>
        <v>2016Round 3</v>
      </c>
      <c r="S991" s="6" t="str">
        <f>IFERROR(__xludf.DUMMYFUNCTION("rank(J991,FILTER(J:J,R:R=R991))"),"#N/A")</f>
        <v>#N/A</v>
      </c>
      <c r="T991" s="6">
        <f t="shared" si="6"/>
        <v>0</v>
      </c>
      <c r="U991" s="6">
        <f t="shared" si="7"/>
        <v>12</v>
      </c>
      <c r="V991" s="42">
        <f>averageif(AllData!A:A,B991,AllData!R:R)/vlookup(B991,AllData!A:O,15,0)</f>
        <v>94.18910256</v>
      </c>
      <c r="W991" s="6"/>
    </row>
    <row r="992" ht="14.25" customHeight="1">
      <c r="A992" s="6" t="str">
        <f t="shared" si="1"/>
        <v>2016Buser17</v>
      </c>
      <c r="B992" s="6">
        <v>2016.0</v>
      </c>
      <c r="C992" s="6" t="s">
        <v>47</v>
      </c>
      <c r="D992" s="6" t="s">
        <v>154</v>
      </c>
      <c r="E992" s="34"/>
      <c r="F992" s="6" t="s">
        <v>2683</v>
      </c>
      <c r="G992" s="6" t="s">
        <v>2449</v>
      </c>
      <c r="H992" s="6" t="s">
        <v>2464</v>
      </c>
      <c r="I992" s="35" t="s">
        <v>80</v>
      </c>
      <c r="J992" s="36"/>
      <c r="K992" s="36"/>
      <c r="L992" s="36">
        <f t="shared" si="8"/>
        <v>0</v>
      </c>
      <c r="M992" s="36" t="str">
        <f t="shared" si="3"/>
        <v>Playoffs</v>
      </c>
      <c r="N992" s="36" t="str">
        <f>IFERROR(VLOOKUP(I992,Mapped_Owner,2,0),"")</f>
        <v>Fellows</v>
      </c>
      <c r="O992" s="6">
        <f>VLOOKUP(D992,'Mapped Opponent'!$G$4:$H$22,2,0)</f>
        <v>17</v>
      </c>
      <c r="P992" s="6" t="str">
        <f t="shared" si="11"/>
        <v>Dak to Dak Jacks</v>
      </c>
      <c r="Q992" s="6" t="str">
        <f t="shared" si="4"/>
        <v>Week 17</v>
      </c>
      <c r="R992" s="6" t="str">
        <f t="shared" si="5"/>
        <v>2016Round 3</v>
      </c>
      <c r="S992" s="6" t="str">
        <f>IFERROR(__xludf.DUMMYFUNCTION("rank(J992,FILTER(J:J,R:R=R992))"),"#N/A")</f>
        <v>#N/A</v>
      </c>
      <c r="T992" s="6">
        <f t="shared" si="6"/>
        <v>0</v>
      </c>
      <c r="U992" s="6">
        <f t="shared" si="7"/>
        <v>12</v>
      </c>
      <c r="V992" s="42">
        <f>averageif(AllData!A:A,B992,AllData!R:R)/vlookup(B992,AllData!A:O,15,0)</f>
        <v>94.18910256</v>
      </c>
      <c r="W992" s="6"/>
    </row>
    <row r="993" ht="14.25" customHeight="1">
      <c r="A993" s="6" t="str">
        <f t="shared" si="1"/>
        <v>2016Pierson17</v>
      </c>
      <c r="B993" s="6">
        <v>2016.0</v>
      </c>
      <c r="C993" s="6" t="s">
        <v>92</v>
      </c>
      <c r="D993" s="6" t="s">
        <v>154</v>
      </c>
      <c r="E993" s="34"/>
      <c r="F993" s="6" t="s">
        <v>2683</v>
      </c>
      <c r="G993" s="6" t="s">
        <v>2449</v>
      </c>
      <c r="H993" s="6" t="s">
        <v>2450</v>
      </c>
      <c r="I993" s="35" t="s">
        <v>85</v>
      </c>
      <c r="J993" s="36"/>
      <c r="K993" s="36"/>
      <c r="L993" s="36">
        <f t="shared" si="8"/>
        <v>0</v>
      </c>
      <c r="M993" s="36" t="str">
        <f t="shared" si="3"/>
        <v>Playoffs</v>
      </c>
      <c r="N993" s="36" t="str">
        <f>IFERROR(VLOOKUP(I993,Mapped_Owner,2,0),"")</f>
        <v>T-How</v>
      </c>
      <c r="O993" s="6">
        <f>VLOOKUP(D993,'Mapped Opponent'!$G$4:$H$22,2,0)</f>
        <v>17</v>
      </c>
      <c r="P993" s="6" t="str">
        <f t="shared" si="11"/>
        <v>DeAndre 3000</v>
      </c>
      <c r="Q993" s="6" t="str">
        <f t="shared" si="4"/>
        <v>Week 17</v>
      </c>
      <c r="R993" s="6" t="str">
        <f t="shared" si="5"/>
        <v>2016Round 3</v>
      </c>
      <c r="S993" s="6" t="str">
        <f>IFERROR(__xludf.DUMMYFUNCTION("rank(J993,FILTER(J:J,R:R=R993))"),"#N/A")</f>
        <v>#N/A</v>
      </c>
      <c r="T993" s="6">
        <f t="shared" si="6"/>
        <v>0</v>
      </c>
      <c r="U993" s="6">
        <f t="shared" si="7"/>
        <v>12</v>
      </c>
      <c r="V993" s="42">
        <f>averageif(AllData!A:A,B993,AllData!R:R)/vlookup(B993,AllData!A:O,15,0)</f>
        <v>94.18910256</v>
      </c>
      <c r="W993" s="6"/>
    </row>
    <row r="994" ht="14.25" customHeight="1">
      <c r="A994" s="6" t="str">
        <f t="shared" si="1"/>
        <v>2016Cock17</v>
      </c>
      <c r="B994" s="6">
        <v>2016.0</v>
      </c>
      <c r="C994" s="6" t="s">
        <v>72</v>
      </c>
      <c r="D994" s="6" t="s">
        <v>154</v>
      </c>
      <c r="E994" s="34"/>
      <c r="F994" s="6" t="s">
        <v>2683</v>
      </c>
      <c r="G994" s="6" t="s">
        <v>2449</v>
      </c>
      <c r="H994" s="6" t="s">
        <v>2662</v>
      </c>
      <c r="I994" s="35" t="s">
        <v>64</v>
      </c>
      <c r="J994" s="36"/>
      <c r="K994" s="36"/>
      <c r="L994" s="36">
        <f t="shared" si="8"/>
        <v>0</v>
      </c>
      <c r="M994" s="36" t="str">
        <f t="shared" si="3"/>
        <v>Playoffs</v>
      </c>
      <c r="N994" s="36" t="str">
        <f>IFERROR(VLOOKUP(I994,Mapped_Owner,2,0),"")</f>
        <v>Hudspeath</v>
      </c>
      <c r="O994" s="6">
        <f>VLOOKUP(D994,'Mapped Opponent'!$G$4:$H$22,2,0)</f>
        <v>17</v>
      </c>
      <c r="P994" s="6" t="str">
        <f t="shared" si="11"/>
        <v>Cutler's Year</v>
      </c>
      <c r="Q994" s="6" t="str">
        <f t="shared" si="4"/>
        <v>Week 17</v>
      </c>
      <c r="R994" s="6" t="str">
        <f t="shared" si="5"/>
        <v>2016Round 3</v>
      </c>
      <c r="S994" s="6" t="str">
        <f>IFERROR(__xludf.DUMMYFUNCTION("rank(J994,FILTER(J:J,R:R=R994))"),"#N/A")</f>
        <v>#N/A</v>
      </c>
      <c r="T994" s="6">
        <f t="shared" si="6"/>
        <v>0</v>
      </c>
      <c r="U994" s="6">
        <f t="shared" si="7"/>
        <v>12</v>
      </c>
      <c r="V994" s="42">
        <f>averageif(AllData!A:A,B994,AllData!R:R)/vlookup(B994,AllData!A:O,15,0)</f>
        <v>94.18910256</v>
      </c>
      <c r="W994" s="6"/>
    </row>
    <row r="995" ht="14.25" customHeight="1">
      <c r="A995" s="6" t="str">
        <f t="shared" si="1"/>
        <v>2016Tayski17</v>
      </c>
      <c r="B995" s="6">
        <v>2016.0</v>
      </c>
      <c r="C995" s="6" t="s">
        <v>52</v>
      </c>
      <c r="D995" s="6" t="s">
        <v>154</v>
      </c>
      <c r="E995" s="34"/>
      <c r="F995" s="6" t="s">
        <v>2683</v>
      </c>
      <c r="G995" s="6" t="s">
        <v>2449</v>
      </c>
      <c r="H995" s="6" t="s">
        <v>2664</v>
      </c>
      <c r="I995" s="35" t="s">
        <v>58</v>
      </c>
      <c r="J995" s="36"/>
      <c r="K995" s="36"/>
      <c r="L995" s="36">
        <f t="shared" si="8"/>
        <v>0</v>
      </c>
      <c r="M995" s="36" t="str">
        <f t="shared" si="3"/>
        <v>Playoffs</v>
      </c>
      <c r="N995" s="36" t="str">
        <f>IFERROR(VLOOKUP(I995,Mapped_Owner,2,0),"")</f>
        <v>Rooney/Jackson</v>
      </c>
      <c r="O995" s="6">
        <f>VLOOKUP(D995,'Mapped Opponent'!$G$4:$H$22,2,0)</f>
        <v>17</v>
      </c>
      <c r="P995" s="6" t="str">
        <f t="shared" si="11"/>
        <v>Rob "Ryan Chip" Kelley</v>
      </c>
      <c r="Q995" s="6" t="str">
        <f t="shared" si="4"/>
        <v>Week 17</v>
      </c>
      <c r="R995" s="6" t="str">
        <f t="shared" si="5"/>
        <v>2016Round 3</v>
      </c>
      <c r="S995" s="6" t="str">
        <f>IFERROR(__xludf.DUMMYFUNCTION("rank(J995,FILTER(J:J,R:R=R995))"),"#N/A")</f>
        <v>#N/A</v>
      </c>
      <c r="T995" s="6">
        <f t="shared" si="6"/>
        <v>0</v>
      </c>
      <c r="U995" s="6">
        <f t="shared" si="7"/>
        <v>12</v>
      </c>
      <c r="V995" s="42">
        <f>averageif(AllData!A:A,B995,AllData!R:R)/vlookup(B995,AllData!A:O,15,0)</f>
        <v>94.18910256</v>
      </c>
      <c r="W995" s="6"/>
    </row>
    <row r="996" ht="14.25" customHeight="1">
      <c r="A996" s="6" t="str">
        <f t="shared" si="1"/>
        <v>2016KnardDawg17</v>
      </c>
      <c r="B996" s="6">
        <v>2016.0</v>
      </c>
      <c r="C996" s="6" t="s">
        <v>86</v>
      </c>
      <c r="D996" s="6" t="s">
        <v>154</v>
      </c>
      <c r="E996" s="34"/>
      <c r="F996" s="6" t="s">
        <v>2683</v>
      </c>
      <c r="G996" s="6" t="s">
        <v>2449</v>
      </c>
      <c r="H996" s="6" t="s">
        <v>2666</v>
      </c>
      <c r="I996" s="35" t="s">
        <v>68</v>
      </c>
      <c r="J996" s="36"/>
      <c r="K996" s="36"/>
      <c r="L996" s="36">
        <f t="shared" si="8"/>
        <v>0</v>
      </c>
      <c r="M996" s="36" t="str">
        <f t="shared" si="3"/>
        <v>Playoffs</v>
      </c>
      <c r="N996" s="36" t="str">
        <f>IFERROR(VLOOKUP(I996,Mapped_Owner,2,0),"")</f>
        <v>Riley</v>
      </c>
      <c r="O996" s="6">
        <f>VLOOKUP(D996,'Mapped Opponent'!$G$4:$H$22,2,0)</f>
        <v>17</v>
      </c>
      <c r="P996" s="6" t="str">
        <f t="shared" si="11"/>
        <v>Wain Newton</v>
      </c>
      <c r="Q996" s="6" t="str">
        <f t="shared" si="4"/>
        <v>Week 17</v>
      </c>
      <c r="R996" s="6" t="str">
        <f t="shared" si="5"/>
        <v>2016Round 3</v>
      </c>
      <c r="S996" s="6" t="str">
        <f>IFERROR(__xludf.DUMMYFUNCTION("rank(J996,FILTER(J:J,R:R=R996))"),"#N/A")</f>
        <v>#N/A</v>
      </c>
      <c r="T996" s="6">
        <f t="shared" si="6"/>
        <v>0</v>
      </c>
      <c r="U996" s="6">
        <f t="shared" si="7"/>
        <v>12</v>
      </c>
      <c r="V996" s="42">
        <f>averageif(AllData!A:A,B996,AllData!R:R)/vlookup(B996,AllData!A:O,15,0)</f>
        <v>94.18910256</v>
      </c>
      <c r="W996" s="6"/>
    </row>
    <row r="997" ht="14.25" customHeight="1">
      <c r="A997" s="6" t="str">
        <f t="shared" si="1"/>
        <v>2016T-How17</v>
      </c>
      <c r="B997" s="6">
        <v>2016.0</v>
      </c>
      <c r="C997" s="6" t="s">
        <v>82</v>
      </c>
      <c r="D997" s="6" t="s">
        <v>154</v>
      </c>
      <c r="E997" s="34"/>
      <c r="F997" s="6" t="s">
        <v>2683</v>
      </c>
      <c r="H997" s="6" t="s">
        <v>2658</v>
      </c>
      <c r="I997" s="35" t="s">
        <v>93</v>
      </c>
      <c r="J997" s="36"/>
      <c r="K997" s="36"/>
      <c r="L997" s="36">
        <f t="shared" si="8"/>
        <v>0</v>
      </c>
      <c r="M997" s="36" t="str">
        <f t="shared" si="3"/>
        <v>Playoffs</v>
      </c>
      <c r="N997" s="36" t="str">
        <f>IFERROR(VLOOKUP(I997,Mapped_Owner,2,0),"")</f>
        <v>Pierson</v>
      </c>
      <c r="O997" s="6">
        <f>VLOOKUP(D997,'Mapped Opponent'!$G$4:$H$22,2,0)</f>
        <v>17</v>
      </c>
      <c r="P997" s="6" t="str">
        <f t="shared" si="11"/>
        <v>Yung Breezy n Lil' LeSean</v>
      </c>
      <c r="Q997" s="6" t="str">
        <f t="shared" si="4"/>
        <v>Week 17</v>
      </c>
      <c r="R997" s="6" t="str">
        <f t="shared" si="5"/>
        <v>2016Round 3</v>
      </c>
      <c r="S997" s="6" t="str">
        <f>IFERROR(__xludf.DUMMYFUNCTION("rank(J997,FILTER(J:J,R:R=R997))"),"#N/A")</f>
        <v>#N/A</v>
      </c>
      <c r="T997" s="6">
        <f t="shared" si="6"/>
        <v>0</v>
      </c>
      <c r="U997" s="6">
        <f t="shared" si="7"/>
        <v>12</v>
      </c>
      <c r="V997" s="42">
        <f>averageif(AllData!A:A,B997,AllData!R:R)/vlookup(B997,AllData!A:O,15,0)</f>
        <v>94.18910256</v>
      </c>
      <c r="W997" s="6"/>
    </row>
    <row r="998" ht="14.25" customHeight="1">
      <c r="A998" s="6" t="str">
        <f t="shared" si="1"/>
        <v>2016Hudspeath1</v>
      </c>
      <c r="B998" s="6">
        <v>2016.0</v>
      </c>
      <c r="C998" s="6" t="s">
        <v>39</v>
      </c>
      <c r="D998" s="6" t="s">
        <v>129</v>
      </c>
      <c r="E998" s="34"/>
      <c r="F998" s="6" t="s">
        <v>2448</v>
      </c>
      <c r="G998" s="6" t="s">
        <v>2449</v>
      </c>
      <c r="H998" s="6" t="s">
        <v>2450</v>
      </c>
      <c r="I998" s="35" t="s">
        <v>85</v>
      </c>
      <c r="J998" s="36">
        <v>62.0</v>
      </c>
      <c r="K998" s="36">
        <v>108.8</v>
      </c>
      <c r="L998" s="36">
        <f t="shared" si="8"/>
        <v>0</v>
      </c>
      <c r="M998" s="36" t="str">
        <f t="shared" si="3"/>
        <v>Regular Season</v>
      </c>
      <c r="N998" s="36" t="str">
        <f>IFERROR(VLOOKUP(I998,Mapped_Owner,2,0),"")</f>
        <v>T-How</v>
      </c>
      <c r="O998" s="6">
        <f>VLOOKUP(D998,'Mapped Opponent'!$G$4:$H$22,2,0)</f>
        <v>1</v>
      </c>
      <c r="P998" s="6"/>
      <c r="Q998" s="6" t="str">
        <f t="shared" si="4"/>
        <v>Week 1</v>
      </c>
      <c r="R998" s="6" t="str">
        <f t="shared" si="5"/>
        <v>2016Week 1</v>
      </c>
      <c r="S998" s="6">
        <f>IFERROR(__xludf.DUMMYFUNCTION("rank(J998,FILTER(J:J,R:R=R998))"),12.0)</f>
        <v>12</v>
      </c>
      <c r="T998" s="6">
        <f t="shared" si="6"/>
        <v>0</v>
      </c>
      <c r="U998" s="6">
        <f t="shared" si="7"/>
        <v>12</v>
      </c>
      <c r="V998" s="42">
        <f>averageif(AllData!A:A,B998,AllData!R:R)/vlookup(B998,AllData!A:O,15,0)</f>
        <v>94.18910256</v>
      </c>
      <c r="W998" s="6"/>
    </row>
    <row r="999" ht="14.25" customHeight="1">
      <c r="A999" s="6" t="str">
        <f t="shared" si="1"/>
        <v>2016Salty1</v>
      </c>
      <c r="B999" s="6">
        <v>2016.0</v>
      </c>
      <c r="C999" s="6" t="s">
        <v>76</v>
      </c>
      <c r="D999" s="6" t="s">
        <v>129</v>
      </c>
      <c r="E999" s="34"/>
      <c r="F999" s="6" t="s">
        <v>2689</v>
      </c>
      <c r="G999" s="6" t="s">
        <v>2449</v>
      </c>
      <c r="H999" s="6" t="s">
        <v>2678</v>
      </c>
      <c r="I999" s="35" t="s">
        <v>91</v>
      </c>
      <c r="J999" s="36">
        <v>111.5</v>
      </c>
      <c r="K999" s="36">
        <v>104.7</v>
      </c>
      <c r="L999" s="36">
        <f t="shared" si="8"/>
        <v>1</v>
      </c>
      <c r="M999" s="36" t="str">
        <f t="shared" si="3"/>
        <v>Regular Season</v>
      </c>
      <c r="N999" s="36" t="str">
        <f>IFERROR(VLOOKUP(I999,Mapped_Owner,2,0),"")</f>
        <v>Shep</v>
      </c>
      <c r="O999" s="6">
        <f>VLOOKUP(D999,'Mapped Opponent'!$G$4:$H$22,2,0)</f>
        <v>1</v>
      </c>
      <c r="P999" s="6"/>
      <c r="Q999" s="6" t="str">
        <f t="shared" si="4"/>
        <v>Week 1</v>
      </c>
      <c r="R999" s="6" t="str">
        <f t="shared" si="5"/>
        <v>2016Week 1</v>
      </c>
      <c r="S999" s="6">
        <f>IFERROR(__xludf.DUMMYFUNCTION("rank(J999,FILTER(J:J,R:R=R999))"),3.0)</f>
        <v>3</v>
      </c>
      <c r="T999" s="6">
        <f t="shared" si="6"/>
        <v>9</v>
      </c>
      <c r="U999" s="6">
        <f t="shared" si="7"/>
        <v>3</v>
      </c>
      <c r="V999" s="42">
        <f>averageif(AllData!A:A,B999,AllData!R:R)/vlookup(B999,AllData!A:O,15,0)</f>
        <v>94.18910256</v>
      </c>
      <c r="W999" s="6"/>
    </row>
    <row r="1000" ht="14.25" customHeight="1">
      <c r="A1000" s="6" t="str">
        <f t="shared" si="1"/>
        <v>2016Fellows1</v>
      </c>
      <c r="B1000" s="6">
        <v>2016.0</v>
      </c>
      <c r="C1000" s="6" t="s">
        <v>79</v>
      </c>
      <c r="D1000" s="6" t="s">
        <v>129</v>
      </c>
      <c r="E1000" s="34"/>
      <c r="F1000" s="6" t="s">
        <v>2691</v>
      </c>
      <c r="G1000" s="6" t="s">
        <v>2449</v>
      </c>
      <c r="H1000" s="6" t="s">
        <v>2666</v>
      </c>
      <c r="I1000" s="35" t="s">
        <v>68</v>
      </c>
      <c r="J1000" s="36">
        <v>114.4</v>
      </c>
      <c r="K1000" s="36">
        <v>96.4</v>
      </c>
      <c r="L1000" s="36">
        <f t="shared" si="8"/>
        <v>1</v>
      </c>
      <c r="M1000" s="36" t="str">
        <f t="shared" si="3"/>
        <v>Regular Season</v>
      </c>
      <c r="N1000" s="36" t="str">
        <f>IFERROR(VLOOKUP(I1000,Mapped_Owner,2,0),"")</f>
        <v>Riley</v>
      </c>
      <c r="O1000" s="6">
        <f>VLOOKUP(D1000,'Mapped Opponent'!$G$4:$H$22,2,0)</f>
        <v>1</v>
      </c>
      <c r="P1000" s="6" t="str">
        <f t="shared" ref="P1000:P1009" si="12">LEFT(H1000,FIND("(",H1000)-2)</f>
        <v>Wain Newton</v>
      </c>
      <c r="Q1000" s="6" t="str">
        <f t="shared" si="4"/>
        <v>Week 1</v>
      </c>
      <c r="R1000" s="6" t="str">
        <f t="shared" si="5"/>
        <v>2016Week 1</v>
      </c>
      <c r="S1000" s="6">
        <f>IFERROR(__xludf.DUMMYFUNCTION("rank(J1000,FILTER(J:J,R:R=R1000))"),2.0)</f>
        <v>2</v>
      </c>
      <c r="T1000" s="6">
        <f t="shared" si="6"/>
        <v>10</v>
      </c>
      <c r="U1000" s="6">
        <f t="shared" si="7"/>
        <v>2</v>
      </c>
      <c r="V1000" s="42">
        <f>averageif(AllData!A:A,B1000,AllData!R:R)/vlookup(B1000,AllData!A:O,15,0)</f>
        <v>94.18910256</v>
      </c>
      <c r="W1000" s="6"/>
    </row>
    <row r="1001" ht="14.25" customHeight="1">
      <c r="A1001" s="6" t="str">
        <f t="shared" si="1"/>
        <v>2016Shep1</v>
      </c>
      <c r="B1001" s="6">
        <v>2016.0</v>
      </c>
      <c r="C1001" s="6" t="s">
        <v>89</v>
      </c>
      <c r="D1001" s="6" t="s">
        <v>129</v>
      </c>
      <c r="E1001" s="34"/>
      <c r="F1001" s="6" t="s">
        <v>2694</v>
      </c>
      <c r="H1001" s="6" t="s">
        <v>2651</v>
      </c>
      <c r="I1001" s="35" t="s">
        <v>77</v>
      </c>
      <c r="J1001" s="36">
        <v>104.7</v>
      </c>
      <c r="K1001" s="36">
        <v>111.5</v>
      </c>
      <c r="L1001" s="36">
        <f t="shared" si="8"/>
        <v>0</v>
      </c>
      <c r="M1001" s="36" t="str">
        <f t="shared" si="3"/>
        <v>Regular Season</v>
      </c>
      <c r="N1001" s="36" t="str">
        <f>IFERROR(VLOOKUP(I1001,Mapped_Owner,2,0),"")</f>
        <v>Salty</v>
      </c>
      <c r="O1001" s="6">
        <f>VLOOKUP(D1001,'Mapped Opponent'!$G$4:$H$22,2,0)</f>
        <v>1</v>
      </c>
      <c r="P1001" s="6" t="str">
        <f t="shared" si="12"/>
        <v>Last Manning Standing</v>
      </c>
      <c r="Q1001" s="6" t="str">
        <f t="shared" si="4"/>
        <v>Week 1</v>
      </c>
      <c r="R1001" s="6" t="str">
        <f t="shared" si="5"/>
        <v>2016Week 1</v>
      </c>
      <c r="S1001" s="6">
        <f>IFERROR(__xludf.DUMMYFUNCTION("rank(J1001,FILTER(J:J,R:R=R1001))"),7.0)</f>
        <v>7</v>
      </c>
      <c r="T1001" s="6">
        <f t="shared" si="6"/>
        <v>5</v>
      </c>
      <c r="U1001" s="6">
        <f t="shared" si="7"/>
        <v>7</v>
      </c>
      <c r="V1001" s="42">
        <f>averageif(AllData!A:A,B1001,AllData!R:R)/vlookup(B1001,AllData!A:O,15,0)</f>
        <v>94.18910256</v>
      </c>
      <c r="W1001" s="6"/>
    </row>
    <row r="1002" ht="14.25" customHeight="1">
      <c r="A1002" s="6" t="str">
        <f t="shared" si="1"/>
        <v>2016Riley1</v>
      </c>
      <c r="B1002" s="6">
        <v>2016.0</v>
      </c>
      <c r="C1002" s="6" t="s">
        <v>67</v>
      </c>
      <c r="D1002" s="6" t="s">
        <v>129</v>
      </c>
      <c r="E1002" s="34"/>
      <c r="F1002" s="6" t="s">
        <v>2697</v>
      </c>
      <c r="H1002" s="6" t="s">
        <v>2464</v>
      </c>
      <c r="I1002" s="35" t="s">
        <v>80</v>
      </c>
      <c r="J1002" s="36">
        <v>96.4</v>
      </c>
      <c r="K1002" s="36">
        <v>114.4</v>
      </c>
      <c r="L1002" s="36">
        <f t="shared" si="8"/>
        <v>0</v>
      </c>
      <c r="M1002" s="36" t="str">
        <f t="shared" si="3"/>
        <v>Regular Season</v>
      </c>
      <c r="N1002" s="36" t="str">
        <f>IFERROR(VLOOKUP(I1002,Mapped_Owner,2,0),"")</f>
        <v>Fellows</v>
      </c>
      <c r="O1002" s="6">
        <f>VLOOKUP(D1002,'Mapped Opponent'!$G$4:$H$22,2,0)</f>
        <v>1</v>
      </c>
      <c r="P1002" s="6" t="str">
        <f t="shared" si="12"/>
        <v>Dak to Dak Jacks</v>
      </c>
      <c r="Q1002" s="6" t="str">
        <f t="shared" si="4"/>
        <v>Week 1</v>
      </c>
      <c r="R1002" s="6" t="str">
        <f t="shared" si="5"/>
        <v>2016Week 1</v>
      </c>
      <c r="S1002" s="6">
        <f>IFERROR(__xludf.DUMMYFUNCTION("rank(J1002,FILTER(J:J,R:R=R1002))"),9.0)</f>
        <v>9</v>
      </c>
      <c r="T1002" s="6">
        <f t="shared" si="6"/>
        <v>3</v>
      </c>
      <c r="U1002" s="6">
        <f t="shared" si="7"/>
        <v>9</v>
      </c>
      <c r="V1002" s="42">
        <f>averageif(AllData!A:A,B1002,AllData!R:R)/vlookup(B1002,AllData!A:O,15,0)</f>
        <v>94.18910256</v>
      </c>
      <c r="W1002" s="6"/>
    </row>
    <row r="1003" ht="14.25" customHeight="1">
      <c r="A1003" s="6" t="str">
        <f t="shared" si="1"/>
        <v>2016Rooney/Jackson1</v>
      </c>
      <c r="B1003" s="6">
        <v>2016.0</v>
      </c>
      <c r="C1003" s="6" t="s">
        <v>57</v>
      </c>
      <c r="D1003" s="6" t="s">
        <v>129</v>
      </c>
      <c r="E1003" s="34"/>
      <c r="F1003" s="6" t="s">
        <v>2699</v>
      </c>
      <c r="H1003" s="6" t="s">
        <v>2656</v>
      </c>
      <c r="I1003" s="35" t="s">
        <v>54</v>
      </c>
      <c r="J1003" s="36">
        <v>109.4</v>
      </c>
      <c r="K1003" s="36">
        <v>101.8</v>
      </c>
      <c r="L1003" s="36">
        <f t="shared" si="8"/>
        <v>1</v>
      </c>
      <c r="M1003" s="36" t="str">
        <f t="shared" si="3"/>
        <v>Regular Season</v>
      </c>
      <c r="N1003" s="36" t="str">
        <f>IFERROR(VLOOKUP(I1003,Mapped_Owner,2,0),"")</f>
        <v>Tayski</v>
      </c>
      <c r="O1003" s="6">
        <f>VLOOKUP(D1003,'Mapped Opponent'!$G$4:$H$22,2,0)</f>
        <v>1</v>
      </c>
      <c r="P1003" s="6" t="str">
        <f t="shared" si="12"/>
        <v>Keenan Allen Memorial Team</v>
      </c>
      <c r="Q1003" s="6" t="str">
        <f t="shared" si="4"/>
        <v>Week 1</v>
      </c>
      <c r="R1003" s="6" t="str">
        <f t="shared" si="5"/>
        <v>2016Week 1</v>
      </c>
      <c r="S1003" s="6">
        <f>IFERROR(__xludf.DUMMYFUNCTION("rank(J1003,FILTER(J:J,R:R=R1003))"),5.0)</f>
        <v>5</v>
      </c>
      <c r="T1003" s="6">
        <f t="shared" si="6"/>
        <v>7</v>
      </c>
      <c r="U1003" s="6">
        <f t="shared" si="7"/>
        <v>5</v>
      </c>
      <c r="V1003" s="42">
        <f>averageif(AllData!A:A,B1003,AllData!R:R)/vlookup(B1003,AllData!A:O,15,0)</f>
        <v>94.18910256</v>
      </c>
      <c r="W1003" s="6"/>
    </row>
    <row r="1004" ht="14.25" customHeight="1">
      <c r="A1004" s="6" t="str">
        <f t="shared" si="1"/>
        <v>2016Buser1</v>
      </c>
      <c r="B1004" s="6">
        <v>2016.0</v>
      </c>
      <c r="C1004" s="6" t="s">
        <v>47</v>
      </c>
      <c r="D1004" s="6" t="s">
        <v>129</v>
      </c>
      <c r="E1004" s="34"/>
      <c r="F1004" s="6" t="s">
        <v>2701</v>
      </c>
      <c r="H1004" s="6" t="s">
        <v>2654</v>
      </c>
      <c r="I1004" s="35" t="s">
        <v>132</v>
      </c>
      <c r="J1004" s="36">
        <v>110.9</v>
      </c>
      <c r="K1004" s="36">
        <v>96.0</v>
      </c>
      <c r="L1004" s="36">
        <f t="shared" si="8"/>
        <v>1</v>
      </c>
      <c r="M1004" s="36" t="str">
        <f t="shared" si="3"/>
        <v>Regular Season</v>
      </c>
      <c r="N1004" s="36" t="str">
        <f>IFERROR(VLOOKUP(I1004,Mapped_Owner,2,0),"")</f>
        <v>KnardDawg</v>
      </c>
      <c r="O1004" s="6">
        <f>VLOOKUP(D1004,'Mapped Opponent'!$G$4:$H$22,2,0)</f>
        <v>1</v>
      </c>
      <c r="P1004" s="6" t="str">
        <f t="shared" si="12"/>
        <v>Bring tha Juice</v>
      </c>
      <c r="Q1004" s="6" t="str">
        <f t="shared" si="4"/>
        <v>Week 1</v>
      </c>
      <c r="R1004" s="6" t="str">
        <f t="shared" si="5"/>
        <v>2016Week 1</v>
      </c>
      <c r="S1004" s="6">
        <f>IFERROR(__xludf.DUMMYFUNCTION("rank(J1004,FILTER(J:J,R:R=R1004))"),4.0)</f>
        <v>4</v>
      </c>
      <c r="T1004" s="6">
        <f t="shared" si="6"/>
        <v>8</v>
      </c>
      <c r="U1004" s="6">
        <f t="shared" si="7"/>
        <v>4</v>
      </c>
      <c r="V1004" s="42">
        <f>averageif(AllData!A:A,B1004,AllData!R:R)/vlookup(B1004,AllData!A:O,15,0)</f>
        <v>94.18910256</v>
      </c>
      <c r="W1004" s="6"/>
    </row>
    <row r="1005" ht="14.25" customHeight="1">
      <c r="A1005" s="6" t="str">
        <f t="shared" si="1"/>
        <v>2016Pierson1</v>
      </c>
      <c r="B1005" s="6">
        <v>2016.0</v>
      </c>
      <c r="C1005" s="6" t="s">
        <v>92</v>
      </c>
      <c r="D1005" s="6" t="s">
        <v>129</v>
      </c>
      <c r="E1005" s="34"/>
      <c r="F1005" s="6" t="s">
        <v>2702</v>
      </c>
      <c r="G1005" s="6" t="s">
        <v>2449</v>
      </c>
      <c r="H1005" s="6" t="s">
        <v>2648</v>
      </c>
      <c r="I1005" s="35" t="s">
        <v>146</v>
      </c>
      <c r="J1005" s="36">
        <v>135.4</v>
      </c>
      <c r="K1005" s="36">
        <v>76.2</v>
      </c>
      <c r="L1005" s="36">
        <f t="shared" si="8"/>
        <v>1</v>
      </c>
      <c r="M1005" s="36" t="str">
        <f t="shared" si="3"/>
        <v>Regular Season</v>
      </c>
      <c r="N1005" s="36" t="str">
        <f>IFERROR(VLOOKUP(I1005,Mapped_Owner,2,0),"")</f>
        <v>Cock</v>
      </c>
      <c r="O1005" s="6">
        <f>VLOOKUP(D1005,'Mapped Opponent'!$G$4:$H$22,2,0)</f>
        <v>1</v>
      </c>
      <c r="P1005" s="6" t="str">
        <f t="shared" si="12"/>
        <v>J. Cash and The Cochslappers</v>
      </c>
      <c r="Q1005" s="6" t="str">
        <f t="shared" si="4"/>
        <v>Week 1</v>
      </c>
      <c r="R1005" s="6" t="str">
        <f t="shared" si="5"/>
        <v>2016Week 1</v>
      </c>
      <c r="S1005" s="6">
        <f>IFERROR(__xludf.DUMMYFUNCTION("rank(J1005,FILTER(J:J,R:R=R1005))"),1.0)</f>
        <v>1</v>
      </c>
      <c r="T1005" s="6">
        <f t="shared" si="6"/>
        <v>11</v>
      </c>
      <c r="U1005" s="6">
        <f t="shared" si="7"/>
        <v>1</v>
      </c>
      <c r="V1005" s="42">
        <f>averageif(AllData!A:A,B1005,AllData!R:R)/vlookup(B1005,AllData!A:O,15,0)</f>
        <v>94.18910256</v>
      </c>
      <c r="W1005" s="6"/>
    </row>
    <row r="1006" ht="14.25" customHeight="1">
      <c r="A1006" s="6" t="str">
        <f t="shared" si="1"/>
        <v>2016Cock1</v>
      </c>
      <c r="B1006" s="6">
        <v>2016.0</v>
      </c>
      <c r="C1006" s="6" t="s">
        <v>72</v>
      </c>
      <c r="D1006" s="6" t="s">
        <v>129</v>
      </c>
      <c r="E1006" s="6"/>
      <c r="F1006" s="6" t="s">
        <v>2705</v>
      </c>
      <c r="H1006" s="6" t="s">
        <v>2658</v>
      </c>
      <c r="I1006" s="35" t="s">
        <v>93</v>
      </c>
      <c r="J1006" s="36">
        <v>76.2</v>
      </c>
      <c r="K1006" s="36">
        <v>135.4</v>
      </c>
      <c r="L1006" s="36">
        <f t="shared" si="8"/>
        <v>0</v>
      </c>
      <c r="M1006" s="36" t="str">
        <f t="shared" si="3"/>
        <v>Regular Season</v>
      </c>
      <c r="N1006" s="36" t="str">
        <f>IFERROR(VLOOKUP(I1006,Mapped_Owner,2,0),"")</f>
        <v>Pierson</v>
      </c>
      <c r="O1006" s="6">
        <f>VLOOKUP(D1006,'Mapped Opponent'!$G$4:$H$22,2,0)</f>
        <v>1</v>
      </c>
      <c r="P1006" s="6" t="str">
        <f t="shared" si="12"/>
        <v>Yung Breezy n Lil' LeSean</v>
      </c>
      <c r="Q1006" s="6" t="str">
        <f t="shared" si="4"/>
        <v>Week 1</v>
      </c>
      <c r="R1006" s="6" t="str">
        <f t="shared" si="5"/>
        <v>2016Week 1</v>
      </c>
      <c r="S1006" s="6">
        <f>IFERROR(__xludf.DUMMYFUNCTION("rank(J1006,FILTER(J:J,R:R=R1006))"),11.0)</f>
        <v>11</v>
      </c>
      <c r="T1006" s="6">
        <f t="shared" si="6"/>
        <v>1</v>
      </c>
      <c r="U1006" s="6">
        <f t="shared" si="7"/>
        <v>11</v>
      </c>
      <c r="V1006" s="42">
        <f>averageif(AllData!A:A,B1006,AllData!R:R)/vlookup(B1006,AllData!A:O,15,0)</f>
        <v>94.18910256</v>
      </c>
      <c r="W1006" s="6"/>
    </row>
    <row r="1007" ht="14.25" customHeight="1">
      <c r="A1007" s="6" t="str">
        <f t="shared" si="1"/>
        <v>2016Tayski1</v>
      </c>
      <c r="B1007" s="6">
        <v>2016.0</v>
      </c>
      <c r="C1007" s="6" t="s">
        <v>52</v>
      </c>
      <c r="D1007" s="6" t="s">
        <v>129</v>
      </c>
      <c r="E1007" s="34"/>
      <c r="F1007" s="6" t="s">
        <v>2708</v>
      </c>
      <c r="G1007" s="6" t="s">
        <v>2449</v>
      </c>
      <c r="H1007" s="35" t="s">
        <v>2664</v>
      </c>
      <c r="I1007" s="35" t="s">
        <v>58</v>
      </c>
      <c r="J1007" s="36">
        <v>101.8</v>
      </c>
      <c r="K1007" s="36">
        <v>109.4</v>
      </c>
      <c r="L1007" s="36">
        <f t="shared" si="8"/>
        <v>0</v>
      </c>
      <c r="M1007" s="36" t="str">
        <f t="shared" si="3"/>
        <v>Regular Season</v>
      </c>
      <c r="N1007" s="36" t="str">
        <f>IFERROR(VLOOKUP(I1007,Mapped_Owner,2,0),"")</f>
        <v>Rooney/Jackson</v>
      </c>
      <c r="O1007" s="6">
        <f>VLOOKUP(D1007,'Mapped Opponent'!$G$4:$H$22,2,0)</f>
        <v>1</v>
      </c>
      <c r="P1007" s="6" t="str">
        <f t="shared" si="12"/>
        <v>Rob "Ryan Chip" Kelley</v>
      </c>
      <c r="Q1007" s="6" t="str">
        <f t="shared" si="4"/>
        <v>Week 1</v>
      </c>
      <c r="R1007" s="6" t="str">
        <f t="shared" si="5"/>
        <v>2016Week 1</v>
      </c>
      <c r="S1007" s="6">
        <f>IFERROR(__xludf.DUMMYFUNCTION("rank(J1007,FILTER(J:J,R:R=R1007))"),8.0)</f>
        <v>8</v>
      </c>
      <c r="T1007" s="6">
        <f t="shared" si="6"/>
        <v>4</v>
      </c>
      <c r="U1007" s="6">
        <f t="shared" si="7"/>
        <v>8</v>
      </c>
      <c r="V1007" s="42">
        <f>averageif(AllData!A:A,B1007,AllData!R:R)/vlookup(B1007,AllData!A:O,15,0)</f>
        <v>94.18910256</v>
      </c>
      <c r="W1007" s="6"/>
    </row>
    <row r="1008" ht="14.25" customHeight="1">
      <c r="A1008" s="6" t="str">
        <f t="shared" si="1"/>
        <v>2016KnardDawg1</v>
      </c>
      <c r="B1008" s="6">
        <v>2016.0</v>
      </c>
      <c r="C1008" s="6" t="s">
        <v>86</v>
      </c>
      <c r="D1008" s="6" t="s">
        <v>129</v>
      </c>
      <c r="E1008" s="34"/>
      <c r="F1008" s="6" t="s">
        <v>2711</v>
      </c>
      <c r="G1008" s="6" t="s">
        <v>2449</v>
      </c>
      <c r="H1008" s="6" t="s">
        <v>2660</v>
      </c>
      <c r="I1008" s="35" t="s">
        <v>50</v>
      </c>
      <c r="J1008" s="36">
        <v>96.0</v>
      </c>
      <c r="K1008" s="36">
        <v>110.9</v>
      </c>
      <c r="L1008" s="36">
        <f t="shared" si="8"/>
        <v>0</v>
      </c>
      <c r="M1008" s="36" t="str">
        <f t="shared" si="3"/>
        <v>Regular Season</v>
      </c>
      <c r="N1008" s="36" t="str">
        <f>IFERROR(VLOOKUP(I1008,Mapped_Owner,2,0),"")</f>
        <v>Buser</v>
      </c>
      <c r="O1008" s="6">
        <f>VLOOKUP(D1008,'Mapped Opponent'!$G$4:$H$22,2,0)</f>
        <v>1</v>
      </c>
      <c r="P1008" s="6" t="str">
        <f t="shared" si="12"/>
        <v>Julio, Get The Catch!</v>
      </c>
      <c r="Q1008" s="6" t="str">
        <f t="shared" si="4"/>
        <v>Week 1</v>
      </c>
      <c r="R1008" s="6" t="str">
        <f t="shared" si="5"/>
        <v>2016Week 1</v>
      </c>
      <c r="S1008" s="6">
        <f>IFERROR(__xludf.DUMMYFUNCTION("rank(J1008,FILTER(J:J,R:R=R1008))"),10.0)</f>
        <v>10</v>
      </c>
      <c r="T1008" s="6">
        <f t="shared" si="6"/>
        <v>2</v>
      </c>
      <c r="U1008" s="6">
        <f t="shared" si="7"/>
        <v>10</v>
      </c>
      <c r="V1008" s="42">
        <f>averageif(AllData!A:A,B1008,AllData!R:R)/vlookup(B1008,AllData!A:O,15,0)</f>
        <v>94.18910256</v>
      </c>
      <c r="W1008" s="6"/>
    </row>
    <row r="1009" ht="14.25" customHeight="1">
      <c r="A1009" s="6" t="str">
        <f t="shared" si="1"/>
        <v>2016T-How1</v>
      </c>
      <c r="B1009" s="6">
        <v>2016.0</v>
      </c>
      <c r="C1009" s="6" t="s">
        <v>82</v>
      </c>
      <c r="D1009" s="6" t="s">
        <v>129</v>
      </c>
      <c r="E1009" s="34"/>
      <c r="F1009" s="6" t="s">
        <v>2713</v>
      </c>
      <c r="H1009" s="6" t="s">
        <v>2662</v>
      </c>
      <c r="I1009" s="35" t="s">
        <v>64</v>
      </c>
      <c r="J1009" s="36">
        <v>108.8</v>
      </c>
      <c r="K1009" s="36">
        <v>62.0</v>
      </c>
      <c r="L1009" s="36">
        <f t="shared" si="8"/>
        <v>1</v>
      </c>
      <c r="M1009" s="36" t="str">
        <f t="shared" si="3"/>
        <v>Regular Season</v>
      </c>
      <c r="N1009" s="36" t="str">
        <f>IFERROR(VLOOKUP(I1009,Mapped_Owner,2,0),"")</f>
        <v>Hudspeath</v>
      </c>
      <c r="O1009" s="6">
        <f>VLOOKUP(D1009,'Mapped Opponent'!$G$4:$H$22,2,0)</f>
        <v>1</v>
      </c>
      <c r="P1009" s="6" t="str">
        <f t="shared" si="12"/>
        <v>Cutler's Year</v>
      </c>
      <c r="Q1009" s="6" t="str">
        <f t="shared" si="4"/>
        <v>Week 1</v>
      </c>
      <c r="R1009" s="6" t="str">
        <f t="shared" si="5"/>
        <v>2016Week 1</v>
      </c>
      <c r="S1009" s="6">
        <f>IFERROR(__xludf.DUMMYFUNCTION("rank(J1009,FILTER(J:J,R:R=R1009))"),6.0)</f>
        <v>6</v>
      </c>
      <c r="T1009" s="6">
        <f t="shared" si="6"/>
        <v>6</v>
      </c>
      <c r="U1009" s="6">
        <f t="shared" si="7"/>
        <v>6</v>
      </c>
      <c r="V1009" s="42">
        <f>averageif(AllData!A:A,B1009,AllData!R:R)/vlookup(B1009,AllData!A:O,15,0)</f>
        <v>94.18910256</v>
      </c>
      <c r="W1009" s="6"/>
    </row>
    <row r="1010" ht="14.25" customHeight="1">
      <c r="A1010" s="6" t="str">
        <f t="shared" si="1"/>
        <v>2016Hudspeath10</v>
      </c>
      <c r="B1010" s="6">
        <v>2016.0</v>
      </c>
      <c r="C1010" s="6" t="s">
        <v>39</v>
      </c>
      <c r="D1010" s="6" t="s">
        <v>149</v>
      </c>
      <c r="E1010" s="34"/>
      <c r="F1010" s="6" t="s">
        <v>2717</v>
      </c>
      <c r="H1010" s="6" t="s">
        <v>2648</v>
      </c>
      <c r="I1010" s="35" t="s">
        <v>146</v>
      </c>
      <c r="J1010" s="36">
        <v>91.5</v>
      </c>
      <c r="K1010" s="36">
        <v>82.1</v>
      </c>
      <c r="L1010" s="36">
        <f t="shared" si="8"/>
        <v>1</v>
      </c>
      <c r="M1010" s="36" t="str">
        <f t="shared" si="3"/>
        <v>Regular Season</v>
      </c>
      <c r="N1010" s="36" t="str">
        <f>IFERROR(VLOOKUP(I1010,Mapped_Owner,2,0),"")</f>
        <v>Cock</v>
      </c>
      <c r="O1010" s="6">
        <f>VLOOKUP(D1010,'Mapped Opponent'!$G$4:$H$22,2,0)</f>
        <v>10</v>
      </c>
      <c r="P1010" s="6"/>
      <c r="Q1010" s="6" t="str">
        <f t="shared" si="4"/>
        <v>Week 10</v>
      </c>
      <c r="R1010" s="6" t="str">
        <f t="shared" si="5"/>
        <v>2016Week 10</v>
      </c>
      <c r="S1010" s="6">
        <f>IFERROR(__xludf.DUMMYFUNCTION("rank(J1010,FILTER(J:J,R:R=R1010))"),5.0)</f>
        <v>5</v>
      </c>
      <c r="T1010" s="6">
        <f t="shared" si="6"/>
        <v>7</v>
      </c>
      <c r="U1010" s="6">
        <f t="shared" si="7"/>
        <v>5</v>
      </c>
      <c r="V1010" s="42">
        <f>averageif(AllData!A:A,B1010,AllData!R:R)/vlookup(B1010,AllData!A:O,15,0)</f>
        <v>94.18910256</v>
      </c>
      <c r="W1010" s="6"/>
    </row>
    <row r="1011" ht="14.25" customHeight="1">
      <c r="A1011" s="6" t="str">
        <f t="shared" si="1"/>
        <v>2016Salty10</v>
      </c>
      <c r="B1011" s="6">
        <v>2016.0</v>
      </c>
      <c r="C1011" s="6" t="s">
        <v>76</v>
      </c>
      <c r="D1011" s="6" t="s">
        <v>149</v>
      </c>
      <c r="E1011" s="34"/>
      <c r="F1011" s="6" t="s">
        <v>2720</v>
      </c>
      <c r="G1011" s="6" t="s">
        <v>2449</v>
      </c>
      <c r="H1011" s="6" t="s">
        <v>2654</v>
      </c>
      <c r="I1011" s="35" t="s">
        <v>132</v>
      </c>
      <c r="J1011" s="36">
        <v>86.8</v>
      </c>
      <c r="K1011" s="36">
        <v>72.6</v>
      </c>
      <c r="L1011" s="36">
        <f t="shared" si="8"/>
        <v>1</v>
      </c>
      <c r="M1011" s="36" t="str">
        <f t="shared" si="3"/>
        <v>Regular Season</v>
      </c>
      <c r="N1011" s="36" t="str">
        <f>IFERROR(VLOOKUP(I1011,Mapped_Owner,2,0),"")</f>
        <v>KnardDawg</v>
      </c>
      <c r="O1011" s="6">
        <f>VLOOKUP(D1011,'Mapped Opponent'!$G$4:$H$22,2,0)</f>
        <v>10</v>
      </c>
      <c r="P1011" s="6"/>
      <c r="Q1011" s="6" t="str">
        <f t="shared" si="4"/>
        <v>Week 10</v>
      </c>
      <c r="R1011" s="6" t="str">
        <f t="shared" si="5"/>
        <v>2016Week 10</v>
      </c>
      <c r="S1011" s="6">
        <f>IFERROR(__xludf.DUMMYFUNCTION("rank(J1011,FILTER(J:J,R:R=R1011))"),8.0)</f>
        <v>8</v>
      </c>
      <c r="T1011" s="6">
        <f t="shared" si="6"/>
        <v>4</v>
      </c>
      <c r="U1011" s="6">
        <f t="shared" si="7"/>
        <v>8</v>
      </c>
      <c r="V1011" s="42">
        <f>averageif(AllData!A:A,B1011,AllData!R:R)/vlookup(B1011,AllData!A:O,15,0)</f>
        <v>94.18910256</v>
      </c>
      <c r="W1011" s="6"/>
    </row>
    <row r="1012" ht="14.25" customHeight="1">
      <c r="A1012" s="6" t="str">
        <f t="shared" si="1"/>
        <v>2016Fellows10</v>
      </c>
      <c r="B1012" s="6">
        <v>2016.0</v>
      </c>
      <c r="C1012" s="6" t="s">
        <v>79</v>
      </c>
      <c r="D1012" s="6" t="s">
        <v>149</v>
      </c>
      <c r="E1012" s="34"/>
      <c r="F1012" s="6" t="s">
        <v>2721</v>
      </c>
      <c r="H1012" s="6" t="s">
        <v>2664</v>
      </c>
      <c r="I1012" s="35" t="s">
        <v>58</v>
      </c>
      <c r="J1012" s="36">
        <v>93.1</v>
      </c>
      <c r="K1012" s="36">
        <v>90.4</v>
      </c>
      <c r="L1012" s="36">
        <f t="shared" si="8"/>
        <v>1</v>
      </c>
      <c r="M1012" s="36" t="str">
        <f t="shared" si="3"/>
        <v>Regular Season</v>
      </c>
      <c r="N1012" s="36" t="str">
        <f>IFERROR(VLOOKUP(I1012,Mapped_Owner,2,0),"")</f>
        <v>Rooney/Jackson</v>
      </c>
      <c r="O1012" s="6">
        <f>VLOOKUP(D1012,'Mapped Opponent'!$G$4:$H$22,2,0)</f>
        <v>10</v>
      </c>
      <c r="P1012" s="6" t="str">
        <f t="shared" ref="P1012:P1021" si="13">LEFT(H1012,FIND("(",H1012)-2)</f>
        <v>Rob "Ryan Chip" Kelley</v>
      </c>
      <c r="Q1012" s="6" t="str">
        <f t="shared" si="4"/>
        <v>Week 10</v>
      </c>
      <c r="R1012" s="6" t="str">
        <f t="shared" si="5"/>
        <v>2016Week 10</v>
      </c>
      <c r="S1012" s="6">
        <f>IFERROR(__xludf.DUMMYFUNCTION("rank(J1012,FILTER(J:J,R:R=R1012))"),4.0)</f>
        <v>4</v>
      </c>
      <c r="T1012" s="6">
        <f t="shared" si="6"/>
        <v>8</v>
      </c>
      <c r="U1012" s="6">
        <f t="shared" si="7"/>
        <v>4</v>
      </c>
      <c r="V1012" s="42">
        <f>averageif(AllData!A:A,B1012,AllData!R:R)/vlookup(B1012,AllData!A:O,15,0)</f>
        <v>94.18910256</v>
      </c>
      <c r="W1012" s="6"/>
    </row>
    <row r="1013" ht="14.25" customHeight="1">
      <c r="A1013" s="6" t="str">
        <f t="shared" si="1"/>
        <v>2016Shep10</v>
      </c>
      <c r="B1013" s="6">
        <v>2016.0</v>
      </c>
      <c r="C1013" s="6" t="s">
        <v>89</v>
      </c>
      <c r="D1013" s="6" t="s">
        <v>149</v>
      </c>
      <c r="E1013" s="34"/>
      <c r="F1013" s="6" t="s">
        <v>2722</v>
      </c>
      <c r="G1013" s="6" t="s">
        <v>2449</v>
      </c>
      <c r="H1013" s="6" t="s">
        <v>2450</v>
      </c>
      <c r="I1013" s="35" t="s">
        <v>85</v>
      </c>
      <c r="J1013" s="36">
        <v>136.5</v>
      </c>
      <c r="K1013" s="36">
        <v>58.2</v>
      </c>
      <c r="L1013" s="36">
        <f t="shared" si="8"/>
        <v>1</v>
      </c>
      <c r="M1013" s="36" t="str">
        <f t="shared" si="3"/>
        <v>Regular Season</v>
      </c>
      <c r="N1013" s="36" t="str">
        <f>IFERROR(VLOOKUP(I1013,Mapped_Owner,2,0),"")</f>
        <v>T-How</v>
      </c>
      <c r="O1013" s="6">
        <f>VLOOKUP(D1013,'Mapped Opponent'!$G$4:$H$22,2,0)</f>
        <v>10</v>
      </c>
      <c r="P1013" s="6" t="str">
        <f t="shared" si="13"/>
        <v>DeAndre 3000</v>
      </c>
      <c r="Q1013" s="6" t="str">
        <f t="shared" si="4"/>
        <v>Week 10</v>
      </c>
      <c r="R1013" s="6" t="str">
        <f t="shared" si="5"/>
        <v>2016Week 10</v>
      </c>
      <c r="S1013" s="6">
        <f>IFERROR(__xludf.DUMMYFUNCTION("rank(J1013,FILTER(J:J,R:R=R1013))"),1.0)</f>
        <v>1</v>
      </c>
      <c r="T1013" s="6">
        <f t="shared" si="6"/>
        <v>11</v>
      </c>
      <c r="U1013" s="6">
        <f t="shared" si="7"/>
        <v>1</v>
      </c>
      <c r="V1013" s="42">
        <f>averageif(AllData!A:A,B1013,AllData!R:R)/vlookup(B1013,AllData!A:O,15,0)</f>
        <v>94.18910256</v>
      </c>
      <c r="W1013" s="6"/>
    </row>
    <row r="1014" ht="14.25" customHeight="1">
      <c r="A1014" s="6" t="str">
        <f t="shared" si="1"/>
        <v>2016Riley10</v>
      </c>
      <c r="B1014" s="6">
        <v>2016.0</v>
      </c>
      <c r="C1014" s="6" t="s">
        <v>67</v>
      </c>
      <c r="D1014" s="6" t="s">
        <v>149</v>
      </c>
      <c r="E1014" s="34"/>
      <c r="F1014" s="6" t="s">
        <v>2723</v>
      </c>
      <c r="H1014" s="6" t="s">
        <v>2660</v>
      </c>
      <c r="I1014" s="35" t="s">
        <v>50</v>
      </c>
      <c r="J1014" s="36">
        <v>106.6</v>
      </c>
      <c r="K1014" s="36">
        <v>117.0</v>
      </c>
      <c r="L1014" s="36">
        <f t="shared" si="8"/>
        <v>0</v>
      </c>
      <c r="M1014" s="36" t="str">
        <f t="shared" si="3"/>
        <v>Regular Season</v>
      </c>
      <c r="N1014" s="36" t="str">
        <f>IFERROR(VLOOKUP(I1014,Mapped_Owner,2,0),"")</f>
        <v>Buser</v>
      </c>
      <c r="O1014" s="6">
        <f>VLOOKUP(D1014,'Mapped Opponent'!$G$4:$H$22,2,0)</f>
        <v>10</v>
      </c>
      <c r="P1014" s="6" t="str">
        <f t="shared" si="13"/>
        <v>Julio, Get The Catch!</v>
      </c>
      <c r="Q1014" s="6" t="str">
        <f t="shared" si="4"/>
        <v>Week 10</v>
      </c>
      <c r="R1014" s="6" t="str">
        <f t="shared" si="5"/>
        <v>2016Week 10</v>
      </c>
      <c r="S1014" s="6">
        <f>IFERROR(__xludf.DUMMYFUNCTION("rank(J1014,FILTER(J:J,R:R=R1014))"),3.0)</f>
        <v>3</v>
      </c>
      <c r="T1014" s="6">
        <f t="shared" si="6"/>
        <v>9</v>
      </c>
      <c r="U1014" s="6">
        <f t="shared" si="7"/>
        <v>3</v>
      </c>
      <c r="V1014" s="42">
        <f>averageif(AllData!A:A,B1014,AllData!R:R)/vlookup(B1014,AllData!A:O,15,0)</f>
        <v>94.18910256</v>
      </c>
      <c r="W1014" s="6"/>
    </row>
    <row r="1015" ht="14.25" customHeight="1">
      <c r="A1015" s="6" t="str">
        <f t="shared" si="1"/>
        <v>2016Rooney/Jackson10</v>
      </c>
      <c r="B1015" s="6">
        <v>2016.0</v>
      </c>
      <c r="C1015" s="6" t="s">
        <v>57</v>
      </c>
      <c r="D1015" s="6" t="s">
        <v>149</v>
      </c>
      <c r="E1015" s="34"/>
      <c r="F1015" s="6" t="s">
        <v>2724</v>
      </c>
      <c r="G1015" s="6" t="s">
        <v>2449</v>
      </c>
      <c r="H1015" s="6" t="s">
        <v>2464</v>
      </c>
      <c r="I1015" s="35" t="s">
        <v>80</v>
      </c>
      <c r="J1015" s="36">
        <v>90.4</v>
      </c>
      <c r="K1015" s="36">
        <v>93.1</v>
      </c>
      <c r="L1015" s="36">
        <f t="shared" si="8"/>
        <v>0</v>
      </c>
      <c r="M1015" s="36" t="str">
        <f t="shared" si="3"/>
        <v>Regular Season</v>
      </c>
      <c r="N1015" s="36" t="str">
        <f>IFERROR(VLOOKUP(I1015,Mapped_Owner,2,0),"")</f>
        <v>Fellows</v>
      </c>
      <c r="O1015" s="6">
        <f>VLOOKUP(D1015,'Mapped Opponent'!$G$4:$H$22,2,0)</f>
        <v>10</v>
      </c>
      <c r="P1015" s="6" t="str">
        <f t="shared" si="13"/>
        <v>Dak to Dak Jacks</v>
      </c>
      <c r="Q1015" s="6" t="str">
        <f t="shared" si="4"/>
        <v>Week 10</v>
      </c>
      <c r="R1015" s="6" t="str">
        <f t="shared" si="5"/>
        <v>2016Week 10</v>
      </c>
      <c r="S1015" s="6">
        <f>IFERROR(__xludf.DUMMYFUNCTION("rank(J1015,FILTER(J:J,R:R=R1015))"),6.0)</f>
        <v>6</v>
      </c>
      <c r="T1015" s="6">
        <f t="shared" si="6"/>
        <v>6</v>
      </c>
      <c r="U1015" s="6">
        <f t="shared" si="7"/>
        <v>6</v>
      </c>
      <c r="V1015" s="42">
        <f>averageif(AllData!A:A,B1015,AllData!R:R)/vlookup(B1015,AllData!A:O,15,0)</f>
        <v>94.18910256</v>
      </c>
      <c r="W1015" s="6"/>
    </row>
    <row r="1016" ht="14.25" customHeight="1">
      <c r="A1016" s="6" t="str">
        <f t="shared" si="1"/>
        <v>2016Buser10</v>
      </c>
      <c r="B1016" s="6">
        <v>2016.0</v>
      </c>
      <c r="C1016" s="6" t="s">
        <v>47</v>
      </c>
      <c r="D1016" s="6" t="s">
        <v>149</v>
      </c>
      <c r="E1016" s="34"/>
      <c r="F1016" s="6" t="s">
        <v>2725</v>
      </c>
      <c r="G1016" s="6" t="s">
        <v>2449</v>
      </c>
      <c r="H1016" s="6" t="s">
        <v>2666</v>
      </c>
      <c r="I1016" s="35" t="s">
        <v>68</v>
      </c>
      <c r="J1016" s="36">
        <v>117.0</v>
      </c>
      <c r="K1016" s="36">
        <v>106.6</v>
      </c>
      <c r="L1016" s="36">
        <f t="shared" si="8"/>
        <v>1</v>
      </c>
      <c r="M1016" s="36" t="str">
        <f t="shared" si="3"/>
        <v>Regular Season</v>
      </c>
      <c r="N1016" s="36" t="str">
        <f>IFERROR(VLOOKUP(I1016,Mapped_Owner,2,0),"")</f>
        <v>Riley</v>
      </c>
      <c r="O1016" s="6">
        <f>VLOOKUP(D1016,'Mapped Opponent'!$G$4:$H$22,2,0)</f>
        <v>10</v>
      </c>
      <c r="P1016" s="6" t="str">
        <f t="shared" si="13"/>
        <v>Wain Newton</v>
      </c>
      <c r="Q1016" s="6" t="str">
        <f t="shared" si="4"/>
        <v>Week 10</v>
      </c>
      <c r="R1016" s="6" t="str">
        <f t="shared" si="5"/>
        <v>2016Week 10</v>
      </c>
      <c r="S1016" s="6">
        <f>IFERROR(__xludf.DUMMYFUNCTION("rank(J1016,FILTER(J:J,R:R=R1016))"),2.0)</f>
        <v>2</v>
      </c>
      <c r="T1016" s="6">
        <f t="shared" si="6"/>
        <v>10</v>
      </c>
      <c r="U1016" s="6">
        <f t="shared" si="7"/>
        <v>2</v>
      </c>
      <c r="V1016" s="42">
        <f>averageif(AllData!A:A,B1016,AllData!R:R)/vlookup(B1016,AllData!A:O,15,0)</f>
        <v>94.18910256</v>
      </c>
      <c r="W1016" s="6"/>
    </row>
    <row r="1017" ht="14.25" customHeight="1">
      <c r="A1017" s="6" t="str">
        <f t="shared" si="1"/>
        <v>2016Pierson10</v>
      </c>
      <c r="B1017" s="6">
        <v>2016.0</v>
      </c>
      <c r="C1017" s="6" t="s">
        <v>92</v>
      </c>
      <c r="D1017" s="6" t="s">
        <v>149</v>
      </c>
      <c r="E1017" s="34"/>
      <c r="F1017" s="6" t="s">
        <v>2726</v>
      </c>
      <c r="H1017" s="6" t="s">
        <v>2656</v>
      </c>
      <c r="I1017" s="35" t="s">
        <v>54</v>
      </c>
      <c r="J1017" s="36">
        <v>83.1</v>
      </c>
      <c r="K1017" s="36">
        <v>88.5</v>
      </c>
      <c r="L1017" s="36">
        <f t="shared" si="8"/>
        <v>0</v>
      </c>
      <c r="M1017" s="36" t="str">
        <f t="shared" si="3"/>
        <v>Regular Season</v>
      </c>
      <c r="N1017" s="36" t="str">
        <f>IFERROR(VLOOKUP(I1017,Mapped_Owner,2,0),"")</f>
        <v>Tayski</v>
      </c>
      <c r="O1017" s="6">
        <f>VLOOKUP(D1017,'Mapped Opponent'!$G$4:$H$22,2,0)</f>
        <v>10</v>
      </c>
      <c r="P1017" s="6" t="str">
        <f t="shared" si="13"/>
        <v>Keenan Allen Memorial Team</v>
      </c>
      <c r="Q1017" s="6" t="str">
        <f t="shared" si="4"/>
        <v>Week 10</v>
      </c>
      <c r="R1017" s="6" t="str">
        <f t="shared" si="5"/>
        <v>2016Week 10</v>
      </c>
      <c r="S1017" s="6">
        <f>IFERROR(__xludf.DUMMYFUNCTION("rank(J1017,FILTER(J:J,R:R=R1017))"),9.0)</f>
        <v>9</v>
      </c>
      <c r="T1017" s="6">
        <f t="shared" si="6"/>
        <v>3</v>
      </c>
      <c r="U1017" s="6">
        <f t="shared" si="7"/>
        <v>9</v>
      </c>
      <c r="V1017" s="42">
        <f>averageif(AllData!A:A,B1017,AllData!R:R)/vlookup(B1017,AllData!A:O,15,0)</f>
        <v>94.18910256</v>
      </c>
      <c r="W1017" s="6"/>
    </row>
    <row r="1018" ht="14.25" customHeight="1">
      <c r="A1018" s="6" t="str">
        <f t="shared" si="1"/>
        <v>2016Cock10</v>
      </c>
      <c r="B1018" s="6">
        <v>2016.0</v>
      </c>
      <c r="C1018" s="6" t="s">
        <v>72</v>
      </c>
      <c r="D1018" s="6" t="s">
        <v>149</v>
      </c>
      <c r="E1018" s="6"/>
      <c r="F1018" s="6" t="s">
        <v>2727</v>
      </c>
      <c r="G1018" s="6" t="s">
        <v>2449</v>
      </c>
      <c r="H1018" s="6" t="s">
        <v>2662</v>
      </c>
      <c r="I1018" s="35" t="s">
        <v>64</v>
      </c>
      <c r="J1018" s="36">
        <v>82.1</v>
      </c>
      <c r="K1018" s="36">
        <v>91.5</v>
      </c>
      <c r="L1018" s="36">
        <f t="shared" si="8"/>
        <v>0</v>
      </c>
      <c r="M1018" s="36" t="str">
        <f t="shared" si="3"/>
        <v>Regular Season</v>
      </c>
      <c r="N1018" s="36" t="str">
        <f>IFERROR(VLOOKUP(I1018,Mapped_Owner,2,0),"")</f>
        <v>Hudspeath</v>
      </c>
      <c r="O1018" s="6">
        <f>VLOOKUP(D1018,'Mapped Opponent'!$G$4:$H$22,2,0)</f>
        <v>10</v>
      </c>
      <c r="P1018" s="6" t="str">
        <f t="shared" si="13"/>
        <v>Cutler's Year</v>
      </c>
      <c r="Q1018" s="6" t="str">
        <f t="shared" si="4"/>
        <v>Week 10</v>
      </c>
      <c r="R1018" s="6" t="str">
        <f t="shared" si="5"/>
        <v>2016Week 10</v>
      </c>
      <c r="S1018" s="6">
        <f>IFERROR(__xludf.DUMMYFUNCTION("rank(J1018,FILTER(J:J,R:R=R1018))"),10.0)</f>
        <v>10</v>
      </c>
      <c r="T1018" s="6">
        <f t="shared" si="6"/>
        <v>2</v>
      </c>
      <c r="U1018" s="6">
        <f t="shared" si="7"/>
        <v>10</v>
      </c>
      <c r="V1018" s="42">
        <f>averageif(AllData!A:A,B1018,AllData!R:R)/vlookup(B1018,AllData!A:O,15,0)</f>
        <v>94.18910256</v>
      </c>
      <c r="W1018" s="6"/>
    </row>
    <row r="1019" ht="14.25" customHeight="1">
      <c r="A1019" s="6" t="str">
        <f t="shared" si="1"/>
        <v>2016Tayski10</v>
      </c>
      <c r="B1019" s="6">
        <v>2016.0</v>
      </c>
      <c r="C1019" s="6" t="s">
        <v>52</v>
      </c>
      <c r="D1019" s="6" t="s">
        <v>149</v>
      </c>
      <c r="E1019" s="34"/>
      <c r="F1019" s="6" t="s">
        <v>2728</v>
      </c>
      <c r="G1019" s="6" t="s">
        <v>2449</v>
      </c>
      <c r="H1019" s="35" t="s">
        <v>2658</v>
      </c>
      <c r="I1019" s="35" t="s">
        <v>93</v>
      </c>
      <c r="J1019" s="36">
        <v>88.5</v>
      </c>
      <c r="K1019" s="36">
        <v>83.1</v>
      </c>
      <c r="L1019" s="36">
        <f t="shared" si="8"/>
        <v>1</v>
      </c>
      <c r="M1019" s="36" t="str">
        <f t="shared" si="3"/>
        <v>Regular Season</v>
      </c>
      <c r="N1019" s="36" t="str">
        <f>IFERROR(VLOOKUP(I1019,Mapped_Owner,2,0),"")</f>
        <v>Pierson</v>
      </c>
      <c r="O1019" s="6">
        <f>VLOOKUP(D1019,'Mapped Opponent'!$G$4:$H$22,2,0)</f>
        <v>10</v>
      </c>
      <c r="P1019" s="6" t="str">
        <f t="shared" si="13"/>
        <v>Yung Breezy n Lil' LeSean</v>
      </c>
      <c r="Q1019" s="6" t="str">
        <f t="shared" si="4"/>
        <v>Week 10</v>
      </c>
      <c r="R1019" s="6" t="str">
        <f t="shared" si="5"/>
        <v>2016Week 10</v>
      </c>
      <c r="S1019" s="6">
        <f>IFERROR(__xludf.DUMMYFUNCTION("rank(J1019,FILTER(J:J,R:R=R1019))"),7.0)</f>
        <v>7</v>
      </c>
      <c r="T1019" s="6">
        <f t="shared" si="6"/>
        <v>5</v>
      </c>
      <c r="U1019" s="6">
        <f t="shared" si="7"/>
        <v>7</v>
      </c>
      <c r="V1019" s="42">
        <f>averageif(AllData!A:A,B1019,AllData!R:R)/vlookup(B1019,AllData!A:O,15,0)</f>
        <v>94.18910256</v>
      </c>
      <c r="W1019" s="6"/>
    </row>
    <row r="1020" ht="14.25" customHeight="1">
      <c r="A1020" s="6" t="str">
        <f t="shared" si="1"/>
        <v>2016KnardDawg10</v>
      </c>
      <c r="B1020" s="6">
        <v>2016.0</v>
      </c>
      <c r="C1020" s="6" t="s">
        <v>86</v>
      </c>
      <c r="D1020" s="6" t="s">
        <v>149</v>
      </c>
      <c r="E1020" s="34"/>
      <c r="F1020" s="6" t="s">
        <v>2729</v>
      </c>
      <c r="H1020" s="6" t="s">
        <v>2651</v>
      </c>
      <c r="I1020" s="35" t="s">
        <v>77</v>
      </c>
      <c r="J1020" s="36">
        <v>72.6</v>
      </c>
      <c r="K1020" s="36">
        <v>86.8</v>
      </c>
      <c r="L1020" s="36">
        <f t="shared" si="8"/>
        <v>0</v>
      </c>
      <c r="M1020" s="36" t="str">
        <f t="shared" si="3"/>
        <v>Regular Season</v>
      </c>
      <c r="N1020" s="36" t="str">
        <f>IFERROR(VLOOKUP(I1020,Mapped_Owner,2,0),"")</f>
        <v>Salty</v>
      </c>
      <c r="O1020" s="6">
        <f>VLOOKUP(D1020,'Mapped Opponent'!$G$4:$H$22,2,0)</f>
        <v>10</v>
      </c>
      <c r="P1020" s="6" t="str">
        <f t="shared" si="13"/>
        <v>Last Manning Standing</v>
      </c>
      <c r="Q1020" s="6" t="str">
        <f t="shared" si="4"/>
        <v>Week 10</v>
      </c>
      <c r="R1020" s="6" t="str">
        <f t="shared" si="5"/>
        <v>2016Week 10</v>
      </c>
      <c r="S1020" s="6">
        <f>IFERROR(__xludf.DUMMYFUNCTION("rank(J1020,FILTER(J:J,R:R=R1020))"),11.0)</f>
        <v>11</v>
      </c>
      <c r="T1020" s="6">
        <f t="shared" si="6"/>
        <v>1</v>
      </c>
      <c r="U1020" s="6">
        <f t="shared" si="7"/>
        <v>11</v>
      </c>
      <c r="V1020" s="42">
        <f>averageif(AllData!A:A,B1020,AllData!R:R)/vlookup(B1020,AllData!A:O,15,0)</f>
        <v>94.18910256</v>
      </c>
      <c r="W1020" s="6"/>
    </row>
    <row r="1021" ht="14.25" customHeight="1">
      <c r="A1021" s="6" t="str">
        <f t="shared" si="1"/>
        <v>2016T-How10</v>
      </c>
      <c r="B1021" s="6">
        <v>2016.0</v>
      </c>
      <c r="C1021" s="6" t="s">
        <v>82</v>
      </c>
      <c r="D1021" s="6" t="s">
        <v>149</v>
      </c>
      <c r="E1021" s="34"/>
      <c r="F1021" s="6" t="s">
        <v>2730</v>
      </c>
      <c r="H1021" s="6" t="s">
        <v>2678</v>
      </c>
      <c r="I1021" s="35" t="s">
        <v>91</v>
      </c>
      <c r="J1021" s="36">
        <v>58.2</v>
      </c>
      <c r="K1021" s="36">
        <v>136.5</v>
      </c>
      <c r="L1021" s="36">
        <f t="shared" si="8"/>
        <v>0</v>
      </c>
      <c r="M1021" s="36" t="str">
        <f t="shared" si="3"/>
        <v>Regular Season</v>
      </c>
      <c r="N1021" s="36" t="str">
        <f>IFERROR(VLOOKUP(I1021,Mapped_Owner,2,0),"")</f>
        <v>Shep</v>
      </c>
      <c r="O1021" s="6">
        <f>VLOOKUP(D1021,'Mapped Opponent'!$G$4:$H$22,2,0)</f>
        <v>10</v>
      </c>
      <c r="P1021" s="6" t="str">
        <f t="shared" si="13"/>
        <v>Suburban Kings II</v>
      </c>
      <c r="Q1021" s="6" t="str">
        <f t="shared" si="4"/>
        <v>Week 10</v>
      </c>
      <c r="R1021" s="6" t="str">
        <f t="shared" si="5"/>
        <v>2016Week 10</v>
      </c>
      <c r="S1021" s="6">
        <f>IFERROR(__xludf.DUMMYFUNCTION("rank(J1021,FILTER(J:J,R:R=R1021))"),12.0)</f>
        <v>12</v>
      </c>
      <c r="T1021" s="6">
        <f t="shared" si="6"/>
        <v>0</v>
      </c>
      <c r="U1021" s="6">
        <f t="shared" si="7"/>
        <v>12</v>
      </c>
      <c r="V1021" s="42">
        <f>averageif(AllData!A:A,B1021,AllData!R:R)/vlookup(B1021,AllData!A:O,15,0)</f>
        <v>94.18910256</v>
      </c>
      <c r="W1021" s="6"/>
    </row>
    <row r="1022" ht="14.25" customHeight="1">
      <c r="A1022" s="6" t="str">
        <f t="shared" si="1"/>
        <v>2016Hudspeath11</v>
      </c>
      <c r="B1022" s="6">
        <v>2016.0</v>
      </c>
      <c r="C1022" s="6" t="s">
        <v>39</v>
      </c>
      <c r="D1022" s="6" t="s">
        <v>150</v>
      </c>
      <c r="E1022" s="34"/>
      <c r="F1022" s="6" t="s">
        <v>2731</v>
      </c>
      <c r="G1022" s="6" t="s">
        <v>2449</v>
      </c>
      <c r="H1022" s="6" t="s">
        <v>2666</v>
      </c>
      <c r="I1022" s="35" t="s">
        <v>68</v>
      </c>
      <c r="J1022" s="36">
        <v>100.5</v>
      </c>
      <c r="K1022" s="36">
        <v>82.0</v>
      </c>
      <c r="L1022" s="36">
        <f t="shared" si="8"/>
        <v>1</v>
      </c>
      <c r="M1022" s="36" t="str">
        <f t="shared" si="3"/>
        <v>Regular Season</v>
      </c>
      <c r="N1022" s="36" t="str">
        <f>IFERROR(VLOOKUP(I1022,Mapped_Owner,2,0),"")</f>
        <v>Riley</v>
      </c>
      <c r="O1022" s="6">
        <f>VLOOKUP(D1022,'Mapped Opponent'!$G$4:$H$22,2,0)</f>
        <v>11</v>
      </c>
      <c r="P1022" s="6"/>
      <c r="Q1022" s="6" t="str">
        <f t="shared" si="4"/>
        <v>Week 11</v>
      </c>
      <c r="R1022" s="6" t="str">
        <f t="shared" si="5"/>
        <v>2016Week 11</v>
      </c>
      <c r="S1022" s="6">
        <f>IFERROR(__xludf.DUMMYFUNCTION("rank(J1022,FILTER(J:J,R:R=R1022))"),3.0)</f>
        <v>3</v>
      </c>
      <c r="T1022" s="6">
        <f t="shared" si="6"/>
        <v>9</v>
      </c>
      <c r="U1022" s="6">
        <f t="shared" si="7"/>
        <v>3</v>
      </c>
      <c r="V1022" s="42">
        <f>averageif(AllData!A:A,B1022,AllData!R:R)/vlookup(B1022,AllData!A:O,15,0)</f>
        <v>94.18910256</v>
      </c>
      <c r="W1022" s="6"/>
    </row>
    <row r="1023" ht="14.25" customHeight="1">
      <c r="A1023" s="6" t="str">
        <f t="shared" si="1"/>
        <v>2016Salty11</v>
      </c>
      <c r="B1023" s="6">
        <v>2016.0</v>
      </c>
      <c r="C1023" s="6" t="s">
        <v>76</v>
      </c>
      <c r="D1023" s="6" t="s">
        <v>150</v>
      </c>
      <c r="E1023" s="34"/>
      <c r="F1023" s="6" t="s">
        <v>2732</v>
      </c>
      <c r="G1023" s="6" t="s">
        <v>2449</v>
      </c>
      <c r="H1023" s="6" t="s">
        <v>2656</v>
      </c>
      <c r="I1023" s="35" t="s">
        <v>54</v>
      </c>
      <c r="J1023" s="36">
        <v>86.9</v>
      </c>
      <c r="K1023" s="36">
        <v>75.5</v>
      </c>
      <c r="L1023" s="36">
        <f t="shared" si="8"/>
        <v>1</v>
      </c>
      <c r="M1023" s="36" t="str">
        <f t="shared" si="3"/>
        <v>Regular Season</v>
      </c>
      <c r="N1023" s="36" t="str">
        <f>IFERROR(VLOOKUP(I1023,Mapped_Owner,2,0),"")</f>
        <v>Tayski</v>
      </c>
      <c r="O1023" s="6">
        <f>VLOOKUP(D1023,'Mapped Opponent'!$G$4:$H$22,2,0)</f>
        <v>11</v>
      </c>
      <c r="P1023" s="6"/>
      <c r="Q1023" s="6" t="str">
        <f t="shared" si="4"/>
        <v>Week 11</v>
      </c>
      <c r="R1023" s="6" t="str">
        <f t="shared" si="5"/>
        <v>2016Week 11</v>
      </c>
      <c r="S1023" s="6">
        <f>IFERROR(__xludf.DUMMYFUNCTION("rank(J1023,FILTER(J:J,R:R=R1023))"),8.0)</f>
        <v>8</v>
      </c>
      <c r="T1023" s="6">
        <f t="shared" si="6"/>
        <v>4</v>
      </c>
      <c r="U1023" s="6">
        <f t="shared" si="7"/>
        <v>8</v>
      </c>
      <c r="V1023" s="42">
        <f>averageif(AllData!A:A,B1023,AllData!R:R)/vlookup(B1023,AllData!A:O,15,0)</f>
        <v>94.18910256</v>
      </c>
      <c r="W1023" s="6"/>
    </row>
    <row r="1024" ht="14.25" customHeight="1">
      <c r="A1024" s="6" t="str">
        <f t="shared" si="1"/>
        <v>2016Fellows11</v>
      </c>
      <c r="B1024" s="6">
        <v>2016.0</v>
      </c>
      <c r="C1024" s="6" t="s">
        <v>79</v>
      </c>
      <c r="D1024" s="6" t="s">
        <v>150</v>
      </c>
      <c r="E1024" s="34"/>
      <c r="F1024" s="6" t="s">
        <v>2733</v>
      </c>
      <c r="G1024" s="6" t="s">
        <v>2449</v>
      </c>
      <c r="H1024" s="6" t="s">
        <v>2660</v>
      </c>
      <c r="I1024" s="35" t="s">
        <v>50</v>
      </c>
      <c r="J1024" s="36">
        <v>91.3</v>
      </c>
      <c r="K1024" s="36">
        <v>79.1</v>
      </c>
      <c r="L1024" s="36">
        <f t="shared" si="8"/>
        <v>1</v>
      </c>
      <c r="M1024" s="36" t="str">
        <f t="shared" si="3"/>
        <v>Regular Season</v>
      </c>
      <c r="N1024" s="36" t="str">
        <f>IFERROR(VLOOKUP(I1024,Mapped_Owner,2,0),"")</f>
        <v>Buser</v>
      </c>
      <c r="O1024" s="6">
        <f>VLOOKUP(D1024,'Mapped Opponent'!$G$4:$H$22,2,0)</f>
        <v>11</v>
      </c>
      <c r="P1024" s="6" t="str">
        <f t="shared" ref="P1024:P1033" si="14">LEFT(H1024,FIND("(",H1024)-2)</f>
        <v>Julio, Get The Catch!</v>
      </c>
      <c r="Q1024" s="6" t="str">
        <f t="shared" si="4"/>
        <v>Week 11</v>
      </c>
      <c r="R1024" s="6" t="str">
        <f t="shared" si="5"/>
        <v>2016Week 11</v>
      </c>
      <c r="S1024" s="6">
        <f>IFERROR(__xludf.DUMMYFUNCTION("rank(J1024,FILTER(J:J,R:R=R1024))"),7.0)</f>
        <v>7</v>
      </c>
      <c r="T1024" s="6">
        <f t="shared" si="6"/>
        <v>5</v>
      </c>
      <c r="U1024" s="6">
        <f t="shared" si="7"/>
        <v>7</v>
      </c>
      <c r="V1024" s="42">
        <f>averageif(AllData!A:A,B1024,AllData!R:R)/vlookup(B1024,AllData!A:O,15,0)</f>
        <v>94.18910256</v>
      </c>
      <c r="W1024" s="6"/>
    </row>
    <row r="1025" ht="14.25" customHeight="1">
      <c r="A1025" s="6" t="str">
        <f t="shared" si="1"/>
        <v>2016Shep11</v>
      </c>
      <c r="B1025" s="6">
        <v>2016.0</v>
      </c>
      <c r="C1025" s="6" t="s">
        <v>89</v>
      </c>
      <c r="D1025" s="6" t="s">
        <v>150</v>
      </c>
      <c r="E1025" s="34"/>
      <c r="F1025" s="6" t="s">
        <v>2734</v>
      </c>
      <c r="H1025" s="6" t="s">
        <v>2658</v>
      </c>
      <c r="I1025" s="35" t="s">
        <v>93</v>
      </c>
      <c r="J1025" s="36">
        <v>97.4</v>
      </c>
      <c r="K1025" s="36">
        <v>103.1</v>
      </c>
      <c r="L1025" s="36">
        <f t="shared" si="8"/>
        <v>0</v>
      </c>
      <c r="M1025" s="36" t="str">
        <f t="shared" si="3"/>
        <v>Regular Season</v>
      </c>
      <c r="N1025" s="36" t="str">
        <f>IFERROR(VLOOKUP(I1025,Mapped_Owner,2,0),"")</f>
        <v>Pierson</v>
      </c>
      <c r="O1025" s="6">
        <f>VLOOKUP(D1025,'Mapped Opponent'!$G$4:$H$22,2,0)</f>
        <v>11</v>
      </c>
      <c r="P1025" s="6" t="str">
        <f t="shared" si="14"/>
        <v>Yung Breezy n Lil' LeSean</v>
      </c>
      <c r="Q1025" s="6" t="str">
        <f t="shared" si="4"/>
        <v>Week 11</v>
      </c>
      <c r="R1025" s="6" t="str">
        <f t="shared" si="5"/>
        <v>2016Week 11</v>
      </c>
      <c r="S1025" s="6">
        <f>IFERROR(__xludf.DUMMYFUNCTION("rank(J1025,FILTER(J:J,R:R=R1025))"),5.0)</f>
        <v>5</v>
      </c>
      <c r="T1025" s="6">
        <f t="shared" si="6"/>
        <v>7</v>
      </c>
      <c r="U1025" s="6">
        <f t="shared" si="7"/>
        <v>5</v>
      </c>
      <c r="V1025" s="42">
        <f>averageif(AllData!A:A,B1025,AllData!R:R)/vlookup(B1025,AllData!A:O,15,0)</f>
        <v>94.18910256</v>
      </c>
      <c r="W1025" s="6"/>
    </row>
    <row r="1026" ht="14.25" customHeight="1">
      <c r="A1026" s="6" t="str">
        <f t="shared" si="1"/>
        <v>2016Riley11</v>
      </c>
      <c r="B1026" s="6">
        <v>2016.0</v>
      </c>
      <c r="C1026" s="6" t="s">
        <v>67</v>
      </c>
      <c r="D1026" s="6" t="s">
        <v>150</v>
      </c>
      <c r="E1026" s="34"/>
      <c r="F1026" s="6" t="s">
        <v>2735</v>
      </c>
      <c r="H1026" s="6" t="s">
        <v>2662</v>
      </c>
      <c r="I1026" s="35" t="s">
        <v>64</v>
      </c>
      <c r="J1026" s="36">
        <v>82.0</v>
      </c>
      <c r="K1026" s="36">
        <v>100.5</v>
      </c>
      <c r="L1026" s="36">
        <f t="shared" si="8"/>
        <v>0</v>
      </c>
      <c r="M1026" s="36" t="str">
        <f t="shared" si="3"/>
        <v>Regular Season</v>
      </c>
      <c r="N1026" s="36" t="str">
        <f>IFERROR(VLOOKUP(I1026,Mapped_Owner,2,0),"")</f>
        <v>Hudspeath</v>
      </c>
      <c r="O1026" s="6">
        <f>VLOOKUP(D1026,'Mapped Opponent'!$G$4:$H$22,2,0)</f>
        <v>11</v>
      </c>
      <c r="P1026" s="6" t="str">
        <f t="shared" si="14"/>
        <v>Cutler's Year</v>
      </c>
      <c r="Q1026" s="6" t="str">
        <f t="shared" si="4"/>
        <v>Week 11</v>
      </c>
      <c r="R1026" s="6" t="str">
        <f t="shared" si="5"/>
        <v>2016Week 11</v>
      </c>
      <c r="S1026" s="6">
        <f>IFERROR(__xludf.DUMMYFUNCTION("rank(J1026,FILTER(J:J,R:R=R1026))"),9.0)</f>
        <v>9</v>
      </c>
      <c r="T1026" s="6">
        <f t="shared" si="6"/>
        <v>3</v>
      </c>
      <c r="U1026" s="6">
        <f t="shared" si="7"/>
        <v>9</v>
      </c>
      <c r="V1026" s="42">
        <f>averageif(AllData!A:A,B1026,AllData!R:R)/vlookup(B1026,AllData!A:O,15,0)</f>
        <v>94.18910256</v>
      </c>
      <c r="W1026" s="6"/>
    </row>
    <row r="1027" ht="14.25" customHeight="1">
      <c r="A1027" s="6" t="str">
        <f t="shared" si="1"/>
        <v>2016Rooney/Jackson11</v>
      </c>
      <c r="B1027" s="6">
        <v>2016.0</v>
      </c>
      <c r="C1027" s="6" t="s">
        <v>57</v>
      </c>
      <c r="D1027" s="6" t="s">
        <v>150</v>
      </c>
      <c r="E1027" s="34"/>
      <c r="F1027" s="6" t="s">
        <v>2736</v>
      </c>
      <c r="H1027" s="6" t="s">
        <v>2654</v>
      </c>
      <c r="I1027" s="35" t="s">
        <v>132</v>
      </c>
      <c r="J1027" s="36">
        <v>103.4</v>
      </c>
      <c r="K1027" s="36">
        <v>99.7</v>
      </c>
      <c r="L1027" s="36">
        <f t="shared" si="8"/>
        <v>1</v>
      </c>
      <c r="M1027" s="36" t="str">
        <f t="shared" si="3"/>
        <v>Regular Season</v>
      </c>
      <c r="N1027" s="36" t="str">
        <f>IFERROR(VLOOKUP(I1027,Mapped_Owner,2,0),"")</f>
        <v>KnardDawg</v>
      </c>
      <c r="O1027" s="6">
        <f>VLOOKUP(D1027,'Mapped Opponent'!$G$4:$H$22,2,0)</f>
        <v>11</v>
      </c>
      <c r="P1027" s="6" t="str">
        <f t="shared" si="14"/>
        <v>Bring tha Juice</v>
      </c>
      <c r="Q1027" s="6" t="str">
        <f t="shared" si="4"/>
        <v>Week 11</v>
      </c>
      <c r="R1027" s="6" t="str">
        <f t="shared" si="5"/>
        <v>2016Week 11</v>
      </c>
      <c r="S1027" s="6">
        <f>IFERROR(__xludf.DUMMYFUNCTION("rank(J1027,FILTER(J:J,R:R=R1027))"),1.0)</f>
        <v>1</v>
      </c>
      <c r="T1027" s="6">
        <f t="shared" si="6"/>
        <v>11</v>
      </c>
      <c r="U1027" s="6">
        <f t="shared" si="7"/>
        <v>1</v>
      </c>
      <c r="V1027" s="42">
        <f>averageif(AllData!A:A,B1027,AllData!R:R)/vlookup(B1027,AllData!A:O,15,0)</f>
        <v>94.18910256</v>
      </c>
      <c r="W1027" s="6"/>
    </row>
    <row r="1028" ht="14.25" customHeight="1">
      <c r="A1028" s="6" t="str">
        <f t="shared" si="1"/>
        <v>2016Buser11</v>
      </c>
      <c r="B1028" s="6">
        <v>2016.0</v>
      </c>
      <c r="C1028" s="6" t="s">
        <v>47</v>
      </c>
      <c r="D1028" s="6" t="s">
        <v>150</v>
      </c>
      <c r="E1028" s="34"/>
      <c r="F1028" s="6" t="s">
        <v>2737</v>
      </c>
      <c r="H1028" s="6" t="s">
        <v>2464</v>
      </c>
      <c r="I1028" s="35" t="s">
        <v>80</v>
      </c>
      <c r="J1028" s="36">
        <v>79.1</v>
      </c>
      <c r="K1028" s="36">
        <v>91.3</v>
      </c>
      <c r="L1028" s="36">
        <f t="shared" si="8"/>
        <v>0</v>
      </c>
      <c r="M1028" s="36" t="str">
        <f t="shared" si="3"/>
        <v>Regular Season</v>
      </c>
      <c r="N1028" s="36" t="str">
        <f>IFERROR(VLOOKUP(I1028,Mapped_Owner,2,0),"")</f>
        <v>Fellows</v>
      </c>
      <c r="O1028" s="6">
        <f>VLOOKUP(D1028,'Mapped Opponent'!$G$4:$H$22,2,0)</f>
        <v>11</v>
      </c>
      <c r="P1028" s="6" t="str">
        <f t="shared" si="14"/>
        <v>Dak to Dak Jacks</v>
      </c>
      <c r="Q1028" s="6" t="str">
        <f t="shared" si="4"/>
        <v>Week 11</v>
      </c>
      <c r="R1028" s="6" t="str">
        <f t="shared" si="5"/>
        <v>2016Week 11</v>
      </c>
      <c r="S1028" s="6">
        <f>IFERROR(__xludf.DUMMYFUNCTION("rank(J1028,FILTER(J:J,R:R=R1028))"),10.0)</f>
        <v>10</v>
      </c>
      <c r="T1028" s="6">
        <f t="shared" si="6"/>
        <v>2</v>
      </c>
      <c r="U1028" s="6">
        <f t="shared" si="7"/>
        <v>10</v>
      </c>
      <c r="V1028" s="42">
        <f>averageif(AllData!A:A,B1028,AllData!R:R)/vlookup(B1028,AllData!A:O,15,0)</f>
        <v>94.18910256</v>
      </c>
      <c r="W1028" s="6"/>
    </row>
    <row r="1029" ht="14.25" customHeight="1">
      <c r="A1029" s="6" t="str">
        <f t="shared" si="1"/>
        <v>2016Pierson11</v>
      </c>
      <c r="B1029" s="6">
        <v>2016.0</v>
      </c>
      <c r="C1029" s="6" t="s">
        <v>92</v>
      </c>
      <c r="D1029" s="6" t="s">
        <v>150</v>
      </c>
      <c r="E1029" s="34"/>
      <c r="F1029" s="6" t="s">
        <v>2738</v>
      </c>
      <c r="G1029" s="6" t="s">
        <v>2449</v>
      </c>
      <c r="H1029" s="6" t="s">
        <v>2678</v>
      </c>
      <c r="I1029" s="35" t="s">
        <v>91</v>
      </c>
      <c r="J1029" s="36">
        <v>103.1</v>
      </c>
      <c r="K1029" s="36">
        <v>97.4</v>
      </c>
      <c r="L1029" s="36">
        <f t="shared" si="8"/>
        <v>1</v>
      </c>
      <c r="M1029" s="36" t="str">
        <f t="shared" si="3"/>
        <v>Regular Season</v>
      </c>
      <c r="N1029" s="36" t="str">
        <f>IFERROR(VLOOKUP(I1029,Mapped_Owner,2,0),"")</f>
        <v>Shep</v>
      </c>
      <c r="O1029" s="6">
        <f>VLOOKUP(D1029,'Mapped Opponent'!$G$4:$H$22,2,0)</f>
        <v>11</v>
      </c>
      <c r="P1029" s="6" t="str">
        <f t="shared" si="14"/>
        <v>Suburban Kings II</v>
      </c>
      <c r="Q1029" s="6" t="str">
        <f t="shared" si="4"/>
        <v>Week 11</v>
      </c>
      <c r="R1029" s="6" t="str">
        <f t="shared" si="5"/>
        <v>2016Week 11</v>
      </c>
      <c r="S1029" s="6">
        <f>IFERROR(__xludf.DUMMYFUNCTION("rank(J1029,FILTER(J:J,R:R=R1029))"),2.0)</f>
        <v>2</v>
      </c>
      <c r="T1029" s="6">
        <f t="shared" si="6"/>
        <v>10</v>
      </c>
      <c r="U1029" s="6">
        <f t="shared" si="7"/>
        <v>2</v>
      </c>
      <c r="V1029" s="42">
        <f>averageif(AllData!A:A,B1029,AllData!R:R)/vlookup(B1029,AllData!A:O,15,0)</f>
        <v>94.18910256</v>
      </c>
      <c r="W1029" s="6"/>
    </row>
    <row r="1030" ht="14.25" customHeight="1">
      <c r="A1030" s="6" t="str">
        <f t="shared" si="1"/>
        <v>2016Cock11</v>
      </c>
      <c r="B1030" s="6">
        <v>2016.0</v>
      </c>
      <c r="C1030" s="6" t="s">
        <v>72</v>
      </c>
      <c r="D1030" s="6" t="s">
        <v>150</v>
      </c>
      <c r="E1030" s="6"/>
      <c r="F1030" s="6" t="s">
        <v>2739</v>
      </c>
      <c r="H1030" s="6" t="s">
        <v>2450</v>
      </c>
      <c r="I1030" s="35" t="s">
        <v>85</v>
      </c>
      <c r="J1030" s="36">
        <v>92.9</v>
      </c>
      <c r="K1030" s="36">
        <v>78.8</v>
      </c>
      <c r="L1030" s="36">
        <f t="shared" si="8"/>
        <v>1</v>
      </c>
      <c r="M1030" s="36" t="str">
        <f t="shared" si="3"/>
        <v>Regular Season</v>
      </c>
      <c r="N1030" s="36" t="str">
        <f>IFERROR(VLOOKUP(I1030,Mapped_Owner,2,0),"")</f>
        <v>T-How</v>
      </c>
      <c r="O1030" s="6">
        <f>VLOOKUP(D1030,'Mapped Opponent'!$G$4:$H$22,2,0)</f>
        <v>11</v>
      </c>
      <c r="P1030" s="6" t="str">
        <f t="shared" si="14"/>
        <v>DeAndre 3000</v>
      </c>
      <c r="Q1030" s="6" t="str">
        <f t="shared" si="4"/>
        <v>Week 11</v>
      </c>
      <c r="R1030" s="6" t="str">
        <f t="shared" si="5"/>
        <v>2016Week 11</v>
      </c>
      <c r="S1030" s="6">
        <f>IFERROR(__xludf.DUMMYFUNCTION("rank(J1030,FILTER(J:J,R:R=R1030))"),6.0)</f>
        <v>6</v>
      </c>
      <c r="T1030" s="6">
        <f t="shared" si="6"/>
        <v>6</v>
      </c>
      <c r="U1030" s="6">
        <f t="shared" si="7"/>
        <v>6</v>
      </c>
      <c r="V1030" s="42">
        <f>averageif(AllData!A:A,B1030,AllData!R:R)/vlookup(B1030,AllData!A:O,15,0)</f>
        <v>94.18910256</v>
      </c>
      <c r="W1030" s="6"/>
    </row>
    <row r="1031" ht="14.25" customHeight="1">
      <c r="A1031" s="6" t="str">
        <f t="shared" si="1"/>
        <v>2016Tayski11</v>
      </c>
      <c r="B1031" s="6">
        <v>2016.0</v>
      </c>
      <c r="C1031" s="6" t="s">
        <v>52</v>
      </c>
      <c r="D1031" s="6" t="s">
        <v>150</v>
      </c>
      <c r="E1031" s="34"/>
      <c r="F1031" s="6" t="s">
        <v>2740</v>
      </c>
      <c r="H1031" s="35" t="s">
        <v>2651</v>
      </c>
      <c r="I1031" s="35" t="s">
        <v>77</v>
      </c>
      <c r="J1031" s="36">
        <v>75.5</v>
      </c>
      <c r="K1031" s="36">
        <v>86.9</v>
      </c>
      <c r="L1031" s="36">
        <f t="shared" si="8"/>
        <v>0</v>
      </c>
      <c r="M1031" s="36" t="str">
        <f t="shared" si="3"/>
        <v>Regular Season</v>
      </c>
      <c r="N1031" s="36" t="str">
        <f>IFERROR(VLOOKUP(I1031,Mapped_Owner,2,0),"")</f>
        <v>Salty</v>
      </c>
      <c r="O1031" s="6">
        <f>VLOOKUP(D1031,'Mapped Opponent'!$G$4:$H$22,2,0)</f>
        <v>11</v>
      </c>
      <c r="P1031" s="6" t="str">
        <f t="shared" si="14"/>
        <v>Last Manning Standing</v>
      </c>
      <c r="Q1031" s="6" t="str">
        <f t="shared" si="4"/>
        <v>Week 11</v>
      </c>
      <c r="R1031" s="6" t="str">
        <f t="shared" si="5"/>
        <v>2016Week 11</v>
      </c>
      <c r="S1031" s="6">
        <f>IFERROR(__xludf.DUMMYFUNCTION("rank(J1031,FILTER(J:J,R:R=R1031))"),12.0)</f>
        <v>12</v>
      </c>
      <c r="T1031" s="6">
        <f t="shared" si="6"/>
        <v>0</v>
      </c>
      <c r="U1031" s="6">
        <f t="shared" si="7"/>
        <v>12</v>
      </c>
      <c r="V1031" s="42">
        <f>averageif(AllData!A:A,B1031,AllData!R:R)/vlookup(B1031,AllData!A:O,15,0)</f>
        <v>94.18910256</v>
      </c>
      <c r="W1031" s="6"/>
    </row>
    <row r="1032" ht="14.25" customHeight="1">
      <c r="A1032" s="6" t="str">
        <f t="shared" si="1"/>
        <v>2016KnardDawg11</v>
      </c>
      <c r="B1032" s="6">
        <v>2016.0</v>
      </c>
      <c r="C1032" s="6" t="s">
        <v>86</v>
      </c>
      <c r="D1032" s="6" t="s">
        <v>150</v>
      </c>
      <c r="E1032" s="34"/>
      <c r="F1032" s="6" t="s">
        <v>2741</v>
      </c>
      <c r="G1032" s="6" t="s">
        <v>2449</v>
      </c>
      <c r="H1032" s="6" t="s">
        <v>2664</v>
      </c>
      <c r="I1032" s="35" t="s">
        <v>58</v>
      </c>
      <c r="J1032" s="36">
        <v>99.7</v>
      </c>
      <c r="K1032" s="36">
        <v>103.4</v>
      </c>
      <c r="L1032" s="36">
        <f t="shared" si="8"/>
        <v>0</v>
      </c>
      <c r="M1032" s="36" t="str">
        <f t="shared" si="3"/>
        <v>Regular Season</v>
      </c>
      <c r="N1032" s="36" t="str">
        <f>IFERROR(VLOOKUP(I1032,Mapped_Owner,2,0),"")</f>
        <v>Rooney/Jackson</v>
      </c>
      <c r="O1032" s="6">
        <f>VLOOKUP(D1032,'Mapped Opponent'!$G$4:$H$22,2,0)</f>
        <v>11</v>
      </c>
      <c r="P1032" s="6" t="str">
        <f t="shared" si="14"/>
        <v>Rob "Ryan Chip" Kelley</v>
      </c>
      <c r="Q1032" s="6" t="str">
        <f t="shared" si="4"/>
        <v>Week 11</v>
      </c>
      <c r="R1032" s="6" t="str">
        <f t="shared" si="5"/>
        <v>2016Week 11</v>
      </c>
      <c r="S1032" s="6">
        <f>IFERROR(__xludf.DUMMYFUNCTION("rank(J1032,FILTER(J:J,R:R=R1032))"),4.0)</f>
        <v>4</v>
      </c>
      <c r="T1032" s="6">
        <f t="shared" si="6"/>
        <v>8</v>
      </c>
      <c r="U1032" s="6">
        <f t="shared" si="7"/>
        <v>4</v>
      </c>
      <c r="V1032" s="42">
        <f>averageif(AllData!A:A,B1032,AllData!R:R)/vlookup(B1032,AllData!A:O,15,0)</f>
        <v>94.18910256</v>
      </c>
      <c r="W1032" s="6"/>
    </row>
    <row r="1033" ht="14.25" customHeight="1">
      <c r="A1033" s="6" t="str">
        <f t="shared" si="1"/>
        <v>2016T-How11</v>
      </c>
      <c r="B1033" s="6">
        <v>2016.0</v>
      </c>
      <c r="C1033" s="6" t="s">
        <v>82</v>
      </c>
      <c r="D1033" s="6" t="s">
        <v>150</v>
      </c>
      <c r="E1033" s="34"/>
      <c r="F1033" s="6" t="s">
        <v>2742</v>
      </c>
      <c r="G1033" s="6" t="s">
        <v>2449</v>
      </c>
      <c r="H1033" s="6" t="s">
        <v>2648</v>
      </c>
      <c r="I1033" s="35" t="s">
        <v>146</v>
      </c>
      <c r="J1033" s="36">
        <v>78.8</v>
      </c>
      <c r="K1033" s="36">
        <v>92.9</v>
      </c>
      <c r="L1033" s="36">
        <f t="shared" si="8"/>
        <v>0</v>
      </c>
      <c r="M1033" s="36" t="str">
        <f t="shared" si="3"/>
        <v>Regular Season</v>
      </c>
      <c r="N1033" s="36" t="str">
        <f>IFERROR(VLOOKUP(I1033,Mapped_Owner,2,0),"")</f>
        <v>Cock</v>
      </c>
      <c r="O1033" s="6">
        <f>VLOOKUP(D1033,'Mapped Opponent'!$G$4:$H$22,2,0)</f>
        <v>11</v>
      </c>
      <c r="P1033" s="6" t="str">
        <f t="shared" si="14"/>
        <v>J. Cash and The Cochslappers</v>
      </c>
      <c r="Q1033" s="6" t="str">
        <f t="shared" si="4"/>
        <v>Week 11</v>
      </c>
      <c r="R1033" s="6" t="str">
        <f t="shared" si="5"/>
        <v>2016Week 11</v>
      </c>
      <c r="S1033" s="6">
        <f>IFERROR(__xludf.DUMMYFUNCTION("rank(J1033,FILTER(J:J,R:R=R1033))"),11.0)</f>
        <v>11</v>
      </c>
      <c r="T1033" s="6">
        <f t="shared" si="6"/>
        <v>1</v>
      </c>
      <c r="U1033" s="6">
        <f t="shared" si="7"/>
        <v>11</v>
      </c>
      <c r="V1033" s="42">
        <f>averageif(AllData!A:A,B1033,AllData!R:R)/vlookup(B1033,AllData!A:O,15,0)</f>
        <v>94.18910256</v>
      </c>
      <c r="W1033" s="6"/>
    </row>
    <row r="1034" ht="14.25" customHeight="1">
      <c r="A1034" s="6" t="str">
        <f t="shared" si="1"/>
        <v>2016Hudspeath12</v>
      </c>
      <c r="B1034" s="6">
        <v>2016.0</v>
      </c>
      <c r="C1034" s="6" t="s">
        <v>39</v>
      </c>
      <c r="D1034" s="6" t="s">
        <v>151</v>
      </c>
      <c r="E1034" s="34"/>
      <c r="F1034" s="6" t="s">
        <v>2743</v>
      </c>
      <c r="H1034" s="6" t="s">
        <v>2450</v>
      </c>
      <c r="I1034" s="35" t="s">
        <v>85</v>
      </c>
      <c r="J1034" s="36">
        <v>63.4</v>
      </c>
      <c r="K1034" s="36">
        <v>95.0</v>
      </c>
      <c r="L1034" s="36">
        <f t="shared" si="8"/>
        <v>0</v>
      </c>
      <c r="M1034" s="36" t="str">
        <f t="shared" si="3"/>
        <v>Regular Season</v>
      </c>
      <c r="N1034" s="36" t="str">
        <f>IFERROR(VLOOKUP(I1034,Mapped_Owner,2,0),"")</f>
        <v>T-How</v>
      </c>
      <c r="O1034" s="6">
        <f>VLOOKUP(D1034,'Mapped Opponent'!$G$4:$H$22,2,0)</f>
        <v>12</v>
      </c>
      <c r="P1034" s="6"/>
      <c r="Q1034" s="6" t="str">
        <f t="shared" si="4"/>
        <v>Week 12</v>
      </c>
      <c r="R1034" s="6" t="str">
        <f t="shared" si="5"/>
        <v>2016Week 12</v>
      </c>
      <c r="S1034" s="6">
        <f>IFERROR(__xludf.DUMMYFUNCTION("rank(J1034,FILTER(J:J,R:R=R1034))"),11.0)</f>
        <v>11</v>
      </c>
      <c r="T1034" s="6">
        <f t="shared" si="6"/>
        <v>1</v>
      </c>
      <c r="U1034" s="6">
        <f t="shared" si="7"/>
        <v>11</v>
      </c>
      <c r="V1034" s="42">
        <f>averageif(AllData!A:A,B1034,AllData!R:R)/vlookup(B1034,AllData!A:O,15,0)</f>
        <v>94.18910256</v>
      </c>
      <c r="W1034" s="6"/>
    </row>
    <row r="1035" ht="14.25" customHeight="1">
      <c r="A1035" s="6" t="str">
        <f t="shared" si="1"/>
        <v>2016Salty12</v>
      </c>
      <c r="B1035" s="6">
        <v>2016.0</v>
      </c>
      <c r="C1035" s="6" t="s">
        <v>76</v>
      </c>
      <c r="D1035" s="6" t="s">
        <v>151</v>
      </c>
      <c r="E1035" s="34"/>
      <c r="F1035" s="6" t="s">
        <v>2744</v>
      </c>
      <c r="H1035" s="6" t="s">
        <v>2678</v>
      </c>
      <c r="I1035" s="35" t="s">
        <v>91</v>
      </c>
      <c r="J1035" s="36">
        <v>88.0</v>
      </c>
      <c r="K1035" s="36">
        <v>96.3</v>
      </c>
      <c r="L1035" s="36">
        <f t="shared" si="8"/>
        <v>0</v>
      </c>
      <c r="M1035" s="36" t="str">
        <f t="shared" si="3"/>
        <v>Regular Season</v>
      </c>
      <c r="N1035" s="36" t="str">
        <f>IFERROR(VLOOKUP(I1035,Mapped_Owner,2,0),"")</f>
        <v>Shep</v>
      </c>
      <c r="O1035" s="6">
        <f>VLOOKUP(D1035,'Mapped Opponent'!$G$4:$H$22,2,0)</f>
        <v>12</v>
      </c>
      <c r="P1035" s="6"/>
      <c r="Q1035" s="6" t="str">
        <f t="shared" si="4"/>
        <v>Week 12</v>
      </c>
      <c r="R1035" s="6" t="str">
        <f t="shared" si="5"/>
        <v>2016Week 12</v>
      </c>
      <c r="S1035" s="6">
        <f>IFERROR(__xludf.DUMMYFUNCTION("rank(J1035,FILTER(J:J,R:R=R1035))"),8.0)</f>
        <v>8</v>
      </c>
      <c r="T1035" s="6">
        <f t="shared" si="6"/>
        <v>4</v>
      </c>
      <c r="U1035" s="6">
        <f t="shared" si="7"/>
        <v>8</v>
      </c>
      <c r="V1035" s="42">
        <f>averageif(AllData!A:A,B1035,AllData!R:R)/vlookup(B1035,AllData!A:O,15,0)</f>
        <v>94.18910256</v>
      </c>
      <c r="W1035" s="6"/>
    </row>
    <row r="1036" ht="14.25" customHeight="1">
      <c r="A1036" s="6" t="str">
        <f t="shared" si="1"/>
        <v>2016Fellows12</v>
      </c>
      <c r="B1036" s="6">
        <v>2016.0</v>
      </c>
      <c r="C1036" s="6" t="s">
        <v>79</v>
      </c>
      <c r="D1036" s="6" t="s">
        <v>151</v>
      </c>
      <c r="E1036" s="34"/>
      <c r="F1036" s="6" t="s">
        <v>2745</v>
      </c>
      <c r="H1036" s="6" t="s">
        <v>2666</v>
      </c>
      <c r="I1036" s="35" t="s">
        <v>68</v>
      </c>
      <c r="J1036" s="36">
        <v>111.5</v>
      </c>
      <c r="K1036" s="36">
        <v>123.7</v>
      </c>
      <c r="L1036" s="36">
        <f t="shared" si="8"/>
        <v>0</v>
      </c>
      <c r="M1036" s="36" t="str">
        <f t="shared" si="3"/>
        <v>Regular Season</v>
      </c>
      <c r="N1036" s="36" t="str">
        <f>IFERROR(VLOOKUP(I1036,Mapped_Owner,2,0),"")</f>
        <v>Riley</v>
      </c>
      <c r="O1036" s="6">
        <f>VLOOKUP(D1036,'Mapped Opponent'!$G$4:$H$22,2,0)</f>
        <v>12</v>
      </c>
      <c r="P1036" s="6" t="str">
        <f t="shared" ref="P1036:P1045" si="15">LEFT(H1036,FIND("(",H1036)-2)</f>
        <v>Wain Newton</v>
      </c>
      <c r="Q1036" s="6" t="str">
        <f t="shared" si="4"/>
        <v>Week 12</v>
      </c>
      <c r="R1036" s="6" t="str">
        <f t="shared" si="5"/>
        <v>2016Week 12</v>
      </c>
      <c r="S1036" s="6">
        <f>IFERROR(__xludf.DUMMYFUNCTION("rank(J1036,FILTER(J:J,R:R=R1036))"),4.0)</f>
        <v>4</v>
      </c>
      <c r="T1036" s="6">
        <f t="shared" si="6"/>
        <v>8</v>
      </c>
      <c r="U1036" s="6">
        <f t="shared" si="7"/>
        <v>4</v>
      </c>
      <c r="V1036" s="42">
        <f>averageif(AllData!A:A,B1036,AllData!R:R)/vlookup(B1036,AllData!A:O,15,0)</f>
        <v>94.18910256</v>
      </c>
      <c r="W1036" s="6"/>
    </row>
    <row r="1037" ht="14.25" customHeight="1">
      <c r="A1037" s="6" t="str">
        <f t="shared" si="1"/>
        <v>2016Shep12</v>
      </c>
      <c r="B1037" s="6">
        <v>2016.0</v>
      </c>
      <c r="C1037" s="6" t="s">
        <v>89</v>
      </c>
      <c r="D1037" s="6" t="s">
        <v>151</v>
      </c>
      <c r="E1037" s="34"/>
      <c r="F1037" s="6" t="s">
        <v>2746</v>
      </c>
      <c r="G1037" s="6" t="s">
        <v>2449</v>
      </c>
      <c r="H1037" s="6" t="s">
        <v>2651</v>
      </c>
      <c r="I1037" s="35" t="s">
        <v>77</v>
      </c>
      <c r="J1037" s="36">
        <v>96.3</v>
      </c>
      <c r="K1037" s="36">
        <v>88.0</v>
      </c>
      <c r="L1037" s="36">
        <f t="shared" si="8"/>
        <v>1</v>
      </c>
      <c r="M1037" s="36" t="str">
        <f t="shared" si="3"/>
        <v>Regular Season</v>
      </c>
      <c r="N1037" s="36" t="str">
        <f>IFERROR(VLOOKUP(I1037,Mapped_Owner,2,0),"")</f>
        <v>Salty</v>
      </c>
      <c r="O1037" s="6">
        <f>VLOOKUP(D1037,'Mapped Opponent'!$G$4:$H$22,2,0)</f>
        <v>12</v>
      </c>
      <c r="P1037" s="6" t="str">
        <f t="shared" si="15"/>
        <v>Last Manning Standing</v>
      </c>
      <c r="Q1037" s="6" t="str">
        <f t="shared" si="4"/>
        <v>Week 12</v>
      </c>
      <c r="R1037" s="6" t="str">
        <f t="shared" si="5"/>
        <v>2016Week 12</v>
      </c>
      <c r="S1037" s="6">
        <f>IFERROR(__xludf.DUMMYFUNCTION("rank(J1037,FILTER(J:J,R:R=R1037))"),6.0)</f>
        <v>6</v>
      </c>
      <c r="T1037" s="6">
        <f t="shared" si="6"/>
        <v>6</v>
      </c>
      <c r="U1037" s="6">
        <f t="shared" si="7"/>
        <v>6</v>
      </c>
      <c r="V1037" s="42">
        <f>averageif(AllData!A:A,B1037,AllData!R:R)/vlookup(B1037,AllData!A:O,15,0)</f>
        <v>94.18910256</v>
      </c>
      <c r="W1037" s="6"/>
    </row>
    <row r="1038" ht="14.25" customHeight="1">
      <c r="A1038" s="6" t="str">
        <f t="shared" si="1"/>
        <v>2016Riley12</v>
      </c>
      <c r="B1038" s="6">
        <v>2016.0</v>
      </c>
      <c r="C1038" s="6" t="s">
        <v>67</v>
      </c>
      <c r="D1038" s="6" t="s">
        <v>151</v>
      </c>
      <c r="E1038" s="34"/>
      <c r="F1038" s="6" t="s">
        <v>2747</v>
      </c>
      <c r="G1038" s="6" t="s">
        <v>2449</v>
      </c>
      <c r="H1038" s="6" t="s">
        <v>2464</v>
      </c>
      <c r="I1038" s="35" t="s">
        <v>80</v>
      </c>
      <c r="J1038" s="36">
        <v>123.7</v>
      </c>
      <c r="K1038" s="36">
        <v>111.5</v>
      </c>
      <c r="L1038" s="36">
        <f t="shared" si="8"/>
        <v>1</v>
      </c>
      <c r="M1038" s="36" t="str">
        <f t="shared" si="3"/>
        <v>Regular Season</v>
      </c>
      <c r="N1038" s="36" t="str">
        <f>IFERROR(VLOOKUP(I1038,Mapped_Owner,2,0),"")</f>
        <v>Fellows</v>
      </c>
      <c r="O1038" s="6">
        <f>VLOOKUP(D1038,'Mapped Opponent'!$G$4:$H$22,2,0)</f>
        <v>12</v>
      </c>
      <c r="P1038" s="6" t="str">
        <f t="shared" si="15"/>
        <v>Dak to Dak Jacks</v>
      </c>
      <c r="Q1038" s="6" t="str">
        <f t="shared" si="4"/>
        <v>Week 12</v>
      </c>
      <c r="R1038" s="6" t="str">
        <f t="shared" si="5"/>
        <v>2016Week 12</v>
      </c>
      <c r="S1038" s="6">
        <f>IFERROR(__xludf.DUMMYFUNCTION("rank(J1038,FILTER(J:J,R:R=R1038))"),1.0)</f>
        <v>1</v>
      </c>
      <c r="T1038" s="6">
        <f t="shared" si="6"/>
        <v>11</v>
      </c>
      <c r="U1038" s="6">
        <f t="shared" si="7"/>
        <v>1</v>
      </c>
      <c r="V1038" s="42">
        <f>averageif(AllData!A:A,B1038,AllData!R:R)/vlookup(B1038,AllData!A:O,15,0)</f>
        <v>94.18910256</v>
      </c>
      <c r="W1038" s="6"/>
    </row>
    <row r="1039" ht="14.25" customHeight="1">
      <c r="A1039" s="6" t="str">
        <f t="shared" si="1"/>
        <v>2016Rooney/Jackson12</v>
      </c>
      <c r="B1039" s="6">
        <v>2016.0</v>
      </c>
      <c r="C1039" s="6" t="s">
        <v>57</v>
      </c>
      <c r="D1039" s="6" t="s">
        <v>151</v>
      </c>
      <c r="E1039" s="34"/>
      <c r="F1039" s="6" t="s">
        <v>2748</v>
      </c>
      <c r="G1039" s="6" t="s">
        <v>2449</v>
      </c>
      <c r="H1039" s="6" t="s">
        <v>2656</v>
      </c>
      <c r="I1039" s="35" t="s">
        <v>54</v>
      </c>
      <c r="J1039" s="36">
        <v>70.9</v>
      </c>
      <c r="K1039" s="36">
        <v>102.5</v>
      </c>
      <c r="L1039" s="36">
        <f t="shared" si="8"/>
        <v>0</v>
      </c>
      <c r="M1039" s="36" t="str">
        <f t="shared" si="3"/>
        <v>Regular Season</v>
      </c>
      <c r="N1039" s="36" t="str">
        <f>IFERROR(VLOOKUP(I1039,Mapped_Owner,2,0),"")</f>
        <v>Tayski</v>
      </c>
      <c r="O1039" s="6">
        <f>VLOOKUP(D1039,'Mapped Opponent'!$G$4:$H$22,2,0)</f>
        <v>12</v>
      </c>
      <c r="P1039" s="6" t="str">
        <f t="shared" si="15"/>
        <v>Keenan Allen Memorial Team</v>
      </c>
      <c r="Q1039" s="6" t="str">
        <f t="shared" si="4"/>
        <v>Week 12</v>
      </c>
      <c r="R1039" s="6" t="str">
        <f t="shared" si="5"/>
        <v>2016Week 12</v>
      </c>
      <c r="S1039" s="6">
        <f>IFERROR(__xludf.DUMMYFUNCTION("rank(J1039,FILTER(J:J,R:R=R1039))"),10.0)</f>
        <v>10</v>
      </c>
      <c r="T1039" s="6">
        <f t="shared" si="6"/>
        <v>2</v>
      </c>
      <c r="U1039" s="6">
        <f t="shared" si="7"/>
        <v>10</v>
      </c>
      <c r="V1039" s="42">
        <f>averageif(AllData!A:A,B1039,AllData!R:R)/vlookup(B1039,AllData!A:O,15,0)</f>
        <v>94.18910256</v>
      </c>
      <c r="W1039" s="6"/>
    </row>
    <row r="1040" ht="14.25" customHeight="1">
      <c r="A1040" s="6" t="str">
        <f t="shared" si="1"/>
        <v>2016Buser12</v>
      </c>
      <c r="B1040" s="6">
        <v>2016.0</v>
      </c>
      <c r="C1040" s="6" t="s">
        <v>47</v>
      </c>
      <c r="D1040" s="6" t="s">
        <v>151</v>
      </c>
      <c r="E1040" s="34"/>
      <c r="F1040" s="6" t="s">
        <v>2749</v>
      </c>
      <c r="G1040" s="6" t="s">
        <v>2449</v>
      </c>
      <c r="H1040" s="6" t="s">
        <v>2654</v>
      </c>
      <c r="I1040" s="35" t="s">
        <v>132</v>
      </c>
      <c r="J1040" s="36">
        <v>81.1</v>
      </c>
      <c r="K1040" s="36">
        <v>113.7</v>
      </c>
      <c r="L1040" s="36">
        <f t="shared" si="8"/>
        <v>0</v>
      </c>
      <c r="M1040" s="36" t="str">
        <f t="shared" si="3"/>
        <v>Regular Season</v>
      </c>
      <c r="N1040" s="36" t="str">
        <f>IFERROR(VLOOKUP(I1040,Mapped_Owner,2,0),"")</f>
        <v>KnardDawg</v>
      </c>
      <c r="O1040" s="6">
        <f>VLOOKUP(D1040,'Mapped Opponent'!$G$4:$H$22,2,0)</f>
        <v>12</v>
      </c>
      <c r="P1040" s="6" t="str">
        <f t="shared" si="15"/>
        <v>Bring tha Juice</v>
      </c>
      <c r="Q1040" s="6" t="str">
        <f t="shared" si="4"/>
        <v>Week 12</v>
      </c>
      <c r="R1040" s="6" t="str">
        <f t="shared" si="5"/>
        <v>2016Week 12</v>
      </c>
      <c r="S1040" s="6">
        <f>IFERROR(__xludf.DUMMYFUNCTION("rank(J1040,FILTER(J:J,R:R=R1040))"),9.0)</f>
        <v>9</v>
      </c>
      <c r="T1040" s="6">
        <f t="shared" si="6"/>
        <v>3</v>
      </c>
      <c r="U1040" s="6">
        <f t="shared" si="7"/>
        <v>9</v>
      </c>
      <c r="V1040" s="42">
        <f>averageif(AllData!A:A,B1040,AllData!R:R)/vlookup(B1040,AllData!A:O,15,0)</f>
        <v>94.18910256</v>
      </c>
      <c r="W1040" s="6"/>
    </row>
    <row r="1041" ht="14.25" customHeight="1">
      <c r="A1041" s="6" t="str">
        <f t="shared" si="1"/>
        <v>2016Pierson12</v>
      </c>
      <c r="B1041" s="6">
        <v>2016.0</v>
      </c>
      <c r="C1041" s="6" t="s">
        <v>92</v>
      </c>
      <c r="D1041" s="6" t="s">
        <v>151</v>
      </c>
      <c r="E1041" s="34"/>
      <c r="F1041" s="6" t="s">
        <v>2750</v>
      </c>
      <c r="H1041" s="6" t="s">
        <v>2648</v>
      </c>
      <c r="I1041" s="35" t="s">
        <v>146</v>
      </c>
      <c r="J1041" s="36">
        <v>116.9</v>
      </c>
      <c r="K1041" s="36">
        <v>63.2</v>
      </c>
      <c r="L1041" s="36">
        <f t="shared" si="8"/>
        <v>1</v>
      </c>
      <c r="M1041" s="36" t="str">
        <f t="shared" si="3"/>
        <v>Regular Season</v>
      </c>
      <c r="N1041" s="36" t="str">
        <f>IFERROR(VLOOKUP(I1041,Mapped_Owner,2,0),"")</f>
        <v>Cock</v>
      </c>
      <c r="O1041" s="6">
        <f>VLOOKUP(D1041,'Mapped Opponent'!$G$4:$H$22,2,0)</f>
        <v>12</v>
      </c>
      <c r="P1041" s="6" t="str">
        <f t="shared" si="15"/>
        <v>J. Cash and The Cochslappers</v>
      </c>
      <c r="Q1041" s="6" t="str">
        <f t="shared" si="4"/>
        <v>Week 12</v>
      </c>
      <c r="R1041" s="6" t="str">
        <f t="shared" si="5"/>
        <v>2016Week 12</v>
      </c>
      <c r="S1041" s="6">
        <f>IFERROR(__xludf.DUMMYFUNCTION("rank(J1041,FILTER(J:J,R:R=R1041))"),2.0)</f>
        <v>2</v>
      </c>
      <c r="T1041" s="6">
        <f t="shared" si="6"/>
        <v>10</v>
      </c>
      <c r="U1041" s="6">
        <f t="shared" si="7"/>
        <v>2</v>
      </c>
      <c r="V1041" s="42">
        <f>averageif(AllData!A:A,B1041,AllData!R:R)/vlookup(B1041,AllData!A:O,15,0)</f>
        <v>94.18910256</v>
      </c>
      <c r="W1041" s="6"/>
    </row>
    <row r="1042" ht="14.25" customHeight="1">
      <c r="A1042" s="6" t="str">
        <f t="shared" si="1"/>
        <v>2016Cock12</v>
      </c>
      <c r="B1042" s="6">
        <v>2016.0</v>
      </c>
      <c r="C1042" s="6" t="s">
        <v>72</v>
      </c>
      <c r="D1042" s="6" t="s">
        <v>151</v>
      </c>
      <c r="E1042" s="6"/>
      <c r="F1042" s="6" t="s">
        <v>2751</v>
      </c>
      <c r="G1042" s="6" t="s">
        <v>2449</v>
      </c>
      <c r="H1042" s="6" t="s">
        <v>2658</v>
      </c>
      <c r="I1042" s="35" t="s">
        <v>93</v>
      </c>
      <c r="J1042" s="36">
        <v>63.2</v>
      </c>
      <c r="K1042" s="36">
        <v>116.9</v>
      </c>
      <c r="L1042" s="36">
        <f t="shared" si="8"/>
        <v>0</v>
      </c>
      <c r="M1042" s="36" t="str">
        <f t="shared" si="3"/>
        <v>Regular Season</v>
      </c>
      <c r="N1042" s="36" t="str">
        <f>IFERROR(VLOOKUP(I1042,Mapped_Owner,2,0),"")</f>
        <v>Pierson</v>
      </c>
      <c r="O1042" s="6">
        <f>VLOOKUP(D1042,'Mapped Opponent'!$G$4:$H$22,2,0)</f>
        <v>12</v>
      </c>
      <c r="P1042" s="6" t="str">
        <f t="shared" si="15"/>
        <v>Yung Breezy n Lil' LeSean</v>
      </c>
      <c r="Q1042" s="6" t="str">
        <f t="shared" si="4"/>
        <v>Week 12</v>
      </c>
      <c r="R1042" s="6" t="str">
        <f t="shared" si="5"/>
        <v>2016Week 12</v>
      </c>
      <c r="S1042" s="6">
        <f>IFERROR(__xludf.DUMMYFUNCTION("rank(J1042,FILTER(J:J,R:R=R1042))"),12.0)</f>
        <v>12</v>
      </c>
      <c r="T1042" s="6">
        <f t="shared" si="6"/>
        <v>0</v>
      </c>
      <c r="U1042" s="6">
        <f t="shared" si="7"/>
        <v>12</v>
      </c>
      <c r="V1042" s="42">
        <f>averageif(AllData!A:A,B1042,AllData!R:R)/vlookup(B1042,AllData!A:O,15,0)</f>
        <v>94.18910256</v>
      </c>
      <c r="W1042" s="6"/>
    </row>
    <row r="1043" ht="14.25" customHeight="1">
      <c r="A1043" s="6" t="str">
        <f t="shared" si="1"/>
        <v>2016Tayski12</v>
      </c>
      <c r="B1043" s="6">
        <v>2016.0</v>
      </c>
      <c r="C1043" s="6" t="s">
        <v>52</v>
      </c>
      <c r="D1043" s="6" t="s">
        <v>151</v>
      </c>
      <c r="E1043" s="34"/>
      <c r="F1043" s="6" t="s">
        <v>2752</v>
      </c>
      <c r="H1043" s="35" t="s">
        <v>2664</v>
      </c>
      <c r="I1043" s="35" t="s">
        <v>58</v>
      </c>
      <c r="J1043" s="36">
        <v>102.5</v>
      </c>
      <c r="K1043" s="36">
        <v>70.9</v>
      </c>
      <c r="L1043" s="36">
        <f t="shared" si="8"/>
        <v>1</v>
      </c>
      <c r="M1043" s="36" t="str">
        <f t="shared" si="3"/>
        <v>Regular Season</v>
      </c>
      <c r="N1043" s="36" t="str">
        <f>IFERROR(VLOOKUP(I1043,Mapped_Owner,2,0),"")</f>
        <v>Rooney/Jackson</v>
      </c>
      <c r="O1043" s="6">
        <f>VLOOKUP(D1043,'Mapped Opponent'!$G$4:$H$22,2,0)</f>
        <v>12</v>
      </c>
      <c r="P1043" s="6" t="str">
        <f t="shared" si="15"/>
        <v>Rob "Ryan Chip" Kelley</v>
      </c>
      <c r="Q1043" s="6" t="str">
        <f t="shared" si="4"/>
        <v>Week 12</v>
      </c>
      <c r="R1043" s="6" t="str">
        <f t="shared" si="5"/>
        <v>2016Week 12</v>
      </c>
      <c r="S1043" s="6">
        <f>IFERROR(__xludf.DUMMYFUNCTION("rank(J1043,FILTER(J:J,R:R=R1043))"),5.0)</f>
        <v>5</v>
      </c>
      <c r="T1043" s="6">
        <f t="shared" si="6"/>
        <v>7</v>
      </c>
      <c r="U1043" s="6">
        <f t="shared" si="7"/>
        <v>5</v>
      </c>
      <c r="V1043" s="42">
        <f>averageif(AllData!A:A,B1043,AllData!R:R)/vlookup(B1043,AllData!A:O,15,0)</f>
        <v>94.18910256</v>
      </c>
      <c r="W1043" s="6"/>
    </row>
    <row r="1044" ht="14.25" customHeight="1">
      <c r="A1044" s="6" t="str">
        <f t="shared" si="1"/>
        <v>2016KnardDawg12</v>
      </c>
      <c r="B1044" s="6">
        <v>2016.0</v>
      </c>
      <c r="C1044" s="6" t="s">
        <v>86</v>
      </c>
      <c r="D1044" s="6" t="s">
        <v>151</v>
      </c>
      <c r="E1044" s="34"/>
      <c r="F1044" s="6" t="s">
        <v>2753</v>
      </c>
      <c r="H1044" s="6" t="s">
        <v>2660</v>
      </c>
      <c r="I1044" s="35" t="s">
        <v>50</v>
      </c>
      <c r="J1044" s="36">
        <v>113.7</v>
      </c>
      <c r="K1044" s="36">
        <v>81.1</v>
      </c>
      <c r="L1044" s="36">
        <f t="shared" si="8"/>
        <v>1</v>
      </c>
      <c r="M1044" s="36" t="str">
        <f t="shared" si="3"/>
        <v>Regular Season</v>
      </c>
      <c r="N1044" s="36" t="str">
        <f>IFERROR(VLOOKUP(I1044,Mapped_Owner,2,0),"")</f>
        <v>Buser</v>
      </c>
      <c r="O1044" s="6">
        <f>VLOOKUP(D1044,'Mapped Opponent'!$G$4:$H$22,2,0)</f>
        <v>12</v>
      </c>
      <c r="P1044" s="6" t="str">
        <f t="shared" si="15"/>
        <v>Julio, Get The Catch!</v>
      </c>
      <c r="Q1044" s="6" t="str">
        <f t="shared" si="4"/>
        <v>Week 12</v>
      </c>
      <c r="R1044" s="6" t="str">
        <f t="shared" si="5"/>
        <v>2016Week 12</v>
      </c>
      <c r="S1044" s="6">
        <f>IFERROR(__xludf.DUMMYFUNCTION("rank(J1044,FILTER(J:J,R:R=R1044))"),3.0)</f>
        <v>3</v>
      </c>
      <c r="T1044" s="6">
        <f t="shared" si="6"/>
        <v>9</v>
      </c>
      <c r="U1044" s="6">
        <f t="shared" si="7"/>
        <v>3</v>
      </c>
      <c r="V1044" s="42">
        <f>averageif(AllData!A:A,B1044,AllData!R:R)/vlookup(B1044,AllData!A:O,15,0)</f>
        <v>94.18910256</v>
      </c>
      <c r="W1044" s="6"/>
    </row>
    <row r="1045" ht="14.25" customHeight="1">
      <c r="A1045" s="6" t="str">
        <f t="shared" si="1"/>
        <v>2016T-How12</v>
      </c>
      <c r="B1045" s="6">
        <v>2016.0</v>
      </c>
      <c r="C1045" s="6" t="s">
        <v>82</v>
      </c>
      <c r="D1045" s="6" t="s">
        <v>151</v>
      </c>
      <c r="E1045" s="34"/>
      <c r="F1045" s="6" t="s">
        <v>2754</v>
      </c>
      <c r="G1045" s="6" t="s">
        <v>2449</v>
      </c>
      <c r="H1045" s="6" t="s">
        <v>2662</v>
      </c>
      <c r="I1045" s="35" t="s">
        <v>64</v>
      </c>
      <c r="J1045" s="36">
        <v>95.0</v>
      </c>
      <c r="K1045" s="36">
        <v>63.4</v>
      </c>
      <c r="L1045" s="36">
        <f t="shared" si="8"/>
        <v>1</v>
      </c>
      <c r="M1045" s="36" t="str">
        <f t="shared" si="3"/>
        <v>Regular Season</v>
      </c>
      <c r="N1045" s="36" t="str">
        <f>IFERROR(VLOOKUP(I1045,Mapped_Owner,2,0),"")</f>
        <v>Hudspeath</v>
      </c>
      <c r="O1045" s="6">
        <f>VLOOKUP(D1045,'Mapped Opponent'!$G$4:$H$22,2,0)</f>
        <v>12</v>
      </c>
      <c r="P1045" s="6" t="str">
        <f t="shared" si="15"/>
        <v>Cutler's Year</v>
      </c>
      <c r="Q1045" s="6" t="str">
        <f t="shared" si="4"/>
        <v>Week 12</v>
      </c>
      <c r="R1045" s="6" t="str">
        <f t="shared" si="5"/>
        <v>2016Week 12</v>
      </c>
      <c r="S1045" s="6">
        <f>IFERROR(__xludf.DUMMYFUNCTION("rank(J1045,FILTER(J:J,R:R=R1045))"),7.0)</f>
        <v>7</v>
      </c>
      <c r="T1045" s="6">
        <f t="shared" si="6"/>
        <v>5</v>
      </c>
      <c r="U1045" s="6">
        <f t="shared" si="7"/>
        <v>7</v>
      </c>
      <c r="V1045" s="42">
        <f>averageif(AllData!A:A,B1045,AllData!R:R)/vlookup(B1045,AllData!A:O,15,0)</f>
        <v>94.18910256</v>
      </c>
      <c r="W1045" s="6"/>
    </row>
    <row r="1046" ht="14.25" customHeight="1">
      <c r="A1046" s="6" t="str">
        <f t="shared" si="1"/>
        <v>2016Hudspeath13</v>
      </c>
      <c r="B1046" s="6">
        <v>2016.0</v>
      </c>
      <c r="C1046" s="6" t="s">
        <v>39</v>
      </c>
      <c r="D1046" s="6" t="s">
        <v>152</v>
      </c>
      <c r="E1046" s="34"/>
      <c r="F1046" s="6" t="s">
        <v>2755</v>
      </c>
      <c r="G1046" s="6" t="s">
        <v>2449</v>
      </c>
      <c r="H1046" s="6" t="s">
        <v>2464</v>
      </c>
      <c r="I1046" s="35" t="s">
        <v>80</v>
      </c>
      <c r="J1046" s="36">
        <v>78.0</v>
      </c>
      <c r="K1046" s="36">
        <v>62.9</v>
      </c>
      <c r="L1046" s="36">
        <f t="shared" si="8"/>
        <v>1</v>
      </c>
      <c r="M1046" s="36" t="str">
        <f t="shared" si="3"/>
        <v>Regular Season</v>
      </c>
      <c r="N1046" s="36" t="str">
        <f>IFERROR(VLOOKUP(I1046,Mapped_Owner,2,0),"")</f>
        <v>Fellows</v>
      </c>
      <c r="O1046" s="6">
        <f>VLOOKUP(D1046,'Mapped Opponent'!$G$4:$H$22,2,0)</f>
        <v>13</v>
      </c>
      <c r="P1046" s="6"/>
      <c r="Q1046" s="6" t="str">
        <f t="shared" si="4"/>
        <v>Week 13</v>
      </c>
      <c r="R1046" s="6" t="str">
        <f t="shared" si="5"/>
        <v>2016Week 13</v>
      </c>
      <c r="S1046" s="6">
        <f>IFERROR(__xludf.DUMMYFUNCTION("rank(J1046,FILTER(J:J,R:R=R1046))"),8.0)</f>
        <v>8</v>
      </c>
      <c r="T1046" s="6">
        <f t="shared" si="6"/>
        <v>4</v>
      </c>
      <c r="U1046" s="6">
        <f t="shared" si="7"/>
        <v>8</v>
      </c>
      <c r="V1046" s="42">
        <f>averageif(AllData!A:A,B1046,AllData!R:R)/vlookup(B1046,AllData!A:O,15,0)</f>
        <v>94.18910256</v>
      </c>
      <c r="W1046" s="6"/>
    </row>
    <row r="1047" ht="14.25" customHeight="1">
      <c r="A1047" s="6" t="str">
        <f t="shared" si="1"/>
        <v>2016Salty13</v>
      </c>
      <c r="B1047" s="6">
        <v>2016.0</v>
      </c>
      <c r="C1047" s="6" t="s">
        <v>76</v>
      </c>
      <c r="D1047" s="6" t="s">
        <v>152</v>
      </c>
      <c r="E1047" s="34"/>
      <c r="F1047" s="6" t="s">
        <v>2756</v>
      </c>
      <c r="G1047" s="6" t="s">
        <v>2449</v>
      </c>
      <c r="H1047" s="6" t="s">
        <v>2648</v>
      </c>
      <c r="I1047" s="35" t="s">
        <v>146</v>
      </c>
      <c r="J1047" s="36">
        <v>94.8</v>
      </c>
      <c r="K1047" s="36">
        <v>108.0</v>
      </c>
      <c r="L1047" s="36">
        <f t="shared" si="8"/>
        <v>0</v>
      </c>
      <c r="M1047" s="36" t="str">
        <f t="shared" si="3"/>
        <v>Regular Season</v>
      </c>
      <c r="N1047" s="36" t="str">
        <f>IFERROR(VLOOKUP(I1047,Mapped_Owner,2,0),"")</f>
        <v>Cock</v>
      </c>
      <c r="O1047" s="6">
        <f>VLOOKUP(D1047,'Mapped Opponent'!$G$4:$H$22,2,0)</f>
        <v>13</v>
      </c>
      <c r="P1047" s="6"/>
      <c r="Q1047" s="6" t="str">
        <f t="shared" si="4"/>
        <v>Week 13</v>
      </c>
      <c r="R1047" s="6" t="str">
        <f t="shared" si="5"/>
        <v>2016Week 13</v>
      </c>
      <c r="S1047" s="6">
        <f>IFERROR(__xludf.DUMMYFUNCTION("rank(J1047,FILTER(J:J,R:R=R1047))"),5.0)</f>
        <v>5</v>
      </c>
      <c r="T1047" s="6">
        <f t="shared" si="6"/>
        <v>7</v>
      </c>
      <c r="U1047" s="6">
        <f t="shared" si="7"/>
        <v>5</v>
      </c>
      <c r="V1047" s="42">
        <f>averageif(AllData!A:A,B1047,AllData!R:R)/vlookup(B1047,AllData!A:O,15,0)</f>
        <v>94.18910256</v>
      </c>
      <c r="W1047" s="6"/>
    </row>
    <row r="1048" ht="14.25" customHeight="1">
      <c r="A1048" s="6" t="str">
        <f t="shared" si="1"/>
        <v>2016Fellows13</v>
      </c>
      <c r="B1048" s="6">
        <v>2016.0</v>
      </c>
      <c r="C1048" s="6" t="s">
        <v>79</v>
      </c>
      <c r="D1048" s="6" t="s">
        <v>152</v>
      </c>
      <c r="E1048" s="34"/>
      <c r="F1048" s="6" t="s">
        <v>2757</v>
      </c>
      <c r="H1048" s="6" t="s">
        <v>2662</v>
      </c>
      <c r="I1048" s="35" t="s">
        <v>64</v>
      </c>
      <c r="J1048" s="36">
        <v>62.9</v>
      </c>
      <c r="K1048" s="36">
        <v>78.0</v>
      </c>
      <c r="L1048" s="36">
        <f t="shared" si="8"/>
        <v>0</v>
      </c>
      <c r="M1048" s="36" t="str">
        <f t="shared" si="3"/>
        <v>Regular Season</v>
      </c>
      <c r="N1048" s="36" t="str">
        <f>IFERROR(VLOOKUP(I1048,Mapped_Owner,2,0),"")</f>
        <v>Hudspeath</v>
      </c>
      <c r="O1048" s="6">
        <f>VLOOKUP(D1048,'Mapped Opponent'!$G$4:$H$22,2,0)</f>
        <v>13</v>
      </c>
      <c r="P1048" s="6" t="str">
        <f t="shared" ref="P1048:P1057" si="16">LEFT(H1048,FIND("(",H1048)-2)</f>
        <v>Cutler's Year</v>
      </c>
      <c r="Q1048" s="6" t="str">
        <f t="shared" si="4"/>
        <v>Week 13</v>
      </c>
      <c r="R1048" s="6" t="str">
        <f t="shared" si="5"/>
        <v>2016Week 13</v>
      </c>
      <c r="S1048" s="6">
        <f>IFERROR(__xludf.DUMMYFUNCTION("rank(J1048,FILTER(J:J,R:R=R1048))"),11.0)</f>
        <v>11</v>
      </c>
      <c r="T1048" s="6">
        <f t="shared" si="6"/>
        <v>1</v>
      </c>
      <c r="U1048" s="6">
        <f t="shared" si="7"/>
        <v>11</v>
      </c>
      <c r="V1048" s="42">
        <f>averageif(AllData!A:A,B1048,AllData!R:R)/vlookup(B1048,AllData!A:O,15,0)</f>
        <v>94.18910256</v>
      </c>
      <c r="W1048" s="6"/>
    </row>
    <row r="1049" ht="14.25" customHeight="1">
      <c r="A1049" s="6" t="str">
        <f t="shared" si="1"/>
        <v>2016Shep13</v>
      </c>
      <c r="B1049" s="6">
        <v>2016.0</v>
      </c>
      <c r="C1049" s="6" t="s">
        <v>89</v>
      </c>
      <c r="D1049" s="6" t="s">
        <v>152</v>
      </c>
      <c r="E1049" s="34"/>
      <c r="F1049" s="6" t="s">
        <v>2758</v>
      </c>
      <c r="H1049" s="6" t="s">
        <v>2664</v>
      </c>
      <c r="I1049" s="35" t="s">
        <v>58</v>
      </c>
      <c r="J1049" s="36">
        <v>89.8</v>
      </c>
      <c r="K1049" s="36">
        <v>69.2</v>
      </c>
      <c r="L1049" s="36">
        <f t="shared" si="8"/>
        <v>1</v>
      </c>
      <c r="M1049" s="36" t="str">
        <f t="shared" si="3"/>
        <v>Regular Season</v>
      </c>
      <c r="N1049" s="36" t="str">
        <f>IFERROR(VLOOKUP(I1049,Mapped_Owner,2,0),"")</f>
        <v>Rooney/Jackson</v>
      </c>
      <c r="O1049" s="6">
        <f>VLOOKUP(D1049,'Mapped Opponent'!$G$4:$H$22,2,0)</f>
        <v>13</v>
      </c>
      <c r="P1049" s="6" t="str">
        <f t="shared" si="16"/>
        <v>Rob "Ryan Chip" Kelley</v>
      </c>
      <c r="Q1049" s="6" t="str">
        <f t="shared" si="4"/>
        <v>Week 13</v>
      </c>
      <c r="R1049" s="6" t="str">
        <f t="shared" si="5"/>
        <v>2016Week 13</v>
      </c>
      <c r="S1049" s="6">
        <f>IFERROR(__xludf.DUMMYFUNCTION("rank(J1049,FILTER(J:J,R:R=R1049))"),6.0)</f>
        <v>6</v>
      </c>
      <c r="T1049" s="6">
        <f t="shared" si="6"/>
        <v>6</v>
      </c>
      <c r="U1049" s="6">
        <f t="shared" si="7"/>
        <v>6</v>
      </c>
      <c r="V1049" s="42">
        <f>averageif(AllData!A:A,B1049,AllData!R:R)/vlookup(B1049,AllData!A:O,15,0)</f>
        <v>94.18910256</v>
      </c>
      <c r="W1049" s="6"/>
    </row>
    <row r="1050" ht="14.25" customHeight="1">
      <c r="A1050" s="6" t="str">
        <f t="shared" si="1"/>
        <v>2016Riley13</v>
      </c>
      <c r="B1050" s="6">
        <v>2016.0</v>
      </c>
      <c r="C1050" s="6" t="s">
        <v>67</v>
      </c>
      <c r="D1050" s="6" t="s">
        <v>152</v>
      </c>
      <c r="E1050" s="34"/>
      <c r="F1050" s="6" t="s">
        <v>2759</v>
      </c>
      <c r="H1050" s="6" t="s">
        <v>2654</v>
      </c>
      <c r="I1050" s="35" t="s">
        <v>132</v>
      </c>
      <c r="J1050" s="36">
        <v>116.8</v>
      </c>
      <c r="K1050" s="36">
        <v>74.9</v>
      </c>
      <c r="L1050" s="36">
        <f t="shared" si="8"/>
        <v>1</v>
      </c>
      <c r="M1050" s="36" t="str">
        <f t="shared" si="3"/>
        <v>Regular Season</v>
      </c>
      <c r="N1050" s="36" t="str">
        <f>IFERROR(VLOOKUP(I1050,Mapped_Owner,2,0),"")</f>
        <v>KnardDawg</v>
      </c>
      <c r="O1050" s="6">
        <f>VLOOKUP(D1050,'Mapped Opponent'!$G$4:$H$22,2,0)</f>
        <v>13</v>
      </c>
      <c r="P1050" s="6" t="str">
        <f t="shared" si="16"/>
        <v>Bring tha Juice</v>
      </c>
      <c r="Q1050" s="6" t="str">
        <f t="shared" si="4"/>
        <v>Week 13</v>
      </c>
      <c r="R1050" s="6" t="str">
        <f t="shared" si="5"/>
        <v>2016Week 13</v>
      </c>
      <c r="S1050" s="6">
        <f>IFERROR(__xludf.DUMMYFUNCTION("rank(J1050,FILTER(J:J,R:R=R1050))"),2.0)</f>
        <v>2</v>
      </c>
      <c r="T1050" s="6">
        <f t="shared" si="6"/>
        <v>10</v>
      </c>
      <c r="U1050" s="6">
        <f t="shared" si="7"/>
        <v>2</v>
      </c>
      <c r="V1050" s="42">
        <f>averageif(AllData!A:A,B1050,AllData!R:R)/vlookup(B1050,AllData!A:O,15,0)</f>
        <v>94.18910256</v>
      </c>
      <c r="W1050" s="6"/>
    </row>
    <row r="1051" ht="14.25" customHeight="1">
      <c r="A1051" s="6" t="str">
        <f t="shared" si="1"/>
        <v>2016Rooney/Jackson13</v>
      </c>
      <c r="B1051" s="6">
        <v>2016.0</v>
      </c>
      <c r="C1051" s="6" t="s">
        <v>57</v>
      </c>
      <c r="D1051" s="6" t="s">
        <v>152</v>
      </c>
      <c r="E1051" s="34"/>
      <c r="F1051" s="6" t="s">
        <v>2760</v>
      </c>
      <c r="G1051" s="6" t="s">
        <v>2449</v>
      </c>
      <c r="H1051" s="6" t="s">
        <v>2678</v>
      </c>
      <c r="I1051" s="35" t="s">
        <v>91</v>
      </c>
      <c r="J1051" s="36">
        <v>69.2</v>
      </c>
      <c r="K1051" s="36">
        <v>89.8</v>
      </c>
      <c r="L1051" s="36">
        <f t="shared" si="8"/>
        <v>0</v>
      </c>
      <c r="M1051" s="36" t="str">
        <f t="shared" si="3"/>
        <v>Regular Season</v>
      </c>
      <c r="N1051" s="36" t="str">
        <f>IFERROR(VLOOKUP(I1051,Mapped_Owner,2,0),"")</f>
        <v>Shep</v>
      </c>
      <c r="O1051" s="6">
        <f>VLOOKUP(D1051,'Mapped Opponent'!$G$4:$H$22,2,0)</f>
        <v>13</v>
      </c>
      <c r="P1051" s="6" t="str">
        <f t="shared" si="16"/>
        <v>Suburban Kings II</v>
      </c>
      <c r="Q1051" s="6" t="str">
        <f t="shared" si="4"/>
        <v>Week 13</v>
      </c>
      <c r="R1051" s="6" t="str">
        <f t="shared" si="5"/>
        <v>2016Week 13</v>
      </c>
      <c r="S1051" s="6">
        <f>IFERROR(__xludf.DUMMYFUNCTION("rank(J1051,FILTER(J:J,R:R=R1051))"),10.0)</f>
        <v>10</v>
      </c>
      <c r="T1051" s="6">
        <f t="shared" si="6"/>
        <v>2</v>
      </c>
      <c r="U1051" s="6">
        <f t="shared" si="7"/>
        <v>10</v>
      </c>
      <c r="V1051" s="42">
        <f>averageif(AllData!A:A,B1051,AllData!R:R)/vlookup(B1051,AllData!A:O,15,0)</f>
        <v>94.18910256</v>
      </c>
      <c r="W1051" s="6"/>
    </row>
    <row r="1052" ht="14.25" customHeight="1">
      <c r="A1052" s="6" t="str">
        <f t="shared" si="1"/>
        <v>2016Buser13</v>
      </c>
      <c r="B1052" s="6">
        <v>2016.0</v>
      </c>
      <c r="C1052" s="6" t="s">
        <v>47</v>
      </c>
      <c r="D1052" s="6" t="s">
        <v>152</v>
      </c>
      <c r="E1052" s="34"/>
      <c r="F1052" s="6" t="s">
        <v>2761</v>
      </c>
      <c r="H1052" s="6" t="s">
        <v>2656</v>
      </c>
      <c r="I1052" s="35" t="s">
        <v>54</v>
      </c>
      <c r="J1052" s="36">
        <v>86.1</v>
      </c>
      <c r="K1052" s="36">
        <v>60.2</v>
      </c>
      <c r="L1052" s="36">
        <f t="shared" si="8"/>
        <v>1</v>
      </c>
      <c r="M1052" s="36" t="str">
        <f t="shared" si="3"/>
        <v>Regular Season</v>
      </c>
      <c r="N1052" s="36" t="str">
        <f>IFERROR(VLOOKUP(I1052,Mapped_Owner,2,0),"")</f>
        <v>Tayski</v>
      </c>
      <c r="O1052" s="6">
        <f>VLOOKUP(D1052,'Mapped Opponent'!$G$4:$H$22,2,0)</f>
        <v>13</v>
      </c>
      <c r="P1052" s="6" t="str">
        <f t="shared" si="16"/>
        <v>Keenan Allen Memorial Team</v>
      </c>
      <c r="Q1052" s="6" t="str">
        <f t="shared" si="4"/>
        <v>Week 13</v>
      </c>
      <c r="R1052" s="6" t="str">
        <f t="shared" si="5"/>
        <v>2016Week 13</v>
      </c>
      <c r="S1052" s="6">
        <f>IFERROR(__xludf.DUMMYFUNCTION("rank(J1052,FILTER(J:J,R:R=R1052))"),7.0)</f>
        <v>7</v>
      </c>
      <c r="T1052" s="6">
        <f t="shared" si="6"/>
        <v>5</v>
      </c>
      <c r="U1052" s="6">
        <f t="shared" si="7"/>
        <v>7</v>
      </c>
      <c r="V1052" s="42">
        <f>averageif(AllData!A:A,B1052,AllData!R:R)/vlookup(B1052,AllData!A:O,15,0)</f>
        <v>94.18910256</v>
      </c>
      <c r="W1052" s="6"/>
    </row>
    <row r="1053" ht="14.25" customHeight="1">
      <c r="A1053" s="6" t="str">
        <f t="shared" si="1"/>
        <v>2016Pierson13</v>
      </c>
      <c r="B1053" s="6">
        <v>2016.0</v>
      </c>
      <c r="C1053" s="6" t="s">
        <v>92</v>
      </c>
      <c r="D1053" s="6" t="s">
        <v>152</v>
      </c>
      <c r="E1053" s="34"/>
      <c r="F1053" s="6" t="s">
        <v>2762</v>
      </c>
      <c r="G1053" s="6" t="s">
        <v>2449</v>
      </c>
      <c r="H1053" s="6" t="s">
        <v>2450</v>
      </c>
      <c r="I1053" s="35" t="s">
        <v>85</v>
      </c>
      <c r="J1053" s="36">
        <v>115.1</v>
      </c>
      <c r="K1053" s="36">
        <v>130.4</v>
      </c>
      <c r="L1053" s="36">
        <f t="shared" si="8"/>
        <v>0</v>
      </c>
      <c r="M1053" s="36" t="str">
        <f t="shared" si="3"/>
        <v>Regular Season</v>
      </c>
      <c r="N1053" s="36" t="str">
        <f>IFERROR(VLOOKUP(I1053,Mapped_Owner,2,0),"")</f>
        <v>T-How</v>
      </c>
      <c r="O1053" s="6">
        <f>VLOOKUP(D1053,'Mapped Opponent'!$G$4:$H$22,2,0)</f>
        <v>13</v>
      </c>
      <c r="P1053" s="6" t="str">
        <f t="shared" si="16"/>
        <v>DeAndre 3000</v>
      </c>
      <c r="Q1053" s="6" t="str">
        <f t="shared" si="4"/>
        <v>Week 13</v>
      </c>
      <c r="R1053" s="6" t="str">
        <f t="shared" si="5"/>
        <v>2016Week 13</v>
      </c>
      <c r="S1053" s="6">
        <f>IFERROR(__xludf.DUMMYFUNCTION("rank(J1053,FILTER(J:J,R:R=R1053))"),3.0)</f>
        <v>3</v>
      </c>
      <c r="T1053" s="6">
        <f t="shared" si="6"/>
        <v>9</v>
      </c>
      <c r="U1053" s="6">
        <f t="shared" si="7"/>
        <v>3</v>
      </c>
      <c r="V1053" s="42">
        <f>averageif(AllData!A:A,B1053,AllData!R:R)/vlookup(B1053,AllData!A:O,15,0)</f>
        <v>94.18910256</v>
      </c>
      <c r="W1053" s="6"/>
    </row>
    <row r="1054" ht="14.25" customHeight="1">
      <c r="A1054" s="6" t="str">
        <f t="shared" si="1"/>
        <v>2016Cock13</v>
      </c>
      <c r="B1054" s="6">
        <v>2016.0</v>
      </c>
      <c r="C1054" s="6" t="s">
        <v>72</v>
      </c>
      <c r="D1054" s="6" t="s">
        <v>152</v>
      </c>
      <c r="E1054" s="6"/>
      <c r="F1054" s="6" t="s">
        <v>2763</v>
      </c>
      <c r="H1054" s="6" t="s">
        <v>2651</v>
      </c>
      <c r="I1054" s="35" t="s">
        <v>77</v>
      </c>
      <c r="J1054" s="36">
        <v>108.0</v>
      </c>
      <c r="K1054" s="36">
        <v>94.8</v>
      </c>
      <c r="L1054" s="36">
        <f t="shared" si="8"/>
        <v>1</v>
      </c>
      <c r="M1054" s="36" t="str">
        <f t="shared" si="3"/>
        <v>Regular Season</v>
      </c>
      <c r="N1054" s="36" t="str">
        <f>IFERROR(VLOOKUP(I1054,Mapped_Owner,2,0),"")</f>
        <v>Salty</v>
      </c>
      <c r="O1054" s="6">
        <f>VLOOKUP(D1054,'Mapped Opponent'!$G$4:$H$22,2,0)</f>
        <v>13</v>
      </c>
      <c r="P1054" s="6" t="str">
        <f t="shared" si="16"/>
        <v>Last Manning Standing</v>
      </c>
      <c r="Q1054" s="6" t="str">
        <f t="shared" si="4"/>
        <v>Week 13</v>
      </c>
      <c r="R1054" s="6" t="str">
        <f t="shared" si="5"/>
        <v>2016Week 13</v>
      </c>
      <c r="S1054" s="6">
        <f>IFERROR(__xludf.DUMMYFUNCTION("rank(J1054,FILTER(J:J,R:R=R1054))"),4.0)</f>
        <v>4</v>
      </c>
      <c r="T1054" s="6">
        <f t="shared" si="6"/>
        <v>8</v>
      </c>
      <c r="U1054" s="6">
        <f t="shared" si="7"/>
        <v>4</v>
      </c>
      <c r="V1054" s="42">
        <f>averageif(AllData!A:A,B1054,AllData!R:R)/vlookup(B1054,AllData!A:O,15,0)</f>
        <v>94.18910256</v>
      </c>
      <c r="W1054" s="6"/>
    </row>
    <row r="1055" ht="14.25" customHeight="1">
      <c r="A1055" s="6" t="str">
        <f t="shared" si="1"/>
        <v>2016Tayski13</v>
      </c>
      <c r="B1055" s="6">
        <v>2016.0</v>
      </c>
      <c r="C1055" s="6" t="s">
        <v>52</v>
      </c>
      <c r="D1055" s="6" t="s">
        <v>152</v>
      </c>
      <c r="E1055" s="34"/>
      <c r="F1055" s="6" t="s">
        <v>2764</v>
      </c>
      <c r="G1055" s="6" t="s">
        <v>2449</v>
      </c>
      <c r="H1055" s="35" t="s">
        <v>2660</v>
      </c>
      <c r="I1055" s="35" t="s">
        <v>50</v>
      </c>
      <c r="J1055" s="36">
        <v>60.2</v>
      </c>
      <c r="K1055" s="36">
        <v>86.1</v>
      </c>
      <c r="L1055" s="36">
        <f t="shared" si="8"/>
        <v>0</v>
      </c>
      <c r="M1055" s="36" t="str">
        <f t="shared" si="3"/>
        <v>Regular Season</v>
      </c>
      <c r="N1055" s="36" t="str">
        <f>IFERROR(VLOOKUP(I1055,Mapped_Owner,2,0),"")</f>
        <v>Buser</v>
      </c>
      <c r="O1055" s="6">
        <f>VLOOKUP(D1055,'Mapped Opponent'!$G$4:$H$22,2,0)</f>
        <v>13</v>
      </c>
      <c r="P1055" s="6" t="str">
        <f t="shared" si="16"/>
        <v>Julio, Get The Catch!</v>
      </c>
      <c r="Q1055" s="6" t="str">
        <f t="shared" si="4"/>
        <v>Week 13</v>
      </c>
      <c r="R1055" s="6" t="str">
        <f t="shared" si="5"/>
        <v>2016Week 13</v>
      </c>
      <c r="S1055" s="6">
        <f>IFERROR(__xludf.DUMMYFUNCTION("rank(J1055,FILTER(J:J,R:R=R1055))"),12.0)</f>
        <v>12</v>
      </c>
      <c r="T1055" s="6">
        <f t="shared" si="6"/>
        <v>0</v>
      </c>
      <c r="U1055" s="6">
        <f t="shared" si="7"/>
        <v>12</v>
      </c>
      <c r="V1055" s="42">
        <f>averageif(AllData!A:A,B1055,AllData!R:R)/vlookup(B1055,AllData!A:O,15,0)</f>
        <v>94.18910256</v>
      </c>
      <c r="W1055" s="6"/>
    </row>
    <row r="1056" ht="14.25" customHeight="1">
      <c r="A1056" s="6" t="str">
        <f t="shared" si="1"/>
        <v>2016KnardDawg13</v>
      </c>
      <c r="B1056" s="6">
        <v>2016.0</v>
      </c>
      <c r="C1056" s="6" t="s">
        <v>86</v>
      </c>
      <c r="D1056" s="6" t="s">
        <v>152</v>
      </c>
      <c r="E1056" s="34"/>
      <c r="F1056" s="6" t="s">
        <v>2765</v>
      </c>
      <c r="G1056" s="6" t="s">
        <v>2449</v>
      </c>
      <c r="H1056" s="6" t="s">
        <v>2666</v>
      </c>
      <c r="I1056" s="35" t="s">
        <v>68</v>
      </c>
      <c r="J1056" s="36">
        <v>74.9</v>
      </c>
      <c r="K1056" s="36">
        <v>116.8</v>
      </c>
      <c r="L1056" s="36">
        <f t="shared" si="8"/>
        <v>0</v>
      </c>
      <c r="M1056" s="36" t="str">
        <f t="shared" si="3"/>
        <v>Regular Season</v>
      </c>
      <c r="N1056" s="36" t="str">
        <f>IFERROR(VLOOKUP(I1056,Mapped_Owner,2,0),"")</f>
        <v>Riley</v>
      </c>
      <c r="O1056" s="6">
        <f>VLOOKUP(D1056,'Mapped Opponent'!$G$4:$H$22,2,0)</f>
        <v>13</v>
      </c>
      <c r="P1056" s="6" t="str">
        <f t="shared" si="16"/>
        <v>Wain Newton</v>
      </c>
      <c r="Q1056" s="6" t="str">
        <f t="shared" si="4"/>
        <v>Week 13</v>
      </c>
      <c r="R1056" s="6" t="str">
        <f t="shared" si="5"/>
        <v>2016Week 13</v>
      </c>
      <c r="S1056" s="6">
        <f>IFERROR(__xludf.DUMMYFUNCTION("rank(J1056,FILTER(J:J,R:R=R1056))"),9.0)</f>
        <v>9</v>
      </c>
      <c r="T1056" s="6">
        <f t="shared" si="6"/>
        <v>3</v>
      </c>
      <c r="U1056" s="6">
        <f t="shared" si="7"/>
        <v>9</v>
      </c>
      <c r="V1056" s="42">
        <f>averageif(AllData!A:A,B1056,AllData!R:R)/vlookup(B1056,AllData!A:O,15,0)</f>
        <v>94.18910256</v>
      </c>
      <c r="W1056" s="6"/>
    </row>
    <row r="1057" ht="14.25" customHeight="1">
      <c r="A1057" s="6" t="str">
        <f t="shared" si="1"/>
        <v>2016T-How13</v>
      </c>
      <c r="B1057" s="6">
        <v>2016.0</v>
      </c>
      <c r="C1057" s="6" t="s">
        <v>82</v>
      </c>
      <c r="D1057" s="6" t="s">
        <v>152</v>
      </c>
      <c r="E1057" s="34"/>
      <c r="F1057" s="6" t="s">
        <v>2766</v>
      </c>
      <c r="H1057" s="6" t="s">
        <v>2658</v>
      </c>
      <c r="I1057" s="35" t="s">
        <v>93</v>
      </c>
      <c r="J1057" s="36">
        <v>130.4</v>
      </c>
      <c r="K1057" s="36">
        <v>115.1</v>
      </c>
      <c r="L1057" s="36">
        <f t="shared" si="8"/>
        <v>1</v>
      </c>
      <c r="M1057" s="36" t="str">
        <f t="shared" si="3"/>
        <v>Regular Season</v>
      </c>
      <c r="N1057" s="36" t="str">
        <f>IFERROR(VLOOKUP(I1057,Mapped_Owner,2,0),"")</f>
        <v>Pierson</v>
      </c>
      <c r="O1057" s="6">
        <f>VLOOKUP(D1057,'Mapped Opponent'!$G$4:$H$22,2,0)</f>
        <v>13</v>
      </c>
      <c r="P1057" s="6" t="str">
        <f t="shared" si="16"/>
        <v>Yung Breezy n Lil' LeSean</v>
      </c>
      <c r="Q1057" s="6" t="str">
        <f t="shared" si="4"/>
        <v>Week 13</v>
      </c>
      <c r="R1057" s="6" t="str">
        <f t="shared" si="5"/>
        <v>2016Week 13</v>
      </c>
      <c r="S1057" s="6">
        <f>IFERROR(__xludf.DUMMYFUNCTION("rank(J1057,FILTER(J:J,R:R=R1057))"),1.0)</f>
        <v>1</v>
      </c>
      <c r="T1057" s="6">
        <f t="shared" si="6"/>
        <v>11</v>
      </c>
      <c r="U1057" s="6">
        <f t="shared" si="7"/>
        <v>1</v>
      </c>
      <c r="V1057" s="42">
        <f>averageif(AllData!A:A,B1057,AllData!R:R)/vlookup(B1057,AllData!A:O,15,0)</f>
        <v>94.18910256</v>
      </c>
      <c r="W1057" s="6"/>
    </row>
    <row r="1058" ht="14.25" customHeight="1">
      <c r="A1058" s="6" t="str">
        <f t="shared" si="1"/>
        <v>2016Hudspeath2</v>
      </c>
      <c r="B1058" s="6">
        <v>2016.0</v>
      </c>
      <c r="C1058" s="6" t="s">
        <v>39</v>
      </c>
      <c r="D1058" s="6" t="s">
        <v>131</v>
      </c>
      <c r="E1058" s="34"/>
      <c r="F1058" s="6" t="s">
        <v>2463</v>
      </c>
      <c r="H1058" s="6" t="s">
        <v>2464</v>
      </c>
      <c r="I1058" s="35" t="s">
        <v>80</v>
      </c>
      <c r="J1058" s="36">
        <v>104.7</v>
      </c>
      <c r="K1058" s="36">
        <v>105.6</v>
      </c>
      <c r="L1058" s="36">
        <f t="shared" si="8"/>
        <v>0</v>
      </c>
      <c r="M1058" s="36" t="str">
        <f t="shared" si="3"/>
        <v>Regular Season</v>
      </c>
      <c r="N1058" s="36" t="str">
        <f>IFERROR(VLOOKUP(I1058,Mapped_Owner,2,0),"")</f>
        <v>Fellows</v>
      </c>
      <c r="O1058" s="6">
        <f>VLOOKUP(D1058,'Mapped Opponent'!$G$4:$H$22,2,0)</f>
        <v>2</v>
      </c>
      <c r="P1058" s="6"/>
      <c r="Q1058" s="6" t="str">
        <f t="shared" si="4"/>
        <v>Week 2</v>
      </c>
      <c r="R1058" s="6" t="str">
        <f t="shared" si="5"/>
        <v>2016Week 2</v>
      </c>
      <c r="S1058" s="6">
        <f>IFERROR(__xludf.DUMMYFUNCTION("rank(J1058,FILTER(J:J,R:R=R1058))"),5.0)</f>
        <v>5</v>
      </c>
      <c r="T1058" s="6">
        <f t="shared" si="6"/>
        <v>7</v>
      </c>
      <c r="U1058" s="6">
        <f t="shared" si="7"/>
        <v>5</v>
      </c>
      <c r="V1058" s="42">
        <f>averageif(AllData!A:A,B1058,AllData!R:R)/vlookup(B1058,AllData!A:O,15,0)</f>
        <v>94.18910256</v>
      </c>
      <c r="W1058" s="6"/>
    </row>
    <row r="1059" ht="14.25" customHeight="1">
      <c r="A1059" s="6" t="str">
        <f t="shared" si="1"/>
        <v>2016Salty2</v>
      </c>
      <c r="B1059" s="6">
        <v>2016.0</v>
      </c>
      <c r="C1059" s="6" t="s">
        <v>76</v>
      </c>
      <c r="D1059" s="6" t="s">
        <v>131</v>
      </c>
      <c r="E1059" s="34"/>
      <c r="F1059" s="6" t="s">
        <v>2767</v>
      </c>
      <c r="H1059" s="6" t="s">
        <v>2648</v>
      </c>
      <c r="I1059" s="35" t="s">
        <v>146</v>
      </c>
      <c r="J1059" s="36">
        <v>54.9</v>
      </c>
      <c r="K1059" s="36">
        <v>76.4</v>
      </c>
      <c r="L1059" s="36">
        <f t="shared" si="8"/>
        <v>0</v>
      </c>
      <c r="M1059" s="36" t="str">
        <f t="shared" si="3"/>
        <v>Regular Season</v>
      </c>
      <c r="N1059" s="36" t="str">
        <f>IFERROR(VLOOKUP(I1059,Mapped_Owner,2,0),"")</f>
        <v>Cock</v>
      </c>
      <c r="O1059" s="6">
        <f>VLOOKUP(D1059,'Mapped Opponent'!$G$4:$H$22,2,0)</f>
        <v>2</v>
      </c>
      <c r="P1059" s="6"/>
      <c r="Q1059" s="6" t="str">
        <f t="shared" si="4"/>
        <v>Week 2</v>
      </c>
      <c r="R1059" s="6" t="str">
        <f t="shared" si="5"/>
        <v>2016Week 2</v>
      </c>
      <c r="S1059" s="6">
        <f>IFERROR(__xludf.DUMMYFUNCTION("rank(J1059,FILTER(J:J,R:R=R1059))"),12.0)</f>
        <v>12</v>
      </c>
      <c r="T1059" s="6">
        <f t="shared" si="6"/>
        <v>0</v>
      </c>
      <c r="U1059" s="6">
        <f t="shared" si="7"/>
        <v>12</v>
      </c>
      <c r="V1059" s="42">
        <f>averageif(AllData!A:A,B1059,AllData!R:R)/vlookup(B1059,AllData!A:O,15,0)</f>
        <v>94.18910256</v>
      </c>
      <c r="W1059" s="6"/>
    </row>
    <row r="1060" ht="14.25" customHeight="1">
      <c r="A1060" s="6" t="str">
        <f t="shared" si="1"/>
        <v>2016Fellows2</v>
      </c>
      <c r="B1060" s="6">
        <v>2016.0</v>
      </c>
      <c r="C1060" s="6" t="s">
        <v>79</v>
      </c>
      <c r="D1060" s="6" t="s">
        <v>131</v>
      </c>
      <c r="E1060" s="34"/>
      <c r="F1060" s="6" t="s">
        <v>2768</v>
      </c>
      <c r="G1060" s="6" t="s">
        <v>2449</v>
      </c>
      <c r="H1060" s="6" t="s">
        <v>2662</v>
      </c>
      <c r="I1060" s="35" t="s">
        <v>64</v>
      </c>
      <c r="J1060" s="36">
        <v>105.6</v>
      </c>
      <c r="K1060" s="36">
        <v>104.7</v>
      </c>
      <c r="L1060" s="36">
        <f t="shared" si="8"/>
        <v>1</v>
      </c>
      <c r="M1060" s="36" t="str">
        <f t="shared" si="3"/>
        <v>Regular Season</v>
      </c>
      <c r="N1060" s="36" t="str">
        <f>IFERROR(VLOOKUP(I1060,Mapped_Owner,2,0),"")</f>
        <v>Hudspeath</v>
      </c>
      <c r="O1060" s="6">
        <f>VLOOKUP(D1060,'Mapped Opponent'!$G$4:$H$22,2,0)</f>
        <v>2</v>
      </c>
      <c r="P1060" s="6" t="str">
        <f t="shared" ref="P1060:P1069" si="17">LEFT(H1060,FIND("(",H1060)-2)</f>
        <v>Cutler's Year</v>
      </c>
      <c r="Q1060" s="6" t="str">
        <f t="shared" si="4"/>
        <v>Week 2</v>
      </c>
      <c r="R1060" s="6" t="str">
        <f t="shared" si="5"/>
        <v>2016Week 2</v>
      </c>
      <c r="S1060" s="6">
        <f>IFERROR(__xludf.DUMMYFUNCTION("rank(J1060,FILTER(J:J,R:R=R1060))"),4.0)</f>
        <v>4</v>
      </c>
      <c r="T1060" s="6">
        <f t="shared" si="6"/>
        <v>8</v>
      </c>
      <c r="U1060" s="6">
        <f t="shared" si="7"/>
        <v>4</v>
      </c>
      <c r="V1060" s="42">
        <f>averageif(AllData!A:A,B1060,AllData!R:R)/vlookup(B1060,AllData!A:O,15,0)</f>
        <v>94.18910256</v>
      </c>
      <c r="W1060" s="6"/>
    </row>
    <row r="1061" ht="14.25" customHeight="1">
      <c r="A1061" s="6" t="str">
        <f t="shared" si="1"/>
        <v>2016Shep2</v>
      </c>
      <c r="B1061" s="6">
        <v>2016.0</v>
      </c>
      <c r="C1061" s="6" t="s">
        <v>89</v>
      </c>
      <c r="D1061" s="6" t="s">
        <v>131</v>
      </c>
      <c r="E1061" s="34"/>
      <c r="F1061" s="6" t="s">
        <v>2769</v>
      </c>
      <c r="G1061" s="6" t="s">
        <v>2449</v>
      </c>
      <c r="H1061" s="6" t="s">
        <v>2664</v>
      </c>
      <c r="I1061" s="35" t="s">
        <v>58</v>
      </c>
      <c r="J1061" s="36">
        <v>71.4</v>
      </c>
      <c r="K1061" s="36">
        <v>79.2</v>
      </c>
      <c r="L1061" s="36">
        <f t="shared" si="8"/>
        <v>0</v>
      </c>
      <c r="M1061" s="36" t="str">
        <f t="shared" si="3"/>
        <v>Regular Season</v>
      </c>
      <c r="N1061" s="36" t="str">
        <f>IFERROR(VLOOKUP(I1061,Mapped_Owner,2,0),"")</f>
        <v>Rooney/Jackson</v>
      </c>
      <c r="O1061" s="6">
        <f>VLOOKUP(D1061,'Mapped Opponent'!$G$4:$H$22,2,0)</f>
        <v>2</v>
      </c>
      <c r="P1061" s="6" t="str">
        <f t="shared" si="17"/>
        <v>Rob "Ryan Chip" Kelley</v>
      </c>
      <c r="Q1061" s="6" t="str">
        <f t="shared" si="4"/>
        <v>Week 2</v>
      </c>
      <c r="R1061" s="6" t="str">
        <f t="shared" si="5"/>
        <v>2016Week 2</v>
      </c>
      <c r="S1061" s="6">
        <f>IFERROR(__xludf.DUMMYFUNCTION("rank(J1061,FILTER(J:J,R:R=R1061))"),10.0)</f>
        <v>10</v>
      </c>
      <c r="T1061" s="6">
        <f t="shared" si="6"/>
        <v>2</v>
      </c>
      <c r="U1061" s="6">
        <f t="shared" si="7"/>
        <v>10</v>
      </c>
      <c r="V1061" s="42">
        <f>averageif(AllData!A:A,B1061,AllData!R:R)/vlookup(B1061,AllData!A:O,15,0)</f>
        <v>94.18910256</v>
      </c>
      <c r="W1061" s="6"/>
    </row>
    <row r="1062" ht="14.25" customHeight="1">
      <c r="A1062" s="6" t="str">
        <f t="shared" si="1"/>
        <v>2016Riley2</v>
      </c>
      <c r="B1062" s="6">
        <v>2016.0</v>
      </c>
      <c r="C1062" s="6" t="s">
        <v>67</v>
      </c>
      <c r="D1062" s="6" t="s">
        <v>131</v>
      </c>
      <c r="E1062" s="34"/>
      <c r="F1062" s="6" t="s">
        <v>2770</v>
      </c>
      <c r="G1062" s="6" t="s">
        <v>2449</v>
      </c>
      <c r="H1062" s="6" t="s">
        <v>2654</v>
      </c>
      <c r="I1062" s="35" t="s">
        <v>132</v>
      </c>
      <c r="J1062" s="36">
        <v>147.5</v>
      </c>
      <c r="K1062" s="36">
        <v>80.6</v>
      </c>
      <c r="L1062" s="36">
        <f t="shared" si="8"/>
        <v>1</v>
      </c>
      <c r="M1062" s="36" t="str">
        <f t="shared" si="3"/>
        <v>Regular Season</v>
      </c>
      <c r="N1062" s="36" t="str">
        <f>IFERROR(VLOOKUP(I1062,Mapped_Owner,2,0),"")</f>
        <v>KnardDawg</v>
      </c>
      <c r="O1062" s="6">
        <f>VLOOKUP(D1062,'Mapped Opponent'!$G$4:$H$22,2,0)</f>
        <v>2</v>
      </c>
      <c r="P1062" s="6" t="str">
        <f t="shared" si="17"/>
        <v>Bring tha Juice</v>
      </c>
      <c r="Q1062" s="6" t="str">
        <f t="shared" si="4"/>
        <v>Week 2</v>
      </c>
      <c r="R1062" s="6" t="str">
        <f t="shared" si="5"/>
        <v>2016Week 2</v>
      </c>
      <c r="S1062" s="6">
        <f>IFERROR(__xludf.DUMMYFUNCTION("rank(J1062,FILTER(J:J,R:R=R1062))"),1.0)</f>
        <v>1</v>
      </c>
      <c r="T1062" s="6">
        <f t="shared" si="6"/>
        <v>11</v>
      </c>
      <c r="U1062" s="6">
        <f t="shared" si="7"/>
        <v>1</v>
      </c>
      <c r="V1062" s="42">
        <f>averageif(AllData!A:A,B1062,AllData!R:R)/vlookup(B1062,AllData!A:O,15,0)</f>
        <v>94.18910256</v>
      </c>
      <c r="W1062" s="6"/>
    </row>
    <row r="1063" ht="14.25" customHeight="1">
      <c r="A1063" s="6" t="str">
        <f t="shared" si="1"/>
        <v>2016Rooney/Jackson2</v>
      </c>
      <c r="B1063" s="6">
        <v>2016.0</v>
      </c>
      <c r="C1063" s="6" t="s">
        <v>57</v>
      </c>
      <c r="D1063" s="6" t="s">
        <v>131</v>
      </c>
      <c r="E1063" s="34"/>
      <c r="F1063" s="6" t="s">
        <v>2771</v>
      </c>
      <c r="H1063" s="6" t="s">
        <v>2678</v>
      </c>
      <c r="I1063" s="35" t="s">
        <v>91</v>
      </c>
      <c r="J1063" s="36">
        <v>79.2</v>
      </c>
      <c r="K1063" s="36">
        <v>71.4</v>
      </c>
      <c r="L1063" s="36">
        <f t="shared" si="8"/>
        <v>1</v>
      </c>
      <c r="M1063" s="36" t="str">
        <f t="shared" si="3"/>
        <v>Regular Season</v>
      </c>
      <c r="N1063" s="36" t="str">
        <f>IFERROR(VLOOKUP(I1063,Mapped_Owner,2,0),"")</f>
        <v>Shep</v>
      </c>
      <c r="O1063" s="6">
        <f>VLOOKUP(D1063,'Mapped Opponent'!$G$4:$H$22,2,0)</f>
        <v>2</v>
      </c>
      <c r="P1063" s="6" t="str">
        <f t="shared" si="17"/>
        <v>Suburban Kings II</v>
      </c>
      <c r="Q1063" s="6" t="str">
        <f t="shared" si="4"/>
        <v>Week 2</v>
      </c>
      <c r="R1063" s="6" t="str">
        <f t="shared" si="5"/>
        <v>2016Week 2</v>
      </c>
      <c r="S1063" s="6">
        <f>IFERROR(__xludf.DUMMYFUNCTION("rank(J1063,FILTER(J:J,R:R=R1063))"),8.0)</f>
        <v>8</v>
      </c>
      <c r="T1063" s="6">
        <f t="shared" si="6"/>
        <v>4</v>
      </c>
      <c r="U1063" s="6">
        <f t="shared" si="7"/>
        <v>8</v>
      </c>
      <c r="V1063" s="42">
        <f>averageif(AllData!A:A,B1063,AllData!R:R)/vlookup(B1063,AllData!A:O,15,0)</f>
        <v>94.18910256</v>
      </c>
      <c r="W1063" s="6"/>
    </row>
    <row r="1064" ht="14.25" customHeight="1">
      <c r="A1064" s="6" t="str">
        <f t="shared" si="1"/>
        <v>2016Buser2</v>
      </c>
      <c r="B1064" s="6">
        <v>2016.0</v>
      </c>
      <c r="C1064" s="6" t="s">
        <v>47</v>
      </c>
      <c r="D1064" s="6" t="s">
        <v>131</v>
      </c>
      <c r="E1064" s="34"/>
      <c r="F1064" s="6" t="s">
        <v>2772</v>
      </c>
      <c r="G1064" s="6" t="s">
        <v>2449</v>
      </c>
      <c r="H1064" s="6" t="s">
        <v>2656</v>
      </c>
      <c r="I1064" s="35" t="s">
        <v>54</v>
      </c>
      <c r="J1064" s="36">
        <v>112.7</v>
      </c>
      <c r="K1064" s="36">
        <v>62.7</v>
      </c>
      <c r="L1064" s="36">
        <f t="shared" si="8"/>
        <v>1</v>
      </c>
      <c r="M1064" s="36" t="str">
        <f t="shared" si="3"/>
        <v>Regular Season</v>
      </c>
      <c r="N1064" s="36" t="str">
        <f>IFERROR(VLOOKUP(I1064,Mapped_Owner,2,0),"")</f>
        <v>Tayski</v>
      </c>
      <c r="O1064" s="6">
        <f>VLOOKUP(D1064,'Mapped Opponent'!$G$4:$H$22,2,0)</f>
        <v>2</v>
      </c>
      <c r="P1064" s="6" t="str">
        <f t="shared" si="17"/>
        <v>Keenan Allen Memorial Team</v>
      </c>
      <c r="Q1064" s="6" t="str">
        <f t="shared" si="4"/>
        <v>Week 2</v>
      </c>
      <c r="R1064" s="6" t="str">
        <f t="shared" si="5"/>
        <v>2016Week 2</v>
      </c>
      <c r="S1064" s="6">
        <f>IFERROR(__xludf.DUMMYFUNCTION("rank(J1064,FILTER(J:J,R:R=R1064))"),2.0)</f>
        <v>2</v>
      </c>
      <c r="T1064" s="6">
        <f t="shared" si="6"/>
        <v>10</v>
      </c>
      <c r="U1064" s="6">
        <f t="shared" si="7"/>
        <v>2</v>
      </c>
      <c r="V1064" s="42">
        <f>averageif(AllData!A:A,B1064,AllData!R:R)/vlookup(B1064,AllData!A:O,15,0)</f>
        <v>94.18910256</v>
      </c>
      <c r="W1064" s="6"/>
    </row>
    <row r="1065" ht="14.25" customHeight="1">
      <c r="A1065" s="6" t="str">
        <f t="shared" si="1"/>
        <v>2016Pierson2</v>
      </c>
      <c r="B1065" s="6">
        <v>2016.0</v>
      </c>
      <c r="C1065" s="6" t="s">
        <v>92</v>
      </c>
      <c r="D1065" s="6" t="s">
        <v>131</v>
      </c>
      <c r="E1065" s="34"/>
      <c r="F1065" s="6" t="s">
        <v>2773</v>
      </c>
      <c r="H1065" s="6" t="s">
        <v>2450</v>
      </c>
      <c r="I1065" s="35" t="s">
        <v>85</v>
      </c>
      <c r="J1065" s="36">
        <v>94.2</v>
      </c>
      <c r="K1065" s="36">
        <v>110.1</v>
      </c>
      <c r="L1065" s="36">
        <f t="shared" si="8"/>
        <v>0</v>
      </c>
      <c r="M1065" s="36" t="str">
        <f t="shared" si="3"/>
        <v>Regular Season</v>
      </c>
      <c r="N1065" s="36" t="str">
        <f>IFERROR(VLOOKUP(I1065,Mapped_Owner,2,0),"")</f>
        <v>T-How</v>
      </c>
      <c r="O1065" s="6">
        <f>VLOOKUP(D1065,'Mapped Opponent'!$G$4:$H$22,2,0)</f>
        <v>2</v>
      </c>
      <c r="P1065" s="6" t="str">
        <f t="shared" si="17"/>
        <v>DeAndre 3000</v>
      </c>
      <c r="Q1065" s="6" t="str">
        <f t="shared" si="4"/>
        <v>Week 2</v>
      </c>
      <c r="R1065" s="6" t="str">
        <f t="shared" si="5"/>
        <v>2016Week 2</v>
      </c>
      <c r="S1065" s="6">
        <f>IFERROR(__xludf.DUMMYFUNCTION("rank(J1065,FILTER(J:J,R:R=R1065))"),6.0)</f>
        <v>6</v>
      </c>
      <c r="T1065" s="6">
        <f t="shared" si="6"/>
        <v>6</v>
      </c>
      <c r="U1065" s="6">
        <f t="shared" si="7"/>
        <v>6</v>
      </c>
      <c r="V1065" s="42">
        <f>averageif(AllData!A:A,B1065,AllData!R:R)/vlookup(B1065,AllData!A:O,15,0)</f>
        <v>94.18910256</v>
      </c>
      <c r="W1065" s="6"/>
    </row>
    <row r="1066" ht="14.25" customHeight="1">
      <c r="A1066" s="6" t="str">
        <f t="shared" si="1"/>
        <v>2016Cock2</v>
      </c>
      <c r="B1066" s="6">
        <v>2016.0</v>
      </c>
      <c r="C1066" s="6" t="s">
        <v>72</v>
      </c>
      <c r="D1066" s="6" t="s">
        <v>131</v>
      </c>
      <c r="E1066" s="6"/>
      <c r="F1066" s="6" t="s">
        <v>2774</v>
      </c>
      <c r="G1066" s="6" t="s">
        <v>2449</v>
      </c>
      <c r="H1066" s="6" t="s">
        <v>2651</v>
      </c>
      <c r="I1066" s="35" t="s">
        <v>77</v>
      </c>
      <c r="J1066" s="36">
        <v>76.4</v>
      </c>
      <c r="K1066" s="36">
        <v>54.9</v>
      </c>
      <c r="L1066" s="36">
        <f t="shared" si="8"/>
        <v>1</v>
      </c>
      <c r="M1066" s="36" t="str">
        <f t="shared" si="3"/>
        <v>Regular Season</v>
      </c>
      <c r="N1066" s="36" t="str">
        <f>IFERROR(VLOOKUP(I1066,Mapped_Owner,2,0),"")</f>
        <v>Salty</v>
      </c>
      <c r="O1066" s="6">
        <f>VLOOKUP(D1066,'Mapped Opponent'!$G$4:$H$22,2,0)</f>
        <v>2</v>
      </c>
      <c r="P1066" s="6" t="str">
        <f t="shared" si="17"/>
        <v>Last Manning Standing</v>
      </c>
      <c r="Q1066" s="6" t="str">
        <f t="shared" si="4"/>
        <v>Week 2</v>
      </c>
      <c r="R1066" s="6" t="str">
        <f t="shared" si="5"/>
        <v>2016Week 2</v>
      </c>
      <c r="S1066" s="6">
        <f>IFERROR(__xludf.DUMMYFUNCTION("rank(J1066,FILTER(J:J,R:R=R1066))"),9.0)</f>
        <v>9</v>
      </c>
      <c r="T1066" s="6">
        <f t="shared" si="6"/>
        <v>3</v>
      </c>
      <c r="U1066" s="6">
        <f t="shared" si="7"/>
        <v>9</v>
      </c>
      <c r="V1066" s="42">
        <f>averageif(AllData!A:A,B1066,AllData!R:R)/vlookup(B1066,AllData!A:O,15,0)</f>
        <v>94.18910256</v>
      </c>
      <c r="W1066" s="6"/>
    </row>
    <row r="1067" ht="14.25" customHeight="1">
      <c r="A1067" s="6" t="str">
        <f t="shared" si="1"/>
        <v>2016Tayski2</v>
      </c>
      <c r="B1067" s="6">
        <v>2016.0</v>
      </c>
      <c r="C1067" s="6" t="s">
        <v>52</v>
      </c>
      <c r="D1067" s="6" t="s">
        <v>131</v>
      </c>
      <c r="E1067" s="34"/>
      <c r="F1067" s="6" t="s">
        <v>2775</v>
      </c>
      <c r="H1067" s="35" t="s">
        <v>2660</v>
      </c>
      <c r="I1067" s="35" t="s">
        <v>50</v>
      </c>
      <c r="J1067" s="36">
        <v>62.7</v>
      </c>
      <c r="K1067" s="36">
        <v>112.7</v>
      </c>
      <c r="L1067" s="36">
        <f t="shared" si="8"/>
        <v>0</v>
      </c>
      <c r="M1067" s="36" t="str">
        <f t="shared" si="3"/>
        <v>Regular Season</v>
      </c>
      <c r="N1067" s="36" t="str">
        <f>IFERROR(VLOOKUP(I1067,Mapped_Owner,2,0),"")</f>
        <v>Buser</v>
      </c>
      <c r="O1067" s="6">
        <f>VLOOKUP(D1067,'Mapped Opponent'!$G$4:$H$22,2,0)</f>
        <v>2</v>
      </c>
      <c r="P1067" s="6" t="str">
        <f t="shared" si="17"/>
        <v>Julio, Get The Catch!</v>
      </c>
      <c r="Q1067" s="6" t="str">
        <f t="shared" si="4"/>
        <v>Week 2</v>
      </c>
      <c r="R1067" s="6" t="str">
        <f t="shared" si="5"/>
        <v>2016Week 2</v>
      </c>
      <c r="S1067" s="6">
        <f>IFERROR(__xludf.DUMMYFUNCTION("rank(J1067,FILTER(J:J,R:R=R1067))"),11.0)</f>
        <v>11</v>
      </c>
      <c r="T1067" s="6">
        <f t="shared" si="6"/>
        <v>1</v>
      </c>
      <c r="U1067" s="6">
        <f t="shared" si="7"/>
        <v>11</v>
      </c>
      <c r="V1067" s="42">
        <f>averageif(AllData!A:A,B1067,AllData!R:R)/vlookup(B1067,AllData!A:O,15,0)</f>
        <v>94.18910256</v>
      </c>
      <c r="W1067" s="6"/>
    </row>
    <row r="1068" ht="14.25" customHeight="1">
      <c r="A1068" s="6" t="str">
        <f t="shared" si="1"/>
        <v>2016KnardDawg2</v>
      </c>
      <c r="B1068" s="6">
        <v>2016.0</v>
      </c>
      <c r="C1068" s="6" t="s">
        <v>86</v>
      </c>
      <c r="D1068" s="6" t="s">
        <v>131</v>
      </c>
      <c r="E1068" s="34"/>
      <c r="F1068" s="6" t="s">
        <v>2776</v>
      </c>
      <c r="H1068" s="6" t="s">
        <v>2666</v>
      </c>
      <c r="I1068" s="35" t="s">
        <v>68</v>
      </c>
      <c r="J1068" s="36">
        <v>80.6</v>
      </c>
      <c r="K1068" s="36">
        <v>147.5</v>
      </c>
      <c r="L1068" s="36">
        <f t="shared" si="8"/>
        <v>0</v>
      </c>
      <c r="M1068" s="36" t="str">
        <f t="shared" si="3"/>
        <v>Regular Season</v>
      </c>
      <c r="N1068" s="36" t="str">
        <f>IFERROR(VLOOKUP(I1068,Mapped_Owner,2,0),"")</f>
        <v>Riley</v>
      </c>
      <c r="O1068" s="6">
        <f>VLOOKUP(D1068,'Mapped Opponent'!$G$4:$H$22,2,0)</f>
        <v>2</v>
      </c>
      <c r="P1068" s="6" t="str">
        <f t="shared" si="17"/>
        <v>Wain Newton</v>
      </c>
      <c r="Q1068" s="6" t="str">
        <f t="shared" si="4"/>
        <v>Week 2</v>
      </c>
      <c r="R1068" s="6" t="str">
        <f t="shared" si="5"/>
        <v>2016Week 2</v>
      </c>
      <c r="S1068" s="6">
        <f>IFERROR(__xludf.DUMMYFUNCTION("rank(J1068,FILTER(J:J,R:R=R1068))"),7.0)</f>
        <v>7</v>
      </c>
      <c r="T1068" s="6">
        <f t="shared" si="6"/>
        <v>5</v>
      </c>
      <c r="U1068" s="6">
        <f t="shared" si="7"/>
        <v>7</v>
      </c>
      <c r="V1068" s="42">
        <f>averageif(AllData!A:A,B1068,AllData!R:R)/vlookup(B1068,AllData!A:O,15,0)</f>
        <v>94.18910256</v>
      </c>
      <c r="W1068" s="6"/>
    </row>
    <row r="1069" ht="14.25" customHeight="1">
      <c r="A1069" s="6" t="str">
        <f t="shared" si="1"/>
        <v>2016T-How2</v>
      </c>
      <c r="B1069" s="6">
        <v>2016.0</v>
      </c>
      <c r="C1069" s="6" t="s">
        <v>82</v>
      </c>
      <c r="D1069" s="6" t="s">
        <v>131</v>
      </c>
      <c r="E1069" s="34"/>
      <c r="F1069" s="6" t="s">
        <v>2777</v>
      </c>
      <c r="G1069" s="6" t="s">
        <v>2449</v>
      </c>
      <c r="H1069" s="6" t="s">
        <v>2658</v>
      </c>
      <c r="I1069" s="35" t="s">
        <v>93</v>
      </c>
      <c r="J1069" s="36">
        <v>110.1</v>
      </c>
      <c r="K1069" s="36">
        <v>94.2</v>
      </c>
      <c r="L1069" s="36">
        <f t="shared" si="8"/>
        <v>1</v>
      </c>
      <c r="M1069" s="36" t="str">
        <f t="shared" si="3"/>
        <v>Regular Season</v>
      </c>
      <c r="N1069" s="36" t="str">
        <f>IFERROR(VLOOKUP(I1069,Mapped_Owner,2,0),"")</f>
        <v>Pierson</v>
      </c>
      <c r="O1069" s="6">
        <f>VLOOKUP(D1069,'Mapped Opponent'!$G$4:$H$22,2,0)</f>
        <v>2</v>
      </c>
      <c r="P1069" s="6" t="str">
        <f t="shared" si="17"/>
        <v>Yung Breezy n Lil' LeSean</v>
      </c>
      <c r="Q1069" s="6" t="str">
        <f t="shared" si="4"/>
        <v>Week 2</v>
      </c>
      <c r="R1069" s="6" t="str">
        <f t="shared" si="5"/>
        <v>2016Week 2</v>
      </c>
      <c r="S1069" s="6">
        <f>IFERROR(__xludf.DUMMYFUNCTION("rank(J1069,FILTER(J:J,R:R=R1069))"),3.0)</f>
        <v>3</v>
      </c>
      <c r="T1069" s="6">
        <f t="shared" si="6"/>
        <v>9</v>
      </c>
      <c r="U1069" s="6">
        <f t="shared" si="7"/>
        <v>3</v>
      </c>
      <c r="V1069" s="42">
        <f>averageif(AllData!A:A,B1069,AllData!R:R)/vlookup(B1069,AllData!A:O,15,0)</f>
        <v>94.18910256</v>
      </c>
      <c r="W1069" s="6"/>
    </row>
    <row r="1070" ht="14.25" customHeight="1">
      <c r="A1070" s="6" t="str">
        <f t="shared" si="1"/>
        <v>2016Hudspeath3</v>
      </c>
      <c r="B1070" s="6">
        <v>2016.0</v>
      </c>
      <c r="C1070" s="6" t="s">
        <v>39</v>
      </c>
      <c r="D1070" s="6" t="s">
        <v>135</v>
      </c>
      <c r="E1070" s="34"/>
      <c r="F1070" s="6" t="s">
        <v>2778</v>
      </c>
      <c r="G1070" s="6" t="s">
        <v>2449</v>
      </c>
      <c r="H1070" s="6" t="s">
        <v>2658</v>
      </c>
      <c r="I1070" s="35" t="s">
        <v>93</v>
      </c>
      <c r="J1070" s="36">
        <v>115.7</v>
      </c>
      <c r="K1070" s="36">
        <v>129.3</v>
      </c>
      <c r="L1070" s="36">
        <f t="shared" si="8"/>
        <v>0</v>
      </c>
      <c r="M1070" s="36" t="str">
        <f t="shared" si="3"/>
        <v>Regular Season</v>
      </c>
      <c r="N1070" s="36" t="str">
        <f>IFERROR(VLOOKUP(I1070,Mapped_Owner,2,0),"")</f>
        <v>Pierson</v>
      </c>
      <c r="O1070" s="6">
        <f>VLOOKUP(D1070,'Mapped Opponent'!$G$4:$H$22,2,0)</f>
        <v>3</v>
      </c>
      <c r="P1070" s="6"/>
      <c r="Q1070" s="6" t="str">
        <f t="shared" si="4"/>
        <v>Week 3</v>
      </c>
      <c r="R1070" s="6" t="str">
        <f t="shared" si="5"/>
        <v>2016Week 3</v>
      </c>
      <c r="S1070" s="6">
        <f>IFERROR(__xludf.DUMMYFUNCTION("rank(J1070,FILTER(J:J,R:R=R1070))"),4.0)</f>
        <v>4</v>
      </c>
      <c r="T1070" s="6">
        <f t="shared" si="6"/>
        <v>8</v>
      </c>
      <c r="U1070" s="6">
        <f t="shared" si="7"/>
        <v>4</v>
      </c>
      <c r="V1070" s="42">
        <f>averageif(AllData!A:A,B1070,AllData!R:R)/vlookup(B1070,AllData!A:O,15,0)</f>
        <v>94.18910256</v>
      </c>
      <c r="W1070" s="6"/>
    </row>
    <row r="1071" ht="14.25" customHeight="1">
      <c r="A1071" s="6" t="str">
        <f t="shared" si="1"/>
        <v>2016Salty3</v>
      </c>
      <c r="B1071" s="6">
        <v>2016.0</v>
      </c>
      <c r="C1071" s="6" t="s">
        <v>76</v>
      </c>
      <c r="D1071" s="6" t="s">
        <v>135</v>
      </c>
      <c r="E1071" s="34"/>
      <c r="F1071" s="6" t="s">
        <v>2779</v>
      </c>
      <c r="G1071" s="6" t="s">
        <v>2449</v>
      </c>
      <c r="H1071" s="6" t="s">
        <v>2450</v>
      </c>
      <c r="I1071" s="35" t="s">
        <v>85</v>
      </c>
      <c r="J1071" s="36">
        <v>120.6</v>
      </c>
      <c r="K1071" s="36">
        <v>88.3</v>
      </c>
      <c r="L1071" s="36">
        <f t="shared" si="8"/>
        <v>1</v>
      </c>
      <c r="M1071" s="36" t="str">
        <f t="shared" si="3"/>
        <v>Regular Season</v>
      </c>
      <c r="N1071" s="36" t="str">
        <f>IFERROR(VLOOKUP(I1071,Mapped_Owner,2,0),"")</f>
        <v>T-How</v>
      </c>
      <c r="O1071" s="6">
        <f>VLOOKUP(D1071,'Mapped Opponent'!$G$4:$H$22,2,0)</f>
        <v>3</v>
      </c>
      <c r="P1071" s="6"/>
      <c r="Q1071" s="6" t="str">
        <f t="shared" si="4"/>
        <v>Week 3</v>
      </c>
      <c r="R1071" s="6" t="str">
        <f t="shared" si="5"/>
        <v>2016Week 3</v>
      </c>
      <c r="S1071" s="6">
        <f>IFERROR(__xludf.DUMMYFUNCTION("rank(J1071,FILTER(J:J,R:R=R1071))"),2.0)</f>
        <v>2</v>
      </c>
      <c r="T1071" s="6">
        <f t="shared" si="6"/>
        <v>10</v>
      </c>
      <c r="U1071" s="6">
        <f t="shared" si="7"/>
        <v>2</v>
      </c>
      <c r="V1071" s="42">
        <f>averageif(AllData!A:A,B1071,AllData!R:R)/vlookup(B1071,AllData!A:O,15,0)</f>
        <v>94.18910256</v>
      </c>
      <c r="W1071" s="6"/>
    </row>
    <row r="1072" ht="14.25" customHeight="1">
      <c r="A1072" s="6" t="str">
        <f t="shared" si="1"/>
        <v>2016Fellows3</v>
      </c>
      <c r="B1072" s="6">
        <v>2016.0</v>
      </c>
      <c r="C1072" s="6" t="s">
        <v>79</v>
      </c>
      <c r="D1072" s="6" t="s">
        <v>135</v>
      </c>
      <c r="E1072" s="34"/>
      <c r="F1072" s="6" t="s">
        <v>2780</v>
      </c>
      <c r="H1072" s="6" t="s">
        <v>2654</v>
      </c>
      <c r="I1072" s="35" t="s">
        <v>132</v>
      </c>
      <c r="J1072" s="36">
        <v>76.3</v>
      </c>
      <c r="K1072" s="36">
        <v>101.2</v>
      </c>
      <c r="L1072" s="36">
        <f t="shared" si="8"/>
        <v>0</v>
      </c>
      <c r="M1072" s="36" t="str">
        <f t="shared" si="3"/>
        <v>Regular Season</v>
      </c>
      <c r="N1072" s="36" t="str">
        <f>IFERROR(VLOOKUP(I1072,Mapped_Owner,2,0),"")</f>
        <v>KnardDawg</v>
      </c>
      <c r="O1072" s="6">
        <f>VLOOKUP(D1072,'Mapped Opponent'!$G$4:$H$22,2,0)</f>
        <v>3</v>
      </c>
      <c r="P1072" s="6" t="str">
        <f t="shared" ref="P1072:P1081" si="18">LEFT(H1072,FIND("(",H1072)-2)</f>
        <v>Bring tha Juice</v>
      </c>
      <c r="Q1072" s="6" t="str">
        <f t="shared" si="4"/>
        <v>Week 3</v>
      </c>
      <c r="R1072" s="6" t="str">
        <f t="shared" si="5"/>
        <v>2016Week 3</v>
      </c>
      <c r="S1072" s="6">
        <f>IFERROR(__xludf.DUMMYFUNCTION("rank(J1072,FILTER(J:J,R:R=R1072))"),10.0)</f>
        <v>10</v>
      </c>
      <c r="T1072" s="6">
        <f t="shared" si="6"/>
        <v>2</v>
      </c>
      <c r="U1072" s="6">
        <f t="shared" si="7"/>
        <v>10</v>
      </c>
      <c r="V1072" s="42">
        <f>averageif(AllData!A:A,B1072,AllData!R:R)/vlookup(B1072,AllData!A:O,15,0)</f>
        <v>94.18910256</v>
      </c>
      <c r="W1072" s="6"/>
    </row>
    <row r="1073" ht="14.25" customHeight="1">
      <c r="A1073" s="6" t="str">
        <f t="shared" si="1"/>
        <v>2016Shep3</v>
      </c>
      <c r="B1073" s="6">
        <v>2016.0</v>
      </c>
      <c r="C1073" s="6" t="s">
        <v>89</v>
      </c>
      <c r="D1073" s="6" t="s">
        <v>135</v>
      </c>
      <c r="E1073" s="34"/>
      <c r="F1073" s="6" t="s">
        <v>2781</v>
      </c>
      <c r="G1073" s="6" t="s">
        <v>2449</v>
      </c>
      <c r="H1073" s="6" t="s">
        <v>2660</v>
      </c>
      <c r="I1073" s="35" t="s">
        <v>50</v>
      </c>
      <c r="J1073" s="36">
        <v>116.9</v>
      </c>
      <c r="K1073" s="36">
        <v>115.4</v>
      </c>
      <c r="L1073" s="36">
        <f t="shared" si="8"/>
        <v>1</v>
      </c>
      <c r="M1073" s="36" t="str">
        <f t="shared" si="3"/>
        <v>Regular Season</v>
      </c>
      <c r="N1073" s="36" t="str">
        <f>IFERROR(VLOOKUP(I1073,Mapped_Owner,2,0),"")</f>
        <v>Buser</v>
      </c>
      <c r="O1073" s="6">
        <f>VLOOKUP(D1073,'Mapped Opponent'!$G$4:$H$22,2,0)</f>
        <v>3</v>
      </c>
      <c r="P1073" s="6" t="str">
        <f t="shared" si="18"/>
        <v>Julio, Get The Catch!</v>
      </c>
      <c r="Q1073" s="6" t="str">
        <f t="shared" si="4"/>
        <v>Week 3</v>
      </c>
      <c r="R1073" s="6" t="str">
        <f t="shared" si="5"/>
        <v>2016Week 3</v>
      </c>
      <c r="S1073" s="6">
        <f>IFERROR(__xludf.DUMMYFUNCTION("rank(J1073,FILTER(J:J,R:R=R1073))"),3.0)</f>
        <v>3</v>
      </c>
      <c r="T1073" s="6">
        <f t="shared" si="6"/>
        <v>9</v>
      </c>
      <c r="U1073" s="6">
        <f t="shared" si="7"/>
        <v>3</v>
      </c>
      <c r="V1073" s="42">
        <f>averageif(AllData!A:A,B1073,AllData!R:R)/vlookup(B1073,AllData!A:O,15,0)</f>
        <v>94.18910256</v>
      </c>
      <c r="W1073" s="6"/>
    </row>
    <row r="1074" ht="14.25" customHeight="1">
      <c r="A1074" s="6" t="str">
        <f t="shared" si="1"/>
        <v>2016Riley3</v>
      </c>
      <c r="B1074" s="6">
        <v>2016.0</v>
      </c>
      <c r="C1074" s="6" t="s">
        <v>67</v>
      </c>
      <c r="D1074" s="6" t="s">
        <v>135</v>
      </c>
      <c r="E1074" s="34"/>
      <c r="F1074" s="6" t="s">
        <v>2782</v>
      </c>
      <c r="H1074" s="6" t="s">
        <v>2656</v>
      </c>
      <c r="I1074" s="35" t="s">
        <v>54</v>
      </c>
      <c r="J1074" s="36">
        <v>89.1</v>
      </c>
      <c r="K1074" s="36">
        <v>54.9</v>
      </c>
      <c r="L1074" s="36">
        <f t="shared" si="8"/>
        <v>1</v>
      </c>
      <c r="M1074" s="36" t="str">
        <f t="shared" si="3"/>
        <v>Regular Season</v>
      </c>
      <c r="N1074" s="36" t="str">
        <f>IFERROR(VLOOKUP(I1074,Mapped_Owner,2,0),"")</f>
        <v>Tayski</v>
      </c>
      <c r="O1074" s="6">
        <f>VLOOKUP(D1074,'Mapped Opponent'!$G$4:$H$22,2,0)</f>
        <v>3</v>
      </c>
      <c r="P1074" s="6" t="str">
        <f t="shared" si="18"/>
        <v>Keenan Allen Memorial Team</v>
      </c>
      <c r="Q1074" s="6" t="str">
        <f t="shared" si="4"/>
        <v>Week 3</v>
      </c>
      <c r="R1074" s="6" t="str">
        <f t="shared" si="5"/>
        <v>2016Week 3</v>
      </c>
      <c r="S1074" s="6">
        <f>IFERROR(__xludf.DUMMYFUNCTION("rank(J1074,FILTER(J:J,R:R=R1074))"),8.0)</f>
        <v>8</v>
      </c>
      <c r="T1074" s="6">
        <f t="shared" si="6"/>
        <v>4</v>
      </c>
      <c r="U1074" s="6">
        <f t="shared" si="7"/>
        <v>8</v>
      </c>
      <c r="V1074" s="42">
        <f>averageif(AllData!A:A,B1074,AllData!R:R)/vlookup(B1074,AllData!A:O,15,0)</f>
        <v>94.18910256</v>
      </c>
      <c r="W1074" s="6"/>
    </row>
    <row r="1075" ht="14.25" customHeight="1">
      <c r="A1075" s="6" t="str">
        <f t="shared" si="1"/>
        <v>2016Rooney/Jackson3</v>
      </c>
      <c r="B1075" s="6">
        <v>2016.0</v>
      </c>
      <c r="C1075" s="6" t="s">
        <v>57</v>
      </c>
      <c r="D1075" s="6" t="s">
        <v>135</v>
      </c>
      <c r="E1075" s="34"/>
      <c r="F1075" s="6" t="s">
        <v>2783</v>
      </c>
      <c r="G1075" s="6" t="s">
        <v>2449</v>
      </c>
      <c r="H1075" s="6" t="s">
        <v>2648</v>
      </c>
      <c r="I1075" s="35" t="s">
        <v>146</v>
      </c>
      <c r="J1075" s="36">
        <v>76.0</v>
      </c>
      <c r="K1075" s="36">
        <v>90.1</v>
      </c>
      <c r="L1075" s="36">
        <f t="shared" si="8"/>
        <v>0</v>
      </c>
      <c r="M1075" s="36" t="str">
        <f t="shared" si="3"/>
        <v>Regular Season</v>
      </c>
      <c r="N1075" s="36" t="str">
        <f>IFERROR(VLOOKUP(I1075,Mapped_Owner,2,0),"")</f>
        <v>Cock</v>
      </c>
      <c r="O1075" s="6">
        <f>VLOOKUP(D1075,'Mapped Opponent'!$G$4:$H$22,2,0)</f>
        <v>3</v>
      </c>
      <c r="P1075" s="6" t="str">
        <f t="shared" si="18"/>
        <v>J. Cash and The Cochslappers</v>
      </c>
      <c r="Q1075" s="6" t="str">
        <f t="shared" si="4"/>
        <v>Week 3</v>
      </c>
      <c r="R1075" s="6" t="str">
        <f t="shared" si="5"/>
        <v>2016Week 3</v>
      </c>
      <c r="S1075" s="6">
        <f>IFERROR(__xludf.DUMMYFUNCTION("rank(J1075,FILTER(J:J,R:R=R1075))"),11.0)</f>
        <v>11</v>
      </c>
      <c r="T1075" s="6">
        <f t="shared" si="6"/>
        <v>1</v>
      </c>
      <c r="U1075" s="6">
        <f t="shared" si="7"/>
        <v>11</v>
      </c>
      <c r="V1075" s="42">
        <f>averageif(AllData!A:A,B1075,AllData!R:R)/vlookup(B1075,AllData!A:O,15,0)</f>
        <v>94.18910256</v>
      </c>
      <c r="W1075" s="6"/>
    </row>
    <row r="1076" ht="14.25" customHeight="1">
      <c r="A1076" s="6" t="str">
        <f t="shared" si="1"/>
        <v>2016Buser3</v>
      </c>
      <c r="B1076" s="6">
        <v>2016.0</v>
      </c>
      <c r="C1076" s="6" t="s">
        <v>47</v>
      </c>
      <c r="D1076" s="6" t="s">
        <v>135</v>
      </c>
      <c r="E1076" s="34"/>
      <c r="F1076" s="6" t="s">
        <v>2784</v>
      </c>
      <c r="H1076" s="6" t="s">
        <v>2678</v>
      </c>
      <c r="I1076" s="35" t="s">
        <v>91</v>
      </c>
      <c r="J1076" s="36">
        <v>115.4</v>
      </c>
      <c r="K1076" s="36">
        <v>116.9</v>
      </c>
      <c r="L1076" s="36">
        <f t="shared" si="8"/>
        <v>0</v>
      </c>
      <c r="M1076" s="36" t="str">
        <f t="shared" si="3"/>
        <v>Regular Season</v>
      </c>
      <c r="N1076" s="36" t="str">
        <f>IFERROR(VLOOKUP(I1076,Mapped_Owner,2,0),"")</f>
        <v>Shep</v>
      </c>
      <c r="O1076" s="6">
        <f>VLOOKUP(D1076,'Mapped Opponent'!$G$4:$H$22,2,0)</f>
        <v>3</v>
      </c>
      <c r="P1076" s="6" t="str">
        <f t="shared" si="18"/>
        <v>Suburban Kings II</v>
      </c>
      <c r="Q1076" s="6" t="str">
        <f t="shared" si="4"/>
        <v>Week 3</v>
      </c>
      <c r="R1076" s="6" t="str">
        <f t="shared" si="5"/>
        <v>2016Week 3</v>
      </c>
      <c r="S1076" s="6">
        <f>IFERROR(__xludf.DUMMYFUNCTION("rank(J1076,FILTER(J:J,R:R=R1076))"),5.0)</f>
        <v>5</v>
      </c>
      <c r="T1076" s="6">
        <f t="shared" si="6"/>
        <v>7</v>
      </c>
      <c r="U1076" s="6">
        <f t="shared" si="7"/>
        <v>5</v>
      </c>
      <c r="V1076" s="42">
        <f>averageif(AllData!A:A,B1076,AllData!R:R)/vlookup(B1076,AllData!A:O,15,0)</f>
        <v>94.18910256</v>
      </c>
      <c r="W1076" s="6"/>
    </row>
    <row r="1077" ht="14.25" customHeight="1">
      <c r="A1077" s="6" t="str">
        <f t="shared" si="1"/>
        <v>2016Pierson3</v>
      </c>
      <c r="B1077" s="6">
        <v>2016.0</v>
      </c>
      <c r="C1077" s="6" t="s">
        <v>92</v>
      </c>
      <c r="D1077" s="6" t="s">
        <v>135</v>
      </c>
      <c r="E1077" s="34"/>
      <c r="F1077" s="6" t="s">
        <v>2785</v>
      </c>
      <c r="H1077" s="6" t="s">
        <v>2662</v>
      </c>
      <c r="I1077" s="35" t="s">
        <v>64</v>
      </c>
      <c r="J1077" s="36">
        <v>129.3</v>
      </c>
      <c r="K1077" s="36">
        <v>115.7</v>
      </c>
      <c r="L1077" s="36">
        <f t="shared" si="8"/>
        <v>1</v>
      </c>
      <c r="M1077" s="36" t="str">
        <f t="shared" si="3"/>
        <v>Regular Season</v>
      </c>
      <c r="N1077" s="36" t="str">
        <f>IFERROR(VLOOKUP(I1077,Mapped_Owner,2,0),"")</f>
        <v>Hudspeath</v>
      </c>
      <c r="O1077" s="6">
        <f>VLOOKUP(D1077,'Mapped Opponent'!$G$4:$H$22,2,0)</f>
        <v>3</v>
      </c>
      <c r="P1077" s="6" t="str">
        <f t="shared" si="18"/>
        <v>Cutler's Year</v>
      </c>
      <c r="Q1077" s="6" t="str">
        <f t="shared" si="4"/>
        <v>Week 3</v>
      </c>
      <c r="R1077" s="6" t="str">
        <f t="shared" si="5"/>
        <v>2016Week 3</v>
      </c>
      <c r="S1077" s="6">
        <f>IFERROR(__xludf.DUMMYFUNCTION("rank(J1077,FILTER(J:J,R:R=R1077))"),1.0)</f>
        <v>1</v>
      </c>
      <c r="T1077" s="6">
        <f t="shared" si="6"/>
        <v>11</v>
      </c>
      <c r="U1077" s="6">
        <f t="shared" si="7"/>
        <v>1</v>
      </c>
      <c r="V1077" s="42">
        <f>averageif(AllData!A:A,B1077,AllData!R:R)/vlookup(B1077,AllData!A:O,15,0)</f>
        <v>94.18910256</v>
      </c>
      <c r="W1077" s="6"/>
    </row>
    <row r="1078" ht="14.25" customHeight="1">
      <c r="A1078" s="6" t="str">
        <f t="shared" si="1"/>
        <v>2016Cock3</v>
      </c>
      <c r="B1078" s="6">
        <v>2016.0</v>
      </c>
      <c r="C1078" s="6" t="s">
        <v>72</v>
      </c>
      <c r="D1078" s="6" t="s">
        <v>135</v>
      </c>
      <c r="E1078" s="6"/>
      <c r="F1078" s="6" t="s">
        <v>2786</v>
      </c>
      <c r="H1078" s="6" t="s">
        <v>2664</v>
      </c>
      <c r="I1078" s="35" t="s">
        <v>58</v>
      </c>
      <c r="J1078" s="36">
        <v>90.1</v>
      </c>
      <c r="K1078" s="36">
        <v>76.0</v>
      </c>
      <c r="L1078" s="36">
        <f t="shared" si="8"/>
        <v>1</v>
      </c>
      <c r="M1078" s="36" t="str">
        <f t="shared" si="3"/>
        <v>Regular Season</v>
      </c>
      <c r="N1078" s="36" t="str">
        <f>IFERROR(VLOOKUP(I1078,Mapped_Owner,2,0),"")</f>
        <v>Rooney/Jackson</v>
      </c>
      <c r="O1078" s="6">
        <f>VLOOKUP(D1078,'Mapped Opponent'!$G$4:$H$22,2,0)</f>
        <v>3</v>
      </c>
      <c r="P1078" s="6" t="str">
        <f t="shared" si="18"/>
        <v>Rob "Ryan Chip" Kelley</v>
      </c>
      <c r="Q1078" s="6" t="str">
        <f t="shared" si="4"/>
        <v>Week 3</v>
      </c>
      <c r="R1078" s="6" t="str">
        <f t="shared" si="5"/>
        <v>2016Week 3</v>
      </c>
      <c r="S1078" s="6">
        <f>IFERROR(__xludf.DUMMYFUNCTION("rank(J1078,FILTER(J:J,R:R=R1078))"),7.0)</f>
        <v>7</v>
      </c>
      <c r="T1078" s="6">
        <f t="shared" si="6"/>
        <v>5</v>
      </c>
      <c r="U1078" s="6">
        <f t="shared" si="7"/>
        <v>7</v>
      </c>
      <c r="V1078" s="42">
        <f>averageif(AllData!A:A,B1078,AllData!R:R)/vlookup(B1078,AllData!A:O,15,0)</f>
        <v>94.18910256</v>
      </c>
      <c r="W1078" s="6"/>
    </row>
    <row r="1079" ht="14.25" customHeight="1">
      <c r="A1079" s="6" t="str">
        <f t="shared" si="1"/>
        <v>2016Tayski3</v>
      </c>
      <c r="B1079" s="6">
        <v>2016.0</v>
      </c>
      <c r="C1079" s="6" t="s">
        <v>52</v>
      </c>
      <c r="D1079" s="6" t="s">
        <v>135</v>
      </c>
      <c r="E1079" s="34"/>
      <c r="F1079" s="6" t="s">
        <v>2787</v>
      </c>
      <c r="G1079" s="6" t="s">
        <v>2449</v>
      </c>
      <c r="H1079" s="35" t="s">
        <v>2666</v>
      </c>
      <c r="I1079" s="35" t="s">
        <v>68</v>
      </c>
      <c r="J1079" s="36">
        <v>54.9</v>
      </c>
      <c r="K1079" s="36">
        <v>89.1</v>
      </c>
      <c r="L1079" s="36">
        <f t="shared" si="8"/>
        <v>0</v>
      </c>
      <c r="M1079" s="36" t="str">
        <f t="shared" si="3"/>
        <v>Regular Season</v>
      </c>
      <c r="N1079" s="36" t="str">
        <f>IFERROR(VLOOKUP(I1079,Mapped_Owner,2,0),"")</f>
        <v>Riley</v>
      </c>
      <c r="O1079" s="6">
        <f>VLOOKUP(D1079,'Mapped Opponent'!$G$4:$H$22,2,0)</f>
        <v>3</v>
      </c>
      <c r="P1079" s="6" t="str">
        <f t="shared" si="18"/>
        <v>Wain Newton</v>
      </c>
      <c r="Q1079" s="6" t="str">
        <f t="shared" si="4"/>
        <v>Week 3</v>
      </c>
      <c r="R1079" s="6" t="str">
        <f t="shared" si="5"/>
        <v>2016Week 3</v>
      </c>
      <c r="S1079" s="6">
        <f>IFERROR(__xludf.DUMMYFUNCTION("rank(J1079,FILTER(J:J,R:R=R1079))"),12.0)</f>
        <v>12</v>
      </c>
      <c r="T1079" s="6">
        <f t="shared" si="6"/>
        <v>0</v>
      </c>
      <c r="U1079" s="6">
        <f t="shared" si="7"/>
        <v>12</v>
      </c>
      <c r="V1079" s="42">
        <f>averageif(AllData!A:A,B1079,AllData!R:R)/vlookup(B1079,AllData!A:O,15,0)</f>
        <v>94.18910256</v>
      </c>
      <c r="W1079" s="6"/>
    </row>
    <row r="1080" ht="14.25" customHeight="1">
      <c r="A1080" s="6" t="str">
        <f t="shared" si="1"/>
        <v>2016KnardDawg3</v>
      </c>
      <c r="B1080" s="6">
        <v>2016.0</v>
      </c>
      <c r="C1080" s="6" t="s">
        <v>86</v>
      </c>
      <c r="D1080" s="6" t="s">
        <v>135</v>
      </c>
      <c r="E1080" s="34"/>
      <c r="F1080" s="6" t="s">
        <v>2788</v>
      </c>
      <c r="G1080" s="6" t="s">
        <v>2449</v>
      </c>
      <c r="H1080" s="6" t="s">
        <v>2464</v>
      </c>
      <c r="I1080" s="35" t="s">
        <v>80</v>
      </c>
      <c r="J1080" s="36">
        <v>101.2</v>
      </c>
      <c r="K1080" s="36">
        <v>76.3</v>
      </c>
      <c r="L1080" s="36">
        <f t="shared" si="8"/>
        <v>1</v>
      </c>
      <c r="M1080" s="36" t="str">
        <f t="shared" si="3"/>
        <v>Regular Season</v>
      </c>
      <c r="N1080" s="36" t="str">
        <f>IFERROR(VLOOKUP(I1080,Mapped_Owner,2,0),"")</f>
        <v>Fellows</v>
      </c>
      <c r="O1080" s="6">
        <f>VLOOKUP(D1080,'Mapped Opponent'!$G$4:$H$22,2,0)</f>
        <v>3</v>
      </c>
      <c r="P1080" s="6" t="str">
        <f t="shared" si="18"/>
        <v>Dak to Dak Jacks</v>
      </c>
      <c r="Q1080" s="6" t="str">
        <f t="shared" si="4"/>
        <v>Week 3</v>
      </c>
      <c r="R1080" s="6" t="str">
        <f t="shared" si="5"/>
        <v>2016Week 3</v>
      </c>
      <c r="S1080" s="6">
        <f>IFERROR(__xludf.DUMMYFUNCTION("rank(J1080,FILTER(J:J,R:R=R1080))"),6.0)</f>
        <v>6</v>
      </c>
      <c r="T1080" s="6">
        <f t="shared" si="6"/>
        <v>6</v>
      </c>
      <c r="U1080" s="6">
        <f t="shared" si="7"/>
        <v>6</v>
      </c>
      <c r="V1080" s="42">
        <f>averageif(AllData!A:A,B1080,AllData!R:R)/vlookup(B1080,AllData!A:O,15,0)</f>
        <v>94.18910256</v>
      </c>
      <c r="W1080" s="6"/>
    </row>
    <row r="1081" ht="14.25" customHeight="1">
      <c r="A1081" s="6" t="str">
        <f t="shared" si="1"/>
        <v>2016T-How3</v>
      </c>
      <c r="B1081" s="6">
        <v>2016.0</v>
      </c>
      <c r="C1081" s="6" t="s">
        <v>82</v>
      </c>
      <c r="D1081" s="6" t="s">
        <v>135</v>
      </c>
      <c r="E1081" s="34"/>
      <c r="F1081" s="6" t="s">
        <v>2789</v>
      </c>
      <c r="H1081" s="6" t="s">
        <v>2651</v>
      </c>
      <c r="I1081" s="35" t="s">
        <v>77</v>
      </c>
      <c r="J1081" s="36">
        <v>88.3</v>
      </c>
      <c r="K1081" s="36">
        <v>120.6</v>
      </c>
      <c r="L1081" s="36">
        <f t="shared" si="8"/>
        <v>0</v>
      </c>
      <c r="M1081" s="36" t="str">
        <f t="shared" si="3"/>
        <v>Regular Season</v>
      </c>
      <c r="N1081" s="36" t="str">
        <f>IFERROR(VLOOKUP(I1081,Mapped_Owner,2,0),"")</f>
        <v>Salty</v>
      </c>
      <c r="O1081" s="6">
        <f>VLOOKUP(D1081,'Mapped Opponent'!$G$4:$H$22,2,0)</f>
        <v>3</v>
      </c>
      <c r="P1081" s="6" t="str">
        <f t="shared" si="18"/>
        <v>Last Manning Standing</v>
      </c>
      <c r="Q1081" s="6" t="str">
        <f t="shared" si="4"/>
        <v>Week 3</v>
      </c>
      <c r="R1081" s="6" t="str">
        <f t="shared" si="5"/>
        <v>2016Week 3</v>
      </c>
      <c r="S1081" s="6">
        <f>IFERROR(__xludf.DUMMYFUNCTION("rank(J1081,FILTER(J:J,R:R=R1081))"),9.0)</f>
        <v>9</v>
      </c>
      <c r="T1081" s="6">
        <f t="shared" si="6"/>
        <v>3</v>
      </c>
      <c r="U1081" s="6">
        <f t="shared" si="7"/>
        <v>9</v>
      </c>
      <c r="V1081" s="42">
        <f>averageif(AllData!A:A,B1081,AllData!R:R)/vlookup(B1081,AllData!A:O,15,0)</f>
        <v>94.18910256</v>
      </c>
      <c r="W1081" s="6"/>
    </row>
    <row r="1082" ht="14.25" customHeight="1">
      <c r="A1082" s="6" t="str">
        <f t="shared" si="1"/>
        <v>2016Hudspeath4</v>
      </c>
      <c r="B1082" s="6">
        <v>2016.0</v>
      </c>
      <c r="C1082" s="6" t="s">
        <v>39</v>
      </c>
      <c r="D1082" s="6" t="s">
        <v>138</v>
      </c>
      <c r="E1082" s="34"/>
      <c r="F1082" s="6" t="s">
        <v>2790</v>
      </c>
      <c r="H1082" s="6" t="s">
        <v>2654</v>
      </c>
      <c r="I1082" s="35" t="s">
        <v>132</v>
      </c>
      <c r="J1082" s="36">
        <v>87.5</v>
      </c>
      <c r="K1082" s="36">
        <v>76.3</v>
      </c>
      <c r="L1082" s="36">
        <f t="shared" si="8"/>
        <v>1</v>
      </c>
      <c r="M1082" s="36" t="str">
        <f t="shared" si="3"/>
        <v>Regular Season</v>
      </c>
      <c r="N1082" s="36" t="str">
        <f>IFERROR(VLOOKUP(I1082,Mapped_Owner,2,0),"")</f>
        <v>KnardDawg</v>
      </c>
      <c r="O1082" s="6">
        <f>VLOOKUP(D1082,'Mapped Opponent'!$G$4:$H$22,2,0)</f>
        <v>4</v>
      </c>
      <c r="P1082" s="6"/>
      <c r="Q1082" s="6" t="str">
        <f t="shared" si="4"/>
        <v>Week 4</v>
      </c>
      <c r="R1082" s="6" t="str">
        <f t="shared" si="5"/>
        <v>2016Week 4</v>
      </c>
      <c r="S1082" s="6">
        <f>IFERROR(__xludf.DUMMYFUNCTION("rank(J1082,FILTER(J:J,R:R=R1082))"),4.0)</f>
        <v>4</v>
      </c>
      <c r="T1082" s="6">
        <f t="shared" si="6"/>
        <v>8</v>
      </c>
      <c r="U1082" s="6">
        <f t="shared" si="7"/>
        <v>4</v>
      </c>
      <c r="V1082" s="42">
        <f>averageif(AllData!A:A,B1082,AllData!R:R)/vlookup(B1082,AllData!A:O,15,0)</f>
        <v>94.18910256</v>
      </c>
      <c r="W1082" s="6"/>
    </row>
    <row r="1083" ht="14.25" customHeight="1">
      <c r="A1083" s="6" t="str">
        <f t="shared" si="1"/>
        <v>2016Salty4</v>
      </c>
      <c r="B1083" s="6">
        <v>2016.0</v>
      </c>
      <c r="C1083" s="6" t="s">
        <v>76</v>
      </c>
      <c r="D1083" s="6" t="s">
        <v>138</v>
      </c>
      <c r="E1083" s="34"/>
      <c r="F1083" s="6" t="s">
        <v>2791</v>
      </c>
      <c r="H1083" s="6" t="s">
        <v>2658</v>
      </c>
      <c r="I1083" s="35" t="s">
        <v>93</v>
      </c>
      <c r="J1083" s="36">
        <v>53.0</v>
      </c>
      <c r="K1083" s="36">
        <v>84.2</v>
      </c>
      <c r="L1083" s="36">
        <f t="shared" si="8"/>
        <v>0</v>
      </c>
      <c r="M1083" s="36" t="str">
        <f t="shared" si="3"/>
        <v>Regular Season</v>
      </c>
      <c r="N1083" s="36" t="str">
        <f>IFERROR(VLOOKUP(I1083,Mapped_Owner,2,0),"")</f>
        <v>Pierson</v>
      </c>
      <c r="O1083" s="6">
        <f>VLOOKUP(D1083,'Mapped Opponent'!$G$4:$H$22,2,0)</f>
        <v>4</v>
      </c>
      <c r="P1083" s="6"/>
      <c r="Q1083" s="6" t="str">
        <f t="shared" si="4"/>
        <v>Week 4</v>
      </c>
      <c r="R1083" s="6" t="str">
        <f t="shared" si="5"/>
        <v>2016Week 4</v>
      </c>
      <c r="S1083" s="6">
        <f>IFERROR(__xludf.DUMMYFUNCTION("rank(J1083,FILTER(J:J,R:R=R1083))"),12.0)</f>
        <v>12</v>
      </c>
      <c r="T1083" s="6">
        <f t="shared" si="6"/>
        <v>0</v>
      </c>
      <c r="U1083" s="6">
        <f t="shared" si="7"/>
        <v>12</v>
      </c>
      <c r="V1083" s="42">
        <f>averageif(AllData!A:A,B1083,AllData!R:R)/vlookup(B1083,AllData!A:O,15,0)</f>
        <v>94.18910256</v>
      </c>
      <c r="W1083" s="6"/>
    </row>
    <row r="1084" ht="14.25" customHeight="1">
      <c r="A1084" s="6" t="str">
        <f t="shared" si="1"/>
        <v>2016Fellows4</v>
      </c>
      <c r="B1084" s="6">
        <v>2016.0</v>
      </c>
      <c r="C1084" s="6" t="s">
        <v>79</v>
      </c>
      <c r="D1084" s="6" t="s">
        <v>138</v>
      </c>
      <c r="E1084" s="34"/>
      <c r="F1084" s="6" t="s">
        <v>2792</v>
      </c>
      <c r="G1084" s="6" t="s">
        <v>2449</v>
      </c>
      <c r="H1084" s="6" t="s">
        <v>2656</v>
      </c>
      <c r="I1084" s="35" t="s">
        <v>54</v>
      </c>
      <c r="J1084" s="36">
        <v>112.0</v>
      </c>
      <c r="K1084" s="36">
        <v>85.0</v>
      </c>
      <c r="L1084" s="36">
        <f t="shared" si="8"/>
        <v>1</v>
      </c>
      <c r="M1084" s="36" t="str">
        <f t="shared" si="3"/>
        <v>Regular Season</v>
      </c>
      <c r="N1084" s="36" t="str">
        <f>IFERROR(VLOOKUP(I1084,Mapped_Owner,2,0),"")</f>
        <v>Tayski</v>
      </c>
      <c r="O1084" s="6">
        <f>VLOOKUP(D1084,'Mapped Opponent'!$G$4:$H$22,2,0)</f>
        <v>4</v>
      </c>
      <c r="P1084" s="6" t="str">
        <f t="shared" ref="P1084:P1093" si="19">LEFT(H1084,FIND("(",H1084)-2)</f>
        <v>Keenan Allen Memorial Team</v>
      </c>
      <c r="Q1084" s="6" t="str">
        <f t="shared" si="4"/>
        <v>Week 4</v>
      </c>
      <c r="R1084" s="6" t="str">
        <f t="shared" si="5"/>
        <v>2016Week 4</v>
      </c>
      <c r="S1084" s="6">
        <f>IFERROR(__xludf.DUMMYFUNCTION("rank(J1084,FILTER(J:J,R:R=R1084))"),2.0)</f>
        <v>2</v>
      </c>
      <c r="T1084" s="6">
        <f t="shared" si="6"/>
        <v>10</v>
      </c>
      <c r="U1084" s="6">
        <f t="shared" si="7"/>
        <v>2</v>
      </c>
      <c r="V1084" s="42">
        <f>averageif(AllData!A:A,B1084,AllData!R:R)/vlookup(B1084,AllData!A:O,15,0)</f>
        <v>94.18910256</v>
      </c>
      <c r="W1084" s="6"/>
    </row>
    <row r="1085" ht="14.25" customHeight="1">
      <c r="A1085" s="6" t="str">
        <f t="shared" si="1"/>
        <v>2016Shep4</v>
      </c>
      <c r="B1085" s="6">
        <v>2016.0</v>
      </c>
      <c r="C1085" s="6" t="s">
        <v>89</v>
      </c>
      <c r="D1085" s="6" t="s">
        <v>138</v>
      </c>
      <c r="E1085" s="34"/>
      <c r="F1085" s="6" t="s">
        <v>2793</v>
      </c>
      <c r="H1085" s="6" t="s">
        <v>2666</v>
      </c>
      <c r="I1085" s="35" t="s">
        <v>68</v>
      </c>
      <c r="J1085" s="36">
        <v>86.1</v>
      </c>
      <c r="K1085" s="36">
        <v>71.2</v>
      </c>
      <c r="L1085" s="36">
        <f t="shared" si="8"/>
        <v>1</v>
      </c>
      <c r="M1085" s="36" t="str">
        <f t="shared" si="3"/>
        <v>Regular Season</v>
      </c>
      <c r="N1085" s="36" t="str">
        <f>IFERROR(VLOOKUP(I1085,Mapped_Owner,2,0),"")</f>
        <v>Riley</v>
      </c>
      <c r="O1085" s="6">
        <f>VLOOKUP(D1085,'Mapped Opponent'!$G$4:$H$22,2,0)</f>
        <v>4</v>
      </c>
      <c r="P1085" s="6" t="str">
        <f t="shared" si="19"/>
        <v>Wain Newton</v>
      </c>
      <c r="Q1085" s="6" t="str">
        <f t="shared" si="4"/>
        <v>Week 4</v>
      </c>
      <c r="R1085" s="6" t="str">
        <f t="shared" si="5"/>
        <v>2016Week 4</v>
      </c>
      <c r="S1085" s="6">
        <f>IFERROR(__xludf.DUMMYFUNCTION("rank(J1085,FILTER(J:J,R:R=R1085))"),5.0)</f>
        <v>5</v>
      </c>
      <c r="T1085" s="6">
        <f t="shared" si="6"/>
        <v>7</v>
      </c>
      <c r="U1085" s="6">
        <f t="shared" si="7"/>
        <v>5</v>
      </c>
      <c r="V1085" s="42">
        <f>averageif(AllData!A:A,B1085,AllData!R:R)/vlookup(B1085,AllData!A:O,15,0)</f>
        <v>94.18910256</v>
      </c>
      <c r="W1085" s="6"/>
    </row>
    <row r="1086" ht="14.25" customHeight="1">
      <c r="A1086" s="6" t="str">
        <f t="shared" si="1"/>
        <v>2016Riley4</v>
      </c>
      <c r="B1086" s="6">
        <v>2016.0</v>
      </c>
      <c r="C1086" s="6" t="s">
        <v>67</v>
      </c>
      <c r="D1086" s="6" t="s">
        <v>138</v>
      </c>
      <c r="E1086" s="34"/>
      <c r="F1086" s="6" t="s">
        <v>2794</v>
      </c>
      <c r="G1086" s="6" t="s">
        <v>2449</v>
      </c>
      <c r="H1086" s="6" t="s">
        <v>2678</v>
      </c>
      <c r="I1086" s="35" t="s">
        <v>91</v>
      </c>
      <c r="J1086" s="36">
        <v>71.2</v>
      </c>
      <c r="K1086" s="36">
        <v>86.1</v>
      </c>
      <c r="L1086" s="36">
        <f t="shared" si="8"/>
        <v>0</v>
      </c>
      <c r="M1086" s="36" t="str">
        <f t="shared" si="3"/>
        <v>Regular Season</v>
      </c>
      <c r="N1086" s="36" t="str">
        <f>IFERROR(VLOOKUP(I1086,Mapped_Owner,2,0),"")</f>
        <v>Shep</v>
      </c>
      <c r="O1086" s="6">
        <f>VLOOKUP(D1086,'Mapped Opponent'!$G$4:$H$22,2,0)</f>
        <v>4</v>
      </c>
      <c r="P1086" s="6" t="str">
        <f t="shared" si="19"/>
        <v>Suburban Kings II</v>
      </c>
      <c r="Q1086" s="6" t="str">
        <f t="shared" si="4"/>
        <v>Week 4</v>
      </c>
      <c r="R1086" s="6" t="str">
        <f t="shared" si="5"/>
        <v>2016Week 4</v>
      </c>
      <c r="S1086" s="6">
        <f>IFERROR(__xludf.DUMMYFUNCTION("rank(J1086,FILTER(J:J,R:R=R1086))"),11.0)</f>
        <v>11</v>
      </c>
      <c r="T1086" s="6">
        <f t="shared" si="6"/>
        <v>1</v>
      </c>
      <c r="U1086" s="6">
        <f t="shared" si="7"/>
        <v>11</v>
      </c>
      <c r="V1086" s="42">
        <f>averageif(AllData!A:A,B1086,AllData!R:R)/vlookup(B1086,AllData!A:O,15,0)</f>
        <v>94.18910256</v>
      </c>
      <c r="W1086" s="6"/>
    </row>
    <row r="1087" ht="14.25" customHeight="1">
      <c r="A1087" s="6" t="str">
        <f t="shared" si="1"/>
        <v>2016Rooney/Jackson4</v>
      </c>
      <c r="B1087" s="6">
        <v>2016.0</v>
      </c>
      <c r="C1087" s="6" t="s">
        <v>57</v>
      </c>
      <c r="D1087" s="6" t="s">
        <v>138</v>
      </c>
      <c r="E1087" s="34"/>
      <c r="F1087" s="6" t="s">
        <v>2795</v>
      </c>
      <c r="H1087" s="6" t="s">
        <v>2450</v>
      </c>
      <c r="I1087" s="35" t="s">
        <v>85</v>
      </c>
      <c r="J1087" s="36">
        <v>79.1</v>
      </c>
      <c r="K1087" s="36">
        <v>97.7</v>
      </c>
      <c r="L1087" s="36">
        <f t="shared" si="8"/>
        <v>0</v>
      </c>
      <c r="M1087" s="36" t="str">
        <f t="shared" si="3"/>
        <v>Regular Season</v>
      </c>
      <c r="N1087" s="36" t="str">
        <f>IFERROR(VLOOKUP(I1087,Mapped_Owner,2,0),"")</f>
        <v>T-How</v>
      </c>
      <c r="O1087" s="6">
        <f>VLOOKUP(D1087,'Mapped Opponent'!$G$4:$H$22,2,0)</f>
        <v>4</v>
      </c>
      <c r="P1087" s="6" t="str">
        <f t="shared" si="19"/>
        <v>DeAndre 3000</v>
      </c>
      <c r="Q1087" s="6" t="str">
        <f t="shared" si="4"/>
        <v>Week 4</v>
      </c>
      <c r="R1087" s="6" t="str">
        <f t="shared" si="5"/>
        <v>2016Week 4</v>
      </c>
      <c r="S1087" s="6">
        <f>IFERROR(__xludf.DUMMYFUNCTION("rank(J1087,FILTER(J:J,R:R=R1087))"),8.0)</f>
        <v>8</v>
      </c>
      <c r="T1087" s="6">
        <f t="shared" si="6"/>
        <v>4</v>
      </c>
      <c r="U1087" s="6">
        <f t="shared" si="7"/>
        <v>8</v>
      </c>
      <c r="V1087" s="42">
        <f>averageif(AllData!A:A,B1087,AllData!R:R)/vlookup(B1087,AllData!A:O,15,0)</f>
        <v>94.18910256</v>
      </c>
      <c r="W1087" s="6"/>
    </row>
    <row r="1088" ht="14.25" customHeight="1">
      <c r="A1088" s="6" t="str">
        <f t="shared" si="1"/>
        <v>2016Buser4</v>
      </c>
      <c r="B1088" s="6">
        <v>2016.0</v>
      </c>
      <c r="C1088" s="6" t="s">
        <v>47</v>
      </c>
      <c r="D1088" s="6" t="s">
        <v>138</v>
      </c>
      <c r="E1088" s="34"/>
      <c r="F1088" s="6" t="s">
        <v>2796</v>
      </c>
      <c r="H1088" s="6" t="s">
        <v>2648</v>
      </c>
      <c r="I1088" s="35" t="s">
        <v>146</v>
      </c>
      <c r="J1088" s="36">
        <v>126.1</v>
      </c>
      <c r="K1088" s="36">
        <v>78.1</v>
      </c>
      <c r="L1088" s="36">
        <f t="shared" si="8"/>
        <v>1</v>
      </c>
      <c r="M1088" s="36" t="str">
        <f t="shared" si="3"/>
        <v>Regular Season</v>
      </c>
      <c r="N1088" s="36" t="str">
        <f>IFERROR(VLOOKUP(I1088,Mapped_Owner,2,0),"")</f>
        <v>Cock</v>
      </c>
      <c r="O1088" s="6">
        <f>VLOOKUP(D1088,'Mapped Opponent'!$G$4:$H$22,2,0)</f>
        <v>4</v>
      </c>
      <c r="P1088" s="6" t="str">
        <f t="shared" si="19"/>
        <v>J. Cash and The Cochslappers</v>
      </c>
      <c r="Q1088" s="6" t="str">
        <f t="shared" si="4"/>
        <v>Week 4</v>
      </c>
      <c r="R1088" s="6" t="str">
        <f t="shared" si="5"/>
        <v>2016Week 4</v>
      </c>
      <c r="S1088" s="6">
        <f>IFERROR(__xludf.DUMMYFUNCTION("rank(J1088,FILTER(J:J,R:R=R1088))"),1.0)</f>
        <v>1</v>
      </c>
      <c r="T1088" s="6">
        <f t="shared" si="6"/>
        <v>11</v>
      </c>
      <c r="U1088" s="6">
        <f t="shared" si="7"/>
        <v>1</v>
      </c>
      <c r="V1088" s="42">
        <f>averageif(AllData!A:A,B1088,AllData!R:R)/vlookup(B1088,AllData!A:O,15,0)</f>
        <v>94.18910256</v>
      </c>
      <c r="W1088" s="6"/>
    </row>
    <row r="1089" ht="14.25" customHeight="1">
      <c r="A1089" s="6" t="str">
        <f t="shared" si="1"/>
        <v>2016Pierson4</v>
      </c>
      <c r="B1089" s="6">
        <v>2016.0</v>
      </c>
      <c r="C1089" s="6" t="s">
        <v>92</v>
      </c>
      <c r="D1089" s="6" t="s">
        <v>138</v>
      </c>
      <c r="E1089" s="34"/>
      <c r="F1089" s="6" t="s">
        <v>2797</v>
      </c>
      <c r="G1089" s="6" t="s">
        <v>2449</v>
      </c>
      <c r="H1089" s="6" t="s">
        <v>2651</v>
      </c>
      <c r="I1089" s="35" t="s">
        <v>77</v>
      </c>
      <c r="J1089" s="36">
        <v>84.2</v>
      </c>
      <c r="K1089" s="36">
        <v>53.0</v>
      </c>
      <c r="L1089" s="36">
        <f t="shared" si="8"/>
        <v>1</v>
      </c>
      <c r="M1089" s="36" t="str">
        <f t="shared" si="3"/>
        <v>Regular Season</v>
      </c>
      <c r="N1089" s="36" t="str">
        <f>IFERROR(VLOOKUP(I1089,Mapped_Owner,2,0),"")</f>
        <v>Salty</v>
      </c>
      <c r="O1089" s="6">
        <f>VLOOKUP(D1089,'Mapped Opponent'!$G$4:$H$22,2,0)</f>
        <v>4</v>
      </c>
      <c r="P1089" s="6" t="str">
        <f t="shared" si="19"/>
        <v>Last Manning Standing</v>
      </c>
      <c r="Q1089" s="6" t="str">
        <f t="shared" si="4"/>
        <v>Week 4</v>
      </c>
      <c r="R1089" s="6" t="str">
        <f t="shared" si="5"/>
        <v>2016Week 4</v>
      </c>
      <c r="S1089" s="6">
        <f>IFERROR(__xludf.DUMMYFUNCTION("rank(J1089,FILTER(J:J,R:R=R1089))"),7.0)</f>
        <v>7</v>
      </c>
      <c r="T1089" s="6">
        <f t="shared" si="6"/>
        <v>5</v>
      </c>
      <c r="U1089" s="6">
        <f t="shared" si="7"/>
        <v>7</v>
      </c>
      <c r="V1089" s="42">
        <f>averageif(AllData!A:A,B1089,AllData!R:R)/vlookup(B1089,AllData!A:O,15,0)</f>
        <v>94.18910256</v>
      </c>
      <c r="W1089" s="6"/>
    </row>
    <row r="1090" ht="14.25" customHeight="1">
      <c r="A1090" s="6" t="str">
        <f t="shared" si="1"/>
        <v>2016Cock4</v>
      </c>
      <c r="B1090" s="6">
        <v>2016.0</v>
      </c>
      <c r="C1090" s="6" t="s">
        <v>72</v>
      </c>
      <c r="D1090" s="6" t="s">
        <v>138</v>
      </c>
      <c r="E1090" s="6"/>
      <c r="F1090" s="6" t="s">
        <v>2798</v>
      </c>
      <c r="G1090" s="6" t="s">
        <v>2449</v>
      </c>
      <c r="H1090" s="6" t="s">
        <v>2660</v>
      </c>
      <c r="I1090" s="35" t="s">
        <v>50</v>
      </c>
      <c r="J1090" s="36">
        <v>78.1</v>
      </c>
      <c r="K1090" s="36">
        <v>126.1</v>
      </c>
      <c r="L1090" s="36">
        <f t="shared" si="8"/>
        <v>0</v>
      </c>
      <c r="M1090" s="36" t="str">
        <f t="shared" si="3"/>
        <v>Regular Season</v>
      </c>
      <c r="N1090" s="36" t="str">
        <f>IFERROR(VLOOKUP(I1090,Mapped_Owner,2,0),"")</f>
        <v>Buser</v>
      </c>
      <c r="O1090" s="6">
        <f>VLOOKUP(D1090,'Mapped Opponent'!$G$4:$H$22,2,0)</f>
        <v>4</v>
      </c>
      <c r="P1090" s="6" t="str">
        <f t="shared" si="19"/>
        <v>Julio, Get The Catch!</v>
      </c>
      <c r="Q1090" s="6" t="str">
        <f t="shared" si="4"/>
        <v>Week 4</v>
      </c>
      <c r="R1090" s="6" t="str">
        <f t="shared" si="5"/>
        <v>2016Week 4</v>
      </c>
      <c r="S1090" s="6">
        <f>IFERROR(__xludf.DUMMYFUNCTION("rank(J1090,FILTER(J:J,R:R=R1090))"),9.0)</f>
        <v>9</v>
      </c>
      <c r="T1090" s="6">
        <f t="shared" si="6"/>
        <v>3</v>
      </c>
      <c r="U1090" s="6">
        <f t="shared" si="7"/>
        <v>9</v>
      </c>
      <c r="V1090" s="42">
        <f>averageif(AllData!A:A,B1090,AllData!R:R)/vlookup(B1090,AllData!A:O,15,0)</f>
        <v>94.18910256</v>
      </c>
      <c r="W1090" s="6"/>
    </row>
    <row r="1091" ht="14.25" customHeight="1">
      <c r="A1091" s="6" t="str">
        <f t="shared" si="1"/>
        <v>2016Tayski4</v>
      </c>
      <c r="B1091" s="6">
        <v>2016.0</v>
      </c>
      <c r="C1091" s="6" t="s">
        <v>52</v>
      </c>
      <c r="D1091" s="6" t="s">
        <v>138</v>
      </c>
      <c r="E1091" s="34"/>
      <c r="F1091" s="6" t="s">
        <v>2799</v>
      </c>
      <c r="H1091" s="35" t="s">
        <v>2464</v>
      </c>
      <c r="I1091" s="35" t="s">
        <v>80</v>
      </c>
      <c r="J1091" s="36">
        <v>85.0</v>
      </c>
      <c r="K1091" s="36">
        <v>112.0</v>
      </c>
      <c r="L1091" s="36">
        <f t="shared" si="8"/>
        <v>0</v>
      </c>
      <c r="M1091" s="36" t="str">
        <f t="shared" si="3"/>
        <v>Regular Season</v>
      </c>
      <c r="N1091" s="36" t="str">
        <f>IFERROR(VLOOKUP(I1091,Mapped_Owner,2,0),"")</f>
        <v>Fellows</v>
      </c>
      <c r="O1091" s="6">
        <f>VLOOKUP(D1091,'Mapped Opponent'!$G$4:$H$22,2,0)</f>
        <v>4</v>
      </c>
      <c r="P1091" s="6" t="str">
        <f t="shared" si="19"/>
        <v>Dak to Dak Jacks</v>
      </c>
      <c r="Q1091" s="6" t="str">
        <f t="shared" si="4"/>
        <v>Week 4</v>
      </c>
      <c r="R1091" s="6" t="str">
        <f t="shared" si="5"/>
        <v>2016Week 4</v>
      </c>
      <c r="S1091" s="6">
        <f>IFERROR(__xludf.DUMMYFUNCTION("rank(J1091,FILTER(J:J,R:R=R1091))"),6.0)</f>
        <v>6</v>
      </c>
      <c r="T1091" s="6">
        <f t="shared" si="6"/>
        <v>6</v>
      </c>
      <c r="U1091" s="6">
        <f t="shared" si="7"/>
        <v>6</v>
      </c>
      <c r="V1091" s="42">
        <f>averageif(AllData!A:A,B1091,AllData!R:R)/vlookup(B1091,AllData!A:O,15,0)</f>
        <v>94.18910256</v>
      </c>
      <c r="W1091" s="6"/>
    </row>
    <row r="1092" ht="14.25" customHeight="1">
      <c r="A1092" s="6" t="str">
        <f t="shared" si="1"/>
        <v>2016KnardDawg4</v>
      </c>
      <c r="B1092" s="6">
        <v>2016.0</v>
      </c>
      <c r="C1092" s="6" t="s">
        <v>86</v>
      </c>
      <c r="D1092" s="6" t="s">
        <v>138</v>
      </c>
      <c r="E1092" s="34"/>
      <c r="F1092" s="6" t="s">
        <v>2800</v>
      </c>
      <c r="G1092" s="6" t="s">
        <v>2449</v>
      </c>
      <c r="H1092" s="6" t="s">
        <v>2662</v>
      </c>
      <c r="I1092" s="35" t="s">
        <v>64</v>
      </c>
      <c r="J1092" s="36">
        <v>76.3</v>
      </c>
      <c r="K1092" s="36">
        <v>87.5</v>
      </c>
      <c r="L1092" s="36">
        <f t="shared" si="8"/>
        <v>0</v>
      </c>
      <c r="M1092" s="36" t="str">
        <f t="shared" si="3"/>
        <v>Regular Season</v>
      </c>
      <c r="N1092" s="36" t="str">
        <f>IFERROR(VLOOKUP(I1092,Mapped_Owner,2,0),"")</f>
        <v>Hudspeath</v>
      </c>
      <c r="O1092" s="6">
        <f>VLOOKUP(D1092,'Mapped Opponent'!$G$4:$H$22,2,0)</f>
        <v>4</v>
      </c>
      <c r="P1092" s="6" t="str">
        <f t="shared" si="19"/>
        <v>Cutler's Year</v>
      </c>
      <c r="Q1092" s="6" t="str">
        <f t="shared" si="4"/>
        <v>Week 4</v>
      </c>
      <c r="R1092" s="6" t="str">
        <f t="shared" si="5"/>
        <v>2016Week 4</v>
      </c>
      <c r="S1092" s="6">
        <f>IFERROR(__xludf.DUMMYFUNCTION("rank(J1092,FILTER(J:J,R:R=R1092))"),10.0)</f>
        <v>10</v>
      </c>
      <c r="T1092" s="6">
        <f t="shared" si="6"/>
        <v>2</v>
      </c>
      <c r="U1092" s="6">
        <f t="shared" si="7"/>
        <v>10</v>
      </c>
      <c r="V1092" s="42">
        <f>averageif(AllData!A:A,B1092,AllData!R:R)/vlookup(B1092,AllData!A:O,15,0)</f>
        <v>94.18910256</v>
      </c>
      <c r="W1092" s="6"/>
    </row>
    <row r="1093" ht="14.25" customHeight="1">
      <c r="A1093" s="6" t="str">
        <f t="shared" si="1"/>
        <v>2016T-How4</v>
      </c>
      <c r="B1093" s="6">
        <v>2016.0</v>
      </c>
      <c r="C1093" s="6" t="s">
        <v>82</v>
      </c>
      <c r="D1093" s="6" t="s">
        <v>138</v>
      </c>
      <c r="E1093" s="34"/>
      <c r="F1093" s="6" t="s">
        <v>2801</v>
      </c>
      <c r="G1093" s="6" t="s">
        <v>2449</v>
      </c>
      <c r="H1093" s="6" t="s">
        <v>2664</v>
      </c>
      <c r="I1093" s="35" t="s">
        <v>58</v>
      </c>
      <c r="J1093" s="36">
        <v>97.7</v>
      </c>
      <c r="K1093" s="36">
        <v>79.1</v>
      </c>
      <c r="L1093" s="36">
        <f t="shared" si="8"/>
        <v>1</v>
      </c>
      <c r="M1093" s="36" t="str">
        <f t="shared" si="3"/>
        <v>Regular Season</v>
      </c>
      <c r="N1093" s="36" t="str">
        <f>IFERROR(VLOOKUP(I1093,Mapped_Owner,2,0),"")</f>
        <v>Rooney/Jackson</v>
      </c>
      <c r="O1093" s="6">
        <f>VLOOKUP(D1093,'Mapped Opponent'!$G$4:$H$22,2,0)</f>
        <v>4</v>
      </c>
      <c r="P1093" s="6" t="str">
        <f t="shared" si="19"/>
        <v>Rob "Ryan Chip" Kelley</v>
      </c>
      <c r="Q1093" s="6" t="str">
        <f t="shared" si="4"/>
        <v>Week 4</v>
      </c>
      <c r="R1093" s="6" t="str">
        <f t="shared" si="5"/>
        <v>2016Week 4</v>
      </c>
      <c r="S1093" s="6">
        <f>IFERROR(__xludf.DUMMYFUNCTION("rank(J1093,FILTER(J:J,R:R=R1093))"),3.0)</f>
        <v>3</v>
      </c>
      <c r="T1093" s="6">
        <f t="shared" si="6"/>
        <v>9</v>
      </c>
      <c r="U1093" s="6">
        <f t="shared" si="7"/>
        <v>3</v>
      </c>
      <c r="V1093" s="42">
        <f>averageif(AllData!A:A,B1093,AllData!R:R)/vlookup(B1093,AllData!A:O,15,0)</f>
        <v>94.18910256</v>
      </c>
      <c r="W1093" s="6"/>
    </row>
    <row r="1094" ht="14.25" customHeight="1">
      <c r="A1094" s="6" t="str">
        <f t="shared" si="1"/>
        <v>2016Hudspeath5</v>
      </c>
      <c r="B1094" s="6">
        <v>2016.0</v>
      </c>
      <c r="C1094" s="6" t="s">
        <v>39</v>
      </c>
      <c r="D1094" s="6" t="s">
        <v>141</v>
      </c>
      <c r="E1094" s="34"/>
      <c r="F1094" s="6" t="s">
        <v>2802</v>
      </c>
      <c r="G1094" s="6" t="s">
        <v>2449</v>
      </c>
      <c r="H1094" s="6" t="s">
        <v>2651</v>
      </c>
      <c r="I1094" s="35" t="s">
        <v>77</v>
      </c>
      <c r="J1094" s="36">
        <v>81.0</v>
      </c>
      <c r="K1094" s="36">
        <v>126.4</v>
      </c>
      <c r="L1094" s="36">
        <f t="shared" si="8"/>
        <v>0</v>
      </c>
      <c r="M1094" s="36" t="str">
        <f t="shared" si="3"/>
        <v>Regular Season</v>
      </c>
      <c r="N1094" s="36" t="str">
        <f>IFERROR(VLOOKUP(I1094,Mapped_Owner,2,0),"")</f>
        <v>Salty</v>
      </c>
      <c r="O1094" s="6">
        <f>VLOOKUP(D1094,'Mapped Opponent'!$G$4:$H$22,2,0)</f>
        <v>5</v>
      </c>
      <c r="P1094" s="6"/>
      <c r="Q1094" s="6" t="str">
        <f t="shared" si="4"/>
        <v>Week 5</v>
      </c>
      <c r="R1094" s="6" t="str">
        <f t="shared" si="5"/>
        <v>2016Week 5</v>
      </c>
      <c r="S1094" s="6">
        <f>IFERROR(__xludf.DUMMYFUNCTION("rank(J1094,FILTER(J:J,R:R=R1094))"),9.0)</f>
        <v>9</v>
      </c>
      <c r="T1094" s="6">
        <f t="shared" si="6"/>
        <v>3</v>
      </c>
      <c r="U1094" s="6">
        <f t="shared" si="7"/>
        <v>9</v>
      </c>
      <c r="V1094" s="42">
        <f>averageif(AllData!A:A,B1094,AllData!R:R)/vlookup(B1094,AllData!A:O,15,0)</f>
        <v>94.18910256</v>
      </c>
      <c r="W1094" s="6"/>
    </row>
    <row r="1095" ht="14.25" customHeight="1">
      <c r="A1095" s="6" t="str">
        <f t="shared" si="1"/>
        <v>2016Salty5</v>
      </c>
      <c r="B1095" s="6">
        <v>2016.0</v>
      </c>
      <c r="C1095" s="6" t="s">
        <v>76</v>
      </c>
      <c r="D1095" s="6" t="s">
        <v>141</v>
      </c>
      <c r="E1095" s="34"/>
      <c r="F1095" s="6" t="s">
        <v>2803</v>
      </c>
      <c r="H1095" s="6" t="s">
        <v>2662</v>
      </c>
      <c r="I1095" s="35" t="s">
        <v>64</v>
      </c>
      <c r="J1095" s="36">
        <v>126.4</v>
      </c>
      <c r="K1095" s="36">
        <v>81.0</v>
      </c>
      <c r="L1095" s="36">
        <f t="shared" si="8"/>
        <v>1</v>
      </c>
      <c r="M1095" s="36" t="str">
        <f t="shared" si="3"/>
        <v>Regular Season</v>
      </c>
      <c r="N1095" s="36" t="str">
        <f>IFERROR(VLOOKUP(I1095,Mapped_Owner,2,0),"")</f>
        <v>Hudspeath</v>
      </c>
      <c r="O1095" s="6">
        <f>VLOOKUP(D1095,'Mapped Opponent'!$G$4:$H$22,2,0)</f>
        <v>5</v>
      </c>
      <c r="P1095" s="6"/>
      <c r="Q1095" s="6" t="str">
        <f t="shared" si="4"/>
        <v>Week 5</v>
      </c>
      <c r="R1095" s="6" t="str">
        <f t="shared" si="5"/>
        <v>2016Week 5</v>
      </c>
      <c r="S1095" s="6">
        <f>IFERROR(__xludf.DUMMYFUNCTION("rank(J1095,FILTER(J:J,R:R=R1095))"),3.0)</f>
        <v>3</v>
      </c>
      <c r="T1095" s="6">
        <f t="shared" si="6"/>
        <v>9</v>
      </c>
      <c r="U1095" s="6">
        <f t="shared" si="7"/>
        <v>3</v>
      </c>
      <c r="V1095" s="42">
        <f>averageif(AllData!A:A,B1095,AllData!R:R)/vlookup(B1095,AllData!A:O,15,0)</f>
        <v>94.18910256</v>
      </c>
      <c r="W1095" s="6"/>
    </row>
    <row r="1096" ht="14.25" customHeight="1">
      <c r="A1096" s="6" t="str">
        <f t="shared" si="1"/>
        <v>2016Fellows5</v>
      </c>
      <c r="B1096" s="6">
        <v>2016.0</v>
      </c>
      <c r="C1096" s="6" t="s">
        <v>79</v>
      </c>
      <c r="D1096" s="6" t="s">
        <v>141</v>
      </c>
      <c r="E1096" s="34"/>
      <c r="F1096" s="6" t="s">
        <v>2804</v>
      </c>
      <c r="H1096" s="6" t="s">
        <v>2678</v>
      </c>
      <c r="I1096" s="35" t="s">
        <v>91</v>
      </c>
      <c r="J1096" s="36">
        <v>60.4</v>
      </c>
      <c r="K1096" s="36">
        <v>138.9</v>
      </c>
      <c r="L1096" s="36">
        <f t="shared" si="8"/>
        <v>0</v>
      </c>
      <c r="M1096" s="36" t="str">
        <f t="shared" si="3"/>
        <v>Regular Season</v>
      </c>
      <c r="N1096" s="36" t="str">
        <f>IFERROR(VLOOKUP(I1096,Mapped_Owner,2,0),"")</f>
        <v>Shep</v>
      </c>
      <c r="O1096" s="6">
        <f>VLOOKUP(D1096,'Mapped Opponent'!$G$4:$H$22,2,0)</f>
        <v>5</v>
      </c>
      <c r="P1096" s="6" t="str">
        <f t="shared" ref="P1096:P1105" si="20">LEFT(H1096,FIND("(",H1096)-2)</f>
        <v>Suburban Kings II</v>
      </c>
      <c r="Q1096" s="6" t="str">
        <f t="shared" si="4"/>
        <v>Week 5</v>
      </c>
      <c r="R1096" s="6" t="str">
        <f t="shared" si="5"/>
        <v>2016Week 5</v>
      </c>
      <c r="S1096" s="6">
        <f>IFERROR(__xludf.DUMMYFUNCTION("rank(J1096,FILTER(J:J,R:R=R1096))"),11.0)</f>
        <v>11</v>
      </c>
      <c r="T1096" s="6">
        <f t="shared" si="6"/>
        <v>1</v>
      </c>
      <c r="U1096" s="6">
        <f t="shared" si="7"/>
        <v>11</v>
      </c>
      <c r="V1096" s="42">
        <f>averageif(AllData!A:A,B1096,AllData!R:R)/vlookup(B1096,AllData!A:O,15,0)</f>
        <v>94.18910256</v>
      </c>
      <c r="W1096" s="6"/>
    </row>
    <row r="1097" ht="14.25" customHeight="1">
      <c r="A1097" s="6" t="str">
        <f t="shared" si="1"/>
        <v>2016Shep5</v>
      </c>
      <c r="B1097" s="6">
        <v>2016.0</v>
      </c>
      <c r="C1097" s="6" t="s">
        <v>89</v>
      </c>
      <c r="D1097" s="6" t="s">
        <v>141</v>
      </c>
      <c r="E1097" s="34"/>
      <c r="F1097" s="6" t="s">
        <v>2805</v>
      </c>
      <c r="G1097" s="6" t="s">
        <v>2449</v>
      </c>
      <c r="H1097" s="6" t="s">
        <v>2464</v>
      </c>
      <c r="I1097" s="35" t="s">
        <v>80</v>
      </c>
      <c r="J1097" s="36">
        <v>138.9</v>
      </c>
      <c r="K1097" s="36">
        <v>60.4</v>
      </c>
      <c r="L1097" s="36">
        <f t="shared" si="8"/>
        <v>1</v>
      </c>
      <c r="M1097" s="36" t="str">
        <f t="shared" si="3"/>
        <v>Regular Season</v>
      </c>
      <c r="N1097" s="36" t="str">
        <f>IFERROR(VLOOKUP(I1097,Mapped_Owner,2,0),"")</f>
        <v>Fellows</v>
      </c>
      <c r="O1097" s="6">
        <f>VLOOKUP(D1097,'Mapped Opponent'!$G$4:$H$22,2,0)</f>
        <v>5</v>
      </c>
      <c r="P1097" s="6" t="str">
        <f t="shared" si="20"/>
        <v>Dak to Dak Jacks</v>
      </c>
      <c r="Q1097" s="6" t="str">
        <f t="shared" si="4"/>
        <v>Week 5</v>
      </c>
      <c r="R1097" s="6" t="str">
        <f t="shared" si="5"/>
        <v>2016Week 5</v>
      </c>
      <c r="S1097" s="6">
        <f>IFERROR(__xludf.DUMMYFUNCTION("rank(J1097,FILTER(J:J,R:R=R1097))"),1.0)</f>
        <v>1</v>
      </c>
      <c r="T1097" s="6">
        <f t="shared" si="6"/>
        <v>11</v>
      </c>
      <c r="U1097" s="6">
        <f t="shared" si="7"/>
        <v>1</v>
      </c>
      <c r="V1097" s="42">
        <f>averageif(AllData!A:A,B1097,AllData!R:R)/vlookup(B1097,AllData!A:O,15,0)</f>
        <v>94.18910256</v>
      </c>
      <c r="W1097" s="6"/>
    </row>
    <row r="1098" ht="14.25" customHeight="1">
      <c r="A1098" s="6" t="str">
        <f t="shared" si="1"/>
        <v>2016Riley5</v>
      </c>
      <c r="B1098" s="6">
        <v>2016.0</v>
      </c>
      <c r="C1098" s="6" t="s">
        <v>67</v>
      </c>
      <c r="D1098" s="6" t="s">
        <v>141</v>
      </c>
      <c r="E1098" s="34"/>
      <c r="F1098" s="6" t="s">
        <v>2806</v>
      </c>
      <c r="H1098" s="6" t="s">
        <v>2648</v>
      </c>
      <c r="I1098" s="35" t="s">
        <v>146</v>
      </c>
      <c r="J1098" s="36">
        <v>135.1</v>
      </c>
      <c r="K1098" s="36">
        <v>54.4</v>
      </c>
      <c r="L1098" s="36">
        <f t="shared" si="8"/>
        <v>1</v>
      </c>
      <c r="M1098" s="36" t="str">
        <f t="shared" si="3"/>
        <v>Regular Season</v>
      </c>
      <c r="N1098" s="36" t="str">
        <f>IFERROR(VLOOKUP(I1098,Mapped_Owner,2,0),"")</f>
        <v>Cock</v>
      </c>
      <c r="O1098" s="6">
        <f>VLOOKUP(D1098,'Mapped Opponent'!$G$4:$H$22,2,0)</f>
        <v>5</v>
      </c>
      <c r="P1098" s="6" t="str">
        <f t="shared" si="20"/>
        <v>J. Cash and The Cochslappers</v>
      </c>
      <c r="Q1098" s="6" t="str">
        <f t="shared" si="4"/>
        <v>Week 5</v>
      </c>
      <c r="R1098" s="6" t="str">
        <f t="shared" si="5"/>
        <v>2016Week 5</v>
      </c>
      <c r="S1098" s="6">
        <f>IFERROR(__xludf.DUMMYFUNCTION("rank(J1098,FILTER(J:J,R:R=R1098))"),2.0)</f>
        <v>2</v>
      </c>
      <c r="T1098" s="6">
        <f t="shared" si="6"/>
        <v>10</v>
      </c>
      <c r="U1098" s="6">
        <f t="shared" si="7"/>
        <v>2</v>
      </c>
      <c r="V1098" s="42">
        <f>averageif(AllData!A:A,B1098,AllData!R:R)/vlookup(B1098,AllData!A:O,15,0)</f>
        <v>94.18910256</v>
      </c>
      <c r="W1098" s="6"/>
    </row>
    <row r="1099" ht="14.25" customHeight="1">
      <c r="A1099" s="6" t="str">
        <f t="shared" si="1"/>
        <v>2016Rooney/Jackson5</v>
      </c>
      <c r="B1099" s="6">
        <v>2016.0</v>
      </c>
      <c r="C1099" s="6" t="s">
        <v>57</v>
      </c>
      <c r="D1099" s="6" t="s">
        <v>141</v>
      </c>
      <c r="E1099" s="34"/>
      <c r="F1099" s="6" t="s">
        <v>2807</v>
      </c>
      <c r="G1099" s="6" t="s">
        <v>2449</v>
      </c>
      <c r="H1099" s="6" t="s">
        <v>2658</v>
      </c>
      <c r="I1099" s="35" t="s">
        <v>93</v>
      </c>
      <c r="J1099" s="36">
        <v>94.6</v>
      </c>
      <c r="K1099" s="36">
        <v>118.1</v>
      </c>
      <c r="L1099" s="36">
        <f t="shared" si="8"/>
        <v>0</v>
      </c>
      <c r="M1099" s="36" t="str">
        <f t="shared" si="3"/>
        <v>Regular Season</v>
      </c>
      <c r="N1099" s="36" t="str">
        <f>IFERROR(VLOOKUP(I1099,Mapped_Owner,2,0),"")</f>
        <v>Pierson</v>
      </c>
      <c r="O1099" s="6">
        <f>VLOOKUP(D1099,'Mapped Opponent'!$G$4:$H$22,2,0)</f>
        <v>5</v>
      </c>
      <c r="P1099" s="6" t="str">
        <f t="shared" si="20"/>
        <v>Yung Breezy n Lil' LeSean</v>
      </c>
      <c r="Q1099" s="6" t="str">
        <f t="shared" si="4"/>
        <v>Week 5</v>
      </c>
      <c r="R1099" s="6" t="str">
        <f t="shared" si="5"/>
        <v>2016Week 5</v>
      </c>
      <c r="S1099" s="6">
        <f>IFERROR(__xludf.DUMMYFUNCTION("rank(J1099,FILTER(J:J,R:R=R1099))"),7.0)</f>
        <v>7</v>
      </c>
      <c r="T1099" s="6">
        <f t="shared" si="6"/>
        <v>5</v>
      </c>
      <c r="U1099" s="6">
        <f t="shared" si="7"/>
        <v>7</v>
      </c>
      <c r="V1099" s="42">
        <f>averageif(AllData!A:A,B1099,AllData!R:R)/vlookup(B1099,AllData!A:O,15,0)</f>
        <v>94.18910256</v>
      </c>
      <c r="W1099" s="6"/>
    </row>
    <row r="1100" ht="14.25" customHeight="1">
      <c r="A1100" s="6" t="str">
        <f t="shared" si="1"/>
        <v>2016Buser5</v>
      </c>
      <c r="B1100" s="6">
        <v>2016.0</v>
      </c>
      <c r="C1100" s="6" t="s">
        <v>47</v>
      </c>
      <c r="D1100" s="6" t="s">
        <v>141</v>
      </c>
      <c r="E1100" s="34"/>
      <c r="F1100" s="6" t="s">
        <v>2808</v>
      </c>
      <c r="G1100" s="6" t="s">
        <v>2449</v>
      </c>
      <c r="H1100" s="6" t="s">
        <v>2450</v>
      </c>
      <c r="I1100" s="35" t="s">
        <v>85</v>
      </c>
      <c r="J1100" s="36">
        <v>68.0</v>
      </c>
      <c r="K1100" s="36">
        <v>107.9</v>
      </c>
      <c r="L1100" s="36">
        <f t="shared" si="8"/>
        <v>0</v>
      </c>
      <c r="M1100" s="36" t="str">
        <f t="shared" si="3"/>
        <v>Regular Season</v>
      </c>
      <c r="N1100" s="36" t="str">
        <f>IFERROR(VLOOKUP(I1100,Mapped_Owner,2,0),"")</f>
        <v>T-How</v>
      </c>
      <c r="O1100" s="6">
        <f>VLOOKUP(D1100,'Mapped Opponent'!$G$4:$H$22,2,0)</f>
        <v>5</v>
      </c>
      <c r="P1100" s="6" t="str">
        <f t="shared" si="20"/>
        <v>DeAndre 3000</v>
      </c>
      <c r="Q1100" s="6" t="str">
        <f t="shared" si="4"/>
        <v>Week 5</v>
      </c>
      <c r="R1100" s="6" t="str">
        <f t="shared" si="5"/>
        <v>2016Week 5</v>
      </c>
      <c r="S1100" s="6">
        <f>IFERROR(__xludf.DUMMYFUNCTION("rank(J1100,FILTER(J:J,R:R=R1100))"),10.0)</f>
        <v>10</v>
      </c>
      <c r="T1100" s="6">
        <f t="shared" si="6"/>
        <v>2</v>
      </c>
      <c r="U1100" s="6">
        <f t="shared" si="7"/>
        <v>10</v>
      </c>
      <c r="V1100" s="42">
        <f>averageif(AllData!A:A,B1100,AllData!R:R)/vlookup(B1100,AllData!A:O,15,0)</f>
        <v>94.18910256</v>
      </c>
      <c r="W1100" s="6"/>
    </row>
    <row r="1101" ht="14.25" customHeight="1">
      <c r="A1101" s="6" t="str">
        <f t="shared" si="1"/>
        <v>2016Pierson5</v>
      </c>
      <c r="B1101" s="6">
        <v>2016.0</v>
      </c>
      <c r="C1101" s="6" t="s">
        <v>92</v>
      </c>
      <c r="D1101" s="6" t="s">
        <v>141</v>
      </c>
      <c r="E1101" s="34"/>
      <c r="F1101" s="6" t="s">
        <v>2809</v>
      </c>
      <c r="H1101" s="6" t="s">
        <v>2664</v>
      </c>
      <c r="I1101" s="35" t="s">
        <v>58</v>
      </c>
      <c r="J1101" s="36">
        <v>118.1</v>
      </c>
      <c r="K1101" s="36">
        <v>94.6</v>
      </c>
      <c r="L1101" s="36">
        <f t="shared" si="8"/>
        <v>1</v>
      </c>
      <c r="M1101" s="36" t="str">
        <f t="shared" si="3"/>
        <v>Regular Season</v>
      </c>
      <c r="N1101" s="36" t="str">
        <f>IFERROR(VLOOKUP(I1101,Mapped_Owner,2,0),"")</f>
        <v>Rooney/Jackson</v>
      </c>
      <c r="O1101" s="6">
        <f>VLOOKUP(D1101,'Mapped Opponent'!$G$4:$H$22,2,0)</f>
        <v>5</v>
      </c>
      <c r="P1101" s="6" t="str">
        <f t="shared" si="20"/>
        <v>Rob "Ryan Chip" Kelley</v>
      </c>
      <c r="Q1101" s="6" t="str">
        <f t="shared" si="4"/>
        <v>Week 5</v>
      </c>
      <c r="R1101" s="6" t="str">
        <f t="shared" si="5"/>
        <v>2016Week 5</v>
      </c>
      <c r="S1101" s="6">
        <f>IFERROR(__xludf.DUMMYFUNCTION("rank(J1101,FILTER(J:J,R:R=R1101))"),4.0)</f>
        <v>4</v>
      </c>
      <c r="T1101" s="6">
        <f t="shared" si="6"/>
        <v>8</v>
      </c>
      <c r="U1101" s="6">
        <f t="shared" si="7"/>
        <v>4</v>
      </c>
      <c r="V1101" s="42">
        <f>averageif(AllData!A:A,B1101,AllData!R:R)/vlookup(B1101,AllData!A:O,15,0)</f>
        <v>94.18910256</v>
      </c>
      <c r="W1101" s="6"/>
    </row>
    <row r="1102" ht="14.25" customHeight="1">
      <c r="A1102" s="6" t="str">
        <f t="shared" si="1"/>
        <v>2016Cock5</v>
      </c>
      <c r="B1102" s="6">
        <v>2016.0</v>
      </c>
      <c r="C1102" s="6" t="s">
        <v>72</v>
      </c>
      <c r="D1102" s="6" t="s">
        <v>141</v>
      </c>
      <c r="E1102" s="6"/>
      <c r="F1102" s="6" t="s">
        <v>2810</v>
      </c>
      <c r="G1102" s="6" t="s">
        <v>2449</v>
      </c>
      <c r="H1102" s="6" t="s">
        <v>2666</v>
      </c>
      <c r="I1102" s="35" t="s">
        <v>68</v>
      </c>
      <c r="J1102" s="36">
        <v>54.4</v>
      </c>
      <c r="K1102" s="36">
        <v>135.1</v>
      </c>
      <c r="L1102" s="36">
        <f t="shared" si="8"/>
        <v>0</v>
      </c>
      <c r="M1102" s="36" t="str">
        <f t="shared" si="3"/>
        <v>Regular Season</v>
      </c>
      <c r="N1102" s="36" t="str">
        <f>IFERROR(VLOOKUP(I1102,Mapped_Owner,2,0),"")</f>
        <v>Riley</v>
      </c>
      <c r="O1102" s="6">
        <f>VLOOKUP(D1102,'Mapped Opponent'!$G$4:$H$22,2,0)</f>
        <v>5</v>
      </c>
      <c r="P1102" s="6" t="str">
        <f t="shared" si="20"/>
        <v>Wain Newton</v>
      </c>
      <c r="Q1102" s="6" t="str">
        <f t="shared" si="4"/>
        <v>Week 5</v>
      </c>
      <c r="R1102" s="6" t="str">
        <f t="shared" si="5"/>
        <v>2016Week 5</v>
      </c>
      <c r="S1102" s="6">
        <f>IFERROR(__xludf.DUMMYFUNCTION("rank(J1102,FILTER(J:J,R:R=R1102))"),12.0)</f>
        <v>12</v>
      </c>
      <c r="T1102" s="6">
        <f t="shared" si="6"/>
        <v>0</v>
      </c>
      <c r="U1102" s="6">
        <f t="shared" si="7"/>
        <v>12</v>
      </c>
      <c r="V1102" s="42">
        <f>averageif(AllData!A:A,B1102,AllData!R:R)/vlookup(B1102,AllData!A:O,15,0)</f>
        <v>94.18910256</v>
      </c>
      <c r="W1102" s="6"/>
    </row>
    <row r="1103" ht="14.25" customHeight="1">
      <c r="A1103" s="6" t="str">
        <f t="shared" si="1"/>
        <v>2016Tayski5</v>
      </c>
      <c r="B1103" s="6">
        <v>2016.0</v>
      </c>
      <c r="C1103" s="6" t="s">
        <v>52</v>
      </c>
      <c r="D1103" s="6" t="s">
        <v>141</v>
      </c>
      <c r="E1103" s="34"/>
      <c r="F1103" s="6" t="s">
        <v>2811</v>
      </c>
      <c r="G1103" s="6" t="s">
        <v>2449</v>
      </c>
      <c r="H1103" s="35" t="s">
        <v>2654</v>
      </c>
      <c r="I1103" s="35" t="s">
        <v>132</v>
      </c>
      <c r="J1103" s="36">
        <v>104.2</v>
      </c>
      <c r="K1103" s="36">
        <v>87.4</v>
      </c>
      <c r="L1103" s="36">
        <f t="shared" si="8"/>
        <v>1</v>
      </c>
      <c r="M1103" s="36" t="str">
        <f t="shared" si="3"/>
        <v>Regular Season</v>
      </c>
      <c r="N1103" s="36" t="str">
        <f>IFERROR(VLOOKUP(I1103,Mapped_Owner,2,0),"")</f>
        <v>KnardDawg</v>
      </c>
      <c r="O1103" s="6">
        <f>VLOOKUP(D1103,'Mapped Opponent'!$G$4:$H$22,2,0)</f>
        <v>5</v>
      </c>
      <c r="P1103" s="6" t="str">
        <f t="shared" si="20"/>
        <v>Bring tha Juice</v>
      </c>
      <c r="Q1103" s="6" t="str">
        <f t="shared" si="4"/>
        <v>Week 5</v>
      </c>
      <c r="R1103" s="6" t="str">
        <f t="shared" si="5"/>
        <v>2016Week 5</v>
      </c>
      <c r="S1103" s="6">
        <f>IFERROR(__xludf.DUMMYFUNCTION("rank(J1103,FILTER(J:J,R:R=R1103))"),6.0)</f>
        <v>6</v>
      </c>
      <c r="T1103" s="6">
        <f t="shared" si="6"/>
        <v>6</v>
      </c>
      <c r="U1103" s="6">
        <f t="shared" si="7"/>
        <v>6</v>
      </c>
      <c r="V1103" s="42">
        <f>averageif(AllData!A:A,B1103,AllData!R:R)/vlookup(B1103,AllData!A:O,15,0)</f>
        <v>94.18910256</v>
      </c>
      <c r="W1103" s="6"/>
    </row>
    <row r="1104" ht="14.25" customHeight="1">
      <c r="A1104" s="6" t="str">
        <f t="shared" si="1"/>
        <v>2016KnardDawg5</v>
      </c>
      <c r="B1104" s="6">
        <v>2016.0</v>
      </c>
      <c r="C1104" s="6" t="s">
        <v>86</v>
      </c>
      <c r="D1104" s="6" t="s">
        <v>141</v>
      </c>
      <c r="E1104" s="34"/>
      <c r="F1104" s="6" t="s">
        <v>2812</v>
      </c>
      <c r="H1104" s="6" t="s">
        <v>2656</v>
      </c>
      <c r="I1104" s="35" t="s">
        <v>54</v>
      </c>
      <c r="J1104" s="36">
        <v>87.4</v>
      </c>
      <c r="K1104" s="36">
        <v>104.2</v>
      </c>
      <c r="L1104" s="36">
        <f t="shared" si="8"/>
        <v>0</v>
      </c>
      <c r="M1104" s="36" t="str">
        <f t="shared" si="3"/>
        <v>Regular Season</v>
      </c>
      <c r="N1104" s="36" t="str">
        <f>IFERROR(VLOOKUP(I1104,Mapped_Owner,2,0),"")</f>
        <v>Tayski</v>
      </c>
      <c r="O1104" s="6">
        <f>VLOOKUP(D1104,'Mapped Opponent'!$G$4:$H$22,2,0)</f>
        <v>5</v>
      </c>
      <c r="P1104" s="6" t="str">
        <f t="shared" si="20"/>
        <v>Keenan Allen Memorial Team</v>
      </c>
      <c r="Q1104" s="6" t="str">
        <f t="shared" si="4"/>
        <v>Week 5</v>
      </c>
      <c r="R1104" s="6" t="str">
        <f t="shared" si="5"/>
        <v>2016Week 5</v>
      </c>
      <c r="S1104" s="6">
        <f>IFERROR(__xludf.DUMMYFUNCTION("rank(J1104,FILTER(J:J,R:R=R1104))"),8.0)</f>
        <v>8</v>
      </c>
      <c r="T1104" s="6">
        <f t="shared" si="6"/>
        <v>4</v>
      </c>
      <c r="U1104" s="6">
        <f t="shared" si="7"/>
        <v>8</v>
      </c>
      <c r="V1104" s="42">
        <f>averageif(AllData!A:A,B1104,AllData!R:R)/vlookup(B1104,AllData!A:O,15,0)</f>
        <v>94.18910256</v>
      </c>
      <c r="W1104" s="6"/>
    </row>
    <row r="1105" ht="14.25" customHeight="1">
      <c r="A1105" s="6" t="str">
        <f t="shared" si="1"/>
        <v>2016T-How5</v>
      </c>
      <c r="B1105" s="6">
        <v>2016.0</v>
      </c>
      <c r="C1105" s="6" t="s">
        <v>82</v>
      </c>
      <c r="D1105" s="6" t="s">
        <v>141</v>
      </c>
      <c r="E1105" s="34"/>
      <c r="F1105" s="6" t="s">
        <v>2813</v>
      </c>
      <c r="H1105" s="6" t="s">
        <v>2660</v>
      </c>
      <c r="I1105" s="35" t="s">
        <v>50</v>
      </c>
      <c r="J1105" s="36">
        <v>107.9</v>
      </c>
      <c r="K1105" s="36">
        <v>68.0</v>
      </c>
      <c r="L1105" s="36">
        <f t="shared" si="8"/>
        <v>1</v>
      </c>
      <c r="M1105" s="36" t="str">
        <f t="shared" si="3"/>
        <v>Regular Season</v>
      </c>
      <c r="N1105" s="36" t="str">
        <f>IFERROR(VLOOKUP(I1105,Mapped_Owner,2,0),"")</f>
        <v>Buser</v>
      </c>
      <c r="O1105" s="6">
        <f>VLOOKUP(D1105,'Mapped Opponent'!$G$4:$H$22,2,0)</f>
        <v>5</v>
      </c>
      <c r="P1105" s="6" t="str">
        <f t="shared" si="20"/>
        <v>Julio, Get The Catch!</v>
      </c>
      <c r="Q1105" s="6" t="str">
        <f t="shared" si="4"/>
        <v>Week 5</v>
      </c>
      <c r="R1105" s="6" t="str">
        <f t="shared" si="5"/>
        <v>2016Week 5</v>
      </c>
      <c r="S1105" s="6">
        <f>IFERROR(__xludf.DUMMYFUNCTION("rank(J1105,FILTER(J:J,R:R=R1105))"),5.0)</f>
        <v>5</v>
      </c>
      <c r="T1105" s="6">
        <f t="shared" si="6"/>
        <v>7</v>
      </c>
      <c r="U1105" s="6">
        <f t="shared" si="7"/>
        <v>5</v>
      </c>
      <c r="V1105" s="42">
        <f>averageif(AllData!A:A,B1105,AllData!R:R)/vlookup(B1105,AllData!A:O,15,0)</f>
        <v>94.18910256</v>
      </c>
      <c r="W1105" s="6"/>
    </row>
    <row r="1106" ht="14.25" customHeight="1">
      <c r="A1106" s="6" t="str">
        <f t="shared" si="1"/>
        <v>2016Hudspeath6</v>
      </c>
      <c r="B1106" s="6">
        <v>2016.0</v>
      </c>
      <c r="C1106" s="6" t="s">
        <v>39</v>
      </c>
      <c r="D1106" s="6" t="s">
        <v>142</v>
      </c>
      <c r="E1106" s="34"/>
      <c r="F1106" s="6" t="s">
        <v>2814</v>
      </c>
      <c r="H1106" s="6" t="s">
        <v>2656</v>
      </c>
      <c r="I1106" s="35" t="s">
        <v>54</v>
      </c>
      <c r="J1106" s="36">
        <v>70.5</v>
      </c>
      <c r="K1106" s="36">
        <v>61.0</v>
      </c>
      <c r="L1106" s="36">
        <f t="shared" si="8"/>
        <v>1</v>
      </c>
      <c r="M1106" s="36" t="str">
        <f t="shared" si="3"/>
        <v>Regular Season</v>
      </c>
      <c r="N1106" s="36" t="str">
        <f>IFERROR(VLOOKUP(I1106,Mapped_Owner,2,0),"")</f>
        <v>Tayski</v>
      </c>
      <c r="O1106" s="6">
        <f>VLOOKUP(D1106,'Mapped Opponent'!$G$4:$H$22,2,0)</f>
        <v>6</v>
      </c>
      <c r="P1106" s="6"/>
      <c r="Q1106" s="6" t="str">
        <f t="shared" si="4"/>
        <v>Week 6</v>
      </c>
      <c r="R1106" s="6" t="str">
        <f t="shared" si="5"/>
        <v>2016Week 6</v>
      </c>
      <c r="S1106" s="6">
        <f>IFERROR(__xludf.DUMMYFUNCTION("rank(J1106,FILTER(J:J,R:R=R1106))"),10.0)</f>
        <v>10</v>
      </c>
      <c r="T1106" s="6">
        <f t="shared" si="6"/>
        <v>2</v>
      </c>
      <c r="U1106" s="6">
        <f t="shared" si="7"/>
        <v>10</v>
      </c>
      <c r="V1106" s="42">
        <f>averageif(AllData!A:A,B1106,AllData!R:R)/vlookup(B1106,AllData!A:O,15,0)</f>
        <v>94.18910256</v>
      </c>
      <c r="W1106" s="6"/>
    </row>
    <row r="1107" ht="14.25" customHeight="1">
      <c r="A1107" s="6" t="str">
        <f t="shared" si="1"/>
        <v>2016Salty6</v>
      </c>
      <c r="B1107" s="6">
        <v>2016.0</v>
      </c>
      <c r="C1107" s="6" t="s">
        <v>76</v>
      </c>
      <c r="D1107" s="6" t="s">
        <v>142</v>
      </c>
      <c r="E1107" s="34"/>
      <c r="F1107" s="6" t="s">
        <v>2815</v>
      </c>
      <c r="G1107" s="6" t="s">
        <v>2449</v>
      </c>
      <c r="H1107" s="6" t="s">
        <v>2664</v>
      </c>
      <c r="I1107" s="35" t="s">
        <v>58</v>
      </c>
      <c r="J1107" s="36">
        <v>95.2</v>
      </c>
      <c r="K1107" s="36">
        <v>67.3</v>
      </c>
      <c r="L1107" s="36">
        <f t="shared" si="8"/>
        <v>1</v>
      </c>
      <c r="M1107" s="36" t="str">
        <f t="shared" si="3"/>
        <v>Regular Season</v>
      </c>
      <c r="N1107" s="36" t="str">
        <f>IFERROR(VLOOKUP(I1107,Mapped_Owner,2,0),"")</f>
        <v>Rooney/Jackson</v>
      </c>
      <c r="O1107" s="6">
        <f>VLOOKUP(D1107,'Mapped Opponent'!$G$4:$H$22,2,0)</f>
        <v>6</v>
      </c>
      <c r="P1107" s="6"/>
      <c r="Q1107" s="6" t="str">
        <f t="shared" si="4"/>
        <v>Week 6</v>
      </c>
      <c r="R1107" s="6" t="str">
        <f t="shared" si="5"/>
        <v>2016Week 6</v>
      </c>
      <c r="S1107" s="6">
        <f>IFERROR(__xludf.DUMMYFUNCTION("rank(J1107,FILTER(J:J,R:R=R1107))"),6.0)</f>
        <v>6</v>
      </c>
      <c r="T1107" s="6">
        <f t="shared" si="6"/>
        <v>6</v>
      </c>
      <c r="U1107" s="6">
        <f t="shared" si="7"/>
        <v>6</v>
      </c>
      <c r="V1107" s="42">
        <f>averageif(AllData!A:A,B1107,AllData!R:R)/vlookup(B1107,AllData!A:O,15,0)</f>
        <v>94.18910256</v>
      </c>
      <c r="W1107" s="6"/>
    </row>
    <row r="1108" ht="14.25" customHeight="1">
      <c r="A1108" s="6" t="str">
        <f t="shared" si="1"/>
        <v>2016Fellows6</v>
      </c>
      <c r="B1108" s="6">
        <v>2016.0</v>
      </c>
      <c r="C1108" s="6" t="s">
        <v>79</v>
      </c>
      <c r="D1108" s="6" t="s">
        <v>142</v>
      </c>
      <c r="E1108" s="34"/>
      <c r="F1108" s="6" t="s">
        <v>2816</v>
      </c>
      <c r="G1108" s="6" t="s">
        <v>2449</v>
      </c>
      <c r="H1108" s="6" t="s">
        <v>2648</v>
      </c>
      <c r="I1108" s="35" t="s">
        <v>146</v>
      </c>
      <c r="J1108" s="36">
        <v>82.2</v>
      </c>
      <c r="K1108" s="36">
        <v>100.9</v>
      </c>
      <c r="L1108" s="36">
        <f t="shared" si="8"/>
        <v>0</v>
      </c>
      <c r="M1108" s="36" t="str">
        <f t="shared" si="3"/>
        <v>Regular Season</v>
      </c>
      <c r="N1108" s="36" t="str">
        <f>IFERROR(VLOOKUP(I1108,Mapped_Owner,2,0),"")</f>
        <v>Cock</v>
      </c>
      <c r="O1108" s="6">
        <f>VLOOKUP(D1108,'Mapped Opponent'!$G$4:$H$22,2,0)</f>
        <v>6</v>
      </c>
      <c r="P1108" s="6" t="str">
        <f t="shared" ref="P1108:P1117" si="21">LEFT(H1108,FIND("(",H1108)-2)</f>
        <v>J. Cash and The Cochslappers</v>
      </c>
      <c r="Q1108" s="6" t="str">
        <f t="shared" si="4"/>
        <v>Week 6</v>
      </c>
      <c r="R1108" s="6" t="str">
        <f t="shared" si="5"/>
        <v>2016Week 6</v>
      </c>
      <c r="S1108" s="6">
        <f>IFERROR(__xludf.DUMMYFUNCTION("rank(J1108,FILTER(J:J,R:R=R1108))"),7.0)</f>
        <v>7</v>
      </c>
      <c r="T1108" s="6">
        <f t="shared" si="6"/>
        <v>5</v>
      </c>
      <c r="U1108" s="6">
        <f t="shared" si="7"/>
        <v>7</v>
      </c>
      <c r="V1108" s="42">
        <f>averageif(AllData!A:A,B1108,AllData!R:R)/vlookup(B1108,AllData!A:O,15,0)</f>
        <v>94.18910256</v>
      </c>
      <c r="W1108" s="6"/>
    </row>
    <row r="1109" ht="14.25" customHeight="1">
      <c r="A1109" s="6" t="str">
        <f t="shared" si="1"/>
        <v>2016Shep6</v>
      </c>
      <c r="B1109" s="6">
        <v>2016.0</v>
      </c>
      <c r="C1109" s="6" t="s">
        <v>89</v>
      </c>
      <c r="D1109" s="6" t="s">
        <v>142</v>
      </c>
      <c r="E1109" s="34"/>
      <c r="F1109" s="6" t="s">
        <v>2817</v>
      </c>
      <c r="H1109" s="6" t="s">
        <v>2654</v>
      </c>
      <c r="I1109" s="35" t="s">
        <v>132</v>
      </c>
      <c r="J1109" s="36">
        <v>79.1</v>
      </c>
      <c r="K1109" s="36">
        <v>73.3</v>
      </c>
      <c r="L1109" s="36">
        <f t="shared" si="8"/>
        <v>1</v>
      </c>
      <c r="M1109" s="36" t="str">
        <f t="shared" si="3"/>
        <v>Regular Season</v>
      </c>
      <c r="N1109" s="36" t="str">
        <f>IFERROR(VLOOKUP(I1109,Mapped_Owner,2,0),"")</f>
        <v>KnardDawg</v>
      </c>
      <c r="O1109" s="6">
        <f>VLOOKUP(D1109,'Mapped Opponent'!$G$4:$H$22,2,0)</f>
        <v>6</v>
      </c>
      <c r="P1109" s="6" t="str">
        <f t="shared" si="21"/>
        <v>Bring tha Juice</v>
      </c>
      <c r="Q1109" s="6" t="str">
        <f t="shared" si="4"/>
        <v>Week 6</v>
      </c>
      <c r="R1109" s="6" t="str">
        <f t="shared" si="5"/>
        <v>2016Week 6</v>
      </c>
      <c r="S1109" s="6">
        <f>IFERROR(__xludf.DUMMYFUNCTION("rank(J1109,FILTER(J:J,R:R=R1109))"),8.0)</f>
        <v>8</v>
      </c>
      <c r="T1109" s="6">
        <f t="shared" si="6"/>
        <v>4</v>
      </c>
      <c r="U1109" s="6">
        <f t="shared" si="7"/>
        <v>8</v>
      </c>
      <c r="V1109" s="42">
        <f>averageif(AllData!A:A,B1109,AllData!R:R)/vlookup(B1109,AllData!A:O,15,0)</f>
        <v>94.18910256</v>
      </c>
      <c r="W1109" s="6"/>
    </row>
    <row r="1110" ht="14.25" customHeight="1">
      <c r="A1110" s="6" t="str">
        <f t="shared" si="1"/>
        <v>2016Riley6</v>
      </c>
      <c r="B1110" s="6">
        <v>2016.0</v>
      </c>
      <c r="C1110" s="6" t="s">
        <v>67</v>
      </c>
      <c r="D1110" s="6" t="s">
        <v>142</v>
      </c>
      <c r="E1110" s="34"/>
      <c r="F1110" s="6" t="s">
        <v>2818</v>
      </c>
      <c r="H1110" s="6" t="s">
        <v>2450</v>
      </c>
      <c r="I1110" s="35" t="s">
        <v>85</v>
      </c>
      <c r="J1110" s="36">
        <v>96.3</v>
      </c>
      <c r="K1110" s="36">
        <v>112.0</v>
      </c>
      <c r="L1110" s="36">
        <f t="shared" si="8"/>
        <v>0</v>
      </c>
      <c r="M1110" s="36" t="str">
        <f t="shared" si="3"/>
        <v>Regular Season</v>
      </c>
      <c r="N1110" s="36" t="str">
        <f>IFERROR(VLOOKUP(I1110,Mapped_Owner,2,0),"")</f>
        <v>T-How</v>
      </c>
      <c r="O1110" s="6">
        <f>VLOOKUP(D1110,'Mapped Opponent'!$G$4:$H$22,2,0)</f>
        <v>6</v>
      </c>
      <c r="P1110" s="6" t="str">
        <f t="shared" si="21"/>
        <v>DeAndre 3000</v>
      </c>
      <c r="Q1110" s="6" t="str">
        <f t="shared" si="4"/>
        <v>Week 6</v>
      </c>
      <c r="R1110" s="6" t="str">
        <f t="shared" si="5"/>
        <v>2016Week 6</v>
      </c>
      <c r="S1110" s="6">
        <f>IFERROR(__xludf.DUMMYFUNCTION("rank(J1110,FILTER(J:J,R:R=R1110))"),5.0)</f>
        <v>5</v>
      </c>
      <c r="T1110" s="6">
        <f t="shared" si="6"/>
        <v>7</v>
      </c>
      <c r="U1110" s="6">
        <f t="shared" si="7"/>
        <v>5</v>
      </c>
      <c r="V1110" s="42">
        <f>averageif(AllData!A:A,B1110,AllData!R:R)/vlookup(B1110,AllData!A:O,15,0)</f>
        <v>94.18910256</v>
      </c>
      <c r="W1110" s="6"/>
    </row>
    <row r="1111" ht="14.25" customHeight="1">
      <c r="A1111" s="6" t="str">
        <f t="shared" si="1"/>
        <v>2016Rooney/Jackson6</v>
      </c>
      <c r="B1111" s="6">
        <v>2016.0</v>
      </c>
      <c r="C1111" s="6" t="s">
        <v>57</v>
      </c>
      <c r="D1111" s="6" t="s">
        <v>142</v>
      </c>
      <c r="E1111" s="34"/>
      <c r="F1111" s="6" t="s">
        <v>2819</v>
      </c>
      <c r="H1111" s="6" t="s">
        <v>2651</v>
      </c>
      <c r="I1111" s="35" t="s">
        <v>77</v>
      </c>
      <c r="J1111" s="36">
        <v>67.3</v>
      </c>
      <c r="K1111" s="36">
        <v>95.2</v>
      </c>
      <c r="L1111" s="36">
        <f t="shared" si="8"/>
        <v>0</v>
      </c>
      <c r="M1111" s="36" t="str">
        <f t="shared" si="3"/>
        <v>Regular Season</v>
      </c>
      <c r="N1111" s="36" t="str">
        <f>IFERROR(VLOOKUP(I1111,Mapped_Owner,2,0),"")</f>
        <v>Salty</v>
      </c>
      <c r="O1111" s="6">
        <f>VLOOKUP(D1111,'Mapped Opponent'!$G$4:$H$22,2,0)</f>
        <v>6</v>
      </c>
      <c r="P1111" s="6" t="str">
        <f t="shared" si="21"/>
        <v>Last Manning Standing</v>
      </c>
      <c r="Q1111" s="6" t="str">
        <f t="shared" si="4"/>
        <v>Week 6</v>
      </c>
      <c r="R1111" s="6" t="str">
        <f t="shared" si="5"/>
        <v>2016Week 6</v>
      </c>
      <c r="S1111" s="6">
        <f>IFERROR(__xludf.DUMMYFUNCTION("rank(J1111,FILTER(J:J,R:R=R1111))"),11.0)</f>
        <v>11</v>
      </c>
      <c r="T1111" s="6">
        <f t="shared" si="6"/>
        <v>1</v>
      </c>
      <c r="U1111" s="6">
        <f t="shared" si="7"/>
        <v>11</v>
      </c>
      <c r="V1111" s="42">
        <f>averageif(AllData!A:A,B1111,AllData!R:R)/vlookup(B1111,AllData!A:O,15,0)</f>
        <v>94.18910256</v>
      </c>
      <c r="W1111" s="6"/>
    </row>
    <row r="1112" ht="14.25" customHeight="1">
      <c r="A1112" s="6" t="str">
        <f t="shared" si="1"/>
        <v>2016Buser6</v>
      </c>
      <c r="B1112" s="6">
        <v>2016.0</v>
      </c>
      <c r="C1112" s="6" t="s">
        <v>47</v>
      </c>
      <c r="D1112" s="6" t="s">
        <v>142</v>
      </c>
      <c r="E1112" s="34"/>
      <c r="F1112" s="6" t="s">
        <v>2820</v>
      </c>
      <c r="H1112" s="6" t="s">
        <v>2658</v>
      </c>
      <c r="I1112" s="35" t="s">
        <v>93</v>
      </c>
      <c r="J1112" s="36">
        <v>119.8</v>
      </c>
      <c r="K1112" s="36">
        <v>152.4</v>
      </c>
      <c r="L1112" s="36">
        <f t="shared" si="8"/>
        <v>0</v>
      </c>
      <c r="M1112" s="36" t="str">
        <f t="shared" si="3"/>
        <v>Regular Season</v>
      </c>
      <c r="N1112" s="36" t="str">
        <f>IFERROR(VLOOKUP(I1112,Mapped_Owner,2,0),"")</f>
        <v>Pierson</v>
      </c>
      <c r="O1112" s="6">
        <f>VLOOKUP(D1112,'Mapped Opponent'!$G$4:$H$22,2,0)</f>
        <v>6</v>
      </c>
      <c r="P1112" s="6" t="str">
        <f t="shared" si="21"/>
        <v>Yung Breezy n Lil' LeSean</v>
      </c>
      <c r="Q1112" s="6" t="str">
        <f t="shared" si="4"/>
        <v>Week 6</v>
      </c>
      <c r="R1112" s="6" t="str">
        <f t="shared" si="5"/>
        <v>2016Week 6</v>
      </c>
      <c r="S1112" s="6">
        <f>IFERROR(__xludf.DUMMYFUNCTION("rank(J1112,FILTER(J:J,R:R=R1112))"),2.0)</f>
        <v>2</v>
      </c>
      <c r="T1112" s="6">
        <f t="shared" si="6"/>
        <v>10</v>
      </c>
      <c r="U1112" s="6">
        <f t="shared" si="7"/>
        <v>2</v>
      </c>
      <c r="V1112" s="42">
        <f>averageif(AllData!A:A,B1112,AllData!R:R)/vlookup(B1112,AllData!A:O,15,0)</f>
        <v>94.18910256</v>
      </c>
      <c r="W1112" s="6"/>
    </row>
    <row r="1113" ht="14.25" customHeight="1">
      <c r="A1113" s="6" t="str">
        <f t="shared" si="1"/>
        <v>2016Pierson6</v>
      </c>
      <c r="B1113" s="6">
        <v>2016.0</v>
      </c>
      <c r="C1113" s="6" t="s">
        <v>92</v>
      </c>
      <c r="D1113" s="6" t="s">
        <v>142</v>
      </c>
      <c r="E1113" s="34"/>
      <c r="F1113" s="6" t="s">
        <v>2821</v>
      </c>
      <c r="G1113" s="6" t="s">
        <v>2449</v>
      </c>
      <c r="H1113" s="6" t="s">
        <v>2660</v>
      </c>
      <c r="I1113" s="35" t="s">
        <v>50</v>
      </c>
      <c r="J1113" s="36">
        <v>152.4</v>
      </c>
      <c r="K1113" s="36">
        <v>119.8</v>
      </c>
      <c r="L1113" s="36">
        <f t="shared" si="8"/>
        <v>1</v>
      </c>
      <c r="M1113" s="36" t="str">
        <f t="shared" si="3"/>
        <v>Regular Season</v>
      </c>
      <c r="N1113" s="36" t="str">
        <f>IFERROR(VLOOKUP(I1113,Mapped_Owner,2,0),"")</f>
        <v>Buser</v>
      </c>
      <c r="O1113" s="6">
        <f>VLOOKUP(D1113,'Mapped Opponent'!$G$4:$H$22,2,0)</f>
        <v>6</v>
      </c>
      <c r="P1113" s="6" t="str">
        <f t="shared" si="21"/>
        <v>Julio, Get The Catch!</v>
      </c>
      <c r="Q1113" s="6" t="str">
        <f t="shared" si="4"/>
        <v>Week 6</v>
      </c>
      <c r="R1113" s="6" t="str">
        <f t="shared" si="5"/>
        <v>2016Week 6</v>
      </c>
      <c r="S1113" s="6">
        <f>IFERROR(__xludf.DUMMYFUNCTION("rank(J1113,FILTER(J:J,R:R=R1113))"),1.0)</f>
        <v>1</v>
      </c>
      <c r="T1113" s="6">
        <f t="shared" si="6"/>
        <v>11</v>
      </c>
      <c r="U1113" s="6">
        <f t="shared" si="7"/>
        <v>1</v>
      </c>
      <c r="V1113" s="42">
        <f>averageif(AllData!A:A,B1113,AllData!R:R)/vlookup(B1113,AllData!A:O,15,0)</f>
        <v>94.18910256</v>
      </c>
      <c r="W1113" s="6"/>
    </row>
    <row r="1114" ht="14.25" customHeight="1">
      <c r="A1114" s="6" t="str">
        <f t="shared" si="1"/>
        <v>2016Cock6</v>
      </c>
      <c r="B1114" s="6">
        <v>2016.0</v>
      </c>
      <c r="C1114" s="6" t="s">
        <v>72</v>
      </c>
      <c r="D1114" s="6" t="s">
        <v>142</v>
      </c>
      <c r="E1114" s="6"/>
      <c r="F1114" s="6" t="s">
        <v>2822</v>
      </c>
      <c r="H1114" s="6" t="s">
        <v>2464</v>
      </c>
      <c r="I1114" s="35" t="s">
        <v>80</v>
      </c>
      <c r="J1114" s="36">
        <v>100.9</v>
      </c>
      <c r="K1114" s="36">
        <v>82.2</v>
      </c>
      <c r="L1114" s="36">
        <f t="shared" si="8"/>
        <v>1</v>
      </c>
      <c r="M1114" s="36" t="str">
        <f t="shared" si="3"/>
        <v>Regular Season</v>
      </c>
      <c r="N1114" s="36" t="str">
        <f>IFERROR(VLOOKUP(I1114,Mapped_Owner,2,0),"")</f>
        <v>Fellows</v>
      </c>
      <c r="O1114" s="6">
        <f>VLOOKUP(D1114,'Mapped Opponent'!$G$4:$H$22,2,0)</f>
        <v>6</v>
      </c>
      <c r="P1114" s="6" t="str">
        <f t="shared" si="21"/>
        <v>Dak to Dak Jacks</v>
      </c>
      <c r="Q1114" s="6" t="str">
        <f t="shared" si="4"/>
        <v>Week 6</v>
      </c>
      <c r="R1114" s="6" t="str">
        <f t="shared" si="5"/>
        <v>2016Week 6</v>
      </c>
      <c r="S1114" s="6">
        <f>IFERROR(__xludf.DUMMYFUNCTION("rank(J1114,FILTER(J:J,R:R=R1114))"),4.0)</f>
        <v>4</v>
      </c>
      <c r="T1114" s="6">
        <f t="shared" si="6"/>
        <v>8</v>
      </c>
      <c r="U1114" s="6">
        <f t="shared" si="7"/>
        <v>4</v>
      </c>
      <c r="V1114" s="42">
        <f>averageif(AllData!A:A,B1114,AllData!R:R)/vlookup(B1114,AllData!A:O,15,0)</f>
        <v>94.18910256</v>
      </c>
      <c r="W1114" s="6"/>
    </row>
    <row r="1115" ht="14.25" customHeight="1">
      <c r="A1115" s="6" t="str">
        <f t="shared" si="1"/>
        <v>2016Tayski6</v>
      </c>
      <c r="B1115" s="6">
        <v>2016.0</v>
      </c>
      <c r="C1115" s="6" t="s">
        <v>52</v>
      </c>
      <c r="D1115" s="6" t="s">
        <v>142</v>
      </c>
      <c r="E1115" s="34"/>
      <c r="F1115" s="6" t="s">
        <v>2823</v>
      </c>
      <c r="G1115" s="6" t="s">
        <v>2449</v>
      </c>
      <c r="H1115" s="35" t="s">
        <v>2662</v>
      </c>
      <c r="I1115" s="35" t="s">
        <v>64</v>
      </c>
      <c r="J1115" s="36">
        <v>61.0</v>
      </c>
      <c r="K1115" s="36">
        <v>70.5</v>
      </c>
      <c r="L1115" s="36">
        <f t="shared" si="8"/>
        <v>0</v>
      </c>
      <c r="M1115" s="36" t="str">
        <f t="shared" si="3"/>
        <v>Regular Season</v>
      </c>
      <c r="N1115" s="36" t="str">
        <f>IFERROR(VLOOKUP(I1115,Mapped_Owner,2,0),"")</f>
        <v>Hudspeath</v>
      </c>
      <c r="O1115" s="6">
        <f>VLOOKUP(D1115,'Mapped Opponent'!$G$4:$H$22,2,0)</f>
        <v>6</v>
      </c>
      <c r="P1115" s="6" t="str">
        <f t="shared" si="21"/>
        <v>Cutler's Year</v>
      </c>
      <c r="Q1115" s="6" t="str">
        <f t="shared" si="4"/>
        <v>Week 6</v>
      </c>
      <c r="R1115" s="6" t="str">
        <f t="shared" si="5"/>
        <v>2016Week 6</v>
      </c>
      <c r="S1115" s="6">
        <f>IFERROR(__xludf.DUMMYFUNCTION("rank(J1115,FILTER(J:J,R:R=R1115))"),12.0)</f>
        <v>12</v>
      </c>
      <c r="T1115" s="6">
        <f t="shared" si="6"/>
        <v>0</v>
      </c>
      <c r="U1115" s="6">
        <f t="shared" si="7"/>
        <v>12</v>
      </c>
      <c r="V1115" s="42">
        <f>averageif(AllData!A:A,B1115,AllData!R:R)/vlookup(B1115,AllData!A:O,15,0)</f>
        <v>94.18910256</v>
      </c>
      <c r="W1115" s="6"/>
    </row>
    <row r="1116" ht="14.25" customHeight="1">
      <c r="A1116" s="6" t="str">
        <f t="shared" si="1"/>
        <v>2016KnardDawg6</v>
      </c>
      <c r="B1116" s="6">
        <v>2016.0</v>
      </c>
      <c r="C1116" s="6" t="s">
        <v>86</v>
      </c>
      <c r="D1116" s="6" t="s">
        <v>142</v>
      </c>
      <c r="E1116" s="34"/>
      <c r="F1116" s="6" t="s">
        <v>2824</v>
      </c>
      <c r="G1116" s="6" t="s">
        <v>2449</v>
      </c>
      <c r="H1116" s="6" t="s">
        <v>2678</v>
      </c>
      <c r="I1116" s="35" t="s">
        <v>91</v>
      </c>
      <c r="J1116" s="36">
        <v>73.3</v>
      </c>
      <c r="K1116" s="36">
        <v>79.1</v>
      </c>
      <c r="L1116" s="36">
        <f t="shared" si="8"/>
        <v>0</v>
      </c>
      <c r="M1116" s="36" t="str">
        <f t="shared" si="3"/>
        <v>Regular Season</v>
      </c>
      <c r="N1116" s="36" t="str">
        <f>IFERROR(VLOOKUP(I1116,Mapped_Owner,2,0),"")</f>
        <v>Shep</v>
      </c>
      <c r="O1116" s="6">
        <f>VLOOKUP(D1116,'Mapped Opponent'!$G$4:$H$22,2,0)</f>
        <v>6</v>
      </c>
      <c r="P1116" s="6" t="str">
        <f t="shared" si="21"/>
        <v>Suburban Kings II</v>
      </c>
      <c r="Q1116" s="6" t="str">
        <f t="shared" si="4"/>
        <v>Week 6</v>
      </c>
      <c r="R1116" s="6" t="str">
        <f t="shared" si="5"/>
        <v>2016Week 6</v>
      </c>
      <c r="S1116" s="6">
        <f>IFERROR(__xludf.DUMMYFUNCTION("rank(J1116,FILTER(J:J,R:R=R1116))"),9.0)</f>
        <v>9</v>
      </c>
      <c r="T1116" s="6">
        <f t="shared" si="6"/>
        <v>3</v>
      </c>
      <c r="U1116" s="6">
        <f t="shared" si="7"/>
        <v>9</v>
      </c>
      <c r="V1116" s="42">
        <f>averageif(AllData!A:A,B1116,AllData!R:R)/vlookup(B1116,AllData!A:O,15,0)</f>
        <v>94.18910256</v>
      </c>
      <c r="W1116" s="6"/>
    </row>
    <row r="1117" ht="14.25" customHeight="1">
      <c r="A1117" s="6" t="str">
        <f t="shared" si="1"/>
        <v>2016T-How6</v>
      </c>
      <c r="B1117" s="6">
        <v>2016.0</v>
      </c>
      <c r="C1117" s="6" t="s">
        <v>82</v>
      </c>
      <c r="D1117" s="6" t="s">
        <v>142</v>
      </c>
      <c r="E1117" s="34"/>
      <c r="F1117" s="6" t="s">
        <v>2825</v>
      </c>
      <c r="G1117" s="6" t="s">
        <v>2449</v>
      </c>
      <c r="H1117" s="6" t="s">
        <v>2666</v>
      </c>
      <c r="I1117" s="35" t="s">
        <v>68</v>
      </c>
      <c r="J1117" s="36">
        <v>112.0</v>
      </c>
      <c r="K1117" s="36">
        <v>96.3</v>
      </c>
      <c r="L1117" s="36">
        <f t="shared" si="8"/>
        <v>1</v>
      </c>
      <c r="M1117" s="36" t="str">
        <f t="shared" si="3"/>
        <v>Regular Season</v>
      </c>
      <c r="N1117" s="36" t="str">
        <f>IFERROR(VLOOKUP(I1117,Mapped_Owner,2,0),"")</f>
        <v>Riley</v>
      </c>
      <c r="O1117" s="6">
        <f>VLOOKUP(D1117,'Mapped Opponent'!$G$4:$H$22,2,0)</f>
        <v>6</v>
      </c>
      <c r="P1117" s="6" t="str">
        <f t="shared" si="21"/>
        <v>Wain Newton</v>
      </c>
      <c r="Q1117" s="6" t="str">
        <f t="shared" si="4"/>
        <v>Week 6</v>
      </c>
      <c r="R1117" s="6" t="str">
        <f t="shared" si="5"/>
        <v>2016Week 6</v>
      </c>
      <c r="S1117" s="6">
        <f>IFERROR(__xludf.DUMMYFUNCTION("rank(J1117,FILTER(J:J,R:R=R1117))"),3.0)</f>
        <v>3</v>
      </c>
      <c r="T1117" s="6">
        <f t="shared" si="6"/>
        <v>9</v>
      </c>
      <c r="U1117" s="6">
        <f t="shared" si="7"/>
        <v>3</v>
      </c>
      <c r="V1117" s="42">
        <f>averageif(AllData!A:A,B1117,AllData!R:R)/vlookup(B1117,AllData!A:O,15,0)</f>
        <v>94.18910256</v>
      </c>
      <c r="W1117" s="6"/>
    </row>
    <row r="1118" ht="14.25" customHeight="1">
      <c r="A1118" s="6" t="str">
        <f t="shared" si="1"/>
        <v>2016Hudspeath7</v>
      </c>
      <c r="B1118" s="6">
        <v>2016.0</v>
      </c>
      <c r="C1118" s="6" t="s">
        <v>39</v>
      </c>
      <c r="D1118" s="6" t="s">
        <v>143</v>
      </c>
      <c r="E1118" s="34"/>
      <c r="F1118" s="6" t="s">
        <v>2826</v>
      </c>
      <c r="G1118" s="6" t="s">
        <v>2449</v>
      </c>
      <c r="H1118" s="6" t="s">
        <v>2664</v>
      </c>
      <c r="I1118" s="35" t="s">
        <v>58</v>
      </c>
      <c r="J1118" s="36">
        <v>83.1</v>
      </c>
      <c r="K1118" s="36">
        <v>106.5</v>
      </c>
      <c r="L1118" s="36">
        <f t="shared" si="8"/>
        <v>0</v>
      </c>
      <c r="M1118" s="36" t="str">
        <f t="shared" si="3"/>
        <v>Regular Season</v>
      </c>
      <c r="N1118" s="36" t="str">
        <f>IFERROR(VLOOKUP(I1118,Mapped_Owner,2,0),"")</f>
        <v>Rooney/Jackson</v>
      </c>
      <c r="O1118" s="6">
        <f>VLOOKUP(D1118,'Mapped Opponent'!$G$4:$H$22,2,0)</f>
        <v>7</v>
      </c>
      <c r="P1118" s="6"/>
      <c r="Q1118" s="6" t="str">
        <f t="shared" si="4"/>
        <v>Week 7</v>
      </c>
      <c r="R1118" s="6" t="str">
        <f t="shared" si="5"/>
        <v>2016Week 7</v>
      </c>
      <c r="S1118" s="6">
        <f>IFERROR(__xludf.DUMMYFUNCTION("rank(J1118,FILTER(J:J,R:R=R1118))"),8.0)</f>
        <v>8</v>
      </c>
      <c r="T1118" s="6">
        <f t="shared" si="6"/>
        <v>4</v>
      </c>
      <c r="U1118" s="6">
        <f t="shared" si="7"/>
        <v>8</v>
      </c>
      <c r="V1118" s="42">
        <f>averageif(AllData!A:A,B1118,AllData!R:R)/vlookup(B1118,AllData!A:O,15,0)</f>
        <v>94.18910256</v>
      </c>
      <c r="W1118" s="6"/>
    </row>
    <row r="1119" ht="14.25" customHeight="1">
      <c r="A1119" s="6" t="str">
        <f t="shared" si="1"/>
        <v>2016Salty7</v>
      </c>
      <c r="B1119" s="6">
        <v>2016.0</v>
      </c>
      <c r="C1119" s="6" t="s">
        <v>76</v>
      </c>
      <c r="D1119" s="6" t="s">
        <v>143</v>
      </c>
      <c r="E1119" s="34"/>
      <c r="F1119" s="6" t="s">
        <v>2827</v>
      </c>
      <c r="H1119" s="6" t="s">
        <v>2660</v>
      </c>
      <c r="I1119" s="35" t="s">
        <v>50</v>
      </c>
      <c r="J1119" s="36">
        <v>63.5</v>
      </c>
      <c r="K1119" s="36">
        <v>113.1</v>
      </c>
      <c r="L1119" s="36">
        <f t="shared" si="8"/>
        <v>0</v>
      </c>
      <c r="M1119" s="36" t="str">
        <f t="shared" si="3"/>
        <v>Regular Season</v>
      </c>
      <c r="N1119" s="36" t="str">
        <f>IFERROR(VLOOKUP(I1119,Mapped_Owner,2,0),"")</f>
        <v>Buser</v>
      </c>
      <c r="O1119" s="6">
        <f>VLOOKUP(D1119,'Mapped Opponent'!$G$4:$H$22,2,0)</f>
        <v>7</v>
      </c>
      <c r="P1119" s="6"/>
      <c r="Q1119" s="6" t="str">
        <f t="shared" si="4"/>
        <v>Week 7</v>
      </c>
      <c r="R1119" s="6" t="str">
        <f t="shared" si="5"/>
        <v>2016Week 7</v>
      </c>
      <c r="S1119" s="6">
        <f>IFERROR(__xludf.DUMMYFUNCTION("rank(J1119,FILTER(J:J,R:R=R1119))"),12.0)</f>
        <v>12</v>
      </c>
      <c r="T1119" s="6">
        <f t="shared" si="6"/>
        <v>0</v>
      </c>
      <c r="U1119" s="6">
        <f t="shared" si="7"/>
        <v>12</v>
      </c>
      <c r="V1119" s="42">
        <f>averageif(AllData!A:A,B1119,AllData!R:R)/vlookup(B1119,AllData!A:O,15,0)</f>
        <v>94.18910256</v>
      </c>
      <c r="W1119" s="6"/>
    </row>
    <row r="1120" ht="14.25" customHeight="1">
      <c r="A1120" s="6" t="str">
        <f t="shared" si="1"/>
        <v>2016Fellows7</v>
      </c>
      <c r="B1120" s="6">
        <v>2016.0</v>
      </c>
      <c r="C1120" s="6" t="s">
        <v>79</v>
      </c>
      <c r="D1120" s="6" t="s">
        <v>143</v>
      </c>
      <c r="E1120" s="34"/>
      <c r="F1120" s="6" t="s">
        <v>2828</v>
      </c>
      <c r="H1120" s="6" t="s">
        <v>2450</v>
      </c>
      <c r="I1120" s="35" t="s">
        <v>85</v>
      </c>
      <c r="J1120" s="36">
        <v>128.6</v>
      </c>
      <c r="K1120" s="36">
        <v>74.2</v>
      </c>
      <c r="L1120" s="36">
        <f t="shared" si="8"/>
        <v>1</v>
      </c>
      <c r="M1120" s="36" t="str">
        <f t="shared" si="3"/>
        <v>Regular Season</v>
      </c>
      <c r="N1120" s="36" t="str">
        <f>IFERROR(VLOOKUP(I1120,Mapped_Owner,2,0),"")</f>
        <v>T-How</v>
      </c>
      <c r="O1120" s="6">
        <f>VLOOKUP(D1120,'Mapped Opponent'!$G$4:$H$22,2,0)</f>
        <v>7</v>
      </c>
      <c r="P1120" s="6" t="str">
        <f t="shared" ref="P1120:P1129" si="22">LEFT(H1120,FIND("(",H1120)-2)</f>
        <v>DeAndre 3000</v>
      </c>
      <c r="Q1120" s="6" t="str">
        <f t="shared" si="4"/>
        <v>Week 7</v>
      </c>
      <c r="R1120" s="6" t="str">
        <f t="shared" si="5"/>
        <v>2016Week 7</v>
      </c>
      <c r="S1120" s="6">
        <f>IFERROR(__xludf.DUMMYFUNCTION("rank(J1120,FILTER(J:J,R:R=R1120))"),2.0)</f>
        <v>2</v>
      </c>
      <c r="T1120" s="6">
        <f t="shared" si="6"/>
        <v>10</v>
      </c>
      <c r="U1120" s="6">
        <f t="shared" si="7"/>
        <v>2</v>
      </c>
      <c r="V1120" s="42">
        <f>averageif(AllData!A:A,B1120,AllData!R:R)/vlookup(B1120,AllData!A:O,15,0)</f>
        <v>94.18910256</v>
      </c>
      <c r="W1120" s="6"/>
    </row>
    <row r="1121" ht="14.25" customHeight="1">
      <c r="A1121" s="6" t="str">
        <f t="shared" si="1"/>
        <v>2016Shep7</v>
      </c>
      <c r="B1121" s="6">
        <v>2016.0</v>
      </c>
      <c r="C1121" s="6" t="s">
        <v>89</v>
      </c>
      <c r="D1121" s="6" t="s">
        <v>143</v>
      </c>
      <c r="E1121" s="34"/>
      <c r="F1121" s="6" t="s">
        <v>2829</v>
      </c>
      <c r="G1121" s="6" t="s">
        <v>2449</v>
      </c>
      <c r="H1121" s="6" t="s">
        <v>2656</v>
      </c>
      <c r="I1121" s="35" t="s">
        <v>54</v>
      </c>
      <c r="J1121" s="36">
        <v>102.9</v>
      </c>
      <c r="K1121" s="36">
        <v>82.0</v>
      </c>
      <c r="L1121" s="36">
        <f t="shared" si="8"/>
        <v>1</v>
      </c>
      <c r="M1121" s="36" t="str">
        <f t="shared" si="3"/>
        <v>Regular Season</v>
      </c>
      <c r="N1121" s="36" t="str">
        <f>IFERROR(VLOOKUP(I1121,Mapped_Owner,2,0),"")</f>
        <v>Tayski</v>
      </c>
      <c r="O1121" s="6">
        <f>VLOOKUP(D1121,'Mapped Opponent'!$G$4:$H$22,2,0)</f>
        <v>7</v>
      </c>
      <c r="P1121" s="6" t="str">
        <f t="shared" si="22"/>
        <v>Keenan Allen Memorial Team</v>
      </c>
      <c r="Q1121" s="6" t="str">
        <f t="shared" si="4"/>
        <v>Week 7</v>
      </c>
      <c r="R1121" s="6" t="str">
        <f t="shared" si="5"/>
        <v>2016Week 7</v>
      </c>
      <c r="S1121" s="6">
        <f>IFERROR(__xludf.DUMMYFUNCTION("rank(J1121,FILTER(J:J,R:R=R1121))"),6.0)</f>
        <v>6</v>
      </c>
      <c r="T1121" s="6">
        <f t="shared" si="6"/>
        <v>6</v>
      </c>
      <c r="U1121" s="6">
        <f t="shared" si="7"/>
        <v>6</v>
      </c>
      <c r="V1121" s="42">
        <f>averageif(AllData!A:A,B1121,AllData!R:R)/vlookup(B1121,AllData!A:O,15,0)</f>
        <v>94.18910256</v>
      </c>
      <c r="W1121" s="6"/>
    </row>
    <row r="1122" ht="14.25" customHeight="1">
      <c r="A1122" s="6" t="str">
        <f t="shared" si="1"/>
        <v>2016Riley7</v>
      </c>
      <c r="B1122" s="6">
        <v>2016.0</v>
      </c>
      <c r="C1122" s="6" t="s">
        <v>67</v>
      </c>
      <c r="D1122" s="6" t="s">
        <v>143</v>
      </c>
      <c r="E1122" s="34"/>
      <c r="F1122" s="6" t="s">
        <v>2830</v>
      </c>
      <c r="G1122" s="6" t="s">
        <v>2449</v>
      </c>
      <c r="H1122" s="6" t="s">
        <v>2658</v>
      </c>
      <c r="I1122" s="35" t="s">
        <v>93</v>
      </c>
      <c r="J1122" s="36">
        <v>133.2</v>
      </c>
      <c r="K1122" s="36">
        <v>79.9</v>
      </c>
      <c r="L1122" s="36">
        <f t="shared" si="8"/>
        <v>1</v>
      </c>
      <c r="M1122" s="36" t="str">
        <f t="shared" si="3"/>
        <v>Regular Season</v>
      </c>
      <c r="N1122" s="36" t="str">
        <f>IFERROR(VLOOKUP(I1122,Mapped_Owner,2,0),"")</f>
        <v>Pierson</v>
      </c>
      <c r="O1122" s="6">
        <f>VLOOKUP(D1122,'Mapped Opponent'!$G$4:$H$22,2,0)</f>
        <v>7</v>
      </c>
      <c r="P1122" s="6" t="str">
        <f t="shared" si="22"/>
        <v>Yung Breezy n Lil' LeSean</v>
      </c>
      <c r="Q1122" s="6" t="str">
        <f t="shared" si="4"/>
        <v>Week 7</v>
      </c>
      <c r="R1122" s="6" t="str">
        <f t="shared" si="5"/>
        <v>2016Week 7</v>
      </c>
      <c r="S1122" s="6">
        <f>IFERROR(__xludf.DUMMYFUNCTION("rank(J1122,FILTER(J:J,R:R=R1122))"),1.0)</f>
        <v>1</v>
      </c>
      <c r="T1122" s="6">
        <f t="shared" si="6"/>
        <v>11</v>
      </c>
      <c r="U1122" s="6">
        <f t="shared" si="7"/>
        <v>1</v>
      </c>
      <c r="V1122" s="42">
        <f>averageif(AllData!A:A,B1122,AllData!R:R)/vlookup(B1122,AllData!A:O,15,0)</f>
        <v>94.18910256</v>
      </c>
      <c r="W1122" s="6"/>
    </row>
    <row r="1123" ht="14.25" customHeight="1">
      <c r="A1123" s="6" t="str">
        <f t="shared" si="1"/>
        <v>2016Rooney/Jackson7</v>
      </c>
      <c r="B1123" s="6">
        <v>2016.0</v>
      </c>
      <c r="C1123" s="6" t="s">
        <v>57</v>
      </c>
      <c r="D1123" s="6" t="s">
        <v>143</v>
      </c>
      <c r="E1123" s="34"/>
      <c r="F1123" s="6" t="s">
        <v>2831</v>
      </c>
      <c r="H1123" s="6" t="s">
        <v>2662</v>
      </c>
      <c r="I1123" s="35" t="s">
        <v>64</v>
      </c>
      <c r="J1123" s="36">
        <v>106.5</v>
      </c>
      <c r="K1123" s="36">
        <v>83.1</v>
      </c>
      <c r="L1123" s="36">
        <f t="shared" si="8"/>
        <v>1</v>
      </c>
      <c r="M1123" s="36" t="str">
        <f t="shared" si="3"/>
        <v>Regular Season</v>
      </c>
      <c r="N1123" s="36" t="str">
        <f>IFERROR(VLOOKUP(I1123,Mapped_Owner,2,0),"")</f>
        <v>Hudspeath</v>
      </c>
      <c r="O1123" s="6">
        <f>VLOOKUP(D1123,'Mapped Opponent'!$G$4:$H$22,2,0)</f>
        <v>7</v>
      </c>
      <c r="P1123" s="6" t="str">
        <f t="shared" si="22"/>
        <v>Cutler's Year</v>
      </c>
      <c r="Q1123" s="6" t="str">
        <f t="shared" si="4"/>
        <v>Week 7</v>
      </c>
      <c r="R1123" s="6" t="str">
        <f t="shared" si="5"/>
        <v>2016Week 7</v>
      </c>
      <c r="S1123" s="6">
        <f>IFERROR(__xludf.DUMMYFUNCTION("rank(J1123,FILTER(J:J,R:R=R1123))"),5.0)</f>
        <v>5</v>
      </c>
      <c r="T1123" s="6">
        <f t="shared" si="6"/>
        <v>7</v>
      </c>
      <c r="U1123" s="6">
        <f t="shared" si="7"/>
        <v>5</v>
      </c>
      <c r="V1123" s="42">
        <f>averageif(AllData!A:A,B1123,AllData!R:R)/vlookup(B1123,AllData!A:O,15,0)</f>
        <v>94.18910256</v>
      </c>
      <c r="W1123" s="6"/>
    </row>
    <row r="1124" ht="14.25" customHeight="1">
      <c r="A1124" s="6" t="str">
        <f t="shared" si="1"/>
        <v>2016Buser7</v>
      </c>
      <c r="B1124" s="6">
        <v>2016.0</v>
      </c>
      <c r="C1124" s="6" t="s">
        <v>47</v>
      </c>
      <c r="D1124" s="6" t="s">
        <v>143</v>
      </c>
      <c r="E1124" s="34"/>
      <c r="F1124" s="6" t="s">
        <v>2832</v>
      </c>
      <c r="G1124" s="6" t="s">
        <v>2449</v>
      </c>
      <c r="H1124" s="6" t="s">
        <v>2651</v>
      </c>
      <c r="I1124" s="35" t="s">
        <v>77</v>
      </c>
      <c r="J1124" s="36">
        <v>113.1</v>
      </c>
      <c r="K1124" s="36">
        <v>63.5</v>
      </c>
      <c r="L1124" s="36">
        <f t="shared" si="8"/>
        <v>1</v>
      </c>
      <c r="M1124" s="36" t="str">
        <f t="shared" si="3"/>
        <v>Regular Season</v>
      </c>
      <c r="N1124" s="36" t="str">
        <f>IFERROR(VLOOKUP(I1124,Mapped_Owner,2,0),"")</f>
        <v>Salty</v>
      </c>
      <c r="O1124" s="6">
        <f>VLOOKUP(D1124,'Mapped Opponent'!$G$4:$H$22,2,0)</f>
        <v>7</v>
      </c>
      <c r="P1124" s="6" t="str">
        <f t="shared" si="22"/>
        <v>Last Manning Standing</v>
      </c>
      <c r="Q1124" s="6" t="str">
        <f t="shared" si="4"/>
        <v>Week 7</v>
      </c>
      <c r="R1124" s="6" t="str">
        <f t="shared" si="5"/>
        <v>2016Week 7</v>
      </c>
      <c r="S1124" s="6">
        <f>IFERROR(__xludf.DUMMYFUNCTION("rank(J1124,FILTER(J:J,R:R=R1124))"),4.0)</f>
        <v>4</v>
      </c>
      <c r="T1124" s="6">
        <f t="shared" si="6"/>
        <v>8</v>
      </c>
      <c r="U1124" s="6">
        <f t="shared" si="7"/>
        <v>4</v>
      </c>
      <c r="V1124" s="42">
        <f>averageif(AllData!A:A,B1124,AllData!R:R)/vlookup(B1124,AllData!A:O,15,0)</f>
        <v>94.18910256</v>
      </c>
      <c r="W1124" s="6"/>
    </row>
    <row r="1125" ht="14.25" customHeight="1">
      <c r="A1125" s="6" t="str">
        <f t="shared" si="1"/>
        <v>2016Pierson7</v>
      </c>
      <c r="B1125" s="6">
        <v>2016.0</v>
      </c>
      <c r="C1125" s="6" t="s">
        <v>92</v>
      </c>
      <c r="D1125" s="6" t="s">
        <v>143</v>
      </c>
      <c r="E1125" s="34"/>
      <c r="F1125" s="6" t="s">
        <v>2833</v>
      </c>
      <c r="H1125" s="6" t="s">
        <v>2666</v>
      </c>
      <c r="I1125" s="35" t="s">
        <v>68</v>
      </c>
      <c r="J1125" s="36">
        <v>79.9</v>
      </c>
      <c r="K1125" s="36">
        <v>133.2</v>
      </c>
      <c r="L1125" s="36">
        <f t="shared" si="8"/>
        <v>0</v>
      </c>
      <c r="M1125" s="36" t="str">
        <f t="shared" si="3"/>
        <v>Regular Season</v>
      </c>
      <c r="N1125" s="36" t="str">
        <f>IFERROR(VLOOKUP(I1125,Mapped_Owner,2,0),"")</f>
        <v>Riley</v>
      </c>
      <c r="O1125" s="6">
        <f>VLOOKUP(D1125,'Mapped Opponent'!$G$4:$H$22,2,0)</f>
        <v>7</v>
      </c>
      <c r="P1125" s="6" t="str">
        <f t="shared" si="22"/>
        <v>Wain Newton</v>
      </c>
      <c r="Q1125" s="6" t="str">
        <f t="shared" si="4"/>
        <v>Week 7</v>
      </c>
      <c r="R1125" s="6" t="str">
        <f t="shared" si="5"/>
        <v>2016Week 7</v>
      </c>
      <c r="S1125" s="6">
        <f>IFERROR(__xludf.DUMMYFUNCTION("rank(J1125,FILTER(J:J,R:R=R1125))"),10.0)</f>
        <v>10</v>
      </c>
      <c r="T1125" s="6">
        <f t="shared" si="6"/>
        <v>2</v>
      </c>
      <c r="U1125" s="6">
        <f t="shared" si="7"/>
        <v>10</v>
      </c>
      <c r="V1125" s="42">
        <f>averageif(AllData!A:A,B1125,AllData!R:R)/vlookup(B1125,AllData!A:O,15,0)</f>
        <v>94.18910256</v>
      </c>
      <c r="W1125" s="6"/>
    </row>
    <row r="1126" ht="14.25" customHeight="1">
      <c r="A1126" s="6" t="str">
        <f t="shared" si="1"/>
        <v>2016Cock7</v>
      </c>
      <c r="B1126" s="6">
        <v>2016.0</v>
      </c>
      <c r="C1126" s="6" t="s">
        <v>72</v>
      </c>
      <c r="D1126" s="6" t="s">
        <v>143</v>
      </c>
      <c r="E1126" s="6"/>
      <c r="F1126" s="6" t="s">
        <v>2834</v>
      </c>
      <c r="G1126" s="6" t="s">
        <v>2449</v>
      </c>
      <c r="H1126" s="6" t="s">
        <v>2654</v>
      </c>
      <c r="I1126" s="35" t="s">
        <v>132</v>
      </c>
      <c r="J1126" s="36">
        <v>86.4</v>
      </c>
      <c r="K1126" s="36">
        <v>119.5</v>
      </c>
      <c r="L1126" s="36">
        <f t="shared" si="8"/>
        <v>0</v>
      </c>
      <c r="M1126" s="36" t="str">
        <f t="shared" si="3"/>
        <v>Regular Season</v>
      </c>
      <c r="N1126" s="36" t="str">
        <f>IFERROR(VLOOKUP(I1126,Mapped_Owner,2,0),"")</f>
        <v>KnardDawg</v>
      </c>
      <c r="O1126" s="6">
        <f>VLOOKUP(D1126,'Mapped Opponent'!$G$4:$H$22,2,0)</f>
        <v>7</v>
      </c>
      <c r="P1126" s="6" t="str">
        <f t="shared" si="22"/>
        <v>Bring tha Juice</v>
      </c>
      <c r="Q1126" s="6" t="str">
        <f t="shared" si="4"/>
        <v>Week 7</v>
      </c>
      <c r="R1126" s="6" t="str">
        <f t="shared" si="5"/>
        <v>2016Week 7</v>
      </c>
      <c r="S1126" s="6">
        <f>IFERROR(__xludf.DUMMYFUNCTION("rank(J1126,FILTER(J:J,R:R=R1126))"),7.0)</f>
        <v>7</v>
      </c>
      <c r="T1126" s="6">
        <f t="shared" si="6"/>
        <v>5</v>
      </c>
      <c r="U1126" s="6">
        <f t="shared" si="7"/>
        <v>7</v>
      </c>
      <c r="V1126" s="42">
        <f>averageif(AllData!A:A,B1126,AllData!R:R)/vlookup(B1126,AllData!A:O,15,0)</f>
        <v>94.18910256</v>
      </c>
      <c r="W1126" s="6"/>
    </row>
    <row r="1127" ht="14.25" customHeight="1">
      <c r="A1127" s="6" t="str">
        <f t="shared" si="1"/>
        <v>2016Tayski7</v>
      </c>
      <c r="B1127" s="6">
        <v>2016.0</v>
      </c>
      <c r="C1127" s="6" t="s">
        <v>52</v>
      </c>
      <c r="D1127" s="6" t="s">
        <v>143</v>
      </c>
      <c r="E1127" s="34"/>
      <c r="F1127" s="6" t="s">
        <v>2835</v>
      </c>
      <c r="H1127" s="35" t="s">
        <v>2678</v>
      </c>
      <c r="I1127" s="35" t="s">
        <v>91</v>
      </c>
      <c r="J1127" s="36">
        <v>82.0</v>
      </c>
      <c r="K1127" s="36">
        <v>102.9</v>
      </c>
      <c r="L1127" s="36">
        <f t="shared" si="8"/>
        <v>0</v>
      </c>
      <c r="M1127" s="36" t="str">
        <f t="shared" si="3"/>
        <v>Regular Season</v>
      </c>
      <c r="N1127" s="36" t="str">
        <f>IFERROR(VLOOKUP(I1127,Mapped_Owner,2,0),"")</f>
        <v>Shep</v>
      </c>
      <c r="O1127" s="6">
        <f>VLOOKUP(D1127,'Mapped Opponent'!$G$4:$H$22,2,0)</f>
        <v>7</v>
      </c>
      <c r="P1127" s="6" t="str">
        <f t="shared" si="22"/>
        <v>Suburban Kings II</v>
      </c>
      <c r="Q1127" s="6" t="str">
        <f t="shared" si="4"/>
        <v>Week 7</v>
      </c>
      <c r="R1127" s="6" t="str">
        <f t="shared" si="5"/>
        <v>2016Week 7</v>
      </c>
      <c r="S1127" s="6">
        <f>IFERROR(__xludf.DUMMYFUNCTION("rank(J1127,FILTER(J:J,R:R=R1127))"),9.0)</f>
        <v>9</v>
      </c>
      <c r="T1127" s="6">
        <f t="shared" si="6"/>
        <v>3</v>
      </c>
      <c r="U1127" s="6">
        <f t="shared" si="7"/>
        <v>9</v>
      </c>
      <c r="V1127" s="42">
        <f>averageif(AllData!A:A,B1127,AllData!R:R)/vlookup(B1127,AllData!A:O,15,0)</f>
        <v>94.18910256</v>
      </c>
      <c r="W1127" s="6"/>
    </row>
    <row r="1128" ht="14.25" customHeight="1">
      <c r="A1128" s="6" t="str">
        <f t="shared" si="1"/>
        <v>2016KnardDawg7</v>
      </c>
      <c r="B1128" s="6">
        <v>2016.0</v>
      </c>
      <c r="C1128" s="6" t="s">
        <v>86</v>
      </c>
      <c r="D1128" s="6" t="s">
        <v>143</v>
      </c>
      <c r="E1128" s="34"/>
      <c r="F1128" s="6" t="s">
        <v>2836</v>
      </c>
      <c r="H1128" s="6" t="s">
        <v>2648</v>
      </c>
      <c r="I1128" s="35" t="s">
        <v>146</v>
      </c>
      <c r="J1128" s="36">
        <v>119.5</v>
      </c>
      <c r="K1128" s="36">
        <v>86.4</v>
      </c>
      <c r="L1128" s="36">
        <f t="shared" si="8"/>
        <v>1</v>
      </c>
      <c r="M1128" s="36" t="str">
        <f t="shared" si="3"/>
        <v>Regular Season</v>
      </c>
      <c r="N1128" s="36" t="str">
        <f>IFERROR(VLOOKUP(I1128,Mapped_Owner,2,0),"")</f>
        <v>Cock</v>
      </c>
      <c r="O1128" s="6">
        <f>VLOOKUP(D1128,'Mapped Opponent'!$G$4:$H$22,2,0)</f>
        <v>7</v>
      </c>
      <c r="P1128" s="6" t="str">
        <f t="shared" si="22"/>
        <v>J. Cash and The Cochslappers</v>
      </c>
      <c r="Q1128" s="6" t="str">
        <f t="shared" si="4"/>
        <v>Week 7</v>
      </c>
      <c r="R1128" s="6" t="str">
        <f t="shared" si="5"/>
        <v>2016Week 7</v>
      </c>
      <c r="S1128" s="6">
        <f>IFERROR(__xludf.DUMMYFUNCTION("rank(J1128,FILTER(J:J,R:R=R1128))"),3.0)</f>
        <v>3</v>
      </c>
      <c r="T1128" s="6">
        <f t="shared" si="6"/>
        <v>9</v>
      </c>
      <c r="U1128" s="6">
        <f t="shared" si="7"/>
        <v>3</v>
      </c>
      <c r="V1128" s="42">
        <f>averageif(AllData!A:A,B1128,AllData!R:R)/vlookup(B1128,AllData!A:O,15,0)</f>
        <v>94.18910256</v>
      </c>
      <c r="W1128" s="6"/>
    </row>
    <row r="1129" ht="14.25" customHeight="1">
      <c r="A1129" s="6" t="str">
        <f t="shared" si="1"/>
        <v>2016T-How7</v>
      </c>
      <c r="B1129" s="6">
        <v>2016.0</v>
      </c>
      <c r="C1129" s="6" t="s">
        <v>82</v>
      </c>
      <c r="D1129" s="6" t="s">
        <v>143</v>
      </c>
      <c r="E1129" s="34"/>
      <c r="F1129" s="6" t="s">
        <v>2837</v>
      </c>
      <c r="G1129" s="6" t="s">
        <v>2449</v>
      </c>
      <c r="H1129" s="6" t="s">
        <v>2464</v>
      </c>
      <c r="I1129" s="35" t="s">
        <v>80</v>
      </c>
      <c r="J1129" s="36">
        <v>74.2</v>
      </c>
      <c r="K1129" s="36">
        <v>128.6</v>
      </c>
      <c r="L1129" s="36">
        <f t="shared" si="8"/>
        <v>0</v>
      </c>
      <c r="M1129" s="36" t="str">
        <f t="shared" si="3"/>
        <v>Regular Season</v>
      </c>
      <c r="N1129" s="36" t="str">
        <f>IFERROR(VLOOKUP(I1129,Mapped_Owner,2,0),"")</f>
        <v>Fellows</v>
      </c>
      <c r="O1129" s="6">
        <f>VLOOKUP(D1129,'Mapped Opponent'!$G$4:$H$22,2,0)</f>
        <v>7</v>
      </c>
      <c r="P1129" s="6" t="str">
        <f t="shared" si="22"/>
        <v>Dak to Dak Jacks</v>
      </c>
      <c r="Q1129" s="6" t="str">
        <f t="shared" si="4"/>
        <v>Week 7</v>
      </c>
      <c r="R1129" s="6" t="str">
        <f t="shared" si="5"/>
        <v>2016Week 7</v>
      </c>
      <c r="S1129" s="6">
        <f>IFERROR(__xludf.DUMMYFUNCTION("rank(J1129,FILTER(J:J,R:R=R1129))"),11.0)</f>
        <v>11</v>
      </c>
      <c r="T1129" s="6">
        <f t="shared" si="6"/>
        <v>1</v>
      </c>
      <c r="U1129" s="6">
        <f t="shared" si="7"/>
        <v>11</v>
      </c>
      <c r="V1129" s="42">
        <f>averageif(AllData!A:A,B1129,AllData!R:R)/vlookup(B1129,AllData!A:O,15,0)</f>
        <v>94.18910256</v>
      </c>
      <c r="W1129" s="6"/>
    </row>
    <row r="1130" ht="14.25" customHeight="1">
      <c r="A1130" s="6" t="str">
        <f t="shared" si="1"/>
        <v>2016Hudspeath8</v>
      </c>
      <c r="B1130" s="6">
        <v>2016.0</v>
      </c>
      <c r="C1130" s="6" t="s">
        <v>39</v>
      </c>
      <c r="D1130" s="6" t="s">
        <v>145</v>
      </c>
      <c r="E1130" s="34"/>
      <c r="F1130" s="6" t="s">
        <v>2839</v>
      </c>
      <c r="H1130" s="6" t="s">
        <v>2678</v>
      </c>
      <c r="I1130" s="35" t="s">
        <v>91</v>
      </c>
      <c r="J1130" s="36">
        <v>90.0</v>
      </c>
      <c r="K1130" s="36">
        <v>77.6</v>
      </c>
      <c r="L1130" s="36">
        <f t="shared" si="8"/>
        <v>1</v>
      </c>
      <c r="M1130" s="36" t="str">
        <f t="shared" si="3"/>
        <v>Regular Season</v>
      </c>
      <c r="N1130" s="36" t="str">
        <f>IFERROR(VLOOKUP(I1130,Mapped_Owner,2,0),"")</f>
        <v>Shep</v>
      </c>
      <c r="O1130" s="6">
        <f>VLOOKUP(D1130,'Mapped Opponent'!$G$4:$H$22,2,0)</f>
        <v>8</v>
      </c>
      <c r="P1130" s="6"/>
      <c r="Q1130" s="6" t="str">
        <f t="shared" si="4"/>
        <v>Week 8</v>
      </c>
      <c r="R1130" s="6" t="str">
        <f t="shared" si="5"/>
        <v>2016Week 8</v>
      </c>
      <c r="S1130" s="6">
        <f>IFERROR(__xludf.DUMMYFUNCTION("rank(J1130,FILTER(J:J,R:R=R1130))"),7.0)</f>
        <v>7</v>
      </c>
      <c r="T1130" s="6">
        <f t="shared" si="6"/>
        <v>5</v>
      </c>
      <c r="U1130" s="6">
        <f t="shared" si="7"/>
        <v>7</v>
      </c>
      <c r="V1130" s="42">
        <f>averageif(AllData!A:A,B1130,AllData!R:R)/vlookup(B1130,AllData!A:O,15,0)</f>
        <v>94.18910256</v>
      </c>
      <c r="W1130" s="6"/>
    </row>
    <row r="1131" ht="14.25" customHeight="1">
      <c r="A1131" s="6" t="str">
        <f t="shared" si="1"/>
        <v>2016Salty8</v>
      </c>
      <c r="B1131" s="6">
        <v>2016.0</v>
      </c>
      <c r="C1131" s="6" t="s">
        <v>76</v>
      </c>
      <c r="D1131" s="6" t="s">
        <v>145</v>
      </c>
      <c r="E1131" s="34"/>
      <c r="F1131" s="6" t="s">
        <v>2841</v>
      </c>
      <c r="G1131" s="6" t="s">
        <v>2449</v>
      </c>
      <c r="H1131" s="6" t="s">
        <v>2666</v>
      </c>
      <c r="I1131" s="35" t="s">
        <v>68</v>
      </c>
      <c r="J1131" s="36">
        <v>110.1</v>
      </c>
      <c r="K1131" s="36">
        <v>84.8</v>
      </c>
      <c r="L1131" s="36">
        <f t="shared" si="8"/>
        <v>1</v>
      </c>
      <c r="M1131" s="36" t="str">
        <f t="shared" si="3"/>
        <v>Regular Season</v>
      </c>
      <c r="N1131" s="36" t="str">
        <f>IFERROR(VLOOKUP(I1131,Mapped_Owner,2,0),"")</f>
        <v>Riley</v>
      </c>
      <c r="O1131" s="6">
        <f>VLOOKUP(D1131,'Mapped Opponent'!$G$4:$H$22,2,0)</f>
        <v>8</v>
      </c>
      <c r="P1131" s="6"/>
      <c r="Q1131" s="6" t="str">
        <f t="shared" si="4"/>
        <v>Week 8</v>
      </c>
      <c r="R1131" s="6" t="str">
        <f t="shared" si="5"/>
        <v>2016Week 8</v>
      </c>
      <c r="S1131" s="6">
        <f>IFERROR(__xludf.DUMMYFUNCTION("rank(J1131,FILTER(J:J,R:R=R1131))"),4.0)</f>
        <v>4</v>
      </c>
      <c r="T1131" s="6">
        <f t="shared" si="6"/>
        <v>8</v>
      </c>
      <c r="U1131" s="6">
        <f t="shared" si="7"/>
        <v>4</v>
      </c>
      <c r="V1131" s="42">
        <f>averageif(AllData!A:A,B1131,AllData!R:R)/vlookup(B1131,AllData!A:O,15,0)</f>
        <v>94.18910256</v>
      </c>
      <c r="W1131" s="6"/>
    </row>
    <row r="1132" ht="14.25" customHeight="1">
      <c r="A1132" s="6" t="str">
        <f t="shared" si="1"/>
        <v>2016Fellows8</v>
      </c>
      <c r="B1132" s="6">
        <v>2016.0</v>
      </c>
      <c r="C1132" s="6" t="s">
        <v>79</v>
      </c>
      <c r="D1132" s="6" t="s">
        <v>145</v>
      </c>
      <c r="E1132" s="34"/>
      <c r="F1132" s="6" t="s">
        <v>2842</v>
      </c>
      <c r="H1132" s="6" t="s">
        <v>2658</v>
      </c>
      <c r="I1132" s="35" t="s">
        <v>93</v>
      </c>
      <c r="J1132" s="36">
        <v>119.3</v>
      </c>
      <c r="K1132" s="36">
        <v>81.5</v>
      </c>
      <c r="L1132" s="36">
        <f t="shared" si="8"/>
        <v>1</v>
      </c>
      <c r="M1132" s="36" t="str">
        <f t="shared" si="3"/>
        <v>Regular Season</v>
      </c>
      <c r="N1132" s="36" t="str">
        <f>IFERROR(VLOOKUP(I1132,Mapped_Owner,2,0),"")</f>
        <v>Pierson</v>
      </c>
      <c r="O1132" s="6">
        <f>VLOOKUP(D1132,'Mapped Opponent'!$G$4:$H$22,2,0)</f>
        <v>8</v>
      </c>
      <c r="P1132" s="6" t="str">
        <f t="shared" ref="P1132:P1141" si="23">LEFT(H1132,FIND("(",H1132)-2)</f>
        <v>Yung Breezy n Lil' LeSean</v>
      </c>
      <c r="Q1132" s="6" t="str">
        <f t="shared" si="4"/>
        <v>Week 8</v>
      </c>
      <c r="R1132" s="6" t="str">
        <f t="shared" si="5"/>
        <v>2016Week 8</v>
      </c>
      <c r="S1132" s="6">
        <f>IFERROR(__xludf.DUMMYFUNCTION("rank(J1132,FILTER(J:J,R:R=R1132))"),1.0)</f>
        <v>1</v>
      </c>
      <c r="T1132" s="6">
        <f t="shared" si="6"/>
        <v>11</v>
      </c>
      <c r="U1132" s="6">
        <f t="shared" si="7"/>
        <v>1</v>
      </c>
      <c r="V1132" s="42">
        <f>averageif(AllData!A:A,B1132,AllData!R:R)/vlookup(B1132,AllData!A:O,15,0)</f>
        <v>94.18910256</v>
      </c>
      <c r="W1132" s="6"/>
    </row>
    <row r="1133" ht="14.25" customHeight="1">
      <c r="A1133" s="6" t="str">
        <f t="shared" si="1"/>
        <v>2016Shep8</v>
      </c>
      <c r="B1133" s="6">
        <v>2016.0</v>
      </c>
      <c r="C1133" s="6" t="s">
        <v>89</v>
      </c>
      <c r="D1133" s="6" t="s">
        <v>145</v>
      </c>
      <c r="E1133" s="34"/>
      <c r="F1133" s="6" t="s">
        <v>2843</v>
      </c>
      <c r="G1133" s="6" t="s">
        <v>2449</v>
      </c>
      <c r="H1133" s="6" t="s">
        <v>2662</v>
      </c>
      <c r="I1133" s="35" t="s">
        <v>64</v>
      </c>
      <c r="J1133" s="36">
        <v>77.6</v>
      </c>
      <c r="K1133" s="36">
        <v>90.0</v>
      </c>
      <c r="L1133" s="36">
        <f t="shared" si="8"/>
        <v>0</v>
      </c>
      <c r="M1133" s="36" t="str">
        <f t="shared" si="3"/>
        <v>Regular Season</v>
      </c>
      <c r="N1133" s="36" t="str">
        <f>IFERROR(VLOOKUP(I1133,Mapped_Owner,2,0),"")</f>
        <v>Hudspeath</v>
      </c>
      <c r="O1133" s="6">
        <f>VLOOKUP(D1133,'Mapped Opponent'!$G$4:$H$22,2,0)</f>
        <v>8</v>
      </c>
      <c r="P1133" s="6" t="str">
        <f t="shared" si="23"/>
        <v>Cutler's Year</v>
      </c>
      <c r="Q1133" s="6" t="str">
        <f t="shared" si="4"/>
        <v>Week 8</v>
      </c>
      <c r="R1133" s="6" t="str">
        <f t="shared" si="5"/>
        <v>2016Week 8</v>
      </c>
      <c r="S1133" s="6">
        <f>IFERROR(__xludf.DUMMYFUNCTION("rank(J1133,FILTER(J:J,R:R=R1133))"),11.0)</f>
        <v>11</v>
      </c>
      <c r="T1133" s="6">
        <f t="shared" si="6"/>
        <v>1</v>
      </c>
      <c r="U1133" s="6">
        <f t="shared" si="7"/>
        <v>11</v>
      </c>
      <c r="V1133" s="42">
        <f>averageif(AllData!A:A,B1133,AllData!R:R)/vlookup(B1133,AllData!A:O,15,0)</f>
        <v>94.18910256</v>
      </c>
      <c r="W1133" s="6"/>
    </row>
    <row r="1134" ht="14.25" customHeight="1">
      <c r="A1134" s="6" t="str">
        <f t="shared" si="1"/>
        <v>2016Riley8</v>
      </c>
      <c r="B1134" s="6">
        <v>2016.0</v>
      </c>
      <c r="C1134" s="6" t="s">
        <v>67</v>
      </c>
      <c r="D1134" s="6" t="s">
        <v>145</v>
      </c>
      <c r="E1134" s="34"/>
      <c r="F1134" s="6" t="s">
        <v>2844</v>
      </c>
      <c r="H1134" s="6" t="s">
        <v>2651</v>
      </c>
      <c r="I1134" s="35" t="s">
        <v>77</v>
      </c>
      <c r="J1134" s="36">
        <v>84.8</v>
      </c>
      <c r="K1134" s="36">
        <v>110.1</v>
      </c>
      <c r="L1134" s="36">
        <f t="shared" si="8"/>
        <v>0</v>
      </c>
      <c r="M1134" s="36" t="str">
        <f t="shared" si="3"/>
        <v>Regular Season</v>
      </c>
      <c r="N1134" s="36" t="str">
        <f>IFERROR(VLOOKUP(I1134,Mapped_Owner,2,0),"")</f>
        <v>Salty</v>
      </c>
      <c r="O1134" s="6">
        <f>VLOOKUP(D1134,'Mapped Opponent'!$G$4:$H$22,2,0)</f>
        <v>8</v>
      </c>
      <c r="P1134" s="6" t="str">
        <f t="shared" si="23"/>
        <v>Last Manning Standing</v>
      </c>
      <c r="Q1134" s="6" t="str">
        <f t="shared" si="4"/>
        <v>Week 8</v>
      </c>
      <c r="R1134" s="6" t="str">
        <f t="shared" si="5"/>
        <v>2016Week 8</v>
      </c>
      <c r="S1134" s="6">
        <f>IFERROR(__xludf.DUMMYFUNCTION("rank(J1134,FILTER(J:J,R:R=R1134))"),8.0)</f>
        <v>8</v>
      </c>
      <c r="T1134" s="6">
        <f t="shared" si="6"/>
        <v>4</v>
      </c>
      <c r="U1134" s="6">
        <f t="shared" si="7"/>
        <v>8</v>
      </c>
      <c r="V1134" s="42">
        <f>averageif(AllData!A:A,B1134,AllData!R:R)/vlookup(B1134,AllData!A:O,15,0)</f>
        <v>94.18910256</v>
      </c>
      <c r="W1134" s="6"/>
    </row>
    <row r="1135" ht="14.25" customHeight="1">
      <c r="A1135" s="6" t="str">
        <f t="shared" si="1"/>
        <v>2016Rooney/Jackson8</v>
      </c>
      <c r="B1135" s="6">
        <v>2016.0</v>
      </c>
      <c r="C1135" s="6" t="s">
        <v>57</v>
      </c>
      <c r="D1135" s="6" t="s">
        <v>145</v>
      </c>
      <c r="E1135" s="34"/>
      <c r="F1135" s="6" t="s">
        <v>2845</v>
      </c>
      <c r="G1135" s="6" t="s">
        <v>2449</v>
      </c>
      <c r="H1135" s="6" t="s">
        <v>2660</v>
      </c>
      <c r="I1135" s="35" t="s">
        <v>50</v>
      </c>
      <c r="J1135" s="36">
        <v>84.1</v>
      </c>
      <c r="K1135" s="36">
        <v>103.2</v>
      </c>
      <c r="L1135" s="36">
        <f t="shared" si="8"/>
        <v>0</v>
      </c>
      <c r="M1135" s="36" t="str">
        <f t="shared" si="3"/>
        <v>Regular Season</v>
      </c>
      <c r="N1135" s="36" t="str">
        <f>IFERROR(VLOOKUP(I1135,Mapped_Owner,2,0),"")</f>
        <v>Buser</v>
      </c>
      <c r="O1135" s="6">
        <f>VLOOKUP(D1135,'Mapped Opponent'!$G$4:$H$22,2,0)</f>
        <v>8</v>
      </c>
      <c r="P1135" s="6" t="str">
        <f t="shared" si="23"/>
        <v>Julio, Get The Catch!</v>
      </c>
      <c r="Q1135" s="6" t="str">
        <f t="shared" si="4"/>
        <v>Week 8</v>
      </c>
      <c r="R1135" s="6" t="str">
        <f t="shared" si="5"/>
        <v>2016Week 8</v>
      </c>
      <c r="S1135" s="6">
        <f>IFERROR(__xludf.DUMMYFUNCTION("rank(J1135,FILTER(J:J,R:R=R1135))"),9.0)</f>
        <v>9</v>
      </c>
      <c r="T1135" s="6">
        <f t="shared" si="6"/>
        <v>3</v>
      </c>
      <c r="U1135" s="6">
        <f t="shared" si="7"/>
        <v>9</v>
      </c>
      <c r="V1135" s="42">
        <f>averageif(AllData!A:A,B1135,AllData!R:R)/vlookup(B1135,AllData!A:O,15,0)</f>
        <v>94.18910256</v>
      </c>
      <c r="W1135" s="6"/>
    </row>
    <row r="1136" ht="14.25" customHeight="1">
      <c r="A1136" s="6" t="str">
        <f t="shared" si="1"/>
        <v>2016Buser8</v>
      </c>
      <c r="B1136" s="6">
        <v>2016.0</v>
      </c>
      <c r="C1136" s="6" t="s">
        <v>47</v>
      </c>
      <c r="D1136" s="6" t="s">
        <v>145</v>
      </c>
      <c r="E1136" s="34"/>
      <c r="F1136" s="6" t="s">
        <v>2846</v>
      </c>
      <c r="H1136" s="6" t="s">
        <v>2664</v>
      </c>
      <c r="I1136" s="35" t="s">
        <v>58</v>
      </c>
      <c r="J1136" s="36">
        <v>103.2</v>
      </c>
      <c r="K1136" s="36">
        <v>84.1</v>
      </c>
      <c r="L1136" s="36">
        <f t="shared" si="8"/>
        <v>1</v>
      </c>
      <c r="M1136" s="36" t="str">
        <f t="shared" si="3"/>
        <v>Regular Season</v>
      </c>
      <c r="N1136" s="36" t="str">
        <f>IFERROR(VLOOKUP(I1136,Mapped_Owner,2,0),"")</f>
        <v>Rooney/Jackson</v>
      </c>
      <c r="O1136" s="6">
        <f>VLOOKUP(D1136,'Mapped Opponent'!$G$4:$H$22,2,0)</f>
        <v>8</v>
      </c>
      <c r="P1136" s="6" t="str">
        <f t="shared" si="23"/>
        <v>Rob "Ryan Chip" Kelley</v>
      </c>
      <c r="Q1136" s="6" t="str">
        <f t="shared" si="4"/>
        <v>Week 8</v>
      </c>
      <c r="R1136" s="6" t="str">
        <f t="shared" si="5"/>
        <v>2016Week 8</v>
      </c>
      <c r="S1136" s="6">
        <f>IFERROR(__xludf.DUMMYFUNCTION("rank(J1136,FILTER(J:J,R:R=R1136))"),5.0)</f>
        <v>5</v>
      </c>
      <c r="T1136" s="6">
        <f t="shared" si="6"/>
        <v>7</v>
      </c>
      <c r="U1136" s="6">
        <f t="shared" si="7"/>
        <v>5</v>
      </c>
      <c r="V1136" s="42">
        <f>averageif(AllData!A:A,B1136,AllData!R:R)/vlookup(B1136,AllData!A:O,15,0)</f>
        <v>94.18910256</v>
      </c>
      <c r="W1136" s="6"/>
    </row>
    <row r="1137" ht="14.25" customHeight="1">
      <c r="A1137" s="6" t="str">
        <f t="shared" si="1"/>
        <v>2016Pierson8</v>
      </c>
      <c r="B1137" s="6">
        <v>2016.0</v>
      </c>
      <c r="C1137" s="6" t="s">
        <v>92</v>
      </c>
      <c r="D1137" s="6" t="s">
        <v>145</v>
      </c>
      <c r="E1137" s="34"/>
      <c r="F1137" s="6" t="s">
        <v>2847</v>
      </c>
      <c r="G1137" s="6" t="s">
        <v>2449</v>
      </c>
      <c r="H1137" s="6" t="s">
        <v>2464</v>
      </c>
      <c r="I1137" s="35" t="s">
        <v>80</v>
      </c>
      <c r="J1137" s="36">
        <v>81.5</v>
      </c>
      <c r="K1137" s="36">
        <v>119.3</v>
      </c>
      <c r="L1137" s="36">
        <f t="shared" si="8"/>
        <v>0</v>
      </c>
      <c r="M1137" s="36" t="str">
        <f t="shared" si="3"/>
        <v>Regular Season</v>
      </c>
      <c r="N1137" s="36" t="str">
        <f>IFERROR(VLOOKUP(I1137,Mapped_Owner,2,0),"")</f>
        <v>Fellows</v>
      </c>
      <c r="O1137" s="6">
        <f>VLOOKUP(D1137,'Mapped Opponent'!$G$4:$H$22,2,0)</f>
        <v>8</v>
      </c>
      <c r="P1137" s="6" t="str">
        <f t="shared" si="23"/>
        <v>Dak to Dak Jacks</v>
      </c>
      <c r="Q1137" s="6" t="str">
        <f t="shared" si="4"/>
        <v>Week 8</v>
      </c>
      <c r="R1137" s="6" t="str">
        <f t="shared" si="5"/>
        <v>2016Week 8</v>
      </c>
      <c r="S1137" s="6">
        <f>IFERROR(__xludf.DUMMYFUNCTION("rank(J1137,FILTER(J:J,R:R=R1137))"),10.0)</f>
        <v>10</v>
      </c>
      <c r="T1137" s="6">
        <f t="shared" si="6"/>
        <v>2</v>
      </c>
      <c r="U1137" s="6">
        <f t="shared" si="7"/>
        <v>10</v>
      </c>
      <c r="V1137" s="42">
        <f>averageif(AllData!A:A,B1137,AllData!R:R)/vlookup(B1137,AllData!A:O,15,0)</f>
        <v>94.18910256</v>
      </c>
      <c r="W1137" s="6"/>
    </row>
    <row r="1138" ht="14.25" customHeight="1">
      <c r="A1138" s="6" t="str">
        <f t="shared" si="1"/>
        <v>2016Cock8</v>
      </c>
      <c r="B1138" s="6">
        <v>2016.0</v>
      </c>
      <c r="C1138" s="6" t="s">
        <v>72</v>
      </c>
      <c r="D1138" s="6" t="s">
        <v>145</v>
      </c>
      <c r="E1138" s="6"/>
      <c r="F1138" s="6" t="s">
        <v>2848</v>
      </c>
      <c r="H1138" s="6" t="s">
        <v>2656</v>
      </c>
      <c r="I1138" s="35" t="s">
        <v>54</v>
      </c>
      <c r="J1138" s="36">
        <v>96.3</v>
      </c>
      <c r="K1138" s="36">
        <v>61.7</v>
      </c>
      <c r="L1138" s="36">
        <f t="shared" si="8"/>
        <v>1</v>
      </c>
      <c r="M1138" s="36" t="str">
        <f t="shared" si="3"/>
        <v>Regular Season</v>
      </c>
      <c r="N1138" s="36" t="str">
        <f>IFERROR(VLOOKUP(I1138,Mapped_Owner,2,0),"")</f>
        <v>Tayski</v>
      </c>
      <c r="O1138" s="6">
        <f>VLOOKUP(D1138,'Mapped Opponent'!$G$4:$H$22,2,0)</f>
        <v>8</v>
      </c>
      <c r="P1138" s="6" t="str">
        <f t="shared" si="23"/>
        <v>Keenan Allen Memorial Team</v>
      </c>
      <c r="Q1138" s="6" t="str">
        <f t="shared" si="4"/>
        <v>Week 8</v>
      </c>
      <c r="R1138" s="6" t="str">
        <f t="shared" si="5"/>
        <v>2016Week 8</v>
      </c>
      <c r="S1138" s="6">
        <f>IFERROR(__xludf.DUMMYFUNCTION("rank(J1138,FILTER(J:J,R:R=R1138))"),6.0)</f>
        <v>6</v>
      </c>
      <c r="T1138" s="6">
        <f t="shared" si="6"/>
        <v>6</v>
      </c>
      <c r="U1138" s="6">
        <f t="shared" si="7"/>
        <v>6</v>
      </c>
      <c r="V1138" s="42">
        <f>averageif(AllData!A:A,B1138,AllData!R:R)/vlookup(B1138,AllData!A:O,15,0)</f>
        <v>94.18910256</v>
      </c>
      <c r="W1138" s="6"/>
    </row>
    <row r="1139" ht="14.25" customHeight="1">
      <c r="A1139" s="6" t="str">
        <f t="shared" si="1"/>
        <v>2016Tayski8</v>
      </c>
      <c r="B1139" s="6">
        <v>2016.0</v>
      </c>
      <c r="C1139" s="6" t="s">
        <v>52</v>
      </c>
      <c r="D1139" s="6" t="s">
        <v>145</v>
      </c>
      <c r="E1139" s="34"/>
      <c r="F1139" s="6" t="s">
        <v>2849</v>
      </c>
      <c r="G1139" s="6" t="s">
        <v>2449</v>
      </c>
      <c r="H1139" s="35" t="s">
        <v>2648</v>
      </c>
      <c r="I1139" s="35" t="s">
        <v>146</v>
      </c>
      <c r="J1139" s="36">
        <v>61.7</v>
      </c>
      <c r="K1139" s="36">
        <v>96.3</v>
      </c>
      <c r="L1139" s="36">
        <f t="shared" si="8"/>
        <v>0</v>
      </c>
      <c r="M1139" s="36" t="str">
        <f t="shared" si="3"/>
        <v>Regular Season</v>
      </c>
      <c r="N1139" s="36" t="str">
        <f>IFERROR(VLOOKUP(I1139,Mapped_Owner,2,0),"")</f>
        <v>Cock</v>
      </c>
      <c r="O1139" s="6">
        <f>VLOOKUP(D1139,'Mapped Opponent'!$G$4:$H$22,2,0)</f>
        <v>8</v>
      </c>
      <c r="P1139" s="6" t="str">
        <f t="shared" si="23"/>
        <v>J. Cash and The Cochslappers</v>
      </c>
      <c r="Q1139" s="6" t="str">
        <f t="shared" si="4"/>
        <v>Week 8</v>
      </c>
      <c r="R1139" s="6" t="str">
        <f t="shared" si="5"/>
        <v>2016Week 8</v>
      </c>
      <c r="S1139" s="6">
        <f>IFERROR(__xludf.DUMMYFUNCTION("rank(J1139,FILTER(J:J,R:R=R1139))"),12.0)</f>
        <v>12</v>
      </c>
      <c r="T1139" s="6">
        <f t="shared" si="6"/>
        <v>0</v>
      </c>
      <c r="U1139" s="6">
        <f t="shared" si="7"/>
        <v>12</v>
      </c>
      <c r="V1139" s="42">
        <f>averageif(AllData!A:A,B1139,AllData!R:R)/vlookup(B1139,AllData!A:O,15,0)</f>
        <v>94.18910256</v>
      </c>
      <c r="W1139" s="6"/>
    </row>
    <row r="1140" ht="14.25" customHeight="1">
      <c r="A1140" s="6" t="str">
        <f t="shared" si="1"/>
        <v>2016KnardDawg8</v>
      </c>
      <c r="B1140" s="6">
        <v>2016.0</v>
      </c>
      <c r="C1140" s="6" t="s">
        <v>86</v>
      </c>
      <c r="D1140" s="6" t="s">
        <v>145</v>
      </c>
      <c r="E1140" s="34"/>
      <c r="F1140" s="6" t="s">
        <v>2850</v>
      </c>
      <c r="G1140" s="6" t="s">
        <v>2449</v>
      </c>
      <c r="H1140" s="6" t="s">
        <v>2450</v>
      </c>
      <c r="I1140" s="35" t="s">
        <v>85</v>
      </c>
      <c r="J1140" s="36">
        <v>117.9</v>
      </c>
      <c r="K1140" s="36">
        <v>117.5</v>
      </c>
      <c r="L1140" s="36">
        <f t="shared" si="8"/>
        <v>1</v>
      </c>
      <c r="M1140" s="36" t="str">
        <f t="shared" si="3"/>
        <v>Regular Season</v>
      </c>
      <c r="N1140" s="36" t="str">
        <f>IFERROR(VLOOKUP(I1140,Mapped_Owner,2,0),"")</f>
        <v>T-How</v>
      </c>
      <c r="O1140" s="6">
        <f>VLOOKUP(D1140,'Mapped Opponent'!$G$4:$H$22,2,0)</f>
        <v>8</v>
      </c>
      <c r="P1140" s="6" t="str">
        <f t="shared" si="23"/>
        <v>DeAndre 3000</v>
      </c>
      <c r="Q1140" s="6" t="str">
        <f t="shared" si="4"/>
        <v>Week 8</v>
      </c>
      <c r="R1140" s="6" t="str">
        <f t="shared" si="5"/>
        <v>2016Week 8</v>
      </c>
      <c r="S1140" s="6">
        <f>IFERROR(__xludf.DUMMYFUNCTION("rank(J1140,FILTER(J:J,R:R=R1140))"),2.0)</f>
        <v>2</v>
      </c>
      <c r="T1140" s="6">
        <f t="shared" si="6"/>
        <v>10</v>
      </c>
      <c r="U1140" s="6">
        <f t="shared" si="7"/>
        <v>2</v>
      </c>
      <c r="V1140" s="42">
        <f>averageif(AllData!A:A,B1140,AllData!R:R)/vlookup(B1140,AllData!A:O,15,0)</f>
        <v>94.18910256</v>
      </c>
      <c r="W1140" s="6"/>
    </row>
    <row r="1141" ht="14.25" customHeight="1">
      <c r="A1141" s="6" t="str">
        <f t="shared" si="1"/>
        <v>2016T-How8</v>
      </c>
      <c r="B1141" s="6">
        <v>2016.0</v>
      </c>
      <c r="C1141" s="6" t="s">
        <v>82</v>
      </c>
      <c r="D1141" s="6" t="s">
        <v>145</v>
      </c>
      <c r="E1141" s="34"/>
      <c r="F1141" s="6" t="s">
        <v>2851</v>
      </c>
      <c r="H1141" s="6" t="s">
        <v>2654</v>
      </c>
      <c r="I1141" s="35" t="s">
        <v>132</v>
      </c>
      <c r="J1141" s="36">
        <v>117.5</v>
      </c>
      <c r="K1141" s="36">
        <v>117.9</v>
      </c>
      <c r="L1141" s="36">
        <f t="shared" si="8"/>
        <v>0</v>
      </c>
      <c r="M1141" s="36" t="str">
        <f t="shared" si="3"/>
        <v>Regular Season</v>
      </c>
      <c r="N1141" s="36" t="str">
        <f>IFERROR(VLOOKUP(I1141,Mapped_Owner,2,0),"")</f>
        <v>KnardDawg</v>
      </c>
      <c r="O1141" s="6">
        <f>VLOOKUP(D1141,'Mapped Opponent'!$G$4:$H$22,2,0)</f>
        <v>8</v>
      </c>
      <c r="P1141" s="6" t="str">
        <f t="shared" si="23"/>
        <v>Bring tha Juice</v>
      </c>
      <c r="Q1141" s="6" t="str">
        <f t="shared" si="4"/>
        <v>Week 8</v>
      </c>
      <c r="R1141" s="6" t="str">
        <f t="shared" si="5"/>
        <v>2016Week 8</v>
      </c>
      <c r="S1141" s="6">
        <f>IFERROR(__xludf.DUMMYFUNCTION("rank(J1141,FILTER(J:J,R:R=R1141))"),3.0)</f>
        <v>3</v>
      </c>
      <c r="T1141" s="6">
        <f t="shared" si="6"/>
        <v>9</v>
      </c>
      <c r="U1141" s="6">
        <f t="shared" si="7"/>
        <v>3</v>
      </c>
      <c r="V1141" s="42">
        <f>averageif(AllData!A:A,B1141,AllData!R:R)/vlookup(B1141,AllData!A:O,15,0)</f>
        <v>94.18910256</v>
      </c>
      <c r="W1141" s="6"/>
    </row>
    <row r="1142" ht="14.25" customHeight="1">
      <c r="A1142" s="6" t="str">
        <f t="shared" si="1"/>
        <v>2016Hudspeath9</v>
      </c>
      <c r="B1142" s="6">
        <v>2016.0</v>
      </c>
      <c r="C1142" s="6" t="s">
        <v>39</v>
      </c>
      <c r="D1142" s="6" t="s">
        <v>147</v>
      </c>
      <c r="E1142" s="34"/>
      <c r="F1142" s="6" t="s">
        <v>2852</v>
      </c>
      <c r="G1142" s="6" t="s">
        <v>2449</v>
      </c>
      <c r="H1142" s="6" t="s">
        <v>2660</v>
      </c>
      <c r="I1142" s="35" t="s">
        <v>50</v>
      </c>
      <c r="J1142" s="36">
        <v>109.8</v>
      </c>
      <c r="K1142" s="36">
        <v>106.0</v>
      </c>
      <c r="L1142" s="36">
        <f t="shared" si="8"/>
        <v>1</v>
      </c>
      <c r="M1142" s="36" t="str">
        <f t="shared" si="3"/>
        <v>Regular Season</v>
      </c>
      <c r="N1142" s="36" t="str">
        <f>IFERROR(VLOOKUP(I1142,Mapped_Owner,2,0),"")</f>
        <v>Buser</v>
      </c>
      <c r="O1142" s="6">
        <f>VLOOKUP(D1142,'Mapped Opponent'!$G$4:$H$22,2,0)</f>
        <v>9</v>
      </c>
      <c r="P1142" s="6"/>
      <c r="Q1142" s="6" t="str">
        <f t="shared" si="4"/>
        <v>Week 9</v>
      </c>
      <c r="R1142" s="6" t="str">
        <f t="shared" si="5"/>
        <v>2016Week 9</v>
      </c>
      <c r="S1142" s="6">
        <f>IFERROR(__xludf.DUMMYFUNCTION("rank(J1142,FILTER(J:J,R:R=R1142))"),2.0)</f>
        <v>2</v>
      </c>
      <c r="T1142" s="6">
        <f t="shared" si="6"/>
        <v>10</v>
      </c>
      <c r="U1142" s="6">
        <f t="shared" si="7"/>
        <v>2</v>
      </c>
      <c r="V1142" s="42">
        <f>averageif(AllData!A:A,B1142,AllData!R:R)/vlookup(B1142,AllData!A:O,15,0)</f>
        <v>94.18910256</v>
      </c>
      <c r="W1142" s="6"/>
    </row>
    <row r="1143" ht="14.25" customHeight="1">
      <c r="A1143" s="6" t="str">
        <f t="shared" si="1"/>
        <v>2016Salty9</v>
      </c>
      <c r="B1143" s="6">
        <v>2016.0</v>
      </c>
      <c r="C1143" s="6" t="s">
        <v>76</v>
      </c>
      <c r="D1143" s="6" t="s">
        <v>147</v>
      </c>
      <c r="E1143" s="34"/>
      <c r="F1143" s="6" t="s">
        <v>2853</v>
      </c>
      <c r="H1143" s="6" t="s">
        <v>2464</v>
      </c>
      <c r="I1143" s="35" t="s">
        <v>80</v>
      </c>
      <c r="J1143" s="36">
        <v>78.6</v>
      </c>
      <c r="K1143" s="36">
        <v>87.0</v>
      </c>
      <c r="L1143" s="36">
        <f t="shared" si="8"/>
        <v>0</v>
      </c>
      <c r="M1143" s="36" t="str">
        <f t="shared" si="3"/>
        <v>Regular Season</v>
      </c>
      <c r="N1143" s="36" t="str">
        <f>IFERROR(VLOOKUP(I1143,Mapped_Owner,2,0),"")</f>
        <v>Fellows</v>
      </c>
      <c r="O1143" s="6">
        <f>VLOOKUP(D1143,'Mapped Opponent'!$G$4:$H$22,2,0)</f>
        <v>9</v>
      </c>
      <c r="P1143" s="6"/>
      <c r="Q1143" s="6" t="str">
        <f t="shared" si="4"/>
        <v>Week 9</v>
      </c>
      <c r="R1143" s="6" t="str">
        <f t="shared" si="5"/>
        <v>2016Week 9</v>
      </c>
      <c r="S1143" s="6">
        <f>IFERROR(__xludf.DUMMYFUNCTION("rank(J1143,FILTER(J:J,R:R=R1143))"),10.0)</f>
        <v>10</v>
      </c>
      <c r="T1143" s="6">
        <f t="shared" si="6"/>
        <v>2</v>
      </c>
      <c r="U1143" s="6">
        <f t="shared" si="7"/>
        <v>10</v>
      </c>
      <c r="V1143" s="42">
        <f>averageif(AllData!A:A,B1143,AllData!R:R)/vlookup(B1143,AllData!A:O,15,0)</f>
        <v>94.18910256</v>
      </c>
      <c r="W1143" s="6"/>
    </row>
    <row r="1144" ht="14.25" customHeight="1">
      <c r="A1144" s="6" t="str">
        <f t="shared" si="1"/>
        <v>2016Fellows9</v>
      </c>
      <c r="B1144" s="6">
        <v>2016.0</v>
      </c>
      <c r="C1144" s="6" t="s">
        <v>79</v>
      </c>
      <c r="D1144" s="6" t="s">
        <v>147</v>
      </c>
      <c r="E1144" s="34"/>
      <c r="F1144" s="6" t="s">
        <v>2854</v>
      </c>
      <c r="G1144" s="6" t="s">
        <v>2449</v>
      </c>
      <c r="H1144" s="6" t="s">
        <v>2651</v>
      </c>
      <c r="I1144" s="35" t="s">
        <v>77</v>
      </c>
      <c r="J1144" s="36">
        <v>87.0</v>
      </c>
      <c r="K1144" s="36">
        <v>78.6</v>
      </c>
      <c r="L1144" s="36">
        <f t="shared" si="8"/>
        <v>1</v>
      </c>
      <c r="M1144" s="36" t="str">
        <f t="shared" si="3"/>
        <v>Regular Season</v>
      </c>
      <c r="N1144" s="36" t="str">
        <f>IFERROR(VLOOKUP(I1144,Mapped_Owner,2,0),"")</f>
        <v>Salty</v>
      </c>
      <c r="O1144" s="6">
        <f>VLOOKUP(D1144,'Mapped Opponent'!$G$4:$H$22,2,0)</f>
        <v>9</v>
      </c>
      <c r="P1144" s="6" t="str">
        <f t="shared" ref="P1144:P1153" si="24">LEFT(H1144,FIND("(",H1144)-2)</f>
        <v>Last Manning Standing</v>
      </c>
      <c r="Q1144" s="6" t="str">
        <f t="shared" si="4"/>
        <v>Week 9</v>
      </c>
      <c r="R1144" s="6" t="str">
        <f t="shared" si="5"/>
        <v>2016Week 9</v>
      </c>
      <c r="S1144" s="6">
        <f>IFERROR(__xludf.DUMMYFUNCTION("rank(J1144,FILTER(J:J,R:R=R1144))"),9.0)</f>
        <v>9</v>
      </c>
      <c r="T1144" s="6">
        <f t="shared" si="6"/>
        <v>3</v>
      </c>
      <c r="U1144" s="6">
        <f t="shared" si="7"/>
        <v>9</v>
      </c>
      <c r="V1144" s="42">
        <f>averageif(AllData!A:A,B1144,AllData!R:R)/vlookup(B1144,AllData!A:O,15,0)</f>
        <v>94.18910256</v>
      </c>
      <c r="W1144" s="6"/>
    </row>
    <row r="1145" ht="14.25" customHeight="1">
      <c r="A1145" s="6" t="str">
        <f t="shared" si="1"/>
        <v>2016Shep9</v>
      </c>
      <c r="B1145" s="6">
        <v>2016.0</v>
      </c>
      <c r="C1145" s="6" t="s">
        <v>89</v>
      </c>
      <c r="D1145" s="6" t="s">
        <v>147</v>
      </c>
      <c r="E1145" s="34"/>
      <c r="F1145" s="6" t="s">
        <v>2855</v>
      </c>
      <c r="H1145" s="6" t="s">
        <v>2648</v>
      </c>
      <c r="I1145" s="35" t="s">
        <v>146</v>
      </c>
      <c r="J1145" s="36">
        <v>91.9</v>
      </c>
      <c r="K1145" s="36">
        <v>97.7</v>
      </c>
      <c r="L1145" s="36">
        <f t="shared" si="8"/>
        <v>0</v>
      </c>
      <c r="M1145" s="36" t="str">
        <f t="shared" si="3"/>
        <v>Regular Season</v>
      </c>
      <c r="N1145" s="36" t="str">
        <f>IFERROR(VLOOKUP(I1145,Mapped_Owner,2,0),"")</f>
        <v>Cock</v>
      </c>
      <c r="O1145" s="6">
        <f>VLOOKUP(D1145,'Mapped Opponent'!$G$4:$H$22,2,0)</f>
        <v>9</v>
      </c>
      <c r="P1145" s="6" t="str">
        <f t="shared" si="24"/>
        <v>J. Cash and The Cochslappers</v>
      </c>
      <c r="Q1145" s="6" t="str">
        <f t="shared" si="4"/>
        <v>Week 9</v>
      </c>
      <c r="R1145" s="6" t="str">
        <f t="shared" si="5"/>
        <v>2016Week 9</v>
      </c>
      <c r="S1145" s="6">
        <f>IFERROR(__xludf.DUMMYFUNCTION("rank(J1145,FILTER(J:J,R:R=R1145))"),8.0)</f>
        <v>8</v>
      </c>
      <c r="T1145" s="6">
        <f t="shared" si="6"/>
        <v>4</v>
      </c>
      <c r="U1145" s="6">
        <f t="shared" si="7"/>
        <v>8</v>
      </c>
      <c r="V1145" s="42">
        <f>averageif(AllData!A:A,B1145,AllData!R:R)/vlookup(B1145,AllData!A:O,15,0)</f>
        <v>94.18910256</v>
      </c>
      <c r="W1145" s="6"/>
    </row>
    <row r="1146" ht="14.25" customHeight="1">
      <c r="A1146" s="6" t="str">
        <f t="shared" si="1"/>
        <v>2016Riley9</v>
      </c>
      <c r="B1146" s="6">
        <v>2016.0</v>
      </c>
      <c r="C1146" s="6" t="s">
        <v>67</v>
      </c>
      <c r="D1146" s="6" t="s">
        <v>147</v>
      </c>
      <c r="E1146" s="34"/>
      <c r="F1146" s="6" t="s">
        <v>2856</v>
      </c>
      <c r="G1146" s="6" t="s">
        <v>2449</v>
      </c>
      <c r="H1146" s="6" t="s">
        <v>2664</v>
      </c>
      <c r="I1146" s="35" t="s">
        <v>58</v>
      </c>
      <c r="J1146" s="36">
        <v>105.4</v>
      </c>
      <c r="K1146" s="36">
        <v>108.0</v>
      </c>
      <c r="L1146" s="36">
        <f t="shared" si="8"/>
        <v>0</v>
      </c>
      <c r="M1146" s="36" t="str">
        <f t="shared" si="3"/>
        <v>Regular Season</v>
      </c>
      <c r="N1146" s="36" t="str">
        <f>IFERROR(VLOOKUP(I1146,Mapped_Owner,2,0),"")</f>
        <v>Rooney/Jackson</v>
      </c>
      <c r="O1146" s="6">
        <f>VLOOKUP(D1146,'Mapped Opponent'!$G$4:$H$22,2,0)</f>
        <v>9</v>
      </c>
      <c r="P1146" s="6" t="str">
        <f t="shared" si="24"/>
        <v>Rob "Ryan Chip" Kelley</v>
      </c>
      <c r="Q1146" s="6" t="str">
        <f t="shared" si="4"/>
        <v>Week 9</v>
      </c>
      <c r="R1146" s="6" t="str">
        <f t="shared" si="5"/>
        <v>2016Week 9</v>
      </c>
      <c r="S1146" s="6">
        <f>IFERROR(__xludf.DUMMYFUNCTION("rank(J1146,FILTER(J:J,R:R=R1146))"),5.0)</f>
        <v>5</v>
      </c>
      <c r="T1146" s="6">
        <f t="shared" si="6"/>
        <v>7</v>
      </c>
      <c r="U1146" s="6">
        <f t="shared" si="7"/>
        <v>5</v>
      </c>
      <c r="V1146" s="42">
        <f>averageif(AllData!A:A,B1146,AllData!R:R)/vlookup(B1146,AllData!A:O,15,0)</f>
        <v>94.18910256</v>
      </c>
      <c r="W1146" s="6"/>
    </row>
    <row r="1147" ht="14.25" customHeight="1">
      <c r="A1147" s="6" t="str">
        <f t="shared" si="1"/>
        <v>2016Rooney/Jackson9</v>
      </c>
      <c r="B1147" s="6">
        <v>2016.0</v>
      </c>
      <c r="C1147" s="6" t="s">
        <v>57</v>
      </c>
      <c r="D1147" s="6" t="s">
        <v>147</v>
      </c>
      <c r="E1147" s="34"/>
      <c r="F1147" s="6" t="s">
        <v>2857</v>
      </c>
      <c r="H1147" s="6" t="s">
        <v>2666</v>
      </c>
      <c r="I1147" s="35" t="s">
        <v>68</v>
      </c>
      <c r="J1147" s="36">
        <v>108.0</v>
      </c>
      <c r="K1147" s="36">
        <v>105.4</v>
      </c>
      <c r="L1147" s="36">
        <f t="shared" si="8"/>
        <v>1</v>
      </c>
      <c r="M1147" s="36" t="str">
        <f t="shared" si="3"/>
        <v>Regular Season</v>
      </c>
      <c r="N1147" s="36" t="str">
        <f>IFERROR(VLOOKUP(I1147,Mapped_Owner,2,0),"")</f>
        <v>Riley</v>
      </c>
      <c r="O1147" s="6">
        <f>VLOOKUP(D1147,'Mapped Opponent'!$G$4:$H$22,2,0)</f>
        <v>9</v>
      </c>
      <c r="P1147" s="6" t="str">
        <f t="shared" si="24"/>
        <v>Wain Newton</v>
      </c>
      <c r="Q1147" s="6" t="str">
        <f t="shared" si="4"/>
        <v>Week 9</v>
      </c>
      <c r="R1147" s="6" t="str">
        <f t="shared" si="5"/>
        <v>2016Week 9</v>
      </c>
      <c r="S1147" s="6">
        <f>IFERROR(__xludf.DUMMYFUNCTION("rank(J1147,FILTER(J:J,R:R=R1147))"),3.0)</f>
        <v>3</v>
      </c>
      <c r="T1147" s="6">
        <f t="shared" si="6"/>
        <v>9</v>
      </c>
      <c r="U1147" s="6">
        <f t="shared" si="7"/>
        <v>3</v>
      </c>
      <c r="V1147" s="42">
        <f>averageif(AllData!A:A,B1147,AllData!R:R)/vlookup(B1147,AllData!A:O,15,0)</f>
        <v>94.18910256</v>
      </c>
      <c r="W1147" s="6"/>
    </row>
    <row r="1148" ht="14.25" customHeight="1">
      <c r="A1148" s="6" t="str">
        <f t="shared" si="1"/>
        <v>2016Buser9</v>
      </c>
      <c r="B1148" s="6">
        <v>2016.0</v>
      </c>
      <c r="C1148" s="6" t="s">
        <v>47</v>
      </c>
      <c r="D1148" s="6" t="s">
        <v>147</v>
      </c>
      <c r="E1148" s="34"/>
      <c r="F1148" s="6" t="s">
        <v>2858</v>
      </c>
      <c r="H1148" s="6" t="s">
        <v>2662</v>
      </c>
      <c r="I1148" s="35" t="s">
        <v>64</v>
      </c>
      <c r="J1148" s="36">
        <v>106.0</v>
      </c>
      <c r="K1148" s="36">
        <v>109.8</v>
      </c>
      <c r="L1148" s="36">
        <f t="shared" si="8"/>
        <v>0</v>
      </c>
      <c r="M1148" s="36" t="str">
        <f t="shared" si="3"/>
        <v>Regular Season</v>
      </c>
      <c r="N1148" s="36" t="str">
        <f>IFERROR(VLOOKUP(I1148,Mapped_Owner,2,0),"")</f>
        <v>Hudspeath</v>
      </c>
      <c r="O1148" s="6">
        <f>VLOOKUP(D1148,'Mapped Opponent'!$G$4:$H$22,2,0)</f>
        <v>9</v>
      </c>
      <c r="P1148" s="6" t="str">
        <f t="shared" si="24"/>
        <v>Cutler's Year</v>
      </c>
      <c r="Q1148" s="6" t="str">
        <f t="shared" si="4"/>
        <v>Week 9</v>
      </c>
      <c r="R1148" s="6" t="str">
        <f t="shared" si="5"/>
        <v>2016Week 9</v>
      </c>
      <c r="S1148" s="6">
        <f>IFERROR(__xludf.DUMMYFUNCTION("rank(J1148,FILTER(J:J,R:R=R1148))"),4.0)</f>
        <v>4</v>
      </c>
      <c r="T1148" s="6">
        <f t="shared" si="6"/>
        <v>8</v>
      </c>
      <c r="U1148" s="6">
        <f t="shared" si="7"/>
        <v>4</v>
      </c>
      <c r="V1148" s="42">
        <f>averageif(AllData!A:A,B1148,AllData!R:R)/vlookup(B1148,AllData!A:O,15,0)</f>
        <v>94.18910256</v>
      </c>
      <c r="W1148" s="6"/>
    </row>
    <row r="1149" ht="14.25" customHeight="1">
      <c r="A1149" s="6" t="str">
        <f t="shared" si="1"/>
        <v>2016Pierson9</v>
      </c>
      <c r="B1149" s="6">
        <v>2016.0</v>
      </c>
      <c r="C1149" s="6" t="s">
        <v>92</v>
      </c>
      <c r="D1149" s="6" t="s">
        <v>147</v>
      </c>
      <c r="E1149" s="34"/>
      <c r="F1149" s="6" t="s">
        <v>2859</v>
      </c>
      <c r="G1149" s="6" t="s">
        <v>2449</v>
      </c>
      <c r="H1149" s="6" t="s">
        <v>2654</v>
      </c>
      <c r="I1149" s="35" t="s">
        <v>132</v>
      </c>
      <c r="J1149" s="36">
        <v>104.4</v>
      </c>
      <c r="K1149" s="36">
        <v>112.8</v>
      </c>
      <c r="L1149" s="36">
        <f t="shared" si="8"/>
        <v>0</v>
      </c>
      <c r="M1149" s="36" t="str">
        <f t="shared" si="3"/>
        <v>Regular Season</v>
      </c>
      <c r="N1149" s="36" t="str">
        <f>IFERROR(VLOOKUP(I1149,Mapped_Owner,2,0),"")</f>
        <v>KnardDawg</v>
      </c>
      <c r="O1149" s="6">
        <f>VLOOKUP(D1149,'Mapped Opponent'!$G$4:$H$22,2,0)</f>
        <v>9</v>
      </c>
      <c r="P1149" s="6" t="str">
        <f t="shared" si="24"/>
        <v>Bring tha Juice</v>
      </c>
      <c r="Q1149" s="6" t="str">
        <f t="shared" si="4"/>
        <v>Week 9</v>
      </c>
      <c r="R1149" s="6" t="str">
        <f t="shared" si="5"/>
        <v>2016Week 9</v>
      </c>
      <c r="S1149" s="6">
        <f>IFERROR(__xludf.DUMMYFUNCTION("rank(J1149,FILTER(J:J,R:R=R1149))"),6.0)</f>
        <v>6</v>
      </c>
      <c r="T1149" s="6">
        <f t="shared" si="6"/>
        <v>6</v>
      </c>
      <c r="U1149" s="6">
        <f t="shared" si="7"/>
        <v>6</v>
      </c>
      <c r="V1149" s="42">
        <f>averageif(AllData!A:A,B1149,AllData!R:R)/vlookup(B1149,AllData!A:O,15,0)</f>
        <v>94.18910256</v>
      </c>
      <c r="W1149" s="6"/>
    </row>
    <row r="1150" ht="14.25" customHeight="1">
      <c r="A1150" s="6" t="str">
        <f t="shared" si="1"/>
        <v>2016Cock9</v>
      </c>
      <c r="B1150" s="6">
        <v>2016.0</v>
      </c>
      <c r="C1150" s="6" t="s">
        <v>72</v>
      </c>
      <c r="D1150" s="6" t="s">
        <v>147</v>
      </c>
      <c r="E1150" s="6"/>
      <c r="F1150" s="6" t="s">
        <v>2860</v>
      </c>
      <c r="G1150" s="6" t="s">
        <v>2449</v>
      </c>
      <c r="H1150" s="6" t="s">
        <v>2678</v>
      </c>
      <c r="I1150" s="35" t="s">
        <v>91</v>
      </c>
      <c r="J1150" s="36">
        <v>97.7</v>
      </c>
      <c r="K1150" s="36">
        <v>91.9</v>
      </c>
      <c r="L1150" s="36">
        <f t="shared" si="8"/>
        <v>1</v>
      </c>
      <c r="M1150" s="36" t="str">
        <f t="shared" si="3"/>
        <v>Regular Season</v>
      </c>
      <c r="N1150" s="36" t="str">
        <f>IFERROR(VLOOKUP(I1150,Mapped_Owner,2,0),"")</f>
        <v>Shep</v>
      </c>
      <c r="O1150" s="6">
        <f>VLOOKUP(D1150,'Mapped Opponent'!$G$4:$H$22,2,0)</f>
        <v>9</v>
      </c>
      <c r="P1150" s="6" t="str">
        <f t="shared" si="24"/>
        <v>Suburban Kings II</v>
      </c>
      <c r="Q1150" s="6" t="str">
        <f t="shared" si="4"/>
        <v>Week 9</v>
      </c>
      <c r="R1150" s="6" t="str">
        <f t="shared" si="5"/>
        <v>2016Week 9</v>
      </c>
      <c r="S1150" s="6">
        <f>IFERROR(__xludf.DUMMYFUNCTION("rank(J1150,FILTER(J:J,R:R=R1150))"),7.0)</f>
        <v>7</v>
      </c>
      <c r="T1150" s="6">
        <f t="shared" si="6"/>
        <v>5</v>
      </c>
      <c r="U1150" s="6">
        <f t="shared" si="7"/>
        <v>7</v>
      </c>
      <c r="V1150" s="42">
        <f>averageif(AllData!A:A,B1150,AllData!R:R)/vlookup(B1150,AllData!A:O,15,0)</f>
        <v>94.18910256</v>
      </c>
      <c r="W1150" s="6"/>
    </row>
    <row r="1151" ht="14.25" customHeight="1">
      <c r="A1151" s="6" t="str">
        <f t="shared" si="1"/>
        <v>2016Tayski9</v>
      </c>
      <c r="B1151" s="6">
        <v>2016.0</v>
      </c>
      <c r="C1151" s="6" t="s">
        <v>52</v>
      </c>
      <c r="D1151" s="6" t="s">
        <v>147</v>
      </c>
      <c r="E1151" s="34"/>
      <c r="F1151" s="6" t="s">
        <v>2861</v>
      </c>
      <c r="H1151" s="35" t="s">
        <v>2450</v>
      </c>
      <c r="I1151" s="35" t="s">
        <v>85</v>
      </c>
      <c r="J1151" s="36">
        <v>67.9</v>
      </c>
      <c r="K1151" s="36">
        <v>73.7</v>
      </c>
      <c r="L1151" s="36">
        <f t="shared" si="8"/>
        <v>0</v>
      </c>
      <c r="M1151" s="36" t="str">
        <f t="shared" si="3"/>
        <v>Regular Season</v>
      </c>
      <c r="N1151" s="36" t="str">
        <f>IFERROR(VLOOKUP(I1151,Mapped_Owner,2,0),"")</f>
        <v>T-How</v>
      </c>
      <c r="O1151" s="6">
        <f>VLOOKUP(D1151,'Mapped Opponent'!$G$4:$H$22,2,0)</f>
        <v>9</v>
      </c>
      <c r="P1151" s="6" t="str">
        <f t="shared" si="24"/>
        <v>DeAndre 3000</v>
      </c>
      <c r="Q1151" s="6" t="str">
        <f t="shared" si="4"/>
        <v>Week 9</v>
      </c>
      <c r="R1151" s="6" t="str">
        <f t="shared" si="5"/>
        <v>2016Week 9</v>
      </c>
      <c r="S1151" s="6">
        <f>IFERROR(__xludf.DUMMYFUNCTION("rank(J1151,FILTER(J:J,R:R=R1151))"),12.0)</f>
        <v>12</v>
      </c>
      <c r="T1151" s="6">
        <f t="shared" si="6"/>
        <v>0</v>
      </c>
      <c r="U1151" s="6">
        <f t="shared" si="7"/>
        <v>12</v>
      </c>
      <c r="V1151" s="42">
        <f>averageif(AllData!A:A,B1151,AllData!R:R)/vlookup(B1151,AllData!A:O,15,0)</f>
        <v>94.18910256</v>
      </c>
      <c r="W1151" s="6"/>
    </row>
    <row r="1152" ht="14.25" customHeight="1">
      <c r="A1152" s="6" t="str">
        <f t="shared" si="1"/>
        <v>2016KnardDawg9</v>
      </c>
      <c r="B1152" s="6">
        <v>2016.0</v>
      </c>
      <c r="C1152" s="6" t="s">
        <v>86</v>
      </c>
      <c r="D1152" s="6" t="s">
        <v>147</v>
      </c>
      <c r="E1152" s="34"/>
      <c r="F1152" s="6" t="s">
        <v>2862</v>
      </c>
      <c r="H1152" s="6" t="s">
        <v>2658</v>
      </c>
      <c r="I1152" s="35" t="s">
        <v>93</v>
      </c>
      <c r="J1152" s="36">
        <v>112.8</v>
      </c>
      <c r="K1152" s="36">
        <v>104.4</v>
      </c>
      <c r="L1152" s="36">
        <f t="shared" si="8"/>
        <v>1</v>
      </c>
      <c r="M1152" s="36" t="str">
        <f t="shared" si="3"/>
        <v>Regular Season</v>
      </c>
      <c r="N1152" s="36" t="str">
        <f>IFERROR(VLOOKUP(I1152,Mapped_Owner,2,0),"")</f>
        <v>Pierson</v>
      </c>
      <c r="O1152" s="6">
        <f>VLOOKUP(D1152,'Mapped Opponent'!$G$4:$H$22,2,0)</f>
        <v>9</v>
      </c>
      <c r="P1152" s="6" t="str">
        <f t="shared" si="24"/>
        <v>Yung Breezy n Lil' LeSean</v>
      </c>
      <c r="Q1152" s="6" t="str">
        <f t="shared" si="4"/>
        <v>Week 9</v>
      </c>
      <c r="R1152" s="6" t="str">
        <f t="shared" si="5"/>
        <v>2016Week 9</v>
      </c>
      <c r="S1152" s="6">
        <f>IFERROR(__xludf.DUMMYFUNCTION("rank(J1152,FILTER(J:J,R:R=R1152))"),1.0)</f>
        <v>1</v>
      </c>
      <c r="T1152" s="6">
        <f t="shared" si="6"/>
        <v>11</v>
      </c>
      <c r="U1152" s="6">
        <f t="shared" si="7"/>
        <v>1</v>
      </c>
      <c r="V1152" s="42">
        <f>averageif(AllData!A:A,B1152,AllData!R:R)/vlookup(B1152,AllData!A:O,15,0)</f>
        <v>94.18910256</v>
      </c>
      <c r="W1152" s="6"/>
    </row>
    <row r="1153" ht="14.25" customHeight="1">
      <c r="A1153" s="6" t="str">
        <f t="shared" si="1"/>
        <v>2016T-How9</v>
      </c>
      <c r="B1153" s="6">
        <v>2016.0</v>
      </c>
      <c r="C1153" s="6" t="s">
        <v>82</v>
      </c>
      <c r="D1153" s="6" t="s">
        <v>147</v>
      </c>
      <c r="E1153" s="34"/>
      <c r="F1153" s="6" t="s">
        <v>2863</v>
      </c>
      <c r="G1153" s="6" t="s">
        <v>2449</v>
      </c>
      <c r="H1153" s="6" t="s">
        <v>2656</v>
      </c>
      <c r="I1153" s="35" t="s">
        <v>54</v>
      </c>
      <c r="J1153" s="36">
        <v>73.7</v>
      </c>
      <c r="K1153" s="36">
        <v>67.9</v>
      </c>
      <c r="L1153" s="36">
        <f t="shared" si="8"/>
        <v>1</v>
      </c>
      <c r="M1153" s="36" t="str">
        <f t="shared" si="3"/>
        <v>Regular Season</v>
      </c>
      <c r="N1153" s="36" t="str">
        <f>IFERROR(VLOOKUP(I1153,Mapped_Owner,2,0),"")</f>
        <v>Tayski</v>
      </c>
      <c r="O1153" s="6">
        <f>VLOOKUP(D1153,'Mapped Opponent'!$G$4:$H$22,2,0)</f>
        <v>9</v>
      </c>
      <c r="P1153" s="6" t="str">
        <f t="shared" si="24"/>
        <v>Keenan Allen Memorial Team</v>
      </c>
      <c r="Q1153" s="6" t="str">
        <f t="shared" si="4"/>
        <v>Week 9</v>
      </c>
      <c r="R1153" s="6" t="str">
        <f t="shared" si="5"/>
        <v>2016Week 9</v>
      </c>
      <c r="S1153" s="6">
        <f>IFERROR(__xludf.DUMMYFUNCTION("rank(J1153,FILTER(J:J,R:R=R1153))"),11.0)</f>
        <v>11</v>
      </c>
      <c r="T1153" s="6">
        <f t="shared" si="6"/>
        <v>1</v>
      </c>
      <c r="U1153" s="6">
        <f t="shared" si="7"/>
        <v>11</v>
      </c>
      <c r="V1153" s="42">
        <f>averageif(AllData!A:A,B1153,AllData!R:R)/vlookup(B1153,AllData!A:O,15,0)</f>
        <v>94.18910256</v>
      </c>
      <c r="W1153" s="6"/>
    </row>
    <row r="1154" ht="14.25" customHeight="1">
      <c r="A1154" s="6" t="str">
        <f t="shared" si="1"/>
        <v>2017Hudspeath15</v>
      </c>
      <c r="B1154" s="59">
        <v>2017.0</v>
      </c>
      <c r="C1154" s="13" t="s">
        <v>39</v>
      </c>
      <c r="D1154" s="13" t="s">
        <v>112</v>
      </c>
      <c r="E1154" s="34"/>
      <c r="F1154" s="6"/>
      <c r="H1154" s="6"/>
      <c r="I1154" s="35" t="str">
        <f>IFERROR(IFERROR(IFERROR(VLOOKUP(B1154&amp;C1154&amp;Q1154,'New Weekly Paste'!A:M,10,0),VLOOKUP(B1154&amp;C1154&amp;Q1154,'New Weekly Paste'!B:O,6,0)),""),"")</f>
        <v>Salty</v>
      </c>
      <c r="J1154" s="239">
        <f>IFERROR(IFERROR(VLOOKUP(B1154&amp;C1154&amp;Q1154,'New Weekly Paste'!A:M,8,0),VLOOKUP(B1154&amp;C1154&amp;Q1154,'New Weekly Paste'!B:O,10,0)),0)</f>
        <v>86.58</v>
      </c>
      <c r="K1154" s="239">
        <f>IFERROR(IFERROR(VLOOKUP(B1154&amp;I1154&amp;Q1154,'New Weekly Paste'!A:M,8,0),VLOOKUP(B1154&amp;I1154&amp;Q1154,'New Weekly Paste'!B:O,10,0)),0)</f>
        <v>107.18</v>
      </c>
      <c r="L1154" s="239">
        <f t="shared" ref="L1154:L3146" si="25">IFERROR(if(J1154&gt;K1154,1,0),0)</f>
        <v>0</v>
      </c>
      <c r="M1154" s="36" t="str">
        <f t="shared" si="3"/>
        <v>Playoffs</v>
      </c>
      <c r="N1154" s="239" t="str">
        <f t="shared" ref="N1154:N3146" si="26">IFERROR(I1154,"")</f>
        <v>Salty</v>
      </c>
      <c r="O1154" s="6">
        <f>VLOOKUP(D1154,'Mapped Opponent'!$G$4:$H$22,2,0)</f>
        <v>15</v>
      </c>
      <c r="P1154" s="6"/>
      <c r="Q1154" s="6" t="str">
        <f t="shared" si="4"/>
        <v>Week 15</v>
      </c>
      <c r="R1154" s="6" t="str">
        <f t="shared" si="5"/>
        <v>2017Round 1</v>
      </c>
      <c r="S1154" s="6">
        <f>IFERROR(__xludf.DUMMYFUNCTION("rank(J1154,FILTER(J:J,R:R=R1154))"),9.0)</f>
        <v>9</v>
      </c>
      <c r="T1154" s="6">
        <f t="shared" si="6"/>
        <v>3</v>
      </c>
      <c r="U1154" s="6">
        <f t="shared" si="7"/>
        <v>9</v>
      </c>
      <c r="V1154" s="42">
        <f>averageif(AllData!A:A,B1154,AllData!R:R)/vlookup(B1154,AllData!A:O,15,0)</f>
        <v>90.17282051</v>
      </c>
      <c r="W1154" s="6"/>
    </row>
    <row r="1155" ht="14.25" customHeight="1">
      <c r="A1155" s="6" t="str">
        <f t="shared" si="1"/>
        <v>2017Salty15</v>
      </c>
      <c r="B1155" s="59">
        <v>2017.0</v>
      </c>
      <c r="C1155" s="13" t="s">
        <v>76</v>
      </c>
      <c r="D1155" s="13" t="s">
        <v>112</v>
      </c>
      <c r="E1155" s="34"/>
      <c r="F1155" s="6"/>
      <c r="H1155" s="6"/>
      <c r="I1155" s="35" t="str">
        <f>IFERROR(IFERROR(IFERROR(VLOOKUP(B1155&amp;C1155&amp;Q1155,'New Weekly Paste'!A:M,10,0),VLOOKUP(B1155&amp;C1155&amp;Q1155,'New Weekly Paste'!B:O,6,0)),""),"")</f>
        <v>Hudspeath</v>
      </c>
      <c r="J1155" s="239">
        <f>IFERROR(IFERROR(VLOOKUP(B1155&amp;C1155&amp;Q1155,'New Weekly Paste'!A:M,8,0),VLOOKUP(B1155&amp;C1155&amp;Q1155,'New Weekly Paste'!B:O,10,0)),0)</f>
        <v>107.18</v>
      </c>
      <c r="K1155" s="239">
        <f>IFERROR(IFERROR(VLOOKUP(B1155&amp;I1155&amp;Q1155,'New Weekly Paste'!A:M,8,0),VLOOKUP(B1155&amp;I1155&amp;Q1155,'New Weekly Paste'!B:O,10,0)),0)</f>
        <v>86.58</v>
      </c>
      <c r="L1155" s="239">
        <f t="shared" si="25"/>
        <v>1</v>
      </c>
      <c r="M1155" s="36" t="str">
        <f t="shared" si="3"/>
        <v>Playoffs</v>
      </c>
      <c r="N1155" s="239" t="str">
        <f t="shared" si="26"/>
        <v>Hudspeath</v>
      </c>
      <c r="O1155" s="6">
        <f>VLOOKUP(D1155,'Mapped Opponent'!$G$4:$H$22,2,0)</f>
        <v>15</v>
      </c>
      <c r="P1155" s="6"/>
      <c r="Q1155" s="6" t="str">
        <f t="shared" si="4"/>
        <v>Week 15</v>
      </c>
      <c r="R1155" s="6" t="str">
        <f t="shared" si="5"/>
        <v>2017Round 1</v>
      </c>
      <c r="S1155" s="6">
        <f>IFERROR(__xludf.DUMMYFUNCTION("rank(J1155,FILTER(J:J,R:R=R1155))"),3.0)</f>
        <v>3</v>
      </c>
      <c r="T1155" s="6">
        <f t="shared" si="6"/>
        <v>9</v>
      </c>
      <c r="U1155" s="6">
        <f t="shared" si="7"/>
        <v>3</v>
      </c>
      <c r="V1155" s="42">
        <f>averageif(AllData!A:A,B1155,AllData!R:R)/vlookup(B1155,AllData!A:O,15,0)</f>
        <v>90.17282051</v>
      </c>
      <c r="W1155" s="6"/>
    </row>
    <row r="1156" ht="14.25" customHeight="1">
      <c r="A1156" s="6" t="str">
        <f t="shared" si="1"/>
        <v>2017Fellows15</v>
      </c>
      <c r="B1156" s="59">
        <v>2017.0</v>
      </c>
      <c r="C1156" s="13" t="s">
        <v>79</v>
      </c>
      <c r="D1156" s="13" t="s">
        <v>112</v>
      </c>
      <c r="E1156" s="34"/>
      <c r="F1156" s="6"/>
      <c r="H1156" s="6"/>
      <c r="I1156" s="35" t="str">
        <f>IFERROR(IFERROR(IFERROR(VLOOKUP(B1156&amp;C1156&amp;Q1156,'New Weekly Paste'!A:M,10,0),VLOOKUP(B1156&amp;C1156&amp;Q1156,'New Weekly Paste'!B:O,6,0)),""),"")</f>
        <v>Pierson</v>
      </c>
      <c r="J1156" s="239">
        <f>IFERROR(IFERROR(VLOOKUP(B1156&amp;C1156&amp;Q1156,'New Weekly Paste'!A:M,8,0),VLOOKUP(B1156&amp;C1156&amp;Q1156,'New Weekly Paste'!B:O,10,0)),0)</f>
        <v>92.36</v>
      </c>
      <c r="K1156" s="239">
        <f>IFERROR(IFERROR(VLOOKUP(B1156&amp;I1156&amp;Q1156,'New Weekly Paste'!A:M,8,0),VLOOKUP(B1156&amp;I1156&amp;Q1156,'New Weekly Paste'!B:O,10,0)),0)</f>
        <v>83.04</v>
      </c>
      <c r="L1156" s="239">
        <f t="shared" si="25"/>
        <v>1</v>
      </c>
      <c r="M1156" s="36" t="str">
        <f t="shared" si="3"/>
        <v>Playoffs</v>
      </c>
      <c r="N1156" s="239" t="str">
        <f t="shared" si="26"/>
        <v>Pierson</v>
      </c>
      <c r="O1156" s="6">
        <f>VLOOKUP(D1156,'Mapped Opponent'!$G$4:$H$22,2,0)</f>
        <v>15</v>
      </c>
      <c r="P1156" s="6"/>
      <c r="Q1156" s="6" t="str">
        <f t="shared" si="4"/>
        <v>Week 15</v>
      </c>
      <c r="R1156" s="6" t="str">
        <f t="shared" si="5"/>
        <v>2017Round 1</v>
      </c>
      <c r="S1156" s="6">
        <f>IFERROR(__xludf.DUMMYFUNCTION("rank(J1156,FILTER(J:J,R:R=R1156))"),6.0)</f>
        <v>6</v>
      </c>
      <c r="T1156" s="6">
        <f t="shared" si="6"/>
        <v>6</v>
      </c>
      <c r="U1156" s="6">
        <f t="shared" si="7"/>
        <v>6</v>
      </c>
      <c r="V1156" s="42">
        <f>averageif(AllData!A:A,B1156,AllData!R:R)/vlookup(B1156,AllData!A:O,15,0)</f>
        <v>90.17282051</v>
      </c>
      <c r="W1156" s="6"/>
    </row>
    <row r="1157" ht="14.25" customHeight="1">
      <c r="A1157" s="6" t="str">
        <f t="shared" si="1"/>
        <v>2017Shep15</v>
      </c>
      <c r="B1157" s="59">
        <v>2017.0</v>
      </c>
      <c r="C1157" s="13" t="s">
        <v>89</v>
      </c>
      <c r="D1157" s="13" t="s">
        <v>112</v>
      </c>
      <c r="E1157" s="34"/>
      <c r="F1157" s="6"/>
      <c r="H1157" s="6"/>
      <c r="I1157" s="35" t="str">
        <f>IFERROR(IFERROR(IFERROR(VLOOKUP(B1157&amp;C1157&amp;Q1157,'New Weekly Paste'!A:M,10,0),VLOOKUP(B1157&amp;C1157&amp;Q1157,'New Weekly Paste'!B:O,6,0)),""),"")</f>
        <v>T-How</v>
      </c>
      <c r="J1157" s="239">
        <f>IFERROR(IFERROR(VLOOKUP(B1157&amp;C1157&amp;Q1157,'New Weekly Paste'!A:M,8,0),VLOOKUP(B1157&amp;C1157&amp;Q1157,'New Weekly Paste'!B:O,10,0)),0)</f>
        <v>64.48</v>
      </c>
      <c r="K1157" s="239">
        <f>IFERROR(IFERROR(VLOOKUP(B1157&amp;I1157&amp;Q1157,'New Weekly Paste'!A:M,8,0),VLOOKUP(B1157&amp;I1157&amp;Q1157,'New Weekly Paste'!B:O,10,0)),0)</f>
        <v>92.04</v>
      </c>
      <c r="L1157" s="239">
        <f t="shared" si="25"/>
        <v>0</v>
      </c>
      <c r="M1157" s="36" t="str">
        <f t="shared" si="3"/>
        <v>Playoffs</v>
      </c>
      <c r="N1157" s="239" t="str">
        <f t="shared" si="26"/>
        <v>T-How</v>
      </c>
      <c r="O1157" s="6">
        <f>VLOOKUP(D1157,'Mapped Opponent'!$G$4:$H$22,2,0)</f>
        <v>15</v>
      </c>
      <c r="P1157" s="6"/>
      <c r="Q1157" s="6" t="str">
        <f t="shared" si="4"/>
        <v>Week 15</v>
      </c>
      <c r="R1157" s="6" t="str">
        <f t="shared" si="5"/>
        <v>2017Round 1</v>
      </c>
      <c r="S1157" s="6">
        <f>IFERROR(__xludf.DUMMYFUNCTION("rank(J1157,FILTER(J:J,R:R=R1157))"),12.0)</f>
        <v>12</v>
      </c>
      <c r="T1157" s="6">
        <f t="shared" si="6"/>
        <v>0</v>
      </c>
      <c r="U1157" s="6">
        <f t="shared" si="7"/>
        <v>12</v>
      </c>
      <c r="V1157" s="42">
        <f>averageif(AllData!A:A,B1157,AllData!R:R)/vlookup(B1157,AllData!A:O,15,0)</f>
        <v>90.17282051</v>
      </c>
      <c r="W1157" s="6"/>
    </row>
    <row r="1158" ht="14.25" customHeight="1">
      <c r="A1158" s="6" t="str">
        <f t="shared" si="1"/>
        <v>2017Riley15</v>
      </c>
      <c r="B1158" s="59">
        <v>2017.0</v>
      </c>
      <c r="C1158" s="13" t="s">
        <v>67</v>
      </c>
      <c r="D1158" s="13" t="s">
        <v>112</v>
      </c>
      <c r="E1158" s="34"/>
      <c r="F1158" s="6"/>
      <c r="H1158" s="6"/>
      <c r="I1158" s="35" t="str">
        <f>IFERROR(IFERROR(IFERROR(VLOOKUP(B1158&amp;C1158&amp;Q1158,'New Weekly Paste'!A:M,10,0),VLOOKUP(B1158&amp;C1158&amp;Q1158,'New Weekly Paste'!B:O,6,0)),""),"")</f>
        <v>Buser</v>
      </c>
      <c r="J1158" s="239">
        <f>IFERROR(IFERROR(VLOOKUP(B1158&amp;C1158&amp;Q1158,'New Weekly Paste'!A:M,8,0),VLOOKUP(B1158&amp;C1158&amp;Q1158,'New Weekly Paste'!B:O,10,0)),0)</f>
        <v>136.42</v>
      </c>
      <c r="K1158" s="239">
        <f>IFERROR(IFERROR(VLOOKUP(B1158&amp;I1158&amp;Q1158,'New Weekly Paste'!A:M,8,0),VLOOKUP(B1158&amp;I1158&amp;Q1158,'New Weekly Paste'!B:O,10,0)),0)</f>
        <v>102.84</v>
      </c>
      <c r="L1158" s="239">
        <f t="shared" si="25"/>
        <v>1</v>
      </c>
      <c r="M1158" s="36" t="str">
        <f t="shared" si="3"/>
        <v>Playoffs</v>
      </c>
      <c r="N1158" s="239" t="str">
        <f t="shared" si="26"/>
        <v>Buser</v>
      </c>
      <c r="O1158" s="6">
        <f>VLOOKUP(D1158,'Mapped Opponent'!$G$4:$H$22,2,0)</f>
        <v>15</v>
      </c>
      <c r="P1158" s="6"/>
      <c r="Q1158" s="6" t="str">
        <f t="shared" si="4"/>
        <v>Week 15</v>
      </c>
      <c r="R1158" s="6" t="str">
        <f t="shared" si="5"/>
        <v>2017Round 1</v>
      </c>
      <c r="S1158" s="6">
        <f>IFERROR(__xludf.DUMMYFUNCTION("rank(J1158,FILTER(J:J,R:R=R1158))"),1.0)</f>
        <v>1</v>
      </c>
      <c r="T1158" s="6">
        <f t="shared" si="6"/>
        <v>11</v>
      </c>
      <c r="U1158" s="6">
        <f t="shared" si="7"/>
        <v>1</v>
      </c>
      <c r="V1158" s="42">
        <f>averageif(AllData!A:A,B1158,AllData!R:R)/vlookup(B1158,AllData!A:O,15,0)</f>
        <v>90.17282051</v>
      </c>
      <c r="W1158" s="6"/>
    </row>
    <row r="1159" ht="14.25" customHeight="1">
      <c r="A1159" s="6" t="str">
        <f t="shared" si="1"/>
        <v>2017Rooney/Jackson15</v>
      </c>
      <c r="B1159" s="59">
        <v>2017.0</v>
      </c>
      <c r="C1159" s="13" t="s">
        <v>57</v>
      </c>
      <c r="D1159" s="13" t="s">
        <v>112</v>
      </c>
      <c r="E1159" s="34"/>
      <c r="F1159" s="6"/>
      <c r="H1159" s="6"/>
      <c r="I1159" s="35" t="str">
        <f>IFERROR(IFERROR(IFERROR(VLOOKUP(B1159&amp;C1159&amp;Q1159,'New Weekly Paste'!A:M,10,0),VLOOKUP(B1159&amp;C1159&amp;Q1159,'New Weekly Paste'!B:O,6,0)),""),"")</f>
        <v>Tayski</v>
      </c>
      <c r="J1159" s="239">
        <f>IFERROR(IFERROR(VLOOKUP(B1159&amp;C1159&amp;Q1159,'New Weekly Paste'!A:M,8,0),VLOOKUP(B1159&amp;C1159&amp;Q1159,'New Weekly Paste'!B:O,10,0)),0)</f>
        <v>105.24</v>
      </c>
      <c r="K1159" s="239">
        <f>IFERROR(IFERROR(VLOOKUP(B1159&amp;I1159&amp;Q1159,'New Weekly Paste'!A:M,8,0),VLOOKUP(B1159&amp;I1159&amp;Q1159,'New Weekly Paste'!B:O,10,0)),0)</f>
        <v>89.24</v>
      </c>
      <c r="L1159" s="239">
        <f t="shared" si="25"/>
        <v>1</v>
      </c>
      <c r="M1159" s="36" t="str">
        <f t="shared" si="3"/>
        <v>Playoffs</v>
      </c>
      <c r="N1159" s="239" t="str">
        <f t="shared" si="26"/>
        <v>Tayski</v>
      </c>
      <c r="O1159" s="6">
        <f>VLOOKUP(D1159,'Mapped Opponent'!$G$4:$H$22,2,0)</f>
        <v>15</v>
      </c>
      <c r="P1159" s="6"/>
      <c r="Q1159" s="6" t="str">
        <f t="shared" si="4"/>
        <v>Week 15</v>
      </c>
      <c r="R1159" s="6" t="str">
        <f t="shared" si="5"/>
        <v>2017Round 1</v>
      </c>
      <c r="S1159" s="6">
        <f>IFERROR(__xludf.DUMMYFUNCTION("rank(J1159,FILTER(J:J,R:R=R1159))"),4.0)</f>
        <v>4</v>
      </c>
      <c r="T1159" s="6">
        <f t="shared" si="6"/>
        <v>8</v>
      </c>
      <c r="U1159" s="6">
        <f t="shared" si="7"/>
        <v>4</v>
      </c>
      <c r="V1159" s="42">
        <f>averageif(AllData!A:A,B1159,AllData!R:R)/vlookup(B1159,AllData!A:O,15,0)</f>
        <v>90.17282051</v>
      </c>
      <c r="W1159" s="6"/>
    </row>
    <row r="1160" ht="14.25" customHeight="1">
      <c r="A1160" s="6" t="str">
        <f t="shared" si="1"/>
        <v>2017Buser15</v>
      </c>
      <c r="B1160" s="59">
        <v>2017.0</v>
      </c>
      <c r="C1160" s="13" t="s">
        <v>47</v>
      </c>
      <c r="D1160" s="13" t="s">
        <v>112</v>
      </c>
      <c r="E1160" s="34"/>
      <c r="F1160" s="6"/>
      <c r="H1160" s="6"/>
      <c r="I1160" s="35" t="str">
        <f>IFERROR(IFERROR(IFERROR(VLOOKUP(B1160&amp;C1160&amp;Q1160,'New Weekly Paste'!A:M,10,0),VLOOKUP(B1160&amp;C1160&amp;Q1160,'New Weekly Paste'!B:O,6,0)),""),"")</f>
        <v>Riley</v>
      </c>
      <c r="J1160" s="239">
        <f>IFERROR(IFERROR(VLOOKUP(B1160&amp;C1160&amp;Q1160,'New Weekly Paste'!A:M,8,0),VLOOKUP(B1160&amp;C1160&amp;Q1160,'New Weekly Paste'!B:O,10,0)),0)</f>
        <v>102.84</v>
      </c>
      <c r="K1160" s="239">
        <f>IFERROR(IFERROR(VLOOKUP(B1160&amp;I1160&amp;Q1160,'New Weekly Paste'!A:M,8,0),VLOOKUP(B1160&amp;I1160&amp;Q1160,'New Weekly Paste'!B:O,10,0)),0)</f>
        <v>136.42</v>
      </c>
      <c r="L1160" s="239">
        <f t="shared" si="25"/>
        <v>0</v>
      </c>
      <c r="M1160" s="36" t="str">
        <f t="shared" si="3"/>
        <v>Playoffs</v>
      </c>
      <c r="N1160" s="239" t="str">
        <f t="shared" si="26"/>
        <v>Riley</v>
      </c>
      <c r="O1160" s="6">
        <f>VLOOKUP(D1160,'Mapped Opponent'!$G$4:$H$22,2,0)</f>
        <v>15</v>
      </c>
      <c r="P1160" s="6"/>
      <c r="Q1160" s="6" t="str">
        <f t="shared" si="4"/>
        <v>Week 15</v>
      </c>
      <c r="R1160" s="6" t="str">
        <f t="shared" si="5"/>
        <v>2017Round 1</v>
      </c>
      <c r="S1160" s="6">
        <f>IFERROR(__xludf.DUMMYFUNCTION("rank(J1160,FILTER(J:J,R:R=R1160))"),5.0)</f>
        <v>5</v>
      </c>
      <c r="T1160" s="6">
        <f t="shared" si="6"/>
        <v>7</v>
      </c>
      <c r="U1160" s="6">
        <f t="shared" si="7"/>
        <v>5</v>
      </c>
      <c r="V1160" s="42">
        <f>averageif(AllData!A:A,B1160,AllData!R:R)/vlookup(B1160,AllData!A:O,15,0)</f>
        <v>90.17282051</v>
      </c>
      <c r="W1160" s="6"/>
    </row>
    <row r="1161" ht="14.25" customHeight="1">
      <c r="A1161" s="6" t="str">
        <f t="shared" si="1"/>
        <v>2017Pierson15</v>
      </c>
      <c r="B1161" s="59">
        <v>2017.0</v>
      </c>
      <c r="C1161" s="13" t="s">
        <v>92</v>
      </c>
      <c r="D1161" s="13" t="s">
        <v>112</v>
      </c>
      <c r="E1161" s="34"/>
      <c r="F1161" s="6"/>
      <c r="H1161" s="6"/>
      <c r="I1161" s="35" t="str">
        <f>IFERROR(IFERROR(IFERROR(VLOOKUP(B1161&amp;C1161&amp;Q1161,'New Weekly Paste'!A:M,10,0),VLOOKUP(B1161&amp;C1161&amp;Q1161,'New Weekly Paste'!B:O,6,0)),""),"")</f>
        <v>Fellows</v>
      </c>
      <c r="J1161" s="239">
        <f>IFERROR(IFERROR(VLOOKUP(B1161&amp;C1161&amp;Q1161,'New Weekly Paste'!A:M,8,0),VLOOKUP(B1161&amp;C1161&amp;Q1161,'New Weekly Paste'!B:O,10,0)),0)</f>
        <v>83.04</v>
      </c>
      <c r="K1161" s="239">
        <f>IFERROR(IFERROR(VLOOKUP(B1161&amp;I1161&amp;Q1161,'New Weekly Paste'!A:M,8,0),VLOOKUP(B1161&amp;I1161&amp;Q1161,'New Weekly Paste'!B:O,10,0)),0)</f>
        <v>92.36</v>
      </c>
      <c r="L1161" s="239">
        <f t="shared" si="25"/>
        <v>0</v>
      </c>
      <c r="M1161" s="36" t="str">
        <f t="shared" si="3"/>
        <v>Playoffs</v>
      </c>
      <c r="N1161" s="239" t="str">
        <f t="shared" si="26"/>
        <v>Fellows</v>
      </c>
      <c r="O1161" s="6">
        <f>VLOOKUP(D1161,'Mapped Opponent'!$G$4:$H$22,2,0)</f>
        <v>15</v>
      </c>
      <c r="P1161" s="6"/>
      <c r="Q1161" s="6" t="str">
        <f t="shared" si="4"/>
        <v>Week 15</v>
      </c>
      <c r="R1161" s="6" t="str">
        <f t="shared" si="5"/>
        <v>2017Round 1</v>
      </c>
      <c r="S1161" s="6">
        <f>IFERROR(__xludf.DUMMYFUNCTION("rank(J1161,FILTER(J:J,R:R=R1161))"),10.0)</f>
        <v>10</v>
      </c>
      <c r="T1161" s="6">
        <f t="shared" si="6"/>
        <v>2</v>
      </c>
      <c r="U1161" s="6">
        <f t="shared" si="7"/>
        <v>10</v>
      </c>
      <c r="V1161" s="42">
        <f>averageif(AllData!A:A,B1161,AllData!R:R)/vlookup(B1161,AllData!A:O,15,0)</f>
        <v>90.17282051</v>
      </c>
      <c r="W1161" s="6"/>
    </row>
    <row r="1162" ht="14.25" customHeight="1">
      <c r="A1162" s="6" t="str">
        <f t="shared" si="1"/>
        <v>2017Cock15</v>
      </c>
      <c r="B1162" s="59">
        <v>2017.0</v>
      </c>
      <c r="C1162" s="13" t="s">
        <v>72</v>
      </c>
      <c r="D1162" s="13" t="s">
        <v>112</v>
      </c>
      <c r="E1162" s="34"/>
      <c r="F1162" s="6"/>
      <c r="H1162" s="6"/>
      <c r="I1162" s="35" t="str">
        <f>IFERROR(IFERROR(IFERROR(VLOOKUP(B1162&amp;C1162&amp;Q1162,'New Weekly Paste'!A:M,10,0),VLOOKUP(B1162&amp;C1162&amp;Q1162,'New Weekly Paste'!B:O,6,0)),""),"")</f>
        <v>KnardDawg</v>
      </c>
      <c r="J1162" s="239">
        <f>IFERROR(IFERROR(VLOOKUP(B1162&amp;C1162&amp;Q1162,'New Weekly Paste'!A:M,8,0),VLOOKUP(B1162&amp;C1162&amp;Q1162,'New Weekly Paste'!B:O,10,0)),0)</f>
        <v>66.54</v>
      </c>
      <c r="K1162" s="239">
        <f>IFERROR(IFERROR(VLOOKUP(B1162&amp;I1162&amp;Q1162,'New Weekly Paste'!A:M,8,0),VLOOKUP(B1162&amp;I1162&amp;Q1162,'New Weekly Paste'!B:O,10,0)),0)</f>
        <v>115.78</v>
      </c>
      <c r="L1162" s="239">
        <f t="shared" si="25"/>
        <v>0</v>
      </c>
      <c r="M1162" s="36" t="str">
        <f t="shared" si="3"/>
        <v>Playoffs</v>
      </c>
      <c r="N1162" s="239" t="str">
        <f t="shared" si="26"/>
        <v>KnardDawg</v>
      </c>
      <c r="O1162" s="6">
        <f>VLOOKUP(D1162,'Mapped Opponent'!$G$4:$H$22,2,0)</f>
        <v>15</v>
      </c>
      <c r="P1162" s="6"/>
      <c r="Q1162" s="6" t="str">
        <f t="shared" si="4"/>
        <v>Week 15</v>
      </c>
      <c r="R1162" s="6" t="str">
        <f t="shared" si="5"/>
        <v>2017Round 1</v>
      </c>
      <c r="S1162" s="6">
        <f>IFERROR(__xludf.DUMMYFUNCTION("rank(J1162,FILTER(J:J,R:R=R1162))"),11.0)</f>
        <v>11</v>
      </c>
      <c r="T1162" s="6">
        <f t="shared" si="6"/>
        <v>1</v>
      </c>
      <c r="U1162" s="6">
        <f t="shared" si="7"/>
        <v>11</v>
      </c>
      <c r="V1162" s="42">
        <f>averageif(AllData!A:A,B1162,AllData!R:R)/vlookup(B1162,AllData!A:O,15,0)</f>
        <v>90.17282051</v>
      </c>
      <c r="W1162" s="6"/>
    </row>
    <row r="1163" ht="14.25" customHeight="1">
      <c r="A1163" s="6" t="str">
        <f t="shared" si="1"/>
        <v>2017Tayski15</v>
      </c>
      <c r="B1163" s="59">
        <v>2017.0</v>
      </c>
      <c r="C1163" s="13" t="s">
        <v>52</v>
      </c>
      <c r="D1163" s="13" t="s">
        <v>112</v>
      </c>
      <c r="E1163" s="34"/>
      <c r="F1163" s="6"/>
      <c r="H1163" s="6"/>
      <c r="I1163" s="35" t="str">
        <f>IFERROR(IFERROR(IFERROR(VLOOKUP(B1163&amp;C1163&amp;Q1163,'New Weekly Paste'!A:M,10,0),VLOOKUP(B1163&amp;C1163&amp;Q1163,'New Weekly Paste'!B:O,6,0)),""),"")</f>
        <v>Rooney/Jackson</v>
      </c>
      <c r="J1163" s="239">
        <f>IFERROR(IFERROR(VLOOKUP(B1163&amp;C1163&amp;Q1163,'New Weekly Paste'!A:M,8,0),VLOOKUP(B1163&amp;C1163&amp;Q1163,'New Weekly Paste'!B:O,10,0)),0)</f>
        <v>89.24</v>
      </c>
      <c r="K1163" s="239">
        <f>IFERROR(IFERROR(VLOOKUP(B1163&amp;I1163&amp;Q1163,'New Weekly Paste'!A:M,8,0),VLOOKUP(B1163&amp;I1163&amp;Q1163,'New Weekly Paste'!B:O,10,0)),0)</f>
        <v>105.24</v>
      </c>
      <c r="L1163" s="239">
        <f t="shared" si="25"/>
        <v>0</v>
      </c>
      <c r="M1163" s="36" t="str">
        <f t="shared" si="3"/>
        <v>Playoffs</v>
      </c>
      <c r="N1163" s="239" t="str">
        <f t="shared" si="26"/>
        <v>Rooney/Jackson</v>
      </c>
      <c r="O1163" s="6">
        <f>VLOOKUP(D1163,'Mapped Opponent'!$G$4:$H$22,2,0)</f>
        <v>15</v>
      </c>
      <c r="P1163" s="6"/>
      <c r="Q1163" s="6" t="str">
        <f t="shared" si="4"/>
        <v>Week 15</v>
      </c>
      <c r="R1163" s="6" t="str">
        <f t="shared" si="5"/>
        <v>2017Round 1</v>
      </c>
      <c r="S1163" s="6">
        <f>IFERROR(__xludf.DUMMYFUNCTION("rank(J1163,FILTER(J:J,R:R=R1163))"),8.0)</f>
        <v>8</v>
      </c>
      <c r="T1163" s="6">
        <f t="shared" si="6"/>
        <v>4</v>
      </c>
      <c r="U1163" s="6">
        <f t="shared" si="7"/>
        <v>8</v>
      </c>
      <c r="V1163" s="42">
        <f>averageif(AllData!A:A,B1163,AllData!R:R)/vlookup(B1163,AllData!A:O,15,0)</f>
        <v>90.17282051</v>
      </c>
      <c r="W1163" s="6"/>
    </row>
    <row r="1164" ht="14.25" customHeight="1">
      <c r="A1164" s="6" t="str">
        <f t="shared" si="1"/>
        <v>2017KnardDawg15</v>
      </c>
      <c r="B1164" s="59">
        <v>2017.0</v>
      </c>
      <c r="C1164" s="13" t="s">
        <v>86</v>
      </c>
      <c r="D1164" s="13" t="s">
        <v>112</v>
      </c>
      <c r="E1164" s="34"/>
      <c r="F1164" s="6"/>
      <c r="H1164" s="6"/>
      <c r="I1164" s="35" t="str">
        <f>IFERROR(IFERROR(IFERROR(VLOOKUP(B1164&amp;C1164&amp;Q1164,'New Weekly Paste'!A:M,10,0),VLOOKUP(B1164&amp;C1164&amp;Q1164,'New Weekly Paste'!B:O,6,0)),""),"")</f>
        <v>Cock</v>
      </c>
      <c r="J1164" s="239">
        <f>IFERROR(IFERROR(VLOOKUP(B1164&amp;C1164&amp;Q1164,'New Weekly Paste'!A:M,8,0),VLOOKUP(B1164&amp;C1164&amp;Q1164,'New Weekly Paste'!B:O,10,0)),0)</f>
        <v>115.78</v>
      </c>
      <c r="K1164" s="239">
        <f>IFERROR(IFERROR(VLOOKUP(B1164&amp;I1164&amp;Q1164,'New Weekly Paste'!A:M,8,0),VLOOKUP(B1164&amp;I1164&amp;Q1164,'New Weekly Paste'!B:O,10,0)),0)</f>
        <v>66.54</v>
      </c>
      <c r="L1164" s="239">
        <f t="shared" si="25"/>
        <v>1</v>
      </c>
      <c r="M1164" s="36" t="str">
        <f t="shared" si="3"/>
        <v>Playoffs</v>
      </c>
      <c r="N1164" s="239" t="str">
        <f t="shared" si="26"/>
        <v>Cock</v>
      </c>
      <c r="O1164" s="6">
        <f>VLOOKUP(D1164,'Mapped Opponent'!$G$4:$H$22,2,0)</f>
        <v>15</v>
      </c>
      <c r="P1164" s="6"/>
      <c r="Q1164" s="6" t="str">
        <f t="shared" si="4"/>
        <v>Week 15</v>
      </c>
      <c r="R1164" s="6" t="str">
        <f t="shared" si="5"/>
        <v>2017Round 1</v>
      </c>
      <c r="S1164" s="6">
        <f>IFERROR(__xludf.DUMMYFUNCTION("rank(J1164,FILTER(J:J,R:R=R1164))"),2.0)</f>
        <v>2</v>
      </c>
      <c r="T1164" s="6">
        <f t="shared" si="6"/>
        <v>10</v>
      </c>
      <c r="U1164" s="6">
        <f t="shared" si="7"/>
        <v>2</v>
      </c>
      <c r="V1164" s="42">
        <f>averageif(AllData!A:A,B1164,AllData!R:R)/vlookup(B1164,AllData!A:O,15,0)</f>
        <v>90.17282051</v>
      </c>
      <c r="W1164" s="6"/>
    </row>
    <row r="1165" ht="14.25" customHeight="1">
      <c r="A1165" s="6" t="str">
        <f t="shared" si="1"/>
        <v>2017T-How15</v>
      </c>
      <c r="B1165" s="59">
        <v>2017.0</v>
      </c>
      <c r="C1165" s="13" t="s">
        <v>82</v>
      </c>
      <c r="D1165" s="13" t="s">
        <v>112</v>
      </c>
      <c r="E1165" s="34"/>
      <c r="F1165" s="6"/>
      <c r="H1165" s="6"/>
      <c r="I1165" s="35" t="str">
        <f>IFERROR(IFERROR(IFERROR(VLOOKUP(B1165&amp;C1165&amp;Q1165,'New Weekly Paste'!A:M,10,0),VLOOKUP(B1165&amp;C1165&amp;Q1165,'New Weekly Paste'!B:O,6,0)),""),"")</f>
        <v>Shep</v>
      </c>
      <c r="J1165" s="239">
        <f>IFERROR(IFERROR(VLOOKUP(B1165&amp;C1165&amp;Q1165,'New Weekly Paste'!A:M,8,0),VLOOKUP(B1165&amp;C1165&amp;Q1165,'New Weekly Paste'!B:O,10,0)),0)</f>
        <v>92.04</v>
      </c>
      <c r="K1165" s="239">
        <f>IFERROR(IFERROR(VLOOKUP(B1165&amp;I1165&amp;Q1165,'New Weekly Paste'!A:M,8,0),VLOOKUP(B1165&amp;I1165&amp;Q1165,'New Weekly Paste'!B:O,10,0)),0)</f>
        <v>64.48</v>
      </c>
      <c r="L1165" s="239">
        <f t="shared" si="25"/>
        <v>1</v>
      </c>
      <c r="M1165" s="36" t="str">
        <f t="shared" si="3"/>
        <v>Playoffs</v>
      </c>
      <c r="N1165" s="239" t="str">
        <f t="shared" si="26"/>
        <v>Shep</v>
      </c>
      <c r="O1165" s="6">
        <f>VLOOKUP(D1165,'Mapped Opponent'!$G$4:$H$22,2,0)</f>
        <v>15</v>
      </c>
      <c r="P1165" s="6"/>
      <c r="Q1165" s="6" t="str">
        <f t="shared" si="4"/>
        <v>Week 15</v>
      </c>
      <c r="R1165" s="6" t="str">
        <f t="shared" si="5"/>
        <v>2017Round 1</v>
      </c>
      <c r="S1165" s="6">
        <f>IFERROR(__xludf.DUMMYFUNCTION("rank(J1165,FILTER(J:J,R:R=R1165))"),7.0)</f>
        <v>7</v>
      </c>
      <c r="T1165" s="6">
        <f t="shared" si="6"/>
        <v>5</v>
      </c>
      <c r="U1165" s="6">
        <f t="shared" si="7"/>
        <v>7</v>
      </c>
      <c r="V1165" s="42">
        <f>averageif(AllData!A:A,B1165,AllData!R:R)/vlookup(B1165,AllData!A:O,15,0)</f>
        <v>90.17282051</v>
      </c>
      <c r="W1165" s="6"/>
    </row>
    <row r="1166" ht="14.25" customHeight="1">
      <c r="A1166" s="6" t="str">
        <f t="shared" si="1"/>
        <v>2017Hudspeath16</v>
      </c>
      <c r="B1166" s="59">
        <v>2017.0</v>
      </c>
      <c r="C1166" s="13" t="s">
        <v>39</v>
      </c>
      <c r="D1166" s="13" t="s">
        <v>153</v>
      </c>
      <c r="E1166" s="34"/>
      <c r="F1166" s="6"/>
      <c r="H1166" s="6"/>
      <c r="I1166" s="35" t="str">
        <f>IFERROR(IFERROR(IFERROR(VLOOKUP(B1166&amp;C1166&amp;Q1166,'New Weekly Paste'!A:M,10,0),VLOOKUP(B1166&amp;C1166&amp;Q1166,'New Weekly Paste'!B:O,6,0)),""),"")</f>
        <v>Salty</v>
      </c>
      <c r="J1166" s="239">
        <f>IFERROR(IFERROR(VLOOKUP(B1166&amp;C1166&amp;Q1166,'New Weekly Paste'!A:M,8,0),VLOOKUP(B1166&amp;C1166&amp;Q1166,'New Weekly Paste'!B:O,10,0)),0)</f>
        <v>105.5</v>
      </c>
      <c r="K1166" s="239">
        <f>IFERROR(IFERROR(VLOOKUP(B1166&amp;I1166&amp;Q1166,'New Weekly Paste'!A:M,8,0),VLOOKUP(B1166&amp;I1166&amp;Q1166,'New Weekly Paste'!B:O,10,0)),0)</f>
        <v>94.74</v>
      </c>
      <c r="L1166" s="239">
        <f t="shared" si="25"/>
        <v>1</v>
      </c>
      <c r="M1166" s="36" t="str">
        <f t="shared" si="3"/>
        <v>Playoffs</v>
      </c>
      <c r="N1166" s="239" t="str">
        <f t="shared" si="26"/>
        <v>Salty</v>
      </c>
      <c r="O1166" s="6">
        <f>VLOOKUP(D1166,'Mapped Opponent'!$G$4:$H$22,2,0)</f>
        <v>16</v>
      </c>
      <c r="P1166" s="6"/>
      <c r="Q1166" s="6" t="str">
        <f t="shared" si="4"/>
        <v>Week 16</v>
      </c>
      <c r="R1166" s="6" t="str">
        <f t="shared" si="5"/>
        <v>2017Round 2</v>
      </c>
      <c r="S1166" s="6">
        <f>IFERROR(__xludf.DUMMYFUNCTION("rank(J1166,FILTER(J:J,R:R=R1166))"),1.0)</f>
        <v>1</v>
      </c>
      <c r="T1166" s="6">
        <f t="shared" si="6"/>
        <v>11</v>
      </c>
      <c r="U1166" s="6">
        <f t="shared" si="7"/>
        <v>1</v>
      </c>
      <c r="V1166" s="42">
        <f>averageif(AllData!A:A,B1166,AllData!R:R)/vlookup(B1166,AllData!A:O,15,0)</f>
        <v>90.17282051</v>
      </c>
      <c r="W1166" s="6"/>
    </row>
    <row r="1167" ht="14.25" customHeight="1">
      <c r="A1167" s="6" t="str">
        <f t="shared" si="1"/>
        <v>2017Salty16</v>
      </c>
      <c r="B1167" s="59">
        <v>2017.0</v>
      </c>
      <c r="C1167" s="13" t="s">
        <v>76</v>
      </c>
      <c r="D1167" s="13" t="s">
        <v>153</v>
      </c>
      <c r="E1167" s="34"/>
      <c r="F1167" s="6"/>
      <c r="H1167" s="6"/>
      <c r="I1167" s="35" t="str">
        <f>IFERROR(IFERROR(IFERROR(VLOOKUP(B1167&amp;C1167&amp;Q1167,'New Weekly Paste'!A:M,10,0),VLOOKUP(B1167&amp;C1167&amp;Q1167,'New Weekly Paste'!B:O,6,0)),""),"")</f>
        <v>Hudspeath</v>
      </c>
      <c r="J1167" s="239">
        <f>IFERROR(IFERROR(VLOOKUP(B1167&amp;C1167&amp;Q1167,'New Weekly Paste'!A:M,8,0),VLOOKUP(B1167&amp;C1167&amp;Q1167,'New Weekly Paste'!B:O,10,0)),0)</f>
        <v>94.74</v>
      </c>
      <c r="K1167" s="239">
        <f>IFERROR(IFERROR(VLOOKUP(B1167&amp;I1167&amp;Q1167,'New Weekly Paste'!A:M,8,0),VLOOKUP(B1167&amp;I1167&amp;Q1167,'New Weekly Paste'!B:O,10,0)),0)</f>
        <v>105.5</v>
      </c>
      <c r="L1167" s="239">
        <f t="shared" si="25"/>
        <v>0</v>
      </c>
      <c r="M1167" s="36" t="str">
        <f t="shared" si="3"/>
        <v>Playoffs</v>
      </c>
      <c r="N1167" s="239" t="str">
        <f t="shared" si="26"/>
        <v>Hudspeath</v>
      </c>
      <c r="O1167" s="6">
        <f>VLOOKUP(D1167,'Mapped Opponent'!$G$4:$H$22,2,0)</f>
        <v>16</v>
      </c>
      <c r="P1167" s="6"/>
      <c r="Q1167" s="6" t="str">
        <f t="shared" si="4"/>
        <v>Week 16</v>
      </c>
      <c r="R1167" s="6" t="str">
        <f t="shared" si="5"/>
        <v>2017Round 2</v>
      </c>
      <c r="S1167" s="6">
        <f>IFERROR(__xludf.DUMMYFUNCTION("rank(J1167,FILTER(J:J,R:R=R1167))"),3.0)</f>
        <v>3</v>
      </c>
      <c r="T1167" s="6">
        <f t="shared" si="6"/>
        <v>9</v>
      </c>
      <c r="U1167" s="6">
        <f t="shared" si="7"/>
        <v>3</v>
      </c>
      <c r="V1167" s="42">
        <f>averageif(AllData!A:A,B1167,AllData!R:R)/vlookup(B1167,AllData!A:O,15,0)</f>
        <v>90.17282051</v>
      </c>
      <c r="W1167" s="6"/>
    </row>
    <row r="1168" ht="14.25" customHeight="1">
      <c r="A1168" s="6" t="str">
        <f t="shared" si="1"/>
        <v>2017Fellows16</v>
      </c>
      <c r="B1168" s="59">
        <v>2017.0</v>
      </c>
      <c r="C1168" s="13" t="s">
        <v>79</v>
      </c>
      <c r="D1168" s="13" t="s">
        <v>153</v>
      </c>
      <c r="E1168" s="34"/>
      <c r="F1168" s="6"/>
      <c r="H1168" s="6"/>
      <c r="I1168" s="35" t="str">
        <f>IFERROR(IFERROR(IFERROR(VLOOKUP(B1168&amp;C1168&amp;Q1168,'New Weekly Paste'!A:M,10,0),VLOOKUP(B1168&amp;C1168&amp;Q1168,'New Weekly Paste'!B:O,6,0)),""),"")</f>
        <v>T-How</v>
      </c>
      <c r="J1168" s="239">
        <f>IFERROR(IFERROR(VLOOKUP(B1168&amp;C1168&amp;Q1168,'New Weekly Paste'!A:M,8,0),VLOOKUP(B1168&amp;C1168&amp;Q1168,'New Weekly Paste'!B:O,10,0)),0)</f>
        <v>52.78</v>
      </c>
      <c r="K1168" s="239">
        <f>IFERROR(IFERROR(VLOOKUP(B1168&amp;I1168&amp;Q1168,'New Weekly Paste'!A:M,8,0),VLOOKUP(B1168&amp;I1168&amp;Q1168,'New Weekly Paste'!B:O,10,0)),0)</f>
        <v>77.26</v>
      </c>
      <c r="L1168" s="239">
        <f t="shared" si="25"/>
        <v>0</v>
      </c>
      <c r="M1168" s="36" t="str">
        <f t="shared" si="3"/>
        <v>Playoffs</v>
      </c>
      <c r="N1168" s="239" t="str">
        <f t="shared" si="26"/>
        <v>T-How</v>
      </c>
      <c r="O1168" s="6">
        <f>VLOOKUP(D1168,'Mapped Opponent'!$G$4:$H$22,2,0)</f>
        <v>16</v>
      </c>
      <c r="P1168" s="6"/>
      <c r="Q1168" s="6" t="str">
        <f t="shared" si="4"/>
        <v>Week 16</v>
      </c>
      <c r="R1168" s="6" t="str">
        <f t="shared" si="5"/>
        <v>2017Round 2</v>
      </c>
      <c r="S1168" s="6">
        <f>IFERROR(__xludf.DUMMYFUNCTION("rank(J1168,FILTER(J:J,R:R=R1168))"),11.0)</f>
        <v>11</v>
      </c>
      <c r="T1168" s="6">
        <f t="shared" si="6"/>
        <v>1</v>
      </c>
      <c r="U1168" s="6">
        <f t="shared" si="7"/>
        <v>11</v>
      </c>
      <c r="V1168" s="42">
        <f>averageif(AllData!A:A,B1168,AllData!R:R)/vlookup(B1168,AllData!A:O,15,0)</f>
        <v>90.17282051</v>
      </c>
      <c r="W1168" s="6"/>
    </row>
    <row r="1169" ht="14.25" customHeight="1">
      <c r="A1169" s="6" t="str">
        <f t="shared" si="1"/>
        <v>2017Shep16</v>
      </c>
      <c r="B1169" s="59">
        <v>2017.0</v>
      </c>
      <c r="C1169" s="13" t="s">
        <v>89</v>
      </c>
      <c r="D1169" s="13" t="s">
        <v>153</v>
      </c>
      <c r="E1169" s="34"/>
      <c r="F1169" s="6"/>
      <c r="H1169" s="6"/>
      <c r="I1169" s="35" t="str">
        <f>IFERROR(IFERROR(IFERROR(VLOOKUP(B1169&amp;C1169&amp;Q1169,'New Weekly Paste'!A:M,10,0),VLOOKUP(B1169&amp;C1169&amp;Q1169,'New Weekly Paste'!B:O,6,0)),""),"")</f>
        <v>Rooney/Jackson</v>
      </c>
      <c r="J1169" s="239">
        <f>IFERROR(IFERROR(VLOOKUP(B1169&amp;C1169&amp;Q1169,'New Weekly Paste'!A:M,8,0),VLOOKUP(B1169&amp;C1169&amp;Q1169,'New Weekly Paste'!B:O,10,0)),0)</f>
        <v>78.82</v>
      </c>
      <c r="K1169" s="239">
        <f>IFERROR(IFERROR(VLOOKUP(B1169&amp;I1169&amp;Q1169,'New Weekly Paste'!A:M,8,0),VLOOKUP(B1169&amp;I1169&amp;Q1169,'New Weekly Paste'!B:O,10,0)),0)</f>
        <v>89.98</v>
      </c>
      <c r="L1169" s="239">
        <f t="shared" si="25"/>
        <v>0</v>
      </c>
      <c r="M1169" s="36" t="str">
        <f t="shared" si="3"/>
        <v>Playoffs</v>
      </c>
      <c r="N1169" s="239" t="str">
        <f t="shared" si="26"/>
        <v>Rooney/Jackson</v>
      </c>
      <c r="O1169" s="6">
        <f>VLOOKUP(D1169,'Mapped Opponent'!$G$4:$H$22,2,0)</f>
        <v>16</v>
      </c>
      <c r="P1169" s="6"/>
      <c r="Q1169" s="6" t="str">
        <f t="shared" si="4"/>
        <v>Week 16</v>
      </c>
      <c r="R1169" s="6" t="str">
        <f t="shared" si="5"/>
        <v>2017Round 2</v>
      </c>
      <c r="S1169" s="6">
        <f>IFERROR(__xludf.DUMMYFUNCTION("rank(J1169,FILTER(J:J,R:R=R1169))"),8.0)</f>
        <v>8</v>
      </c>
      <c r="T1169" s="6">
        <f t="shared" si="6"/>
        <v>4</v>
      </c>
      <c r="U1169" s="6">
        <f t="shared" si="7"/>
        <v>8</v>
      </c>
      <c r="V1169" s="42">
        <f>averageif(AllData!A:A,B1169,AllData!R:R)/vlookup(B1169,AllData!A:O,15,0)</f>
        <v>90.17282051</v>
      </c>
      <c r="W1169" s="6"/>
    </row>
    <row r="1170" ht="14.25" customHeight="1">
      <c r="A1170" s="6" t="str">
        <f t="shared" si="1"/>
        <v>2017Riley16</v>
      </c>
      <c r="B1170" s="59">
        <v>2017.0</v>
      </c>
      <c r="C1170" s="13" t="s">
        <v>67</v>
      </c>
      <c r="D1170" s="13" t="s">
        <v>153</v>
      </c>
      <c r="E1170" s="34"/>
      <c r="F1170" s="6"/>
      <c r="H1170" s="6"/>
      <c r="I1170" s="35" t="str">
        <f>IFERROR(IFERROR(IFERROR(VLOOKUP(B1170&amp;C1170&amp;Q1170,'New Weekly Paste'!A:M,10,0),VLOOKUP(B1170&amp;C1170&amp;Q1170,'New Weekly Paste'!B:O,6,0)),""),"")</f>
        <v>KnardDawg</v>
      </c>
      <c r="J1170" s="239">
        <f>IFERROR(IFERROR(VLOOKUP(B1170&amp;C1170&amp;Q1170,'New Weekly Paste'!A:M,8,0),VLOOKUP(B1170&amp;C1170&amp;Q1170,'New Weekly Paste'!B:O,10,0)),0)</f>
        <v>76.46</v>
      </c>
      <c r="K1170" s="239">
        <f>IFERROR(IFERROR(VLOOKUP(B1170&amp;I1170&amp;Q1170,'New Weekly Paste'!A:M,8,0),VLOOKUP(B1170&amp;I1170&amp;Q1170,'New Weekly Paste'!B:O,10,0)),0)</f>
        <v>89.4</v>
      </c>
      <c r="L1170" s="239">
        <f t="shared" si="25"/>
        <v>0</v>
      </c>
      <c r="M1170" s="36" t="str">
        <f t="shared" si="3"/>
        <v>Playoffs</v>
      </c>
      <c r="N1170" s="239" t="str">
        <f t="shared" si="26"/>
        <v>KnardDawg</v>
      </c>
      <c r="O1170" s="6">
        <f>VLOOKUP(D1170,'Mapped Opponent'!$G$4:$H$22,2,0)</f>
        <v>16</v>
      </c>
      <c r="P1170" s="6"/>
      <c r="Q1170" s="6" t="str">
        <f t="shared" si="4"/>
        <v>Week 16</v>
      </c>
      <c r="R1170" s="6" t="str">
        <f t="shared" si="5"/>
        <v>2017Round 2</v>
      </c>
      <c r="S1170" s="6">
        <f>IFERROR(__xludf.DUMMYFUNCTION("rank(J1170,FILTER(J:J,R:R=R1170))"),10.0)</f>
        <v>10</v>
      </c>
      <c r="T1170" s="6">
        <f t="shared" si="6"/>
        <v>2</v>
      </c>
      <c r="U1170" s="6">
        <f t="shared" si="7"/>
        <v>10</v>
      </c>
      <c r="V1170" s="42">
        <f>averageif(AllData!A:A,B1170,AllData!R:R)/vlookup(B1170,AllData!A:O,15,0)</f>
        <v>90.17282051</v>
      </c>
      <c r="W1170" s="6"/>
    </row>
    <row r="1171" ht="14.25" customHeight="1">
      <c r="A1171" s="6" t="str">
        <f t="shared" si="1"/>
        <v>2017Rooney/Jackson16</v>
      </c>
      <c r="B1171" s="59">
        <v>2017.0</v>
      </c>
      <c r="C1171" s="13" t="s">
        <v>57</v>
      </c>
      <c r="D1171" s="13" t="s">
        <v>153</v>
      </c>
      <c r="E1171" s="34"/>
      <c r="F1171" s="6"/>
      <c r="H1171" s="6"/>
      <c r="I1171" s="35" t="str">
        <f>IFERROR(IFERROR(IFERROR(VLOOKUP(B1171&amp;C1171&amp;Q1171,'New Weekly Paste'!A:M,10,0),VLOOKUP(B1171&amp;C1171&amp;Q1171,'New Weekly Paste'!B:O,6,0)),""),"")</f>
        <v>Shep</v>
      </c>
      <c r="J1171" s="239">
        <f>IFERROR(IFERROR(VLOOKUP(B1171&amp;C1171&amp;Q1171,'New Weekly Paste'!A:M,8,0),VLOOKUP(B1171&amp;C1171&amp;Q1171,'New Weekly Paste'!B:O,10,0)),0)</f>
        <v>89.98</v>
      </c>
      <c r="K1171" s="239">
        <f>IFERROR(IFERROR(VLOOKUP(B1171&amp;I1171&amp;Q1171,'New Weekly Paste'!A:M,8,0),VLOOKUP(B1171&amp;I1171&amp;Q1171,'New Weekly Paste'!B:O,10,0)),0)</f>
        <v>78.82</v>
      </c>
      <c r="L1171" s="239">
        <f t="shared" si="25"/>
        <v>1</v>
      </c>
      <c r="M1171" s="36" t="str">
        <f t="shared" si="3"/>
        <v>Playoffs</v>
      </c>
      <c r="N1171" s="239" t="str">
        <f t="shared" si="26"/>
        <v>Shep</v>
      </c>
      <c r="O1171" s="6">
        <f>VLOOKUP(D1171,'Mapped Opponent'!$G$4:$H$22,2,0)</f>
        <v>16</v>
      </c>
      <c r="P1171" s="6"/>
      <c r="Q1171" s="6" t="str">
        <f t="shared" si="4"/>
        <v>Week 16</v>
      </c>
      <c r="R1171" s="6" t="str">
        <f t="shared" si="5"/>
        <v>2017Round 2</v>
      </c>
      <c r="S1171" s="6">
        <f>IFERROR(__xludf.DUMMYFUNCTION("rank(J1171,FILTER(J:J,R:R=R1171))"),5.0)</f>
        <v>5</v>
      </c>
      <c r="T1171" s="6">
        <f t="shared" si="6"/>
        <v>7</v>
      </c>
      <c r="U1171" s="6">
        <f t="shared" si="7"/>
        <v>5</v>
      </c>
      <c r="V1171" s="42">
        <f>averageif(AllData!A:A,B1171,AllData!R:R)/vlookup(B1171,AllData!A:O,15,0)</f>
        <v>90.17282051</v>
      </c>
      <c r="W1171" s="6"/>
    </row>
    <row r="1172" ht="14.25" customHeight="1">
      <c r="A1172" s="6" t="str">
        <f t="shared" si="1"/>
        <v>2017Buser16</v>
      </c>
      <c r="B1172" s="59">
        <v>2017.0</v>
      </c>
      <c r="C1172" s="13" t="s">
        <v>47</v>
      </c>
      <c r="D1172" s="13" t="s">
        <v>153</v>
      </c>
      <c r="E1172" s="34"/>
      <c r="F1172" s="6"/>
      <c r="H1172" s="6"/>
      <c r="I1172" s="35" t="str">
        <f>IFERROR(IFERROR(IFERROR(VLOOKUP(B1172&amp;C1172&amp;Q1172,'New Weekly Paste'!A:M,10,0),VLOOKUP(B1172&amp;C1172&amp;Q1172,'New Weekly Paste'!B:O,6,0)),""),"")</f>
        <v>Cock</v>
      </c>
      <c r="J1172" s="239">
        <f>IFERROR(IFERROR(VLOOKUP(B1172&amp;C1172&amp;Q1172,'New Weekly Paste'!A:M,8,0),VLOOKUP(B1172&amp;C1172&amp;Q1172,'New Weekly Paste'!B:O,10,0)),0)</f>
        <v>81.02</v>
      </c>
      <c r="K1172" s="239">
        <f>IFERROR(IFERROR(VLOOKUP(B1172&amp;I1172&amp;Q1172,'New Weekly Paste'!A:M,8,0),VLOOKUP(B1172&amp;I1172&amp;Q1172,'New Weekly Paste'!B:O,10,0)),0)</f>
        <v>97.9</v>
      </c>
      <c r="L1172" s="239">
        <f t="shared" si="25"/>
        <v>0</v>
      </c>
      <c r="M1172" s="36" t="str">
        <f t="shared" si="3"/>
        <v>Playoffs</v>
      </c>
      <c r="N1172" s="239" t="str">
        <f t="shared" si="26"/>
        <v>Cock</v>
      </c>
      <c r="O1172" s="6">
        <f>VLOOKUP(D1172,'Mapped Opponent'!$G$4:$H$22,2,0)</f>
        <v>16</v>
      </c>
      <c r="P1172" s="6"/>
      <c r="Q1172" s="6" t="str">
        <f t="shared" si="4"/>
        <v>Week 16</v>
      </c>
      <c r="R1172" s="6" t="str">
        <f t="shared" si="5"/>
        <v>2017Round 2</v>
      </c>
      <c r="S1172" s="6">
        <f>IFERROR(__xludf.DUMMYFUNCTION("rank(J1172,FILTER(J:J,R:R=R1172))"),7.0)</f>
        <v>7</v>
      </c>
      <c r="T1172" s="6">
        <f t="shared" si="6"/>
        <v>5</v>
      </c>
      <c r="U1172" s="6">
        <f t="shared" si="7"/>
        <v>7</v>
      </c>
      <c r="V1172" s="42">
        <f>averageif(AllData!A:A,B1172,AllData!R:R)/vlookup(B1172,AllData!A:O,15,0)</f>
        <v>90.17282051</v>
      </c>
      <c r="W1172" s="6"/>
    </row>
    <row r="1173" ht="14.25" customHeight="1">
      <c r="A1173" s="6" t="str">
        <f t="shared" si="1"/>
        <v>2017Pierson16</v>
      </c>
      <c r="B1173" s="59">
        <v>2017.0</v>
      </c>
      <c r="C1173" s="13" t="s">
        <v>92</v>
      </c>
      <c r="D1173" s="13" t="s">
        <v>153</v>
      </c>
      <c r="E1173" s="34"/>
      <c r="F1173" s="6"/>
      <c r="H1173" s="6"/>
      <c r="I1173" s="35" t="str">
        <f>IFERROR(IFERROR(IFERROR(VLOOKUP(B1173&amp;C1173&amp;Q1173,'New Weekly Paste'!A:M,10,0),VLOOKUP(B1173&amp;C1173&amp;Q1173,'New Weekly Paste'!B:O,6,0)),""),"")</f>
        <v>Tayski</v>
      </c>
      <c r="J1173" s="239">
        <f>IFERROR(IFERROR(VLOOKUP(B1173&amp;C1173&amp;Q1173,'New Weekly Paste'!A:M,8,0),VLOOKUP(B1173&amp;C1173&amp;Q1173,'New Weekly Paste'!B:O,10,0)),0)</f>
        <v>90.66</v>
      </c>
      <c r="K1173" s="239">
        <f>IFERROR(IFERROR(VLOOKUP(B1173&amp;I1173&amp;Q1173,'New Weekly Paste'!A:M,8,0),VLOOKUP(B1173&amp;I1173&amp;Q1173,'New Weekly Paste'!B:O,10,0)),0)</f>
        <v>43.9</v>
      </c>
      <c r="L1173" s="239">
        <f t="shared" si="25"/>
        <v>1</v>
      </c>
      <c r="M1173" s="36" t="str">
        <f t="shared" si="3"/>
        <v>Playoffs</v>
      </c>
      <c r="N1173" s="239" t="str">
        <f t="shared" si="26"/>
        <v>Tayski</v>
      </c>
      <c r="O1173" s="6">
        <f>VLOOKUP(D1173,'Mapped Opponent'!$G$4:$H$22,2,0)</f>
        <v>16</v>
      </c>
      <c r="P1173" s="6"/>
      <c r="Q1173" s="6" t="str">
        <f t="shared" si="4"/>
        <v>Week 16</v>
      </c>
      <c r="R1173" s="6" t="str">
        <f t="shared" si="5"/>
        <v>2017Round 2</v>
      </c>
      <c r="S1173" s="6">
        <f>IFERROR(__xludf.DUMMYFUNCTION("rank(J1173,FILTER(J:J,R:R=R1173))"),4.0)</f>
        <v>4</v>
      </c>
      <c r="T1173" s="6">
        <f t="shared" si="6"/>
        <v>8</v>
      </c>
      <c r="U1173" s="6">
        <f t="shared" si="7"/>
        <v>4</v>
      </c>
      <c r="V1173" s="42">
        <f>averageif(AllData!A:A,B1173,AllData!R:R)/vlookup(B1173,AllData!A:O,15,0)</f>
        <v>90.17282051</v>
      </c>
      <c r="W1173" s="6"/>
    </row>
    <row r="1174" ht="14.25" customHeight="1">
      <c r="A1174" s="6" t="str">
        <f t="shared" si="1"/>
        <v>2017Cock16</v>
      </c>
      <c r="B1174" s="59">
        <v>2017.0</v>
      </c>
      <c r="C1174" s="13" t="s">
        <v>72</v>
      </c>
      <c r="D1174" s="13" t="s">
        <v>153</v>
      </c>
      <c r="E1174" s="34"/>
      <c r="F1174" s="6"/>
      <c r="H1174" s="6"/>
      <c r="I1174" s="35" t="str">
        <f>IFERROR(IFERROR(IFERROR(VLOOKUP(B1174&amp;C1174&amp;Q1174,'New Weekly Paste'!A:M,10,0),VLOOKUP(B1174&amp;C1174&amp;Q1174,'New Weekly Paste'!B:O,6,0)),""),"")</f>
        <v>Buser</v>
      </c>
      <c r="J1174" s="239">
        <f>IFERROR(IFERROR(VLOOKUP(B1174&amp;C1174&amp;Q1174,'New Weekly Paste'!A:M,8,0),VLOOKUP(B1174&amp;C1174&amp;Q1174,'New Weekly Paste'!B:O,10,0)),0)</f>
        <v>97.9</v>
      </c>
      <c r="K1174" s="239">
        <f>IFERROR(IFERROR(VLOOKUP(B1174&amp;I1174&amp;Q1174,'New Weekly Paste'!A:M,8,0),VLOOKUP(B1174&amp;I1174&amp;Q1174,'New Weekly Paste'!B:O,10,0)),0)</f>
        <v>81.02</v>
      </c>
      <c r="L1174" s="239">
        <f t="shared" si="25"/>
        <v>1</v>
      </c>
      <c r="M1174" s="36" t="str">
        <f t="shared" si="3"/>
        <v>Playoffs</v>
      </c>
      <c r="N1174" s="239" t="str">
        <f t="shared" si="26"/>
        <v>Buser</v>
      </c>
      <c r="O1174" s="6">
        <f>VLOOKUP(D1174,'Mapped Opponent'!$G$4:$H$22,2,0)</f>
        <v>16</v>
      </c>
      <c r="P1174" s="6"/>
      <c r="Q1174" s="6" t="str">
        <f t="shared" si="4"/>
        <v>Week 16</v>
      </c>
      <c r="R1174" s="6" t="str">
        <f t="shared" si="5"/>
        <v>2017Round 2</v>
      </c>
      <c r="S1174" s="6">
        <f>IFERROR(__xludf.DUMMYFUNCTION("rank(J1174,FILTER(J:J,R:R=R1174))"),2.0)</f>
        <v>2</v>
      </c>
      <c r="T1174" s="6">
        <f t="shared" si="6"/>
        <v>10</v>
      </c>
      <c r="U1174" s="6">
        <f t="shared" si="7"/>
        <v>2</v>
      </c>
      <c r="V1174" s="42">
        <f>averageif(AllData!A:A,B1174,AllData!R:R)/vlookup(B1174,AllData!A:O,15,0)</f>
        <v>90.17282051</v>
      </c>
      <c r="W1174" s="6"/>
    </row>
    <row r="1175" ht="14.25" customHeight="1">
      <c r="A1175" s="6" t="str">
        <f t="shared" si="1"/>
        <v>2017Tayski16</v>
      </c>
      <c r="B1175" s="59">
        <v>2017.0</v>
      </c>
      <c r="C1175" s="13" t="s">
        <v>52</v>
      </c>
      <c r="D1175" s="13" t="s">
        <v>153</v>
      </c>
      <c r="E1175" s="34"/>
      <c r="F1175" s="6"/>
      <c r="H1175" s="6"/>
      <c r="I1175" s="35" t="str">
        <f>IFERROR(IFERROR(IFERROR(VLOOKUP(B1175&amp;C1175&amp;Q1175,'New Weekly Paste'!A:M,10,0),VLOOKUP(B1175&amp;C1175&amp;Q1175,'New Weekly Paste'!B:O,6,0)),""),"")</f>
        <v>Pierson</v>
      </c>
      <c r="J1175" s="239">
        <f>IFERROR(IFERROR(VLOOKUP(B1175&amp;C1175&amp;Q1175,'New Weekly Paste'!A:M,8,0),VLOOKUP(B1175&amp;C1175&amp;Q1175,'New Weekly Paste'!B:O,10,0)),0)</f>
        <v>43.9</v>
      </c>
      <c r="K1175" s="239">
        <f>IFERROR(IFERROR(VLOOKUP(B1175&amp;I1175&amp;Q1175,'New Weekly Paste'!A:M,8,0),VLOOKUP(B1175&amp;I1175&amp;Q1175,'New Weekly Paste'!B:O,10,0)),0)</f>
        <v>90.66</v>
      </c>
      <c r="L1175" s="239">
        <f t="shared" si="25"/>
        <v>0</v>
      </c>
      <c r="M1175" s="36" t="str">
        <f t="shared" si="3"/>
        <v>Playoffs</v>
      </c>
      <c r="N1175" s="239" t="str">
        <f t="shared" si="26"/>
        <v>Pierson</v>
      </c>
      <c r="O1175" s="6">
        <f>VLOOKUP(D1175,'Mapped Opponent'!$G$4:$H$22,2,0)</f>
        <v>16</v>
      </c>
      <c r="P1175" s="6"/>
      <c r="Q1175" s="6" t="str">
        <f t="shared" si="4"/>
        <v>Week 16</v>
      </c>
      <c r="R1175" s="6" t="str">
        <f t="shared" si="5"/>
        <v>2017Round 2</v>
      </c>
      <c r="S1175" s="6">
        <f>IFERROR(__xludf.DUMMYFUNCTION("rank(J1175,FILTER(J:J,R:R=R1175))"),12.0)</f>
        <v>12</v>
      </c>
      <c r="T1175" s="6">
        <f t="shared" si="6"/>
        <v>0</v>
      </c>
      <c r="U1175" s="6">
        <f t="shared" si="7"/>
        <v>12</v>
      </c>
      <c r="V1175" s="42">
        <f>averageif(AllData!A:A,B1175,AllData!R:R)/vlookup(B1175,AllData!A:O,15,0)</f>
        <v>90.17282051</v>
      </c>
      <c r="W1175" s="6"/>
    </row>
    <row r="1176" ht="14.25" customHeight="1">
      <c r="A1176" s="6" t="str">
        <f t="shared" si="1"/>
        <v>2017KnardDawg16</v>
      </c>
      <c r="B1176" s="59">
        <v>2017.0</v>
      </c>
      <c r="C1176" s="13" t="s">
        <v>86</v>
      </c>
      <c r="D1176" s="13" t="s">
        <v>153</v>
      </c>
      <c r="E1176" s="34"/>
      <c r="F1176" s="6"/>
      <c r="H1176" s="6"/>
      <c r="I1176" s="35" t="str">
        <f>IFERROR(IFERROR(IFERROR(VLOOKUP(B1176&amp;C1176&amp;Q1176,'New Weekly Paste'!A:M,10,0),VLOOKUP(B1176&amp;C1176&amp;Q1176,'New Weekly Paste'!B:O,6,0)),""),"")</f>
        <v>Riley</v>
      </c>
      <c r="J1176" s="239">
        <f>IFERROR(IFERROR(VLOOKUP(B1176&amp;C1176&amp;Q1176,'New Weekly Paste'!A:M,8,0),VLOOKUP(B1176&amp;C1176&amp;Q1176,'New Weekly Paste'!B:O,10,0)),0)</f>
        <v>89.4</v>
      </c>
      <c r="K1176" s="239">
        <f>IFERROR(IFERROR(VLOOKUP(B1176&amp;I1176&amp;Q1176,'New Weekly Paste'!A:M,8,0),VLOOKUP(B1176&amp;I1176&amp;Q1176,'New Weekly Paste'!B:O,10,0)),0)</f>
        <v>76.46</v>
      </c>
      <c r="L1176" s="239">
        <f t="shared" si="25"/>
        <v>1</v>
      </c>
      <c r="M1176" s="36" t="str">
        <f t="shared" si="3"/>
        <v>Playoffs</v>
      </c>
      <c r="N1176" s="239" t="str">
        <f t="shared" si="26"/>
        <v>Riley</v>
      </c>
      <c r="O1176" s="6">
        <f>VLOOKUP(D1176,'Mapped Opponent'!$G$4:$H$22,2,0)</f>
        <v>16</v>
      </c>
      <c r="P1176" s="6"/>
      <c r="Q1176" s="6" t="str">
        <f t="shared" si="4"/>
        <v>Week 16</v>
      </c>
      <c r="R1176" s="6" t="str">
        <f t="shared" si="5"/>
        <v>2017Round 2</v>
      </c>
      <c r="S1176" s="6">
        <f>IFERROR(__xludf.DUMMYFUNCTION("rank(J1176,FILTER(J:J,R:R=R1176))"),6.0)</f>
        <v>6</v>
      </c>
      <c r="T1176" s="6">
        <f t="shared" si="6"/>
        <v>6</v>
      </c>
      <c r="U1176" s="6">
        <f t="shared" si="7"/>
        <v>6</v>
      </c>
      <c r="V1176" s="42">
        <f>averageif(AllData!A:A,B1176,AllData!R:R)/vlookup(B1176,AllData!A:O,15,0)</f>
        <v>90.17282051</v>
      </c>
      <c r="W1176" s="6"/>
    </row>
    <row r="1177" ht="14.25" customHeight="1">
      <c r="A1177" s="6" t="str">
        <f t="shared" si="1"/>
        <v>2017T-How16</v>
      </c>
      <c r="B1177" s="59">
        <v>2017.0</v>
      </c>
      <c r="C1177" s="13" t="s">
        <v>82</v>
      </c>
      <c r="D1177" s="13" t="s">
        <v>153</v>
      </c>
      <c r="E1177" s="34"/>
      <c r="F1177" s="6"/>
      <c r="H1177" s="6"/>
      <c r="I1177" s="35" t="str">
        <f>IFERROR(IFERROR(IFERROR(VLOOKUP(B1177&amp;C1177&amp;Q1177,'New Weekly Paste'!A:M,10,0),VLOOKUP(B1177&amp;C1177&amp;Q1177,'New Weekly Paste'!B:O,6,0)),""),"")</f>
        <v>Fellows</v>
      </c>
      <c r="J1177" s="239">
        <f>IFERROR(IFERROR(VLOOKUP(B1177&amp;C1177&amp;Q1177,'New Weekly Paste'!A:M,8,0),VLOOKUP(B1177&amp;C1177&amp;Q1177,'New Weekly Paste'!B:O,10,0)),0)</f>
        <v>77.26</v>
      </c>
      <c r="K1177" s="239">
        <f>IFERROR(IFERROR(VLOOKUP(B1177&amp;I1177&amp;Q1177,'New Weekly Paste'!A:M,8,0),VLOOKUP(B1177&amp;I1177&amp;Q1177,'New Weekly Paste'!B:O,10,0)),0)</f>
        <v>52.78</v>
      </c>
      <c r="L1177" s="239">
        <f t="shared" si="25"/>
        <v>1</v>
      </c>
      <c r="M1177" s="36" t="str">
        <f t="shared" si="3"/>
        <v>Playoffs</v>
      </c>
      <c r="N1177" s="239" t="str">
        <f t="shared" si="26"/>
        <v>Fellows</v>
      </c>
      <c r="O1177" s="6">
        <f>VLOOKUP(D1177,'Mapped Opponent'!$G$4:$H$22,2,0)</f>
        <v>16</v>
      </c>
      <c r="P1177" s="6"/>
      <c r="Q1177" s="6" t="str">
        <f t="shared" si="4"/>
        <v>Week 16</v>
      </c>
      <c r="R1177" s="6" t="str">
        <f t="shared" si="5"/>
        <v>2017Round 2</v>
      </c>
      <c r="S1177" s="6">
        <f>IFERROR(__xludf.DUMMYFUNCTION("rank(J1177,FILTER(J:J,R:R=R1177))"),9.0)</f>
        <v>9</v>
      </c>
      <c r="T1177" s="6">
        <f t="shared" si="6"/>
        <v>3</v>
      </c>
      <c r="U1177" s="6">
        <f t="shared" si="7"/>
        <v>9</v>
      </c>
      <c r="V1177" s="42">
        <f>averageif(AllData!A:A,B1177,AllData!R:R)/vlookup(B1177,AllData!A:O,15,0)</f>
        <v>90.17282051</v>
      </c>
      <c r="W1177" s="6"/>
    </row>
    <row r="1178" ht="14.25" customHeight="1">
      <c r="A1178" s="6" t="str">
        <f t="shared" si="1"/>
        <v>2017Hudspeath17</v>
      </c>
      <c r="B1178" s="59">
        <v>2017.0</v>
      </c>
      <c r="C1178" s="13" t="s">
        <v>39</v>
      </c>
      <c r="D1178" s="13" t="s">
        <v>154</v>
      </c>
      <c r="E1178" s="34"/>
      <c r="F1178" s="6"/>
      <c r="H1178" s="6"/>
      <c r="I1178" s="35" t="str">
        <f>IFERROR(IFERROR(IFERROR(VLOOKUP(B1178&amp;C1178&amp;Q1178,'New Weekly Paste'!A:M,10,0),VLOOKUP(B1178&amp;C1178&amp;Q1178,'New Weekly Paste'!B:O,6,0)),""),"")</f>
        <v/>
      </c>
      <c r="J1178" s="239">
        <f>IFERROR(IFERROR(VLOOKUP(B1178&amp;C1178&amp;Q1178,'New Weekly Paste'!A:M,8,0),VLOOKUP(B1178&amp;C1178&amp;Q1178,'New Weekly Paste'!B:O,10,0)),0)</f>
        <v>0</v>
      </c>
      <c r="K1178" s="239">
        <f>IFERROR(IFERROR(VLOOKUP(B1178&amp;I1178&amp;Q1178,'New Weekly Paste'!A:M,8,0),VLOOKUP(B1178&amp;I1178&amp;Q1178,'New Weekly Paste'!B:O,10,0)),0)</f>
        <v>0</v>
      </c>
      <c r="L1178" s="239">
        <f t="shared" si="25"/>
        <v>0</v>
      </c>
      <c r="M1178" s="36" t="str">
        <f t="shared" si="3"/>
        <v>Playoffs</v>
      </c>
      <c r="N1178" s="239" t="str">
        <f t="shared" si="26"/>
        <v/>
      </c>
      <c r="O1178" s="6">
        <f>VLOOKUP(D1178,'Mapped Opponent'!$G$4:$H$22,2,0)</f>
        <v>17</v>
      </c>
      <c r="P1178" s="6"/>
      <c r="Q1178" s="6" t="str">
        <f t="shared" si="4"/>
        <v>Week 17</v>
      </c>
      <c r="R1178" s="6" t="str">
        <f t="shared" si="5"/>
        <v>2017Round 3</v>
      </c>
      <c r="S1178" s="6">
        <f>IFERROR(__xludf.DUMMYFUNCTION("rank(J1178,FILTER(J:J,R:R=R1178))"),1.0)</f>
        <v>1</v>
      </c>
      <c r="T1178" s="6">
        <f t="shared" si="6"/>
        <v>11</v>
      </c>
      <c r="U1178" s="6">
        <f t="shared" si="7"/>
        <v>1</v>
      </c>
      <c r="V1178" s="42">
        <f>averageif(AllData!A:A,B1178,AllData!R:R)/vlookup(B1178,AllData!A:O,15,0)</f>
        <v>90.17282051</v>
      </c>
      <c r="W1178" s="6"/>
    </row>
    <row r="1179" ht="14.25" customHeight="1">
      <c r="A1179" s="6" t="str">
        <f t="shared" si="1"/>
        <v>2017Salty17</v>
      </c>
      <c r="B1179" s="59">
        <v>2017.0</v>
      </c>
      <c r="C1179" s="13" t="s">
        <v>76</v>
      </c>
      <c r="D1179" s="13" t="s">
        <v>154</v>
      </c>
      <c r="E1179" s="34"/>
      <c r="F1179" s="6"/>
      <c r="H1179" s="6"/>
      <c r="I1179" s="35" t="str">
        <f>IFERROR(IFERROR(IFERROR(VLOOKUP(B1179&amp;C1179&amp;Q1179,'New Weekly Paste'!A:M,10,0),VLOOKUP(B1179&amp;C1179&amp;Q1179,'New Weekly Paste'!B:O,6,0)),""),"")</f>
        <v/>
      </c>
      <c r="J1179" s="239">
        <f>IFERROR(IFERROR(VLOOKUP(B1179&amp;C1179&amp;Q1179,'New Weekly Paste'!A:M,8,0),VLOOKUP(B1179&amp;C1179&amp;Q1179,'New Weekly Paste'!B:O,10,0)),0)</f>
        <v>0</v>
      </c>
      <c r="K1179" s="239">
        <f>IFERROR(IFERROR(VLOOKUP(B1179&amp;I1179&amp;Q1179,'New Weekly Paste'!A:M,8,0),VLOOKUP(B1179&amp;I1179&amp;Q1179,'New Weekly Paste'!B:O,10,0)),0)</f>
        <v>0</v>
      </c>
      <c r="L1179" s="239">
        <f t="shared" si="25"/>
        <v>0</v>
      </c>
      <c r="M1179" s="36" t="str">
        <f t="shared" si="3"/>
        <v>Playoffs</v>
      </c>
      <c r="N1179" s="239" t="str">
        <f t="shared" si="26"/>
        <v/>
      </c>
      <c r="O1179" s="6">
        <f>VLOOKUP(D1179,'Mapped Opponent'!$G$4:$H$22,2,0)</f>
        <v>17</v>
      </c>
      <c r="P1179" s="6"/>
      <c r="Q1179" s="6" t="str">
        <f t="shared" si="4"/>
        <v>Week 17</v>
      </c>
      <c r="R1179" s="6" t="str">
        <f t="shared" si="5"/>
        <v>2017Round 3</v>
      </c>
      <c r="S1179" s="6">
        <f>IFERROR(__xludf.DUMMYFUNCTION("rank(J1179,FILTER(J:J,R:R=R1179))"),1.0)</f>
        <v>1</v>
      </c>
      <c r="T1179" s="6">
        <f t="shared" si="6"/>
        <v>11</v>
      </c>
      <c r="U1179" s="6">
        <f t="shared" si="7"/>
        <v>1</v>
      </c>
      <c r="V1179" s="42">
        <f>averageif(AllData!A:A,B1179,AllData!R:R)/vlookup(B1179,AllData!A:O,15,0)</f>
        <v>90.17282051</v>
      </c>
      <c r="W1179" s="6"/>
    </row>
    <row r="1180" ht="14.25" customHeight="1">
      <c r="A1180" s="6" t="str">
        <f t="shared" si="1"/>
        <v>2017Fellows17</v>
      </c>
      <c r="B1180" s="59">
        <v>2017.0</v>
      </c>
      <c r="C1180" s="13" t="s">
        <v>79</v>
      </c>
      <c r="D1180" s="13" t="s">
        <v>154</v>
      </c>
      <c r="E1180" s="34"/>
      <c r="F1180" s="6"/>
      <c r="H1180" s="6"/>
      <c r="I1180" s="35" t="str">
        <f>IFERROR(IFERROR(IFERROR(VLOOKUP(B1180&amp;C1180&amp;Q1180,'New Weekly Paste'!A:M,10,0),VLOOKUP(B1180&amp;C1180&amp;Q1180,'New Weekly Paste'!B:O,6,0)),""),"")</f>
        <v/>
      </c>
      <c r="J1180" s="239">
        <f>IFERROR(IFERROR(VLOOKUP(B1180&amp;C1180&amp;Q1180,'New Weekly Paste'!A:M,8,0),VLOOKUP(B1180&amp;C1180&amp;Q1180,'New Weekly Paste'!B:O,10,0)),0)</f>
        <v>0</v>
      </c>
      <c r="K1180" s="239">
        <f>IFERROR(IFERROR(VLOOKUP(B1180&amp;I1180&amp;Q1180,'New Weekly Paste'!A:M,8,0),VLOOKUP(B1180&amp;I1180&amp;Q1180,'New Weekly Paste'!B:O,10,0)),0)</f>
        <v>0</v>
      </c>
      <c r="L1180" s="239">
        <f t="shared" si="25"/>
        <v>0</v>
      </c>
      <c r="M1180" s="36" t="str">
        <f t="shared" si="3"/>
        <v>Playoffs</v>
      </c>
      <c r="N1180" s="239" t="str">
        <f t="shared" si="26"/>
        <v/>
      </c>
      <c r="O1180" s="6">
        <f>VLOOKUP(D1180,'Mapped Opponent'!$G$4:$H$22,2,0)</f>
        <v>17</v>
      </c>
      <c r="P1180" s="6"/>
      <c r="Q1180" s="6" t="str">
        <f t="shared" si="4"/>
        <v>Week 17</v>
      </c>
      <c r="R1180" s="6" t="str">
        <f t="shared" si="5"/>
        <v>2017Round 3</v>
      </c>
      <c r="S1180" s="6">
        <f>IFERROR(__xludf.DUMMYFUNCTION("rank(J1180,FILTER(J:J,R:R=R1180))"),1.0)</f>
        <v>1</v>
      </c>
      <c r="T1180" s="6">
        <f t="shared" si="6"/>
        <v>11</v>
      </c>
      <c r="U1180" s="6">
        <f t="shared" si="7"/>
        <v>1</v>
      </c>
      <c r="V1180" s="42">
        <f>averageif(AllData!A:A,B1180,AllData!R:R)/vlookup(B1180,AllData!A:O,15,0)</f>
        <v>90.17282051</v>
      </c>
      <c r="W1180" s="6"/>
    </row>
    <row r="1181" ht="14.25" customHeight="1">
      <c r="A1181" s="6" t="str">
        <f t="shared" si="1"/>
        <v>2017Shep17</v>
      </c>
      <c r="B1181" s="59">
        <v>2017.0</v>
      </c>
      <c r="C1181" s="13" t="s">
        <v>89</v>
      </c>
      <c r="D1181" s="13" t="s">
        <v>154</v>
      </c>
      <c r="E1181" s="34"/>
      <c r="F1181" s="6"/>
      <c r="H1181" s="6"/>
      <c r="I1181" s="35" t="str">
        <f>IFERROR(IFERROR(IFERROR(VLOOKUP(B1181&amp;C1181&amp;Q1181,'New Weekly Paste'!A:M,10,0),VLOOKUP(B1181&amp;C1181&amp;Q1181,'New Weekly Paste'!B:O,6,0)),""),"")</f>
        <v/>
      </c>
      <c r="J1181" s="239">
        <f>IFERROR(IFERROR(VLOOKUP(B1181&amp;C1181&amp;Q1181,'New Weekly Paste'!A:M,8,0),VLOOKUP(B1181&amp;C1181&amp;Q1181,'New Weekly Paste'!B:O,10,0)),0)</f>
        <v>0</v>
      </c>
      <c r="K1181" s="239">
        <f>IFERROR(IFERROR(VLOOKUP(B1181&amp;I1181&amp;Q1181,'New Weekly Paste'!A:M,8,0),VLOOKUP(B1181&amp;I1181&amp;Q1181,'New Weekly Paste'!B:O,10,0)),0)</f>
        <v>0</v>
      </c>
      <c r="L1181" s="239">
        <f t="shared" si="25"/>
        <v>0</v>
      </c>
      <c r="M1181" s="36" t="str">
        <f t="shared" si="3"/>
        <v>Playoffs</v>
      </c>
      <c r="N1181" s="239" t="str">
        <f t="shared" si="26"/>
        <v/>
      </c>
      <c r="O1181" s="6">
        <f>VLOOKUP(D1181,'Mapped Opponent'!$G$4:$H$22,2,0)</f>
        <v>17</v>
      </c>
      <c r="P1181" s="6"/>
      <c r="Q1181" s="6" t="str">
        <f t="shared" si="4"/>
        <v>Week 17</v>
      </c>
      <c r="R1181" s="6" t="str">
        <f t="shared" si="5"/>
        <v>2017Round 3</v>
      </c>
      <c r="S1181" s="6">
        <f>IFERROR(__xludf.DUMMYFUNCTION("rank(J1181,FILTER(J:J,R:R=R1181))"),1.0)</f>
        <v>1</v>
      </c>
      <c r="T1181" s="6">
        <f t="shared" si="6"/>
        <v>11</v>
      </c>
      <c r="U1181" s="6">
        <f t="shared" si="7"/>
        <v>1</v>
      </c>
      <c r="V1181" s="42">
        <f>averageif(AllData!A:A,B1181,AllData!R:R)/vlookup(B1181,AllData!A:O,15,0)</f>
        <v>90.17282051</v>
      </c>
      <c r="W1181" s="6"/>
    </row>
    <row r="1182" ht="14.25" customHeight="1">
      <c r="A1182" s="6" t="str">
        <f t="shared" si="1"/>
        <v>2017Riley17</v>
      </c>
      <c r="B1182" s="59">
        <v>2017.0</v>
      </c>
      <c r="C1182" s="13" t="s">
        <v>67</v>
      </c>
      <c r="D1182" s="13" t="s">
        <v>154</v>
      </c>
      <c r="E1182" s="34"/>
      <c r="F1182" s="6"/>
      <c r="H1182" s="6"/>
      <c r="I1182" s="35" t="str">
        <f>IFERROR(IFERROR(IFERROR(VLOOKUP(B1182&amp;C1182&amp;Q1182,'New Weekly Paste'!A:M,10,0),VLOOKUP(B1182&amp;C1182&amp;Q1182,'New Weekly Paste'!B:O,6,0)),""),"")</f>
        <v/>
      </c>
      <c r="J1182" s="239">
        <f>IFERROR(IFERROR(VLOOKUP(B1182&amp;C1182&amp;Q1182,'New Weekly Paste'!A:M,8,0),VLOOKUP(B1182&amp;C1182&amp;Q1182,'New Weekly Paste'!B:O,10,0)),0)</f>
        <v>0</v>
      </c>
      <c r="K1182" s="239">
        <f>IFERROR(IFERROR(VLOOKUP(B1182&amp;I1182&amp;Q1182,'New Weekly Paste'!A:M,8,0),VLOOKUP(B1182&amp;I1182&amp;Q1182,'New Weekly Paste'!B:O,10,0)),0)</f>
        <v>0</v>
      </c>
      <c r="L1182" s="239">
        <f t="shared" si="25"/>
        <v>0</v>
      </c>
      <c r="M1182" s="36" t="str">
        <f t="shared" si="3"/>
        <v>Playoffs</v>
      </c>
      <c r="N1182" s="239" t="str">
        <f t="shared" si="26"/>
        <v/>
      </c>
      <c r="O1182" s="6">
        <f>VLOOKUP(D1182,'Mapped Opponent'!$G$4:$H$22,2,0)</f>
        <v>17</v>
      </c>
      <c r="P1182" s="6"/>
      <c r="Q1182" s="6" t="str">
        <f t="shared" si="4"/>
        <v>Week 17</v>
      </c>
      <c r="R1182" s="6" t="str">
        <f t="shared" si="5"/>
        <v>2017Round 3</v>
      </c>
      <c r="S1182" s="6">
        <f>IFERROR(__xludf.DUMMYFUNCTION("rank(J1182,FILTER(J:J,R:R=R1182))"),1.0)</f>
        <v>1</v>
      </c>
      <c r="T1182" s="6">
        <f t="shared" si="6"/>
        <v>11</v>
      </c>
      <c r="U1182" s="6">
        <f t="shared" si="7"/>
        <v>1</v>
      </c>
      <c r="V1182" s="42">
        <f>averageif(AllData!A:A,B1182,AllData!R:R)/vlookup(B1182,AllData!A:O,15,0)</f>
        <v>90.17282051</v>
      </c>
      <c r="W1182" s="6"/>
    </row>
    <row r="1183" ht="14.25" customHeight="1">
      <c r="A1183" s="6" t="str">
        <f t="shared" si="1"/>
        <v>2017Rooney/Jackson17</v>
      </c>
      <c r="B1183" s="59">
        <v>2017.0</v>
      </c>
      <c r="C1183" s="13" t="s">
        <v>57</v>
      </c>
      <c r="D1183" s="13" t="s">
        <v>154</v>
      </c>
      <c r="E1183" s="34"/>
      <c r="F1183" s="6"/>
      <c r="H1183" s="6"/>
      <c r="I1183" s="35" t="str">
        <f>IFERROR(IFERROR(IFERROR(VLOOKUP(B1183&amp;C1183&amp;Q1183,'New Weekly Paste'!A:M,10,0),VLOOKUP(B1183&amp;C1183&amp;Q1183,'New Weekly Paste'!B:O,6,0)),""),"")</f>
        <v/>
      </c>
      <c r="J1183" s="239">
        <f>IFERROR(IFERROR(VLOOKUP(B1183&amp;C1183&amp;Q1183,'New Weekly Paste'!A:M,8,0),VLOOKUP(B1183&amp;C1183&amp;Q1183,'New Weekly Paste'!B:O,10,0)),0)</f>
        <v>0</v>
      </c>
      <c r="K1183" s="239">
        <f>IFERROR(IFERROR(VLOOKUP(B1183&amp;I1183&amp;Q1183,'New Weekly Paste'!A:M,8,0),VLOOKUP(B1183&amp;I1183&amp;Q1183,'New Weekly Paste'!B:O,10,0)),0)</f>
        <v>0</v>
      </c>
      <c r="L1183" s="239">
        <f t="shared" si="25"/>
        <v>0</v>
      </c>
      <c r="M1183" s="36" t="str">
        <f t="shared" si="3"/>
        <v>Playoffs</v>
      </c>
      <c r="N1183" s="239" t="str">
        <f t="shared" si="26"/>
        <v/>
      </c>
      <c r="O1183" s="6">
        <f>VLOOKUP(D1183,'Mapped Opponent'!$G$4:$H$22,2,0)</f>
        <v>17</v>
      </c>
      <c r="P1183" s="6"/>
      <c r="Q1183" s="6" t="str">
        <f t="shared" si="4"/>
        <v>Week 17</v>
      </c>
      <c r="R1183" s="6" t="str">
        <f t="shared" si="5"/>
        <v>2017Round 3</v>
      </c>
      <c r="S1183" s="6">
        <f>IFERROR(__xludf.DUMMYFUNCTION("rank(J1183,FILTER(J:J,R:R=R1183))"),1.0)</f>
        <v>1</v>
      </c>
      <c r="T1183" s="6">
        <f t="shared" si="6"/>
        <v>11</v>
      </c>
      <c r="U1183" s="6">
        <f t="shared" si="7"/>
        <v>1</v>
      </c>
      <c r="V1183" s="42">
        <f>averageif(AllData!A:A,B1183,AllData!R:R)/vlookup(B1183,AllData!A:O,15,0)</f>
        <v>90.17282051</v>
      </c>
      <c r="W1183" s="6"/>
    </row>
    <row r="1184" ht="14.25" customHeight="1">
      <c r="A1184" s="6" t="str">
        <f t="shared" si="1"/>
        <v>2017Buser17</v>
      </c>
      <c r="B1184" s="59">
        <v>2017.0</v>
      </c>
      <c r="C1184" s="13" t="s">
        <v>47</v>
      </c>
      <c r="D1184" s="13" t="s">
        <v>154</v>
      </c>
      <c r="E1184" s="34"/>
      <c r="F1184" s="6"/>
      <c r="H1184" s="6"/>
      <c r="I1184" s="35" t="str">
        <f>IFERROR(IFERROR(IFERROR(VLOOKUP(B1184&amp;C1184&amp;Q1184,'New Weekly Paste'!A:M,10,0),VLOOKUP(B1184&amp;C1184&amp;Q1184,'New Weekly Paste'!B:O,6,0)),""),"")</f>
        <v/>
      </c>
      <c r="J1184" s="239">
        <f>IFERROR(IFERROR(VLOOKUP(B1184&amp;C1184&amp;Q1184,'New Weekly Paste'!A:M,8,0),VLOOKUP(B1184&amp;C1184&amp;Q1184,'New Weekly Paste'!B:O,10,0)),0)</f>
        <v>0</v>
      </c>
      <c r="K1184" s="239">
        <f>IFERROR(IFERROR(VLOOKUP(B1184&amp;I1184&amp;Q1184,'New Weekly Paste'!A:M,8,0),VLOOKUP(B1184&amp;I1184&amp;Q1184,'New Weekly Paste'!B:O,10,0)),0)</f>
        <v>0</v>
      </c>
      <c r="L1184" s="239">
        <f t="shared" si="25"/>
        <v>0</v>
      </c>
      <c r="M1184" s="36" t="str">
        <f t="shared" si="3"/>
        <v>Playoffs</v>
      </c>
      <c r="N1184" s="239" t="str">
        <f t="shared" si="26"/>
        <v/>
      </c>
      <c r="O1184" s="6">
        <f>VLOOKUP(D1184,'Mapped Opponent'!$G$4:$H$22,2,0)</f>
        <v>17</v>
      </c>
      <c r="P1184" s="6"/>
      <c r="Q1184" s="6" t="str">
        <f t="shared" si="4"/>
        <v>Week 17</v>
      </c>
      <c r="R1184" s="6" t="str">
        <f t="shared" si="5"/>
        <v>2017Round 3</v>
      </c>
      <c r="S1184" s="6">
        <f>IFERROR(__xludf.DUMMYFUNCTION("rank(J1184,FILTER(J:J,R:R=R1184))"),1.0)</f>
        <v>1</v>
      </c>
      <c r="T1184" s="6">
        <f t="shared" si="6"/>
        <v>11</v>
      </c>
      <c r="U1184" s="6">
        <f t="shared" si="7"/>
        <v>1</v>
      </c>
      <c r="V1184" s="42">
        <f>averageif(AllData!A:A,B1184,AllData!R:R)/vlookup(B1184,AllData!A:O,15,0)</f>
        <v>90.17282051</v>
      </c>
      <c r="W1184" s="6"/>
    </row>
    <row r="1185" ht="14.25" customHeight="1">
      <c r="A1185" s="6" t="str">
        <f t="shared" si="1"/>
        <v>2017Pierson17</v>
      </c>
      <c r="B1185" s="59">
        <v>2017.0</v>
      </c>
      <c r="C1185" s="13" t="s">
        <v>92</v>
      </c>
      <c r="D1185" s="13" t="s">
        <v>154</v>
      </c>
      <c r="E1185" s="34"/>
      <c r="F1185" s="6"/>
      <c r="H1185" s="6"/>
      <c r="I1185" s="35" t="str">
        <f>IFERROR(IFERROR(IFERROR(VLOOKUP(B1185&amp;C1185&amp;Q1185,'New Weekly Paste'!A:M,10,0),VLOOKUP(B1185&amp;C1185&amp;Q1185,'New Weekly Paste'!B:O,6,0)),""),"")</f>
        <v/>
      </c>
      <c r="J1185" s="239">
        <f>IFERROR(IFERROR(VLOOKUP(B1185&amp;C1185&amp;Q1185,'New Weekly Paste'!A:M,8,0),VLOOKUP(B1185&amp;C1185&amp;Q1185,'New Weekly Paste'!B:O,10,0)),0)</f>
        <v>0</v>
      </c>
      <c r="K1185" s="239">
        <f>IFERROR(IFERROR(VLOOKUP(B1185&amp;I1185&amp;Q1185,'New Weekly Paste'!A:M,8,0),VLOOKUP(B1185&amp;I1185&amp;Q1185,'New Weekly Paste'!B:O,10,0)),0)</f>
        <v>0</v>
      </c>
      <c r="L1185" s="239">
        <f t="shared" si="25"/>
        <v>0</v>
      </c>
      <c r="M1185" s="36" t="str">
        <f t="shared" si="3"/>
        <v>Playoffs</v>
      </c>
      <c r="N1185" s="239" t="str">
        <f t="shared" si="26"/>
        <v/>
      </c>
      <c r="O1185" s="6">
        <f>VLOOKUP(D1185,'Mapped Opponent'!$G$4:$H$22,2,0)</f>
        <v>17</v>
      </c>
      <c r="P1185" s="6"/>
      <c r="Q1185" s="6" t="str">
        <f t="shared" si="4"/>
        <v>Week 17</v>
      </c>
      <c r="R1185" s="6" t="str">
        <f t="shared" si="5"/>
        <v>2017Round 3</v>
      </c>
      <c r="S1185" s="6">
        <f>IFERROR(__xludf.DUMMYFUNCTION("rank(J1185,FILTER(J:J,R:R=R1185))"),1.0)</f>
        <v>1</v>
      </c>
      <c r="T1185" s="6">
        <f t="shared" si="6"/>
        <v>11</v>
      </c>
      <c r="U1185" s="6">
        <f t="shared" si="7"/>
        <v>1</v>
      </c>
      <c r="V1185" s="42">
        <f>averageif(AllData!A:A,B1185,AllData!R:R)/vlookup(B1185,AllData!A:O,15,0)</f>
        <v>90.17282051</v>
      </c>
      <c r="W1185" s="6"/>
    </row>
    <row r="1186" ht="14.25" customHeight="1">
      <c r="A1186" s="6" t="str">
        <f t="shared" si="1"/>
        <v>2017Cock17</v>
      </c>
      <c r="B1186" s="59">
        <v>2017.0</v>
      </c>
      <c r="C1186" s="13" t="s">
        <v>72</v>
      </c>
      <c r="D1186" s="13" t="s">
        <v>154</v>
      </c>
      <c r="E1186" s="34"/>
      <c r="F1186" s="6"/>
      <c r="H1186" s="6"/>
      <c r="I1186" s="35" t="str">
        <f>IFERROR(IFERROR(IFERROR(VLOOKUP(B1186&amp;C1186&amp;Q1186,'New Weekly Paste'!A:M,10,0),VLOOKUP(B1186&amp;C1186&amp;Q1186,'New Weekly Paste'!B:O,6,0)),""),"")</f>
        <v/>
      </c>
      <c r="J1186" s="239">
        <f>IFERROR(IFERROR(VLOOKUP(B1186&amp;C1186&amp;Q1186,'New Weekly Paste'!A:M,8,0),VLOOKUP(B1186&amp;C1186&amp;Q1186,'New Weekly Paste'!B:O,10,0)),0)</f>
        <v>0</v>
      </c>
      <c r="K1186" s="239">
        <f>IFERROR(IFERROR(VLOOKUP(B1186&amp;I1186&amp;Q1186,'New Weekly Paste'!A:M,8,0),VLOOKUP(B1186&amp;I1186&amp;Q1186,'New Weekly Paste'!B:O,10,0)),0)</f>
        <v>0</v>
      </c>
      <c r="L1186" s="239">
        <f t="shared" si="25"/>
        <v>0</v>
      </c>
      <c r="M1186" s="36" t="str">
        <f t="shared" si="3"/>
        <v>Playoffs</v>
      </c>
      <c r="N1186" s="239" t="str">
        <f t="shared" si="26"/>
        <v/>
      </c>
      <c r="O1186" s="6">
        <f>VLOOKUP(D1186,'Mapped Opponent'!$G$4:$H$22,2,0)</f>
        <v>17</v>
      </c>
      <c r="P1186" s="6"/>
      <c r="Q1186" s="6" t="str">
        <f t="shared" si="4"/>
        <v>Week 17</v>
      </c>
      <c r="R1186" s="6" t="str">
        <f t="shared" si="5"/>
        <v>2017Round 3</v>
      </c>
      <c r="S1186" s="6">
        <f>IFERROR(__xludf.DUMMYFUNCTION("rank(J1186,FILTER(J:J,R:R=R1186))"),1.0)</f>
        <v>1</v>
      </c>
      <c r="T1186" s="6">
        <f t="shared" si="6"/>
        <v>11</v>
      </c>
      <c r="U1186" s="6">
        <f t="shared" si="7"/>
        <v>1</v>
      </c>
      <c r="V1186" s="42">
        <f>averageif(AllData!A:A,B1186,AllData!R:R)/vlookup(B1186,AllData!A:O,15,0)</f>
        <v>90.17282051</v>
      </c>
      <c r="W1186" s="6"/>
    </row>
    <row r="1187" ht="14.25" customHeight="1">
      <c r="A1187" s="6" t="str">
        <f t="shared" si="1"/>
        <v>2017Tayski17</v>
      </c>
      <c r="B1187" s="59">
        <v>2017.0</v>
      </c>
      <c r="C1187" s="13" t="s">
        <v>52</v>
      </c>
      <c r="D1187" s="13" t="s">
        <v>154</v>
      </c>
      <c r="E1187" s="34"/>
      <c r="F1187" s="6"/>
      <c r="H1187" s="6"/>
      <c r="I1187" s="35" t="str">
        <f>IFERROR(IFERROR(IFERROR(VLOOKUP(B1187&amp;C1187&amp;Q1187,'New Weekly Paste'!A:M,10,0),VLOOKUP(B1187&amp;C1187&amp;Q1187,'New Weekly Paste'!B:O,6,0)),""),"")</f>
        <v/>
      </c>
      <c r="J1187" s="239">
        <f>IFERROR(IFERROR(VLOOKUP(B1187&amp;C1187&amp;Q1187,'New Weekly Paste'!A:M,8,0),VLOOKUP(B1187&amp;C1187&amp;Q1187,'New Weekly Paste'!B:O,10,0)),0)</f>
        <v>0</v>
      </c>
      <c r="K1187" s="239">
        <f>IFERROR(IFERROR(VLOOKUP(B1187&amp;I1187&amp;Q1187,'New Weekly Paste'!A:M,8,0),VLOOKUP(B1187&amp;I1187&amp;Q1187,'New Weekly Paste'!B:O,10,0)),0)</f>
        <v>0</v>
      </c>
      <c r="L1187" s="239">
        <f t="shared" si="25"/>
        <v>0</v>
      </c>
      <c r="M1187" s="36" t="str">
        <f t="shared" si="3"/>
        <v>Playoffs</v>
      </c>
      <c r="N1187" s="239" t="str">
        <f t="shared" si="26"/>
        <v/>
      </c>
      <c r="O1187" s="6">
        <f>VLOOKUP(D1187,'Mapped Opponent'!$G$4:$H$22,2,0)</f>
        <v>17</v>
      </c>
      <c r="P1187" s="6"/>
      <c r="Q1187" s="6" t="str">
        <f t="shared" si="4"/>
        <v>Week 17</v>
      </c>
      <c r="R1187" s="6" t="str">
        <f t="shared" si="5"/>
        <v>2017Round 3</v>
      </c>
      <c r="S1187" s="6">
        <f>IFERROR(__xludf.DUMMYFUNCTION("rank(J1187,FILTER(J:J,R:R=R1187))"),1.0)</f>
        <v>1</v>
      </c>
      <c r="T1187" s="6">
        <f t="shared" si="6"/>
        <v>11</v>
      </c>
      <c r="U1187" s="6">
        <f t="shared" si="7"/>
        <v>1</v>
      </c>
      <c r="V1187" s="42">
        <f>averageif(AllData!A:A,B1187,AllData!R:R)/vlookup(B1187,AllData!A:O,15,0)</f>
        <v>90.17282051</v>
      </c>
      <c r="W1187" s="6"/>
    </row>
    <row r="1188" ht="14.25" customHeight="1">
      <c r="A1188" s="6" t="str">
        <f t="shared" si="1"/>
        <v>2017KnardDawg17</v>
      </c>
      <c r="B1188" s="59">
        <v>2017.0</v>
      </c>
      <c r="C1188" s="13" t="s">
        <v>86</v>
      </c>
      <c r="D1188" s="13" t="s">
        <v>154</v>
      </c>
      <c r="E1188" s="34"/>
      <c r="F1188" s="6"/>
      <c r="H1188" s="6"/>
      <c r="I1188" s="35" t="str">
        <f>IFERROR(IFERROR(IFERROR(VLOOKUP(B1188&amp;C1188&amp;Q1188,'New Weekly Paste'!A:M,10,0),VLOOKUP(B1188&amp;C1188&amp;Q1188,'New Weekly Paste'!B:O,6,0)),""),"")</f>
        <v/>
      </c>
      <c r="J1188" s="239">
        <f>IFERROR(IFERROR(VLOOKUP(B1188&amp;C1188&amp;Q1188,'New Weekly Paste'!A:M,8,0),VLOOKUP(B1188&amp;C1188&amp;Q1188,'New Weekly Paste'!B:O,10,0)),0)</f>
        <v>0</v>
      </c>
      <c r="K1188" s="239">
        <f>IFERROR(IFERROR(VLOOKUP(B1188&amp;I1188&amp;Q1188,'New Weekly Paste'!A:M,8,0),VLOOKUP(B1188&amp;I1188&amp;Q1188,'New Weekly Paste'!B:O,10,0)),0)</f>
        <v>0</v>
      </c>
      <c r="L1188" s="239">
        <f t="shared" si="25"/>
        <v>0</v>
      </c>
      <c r="M1188" s="36" t="str">
        <f t="shared" si="3"/>
        <v>Playoffs</v>
      </c>
      <c r="N1188" s="239" t="str">
        <f t="shared" si="26"/>
        <v/>
      </c>
      <c r="O1188" s="6">
        <f>VLOOKUP(D1188,'Mapped Opponent'!$G$4:$H$22,2,0)</f>
        <v>17</v>
      </c>
      <c r="P1188" s="6"/>
      <c r="Q1188" s="6" t="str">
        <f t="shared" si="4"/>
        <v>Week 17</v>
      </c>
      <c r="R1188" s="6" t="str">
        <f t="shared" si="5"/>
        <v>2017Round 3</v>
      </c>
      <c r="S1188" s="6">
        <f>IFERROR(__xludf.DUMMYFUNCTION("rank(J1188,FILTER(J:J,R:R=R1188))"),1.0)</f>
        <v>1</v>
      </c>
      <c r="T1188" s="6">
        <f t="shared" si="6"/>
        <v>11</v>
      </c>
      <c r="U1188" s="6">
        <f t="shared" si="7"/>
        <v>1</v>
      </c>
      <c r="V1188" s="42">
        <f>averageif(AllData!A:A,B1188,AllData!R:R)/vlookup(B1188,AllData!A:O,15,0)</f>
        <v>90.17282051</v>
      </c>
      <c r="W1188" s="6"/>
    </row>
    <row r="1189" ht="14.25" customHeight="1">
      <c r="A1189" s="6" t="str">
        <f t="shared" si="1"/>
        <v>2017T-How17</v>
      </c>
      <c r="B1189" s="59">
        <v>2017.0</v>
      </c>
      <c r="C1189" s="13" t="s">
        <v>82</v>
      </c>
      <c r="D1189" s="13" t="s">
        <v>154</v>
      </c>
      <c r="E1189" s="34"/>
      <c r="F1189" s="6"/>
      <c r="H1189" s="6"/>
      <c r="I1189" s="35" t="str">
        <f>IFERROR(IFERROR(IFERROR(VLOOKUP(B1189&amp;C1189&amp;Q1189,'New Weekly Paste'!A:M,10,0),VLOOKUP(B1189&amp;C1189&amp;Q1189,'New Weekly Paste'!B:O,6,0)),""),"")</f>
        <v/>
      </c>
      <c r="J1189" s="239">
        <f>IFERROR(IFERROR(VLOOKUP(B1189&amp;C1189&amp;Q1189,'New Weekly Paste'!A:M,8,0),VLOOKUP(B1189&amp;C1189&amp;Q1189,'New Weekly Paste'!B:O,10,0)),0)</f>
        <v>0</v>
      </c>
      <c r="K1189" s="239">
        <f>IFERROR(IFERROR(VLOOKUP(B1189&amp;I1189&amp;Q1189,'New Weekly Paste'!A:M,8,0),VLOOKUP(B1189&amp;I1189&amp;Q1189,'New Weekly Paste'!B:O,10,0)),0)</f>
        <v>0</v>
      </c>
      <c r="L1189" s="239">
        <f t="shared" si="25"/>
        <v>0</v>
      </c>
      <c r="M1189" s="36" t="str">
        <f t="shared" si="3"/>
        <v>Playoffs</v>
      </c>
      <c r="N1189" s="239" t="str">
        <f t="shared" si="26"/>
        <v/>
      </c>
      <c r="O1189" s="6">
        <f>VLOOKUP(D1189,'Mapped Opponent'!$G$4:$H$22,2,0)</f>
        <v>17</v>
      </c>
      <c r="P1189" s="6"/>
      <c r="Q1189" s="6" t="str">
        <f t="shared" si="4"/>
        <v>Week 17</v>
      </c>
      <c r="R1189" s="6" t="str">
        <f t="shared" si="5"/>
        <v>2017Round 3</v>
      </c>
      <c r="S1189" s="6">
        <f>IFERROR(__xludf.DUMMYFUNCTION("rank(J1189,FILTER(J:J,R:R=R1189))"),1.0)</f>
        <v>1</v>
      </c>
      <c r="T1189" s="6">
        <f t="shared" si="6"/>
        <v>11</v>
      </c>
      <c r="U1189" s="6">
        <f t="shared" si="7"/>
        <v>1</v>
      </c>
      <c r="V1189" s="42">
        <f>averageif(AllData!A:A,B1189,AllData!R:R)/vlookup(B1189,AllData!A:O,15,0)</f>
        <v>90.17282051</v>
      </c>
      <c r="W1189" s="6"/>
    </row>
    <row r="1190" ht="14.25" customHeight="1">
      <c r="A1190" s="6" t="str">
        <f t="shared" si="1"/>
        <v>2017Hudspeath1</v>
      </c>
      <c r="B1190" s="59">
        <v>2017.0</v>
      </c>
      <c r="C1190" s="13" t="s">
        <v>39</v>
      </c>
      <c r="D1190" s="13" t="s">
        <v>129</v>
      </c>
      <c r="E1190" s="34"/>
      <c r="F1190" s="6"/>
      <c r="H1190" s="6"/>
      <c r="I1190" s="35" t="str">
        <f>IFERROR(IFERROR(IFERROR(VLOOKUP(B1190&amp;C1190&amp;Q1190,'New Weekly Paste'!A:M,10,0),VLOOKUP(B1190&amp;C1190&amp;Q1190,'New Weekly Paste'!B:O,6,0)),""),"")</f>
        <v>KnardDawg</v>
      </c>
      <c r="J1190" s="239">
        <f>IFERROR(IFERROR(VLOOKUP(B1190&amp;C1190&amp;Q1190,'New Weekly Paste'!A:M,8,0),VLOOKUP(B1190&amp;C1190&amp;Q1190,'New Weekly Paste'!B:O,10,0)),0)</f>
        <v>85.62</v>
      </c>
      <c r="K1190" s="239">
        <f>IFERROR(IFERROR(VLOOKUP(B1190&amp;I1190&amp;Q1190,'New Weekly Paste'!A:M,8,0),VLOOKUP(B1190&amp;I1190&amp;Q1190,'New Weekly Paste'!B:O,10,0)),0)</f>
        <v>108.44</v>
      </c>
      <c r="L1190" s="239">
        <f t="shared" si="25"/>
        <v>0</v>
      </c>
      <c r="M1190" s="36" t="str">
        <f t="shared" si="3"/>
        <v>Regular Season</v>
      </c>
      <c r="N1190" s="239" t="str">
        <f t="shared" si="26"/>
        <v>KnardDawg</v>
      </c>
      <c r="O1190" s="6">
        <f>VLOOKUP(D1190,'Mapped Opponent'!$G$4:$H$22,2,0)</f>
        <v>1</v>
      </c>
      <c r="P1190" s="6"/>
      <c r="Q1190" s="6" t="str">
        <f t="shared" si="4"/>
        <v>Week 1</v>
      </c>
      <c r="R1190" s="6" t="str">
        <f t="shared" si="5"/>
        <v>2017Week 1</v>
      </c>
      <c r="S1190" s="6">
        <f>IFERROR(__xludf.DUMMYFUNCTION("rank(J1190,FILTER(J:J,R:R=R1190))"),6.0)</f>
        <v>6</v>
      </c>
      <c r="T1190" s="6">
        <f t="shared" si="6"/>
        <v>6</v>
      </c>
      <c r="U1190" s="6">
        <f t="shared" si="7"/>
        <v>6</v>
      </c>
      <c r="V1190" s="42">
        <f>averageif(AllData!A:A,B1190,AllData!R:R)/vlookup(B1190,AllData!A:O,15,0)</f>
        <v>90.17282051</v>
      </c>
      <c r="W1190" s="6"/>
    </row>
    <row r="1191" ht="14.25" customHeight="1">
      <c r="A1191" s="6" t="str">
        <f t="shared" si="1"/>
        <v>2017Salty1</v>
      </c>
      <c r="B1191" s="59">
        <v>2017.0</v>
      </c>
      <c r="C1191" s="13" t="s">
        <v>76</v>
      </c>
      <c r="D1191" s="13" t="s">
        <v>129</v>
      </c>
      <c r="E1191" s="34"/>
      <c r="F1191" s="6"/>
      <c r="H1191" s="6"/>
      <c r="I1191" s="35" t="str">
        <f>IFERROR(IFERROR(IFERROR(VLOOKUP(B1191&amp;C1191&amp;Q1191,'New Weekly Paste'!A:M,10,0),VLOOKUP(B1191&amp;C1191&amp;Q1191,'New Weekly Paste'!B:O,6,0)),""),"")</f>
        <v>Pierson</v>
      </c>
      <c r="J1191" s="239">
        <f>IFERROR(IFERROR(VLOOKUP(B1191&amp;C1191&amp;Q1191,'New Weekly Paste'!A:M,8,0),VLOOKUP(B1191&amp;C1191&amp;Q1191,'New Weekly Paste'!B:O,10,0)),0)</f>
        <v>124.34</v>
      </c>
      <c r="K1191" s="239">
        <f>IFERROR(IFERROR(VLOOKUP(B1191&amp;I1191&amp;Q1191,'New Weekly Paste'!A:M,8,0),VLOOKUP(B1191&amp;I1191&amp;Q1191,'New Weekly Paste'!B:O,10,0)),0)</f>
        <v>77.34</v>
      </c>
      <c r="L1191" s="239">
        <f t="shared" si="25"/>
        <v>1</v>
      </c>
      <c r="M1191" s="36" t="str">
        <f t="shared" si="3"/>
        <v>Regular Season</v>
      </c>
      <c r="N1191" s="239" t="str">
        <f t="shared" si="26"/>
        <v>Pierson</v>
      </c>
      <c r="O1191" s="6">
        <f>VLOOKUP(D1191,'Mapped Opponent'!$G$4:$H$22,2,0)</f>
        <v>1</v>
      </c>
      <c r="P1191" s="6"/>
      <c r="Q1191" s="6" t="str">
        <f t="shared" si="4"/>
        <v>Week 1</v>
      </c>
      <c r="R1191" s="6" t="str">
        <f t="shared" si="5"/>
        <v>2017Week 1</v>
      </c>
      <c r="S1191" s="6">
        <f>IFERROR(__xludf.DUMMYFUNCTION("rank(J1191,FILTER(J:J,R:R=R1191))"),1.0)</f>
        <v>1</v>
      </c>
      <c r="T1191" s="6">
        <f t="shared" si="6"/>
        <v>11</v>
      </c>
      <c r="U1191" s="6">
        <f t="shared" si="7"/>
        <v>1</v>
      </c>
      <c r="V1191" s="42">
        <f>averageif(AllData!A:A,B1191,AllData!R:R)/vlookup(B1191,AllData!A:O,15,0)</f>
        <v>90.17282051</v>
      </c>
      <c r="W1191" s="6"/>
    </row>
    <row r="1192" ht="14.25" customHeight="1">
      <c r="A1192" s="6" t="str">
        <f t="shared" si="1"/>
        <v>2017Fellows1</v>
      </c>
      <c r="B1192" s="59">
        <v>2017.0</v>
      </c>
      <c r="C1192" s="13" t="s">
        <v>79</v>
      </c>
      <c r="D1192" s="13" t="s">
        <v>129</v>
      </c>
      <c r="E1192" s="34"/>
      <c r="F1192" s="6"/>
      <c r="H1192" s="6"/>
      <c r="I1192" s="35" t="str">
        <f>IFERROR(IFERROR(IFERROR(VLOOKUP(B1192&amp;C1192&amp;Q1192,'New Weekly Paste'!A:M,10,0),VLOOKUP(B1192&amp;C1192&amp;Q1192,'New Weekly Paste'!B:O,6,0)),""),"")</f>
        <v>Buser</v>
      </c>
      <c r="J1192" s="239">
        <f>IFERROR(IFERROR(VLOOKUP(B1192&amp;C1192&amp;Q1192,'New Weekly Paste'!A:M,8,0),VLOOKUP(B1192&amp;C1192&amp;Q1192,'New Weekly Paste'!B:O,10,0)),0)</f>
        <v>81.98</v>
      </c>
      <c r="K1192" s="239">
        <f>IFERROR(IFERROR(VLOOKUP(B1192&amp;I1192&amp;Q1192,'New Weekly Paste'!A:M,8,0),VLOOKUP(B1192&amp;I1192&amp;Q1192,'New Weekly Paste'!B:O,10,0)),0)</f>
        <v>89.6</v>
      </c>
      <c r="L1192" s="239">
        <f t="shared" si="25"/>
        <v>0</v>
      </c>
      <c r="M1192" s="36" t="str">
        <f t="shared" si="3"/>
        <v>Regular Season</v>
      </c>
      <c r="N1192" s="239" t="str">
        <f t="shared" si="26"/>
        <v>Buser</v>
      </c>
      <c r="O1192" s="6">
        <f>VLOOKUP(D1192,'Mapped Opponent'!$G$4:$H$22,2,0)</f>
        <v>1</v>
      </c>
      <c r="P1192" s="6"/>
      <c r="Q1192" s="6" t="str">
        <f t="shared" si="4"/>
        <v>Week 1</v>
      </c>
      <c r="R1192" s="6" t="str">
        <f t="shared" si="5"/>
        <v>2017Week 1</v>
      </c>
      <c r="S1192" s="6">
        <f>IFERROR(__xludf.DUMMYFUNCTION("rank(J1192,FILTER(J:J,R:R=R1192))"),7.0)</f>
        <v>7</v>
      </c>
      <c r="T1192" s="6">
        <f t="shared" si="6"/>
        <v>5</v>
      </c>
      <c r="U1192" s="6">
        <f t="shared" si="7"/>
        <v>7</v>
      </c>
      <c r="V1192" s="42">
        <f>averageif(AllData!A:A,B1192,AllData!R:R)/vlookup(B1192,AllData!A:O,15,0)</f>
        <v>90.17282051</v>
      </c>
      <c r="W1192" s="6"/>
    </row>
    <row r="1193" ht="14.25" customHeight="1">
      <c r="A1193" s="6" t="str">
        <f t="shared" si="1"/>
        <v>2017Shep1</v>
      </c>
      <c r="B1193" s="59">
        <v>2017.0</v>
      </c>
      <c r="C1193" s="13" t="s">
        <v>89</v>
      </c>
      <c r="D1193" s="13" t="s">
        <v>129</v>
      </c>
      <c r="E1193" s="34"/>
      <c r="F1193" s="6"/>
      <c r="H1193" s="6"/>
      <c r="I1193" s="35" t="str">
        <f>IFERROR(IFERROR(IFERROR(VLOOKUP(B1193&amp;C1193&amp;Q1193,'New Weekly Paste'!A:M,10,0),VLOOKUP(B1193&amp;C1193&amp;Q1193,'New Weekly Paste'!B:O,6,0)),""),"")</f>
        <v>Tayski</v>
      </c>
      <c r="J1193" s="239">
        <f>IFERROR(IFERROR(VLOOKUP(B1193&amp;C1193&amp;Q1193,'New Weekly Paste'!A:M,8,0),VLOOKUP(B1193&amp;C1193&amp;Q1193,'New Weekly Paste'!B:O,10,0)),0)</f>
        <v>80.22</v>
      </c>
      <c r="K1193" s="239">
        <f>IFERROR(IFERROR(VLOOKUP(B1193&amp;I1193&amp;Q1193,'New Weekly Paste'!A:M,8,0),VLOOKUP(B1193&amp;I1193&amp;Q1193,'New Weekly Paste'!B:O,10,0)),0)</f>
        <v>47.74</v>
      </c>
      <c r="L1193" s="239">
        <f t="shared" si="25"/>
        <v>1</v>
      </c>
      <c r="M1193" s="36" t="str">
        <f t="shared" si="3"/>
        <v>Regular Season</v>
      </c>
      <c r="N1193" s="239" t="str">
        <f t="shared" si="26"/>
        <v>Tayski</v>
      </c>
      <c r="O1193" s="6">
        <f>VLOOKUP(D1193,'Mapped Opponent'!$G$4:$H$22,2,0)</f>
        <v>1</v>
      </c>
      <c r="P1193" s="6"/>
      <c r="Q1193" s="6" t="str">
        <f t="shared" si="4"/>
        <v>Week 1</v>
      </c>
      <c r="R1193" s="6" t="str">
        <f t="shared" si="5"/>
        <v>2017Week 1</v>
      </c>
      <c r="S1193" s="6">
        <f>IFERROR(__xludf.DUMMYFUNCTION("rank(J1193,FILTER(J:J,R:R=R1193))"),9.0)</f>
        <v>9</v>
      </c>
      <c r="T1193" s="6">
        <f t="shared" si="6"/>
        <v>3</v>
      </c>
      <c r="U1193" s="6">
        <f t="shared" si="7"/>
        <v>9</v>
      </c>
      <c r="V1193" s="42">
        <f>averageif(AllData!A:A,B1193,AllData!R:R)/vlookup(B1193,AllData!A:O,15,0)</f>
        <v>90.17282051</v>
      </c>
      <c r="W1193" s="6"/>
    </row>
    <row r="1194" ht="14.25" customHeight="1">
      <c r="A1194" s="6" t="str">
        <f t="shared" si="1"/>
        <v>2017Riley1</v>
      </c>
      <c r="B1194" s="59">
        <v>2017.0</v>
      </c>
      <c r="C1194" s="13" t="s">
        <v>67</v>
      </c>
      <c r="D1194" s="13" t="s">
        <v>129</v>
      </c>
      <c r="E1194" s="34"/>
      <c r="F1194" s="6"/>
      <c r="H1194" s="6"/>
      <c r="I1194" s="35" t="str">
        <f>IFERROR(IFERROR(IFERROR(VLOOKUP(B1194&amp;C1194&amp;Q1194,'New Weekly Paste'!A:M,10,0),VLOOKUP(B1194&amp;C1194&amp;Q1194,'New Weekly Paste'!B:O,6,0)),""),"")</f>
        <v>T-How</v>
      </c>
      <c r="J1194" s="239">
        <f>IFERROR(IFERROR(VLOOKUP(B1194&amp;C1194&amp;Q1194,'New Weekly Paste'!A:M,8,0),VLOOKUP(B1194&amp;C1194&amp;Q1194,'New Weekly Paste'!B:O,10,0)),0)</f>
        <v>60.68</v>
      </c>
      <c r="K1194" s="239">
        <f>IFERROR(IFERROR(VLOOKUP(B1194&amp;I1194&amp;Q1194,'New Weekly Paste'!A:M,8,0),VLOOKUP(B1194&amp;I1194&amp;Q1194,'New Weekly Paste'!B:O,10,0)),0)</f>
        <v>80.7</v>
      </c>
      <c r="L1194" s="239">
        <f t="shared" si="25"/>
        <v>0</v>
      </c>
      <c r="M1194" s="36" t="str">
        <f t="shared" si="3"/>
        <v>Regular Season</v>
      </c>
      <c r="N1194" s="239" t="str">
        <f t="shared" si="26"/>
        <v>T-How</v>
      </c>
      <c r="O1194" s="6">
        <f>VLOOKUP(D1194,'Mapped Opponent'!$G$4:$H$22,2,0)</f>
        <v>1</v>
      </c>
      <c r="P1194" s="6"/>
      <c r="Q1194" s="6" t="str">
        <f t="shared" si="4"/>
        <v>Week 1</v>
      </c>
      <c r="R1194" s="6" t="str">
        <f t="shared" si="5"/>
        <v>2017Week 1</v>
      </c>
      <c r="S1194" s="6">
        <f>IFERROR(__xludf.DUMMYFUNCTION("rank(J1194,FILTER(J:J,R:R=R1194))"),11.0)</f>
        <v>11</v>
      </c>
      <c r="T1194" s="6">
        <f t="shared" si="6"/>
        <v>1</v>
      </c>
      <c r="U1194" s="6">
        <f t="shared" si="7"/>
        <v>11</v>
      </c>
      <c r="V1194" s="42">
        <f>averageif(AllData!A:A,B1194,AllData!R:R)/vlookup(B1194,AllData!A:O,15,0)</f>
        <v>90.17282051</v>
      </c>
      <c r="W1194" s="6"/>
    </row>
    <row r="1195" ht="14.25" customHeight="1">
      <c r="A1195" s="6" t="str">
        <f t="shared" si="1"/>
        <v>2017Rooney/Jackson1</v>
      </c>
      <c r="B1195" s="59">
        <v>2017.0</v>
      </c>
      <c r="C1195" s="13" t="s">
        <v>57</v>
      </c>
      <c r="D1195" s="13" t="s">
        <v>129</v>
      </c>
      <c r="E1195" s="34"/>
      <c r="F1195" s="6"/>
      <c r="H1195" s="6"/>
      <c r="I1195" s="35" t="str">
        <f>IFERROR(IFERROR(IFERROR(VLOOKUP(B1195&amp;C1195&amp;Q1195,'New Weekly Paste'!A:M,10,0),VLOOKUP(B1195&amp;C1195&amp;Q1195,'New Weekly Paste'!B:O,6,0)),""),"")</f>
        <v>Cock</v>
      </c>
      <c r="J1195" s="239">
        <f>IFERROR(IFERROR(VLOOKUP(B1195&amp;C1195&amp;Q1195,'New Weekly Paste'!A:M,8,0),VLOOKUP(B1195&amp;C1195&amp;Q1195,'New Weekly Paste'!B:O,10,0)),0)</f>
        <v>94.98</v>
      </c>
      <c r="K1195" s="239">
        <f>IFERROR(IFERROR(VLOOKUP(B1195&amp;I1195&amp;Q1195,'New Weekly Paste'!A:M,8,0),VLOOKUP(B1195&amp;I1195&amp;Q1195,'New Weekly Paste'!B:O,10,0)),0)</f>
        <v>94.54</v>
      </c>
      <c r="L1195" s="239">
        <f t="shared" si="25"/>
        <v>1</v>
      </c>
      <c r="M1195" s="36" t="str">
        <f t="shared" si="3"/>
        <v>Regular Season</v>
      </c>
      <c r="N1195" s="239" t="str">
        <f t="shared" si="26"/>
        <v>Cock</v>
      </c>
      <c r="O1195" s="6">
        <f>VLOOKUP(D1195,'Mapped Opponent'!$G$4:$H$22,2,0)</f>
        <v>1</v>
      </c>
      <c r="P1195" s="6"/>
      <c r="Q1195" s="6" t="str">
        <f t="shared" si="4"/>
        <v>Week 1</v>
      </c>
      <c r="R1195" s="6" t="str">
        <f t="shared" si="5"/>
        <v>2017Week 1</v>
      </c>
      <c r="S1195" s="6">
        <f>IFERROR(__xludf.DUMMYFUNCTION("rank(J1195,FILTER(J:J,R:R=R1195))"),3.0)</f>
        <v>3</v>
      </c>
      <c r="T1195" s="6">
        <f t="shared" si="6"/>
        <v>9</v>
      </c>
      <c r="U1195" s="6">
        <f t="shared" si="7"/>
        <v>3</v>
      </c>
      <c r="V1195" s="42">
        <f>averageif(AllData!A:A,B1195,AllData!R:R)/vlookup(B1195,AllData!A:O,15,0)</f>
        <v>90.17282051</v>
      </c>
      <c r="W1195" s="6"/>
    </row>
    <row r="1196" ht="14.25" customHeight="1">
      <c r="A1196" s="6" t="str">
        <f t="shared" si="1"/>
        <v>2017Buser1</v>
      </c>
      <c r="B1196" s="59">
        <v>2017.0</v>
      </c>
      <c r="C1196" s="13" t="s">
        <v>47</v>
      </c>
      <c r="D1196" s="13" t="s">
        <v>129</v>
      </c>
      <c r="E1196" s="34"/>
      <c r="F1196" s="6"/>
      <c r="H1196" s="6"/>
      <c r="I1196" s="35" t="str">
        <f>IFERROR(IFERROR(IFERROR(VLOOKUP(B1196&amp;C1196&amp;Q1196,'New Weekly Paste'!A:M,10,0),VLOOKUP(B1196&amp;C1196&amp;Q1196,'New Weekly Paste'!B:O,6,0)),""),"")</f>
        <v>Fellows</v>
      </c>
      <c r="J1196" s="239">
        <f>IFERROR(IFERROR(VLOOKUP(B1196&amp;C1196&amp;Q1196,'New Weekly Paste'!A:M,8,0),VLOOKUP(B1196&amp;C1196&amp;Q1196,'New Weekly Paste'!B:O,10,0)),0)</f>
        <v>89.6</v>
      </c>
      <c r="K1196" s="239">
        <f>IFERROR(IFERROR(VLOOKUP(B1196&amp;I1196&amp;Q1196,'New Weekly Paste'!A:M,8,0),VLOOKUP(B1196&amp;I1196&amp;Q1196,'New Weekly Paste'!B:O,10,0)),0)</f>
        <v>81.98</v>
      </c>
      <c r="L1196" s="239">
        <f t="shared" si="25"/>
        <v>1</v>
      </c>
      <c r="M1196" s="36" t="str">
        <f t="shared" si="3"/>
        <v>Regular Season</v>
      </c>
      <c r="N1196" s="239" t="str">
        <f t="shared" si="26"/>
        <v>Fellows</v>
      </c>
      <c r="O1196" s="6">
        <f>VLOOKUP(D1196,'Mapped Opponent'!$G$4:$H$22,2,0)</f>
        <v>1</v>
      </c>
      <c r="P1196" s="6"/>
      <c r="Q1196" s="6" t="str">
        <f t="shared" si="4"/>
        <v>Week 1</v>
      </c>
      <c r="R1196" s="6" t="str">
        <f t="shared" si="5"/>
        <v>2017Week 1</v>
      </c>
      <c r="S1196" s="6">
        <f>IFERROR(__xludf.DUMMYFUNCTION("rank(J1196,FILTER(J:J,R:R=R1196))"),5.0)</f>
        <v>5</v>
      </c>
      <c r="T1196" s="6">
        <f t="shared" si="6"/>
        <v>7</v>
      </c>
      <c r="U1196" s="6">
        <f t="shared" si="7"/>
        <v>5</v>
      </c>
      <c r="V1196" s="42">
        <f>averageif(AllData!A:A,B1196,AllData!R:R)/vlookup(B1196,AllData!A:O,15,0)</f>
        <v>90.17282051</v>
      </c>
      <c r="W1196" s="6"/>
    </row>
    <row r="1197" ht="14.25" customHeight="1">
      <c r="A1197" s="6" t="str">
        <f t="shared" si="1"/>
        <v>2017Pierson1</v>
      </c>
      <c r="B1197" s="59">
        <v>2017.0</v>
      </c>
      <c r="C1197" s="13" t="s">
        <v>92</v>
      </c>
      <c r="D1197" s="13" t="s">
        <v>129</v>
      </c>
      <c r="E1197" s="34"/>
      <c r="F1197" s="6"/>
      <c r="H1197" s="6"/>
      <c r="I1197" s="35" t="str">
        <f>IFERROR(IFERROR(IFERROR(VLOOKUP(B1197&amp;C1197&amp;Q1197,'New Weekly Paste'!A:M,10,0),VLOOKUP(B1197&amp;C1197&amp;Q1197,'New Weekly Paste'!B:O,6,0)),""),"")</f>
        <v>Salty</v>
      </c>
      <c r="J1197" s="239">
        <f>IFERROR(IFERROR(VLOOKUP(B1197&amp;C1197&amp;Q1197,'New Weekly Paste'!A:M,8,0),VLOOKUP(B1197&amp;C1197&amp;Q1197,'New Weekly Paste'!B:O,10,0)),0)</f>
        <v>77.34</v>
      </c>
      <c r="K1197" s="239">
        <f>IFERROR(IFERROR(VLOOKUP(B1197&amp;I1197&amp;Q1197,'New Weekly Paste'!A:M,8,0),VLOOKUP(B1197&amp;I1197&amp;Q1197,'New Weekly Paste'!B:O,10,0)),0)</f>
        <v>124.34</v>
      </c>
      <c r="L1197" s="239">
        <f t="shared" si="25"/>
        <v>0</v>
      </c>
      <c r="M1197" s="36" t="str">
        <f t="shared" si="3"/>
        <v>Regular Season</v>
      </c>
      <c r="N1197" s="239" t="str">
        <f t="shared" si="26"/>
        <v>Salty</v>
      </c>
      <c r="O1197" s="6">
        <f>VLOOKUP(D1197,'Mapped Opponent'!$G$4:$H$22,2,0)</f>
        <v>1</v>
      </c>
      <c r="P1197" s="6"/>
      <c r="Q1197" s="6" t="str">
        <f t="shared" si="4"/>
        <v>Week 1</v>
      </c>
      <c r="R1197" s="6" t="str">
        <f t="shared" si="5"/>
        <v>2017Week 1</v>
      </c>
      <c r="S1197" s="6">
        <f>IFERROR(__xludf.DUMMYFUNCTION("rank(J1197,FILTER(J:J,R:R=R1197))"),10.0)</f>
        <v>10</v>
      </c>
      <c r="T1197" s="6">
        <f t="shared" si="6"/>
        <v>2</v>
      </c>
      <c r="U1197" s="6">
        <f t="shared" si="7"/>
        <v>10</v>
      </c>
      <c r="V1197" s="42">
        <f>averageif(AllData!A:A,B1197,AllData!R:R)/vlookup(B1197,AllData!A:O,15,0)</f>
        <v>90.17282051</v>
      </c>
      <c r="W1197" s="6"/>
    </row>
    <row r="1198" ht="14.25" customHeight="1">
      <c r="A1198" s="6" t="str">
        <f t="shared" si="1"/>
        <v>2017Cock1</v>
      </c>
      <c r="B1198" s="59">
        <v>2017.0</v>
      </c>
      <c r="C1198" s="13" t="s">
        <v>72</v>
      </c>
      <c r="D1198" s="13" t="s">
        <v>129</v>
      </c>
      <c r="E1198" s="34"/>
      <c r="F1198" s="6"/>
      <c r="H1198" s="6"/>
      <c r="I1198" s="35" t="str">
        <f>IFERROR(IFERROR(IFERROR(VLOOKUP(B1198&amp;C1198&amp;Q1198,'New Weekly Paste'!A:M,10,0),VLOOKUP(B1198&amp;C1198&amp;Q1198,'New Weekly Paste'!B:O,6,0)),""),"")</f>
        <v>Rooney/Jackson</v>
      </c>
      <c r="J1198" s="239">
        <f>IFERROR(IFERROR(VLOOKUP(B1198&amp;C1198&amp;Q1198,'New Weekly Paste'!A:M,8,0),VLOOKUP(B1198&amp;C1198&amp;Q1198,'New Weekly Paste'!B:O,10,0)),0)</f>
        <v>94.54</v>
      </c>
      <c r="K1198" s="239">
        <f>IFERROR(IFERROR(VLOOKUP(B1198&amp;I1198&amp;Q1198,'New Weekly Paste'!A:M,8,0),VLOOKUP(B1198&amp;I1198&amp;Q1198,'New Weekly Paste'!B:O,10,0)),0)</f>
        <v>94.98</v>
      </c>
      <c r="L1198" s="239">
        <f t="shared" si="25"/>
        <v>0</v>
      </c>
      <c r="M1198" s="36" t="str">
        <f t="shared" si="3"/>
        <v>Regular Season</v>
      </c>
      <c r="N1198" s="239" t="str">
        <f t="shared" si="26"/>
        <v>Rooney/Jackson</v>
      </c>
      <c r="O1198" s="6">
        <f>VLOOKUP(D1198,'Mapped Opponent'!$G$4:$H$22,2,0)</f>
        <v>1</v>
      </c>
      <c r="P1198" s="6"/>
      <c r="Q1198" s="6" t="str">
        <f t="shared" si="4"/>
        <v>Week 1</v>
      </c>
      <c r="R1198" s="6" t="str">
        <f t="shared" si="5"/>
        <v>2017Week 1</v>
      </c>
      <c r="S1198" s="6">
        <f>IFERROR(__xludf.DUMMYFUNCTION("rank(J1198,FILTER(J:J,R:R=R1198))"),4.0)</f>
        <v>4</v>
      </c>
      <c r="T1198" s="6">
        <f t="shared" si="6"/>
        <v>8</v>
      </c>
      <c r="U1198" s="6">
        <f t="shared" si="7"/>
        <v>4</v>
      </c>
      <c r="V1198" s="42">
        <f>averageif(AllData!A:A,B1198,AllData!R:R)/vlookup(B1198,AllData!A:O,15,0)</f>
        <v>90.17282051</v>
      </c>
      <c r="W1198" s="6"/>
    </row>
    <row r="1199" ht="14.25" customHeight="1">
      <c r="A1199" s="6" t="str">
        <f t="shared" si="1"/>
        <v>2017Tayski1</v>
      </c>
      <c r="B1199" s="59">
        <v>2017.0</v>
      </c>
      <c r="C1199" s="13" t="s">
        <v>52</v>
      </c>
      <c r="D1199" s="13" t="s">
        <v>129</v>
      </c>
      <c r="E1199" s="34"/>
      <c r="F1199" s="6"/>
      <c r="H1199" s="6"/>
      <c r="I1199" s="35" t="str">
        <f>IFERROR(IFERROR(IFERROR(VLOOKUP(B1199&amp;C1199&amp;Q1199,'New Weekly Paste'!A:M,10,0),VLOOKUP(B1199&amp;C1199&amp;Q1199,'New Weekly Paste'!B:O,6,0)),""),"")</f>
        <v>Shep</v>
      </c>
      <c r="J1199" s="239">
        <f>IFERROR(IFERROR(VLOOKUP(B1199&amp;C1199&amp;Q1199,'New Weekly Paste'!A:M,8,0),VLOOKUP(B1199&amp;C1199&amp;Q1199,'New Weekly Paste'!B:O,10,0)),0)</f>
        <v>47.74</v>
      </c>
      <c r="K1199" s="239">
        <f>IFERROR(IFERROR(VLOOKUP(B1199&amp;I1199&amp;Q1199,'New Weekly Paste'!A:M,8,0),VLOOKUP(B1199&amp;I1199&amp;Q1199,'New Weekly Paste'!B:O,10,0)),0)</f>
        <v>80.22</v>
      </c>
      <c r="L1199" s="239">
        <f t="shared" si="25"/>
        <v>0</v>
      </c>
      <c r="M1199" s="36" t="str">
        <f t="shared" si="3"/>
        <v>Regular Season</v>
      </c>
      <c r="N1199" s="239" t="str">
        <f t="shared" si="26"/>
        <v>Shep</v>
      </c>
      <c r="O1199" s="6">
        <f>VLOOKUP(D1199,'Mapped Opponent'!$G$4:$H$22,2,0)</f>
        <v>1</v>
      </c>
      <c r="P1199" s="6"/>
      <c r="Q1199" s="6" t="str">
        <f t="shared" si="4"/>
        <v>Week 1</v>
      </c>
      <c r="R1199" s="6" t="str">
        <f t="shared" si="5"/>
        <v>2017Week 1</v>
      </c>
      <c r="S1199" s="6">
        <f>IFERROR(__xludf.DUMMYFUNCTION("rank(J1199,FILTER(J:J,R:R=R1199))"),12.0)</f>
        <v>12</v>
      </c>
      <c r="T1199" s="6">
        <f t="shared" si="6"/>
        <v>0</v>
      </c>
      <c r="U1199" s="6">
        <f t="shared" si="7"/>
        <v>12</v>
      </c>
      <c r="V1199" s="42">
        <f>averageif(AllData!A:A,B1199,AllData!R:R)/vlookup(B1199,AllData!A:O,15,0)</f>
        <v>90.17282051</v>
      </c>
      <c r="W1199" s="6"/>
    </row>
    <row r="1200" ht="14.25" customHeight="1">
      <c r="A1200" s="6" t="str">
        <f t="shared" si="1"/>
        <v>2017KnardDawg1</v>
      </c>
      <c r="B1200" s="59">
        <v>2017.0</v>
      </c>
      <c r="C1200" s="13" t="s">
        <v>86</v>
      </c>
      <c r="D1200" s="13" t="s">
        <v>129</v>
      </c>
      <c r="E1200" s="34"/>
      <c r="F1200" s="6"/>
      <c r="H1200" s="6"/>
      <c r="I1200" s="35" t="str">
        <f>IFERROR(IFERROR(IFERROR(VLOOKUP(B1200&amp;C1200&amp;Q1200,'New Weekly Paste'!A:M,10,0),VLOOKUP(B1200&amp;C1200&amp;Q1200,'New Weekly Paste'!B:O,6,0)),""),"")</f>
        <v>Hudspeath</v>
      </c>
      <c r="J1200" s="239">
        <f>IFERROR(IFERROR(VLOOKUP(B1200&amp;C1200&amp;Q1200,'New Weekly Paste'!A:M,8,0),VLOOKUP(B1200&amp;C1200&amp;Q1200,'New Weekly Paste'!B:O,10,0)),0)</f>
        <v>108.44</v>
      </c>
      <c r="K1200" s="239">
        <f>IFERROR(IFERROR(VLOOKUP(B1200&amp;I1200&amp;Q1200,'New Weekly Paste'!A:M,8,0),VLOOKUP(B1200&amp;I1200&amp;Q1200,'New Weekly Paste'!B:O,10,0)),0)</f>
        <v>85.62</v>
      </c>
      <c r="L1200" s="239">
        <f t="shared" si="25"/>
        <v>1</v>
      </c>
      <c r="M1200" s="36" t="str">
        <f t="shared" si="3"/>
        <v>Regular Season</v>
      </c>
      <c r="N1200" s="239" t="str">
        <f t="shared" si="26"/>
        <v>Hudspeath</v>
      </c>
      <c r="O1200" s="6">
        <f>VLOOKUP(D1200,'Mapped Opponent'!$G$4:$H$22,2,0)</f>
        <v>1</v>
      </c>
      <c r="P1200" s="6"/>
      <c r="Q1200" s="6" t="str">
        <f t="shared" si="4"/>
        <v>Week 1</v>
      </c>
      <c r="R1200" s="6" t="str">
        <f t="shared" si="5"/>
        <v>2017Week 1</v>
      </c>
      <c r="S1200" s="6">
        <f>IFERROR(__xludf.DUMMYFUNCTION("rank(J1200,FILTER(J:J,R:R=R1200))"),2.0)</f>
        <v>2</v>
      </c>
      <c r="T1200" s="6">
        <f t="shared" si="6"/>
        <v>10</v>
      </c>
      <c r="U1200" s="6">
        <f t="shared" si="7"/>
        <v>2</v>
      </c>
      <c r="V1200" s="42">
        <f>averageif(AllData!A:A,B1200,AllData!R:R)/vlookup(B1200,AllData!A:O,15,0)</f>
        <v>90.17282051</v>
      </c>
      <c r="W1200" s="6"/>
    </row>
    <row r="1201" ht="14.25" customHeight="1">
      <c r="A1201" s="6" t="str">
        <f t="shared" si="1"/>
        <v>2017T-How1</v>
      </c>
      <c r="B1201" s="59">
        <v>2017.0</v>
      </c>
      <c r="C1201" s="13" t="s">
        <v>82</v>
      </c>
      <c r="D1201" s="13" t="s">
        <v>129</v>
      </c>
      <c r="E1201" s="34"/>
      <c r="F1201" s="6"/>
      <c r="H1201" s="6"/>
      <c r="I1201" s="35" t="str">
        <f>IFERROR(IFERROR(IFERROR(VLOOKUP(B1201&amp;C1201&amp;Q1201,'New Weekly Paste'!A:M,10,0),VLOOKUP(B1201&amp;C1201&amp;Q1201,'New Weekly Paste'!B:O,6,0)),""),"")</f>
        <v>Riley</v>
      </c>
      <c r="J1201" s="239">
        <f>IFERROR(IFERROR(VLOOKUP(B1201&amp;C1201&amp;Q1201,'New Weekly Paste'!A:M,8,0),VLOOKUP(B1201&amp;C1201&amp;Q1201,'New Weekly Paste'!B:O,10,0)),0)</f>
        <v>80.7</v>
      </c>
      <c r="K1201" s="239">
        <f>IFERROR(IFERROR(VLOOKUP(B1201&amp;I1201&amp;Q1201,'New Weekly Paste'!A:M,8,0),VLOOKUP(B1201&amp;I1201&amp;Q1201,'New Weekly Paste'!B:O,10,0)),0)</f>
        <v>60.68</v>
      </c>
      <c r="L1201" s="239">
        <f t="shared" si="25"/>
        <v>1</v>
      </c>
      <c r="M1201" s="36" t="str">
        <f t="shared" si="3"/>
        <v>Regular Season</v>
      </c>
      <c r="N1201" s="239" t="str">
        <f t="shared" si="26"/>
        <v>Riley</v>
      </c>
      <c r="O1201" s="6">
        <f>VLOOKUP(D1201,'Mapped Opponent'!$G$4:$H$22,2,0)</f>
        <v>1</v>
      </c>
      <c r="P1201" s="6"/>
      <c r="Q1201" s="6" t="str">
        <f t="shared" si="4"/>
        <v>Week 1</v>
      </c>
      <c r="R1201" s="6" t="str">
        <f t="shared" si="5"/>
        <v>2017Week 1</v>
      </c>
      <c r="S1201" s="6">
        <f>IFERROR(__xludf.DUMMYFUNCTION("rank(J1201,FILTER(J:J,R:R=R1201))"),8.0)</f>
        <v>8</v>
      </c>
      <c r="T1201" s="6">
        <f t="shared" si="6"/>
        <v>4</v>
      </c>
      <c r="U1201" s="6">
        <f t="shared" si="7"/>
        <v>8</v>
      </c>
      <c r="V1201" s="42">
        <f>averageif(AllData!A:A,B1201,AllData!R:R)/vlookup(B1201,AllData!A:O,15,0)</f>
        <v>90.17282051</v>
      </c>
      <c r="W1201" s="6"/>
    </row>
    <row r="1202" ht="14.25" customHeight="1">
      <c r="A1202" s="6" t="str">
        <f t="shared" si="1"/>
        <v>2017Hudspeath10</v>
      </c>
      <c r="B1202" s="59">
        <v>2017.0</v>
      </c>
      <c r="C1202" s="13" t="s">
        <v>39</v>
      </c>
      <c r="D1202" s="13" t="s">
        <v>149</v>
      </c>
      <c r="E1202" s="34"/>
      <c r="F1202" s="6"/>
      <c r="H1202" s="6"/>
      <c r="I1202" s="35" t="str">
        <f>IFERROR(IFERROR(IFERROR(VLOOKUP(B1202&amp;C1202&amp;Q1202,'New Weekly Paste'!A:M,10,0),VLOOKUP(B1202&amp;C1202&amp;Q1202,'New Weekly Paste'!B:O,6,0)),""),"")</f>
        <v>Rooney/Jackson</v>
      </c>
      <c r="J1202" s="239">
        <f>IFERROR(IFERROR(VLOOKUP(B1202&amp;C1202&amp;Q1202,'New Weekly Paste'!A:M,8,0),VLOOKUP(B1202&amp;C1202&amp;Q1202,'New Weekly Paste'!B:O,10,0)),0)</f>
        <v>55.24</v>
      </c>
      <c r="K1202" s="239">
        <f>IFERROR(IFERROR(VLOOKUP(B1202&amp;I1202&amp;Q1202,'New Weekly Paste'!A:M,8,0),VLOOKUP(B1202&amp;I1202&amp;Q1202,'New Weekly Paste'!B:O,10,0)),0)</f>
        <v>82.34</v>
      </c>
      <c r="L1202" s="239">
        <f t="shared" si="25"/>
        <v>0</v>
      </c>
      <c r="M1202" s="36" t="str">
        <f t="shared" si="3"/>
        <v>Regular Season</v>
      </c>
      <c r="N1202" s="239" t="str">
        <f t="shared" si="26"/>
        <v>Rooney/Jackson</v>
      </c>
      <c r="O1202" s="6">
        <f>VLOOKUP(D1202,'Mapped Opponent'!$G$4:$H$22,2,0)</f>
        <v>10</v>
      </c>
      <c r="P1202" s="6"/>
      <c r="Q1202" s="6" t="str">
        <f t="shared" si="4"/>
        <v>Week 10</v>
      </c>
      <c r="R1202" s="6" t="str">
        <f t="shared" si="5"/>
        <v>2017Week 10</v>
      </c>
      <c r="S1202" s="6">
        <f>IFERROR(__xludf.DUMMYFUNCTION("rank(J1202,FILTER(J:J,R:R=R1202))"),12.0)</f>
        <v>12</v>
      </c>
      <c r="T1202" s="6">
        <f t="shared" si="6"/>
        <v>0</v>
      </c>
      <c r="U1202" s="6">
        <f t="shared" si="7"/>
        <v>12</v>
      </c>
      <c r="V1202" s="42">
        <f>averageif(AllData!A:A,B1202,AllData!R:R)/vlookup(B1202,AllData!A:O,15,0)</f>
        <v>90.17282051</v>
      </c>
      <c r="W1202" s="6"/>
    </row>
    <row r="1203" ht="14.25" customHeight="1">
      <c r="A1203" s="6" t="str">
        <f t="shared" si="1"/>
        <v>2017Salty10</v>
      </c>
      <c r="B1203" s="59">
        <v>2017.0</v>
      </c>
      <c r="C1203" s="13" t="s">
        <v>76</v>
      </c>
      <c r="D1203" s="13" t="s">
        <v>149</v>
      </c>
      <c r="E1203" s="34"/>
      <c r="F1203" s="6"/>
      <c r="H1203" s="6"/>
      <c r="I1203" s="35" t="str">
        <f>IFERROR(IFERROR(IFERROR(VLOOKUP(B1203&amp;C1203&amp;Q1203,'New Weekly Paste'!A:M,10,0),VLOOKUP(B1203&amp;C1203&amp;Q1203,'New Weekly Paste'!B:O,6,0)),""),"")</f>
        <v>Cock</v>
      </c>
      <c r="J1203" s="239">
        <f>IFERROR(IFERROR(VLOOKUP(B1203&amp;C1203&amp;Q1203,'New Weekly Paste'!A:M,8,0),VLOOKUP(B1203&amp;C1203&amp;Q1203,'New Weekly Paste'!B:O,10,0)),0)</f>
        <v>72.04</v>
      </c>
      <c r="K1203" s="239">
        <f>IFERROR(IFERROR(VLOOKUP(B1203&amp;I1203&amp;Q1203,'New Weekly Paste'!A:M,8,0),VLOOKUP(B1203&amp;I1203&amp;Q1203,'New Weekly Paste'!B:O,10,0)),0)</f>
        <v>99.76</v>
      </c>
      <c r="L1203" s="239">
        <f t="shared" si="25"/>
        <v>0</v>
      </c>
      <c r="M1203" s="36" t="str">
        <f t="shared" si="3"/>
        <v>Regular Season</v>
      </c>
      <c r="N1203" s="239" t="str">
        <f t="shared" si="26"/>
        <v>Cock</v>
      </c>
      <c r="O1203" s="6">
        <f>VLOOKUP(D1203,'Mapped Opponent'!$G$4:$H$22,2,0)</f>
        <v>10</v>
      </c>
      <c r="P1203" s="6"/>
      <c r="Q1203" s="6" t="str">
        <f t="shared" si="4"/>
        <v>Week 10</v>
      </c>
      <c r="R1203" s="6" t="str">
        <f t="shared" si="5"/>
        <v>2017Week 10</v>
      </c>
      <c r="S1203" s="6">
        <f>IFERROR(__xludf.DUMMYFUNCTION("rank(J1203,FILTER(J:J,R:R=R1203))"),9.0)</f>
        <v>9</v>
      </c>
      <c r="T1203" s="6">
        <f t="shared" si="6"/>
        <v>3</v>
      </c>
      <c r="U1203" s="6">
        <f t="shared" si="7"/>
        <v>9</v>
      </c>
      <c r="V1203" s="42">
        <f>averageif(AllData!A:A,B1203,AllData!R:R)/vlookup(B1203,AllData!A:O,15,0)</f>
        <v>90.17282051</v>
      </c>
      <c r="W1203" s="6"/>
    </row>
    <row r="1204" ht="14.25" customHeight="1">
      <c r="A1204" s="6" t="str">
        <f t="shared" si="1"/>
        <v>2017Fellows10</v>
      </c>
      <c r="B1204" s="59">
        <v>2017.0</v>
      </c>
      <c r="C1204" s="13" t="s">
        <v>79</v>
      </c>
      <c r="D1204" s="13" t="s">
        <v>149</v>
      </c>
      <c r="E1204" s="34"/>
      <c r="F1204" s="6"/>
      <c r="H1204" s="6"/>
      <c r="I1204" s="35" t="str">
        <f>IFERROR(IFERROR(IFERROR(VLOOKUP(B1204&amp;C1204&amp;Q1204,'New Weekly Paste'!A:M,10,0),VLOOKUP(B1204&amp;C1204&amp;Q1204,'New Weekly Paste'!B:O,6,0)),""),"")</f>
        <v>Tayski</v>
      </c>
      <c r="J1204" s="239">
        <f>IFERROR(IFERROR(VLOOKUP(B1204&amp;C1204&amp;Q1204,'New Weekly Paste'!A:M,8,0),VLOOKUP(B1204&amp;C1204&amp;Q1204,'New Weekly Paste'!B:O,10,0)),0)</f>
        <v>61.88</v>
      </c>
      <c r="K1204" s="239">
        <f>IFERROR(IFERROR(VLOOKUP(B1204&amp;I1204&amp;Q1204,'New Weekly Paste'!A:M,8,0),VLOOKUP(B1204&amp;I1204&amp;Q1204,'New Weekly Paste'!B:O,10,0)),0)</f>
        <v>60.46</v>
      </c>
      <c r="L1204" s="239">
        <f t="shared" si="25"/>
        <v>1</v>
      </c>
      <c r="M1204" s="36" t="str">
        <f t="shared" si="3"/>
        <v>Regular Season</v>
      </c>
      <c r="N1204" s="239" t="str">
        <f t="shared" si="26"/>
        <v>Tayski</v>
      </c>
      <c r="O1204" s="6">
        <f>VLOOKUP(D1204,'Mapped Opponent'!$G$4:$H$22,2,0)</f>
        <v>10</v>
      </c>
      <c r="P1204" s="6"/>
      <c r="Q1204" s="6" t="str">
        <f t="shared" si="4"/>
        <v>Week 10</v>
      </c>
      <c r="R1204" s="6" t="str">
        <f t="shared" si="5"/>
        <v>2017Week 10</v>
      </c>
      <c r="S1204" s="6">
        <f>IFERROR(__xludf.DUMMYFUNCTION("rank(J1204,FILTER(J:J,R:R=R1204))"),10.0)</f>
        <v>10</v>
      </c>
      <c r="T1204" s="6">
        <f t="shared" si="6"/>
        <v>2</v>
      </c>
      <c r="U1204" s="6">
        <f t="shared" si="7"/>
        <v>10</v>
      </c>
      <c r="V1204" s="42">
        <f>averageif(AllData!A:A,B1204,AllData!R:R)/vlookup(B1204,AllData!A:O,15,0)</f>
        <v>90.17282051</v>
      </c>
      <c r="W1204" s="6"/>
    </row>
    <row r="1205" ht="14.25" customHeight="1">
      <c r="A1205" s="6" t="str">
        <f t="shared" si="1"/>
        <v>2017Shep10</v>
      </c>
      <c r="B1205" s="59">
        <v>2017.0</v>
      </c>
      <c r="C1205" s="13" t="s">
        <v>89</v>
      </c>
      <c r="D1205" s="13" t="s">
        <v>149</v>
      </c>
      <c r="E1205" s="34"/>
      <c r="F1205" s="6"/>
      <c r="H1205" s="6"/>
      <c r="I1205" s="35" t="str">
        <f>IFERROR(IFERROR(IFERROR(VLOOKUP(B1205&amp;C1205&amp;Q1205,'New Weekly Paste'!A:M,10,0),VLOOKUP(B1205&amp;C1205&amp;Q1205,'New Weekly Paste'!B:O,6,0)),""),"")</f>
        <v>KnardDawg</v>
      </c>
      <c r="J1205" s="239">
        <f>IFERROR(IFERROR(VLOOKUP(B1205&amp;C1205&amp;Q1205,'New Weekly Paste'!A:M,8,0),VLOOKUP(B1205&amp;C1205&amp;Q1205,'New Weekly Paste'!B:O,10,0)),0)</f>
        <v>102.42</v>
      </c>
      <c r="K1205" s="239">
        <f>IFERROR(IFERROR(VLOOKUP(B1205&amp;I1205&amp;Q1205,'New Weekly Paste'!A:M,8,0),VLOOKUP(B1205&amp;I1205&amp;Q1205,'New Weekly Paste'!B:O,10,0)),0)</f>
        <v>105.66</v>
      </c>
      <c r="L1205" s="239">
        <f t="shared" si="25"/>
        <v>0</v>
      </c>
      <c r="M1205" s="36" t="str">
        <f t="shared" si="3"/>
        <v>Regular Season</v>
      </c>
      <c r="N1205" s="239" t="str">
        <f t="shared" si="26"/>
        <v>KnardDawg</v>
      </c>
      <c r="O1205" s="6">
        <f>VLOOKUP(D1205,'Mapped Opponent'!$G$4:$H$22,2,0)</f>
        <v>10</v>
      </c>
      <c r="P1205" s="6"/>
      <c r="Q1205" s="6" t="str">
        <f t="shared" si="4"/>
        <v>Week 10</v>
      </c>
      <c r="R1205" s="6" t="str">
        <f t="shared" si="5"/>
        <v>2017Week 10</v>
      </c>
      <c r="S1205" s="6">
        <f>IFERROR(__xludf.DUMMYFUNCTION("rank(J1205,FILTER(J:J,R:R=R1205))"),4.0)</f>
        <v>4</v>
      </c>
      <c r="T1205" s="6">
        <f t="shared" si="6"/>
        <v>8</v>
      </c>
      <c r="U1205" s="6">
        <f t="shared" si="7"/>
        <v>4</v>
      </c>
      <c r="V1205" s="42">
        <f>averageif(AllData!A:A,B1205,AllData!R:R)/vlookup(B1205,AllData!A:O,15,0)</f>
        <v>90.17282051</v>
      </c>
      <c r="W1205" s="6"/>
    </row>
    <row r="1206" ht="14.25" customHeight="1">
      <c r="A1206" s="6" t="str">
        <f t="shared" si="1"/>
        <v>2017Riley10</v>
      </c>
      <c r="B1206" s="59">
        <v>2017.0</v>
      </c>
      <c r="C1206" s="13" t="s">
        <v>67</v>
      </c>
      <c r="D1206" s="13" t="s">
        <v>149</v>
      </c>
      <c r="E1206" s="34"/>
      <c r="F1206" s="6"/>
      <c r="H1206" s="6"/>
      <c r="I1206" s="35" t="str">
        <f>IFERROR(IFERROR(IFERROR(VLOOKUP(B1206&amp;C1206&amp;Q1206,'New Weekly Paste'!A:M,10,0),VLOOKUP(B1206&amp;C1206&amp;Q1206,'New Weekly Paste'!B:O,6,0)),""),"")</f>
        <v>Buser</v>
      </c>
      <c r="J1206" s="239">
        <f>IFERROR(IFERROR(VLOOKUP(B1206&amp;C1206&amp;Q1206,'New Weekly Paste'!A:M,8,0),VLOOKUP(B1206&amp;C1206&amp;Q1206,'New Weekly Paste'!B:O,10,0)),0)</f>
        <v>114.6</v>
      </c>
      <c r="K1206" s="239">
        <f>IFERROR(IFERROR(VLOOKUP(B1206&amp;I1206&amp;Q1206,'New Weekly Paste'!A:M,8,0),VLOOKUP(B1206&amp;I1206&amp;Q1206,'New Weekly Paste'!B:O,10,0)),0)</f>
        <v>89.82</v>
      </c>
      <c r="L1206" s="239">
        <f t="shared" si="25"/>
        <v>1</v>
      </c>
      <c r="M1206" s="36" t="str">
        <f t="shared" si="3"/>
        <v>Regular Season</v>
      </c>
      <c r="N1206" s="239" t="str">
        <f t="shared" si="26"/>
        <v>Buser</v>
      </c>
      <c r="O1206" s="6">
        <f>VLOOKUP(D1206,'Mapped Opponent'!$G$4:$H$22,2,0)</f>
        <v>10</v>
      </c>
      <c r="P1206" s="6"/>
      <c r="Q1206" s="6" t="str">
        <f t="shared" si="4"/>
        <v>Week 10</v>
      </c>
      <c r="R1206" s="6" t="str">
        <f t="shared" si="5"/>
        <v>2017Week 10</v>
      </c>
      <c r="S1206" s="6">
        <f>IFERROR(__xludf.DUMMYFUNCTION("rank(J1206,FILTER(J:J,R:R=R1206))"),1.0)</f>
        <v>1</v>
      </c>
      <c r="T1206" s="6">
        <f t="shared" si="6"/>
        <v>11</v>
      </c>
      <c r="U1206" s="6">
        <f t="shared" si="7"/>
        <v>1</v>
      </c>
      <c r="V1206" s="42">
        <f>averageif(AllData!A:A,B1206,AllData!R:R)/vlookup(B1206,AllData!A:O,15,0)</f>
        <v>90.17282051</v>
      </c>
      <c r="W1206" s="6"/>
    </row>
    <row r="1207" ht="14.25" customHeight="1">
      <c r="A1207" s="6" t="str">
        <f t="shared" si="1"/>
        <v>2017Rooney/Jackson10</v>
      </c>
      <c r="B1207" s="59">
        <v>2017.0</v>
      </c>
      <c r="C1207" s="13" t="s">
        <v>57</v>
      </c>
      <c r="D1207" s="13" t="s">
        <v>149</v>
      </c>
      <c r="E1207" s="34"/>
      <c r="F1207" s="6"/>
      <c r="H1207" s="6"/>
      <c r="I1207" s="35" t="str">
        <f>IFERROR(IFERROR(IFERROR(VLOOKUP(B1207&amp;C1207&amp;Q1207,'New Weekly Paste'!A:M,10,0),VLOOKUP(B1207&amp;C1207&amp;Q1207,'New Weekly Paste'!B:O,6,0)),""),"")</f>
        <v>Hudspeath</v>
      </c>
      <c r="J1207" s="239">
        <f>IFERROR(IFERROR(VLOOKUP(B1207&amp;C1207&amp;Q1207,'New Weekly Paste'!A:M,8,0),VLOOKUP(B1207&amp;C1207&amp;Q1207,'New Weekly Paste'!B:O,10,0)),0)</f>
        <v>82.34</v>
      </c>
      <c r="K1207" s="239">
        <f>IFERROR(IFERROR(VLOOKUP(B1207&amp;I1207&amp;Q1207,'New Weekly Paste'!A:M,8,0),VLOOKUP(B1207&amp;I1207&amp;Q1207,'New Weekly Paste'!B:O,10,0)),0)</f>
        <v>55.24</v>
      </c>
      <c r="L1207" s="239">
        <f t="shared" si="25"/>
        <v>1</v>
      </c>
      <c r="M1207" s="36" t="str">
        <f t="shared" si="3"/>
        <v>Regular Season</v>
      </c>
      <c r="N1207" s="239" t="str">
        <f t="shared" si="26"/>
        <v>Hudspeath</v>
      </c>
      <c r="O1207" s="6">
        <f>VLOOKUP(D1207,'Mapped Opponent'!$G$4:$H$22,2,0)</f>
        <v>10</v>
      </c>
      <c r="P1207" s="6"/>
      <c r="Q1207" s="6" t="str">
        <f t="shared" si="4"/>
        <v>Week 10</v>
      </c>
      <c r="R1207" s="6" t="str">
        <f t="shared" si="5"/>
        <v>2017Week 10</v>
      </c>
      <c r="S1207" s="6">
        <f>IFERROR(__xludf.DUMMYFUNCTION("rank(J1207,FILTER(J:J,R:R=R1207))"),8.0)</f>
        <v>8</v>
      </c>
      <c r="T1207" s="6">
        <f t="shared" si="6"/>
        <v>4</v>
      </c>
      <c r="U1207" s="6">
        <f t="shared" si="7"/>
        <v>8</v>
      </c>
      <c r="V1207" s="42">
        <f>averageif(AllData!A:A,B1207,AllData!R:R)/vlookup(B1207,AllData!A:O,15,0)</f>
        <v>90.17282051</v>
      </c>
      <c r="W1207" s="6"/>
    </row>
    <row r="1208" ht="14.25" customHeight="1">
      <c r="A1208" s="6" t="str">
        <f t="shared" si="1"/>
        <v>2017Buser10</v>
      </c>
      <c r="B1208" s="59">
        <v>2017.0</v>
      </c>
      <c r="C1208" s="13" t="s">
        <v>47</v>
      </c>
      <c r="D1208" s="13" t="s">
        <v>149</v>
      </c>
      <c r="E1208" s="34"/>
      <c r="F1208" s="6"/>
      <c r="H1208" s="6"/>
      <c r="I1208" s="35" t="str">
        <f>IFERROR(IFERROR(IFERROR(VLOOKUP(B1208&amp;C1208&amp;Q1208,'New Weekly Paste'!A:M,10,0),VLOOKUP(B1208&amp;C1208&amp;Q1208,'New Weekly Paste'!B:O,6,0)),""),"")</f>
        <v>Riley</v>
      </c>
      <c r="J1208" s="239">
        <f>IFERROR(IFERROR(VLOOKUP(B1208&amp;C1208&amp;Q1208,'New Weekly Paste'!A:M,8,0),VLOOKUP(B1208&amp;C1208&amp;Q1208,'New Weekly Paste'!B:O,10,0)),0)</f>
        <v>89.82</v>
      </c>
      <c r="K1208" s="239">
        <f>IFERROR(IFERROR(VLOOKUP(B1208&amp;I1208&amp;Q1208,'New Weekly Paste'!A:M,8,0),VLOOKUP(B1208&amp;I1208&amp;Q1208,'New Weekly Paste'!B:O,10,0)),0)</f>
        <v>114.6</v>
      </c>
      <c r="L1208" s="239">
        <f t="shared" si="25"/>
        <v>0</v>
      </c>
      <c r="M1208" s="36" t="str">
        <f t="shared" si="3"/>
        <v>Regular Season</v>
      </c>
      <c r="N1208" s="239" t="str">
        <f t="shared" si="26"/>
        <v>Riley</v>
      </c>
      <c r="O1208" s="6">
        <f>VLOOKUP(D1208,'Mapped Opponent'!$G$4:$H$22,2,0)</f>
        <v>10</v>
      </c>
      <c r="P1208" s="6"/>
      <c r="Q1208" s="6" t="str">
        <f t="shared" si="4"/>
        <v>Week 10</v>
      </c>
      <c r="R1208" s="6" t="str">
        <f t="shared" si="5"/>
        <v>2017Week 10</v>
      </c>
      <c r="S1208" s="6">
        <f>IFERROR(__xludf.DUMMYFUNCTION("rank(J1208,FILTER(J:J,R:R=R1208))"),7.0)</f>
        <v>7</v>
      </c>
      <c r="T1208" s="6">
        <f t="shared" si="6"/>
        <v>5</v>
      </c>
      <c r="U1208" s="6">
        <f t="shared" si="7"/>
        <v>7</v>
      </c>
      <c r="V1208" s="42">
        <f>averageif(AllData!A:A,B1208,AllData!R:R)/vlookup(B1208,AllData!A:O,15,0)</f>
        <v>90.17282051</v>
      </c>
      <c r="W1208" s="6"/>
    </row>
    <row r="1209" ht="14.25" customHeight="1">
      <c r="A1209" s="6" t="str">
        <f t="shared" si="1"/>
        <v>2017Pierson10</v>
      </c>
      <c r="B1209" s="59">
        <v>2017.0</v>
      </c>
      <c r="C1209" s="13" t="s">
        <v>92</v>
      </c>
      <c r="D1209" s="13" t="s">
        <v>149</v>
      </c>
      <c r="E1209" s="34"/>
      <c r="F1209" s="6"/>
      <c r="H1209" s="6"/>
      <c r="I1209" s="35" t="str">
        <f>IFERROR(IFERROR(IFERROR(VLOOKUP(B1209&amp;C1209&amp;Q1209,'New Weekly Paste'!A:M,10,0),VLOOKUP(B1209&amp;C1209&amp;Q1209,'New Weekly Paste'!B:O,6,0)),""),"")</f>
        <v>T-How</v>
      </c>
      <c r="J1209" s="239">
        <f>IFERROR(IFERROR(VLOOKUP(B1209&amp;C1209&amp;Q1209,'New Weekly Paste'!A:M,8,0),VLOOKUP(B1209&amp;C1209&amp;Q1209,'New Weekly Paste'!B:O,10,0)),0)</f>
        <v>102.98</v>
      </c>
      <c r="K1209" s="239">
        <f>IFERROR(IFERROR(VLOOKUP(B1209&amp;I1209&amp;Q1209,'New Weekly Paste'!A:M,8,0),VLOOKUP(B1209&amp;I1209&amp;Q1209,'New Weekly Paste'!B:O,10,0)),0)</f>
        <v>93.78</v>
      </c>
      <c r="L1209" s="239">
        <f t="shared" si="25"/>
        <v>1</v>
      </c>
      <c r="M1209" s="36" t="str">
        <f t="shared" si="3"/>
        <v>Regular Season</v>
      </c>
      <c r="N1209" s="239" t="str">
        <f t="shared" si="26"/>
        <v>T-How</v>
      </c>
      <c r="O1209" s="6">
        <f>VLOOKUP(D1209,'Mapped Opponent'!$G$4:$H$22,2,0)</f>
        <v>10</v>
      </c>
      <c r="P1209" s="6"/>
      <c r="Q1209" s="6" t="str">
        <f t="shared" si="4"/>
        <v>Week 10</v>
      </c>
      <c r="R1209" s="6" t="str">
        <f t="shared" si="5"/>
        <v>2017Week 10</v>
      </c>
      <c r="S1209" s="6">
        <f>IFERROR(__xludf.DUMMYFUNCTION("rank(J1209,FILTER(J:J,R:R=R1209))"),3.0)</f>
        <v>3</v>
      </c>
      <c r="T1209" s="6">
        <f t="shared" si="6"/>
        <v>9</v>
      </c>
      <c r="U1209" s="6">
        <f t="shared" si="7"/>
        <v>3</v>
      </c>
      <c r="V1209" s="42">
        <f>averageif(AllData!A:A,B1209,AllData!R:R)/vlookup(B1209,AllData!A:O,15,0)</f>
        <v>90.17282051</v>
      </c>
      <c r="W1209" s="6"/>
    </row>
    <row r="1210" ht="14.25" customHeight="1">
      <c r="A1210" s="6" t="str">
        <f t="shared" si="1"/>
        <v>2017Cock10</v>
      </c>
      <c r="B1210" s="59">
        <v>2017.0</v>
      </c>
      <c r="C1210" s="13" t="s">
        <v>72</v>
      </c>
      <c r="D1210" s="13" t="s">
        <v>149</v>
      </c>
      <c r="E1210" s="34"/>
      <c r="F1210" s="6"/>
      <c r="H1210" s="6"/>
      <c r="I1210" s="35" t="str">
        <f>IFERROR(IFERROR(IFERROR(VLOOKUP(B1210&amp;C1210&amp;Q1210,'New Weekly Paste'!A:M,10,0),VLOOKUP(B1210&amp;C1210&amp;Q1210,'New Weekly Paste'!B:O,6,0)),""),"")</f>
        <v>Salty</v>
      </c>
      <c r="J1210" s="239">
        <f>IFERROR(IFERROR(VLOOKUP(B1210&amp;C1210&amp;Q1210,'New Weekly Paste'!A:M,8,0),VLOOKUP(B1210&amp;C1210&amp;Q1210,'New Weekly Paste'!B:O,10,0)),0)</f>
        <v>99.76</v>
      </c>
      <c r="K1210" s="239">
        <f>IFERROR(IFERROR(VLOOKUP(B1210&amp;I1210&amp;Q1210,'New Weekly Paste'!A:M,8,0),VLOOKUP(B1210&amp;I1210&amp;Q1210,'New Weekly Paste'!B:O,10,0)),0)</f>
        <v>72.04</v>
      </c>
      <c r="L1210" s="239">
        <f t="shared" si="25"/>
        <v>1</v>
      </c>
      <c r="M1210" s="36" t="str">
        <f t="shared" si="3"/>
        <v>Regular Season</v>
      </c>
      <c r="N1210" s="239" t="str">
        <f t="shared" si="26"/>
        <v>Salty</v>
      </c>
      <c r="O1210" s="6">
        <f>VLOOKUP(D1210,'Mapped Opponent'!$G$4:$H$22,2,0)</f>
        <v>10</v>
      </c>
      <c r="P1210" s="6"/>
      <c r="Q1210" s="6" t="str">
        <f t="shared" si="4"/>
        <v>Week 10</v>
      </c>
      <c r="R1210" s="6" t="str">
        <f t="shared" si="5"/>
        <v>2017Week 10</v>
      </c>
      <c r="S1210" s="6">
        <f>IFERROR(__xludf.DUMMYFUNCTION("rank(J1210,FILTER(J:J,R:R=R1210))"),5.0)</f>
        <v>5</v>
      </c>
      <c r="T1210" s="6">
        <f t="shared" si="6"/>
        <v>7</v>
      </c>
      <c r="U1210" s="6">
        <f t="shared" si="7"/>
        <v>5</v>
      </c>
      <c r="V1210" s="42">
        <f>averageif(AllData!A:A,B1210,AllData!R:R)/vlookup(B1210,AllData!A:O,15,0)</f>
        <v>90.17282051</v>
      </c>
      <c r="W1210" s="6"/>
    </row>
    <row r="1211" ht="14.25" customHeight="1">
      <c r="A1211" s="6" t="str">
        <f t="shared" si="1"/>
        <v>2017Tayski10</v>
      </c>
      <c r="B1211" s="59">
        <v>2017.0</v>
      </c>
      <c r="C1211" s="13" t="s">
        <v>52</v>
      </c>
      <c r="D1211" s="13" t="s">
        <v>149</v>
      </c>
      <c r="E1211" s="34"/>
      <c r="F1211" s="6"/>
      <c r="H1211" s="6"/>
      <c r="I1211" s="35" t="str">
        <f>IFERROR(IFERROR(IFERROR(VLOOKUP(B1211&amp;C1211&amp;Q1211,'New Weekly Paste'!A:M,10,0),VLOOKUP(B1211&amp;C1211&amp;Q1211,'New Weekly Paste'!B:O,6,0)),""),"")</f>
        <v>Fellows</v>
      </c>
      <c r="J1211" s="239">
        <f>IFERROR(IFERROR(VLOOKUP(B1211&amp;C1211&amp;Q1211,'New Weekly Paste'!A:M,8,0),VLOOKUP(B1211&amp;C1211&amp;Q1211,'New Weekly Paste'!B:O,10,0)),0)</f>
        <v>60.46</v>
      </c>
      <c r="K1211" s="239">
        <f>IFERROR(IFERROR(VLOOKUP(B1211&amp;I1211&amp;Q1211,'New Weekly Paste'!A:M,8,0),VLOOKUP(B1211&amp;I1211&amp;Q1211,'New Weekly Paste'!B:O,10,0)),0)</f>
        <v>61.88</v>
      </c>
      <c r="L1211" s="239">
        <f t="shared" si="25"/>
        <v>0</v>
      </c>
      <c r="M1211" s="36" t="str">
        <f t="shared" si="3"/>
        <v>Regular Season</v>
      </c>
      <c r="N1211" s="239" t="str">
        <f t="shared" si="26"/>
        <v>Fellows</v>
      </c>
      <c r="O1211" s="6">
        <f>VLOOKUP(D1211,'Mapped Opponent'!$G$4:$H$22,2,0)</f>
        <v>10</v>
      </c>
      <c r="P1211" s="6"/>
      <c r="Q1211" s="6" t="str">
        <f t="shared" si="4"/>
        <v>Week 10</v>
      </c>
      <c r="R1211" s="6" t="str">
        <f t="shared" si="5"/>
        <v>2017Week 10</v>
      </c>
      <c r="S1211" s="6">
        <f>IFERROR(__xludf.DUMMYFUNCTION("rank(J1211,FILTER(J:J,R:R=R1211))"),11.0)</f>
        <v>11</v>
      </c>
      <c r="T1211" s="6">
        <f t="shared" si="6"/>
        <v>1</v>
      </c>
      <c r="U1211" s="6">
        <f t="shared" si="7"/>
        <v>11</v>
      </c>
      <c r="V1211" s="42">
        <f>averageif(AllData!A:A,B1211,AllData!R:R)/vlookup(B1211,AllData!A:O,15,0)</f>
        <v>90.17282051</v>
      </c>
      <c r="W1211" s="6"/>
    </row>
    <row r="1212" ht="14.25" customHeight="1">
      <c r="A1212" s="6" t="str">
        <f t="shared" si="1"/>
        <v>2017KnardDawg10</v>
      </c>
      <c r="B1212" s="59">
        <v>2017.0</v>
      </c>
      <c r="C1212" s="13" t="s">
        <v>86</v>
      </c>
      <c r="D1212" s="13" t="s">
        <v>149</v>
      </c>
      <c r="E1212" s="34"/>
      <c r="F1212" s="6"/>
      <c r="H1212" s="6"/>
      <c r="I1212" s="35" t="str">
        <f>IFERROR(IFERROR(IFERROR(VLOOKUP(B1212&amp;C1212&amp;Q1212,'New Weekly Paste'!A:M,10,0),VLOOKUP(B1212&amp;C1212&amp;Q1212,'New Weekly Paste'!B:O,6,0)),""),"")</f>
        <v>Shep</v>
      </c>
      <c r="J1212" s="239">
        <f>IFERROR(IFERROR(VLOOKUP(B1212&amp;C1212&amp;Q1212,'New Weekly Paste'!A:M,8,0),VLOOKUP(B1212&amp;C1212&amp;Q1212,'New Weekly Paste'!B:O,10,0)),0)</f>
        <v>105.66</v>
      </c>
      <c r="K1212" s="239">
        <f>IFERROR(IFERROR(VLOOKUP(B1212&amp;I1212&amp;Q1212,'New Weekly Paste'!A:M,8,0),VLOOKUP(B1212&amp;I1212&amp;Q1212,'New Weekly Paste'!B:O,10,0)),0)</f>
        <v>102.42</v>
      </c>
      <c r="L1212" s="239">
        <f t="shared" si="25"/>
        <v>1</v>
      </c>
      <c r="M1212" s="36" t="str">
        <f t="shared" si="3"/>
        <v>Regular Season</v>
      </c>
      <c r="N1212" s="239" t="str">
        <f t="shared" si="26"/>
        <v>Shep</v>
      </c>
      <c r="O1212" s="6">
        <f>VLOOKUP(D1212,'Mapped Opponent'!$G$4:$H$22,2,0)</f>
        <v>10</v>
      </c>
      <c r="P1212" s="6"/>
      <c r="Q1212" s="6" t="str">
        <f t="shared" si="4"/>
        <v>Week 10</v>
      </c>
      <c r="R1212" s="6" t="str">
        <f t="shared" si="5"/>
        <v>2017Week 10</v>
      </c>
      <c r="S1212" s="6">
        <f>IFERROR(__xludf.DUMMYFUNCTION("rank(J1212,FILTER(J:J,R:R=R1212))"),2.0)</f>
        <v>2</v>
      </c>
      <c r="T1212" s="6">
        <f t="shared" si="6"/>
        <v>10</v>
      </c>
      <c r="U1212" s="6">
        <f t="shared" si="7"/>
        <v>2</v>
      </c>
      <c r="V1212" s="42">
        <f>averageif(AllData!A:A,B1212,AllData!R:R)/vlookup(B1212,AllData!A:O,15,0)</f>
        <v>90.17282051</v>
      </c>
      <c r="W1212" s="6"/>
    </row>
    <row r="1213" ht="14.25" customHeight="1">
      <c r="A1213" s="6" t="str">
        <f t="shared" si="1"/>
        <v>2017T-How10</v>
      </c>
      <c r="B1213" s="59">
        <v>2017.0</v>
      </c>
      <c r="C1213" s="13" t="s">
        <v>82</v>
      </c>
      <c r="D1213" s="13" t="s">
        <v>149</v>
      </c>
      <c r="E1213" s="34"/>
      <c r="F1213" s="6"/>
      <c r="H1213" s="6"/>
      <c r="I1213" s="35" t="str">
        <f>IFERROR(IFERROR(IFERROR(VLOOKUP(B1213&amp;C1213&amp;Q1213,'New Weekly Paste'!A:M,10,0),VLOOKUP(B1213&amp;C1213&amp;Q1213,'New Weekly Paste'!B:O,6,0)),""),"")</f>
        <v>Pierson</v>
      </c>
      <c r="J1213" s="239">
        <f>IFERROR(IFERROR(VLOOKUP(B1213&amp;C1213&amp;Q1213,'New Weekly Paste'!A:M,8,0),VLOOKUP(B1213&amp;C1213&amp;Q1213,'New Weekly Paste'!B:O,10,0)),0)</f>
        <v>93.78</v>
      </c>
      <c r="K1213" s="239">
        <f>IFERROR(IFERROR(VLOOKUP(B1213&amp;I1213&amp;Q1213,'New Weekly Paste'!A:M,8,0),VLOOKUP(B1213&amp;I1213&amp;Q1213,'New Weekly Paste'!B:O,10,0)),0)</f>
        <v>102.98</v>
      </c>
      <c r="L1213" s="239">
        <f t="shared" si="25"/>
        <v>0</v>
      </c>
      <c r="M1213" s="36" t="str">
        <f t="shared" si="3"/>
        <v>Regular Season</v>
      </c>
      <c r="N1213" s="239" t="str">
        <f t="shared" si="26"/>
        <v>Pierson</v>
      </c>
      <c r="O1213" s="6">
        <f>VLOOKUP(D1213,'Mapped Opponent'!$G$4:$H$22,2,0)</f>
        <v>10</v>
      </c>
      <c r="P1213" s="6"/>
      <c r="Q1213" s="6" t="str">
        <f t="shared" si="4"/>
        <v>Week 10</v>
      </c>
      <c r="R1213" s="6" t="str">
        <f t="shared" si="5"/>
        <v>2017Week 10</v>
      </c>
      <c r="S1213" s="6">
        <f>IFERROR(__xludf.DUMMYFUNCTION("rank(J1213,FILTER(J:J,R:R=R1213))"),6.0)</f>
        <v>6</v>
      </c>
      <c r="T1213" s="6">
        <f t="shared" si="6"/>
        <v>6</v>
      </c>
      <c r="U1213" s="6">
        <f t="shared" si="7"/>
        <v>6</v>
      </c>
      <c r="V1213" s="42">
        <f>averageif(AllData!A:A,B1213,AllData!R:R)/vlookup(B1213,AllData!A:O,15,0)</f>
        <v>90.17282051</v>
      </c>
      <c r="W1213" s="6"/>
    </row>
    <row r="1214" ht="14.25" customHeight="1">
      <c r="A1214" s="6" t="str">
        <f t="shared" si="1"/>
        <v>2017Hudspeath11</v>
      </c>
      <c r="B1214" s="59">
        <v>2017.0</v>
      </c>
      <c r="C1214" s="13" t="s">
        <v>39</v>
      </c>
      <c r="D1214" s="13" t="s">
        <v>150</v>
      </c>
      <c r="E1214" s="34"/>
      <c r="F1214" s="6"/>
      <c r="H1214" s="6"/>
      <c r="I1214" s="35" t="str">
        <f>IFERROR(IFERROR(IFERROR(VLOOKUP(B1214&amp;C1214&amp;Q1214,'New Weekly Paste'!A:M,10,0),VLOOKUP(B1214&amp;C1214&amp;Q1214,'New Weekly Paste'!B:O,6,0)),""),"")</f>
        <v>Riley</v>
      </c>
      <c r="J1214" s="239">
        <f>IFERROR(IFERROR(VLOOKUP(B1214&amp;C1214&amp;Q1214,'New Weekly Paste'!A:M,8,0),VLOOKUP(B1214&amp;C1214&amp;Q1214,'New Weekly Paste'!B:O,10,0)),0)</f>
        <v>121.74</v>
      </c>
      <c r="K1214" s="239">
        <f>IFERROR(IFERROR(VLOOKUP(B1214&amp;I1214&amp;Q1214,'New Weekly Paste'!A:M,8,0),VLOOKUP(B1214&amp;I1214&amp;Q1214,'New Weekly Paste'!B:O,10,0)),0)</f>
        <v>128.1</v>
      </c>
      <c r="L1214" s="239">
        <f t="shared" si="25"/>
        <v>0</v>
      </c>
      <c r="M1214" s="36" t="str">
        <f t="shared" si="3"/>
        <v>Regular Season</v>
      </c>
      <c r="N1214" s="239" t="str">
        <f t="shared" si="26"/>
        <v>Riley</v>
      </c>
      <c r="O1214" s="6">
        <f>VLOOKUP(D1214,'Mapped Opponent'!$G$4:$H$22,2,0)</f>
        <v>11</v>
      </c>
      <c r="P1214" s="6"/>
      <c r="Q1214" s="6" t="str">
        <f t="shared" si="4"/>
        <v>Week 11</v>
      </c>
      <c r="R1214" s="6" t="str">
        <f t="shared" si="5"/>
        <v>2017Week 11</v>
      </c>
      <c r="S1214" s="6">
        <f>IFERROR(__xludf.DUMMYFUNCTION("rank(J1214,FILTER(J:J,R:R=R1214))"),2.0)</f>
        <v>2</v>
      </c>
      <c r="T1214" s="6">
        <f t="shared" si="6"/>
        <v>10</v>
      </c>
      <c r="U1214" s="6">
        <f t="shared" si="7"/>
        <v>2</v>
      </c>
      <c r="V1214" s="42">
        <f>averageif(AllData!A:A,B1214,AllData!R:R)/vlookup(B1214,AllData!A:O,15,0)</f>
        <v>90.17282051</v>
      </c>
      <c r="W1214" s="6"/>
    </row>
    <row r="1215" ht="14.25" customHeight="1">
      <c r="A1215" s="6" t="str">
        <f t="shared" si="1"/>
        <v>2017Salty11</v>
      </c>
      <c r="B1215" s="59">
        <v>2017.0</v>
      </c>
      <c r="C1215" s="13" t="s">
        <v>76</v>
      </c>
      <c r="D1215" s="13" t="s">
        <v>150</v>
      </c>
      <c r="E1215" s="34"/>
      <c r="F1215" s="6"/>
      <c r="H1215" s="6"/>
      <c r="I1215" s="35" t="str">
        <f>IFERROR(IFERROR(IFERROR(VLOOKUP(B1215&amp;C1215&amp;Q1215,'New Weekly Paste'!A:M,10,0),VLOOKUP(B1215&amp;C1215&amp;Q1215,'New Weekly Paste'!B:O,6,0)),""),"")</f>
        <v>Tayski</v>
      </c>
      <c r="J1215" s="239">
        <f>IFERROR(IFERROR(VLOOKUP(B1215&amp;C1215&amp;Q1215,'New Weekly Paste'!A:M,8,0),VLOOKUP(B1215&amp;C1215&amp;Q1215,'New Weekly Paste'!B:O,10,0)),0)</f>
        <v>38.4</v>
      </c>
      <c r="K1215" s="239">
        <f>IFERROR(IFERROR(VLOOKUP(B1215&amp;I1215&amp;Q1215,'New Weekly Paste'!A:M,8,0),VLOOKUP(B1215&amp;I1215&amp;Q1215,'New Weekly Paste'!B:O,10,0)),0)</f>
        <v>79.74</v>
      </c>
      <c r="L1215" s="239">
        <f t="shared" si="25"/>
        <v>0</v>
      </c>
      <c r="M1215" s="36" t="str">
        <f t="shared" si="3"/>
        <v>Regular Season</v>
      </c>
      <c r="N1215" s="239" t="str">
        <f t="shared" si="26"/>
        <v>Tayski</v>
      </c>
      <c r="O1215" s="6">
        <f>VLOOKUP(D1215,'Mapped Opponent'!$G$4:$H$22,2,0)</f>
        <v>11</v>
      </c>
      <c r="P1215" s="6"/>
      <c r="Q1215" s="6" t="str">
        <f t="shared" si="4"/>
        <v>Week 11</v>
      </c>
      <c r="R1215" s="6" t="str">
        <f t="shared" si="5"/>
        <v>2017Week 11</v>
      </c>
      <c r="S1215" s="6">
        <f>IFERROR(__xludf.DUMMYFUNCTION("rank(J1215,FILTER(J:J,R:R=R1215))"),12.0)</f>
        <v>12</v>
      </c>
      <c r="T1215" s="6">
        <f t="shared" si="6"/>
        <v>0</v>
      </c>
      <c r="U1215" s="6">
        <f t="shared" si="7"/>
        <v>12</v>
      </c>
      <c r="V1215" s="42">
        <f>averageif(AllData!A:A,B1215,AllData!R:R)/vlookup(B1215,AllData!A:O,15,0)</f>
        <v>90.17282051</v>
      </c>
      <c r="W1215" s="6"/>
    </row>
    <row r="1216" ht="14.25" customHeight="1">
      <c r="A1216" s="6" t="str">
        <f t="shared" si="1"/>
        <v>2017Fellows11</v>
      </c>
      <c r="B1216" s="59">
        <v>2017.0</v>
      </c>
      <c r="C1216" s="13" t="s">
        <v>79</v>
      </c>
      <c r="D1216" s="13" t="s">
        <v>150</v>
      </c>
      <c r="E1216" s="34"/>
      <c r="F1216" s="6"/>
      <c r="H1216" s="6"/>
      <c r="I1216" s="35" t="str">
        <f>IFERROR(IFERROR(IFERROR(VLOOKUP(B1216&amp;C1216&amp;Q1216,'New Weekly Paste'!A:M,10,0),VLOOKUP(B1216&amp;C1216&amp;Q1216,'New Weekly Paste'!B:O,6,0)),""),"")</f>
        <v>Shep</v>
      </c>
      <c r="J1216" s="239">
        <f>IFERROR(IFERROR(VLOOKUP(B1216&amp;C1216&amp;Q1216,'New Weekly Paste'!A:M,8,0),VLOOKUP(B1216&amp;C1216&amp;Q1216,'New Weekly Paste'!B:O,10,0)),0)</f>
        <v>64.56</v>
      </c>
      <c r="K1216" s="239">
        <f>IFERROR(IFERROR(VLOOKUP(B1216&amp;I1216&amp;Q1216,'New Weekly Paste'!A:M,8,0),VLOOKUP(B1216&amp;I1216&amp;Q1216,'New Weekly Paste'!B:O,10,0)),0)</f>
        <v>83.12</v>
      </c>
      <c r="L1216" s="239">
        <f t="shared" si="25"/>
        <v>0</v>
      </c>
      <c r="M1216" s="36" t="str">
        <f t="shared" si="3"/>
        <v>Regular Season</v>
      </c>
      <c r="N1216" s="239" t="str">
        <f t="shared" si="26"/>
        <v>Shep</v>
      </c>
      <c r="O1216" s="6">
        <f>VLOOKUP(D1216,'Mapped Opponent'!$G$4:$H$22,2,0)</f>
        <v>11</v>
      </c>
      <c r="P1216" s="6"/>
      <c r="Q1216" s="6" t="str">
        <f t="shared" si="4"/>
        <v>Week 11</v>
      </c>
      <c r="R1216" s="6" t="str">
        <f t="shared" si="5"/>
        <v>2017Week 11</v>
      </c>
      <c r="S1216" s="6">
        <f>IFERROR(__xludf.DUMMYFUNCTION("rank(J1216,FILTER(J:J,R:R=R1216))"),11.0)</f>
        <v>11</v>
      </c>
      <c r="T1216" s="6">
        <f t="shared" si="6"/>
        <v>1</v>
      </c>
      <c r="U1216" s="6">
        <f t="shared" si="7"/>
        <v>11</v>
      </c>
      <c r="V1216" s="42">
        <f>averageif(AllData!A:A,B1216,AllData!R:R)/vlookup(B1216,AllData!A:O,15,0)</f>
        <v>90.17282051</v>
      </c>
      <c r="W1216" s="6"/>
    </row>
    <row r="1217" ht="14.25" customHeight="1">
      <c r="A1217" s="6" t="str">
        <f t="shared" si="1"/>
        <v>2017Shep11</v>
      </c>
      <c r="B1217" s="59">
        <v>2017.0</v>
      </c>
      <c r="C1217" s="13" t="s">
        <v>89</v>
      </c>
      <c r="D1217" s="13" t="s">
        <v>150</v>
      </c>
      <c r="E1217" s="34"/>
      <c r="F1217" s="6"/>
      <c r="H1217" s="6"/>
      <c r="I1217" s="35" t="str">
        <f>IFERROR(IFERROR(IFERROR(VLOOKUP(B1217&amp;C1217&amp;Q1217,'New Weekly Paste'!A:M,10,0),VLOOKUP(B1217&amp;C1217&amp;Q1217,'New Weekly Paste'!B:O,6,0)),""),"")</f>
        <v>Fellows</v>
      </c>
      <c r="J1217" s="239">
        <f>IFERROR(IFERROR(VLOOKUP(B1217&amp;C1217&amp;Q1217,'New Weekly Paste'!A:M,8,0),VLOOKUP(B1217&amp;C1217&amp;Q1217,'New Weekly Paste'!B:O,10,0)),0)</f>
        <v>83.12</v>
      </c>
      <c r="K1217" s="239">
        <f>IFERROR(IFERROR(VLOOKUP(B1217&amp;I1217&amp;Q1217,'New Weekly Paste'!A:M,8,0),VLOOKUP(B1217&amp;I1217&amp;Q1217,'New Weekly Paste'!B:O,10,0)),0)</f>
        <v>64.56</v>
      </c>
      <c r="L1217" s="239">
        <f t="shared" si="25"/>
        <v>1</v>
      </c>
      <c r="M1217" s="36" t="str">
        <f t="shared" si="3"/>
        <v>Regular Season</v>
      </c>
      <c r="N1217" s="239" t="str">
        <f t="shared" si="26"/>
        <v>Fellows</v>
      </c>
      <c r="O1217" s="6">
        <f>VLOOKUP(D1217,'Mapped Opponent'!$G$4:$H$22,2,0)</f>
        <v>11</v>
      </c>
      <c r="P1217" s="6"/>
      <c r="Q1217" s="6" t="str">
        <f t="shared" si="4"/>
        <v>Week 11</v>
      </c>
      <c r="R1217" s="6" t="str">
        <f t="shared" si="5"/>
        <v>2017Week 11</v>
      </c>
      <c r="S1217" s="6">
        <f>IFERROR(__xludf.DUMMYFUNCTION("rank(J1217,FILTER(J:J,R:R=R1217))"),8.0)</f>
        <v>8</v>
      </c>
      <c r="T1217" s="6">
        <f t="shared" si="6"/>
        <v>4</v>
      </c>
      <c r="U1217" s="6">
        <f t="shared" si="7"/>
        <v>8</v>
      </c>
      <c r="V1217" s="42">
        <f>averageif(AllData!A:A,B1217,AllData!R:R)/vlookup(B1217,AllData!A:O,15,0)</f>
        <v>90.17282051</v>
      </c>
      <c r="W1217" s="6"/>
    </row>
    <row r="1218" ht="14.25" customHeight="1">
      <c r="A1218" s="6" t="str">
        <f t="shared" si="1"/>
        <v>2017Riley11</v>
      </c>
      <c r="B1218" s="59">
        <v>2017.0</v>
      </c>
      <c r="C1218" s="13" t="s">
        <v>67</v>
      </c>
      <c r="D1218" s="13" t="s">
        <v>150</v>
      </c>
      <c r="E1218" s="34"/>
      <c r="F1218" s="6"/>
      <c r="H1218" s="6"/>
      <c r="I1218" s="35" t="str">
        <f>IFERROR(IFERROR(IFERROR(VLOOKUP(B1218&amp;C1218&amp;Q1218,'New Weekly Paste'!A:M,10,0),VLOOKUP(B1218&amp;C1218&amp;Q1218,'New Weekly Paste'!B:O,6,0)),""),"")</f>
        <v>Hudspeath</v>
      </c>
      <c r="J1218" s="239">
        <f>IFERROR(IFERROR(VLOOKUP(B1218&amp;C1218&amp;Q1218,'New Weekly Paste'!A:M,8,0),VLOOKUP(B1218&amp;C1218&amp;Q1218,'New Weekly Paste'!B:O,10,0)),0)</f>
        <v>128.1</v>
      </c>
      <c r="K1218" s="239">
        <f>IFERROR(IFERROR(VLOOKUP(B1218&amp;I1218&amp;Q1218,'New Weekly Paste'!A:M,8,0),VLOOKUP(B1218&amp;I1218&amp;Q1218,'New Weekly Paste'!B:O,10,0)),0)</f>
        <v>121.74</v>
      </c>
      <c r="L1218" s="239">
        <f t="shared" si="25"/>
        <v>1</v>
      </c>
      <c r="M1218" s="36" t="str">
        <f t="shared" si="3"/>
        <v>Regular Season</v>
      </c>
      <c r="N1218" s="239" t="str">
        <f t="shared" si="26"/>
        <v>Hudspeath</v>
      </c>
      <c r="O1218" s="6">
        <f>VLOOKUP(D1218,'Mapped Opponent'!$G$4:$H$22,2,0)</f>
        <v>11</v>
      </c>
      <c r="P1218" s="6"/>
      <c r="Q1218" s="6" t="str">
        <f t="shared" si="4"/>
        <v>Week 11</v>
      </c>
      <c r="R1218" s="6" t="str">
        <f t="shared" si="5"/>
        <v>2017Week 11</v>
      </c>
      <c r="S1218" s="6">
        <f>IFERROR(__xludf.DUMMYFUNCTION("rank(J1218,FILTER(J:J,R:R=R1218))"),1.0)</f>
        <v>1</v>
      </c>
      <c r="T1218" s="6">
        <f t="shared" si="6"/>
        <v>11</v>
      </c>
      <c r="U1218" s="6">
        <f t="shared" si="7"/>
        <v>1</v>
      </c>
      <c r="V1218" s="42">
        <f>averageif(AllData!A:A,B1218,AllData!R:R)/vlookup(B1218,AllData!A:O,15,0)</f>
        <v>90.17282051</v>
      </c>
      <c r="W1218" s="6"/>
    </row>
    <row r="1219" ht="14.25" customHeight="1">
      <c r="A1219" s="6" t="str">
        <f t="shared" si="1"/>
        <v>2017Rooney/Jackson11</v>
      </c>
      <c r="B1219" s="59">
        <v>2017.0</v>
      </c>
      <c r="C1219" s="13" t="s">
        <v>57</v>
      </c>
      <c r="D1219" s="13" t="s">
        <v>150</v>
      </c>
      <c r="E1219" s="34"/>
      <c r="F1219" s="6"/>
      <c r="H1219" s="6"/>
      <c r="I1219" s="35" t="str">
        <f>IFERROR(IFERROR(IFERROR(VLOOKUP(B1219&amp;C1219&amp;Q1219,'New Weekly Paste'!A:M,10,0),VLOOKUP(B1219&amp;C1219&amp;Q1219,'New Weekly Paste'!B:O,6,0)),""),"")</f>
        <v>T-How</v>
      </c>
      <c r="J1219" s="239">
        <f>IFERROR(IFERROR(VLOOKUP(B1219&amp;C1219&amp;Q1219,'New Weekly Paste'!A:M,8,0),VLOOKUP(B1219&amp;C1219&amp;Q1219,'New Weekly Paste'!B:O,10,0)),0)</f>
        <v>98.48</v>
      </c>
      <c r="K1219" s="239">
        <f>IFERROR(IFERROR(VLOOKUP(B1219&amp;I1219&amp;Q1219,'New Weekly Paste'!A:M,8,0),VLOOKUP(B1219&amp;I1219&amp;Q1219,'New Weekly Paste'!B:O,10,0)),0)</f>
        <v>99.98</v>
      </c>
      <c r="L1219" s="239">
        <f t="shared" si="25"/>
        <v>0</v>
      </c>
      <c r="M1219" s="36" t="str">
        <f t="shared" si="3"/>
        <v>Regular Season</v>
      </c>
      <c r="N1219" s="239" t="str">
        <f t="shared" si="26"/>
        <v>T-How</v>
      </c>
      <c r="O1219" s="6">
        <f>VLOOKUP(D1219,'Mapped Opponent'!$G$4:$H$22,2,0)</f>
        <v>11</v>
      </c>
      <c r="P1219" s="6"/>
      <c r="Q1219" s="6" t="str">
        <f t="shared" si="4"/>
        <v>Week 11</v>
      </c>
      <c r="R1219" s="6" t="str">
        <f t="shared" si="5"/>
        <v>2017Week 11</v>
      </c>
      <c r="S1219" s="6">
        <f>IFERROR(__xludf.DUMMYFUNCTION("rank(J1219,FILTER(J:J,R:R=R1219))"),7.0)</f>
        <v>7</v>
      </c>
      <c r="T1219" s="6">
        <f t="shared" si="6"/>
        <v>5</v>
      </c>
      <c r="U1219" s="6">
        <f t="shared" si="7"/>
        <v>7</v>
      </c>
      <c r="V1219" s="42">
        <f>averageif(AllData!A:A,B1219,AllData!R:R)/vlookup(B1219,AllData!A:O,15,0)</f>
        <v>90.17282051</v>
      </c>
      <c r="W1219" s="6"/>
    </row>
    <row r="1220" ht="14.25" customHeight="1">
      <c r="A1220" s="6" t="str">
        <f t="shared" si="1"/>
        <v>2017Buser11</v>
      </c>
      <c r="B1220" s="59">
        <v>2017.0</v>
      </c>
      <c r="C1220" s="13" t="s">
        <v>47</v>
      </c>
      <c r="D1220" s="13" t="s">
        <v>150</v>
      </c>
      <c r="E1220" s="34"/>
      <c r="F1220" s="6"/>
      <c r="H1220" s="6"/>
      <c r="I1220" s="35" t="str">
        <f>IFERROR(IFERROR(IFERROR(VLOOKUP(B1220&amp;C1220&amp;Q1220,'New Weekly Paste'!A:M,10,0),VLOOKUP(B1220&amp;C1220&amp;Q1220,'New Weekly Paste'!B:O,6,0)),""),"")</f>
        <v>KnardDawg</v>
      </c>
      <c r="J1220" s="239">
        <f>IFERROR(IFERROR(VLOOKUP(B1220&amp;C1220&amp;Q1220,'New Weekly Paste'!A:M,8,0),VLOOKUP(B1220&amp;C1220&amp;Q1220,'New Weekly Paste'!B:O,10,0)),0)</f>
        <v>103.82</v>
      </c>
      <c r="K1220" s="239">
        <f>IFERROR(IFERROR(VLOOKUP(B1220&amp;I1220&amp;Q1220,'New Weekly Paste'!A:M,8,0),VLOOKUP(B1220&amp;I1220&amp;Q1220,'New Weekly Paste'!B:O,10,0)),0)</f>
        <v>114</v>
      </c>
      <c r="L1220" s="239">
        <f t="shared" si="25"/>
        <v>0</v>
      </c>
      <c r="M1220" s="36" t="str">
        <f t="shared" si="3"/>
        <v>Regular Season</v>
      </c>
      <c r="N1220" s="239" t="str">
        <f t="shared" si="26"/>
        <v>KnardDawg</v>
      </c>
      <c r="O1220" s="6">
        <f>VLOOKUP(D1220,'Mapped Opponent'!$G$4:$H$22,2,0)</f>
        <v>11</v>
      </c>
      <c r="P1220" s="6"/>
      <c r="Q1220" s="6" t="str">
        <f t="shared" si="4"/>
        <v>Week 11</v>
      </c>
      <c r="R1220" s="6" t="str">
        <f t="shared" si="5"/>
        <v>2017Week 11</v>
      </c>
      <c r="S1220" s="6">
        <f>IFERROR(__xludf.DUMMYFUNCTION("rank(J1220,FILTER(J:J,R:R=R1220))"),5.0)</f>
        <v>5</v>
      </c>
      <c r="T1220" s="6">
        <f t="shared" si="6"/>
        <v>7</v>
      </c>
      <c r="U1220" s="6">
        <f t="shared" si="7"/>
        <v>5</v>
      </c>
      <c r="V1220" s="42">
        <f>averageif(AllData!A:A,B1220,AllData!R:R)/vlookup(B1220,AllData!A:O,15,0)</f>
        <v>90.17282051</v>
      </c>
      <c r="W1220" s="6"/>
    </row>
    <row r="1221" ht="14.25" customHeight="1">
      <c r="A1221" s="6" t="str">
        <f t="shared" si="1"/>
        <v>2017Pierson11</v>
      </c>
      <c r="B1221" s="59">
        <v>2017.0</v>
      </c>
      <c r="C1221" s="13" t="s">
        <v>92</v>
      </c>
      <c r="D1221" s="13" t="s">
        <v>150</v>
      </c>
      <c r="E1221" s="34"/>
      <c r="F1221" s="6"/>
      <c r="H1221" s="6"/>
      <c r="I1221" s="35" t="str">
        <f>IFERROR(IFERROR(IFERROR(VLOOKUP(B1221&amp;C1221&amp;Q1221,'New Weekly Paste'!A:M,10,0),VLOOKUP(B1221&amp;C1221&amp;Q1221,'New Weekly Paste'!B:O,6,0)),""),"")</f>
        <v>Cock</v>
      </c>
      <c r="J1221" s="239">
        <f>IFERROR(IFERROR(VLOOKUP(B1221&amp;C1221&amp;Q1221,'New Weekly Paste'!A:M,8,0),VLOOKUP(B1221&amp;C1221&amp;Q1221,'New Weekly Paste'!B:O,10,0)),0)</f>
        <v>72.2</v>
      </c>
      <c r="K1221" s="239">
        <f>IFERROR(IFERROR(VLOOKUP(B1221&amp;I1221&amp;Q1221,'New Weekly Paste'!A:M,8,0),VLOOKUP(B1221&amp;I1221&amp;Q1221,'New Weekly Paste'!B:O,10,0)),0)</f>
        <v>119.5</v>
      </c>
      <c r="L1221" s="239">
        <f t="shared" si="25"/>
        <v>0</v>
      </c>
      <c r="M1221" s="36" t="str">
        <f t="shared" si="3"/>
        <v>Regular Season</v>
      </c>
      <c r="N1221" s="239" t="str">
        <f t="shared" si="26"/>
        <v>Cock</v>
      </c>
      <c r="O1221" s="6">
        <f>VLOOKUP(D1221,'Mapped Opponent'!$G$4:$H$22,2,0)</f>
        <v>11</v>
      </c>
      <c r="P1221" s="6"/>
      <c r="Q1221" s="6" t="str">
        <f t="shared" si="4"/>
        <v>Week 11</v>
      </c>
      <c r="R1221" s="6" t="str">
        <f t="shared" si="5"/>
        <v>2017Week 11</v>
      </c>
      <c r="S1221" s="6">
        <f>IFERROR(__xludf.DUMMYFUNCTION("rank(J1221,FILTER(J:J,R:R=R1221))"),10.0)</f>
        <v>10</v>
      </c>
      <c r="T1221" s="6">
        <f t="shared" si="6"/>
        <v>2</v>
      </c>
      <c r="U1221" s="6">
        <f t="shared" si="7"/>
        <v>10</v>
      </c>
      <c r="V1221" s="42">
        <f>averageif(AllData!A:A,B1221,AllData!R:R)/vlookup(B1221,AllData!A:O,15,0)</f>
        <v>90.17282051</v>
      </c>
      <c r="W1221" s="6"/>
    </row>
    <row r="1222" ht="14.25" customHeight="1">
      <c r="A1222" s="6" t="str">
        <f t="shared" si="1"/>
        <v>2017Cock11</v>
      </c>
      <c r="B1222" s="59">
        <v>2017.0</v>
      </c>
      <c r="C1222" s="13" t="s">
        <v>72</v>
      </c>
      <c r="D1222" s="13" t="s">
        <v>150</v>
      </c>
      <c r="E1222" s="34"/>
      <c r="F1222" s="6"/>
      <c r="H1222" s="6"/>
      <c r="I1222" s="35" t="str">
        <f>IFERROR(IFERROR(IFERROR(VLOOKUP(B1222&amp;C1222&amp;Q1222,'New Weekly Paste'!A:M,10,0),VLOOKUP(B1222&amp;C1222&amp;Q1222,'New Weekly Paste'!B:O,6,0)),""),"")</f>
        <v>Pierson</v>
      </c>
      <c r="J1222" s="239">
        <f>IFERROR(IFERROR(VLOOKUP(B1222&amp;C1222&amp;Q1222,'New Weekly Paste'!A:M,8,0),VLOOKUP(B1222&amp;C1222&amp;Q1222,'New Weekly Paste'!B:O,10,0)),0)</f>
        <v>119.5</v>
      </c>
      <c r="K1222" s="239">
        <f>IFERROR(IFERROR(VLOOKUP(B1222&amp;I1222&amp;Q1222,'New Weekly Paste'!A:M,8,0),VLOOKUP(B1222&amp;I1222&amp;Q1222,'New Weekly Paste'!B:O,10,0)),0)</f>
        <v>72.2</v>
      </c>
      <c r="L1222" s="239">
        <f t="shared" si="25"/>
        <v>1</v>
      </c>
      <c r="M1222" s="36" t="str">
        <f t="shared" si="3"/>
        <v>Regular Season</v>
      </c>
      <c r="N1222" s="239" t="str">
        <f t="shared" si="26"/>
        <v>Pierson</v>
      </c>
      <c r="O1222" s="6">
        <f>VLOOKUP(D1222,'Mapped Opponent'!$G$4:$H$22,2,0)</f>
        <v>11</v>
      </c>
      <c r="P1222" s="6"/>
      <c r="Q1222" s="6" t="str">
        <f t="shared" si="4"/>
        <v>Week 11</v>
      </c>
      <c r="R1222" s="6" t="str">
        <f t="shared" si="5"/>
        <v>2017Week 11</v>
      </c>
      <c r="S1222" s="6">
        <f>IFERROR(__xludf.DUMMYFUNCTION("rank(J1222,FILTER(J:J,R:R=R1222))"),3.0)</f>
        <v>3</v>
      </c>
      <c r="T1222" s="6">
        <f t="shared" si="6"/>
        <v>9</v>
      </c>
      <c r="U1222" s="6">
        <f t="shared" si="7"/>
        <v>3</v>
      </c>
      <c r="V1222" s="42">
        <f>averageif(AllData!A:A,B1222,AllData!R:R)/vlookup(B1222,AllData!A:O,15,0)</f>
        <v>90.17282051</v>
      </c>
      <c r="W1222" s="6"/>
    </row>
    <row r="1223" ht="14.25" customHeight="1">
      <c r="A1223" s="6" t="str">
        <f t="shared" si="1"/>
        <v>2017Tayski11</v>
      </c>
      <c r="B1223" s="59">
        <v>2017.0</v>
      </c>
      <c r="C1223" s="13" t="s">
        <v>52</v>
      </c>
      <c r="D1223" s="13" t="s">
        <v>150</v>
      </c>
      <c r="E1223" s="34"/>
      <c r="F1223" s="6"/>
      <c r="H1223" s="6"/>
      <c r="I1223" s="35" t="str">
        <f>IFERROR(IFERROR(IFERROR(VLOOKUP(B1223&amp;C1223&amp;Q1223,'New Weekly Paste'!A:M,10,0),VLOOKUP(B1223&amp;C1223&amp;Q1223,'New Weekly Paste'!B:O,6,0)),""),"")</f>
        <v>Salty</v>
      </c>
      <c r="J1223" s="239">
        <f>IFERROR(IFERROR(VLOOKUP(B1223&amp;C1223&amp;Q1223,'New Weekly Paste'!A:M,8,0),VLOOKUP(B1223&amp;C1223&amp;Q1223,'New Weekly Paste'!B:O,10,0)),0)</f>
        <v>79.74</v>
      </c>
      <c r="K1223" s="239">
        <f>IFERROR(IFERROR(VLOOKUP(B1223&amp;I1223&amp;Q1223,'New Weekly Paste'!A:M,8,0),VLOOKUP(B1223&amp;I1223&amp;Q1223,'New Weekly Paste'!B:O,10,0)),0)</f>
        <v>38.4</v>
      </c>
      <c r="L1223" s="239">
        <f t="shared" si="25"/>
        <v>1</v>
      </c>
      <c r="M1223" s="36" t="str">
        <f t="shared" si="3"/>
        <v>Regular Season</v>
      </c>
      <c r="N1223" s="239" t="str">
        <f t="shared" si="26"/>
        <v>Salty</v>
      </c>
      <c r="O1223" s="6">
        <f>VLOOKUP(D1223,'Mapped Opponent'!$G$4:$H$22,2,0)</f>
        <v>11</v>
      </c>
      <c r="P1223" s="6"/>
      <c r="Q1223" s="6" t="str">
        <f t="shared" si="4"/>
        <v>Week 11</v>
      </c>
      <c r="R1223" s="6" t="str">
        <f t="shared" si="5"/>
        <v>2017Week 11</v>
      </c>
      <c r="S1223" s="6">
        <f>IFERROR(__xludf.DUMMYFUNCTION("rank(J1223,FILTER(J:J,R:R=R1223))"),9.0)</f>
        <v>9</v>
      </c>
      <c r="T1223" s="6">
        <f t="shared" si="6"/>
        <v>3</v>
      </c>
      <c r="U1223" s="6">
        <f t="shared" si="7"/>
        <v>9</v>
      </c>
      <c r="V1223" s="42">
        <f>averageif(AllData!A:A,B1223,AllData!R:R)/vlookup(B1223,AllData!A:O,15,0)</f>
        <v>90.17282051</v>
      </c>
      <c r="W1223" s="6"/>
    </row>
    <row r="1224" ht="14.25" customHeight="1">
      <c r="A1224" s="6" t="str">
        <f t="shared" si="1"/>
        <v>2017KnardDawg11</v>
      </c>
      <c r="B1224" s="59">
        <v>2017.0</v>
      </c>
      <c r="C1224" s="13" t="s">
        <v>86</v>
      </c>
      <c r="D1224" s="13" t="s">
        <v>150</v>
      </c>
      <c r="E1224" s="34"/>
      <c r="F1224" s="6"/>
      <c r="H1224" s="6"/>
      <c r="I1224" s="35" t="str">
        <f>IFERROR(IFERROR(IFERROR(VLOOKUP(B1224&amp;C1224&amp;Q1224,'New Weekly Paste'!A:M,10,0),VLOOKUP(B1224&amp;C1224&amp;Q1224,'New Weekly Paste'!B:O,6,0)),""),"")</f>
        <v>Buser</v>
      </c>
      <c r="J1224" s="239">
        <f>IFERROR(IFERROR(VLOOKUP(B1224&amp;C1224&amp;Q1224,'New Weekly Paste'!A:M,8,0),VLOOKUP(B1224&amp;C1224&amp;Q1224,'New Weekly Paste'!B:O,10,0)),0)</f>
        <v>114</v>
      </c>
      <c r="K1224" s="239">
        <f>IFERROR(IFERROR(VLOOKUP(B1224&amp;I1224&amp;Q1224,'New Weekly Paste'!A:M,8,0),VLOOKUP(B1224&amp;I1224&amp;Q1224,'New Weekly Paste'!B:O,10,0)),0)</f>
        <v>103.82</v>
      </c>
      <c r="L1224" s="239">
        <f t="shared" si="25"/>
        <v>1</v>
      </c>
      <c r="M1224" s="36" t="str">
        <f t="shared" si="3"/>
        <v>Regular Season</v>
      </c>
      <c r="N1224" s="239" t="str">
        <f t="shared" si="26"/>
        <v>Buser</v>
      </c>
      <c r="O1224" s="6">
        <f>VLOOKUP(D1224,'Mapped Opponent'!$G$4:$H$22,2,0)</f>
        <v>11</v>
      </c>
      <c r="P1224" s="6"/>
      <c r="Q1224" s="6" t="str">
        <f t="shared" si="4"/>
        <v>Week 11</v>
      </c>
      <c r="R1224" s="6" t="str">
        <f t="shared" si="5"/>
        <v>2017Week 11</v>
      </c>
      <c r="S1224" s="6">
        <f>IFERROR(__xludf.DUMMYFUNCTION("rank(J1224,FILTER(J:J,R:R=R1224))"),4.0)</f>
        <v>4</v>
      </c>
      <c r="T1224" s="6">
        <f t="shared" si="6"/>
        <v>8</v>
      </c>
      <c r="U1224" s="6">
        <f t="shared" si="7"/>
        <v>4</v>
      </c>
      <c r="V1224" s="42">
        <f>averageif(AllData!A:A,B1224,AllData!R:R)/vlookup(B1224,AllData!A:O,15,0)</f>
        <v>90.17282051</v>
      </c>
      <c r="W1224" s="6"/>
    </row>
    <row r="1225" ht="14.25" customHeight="1">
      <c r="A1225" s="6" t="str">
        <f t="shared" si="1"/>
        <v>2017T-How11</v>
      </c>
      <c r="B1225" s="59">
        <v>2017.0</v>
      </c>
      <c r="C1225" s="13" t="s">
        <v>82</v>
      </c>
      <c r="D1225" s="13" t="s">
        <v>150</v>
      </c>
      <c r="E1225" s="34"/>
      <c r="F1225" s="6"/>
      <c r="H1225" s="6"/>
      <c r="I1225" s="35" t="str">
        <f>IFERROR(IFERROR(IFERROR(VLOOKUP(B1225&amp;C1225&amp;Q1225,'New Weekly Paste'!A:M,10,0),VLOOKUP(B1225&amp;C1225&amp;Q1225,'New Weekly Paste'!B:O,6,0)),""),"")</f>
        <v>Rooney/Jackson</v>
      </c>
      <c r="J1225" s="239">
        <f>IFERROR(IFERROR(VLOOKUP(B1225&amp;C1225&amp;Q1225,'New Weekly Paste'!A:M,8,0),VLOOKUP(B1225&amp;C1225&amp;Q1225,'New Weekly Paste'!B:O,10,0)),0)</f>
        <v>99.98</v>
      </c>
      <c r="K1225" s="239">
        <f>IFERROR(IFERROR(VLOOKUP(B1225&amp;I1225&amp;Q1225,'New Weekly Paste'!A:M,8,0),VLOOKUP(B1225&amp;I1225&amp;Q1225,'New Weekly Paste'!B:O,10,0)),0)</f>
        <v>98.48</v>
      </c>
      <c r="L1225" s="239">
        <f t="shared" si="25"/>
        <v>1</v>
      </c>
      <c r="M1225" s="36" t="str">
        <f t="shared" si="3"/>
        <v>Regular Season</v>
      </c>
      <c r="N1225" s="239" t="str">
        <f t="shared" si="26"/>
        <v>Rooney/Jackson</v>
      </c>
      <c r="O1225" s="6">
        <f>VLOOKUP(D1225,'Mapped Opponent'!$G$4:$H$22,2,0)</f>
        <v>11</v>
      </c>
      <c r="P1225" s="6"/>
      <c r="Q1225" s="6" t="str">
        <f t="shared" si="4"/>
        <v>Week 11</v>
      </c>
      <c r="R1225" s="6" t="str">
        <f t="shared" si="5"/>
        <v>2017Week 11</v>
      </c>
      <c r="S1225" s="6">
        <f>IFERROR(__xludf.DUMMYFUNCTION("rank(J1225,FILTER(J:J,R:R=R1225))"),6.0)</f>
        <v>6</v>
      </c>
      <c r="T1225" s="6">
        <f t="shared" si="6"/>
        <v>6</v>
      </c>
      <c r="U1225" s="6">
        <f t="shared" si="7"/>
        <v>6</v>
      </c>
      <c r="V1225" s="42">
        <f>averageif(AllData!A:A,B1225,AllData!R:R)/vlookup(B1225,AllData!A:O,15,0)</f>
        <v>90.17282051</v>
      </c>
      <c r="W1225" s="6"/>
    </row>
    <row r="1226" ht="14.25" customHeight="1">
      <c r="A1226" s="6" t="str">
        <f t="shared" si="1"/>
        <v>2017Hudspeath12</v>
      </c>
      <c r="B1226" s="59">
        <v>2017.0</v>
      </c>
      <c r="C1226" s="13" t="s">
        <v>39</v>
      </c>
      <c r="D1226" s="13" t="s">
        <v>151</v>
      </c>
      <c r="E1226" s="34"/>
      <c r="F1226" s="6"/>
      <c r="H1226" s="6"/>
      <c r="I1226" s="35" t="str">
        <f>IFERROR(IFERROR(IFERROR(VLOOKUP(B1226&amp;C1226&amp;Q1226,'New Weekly Paste'!A:M,10,0),VLOOKUP(B1226&amp;C1226&amp;Q1226,'New Weekly Paste'!B:O,6,0)),""),"")</f>
        <v>KnardDawg</v>
      </c>
      <c r="J1226" s="239">
        <f>IFERROR(IFERROR(VLOOKUP(B1226&amp;C1226&amp;Q1226,'New Weekly Paste'!A:M,8,0),VLOOKUP(B1226&amp;C1226&amp;Q1226,'New Weekly Paste'!B:O,10,0)),0)</f>
        <v>109.06</v>
      </c>
      <c r="K1226" s="239">
        <f>IFERROR(IFERROR(VLOOKUP(B1226&amp;I1226&amp;Q1226,'New Weekly Paste'!A:M,8,0),VLOOKUP(B1226&amp;I1226&amp;Q1226,'New Weekly Paste'!B:O,10,0)),0)</f>
        <v>102.92</v>
      </c>
      <c r="L1226" s="239">
        <f t="shared" si="25"/>
        <v>1</v>
      </c>
      <c r="M1226" s="36" t="str">
        <f t="shared" si="3"/>
        <v>Regular Season</v>
      </c>
      <c r="N1226" s="239" t="str">
        <f t="shared" si="26"/>
        <v>KnardDawg</v>
      </c>
      <c r="O1226" s="6">
        <f>VLOOKUP(D1226,'Mapped Opponent'!$G$4:$H$22,2,0)</f>
        <v>12</v>
      </c>
      <c r="P1226" s="6"/>
      <c r="Q1226" s="6" t="str">
        <f t="shared" si="4"/>
        <v>Week 12</v>
      </c>
      <c r="R1226" s="6" t="str">
        <f t="shared" si="5"/>
        <v>2017Week 12</v>
      </c>
      <c r="S1226" s="6">
        <f>IFERROR(__xludf.DUMMYFUNCTION("rank(J1226,FILTER(J:J,R:R=R1226))"),4.0)</f>
        <v>4</v>
      </c>
      <c r="T1226" s="6">
        <f t="shared" si="6"/>
        <v>8</v>
      </c>
      <c r="U1226" s="6">
        <f t="shared" si="7"/>
        <v>4</v>
      </c>
      <c r="V1226" s="42">
        <f>averageif(AllData!A:A,B1226,AllData!R:R)/vlookup(B1226,AllData!A:O,15,0)</f>
        <v>90.17282051</v>
      </c>
      <c r="W1226" s="6"/>
    </row>
    <row r="1227" ht="14.25" customHeight="1">
      <c r="A1227" s="6" t="str">
        <f t="shared" si="1"/>
        <v>2017Salty12</v>
      </c>
      <c r="B1227" s="59">
        <v>2017.0</v>
      </c>
      <c r="C1227" s="13" t="s">
        <v>76</v>
      </c>
      <c r="D1227" s="13" t="s">
        <v>151</v>
      </c>
      <c r="E1227" s="34"/>
      <c r="F1227" s="6"/>
      <c r="H1227" s="6"/>
      <c r="I1227" s="35" t="str">
        <f>IFERROR(IFERROR(IFERROR(VLOOKUP(B1227&amp;C1227&amp;Q1227,'New Weekly Paste'!A:M,10,0),VLOOKUP(B1227&amp;C1227&amp;Q1227,'New Weekly Paste'!B:O,6,0)),""),"")</f>
        <v>Pierson</v>
      </c>
      <c r="J1227" s="239">
        <f>IFERROR(IFERROR(VLOOKUP(B1227&amp;C1227&amp;Q1227,'New Weekly Paste'!A:M,8,0),VLOOKUP(B1227&amp;C1227&amp;Q1227,'New Weekly Paste'!B:O,10,0)),0)</f>
        <v>113.38</v>
      </c>
      <c r="K1227" s="239">
        <f>IFERROR(IFERROR(VLOOKUP(B1227&amp;I1227&amp;Q1227,'New Weekly Paste'!A:M,8,0),VLOOKUP(B1227&amp;I1227&amp;Q1227,'New Weekly Paste'!B:O,10,0)),0)</f>
        <v>80.16</v>
      </c>
      <c r="L1227" s="239">
        <f t="shared" si="25"/>
        <v>1</v>
      </c>
      <c r="M1227" s="36" t="str">
        <f t="shared" si="3"/>
        <v>Regular Season</v>
      </c>
      <c r="N1227" s="239" t="str">
        <f t="shared" si="26"/>
        <v>Pierson</v>
      </c>
      <c r="O1227" s="6">
        <f>VLOOKUP(D1227,'Mapped Opponent'!$G$4:$H$22,2,0)</f>
        <v>12</v>
      </c>
      <c r="P1227" s="6"/>
      <c r="Q1227" s="6" t="str">
        <f t="shared" si="4"/>
        <v>Week 12</v>
      </c>
      <c r="R1227" s="6" t="str">
        <f t="shared" si="5"/>
        <v>2017Week 12</v>
      </c>
      <c r="S1227" s="6">
        <f>IFERROR(__xludf.DUMMYFUNCTION("rank(J1227,FILTER(J:J,R:R=R1227))"),3.0)</f>
        <v>3</v>
      </c>
      <c r="T1227" s="6">
        <f t="shared" si="6"/>
        <v>9</v>
      </c>
      <c r="U1227" s="6">
        <f t="shared" si="7"/>
        <v>3</v>
      </c>
      <c r="V1227" s="42">
        <f>averageif(AllData!A:A,B1227,AllData!R:R)/vlookup(B1227,AllData!A:O,15,0)</f>
        <v>90.17282051</v>
      </c>
      <c r="W1227" s="6"/>
    </row>
    <row r="1228" ht="14.25" customHeight="1">
      <c r="A1228" s="6" t="str">
        <f t="shared" si="1"/>
        <v>2017Fellows12</v>
      </c>
      <c r="B1228" s="59">
        <v>2017.0</v>
      </c>
      <c r="C1228" s="13" t="s">
        <v>79</v>
      </c>
      <c r="D1228" s="13" t="s">
        <v>151</v>
      </c>
      <c r="E1228" s="34"/>
      <c r="F1228" s="6"/>
      <c r="H1228" s="6"/>
      <c r="I1228" s="35" t="str">
        <f>IFERROR(IFERROR(IFERROR(VLOOKUP(B1228&amp;C1228&amp;Q1228,'New Weekly Paste'!A:M,10,0),VLOOKUP(B1228&amp;C1228&amp;Q1228,'New Weekly Paste'!B:O,6,0)),""),"")</f>
        <v>Buser</v>
      </c>
      <c r="J1228" s="239">
        <f>IFERROR(IFERROR(VLOOKUP(B1228&amp;C1228&amp;Q1228,'New Weekly Paste'!A:M,8,0),VLOOKUP(B1228&amp;C1228&amp;Q1228,'New Weekly Paste'!B:O,10,0)),0)</f>
        <v>58.02</v>
      </c>
      <c r="K1228" s="239">
        <f>IFERROR(IFERROR(VLOOKUP(B1228&amp;I1228&amp;Q1228,'New Weekly Paste'!A:M,8,0),VLOOKUP(B1228&amp;I1228&amp;Q1228,'New Weekly Paste'!B:O,10,0)),0)</f>
        <v>101.58</v>
      </c>
      <c r="L1228" s="239">
        <f t="shared" si="25"/>
        <v>0</v>
      </c>
      <c r="M1228" s="36" t="str">
        <f t="shared" si="3"/>
        <v>Regular Season</v>
      </c>
      <c r="N1228" s="239" t="str">
        <f t="shared" si="26"/>
        <v>Buser</v>
      </c>
      <c r="O1228" s="6">
        <f>VLOOKUP(D1228,'Mapped Opponent'!$G$4:$H$22,2,0)</f>
        <v>12</v>
      </c>
      <c r="P1228" s="6"/>
      <c r="Q1228" s="6" t="str">
        <f t="shared" si="4"/>
        <v>Week 12</v>
      </c>
      <c r="R1228" s="6" t="str">
        <f t="shared" si="5"/>
        <v>2017Week 12</v>
      </c>
      <c r="S1228" s="6">
        <f>IFERROR(__xludf.DUMMYFUNCTION("rank(J1228,FILTER(J:J,R:R=R1228))"),10.0)</f>
        <v>10</v>
      </c>
      <c r="T1228" s="6">
        <f t="shared" si="6"/>
        <v>2</v>
      </c>
      <c r="U1228" s="6">
        <f t="shared" si="7"/>
        <v>10</v>
      </c>
      <c r="V1228" s="42">
        <f>averageif(AllData!A:A,B1228,AllData!R:R)/vlookup(B1228,AllData!A:O,15,0)</f>
        <v>90.17282051</v>
      </c>
      <c r="W1228" s="6"/>
    </row>
    <row r="1229" ht="14.25" customHeight="1">
      <c r="A1229" s="6" t="str">
        <f t="shared" si="1"/>
        <v>2017Shep12</v>
      </c>
      <c r="B1229" s="59">
        <v>2017.0</v>
      </c>
      <c r="C1229" s="13" t="s">
        <v>89</v>
      </c>
      <c r="D1229" s="13" t="s">
        <v>151</v>
      </c>
      <c r="E1229" s="34"/>
      <c r="F1229" s="6"/>
      <c r="H1229" s="6"/>
      <c r="I1229" s="35" t="str">
        <f>IFERROR(IFERROR(IFERROR(VLOOKUP(B1229&amp;C1229&amp;Q1229,'New Weekly Paste'!A:M,10,0),VLOOKUP(B1229&amp;C1229&amp;Q1229,'New Weekly Paste'!B:O,6,0)),""),"")</f>
        <v>Tayski</v>
      </c>
      <c r="J1229" s="239">
        <f>IFERROR(IFERROR(VLOOKUP(B1229&amp;C1229&amp;Q1229,'New Weekly Paste'!A:M,8,0),VLOOKUP(B1229&amp;C1229&amp;Q1229,'New Weekly Paste'!B:O,10,0)),0)</f>
        <v>96.62</v>
      </c>
      <c r="K1229" s="239">
        <f>IFERROR(IFERROR(VLOOKUP(B1229&amp;I1229&amp;Q1229,'New Weekly Paste'!A:M,8,0),VLOOKUP(B1229&amp;I1229&amp;Q1229,'New Weekly Paste'!B:O,10,0)),0)</f>
        <v>48.66</v>
      </c>
      <c r="L1229" s="239">
        <f t="shared" si="25"/>
        <v>1</v>
      </c>
      <c r="M1229" s="36" t="str">
        <f t="shared" si="3"/>
        <v>Regular Season</v>
      </c>
      <c r="N1229" s="239" t="str">
        <f t="shared" si="26"/>
        <v>Tayski</v>
      </c>
      <c r="O1229" s="6">
        <f>VLOOKUP(D1229,'Mapped Opponent'!$G$4:$H$22,2,0)</f>
        <v>12</v>
      </c>
      <c r="P1229" s="6"/>
      <c r="Q1229" s="6" t="str">
        <f t="shared" si="4"/>
        <v>Week 12</v>
      </c>
      <c r="R1229" s="6" t="str">
        <f t="shared" si="5"/>
        <v>2017Week 12</v>
      </c>
      <c r="S1229" s="6">
        <f>IFERROR(__xludf.DUMMYFUNCTION("rank(J1229,FILTER(J:J,R:R=R1229))"),8.0)</f>
        <v>8</v>
      </c>
      <c r="T1229" s="6">
        <f t="shared" si="6"/>
        <v>4</v>
      </c>
      <c r="U1229" s="6">
        <f t="shared" si="7"/>
        <v>8</v>
      </c>
      <c r="V1229" s="42">
        <f>averageif(AllData!A:A,B1229,AllData!R:R)/vlookup(B1229,AllData!A:O,15,0)</f>
        <v>90.17282051</v>
      </c>
      <c r="W1229" s="6"/>
    </row>
    <row r="1230" ht="14.25" customHeight="1">
      <c r="A1230" s="6" t="str">
        <f t="shared" si="1"/>
        <v>2017Riley12</v>
      </c>
      <c r="B1230" s="59">
        <v>2017.0</v>
      </c>
      <c r="C1230" s="13" t="s">
        <v>67</v>
      </c>
      <c r="D1230" s="13" t="s">
        <v>151</v>
      </c>
      <c r="E1230" s="34"/>
      <c r="F1230" s="6"/>
      <c r="H1230" s="6"/>
      <c r="I1230" s="35" t="str">
        <f>IFERROR(IFERROR(IFERROR(VLOOKUP(B1230&amp;C1230&amp;Q1230,'New Weekly Paste'!A:M,10,0),VLOOKUP(B1230&amp;C1230&amp;Q1230,'New Weekly Paste'!B:O,6,0)),""),"")</f>
        <v>T-How</v>
      </c>
      <c r="J1230" s="239">
        <f>IFERROR(IFERROR(VLOOKUP(B1230&amp;C1230&amp;Q1230,'New Weekly Paste'!A:M,8,0),VLOOKUP(B1230&amp;C1230&amp;Q1230,'New Weekly Paste'!B:O,10,0)),0)</f>
        <v>130.98</v>
      </c>
      <c r="K1230" s="239">
        <f>IFERROR(IFERROR(VLOOKUP(B1230&amp;I1230&amp;Q1230,'New Weekly Paste'!A:M,8,0),VLOOKUP(B1230&amp;I1230&amp;Q1230,'New Weekly Paste'!B:O,10,0)),0)</f>
        <v>103.58</v>
      </c>
      <c r="L1230" s="239">
        <f t="shared" si="25"/>
        <v>1</v>
      </c>
      <c r="M1230" s="36" t="str">
        <f t="shared" si="3"/>
        <v>Regular Season</v>
      </c>
      <c r="N1230" s="239" t="str">
        <f t="shared" si="26"/>
        <v>T-How</v>
      </c>
      <c r="O1230" s="6">
        <f>VLOOKUP(D1230,'Mapped Opponent'!$G$4:$H$22,2,0)</f>
        <v>12</v>
      </c>
      <c r="P1230" s="6"/>
      <c r="Q1230" s="6" t="str">
        <f t="shared" si="4"/>
        <v>Week 12</v>
      </c>
      <c r="R1230" s="6" t="str">
        <f t="shared" si="5"/>
        <v>2017Week 12</v>
      </c>
      <c r="S1230" s="6">
        <f>IFERROR(__xludf.DUMMYFUNCTION("rank(J1230,FILTER(J:J,R:R=R1230))"),1.0)</f>
        <v>1</v>
      </c>
      <c r="T1230" s="6">
        <f t="shared" si="6"/>
        <v>11</v>
      </c>
      <c r="U1230" s="6">
        <f t="shared" si="7"/>
        <v>1</v>
      </c>
      <c r="V1230" s="42">
        <f>averageif(AllData!A:A,B1230,AllData!R:R)/vlookup(B1230,AllData!A:O,15,0)</f>
        <v>90.17282051</v>
      </c>
      <c r="W1230" s="6"/>
    </row>
    <row r="1231" ht="14.25" customHeight="1">
      <c r="A1231" s="6" t="str">
        <f t="shared" si="1"/>
        <v>2017Rooney/Jackson12</v>
      </c>
      <c r="B1231" s="59">
        <v>2017.0</v>
      </c>
      <c r="C1231" s="13" t="s">
        <v>57</v>
      </c>
      <c r="D1231" s="13" t="s">
        <v>151</v>
      </c>
      <c r="E1231" s="34"/>
      <c r="F1231" s="6"/>
      <c r="H1231" s="6"/>
      <c r="I1231" s="35" t="str">
        <f>IFERROR(IFERROR(IFERROR(VLOOKUP(B1231&amp;C1231&amp;Q1231,'New Weekly Paste'!A:M,10,0),VLOOKUP(B1231&amp;C1231&amp;Q1231,'New Weekly Paste'!B:O,6,0)),""),"")</f>
        <v>Cock</v>
      </c>
      <c r="J1231" s="239">
        <f>IFERROR(IFERROR(VLOOKUP(B1231&amp;C1231&amp;Q1231,'New Weekly Paste'!A:M,8,0),VLOOKUP(B1231&amp;C1231&amp;Q1231,'New Weekly Paste'!B:O,10,0)),0)</f>
        <v>51.22</v>
      </c>
      <c r="K1231" s="239">
        <f>IFERROR(IFERROR(VLOOKUP(B1231&amp;I1231&amp;Q1231,'New Weekly Paste'!A:M,8,0),VLOOKUP(B1231&amp;I1231&amp;Q1231,'New Weekly Paste'!B:O,10,0)),0)</f>
        <v>120.04</v>
      </c>
      <c r="L1231" s="239">
        <f t="shared" si="25"/>
        <v>0</v>
      </c>
      <c r="M1231" s="36" t="str">
        <f t="shared" si="3"/>
        <v>Regular Season</v>
      </c>
      <c r="N1231" s="239" t="str">
        <f t="shared" si="26"/>
        <v>Cock</v>
      </c>
      <c r="O1231" s="6">
        <f>VLOOKUP(D1231,'Mapped Opponent'!$G$4:$H$22,2,0)</f>
        <v>12</v>
      </c>
      <c r="P1231" s="6"/>
      <c r="Q1231" s="6" t="str">
        <f t="shared" si="4"/>
        <v>Week 12</v>
      </c>
      <c r="R1231" s="6" t="str">
        <f t="shared" si="5"/>
        <v>2017Week 12</v>
      </c>
      <c r="S1231" s="6">
        <f>IFERROR(__xludf.DUMMYFUNCTION("rank(J1231,FILTER(J:J,R:R=R1231))"),11.0)</f>
        <v>11</v>
      </c>
      <c r="T1231" s="6">
        <f t="shared" si="6"/>
        <v>1</v>
      </c>
      <c r="U1231" s="6">
        <f t="shared" si="7"/>
        <v>11</v>
      </c>
      <c r="V1231" s="42">
        <f>averageif(AllData!A:A,B1231,AllData!R:R)/vlookup(B1231,AllData!A:O,15,0)</f>
        <v>90.17282051</v>
      </c>
      <c r="W1231" s="6"/>
    </row>
    <row r="1232" ht="14.25" customHeight="1">
      <c r="A1232" s="6" t="str">
        <f t="shared" si="1"/>
        <v>2017Buser12</v>
      </c>
      <c r="B1232" s="59">
        <v>2017.0</v>
      </c>
      <c r="C1232" s="13" t="s">
        <v>47</v>
      </c>
      <c r="D1232" s="13" t="s">
        <v>151</v>
      </c>
      <c r="E1232" s="34"/>
      <c r="F1232" s="6"/>
      <c r="H1232" s="6"/>
      <c r="I1232" s="35" t="str">
        <f>IFERROR(IFERROR(IFERROR(VLOOKUP(B1232&amp;C1232&amp;Q1232,'New Weekly Paste'!A:M,10,0),VLOOKUP(B1232&amp;C1232&amp;Q1232,'New Weekly Paste'!B:O,6,0)),""),"")</f>
        <v>Fellows</v>
      </c>
      <c r="J1232" s="239">
        <f>IFERROR(IFERROR(VLOOKUP(B1232&amp;C1232&amp;Q1232,'New Weekly Paste'!A:M,8,0),VLOOKUP(B1232&amp;C1232&amp;Q1232,'New Weekly Paste'!B:O,10,0)),0)</f>
        <v>101.58</v>
      </c>
      <c r="K1232" s="239">
        <f>IFERROR(IFERROR(VLOOKUP(B1232&amp;I1232&amp;Q1232,'New Weekly Paste'!A:M,8,0),VLOOKUP(B1232&amp;I1232&amp;Q1232,'New Weekly Paste'!B:O,10,0)),0)</f>
        <v>58.02</v>
      </c>
      <c r="L1232" s="239">
        <f t="shared" si="25"/>
        <v>1</v>
      </c>
      <c r="M1232" s="36" t="str">
        <f t="shared" si="3"/>
        <v>Regular Season</v>
      </c>
      <c r="N1232" s="239" t="str">
        <f t="shared" si="26"/>
        <v>Fellows</v>
      </c>
      <c r="O1232" s="6">
        <f>VLOOKUP(D1232,'Mapped Opponent'!$G$4:$H$22,2,0)</f>
        <v>12</v>
      </c>
      <c r="P1232" s="6"/>
      <c r="Q1232" s="6" t="str">
        <f t="shared" si="4"/>
        <v>Week 12</v>
      </c>
      <c r="R1232" s="6" t="str">
        <f t="shared" si="5"/>
        <v>2017Week 12</v>
      </c>
      <c r="S1232" s="6">
        <f>IFERROR(__xludf.DUMMYFUNCTION("rank(J1232,FILTER(J:J,R:R=R1232))"),7.0)</f>
        <v>7</v>
      </c>
      <c r="T1232" s="6">
        <f t="shared" si="6"/>
        <v>5</v>
      </c>
      <c r="U1232" s="6">
        <f t="shared" si="7"/>
        <v>7</v>
      </c>
      <c r="V1232" s="42">
        <f>averageif(AllData!A:A,B1232,AllData!R:R)/vlookup(B1232,AllData!A:O,15,0)</f>
        <v>90.17282051</v>
      </c>
      <c r="W1232" s="6"/>
    </row>
    <row r="1233" ht="14.25" customHeight="1">
      <c r="A1233" s="6" t="str">
        <f t="shared" si="1"/>
        <v>2017Pierson12</v>
      </c>
      <c r="B1233" s="59">
        <v>2017.0</v>
      </c>
      <c r="C1233" s="13" t="s">
        <v>92</v>
      </c>
      <c r="D1233" s="13" t="s">
        <v>151</v>
      </c>
      <c r="E1233" s="34"/>
      <c r="F1233" s="6"/>
      <c r="H1233" s="6"/>
      <c r="I1233" s="35" t="str">
        <f>IFERROR(IFERROR(IFERROR(VLOOKUP(B1233&amp;C1233&amp;Q1233,'New Weekly Paste'!A:M,10,0),VLOOKUP(B1233&amp;C1233&amp;Q1233,'New Weekly Paste'!B:O,6,0)),""),"")</f>
        <v>Salty</v>
      </c>
      <c r="J1233" s="239">
        <f>IFERROR(IFERROR(VLOOKUP(B1233&amp;C1233&amp;Q1233,'New Weekly Paste'!A:M,8,0),VLOOKUP(B1233&amp;C1233&amp;Q1233,'New Weekly Paste'!B:O,10,0)),0)</f>
        <v>80.16</v>
      </c>
      <c r="K1233" s="239">
        <f>IFERROR(IFERROR(VLOOKUP(B1233&amp;I1233&amp;Q1233,'New Weekly Paste'!A:M,8,0),VLOOKUP(B1233&amp;I1233&amp;Q1233,'New Weekly Paste'!B:O,10,0)),0)</f>
        <v>113.38</v>
      </c>
      <c r="L1233" s="239">
        <f t="shared" si="25"/>
        <v>0</v>
      </c>
      <c r="M1233" s="36" t="str">
        <f t="shared" si="3"/>
        <v>Regular Season</v>
      </c>
      <c r="N1233" s="239" t="str">
        <f t="shared" si="26"/>
        <v>Salty</v>
      </c>
      <c r="O1233" s="6">
        <f>VLOOKUP(D1233,'Mapped Opponent'!$G$4:$H$22,2,0)</f>
        <v>12</v>
      </c>
      <c r="P1233" s="6"/>
      <c r="Q1233" s="6" t="str">
        <f t="shared" si="4"/>
        <v>Week 12</v>
      </c>
      <c r="R1233" s="6" t="str">
        <f t="shared" si="5"/>
        <v>2017Week 12</v>
      </c>
      <c r="S1233" s="6">
        <f>IFERROR(__xludf.DUMMYFUNCTION("rank(J1233,FILTER(J:J,R:R=R1233))"),9.0)</f>
        <v>9</v>
      </c>
      <c r="T1233" s="6">
        <f t="shared" si="6"/>
        <v>3</v>
      </c>
      <c r="U1233" s="6">
        <f t="shared" si="7"/>
        <v>9</v>
      </c>
      <c r="V1233" s="42">
        <f>averageif(AllData!A:A,B1233,AllData!R:R)/vlookup(B1233,AllData!A:O,15,0)</f>
        <v>90.17282051</v>
      </c>
      <c r="W1233" s="6"/>
    </row>
    <row r="1234" ht="14.25" customHeight="1">
      <c r="A1234" s="6" t="str">
        <f t="shared" si="1"/>
        <v>2017Cock12</v>
      </c>
      <c r="B1234" s="59">
        <v>2017.0</v>
      </c>
      <c r="C1234" s="13" t="s">
        <v>72</v>
      </c>
      <c r="D1234" s="13" t="s">
        <v>151</v>
      </c>
      <c r="E1234" s="34"/>
      <c r="F1234" s="6"/>
      <c r="H1234" s="6"/>
      <c r="I1234" s="35" t="str">
        <f>IFERROR(IFERROR(IFERROR(VLOOKUP(B1234&amp;C1234&amp;Q1234,'New Weekly Paste'!A:M,10,0),VLOOKUP(B1234&amp;C1234&amp;Q1234,'New Weekly Paste'!B:O,6,0)),""),"")</f>
        <v>Rooney/Jackson</v>
      </c>
      <c r="J1234" s="239">
        <f>IFERROR(IFERROR(VLOOKUP(B1234&amp;C1234&amp;Q1234,'New Weekly Paste'!A:M,8,0),VLOOKUP(B1234&amp;C1234&amp;Q1234,'New Weekly Paste'!B:O,10,0)),0)</f>
        <v>120.04</v>
      </c>
      <c r="K1234" s="239">
        <f>IFERROR(IFERROR(VLOOKUP(B1234&amp;I1234&amp;Q1234,'New Weekly Paste'!A:M,8,0),VLOOKUP(B1234&amp;I1234&amp;Q1234,'New Weekly Paste'!B:O,10,0)),0)</f>
        <v>51.22</v>
      </c>
      <c r="L1234" s="239">
        <f t="shared" si="25"/>
        <v>1</v>
      </c>
      <c r="M1234" s="36" t="str">
        <f t="shared" si="3"/>
        <v>Regular Season</v>
      </c>
      <c r="N1234" s="239" t="str">
        <f t="shared" si="26"/>
        <v>Rooney/Jackson</v>
      </c>
      <c r="O1234" s="6">
        <f>VLOOKUP(D1234,'Mapped Opponent'!$G$4:$H$22,2,0)</f>
        <v>12</v>
      </c>
      <c r="P1234" s="6"/>
      <c r="Q1234" s="6" t="str">
        <f t="shared" si="4"/>
        <v>Week 12</v>
      </c>
      <c r="R1234" s="6" t="str">
        <f t="shared" si="5"/>
        <v>2017Week 12</v>
      </c>
      <c r="S1234" s="6">
        <f>IFERROR(__xludf.DUMMYFUNCTION("rank(J1234,FILTER(J:J,R:R=R1234))"),2.0)</f>
        <v>2</v>
      </c>
      <c r="T1234" s="6">
        <f t="shared" si="6"/>
        <v>10</v>
      </c>
      <c r="U1234" s="6">
        <f t="shared" si="7"/>
        <v>2</v>
      </c>
      <c r="V1234" s="42">
        <f>averageif(AllData!A:A,B1234,AllData!R:R)/vlookup(B1234,AllData!A:O,15,0)</f>
        <v>90.17282051</v>
      </c>
      <c r="W1234" s="6"/>
    </row>
    <row r="1235" ht="14.25" customHeight="1">
      <c r="A1235" s="6" t="str">
        <f t="shared" si="1"/>
        <v>2017Tayski12</v>
      </c>
      <c r="B1235" s="59">
        <v>2017.0</v>
      </c>
      <c r="C1235" s="13" t="s">
        <v>52</v>
      </c>
      <c r="D1235" s="13" t="s">
        <v>151</v>
      </c>
      <c r="E1235" s="34"/>
      <c r="F1235" s="6"/>
      <c r="H1235" s="6"/>
      <c r="I1235" s="35" t="str">
        <f>IFERROR(IFERROR(IFERROR(VLOOKUP(B1235&amp;C1235&amp;Q1235,'New Weekly Paste'!A:M,10,0),VLOOKUP(B1235&amp;C1235&amp;Q1235,'New Weekly Paste'!B:O,6,0)),""),"")</f>
        <v>Shep</v>
      </c>
      <c r="J1235" s="239">
        <f>IFERROR(IFERROR(VLOOKUP(B1235&amp;C1235&amp;Q1235,'New Weekly Paste'!A:M,8,0),VLOOKUP(B1235&amp;C1235&amp;Q1235,'New Weekly Paste'!B:O,10,0)),0)</f>
        <v>48.66</v>
      </c>
      <c r="K1235" s="239">
        <f>IFERROR(IFERROR(VLOOKUP(B1235&amp;I1235&amp;Q1235,'New Weekly Paste'!A:M,8,0),VLOOKUP(B1235&amp;I1235&amp;Q1235,'New Weekly Paste'!B:O,10,0)),0)</f>
        <v>96.62</v>
      </c>
      <c r="L1235" s="239">
        <f t="shared" si="25"/>
        <v>0</v>
      </c>
      <c r="M1235" s="36" t="str">
        <f t="shared" si="3"/>
        <v>Regular Season</v>
      </c>
      <c r="N1235" s="239" t="str">
        <f t="shared" si="26"/>
        <v>Shep</v>
      </c>
      <c r="O1235" s="6">
        <f>VLOOKUP(D1235,'Mapped Opponent'!$G$4:$H$22,2,0)</f>
        <v>12</v>
      </c>
      <c r="P1235" s="6"/>
      <c r="Q1235" s="6" t="str">
        <f t="shared" si="4"/>
        <v>Week 12</v>
      </c>
      <c r="R1235" s="6" t="str">
        <f t="shared" si="5"/>
        <v>2017Week 12</v>
      </c>
      <c r="S1235" s="6">
        <f>IFERROR(__xludf.DUMMYFUNCTION("rank(J1235,FILTER(J:J,R:R=R1235))"),12.0)</f>
        <v>12</v>
      </c>
      <c r="T1235" s="6">
        <f t="shared" si="6"/>
        <v>0</v>
      </c>
      <c r="U1235" s="6">
        <f t="shared" si="7"/>
        <v>12</v>
      </c>
      <c r="V1235" s="42">
        <f>averageif(AllData!A:A,B1235,AllData!R:R)/vlookup(B1235,AllData!A:O,15,0)</f>
        <v>90.17282051</v>
      </c>
      <c r="W1235" s="6"/>
    </row>
    <row r="1236" ht="14.25" customHeight="1">
      <c r="A1236" s="6" t="str">
        <f t="shared" si="1"/>
        <v>2017KnardDawg12</v>
      </c>
      <c r="B1236" s="59">
        <v>2017.0</v>
      </c>
      <c r="C1236" s="13" t="s">
        <v>86</v>
      </c>
      <c r="D1236" s="13" t="s">
        <v>151</v>
      </c>
      <c r="E1236" s="34"/>
      <c r="F1236" s="6"/>
      <c r="H1236" s="6"/>
      <c r="I1236" s="35" t="str">
        <f>IFERROR(IFERROR(IFERROR(VLOOKUP(B1236&amp;C1236&amp;Q1236,'New Weekly Paste'!A:M,10,0),VLOOKUP(B1236&amp;C1236&amp;Q1236,'New Weekly Paste'!B:O,6,0)),""),"")</f>
        <v>Hudspeath</v>
      </c>
      <c r="J1236" s="239">
        <f>IFERROR(IFERROR(VLOOKUP(B1236&amp;C1236&amp;Q1236,'New Weekly Paste'!A:M,8,0),VLOOKUP(B1236&amp;C1236&amp;Q1236,'New Weekly Paste'!B:O,10,0)),0)</f>
        <v>102.92</v>
      </c>
      <c r="K1236" s="239">
        <f>IFERROR(IFERROR(VLOOKUP(B1236&amp;I1236&amp;Q1236,'New Weekly Paste'!A:M,8,0),VLOOKUP(B1236&amp;I1236&amp;Q1236,'New Weekly Paste'!B:O,10,0)),0)</f>
        <v>109.06</v>
      </c>
      <c r="L1236" s="239">
        <f t="shared" si="25"/>
        <v>0</v>
      </c>
      <c r="M1236" s="36" t="str">
        <f t="shared" si="3"/>
        <v>Regular Season</v>
      </c>
      <c r="N1236" s="239" t="str">
        <f t="shared" si="26"/>
        <v>Hudspeath</v>
      </c>
      <c r="O1236" s="6">
        <f>VLOOKUP(D1236,'Mapped Opponent'!$G$4:$H$22,2,0)</f>
        <v>12</v>
      </c>
      <c r="P1236" s="6"/>
      <c r="Q1236" s="6" t="str">
        <f t="shared" si="4"/>
        <v>Week 12</v>
      </c>
      <c r="R1236" s="6" t="str">
        <f t="shared" si="5"/>
        <v>2017Week 12</v>
      </c>
      <c r="S1236" s="6">
        <f>IFERROR(__xludf.DUMMYFUNCTION("rank(J1236,FILTER(J:J,R:R=R1236))"),6.0)</f>
        <v>6</v>
      </c>
      <c r="T1236" s="6">
        <f t="shared" si="6"/>
        <v>6</v>
      </c>
      <c r="U1236" s="6">
        <f t="shared" si="7"/>
        <v>6</v>
      </c>
      <c r="V1236" s="42">
        <f>averageif(AllData!A:A,B1236,AllData!R:R)/vlookup(B1236,AllData!A:O,15,0)</f>
        <v>90.17282051</v>
      </c>
      <c r="W1236" s="6"/>
    </row>
    <row r="1237" ht="14.25" customHeight="1">
      <c r="A1237" s="6" t="str">
        <f t="shared" si="1"/>
        <v>2017T-How12</v>
      </c>
      <c r="B1237" s="59">
        <v>2017.0</v>
      </c>
      <c r="C1237" s="13" t="s">
        <v>82</v>
      </c>
      <c r="D1237" s="13" t="s">
        <v>151</v>
      </c>
      <c r="E1237" s="34"/>
      <c r="F1237" s="6"/>
      <c r="H1237" s="6"/>
      <c r="I1237" s="35" t="str">
        <f>IFERROR(IFERROR(IFERROR(VLOOKUP(B1237&amp;C1237&amp;Q1237,'New Weekly Paste'!A:M,10,0),VLOOKUP(B1237&amp;C1237&amp;Q1237,'New Weekly Paste'!B:O,6,0)),""),"")</f>
        <v>Riley</v>
      </c>
      <c r="J1237" s="239">
        <f>IFERROR(IFERROR(VLOOKUP(B1237&amp;C1237&amp;Q1237,'New Weekly Paste'!A:M,8,0),VLOOKUP(B1237&amp;C1237&amp;Q1237,'New Weekly Paste'!B:O,10,0)),0)</f>
        <v>103.58</v>
      </c>
      <c r="K1237" s="239">
        <f>IFERROR(IFERROR(VLOOKUP(B1237&amp;I1237&amp;Q1237,'New Weekly Paste'!A:M,8,0),VLOOKUP(B1237&amp;I1237&amp;Q1237,'New Weekly Paste'!B:O,10,0)),0)</f>
        <v>130.98</v>
      </c>
      <c r="L1237" s="239">
        <f t="shared" si="25"/>
        <v>0</v>
      </c>
      <c r="M1237" s="36" t="str">
        <f t="shared" si="3"/>
        <v>Regular Season</v>
      </c>
      <c r="N1237" s="239" t="str">
        <f t="shared" si="26"/>
        <v>Riley</v>
      </c>
      <c r="O1237" s="6">
        <f>VLOOKUP(D1237,'Mapped Opponent'!$G$4:$H$22,2,0)</f>
        <v>12</v>
      </c>
      <c r="P1237" s="6"/>
      <c r="Q1237" s="6" t="str">
        <f t="shared" si="4"/>
        <v>Week 12</v>
      </c>
      <c r="R1237" s="6" t="str">
        <f t="shared" si="5"/>
        <v>2017Week 12</v>
      </c>
      <c r="S1237" s="6">
        <f>IFERROR(__xludf.DUMMYFUNCTION("rank(J1237,FILTER(J:J,R:R=R1237))"),5.0)</f>
        <v>5</v>
      </c>
      <c r="T1237" s="6">
        <f t="shared" si="6"/>
        <v>7</v>
      </c>
      <c r="U1237" s="6">
        <f t="shared" si="7"/>
        <v>5</v>
      </c>
      <c r="V1237" s="42">
        <f>averageif(AllData!A:A,B1237,AllData!R:R)/vlookup(B1237,AllData!A:O,15,0)</f>
        <v>90.17282051</v>
      </c>
      <c r="W1237" s="6"/>
    </row>
    <row r="1238" ht="14.25" customHeight="1">
      <c r="A1238" s="6" t="str">
        <f t="shared" si="1"/>
        <v>2017Hudspeath13</v>
      </c>
      <c r="B1238" s="59">
        <v>2017.0</v>
      </c>
      <c r="C1238" s="13" t="s">
        <v>39</v>
      </c>
      <c r="D1238" s="13" t="s">
        <v>152</v>
      </c>
      <c r="E1238" s="34"/>
      <c r="F1238" s="6"/>
      <c r="H1238" s="6"/>
      <c r="I1238" s="35" t="str">
        <f>IFERROR(IFERROR(IFERROR(VLOOKUP(B1238&amp;C1238&amp;Q1238,'New Weekly Paste'!A:M,10,0),VLOOKUP(B1238&amp;C1238&amp;Q1238,'New Weekly Paste'!B:O,6,0)),""),"")</f>
        <v>Fellows</v>
      </c>
      <c r="J1238" s="239">
        <f>IFERROR(IFERROR(VLOOKUP(B1238&amp;C1238&amp;Q1238,'New Weekly Paste'!A:M,8,0),VLOOKUP(B1238&amp;C1238&amp;Q1238,'New Weekly Paste'!B:O,10,0)),0)</f>
        <v>105.66</v>
      </c>
      <c r="K1238" s="239">
        <f>IFERROR(IFERROR(VLOOKUP(B1238&amp;I1238&amp;Q1238,'New Weekly Paste'!A:M,8,0),VLOOKUP(B1238&amp;I1238&amp;Q1238,'New Weekly Paste'!B:O,10,0)),0)</f>
        <v>68.4</v>
      </c>
      <c r="L1238" s="239">
        <f t="shared" si="25"/>
        <v>1</v>
      </c>
      <c r="M1238" s="36" t="str">
        <f t="shared" si="3"/>
        <v>Regular Season</v>
      </c>
      <c r="N1238" s="239" t="str">
        <f t="shared" si="26"/>
        <v>Fellows</v>
      </c>
      <c r="O1238" s="6">
        <f>VLOOKUP(D1238,'Mapped Opponent'!$G$4:$H$22,2,0)</f>
        <v>13</v>
      </c>
      <c r="P1238" s="6"/>
      <c r="Q1238" s="6" t="str">
        <f t="shared" si="4"/>
        <v>Week 13</v>
      </c>
      <c r="R1238" s="6" t="str">
        <f t="shared" si="5"/>
        <v>2017Week 13</v>
      </c>
      <c r="S1238" s="6">
        <f>IFERROR(__xludf.DUMMYFUNCTION("rank(J1238,FILTER(J:J,R:R=R1238))"),4.0)</f>
        <v>4</v>
      </c>
      <c r="T1238" s="6">
        <f t="shared" si="6"/>
        <v>8</v>
      </c>
      <c r="U1238" s="6">
        <f t="shared" si="7"/>
        <v>4</v>
      </c>
      <c r="V1238" s="42">
        <f>averageif(AllData!A:A,B1238,AllData!R:R)/vlookup(B1238,AllData!A:O,15,0)</f>
        <v>90.17282051</v>
      </c>
      <c r="W1238" s="6"/>
    </row>
    <row r="1239" ht="14.25" customHeight="1">
      <c r="A1239" s="6" t="str">
        <f t="shared" si="1"/>
        <v>2017Salty13</v>
      </c>
      <c r="B1239" s="59">
        <v>2017.0</v>
      </c>
      <c r="C1239" s="13" t="s">
        <v>76</v>
      </c>
      <c r="D1239" s="13" t="s">
        <v>152</v>
      </c>
      <c r="E1239" s="34"/>
      <c r="F1239" s="6"/>
      <c r="H1239" s="6"/>
      <c r="I1239" s="35" t="str">
        <f>IFERROR(IFERROR(IFERROR(VLOOKUP(B1239&amp;C1239&amp;Q1239,'New Weekly Paste'!A:M,10,0),VLOOKUP(B1239&amp;C1239&amp;Q1239,'New Weekly Paste'!B:O,6,0)),""),"")</f>
        <v>Rooney/Jackson</v>
      </c>
      <c r="J1239" s="239">
        <f>IFERROR(IFERROR(VLOOKUP(B1239&amp;C1239&amp;Q1239,'New Weekly Paste'!A:M,8,0),VLOOKUP(B1239&amp;C1239&amp;Q1239,'New Weekly Paste'!B:O,10,0)),0)</f>
        <v>126.52</v>
      </c>
      <c r="K1239" s="239">
        <f>IFERROR(IFERROR(VLOOKUP(B1239&amp;I1239&amp;Q1239,'New Weekly Paste'!A:M,8,0),VLOOKUP(B1239&amp;I1239&amp;Q1239,'New Weekly Paste'!B:O,10,0)),0)</f>
        <v>90.18</v>
      </c>
      <c r="L1239" s="239">
        <f t="shared" si="25"/>
        <v>1</v>
      </c>
      <c r="M1239" s="36" t="str">
        <f t="shared" si="3"/>
        <v>Regular Season</v>
      </c>
      <c r="N1239" s="239" t="str">
        <f t="shared" si="26"/>
        <v>Rooney/Jackson</v>
      </c>
      <c r="O1239" s="6">
        <f>VLOOKUP(D1239,'Mapped Opponent'!$G$4:$H$22,2,0)</f>
        <v>13</v>
      </c>
      <c r="P1239" s="6"/>
      <c r="Q1239" s="6" t="str">
        <f t="shared" si="4"/>
        <v>Week 13</v>
      </c>
      <c r="R1239" s="6" t="str">
        <f t="shared" si="5"/>
        <v>2017Week 13</v>
      </c>
      <c r="S1239" s="6">
        <f>IFERROR(__xludf.DUMMYFUNCTION("rank(J1239,FILTER(J:J,R:R=R1239))"),1.0)</f>
        <v>1</v>
      </c>
      <c r="T1239" s="6">
        <f t="shared" si="6"/>
        <v>11</v>
      </c>
      <c r="U1239" s="6">
        <f t="shared" si="7"/>
        <v>1</v>
      </c>
      <c r="V1239" s="42">
        <f>averageif(AllData!A:A,B1239,AllData!R:R)/vlookup(B1239,AllData!A:O,15,0)</f>
        <v>90.17282051</v>
      </c>
      <c r="W1239" s="6"/>
    </row>
    <row r="1240" ht="14.25" customHeight="1">
      <c r="A1240" s="6" t="str">
        <f t="shared" si="1"/>
        <v>2017Fellows13</v>
      </c>
      <c r="B1240" s="59">
        <v>2017.0</v>
      </c>
      <c r="C1240" s="13" t="s">
        <v>79</v>
      </c>
      <c r="D1240" s="13" t="s">
        <v>152</v>
      </c>
      <c r="E1240" s="34"/>
      <c r="F1240" s="6"/>
      <c r="H1240" s="6"/>
      <c r="I1240" s="35" t="str">
        <f>IFERROR(IFERROR(IFERROR(VLOOKUP(B1240&amp;C1240&amp;Q1240,'New Weekly Paste'!A:M,10,0),VLOOKUP(B1240&amp;C1240&amp;Q1240,'New Weekly Paste'!B:O,6,0)),""),"")</f>
        <v>Hudspeath</v>
      </c>
      <c r="J1240" s="239">
        <f>IFERROR(IFERROR(VLOOKUP(B1240&amp;C1240&amp;Q1240,'New Weekly Paste'!A:M,8,0),VLOOKUP(B1240&amp;C1240&amp;Q1240,'New Weekly Paste'!B:O,10,0)),0)</f>
        <v>68.4</v>
      </c>
      <c r="K1240" s="239">
        <f>IFERROR(IFERROR(VLOOKUP(B1240&amp;I1240&amp;Q1240,'New Weekly Paste'!A:M,8,0),VLOOKUP(B1240&amp;I1240&amp;Q1240,'New Weekly Paste'!B:O,10,0)),0)</f>
        <v>105.66</v>
      </c>
      <c r="L1240" s="239">
        <f t="shared" si="25"/>
        <v>0</v>
      </c>
      <c r="M1240" s="36" t="str">
        <f t="shared" si="3"/>
        <v>Regular Season</v>
      </c>
      <c r="N1240" s="239" t="str">
        <f t="shared" si="26"/>
        <v>Hudspeath</v>
      </c>
      <c r="O1240" s="6">
        <f>VLOOKUP(D1240,'Mapped Opponent'!$G$4:$H$22,2,0)</f>
        <v>13</v>
      </c>
      <c r="P1240" s="6"/>
      <c r="Q1240" s="6" t="str">
        <f t="shared" si="4"/>
        <v>Week 13</v>
      </c>
      <c r="R1240" s="6" t="str">
        <f t="shared" si="5"/>
        <v>2017Week 13</v>
      </c>
      <c r="S1240" s="6">
        <f>IFERROR(__xludf.DUMMYFUNCTION("rank(J1240,FILTER(J:J,R:R=R1240))"),12.0)</f>
        <v>12</v>
      </c>
      <c r="T1240" s="6">
        <f t="shared" si="6"/>
        <v>0</v>
      </c>
      <c r="U1240" s="6">
        <f t="shared" si="7"/>
        <v>12</v>
      </c>
      <c r="V1240" s="42">
        <f>averageif(AllData!A:A,B1240,AllData!R:R)/vlookup(B1240,AllData!A:O,15,0)</f>
        <v>90.17282051</v>
      </c>
      <c r="W1240" s="6"/>
    </row>
    <row r="1241" ht="14.25" customHeight="1">
      <c r="A1241" s="6" t="str">
        <f t="shared" si="1"/>
        <v>2017Shep13</v>
      </c>
      <c r="B1241" s="59">
        <v>2017.0</v>
      </c>
      <c r="C1241" s="13" t="s">
        <v>89</v>
      </c>
      <c r="D1241" s="13" t="s">
        <v>152</v>
      </c>
      <c r="E1241" s="34"/>
      <c r="F1241" s="6"/>
      <c r="H1241" s="6"/>
      <c r="I1241" s="35" t="str">
        <f>IFERROR(IFERROR(IFERROR(VLOOKUP(B1241&amp;C1241&amp;Q1241,'New Weekly Paste'!A:M,10,0),VLOOKUP(B1241&amp;C1241&amp;Q1241,'New Weekly Paste'!B:O,6,0)),""),"")</f>
        <v>Buser</v>
      </c>
      <c r="J1241" s="239">
        <f>IFERROR(IFERROR(VLOOKUP(B1241&amp;C1241&amp;Q1241,'New Weekly Paste'!A:M,8,0),VLOOKUP(B1241&amp;C1241&amp;Q1241,'New Weekly Paste'!B:O,10,0)),0)</f>
        <v>84.98</v>
      </c>
      <c r="K1241" s="239">
        <f>IFERROR(IFERROR(VLOOKUP(B1241&amp;I1241&amp;Q1241,'New Weekly Paste'!A:M,8,0),VLOOKUP(B1241&amp;I1241&amp;Q1241,'New Weekly Paste'!B:O,10,0)),0)</f>
        <v>97.12</v>
      </c>
      <c r="L1241" s="239">
        <f t="shared" si="25"/>
        <v>0</v>
      </c>
      <c r="M1241" s="36" t="str">
        <f t="shared" si="3"/>
        <v>Regular Season</v>
      </c>
      <c r="N1241" s="239" t="str">
        <f t="shared" si="26"/>
        <v>Buser</v>
      </c>
      <c r="O1241" s="6">
        <f>VLOOKUP(D1241,'Mapped Opponent'!$G$4:$H$22,2,0)</f>
        <v>13</v>
      </c>
      <c r="P1241" s="6"/>
      <c r="Q1241" s="6" t="str">
        <f t="shared" si="4"/>
        <v>Week 13</v>
      </c>
      <c r="R1241" s="6" t="str">
        <f t="shared" si="5"/>
        <v>2017Week 13</v>
      </c>
      <c r="S1241" s="6">
        <f>IFERROR(__xludf.DUMMYFUNCTION("rank(J1241,FILTER(J:J,R:R=R1241))"),9.0)</f>
        <v>9</v>
      </c>
      <c r="T1241" s="6">
        <f t="shared" si="6"/>
        <v>3</v>
      </c>
      <c r="U1241" s="6">
        <f t="shared" si="7"/>
        <v>9</v>
      </c>
      <c r="V1241" s="42">
        <f>averageif(AllData!A:A,B1241,AllData!R:R)/vlookup(B1241,AllData!A:O,15,0)</f>
        <v>90.17282051</v>
      </c>
      <c r="W1241" s="6"/>
    </row>
    <row r="1242" ht="14.25" customHeight="1">
      <c r="A1242" s="6" t="str">
        <f t="shared" si="1"/>
        <v>2017Riley13</v>
      </c>
      <c r="B1242" s="59">
        <v>2017.0</v>
      </c>
      <c r="C1242" s="13" t="s">
        <v>67</v>
      </c>
      <c r="D1242" s="13" t="s">
        <v>152</v>
      </c>
      <c r="E1242" s="34"/>
      <c r="F1242" s="6"/>
      <c r="H1242" s="6"/>
      <c r="I1242" s="35" t="str">
        <f>IFERROR(IFERROR(IFERROR(VLOOKUP(B1242&amp;C1242&amp;Q1242,'New Weekly Paste'!A:M,10,0),VLOOKUP(B1242&amp;C1242&amp;Q1242,'New Weekly Paste'!B:O,6,0)),""),"")</f>
        <v>Cock</v>
      </c>
      <c r="J1242" s="239">
        <f>IFERROR(IFERROR(VLOOKUP(B1242&amp;C1242&amp;Q1242,'New Weekly Paste'!A:M,8,0),VLOOKUP(B1242&amp;C1242&amp;Q1242,'New Weekly Paste'!B:O,10,0)),0)</f>
        <v>121.82</v>
      </c>
      <c r="K1242" s="239">
        <f>IFERROR(IFERROR(VLOOKUP(B1242&amp;I1242&amp;Q1242,'New Weekly Paste'!A:M,8,0),VLOOKUP(B1242&amp;I1242&amp;Q1242,'New Weekly Paste'!B:O,10,0)),0)</f>
        <v>92.76</v>
      </c>
      <c r="L1242" s="239">
        <f t="shared" si="25"/>
        <v>1</v>
      </c>
      <c r="M1242" s="36" t="str">
        <f t="shared" si="3"/>
        <v>Regular Season</v>
      </c>
      <c r="N1242" s="239" t="str">
        <f t="shared" si="26"/>
        <v>Cock</v>
      </c>
      <c r="O1242" s="6">
        <f>VLOOKUP(D1242,'Mapped Opponent'!$G$4:$H$22,2,0)</f>
        <v>13</v>
      </c>
      <c r="P1242" s="6"/>
      <c r="Q1242" s="6" t="str">
        <f t="shared" si="4"/>
        <v>Week 13</v>
      </c>
      <c r="R1242" s="6" t="str">
        <f t="shared" si="5"/>
        <v>2017Week 13</v>
      </c>
      <c r="S1242" s="6">
        <f>IFERROR(__xludf.DUMMYFUNCTION("rank(J1242,FILTER(J:J,R:R=R1242))"),2.0)</f>
        <v>2</v>
      </c>
      <c r="T1242" s="6">
        <f t="shared" si="6"/>
        <v>10</v>
      </c>
      <c r="U1242" s="6">
        <f t="shared" si="7"/>
        <v>2</v>
      </c>
      <c r="V1242" s="42">
        <f>averageif(AllData!A:A,B1242,AllData!R:R)/vlookup(B1242,AllData!A:O,15,0)</f>
        <v>90.17282051</v>
      </c>
      <c r="W1242" s="6"/>
    </row>
    <row r="1243" ht="14.25" customHeight="1">
      <c r="A1243" s="6" t="str">
        <f t="shared" si="1"/>
        <v>2017Rooney/Jackson13</v>
      </c>
      <c r="B1243" s="59">
        <v>2017.0</v>
      </c>
      <c r="C1243" s="13" t="s">
        <v>57</v>
      </c>
      <c r="D1243" s="13" t="s">
        <v>152</v>
      </c>
      <c r="E1243" s="34"/>
      <c r="F1243" s="6"/>
      <c r="H1243" s="6"/>
      <c r="I1243" s="35" t="str">
        <f>IFERROR(IFERROR(IFERROR(VLOOKUP(B1243&amp;C1243&amp;Q1243,'New Weekly Paste'!A:M,10,0),VLOOKUP(B1243&amp;C1243&amp;Q1243,'New Weekly Paste'!B:O,6,0)),""),"")</f>
        <v>Salty</v>
      </c>
      <c r="J1243" s="239">
        <f>IFERROR(IFERROR(VLOOKUP(B1243&amp;C1243&amp;Q1243,'New Weekly Paste'!A:M,8,0),VLOOKUP(B1243&amp;C1243&amp;Q1243,'New Weekly Paste'!B:O,10,0)),0)</f>
        <v>90.18</v>
      </c>
      <c r="K1243" s="239">
        <f>IFERROR(IFERROR(VLOOKUP(B1243&amp;I1243&amp;Q1243,'New Weekly Paste'!A:M,8,0),VLOOKUP(B1243&amp;I1243&amp;Q1243,'New Weekly Paste'!B:O,10,0)),0)</f>
        <v>126.52</v>
      </c>
      <c r="L1243" s="239">
        <f t="shared" si="25"/>
        <v>0</v>
      </c>
      <c r="M1243" s="36" t="str">
        <f t="shared" si="3"/>
        <v>Regular Season</v>
      </c>
      <c r="N1243" s="239" t="str">
        <f t="shared" si="26"/>
        <v>Salty</v>
      </c>
      <c r="O1243" s="6">
        <f>VLOOKUP(D1243,'Mapped Opponent'!$G$4:$H$22,2,0)</f>
        <v>13</v>
      </c>
      <c r="P1243" s="6"/>
      <c r="Q1243" s="6" t="str">
        <f t="shared" si="4"/>
        <v>Week 13</v>
      </c>
      <c r="R1243" s="6" t="str">
        <f t="shared" si="5"/>
        <v>2017Week 13</v>
      </c>
      <c r="S1243" s="6">
        <f>IFERROR(__xludf.DUMMYFUNCTION("rank(J1243,FILTER(J:J,R:R=R1243))"),8.0)</f>
        <v>8</v>
      </c>
      <c r="T1243" s="6">
        <f t="shared" si="6"/>
        <v>4</v>
      </c>
      <c r="U1243" s="6">
        <f t="shared" si="7"/>
        <v>8</v>
      </c>
      <c r="V1243" s="42">
        <f>averageif(AllData!A:A,B1243,AllData!R:R)/vlookup(B1243,AllData!A:O,15,0)</f>
        <v>90.17282051</v>
      </c>
      <c r="W1243" s="6"/>
    </row>
    <row r="1244" ht="14.25" customHeight="1">
      <c r="A1244" s="6" t="str">
        <f t="shared" si="1"/>
        <v>2017Buser13</v>
      </c>
      <c r="B1244" s="59">
        <v>2017.0</v>
      </c>
      <c r="C1244" s="13" t="s">
        <v>47</v>
      </c>
      <c r="D1244" s="13" t="s">
        <v>152</v>
      </c>
      <c r="E1244" s="34"/>
      <c r="F1244" s="6"/>
      <c r="H1244" s="6"/>
      <c r="I1244" s="35" t="str">
        <f>IFERROR(IFERROR(IFERROR(VLOOKUP(B1244&amp;C1244&amp;Q1244,'New Weekly Paste'!A:M,10,0),VLOOKUP(B1244&amp;C1244&amp;Q1244,'New Weekly Paste'!B:O,6,0)),""),"")</f>
        <v>Shep</v>
      </c>
      <c r="J1244" s="239">
        <f>IFERROR(IFERROR(VLOOKUP(B1244&amp;C1244&amp;Q1244,'New Weekly Paste'!A:M,8,0),VLOOKUP(B1244&amp;C1244&amp;Q1244,'New Weekly Paste'!B:O,10,0)),0)</f>
        <v>97.12</v>
      </c>
      <c r="K1244" s="239">
        <f>IFERROR(IFERROR(VLOOKUP(B1244&amp;I1244&amp;Q1244,'New Weekly Paste'!A:M,8,0),VLOOKUP(B1244&amp;I1244&amp;Q1244,'New Weekly Paste'!B:O,10,0)),0)</f>
        <v>84.98</v>
      </c>
      <c r="L1244" s="239">
        <f t="shared" si="25"/>
        <v>1</v>
      </c>
      <c r="M1244" s="36" t="str">
        <f t="shared" si="3"/>
        <v>Regular Season</v>
      </c>
      <c r="N1244" s="239" t="str">
        <f t="shared" si="26"/>
        <v>Shep</v>
      </c>
      <c r="O1244" s="6">
        <f>VLOOKUP(D1244,'Mapped Opponent'!$G$4:$H$22,2,0)</f>
        <v>13</v>
      </c>
      <c r="P1244" s="6"/>
      <c r="Q1244" s="6" t="str">
        <f t="shared" si="4"/>
        <v>Week 13</v>
      </c>
      <c r="R1244" s="6" t="str">
        <f t="shared" si="5"/>
        <v>2017Week 13</v>
      </c>
      <c r="S1244" s="6">
        <f>IFERROR(__xludf.DUMMYFUNCTION("rank(J1244,FILTER(J:J,R:R=R1244))"),6.0)</f>
        <v>6</v>
      </c>
      <c r="T1244" s="6">
        <f t="shared" si="6"/>
        <v>6</v>
      </c>
      <c r="U1244" s="6">
        <f t="shared" si="7"/>
        <v>6</v>
      </c>
      <c r="V1244" s="42">
        <f>averageif(AllData!A:A,B1244,AllData!R:R)/vlookup(B1244,AllData!A:O,15,0)</f>
        <v>90.17282051</v>
      </c>
      <c r="W1244" s="6"/>
    </row>
    <row r="1245" ht="14.25" customHeight="1">
      <c r="A1245" s="6" t="str">
        <f t="shared" si="1"/>
        <v>2017Pierson13</v>
      </c>
      <c r="B1245" s="59">
        <v>2017.0</v>
      </c>
      <c r="C1245" s="13" t="s">
        <v>92</v>
      </c>
      <c r="D1245" s="13" t="s">
        <v>152</v>
      </c>
      <c r="E1245" s="34"/>
      <c r="F1245" s="6"/>
      <c r="H1245" s="6"/>
      <c r="I1245" s="35" t="str">
        <f>IFERROR(IFERROR(IFERROR(VLOOKUP(B1245&amp;C1245&amp;Q1245,'New Weekly Paste'!A:M,10,0),VLOOKUP(B1245&amp;C1245&amp;Q1245,'New Weekly Paste'!B:O,6,0)),""),"")</f>
        <v>Tayski</v>
      </c>
      <c r="J1245" s="239">
        <f>IFERROR(IFERROR(VLOOKUP(B1245&amp;C1245&amp;Q1245,'New Weekly Paste'!A:M,8,0),VLOOKUP(B1245&amp;C1245&amp;Q1245,'New Weekly Paste'!B:O,10,0)),0)</f>
        <v>108.44</v>
      </c>
      <c r="K1245" s="239">
        <f>IFERROR(IFERROR(VLOOKUP(B1245&amp;I1245&amp;Q1245,'New Weekly Paste'!A:M,8,0),VLOOKUP(B1245&amp;I1245&amp;Q1245,'New Weekly Paste'!B:O,10,0)),0)</f>
        <v>72</v>
      </c>
      <c r="L1245" s="239">
        <f t="shared" si="25"/>
        <v>1</v>
      </c>
      <c r="M1245" s="36" t="str">
        <f t="shared" si="3"/>
        <v>Regular Season</v>
      </c>
      <c r="N1245" s="239" t="str">
        <f t="shared" si="26"/>
        <v>Tayski</v>
      </c>
      <c r="O1245" s="6">
        <f>VLOOKUP(D1245,'Mapped Opponent'!$G$4:$H$22,2,0)</f>
        <v>13</v>
      </c>
      <c r="P1245" s="6"/>
      <c r="Q1245" s="6" t="str">
        <f t="shared" si="4"/>
        <v>Week 13</v>
      </c>
      <c r="R1245" s="6" t="str">
        <f t="shared" si="5"/>
        <v>2017Week 13</v>
      </c>
      <c r="S1245" s="6">
        <f>IFERROR(__xludf.DUMMYFUNCTION("rank(J1245,FILTER(J:J,R:R=R1245))"),3.0)</f>
        <v>3</v>
      </c>
      <c r="T1245" s="6">
        <f t="shared" si="6"/>
        <v>9</v>
      </c>
      <c r="U1245" s="6">
        <f t="shared" si="7"/>
        <v>3</v>
      </c>
      <c r="V1245" s="42">
        <f>averageif(AllData!A:A,B1245,AllData!R:R)/vlookup(B1245,AllData!A:O,15,0)</f>
        <v>90.17282051</v>
      </c>
      <c r="W1245" s="6"/>
    </row>
    <row r="1246" ht="14.25" customHeight="1">
      <c r="A1246" s="6" t="str">
        <f t="shared" si="1"/>
        <v>2017Cock13</v>
      </c>
      <c r="B1246" s="59">
        <v>2017.0</v>
      </c>
      <c r="C1246" s="13" t="s">
        <v>72</v>
      </c>
      <c r="D1246" s="13" t="s">
        <v>152</v>
      </c>
      <c r="E1246" s="34"/>
      <c r="F1246" s="6"/>
      <c r="H1246" s="6"/>
      <c r="I1246" s="35" t="str">
        <f>IFERROR(IFERROR(IFERROR(VLOOKUP(B1246&amp;C1246&amp;Q1246,'New Weekly Paste'!A:M,10,0),VLOOKUP(B1246&amp;C1246&amp;Q1246,'New Weekly Paste'!B:O,6,0)),""),"")</f>
        <v>Riley</v>
      </c>
      <c r="J1246" s="239">
        <f>IFERROR(IFERROR(VLOOKUP(B1246&amp;C1246&amp;Q1246,'New Weekly Paste'!A:M,8,0),VLOOKUP(B1246&amp;C1246&amp;Q1246,'New Weekly Paste'!B:O,10,0)),0)</f>
        <v>92.76</v>
      </c>
      <c r="K1246" s="239">
        <f>IFERROR(IFERROR(VLOOKUP(B1246&amp;I1246&amp;Q1246,'New Weekly Paste'!A:M,8,0),VLOOKUP(B1246&amp;I1246&amp;Q1246,'New Weekly Paste'!B:O,10,0)),0)</f>
        <v>121.82</v>
      </c>
      <c r="L1246" s="239">
        <f t="shared" si="25"/>
        <v>0</v>
      </c>
      <c r="M1246" s="36" t="str">
        <f t="shared" si="3"/>
        <v>Regular Season</v>
      </c>
      <c r="N1246" s="239" t="str">
        <f t="shared" si="26"/>
        <v>Riley</v>
      </c>
      <c r="O1246" s="6">
        <f>VLOOKUP(D1246,'Mapped Opponent'!$G$4:$H$22,2,0)</f>
        <v>13</v>
      </c>
      <c r="P1246" s="6"/>
      <c r="Q1246" s="6" t="str">
        <f t="shared" si="4"/>
        <v>Week 13</v>
      </c>
      <c r="R1246" s="6" t="str">
        <f t="shared" si="5"/>
        <v>2017Week 13</v>
      </c>
      <c r="S1246" s="6">
        <f>IFERROR(__xludf.DUMMYFUNCTION("rank(J1246,FILTER(J:J,R:R=R1246))"),7.0)</f>
        <v>7</v>
      </c>
      <c r="T1246" s="6">
        <f t="shared" si="6"/>
        <v>5</v>
      </c>
      <c r="U1246" s="6">
        <f t="shared" si="7"/>
        <v>7</v>
      </c>
      <c r="V1246" s="42">
        <f>averageif(AllData!A:A,B1246,AllData!R:R)/vlookup(B1246,AllData!A:O,15,0)</f>
        <v>90.17282051</v>
      </c>
      <c r="W1246" s="6"/>
    </row>
    <row r="1247" ht="14.25" customHeight="1">
      <c r="A1247" s="6" t="str">
        <f t="shared" si="1"/>
        <v>2017Tayski13</v>
      </c>
      <c r="B1247" s="59">
        <v>2017.0</v>
      </c>
      <c r="C1247" s="13" t="s">
        <v>52</v>
      </c>
      <c r="D1247" s="13" t="s">
        <v>152</v>
      </c>
      <c r="E1247" s="34"/>
      <c r="F1247" s="6"/>
      <c r="H1247" s="6"/>
      <c r="I1247" s="35" t="str">
        <f>IFERROR(IFERROR(IFERROR(VLOOKUP(B1247&amp;C1247&amp;Q1247,'New Weekly Paste'!A:M,10,0),VLOOKUP(B1247&amp;C1247&amp;Q1247,'New Weekly Paste'!B:O,6,0)),""),"")</f>
        <v>Pierson</v>
      </c>
      <c r="J1247" s="239">
        <f>IFERROR(IFERROR(VLOOKUP(B1247&amp;C1247&amp;Q1247,'New Weekly Paste'!A:M,8,0),VLOOKUP(B1247&amp;C1247&amp;Q1247,'New Weekly Paste'!B:O,10,0)),0)</f>
        <v>72</v>
      </c>
      <c r="K1247" s="239">
        <f>IFERROR(IFERROR(VLOOKUP(B1247&amp;I1247&amp;Q1247,'New Weekly Paste'!A:M,8,0),VLOOKUP(B1247&amp;I1247&amp;Q1247,'New Weekly Paste'!B:O,10,0)),0)</f>
        <v>108.44</v>
      </c>
      <c r="L1247" s="239">
        <f t="shared" si="25"/>
        <v>0</v>
      </c>
      <c r="M1247" s="36" t="str">
        <f t="shared" si="3"/>
        <v>Regular Season</v>
      </c>
      <c r="N1247" s="239" t="str">
        <f t="shared" si="26"/>
        <v>Pierson</v>
      </c>
      <c r="O1247" s="6">
        <f>VLOOKUP(D1247,'Mapped Opponent'!$G$4:$H$22,2,0)</f>
        <v>13</v>
      </c>
      <c r="P1247" s="6"/>
      <c r="Q1247" s="6" t="str">
        <f t="shared" si="4"/>
        <v>Week 13</v>
      </c>
      <c r="R1247" s="6" t="str">
        <f t="shared" si="5"/>
        <v>2017Week 13</v>
      </c>
      <c r="S1247" s="6">
        <f>IFERROR(__xludf.DUMMYFUNCTION("rank(J1247,FILTER(J:J,R:R=R1247))"),11.0)</f>
        <v>11</v>
      </c>
      <c r="T1247" s="6">
        <f t="shared" si="6"/>
        <v>1</v>
      </c>
      <c r="U1247" s="6">
        <f t="shared" si="7"/>
        <v>11</v>
      </c>
      <c r="V1247" s="42">
        <f>averageif(AllData!A:A,B1247,AllData!R:R)/vlookup(B1247,AllData!A:O,15,0)</f>
        <v>90.17282051</v>
      </c>
      <c r="W1247" s="6"/>
    </row>
    <row r="1248" ht="14.25" customHeight="1">
      <c r="A1248" s="6" t="str">
        <f t="shared" si="1"/>
        <v>2017KnardDawg13</v>
      </c>
      <c r="B1248" s="59">
        <v>2017.0</v>
      </c>
      <c r="C1248" s="13" t="s">
        <v>86</v>
      </c>
      <c r="D1248" s="13" t="s">
        <v>152</v>
      </c>
      <c r="E1248" s="34"/>
      <c r="F1248" s="6"/>
      <c r="H1248" s="6"/>
      <c r="I1248" s="35" t="str">
        <f>IFERROR(IFERROR(IFERROR(VLOOKUP(B1248&amp;C1248&amp;Q1248,'New Weekly Paste'!A:M,10,0),VLOOKUP(B1248&amp;C1248&amp;Q1248,'New Weekly Paste'!B:O,6,0)),""),"")</f>
        <v>T-How</v>
      </c>
      <c r="J1248" s="239">
        <f>IFERROR(IFERROR(VLOOKUP(B1248&amp;C1248&amp;Q1248,'New Weekly Paste'!A:M,8,0),VLOOKUP(B1248&amp;C1248&amp;Q1248,'New Weekly Paste'!B:O,10,0)),0)</f>
        <v>101.72</v>
      </c>
      <c r="K1248" s="239">
        <f>IFERROR(IFERROR(VLOOKUP(B1248&amp;I1248&amp;Q1248,'New Weekly Paste'!A:M,8,0),VLOOKUP(B1248&amp;I1248&amp;Q1248,'New Weekly Paste'!B:O,10,0)),0)</f>
        <v>74.84</v>
      </c>
      <c r="L1248" s="239">
        <f t="shared" si="25"/>
        <v>1</v>
      </c>
      <c r="M1248" s="36" t="str">
        <f t="shared" si="3"/>
        <v>Regular Season</v>
      </c>
      <c r="N1248" s="239" t="str">
        <f t="shared" si="26"/>
        <v>T-How</v>
      </c>
      <c r="O1248" s="6">
        <f>VLOOKUP(D1248,'Mapped Opponent'!$G$4:$H$22,2,0)</f>
        <v>13</v>
      </c>
      <c r="P1248" s="6"/>
      <c r="Q1248" s="6" t="str">
        <f t="shared" si="4"/>
        <v>Week 13</v>
      </c>
      <c r="R1248" s="6" t="str">
        <f t="shared" si="5"/>
        <v>2017Week 13</v>
      </c>
      <c r="S1248" s="6">
        <f>IFERROR(__xludf.DUMMYFUNCTION("rank(J1248,FILTER(J:J,R:R=R1248))"),5.0)</f>
        <v>5</v>
      </c>
      <c r="T1248" s="6">
        <f t="shared" si="6"/>
        <v>7</v>
      </c>
      <c r="U1248" s="6">
        <f t="shared" si="7"/>
        <v>5</v>
      </c>
      <c r="V1248" s="42">
        <f>averageif(AllData!A:A,B1248,AllData!R:R)/vlookup(B1248,AllData!A:O,15,0)</f>
        <v>90.17282051</v>
      </c>
      <c r="W1248" s="6"/>
    </row>
    <row r="1249" ht="14.25" customHeight="1">
      <c r="A1249" s="6" t="str">
        <f t="shared" si="1"/>
        <v>2017T-How13</v>
      </c>
      <c r="B1249" s="59">
        <v>2017.0</v>
      </c>
      <c r="C1249" s="13" t="s">
        <v>82</v>
      </c>
      <c r="D1249" s="13" t="s">
        <v>152</v>
      </c>
      <c r="E1249" s="34"/>
      <c r="F1249" s="6"/>
      <c r="H1249" s="6"/>
      <c r="I1249" s="35" t="str">
        <f>IFERROR(IFERROR(IFERROR(VLOOKUP(B1249&amp;C1249&amp;Q1249,'New Weekly Paste'!A:M,10,0),VLOOKUP(B1249&amp;C1249&amp;Q1249,'New Weekly Paste'!B:O,6,0)),""),"")</f>
        <v>KnardDawg</v>
      </c>
      <c r="J1249" s="239">
        <f>IFERROR(IFERROR(VLOOKUP(B1249&amp;C1249&amp;Q1249,'New Weekly Paste'!A:M,8,0),VLOOKUP(B1249&amp;C1249&amp;Q1249,'New Weekly Paste'!B:O,10,0)),0)</f>
        <v>74.84</v>
      </c>
      <c r="K1249" s="239">
        <f>IFERROR(IFERROR(VLOOKUP(B1249&amp;I1249&amp;Q1249,'New Weekly Paste'!A:M,8,0),VLOOKUP(B1249&amp;I1249&amp;Q1249,'New Weekly Paste'!B:O,10,0)),0)</f>
        <v>101.72</v>
      </c>
      <c r="L1249" s="239">
        <f t="shared" si="25"/>
        <v>0</v>
      </c>
      <c r="M1249" s="36" t="str">
        <f t="shared" si="3"/>
        <v>Regular Season</v>
      </c>
      <c r="N1249" s="239" t="str">
        <f t="shared" si="26"/>
        <v>KnardDawg</v>
      </c>
      <c r="O1249" s="6">
        <f>VLOOKUP(D1249,'Mapped Opponent'!$G$4:$H$22,2,0)</f>
        <v>13</v>
      </c>
      <c r="P1249" s="6"/>
      <c r="Q1249" s="6" t="str">
        <f t="shared" si="4"/>
        <v>Week 13</v>
      </c>
      <c r="R1249" s="6" t="str">
        <f t="shared" si="5"/>
        <v>2017Week 13</v>
      </c>
      <c r="S1249" s="6">
        <f>IFERROR(__xludf.DUMMYFUNCTION("rank(J1249,FILTER(J:J,R:R=R1249))"),10.0)</f>
        <v>10</v>
      </c>
      <c r="T1249" s="6">
        <f t="shared" si="6"/>
        <v>2</v>
      </c>
      <c r="U1249" s="6">
        <f t="shared" si="7"/>
        <v>10</v>
      </c>
      <c r="V1249" s="42">
        <f>averageif(AllData!A:A,B1249,AllData!R:R)/vlookup(B1249,AllData!A:O,15,0)</f>
        <v>90.17282051</v>
      </c>
      <c r="W1249" s="6"/>
    </row>
    <row r="1250" ht="14.25" customHeight="1">
      <c r="A1250" s="6" t="str">
        <f t="shared" si="1"/>
        <v>2017Hudspeath2</v>
      </c>
      <c r="B1250" s="59">
        <v>2017.0</v>
      </c>
      <c r="C1250" s="13" t="s">
        <v>39</v>
      </c>
      <c r="D1250" s="13" t="s">
        <v>131</v>
      </c>
      <c r="E1250" s="34"/>
      <c r="F1250" s="6"/>
      <c r="H1250" s="6"/>
      <c r="I1250" s="35" t="str">
        <f>IFERROR(IFERROR(IFERROR(VLOOKUP(B1250&amp;C1250&amp;Q1250,'New Weekly Paste'!A:M,10,0),VLOOKUP(B1250&amp;C1250&amp;Q1250,'New Weekly Paste'!B:O,6,0)),""),"")</f>
        <v>Fellows</v>
      </c>
      <c r="J1250" s="239">
        <f>IFERROR(IFERROR(VLOOKUP(B1250&amp;C1250&amp;Q1250,'New Weekly Paste'!A:M,8,0),VLOOKUP(B1250&amp;C1250&amp;Q1250,'New Weekly Paste'!B:O,10,0)),0)</f>
        <v>90.58</v>
      </c>
      <c r="K1250" s="239">
        <f>IFERROR(IFERROR(VLOOKUP(B1250&amp;I1250&amp;Q1250,'New Weekly Paste'!A:M,8,0),VLOOKUP(B1250&amp;I1250&amp;Q1250,'New Weekly Paste'!B:O,10,0)),0)</f>
        <v>89.9</v>
      </c>
      <c r="L1250" s="239">
        <f t="shared" si="25"/>
        <v>1</v>
      </c>
      <c r="M1250" s="36" t="str">
        <f t="shared" si="3"/>
        <v>Regular Season</v>
      </c>
      <c r="N1250" s="239" t="str">
        <f t="shared" si="26"/>
        <v>Fellows</v>
      </c>
      <c r="O1250" s="6">
        <f>VLOOKUP(D1250,'Mapped Opponent'!$G$4:$H$22,2,0)</f>
        <v>2</v>
      </c>
      <c r="P1250" s="6"/>
      <c r="Q1250" s="6" t="str">
        <f t="shared" si="4"/>
        <v>Week 2</v>
      </c>
      <c r="R1250" s="6" t="str">
        <f t="shared" si="5"/>
        <v>2017Week 2</v>
      </c>
      <c r="S1250" s="6">
        <f>IFERROR(__xludf.DUMMYFUNCTION("rank(J1250,FILTER(J:J,R:R=R1250))"),5.0)</f>
        <v>5</v>
      </c>
      <c r="T1250" s="6">
        <f t="shared" si="6"/>
        <v>7</v>
      </c>
      <c r="U1250" s="6">
        <f t="shared" si="7"/>
        <v>5</v>
      </c>
      <c r="V1250" s="42">
        <f>averageif(AllData!A:A,B1250,AllData!R:R)/vlookup(B1250,AllData!A:O,15,0)</f>
        <v>90.17282051</v>
      </c>
      <c r="W1250" s="6"/>
    </row>
    <row r="1251" ht="14.25" customHeight="1">
      <c r="A1251" s="6" t="str">
        <f t="shared" si="1"/>
        <v>2017Salty2</v>
      </c>
      <c r="B1251" s="59">
        <v>2017.0</v>
      </c>
      <c r="C1251" s="13" t="s">
        <v>76</v>
      </c>
      <c r="D1251" s="13" t="s">
        <v>131</v>
      </c>
      <c r="E1251" s="34"/>
      <c r="F1251" s="6"/>
      <c r="H1251" s="6"/>
      <c r="I1251" s="35" t="str">
        <f>IFERROR(IFERROR(IFERROR(VLOOKUP(B1251&amp;C1251&amp;Q1251,'New Weekly Paste'!A:M,10,0),VLOOKUP(B1251&amp;C1251&amp;Q1251,'New Weekly Paste'!B:O,6,0)),""),"")</f>
        <v>Rooney/Jackson</v>
      </c>
      <c r="J1251" s="239">
        <f>IFERROR(IFERROR(VLOOKUP(B1251&amp;C1251&amp;Q1251,'New Weekly Paste'!A:M,8,0),VLOOKUP(B1251&amp;C1251&amp;Q1251,'New Weekly Paste'!B:O,10,0)),0)</f>
        <v>112.68</v>
      </c>
      <c r="K1251" s="239">
        <f>IFERROR(IFERROR(VLOOKUP(B1251&amp;I1251&amp;Q1251,'New Weekly Paste'!A:M,8,0),VLOOKUP(B1251&amp;I1251&amp;Q1251,'New Weekly Paste'!B:O,10,0)),0)</f>
        <v>100.6</v>
      </c>
      <c r="L1251" s="239">
        <f t="shared" si="25"/>
        <v>1</v>
      </c>
      <c r="M1251" s="36" t="str">
        <f t="shared" si="3"/>
        <v>Regular Season</v>
      </c>
      <c r="N1251" s="239" t="str">
        <f t="shared" si="26"/>
        <v>Rooney/Jackson</v>
      </c>
      <c r="O1251" s="6">
        <f>VLOOKUP(D1251,'Mapped Opponent'!$G$4:$H$22,2,0)</f>
        <v>2</v>
      </c>
      <c r="P1251" s="6"/>
      <c r="Q1251" s="6" t="str">
        <f t="shared" si="4"/>
        <v>Week 2</v>
      </c>
      <c r="R1251" s="6" t="str">
        <f t="shared" si="5"/>
        <v>2017Week 2</v>
      </c>
      <c r="S1251" s="6">
        <f>IFERROR(__xludf.DUMMYFUNCTION("rank(J1251,FILTER(J:J,R:R=R1251))"),2.0)</f>
        <v>2</v>
      </c>
      <c r="T1251" s="6">
        <f t="shared" si="6"/>
        <v>10</v>
      </c>
      <c r="U1251" s="6">
        <f t="shared" si="7"/>
        <v>2</v>
      </c>
      <c r="V1251" s="42">
        <f>averageif(AllData!A:A,B1251,AllData!R:R)/vlookup(B1251,AllData!A:O,15,0)</f>
        <v>90.17282051</v>
      </c>
      <c r="W1251" s="6"/>
    </row>
    <row r="1252" ht="14.25" customHeight="1">
      <c r="A1252" s="6" t="str">
        <f t="shared" si="1"/>
        <v>2017Fellows2</v>
      </c>
      <c r="B1252" s="59">
        <v>2017.0</v>
      </c>
      <c r="C1252" s="13" t="s">
        <v>79</v>
      </c>
      <c r="D1252" s="13" t="s">
        <v>131</v>
      </c>
      <c r="E1252" s="34"/>
      <c r="F1252" s="6"/>
      <c r="H1252" s="6"/>
      <c r="I1252" s="35" t="str">
        <f>IFERROR(IFERROR(IFERROR(VLOOKUP(B1252&amp;C1252&amp;Q1252,'New Weekly Paste'!A:M,10,0),VLOOKUP(B1252&amp;C1252&amp;Q1252,'New Weekly Paste'!B:O,6,0)),""),"")</f>
        <v>Hudspeath</v>
      </c>
      <c r="J1252" s="239">
        <f>IFERROR(IFERROR(VLOOKUP(B1252&amp;C1252&amp;Q1252,'New Weekly Paste'!A:M,8,0),VLOOKUP(B1252&amp;C1252&amp;Q1252,'New Weekly Paste'!B:O,10,0)),0)</f>
        <v>89.9</v>
      </c>
      <c r="K1252" s="239">
        <f>IFERROR(IFERROR(VLOOKUP(B1252&amp;I1252&amp;Q1252,'New Weekly Paste'!A:M,8,0),VLOOKUP(B1252&amp;I1252&amp;Q1252,'New Weekly Paste'!B:O,10,0)),0)</f>
        <v>90.58</v>
      </c>
      <c r="L1252" s="239">
        <f t="shared" si="25"/>
        <v>0</v>
      </c>
      <c r="M1252" s="36" t="str">
        <f t="shared" si="3"/>
        <v>Regular Season</v>
      </c>
      <c r="N1252" s="239" t="str">
        <f t="shared" si="26"/>
        <v>Hudspeath</v>
      </c>
      <c r="O1252" s="6">
        <f>VLOOKUP(D1252,'Mapped Opponent'!$G$4:$H$22,2,0)</f>
        <v>2</v>
      </c>
      <c r="P1252" s="6"/>
      <c r="Q1252" s="6" t="str">
        <f t="shared" si="4"/>
        <v>Week 2</v>
      </c>
      <c r="R1252" s="6" t="str">
        <f t="shared" si="5"/>
        <v>2017Week 2</v>
      </c>
      <c r="S1252" s="6">
        <f>IFERROR(__xludf.DUMMYFUNCTION("rank(J1252,FILTER(J:J,R:R=R1252))"),7.0)</f>
        <v>7</v>
      </c>
      <c r="T1252" s="6">
        <f t="shared" si="6"/>
        <v>5</v>
      </c>
      <c r="U1252" s="6">
        <f t="shared" si="7"/>
        <v>7</v>
      </c>
      <c r="V1252" s="42">
        <f>averageif(AllData!A:A,B1252,AllData!R:R)/vlookup(B1252,AllData!A:O,15,0)</f>
        <v>90.17282051</v>
      </c>
      <c r="W1252" s="6"/>
    </row>
    <row r="1253" ht="14.25" customHeight="1">
      <c r="A1253" s="6" t="str">
        <f t="shared" si="1"/>
        <v>2017Shep2</v>
      </c>
      <c r="B1253" s="59">
        <v>2017.0</v>
      </c>
      <c r="C1253" s="13" t="s">
        <v>89</v>
      </c>
      <c r="D1253" s="13" t="s">
        <v>131</v>
      </c>
      <c r="E1253" s="34"/>
      <c r="F1253" s="6"/>
      <c r="H1253" s="6"/>
      <c r="I1253" s="35" t="str">
        <f>IFERROR(IFERROR(IFERROR(VLOOKUP(B1253&amp;C1253&amp;Q1253,'New Weekly Paste'!A:M,10,0),VLOOKUP(B1253&amp;C1253&amp;Q1253,'New Weekly Paste'!B:O,6,0)),""),"")</f>
        <v>Buser</v>
      </c>
      <c r="J1253" s="239">
        <f>IFERROR(IFERROR(VLOOKUP(B1253&amp;C1253&amp;Q1253,'New Weekly Paste'!A:M,8,0),VLOOKUP(B1253&amp;C1253&amp;Q1253,'New Weekly Paste'!B:O,10,0)),0)</f>
        <v>84.32</v>
      </c>
      <c r="K1253" s="239">
        <f>IFERROR(IFERROR(VLOOKUP(B1253&amp;I1253&amp;Q1253,'New Weekly Paste'!A:M,8,0),VLOOKUP(B1253&amp;I1253&amp;Q1253,'New Weekly Paste'!B:O,10,0)),0)</f>
        <v>78.76</v>
      </c>
      <c r="L1253" s="239">
        <f t="shared" si="25"/>
        <v>1</v>
      </c>
      <c r="M1253" s="36" t="str">
        <f t="shared" si="3"/>
        <v>Regular Season</v>
      </c>
      <c r="N1253" s="239" t="str">
        <f t="shared" si="26"/>
        <v>Buser</v>
      </c>
      <c r="O1253" s="6">
        <f>VLOOKUP(D1253,'Mapped Opponent'!$G$4:$H$22,2,0)</f>
        <v>2</v>
      </c>
      <c r="P1253" s="6"/>
      <c r="Q1253" s="6" t="str">
        <f t="shared" si="4"/>
        <v>Week 2</v>
      </c>
      <c r="R1253" s="6" t="str">
        <f t="shared" si="5"/>
        <v>2017Week 2</v>
      </c>
      <c r="S1253" s="6">
        <f>IFERROR(__xludf.DUMMYFUNCTION("rank(J1253,FILTER(J:J,R:R=R1253))"),8.0)</f>
        <v>8</v>
      </c>
      <c r="T1253" s="6">
        <f t="shared" si="6"/>
        <v>4</v>
      </c>
      <c r="U1253" s="6">
        <f t="shared" si="7"/>
        <v>8</v>
      </c>
      <c r="V1253" s="42">
        <f>averageif(AllData!A:A,B1253,AllData!R:R)/vlookup(B1253,AllData!A:O,15,0)</f>
        <v>90.17282051</v>
      </c>
      <c r="W1253" s="6"/>
    </row>
    <row r="1254" ht="14.25" customHeight="1">
      <c r="A1254" s="6" t="str">
        <f t="shared" si="1"/>
        <v>2017Riley2</v>
      </c>
      <c r="B1254" s="59">
        <v>2017.0</v>
      </c>
      <c r="C1254" s="13" t="s">
        <v>67</v>
      </c>
      <c r="D1254" s="13" t="s">
        <v>131</v>
      </c>
      <c r="E1254" s="34"/>
      <c r="F1254" s="6"/>
      <c r="H1254" s="6"/>
      <c r="I1254" s="35" t="str">
        <f>IFERROR(IFERROR(IFERROR(VLOOKUP(B1254&amp;C1254&amp;Q1254,'New Weekly Paste'!A:M,10,0),VLOOKUP(B1254&amp;C1254&amp;Q1254,'New Weekly Paste'!B:O,6,0)),""),"")</f>
        <v>Cock</v>
      </c>
      <c r="J1254" s="239">
        <f>IFERROR(IFERROR(VLOOKUP(B1254&amp;C1254&amp;Q1254,'New Weekly Paste'!A:M,8,0),VLOOKUP(B1254&amp;C1254&amp;Q1254,'New Weekly Paste'!B:O,10,0)),0)</f>
        <v>119.48</v>
      </c>
      <c r="K1254" s="239">
        <f>IFERROR(IFERROR(VLOOKUP(B1254&amp;I1254&amp;Q1254,'New Weekly Paste'!A:M,8,0),VLOOKUP(B1254&amp;I1254&amp;Q1254,'New Weekly Paste'!B:O,10,0)),0)</f>
        <v>90.04</v>
      </c>
      <c r="L1254" s="239">
        <f t="shared" si="25"/>
        <v>1</v>
      </c>
      <c r="M1254" s="36" t="str">
        <f t="shared" si="3"/>
        <v>Regular Season</v>
      </c>
      <c r="N1254" s="239" t="str">
        <f t="shared" si="26"/>
        <v>Cock</v>
      </c>
      <c r="O1254" s="6">
        <f>VLOOKUP(D1254,'Mapped Opponent'!$G$4:$H$22,2,0)</f>
        <v>2</v>
      </c>
      <c r="P1254" s="6"/>
      <c r="Q1254" s="6" t="str">
        <f t="shared" si="4"/>
        <v>Week 2</v>
      </c>
      <c r="R1254" s="6" t="str">
        <f t="shared" si="5"/>
        <v>2017Week 2</v>
      </c>
      <c r="S1254" s="6">
        <f>IFERROR(__xludf.DUMMYFUNCTION("rank(J1254,FILTER(J:J,R:R=R1254))"),1.0)</f>
        <v>1</v>
      </c>
      <c r="T1254" s="6">
        <f t="shared" si="6"/>
        <v>11</v>
      </c>
      <c r="U1254" s="6">
        <f t="shared" si="7"/>
        <v>1</v>
      </c>
      <c r="V1254" s="42">
        <f>averageif(AllData!A:A,B1254,AllData!R:R)/vlookup(B1254,AllData!A:O,15,0)</f>
        <v>90.17282051</v>
      </c>
      <c r="W1254" s="6"/>
    </row>
    <row r="1255" ht="14.25" customHeight="1">
      <c r="A1255" s="6" t="str">
        <f t="shared" si="1"/>
        <v>2017Rooney/Jackson2</v>
      </c>
      <c r="B1255" s="59">
        <v>2017.0</v>
      </c>
      <c r="C1255" s="13" t="s">
        <v>57</v>
      </c>
      <c r="D1255" s="13" t="s">
        <v>131</v>
      </c>
      <c r="E1255" s="34"/>
      <c r="F1255" s="6"/>
      <c r="H1255" s="6"/>
      <c r="I1255" s="35" t="str">
        <f>IFERROR(IFERROR(IFERROR(VLOOKUP(B1255&amp;C1255&amp;Q1255,'New Weekly Paste'!A:M,10,0),VLOOKUP(B1255&amp;C1255&amp;Q1255,'New Weekly Paste'!B:O,6,0)),""),"")</f>
        <v>Salty</v>
      </c>
      <c r="J1255" s="239">
        <f>IFERROR(IFERROR(VLOOKUP(B1255&amp;C1255&amp;Q1255,'New Weekly Paste'!A:M,8,0),VLOOKUP(B1255&amp;C1255&amp;Q1255,'New Weekly Paste'!B:O,10,0)),0)</f>
        <v>100.6</v>
      </c>
      <c r="K1255" s="239">
        <f>IFERROR(IFERROR(VLOOKUP(B1255&amp;I1255&amp;Q1255,'New Weekly Paste'!A:M,8,0),VLOOKUP(B1255&amp;I1255&amp;Q1255,'New Weekly Paste'!B:O,10,0)),0)</f>
        <v>112.68</v>
      </c>
      <c r="L1255" s="239">
        <f t="shared" si="25"/>
        <v>0</v>
      </c>
      <c r="M1255" s="36" t="str">
        <f t="shared" si="3"/>
        <v>Regular Season</v>
      </c>
      <c r="N1255" s="239" t="str">
        <f t="shared" si="26"/>
        <v>Salty</v>
      </c>
      <c r="O1255" s="6">
        <f>VLOOKUP(D1255,'Mapped Opponent'!$G$4:$H$22,2,0)</f>
        <v>2</v>
      </c>
      <c r="P1255" s="6"/>
      <c r="Q1255" s="6" t="str">
        <f t="shared" si="4"/>
        <v>Week 2</v>
      </c>
      <c r="R1255" s="6" t="str">
        <f t="shared" si="5"/>
        <v>2017Week 2</v>
      </c>
      <c r="S1255" s="6">
        <f>IFERROR(__xludf.DUMMYFUNCTION("rank(J1255,FILTER(J:J,R:R=R1255))"),4.0)</f>
        <v>4</v>
      </c>
      <c r="T1255" s="6">
        <f t="shared" si="6"/>
        <v>8</v>
      </c>
      <c r="U1255" s="6">
        <f t="shared" si="7"/>
        <v>4</v>
      </c>
      <c r="V1255" s="42">
        <f>averageif(AllData!A:A,B1255,AllData!R:R)/vlookup(B1255,AllData!A:O,15,0)</f>
        <v>90.17282051</v>
      </c>
      <c r="W1255" s="6"/>
    </row>
    <row r="1256" ht="14.25" customHeight="1">
      <c r="A1256" s="6" t="str">
        <f t="shared" si="1"/>
        <v>2017Buser2</v>
      </c>
      <c r="B1256" s="59">
        <v>2017.0</v>
      </c>
      <c r="C1256" s="13" t="s">
        <v>47</v>
      </c>
      <c r="D1256" s="13" t="s">
        <v>131</v>
      </c>
      <c r="E1256" s="34"/>
      <c r="F1256" s="6"/>
      <c r="H1256" s="6"/>
      <c r="I1256" s="35" t="str">
        <f>IFERROR(IFERROR(IFERROR(VLOOKUP(B1256&amp;C1256&amp;Q1256,'New Weekly Paste'!A:M,10,0),VLOOKUP(B1256&amp;C1256&amp;Q1256,'New Weekly Paste'!B:O,6,0)),""),"")</f>
        <v>Shep</v>
      </c>
      <c r="J1256" s="239">
        <f>IFERROR(IFERROR(VLOOKUP(B1256&amp;C1256&amp;Q1256,'New Weekly Paste'!A:M,8,0),VLOOKUP(B1256&amp;C1256&amp;Q1256,'New Weekly Paste'!B:O,10,0)),0)</f>
        <v>78.76</v>
      </c>
      <c r="K1256" s="239">
        <f>IFERROR(IFERROR(VLOOKUP(B1256&amp;I1256&amp;Q1256,'New Weekly Paste'!A:M,8,0),VLOOKUP(B1256&amp;I1256&amp;Q1256,'New Weekly Paste'!B:O,10,0)),0)</f>
        <v>84.32</v>
      </c>
      <c r="L1256" s="239">
        <f t="shared" si="25"/>
        <v>0</v>
      </c>
      <c r="M1256" s="36" t="str">
        <f t="shared" si="3"/>
        <v>Regular Season</v>
      </c>
      <c r="N1256" s="239" t="str">
        <f t="shared" si="26"/>
        <v>Shep</v>
      </c>
      <c r="O1256" s="6">
        <f>VLOOKUP(D1256,'Mapped Opponent'!$G$4:$H$22,2,0)</f>
        <v>2</v>
      </c>
      <c r="P1256" s="6"/>
      <c r="Q1256" s="6" t="str">
        <f t="shared" si="4"/>
        <v>Week 2</v>
      </c>
      <c r="R1256" s="6" t="str">
        <f t="shared" si="5"/>
        <v>2017Week 2</v>
      </c>
      <c r="S1256" s="6">
        <f>IFERROR(__xludf.DUMMYFUNCTION("rank(J1256,FILTER(J:J,R:R=R1256))"),9.0)</f>
        <v>9</v>
      </c>
      <c r="T1256" s="6">
        <f t="shared" si="6"/>
        <v>3</v>
      </c>
      <c r="U1256" s="6">
        <f t="shared" si="7"/>
        <v>9</v>
      </c>
      <c r="V1256" s="42">
        <f>averageif(AllData!A:A,B1256,AllData!R:R)/vlookup(B1256,AllData!A:O,15,0)</f>
        <v>90.17282051</v>
      </c>
      <c r="W1256" s="6"/>
    </row>
    <row r="1257" ht="14.25" customHeight="1">
      <c r="A1257" s="6" t="str">
        <f t="shared" si="1"/>
        <v>2017Pierson2</v>
      </c>
      <c r="B1257" s="59">
        <v>2017.0</v>
      </c>
      <c r="C1257" s="13" t="s">
        <v>92</v>
      </c>
      <c r="D1257" s="13" t="s">
        <v>131</v>
      </c>
      <c r="E1257" s="34"/>
      <c r="F1257" s="6"/>
      <c r="H1257" s="6"/>
      <c r="I1257" s="35" t="str">
        <f>IFERROR(IFERROR(IFERROR(VLOOKUP(B1257&amp;C1257&amp;Q1257,'New Weekly Paste'!A:M,10,0),VLOOKUP(B1257&amp;C1257&amp;Q1257,'New Weekly Paste'!B:O,6,0)),""),"")</f>
        <v>Tayski</v>
      </c>
      <c r="J1257" s="239">
        <f>IFERROR(IFERROR(VLOOKUP(B1257&amp;C1257&amp;Q1257,'New Weekly Paste'!A:M,8,0),VLOOKUP(B1257&amp;C1257&amp;Q1257,'New Weekly Paste'!B:O,10,0)),0)</f>
        <v>70.42</v>
      </c>
      <c r="K1257" s="239">
        <f>IFERROR(IFERROR(VLOOKUP(B1257&amp;I1257&amp;Q1257,'New Weekly Paste'!A:M,8,0),VLOOKUP(B1257&amp;I1257&amp;Q1257,'New Weekly Paste'!B:O,10,0)),0)</f>
        <v>108.6</v>
      </c>
      <c r="L1257" s="239">
        <f t="shared" si="25"/>
        <v>0</v>
      </c>
      <c r="M1257" s="36" t="str">
        <f t="shared" si="3"/>
        <v>Regular Season</v>
      </c>
      <c r="N1257" s="239" t="str">
        <f t="shared" si="26"/>
        <v>Tayski</v>
      </c>
      <c r="O1257" s="6">
        <f>VLOOKUP(D1257,'Mapped Opponent'!$G$4:$H$22,2,0)</f>
        <v>2</v>
      </c>
      <c r="P1257" s="6"/>
      <c r="Q1257" s="6" t="str">
        <f t="shared" si="4"/>
        <v>Week 2</v>
      </c>
      <c r="R1257" s="6" t="str">
        <f t="shared" si="5"/>
        <v>2017Week 2</v>
      </c>
      <c r="S1257" s="6">
        <f>IFERROR(__xludf.DUMMYFUNCTION("rank(J1257,FILTER(J:J,R:R=R1257))"),10.0)</f>
        <v>10</v>
      </c>
      <c r="T1257" s="6">
        <f t="shared" si="6"/>
        <v>2</v>
      </c>
      <c r="U1257" s="6">
        <f t="shared" si="7"/>
        <v>10</v>
      </c>
      <c r="V1257" s="42">
        <f>averageif(AllData!A:A,B1257,AllData!R:R)/vlookup(B1257,AllData!A:O,15,0)</f>
        <v>90.17282051</v>
      </c>
      <c r="W1257" s="6"/>
    </row>
    <row r="1258" ht="14.25" customHeight="1">
      <c r="A1258" s="6" t="str">
        <f t="shared" si="1"/>
        <v>2017Cock2</v>
      </c>
      <c r="B1258" s="59">
        <v>2017.0</v>
      </c>
      <c r="C1258" s="13" t="s">
        <v>72</v>
      </c>
      <c r="D1258" s="13" t="s">
        <v>131</v>
      </c>
      <c r="E1258" s="34"/>
      <c r="F1258" s="6"/>
      <c r="H1258" s="6"/>
      <c r="I1258" s="35" t="str">
        <f>IFERROR(IFERROR(IFERROR(VLOOKUP(B1258&amp;C1258&amp;Q1258,'New Weekly Paste'!A:M,10,0),VLOOKUP(B1258&amp;C1258&amp;Q1258,'New Weekly Paste'!B:O,6,0)),""),"")</f>
        <v>Riley</v>
      </c>
      <c r="J1258" s="239">
        <f>IFERROR(IFERROR(VLOOKUP(B1258&amp;C1258&amp;Q1258,'New Weekly Paste'!A:M,8,0),VLOOKUP(B1258&amp;C1258&amp;Q1258,'New Weekly Paste'!B:O,10,0)),0)</f>
        <v>90.04</v>
      </c>
      <c r="K1258" s="239">
        <f>IFERROR(IFERROR(VLOOKUP(B1258&amp;I1258&amp;Q1258,'New Weekly Paste'!A:M,8,0),VLOOKUP(B1258&amp;I1258&amp;Q1258,'New Weekly Paste'!B:O,10,0)),0)</f>
        <v>119.48</v>
      </c>
      <c r="L1258" s="239">
        <f t="shared" si="25"/>
        <v>0</v>
      </c>
      <c r="M1258" s="36" t="str">
        <f t="shared" si="3"/>
        <v>Regular Season</v>
      </c>
      <c r="N1258" s="239" t="str">
        <f t="shared" si="26"/>
        <v>Riley</v>
      </c>
      <c r="O1258" s="6">
        <f>VLOOKUP(D1258,'Mapped Opponent'!$G$4:$H$22,2,0)</f>
        <v>2</v>
      </c>
      <c r="P1258" s="6"/>
      <c r="Q1258" s="6" t="str">
        <f t="shared" si="4"/>
        <v>Week 2</v>
      </c>
      <c r="R1258" s="6" t="str">
        <f t="shared" si="5"/>
        <v>2017Week 2</v>
      </c>
      <c r="S1258" s="6">
        <f>IFERROR(__xludf.DUMMYFUNCTION("rank(J1258,FILTER(J:J,R:R=R1258))"),6.0)</f>
        <v>6</v>
      </c>
      <c r="T1258" s="6">
        <f t="shared" si="6"/>
        <v>6</v>
      </c>
      <c r="U1258" s="6">
        <f t="shared" si="7"/>
        <v>6</v>
      </c>
      <c r="V1258" s="42">
        <f>averageif(AllData!A:A,B1258,AllData!R:R)/vlookup(B1258,AllData!A:O,15,0)</f>
        <v>90.17282051</v>
      </c>
      <c r="W1258" s="6"/>
    </row>
    <row r="1259" ht="14.25" customHeight="1">
      <c r="A1259" s="6" t="str">
        <f t="shared" si="1"/>
        <v>2017Tayski2</v>
      </c>
      <c r="B1259" s="59">
        <v>2017.0</v>
      </c>
      <c r="C1259" s="13" t="s">
        <v>52</v>
      </c>
      <c r="D1259" s="13" t="s">
        <v>131</v>
      </c>
      <c r="E1259" s="34"/>
      <c r="F1259" s="6"/>
      <c r="H1259" s="6"/>
      <c r="I1259" s="35" t="str">
        <f>IFERROR(IFERROR(IFERROR(VLOOKUP(B1259&amp;C1259&amp;Q1259,'New Weekly Paste'!A:M,10,0),VLOOKUP(B1259&amp;C1259&amp;Q1259,'New Weekly Paste'!B:O,6,0)),""),"")</f>
        <v>Pierson</v>
      </c>
      <c r="J1259" s="239">
        <f>IFERROR(IFERROR(VLOOKUP(B1259&amp;C1259&amp;Q1259,'New Weekly Paste'!A:M,8,0),VLOOKUP(B1259&amp;C1259&amp;Q1259,'New Weekly Paste'!B:O,10,0)),0)</f>
        <v>108.6</v>
      </c>
      <c r="K1259" s="239">
        <f>IFERROR(IFERROR(VLOOKUP(B1259&amp;I1259&amp;Q1259,'New Weekly Paste'!A:M,8,0),VLOOKUP(B1259&amp;I1259&amp;Q1259,'New Weekly Paste'!B:O,10,0)),0)</f>
        <v>70.42</v>
      </c>
      <c r="L1259" s="239">
        <f t="shared" si="25"/>
        <v>1</v>
      </c>
      <c r="M1259" s="36" t="str">
        <f t="shared" si="3"/>
        <v>Regular Season</v>
      </c>
      <c r="N1259" s="239" t="str">
        <f t="shared" si="26"/>
        <v>Pierson</v>
      </c>
      <c r="O1259" s="6">
        <f>VLOOKUP(D1259,'Mapped Opponent'!$G$4:$H$22,2,0)</f>
        <v>2</v>
      </c>
      <c r="P1259" s="6"/>
      <c r="Q1259" s="6" t="str">
        <f t="shared" si="4"/>
        <v>Week 2</v>
      </c>
      <c r="R1259" s="6" t="str">
        <f t="shared" si="5"/>
        <v>2017Week 2</v>
      </c>
      <c r="S1259" s="6">
        <f>IFERROR(__xludf.DUMMYFUNCTION("rank(J1259,FILTER(J:J,R:R=R1259))"),3.0)</f>
        <v>3</v>
      </c>
      <c r="T1259" s="6">
        <f t="shared" si="6"/>
        <v>9</v>
      </c>
      <c r="U1259" s="6">
        <f t="shared" si="7"/>
        <v>3</v>
      </c>
      <c r="V1259" s="42">
        <f>averageif(AllData!A:A,B1259,AllData!R:R)/vlookup(B1259,AllData!A:O,15,0)</f>
        <v>90.17282051</v>
      </c>
      <c r="W1259" s="6"/>
    </row>
    <row r="1260" ht="14.25" customHeight="1">
      <c r="A1260" s="6" t="str">
        <f t="shared" si="1"/>
        <v>2017KnardDawg2</v>
      </c>
      <c r="B1260" s="59">
        <v>2017.0</v>
      </c>
      <c r="C1260" s="13" t="s">
        <v>86</v>
      </c>
      <c r="D1260" s="13" t="s">
        <v>131</v>
      </c>
      <c r="E1260" s="34"/>
      <c r="F1260" s="6"/>
      <c r="H1260" s="6"/>
      <c r="I1260" s="35" t="str">
        <f>IFERROR(IFERROR(IFERROR(VLOOKUP(B1260&amp;C1260&amp;Q1260,'New Weekly Paste'!A:M,10,0),VLOOKUP(B1260&amp;C1260&amp;Q1260,'New Weekly Paste'!B:O,6,0)),""),"")</f>
        <v>T-How</v>
      </c>
      <c r="J1260" s="239">
        <f>IFERROR(IFERROR(VLOOKUP(B1260&amp;C1260&amp;Q1260,'New Weekly Paste'!A:M,8,0),VLOOKUP(B1260&amp;C1260&amp;Q1260,'New Weekly Paste'!B:O,10,0)),0)</f>
        <v>60.62</v>
      </c>
      <c r="K1260" s="239">
        <f>IFERROR(IFERROR(VLOOKUP(B1260&amp;I1260&amp;Q1260,'New Weekly Paste'!A:M,8,0),VLOOKUP(B1260&amp;I1260&amp;Q1260,'New Weekly Paste'!B:O,10,0)),0)</f>
        <v>68.66</v>
      </c>
      <c r="L1260" s="239">
        <f t="shared" si="25"/>
        <v>0</v>
      </c>
      <c r="M1260" s="36" t="str">
        <f t="shared" si="3"/>
        <v>Regular Season</v>
      </c>
      <c r="N1260" s="239" t="str">
        <f t="shared" si="26"/>
        <v>T-How</v>
      </c>
      <c r="O1260" s="6">
        <f>VLOOKUP(D1260,'Mapped Opponent'!$G$4:$H$22,2,0)</f>
        <v>2</v>
      </c>
      <c r="P1260" s="6"/>
      <c r="Q1260" s="6" t="str">
        <f t="shared" si="4"/>
        <v>Week 2</v>
      </c>
      <c r="R1260" s="6" t="str">
        <f t="shared" si="5"/>
        <v>2017Week 2</v>
      </c>
      <c r="S1260" s="6">
        <f>IFERROR(__xludf.DUMMYFUNCTION("rank(J1260,FILTER(J:J,R:R=R1260))"),12.0)</f>
        <v>12</v>
      </c>
      <c r="T1260" s="6">
        <f t="shared" si="6"/>
        <v>0</v>
      </c>
      <c r="U1260" s="6">
        <f t="shared" si="7"/>
        <v>12</v>
      </c>
      <c r="V1260" s="42">
        <f>averageif(AllData!A:A,B1260,AllData!R:R)/vlookup(B1260,AllData!A:O,15,0)</f>
        <v>90.17282051</v>
      </c>
      <c r="W1260" s="6"/>
    </row>
    <row r="1261" ht="14.25" customHeight="1">
      <c r="A1261" s="6" t="str">
        <f t="shared" si="1"/>
        <v>2017T-How2</v>
      </c>
      <c r="B1261" s="59">
        <v>2017.0</v>
      </c>
      <c r="C1261" s="13" t="s">
        <v>82</v>
      </c>
      <c r="D1261" s="13" t="s">
        <v>131</v>
      </c>
      <c r="E1261" s="34"/>
      <c r="F1261" s="6"/>
      <c r="H1261" s="6"/>
      <c r="I1261" s="35" t="str">
        <f>IFERROR(IFERROR(IFERROR(VLOOKUP(B1261&amp;C1261&amp;Q1261,'New Weekly Paste'!A:M,10,0),VLOOKUP(B1261&amp;C1261&amp;Q1261,'New Weekly Paste'!B:O,6,0)),""),"")</f>
        <v>KnardDawg</v>
      </c>
      <c r="J1261" s="239">
        <f>IFERROR(IFERROR(VLOOKUP(B1261&amp;C1261&amp;Q1261,'New Weekly Paste'!A:M,8,0),VLOOKUP(B1261&amp;C1261&amp;Q1261,'New Weekly Paste'!B:O,10,0)),0)</f>
        <v>68.66</v>
      </c>
      <c r="K1261" s="239">
        <f>IFERROR(IFERROR(VLOOKUP(B1261&amp;I1261&amp;Q1261,'New Weekly Paste'!A:M,8,0),VLOOKUP(B1261&amp;I1261&amp;Q1261,'New Weekly Paste'!B:O,10,0)),0)</f>
        <v>60.62</v>
      </c>
      <c r="L1261" s="239">
        <f t="shared" si="25"/>
        <v>1</v>
      </c>
      <c r="M1261" s="36" t="str">
        <f t="shared" si="3"/>
        <v>Regular Season</v>
      </c>
      <c r="N1261" s="239" t="str">
        <f t="shared" si="26"/>
        <v>KnardDawg</v>
      </c>
      <c r="O1261" s="6">
        <f>VLOOKUP(D1261,'Mapped Opponent'!$G$4:$H$22,2,0)</f>
        <v>2</v>
      </c>
      <c r="P1261" s="6"/>
      <c r="Q1261" s="6" t="str">
        <f t="shared" si="4"/>
        <v>Week 2</v>
      </c>
      <c r="R1261" s="6" t="str">
        <f t="shared" si="5"/>
        <v>2017Week 2</v>
      </c>
      <c r="S1261" s="6">
        <f>IFERROR(__xludf.DUMMYFUNCTION("rank(J1261,FILTER(J:J,R:R=R1261))"),11.0)</f>
        <v>11</v>
      </c>
      <c r="T1261" s="6">
        <f t="shared" si="6"/>
        <v>1</v>
      </c>
      <c r="U1261" s="6">
        <f t="shared" si="7"/>
        <v>11</v>
      </c>
      <c r="V1261" s="42">
        <f>averageif(AllData!A:A,B1261,AllData!R:R)/vlookup(B1261,AllData!A:O,15,0)</f>
        <v>90.17282051</v>
      </c>
      <c r="W1261" s="6"/>
    </row>
    <row r="1262" ht="14.25" customHeight="1">
      <c r="A1262" s="6" t="str">
        <f t="shared" si="1"/>
        <v>2017Hudspeath3</v>
      </c>
      <c r="B1262" s="59">
        <v>2017.0</v>
      </c>
      <c r="C1262" s="13" t="s">
        <v>39</v>
      </c>
      <c r="D1262" s="13" t="s">
        <v>135</v>
      </c>
      <c r="E1262" s="34"/>
      <c r="F1262" s="6"/>
      <c r="H1262" s="6"/>
      <c r="I1262" s="35" t="str">
        <f>IFERROR(IFERROR(IFERROR(VLOOKUP(B1262&amp;C1262&amp;Q1262,'New Weekly Paste'!A:M,10,0),VLOOKUP(B1262&amp;C1262&amp;Q1262,'New Weekly Paste'!B:O,6,0)),""),"")</f>
        <v>Shep</v>
      </c>
      <c r="J1262" s="239">
        <f>IFERROR(IFERROR(VLOOKUP(B1262&amp;C1262&amp;Q1262,'New Weekly Paste'!A:M,8,0),VLOOKUP(B1262&amp;C1262&amp;Q1262,'New Weekly Paste'!B:O,10,0)),0)</f>
        <v>90.6</v>
      </c>
      <c r="K1262" s="239">
        <f>IFERROR(IFERROR(VLOOKUP(B1262&amp;I1262&amp;Q1262,'New Weekly Paste'!A:M,8,0),VLOOKUP(B1262&amp;I1262&amp;Q1262,'New Weekly Paste'!B:O,10,0)),0)</f>
        <v>68.56</v>
      </c>
      <c r="L1262" s="239">
        <f t="shared" si="25"/>
        <v>1</v>
      </c>
      <c r="M1262" s="36" t="str">
        <f t="shared" si="3"/>
        <v>Regular Season</v>
      </c>
      <c r="N1262" s="239" t="str">
        <f t="shared" si="26"/>
        <v>Shep</v>
      </c>
      <c r="O1262" s="6">
        <f>VLOOKUP(D1262,'Mapped Opponent'!$G$4:$H$22,2,0)</f>
        <v>3</v>
      </c>
      <c r="P1262" s="6"/>
      <c r="Q1262" s="6" t="str">
        <f t="shared" si="4"/>
        <v>Week 3</v>
      </c>
      <c r="R1262" s="6" t="str">
        <f t="shared" si="5"/>
        <v>2017Week 3</v>
      </c>
      <c r="S1262" s="6">
        <f>IFERROR(__xludf.DUMMYFUNCTION("rank(J1262,FILTER(J:J,R:R=R1262))"),6.0)</f>
        <v>6</v>
      </c>
      <c r="T1262" s="6">
        <f t="shared" si="6"/>
        <v>6</v>
      </c>
      <c r="U1262" s="6">
        <f t="shared" si="7"/>
        <v>6</v>
      </c>
      <c r="V1262" s="42">
        <f>averageif(AllData!A:A,B1262,AllData!R:R)/vlookup(B1262,AllData!A:O,15,0)</f>
        <v>90.17282051</v>
      </c>
      <c r="W1262" s="6"/>
    </row>
    <row r="1263" ht="14.25" customHeight="1">
      <c r="A1263" s="6" t="str">
        <f t="shared" si="1"/>
        <v>2017Salty3</v>
      </c>
      <c r="B1263" s="59">
        <v>2017.0</v>
      </c>
      <c r="C1263" s="13" t="s">
        <v>76</v>
      </c>
      <c r="D1263" s="13" t="s">
        <v>135</v>
      </c>
      <c r="E1263" s="34"/>
      <c r="F1263" s="6"/>
      <c r="H1263" s="6"/>
      <c r="I1263" s="35" t="str">
        <f>IFERROR(IFERROR(IFERROR(VLOOKUP(B1263&amp;C1263&amp;Q1263,'New Weekly Paste'!A:M,10,0),VLOOKUP(B1263&amp;C1263&amp;Q1263,'New Weekly Paste'!B:O,6,0)),""),"")</f>
        <v>Riley</v>
      </c>
      <c r="J1263" s="239">
        <f>IFERROR(IFERROR(VLOOKUP(B1263&amp;C1263&amp;Q1263,'New Weekly Paste'!A:M,8,0),VLOOKUP(B1263&amp;C1263&amp;Q1263,'New Weekly Paste'!B:O,10,0)),0)</f>
        <v>107.06</v>
      </c>
      <c r="K1263" s="239">
        <f>IFERROR(IFERROR(VLOOKUP(B1263&amp;I1263&amp;Q1263,'New Weekly Paste'!A:M,8,0),VLOOKUP(B1263&amp;I1263&amp;Q1263,'New Weekly Paste'!B:O,10,0)),0)</f>
        <v>114.22</v>
      </c>
      <c r="L1263" s="239">
        <f t="shared" si="25"/>
        <v>0</v>
      </c>
      <c r="M1263" s="36" t="str">
        <f t="shared" si="3"/>
        <v>Regular Season</v>
      </c>
      <c r="N1263" s="239" t="str">
        <f t="shared" si="26"/>
        <v>Riley</v>
      </c>
      <c r="O1263" s="6">
        <f>VLOOKUP(D1263,'Mapped Opponent'!$G$4:$H$22,2,0)</f>
        <v>3</v>
      </c>
      <c r="P1263" s="6"/>
      <c r="Q1263" s="6" t="str">
        <f t="shared" si="4"/>
        <v>Week 3</v>
      </c>
      <c r="R1263" s="6" t="str">
        <f t="shared" si="5"/>
        <v>2017Week 3</v>
      </c>
      <c r="S1263" s="6">
        <f>IFERROR(__xludf.DUMMYFUNCTION("rank(J1263,FILTER(J:J,R:R=R1263))"),3.0)</f>
        <v>3</v>
      </c>
      <c r="T1263" s="6">
        <f t="shared" si="6"/>
        <v>9</v>
      </c>
      <c r="U1263" s="6">
        <f t="shared" si="7"/>
        <v>3</v>
      </c>
      <c r="V1263" s="42">
        <f>averageif(AllData!A:A,B1263,AllData!R:R)/vlookup(B1263,AllData!A:O,15,0)</f>
        <v>90.17282051</v>
      </c>
      <c r="W1263" s="6"/>
    </row>
    <row r="1264" ht="14.25" customHeight="1">
      <c r="A1264" s="6" t="str">
        <f t="shared" si="1"/>
        <v>2017Fellows3</v>
      </c>
      <c r="B1264" s="59">
        <v>2017.0</v>
      </c>
      <c r="C1264" s="13" t="s">
        <v>79</v>
      </c>
      <c r="D1264" s="13" t="s">
        <v>135</v>
      </c>
      <c r="E1264" s="34"/>
      <c r="F1264" s="6"/>
      <c r="H1264" s="6"/>
      <c r="I1264" s="35" t="str">
        <f>IFERROR(IFERROR(IFERROR(VLOOKUP(B1264&amp;C1264&amp;Q1264,'New Weekly Paste'!A:M,10,0),VLOOKUP(B1264&amp;C1264&amp;Q1264,'New Weekly Paste'!B:O,6,0)),""),"")</f>
        <v>T-How</v>
      </c>
      <c r="J1264" s="239">
        <f>IFERROR(IFERROR(VLOOKUP(B1264&amp;C1264&amp;Q1264,'New Weekly Paste'!A:M,8,0),VLOOKUP(B1264&amp;C1264&amp;Q1264,'New Weekly Paste'!B:O,10,0)),0)</f>
        <v>73.66</v>
      </c>
      <c r="K1264" s="239">
        <f>IFERROR(IFERROR(VLOOKUP(B1264&amp;I1264&amp;Q1264,'New Weekly Paste'!A:M,8,0),VLOOKUP(B1264&amp;I1264&amp;Q1264,'New Weekly Paste'!B:O,10,0)),0)</f>
        <v>85</v>
      </c>
      <c r="L1264" s="239">
        <f t="shared" si="25"/>
        <v>0</v>
      </c>
      <c r="M1264" s="36" t="str">
        <f t="shared" si="3"/>
        <v>Regular Season</v>
      </c>
      <c r="N1264" s="239" t="str">
        <f t="shared" si="26"/>
        <v>T-How</v>
      </c>
      <c r="O1264" s="6">
        <f>VLOOKUP(D1264,'Mapped Opponent'!$G$4:$H$22,2,0)</f>
        <v>3</v>
      </c>
      <c r="P1264" s="6"/>
      <c r="Q1264" s="6" t="str">
        <f t="shared" si="4"/>
        <v>Week 3</v>
      </c>
      <c r="R1264" s="6" t="str">
        <f t="shared" si="5"/>
        <v>2017Week 3</v>
      </c>
      <c r="S1264" s="6">
        <f>IFERROR(__xludf.DUMMYFUNCTION("rank(J1264,FILTER(J:J,R:R=R1264))"),9.0)</f>
        <v>9</v>
      </c>
      <c r="T1264" s="6">
        <f t="shared" si="6"/>
        <v>3</v>
      </c>
      <c r="U1264" s="6">
        <f t="shared" si="7"/>
        <v>9</v>
      </c>
      <c r="V1264" s="42">
        <f>averageif(AllData!A:A,B1264,AllData!R:R)/vlookup(B1264,AllData!A:O,15,0)</f>
        <v>90.17282051</v>
      </c>
      <c r="W1264" s="6"/>
    </row>
    <row r="1265" ht="14.25" customHeight="1">
      <c r="A1265" s="6" t="str">
        <f t="shared" si="1"/>
        <v>2017Shep3</v>
      </c>
      <c r="B1265" s="59">
        <v>2017.0</v>
      </c>
      <c r="C1265" s="13" t="s">
        <v>89</v>
      </c>
      <c r="D1265" s="13" t="s">
        <v>135</v>
      </c>
      <c r="E1265" s="34"/>
      <c r="F1265" s="6"/>
      <c r="H1265" s="6"/>
      <c r="I1265" s="35" t="str">
        <f>IFERROR(IFERROR(IFERROR(VLOOKUP(B1265&amp;C1265&amp;Q1265,'New Weekly Paste'!A:M,10,0),VLOOKUP(B1265&amp;C1265&amp;Q1265,'New Weekly Paste'!B:O,6,0)),""),"")</f>
        <v>Hudspeath</v>
      </c>
      <c r="J1265" s="239">
        <f>IFERROR(IFERROR(VLOOKUP(B1265&amp;C1265&amp;Q1265,'New Weekly Paste'!A:M,8,0),VLOOKUP(B1265&amp;C1265&amp;Q1265,'New Weekly Paste'!B:O,10,0)),0)</f>
        <v>68.56</v>
      </c>
      <c r="K1265" s="239">
        <f>IFERROR(IFERROR(VLOOKUP(B1265&amp;I1265&amp;Q1265,'New Weekly Paste'!A:M,8,0),VLOOKUP(B1265&amp;I1265&amp;Q1265,'New Weekly Paste'!B:O,10,0)),0)</f>
        <v>90.6</v>
      </c>
      <c r="L1265" s="239">
        <f t="shared" si="25"/>
        <v>0</v>
      </c>
      <c r="M1265" s="36" t="str">
        <f t="shared" si="3"/>
        <v>Regular Season</v>
      </c>
      <c r="N1265" s="239" t="str">
        <f t="shared" si="26"/>
        <v>Hudspeath</v>
      </c>
      <c r="O1265" s="6">
        <f>VLOOKUP(D1265,'Mapped Opponent'!$G$4:$H$22,2,0)</f>
        <v>3</v>
      </c>
      <c r="P1265" s="6"/>
      <c r="Q1265" s="6" t="str">
        <f t="shared" si="4"/>
        <v>Week 3</v>
      </c>
      <c r="R1265" s="6" t="str">
        <f t="shared" si="5"/>
        <v>2017Week 3</v>
      </c>
      <c r="S1265" s="6">
        <f>IFERROR(__xludf.DUMMYFUNCTION("rank(J1265,FILTER(J:J,R:R=R1265))"),11.0)</f>
        <v>11</v>
      </c>
      <c r="T1265" s="6">
        <f t="shared" si="6"/>
        <v>1</v>
      </c>
      <c r="U1265" s="6">
        <f t="shared" si="7"/>
        <v>11</v>
      </c>
      <c r="V1265" s="42">
        <f>averageif(AllData!A:A,B1265,AllData!R:R)/vlookup(B1265,AllData!A:O,15,0)</f>
        <v>90.17282051</v>
      </c>
      <c r="W1265" s="6"/>
    </row>
    <row r="1266" ht="14.25" customHeight="1">
      <c r="A1266" s="6" t="str">
        <f t="shared" si="1"/>
        <v>2017Riley3</v>
      </c>
      <c r="B1266" s="59">
        <v>2017.0</v>
      </c>
      <c r="C1266" s="13" t="s">
        <v>67</v>
      </c>
      <c r="D1266" s="13" t="s">
        <v>135</v>
      </c>
      <c r="E1266" s="34"/>
      <c r="F1266" s="6"/>
      <c r="H1266" s="6"/>
      <c r="I1266" s="35" t="str">
        <f>IFERROR(IFERROR(IFERROR(VLOOKUP(B1266&amp;C1266&amp;Q1266,'New Weekly Paste'!A:M,10,0),VLOOKUP(B1266&amp;C1266&amp;Q1266,'New Weekly Paste'!B:O,6,0)),""),"")</f>
        <v>Salty</v>
      </c>
      <c r="J1266" s="239">
        <f>IFERROR(IFERROR(VLOOKUP(B1266&amp;C1266&amp;Q1266,'New Weekly Paste'!A:M,8,0),VLOOKUP(B1266&amp;C1266&amp;Q1266,'New Weekly Paste'!B:O,10,0)),0)</f>
        <v>114.22</v>
      </c>
      <c r="K1266" s="239">
        <f>IFERROR(IFERROR(VLOOKUP(B1266&amp;I1266&amp;Q1266,'New Weekly Paste'!A:M,8,0),VLOOKUP(B1266&amp;I1266&amp;Q1266,'New Weekly Paste'!B:O,10,0)),0)</f>
        <v>107.06</v>
      </c>
      <c r="L1266" s="239">
        <f t="shared" si="25"/>
        <v>1</v>
      </c>
      <c r="M1266" s="36" t="str">
        <f t="shared" si="3"/>
        <v>Regular Season</v>
      </c>
      <c r="N1266" s="239" t="str">
        <f t="shared" si="26"/>
        <v>Salty</v>
      </c>
      <c r="O1266" s="6">
        <f>VLOOKUP(D1266,'Mapped Opponent'!$G$4:$H$22,2,0)</f>
        <v>3</v>
      </c>
      <c r="P1266" s="6"/>
      <c r="Q1266" s="6" t="str">
        <f t="shared" si="4"/>
        <v>Week 3</v>
      </c>
      <c r="R1266" s="6" t="str">
        <f t="shared" si="5"/>
        <v>2017Week 3</v>
      </c>
      <c r="S1266" s="6">
        <f>IFERROR(__xludf.DUMMYFUNCTION("rank(J1266,FILTER(J:J,R:R=R1266))"),1.0)</f>
        <v>1</v>
      </c>
      <c r="T1266" s="6">
        <f t="shared" si="6"/>
        <v>11</v>
      </c>
      <c r="U1266" s="6">
        <f t="shared" si="7"/>
        <v>1</v>
      </c>
      <c r="V1266" s="42">
        <f>averageif(AllData!A:A,B1266,AllData!R:R)/vlookup(B1266,AllData!A:O,15,0)</f>
        <v>90.17282051</v>
      </c>
      <c r="W1266" s="6"/>
    </row>
    <row r="1267" ht="14.25" customHeight="1">
      <c r="A1267" s="6" t="str">
        <f t="shared" si="1"/>
        <v>2017Rooney/Jackson3</v>
      </c>
      <c r="B1267" s="59">
        <v>2017.0</v>
      </c>
      <c r="C1267" s="13" t="s">
        <v>57</v>
      </c>
      <c r="D1267" s="13" t="s">
        <v>135</v>
      </c>
      <c r="E1267" s="34"/>
      <c r="F1267" s="6"/>
      <c r="H1267" s="6"/>
      <c r="I1267" s="35" t="str">
        <f>IFERROR(IFERROR(IFERROR(VLOOKUP(B1267&amp;C1267&amp;Q1267,'New Weekly Paste'!A:M,10,0),VLOOKUP(B1267&amp;C1267&amp;Q1267,'New Weekly Paste'!B:O,6,0)),""),"")</f>
        <v>Pierson</v>
      </c>
      <c r="J1267" s="239">
        <f>IFERROR(IFERROR(VLOOKUP(B1267&amp;C1267&amp;Q1267,'New Weekly Paste'!A:M,8,0),VLOOKUP(B1267&amp;C1267&amp;Q1267,'New Weekly Paste'!B:O,10,0)),0)</f>
        <v>70.02</v>
      </c>
      <c r="K1267" s="239">
        <f>IFERROR(IFERROR(VLOOKUP(B1267&amp;I1267&amp;Q1267,'New Weekly Paste'!A:M,8,0),VLOOKUP(B1267&amp;I1267&amp;Q1267,'New Weekly Paste'!B:O,10,0)),0)</f>
        <v>99.32</v>
      </c>
      <c r="L1267" s="239">
        <f t="shared" si="25"/>
        <v>0</v>
      </c>
      <c r="M1267" s="36" t="str">
        <f t="shared" si="3"/>
        <v>Regular Season</v>
      </c>
      <c r="N1267" s="239" t="str">
        <f t="shared" si="26"/>
        <v>Pierson</v>
      </c>
      <c r="O1267" s="6">
        <f>VLOOKUP(D1267,'Mapped Opponent'!$G$4:$H$22,2,0)</f>
        <v>3</v>
      </c>
      <c r="P1267" s="6"/>
      <c r="Q1267" s="6" t="str">
        <f t="shared" si="4"/>
        <v>Week 3</v>
      </c>
      <c r="R1267" s="6" t="str">
        <f t="shared" si="5"/>
        <v>2017Week 3</v>
      </c>
      <c r="S1267" s="6">
        <f>IFERROR(__xludf.DUMMYFUNCTION("rank(J1267,FILTER(J:J,R:R=R1267))"),10.0)</f>
        <v>10</v>
      </c>
      <c r="T1267" s="6">
        <f t="shared" si="6"/>
        <v>2</v>
      </c>
      <c r="U1267" s="6">
        <f t="shared" si="7"/>
        <v>10</v>
      </c>
      <c r="V1267" s="42">
        <f>averageif(AllData!A:A,B1267,AllData!R:R)/vlookup(B1267,AllData!A:O,15,0)</f>
        <v>90.17282051</v>
      </c>
      <c r="W1267" s="6"/>
    </row>
    <row r="1268" ht="14.25" customHeight="1">
      <c r="A1268" s="6" t="str">
        <f t="shared" si="1"/>
        <v>2017Buser3</v>
      </c>
      <c r="B1268" s="59">
        <v>2017.0</v>
      </c>
      <c r="C1268" s="13" t="s">
        <v>47</v>
      </c>
      <c r="D1268" s="13" t="s">
        <v>135</v>
      </c>
      <c r="E1268" s="34"/>
      <c r="F1268" s="6"/>
      <c r="H1268" s="6"/>
      <c r="I1268" s="35" t="str">
        <f>IFERROR(IFERROR(IFERROR(VLOOKUP(B1268&amp;C1268&amp;Q1268,'New Weekly Paste'!A:M,10,0),VLOOKUP(B1268&amp;C1268&amp;Q1268,'New Weekly Paste'!B:O,6,0)),""),"")</f>
        <v>Tayski</v>
      </c>
      <c r="J1268" s="239">
        <f>IFERROR(IFERROR(VLOOKUP(B1268&amp;C1268&amp;Q1268,'New Weekly Paste'!A:M,8,0),VLOOKUP(B1268&amp;C1268&amp;Q1268,'New Weekly Paste'!B:O,10,0)),0)</f>
        <v>101.34</v>
      </c>
      <c r="K1268" s="239">
        <f>IFERROR(IFERROR(VLOOKUP(B1268&amp;I1268&amp;Q1268,'New Weekly Paste'!A:M,8,0),VLOOKUP(B1268&amp;I1268&amp;Q1268,'New Weekly Paste'!B:O,10,0)),0)</f>
        <v>50.7</v>
      </c>
      <c r="L1268" s="239">
        <f t="shared" si="25"/>
        <v>1</v>
      </c>
      <c r="M1268" s="36" t="str">
        <f t="shared" si="3"/>
        <v>Regular Season</v>
      </c>
      <c r="N1268" s="239" t="str">
        <f t="shared" si="26"/>
        <v>Tayski</v>
      </c>
      <c r="O1268" s="6">
        <f>VLOOKUP(D1268,'Mapped Opponent'!$G$4:$H$22,2,0)</f>
        <v>3</v>
      </c>
      <c r="P1268" s="6"/>
      <c r="Q1268" s="6" t="str">
        <f t="shared" si="4"/>
        <v>Week 3</v>
      </c>
      <c r="R1268" s="6" t="str">
        <f t="shared" si="5"/>
        <v>2017Week 3</v>
      </c>
      <c r="S1268" s="6">
        <f>IFERROR(__xludf.DUMMYFUNCTION("rank(J1268,FILTER(J:J,R:R=R1268))"),4.0)</f>
        <v>4</v>
      </c>
      <c r="T1268" s="6">
        <f t="shared" si="6"/>
        <v>8</v>
      </c>
      <c r="U1268" s="6">
        <f t="shared" si="7"/>
        <v>4</v>
      </c>
      <c r="V1268" s="42">
        <f>averageif(AllData!A:A,B1268,AllData!R:R)/vlookup(B1268,AllData!A:O,15,0)</f>
        <v>90.17282051</v>
      </c>
      <c r="W1268" s="6"/>
    </row>
    <row r="1269" ht="14.25" customHeight="1">
      <c r="A1269" s="6" t="str">
        <f t="shared" si="1"/>
        <v>2017Pierson3</v>
      </c>
      <c r="B1269" s="59">
        <v>2017.0</v>
      </c>
      <c r="C1269" s="13" t="s">
        <v>92</v>
      </c>
      <c r="D1269" s="13" t="s">
        <v>135</v>
      </c>
      <c r="E1269" s="34"/>
      <c r="F1269" s="6"/>
      <c r="H1269" s="6"/>
      <c r="I1269" s="35" t="str">
        <f>IFERROR(IFERROR(IFERROR(VLOOKUP(B1269&amp;C1269&amp;Q1269,'New Weekly Paste'!A:M,10,0),VLOOKUP(B1269&amp;C1269&amp;Q1269,'New Weekly Paste'!B:O,6,0)),""),"")</f>
        <v>Rooney/Jackson</v>
      </c>
      <c r="J1269" s="239">
        <f>IFERROR(IFERROR(VLOOKUP(B1269&amp;C1269&amp;Q1269,'New Weekly Paste'!A:M,8,0),VLOOKUP(B1269&amp;C1269&amp;Q1269,'New Weekly Paste'!B:O,10,0)),0)</f>
        <v>99.32</v>
      </c>
      <c r="K1269" s="239">
        <f>IFERROR(IFERROR(VLOOKUP(B1269&amp;I1269&amp;Q1269,'New Weekly Paste'!A:M,8,0),VLOOKUP(B1269&amp;I1269&amp;Q1269,'New Weekly Paste'!B:O,10,0)),0)</f>
        <v>70.02</v>
      </c>
      <c r="L1269" s="239">
        <f t="shared" si="25"/>
        <v>1</v>
      </c>
      <c r="M1269" s="36" t="str">
        <f t="shared" si="3"/>
        <v>Regular Season</v>
      </c>
      <c r="N1269" s="239" t="str">
        <f t="shared" si="26"/>
        <v>Rooney/Jackson</v>
      </c>
      <c r="O1269" s="6">
        <f>VLOOKUP(D1269,'Mapped Opponent'!$G$4:$H$22,2,0)</f>
        <v>3</v>
      </c>
      <c r="P1269" s="6"/>
      <c r="Q1269" s="6" t="str">
        <f t="shared" si="4"/>
        <v>Week 3</v>
      </c>
      <c r="R1269" s="6" t="str">
        <f t="shared" si="5"/>
        <v>2017Week 3</v>
      </c>
      <c r="S1269" s="6">
        <f>IFERROR(__xludf.DUMMYFUNCTION("rank(J1269,FILTER(J:J,R:R=R1269))"),5.0)</f>
        <v>5</v>
      </c>
      <c r="T1269" s="6">
        <f t="shared" si="6"/>
        <v>7</v>
      </c>
      <c r="U1269" s="6">
        <f t="shared" si="7"/>
        <v>5</v>
      </c>
      <c r="V1269" s="42">
        <f>averageif(AllData!A:A,B1269,AllData!R:R)/vlookup(B1269,AllData!A:O,15,0)</f>
        <v>90.17282051</v>
      </c>
      <c r="W1269" s="6"/>
    </row>
    <row r="1270" ht="14.25" customHeight="1">
      <c r="A1270" s="6" t="str">
        <f t="shared" si="1"/>
        <v>2017Cock3</v>
      </c>
      <c r="B1270" s="59">
        <v>2017.0</v>
      </c>
      <c r="C1270" s="13" t="s">
        <v>72</v>
      </c>
      <c r="D1270" s="13" t="s">
        <v>135</v>
      </c>
      <c r="E1270" s="34"/>
      <c r="F1270" s="6"/>
      <c r="H1270" s="6"/>
      <c r="I1270" s="35" t="str">
        <f>IFERROR(IFERROR(IFERROR(VLOOKUP(B1270&amp;C1270&amp;Q1270,'New Weekly Paste'!A:M,10,0),VLOOKUP(B1270&amp;C1270&amp;Q1270,'New Weekly Paste'!B:O,6,0)),""),"")</f>
        <v>KnardDawg</v>
      </c>
      <c r="J1270" s="239">
        <f>IFERROR(IFERROR(VLOOKUP(B1270&amp;C1270&amp;Q1270,'New Weekly Paste'!A:M,8,0),VLOOKUP(B1270&amp;C1270&amp;Q1270,'New Weekly Paste'!B:O,10,0)),0)</f>
        <v>110.1</v>
      </c>
      <c r="K1270" s="239">
        <f>IFERROR(IFERROR(VLOOKUP(B1270&amp;I1270&amp;Q1270,'New Weekly Paste'!A:M,8,0),VLOOKUP(B1270&amp;I1270&amp;Q1270,'New Weekly Paste'!B:O,10,0)),0)</f>
        <v>86.38</v>
      </c>
      <c r="L1270" s="239">
        <f t="shared" si="25"/>
        <v>1</v>
      </c>
      <c r="M1270" s="36" t="str">
        <f t="shared" si="3"/>
        <v>Regular Season</v>
      </c>
      <c r="N1270" s="239" t="str">
        <f t="shared" si="26"/>
        <v>KnardDawg</v>
      </c>
      <c r="O1270" s="6">
        <f>VLOOKUP(D1270,'Mapped Opponent'!$G$4:$H$22,2,0)</f>
        <v>3</v>
      </c>
      <c r="P1270" s="6"/>
      <c r="Q1270" s="6" t="str">
        <f t="shared" si="4"/>
        <v>Week 3</v>
      </c>
      <c r="R1270" s="6" t="str">
        <f t="shared" si="5"/>
        <v>2017Week 3</v>
      </c>
      <c r="S1270" s="6">
        <f>IFERROR(__xludf.DUMMYFUNCTION("rank(J1270,FILTER(J:J,R:R=R1270))"),2.0)</f>
        <v>2</v>
      </c>
      <c r="T1270" s="6">
        <f t="shared" si="6"/>
        <v>10</v>
      </c>
      <c r="U1270" s="6">
        <f t="shared" si="7"/>
        <v>2</v>
      </c>
      <c r="V1270" s="42">
        <f>averageif(AllData!A:A,B1270,AllData!R:R)/vlookup(B1270,AllData!A:O,15,0)</f>
        <v>90.17282051</v>
      </c>
      <c r="W1270" s="6"/>
    </row>
    <row r="1271" ht="14.25" customHeight="1">
      <c r="A1271" s="6" t="str">
        <f t="shared" si="1"/>
        <v>2017Tayski3</v>
      </c>
      <c r="B1271" s="59">
        <v>2017.0</v>
      </c>
      <c r="C1271" s="13" t="s">
        <v>52</v>
      </c>
      <c r="D1271" s="13" t="s">
        <v>135</v>
      </c>
      <c r="E1271" s="34"/>
      <c r="F1271" s="6"/>
      <c r="H1271" s="6"/>
      <c r="I1271" s="35" t="str">
        <f>IFERROR(IFERROR(IFERROR(VLOOKUP(B1271&amp;C1271&amp;Q1271,'New Weekly Paste'!A:M,10,0),VLOOKUP(B1271&amp;C1271&amp;Q1271,'New Weekly Paste'!B:O,6,0)),""),"")</f>
        <v>Buser</v>
      </c>
      <c r="J1271" s="239">
        <f>IFERROR(IFERROR(VLOOKUP(B1271&amp;C1271&amp;Q1271,'New Weekly Paste'!A:M,8,0),VLOOKUP(B1271&amp;C1271&amp;Q1271,'New Weekly Paste'!B:O,10,0)),0)</f>
        <v>50.7</v>
      </c>
      <c r="K1271" s="239">
        <f>IFERROR(IFERROR(VLOOKUP(B1271&amp;I1271&amp;Q1271,'New Weekly Paste'!A:M,8,0),VLOOKUP(B1271&amp;I1271&amp;Q1271,'New Weekly Paste'!B:O,10,0)),0)</f>
        <v>101.34</v>
      </c>
      <c r="L1271" s="239">
        <f t="shared" si="25"/>
        <v>0</v>
      </c>
      <c r="M1271" s="36" t="str">
        <f t="shared" si="3"/>
        <v>Regular Season</v>
      </c>
      <c r="N1271" s="239" t="str">
        <f t="shared" si="26"/>
        <v>Buser</v>
      </c>
      <c r="O1271" s="6">
        <f>VLOOKUP(D1271,'Mapped Opponent'!$G$4:$H$22,2,0)</f>
        <v>3</v>
      </c>
      <c r="P1271" s="6"/>
      <c r="Q1271" s="6" t="str">
        <f t="shared" si="4"/>
        <v>Week 3</v>
      </c>
      <c r="R1271" s="6" t="str">
        <f t="shared" si="5"/>
        <v>2017Week 3</v>
      </c>
      <c r="S1271" s="6">
        <f>IFERROR(__xludf.DUMMYFUNCTION("rank(J1271,FILTER(J:J,R:R=R1271))"),12.0)</f>
        <v>12</v>
      </c>
      <c r="T1271" s="6">
        <f t="shared" si="6"/>
        <v>0</v>
      </c>
      <c r="U1271" s="6">
        <f t="shared" si="7"/>
        <v>12</v>
      </c>
      <c r="V1271" s="42">
        <f>averageif(AllData!A:A,B1271,AllData!R:R)/vlookup(B1271,AllData!A:O,15,0)</f>
        <v>90.17282051</v>
      </c>
      <c r="W1271" s="6"/>
    </row>
    <row r="1272" ht="14.25" customHeight="1">
      <c r="A1272" s="6" t="str">
        <f t="shared" si="1"/>
        <v>2017KnardDawg3</v>
      </c>
      <c r="B1272" s="59">
        <v>2017.0</v>
      </c>
      <c r="C1272" s="13" t="s">
        <v>86</v>
      </c>
      <c r="D1272" s="13" t="s">
        <v>135</v>
      </c>
      <c r="E1272" s="34"/>
      <c r="F1272" s="6"/>
      <c r="H1272" s="6"/>
      <c r="I1272" s="35" t="str">
        <f>IFERROR(IFERROR(IFERROR(VLOOKUP(B1272&amp;C1272&amp;Q1272,'New Weekly Paste'!A:M,10,0),VLOOKUP(B1272&amp;C1272&amp;Q1272,'New Weekly Paste'!B:O,6,0)),""),"")</f>
        <v>Cock</v>
      </c>
      <c r="J1272" s="239">
        <f>IFERROR(IFERROR(VLOOKUP(B1272&amp;C1272&amp;Q1272,'New Weekly Paste'!A:M,8,0),VLOOKUP(B1272&amp;C1272&amp;Q1272,'New Weekly Paste'!B:O,10,0)),0)</f>
        <v>86.38</v>
      </c>
      <c r="K1272" s="239">
        <f>IFERROR(IFERROR(VLOOKUP(B1272&amp;I1272&amp;Q1272,'New Weekly Paste'!A:M,8,0),VLOOKUP(B1272&amp;I1272&amp;Q1272,'New Weekly Paste'!B:O,10,0)),0)</f>
        <v>110.1</v>
      </c>
      <c r="L1272" s="239">
        <f t="shared" si="25"/>
        <v>0</v>
      </c>
      <c r="M1272" s="36" t="str">
        <f t="shared" si="3"/>
        <v>Regular Season</v>
      </c>
      <c r="N1272" s="239" t="str">
        <f t="shared" si="26"/>
        <v>Cock</v>
      </c>
      <c r="O1272" s="6">
        <f>VLOOKUP(D1272,'Mapped Opponent'!$G$4:$H$22,2,0)</f>
        <v>3</v>
      </c>
      <c r="P1272" s="6"/>
      <c r="Q1272" s="6" t="str">
        <f t="shared" si="4"/>
        <v>Week 3</v>
      </c>
      <c r="R1272" s="6" t="str">
        <f t="shared" si="5"/>
        <v>2017Week 3</v>
      </c>
      <c r="S1272" s="6">
        <f>IFERROR(__xludf.DUMMYFUNCTION("rank(J1272,FILTER(J:J,R:R=R1272))"),7.0)</f>
        <v>7</v>
      </c>
      <c r="T1272" s="6">
        <f t="shared" si="6"/>
        <v>5</v>
      </c>
      <c r="U1272" s="6">
        <f t="shared" si="7"/>
        <v>7</v>
      </c>
      <c r="V1272" s="42">
        <f>averageif(AllData!A:A,B1272,AllData!R:R)/vlookup(B1272,AllData!A:O,15,0)</f>
        <v>90.17282051</v>
      </c>
      <c r="W1272" s="6"/>
    </row>
    <row r="1273" ht="14.25" customHeight="1">
      <c r="A1273" s="6" t="str">
        <f t="shared" si="1"/>
        <v>2017T-How3</v>
      </c>
      <c r="B1273" s="59">
        <v>2017.0</v>
      </c>
      <c r="C1273" s="13" t="s">
        <v>82</v>
      </c>
      <c r="D1273" s="13" t="s">
        <v>135</v>
      </c>
      <c r="E1273" s="34"/>
      <c r="F1273" s="6"/>
      <c r="H1273" s="6"/>
      <c r="I1273" s="35" t="str">
        <f>IFERROR(IFERROR(IFERROR(VLOOKUP(B1273&amp;C1273&amp;Q1273,'New Weekly Paste'!A:M,10,0),VLOOKUP(B1273&amp;C1273&amp;Q1273,'New Weekly Paste'!B:O,6,0)),""),"")</f>
        <v>Fellows</v>
      </c>
      <c r="J1273" s="239">
        <f>IFERROR(IFERROR(VLOOKUP(B1273&amp;C1273&amp;Q1273,'New Weekly Paste'!A:M,8,0),VLOOKUP(B1273&amp;C1273&amp;Q1273,'New Weekly Paste'!B:O,10,0)),0)</f>
        <v>85</v>
      </c>
      <c r="K1273" s="239">
        <f>IFERROR(IFERROR(VLOOKUP(B1273&amp;I1273&amp;Q1273,'New Weekly Paste'!A:M,8,0),VLOOKUP(B1273&amp;I1273&amp;Q1273,'New Weekly Paste'!B:O,10,0)),0)</f>
        <v>73.66</v>
      </c>
      <c r="L1273" s="239">
        <f t="shared" si="25"/>
        <v>1</v>
      </c>
      <c r="M1273" s="36" t="str">
        <f t="shared" si="3"/>
        <v>Regular Season</v>
      </c>
      <c r="N1273" s="239" t="str">
        <f t="shared" si="26"/>
        <v>Fellows</v>
      </c>
      <c r="O1273" s="6">
        <f>VLOOKUP(D1273,'Mapped Opponent'!$G$4:$H$22,2,0)</f>
        <v>3</v>
      </c>
      <c r="P1273" s="6"/>
      <c r="Q1273" s="6" t="str">
        <f t="shared" si="4"/>
        <v>Week 3</v>
      </c>
      <c r="R1273" s="6" t="str">
        <f t="shared" si="5"/>
        <v>2017Week 3</v>
      </c>
      <c r="S1273" s="6">
        <f>IFERROR(__xludf.DUMMYFUNCTION("rank(J1273,FILTER(J:J,R:R=R1273))"),8.0)</f>
        <v>8</v>
      </c>
      <c r="T1273" s="6">
        <f t="shared" si="6"/>
        <v>4</v>
      </c>
      <c r="U1273" s="6">
        <f t="shared" si="7"/>
        <v>8</v>
      </c>
      <c r="V1273" s="42">
        <f>averageif(AllData!A:A,B1273,AllData!R:R)/vlookup(B1273,AllData!A:O,15,0)</f>
        <v>90.17282051</v>
      </c>
      <c r="W1273" s="6"/>
    </row>
    <row r="1274" ht="14.25" customHeight="1">
      <c r="A1274" s="6" t="str">
        <f t="shared" si="1"/>
        <v>2017Hudspeath4</v>
      </c>
      <c r="B1274" s="59">
        <v>2017.0</v>
      </c>
      <c r="C1274" s="13" t="s">
        <v>39</v>
      </c>
      <c r="D1274" s="13" t="s">
        <v>138</v>
      </c>
      <c r="E1274" s="34"/>
      <c r="F1274" s="6"/>
      <c r="H1274" s="6"/>
      <c r="I1274" s="35" t="str">
        <f>IFERROR(IFERROR(IFERROR(VLOOKUP(B1274&amp;C1274&amp;Q1274,'New Weekly Paste'!A:M,10,0),VLOOKUP(B1274&amp;C1274&amp;Q1274,'New Weekly Paste'!B:O,6,0)),""),"")</f>
        <v>Buser</v>
      </c>
      <c r="J1274" s="239">
        <f>IFERROR(IFERROR(VLOOKUP(B1274&amp;C1274&amp;Q1274,'New Weekly Paste'!A:M,8,0),VLOOKUP(B1274&amp;C1274&amp;Q1274,'New Weekly Paste'!B:O,10,0)),0)</f>
        <v>120.58</v>
      </c>
      <c r="K1274" s="239">
        <f>IFERROR(IFERROR(VLOOKUP(B1274&amp;I1274&amp;Q1274,'New Weekly Paste'!A:M,8,0),VLOOKUP(B1274&amp;I1274&amp;Q1274,'New Weekly Paste'!B:O,10,0)),0)</f>
        <v>62.18</v>
      </c>
      <c r="L1274" s="239">
        <f t="shared" si="25"/>
        <v>1</v>
      </c>
      <c r="M1274" s="36" t="str">
        <f t="shared" si="3"/>
        <v>Regular Season</v>
      </c>
      <c r="N1274" s="239" t="str">
        <f t="shared" si="26"/>
        <v>Buser</v>
      </c>
      <c r="O1274" s="6">
        <f>VLOOKUP(D1274,'Mapped Opponent'!$G$4:$H$22,2,0)</f>
        <v>4</v>
      </c>
      <c r="P1274" s="6"/>
      <c r="Q1274" s="6" t="str">
        <f t="shared" si="4"/>
        <v>Week 4</v>
      </c>
      <c r="R1274" s="6" t="str">
        <f t="shared" si="5"/>
        <v>2017Week 4</v>
      </c>
      <c r="S1274" s="6">
        <f>IFERROR(__xludf.DUMMYFUNCTION("rank(J1274,FILTER(J:J,R:R=R1274))"),3.0)</f>
        <v>3</v>
      </c>
      <c r="T1274" s="6">
        <f t="shared" si="6"/>
        <v>9</v>
      </c>
      <c r="U1274" s="6">
        <f t="shared" si="7"/>
        <v>3</v>
      </c>
      <c r="V1274" s="42">
        <f>averageif(AllData!A:A,B1274,AllData!R:R)/vlookup(B1274,AllData!A:O,15,0)</f>
        <v>90.17282051</v>
      </c>
      <c r="W1274" s="6"/>
    </row>
    <row r="1275" ht="14.25" customHeight="1">
      <c r="A1275" s="6" t="str">
        <f t="shared" si="1"/>
        <v>2017Salty4</v>
      </c>
      <c r="B1275" s="59">
        <v>2017.0</v>
      </c>
      <c r="C1275" s="13" t="s">
        <v>76</v>
      </c>
      <c r="D1275" s="13" t="s">
        <v>138</v>
      </c>
      <c r="E1275" s="34"/>
      <c r="F1275" s="6"/>
      <c r="H1275" s="6"/>
      <c r="I1275" s="35" t="str">
        <f>IFERROR(IFERROR(IFERROR(VLOOKUP(B1275&amp;C1275&amp;Q1275,'New Weekly Paste'!A:M,10,0),VLOOKUP(B1275&amp;C1275&amp;Q1275,'New Weekly Paste'!B:O,6,0)),""),"")</f>
        <v>KnardDawg</v>
      </c>
      <c r="J1275" s="239">
        <f>IFERROR(IFERROR(VLOOKUP(B1275&amp;C1275&amp;Q1275,'New Weekly Paste'!A:M,8,0),VLOOKUP(B1275&amp;C1275&amp;Q1275,'New Weekly Paste'!B:O,10,0)),0)</f>
        <v>51.18</v>
      </c>
      <c r="K1275" s="239">
        <f>IFERROR(IFERROR(VLOOKUP(B1275&amp;I1275&amp;Q1275,'New Weekly Paste'!A:M,8,0),VLOOKUP(B1275&amp;I1275&amp;Q1275,'New Weekly Paste'!B:O,10,0)),0)</f>
        <v>128.64</v>
      </c>
      <c r="L1275" s="239">
        <f t="shared" si="25"/>
        <v>0</v>
      </c>
      <c r="M1275" s="36" t="str">
        <f t="shared" si="3"/>
        <v>Regular Season</v>
      </c>
      <c r="N1275" s="239" t="str">
        <f t="shared" si="26"/>
        <v>KnardDawg</v>
      </c>
      <c r="O1275" s="6">
        <f>VLOOKUP(D1275,'Mapped Opponent'!$G$4:$H$22,2,0)</f>
        <v>4</v>
      </c>
      <c r="P1275" s="6"/>
      <c r="Q1275" s="6" t="str">
        <f t="shared" si="4"/>
        <v>Week 4</v>
      </c>
      <c r="R1275" s="6" t="str">
        <f t="shared" si="5"/>
        <v>2017Week 4</v>
      </c>
      <c r="S1275" s="6">
        <f>IFERROR(__xludf.DUMMYFUNCTION("rank(J1275,FILTER(J:J,R:R=R1275))"),12.0)</f>
        <v>12</v>
      </c>
      <c r="T1275" s="6">
        <f t="shared" si="6"/>
        <v>0</v>
      </c>
      <c r="U1275" s="6">
        <f t="shared" si="7"/>
        <v>12</v>
      </c>
      <c r="V1275" s="42">
        <f>averageif(AllData!A:A,B1275,AllData!R:R)/vlookup(B1275,AllData!A:O,15,0)</f>
        <v>90.17282051</v>
      </c>
      <c r="W1275" s="6"/>
    </row>
    <row r="1276" ht="14.25" customHeight="1">
      <c r="A1276" s="6" t="str">
        <f t="shared" si="1"/>
        <v>2017Fellows4</v>
      </c>
      <c r="B1276" s="59">
        <v>2017.0</v>
      </c>
      <c r="C1276" s="13" t="s">
        <v>79</v>
      </c>
      <c r="D1276" s="13" t="s">
        <v>138</v>
      </c>
      <c r="E1276" s="34"/>
      <c r="F1276" s="6"/>
      <c r="H1276" s="6"/>
      <c r="I1276" s="35" t="str">
        <f>IFERROR(IFERROR(IFERROR(VLOOKUP(B1276&amp;C1276&amp;Q1276,'New Weekly Paste'!A:M,10,0),VLOOKUP(B1276&amp;C1276&amp;Q1276,'New Weekly Paste'!B:O,6,0)),""),"")</f>
        <v>Cock</v>
      </c>
      <c r="J1276" s="239">
        <f>IFERROR(IFERROR(VLOOKUP(B1276&amp;C1276&amp;Q1276,'New Weekly Paste'!A:M,8,0),VLOOKUP(B1276&amp;C1276&amp;Q1276,'New Weekly Paste'!B:O,10,0)),0)</f>
        <v>79.88</v>
      </c>
      <c r="K1276" s="239">
        <f>IFERROR(IFERROR(VLOOKUP(B1276&amp;I1276&amp;Q1276,'New Weekly Paste'!A:M,8,0),VLOOKUP(B1276&amp;I1276&amp;Q1276,'New Weekly Paste'!B:O,10,0)),0)</f>
        <v>82.62</v>
      </c>
      <c r="L1276" s="239">
        <f t="shared" si="25"/>
        <v>0</v>
      </c>
      <c r="M1276" s="36" t="str">
        <f t="shared" si="3"/>
        <v>Regular Season</v>
      </c>
      <c r="N1276" s="239" t="str">
        <f t="shared" si="26"/>
        <v>Cock</v>
      </c>
      <c r="O1276" s="6">
        <f>VLOOKUP(D1276,'Mapped Opponent'!$G$4:$H$22,2,0)</f>
        <v>4</v>
      </c>
      <c r="P1276" s="6"/>
      <c r="Q1276" s="6" t="str">
        <f t="shared" si="4"/>
        <v>Week 4</v>
      </c>
      <c r="R1276" s="6" t="str">
        <f t="shared" si="5"/>
        <v>2017Week 4</v>
      </c>
      <c r="S1276" s="6">
        <f>IFERROR(__xludf.DUMMYFUNCTION("rank(J1276,FILTER(J:J,R:R=R1276))"),7.0)</f>
        <v>7</v>
      </c>
      <c r="T1276" s="6">
        <f t="shared" si="6"/>
        <v>5</v>
      </c>
      <c r="U1276" s="6">
        <f t="shared" si="7"/>
        <v>7</v>
      </c>
      <c r="V1276" s="42">
        <f>averageif(AllData!A:A,B1276,AllData!R:R)/vlookup(B1276,AllData!A:O,15,0)</f>
        <v>90.17282051</v>
      </c>
      <c r="W1276" s="6"/>
    </row>
    <row r="1277" ht="14.25" customHeight="1">
      <c r="A1277" s="6" t="str">
        <f t="shared" si="1"/>
        <v>2017Shep4</v>
      </c>
      <c r="B1277" s="59">
        <v>2017.0</v>
      </c>
      <c r="C1277" s="13" t="s">
        <v>89</v>
      </c>
      <c r="D1277" s="13" t="s">
        <v>138</v>
      </c>
      <c r="E1277" s="34"/>
      <c r="F1277" s="6"/>
      <c r="H1277" s="6"/>
      <c r="I1277" s="35" t="str">
        <f>IFERROR(IFERROR(IFERROR(VLOOKUP(B1277&amp;C1277&amp;Q1277,'New Weekly Paste'!A:M,10,0),VLOOKUP(B1277&amp;C1277&amp;Q1277,'New Weekly Paste'!B:O,6,0)),""),"")</f>
        <v>T-How</v>
      </c>
      <c r="J1277" s="239">
        <f>IFERROR(IFERROR(VLOOKUP(B1277&amp;C1277&amp;Q1277,'New Weekly Paste'!A:M,8,0),VLOOKUP(B1277&amp;C1277&amp;Q1277,'New Weekly Paste'!B:O,10,0)),0)</f>
        <v>103.1</v>
      </c>
      <c r="K1277" s="239">
        <f>IFERROR(IFERROR(VLOOKUP(B1277&amp;I1277&amp;Q1277,'New Weekly Paste'!A:M,8,0),VLOOKUP(B1277&amp;I1277&amp;Q1277,'New Weekly Paste'!B:O,10,0)),0)</f>
        <v>70.5</v>
      </c>
      <c r="L1277" s="239">
        <f t="shared" si="25"/>
        <v>1</v>
      </c>
      <c r="M1277" s="36" t="str">
        <f t="shared" si="3"/>
        <v>Regular Season</v>
      </c>
      <c r="N1277" s="239" t="str">
        <f t="shared" si="26"/>
        <v>T-How</v>
      </c>
      <c r="O1277" s="6">
        <f>VLOOKUP(D1277,'Mapped Opponent'!$G$4:$H$22,2,0)</f>
        <v>4</v>
      </c>
      <c r="P1277" s="6"/>
      <c r="Q1277" s="6" t="str">
        <f t="shared" si="4"/>
        <v>Week 4</v>
      </c>
      <c r="R1277" s="6" t="str">
        <f t="shared" si="5"/>
        <v>2017Week 4</v>
      </c>
      <c r="S1277" s="6">
        <f>IFERROR(__xludf.DUMMYFUNCTION("rank(J1277,FILTER(J:J,R:R=R1277))"),5.0)</f>
        <v>5</v>
      </c>
      <c r="T1277" s="6">
        <f t="shared" si="6"/>
        <v>7</v>
      </c>
      <c r="U1277" s="6">
        <f t="shared" si="7"/>
        <v>5</v>
      </c>
      <c r="V1277" s="42">
        <f>averageif(AllData!A:A,B1277,AllData!R:R)/vlookup(B1277,AllData!A:O,15,0)</f>
        <v>90.17282051</v>
      </c>
      <c r="W1277" s="6"/>
    </row>
    <row r="1278" ht="14.25" customHeight="1">
      <c r="A1278" s="6" t="str">
        <f t="shared" si="1"/>
        <v>2017Riley4</v>
      </c>
      <c r="B1278" s="59">
        <v>2017.0</v>
      </c>
      <c r="C1278" s="13" t="s">
        <v>67</v>
      </c>
      <c r="D1278" s="13" t="s">
        <v>138</v>
      </c>
      <c r="E1278" s="34"/>
      <c r="F1278" s="6"/>
      <c r="H1278" s="6"/>
      <c r="I1278" s="35" t="str">
        <f>IFERROR(IFERROR(IFERROR(VLOOKUP(B1278&amp;C1278&amp;Q1278,'New Weekly Paste'!A:M,10,0),VLOOKUP(B1278&amp;C1278&amp;Q1278,'New Weekly Paste'!B:O,6,0)),""),"")</f>
        <v>Pierson</v>
      </c>
      <c r="J1278" s="239">
        <f>IFERROR(IFERROR(VLOOKUP(B1278&amp;C1278&amp;Q1278,'New Weekly Paste'!A:M,8,0),VLOOKUP(B1278&amp;C1278&amp;Q1278,'New Weekly Paste'!B:O,10,0)),0)</f>
        <v>110.58</v>
      </c>
      <c r="K1278" s="239">
        <f>IFERROR(IFERROR(VLOOKUP(B1278&amp;I1278&amp;Q1278,'New Weekly Paste'!A:M,8,0),VLOOKUP(B1278&amp;I1278&amp;Q1278,'New Weekly Paste'!B:O,10,0)),0)</f>
        <v>136.86</v>
      </c>
      <c r="L1278" s="239">
        <f t="shared" si="25"/>
        <v>0</v>
      </c>
      <c r="M1278" s="36" t="str">
        <f t="shared" si="3"/>
        <v>Regular Season</v>
      </c>
      <c r="N1278" s="239" t="str">
        <f t="shared" si="26"/>
        <v>Pierson</v>
      </c>
      <c r="O1278" s="6">
        <f>VLOOKUP(D1278,'Mapped Opponent'!$G$4:$H$22,2,0)</f>
        <v>4</v>
      </c>
      <c r="P1278" s="6"/>
      <c r="Q1278" s="6" t="str">
        <f t="shared" si="4"/>
        <v>Week 4</v>
      </c>
      <c r="R1278" s="6" t="str">
        <f t="shared" si="5"/>
        <v>2017Week 4</v>
      </c>
      <c r="S1278" s="6">
        <f>IFERROR(__xludf.DUMMYFUNCTION("rank(J1278,FILTER(J:J,R:R=R1278))"),4.0)</f>
        <v>4</v>
      </c>
      <c r="T1278" s="6">
        <f t="shared" si="6"/>
        <v>8</v>
      </c>
      <c r="U1278" s="6">
        <f t="shared" si="7"/>
        <v>4</v>
      </c>
      <c r="V1278" s="42">
        <f>averageif(AllData!A:A,B1278,AllData!R:R)/vlookup(B1278,AllData!A:O,15,0)</f>
        <v>90.17282051</v>
      </c>
      <c r="W1278" s="6"/>
    </row>
    <row r="1279" ht="14.25" customHeight="1">
      <c r="A1279" s="6" t="str">
        <f t="shared" si="1"/>
        <v>2017Rooney/Jackson4</v>
      </c>
      <c r="B1279" s="59">
        <v>2017.0</v>
      </c>
      <c r="C1279" s="13" t="s">
        <v>57</v>
      </c>
      <c r="D1279" s="13" t="s">
        <v>138</v>
      </c>
      <c r="E1279" s="34"/>
      <c r="F1279" s="6"/>
      <c r="H1279" s="6"/>
      <c r="I1279" s="35" t="str">
        <f>IFERROR(IFERROR(IFERROR(VLOOKUP(B1279&amp;C1279&amp;Q1279,'New Weekly Paste'!A:M,10,0),VLOOKUP(B1279&amp;C1279&amp;Q1279,'New Weekly Paste'!B:O,6,0)),""),"")</f>
        <v>Tayski</v>
      </c>
      <c r="J1279" s="239">
        <f>IFERROR(IFERROR(VLOOKUP(B1279&amp;C1279&amp;Q1279,'New Weekly Paste'!A:M,8,0),VLOOKUP(B1279&amp;C1279&amp;Q1279,'New Weekly Paste'!B:O,10,0)),0)</f>
        <v>74.12</v>
      </c>
      <c r="K1279" s="239">
        <f>IFERROR(IFERROR(VLOOKUP(B1279&amp;I1279&amp;Q1279,'New Weekly Paste'!A:M,8,0),VLOOKUP(B1279&amp;I1279&amp;Q1279,'New Weekly Paste'!B:O,10,0)),0)</f>
        <v>65.54</v>
      </c>
      <c r="L1279" s="239">
        <f t="shared" si="25"/>
        <v>1</v>
      </c>
      <c r="M1279" s="36" t="str">
        <f t="shared" si="3"/>
        <v>Regular Season</v>
      </c>
      <c r="N1279" s="239" t="str">
        <f t="shared" si="26"/>
        <v>Tayski</v>
      </c>
      <c r="O1279" s="6">
        <f>VLOOKUP(D1279,'Mapped Opponent'!$G$4:$H$22,2,0)</f>
        <v>4</v>
      </c>
      <c r="P1279" s="6"/>
      <c r="Q1279" s="6" t="str">
        <f t="shared" si="4"/>
        <v>Week 4</v>
      </c>
      <c r="R1279" s="6" t="str">
        <f t="shared" si="5"/>
        <v>2017Week 4</v>
      </c>
      <c r="S1279" s="6">
        <f>IFERROR(__xludf.DUMMYFUNCTION("rank(J1279,FILTER(J:J,R:R=R1279))"),8.0)</f>
        <v>8</v>
      </c>
      <c r="T1279" s="6">
        <f t="shared" si="6"/>
        <v>4</v>
      </c>
      <c r="U1279" s="6">
        <f t="shared" si="7"/>
        <v>8</v>
      </c>
      <c r="V1279" s="42">
        <f>averageif(AllData!A:A,B1279,AllData!R:R)/vlookup(B1279,AllData!A:O,15,0)</f>
        <v>90.17282051</v>
      </c>
      <c r="W1279" s="6"/>
    </row>
    <row r="1280" ht="14.25" customHeight="1">
      <c r="A1280" s="6" t="str">
        <f t="shared" si="1"/>
        <v>2017Buser4</v>
      </c>
      <c r="B1280" s="59">
        <v>2017.0</v>
      </c>
      <c r="C1280" s="13" t="s">
        <v>47</v>
      </c>
      <c r="D1280" s="13" t="s">
        <v>138</v>
      </c>
      <c r="E1280" s="34"/>
      <c r="F1280" s="6"/>
      <c r="H1280" s="6"/>
      <c r="I1280" s="35" t="str">
        <f>IFERROR(IFERROR(IFERROR(VLOOKUP(B1280&amp;C1280&amp;Q1280,'New Weekly Paste'!A:M,10,0),VLOOKUP(B1280&amp;C1280&amp;Q1280,'New Weekly Paste'!B:O,6,0)),""),"")</f>
        <v>Hudspeath</v>
      </c>
      <c r="J1280" s="239">
        <f>IFERROR(IFERROR(VLOOKUP(B1280&amp;C1280&amp;Q1280,'New Weekly Paste'!A:M,8,0),VLOOKUP(B1280&amp;C1280&amp;Q1280,'New Weekly Paste'!B:O,10,0)),0)</f>
        <v>62.18</v>
      </c>
      <c r="K1280" s="239">
        <f>IFERROR(IFERROR(VLOOKUP(B1280&amp;I1280&amp;Q1280,'New Weekly Paste'!A:M,8,0),VLOOKUP(B1280&amp;I1280&amp;Q1280,'New Weekly Paste'!B:O,10,0)),0)</f>
        <v>120.58</v>
      </c>
      <c r="L1280" s="239">
        <f t="shared" si="25"/>
        <v>0</v>
      </c>
      <c r="M1280" s="36" t="str">
        <f t="shared" si="3"/>
        <v>Regular Season</v>
      </c>
      <c r="N1280" s="239" t="str">
        <f t="shared" si="26"/>
        <v>Hudspeath</v>
      </c>
      <c r="O1280" s="6">
        <f>VLOOKUP(D1280,'Mapped Opponent'!$G$4:$H$22,2,0)</f>
        <v>4</v>
      </c>
      <c r="P1280" s="6"/>
      <c r="Q1280" s="6" t="str">
        <f t="shared" si="4"/>
        <v>Week 4</v>
      </c>
      <c r="R1280" s="6" t="str">
        <f t="shared" si="5"/>
        <v>2017Week 4</v>
      </c>
      <c r="S1280" s="6">
        <f>IFERROR(__xludf.DUMMYFUNCTION("rank(J1280,FILTER(J:J,R:R=R1280))"),11.0)</f>
        <v>11</v>
      </c>
      <c r="T1280" s="6">
        <f t="shared" si="6"/>
        <v>1</v>
      </c>
      <c r="U1280" s="6">
        <f t="shared" si="7"/>
        <v>11</v>
      </c>
      <c r="V1280" s="42">
        <f>averageif(AllData!A:A,B1280,AllData!R:R)/vlookup(B1280,AllData!A:O,15,0)</f>
        <v>90.17282051</v>
      </c>
      <c r="W1280" s="6"/>
    </row>
    <row r="1281" ht="14.25" customHeight="1">
      <c r="A1281" s="6" t="str">
        <f t="shared" si="1"/>
        <v>2017Pierson4</v>
      </c>
      <c r="B1281" s="59">
        <v>2017.0</v>
      </c>
      <c r="C1281" s="13" t="s">
        <v>92</v>
      </c>
      <c r="D1281" s="13" t="s">
        <v>138</v>
      </c>
      <c r="E1281" s="34"/>
      <c r="F1281" s="6"/>
      <c r="H1281" s="6"/>
      <c r="I1281" s="35" t="str">
        <f>IFERROR(IFERROR(IFERROR(VLOOKUP(B1281&amp;C1281&amp;Q1281,'New Weekly Paste'!A:M,10,0),VLOOKUP(B1281&amp;C1281&amp;Q1281,'New Weekly Paste'!B:O,6,0)),""),"")</f>
        <v>Riley</v>
      </c>
      <c r="J1281" s="239">
        <f>IFERROR(IFERROR(VLOOKUP(B1281&amp;C1281&amp;Q1281,'New Weekly Paste'!A:M,8,0),VLOOKUP(B1281&amp;C1281&amp;Q1281,'New Weekly Paste'!B:O,10,0)),0)</f>
        <v>136.86</v>
      </c>
      <c r="K1281" s="239">
        <f>IFERROR(IFERROR(VLOOKUP(B1281&amp;I1281&amp;Q1281,'New Weekly Paste'!A:M,8,0),VLOOKUP(B1281&amp;I1281&amp;Q1281,'New Weekly Paste'!B:O,10,0)),0)</f>
        <v>110.58</v>
      </c>
      <c r="L1281" s="239">
        <f t="shared" si="25"/>
        <v>1</v>
      </c>
      <c r="M1281" s="36" t="str">
        <f t="shared" si="3"/>
        <v>Regular Season</v>
      </c>
      <c r="N1281" s="239" t="str">
        <f t="shared" si="26"/>
        <v>Riley</v>
      </c>
      <c r="O1281" s="6">
        <f>VLOOKUP(D1281,'Mapped Opponent'!$G$4:$H$22,2,0)</f>
        <v>4</v>
      </c>
      <c r="P1281" s="6"/>
      <c r="Q1281" s="6" t="str">
        <f t="shared" si="4"/>
        <v>Week 4</v>
      </c>
      <c r="R1281" s="6" t="str">
        <f t="shared" si="5"/>
        <v>2017Week 4</v>
      </c>
      <c r="S1281" s="6">
        <f>IFERROR(__xludf.DUMMYFUNCTION("rank(J1281,FILTER(J:J,R:R=R1281))"),1.0)</f>
        <v>1</v>
      </c>
      <c r="T1281" s="6">
        <f t="shared" si="6"/>
        <v>11</v>
      </c>
      <c r="U1281" s="6">
        <f t="shared" si="7"/>
        <v>1</v>
      </c>
      <c r="V1281" s="42">
        <f>averageif(AllData!A:A,B1281,AllData!R:R)/vlookup(B1281,AllData!A:O,15,0)</f>
        <v>90.17282051</v>
      </c>
      <c r="W1281" s="6"/>
    </row>
    <row r="1282" ht="14.25" customHeight="1">
      <c r="A1282" s="6" t="str">
        <f t="shared" si="1"/>
        <v>2017Cock4</v>
      </c>
      <c r="B1282" s="59">
        <v>2017.0</v>
      </c>
      <c r="C1282" s="13" t="s">
        <v>72</v>
      </c>
      <c r="D1282" s="13" t="s">
        <v>138</v>
      </c>
      <c r="E1282" s="34"/>
      <c r="F1282" s="6"/>
      <c r="H1282" s="6"/>
      <c r="I1282" s="35" t="str">
        <f>IFERROR(IFERROR(IFERROR(VLOOKUP(B1282&amp;C1282&amp;Q1282,'New Weekly Paste'!A:M,10,0),VLOOKUP(B1282&amp;C1282&amp;Q1282,'New Weekly Paste'!B:O,6,0)),""),"")</f>
        <v>Fellows</v>
      </c>
      <c r="J1282" s="239">
        <f>IFERROR(IFERROR(VLOOKUP(B1282&amp;C1282&amp;Q1282,'New Weekly Paste'!A:M,8,0),VLOOKUP(B1282&amp;C1282&amp;Q1282,'New Weekly Paste'!B:O,10,0)),0)</f>
        <v>82.62</v>
      </c>
      <c r="K1282" s="239">
        <f>IFERROR(IFERROR(VLOOKUP(B1282&amp;I1282&amp;Q1282,'New Weekly Paste'!A:M,8,0),VLOOKUP(B1282&amp;I1282&amp;Q1282,'New Weekly Paste'!B:O,10,0)),0)</f>
        <v>79.88</v>
      </c>
      <c r="L1282" s="239">
        <f t="shared" si="25"/>
        <v>1</v>
      </c>
      <c r="M1282" s="36" t="str">
        <f t="shared" si="3"/>
        <v>Regular Season</v>
      </c>
      <c r="N1282" s="239" t="str">
        <f t="shared" si="26"/>
        <v>Fellows</v>
      </c>
      <c r="O1282" s="6">
        <f>VLOOKUP(D1282,'Mapped Opponent'!$G$4:$H$22,2,0)</f>
        <v>4</v>
      </c>
      <c r="P1282" s="6"/>
      <c r="Q1282" s="6" t="str">
        <f t="shared" si="4"/>
        <v>Week 4</v>
      </c>
      <c r="R1282" s="6" t="str">
        <f t="shared" si="5"/>
        <v>2017Week 4</v>
      </c>
      <c r="S1282" s="6">
        <f>IFERROR(__xludf.DUMMYFUNCTION("rank(J1282,FILTER(J:J,R:R=R1282))"),6.0)</f>
        <v>6</v>
      </c>
      <c r="T1282" s="6">
        <f t="shared" si="6"/>
        <v>6</v>
      </c>
      <c r="U1282" s="6">
        <f t="shared" si="7"/>
        <v>6</v>
      </c>
      <c r="V1282" s="42">
        <f>averageif(AllData!A:A,B1282,AllData!R:R)/vlookup(B1282,AllData!A:O,15,0)</f>
        <v>90.17282051</v>
      </c>
      <c r="W1282" s="6"/>
    </row>
    <row r="1283" ht="14.25" customHeight="1">
      <c r="A1283" s="6" t="str">
        <f t="shared" si="1"/>
        <v>2017Tayski4</v>
      </c>
      <c r="B1283" s="59">
        <v>2017.0</v>
      </c>
      <c r="C1283" s="13" t="s">
        <v>52</v>
      </c>
      <c r="D1283" s="13" t="s">
        <v>138</v>
      </c>
      <c r="E1283" s="34"/>
      <c r="F1283" s="6"/>
      <c r="H1283" s="6"/>
      <c r="I1283" s="35" t="str">
        <f>IFERROR(IFERROR(IFERROR(VLOOKUP(B1283&amp;C1283&amp;Q1283,'New Weekly Paste'!A:M,10,0),VLOOKUP(B1283&amp;C1283&amp;Q1283,'New Weekly Paste'!B:O,6,0)),""),"")</f>
        <v>Rooney/Jackson</v>
      </c>
      <c r="J1283" s="239">
        <f>IFERROR(IFERROR(VLOOKUP(B1283&amp;C1283&amp;Q1283,'New Weekly Paste'!A:M,8,0),VLOOKUP(B1283&amp;C1283&amp;Q1283,'New Weekly Paste'!B:O,10,0)),0)</f>
        <v>65.54</v>
      </c>
      <c r="K1283" s="239">
        <f>IFERROR(IFERROR(VLOOKUP(B1283&amp;I1283&amp;Q1283,'New Weekly Paste'!A:M,8,0),VLOOKUP(B1283&amp;I1283&amp;Q1283,'New Weekly Paste'!B:O,10,0)),0)</f>
        <v>74.12</v>
      </c>
      <c r="L1283" s="239">
        <f t="shared" si="25"/>
        <v>0</v>
      </c>
      <c r="M1283" s="36" t="str">
        <f t="shared" si="3"/>
        <v>Regular Season</v>
      </c>
      <c r="N1283" s="239" t="str">
        <f t="shared" si="26"/>
        <v>Rooney/Jackson</v>
      </c>
      <c r="O1283" s="6">
        <f>VLOOKUP(D1283,'Mapped Opponent'!$G$4:$H$22,2,0)</f>
        <v>4</v>
      </c>
      <c r="P1283" s="6"/>
      <c r="Q1283" s="6" t="str">
        <f t="shared" si="4"/>
        <v>Week 4</v>
      </c>
      <c r="R1283" s="6" t="str">
        <f t="shared" si="5"/>
        <v>2017Week 4</v>
      </c>
      <c r="S1283" s="6">
        <f>IFERROR(__xludf.DUMMYFUNCTION("rank(J1283,FILTER(J:J,R:R=R1283))"),10.0)</f>
        <v>10</v>
      </c>
      <c r="T1283" s="6">
        <f t="shared" si="6"/>
        <v>2</v>
      </c>
      <c r="U1283" s="6">
        <f t="shared" si="7"/>
        <v>10</v>
      </c>
      <c r="V1283" s="42">
        <f>averageif(AllData!A:A,B1283,AllData!R:R)/vlookup(B1283,AllData!A:O,15,0)</f>
        <v>90.17282051</v>
      </c>
      <c r="W1283" s="6"/>
    </row>
    <row r="1284" ht="14.25" customHeight="1">
      <c r="A1284" s="6" t="str">
        <f t="shared" si="1"/>
        <v>2017KnardDawg4</v>
      </c>
      <c r="B1284" s="59">
        <v>2017.0</v>
      </c>
      <c r="C1284" s="13" t="s">
        <v>86</v>
      </c>
      <c r="D1284" s="13" t="s">
        <v>138</v>
      </c>
      <c r="E1284" s="34"/>
      <c r="F1284" s="6"/>
      <c r="H1284" s="6"/>
      <c r="I1284" s="35" t="str">
        <f>IFERROR(IFERROR(IFERROR(VLOOKUP(B1284&amp;C1284&amp;Q1284,'New Weekly Paste'!A:M,10,0),VLOOKUP(B1284&amp;C1284&amp;Q1284,'New Weekly Paste'!B:O,6,0)),""),"")</f>
        <v>Salty</v>
      </c>
      <c r="J1284" s="239">
        <f>IFERROR(IFERROR(VLOOKUP(B1284&amp;C1284&amp;Q1284,'New Weekly Paste'!A:M,8,0),VLOOKUP(B1284&amp;C1284&amp;Q1284,'New Weekly Paste'!B:O,10,0)),0)</f>
        <v>128.64</v>
      </c>
      <c r="K1284" s="239">
        <f>IFERROR(IFERROR(VLOOKUP(B1284&amp;I1284&amp;Q1284,'New Weekly Paste'!A:M,8,0),VLOOKUP(B1284&amp;I1284&amp;Q1284,'New Weekly Paste'!B:O,10,0)),0)</f>
        <v>51.18</v>
      </c>
      <c r="L1284" s="239">
        <f t="shared" si="25"/>
        <v>1</v>
      </c>
      <c r="M1284" s="36" t="str">
        <f t="shared" si="3"/>
        <v>Regular Season</v>
      </c>
      <c r="N1284" s="239" t="str">
        <f t="shared" si="26"/>
        <v>Salty</v>
      </c>
      <c r="O1284" s="6">
        <f>VLOOKUP(D1284,'Mapped Opponent'!$G$4:$H$22,2,0)</f>
        <v>4</v>
      </c>
      <c r="P1284" s="6"/>
      <c r="Q1284" s="6" t="str">
        <f t="shared" si="4"/>
        <v>Week 4</v>
      </c>
      <c r="R1284" s="6" t="str">
        <f t="shared" si="5"/>
        <v>2017Week 4</v>
      </c>
      <c r="S1284" s="6">
        <f>IFERROR(__xludf.DUMMYFUNCTION("rank(J1284,FILTER(J:J,R:R=R1284))"),2.0)</f>
        <v>2</v>
      </c>
      <c r="T1284" s="6">
        <f t="shared" si="6"/>
        <v>10</v>
      </c>
      <c r="U1284" s="6">
        <f t="shared" si="7"/>
        <v>2</v>
      </c>
      <c r="V1284" s="42">
        <f>averageif(AllData!A:A,B1284,AllData!R:R)/vlookup(B1284,AllData!A:O,15,0)</f>
        <v>90.17282051</v>
      </c>
      <c r="W1284" s="6"/>
    </row>
    <row r="1285" ht="14.25" customHeight="1">
      <c r="A1285" s="6" t="str">
        <f t="shared" si="1"/>
        <v>2017T-How4</v>
      </c>
      <c r="B1285" s="59">
        <v>2017.0</v>
      </c>
      <c r="C1285" s="13" t="s">
        <v>82</v>
      </c>
      <c r="D1285" s="13" t="s">
        <v>138</v>
      </c>
      <c r="E1285" s="34"/>
      <c r="F1285" s="6"/>
      <c r="H1285" s="6"/>
      <c r="I1285" s="35" t="str">
        <f>IFERROR(IFERROR(IFERROR(VLOOKUP(B1285&amp;C1285&amp;Q1285,'New Weekly Paste'!A:M,10,0),VLOOKUP(B1285&amp;C1285&amp;Q1285,'New Weekly Paste'!B:O,6,0)),""),"")</f>
        <v>Shep</v>
      </c>
      <c r="J1285" s="239">
        <f>IFERROR(IFERROR(VLOOKUP(B1285&amp;C1285&amp;Q1285,'New Weekly Paste'!A:M,8,0),VLOOKUP(B1285&amp;C1285&amp;Q1285,'New Weekly Paste'!B:O,10,0)),0)</f>
        <v>70.5</v>
      </c>
      <c r="K1285" s="239">
        <f>IFERROR(IFERROR(VLOOKUP(B1285&amp;I1285&amp;Q1285,'New Weekly Paste'!A:M,8,0),VLOOKUP(B1285&amp;I1285&amp;Q1285,'New Weekly Paste'!B:O,10,0)),0)</f>
        <v>103.1</v>
      </c>
      <c r="L1285" s="239">
        <f t="shared" si="25"/>
        <v>0</v>
      </c>
      <c r="M1285" s="36" t="str">
        <f t="shared" si="3"/>
        <v>Regular Season</v>
      </c>
      <c r="N1285" s="239" t="str">
        <f t="shared" si="26"/>
        <v>Shep</v>
      </c>
      <c r="O1285" s="6">
        <f>VLOOKUP(D1285,'Mapped Opponent'!$G$4:$H$22,2,0)</f>
        <v>4</v>
      </c>
      <c r="P1285" s="6"/>
      <c r="Q1285" s="6" t="str">
        <f t="shared" si="4"/>
        <v>Week 4</v>
      </c>
      <c r="R1285" s="6" t="str">
        <f t="shared" si="5"/>
        <v>2017Week 4</v>
      </c>
      <c r="S1285" s="6">
        <f>IFERROR(__xludf.DUMMYFUNCTION("rank(J1285,FILTER(J:J,R:R=R1285))"),9.0)</f>
        <v>9</v>
      </c>
      <c r="T1285" s="6">
        <f t="shared" si="6"/>
        <v>3</v>
      </c>
      <c r="U1285" s="6">
        <f t="shared" si="7"/>
        <v>9</v>
      </c>
      <c r="V1285" s="42">
        <f>averageif(AllData!A:A,B1285,AllData!R:R)/vlookup(B1285,AllData!A:O,15,0)</f>
        <v>90.17282051</v>
      </c>
      <c r="W1285" s="6"/>
    </row>
    <row r="1286" ht="14.25" customHeight="1">
      <c r="A1286" s="6" t="str">
        <f t="shared" si="1"/>
        <v>2017Hudspeath5</v>
      </c>
      <c r="B1286" s="59">
        <v>2017.0</v>
      </c>
      <c r="C1286" s="13" t="s">
        <v>39</v>
      </c>
      <c r="D1286" s="13" t="s">
        <v>141</v>
      </c>
      <c r="E1286" s="34"/>
      <c r="F1286" s="6"/>
      <c r="H1286" s="6"/>
      <c r="I1286" s="35" t="str">
        <f>IFERROR(IFERROR(IFERROR(VLOOKUP(B1286&amp;C1286&amp;Q1286,'New Weekly Paste'!A:M,10,0),VLOOKUP(B1286&amp;C1286&amp;Q1286,'New Weekly Paste'!B:O,6,0)),""),"")</f>
        <v>Tayski</v>
      </c>
      <c r="J1286" s="239">
        <f>IFERROR(IFERROR(VLOOKUP(B1286&amp;C1286&amp;Q1286,'New Weekly Paste'!A:M,8,0),VLOOKUP(B1286&amp;C1286&amp;Q1286,'New Weekly Paste'!B:O,10,0)),0)</f>
        <v>81.08</v>
      </c>
      <c r="K1286" s="239">
        <f>IFERROR(IFERROR(VLOOKUP(B1286&amp;I1286&amp;Q1286,'New Weekly Paste'!A:M,8,0),VLOOKUP(B1286&amp;I1286&amp;Q1286,'New Weekly Paste'!B:O,10,0)),0)</f>
        <v>81.26</v>
      </c>
      <c r="L1286" s="239">
        <f t="shared" si="25"/>
        <v>0</v>
      </c>
      <c r="M1286" s="36" t="str">
        <f t="shared" si="3"/>
        <v>Regular Season</v>
      </c>
      <c r="N1286" s="239" t="str">
        <f t="shared" si="26"/>
        <v>Tayski</v>
      </c>
      <c r="O1286" s="6">
        <f>VLOOKUP(D1286,'Mapped Opponent'!$G$4:$H$22,2,0)</f>
        <v>5</v>
      </c>
      <c r="P1286" s="6"/>
      <c r="Q1286" s="6" t="str">
        <f t="shared" si="4"/>
        <v>Week 5</v>
      </c>
      <c r="R1286" s="6" t="str">
        <f t="shared" si="5"/>
        <v>2017Week 5</v>
      </c>
      <c r="S1286" s="6">
        <f>IFERROR(__xludf.DUMMYFUNCTION("rank(J1286,FILTER(J:J,R:R=R1286))"),10.0)</f>
        <v>10</v>
      </c>
      <c r="T1286" s="6">
        <f t="shared" si="6"/>
        <v>2</v>
      </c>
      <c r="U1286" s="6">
        <f t="shared" si="7"/>
        <v>10</v>
      </c>
      <c r="V1286" s="42">
        <f>averageif(AllData!A:A,B1286,AllData!R:R)/vlookup(B1286,AllData!A:O,15,0)</f>
        <v>90.17282051</v>
      </c>
      <c r="W1286" s="6"/>
    </row>
    <row r="1287" ht="14.25" customHeight="1">
      <c r="A1287" s="6" t="str">
        <f t="shared" si="1"/>
        <v>2017Salty5</v>
      </c>
      <c r="B1287" s="59">
        <v>2017.0</v>
      </c>
      <c r="C1287" s="13" t="s">
        <v>76</v>
      </c>
      <c r="D1287" s="13" t="s">
        <v>141</v>
      </c>
      <c r="E1287" s="34"/>
      <c r="F1287" s="6"/>
      <c r="H1287" s="6"/>
      <c r="I1287" s="35" t="str">
        <f>IFERROR(IFERROR(IFERROR(VLOOKUP(B1287&amp;C1287&amp;Q1287,'New Weekly Paste'!A:M,10,0),VLOOKUP(B1287&amp;C1287&amp;Q1287,'New Weekly Paste'!B:O,6,0)),""),"")</f>
        <v>Fellows</v>
      </c>
      <c r="J1287" s="239">
        <f>IFERROR(IFERROR(VLOOKUP(B1287&amp;C1287&amp;Q1287,'New Weekly Paste'!A:M,8,0),VLOOKUP(B1287&amp;C1287&amp;Q1287,'New Weekly Paste'!B:O,10,0)),0)</f>
        <v>122.94</v>
      </c>
      <c r="K1287" s="239">
        <f>IFERROR(IFERROR(VLOOKUP(B1287&amp;I1287&amp;Q1287,'New Weekly Paste'!A:M,8,0),VLOOKUP(B1287&amp;I1287&amp;Q1287,'New Weekly Paste'!B:O,10,0)),0)</f>
        <v>107.54</v>
      </c>
      <c r="L1287" s="239">
        <f t="shared" si="25"/>
        <v>1</v>
      </c>
      <c r="M1287" s="36" t="str">
        <f t="shared" si="3"/>
        <v>Regular Season</v>
      </c>
      <c r="N1287" s="239" t="str">
        <f t="shared" si="26"/>
        <v>Fellows</v>
      </c>
      <c r="O1287" s="6">
        <f>VLOOKUP(D1287,'Mapped Opponent'!$G$4:$H$22,2,0)</f>
        <v>5</v>
      </c>
      <c r="P1287" s="6"/>
      <c r="Q1287" s="6" t="str">
        <f t="shared" si="4"/>
        <v>Week 5</v>
      </c>
      <c r="R1287" s="6" t="str">
        <f t="shared" si="5"/>
        <v>2017Week 5</v>
      </c>
      <c r="S1287" s="6">
        <f>IFERROR(__xludf.DUMMYFUNCTION("rank(J1287,FILTER(J:J,R:R=R1287))"),1.0)</f>
        <v>1</v>
      </c>
      <c r="T1287" s="6">
        <f t="shared" si="6"/>
        <v>11</v>
      </c>
      <c r="U1287" s="6">
        <f t="shared" si="7"/>
        <v>1</v>
      </c>
      <c r="V1287" s="42">
        <f>averageif(AllData!A:A,B1287,AllData!R:R)/vlookup(B1287,AllData!A:O,15,0)</f>
        <v>90.17282051</v>
      </c>
      <c r="W1287" s="6"/>
    </row>
    <row r="1288" ht="14.25" customHeight="1">
      <c r="A1288" s="6" t="str">
        <f t="shared" si="1"/>
        <v>2017Fellows5</v>
      </c>
      <c r="B1288" s="59">
        <v>2017.0</v>
      </c>
      <c r="C1288" s="13" t="s">
        <v>79</v>
      </c>
      <c r="D1288" s="13" t="s">
        <v>141</v>
      </c>
      <c r="E1288" s="34"/>
      <c r="F1288" s="6"/>
      <c r="H1288" s="6"/>
      <c r="I1288" s="35" t="str">
        <f>IFERROR(IFERROR(IFERROR(VLOOKUP(B1288&amp;C1288&amp;Q1288,'New Weekly Paste'!A:M,10,0),VLOOKUP(B1288&amp;C1288&amp;Q1288,'New Weekly Paste'!B:O,6,0)),""),"")</f>
        <v>Salty</v>
      </c>
      <c r="J1288" s="239">
        <f>IFERROR(IFERROR(VLOOKUP(B1288&amp;C1288&amp;Q1288,'New Weekly Paste'!A:M,8,0),VLOOKUP(B1288&amp;C1288&amp;Q1288,'New Weekly Paste'!B:O,10,0)),0)</f>
        <v>107.54</v>
      </c>
      <c r="K1288" s="239">
        <f>IFERROR(IFERROR(VLOOKUP(B1288&amp;I1288&amp;Q1288,'New Weekly Paste'!A:M,8,0),VLOOKUP(B1288&amp;I1288&amp;Q1288,'New Weekly Paste'!B:O,10,0)),0)</f>
        <v>122.94</v>
      </c>
      <c r="L1288" s="239">
        <f t="shared" si="25"/>
        <v>0</v>
      </c>
      <c r="M1288" s="36" t="str">
        <f t="shared" si="3"/>
        <v>Regular Season</v>
      </c>
      <c r="N1288" s="239" t="str">
        <f t="shared" si="26"/>
        <v>Salty</v>
      </c>
      <c r="O1288" s="6">
        <f>VLOOKUP(D1288,'Mapped Opponent'!$G$4:$H$22,2,0)</f>
        <v>5</v>
      </c>
      <c r="P1288" s="6"/>
      <c r="Q1288" s="6" t="str">
        <f t="shared" si="4"/>
        <v>Week 5</v>
      </c>
      <c r="R1288" s="6" t="str">
        <f t="shared" si="5"/>
        <v>2017Week 5</v>
      </c>
      <c r="S1288" s="6">
        <f>IFERROR(__xludf.DUMMYFUNCTION("rank(J1288,FILTER(J:J,R:R=R1288))"),3.0)</f>
        <v>3</v>
      </c>
      <c r="T1288" s="6">
        <f t="shared" si="6"/>
        <v>9</v>
      </c>
      <c r="U1288" s="6">
        <f t="shared" si="7"/>
        <v>3</v>
      </c>
      <c r="V1288" s="42">
        <f>averageif(AllData!A:A,B1288,AllData!R:R)/vlookup(B1288,AllData!A:O,15,0)</f>
        <v>90.17282051</v>
      </c>
      <c r="W1288" s="6"/>
    </row>
    <row r="1289" ht="14.25" customHeight="1">
      <c r="A1289" s="6" t="str">
        <f t="shared" si="1"/>
        <v>2017Shep5</v>
      </c>
      <c r="B1289" s="59">
        <v>2017.0</v>
      </c>
      <c r="C1289" s="13" t="s">
        <v>89</v>
      </c>
      <c r="D1289" s="13" t="s">
        <v>141</v>
      </c>
      <c r="E1289" s="34"/>
      <c r="F1289" s="6"/>
      <c r="H1289" s="6"/>
      <c r="I1289" s="35" t="str">
        <f>IFERROR(IFERROR(IFERROR(VLOOKUP(B1289&amp;C1289&amp;Q1289,'New Weekly Paste'!A:M,10,0),VLOOKUP(B1289&amp;C1289&amp;Q1289,'New Weekly Paste'!B:O,6,0)),""),"")</f>
        <v>Cock</v>
      </c>
      <c r="J1289" s="239">
        <f>IFERROR(IFERROR(VLOOKUP(B1289&amp;C1289&amp;Q1289,'New Weekly Paste'!A:M,8,0),VLOOKUP(B1289&amp;C1289&amp;Q1289,'New Weekly Paste'!B:O,10,0)),0)</f>
        <v>71.12</v>
      </c>
      <c r="K1289" s="239">
        <f>IFERROR(IFERROR(VLOOKUP(B1289&amp;I1289&amp;Q1289,'New Weekly Paste'!A:M,8,0),VLOOKUP(B1289&amp;I1289&amp;Q1289,'New Weekly Paste'!B:O,10,0)),0)</f>
        <v>81.66</v>
      </c>
      <c r="L1289" s="239">
        <f t="shared" si="25"/>
        <v>0</v>
      </c>
      <c r="M1289" s="36" t="str">
        <f t="shared" si="3"/>
        <v>Regular Season</v>
      </c>
      <c r="N1289" s="239" t="str">
        <f t="shared" si="26"/>
        <v>Cock</v>
      </c>
      <c r="O1289" s="6">
        <f>VLOOKUP(D1289,'Mapped Opponent'!$G$4:$H$22,2,0)</f>
        <v>5</v>
      </c>
      <c r="P1289" s="6"/>
      <c r="Q1289" s="6" t="str">
        <f t="shared" si="4"/>
        <v>Week 5</v>
      </c>
      <c r="R1289" s="6" t="str">
        <f t="shared" si="5"/>
        <v>2017Week 5</v>
      </c>
      <c r="S1289" s="6">
        <f>IFERROR(__xludf.DUMMYFUNCTION("rank(J1289,FILTER(J:J,R:R=R1289))"),11.0)</f>
        <v>11</v>
      </c>
      <c r="T1289" s="6">
        <f t="shared" si="6"/>
        <v>1</v>
      </c>
      <c r="U1289" s="6">
        <f t="shared" si="7"/>
        <v>11</v>
      </c>
      <c r="V1289" s="42">
        <f>averageif(AllData!A:A,B1289,AllData!R:R)/vlookup(B1289,AllData!A:O,15,0)</f>
        <v>90.17282051</v>
      </c>
      <c r="W1289" s="6"/>
    </row>
    <row r="1290" ht="14.25" customHeight="1">
      <c r="A1290" s="6" t="str">
        <f t="shared" si="1"/>
        <v>2017Riley5</v>
      </c>
      <c r="B1290" s="59">
        <v>2017.0</v>
      </c>
      <c r="C1290" s="13" t="s">
        <v>67</v>
      </c>
      <c r="D1290" s="13" t="s">
        <v>141</v>
      </c>
      <c r="E1290" s="34"/>
      <c r="F1290" s="6"/>
      <c r="H1290" s="6"/>
      <c r="I1290" s="35" t="str">
        <f>IFERROR(IFERROR(IFERROR(VLOOKUP(B1290&amp;C1290&amp;Q1290,'New Weekly Paste'!A:M,10,0),VLOOKUP(B1290&amp;C1290&amp;Q1290,'New Weekly Paste'!B:O,6,0)),""),"")</f>
        <v>Rooney/Jackson</v>
      </c>
      <c r="J1290" s="239">
        <f>IFERROR(IFERROR(VLOOKUP(B1290&amp;C1290&amp;Q1290,'New Weekly Paste'!A:M,8,0),VLOOKUP(B1290&amp;C1290&amp;Q1290,'New Weekly Paste'!B:O,10,0)),0)</f>
        <v>96.22</v>
      </c>
      <c r="K1290" s="239">
        <f>IFERROR(IFERROR(VLOOKUP(B1290&amp;I1290&amp;Q1290,'New Weekly Paste'!A:M,8,0),VLOOKUP(B1290&amp;I1290&amp;Q1290,'New Weekly Paste'!B:O,10,0)),0)</f>
        <v>91.36</v>
      </c>
      <c r="L1290" s="239">
        <f t="shared" si="25"/>
        <v>1</v>
      </c>
      <c r="M1290" s="36" t="str">
        <f t="shared" si="3"/>
        <v>Regular Season</v>
      </c>
      <c r="N1290" s="239" t="str">
        <f t="shared" si="26"/>
        <v>Rooney/Jackson</v>
      </c>
      <c r="O1290" s="6">
        <f>VLOOKUP(D1290,'Mapped Opponent'!$G$4:$H$22,2,0)</f>
        <v>5</v>
      </c>
      <c r="P1290" s="6"/>
      <c r="Q1290" s="6" t="str">
        <f t="shared" si="4"/>
        <v>Week 5</v>
      </c>
      <c r="R1290" s="6" t="str">
        <f t="shared" si="5"/>
        <v>2017Week 5</v>
      </c>
      <c r="S1290" s="6">
        <f>IFERROR(__xludf.DUMMYFUNCTION("rank(J1290,FILTER(J:J,R:R=R1290))"),4.0)</f>
        <v>4</v>
      </c>
      <c r="T1290" s="6">
        <f t="shared" si="6"/>
        <v>8</v>
      </c>
      <c r="U1290" s="6">
        <f t="shared" si="7"/>
        <v>4</v>
      </c>
      <c r="V1290" s="42">
        <f>averageif(AllData!A:A,B1290,AllData!R:R)/vlookup(B1290,AllData!A:O,15,0)</f>
        <v>90.17282051</v>
      </c>
      <c r="W1290" s="6"/>
    </row>
    <row r="1291" ht="14.25" customHeight="1">
      <c r="A1291" s="6" t="str">
        <f t="shared" si="1"/>
        <v>2017Rooney/Jackson5</v>
      </c>
      <c r="B1291" s="59">
        <v>2017.0</v>
      </c>
      <c r="C1291" s="13" t="s">
        <v>57</v>
      </c>
      <c r="D1291" s="13" t="s">
        <v>141</v>
      </c>
      <c r="E1291" s="34"/>
      <c r="F1291" s="6"/>
      <c r="H1291" s="6"/>
      <c r="I1291" s="35" t="str">
        <f>IFERROR(IFERROR(IFERROR(VLOOKUP(B1291&amp;C1291&amp;Q1291,'New Weekly Paste'!A:M,10,0),VLOOKUP(B1291&amp;C1291&amp;Q1291,'New Weekly Paste'!B:O,6,0)),""),"")</f>
        <v>Riley</v>
      </c>
      <c r="J1291" s="239">
        <f>IFERROR(IFERROR(VLOOKUP(B1291&amp;C1291&amp;Q1291,'New Weekly Paste'!A:M,8,0),VLOOKUP(B1291&amp;C1291&amp;Q1291,'New Weekly Paste'!B:O,10,0)),0)</f>
        <v>91.36</v>
      </c>
      <c r="K1291" s="239">
        <f>IFERROR(IFERROR(VLOOKUP(B1291&amp;I1291&amp;Q1291,'New Weekly Paste'!A:M,8,0),VLOOKUP(B1291&amp;I1291&amp;Q1291,'New Weekly Paste'!B:O,10,0)),0)</f>
        <v>96.22</v>
      </c>
      <c r="L1291" s="239">
        <f t="shared" si="25"/>
        <v>0</v>
      </c>
      <c r="M1291" s="36" t="str">
        <f t="shared" si="3"/>
        <v>Regular Season</v>
      </c>
      <c r="N1291" s="239" t="str">
        <f t="shared" si="26"/>
        <v>Riley</v>
      </c>
      <c r="O1291" s="6">
        <f>VLOOKUP(D1291,'Mapped Opponent'!$G$4:$H$22,2,0)</f>
        <v>5</v>
      </c>
      <c r="P1291" s="6"/>
      <c r="Q1291" s="6" t="str">
        <f t="shared" si="4"/>
        <v>Week 5</v>
      </c>
      <c r="R1291" s="6" t="str">
        <f t="shared" si="5"/>
        <v>2017Week 5</v>
      </c>
      <c r="S1291" s="6">
        <f>IFERROR(__xludf.DUMMYFUNCTION("rank(J1291,FILTER(J:J,R:R=R1291))"),5.0)</f>
        <v>5</v>
      </c>
      <c r="T1291" s="6">
        <f t="shared" si="6"/>
        <v>7</v>
      </c>
      <c r="U1291" s="6">
        <f t="shared" si="7"/>
        <v>5</v>
      </c>
      <c r="V1291" s="42">
        <f>averageif(AllData!A:A,B1291,AllData!R:R)/vlookup(B1291,AllData!A:O,15,0)</f>
        <v>90.17282051</v>
      </c>
      <c r="W1291" s="6"/>
    </row>
    <row r="1292" ht="14.25" customHeight="1">
      <c r="A1292" s="6" t="str">
        <f t="shared" si="1"/>
        <v>2017Buser5</v>
      </c>
      <c r="B1292" s="59">
        <v>2017.0</v>
      </c>
      <c r="C1292" s="13" t="s">
        <v>47</v>
      </c>
      <c r="D1292" s="13" t="s">
        <v>141</v>
      </c>
      <c r="E1292" s="34"/>
      <c r="F1292" s="6"/>
      <c r="H1292" s="6"/>
      <c r="I1292" s="35" t="str">
        <f>IFERROR(IFERROR(IFERROR(VLOOKUP(B1292&amp;C1292&amp;Q1292,'New Weekly Paste'!A:M,10,0),VLOOKUP(B1292&amp;C1292&amp;Q1292,'New Weekly Paste'!B:O,6,0)),""),"")</f>
        <v>T-How</v>
      </c>
      <c r="J1292" s="239">
        <f>IFERROR(IFERROR(VLOOKUP(B1292&amp;C1292&amp;Q1292,'New Weekly Paste'!A:M,8,0),VLOOKUP(B1292&amp;C1292&amp;Q1292,'New Weekly Paste'!B:O,10,0)),0)</f>
        <v>91.16</v>
      </c>
      <c r="K1292" s="239">
        <f>IFERROR(IFERROR(VLOOKUP(B1292&amp;I1292&amp;Q1292,'New Weekly Paste'!A:M,8,0),VLOOKUP(B1292&amp;I1292&amp;Q1292,'New Weekly Paste'!B:O,10,0)),0)</f>
        <v>68.2</v>
      </c>
      <c r="L1292" s="239">
        <f t="shared" si="25"/>
        <v>1</v>
      </c>
      <c r="M1292" s="36" t="str">
        <f t="shared" si="3"/>
        <v>Regular Season</v>
      </c>
      <c r="N1292" s="239" t="str">
        <f t="shared" si="26"/>
        <v>T-How</v>
      </c>
      <c r="O1292" s="6">
        <f>VLOOKUP(D1292,'Mapped Opponent'!$G$4:$H$22,2,0)</f>
        <v>5</v>
      </c>
      <c r="P1292" s="6"/>
      <c r="Q1292" s="6" t="str">
        <f t="shared" si="4"/>
        <v>Week 5</v>
      </c>
      <c r="R1292" s="6" t="str">
        <f t="shared" si="5"/>
        <v>2017Week 5</v>
      </c>
      <c r="S1292" s="6">
        <f>IFERROR(__xludf.DUMMYFUNCTION("rank(J1292,FILTER(J:J,R:R=R1292))"),6.0)</f>
        <v>6</v>
      </c>
      <c r="T1292" s="6">
        <f t="shared" si="6"/>
        <v>6</v>
      </c>
      <c r="U1292" s="6">
        <f t="shared" si="7"/>
        <v>6</v>
      </c>
      <c r="V1292" s="42">
        <f>averageif(AllData!A:A,B1292,AllData!R:R)/vlookup(B1292,AllData!A:O,15,0)</f>
        <v>90.17282051</v>
      </c>
      <c r="W1292" s="6"/>
    </row>
    <row r="1293" ht="14.25" customHeight="1">
      <c r="A1293" s="6" t="str">
        <f t="shared" si="1"/>
        <v>2017Pierson5</v>
      </c>
      <c r="B1293" s="59">
        <v>2017.0</v>
      </c>
      <c r="C1293" s="13" t="s">
        <v>92</v>
      </c>
      <c r="D1293" s="13" t="s">
        <v>141</v>
      </c>
      <c r="E1293" s="34"/>
      <c r="F1293" s="6"/>
      <c r="H1293" s="6"/>
      <c r="I1293" s="35" t="str">
        <f>IFERROR(IFERROR(IFERROR(VLOOKUP(B1293&amp;C1293&amp;Q1293,'New Weekly Paste'!A:M,10,0),VLOOKUP(B1293&amp;C1293&amp;Q1293,'New Weekly Paste'!B:O,6,0)),""),"")</f>
        <v>KnardDawg</v>
      </c>
      <c r="J1293" s="239">
        <f>IFERROR(IFERROR(VLOOKUP(B1293&amp;C1293&amp;Q1293,'New Weekly Paste'!A:M,8,0),VLOOKUP(B1293&amp;C1293&amp;Q1293,'New Weekly Paste'!B:O,10,0)),0)</f>
        <v>90.64</v>
      </c>
      <c r="K1293" s="239">
        <f>IFERROR(IFERROR(VLOOKUP(B1293&amp;I1293&amp;Q1293,'New Weekly Paste'!A:M,8,0),VLOOKUP(B1293&amp;I1293&amp;Q1293,'New Weekly Paste'!B:O,10,0)),0)</f>
        <v>113</v>
      </c>
      <c r="L1293" s="239">
        <f t="shared" si="25"/>
        <v>0</v>
      </c>
      <c r="M1293" s="36" t="str">
        <f t="shared" si="3"/>
        <v>Regular Season</v>
      </c>
      <c r="N1293" s="239" t="str">
        <f t="shared" si="26"/>
        <v>KnardDawg</v>
      </c>
      <c r="O1293" s="6">
        <f>VLOOKUP(D1293,'Mapped Opponent'!$G$4:$H$22,2,0)</f>
        <v>5</v>
      </c>
      <c r="P1293" s="6"/>
      <c r="Q1293" s="6" t="str">
        <f t="shared" si="4"/>
        <v>Week 5</v>
      </c>
      <c r="R1293" s="6" t="str">
        <f t="shared" si="5"/>
        <v>2017Week 5</v>
      </c>
      <c r="S1293" s="6">
        <f>IFERROR(__xludf.DUMMYFUNCTION("rank(J1293,FILTER(J:J,R:R=R1293))"),7.0)</f>
        <v>7</v>
      </c>
      <c r="T1293" s="6">
        <f t="shared" si="6"/>
        <v>5</v>
      </c>
      <c r="U1293" s="6">
        <f t="shared" si="7"/>
        <v>7</v>
      </c>
      <c r="V1293" s="42">
        <f>averageif(AllData!A:A,B1293,AllData!R:R)/vlookup(B1293,AllData!A:O,15,0)</f>
        <v>90.17282051</v>
      </c>
      <c r="W1293" s="6"/>
    </row>
    <row r="1294" ht="14.25" customHeight="1">
      <c r="A1294" s="6" t="str">
        <f t="shared" si="1"/>
        <v>2017Cock5</v>
      </c>
      <c r="B1294" s="59">
        <v>2017.0</v>
      </c>
      <c r="C1294" s="13" t="s">
        <v>72</v>
      </c>
      <c r="D1294" s="13" t="s">
        <v>141</v>
      </c>
      <c r="E1294" s="34"/>
      <c r="F1294" s="6"/>
      <c r="H1294" s="6"/>
      <c r="I1294" s="35" t="str">
        <f>IFERROR(IFERROR(IFERROR(VLOOKUP(B1294&amp;C1294&amp;Q1294,'New Weekly Paste'!A:M,10,0),VLOOKUP(B1294&amp;C1294&amp;Q1294,'New Weekly Paste'!B:O,6,0)),""),"")</f>
        <v>Shep</v>
      </c>
      <c r="J1294" s="239">
        <f>IFERROR(IFERROR(VLOOKUP(B1294&amp;C1294&amp;Q1294,'New Weekly Paste'!A:M,8,0),VLOOKUP(B1294&amp;C1294&amp;Q1294,'New Weekly Paste'!B:O,10,0)),0)</f>
        <v>81.66</v>
      </c>
      <c r="K1294" s="239">
        <f>IFERROR(IFERROR(VLOOKUP(B1294&amp;I1294&amp;Q1294,'New Weekly Paste'!A:M,8,0),VLOOKUP(B1294&amp;I1294&amp;Q1294,'New Weekly Paste'!B:O,10,0)),0)</f>
        <v>71.12</v>
      </c>
      <c r="L1294" s="239">
        <f t="shared" si="25"/>
        <v>1</v>
      </c>
      <c r="M1294" s="36" t="str">
        <f t="shared" si="3"/>
        <v>Regular Season</v>
      </c>
      <c r="N1294" s="239" t="str">
        <f t="shared" si="26"/>
        <v>Shep</v>
      </c>
      <c r="O1294" s="6">
        <f>VLOOKUP(D1294,'Mapped Opponent'!$G$4:$H$22,2,0)</f>
        <v>5</v>
      </c>
      <c r="P1294" s="6"/>
      <c r="Q1294" s="6" t="str">
        <f t="shared" si="4"/>
        <v>Week 5</v>
      </c>
      <c r="R1294" s="6" t="str">
        <f t="shared" si="5"/>
        <v>2017Week 5</v>
      </c>
      <c r="S1294" s="6">
        <f>IFERROR(__xludf.DUMMYFUNCTION("rank(J1294,FILTER(J:J,R:R=R1294))"),8.0)</f>
        <v>8</v>
      </c>
      <c r="T1294" s="6">
        <f t="shared" si="6"/>
        <v>4</v>
      </c>
      <c r="U1294" s="6">
        <f t="shared" si="7"/>
        <v>8</v>
      </c>
      <c r="V1294" s="42">
        <f>averageif(AllData!A:A,B1294,AllData!R:R)/vlookup(B1294,AllData!A:O,15,0)</f>
        <v>90.17282051</v>
      </c>
      <c r="W1294" s="6"/>
    </row>
    <row r="1295" ht="14.25" customHeight="1">
      <c r="A1295" s="6" t="str">
        <f t="shared" si="1"/>
        <v>2017Tayski5</v>
      </c>
      <c r="B1295" s="59">
        <v>2017.0</v>
      </c>
      <c r="C1295" s="13" t="s">
        <v>52</v>
      </c>
      <c r="D1295" s="13" t="s">
        <v>141</v>
      </c>
      <c r="E1295" s="34"/>
      <c r="F1295" s="6"/>
      <c r="H1295" s="6"/>
      <c r="I1295" s="35" t="str">
        <f>IFERROR(IFERROR(IFERROR(VLOOKUP(B1295&amp;C1295&amp;Q1295,'New Weekly Paste'!A:M,10,0),VLOOKUP(B1295&amp;C1295&amp;Q1295,'New Weekly Paste'!B:O,6,0)),""),"")</f>
        <v>Hudspeath</v>
      </c>
      <c r="J1295" s="239">
        <f>IFERROR(IFERROR(VLOOKUP(B1295&amp;C1295&amp;Q1295,'New Weekly Paste'!A:M,8,0),VLOOKUP(B1295&amp;C1295&amp;Q1295,'New Weekly Paste'!B:O,10,0)),0)</f>
        <v>81.26</v>
      </c>
      <c r="K1295" s="239">
        <f>IFERROR(IFERROR(VLOOKUP(B1295&amp;I1295&amp;Q1295,'New Weekly Paste'!A:M,8,0),VLOOKUP(B1295&amp;I1295&amp;Q1295,'New Weekly Paste'!B:O,10,0)),0)</f>
        <v>81.08</v>
      </c>
      <c r="L1295" s="239">
        <f t="shared" si="25"/>
        <v>1</v>
      </c>
      <c r="M1295" s="36" t="str">
        <f t="shared" si="3"/>
        <v>Regular Season</v>
      </c>
      <c r="N1295" s="239" t="str">
        <f t="shared" si="26"/>
        <v>Hudspeath</v>
      </c>
      <c r="O1295" s="6">
        <f>VLOOKUP(D1295,'Mapped Opponent'!$G$4:$H$22,2,0)</f>
        <v>5</v>
      </c>
      <c r="P1295" s="6"/>
      <c r="Q1295" s="6" t="str">
        <f t="shared" si="4"/>
        <v>Week 5</v>
      </c>
      <c r="R1295" s="6" t="str">
        <f t="shared" si="5"/>
        <v>2017Week 5</v>
      </c>
      <c r="S1295" s="6">
        <f>IFERROR(__xludf.DUMMYFUNCTION("rank(J1295,FILTER(J:J,R:R=R1295))"),9.0)</f>
        <v>9</v>
      </c>
      <c r="T1295" s="6">
        <f t="shared" si="6"/>
        <v>3</v>
      </c>
      <c r="U1295" s="6">
        <f t="shared" si="7"/>
        <v>9</v>
      </c>
      <c r="V1295" s="42">
        <f>averageif(AllData!A:A,B1295,AllData!R:R)/vlookup(B1295,AllData!A:O,15,0)</f>
        <v>90.17282051</v>
      </c>
      <c r="W1295" s="6"/>
    </row>
    <row r="1296" ht="14.25" customHeight="1">
      <c r="A1296" s="6" t="str">
        <f t="shared" si="1"/>
        <v>2017KnardDawg5</v>
      </c>
      <c r="B1296" s="59">
        <v>2017.0</v>
      </c>
      <c r="C1296" s="13" t="s">
        <v>86</v>
      </c>
      <c r="D1296" s="13" t="s">
        <v>141</v>
      </c>
      <c r="E1296" s="34"/>
      <c r="F1296" s="6"/>
      <c r="H1296" s="6"/>
      <c r="I1296" s="35" t="str">
        <f>IFERROR(IFERROR(IFERROR(VLOOKUP(B1296&amp;C1296&amp;Q1296,'New Weekly Paste'!A:M,10,0),VLOOKUP(B1296&amp;C1296&amp;Q1296,'New Weekly Paste'!B:O,6,0)),""),"")</f>
        <v>Pierson</v>
      </c>
      <c r="J1296" s="239">
        <f>IFERROR(IFERROR(VLOOKUP(B1296&amp;C1296&amp;Q1296,'New Weekly Paste'!A:M,8,0),VLOOKUP(B1296&amp;C1296&amp;Q1296,'New Weekly Paste'!B:O,10,0)),0)</f>
        <v>113</v>
      </c>
      <c r="K1296" s="239">
        <f>IFERROR(IFERROR(VLOOKUP(B1296&amp;I1296&amp;Q1296,'New Weekly Paste'!A:M,8,0),VLOOKUP(B1296&amp;I1296&amp;Q1296,'New Weekly Paste'!B:O,10,0)),0)</f>
        <v>90.64</v>
      </c>
      <c r="L1296" s="239">
        <f t="shared" si="25"/>
        <v>1</v>
      </c>
      <c r="M1296" s="36" t="str">
        <f t="shared" si="3"/>
        <v>Regular Season</v>
      </c>
      <c r="N1296" s="239" t="str">
        <f t="shared" si="26"/>
        <v>Pierson</v>
      </c>
      <c r="O1296" s="6">
        <f>VLOOKUP(D1296,'Mapped Opponent'!$G$4:$H$22,2,0)</f>
        <v>5</v>
      </c>
      <c r="P1296" s="6"/>
      <c r="Q1296" s="6" t="str">
        <f t="shared" si="4"/>
        <v>Week 5</v>
      </c>
      <c r="R1296" s="6" t="str">
        <f t="shared" si="5"/>
        <v>2017Week 5</v>
      </c>
      <c r="S1296" s="6">
        <f>IFERROR(__xludf.DUMMYFUNCTION("rank(J1296,FILTER(J:J,R:R=R1296))"),2.0)</f>
        <v>2</v>
      </c>
      <c r="T1296" s="6">
        <f t="shared" si="6"/>
        <v>10</v>
      </c>
      <c r="U1296" s="6">
        <f t="shared" si="7"/>
        <v>2</v>
      </c>
      <c r="V1296" s="42">
        <f>averageif(AllData!A:A,B1296,AllData!R:R)/vlookup(B1296,AllData!A:O,15,0)</f>
        <v>90.17282051</v>
      </c>
      <c r="W1296" s="6"/>
    </row>
    <row r="1297" ht="14.25" customHeight="1">
      <c r="A1297" s="6" t="str">
        <f t="shared" si="1"/>
        <v>2017T-How5</v>
      </c>
      <c r="B1297" s="59">
        <v>2017.0</v>
      </c>
      <c r="C1297" s="13" t="s">
        <v>82</v>
      </c>
      <c r="D1297" s="13" t="s">
        <v>141</v>
      </c>
      <c r="E1297" s="34"/>
      <c r="F1297" s="6"/>
      <c r="H1297" s="6"/>
      <c r="I1297" s="35" t="str">
        <f>IFERROR(IFERROR(IFERROR(VLOOKUP(B1297&amp;C1297&amp;Q1297,'New Weekly Paste'!A:M,10,0),VLOOKUP(B1297&amp;C1297&amp;Q1297,'New Weekly Paste'!B:O,6,0)),""),"")</f>
        <v>Buser</v>
      </c>
      <c r="J1297" s="239">
        <f>IFERROR(IFERROR(VLOOKUP(B1297&amp;C1297&amp;Q1297,'New Weekly Paste'!A:M,8,0),VLOOKUP(B1297&amp;C1297&amp;Q1297,'New Weekly Paste'!B:O,10,0)),0)</f>
        <v>68.2</v>
      </c>
      <c r="K1297" s="239">
        <f>IFERROR(IFERROR(VLOOKUP(B1297&amp;I1297&amp;Q1297,'New Weekly Paste'!A:M,8,0),VLOOKUP(B1297&amp;I1297&amp;Q1297,'New Weekly Paste'!B:O,10,0)),0)</f>
        <v>91.16</v>
      </c>
      <c r="L1297" s="239">
        <f t="shared" si="25"/>
        <v>0</v>
      </c>
      <c r="M1297" s="36" t="str">
        <f t="shared" si="3"/>
        <v>Regular Season</v>
      </c>
      <c r="N1297" s="239" t="str">
        <f t="shared" si="26"/>
        <v>Buser</v>
      </c>
      <c r="O1297" s="6">
        <f>VLOOKUP(D1297,'Mapped Opponent'!$G$4:$H$22,2,0)</f>
        <v>5</v>
      </c>
      <c r="P1297" s="6"/>
      <c r="Q1297" s="6" t="str">
        <f t="shared" si="4"/>
        <v>Week 5</v>
      </c>
      <c r="R1297" s="6" t="str">
        <f t="shared" si="5"/>
        <v>2017Week 5</v>
      </c>
      <c r="S1297" s="6">
        <f>IFERROR(__xludf.DUMMYFUNCTION("rank(J1297,FILTER(J:J,R:R=R1297))"),12.0)</f>
        <v>12</v>
      </c>
      <c r="T1297" s="6">
        <f t="shared" si="6"/>
        <v>0</v>
      </c>
      <c r="U1297" s="6">
        <f t="shared" si="7"/>
        <v>12</v>
      </c>
      <c r="V1297" s="42">
        <f>averageif(AllData!A:A,B1297,AllData!R:R)/vlookup(B1297,AllData!A:O,15,0)</f>
        <v>90.17282051</v>
      </c>
      <c r="W1297" s="6"/>
    </row>
    <row r="1298" ht="14.25" customHeight="1">
      <c r="A1298" s="6" t="str">
        <f t="shared" si="1"/>
        <v>2017Hudspeath6</v>
      </c>
      <c r="B1298" s="59">
        <v>2017.0</v>
      </c>
      <c r="C1298" s="13" t="s">
        <v>39</v>
      </c>
      <c r="D1298" s="13" t="s">
        <v>142</v>
      </c>
      <c r="E1298" s="34"/>
      <c r="F1298" s="6"/>
      <c r="H1298" s="6"/>
      <c r="I1298" s="35" t="str">
        <f>IFERROR(IFERROR(IFERROR(VLOOKUP(B1298&amp;C1298&amp;Q1298,'New Weekly Paste'!A:M,10,0),VLOOKUP(B1298&amp;C1298&amp;Q1298,'New Weekly Paste'!B:O,6,0)),""),"")</f>
        <v>T-How</v>
      </c>
      <c r="J1298" s="239">
        <f>IFERROR(IFERROR(VLOOKUP(B1298&amp;C1298&amp;Q1298,'New Weekly Paste'!A:M,8,0),VLOOKUP(B1298&amp;C1298&amp;Q1298,'New Weekly Paste'!B:O,10,0)),0)</f>
        <v>63.52</v>
      </c>
      <c r="K1298" s="239">
        <f>IFERROR(IFERROR(VLOOKUP(B1298&amp;I1298&amp;Q1298,'New Weekly Paste'!A:M,8,0),VLOOKUP(B1298&amp;I1298&amp;Q1298,'New Weekly Paste'!B:O,10,0)),0)</f>
        <v>68.9</v>
      </c>
      <c r="L1298" s="239">
        <f t="shared" si="25"/>
        <v>0</v>
      </c>
      <c r="M1298" s="36" t="str">
        <f t="shared" si="3"/>
        <v>Regular Season</v>
      </c>
      <c r="N1298" s="239" t="str">
        <f t="shared" si="26"/>
        <v>T-How</v>
      </c>
      <c r="O1298" s="6">
        <f>VLOOKUP(D1298,'Mapped Opponent'!$G$4:$H$22,2,0)</f>
        <v>6</v>
      </c>
      <c r="P1298" s="6"/>
      <c r="Q1298" s="6" t="str">
        <f t="shared" si="4"/>
        <v>Week 6</v>
      </c>
      <c r="R1298" s="6" t="str">
        <f t="shared" si="5"/>
        <v>2017Week 6</v>
      </c>
      <c r="S1298" s="6">
        <f>IFERROR(__xludf.DUMMYFUNCTION("rank(J1298,FILTER(J:J,R:R=R1298))"),10.0)</f>
        <v>10</v>
      </c>
      <c r="T1298" s="6">
        <f t="shared" si="6"/>
        <v>2</v>
      </c>
      <c r="U1298" s="6">
        <f t="shared" si="7"/>
        <v>10</v>
      </c>
      <c r="V1298" s="42">
        <f>averageif(AllData!A:A,B1298,AllData!R:R)/vlookup(B1298,AllData!A:O,15,0)</f>
        <v>90.17282051</v>
      </c>
      <c r="W1298" s="6"/>
    </row>
    <row r="1299" ht="14.25" customHeight="1">
      <c r="A1299" s="6" t="str">
        <f t="shared" si="1"/>
        <v>2017Salty6</v>
      </c>
      <c r="B1299" s="59">
        <v>2017.0</v>
      </c>
      <c r="C1299" s="13" t="s">
        <v>76</v>
      </c>
      <c r="D1299" s="13" t="s">
        <v>142</v>
      </c>
      <c r="E1299" s="34"/>
      <c r="F1299" s="6"/>
      <c r="H1299" s="6"/>
      <c r="I1299" s="35" t="str">
        <f>IFERROR(IFERROR(IFERROR(VLOOKUP(B1299&amp;C1299&amp;Q1299,'New Weekly Paste'!A:M,10,0),VLOOKUP(B1299&amp;C1299&amp;Q1299,'New Weekly Paste'!B:O,6,0)),""),"")</f>
        <v>Shep</v>
      </c>
      <c r="J1299" s="239">
        <f>IFERROR(IFERROR(VLOOKUP(B1299&amp;C1299&amp;Q1299,'New Weekly Paste'!A:M,8,0),VLOOKUP(B1299&amp;C1299&amp;Q1299,'New Weekly Paste'!B:O,10,0)),0)</f>
        <v>92.72</v>
      </c>
      <c r="K1299" s="239">
        <f>IFERROR(IFERROR(VLOOKUP(B1299&amp;I1299&amp;Q1299,'New Weekly Paste'!A:M,8,0),VLOOKUP(B1299&amp;I1299&amp;Q1299,'New Weekly Paste'!B:O,10,0)),0)</f>
        <v>114.88</v>
      </c>
      <c r="L1299" s="239">
        <f t="shared" si="25"/>
        <v>0</v>
      </c>
      <c r="M1299" s="36" t="str">
        <f t="shared" si="3"/>
        <v>Regular Season</v>
      </c>
      <c r="N1299" s="239" t="str">
        <f t="shared" si="26"/>
        <v>Shep</v>
      </c>
      <c r="O1299" s="6">
        <f>VLOOKUP(D1299,'Mapped Opponent'!$G$4:$H$22,2,0)</f>
        <v>6</v>
      </c>
      <c r="P1299" s="6"/>
      <c r="Q1299" s="6" t="str">
        <f t="shared" si="4"/>
        <v>Week 6</v>
      </c>
      <c r="R1299" s="6" t="str">
        <f t="shared" si="5"/>
        <v>2017Week 6</v>
      </c>
      <c r="S1299" s="6">
        <f>IFERROR(__xludf.DUMMYFUNCTION("rank(J1299,FILTER(J:J,R:R=R1299))"),5.0)</f>
        <v>5</v>
      </c>
      <c r="T1299" s="6">
        <f t="shared" si="6"/>
        <v>7</v>
      </c>
      <c r="U1299" s="6">
        <f t="shared" si="7"/>
        <v>5</v>
      </c>
      <c r="V1299" s="42">
        <f>averageif(AllData!A:A,B1299,AllData!R:R)/vlookup(B1299,AllData!A:O,15,0)</f>
        <v>90.17282051</v>
      </c>
      <c r="W1299" s="6"/>
    </row>
    <row r="1300" ht="14.25" customHeight="1">
      <c r="A1300" s="6" t="str">
        <f t="shared" si="1"/>
        <v>2017Fellows6</v>
      </c>
      <c r="B1300" s="59">
        <v>2017.0</v>
      </c>
      <c r="C1300" s="13" t="s">
        <v>79</v>
      </c>
      <c r="D1300" s="13" t="s">
        <v>142</v>
      </c>
      <c r="E1300" s="34"/>
      <c r="F1300" s="6"/>
      <c r="H1300" s="6"/>
      <c r="I1300" s="35" t="str">
        <f>IFERROR(IFERROR(IFERROR(VLOOKUP(B1300&amp;C1300&amp;Q1300,'New Weekly Paste'!A:M,10,0),VLOOKUP(B1300&amp;C1300&amp;Q1300,'New Weekly Paste'!B:O,6,0)),""),"")</f>
        <v>Pierson</v>
      </c>
      <c r="J1300" s="239">
        <f>IFERROR(IFERROR(VLOOKUP(B1300&amp;C1300&amp;Q1300,'New Weekly Paste'!A:M,8,0),VLOOKUP(B1300&amp;C1300&amp;Q1300,'New Weekly Paste'!B:O,10,0)),0)</f>
        <v>59</v>
      </c>
      <c r="K1300" s="239">
        <f>IFERROR(IFERROR(VLOOKUP(B1300&amp;I1300&amp;Q1300,'New Weekly Paste'!A:M,8,0),VLOOKUP(B1300&amp;I1300&amp;Q1300,'New Weekly Paste'!B:O,10,0)),0)</f>
        <v>89.72</v>
      </c>
      <c r="L1300" s="239">
        <f t="shared" si="25"/>
        <v>0</v>
      </c>
      <c r="M1300" s="36" t="str">
        <f t="shared" si="3"/>
        <v>Regular Season</v>
      </c>
      <c r="N1300" s="239" t="str">
        <f t="shared" si="26"/>
        <v>Pierson</v>
      </c>
      <c r="O1300" s="6">
        <f>VLOOKUP(D1300,'Mapped Opponent'!$G$4:$H$22,2,0)</f>
        <v>6</v>
      </c>
      <c r="P1300" s="6"/>
      <c r="Q1300" s="6" t="str">
        <f t="shared" si="4"/>
        <v>Week 6</v>
      </c>
      <c r="R1300" s="6" t="str">
        <f t="shared" si="5"/>
        <v>2017Week 6</v>
      </c>
      <c r="S1300" s="6">
        <f>IFERROR(__xludf.DUMMYFUNCTION("rank(J1300,FILTER(J:J,R:R=R1300))"),11.0)</f>
        <v>11</v>
      </c>
      <c r="T1300" s="6">
        <f t="shared" si="6"/>
        <v>1</v>
      </c>
      <c r="U1300" s="6">
        <f t="shared" si="7"/>
        <v>11</v>
      </c>
      <c r="V1300" s="42">
        <f>averageif(AllData!A:A,B1300,AllData!R:R)/vlookup(B1300,AllData!A:O,15,0)</f>
        <v>90.17282051</v>
      </c>
      <c r="W1300" s="6"/>
    </row>
    <row r="1301" ht="14.25" customHeight="1">
      <c r="A1301" s="6" t="str">
        <f t="shared" si="1"/>
        <v>2017Shep6</v>
      </c>
      <c r="B1301" s="59">
        <v>2017.0</v>
      </c>
      <c r="C1301" s="13" t="s">
        <v>89</v>
      </c>
      <c r="D1301" s="13" t="s">
        <v>142</v>
      </c>
      <c r="E1301" s="34"/>
      <c r="F1301" s="6"/>
      <c r="H1301" s="6"/>
      <c r="I1301" s="35" t="str">
        <f>IFERROR(IFERROR(IFERROR(VLOOKUP(B1301&amp;C1301&amp;Q1301,'New Weekly Paste'!A:M,10,0),VLOOKUP(B1301&amp;C1301&amp;Q1301,'New Weekly Paste'!B:O,6,0)),""),"")</f>
        <v>Salty</v>
      </c>
      <c r="J1301" s="239">
        <f>IFERROR(IFERROR(VLOOKUP(B1301&amp;C1301&amp;Q1301,'New Weekly Paste'!A:M,8,0),VLOOKUP(B1301&amp;C1301&amp;Q1301,'New Weekly Paste'!B:O,10,0)),0)</f>
        <v>114.88</v>
      </c>
      <c r="K1301" s="239">
        <f>IFERROR(IFERROR(VLOOKUP(B1301&amp;I1301&amp;Q1301,'New Weekly Paste'!A:M,8,0),VLOOKUP(B1301&amp;I1301&amp;Q1301,'New Weekly Paste'!B:O,10,0)),0)</f>
        <v>92.72</v>
      </c>
      <c r="L1301" s="239">
        <f t="shared" si="25"/>
        <v>1</v>
      </c>
      <c r="M1301" s="36" t="str">
        <f t="shared" si="3"/>
        <v>Regular Season</v>
      </c>
      <c r="N1301" s="239" t="str">
        <f t="shared" si="26"/>
        <v>Salty</v>
      </c>
      <c r="O1301" s="6">
        <f>VLOOKUP(D1301,'Mapped Opponent'!$G$4:$H$22,2,0)</f>
        <v>6</v>
      </c>
      <c r="P1301" s="6"/>
      <c r="Q1301" s="6" t="str">
        <f t="shared" si="4"/>
        <v>Week 6</v>
      </c>
      <c r="R1301" s="6" t="str">
        <f t="shared" si="5"/>
        <v>2017Week 6</v>
      </c>
      <c r="S1301" s="6">
        <f>IFERROR(__xludf.DUMMYFUNCTION("rank(J1301,FILTER(J:J,R:R=R1301))"),2.0)</f>
        <v>2</v>
      </c>
      <c r="T1301" s="6">
        <f t="shared" si="6"/>
        <v>10</v>
      </c>
      <c r="U1301" s="6">
        <f t="shared" si="7"/>
        <v>2</v>
      </c>
      <c r="V1301" s="42">
        <f>averageif(AllData!A:A,B1301,AllData!R:R)/vlookup(B1301,AllData!A:O,15,0)</f>
        <v>90.17282051</v>
      </c>
      <c r="W1301" s="6"/>
    </row>
    <row r="1302" ht="14.25" customHeight="1">
      <c r="A1302" s="6" t="str">
        <f t="shared" si="1"/>
        <v>2017Riley6</v>
      </c>
      <c r="B1302" s="59">
        <v>2017.0</v>
      </c>
      <c r="C1302" s="13" t="s">
        <v>67</v>
      </c>
      <c r="D1302" s="13" t="s">
        <v>142</v>
      </c>
      <c r="E1302" s="34"/>
      <c r="F1302" s="6"/>
      <c r="H1302" s="6"/>
      <c r="I1302" s="35" t="str">
        <f>IFERROR(IFERROR(IFERROR(VLOOKUP(B1302&amp;C1302&amp;Q1302,'New Weekly Paste'!A:M,10,0),VLOOKUP(B1302&amp;C1302&amp;Q1302,'New Weekly Paste'!B:O,6,0)),""),"")</f>
        <v>Tayski</v>
      </c>
      <c r="J1302" s="239">
        <f>IFERROR(IFERROR(VLOOKUP(B1302&amp;C1302&amp;Q1302,'New Weekly Paste'!A:M,8,0),VLOOKUP(B1302&amp;C1302&amp;Q1302,'New Weekly Paste'!B:O,10,0)),0)</f>
        <v>111.18</v>
      </c>
      <c r="K1302" s="239">
        <f>IFERROR(IFERROR(VLOOKUP(B1302&amp;I1302&amp;Q1302,'New Weekly Paste'!A:M,8,0),VLOOKUP(B1302&amp;I1302&amp;Q1302,'New Weekly Paste'!B:O,10,0)),0)</f>
        <v>80.14</v>
      </c>
      <c r="L1302" s="239">
        <f t="shared" si="25"/>
        <v>1</v>
      </c>
      <c r="M1302" s="36" t="str">
        <f t="shared" si="3"/>
        <v>Regular Season</v>
      </c>
      <c r="N1302" s="239" t="str">
        <f t="shared" si="26"/>
        <v>Tayski</v>
      </c>
      <c r="O1302" s="6">
        <f>VLOOKUP(D1302,'Mapped Opponent'!$G$4:$H$22,2,0)</f>
        <v>6</v>
      </c>
      <c r="P1302" s="6"/>
      <c r="Q1302" s="6" t="str">
        <f t="shared" si="4"/>
        <v>Week 6</v>
      </c>
      <c r="R1302" s="6" t="str">
        <f t="shared" si="5"/>
        <v>2017Week 6</v>
      </c>
      <c r="S1302" s="6">
        <f>IFERROR(__xludf.DUMMYFUNCTION("rank(J1302,FILTER(J:J,R:R=R1302))"),3.0)</f>
        <v>3</v>
      </c>
      <c r="T1302" s="6">
        <f t="shared" si="6"/>
        <v>9</v>
      </c>
      <c r="U1302" s="6">
        <f t="shared" si="7"/>
        <v>3</v>
      </c>
      <c r="V1302" s="42">
        <f>averageif(AllData!A:A,B1302,AllData!R:R)/vlookup(B1302,AllData!A:O,15,0)</f>
        <v>90.17282051</v>
      </c>
      <c r="W1302" s="6"/>
    </row>
    <row r="1303" ht="14.25" customHeight="1">
      <c r="A1303" s="6" t="str">
        <f t="shared" si="1"/>
        <v>2017Rooney/Jackson6</v>
      </c>
      <c r="B1303" s="59">
        <v>2017.0</v>
      </c>
      <c r="C1303" s="13" t="s">
        <v>57</v>
      </c>
      <c r="D1303" s="13" t="s">
        <v>142</v>
      </c>
      <c r="E1303" s="34"/>
      <c r="F1303" s="6"/>
      <c r="H1303" s="6"/>
      <c r="I1303" s="35" t="str">
        <f>IFERROR(IFERROR(IFERROR(VLOOKUP(B1303&amp;C1303&amp;Q1303,'New Weekly Paste'!A:M,10,0),VLOOKUP(B1303&amp;C1303&amp;Q1303,'New Weekly Paste'!B:O,6,0)),""),"")</f>
        <v>KnardDawg</v>
      </c>
      <c r="J1303" s="239">
        <f>IFERROR(IFERROR(VLOOKUP(B1303&amp;C1303&amp;Q1303,'New Weekly Paste'!A:M,8,0),VLOOKUP(B1303&amp;C1303&amp;Q1303,'New Weekly Paste'!B:O,10,0)),0)</f>
        <v>57.64</v>
      </c>
      <c r="K1303" s="239">
        <f>IFERROR(IFERROR(VLOOKUP(B1303&amp;I1303&amp;Q1303,'New Weekly Paste'!A:M,8,0),VLOOKUP(B1303&amp;I1303&amp;Q1303,'New Weekly Paste'!B:O,10,0)),0)</f>
        <v>107.2</v>
      </c>
      <c r="L1303" s="239">
        <f t="shared" si="25"/>
        <v>0</v>
      </c>
      <c r="M1303" s="36" t="str">
        <f t="shared" si="3"/>
        <v>Regular Season</v>
      </c>
      <c r="N1303" s="239" t="str">
        <f t="shared" si="26"/>
        <v>KnardDawg</v>
      </c>
      <c r="O1303" s="6">
        <f>VLOOKUP(D1303,'Mapped Opponent'!$G$4:$H$22,2,0)</f>
        <v>6</v>
      </c>
      <c r="P1303" s="6"/>
      <c r="Q1303" s="6" t="str">
        <f t="shared" si="4"/>
        <v>Week 6</v>
      </c>
      <c r="R1303" s="6" t="str">
        <f t="shared" si="5"/>
        <v>2017Week 6</v>
      </c>
      <c r="S1303" s="6">
        <f>IFERROR(__xludf.DUMMYFUNCTION("rank(J1303,FILTER(J:J,R:R=R1303))"),12.0)</f>
        <v>12</v>
      </c>
      <c r="T1303" s="6">
        <f t="shared" si="6"/>
        <v>0</v>
      </c>
      <c r="U1303" s="6">
        <f t="shared" si="7"/>
        <v>12</v>
      </c>
      <c r="V1303" s="42">
        <f>averageif(AllData!A:A,B1303,AllData!R:R)/vlookup(B1303,AllData!A:O,15,0)</f>
        <v>90.17282051</v>
      </c>
      <c r="W1303" s="6"/>
    </row>
    <row r="1304" ht="14.25" customHeight="1">
      <c r="A1304" s="6" t="str">
        <f t="shared" si="1"/>
        <v>2017Buser6</v>
      </c>
      <c r="B1304" s="59">
        <v>2017.0</v>
      </c>
      <c r="C1304" s="13" t="s">
        <v>47</v>
      </c>
      <c r="D1304" s="13" t="s">
        <v>142</v>
      </c>
      <c r="E1304" s="34"/>
      <c r="F1304" s="6"/>
      <c r="H1304" s="6"/>
      <c r="I1304" s="35" t="str">
        <f>IFERROR(IFERROR(IFERROR(VLOOKUP(B1304&amp;C1304&amp;Q1304,'New Weekly Paste'!A:M,10,0),VLOOKUP(B1304&amp;C1304&amp;Q1304,'New Weekly Paste'!B:O,6,0)),""),"")</f>
        <v>Cock</v>
      </c>
      <c r="J1304" s="239">
        <f>IFERROR(IFERROR(VLOOKUP(B1304&amp;C1304&amp;Q1304,'New Weekly Paste'!A:M,8,0),VLOOKUP(B1304&amp;C1304&amp;Q1304,'New Weekly Paste'!B:O,10,0)),0)</f>
        <v>123.32</v>
      </c>
      <c r="K1304" s="239">
        <f>IFERROR(IFERROR(VLOOKUP(B1304&amp;I1304&amp;Q1304,'New Weekly Paste'!A:M,8,0),VLOOKUP(B1304&amp;I1304&amp;Q1304,'New Weekly Paste'!B:O,10,0)),0)</f>
        <v>84.64</v>
      </c>
      <c r="L1304" s="239">
        <f t="shared" si="25"/>
        <v>1</v>
      </c>
      <c r="M1304" s="36" t="str">
        <f t="shared" si="3"/>
        <v>Regular Season</v>
      </c>
      <c r="N1304" s="239" t="str">
        <f t="shared" si="26"/>
        <v>Cock</v>
      </c>
      <c r="O1304" s="6">
        <f>VLOOKUP(D1304,'Mapped Opponent'!$G$4:$H$22,2,0)</f>
        <v>6</v>
      </c>
      <c r="P1304" s="6"/>
      <c r="Q1304" s="6" t="str">
        <f t="shared" si="4"/>
        <v>Week 6</v>
      </c>
      <c r="R1304" s="6" t="str">
        <f t="shared" si="5"/>
        <v>2017Week 6</v>
      </c>
      <c r="S1304" s="6">
        <f>IFERROR(__xludf.DUMMYFUNCTION("rank(J1304,FILTER(J:J,R:R=R1304))"),1.0)</f>
        <v>1</v>
      </c>
      <c r="T1304" s="6">
        <f t="shared" si="6"/>
        <v>11</v>
      </c>
      <c r="U1304" s="6">
        <f t="shared" si="7"/>
        <v>1</v>
      </c>
      <c r="V1304" s="42">
        <f>averageif(AllData!A:A,B1304,AllData!R:R)/vlookup(B1304,AllData!A:O,15,0)</f>
        <v>90.17282051</v>
      </c>
      <c r="W1304" s="6"/>
    </row>
    <row r="1305" ht="14.25" customHeight="1">
      <c r="A1305" s="6" t="str">
        <f t="shared" si="1"/>
        <v>2017Pierson6</v>
      </c>
      <c r="B1305" s="59">
        <v>2017.0</v>
      </c>
      <c r="C1305" s="13" t="s">
        <v>92</v>
      </c>
      <c r="D1305" s="13" t="s">
        <v>142</v>
      </c>
      <c r="E1305" s="34"/>
      <c r="F1305" s="6"/>
      <c r="H1305" s="6"/>
      <c r="I1305" s="35" t="str">
        <f>IFERROR(IFERROR(IFERROR(VLOOKUP(B1305&amp;C1305&amp;Q1305,'New Weekly Paste'!A:M,10,0),VLOOKUP(B1305&amp;C1305&amp;Q1305,'New Weekly Paste'!B:O,6,0)),""),"")</f>
        <v>Fellows</v>
      </c>
      <c r="J1305" s="239">
        <f>IFERROR(IFERROR(VLOOKUP(B1305&amp;C1305&amp;Q1305,'New Weekly Paste'!A:M,8,0),VLOOKUP(B1305&amp;C1305&amp;Q1305,'New Weekly Paste'!B:O,10,0)),0)</f>
        <v>89.72</v>
      </c>
      <c r="K1305" s="239">
        <f>IFERROR(IFERROR(VLOOKUP(B1305&amp;I1305&amp;Q1305,'New Weekly Paste'!A:M,8,0),VLOOKUP(B1305&amp;I1305&amp;Q1305,'New Weekly Paste'!B:O,10,0)),0)</f>
        <v>59</v>
      </c>
      <c r="L1305" s="239">
        <f t="shared" si="25"/>
        <v>1</v>
      </c>
      <c r="M1305" s="36" t="str">
        <f t="shared" si="3"/>
        <v>Regular Season</v>
      </c>
      <c r="N1305" s="239" t="str">
        <f t="shared" si="26"/>
        <v>Fellows</v>
      </c>
      <c r="O1305" s="6">
        <f>VLOOKUP(D1305,'Mapped Opponent'!$G$4:$H$22,2,0)</f>
        <v>6</v>
      </c>
      <c r="P1305" s="6"/>
      <c r="Q1305" s="6" t="str">
        <f t="shared" si="4"/>
        <v>Week 6</v>
      </c>
      <c r="R1305" s="6" t="str">
        <f t="shared" si="5"/>
        <v>2017Week 6</v>
      </c>
      <c r="S1305" s="6">
        <f>IFERROR(__xludf.DUMMYFUNCTION("rank(J1305,FILTER(J:J,R:R=R1305))"),6.0)</f>
        <v>6</v>
      </c>
      <c r="T1305" s="6">
        <f t="shared" si="6"/>
        <v>6</v>
      </c>
      <c r="U1305" s="6">
        <f t="shared" si="7"/>
        <v>6</v>
      </c>
      <c r="V1305" s="42">
        <f>averageif(AllData!A:A,B1305,AllData!R:R)/vlookup(B1305,AllData!A:O,15,0)</f>
        <v>90.17282051</v>
      </c>
      <c r="W1305" s="6"/>
    </row>
    <row r="1306" ht="14.25" customHeight="1">
      <c r="A1306" s="6" t="str">
        <f t="shared" si="1"/>
        <v>2017Cock6</v>
      </c>
      <c r="B1306" s="59">
        <v>2017.0</v>
      </c>
      <c r="C1306" s="13" t="s">
        <v>72</v>
      </c>
      <c r="D1306" s="13" t="s">
        <v>142</v>
      </c>
      <c r="E1306" s="34"/>
      <c r="F1306" s="6"/>
      <c r="H1306" s="6"/>
      <c r="I1306" s="35" t="str">
        <f>IFERROR(IFERROR(IFERROR(VLOOKUP(B1306&amp;C1306&amp;Q1306,'New Weekly Paste'!A:M,10,0),VLOOKUP(B1306&amp;C1306&amp;Q1306,'New Weekly Paste'!B:O,6,0)),""),"")</f>
        <v>Buser</v>
      </c>
      <c r="J1306" s="239">
        <f>IFERROR(IFERROR(VLOOKUP(B1306&amp;C1306&amp;Q1306,'New Weekly Paste'!A:M,8,0),VLOOKUP(B1306&amp;C1306&amp;Q1306,'New Weekly Paste'!B:O,10,0)),0)</f>
        <v>84.64</v>
      </c>
      <c r="K1306" s="239">
        <f>IFERROR(IFERROR(VLOOKUP(B1306&amp;I1306&amp;Q1306,'New Weekly Paste'!A:M,8,0),VLOOKUP(B1306&amp;I1306&amp;Q1306,'New Weekly Paste'!B:O,10,0)),0)</f>
        <v>123.32</v>
      </c>
      <c r="L1306" s="239">
        <f t="shared" si="25"/>
        <v>0</v>
      </c>
      <c r="M1306" s="36" t="str">
        <f t="shared" si="3"/>
        <v>Regular Season</v>
      </c>
      <c r="N1306" s="239" t="str">
        <f t="shared" si="26"/>
        <v>Buser</v>
      </c>
      <c r="O1306" s="6">
        <f>VLOOKUP(D1306,'Mapped Opponent'!$G$4:$H$22,2,0)</f>
        <v>6</v>
      </c>
      <c r="P1306" s="6"/>
      <c r="Q1306" s="6" t="str">
        <f t="shared" si="4"/>
        <v>Week 6</v>
      </c>
      <c r="R1306" s="6" t="str">
        <f t="shared" si="5"/>
        <v>2017Week 6</v>
      </c>
      <c r="S1306" s="6">
        <f>IFERROR(__xludf.DUMMYFUNCTION("rank(J1306,FILTER(J:J,R:R=R1306))"),7.0)</f>
        <v>7</v>
      </c>
      <c r="T1306" s="6">
        <f t="shared" si="6"/>
        <v>5</v>
      </c>
      <c r="U1306" s="6">
        <f t="shared" si="7"/>
        <v>7</v>
      </c>
      <c r="V1306" s="42">
        <f>averageif(AllData!A:A,B1306,AllData!R:R)/vlookup(B1306,AllData!A:O,15,0)</f>
        <v>90.17282051</v>
      </c>
      <c r="W1306" s="6"/>
    </row>
    <row r="1307" ht="14.25" customHeight="1">
      <c r="A1307" s="6" t="str">
        <f t="shared" si="1"/>
        <v>2017Tayski6</v>
      </c>
      <c r="B1307" s="59">
        <v>2017.0</v>
      </c>
      <c r="C1307" s="13" t="s">
        <v>52</v>
      </c>
      <c r="D1307" s="13" t="s">
        <v>142</v>
      </c>
      <c r="E1307" s="34"/>
      <c r="F1307" s="6"/>
      <c r="H1307" s="6"/>
      <c r="I1307" s="35" t="str">
        <f>IFERROR(IFERROR(IFERROR(VLOOKUP(B1307&amp;C1307&amp;Q1307,'New Weekly Paste'!A:M,10,0),VLOOKUP(B1307&amp;C1307&amp;Q1307,'New Weekly Paste'!B:O,6,0)),""),"")</f>
        <v>Riley</v>
      </c>
      <c r="J1307" s="239">
        <f>IFERROR(IFERROR(VLOOKUP(B1307&amp;C1307&amp;Q1307,'New Weekly Paste'!A:M,8,0),VLOOKUP(B1307&amp;C1307&amp;Q1307,'New Weekly Paste'!B:O,10,0)),0)</f>
        <v>80.14</v>
      </c>
      <c r="K1307" s="239">
        <f>IFERROR(IFERROR(VLOOKUP(B1307&amp;I1307&amp;Q1307,'New Weekly Paste'!A:M,8,0),VLOOKUP(B1307&amp;I1307&amp;Q1307,'New Weekly Paste'!B:O,10,0)),0)</f>
        <v>111.18</v>
      </c>
      <c r="L1307" s="239">
        <f t="shared" si="25"/>
        <v>0</v>
      </c>
      <c r="M1307" s="36" t="str">
        <f t="shared" si="3"/>
        <v>Regular Season</v>
      </c>
      <c r="N1307" s="239" t="str">
        <f t="shared" si="26"/>
        <v>Riley</v>
      </c>
      <c r="O1307" s="6">
        <f>VLOOKUP(D1307,'Mapped Opponent'!$G$4:$H$22,2,0)</f>
        <v>6</v>
      </c>
      <c r="P1307" s="6"/>
      <c r="Q1307" s="6" t="str">
        <f t="shared" si="4"/>
        <v>Week 6</v>
      </c>
      <c r="R1307" s="6" t="str">
        <f t="shared" si="5"/>
        <v>2017Week 6</v>
      </c>
      <c r="S1307" s="6">
        <f>IFERROR(__xludf.DUMMYFUNCTION("rank(J1307,FILTER(J:J,R:R=R1307))"),8.0)</f>
        <v>8</v>
      </c>
      <c r="T1307" s="6">
        <f t="shared" si="6"/>
        <v>4</v>
      </c>
      <c r="U1307" s="6">
        <f t="shared" si="7"/>
        <v>8</v>
      </c>
      <c r="V1307" s="42">
        <f>averageif(AllData!A:A,B1307,AllData!R:R)/vlookup(B1307,AllData!A:O,15,0)</f>
        <v>90.17282051</v>
      </c>
      <c r="W1307" s="6"/>
    </row>
    <row r="1308" ht="14.25" customHeight="1">
      <c r="A1308" s="6" t="str">
        <f t="shared" si="1"/>
        <v>2017KnardDawg6</v>
      </c>
      <c r="B1308" s="59">
        <v>2017.0</v>
      </c>
      <c r="C1308" s="13" t="s">
        <v>86</v>
      </c>
      <c r="D1308" s="13" t="s">
        <v>142</v>
      </c>
      <c r="E1308" s="34"/>
      <c r="F1308" s="6"/>
      <c r="H1308" s="6"/>
      <c r="I1308" s="35" t="str">
        <f>IFERROR(IFERROR(IFERROR(VLOOKUP(B1308&amp;C1308&amp;Q1308,'New Weekly Paste'!A:M,10,0),VLOOKUP(B1308&amp;C1308&amp;Q1308,'New Weekly Paste'!B:O,6,0)),""),"")</f>
        <v>Rooney/Jackson</v>
      </c>
      <c r="J1308" s="239">
        <f>IFERROR(IFERROR(VLOOKUP(B1308&amp;C1308&amp;Q1308,'New Weekly Paste'!A:M,8,0),VLOOKUP(B1308&amp;C1308&amp;Q1308,'New Weekly Paste'!B:O,10,0)),0)</f>
        <v>107.2</v>
      </c>
      <c r="K1308" s="239">
        <f>IFERROR(IFERROR(VLOOKUP(B1308&amp;I1308&amp;Q1308,'New Weekly Paste'!A:M,8,0),VLOOKUP(B1308&amp;I1308&amp;Q1308,'New Weekly Paste'!B:O,10,0)),0)</f>
        <v>57.64</v>
      </c>
      <c r="L1308" s="239">
        <f t="shared" si="25"/>
        <v>1</v>
      </c>
      <c r="M1308" s="36" t="str">
        <f t="shared" si="3"/>
        <v>Regular Season</v>
      </c>
      <c r="N1308" s="239" t="str">
        <f t="shared" si="26"/>
        <v>Rooney/Jackson</v>
      </c>
      <c r="O1308" s="6">
        <f>VLOOKUP(D1308,'Mapped Opponent'!$G$4:$H$22,2,0)</f>
        <v>6</v>
      </c>
      <c r="P1308" s="6"/>
      <c r="Q1308" s="6" t="str">
        <f t="shared" si="4"/>
        <v>Week 6</v>
      </c>
      <c r="R1308" s="6" t="str">
        <f t="shared" si="5"/>
        <v>2017Week 6</v>
      </c>
      <c r="S1308" s="6">
        <f>IFERROR(__xludf.DUMMYFUNCTION("rank(J1308,FILTER(J:J,R:R=R1308))"),4.0)</f>
        <v>4</v>
      </c>
      <c r="T1308" s="6">
        <f t="shared" si="6"/>
        <v>8</v>
      </c>
      <c r="U1308" s="6">
        <f t="shared" si="7"/>
        <v>4</v>
      </c>
      <c r="V1308" s="42">
        <f>averageif(AllData!A:A,B1308,AllData!R:R)/vlookup(B1308,AllData!A:O,15,0)</f>
        <v>90.17282051</v>
      </c>
      <c r="W1308" s="6"/>
    </row>
    <row r="1309" ht="14.25" customHeight="1">
      <c r="A1309" s="6" t="str">
        <f t="shared" si="1"/>
        <v>2017T-How6</v>
      </c>
      <c r="B1309" s="59">
        <v>2017.0</v>
      </c>
      <c r="C1309" s="13" t="s">
        <v>82</v>
      </c>
      <c r="D1309" s="13" t="s">
        <v>142</v>
      </c>
      <c r="E1309" s="34"/>
      <c r="F1309" s="6"/>
      <c r="H1309" s="6"/>
      <c r="I1309" s="35" t="str">
        <f>IFERROR(IFERROR(IFERROR(VLOOKUP(B1309&amp;C1309&amp;Q1309,'New Weekly Paste'!A:M,10,0),VLOOKUP(B1309&amp;C1309&amp;Q1309,'New Weekly Paste'!B:O,6,0)),""),"")</f>
        <v>Hudspeath</v>
      </c>
      <c r="J1309" s="239">
        <f>IFERROR(IFERROR(VLOOKUP(B1309&amp;C1309&amp;Q1309,'New Weekly Paste'!A:M,8,0),VLOOKUP(B1309&amp;C1309&amp;Q1309,'New Weekly Paste'!B:O,10,0)),0)</f>
        <v>68.9</v>
      </c>
      <c r="K1309" s="239">
        <f>IFERROR(IFERROR(VLOOKUP(B1309&amp;I1309&amp;Q1309,'New Weekly Paste'!A:M,8,0),VLOOKUP(B1309&amp;I1309&amp;Q1309,'New Weekly Paste'!B:O,10,0)),0)</f>
        <v>63.52</v>
      </c>
      <c r="L1309" s="239">
        <f t="shared" si="25"/>
        <v>1</v>
      </c>
      <c r="M1309" s="36" t="str">
        <f t="shared" si="3"/>
        <v>Regular Season</v>
      </c>
      <c r="N1309" s="239" t="str">
        <f t="shared" si="26"/>
        <v>Hudspeath</v>
      </c>
      <c r="O1309" s="6">
        <f>VLOOKUP(D1309,'Mapped Opponent'!$G$4:$H$22,2,0)</f>
        <v>6</v>
      </c>
      <c r="P1309" s="6"/>
      <c r="Q1309" s="6" t="str">
        <f t="shared" si="4"/>
        <v>Week 6</v>
      </c>
      <c r="R1309" s="6" t="str">
        <f t="shared" si="5"/>
        <v>2017Week 6</v>
      </c>
      <c r="S1309" s="6">
        <f>IFERROR(__xludf.DUMMYFUNCTION("rank(J1309,FILTER(J:J,R:R=R1309))"),9.0)</f>
        <v>9</v>
      </c>
      <c r="T1309" s="6">
        <f t="shared" si="6"/>
        <v>3</v>
      </c>
      <c r="U1309" s="6">
        <f t="shared" si="7"/>
        <v>9</v>
      </c>
      <c r="V1309" s="42">
        <f>averageif(AllData!A:A,B1309,AllData!R:R)/vlookup(B1309,AllData!A:O,15,0)</f>
        <v>90.17282051</v>
      </c>
      <c r="W1309" s="6"/>
    </row>
    <row r="1310" ht="14.25" customHeight="1">
      <c r="A1310" s="6" t="str">
        <f t="shared" si="1"/>
        <v>2017Hudspeath7</v>
      </c>
      <c r="B1310" s="59">
        <v>2017.0</v>
      </c>
      <c r="C1310" s="13" t="s">
        <v>39</v>
      </c>
      <c r="D1310" s="13" t="s">
        <v>143</v>
      </c>
      <c r="E1310" s="34"/>
      <c r="F1310" s="6"/>
      <c r="H1310" s="6"/>
      <c r="I1310" s="35" t="str">
        <f>IFERROR(IFERROR(IFERROR(VLOOKUP(B1310&amp;C1310&amp;Q1310,'New Weekly Paste'!A:M,10,0),VLOOKUP(B1310&amp;C1310&amp;Q1310,'New Weekly Paste'!B:O,6,0)),""),"")</f>
        <v>Cock</v>
      </c>
      <c r="J1310" s="239">
        <f>IFERROR(IFERROR(VLOOKUP(B1310&amp;C1310&amp;Q1310,'New Weekly Paste'!A:M,8,0),VLOOKUP(B1310&amp;C1310&amp;Q1310,'New Weekly Paste'!B:O,10,0)),0)</f>
        <v>100.12</v>
      </c>
      <c r="K1310" s="239">
        <f>IFERROR(IFERROR(VLOOKUP(B1310&amp;I1310&amp;Q1310,'New Weekly Paste'!A:M,8,0),VLOOKUP(B1310&amp;I1310&amp;Q1310,'New Weekly Paste'!B:O,10,0)),0)</f>
        <v>103.84</v>
      </c>
      <c r="L1310" s="239">
        <f t="shared" si="25"/>
        <v>0</v>
      </c>
      <c r="M1310" s="36" t="str">
        <f t="shared" si="3"/>
        <v>Regular Season</v>
      </c>
      <c r="N1310" s="239" t="str">
        <f t="shared" si="26"/>
        <v>Cock</v>
      </c>
      <c r="O1310" s="6">
        <f>VLOOKUP(D1310,'Mapped Opponent'!$G$4:$H$22,2,0)</f>
        <v>7</v>
      </c>
      <c r="P1310" s="6"/>
      <c r="Q1310" s="6" t="str">
        <f t="shared" si="4"/>
        <v>Week 7</v>
      </c>
      <c r="R1310" s="6" t="str">
        <f t="shared" si="5"/>
        <v>2017Week 7</v>
      </c>
      <c r="S1310" s="6">
        <f>IFERROR(__xludf.DUMMYFUNCTION("rank(J1310,FILTER(J:J,R:R=R1310))"),3.0)</f>
        <v>3</v>
      </c>
      <c r="T1310" s="6">
        <f t="shared" si="6"/>
        <v>9</v>
      </c>
      <c r="U1310" s="6">
        <f t="shared" si="7"/>
        <v>3</v>
      </c>
      <c r="V1310" s="42">
        <f>averageif(AllData!A:A,B1310,AllData!R:R)/vlookup(B1310,AllData!A:O,15,0)</f>
        <v>90.17282051</v>
      </c>
      <c r="W1310" s="6"/>
    </row>
    <row r="1311" ht="14.25" customHeight="1">
      <c r="A1311" s="6" t="str">
        <f t="shared" si="1"/>
        <v>2017Salty7</v>
      </c>
      <c r="B1311" s="59">
        <v>2017.0</v>
      </c>
      <c r="C1311" s="13" t="s">
        <v>76</v>
      </c>
      <c r="D1311" s="13" t="s">
        <v>143</v>
      </c>
      <c r="E1311" s="34"/>
      <c r="F1311" s="6"/>
      <c r="H1311" s="6"/>
      <c r="I1311" s="35" t="str">
        <f>IFERROR(IFERROR(IFERROR(VLOOKUP(B1311&amp;C1311&amp;Q1311,'New Weekly Paste'!A:M,10,0),VLOOKUP(B1311&amp;C1311&amp;Q1311,'New Weekly Paste'!B:O,6,0)),""),"")</f>
        <v>Buser</v>
      </c>
      <c r="J1311" s="239">
        <f>IFERROR(IFERROR(VLOOKUP(B1311&amp;C1311&amp;Q1311,'New Weekly Paste'!A:M,8,0),VLOOKUP(B1311&amp;C1311&amp;Q1311,'New Weekly Paste'!B:O,10,0)),0)</f>
        <v>90.32</v>
      </c>
      <c r="K1311" s="239">
        <f>IFERROR(IFERROR(VLOOKUP(B1311&amp;I1311&amp;Q1311,'New Weekly Paste'!A:M,8,0),VLOOKUP(B1311&amp;I1311&amp;Q1311,'New Weekly Paste'!B:O,10,0)),0)</f>
        <v>83.62</v>
      </c>
      <c r="L1311" s="239">
        <f t="shared" si="25"/>
        <v>1</v>
      </c>
      <c r="M1311" s="36" t="str">
        <f t="shared" si="3"/>
        <v>Regular Season</v>
      </c>
      <c r="N1311" s="239" t="str">
        <f t="shared" si="26"/>
        <v>Buser</v>
      </c>
      <c r="O1311" s="6">
        <f>VLOOKUP(D1311,'Mapped Opponent'!$G$4:$H$22,2,0)</f>
        <v>7</v>
      </c>
      <c r="P1311" s="6"/>
      <c r="Q1311" s="6" t="str">
        <f t="shared" si="4"/>
        <v>Week 7</v>
      </c>
      <c r="R1311" s="6" t="str">
        <f t="shared" si="5"/>
        <v>2017Week 7</v>
      </c>
      <c r="S1311" s="6">
        <f>IFERROR(__xludf.DUMMYFUNCTION("rank(J1311,FILTER(J:J,R:R=R1311))"),8.0)</f>
        <v>8</v>
      </c>
      <c r="T1311" s="6">
        <f t="shared" si="6"/>
        <v>4</v>
      </c>
      <c r="U1311" s="6">
        <f t="shared" si="7"/>
        <v>8</v>
      </c>
      <c r="V1311" s="42">
        <f>averageif(AllData!A:A,B1311,AllData!R:R)/vlookup(B1311,AllData!A:O,15,0)</f>
        <v>90.17282051</v>
      </c>
      <c r="W1311" s="6"/>
    </row>
    <row r="1312" ht="14.25" customHeight="1">
      <c r="A1312" s="6" t="str">
        <f t="shared" si="1"/>
        <v>2017Fellows7</v>
      </c>
      <c r="B1312" s="59">
        <v>2017.0</v>
      </c>
      <c r="C1312" s="13" t="s">
        <v>79</v>
      </c>
      <c r="D1312" s="13" t="s">
        <v>143</v>
      </c>
      <c r="E1312" s="34"/>
      <c r="F1312" s="6"/>
      <c r="H1312" s="6"/>
      <c r="I1312" s="35" t="str">
        <f>IFERROR(IFERROR(IFERROR(VLOOKUP(B1312&amp;C1312&amp;Q1312,'New Weekly Paste'!A:M,10,0),VLOOKUP(B1312&amp;C1312&amp;Q1312,'New Weekly Paste'!B:O,6,0)),""),"")</f>
        <v>Rooney/Jackson</v>
      </c>
      <c r="J1312" s="239">
        <f>IFERROR(IFERROR(VLOOKUP(B1312&amp;C1312&amp;Q1312,'New Weekly Paste'!A:M,8,0),VLOOKUP(B1312&amp;C1312&amp;Q1312,'New Weekly Paste'!B:O,10,0)),0)</f>
        <v>99.98</v>
      </c>
      <c r="K1312" s="239">
        <f>IFERROR(IFERROR(VLOOKUP(B1312&amp;I1312&amp;Q1312,'New Weekly Paste'!A:M,8,0),VLOOKUP(B1312&amp;I1312&amp;Q1312,'New Weekly Paste'!B:O,10,0)),0)</f>
        <v>96.68</v>
      </c>
      <c r="L1312" s="239">
        <f t="shared" si="25"/>
        <v>1</v>
      </c>
      <c r="M1312" s="36" t="str">
        <f t="shared" si="3"/>
        <v>Regular Season</v>
      </c>
      <c r="N1312" s="239" t="str">
        <f t="shared" si="26"/>
        <v>Rooney/Jackson</v>
      </c>
      <c r="O1312" s="6">
        <f>VLOOKUP(D1312,'Mapped Opponent'!$G$4:$H$22,2,0)</f>
        <v>7</v>
      </c>
      <c r="P1312" s="6"/>
      <c r="Q1312" s="6" t="str">
        <f t="shared" si="4"/>
        <v>Week 7</v>
      </c>
      <c r="R1312" s="6" t="str">
        <f t="shared" si="5"/>
        <v>2017Week 7</v>
      </c>
      <c r="S1312" s="6">
        <f>IFERROR(__xludf.DUMMYFUNCTION("rank(J1312,FILTER(J:J,R:R=R1312))"),4.0)</f>
        <v>4</v>
      </c>
      <c r="T1312" s="6">
        <f t="shared" si="6"/>
        <v>8</v>
      </c>
      <c r="U1312" s="6">
        <f t="shared" si="7"/>
        <v>4</v>
      </c>
      <c r="V1312" s="42">
        <f>averageif(AllData!A:A,B1312,AllData!R:R)/vlookup(B1312,AllData!A:O,15,0)</f>
        <v>90.17282051</v>
      </c>
      <c r="W1312" s="6"/>
    </row>
    <row r="1313" ht="14.25" customHeight="1">
      <c r="A1313" s="6" t="str">
        <f t="shared" si="1"/>
        <v>2017Shep7</v>
      </c>
      <c r="B1313" s="59">
        <v>2017.0</v>
      </c>
      <c r="C1313" s="13" t="s">
        <v>89</v>
      </c>
      <c r="D1313" s="13" t="s">
        <v>143</v>
      </c>
      <c r="E1313" s="34"/>
      <c r="F1313" s="6"/>
      <c r="H1313" s="6"/>
      <c r="I1313" s="35" t="str">
        <f>IFERROR(IFERROR(IFERROR(VLOOKUP(B1313&amp;C1313&amp;Q1313,'New Weekly Paste'!A:M,10,0),VLOOKUP(B1313&amp;C1313&amp;Q1313,'New Weekly Paste'!B:O,6,0)),""),"")</f>
        <v>Pierson</v>
      </c>
      <c r="J1313" s="239">
        <f>IFERROR(IFERROR(VLOOKUP(B1313&amp;C1313&amp;Q1313,'New Weekly Paste'!A:M,8,0),VLOOKUP(B1313&amp;C1313&amp;Q1313,'New Weekly Paste'!B:O,10,0)),0)</f>
        <v>82.96</v>
      </c>
      <c r="K1313" s="239">
        <f>IFERROR(IFERROR(VLOOKUP(B1313&amp;I1313&amp;Q1313,'New Weekly Paste'!A:M,8,0),VLOOKUP(B1313&amp;I1313&amp;Q1313,'New Weekly Paste'!B:O,10,0)),0)</f>
        <v>95.08</v>
      </c>
      <c r="L1313" s="239">
        <f t="shared" si="25"/>
        <v>0</v>
      </c>
      <c r="M1313" s="36" t="str">
        <f t="shared" si="3"/>
        <v>Regular Season</v>
      </c>
      <c r="N1313" s="239" t="str">
        <f t="shared" si="26"/>
        <v>Pierson</v>
      </c>
      <c r="O1313" s="6">
        <f>VLOOKUP(D1313,'Mapped Opponent'!$G$4:$H$22,2,0)</f>
        <v>7</v>
      </c>
      <c r="P1313" s="6"/>
      <c r="Q1313" s="6" t="str">
        <f t="shared" si="4"/>
        <v>Week 7</v>
      </c>
      <c r="R1313" s="6" t="str">
        <f t="shared" si="5"/>
        <v>2017Week 7</v>
      </c>
      <c r="S1313" s="6">
        <f>IFERROR(__xludf.DUMMYFUNCTION("rank(J1313,FILTER(J:J,R:R=R1313))"),10.0)</f>
        <v>10</v>
      </c>
      <c r="T1313" s="6">
        <f t="shared" si="6"/>
        <v>2</v>
      </c>
      <c r="U1313" s="6">
        <f t="shared" si="7"/>
        <v>10</v>
      </c>
      <c r="V1313" s="42">
        <f>averageif(AllData!A:A,B1313,AllData!R:R)/vlookup(B1313,AllData!A:O,15,0)</f>
        <v>90.17282051</v>
      </c>
      <c r="W1313" s="6"/>
    </row>
    <row r="1314" ht="14.25" customHeight="1">
      <c r="A1314" s="6" t="str">
        <f t="shared" si="1"/>
        <v>2017Riley7</v>
      </c>
      <c r="B1314" s="59">
        <v>2017.0</v>
      </c>
      <c r="C1314" s="13" t="s">
        <v>67</v>
      </c>
      <c r="D1314" s="13" t="s">
        <v>143</v>
      </c>
      <c r="E1314" s="34"/>
      <c r="F1314" s="6"/>
      <c r="H1314" s="6"/>
      <c r="I1314" s="35" t="str">
        <f>IFERROR(IFERROR(IFERROR(VLOOKUP(B1314&amp;C1314&amp;Q1314,'New Weekly Paste'!A:M,10,0),VLOOKUP(B1314&amp;C1314&amp;Q1314,'New Weekly Paste'!B:O,6,0)),""),"")</f>
        <v>KnardDawg</v>
      </c>
      <c r="J1314" s="239">
        <f>IFERROR(IFERROR(VLOOKUP(B1314&amp;C1314&amp;Q1314,'New Weekly Paste'!A:M,8,0),VLOOKUP(B1314&amp;C1314&amp;Q1314,'New Weekly Paste'!B:O,10,0)),0)</f>
        <v>106.16</v>
      </c>
      <c r="K1314" s="239">
        <f>IFERROR(IFERROR(VLOOKUP(B1314&amp;I1314&amp;Q1314,'New Weekly Paste'!A:M,8,0),VLOOKUP(B1314&amp;I1314&amp;Q1314,'New Weekly Paste'!B:O,10,0)),0)</f>
        <v>97.04</v>
      </c>
      <c r="L1314" s="239">
        <f t="shared" si="25"/>
        <v>1</v>
      </c>
      <c r="M1314" s="36" t="str">
        <f t="shared" si="3"/>
        <v>Regular Season</v>
      </c>
      <c r="N1314" s="239" t="str">
        <f t="shared" si="26"/>
        <v>KnardDawg</v>
      </c>
      <c r="O1314" s="6">
        <f>VLOOKUP(D1314,'Mapped Opponent'!$G$4:$H$22,2,0)</f>
        <v>7</v>
      </c>
      <c r="P1314" s="6"/>
      <c r="Q1314" s="6" t="str">
        <f t="shared" si="4"/>
        <v>Week 7</v>
      </c>
      <c r="R1314" s="6" t="str">
        <f t="shared" si="5"/>
        <v>2017Week 7</v>
      </c>
      <c r="S1314" s="6">
        <f>IFERROR(__xludf.DUMMYFUNCTION("rank(J1314,FILTER(J:J,R:R=R1314))"),1.0)</f>
        <v>1</v>
      </c>
      <c r="T1314" s="6">
        <f t="shared" si="6"/>
        <v>11</v>
      </c>
      <c r="U1314" s="6">
        <f t="shared" si="7"/>
        <v>1</v>
      </c>
      <c r="V1314" s="42">
        <f>averageif(AllData!A:A,B1314,AllData!R:R)/vlookup(B1314,AllData!A:O,15,0)</f>
        <v>90.17282051</v>
      </c>
      <c r="W1314" s="6"/>
    </row>
    <row r="1315" ht="14.25" customHeight="1">
      <c r="A1315" s="6" t="str">
        <f t="shared" si="1"/>
        <v>2017Rooney/Jackson7</v>
      </c>
      <c r="B1315" s="59">
        <v>2017.0</v>
      </c>
      <c r="C1315" s="13" t="s">
        <v>57</v>
      </c>
      <c r="D1315" s="13" t="s">
        <v>143</v>
      </c>
      <c r="E1315" s="34"/>
      <c r="F1315" s="6"/>
      <c r="H1315" s="6"/>
      <c r="I1315" s="35" t="str">
        <f>IFERROR(IFERROR(IFERROR(VLOOKUP(B1315&amp;C1315&amp;Q1315,'New Weekly Paste'!A:M,10,0),VLOOKUP(B1315&amp;C1315&amp;Q1315,'New Weekly Paste'!B:O,6,0)),""),"")</f>
        <v>Fellows</v>
      </c>
      <c r="J1315" s="239">
        <f>IFERROR(IFERROR(VLOOKUP(B1315&amp;C1315&amp;Q1315,'New Weekly Paste'!A:M,8,0),VLOOKUP(B1315&amp;C1315&amp;Q1315,'New Weekly Paste'!B:O,10,0)),0)</f>
        <v>96.68</v>
      </c>
      <c r="K1315" s="239">
        <f>IFERROR(IFERROR(VLOOKUP(B1315&amp;I1315&amp;Q1315,'New Weekly Paste'!A:M,8,0),VLOOKUP(B1315&amp;I1315&amp;Q1315,'New Weekly Paste'!B:O,10,0)),0)</f>
        <v>99.98</v>
      </c>
      <c r="L1315" s="239">
        <f t="shared" si="25"/>
        <v>0</v>
      </c>
      <c r="M1315" s="36" t="str">
        <f t="shared" si="3"/>
        <v>Regular Season</v>
      </c>
      <c r="N1315" s="239" t="str">
        <f t="shared" si="26"/>
        <v>Fellows</v>
      </c>
      <c r="O1315" s="6">
        <f>VLOOKUP(D1315,'Mapped Opponent'!$G$4:$H$22,2,0)</f>
        <v>7</v>
      </c>
      <c r="P1315" s="6"/>
      <c r="Q1315" s="6" t="str">
        <f t="shared" si="4"/>
        <v>Week 7</v>
      </c>
      <c r="R1315" s="6" t="str">
        <f t="shared" si="5"/>
        <v>2017Week 7</v>
      </c>
      <c r="S1315" s="6">
        <f>IFERROR(__xludf.DUMMYFUNCTION("rank(J1315,FILTER(J:J,R:R=R1315))"),6.0)</f>
        <v>6</v>
      </c>
      <c r="T1315" s="6">
        <f t="shared" si="6"/>
        <v>6</v>
      </c>
      <c r="U1315" s="6">
        <f t="shared" si="7"/>
        <v>6</v>
      </c>
      <c r="V1315" s="42">
        <f>averageif(AllData!A:A,B1315,AllData!R:R)/vlookup(B1315,AllData!A:O,15,0)</f>
        <v>90.17282051</v>
      </c>
      <c r="W1315" s="6"/>
    </row>
    <row r="1316" ht="14.25" customHeight="1">
      <c r="A1316" s="6" t="str">
        <f t="shared" si="1"/>
        <v>2017Buser7</v>
      </c>
      <c r="B1316" s="59">
        <v>2017.0</v>
      </c>
      <c r="C1316" s="13" t="s">
        <v>47</v>
      </c>
      <c r="D1316" s="13" t="s">
        <v>143</v>
      </c>
      <c r="E1316" s="34"/>
      <c r="F1316" s="6"/>
      <c r="H1316" s="6"/>
      <c r="I1316" s="35" t="str">
        <f>IFERROR(IFERROR(IFERROR(VLOOKUP(B1316&amp;C1316&amp;Q1316,'New Weekly Paste'!A:M,10,0),VLOOKUP(B1316&amp;C1316&amp;Q1316,'New Weekly Paste'!B:O,6,0)),""),"")</f>
        <v>Salty</v>
      </c>
      <c r="J1316" s="239">
        <f>IFERROR(IFERROR(VLOOKUP(B1316&amp;C1316&amp;Q1316,'New Weekly Paste'!A:M,8,0),VLOOKUP(B1316&amp;C1316&amp;Q1316,'New Weekly Paste'!B:O,10,0)),0)</f>
        <v>83.62</v>
      </c>
      <c r="K1316" s="239">
        <f>IFERROR(IFERROR(VLOOKUP(B1316&amp;I1316&amp;Q1316,'New Weekly Paste'!A:M,8,0),VLOOKUP(B1316&amp;I1316&amp;Q1316,'New Weekly Paste'!B:O,10,0)),0)</f>
        <v>90.32</v>
      </c>
      <c r="L1316" s="239">
        <f t="shared" si="25"/>
        <v>0</v>
      </c>
      <c r="M1316" s="36" t="str">
        <f t="shared" si="3"/>
        <v>Regular Season</v>
      </c>
      <c r="N1316" s="239" t="str">
        <f t="shared" si="26"/>
        <v>Salty</v>
      </c>
      <c r="O1316" s="6">
        <f>VLOOKUP(D1316,'Mapped Opponent'!$G$4:$H$22,2,0)</f>
        <v>7</v>
      </c>
      <c r="P1316" s="6"/>
      <c r="Q1316" s="6" t="str">
        <f t="shared" si="4"/>
        <v>Week 7</v>
      </c>
      <c r="R1316" s="6" t="str">
        <f t="shared" si="5"/>
        <v>2017Week 7</v>
      </c>
      <c r="S1316" s="6">
        <f>IFERROR(__xludf.DUMMYFUNCTION("rank(J1316,FILTER(J:J,R:R=R1316))"),9.0)</f>
        <v>9</v>
      </c>
      <c r="T1316" s="6">
        <f t="shared" si="6"/>
        <v>3</v>
      </c>
      <c r="U1316" s="6">
        <f t="shared" si="7"/>
        <v>9</v>
      </c>
      <c r="V1316" s="42">
        <f>averageif(AllData!A:A,B1316,AllData!R:R)/vlookup(B1316,AllData!A:O,15,0)</f>
        <v>90.17282051</v>
      </c>
      <c r="W1316" s="6"/>
    </row>
    <row r="1317" ht="14.25" customHeight="1">
      <c r="A1317" s="6" t="str">
        <f t="shared" si="1"/>
        <v>2017Pierson7</v>
      </c>
      <c r="B1317" s="59">
        <v>2017.0</v>
      </c>
      <c r="C1317" s="13" t="s">
        <v>92</v>
      </c>
      <c r="D1317" s="13" t="s">
        <v>143</v>
      </c>
      <c r="E1317" s="34"/>
      <c r="F1317" s="6"/>
      <c r="H1317" s="6"/>
      <c r="I1317" s="35" t="str">
        <f>IFERROR(IFERROR(IFERROR(VLOOKUP(B1317&amp;C1317&amp;Q1317,'New Weekly Paste'!A:M,10,0),VLOOKUP(B1317&amp;C1317&amp;Q1317,'New Weekly Paste'!B:O,6,0)),""),"")</f>
        <v>Shep</v>
      </c>
      <c r="J1317" s="239">
        <f>IFERROR(IFERROR(VLOOKUP(B1317&amp;C1317&amp;Q1317,'New Weekly Paste'!A:M,8,0),VLOOKUP(B1317&amp;C1317&amp;Q1317,'New Weekly Paste'!B:O,10,0)),0)</f>
        <v>95.08</v>
      </c>
      <c r="K1317" s="239">
        <f>IFERROR(IFERROR(VLOOKUP(B1317&amp;I1317&amp;Q1317,'New Weekly Paste'!A:M,8,0),VLOOKUP(B1317&amp;I1317&amp;Q1317,'New Weekly Paste'!B:O,10,0)),0)</f>
        <v>82.96</v>
      </c>
      <c r="L1317" s="239">
        <f t="shared" si="25"/>
        <v>1</v>
      </c>
      <c r="M1317" s="36" t="str">
        <f t="shared" si="3"/>
        <v>Regular Season</v>
      </c>
      <c r="N1317" s="239" t="str">
        <f t="shared" si="26"/>
        <v>Shep</v>
      </c>
      <c r="O1317" s="6">
        <f>VLOOKUP(D1317,'Mapped Opponent'!$G$4:$H$22,2,0)</f>
        <v>7</v>
      </c>
      <c r="P1317" s="6"/>
      <c r="Q1317" s="6" t="str">
        <f t="shared" si="4"/>
        <v>Week 7</v>
      </c>
      <c r="R1317" s="6" t="str">
        <f t="shared" si="5"/>
        <v>2017Week 7</v>
      </c>
      <c r="S1317" s="6">
        <f>IFERROR(__xludf.DUMMYFUNCTION("rank(J1317,FILTER(J:J,R:R=R1317))"),7.0)</f>
        <v>7</v>
      </c>
      <c r="T1317" s="6">
        <f t="shared" si="6"/>
        <v>5</v>
      </c>
      <c r="U1317" s="6">
        <f t="shared" si="7"/>
        <v>7</v>
      </c>
      <c r="V1317" s="42">
        <f>averageif(AllData!A:A,B1317,AllData!R:R)/vlookup(B1317,AllData!A:O,15,0)</f>
        <v>90.17282051</v>
      </c>
      <c r="W1317" s="6"/>
    </row>
    <row r="1318" ht="14.25" customHeight="1">
      <c r="A1318" s="6" t="str">
        <f t="shared" si="1"/>
        <v>2017Cock7</v>
      </c>
      <c r="B1318" s="59">
        <v>2017.0</v>
      </c>
      <c r="C1318" s="13" t="s">
        <v>72</v>
      </c>
      <c r="D1318" s="13" t="s">
        <v>143</v>
      </c>
      <c r="E1318" s="34"/>
      <c r="F1318" s="6"/>
      <c r="H1318" s="6"/>
      <c r="I1318" s="35" t="str">
        <f>IFERROR(IFERROR(IFERROR(VLOOKUP(B1318&amp;C1318&amp;Q1318,'New Weekly Paste'!A:M,10,0),VLOOKUP(B1318&amp;C1318&amp;Q1318,'New Weekly Paste'!B:O,6,0)),""),"")</f>
        <v>Hudspeath</v>
      </c>
      <c r="J1318" s="239">
        <f>IFERROR(IFERROR(VLOOKUP(B1318&amp;C1318&amp;Q1318,'New Weekly Paste'!A:M,8,0),VLOOKUP(B1318&amp;C1318&amp;Q1318,'New Weekly Paste'!B:O,10,0)),0)</f>
        <v>103.84</v>
      </c>
      <c r="K1318" s="239">
        <f>IFERROR(IFERROR(VLOOKUP(B1318&amp;I1318&amp;Q1318,'New Weekly Paste'!A:M,8,0),VLOOKUP(B1318&amp;I1318&amp;Q1318,'New Weekly Paste'!B:O,10,0)),0)</f>
        <v>100.12</v>
      </c>
      <c r="L1318" s="239">
        <f t="shared" si="25"/>
        <v>1</v>
      </c>
      <c r="M1318" s="36" t="str">
        <f t="shared" si="3"/>
        <v>Regular Season</v>
      </c>
      <c r="N1318" s="239" t="str">
        <f t="shared" si="26"/>
        <v>Hudspeath</v>
      </c>
      <c r="O1318" s="6">
        <f>VLOOKUP(D1318,'Mapped Opponent'!$G$4:$H$22,2,0)</f>
        <v>7</v>
      </c>
      <c r="P1318" s="6"/>
      <c r="Q1318" s="6" t="str">
        <f t="shared" si="4"/>
        <v>Week 7</v>
      </c>
      <c r="R1318" s="6" t="str">
        <f t="shared" si="5"/>
        <v>2017Week 7</v>
      </c>
      <c r="S1318" s="6">
        <f>IFERROR(__xludf.DUMMYFUNCTION("rank(J1318,FILTER(J:J,R:R=R1318))"),2.0)</f>
        <v>2</v>
      </c>
      <c r="T1318" s="6">
        <f t="shared" si="6"/>
        <v>10</v>
      </c>
      <c r="U1318" s="6">
        <f t="shared" si="7"/>
        <v>2</v>
      </c>
      <c r="V1318" s="42">
        <f>averageif(AllData!A:A,B1318,AllData!R:R)/vlookup(B1318,AllData!A:O,15,0)</f>
        <v>90.17282051</v>
      </c>
      <c r="W1318" s="6"/>
    </row>
    <row r="1319" ht="14.25" customHeight="1">
      <c r="A1319" s="6" t="str">
        <f t="shared" si="1"/>
        <v>2017Tayski7</v>
      </c>
      <c r="B1319" s="59">
        <v>2017.0</v>
      </c>
      <c r="C1319" s="13" t="s">
        <v>52</v>
      </c>
      <c r="D1319" s="13" t="s">
        <v>143</v>
      </c>
      <c r="E1319" s="34"/>
      <c r="F1319" s="6"/>
      <c r="H1319" s="6"/>
      <c r="I1319" s="35" t="str">
        <f>IFERROR(IFERROR(IFERROR(VLOOKUP(B1319&amp;C1319&amp;Q1319,'New Weekly Paste'!A:M,10,0),VLOOKUP(B1319&amp;C1319&amp;Q1319,'New Weekly Paste'!B:O,6,0)),""),"")</f>
        <v>T-How</v>
      </c>
      <c r="J1319" s="239">
        <f>IFERROR(IFERROR(VLOOKUP(B1319&amp;C1319&amp;Q1319,'New Weekly Paste'!A:M,8,0),VLOOKUP(B1319&amp;C1319&amp;Q1319,'New Weekly Paste'!B:O,10,0)),0)</f>
        <v>65.22</v>
      </c>
      <c r="K1319" s="239">
        <f>IFERROR(IFERROR(VLOOKUP(B1319&amp;I1319&amp;Q1319,'New Weekly Paste'!A:M,8,0),VLOOKUP(B1319&amp;I1319&amp;Q1319,'New Weekly Paste'!B:O,10,0)),0)</f>
        <v>81.12</v>
      </c>
      <c r="L1319" s="239">
        <f t="shared" si="25"/>
        <v>0</v>
      </c>
      <c r="M1319" s="36" t="str">
        <f t="shared" si="3"/>
        <v>Regular Season</v>
      </c>
      <c r="N1319" s="239" t="str">
        <f t="shared" si="26"/>
        <v>T-How</v>
      </c>
      <c r="O1319" s="6">
        <f>VLOOKUP(D1319,'Mapped Opponent'!$G$4:$H$22,2,0)</f>
        <v>7</v>
      </c>
      <c r="P1319" s="6"/>
      <c r="Q1319" s="6" t="str">
        <f t="shared" si="4"/>
        <v>Week 7</v>
      </c>
      <c r="R1319" s="6" t="str">
        <f t="shared" si="5"/>
        <v>2017Week 7</v>
      </c>
      <c r="S1319" s="6">
        <f>IFERROR(__xludf.DUMMYFUNCTION("rank(J1319,FILTER(J:J,R:R=R1319))"),12.0)</f>
        <v>12</v>
      </c>
      <c r="T1319" s="6">
        <f t="shared" si="6"/>
        <v>0</v>
      </c>
      <c r="U1319" s="6">
        <f t="shared" si="7"/>
        <v>12</v>
      </c>
      <c r="V1319" s="42">
        <f>averageif(AllData!A:A,B1319,AllData!R:R)/vlookup(B1319,AllData!A:O,15,0)</f>
        <v>90.17282051</v>
      </c>
      <c r="W1319" s="6"/>
    </row>
    <row r="1320" ht="14.25" customHeight="1">
      <c r="A1320" s="6" t="str">
        <f t="shared" si="1"/>
        <v>2017KnardDawg7</v>
      </c>
      <c r="B1320" s="59">
        <v>2017.0</v>
      </c>
      <c r="C1320" s="13" t="s">
        <v>86</v>
      </c>
      <c r="D1320" s="13" t="s">
        <v>143</v>
      </c>
      <c r="E1320" s="34"/>
      <c r="F1320" s="6"/>
      <c r="H1320" s="6"/>
      <c r="I1320" s="35" t="str">
        <f>IFERROR(IFERROR(IFERROR(VLOOKUP(B1320&amp;C1320&amp;Q1320,'New Weekly Paste'!A:M,10,0),VLOOKUP(B1320&amp;C1320&amp;Q1320,'New Weekly Paste'!B:O,6,0)),""),"")</f>
        <v>Riley</v>
      </c>
      <c r="J1320" s="239">
        <f>IFERROR(IFERROR(VLOOKUP(B1320&amp;C1320&amp;Q1320,'New Weekly Paste'!A:M,8,0),VLOOKUP(B1320&amp;C1320&amp;Q1320,'New Weekly Paste'!B:O,10,0)),0)</f>
        <v>97.04</v>
      </c>
      <c r="K1320" s="239">
        <f>IFERROR(IFERROR(VLOOKUP(B1320&amp;I1320&amp;Q1320,'New Weekly Paste'!A:M,8,0),VLOOKUP(B1320&amp;I1320&amp;Q1320,'New Weekly Paste'!B:O,10,0)),0)</f>
        <v>106.16</v>
      </c>
      <c r="L1320" s="239">
        <f t="shared" si="25"/>
        <v>0</v>
      </c>
      <c r="M1320" s="36" t="str">
        <f t="shared" si="3"/>
        <v>Regular Season</v>
      </c>
      <c r="N1320" s="239" t="str">
        <f t="shared" si="26"/>
        <v>Riley</v>
      </c>
      <c r="O1320" s="6">
        <f>VLOOKUP(D1320,'Mapped Opponent'!$G$4:$H$22,2,0)</f>
        <v>7</v>
      </c>
      <c r="P1320" s="6"/>
      <c r="Q1320" s="6" t="str">
        <f t="shared" si="4"/>
        <v>Week 7</v>
      </c>
      <c r="R1320" s="6" t="str">
        <f t="shared" si="5"/>
        <v>2017Week 7</v>
      </c>
      <c r="S1320" s="6">
        <f>IFERROR(__xludf.DUMMYFUNCTION("rank(J1320,FILTER(J:J,R:R=R1320))"),5.0)</f>
        <v>5</v>
      </c>
      <c r="T1320" s="6">
        <f t="shared" si="6"/>
        <v>7</v>
      </c>
      <c r="U1320" s="6">
        <f t="shared" si="7"/>
        <v>5</v>
      </c>
      <c r="V1320" s="42">
        <f>averageif(AllData!A:A,B1320,AllData!R:R)/vlookup(B1320,AllData!A:O,15,0)</f>
        <v>90.17282051</v>
      </c>
      <c r="W1320" s="6"/>
    </row>
    <row r="1321" ht="14.25" customHeight="1">
      <c r="A1321" s="6" t="str">
        <f t="shared" si="1"/>
        <v>2017T-How7</v>
      </c>
      <c r="B1321" s="59">
        <v>2017.0</v>
      </c>
      <c r="C1321" s="13" t="s">
        <v>82</v>
      </c>
      <c r="D1321" s="13" t="s">
        <v>143</v>
      </c>
      <c r="E1321" s="34"/>
      <c r="F1321" s="6"/>
      <c r="H1321" s="6"/>
      <c r="I1321" s="35" t="str">
        <f>IFERROR(IFERROR(IFERROR(VLOOKUP(B1321&amp;C1321&amp;Q1321,'New Weekly Paste'!A:M,10,0),VLOOKUP(B1321&amp;C1321&amp;Q1321,'New Weekly Paste'!B:O,6,0)),""),"")</f>
        <v>Tayski</v>
      </c>
      <c r="J1321" s="239">
        <f>IFERROR(IFERROR(VLOOKUP(B1321&amp;C1321&amp;Q1321,'New Weekly Paste'!A:M,8,0),VLOOKUP(B1321&amp;C1321&amp;Q1321,'New Weekly Paste'!B:O,10,0)),0)</f>
        <v>81.12</v>
      </c>
      <c r="K1321" s="239">
        <f>IFERROR(IFERROR(VLOOKUP(B1321&amp;I1321&amp;Q1321,'New Weekly Paste'!A:M,8,0),VLOOKUP(B1321&amp;I1321&amp;Q1321,'New Weekly Paste'!B:O,10,0)),0)</f>
        <v>65.22</v>
      </c>
      <c r="L1321" s="239">
        <f t="shared" si="25"/>
        <v>1</v>
      </c>
      <c r="M1321" s="36" t="str">
        <f t="shared" si="3"/>
        <v>Regular Season</v>
      </c>
      <c r="N1321" s="239" t="str">
        <f t="shared" si="26"/>
        <v>Tayski</v>
      </c>
      <c r="O1321" s="6">
        <f>VLOOKUP(D1321,'Mapped Opponent'!$G$4:$H$22,2,0)</f>
        <v>7</v>
      </c>
      <c r="P1321" s="6"/>
      <c r="Q1321" s="6" t="str">
        <f t="shared" si="4"/>
        <v>Week 7</v>
      </c>
      <c r="R1321" s="6" t="str">
        <f t="shared" si="5"/>
        <v>2017Week 7</v>
      </c>
      <c r="S1321" s="6">
        <f>IFERROR(__xludf.DUMMYFUNCTION("rank(J1321,FILTER(J:J,R:R=R1321))"),11.0)</f>
        <v>11</v>
      </c>
      <c r="T1321" s="6">
        <f t="shared" si="6"/>
        <v>1</v>
      </c>
      <c r="U1321" s="6">
        <f t="shared" si="7"/>
        <v>11</v>
      </c>
      <c r="V1321" s="42">
        <f>averageif(AllData!A:A,B1321,AllData!R:R)/vlookup(B1321,AllData!A:O,15,0)</f>
        <v>90.17282051</v>
      </c>
      <c r="W1321" s="6"/>
    </row>
    <row r="1322" ht="14.25" customHeight="1">
      <c r="A1322" s="6" t="str">
        <f t="shared" si="1"/>
        <v>2017Hudspeath8</v>
      </c>
      <c r="B1322" s="59">
        <v>2017.0</v>
      </c>
      <c r="C1322" s="13" t="s">
        <v>39</v>
      </c>
      <c r="D1322" s="13" t="s">
        <v>145</v>
      </c>
      <c r="E1322" s="34"/>
      <c r="F1322" s="6"/>
      <c r="H1322" s="6"/>
      <c r="I1322" s="35" t="str">
        <f>IFERROR(IFERROR(IFERROR(VLOOKUP(B1322&amp;C1322&amp;Q1322,'New Weekly Paste'!A:M,10,0),VLOOKUP(B1322&amp;C1322&amp;Q1322,'New Weekly Paste'!B:O,6,0)),""),"")</f>
        <v>Salty</v>
      </c>
      <c r="J1322" s="239">
        <f>IFERROR(IFERROR(VLOOKUP(B1322&amp;C1322&amp;Q1322,'New Weekly Paste'!A:M,8,0),VLOOKUP(B1322&amp;C1322&amp;Q1322,'New Weekly Paste'!B:O,10,0)),0)</f>
        <v>77.38</v>
      </c>
      <c r="K1322" s="239">
        <f>IFERROR(IFERROR(VLOOKUP(B1322&amp;I1322&amp;Q1322,'New Weekly Paste'!A:M,8,0),VLOOKUP(B1322&amp;I1322&amp;Q1322,'New Weekly Paste'!B:O,10,0)),0)</f>
        <v>77.22</v>
      </c>
      <c r="L1322" s="239">
        <f t="shared" si="25"/>
        <v>1</v>
      </c>
      <c r="M1322" s="36" t="str">
        <f t="shared" si="3"/>
        <v>Regular Season</v>
      </c>
      <c r="N1322" s="239" t="str">
        <f t="shared" si="26"/>
        <v>Salty</v>
      </c>
      <c r="O1322" s="6">
        <f>VLOOKUP(D1322,'Mapped Opponent'!$G$4:$H$22,2,0)</f>
        <v>8</v>
      </c>
      <c r="P1322" s="6"/>
      <c r="Q1322" s="6" t="str">
        <f t="shared" si="4"/>
        <v>Week 8</v>
      </c>
      <c r="R1322" s="6" t="str">
        <f t="shared" si="5"/>
        <v>2017Week 8</v>
      </c>
      <c r="S1322" s="6">
        <f>IFERROR(__xludf.DUMMYFUNCTION("rank(J1322,FILTER(J:J,R:R=R1322))"),9.0)</f>
        <v>9</v>
      </c>
      <c r="T1322" s="6">
        <f t="shared" si="6"/>
        <v>3</v>
      </c>
      <c r="U1322" s="6">
        <f t="shared" si="7"/>
        <v>9</v>
      </c>
      <c r="V1322" s="42">
        <f>averageif(AllData!A:A,B1322,AllData!R:R)/vlookup(B1322,AllData!A:O,15,0)</f>
        <v>90.17282051</v>
      </c>
      <c r="W1322" s="6"/>
    </row>
    <row r="1323" ht="14.25" customHeight="1">
      <c r="A1323" s="6" t="str">
        <f t="shared" si="1"/>
        <v>2017Salty8</v>
      </c>
      <c r="B1323" s="59">
        <v>2017.0</v>
      </c>
      <c r="C1323" s="13" t="s">
        <v>76</v>
      </c>
      <c r="D1323" s="13" t="s">
        <v>145</v>
      </c>
      <c r="E1323" s="34"/>
      <c r="F1323" s="6"/>
      <c r="H1323" s="6"/>
      <c r="I1323" s="35" t="str">
        <f>IFERROR(IFERROR(IFERROR(VLOOKUP(B1323&amp;C1323&amp;Q1323,'New Weekly Paste'!A:M,10,0),VLOOKUP(B1323&amp;C1323&amp;Q1323,'New Weekly Paste'!B:O,6,0)),""),"")</f>
        <v>Hudspeath</v>
      </c>
      <c r="J1323" s="239">
        <f>IFERROR(IFERROR(VLOOKUP(B1323&amp;C1323&amp;Q1323,'New Weekly Paste'!A:M,8,0),VLOOKUP(B1323&amp;C1323&amp;Q1323,'New Weekly Paste'!B:O,10,0)),0)</f>
        <v>77.22</v>
      </c>
      <c r="K1323" s="239">
        <f>IFERROR(IFERROR(VLOOKUP(B1323&amp;I1323&amp;Q1323,'New Weekly Paste'!A:M,8,0),VLOOKUP(B1323&amp;I1323&amp;Q1323,'New Weekly Paste'!B:O,10,0)),0)</f>
        <v>77.38</v>
      </c>
      <c r="L1323" s="239">
        <f t="shared" si="25"/>
        <v>0</v>
      </c>
      <c r="M1323" s="36" t="str">
        <f t="shared" si="3"/>
        <v>Regular Season</v>
      </c>
      <c r="N1323" s="239" t="str">
        <f t="shared" si="26"/>
        <v>Hudspeath</v>
      </c>
      <c r="O1323" s="6">
        <f>VLOOKUP(D1323,'Mapped Opponent'!$G$4:$H$22,2,0)</f>
        <v>8</v>
      </c>
      <c r="P1323" s="6"/>
      <c r="Q1323" s="6" t="str">
        <f t="shared" si="4"/>
        <v>Week 8</v>
      </c>
      <c r="R1323" s="6" t="str">
        <f t="shared" si="5"/>
        <v>2017Week 8</v>
      </c>
      <c r="S1323" s="6">
        <f>IFERROR(__xludf.DUMMYFUNCTION("rank(J1323,FILTER(J:J,R:R=R1323))"),10.0)</f>
        <v>10</v>
      </c>
      <c r="T1323" s="6">
        <f t="shared" si="6"/>
        <v>2</v>
      </c>
      <c r="U1323" s="6">
        <f t="shared" si="7"/>
        <v>10</v>
      </c>
      <c r="V1323" s="42">
        <f>averageif(AllData!A:A,B1323,AllData!R:R)/vlookup(B1323,AllData!A:O,15,0)</f>
        <v>90.17282051</v>
      </c>
      <c r="W1323" s="6"/>
    </row>
    <row r="1324" ht="14.25" customHeight="1">
      <c r="A1324" s="6" t="str">
        <f t="shared" si="1"/>
        <v>2017Fellows8</v>
      </c>
      <c r="B1324" s="59">
        <v>2017.0</v>
      </c>
      <c r="C1324" s="13" t="s">
        <v>79</v>
      </c>
      <c r="D1324" s="13" t="s">
        <v>145</v>
      </c>
      <c r="E1324" s="34"/>
      <c r="F1324" s="6"/>
      <c r="H1324" s="6"/>
      <c r="I1324" s="35" t="str">
        <f>IFERROR(IFERROR(IFERROR(VLOOKUP(B1324&amp;C1324&amp;Q1324,'New Weekly Paste'!A:M,10,0),VLOOKUP(B1324&amp;C1324&amp;Q1324,'New Weekly Paste'!B:O,6,0)),""),"")</f>
        <v>Riley</v>
      </c>
      <c r="J1324" s="239">
        <f>IFERROR(IFERROR(VLOOKUP(B1324&amp;C1324&amp;Q1324,'New Weekly Paste'!A:M,8,0),VLOOKUP(B1324&amp;C1324&amp;Q1324,'New Weekly Paste'!B:O,10,0)),0)</f>
        <v>74.08</v>
      </c>
      <c r="K1324" s="239">
        <f>IFERROR(IFERROR(VLOOKUP(B1324&amp;I1324&amp;Q1324,'New Weekly Paste'!A:M,8,0),VLOOKUP(B1324&amp;I1324&amp;Q1324,'New Weekly Paste'!B:O,10,0)),0)</f>
        <v>88.62</v>
      </c>
      <c r="L1324" s="239">
        <f t="shared" si="25"/>
        <v>0</v>
      </c>
      <c r="M1324" s="36" t="str">
        <f t="shared" si="3"/>
        <v>Regular Season</v>
      </c>
      <c r="N1324" s="239" t="str">
        <f t="shared" si="26"/>
        <v>Riley</v>
      </c>
      <c r="O1324" s="6">
        <f>VLOOKUP(D1324,'Mapped Opponent'!$G$4:$H$22,2,0)</f>
        <v>8</v>
      </c>
      <c r="P1324" s="6"/>
      <c r="Q1324" s="6" t="str">
        <f t="shared" si="4"/>
        <v>Week 8</v>
      </c>
      <c r="R1324" s="6" t="str">
        <f t="shared" si="5"/>
        <v>2017Week 8</v>
      </c>
      <c r="S1324" s="6">
        <f>IFERROR(__xludf.DUMMYFUNCTION("rank(J1324,FILTER(J:J,R:R=R1324))"),11.0)</f>
        <v>11</v>
      </c>
      <c r="T1324" s="6">
        <f t="shared" si="6"/>
        <v>1</v>
      </c>
      <c r="U1324" s="6">
        <f t="shared" si="7"/>
        <v>11</v>
      </c>
      <c r="V1324" s="42">
        <f>averageif(AllData!A:A,B1324,AllData!R:R)/vlookup(B1324,AllData!A:O,15,0)</f>
        <v>90.17282051</v>
      </c>
      <c r="W1324" s="6"/>
    </row>
    <row r="1325" ht="14.25" customHeight="1">
      <c r="A1325" s="6" t="str">
        <f t="shared" si="1"/>
        <v>2017Shep8</v>
      </c>
      <c r="B1325" s="59">
        <v>2017.0</v>
      </c>
      <c r="C1325" s="13" t="s">
        <v>89</v>
      </c>
      <c r="D1325" s="13" t="s">
        <v>145</v>
      </c>
      <c r="E1325" s="34"/>
      <c r="F1325" s="6"/>
      <c r="H1325" s="6"/>
      <c r="I1325" s="35" t="str">
        <f>IFERROR(IFERROR(IFERROR(VLOOKUP(B1325&amp;C1325&amp;Q1325,'New Weekly Paste'!A:M,10,0),VLOOKUP(B1325&amp;C1325&amp;Q1325,'New Weekly Paste'!B:O,6,0)),""),"")</f>
        <v>Rooney/Jackson</v>
      </c>
      <c r="J1325" s="239">
        <f>IFERROR(IFERROR(VLOOKUP(B1325&amp;C1325&amp;Q1325,'New Weekly Paste'!A:M,8,0),VLOOKUP(B1325&amp;C1325&amp;Q1325,'New Weekly Paste'!B:O,10,0)),0)</f>
        <v>132.78</v>
      </c>
      <c r="K1325" s="239">
        <f>IFERROR(IFERROR(VLOOKUP(B1325&amp;I1325&amp;Q1325,'New Weekly Paste'!A:M,8,0),VLOOKUP(B1325&amp;I1325&amp;Q1325,'New Weekly Paste'!B:O,10,0)),0)</f>
        <v>122.82</v>
      </c>
      <c r="L1325" s="239">
        <f t="shared" si="25"/>
        <v>1</v>
      </c>
      <c r="M1325" s="36" t="str">
        <f t="shared" si="3"/>
        <v>Regular Season</v>
      </c>
      <c r="N1325" s="239" t="str">
        <f t="shared" si="26"/>
        <v>Rooney/Jackson</v>
      </c>
      <c r="O1325" s="6">
        <f>VLOOKUP(D1325,'Mapped Opponent'!$G$4:$H$22,2,0)</f>
        <v>8</v>
      </c>
      <c r="P1325" s="6"/>
      <c r="Q1325" s="6" t="str">
        <f t="shared" si="4"/>
        <v>Week 8</v>
      </c>
      <c r="R1325" s="6" t="str">
        <f t="shared" si="5"/>
        <v>2017Week 8</v>
      </c>
      <c r="S1325" s="6">
        <f>IFERROR(__xludf.DUMMYFUNCTION("rank(J1325,FILTER(J:J,R:R=R1325))"),1.0)</f>
        <v>1</v>
      </c>
      <c r="T1325" s="6">
        <f t="shared" si="6"/>
        <v>11</v>
      </c>
      <c r="U1325" s="6">
        <f t="shared" si="7"/>
        <v>1</v>
      </c>
      <c r="V1325" s="42">
        <f>averageif(AllData!A:A,B1325,AllData!R:R)/vlookup(B1325,AllData!A:O,15,0)</f>
        <v>90.17282051</v>
      </c>
      <c r="W1325" s="6"/>
    </row>
    <row r="1326" ht="14.25" customHeight="1">
      <c r="A1326" s="6" t="str">
        <f t="shared" si="1"/>
        <v>2017Riley8</v>
      </c>
      <c r="B1326" s="59">
        <v>2017.0</v>
      </c>
      <c r="C1326" s="13" t="s">
        <v>67</v>
      </c>
      <c r="D1326" s="13" t="s">
        <v>145</v>
      </c>
      <c r="E1326" s="34"/>
      <c r="F1326" s="6"/>
      <c r="H1326" s="6"/>
      <c r="I1326" s="35" t="str">
        <f>IFERROR(IFERROR(IFERROR(VLOOKUP(B1326&amp;C1326&amp;Q1326,'New Weekly Paste'!A:M,10,0),VLOOKUP(B1326&amp;C1326&amp;Q1326,'New Weekly Paste'!B:O,6,0)),""),"")</f>
        <v>Fellows</v>
      </c>
      <c r="J1326" s="239">
        <f>IFERROR(IFERROR(VLOOKUP(B1326&amp;C1326&amp;Q1326,'New Weekly Paste'!A:M,8,0),VLOOKUP(B1326&amp;C1326&amp;Q1326,'New Weekly Paste'!B:O,10,0)),0)</f>
        <v>88.62</v>
      </c>
      <c r="K1326" s="239">
        <f>IFERROR(IFERROR(VLOOKUP(B1326&amp;I1326&amp;Q1326,'New Weekly Paste'!A:M,8,0),VLOOKUP(B1326&amp;I1326&amp;Q1326,'New Weekly Paste'!B:O,10,0)),0)</f>
        <v>74.08</v>
      </c>
      <c r="L1326" s="239">
        <f t="shared" si="25"/>
        <v>1</v>
      </c>
      <c r="M1326" s="36" t="str">
        <f t="shared" si="3"/>
        <v>Regular Season</v>
      </c>
      <c r="N1326" s="239" t="str">
        <f t="shared" si="26"/>
        <v>Fellows</v>
      </c>
      <c r="O1326" s="6">
        <f>VLOOKUP(D1326,'Mapped Opponent'!$G$4:$H$22,2,0)</f>
        <v>8</v>
      </c>
      <c r="P1326" s="6"/>
      <c r="Q1326" s="6" t="str">
        <f t="shared" si="4"/>
        <v>Week 8</v>
      </c>
      <c r="R1326" s="6" t="str">
        <f t="shared" si="5"/>
        <v>2017Week 8</v>
      </c>
      <c r="S1326" s="6">
        <f>IFERROR(__xludf.DUMMYFUNCTION("rank(J1326,FILTER(J:J,R:R=R1326))"),6.0)</f>
        <v>6</v>
      </c>
      <c r="T1326" s="6">
        <f t="shared" si="6"/>
        <v>6</v>
      </c>
      <c r="U1326" s="6">
        <f t="shared" si="7"/>
        <v>6</v>
      </c>
      <c r="V1326" s="42">
        <f>averageif(AllData!A:A,B1326,AllData!R:R)/vlookup(B1326,AllData!A:O,15,0)</f>
        <v>90.17282051</v>
      </c>
      <c r="W1326" s="6"/>
    </row>
    <row r="1327" ht="14.25" customHeight="1">
      <c r="A1327" s="6" t="str">
        <f t="shared" si="1"/>
        <v>2017Rooney/Jackson8</v>
      </c>
      <c r="B1327" s="59">
        <v>2017.0</v>
      </c>
      <c r="C1327" s="13" t="s">
        <v>57</v>
      </c>
      <c r="D1327" s="13" t="s">
        <v>145</v>
      </c>
      <c r="E1327" s="34"/>
      <c r="F1327" s="6"/>
      <c r="H1327" s="6"/>
      <c r="I1327" s="35" t="str">
        <f>IFERROR(IFERROR(IFERROR(VLOOKUP(B1327&amp;C1327&amp;Q1327,'New Weekly Paste'!A:M,10,0),VLOOKUP(B1327&amp;C1327&amp;Q1327,'New Weekly Paste'!B:O,6,0)),""),"")</f>
        <v>Shep</v>
      </c>
      <c r="J1327" s="239">
        <f>IFERROR(IFERROR(VLOOKUP(B1327&amp;C1327&amp;Q1327,'New Weekly Paste'!A:M,8,0),VLOOKUP(B1327&amp;C1327&amp;Q1327,'New Weekly Paste'!B:O,10,0)),0)</f>
        <v>122.82</v>
      </c>
      <c r="K1327" s="239">
        <f>IFERROR(IFERROR(VLOOKUP(B1327&amp;I1327&amp;Q1327,'New Weekly Paste'!A:M,8,0),VLOOKUP(B1327&amp;I1327&amp;Q1327,'New Weekly Paste'!B:O,10,0)),0)</f>
        <v>132.78</v>
      </c>
      <c r="L1327" s="239">
        <f t="shared" si="25"/>
        <v>0</v>
      </c>
      <c r="M1327" s="36" t="str">
        <f t="shared" si="3"/>
        <v>Regular Season</v>
      </c>
      <c r="N1327" s="239" t="str">
        <f t="shared" si="26"/>
        <v>Shep</v>
      </c>
      <c r="O1327" s="6">
        <f>VLOOKUP(D1327,'Mapped Opponent'!$G$4:$H$22,2,0)</f>
        <v>8</v>
      </c>
      <c r="P1327" s="6"/>
      <c r="Q1327" s="6" t="str">
        <f t="shared" si="4"/>
        <v>Week 8</v>
      </c>
      <c r="R1327" s="6" t="str">
        <f t="shared" si="5"/>
        <v>2017Week 8</v>
      </c>
      <c r="S1327" s="6">
        <f>IFERROR(__xludf.DUMMYFUNCTION("rank(J1327,FILTER(J:J,R:R=R1327))"),2.0)</f>
        <v>2</v>
      </c>
      <c r="T1327" s="6">
        <f t="shared" si="6"/>
        <v>10</v>
      </c>
      <c r="U1327" s="6">
        <f t="shared" si="7"/>
        <v>2</v>
      </c>
      <c r="V1327" s="42">
        <f>averageif(AllData!A:A,B1327,AllData!R:R)/vlookup(B1327,AllData!A:O,15,0)</f>
        <v>90.17282051</v>
      </c>
      <c r="W1327" s="6"/>
    </row>
    <row r="1328" ht="14.25" customHeight="1">
      <c r="A1328" s="6" t="str">
        <f t="shared" si="1"/>
        <v>2017Buser8</v>
      </c>
      <c r="B1328" s="59">
        <v>2017.0</v>
      </c>
      <c r="C1328" s="13" t="s">
        <v>47</v>
      </c>
      <c r="D1328" s="13" t="s">
        <v>145</v>
      </c>
      <c r="E1328" s="34"/>
      <c r="F1328" s="6"/>
      <c r="H1328" s="6"/>
      <c r="I1328" s="35" t="str">
        <f>IFERROR(IFERROR(IFERROR(VLOOKUP(B1328&amp;C1328&amp;Q1328,'New Weekly Paste'!A:M,10,0),VLOOKUP(B1328&amp;C1328&amp;Q1328,'New Weekly Paste'!B:O,6,0)),""),"")</f>
        <v>Pierson</v>
      </c>
      <c r="J1328" s="239">
        <f>IFERROR(IFERROR(VLOOKUP(B1328&amp;C1328&amp;Q1328,'New Weekly Paste'!A:M,8,0),VLOOKUP(B1328&amp;C1328&amp;Q1328,'New Weekly Paste'!B:O,10,0)),0)</f>
        <v>84.74</v>
      </c>
      <c r="K1328" s="239">
        <f>IFERROR(IFERROR(VLOOKUP(B1328&amp;I1328&amp;Q1328,'New Weekly Paste'!A:M,8,0),VLOOKUP(B1328&amp;I1328&amp;Q1328,'New Weekly Paste'!B:O,10,0)),0)</f>
        <v>81.48</v>
      </c>
      <c r="L1328" s="239">
        <f t="shared" si="25"/>
        <v>1</v>
      </c>
      <c r="M1328" s="36" t="str">
        <f t="shared" si="3"/>
        <v>Regular Season</v>
      </c>
      <c r="N1328" s="239" t="str">
        <f t="shared" si="26"/>
        <v>Pierson</v>
      </c>
      <c r="O1328" s="6">
        <f>VLOOKUP(D1328,'Mapped Opponent'!$G$4:$H$22,2,0)</f>
        <v>8</v>
      </c>
      <c r="P1328" s="6"/>
      <c r="Q1328" s="6" t="str">
        <f t="shared" si="4"/>
        <v>Week 8</v>
      </c>
      <c r="R1328" s="6" t="str">
        <f t="shared" si="5"/>
        <v>2017Week 8</v>
      </c>
      <c r="S1328" s="6">
        <f>IFERROR(__xludf.DUMMYFUNCTION("rank(J1328,FILTER(J:J,R:R=R1328))"),7.0)</f>
        <v>7</v>
      </c>
      <c r="T1328" s="6">
        <f t="shared" si="6"/>
        <v>5</v>
      </c>
      <c r="U1328" s="6">
        <f t="shared" si="7"/>
        <v>7</v>
      </c>
      <c r="V1328" s="42">
        <f>averageif(AllData!A:A,B1328,AllData!R:R)/vlookup(B1328,AllData!A:O,15,0)</f>
        <v>90.17282051</v>
      </c>
      <c r="W1328" s="6"/>
    </row>
    <row r="1329" ht="14.25" customHeight="1">
      <c r="A1329" s="6" t="str">
        <f t="shared" si="1"/>
        <v>2017Pierson8</v>
      </c>
      <c r="B1329" s="59">
        <v>2017.0</v>
      </c>
      <c r="C1329" s="13" t="s">
        <v>92</v>
      </c>
      <c r="D1329" s="13" t="s">
        <v>145</v>
      </c>
      <c r="E1329" s="34"/>
      <c r="F1329" s="6"/>
      <c r="H1329" s="6"/>
      <c r="I1329" s="35" t="str">
        <f>IFERROR(IFERROR(IFERROR(VLOOKUP(B1329&amp;C1329&amp;Q1329,'New Weekly Paste'!A:M,10,0),VLOOKUP(B1329&amp;C1329&amp;Q1329,'New Weekly Paste'!B:O,6,0)),""),"")</f>
        <v>Buser</v>
      </c>
      <c r="J1329" s="239">
        <f>IFERROR(IFERROR(VLOOKUP(B1329&amp;C1329&amp;Q1329,'New Weekly Paste'!A:M,8,0),VLOOKUP(B1329&amp;C1329&amp;Q1329,'New Weekly Paste'!B:O,10,0)),0)</f>
        <v>81.48</v>
      </c>
      <c r="K1329" s="239">
        <f>IFERROR(IFERROR(VLOOKUP(B1329&amp;I1329&amp;Q1329,'New Weekly Paste'!A:M,8,0),VLOOKUP(B1329&amp;I1329&amp;Q1329,'New Weekly Paste'!B:O,10,0)),0)</f>
        <v>84.74</v>
      </c>
      <c r="L1329" s="239">
        <f t="shared" si="25"/>
        <v>0</v>
      </c>
      <c r="M1329" s="36" t="str">
        <f t="shared" si="3"/>
        <v>Regular Season</v>
      </c>
      <c r="N1329" s="239" t="str">
        <f t="shared" si="26"/>
        <v>Buser</v>
      </c>
      <c r="O1329" s="6">
        <f>VLOOKUP(D1329,'Mapped Opponent'!$G$4:$H$22,2,0)</f>
        <v>8</v>
      </c>
      <c r="P1329" s="6"/>
      <c r="Q1329" s="6" t="str">
        <f t="shared" si="4"/>
        <v>Week 8</v>
      </c>
      <c r="R1329" s="6" t="str">
        <f t="shared" si="5"/>
        <v>2017Week 8</v>
      </c>
      <c r="S1329" s="6">
        <f>IFERROR(__xludf.DUMMYFUNCTION("rank(J1329,FILTER(J:J,R:R=R1329))"),8.0)</f>
        <v>8</v>
      </c>
      <c r="T1329" s="6">
        <f t="shared" si="6"/>
        <v>4</v>
      </c>
      <c r="U1329" s="6">
        <f t="shared" si="7"/>
        <v>8</v>
      </c>
      <c r="V1329" s="42">
        <f>averageif(AllData!A:A,B1329,AllData!R:R)/vlookup(B1329,AllData!A:O,15,0)</f>
        <v>90.17282051</v>
      </c>
      <c r="W1329" s="6"/>
    </row>
    <row r="1330" ht="14.25" customHeight="1">
      <c r="A1330" s="6" t="str">
        <f t="shared" si="1"/>
        <v>2017Cock8</v>
      </c>
      <c r="B1330" s="59">
        <v>2017.0</v>
      </c>
      <c r="C1330" s="13" t="s">
        <v>72</v>
      </c>
      <c r="D1330" s="13" t="s">
        <v>145</v>
      </c>
      <c r="E1330" s="34"/>
      <c r="F1330" s="6"/>
      <c r="H1330" s="6"/>
      <c r="I1330" s="35" t="str">
        <f>IFERROR(IFERROR(IFERROR(VLOOKUP(B1330&amp;C1330&amp;Q1330,'New Weekly Paste'!A:M,10,0),VLOOKUP(B1330&amp;C1330&amp;Q1330,'New Weekly Paste'!B:O,6,0)),""),"")</f>
        <v>T-How</v>
      </c>
      <c r="J1330" s="239">
        <f>IFERROR(IFERROR(VLOOKUP(B1330&amp;C1330&amp;Q1330,'New Weekly Paste'!A:M,8,0),VLOOKUP(B1330&amp;C1330&amp;Q1330,'New Weekly Paste'!B:O,10,0)),0)</f>
        <v>106.46</v>
      </c>
      <c r="K1330" s="239">
        <f>IFERROR(IFERROR(VLOOKUP(B1330&amp;I1330&amp;Q1330,'New Weekly Paste'!A:M,8,0),VLOOKUP(B1330&amp;I1330&amp;Q1330,'New Weekly Paste'!B:O,10,0)),0)</f>
        <v>97.02</v>
      </c>
      <c r="L1330" s="239">
        <f t="shared" si="25"/>
        <v>1</v>
      </c>
      <c r="M1330" s="36" t="str">
        <f t="shared" si="3"/>
        <v>Regular Season</v>
      </c>
      <c r="N1330" s="239" t="str">
        <f t="shared" si="26"/>
        <v>T-How</v>
      </c>
      <c r="O1330" s="6">
        <f>VLOOKUP(D1330,'Mapped Opponent'!$G$4:$H$22,2,0)</f>
        <v>8</v>
      </c>
      <c r="P1330" s="6"/>
      <c r="Q1330" s="6" t="str">
        <f t="shared" si="4"/>
        <v>Week 8</v>
      </c>
      <c r="R1330" s="6" t="str">
        <f t="shared" si="5"/>
        <v>2017Week 8</v>
      </c>
      <c r="S1330" s="6">
        <f>IFERROR(__xludf.DUMMYFUNCTION("rank(J1330,FILTER(J:J,R:R=R1330))"),3.0)</f>
        <v>3</v>
      </c>
      <c r="T1330" s="6">
        <f t="shared" si="6"/>
        <v>9</v>
      </c>
      <c r="U1330" s="6">
        <f t="shared" si="7"/>
        <v>3</v>
      </c>
      <c r="V1330" s="42">
        <f>averageif(AllData!A:A,B1330,AllData!R:R)/vlookup(B1330,AllData!A:O,15,0)</f>
        <v>90.17282051</v>
      </c>
      <c r="W1330" s="6"/>
    </row>
    <row r="1331" ht="14.25" customHeight="1">
      <c r="A1331" s="6" t="str">
        <f t="shared" si="1"/>
        <v>2017Tayski8</v>
      </c>
      <c r="B1331" s="59">
        <v>2017.0</v>
      </c>
      <c r="C1331" s="13" t="s">
        <v>52</v>
      </c>
      <c r="D1331" s="13" t="s">
        <v>145</v>
      </c>
      <c r="E1331" s="34"/>
      <c r="F1331" s="6"/>
      <c r="H1331" s="6"/>
      <c r="I1331" s="35" t="str">
        <f>IFERROR(IFERROR(IFERROR(VLOOKUP(B1331&amp;C1331&amp;Q1331,'New Weekly Paste'!A:M,10,0),VLOOKUP(B1331&amp;C1331&amp;Q1331,'New Weekly Paste'!B:O,6,0)),""),"")</f>
        <v>KnardDawg</v>
      </c>
      <c r="J1331" s="239">
        <f>IFERROR(IFERROR(VLOOKUP(B1331&amp;C1331&amp;Q1331,'New Weekly Paste'!A:M,8,0),VLOOKUP(B1331&amp;C1331&amp;Q1331,'New Weekly Paste'!B:O,10,0)),0)</f>
        <v>59.62</v>
      </c>
      <c r="K1331" s="239">
        <f>IFERROR(IFERROR(VLOOKUP(B1331&amp;I1331&amp;Q1331,'New Weekly Paste'!A:M,8,0),VLOOKUP(B1331&amp;I1331&amp;Q1331,'New Weekly Paste'!B:O,10,0)),0)</f>
        <v>105.96</v>
      </c>
      <c r="L1331" s="239">
        <f t="shared" si="25"/>
        <v>0</v>
      </c>
      <c r="M1331" s="36" t="str">
        <f t="shared" si="3"/>
        <v>Regular Season</v>
      </c>
      <c r="N1331" s="239" t="str">
        <f t="shared" si="26"/>
        <v>KnardDawg</v>
      </c>
      <c r="O1331" s="6">
        <f>VLOOKUP(D1331,'Mapped Opponent'!$G$4:$H$22,2,0)</f>
        <v>8</v>
      </c>
      <c r="P1331" s="6"/>
      <c r="Q1331" s="6" t="str">
        <f t="shared" si="4"/>
        <v>Week 8</v>
      </c>
      <c r="R1331" s="6" t="str">
        <f t="shared" si="5"/>
        <v>2017Week 8</v>
      </c>
      <c r="S1331" s="6">
        <f>IFERROR(__xludf.DUMMYFUNCTION("rank(J1331,FILTER(J:J,R:R=R1331))"),12.0)</f>
        <v>12</v>
      </c>
      <c r="T1331" s="6">
        <f t="shared" si="6"/>
        <v>0</v>
      </c>
      <c r="U1331" s="6">
        <f t="shared" si="7"/>
        <v>12</v>
      </c>
      <c r="V1331" s="42">
        <f>averageif(AllData!A:A,B1331,AllData!R:R)/vlookup(B1331,AllData!A:O,15,0)</f>
        <v>90.17282051</v>
      </c>
      <c r="W1331" s="6"/>
    </row>
    <row r="1332" ht="14.25" customHeight="1">
      <c r="A1332" s="6" t="str">
        <f t="shared" si="1"/>
        <v>2017KnardDawg8</v>
      </c>
      <c r="B1332" s="59">
        <v>2017.0</v>
      </c>
      <c r="C1332" s="13" t="s">
        <v>86</v>
      </c>
      <c r="D1332" s="13" t="s">
        <v>145</v>
      </c>
      <c r="E1332" s="34"/>
      <c r="F1332" s="6"/>
      <c r="H1332" s="6"/>
      <c r="I1332" s="35" t="str">
        <f>IFERROR(IFERROR(IFERROR(VLOOKUP(B1332&amp;C1332&amp;Q1332,'New Weekly Paste'!A:M,10,0),VLOOKUP(B1332&amp;C1332&amp;Q1332,'New Weekly Paste'!B:O,6,0)),""),"")</f>
        <v>Tayski</v>
      </c>
      <c r="J1332" s="239">
        <f>IFERROR(IFERROR(VLOOKUP(B1332&amp;C1332&amp;Q1332,'New Weekly Paste'!A:M,8,0),VLOOKUP(B1332&amp;C1332&amp;Q1332,'New Weekly Paste'!B:O,10,0)),0)</f>
        <v>105.96</v>
      </c>
      <c r="K1332" s="239">
        <f>IFERROR(IFERROR(VLOOKUP(B1332&amp;I1332&amp;Q1332,'New Weekly Paste'!A:M,8,0),VLOOKUP(B1332&amp;I1332&amp;Q1332,'New Weekly Paste'!B:O,10,0)),0)</f>
        <v>59.62</v>
      </c>
      <c r="L1332" s="239">
        <f t="shared" si="25"/>
        <v>1</v>
      </c>
      <c r="M1332" s="36" t="str">
        <f t="shared" si="3"/>
        <v>Regular Season</v>
      </c>
      <c r="N1332" s="239" t="str">
        <f t="shared" si="26"/>
        <v>Tayski</v>
      </c>
      <c r="O1332" s="6">
        <f>VLOOKUP(D1332,'Mapped Opponent'!$G$4:$H$22,2,0)</f>
        <v>8</v>
      </c>
      <c r="P1332" s="6"/>
      <c r="Q1332" s="6" t="str">
        <f t="shared" si="4"/>
        <v>Week 8</v>
      </c>
      <c r="R1332" s="6" t="str">
        <f t="shared" si="5"/>
        <v>2017Week 8</v>
      </c>
      <c r="S1332" s="6">
        <f>IFERROR(__xludf.DUMMYFUNCTION("rank(J1332,FILTER(J:J,R:R=R1332))"),4.0)</f>
        <v>4</v>
      </c>
      <c r="T1332" s="6">
        <f t="shared" si="6"/>
        <v>8</v>
      </c>
      <c r="U1332" s="6">
        <f t="shared" si="7"/>
        <v>4</v>
      </c>
      <c r="V1332" s="42">
        <f>averageif(AllData!A:A,B1332,AllData!R:R)/vlookup(B1332,AllData!A:O,15,0)</f>
        <v>90.17282051</v>
      </c>
      <c r="W1332" s="6"/>
    </row>
    <row r="1333" ht="14.25" customHeight="1">
      <c r="A1333" s="6" t="str">
        <f t="shared" si="1"/>
        <v>2017T-How8</v>
      </c>
      <c r="B1333" s="59">
        <v>2017.0</v>
      </c>
      <c r="C1333" s="13" t="s">
        <v>82</v>
      </c>
      <c r="D1333" s="13" t="s">
        <v>145</v>
      </c>
      <c r="E1333" s="34"/>
      <c r="F1333" s="6"/>
      <c r="H1333" s="6"/>
      <c r="I1333" s="35" t="str">
        <f>IFERROR(IFERROR(IFERROR(VLOOKUP(B1333&amp;C1333&amp;Q1333,'New Weekly Paste'!A:M,10,0),VLOOKUP(B1333&amp;C1333&amp;Q1333,'New Weekly Paste'!B:O,6,0)),""),"")</f>
        <v>Cock</v>
      </c>
      <c r="J1333" s="239">
        <f>IFERROR(IFERROR(VLOOKUP(B1333&amp;C1333&amp;Q1333,'New Weekly Paste'!A:M,8,0),VLOOKUP(B1333&amp;C1333&amp;Q1333,'New Weekly Paste'!B:O,10,0)),0)</f>
        <v>97.02</v>
      </c>
      <c r="K1333" s="239">
        <f>IFERROR(IFERROR(VLOOKUP(B1333&amp;I1333&amp;Q1333,'New Weekly Paste'!A:M,8,0),VLOOKUP(B1333&amp;I1333&amp;Q1333,'New Weekly Paste'!B:O,10,0)),0)</f>
        <v>106.46</v>
      </c>
      <c r="L1333" s="239">
        <f t="shared" si="25"/>
        <v>0</v>
      </c>
      <c r="M1333" s="36" t="str">
        <f t="shared" si="3"/>
        <v>Regular Season</v>
      </c>
      <c r="N1333" s="239" t="str">
        <f t="shared" si="26"/>
        <v>Cock</v>
      </c>
      <c r="O1333" s="6">
        <f>VLOOKUP(D1333,'Mapped Opponent'!$G$4:$H$22,2,0)</f>
        <v>8</v>
      </c>
      <c r="P1333" s="6"/>
      <c r="Q1333" s="6" t="str">
        <f t="shared" si="4"/>
        <v>Week 8</v>
      </c>
      <c r="R1333" s="6" t="str">
        <f t="shared" si="5"/>
        <v>2017Week 8</v>
      </c>
      <c r="S1333" s="6">
        <f>IFERROR(__xludf.DUMMYFUNCTION("rank(J1333,FILTER(J:J,R:R=R1333))"),5.0)</f>
        <v>5</v>
      </c>
      <c r="T1333" s="6">
        <f t="shared" si="6"/>
        <v>7</v>
      </c>
      <c r="U1333" s="6">
        <f t="shared" si="7"/>
        <v>5</v>
      </c>
      <c r="V1333" s="42">
        <f>averageif(AllData!A:A,B1333,AllData!R:R)/vlookup(B1333,AllData!A:O,15,0)</f>
        <v>90.17282051</v>
      </c>
      <c r="W1333" s="6"/>
    </row>
    <row r="1334" ht="14.25" customHeight="1">
      <c r="A1334" s="6" t="str">
        <f t="shared" si="1"/>
        <v>2017Hudspeath9</v>
      </c>
      <c r="B1334" s="59">
        <v>2017.0</v>
      </c>
      <c r="C1334" s="13" t="s">
        <v>39</v>
      </c>
      <c r="D1334" s="13" t="s">
        <v>147</v>
      </c>
      <c r="E1334" s="34"/>
      <c r="F1334" s="6"/>
      <c r="H1334" s="6"/>
      <c r="I1334" s="35" t="str">
        <f>IFERROR(IFERROR(IFERROR(VLOOKUP(B1334&amp;C1334&amp;Q1334,'New Weekly Paste'!A:M,10,0),VLOOKUP(B1334&amp;C1334&amp;Q1334,'New Weekly Paste'!B:O,6,0)),""),"")</f>
        <v>Pierson</v>
      </c>
      <c r="J1334" s="239">
        <f>IFERROR(IFERROR(VLOOKUP(B1334&amp;C1334&amp;Q1334,'New Weekly Paste'!A:M,8,0),VLOOKUP(B1334&amp;C1334&amp;Q1334,'New Weekly Paste'!B:O,10,0)),0)</f>
        <v>88.2</v>
      </c>
      <c r="K1334" s="239">
        <f>IFERROR(IFERROR(VLOOKUP(B1334&amp;I1334&amp;Q1334,'New Weekly Paste'!A:M,8,0),VLOOKUP(B1334&amp;I1334&amp;Q1334,'New Weekly Paste'!B:O,10,0)),0)</f>
        <v>79.52</v>
      </c>
      <c r="L1334" s="239">
        <f t="shared" si="25"/>
        <v>1</v>
      </c>
      <c r="M1334" s="36" t="str">
        <f t="shared" si="3"/>
        <v>Regular Season</v>
      </c>
      <c r="N1334" s="239" t="str">
        <f t="shared" si="26"/>
        <v>Pierson</v>
      </c>
      <c r="O1334" s="6">
        <f>VLOOKUP(D1334,'Mapped Opponent'!$G$4:$H$22,2,0)</f>
        <v>9</v>
      </c>
      <c r="P1334" s="6"/>
      <c r="Q1334" s="6" t="str">
        <f t="shared" si="4"/>
        <v>Week 9</v>
      </c>
      <c r="R1334" s="6" t="str">
        <f t="shared" si="5"/>
        <v>2017Week 9</v>
      </c>
      <c r="S1334" s="6">
        <f>IFERROR(__xludf.DUMMYFUNCTION("rank(J1334,FILTER(J:J,R:R=R1334))"),6.0)</f>
        <v>6</v>
      </c>
      <c r="T1334" s="6">
        <f t="shared" si="6"/>
        <v>6</v>
      </c>
      <c r="U1334" s="6">
        <f t="shared" si="7"/>
        <v>6</v>
      </c>
      <c r="V1334" s="42">
        <f>averageif(AllData!A:A,B1334,AllData!R:R)/vlookup(B1334,AllData!A:O,15,0)</f>
        <v>90.17282051</v>
      </c>
      <c r="W1334" s="6"/>
    </row>
    <row r="1335" ht="14.25" customHeight="1">
      <c r="A1335" s="6" t="str">
        <f t="shared" si="1"/>
        <v>2017Salty9</v>
      </c>
      <c r="B1335" s="59">
        <v>2017.0</v>
      </c>
      <c r="C1335" s="13" t="s">
        <v>76</v>
      </c>
      <c r="D1335" s="13" t="s">
        <v>147</v>
      </c>
      <c r="E1335" s="34"/>
      <c r="F1335" s="6"/>
      <c r="H1335" s="6"/>
      <c r="I1335" s="35" t="str">
        <f>IFERROR(IFERROR(IFERROR(VLOOKUP(B1335&amp;C1335&amp;Q1335,'New Weekly Paste'!A:M,10,0),VLOOKUP(B1335&amp;C1335&amp;Q1335,'New Weekly Paste'!B:O,6,0)),""),"")</f>
        <v>T-How</v>
      </c>
      <c r="J1335" s="239">
        <f>IFERROR(IFERROR(VLOOKUP(B1335&amp;C1335&amp;Q1335,'New Weekly Paste'!A:M,8,0),VLOOKUP(B1335&amp;C1335&amp;Q1335,'New Weekly Paste'!B:O,10,0)),0)</f>
        <v>103.96</v>
      </c>
      <c r="K1335" s="239">
        <f>IFERROR(IFERROR(VLOOKUP(B1335&amp;I1335&amp;Q1335,'New Weekly Paste'!A:M,8,0),VLOOKUP(B1335&amp;I1335&amp;Q1335,'New Weekly Paste'!B:O,10,0)),0)</f>
        <v>69.78</v>
      </c>
      <c r="L1335" s="239">
        <f t="shared" si="25"/>
        <v>1</v>
      </c>
      <c r="M1335" s="36" t="str">
        <f t="shared" si="3"/>
        <v>Regular Season</v>
      </c>
      <c r="N1335" s="239" t="str">
        <f t="shared" si="26"/>
        <v>T-How</v>
      </c>
      <c r="O1335" s="6">
        <f>VLOOKUP(D1335,'Mapped Opponent'!$G$4:$H$22,2,0)</f>
        <v>9</v>
      </c>
      <c r="P1335" s="6"/>
      <c r="Q1335" s="6" t="str">
        <f t="shared" si="4"/>
        <v>Week 9</v>
      </c>
      <c r="R1335" s="6" t="str">
        <f t="shared" si="5"/>
        <v>2017Week 9</v>
      </c>
      <c r="S1335" s="6">
        <f>IFERROR(__xludf.DUMMYFUNCTION("rank(J1335,FILTER(J:J,R:R=R1335))"),3.0)</f>
        <v>3</v>
      </c>
      <c r="T1335" s="6">
        <f t="shared" si="6"/>
        <v>9</v>
      </c>
      <c r="U1335" s="6">
        <f t="shared" si="7"/>
        <v>3</v>
      </c>
      <c r="V1335" s="42">
        <f>averageif(AllData!A:A,B1335,AllData!R:R)/vlookup(B1335,AllData!A:O,15,0)</f>
        <v>90.17282051</v>
      </c>
      <c r="W1335" s="6"/>
    </row>
    <row r="1336" ht="14.25" customHeight="1">
      <c r="A1336" s="6" t="str">
        <f t="shared" si="1"/>
        <v>2017Fellows9</v>
      </c>
      <c r="B1336" s="59">
        <v>2017.0</v>
      </c>
      <c r="C1336" s="13" t="s">
        <v>79</v>
      </c>
      <c r="D1336" s="13" t="s">
        <v>147</v>
      </c>
      <c r="E1336" s="34"/>
      <c r="F1336" s="6"/>
      <c r="H1336" s="6"/>
      <c r="I1336" s="35" t="str">
        <f>IFERROR(IFERROR(IFERROR(VLOOKUP(B1336&amp;C1336&amp;Q1336,'New Weekly Paste'!A:M,10,0),VLOOKUP(B1336&amp;C1336&amp;Q1336,'New Weekly Paste'!B:O,6,0)),""),"")</f>
        <v>KnardDawg</v>
      </c>
      <c r="J1336" s="239">
        <f>IFERROR(IFERROR(VLOOKUP(B1336&amp;C1336&amp;Q1336,'New Weekly Paste'!A:M,8,0),VLOOKUP(B1336&amp;C1336&amp;Q1336,'New Weekly Paste'!B:O,10,0)),0)</f>
        <v>72.18</v>
      </c>
      <c r="K1336" s="239">
        <f>IFERROR(IFERROR(VLOOKUP(B1336&amp;I1336&amp;Q1336,'New Weekly Paste'!A:M,8,0),VLOOKUP(B1336&amp;I1336&amp;Q1336,'New Weekly Paste'!B:O,10,0)),0)</f>
        <v>91.28</v>
      </c>
      <c r="L1336" s="239">
        <f t="shared" si="25"/>
        <v>0</v>
      </c>
      <c r="M1336" s="36" t="str">
        <f t="shared" si="3"/>
        <v>Regular Season</v>
      </c>
      <c r="N1336" s="239" t="str">
        <f t="shared" si="26"/>
        <v>KnardDawg</v>
      </c>
      <c r="O1336" s="6">
        <f>VLOOKUP(D1336,'Mapped Opponent'!$G$4:$H$22,2,0)</f>
        <v>9</v>
      </c>
      <c r="P1336" s="6"/>
      <c r="Q1336" s="6" t="str">
        <f t="shared" si="4"/>
        <v>Week 9</v>
      </c>
      <c r="R1336" s="6" t="str">
        <f t="shared" si="5"/>
        <v>2017Week 9</v>
      </c>
      <c r="S1336" s="6">
        <f>IFERROR(__xludf.DUMMYFUNCTION("rank(J1336,FILTER(J:J,R:R=R1336))"),10.0)</f>
        <v>10</v>
      </c>
      <c r="T1336" s="6">
        <f t="shared" si="6"/>
        <v>2</v>
      </c>
      <c r="U1336" s="6">
        <f t="shared" si="7"/>
        <v>10</v>
      </c>
      <c r="V1336" s="42">
        <f>averageif(AllData!A:A,B1336,AllData!R:R)/vlookup(B1336,AllData!A:O,15,0)</f>
        <v>90.17282051</v>
      </c>
      <c r="W1336" s="6"/>
    </row>
    <row r="1337" ht="14.25" customHeight="1">
      <c r="A1337" s="6" t="str">
        <f t="shared" si="1"/>
        <v>2017Shep9</v>
      </c>
      <c r="B1337" s="59">
        <v>2017.0</v>
      </c>
      <c r="C1337" s="13" t="s">
        <v>89</v>
      </c>
      <c r="D1337" s="13" t="s">
        <v>147</v>
      </c>
      <c r="E1337" s="34"/>
      <c r="F1337" s="6"/>
      <c r="H1337" s="6"/>
      <c r="I1337" s="35" t="str">
        <f>IFERROR(IFERROR(IFERROR(VLOOKUP(B1337&amp;C1337&amp;Q1337,'New Weekly Paste'!A:M,10,0),VLOOKUP(B1337&amp;C1337&amp;Q1337,'New Weekly Paste'!B:O,6,0)),""),"")</f>
        <v>Riley</v>
      </c>
      <c r="J1337" s="239">
        <f>IFERROR(IFERROR(VLOOKUP(B1337&amp;C1337&amp;Q1337,'New Weekly Paste'!A:M,8,0),VLOOKUP(B1337&amp;C1337&amp;Q1337,'New Weekly Paste'!B:O,10,0)),0)</f>
        <v>83.68</v>
      </c>
      <c r="K1337" s="239">
        <f>IFERROR(IFERROR(VLOOKUP(B1337&amp;I1337&amp;Q1337,'New Weekly Paste'!A:M,8,0),VLOOKUP(B1337&amp;I1337&amp;Q1337,'New Weekly Paste'!B:O,10,0)),0)</f>
        <v>125.14</v>
      </c>
      <c r="L1337" s="239">
        <f t="shared" si="25"/>
        <v>0</v>
      </c>
      <c r="M1337" s="36" t="str">
        <f t="shared" si="3"/>
        <v>Regular Season</v>
      </c>
      <c r="N1337" s="239" t="str">
        <f t="shared" si="26"/>
        <v>Riley</v>
      </c>
      <c r="O1337" s="6">
        <f>VLOOKUP(D1337,'Mapped Opponent'!$G$4:$H$22,2,0)</f>
        <v>9</v>
      </c>
      <c r="P1337" s="6"/>
      <c r="Q1337" s="6" t="str">
        <f t="shared" si="4"/>
        <v>Week 9</v>
      </c>
      <c r="R1337" s="6" t="str">
        <f t="shared" si="5"/>
        <v>2017Week 9</v>
      </c>
      <c r="S1337" s="6">
        <f>IFERROR(__xludf.DUMMYFUNCTION("rank(J1337,FILTER(J:J,R:R=R1337))"),7.0)</f>
        <v>7</v>
      </c>
      <c r="T1337" s="6">
        <f t="shared" si="6"/>
        <v>5</v>
      </c>
      <c r="U1337" s="6">
        <f t="shared" si="7"/>
        <v>7</v>
      </c>
      <c r="V1337" s="42">
        <f>averageif(AllData!A:A,B1337,AllData!R:R)/vlookup(B1337,AllData!A:O,15,0)</f>
        <v>90.17282051</v>
      </c>
      <c r="W1337" s="6"/>
    </row>
    <row r="1338" ht="14.25" customHeight="1">
      <c r="A1338" s="6" t="str">
        <f t="shared" si="1"/>
        <v>2017Riley9</v>
      </c>
      <c r="B1338" s="59">
        <v>2017.0</v>
      </c>
      <c r="C1338" s="13" t="s">
        <v>67</v>
      </c>
      <c r="D1338" s="13" t="s">
        <v>147</v>
      </c>
      <c r="E1338" s="34"/>
      <c r="F1338" s="6"/>
      <c r="H1338" s="6"/>
      <c r="I1338" s="35" t="str">
        <f>IFERROR(IFERROR(IFERROR(VLOOKUP(B1338&amp;C1338&amp;Q1338,'New Weekly Paste'!A:M,10,0),VLOOKUP(B1338&amp;C1338&amp;Q1338,'New Weekly Paste'!B:O,6,0)),""),"")</f>
        <v>Shep</v>
      </c>
      <c r="J1338" s="239">
        <f>IFERROR(IFERROR(VLOOKUP(B1338&amp;C1338&amp;Q1338,'New Weekly Paste'!A:M,8,0),VLOOKUP(B1338&amp;C1338&amp;Q1338,'New Weekly Paste'!B:O,10,0)),0)</f>
        <v>125.14</v>
      </c>
      <c r="K1338" s="239">
        <f>IFERROR(IFERROR(VLOOKUP(B1338&amp;I1338&amp;Q1338,'New Weekly Paste'!A:M,8,0),VLOOKUP(B1338&amp;I1338&amp;Q1338,'New Weekly Paste'!B:O,10,0)),0)</f>
        <v>83.68</v>
      </c>
      <c r="L1338" s="239">
        <f t="shared" si="25"/>
        <v>1</v>
      </c>
      <c r="M1338" s="36" t="str">
        <f t="shared" si="3"/>
        <v>Regular Season</v>
      </c>
      <c r="N1338" s="239" t="str">
        <f t="shared" si="26"/>
        <v>Shep</v>
      </c>
      <c r="O1338" s="6">
        <f>VLOOKUP(D1338,'Mapped Opponent'!$G$4:$H$22,2,0)</f>
        <v>9</v>
      </c>
      <c r="P1338" s="6"/>
      <c r="Q1338" s="6" t="str">
        <f t="shared" si="4"/>
        <v>Week 9</v>
      </c>
      <c r="R1338" s="6" t="str">
        <f t="shared" si="5"/>
        <v>2017Week 9</v>
      </c>
      <c r="S1338" s="6">
        <f>IFERROR(__xludf.DUMMYFUNCTION("rank(J1338,FILTER(J:J,R:R=R1338))"),1.0)</f>
        <v>1</v>
      </c>
      <c r="T1338" s="6">
        <f t="shared" si="6"/>
        <v>11</v>
      </c>
      <c r="U1338" s="6">
        <f t="shared" si="7"/>
        <v>1</v>
      </c>
      <c r="V1338" s="42">
        <f>averageif(AllData!A:A,B1338,AllData!R:R)/vlookup(B1338,AllData!A:O,15,0)</f>
        <v>90.17282051</v>
      </c>
      <c r="W1338" s="6"/>
    </row>
    <row r="1339" ht="14.25" customHeight="1">
      <c r="A1339" s="6" t="str">
        <f t="shared" si="1"/>
        <v>2017Rooney/Jackson9</v>
      </c>
      <c r="B1339" s="59">
        <v>2017.0</v>
      </c>
      <c r="C1339" s="13" t="s">
        <v>57</v>
      </c>
      <c r="D1339" s="13" t="s">
        <v>147</v>
      </c>
      <c r="E1339" s="34"/>
      <c r="F1339" s="6"/>
      <c r="H1339" s="6"/>
      <c r="I1339" s="35" t="str">
        <f>IFERROR(IFERROR(IFERROR(VLOOKUP(B1339&amp;C1339&amp;Q1339,'New Weekly Paste'!A:M,10,0),VLOOKUP(B1339&amp;C1339&amp;Q1339,'New Weekly Paste'!B:O,6,0)),""),"")</f>
        <v>Buser</v>
      </c>
      <c r="J1339" s="239">
        <f>IFERROR(IFERROR(VLOOKUP(B1339&amp;C1339&amp;Q1339,'New Weekly Paste'!A:M,8,0),VLOOKUP(B1339&amp;C1339&amp;Q1339,'New Weekly Paste'!B:O,10,0)),0)</f>
        <v>44.4</v>
      </c>
      <c r="K1339" s="239">
        <f>IFERROR(IFERROR(VLOOKUP(B1339&amp;I1339&amp;Q1339,'New Weekly Paste'!A:M,8,0),VLOOKUP(B1339&amp;I1339&amp;Q1339,'New Weekly Paste'!B:O,10,0)),0)</f>
        <v>77.56</v>
      </c>
      <c r="L1339" s="239">
        <f t="shared" si="25"/>
        <v>0</v>
      </c>
      <c r="M1339" s="36" t="str">
        <f t="shared" si="3"/>
        <v>Regular Season</v>
      </c>
      <c r="N1339" s="239" t="str">
        <f t="shared" si="26"/>
        <v>Buser</v>
      </c>
      <c r="O1339" s="6">
        <f>VLOOKUP(D1339,'Mapped Opponent'!$G$4:$H$22,2,0)</f>
        <v>9</v>
      </c>
      <c r="P1339" s="6"/>
      <c r="Q1339" s="6" t="str">
        <f t="shared" si="4"/>
        <v>Week 9</v>
      </c>
      <c r="R1339" s="6" t="str">
        <f t="shared" si="5"/>
        <v>2017Week 9</v>
      </c>
      <c r="S1339" s="6">
        <f>IFERROR(__xludf.DUMMYFUNCTION("rank(J1339,FILTER(J:J,R:R=R1339))"),12.0)</f>
        <v>12</v>
      </c>
      <c r="T1339" s="6">
        <f t="shared" si="6"/>
        <v>0</v>
      </c>
      <c r="U1339" s="6">
        <f t="shared" si="7"/>
        <v>12</v>
      </c>
      <c r="V1339" s="42">
        <f>averageif(AllData!A:A,B1339,AllData!R:R)/vlookup(B1339,AllData!A:O,15,0)</f>
        <v>90.17282051</v>
      </c>
      <c r="W1339" s="6"/>
    </row>
    <row r="1340" ht="14.25" customHeight="1">
      <c r="A1340" s="6" t="str">
        <f t="shared" si="1"/>
        <v>2017Buser9</v>
      </c>
      <c r="B1340" s="59">
        <v>2017.0</v>
      </c>
      <c r="C1340" s="13" t="s">
        <v>47</v>
      </c>
      <c r="D1340" s="13" t="s">
        <v>147</v>
      </c>
      <c r="E1340" s="34"/>
      <c r="F1340" s="6"/>
      <c r="H1340" s="6"/>
      <c r="I1340" s="35" t="str">
        <f>IFERROR(IFERROR(IFERROR(VLOOKUP(B1340&amp;C1340&amp;Q1340,'New Weekly Paste'!A:M,10,0),VLOOKUP(B1340&amp;C1340&amp;Q1340,'New Weekly Paste'!B:O,6,0)),""),"")</f>
        <v>Rooney/Jackson</v>
      </c>
      <c r="J1340" s="239">
        <f>IFERROR(IFERROR(VLOOKUP(B1340&amp;C1340&amp;Q1340,'New Weekly Paste'!A:M,8,0),VLOOKUP(B1340&amp;C1340&amp;Q1340,'New Weekly Paste'!B:O,10,0)),0)</f>
        <v>77.56</v>
      </c>
      <c r="K1340" s="239">
        <f>IFERROR(IFERROR(VLOOKUP(B1340&amp;I1340&amp;Q1340,'New Weekly Paste'!A:M,8,0),VLOOKUP(B1340&amp;I1340&amp;Q1340,'New Weekly Paste'!B:O,10,0)),0)</f>
        <v>44.4</v>
      </c>
      <c r="L1340" s="239">
        <f t="shared" si="25"/>
        <v>1</v>
      </c>
      <c r="M1340" s="36" t="str">
        <f t="shared" si="3"/>
        <v>Regular Season</v>
      </c>
      <c r="N1340" s="239" t="str">
        <f t="shared" si="26"/>
        <v>Rooney/Jackson</v>
      </c>
      <c r="O1340" s="6">
        <f>VLOOKUP(D1340,'Mapped Opponent'!$G$4:$H$22,2,0)</f>
        <v>9</v>
      </c>
      <c r="P1340" s="6"/>
      <c r="Q1340" s="6" t="str">
        <f t="shared" si="4"/>
        <v>Week 9</v>
      </c>
      <c r="R1340" s="6" t="str">
        <f t="shared" si="5"/>
        <v>2017Week 9</v>
      </c>
      <c r="S1340" s="6">
        <f>IFERROR(__xludf.DUMMYFUNCTION("rank(J1340,FILTER(J:J,R:R=R1340))"),9.0)</f>
        <v>9</v>
      </c>
      <c r="T1340" s="6">
        <f t="shared" si="6"/>
        <v>3</v>
      </c>
      <c r="U1340" s="6">
        <f t="shared" si="7"/>
        <v>9</v>
      </c>
      <c r="V1340" s="42">
        <f>averageif(AllData!A:A,B1340,AllData!R:R)/vlookup(B1340,AllData!A:O,15,0)</f>
        <v>90.17282051</v>
      </c>
      <c r="W1340" s="6"/>
    </row>
    <row r="1341" ht="14.25" customHeight="1">
      <c r="A1341" s="6" t="str">
        <f t="shared" si="1"/>
        <v>2017Pierson9</v>
      </c>
      <c r="B1341" s="59">
        <v>2017.0</v>
      </c>
      <c r="C1341" s="13" t="s">
        <v>92</v>
      </c>
      <c r="D1341" s="13" t="s">
        <v>147</v>
      </c>
      <c r="E1341" s="34"/>
      <c r="F1341" s="6"/>
      <c r="H1341" s="6"/>
      <c r="I1341" s="35" t="str">
        <f>IFERROR(IFERROR(IFERROR(VLOOKUP(B1341&amp;C1341&amp;Q1341,'New Weekly Paste'!A:M,10,0),VLOOKUP(B1341&amp;C1341&amp;Q1341,'New Weekly Paste'!B:O,6,0)),""),"")</f>
        <v>Hudspeath</v>
      </c>
      <c r="J1341" s="239">
        <f>IFERROR(IFERROR(VLOOKUP(B1341&amp;C1341&amp;Q1341,'New Weekly Paste'!A:M,8,0),VLOOKUP(B1341&amp;C1341&amp;Q1341,'New Weekly Paste'!B:O,10,0)),0)</f>
        <v>79.52</v>
      </c>
      <c r="K1341" s="239">
        <f>IFERROR(IFERROR(VLOOKUP(B1341&amp;I1341&amp;Q1341,'New Weekly Paste'!A:M,8,0),VLOOKUP(B1341&amp;I1341&amp;Q1341,'New Weekly Paste'!B:O,10,0)),0)</f>
        <v>88.2</v>
      </c>
      <c r="L1341" s="239">
        <f t="shared" si="25"/>
        <v>0</v>
      </c>
      <c r="M1341" s="36" t="str">
        <f t="shared" si="3"/>
        <v>Regular Season</v>
      </c>
      <c r="N1341" s="239" t="str">
        <f t="shared" si="26"/>
        <v>Hudspeath</v>
      </c>
      <c r="O1341" s="6">
        <f>VLOOKUP(D1341,'Mapped Opponent'!$G$4:$H$22,2,0)</f>
        <v>9</v>
      </c>
      <c r="P1341" s="6"/>
      <c r="Q1341" s="6" t="str">
        <f t="shared" si="4"/>
        <v>Week 9</v>
      </c>
      <c r="R1341" s="6" t="str">
        <f t="shared" si="5"/>
        <v>2017Week 9</v>
      </c>
      <c r="S1341" s="6">
        <f>IFERROR(__xludf.DUMMYFUNCTION("rank(J1341,FILTER(J:J,R:R=R1341))"),8.0)</f>
        <v>8</v>
      </c>
      <c r="T1341" s="6">
        <f t="shared" si="6"/>
        <v>4</v>
      </c>
      <c r="U1341" s="6">
        <f t="shared" si="7"/>
        <v>8</v>
      </c>
      <c r="V1341" s="42">
        <f>averageif(AllData!A:A,B1341,AllData!R:R)/vlookup(B1341,AllData!A:O,15,0)</f>
        <v>90.17282051</v>
      </c>
      <c r="W1341" s="6"/>
    </row>
    <row r="1342" ht="14.25" customHeight="1">
      <c r="A1342" s="6" t="str">
        <f t="shared" si="1"/>
        <v>2017Cock9</v>
      </c>
      <c r="B1342" s="59">
        <v>2017.0</v>
      </c>
      <c r="C1342" s="13" t="s">
        <v>72</v>
      </c>
      <c r="D1342" s="13" t="s">
        <v>147</v>
      </c>
      <c r="E1342" s="34"/>
      <c r="F1342" s="6"/>
      <c r="H1342" s="6"/>
      <c r="I1342" s="35" t="str">
        <f>IFERROR(IFERROR(IFERROR(VLOOKUP(B1342&amp;C1342&amp;Q1342,'New Weekly Paste'!A:M,10,0),VLOOKUP(B1342&amp;C1342&amp;Q1342,'New Weekly Paste'!B:O,6,0)),""),"")</f>
        <v>Tayski</v>
      </c>
      <c r="J1342" s="239">
        <f>IFERROR(IFERROR(VLOOKUP(B1342&amp;C1342&amp;Q1342,'New Weekly Paste'!A:M,8,0),VLOOKUP(B1342&amp;C1342&amp;Q1342,'New Weekly Paste'!B:O,10,0)),0)</f>
        <v>90.02</v>
      </c>
      <c r="K1342" s="239">
        <f>IFERROR(IFERROR(VLOOKUP(B1342&amp;I1342&amp;Q1342,'New Weekly Paste'!A:M,8,0),VLOOKUP(B1342&amp;I1342&amp;Q1342,'New Weekly Paste'!B:O,10,0)),0)</f>
        <v>113.02</v>
      </c>
      <c r="L1342" s="239">
        <f t="shared" si="25"/>
        <v>0</v>
      </c>
      <c r="M1342" s="36" t="str">
        <f t="shared" si="3"/>
        <v>Regular Season</v>
      </c>
      <c r="N1342" s="239" t="str">
        <f t="shared" si="26"/>
        <v>Tayski</v>
      </c>
      <c r="O1342" s="6">
        <f>VLOOKUP(D1342,'Mapped Opponent'!$G$4:$H$22,2,0)</f>
        <v>9</v>
      </c>
      <c r="P1342" s="6"/>
      <c r="Q1342" s="6" t="str">
        <f t="shared" si="4"/>
        <v>Week 9</v>
      </c>
      <c r="R1342" s="6" t="str">
        <f t="shared" si="5"/>
        <v>2017Week 9</v>
      </c>
      <c r="S1342" s="6">
        <f>IFERROR(__xludf.DUMMYFUNCTION("rank(J1342,FILTER(J:J,R:R=R1342))"),5.0)</f>
        <v>5</v>
      </c>
      <c r="T1342" s="6">
        <f t="shared" si="6"/>
        <v>7</v>
      </c>
      <c r="U1342" s="6">
        <f t="shared" si="7"/>
        <v>5</v>
      </c>
      <c r="V1342" s="42">
        <f>averageif(AllData!A:A,B1342,AllData!R:R)/vlookup(B1342,AllData!A:O,15,0)</f>
        <v>90.17282051</v>
      </c>
      <c r="W1342" s="6"/>
    </row>
    <row r="1343" ht="14.25" customHeight="1">
      <c r="A1343" s="6" t="str">
        <f t="shared" si="1"/>
        <v>2017Tayski9</v>
      </c>
      <c r="B1343" s="59">
        <v>2017.0</v>
      </c>
      <c r="C1343" s="13" t="s">
        <v>52</v>
      </c>
      <c r="D1343" s="13" t="s">
        <v>147</v>
      </c>
      <c r="E1343" s="34"/>
      <c r="F1343" s="6"/>
      <c r="H1343" s="6"/>
      <c r="I1343" s="35" t="str">
        <f>IFERROR(IFERROR(IFERROR(VLOOKUP(B1343&amp;C1343&amp;Q1343,'New Weekly Paste'!A:M,10,0),VLOOKUP(B1343&amp;C1343&amp;Q1343,'New Weekly Paste'!B:O,6,0)),""),"")</f>
        <v>Cock</v>
      </c>
      <c r="J1343" s="239">
        <f>IFERROR(IFERROR(VLOOKUP(B1343&amp;C1343&amp;Q1343,'New Weekly Paste'!A:M,8,0),VLOOKUP(B1343&amp;C1343&amp;Q1343,'New Weekly Paste'!B:O,10,0)),0)</f>
        <v>113.02</v>
      </c>
      <c r="K1343" s="239">
        <f>IFERROR(IFERROR(VLOOKUP(B1343&amp;I1343&amp;Q1343,'New Weekly Paste'!A:M,8,0),VLOOKUP(B1343&amp;I1343&amp;Q1343,'New Weekly Paste'!B:O,10,0)),0)</f>
        <v>90.02</v>
      </c>
      <c r="L1343" s="239">
        <f t="shared" si="25"/>
        <v>1</v>
      </c>
      <c r="M1343" s="36" t="str">
        <f t="shared" si="3"/>
        <v>Regular Season</v>
      </c>
      <c r="N1343" s="239" t="str">
        <f t="shared" si="26"/>
        <v>Cock</v>
      </c>
      <c r="O1343" s="6">
        <f>VLOOKUP(D1343,'Mapped Opponent'!$G$4:$H$22,2,0)</f>
        <v>9</v>
      </c>
      <c r="P1343" s="6"/>
      <c r="Q1343" s="6" t="str">
        <f t="shared" si="4"/>
        <v>Week 9</v>
      </c>
      <c r="R1343" s="6" t="str">
        <f t="shared" si="5"/>
        <v>2017Week 9</v>
      </c>
      <c r="S1343" s="6">
        <f>IFERROR(__xludf.DUMMYFUNCTION("rank(J1343,FILTER(J:J,R:R=R1343))"),2.0)</f>
        <v>2</v>
      </c>
      <c r="T1343" s="6">
        <f t="shared" si="6"/>
        <v>10</v>
      </c>
      <c r="U1343" s="6">
        <f t="shared" si="7"/>
        <v>2</v>
      </c>
      <c r="V1343" s="42">
        <f>averageif(AllData!A:A,B1343,AllData!R:R)/vlookup(B1343,AllData!A:O,15,0)</f>
        <v>90.17282051</v>
      </c>
      <c r="W1343" s="6"/>
    </row>
    <row r="1344" ht="14.25" customHeight="1">
      <c r="A1344" s="6" t="str">
        <f t="shared" si="1"/>
        <v>2017KnardDawg9</v>
      </c>
      <c r="B1344" s="59">
        <v>2017.0</v>
      </c>
      <c r="C1344" s="13" t="s">
        <v>86</v>
      </c>
      <c r="D1344" s="13" t="s">
        <v>147</v>
      </c>
      <c r="E1344" s="34"/>
      <c r="F1344" s="6"/>
      <c r="H1344" s="6"/>
      <c r="I1344" s="35" t="str">
        <f>IFERROR(IFERROR(IFERROR(VLOOKUP(B1344&amp;C1344&amp;Q1344,'New Weekly Paste'!A:M,10,0),VLOOKUP(B1344&amp;C1344&amp;Q1344,'New Weekly Paste'!B:O,6,0)),""),"")</f>
        <v>Fellows</v>
      </c>
      <c r="J1344" s="239">
        <f>IFERROR(IFERROR(VLOOKUP(B1344&amp;C1344&amp;Q1344,'New Weekly Paste'!A:M,8,0),VLOOKUP(B1344&amp;C1344&amp;Q1344,'New Weekly Paste'!B:O,10,0)),0)</f>
        <v>91.28</v>
      </c>
      <c r="K1344" s="239">
        <f>IFERROR(IFERROR(VLOOKUP(B1344&amp;I1344&amp;Q1344,'New Weekly Paste'!A:M,8,0),VLOOKUP(B1344&amp;I1344&amp;Q1344,'New Weekly Paste'!B:O,10,0)),0)</f>
        <v>72.18</v>
      </c>
      <c r="L1344" s="239">
        <f t="shared" si="25"/>
        <v>1</v>
      </c>
      <c r="M1344" s="36" t="str">
        <f t="shared" si="3"/>
        <v>Regular Season</v>
      </c>
      <c r="N1344" s="239" t="str">
        <f t="shared" si="26"/>
        <v>Fellows</v>
      </c>
      <c r="O1344" s="6">
        <f>VLOOKUP(D1344,'Mapped Opponent'!$G$4:$H$22,2,0)</f>
        <v>9</v>
      </c>
      <c r="P1344" s="6"/>
      <c r="Q1344" s="6" t="str">
        <f t="shared" si="4"/>
        <v>Week 9</v>
      </c>
      <c r="R1344" s="6" t="str">
        <f t="shared" si="5"/>
        <v>2017Week 9</v>
      </c>
      <c r="S1344" s="6">
        <f>IFERROR(__xludf.DUMMYFUNCTION("rank(J1344,FILTER(J:J,R:R=R1344))"),4.0)</f>
        <v>4</v>
      </c>
      <c r="T1344" s="6">
        <f t="shared" si="6"/>
        <v>8</v>
      </c>
      <c r="U1344" s="6">
        <f t="shared" si="7"/>
        <v>4</v>
      </c>
      <c r="V1344" s="42">
        <f>averageif(AllData!A:A,B1344,AllData!R:R)/vlookup(B1344,AllData!A:O,15,0)</f>
        <v>90.17282051</v>
      </c>
      <c r="W1344" s="6"/>
    </row>
    <row r="1345" ht="14.25" customHeight="1">
      <c r="A1345" s="6" t="str">
        <f t="shared" si="1"/>
        <v>2017T-How9</v>
      </c>
      <c r="B1345" s="59">
        <v>2017.0</v>
      </c>
      <c r="C1345" s="13" t="s">
        <v>82</v>
      </c>
      <c r="D1345" s="13" t="s">
        <v>147</v>
      </c>
      <c r="E1345" s="34"/>
      <c r="F1345" s="6"/>
      <c r="H1345" s="6"/>
      <c r="I1345" s="35" t="str">
        <f>IFERROR(IFERROR(IFERROR(VLOOKUP(B1345&amp;C1345&amp;Q1345,'New Weekly Paste'!A:M,10,0),VLOOKUP(B1345&amp;C1345&amp;Q1345,'New Weekly Paste'!B:O,6,0)),""),"")</f>
        <v>Salty</v>
      </c>
      <c r="J1345" s="239">
        <f>IFERROR(IFERROR(VLOOKUP(B1345&amp;C1345&amp;Q1345,'New Weekly Paste'!A:M,8,0),VLOOKUP(B1345&amp;C1345&amp;Q1345,'New Weekly Paste'!B:O,10,0)),0)</f>
        <v>69.78</v>
      </c>
      <c r="K1345" s="239">
        <f>IFERROR(IFERROR(VLOOKUP(B1345&amp;I1345&amp;Q1345,'New Weekly Paste'!A:M,8,0),VLOOKUP(B1345&amp;I1345&amp;Q1345,'New Weekly Paste'!B:O,10,0)),0)</f>
        <v>103.96</v>
      </c>
      <c r="L1345" s="239">
        <f t="shared" si="25"/>
        <v>0</v>
      </c>
      <c r="M1345" s="36" t="str">
        <f t="shared" si="3"/>
        <v>Regular Season</v>
      </c>
      <c r="N1345" s="239" t="str">
        <f t="shared" si="26"/>
        <v>Salty</v>
      </c>
      <c r="O1345" s="6">
        <f>VLOOKUP(D1345,'Mapped Opponent'!$G$4:$H$22,2,0)</f>
        <v>9</v>
      </c>
      <c r="P1345" s="6"/>
      <c r="Q1345" s="6" t="str">
        <f t="shared" si="4"/>
        <v>Week 9</v>
      </c>
      <c r="R1345" s="6" t="str">
        <f t="shared" si="5"/>
        <v>2017Week 9</v>
      </c>
      <c r="S1345" s="6">
        <f>IFERROR(__xludf.DUMMYFUNCTION("rank(J1345,FILTER(J:J,R:R=R1345))"),11.0)</f>
        <v>11</v>
      </c>
      <c r="T1345" s="6">
        <f t="shared" si="6"/>
        <v>1</v>
      </c>
      <c r="U1345" s="6">
        <f t="shared" si="7"/>
        <v>11</v>
      </c>
      <c r="V1345" s="42">
        <f>averageif(AllData!A:A,B1345,AllData!R:R)/vlookup(B1345,AllData!A:O,15,0)</f>
        <v>90.17282051</v>
      </c>
      <c r="W1345" s="6"/>
    </row>
    <row r="1346" ht="14.25" customHeight="1">
      <c r="A1346" s="6" t="str">
        <f t="shared" si="1"/>
        <v>2018Hudspeath15</v>
      </c>
      <c r="B1346" s="59">
        <v>2018.0</v>
      </c>
      <c r="C1346" s="13" t="s">
        <v>39</v>
      </c>
      <c r="D1346" s="13" t="s">
        <v>112</v>
      </c>
      <c r="E1346" s="34"/>
      <c r="F1346" s="6"/>
      <c r="H1346" s="6"/>
      <c r="I1346" s="35" t="str">
        <f>IFERROR(IFERROR(IFERROR(VLOOKUP(B1346&amp;C1346&amp;Q1346,'New Weekly Paste'!A:M,10,0),VLOOKUP(B1346&amp;C1346&amp;Q1346,'New Weekly Paste'!B:O,6,0)),""),"")</f>
        <v>Cock</v>
      </c>
      <c r="J1346" s="239">
        <f>IFERROR(IFERROR(VLOOKUP(B1346&amp;C1346&amp;Q1346,'New Weekly Paste'!A:M,8,0),VLOOKUP(B1346&amp;C1346&amp;Q1346,'New Weekly Paste'!B:O,10,0)),0)</f>
        <v>73.2</v>
      </c>
      <c r="K1346" s="239">
        <f>IFERROR(IFERROR(VLOOKUP(B1346&amp;I1346&amp;Q1346,'New Weekly Paste'!A:M,8,0),VLOOKUP(B1346&amp;I1346&amp;Q1346,'New Weekly Paste'!B:O,10,0)),0)</f>
        <v>101.7</v>
      </c>
      <c r="L1346" s="239">
        <f t="shared" si="25"/>
        <v>0</v>
      </c>
      <c r="M1346" s="36" t="str">
        <f t="shared" si="3"/>
        <v>Playoffs</v>
      </c>
      <c r="N1346" s="239" t="str">
        <f t="shared" si="26"/>
        <v>Cock</v>
      </c>
      <c r="O1346" s="6">
        <f>VLOOKUP(D1346,'Mapped Opponent'!$G$4:$H$22,2,0)</f>
        <v>15</v>
      </c>
      <c r="P1346" s="6"/>
      <c r="Q1346" s="6" t="str">
        <f t="shared" si="4"/>
        <v>Week 15</v>
      </c>
      <c r="R1346" s="6" t="str">
        <f t="shared" si="5"/>
        <v>2018Round 1</v>
      </c>
      <c r="S1346" s="6">
        <f>IFERROR(__xludf.DUMMYFUNCTION("rank(J1346,FILTER(J:J,R:R=R1346))"),8.0)</f>
        <v>8</v>
      </c>
      <c r="T1346" s="6">
        <f t="shared" si="6"/>
        <v>4</v>
      </c>
      <c r="U1346" s="6">
        <f t="shared" si="7"/>
        <v>8</v>
      </c>
      <c r="V1346" s="42">
        <f>averageif(AllData!A:A,B1346,AllData!R:R)/vlookup(B1346,AllData!A:O,15,0)</f>
        <v>99.39987179</v>
      </c>
      <c r="W1346" s="6"/>
    </row>
    <row r="1347" ht="14.25" customHeight="1">
      <c r="A1347" s="6" t="str">
        <f t="shared" si="1"/>
        <v>2018Salty15</v>
      </c>
      <c r="B1347" s="59">
        <v>2018.0</v>
      </c>
      <c r="C1347" s="13" t="s">
        <v>76</v>
      </c>
      <c r="D1347" s="13" t="s">
        <v>112</v>
      </c>
      <c r="E1347" s="34"/>
      <c r="F1347" s="6"/>
      <c r="H1347" s="6"/>
      <c r="I1347" s="35" t="str">
        <f>IFERROR(IFERROR(IFERROR(VLOOKUP(B1347&amp;C1347&amp;Q1347,'New Weekly Paste'!A:M,10,0),VLOOKUP(B1347&amp;C1347&amp;Q1347,'New Weekly Paste'!B:O,6,0)),""),"")</f>
        <v>Riley</v>
      </c>
      <c r="J1347" s="239">
        <f>IFERROR(IFERROR(VLOOKUP(B1347&amp;C1347&amp;Q1347,'New Weekly Paste'!A:M,8,0),VLOOKUP(B1347&amp;C1347&amp;Q1347,'New Weekly Paste'!B:O,10,0)),0)</f>
        <v>107.86</v>
      </c>
      <c r="K1347" s="239">
        <f>IFERROR(IFERROR(VLOOKUP(B1347&amp;I1347&amp;Q1347,'New Weekly Paste'!A:M,8,0),VLOOKUP(B1347&amp;I1347&amp;Q1347,'New Weekly Paste'!B:O,10,0)),0)</f>
        <v>63.46</v>
      </c>
      <c r="L1347" s="239">
        <f t="shared" si="25"/>
        <v>1</v>
      </c>
      <c r="M1347" s="36" t="str">
        <f t="shared" si="3"/>
        <v>Playoffs</v>
      </c>
      <c r="N1347" s="239" t="str">
        <f t="shared" si="26"/>
        <v>Riley</v>
      </c>
      <c r="O1347" s="6">
        <f>VLOOKUP(D1347,'Mapped Opponent'!$G$4:$H$22,2,0)</f>
        <v>15</v>
      </c>
      <c r="P1347" s="6"/>
      <c r="Q1347" s="6" t="str">
        <f t="shared" si="4"/>
        <v>Week 15</v>
      </c>
      <c r="R1347" s="6" t="str">
        <f t="shared" si="5"/>
        <v>2018Round 1</v>
      </c>
      <c r="S1347" s="6">
        <f>IFERROR(__xludf.DUMMYFUNCTION("rank(J1347,FILTER(J:J,R:R=R1347))"),1.0)</f>
        <v>1</v>
      </c>
      <c r="T1347" s="6">
        <f t="shared" si="6"/>
        <v>11</v>
      </c>
      <c r="U1347" s="6">
        <f t="shared" si="7"/>
        <v>1</v>
      </c>
      <c r="V1347" s="42">
        <f>averageif(AllData!A:A,B1347,AllData!R:R)/vlookup(B1347,AllData!A:O,15,0)</f>
        <v>99.39987179</v>
      </c>
      <c r="W1347" s="6"/>
    </row>
    <row r="1348" ht="14.25" customHeight="1">
      <c r="A1348" s="6" t="str">
        <f t="shared" si="1"/>
        <v>2018Fellows15</v>
      </c>
      <c r="B1348" s="59">
        <v>2018.0</v>
      </c>
      <c r="C1348" s="13" t="s">
        <v>79</v>
      </c>
      <c r="D1348" s="13" t="s">
        <v>112</v>
      </c>
      <c r="E1348" s="34"/>
      <c r="F1348" s="6"/>
      <c r="H1348" s="6"/>
      <c r="I1348" s="35" t="str">
        <f>IFERROR(IFERROR(IFERROR(VLOOKUP(B1348&amp;C1348&amp;Q1348,'New Weekly Paste'!A:M,10,0),VLOOKUP(B1348&amp;C1348&amp;Q1348,'New Weekly Paste'!B:O,6,0)),""),"")</f>
        <v>KnardDawg</v>
      </c>
      <c r="J1348" s="239">
        <f>IFERROR(IFERROR(VLOOKUP(B1348&amp;C1348&amp;Q1348,'New Weekly Paste'!A:M,8,0),VLOOKUP(B1348&amp;C1348&amp;Q1348,'New Weekly Paste'!B:O,10,0)),0)</f>
        <v>101.08</v>
      </c>
      <c r="K1348" s="239">
        <f>IFERROR(IFERROR(VLOOKUP(B1348&amp;I1348&amp;Q1348,'New Weekly Paste'!A:M,8,0),VLOOKUP(B1348&amp;I1348&amp;Q1348,'New Weekly Paste'!B:O,10,0)),0)</f>
        <v>69.72</v>
      </c>
      <c r="L1348" s="239">
        <f t="shared" si="25"/>
        <v>1</v>
      </c>
      <c r="M1348" s="36" t="str">
        <f t="shared" si="3"/>
        <v>Playoffs</v>
      </c>
      <c r="N1348" s="239" t="str">
        <f t="shared" si="26"/>
        <v>KnardDawg</v>
      </c>
      <c r="O1348" s="6">
        <f>VLOOKUP(D1348,'Mapped Opponent'!$G$4:$H$22,2,0)</f>
        <v>15</v>
      </c>
      <c r="P1348" s="6"/>
      <c r="Q1348" s="6" t="str">
        <f t="shared" si="4"/>
        <v>Week 15</v>
      </c>
      <c r="R1348" s="6" t="str">
        <f t="shared" si="5"/>
        <v>2018Round 1</v>
      </c>
      <c r="S1348" s="6">
        <f>IFERROR(__xludf.DUMMYFUNCTION("rank(J1348,FILTER(J:J,R:R=R1348))"),3.0)</f>
        <v>3</v>
      </c>
      <c r="T1348" s="6">
        <f t="shared" si="6"/>
        <v>9</v>
      </c>
      <c r="U1348" s="6">
        <f t="shared" si="7"/>
        <v>3</v>
      </c>
      <c r="V1348" s="42">
        <f>averageif(AllData!A:A,B1348,AllData!R:R)/vlookup(B1348,AllData!A:O,15,0)</f>
        <v>99.39987179</v>
      </c>
      <c r="W1348" s="6"/>
    </row>
    <row r="1349" ht="14.25" customHeight="1">
      <c r="A1349" s="6" t="str">
        <f t="shared" si="1"/>
        <v>2018Shep15</v>
      </c>
      <c r="B1349" s="59">
        <v>2018.0</v>
      </c>
      <c r="C1349" s="13" t="s">
        <v>89</v>
      </c>
      <c r="D1349" s="13" t="s">
        <v>112</v>
      </c>
      <c r="E1349" s="34"/>
      <c r="F1349" s="6"/>
      <c r="H1349" s="6"/>
      <c r="I1349" s="35" t="str">
        <f>IFERROR(IFERROR(IFERROR(VLOOKUP(B1349&amp;C1349&amp;Q1349,'New Weekly Paste'!A:M,10,0),VLOOKUP(B1349&amp;C1349&amp;Q1349,'New Weekly Paste'!B:O,6,0)),""),"")</f>
        <v>T-How</v>
      </c>
      <c r="J1349" s="239">
        <f>IFERROR(IFERROR(VLOOKUP(B1349&amp;C1349&amp;Q1349,'New Weekly Paste'!A:M,8,0),VLOOKUP(B1349&amp;C1349&amp;Q1349,'New Weekly Paste'!B:O,10,0)),0)</f>
        <v>90.72</v>
      </c>
      <c r="K1349" s="239">
        <f>IFERROR(IFERROR(VLOOKUP(B1349&amp;I1349&amp;Q1349,'New Weekly Paste'!A:M,8,0),VLOOKUP(B1349&amp;I1349&amp;Q1349,'New Weekly Paste'!B:O,10,0)),0)</f>
        <v>50.06</v>
      </c>
      <c r="L1349" s="239">
        <f t="shared" si="25"/>
        <v>1</v>
      </c>
      <c r="M1349" s="36" t="str">
        <f t="shared" si="3"/>
        <v>Playoffs</v>
      </c>
      <c r="N1349" s="239" t="str">
        <f t="shared" si="26"/>
        <v>T-How</v>
      </c>
      <c r="O1349" s="6">
        <f>VLOOKUP(D1349,'Mapped Opponent'!$G$4:$H$22,2,0)</f>
        <v>15</v>
      </c>
      <c r="P1349" s="6"/>
      <c r="Q1349" s="6" t="str">
        <f t="shared" si="4"/>
        <v>Week 15</v>
      </c>
      <c r="R1349" s="6" t="str">
        <f t="shared" si="5"/>
        <v>2018Round 1</v>
      </c>
      <c r="S1349" s="6">
        <f>IFERROR(__xludf.DUMMYFUNCTION("rank(J1349,FILTER(J:J,R:R=R1349))"),6.0)</f>
        <v>6</v>
      </c>
      <c r="T1349" s="6">
        <f t="shared" si="6"/>
        <v>6</v>
      </c>
      <c r="U1349" s="6">
        <f t="shared" si="7"/>
        <v>6</v>
      </c>
      <c r="V1349" s="42">
        <f>averageif(AllData!A:A,B1349,AllData!R:R)/vlookup(B1349,AllData!A:O,15,0)</f>
        <v>99.39987179</v>
      </c>
      <c r="W1349" s="6"/>
    </row>
    <row r="1350" ht="14.25" customHeight="1">
      <c r="A1350" s="6" t="str">
        <f t="shared" si="1"/>
        <v>2018Riley15</v>
      </c>
      <c r="B1350" s="59">
        <v>2018.0</v>
      </c>
      <c r="C1350" s="13" t="s">
        <v>67</v>
      </c>
      <c r="D1350" s="13" t="s">
        <v>112</v>
      </c>
      <c r="E1350" s="34"/>
      <c r="F1350" s="6"/>
      <c r="H1350" s="6"/>
      <c r="I1350" s="35" t="str">
        <f>IFERROR(IFERROR(IFERROR(VLOOKUP(B1350&amp;C1350&amp;Q1350,'New Weekly Paste'!A:M,10,0),VLOOKUP(B1350&amp;C1350&amp;Q1350,'New Weekly Paste'!B:O,6,0)),""),"")</f>
        <v>Salty</v>
      </c>
      <c r="J1350" s="239">
        <f>IFERROR(IFERROR(VLOOKUP(B1350&amp;C1350&amp;Q1350,'New Weekly Paste'!A:M,8,0),VLOOKUP(B1350&amp;C1350&amp;Q1350,'New Weekly Paste'!B:O,10,0)),0)</f>
        <v>63.46</v>
      </c>
      <c r="K1350" s="239">
        <f>IFERROR(IFERROR(VLOOKUP(B1350&amp;I1350&amp;Q1350,'New Weekly Paste'!A:M,8,0),VLOOKUP(B1350&amp;I1350&amp;Q1350,'New Weekly Paste'!B:O,10,0)),0)</f>
        <v>107.86</v>
      </c>
      <c r="L1350" s="239">
        <f t="shared" si="25"/>
        <v>0</v>
      </c>
      <c r="M1350" s="36" t="str">
        <f t="shared" si="3"/>
        <v>Playoffs</v>
      </c>
      <c r="N1350" s="239" t="str">
        <f t="shared" si="26"/>
        <v>Salty</v>
      </c>
      <c r="O1350" s="6">
        <f>VLOOKUP(D1350,'Mapped Opponent'!$G$4:$H$22,2,0)</f>
        <v>15</v>
      </c>
      <c r="P1350" s="6"/>
      <c r="Q1350" s="6" t="str">
        <f t="shared" si="4"/>
        <v>Week 15</v>
      </c>
      <c r="R1350" s="6" t="str">
        <f t="shared" si="5"/>
        <v>2018Round 1</v>
      </c>
      <c r="S1350" s="6">
        <f>IFERROR(__xludf.DUMMYFUNCTION("rank(J1350,FILTER(J:J,R:R=R1350))"),10.0)</f>
        <v>10</v>
      </c>
      <c r="T1350" s="6">
        <f t="shared" si="6"/>
        <v>2</v>
      </c>
      <c r="U1350" s="6">
        <f t="shared" si="7"/>
        <v>10</v>
      </c>
      <c r="V1350" s="42">
        <f>averageif(AllData!A:A,B1350,AllData!R:R)/vlookup(B1350,AllData!A:O,15,0)</f>
        <v>99.39987179</v>
      </c>
      <c r="W1350" s="6"/>
    </row>
    <row r="1351" ht="14.25" customHeight="1">
      <c r="A1351" s="6" t="str">
        <f t="shared" si="1"/>
        <v>2018Rooney/Jackson15</v>
      </c>
      <c r="B1351" s="59">
        <v>2018.0</v>
      </c>
      <c r="C1351" s="13" t="s">
        <v>57</v>
      </c>
      <c r="D1351" s="13" t="s">
        <v>112</v>
      </c>
      <c r="E1351" s="34"/>
      <c r="F1351" s="6"/>
      <c r="H1351" s="6"/>
      <c r="I1351" s="35" t="str">
        <f>IFERROR(IFERROR(IFERROR(VLOOKUP(B1351&amp;C1351&amp;Q1351,'New Weekly Paste'!A:M,10,0),VLOOKUP(B1351&amp;C1351&amp;Q1351,'New Weekly Paste'!B:O,6,0)),""),"")</f>
        <v>Pierson</v>
      </c>
      <c r="J1351" s="239">
        <f>IFERROR(IFERROR(VLOOKUP(B1351&amp;C1351&amp;Q1351,'New Weekly Paste'!A:M,8,0),VLOOKUP(B1351&amp;C1351&amp;Q1351,'New Weekly Paste'!B:O,10,0)),0)</f>
        <v>100.76</v>
      </c>
      <c r="K1351" s="239">
        <f>IFERROR(IFERROR(VLOOKUP(B1351&amp;I1351&amp;Q1351,'New Weekly Paste'!A:M,8,0),VLOOKUP(B1351&amp;I1351&amp;Q1351,'New Weekly Paste'!B:O,10,0)),0)</f>
        <v>98.82</v>
      </c>
      <c r="L1351" s="239">
        <f t="shared" si="25"/>
        <v>1</v>
      </c>
      <c r="M1351" s="36" t="str">
        <f t="shared" si="3"/>
        <v>Playoffs</v>
      </c>
      <c r="N1351" s="239" t="str">
        <f t="shared" si="26"/>
        <v>Pierson</v>
      </c>
      <c r="O1351" s="6">
        <f>VLOOKUP(D1351,'Mapped Opponent'!$G$4:$H$22,2,0)</f>
        <v>15</v>
      </c>
      <c r="P1351" s="6"/>
      <c r="Q1351" s="6" t="str">
        <f t="shared" si="4"/>
        <v>Week 15</v>
      </c>
      <c r="R1351" s="6" t="str">
        <f t="shared" si="5"/>
        <v>2018Round 1</v>
      </c>
      <c r="S1351" s="6">
        <f>IFERROR(__xludf.DUMMYFUNCTION("rank(J1351,FILTER(J:J,R:R=R1351))"),4.0)</f>
        <v>4</v>
      </c>
      <c r="T1351" s="6">
        <f t="shared" si="6"/>
        <v>8</v>
      </c>
      <c r="U1351" s="6">
        <f t="shared" si="7"/>
        <v>4</v>
      </c>
      <c r="V1351" s="42">
        <f>averageif(AllData!A:A,B1351,AllData!R:R)/vlookup(B1351,AllData!A:O,15,0)</f>
        <v>99.39987179</v>
      </c>
      <c r="W1351" s="6"/>
    </row>
    <row r="1352" ht="14.25" customHeight="1">
      <c r="A1352" s="6" t="str">
        <f t="shared" si="1"/>
        <v>2018Buser15</v>
      </c>
      <c r="B1352" s="59">
        <v>2018.0</v>
      </c>
      <c r="C1352" s="13" t="s">
        <v>47</v>
      </c>
      <c r="D1352" s="13" t="s">
        <v>112</v>
      </c>
      <c r="E1352" s="34"/>
      <c r="F1352" s="6"/>
      <c r="H1352" s="6"/>
      <c r="I1352" s="35" t="str">
        <f>IFERROR(IFERROR(IFERROR(VLOOKUP(B1352&amp;C1352&amp;Q1352,'New Weekly Paste'!A:M,10,0),VLOOKUP(B1352&amp;C1352&amp;Q1352,'New Weekly Paste'!B:O,6,0)),""),"")</f>
        <v>Tayski</v>
      </c>
      <c r="J1352" s="239">
        <f>IFERROR(IFERROR(VLOOKUP(B1352&amp;C1352&amp;Q1352,'New Weekly Paste'!A:M,8,0),VLOOKUP(B1352&amp;C1352&amp;Q1352,'New Weekly Paste'!B:O,10,0)),0)</f>
        <v>52.44</v>
      </c>
      <c r="K1352" s="239">
        <f>IFERROR(IFERROR(VLOOKUP(B1352&amp;I1352&amp;Q1352,'New Weekly Paste'!A:M,8,0),VLOOKUP(B1352&amp;I1352&amp;Q1352,'New Weekly Paste'!B:O,10,0)),0)</f>
        <v>78.68</v>
      </c>
      <c r="L1352" s="239">
        <f t="shared" si="25"/>
        <v>0</v>
      </c>
      <c r="M1352" s="36" t="str">
        <f t="shared" si="3"/>
        <v>Playoffs</v>
      </c>
      <c r="N1352" s="239" t="str">
        <f t="shared" si="26"/>
        <v>Tayski</v>
      </c>
      <c r="O1352" s="6">
        <f>VLOOKUP(D1352,'Mapped Opponent'!$G$4:$H$22,2,0)</f>
        <v>15</v>
      </c>
      <c r="P1352" s="6"/>
      <c r="Q1352" s="6" t="str">
        <f t="shared" si="4"/>
        <v>Week 15</v>
      </c>
      <c r="R1352" s="6" t="str">
        <f t="shared" si="5"/>
        <v>2018Round 1</v>
      </c>
      <c r="S1352" s="6">
        <f>IFERROR(__xludf.DUMMYFUNCTION("rank(J1352,FILTER(J:J,R:R=R1352))"),11.0)</f>
        <v>11</v>
      </c>
      <c r="T1352" s="6">
        <f t="shared" si="6"/>
        <v>1</v>
      </c>
      <c r="U1352" s="6">
        <f t="shared" si="7"/>
        <v>11</v>
      </c>
      <c r="V1352" s="42">
        <f>averageif(AllData!A:A,B1352,AllData!R:R)/vlookup(B1352,AllData!A:O,15,0)</f>
        <v>99.39987179</v>
      </c>
      <c r="W1352" s="6"/>
    </row>
    <row r="1353" ht="14.25" customHeight="1">
      <c r="A1353" s="6" t="str">
        <f t="shared" si="1"/>
        <v>2018Pierson15</v>
      </c>
      <c r="B1353" s="59">
        <v>2018.0</v>
      </c>
      <c r="C1353" s="13" t="s">
        <v>92</v>
      </c>
      <c r="D1353" s="13" t="s">
        <v>112</v>
      </c>
      <c r="E1353" s="34"/>
      <c r="F1353" s="6"/>
      <c r="H1353" s="6"/>
      <c r="I1353" s="35" t="str">
        <f>IFERROR(IFERROR(IFERROR(VLOOKUP(B1353&amp;C1353&amp;Q1353,'New Weekly Paste'!A:M,10,0),VLOOKUP(B1353&amp;C1353&amp;Q1353,'New Weekly Paste'!B:O,6,0)),""),"")</f>
        <v>Rooney/Jackson</v>
      </c>
      <c r="J1353" s="239">
        <f>IFERROR(IFERROR(VLOOKUP(B1353&amp;C1353&amp;Q1353,'New Weekly Paste'!A:M,8,0),VLOOKUP(B1353&amp;C1353&amp;Q1353,'New Weekly Paste'!B:O,10,0)),0)</f>
        <v>98.82</v>
      </c>
      <c r="K1353" s="239">
        <f>IFERROR(IFERROR(VLOOKUP(B1353&amp;I1353&amp;Q1353,'New Weekly Paste'!A:M,8,0),VLOOKUP(B1353&amp;I1353&amp;Q1353,'New Weekly Paste'!B:O,10,0)),0)</f>
        <v>100.76</v>
      </c>
      <c r="L1353" s="239">
        <f t="shared" si="25"/>
        <v>0</v>
      </c>
      <c r="M1353" s="36" t="str">
        <f t="shared" si="3"/>
        <v>Playoffs</v>
      </c>
      <c r="N1353" s="239" t="str">
        <f t="shared" si="26"/>
        <v>Rooney/Jackson</v>
      </c>
      <c r="O1353" s="6">
        <f>VLOOKUP(D1353,'Mapped Opponent'!$G$4:$H$22,2,0)</f>
        <v>15</v>
      </c>
      <c r="P1353" s="6"/>
      <c r="Q1353" s="6" t="str">
        <f t="shared" si="4"/>
        <v>Week 15</v>
      </c>
      <c r="R1353" s="6" t="str">
        <f t="shared" si="5"/>
        <v>2018Round 1</v>
      </c>
      <c r="S1353" s="6">
        <f>IFERROR(__xludf.DUMMYFUNCTION("rank(J1353,FILTER(J:J,R:R=R1353))"),5.0)</f>
        <v>5</v>
      </c>
      <c r="T1353" s="6">
        <f t="shared" si="6"/>
        <v>7</v>
      </c>
      <c r="U1353" s="6">
        <f t="shared" si="7"/>
        <v>5</v>
      </c>
      <c r="V1353" s="42">
        <f>averageif(AllData!A:A,B1353,AllData!R:R)/vlookup(B1353,AllData!A:O,15,0)</f>
        <v>99.39987179</v>
      </c>
      <c r="W1353" s="6"/>
    </row>
    <row r="1354" ht="14.25" customHeight="1">
      <c r="A1354" s="6" t="str">
        <f t="shared" si="1"/>
        <v>2018Cock15</v>
      </c>
      <c r="B1354" s="59">
        <v>2018.0</v>
      </c>
      <c r="C1354" s="13" t="s">
        <v>72</v>
      </c>
      <c r="D1354" s="13" t="s">
        <v>112</v>
      </c>
      <c r="E1354" s="34"/>
      <c r="F1354" s="6"/>
      <c r="H1354" s="6"/>
      <c r="I1354" s="35" t="str">
        <f>IFERROR(IFERROR(IFERROR(VLOOKUP(B1354&amp;C1354&amp;Q1354,'New Weekly Paste'!A:M,10,0),VLOOKUP(B1354&amp;C1354&amp;Q1354,'New Weekly Paste'!B:O,6,0)),""),"")</f>
        <v>Hudspeath</v>
      </c>
      <c r="J1354" s="239">
        <f>IFERROR(IFERROR(VLOOKUP(B1354&amp;C1354&amp;Q1354,'New Weekly Paste'!A:M,8,0),VLOOKUP(B1354&amp;C1354&amp;Q1354,'New Weekly Paste'!B:O,10,0)),0)</f>
        <v>101.7</v>
      </c>
      <c r="K1354" s="239">
        <f>IFERROR(IFERROR(VLOOKUP(B1354&amp;I1354&amp;Q1354,'New Weekly Paste'!A:M,8,0),VLOOKUP(B1354&amp;I1354&amp;Q1354,'New Weekly Paste'!B:O,10,0)),0)</f>
        <v>73.2</v>
      </c>
      <c r="L1354" s="239">
        <f t="shared" si="25"/>
        <v>1</v>
      </c>
      <c r="M1354" s="36" t="str">
        <f t="shared" si="3"/>
        <v>Playoffs</v>
      </c>
      <c r="N1354" s="239" t="str">
        <f t="shared" si="26"/>
        <v>Hudspeath</v>
      </c>
      <c r="O1354" s="6">
        <f>VLOOKUP(D1354,'Mapped Opponent'!$G$4:$H$22,2,0)</f>
        <v>15</v>
      </c>
      <c r="P1354" s="6"/>
      <c r="Q1354" s="6" t="str">
        <f t="shared" si="4"/>
        <v>Week 15</v>
      </c>
      <c r="R1354" s="6" t="str">
        <f t="shared" si="5"/>
        <v>2018Round 1</v>
      </c>
      <c r="S1354" s="6">
        <f>IFERROR(__xludf.DUMMYFUNCTION("rank(J1354,FILTER(J:J,R:R=R1354))"),2.0)</f>
        <v>2</v>
      </c>
      <c r="T1354" s="6">
        <f t="shared" si="6"/>
        <v>10</v>
      </c>
      <c r="U1354" s="6">
        <f t="shared" si="7"/>
        <v>2</v>
      </c>
      <c r="V1354" s="42">
        <f>averageif(AllData!A:A,B1354,AllData!R:R)/vlookup(B1354,AllData!A:O,15,0)</f>
        <v>99.39987179</v>
      </c>
      <c r="W1354" s="6"/>
    </row>
    <row r="1355" ht="14.25" customHeight="1">
      <c r="A1355" s="6" t="str">
        <f t="shared" si="1"/>
        <v>2018Tayski15</v>
      </c>
      <c r="B1355" s="59">
        <v>2018.0</v>
      </c>
      <c r="C1355" s="13" t="s">
        <v>52</v>
      </c>
      <c r="D1355" s="13" t="s">
        <v>112</v>
      </c>
      <c r="E1355" s="34"/>
      <c r="F1355" s="6"/>
      <c r="H1355" s="6"/>
      <c r="I1355" s="35" t="str">
        <f>IFERROR(IFERROR(IFERROR(VLOOKUP(B1355&amp;C1355&amp;Q1355,'New Weekly Paste'!A:M,10,0),VLOOKUP(B1355&amp;C1355&amp;Q1355,'New Weekly Paste'!B:O,6,0)),""),"")</f>
        <v>Buser</v>
      </c>
      <c r="J1355" s="239">
        <f>IFERROR(IFERROR(VLOOKUP(B1355&amp;C1355&amp;Q1355,'New Weekly Paste'!A:M,8,0),VLOOKUP(B1355&amp;C1355&amp;Q1355,'New Weekly Paste'!B:O,10,0)),0)</f>
        <v>78.68</v>
      </c>
      <c r="K1355" s="239">
        <f>IFERROR(IFERROR(VLOOKUP(B1355&amp;I1355&amp;Q1355,'New Weekly Paste'!A:M,8,0),VLOOKUP(B1355&amp;I1355&amp;Q1355,'New Weekly Paste'!B:O,10,0)),0)</f>
        <v>52.44</v>
      </c>
      <c r="L1355" s="239">
        <f t="shared" si="25"/>
        <v>1</v>
      </c>
      <c r="M1355" s="36" t="str">
        <f t="shared" si="3"/>
        <v>Playoffs</v>
      </c>
      <c r="N1355" s="239" t="str">
        <f t="shared" si="26"/>
        <v>Buser</v>
      </c>
      <c r="O1355" s="6">
        <f>VLOOKUP(D1355,'Mapped Opponent'!$G$4:$H$22,2,0)</f>
        <v>15</v>
      </c>
      <c r="P1355" s="6"/>
      <c r="Q1355" s="6" t="str">
        <f t="shared" si="4"/>
        <v>Week 15</v>
      </c>
      <c r="R1355" s="6" t="str">
        <f t="shared" si="5"/>
        <v>2018Round 1</v>
      </c>
      <c r="S1355" s="6">
        <f>IFERROR(__xludf.DUMMYFUNCTION("rank(J1355,FILTER(J:J,R:R=R1355))"),7.0)</f>
        <v>7</v>
      </c>
      <c r="T1355" s="6">
        <f t="shared" si="6"/>
        <v>5</v>
      </c>
      <c r="U1355" s="6">
        <f t="shared" si="7"/>
        <v>7</v>
      </c>
      <c r="V1355" s="42">
        <f>averageif(AllData!A:A,B1355,AllData!R:R)/vlookup(B1355,AllData!A:O,15,0)</f>
        <v>99.39987179</v>
      </c>
      <c r="W1355" s="6"/>
    </row>
    <row r="1356" ht="14.25" customHeight="1">
      <c r="A1356" s="6" t="str">
        <f t="shared" si="1"/>
        <v>2018KnardDawg15</v>
      </c>
      <c r="B1356" s="59">
        <v>2018.0</v>
      </c>
      <c r="C1356" s="13" t="s">
        <v>86</v>
      </c>
      <c r="D1356" s="13" t="s">
        <v>112</v>
      </c>
      <c r="E1356" s="34"/>
      <c r="F1356" s="6"/>
      <c r="H1356" s="6"/>
      <c r="I1356" s="35" t="str">
        <f>IFERROR(IFERROR(IFERROR(VLOOKUP(B1356&amp;C1356&amp;Q1356,'New Weekly Paste'!A:M,10,0),VLOOKUP(B1356&amp;C1356&amp;Q1356,'New Weekly Paste'!B:O,6,0)),""),"")</f>
        <v>Fellows</v>
      </c>
      <c r="J1356" s="239">
        <f>IFERROR(IFERROR(VLOOKUP(B1356&amp;C1356&amp;Q1356,'New Weekly Paste'!A:M,8,0),VLOOKUP(B1356&amp;C1356&amp;Q1356,'New Weekly Paste'!B:O,10,0)),0)</f>
        <v>69.72</v>
      </c>
      <c r="K1356" s="239">
        <f>IFERROR(IFERROR(VLOOKUP(B1356&amp;I1356&amp;Q1356,'New Weekly Paste'!A:M,8,0),VLOOKUP(B1356&amp;I1356&amp;Q1356,'New Weekly Paste'!B:O,10,0)),0)</f>
        <v>101.08</v>
      </c>
      <c r="L1356" s="239">
        <f t="shared" si="25"/>
        <v>0</v>
      </c>
      <c r="M1356" s="36" t="str">
        <f t="shared" si="3"/>
        <v>Playoffs</v>
      </c>
      <c r="N1356" s="239" t="str">
        <f t="shared" si="26"/>
        <v>Fellows</v>
      </c>
      <c r="O1356" s="6">
        <f>VLOOKUP(D1356,'Mapped Opponent'!$G$4:$H$22,2,0)</f>
        <v>15</v>
      </c>
      <c r="P1356" s="6"/>
      <c r="Q1356" s="6" t="str">
        <f t="shared" si="4"/>
        <v>Week 15</v>
      </c>
      <c r="R1356" s="6" t="str">
        <f t="shared" si="5"/>
        <v>2018Round 1</v>
      </c>
      <c r="S1356" s="6">
        <f>IFERROR(__xludf.DUMMYFUNCTION("rank(J1356,FILTER(J:J,R:R=R1356))"),9.0)</f>
        <v>9</v>
      </c>
      <c r="T1356" s="6">
        <f t="shared" si="6"/>
        <v>3</v>
      </c>
      <c r="U1356" s="6">
        <f t="shared" si="7"/>
        <v>9</v>
      </c>
      <c r="V1356" s="42">
        <f>averageif(AllData!A:A,B1356,AllData!R:R)/vlookup(B1356,AllData!A:O,15,0)</f>
        <v>99.39987179</v>
      </c>
      <c r="W1356" s="6"/>
    </row>
    <row r="1357" ht="14.25" customHeight="1">
      <c r="A1357" s="6" t="str">
        <f t="shared" si="1"/>
        <v>2018T-How15</v>
      </c>
      <c r="B1357" s="59">
        <v>2018.0</v>
      </c>
      <c r="C1357" s="13" t="s">
        <v>82</v>
      </c>
      <c r="D1357" s="13" t="s">
        <v>112</v>
      </c>
      <c r="E1357" s="34"/>
      <c r="F1357" s="6"/>
      <c r="H1357" s="6"/>
      <c r="I1357" s="35" t="str">
        <f>IFERROR(IFERROR(IFERROR(VLOOKUP(B1357&amp;C1357&amp;Q1357,'New Weekly Paste'!A:M,10,0),VLOOKUP(B1357&amp;C1357&amp;Q1357,'New Weekly Paste'!B:O,6,0)),""),"")</f>
        <v>Shep</v>
      </c>
      <c r="J1357" s="239">
        <f>IFERROR(IFERROR(VLOOKUP(B1357&amp;C1357&amp;Q1357,'New Weekly Paste'!A:M,8,0),VLOOKUP(B1357&amp;C1357&amp;Q1357,'New Weekly Paste'!B:O,10,0)),0)</f>
        <v>50.06</v>
      </c>
      <c r="K1357" s="239">
        <f>IFERROR(IFERROR(VLOOKUP(B1357&amp;I1357&amp;Q1357,'New Weekly Paste'!A:M,8,0),VLOOKUP(B1357&amp;I1357&amp;Q1357,'New Weekly Paste'!B:O,10,0)),0)</f>
        <v>90.72</v>
      </c>
      <c r="L1357" s="239">
        <f t="shared" si="25"/>
        <v>0</v>
      </c>
      <c r="M1357" s="36" t="str">
        <f t="shared" si="3"/>
        <v>Playoffs</v>
      </c>
      <c r="N1357" s="239" t="str">
        <f t="shared" si="26"/>
        <v>Shep</v>
      </c>
      <c r="O1357" s="6">
        <f>VLOOKUP(D1357,'Mapped Opponent'!$G$4:$H$22,2,0)</f>
        <v>15</v>
      </c>
      <c r="P1357" s="6"/>
      <c r="Q1357" s="6" t="str">
        <f t="shared" si="4"/>
        <v>Week 15</v>
      </c>
      <c r="R1357" s="6" t="str">
        <f t="shared" si="5"/>
        <v>2018Round 1</v>
      </c>
      <c r="S1357" s="6">
        <f>IFERROR(__xludf.DUMMYFUNCTION("rank(J1357,FILTER(J:J,R:R=R1357))"),12.0)</f>
        <v>12</v>
      </c>
      <c r="T1357" s="6">
        <f t="shared" si="6"/>
        <v>0</v>
      </c>
      <c r="U1357" s="6">
        <f t="shared" si="7"/>
        <v>12</v>
      </c>
      <c r="V1357" s="42">
        <f>averageif(AllData!A:A,B1357,AllData!R:R)/vlookup(B1357,AllData!A:O,15,0)</f>
        <v>99.39987179</v>
      </c>
      <c r="W1357" s="6"/>
    </row>
    <row r="1358" ht="14.25" customHeight="1">
      <c r="A1358" s="6" t="str">
        <f t="shared" si="1"/>
        <v>2018Hudspeath16</v>
      </c>
      <c r="B1358" s="59">
        <v>2018.0</v>
      </c>
      <c r="C1358" s="13" t="s">
        <v>39</v>
      </c>
      <c r="D1358" s="13" t="s">
        <v>153</v>
      </c>
      <c r="E1358" s="34"/>
      <c r="F1358" s="6"/>
      <c r="H1358" s="6"/>
      <c r="I1358" s="35" t="str">
        <f>IFERROR(IFERROR(IFERROR(VLOOKUP(B1358&amp;C1358&amp;Q1358,'New Weekly Paste'!A:M,10,0),VLOOKUP(B1358&amp;C1358&amp;Q1358,'New Weekly Paste'!B:O,6,0)),""),"")</f>
        <v>Cock</v>
      </c>
      <c r="J1358" s="239">
        <f>IFERROR(IFERROR(VLOOKUP(B1358&amp;C1358&amp;Q1358,'New Weekly Paste'!A:M,8,0),VLOOKUP(B1358&amp;C1358&amp;Q1358,'New Weekly Paste'!B:O,10,0)),0)</f>
        <v>81.6</v>
      </c>
      <c r="K1358" s="239">
        <f>IFERROR(IFERROR(VLOOKUP(B1358&amp;I1358&amp;Q1358,'New Weekly Paste'!A:M,8,0),VLOOKUP(B1358&amp;I1358&amp;Q1358,'New Weekly Paste'!B:O,10,0)),0)</f>
        <v>97.52</v>
      </c>
      <c r="L1358" s="239">
        <f t="shared" si="25"/>
        <v>0</v>
      </c>
      <c r="M1358" s="36" t="str">
        <f t="shared" si="3"/>
        <v>Playoffs</v>
      </c>
      <c r="N1358" s="239" t="str">
        <f t="shared" si="26"/>
        <v>Cock</v>
      </c>
      <c r="O1358" s="6">
        <f>VLOOKUP(D1358,'Mapped Opponent'!$G$4:$H$22,2,0)</f>
        <v>16</v>
      </c>
      <c r="P1358" s="6"/>
      <c r="Q1358" s="6" t="str">
        <f t="shared" si="4"/>
        <v>Week 16</v>
      </c>
      <c r="R1358" s="6" t="str">
        <f t="shared" si="5"/>
        <v>2018Round 2</v>
      </c>
      <c r="S1358" s="6">
        <f>IFERROR(__xludf.DUMMYFUNCTION("rank(J1358,FILTER(J:J,R:R=R1358))"),10.0)</f>
        <v>10</v>
      </c>
      <c r="T1358" s="6">
        <f t="shared" si="6"/>
        <v>2</v>
      </c>
      <c r="U1358" s="6">
        <f t="shared" si="7"/>
        <v>10</v>
      </c>
      <c r="V1358" s="42">
        <f>averageif(AllData!A:A,B1358,AllData!R:R)/vlookup(B1358,AllData!A:O,15,0)</f>
        <v>99.39987179</v>
      </c>
      <c r="W1358" s="6"/>
    </row>
    <row r="1359" ht="14.25" customHeight="1">
      <c r="A1359" s="6" t="str">
        <f t="shared" si="1"/>
        <v>2018Salty16</v>
      </c>
      <c r="B1359" s="59">
        <v>2018.0</v>
      </c>
      <c r="C1359" s="13" t="s">
        <v>76</v>
      </c>
      <c r="D1359" s="13" t="s">
        <v>153</v>
      </c>
      <c r="E1359" s="34"/>
      <c r="F1359" s="6"/>
      <c r="H1359" s="6"/>
      <c r="I1359" s="35" t="str">
        <f>IFERROR(IFERROR(IFERROR(VLOOKUP(B1359&amp;C1359&amp;Q1359,'New Weekly Paste'!A:M,10,0),VLOOKUP(B1359&amp;C1359&amp;Q1359,'New Weekly Paste'!B:O,6,0)),""),"")</f>
        <v>Shep</v>
      </c>
      <c r="J1359" s="239">
        <f>IFERROR(IFERROR(VLOOKUP(B1359&amp;C1359&amp;Q1359,'New Weekly Paste'!A:M,8,0),VLOOKUP(B1359&amp;C1359&amp;Q1359,'New Weekly Paste'!B:O,10,0)),0)</f>
        <v>89.58</v>
      </c>
      <c r="K1359" s="239">
        <f>IFERROR(IFERROR(VLOOKUP(B1359&amp;I1359&amp;Q1359,'New Weekly Paste'!A:M,8,0),VLOOKUP(B1359&amp;I1359&amp;Q1359,'New Weekly Paste'!B:O,10,0)),0)</f>
        <v>128.32</v>
      </c>
      <c r="L1359" s="239">
        <f t="shared" si="25"/>
        <v>0</v>
      </c>
      <c r="M1359" s="36" t="str">
        <f t="shared" si="3"/>
        <v>Playoffs</v>
      </c>
      <c r="N1359" s="239" t="str">
        <f t="shared" si="26"/>
        <v>Shep</v>
      </c>
      <c r="O1359" s="6">
        <f>VLOOKUP(D1359,'Mapped Opponent'!$G$4:$H$22,2,0)</f>
        <v>16</v>
      </c>
      <c r="P1359" s="6"/>
      <c r="Q1359" s="6" t="str">
        <f t="shared" si="4"/>
        <v>Week 16</v>
      </c>
      <c r="R1359" s="6" t="str">
        <f t="shared" si="5"/>
        <v>2018Round 2</v>
      </c>
      <c r="S1359" s="6">
        <f>IFERROR(__xludf.DUMMYFUNCTION("rank(J1359,FILTER(J:J,R:R=R1359))"),7.0)</f>
        <v>7</v>
      </c>
      <c r="T1359" s="6">
        <f t="shared" si="6"/>
        <v>5</v>
      </c>
      <c r="U1359" s="6">
        <f t="shared" si="7"/>
        <v>7</v>
      </c>
      <c r="V1359" s="42">
        <f>averageif(AllData!A:A,B1359,AllData!R:R)/vlookup(B1359,AllData!A:O,15,0)</f>
        <v>99.39987179</v>
      </c>
      <c r="W1359" s="6"/>
    </row>
    <row r="1360" ht="14.25" customHeight="1">
      <c r="A1360" s="6" t="str">
        <f t="shared" si="1"/>
        <v>2018Fellows16</v>
      </c>
      <c r="B1360" s="59">
        <v>2018.0</v>
      </c>
      <c r="C1360" s="13" t="s">
        <v>79</v>
      </c>
      <c r="D1360" s="13" t="s">
        <v>153</v>
      </c>
      <c r="E1360" s="34"/>
      <c r="F1360" s="6"/>
      <c r="H1360" s="6"/>
      <c r="I1360" s="35" t="str">
        <f>IFERROR(IFERROR(IFERROR(VLOOKUP(B1360&amp;C1360&amp;Q1360,'New Weekly Paste'!A:M,10,0),VLOOKUP(B1360&amp;C1360&amp;Q1360,'New Weekly Paste'!B:O,6,0)),""),"")</f>
        <v>Tayski</v>
      </c>
      <c r="J1360" s="239">
        <f>IFERROR(IFERROR(VLOOKUP(B1360&amp;C1360&amp;Q1360,'New Weekly Paste'!A:M,8,0),VLOOKUP(B1360&amp;C1360&amp;Q1360,'New Weekly Paste'!B:O,10,0)),0)</f>
        <v>84.16</v>
      </c>
      <c r="K1360" s="239">
        <f>IFERROR(IFERROR(VLOOKUP(B1360&amp;I1360&amp;Q1360,'New Weekly Paste'!A:M,8,0),VLOOKUP(B1360&amp;I1360&amp;Q1360,'New Weekly Paste'!B:O,10,0)),0)</f>
        <v>82.44</v>
      </c>
      <c r="L1360" s="239">
        <f t="shared" si="25"/>
        <v>1</v>
      </c>
      <c r="M1360" s="36" t="str">
        <f t="shared" si="3"/>
        <v>Playoffs</v>
      </c>
      <c r="N1360" s="239" t="str">
        <f t="shared" si="26"/>
        <v>Tayski</v>
      </c>
      <c r="O1360" s="6">
        <f>VLOOKUP(D1360,'Mapped Opponent'!$G$4:$H$22,2,0)</f>
        <v>16</v>
      </c>
      <c r="P1360" s="6"/>
      <c r="Q1360" s="6" t="str">
        <f t="shared" si="4"/>
        <v>Week 16</v>
      </c>
      <c r="R1360" s="6" t="str">
        <f t="shared" si="5"/>
        <v>2018Round 2</v>
      </c>
      <c r="S1360" s="6">
        <f>IFERROR(__xludf.DUMMYFUNCTION("rank(J1360,FILTER(J:J,R:R=R1360))"),8.0)</f>
        <v>8</v>
      </c>
      <c r="T1360" s="6">
        <f t="shared" si="6"/>
        <v>4</v>
      </c>
      <c r="U1360" s="6">
        <f t="shared" si="7"/>
        <v>8</v>
      </c>
      <c r="V1360" s="42">
        <f>averageif(AllData!A:A,B1360,AllData!R:R)/vlookup(B1360,AllData!A:O,15,0)</f>
        <v>99.39987179</v>
      </c>
      <c r="W1360" s="6"/>
    </row>
    <row r="1361" ht="14.25" customHeight="1">
      <c r="A1361" s="6" t="str">
        <f t="shared" si="1"/>
        <v>2018Shep16</v>
      </c>
      <c r="B1361" s="59">
        <v>2018.0</v>
      </c>
      <c r="C1361" s="13" t="s">
        <v>89</v>
      </c>
      <c r="D1361" s="13" t="s">
        <v>153</v>
      </c>
      <c r="E1361" s="34"/>
      <c r="F1361" s="6"/>
      <c r="H1361" s="6"/>
      <c r="I1361" s="35" t="str">
        <f>IFERROR(IFERROR(IFERROR(VLOOKUP(B1361&amp;C1361&amp;Q1361,'New Weekly Paste'!A:M,10,0),VLOOKUP(B1361&amp;C1361&amp;Q1361,'New Weekly Paste'!B:O,6,0)),""),"")</f>
        <v>Salty</v>
      </c>
      <c r="J1361" s="239">
        <f>IFERROR(IFERROR(VLOOKUP(B1361&amp;C1361&amp;Q1361,'New Weekly Paste'!A:M,8,0),VLOOKUP(B1361&amp;C1361&amp;Q1361,'New Weekly Paste'!B:O,10,0)),0)</f>
        <v>128.32</v>
      </c>
      <c r="K1361" s="239">
        <f>IFERROR(IFERROR(VLOOKUP(B1361&amp;I1361&amp;Q1361,'New Weekly Paste'!A:M,8,0),VLOOKUP(B1361&amp;I1361&amp;Q1361,'New Weekly Paste'!B:O,10,0)),0)</f>
        <v>89.58</v>
      </c>
      <c r="L1361" s="239">
        <f t="shared" si="25"/>
        <v>1</v>
      </c>
      <c r="M1361" s="36" t="str">
        <f t="shared" si="3"/>
        <v>Playoffs</v>
      </c>
      <c r="N1361" s="239" t="str">
        <f t="shared" si="26"/>
        <v>Salty</v>
      </c>
      <c r="O1361" s="6">
        <f>VLOOKUP(D1361,'Mapped Opponent'!$G$4:$H$22,2,0)</f>
        <v>16</v>
      </c>
      <c r="P1361" s="6"/>
      <c r="Q1361" s="6" t="str">
        <f t="shared" si="4"/>
        <v>Week 16</v>
      </c>
      <c r="R1361" s="6" t="str">
        <f t="shared" si="5"/>
        <v>2018Round 2</v>
      </c>
      <c r="S1361" s="6">
        <f>IFERROR(__xludf.DUMMYFUNCTION("rank(J1361,FILTER(J:J,R:R=R1361))"),2.0)</f>
        <v>2</v>
      </c>
      <c r="T1361" s="6">
        <f t="shared" si="6"/>
        <v>10</v>
      </c>
      <c r="U1361" s="6">
        <f t="shared" si="7"/>
        <v>2</v>
      </c>
      <c r="V1361" s="42">
        <f>averageif(AllData!A:A,B1361,AllData!R:R)/vlookup(B1361,AllData!A:O,15,0)</f>
        <v>99.39987179</v>
      </c>
      <c r="W1361" s="6"/>
    </row>
    <row r="1362" ht="14.25" customHeight="1">
      <c r="A1362" s="6" t="str">
        <f t="shared" si="1"/>
        <v>2018Riley16</v>
      </c>
      <c r="B1362" s="59">
        <v>2018.0</v>
      </c>
      <c r="C1362" s="13" t="s">
        <v>67</v>
      </c>
      <c r="D1362" s="13" t="s">
        <v>153</v>
      </c>
      <c r="E1362" s="34"/>
      <c r="F1362" s="6"/>
      <c r="H1362" s="6"/>
      <c r="I1362" s="35" t="str">
        <f>IFERROR(IFERROR(IFERROR(VLOOKUP(B1362&amp;C1362&amp;Q1362,'New Weekly Paste'!A:M,10,0),VLOOKUP(B1362&amp;C1362&amp;Q1362,'New Weekly Paste'!B:O,6,0)),""),"")</f>
        <v>T-How</v>
      </c>
      <c r="J1362" s="239">
        <f>IFERROR(IFERROR(VLOOKUP(B1362&amp;C1362&amp;Q1362,'New Weekly Paste'!A:M,8,0),VLOOKUP(B1362&amp;C1362&amp;Q1362,'New Weekly Paste'!B:O,10,0)),0)</f>
        <v>160.28</v>
      </c>
      <c r="K1362" s="239">
        <f>IFERROR(IFERROR(VLOOKUP(B1362&amp;I1362&amp;Q1362,'New Weekly Paste'!A:M,8,0),VLOOKUP(B1362&amp;I1362&amp;Q1362,'New Weekly Paste'!B:O,10,0)),0)</f>
        <v>91.64</v>
      </c>
      <c r="L1362" s="239">
        <f t="shared" si="25"/>
        <v>1</v>
      </c>
      <c r="M1362" s="36" t="str">
        <f t="shared" si="3"/>
        <v>Playoffs</v>
      </c>
      <c r="N1362" s="239" t="str">
        <f t="shared" si="26"/>
        <v>T-How</v>
      </c>
      <c r="O1362" s="6">
        <f>VLOOKUP(D1362,'Mapped Opponent'!$G$4:$H$22,2,0)</f>
        <v>16</v>
      </c>
      <c r="P1362" s="6"/>
      <c r="Q1362" s="6" t="str">
        <f t="shared" si="4"/>
        <v>Week 16</v>
      </c>
      <c r="R1362" s="6" t="str">
        <f t="shared" si="5"/>
        <v>2018Round 2</v>
      </c>
      <c r="S1362" s="6">
        <f>IFERROR(__xludf.DUMMYFUNCTION("rank(J1362,FILTER(J:J,R:R=R1362))"),1.0)</f>
        <v>1</v>
      </c>
      <c r="T1362" s="6">
        <f t="shared" si="6"/>
        <v>11</v>
      </c>
      <c r="U1362" s="6">
        <f t="shared" si="7"/>
        <v>1</v>
      </c>
      <c r="V1362" s="42">
        <f>averageif(AllData!A:A,B1362,AllData!R:R)/vlookup(B1362,AllData!A:O,15,0)</f>
        <v>99.39987179</v>
      </c>
      <c r="W1362" s="6"/>
    </row>
    <row r="1363" ht="14.25" customHeight="1">
      <c r="A1363" s="6" t="str">
        <f t="shared" si="1"/>
        <v>2018Rooney/Jackson16</v>
      </c>
      <c r="B1363" s="59">
        <v>2018.0</v>
      </c>
      <c r="C1363" s="13" t="s">
        <v>57</v>
      </c>
      <c r="D1363" s="13" t="s">
        <v>153</v>
      </c>
      <c r="E1363" s="34"/>
      <c r="F1363" s="6"/>
      <c r="H1363" s="6"/>
      <c r="I1363" s="35" t="str">
        <f>IFERROR(IFERROR(IFERROR(VLOOKUP(B1363&amp;C1363&amp;Q1363,'New Weekly Paste'!A:M,10,0),VLOOKUP(B1363&amp;C1363&amp;Q1363,'New Weekly Paste'!B:O,6,0)),""),"")</f>
        <v>Buser</v>
      </c>
      <c r="J1363" s="239">
        <f>IFERROR(IFERROR(VLOOKUP(B1363&amp;C1363&amp;Q1363,'New Weekly Paste'!A:M,8,0),VLOOKUP(B1363&amp;C1363&amp;Q1363,'New Weekly Paste'!B:O,10,0)),0)</f>
        <v>97.94</v>
      </c>
      <c r="K1363" s="239">
        <f>IFERROR(IFERROR(VLOOKUP(B1363&amp;I1363&amp;Q1363,'New Weekly Paste'!A:M,8,0),VLOOKUP(B1363&amp;I1363&amp;Q1363,'New Weekly Paste'!B:O,10,0)),0)</f>
        <v>79.56</v>
      </c>
      <c r="L1363" s="239">
        <f t="shared" si="25"/>
        <v>1</v>
      </c>
      <c r="M1363" s="36" t="str">
        <f t="shared" si="3"/>
        <v>Playoffs</v>
      </c>
      <c r="N1363" s="239" t="str">
        <f t="shared" si="26"/>
        <v>Buser</v>
      </c>
      <c r="O1363" s="6">
        <f>VLOOKUP(D1363,'Mapped Opponent'!$G$4:$H$22,2,0)</f>
        <v>16</v>
      </c>
      <c r="P1363" s="6"/>
      <c r="Q1363" s="6" t="str">
        <f t="shared" si="4"/>
        <v>Week 16</v>
      </c>
      <c r="R1363" s="6" t="str">
        <f t="shared" si="5"/>
        <v>2018Round 2</v>
      </c>
      <c r="S1363" s="6">
        <f>IFERROR(__xludf.DUMMYFUNCTION("rank(J1363,FILTER(J:J,R:R=R1363))"),4.0)</f>
        <v>4</v>
      </c>
      <c r="T1363" s="6">
        <f t="shared" si="6"/>
        <v>8</v>
      </c>
      <c r="U1363" s="6">
        <f t="shared" si="7"/>
        <v>4</v>
      </c>
      <c r="V1363" s="42">
        <f>averageif(AllData!A:A,B1363,AllData!R:R)/vlookup(B1363,AllData!A:O,15,0)</f>
        <v>99.39987179</v>
      </c>
      <c r="W1363" s="6"/>
    </row>
    <row r="1364" ht="14.25" customHeight="1">
      <c r="A1364" s="6" t="str">
        <f t="shared" si="1"/>
        <v>2018Buser16</v>
      </c>
      <c r="B1364" s="59">
        <v>2018.0</v>
      </c>
      <c r="C1364" s="13" t="s">
        <v>47</v>
      </c>
      <c r="D1364" s="13" t="s">
        <v>153</v>
      </c>
      <c r="E1364" s="34"/>
      <c r="F1364" s="6"/>
      <c r="H1364" s="6"/>
      <c r="I1364" s="35" t="str">
        <f>IFERROR(IFERROR(IFERROR(VLOOKUP(B1364&amp;C1364&amp;Q1364,'New Weekly Paste'!A:M,10,0),VLOOKUP(B1364&amp;C1364&amp;Q1364,'New Weekly Paste'!B:O,6,0)),""),"")</f>
        <v>Rooney/Jackson</v>
      </c>
      <c r="J1364" s="239">
        <f>IFERROR(IFERROR(VLOOKUP(B1364&amp;C1364&amp;Q1364,'New Weekly Paste'!A:M,8,0),VLOOKUP(B1364&amp;C1364&amp;Q1364,'New Weekly Paste'!B:O,10,0)),0)</f>
        <v>79.56</v>
      </c>
      <c r="K1364" s="239">
        <f>IFERROR(IFERROR(VLOOKUP(B1364&amp;I1364&amp;Q1364,'New Weekly Paste'!A:M,8,0),VLOOKUP(B1364&amp;I1364&amp;Q1364,'New Weekly Paste'!B:O,10,0)),0)</f>
        <v>97.94</v>
      </c>
      <c r="L1364" s="239">
        <f t="shared" si="25"/>
        <v>0</v>
      </c>
      <c r="M1364" s="36" t="str">
        <f t="shared" si="3"/>
        <v>Playoffs</v>
      </c>
      <c r="N1364" s="239" t="str">
        <f t="shared" si="26"/>
        <v>Rooney/Jackson</v>
      </c>
      <c r="O1364" s="6">
        <f>VLOOKUP(D1364,'Mapped Opponent'!$G$4:$H$22,2,0)</f>
        <v>16</v>
      </c>
      <c r="P1364" s="6"/>
      <c r="Q1364" s="6" t="str">
        <f t="shared" si="4"/>
        <v>Week 16</v>
      </c>
      <c r="R1364" s="6" t="str">
        <f t="shared" si="5"/>
        <v>2018Round 2</v>
      </c>
      <c r="S1364" s="6">
        <f>IFERROR(__xludf.DUMMYFUNCTION("rank(J1364,FILTER(J:J,R:R=R1364))"),11.0)</f>
        <v>11</v>
      </c>
      <c r="T1364" s="6">
        <f t="shared" si="6"/>
        <v>1</v>
      </c>
      <c r="U1364" s="6">
        <f t="shared" si="7"/>
        <v>11</v>
      </c>
      <c r="V1364" s="42">
        <f>averageif(AllData!A:A,B1364,AllData!R:R)/vlookup(B1364,AllData!A:O,15,0)</f>
        <v>99.39987179</v>
      </c>
      <c r="W1364" s="6"/>
    </row>
    <row r="1365" ht="14.25" customHeight="1">
      <c r="A1365" s="6" t="str">
        <f t="shared" si="1"/>
        <v>2018Pierson16</v>
      </c>
      <c r="B1365" s="59">
        <v>2018.0</v>
      </c>
      <c r="C1365" s="13" t="s">
        <v>92</v>
      </c>
      <c r="D1365" s="13" t="s">
        <v>153</v>
      </c>
      <c r="E1365" s="34"/>
      <c r="F1365" s="6"/>
      <c r="H1365" s="6"/>
      <c r="I1365" s="35" t="str">
        <f>IFERROR(IFERROR(IFERROR(VLOOKUP(B1365&amp;C1365&amp;Q1365,'New Weekly Paste'!A:M,10,0),VLOOKUP(B1365&amp;C1365&amp;Q1365,'New Weekly Paste'!B:O,6,0)),""),"")</f>
        <v>KnardDawg</v>
      </c>
      <c r="J1365" s="239">
        <f>IFERROR(IFERROR(VLOOKUP(B1365&amp;C1365&amp;Q1365,'New Weekly Paste'!A:M,8,0),VLOOKUP(B1365&amp;C1365&amp;Q1365,'New Weekly Paste'!B:O,10,0)),0)</f>
        <v>66.54</v>
      </c>
      <c r="K1365" s="239">
        <f>IFERROR(IFERROR(VLOOKUP(B1365&amp;I1365&amp;Q1365,'New Weekly Paste'!A:M,8,0),VLOOKUP(B1365&amp;I1365&amp;Q1365,'New Weekly Paste'!B:O,10,0)),0)</f>
        <v>111.74</v>
      </c>
      <c r="L1365" s="239">
        <f t="shared" si="25"/>
        <v>0</v>
      </c>
      <c r="M1365" s="36" t="str">
        <f t="shared" si="3"/>
        <v>Playoffs</v>
      </c>
      <c r="N1365" s="239" t="str">
        <f t="shared" si="26"/>
        <v>KnardDawg</v>
      </c>
      <c r="O1365" s="6">
        <f>VLOOKUP(D1365,'Mapped Opponent'!$G$4:$H$22,2,0)</f>
        <v>16</v>
      </c>
      <c r="P1365" s="6"/>
      <c r="Q1365" s="6" t="str">
        <f t="shared" si="4"/>
        <v>Week 16</v>
      </c>
      <c r="R1365" s="6" t="str">
        <f t="shared" si="5"/>
        <v>2018Round 2</v>
      </c>
      <c r="S1365" s="6">
        <f>IFERROR(__xludf.DUMMYFUNCTION("rank(J1365,FILTER(J:J,R:R=R1365))"),12.0)</f>
        <v>12</v>
      </c>
      <c r="T1365" s="6">
        <f t="shared" si="6"/>
        <v>0</v>
      </c>
      <c r="U1365" s="6">
        <f t="shared" si="7"/>
        <v>12</v>
      </c>
      <c r="V1365" s="42">
        <f>averageif(AllData!A:A,B1365,AllData!R:R)/vlookup(B1365,AllData!A:O,15,0)</f>
        <v>99.39987179</v>
      </c>
      <c r="W1365" s="6"/>
    </row>
    <row r="1366" ht="14.25" customHeight="1">
      <c r="A1366" s="6" t="str">
        <f t="shared" si="1"/>
        <v>2018Cock16</v>
      </c>
      <c r="B1366" s="59">
        <v>2018.0</v>
      </c>
      <c r="C1366" s="13" t="s">
        <v>72</v>
      </c>
      <c r="D1366" s="13" t="s">
        <v>153</v>
      </c>
      <c r="E1366" s="34"/>
      <c r="F1366" s="6"/>
      <c r="H1366" s="6"/>
      <c r="I1366" s="35" t="str">
        <f>IFERROR(IFERROR(IFERROR(VLOOKUP(B1366&amp;C1366&amp;Q1366,'New Weekly Paste'!A:M,10,0),VLOOKUP(B1366&amp;C1366&amp;Q1366,'New Weekly Paste'!B:O,6,0)),""),"")</f>
        <v>Hudspeath</v>
      </c>
      <c r="J1366" s="239">
        <f>IFERROR(IFERROR(VLOOKUP(B1366&amp;C1366&amp;Q1366,'New Weekly Paste'!A:M,8,0),VLOOKUP(B1366&amp;C1366&amp;Q1366,'New Weekly Paste'!B:O,10,0)),0)</f>
        <v>97.52</v>
      </c>
      <c r="K1366" s="239">
        <f>IFERROR(IFERROR(VLOOKUP(B1366&amp;I1366&amp;Q1366,'New Weekly Paste'!A:M,8,0),VLOOKUP(B1366&amp;I1366&amp;Q1366,'New Weekly Paste'!B:O,10,0)),0)</f>
        <v>81.6</v>
      </c>
      <c r="L1366" s="239">
        <f t="shared" si="25"/>
        <v>1</v>
      </c>
      <c r="M1366" s="36" t="str">
        <f t="shared" si="3"/>
        <v>Playoffs</v>
      </c>
      <c r="N1366" s="239" t="str">
        <f t="shared" si="26"/>
        <v>Hudspeath</v>
      </c>
      <c r="O1366" s="6">
        <f>VLOOKUP(D1366,'Mapped Opponent'!$G$4:$H$22,2,0)</f>
        <v>16</v>
      </c>
      <c r="P1366" s="6"/>
      <c r="Q1366" s="6" t="str">
        <f t="shared" si="4"/>
        <v>Week 16</v>
      </c>
      <c r="R1366" s="6" t="str">
        <f t="shared" si="5"/>
        <v>2018Round 2</v>
      </c>
      <c r="S1366" s="6">
        <f>IFERROR(__xludf.DUMMYFUNCTION("rank(J1366,FILTER(J:J,R:R=R1366))"),5.0)</f>
        <v>5</v>
      </c>
      <c r="T1366" s="6">
        <f t="shared" si="6"/>
        <v>7</v>
      </c>
      <c r="U1366" s="6">
        <f t="shared" si="7"/>
        <v>5</v>
      </c>
      <c r="V1366" s="42">
        <f>averageif(AllData!A:A,B1366,AllData!R:R)/vlookup(B1366,AllData!A:O,15,0)</f>
        <v>99.39987179</v>
      </c>
      <c r="W1366" s="6"/>
    </row>
    <row r="1367" ht="14.25" customHeight="1">
      <c r="A1367" s="6" t="str">
        <f t="shared" si="1"/>
        <v>2018Tayski16</v>
      </c>
      <c r="B1367" s="59">
        <v>2018.0</v>
      </c>
      <c r="C1367" s="13" t="s">
        <v>52</v>
      </c>
      <c r="D1367" s="13" t="s">
        <v>153</v>
      </c>
      <c r="E1367" s="34"/>
      <c r="F1367" s="6"/>
      <c r="H1367" s="6"/>
      <c r="I1367" s="35" t="str">
        <f>IFERROR(IFERROR(IFERROR(VLOOKUP(B1367&amp;C1367&amp;Q1367,'New Weekly Paste'!A:M,10,0),VLOOKUP(B1367&amp;C1367&amp;Q1367,'New Weekly Paste'!B:O,6,0)),""),"")</f>
        <v>Fellows</v>
      </c>
      <c r="J1367" s="239">
        <f>IFERROR(IFERROR(VLOOKUP(B1367&amp;C1367&amp;Q1367,'New Weekly Paste'!A:M,8,0),VLOOKUP(B1367&amp;C1367&amp;Q1367,'New Weekly Paste'!B:O,10,0)),0)</f>
        <v>82.44</v>
      </c>
      <c r="K1367" s="239">
        <f>IFERROR(IFERROR(VLOOKUP(B1367&amp;I1367&amp;Q1367,'New Weekly Paste'!A:M,8,0),VLOOKUP(B1367&amp;I1367&amp;Q1367,'New Weekly Paste'!B:O,10,0)),0)</f>
        <v>84.16</v>
      </c>
      <c r="L1367" s="239">
        <f t="shared" si="25"/>
        <v>0</v>
      </c>
      <c r="M1367" s="36" t="str">
        <f t="shared" si="3"/>
        <v>Playoffs</v>
      </c>
      <c r="N1367" s="239" t="str">
        <f t="shared" si="26"/>
        <v>Fellows</v>
      </c>
      <c r="O1367" s="6">
        <f>VLOOKUP(D1367,'Mapped Opponent'!$G$4:$H$22,2,0)</f>
        <v>16</v>
      </c>
      <c r="P1367" s="6"/>
      <c r="Q1367" s="6" t="str">
        <f t="shared" si="4"/>
        <v>Week 16</v>
      </c>
      <c r="R1367" s="6" t="str">
        <f t="shared" si="5"/>
        <v>2018Round 2</v>
      </c>
      <c r="S1367" s="6">
        <f>IFERROR(__xludf.DUMMYFUNCTION("rank(J1367,FILTER(J:J,R:R=R1367))"),9.0)</f>
        <v>9</v>
      </c>
      <c r="T1367" s="6">
        <f t="shared" si="6"/>
        <v>3</v>
      </c>
      <c r="U1367" s="6">
        <f t="shared" si="7"/>
        <v>9</v>
      </c>
      <c r="V1367" s="42">
        <f>averageif(AllData!A:A,B1367,AllData!R:R)/vlookup(B1367,AllData!A:O,15,0)</f>
        <v>99.39987179</v>
      </c>
      <c r="W1367" s="6"/>
    </row>
    <row r="1368" ht="14.25" customHeight="1">
      <c r="A1368" s="6" t="str">
        <f t="shared" si="1"/>
        <v>2018KnardDawg16</v>
      </c>
      <c r="B1368" s="59">
        <v>2018.0</v>
      </c>
      <c r="C1368" s="13" t="s">
        <v>86</v>
      </c>
      <c r="D1368" s="13" t="s">
        <v>153</v>
      </c>
      <c r="E1368" s="34"/>
      <c r="F1368" s="6"/>
      <c r="H1368" s="6"/>
      <c r="I1368" s="35" t="str">
        <f>IFERROR(IFERROR(IFERROR(VLOOKUP(B1368&amp;C1368&amp;Q1368,'New Weekly Paste'!A:M,10,0),VLOOKUP(B1368&amp;C1368&amp;Q1368,'New Weekly Paste'!B:O,6,0)),""),"")</f>
        <v>Pierson</v>
      </c>
      <c r="J1368" s="239">
        <f>IFERROR(IFERROR(VLOOKUP(B1368&amp;C1368&amp;Q1368,'New Weekly Paste'!A:M,8,0),VLOOKUP(B1368&amp;C1368&amp;Q1368,'New Weekly Paste'!B:O,10,0)),0)</f>
        <v>111.74</v>
      </c>
      <c r="K1368" s="239">
        <f>IFERROR(IFERROR(VLOOKUP(B1368&amp;I1368&amp;Q1368,'New Weekly Paste'!A:M,8,0),VLOOKUP(B1368&amp;I1368&amp;Q1368,'New Weekly Paste'!B:O,10,0)),0)</f>
        <v>66.54</v>
      </c>
      <c r="L1368" s="239">
        <f t="shared" si="25"/>
        <v>1</v>
      </c>
      <c r="M1368" s="36" t="str">
        <f t="shared" si="3"/>
        <v>Playoffs</v>
      </c>
      <c r="N1368" s="239" t="str">
        <f t="shared" si="26"/>
        <v>Pierson</v>
      </c>
      <c r="O1368" s="6">
        <f>VLOOKUP(D1368,'Mapped Opponent'!$G$4:$H$22,2,0)</f>
        <v>16</v>
      </c>
      <c r="P1368" s="6"/>
      <c r="Q1368" s="6" t="str">
        <f t="shared" si="4"/>
        <v>Week 16</v>
      </c>
      <c r="R1368" s="6" t="str">
        <f t="shared" si="5"/>
        <v>2018Round 2</v>
      </c>
      <c r="S1368" s="6">
        <f>IFERROR(__xludf.DUMMYFUNCTION("rank(J1368,FILTER(J:J,R:R=R1368))"),3.0)</f>
        <v>3</v>
      </c>
      <c r="T1368" s="6">
        <f t="shared" si="6"/>
        <v>9</v>
      </c>
      <c r="U1368" s="6">
        <f t="shared" si="7"/>
        <v>3</v>
      </c>
      <c r="V1368" s="42">
        <f>averageif(AllData!A:A,B1368,AllData!R:R)/vlookup(B1368,AllData!A:O,15,0)</f>
        <v>99.39987179</v>
      </c>
      <c r="W1368" s="6"/>
    </row>
    <row r="1369" ht="14.25" customHeight="1">
      <c r="A1369" s="6" t="str">
        <f t="shared" si="1"/>
        <v>2018T-How16</v>
      </c>
      <c r="B1369" s="59">
        <v>2018.0</v>
      </c>
      <c r="C1369" s="13" t="s">
        <v>82</v>
      </c>
      <c r="D1369" s="13" t="s">
        <v>153</v>
      </c>
      <c r="E1369" s="34"/>
      <c r="F1369" s="6"/>
      <c r="H1369" s="6"/>
      <c r="I1369" s="35" t="str">
        <f>IFERROR(IFERROR(IFERROR(VLOOKUP(B1369&amp;C1369&amp;Q1369,'New Weekly Paste'!A:M,10,0),VLOOKUP(B1369&amp;C1369&amp;Q1369,'New Weekly Paste'!B:O,6,0)),""),"")</f>
        <v>Riley</v>
      </c>
      <c r="J1369" s="239">
        <f>IFERROR(IFERROR(VLOOKUP(B1369&amp;C1369&amp;Q1369,'New Weekly Paste'!A:M,8,0),VLOOKUP(B1369&amp;C1369&amp;Q1369,'New Weekly Paste'!B:O,10,0)),0)</f>
        <v>91.64</v>
      </c>
      <c r="K1369" s="239">
        <f>IFERROR(IFERROR(VLOOKUP(B1369&amp;I1369&amp;Q1369,'New Weekly Paste'!A:M,8,0),VLOOKUP(B1369&amp;I1369&amp;Q1369,'New Weekly Paste'!B:O,10,0)),0)</f>
        <v>160.28</v>
      </c>
      <c r="L1369" s="239">
        <f t="shared" si="25"/>
        <v>0</v>
      </c>
      <c r="M1369" s="36" t="str">
        <f t="shared" si="3"/>
        <v>Playoffs</v>
      </c>
      <c r="N1369" s="239" t="str">
        <f t="shared" si="26"/>
        <v>Riley</v>
      </c>
      <c r="O1369" s="6">
        <f>VLOOKUP(D1369,'Mapped Opponent'!$G$4:$H$22,2,0)</f>
        <v>16</v>
      </c>
      <c r="P1369" s="6"/>
      <c r="Q1369" s="6" t="str">
        <f t="shared" si="4"/>
        <v>Week 16</v>
      </c>
      <c r="R1369" s="6" t="str">
        <f t="shared" si="5"/>
        <v>2018Round 2</v>
      </c>
      <c r="S1369" s="6">
        <f>IFERROR(__xludf.DUMMYFUNCTION("rank(J1369,FILTER(J:J,R:R=R1369))"),6.0)</f>
        <v>6</v>
      </c>
      <c r="T1369" s="6">
        <f t="shared" si="6"/>
        <v>6</v>
      </c>
      <c r="U1369" s="6">
        <f t="shared" si="7"/>
        <v>6</v>
      </c>
      <c r="V1369" s="42">
        <f>averageif(AllData!A:A,B1369,AllData!R:R)/vlookup(B1369,AllData!A:O,15,0)</f>
        <v>99.39987179</v>
      </c>
      <c r="W1369" s="6"/>
    </row>
    <row r="1370" ht="14.25" customHeight="1">
      <c r="A1370" s="6" t="str">
        <f t="shared" si="1"/>
        <v>2018Hudspeath17</v>
      </c>
      <c r="B1370" s="59">
        <v>2018.0</v>
      </c>
      <c r="C1370" s="13" t="s">
        <v>39</v>
      </c>
      <c r="D1370" s="13" t="s">
        <v>154</v>
      </c>
      <c r="E1370" s="34"/>
      <c r="F1370" s="6"/>
      <c r="H1370" s="6"/>
      <c r="I1370" s="35" t="str">
        <f>IFERROR(IFERROR(IFERROR(VLOOKUP(B1370&amp;C1370&amp;Q1370,'New Weekly Paste'!A:M,10,0),VLOOKUP(B1370&amp;C1370&amp;Q1370,'New Weekly Paste'!B:O,6,0)),""),"")</f>
        <v/>
      </c>
      <c r="J1370" s="239">
        <f>IFERROR(IFERROR(VLOOKUP(B1370&amp;C1370&amp;Q1370,'New Weekly Paste'!A:M,8,0),VLOOKUP(B1370&amp;C1370&amp;Q1370,'New Weekly Paste'!B:O,10,0)),0)</f>
        <v>0</v>
      </c>
      <c r="K1370" s="239">
        <f>IFERROR(IFERROR(VLOOKUP(B1370&amp;I1370&amp;Q1370,'New Weekly Paste'!A:M,8,0),VLOOKUP(B1370&amp;I1370&amp;Q1370,'New Weekly Paste'!B:O,10,0)),0)</f>
        <v>0</v>
      </c>
      <c r="L1370" s="239">
        <f t="shared" si="25"/>
        <v>0</v>
      </c>
      <c r="M1370" s="36" t="str">
        <f t="shared" si="3"/>
        <v>Playoffs</v>
      </c>
      <c r="N1370" s="239" t="str">
        <f t="shared" si="26"/>
        <v/>
      </c>
      <c r="O1370" s="6">
        <f>VLOOKUP(D1370,'Mapped Opponent'!$G$4:$H$22,2,0)</f>
        <v>17</v>
      </c>
      <c r="P1370" s="6"/>
      <c r="Q1370" s="6" t="str">
        <f t="shared" si="4"/>
        <v>Week 17</v>
      </c>
      <c r="R1370" s="6" t="str">
        <f t="shared" si="5"/>
        <v>2018Round 3</v>
      </c>
      <c r="S1370" s="6">
        <f>IFERROR(__xludf.DUMMYFUNCTION("rank(J1370,FILTER(J:J,R:R=R1370))"),1.0)</f>
        <v>1</v>
      </c>
      <c r="T1370" s="6">
        <f t="shared" si="6"/>
        <v>11</v>
      </c>
      <c r="U1370" s="6">
        <f t="shared" si="7"/>
        <v>1</v>
      </c>
      <c r="V1370" s="42">
        <f>averageif(AllData!A:A,B1370,AllData!R:R)/vlookup(B1370,AllData!A:O,15,0)</f>
        <v>99.39987179</v>
      </c>
      <c r="W1370" s="6"/>
    </row>
    <row r="1371" ht="14.25" customHeight="1">
      <c r="A1371" s="6" t="str">
        <f t="shared" si="1"/>
        <v>2018Salty17</v>
      </c>
      <c r="B1371" s="59">
        <v>2018.0</v>
      </c>
      <c r="C1371" s="13" t="s">
        <v>76</v>
      </c>
      <c r="D1371" s="13" t="s">
        <v>154</v>
      </c>
      <c r="E1371" s="34"/>
      <c r="F1371" s="6"/>
      <c r="H1371" s="6"/>
      <c r="I1371" s="35" t="str">
        <f>IFERROR(IFERROR(IFERROR(VLOOKUP(B1371&amp;C1371&amp;Q1371,'New Weekly Paste'!A:M,10,0),VLOOKUP(B1371&amp;C1371&amp;Q1371,'New Weekly Paste'!B:O,6,0)),""),"")</f>
        <v/>
      </c>
      <c r="J1371" s="239">
        <f>IFERROR(IFERROR(VLOOKUP(B1371&amp;C1371&amp;Q1371,'New Weekly Paste'!A:M,8,0),VLOOKUP(B1371&amp;C1371&amp;Q1371,'New Weekly Paste'!B:O,10,0)),0)</f>
        <v>0</v>
      </c>
      <c r="K1371" s="239">
        <f>IFERROR(IFERROR(VLOOKUP(B1371&amp;I1371&amp;Q1371,'New Weekly Paste'!A:M,8,0),VLOOKUP(B1371&amp;I1371&amp;Q1371,'New Weekly Paste'!B:O,10,0)),0)</f>
        <v>0</v>
      </c>
      <c r="L1371" s="239">
        <f t="shared" si="25"/>
        <v>0</v>
      </c>
      <c r="M1371" s="36" t="str">
        <f t="shared" si="3"/>
        <v>Playoffs</v>
      </c>
      <c r="N1371" s="239" t="str">
        <f t="shared" si="26"/>
        <v/>
      </c>
      <c r="O1371" s="6">
        <f>VLOOKUP(D1371,'Mapped Opponent'!$G$4:$H$22,2,0)</f>
        <v>17</v>
      </c>
      <c r="P1371" s="6"/>
      <c r="Q1371" s="6" t="str">
        <f t="shared" si="4"/>
        <v>Week 17</v>
      </c>
      <c r="R1371" s="6" t="str">
        <f t="shared" si="5"/>
        <v>2018Round 3</v>
      </c>
      <c r="S1371" s="6">
        <f>IFERROR(__xludf.DUMMYFUNCTION("rank(J1371,FILTER(J:J,R:R=R1371))"),1.0)</f>
        <v>1</v>
      </c>
      <c r="T1371" s="6">
        <f t="shared" si="6"/>
        <v>11</v>
      </c>
      <c r="U1371" s="6">
        <f t="shared" si="7"/>
        <v>1</v>
      </c>
      <c r="V1371" s="42">
        <f>averageif(AllData!A:A,B1371,AllData!R:R)/vlookup(B1371,AllData!A:O,15,0)</f>
        <v>99.39987179</v>
      </c>
      <c r="W1371" s="6"/>
    </row>
    <row r="1372" ht="14.25" customHeight="1">
      <c r="A1372" s="6" t="str">
        <f t="shared" si="1"/>
        <v>2018Fellows17</v>
      </c>
      <c r="B1372" s="59">
        <v>2018.0</v>
      </c>
      <c r="C1372" s="13" t="s">
        <v>79</v>
      </c>
      <c r="D1372" s="13" t="s">
        <v>154</v>
      </c>
      <c r="E1372" s="34"/>
      <c r="F1372" s="6"/>
      <c r="H1372" s="6"/>
      <c r="I1372" s="35" t="str">
        <f>IFERROR(IFERROR(IFERROR(VLOOKUP(B1372&amp;C1372&amp;Q1372,'New Weekly Paste'!A:M,10,0),VLOOKUP(B1372&amp;C1372&amp;Q1372,'New Weekly Paste'!B:O,6,0)),""),"")</f>
        <v/>
      </c>
      <c r="J1372" s="239">
        <f>IFERROR(IFERROR(VLOOKUP(B1372&amp;C1372&amp;Q1372,'New Weekly Paste'!A:M,8,0),VLOOKUP(B1372&amp;C1372&amp;Q1372,'New Weekly Paste'!B:O,10,0)),0)</f>
        <v>0</v>
      </c>
      <c r="K1372" s="239">
        <f>IFERROR(IFERROR(VLOOKUP(B1372&amp;I1372&amp;Q1372,'New Weekly Paste'!A:M,8,0),VLOOKUP(B1372&amp;I1372&amp;Q1372,'New Weekly Paste'!B:O,10,0)),0)</f>
        <v>0</v>
      </c>
      <c r="L1372" s="239">
        <f t="shared" si="25"/>
        <v>0</v>
      </c>
      <c r="M1372" s="36" t="str">
        <f t="shared" si="3"/>
        <v>Playoffs</v>
      </c>
      <c r="N1372" s="239" t="str">
        <f t="shared" si="26"/>
        <v/>
      </c>
      <c r="O1372" s="6">
        <f>VLOOKUP(D1372,'Mapped Opponent'!$G$4:$H$22,2,0)</f>
        <v>17</v>
      </c>
      <c r="P1372" s="6"/>
      <c r="Q1372" s="6" t="str">
        <f t="shared" si="4"/>
        <v>Week 17</v>
      </c>
      <c r="R1372" s="6" t="str">
        <f t="shared" si="5"/>
        <v>2018Round 3</v>
      </c>
      <c r="S1372" s="6">
        <f>IFERROR(__xludf.DUMMYFUNCTION("rank(J1372,FILTER(J:J,R:R=R1372))"),1.0)</f>
        <v>1</v>
      </c>
      <c r="T1372" s="6">
        <f t="shared" si="6"/>
        <v>11</v>
      </c>
      <c r="U1372" s="6">
        <f t="shared" si="7"/>
        <v>1</v>
      </c>
      <c r="V1372" s="42">
        <f>averageif(AllData!A:A,B1372,AllData!R:R)/vlookup(B1372,AllData!A:O,15,0)</f>
        <v>99.39987179</v>
      </c>
      <c r="W1372" s="6"/>
    </row>
    <row r="1373" ht="14.25" customHeight="1">
      <c r="A1373" s="6" t="str">
        <f t="shared" si="1"/>
        <v>2018Shep17</v>
      </c>
      <c r="B1373" s="59">
        <v>2018.0</v>
      </c>
      <c r="C1373" s="13" t="s">
        <v>89</v>
      </c>
      <c r="D1373" s="13" t="s">
        <v>154</v>
      </c>
      <c r="E1373" s="34"/>
      <c r="F1373" s="6"/>
      <c r="H1373" s="6"/>
      <c r="I1373" s="35" t="str">
        <f>IFERROR(IFERROR(IFERROR(VLOOKUP(B1373&amp;C1373&amp;Q1373,'New Weekly Paste'!A:M,10,0),VLOOKUP(B1373&amp;C1373&amp;Q1373,'New Weekly Paste'!B:O,6,0)),""),"")</f>
        <v/>
      </c>
      <c r="J1373" s="239">
        <f>IFERROR(IFERROR(VLOOKUP(B1373&amp;C1373&amp;Q1373,'New Weekly Paste'!A:M,8,0),VLOOKUP(B1373&amp;C1373&amp;Q1373,'New Weekly Paste'!B:O,10,0)),0)</f>
        <v>0</v>
      </c>
      <c r="K1373" s="239">
        <f>IFERROR(IFERROR(VLOOKUP(B1373&amp;I1373&amp;Q1373,'New Weekly Paste'!A:M,8,0),VLOOKUP(B1373&amp;I1373&amp;Q1373,'New Weekly Paste'!B:O,10,0)),0)</f>
        <v>0</v>
      </c>
      <c r="L1373" s="239">
        <f t="shared" si="25"/>
        <v>0</v>
      </c>
      <c r="M1373" s="36" t="str">
        <f t="shared" si="3"/>
        <v>Playoffs</v>
      </c>
      <c r="N1373" s="239" t="str">
        <f t="shared" si="26"/>
        <v/>
      </c>
      <c r="O1373" s="6">
        <f>VLOOKUP(D1373,'Mapped Opponent'!$G$4:$H$22,2,0)</f>
        <v>17</v>
      </c>
      <c r="P1373" s="6"/>
      <c r="Q1373" s="6" t="str">
        <f t="shared" si="4"/>
        <v>Week 17</v>
      </c>
      <c r="R1373" s="6" t="str">
        <f t="shared" si="5"/>
        <v>2018Round 3</v>
      </c>
      <c r="S1373" s="6">
        <f>IFERROR(__xludf.DUMMYFUNCTION("rank(J1373,FILTER(J:J,R:R=R1373))"),1.0)</f>
        <v>1</v>
      </c>
      <c r="T1373" s="6">
        <f t="shared" si="6"/>
        <v>11</v>
      </c>
      <c r="U1373" s="6">
        <f t="shared" si="7"/>
        <v>1</v>
      </c>
      <c r="V1373" s="42">
        <f>averageif(AllData!A:A,B1373,AllData!R:R)/vlookup(B1373,AllData!A:O,15,0)</f>
        <v>99.39987179</v>
      </c>
      <c r="W1373" s="6"/>
    </row>
    <row r="1374" ht="14.25" customHeight="1">
      <c r="A1374" s="6" t="str">
        <f t="shared" si="1"/>
        <v>2018Riley17</v>
      </c>
      <c r="B1374" s="59">
        <v>2018.0</v>
      </c>
      <c r="C1374" s="13" t="s">
        <v>67</v>
      </c>
      <c r="D1374" s="13" t="s">
        <v>154</v>
      </c>
      <c r="E1374" s="34"/>
      <c r="F1374" s="6"/>
      <c r="H1374" s="6"/>
      <c r="I1374" s="35" t="str">
        <f>IFERROR(IFERROR(IFERROR(VLOOKUP(B1374&amp;C1374&amp;Q1374,'New Weekly Paste'!A:M,10,0),VLOOKUP(B1374&amp;C1374&amp;Q1374,'New Weekly Paste'!B:O,6,0)),""),"")</f>
        <v/>
      </c>
      <c r="J1374" s="239">
        <f>IFERROR(IFERROR(VLOOKUP(B1374&amp;C1374&amp;Q1374,'New Weekly Paste'!A:M,8,0),VLOOKUP(B1374&amp;C1374&amp;Q1374,'New Weekly Paste'!B:O,10,0)),0)</f>
        <v>0</v>
      </c>
      <c r="K1374" s="239">
        <f>IFERROR(IFERROR(VLOOKUP(B1374&amp;I1374&amp;Q1374,'New Weekly Paste'!A:M,8,0),VLOOKUP(B1374&amp;I1374&amp;Q1374,'New Weekly Paste'!B:O,10,0)),0)</f>
        <v>0</v>
      </c>
      <c r="L1374" s="239">
        <f t="shared" si="25"/>
        <v>0</v>
      </c>
      <c r="M1374" s="36" t="str">
        <f t="shared" si="3"/>
        <v>Playoffs</v>
      </c>
      <c r="N1374" s="239" t="str">
        <f t="shared" si="26"/>
        <v/>
      </c>
      <c r="O1374" s="6">
        <f>VLOOKUP(D1374,'Mapped Opponent'!$G$4:$H$22,2,0)</f>
        <v>17</v>
      </c>
      <c r="P1374" s="6"/>
      <c r="Q1374" s="6" t="str">
        <f t="shared" si="4"/>
        <v>Week 17</v>
      </c>
      <c r="R1374" s="6" t="str">
        <f t="shared" si="5"/>
        <v>2018Round 3</v>
      </c>
      <c r="S1374" s="6">
        <f>IFERROR(__xludf.DUMMYFUNCTION("rank(J1374,FILTER(J:J,R:R=R1374))"),1.0)</f>
        <v>1</v>
      </c>
      <c r="T1374" s="6">
        <f t="shared" si="6"/>
        <v>11</v>
      </c>
      <c r="U1374" s="6">
        <f t="shared" si="7"/>
        <v>1</v>
      </c>
      <c r="V1374" s="42">
        <f>averageif(AllData!A:A,B1374,AllData!R:R)/vlookup(B1374,AllData!A:O,15,0)</f>
        <v>99.39987179</v>
      </c>
      <c r="W1374" s="6"/>
    </row>
    <row r="1375" ht="14.25" customHeight="1">
      <c r="A1375" s="6" t="str">
        <f t="shared" si="1"/>
        <v>2018Rooney/Jackson17</v>
      </c>
      <c r="B1375" s="59">
        <v>2018.0</v>
      </c>
      <c r="C1375" s="13" t="s">
        <v>57</v>
      </c>
      <c r="D1375" s="13" t="s">
        <v>154</v>
      </c>
      <c r="E1375" s="34"/>
      <c r="F1375" s="6"/>
      <c r="H1375" s="6"/>
      <c r="I1375" s="35" t="str">
        <f>IFERROR(IFERROR(IFERROR(VLOOKUP(B1375&amp;C1375&amp;Q1375,'New Weekly Paste'!A:M,10,0),VLOOKUP(B1375&amp;C1375&amp;Q1375,'New Weekly Paste'!B:O,6,0)),""),"")</f>
        <v/>
      </c>
      <c r="J1375" s="239">
        <f>IFERROR(IFERROR(VLOOKUP(B1375&amp;C1375&amp;Q1375,'New Weekly Paste'!A:M,8,0),VLOOKUP(B1375&amp;C1375&amp;Q1375,'New Weekly Paste'!B:O,10,0)),0)</f>
        <v>0</v>
      </c>
      <c r="K1375" s="239">
        <f>IFERROR(IFERROR(VLOOKUP(B1375&amp;I1375&amp;Q1375,'New Weekly Paste'!A:M,8,0),VLOOKUP(B1375&amp;I1375&amp;Q1375,'New Weekly Paste'!B:O,10,0)),0)</f>
        <v>0</v>
      </c>
      <c r="L1375" s="239">
        <f t="shared" si="25"/>
        <v>0</v>
      </c>
      <c r="M1375" s="36" t="str">
        <f t="shared" si="3"/>
        <v>Playoffs</v>
      </c>
      <c r="N1375" s="239" t="str">
        <f t="shared" si="26"/>
        <v/>
      </c>
      <c r="O1375" s="6">
        <f>VLOOKUP(D1375,'Mapped Opponent'!$G$4:$H$22,2,0)</f>
        <v>17</v>
      </c>
      <c r="P1375" s="6"/>
      <c r="Q1375" s="6" t="str">
        <f t="shared" si="4"/>
        <v>Week 17</v>
      </c>
      <c r="R1375" s="6" t="str">
        <f t="shared" si="5"/>
        <v>2018Round 3</v>
      </c>
      <c r="S1375" s="6">
        <f>IFERROR(__xludf.DUMMYFUNCTION("rank(J1375,FILTER(J:J,R:R=R1375))"),1.0)</f>
        <v>1</v>
      </c>
      <c r="T1375" s="6">
        <f t="shared" si="6"/>
        <v>11</v>
      </c>
      <c r="U1375" s="6">
        <f t="shared" si="7"/>
        <v>1</v>
      </c>
      <c r="V1375" s="42">
        <f>averageif(AllData!A:A,B1375,AllData!R:R)/vlookup(B1375,AllData!A:O,15,0)</f>
        <v>99.39987179</v>
      </c>
      <c r="W1375" s="6"/>
    </row>
    <row r="1376" ht="14.25" customHeight="1">
      <c r="A1376" s="6" t="str">
        <f t="shared" si="1"/>
        <v>2018Buser17</v>
      </c>
      <c r="B1376" s="59">
        <v>2018.0</v>
      </c>
      <c r="C1376" s="13" t="s">
        <v>47</v>
      </c>
      <c r="D1376" s="13" t="s">
        <v>154</v>
      </c>
      <c r="E1376" s="34"/>
      <c r="F1376" s="6"/>
      <c r="H1376" s="6"/>
      <c r="I1376" s="35" t="str">
        <f>IFERROR(IFERROR(IFERROR(VLOOKUP(B1376&amp;C1376&amp;Q1376,'New Weekly Paste'!A:M,10,0),VLOOKUP(B1376&amp;C1376&amp;Q1376,'New Weekly Paste'!B:O,6,0)),""),"")</f>
        <v/>
      </c>
      <c r="J1376" s="239">
        <f>IFERROR(IFERROR(VLOOKUP(B1376&amp;C1376&amp;Q1376,'New Weekly Paste'!A:M,8,0),VLOOKUP(B1376&amp;C1376&amp;Q1376,'New Weekly Paste'!B:O,10,0)),0)</f>
        <v>0</v>
      </c>
      <c r="K1376" s="239">
        <f>IFERROR(IFERROR(VLOOKUP(B1376&amp;I1376&amp;Q1376,'New Weekly Paste'!A:M,8,0),VLOOKUP(B1376&amp;I1376&amp;Q1376,'New Weekly Paste'!B:O,10,0)),0)</f>
        <v>0</v>
      </c>
      <c r="L1376" s="239">
        <f t="shared" si="25"/>
        <v>0</v>
      </c>
      <c r="M1376" s="36" t="str">
        <f t="shared" si="3"/>
        <v>Playoffs</v>
      </c>
      <c r="N1376" s="239" t="str">
        <f t="shared" si="26"/>
        <v/>
      </c>
      <c r="O1376" s="6">
        <f>VLOOKUP(D1376,'Mapped Opponent'!$G$4:$H$22,2,0)</f>
        <v>17</v>
      </c>
      <c r="P1376" s="6"/>
      <c r="Q1376" s="6" t="str">
        <f t="shared" si="4"/>
        <v>Week 17</v>
      </c>
      <c r="R1376" s="6" t="str">
        <f t="shared" si="5"/>
        <v>2018Round 3</v>
      </c>
      <c r="S1376" s="6">
        <f>IFERROR(__xludf.DUMMYFUNCTION("rank(J1376,FILTER(J:J,R:R=R1376))"),1.0)</f>
        <v>1</v>
      </c>
      <c r="T1376" s="6">
        <f t="shared" si="6"/>
        <v>11</v>
      </c>
      <c r="U1376" s="6">
        <f t="shared" si="7"/>
        <v>1</v>
      </c>
      <c r="V1376" s="42">
        <f>averageif(AllData!A:A,B1376,AllData!R:R)/vlookup(B1376,AllData!A:O,15,0)</f>
        <v>99.39987179</v>
      </c>
      <c r="W1376" s="6"/>
    </row>
    <row r="1377" ht="14.25" customHeight="1">
      <c r="A1377" s="6" t="str">
        <f t="shared" si="1"/>
        <v>2018Pierson17</v>
      </c>
      <c r="B1377" s="59">
        <v>2018.0</v>
      </c>
      <c r="C1377" s="13" t="s">
        <v>92</v>
      </c>
      <c r="D1377" s="13" t="s">
        <v>154</v>
      </c>
      <c r="E1377" s="34"/>
      <c r="F1377" s="6"/>
      <c r="H1377" s="6"/>
      <c r="I1377" s="35" t="str">
        <f>IFERROR(IFERROR(IFERROR(VLOOKUP(B1377&amp;C1377&amp;Q1377,'New Weekly Paste'!A:M,10,0),VLOOKUP(B1377&amp;C1377&amp;Q1377,'New Weekly Paste'!B:O,6,0)),""),"")</f>
        <v/>
      </c>
      <c r="J1377" s="239">
        <f>IFERROR(IFERROR(VLOOKUP(B1377&amp;C1377&amp;Q1377,'New Weekly Paste'!A:M,8,0),VLOOKUP(B1377&amp;C1377&amp;Q1377,'New Weekly Paste'!B:O,10,0)),0)</f>
        <v>0</v>
      </c>
      <c r="K1377" s="239">
        <f>IFERROR(IFERROR(VLOOKUP(B1377&amp;I1377&amp;Q1377,'New Weekly Paste'!A:M,8,0),VLOOKUP(B1377&amp;I1377&amp;Q1377,'New Weekly Paste'!B:O,10,0)),0)</f>
        <v>0</v>
      </c>
      <c r="L1377" s="239">
        <f t="shared" si="25"/>
        <v>0</v>
      </c>
      <c r="M1377" s="36" t="str">
        <f t="shared" si="3"/>
        <v>Playoffs</v>
      </c>
      <c r="N1377" s="239" t="str">
        <f t="shared" si="26"/>
        <v/>
      </c>
      <c r="O1377" s="6">
        <f>VLOOKUP(D1377,'Mapped Opponent'!$G$4:$H$22,2,0)</f>
        <v>17</v>
      </c>
      <c r="P1377" s="6"/>
      <c r="Q1377" s="6" t="str">
        <f t="shared" si="4"/>
        <v>Week 17</v>
      </c>
      <c r="R1377" s="6" t="str">
        <f t="shared" si="5"/>
        <v>2018Round 3</v>
      </c>
      <c r="S1377" s="6">
        <f>IFERROR(__xludf.DUMMYFUNCTION("rank(J1377,FILTER(J:J,R:R=R1377))"),1.0)</f>
        <v>1</v>
      </c>
      <c r="T1377" s="6">
        <f t="shared" si="6"/>
        <v>11</v>
      </c>
      <c r="U1377" s="6">
        <f t="shared" si="7"/>
        <v>1</v>
      </c>
      <c r="V1377" s="42">
        <f>averageif(AllData!A:A,B1377,AllData!R:R)/vlookup(B1377,AllData!A:O,15,0)</f>
        <v>99.39987179</v>
      </c>
      <c r="W1377" s="6"/>
    </row>
    <row r="1378" ht="14.25" customHeight="1">
      <c r="A1378" s="6" t="str">
        <f t="shared" si="1"/>
        <v>2018Cock17</v>
      </c>
      <c r="B1378" s="59">
        <v>2018.0</v>
      </c>
      <c r="C1378" s="13" t="s">
        <v>72</v>
      </c>
      <c r="D1378" s="13" t="s">
        <v>154</v>
      </c>
      <c r="E1378" s="34"/>
      <c r="F1378" s="6"/>
      <c r="H1378" s="6"/>
      <c r="I1378" s="35" t="str">
        <f>IFERROR(IFERROR(IFERROR(VLOOKUP(B1378&amp;C1378&amp;Q1378,'New Weekly Paste'!A:M,10,0),VLOOKUP(B1378&amp;C1378&amp;Q1378,'New Weekly Paste'!B:O,6,0)),""),"")</f>
        <v/>
      </c>
      <c r="J1378" s="239">
        <f>IFERROR(IFERROR(VLOOKUP(B1378&amp;C1378&amp;Q1378,'New Weekly Paste'!A:M,8,0),VLOOKUP(B1378&amp;C1378&amp;Q1378,'New Weekly Paste'!B:O,10,0)),0)</f>
        <v>0</v>
      </c>
      <c r="K1378" s="239">
        <f>IFERROR(IFERROR(VLOOKUP(B1378&amp;I1378&amp;Q1378,'New Weekly Paste'!A:M,8,0),VLOOKUP(B1378&amp;I1378&amp;Q1378,'New Weekly Paste'!B:O,10,0)),0)</f>
        <v>0</v>
      </c>
      <c r="L1378" s="239">
        <f t="shared" si="25"/>
        <v>0</v>
      </c>
      <c r="M1378" s="36" t="str">
        <f t="shared" si="3"/>
        <v>Playoffs</v>
      </c>
      <c r="N1378" s="239" t="str">
        <f t="shared" si="26"/>
        <v/>
      </c>
      <c r="O1378" s="6">
        <f>VLOOKUP(D1378,'Mapped Opponent'!$G$4:$H$22,2,0)</f>
        <v>17</v>
      </c>
      <c r="P1378" s="6"/>
      <c r="Q1378" s="6" t="str">
        <f t="shared" si="4"/>
        <v>Week 17</v>
      </c>
      <c r="R1378" s="6" t="str">
        <f t="shared" si="5"/>
        <v>2018Round 3</v>
      </c>
      <c r="S1378" s="6">
        <f>IFERROR(__xludf.DUMMYFUNCTION("rank(J1378,FILTER(J:J,R:R=R1378))"),1.0)</f>
        <v>1</v>
      </c>
      <c r="T1378" s="6">
        <f t="shared" si="6"/>
        <v>11</v>
      </c>
      <c r="U1378" s="6">
        <f t="shared" si="7"/>
        <v>1</v>
      </c>
      <c r="V1378" s="42">
        <f>averageif(AllData!A:A,B1378,AllData!R:R)/vlookup(B1378,AllData!A:O,15,0)</f>
        <v>99.39987179</v>
      </c>
      <c r="W1378" s="6"/>
    </row>
    <row r="1379" ht="14.25" customHeight="1">
      <c r="A1379" s="6" t="str">
        <f t="shared" si="1"/>
        <v>2018Tayski17</v>
      </c>
      <c r="B1379" s="59">
        <v>2018.0</v>
      </c>
      <c r="C1379" s="13" t="s">
        <v>52</v>
      </c>
      <c r="D1379" s="13" t="s">
        <v>154</v>
      </c>
      <c r="E1379" s="34"/>
      <c r="F1379" s="6"/>
      <c r="H1379" s="6"/>
      <c r="I1379" s="35" t="str">
        <f>IFERROR(IFERROR(IFERROR(VLOOKUP(B1379&amp;C1379&amp;Q1379,'New Weekly Paste'!A:M,10,0),VLOOKUP(B1379&amp;C1379&amp;Q1379,'New Weekly Paste'!B:O,6,0)),""),"")</f>
        <v/>
      </c>
      <c r="J1379" s="239">
        <f>IFERROR(IFERROR(VLOOKUP(B1379&amp;C1379&amp;Q1379,'New Weekly Paste'!A:M,8,0),VLOOKUP(B1379&amp;C1379&amp;Q1379,'New Weekly Paste'!B:O,10,0)),0)</f>
        <v>0</v>
      </c>
      <c r="K1379" s="239">
        <f>IFERROR(IFERROR(VLOOKUP(B1379&amp;I1379&amp;Q1379,'New Weekly Paste'!A:M,8,0),VLOOKUP(B1379&amp;I1379&amp;Q1379,'New Weekly Paste'!B:O,10,0)),0)</f>
        <v>0</v>
      </c>
      <c r="L1379" s="239">
        <f t="shared" si="25"/>
        <v>0</v>
      </c>
      <c r="M1379" s="36" t="str">
        <f t="shared" si="3"/>
        <v>Playoffs</v>
      </c>
      <c r="N1379" s="239" t="str">
        <f t="shared" si="26"/>
        <v/>
      </c>
      <c r="O1379" s="6">
        <f>VLOOKUP(D1379,'Mapped Opponent'!$G$4:$H$22,2,0)</f>
        <v>17</v>
      </c>
      <c r="P1379" s="6"/>
      <c r="Q1379" s="6" t="str">
        <f t="shared" si="4"/>
        <v>Week 17</v>
      </c>
      <c r="R1379" s="6" t="str">
        <f t="shared" si="5"/>
        <v>2018Round 3</v>
      </c>
      <c r="S1379" s="6">
        <f>IFERROR(__xludf.DUMMYFUNCTION("rank(J1379,FILTER(J:J,R:R=R1379))"),1.0)</f>
        <v>1</v>
      </c>
      <c r="T1379" s="6">
        <f t="shared" si="6"/>
        <v>11</v>
      </c>
      <c r="U1379" s="6">
        <f t="shared" si="7"/>
        <v>1</v>
      </c>
      <c r="V1379" s="42">
        <f>averageif(AllData!A:A,B1379,AllData!R:R)/vlookup(B1379,AllData!A:O,15,0)</f>
        <v>99.39987179</v>
      </c>
      <c r="W1379" s="6"/>
    </row>
    <row r="1380" ht="14.25" customHeight="1">
      <c r="A1380" s="6" t="str">
        <f t="shared" si="1"/>
        <v>2018KnardDawg17</v>
      </c>
      <c r="B1380" s="59">
        <v>2018.0</v>
      </c>
      <c r="C1380" s="13" t="s">
        <v>86</v>
      </c>
      <c r="D1380" s="13" t="s">
        <v>154</v>
      </c>
      <c r="E1380" s="34"/>
      <c r="F1380" s="6"/>
      <c r="H1380" s="6"/>
      <c r="I1380" s="35" t="str">
        <f>IFERROR(IFERROR(IFERROR(VLOOKUP(B1380&amp;C1380&amp;Q1380,'New Weekly Paste'!A:M,10,0),VLOOKUP(B1380&amp;C1380&amp;Q1380,'New Weekly Paste'!B:O,6,0)),""),"")</f>
        <v/>
      </c>
      <c r="J1380" s="239">
        <f>IFERROR(IFERROR(VLOOKUP(B1380&amp;C1380&amp;Q1380,'New Weekly Paste'!A:M,8,0),VLOOKUP(B1380&amp;C1380&amp;Q1380,'New Weekly Paste'!B:O,10,0)),0)</f>
        <v>0</v>
      </c>
      <c r="K1380" s="239">
        <f>IFERROR(IFERROR(VLOOKUP(B1380&amp;I1380&amp;Q1380,'New Weekly Paste'!A:M,8,0),VLOOKUP(B1380&amp;I1380&amp;Q1380,'New Weekly Paste'!B:O,10,0)),0)</f>
        <v>0</v>
      </c>
      <c r="L1380" s="239">
        <f t="shared" si="25"/>
        <v>0</v>
      </c>
      <c r="M1380" s="36" t="str">
        <f t="shared" si="3"/>
        <v>Playoffs</v>
      </c>
      <c r="N1380" s="239" t="str">
        <f t="shared" si="26"/>
        <v/>
      </c>
      <c r="O1380" s="6">
        <f>VLOOKUP(D1380,'Mapped Opponent'!$G$4:$H$22,2,0)</f>
        <v>17</v>
      </c>
      <c r="P1380" s="6"/>
      <c r="Q1380" s="6" t="str">
        <f t="shared" si="4"/>
        <v>Week 17</v>
      </c>
      <c r="R1380" s="6" t="str">
        <f t="shared" si="5"/>
        <v>2018Round 3</v>
      </c>
      <c r="S1380" s="6">
        <f>IFERROR(__xludf.DUMMYFUNCTION("rank(J1380,FILTER(J:J,R:R=R1380))"),1.0)</f>
        <v>1</v>
      </c>
      <c r="T1380" s="6">
        <f t="shared" si="6"/>
        <v>11</v>
      </c>
      <c r="U1380" s="6">
        <f t="shared" si="7"/>
        <v>1</v>
      </c>
      <c r="V1380" s="42">
        <f>averageif(AllData!A:A,B1380,AllData!R:R)/vlookup(B1380,AllData!A:O,15,0)</f>
        <v>99.39987179</v>
      </c>
      <c r="W1380" s="6"/>
    </row>
    <row r="1381" ht="14.25" customHeight="1">
      <c r="A1381" s="6" t="str">
        <f t="shared" si="1"/>
        <v>2018T-How17</v>
      </c>
      <c r="B1381" s="59">
        <v>2018.0</v>
      </c>
      <c r="C1381" s="13" t="s">
        <v>82</v>
      </c>
      <c r="D1381" s="13" t="s">
        <v>154</v>
      </c>
      <c r="E1381" s="34"/>
      <c r="F1381" s="6"/>
      <c r="H1381" s="6"/>
      <c r="I1381" s="35" t="str">
        <f>IFERROR(IFERROR(IFERROR(VLOOKUP(B1381&amp;C1381&amp;Q1381,'New Weekly Paste'!A:M,10,0),VLOOKUP(B1381&amp;C1381&amp;Q1381,'New Weekly Paste'!B:O,6,0)),""),"")</f>
        <v/>
      </c>
      <c r="J1381" s="239">
        <f>IFERROR(IFERROR(VLOOKUP(B1381&amp;C1381&amp;Q1381,'New Weekly Paste'!A:M,8,0),VLOOKUP(B1381&amp;C1381&amp;Q1381,'New Weekly Paste'!B:O,10,0)),0)</f>
        <v>0</v>
      </c>
      <c r="K1381" s="239">
        <f>IFERROR(IFERROR(VLOOKUP(B1381&amp;I1381&amp;Q1381,'New Weekly Paste'!A:M,8,0),VLOOKUP(B1381&amp;I1381&amp;Q1381,'New Weekly Paste'!B:O,10,0)),0)</f>
        <v>0</v>
      </c>
      <c r="L1381" s="239">
        <f t="shared" si="25"/>
        <v>0</v>
      </c>
      <c r="M1381" s="36" t="str">
        <f t="shared" si="3"/>
        <v>Playoffs</v>
      </c>
      <c r="N1381" s="239" t="str">
        <f t="shared" si="26"/>
        <v/>
      </c>
      <c r="O1381" s="6">
        <f>VLOOKUP(D1381,'Mapped Opponent'!$G$4:$H$22,2,0)</f>
        <v>17</v>
      </c>
      <c r="P1381" s="6"/>
      <c r="Q1381" s="6" t="str">
        <f t="shared" si="4"/>
        <v>Week 17</v>
      </c>
      <c r="R1381" s="6" t="str">
        <f t="shared" si="5"/>
        <v>2018Round 3</v>
      </c>
      <c r="S1381" s="6">
        <f>IFERROR(__xludf.DUMMYFUNCTION("rank(J1381,FILTER(J:J,R:R=R1381))"),1.0)</f>
        <v>1</v>
      </c>
      <c r="T1381" s="6">
        <f t="shared" si="6"/>
        <v>11</v>
      </c>
      <c r="U1381" s="6">
        <f t="shared" si="7"/>
        <v>1</v>
      </c>
      <c r="V1381" s="42">
        <f>averageif(AllData!A:A,B1381,AllData!R:R)/vlookup(B1381,AllData!A:O,15,0)</f>
        <v>99.39987179</v>
      </c>
      <c r="W1381" s="6"/>
    </row>
    <row r="1382" ht="14.25" customHeight="1">
      <c r="A1382" s="6" t="str">
        <f t="shared" si="1"/>
        <v>2018Hudspeath1</v>
      </c>
      <c r="B1382" s="59">
        <v>2018.0</v>
      </c>
      <c r="C1382" s="13" t="s">
        <v>39</v>
      </c>
      <c r="D1382" s="13" t="s">
        <v>129</v>
      </c>
      <c r="E1382" s="34"/>
      <c r="F1382" s="6"/>
      <c r="H1382" s="6"/>
      <c r="I1382" s="35" t="str">
        <f>IFERROR(IFERROR(IFERROR(VLOOKUP(B1382&amp;C1382&amp;Q1382,'New Weekly Paste'!A:M,10,0),VLOOKUP(B1382&amp;C1382&amp;Q1382,'New Weekly Paste'!B:O,6,0)),""),"")</f>
        <v>Pierson</v>
      </c>
      <c r="J1382" s="239">
        <f>IFERROR(IFERROR(VLOOKUP(B1382&amp;C1382&amp;Q1382,'New Weekly Paste'!A:M,8,0),VLOOKUP(B1382&amp;C1382&amp;Q1382,'New Weekly Paste'!B:O,10,0)),0)</f>
        <v>92.9</v>
      </c>
      <c r="K1382" s="239">
        <f>IFERROR(IFERROR(VLOOKUP(B1382&amp;I1382&amp;Q1382,'New Weekly Paste'!A:M,8,0),VLOOKUP(B1382&amp;I1382&amp;Q1382,'New Weekly Paste'!B:O,10,0)),0)</f>
        <v>92.26</v>
      </c>
      <c r="L1382" s="239">
        <f t="shared" si="25"/>
        <v>1</v>
      </c>
      <c r="M1382" s="36" t="str">
        <f t="shared" si="3"/>
        <v>Regular Season</v>
      </c>
      <c r="N1382" s="239" t="str">
        <f t="shared" si="26"/>
        <v>Pierson</v>
      </c>
      <c r="O1382" s="6">
        <f>VLOOKUP(D1382,'Mapped Opponent'!$G$4:$H$22,2,0)</f>
        <v>1</v>
      </c>
      <c r="P1382" s="6"/>
      <c r="Q1382" s="6" t="str">
        <f t="shared" si="4"/>
        <v>Week 1</v>
      </c>
      <c r="R1382" s="6" t="str">
        <f t="shared" si="5"/>
        <v>2018Week 1</v>
      </c>
      <c r="S1382" s="6">
        <f>IFERROR(__xludf.DUMMYFUNCTION("rank(J1382,FILTER(J:J,R:R=R1382))"),7.0)</f>
        <v>7</v>
      </c>
      <c r="T1382" s="6">
        <f t="shared" si="6"/>
        <v>5</v>
      </c>
      <c r="U1382" s="6">
        <f t="shared" si="7"/>
        <v>7</v>
      </c>
      <c r="V1382" s="42">
        <f>averageif(AllData!A:A,B1382,AllData!R:R)/vlookup(B1382,AllData!A:O,15,0)</f>
        <v>99.39987179</v>
      </c>
      <c r="W1382" s="6"/>
    </row>
    <row r="1383" ht="14.25" customHeight="1">
      <c r="A1383" s="6" t="str">
        <f t="shared" si="1"/>
        <v>2018Salty1</v>
      </c>
      <c r="B1383" s="59">
        <v>2018.0</v>
      </c>
      <c r="C1383" s="13" t="s">
        <v>76</v>
      </c>
      <c r="D1383" s="13" t="s">
        <v>129</v>
      </c>
      <c r="E1383" s="34"/>
      <c r="F1383" s="6"/>
      <c r="H1383" s="6"/>
      <c r="I1383" s="35" t="str">
        <f>IFERROR(IFERROR(IFERROR(VLOOKUP(B1383&amp;C1383&amp;Q1383,'New Weekly Paste'!A:M,10,0),VLOOKUP(B1383&amp;C1383&amp;Q1383,'New Weekly Paste'!B:O,6,0)),""),"")</f>
        <v>KnardDawg</v>
      </c>
      <c r="J1383" s="239">
        <f>IFERROR(IFERROR(VLOOKUP(B1383&amp;C1383&amp;Q1383,'New Weekly Paste'!A:M,8,0),VLOOKUP(B1383&amp;C1383&amp;Q1383,'New Weekly Paste'!B:O,10,0)),0)</f>
        <v>143.46</v>
      </c>
      <c r="K1383" s="239">
        <f>IFERROR(IFERROR(VLOOKUP(B1383&amp;I1383&amp;Q1383,'New Weekly Paste'!A:M,8,0),VLOOKUP(B1383&amp;I1383&amp;Q1383,'New Weekly Paste'!B:O,10,0)),0)</f>
        <v>100.26</v>
      </c>
      <c r="L1383" s="239">
        <f t="shared" si="25"/>
        <v>1</v>
      </c>
      <c r="M1383" s="36" t="str">
        <f t="shared" si="3"/>
        <v>Regular Season</v>
      </c>
      <c r="N1383" s="239" t="str">
        <f t="shared" si="26"/>
        <v>KnardDawg</v>
      </c>
      <c r="O1383" s="6">
        <f>VLOOKUP(D1383,'Mapped Opponent'!$G$4:$H$22,2,0)</f>
        <v>1</v>
      </c>
      <c r="P1383" s="6"/>
      <c r="Q1383" s="6" t="str">
        <f t="shared" si="4"/>
        <v>Week 1</v>
      </c>
      <c r="R1383" s="6" t="str">
        <f t="shared" si="5"/>
        <v>2018Week 1</v>
      </c>
      <c r="S1383" s="6">
        <f>IFERROR(__xludf.DUMMYFUNCTION("rank(J1383,FILTER(J:J,R:R=R1383))"),1.0)</f>
        <v>1</v>
      </c>
      <c r="T1383" s="6">
        <f t="shared" si="6"/>
        <v>11</v>
      </c>
      <c r="U1383" s="6">
        <f t="shared" si="7"/>
        <v>1</v>
      </c>
      <c r="V1383" s="42">
        <f>averageif(AllData!A:A,B1383,AllData!R:R)/vlookup(B1383,AllData!A:O,15,0)</f>
        <v>99.39987179</v>
      </c>
      <c r="W1383" s="6"/>
    </row>
    <row r="1384" ht="14.25" customHeight="1">
      <c r="A1384" s="6" t="str">
        <f t="shared" si="1"/>
        <v>2018Fellows1</v>
      </c>
      <c r="B1384" s="59">
        <v>2018.0</v>
      </c>
      <c r="C1384" s="13" t="s">
        <v>79</v>
      </c>
      <c r="D1384" s="13" t="s">
        <v>129</v>
      </c>
      <c r="E1384" s="34"/>
      <c r="F1384" s="6"/>
      <c r="H1384" s="6"/>
      <c r="I1384" s="35" t="str">
        <f>IFERROR(IFERROR(IFERROR(VLOOKUP(B1384&amp;C1384&amp;Q1384,'New Weekly Paste'!A:M,10,0),VLOOKUP(B1384&amp;C1384&amp;Q1384,'New Weekly Paste'!B:O,6,0)),""),"")</f>
        <v>Cock</v>
      </c>
      <c r="J1384" s="239">
        <f>IFERROR(IFERROR(VLOOKUP(B1384&amp;C1384&amp;Q1384,'New Weekly Paste'!A:M,8,0),VLOOKUP(B1384&amp;C1384&amp;Q1384,'New Weekly Paste'!B:O,10,0)),0)</f>
        <v>97.54</v>
      </c>
      <c r="K1384" s="239">
        <f>IFERROR(IFERROR(VLOOKUP(B1384&amp;I1384&amp;Q1384,'New Weekly Paste'!A:M,8,0),VLOOKUP(B1384&amp;I1384&amp;Q1384,'New Weekly Paste'!B:O,10,0)),0)</f>
        <v>91.06</v>
      </c>
      <c r="L1384" s="239">
        <f t="shared" si="25"/>
        <v>1</v>
      </c>
      <c r="M1384" s="36" t="str">
        <f t="shared" si="3"/>
        <v>Regular Season</v>
      </c>
      <c r="N1384" s="239" t="str">
        <f t="shared" si="26"/>
        <v>Cock</v>
      </c>
      <c r="O1384" s="6">
        <f>VLOOKUP(D1384,'Mapped Opponent'!$G$4:$H$22,2,0)</f>
        <v>1</v>
      </c>
      <c r="P1384" s="6"/>
      <c r="Q1384" s="6" t="str">
        <f t="shared" si="4"/>
        <v>Week 1</v>
      </c>
      <c r="R1384" s="6" t="str">
        <f t="shared" si="5"/>
        <v>2018Week 1</v>
      </c>
      <c r="S1384" s="6">
        <f>IFERROR(__xludf.DUMMYFUNCTION("rank(J1384,FILTER(J:J,R:R=R1384))"),6.0)</f>
        <v>6</v>
      </c>
      <c r="T1384" s="6">
        <f t="shared" si="6"/>
        <v>6</v>
      </c>
      <c r="U1384" s="6">
        <f t="shared" si="7"/>
        <v>6</v>
      </c>
      <c r="V1384" s="42">
        <f>averageif(AllData!A:A,B1384,AllData!R:R)/vlookup(B1384,AllData!A:O,15,0)</f>
        <v>99.39987179</v>
      </c>
      <c r="W1384" s="6"/>
    </row>
    <row r="1385" ht="14.25" customHeight="1">
      <c r="A1385" s="6" t="str">
        <f t="shared" si="1"/>
        <v>2018Shep1</v>
      </c>
      <c r="B1385" s="59">
        <v>2018.0</v>
      </c>
      <c r="C1385" s="13" t="s">
        <v>89</v>
      </c>
      <c r="D1385" s="13" t="s">
        <v>129</v>
      </c>
      <c r="E1385" s="34"/>
      <c r="F1385" s="6"/>
      <c r="H1385" s="6"/>
      <c r="I1385" s="35" t="str">
        <f>IFERROR(IFERROR(IFERROR(VLOOKUP(B1385&amp;C1385&amp;Q1385,'New Weekly Paste'!A:M,10,0),VLOOKUP(B1385&amp;C1385&amp;Q1385,'New Weekly Paste'!B:O,6,0)),""),"")</f>
        <v>Tayski</v>
      </c>
      <c r="J1385" s="239">
        <f>IFERROR(IFERROR(VLOOKUP(B1385&amp;C1385&amp;Q1385,'New Weekly Paste'!A:M,8,0),VLOOKUP(B1385&amp;C1385&amp;Q1385,'New Weekly Paste'!B:O,10,0)),0)</f>
        <v>99.54</v>
      </c>
      <c r="K1385" s="239">
        <f>IFERROR(IFERROR(VLOOKUP(B1385&amp;I1385&amp;Q1385,'New Weekly Paste'!A:M,8,0),VLOOKUP(B1385&amp;I1385&amp;Q1385,'New Weekly Paste'!B:O,10,0)),0)</f>
        <v>113.32</v>
      </c>
      <c r="L1385" s="239">
        <f t="shared" si="25"/>
        <v>0</v>
      </c>
      <c r="M1385" s="36" t="str">
        <f t="shared" si="3"/>
        <v>Regular Season</v>
      </c>
      <c r="N1385" s="239" t="str">
        <f t="shared" si="26"/>
        <v>Tayski</v>
      </c>
      <c r="O1385" s="6">
        <f>VLOOKUP(D1385,'Mapped Opponent'!$G$4:$H$22,2,0)</f>
        <v>1</v>
      </c>
      <c r="P1385" s="6"/>
      <c r="Q1385" s="6" t="str">
        <f t="shared" si="4"/>
        <v>Week 1</v>
      </c>
      <c r="R1385" s="6" t="str">
        <f t="shared" si="5"/>
        <v>2018Week 1</v>
      </c>
      <c r="S1385" s="6">
        <f>IFERROR(__xludf.DUMMYFUNCTION("rank(J1385,FILTER(J:J,R:R=R1385))"),5.0)</f>
        <v>5</v>
      </c>
      <c r="T1385" s="6">
        <f t="shared" si="6"/>
        <v>7</v>
      </c>
      <c r="U1385" s="6">
        <f t="shared" si="7"/>
        <v>5</v>
      </c>
      <c r="V1385" s="42">
        <f>averageif(AllData!A:A,B1385,AllData!R:R)/vlookup(B1385,AllData!A:O,15,0)</f>
        <v>99.39987179</v>
      </c>
      <c r="W1385" s="6"/>
    </row>
    <row r="1386" ht="14.25" customHeight="1">
      <c r="A1386" s="6" t="str">
        <f t="shared" si="1"/>
        <v>2018Riley1</v>
      </c>
      <c r="B1386" s="59">
        <v>2018.0</v>
      </c>
      <c r="C1386" s="13" t="s">
        <v>67</v>
      </c>
      <c r="D1386" s="13" t="s">
        <v>129</v>
      </c>
      <c r="E1386" s="34"/>
      <c r="F1386" s="6"/>
      <c r="H1386" s="6"/>
      <c r="I1386" s="35" t="str">
        <f>IFERROR(IFERROR(IFERROR(VLOOKUP(B1386&amp;C1386&amp;Q1386,'New Weekly Paste'!A:M,10,0),VLOOKUP(B1386&amp;C1386&amp;Q1386,'New Weekly Paste'!B:O,6,0)),""),"")</f>
        <v>Buser</v>
      </c>
      <c r="J1386" s="239">
        <f>IFERROR(IFERROR(VLOOKUP(B1386&amp;C1386&amp;Q1386,'New Weekly Paste'!A:M,8,0),VLOOKUP(B1386&amp;C1386&amp;Q1386,'New Weekly Paste'!B:O,10,0)),0)</f>
        <v>117.34</v>
      </c>
      <c r="K1386" s="239">
        <f>IFERROR(IFERROR(VLOOKUP(B1386&amp;I1386&amp;Q1386,'New Weekly Paste'!A:M,8,0),VLOOKUP(B1386&amp;I1386&amp;Q1386,'New Weekly Paste'!B:O,10,0)),0)</f>
        <v>74.84</v>
      </c>
      <c r="L1386" s="239">
        <f t="shared" si="25"/>
        <v>1</v>
      </c>
      <c r="M1386" s="36" t="str">
        <f t="shared" si="3"/>
        <v>Regular Season</v>
      </c>
      <c r="N1386" s="239" t="str">
        <f t="shared" si="26"/>
        <v>Buser</v>
      </c>
      <c r="O1386" s="6">
        <f>VLOOKUP(D1386,'Mapped Opponent'!$G$4:$H$22,2,0)</f>
        <v>1</v>
      </c>
      <c r="P1386" s="6"/>
      <c r="Q1386" s="6" t="str">
        <f t="shared" si="4"/>
        <v>Week 1</v>
      </c>
      <c r="R1386" s="6" t="str">
        <f t="shared" si="5"/>
        <v>2018Week 1</v>
      </c>
      <c r="S1386" s="6">
        <f>IFERROR(__xludf.DUMMYFUNCTION("rank(J1386,FILTER(J:J,R:R=R1386))"),2.0)</f>
        <v>2</v>
      </c>
      <c r="T1386" s="6">
        <f t="shared" si="6"/>
        <v>10</v>
      </c>
      <c r="U1386" s="6">
        <f t="shared" si="7"/>
        <v>2</v>
      </c>
      <c r="V1386" s="42">
        <f>averageif(AllData!A:A,B1386,AllData!R:R)/vlookup(B1386,AllData!A:O,15,0)</f>
        <v>99.39987179</v>
      </c>
      <c r="W1386" s="6"/>
    </row>
    <row r="1387" ht="14.25" customHeight="1">
      <c r="A1387" s="6" t="str">
        <f t="shared" si="1"/>
        <v>2018Rooney/Jackson1</v>
      </c>
      <c r="B1387" s="59">
        <v>2018.0</v>
      </c>
      <c r="C1387" s="13" t="s">
        <v>57</v>
      </c>
      <c r="D1387" s="13" t="s">
        <v>129</v>
      </c>
      <c r="E1387" s="34"/>
      <c r="F1387" s="6"/>
      <c r="H1387" s="6"/>
      <c r="I1387" s="35" t="str">
        <f>IFERROR(IFERROR(IFERROR(VLOOKUP(B1387&amp;C1387&amp;Q1387,'New Weekly Paste'!A:M,10,0),VLOOKUP(B1387&amp;C1387&amp;Q1387,'New Weekly Paste'!B:O,6,0)),""),"")</f>
        <v>T-How</v>
      </c>
      <c r="J1387" s="239">
        <f>IFERROR(IFERROR(VLOOKUP(B1387&amp;C1387&amp;Q1387,'New Weekly Paste'!A:M,8,0),VLOOKUP(B1387&amp;C1387&amp;Q1387,'New Weekly Paste'!B:O,10,0)),0)</f>
        <v>87.32</v>
      </c>
      <c r="K1387" s="239">
        <f>IFERROR(IFERROR(VLOOKUP(B1387&amp;I1387&amp;Q1387,'New Weekly Paste'!A:M,8,0),VLOOKUP(B1387&amp;I1387&amp;Q1387,'New Weekly Paste'!B:O,10,0)),0)</f>
        <v>92.28</v>
      </c>
      <c r="L1387" s="239">
        <f t="shared" si="25"/>
        <v>0</v>
      </c>
      <c r="M1387" s="36" t="str">
        <f t="shared" si="3"/>
        <v>Regular Season</v>
      </c>
      <c r="N1387" s="239" t="str">
        <f t="shared" si="26"/>
        <v>T-How</v>
      </c>
      <c r="O1387" s="6">
        <f>VLOOKUP(D1387,'Mapped Opponent'!$G$4:$H$22,2,0)</f>
        <v>1</v>
      </c>
      <c r="P1387" s="6"/>
      <c r="Q1387" s="6" t="str">
        <f t="shared" si="4"/>
        <v>Week 1</v>
      </c>
      <c r="R1387" s="6" t="str">
        <f t="shared" si="5"/>
        <v>2018Week 1</v>
      </c>
      <c r="S1387" s="6">
        <f>IFERROR(__xludf.DUMMYFUNCTION("rank(J1387,FILTER(J:J,R:R=R1387))"),11.0)</f>
        <v>11</v>
      </c>
      <c r="T1387" s="6">
        <f t="shared" si="6"/>
        <v>1</v>
      </c>
      <c r="U1387" s="6">
        <f t="shared" si="7"/>
        <v>11</v>
      </c>
      <c r="V1387" s="42">
        <f>averageif(AllData!A:A,B1387,AllData!R:R)/vlookup(B1387,AllData!A:O,15,0)</f>
        <v>99.39987179</v>
      </c>
      <c r="W1387" s="6"/>
    </row>
    <row r="1388" ht="14.25" customHeight="1">
      <c r="A1388" s="6" t="str">
        <f t="shared" si="1"/>
        <v>2018Buser1</v>
      </c>
      <c r="B1388" s="59">
        <v>2018.0</v>
      </c>
      <c r="C1388" s="13" t="s">
        <v>47</v>
      </c>
      <c r="D1388" s="13" t="s">
        <v>129</v>
      </c>
      <c r="E1388" s="34"/>
      <c r="F1388" s="6"/>
      <c r="H1388" s="6"/>
      <c r="I1388" s="35" t="str">
        <f>IFERROR(IFERROR(IFERROR(VLOOKUP(B1388&amp;C1388&amp;Q1388,'New Weekly Paste'!A:M,10,0),VLOOKUP(B1388&amp;C1388&amp;Q1388,'New Weekly Paste'!B:O,6,0)),""),"")</f>
        <v>Riley</v>
      </c>
      <c r="J1388" s="239">
        <f>IFERROR(IFERROR(VLOOKUP(B1388&amp;C1388&amp;Q1388,'New Weekly Paste'!A:M,8,0),VLOOKUP(B1388&amp;C1388&amp;Q1388,'New Weekly Paste'!B:O,10,0)),0)</f>
        <v>74.84</v>
      </c>
      <c r="K1388" s="239">
        <f>IFERROR(IFERROR(VLOOKUP(B1388&amp;I1388&amp;Q1388,'New Weekly Paste'!A:M,8,0),VLOOKUP(B1388&amp;I1388&amp;Q1388,'New Weekly Paste'!B:O,10,0)),0)</f>
        <v>117.34</v>
      </c>
      <c r="L1388" s="239">
        <f t="shared" si="25"/>
        <v>0</v>
      </c>
      <c r="M1388" s="36" t="str">
        <f t="shared" si="3"/>
        <v>Regular Season</v>
      </c>
      <c r="N1388" s="239" t="str">
        <f t="shared" si="26"/>
        <v>Riley</v>
      </c>
      <c r="O1388" s="6">
        <f>VLOOKUP(D1388,'Mapped Opponent'!$G$4:$H$22,2,0)</f>
        <v>1</v>
      </c>
      <c r="P1388" s="6"/>
      <c r="Q1388" s="6" t="str">
        <f t="shared" si="4"/>
        <v>Week 1</v>
      </c>
      <c r="R1388" s="6" t="str">
        <f t="shared" si="5"/>
        <v>2018Week 1</v>
      </c>
      <c r="S1388" s="6">
        <f>IFERROR(__xludf.DUMMYFUNCTION("rank(J1388,FILTER(J:J,R:R=R1388))"),12.0)</f>
        <v>12</v>
      </c>
      <c r="T1388" s="6">
        <f t="shared" si="6"/>
        <v>0</v>
      </c>
      <c r="U1388" s="6">
        <f t="shared" si="7"/>
        <v>12</v>
      </c>
      <c r="V1388" s="42">
        <f>averageif(AllData!A:A,B1388,AllData!R:R)/vlookup(B1388,AllData!A:O,15,0)</f>
        <v>99.39987179</v>
      </c>
      <c r="W1388" s="6"/>
    </row>
    <row r="1389" ht="14.25" customHeight="1">
      <c r="A1389" s="6" t="str">
        <f t="shared" si="1"/>
        <v>2018Pierson1</v>
      </c>
      <c r="B1389" s="59">
        <v>2018.0</v>
      </c>
      <c r="C1389" s="13" t="s">
        <v>92</v>
      </c>
      <c r="D1389" s="13" t="s">
        <v>129</v>
      </c>
      <c r="E1389" s="34"/>
      <c r="F1389" s="6"/>
      <c r="H1389" s="6"/>
      <c r="I1389" s="35" t="str">
        <f>IFERROR(IFERROR(IFERROR(VLOOKUP(B1389&amp;C1389&amp;Q1389,'New Weekly Paste'!A:M,10,0),VLOOKUP(B1389&amp;C1389&amp;Q1389,'New Weekly Paste'!B:O,6,0)),""),"")</f>
        <v>Hudspeath</v>
      </c>
      <c r="J1389" s="239">
        <f>IFERROR(IFERROR(VLOOKUP(B1389&amp;C1389&amp;Q1389,'New Weekly Paste'!A:M,8,0),VLOOKUP(B1389&amp;C1389&amp;Q1389,'New Weekly Paste'!B:O,10,0)),0)</f>
        <v>92.26</v>
      </c>
      <c r="K1389" s="239">
        <f>IFERROR(IFERROR(VLOOKUP(B1389&amp;I1389&amp;Q1389,'New Weekly Paste'!A:M,8,0),VLOOKUP(B1389&amp;I1389&amp;Q1389,'New Weekly Paste'!B:O,10,0)),0)</f>
        <v>92.9</v>
      </c>
      <c r="L1389" s="239">
        <f t="shared" si="25"/>
        <v>0</v>
      </c>
      <c r="M1389" s="36" t="str">
        <f t="shared" si="3"/>
        <v>Regular Season</v>
      </c>
      <c r="N1389" s="239" t="str">
        <f t="shared" si="26"/>
        <v>Hudspeath</v>
      </c>
      <c r="O1389" s="6">
        <f>VLOOKUP(D1389,'Mapped Opponent'!$G$4:$H$22,2,0)</f>
        <v>1</v>
      </c>
      <c r="P1389" s="6"/>
      <c r="Q1389" s="6" t="str">
        <f t="shared" si="4"/>
        <v>Week 1</v>
      </c>
      <c r="R1389" s="6" t="str">
        <f t="shared" si="5"/>
        <v>2018Week 1</v>
      </c>
      <c r="S1389" s="6">
        <f>IFERROR(__xludf.DUMMYFUNCTION("rank(J1389,FILTER(J:J,R:R=R1389))"),9.0)</f>
        <v>9</v>
      </c>
      <c r="T1389" s="6">
        <f t="shared" si="6"/>
        <v>3</v>
      </c>
      <c r="U1389" s="6">
        <f t="shared" si="7"/>
        <v>9</v>
      </c>
      <c r="V1389" s="42">
        <f>averageif(AllData!A:A,B1389,AllData!R:R)/vlookup(B1389,AllData!A:O,15,0)</f>
        <v>99.39987179</v>
      </c>
      <c r="W1389" s="6"/>
    </row>
    <row r="1390" ht="14.25" customHeight="1">
      <c r="A1390" s="6" t="str">
        <f t="shared" si="1"/>
        <v>2018Cock1</v>
      </c>
      <c r="B1390" s="59">
        <v>2018.0</v>
      </c>
      <c r="C1390" s="13" t="s">
        <v>72</v>
      </c>
      <c r="D1390" s="13" t="s">
        <v>129</v>
      </c>
      <c r="E1390" s="34"/>
      <c r="F1390" s="6"/>
      <c r="H1390" s="6"/>
      <c r="I1390" s="35" t="str">
        <f>IFERROR(IFERROR(IFERROR(VLOOKUP(B1390&amp;C1390&amp;Q1390,'New Weekly Paste'!A:M,10,0),VLOOKUP(B1390&amp;C1390&amp;Q1390,'New Weekly Paste'!B:O,6,0)),""),"")</f>
        <v>Fellows</v>
      </c>
      <c r="J1390" s="239">
        <f>IFERROR(IFERROR(VLOOKUP(B1390&amp;C1390&amp;Q1390,'New Weekly Paste'!A:M,8,0),VLOOKUP(B1390&amp;C1390&amp;Q1390,'New Weekly Paste'!B:O,10,0)),0)</f>
        <v>91.06</v>
      </c>
      <c r="K1390" s="239">
        <f>IFERROR(IFERROR(VLOOKUP(B1390&amp;I1390&amp;Q1390,'New Weekly Paste'!A:M,8,0),VLOOKUP(B1390&amp;I1390&amp;Q1390,'New Weekly Paste'!B:O,10,0)),0)</f>
        <v>97.54</v>
      </c>
      <c r="L1390" s="239">
        <f t="shared" si="25"/>
        <v>0</v>
      </c>
      <c r="M1390" s="36" t="str">
        <f t="shared" si="3"/>
        <v>Regular Season</v>
      </c>
      <c r="N1390" s="239" t="str">
        <f t="shared" si="26"/>
        <v>Fellows</v>
      </c>
      <c r="O1390" s="6">
        <f>VLOOKUP(D1390,'Mapped Opponent'!$G$4:$H$22,2,0)</f>
        <v>1</v>
      </c>
      <c r="P1390" s="6"/>
      <c r="Q1390" s="6" t="str">
        <f t="shared" si="4"/>
        <v>Week 1</v>
      </c>
      <c r="R1390" s="6" t="str">
        <f t="shared" si="5"/>
        <v>2018Week 1</v>
      </c>
      <c r="S1390" s="6">
        <f>IFERROR(__xludf.DUMMYFUNCTION("rank(J1390,FILTER(J:J,R:R=R1390))"),10.0)</f>
        <v>10</v>
      </c>
      <c r="T1390" s="6">
        <f t="shared" si="6"/>
        <v>2</v>
      </c>
      <c r="U1390" s="6">
        <f t="shared" si="7"/>
        <v>10</v>
      </c>
      <c r="V1390" s="42">
        <f>averageif(AllData!A:A,B1390,AllData!R:R)/vlookup(B1390,AllData!A:O,15,0)</f>
        <v>99.39987179</v>
      </c>
      <c r="W1390" s="6"/>
    </row>
    <row r="1391" ht="14.25" customHeight="1">
      <c r="A1391" s="6" t="str">
        <f t="shared" si="1"/>
        <v>2018Tayski1</v>
      </c>
      <c r="B1391" s="59">
        <v>2018.0</v>
      </c>
      <c r="C1391" s="13" t="s">
        <v>52</v>
      </c>
      <c r="D1391" s="13" t="s">
        <v>129</v>
      </c>
      <c r="E1391" s="34"/>
      <c r="F1391" s="6"/>
      <c r="H1391" s="6"/>
      <c r="I1391" s="35" t="str">
        <f>IFERROR(IFERROR(IFERROR(VLOOKUP(B1391&amp;C1391&amp;Q1391,'New Weekly Paste'!A:M,10,0),VLOOKUP(B1391&amp;C1391&amp;Q1391,'New Weekly Paste'!B:O,6,0)),""),"")</f>
        <v>Shep</v>
      </c>
      <c r="J1391" s="239">
        <f>IFERROR(IFERROR(VLOOKUP(B1391&amp;C1391&amp;Q1391,'New Weekly Paste'!A:M,8,0),VLOOKUP(B1391&amp;C1391&amp;Q1391,'New Weekly Paste'!B:O,10,0)),0)</f>
        <v>113.32</v>
      </c>
      <c r="K1391" s="239">
        <f>IFERROR(IFERROR(VLOOKUP(B1391&amp;I1391&amp;Q1391,'New Weekly Paste'!A:M,8,0),VLOOKUP(B1391&amp;I1391&amp;Q1391,'New Weekly Paste'!B:O,10,0)),0)</f>
        <v>99.54</v>
      </c>
      <c r="L1391" s="239">
        <f t="shared" si="25"/>
        <v>1</v>
      </c>
      <c r="M1391" s="36" t="str">
        <f t="shared" si="3"/>
        <v>Regular Season</v>
      </c>
      <c r="N1391" s="239" t="str">
        <f t="shared" si="26"/>
        <v>Shep</v>
      </c>
      <c r="O1391" s="6">
        <f>VLOOKUP(D1391,'Mapped Opponent'!$G$4:$H$22,2,0)</f>
        <v>1</v>
      </c>
      <c r="P1391" s="6"/>
      <c r="Q1391" s="6" t="str">
        <f t="shared" si="4"/>
        <v>Week 1</v>
      </c>
      <c r="R1391" s="6" t="str">
        <f t="shared" si="5"/>
        <v>2018Week 1</v>
      </c>
      <c r="S1391" s="6">
        <f>IFERROR(__xludf.DUMMYFUNCTION("rank(J1391,FILTER(J:J,R:R=R1391))"),3.0)</f>
        <v>3</v>
      </c>
      <c r="T1391" s="6">
        <f t="shared" si="6"/>
        <v>9</v>
      </c>
      <c r="U1391" s="6">
        <f t="shared" si="7"/>
        <v>3</v>
      </c>
      <c r="V1391" s="42">
        <f>averageif(AllData!A:A,B1391,AllData!R:R)/vlookup(B1391,AllData!A:O,15,0)</f>
        <v>99.39987179</v>
      </c>
      <c r="W1391" s="6"/>
    </row>
    <row r="1392" ht="14.25" customHeight="1">
      <c r="A1392" s="6" t="str">
        <f t="shared" si="1"/>
        <v>2018KnardDawg1</v>
      </c>
      <c r="B1392" s="59">
        <v>2018.0</v>
      </c>
      <c r="C1392" s="13" t="s">
        <v>86</v>
      </c>
      <c r="D1392" s="13" t="s">
        <v>129</v>
      </c>
      <c r="E1392" s="34"/>
      <c r="F1392" s="6"/>
      <c r="H1392" s="6"/>
      <c r="I1392" s="35" t="str">
        <f>IFERROR(IFERROR(IFERROR(VLOOKUP(B1392&amp;C1392&amp;Q1392,'New Weekly Paste'!A:M,10,0),VLOOKUP(B1392&amp;C1392&amp;Q1392,'New Weekly Paste'!B:O,6,0)),""),"")</f>
        <v>Salty</v>
      </c>
      <c r="J1392" s="239">
        <f>IFERROR(IFERROR(VLOOKUP(B1392&amp;C1392&amp;Q1392,'New Weekly Paste'!A:M,8,0),VLOOKUP(B1392&amp;C1392&amp;Q1392,'New Weekly Paste'!B:O,10,0)),0)</f>
        <v>100.26</v>
      </c>
      <c r="K1392" s="239">
        <f>IFERROR(IFERROR(VLOOKUP(B1392&amp;I1392&amp;Q1392,'New Weekly Paste'!A:M,8,0),VLOOKUP(B1392&amp;I1392&amp;Q1392,'New Weekly Paste'!B:O,10,0)),0)</f>
        <v>143.46</v>
      </c>
      <c r="L1392" s="239">
        <f t="shared" si="25"/>
        <v>0</v>
      </c>
      <c r="M1392" s="36" t="str">
        <f t="shared" si="3"/>
        <v>Regular Season</v>
      </c>
      <c r="N1392" s="239" t="str">
        <f t="shared" si="26"/>
        <v>Salty</v>
      </c>
      <c r="O1392" s="6">
        <f>VLOOKUP(D1392,'Mapped Opponent'!$G$4:$H$22,2,0)</f>
        <v>1</v>
      </c>
      <c r="P1392" s="6"/>
      <c r="Q1392" s="6" t="str">
        <f t="shared" si="4"/>
        <v>Week 1</v>
      </c>
      <c r="R1392" s="6" t="str">
        <f t="shared" si="5"/>
        <v>2018Week 1</v>
      </c>
      <c r="S1392" s="6">
        <f>IFERROR(__xludf.DUMMYFUNCTION("rank(J1392,FILTER(J:J,R:R=R1392))"),4.0)</f>
        <v>4</v>
      </c>
      <c r="T1392" s="6">
        <f t="shared" si="6"/>
        <v>8</v>
      </c>
      <c r="U1392" s="6">
        <f t="shared" si="7"/>
        <v>4</v>
      </c>
      <c r="V1392" s="42">
        <f>averageif(AllData!A:A,B1392,AllData!R:R)/vlookup(B1392,AllData!A:O,15,0)</f>
        <v>99.39987179</v>
      </c>
      <c r="W1392" s="6"/>
    </row>
    <row r="1393" ht="14.25" customHeight="1">
      <c r="A1393" s="6" t="str">
        <f t="shared" si="1"/>
        <v>2018T-How1</v>
      </c>
      <c r="B1393" s="59">
        <v>2018.0</v>
      </c>
      <c r="C1393" s="13" t="s">
        <v>82</v>
      </c>
      <c r="D1393" s="13" t="s">
        <v>129</v>
      </c>
      <c r="E1393" s="34"/>
      <c r="F1393" s="6"/>
      <c r="H1393" s="6"/>
      <c r="I1393" s="35" t="str">
        <f>IFERROR(IFERROR(IFERROR(VLOOKUP(B1393&amp;C1393&amp;Q1393,'New Weekly Paste'!A:M,10,0),VLOOKUP(B1393&amp;C1393&amp;Q1393,'New Weekly Paste'!B:O,6,0)),""),"")</f>
        <v>Rooney/Jackson</v>
      </c>
      <c r="J1393" s="239">
        <f>IFERROR(IFERROR(VLOOKUP(B1393&amp;C1393&amp;Q1393,'New Weekly Paste'!A:M,8,0),VLOOKUP(B1393&amp;C1393&amp;Q1393,'New Weekly Paste'!B:O,10,0)),0)</f>
        <v>92.28</v>
      </c>
      <c r="K1393" s="239">
        <f>IFERROR(IFERROR(VLOOKUP(B1393&amp;I1393&amp;Q1393,'New Weekly Paste'!A:M,8,0),VLOOKUP(B1393&amp;I1393&amp;Q1393,'New Weekly Paste'!B:O,10,0)),0)</f>
        <v>87.32</v>
      </c>
      <c r="L1393" s="239">
        <f t="shared" si="25"/>
        <v>1</v>
      </c>
      <c r="M1393" s="36" t="str">
        <f t="shared" si="3"/>
        <v>Regular Season</v>
      </c>
      <c r="N1393" s="239" t="str">
        <f t="shared" si="26"/>
        <v>Rooney/Jackson</v>
      </c>
      <c r="O1393" s="6">
        <f>VLOOKUP(D1393,'Mapped Opponent'!$G$4:$H$22,2,0)</f>
        <v>1</v>
      </c>
      <c r="P1393" s="6"/>
      <c r="Q1393" s="6" t="str">
        <f t="shared" si="4"/>
        <v>Week 1</v>
      </c>
      <c r="R1393" s="6" t="str">
        <f t="shared" si="5"/>
        <v>2018Week 1</v>
      </c>
      <c r="S1393" s="6">
        <f>IFERROR(__xludf.DUMMYFUNCTION("rank(J1393,FILTER(J:J,R:R=R1393))"),8.0)</f>
        <v>8</v>
      </c>
      <c r="T1393" s="6">
        <f t="shared" si="6"/>
        <v>4</v>
      </c>
      <c r="U1393" s="6">
        <f t="shared" si="7"/>
        <v>8</v>
      </c>
      <c r="V1393" s="42">
        <f>averageif(AllData!A:A,B1393,AllData!R:R)/vlookup(B1393,AllData!A:O,15,0)</f>
        <v>99.39987179</v>
      </c>
      <c r="W1393" s="6"/>
    </row>
    <row r="1394" ht="14.25" customHeight="1">
      <c r="A1394" s="6" t="str">
        <f t="shared" si="1"/>
        <v>2018Hudspeath10</v>
      </c>
      <c r="B1394" s="59">
        <v>2018.0</v>
      </c>
      <c r="C1394" s="13" t="s">
        <v>39</v>
      </c>
      <c r="D1394" s="13" t="s">
        <v>149</v>
      </c>
      <c r="E1394" s="34"/>
      <c r="F1394" s="6"/>
      <c r="H1394" s="6"/>
      <c r="I1394" s="35" t="str">
        <f>IFERROR(IFERROR(IFERROR(VLOOKUP(B1394&amp;C1394&amp;Q1394,'New Weekly Paste'!A:M,10,0),VLOOKUP(B1394&amp;C1394&amp;Q1394,'New Weekly Paste'!B:O,6,0)),""),"")</f>
        <v>Cock</v>
      </c>
      <c r="J1394" s="239">
        <f>IFERROR(IFERROR(VLOOKUP(B1394&amp;C1394&amp;Q1394,'New Weekly Paste'!A:M,8,0),VLOOKUP(B1394&amp;C1394&amp;Q1394,'New Weekly Paste'!B:O,10,0)),0)</f>
        <v>126.52</v>
      </c>
      <c r="K1394" s="239">
        <f>IFERROR(IFERROR(VLOOKUP(B1394&amp;I1394&amp;Q1394,'New Weekly Paste'!A:M,8,0),VLOOKUP(B1394&amp;I1394&amp;Q1394,'New Weekly Paste'!B:O,10,0)),0)</f>
        <v>95.84</v>
      </c>
      <c r="L1394" s="239">
        <f t="shared" si="25"/>
        <v>1</v>
      </c>
      <c r="M1394" s="36" t="str">
        <f t="shared" si="3"/>
        <v>Regular Season</v>
      </c>
      <c r="N1394" s="239" t="str">
        <f t="shared" si="26"/>
        <v>Cock</v>
      </c>
      <c r="O1394" s="6">
        <f>VLOOKUP(D1394,'Mapped Opponent'!$G$4:$H$22,2,0)</f>
        <v>10</v>
      </c>
      <c r="P1394" s="6"/>
      <c r="Q1394" s="6" t="str">
        <f t="shared" si="4"/>
        <v>Week 10</v>
      </c>
      <c r="R1394" s="6" t="str">
        <f t="shared" si="5"/>
        <v>2018Week 10</v>
      </c>
      <c r="S1394" s="6">
        <f>IFERROR(__xludf.DUMMYFUNCTION("rank(J1394,FILTER(J:J,R:R=R1394))"),2.0)</f>
        <v>2</v>
      </c>
      <c r="T1394" s="6">
        <f t="shared" si="6"/>
        <v>10</v>
      </c>
      <c r="U1394" s="6">
        <f t="shared" si="7"/>
        <v>2</v>
      </c>
      <c r="V1394" s="42">
        <f>averageif(AllData!A:A,B1394,AllData!R:R)/vlookup(B1394,AllData!A:O,15,0)</f>
        <v>99.39987179</v>
      </c>
      <c r="W1394" s="6"/>
    </row>
    <row r="1395" ht="14.25" customHeight="1">
      <c r="A1395" s="6" t="str">
        <f t="shared" si="1"/>
        <v>2018Salty10</v>
      </c>
      <c r="B1395" s="59">
        <v>2018.0</v>
      </c>
      <c r="C1395" s="13" t="s">
        <v>76</v>
      </c>
      <c r="D1395" s="13" t="s">
        <v>149</v>
      </c>
      <c r="E1395" s="34"/>
      <c r="F1395" s="6"/>
      <c r="H1395" s="6"/>
      <c r="I1395" s="35" t="str">
        <f>IFERROR(IFERROR(IFERROR(VLOOKUP(B1395&amp;C1395&amp;Q1395,'New Weekly Paste'!A:M,10,0),VLOOKUP(B1395&amp;C1395&amp;Q1395,'New Weekly Paste'!B:O,6,0)),""),"")</f>
        <v>Shep</v>
      </c>
      <c r="J1395" s="239">
        <f>IFERROR(IFERROR(VLOOKUP(B1395&amp;C1395&amp;Q1395,'New Weekly Paste'!A:M,8,0),VLOOKUP(B1395&amp;C1395&amp;Q1395,'New Weekly Paste'!B:O,10,0)),0)</f>
        <v>106.04</v>
      </c>
      <c r="K1395" s="239">
        <f>IFERROR(IFERROR(VLOOKUP(B1395&amp;I1395&amp;Q1395,'New Weekly Paste'!A:M,8,0),VLOOKUP(B1395&amp;I1395&amp;Q1395,'New Weekly Paste'!B:O,10,0)),0)</f>
        <v>107.06</v>
      </c>
      <c r="L1395" s="239">
        <f t="shared" si="25"/>
        <v>0</v>
      </c>
      <c r="M1395" s="36" t="str">
        <f t="shared" si="3"/>
        <v>Regular Season</v>
      </c>
      <c r="N1395" s="239" t="str">
        <f t="shared" si="26"/>
        <v>Shep</v>
      </c>
      <c r="O1395" s="6">
        <f>VLOOKUP(D1395,'Mapped Opponent'!$G$4:$H$22,2,0)</f>
        <v>10</v>
      </c>
      <c r="P1395" s="6"/>
      <c r="Q1395" s="6" t="str">
        <f t="shared" si="4"/>
        <v>Week 10</v>
      </c>
      <c r="R1395" s="6" t="str">
        <f t="shared" si="5"/>
        <v>2018Week 10</v>
      </c>
      <c r="S1395" s="6">
        <f>IFERROR(__xludf.DUMMYFUNCTION("rank(J1395,FILTER(J:J,R:R=R1395))"),8.0)</f>
        <v>8</v>
      </c>
      <c r="T1395" s="6">
        <f t="shared" si="6"/>
        <v>4</v>
      </c>
      <c r="U1395" s="6">
        <f t="shared" si="7"/>
        <v>8</v>
      </c>
      <c r="V1395" s="42">
        <f>averageif(AllData!A:A,B1395,AllData!R:R)/vlookup(B1395,AllData!A:O,15,0)</f>
        <v>99.39987179</v>
      </c>
      <c r="W1395" s="6"/>
    </row>
    <row r="1396" ht="14.25" customHeight="1">
      <c r="A1396" s="6" t="str">
        <f t="shared" si="1"/>
        <v>2018Fellows10</v>
      </c>
      <c r="B1396" s="59">
        <v>2018.0</v>
      </c>
      <c r="C1396" s="13" t="s">
        <v>79</v>
      </c>
      <c r="D1396" s="13" t="s">
        <v>149</v>
      </c>
      <c r="E1396" s="34"/>
      <c r="F1396" s="6"/>
      <c r="H1396" s="6"/>
      <c r="I1396" s="35" t="str">
        <f>IFERROR(IFERROR(IFERROR(VLOOKUP(B1396&amp;C1396&amp;Q1396,'New Weekly Paste'!A:M,10,0),VLOOKUP(B1396&amp;C1396&amp;Q1396,'New Weekly Paste'!B:O,6,0)),""),"")</f>
        <v>Rooney/Jackson</v>
      </c>
      <c r="J1396" s="239">
        <f>IFERROR(IFERROR(VLOOKUP(B1396&amp;C1396&amp;Q1396,'New Weekly Paste'!A:M,8,0),VLOOKUP(B1396&amp;C1396&amp;Q1396,'New Weekly Paste'!B:O,10,0)),0)</f>
        <v>87.86</v>
      </c>
      <c r="K1396" s="239">
        <f>IFERROR(IFERROR(VLOOKUP(B1396&amp;I1396&amp;Q1396,'New Weekly Paste'!A:M,8,0),VLOOKUP(B1396&amp;I1396&amp;Q1396,'New Weekly Paste'!B:O,10,0)),0)</f>
        <v>110.1</v>
      </c>
      <c r="L1396" s="239">
        <f t="shared" si="25"/>
        <v>0</v>
      </c>
      <c r="M1396" s="36" t="str">
        <f t="shared" si="3"/>
        <v>Regular Season</v>
      </c>
      <c r="N1396" s="239" t="str">
        <f t="shared" si="26"/>
        <v>Rooney/Jackson</v>
      </c>
      <c r="O1396" s="6">
        <f>VLOOKUP(D1396,'Mapped Opponent'!$G$4:$H$22,2,0)</f>
        <v>10</v>
      </c>
      <c r="P1396" s="6"/>
      <c r="Q1396" s="6" t="str">
        <f t="shared" si="4"/>
        <v>Week 10</v>
      </c>
      <c r="R1396" s="6" t="str">
        <f t="shared" si="5"/>
        <v>2018Week 10</v>
      </c>
      <c r="S1396" s="6">
        <f>IFERROR(__xludf.DUMMYFUNCTION("rank(J1396,FILTER(J:J,R:R=R1396))"),11.0)</f>
        <v>11</v>
      </c>
      <c r="T1396" s="6">
        <f t="shared" si="6"/>
        <v>1</v>
      </c>
      <c r="U1396" s="6">
        <f t="shared" si="7"/>
        <v>11</v>
      </c>
      <c r="V1396" s="42">
        <f>averageif(AllData!A:A,B1396,AllData!R:R)/vlookup(B1396,AllData!A:O,15,0)</f>
        <v>99.39987179</v>
      </c>
      <c r="W1396" s="6"/>
    </row>
    <row r="1397" ht="14.25" customHeight="1">
      <c r="A1397" s="6" t="str">
        <f t="shared" si="1"/>
        <v>2018Shep10</v>
      </c>
      <c r="B1397" s="59">
        <v>2018.0</v>
      </c>
      <c r="C1397" s="13" t="s">
        <v>89</v>
      </c>
      <c r="D1397" s="13" t="s">
        <v>149</v>
      </c>
      <c r="E1397" s="34"/>
      <c r="F1397" s="6"/>
      <c r="H1397" s="6"/>
      <c r="I1397" s="35" t="str">
        <f>IFERROR(IFERROR(IFERROR(VLOOKUP(B1397&amp;C1397&amp;Q1397,'New Weekly Paste'!A:M,10,0),VLOOKUP(B1397&amp;C1397&amp;Q1397,'New Weekly Paste'!B:O,6,0)),""),"")</f>
        <v>Salty</v>
      </c>
      <c r="J1397" s="239">
        <f>IFERROR(IFERROR(VLOOKUP(B1397&amp;C1397&amp;Q1397,'New Weekly Paste'!A:M,8,0),VLOOKUP(B1397&amp;C1397&amp;Q1397,'New Weekly Paste'!B:O,10,0)),0)</f>
        <v>107.06</v>
      </c>
      <c r="K1397" s="239">
        <f>IFERROR(IFERROR(VLOOKUP(B1397&amp;I1397&amp;Q1397,'New Weekly Paste'!A:M,8,0),VLOOKUP(B1397&amp;I1397&amp;Q1397,'New Weekly Paste'!B:O,10,0)),0)</f>
        <v>106.04</v>
      </c>
      <c r="L1397" s="239">
        <f t="shared" si="25"/>
        <v>1</v>
      </c>
      <c r="M1397" s="36" t="str">
        <f t="shared" si="3"/>
        <v>Regular Season</v>
      </c>
      <c r="N1397" s="239" t="str">
        <f t="shared" si="26"/>
        <v>Salty</v>
      </c>
      <c r="O1397" s="6">
        <f>VLOOKUP(D1397,'Mapped Opponent'!$G$4:$H$22,2,0)</f>
        <v>10</v>
      </c>
      <c r="P1397" s="6"/>
      <c r="Q1397" s="6" t="str">
        <f t="shared" si="4"/>
        <v>Week 10</v>
      </c>
      <c r="R1397" s="6" t="str">
        <f t="shared" si="5"/>
        <v>2018Week 10</v>
      </c>
      <c r="S1397" s="6">
        <f>IFERROR(__xludf.DUMMYFUNCTION("rank(J1397,FILTER(J:J,R:R=R1397))"),7.0)</f>
        <v>7</v>
      </c>
      <c r="T1397" s="6">
        <f t="shared" si="6"/>
        <v>5</v>
      </c>
      <c r="U1397" s="6">
        <f t="shared" si="7"/>
        <v>7</v>
      </c>
      <c r="V1397" s="42">
        <f>averageif(AllData!A:A,B1397,AllData!R:R)/vlookup(B1397,AllData!A:O,15,0)</f>
        <v>99.39987179</v>
      </c>
      <c r="W1397" s="6"/>
    </row>
    <row r="1398" ht="14.25" customHeight="1">
      <c r="A1398" s="6" t="str">
        <f t="shared" si="1"/>
        <v>2018Riley10</v>
      </c>
      <c r="B1398" s="59">
        <v>2018.0</v>
      </c>
      <c r="C1398" s="13" t="s">
        <v>67</v>
      </c>
      <c r="D1398" s="13" t="s">
        <v>149</v>
      </c>
      <c r="E1398" s="34"/>
      <c r="F1398" s="6"/>
      <c r="H1398" s="6"/>
      <c r="I1398" s="35" t="str">
        <f>IFERROR(IFERROR(IFERROR(VLOOKUP(B1398&amp;C1398&amp;Q1398,'New Weekly Paste'!A:M,10,0),VLOOKUP(B1398&amp;C1398&amp;Q1398,'New Weekly Paste'!B:O,6,0)),""),"")</f>
        <v>Tayski</v>
      </c>
      <c r="J1398" s="239">
        <f>IFERROR(IFERROR(VLOOKUP(B1398&amp;C1398&amp;Q1398,'New Weekly Paste'!A:M,8,0),VLOOKUP(B1398&amp;C1398&amp;Q1398,'New Weekly Paste'!B:O,10,0)),0)</f>
        <v>127.96</v>
      </c>
      <c r="K1398" s="239">
        <f>IFERROR(IFERROR(VLOOKUP(B1398&amp;I1398&amp;Q1398,'New Weekly Paste'!A:M,8,0),VLOOKUP(B1398&amp;I1398&amp;Q1398,'New Weekly Paste'!B:O,10,0)),0)</f>
        <v>115.2</v>
      </c>
      <c r="L1398" s="239">
        <f t="shared" si="25"/>
        <v>1</v>
      </c>
      <c r="M1398" s="36" t="str">
        <f t="shared" si="3"/>
        <v>Regular Season</v>
      </c>
      <c r="N1398" s="239" t="str">
        <f t="shared" si="26"/>
        <v>Tayski</v>
      </c>
      <c r="O1398" s="6">
        <f>VLOOKUP(D1398,'Mapped Opponent'!$G$4:$H$22,2,0)</f>
        <v>10</v>
      </c>
      <c r="P1398" s="6"/>
      <c r="Q1398" s="6" t="str">
        <f t="shared" si="4"/>
        <v>Week 10</v>
      </c>
      <c r="R1398" s="6" t="str">
        <f t="shared" si="5"/>
        <v>2018Week 10</v>
      </c>
      <c r="S1398" s="6">
        <f>IFERROR(__xludf.DUMMYFUNCTION("rank(J1398,FILTER(J:J,R:R=R1398))"),1.0)</f>
        <v>1</v>
      </c>
      <c r="T1398" s="6">
        <f t="shared" si="6"/>
        <v>11</v>
      </c>
      <c r="U1398" s="6">
        <f t="shared" si="7"/>
        <v>1</v>
      </c>
      <c r="V1398" s="42">
        <f>averageif(AllData!A:A,B1398,AllData!R:R)/vlookup(B1398,AllData!A:O,15,0)</f>
        <v>99.39987179</v>
      </c>
      <c r="W1398" s="6"/>
    </row>
    <row r="1399" ht="14.25" customHeight="1">
      <c r="A1399" s="6" t="str">
        <f t="shared" si="1"/>
        <v>2018Rooney/Jackson10</v>
      </c>
      <c r="B1399" s="59">
        <v>2018.0</v>
      </c>
      <c r="C1399" s="13" t="s">
        <v>57</v>
      </c>
      <c r="D1399" s="13" t="s">
        <v>149</v>
      </c>
      <c r="E1399" s="34"/>
      <c r="F1399" s="6"/>
      <c r="H1399" s="6"/>
      <c r="I1399" s="35" t="str">
        <f>IFERROR(IFERROR(IFERROR(VLOOKUP(B1399&amp;C1399&amp;Q1399,'New Weekly Paste'!A:M,10,0),VLOOKUP(B1399&amp;C1399&amp;Q1399,'New Weekly Paste'!B:O,6,0)),""),"")</f>
        <v>Fellows</v>
      </c>
      <c r="J1399" s="239">
        <f>IFERROR(IFERROR(VLOOKUP(B1399&amp;C1399&amp;Q1399,'New Weekly Paste'!A:M,8,0),VLOOKUP(B1399&amp;C1399&amp;Q1399,'New Weekly Paste'!B:O,10,0)),0)</f>
        <v>110.1</v>
      </c>
      <c r="K1399" s="239">
        <f>IFERROR(IFERROR(VLOOKUP(B1399&amp;I1399&amp;Q1399,'New Weekly Paste'!A:M,8,0),VLOOKUP(B1399&amp;I1399&amp;Q1399,'New Weekly Paste'!B:O,10,0)),0)</f>
        <v>87.86</v>
      </c>
      <c r="L1399" s="239">
        <f t="shared" si="25"/>
        <v>1</v>
      </c>
      <c r="M1399" s="36" t="str">
        <f t="shared" si="3"/>
        <v>Regular Season</v>
      </c>
      <c r="N1399" s="239" t="str">
        <f t="shared" si="26"/>
        <v>Fellows</v>
      </c>
      <c r="O1399" s="6">
        <f>VLOOKUP(D1399,'Mapped Opponent'!$G$4:$H$22,2,0)</f>
        <v>10</v>
      </c>
      <c r="P1399" s="6"/>
      <c r="Q1399" s="6" t="str">
        <f t="shared" si="4"/>
        <v>Week 10</v>
      </c>
      <c r="R1399" s="6" t="str">
        <f t="shared" si="5"/>
        <v>2018Week 10</v>
      </c>
      <c r="S1399" s="6">
        <f>IFERROR(__xludf.DUMMYFUNCTION("rank(J1399,FILTER(J:J,R:R=R1399))"),5.0)</f>
        <v>5</v>
      </c>
      <c r="T1399" s="6">
        <f t="shared" si="6"/>
        <v>7</v>
      </c>
      <c r="U1399" s="6">
        <f t="shared" si="7"/>
        <v>5</v>
      </c>
      <c r="V1399" s="42">
        <f>averageif(AllData!A:A,B1399,AllData!R:R)/vlookup(B1399,AllData!A:O,15,0)</f>
        <v>99.39987179</v>
      </c>
      <c r="W1399" s="6"/>
    </row>
    <row r="1400" ht="14.25" customHeight="1">
      <c r="A1400" s="6" t="str">
        <f t="shared" si="1"/>
        <v>2018Buser10</v>
      </c>
      <c r="B1400" s="59">
        <v>2018.0</v>
      </c>
      <c r="C1400" s="13" t="s">
        <v>47</v>
      </c>
      <c r="D1400" s="13" t="s">
        <v>149</v>
      </c>
      <c r="E1400" s="34"/>
      <c r="F1400" s="6"/>
      <c r="H1400" s="6"/>
      <c r="I1400" s="35" t="str">
        <f>IFERROR(IFERROR(IFERROR(VLOOKUP(B1400&amp;C1400&amp;Q1400,'New Weekly Paste'!A:M,10,0),VLOOKUP(B1400&amp;C1400&amp;Q1400,'New Weekly Paste'!B:O,6,0)),""),"")</f>
        <v>Pierson</v>
      </c>
      <c r="J1400" s="239">
        <f>IFERROR(IFERROR(VLOOKUP(B1400&amp;C1400&amp;Q1400,'New Weekly Paste'!A:M,8,0),VLOOKUP(B1400&amp;C1400&amp;Q1400,'New Weekly Paste'!B:O,10,0)),0)</f>
        <v>109.42</v>
      </c>
      <c r="K1400" s="239">
        <f>IFERROR(IFERROR(VLOOKUP(B1400&amp;I1400&amp;Q1400,'New Weekly Paste'!A:M,8,0),VLOOKUP(B1400&amp;I1400&amp;Q1400,'New Weekly Paste'!B:O,10,0)),0)</f>
        <v>67.92</v>
      </c>
      <c r="L1400" s="239">
        <f t="shared" si="25"/>
        <v>1</v>
      </c>
      <c r="M1400" s="36" t="str">
        <f t="shared" si="3"/>
        <v>Regular Season</v>
      </c>
      <c r="N1400" s="239" t="str">
        <f t="shared" si="26"/>
        <v>Pierson</v>
      </c>
      <c r="O1400" s="6">
        <f>VLOOKUP(D1400,'Mapped Opponent'!$G$4:$H$22,2,0)</f>
        <v>10</v>
      </c>
      <c r="P1400" s="6"/>
      <c r="Q1400" s="6" t="str">
        <f t="shared" si="4"/>
        <v>Week 10</v>
      </c>
      <c r="R1400" s="6" t="str">
        <f t="shared" si="5"/>
        <v>2018Week 10</v>
      </c>
      <c r="S1400" s="6">
        <f>IFERROR(__xludf.DUMMYFUNCTION("rank(J1400,FILTER(J:J,R:R=R1400))"),6.0)</f>
        <v>6</v>
      </c>
      <c r="T1400" s="6">
        <f t="shared" si="6"/>
        <v>6</v>
      </c>
      <c r="U1400" s="6">
        <f t="shared" si="7"/>
        <v>6</v>
      </c>
      <c r="V1400" s="42">
        <f>averageif(AllData!A:A,B1400,AllData!R:R)/vlookup(B1400,AllData!A:O,15,0)</f>
        <v>99.39987179</v>
      </c>
      <c r="W1400" s="6"/>
    </row>
    <row r="1401" ht="14.25" customHeight="1">
      <c r="A1401" s="6" t="str">
        <f t="shared" si="1"/>
        <v>2018Pierson10</v>
      </c>
      <c r="B1401" s="59">
        <v>2018.0</v>
      </c>
      <c r="C1401" s="13" t="s">
        <v>92</v>
      </c>
      <c r="D1401" s="13" t="s">
        <v>149</v>
      </c>
      <c r="E1401" s="34"/>
      <c r="F1401" s="6"/>
      <c r="H1401" s="6"/>
      <c r="I1401" s="35" t="str">
        <f>IFERROR(IFERROR(IFERROR(VLOOKUP(B1401&amp;C1401&amp;Q1401,'New Weekly Paste'!A:M,10,0),VLOOKUP(B1401&amp;C1401&amp;Q1401,'New Weekly Paste'!B:O,6,0)),""),"")</f>
        <v>Buser</v>
      </c>
      <c r="J1401" s="239">
        <f>IFERROR(IFERROR(VLOOKUP(B1401&amp;C1401&amp;Q1401,'New Weekly Paste'!A:M,8,0),VLOOKUP(B1401&amp;C1401&amp;Q1401,'New Weekly Paste'!B:O,10,0)),0)</f>
        <v>67.92</v>
      </c>
      <c r="K1401" s="239">
        <f>IFERROR(IFERROR(VLOOKUP(B1401&amp;I1401&amp;Q1401,'New Weekly Paste'!A:M,8,0),VLOOKUP(B1401&amp;I1401&amp;Q1401,'New Weekly Paste'!B:O,10,0)),0)</f>
        <v>109.42</v>
      </c>
      <c r="L1401" s="239">
        <f t="shared" si="25"/>
        <v>0</v>
      </c>
      <c r="M1401" s="36" t="str">
        <f t="shared" si="3"/>
        <v>Regular Season</v>
      </c>
      <c r="N1401" s="239" t="str">
        <f t="shared" si="26"/>
        <v>Buser</v>
      </c>
      <c r="O1401" s="6">
        <f>VLOOKUP(D1401,'Mapped Opponent'!$G$4:$H$22,2,0)</f>
        <v>10</v>
      </c>
      <c r="P1401" s="6"/>
      <c r="Q1401" s="6" t="str">
        <f t="shared" si="4"/>
        <v>Week 10</v>
      </c>
      <c r="R1401" s="6" t="str">
        <f t="shared" si="5"/>
        <v>2018Week 10</v>
      </c>
      <c r="S1401" s="6">
        <f>IFERROR(__xludf.DUMMYFUNCTION("rank(J1401,FILTER(J:J,R:R=R1401))"),12.0)</f>
        <v>12</v>
      </c>
      <c r="T1401" s="6">
        <f t="shared" si="6"/>
        <v>0</v>
      </c>
      <c r="U1401" s="6">
        <f t="shared" si="7"/>
        <v>12</v>
      </c>
      <c r="V1401" s="42">
        <f>averageif(AllData!A:A,B1401,AllData!R:R)/vlookup(B1401,AllData!A:O,15,0)</f>
        <v>99.39987179</v>
      </c>
      <c r="W1401" s="6"/>
    </row>
    <row r="1402" ht="14.25" customHeight="1">
      <c r="A1402" s="6" t="str">
        <f t="shared" si="1"/>
        <v>2018Cock10</v>
      </c>
      <c r="B1402" s="59">
        <v>2018.0</v>
      </c>
      <c r="C1402" s="13" t="s">
        <v>72</v>
      </c>
      <c r="D1402" s="13" t="s">
        <v>149</v>
      </c>
      <c r="E1402" s="34"/>
      <c r="F1402" s="6"/>
      <c r="H1402" s="6"/>
      <c r="I1402" s="35" t="str">
        <f>IFERROR(IFERROR(IFERROR(VLOOKUP(B1402&amp;C1402&amp;Q1402,'New Weekly Paste'!A:M,10,0),VLOOKUP(B1402&amp;C1402&amp;Q1402,'New Weekly Paste'!B:O,6,0)),""),"")</f>
        <v>Hudspeath</v>
      </c>
      <c r="J1402" s="239">
        <f>IFERROR(IFERROR(VLOOKUP(B1402&amp;C1402&amp;Q1402,'New Weekly Paste'!A:M,8,0),VLOOKUP(B1402&amp;C1402&amp;Q1402,'New Weekly Paste'!B:O,10,0)),0)</f>
        <v>95.84</v>
      </c>
      <c r="K1402" s="239">
        <f>IFERROR(IFERROR(VLOOKUP(B1402&amp;I1402&amp;Q1402,'New Weekly Paste'!A:M,8,0),VLOOKUP(B1402&amp;I1402&amp;Q1402,'New Weekly Paste'!B:O,10,0)),0)</f>
        <v>126.52</v>
      </c>
      <c r="L1402" s="239">
        <f t="shared" si="25"/>
        <v>0</v>
      </c>
      <c r="M1402" s="36" t="str">
        <f t="shared" si="3"/>
        <v>Regular Season</v>
      </c>
      <c r="N1402" s="239" t="str">
        <f t="shared" si="26"/>
        <v>Hudspeath</v>
      </c>
      <c r="O1402" s="6">
        <f>VLOOKUP(D1402,'Mapped Opponent'!$G$4:$H$22,2,0)</f>
        <v>10</v>
      </c>
      <c r="P1402" s="6"/>
      <c r="Q1402" s="6" t="str">
        <f t="shared" si="4"/>
        <v>Week 10</v>
      </c>
      <c r="R1402" s="6" t="str">
        <f t="shared" si="5"/>
        <v>2018Week 10</v>
      </c>
      <c r="S1402" s="6">
        <f>IFERROR(__xludf.DUMMYFUNCTION("rank(J1402,FILTER(J:J,R:R=R1402))"),10.0)</f>
        <v>10</v>
      </c>
      <c r="T1402" s="6">
        <f t="shared" si="6"/>
        <v>2</v>
      </c>
      <c r="U1402" s="6">
        <f t="shared" si="7"/>
        <v>10</v>
      </c>
      <c r="V1402" s="42">
        <f>averageif(AllData!A:A,B1402,AllData!R:R)/vlookup(B1402,AllData!A:O,15,0)</f>
        <v>99.39987179</v>
      </c>
      <c r="W1402" s="6"/>
    </row>
    <row r="1403" ht="14.25" customHeight="1">
      <c r="A1403" s="6" t="str">
        <f t="shared" si="1"/>
        <v>2018Tayski10</v>
      </c>
      <c r="B1403" s="59">
        <v>2018.0</v>
      </c>
      <c r="C1403" s="13" t="s">
        <v>52</v>
      </c>
      <c r="D1403" s="13" t="s">
        <v>149</v>
      </c>
      <c r="E1403" s="34"/>
      <c r="F1403" s="6"/>
      <c r="H1403" s="6"/>
      <c r="I1403" s="35" t="str">
        <f>IFERROR(IFERROR(IFERROR(VLOOKUP(B1403&amp;C1403&amp;Q1403,'New Weekly Paste'!A:M,10,0),VLOOKUP(B1403&amp;C1403&amp;Q1403,'New Weekly Paste'!B:O,6,0)),""),"")</f>
        <v>Riley</v>
      </c>
      <c r="J1403" s="239">
        <f>IFERROR(IFERROR(VLOOKUP(B1403&amp;C1403&amp;Q1403,'New Weekly Paste'!A:M,8,0),VLOOKUP(B1403&amp;C1403&amp;Q1403,'New Weekly Paste'!B:O,10,0)),0)</f>
        <v>115.2</v>
      </c>
      <c r="K1403" s="239">
        <f>IFERROR(IFERROR(VLOOKUP(B1403&amp;I1403&amp;Q1403,'New Weekly Paste'!A:M,8,0),VLOOKUP(B1403&amp;I1403&amp;Q1403,'New Weekly Paste'!B:O,10,0)),0)</f>
        <v>127.96</v>
      </c>
      <c r="L1403" s="239">
        <f t="shared" si="25"/>
        <v>0</v>
      </c>
      <c r="M1403" s="36" t="str">
        <f t="shared" si="3"/>
        <v>Regular Season</v>
      </c>
      <c r="N1403" s="239" t="str">
        <f t="shared" si="26"/>
        <v>Riley</v>
      </c>
      <c r="O1403" s="6">
        <f>VLOOKUP(D1403,'Mapped Opponent'!$G$4:$H$22,2,0)</f>
        <v>10</v>
      </c>
      <c r="P1403" s="6"/>
      <c r="Q1403" s="6" t="str">
        <f t="shared" si="4"/>
        <v>Week 10</v>
      </c>
      <c r="R1403" s="6" t="str">
        <f t="shared" si="5"/>
        <v>2018Week 10</v>
      </c>
      <c r="S1403" s="6">
        <f>IFERROR(__xludf.DUMMYFUNCTION("rank(J1403,FILTER(J:J,R:R=R1403))"),3.0)</f>
        <v>3</v>
      </c>
      <c r="T1403" s="6">
        <f t="shared" si="6"/>
        <v>9</v>
      </c>
      <c r="U1403" s="6">
        <f t="shared" si="7"/>
        <v>3</v>
      </c>
      <c r="V1403" s="42">
        <f>averageif(AllData!A:A,B1403,AllData!R:R)/vlookup(B1403,AllData!A:O,15,0)</f>
        <v>99.39987179</v>
      </c>
      <c r="W1403" s="6"/>
    </row>
    <row r="1404" ht="14.25" customHeight="1">
      <c r="A1404" s="6" t="str">
        <f t="shared" si="1"/>
        <v>2018KnardDawg10</v>
      </c>
      <c r="B1404" s="59">
        <v>2018.0</v>
      </c>
      <c r="C1404" s="13" t="s">
        <v>86</v>
      </c>
      <c r="D1404" s="13" t="s">
        <v>149</v>
      </c>
      <c r="E1404" s="34"/>
      <c r="F1404" s="6"/>
      <c r="H1404" s="6"/>
      <c r="I1404" s="35" t="str">
        <f>IFERROR(IFERROR(IFERROR(VLOOKUP(B1404&amp;C1404&amp;Q1404,'New Weekly Paste'!A:M,10,0),VLOOKUP(B1404&amp;C1404&amp;Q1404,'New Weekly Paste'!B:O,6,0)),""),"")</f>
        <v>T-How</v>
      </c>
      <c r="J1404" s="239">
        <f>IFERROR(IFERROR(VLOOKUP(B1404&amp;C1404&amp;Q1404,'New Weekly Paste'!A:M,8,0),VLOOKUP(B1404&amp;C1404&amp;Q1404,'New Weekly Paste'!B:O,10,0)),0)</f>
        <v>112.9</v>
      </c>
      <c r="K1404" s="239">
        <f>IFERROR(IFERROR(VLOOKUP(B1404&amp;I1404&amp;Q1404,'New Weekly Paste'!A:M,8,0),VLOOKUP(B1404&amp;I1404&amp;Q1404,'New Weekly Paste'!B:O,10,0)),0)</f>
        <v>101.16</v>
      </c>
      <c r="L1404" s="239">
        <f t="shared" si="25"/>
        <v>1</v>
      </c>
      <c r="M1404" s="36" t="str">
        <f t="shared" si="3"/>
        <v>Regular Season</v>
      </c>
      <c r="N1404" s="239" t="str">
        <f t="shared" si="26"/>
        <v>T-How</v>
      </c>
      <c r="O1404" s="6">
        <f>VLOOKUP(D1404,'Mapped Opponent'!$G$4:$H$22,2,0)</f>
        <v>10</v>
      </c>
      <c r="P1404" s="6"/>
      <c r="Q1404" s="6" t="str">
        <f t="shared" si="4"/>
        <v>Week 10</v>
      </c>
      <c r="R1404" s="6" t="str">
        <f t="shared" si="5"/>
        <v>2018Week 10</v>
      </c>
      <c r="S1404" s="6">
        <f>IFERROR(__xludf.DUMMYFUNCTION("rank(J1404,FILTER(J:J,R:R=R1404))"),4.0)</f>
        <v>4</v>
      </c>
      <c r="T1404" s="6">
        <f t="shared" si="6"/>
        <v>8</v>
      </c>
      <c r="U1404" s="6">
        <f t="shared" si="7"/>
        <v>4</v>
      </c>
      <c r="V1404" s="42">
        <f>averageif(AllData!A:A,B1404,AllData!R:R)/vlookup(B1404,AllData!A:O,15,0)</f>
        <v>99.39987179</v>
      </c>
      <c r="W1404" s="6"/>
    </row>
    <row r="1405" ht="14.25" customHeight="1">
      <c r="A1405" s="6" t="str">
        <f t="shared" si="1"/>
        <v>2018T-How10</v>
      </c>
      <c r="B1405" s="59">
        <v>2018.0</v>
      </c>
      <c r="C1405" s="13" t="s">
        <v>82</v>
      </c>
      <c r="D1405" s="13" t="s">
        <v>149</v>
      </c>
      <c r="E1405" s="34"/>
      <c r="F1405" s="6"/>
      <c r="H1405" s="6"/>
      <c r="I1405" s="35" t="str">
        <f>IFERROR(IFERROR(IFERROR(VLOOKUP(B1405&amp;C1405&amp;Q1405,'New Weekly Paste'!A:M,10,0),VLOOKUP(B1405&amp;C1405&amp;Q1405,'New Weekly Paste'!B:O,6,0)),""),"")</f>
        <v>KnardDawg</v>
      </c>
      <c r="J1405" s="239">
        <f>IFERROR(IFERROR(VLOOKUP(B1405&amp;C1405&amp;Q1405,'New Weekly Paste'!A:M,8,0),VLOOKUP(B1405&amp;C1405&amp;Q1405,'New Weekly Paste'!B:O,10,0)),0)</f>
        <v>101.16</v>
      </c>
      <c r="K1405" s="239">
        <f>IFERROR(IFERROR(VLOOKUP(B1405&amp;I1405&amp;Q1405,'New Weekly Paste'!A:M,8,0),VLOOKUP(B1405&amp;I1405&amp;Q1405,'New Weekly Paste'!B:O,10,0)),0)</f>
        <v>112.9</v>
      </c>
      <c r="L1405" s="239">
        <f t="shared" si="25"/>
        <v>0</v>
      </c>
      <c r="M1405" s="36" t="str">
        <f t="shared" si="3"/>
        <v>Regular Season</v>
      </c>
      <c r="N1405" s="239" t="str">
        <f t="shared" si="26"/>
        <v>KnardDawg</v>
      </c>
      <c r="O1405" s="6">
        <f>VLOOKUP(D1405,'Mapped Opponent'!$G$4:$H$22,2,0)</f>
        <v>10</v>
      </c>
      <c r="P1405" s="6"/>
      <c r="Q1405" s="6" t="str">
        <f t="shared" si="4"/>
        <v>Week 10</v>
      </c>
      <c r="R1405" s="6" t="str">
        <f t="shared" si="5"/>
        <v>2018Week 10</v>
      </c>
      <c r="S1405" s="6">
        <f>IFERROR(__xludf.DUMMYFUNCTION("rank(J1405,FILTER(J:J,R:R=R1405))"),9.0)</f>
        <v>9</v>
      </c>
      <c r="T1405" s="6">
        <f t="shared" si="6"/>
        <v>3</v>
      </c>
      <c r="U1405" s="6">
        <f t="shared" si="7"/>
        <v>9</v>
      </c>
      <c r="V1405" s="42">
        <f>averageif(AllData!A:A,B1405,AllData!R:R)/vlookup(B1405,AllData!A:O,15,0)</f>
        <v>99.39987179</v>
      </c>
      <c r="W1405" s="6"/>
    </row>
    <row r="1406" ht="14.25" customHeight="1">
      <c r="A1406" s="6" t="str">
        <f t="shared" si="1"/>
        <v>2018Hudspeath11</v>
      </c>
      <c r="B1406" s="59">
        <v>2018.0</v>
      </c>
      <c r="C1406" s="13" t="s">
        <v>39</v>
      </c>
      <c r="D1406" s="13" t="s">
        <v>150</v>
      </c>
      <c r="E1406" s="34"/>
      <c r="F1406" s="6"/>
      <c r="H1406" s="6"/>
      <c r="I1406" s="35" t="str">
        <f>IFERROR(IFERROR(IFERROR(VLOOKUP(B1406&amp;C1406&amp;Q1406,'New Weekly Paste'!A:M,10,0),VLOOKUP(B1406&amp;C1406&amp;Q1406,'New Weekly Paste'!B:O,6,0)),""),"")</f>
        <v>Salty</v>
      </c>
      <c r="J1406" s="239">
        <f>IFERROR(IFERROR(VLOOKUP(B1406&amp;C1406&amp;Q1406,'New Weekly Paste'!A:M,8,0),VLOOKUP(B1406&amp;C1406&amp;Q1406,'New Weekly Paste'!B:O,10,0)),0)</f>
        <v>80.16</v>
      </c>
      <c r="K1406" s="239">
        <f>IFERROR(IFERROR(VLOOKUP(B1406&amp;I1406&amp;Q1406,'New Weekly Paste'!A:M,8,0),VLOOKUP(B1406&amp;I1406&amp;Q1406,'New Weekly Paste'!B:O,10,0)),0)</f>
        <v>87.14</v>
      </c>
      <c r="L1406" s="239">
        <f t="shared" si="25"/>
        <v>0</v>
      </c>
      <c r="M1406" s="36" t="str">
        <f t="shared" si="3"/>
        <v>Regular Season</v>
      </c>
      <c r="N1406" s="239" t="str">
        <f t="shared" si="26"/>
        <v>Salty</v>
      </c>
      <c r="O1406" s="6">
        <f>VLOOKUP(D1406,'Mapped Opponent'!$G$4:$H$22,2,0)</f>
        <v>11</v>
      </c>
      <c r="P1406" s="6"/>
      <c r="Q1406" s="6" t="str">
        <f t="shared" si="4"/>
        <v>Week 11</v>
      </c>
      <c r="R1406" s="6" t="str">
        <f t="shared" si="5"/>
        <v>2018Week 11</v>
      </c>
      <c r="S1406" s="6">
        <f>IFERROR(__xludf.DUMMYFUNCTION("rank(J1406,FILTER(J:J,R:R=R1406))"),9.0)</f>
        <v>9</v>
      </c>
      <c r="T1406" s="6">
        <f t="shared" si="6"/>
        <v>3</v>
      </c>
      <c r="U1406" s="6">
        <f t="shared" si="7"/>
        <v>9</v>
      </c>
      <c r="V1406" s="42">
        <f>averageif(AllData!A:A,B1406,AllData!R:R)/vlookup(B1406,AllData!A:O,15,0)</f>
        <v>99.39987179</v>
      </c>
      <c r="W1406" s="6"/>
    </row>
    <row r="1407" ht="14.25" customHeight="1">
      <c r="A1407" s="6" t="str">
        <f t="shared" si="1"/>
        <v>2018Salty11</v>
      </c>
      <c r="B1407" s="59">
        <v>2018.0</v>
      </c>
      <c r="C1407" s="13" t="s">
        <v>76</v>
      </c>
      <c r="D1407" s="13" t="s">
        <v>150</v>
      </c>
      <c r="E1407" s="34"/>
      <c r="F1407" s="6"/>
      <c r="H1407" s="6"/>
      <c r="I1407" s="35" t="str">
        <f>IFERROR(IFERROR(IFERROR(VLOOKUP(B1407&amp;C1407&amp;Q1407,'New Weekly Paste'!A:M,10,0),VLOOKUP(B1407&amp;C1407&amp;Q1407,'New Weekly Paste'!B:O,6,0)),""),"")</f>
        <v>Hudspeath</v>
      </c>
      <c r="J1407" s="239">
        <f>IFERROR(IFERROR(VLOOKUP(B1407&amp;C1407&amp;Q1407,'New Weekly Paste'!A:M,8,0),VLOOKUP(B1407&amp;C1407&amp;Q1407,'New Weekly Paste'!B:O,10,0)),0)</f>
        <v>87.14</v>
      </c>
      <c r="K1407" s="239">
        <f>IFERROR(IFERROR(VLOOKUP(B1407&amp;I1407&amp;Q1407,'New Weekly Paste'!A:M,8,0),VLOOKUP(B1407&amp;I1407&amp;Q1407,'New Weekly Paste'!B:O,10,0)),0)</f>
        <v>80.16</v>
      </c>
      <c r="L1407" s="239">
        <f t="shared" si="25"/>
        <v>1</v>
      </c>
      <c r="M1407" s="36" t="str">
        <f t="shared" si="3"/>
        <v>Regular Season</v>
      </c>
      <c r="N1407" s="239" t="str">
        <f t="shared" si="26"/>
        <v>Hudspeath</v>
      </c>
      <c r="O1407" s="6">
        <f>VLOOKUP(D1407,'Mapped Opponent'!$G$4:$H$22,2,0)</f>
        <v>11</v>
      </c>
      <c r="P1407" s="6"/>
      <c r="Q1407" s="6" t="str">
        <f t="shared" si="4"/>
        <v>Week 11</v>
      </c>
      <c r="R1407" s="6" t="str">
        <f t="shared" si="5"/>
        <v>2018Week 11</v>
      </c>
      <c r="S1407" s="6">
        <f>IFERROR(__xludf.DUMMYFUNCTION("rank(J1407,FILTER(J:J,R:R=R1407))"),8.0)</f>
        <v>8</v>
      </c>
      <c r="T1407" s="6">
        <f t="shared" si="6"/>
        <v>4</v>
      </c>
      <c r="U1407" s="6">
        <f t="shared" si="7"/>
        <v>8</v>
      </c>
      <c r="V1407" s="42">
        <f>averageif(AllData!A:A,B1407,AllData!R:R)/vlookup(B1407,AllData!A:O,15,0)</f>
        <v>99.39987179</v>
      </c>
      <c r="W1407" s="6"/>
    </row>
    <row r="1408" ht="14.25" customHeight="1">
      <c r="A1408" s="6" t="str">
        <f t="shared" si="1"/>
        <v>2018Fellows11</v>
      </c>
      <c r="B1408" s="59">
        <v>2018.0</v>
      </c>
      <c r="C1408" s="13" t="s">
        <v>79</v>
      </c>
      <c r="D1408" s="13" t="s">
        <v>150</v>
      </c>
      <c r="E1408" s="34"/>
      <c r="F1408" s="6"/>
      <c r="H1408" s="6"/>
      <c r="I1408" s="35" t="str">
        <f>IFERROR(IFERROR(IFERROR(VLOOKUP(B1408&amp;C1408&amp;Q1408,'New Weekly Paste'!A:M,10,0),VLOOKUP(B1408&amp;C1408&amp;Q1408,'New Weekly Paste'!B:O,6,0)),""),"")</f>
        <v>Buser</v>
      </c>
      <c r="J1408" s="239">
        <f>IFERROR(IFERROR(VLOOKUP(B1408&amp;C1408&amp;Q1408,'New Weekly Paste'!A:M,8,0),VLOOKUP(B1408&amp;C1408&amp;Q1408,'New Weekly Paste'!B:O,10,0)),0)</f>
        <v>95.42</v>
      </c>
      <c r="K1408" s="239">
        <f>IFERROR(IFERROR(VLOOKUP(B1408&amp;I1408&amp;Q1408,'New Weekly Paste'!A:M,8,0),VLOOKUP(B1408&amp;I1408&amp;Q1408,'New Weekly Paste'!B:O,10,0)),0)</f>
        <v>127.18</v>
      </c>
      <c r="L1408" s="239">
        <f t="shared" si="25"/>
        <v>0</v>
      </c>
      <c r="M1408" s="36" t="str">
        <f t="shared" si="3"/>
        <v>Regular Season</v>
      </c>
      <c r="N1408" s="239" t="str">
        <f t="shared" si="26"/>
        <v>Buser</v>
      </c>
      <c r="O1408" s="6">
        <f>VLOOKUP(D1408,'Mapped Opponent'!$G$4:$H$22,2,0)</f>
        <v>11</v>
      </c>
      <c r="P1408" s="6"/>
      <c r="Q1408" s="6" t="str">
        <f t="shared" si="4"/>
        <v>Week 11</v>
      </c>
      <c r="R1408" s="6" t="str">
        <f t="shared" si="5"/>
        <v>2018Week 11</v>
      </c>
      <c r="S1408" s="6">
        <f>IFERROR(__xludf.DUMMYFUNCTION("rank(J1408,FILTER(J:J,R:R=R1408))"),6.0)</f>
        <v>6</v>
      </c>
      <c r="T1408" s="6">
        <f t="shared" si="6"/>
        <v>6</v>
      </c>
      <c r="U1408" s="6">
        <f t="shared" si="7"/>
        <v>6</v>
      </c>
      <c r="V1408" s="42">
        <f>averageif(AllData!A:A,B1408,AllData!R:R)/vlookup(B1408,AllData!A:O,15,0)</f>
        <v>99.39987179</v>
      </c>
      <c r="W1408" s="6"/>
    </row>
    <row r="1409" ht="14.25" customHeight="1">
      <c r="A1409" s="6" t="str">
        <f t="shared" si="1"/>
        <v>2018Shep11</v>
      </c>
      <c r="B1409" s="59">
        <v>2018.0</v>
      </c>
      <c r="C1409" s="13" t="s">
        <v>89</v>
      </c>
      <c r="D1409" s="13" t="s">
        <v>150</v>
      </c>
      <c r="E1409" s="34"/>
      <c r="F1409" s="6"/>
      <c r="H1409" s="6"/>
      <c r="I1409" s="35" t="str">
        <f>IFERROR(IFERROR(IFERROR(VLOOKUP(B1409&amp;C1409&amp;Q1409,'New Weekly Paste'!A:M,10,0),VLOOKUP(B1409&amp;C1409&amp;Q1409,'New Weekly Paste'!B:O,6,0)),""),"")</f>
        <v>KnardDawg</v>
      </c>
      <c r="J1409" s="239">
        <f>IFERROR(IFERROR(VLOOKUP(B1409&amp;C1409&amp;Q1409,'New Weekly Paste'!A:M,8,0),VLOOKUP(B1409&amp;C1409&amp;Q1409,'New Weekly Paste'!B:O,10,0)),0)</f>
        <v>129.22</v>
      </c>
      <c r="K1409" s="239">
        <f>IFERROR(IFERROR(VLOOKUP(B1409&amp;I1409&amp;Q1409,'New Weekly Paste'!A:M,8,0),VLOOKUP(B1409&amp;I1409&amp;Q1409,'New Weekly Paste'!B:O,10,0)),0)</f>
        <v>99.52</v>
      </c>
      <c r="L1409" s="239">
        <f t="shared" si="25"/>
        <v>1</v>
      </c>
      <c r="M1409" s="36" t="str">
        <f t="shared" si="3"/>
        <v>Regular Season</v>
      </c>
      <c r="N1409" s="239" t="str">
        <f t="shared" si="26"/>
        <v>KnardDawg</v>
      </c>
      <c r="O1409" s="6">
        <f>VLOOKUP(D1409,'Mapped Opponent'!$G$4:$H$22,2,0)</f>
        <v>11</v>
      </c>
      <c r="P1409" s="6"/>
      <c r="Q1409" s="6" t="str">
        <f t="shared" si="4"/>
        <v>Week 11</v>
      </c>
      <c r="R1409" s="6" t="str">
        <f t="shared" si="5"/>
        <v>2018Week 11</v>
      </c>
      <c r="S1409" s="6">
        <f>IFERROR(__xludf.DUMMYFUNCTION("rank(J1409,FILTER(J:J,R:R=R1409))"),2.0)</f>
        <v>2</v>
      </c>
      <c r="T1409" s="6">
        <f t="shared" si="6"/>
        <v>10</v>
      </c>
      <c r="U1409" s="6">
        <f t="shared" si="7"/>
        <v>2</v>
      </c>
      <c r="V1409" s="42">
        <f>averageif(AllData!A:A,B1409,AllData!R:R)/vlookup(B1409,AllData!A:O,15,0)</f>
        <v>99.39987179</v>
      </c>
      <c r="W1409" s="6"/>
    </row>
    <row r="1410" ht="14.25" customHeight="1">
      <c r="A1410" s="6" t="str">
        <f t="shared" si="1"/>
        <v>2018Riley11</v>
      </c>
      <c r="B1410" s="59">
        <v>2018.0</v>
      </c>
      <c r="C1410" s="13" t="s">
        <v>67</v>
      </c>
      <c r="D1410" s="13" t="s">
        <v>150</v>
      </c>
      <c r="E1410" s="34"/>
      <c r="F1410" s="6"/>
      <c r="H1410" s="6"/>
      <c r="I1410" s="35" t="str">
        <f>IFERROR(IFERROR(IFERROR(VLOOKUP(B1410&amp;C1410&amp;Q1410,'New Weekly Paste'!A:M,10,0),VLOOKUP(B1410&amp;C1410&amp;Q1410,'New Weekly Paste'!B:O,6,0)),""),"")</f>
        <v>Rooney/Jackson</v>
      </c>
      <c r="J1410" s="239">
        <f>IFERROR(IFERROR(VLOOKUP(B1410&amp;C1410&amp;Q1410,'New Weekly Paste'!A:M,8,0),VLOOKUP(B1410&amp;C1410&amp;Q1410,'New Weekly Paste'!B:O,10,0)),0)</f>
        <v>133.08</v>
      </c>
      <c r="K1410" s="239">
        <f>IFERROR(IFERROR(VLOOKUP(B1410&amp;I1410&amp;Q1410,'New Weekly Paste'!A:M,8,0),VLOOKUP(B1410&amp;I1410&amp;Q1410,'New Weekly Paste'!B:O,10,0)),0)</f>
        <v>91.12</v>
      </c>
      <c r="L1410" s="239">
        <f t="shared" si="25"/>
        <v>1</v>
      </c>
      <c r="M1410" s="36" t="str">
        <f t="shared" si="3"/>
        <v>Regular Season</v>
      </c>
      <c r="N1410" s="239" t="str">
        <f t="shared" si="26"/>
        <v>Rooney/Jackson</v>
      </c>
      <c r="O1410" s="6">
        <f>VLOOKUP(D1410,'Mapped Opponent'!$G$4:$H$22,2,0)</f>
        <v>11</v>
      </c>
      <c r="P1410" s="6"/>
      <c r="Q1410" s="6" t="str">
        <f t="shared" si="4"/>
        <v>Week 11</v>
      </c>
      <c r="R1410" s="6" t="str">
        <f t="shared" si="5"/>
        <v>2018Week 11</v>
      </c>
      <c r="S1410" s="6">
        <f>IFERROR(__xludf.DUMMYFUNCTION("rank(J1410,FILTER(J:J,R:R=R1410))"),1.0)</f>
        <v>1</v>
      </c>
      <c r="T1410" s="6">
        <f t="shared" si="6"/>
        <v>11</v>
      </c>
      <c r="U1410" s="6">
        <f t="shared" si="7"/>
        <v>1</v>
      </c>
      <c r="V1410" s="42">
        <f>averageif(AllData!A:A,B1410,AllData!R:R)/vlookup(B1410,AllData!A:O,15,0)</f>
        <v>99.39987179</v>
      </c>
      <c r="W1410" s="6"/>
    </row>
    <row r="1411" ht="14.25" customHeight="1">
      <c r="A1411" s="6" t="str">
        <f t="shared" si="1"/>
        <v>2018Rooney/Jackson11</v>
      </c>
      <c r="B1411" s="59">
        <v>2018.0</v>
      </c>
      <c r="C1411" s="13" t="s">
        <v>57</v>
      </c>
      <c r="D1411" s="13" t="s">
        <v>150</v>
      </c>
      <c r="E1411" s="34"/>
      <c r="F1411" s="6"/>
      <c r="H1411" s="6"/>
      <c r="I1411" s="35" t="str">
        <f>IFERROR(IFERROR(IFERROR(VLOOKUP(B1411&amp;C1411&amp;Q1411,'New Weekly Paste'!A:M,10,0),VLOOKUP(B1411&amp;C1411&amp;Q1411,'New Weekly Paste'!B:O,6,0)),""),"")</f>
        <v>Riley</v>
      </c>
      <c r="J1411" s="239">
        <f>IFERROR(IFERROR(VLOOKUP(B1411&amp;C1411&amp;Q1411,'New Weekly Paste'!A:M,8,0),VLOOKUP(B1411&amp;C1411&amp;Q1411,'New Weekly Paste'!B:O,10,0)),0)</f>
        <v>91.12</v>
      </c>
      <c r="K1411" s="239">
        <f>IFERROR(IFERROR(VLOOKUP(B1411&amp;I1411&amp;Q1411,'New Weekly Paste'!A:M,8,0),VLOOKUP(B1411&amp;I1411&amp;Q1411,'New Weekly Paste'!B:O,10,0)),0)</f>
        <v>133.08</v>
      </c>
      <c r="L1411" s="239">
        <f t="shared" si="25"/>
        <v>0</v>
      </c>
      <c r="M1411" s="36" t="str">
        <f t="shared" si="3"/>
        <v>Regular Season</v>
      </c>
      <c r="N1411" s="239" t="str">
        <f t="shared" si="26"/>
        <v>Riley</v>
      </c>
      <c r="O1411" s="6">
        <f>VLOOKUP(D1411,'Mapped Opponent'!$G$4:$H$22,2,0)</f>
        <v>11</v>
      </c>
      <c r="P1411" s="6"/>
      <c r="Q1411" s="6" t="str">
        <f t="shared" si="4"/>
        <v>Week 11</v>
      </c>
      <c r="R1411" s="6" t="str">
        <f t="shared" si="5"/>
        <v>2018Week 11</v>
      </c>
      <c r="S1411" s="6">
        <f>IFERROR(__xludf.DUMMYFUNCTION("rank(J1411,FILTER(J:J,R:R=R1411))"),7.0)</f>
        <v>7</v>
      </c>
      <c r="T1411" s="6">
        <f t="shared" si="6"/>
        <v>5</v>
      </c>
      <c r="U1411" s="6">
        <f t="shared" si="7"/>
        <v>7</v>
      </c>
      <c r="V1411" s="42">
        <f>averageif(AllData!A:A,B1411,AllData!R:R)/vlookup(B1411,AllData!A:O,15,0)</f>
        <v>99.39987179</v>
      </c>
      <c r="W1411" s="6"/>
    </row>
    <row r="1412" ht="14.25" customHeight="1">
      <c r="A1412" s="6" t="str">
        <f t="shared" si="1"/>
        <v>2018Buser11</v>
      </c>
      <c r="B1412" s="59">
        <v>2018.0</v>
      </c>
      <c r="C1412" s="13" t="s">
        <v>47</v>
      </c>
      <c r="D1412" s="13" t="s">
        <v>150</v>
      </c>
      <c r="E1412" s="34"/>
      <c r="F1412" s="6"/>
      <c r="H1412" s="6"/>
      <c r="I1412" s="35" t="str">
        <f>IFERROR(IFERROR(IFERROR(VLOOKUP(B1412&amp;C1412&amp;Q1412,'New Weekly Paste'!A:M,10,0),VLOOKUP(B1412&amp;C1412&amp;Q1412,'New Weekly Paste'!B:O,6,0)),""),"")</f>
        <v>Fellows</v>
      </c>
      <c r="J1412" s="239">
        <f>IFERROR(IFERROR(VLOOKUP(B1412&amp;C1412&amp;Q1412,'New Weekly Paste'!A:M,8,0),VLOOKUP(B1412&amp;C1412&amp;Q1412,'New Weekly Paste'!B:O,10,0)),0)</f>
        <v>127.18</v>
      </c>
      <c r="K1412" s="239">
        <f>IFERROR(IFERROR(VLOOKUP(B1412&amp;I1412&amp;Q1412,'New Weekly Paste'!A:M,8,0),VLOOKUP(B1412&amp;I1412&amp;Q1412,'New Weekly Paste'!B:O,10,0)),0)</f>
        <v>95.42</v>
      </c>
      <c r="L1412" s="239">
        <f t="shared" si="25"/>
        <v>1</v>
      </c>
      <c r="M1412" s="36" t="str">
        <f t="shared" si="3"/>
        <v>Regular Season</v>
      </c>
      <c r="N1412" s="239" t="str">
        <f t="shared" si="26"/>
        <v>Fellows</v>
      </c>
      <c r="O1412" s="6">
        <f>VLOOKUP(D1412,'Mapped Opponent'!$G$4:$H$22,2,0)</f>
        <v>11</v>
      </c>
      <c r="P1412" s="6"/>
      <c r="Q1412" s="6" t="str">
        <f t="shared" si="4"/>
        <v>Week 11</v>
      </c>
      <c r="R1412" s="6" t="str">
        <f t="shared" si="5"/>
        <v>2018Week 11</v>
      </c>
      <c r="S1412" s="6">
        <f>IFERROR(__xludf.DUMMYFUNCTION("rank(J1412,FILTER(J:J,R:R=R1412))"),3.0)</f>
        <v>3</v>
      </c>
      <c r="T1412" s="6">
        <f t="shared" si="6"/>
        <v>9</v>
      </c>
      <c r="U1412" s="6">
        <f t="shared" si="7"/>
        <v>3</v>
      </c>
      <c r="V1412" s="42">
        <f>averageif(AllData!A:A,B1412,AllData!R:R)/vlookup(B1412,AllData!A:O,15,0)</f>
        <v>99.39987179</v>
      </c>
      <c r="W1412" s="6"/>
    </row>
    <row r="1413" ht="14.25" customHeight="1">
      <c r="A1413" s="6" t="str">
        <f t="shared" si="1"/>
        <v>2018Pierson11</v>
      </c>
      <c r="B1413" s="59">
        <v>2018.0</v>
      </c>
      <c r="C1413" s="13" t="s">
        <v>92</v>
      </c>
      <c r="D1413" s="13" t="s">
        <v>150</v>
      </c>
      <c r="E1413" s="34"/>
      <c r="F1413" s="6"/>
      <c r="H1413" s="6"/>
      <c r="I1413" s="35" t="str">
        <f>IFERROR(IFERROR(IFERROR(VLOOKUP(B1413&amp;C1413&amp;Q1413,'New Weekly Paste'!A:M,10,0),VLOOKUP(B1413&amp;C1413&amp;Q1413,'New Weekly Paste'!B:O,6,0)),""),"")</f>
        <v>Cock</v>
      </c>
      <c r="J1413" s="239">
        <f>IFERROR(IFERROR(VLOOKUP(B1413&amp;C1413&amp;Q1413,'New Weekly Paste'!A:M,8,0),VLOOKUP(B1413&amp;C1413&amp;Q1413,'New Weekly Paste'!B:O,10,0)),0)</f>
        <v>70.14</v>
      </c>
      <c r="K1413" s="239">
        <f>IFERROR(IFERROR(VLOOKUP(B1413&amp;I1413&amp;Q1413,'New Weekly Paste'!A:M,8,0),VLOOKUP(B1413&amp;I1413&amp;Q1413,'New Weekly Paste'!B:O,10,0)),0)</f>
        <v>116.18</v>
      </c>
      <c r="L1413" s="239">
        <f t="shared" si="25"/>
        <v>0</v>
      </c>
      <c r="M1413" s="36" t="str">
        <f t="shared" si="3"/>
        <v>Regular Season</v>
      </c>
      <c r="N1413" s="239" t="str">
        <f t="shared" si="26"/>
        <v>Cock</v>
      </c>
      <c r="O1413" s="6">
        <f>VLOOKUP(D1413,'Mapped Opponent'!$G$4:$H$22,2,0)</f>
        <v>11</v>
      </c>
      <c r="P1413" s="6"/>
      <c r="Q1413" s="6" t="str">
        <f t="shared" si="4"/>
        <v>Week 11</v>
      </c>
      <c r="R1413" s="6" t="str">
        <f t="shared" si="5"/>
        <v>2018Week 11</v>
      </c>
      <c r="S1413" s="6">
        <f>IFERROR(__xludf.DUMMYFUNCTION("rank(J1413,FILTER(J:J,R:R=R1413))"),12.0)</f>
        <v>12</v>
      </c>
      <c r="T1413" s="6">
        <f t="shared" si="6"/>
        <v>0</v>
      </c>
      <c r="U1413" s="6">
        <f t="shared" si="7"/>
        <v>12</v>
      </c>
      <c r="V1413" s="42">
        <f>averageif(AllData!A:A,B1413,AllData!R:R)/vlookup(B1413,AllData!A:O,15,0)</f>
        <v>99.39987179</v>
      </c>
      <c r="W1413" s="6"/>
    </row>
    <row r="1414" ht="14.25" customHeight="1">
      <c r="A1414" s="6" t="str">
        <f t="shared" si="1"/>
        <v>2018Cock11</v>
      </c>
      <c r="B1414" s="59">
        <v>2018.0</v>
      </c>
      <c r="C1414" s="13" t="s">
        <v>72</v>
      </c>
      <c r="D1414" s="13" t="s">
        <v>150</v>
      </c>
      <c r="E1414" s="34"/>
      <c r="F1414" s="6"/>
      <c r="H1414" s="6"/>
      <c r="I1414" s="35" t="str">
        <f>IFERROR(IFERROR(IFERROR(VLOOKUP(B1414&amp;C1414&amp;Q1414,'New Weekly Paste'!A:M,10,0),VLOOKUP(B1414&amp;C1414&amp;Q1414,'New Weekly Paste'!B:O,6,0)),""),"")</f>
        <v>Pierson</v>
      </c>
      <c r="J1414" s="239">
        <f>IFERROR(IFERROR(VLOOKUP(B1414&amp;C1414&amp;Q1414,'New Weekly Paste'!A:M,8,0),VLOOKUP(B1414&amp;C1414&amp;Q1414,'New Weekly Paste'!B:O,10,0)),0)</f>
        <v>116.18</v>
      </c>
      <c r="K1414" s="239">
        <f>IFERROR(IFERROR(VLOOKUP(B1414&amp;I1414&amp;Q1414,'New Weekly Paste'!A:M,8,0),VLOOKUP(B1414&amp;I1414&amp;Q1414,'New Weekly Paste'!B:O,10,0)),0)</f>
        <v>70.14</v>
      </c>
      <c r="L1414" s="239">
        <f t="shared" si="25"/>
        <v>1</v>
      </c>
      <c r="M1414" s="36" t="str">
        <f t="shared" si="3"/>
        <v>Regular Season</v>
      </c>
      <c r="N1414" s="239" t="str">
        <f t="shared" si="26"/>
        <v>Pierson</v>
      </c>
      <c r="O1414" s="6">
        <f>VLOOKUP(D1414,'Mapped Opponent'!$G$4:$H$22,2,0)</f>
        <v>11</v>
      </c>
      <c r="P1414" s="6"/>
      <c r="Q1414" s="6" t="str">
        <f t="shared" si="4"/>
        <v>Week 11</v>
      </c>
      <c r="R1414" s="6" t="str">
        <f t="shared" si="5"/>
        <v>2018Week 11</v>
      </c>
      <c r="S1414" s="6">
        <f>IFERROR(__xludf.DUMMYFUNCTION("rank(J1414,FILTER(J:J,R:R=R1414))"),4.0)</f>
        <v>4</v>
      </c>
      <c r="T1414" s="6">
        <f t="shared" si="6"/>
        <v>8</v>
      </c>
      <c r="U1414" s="6">
        <f t="shared" si="7"/>
        <v>4</v>
      </c>
      <c r="V1414" s="42">
        <f>averageif(AllData!A:A,B1414,AllData!R:R)/vlookup(B1414,AllData!A:O,15,0)</f>
        <v>99.39987179</v>
      </c>
      <c r="W1414" s="6"/>
    </row>
    <row r="1415" ht="14.25" customHeight="1">
      <c r="A1415" s="6" t="str">
        <f t="shared" si="1"/>
        <v>2018Tayski11</v>
      </c>
      <c r="B1415" s="59">
        <v>2018.0</v>
      </c>
      <c r="C1415" s="13" t="s">
        <v>52</v>
      </c>
      <c r="D1415" s="13" t="s">
        <v>150</v>
      </c>
      <c r="E1415" s="34"/>
      <c r="F1415" s="6"/>
      <c r="H1415" s="6"/>
      <c r="I1415" s="35" t="str">
        <f>IFERROR(IFERROR(IFERROR(VLOOKUP(B1415&amp;C1415&amp;Q1415,'New Weekly Paste'!A:M,10,0),VLOOKUP(B1415&amp;C1415&amp;Q1415,'New Weekly Paste'!B:O,6,0)),""),"")</f>
        <v>T-How</v>
      </c>
      <c r="J1415" s="239">
        <f>IFERROR(IFERROR(VLOOKUP(B1415&amp;C1415&amp;Q1415,'New Weekly Paste'!A:M,8,0),VLOOKUP(B1415&amp;C1415&amp;Q1415,'New Weekly Paste'!B:O,10,0)),0)</f>
        <v>77.48</v>
      </c>
      <c r="K1415" s="239">
        <f>IFERROR(IFERROR(VLOOKUP(B1415&amp;I1415&amp;Q1415,'New Weekly Paste'!A:M,8,0),VLOOKUP(B1415&amp;I1415&amp;Q1415,'New Weekly Paste'!B:O,10,0)),0)</f>
        <v>76.4</v>
      </c>
      <c r="L1415" s="239">
        <f t="shared" si="25"/>
        <v>1</v>
      </c>
      <c r="M1415" s="36" t="str">
        <f t="shared" si="3"/>
        <v>Regular Season</v>
      </c>
      <c r="N1415" s="239" t="str">
        <f t="shared" si="26"/>
        <v>T-How</v>
      </c>
      <c r="O1415" s="6">
        <f>VLOOKUP(D1415,'Mapped Opponent'!$G$4:$H$22,2,0)</f>
        <v>11</v>
      </c>
      <c r="P1415" s="6"/>
      <c r="Q1415" s="6" t="str">
        <f t="shared" si="4"/>
        <v>Week 11</v>
      </c>
      <c r="R1415" s="6" t="str">
        <f t="shared" si="5"/>
        <v>2018Week 11</v>
      </c>
      <c r="S1415" s="6">
        <f>IFERROR(__xludf.DUMMYFUNCTION("rank(J1415,FILTER(J:J,R:R=R1415))"),10.0)</f>
        <v>10</v>
      </c>
      <c r="T1415" s="6">
        <f t="shared" si="6"/>
        <v>2</v>
      </c>
      <c r="U1415" s="6">
        <f t="shared" si="7"/>
        <v>10</v>
      </c>
      <c r="V1415" s="42">
        <f>averageif(AllData!A:A,B1415,AllData!R:R)/vlookup(B1415,AllData!A:O,15,0)</f>
        <v>99.39987179</v>
      </c>
      <c r="W1415" s="6"/>
    </row>
    <row r="1416" ht="14.25" customHeight="1">
      <c r="A1416" s="6" t="str">
        <f t="shared" si="1"/>
        <v>2018KnardDawg11</v>
      </c>
      <c r="B1416" s="59">
        <v>2018.0</v>
      </c>
      <c r="C1416" s="13" t="s">
        <v>86</v>
      </c>
      <c r="D1416" s="13" t="s">
        <v>150</v>
      </c>
      <c r="E1416" s="34"/>
      <c r="F1416" s="6"/>
      <c r="H1416" s="6"/>
      <c r="I1416" s="35" t="str">
        <f>IFERROR(IFERROR(IFERROR(VLOOKUP(B1416&amp;C1416&amp;Q1416,'New Weekly Paste'!A:M,10,0),VLOOKUP(B1416&amp;C1416&amp;Q1416,'New Weekly Paste'!B:O,6,0)),""),"")</f>
        <v>Shep</v>
      </c>
      <c r="J1416" s="239">
        <f>IFERROR(IFERROR(VLOOKUP(B1416&amp;C1416&amp;Q1416,'New Weekly Paste'!A:M,8,0),VLOOKUP(B1416&amp;C1416&amp;Q1416,'New Weekly Paste'!B:O,10,0)),0)</f>
        <v>99.52</v>
      </c>
      <c r="K1416" s="239">
        <f>IFERROR(IFERROR(VLOOKUP(B1416&amp;I1416&amp;Q1416,'New Weekly Paste'!A:M,8,0),VLOOKUP(B1416&amp;I1416&amp;Q1416,'New Weekly Paste'!B:O,10,0)),0)</f>
        <v>129.22</v>
      </c>
      <c r="L1416" s="239">
        <f t="shared" si="25"/>
        <v>0</v>
      </c>
      <c r="M1416" s="36" t="str">
        <f t="shared" si="3"/>
        <v>Regular Season</v>
      </c>
      <c r="N1416" s="239" t="str">
        <f t="shared" si="26"/>
        <v>Shep</v>
      </c>
      <c r="O1416" s="6">
        <f>VLOOKUP(D1416,'Mapped Opponent'!$G$4:$H$22,2,0)</f>
        <v>11</v>
      </c>
      <c r="P1416" s="6"/>
      <c r="Q1416" s="6" t="str">
        <f t="shared" si="4"/>
        <v>Week 11</v>
      </c>
      <c r="R1416" s="6" t="str">
        <f t="shared" si="5"/>
        <v>2018Week 11</v>
      </c>
      <c r="S1416" s="6">
        <f>IFERROR(__xludf.DUMMYFUNCTION("rank(J1416,FILTER(J:J,R:R=R1416))"),5.0)</f>
        <v>5</v>
      </c>
      <c r="T1416" s="6">
        <f t="shared" si="6"/>
        <v>7</v>
      </c>
      <c r="U1416" s="6">
        <f t="shared" si="7"/>
        <v>5</v>
      </c>
      <c r="V1416" s="42">
        <f>averageif(AllData!A:A,B1416,AllData!R:R)/vlookup(B1416,AllData!A:O,15,0)</f>
        <v>99.39987179</v>
      </c>
      <c r="W1416" s="6"/>
    </row>
    <row r="1417" ht="14.25" customHeight="1">
      <c r="A1417" s="6" t="str">
        <f t="shared" si="1"/>
        <v>2018T-How11</v>
      </c>
      <c r="B1417" s="59">
        <v>2018.0</v>
      </c>
      <c r="C1417" s="13" t="s">
        <v>82</v>
      </c>
      <c r="D1417" s="13" t="s">
        <v>150</v>
      </c>
      <c r="E1417" s="34"/>
      <c r="F1417" s="6"/>
      <c r="H1417" s="6"/>
      <c r="I1417" s="35" t="str">
        <f>IFERROR(IFERROR(IFERROR(VLOOKUP(B1417&amp;C1417&amp;Q1417,'New Weekly Paste'!A:M,10,0),VLOOKUP(B1417&amp;C1417&amp;Q1417,'New Weekly Paste'!B:O,6,0)),""),"")</f>
        <v>Tayski</v>
      </c>
      <c r="J1417" s="239">
        <f>IFERROR(IFERROR(VLOOKUP(B1417&amp;C1417&amp;Q1417,'New Weekly Paste'!A:M,8,0),VLOOKUP(B1417&amp;C1417&amp;Q1417,'New Weekly Paste'!B:O,10,0)),0)</f>
        <v>76.4</v>
      </c>
      <c r="K1417" s="239">
        <f>IFERROR(IFERROR(VLOOKUP(B1417&amp;I1417&amp;Q1417,'New Weekly Paste'!A:M,8,0),VLOOKUP(B1417&amp;I1417&amp;Q1417,'New Weekly Paste'!B:O,10,0)),0)</f>
        <v>77.48</v>
      </c>
      <c r="L1417" s="239">
        <f t="shared" si="25"/>
        <v>0</v>
      </c>
      <c r="M1417" s="36" t="str">
        <f t="shared" si="3"/>
        <v>Regular Season</v>
      </c>
      <c r="N1417" s="239" t="str">
        <f t="shared" si="26"/>
        <v>Tayski</v>
      </c>
      <c r="O1417" s="6">
        <f>VLOOKUP(D1417,'Mapped Opponent'!$G$4:$H$22,2,0)</f>
        <v>11</v>
      </c>
      <c r="P1417" s="6"/>
      <c r="Q1417" s="6" t="str">
        <f t="shared" si="4"/>
        <v>Week 11</v>
      </c>
      <c r="R1417" s="6" t="str">
        <f t="shared" si="5"/>
        <v>2018Week 11</v>
      </c>
      <c r="S1417" s="6">
        <f>IFERROR(__xludf.DUMMYFUNCTION("rank(J1417,FILTER(J:J,R:R=R1417))"),11.0)</f>
        <v>11</v>
      </c>
      <c r="T1417" s="6">
        <f t="shared" si="6"/>
        <v>1</v>
      </c>
      <c r="U1417" s="6">
        <f t="shared" si="7"/>
        <v>11</v>
      </c>
      <c r="V1417" s="42">
        <f>averageif(AllData!A:A,B1417,AllData!R:R)/vlookup(B1417,AllData!A:O,15,0)</f>
        <v>99.39987179</v>
      </c>
      <c r="W1417" s="6"/>
    </row>
    <row r="1418" ht="14.25" customHeight="1">
      <c r="A1418" s="6" t="str">
        <f t="shared" si="1"/>
        <v>2018Hudspeath12</v>
      </c>
      <c r="B1418" s="59">
        <v>2018.0</v>
      </c>
      <c r="C1418" s="13" t="s">
        <v>39</v>
      </c>
      <c r="D1418" s="13" t="s">
        <v>151</v>
      </c>
      <c r="E1418" s="34"/>
      <c r="F1418" s="6"/>
      <c r="H1418" s="6"/>
      <c r="I1418" s="35" t="str">
        <f>IFERROR(IFERROR(IFERROR(VLOOKUP(B1418&amp;C1418&amp;Q1418,'New Weekly Paste'!A:M,10,0),VLOOKUP(B1418&amp;C1418&amp;Q1418,'New Weekly Paste'!B:O,6,0)),""),"")</f>
        <v>Pierson</v>
      </c>
      <c r="J1418" s="239">
        <f>IFERROR(IFERROR(VLOOKUP(B1418&amp;C1418&amp;Q1418,'New Weekly Paste'!A:M,8,0),VLOOKUP(B1418&amp;C1418&amp;Q1418,'New Weekly Paste'!B:O,10,0)),0)</f>
        <v>92.58</v>
      </c>
      <c r="K1418" s="239">
        <f>IFERROR(IFERROR(VLOOKUP(B1418&amp;I1418&amp;Q1418,'New Weekly Paste'!A:M,8,0),VLOOKUP(B1418&amp;I1418&amp;Q1418,'New Weekly Paste'!B:O,10,0)),0)</f>
        <v>94.66</v>
      </c>
      <c r="L1418" s="239">
        <f t="shared" si="25"/>
        <v>0</v>
      </c>
      <c r="M1418" s="36" t="str">
        <f t="shared" si="3"/>
        <v>Regular Season</v>
      </c>
      <c r="N1418" s="239" t="str">
        <f t="shared" si="26"/>
        <v>Pierson</v>
      </c>
      <c r="O1418" s="6">
        <f>VLOOKUP(D1418,'Mapped Opponent'!$G$4:$H$22,2,0)</f>
        <v>12</v>
      </c>
      <c r="P1418" s="6"/>
      <c r="Q1418" s="6" t="str">
        <f t="shared" si="4"/>
        <v>Week 12</v>
      </c>
      <c r="R1418" s="6" t="str">
        <f t="shared" si="5"/>
        <v>2018Week 12</v>
      </c>
      <c r="S1418" s="6">
        <f>IFERROR(__xludf.DUMMYFUNCTION("rank(J1418,FILTER(J:J,R:R=R1418))"),10.0)</f>
        <v>10</v>
      </c>
      <c r="T1418" s="6">
        <f t="shared" si="6"/>
        <v>2</v>
      </c>
      <c r="U1418" s="6">
        <f t="shared" si="7"/>
        <v>10</v>
      </c>
      <c r="V1418" s="42">
        <f>averageif(AllData!A:A,B1418,AllData!R:R)/vlookup(B1418,AllData!A:O,15,0)</f>
        <v>99.39987179</v>
      </c>
      <c r="W1418" s="6"/>
    </row>
    <row r="1419" ht="14.25" customHeight="1">
      <c r="A1419" s="6" t="str">
        <f t="shared" si="1"/>
        <v>2018Salty12</v>
      </c>
      <c r="B1419" s="59">
        <v>2018.0</v>
      </c>
      <c r="C1419" s="13" t="s">
        <v>76</v>
      </c>
      <c r="D1419" s="13" t="s">
        <v>151</v>
      </c>
      <c r="E1419" s="34"/>
      <c r="F1419" s="6"/>
      <c r="H1419" s="6"/>
      <c r="I1419" s="35" t="str">
        <f>IFERROR(IFERROR(IFERROR(VLOOKUP(B1419&amp;C1419&amp;Q1419,'New Weekly Paste'!A:M,10,0),VLOOKUP(B1419&amp;C1419&amp;Q1419,'New Weekly Paste'!B:O,6,0)),""),"")</f>
        <v>KnardDawg</v>
      </c>
      <c r="J1419" s="239">
        <f>IFERROR(IFERROR(VLOOKUP(B1419&amp;C1419&amp;Q1419,'New Weekly Paste'!A:M,8,0),VLOOKUP(B1419&amp;C1419&amp;Q1419,'New Weekly Paste'!B:O,10,0)),0)</f>
        <v>52.94</v>
      </c>
      <c r="K1419" s="239">
        <f>IFERROR(IFERROR(VLOOKUP(B1419&amp;I1419&amp;Q1419,'New Weekly Paste'!A:M,8,0),VLOOKUP(B1419&amp;I1419&amp;Q1419,'New Weekly Paste'!B:O,10,0)),0)</f>
        <v>102.74</v>
      </c>
      <c r="L1419" s="239">
        <f t="shared" si="25"/>
        <v>0</v>
      </c>
      <c r="M1419" s="36" t="str">
        <f t="shared" si="3"/>
        <v>Regular Season</v>
      </c>
      <c r="N1419" s="239" t="str">
        <f t="shared" si="26"/>
        <v>KnardDawg</v>
      </c>
      <c r="O1419" s="6">
        <f>VLOOKUP(D1419,'Mapped Opponent'!$G$4:$H$22,2,0)</f>
        <v>12</v>
      </c>
      <c r="P1419" s="6"/>
      <c r="Q1419" s="6" t="str">
        <f t="shared" si="4"/>
        <v>Week 12</v>
      </c>
      <c r="R1419" s="6" t="str">
        <f t="shared" si="5"/>
        <v>2018Week 12</v>
      </c>
      <c r="S1419" s="6">
        <f>IFERROR(__xludf.DUMMYFUNCTION("rank(J1419,FILTER(J:J,R:R=R1419))"),12.0)</f>
        <v>12</v>
      </c>
      <c r="T1419" s="6">
        <f t="shared" si="6"/>
        <v>0</v>
      </c>
      <c r="U1419" s="6">
        <f t="shared" si="7"/>
        <v>12</v>
      </c>
      <c r="V1419" s="42">
        <f>averageif(AllData!A:A,B1419,AllData!R:R)/vlookup(B1419,AllData!A:O,15,0)</f>
        <v>99.39987179</v>
      </c>
      <c r="W1419" s="6"/>
    </row>
    <row r="1420" ht="14.25" customHeight="1">
      <c r="A1420" s="6" t="str">
        <f t="shared" si="1"/>
        <v>2018Fellows12</v>
      </c>
      <c r="B1420" s="59">
        <v>2018.0</v>
      </c>
      <c r="C1420" s="13" t="s">
        <v>79</v>
      </c>
      <c r="D1420" s="13" t="s">
        <v>151</v>
      </c>
      <c r="E1420" s="34"/>
      <c r="F1420" s="6"/>
      <c r="H1420" s="6"/>
      <c r="I1420" s="35" t="str">
        <f>IFERROR(IFERROR(IFERROR(VLOOKUP(B1420&amp;C1420&amp;Q1420,'New Weekly Paste'!A:M,10,0),VLOOKUP(B1420&amp;C1420&amp;Q1420,'New Weekly Paste'!B:O,6,0)),""),"")</f>
        <v>Cock</v>
      </c>
      <c r="J1420" s="239">
        <f>IFERROR(IFERROR(VLOOKUP(B1420&amp;C1420&amp;Q1420,'New Weekly Paste'!A:M,8,0),VLOOKUP(B1420&amp;C1420&amp;Q1420,'New Weekly Paste'!B:O,10,0)),0)</f>
        <v>101.96</v>
      </c>
      <c r="K1420" s="239">
        <f>IFERROR(IFERROR(VLOOKUP(B1420&amp;I1420&amp;Q1420,'New Weekly Paste'!A:M,8,0),VLOOKUP(B1420&amp;I1420&amp;Q1420,'New Weekly Paste'!B:O,10,0)),0)</f>
        <v>107.78</v>
      </c>
      <c r="L1420" s="239">
        <f t="shared" si="25"/>
        <v>0</v>
      </c>
      <c r="M1420" s="36" t="str">
        <f t="shared" si="3"/>
        <v>Regular Season</v>
      </c>
      <c r="N1420" s="239" t="str">
        <f t="shared" si="26"/>
        <v>Cock</v>
      </c>
      <c r="O1420" s="6">
        <f>VLOOKUP(D1420,'Mapped Opponent'!$G$4:$H$22,2,0)</f>
        <v>12</v>
      </c>
      <c r="P1420" s="6"/>
      <c r="Q1420" s="6" t="str">
        <f t="shared" si="4"/>
        <v>Week 12</v>
      </c>
      <c r="R1420" s="6" t="str">
        <f t="shared" si="5"/>
        <v>2018Week 12</v>
      </c>
      <c r="S1420" s="6">
        <f>IFERROR(__xludf.DUMMYFUNCTION("rank(J1420,FILTER(J:J,R:R=R1420))"),7.0)</f>
        <v>7</v>
      </c>
      <c r="T1420" s="6">
        <f t="shared" si="6"/>
        <v>5</v>
      </c>
      <c r="U1420" s="6">
        <f t="shared" si="7"/>
        <v>7</v>
      </c>
      <c r="V1420" s="42">
        <f>averageif(AllData!A:A,B1420,AllData!R:R)/vlookup(B1420,AllData!A:O,15,0)</f>
        <v>99.39987179</v>
      </c>
      <c r="W1420" s="6"/>
    </row>
    <row r="1421" ht="14.25" customHeight="1">
      <c r="A1421" s="6" t="str">
        <f t="shared" si="1"/>
        <v>2018Shep12</v>
      </c>
      <c r="B1421" s="59">
        <v>2018.0</v>
      </c>
      <c r="C1421" s="13" t="s">
        <v>89</v>
      </c>
      <c r="D1421" s="13" t="s">
        <v>151</v>
      </c>
      <c r="E1421" s="34"/>
      <c r="F1421" s="6"/>
      <c r="H1421" s="6"/>
      <c r="I1421" s="35" t="str">
        <f>IFERROR(IFERROR(IFERROR(VLOOKUP(B1421&amp;C1421&amp;Q1421,'New Weekly Paste'!A:M,10,0),VLOOKUP(B1421&amp;C1421&amp;Q1421,'New Weekly Paste'!B:O,6,0)),""),"")</f>
        <v>Tayski</v>
      </c>
      <c r="J1421" s="239">
        <f>IFERROR(IFERROR(VLOOKUP(B1421&amp;C1421&amp;Q1421,'New Weekly Paste'!A:M,8,0),VLOOKUP(B1421&amp;C1421&amp;Q1421,'New Weekly Paste'!B:O,10,0)),0)</f>
        <v>150.98</v>
      </c>
      <c r="K1421" s="239">
        <f>IFERROR(IFERROR(VLOOKUP(B1421&amp;I1421&amp;Q1421,'New Weekly Paste'!A:M,8,0),VLOOKUP(B1421&amp;I1421&amp;Q1421,'New Weekly Paste'!B:O,10,0)),0)</f>
        <v>120.72</v>
      </c>
      <c r="L1421" s="239">
        <f t="shared" si="25"/>
        <v>1</v>
      </c>
      <c r="M1421" s="36" t="str">
        <f t="shared" si="3"/>
        <v>Regular Season</v>
      </c>
      <c r="N1421" s="239" t="str">
        <f t="shared" si="26"/>
        <v>Tayski</v>
      </c>
      <c r="O1421" s="6">
        <f>VLOOKUP(D1421,'Mapped Opponent'!$G$4:$H$22,2,0)</f>
        <v>12</v>
      </c>
      <c r="P1421" s="6"/>
      <c r="Q1421" s="6" t="str">
        <f t="shared" si="4"/>
        <v>Week 12</v>
      </c>
      <c r="R1421" s="6" t="str">
        <f t="shared" si="5"/>
        <v>2018Week 12</v>
      </c>
      <c r="S1421" s="6">
        <f>IFERROR(__xludf.DUMMYFUNCTION("rank(J1421,FILTER(J:J,R:R=R1421))"),1.0)</f>
        <v>1</v>
      </c>
      <c r="T1421" s="6">
        <f t="shared" si="6"/>
        <v>11</v>
      </c>
      <c r="U1421" s="6">
        <f t="shared" si="7"/>
        <v>1</v>
      </c>
      <c r="V1421" s="42">
        <f>averageif(AllData!A:A,B1421,AllData!R:R)/vlookup(B1421,AllData!A:O,15,0)</f>
        <v>99.39987179</v>
      </c>
      <c r="W1421" s="6"/>
    </row>
    <row r="1422" ht="14.25" customHeight="1">
      <c r="A1422" s="6" t="str">
        <f t="shared" si="1"/>
        <v>2018Riley12</v>
      </c>
      <c r="B1422" s="59">
        <v>2018.0</v>
      </c>
      <c r="C1422" s="13" t="s">
        <v>67</v>
      </c>
      <c r="D1422" s="13" t="s">
        <v>151</v>
      </c>
      <c r="E1422" s="34"/>
      <c r="F1422" s="6"/>
      <c r="H1422" s="6"/>
      <c r="I1422" s="35" t="str">
        <f>IFERROR(IFERROR(IFERROR(VLOOKUP(B1422&amp;C1422&amp;Q1422,'New Weekly Paste'!A:M,10,0),VLOOKUP(B1422&amp;C1422&amp;Q1422,'New Weekly Paste'!B:O,6,0)),""),"")</f>
        <v>Buser</v>
      </c>
      <c r="J1422" s="239">
        <f>IFERROR(IFERROR(VLOOKUP(B1422&amp;C1422&amp;Q1422,'New Weekly Paste'!A:M,8,0),VLOOKUP(B1422&amp;C1422&amp;Q1422,'New Weekly Paste'!B:O,10,0)),0)</f>
        <v>99.32</v>
      </c>
      <c r="K1422" s="239">
        <f>IFERROR(IFERROR(VLOOKUP(B1422&amp;I1422&amp;Q1422,'New Weekly Paste'!A:M,8,0),VLOOKUP(B1422&amp;I1422&amp;Q1422,'New Weekly Paste'!B:O,10,0)),0)</f>
        <v>109.94</v>
      </c>
      <c r="L1422" s="239">
        <f t="shared" si="25"/>
        <v>0</v>
      </c>
      <c r="M1422" s="36" t="str">
        <f t="shared" si="3"/>
        <v>Regular Season</v>
      </c>
      <c r="N1422" s="239" t="str">
        <f t="shared" si="26"/>
        <v>Buser</v>
      </c>
      <c r="O1422" s="6">
        <f>VLOOKUP(D1422,'Mapped Opponent'!$G$4:$H$22,2,0)</f>
        <v>12</v>
      </c>
      <c r="P1422" s="6"/>
      <c r="Q1422" s="6" t="str">
        <f t="shared" si="4"/>
        <v>Week 12</v>
      </c>
      <c r="R1422" s="6" t="str">
        <f t="shared" si="5"/>
        <v>2018Week 12</v>
      </c>
      <c r="S1422" s="6">
        <f>IFERROR(__xludf.DUMMYFUNCTION("rank(J1422,FILTER(J:J,R:R=R1422))"),8.0)</f>
        <v>8</v>
      </c>
      <c r="T1422" s="6">
        <f t="shared" si="6"/>
        <v>4</v>
      </c>
      <c r="U1422" s="6">
        <f t="shared" si="7"/>
        <v>8</v>
      </c>
      <c r="V1422" s="42">
        <f>averageif(AllData!A:A,B1422,AllData!R:R)/vlookup(B1422,AllData!A:O,15,0)</f>
        <v>99.39987179</v>
      </c>
      <c r="W1422" s="6"/>
    </row>
    <row r="1423" ht="14.25" customHeight="1">
      <c r="A1423" s="6" t="str">
        <f t="shared" si="1"/>
        <v>2018Rooney/Jackson12</v>
      </c>
      <c r="B1423" s="59">
        <v>2018.0</v>
      </c>
      <c r="C1423" s="13" t="s">
        <v>57</v>
      </c>
      <c r="D1423" s="13" t="s">
        <v>151</v>
      </c>
      <c r="E1423" s="34"/>
      <c r="F1423" s="6"/>
      <c r="H1423" s="6"/>
      <c r="I1423" s="35" t="str">
        <f>IFERROR(IFERROR(IFERROR(VLOOKUP(B1423&amp;C1423&amp;Q1423,'New Weekly Paste'!A:M,10,0),VLOOKUP(B1423&amp;C1423&amp;Q1423,'New Weekly Paste'!B:O,6,0)),""),"")</f>
        <v>T-How</v>
      </c>
      <c r="J1423" s="239">
        <f>IFERROR(IFERROR(VLOOKUP(B1423&amp;C1423&amp;Q1423,'New Weekly Paste'!A:M,8,0),VLOOKUP(B1423&amp;C1423&amp;Q1423,'New Weekly Paste'!B:O,10,0)),0)</f>
        <v>84.78</v>
      </c>
      <c r="K1423" s="239">
        <f>IFERROR(IFERROR(VLOOKUP(B1423&amp;I1423&amp;Q1423,'New Weekly Paste'!A:M,8,0),VLOOKUP(B1423&amp;I1423&amp;Q1423,'New Weekly Paste'!B:O,10,0)),0)</f>
        <v>123.82</v>
      </c>
      <c r="L1423" s="239">
        <f t="shared" si="25"/>
        <v>0</v>
      </c>
      <c r="M1423" s="36" t="str">
        <f t="shared" si="3"/>
        <v>Regular Season</v>
      </c>
      <c r="N1423" s="239" t="str">
        <f t="shared" si="26"/>
        <v>T-How</v>
      </c>
      <c r="O1423" s="6">
        <f>VLOOKUP(D1423,'Mapped Opponent'!$G$4:$H$22,2,0)</f>
        <v>12</v>
      </c>
      <c r="P1423" s="6"/>
      <c r="Q1423" s="6" t="str">
        <f t="shared" si="4"/>
        <v>Week 12</v>
      </c>
      <c r="R1423" s="6" t="str">
        <f t="shared" si="5"/>
        <v>2018Week 12</v>
      </c>
      <c r="S1423" s="6">
        <f>IFERROR(__xludf.DUMMYFUNCTION("rank(J1423,FILTER(J:J,R:R=R1423))"),11.0)</f>
        <v>11</v>
      </c>
      <c r="T1423" s="6">
        <f t="shared" si="6"/>
        <v>1</v>
      </c>
      <c r="U1423" s="6">
        <f t="shared" si="7"/>
        <v>11</v>
      </c>
      <c r="V1423" s="42">
        <f>averageif(AllData!A:A,B1423,AllData!R:R)/vlookup(B1423,AllData!A:O,15,0)</f>
        <v>99.39987179</v>
      </c>
      <c r="W1423" s="6"/>
    </row>
    <row r="1424" ht="14.25" customHeight="1">
      <c r="A1424" s="6" t="str">
        <f t="shared" si="1"/>
        <v>2018Buser12</v>
      </c>
      <c r="B1424" s="59">
        <v>2018.0</v>
      </c>
      <c r="C1424" s="13" t="s">
        <v>47</v>
      </c>
      <c r="D1424" s="13" t="s">
        <v>151</v>
      </c>
      <c r="E1424" s="34"/>
      <c r="F1424" s="6"/>
      <c r="H1424" s="6"/>
      <c r="I1424" s="35" t="str">
        <f>IFERROR(IFERROR(IFERROR(VLOOKUP(B1424&amp;C1424&amp;Q1424,'New Weekly Paste'!A:M,10,0),VLOOKUP(B1424&amp;C1424&amp;Q1424,'New Weekly Paste'!B:O,6,0)),""),"")</f>
        <v>Riley</v>
      </c>
      <c r="J1424" s="239">
        <f>IFERROR(IFERROR(VLOOKUP(B1424&amp;C1424&amp;Q1424,'New Weekly Paste'!A:M,8,0),VLOOKUP(B1424&amp;C1424&amp;Q1424,'New Weekly Paste'!B:O,10,0)),0)</f>
        <v>109.94</v>
      </c>
      <c r="K1424" s="239">
        <f>IFERROR(IFERROR(VLOOKUP(B1424&amp;I1424&amp;Q1424,'New Weekly Paste'!A:M,8,0),VLOOKUP(B1424&amp;I1424&amp;Q1424,'New Weekly Paste'!B:O,10,0)),0)</f>
        <v>99.32</v>
      </c>
      <c r="L1424" s="239">
        <f t="shared" si="25"/>
        <v>1</v>
      </c>
      <c r="M1424" s="36" t="str">
        <f t="shared" si="3"/>
        <v>Regular Season</v>
      </c>
      <c r="N1424" s="239" t="str">
        <f t="shared" si="26"/>
        <v>Riley</v>
      </c>
      <c r="O1424" s="6">
        <f>VLOOKUP(D1424,'Mapped Opponent'!$G$4:$H$22,2,0)</f>
        <v>12</v>
      </c>
      <c r="P1424" s="6"/>
      <c r="Q1424" s="6" t="str">
        <f t="shared" si="4"/>
        <v>Week 12</v>
      </c>
      <c r="R1424" s="6" t="str">
        <f t="shared" si="5"/>
        <v>2018Week 12</v>
      </c>
      <c r="S1424" s="6">
        <f>IFERROR(__xludf.DUMMYFUNCTION("rank(J1424,FILTER(J:J,R:R=R1424))"),4.0)</f>
        <v>4</v>
      </c>
      <c r="T1424" s="6">
        <f t="shared" si="6"/>
        <v>8</v>
      </c>
      <c r="U1424" s="6">
        <f t="shared" si="7"/>
        <v>4</v>
      </c>
      <c r="V1424" s="42">
        <f>averageif(AllData!A:A,B1424,AllData!R:R)/vlookup(B1424,AllData!A:O,15,0)</f>
        <v>99.39987179</v>
      </c>
      <c r="W1424" s="6"/>
    </row>
    <row r="1425" ht="14.25" customHeight="1">
      <c r="A1425" s="6" t="str">
        <f t="shared" si="1"/>
        <v>2018Pierson12</v>
      </c>
      <c r="B1425" s="59">
        <v>2018.0</v>
      </c>
      <c r="C1425" s="13" t="s">
        <v>92</v>
      </c>
      <c r="D1425" s="13" t="s">
        <v>151</v>
      </c>
      <c r="E1425" s="34"/>
      <c r="F1425" s="6"/>
      <c r="H1425" s="6"/>
      <c r="I1425" s="35" t="str">
        <f>IFERROR(IFERROR(IFERROR(VLOOKUP(B1425&amp;C1425&amp;Q1425,'New Weekly Paste'!A:M,10,0),VLOOKUP(B1425&amp;C1425&amp;Q1425,'New Weekly Paste'!B:O,6,0)),""),"")</f>
        <v>Hudspeath</v>
      </c>
      <c r="J1425" s="239">
        <f>IFERROR(IFERROR(VLOOKUP(B1425&amp;C1425&amp;Q1425,'New Weekly Paste'!A:M,8,0),VLOOKUP(B1425&amp;C1425&amp;Q1425,'New Weekly Paste'!B:O,10,0)),0)</f>
        <v>94.66</v>
      </c>
      <c r="K1425" s="239">
        <f>IFERROR(IFERROR(VLOOKUP(B1425&amp;I1425&amp;Q1425,'New Weekly Paste'!A:M,8,0),VLOOKUP(B1425&amp;I1425&amp;Q1425,'New Weekly Paste'!B:O,10,0)),0)</f>
        <v>92.58</v>
      </c>
      <c r="L1425" s="239">
        <f t="shared" si="25"/>
        <v>1</v>
      </c>
      <c r="M1425" s="36" t="str">
        <f t="shared" si="3"/>
        <v>Regular Season</v>
      </c>
      <c r="N1425" s="239" t="str">
        <f t="shared" si="26"/>
        <v>Hudspeath</v>
      </c>
      <c r="O1425" s="6">
        <f>VLOOKUP(D1425,'Mapped Opponent'!$G$4:$H$22,2,0)</f>
        <v>12</v>
      </c>
      <c r="P1425" s="6"/>
      <c r="Q1425" s="6" t="str">
        <f t="shared" si="4"/>
        <v>Week 12</v>
      </c>
      <c r="R1425" s="6" t="str">
        <f t="shared" si="5"/>
        <v>2018Week 12</v>
      </c>
      <c r="S1425" s="6">
        <f>IFERROR(__xludf.DUMMYFUNCTION("rank(J1425,FILTER(J:J,R:R=R1425))"),9.0)</f>
        <v>9</v>
      </c>
      <c r="T1425" s="6">
        <f t="shared" si="6"/>
        <v>3</v>
      </c>
      <c r="U1425" s="6">
        <f t="shared" si="7"/>
        <v>9</v>
      </c>
      <c r="V1425" s="42">
        <f>averageif(AllData!A:A,B1425,AllData!R:R)/vlookup(B1425,AllData!A:O,15,0)</f>
        <v>99.39987179</v>
      </c>
      <c r="W1425" s="6"/>
    </row>
    <row r="1426" ht="14.25" customHeight="1">
      <c r="A1426" s="6" t="str">
        <f t="shared" si="1"/>
        <v>2018Cock12</v>
      </c>
      <c r="B1426" s="59">
        <v>2018.0</v>
      </c>
      <c r="C1426" s="13" t="s">
        <v>72</v>
      </c>
      <c r="D1426" s="13" t="s">
        <v>151</v>
      </c>
      <c r="E1426" s="34"/>
      <c r="F1426" s="6"/>
      <c r="H1426" s="6"/>
      <c r="I1426" s="35" t="str">
        <f>IFERROR(IFERROR(IFERROR(VLOOKUP(B1426&amp;C1426&amp;Q1426,'New Weekly Paste'!A:M,10,0),VLOOKUP(B1426&amp;C1426&amp;Q1426,'New Weekly Paste'!B:O,6,0)),""),"")</f>
        <v>Fellows</v>
      </c>
      <c r="J1426" s="239">
        <f>IFERROR(IFERROR(VLOOKUP(B1426&amp;C1426&amp;Q1426,'New Weekly Paste'!A:M,8,0),VLOOKUP(B1426&amp;C1426&amp;Q1426,'New Weekly Paste'!B:O,10,0)),0)</f>
        <v>107.78</v>
      </c>
      <c r="K1426" s="239">
        <f>IFERROR(IFERROR(VLOOKUP(B1426&amp;I1426&amp;Q1426,'New Weekly Paste'!A:M,8,0),VLOOKUP(B1426&amp;I1426&amp;Q1426,'New Weekly Paste'!B:O,10,0)),0)</f>
        <v>101.96</v>
      </c>
      <c r="L1426" s="239">
        <f t="shared" si="25"/>
        <v>1</v>
      </c>
      <c r="M1426" s="36" t="str">
        <f t="shared" si="3"/>
        <v>Regular Season</v>
      </c>
      <c r="N1426" s="239" t="str">
        <f t="shared" si="26"/>
        <v>Fellows</v>
      </c>
      <c r="O1426" s="6">
        <f>VLOOKUP(D1426,'Mapped Opponent'!$G$4:$H$22,2,0)</f>
        <v>12</v>
      </c>
      <c r="P1426" s="6"/>
      <c r="Q1426" s="6" t="str">
        <f t="shared" si="4"/>
        <v>Week 12</v>
      </c>
      <c r="R1426" s="6" t="str">
        <f t="shared" si="5"/>
        <v>2018Week 12</v>
      </c>
      <c r="S1426" s="6">
        <f>IFERROR(__xludf.DUMMYFUNCTION("rank(J1426,FILTER(J:J,R:R=R1426))"),5.0)</f>
        <v>5</v>
      </c>
      <c r="T1426" s="6">
        <f t="shared" si="6"/>
        <v>7</v>
      </c>
      <c r="U1426" s="6">
        <f t="shared" si="7"/>
        <v>5</v>
      </c>
      <c r="V1426" s="42">
        <f>averageif(AllData!A:A,B1426,AllData!R:R)/vlookup(B1426,AllData!A:O,15,0)</f>
        <v>99.39987179</v>
      </c>
      <c r="W1426" s="6"/>
    </row>
    <row r="1427" ht="14.25" customHeight="1">
      <c r="A1427" s="6" t="str">
        <f t="shared" si="1"/>
        <v>2018Tayski12</v>
      </c>
      <c r="B1427" s="59">
        <v>2018.0</v>
      </c>
      <c r="C1427" s="13" t="s">
        <v>52</v>
      </c>
      <c r="D1427" s="13" t="s">
        <v>151</v>
      </c>
      <c r="E1427" s="34"/>
      <c r="F1427" s="6"/>
      <c r="H1427" s="6"/>
      <c r="I1427" s="35" t="str">
        <f>IFERROR(IFERROR(IFERROR(VLOOKUP(B1427&amp;C1427&amp;Q1427,'New Weekly Paste'!A:M,10,0),VLOOKUP(B1427&amp;C1427&amp;Q1427,'New Weekly Paste'!B:O,6,0)),""),"")</f>
        <v>Shep</v>
      </c>
      <c r="J1427" s="239">
        <f>IFERROR(IFERROR(VLOOKUP(B1427&amp;C1427&amp;Q1427,'New Weekly Paste'!A:M,8,0),VLOOKUP(B1427&amp;C1427&amp;Q1427,'New Weekly Paste'!B:O,10,0)),0)</f>
        <v>120.72</v>
      </c>
      <c r="K1427" s="239">
        <f>IFERROR(IFERROR(VLOOKUP(B1427&amp;I1427&amp;Q1427,'New Weekly Paste'!A:M,8,0),VLOOKUP(B1427&amp;I1427&amp;Q1427,'New Weekly Paste'!B:O,10,0)),0)</f>
        <v>150.98</v>
      </c>
      <c r="L1427" s="239">
        <f t="shared" si="25"/>
        <v>0</v>
      </c>
      <c r="M1427" s="36" t="str">
        <f t="shared" si="3"/>
        <v>Regular Season</v>
      </c>
      <c r="N1427" s="239" t="str">
        <f t="shared" si="26"/>
        <v>Shep</v>
      </c>
      <c r="O1427" s="6">
        <f>VLOOKUP(D1427,'Mapped Opponent'!$G$4:$H$22,2,0)</f>
        <v>12</v>
      </c>
      <c r="P1427" s="6"/>
      <c r="Q1427" s="6" t="str">
        <f t="shared" si="4"/>
        <v>Week 12</v>
      </c>
      <c r="R1427" s="6" t="str">
        <f t="shared" si="5"/>
        <v>2018Week 12</v>
      </c>
      <c r="S1427" s="6">
        <f>IFERROR(__xludf.DUMMYFUNCTION("rank(J1427,FILTER(J:J,R:R=R1427))"),3.0)</f>
        <v>3</v>
      </c>
      <c r="T1427" s="6">
        <f t="shared" si="6"/>
        <v>9</v>
      </c>
      <c r="U1427" s="6">
        <f t="shared" si="7"/>
        <v>3</v>
      </c>
      <c r="V1427" s="42">
        <f>averageif(AllData!A:A,B1427,AllData!R:R)/vlookup(B1427,AllData!A:O,15,0)</f>
        <v>99.39987179</v>
      </c>
      <c r="W1427" s="6"/>
    </row>
    <row r="1428" ht="14.25" customHeight="1">
      <c r="A1428" s="6" t="str">
        <f t="shared" si="1"/>
        <v>2018KnardDawg12</v>
      </c>
      <c r="B1428" s="59">
        <v>2018.0</v>
      </c>
      <c r="C1428" s="13" t="s">
        <v>86</v>
      </c>
      <c r="D1428" s="13" t="s">
        <v>151</v>
      </c>
      <c r="E1428" s="34"/>
      <c r="F1428" s="6"/>
      <c r="H1428" s="6"/>
      <c r="I1428" s="35" t="str">
        <f>IFERROR(IFERROR(IFERROR(VLOOKUP(B1428&amp;C1428&amp;Q1428,'New Weekly Paste'!A:M,10,0),VLOOKUP(B1428&amp;C1428&amp;Q1428,'New Weekly Paste'!B:O,6,0)),""),"")</f>
        <v>Salty</v>
      </c>
      <c r="J1428" s="239">
        <f>IFERROR(IFERROR(VLOOKUP(B1428&amp;C1428&amp;Q1428,'New Weekly Paste'!A:M,8,0),VLOOKUP(B1428&amp;C1428&amp;Q1428,'New Weekly Paste'!B:O,10,0)),0)</f>
        <v>102.74</v>
      </c>
      <c r="K1428" s="239">
        <f>IFERROR(IFERROR(VLOOKUP(B1428&amp;I1428&amp;Q1428,'New Weekly Paste'!A:M,8,0),VLOOKUP(B1428&amp;I1428&amp;Q1428,'New Weekly Paste'!B:O,10,0)),0)</f>
        <v>52.94</v>
      </c>
      <c r="L1428" s="239">
        <f t="shared" si="25"/>
        <v>1</v>
      </c>
      <c r="M1428" s="36" t="str">
        <f t="shared" si="3"/>
        <v>Regular Season</v>
      </c>
      <c r="N1428" s="239" t="str">
        <f t="shared" si="26"/>
        <v>Salty</v>
      </c>
      <c r="O1428" s="6">
        <f>VLOOKUP(D1428,'Mapped Opponent'!$G$4:$H$22,2,0)</f>
        <v>12</v>
      </c>
      <c r="P1428" s="6"/>
      <c r="Q1428" s="6" t="str">
        <f t="shared" si="4"/>
        <v>Week 12</v>
      </c>
      <c r="R1428" s="6" t="str">
        <f t="shared" si="5"/>
        <v>2018Week 12</v>
      </c>
      <c r="S1428" s="6">
        <f>IFERROR(__xludf.DUMMYFUNCTION("rank(J1428,FILTER(J:J,R:R=R1428))"),6.0)</f>
        <v>6</v>
      </c>
      <c r="T1428" s="6">
        <f t="shared" si="6"/>
        <v>6</v>
      </c>
      <c r="U1428" s="6">
        <f t="shared" si="7"/>
        <v>6</v>
      </c>
      <c r="V1428" s="42">
        <f>averageif(AllData!A:A,B1428,AllData!R:R)/vlookup(B1428,AllData!A:O,15,0)</f>
        <v>99.39987179</v>
      </c>
      <c r="W1428" s="6"/>
    </row>
    <row r="1429" ht="14.25" customHeight="1">
      <c r="A1429" s="6" t="str">
        <f t="shared" si="1"/>
        <v>2018T-How12</v>
      </c>
      <c r="B1429" s="59">
        <v>2018.0</v>
      </c>
      <c r="C1429" s="13" t="s">
        <v>82</v>
      </c>
      <c r="D1429" s="13" t="s">
        <v>151</v>
      </c>
      <c r="E1429" s="34"/>
      <c r="F1429" s="6"/>
      <c r="H1429" s="6"/>
      <c r="I1429" s="35" t="str">
        <f>IFERROR(IFERROR(IFERROR(VLOOKUP(B1429&amp;C1429&amp;Q1429,'New Weekly Paste'!A:M,10,0),VLOOKUP(B1429&amp;C1429&amp;Q1429,'New Weekly Paste'!B:O,6,0)),""),"")</f>
        <v>Rooney/Jackson</v>
      </c>
      <c r="J1429" s="239">
        <f>IFERROR(IFERROR(VLOOKUP(B1429&amp;C1429&amp;Q1429,'New Weekly Paste'!A:M,8,0),VLOOKUP(B1429&amp;C1429&amp;Q1429,'New Weekly Paste'!B:O,10,0)),0)</f>
        <v>123.82</v>
      </c>
      <c r="K1429" s="239">
        <f>IFERROR(IFERROR(VLOOKUP(B1429&amp;I1429&amp;Q1429,'New Weekly Paste'!A:M,8,0),VLOOKUP(B1429&amp;I1429&amp;Q1429,'New Weekly Paste'!B:O,10,0)),0)</f>
        <v>84.78</v>
      </c>
      <c r="L1429" s="239">
        <f t="shared" si="25"/>
        <v>1</v>
      </c>
      <c r="M1429" s="36" t="str">
        <f t="shared" si="3"/>
        <v>Regular Season</v>
      </c>
      <c r="N1429" s="239" t="str">
        <f t="shared" si="26"/>
        <v>Rooney/Jackson</v>
      </c>
      <c r="O1429" s="6">
        <f>VLOOKUP(D1429,'Mapped Opponent'!$G$4:$H$22,2,0)</f>
        <v>12</v>
      </c>
      <c r="P1429" s="6"/>
      <c r="Q1429" s="6" t="str">
        <f t="shared" si="4"/>
        <v>Week 12</v>
      </c>
      <c r="R1429" s="6" t="str">
        <f t="shared" si="5"/>
        <v>2018Week 12</v>
      </c>
      <c r="S1429" s="6">
        <f>IFERROR(__xludf.DUMMYFUNCTION("rank(J1429,FILTER(J:J,R:R=R1429))"),2.0)</f>
        <v>2</v>
      </c>
      <c r="T1429" s="6">
        <f t="shared" si="6"/>
        <v>10</v>
      </c>
      <c r="U1429" s="6">
        <f t="shared" si="7"/>
        <v>2</v>
      </c>
      <c r="V1429" s="42">
        <f>averageif(AllData!A:A,B1429,AllData!R:R)/vlookup(B1429,AllData!A:O,15,0)</f>
        <v>99.39987179</v>
      </c>
      <c r="W1429" s="6"/>
    </row>
    <row r="1430" ht="14.25" customHeight="1">
      <c r="A1430" s="6" t="str">
        <f t="shared" si="1"/>
        <v>2018Hudspeath13</v>
      </c>
      <c r="B1430" s="59">
        <v>2018.0</v>
      </c>
      <c r="C1430" s="13" t="s">
        <v>39</v>
      </c>
      <c r="D1430" s="13" t="s">
        <v>152</v>
      </c>
      <c r="E1430" s="34"/>
      <c r="F1430" s="6"/>
      <c r="H1430" s="6"/>
      <c r="I1430" s="35" t="str">
        <f>IFERROR(IFERROR(IFERROR(VLOOKUP(B1430&amp;C1430&amp;Q1430,'New Weekly Paste'!A:M,10,0),VLOOKUP(B1430&amp;C1430&amp;Q1430,'New Weekly Paste'!B:O,6,0)),""),"")</f>
        <v>Fellows</v>
      </c>
      <c r="J1430" s="239">
        <f>IFERROR(IFERROR(VLOOKUP(B1430&amp;C1430&amp;Q1430,'New Weekly Paste'!A:M,8,0),VLOOKUP(B1430&amp;C1430&amp;Q1430,'New Weekly Paste'!B:O,10,0)),0)</f>
        <v>72.2</v>
      </c>
      <c r="K1430" s="239">
        <f>IFERROR(IFERROR(VLOOKUP(B1430&amp;I1430&amp;Q1430,'New Weekly Paste'!A:M,8,0),VLOOKUP(B1430&amp;I1430&amp;Q1430,'New Weekly Paste'!B:O,10,0)),0)</f>
        <v>70.66</v>
      </c>
      <c r="L1430" s="239">
        <f t="shared" si="25"/>
        <v>1</v>
      </c>
      <c r="M1430" s="36" t="str">
        <f t="shared" si="3"/>
        <v>Regular Season</v>
      </c>
      <c r="N1430" s="239" t="str">
        <f t="shared" si="26"/>
        <v>Fellows</v>
      </c>
      <c r="O1430" s="6">
        <f>VLOOKUP(D1430,'Mapped Opponent'!$G$4:$H$22,2,0)</f>
        <v>13</v>
      </c>
      <c r="P1430" s="6"/>
      <c r="Q1430" s="6" t="str">
        <f t="shared" si="4"/>
        <v>Week 13</v>
      </c>
      <c r="R1430" s="6" t="str">
        <f t="shared" si="5"/>
        <v>2018Week 13</v>
      </c>
      <c r="S1430" s="6">
        <f>IFERROR(__xludf.DUMMYFUNCTION("rank(J1430,FILTER(J:J,R:R=R1430))"),10.0)</f>
        <v>10</v>
      </c>
      <c r="T1430" s="6">
        <f t="shared" si="6"/>
        <v>2</v>
      </c>
      <c r="U1430" s="6">
        <f t="shared" si="7"/>
        <v>10</v>
      </c>
      <c r="V1430" s="42">
        <f>averageif(AllData!A:A,B1430,AllData!R:R)/vlookup(B1430,AllData!A:O,15,0)</f>
        <v>99.39987179</v>
      </c>
      <c r="W1430" s="6"/>
    </row>
    <row r="1431" ht="14.25" customHeight="1">
      <c r="A1431" s="6" t="str">
        <f t="shared" si="1"/>
        <v>2018Salty13</v>
      </c>
      <c r="B1431" s="59">
        <v>2018.0</v>
      </c>
      <c r="C1431" s="13" t="s">
        <v>76</v>
      </c>
      <c r="D1431" s="13" t="s">
        <v>152</v>
      </c>
      <c r="E1431" s="34"/>
      <c r="F1431" s="6"/>
      <c r="H1431" s="6"/>
      <c r="I1431" s="35" t="str">
        <f>IFERROR(IFERROR(IFERROR(VLOOKUP(B1431&amp;C1431&amp;Q1431,'New Weekly Paste'!A:M,10,0),VLOOKUP(B1431&amp;C1431&amp;Q1431,'New Weekly Paste'!B:O,6,0)),""),"")</f>
        <v>Pierson</v>
      </c>
      <c r="J1431" s="239">
        <f>IFERROR(IFERROR(VLOOKUP(B1431&amp;C1431&amp;Q1431,'New Weekly Paste'!A:M,8,0),VLOOKUP(B1431&amp;C1431&amp;Q1431,'New Weekly Paste'!B:O,10,0)),0)</f>
        <v>110.64</v>
      </c>
      <c r="K1431" s="239">
        <f>IFERROR(IFERROR(VLOOKUP(B1431&amp;I1431&amp;Q1431,'New Weekly Paste'!A:M,8,0),VLOOKUP(B1431&amp;I1431&amp;Q1431,'New Weekly Paste'!B:O,10,0)),0)</f>
        <v>88.5</v>
      </c>
      <c r="L1431" s="239">
        <f t="shared" si="25"/>
        <v>1</v>
      </c>
      <c r="M1431" s="36" t="str">
        <f t="shared" si="3"/>
        <v>Regular Season</v>
      </c>
      <c r="N1431" s="239" t="str">
        <f t="shared" si="26"/>
        <v>Pierson</v>
      </c>
      <c r="O1431" s="6">
        <f>VLOOKUP(D1431,'Mapped Opponent'!$G$4:$H$22,2,0)</f>
        <v>13</v>
      </c>
      <c r="P1431" s="6"/>
      <c r="Q1431" s="6" t="str">
        <f t="shared" si="4"/>
        <v>Week 13</v>
      </c>
      <c r="R1431" s="6" t="str">
        <f t="shared" si="5"/>
        <v>2018Week 13</v>
      </c>
      <c r="S1431" s="6">
        <f>IFERROR(__xludf.DUMMYFUNCTION("rank(J1431,FILTER(J:J,R:R=R1431))"),2.0)</f>
        <v>2</v>
      </c>
      <c r="T1431" s="6">
        <f t="shared" si="6"/>
        <v>10</v>
      </c>
      <c r="U1431" s="6">
        <f t="shared" si="7"/>
        <v>2</v>
      </c>
      <c r="V1431" s="42">
        <f>averageif(AllData!A:A,B1431,AllData!R:R)/vlookup(B1431,AllData!A:O,15,0)</f>
        <v>99.39987179</v>
      </c>
      <c r="W1431" s="6"/>
    </row>
    <row r="1432" ht="14.25" customHeight="1">
      <c r="A1432" s="6" t="str">
        <f t="shared" si="1"/>
        <v>2018Fellows13</v>
      </c>
      <c r="B1432" s="59">
        <v>2018.0</v>
      </c>
      <c r="C1432" s="13" t="s">
        <v>79</v>
      </c>
      <c r="D1432" s="13" t="s">
        <v>152</v>
      </c>
      <c r="E1432" s="34"/>
      <c r="F1432" s="6"/>
      <c r="H1432" s="6"/>
      <c r="I1432" s="35" t="str">
        <f>IFERROR(IFERROR(IFERROR(VLOOKUP(B1432&amp;C1432&amp;Q1432,'New Weekly Paste'!A:M,10,0),VLOOKUP(B1432&amp;C1432&amp;Q1432,'New Weekly Paste'!B:O,6,0)),""),"")</f>
        <v>Hudspeath</v>
      </c>
      <c r="J1432" s="239">
        <f>IFERROR(IFERROR(VLOOKUP(B1432&amp;C1432&amp;Q1432,'New Weekly Paste'!A:M,8,0),VLOOKUP(B1432&amp;C1432&amp;Q1432,'New Weekly Paste'!B:O,10,0)),0)</f>
        <v>70.66</v>
      </c>
      <c r="K1432" s="239">
        <f>IFERROR(IFERROR(VLOOKUP(B1432&amp;I1432&amp;Q1432,'New Weekly Paste'!A:M,8,0),VLOOKUP(B1432&amp;I1432&amp;Q1432,'New Weekly Paste'!B:O,10,0)),0)</f>
        <v>72.2</v>
      </c>
      <c r="L1432" s="239">
        <f t="shared" si="25"/>
        <v>0</v>
      </c>
      <c r="M1432" s="36" t="str">
        <f t="shared" si="3"/>
        <v>Regular Season</v>
      </c>
      <c r="N1432" s="239" t="str">
        <f t="shared" si="26"/>
        <v>Hudspeath</v>
      </c>
      <c r="O1432" s="6">
        <f>VLOOKUP(D1432,'Mapped Opponent'!$G$4:$H$22,2,0)</f>
        <v>13</v>
      </c>
      <c r="P1432" s="6"/>
      <c r="Q1432" s="6" t="str">
        <f t="shared" si="4"/>
        <v>Week 13</v>
      </c>
      <c r="R1432" s="6" t="str">
        <f t="shared" si="5"/>
        <v>2018Week 13</v>
      </c>
      <c r="S1432" s="6">
        <f>IFERROR(__xludf.DUMMYFUNCTION("rank(J1432,FILTER(J:J,R:R=R1432))"),12.0)</f>
        <v>12</v>
      </c>
      <c r="T1432" s="6">
        <f t="shared" si="6"/>
        <v>0</v>
      </c>
      <c r="U1432" s="6">
        <f t="shared" si="7"/>
        <v>12</v>
      </c>
      <c r="V1432" s="42">
        <f>averageif(AllData!A:A,B1432,AllData!R:R)/vlookup(B1432,AllData!A:O,15,0)</f>
        <v>99.39987179</v>
      </c>
      <c r="W1432" s="6"/>
    </row>
    <row r="1433" ht="14.25" customHeight="1">
      <c r="A1433" s="6" t="str">
        <f t="shared" si="1"/>
        <v>2018Shep13</v>
      </c>
      <c r="B1433" s="59">
        <v>2018.0</v>
      </c>
      <c r="C1433" s="13" t="s">
        <v>89</v>
      </c>
      <c r="D1433" s="13" t="s">
        <v>152</v>
      </c>
      <c r="E1433" s="34"/>
      <c r="F1433" s="6"/>
      <c r="H1433" s="6"/>
      <c r="I1433" s="35" t="str">
        <f>IFERROR(IFERROR(IFERROR(VLOOKUP(B1433&amp;C1433&amp;Q1433,'New Weekly Paste'!A:M,10,0),VLOOKUP(B1433&amp;C1433&amp;Q1433,'New Weekly Paste'!B:O,6,0)),""),"")</f>
        <v>Rooney/Jackson</v>
      </c>
      <c r="J1433" s="239">
        <f>IFERROR(IFERROR(VLOOKUP(B1433&amp;C1433&amp;Q1433,'New Weekly Paste'!A:M,8,0),VLOOKUP(B1433&amp;C1433&amp;Q1433,'New Weekly Paste'!B:O,10,0)),0)</f>
        <v>111.6</v>
      </c>
      <c r="K1433" s="239">
        <f>IFERROR(IFERROR(VLOOKUP(B1433&amp;I1433&amp;Q1433,'New Weekly Paste'!A:M,8,0),VLOOKUP(B1433&amp;I1433&amp;Q1433,'New Weekly Paste'!B:O,10,0)),0)</f>
        <v>73.28</v>
      </c>
      <c r="L1433" s="239">
        <f t="shared" si="25"/>
        <v>1</v>
      </c>
      <c r="M1433" s="36" t="str">
        <f t="shared" si="3"/>
        <v>Regular Season</v>
      </c>
      <c r="N1433" s="239" t="str">
        <f t="shared" si="26"/>
        <v>Rooney/Jackson</v>
      </c>
      <c r="O1433" s="6">
        <f>VLOOKUP(D1433,'Mapped Opponent'!$G$4:$H$22,2,0)</f>
        <v>13</v>
      </c>
      <c r="P1433" s="6"/>
      <c r="Q1433" s="6" t="str">
        <f t="shared" si="4"/>
        <v>Week 13</v>
      </c>
      <c r="R1433" s="6" t="str">
        <f t="shared" si="5"/>
        <v>2018Week 13</v>
      </c>
      <c r="S1433" s="6">
        <f>IFERROR(__xludf.DUMMYFUNCTION("rank(J1433,FILTER(J:J,R:R=R1433))"),1.0)</f>
        <v>1</v>
      </c>
      <c r="T1433" s="6">
        <f t="shared" si="6"/>
        <v>11</v>
      </c>
      <c r="U1433" s="6">
        <f t="shared" si="7"/>
        <v>1</v>
      </c>
      <c r="V1433" s="42">
        <f>averageif(AllData!A:A,B1433,AllData!R:R)/vlookup(B1433,AllData!A:O,15,0)</f>
        <v>99.39987179</v>
      </c>
      <c r="W1433" s="6"/>
    </row>
    <row r="1434" ht="14.25" customHeight="1">
      <c r="A1434" s="6" t="str">
        <f t="shared" si="1"/>
        <v>2018Riley13</v>
      </c>
      <c r="B1434" s="59">
        <v>2018.0</v>
      </c>
      <c r="C1434" s="13" t="s">
        <v>67</v>
      </c>
      <c r="D1434" s="13" t="s">
        <v>152</v>
      </c>
      <c r="E1434" s="34"/>
      <c r="F1434" s="6"/>
      <c r="H1434" s="6"/>
      <c r="I1434" s="35" t="str">
        <f>IFERROR(IFERROR(IFERROR(VLOOKUP(B1434&amp;C1434&amp;Q1434,'New Weekly Paste'!A:M,10,0),VLOOKUP(B1434&amp;C1434&amp;Q1434,'New Weekly Paste'!B:O,6,0)),""),"")</f>
        <v>Cock</v>
      </c>
      <c r="J1434" s="239">
        <f>IFERROR(IFERROR(VLOOKUP(B1434&amp;C1434&amp;Q1434,'New Weekly Paste'!A:M,8,0),VLOOKUP(B1434&amp;C1434&amp;Q1434,'New Weekly Paste'!B:O,10,0)),0)</f>
        <v>91.92</v>
      </c>
      <c r="K1434" s="239">
        <f>IFERROR(IFERROR(VLOOKUP(B1434&amp;I1434&amp;Q1434,'New Weekly Paste'!A:M,8,0),VLOOKUP(B1434&amp;I1434&amp;Q1434,'New Weekly Paste'!B:O,10,0)),0)</f>
        <v>106.84</v>
      </c>
      <c r="L1434" s="239">
        <f t="shared" si="25"/>
        <v>0</v>
      </c>
      <c r="M1434" s="36" t="str">
        <f t="shared" si="3"/>
        <v>Regular Season</v>
      </c>
      <c r="N1434" s="239" t="str">
        <f t="shared" si="26"/>
        <v>Cock</v>
      </c>
      <c r="O1434" s="6">
        <f>VLOOKUP(D1434,'Mapped Opponent'!$G$4:$H$22,2,0)</f>
        <v>13</v>
      </c>
      <c r="P1434" s="6"/>
      <c r="Q1434" s="6" t="str">
        <f t="shared" si="4"/>
        <v>Week 13</v>
      </c>
      <c r="R1434" s="6" t="str">
        <f t="shared" si="5"/>
        <v>2018Week 13</v>
      </c>
      <c r="S1434" s="6">
        <f>IFERROR(__xludf.DUMMYFUNCTION("rank(J1434,FILTER(J:J,R:R=R1434))"),5.0)</f>
        <v>5</v>
      </c>
      <c r="T1434" s="6">
        <f t="shared" si="6"/>
        <v>7</v>
      </c>
      <c r="U1434" s="6">
        <f t="shared" si="7"/>
        <v>5</v>
      </c>
      <c r="V1434" s="42">
        <f>averageif(AllData!A:A,B1434,AllData!R:R)/vlookup(B1434,AllData!A:O,15,0)</f>
        <v>99.39987179</v>
      </c>
      <c r="W1434" s="6"/>
    </row>
    <row r="1435" ht="14.25" customHeight="1">
      <c r="A1435" s="6" t="str">
        <f t="shared" si="1"/>
        <v>2018Rooney/Jackson13</v>
      </c>
      <c r="B1435" s="59">
        <v>2018.0</v>
      </c>
      <c r="C1435" s="13" t="s">
        <v>57</v>
      </c>
      <c r="D1435" s="13" t="s">
        <v>152</v>
      </c>
      <c r="E1435" s="34"/>
      <c r="F1435" s="6"/>
      <c r="H1435" s="6"/>
      <c r="I1435" s="35" t="str">
        <f>IFERROR(IFERROR(IFERROR(VLOOKUP(B1435&amp;C1435&amp;Q1435,'New Weekly Paste'!A:M,10,0),VLOOKUP(B1435&amp;C1435&amp;Q1435,'New Weekly Paste'!B:O,6,0)),""),"")</f>
        <v>Shep</v>
      </c>
      <c r="J1435" s="239">
        <f>IFERROR(IFERROR(VLOOKUP(B1435&amp;C1435&amp;Q1435,'New Weekly Paste'!A:M,8,0),VLOOKUP(B1435&amp;C1435&amp;Q1435,'New Weekly Paste'!B:O,10,0)),0)</f>
        <v>73.28</v>
      </c>
      <c r="K1435" s="239">
        <f>IFERROR(IFERROR(VLOOKUP(B1435&amp;I1435&amp;Q1435,'New Weekly Paste'!A:M,8,0),VLOOKUP(B1435&amp;I1435&amp;Q1435,'New Weekly Paste'!B:O,10,0)),0)</f>
        <v>111.6</v>
      </c>
      <c r="L1435" s="239">
        <f t="shared" si="25"/>
        <v>0</v>
      </c>
      <c r="M1435" s="36" t="str">
        <f t="shared" si="3"/>
        <v>Regular Season</v>
      </c>
      <c r="N1435" s="239" t="str">
        <f t="shared" si="26"/>
        <v>Shep</v>
      </c>
      <c r="O1435" s="6">
        <f>VLOOKUP(D1435,'Mapped Opponent'!$G$4:$H$22,2,0)</f>
        <v>13</v>
      </c>
      <c r="P1435" s="6"/>
      <c r="Q1435" s="6" t="str">
        <f t="shared" si="4"/>
        <v>Week 13</v>
      </c>
      <c r="R1435" s="6" t="str">
        <f t="shared" si="5"/>
        <v>2018Week 13</v>
      </c>
      <c r="S1435" s="6">
        <f>IFERROR(__xludf.DUMMYFUNCTION("rank(J1435,FILTER(J:J,R:R=R1435))"),9.0)</f>
        <v>9</v>
      </c>
      <c r="T1435" s="6">
        <f t="shared" si="6"/>
        <v>3</v>
      </c>
      <c r="U1435" s="6">
        <f t="shared" si="7"/>
        <v>9</v>
      </c>
      <c r="V1435" s="42">
        <f>averageif(AllData!A:A,B1435,AllData!R:R)/vlookup(B1435,AllData!A:O,15,0)</f>
        <v>99.39987179</v>
      </c>
      <c r="W1435" s="6"/>
    </row>
    <row r="1436" ht="14.25" customHeight="1">
      <c r="A1436" s="6" t="str">
        <f t="shared" si="1"/>
        <v>2018Buser13</v>
      </c>
      <c r="B1436" s="59">
        <v>2018.0</v>
      </c>
      <c r="C1436" s="13" t="s">
        <v>47</v>
      </c>
      <c r="D1436" s="13" t="s">
        <v>152</v>
      </c>
      <c r="E1436" s="34"/>
      <c r="F1436" s="6"/>
      <c r="H1436" s="6"/>
      <c r="I1436" s="35" t="str">
        <f>IFERROR(IFERROR(IFERROR(VLOOKUP(B1436&amp;C1436&amp;Q1436,'New Weekly Paste'!A:M,10,0),VLOOKUP(B1436&amp;C1436&amp;Q1436,'New Weekly Paste'!B:O,6,0)),""),"")</f>
        <v>T-How</v>
      </c>
      <c r="J1436" s="239">
        <f>IFERROR(IFERROR(VLOOKUP(B1436&amp;C1436&amp;Q1436,'New Weekly Paste'!A:M,8,0),VLOOKUP(B1436&amp;C1436&amp;Q1436,'New Weekly Paste'!B:O,10,0)),0)</f>
        <v>95.3</v>
      </c>
      <c r="K1436" s="239">
        <f>IFERROR(IFERROR(VLOOKUP(B1436&amp;I1436&amp;Q1436,'New Weekly Paste'!A:M,8,0),VLOOKUP(B1436&amp;I1436&amp;Q1436,'New Weekly Paste'!B:O,10,0)),0)</f>
        <v>83.24</v>
      </c>
      <c r="L1436" s="239">
        <f t="shared" si="25"/>
        <v>1</v>
      </c>
      <c r="M1436" s="36" t="str">
        <f t="shared" si="3"/>
        <v>Regular Season</v>
      </c>
      <c r="N1436" s="239" t="str">
        <f t="shared" si="26"/>
        <v>T-How</v>
      </c>
      <c r="O1436" s="6">
        <f>VLOOKUP(D1436,'Mapped Opponent'!$G$4:$H$22,2,0)</f>
        <v>13</v>
      </c>
      <c r="P1436" s="6"/>
      <c r="Q1436" s="6" t="str">
        <f t="shared" si="4"/>
        <v>Week 13</v>
      </c>
      <c r="R1436" s="6" t="str">
        <f t="shared" si="5"/>
        <v>2018Week 13</v>
      </c>
      <c r="S1436" s="6">
        <f>IFERROR(__xludf.DUMMYFUNCTION("rank(J1436,FILTER(J:J,R:R=R1436))"),4.0)</f>
        <v>4</v>
      </c>
      <c r="T1436" s="6">
        <f t="shared" si="6"/>
        <v>8</v>
      </c>
      <c r="U1436" s="6">
        <f t="shared" si="7"/>
        <v>4</v>
      </c>
      <c r="V1436" s="42">
        <f>averageif(AllData!A:A,B1436,AllData!R:R)/vlookup(B1436,AllData!A:O,15,0)</f>
        <v>99.39987179</v>
      </c>
      <c r="W1436" s="6"/>
    </row>
    <row r="1437" ht="14.25" customHeight="1">
      <c r="A1437" s="6" t="str">
        <f t="shared" si="1"/>
        <v>2018Pierson13</v>
      </c>
      <c r="B1437" s="59">
        <v>2018.0</v>
      </c>
      <c r="C1437" s="13" t="s">
        <v>92</v>
      </c>
      <c r="D1437" s="13" t="s">
        <v>152</v>
      </c>
      <c r="E1437" s="34"/>
      <c r="F1437" s="6"/>
      <c r="H1437" s="6"/>
      <c r="I1437" s="35" t="str">
        <f>IFERROR(IFERROR(IFERROR(VLOOKUP(B1437&amp;C1437&amp;Q1437,'New Weekly Paste'!A:M,10,0),VLOOKUP(B1437&amp;C1437&amp;Q1437,'New Weekly Paste'!B:O,6,0)),""),"")</f>
        <v>Salty</v>
      </c>
      <c r="J1437" s="239">
        <f>IFERROR(IFERROR(VLOOKUP(B1437&amp;C1437&amp;Q1437,'New Weekly Paste'!A:M,8,0),VLOOKUP(B1437&amp;C1437&amp;Q1437,'New Weekly Paste'!B:O,10,0)),0)</f>
        <v>88.5</v>
      </c>
      <c r="K1437" s="239">
        <f>IFERROR(IFERROR(VLOOKUP(B1437&amp;I1437&amp;Q1437,'New Weekly Paste'!A:M,8,0),VLOOKUP(B1437&amp;I1437&amp;Q1437,'New Weekly Paste'!B:O,10,0)),0)</f>
        <v>110.64</v>
      </c>
      <c r="L1437" s="239">
        <f t="shared" si="25"/>
        <v>0</v>
      </c>
      <c r="M1437" s="36" t="str">
        <f t="shared" si="3"/>
        <v>Regular Season</v>
      </c>
      <c r="N1437" s="239" t="str">
        <f t="shared" si="26"/>
        <v>Salty</v>
      </c>
      <c r="O1437" s="6">
        <f>VLOOKUP(D1437,'Mapped Opponent'!$G$4:$H$22,2,0)</f>
        <v>13</v>
      </c>
      <c r="P1437" s="6"/>
      <c r="Q1437" s="6" t="str">
        <f t="shared" si="4"/>
        <v>Week 13</v>
      </c>
      <c r="R1437" s="6" t="str">
        <f t="shared" si="5"/>
        <v>2018Week 13</v>
      </c>
      <c r="S1437" s="6">
        <f>IFERROR(__xludf.DUMMYFUNCTION("rank(J1437,FILTER(J:J,R:R=R1437))"),6.0)</f>
        <v>6</v>
      </c>
      <c r="T1437" s="6">
        <f t="shared" si="6"/>
        <v>6</v>
      </c>
      <c r="U1437" s="6">
        <f t="shared" si="7"/>
        <v>6</v>
      </c>
      <c r="V1437" s="42">
        <f>averageif(AllData!A:A,B1437,AllData!R:R)/vlookup(B1437,AllData!A:O,15,0)</f>
        <v>99.39987179</v>
      </c>
      <c r="W1437" s="6"/>
    </row>
    <row r="1438" ht="14.25" customHeight="1">
      <c r="A1438" s="6" t="str">
        <f t="shared" si="1"/>
        <v>2018Cock13</v>
      </c>
      <c r="B1438" s="59">
        <v>2018.0</v>
      </c>
      <c r="C1438" s="13" t="s">
        <v>72</v>
      </c>
      <c r="D1438" s="13" t="s">
        <v>152</v>
      </c>
      <c r="E1438" s="34"/>
      <c r="F1438" s="6"/>
      <c r="H1438" s="6"/>
      <c r="I1438" s="35" t="str">
        <f>IFERROR(IFERROR(IFERROR(VLOOKUP(B1438&amp;C1438&amp;Q1438,'New Weekly Paste'!A:M,10,0),VLOOKUP(B1438&amp;C1438&amp;Q1438,'New Weekly Paste'!B:O,6,0)),""),"")</f>
        <v>Riley</v>
      </c>
      <c r="J1438" s="239">
        <f>IFERROR(IFERROR(VLOOKUP(B1438&amp;C1438&amp;Q1438,'New Weekly Paste'!A:M,8,0),VLOOKUP(B1438&amp;C1438&amp;Q1438,'New Weekly Paste'!B:O,10,0)),0)</f>
        <v>106.84</v>
      </c>
      <c r="K1438" s="239">
        <f>IFERROR(IFERROR(VLOOKUP(B1438&amp;I1438&amp;Q1438,'New Weekly Paste'!A:M,8,0),VLOOKUP(B1438&amp;I1438&amp;Q1438,'New Weekly Paste'!B:O,10,0)),0)</f>
        <v>91.92</v>
      </c>
      <c r="L1438" s="239">
        <f t="shared" si="25"/>
        <v>1</v>
      </c>
      <c r="M1438" s="36" t="str">
        <f t="shared" si="3"/>
        <v>Regular Season</v>
      </c>
      <c r="N1438" s="239" t="str">
        <f t="shared" si="26"/>
        <v>Riley</v>
      </c>
      <c r="O1438" s="6">
        <f>VLOOKUP(D1438,'Mapped Opponent'!$G$4:$H$22,2,0)</f>
        <v>13</v>
      </c>
      <c r="P1438" s="6"/>
      <c r="Q1438" s="6" t="str">
        <f t="shared" si="4"/>
        <v>Week 13</v>
      </c>
      <c r="R1438" s="6" t="str">
        <f t="shared" si="5"/>
        <v>2018Week 13</v>
      </c>
      <c r="S1438" s="6">
        <f>IFERROR(__xludf.DUMMYFUNCTION("rank(J1438,FILTER(J:J,R:R=R1438))"),3.0)</f>
        <v>3</v>
      </c>
      <c r="T1438" s="6">
        <f t="shared" si="6"/>
        <v>9</v>
      </c>
      <c r="U1438" s="6">
        <f t="shared" si="7"/>
        <v>3</v>
      </c>
      <c r="V1438" s="42">
        <f>averageif(AllData!A:A,B1438,AllData!R:R)/vlookup(B1438,AllData!A:O,15,0)</f>
        <v>99.39987179</v>
      </c>
      <c r="W1438" s="6"/>
    </row>
    <row r="1439" ht="14.25" customHeight="1">
      <c r="A1439" s="6" t="str">
        <f t="shared" si="1"/>
        <v>2018Tayski13</v>
      </c>
      <c r="B1439" s="59">
        <v>2018.0</v>
      </c>
      <c r="C1439" s="13" t="s">
        <v>52</v>
      </c>
      <c r="D1439" s="13" t="s">
        <v>152</v>
      </c>
      <c r="E1439" s="34"/>
      <c r="F1439" s="6"/>
      <c r="H1439" s="6"/>
      <c r="I1439" s="35" t="str">
        <f>IFERROR(IFERROR(IFERROR(VLOOKUP(B1439&amp;C1439&amp;Q1439,'New Weekly Paste'!A:M,10,0),VLOOKUP(B1439&amp;C1439&amp;Q1439,'New Weekly Paste'!B:O,6,0)),""),"")</f>
        <v>KnardDawg</v>
      </c>
      <c r="J1439" s="239">
        <f>IFERROR(IFERROR(VLOOKUP(B1439&amp;C1439&amp;Q1439,'New Weekly Paste'!A:M,8,0),VLOOKUP(B1439&amp;C1439&amp;Q1439,'New Weekly Paste'!B:O,10,0)),0)</f>
        <v>71.82</v>
      </c>
      <c r="K1439" s="239">
        <f>IFERROR(IFERROR(VLOOKUP(B1439&amp;I1439&amp;Q1439,'New Weekly Paste'!A:M,8,0),VLOOKUP(B1439&amp;I1439&amp;Q1439,'New Weekly Paste'!B:O,10,0)),0)</f>
        <v>87.38</v>
      </c>
      <c r="L1439" s="239">
        <f t="shared" si="25"/>
        <v>0</v>
      </c>
      <c r="M1439" s="36" t="str">
        <f t="shared" si="3"/>
        <v>Regular Season</v>
      </c>
      <c r="N1439" s="239" t="str">
        <f t="shared" si="26"/>
        <v>KnardDawg</v>
      </c>
      <c r="O1439" s="6">
        <f>VLOOKUP(D1439,'Mapped Opponent'!$G$4:$H$22,2,0)</f>
        <v>13</v>
      </c>
      <c r="P1439" s="6"/>
      <c r="Q1439" s="6" t="str">
        <f t="shared" si="4"/>
        <v>Week 13</v>
      </c>
      <c r="R1439" s="6" t="str">
        <f t="shared" si="5"/>
        <v>2018Week 13</v>
      </c>
      <c r="S1439" s="6">
        <f>IFERROR(__xludf.DUMMYFUNCTION("rank(J1439,FILTER(J:J,R:R=R1439))"),11.0)</f>
        <v>11</v>
      </c>
      <c r="T1439" s="6">
        <f t="shared" si="6"/>
        <v>1</v>
      </c>
      <c r="U1439" s="6">
        <f t="shared" si="7"/>
        <v>11</v>
      </c>
      <c r="V1439" s="42">
        <f>averageif(AllData!A:A,B1439,AllData!R:R)/vlookup(B1439,AllData!A:O,15,0)</f>
        <v>99.39987179</v>
      </c>
      <c r="W1439" s="6"/>
    </row>
    <row r="1440" ht="14.25" customHeight="1">
      <c r="A1440" s="6" t="str">
        <f t="shared" si="1"/>
        <v>2018KnardDawg13</v>
      </c>
      <c r="B1440" s="59">
        <v>2018.0</v>
      </c>
      <c r="C1440" s="13" t="s">
        <v>86</v>
      </c>
      <c r="D1440" s="13" t="s">
        <v>152</v>
      </c>
      <c r="E1440" s="34"/>
      <c r="F1440" s="6"/>
      <c r="H1440" s="6"/>
      <c r="I1440" s="35" t="str">
        <f>IFERROR(IFERROR(IFERROR(VLOOKUP(B1440&amp;C1440&amp;Q1440,'New Weekly Paste'!A:M,10,0),VLOOKUP(B1440&amp;C1440&amp;Q1440,'New Weekly Paste'!B:O,6,0)),""),"")</f>
        <v>Tayski</v>
      </c>
      <c r="J1440" s="239">
        <f>IFERROR(IFERROR(VLOOKUP(B1440&amp;C1440&amp;Q1440,'New Weekly Paste'!A:M,8,0),VLOOKUP(B1440&amp;C1440&amp;Q1440,'New Weekly Paste'!B:O,10,0)),0)</f>
        <v>87.38</v>
      </c>
      <c r="K1440" s="239">
        <f>IFERROR(IFERROR(VLOOKUP(B1440&amp;I1440&amp;Q1440,'New Weekly Paste'!A:M,8,0),VLOOKUP(B1440&amp;I1440&amp;Q1440,'New Weekly Paste'!B:O,10,0)),0)</f>
        <v>71.82</v>
      </c>
      <c r="L1440" s="239">
        <f t="shared" si="25"/>
        <v>1</v>
      </c>
      <c r="M1440" s="36" t="str">
        <f t="shared" si="3"/>
        <v>Regular Season</v>
      </c>
      <c r="N1440" s="239" t="str">
        <f t="shared" si="26"/>
        <v>Tayski</v>
      </c>
      <c r="O1440" s="6">
        <f>VLOOKUP(D1440,'Mapped Opponent'!$G$4:$H$22,2,0)</f>
        <v>13</v>
      </c>
      <c r="P1440" s="6"/>
      <c r="Q1440" s="6" t="str">
        <f t="shared" si="4"/>
        <v>Week 13</v>
      </c>
      <c r="R1440" s="6" t="str">
        <f t="shared" si="5"/>
        <v>2018Week 13</v>
      </c>
      <c r="S1440" s="6">
        <f>IFERROR(__xludf.DUMMYFUNCTION("rank(J1440,FILTER(J:J,R:R=R1440))"),7.0)</f>
        <v>7</v>
      </c>
      <c r="T1440" s="6">
        <f t="shared" si="6"/>
        <v>5</v>
      </c>
      <c r="U1440" s="6">
        <f t="shared" si="7"/>
        <v>7</v>
      </c>
      <c r="V1440" s="42">
        <f>averageif(AllData!A:A,B1440,AllData!R:R)/vlookup(B1440,AllData!A:O,15,0)</f>
        <v>99.39987179</v>
      </c>
      <c r="W1440" s="6"/>
    </row>
    <row r="1441" ht="14.25" customHeight="1">
      <c r="A1441" s="6" t="str">
        <f t="shared" si="1"/>
        <v>2018T-How13</v>
      </c>
      <c r="B1441" s="59">
        <v>2018.0</v>
      </c>
      <c r="C1441" s="13" t="s">
        <v>82</v>
      </c>
      <c r="D1441" s="13" t="s">
        <v>152</v>
      </c>
      <c r="E1441" s="34"/>
      <c r="F1441" s="6"/>
      <c r="H1441" s="6"/>
      <c r="I1441" s="35" t="str">
        <f>IFERROR(IFERROR(IFERROR(VLOOKUP(B1441&amp;C1441&amp;Q1441,'New Weekly Paste'!A:M,10,0),VLOOKUP(B1441&amp;C1441&amp;Q1441,'New Weekly Paste'!B:O,6,0)),""),"")</f>
        <v>Buser</v>
      </c>
      <c r="J1441" s="239">
        <f>IFERROR(IFERROR(VLOOKUP(B1441&amp;C1441&amp;Q1441,'New Weekly Paste'!A:M,8,0),VLOOKUP(B1441&amp;C1441&amp;Q1441,'New Weekly Paste'!B:O,10,0)),0)</f>
        <v>83.24</v>
      </c>
      <c r="K1441" s="239">
        <f>IFERROR(IFERROR(VLOOKUP(B1441&amp;I1441&amp;Q1441,'New Weekly Paste'!A:M,8,0),VLOOKUP(B1441&amp;I1441&amp;Q1441,'New Weekly Paste'!B:O,10,0)),0)</f>
        <v>95.3</v>
      </c>
      <c r="L1441" s="239">
        <f t="shared" si="25"/>
        <v>0</v>
      </c>
      <c r="M1441" s="36" t="str">
        <f t="shared" si="3"/>
        <v>Regular Season</v>
      </c>
      <c r="N1441" s="239" t="str">
        <f t="shared" si="26"/>
        <v>Buser</v>
      </c>
      <c r="O1441" s="6">
        <f>VLOOKUP(D1441,'Mapped Opponent'!$G$4:$H$22,2,0)</f>
        <v>13</v>
      </c>
      <c r="P1441" s="6"/>
      <c r="Q1441" s="6" t="str">
        <f t="shared" si="4"/>
        <v>Week 13</v>
      </c>
      <c r="R1441" s="6" t="str">
        <f t="shared" si="5"/>
        <v>2018Week 13</v>
      </c>
      <c r="S1441" s="6">
        <f>IFERROR(__xludf.DUMMYFUNCTION("rank(J1441,FILTER(J:J,R:R=R1441))"),8.0)</f>
        <v>8</v>
      </c>
      <c r="T1441" s="6">
        <f t="shared" si="6"/>
        <v>4</v>
      </c>
      <c r="U1441" s="6">
        <f t="shared" si="7"/>
        <v>8</v>
      </c>
      <c r="V1441" s="42">
        <f>averageif(AllData!A:A,B1441,AllData!R:R)/vlookup(B1441,AllData!A:O,15,0)</f>
        <v>99.39987179</v>
      </c>
      <c r="W1441" s="6"/>
    </row>
    <row r="1442" ht="14.25" customHeight="1">
      <c r="A1442" s="6" t="str">
        <f t="shared" si="1"/>
        <v>2018Hudspeath2</v>
      </c>
      <c r="B1442" s="59">
        <v>2018.0</v>
      </c>
      <c r="C1442" s="13" t="s">
        <v>39</v>
      </c>
      <c r="D1442" s="13" t="s">
        <v>131</v>
      </c>
      <c r="E1442" s="34"/>
      <c r="F1442" s="6"/>
      <c r="H1442" s="6"/>
      <c r="I1442" s="35" t="str">
        <f>IFERROR(IFERROR(IFERROR(VLOOKUP(B1442&amp;C1442&amp;Q1442,'New Weekly Paste'!A:M,10,0),VLOOKUP(B1442&amp;C1442&amp;Q1442,'New Weekly Paste'!B:O,6,0)),""),"")</f>
        <v>Fellows</v>
      </c>
      <c r="J1442" s="239">
        <f>IFERROR(IFERROR(VLOOKUP(B1442&amp;C1442&amp;Q1442,'New Weekly Paste'!A:M,8,0),VLOOKUP(B1442&amp;C1442&amp;Q1442,'New Weekly Paste'!B:O,10,0)),0)</f>
        <v>104.38</v>
      </c>
      <c r="K1442" s="239">
        <f>IFERROR(IFERROR(VLOOKUP(B1442&amp;I1442&amp;Q1442,'New Weekly Paste'!A:M,8,0),VLOOKUP(B1442&amp;I1442&amp;Q1442,'New Weekly Paste'!B:O,10,0)),0)</f>
        <v>73.2</v>
      </c>
      <c r="L1442" s="239">
        <f t="shared" si="25"/>
        <v>1</v>
      </c>
      <c r="M1442" s="36" t="str">
        <f t="shared" si="3"/>
        <v>Regular Season</v>
      </c>
      <c r="N1442" s="239" t="str">
        <f t="shared" si="26"/>
        <v>Fellows</v>
      </c>
      <c r="O1442" s="6">
        <f>VLOOKUP(D1442,'Mapped Opponent'!$G$4:$H$22,2,0)</f>
        <v>2</v>
      </c>
      <c r="P1442" s="6"/>
      <c r="Q1442" s="6" t="str">
        <f t="shared" si="4"/>
        <v>Week 2</v>
      </c>
      <c r="R1442" s="6" t="str">
        <f t="shared" si="5"/>
        <v>2018Week 2</v>
      </c>
      <c r="S1442" s="6">
        <f>IFERROR(__xludf.DUMMYFUNCTION("rank(J1442,FILTER(J:J,R:R=R1442))"),5.0)</f>
        <v>5</v>
      </c>
      <c r="T1442" s="6">
        <f t="shared" si="6"/>
        <v>7</v>
      </c>
      <c r="U1442" s="6">
        <f t="shared" si="7"/>
        <v>5</v>
      </c>
      <c r="V1442" s="42">
        <f>averageif(AllData!A:A,B1442,AllData!R:R)/vlookup(B1442,AllData!A:O,15,0)</f>
        <v>99.39987179</v>
      </c>
      <c r="W1442" s="6"/>
    </row>
    <row r="1443" ht="14.25" customHeight="1">
      <c r="A1443" s="6" t="str">
        <f t="shared" si="1"/>
        <v>2018Salty2</v>
      </c>
      <c r="B1443" s="59">
        <v>2018.0</v>
      </c>
      <c r="C1443" s="13" t="s">
        <v>76</v>
      </c>
      <c r="D1443" s="13" t="s">
        <v>131</v>
      </c>
      <c r="E1443" s="34"/>
      <c r="F1443" s="6"/>
      <c r="H1443" s="6"/>
      <c r="I1443" s="35" t="str">
        <f>IFERROR(IFERROR(IFERROR(VLOOKUP(B1443&amp;C1443&amp;Q1443,'New Weekly Paste'!A:M,10,0),VLOOKUP(B1443&amp;C1443&amp;Q1443,'New Weekly Paste'!B:O,6,0)),""),"")</f>
        <v>Pierson</v>
      </c>
      <c r="J1443" s="239">
        <f>IFERROR(IFERROR(VLOOKUP(B1443&amp;C1443&amp;Q1443,'New Weekly Paste'!A:M,8,0),VLOOKUP(B1443&amp;C1443&amp;Q1443,'New Weekly Paste'!B:O,10,0)),0)</f>
        <v>118.26</v>
      </c>
      <c r="K1443" s="239">
        <f>IFERROR(IFERROR(VLOOKUP(B1443&amp;I1443&amp;Q1443,'New Weekly Paste'!A:M,8,0),VLOOKUP(B1443&amp;I1443&amp;Q1443,'New Weekly Paste'!B:O,10,0)),0)</f>
        <v>116.74</v>
      </c>
      <c r="L1443" s="239">
        <f t="shared" si="25"/>
        <v>1</v>
      </c>
      <c r="M1443" s="36" t="str">
        <f t="shared" si="3"/>
        <v>Regular Season</v>
      </c>
      <c r="N1443" s="239" t="str">
        <f t="shared" si="26"/>
        <v>Pierson</v>
      </c>
      <c r="O1443" s="6">
        <f>VLOOKUP(D1443,'Mapped Opponent'!$G$4:$H$22,2,0)</f>
        <v>2</v>
      </c>
      <c r="P1443" s="6"/>
      <c r="Q1443" s="6" t="str">
        <f t="shared" si="4"/>
        <v>Week 2</v>
      </c>
      <c r="R1443" s="6" t="str">
        <f t="shared" si="5"/>
        <v>2018Week 2</v>
      </c>
      <c r="S1443" s="6">
        <f>IFERROR(__xludf.DUMMYFUNCTION("rank(J1443,FILTER(J:J,R:R=R1443))"),3.0)</f>
        <v>3</v>
      </c>
      <c r="T1443" s="6">
        <f t="shared" si="6"/>
        <v>9</v>
      </c>
      <c r="U1443" s="6">
        <f t="shared" si="7"/>
        <v>3</v>
      </c>
      <c r="V1443" s="42">
        <f>averageif(AllData!A:A,B1443,AllData!R:R)/vlookup(B1443,AllData!A:O,15,0)</f>
        <v>99.39987179</v>
      </c>
      <c r="W1443" s="6"/>
    </row>
    <row r="1444" ht="14.25" customHeight="1">
      <c r="A1444" s="6" t="str">
        <f t="shared" si="1"/>
        <v>2018Fellows2</v>
      </c>
      <c r="B1444" s="59">
        <v>2018.0</v>
      </c>
      <c r="C1444" s="13" t="s">
        <v>79</v>
      </c>
      <c r="D1444" s="13" t="s">
        <v>131</v>
      </c>
      <c r="E1444" s="34"/>
      <c r="F1444" s="6"/>
      <c r="H1444" s="6"/>
      <c r="I1444" s="35" t="str">
        <f>IFERROR(IFERROR(IFERROR(VLOOKUP(B1444&amp;C1444&amp;Q1444,'New Weekly Paste'!A:M,10,0),VLOOKUP(B1444&amp;C1444&amp;Q1444,'New Weekly Paste'!B:O,6,0)),""),"")</f>
        <v>Hudspeath</v>
      </c>
      <c r="J1444" s="239">
        <f>IFERROR(IFERROR(VLOOKUP(B1444&amp;C1444&amp;Q1444,'New Weekly Paste'!A:M,8,0),VLOOKUP(B1444&amp;C1444&amp;Q1444,'New Weekly Paste'!B:O,10,0)),0)</f>
        <v>73.2</v>
      </c>
      <c r="K1444" s="239">
        <f>IFERROR(IFERROR(VLOOKUP(B1444&amp;I1444&amp;Q1444,'New Weekly Paste'!A:M,8,0),VLOOKUP(B1444&amp;I1444&amp;Q1444,'New Weekly Paste'!B:O,10,0)),0)</f>
        <v>104.38</v>
      </c>
      <c r="L1444" s="239">
        <f t="shared" si="25"/>
        <v>0</v>
      </c>
      <c r="M1444" s="36" t="str">
        <f t="shared" si="3"/>
        <v>Regular Season</v>
      </c>
      <c r="N1444" s="239" t="str">
        <f t="shared" si="26"/>
        <v>Hudspeath</v>
      </c>
      <c r="O1444" s="6">
        <f>VLOOKUP(D1444,'Mapped Opponent'!$G$4:$H$22,2,0)</f>
        <v>2</v>
      </c>
      <c r="P1444" s="6"/>
      <c r="Q1444" s="6" t="str">
        <f t="shared" si="4"/>
        <v>Week 2</v>
      </c>
      <c r="R1444" s="6" t="str">
        <f t="shared" si="5"/>
        <v>2018Week 2</v>
      </c>
      <c r="S1444" s="6">
        <f>IFERROR(__xludf.DUMMYFUNCTION("rank(J1444,FILTER(J:J,R:R=R1444))"),11.0)</f>
        <v>11</v>
      </c>
      <c r="T1444" s="6">
        <f t="shared" si="6"/>
        <v>1</v>
      </c>
      <c r="U1444" s="6">
        <f t="shared" si="7"/>
        <v>11</v>
      </c>
      <c r="V1444" s="42">
        <f>averageif(AllData!A:A,B1444,AllData!R:R)/vlookup(B1444,AllData!A:O,15,0)</f>
        <v>99.39987179</v>
      </c>
      <c r="W1444" s="6"/>
    </row>
    <row r="1445" ht="14.25" customHeight="1">
      <c r="A1445" s="6" t="str">
        <f t="shared" si="1"/>
        <v>2018Shep2</v>
      </c>
      <c r="B1445" s="59">
        <v>2018.0</v>
      </c>
      <c r="C1445" s="13" t="s">
        <v>89</v>
      </c>
      <c r="D1445" s="13" t="s">
        <v>131</v>
      </c>
      <c r="E1445" s="34"/>
      <c r="F1445" s="6"/>
      <c r="H1445" s="6"/>
      <c r="I1445" s="35" t="str">
        <f>IFERROR(IFERROR(IFERROR(VLOOKUP(B1445&amp;C1445&amp;Q1445,'New Weekly Paste'!A:M,10,0),VLOOKUP(B1445&amp;C1445&amp;Q1445,'New Weekly Paste'!B:O,6,0)),""),"")</f>
        <v>Rooney/Jackson</v>
      </c>
      <c r="J1445" s="239">
        <f>IFERROR(IFERROR(VLOOKUP(B1445&amp;C1445&amp;Q1445,'New Weekly Paste'!A:M,8,0),VLOOKUP(B1445&amp;C1445&amp;Q1445,'New Weekly Paste'!B:O,10,0)),0)</f>
        <v>87.4</v>
      </c>
      <c r="K1445" s="239">
        <f>IFERROR(IFERROR(VLOOKUP(B1445&amp;I1445&amp;Q1445,'New Weekly Paste'!A:M,8,0),VLOOKUP(B1445&amp;I1445&amp;Q1445,'New Weekly Paste'!B:O,10,0)),0)</f>
        <v>76.96</v>
      </c>
      <c r="L1445" s="239">
        <f t="shared" si="25"/>
        <v>1</v>
      </c>
      <c r="M1445" s="36" t="str">
        <f t="shared" si="3"/>
        <v>Regular Season</v>
      </c>
      <c r="N1445" s="239" t="str">
        <f t="shared" si="26"/>
        <v>Rooney/Jackson</v>
      </c>
      <c r="O1445" s="6">
        <f>VLOOKUP(D1445,'Mapped Opponent'!$G$4:$H$22,2,0)</f>
        <v>2</v>
      </c>
      <c r="P1445" s="6"/>
      <c r="Q1445" s="6" t="str">
        <f t="shared" si="4"/>
        <v>Week 2</v>
      </c>
      <c r="R1445" s="6" t="str">
        <f t="shared" si="5"/>
        <v>2018Week 2</v>
      </c>
      <c r="S1445" s="6">
        <f>IFERROR(__xludf.DUMMYFUNCTION("rank(J1445,FILTER(J:J,R:R=R1445))"),9.0)</f>
        <v>9</v>
      </c>
      <c r="T1445" s="6">
        <f t="shared" si="6"/>
        <v>3</v>
      </c>
      <c r="U1445" s="6">
        <f t="shared" si="7"/>
        <v>9</v>
      </c>
      <c r="V1445" s="42">
        <f>averageif(AllData!A:A,B1445,AllData!R:R)/vlookup(B1445,AllData!A:O,15,0)</f>
        <v>99.39987179</v>
      </c>
      <c r="W1445" s="6"/>
    </row>
    <row r="1446" ht="14.25" customHeight="1">
      <c r="A1446" s="6" t="str">
        <f t="shared" si="1"/>
        <v>2018Riley2</v>
      </c>
      <c r="B1446" s="59">
        <v>2018.0</v>
      </c>
      <c r="C1446" s="13" t="s">
        <v>67</v>
      </c>
      <c r="D1446" s="13" t="s">
        <v>131</v>
      </c>
      <c r="E1446" s="34"/>
      <c r="F1446" s="6"/>
      <c r="H1446" s="6"/>
      <c r="I1446" s="35" t="str">
        <f>IFERROR(IFERROR(IFERROR(VLOOKUP(B1446&amp;C1446&amp;Q1446,'New Weekly Paste'!A:M,10,0),VLOOKUP(B1446&amp;C1446&amp;Q1446,'New Weekly Paste'!B:O,6,0)),""),"")</f>
        <v>Cock</v>
      </c>
      <c r="J1446" s="239">
        <f>IFERROR(IFERROR(VLOOKUP(B1446&amp;C1446&amp;Q1446,'New Weekly Paste'!A:M,8,0),VLOOKUP(B1446&amp;C1446&amp;Q1446,'New Weekly Paste'!B:O,10,0)),0)</f>
        <v>123.24</v>
      </c>
      <c r="K1446" s="239">
        <f>IFERROR(IFERROR(VLOOKUP(B1446&amp;I1446&amp;Q1446,'New Weekly Paste'!A:M,8,0),VLOOKUP(B1446&amp;I1446&amp;Q1446,'New Weekly Paste'!B:O,10,0)),0)</f>
        <v>102.8</v>
      </c>
      <c r="L1446" s="239">
        <f t="shared" si="25"/>
        <v>1</v>
      </c>
      <c r="M1446" s="36" t="str">
        <f t="shared" si="3"/>
        <v>Regular Season</v>
      </c>
      <c r="N1446" s="239" t="str">
        <f t="shared" si="26"/>
        <v>Cock</v>
      </c>
      <c r="O1446" s="6">
        <f>VLOOKUP(D1446,'Mapped Opponent'!$G$4:$H$22,2,0)</f>
        <v>2</v>
      </c>
      <c r="P1446" s="6"/>
      <c r="Q1446" s="6" t="str">
        <f t="shared" si="4"/>
        <v>Week 2</v>
      </c>
      <c r="R1446" s="6" t="str">
        <f t="shared" si="5"/>
        <v>2018Week 2</v>
      </c>
      <c r="S1446" s="6">
        <f>IFERROR(__xludf.DUMMYFUNCTION("rank(J1446,FILTER(J:J,R:R=R1446))"),1.0)</f>
        <v>1</v>
      </c>
      <c r="T1446" s="6">
        <f t="shared" si="6"/>
        <v>11</v>
      </c>
      <c r="U1446" s="6">
        <f t="shared" si="7"/>
        <v>1</v>
      </c>
      <c r="V1446" s="42">
        <f>averageif(AllData!A:A,B1446,AllData!R:R)/vlookup(B1446,AllData!A:O,15,0)</f>
        <v>99.39987179</v>
      </c>
      <c r="W1446" s="6"/>
    </row>
    <row r="1447" ht="14.25" customHeight="1">
      <c r="A1447" s="6" t="str">
        <f t="shared" si="1"/>
        <v>2018Rooney/Jackson2</v>
      </c>
      <c r="B1447" s="59">
        <v>2018.0</v>
      </c>
      <c r="C1447" s="13" t="s">
        <v>57</v>
      </c>
      <c r="D1447" s="13" t="s">
        <v>131</v>
      </c>
      <c r="E1447" s="34"/>
      <c r="F1447" s="6"/>
      <c r="H1447" s="6"/>
      <c r="I1447" s="35" t="str">
        <f>IFERROR(IFERROR(IFERROR(VLOOKUP(B1447&amp;C1447&amp;Q1447,'New Weekly Paste'!A:M,10,0),VLOOKUP(B1447&amp;C1447&amp;Q1447,'New Weekly Paste'!B:O,6,0)),""),"")</f>
        <v>Shep</v>
      </c>
      <c r="J1447" s="239">
        <f>IFERROR(IFERROR(VLOOKUP(B1447&amp;C1447&amp;Q1447,'New Weekly Paste'!A:M,8,0),VLOOKUP(B1447&amp;C1447&amp;Q1447,'New Weekly Paste'!B:O,10,0)),0)</f>
        <v>76.96</v>
      </c>
      <c r="K1447" s="239">
        <f>IFERROR(IFERROR(VLOOKUP(B1447&amp;I1447&amp;Q1447,'New Weekly Paste'!A:M,8,0),VLOOKUP(B1447&amp;I1447&amp;Q1447,'New Weekly Paste'!B:O,10,0)),0)</f>
        <v>87.4</v>
      </c>
      <c r="L1447" s="239">
        <f t="shared" si="25"/>
        <v>0</v>
      </c>
      <c r="M1447" s="36" t="str">
        <f t="shared" si="3"/>
        <v>Regular Season</v>
      </c>
      <c r="N1447" s="239" t="str">
        <f t="shared" si="26"/>
        <v>Shep</v>
      </c>
      <c r="O1447" s="6">
        <f>VLOOKUP(D1447,'Mapped Opponent'!$G$4:$H$22,2,0)</f>
        <v>2</v>
      </c>
      <c r="P1447" s="6"/>
      <c r="Q1447" s="6" t="str">
        <f t="shared" si="4"/>
        <v>Week 2</v>
      </c>
      <c r="R1447" s="6" t="str">
        <f t="shared" si="5"/>
        <v>2018Week 2</v>
      </c>
      <c r="S1447" s="6">
        <f>IFERROR(__xludf.DUMMYFUNCTION("rank(J1447,FILTER(J:J,R:R=R1447))"),10.0)</f>
        <v>10</v>
      </c>
      <c r="T1447" s="6">
        <f t="shared" si="6"/>
        <v>2</v>
      </c>
      <c r="U1447" s="6">
        <f t="shared" si="7"/>
        <v>10</v>
      </c>
      <c r="V1447" s="42">
        <f>averageif(AllData!A:A,B1447,AllData!R:R)/vlookup(B1447,AllData!A:O,15,0)</f>
        <v>99.39987179</v>
      </c>
      <c r="W1447" s="6"/>
    </row>
    <row r="1448" ht="14.25" customHeight="1">
      <c r="A1448" s="6" t="str">
        <f t="shared" si="1"/>
        <v>2018Buser2</v>
      </c>
      <c r="B1448" s="59">
        <v>2018.0</v>
      </c>
      <c r="C1448" s="13" t="s">
        <v>47</v>
      </c>
      <c r="D1448" s="13" t="s">
        <v>131</v>
      </c>
      <c r="E1448" s="34"/>
      <c r="F1448" s="6"/>
      <c r="H1448" s="6"/>
      <c r="I1448" s="35" t="str">
        <f>IFERROR(IFERROR(IFERROR(VLOOKUP(B1448&amp;C1448&amp;Q1448,'New Weekly Paste'!A:M,10,0),VLOOKUP(B1448&amp;C1448&amp;Q1448,'New Weekly Paste'!B:O,6,0)),""),"")</f>
        <v>T-How</v>
      </c>
      <c r="J1448" s="239">
        <f>IFERROR(IFERROR(VLOOKUP(B1448&amp;C1448&amp;Q1448,'New Weekly Paste'!A:M,8,0),VLOOKUP(B1448&amp;C1448&amp;Q1448,'New Weekly Paste'!B:O,10,0)),0)</f>
        <v>65.48</v>
      </c>
      <c r="K1448" s="239">
        <f>IFERROR(IFERROR(VLOOKUP(B1448&amp;I1448&amp;Q1448,'New Weekly Paste'!A:M,8,0),VLOOKUP(B1448&amp;I1448&amp;Q1448,'New Weekly Paste'!B:O,10,0)),0)</f>
        <v>90.96</v>
      </c>
      <c r="L1448" s="239">
        <f t="shared" si="25"/>
        <v>0</v>
      </c>
      <c r="M1448" s="36" t="str">
        <f t="shared" si="3"/>
        <v>Regular Season</v>
      </c>
      <c r="N1448" s="239" t="str">
        <f t="shared" si="26"/>
        <v>T-How</v>
      </c>
      <c r="O1448" s="6">
        <f>VLOOKUP(D1448,'Mapped Opponent'!$G$4:$H$22,2,0)</f>
        <v>2</v>
      </c>
      <c r="P1448" s="6"/>
      <c r="Q1448" s="6" t="str">
        <f t="shared" si="4"/>
        <v>Week 2</v>
      </c>
      <c r="R1448" s="6" t="str">
        <f t="shared" si="5"/>
        <v>2018Week 2</v>
      </c>
      <c r="S1448" s="6">
        <f>IFERROR(__xludf.DUMMYFUNCTION("rank(J1448,FILTER(J:J,R:R=R1448))"),12.0)</f>
        <v>12</v>
      </c>
      <c r="T1448" s="6">
        <f t="shared" si="6"/>
        <v>0</v>
      </c>
      <c r="U1448" s="6">
        <f t="shared" si="7"/>
        <v>12</v>
      </c>
      <c r="V1448" s="42">
        <f>averageif(AllData!A:A,B1448,AllData!R:R)/vlookup(B1448,AllData!A:O,15,0)</f>
        <v>99.39987179</v>
      </c>
      <c r="W1448" s="6"/>
    </row>
    <row r="1449" ht="14.25" customHeight="1">
      <c r="A1449" s="6" t="str">
        <f t="shared" si="1"/>
        <v>2018Pierson2</v>
      </c>
      <c r="B1449" s="59">
        <v>2018.0</v>
      </c>
      <c r="C1449" s="13" t="s">
        <v>92</v>
      </c>
      <c r="D1449" s="13" t="s">
        <v>131</v>
      </c>
      <c r="E1449" s="34"/>
      <c r="F1449" s="6"/>
      <c r="H1449" s="6"/>
      <c r="I1449" s="35" t="str">
        <f>IFERROR(IFERROR(IFERROR(VLOOKUP(B1449&amp;C1449&amp;Q1449,'New Weekly Paste'!A:M,10,0),VLOOKUP(B1449&amp;C1449&amp;Q1449,'New Weekly Paste'!B:O,6,0)),""),"")</f>
        <v>Salty</v>
      </c>
      <c r="J1449" s="239">
        <f>IFERROR(IFERROR(VLOOKUP(B1449&amp;C1449&amp;Q1449,'New Weekly Paste'!A:M,8,0),VLOOKUP(B1449&amp;C1449&amp;Q1449,'New Weekly Paste'!B:O,10,0)),0)</f>
        <v>116.74</v>
      </c>
      <c r="K1449" s="239">
        <f>IFERROR(IFERROR(VLOOKUP(B1449&amp;I1449&amp;Q1449,'New Weekly Paste'!A:M,8,0),VLOOKUP(B1449&amp;I1449&amp;Q1449,'New Weekly Paste'!B:O,10,0)),0)</f>
        <v>118.26</v>
      </c>
      <c r="L1449" s="239">
        <f t="shared" si="25"/>
        <v>0</v>
      </c>
      <c r="M1449" s="36" t="str">
        <f t="shared" si="3"/>
        <v>Regular Season</v>
      </c>
      <c r="N1449" s="239" t="str">
        <f t="shared" si="26"/>
        <v>Salty</v>
      </c>
      <c r="O1449" s="6">
        <f>VLOOKUP(D1449,'Mapped Opponent'!$G$4:$H$22,2,0)</f>
        <v>2</v>
      </c>
      <c r="P1449" s="6"/>
      <c r="Q1449" s="6" t="str">
        <f t="shared" si="4"/>
        <v>Week 2</v>
      </c>
      <c r="R1449" s="6" t="str">
        <f t="shared" si="5"/>
        <v>2018Week 2</v>
      </c>
      <c r="S1449" s="6">
        <f>IFERROR(__xludf.DUMMYFUNCTION("rank(J1449,FILTER(J:J,R:R=R1449))"),4.0)</f>
        <v>4</v>
      </c>
      <c r="T1449" s="6">
        <f t="shared" si="6"/>
        <v>8</v>
      </c>
      <c r="U1449" s="6">
        <f t="shared" si="7"/>
        <v>4</v>
      </c>
      <c r="V1449" s="42">
        <f>averageif(AllData!A:A,B1449,AllData!R:R)/vlookup(B1449,AllData!A:O,15,0)</f>
        <v>99.39987179</v>
      </c>
      <c r="W1449" s="6"/>
    </row>
    <row r="1450" ht="14.25" customHeight="1">
      <c r="A1450" s="6" t="str">
        <f t="shared" si="1"/>
        <v>2018Cock2</v>
      </c>
      <c r="B1450" s="59">
        <v>2018.0</v>
      </c>
      <c r="C1450" s="13" t="s">
        <v>72</v>
      </c>
      <c r="D1450" s="13" t="s">
        <v>131</v>
      </c>
      <c r="E1450" s="34"/>
      <c r="F1450" s="6"/>
      <c r="H1450" s="6"/>
      <c r="I1450" s="35" t="str">
        <f>IFERROR(IFERROR(IFERROR(VLOOKUP(B1450&amp;C1450&amp;Q1450,'New Weekly Paste'!A:M,10,0),VLOOKUP(B1450&amp;C1450&amp;Q1450,'New Weekly Paste'!B:O,6,0)),""),"")</f>
        <v>Riley</v>
      </c>
      <c r="J1450" s="239">
        <f>IFERROR(IFERROR(VLOOKUP(B1450&amp;C1450&amp;Q1450,'New Weekly Paste'!A:M,8,0),VLOOKUP(B1450&amp;C1450&amp;Q1450,'New Weekly Paste'!B:O,10,0)),0)</f>
        <v>102.8</v>
      </c>
      <c r="K1450" s="239">
        <f>IFERROR(IFERROR(VLOOKUP(B1450&amp;I1450&amp;Q1450,'New Weekly Paste'!A:M,8,0),VLOOKUP(B1450&amp;I1450&amp;Q1450,'New Weekly Paste'!B:O,10,0)),0)</f>
        <v>123.24</v>
      </c>
      <c r="L1450" s="239">
        <f t="shared" si="25"/>
        <v>0</v>
      </c>
      <c r="M1450" s="36" t="str">
        <f t="shared" si="3"/>
        <v>Regular Season</v>
      </c>
      <c r="N1450" s="239" t="str">
        <f t="shared" si="26"/>
        <v>Riley</v>
      </c>
      <c r="O1450" s="6">
        <f>VLOOKUP(D1450,'Mapped Opponent'!$G$4:$H$22,2,0)</f>
        <v>2</v>
      </c>
      <c r="P1450" s="6"/>
      <c r="Q1450" s="6" t="str">
        <f t="shared" si="4"/>
        <v>Week 2</v>
      </c>
      <c r="R1450" s="6" t="str">
        <f t="shared" si="5"/>
        <v>2018Week 2</v>
      </c>
      <c r="S1450" s="6">
        <f>IFERROR(__xludf.DUMMYFUNCTION("rank(J1450,FILTER(J:J,R:R=R1450))"),6.0)</f>
        <v>6</v>
      </c>
      <c r="T1450" s="6">
        <f t="shared" si="6"/>
        <v>6</v>
      </c>
      <c r="U1450" s="6">
        <f t="shared" si="7"/>
        <v>6</v>
      </c>
      <c r="V1450" s="42">
        <f>averageif(AllData!A:A,B1450,AllData!R:R)/vlookup(B1450,AllData!A:O,15,0)</f>
        <v>99.39987179</v>
      </c>
      <c r="W1450" s="6"/>
    </row>
    <row r="1451" ht="14.25" customHeight="1">
      <c r="A1451" s="6" t="str">
        <f t="shared" si="1"/>
        <v>2018Tayski2</v>
      </c>
      <c r="B1451" s="59">
        <v>2018.0</v>
      </c>
      <c r="C1451" s="13" t="s">
        <v>52</v>
      </c>
      <c r="D1451" s="13" t="s">
        <v>131</v>
      </c>
      <c r="E1451" s="34"/>
      <c r="F1451" s="6"/>
      <c r="H1451" s="6"/>
      <c r="I1451" s="35" t="str">
        <f>IFERROR(IFERROR(IFERROR(VLOOKUP(B1451&amp;C1451&amp;Q1451,'New Weekly Paste'!A:M,10,0),VLOOKUP(B1451&amp;C1451&amp;Q1451,'New Weekly Paste'!B:O,6,0)),""),"")</f>
        <v>KnardDawg</v>
      </c>
      <c r="J1451" s="239">
        <f>IFERROR(IFERROR(VLOOKUP(B1451&amp;C1451&amp;Q1451,'New Weekly Paste'!A:M,8,0),VLOOKUP(B1451&amp;C1451&amp;Q1451,'New Weekly Paste'!B:O,10,0)),0)</f>
        <v>120.14</v>
      </c>
      <c r="K1451" s="239">
        <f>IFERROR(IFERROR(VLOOKUP(B1451&amp;I1451&amp;Q1451,'New Weekly Paste'!A:M,8,0),VLOOKUP(B1451&amp;I1451&amp;Q1451,'New Weekly Paste'!B:O,10,0)),0)</f>
        <v>90.82</v>
      </c>
      <c r="L1451" s="239">
        <f t="shared" si="25"/>
        <v>1</v>
      </c>
      <c r="M1451" s="36" t="str">
        <f t="shared" si="3"/>
        <v>Regular Season</v>
      </c>
      <c r="N1451" s="239" t="str">
        <f t="shared" si="26"/>
        <v>KnardDawg</v>
      </c>
      <c r="O1451" s="6">
        <f>VLOOKUP(D1451,'Mapped Opponent'!$G$4:$H$22,2,0)</f>
        <v>2</v>
      </c>
      <c r="P1451" s="6"/>
      <c r="Q1451" s="6" t="str">
        <f t="shared" si="4"/>
        <v>Week 2</v>
      </c>
      <c r="R1451" s="6" t="str">
        <f t="shared" si="5"/>
        <v>2018Week 2</v>
      </c>
      <c r="S1451" s="6">
        <f>IFERROR(__xludf.DUMMYFUNCTION("rank(J1451,FILTER(J:J,R:R=R1451))"),2.0)</f>
        <v>2</v>
      </c>
      <c r="T1451" s="6">
        <f t="shared" si="6"/>
        <v>10</v>
      </c>
      <c r="U1451" s="6">
        <f t="shared" si="7"/>
        <v>2</v>
      </c>
      <c r="V1451" s="42">
        <f>averageif(AllData!A:A,B1451,AllData!R:R)/vlookup(B1451,AllData!A:O,15,0)</f>
        <v>99.39987179</v>
      </c>
      <c r="W1451" s="6"/>
    </row>
    <row r="1452" ht="14.25" customHeight="1">
      <c r="A1452" s="6" t="str">
        <f t="shared" si="1"/>
        <v>2018KnardDawg2</v>
      </c>
      <c r="B1452" s="59">
        <v>2018.0</v>
      </c>
      <c r="C1452" s="13" t="s">
        <v>86</v>
      </c>
      <c r="D1452" s="13" t="s">
        <v>131</v>
      </c>
      <c r="E1452" s="34"/>
      <c r="F1452" s="6"/>
      <c r="H1452" s="6"/>
      <c r="I1452" s="35" t="str">
        <f>IFERROR(IFERROR(IFERROR(VLOOKUP(B1452&amp;C1452&amp;Q1452,'New Weekly Paste'!A:M,10,0),VLOOKUP(B1452&amp;C1452&amp;Q1452,'New Weekly Paste'!B:O,6,0)),""),"")</f>
        <v>Tayski</v>
      </c>
      <c r="J1452" s="239">
        <f>IFERROR(IFERROR(VLOOKUP(B1452&amp;C1452&amp;Q1452,'New Weekly Paste'!A:M,8,0),VLOOKUP(B1452&amp;C1452&amp;Q1452,'New Weekly Paste'!B:O,10,0)),0)</f>
        <v>90.82</v>
      </c>
      <c r="K1452" s="239">
        <f>IFERROR(IFERROR(VLOOKUP(B1452&amp;I1452&amp;Q1452,'New Weekly Paste'!A:M,8,0),VLOOKUP(B1452&amp;I1452&amp;Q1452,'New Weekly Paste'!B:O,10,0)),0)</f>
        <v>120.14</v>
      </c>
      <c r="L1452" s="239">
        <f t="shared" si="25"/>
        <v>0</v>
      </c>
      <c r="M1452" s="36" t="str">
        <f t="shared" si="3"/>
        <v>Regular Season</v>
      </c>
      <c r="N1452" s="239" t="str">
        <f t="shared" si="26"/>
        <v>Tayski</v>
      </c>
      <c r="O1452" s="6">
        <f>VLOOKUP(D1452,'Mapped Opponent'!$G$4:$H$22,2,0)</f>
        <v>2</v>
      </c>
      <c r="P1452" s="6"/>
      <c r="Q1452" s="6" t="str">
        <f t="shared" si="4"/>
        <v>Week 2</v>
      </c>
      <c r="R1452" s="6" t="str">
        <f t="shared" si="5"/>
        <v>2018Week 2</v>
      </c>
      <c r="S1452" s="6">
        <f>IFERROR(__xludf.DUMMYFUNCTION("rank(J1452,FILTER(J:J,R:R=R1452))"),8.0)</f>
        <v>8</v>
      </c>
      <c r="T1452" s="6">
        <f t="shared" si="6"/>
        <v>4</v>
      </c>
      <c r="U1452" s="6">
        <f t="shared" si="7"/>
        <v>8</v>
      </c>
      <c r="V1452" s="42">
        <f>averageif(AllData!A:A,B1452,AllData!R:R)/vlookup(B1452,AllData!A:O,15,0)</f>
        <v>99.39987179</v>
      </c>
      <c r="W1452" s="6"/>
    </row>
    <row r="1453" ht="14.25" customHeight="1">
      <c r="A1453" s="6" t="str">
        <f t="shared" si="1"/>
        <v>2018T-How2</v>
      </c>
      <c r="B1453" s="59">
        <v>2018.0</v>
      </c>
      <c r="C1453" s="13" t="s">
        <v>82</v>
      </c>
      <c r="D1453" s="13" t="s">
        <v>131</v>
      </c>
      <c r="E1453" s="34"/>
      <c r="F1453" s="6"/>
      <c r="H1453" s="6"/>
      <c r="I1453" s="35" t="str">
        <f>IFERROR(IFERROR(IFERROR(VLOOKUP(B1453&amp;C1453&amp;Q1453,'New Weekly Paste'!A:M,10,0),VLOOKUP(B1453&amp;C1453&amp;Q1453,'New Weekly Paste'!B:O,6,0)),""),"")</f>
        <v>Buser</v>
      </c>
      <c r="J1453" s="239">
        <f>IFERROR(IFERROR(VLOOKUP(B1453&amp;C1453&amp;Q1453,'New Weekly Paste'!A:M,8,0),VLOOKUP(B1453&amp;C1453&amp;Q1453,'New Weekly Paste'!B:O,10,0)),0)</f>
        <v>90.96</v>
      </c>
      <c r="K1453" s="239">
        <f>IFERROR(IFERROR(VLOOKUP(B1453&amp;I1453&amp;Q1453,'New Weekly Paste'!A:M,8,0),VLOOKUP(B1453&amp;I1453&amp;Q1453,'New Weekly Paste'!B:O,10,0)),0)</f>
        <v>65.48</v>
      </c>
      <c r="L1453" s="239">
        <f t="shared" si="25"/>
        <v>1</v>
      </c>
      <c r="M1453" s="36" t="str">
        <f t="shared" si="3"/>
        <v>Regular Season</v>
      </c>
      <c r="N1453" s="239" t="str">
        <f t="shared" si="26"/>
        <v>Buser</v>
      </c>
      <c r="O1453" s="6">
        <f>VLOOKUP(D1453,'Mapped Opponent'!$G$4:$H$22,2,0)</f>
        <v>2</v>
      </c>
      <c r="P1453" s="6"/>
      <c r="Q1453" s="6" t="str">
        <f t="shared" si="4"/>
        <v>Week 2</v>
      </c>
      <c r="R1453" s="6" t="str">
        <f t="shared" si="5"/>
        <v>2018Week 2</v>
      </c>
      <c r="S1453" s="6">
        <f>IFERROR(__xludf.DUMMYFUNCTION("rank(J1453,FILTER(J:J,R:R=R1453))"),7.0)</f>
        <v>7</v>
      </c>
      <c r="T1453" s="6">
        <f t="shared" si="6"/>
        <v>5</v>
      </c>
      <c r="U1453" s="6">
        <f t="shared" si="7"/>
        <v>7</v>
      </c>
      <c r="V1453" s="42">
        <f>averageif(AllData!A:A,B1453,AllData!R:R)/vlookup(B1453,AllData!A:O,15,0)</f>
        <v>99.39987179</v>
      </c>
      <c r="W1453" s="6"/>
    </row>
    <row r="1454" ht="14.25" customHeight="1">
      <c r="A1454" s="6" t="str">
        <f t="shared" si="1"/>
        <v>2018Hudspeath3</v>
      </c>
      <c r="B1454" s="59">
        <v>2018.0</v>
      </c>
      <c r="C1454" s="13" t="s">
        <v>39</v>
      </c>
      <c r="D1454" s="13" t="s">
        <v>135</v>
      </c>
      <c r="E1454" s="34"/>
      <c r="F1454" s="6"/>
      <c r="H1454" s="6"/>
      <c r="I1454" s="35" t="str">
        <f>IFERROR(IFERROR(IFERROR(VLOOKUP(B1454&amp;C1454&amp;Q1454,'New Weekly Paste'!A:M,10,0),VLOOKUP(B1454&amp;C1454&amp;Q1454,'New Weekly Paste'!B:O,6,0)),""),"")</f>
        <v>Riley</v>
      </c>
      <c r="J1454" s="239">
        <f>IFERROR(IFERROR(VLOOKUP(B1454&amp;C1454&amp;Q1454,'New Weekly Paste'!A:M,8,0),VLOOKUP(B1454&amp;C1454&amp;Q1454,'New Weekly Paste'!B:O,10,0)),0)</f>
        <v>115.12</v>
      </c>
      <c r="K1454" s="239">
        <f>IFERROR(IFERROR(VLOOKUP(B1454&amp;I1454&amp;Q1454,'New Weekly Paste'!A:M,8,0),VLOOKUP(B1454&amp;I1454&amp;Q1454,'New Weekly Paste'!B:O,10,0)),0)</f>
        <v>87</v>
      </c>
      <c r="L1454" s="239">
        <f t="shared" si="25"/>
        <v>1</v>
      </c>
      <c r="M1454" s="36" t="str">
        <f t="shared" si="3"/>
        <v>Regular Season</v>
      </c>
      <c r="N1454" s="239" t="str">
        <f t="shared" si="26"/>
        <v>Riley</v>
      </c>
      <c r="O1454" s="6">
        <f>VLOOKUP(D1454,'Mapped Opponent'!$G$4:$H$22,2,0)</f>
        <v>3</v>
      </c>
      <c r="P1454" s="6"/>
      <c r="Q1454" s="6" t="str">
        <f t="shared" si="4"/>
        <v>Week 3</v>
      </c>
      <c r="R1454" s="6" t="str">
        <f t="shared" si="5"/>
        <v>2018Week 3</v>
      </c>
      <c r="S1454" s="6">
        <f>IFERROR(__xludf.DUMMYFUNCTION("rank(J1454,FILTER(J:J,R:R=R1454))"),2.0)</f>
        <v>2</v>
      </c>
      <c r="T1454" s="6">
        <f t="shared" si="6"/>
        <v>10</v>
      </c>
      <c r="U1454" s="6">
        <f t="shared" si="7"/>
        <v>2</v>
      </c>
      <c r="V1454" s="42">
        <f>averageif(AllData!A:A,B1454,AllData!R:R)/vlookup(B1454,AllData!A:O,15,0)</f>
        <v>99.39987179</v>
      </c>
      <c r="W1454" s="6"/>
    </row>
    <row r="1455" ht="14.25" customHeight="1">
      <c r="A1455" s="6" t="str">
        <f t="shared" si="1"/>
        <v>2018Salty3</v>
      </c>
      <c r="B1455" s="59">
        <v>2018.0</v>
      </c>
      <c r="C1455" s="13" t="s">
        <v>76</v>
      </c>
      <c r="D1455" s="13" t="s">
        <v>135</v>
      </c>
      <c r="E1455" s="34"/>
      <c r="F1455" s="6"/>
      <c r="H1455" s="6"/>
      <c r="I1455" s="35" t="str">
        <f>IFERROR(IFERROR(IFERROR(VLOOKUP(B1455&amp;C1455&amp;Q1455,'New Weekly Paste'!A:M,10,0),VLOOKUP(B1455&amp;C1455&amp;Q1455,'New Weekly Paste'!B:O,6,0)),""),"")</f>
        <v>Tayski</v>
      </c>
      <c r="J1455" s="239">
        <f>IFERROR(IFERROR(VLOOKUP(B1455&amp;C1455&amp;Q1455,'New Weekly Paste'!A:M,8,0),VLOOKUP(B1455&amp;C1455&amp;Q1455,'New Weekly Paste'!B:O,10,0)),0)</f>
        <v>70.8</v>
      </c>
      <c r="K1455" s="239">
        <f>IFERROR(IFERROR(VLOOKUP(B1455&amp;I1455&amp;Q1455,'New Weekly Paste'!A:M,8,0),VLOOKUP(B1455&amp;I1455&amp;Q1455,'New Weekly Paste'!B:O,10,0)),0)</f>
        <v>98.34</v>
      </c>
      <c r="L1455" s="239">
        <f t="shared" si="25"/>
        <v>0</v>
      </c>
      <c r="M1455" s="36" t="str">
        <f t="shared" si="3"/>
        <v>Regular Season</v>
      </c>
      <c r="N1455" s="239" t="str">
        <f t="shared" si="26"/>
        <v>Tayski</v>
      </c>
      <c r="O1455" s="6">
        <f>VLOOKUP(D1455,'Mapped Opponent'!$G$4:$H$22,2,0)</f>
        <v>3</v>
      </c>
      <c r="P1455" s="6"/>
      <c r="Q1455" s="6" t="str">
        <f t="shared" si="4"/>
        <v>Week 3</v>
      </c>
      <c r="R1455" s="6" t="str">
        <f t="shared" si="5"/>
        <v>2018Week 3</v>
      </c>
      <c r="S1455" s="6">
        <f>IFERROR(__xludf.DUMMYFUNCTION("rank(J1455,FILTER(J:J,R:R=R1455))"),9.0)</f>
        <v>9</v>
      </c>
      <c r="T1455" s="6">
        <f t="shared" si="6"/>
        <v>3</v>
      </c>
      <c r="U1455" s="6">
        <f t="shared" si="7"/>
        <v>9</v>
      </c>
      <c r="V1455" s="42">
        <f>averageif(AllData!A:A,B1455,AllData!R:R)/vlookup(B1455,AllData!A:O,15,0)</f>
        <v>99.39987179</v>
      </c>
      <c r="W1455" s="6"/>
    </row>
    <row r="1456" ht="14.25" customHeight="1">
      <c r="A1456" s="6" t="str">
        <f t="shared" si="1"/>
        <v>2018Fellows3</v>
      </c>
      <c r="B1456" s="59">
        <v>2018.0</v>
      </c>
      <c r="C1456" s="13" t="s">
        <v>79</v>
      </c>
      <c r="D1456" s="13" t="s">
        <v>135</v>
      </c>
      <c r="E1456" s="34"/>
      <c r="F1456" s="6"/>
      <c r="H1456" s="6"/>
      <c r="I1456" s="35" t="str">
        <f>IFERROR(IFERROR(IFERROR(VLOOKUP(B1456&amp;C1456&amp;Q1456,'New Weekly Paste'!A:M,10,0),VLOOKUP(B1456&amp;C1456&amp;Q1456,'New Weekly Paste'!B:O,6,0)),""),"")</f>
        <v>Pierson</v>
      </c>
      <c r="J1456" s="239">
        <f>IFERROR(IFERROR(VLOOKUP(B1456&amp;C1456&amp;Q1456,'New Weekly Paste'!A:M,8,0),VLOOKUP(B1456&amp;C1456&amp;Q1456,'New Weekly Paste'!B:O,10,0)),0)</f>
        <v>93.5</v>
      </c>
      <c r="K1456" s="239">
        <f>IFERROR(IFERROR(VLOOKUP(B1456&amp;I1456&amp;Q1456,'New Weekly Paste'!A:M,8,0),VLOOKUP(B1456&amp;I1456&amp;Q1456,'New Weekly Paste'!B:O,10,0)),0)</f>
        <v>85.54</v>
      </c>
      <c r="L1456" s="239">
        <f t="shared" si="25"/>
        <v>1</v>
      </c>
      <c r="M1456" s="36" t="str">
        <f t="shared" si="3"/>
        <v>Regular Season</v>
      </c>
      <c r="N1456" s="239" t="str">
        <f t="shared" si="26"/>
        <v>Pierson</v>
      </c>
      <c r="O1456" s="6">
        <f>VLOOKUP(D1456,'Mapped Opponent'!$G$4:$H$22,2,0)</f>
        <v>3</v>
      </c>
      <c r="P1456" s="6"/>
      <c r="Q1456" s="6" t="str">
        <f t="shared" si="4"/>
        <v>Week 3</v>
      </c>
      <c r="R1456" s="6" t="str">
        <f t="shared" si="5"/>
        <v>2018Week 3</v>
      </c>
      <c r="S1456" s="6">
        <f>IFERROR(__xludf.DUMMYFUNCTION("rank(J1456,FILTER(J:J,R:R=R1456))"),5.0)</f>
        <v>5</v>
      </c>
      <c r="T1456" s="6">
        <f t="shared" si="6"/>
        <v>7</v>
      </c>
      <c r="U1456" s="6">
        <f t="shared" si="7"/>
        <v>5</v>
      </c>
      <c r="V1456" s="42">
        <f>averageif(AllData!A:A,B1456,AllData!R:R)/vlookup(B1456,AllData!A:O,15,0)</f>
        <v>99.39987179</v>
      </c>
      <c r="W1456" s="6"/>
    </row>
    <row r="1457" ht="14.25" customHeight="1">
      <c r="A1457" s="6" t="str">
        <f t="shared" si="1"/>
        <v>2018Shep3</v>
      </c>
      <c r="B1457" s="59">
        <v>2018.0</v>
      </c>
      <c r="C1457" s="13" t="s">
        <v>89</v>
      </c>
      <c r="D1457" s="13" t="s">
        <v>135</v>
      </c>
      <c r="E1457" s="34"/>
      <c r="F1457" s="6"/>
      <c r="H1457" s="6"/>
      <c r="I1457" s="35" t="str">
        <f>IFERROR(IFERROR(IFERROR(VLOOKUP(B1457&amp;C1457&amp;Q1457,'New Weekly Paste'!A:M,10,0),VLOOKUP(B1457&amp;C1457&amp;Q1457,'New Weekly Paste'!B:O,6,0)),""),"")</f>
        <v>Buser</v>
      </c>
      <c r="J1457" s="239">
        <f>IFERROR(IFERROR(VLOOKUP(B1457&amp;C1457&amp;Q1457,'New Weekly Paste'!A:M,8,0),VLOOKUP(B1457&amp;C1457&amp;Q1457,'New Weekly Paste'!B:O,10,0)),0)</f>
        <v>94.36</v>
      </c>
      <c r="K1457" s="239">
        <f>IFERROR(IFERROR(VLOOKUP(B1457&amp;I1457&amp;Q1457,'New Weekly Paste'!A:M,8,0),VLOOKUP(B1457&amp;I1457&amp;Q1457,'New Weekly Paste'!B:O,10,0)),0)</f>
        <v>68.38</v>
      </c>
      <c r="L1457" s="239">
        <f t="shared" si="25"/>
        <v>1</v>
      </c>
      <c r="M1457" s="36" t="str">
        <f t="shared" si="3"/>
        <v>Regular Season</v>
      </c>
      <c r="N1457" s="239" t="str">
        <f t="shared" si="26"/>
        <v>Buser</v>
      </c>
      <c r="O1457" s="6">
        <f>VLOOKUP(D1457,'Mapped Opponent'!$G$4:$H$22,2,0)</f>
        <v>3</v>
      </c>
      <c r="P1457" s="6"/>
      <c r="Q1457" s="6" t="str">
        <f t="shared" si="4"/>
        <v>Week 3</v>
      </c>
      <c r="R1457" s="6" t="str">
        <f t="shared" si="5"/>
        <v>2018Week 3</v>
      </c>
      <c r="S1457" s="6">
        <f>IFERROR(__xludf.DUMMYFUNCTION("rank(J1457,FILTER(J:J,R:R=R1457))"),4.0)</f>
        <v>4</v>
      </c>
      <c r="T1457" s="6">
        <f t="shared" si="6"/>
        <v>8</v>
      </c>
      <c r="U1457" s="6">
        <f t="shared" si="7"/>
        <v>4</v>
      </c>
      <c r="V1457" s="42">
        <f>averageif(AllData!A:A,B1457,AllData!R:R)/vlookup(B1457,AllData!A:O,15,0)</f>
        <v>99.39987179</v>
      </c>
      <c r="W1457" s="6"/>
    </row>
    <row r="1458" ht="14.25" customHeight="1">
      <c r="A1458" s="6" t="str">
        <f t="shared" si="1"/>
        <v>2018Riley3</v>
      </c>
      <c r="B1458" s="59">
        <v>2018.0</v>
      </c>
      <c r="C1458" s="13" t="s">
        <v>67</v>
      </c>
      <c r="D1458" s="13" t="s">
        <v>135</v>
      </c>
      <c r="E1458" s="34"/>
      <c r="F1458" s="6"/>
      <c r="H1458" s="6"/>
      <c r="I1458" s="35" t="str">
        <f>IFERROR(IFERROR(IFERROR(VLOOKUP(B1458&amp;C1458&amp;Q1458,'New Weekly Paste'!A:M,10,0),VLOOKUP(B1458&amp;C1458&amp;Q1458,'New Weekly Paste'!B:O,6,0)),""),"")</f>
        <v>Hudspeath</v>
      </c>
      <c r="J1458" s="239">
        <f>IFERROR(IFERROR(VLOOKUP(B1458&amp;C1458&amp;Q1458,'New Weekly Paste'!A:M,8,0),VLOOKUP(B1458&amp;C1458&amp;Q1458,'New Weekly Paste'!B:O,10,0)),0)</f>
        <v>87</v>
      </c>
      <c r="K1458" s="239">
        <f>IFERROR(IFERROR(VLOOKUP(B1458&amp;I1458&amp;Q1458,'New Weekly Paste'!A:M,8,0),VLOOKUP(B1458&amp;I1458&amp;Q1458,'New Weekly Paste'!B:O,10,0)),0)</f>
        <v>115.12</v>
      </c>
      <c r="L1458" s="239">
        <f t="shared" si="25"/>
        <v>0</v>
      </c>
      <c r="M1458" s="36" t="str">
        <f t="shared" si="3"/>
        <v>Regular Season</v>
      </c>
      <c r="N1458" s="239" t="str">
        <f t="shared" si="26"/>
        <v>Hudspeath</v>
      </c>
      <c r="O1458" s="6">
        <f>VLOOKUP(D1458,'Mapped Opponent'!$G$4:$H$22,2,0)</f>
        <v>3</v>
      </c>
      <c r="P1458" s="6"/>
      <c r="Q1458" s="6" t="str">
        <f t="shared" si="4"/>
        <v>Week 3</v>
      </c>
      <c r="R1458" s="6" t="str">
        <f t="shared" si="5"/>
        <v>2018Week 3</v>
      </c>
      <c r="S1458" s="6">
        <f>IFERROR(__xludf.DUMMYFUNCTION("rank(J1458,FILTER(J:J,R:R=R1458))"),7.0)</f>
        <v>7</v>
      </c>
      <c r="T1458" s="6">
        <f t="shared" si="6"/>
        <v>5</v>
      </c>
      <c r="U1458" s="6">
        <f t="shared" si="7"/>
        <v>7</v>
      </c>
      <c r="V1458" s="42">
        <f>averageif(AllData!A:A,B1458,AllData!R:R)/vlookup(B1458,AllData!A:O,15,0)</f>
        <v>99.39987179</v>
      </c>
      <c r="W1458" s="6"/>
    </row>
    <row r="1459" ht="14.25" customHeight="1">
      <c r="A1459" s="6" t="str">
        <f t="shared" si="1"/>
        <v>2018Rooney/Jackson3</v>
      </c>
      <c r="B1459" s="59">
        <v>2018.0</v>
      </c>
      <c r="C1459" s="13" t="s">
        <v>57</v>
      </c>
      <c r="D1459" s="13" t="s">
        <v>135</v>
      </c>
      <c r="E1459" s="34"/>
      <c r="F1459" s="6"/>
      <c r="H1459" s="6"/>
      <c r="I1459" s="35" t="str">
        <f>IFERROR(IFERROR(IFERROR(VLOOKUP(B1459&amp;C1459&amp;Q1459,'New Weekly Paste'!A:M,10,0),VLOOKUP(B1459&amp;C1459&amp;Q1459,'New Weekly Paste'!B:O,6,0)),""),"")</f>
        <v>KnardDawg</v>
      </c>
      <c r="J1459" s="239">
        <f>IFERROR(IFERROR(VLOOKUP(B1459&amp;C1459&amp;Q1459,'New Weekly Paste'!A:M,8,0),VLOOKUP(B1459&amp;C1459&amp;Q1459,'New Weekly Paste'!B:O,10,0)),0)</f>
        <v>91.76</v>
      </c>
      <c r="K1459" s="239">
        <f>IFERROR(IFERROR(VLOOKUP(B1459&amp;I1459&amp;Q1459,'New Weekly Paste'!A:M,8,0),VLOOKUP(B1459&amp;I1459&amp;Q1459,'New Weekly Paste'!B:O,10,0)),0)</f>
        <v>132.44</v>
      </c>
      <c r="L1459" s="239">
        <f t="shared" si="25"/>
        <v>0</v>
      </c>
      <c r="M1459" s="36" t="str">
        <f t="shared" si="3"/>
        <v>Regular Season</v>
      </c>
      <c r="N1459" s="239" t="str">
        <f t="shared" si="26"/>
        <v>KnardDawg</v>
      </c>
      <c r="O1459" s="6">
        <f>VLOOKUP(D1459,'Mapped Opponent'!$G$4:$H$22,2,0)</f>
        <v>3</v>
      </c>
      <c r="P1459" s="6"/>
      <c r="Q1459" s="6" t="str">
        <f t="shared" si="4"/>
        <v>Week 3</v>
      </c>
      <c r="R1459" s="6" t="str">
        <f t="shared" si="5"/>
        <v>2018Week 3</v>
      </c>
      <c r="S1459" s="6">
        <f>IFERROR(__xludf.DUMMYFUNCTION("rank(J1459,FILTER(J:J,R:R=R1459))"),6.0)</f>
        <v>6</v>
      </c>
      <c r="T1459" s="6">
        <f t="shared" si="6"/>
        <v>6</v>
      </c>
      <c r="U1459" s="6">
        <f t="shared" si="7"/>
        <v>6</v>
      </c>
      <c r="V1459" s="42">
        <f>averageif(AllData!A:A,B1459,AllData!R:R)/vlookup(B1459,AllData!A:O,15,0)</f>
        <v>99.39987179</v>
      </c>
      <c r="W1459" s="6"/>
    </row>
    <row r="1460" ht="14.25" customHeight="1">
      <c r="A1460" s="6" t="str">
        <f t="shared" si="1"/>
        <v>2018Buser3</v>
      </c>
      <c r="B1460" s="59">
        <v>2018.0</v>
      </c>
      <c r="C1460" s="13" t="s">
        <v>47</v>
      </c>
      <c r="D1460" s="13" t="s">
        <v>135</v>
      </c>
      <c r="E1460" s="34"/>
      <c r="F1460" s="6"/>
      <c r="H1460" s="6"/>
      <c r="I1460" s="35" t="str">
        <f>IFERROR(IFERROR(IFERROR(VLOOKUP(B1460&amp;C1460&amp;Q1460,'New Weekly Paste'!A:M,10,0),VLOOKUP(B1460&amp;C1460&amp;Q1460,'New Weekly Paste'!B:O,6,0)),""),"")</f>
        <v>Shep</v>
      </c>
      <c r="J1460" s="239">
        <f>IFERROR(IFERROR(VLOOKUP(B1460&amp;C1460&amp;Q1460,'New Weekly Paste'!A:M,8,0),VLOOKUP(B1460&amp;C1460&amp;Q1460,'New Weekly Paste'!B:O,10,0)),0)</f>
        <v>68.38</v>
      </c>
      <c r="K1460" s="239">
        <f>IFERROR(IFERROR(VLOOKUP(B1460&amp;I1460&amp;Q1460,'New Weekly Paste'!A:M,8,0),VLOOKUP(B1460&amp;I1460&amp;Q1460,'New Weekly Paste'!B:O,10,0)),0)</f>
        <v>94.36</v>
      </c>
      <c r="L1460" s="239">
        <f t="shared" si="25"/>
        <v>0</v>
      </c>
      <c r="M1460" s="36" t="str">
        <f t="shared" si="3"/>
        <v>Regular Season</v>
      </c>
      <c r="N1460" s="239" t="str">
        <f t="shared" si="26"/>
        <v>Shep</v>
      </c>
      <c r="O1460" s="6">
        <f>VLOOKUP(D1460,'Mapped Opponent'!$G$4:$H$22,2,0)</f>
        <v>3</v>
      </c>
      <c r="P1460" s="6"/>
      <c r="Q1460" s="6" t="str">
        <f t="shared" si="4"/>
        <v>Week 3</v>
      </c>
      <c r="R1460" s="6" t="str">
        <f t="shared" si="5"/>
        <v>2018Week 3</v>
      </c>
      <c r="S1460" s="6">
        <f>IFERROR(__xludf.DUMMYFUNCTION("rank(J1460,FILTER(J:J,R:R=R1460))"),11.0)</f>
        <v>11</v>
      </c>
      <c r="T1460" s="6">
        <f t="shared" si="6"/>
        <v>1</v>
      </c>
      <c r="U1460" s="6">
        <f t="shared" si="7"/>
        <v>11</v>
      </c>
      <c r="V1460" s="42">
        <f>averageif(AllData!A:A,B1460,AllData!R:R)/vlookup(B1460,AllData!A:O,15,0)</f>
        <v>99.39987179</v>
      </c>
      <c r="W1460" s="6"/>
    </row>
    <row r="1461" ht="14.25" customHeight="1">
      <c r="A1461" s="6" t="str">
        <f t="shared" si="1"/>
        <v>2018Pierson3</v>
      </c>
      <c r="B1461" s="59">
        <v>2018.0</v>
      </c>
      <c r="C1461" s="13" t="s">
        <v>92</v>
      </c>
      <c r="D1461" s="13" t="s">
        <v>135</v>
      </c>
      <c r="E1461" s="34"/>
      <c r="F1461" s="6"/>
      <c r="H1461" s="6"/>
      <c r="I1461" s="35" t="str">
        <f>IFERROR(IFERROR(IFERROR(VLOOKUP(B1461&amp;C1461&amp;Q1461,'New Weekly Paste'!A:M,10,0),VLOOKUP(B1461&amp;C1461&amp;Q1461,'New Weekly Paste'!B:O,6,0)),""),"")</f>
        <v>Fellows</v>
      </c>
      <c r="J1461" s="239">
        <f>IFERROR(IFERROR(VLOOKUP(B1461&amp;C1461&amp;Q1461,'New Weekly Paste'!A:M,8,0),VLOOKUP(B1461&amp;C1461&amp;Q1461,'New Weekly Paste'!B:O,10,0)),0)</f>
        <v>85.54</v>
      </c>
      <c r="K1461" s="239">
        <f>IFERROR(IFERROR(VLOOKUP(B1461&amp;I1461&amp;Q1461,'New Weekly Paste'!A:M,8,0),VLOOKUP(B1461&amp;I1461&amp;Q1461,'New Weekly Paste'!B:O,10,0)),0)</f>
        <v>93.5</v>
      </c>
      <c r="L1461" s="239">
        <f t="shared" si="25"/>
        <v>0</v>
      </c>
      <c r="M1461" s="36" t="str">
        <f t="shared" si="3"/>
        <v>Regular Season</v>
      </c>
      <c r="N1461" s="239" t="str">
        <f t="shared" si="26"/>
        <v>Fellows</v>
      </c>
      <c r="O1461" s="6">
        <f>VLOOKUP(D1461,'Mapped Opponent'!$G$4:$H$22,2,0)</f>
        <v>3</v>
      </c>
      <c r="P1461" s="6"/>
      <c r="Q1461" s="6" t="str">
        <f t="shared" si="4"/>
        <v>Week 3</v>
      </c>
      <c r="R1461" s="6" t="str">
        <f t="shared" si="5"/>
        <v>2018Week 3</v>
      </c>
      <c r="S1461" s="6">
        <f>IFERROR(__xludf.DUMMYFUNCTION("rank(J1461,FILTER(J:J,R:R=R1461))"),8.0)</f>
        <v>8</v>
      </c>
      <c r="T1461" s="6">
        <f t="shared" si="6"/>
        <v>4</v>
      </c>
      <c r="U1461" s="6">
        <f t="shared" si="7"/>
        <v>8</v>
      </c>
      <c r="V1461" s="42">
        <f>averageif(AllData!A:A,B1461,AllData!R:R)/vlookup(B1461,AllData!A:O,15,0)</f>
        <v>99.39987179</v>
      </c>
      <c r="W1461" s="6"/>
    </row>
    <row r="1462" ht="14.25" customHeight="1">
      <c r="A1462" s="6" t="str">
        <f t="shared" si="1"/>
        <v>2018Cock3</v>
      </c>
      <c r="B1462" s="59">
        <v>2018.0</v>
      </c>
      <c r="C1462" s="13" t="s">
        <v>72</v>
      </c>
      <c r="D1462" s="13" t="s">
        <v>135</v>
      </c>
      <c r="E1462" s="34"/>
      <c r="F1462" s="6"/>
      <c r="H1462" s="6"/>
      <c r="I1462" s="35" t="str">
        <f>IFERROR(IFERROR(IFERROR(VLOOKUP(B1462&amp;C1462&amp;Q1462,'New Weekly Paste'!A:M,10,0),VLOOKUP(B1462&amp;C1462&amp;Q1462,'New Weekly Paste'!B:O,6,0)),""),"")</f>
        <v>T-How</v>
      </c>
      <c r="J1462" s="239">
        <f>IFERROR(IFERROR(VLOOKUP(B1462&amp;C1462&amp;Q1462,'New Weekly Paste'!A:M,8,0),VLOOKUP(B1462&amp;C1462&amp;Q1462,'New Weekly Paste'!B:O,10,0)),0)</f>
        <v>64.94</v>
      </c>
      <c r="K1462" s="239">
        <f>IFERROR(IFERROR(VLOOKUP(B1462&amp;I1462&amp;Q1462,'New Weekly Paste'!A:M,8,0),VLOOKUP(B1462&amp;I1462&amp;Q1462,'New Weekly Paste'!B:O,10,0)),0)</f>
        <v>69.72</v>
      </c>
      <c r="L1462" s="239">
        <f t="shared" si="25"/>
        <v>0</v>
      </c>
      <c r="M1462" s="36" t="str">
        <f t="shared" si="3"/>
        <v>Regular Season</v>
      </c>
      <c r="N1462" s="239" t="str">
        <f t="shared" si="26"/>
        <v>T-How</v>
      </c>
      <c r="O1462" s="6">
        <f>VLOOKUP(D1462,'Mapped Opponent'!$G$4:$H$22,2,0)</f>
        <v>3</v>
      </c>
      <c r="P1462" s="6"/>
      <c r="Q1462" s="6" t="str">
        <f t="shared" si="4"/>
        <v>Week 3</v>
      </c>
      <c r="R1462" s="6" t="str">
        <f t="shared" si="5"/>
        <v>2018Week 3</v>
      </c>
      <c r="S1462" s="6">
        <f>IFERROR(__xludf.DUMMYFUNCTION("rank(J1462,FILTER(J:J,R:R=R1462))"),12.0)</f>
        <v>12</v>
      </c>
      <c r="T1462" s="6">
        <f t="shared" si="6"/>
        <v>0</v>
      </c>
      <c r="U1462" s="6">
        <f t="shared" si="7"/>
        <v>12</v>
      </c>
      <c r="V1462" s="42">
        <f>averageif(AllData!A:A,B1462,AllData!R:R)/vlookup(B1462,AllData!A:O,15,0)</f>
        <v>99.39987179</v>
      </c>
      <c r="W1462" s="6"/>
    </row>
    <row r="1463" ht="14.25" customHeight="1">
      <c r="A1463" s="6" t="str">
        <f t="shared" si="1"/>
        <v>2018Tayski3</v>
      </c>
      <c r="B1463" s="59">
        <v>2018.0</v>
      </c>
      <c r="C1463" s="13" t="s">
        <v>52</v>
      </c>
      <c r="D1463" s="13" t="s">
        <v>135</v>
      </c>
      <c r="E1463" s="34"/>
      <c r="F1463" s="6"/>
      <c r="H1463" s="6"/>
      <c r="I1463" s="35" t="str">
        <f>IFERROR(IFERROR(IFERROR(VLOOKUP(B1463&amp;C1463&amp;Q1463,'New Weekly Paste'!A:M,10,0),VLOOKUP(B1463&amp;C1463&amp;Q1463,'New Weekly Paste'!B:O,6,0)),""),"")</f>
        <v>Salty</v>
      </c>
      <c r="J1463" s="239">
        <f>IFERROR(IFERROR(VLOOKUP(B1463&amp;C1463&amp;Q1463,'New Weekly Paste'!A:M,8,0),VLOOKUP(B1463&amp;C1463&amp;Q1463,'New Weekly Paste'!B:O,10,0)),0)</f>
        <v>98.34</v>
      </c>
      <c r="K1463" s="239">
        <f>IFERROR(IFERROR(VLOOKUP(B1463&amp;I1463&amp;Q1463,'New Weekly Paste'!A:M,8,0),VLOOKUP(B1463&amp;I1463&amp;Q1463,'New Weekly Paste'!B:O,10,0)),0)</f>
        <v>70.8</v>
      </c>
      <c r="L1463" s="239">
        <f t="shared" si="25"/>
        <v>1</v>
      </c>
      <c r="M1463" s="36" t="str">
        <f t="shared" si="3"/>
        <v>Regular Season</v>
      </c>
      <c r="N1463" s="239" t="str">
        <f t="shared" si="26"/>
        <v>Salty</v>
      </c>
      <c r="O1463" s="6">
        <f>VLOOKUP(D1463,'Mapped Opponent'!$G$4:$H$22,2,0)</f>
        <v>3</v>
      </c>
      <c r="P1463" s="6"/>
      <c r="Q1463" s="6" t="str">
        <f t="shared" si="4"/>
        <v>Week 3</v>
      </c>
      <c r="R1463" s="6" t="str">
        <f t="shared" si="5"/>
        <v>2018Week 3</v>
      </c>
      <c r="S1463" s="6">
        <f>IFERROR(__xludf.DUMMYFUNCTION("rank(J1463,FILTER(J:J,R:R=R1463))"),3.0)</f>
        <v>3</v>
      </c>
      <c r="T1463" s="6">
        <f t="shared" si="6"/>
        <v>9</v>
      </c>
      <c r="U1463" s="6">
        <f t="shared" si="7"/>
        <v>3</v>
      </c>
      <c r="V1463" s="42">
        <f>averageif(AllData!A:A,B1463,AllData!R:R)/vlookup(B1463,AllData!A:O,15,0)</f>
        <v>99.39987179</v>
      </c>
      <c r="W1463" s="6"/>
    </row>
    <row r="1464" ht="14.25" customHeight="1">
      <c r="A1464" s="6" t="str">
        <f t="shared" si="1"/>
        <v>2018KnardDawg3</v>
      </c>
      <c r="B1464" s="59">
        <v>2018.0</v>
      </c>
      <c r="C1464" s="13" t="s">
        <v>86</v>
      </c>
      <c r="D1464" s="13" t="s">
        <v>135</v>
      </c>
      <c r="E1464" s="34"/>
      <c r="F1464" s="6"/>
      <c r="H1464" s="6"/>
      <c r="I1464" s="35" t="str">
        <f>IFERROR(IFERROR(IFERROR(VLOOKUP(B1464&amp;C1464&amp;Q1464,'New Weekly Paste'!A:M,10,0),VLOOKUP(B1464&amp;C1464&amp;Q1464,'New Weekly Paste'!B:O,6,0)),""),"")</f>
        <v>Rooney/Jackson</v>
      </c>
      <c r="J1464" s="239">
        <f>IFERROR(IFERROR(VLOOKUP(B1464&amp;C1464&amp;Q1464,'New Weekly Paste'!A:M,8,0),VLOOKUP(B1464&amp;C1464&amp;Q1464,'New Weekly Paste'!B:O,10,0)),0)</f>
        <v>132.44</v>
      </c>
      <c r="K1464" s="239">
        <f>IFERROR(IFERROR(VLOOKUP(B1464&amp;I1464&amp;Q1464,'New Weekly Paste'!A:M,8,0),VLOOKUP(B1464&amp;I1464&amp;Q1464,'New Weekly Paste'!B:O,10,0)),0)</f>
        <v>91.76</v>
      </c>
      <c r="L1464" s="239">
        <f t="shared" si="25"/>
        <v>1</v>
      </c>
      <c r="M1464" s="36" t="str">
        <f t="shared" si="3"/>
        <v>Regular Season</v>
      </c>
      <c r="N1464" s="239" t="str">
        <f t="shared" si="26"/>
        <v>Rooney/Jackson</v>
      </c>
      <c r="O1464" s="6">
        <f>VLOOKUP(D1464,'Mapped Opponent'!$G$4:$H$22,2,0)</f>
        <v>3</v>
      </c>
      <c r="P1464" s="6"/>
      <c r="Q1464" s="6" t="str">
        <f t="shared" si="4"/>
        <v>Week 3</v>
      </c>
      <c r="R1464" s="6" t="str">
        <f t="shared" si="5"/>
        <v>2018Week 3</v>
      </c>
      <c r="S1464" s="6">
        <f>IFERROR(__xludf.DUMMYFUNCTION("rank(J1464,FILTER(J:J,R:R=R1464))"),1.0)</f>
        <v>1</v>
      </c>
      <c r="T1464" s="6">
        <f t="shared" si="6"/>
        <v>11</v>
      </c>
      <c r="U1464" s="6">
        <f t="shared" si="7"/>
        <v>1</v>
      </c>
      <c r="V1464" s="42">
        <f>averageif(AllData!A:A,B1464,AllData!R:R)/vlookup(B1464,AllData!A:O,15,0)</f>
        <v>99.39987179</v>
      </c>
      <c r="W1464" s="6"/>
    </row>
    <row r="1465" ht="14.25" customHeight="1">
      <c r="A1465" s="6" t="str">
        <f t="shared" si="1"/>
        <v>2018T-How3</v>
      </c>
      <c r="B1465" s="59">
        <v>2018.0</v>
      </c>
      <c r="C1465" s="13" t="s">
        <v>82</v>
      </c>
      <c r="D1465" s="13" t="s">
        <v>135</v>
      </c>
      <c r="E1465" s="34"/>
      <c r="F1465" s="6"/>
      <c r="H1465" s="6"/>
      <c r="I1465" s="35" t="str">
        <f>IFERROR(IFERROR(IFERROR(VLOOKUP(B1465&amp;C1465&amp;Q1465,'New Weekly Paste'!A:M,10,0),VLOOKUP(B1465&amp;C1465&amp;Q1465,'New Weekly Paste'!B:O,6,0)),""),"")</f>
        <v>Cock</v>
      </c>
      <c r="J1465" s="239">
        <f>IFERROR(IFERROR(VLOOKUP(B1465&amp;C1465&amp;Q1465,'New Weekly Paste'!A:M,8,0),VLOOKUP(B1465&amp;C1465&amp;Q1465,'New Weekly Paste'!B:O,10,0)),0)</f>
        <v>69.72</v>
      </c>
      <c r="K1465" s="239">
        <f>IFERROR(IFERROR(VLOOKUP(B1465&amp;I1465&amp;Q1465,'New Weekly Paste'!A:M,8,0),VLOOKUP(B1465&amp;I1465&amp;Q1465,'New Weekly Paste'!B:O,10,0)),0)</f>
        <v>64.94</v>
      </c>
      <c r="L1465" s="239">
        <f t="shared" si="25"/>
        <v>1</v>
      </c>
      <c r="M1465" s="36" t="str">
        <f t="shared" si="3"/>
        <v>Regular Season</v>
      </c>
      <c r="N1465" s="239" t="str">
        <f t="shared" si="26"/>
        <v>Cock</v>
      </c>
      <c r="O1465" s="6">
        <f>VLOOKUP(D1465,'Mapped Opponent'!$G$4:$H$22,2,0)</f>
        <v>3</v>
      </c>
      <c r="P1465" s="6"/>
      <c r="Q1465" s="6" t="str">
        <f t="shared" si="4"/>
        <v>Week 3</v>
      </c>
      <c r="R1465" s="6" t="str">
        <f t="shared" si="5"/>
        <v>2018Week 3</v>
      </c>
      <c r="S1465" s="6">
        <f>IFERROR(__xludf.DUMMYFUNCTION("rank(J1465,FILTER(J:J,R:R=R1465))"),10.0)</f>
        <v>10</v>
      </c>
      <c r="T1465" s="6">
        <f t="shared" si="6"/>
        <v>2</v>
      </c>
      <c r="U1465" s="6">
        <f t="shared" si="7"/>
        <v>10</v>
      </c>
      <c r="V1465" s="42">
        <f>averageif(AllData!A:A,B1465,AllData!R:R)/vlookup(B1465,AllData!A:O,15,0)</f>
        <v>99.39987179</v>
      </c>
      <c r="W1465" s="6"/>
    </row>
    <row r="1466" ht="14.25" customHeight="1">
      <c r="A1466" s="6" t="str">
        <f t="shared" si="1"/>
        <v>2018Hudspeath4</v>
      </c>
      <c r="B1466" s="59">
        <v>2018.0</v>
      </c>
      <c r="C1466" s="13" t="s">
        <v>39</v>
      </c>
      <c r="D1466" s="13" t="s">
        <v>138</v>
      </c>
      <c r="E1466" s="34"/>
      <c r="F1466" s="6"/>
      <c r="H1466" s="6"/>
      <c r="I1466" s="35" t="str">
        <f>IFERROR(IFERROR(IFERROR(VLOOKUP(B1466&amp;C1466&amp;Q1466,'New Weekly Paste'!A:M,10,0),VLOOKUP(B1466&amp;C1466&amp;Q1466,'New Weekly Paste'!B:O,6,0)),""),"")</f>
        <v>T-How</v>
      </c>
      <c r="J1466" s="239">
        <f>IFERROR(IFERROR(VLOOKUP(B1466&amp;C1466&amp;Q1466,'New Weekly Paste'!A:M,8,0),VLOOKUP(B1466&amp;C1466&amp;Q1466,'New Weekly Paste'!B:O,10,0)),0)</f>
        <v>84.16</v>
      </c>
      <c r="K1466" s="239">
        <f>IFERROR(IFERROR(VLOOKUP(B1466&amp;I1466&amp;Q1466,'New Weekly Paste'!A:M,8,0),VLOOKUP(B1466&amp;I1466&amp;Q1466,'New Weekly Paste'!B:O,10,0)),0)</f>
        <v>141.36</v>
      </c>
      <c r="L1466" s="239">
        <f t="shared" si="25"/>
        <v>0</v>
      </c>
      <c r="M1466" s="36" t="str">
        <f t="shared" si="3"/>
        <v>Regular Season</v>
      </c>
      <c r="N1466" s="239" t="str">
        <f t="shared" si="26"/>
        <v>T-How</v>
      </c>
      <c r="O1466" s="6">
        <f>VLOOKUP(D1466,'Mapped Opponent'!$G$4:$H$22,2,0)</f>
        <v>4</v>
      </c>
      <c r="P1466" s="6"/>
      <c r="Q1466" s="6" t="str">
        <f t="shared" si="4"/>
        <v>Week 4</v>
      </c>
      <c r="R1466" s="6" t="str">
        <f t="shared" si="5"/>
        <v>2018Week 4</v>
      </c>
      <c r="S1466" s="6">
        <f>IFERROR(__xludf.DUMMYFUNCTION("rank(J1466,FILTER(J:J,R:R=R1466))"),12.0)</f>
        <v>12</v>
      </c>
      <c r="T1466" s="6">
        <f t="shared" si="6"/>
        <v>0</v>
      </c>
      <c r="U1466" s="6">
        <f t="shared" si="7"/>
        <v>12</v>
      </c>
      <c r="V1466" s="42">
        <f>averageif(AllData!A:A,B1466,AllData!R:R)/vlookup(B1466,AllData!A:O,15,0)</f>
        <v>99.39987179</v>
      </c>
      <c r="W1466" s="6"/>
    </row>
    <row r="1467" ht="14.25" customHeight="1">
      <c r="A1467" s="6" t="str">
        <f t="shared" si="1"/>
        <v>2018Salty4</v>
      </c>
      <c r="B1467" s="59">
        <v>2018.0</v>
      </c>
      <c r="C1467" s="13" t="s">
        <v>76</v>
      </c>
      <c r="D1467" s="13" t="s">
        <v>138</v>
      </c>
      <c r="E1467" s="34"/>
      <c r="F1467" s="6"/>
      <c r="H1467" s="6"/>
      <c r="I1467" s="35" t="str">
        <f>IFERROR(IFERROR(IFERROR(VLOOKUP(B1467&amp;C1467&amp;Q1467,'New Weekly Paste'!A:M,10,0),VLOOKUP(B1467&amp;C1467&amp;Q1467,'New Weekly Paste'!B:O,6,0)),""),"")</f>
        <v>Fellows</v>
      </c>
      <c r="J1467" s="239">
        <f>IFERROR(IFERROR(VLOOKUP(B1467&amp;C1467&amp;Q1467,'New Weekly Paste'!A:M,8,0),VLOOKUP(B1467&amp;C1467&amp;Q1467,'New Weekly Paste'!B:O,10,0)),0)</f>
        <v>96.42</v>
      </c>
      <c r="K1467" s="239">
        <f>IFERROR(IFERROR(VLOOKUP(B1467&amp;I1467&amp;Q1467,'New Weekly Paste'!A:M,8,0),VLOOKUP(B1467&amp;I1467&amp;Q1467,'New Weekly Paste'!B:O,10,0)),0)</f>
        <v>92.9</v>
      </c>
      <c r="L1467" s="239">
        <f t="shared" si="25"/>
        <v>1</v>
      </c>
      <c r="M1467" s="36" t="str">
        <f t="shared" si="3"/>
        <v>Regular Season</v>
      </c>
      <c r="N1467" s="239" t="str">
        <f t="shared" si="26"/>
        <v>Fellows</v>
      </c>
      <c r="O1467" s="6">
        <f>VLOOKUP(D1467,'Mapped Opponent'!$G$4:$H$22,2,0)</f>
        <v>4</v>
      </c>
      <c r="P1467" s="6"/>
      <c r="Q1467" s="6" t="str">
        <f t="shared" si="4"/>
        <v>Week 4</v>
      </c>
      <c r="R1467" s="6" t="str">
        <f t="shared" si="5"/>
        <v>2018Week 4</v>
      </c>
      <c r="S1467" s="6">
        <f>IFERROR(__xludf.DUMMYFUNCTION("rank(J1467,FILTER(J:J,R:R=R1467))"),9.0)</f>
        <v>9</v>
      </c>
      <c r="T1467" s="6">
        <f t="shared" si="6"/>
        <v>3</v>
      </c>
      <c r="U1467" s="6">
        <f t="shared" si="7"/>
        <v>9</v>
      </c>
      <c r="V1467" s="42">
        <f>averageif(AllData!A:A,B1467,AllData!R:R)/vlookup(B1467,AllData!A:O,15,0)</f>
        <v>99.39987179</v>
      </c>
      <c r="W1467" s="6"/>
    </row>
    <row r="1468" ht="14.25" customHeight="1">
      <c r="A1468" s="6" t="str">
        <f t="shared" si="1"/>
        <v>2018Fellows4</v>
      </c>
      <c r="B1468" s="59">
        <v>2018.0</v>
      </c>
      <c r="C1468" s="13" t="s">
        <v>79</v>
      </c>
      <c r="D1468" s="13" t="s">
        <v>138</v>
      </c>
      <c r="E1468" s="34"/>
      <c r="F1468" s="6"/>
      <c r="H1468" s="6"/>
      <c r="I1468" s="35" t="str">
        <f>IFERROR(IFERROR(IFERROR(VLOOKUP(B1468&amp;C1468&amp;Q1468,'New Weekly Paste'!A:M,10,0),VLOOKUP(B1468&amp;C1468&amp;Q1468,'New Weekly Paste'!B:O,6,0)),""),"")</f>
        <v>Salty</v>
      </c>
      <c r="J1468" s="239">
        <f>IFERROR(IFERROR(VLOOKUP(B1468&amp;C1468&amp;Q1468,'New Weekly Paste'!A:M,8,0),VLOOKUP(B1468&amp;C1468&amp;Q1468,'New Weekly Paste'!B:O,10,0)),0)</f>
        <v>92.9</v>
      </c>
      <c r="K1468" s="239">
        <f>IFERROR(IFERROR(VLOOKUP(B1468&amp;I1468&amp;Q1468,'New Weekly Paste'!A:M,8,0),VLOOKUP(B1468&amp;I1468&amp;Q1468,'New Weekly Paste'!B:O,10,0)),0)</f>
        <v>96.42</v>
      </c>
      <c r="L1468" s="239">
        <f t="shared" si="25"/>
        <v>0</v>
      </c>
      <c r="M1468" s="36" t="str">
        <f t="shared" si="3"/>
        <v>Regular Season</v>
      </c>
      <c r="N1468" s="239" t="str">
        <f t="shared" si="26"/>
        <v>Salty</v>
      </c>
      <c r="O1468" s="6">
        <f>VLOOKUP(D1468,'Mapped Opponent'!$G$4:$H$22,2,0)</f>
        <v>4</v>
      </c>
      <c r="P1468" s="6"/>
      <c r="Q1468" s="6" t="str">
        <f t="shared" si="4"/>
        <v>Week 4</v>
      </c>
      <c r="R1468" s="6" t="str">
        <f t="shared" si="5"/>
        <v>2018Week 4</v>
      </c>
      <c r="S1468" s="6">
        <f>IFERROR(__xludf.DUMMYFUNCTION("rank(J1468,FILTER(J:J,R:R=R1468))"),10.0)</f>
        <v>10</v>
      </c>
      <c r="T1468" s="6">
        <f t="shared" si="6"/>
        <v>2</v>
      </c>
      <c r="U1468" s="6">
        <f t="shared" si="7"/>
        <v>10</v>
      </c>
      <c r="V1468" s="42">
        <f>averageif(AllData!A:A,B1468,AllData!R:R)/vlookup(B1468,AllData!A:O,15,0)</f>
        <v>99.39987179</v>
      </c>
      <c r="W1468" s="6"/>
    </row>
    <row r="1469" ht="14.25" customHeight="1">
      <c r="A1469" s="6" t="str">
        <f t="shared" si="1"/>
        <v>2018Shep4</v>
      </c>
      <c r="B1469" s="59">
        <v>2018.0</v>
      </c>
      <c r="C1469" s="13" t="s">
        <v>89</v>
      </c>
      <c r="D1469" s="13" t="s">
        <v>138</v>
      </c>
      <c r="E1469" s="34"/>
      <c r="F1469" s="6"/>
      <c r="H1469" s="6"/>
      <c r="I1469" s="35" t="str">
        <f>IFERROR(IFERROR(IFERROR(VLOOKUP(B1469&amp;C1469&amp;Q1469,'New Weekly Paste'!A:M,10,0),VLOOKUP(B1469&amp;C1469&amp;Q1469,'New Weekly Paste'!B:O,6,0)),""),"")</f>
        <v>Cock</v>
      </c>
      <c r="J1469" s="239">
        <f>IFERROR(IFERROR(VLOOKUP(B1469&amp;C1469&amp;Q1469,'New Weekly Paste'!A:M,8,0),VLOOKUP(B1469&amp;C1469&amp;Q1469,'New Weekly Paste'!B:O,10,0)),0)</f>
        <v>121.56</v>
      </c>
      <c r="K1469" s="239">
        <f>IFERROR(IFERROR(VLOOKUP(B1469&amp;I1469&amp;Q1469,'New Weekly Paste'!A:M,8,0),VLOOKUP(B1469&amp;I1469&amp;Q1469,'New Weekly Paste'!B:O,10,0)),0)</f>
        <v>124.58</v>
      </c>
      <c r="L1469" s="239">
        <f t="shared" si="25"/>
        <v>0</v>
      </c>
      <c r="M1469" s="36" t="str">
        <f t="shared" si="3"/>
        <v>Regular Season</v>
      </c>
      <c r="N1469" s="239" t="str">
        <f t="shared" si="26"/>
        <v>Cock</v>
      </c>
      <c r="O1469" s="6">
        <f>VLOOKUP(D1469,'Mapped Opponent'!$G$4:$H$22,2,0)</f>
        <v>4</v>
      </c>
      <c r="P1469" s="6"/>
      <c r="Q1469" s="6" t="str">
        <f t="shared" si="4"/>
        <v>Week 4</v>
      </c>
      <c r="R1469" s="6" t="str">
        <f t="shared" si="5"/>
        <v>2018Week 4</v>
      </c>
      <c r="S1469" s="6">
        <f>IFERROR(__xludf.DUMMYFUNCTION("rank(J1469,FILTER(J:J,R:R=R1469))"),5.0)</f>
        <v>5</v>
      </c>
      <c r="T1469" s="6">
        <f t="shared" si="6"/>
        <v>7</v>
      </c>
      <c r="U1469" s="6">
        <f t="shared" si="7"/>
        <v>5</v>
      </c>
      <c r="V1469" s="42">
        <f>averageif(AllData!A:A,B1469,AllData!R:R)/vlookup(B1469,AllData!A:O,15,0)</f>
        <v>99.39987179</v>
      </c>
      <c r="W1469" s="6"/>
    </row>
    <row r="1470" ht="14.25" customHeight="1">
      <c r="A1470" s="6" t="str">
        <f t="shared" si="1"/>
        <v>2018Riley4</v>
      </c>
      <c r="B1470" s="59">
        <v>2018.0</v>
      </c>
      <c r="C1470" s="13" t="s">
        <v>67</v>
      </c>
      <c r="D1470" s="13" t="s">
        <v>138</v>
      </c>
      <c r="E1470" s="34"/>
      <c r="F1470" s="6"/>
      <c r="H1470" s="6"/>
      <c r="I1470" s="35" t="str">
        <f>IFERROR(IFERROR(IFERROR(VLOOKUP(B1470&amp;C1470&amp;Q1470,'New Weekly Paste'!A:M,10,0),VLOOKUP(B1470&amp;C1470&amp;Q1470,'New Weekly Paste'!B:O,6,0)),""),"")</f>
        <v>Pierson</v>
      </c>
      <c r="J1470" s="239">
        <f>IFERROR(IFERROR(VLOOKUP(B1470&amp;C1470&amp;Q1470,'New Weekly Paste'!A:M,8,0),VLOOKUP(B1470&amp;C1470&amp;Q1470,'New Weekly Paste'!B:O,10,0)),0)</f>
        <v>124.22</v>
      </c>
      <c r="K1470" s="239">
        <f>IFERROR(IFERROR(VLOOKUP(B1470&amp;I1470&amp;Q1470,'New Weekly Paste'!A:M,8,0),VLOOKUP(B1470&amp;I1470&amp;Q1470,'New Weekly Paste'!B:O,10,0)),0)</f>
        <v>126.1</v>
      </c>
      <c r="L1470" s="239">
        <f t="shared" si="25"/>
        <v>0</v>
      </c>
      <c r="M1470" s="36" t="str">
        <f t="shared" si="3"/>
        <v>Regular Season</v>
      </c>
      <c r="N1470" s="239" t="str">
        <f t="shared" si="26"/>
        <v>Pierson</v>
      </c>
      <c r="O1470" s="6">
        <f>VLOOKUP(D1470,'Mapped Opponent'!$G$4:$H$22,2,0)</f>
        <v>4</v>
      </c>
      <c r="P1470" s="6"/>
      <c r="Q1470" s="6" t="str">
        <f t="shared" si="4"/>
        <v>Week 4</v>
      </c>
      <c r="R1470" s="6" t="str">
        <f t="shared" si="5"/>
        <v>2018Week 4</v>
      </c>
      <c r="S1470" s="6">
        <f>IFERROR(__xludf.DUMMYFUNCTION("rank(J1470,FILTER(J:J,R:R=R1470))"),4.0)</f>
        <v>4</v>
      </c>
      <c r="T1470" s="6">
        <f t="shared" si="6"/>
        <v>8</v>
      </c>
      <c r="U1470" s="6">
        <f t="shared" si="7"/>
        <v>4</v>
      </c>
      <c r="V1470" s="42">
        <f>averageif(AllData!A:A,B1470,AllData!R:R)/vlookup(B1470,AllData!A:O,15,0)</f>
        <v>99.39987179</v>
      </c>
      <c r="W1470" s="6"/>
    </row>
    <row r="1471" ht="14.25" customHeight="1">
      <c r="A1471" s="6" t="str">
        <f t="shared" si="1"/>
        <v>2018Rooney/Jackson4</v>
      </c>
      <c r="B1471" s="59">
        <v>2018.0</v>
      </c>
      <c r="C1471" s="13" t="s">
        <v>57</v>
      </c>
      <c r="D1471" s="13" t="s">
        <v>138</v>
      </c>
      <c r="E1471" s="34"/>
      <c r="F1471" s="6"/>
      <c r="H1471" s="6"/>
      <c r="I1471" s="35" t="str">
        <f>IFERROR(IFERROR(IFERROR(VLOOKUP(B1471&amp;C1471&amp;Q1471,'New Weekly Paste'!A:M,10,0),VLOOKUP(B1471&amp;C1471&amp;Q1471,'New Weekly Paste'!B:O,6,0)),""),"")</f>
        <v>Tayski</v>
      </c>
      <c r="J1471" s="239">
        <f>IFERROR(IFERROR(VLOOKUP(B1471&amp;C1471&amp;Q1471,'New Weekly Paste'!A:M,8,0),VLOOKUP(B1471&amp;C1471&amp;Q1471,'New Weekly Paste'!B:O,10,0)),0)</f>
        <v>114.96</v>
      </c>
      <c r="K1471" s="239">
        <f>IFERROR(IFERROR(VLOOKUP(B1471&amp;I1471&amp;Q1471,'New Weekly Paste'!A:M,8,0),VLOOKUP(B1471&amp;I1471&amp;Q1471,'New Weekly Paste'!B:O,10,0)),0)</f>
        <v>109.78</v>
      </c>
      <c r="L1471" s="239">
        <f t="shared" si="25"/>
        <v>1</v>
      </c>
      <c r="M1471" s="36" t="str">
        <f t="shared" si="3"/>
        <v>Regular Season</v>
      </c>
      <c r="N1471" s="239" t="str">
        <f t="shared" si="26"/>
        <v>Tayski</v>
      </c>
      <c r="O1471" s="6">
        <f>VLOOKUP(D1471,'Mapped Opponent'!$G$4:$H$22,2,0)</f>
        <v>4</v>
      </c>
      <c r="P1471" s="6"/>
      <c r="Q1471" s="6" t="str">
        <f t="shared" si="4"/>
        <v>Week 4</v>
      </c>
      <c r="R1471" s="6" t="str">
        <f t="shared" si="5"/>
        <v>2018Week 4</v>
      </c>
      <c r="S1471" s="6">
        <f>IFERROR(__xludf.DUMMYFUNCTION("rank(J1471,FILTER(J:J,R:R=R1471))"),6.0)</f>
        <v>6</v>
      </c>
      <c r="T1471" s="6">
        <f t="shared" si="6"/>
        <v>6</v>
      </c>
      <c r="U1471" s="6">
        <f t="shared" si="7"/>
        <v>6</v>
      </c>
      <c r="V1471" s="42">
        <f>averageif(AllData!A:A,B1471,AllData!R:R)/vlookup(B1471,AllData!A:O,15,0)</f>
        <v>99.39987179</v>
      </c>
      <c r="W1471" s="6"/>
    </row>
    <row r="1472" ht="14.25" customHeight="1">
      <c r="A1472" s="6" t="str">
        <f t="shared" si="1"/>
        <v>2018Buser4</v>
      </c>
      <c r="B1472" s="59">
        <v>2018.0</v>
      </c>
      <c r="C1472" s="13" t="s">
        <v>47</v>
      </c>
      <c r="D1472" s="13" t="s">
        <v>138</v>
      </c>
      <c r="E1472" s="34"/>
      <c r="F1472" s="6"/>
      <c r="H1472" s="6"/>
      <c r="I1472" s="35" t="str">
        <f>IFERROR(IFERROR(IFERROR(VLOOKUP(B1472&amp;C1472&amp;Q1472,'New Weekly Paste'!A:M,10,0),VLOOKUP(B1472&amp;C1472&amp;Q1472,'New Weekly Paste'!B:O,6,0)),""),"")</f>
        <v>KnardDawg</v>
      </c>
      <c r="J1472" s="239">
        <f>IFERROR(IFERROR(VLOOKUP(B1472&amp;C1472&amp;Q1472,'New Weekly Paste'!A:M,8,0),VLOOKUP(B1472&amp;C1472&amp;Q1472,'New Weekly Paste'!B:O,10,0)),0)</f>
        <v>89.38</v>
      </c>
      <c r="K1472" s="239">
        <f>IFERROR(IFERROR(VLOOKUP(B1472&amp;I1472&amp;Q1472,'New Weekly Paste'!A:M,8,0),VLOOKUP(B1472&amp;I1472&amp;Q1472,'New Weekly Paste'!B:O,10,0)),0)</f>
        <v>100.28</v>
      </c>
      <c r="L1472" s="239">
        <f t="shared" si="25"/>
        <v>0</v>
      </c>
      <c r="M1472" s="36" t="str">
        <f t="shared" si="3"/>
        <v>Regular Season</v>
      </c>
      <c r="N1472" s="239" t="str">
        <f t="shared" si="26"/>
        <v>KnardDawg</v>
      </c>
      <c r="O1472" s="6">
        <f>VLOOKUP(D1472,'Mapped Opponent'!$G$4:$H$22,2,0)</f>
        <v>4</v>
      </c>
      <c r="P1472" s="6"/>
      <c r="Q1472" s="6" t="str">
        <f t="shared" si="4"/>
        <v>Week 4</v>
      </c>
      <c r="R1472" s="6" t="str">
        <f t="shared" si="5"/>
        <v>2018Week 4</v>
      </c>
      <c r="S1472" s="6">
        <f>IFERROR(__xludf.DUMMYFUNCTION("rank(J1472,FILTER(J:J,R:R=R1472))"),11.0)</f>
        <v>11</v>
      </c>
      <c r="T1472" s="6">
        <f t="shared" si="6"/>
        <v>1</v>
      </c>
      <c r="U1472" s="6">
        <f t="shared" si="7"/>
        <v>11</v>
      </c>
      <c r="V1472" s="42">
        <f>averageif(AllData!A:A,B1472,AllData!R:R)/vlookup(B1472,AllData!A:O,15,0)</f>
        <v>99.39987179</v>
      </c>
      <c r="W1472" s="6"/>
    </row>
    <row r="1473" ht="14.25" customHeight="1">
      <c r="A1473" s="6" t="str">
        <f t="shared" si="1"/>
        <v>2018Pierson4</v>
      </c>
      <c r="B1473" s="59">
        <v>2018.0</v>
      </c>
      <c r="C1473" s="13" t="s">
        <v>92</v>
      </c>
      <c r="D1473" s="13" t="s">
        <v>138</v>
      </c>
      <c r="E1473" s="34"/>
      <c r="F1473" s="6"/>
      <c r="H1473" s="6"/>
      <c r="I1473" s="35" t="str">
        <f>IFERROR(IFERROR(IFERROR(VLOOKUP(B1473&amp;C1473&amp;Q1473,'New Weekly Paste'!A:M,10,0),VLOOKUP(B1473&amp;C1473&amp;Q1473,'New Weekly Paste'!B:O,6,0)),""),"")</f>
        <v>Riley</v>
      </c>
      <c r="J1473" s="239">
        <f>IFERROR(IFERROR(VLOOKUP(B1473&amp;C1473&amp;Q1473,'New Weekly Paste'!A:M,8,0),VLOOKUP(B1473&amp;C1473&amp;Q1473,'New Weekly Paste'!B:O,10,0)),0)</f>
        <v>126.1</v>
      </c>
      <c r="K1473" s="239">
        <f>IFERROR(IFERROR(VLOOKUP(B1473&amp;I1473&amp;Q1473,'New Weekly Paste'!A:M,8,0),VLOOKUP(B1473&amp;I1473&amp;Q1473,'New Weekly Paste'!B:O,10,0)),0)</f>
        <v>124.22</v>
      </c>
      <c r="L1473" s="239">
        <f t="shared" si="25"/>
        <v>1</v>
      </c>
      <c r="M1473" s="36" t="str">
        <f t="shared" si="3"/>
        <v>Regular Season</v>
      </c>
      <c r="N1473" s="239" t="str">
        <f t="shared" si="26"/>
        <v>Riley</v>
      </c>
      <c r="O1473" s="6">
        <f>VLOOKUP(D1473,'Mapped Opponent'!$G$4:$H$22,2,0)</f>
        <v>4</v>
      </c>
      <c r="P1473" s="6"/>
      <c r="Q1473" s="6" t="str">
        <f t="shared" si="4"/>
        <v>Week 4</v>
      </c>
      <c r="R1473" s="6" t="str">
        <f t="shared" si="5"/>
        <v>2018Week 4</v>
      </c>
      <c r="S1473" s="6">
        <f>IFERROR(__xludf.DUMMYFUNCTION("rank(J1473,FILTER(J:J,R:R=R1473))"),2.0)</f>
        <v>2</v>
      </c>
      <c r="T1473" s="6">
        <f t="shared" si="6"/>
        <v>10</v>
      </c>
      <c r="U1473" s="6">
        <f t="shared" si="7"/>
        <v>2</v>
      </c>
      <c r="V1473" s="42">
        <f>averageif(AllData!A:A,B1473,AllData!R:R)/vlookup(B1473,AllData!A:O,15,0)</f>
        <v>99.39987179</v>
      </c>
      <c r="W1473" s="6"/>
    </row>
    <row r="1474" ht="14.25" customHeight="1">
      <c r="A1474" s="6" t="str">
        <f t="shared" si="1"/>
        <v>2018Cock4</v>
      </c>
      <c r="B1474" s="59">
        <v>2018.0</v>
      </c>
      <c r="C1474" s="13" t="s">
        <v>72</v>
      </c>
      <c r="D1474" s="13" t="s">
        <v>138</v>
      </c>
      <c r="E1474" s="34"/>
      <c r="F1474" s="6"/>
      <c r="H1474" s="6"/>
      <c r="I1474" s="35" t="str">
        <f>IFERROR(IFERROR(IFERROR(VLOOKUP(B1474&amp;C1474&amp;Q1474,'New Weekly Paste'!A:M,10,0),VLOOKUP(B1474&amp;C1474&amp;Q1474,'New Weekly Paste'!B:O,6,0)),""),"")</f>
        <v>Shep</v>
      </c>
      <c r="J1474" s="239">
        <f>IFERROR(IFERROR(VLOOKUP(B1474&amp;C1474&amp;Q1474,'New Weekly Paste'!A:M,8,0),VLOOKUP(B1474&amp;C1474&amp;Q1474,'New Weekly Paste'!B:O,10,0)),0)</f>
        <v>124.58</v>
      </c>
      <c r="K1474" s="239">
        <f>IFERROR(IFERROR(VLOOKUP(B1474&amp;I1474&amp;Q1474,'New Weekly Paste'!A:M,8,0),VLOOKUP(B1474&amp;I1474&amp;Q1474,'New Weekly Paste'!B:O,10,0)),0)</f>
        <v>121.56</v>
      </c>
      <c r="L1474" s="239">
        <f t="shared" si="25"/>
        <v>1</v>
      </c>
      <c r="M1474" s="36" t="str">
        <f t="shared" si="3"/>
        <v>Regular Season</v>
      </c>
      <c r="N1474" s="239" t="str">
        <f t="shared" si="26"/>
        <v>Shep</v>
      </c>
      <c r="O1474" s="6">
        <f>VLOOKUP(D1474,'Mapped Opponent'!$G$4:$H$22,2,0)</f>
        <v>4</v>
      </c>
      <c r="P1474" s="6"/>
      <c r="Q1474" s="6" t="str">
        <f t="shared" si="4"/>
        <v>Week 4</v>
      </c>
      <c r="R1474" s="6" t="str">
        <f t="shared" si="5"/>
        <v>2018Week 4</v>
      </c>
      <c r="S1474" s="6">
        <f>IFERROR(__xludf.DUMMYFUNCTION("rank(J1474,FILTER(J:J,R:R=R1474))"),3.0)</f>
        <v>3</v>
      </c>
      <c r="T1474" s="6">
        <f t="shared" si="6"/>
        <v>9</v>
      </c>
      <c r="U1474" s="6">
        <f t="shared" si="7"/>
        <v>3</v>
      </c>
      <c r="V1474" s="42">
        <f>averageif(AllData!A:A,B1474,AllData!R:R)/vlookup(B1474,AllData!A:O,15,0)</f>
        <v>99.39987179</v>
      </c>
      <c r="W1474" s="6"/>
    </row>
    <row r="1475" ht="14.25" customHeight="1">
      <c r="A1475" s="6" t="str">
        <f t="shared" si="1"/>
        <v>2018Tayski4</v>
      </c>
      <c r="B1475" s="59">
        <v>2018.0</v>
      </c>
      <c r="C1475" s="13" t="s">
        <v>52</v>
      </c>
      <c r="D1475" s="13" t="s">
        <v>138</v>
      </c>
      <c r="E1475" s="34"/>
      <c r="F1475" s="6"/>
      <c r="H1475" s="6"/>
      <c r="I1475" s="35" t="str">
        <f>IFERROR(IFERROR(IFERROR(VLOOKUP(B1475&amp;C1475&amp;Q1475,'New Weekly Paste'!A:M,10,0),VLOOKUP(B1475&amp;C1475&amp;Q1475,'New Weekly Paste'!B:O,6,0)),""),"")</f>
        <v>Rooney/Jackson</v>
      </c>
      <c r="J1475" s="239">
        <f>IFERROR(IFERROR(VLOOKUP(B1475&amp;C1475&amp;Q1475,'New Weekly Paste'!A:M,8,0),VLOOKUP(B1475&amp;C1475&amp;Q1475,'New Weekly Paste'!B:O,10,0)),0)</f>
        <v>109.78</v>
      </c>
      <c r="K1475" s="239">
        <f>IFERROR(IFERROR(VLOOKUP(B1475&amp;I1475&amp;Q1475,'New Weekly Paste'!A:M,8,0),VLOOKUP(B1475&amp;I1475&amp;Q1475,'New Weekly Paste'!B:O,10,0)),0)</f>
        <v>114.96</v>
      </c>
      <c r="L1475" s="239">
        <f t="shared" si="25"/>
        <v>0</v>
      </c>
      <c r="M1475" s="36" t="str">
        <f t="shared" si="3"/>
        <v>Regular Season</v>
      </c>
      <c r="N1475" s="239" t="str">
        <f t="shared" si="26"/>
        <v>Rooney/Jackson</v>
      </c>
      <c r="O1475" s="6">
        <f>VLOOKUP(D1475,'Mapped Opponent'!$G$4:$H$22,2,0)</f>
        <v>4</v>
      </c>
      <c r="P1475" s="6"/>
      <c r="Q1475" s="6" t="str">
        <f t="shared" si="4"/>
        <v>Week 4</v>
      </c>
      <c r="R1475" s="6" t="str">
        <f t="shared" si="5"/>
        <v>2018Week 4</v>
      </c>
      <c r="S1475" s="6">
        <f>IFERROR(__xludf.DUMMYFUNCTION("rank(J1475,FILTER(J:J,R:R=R1475))"),7.0)</f>
        <v>7</v>
      </c>
      <c r="T1475" s="6">
        <f t="shared" si="6"/>
        <v>5</v>
      </c>
      <c r="U1475" s="6">
        <f t="shared" si="7"/>
        <v>7</v>
      </c>
      <c r="V1475" s="42">
        <f>averageif(AllData!A:A,B1475,AllData!R:R)/vlookup(B1475,AllData!A:O,15,0)</f>
        <v>99.39987179</v>
      </c>
      <c r="W1475" s="6"/>
    </row>
    <row r="1476" ht="14.25" customHeight="1">
      <c r="A1476" s="6" t="str">
        <f t="shared" si="1"/>
        <v>2018KnardDawg4</v>
      </c>
      <c r="B1476" s="59">
        <v>2018.0</v>
      </c>
      <c r="C1476" s="13" t="s">
        <v>86</v>
      </c>
      <c r="D1476" s="13" t="s">
        <v>138</v>
      </c>
      <c r="E1476" s="34"/>
      <c r="F1476" s="6"/>
      <c r="H1476" s="6"/>
      <c r="I1476" s="35" t="str">
        <f>IFERROR(IFERROR(IFERROR(VLOOKUP(B1476&amp;C1476&amp;Q1476,'New Weekly Paste'!A:M,10,0),VLOOKUP(B1476&amp;C1476&amp;Q1476,'New Weekly Paste'!B:O,6,0)),""),"")</f>
        <v>Buser</v>
      </c>
      <c r="J1476" s="239">
        <f>IFERROR(IFERROR(VLOOKUP(B1476&amp;C1476&amp;Q1476,'New Weekly Paste'!A:M,8,0),VLOOKUP(B1476&amp;C1476&amp;Q1476,'New Weekly Paste'!B:O,10,0)),0)</f>
        <v>100.28</v>
      </c>
      <c r="K1476" s="239">
        <f>IFERROR(IFERROR(VLOOKUP(B1476&amp;I1476&amp;Q1476,'New Weekly Paste'!A:M,8,0),VLOOKUP(B1476&amp;I1476&amp;Q1476,'New Weekly Paste'!B:O,10,0)),0)</f>
        <v>89.38</v>
      </c>
      <c r="L1476" s="239">
        <f t="shared" si="25"/>
        <v>1</v>
      </c>
      <c r="M1476" s="36" t="str">
        <f t="shared" si="3"/>
        <v>Regular Season</v>
      </c>
      <c r="N1476" s="239" t="str">
        <f t="shared" si="26"/>
        <v>Buser</v>
      </c>
      <c r="O1476" s="6">
        <f>VLOOKUP(D1476,'Mapped Opponent'!$G$4:$H$22,2,0)</f>
        <v>4</v>
      </c>
      <c r="P1476" s="6"/>
      <c r="Q1476" s="6" t="str">
        <f t="shared" si="4"/>
        <v>Week 4</v>
      </c>
      <c r="R1476" s="6" t="str">
        <f t="shared" si="5"/>
        <v>2018Week 4</v>
      </c>
      <c r="S1476" s="6">
        <f>IFERROR(__xludf.DUMMYFUNCTION("rank(J1476,FILTER(J:J,R:R=R1476))"),8.0)</f>
        <v>8</v>
      </c>
      <c r="T1476" s="6">
        <f t="shared" si="6"/>
        <v>4</v>
      </c>
      <c r="U1476" s="6">
        <f t="shared" si="7"/>
        <v>8</v>
      </c>
      <c r="V1476" s="42">
        <f>averageif(AllData!A:A,B1476,AllData!R:R)/vlookup(B1476,AllData!A:O,15,0)</f>
        <v>99.39987179</v>
      </c>
      <c r="W1476" s="6"/>
    </row>
    <row r="1477" ht="14.25" customHeight="1">
      <c r="A1477" s="6" t="str">
        <f t="shared" si="1"/>
        <v>2018T-How4</v>
      </c>
      <c r="B1477" s="59">
        <v>2018.0</v>
      </c>
      <c r="C1477" s="13" t="s">
        <v>82</v>
      </c>
      <c r="D1477" s="13" t="s">
        <v>138</v>
      </c>
      <c r="E1477" s="34"/>
      <c r="F1477" s="6"/>
      <c r="H1477" s="6"/>
      <c r="I1477" s="35" t="str">
        <f>IFERROR(IFERROR(IFERROR(VLOOKUP(B1477&amp;C1477&amp;Q1477,'New Weekly Paste'!A:M,10,0),VLOOKUP(B1477&amp;C1477&amp;Q1477,'New Weekly Paste'!B:O,6,0)),""),"")</f>
        <v>Hudspeath</v>
      </c>
      <c r="J1477" s="239">
        <f>IFERROR(IFERROR(VLOOKUP(B1477&amp;C1477&amp;Q1477,'New Weekly Paste'!A:M,8,0),VLOOKUP(B1477&amp;C1477&amp;Q1477,'New Weekly Paste'!B:O,10,0)),0)</f>
        <v>141.36</v>
      </c>
      <c r="K1477" s="239">
        <f>IFERROR(IFERROR(VLOOKUP(B1477&amp;I1477&amp;Q1477,'New Weekly Paste'!A:M,8,0),VLOOKUP(B1477&amp;I1477&amp;Q1477,'New Weekly Paste'!B:O,10,0)),0)</f>
        <v>84.16</v>
      </c>
      <c r="L1477" s="239">
        <f t="shared" si="25"/>
        <v>1</v>
      </c>
      <c r="M1477" s="36" t="str">
        <f t="shared" si="3"/>
        <v>Regular Season</v>
      </c>
      <c r="N1477" s="239" t="str">
        <f t="shared" si="26"/>
        <v>Hudspeath</v>
      </c>
      <c r="O1477" s="6">
        <f>VLOOKUP(D1477,'Mapped Opponent'!$G$4:$H$22,2,0)</f>
        <v>4</v>
      </c>
      <c r="P1477" s="6"/>
      <c r="Q1477" s="6" t="str">
        <f t="shared" si="4"/>
        <v>Week 4</v>
      </c>
      <c r="R1477" s="6" t="str">
        <f t="shared" si="5"/>
        <v>2018Week 4</v>
      </c>
      <c r="S1477" s="6">
        <f>IFERROR(__xludf.DUMMYFUNCTION("rank(J1477,FILTER(J:J,R:R=R1477))"),1.0)</f>
        <v>1</v>
      </c>
      <c r="T1477" s="6">
        <f t="shared" si="6"/>
        <v>11</v>
      </c>
      <c r="U1477" s="6">
        <f t="shared" si="7"/>
        <v>1</v>
      </c>
      <c r="V1477" s="42">
        <f>averageif(AllData!A:A,B1477,AllData!R:R)/vlookup(B1477,AllData!A:O,15,0)</f>
        <v>99.39987179</v>
      </c>
      <c r="W1477" s="6"/>
    </row>
    <row r="1478" ht="14.25" customHeight="1">
      <c r="A1478" s="6" t="str">
        <f t="shared" si="1"/>
        <v>2018Hudspeath5</v>
      </c>
      <c r="B1478" s="59">
        <v>2018.0</v>
      </c>
      <c r="C1478" s="13" t="s">
        <v>39</v>
      </c>
      <c r="D1478" s="13" t="s">
        <v>141</v>
      </c>
      <c r="E1478" s="34"/>
      <c r="F1478" s="6"/>
      <c r="H1478" s="6"/>
      <c r="I1478" s="35" t="str">
        <f>IFERROR(IFERROR(IFERROR(VLOOKUP(B1478&amp;C1478&amp;Q1478,'New Weekly Paste'!A:M,10,0),VLOOKUP(B1478&amp;C1478&amp;Q1478,'New Weekly Paste'!B:O,6,0)),""),"")</f>
        <v>Shep</v>
      </c>
      <c r="J1478" s="239">
        <f>IFERROR(IFERROR(VLOOKUP(B1478&amp;C1478&amp;Q1478,'New Weekly Paste'!A:M,8,0),VLOOKUP(B1478&amp;C1478&amp;Q1478,'New Weekly Paste'!B:O,10,0)),0)</f>
        <v>93.78</v>
      </c>
      <c r="K1478" s="239">
        <f>IFERROR(IFERROR(VLOOKUP(B1478&amp;I1478&amp;Q1478,'New Weekly Paste'!A:M,8,0),VLOOKUP(B1478&amp;I1478&amp;Q1478,'New Weekly Paste'!B:O,10,0)),0)</f>
        <v>153.28</v>
      </c>
      <c r="L1478" s="239">
        <f t="shared" si="25"/>
        <v>0</v>
      </c>
      <c r="M1478" s="36" t="str">
        <f t="shared" si="3"/>
        <v>Regular Season</v>
      </c>
      <c r="N1478" s="239" t="str">
        <f t="shared" si="26"/>
        <v>Shep</v>
      </c>
      <c r="O1478" s="6">
        <f>VLOOKUP(D1478,'Mapped Opponent'!$G$4:$H$22,2,0)</f>
        <v>5</v>
      </c>
      <c r="P1478" s="6"/>
      <c r="Q1478" s="6" t="str">
        <f t="shared" si="4"/>
        <v>Week 5</v>
      </c>
      <c r="R1478" s="6" t="str">
        <f t="shared" si="5"/>
        <v>2018Week 5</v>
      </c>
      <c r="S1478" s="6">
        <f>IFERROR(__xludf.DUMMYFUNCTION("rank(J1478,FILTER(J:J,R:R=R1478))"),6.0)</f>
        <v>6</v>
      </c>
      <c r="T1478" s="6">
        <f t="shared" si="6"/>
        <v>6</v>
      </c>
      <c r="U1478" s="6">
        <f t="shared" si="7"/>
        <v>6</v>
      </c>
      <c r="V1478" s="42">
        <f>averageif(AllData!A:A,B1478,AllData!R:R)/vlookup(B1478,AllData!A:O,15,0)</f>
        <v>99.39987179</v>
      </c>
      <c r="W1478" s="6"/>
    </row>
    <row r="1479" ht="14.25" customHeight="1">
      <c r="A1479" s="6" t="str">
        <f t="shared" si="1"/>
        <v>2018Salty5</v>
      </c>
      <c r="B1479" s="59">
        <v>2018.0</v>
      </c>
      <c r="C1479" s="13" t="s">
        <v>76</v>
      </c>
      <c r="D1479" s="13" t="s">
        <v>141</v>
      </c>
      <c r="E1479" s="34"/>
      <c r="F1479" s="6"/>
      <c r="H1479" s="6"/>
      <c r="I1479" s="35" t="str">
        <f>IFERROR(IFERROR(IFERROR(VLOOKUP(B1479&amp;C1479&amp;Q1479,'New Weekly Paste'!A:M,10,0),VLOOKUP(B1479&amp;C1479&amp;Q1479,'New Weekly Paste'!B:O,6,0)),""),"")</f>
        <v>Rooney/Jackson</v>
      </c>
      <c r="J1479" s="239">
        <f>IFERROR(IFERROR(VLOOKUP(B1479&amp;C1479&amp;Q1479,'New Weekly Paste'!A:M,8,0),VLOOKUP(B1479&amp;C1479&amp;Q1479,'New Weekly Paste'!B:O,10,0)),0)</f>
        <v>124.44</v>
      </c>
      <c r="K1479" s="239">
        <f>IFERROR(IFERROR(VLOOKUP(B1479&amp;I1479&amp;Q1479,'New Weekly Paste'!A:M,8,0),VLOOKUP(B1479&amp;I1479&amp;Q1479,'New Weekly Paste'!B:O,10,0)),0)</f>
        <v>90</v>
      </c>
      <c r="L1479" s="239">
        <f t="shared" si="25"/>
        <v>1</v>
      </c>
      <c r="M1479" s="36" t="str">
        <f t="shared" si="3"/>
        <v>Regular Season</v>
      </c>
      <c r="N1479" s="239" t="str">
        <f t="shared" si="26"/>
        <v>Rooney/Jackson</v>
      </c>
      <c r="O1479" s="6">
        <f>VLOOKUP(D1479,'Mapped Opponent'!$G$4:$H$22,2,0)</f>
        <v>5</v>
      </c>
      <c r="P1479" s="6"/>
      <c r="Q1479" s="6" t="str">
        <f t="shared" si="4"/>
        <v>Week 5</v>
      </c>
      <c r="R1479" s="6" t="str">
        <f t="shared" si="5"/>
        <v>2018Week 5</v>
      </c>
      <c r="S1479" s="6">
        <f>IFERROR(__xludf.DUMMYFUNCTION("rank(J1479,FILTER(J:J,R:R=R1479))"),2.0)</f>
        <v>2</v>
      </c>
      <c r="T1479" s="6">
        <f t="shared" si="6"/>
        <v>10</v>
      </c>
      <c r="U1479" s="6">
        <f t="shared" si="7"/>
        <v>2</v>
      </c>
      <c r="V1479" s="42">
        <f>averageif(AllData!A:A,B1479,AllData!R:R)/vlookup(B1479,AllData!A:O,15,0)</f>
        <v>99.39987179</v>
      </c>
      <c r="W1479" s="6"/>
    </row>
    <row r="1480" ht="14.25" customHeight="1">
      <c r="A1480" s="6" t="str">
        <f t="shared" si="1"/>
        <v>2018Fellows5</v>
      </c>
      <c r="B1480" s="59">
        <v>2018.0</v>
      </c>
      <c r="C1480" s="13" t="s">
        <v>79</v>
      </c>
      <c r="D1480" s="13" t="s">
        <v>141</v>
      </c>
      <c r="E1480" s="34"/>
      <c r="F1480" s="6"/>
      <c r="H1480" s="6"/>
      <c r="I1480" s="35" t="str">
        <f>IFERROR(IFERROR(IFERROR(VLOOKUP(B1480&amp;C1480&amp;Q1480,'New Weekly Paste'!A:M,10,0),VLOOKUP(B1480&amp;C1480&amp;Q1480,'New Weekly Paste'!B:O,6,0)),""),"")</f>
        <v>Riley</v>
      </c>
      <c r="J1480" s="239">
        <f>IFERROR(IFERROR(VLOOKUP(B1480&amp;C1480&amp;Q1480,'New Weekly Paste'!A:M,8,0),VLOOKUP(B1480&amp;C1480&amp;Q1480,'New Weekly Paste'!B:O,10,0)),0)</f>
        <v>80.6</v>
      </c>
      <c r="K1480" s="239">
        <f>IFERROR(IFERROR(VLOOKUP(B1480&amp;I1480&amp;Q1480,'New Weekly Paste'!A:M,8,0),VLOOKUP(B1480&amp;I1480&amp;Q1480,'New Weekly Paste'!B:O,10,0)),0)</f>
        <v>92.58</v>
      </c>
      <c r="L1480" s="239">
        <f t="shared" si="25"/>
        <v>0</v>
      </c>
      <c r="M1480" s="36" t="str">
        <f t="shared" si="3"/>
        <v>Regular Season</v>
      </c>
      <c r="N1480" s="239" t="str">
        <f t="shared" si="26"/>
        <v>Riley</v>
      </c>
      <c r="O1480" s="6">
        <f>VLOOKUP(D1480,'Mapped Opponent'!$G$4:$H$22,2,0)</f>
        <v>5</v>
      </c>
      <c r="P1480" s="6"/>
      <c r="Q1480" s="6" t="str">
        <f t="shared" si="4"/>
        <v>Week 5</v>
      </c>
      <c r="R1480" s="6" t="str">
        <f t="shared" si="5"/>
        <v>2018Week 5</v>
      </c>
      <c r="S1480" s="6">
        <f>IFERROR(__xludf.DUMMYFUNCTION("rank(J1480,FILTER(J:J,R:R=R1480))"),11.0)</f>
        <v>11</v>
      </c>
      <c r="T1480" s="6">
        <f t="shared" si="6"/>
        <v>1</v>
      </c>
      <c r="U1480" s="6">
        <f t="shared" si="7"/>
        <v>11</v>
      </c>
      <c r="V1480" s="42">
        <f>averageif(AllData!A:A,B1480,AllData!R:R)/vlookup(B1480,AllData!A:O,15,0)</f>
        <v>99.39987179</v>
      </c>
      <c r="W1480" s="6"/>
    </row>
    <row r="1481" ht="14.25" customHeight="1">
      <c r="A1481" s="6" t="str">
        <f t="shared" si="1"/>
        <v>2018Shep5</v>
      </c>
      <c r="B1481" s="59">
        <v>2018.0</v>
      </c>
      <c r="C1481" s="13" t="s">
        <v>89</v>
      </c>
      <c r="D1481" s="13" t="s">
        <v>141</v>
      </c>
      <c r="E1481" s="34"/>
      <c r="F1481" s="6"/>
      <c r="H1481" s="6"/>
      <c r="I1481" s="35" t="str">
        <f>IFERROR(IFERROR(IFERROR(VLOOKUP(B1481&amp;C1481&amp;Q1481,'New Weekly Paste'!A:M,10,0),VLOOKUP(B1481&amp;C1481&amp;Q1481,'New Weekly Paste'!B:O,6,0)),""),"")</f>
        <v>Hudspeath</v>
      </c>
      <c r="J1481" s="239">
        <f>IFERROR(IFERROR(VLOOKUP(B1481&amp;C1481&amp;Q1481,'New Weekly Paste'!A:M,8,0),VLOOKUP(B1481&amp;C1481&amp;Q1481,'New Weekly Paste'!B:O,10,0)),0)</f>
        <v>153.28</v>
      </c>
      <c r="K1481" s="239">
        <f>IFERROR(IFERROR(VLOOKUP(B1481&amp;I1481&amp;Q1481,'New Weekly Paste'!A:M,8,0),VLOOKUP(B1481&amp;I1481&amp;Q1481,'New Weekly Paste'!B:O,10,0)),0)</f>
        <v>93.78</v>
      </c>
      <c r="L1481" s="239">
        <f t="shared" si="25"/>
        <v>1</v>
      </c>
      <c r="M1481" s="36" t="str">
        <f t="shared" si="3"/>
        <v>Regular Season</v>
      </c>
      <c r="N1481" s="239" t="str">
        <f t="shared" si="26"/>
        <v>Hudspeath</v>
      </c>
      <c r="O1481" s="6">
        <f>VLOOKUP(D1481,'Mapped Opponent'!$G$4:$H$22,2,0)</f>
        <v>5</v>
      </c>
      <c r="P1481" s="6"/>
      <c r="Q1481" s="6" t="str">
        <f t="shared" si="4"/>
        <v>Week 5</v>
      </c>
      <c r="R1481" s="6" t="str">
        <f t="shared" si="5"/>
        <v>2018Week 5</v>
      </c>
      <c r="S1481" s="6">
        <f>IFERROR(__xludf.DUMMYFUNCTION("rank(J1481,FILTER(J:J,R:R=R1481))"),1.0)</f>
        <v>1</v>
      </c>
      <c r="T1481" s="6">
        <f t="shared" si="6"/>
        <v>11</v>
      </c>
      <c r="U1481" s="6">
        <f t="shared" si="7"/>
        <v>1</v>
      </c>
      <c r="V1481" s="42">
        <f>averageif(AllData!A:A,B1481,AllData!R:R)/vlookup(B1481,AllData!A:O,15,0)</f>
        <v>99.39987179</v>
      </c>
      <c r="W1481" s="6"/>
    </row>
    <row r="1482" ht="14.25" customHeight="1">
      <c r="A1482" s="6" t="str">
        <f t="shared" si="1"/>
        <v>2018Riley5</v>
      </c>
      <c r="B1482" s="59">
        <v>2018.0</v>
      </c>
      <c r="C1482" s="13" t="s">
        <v>67</v>
      </c>
      <c r="D1482" s="13" t="s">
        <v>141</v>
      </c>
      <c r="E1482" s="34"/>
      <c r="F1482" s="6"/>
      <c r="H1482" s="6"/>
      <c r="I1482" s="35" t="str">
        <f>IFERROR(IFERROR(IFERROR(VLOOKUP(B1482&amp;C1482&amp;Q1482,'New Weekly Paste'!A:M,10,0),VLOOKUP(B1482&amp;C1482&amp;Q1482,'New Weekly Paste'!B:O,6,0)),""),"")</f>
        <v>Fellows</v>
      </c>
      <c r="J1482" s="239">
        <f>IFERROR(IFERROR(VLOOKUP(B1482&amp;C1482&amp;Q1482,'New Weekly Paste'!A:M,8,0),VLOOKUP(B1482&amp;C1482&amp;Q1482,'New Weekly Paste'!B:O,10,0)),0)</f>
        <v>92.58</v>
      </c>
      <c r="K1482" s="239">
        <f>IFERROR(IFERROR(VLOOKUP(B1482&amp;I1482&amp;Q1482,'New Weekly Paste'!A:M,8,0),VLOOKUP(B1482&amp;I1482&amp;Q1482,'New Weekly Paste'!B:O,10,0)),0)</f>
        <v>80.6</v>
      </c>
      <c r="L1482" s="239">
        <f t="shared" si="25"/>
        <v>1</v>
      </c>
      <c r="M1482" s="36" t="str">
        <f t="shared" si="3"/>
        <v>Regular Season</v>
      </c>
      <c r="N1482" s="239" t="str">
        <f t="shared" si="26"/>
        <v>Fellows</v>
      </c>
      <c r="O1482" s="6">
        <f>VLOOKUP(D1482,'Mapped Opponent'!$G$4:$H$22,2,0)</f>
        <v>5</v>
      </c>
      <c r="P1482" s="6"/>
      <c r="Q1482" s="6" t="str">
        <f t="shared" si="4"/>
        <v>Week 5</v>
      </c>
      <c r="R1482" s="6" t="str">
        <f t="shared" si="5"/>
        <v>2018Week 5</v>
      </c>
      <c r="S1482" s="6">
        <f>IFERROR(__xludf.DUMMYFUNCTION("rank(J1482,FILTER(J:J,R:R=R1482))"),8.0)</f>
        <v>8</v>
      </c>
      <c r="T1482" s="6">
        <f t="shared" si="6"/>
        <v>4</v>
      </c>
      <c r="U1482" s="6">
        <f t="shared" si="7"/>
        <v>8</v>
      </c>
      <c r="V1482" s="42">
        <f>averageif(AllData!A:A,B1482,AllData!R:R)/vlookup(B1482,AllData!A:O,15,0)</f>
        <v>99.39987179</v>
      </c>
      <c r="W1482" s="6"/>
    </row>
    <row r="1483" ht="14.25" customHeight="1">
      <c r="A1483" s="6" t="str">
        <f t="shared" si="1"/>
        <v>2018Rooney/Jackson5</v>
      </c>
      <c r="B1483" s="59">
        <v>2018.0</v>
      </c>
      <c r="C1483" s="13" t="s">
        <v>57</v>
      </c>
      <c r="D1483" s="13" t="s">
        <v>141</v>
      </c>
      <c r="E1483" s="34"/>
      <c r="F1483" s="6"/>
      <c r="H1483" s="6"/>
      <c r="I1483" s="35" t="str">
        <f>IFERROR(IFERROR(IFERROR(VLOOKUP(B1483&amp;C1483&amp;Q1483,'New Weekly Paste'!A:M,10,0),VLOOKUP(B1483&amp;C1483&amp;Q1483,'New Weekly Paste'!B:O,6,0)),""),"")</f>
        <v>Salty</v>
      </c>
      <c r="J1483" s="239">
        <f>IFERROR(IFERROR(VLOOKUP(B1483&amp;C1483&amp;Q1483,'New Weekly Paste'!A:M,8,0),VLOOKUP(B1483&amp;C1483&amp;Q1483,'New Weekly Paste'!B:O,10,0)),0)</f>
        <v>90</v>
      </c>
      <c r="K1483" s="239">
        <f>IFERROR(IFERROR(VLOOKUP(B1483&amp;I1483&amp;Q1483,'New Weekly Paste'!A:M,8,0),VLOOKUP(B1483&amp;I1483&amp;Q1483,'New Weekly Paste'!B:O,10,0)),0)</f>
        <v>124.44</v>
      </c>
      <c r="L1483" s="239">
        <f t="shared" si="25"/>
        <v>0</v>
      </c>
      <c r="M1483" s="36" t="str">
        <f t="shared" si="3"/>
        <v>Regular Season</v>
      </c>
      <c r="N1483" s="239" t="str">
        <f t="shared" si="26"/>
        <v>Salty</v>
      </c>
      <c r="O1483" s="6">
        <f>VLOOKUP(D1483,'Mapped Opponent'!$G$4:$H$22,2,0)</f>
        <v>5</v>
      </c>
      <c r="P1483" s="6"/>
      <c r="Q1483" s="6" t="str">
        <f t="shared" si="4"/>
        <v>Week 5</v>
      </c>
      <c r="R1483" s="6" t="str">
        <f t="shared" si="5"/>
        <v>2018Week 5</v>
      </c>
      <c r="S1483" s="6">
        <f>IFERROR(__xludf.DUMMYFUNCTION("rank(J1483,FILTER(J:J,R:R=R1483))"),9.0)</f>
        <v>9</v>
      </c>
      <c r="T1483" s="6">
        <f t="shared" si="6"/>
        <v>3</v>
      </c>
      <c r="U1483" s="6">
        <f t="shared" si="7"/>
        <v>9</v>
      </c>
      <c r="V1483" s="42">
        <f>averageif(AllData!A:A,B1483,AllData!R:R)/vlookup(B1483,AllData!A:O,15,0)</f>
        <v>99.39987179</v>
      </c>
      <c r="W1483" s="6"/>
    </row>
    <row r="1484" ht="14.25" customHeight="1">
      <c r="A1484" s="6" t="str">
        <f t="shared" si="1"/>
        <v>2018Buser5</v>
      </c>
      <c r="B1484" s="59">
        <v>2018.0</v>
      </c>
      <c r="C1484" s="13" t="s">
        <v>47</v>
      </c>
      <c r="D1484" s="13" t="s">
        <v>141</v>
      </c>
      <c r="E1484" s="34"/>
      <c r="F1484" s="6"/>
      <c r="H1484" s="6"/>
      <c r="I1484" s="35" t="str">
        <f>IFERROR(IFERROR(IFERROR(VLOOKUP(B1484&amp;C1484&amp;Q1484,'New Weekly Paste'!A:M,10,0),VLOOKUP(B1484&amp;C1484&amp;Q1484,'New Weekly Paste'!B:O,6,0)),""),"")</f>
        <v>Tayski</v>
      </c>
      <c r="J1484" s="239">
        <f>IFERROR(IFERROR(VLOOKUP(B1484&amp;C1484&amp;Q1484,'New Weekly Paste'!A:M,8,0),VLOOKUP(B1484&amp;C1484&amp;Q1484,'New Weekly Paste'!B:O,10,0)),0)</f>
        <v>93.12</v>
      </c>
      <c r="K1484" s="239">
        <f>IFERROR(IFERROR(VLOOKUP(B1484&amp;I1484&amp;Q1484,'New Weekly Paste'!A:M,8,0),VLOOKUP(B1484&amp;I1484&amp;Q1484,'New Weekly Paste'!B:O,10,0)),0)</f>
        <v>50.06</v>
      </c>
      <c r="L1484" s="239">
        <f t="shared" si="25"/>
        <v>1</v>
      </c>
      <c r="M1484" s="36" t="str">
        <f t="shared" si="3"/>
        <v>Regular Season</v>
      </c>
      <c r="N1484" s="239" t="str">
        <f t="shared" si="26"/>
        <v>Tayski</v>
      </c>
      <c r="O1484" s="6">
        <f>VLOOKUP(D1484,'Mapped Opponent'!$G$4:$H$22,2,0)</f>
        <v>5</v>
      </c>
      <c r="P1484" s="6"/>
      <c r="Q1484" s="6" t="str">
        <f t="shared" si="4"/>
        <v>Week 5</v>
      </c>
      <c r="R1484" s="6" t="str">
        <f t="shared" si="5"/>
        <v>2018Week 5</v>
      </c>
      <c r="S1484" s="6">
        <f>IFERROR(__xludf.DUMMYFUNCTION("rank(J1484,FILTER(J:J,R:R=R1484))"),7.0)</f>
        <v>7</v>
      </c>
      <c r="T1484" s="6">
        <f t="shared" si="6"/>
        <v>5</v>
      </c>
      <c r="U1484" s="6">
        <f t="shared" si="7"/>
        <v>7</v>
      </c>
      <c r="V1484" s="42">
        <f>averageif(AllData!A:A,B1484,AllData!R:R)/vlookup(B1484,AllData!A:O,15,0)</f>
        <v>99.39987179</v>
      </c>
      <c r="W1484" s="6"/>
    </row>
    <row r="1485" ht="14.25" customHeight="1">
      <c r="A1485" s="6" t="str">
        <f t="shared" si="1"/>
        <v>2018Pierson5</v>
      </c>
      <c r="B1485" s="59">
        <v>2018.0</v>
      </c>
      <c r="C1485" s="13" t="s">
        <v>92</v>
      </c>
      <c r="D1485" s="13" t="s">
        <v>141</v>
      </c>
      <c r="E1485" s="34"/>
      <c r="F1485" s="6"/>
      <c r="H1485" s="6"/>
      <c r="I1485" s="35" t="str">
        <f>IFERROR(IFERROR(IFERROR(VLOOKUP(B1485&amp;C1485&amp;Q1485,'New Weekly Paste'!A:M,10,0),VLOOKUP(B1485&amp;C1485&amp;Q1485,'New Weekly Paste'!B:O,6,0)),""),"")</f>
        <v>T-How</v>
      </c>
      <c r="J1485" s="239">
        <f>IFERROR(IFERROR(VLOOKUP(B1485&amp;C1485&amp;Q1485,'New Weekly Paste'!A:M,8,0),VLOOKUP(B1485&amp;C1485&amp;Q1485,'New Weekly Paste'!B:O,10,0)),0)</f>
        <v>85.66</v>
      </c>
      <c r="K1485" s="239">
        <f>IFERROR(IFERROR(VLOOKUP(B1485&amp;I1485&amp;Q1485,'New Weekly Paste'!A:M,8,0),VLOOKUP(B1485&amp;I1485&amp;Q1485,'New Weekly Paste'!B:O,10,0)),0)</f>
        <v>112.24</v>
      </c>
      <c r="L1485" s="239">
        <f t="shared" si="25"/>
        <v>0</v>
      </c>
      <c r="M1485" s="36" t="str">
        <f t="shared" si="3"/>
        <v>Regular Season</v>
      </c>
      <c r="N1485" s="239" t="str">
        <f t="shared" si="26"/>
        <v>T-How</v>
      </c>
      <c r="O1485" s="6">
        <f>VLOOKUP(D1485,'Mapped Opponent'!$G$4:$H$22,2,0)</f>
        <v>5</v>
      </c>
      <c r="P1485" s="6"/>
      <c r="Q1485" s="6" t="str">
        <f t="shared" si="4"/>
        <v>Week 5</v>
      </c>
      <c r="R1485" s="6" t="str">
        <f t="shared" si="5"/>
        <v>2018Week 5</v>
      </c>
      <c r="S1485" s="6">
        <f>IFERROR(__xludf.DUMMYFUNCTION("rank(J1485,FILTER(J:J,R:R=R1485))"),10.0)</f>
        <v>10</v>
      </c>
      <c r="T1485" s="6">
        <f t="shared" si="6"/>
        <v>2</v>
      </c>
      <c r="U1485" s="6">
        <f t="shared" si="7"/>
        <v>10</v>
      </c>
      <c r="V1485" s="42">
        <f>averageif(AllData!A:A,B1485,AllData!R:R)/vlookup(B1485,AllData!A:O,15,0)</f>
        <v>99.39987179</v>
      </c>
      <c r="W1485" s="6"/>
    </row>
    <row r="1486" ht="14.25" customHeight="1">
      <c r="A1486" s="6" t="str">
        <f t="shared" si="1"/>
        <v>2018Cock5</v>
      </c>
      <c r="B1486" s="59">
        <v>2018.0</v>
      </c>
      <c r="C1486" s="13" t="s">
        <v>72</v>
      </c>
      <c r="D1486" s="13" t="s">
        <v>141</v>
      </c>
      <c r="E1486" s="34"/>
      <c r="F1486" s="6"/>
      <c r="H1486" s="6"/>
      <c r="I1486" s="35" t="str">
        <f>IFERROR(IFERROR(IFERROR(VLOOKUP(B1486&amp;C1486&amp;Q1486,'New Weekly Paste'!A:M,10,0),VLOOKUP(B1486&amp;C1486&amp;Q1486,'New Weekly Paste'!B:O,6,0)),""),"")</f>
        <v>KnardDawg</v>
      </c>
      <c r="J1486" s="239">
        <f>IFERROR(IFERROR(VLOOKUP(B1486&amp;C1486&amp;Q1486,'New Weekly Paste'!A:M,8,0),VLOOKUP(B1486&amp;C1486&amp;Q1486,'New Weekly Paste'!B:O,10,0)),0)</f>
        <v>99.34</v>
      </c>
      <c r="K1486" s="239">
        <f>IFERROR(IFERROR(VLOOKUP(B1486&amp;I1486&amp;Q1486,'New Weekly Paste'!A:M,8,0),VLOOKUP(B1486&amp;I1486&amp;Q1486,'New Weekly Paste'!B:O,10,0)),0)</f>
        <v>103.22</v>
      </c>
      <c r="L1486" s="239">
        <f t="shared" si="25"/>
        <v>0</v>
      </c>
      <c r="M1486" s="36" t="str">
        <f t="shared" si="3"/>
        <v>Regular Season</v>
      </c>
      <c r="N1486" s="239" t="str">
        <f t="shared" si="26"/>
        <v>KnardDawg</v>
      </c>
      <c r="O1486" s="6">
        <f>VLOOKUP(D1486,'Mapped Opponent'!$G$4:$H$22,2,0)</f>
        <v>5</v>
      </c>
      <c r="P1486" s="6"/>
      <c r="Q1486" s="6" t="str">
        <f t="shared" si="4"/>
        <v>Week 5</v>
      </c>
      <c r="R1486" s="6" t="str">
        <f t="shared" si="5"/>
        <v>2018Week 5</v>
      </c>
      <c r="S1486" s="6">
        <f>IFERROR(__xludf.DUMMYFUNCTION("rank(J1486,FILTER(J:J,R:R=R1486))"),5.0)</f>
        <v>5</v>
      </c>
      <c r="T1486" s="6">
        <f t="shared" si="6"/>
        <v>7</v>
      </c>
      <c r="U1486" s="6">
        <f t="shared" si="7"/>
        <v>5</v>
      </c>
      <c r="V1486" s="42">
        <f>averageif(AllData!A:A,B1486,AllData!R:R)/vlookup(B1486,AllData!A:O,15,0)</f>
        <v>99.39987179</v>
      </c>
      <c r="W1486" s="6"/>
    </row>
    <row r="1487" ht="14.25" customHeight="1">
      <c r="A1487" s="6" t="str">
        <f t="shared" si="1"/>
        <v>2018Tayski5</v>
      </c>
      <c r="B1487" s="59">
        <v>2018.0</v>
      </c>
      <c r="C1487" s="13" t="s">
        <v>52</v>
      </c>
      <c r="D1487" s="13" t="s">
        <v>141</v>
      </c>
      <c r="E1487" s="34"/>
      <c r="F1487" s="6"/>
      <c r="H1487" s="6"/>
      <c r="I1487" s="35" t="str">
        <f>IFERROR(IFERROR(IFERROR(VLOOKUP(B1487&amp;C1487&amp;Q1487,'New Weekly Paste'!A:M,10,0),VLOOKUP(B1487&amp;C1487&amp;Q1487,'New Weekly Paste'!B:O,6,0)),""),"")</f>
        <v>Buser</v>
      </c>
      <c r="J1487" s="239">
        <f>IFERROR(IFERROR(VLOOKUP(B1487&amp;C1487&amp;Q1487,'New Weekly Paste'!A:M,8,0),VLOOKUP(B1487&amp;C1487&amp;Q1487,'New Weekly Paste'!B:O,10,0)),0)</f>
        <v>50.06</v>
      </c>
      <c r="K1487" s="239">
        <f>IFERROR(IFERROR(VLOOKUP(B1487&amp;I1487&amp;Q1487,'New Weekly Paste'!A:M,8,0),VLOOKUP(B1487&amp;I1487&amp;Q1487,'New Weekly Paste'!B:O,10,0)),0)</f>
        <v>93.12</v>
      </c>
      <c r="L1487" s="239">
        <f t="shared" si="25"/>
        <v>0</v>
      </c>
      <c r="M1487" s="36" t="str">
        <f t="shared" si="3"/>
        <v>Regular Season</v>
      </c>
      <c r="N1487" s="239" t="str">
        <f t="shared" si="26"/>
        <v>Buser</v>
      </c>
      <c r="O1487" s="6">
        <f>VLOOKUP(D1487,'Mapped Opponent'!$G$4:$H$22,2,0)</f>
        <v>5</v>
      </c>
      <c r="P1487" s="6"/>
      <c r="Q1487" s="6" t="str">
        <f t="shared" si="4"/>
        <v>Week 5</v>
      </c>
      <c r="R1487" s="6" t="str">
        <f t="shared" si="5"/>
        <v>2018Week 5</v>
      </c>
      <c r="S1487" s="6">
        <f>IFERROR(__xludf.DUMMYFUNCTION("rank(J1487,FILTER(J:J,R:R=R1487))"),12.0)</f>
        <v>12</v>
      </c>
      <c r="T1487" s="6">
        <f t="shared" si="6"/>
        <v>0</v>
      </c>
      <c r="U1487" s="6">
        <f t="shared" si="7"/>
        <v>12</v>
      </c>
      <c r="V1487" s="42">
        <f>averageif(AllData!A:A,B1487,AllData!R:R)/vlookup(B1487,AllData!A:O,15,0)</f>
        <v>99.39987179</v>
      </c>
      <c r="W1487" s="6"/>
    </row>
    <row r="1488" ht="14.25" customHeight="1">
      <c r="A1488" s="6" t="str">
        <f t="shared" si="1"/>
        <v>2018KnardDawg5</v>
      </c>
      <c r="B1488" s="59">
        <v>2018.0</v>
      </c>
      <c r="C1488" s="13" t="s">
        <v>86</v>
      </c>
      <c r="D1488" s="13" t="s">
        <v>141</v>
      </c>
      <c r="E1488" s="34"/>
      <c r="F1488" s="6"/>
      <c r="H1488" s="6"/>
      <c r="I1488" s="35" t="str">
        <f>IFERROR(IFERROR(IFERROR(VLOOKUP(B1488&amp;C1488&amp;Q1488,'New Weekly Paste'!A:M,10,0),VLOOKUP(B1488&amp;C1488&amp;Q1488,'New Weekly Paste'!B:O,6,0)),""),"")</f>
        <v>Cock</v>
      </c>
      <c r="J1488" s="239">
        <f>IFERROR(IFERROR(VLOOKUP(B1488&amp;C1488&amp;Q1488,'New Weekly Paste'!A:M,8,0),VLOOKUP(B1488&amp;C1488&amp;Q1488,'New Weekly Paste'!B:O,10,0)),0)</f>
        <v>103.22</v>
      </c>
      <c r="K1488" s="239">
        <f>IFERROR(IFERROR(VLOOKUP(B1488&amp;I1488&amp;Q1488,'New Weekly Paste'!A:M,8,0),VLOOKUP(B1488&amp;I1488&amp;Q1488,'New Weekly Paste'!B:O,10,0)),0)</f>
        <v>99.34</v>
      </c>
      <c r="L1488" s="239">
        <f t="shared" si="25"/>
        <v>1</v>
      </c>
      <c r="M1488" s="36" t="str">
        <f t="shared" si="3"/>
        <v>Regular Season</v>
      </c>
      <c r="N1488" s="239" t="str">
        <f t="shared" si="26"/>
        <v>Cock</v>
      </c>
      <c r="O1488" s="6">
        <f>VLOOKUP(D1488,'Mapped Opponent'!$G$4:$H$22,2,0)</f>
        <v>5</v>
      </c>
      <c r="P1488" s="6"/>
      <c r="Q1488" s="6" t="str">
        <f t="shared" si="4"/>
        <v>Week 5</v>
      </c>
      <c r="R1488" s="6" t="str">
        <f t="shared" si="5"/>
        <v>2018Week 5</v>
      </c>
      <c r="S1488" s="6">
        <f>IFERROR(__xludf.DUMMYFUNCTION("rank(J1488,FILTER(J:J,R:R=R1488))"),4.0)</f>
        <v>4</v>
      </c>
      <c r="T1488" s="6">
        <f t="shared" si="6"/>
        <v>8</v>
      </c>
      <c r="U1488" s="6">
        <f t="shared" si="7"/>
        <v>4</v>
      </c>
      <c r="V1488" s="42">
        <f>averageif(AllData!A:A,B1488,AllData!R:R)/vlookup(B1488,AllData!A:O,15,0)</f>
        <v>99.39987179</v>
      </c>
      <c r="W1488" s="6"/>
    </row>
    <row r="1489" ht="14.25" customHeight="1">
      <c r="A1489" s="6" t="str">
        <f t="shared" si="1"/>
        <v>2018T-How5</v>
      </c>
      <c r="B1489" s="59">
        <v>2018.0</v>
      </c>
      <c r="C1489" s="13" t="s">
        <v>82</v>
      </c>
      <c r="D1489" s="13" t="s">
        <v>141</v>
      </c>
      <c r="E1489" s="34"/>
      <c r="F1489" s="6"/>
      <c r="H1489" s="6"/>
      <c r="I1489" s="35" t="str">
        <f>IFERROR(IFERROR(IFERROR(VLOOKUP(B1489&amp;C1489&amp;Q1489,'New Weekly Paste'!A:M,10,0),VLOOKUP(B1489&amp;C1489&amp;Q1489,'New Weekly Paste'!B:O,6,0)),""),"")</f>
        <v>Pierson</v>
      </c>
      <c r="J1489" s="239">
        <f>IFERROR(IFERROR(VLOOKUP(B1489&amp;C1489&amp;Q1489,'New Weekly Paste'!A:M,8,0),VLOOKUP(B1489&amp;C1489&amp;Q1489,'New Weekly Paste'!B:O,10,0)),0)</f>
        <v>112.24</v>
      </c>
      <c r="K1489" s="239">
        <f>IFERROR(IFERROR(VLOOKUP(B1489&amp;I1489&amp;Q1489,'New Weekly Paste'!A:M,8,0),VLOOKUP(B1489&amp;I1489&amp;Q1489,'New Weekly Paste'!B:O,10,0)),0)</f>
        <v>85.66</v>
      </c>
      <c r="L1489" s="239">
        <f t="shared" si="25"/>
        <v>1</v>
      </c>
      <c r="M1489" s="36" t="str">
        <f t="shared" si="3"/>
        <v>Regular Season</v>
      </c>
      <c r="N1489" s="239" t="str">
        <f t="shared" si="26"/>
        <v>Pierson</v>
      </c>
      <c r="O1489" s="6">
        <f>VLOOKUP(D1489,'Mapped Opponent'!$G$4:$H$22,2,0)</f>
        <v>5</v>
      </c>
      <c r="P1489" s="6"/>
      <c r="Q1489" s="6" t="str">
        <f t="shared" si="4"/>
        <v>Week 5</v>
      </c>
      <c r="R1489" s="6" t="str">
        <f t="shared" si="5"/>
        <v>2018Week 5</v>
      </c>
      <c r="S1489" s="6">
        <f>IFERROR(__xludf.DUMMYFUNCTION("rank(J1489,FILTER(J:J,R:R=R1489))"),3.0)</f>
        <v>3</v>
      </c>
      <c r="T1489" s="6">
        <f t="shared" si="6"/>
        <v>9</v>
      </c>
      <c r="U1489" s="6">
        <f t="shared" si="7"/>
        <v>3</v>
      </c>
      <c r="V1489" s="42">
        <f>averageif(AllData!A:A,B1489,AllData!R:R)/vlookup(B1489,AllData!A:O,15,0)</f>
        <v>99.39987179</v>
      </c>
      <c r="W1489" s="6"/>
    </row>
    <row r="1490" ht="14.25" customHeight="1">
      <c r="A1490" s="6" t="str">
        <f t="shared" si="1"/>
        <v>2018Hudspeath6</v>
      </c>
      <c r="B1490" s="59">
        <v>2018.0</v>
      </c>
      <c r="C1490" s="13" t="s">
        <v>39</v>
      </c>
      <c r="D1490" s="13" t="s">
        <v>142</v>
      </c>
      <c r="E1490" s="34"/>
      <c r="F1490" s="6"/>
      <c r="H1490" s="6"/>
      <c r="I1490" s="35" t="str">
        <f>IFERROR(IFERROR(IFERROR(VLOOKUP(B1490&amp;C1490&amp;Q1490,'New Weekly Paste'!A:M,10,0),VLOOKUP(B1490&amp;C1490&amp;Q1490,'New Weekly Paste'!B:O,6,0)),""),"")</f>
        <v>KnardDawg</v>
      </c>
      <c r="J1490" s="239">
        <f>IFERROR(IFERROR(VLOOKUP(B1490&amp;C1490&amp;Q1490,'New Weekly Paste'!A:M,8,0),VLOOKUP(B1490&amp;C1490&amp;Q1490,'New Weekly Paste'!B:O,10,0)),0)</f>
        <v>120.1</v>
      </c>
      <c r="K1490" s="239">
        <f>IFERROR(IFERROR(VLOOKUP(B1490&amp;I1490&amp;Q1490,'New Weekly Paste'!A:M,8,0),VLOOKUP(B1490&amp;I1490&amp;Q1490,'New Weekly Paste'!B:O,10,0)),0)</f>
        <v>100.76</v>
      </c>
      <c r="L1490" s="239">
        <f t="shared" si="25"/>
        <v>1</v>
      </c>
      <c r="M1490" s="36" t="str">
        <f t="shared" si="3"/>
        <v>Regular Season</v>
      </c>
      <c r="N1490" s="239" t="str">
        <f t="shared" si="26"/>
        <v>KnardDawg</v>
      </c>
      <c r="O1490" s="6">
        <f>VLOOKUP(D1490,'Mapped Opponent'!$G$4:$H$22,2,0)</f>
        <v>6</v>
      </c>
      <c r="P1490" s="6"/>
      <c r="Q1490" s="6" t="str">
        <f t="shared" si="4"/>
        <v>Week 6</v>
      </c>
      <c r="R1490" s="6" t="str">
        <f t="shared" si="5"/>
        <v>2018Week 6</v>
      </c>
      <c r="S1490" s="6">
        <f>IFERROR(__xludf.DUMMYFUNCTION("rank(J1490,FILTER(J:J,R:R=R1490))"),2.0)</f>
        <v>2</v>
      </c>
      <c r="T1490" s="6">
        <f t="shared" si="6"/>
        <v>10</v>
      </c>
      <c r="U1490" s="6">
        <f t="shared" si="7"/>
        <v>2</v>
      </c>
      <c r="V1490" s="42">
        <f>averageif(AllData!A:A,B1490,AllData!R:R)/vlookup(B1490,AllData!A:O,15,0)</f>
        <v>99.39987179</v>
      </c>
      <c r="W1490" s="6"/>
    </row>
    <row r="1491" ht="14.25" customHeight="1">
      <c r="A1491" s="6" t="str">
        <f t="shared" si="1"/>
        <v>2018Salty6</v>
      </c>
      <c r="B1491" s="59">
        <v>2018.0</v>
      </c>
      <c r="C1491" s="13" t="s">
        <v>76</v>
      </c>
      <c r="D1491" s="13" t="s">
        <v>142</v>
      </c>
      <c r="E1491" s="34"/>
      <c r="F1491" s="6"/>
      <c r="H1491" s="6"/>
      <c r="I1491" s="35" t="str">
        <f>IFERROR(IFERROR(IFERROR(VLOOKUP(B1491&amp;C1491&amp;Q1491,'New Weekly Paste'!A:M,10,0),VLOOKUP(B1491&amp;C1491&amp;Q1491,'New Weekly Paste'!B:O,6,0)),""),"")</f>
        <v>Riley</v>
      </c>
      <c r="J1491" s="239">
        <f>IFERROR(IFERROR(VLOOKUP(B1491&amp;C1491&amp;Q1491,'New Weekly Paste'!A:M,8,0),VLOOKUP(B1491&amp;C1491&amp;Q1491,'New Weekly Paste'!B:O,10,0)),0)</f>
        <v>160.42</v>
      </c>
      <c r="K1491" s="239">
        <f>IFERROR(IFERROR(VLOOKUP(B1491&amp;I1491&amp;Q1491,'New Weekly Paste'!A:M,8,0),VLOOKUP(B1491&amp;I1491&amp;Q1491,'New Weekly Paste'!B:O,10,0)),0)</f>
        <v>116.6</v>
      </c>
      <c r="L1491" s="239">
        <f t="shared" si="25"/>
        <v>1</v>
      </c>
      <c r="M1491" s="36" t="str">
        <f t="shared" si="3"/>
        <v>Regular Season</v>
      </c>
      <c r="N1491" s="239" t="str">
        <f t="shared" si="26"/>
        <v>Riley</v>
      </c>
      <c r="O1491" s="6">
        <f>VLOOKUP(D1491,'Mapped Opponent'!$G$4:$H$22,2,0)</f>
        <v>6</v>
      </c>
      <c r="P1491" s="6"/>
      <c r="Q1491" s="6" t="str">
        <f t="shared" si="4"/>
        <v>Week 6</v>
      </c>
      <c r="R1491" s="6" t="str">
        <f t="shared" si="5"/>
        <v>2018Week 6</v>
      </c>
      <c r="S1491" s="6">
        <f>IFERROR(__xludf.DUMMYFUNCTION("rank(J1491,FILTER(J:J,R:R=R1491))"),1.0)</f>
        <v>1</v>
      </c>
      <c r="T1491" s="6">
        <f t="shared" si="6"/>
        <v>11</v>
      </c>
      <c r="U1491" s="6">
        <f t="shared" si="7"/>
        <v>1</v>
      </c>
      <c r="V1491" s="42">
        <f>averageif(AllData!A:A,B1491,AllData!R:R)/vlookup(B1491,AllData!A:O,15,0)</f>
        <v>99.39987179</v>
      </c>
      <c r="W1491" s="6"/>
    </row>
    <row r="1492" ht="14.25" customHeight="1">
      <c r="A1492" s="6" t="str">
        <f t="shared" si="1"/>
        <v>2018Fellows6</v>
      </c>
      <c r="B1492" s="59">
        <v>2018.0</v>
      </c>
      <c r="C1492" s="13" t="s">
        <v>79</v>
      </c>
      <c r="D1492" s="13" t="s">
        <v>142</v>
      </c>
      <c r="E1492" s="34"/>
      <c r="F1492" s="6"/>
      <c r="H1492" s="6"/>
      <c r="I1492" s="35" t="str">
        <f>IFERROR(IFERROR(IFERROR(VLOOKUP(B1492&amp;C1492&amp;Q1492,'New Weekly Paste'!A:M,10,0),VLOOKUP(B1492&amp;C1492&amp;Q1492,'New Weekly Paste'!B:O,6,0)),""),"")</f>
        <v>T-How</v>
      </c>
      <c r="J1492" s="239">
        <f>IFERROR(IFERROR(VLOOKUP(B1492&amp;C1492&amp;Q1492,'New Weekly Paste'!A:M,8,0),VLOOKUP(B1492&amp;C1492&amp;Q1492,'New Weekly Paste'!B:O,10,0)),0)</f>
        <v>61.98</v>
      </c>
      <c r="K1492" s="239">
        <f>IFERROR(IFERROR(VLOOKUP(B1492&amp;I1492&amp;Q1492,'New Weekly Paste'!A:M,8,0),VLOOKUP(B1492&amp;I1492&amp;Q1492,'New Weekly Paste'!B:O,10,0)),0)</f>
        <v>104.3</v>
      </c>
      <c r="L1492" s="239">
        <f t="shared" si="25"/>
        <v>0</v>
      </c>
      <c r="M1492" s="36" t="str">
        <f t="shared" si="3"/>
        <v>Regular Season</v>
      </c>
      <c r="N1492" s="239" t="str">
        <f t="shared" si="26"/>
        <v>T-How</v>
      </c>
      <c r="O1492" s="6">
        <f>VLOOKUP(D1492,'Mapped Opponent'!$G$4:$H$22,2,0)</f>
        <v>6</v>
      </c>
      <c r="P1492" s="6"/>
      <c r="Q1492" s="6" t="str">
        <f t="shared" si="4"/>
        <v>Week 6</v>
      </c>
      <c r="R1492" s="6" t="str">
        <f t="shared" si="5"/>
        <v>2018Week 6</v>
      </c>
      <c r="S1492" s="6">
        <f>IFERROR(__xludf.DUMMYFUNCTION("rank(J1492,FILTER(J:J,R:R=R1492))"),12.0)</f>
        <v>12</v>
      </c>
      <c r="T1492" s="6">
        <f t="shared" si="6"/>
        <v>0</v>
      </c>
      <c r="U1492" s="6">
        <f t="shared" si="7"/>
        <v>12</v>
      </c>
      <c r="V1492" s="42">
        <f>averageif(AllData!A:A,B1492,AllData!R:R)/vlookup(B1492,AllData!A:O,15,0)</f>
        <v>99.39987179</v>
      </c>
      <c r="W1492" s="6"/>
    </row>
    <row r="1493" ht="14.25" customHeight="1">
      <c r="A1493" s="6" t="str">
        <f t="shared" si="1"/>
        <v>2018Shep6</v>
      </c>
      <c r="B1493" s="59">
        <v>2018.0</v>
      </c>
      <c r="C1493" s="13" t="s">
        <v>89</v>
      </c>
      <c r="D1493" s="13" t="s">
        <v>142</v>
      </c>
      <c r="E1493" s="34"/>
      <c r="F1493" s="6"/>
      <c r="H1493" s="6"/>
      <c r="I1493" s="35" t="str">
        <f>IFERROR(IFERROR(IFERROR(VLOOKUP(B1493&amp;C1493&amp;Q1493,'New Weekly Paste'!A:M,10,0),VLOOKUP(B1493&amp;C1493&amp;Q1493,'New Weekly Paste'!B:O,6,0)),""),"")</f>
        <v>Pierson</v>
      </c>
      <c r="J1493" s="239">
        <f>IFERROR(IFERROR(VLOOKUP(B1493&amp;C1493&amp;Q1493,'New Weekly Paste'!A:M,8,0),VLOOKUP(B1493&amp;C1493&amp;Q1493,'New Weekly Paste'!B:O,10,0)),0)</f>
        <v>102.28</v>
      </c>
      <c r="K1493" s="239">
        <f>IFERROR(IFERROR(VLOOKUP(B1493&amp;I1493&amp;Q1493,'New Weekly Paste'!A:M,8,0),VLOOKUP(B1493&amp;I1493&amp;Q1493,'New Weekly Paste'!B:O,10,0)),0)</f>
        <v>105.68</v>
      </c>
      <c r="L1493" s="239">
        <f t="shared" si="25"/>
        <v>0</v>
      </c>
      <c r="M1493" s="36" t="str">
        <f t="shared" si="3"/>
        <v>Regular Season</v>
      </c>
      <c r="N1493" s="239" t="str">
        <f t="shared" si="26"/>
        <v>Pierson</v>
      </c>
      <c r="O1493" s="6">
        <f>VLOOKUP(D1493,'Mapped Opponent'!$G$4:$H$22,2,0)</f>
        <v>6</v>
      </c>
      <c r="P1493" s="6"/>
      <c r="Q1493" s="6" t="str">
        <f t="shared" si="4"/>
        <v>Week 6</v>
      </c>
      <c r="R1493" s="6" t="str">
        <f t="shared" si="5"/>
        <v>2018Week 6</v>
      </c>
      <c r="S1493" s="6">
        <f>IFERROR(__xludf.DUMMYFUNCTION("rank(J1493,FILTER(J:J,R:R=R1493))"),6.0)</f>
        <v>6</v>
      </c>
      <c r="T1493" s="6">
        <f t="shared" si="6"/>
        <v>6</v>
      </c>
      <c r="U1493" s="6">
        <f t="shared" si="7"/>
        <v>6</v>
      </c>
      <c r="V1493" s="42">
        <f>averageif(AllData!A:A,B1493,AllData!R:R)/vlookup(B1493,AllData!A:O,15,0)</f>
        <v>99.39987179</v>
      </c>
      <c r="W1493" s="6"/>
    </row>
    <row r="1494" ht="14.25" customHeight="1">
      <c r="A1494" s="6" t="str">
        <f t="shared" si="1"/>
        <v>2018Riley6</v>
      </c>
      <c r="B1494" s="59">
        <v>2018.0</v>
      </c>
      <c r="C1494" s="13" t="s">
        <v>67</v>
      </c>
      <c r="D1494" s="13" t="s">
        <v>142</v>
      </c>
      <c r="E1494" s="34"/>
      <c r="F1494" s="6"/>
      <c r="H1494" s="6"/>
      <c r="I1494" s="35" t="str">
        <f>IFERROR(IFERROR(IFERROR(VLOOKUP(B1494&amp;C1494&amp;Q1494,'New Weekly Paste'!A:M,10,0),VLOOKUP(B1494&amp;C1494&amp;Q1494,'New Weekly Paste'!B:O,6,0)),""),"")</f>
        <v>Salty</v>
      </c>
      <c r="J1494" s="239">
        <f>IFERROR(IFERROR(VLOOKUP(B1494&amp;C1494&amp;Q1494,'New Weekly Paste'!A:M,8,0),VLOOKUP(B1494&amp;C1494&amp;Q1494,'New Weekly Paste'!B:O,10,0)),0)</f>
        <v>116.6</v>
      </c>
      <c r="K1494" s="239">
        <f>IFERROR(IFERROR(VLOOKUP(B1494&amp;I1494&amp;Q1494,'New Weekly Paste'!A:M,8,0),VLOOKUP(B1494&amp;I1494&amp;Q1494,'New Weekly Paste'!B:O,10,0)),0)</f>
        <v>160.42</v>
      </c>
      <c r="L1494" s="239">
        <f t="shared" si="25"/>
        <v>0</v>
      </c>
      <c r="M1494" s="36" t="str">
        <f t="shared" si="3"/>
        <v>Regular Season</v>
      </c>
      <c r="N1494" s="239" t="str">
        <f t="shared" si="26"/>
        <v>Salty</v>
      </c>
      <c r="O1494" s="6">
        <f>VLOOKUP(D1494,'Mapped Opponent'!$G$4:$H$22,2,0)</f>
        <v>6</v>
      </c>
      <c r="P1494" s="6"/>
      <c r="Q1494" s="6" t="str">
        <f t="shared" si="4"/>
        <v>Week 6</v>
      </c>
      <c r="R1494" s="6" t="str">
        <f t="shared" si="5"/>
        <v>2018Week 6</v>
      </c>
      <c r="S1494" s="6">
        <f>IFERROR(__xludf.DUMMYFUNCTION("rank(J1494,FILTER(J:J,R:R=R1494))"),3.0)</f>
        <v>3</v>
      </c>
      <c r="T1494" s="6">
        <f t="shared" si="6"/>
        <v>9</v>
      </c>
      <c r="U1494" s="6">
        <f t="shared" si="7"/>
        <v>3</v>
      </c>
      <c r="V1494" s="42">
        <f>averageif(AllData!A:A,B1494,AllData!R:R)/vlookup(B1494,AllData!A:O,15,0)</f>
        <v>99.39987179</v>
      </c>
      <c r="W1494" s="6"/>
    </row>
    <row r="1495" ht="14.25" customHeight="1">
      <c r="A1495" s="6" t="str">
        <f t="shared" si="1"/>
        <v>2018Rooney/Jackson6</v>
      </c>
      <c r="B1495" s="59">
        <v>2018.0</v>
      </c>
      <c r="C1495" s="13" t="s">
        <v>57</v>
      </c>
      <c r="D1495" s="13" t="s">
        <v>142</v>
      </c>
      <c r="E1495" s="34"/>
      <c r="F1495" s="6"/>
      <c r="H1495" s="6"/>
      <c r="I1495" s="35" t="str">
        <f>IFERROR(IFERROR(IFERROR(VLOOKUP(B1495&amp;C1495&amp;Q1495,'New Weekly Paste'!A:M,10,0),VLOOKUP(B1495&amp;C1495&amp;Q1495,'New Weekly Paste'!B:O,6,0)),""),"")</f>
        <v>Buser</v>
      </c>
      <c r="J1495" s="239">
        <f>IFERROR(IFERROR(VLOOKUP(B1495&amp;C1495&amp;Q1495,'New Weekly Paste'!A:M,8,0),VLOOKUP(B1495&amp;C1495&amp;Q1495,'New Weekly Paste'!B:O,10,0)),0)</f>
        <v>72.2</v>
      </c>
      <c r="K1495" s="239">
        <f>IFERROR(IFERROR(VLOOKUP(B1495&amp;I1495&amp;Q1495,'New Weekly Paste'!A:M,8,0),VLOOKUP(B1495&amp;I1495&amp;Q1495,'New Weekly Paste'!B:O,10,0)),0)</f>
        <v>85.92</v>
      </c>
      <c r="L1495" s="239">
        <f t="shared" si="25"/>
        <v>0</v>
      </c>
      <c r="M1495" s="36" t="str">
        <f t="shared" si="3"/>
        <v>Regular Season</v>
      </c>
      <c r="N1495" s="239" t="str">
        <f t="shared" si="26"/>
        <v>Buser</v>
      </c>
      <c r="O1495" s="6">
        <f>VLOOKUP(D1495,'Mapped Opponent'!$G$4:$H$22,2,0)</f>
        <v>6</v>
      </c>
      <c r="P1495" s="6"/>
      <c r="Q1495" s="6" t="str">
        <f t="shared" si="4"/>
        <v>Week 6</v>
      </c>
      <c r="R1495" s="6" t="str">
        <f t="shared" si="5"/>
        <v>2018Week 6</v>
      </c>
      <c r="S1495" s="6">
        <f>IFERROR(__xludf.DUMMYFUNCTION("rank(J1495,FILTER(J:J,R:R=R1495))"),11.0)</f>
        <v>11</v>
      </c>
      <c r="T1495" s="6">
        <f t="shared" si="6"/>
        <v>1</v>
      </c>
      <c r="U1495" s="6">
        <f t="shared" si="7"/>
        <v>11</v>
      </c>
      <c r="V1495" s="42">
        <f>averageif(AllData!A:A,B1495,AllData!R:R)/vlookup(B1495,AllData!A:O,15,0)</f>
        <v>99.39987179</v>
      </c>
      <c r="W1495" s="6"/>
    </row>
    <row r="1496" ht="14.25" customHeight="1">
      <c r="A1496" s="6" t="str">
        <f t="shared" si="1"/>
        <v>2018Buser6</v>
      </c>
      <c r="B1496" s="59">
        <v>2018.0</v>
      </c>
      <c r="C1496" s="13" t="s">
        <v>47</v>
      </c>
      <c r="D1496" s="13" t="s">
        <v>142</v>
      </c>
      <c r="E1496" s="34"/>
      <c r="F1496" s="6"/>
      <c r="H1496" s="6"/>
      <c r="I1496" s="35" t="str">
        <f>IFERROR(IFERROR(IFERROR(VLOOKUP(B1496&amp;C1496&amp;Q1496,'New Weekly Paste'!A:M,10,0),VLOOKUP(B1496&amp;C1496&amp;Q1496,'New Weekly Paste'!B:O,6,0)),""),"")</f>
        <v>Rooney/Jackson</v>
      </c>
      <c r="J1496" s="239">
        <f>IFERROR(IFERROR(VLOOKUP(B1496&amp;C1496&amp;Q1496,'New Weekly Paste'!A:M,8,0),VLOOKUP(B1496&amp;C1496&amp;Q1496,'New Weekly Paste'!B:O,10,0)),0)</f>
        <v>85.92</v>
      </c>
      <c r="K1496" s="239">
        <f>IFERROR(IFERROR(VLOOKUP(B1496&amp;I1496&amp;Q1496,'New Weekly Paste'!A:M,8,0),VLOOKUP(B1496&amp;I1496&amp;Q1496,'New Weekly Paste'!B:O,10,0)),0)</f>
        <v>72.2</v>
      </c>
      <c r="L1496" s="239">
        <f t="shared" si="25"/>
        <v>1</v>
      </c>
      <c r="M1496" s="36" t="str">
        <f t="shared" si="3"/>
        <v>Regular Season</v>
      </c>
      <c r="N1496" s="239" t="str">
        <f t="shared" si="26"/>
        <v>Rooney/Jackson</v>
      </c>
      <c r="O1496" s="6">
        <f>VLOOKUP(D1496,'Mapped Opponent'!$G$4:$H$22,2,0)</f>
        <v>6</v>
      </c>
      <c r="P1496" s="6"/>
      <c r="Q1496" s="6" t="str">
        <f t="shared" si="4"/>
        <v>Week 6</v>
      </c>
      <c r="R1496" s="6" t="str">
        <f t="shared" si="5"/>
        <v>2018Week 6</v>
      </c>
      <c r="S1496" s="6">
        <f>IFERROR(__xludf.DUMMYFUNCTION("rank(J1496,FILTER(J:J,R:R=R1496))"),9.0)</f>
        <v>9</v>
      </c>
      <c r="T1496" s="6">
        <f t="shared" si="6"/>
        <v>3</v>
      </c>
      <c r="U1496" s="6">
        <f t="shared" si="7"/>
        <v>9</v>
      </c>
      <c r="V1496" s="42">
        <f>averageif(AllData!A:A,B1496,AllData!R:R)/vlookup(B1496,AllData!A:O,15,0)</f>
        <v>99.39987179</v>
      </c>
      <c r="W1496" s="6"/>
    </row>
    <row r="1497" ht="14.25" customHeight="1">
      <c r="A1497" s="6" t="str">
        <f t="shared" si="1"/>
        <v>2018Pierson6</v>
      </c>
      <c r="B1497" s="59">
        <v>2018.0</v>
      </c>
      <c r="C1497" s="13" t="s">
        <v>92</v>
      </c>
      <c r="D1497" s="13" t="s">
        <v>142</v>
      </c>
      <c r="E1497" s="34"/>
      <c r="F1497" s="6"/>
      <c r="H1497" s="6"/>
      <c r="I1497" s="35" t="str">
        <f>IFERROR(IFERROR(IFERROR(VLOOKUP(B1497&amp;C1497&amp;Q1497,'New Weekly Paste'!A:M,10,0),VLOOKUP(B1497&amp;C1497&amp;Q1497,'New Weekly Paste'!B:O,6,0)),""),"")</f>
        <v>Shep</v>
      </c>
      <c r="J1497" s="239">
        <f>IFERROR(IFERROR(VLOOKUP(B1497&amp;C1497&amp;Q1497,'New Weekly Paste'!A:M,8,0),VLOOKUP(B1497&amp;C1497&amp;Q1497,'New Weekly Paste'!B:O,10,0)),0)</f>
        <v>105.68</v>
      </c>
      <c r="K1497" s="239">
        <f>IFERROR(IFERROR(VLOOKUP(B1497&amp;I1497&amp;Q1497,'New Weekly Paste'!A:M,8,0),VLOOKUP(B1497&amp;I1497&amp;Q1497,'New Weekly Paste'!B:O,10,0)),0)</f>
        <v>102.28</v>
      </c>
      <c r="L1497" s="239">
        <f t="shared" si="25"/>
        <v>1</v>
      </c>
      <c r="M1497" s="36" t="str">
        <f t="shared" si="3"/>
        <v>Regular Season</v>
      </c>
      <c r="N1497" s="239" t="str">
        <f t="shared" si="26"/>
        <v>Shep</v>
      </c>
      <c r="O1497" s="6">
        <f>VLOOKUP(D1497,'Mapped Opponent'!$G$4:$H$22,2,0)</f>
        <v>6</v>
      </c>
      <c r="P1497" s="6"/>
      <c r="Q1497" s="6" t="str">
        <f t="shared" si="4"/>
        <v>Week 6</v>
      </c>
      <c r="R1497" s="6" t="str">
        <f t="shared" si="5"/>
        <v>2018Week 6</v>
      </c>
      <c r="S1497" s="6">
        <f>IFERROR(__xludf.DUMMYFUNCTION("rank(J1497,FILTER(J:J,R:R=R1497))"),4.0)</f>
        <v>4</v>
      </c>
      <c r="T1497" s="6">
        <f t="shared" si="6"/>
        <v>8</v>
      </c>
      <c r="U1497" s="6">
        <f t="shared" si="7"/>
        <v>4</v>
      </c>
      <c r="V1497" s="42">
        <f>averageif(AllData!A:A,B1497,AllData!R:R)/vlookup(B1497,AllData!A:O,15,0)</f>
        <v>99.39987179</v>
      </c>
      <c r="W1497" s="6"/>
    </row>
    <row r="1498" ht="14.25" customHeight="1">
      <c r="A1498" s="6" t="str">
        <f t="shared" si="1"/>
        <v>2018Cock6</v>
      </c>
      <c r="B1498" s="59">
        <v>2018.0</v>
      </c>
      <c r="C1498" s="13" t="s">
        <v>72</v>
      </c>
      <c r="D1498" s="13" t="s">
        <v>142</v>
      </c>
      <c r="E1498" s="34"/>
      <c r="F1498" s="6"/>
      <c r="H1498" s="6"/>
      <c r="I1498" s="35" t="str">
        <f>IFERROR(IFERROR(IFERROR(VLOOKUP(B1498&amp;C1498&amp;Q1498,'New Weekly Paste'!A:M,10,0),VLOOKUP(B1498&amp;C1498&amp;Q1498,'New Weekly Paste'!B:O,6,0)),""),"")</f>
        <v>Tayski</v>
      </c>
      <c r="J1498" s="239">
        <f>IFERROR(IFERROR(VLOOKUP(B1498&amp;C1498&amp;Q1498,'New Weekly Paste'!A:M,8,0),VLOOKUP(B1498&amp;C1498&amp;Q1498,'New Weekly Paste'!B:O,10,0)),0)</f>
        <v>97.92</v>
      </c>
      <c r="K1498" s="239">
        <f>IFERROR(IFERROR(VLOOKUP(B1498&amp;I1498&amp;Q1498,'New Weekly Paste'!A:M,8,0),VLOOKUP(B1498&amp;I1498&amp;Q1498,'New Weekly Paste'!B:O,10,0)),0)</f>
        <v>85.04</v>
      </c>
      <c r="L1498" s="239">
        <f t="shared" si="25"/>
        <v>1</v>
      </c>
      <c r="M1498" s="36" t="str">
        <f t="shared" si="3"/>
        <v>Regular Season</v>
      </c>
      <c r="N1498" s="239" t="str">
        <f t="shared" si="26"/>
        <v>Tayski</v>
      </c>
      <c r="O1498" s="6">
        <f>VLOOKUP(D1498,'Mapped Opponent'!$G$4:$H$22,2,0)</f>
        <v>6</v>
      </c>
      <c r="P1498" s="6"/>
      <c r="Q1498" s="6" t="str">
        <f t="shared" si="4"/>
        <v>Week 6</v>
      </c>
      <c r="R1498" s="6" t="str">
        <f t="shared" si="5"/>
        <v>2018Week 6</v>
      </c>
      <c r="S1498" s="6">
        <f>IFERROR(__xludf.DUMMYFUNCTION("rank(J1498,FILTER(J:J,R:R=R1498))"),8.0)</f>
        <v>8</v>
      </c>
      <c r="T1498" s="6">
        <f t="shared" si="6"/>
        <v>4</v>
      </c>
      <c r="U1498" s="6">
        <f t="shared" si="7"/>
        <v>8</v>
      </c>
      <c r="V1498" s="42">
        <f>averageif(AllData!A:A,B1498,AllData!R:R)/vlookup(B1498,AllData!A:O,15,0)</f>
        <v>99.39987179</v>
      </c>
      <c r="W1498" s="6"/>
    </row>
    <row r="1499" ht="14.25" customHeight="1">
      <c r="A1499" s="6" t="str">
        <f t="shared" si="1"/>
        <v>2018Tayski6</v>
      </c>
      <c r="B1499" s="59">
        <v>2018.0</v>
      </c>
      <c r="C1499" s="13" t="s">
        <v>52</v>
      </c>
      <c r="D1499" s="13" t="s">
        <v>142</v>
      </c>
      <c r="E1499" s="34"/>
      <c r="F1499" s="6"/>
      <c r="H1499" s="6"/>
      <c r="I1499" s="35" t="str">
        <f>IFERROR(IFERROR(IFERROR(VLOOKUP(B1499&amp;C1499&amp;Q1499,'New Weekly Paste'!A:M,10,0),VLOOKUP(B1499&amp;C1499&amp;Q1499,'New Weekly Paste'!B:O,6,0)),""),"")</f>
        <v>Cock</v>
      </c>
      <c r="J1499" s="239">
        <f>IFERROR(IFERROR(VLOOKUP(B1499&amp;C1499&amp;Q1499,'New Weekly Paste'!A:M,8,0),VLOOKUP(B1499&amp;C1499&amp;Q1499,'New Weekly Paste'!B:O,10,0)),0)</f>
        <v>85.04</v>
      </c>
      <c r="K1499" s="239">
        <f>IFERROR(IFERROR(VLOOKUP(B1499&amp;I1499&amp;Q1499,'New Weekly Paste'!A:M,8,0),VLOOKUP(B1499&amp;I1499&amp;Q1499,'New Weekly Paste'!B:O,10,0)),0)</f>
        <v>97.92</v>
      </c>
      <c r="L1499" s="239">
        <f t="shared" si="25"/>
        <v>0</v>
      </c>
      <c r="M1499" s="36" t="str">
        <f t="shared" si="3"/>
        <v>Regular Season</v>
      </c>
      <c r="N1499" s="239" t="str">
        <f t="shared" si="26"/>
        <v>Cock</v>
      </c>
      <c r="O1499" s="6">
        <f>VLOOKUP(D1499,'Mapped Opponent'!$G$4:$H$22,2,0)</f>
        <v>6</v>
      </c>
      <c r="P1499" s="6"/>
      <c r="Q1499" s="6" t="str">
        <f t="shared" si="4"/>
        <v>Week 6</v>
      </c>
      <c r="R1499" s="6" t="str">
        <f t="shared" si="5"/>
        <v>2018Week 6</v>
      </c>
      <c r="S1499" s="6">
        <f>IFERROR(__xludf.DUMMYFUNCTION("rank(J1499,FILTER(J:J,R:R=R1499))"),10.0)</f>
        <v>10</v>
      </c>
      <c r="T1499" s="6">
        <f t="shared" si="6"/>
        <v>2</v>
      </c>
      <c r="U1499" s="6">
        <f t="shared" si="7"/>
        <v>10</v>
      </c>
      <c r="V1499" s="42">
        <f>averageif(AllData!A:A,B1499,AllData!R:R)/vlookup(B1499,AllData!A:O,15,0)</f>
        <v>99.39987179</v>
      </c>
      <c r="W1499" s="6"/>
    </row>
    <row r="1500" ht="14.25" customHeight="1">
      <c r="A1500" s="6" t="str">
        <f t="shared" si="1"/>
        <v>2018KnardDawg6</v>
      </c>
      <c r="B1500" s="59">
        <v>2018.0</v>
      </c>
      <c r="C1500" s="13" t="s">
        <v>86</v>
      </c>
      <c r="D1500" s="13" t="s">
        <v>142</v>
      </c>
      <c r="E1500" s="34"/>
      <c r="F1500" s="6"/>
      <c r="H1500" s="6"/>
      <c r="I1500" s="35" t="str">
        <f>IFERROR(IFERROR(IFERROR(VLOOKUP(B1500&amp;C1500&amp;Q1500,'New Weekly Paste'!A:M,10,0),VLOOKUP(B1500&amp;C1500&amp;Q1500,'New Weekly Paste'!B:O,6,0)),""),"")</f>
        <v>Hudspeath</v>
      </c>
      <c r="J1500" s="239">
        <f>IFERROR(IFERROR(VLOOKUP(B1500&amp;C1500&amp;Q1500,'New Weekly Paste'!A:M,8,0),VLOOKUP(B1500&amp;C1500&amp;Q1500,'New Weekly Paste'!B:O,10,0)),0)</f>
        <v>100.76</v>
      </c>
      <c r="K1500" s="239">
        <f>IFERROR(IFERROR(VLOOKUP(B1500&amp;I1500&amp;Q1500,'New Weekly Paste'!A:M,8,0),VLOOKUP(B1500&amp;I1500&amp;Q1500,'New Weekly Paste'!B:O,10,0)),0)</f>
        <v>120.1</v>
      </c>
      <c r="L1500" s="239">
        <f t="shared" si="25"/>
        <v>0</v>
      </c>
      <c r="M1500" s="36" t="str">
        <f t="shared" si="3"/>
        <v>Regular Season</v>
      </c>
      <c r="N1500" s="239" t="str">
        <f t="shared" si="26"/>
        <v>Hudspeath</v>
      </c>
      <c r="O1500" s="6">
        <f>VLOOKUP(D1500,'Mapped Opponent'!$G$4:$H$22,2,0)</f>
        <v>6</v>
      </c>
      <c r="P1500" s="6"/>
      <c r="Q1500" s="6" t="str">
        <f t="shared" si="4"/>
        <v>Week 6</v>
      </c>
      <c r="R1500" s="6" t="str">
        <f t="shared" si="5"/>
        <v>2018Week 6</v>
      </c>
      <c r="S1500" s="6">
        <f>IFERROR(__xludf.DUMMYFUNCTION("rank(J1500,FILTER(J:J,R:R=R1500))"),7.0)</f>
        <v>7</v>
      </c>
      <c r="T1500" s="6">
        <f t="shared" si="6"/>
        <v>5</v>
      </c>
      <c r="U1500" s="6">
        <f t="shared" si="7"/>
        <v>7</v>
      </c>
      <c r="V1500" s="42">
        <f>averageif(AllData!A:A,B1500,AllData!R:R)/vlookup(B1500,AllData!A:O,15,0)</f>
        <v>99.39987179</v>
      </c>
      <c r="W1500" s="6"/>
    </row>
    <row r="1501" ht="14.25" customHeight="1">
      <c r="A1501" s="6" t="str">
        <f t="shared" si="1"/>
        <v>2018T-How6</v>
      </c>
      <c r="B1501" s="59">
        <v>2018.0</v>
      </c>
      <c r="C1501" s="13" t="s">
        <v>82</v>
      </c>
      <c r="D1501" s="13" t="s">
        <v>142</v>
      </c>
      <c r="E1501" s="34"/>
      <c r="F1501" s="6"/>
      <c r="H1501" s="6"/>
      <c r="I1501" s="35" t="str">
        <f>IFERROR(IFERROR(IFERROR(VLOOKUP(B1501&amp;C1501&amp;Q1501,'New Weekly Paste'!A:M,10,0),VLOOKUP(B1501&amp;C1501&amp;Q1501,'New Weekly Paste'!B:O,6,0)),""),"")</f>
        <v>Fellows</v>
      </c>
      <c r="J1501" s="239">
        <f>IFERROR(IFERROR(VLOOKUP(B1501&amp;C1501&amp;Q1501,'New Weekly Paste'!A:M,8,0),VLOOKUP(B1501&amp;C1501&amp;Q1501,'New Weekly Paste'!B:O,10,0)),0)</f>
        <v>104.3</v>
      </c>
      <c r="K1501" s="239">
        <f>IFERROR(IFERROR(VLOOKUP(B1501&amp;I1501&amp;Q1501,'New Weekly Paste'!A:M,8,0),VLOOKUP(B1501&amp;I1501&amp;Q1501,'New Weekly Paste'!B:O,10,0)),0)</f>
        <v>61.98</v>
      </c>
      <c r="L1501" s="239">
        <f t="shared" si="25"/>
        <v>1</v>
      </c>
      <c r="M1501" s="36" t="str">
        <f t="shared" si="3"/>
        <v>Regular Season</v>
      </c>
      <c r="N1501" s="239" t="str">
        <f t="shared" si="26"/>
        <v>Fellows</v>
      </c>
      <c r="O1501" s="6">
        <f>VLOOKUP(D1501,'Mapped Opponent'!$G$4:$H$22,2,0)</f>
        <v>6</v>
      </c>
      <c r="P1501" s="6"/>
      <c r="Q1501" s="6" t="str">
        <f t="shared" si="4"/>
        <v>Week 6</v>
      </c>
      <c r="R1501" s="6" t="str">
        <f t="shared" si="5"/>
        <v>2018Week 6</v>
      </c>
      <c r="S1501" s="6">
        <f>IFERROR(__xludf.DUMMYFUNCTION("rank(J1501,FILTER(J:J,R:R=R1501))"),5.0)</f>
        <v>5</v>
      </c>
      <c r="T1501" s="6">
        <f t="shared" si="6"/>
        <v>7</v>
      </c>
      <c r="U1501" s="6">
        <f t="shared" si="7"/>
        <v>5</v>
      </c>
      <c r="V1501" s="42">
        <f>averageif(AllData!A:A,B1501,AllData!R:R)/vlookup(B1501,AllData!A:O,15,0)</f>
        <v>99.39987179</v>
      </c>
      <c r="W1501" s="6"/>
    </row>
    <row r="1502" ht="14.25" customHeight="1">
      <c r="A1502" s="6" t="str">
        <f t="shared" si="1"/>
        <v>2018Hudspeath7</v>
      </c>
      <c r="B1502" s="59">
        <v>2018.0</v>
      </c>
      <c r="C1502" s="13" t="s">
        <v>39</v>
      </c>
      <c r="D1502" s="13" t="s">
        <v>143</v>
      </c>
      <c r="E1502" s="34"/>
      <c r="F1502" s="6"/>
      <c r="H1502" s="6"/>
      <c r="I1502" s="35" t="str">
        <f>IFERROR(IFERROR(IFERROR(VLOOKUP(B1502&amp;C1502&amp;Q1502,'New Weekly Paste'!A:M,10,0),VLOOKUP(B1502&amp;C1502&amp;Q1502,'New Weekly Paste'!B:O,6,0)),""),"")</f>
        <v>Tayski</v>
      </c>
      <c r="J1502" s="239">
        <f>IFERROR(IFERROR(VLOOKUP(B1502&amp;C1502&amp;Q1502,'New Weekly Paste'!A:M,8,0),VLOOKUP(B1502&amp;C1502&amp;Q1502,'New Weekly Paste'!B:O,10,0)),0)</f>
        <v>101.22</v>
      </c>
      <c r="K1502" s="239">
        <f>IFERROR(IFERROR(VLOOKUP(B1502&amp;I1502&amp;Q1502,'New Weekly Paste'!A:M,8,0),VLOOKUP(B1502&amp;I1502&amp;Q1502,'New Weekly Paste'!B:O,10,0)),0)</f>
        <v>99.24</v>
      </c>
      <c r="L1502" s="239">
        <f t="shared" si="25"/>
        <v>1</v>
      </c>
      <c r="M1502" s="36" t="str">
        <f t="shared" si="3"/>
        <v>Regular Season</v>
      </c>
      <c r="N1502" s="239" t="str">
        <f t="shared" si="26"/>
        <v>Tayski</v>
      </c>
      <c r="O1502" s="6">
        <f>VLOOKUP(D1502,'Mapped Opponent'!$G$4:$H$22,2,0)</f>
        <v>7</v>
      </c>
      <c r="P1502" s="6"/>
      <c r="Q1502" s="6" t="str">
        <f t="shared" si="4"/>
        <v>Week 7</v>
      </c>
      <c r="R1502" s="6" t="str">
        <f t="shared" si="5"/>
        <v>2018Week 7</v>
      </c>
      <c r="S1502" s="6">
        <f>IFERROR(__xludf.DUMMYFUNCTION("rank(J1502,FILTER(J:J,R:R=R1502))"),5.0)</f>
        <v>5</v>
      </c>
      <c r="T1502" s="6">
        <f t="shared" si="6"/>
        <v>7</v>
      </c>
      <c r="U1502" s="6">
        <f t="shared" si="7"/>
        <v>5</v>
      </c>
      <c r="V1502" s="42">
        <f>averageif(AllData!A:A,B1502,AllData!R:R)/vlookup(B1502,AllData!A:O,15,0)</f>
        <v>99.39987179</v>
      </c>
      <c r="W1502" s="6"/>
    </row>
    <row r="1503" ht="14.25" customHeight="1">
      <c r="A1503" s="6" t="str">
        <f t="shared" si="1"/>
        <v>2018Salty7</v>
      </c>
      <c r="B1503" s="59">
        <v>2018.0</v>
      </c>
      <c r="C1503" s="13" t="s">
        <v>76</v>
      </c>
      <c r="D1503" s="13" t="s">
        <v>143</v>
      </c>
      <c r="E1503" s="34"/>
      <c r="F1503" s="6"/>
      <c r="H1503" s="6"/>
      <c r="I1503" s="35" t="str">
        <f>IFERROR(IFERROR(IFERROR(VLOOKUP(B1503&amp;C1503&amp;Q1503,'New Weekly Paste'!A:M,10,0),VLOOKUP(B1503&amp;C1503&amp;Q1503,'New Weekly Paste'!B:O,6,0)),""),"")</f>
        <v>Buser</v>
      </c>
      <c r="J1503" s="239">
        <f>IFERROR(IFERROR(VLOOKUP(B1503&amp;C1503&amp;Q1503,'New Weekly Paste'!A:M,8,0),VLOOKUP(B1503&amp;C1503&amp;Q1503,'New Weekly Paste'!B:O,10,0)),0)</f>
        <v>130.2</v>
      </c>
      <c r="K1503" s="239">
        <f>IFERROR(IFERROR(VLOOKUP(B1503&amp;I1503&amp;Q1503,'New Weekly Paste'!A:M,8,0),VLOOKUP(B1503&amp;I1503&amp;Q1503,'New Weekly Paste'!B:O,10,0)),0)</f>
        <v>99.96</v>
      </c>
      <c r="L1503" s="239">
        <f t="shared" si="25"/>
        <v>1</v>
      </c>
      <c r="M1503" s="36" t="str">
        <f t="shared" si="3"/>
        <v>Regular Season</v>
      </c>
      <c r="N1503" s="239" t="str">
        <f t="shared" si="26"/>
        <v>Buser</v>
      </c>
      <c r="O1503" s="6">
        <f>VLOOKUP(D1503,'Mapped Opponent'!$G$4:$H$22,2,0)</f>
        <v>7</v>
      </c>
      <c r="P1503" s="6"/>
      <c r="Q1503" s="6" t="str">
        <f t="shared" si="4"/>
        <v>Week 7</v>
      </c>
      <c r="R1503" s="6" t="str">
        <f t="shared" si="5"/>
        <v>2018Week 7</v>
      </c>
      <c r="S1503" s="6">
        <f>IFERROR(__xludf.DUMMYFUNCTION("rank(J1503,FILTER(J:J,R:R=R1503))"),2.0)</f>
        <v>2</v>
      </c>
      <c r="T1503" s="6">
        <f t="shared" si="6"/>
        <v>10</v>
      </c>
      <c r="U1503" s="6">
        <f t="shared" si="7"/>
        <v>2</v>
      </c>
      <c r="V1503" s="42">
        <f>averageif(AllData!A:A,B1503,AllData!R:R)/vlookup(B1503,AllData!A:O,15,0)</f>
        <v>99.39987179</v>
      </c>
      <c r="W1503" s="6"/>
    </row>
    <row r="1504" ht="14.25" customHeight="1">
      <c r="A1504" s="6" t="str">
        <f t="shared" si="1"/>
        <v>2018Fellows7</v>
      </c>
      <c r="B1504" s="59">
        <v>2018.0</v>
      </c>
      <c r="C1504" s="13" t="s">
        <v>79</v>
      </c>
      <c r="D1504" s="13" t="s">
        <v>143</v>
      </c>
      <c r="E1504" s="34"/>
      <c r="F1504" s="6"/>
      <c r="H1504" s="6"/>
      <c r="I1504" s="35" t="str">
        <f>IFERROR(IFERROR(IFERROR(VLOOKUP(B1504&amp;C1504&amp;Q1504,'New Weekly Paste'!A:M,10,0),VLOOKUP(B1504&amp;C1504&amp;Q1504,'New Weekly Paste'!B:O,6,0)),""),"")</f>
        <v>Shep</v>
      </c>
      <c r="J1504" s="239">
        <f>IFERROR(IFERROR(VLOOKUP(B1504&amp;C1504&amp;Q1504,'New Weekly Paste'!A:M,8,0),VLOOKUP(B1504&amp;C1504&amp;Q1504,'New Weekly Paste'!B:O,10,0)),0)</f>
        <v>68.76</v>
      </c>
      <c r="K1504" s="239">
        <f>IFERROR(IFERROR(VLOOKUP(B1504&amp;I1504&amp;Q1504,'New Weekly Paste'!A:M,8,0),VLOOKUP(B1504&amp;I1504&amp;Q1504,'New Weekly Paste'!B:O,10,0)),0)</f>
        <v>94.42</v>
      </c>
      <c r="L1504" s="239">
        <f t="shared" si="25"/>
        <v>0</v>
      </c>
      <c r="M1504" s="36" t="str">
        <f t="shared" si="3"/>
        <v>Regular Season</v>
      </c>
      <c r="N1504" s="239" t="str">
        <f t="shared" si="26"/>
        <v>Shep</v>
      </c>
      <c r="O1504" s="6">
        <f>VLOOKUP(D1504,'Mapped Opponent'!$G$4:$H$22,2,0)</f>
        <v>7</v>
      </c>
      <c r="P1504" s="6"/>
      <c r="Q1504" s="6" t="str">
        <f t="shared" si="4"/>
        <v>Week 7</v>
      </c>
      <c r="R1504" s="6" t="str">
        <f t="shared" si="5"/>
        <v>2018Week 7</v>
      </c>
      <c r="S1504" s="6">
        <f>IFERROR(__xludf.DUMMYFUNCTION("rank(J1504,FILTER(J:J,R:R=R1504))"),12.0)</f>
        <v>12</v>
      </c>
      <c r="T1504" s="6">
        <f t="shared" si="6"/>
        <v>0</v>
      </c>
      <c r="U1504" s="6">
        <f t="shared" si="7"/>
        <v>12</v>
      </c>
      <c r="V1504" s="42">
        <f>averageif(AllData!A:A,B1504,AllData!R:R)/vlookup(B1504,AllData!A:O,15,0)</f>
        <v>99.39987179</v>
      </c>
      <c r="W1504" s="6"/>
    </row>
    <row r="1505" ht="14.25" customHeight="1">
      <c r="A1505" s="6" t="str">
        <f t="shared" si="1"/>
        <v>2018Shep7</v>
      </c>
      <c r="B1505" s="59">
        <v>2018.0</v>
      </c>
      <c r="C1505" s="13" t="s">
        <v>89</v>
      </c>
      <c r="D1505" s="13" t="s">
        <v>143</v>
      </c>
      <c r="E1505" s="34"/>
      <c r="F1505" s="6"/>
      <c r="H1505" s="6"/>
      <c r="I1505" s="35" t="str">
        <f>IFERROR(IFERROR(IFERROR(VLOOKUP(B1505&amp;C1505&amp;Q1505,'New Weekly Paste'!A:M,10,0),VLOOKUP(B1505&amp;C1505&amp;Q1505,'New Weekly Paste'!B:O,6,0)),""),"")</f>
        <v>Fellows</v>
      </c>
      <c r="J1505" s="239">
        <f>IFERROR(IFERROR(VLOOKUP(B1505&amp;C1505&amp;Q1505,'New Weekly Paste'!A:M,8,0),VLOOKUP(B1505&amp;C1505&amp;Q1505,'New Weekly Paste'!B:O,10,0)),0)</f>
        <v>94.42</v>
      </c>
      <c r="K1505" s="239">
        <f>IFERROR(IFERROR(VLOOKUP(B1505&amp;I1505&amp;Q1505,'New Weekly Paste'!A:M,8,0),VLOOKUP(B1505&amp;I1505&amp;Q1505,'New Weekly Paste'!B:O,10,0)),0)</f>
        <v>68.76</v>
      </c>
      <c r="L1505" s="239">
        <f t="shared" si="25"/>
        <v>1</v>
      </c>
      <c r="M1505" s="36" t="str">
        <f t="shared" si="3"/>
        <v>Regular Season</v>
      </c>
      <c r="N1505" s="239" t="str">
        <f t="shared" si="26"/>
        <v>Fellows</v>
      </c>
      <c r="O1505" s="6">
        <f>VLOOKUP(D1505,'Mapped Opponent'!$G$4:$H$22,2,0)</f>
        <v>7</v>
      </c>
      <c r="P1505" s="6"/>
      <c r="Q1505" s="6" t="str">
        <f t="shared" si="4"/>
        <v>Week 7</v>
      </c>
      <c r="R1505" s="6" t="str">
        <f t="shared" si="5"/>
        <v>2018Week 7</v>
      </c>
      <c r="S1505" s="6">
        <f>IFERROR(__xludf.DUMMYFUNCTION("rank(J1505,FILTER(J:J,R:R=R1505))"),8.0)</f>
        <v>8</v>
      </c>
      <c r="T1505" s="6">
        <f t="shared" si="6"/>
        <v>4</v>
      </c>
      <c r="U1505" s="6">
        <f t="shared" si="7"/>
        <v>8</v>
      </c>
      <c r="V1505" s="42">
        <f>averageif(AllData!A:A,B1505,AllData!R:R)/vlookup(B1505,AllData!A:O,15,0)</f>
        <v>99.39987179</v>
      </c>
      <c r="W1505" s="6"/>
    </row>
    <row r="1506" ht="14.25" customHeight="1">
      <c r="A1506" s="6" t="str">
        <f t="shared" si="1"/>
        <v>2018Riley7</v>
      </c>
      <c r="B1506" s="59">
        <v>2018.0</v>
      </c>
      <c r="C1506" s="13" t="s">
        <v>67</v>
      </c>
      <c r="D1506" s="13" t="s">
        <v>143</v>
      </c>
      <c r="E1506" s="34"/>
      <c r="F1506" s="6"/>
      <c r="H1506" s="6"/>
      <c r="I1506" s="35" t="str">
        <f>IFERROR(IFERROR(IFERROR(VLOOKUP(B1506&amp;C1506&amp;Q1506,'New Weekly Paste'!A:M,10,0),VLOOKUP(B1506&amp;C1506&amp;Q1506,'New Weekly Paste'!B:O,6,0)),""),"")</f>
        <v>T-How</v>
      </c>
      <c r="J1506" s="239">
        <f>IFERROR(IFERROR(VLOOKUP(B1506&amp;C1506&amp;Q1506,'New Weekly Paste'!A:M,8,0),VLOOKUP(B1506&amp;C1506&amp;Q1506,'New Weekly Paste'!B:O,10,0)),0)</f>
        <v>86.02</v>
      </c>
      <c r="K1506" s="239">
        <f>IFERROR(IFERROR(VLOOKUP(B1506&amp;I1506&amp;Q1506,'New Weekly Paste'!A:M,8,0),VLOOKUP(B1506&amp;I1506&amp;Q1506,'New Weekly Paste'!B:O,10,0)),0)</f>
        <v>137.38</v>
      </c>
      <c r="L1506" s="239">
        <f t="shared" si="25"/>
        <v>0</v>
      </c>
      <c r="M1506" s="36" t="str">
        <f t="shared" si="3"/>
        <v>Regular Season</v>
      </c>
      <c r="N1506" s="239" t="str">
        <f t="shared" si="26"/>
        <v>T-How</v>
      </c>
      <c r="O1506" s="6">
        <f>VLOOKUP(D1506,'Mapped Opponent'!$G$4:$H$22,2,0)</f>
        <v>7</v>
      </c>
      <c r="P1506" s="6"/>
      <c r="Q1506" s="6" t="str">
        <f t="shared" si="4"/>
        <v>Week 7</v>
      </c>
      <c r="R1506" s="6" t="str">
        <f t="shared" si="5"/>
        <v>2018Week 7</v>
      </c>
      <c r="S1506" s="6">
        <f>IFERROR(__xludf.DUMMYFUNCTION("rank(J1506,FILTER(J:J,R:R=R1506))"),9.0)</f>
        <v>9</v>
      </c>
      <c r="T1506" s="6">
        <f t="shared" si="6"/>
        <v>3</v>
      </c>
      <c r="U1506" s="6">
        <f t="shared" si="7"/>
        <v>9</v>
      </c>
      <c r="V1506" s="42">
        <f>averageif(AllData!A:A,B1506,AllData!R:R)/vlookup(B1506,AllData!A:O,15,0)</f>
        <v>99.39987179</v>
      </c>
      <c r="W1506" s="6"/>
    </row>
    <row r="1507" ht="14.25" customHeight="1">
      <c r="A1507" s="6" t="str">
        <f t="shared" si="1"/>
        <v>2018Rooney/Jackson7</v>
      </c>
      <c r="B1507" s="59">
        <v>2018.0</v>
      </c>
      <c r="C1507" s="13" t="s">
        <v>57</v>
      </c>
      <c r="D1507" s="13" t="s">
        <v>143</v>
      </c>
      <c r="E1507" s="34"/>
      <c r="F1507" s="6"/>
      <c r="H1507" s="6"/>
      <c r="I1507" s="35" t="str">
        <f>IFERROR(IFERROR(IFERROR(VLOOKUP(B1507&amp;C1507&amp;Q1507,'New Weekly Paste'!A:M,10,0),VLOOKUP(B1507&amp;C1507&amp;Q1507,'New Weekly Paste'!B:O,6,0)),""),"")</f>
        <v>Cock</v>
      </c>
      <c r="J1507" s="239">
        <f>IFERROR(IFERROR(VLOOKUP(B1507&amp;C1507&amp;Q1507,'New Weekly Paste'!A:M,8,0),VLOOKUP(B1507&amp;C1507&amp;Q1507,'New Weekly Paste'!B:O,10,0)),0)</f>
        <v>77.66</v>
      </c>
      <c r="K1507" s="239">
        <f>IFERROR(IFERROR(VLOOKUP(B1507&amp;I1507&amp;Q1507,'New Weekly Paste'!A:M,8,0),VLOOKUP(B1507&amp;I1507&amp;Q1507,'New Weekly Paste'!B:O,10,0)),0)</f>
        <v>106.44</v>
      </c>
      <c r="L1507" s="239">
        <f t="shared" si="25"/>
        <v>0</v>
      </c>
      <c r="M1507" s="36" t="str">
        <f t="shared" si="3"/>
        <v>Regular Season</v>
      </c>
      <c r="N1507" s="239" t="str">
        <f t="shared" si="26"/>
        <v>Cock</v>
      </c>
      <c r="O1507" s="6">
        <f>VLOOKUP(D1507,'Mapped Opponent'!$G$4:$H$22,2,0)</f>
        <v>7</v>
      </c>
      <c r="P1507" s="6"/>
      <c r="Q1507" s="6" t="str">
        <f t="shared" si="4"/>
        <v>Week 7</v>
      </c>
      <c r="R1507" s="6" t="str">
        <f t="shared" si="5"/>
        <v>2018Week 7</v>
      </c>
      <c r="S1507" s="6">
        <f>IFERROR(__xludf.DUMMYFUNCTION("rank(J1507,FILTER(J:J,R:R=R1507))"),10.0)</f>
        <v>10</v>
      </c>
      <c r="T1507" s="6">
        <f t="shared" si="6"/>
        <v>2</v>
      </c>
      <c r="U1507" s="6">
        <f t="shared" si="7"/>
        <v>10</v>
      </c>
      <c r="V1507" s="42">
        <f>averageif(AllData!A:A,B1507,AllData!R:R)/vlookup(B1507,AllData!A:O,15,0)</f>
        <v>99.39987179</v>
      </c>
      <c r="W1507" s="6"/>
    </row>
    <row r="1508" ht="14.25" customHeight="1">
      <c r="A1508" s="6" t="str">
        <f t="shared" si="1"/>
        <v>2018Buser7</v>
      </c>
      <c r="B1508" s="59">
        <v>2018.0</v>
      </c>
      <c r="C1508" s="13" t="s">
        <v>47</v>
      </c>
      <c r="D1508" s="13" t="s">
        <v>143</v>
      </c>
      <c r="E1508" s="34"/>
      <c r="F1508" s="6"/>
      <c r="H1508" s="6"/>
      <c r="I1508" s="35" t="str">
        <f>IFERROR(IFERROR(IFERROR(VLOOKUP(B1508&amp;C1508&amp;Q1508,'New Weekly Paste'!A:M,10,0),VLOOKUP(B1508&amp;C1508&amp;Q1508,'New Weekly Paste'!B:O,6,0)),""),"")</f>
        <v>Salty</v>
      </c>
      <c r="J1508" s="239">
        <f>IFERROR(IFERROR(VLOOKUP(B1508&amp;C1508&amp;Q1508,'New Weekly Paste'!A:M,8,0),VLOOKUP(B1508&amp;C1508&amp;Q1508,'New Weekly Paste'!B:O,10,0)),0)</f>
        <v>99.96</v>
      </c>
      <c r="K1508" s="239">
        <f>IFERROR(IFERROR(VLOOKUP(B1508&amp;I1508&amp;Q1508,'New Weekly Paste'!A:M,8,0),VLOOKUP(B1508&amp;I1508&amp;Q1508,'New Weekly Paste'!B:O,10,0)),0)</f>
        <v>130.2</v>
      </c>
      <c r="L1508" s="239">
        <f t="shared" si="25"/>
        <v>0</v>
      </c>
      <c r="M1508" s="36" t="str">
        <f t="shared" si="3"/>
        <v>Regular Season</v>
      </c>
      <c r="N1508" s="239" t="str">
        <f t="shared" si="26"/>
        <v>Salty</v>
      </c>
      <c r="O1508" s="6">
        <f>VLOOKUP(D1508,'Mapped Opponent'!$G$4:$H$22,2,0)</f>
        <v>7</v>
      </c>
      <c r="P1508" s="6"/>
      <c r="Q1508" s="6" t="str">
        <f t="shared" si="4"/>
        <v>Week 7</v>
      </c>
      <c r="R1508" s="6" t="str">
        <f t="shared" si="5"/>
        <v>2018Week 7</v>
      </c>
      <c r="S1508" s="6">
        <f>IFERROR(__xludf.DUMMYFUNCTION("rank(J1508,FILTER(J:J,R:R=R1508))"),6.0)</f>
        <v>6</v>
      </c>
      <c r="T1508" s="6">
        <f t="shared" si="6"/>
        <v>6</v>
      </c>
      <c r="U1508" s="6">
        <f t="shared" si="7"/>
        <v>6</v>
      </c>
      <c r="V1508" s="42">
        <f>averageif(AllData!A:A,B1508,AllData!R:R)/vlookup(B1508,AllData!A:O,15,0)</f>
        <v>99.39987179</v>
      </c>
      <c r="W1508" s="6"/>
    </row>
    <row r="1509" ht="14.25" customHeight="1">
      <c r="A1509" s="6" t="str">
        <f t="shared" si="1"/>
        <v>2018Pierson7</v>
      </c>
      <c r="B1509" s="59">
        <v>2018.0</v>
      </c>
      <c r="C1509" s="13" t="s">
        <v>92</v>
      </c>
      <c r="D1509" s="13" t="s">
        <v>143</v>
      </c>
      <c r="E1509" s="34"/>
      <c r="F1509" s="6"/>
      <c r="H1509" s="6"/>
      <c r="I1509" s="35" t="str">
        <f>IFERROR(IFERROR(IFERROR(VLOOKUP(B1509&amp;C1509&amp;Q1509,'New Weekly Paste'!A:M,10,0),VLOOKUP(B1509&amp;C1509&amp;Q1509,'New Weekly Paste'!B:O,6,0)),""),"")</f>
        <v>KnardDawg</v>
      </c>
      <c r="J1509" s="239">
        <f>IFERROR(IFERROR(VLOOKUP(B1509&amp;C1509&amp;Q1509,'New Weekly Paste'!A:M,8,0),VLOOKUP(B1509&amp;C1509&amp;Q1509,'New Weekly Paste'!B:O,10,0)),0)</f>
        <v>118.34</v>
      </c>
      <c r="K1509" s="239">
        <f>IFERROR(IFERROR(VLOOKUP(B1509&amp;I1509&amp;Q1509,'New Weekly Paste'!A:M,8,0),VLOOKUP(B1509&amp;I1509&amp;Q1509,'New Weekly Paste'!B:O,10,0)),0)</f>
        <v>76.58</v>
      </c>
      <c r="L1509" s="239">
        <f t="shared" si="25"/>
        <v>1</v>
      </c>
      <c r="M1509" s="36" t="str">
        <f t="shared" si="3"/>
        <v>Regular Season</v>
      </c>
      <c r="N1509" s="239" t="str">
        <f t="shared" si="26"/>
        <v>KnardDawg</v>
      </c>
      <c r="O1509" s="6">
        <f>VLOOKUP(D1509,'Mapped Opponent'!$G$4:$H$22,2,0)</f>
        <v>7</v>
      </c>
      <c r="P1509" s="6"/>
      <c r="Q1509" s="6" t="str">
        <f t="shared" si="4"/>
        <v>Week 7</v>
      </c>
      <c r="R1509" s="6" t="str">
        <f t="shared" si="5"/>
        <v>2018Week 7</v>
      </c>
      <c r="S1509" s="6">
        <f>IFERROR(__xludf.DUMMYFUNCTION("rank(J1509,FILTER(J:J,R:R=R1509))"),3.0)</f>
        <v>3</v>
      </c>
      <c r="T1509" s="6">
        <f t="shared" si="6"/>
        <v>9</v>
      </c>
      <c r="U1509" s="6">
        <f t="shared" si="7"/>
        <v>3</v>
      </c>
      <c r="V1509" s="42">
        <f>averageif(AllData!A:A,B1509,AllData!R:R)/vlookup(B1509,AllData!A:O,15,0)</f>
        <v>99.39987179</v>
      </c>
      <c r="W1509" s="6"/>
    </row>
    <row r="1510" ht="14.25" customHeight="1">
      <c r="A1510" s="6" t="str">
        <f t="shared" si="1"/>
        <v>2018Cock7</v>
      </c>
      <c r="B1510" s="59">
        <v>2018.0</v>
      </c>
      <c r="C1510" s="13" t="s">
        <v>72</v>
      </c>
      <c r="D1510" s="13" t="s">
        <v>143</v>
      </c>
      <c r="E1510" s="34"/>
      <c r="F1510" s="6"/>
      <c r="H1510" s="6"/>
      <c r="I1510" s="35" t="str">
        <f>IFERROR(IFERROR(IFERROR(VLOOKUP(B1510&amp;C1510&amp;Q1510,'New Weekly Paste'!A:M,10,0),VLOOKUP(B1510&amp;C1510&amp;Q1510,'New Weekly Paste'!B:O,6,0)),""),"")</f>
        <v>Rooney/Jackson</v>
      </c>
      <c r="J1510" s="239">
        <f>IFERROR(IFERROR(VLOOKUP(B1510&amp;C1510&amp;Q1510,'New Weekly Paste'!A:M,8,0),VLOOKUP(B1510&amp;C1510&amp;Q1510,'New Weekly Paste'!B:O,10,0)),0)</f>
        <v>106.44</v>
      </c>
      <c r="K1510" s="239">
        <f>IFERROR(IFERROR(VLOOKUP(B1510&amp;I1510&amp;Q1510,'New Weekly Paste'!A:M,8,0),VLOOKUP(B1510&amp;I1510&amp;Q1510,'New Weekly Paste'!B:O,10,0)),0)</f>
        <v>77.66</v>
      </c>
      <c r="L1510" s="239">
        <f t="shared" si="25"/>
        <v>1</v>
      </c>
      <c r="M1510" s="36" t="str">
        <f t="shared" si="3"/>
        <v>Regular Season</v>
      </c>
      <c r="N1510" s="239" t="str">
        <f t="shared" si="26"/>
        <v>Rooney/Jackson</v>
      </c>
      <c r="O1510" s="6">
        <f>VLOOKUP(D1510,'Mapped Opponent'!$G$4:$H$22,2,0)</f>
        <v>7</v>
      </c>
      <c r="P1510" s="6"/>
      <c r="Q1510" s="6" t="str">
        <f t="shared" si="4"/>
        <v>Week 7</v>
      </c>
      <c r="R1510" s="6" t="str">
        <f t="shared" si="5"/>
        <v>2018Week 7</v>
      </c>
      <c r="S1510" s="6">
        <f>IFERROR(__xludf.DUMMYFUNCTION("rank(J1510,FILTER(J:J,R:R=R1510))"),4.0)</f>
        <v>4</v>
      </c>
      <c r="T1510" s="6">
        <f t="shared" si="6"/>
        <v>8</v>
      </c>
      <c r="U1510" s="6">
        <f t="shared" si="7"/>
        <v>4</v>
      </c>
      <c r="V1510" s="42">
        <f>averageif(AllData!A:A,B1510,AllData!R:R)/vlookup(B1510,AllData!A:O,15,0)</f>
        <v>99.39987179</v>
      </c>
      <c r="W1510" s="6"/>
    </row>
    <row r="1511" ht="14.25" customHeight="1">
      <c r="A1511" s="6" t="str">
        <f t="shared" si="1"/>
        <v>2018Tayski7</v>
      </c>
      <c r="B1511" s="59">
        <v>2018.0</v>
      </c>
      <c r="C1511" s="13" t="s">
        <v>52</v>
      </c>
      <c r="D1511" s="13" t="s">
        <v>143</v>
      </c>
      <c r="E1511" s="34"/>
      <c r="F1511" s="6"/>
      <c r="H1511" s="6"/>
      <c r="I1511" s="35" t="str">
        <f>IFERROR(IFERROR(IFERROR(VLOOKUP(B1511&amp;C1511&amp;Q1511,'New Weekly Paste'!A:M,10,0),VLOOKUP(B1511&amp;C1511&amp;Q1511,'New Weekly Paste'!B:O,6,0)),""),"")</f>
        <v>Hudspeath</v>
      </c>
      <c r="J1511" s="239">
        <f>IFERROR(IFERROR(VLOOKUP(B1511&amp;C1511&amp;Q1511,'New Weekly Paste'!A:M,8,0),VLOOKUP(B1511&amp;C1511&amp;Q1511,'New Weekly Paste'!B:O,10,0)),0)</f>
        <v>99.24</v>
      </c>
      <c r="K1511" s="239">
        <f>IFERROR(IFERROR(VLOOKUP(B1511&amp;I1511&amp;Q1511,'New Weekly Paste'!A:M,8,0),VLOOKUP(B1511&amp;I1511&amp;Q1511,'New Weekly Paste'!B:O,10,0)),0)</f>
        <v>101.22</v>
      </c>
      <c r="L1511" s="239">
        <f t="shared" si="25"/>
        <v>0</v>
      </c>
      <c r="M1511" s="36" t="str">
        <f t="shared" si="3"/>
        <v>Regular Season</v>
      </c>
      <c r="N1511" s="239" t="str">
        <f t="shared" si="26"/>
        <v>Hudspeath</v>
      </c>
      <c r="O1511" s="6">
        <f>VLOOKUP(D1511,'Mapped Opponent'!$G$4:$H$22,2,0)</f>
        <v>7</v>
      </c>
      <c r="P1511" s="6"/>
      <c r="Q1511" s="6" t="str">
        <f t="shared" si="4"/>
        <v>Week 7</v>
      </c>
      <c r="R1511" s="6" t="str">
        <f t="shared" si="5"/>
        <v>2018Week 7</v>
      </c>
      <c r="S1511" s="6">
        <f>IFERROR(__xludf.DUMMYFUNCTION("rank(J1511,FILTER(J:J,R:R=R1511))"),7.0)</f>
        <v>7</v>
      </c>
      <c r="T1511" s="6">
        <f t="shared" si="6"/>
        <v>5</v>
      </c>
      <c r="U1511" s="6">
        <f t="shared" si="7"/>
        <v>7</v>
      </c>
      <c r="V1511" s="42">
        <f>averageif(AllData!A:A,B1511,AllData!R:R)/vlookup(B1511,AllData!A:O,15,0)</f>
        <v>99.39987179</v>
      </c>
      <c r="W1511" s="6"/>
    </row>
    <row r="1512" ht="14.25" customHeight="1">
      <c r="A1512" s="6" t="str">
        <f t="shared" si="1"/>
        <v>2018KnardDawg7</v>
      </c>
      <c r="B1512" s="59">
        <v>2018.0</v>
      </c>
      <c r="C1512" s="13" t="s">
        <v>86</v>
      </c>
      <c r="D1512" s="13" t="s">
        <v>143</v>
      </c>
      <c r="E1512" s="34"/>
      <c r="F1512" s="6"/>
      <c r="H1512" s="6"/>
      <c r="I1512" s="35" t="str">
        <f>IFERROR(IFERROR(IFERROR(VLOOKUP(B1512&amp;C1512&amp;Q1512,'New Weekly Paste'!A:M,10,0),VLOOKUP(B1512&amp;C1512&amp;Q1512,'New Weekly Paste'!B:O,6,0)),""),"")</f>
        <v>Pierson</v>
      </c>
      <c r="J1512" s="239">
        <f>IFERROR(IFERROR(VLOOKUP(B1512&amp;C1512&amp;Q1512,'New Weekly Paste'!A:M,8,0),VLOOKUP(B1512&amp;C1512&amp;Q1512,'New Weekly Paste'!B:O,10,0)),0)</f>
        <v>76.58</v>
      </c>
      <c r="K1512" s="239">
        <f>IFERROR(IFERROR(VLOOKUP(B1512&amp;I1512&amp;Q1512,'New Weekly Paste'!A:M,8,0),VLOOKUP(B1512&amp;I1512&amp;Q1512,'New Weekly Paste'!B:O,10,0)),0)</f>
        <v>118.34</v>
      </c>
      <c r="L1512" s="239">
        <f t="shared" si="25"/>
        <v>0</v>
      </c>
      <c r="M1512" s="36" t="str">
        <f t="shared" si="3"/>
        <v>Regular Season</v>
      </c>
      <c r="N1512" s="239" t="str">
        <f t="shared" si="26"/>
        <v>Pierson</v>
      </c>
      <c r="O1512" s="6">
        <f>VLOOKUP(D1512,'Mapped Opponent'!$G$4:$H$22,2,0)</f>
        <v>7</v>
      </c>
      <c r="P1512" s="6"/>
      <c r="Q1512" s="6" t="str">
        <f t="shared" si="4"/>
        <v>Week 7</v>
      </c>
      <c r="R1512" s="6" t="str">
        <f t="shared" si="5"/>
        <v>2018Week 7</v>
      </c>
      <c r="S1512" s="6">
        <f>IFERROR(__xludf.DUMMYFUNCTION("rank(J1512,FILTER(J:J,R:R=R1512))"),11.0)</f>
        <v>11</v>
      </c>
      <c r="T1512" s="6">
        <f t="shared" si="6"/>
        <v>1</v>
      </c>
      <c r="U1512" s="6">
        <f t="shared" si="7"/>
        <v>11</v>
      </c>
      <c r="V1512" s="42">
        <f>averageif(AllData!A:A,B1512,AllData!R:R)/vlookup(B1512,AllData!A:O,15,0)</f>
        <v>99.39987179</v>
      </c>
      <c r="W1512" s="6"/>
    </row>
    <row r="1513" ht="14.25" customHeight="1">
      <c r="A1513" s="6" t="str">
        <f t="shared" si="1"/>
        <v>2018T-How7</v>
      </c>
      <c r="B1513" s="59">
        <v>2018.0</v>
      </c>
      <c r="C1513" s="13" t="s">
        <v>82</v>
      </c>
      <c r="D1513" s="13" t="s">
        <v>143</v>
      </c>
      <c r="E1513" s="34"/>
      <c r="F1513" s="6"/>
      <c r="H1513" s="6"/>
      <c r="I1513" s="35" t="str">
        <f>IFERROR(IFERROR(IFERROR(VLOOKUP(B1513&amp;C1513&amp;Q1513,'New Weekly Paste'!A:M,10,0),VLOOKUP(B1513&amp;C1513&amp;Q1513,'New Weekly Paste'!B:O,6,0)),""),"")</f>
        <v>Riley</v>
      </c>
      <c r="J1513" s="239">
        <f>IFERROR(IFERROR(VLOOKUP(B1513&amp;C1513&amp;Q1513,'New Weekly Paste'!A:M,8,0),VLOOKUP(B1513&amp;C1513&amp;Q1513,'New Weekly Paste'!B:O,10,0)),0)</f>
        <v>137.38</v>
      </c>
      <c r="K1513" s="239">
        <f>IFERROR(IFERROR(VLOOKUP(B1513&amp;I1513&amp;Q1513,'New Weekly Paste'!A:M,8,0),VLOOKUP(B1513&amp;I1513&amp;Q1513,'New Weekly Paste'!B:O,10,0)),0)</f>
        <v>86.02</v>
      </c>
      <c r="L1513" s="239">
        <f t="shared" si="25"/>
        <v>1</v>
      </c>
      <c r="M1513" s="36" t="str">
        <f t="shared" si="3"/>
        <v>Regular Season</v>
      </c>
      <c r="N1513" s="239" t="str">
        <f t="shared" si="26"/>
        <v>Riley</v>
      </c>
      <c r="O1513" s="6">
        <f>VLOOKUP(D1513,'Mapped Opponent'!$G$4:$H$22,2,0)</f>
        <v>7</v>
      </c>
      <c r="P1513" s="6"/>
      <c r="Q1513" s="6" t="str">
        <f t="shared" si="4"/>
        <v>Week 7</v>
      </c>
      <c r="R1513" s="6" t="str">
        <f t="shared" si="5"/>
        <v>2018Week 7</v>
      </c>
      <c r="S1513" s="6">
        <f>IFERROR(__xludf.DUMMYFUNCTION("rank(J1513,FILTER(J:J,R:R=R1513))"),1.0)</f>
        <v>1</v>
      </c>
      <c r="T1513" s="6">
        <f t="shared" si="6"/>
        <v>11</v>
      </c>
      <c r="U1513" s="6">
        <f t="shared" si="7"/>
        <v>1</v>
      </c>
      <c r="V1513" s="42">
        <f>averageif(AllData!A:A,B1513,AllData!R:R)/vlookup(B1513,AllData!A:O,15,0)</f>
        <v>99.39987179</v>
      </c>
      <c r="W1513" s="6"/>
    </row>
    <row r="1514" ht="14.25" customHeight="1">
      <c r="A1514" s="6" t="str">
        <f t="shared" si="1"/>
        <v>2018Hudspeath8</v>
      </c>
      <c r="B1514" s="59">
        <v>2018.0</v>
      </c>
      <c r="C1514" s="13" t="s">
        <v>39</v>
      </c>
      <c r="D1514" s="13" t="s">
        <v>145</v>
      </c>
      <c r="E1514" s="34"/>
      <c r="F1514" s="6"/>
      <c r="H1514" s="6"/>
      <c r="I1514" s="35" t="str">
        <f>IFERROR(IFERROR(IFERROR(VLOOKUP(B1514&amp;C1514&amp;Q1514,'New Weekly Paste'!A:M,10,0),VLOOKUP(B1514&amp;C1514&amp;Q1514,'New Weekly Paste'!B:O,6,0)),""),"")</f>
        <v>Rooney/Jackson</v>
      </c>
      <c r="J1514" s="239">
        <f>IFERROR(IFERROR(VLOOKUP(B1514&amp;C1514&amp;Q1514,'New Weekly Paste'!A:M,8,0),VLOOKUP(B1514&amp;C1514&amp;Q1514,'New Weekly Paste'!B:O,10,0)),0)</f>
        <v>79.94</v>
      </c>
      <c r="K1514" s="239">
        <f>IFERROR(IFERROR(VLOOKUP(B1514&amp;I1514&amp;Q1514,'New Weekly Paste'!A:M,8,0),VLOOKUP(B1514&amp;I1514&amp;Q1514,'New Weekly Paste'!B:O,10,0)),0)</f>
        <v>90.1</v>
      </c>
      <c r="L1514" s="239">
        <f t="shared" si="25"/>
        <v>0</v>
      </c>
      <c r="M1514" s="36" t="str">
        <f t="shared" si="3"/>
        <v>Regular Season</v>
      </c>
      <c r="N1514" s="239" t="str">
        <f t="shared" si="26"/>
        <v>Rooney/Jackson</v>
      </c>
      <c r="O1514" s="6">
        <f>VLOOKUP(D1514,'Mapped Opponent'!$G$4:$H$22,2,0)</f>
        <v>8</v>
      </c>
      <c r="P1514" s="6"/>
      <c r="Q1514" s="6" t="str">
        <f t="shared" si="4"/>
        <v>Week 8</v>
      </c>
      <c r="R1514" s="6" t="str">
        <f t="shared" si="5"/>
        <v>2018Week 8</v>
      </c>
      <c r="S1514" s="6">
        <f>IFERROR(__xludf.DUMMYFUNCTION("rank(J1514,FILTER(J:J,R:R=R1514))"),10.0)</f>
        <v>10</v>
      </c>
      <c r="T1514" s="6">
        <f t="shared" si="6"/>
        <v>2</v>
      </c>
      <c r="U1514" s="6">
        <f t="shared" si="7"/>
        <v>10</v>
      </c>
      <c r="V1514" s="42">
        <f>averageif(AllData!A:A,B1514,AllData!R:R)/vlookup(B1514,AllData!A:O,15,0)</f>
        <v>99.39987179</v>
      </c>
      <c r="W1514" s="6"/>
    </row>
    <row r="1515" ht="14.25" customHeight="1">
      <c r="A1515" s="6" t="str">
        <f t="shared" si="1"/>
        <v>2018Salty8</v>
      </c>
      <c r="B1515" s="59">
        <v>2018.0</v>
      </c>
      <c r="C1515" s="13" t="s">
        <v>76</v>
      </c>
      <c r="D1515" s="13" t="s">
        <v>145</v>
      </c>
      <c r="E1515" s="34"/>
      <c r="F1515" s="6"/>
      <c r="H1515" s="6"/>
      <c r="I1515" s="35" t="str">
        <f>IFERROR(IFERROR(IFERROR(VLOOKUP(B1515&amp;C1515&amp;Q1515,'New Weekly Paste'!A:M,10,0),VLOOKUP(B1515&amp;C1515&amp;Q1515,'New Weekly Paste'!B:O,6,0)),""),"")</f>
        <v>T-How</v>
      </c>
      <c r="J1515" s="239">
        <f>IFERROR(IFERROR(VLOOKUP(B1515&amp;C1515&amp;Q1515,'New Weekly Paste'!A:M,8,0),VLOOKUP(B1515&amp;C1515&amp;Q1515,'New Weekly Paste'!B:O,10,0)),0)</f>
        <v>164.04</v>
      </c>
      <c r="K1515" s="239">
        <f>IFERROR(IFERROR(VLOOKUP(B1515&amp;I1515&amp;Q1515,'New Weekly Paste'!A:M,8,0),VLOOKUP(B1515&amp;I1515&amp;Q1515,'New Weekly Paste'!B:O,10,0)),0)</f>
        <v>67.36</v>
      </c>
      <c r="L1515" s="239">
        <f t="shared" si="25"/>
        <v>1</v>
      </c>
      <c r="M1515" s="36" t="str">
        <f t="shared" si="3"/>
        <v>Regular Season</v>
      </c>
      <c r="N1515" s="239" t="str">
        <f t="shared" si="26"/>
        <v>T-How</v>
      </c>
      <c r="O1515" s="6">
        <f>VLOOKUP(D1515,'Mapped Opponent'!$G$4:$H$22,2,0)</f>
        <v>8</v>
      </c>
      <c r="P1515" s="6"/>
      <c r="Q1515" s="6" t="str">
        <f t="shared" si="4"/>
        <v>Week 8</v>
      </c>
      <c r="R1515" s="6" t="str">
        <f t="shared" si="5"/>
        <v>2018Week 8</v>
      </c>
      <c r="S1515" s="6">
        <f>IFERROR(__xludf.DUMMYFUNCTION("rank(J1515,FILTER(J:J,R:R=R1515))"),1.0)</f>
        <v>1</v>
      </c>
      <c r="T1515" s="6">
        <f t="shared" si="6"/>
        <v>11</v>
      </c>
      <c r="U1515" s="6">
        <f t="shared" si="7"/>
        <v>1</v>
      </c>
      <c r="V1515" s="42">
        <f>averageif(AllData!A:A,B1515,AllData!R:R)/vlookup(B1515,AllData!A:O,15,0)</f>
        <v>99.39987179</v>
      </c>
      <c r="W1515" s="6"/>
    </row>
    <row r="1516" ht="14.25" customHeight="1">
      <c r="A1516" s="6" t="str">
        <f t="shared" si="1"/>
        <v>2018Fellows8</v>
      </c>
      <c r="B1516" s="59">
        <v>2018.0</v>
      </c>
      <c r="C1516" s="13" t="s">
        <v>79</v>
      </c>
      <c r="D1516" s="13" t="s">
        <v>145</v>
      </c>
      <c r="E1516" s="34"/>
      <c r="F1516" s="6"/>
      <c r="H1516" s="6"/>
      <c r="I1516" s="35" t="str">
        <f>IFERROR(IFERROR(IFERROR(VLOOKUP(B1516&amp;C1516&amp;Q1516,'New Weekly Paste'!A:M,10,0),VLOOKUP(B1516&amp;C1516&amp;Q1516,'New Weekly Paste'!B:O,6,0)),""),"")</f>
        <v>KnardDawg</v>
      </c>
      <c r="J1516" s="239">
        <f>IFERROR(IFERROR(VLOOKUP(B1516&amp;C1516&amp;Q1516,'New Weekly Paste'!A:M,8,0),VLOOKUP(B1516&amp;C1516&amp;Q1516,'New Weekly Paste'!B:O,10,0)),0)</f>
        <v>113.06</v>
      </c>
      <c r="K1516" s="239">
        <f>IFERROR(IFERROR(VLOOKUP(B1516&amp;I1516&amp;Q1516,'New Weekly Paste'!A:M,8,0),VLOOKUP(B1516&amp;I1516&amp;Q1516,'New Weekly Paste'!B:O,10,0)),0)</f>
        <v>101.8</v>
      </c>
      <c r="L1516" s="239">
        <f t="shared" si="25"/>
        <v>1</v>
      </c>
      <c r="M1516" s="36" t="str">
        <f t="shared" si="3"/>
        <v>Regular Season</v>
      </c>
      <c r="N1516" s="239" t="str">
        <f t="shared" si="26"/>
        <v>KnardDawg</v>
      </c>
      <c r="O1516" s="6">
        <f>VLOOKUP(D1516,'Mapped Opponent'!$G$4:$H$22,2,0)</f>
        <v>8</v>
      </c>
      <c r="P1516" s="6"/>
      <c r="Q1516" s="6" t="str">
        <f t="shared" si="4"/>
        <v>Week 8</v>
      </c>
      <c r="R1516" s="6" t="str">
        <f t="shared" si="5"/>
        <v>2018Week 8</v>
      </c>
      <c r="S1516" s="6">
        <f>IFERROR(__xludf.DUMMYFUNCTION("rank(J1516,FILTER(J:J,R:R=R1516))"),4.0)</f>
        <v>4</v>
      </c>
      <c r="T1516" s="6">
        <f t="shared" si="6"/>
        <v>8</v>
      </c>
      <c r="U1516" s="6">
        <f t="shared" si="7"/>
        <v>4</v>
      </c>
      <c r="V1516" s="42">
        <f>averageif(AllData!A:A,B1516,AllData!R:R)/vlookup(B1516,AllData!A:O,15,0)</f>
        <v>99.39987179</v>
      </c>
      <c r="W1516" s="6"/>
    </row>
    <row r="1517" ht="14.25" customHeight="1">
      <c r="A1517" s="6" t="str">
        <f t="shared" si="1"/>
        <v>2018Shep8</v>
      </c>
      <c r="B1517" s="59">
        <v>2018.0</v>
      </c>
      <c r="C1517" s="13" t="s">
        <v>89</v>
      </c>
      <c r="D1517" s="13" t="s">
        <v>145</v>
      </c>
      <c r="E1517" s="34"/>
      <c r="F1517" s="6"/>
      <c r="H1517" s="6"/>
      <c r="I1517" s="35" t="str">
        <f>IFERROR(IFERROR(IFERROR(VLOOKUP(B1517&amp;C1517&amp;Q1517,'New Weekly Paste'!A:M,10,0),VLOOKUP(B1517&amp;C1517&amp;Q1517,'New Weekly Paste'!B:O,6,0)),""),"")</f>
        <v>Riley</v>
      </c>
      <c r="J1517" s="239">
        <f>IFERROR(IFERROR(VLOOKUP(B1517&amp;C1517&amp;Q1517,'New Weekly Paste'!A:M,8,0),VLOOKUP(B1517&amp;C1517&amp;Q1517,'New Weekly Paste'!B:O,10,0)),0)</f>
        <v>103.22</v>
      </c>
      <c r="K1517" s="239">
        <f>IFERROR(IFERROR(VLOOKUP(B1517&amp;I1517&amp;Q1517,'New Weekly Paste'!A:M,8,0),VLOOKUP(B1517&amp;I1517&amp;Q1517,'New Weekly Paste'!B:O,10,0)),0)</f>
        <v>114.94</v>
      </c>
      <c r="L1517" s="239">
        <f t="shared" si="25"/>
        <v>0</v>
      </c>
      <c r="M1517" s="36" t="str">
        <f t="shared" si="3"/>
        <v>Regular Season</v>
      </c>
      <c r="N1517" s="239" t="str">
        <f t="shared" si="26"/>
        <v>Riley</v>
      </c>
      <c r="O1517" s="6">
        <f>VLOOKUP(D1517,'Mapped Opponent'!$G$4:$H$22,2,0)</f>
        <v>8</v>
      </c>
      <c r="P1517" s="6"/>
      <c r="Q1517" s="6" t="str">
        <f t="shared" si="4"/>
        <v>Week 8</v>
      </c>
      <c r="R1517" s="6" t="str">
        <f t="shared" si="5"/>
        <v>2018Week 8</v>
      </c>
      <c r="S1517" s="6">
        <f>IFERROR(__xludf.DUMMYFUNCTION("rank(J1517,FILTER(J:J,R:R=R1517))"),5.0)</f>
        <v>5</v>
      </c>
      <c r="T1517" s="6">
        <f t="shared" si="6"/>
        <v>7</v>
      </c>
      <c r="U1517" s="6">
        <f t="shared" si="7"/>
        <v>5</v>
      </c>
      <c r="V1517" s="42">
        <f>averageif(AllData!A:A,B1517,AllData!R:R)/vlookup(B1517,AllData!A:O,15,0)</f>
        <v>99.39987179</v>
      </c>
      <c r="W1517" s="6"/>
    </row>
    <row r="1518" ht="14.25" customHeight="1">
      <c r="A1518" s="6" t="str">
        <f t="shared" si="1"/>
        <v>2018Riley8</v>
      </c>
      <c r="B1518" s="59">
        <v>2018.0</v>
      </c>
      <c r="C1518" s="13" t="s">
        <v>67</v>
      </c>
      <c r="D1518" s="13" t="s">
        <v>145</v>
      </c>
      <c r="E1518" s="34"/>
      <c r="F1518" s="6"/>
      <c r="H1518" s="6"/>
      <c r="I1518" s="35" t="str">
        <f>IFERROR(IFERROR(IFERROR(VLOOKUP(B1518&amp;C1518&amp;Q1518,'New Weekly Paste'!A:M,10,0),VLOOKUP(B1518&amp;C1518&amp;Q1518,'New Weekly Paste'!B:O,6,0)),""),"")</f>
        <v>Shep</v>
      </c>
      <c r="J1518" s="239">
        <f>IFERROR(IFERROR(VLOOKUP(B1518&amp;C1518&amp;Q1518,'New Weekly Paste'!A:M,8,0),VLOOKUP(B1518&amp;C1518&amp;Q1518,'New Weekly Paste'!B:O,10,0)),0)</f>
        <v>114.94</v>
      </c>
      <c r="K1518" s="239">
        <f>IFERROR(IFERROR(VLOOKUP(B1518&amp;I1518&amp;Q1518,'New Weekly Paste'!A:M,8,0),VLOOKUP(B1518&amp;I1518&amp;Q1518,'New Weekly Paste'!B:O,10,0)),0)</f>
        <v>103.22</v>
      </c>
      <c r="L1518" s="239">
        <f t="shared" si="25"/>
        <v>1</v>
      </c>
      <c r="M1518" s="36" t="str">
        <f t="shared" si="3"/>
        <v>Regular Season</v>
      </c>
      <c r="N1518" s="239" t="str">
        <f t="shared" si="26"/>
        <v>Shep</v>
      </c>
      <c r="O1518" s="6">
        <f>VLOOKUP(D1518,'Mapped Opponent'!$G$4:$H$22,2,0)</f>
        <v>8</v>
      </c>
      <c r="P1518" s="6"/>
      <c r="Q1518" s="6" t="str">
        <f t="shared" si="4"/>
        <v>Week 8</v>
      </c>
      <c r="R1518" s="6" t="str">
        <f t="shared" si="5"/>
        <v>2018Week 8</v>
      </c>
      <c r="S1518" s="6">
        <f>IFERROR(__xludf.DUMMYFUNCTION("rank(J1518,FILTER(J:J,R:R=R1518))"),3.0)</f>
        <v>3</v>
      </c>
      <c r="T1518" s="6">
        <f t="shared" si="6"/>
        <v>9</v>
      </c>
      <c r="U1518" s="6">
        <f t="shared" si="7"/>
        <v>3</v>
      </c>
      <c r="V1518" s="42">
        <f>averageif(AllData!A:A,B1518,AllData!R:R)/vlookup(B1518,AllData!A:O,15,0)</f>
        <v>99.39987179</v>
      </c>
      <c r="W1518" s="6"/>
    </row>
    <row r="1519" ht="14.25" customHeight="1">
      <c r="A1519" s="6" t="str">
        <f t="shared" si="1"/>
        <v>2018Rooney/Jackson8</v>
      </c>
      <c r="B1519" s="59">
        <v>2018.0</v>
      </c>
      <c r="C1519" s="13" t="s">
        <v>57</v>
      </c>
      <c r="D1519" s="13" t="s">
        <v>145</v>
      </c>
      <c r="E1519" s="34"/>
      <c r="F1519" s="6"/>
      <c r="H1519" s="6"/>
      <c r="I1519" s="35" t="str">
        <f>IFERROR(IFERROR(IFERROR(VLOOKUP(B1519&amp;C1519&amp;Q1519,'New Weekly Paste'!A:M,10,0),VLOOKUP(B1519&amp;C1519&amp;Q1519,'New Weekly Paste'!B:O,6,0)),""),"")</f>
        <v>Hudspeath</v>
      </c>
      <c r="J1519" s="239">
        <f>IFERROR(IFERROR(VLOOKUP(B1519&amp;C1519&amp;Q1519,'New Weekly Paste'!A:M,8,0),VLOOKUP(B1519&amp;C1519&amp;Q1519,'New Weekly Paste'!B:O,10,0)),0)</f>
        <v>90.1</v>
      </c>
      <c r="K1519" s="239">
        <f>IFERROR(IFERROR(VLOOKUP(B1519&amp;I1519&amp;Q1519,'New Weekly Paste'!A:M,8,0),VLOOKUP(B1519&amp;I1519&amp;Q1519,'New Weekly Paste'!B:O,10,0)),0)</f>
        <v>79.94</v>
      </c>
      <c r="L1519" s="239">
        <f t="shared" si="25"/>
        <v>1</v>
      </c>
      <c r="M1519" s="36" t="str">
        <f t="shared" si="3"/>
        <v>Regular Season</v>
      </c>
      <c r="N1519" s="239" t="str">
        <f t="shared" si="26"/>
        <v>Hudspeath</v>
      </c>
      <c r="O1519" s="6">
        <f>VLOOKUP(D1519,'Mapped Opponent'!$G$4:$H$22,2,0)</f>
        <v>8</v>
      </c>
      <c r="P1519" s="6"/>
      <c r="Q1519" s="6" t="str">
        <f t="shared" si="4"/>
        <v>Week 8</v>
      </c>
      <c r="R1519" s="6" t="str">
        <f t="shared" si="5"/>
        <v>2018Week 8</v>
      </c>
      <c r="S1519" s="6">
        <f>IFERROR(__xludf.DUMMYFUNCTION("rank(J1519,FILTER(J:J,R:R=R1519))"),8.0)</f>
        <v>8</v>
      </c>
      <c r="T1519" s="6">
        <f t="shared" si="6"/>
        <v>4</v>
      </c>
      <c r="U1519" s="6">
        <f t="shared" si="7"/>
        <v>8</v>
      </c>
      <c r="V1519" s="42">
        <f>averageif(AllData!A:A,B1519,AllData!R:R)/vlookup(B1519,AllData!A:O,15,0)</f>
        <v>99.39987179</v>
      </c>
      <c r="W1519" s="6"/>
    </row>
    <row r="1520" ht="14.25" customHeight="1">
      <c r="A1520" s="6" t="str">
        <f t="shared" si="1"/>
        <v>2018Buser8</v>
      </c>
      <c r="B1520" s="59">
        <v>2018.0</v>
      </c>
      <c r="C1520" s="13" t="s">
        <v>47</v>
      </c>
      <c r="D1520" s="13" t="s">
        <v>145</v>
      </c>
      <c r="E1520" s="34"/>
      <c r="F1520" s="6"/>
      <c r="H1520" s="6"/>
      <c r="I1520" s="35" t="str">
        <f>IFERROR(IFERROR(IFERROR(VLOOKUP(B1520&amp;C1520&amp;Q1520,'New Weekly Paste'!A:M,10,0),VLOOKUP(B1520&amp;C1520&amp;Q1520,'New Weekly Paste'!B:O,6,0)),""),"")</f>
        <v>Cock</v>
      </c>
      <c r="J1520" s="239">
        <f>IFERROR(IFERROR(VLOOKUP(B1520&amp;C1520&amp;Q1520,'New Weekly Paste'!A:M,8,0),VLOOKUP(B1520&amp;C1520&amp;Q1520,'New Weekly Paste'!B:O,10,0)),0)</f>
        <v>84.66</v>
      </c>
      <c r="K1520" s="239">
        <f>IFERROR(IFERROR(VLOOKUP(B1520&amp;I1520&amp;Q1520,'New Weekly Paste'!A:M,8,0),VLOOKUP(B1520&amp;I1520&amp;Q1520,'New Weekly Paste'!B:O,10,0)),0)</f>
        <v>121.16</v>
      </c>
      <c r="L1520" s="239">
        <f t="shared" si="25"/>
        <v>0</v>
      </c>
      <c r="M1520" s="36" t="str">
        <f t="shared" si="3"/>
        <v>Regular Season</v>
      </c>
      <c r="N1520" s="239" t="str">
        <f t="shared" si="26"/>
        <v>Cock</v>
      </c>
      <c r="O1520" s="6">
        <f>VLOOKUP(D1520,'Mapped Opponent'!$G$4:$H$22,2,0)</f>
        <v>8</v>
      </c>
      <c r="P1520" s="6"/>
      <c r="Q1520" s="6" t="str">
        <f t="shared" si="4"/>
        <v>Week 8</v>
      </c>
      <c r="R1520" s="6" t="str">
        <f t="shared" si="5"/>
        <v>2018Week 8</v>
      </c>
      <c r="S1520" s="6">
        <f>IFERROR(__xludf.DUMMYFUNCTION("rank(J1520,FILTER(J:J,R:R=R1520))"),9.0)</f>
        <v>9</v>
      </c>
      <c r="T1520" s="6">
        <f t="shared" si="6"/>
        <v>3</v>
      </c>
      <c r="U1520" s="6">
        <f t="shared" si="7"/>
        <v>9</v>
      </c>
      <c r="V1520" s="42">
        <f>averageif(AllData!A:A,B1520,AllData!R:R)/vlookup(B1520,AllData!A:O,15,0)</f>
        <v>99.39987179</v>
      </c>
      <c r="W1520" s="6"/>
    </row>
    <row r="1521" ht="14.25" customHeight="1">
      <c r="A1521" s="6" t="str">
        <f t="shared" si="1"/>
        <v>2018Pierson8</v>
      </c>
      <c r="B1521" s="59">
        <v>2018.0</v>
      </c>
      <c r="C1521" s="13" t="s">
        <v>92</v>
      </c>
      <c r="D1521" s="13" t="s">
        <v>145</v>
      </c>
      <c r="E1521" s="34"/>
      <c r="F1521" s="6"/>
      <c r="H1521" s="6"/>
      <c r="I1521" s="35" t="str">
        <f>IFERROR(IFERROR(IFERROR(VLOOKUP(B1521&amp;C1521&amp;Q1521,'New Weekly Paste'!A:M,10,0),VLOOKUP(B1521&amp;C1521&amp;Q1521,'New Weekly Paste'!B:O,6,0)),""),"")</f>
        <v>Tayski</v>
      </c>
      <c r="J1521" s="239">
        <f>IFERROR(IFERROR(VLOOKUP(B1521&amp;C1521&amp;Q1521,'New Weekly Paste'!A:M,8,0),VLOOKUP(B1521&amp;C1521&amp;Q1521,'New Weekly Paste'!B:O,10,0)),0)</f>
        <v>91.2</v>
      </c>
      <c r="K1521" s="239">
        <f>IFERROR(IFERROR(VLOOKUP(B1521&amp;I1521&amp;Q1521,'New Weekly Paste'!A:M,8,0),VLOOKUP(B1521&amp;I1521&amp;Q1521,'New Weekly Paste'!B:O,10,0)),0)</f>
        <v>63.86</v>
      </c>
      <c r="L1521" s="239">
        <f t="shared" si="25"/>
        <v>1</v>
      </c>
      <c r="M1521" s="36" t="str">
        <f t="shared" si="3"/>
        <v>Regular Season</v>
      </c>
      <c r="N1521" s="239" t="str">
        <f t="shared" si="26"/>
        <v>Tayski</v>
      </c>
      <c r="O1521" s="6">
        <f>VLOOKUP(D1521,'Mapped Opponent'!$G$4:$H$22,2,0)</f>
        <v>8</v>
      </c>
      <c r="P1521" s="6"/>
      <c r="Q1521" s="6" t="str">
        <f t="shared" si="4"/>
        <v>Week 8</v>
      </c>
      <c r="R1521" s="6" t="str">
        <f t="shared" si="5"/>
        <v>2018Week 8</v>
      </c>
      <c r="S1521" s="6">
        <f>IFERROR(__xludf.DUMMYFUNCTION("rank(J1521,FILTER(J:J,R:R=R1521))"),7.0)</f>
        <v>7</v>
      </c>
      <c r="T1521" s="6">
        <f t="shared" si="6"/>
        <v>5</v>
      </c>
      <c r="U1521" s="6">
        <f t="shared" si="7"/>
        <v>7</v>
      </c>
      <c r="V1521" s="42">
        <f>averageif(AllData!A:A,B1521,AllData!R:R)/vlookup(B1521,AllData!A:O,15,0)</f>
        <v>99.39987179</v>
      </c>
      <c r="W1521" s="6"/>
    </row>
    <row r="1522" ht="14.25" customHeight="1">
      <c r="A1522" s="6" t="str">
        <f t="shared" si="1"/>
        <v>2018Cock8</v>
      </c>
      <c r="B1522" s="59">
        <v>2018.0</v>
      </c>
      <c r="C1522" s="13" t="s">
        <v>72</v>
      </c>
      <c r="D1522" s="13" t="s">
        <v>145</v>
      </c>
      <c r="E1522" s="34"/>
      <c r="F1522" s="6"/>
      <c r="H1522" s="6"/>
      <c r="I1522" s="35" t="str">
        <f>IFERROR(IFERROR(IFERROR(VLOOKUP(B1522&amp;C1522&amp;Q1522,'New Weekly Paste'!A:M,10,0),VLOOKUP(B1522&amp;C1522&amp;Q1522,'New Weekly Paste'!B:O,6,0)),""),"")</f>
        <v>Buser</v>
      </c>
      <c r="J1522" s="239">
        <f>IFERROR(IFERROR(VLOOKUP(B1522&amp;C1522&amp;Q1522,'New Weekly Paste'!A:M,8,0),VLOOKUP(B1522&amp;C1522&amp;Q1522,'New Weekly Paste'!B:O,10,0)),0)</f>
        <v>121.16</v>
      </c>
      <c r="K1522" s="239">
        <f>IFERROR(IFERROR(VLOOKUP(B1522&amp;I1522&amp;Q1522,'New Weekly Paste'!A:M,8,0),VLOOKUP(B1522&amp;I1522&amp;Q1522,'New Weekly Paste'!B:O,10,0)),0)</f>
        <v>84.66</v>
      </c>
      <c r="L1522" s="239">
        <f t="shared" si="25"/>
        <v>1</v>
      </c>
      <c r="M1522" s="36" t="str">
        <f t="shared" si="3"/>
        <v>Regular Season</v>
      </c>
      <c r="N1522" s="239" t="str">
        <f t="shared" si="26"/>
        <v>Buser</v>
      </c>
      <c r="O1522" s="6">
        <f>VLOOKUP(D1522,'Mapped Opponent'!$G$4:$H$22,2,0)</f>
        <v>8</v>
      </c>
      <c r="P1522" s="6"/>
      <c r="Q1522" s="6" t="str">
        <f t="shared" si="4"/>
        <v>Week 8</v>
      </c>
      <c r="R1522" s="6" t="str">
        <f t="shared" si="5"/>
        <v>2018Week 8</v>
      </c>
      <c r="S1522" s="6">
        <f>IFERROR(__xludf.DUMMYFUNCTION("rank(J1522,FILTER(J:J,R:R=R1522))"),2.0)</f>
        <v>2</v>
      </c>
      <c r="T1522" s="6">
        <f t="shared" si="6"/>
        <v>10</v>
      </c>
      <c r="U1522" s="6">
        <f t="shared" si="7"/>
        <v>2</v>
      </c>
      <c r="V1522" s="42">
        <f>averageif(AllData!A:A,B1522,AllData!R:R)/vlookup(B1522,AllData!A:O,15,0)</f>
        <v>99.39987179</v>
      </c>
      <c r="W1522" s="6"/>
    </row>
    <row r="1523" ht="14.25" customHeight="1">
      <c r="A1523" s="6" t="str">
        <f t="shared" si="1"/>
        <v>2018Tayski8</v>
      </c>
      <c r="B1523" s="59">
        <v>2018.0</v>
      </c>
      <c r="C1523" s="13" t="s">
        <v>52</v>
      </c>
      <c r="D1523" s="13" t="s">
        <v>145</v>
      </c>
      <c r="E1523" s="34"/>
      <c r="F1523" s="6"/>
      <c r="H1523" s="6"/>
      <c r="I1523" s="35" t="str">
        <f>IFERROR(IFERROR(IFERROR(VLOOKUP(B1523&amp;C1523&amp;Q1523,'New Weekly Paste'!A:M,10,0),VLOOKUP(B1523&amp;C1523&amp;Q1523,'New Weekly Paste'!B:O,6,0)),""),"")</f>
        <v>Pierson</v>
      </c>
      <c r="J1523" s="239">
        <f>IFERROR(IFERROR(VLOOKUP(B1523&amp;C1523&amp;Q1523,'New Weekly Paste'!A:M,8,0),VLOOKUP(B1523&amp;C1523&amp;Q1523,'New Weekly Paste'!B:O,10,0)),0)</f>
        <v>63.86</v>
      </c>
      <c r="K1523" s="239">
        <f>IFERROR(IFERROR(VLOOKUP(B1523&amp;I1523&amp;Q1523,'New Weekly Paste'!A:M,8,0),VLOOKUP(B1523&amp;I1523&amp;Q1523,'New Weekly Paste'!B:O,10,0)),0)</f>
        <v>91.2</v>
      </c>
      <c r="L1523" s="239">
        <f t="shared" si="25"/>
        <v>0</v>
      </c>
      <c r="M1523" s="36" t="str">
        <f t="shared" si="3"/>
        <v>Regular Season</v>
      </c>
      <c r="N1523" s="239" t="str">
        <f t="shared" si="26"/>
        <v>Pierson</v>
      </c>
      <c r="O1523" s="6">
        <f>VLOOKUP(D1523,'Mapped Opponent'!$G$4:$H$22,2,0)</f>
        <v>8</v>
      </c>
      <c r="P1523" s="6"/>
      <c r="Q1523" s="6" t="str">
        <f t="shared" si="4"/>
        <v>Week 8</v>
      </c>
      <c r="R1523" s="6" t="str">
        <f t="shared" si="5"/>
        <v>2018Week 8</v>
      </c>
      <c r="S1523" s="6">
        <f>IFERROR(__xludf.DUMMYFUNCTION("rank(J1523,FILTER(J:J,R:R=R1523))"),12.0)</f>
        <v>12</v>
      </c>
      <c r="T1523" s="6">
        <f t="shared" si="6"/>
        <v>0</v>
      </c>
      <c r="U1523" s="6">
        <f t="shared" si="7"/>
        <v>12</v>
      </c>
      <c r="V1523" s="42">
        <f>averageif(AllData!A:A,B1523,AllData!R:R)/vlookup(B1523,AllData!A:O,15,0)</f>
        <v>99.39987179</v>
      </c>
      <c r="W1523" s="6"/>
    </row>
    <row r="1524" ht="14.25" customHeight="1">
      <c r="A1524" s="6" t="str">
        <f t="shared" si="1"/>
        <v>2018KnardDawg8</v>
      </c>
      <c r="B1524" s="59">
        <v>2018.0</v>
      </c>
      <c r="C1524" s="13" t="s">
        <v>86</v>
      </c>
      <c r="D1524" s="13" t="s">
        <v>145</v>
      </c>
      <c r="E1524" s="34"/>
      <c r="F1524" s="6"/>
      <c r="H1524" s="6"/>
      <c r="I1524" s="35" t="str">
        <f>IFERROR(IFERROR(IFERROR(VLOOKUP(B1524&amp;C1524&amp;Q1524,'New Weekly Paste'!A:M,10,0),VLOOKUP(B1524&amp;C1524&amp;Q1524,'New Weekly Paste'!B:O,6,0)),""),"")</f>
        <v>Fellows</v>
      </c>
      <c r="J1524" s="239">
        <f>IFERROR(IFERROR(VLOOKUP(B1524&amp;C1524&amp;Q1524,'New Weekly Paste'!A:M,8,0),VLOOKUP(B1524&amp;C1524&amp;Q1524,'New Weekly Paste'!B:O,10,0)),0)</f>
        <v>101.8</v>
      </c>
      <c r="K1524" s="239">
        <f>IFERROR(IFERROR(VLOOKUP(B1524&amp;I1524&amp;Q1524,'New Weekly Paste'!A:M,8,0),VLOOKUP(B1524&amp;I1524&amp;Q1524,'New Weekly Paste'!B:O,10,0)),0)</f>
        <v>113.06</v>
      </c>
      <c r="L1524" s="239">
        <f t="shared" si="25"/>
        <v>0</v>
      </c>
      <c r="M1524" s="36" t="str">
        <f t="shared" si="3"/>
        <v>Regular Season</v>
      </c>
      <c r="N1524" s="239" t="str">
        <f t="shared" si="26"/>
        <v>Fellows</v>
      </c>
      <c r="O1524" s="6">
        <f>VLOOKUP(D1524,'Mapped Opponent'!$G$4:$H$22,2,0)</f>
        <v>8</v>
      </c>
      <c r="P1524" s="6"/>
      <c r="Q1524" s="6" t="str">
        <f t="shared" si="4"/>
        <v>Week 8</v>
      </c>
      <c r="R1524" s="6" t="str">
        <f t="shared" si="5"/>
        <v>2018Week 8</v>
      </c>
      <c r="S1524" s="6">
        <f>IFERROR(__xludf.DUMMYFUNCTION("rank(J1524,FILTER(J:J,R:R=R1524))"),6.0)</f>
        <v>6</v>
      </c>
      <c r="T1524" s="6">
        <f t="shared" si="6"/>
        <v>6</v>
      </c>
      <c r="U1524" s="6">
        <f t="shared" si="7"/>
        <v>6</v>
      </c>
      <c r="V1524" s="42">
        <f>averageif(AllData!A:A,B1524,AllData!R:R)/vlookup(B1524,AllData!A:O,15,0)</f>
        <v>99.39987179</v>
      </c>
      <c r="W1524" s="6"/>
    </row>
    <row r="1525" ht="14.25" customHeight="1">
      <c r="A1525" s="6" t="str">
        <f t="shared" si="1"/>
        <v>2018T-How8</v>
      </c>
      <c r="B1525" s="59">
        <v>2018.0</v>
      </c>
      <c r="C1525" s="13" t="s">
        <v>82</v>
      </c>
      <c r="D1525" s="13" t="s">
        <v>145</v>
      </c>
      <c r="E1525" s="34"/>
      <c r="F1525" s="6"/>
      <c r="H1525" s="6"/>
      <c r="I1525" s="35" t="str">
        <f>IFERROR(IFERROR(IFERROR(VLOOKUP(B1525&amp;C1525&amp;Q1525,'New Weekly Paste'!A:M,10,0),VLOOKUP(B1525&amp;C1525&amp;Q1525,'New Weekly Paste'!B:O,6,0)),""),"")</f>
        <v>Salty</v>
      </c>
      <c r="J1525" s="239">
        <f>IFERROR(IFERROR(VLOOKUP(B1525&amp;C1525&amp;Q1525,'New Weekly Paste'!A:M,8,0),VLOOKUP(B1525&amp;C1525&amp;Q1525,'New Weekly Paste'!B:O,10,0)),0)</f>
        <v>67.36</v>
      </c>
      <c r="K1525" s="239">
        <f>IFERROR(IFERROR(VLOOKUP(B1525&amp;I1525&amp;Q1525,'New Weekly Paste'!A:M,8,0),VLOOKUP(B1525&amp;I1525&amp;Q1525,'New Weekly Paste'!B:O,10,0)),0)</f>
        <v>164.04</v>
      </c>
      <c r="L1525" s="239">
        <f t="shared" si="25"/>
        <v>0</v>
      </c>
      <c r="M1525" s="36" t="str">
        <f t="shared" si="3"/>
        <v>Regular Season</v>
      </c>
      <c r="N1525" s="239" t="str">
        <f t="shared" si="26"/>
        <v>Salty</v>
      </c>
      <c r="O1525" s="6">
        <f>VLOOKUP(D1525,'Mapped Opponent'!$G$4:$H$22,2,0)</f>
        <v>8</v>
      </c>
      <c r="P1525" s="6"/>
      <c r="Q1525" s="6" t="str">
        <f t="shared" si="4"/>
        <v>Week 8</v>
      </c>
      <c r="R1525" s="6" t="str">
        <f t="shared" si="5"/>
        <v>2018Week 8</v>
      </c>
      <c r="S1525" s="6">
        <f>IFERROR(__xludf.DUMMYFUNCTION("rank(J1525,FILTER(J:J,R:R=R1525))"),11.0)</f>
        <v>11</v>
      </c>
      <c r="T1525" s="6">
        <f t="shared" si="6"/>
        <v>1</v>
      </c>
      <c r="U1525" s="6">
        <f t="shared" si="7"/>
        <v>11</v>
      </c>
      <c r="V1525" s="42">
        <f>averageif(AllData!A:A,B1525,AllData!R:R)/vlookup(B1525,AllData!A:O,15,0)</f>
        <v>99.39987179</v>
      </c>
      <c r="W1525" s="6"/>
    </row>
    <row r="1526" ht="14.25" customHeight="1">
      <c r="A1526" s="6" t="str">
        <f t="shared" si="1"/>
        <v>2018Hudspeath9</v>
      </c>
      <c r="B1526" s="59">
        <v>2018.0</v>
      </c>
      <c r="C1526" s="13" t="s">
        <v>39</v>
      </c>
      <c r="D1526" s="13" t="s">
        <v>147</v>
      </c>
      <c r="E1526" s="34"/>
      <c r="F1526" s="6"/>
      <c r="H1526" s="6"/>
      <c r="I1526" s="35" t="str">
        <f>IFERROR(IFERROR(IFERROR(VLOOKUP(B1526&amp;C1526&amp;Q1526,'New Weekly Paste'!A:M,10,0),VLOOKUP(B1526&amp;C1526&amp;Q1526,'New Weekly Paste'!B:O,6,0)),""),"")</f>
        <v>Buser</v>
      </c>
      <c r="J1526" s="239">
        <f>IFERROR(IFERROR(VLOOKUP(B1526&amp;C1526&amp;Q1526,'New Weekly Paste'!A:M,8,0),VLOOKUP(B1526&amp;C1526&amp;Q1526,'New Weekly Paste'!B:O,10,0)),0)</f>
        <v>77.8</v>
      </c>
      <c r="K1526" s="239">
        <f>IFERROR(IFERROR(VLOOKUP(B1526&amp;I1526&amp;Q1526,'New Weekly Paste'!A:M,8,0),VLOOKUP(B1526&amp;I1526&amp;Q1526,'New Weekly Paste'!B:O,10,0)),0)</f>
        <v>82.38</v>
      </c>
      <c r="L1526" s="239">
        <f t="shared" si="25"/>
        <v>0</v>
      </c>
      <c r="M1526" s="36" t="str">
        <f t="shared" si="3"/>
        <v>Regular Season</v>
      </c>
      <c r="N1526" s="239" t="str">
        <f t="shared" si="26"/>
        <v>Buser</v>
      </c>
      <c r="O1526" s="6">
        <f>VLOOKUP(D1526,'Mapped Opponent'!$G$4:$H$22,2,0)</f>
        <v>9</v>
      </c>
      <c r="P1526" s="6"/>
      <c r="Q1526" s="6" t="str">
        <f t="shared" si="4"/>
        <v>Week 9</v>
      </c>
      <c r="R1526" s="6" t="str">
        <f t="shared" si="5"/>
        <v>2018Week 9</v>
      </c>
      <c r="S1526" s="6">
        <f>IFERROR(__xludf.DUMMYFUNCTION("rank(J1526,FILTER(J:J,R:R=R1526))"),11.0)</f>
        <v>11</v>
      </c>
      <c r="T1526" s="6">
        <f t="shared" si="6"/>
        <v>1</v>
      </c>
      <c r="U1526" s="6">
        <f t="shared" si="7"/>
        <v>11</v>
      </c>
      <c r="V1526" s="42">
        <f>averageif(AllData!A:A,B1526,AllData!R:R)/vlookup(B1526,AllData!A:O,15,0)</f>
        <v>99.39987179</v>
      </c>
      <c r="W1526" s="6"/>
    </row>
    <row r="1527" ht="14.25" customHeight="1">
      <c r="A1527" s="6" t="str">
        <f t="shared" si="1"/>
        <v>2018Salty9</v>
      </c>
      <c r="B1527" s="59">
        <v>2018.0</v>
      </c>
      <c r="C1527" s="13" t="s">
        <v>76</v>
      </c>
      <c r="D1527" s="13" t="s">
        <v>147</v>
      </c>
      <c r="E1527" s="34"/>
      <c r="F1527" s="6"/>
      <c r="H1527" s="6"/>
      <c r="I1527" s="35" t="str">
        <f>IFERROR(IFERROR(IFERROR(VLOOKUP(B1527&amp;C1527&amp;Q1527,'New Weekly Paste'!A:M,10,0),VLOOKUP(B1527&amp;C1527&amp;Q1527,'New Weekly Paste'!B:O,6,0)),""),"")</f>
        <v>Cock</v>
      </c>
      <c r="J1527" s="239">
        <f>IFERROR(IFERROR(VLOOKUP(B1527&amp;C1527&amp;Q1527,'New Weekly Paste'!A:M,8,0),VLOOKUP(B1527&amp;C1527&amp;Q1527,'New Weekly Paste'!B:O,10,0)),0)</f>
        <v>132.12</v>
      </c>
      <c r="K1527" s="239">
        <f>IFERROR(IFERROR(VLOOKUP(B1527&amp;I1527&amp;Q1527,'New Weekly Paste'!A:M,8,0),VLOOKUP(B1527&amp;I1527&amp;Q1527,'New Weekly Paste'!B:O,10,0)),0)</f>
        <v>69.26</v>
      </c>
      <c r="L1527" s="239">
        <f t="shared" si="25"/>
        <v>1</v>
      </c>
      <c r="M1527" s="36" t="str">
        <f t="shared" si="3"/>
        <v>Regular Season</v>
      </c>
      <c r="N1527" s="239" t="str">
        <f t="shared" si="26"/>
        <v>Cock</v>
      </c>
      <c r="O1527" s="6">
        <f>VLOOKUP(D1527,'Mapped Opponent'!$G$4:$H$22,2,0)</f>
        <v>9</v>
      </c>
      <c r="P1527" s="6"/>
      <c r="Q1527" s="6" t="str">
        <f t="shared" si="4"/>
        <v>Week 9</v>
      </c>
      <c r="R1527" s="6" t="str">
        <f t="shared" si="5"/>
        <v>2018Week 9</v>
      </c>
      <c r="S1527" s="6">
        <f>IFERROR(__xludf.DUMMYFUNCTION("rank(J1527,FILTER(J:J,R:R=R1527))"),2.0)</f>
        <v>2</v>
      </c>
      <c r="T1527" s="6">
        <f t="shared" si="6"/>
        <v>10</v>
      </c>
      <c r="U1527" s="6">
        <f t="shared" si="7"/>
        <v>2</v>
      </c>
      <c r="V1527" s="42">
        <f>averageif(AllData!A:A,B1527,AllData!R:R)/vlookup(B1527,AllData!A:O,15,0)</f>
        <v>99.39987179</v>
      </c>
      <c r="W1527" s="6"/>
    </row>
    <row r="1528" ht="14.25" customHeight="1">
      <c r="A1528" s="6" t="str">
        <f t="shared" si="1"/>
        <v>2018Fellows9</v>
      </c>
      <c r="B1528" s="59">
        <v>2018.0</v>
      </c>
      <c r="C1528" s="13" t="s">
        <v>79</v>
      </c>
      <c r="D1528" s="13" t="s">
        <v>147</v>
      </c>
      <c r="E1528" s="34"/>
      <c r="F1528" s="6"/>
      <c r="H1528" s="6"/>
      <c r="I1528" s="35" t="str">
        <f>IFERROR(IFERROR(IFERROR(VLOOKUP(B1528&amp;C1528&amp;Q1528,'New Weekly Paste'!A:M,10,0),VLOOKUP(B1528&amp;C1528&amp;Q1528,'New Weekly Paste'!B:O,6,0)),""),"")</f>
        <v>Tayski</v>
      </c>
      <c r="J1528" s="239">
        <f>IFERROR(IFERROR(VLOOKUP(B1528&amp;C1528&amp;Q1528,'New Weekly Paste'!A:M,8,0),VLOOKUP(B1528&amp;C1528&amp;Q1528,'New Weekly Paste'!B:O,10,0)),0)</f>
        <v>84.3</v>
      </c>
      <c r="K1528" s="239">
        <f>IFERROR(IFERROR(VLOOKUP(B1528&amp;I1528&amp;Q1528,'New Weekly Paste'!A:M,8,0),VLOOKUP(B1528&amp;I1528&amp;Q1528,'New Weekly Paste'!B:O,10,0)),0)</f>
        <v>116.4</v>
      </c>
      <c r="L1528" s="239">
        <f t="shared" si="25"/>
        <v>0</v>
      </c>
      <c r="M1528" s="36" t="str">
        <f t="shared" si="3"/>
        <v>Regular Season</v>
      </c>
      <c r="N1528" s="239" t="str">
        <f t="shared" si="26"/>
        <v>Tayski</v>
      </c>
      <c r="O1528" s="6">
        <f>VLOOKUP(D1528,'Mapped Opponent'!$G$4:$H$22,2,0)</f>
        <v>9</v>
      </c>
      <c r="P1528" s="6"/>
      <c r="Q1528" s="6" t="str">
        <f t="shared" si="4"/>
        <v>Week 9</v>
      </c>
      <c r="R1528" s="6" t="str">
        <f t="shared" si="5"/>
        <v>2018Week 9</v>
      </c>
      <c r="S1528" s="6">
        <f>IFERROR(__xludf.DUMMYFUNCTION("rank(J1528,FILTER(J:J,R:R=R1528))"),9.0)</f>
        <v>9</v>
      </c>
      <c r="T1528" s="6">
        <f t="shared" si="6"/>
        <v>3</v>
      </c>
      <c r="U1528" s="6">
        <f t="shared" si="7"/>
        <v>9</v>
      </c>
      <c r="V1528" s="42">
        <f>averageif(AllData!A:A,B1528,AllData!R:R)/vlookup(B1528,AllData!A:O,15,0)</f>
        <v>99.39987179</v>
      </c>
      <c r="W1528" s="6"/>
    </row>
    <row r="1529" ht="14.25" customHeight="1">
      <c r="A1529" s="6" t="str">
        <f t="shared" si="1"/>
        <v>2018Shep9</v>
      </c>
      <c r="B1529" s="59">
        <v>2018.0</v>
      </c>
      <c r="C1529" s="13" t="s">
        <v>89</v>
      </c>
      <c r="D1529" s="13" t="s">
        <v>147</v>
      </c>
      <c r="E1529" s="34"/>
      <c r="F1529" s="6"/>
      <c r="H1529" s="6"/>
      <c r="I1529" s="35" t="str">
        <f>IFERROR(IFERROR(IFERROR(VLOOKUP(B1529&amp;C1529&amp;Q1529,'New Weekly Paste'!A:M,10,0),VLOOKUP(B1529&amp;C1529&amp;Q1529,'New Weekly Paste'!B:O,6,0)),""),"")</f>
        <v>T-How</v>
      </c>
      <c r="J1529" s="239">
        <f>IFERROR(IFERROR(VLOOKUP(B1529&amp;C1529&amp;Q1529,'New Weekly Paste'!A:M,8,0),VLOOKUP(B1529&amp;C1529&amp;Q1529,'New Weekly Paste'!B:O,10,0)),0)</f>
        <v>96.4</v>
      </c>
      <c r="K1529" s="239">
        <f>IFERROR(IFERROR(VLOOKUP(B1529&amp;I1529&amp;Q1529,'New Weekly Paste'!A:M,8,0),VLOOKUP(B1529&amp;I1529&amp;Q1529,'New Weekly Paste'!B:O,10,0)),0)</f>
        <v>113.76</v>
      </c>
      <c r="L1529" s="239">
        <f t="shared" si="25"/>
        <v>0</v>
      </c>
      <c r="M1529" s="36" t="str">
        <f t="shared" si="3"/>
        <v>Regular Season</v>
      </c>
      <c r="N1529" s="239" t="str">
        <f t="shared" si="26"/>
        <v>T-How</v>
      </c>
      <c r="O1529" s="6">
        <f>VLOOKUP(D1529,'Mapped Opponent'!$G$4:$H$22,2,0)</f>
        <v>9</v>
      </c>
      <c r="P1529" s="6"/>
      <c r="Q1529" s="6" t="str">
        <f t="shared" si="4"/>
        <v>Week 9</v>
      </c>
      <c r="R1529" s="6" t="str">
        <f t="shared" si="5"/>
        <v>2018Week 9</v>
      </c>
      <c r="S1529" s="6">
        <f>IFERROR(__xludf.DUMMYFUNCTION("rank(J1529,FILTER(J:J,R:R=R1529))"),7.0)</f>
        <v>7</v>
      </c>
      <c r="T1529" s="6">
        <f t="shared" si="6"/>
        <v>5</v>
      </c>
      <c r="U1529" s="6">
        <f t="shared" si="7"/>
        <v>7</v>
      </c>
      <c r="V1529" s="42">
        <f>averageif(AllData!A:A,B1529,AllData!R:R)/vlookup(B1529,AllData!A:O,15,0)</f>
        <v>99.39987179</v>
      </c>
      <c r="W1529" s="6"/>
    </row>
    <row r="1530" ht="14.25" customHeight="1">
      <c r="A1530" s="6" t="str">
        <f t="shared" si="1"/>
        <v>2018Riley9</v>
      </c>
      <c r="B1530" s="59">
        <v>2018.0</v>
      </c>
      <c r="C1530" s="13" t="s">
        <v>67</v>
      </c>
      <c r="D1530" s="13" t="s">
        <v>147</v>
      </c>
      <c r="E1530" s="34"/>
      <c r="F1530" s="6"/>
      <c r="H1530" s="6"/>
      <c r="I1530" s="35" t="str">
        <f>IFERROR(IFERROR(IFERROR(VLOOKUP(B1530&amp;C1530&amp;Q1530,'New Weekly Paste'!A:M,10,0),VLOOKUP(B1530&amp;C1530&amp;Q1530,'New Weekly Paste'!B:O,6,0)),""),"")</f>
        <v>KnardDawg</v>
      </c>
      <c r="J1530" s="239">
        <f>IFERROR(IFERROR(VLOOKUP(B1530&amp;C1530&amp;Q1530,'New Weekly Paste'!A:M,8,0),VLOOKUP(B1530&amp;C1530&amp;Q1530,'New Weekly Paste'!B:O,10,0)),0)</f>
        <v>140.46</v>
      </c>
      <c r="K1530" s="239">
        <f>IFERROR(IFERROR(VLOOKUP(B1530&amp;I1530&amp;Q1530,'New Weekly Paste'!A:M,8,0),VLOOKUP(B1530&amp;I1530&amp;Q1530,'New Weekly Paste'!B:O,10,0)),0)</f>
        <v>97.14</v>
      </c>
      <c r="L1530" s="239">
        <f t="shared" si="25"/>
        <v>1</v>
      </c>
      <c r="M1530" s="36" t="str">
        <f t="shared" si="3"/>
        <v>Regular Season</v>
      </c>
      <c r="N1530" s="239" t="str">
        <f t="shared" si="26"/>
        <v>KnardDawg</v>
      </c>
      <c r="O1530" s="6">
        <f>VLOOKUP(D1530,'Mapped Opponent'!$G$4:$H$22,2,0)</f>
        <v>9</v>
      </c>
      <c r="P1530" s="6"/>
      <c r="Q1530" s="6" t="str">
        <f t="shared" si="4"/>
        <v>Week 9</v>
      </c>
      <c r="R1530" s="6" t="str">
        <f t="shared" si="5"/>
        <v>2018Week 9</v>
      </c>
      <c r="S1530" s="6">
        <f>IFERROR(__xludf.DUMMYFUNCTION("rank(J1530,FILTER(J:J,R:R=R1530))"),1.0)</f>
        <v>1</v>
      </c>
      <c r="T1530" s="6">
        <f t="shared" si="6"/>
        <v>11</v>
      </c>
      <c r="U1530" s="6">
        <f t="shared" si="7"/>
        <v>1</v>
      </c>
      <c r="V1530" s="42">
        <f>averageif(AllData!A:A,B1530,AllData!R:R)/vlookup(B1530,AllData!A:O,15,0)</f>
        <v>99.39987179</v>
      </c>
      <c r="W1530" s="6"/>
    </row>
    <row r="1531" ht="14.25" customHeight="1">
      <c r="A1531" s="6" t="str">
        <f t="shared" si="1"/>
        <v>2018Rooney/Jackson9</v>
      </c>
      <c r="B1531" s="59">
        <v>2018.0</v>
      </c>
      <c r="C1531" s="13" t="s">
        <v>57</v>
      </c>
      <c r="D1531" s="13" t="s">
        <v>147</v>
      </c>
      <c r="E1531" s="34"/>
      <c r="F1531" s="6"/>
      <c r="H1531" s="6"/>
      <c r="I1531" s="35" t="str">
        <f>IFERROR(IFERROR(IFERROR(VLOOKUP(B1531&amp;C1531&amp;Q1531,'New Weekly Paste'!A:M,10,0),VLOOKUP(B1531&amp;C1531&amp;Q1531,'New Weekly Paste'!B:O,6,0)),""),"")</f>
        <v>Pierson</v>
      </c>
      <c r="J1531" s="239">
        <f>IFERROR(IFERROR(VLOOKUP(B1531&amp;C1531&amp;Q1531,'New Weekly Paste'!A:M,8,0),VLOOKUP(B1531&amp;C1531&amp;Q1531,'New Weekly Paste'!B:O,10,0)),0)</f>
        <v>97.04</v>
      </c>
      <c r="K1531" s="239">
        <f>IFERROR(IFERROR(VLOOKUP(B1531&amp;I1531&amp;Q1531,'New Weekly Paste'!A:M,8,0),VLOOKUP(B1531&amp;I1531&amp;Q1531,'New Weekly Paste'!B:O,10,0)),0)</f>
        <v>89.52</v>
      </c>
      <c r="L1531" s="239">
        <f t="shared" si="25"/>
        <v>1</v>
      </c>
      <c r="M1531" s="36" t="str">
        <f t="shared" si="3"/>
        <v>Regular Season</v>
      </c>
      <c r="N1531" s="239" t="str">
        <f t="shared" si="26"/>
        <v>Pierson</v>
      </c>
      <c r="O1531" s="6">
        <f>VLOOKUP(D1531,'Mapped Opponent'!$G$4:$H$22,2,0)</f>
        <v>9</v>
      </c>
      <c r="P1531" s="6"/>
      <c r="Q1531" s="6" t="str">
        <f t="shared" si="4"/>
        <v>Week 9</v>
      </c>
      <c r="R1531" s="6" t="str">
        <f t="shared" si="5"/>
        <v>2018Week 9</v>
      </c>
      <c r="S1531" s="6">
        <f>IFERROR(__xludf.DUMMYFUNCTION("rank(J1531,FILTER(J:J,R:R=R1531))"),6.0)</f>
        <v>6</v>
      </c>
      <c r="T1531" s="6">
        <f t="shared" si="6"/>
        <v>6</v>
      </c>
      <c r="U1531" s="6">
        <f t="shared" si="7"/>
        <v>6</v>
      </c>
      <c r="V1531" s="42">
        <f>averageif(AllData!A:A,B1531,AllData!R:R)/vlookup(B1531,AllData!A:O,15,0)</f>
        <v>99.39987179</v>
      </c>
      <c r="W1531" s="6"/>
    </row>
    <row r="1532" ht="14.25" customHeight="1">
      <c r="A1532" s="6" t="str">
        <f t="shared" si="1"/>
        <v>2018Buser9</v>
      </c>
      <c r="B1532" s="59">
        <v>2018.0</v>
      </c>
      <c r="C1532" s="13" t="s">
        <v>47</v>
      </c>
      <c r="D1532" s="13" t="s">
        <v>147</v>
      </c>
      <c r="E1532" s="34"/>
      <c r="F1532" s="6"/>
      <c r="H1532" s="6"/>
      <c r="I1532" s="35" t="str">
        <f>IFERROR(IFERROR(IFERROR(VLOOKUP(B1532&amp;C1532&amp;Q1532,'New Weekly Paste'!A:M,10,0),VLOOKUP(B1532&amp;C1532&amp;Q1532,'New Weekly Paste'!B:O,6,0)),""),"")</f>
        <v>Hudspeath</v>
      </c>
      <c r="J1532" s="239">
        <f>IFERROR(IFERROR(VLOOKUP(B1532&amp;C1532&amp;Q1532,'New Weekly Paste'!A:M,8,0),VLOOKUP(B1532&amp;C1532&amp;Q1532,'New Weekly Paste'!B:O,10,0)),0)</f>
        <v>82.38</v>
      </c>
      <c r="K1532" s="239">
        <f>IFERROR(IFERROR(VLOOKUP(B1532&amp;I1532&amp;Q1532,'New Weekly Paste'!A:M,8,0),VLOOKUP(B1532&amp;I1532&amp;Q1532,'New Weekly Paste'!B:O,10,0)),0)</f>
        <v>77.8</v>
      </c>
      <c r="L1532" s="239">
        <f t="shared" si="25"/>
        <v>1</v>
      </c>
      <c r="M1532" s="36" t="str">
        <f t="shared" si="3"/>
        <v>Regular Season</v>
      </c>
      <c r="N1532" s="239" t="str">
        <f t="shared" si="26"/>
        <v>Hudspeath</v>
      </c>
      <c r="O1532" s="6">
        <f>VLOOKUP(D1532,'Mapped Opponent'!$G$4:$H$22,2,0)</f>
        <v>9</v>
      </c>
      <c r="P1532" s="6"/>
      <c r="Q1532" s="6" t="str">
        <f t="shared" si="4"/>
        <v>Week 9</v>
      </c>
      <c r="R1532" s="6" t="str">
        <f t="shared" si="5"/>
        <v>2018Week 9</v>
      </c>
      <c r="S1532" s="6">
        <f>IFERROR(__xludf.DUMMYFUNCTION("rank(J1532,FILTER(J:J,R:R=R1532))"),10.0)</f>
        <v>10</v>
      </c>
      <c r="T1532" s="6">
        <f t="shared" si="6"/>
        <v>2</v>
      </c>
      <c r="U1532" s="6">
        <f t="shared" si="7"/>
        <v>10</v>
      </c>
      <c r="V1532" s="42">
        <f>averageif(AllData!A:A,B1532,AllData!R:R)/vlookup(B1532,AllData!A:O,15,0)</f>
        <v>99.39987179</v>
      </c>
      <c r="W1532" s="6"/>
    </row>
    <row r="1533" ht="14.25" customHeight="1">
      <c r="A1533" s="6" t="str">
        <f t="shared" si="1"/>
        <v>2018Pierson9</v>
      </c>
      <c r="B1533" s="59">
        <v>2018.0</v>
      </c>
      <c r="C1533" s="13" t="s">
        <v>92</v>
      </c>
      <c r="D1533" s="13" t="s">
        <v>147</v>
      </c>
      <c r="E1533" s="34"/>
      <c r="F1533" s="6"/>
      <c r="H1533" s="6"/>
      <c r="I1533" s="35" t="str">
        <f>IFERROR(IFERROR(IFERROR(VLOOKUP(B1533&amp;C1533&amp;Q1533,'New Weekly Paste'!A:M,10,0),VLOOKUP(B1533&amp;C1533&amp;Q1533,'New Weekly Paste'!B:O,6,0)),""),"")</f>
        <v>Rooney/Jackson</v>
      </c>
      <c r="J1533" s="239">
        <f>IFERROR(IFERROR(VLOOKUP(B1533&amp;C1533&amp;Q1533,'New Weekly Paste'!A:M,8,0),VLOOKUP(B1533&amp;C1533&amp;Q1533,'New Weekly Paste'!B:O,10,0)),0)</f>
        <v>89.52</v>
      </c>
      <c r="K1533" s="239">
        <f>IFERROR(IFERROR(VLOOKUP(B1533&amp;I1533&amp;Q1533,'New Weekly Paste'!A:M,8,0),VLOOKUP(B1533&amp;I1533&amp;Q1533,'New Weekly Paste'!B:O,10,0)),0)</f>
        <v>97.04</v>
      </c>
      <c r="L1533" s="239">
        <f t="shared" si="25"/>
        <v>0</v>
      </c>
      <c r="M1533" s="36" t="str">
        <f t="shared" si="3"/>
        <v>Regular Season</v>
      </c>
      <c r="N1533" s="239" t="str">
        <f t="shared" si="26"/>
        <v>Rooney/Jackson</v>
      </c>
      <c r="O1533" s="6">
        <f>VLOOKUP(D1533,'Mapped Opponent'!$G$4:$H$22,2,0)</f>
        <v>9</v>
      </c>
      <c r="P1533" s="6"/>
      <c r="Q1533" s="6" t="str">
        <f t="shared" si="4"/>
        <v>Week 9</v>
      </c>
      <c r="R1533" s="6" t="str">
        <f t="shared" si="5"/>
        <v>2018Week 9</v>
      </c>
      <c r="S1533" s="6">
        <f>IFERROR(__xludf.DUMMYFUNCTION("rank(J1533,FILTER(J:J,R:R=R1533))"),8.0)</f>
        <v>8</v>
      </c>
      <c r="T1533" s="6">
        <f t="shared" si="6"/>
        <v>4</v>
      </c>
      <c r="U1533" s="6">
        <f t="shared" si="7"/>
        <v>8</v>
      </c>
      <c r="V1533" s="42">
        <f>averageif(AllData!A:A,B1533,AllData!R:R)/vlookup(B1533,AllData!A:O,15,0)</f>
        <v>99.39987179</v>
      </c>
      <c r="W1533" s="6"/>
    </row>
    <row r="1534" ht="14.25" customHeight="1">
      <c r="A1534" s="6" t="str">
        <f t="shared" si="1"/>
        <v>2018Cock9</v>
      </c>
      <c r="B1534" s="59">
        <v>2018.0</v>
      </c>
      <c r="C1534" s="13" t="s">
        <v>72</v>
      </c>
      <c r="D1534" s="13" t="s">
        <v>147</v>
      </c>
      <c r="E1534" s="34"/>
      <c r="F1534" s="6"/>
      <c r="H1534" s="6"/>
      <c r="I1534" s="35" t="str">
        <f>IFERROR(IFERROR(IFERROR(VLOOKUP(B1534&amp;C1534&amp;Q1534,'New Weekly Paste'!A:M,10,0),VLOOKUP(B1534&amp;C1534&amp;Q1534,'New Weekly Paste'!B:O,6,0)),""),"")</f>
        <v>Salty</v>
      </c>
      <c r="J1534" s="239">
        <f>IFERROR(IFERROR(VLOOKUP(B1534&amp;C1534&amp;Q1534,'New Weekly Paste'!A:M,8,0),VLOOKUP(B1534&amp;C1534&amp;Q1534,'New Weekly Paste'!B:O,10,0)),0)</f>
        <v>69.26</v>
      </c>
      <c r="K1534" s="239">
        <f>IFERROR(IFERROR(VLOOKUP(B1534&amp;I1534&amp;Q1534,'New Weekly Paste'!A:M,8,0),VLOOKUP(B1534&amp;I1534&amp;Q1534,'New Weekly Paste'!B:O,10,0)),0)</f>
        <v>132.12</v>
      </c>
      <c r="L1534" s="239">
        <f t="shared" si="25"/>
        <v>0</v>
      </c>
      <c r="M1534" s="36" t="str">
        <f t="shared" si="3"/>
        <v>Regular Season</v>
      </c>
      <c r="N1534" s="239" t="str">
        <f t="shared" si="26"/>
        <v>Salty</v>
      </c>
      <c r="O1534" s="6">
        <f>VLOOKUP(D1534,'Mapped Opponent'!$G$4:$H$22,2,0)</f>
        <v>9</v>
      </c>
      <c r="P1534" s="6"/>
      <c r="Q1534" s="6" t="str">
        <f t="shared" si="4"/>
        <v>Week 9</v>
      </c>
      <c r="R1534" s="6" t="str">
        <f t="shared" si="5"/>
        <v>2018Week 9</v>
      </c>
      <c r="S1534" s="6">
        <f>IFERROR(__xludf.DUMMYFUNCTION("rank(J1534,FILTER(J:J,R:R=R1534))"),12.0)</f>
        <v>12</v>
      </c>
      <c r="T1534" s="6">
        <f t="shared" si="6"/>
        <v>0</v>
      </c>
      <c r="U1534" s="6">
        <f t="shared" si="7"/>
        <v>12</v>
      </c>
      <c r="V1534" s="42">
        <f>averageif(AllData!A:A,B1534,AllData!R:R)/vlookup(B1534,AllData!A:O,15,0)</f>
        <v>99.39987179</v>
      </c>
      <c r="W1534" s="6"/>
    </row>
    <row r="1535" ht="14.25" customHeight="1">
      <c r="A1535" s="6" t="str">
        <f t="shared" si="1"/>
        <v>2018Tayski9</v>
      </c>
      <c r="B1535" s="59">
        <v>2018.0</v>
      </c>
      <c r="C1535" s="13" t="s">
        <v>52</v>
      </c>
      <c r="D1535" s="13" t="s">
        <v>147</v>
      </c>
      <c r="E1535" s="34"/>
      <c r="F1535" s="6"/>
      <c r="H1535" s="6"/>
      <c r="I1535" s="35" t="str">
        <f>IFERROR(IFERROR(IFERROR(VLOOKUP(B1535&amp;C1535&amp;Q1535,'New Weekly Paste'!A:M,10,0),VLOOKUP(B1535&amp;C1535&amp;Q1535,'New Weekly Paste'!B:O,6,0)),""),"")</f>
        <v>Fellows</v>
      </c>
      <c r="J1535" s="239">
        <f>IFERROR(IFERROR(VLOOKUP(B1535&amp;C1535&amp;Q1535,'New Weekly Paste'!A:M,8,0),VLOOKUP(B1535&amp;C1535&amp;Q1535,'New Weekly Paste'!B:O,10,0)),0)</f>
        <v>116.4</v>
      </c>
      <c r="K1535" s="239">
        <f>IFERROR(IFERROR(VLOOKUP(B1535&amp;I1535&amp;Q1535,'New Weekly Paste'!A:M,8,0),VLOOKUP(B1535&amp;I1535&amp;Q1535,'New Weekly Paste'!B:O,10,0)),0)</f>
        <v>84.3</v>
      </c>
      <c r="L1535" s="239">
        <f t="shared" si="25"/>
        <v>1</v>
      </c>
      <c r="M1535" s="36" t="str">
        <f t="shared" si="3"/>
        <v>Regular Season</v>
      </c>
      <c r="N1535" s="239" t="str">
        <f t="shared" si="26"/>
        <v>Fellows</v>
      </c>
      <c r="O1535" s="6">
        <f>VLOOKUP(D1535,'Mapped Opponent'!$G$4:$H$22,2,0)</f>
        <v>9</v>
      </c>
      <c r="P1535" s="6"/>
      <c r="Q1535" s="6" t="str">
        <f t="shared" si="4"/>
        <v>Week 9</v>
      </c>
      <c r="R1535" s="6" t="str">
        <f t="shared" si="5"/>
        <v>2018Week 9</v>
      </c>
      <c r="S1535" s="6">
        <f>IFERROR(__xludf.DUMMYFUNCTION("rank(J1535,FILTER(J:J,R:R=R1535))"),3.0)</f>
        <v>3</v>
      </c>
      <c r="T1535" s="6">
        <f t="shared" si="6"/>
        <v>9</v>
      </c>
      <c r="U1535" s="6">
        <f t="shared" si="7"/>
        <v>3</v>
      </c>
      <c r="V1535" s="42">
        <f>averageif(AllData!A:A,B1535,AllData!R:R)/vlookup(B1535,AllData!A:O,15,0)</f>
        <v>99.39987179</v>
      </c>
      <c r="W1535" s="6"/>
    </row>
    <row r="1536" ht="14.25" customHeight="1">
      <c r="A1536" s="6" t="str">
        <f t="shared" si="1"/>
        <v>2018KnardDawg9</v>
      </c>
      <c r="B1536" s="59">
        <v>2018.0</v>
      </c>
      <c r="C1536" s="13" t="s">
        <v>86</v>
      </c>
      <c r="D1536" s="13" t="s">
        <v>147</v>
      </c>
      <c r="E1536" s="34"/>
      <c r="F1536" s="6"/>
      <c r="H1536" s="6"/>
      <c r="I1536" s="35" t="str">
        <f>IFERROR(IFERROR(IFERROR(VLOOKUP(B1536&amp;C1536&amp;Q1536,'New Weekly Paste'!A:M,10,0),VLOOKUP(B1536&amp;C1536&amp;Q1536,'New Weekly Paste'!B:O,6,0)),""),"")</f>
        <v>Riley</v>
      </c>
      <c r="J1536" s="239">
        <f>IFERROR(IFERROR(VLOOKUP(B1536&amp;C1536&amp;Q1536,'New Weekly Paste'!A:M,8,0),VLOOKUP(B1536&amp;C1536&amp;Q1536,'New Weekly Paste'!B:O,10,0)),0)</f>
        <v>97.14</v>
      </c>
      <c r="K1536" s="239">
        <f>IFERROR(IFERROR(VLOOKUP(B1536&amp;I1536&amp;Q1536,'New Weekly Paste'!A:M,8,0),VLOOKUP(B1536&amp;I1536&amp;Q1536,'New Weekly Paste'!B:O,10,0)),0)</f>
        <v>140.46</v>
      </c>
      <c r="L1536" s="239">
        <f t="shared" si="25"/>
        <v>0</v>
      </c>
      <c r="M1536" s="36" t="str">
        <f t="shared" si="3"/>
        <v>Regular Season</v>
      </c>
      <c r="N1536" s="239" t="str">
        <f t="shared" si="26"/>
        <v>Riley</v>
      </c>
      <c r="O1536" s="6">
        <f>VLOOKUP(D1536,'Mapped Opponent'!$G$4:$H$22,2,0)</f>
        <v>9</v>
      </c>
      <c r="P1536" s="6"/>
      <c r="Q1536" s="6" t="str">
        <f t="shared" si="4"/>
        <v>Week 9</v>
      </c>
      <c r="R1536" s="6" t="str">
        <f t="shared" si="5"/>
        <v>2018Week 9</v>
      </c>
      <c r="S1536" s="6">
        <f>IFERROR(__xludf.DUMMYFUNCTION("rank(J1536,FILTER(J:J,R:R=R1536))"),5.0)</f>
        <v>5</v>
      </c>
      <c r="T1536" s="6">
        <f t="shared" si="6"/>
        <v>7</v>
      </c>
      <c r="U1536" s="6">
        <f t="shared" si="7"/>
        <v>5</v>
      </c>
      <c r="V1536" s="42">
        <f>averageif(AllData!A:A,B1536,AllData!R:R)/vlookup(B1536,AllData!A:O,15,0)</f>
        <v>99.39987179</v>
      </c>
      <c r="W1536" s="6"/>
    </row>
    <row r="1537" ht="14.25" customHeight="1">
      <c r="A1537" s="6" t="str">
        <f t="shared" si="1"/>
        <v>2018T-How9</v>
      </c>
      <c r="B1537" s="59">
        <v>2018.0</v>
      </c>
      <c r="C1537" s="13" t="s">
        <v>82</v>
      </c>
      <c r="D1537" s="13" t="s">
        <v>147</v>
      </c>
      <c r="E1537" s="34"/>
      <c r="F1537" s="6"/>
      <c r="H1537" s="6"/>
      <c r="I1537" s="35" t="str">
        <f>IFERROR(IFERROR(IFERROR(VLOOKUP(B1537&amp;C1537&amp;Q1537,'New Weekly Paste'!A:M,10,0),VLOOKUP(B1537&amp;C1537&amp;Q1537,'New Weekly Paste'!B:O,6,0)),""),"")</f>
        <v>Shep</v>
      </c>
      <c r="J1537" s="239">
        <f>IFERROR(IFERROR(VLOOKUP(B1537&amp;C1537&amp;Q1537,'New Weekly Paste'!A:M,8,0),VLOOKUP(B1537&amp;C1537&amp;Q1537,'New Weekly Paste'!B:O,10,0)),0)</f>
        <v>113.76</v>
      </c>
      <c r="K1537" s="239">
        <f>IFERROR(IFERROR(VLOOKUP(B1537&amp;I1537&amp;Q1537,'New Weekly Paste'!A:M,8,0),VLOOKUP(B1537&amp;I1537&amp;Q1537,'New Weekly Paste'!B:O,10,0)),0)</f>
        <v>96.4</v>
      </c>
      <c r="L1537" s="239">
        <f t="shared" si="25"/>
        <v>1</v>
      </c>
      <c r="M1537" s="36" t="str">
        <f t="shared" si="3"/>
        <v>Regular Season</v>
      </c>
      <c r="N1537" s="239" t="str">
        <f t="shared" si="26"/>
        <v>Shep</v>
      </c>
      <c r="O1537" s="6">
        <f>VLOOKUP(D1537,'Mapped Opponent'!$G$4:$H$22,2,0)</f>
        <v>9</v>
      </c>
      <c r="P1537" s="6"/>
      <c r="Q1537" s="6" t="str">
        <f t="shared" si="4"/>
        <v>Week 9</v>
      </c>
      <c r="R1537" s="6" t="str">
        <f t="shared" si="5"/>
        <v>2018Week 9</v>
      </c>
      <c r="S1537" s="6">
        <f>IFERROR(__xludf.DUMMYFUNCTION("rank(J1537,FILTER(J:J,R:R=R1537))"),4.0)</f>
        <v>4</v>
      </c>
      <c r="T1537" s="6">
        <f t="shared" si="6"/>
        <v>8</v>
      </c>
      <c r="U1537" s="6">
        <f t="shared" si="7"/>
        <v>4</v>
      </c>
      <c r="V1537" s="42">
        <f>averageif(AllData!A:A,B1537,AllData!R:R)/vlookup(B1537,AllData!A:O,15,0)</f>
        <v>99.39987179</v>
      </c>
      <c r="W1537" s="6"/>
    </row>
    <row r="1538" ht="14.25" customHeight="1">
      <c r="A1538" s="6" t="str">
        <f t="shared" si="1"/>
        <v>2019Hudspeath15</v>
      </c>
      <c r="B1538" s="59">
        <v>2019.0</v>
      </c>
      <c r="C1538" s="13" t="s">
        <v>39</v>
      </c>
      <c r="D1538" s="13" t="s">
        <v>112</v>
      </c>
      <c r="E1538" s="34"/>
      <c r="F1538" s="6"/>
      <c r="H1538" s="6"/>
      <c r="I1538" s="35" t="str">
        <f>IFERROR(IFERROR(IFERROR(VLOOKUP(B1538&amp;C1538&amp;Q1538,'New Weekly Paste'!A:M,10,0),VLOOKUP(B1538&amp;C1538&amp;Q1538,'New Weekly Paste'!B:O,6,0)),""),"")</f>
        <v>Tayski</v>
      </c>
      <c r="J1538" s="239">
        <f>IFERROR(IFERROR(VLOOKUP(B1538&amp;C1538&amp;Q1538,'New Weekly Paste'!A:M,8,0),VLOOKUP(B1538&amp;C1538&amp;Q1538,'New Weekly Paste'!B:O,10,0)),0)</f>
        <v>128.02</v>
      </c>
      <c r="K1538" s="239">
        <f>IFERROR(IFERROR(VLOOKUP(B1538&amp;I1538&amp;Q1538,'New Weekly Paste'!A:M,8,0),VLOOKUP(B1538&amp;I1538&amp;Q1538,'New Weekly Paste'!B:O,10,0)),0)</f>
        <v>80.02</v>
      </c>
      <c r="L1538" s="239">
        <f t="shared" si="25"/>
        <v>1</v>
      </c>
      <c r="M1538" s="36" t="str">
        <f t="shared" si="3"/>
        <v>Playoffs</v>
      </c>
      <c r="N1538" s="239" t="str">
        <f t="shared" si="26"/>
        <v>Tayski</v>
      </c>
      <c r="O1538" s="6">
        <f>VLOOKUP(D1538,'Mapped Opponent'!$G$4:$H$22,2,0)</f>
        <v>15</v>
      </c>
      <c r="P1538" s="6"/>
      <c r="Q1538" s="6" t="str">
        <f t="shared" si="4"/>
        <v>Week 15</v>
      </c>
      <c r="R1538" s="6" t="str">
        <f t="shared" si="5"/>
        <v>2019Round 1</v>
      </c>
      <c r="S1538" s="6">
        <f>IFERROR(__xludf.DUMMYFUNCTION("rank(J1538,FILTER(J:J,R:R=R1538))"),3.0)</f>
        <v>3</v>
      </c>
      <c r="T1538" s="6">
        <f t="shared" si="6"/>
        <v>9</v>
      </c>
      <c r="U1538" s="6">
        <f t="shared" si="7"/>
        <v>3</v>
      </c>
      <c r="V1538" s="42">
        <f>averageif(AllData!A:A,B1538,AllData!R:R)/vlookup(B1538,AllData!A:O,15,0)</f>
        <v>93.61128205</v>
      </c>
      <c r="W1538" s="6"/>
    </row>
    <row r="1539" ht="14.25" customHeight="1">
      <c r="A1539" s="6" t="str">
        <f t="shared" si="1"/>
        <v>2019Salty15</v>
      </c>
      <c r="B1539" s="59">
        <v>2019.0</v>
      </c>
      <c r="C1539" s="13" t="s">
        <v>76</v>
      </c>
      <c r="D1539" s="13" t="s">
        <v>112</v>
      </c>
      <c r="E1539" s="34"/>
      <c r="F1539" s="6"/>
      <c r="H1539" s="6"/>
      <c r="I1539" s="35" t="str">
        <f>IFERROR(IFERROR(IFERROR(VLOOKUP(B1539&amp;C1539&amp;Q1539,'New Weekly Paste'!A:M,10,0),VLOOKUP(B1539&amp;C1539&amp;Q1539,'New Weekly Paste'!B:O,6,0)),""),"")</f>
        <v>Fellows</v>
      </c>
      <c r="J1539" s="239">
        <f>IFERROR(IFERROR(VLOOKUP(B1539&amp;C1539&amp;Q1539,'New Weekly Paste'!A:M,8,0),VLOOKUP(B1539&amp;C1539&amp;Q1539,'New Weekly Paste'!B:O,10,0)),0)</f>
        <v>161.12</v>
      </c>
      <c r="K1539" s="239">
        <f>IFERROR(IFERROR(VLOOKUP(B1539&amp;I1539&amp;Q1539,'New Weekly Paste'!A:M,8,0),VLOOKUP(B1539&amp;I1539&amp;Q1539,'New Weekly Paste'!B:O,10,0)),0)</f>
        <v>61.38</v>
      </c>
      <c r="L1539" s="239">
        <f t="shared" si="25"/>
        <v>1</v>
      </c>
      <c r="M1539" s="36" t="str">
        <f t="shared" si="3"/>
        <v>Playoffs</v>
      </c>
      <c r="N1539" s="239" t="str">
        <f t="shared" si="26"/>
        <v>Fellows</v>
      </c>
      <c r="O1539" s="6">
        <f>VLOOKUP(D1539,'Mapped Opponent'!$G$4:$H$22,2,0)</f>
        <v>15</v>
      </c>
      <c r="P1539" s="6"/>
      <c r="Q1539" s="6" t="str">
        <f t="shared" si="4"/>
        <v>Week 15</v>
      </c>
      <c r="R1539" s="6" t="str">
        <f t="shared" si="5"/>
        <v>2019Round 1</v>
      </c>
      <c r="S1539" s="6">
        <f>IFERROR(__xludf.DUMMYFUNCTION("rank(J1539,FILTER(J:J,R:R=R1539))"),1.0)</f>
        <v>1</v>
      </c>
      <c r="T1539" s="6">
        <f t="shared" si="6"/>
        <v>11</v>
      </c>
      <c r="U1539" s="6">
        <f t="shared" si="7"/>
        <v>1</v>
      </c>
      <c r="V1539" s="42">
        <f>averageif(AllData!A:A,B1539,AllData!R:R)/vlookup(B1539,AllData!A:O,15,0)</f>
        <v>93.61128205</v>
      </c>
      <c r="W1539" s="6"/>
    </row>
    <row r="1540" ht="14.25" customHeight="1">
      <c r="A1540" s="6" t="str">
        <f t="shared" si="1"/>
        <v>2019Fellows15</v>
      </c>
      <c r="B1540" s="59">
        <v>2019.0</v>
      </c>
      <c r="C1540" s="13" t="s">
        <v>79</v>
      </c>
      <c r="D1540" s="13" t="s">
        <v>112</v>
      </c>
      <c r="E1540" s="34"/>
      <c r="F1540" s="6"/>
      <c r="H1540" s="6"/>
      <c r="I1540" s="35" t="str">
        <f>IFERROR(IFERROR(IFERROR(VLOOKUP(B1540&amp;C1540&amp;Q1540,'New Weekly Paste'!A:M,10,0),VLOOKUP(B1540&amp;C1540&amp;Q1540,'New Weekly Paste'!B:O,6,0)),""),"")</f>
        <v>Salty</v>
      </c>
      <c r="J1540" s="239">
        <f>IFERROR(IFERROR(VLOOKUP(B1540&amp;C1540&amp;Q1540,'New Weekly Paste'!A:M,8,0),VLOOKUP(B1540&amp;C1540&amp;Q1540,'New Weekly Paste'!B:O,10,0)),0)</f>
        <v>61.38</v>
      </c>
      <c r="K1540" s="239">
        <f>IFERROR(IFERROR(VLOOKUP(B1540&amp;I1540&amp;Q1540,'New Weekly Paste'!A:M,8,0),VLOOKUP(B1540&amp;I1540&amp;Q1540,'New Weekly Paste'!B:O,10,0)),0)</f>
        <v>161.12</v>
      </c>
      <c r="L1540" s="239">
        <f t="shared" si="25"/>
        <v>0</v>
      </c>
      <c r="M1540" s="36" t="str">
        <f t="shared" si="3"/>
        <v>Playoffs</v>
      </c>
      <c r="N1540" s="239" t="str">
        <f t="shared" si="26"/>
        <v>Salty</v>
      </c>
      <c r="O1540" s="6">
        <f>VLOOKUP(D1540,'Mapped Opponent'!$G$4:$H$22,2,0)</f>
        <v>15</v>
      </c>
      <c r="P1540" s="6"/>
      <c r="Q1540" s="6" t="str">
        <f t="shared" si="4"/>
        <v>Week 15</v>
      </c>
      <c r="R1540" s="6" t="str">
        <f t="shared" si="5"/>
        <v>2019Round 1</v>
      </c>
      <c r="S1540" s="6">
        <f>IFERROR(__xludf.DUMMYFUNCTION("rank(J1540,FILTER(J:J,R:R=R1540))"),11.0)</f>
        <v>11</v>
      </c>
      <c r="T1540" s="6">
        <f t="shared" si="6"/>
        <v>1</v>
      </c>
      <c r="U1540" s="6">
        <f t="shared" si="7"/>
        <v>11</v>
      </c>
      <c r="V1540" s="42">
        <f>averageif(AllData!A:A,B1540,AllData!R:R)/vlookup(B1540,AllData!A:O,15,0)</f>
        <v>93.61128205</v>
      </c>
      <c r="W1540" s="6"/>
    </row>
    <row r="1541" ht="14.25" customHeight="1">
      <c r="A1541" s="6" t="str">
        <f t="shared" si="1"/>
        <v>2019Shep15</v>
      </c>
      <c r="B1541" s="59">
        <v>2019.0</v>
      </c>
      <c r="C1541" s="13" t="s">
        <v>89</v>
      </c>
      <c r="D1541" s="13" t="s">
        <v>112</v>
      </c>
      <c r="E1541" s="34"/>
      <c r="F1541" s="6"/>
      <c r="H1541" s="6"/>
      <c r="I1541" s="35" t="str">
        <f>IFERROR(IFERROR(IFERROR(VLOOKUP(B1541&amp;C1541&amp;Q1541,'New Weekly Paste'!A:M,10,0),VLOOKUP(B1541&amp;C1541&amp;Q1541,'New Weekly Paste'!B:O,6,0)),""),"")</f>
        <v>KnardDawg</v>
      </c>
      <c r="J1541" s="239">
        <f>IFERROR(IFERROR(VLOOKUP(B1541&amp;C1541&amp;Q1541,'New Weekly Paste'!A:M,8,0),VLOOKUP(B1541&amp;C1541&amp;Q1541,'New Weekly Paste'!B:O,10,0)),0)</f>
        <v>75</v>
      </c>
      <c r="K1541" s="239">
        <f>IFERROR(IFERROR(VLOOKUP(B1541&amp;I1541&amp;Q1541,'New Weekly Paste'!A:M,8,0),VLOOKUP(B1541&amp;I1541&amp;Q1541,'New Weekly Paste'!B:O,10,0)),0)</f>
        <v>69.6</v>
      </c>
      <c r="L1541" s="239">
        <f t="shared" si="25"/>
        <v>1</v>
      </c>
      <c r="M1541" s="36" t="str">
        <f t="shared" si="3"/>
        <v>Playoffs</v>
      </c>
      <c r="N1541" s="239" t="str">
        <f t="shared" si="26"/>
        <v>KnardDawg</v>
      </c>
      <c r="O1541" s="6">
        <f>VLOOKUP(D1541,'Mapped Opponent'!$G$4:$H$22,2,0)</f>
        <v>15</v>
      </c>
      <c r="P1541" s="6"/>
      <c r="Q1541" s="6" t="str">
        <f t="shared" si="4"/>
        <v>Week 15</v>
      </c>
      <c r="R1541" s="6" t="str">
        <f t="shared" si="5"/>
        <v>2019Round 1</v>
      </c>
      <c r="S1541" s="6">
        <f>IFERROR(__xludf.DUMMYFUNCTION("rank(J1541,FILTER(J:J,R:R=R1541))"),9.0)</f>
        <v>9</v>
      </c>
      <c r="T1541" s="6">
        <f t="shared" si="6"/>
        <v>3</v>
      </c>
      <c r="U1541" s="6">
        <f t="shared" si="7"/>
        <v>9</v>
      </c>
      <c r="V1541" s="42">
        <f>averageif(AllData!A:A,B1541,AllData!R:R)/vlookup(B1541,AllData!A:O,15,0)</f>
        <v>93.61128205</v>
      </c>
      <c r="W1541" s="6"/>
    </row>
    <row r="1542" ht="14.25" customHeight="1">
      <c r="A1542" s="6" t="str">
        <f t="shared" si="1"/>
        <v>2019Riley15</v>
      </c>
      <c r="B1542" s="59">
        <v>2019.0</v>
      </c>
      <c r="C1542" s="13" t="s">
        <v>67</v>
      </c>
      <c r="D1542" s="13" t="s">
        <v>112</v>
      </c>
      <c r="E1542" s="34"/>
      <c r="F1542" s="6"/>
      <c r="H1542" s="6"/>
      <c r="I1542" s="35" t="str">
        <f>IFERROR(IFERROR(IFERROR(VLOOKUP(B1542&amp;C1542&amp;Q1542,'New Weekly Paste'!A:M,10,0),VLOOKUP(B1542&amp;C1542&amp;Q1542,'New Weekly Paste'!B:O,6,0)),""),"")</f>
        <v>Cock</v>
      </c>
      <c r="J1542" s="239">
        <f>IFERROR(IFERROR(VLOOKUP(B1542&amp;C1542&amp;Q1542,'New Weekly Paste'!A:M,8,0),VLOOKUP(B1542&amp;C1542&amp;Q1542,'New Weekly Paste'!B:O,10,0)),0)</f>
        <v>88.96</v>
      </c>
      <c r="K1542" s="239">
        <f>IFERROR(IFERROR(VLOOKUP(B1542&amp;I1542&amp;Q1542,'New Weekly Paste'!A:M,8,0),VLOOKUP(B1542&amp;I1542&amp;Q1542,'New Weekly Paste'!B:O,10,0)),0)</f>
        <v>55.52</v>
      </c>
      <c r="L1542" s="239">
        <f t="shared" si="25"/>
        <v>1</v>
      </c>
      <c r="M1542" s="36" t="str">
        <f t="shared" si="3"/>
        <v>Playoffs</v>
      </c>
      <c r="N1542" s="239" t="str">
        <f t="shared" si="26"/>
        <v>Cock</v>
      </c>
      <c r="O1542" s="6">
        <f>VLOOKUP(D1542,'Mapped Opponent'!$G$4:$H$22,2,0)</f>
        <v>15</v>
      </c>
      <c r="P1542" s="6"/>
      <c r="Q1542" s="6" t="str">
        <f t="shared" si="4"/>
        <v>Week 15</v>
      </c>
      <c r="R1542" s="6" t="str">
        <f t="shared" si="5"/>
        <v>2019Round 1</v>
      </c>
      <c r="S1542" s="6">
        <f>IFERROR(__xludf.DUMMYFUNCTION("rank(J1542,FILTER(J:J,R:R=R1542))"),6.0)</f>
        <v>6</v>
      </c>
      <c r="T1542" s="6">
        <f t="shared" si="6"/>
        <v>6</v>
      </c>
      <c r="U1542" s="6">
        <f t="shared" si="7"/>
        <v>6</v>
      </c>
      <c r="V1542" s="42">
        <f>averageif(AllData!A:A,B1542,AllData!R:R)/vlookup(B1542,AllData!A:O,15,0)</f>
        <v>93.61128205</v>
      </c>
      <c r="W1542" s="6"/>
    </row>
    <row r="1543" ht="14.25" customHeight="1">
      <c r="A1543" s="6" t="str">
        <f t="shared" si="1"/>
        <v>2019Rooney/Jackson15</v>
      </c>
      <c r="B1543" s="59">
        <v>2019.0</v>
      </c>
      <c r="C1543" s="13" t="s">
        <v>57</v>
      </c>
      <c r="D1543" s="13" t="s">
        <v>112</v>
      </c>
      <c r="E1543" s="34"/>
      <c r="F1543" s="6"/>
      <c r="H1543" s="6"/>
      <c r="I1543" s="35" t="str">
        <f>IFERROR(IFERROR(IFERROR(VLOOKUP(B1543&amp;C1543&amp;Q1543,'New Weekly Paste'!A:M,10,0),VLOOKUP(B1543&amp;C1543&amp;Q1543,'New Weekly Paste'!B:O,6,0)),""),"")</f>
        <v>Buser</v>
      </c>
      <c r="J1543" s="239">
        <f>IFERROR(IFERROR(VLOOKUP(B1543&amp;C1543&amp;Q1543,'New Weekly Paste'!A:M,8,0),VLOOKUP(B1543&amp;C1543&amp;Q1543,'New Weekly Paste'!B:O,10,0)),0)</f>
        <v>114.58</v>
      </c>
      <c r="K1543" s="239">
        <f>IFERROR(IFERROR(VLOOKUP(B1543&amp;I1543&amp;Q1543,'New Weekly Paste'!A:M,8,0),VLOOKUP(B1543&amp;I1543&amp;Q1543,'New Weekly Paste'!B:O,10,0)),0)</f>
        <v>86.94</v>
      </c>
      <c r="L1543" s="239">
        <f t="shared" si="25"/>
        <v>1</v>
      </c>
      <c r="M1543" s="36" t="str">
        <f t="shared" si="3"/>
        <v>Playoffs</v>
      </c>
      <c r="N1543" s="239" t="str">
        <f t="shared" si="26"/>
        <v>Buser</v>
      </c>
      <c r="O1543" s="6">
        <f>VLOOKUP(D1543,'Mapped Opponent'!$G$4:$H$22,2,0)</f>
        <v>15</v>
      </c>
      <c r="P1543" s="6"/>
      <c r="Q1543" s="6" t="str">
        <f t="shared" si="4"/>
        <v>Week 15</v>
      </c>
      <c r="R1543" s="6" t="str">
        <f t="shared" si="5"/>
        <v>2019Round 1</v>
      </c>
      <c r="S1543" s="6">
        <f>IFERROR(__xludf.DUMMYFUNCTION("rank(J1543,FILTER(J:J,R:R=R1543))"),4.0)</f>
        <v>4</v>
      </c>
      <c r="T1543" s="6">
        <f t="shared" si="6"/>
        <v>8</v>
      </c>
      <c r="U1543" s="6">
        <f t="shared" si="7"/>
        <v>4</v>
      </c>
      <c r="V1543" s="42">
        <f>averageif(AllData!A:A,B1543,AllData!R:R)/vlookup(B1543,AllData!A:O,15,0)</f>
        <v>93.61128205</v>
      </c>
      <c r="W1543" s="6"/>
    </row>
    <row r="1544" ht="14.25" customHeight="1">
      <c r="A1544" s="6" t="str">
        <f t="shared" si="1"/>
        <v>2019Buser15</v>
      </c>
      <c r="B1544" s="59">
        <v>2019.0</v>
      </c>
      <c r="C1544" s="13" t="s">
        <v>47</v>
      </c>
      <c r="D1544" s="13" t="s">
        <v>112</v>
      </c>
      <c r="E1544" s="34"/>
      <c r="F1544" s="6"/>
      <c r="H1544" s="6"/>
      <c r="I1544" s="35" t="str">
        <f>IFERROR(IFERROR(IFERROR(VLOOKUP(B1544&amp;C1544&amp;Q1544,'New Weekly Paste'!A:M,10,0),VLOOKUP(B1544&amp;C1544&amp;Q1544,'New Weekly Paste'!B:O,6,0)),""),"")</f>
        <v>Rooney/Jackson</v>
      </c>
      <c r="J1544" s="239">
        <f>IFERROR(IFERROR(VLOOKUP(B1544&amp;C1544&amp;Q1544,'New Weekly Paste'!A:M,8,0),VLOOKUP(B1544&amp;C1544&amp;Q1544,'New Weekly Paste'!B:O,10,0)),0)</f>
        <v>86.94</v>
      </c>
      <c r="K1544" s="239">
        <f>IFERROR(IFERROR(VLOOKUP(B1544&amp;I1544&amp;Q1544,'New Weekly Paste'!A:M,8,0),VLOOKUP(B1544&amp;I1544&amp;Q1544,'New Weekly Paste'!B:O,10,0)),0)</f>
        <v>114.58</v>
      </c>
      <c r="L1544" s="239">
        <f t="shared" si="25"/>
        <v>0</v>
      </c>
      <c r="M1544" s="36" t="str">
        <f t="shared" si="3"/>
        <v>Playoffs</v>
      </c>
      <c r="N1544" s="239" t="str">
        <f t="shared" si="26"/>
        <v>Rooney/Jackson</v>
      </c>
      <c r="O1544" s="6">
        <f>VLOOKUP(D1544,'Mapped Opponent'!$G$4:$H$22,2,0)</f>
        <v>15</v>
      </c>
      <c r="P1544" s="6"/>
      <c r="Q1544" s="6" t="str">
        <f t="shared" si="4"/>
        <v>Week 15</v>
      </c>
      <c r="R1544" s="6" t="str">
        <f t="shared" si="5"/>
        <v>2019Round 1</v>
      </c>
      <c r="S1544" s="6">
        <f>IFERROR(__xludf.DUMMYFUNCTION("rank(J1544,FILTER(J:J,R:R=R1544))"),7.0)</f>
        <v>7</v>
      </c>
      <c r="T1544" s="6">
        <f t="shared" si="6"/>
        <v>5</v>
      </c>
      <c r="U1544" s="6">
        <f t="shared" si="7"/>
        <v>7</v>
      </c>
      <c r="V1544" s="42">
        <f>averageif(AllData!A:A,B1544,AllData!R:R)/vlookup(B1544,AllData!A:O,15,0)</f>
        <v>93.61128205</v>
      </c>
      <c r="W1544" s="6"/>
    </row>
    <row r="1545" ht="14.25" customHeight="1">
      <c r="A1545" s="6" t="str">
        <f t="shared" si="1"/>
        <v>2019Pierson15</v>
      </c>
      <c r="B1545" s="59">
        <v>2019.0</v>
      </c>
      <c r="C1545" s="13" t="s">
        <v>92</v>
      </c>
      <c r="D1545" s="13" t="s">
        <v>112</v>
      </c>
      <c r="E1545" s="34"/>
      <c r="F1545" s="6"/>
      <c r="H1545" s="6"/>
      <c r="I1545" s="35" t="str">
        <f>IFERROR(IFERROR(IFERROR(VLOOKUP(B1545&amp;C1545&amp;Q1545,'New Weekly Paste'!A:M,10,0),VLOOKUP(B1545&amp;C1545&amp;Q1545,'New Weekly Paste'!B:O,6,0)),""),"")</f>
        <v>T-How</v>
      </c>
      <c r="J1545" s="239">
        <f>IFERROR(IFERROR(VLOOKUP(B1545&amp;C1545&amp;Q1545,'New Weekly Paste'!A:M,8,0),VLOOKUP(B1545&amp;C1545&amp;Q1545,'New Weekly Paste'!B:O,10,0)),0)</f>
        <v>158.38</v>
      </c>
      <c r="K1545" s="239">
        <f>IFERROR(IFERROR(VLOOKUP(B1545&amp;I1545&amp;Q1545,'New Weekly Paste'!A:M,8,0),VLOOKUP(B1545&amp;I1545&amp;Q1545,'New Weekly Paste'!B:O,10,0)),0)</f>
        <v>104.16</v>
      </c>
      <c r="L1545" s="239">
        <f t="shared" si="25"/>
        <v>1</v>
      </c>
      <c r="M1545" s="36" t="str">
        <f t="shared" si="3"/>
        <v>Playoffs</v>
      </c>
      <c r="N1545" s="239" t="str">
        <f t="shared" si="26"/>
        <v>T-How</v>
      </c>
      <c r="O1545" s="6">
        <f>VLOOKUP(D1545,'Mapped Opponent'!$G$4:$H$22,2,0)</f>
        <v>15</v>
      </c>
      <c r="P1545" s="6"/>
      <c r="Q1545" s="6" t="str">
        <f t="shared" si="4"/>
        <v>Week 15</v>
      </c>
      <c r="R1545" s="6" t="str">
        <f t="shared" si="5"/>
        <v>2019Round 1</v>
      </c>
      <c r="S1545" s="6">
        <f>IFERROR(__xludf.DUMMYFUNCTION("rank(J1545,FILTER(J:J,R:R=R1545))"),2.0)</f>
        <v>2</v>
      </c>
      <c r="T1545" s="6">
        <f t="shared" si="6"/>
        <v>10</v>
      </c>
      <c r="U1545" s="6">
        <f t="shared" si="7"/>
        <v>2</v>
      </c>
      <c r="V1545" s="42">
        <f>averageif(AllData!A:A,B1545,AllData!R:R)/vlookup(B1545,AllData!A:O,15,0)</f>
        <v>93.61128205</v>
      </c>
      <c r="W1545" s="6"/>
    </row>
    <row r="1546" ht="14.25" customHeight="1">
      <c r="A1546" s="6" t="str">
        <f t="shared" si="1"/>
        <v>2019Cock15</v>
      </c>
      <c r="B1546" s="59">
        <v>2019.0</v>
      </c>
      <c r="C1546" s="13" t="s">
        <v>72</v>
      </c>
      <c r="D1546" s="13" t="s">
        <v>112</v>
      </c>
      <c r="E1546" s="34"/>
      <c r="F1546" s="6"/>
      <c r="H1546" s="6"/>
      <c r="I1546" s="35" t="str">
        <f>IFERROR(IFERROR(IFERROR(VLOOKUP(B1546&amp;C1546&amp;Q1546,'New Weekly Paste'!A:M,10,0),VLOOKUP(B1546&amp;C1546&amp;Q1546,'New Weekly Paste'!B:O,6,0)),""),"")</f>
        <v>Riley</v>
      </c>
      <c r="J1546" s="239">
        <f>IFERROR(IFERROR(VLOOKUP(B1546&amp;C1546&amp;Q1546,'New Weekly Paste'!A:M,8,0),VLOOKUP(B1546&amp;C1546&amp;Q1546,'New Weekly Paste'!B:O,10,0)),0)</f>
        <v>55.52</v>
      </c>
      <c r="K1546" s="239">
        <f>IFERROR(IFERROR(VLOOKUP(B1546&amp;I1546&amp;Q1546,'New Weekly Paste'!A:M,8,0),VLOOKUP(B1546&amp;I1546&amp;Q1546,'New Weekly Paste'!B:O,10,0)),0)</f>
        <v>88.96</v>
      </c>
      <c r="L1546" s="239">
        <f t="shared" si="25"/>
        <v>0</v>
      </c>
      <c r="M1546" s="36" t="str">
        <f t="shared" si="3"/>
        <v>Playoffs</v>
      </c>
      <c r="N1546" s="239" t="str">
        <f t="shared" si="26"/>
        <v>Riley</v>
      </c>
      <c r="O1546" s="6">
        <f>VLOOKUP(D1546,'Mapped Opponent'!$G$4:$H$22,2,0)</f>
        <v>15</v>
      </c>
      <c r="P1546" s="6"/>
      <c r="Q1546" s="6" t="str">
        <f t="shared" si="4"/>
        <v>Week 15</v>
      </c>
      <c r="R1546" s="6" t="str">
        <f t="shared" si="5"/>
        <v>2019Round 1</v>
      </c>
      <c r="S1546" s="6">
        <f>IFERROR(__xludf.DUMMYFUNCTION("rank(J1546,FILTER(J:J,R:R=R1546))"),12.0)</f>
        <v>12</v>
      </c>
      <c r="T1546" s="6">
        <f t="shared" si="6"/>
        <v>0</v>
      </c>
      <c r="U1546" s="6">
        <f t="shared" si="7"/>
        <v>12</v>
      </c>
      <c r="V1546" s="42">
        <f>averageif(AllData!A:A,B1546,AllData!R:R)/vlookup(B1546,AllData!A:O,15,0)</f>
        <v>93.61128205</v>
      </c>
      <c r="W1546" s="6"/>
    </row>
    <row r="1547" ht="14.25" customHeight="1">
      <c r="A1547" s="6" t="str">
        <f t="shared" si="1"/>
        <v>2019Tayski15</v>
      </c>
      <c r="B1547" s="59">
        <v>2019.0</v>
      </c>
      <c r="C1547" s="13" t="s">
        <v>52</v>
      </c>
      <c r="D1547" s="13" t="s">
        <v>112</v>
      </c>
      <c r="E1547" s="34"/>
      <c r="F1547" s="6"/>
      <c r="H1547" s="6"/>
      <c r="I1547" s="35" t="str">
        <f>IFERROR(IFERROR(IFERROR(VLOOKUP(B1547&amp;C1547&amp;Q1547,'New Weekly Paste'!A:M,10,0),VLOOKUP(B1547&amp;C1547&amp;Q1547,'New Weekly Paste'!B:O,6,0)),""),"")</f>
        <v>Hudspeath</v>
      </c>
      <c r="J1547" s="239">
        <f>IFERROR(IFERROR(VLOOKUP(B1547&amp;C1547&amp;Q1547,'New Weekly Paste'!A:M,8,0),VLOOKUP(B1547&amp;C1547&amp;Q1547,'New Weekly Paste'!B:O,10,0)),0)</f>
        <v>80.02</v>
      </c>
      <c r="K1547" s="239">
        <f>IFERROR(IFERROR(VLOOKUP(B1547&amp;I1547&amp;Q1547,'New Weekly Paste'!A:M,8,0),VLOOKUP(B1547&amp;I1547&amp;Q1547,'New Weekly Paste'!B:O,10,0)),0)</f>
        <v>128.02</v>
      </c>
      <c r="L1547" s="239">
        <f t="shared" si="25"/>
        <v>0</v>
      </c>
      <c r="M1547" s="36" t="str">
        <f t="shared" si="3"/>
        <v>Playoffs</v>
      </c>
      <c r="N1547" s="239" t="str">
        <f t="shared" si="26"/>
        <v>Hudspeath</v>
      </c>
      <c r="O1547" s="6">
        <f>VLOOKUP(D1547,'Mapped Opponent'!$G$4:$H$22,2,0)</f>
        <v>15</v>
      </c>
      <c r="P1547" s="6"/>
      <c r="Q1547" s="6" t="str">
        <f t="shared" si="4"/>
        <v>Week 15</v>
      </c>
      <c r="R1547" s="6" t="str">
        <f t="shared" si="5"/>
        <v>2019Round 1</v>
      </c>
      <c r="S1547" s="6">
        <f>IFERROR(__xludf.DUMMYFUNCTION("rank(J1547,FILTER(J:J,R:R=R1547))"),8.0)</f>
        <v>8</v>
      </c>
      <c r="T1547" s="6">
        <f t="shared" si="6"/>
        <v>4</v>
      </c>
      <c r="U1547" s="6">
        <f t="shared" si="7"/>
        <v>8</v>
      </c>
      <c r="V1547" s="42">
        <f>averageif(AllData!A:A,B1547,AllData!R:R)/vlookup(B1547,AllData!A:O,15,0)</f>
        <v>93.61128205</v>
      </c>
      <c r="W1547" s="6"/>
    </row>
    <row r="1548" ht="14.25" customHeight="1">
      <c r="A1548" s="6" t="str">
        <f t="shared" si="1"/>
        <v>2019KnardDawg15</v>
      </c>
      <c r="B1548" s="59">
        <v>2019.0</v>
      </c>
      <c r="C1548" s="13" t="s">
        <v>86</v>
      </c>
      <c r="D1548" s="13" t="s">
        <v>112</v>
      </c>
      <c r="E1548" s="34"/>
      <c r="F1548" s="6"/>
      <c r="H1548" s="6"/>
      <c r="I1548" s="35" t="str">
        <f>IFERROR(IFERROR(IFERROR(VLOOKUP(B1548&amp;C1548&amp;Q1548,'New Weekly Paste'!A:M,10,0),VLOOKUP(B1548&amp;C1548&amp;Q1548,'New Weekly Paste'!B:O,6,0)),""),"")</f>
        <v>Shep</v>
      </c>
      <c r="J1548" s="239">
        <f>IFERROR(IFERROR(VLOOKUP(B1548&amp;C1548&amp;Q1548,'New Weekly Paste'!A:M,8,0),VLOOKUP(B1548&amp;C1548&amp;Q1548,'New Weekly Paste'!B:O,10,0)),0)</f>
        <v>69.6</v>
      </c>
      <c r="K1548" s="239">
        <f>IFERROR(IFERROR(VLOOKUP(B1548&amp;I1548&amp;Q1548,'New Weekly Paste'!A:M,8,0),VLOOKUP(B1548&amp;I1548&amp;Q1548,'New Weekly Paste'!B:O,10,0)),0)</f>
        <v>75</v>
      </c>
      <c r="L1548" s="239">
        <f t="shared" si="25"/>
        <v>0</v>
      </c>
      <c r="M1548" s="36" t="str">
        <f t="shared" si="3"/>
        <v>Playoffs</v>
      </c>
      <c r="N1548" s="239" t="str">
        <f t="shared" si="26"/>
        <v>Shep</v>
      </c>
      <c r="O1548" s="6">
        <f>VLOOKUP(D1548,'Mapped Opponent'!$G$4:$H$22,2,0)</f>
        <v>15</v>
      </c>
      <c r="P1548" s="6"/>
      <c r="Q1548" s="6" t="str">
        <f t="shared" si="4"/>
        <v>Week 15</v>
      </c>
      <c r="R1548" s="6" t="str">
        <f t="shared" si="5"/>
        <v>2019Round 1</v>
      </c>
      <c r="S1548" s="6">
        <f>IFERROR(__xludf.DUMMYFUNCTION("rank(J1548,FILTER(J:J,R:R=R1548))"),10.0)</f>
        <v>10</v>
      </c>
      <c r="T1548" s="6">
        <f t="shared" si="6"/>
        <v>2</v>
      </c>
      <c r="U1548" s="6">
        <f t="shared" si="7"/>
        <v>10</v>
      </c>
      <c r="V1548" s="42">
        <f>averageif(AllData!A:A,B1548,AllData!R:R)/vlookup(B1548,AllData!A:O,15,0)</f>
        <v>93.61128205</v>
      </c>
      <c r="W1548" s="6"/>
    </row>
    <row r="1549" ht="14.25" customHeight="1">
      <c r="A1549" s="6" t="str">
        <f t="shared" si="1"/>
        <v>2019T-How15</v>
      </c>
      <c r="B1549" s="59">
        <v>2019.0</v>
      </c>
      <c r="C1549" s="13" t="s">
        <v>82</v>
      </c>
      <c r="D1549" s="13" t="s">
        <v>112</v>
      </c>
      <c r="E1549" s="34"/>
      <c r="F1549" s="6"/>
      <c r="H1549" s="6"/>
      <c r="I1549" s="35" t="str">
        <f>IFERROR(IFERROR(IFERROR(VLOOKUP(B1549&amp;C1549&amp;Q1549,'New Weekly Paste'!A:M,10,0),VLOOKUP(B1549&amp;C1549&amp;Q1549,'New Weekly Paste'!B:O,6,0)),""),"")</f>
        <v>Pierson</v>
      </c>
      <c r="J1549" s="239">
        <f>IFERROR(IFERROR(VLOOKUP(B1549&amp;C1549&amp;Q1549,'New Weekly Paste'!A:M,8,0),VLOOKUP(B1549&amp;C1549&amp;Q1549,'New Weekly Paste'!B:O,10,0)),0)</f>
        <v>104.16</v>
      </c>
      <c r="K1549" s="239">
        <f>IFERROR(IFERROR(VLOOKUP(B1549&amp;I1549&amp;Q1549,'New Weekly Paste'!A:M,8,0),VLOOKUP(B1549&amp;I1549&amp;Q1549,'New Weekly Paste'!B:O,10,0)),0)</f>
        <v>158.38</v>
      </c>
      <c r="L1549" s="239">
        <f t="shared" si="25"/>
        <v>0</v>
      </c>
      <c r="M1549" s="36" t="str">
        <f t="shared" si="3"/>
        <v>Playoffs</v>
      </c>
      <c r="N1549" s="239" t="str">
        <f t="shared" si="26"/>
        <v>Pierson</v>
      </c>
      <c r="O1549" s="6">
        <f>VLOOKUP(D1549,'Mapped Opponent'!$G$4:$H$22,2,0)</f>
        <v>15</v>
      </c>
      <c r="P1549" s="6"/>
      <c r="Q1549" s="6" t="str">
        <f t="shared" si="4"/>
        <v>Week 15</v>
      </c>
      <c r="R1549" s="6" t="str">
        <f t="shared" si="5"/>
        <v>2019Round 1</v>
      </c>
      <c r="S1549" s="6">
        <f>IFERROR(__xludf.DUMMYFUNCTION("rank(J1549,FILTER(J:J,R:R=R1549))"),5.0)</f>
        <v>5</v>
      </c>
      <c r="T1549" s="6">
        <f t="shared" si="6"/>
        <v>7</v>
      </c>
      <c r="U1549" s="6">
        <f t="shared" si="7"/>
        <v>5</v>
      </c>
      <c r="V1549" s="42">
        <f>averageif(AllData!A:A,B1549,AllData!R:R)/vlookup(B1549,AllData!A:O,15,0)</f>
        <v>93.61128205</v>
      </c>
      <c r="W1549" s="6"/>
    </row>
    <row r="1550" ht="14.25" customHeight="1">
      <c r="A1550" s="6" t="str">
        <f t="shared" si="1"/>
        <v>2019Hudspeath16</v>
      </c>
      <c r="B1550" s="59">
        <v>2019.0</v>
      </c>
      <c r="C1550" s="13" t="s">
        <v>39</v>
      </c>
      <c r="D1550" s="13" t="s">
        <v>153</v>
      </c>
      <c r="E1550" s="34"/>
      <c r="F1550" s="6"/>
      <c r="H1550" s="6"/>
      <c r="I1550" s="35" t="str">
        <f>IFERROR(IFERROR(IFERROR(VLOOKUP(B1550&amp;C1550&amp;Q1550,'New Weekly Paste'!A:M,10,0),VLOOKUP(B1550&amp;C1550&amp;Q1550,'New Weekly Paste'!B:O,6,0)),""),"")</f>
        <v>Pierson</v>
      </c>
      <c r="J1550" s="239">
        <f>IFERROR(IFERROR(VLOOKUP(B1550&amp;C1550&amp;Q1550,'New Weekly Paste'!A:M,8,0),VLOOKUP(B1550&amp;C1550&amp;Q1550,'New Weekly Paste'!B:O,10,0)),0)</f>
        <v>132.6</v>
      </c>
      <c r="K1550" s="239">
        <f>IFERROR(IFERROR(VLOOKUP(B1550&amp;I1550&amp;Q1550,'New Weekly Paste'!A:M,8,0),VLOOKUP(B1550&amp;I1550&amp;Q1550,'New Weekly Paste'!B:O,10,0)),0)</f>
        <v>124.02</v>
      </c>
      <c r="L1550" s="239">
        <f t="shared" si="25"/>
        <v>1</v>
      </c>
      <c r="M1550" s="36" t="str">
        <f t="shared" si="3"/>
        <v>Playoffs</v>
      </c>
      <c r="N1550" s="239" t="str">
        <f t="shared" si="26"/>
        <v>Pierson</v>
      </c>
      <c r="O1550" s="6">
        <f>VLOOKUP(D1550,'Mapped Opponent'!$G$4:$H$22,2,0)</f>
        <v>16</v>
      </c>
      <c r="P1550" s="6"/>
      <c r="Q1550" s="6" t="str">
        <f t="shared" si="4"/>
        <v>Week 16</v>
      </c>
      <c r="R1550" s="6" t="str">
        <f t="shared" si="5"/>
        <v>2019Round 2</v>
      </c>
      <c r="S1550" s="6">
        <f>IFERROR(__xludf.DUMMYFUNCTION("rank(J1550,FILTER(J:J,R:R=R1550))"),1.0)</f>
        <v>1</v>
      </c>
      <c r="T1550" s="6">
        <f t="shared" si="6"/>
        <v>11</v>
      </c>
      <c r="U1550" s="6">
        <f t="shared" si="7"/>
        <v>1</v>
      </c>
      <c r="V1550" s="42">
        <f>averageif(AllData!A:A,B1550,AllData!R:R)/vlookup(B1550,AllData!A:O,15,0)</f>
        <v>93.61128205</v>
      </c>
      <c r="W1550" s="6"/>
    </row>
    <row r="1551" ht="14.25" customHeight="1">
      <c r="A1551" s="6" t="str">
        <f t="shared" si="1"/>
        <v>2019Salty16</v>
      </c>
      <c r="B1551" s="59">
        <v>2019.0</v>
      </c>
      <c r="C1551" s="13" t="s">
        <v>76</v>
      </c>
      <c r="D1551" s="13" t="s">
        <v>153</v>
      </c>
      <c r="E1551" s="34"/>
      <c r="F1551" s="6"/>
      <c r="H1551" s="6"/>
      <c r="I1551" s="35" t="str">
        <f>IFERROR(IFERROR(IFERROR(VLOOKUP(B1551&amp;C1551&amp;Q1551,'New Weekly Paste'!A:M,10,0),VLOOKUP(B1551&amp;C1551&amp;Q1551,'New Weekly Paste'!B:O,6,0)),""),"")</f>
        <v>Riley</v>
      </c>
      <c r="J1551" s="239">
        <f>IFERROR(IFERROR(VLOOKUP(B1551&amp;C1551&amp;Q1551,'New Weekly Paste'!A:M,8,0),VLOOKUP(B1551&amp;C1551&amp;Q1551,'New Weekly Paste'!B:O,10,0)),0)</f>
        <v>90.64</v>
      </c>
      <c r="K1551" s="239">
        <f>IFERROR(IFERROR(VLOOKUP(B1551&amp;I1551&amp;Q1551,'New Weekly Paste'!A:M,8,0),VLOOKUP(B1551&amp;I1551&amp;Q1551,'New Weekly Paste'!B:O,10,0)),0)</f>
        <v>111.22</v>
      </c>
      <c r="L1551" s="239">
        <f t="shared" si="25"/>
        <v>0</v>
      </c>
      <c r="M1551" s="36" t="str">
        <f t="shared" si="3"/>
        <v>Playoffs</v>
      </c>
      <c r="N1551" s="239" t="str">
        <f t="shared" si="26"/>
        <v>Riley</v>
      </c>
      <c r="O1551" s="6">
        <f>VLOOKUP(D1551,'Mapped Opponent'!$G$4:$H$22,2,0)</f>
        <v>16</v>
      </c>
      <c r="P1551" s="6"/>
      <c r="Q1551" s="6" t="str">
        <f t="shared" si="4"/>
        <v>Week 16</v>
      </c>
      <c r="R1551" s="6" t="str">
        <f t="shared" si="5"/>
        <v>2019Round 2</v>
      </c>
      <c r="S1551" s="6">
        <f>IFERROR(__xludf.DUMMYFUNCTION("rank(J1551,FILTER(J:J,R:R=R1551))"),5.0)</f>
        <v>5</v>
      </c>
      <c r="T1551" s="6">
        <f t="shared" si="6"/>
        <v>7</v>
      </c>
      <c r="U1551" s="6">
        <f t="shared" si="7"/>
        <v>5</v>
      </c>
      <c r="V1551" s="42">
        <f>averageif(AllData!A:A,B1551,AllData!R:R)/vlookup(B1551,AllData!A:O,15,0)</f>
        <v>93.61128205</v>
      </c>
      <c r="W1551" s="6"/>
    </row>
    <row r="1552" ht="14.25" customHeight="1">
      <c r="A1552" s="6" t="str">
        <f t="shared" si="1"/>
        <v>2019Fellows16</v>
      </c>
      <c r="B1552" s="59">
        <v>2019.0</v>
      </c>
      <c r="C1552" s="13" t="s">
        <v>79</v>
      </c>
      <c r="D1552" s="13" t="s">
        <v>153</v>
      </c>
      <c r="E1552" s="34"/>
      <c r="F1552" s="6"/>
      <c r="H1552" s="6"/>
      <c r="I1552" s="35" t="str">
        <f>IFERROR(IFERROR(IFERROR(VLOOKUP(B1552&amp;C1552&amp;Q1552,'New Weekly Paste'!A:M,10,0),VLOOKUP(B1552&amp;C1552&amp;Q1552,'New Weekly Paste'!B:O,6,0)),""),"")</f>
        <v>KnardDawg</v>
      </c>
      <c r="J1552" s="239">
        <f>IFERROR(IFERROR(VLOOKUP(B1552&amp;C1552&amp;Q1552,'New Weekly Paste'!A:M,8,0),VLOOKUP(B1552&amp;C1552&amp;Q1552,'New Weekly Paste'!B:O,10,0)),0)</f>
        <v>70.7</v>
      </c>
      <c r="K1552" s="239">
        <f>IFERROR(IFERROR(VLOOKUP(B1552&amp;I1552&amp;Q1552,'New Weekly Paste'!A:M,8,0),VLOOKUP(B1552&amp;I1552&amp;Q1552,'New Weekly Paste'!B:O,10,0)),0)</f>
        <v>66.84</v>
      </c>
      <c r="L1552" s="239">
        <f t="shared" si="25"/>
        <v>1</v>
      </c>
      <c r="M1552" s="36" t="str">
        <f t="shared" si="3"/>
        <v>Playoffs</v>
      </c>
      <c r="N1552" s="239" t="str">
        <f t="shared" si="26"/>
        <v>KnardDawg</v>
      </c>
      <c r="O1552" s="6">
        <f>VLOOKUP(D1552,'Mapped Opponent'!$G$4:$H$22,2,0)</f>
        <v>16</v>
      </c>
      <c r="P1552" s="6"/>
      <c r="Q1552" s="6" t="str">
        <f t="shared" si="4"/>
        <v>Week 16</v>
      </c>
      <c r="R1552" s="6" t="str">
        <f t="shared" si="5"/>
        <v>2019Round 2</v>
      </c>
      <c r="S1552" s="6">
        <f>IFERROR(__xludf.DUMMYFUNCTION("rank(J1552,FILTER(J:J,R:R=R1552))"),11.0)</f>
        <v>11</v>
      </c>
      <c r="T1552" s="6">
        <f t="shared" si="6"/>
        <v>1</v>
      </c>
      <c r="U1552" s="6">
        <f t="shared" si="7"/>
        <v>11</v>
      </c>
      <c r="V1552" s="42">
        <f>averageif(AllData!A:A,B1552,AllData!R:R)/vlookup(B1552,AllData!A:O,15,0)</f>
        <v>93.61128205</v>
      </c>
      <c r="W1552" s="6"/>
    </row>
    <row r="1553" ht="14.25" customHeight="1">
      <c r="A1553" s="6" t="str">
        <f t="shared" si="1"/>
        <v>2019Shep16</v>
      </c>
      <c r="B1553" s="59">
        <v>2019.0</v>
      </c>
      <c r="C1553" s="13" t="s">
        <v>89</v>
      </c>
      <c r="D1553" s="13" t="s">
        <v>153</v>
      </c>
      <c r="E1553" s="34"/>
      <c r="F1553" s="6"/>
      <c r="H1553" s="6"/>
      <c r="I1553" s="35" t="str">
        <f>IFERROR(IFERROR(IFERROR(VLOOKUP(B1553&amp;C1553&amp;Q1553,'New Weekly Paste'!A:M,10,0),VLOOKUP(B1553&amp;C1553&amp;Q1553,'New Weekly Paste'!B:O,6,0)),""),"")</f>
        <v>Cock</v>
      </c>
      <c r="J1553" s="239">
        <f>IFERROR(IFERROR(VLOOKUP(B1553&amp;C1553&amp;Q1553,'New Weekly Paste'!A:M,8,0),VLOOKUP(B1553&amp;C1553&amp;Q1553,'New Weekly Paste'!B:O,10,0)),0)</f>
        <v>76.86</v>
      </c>
      <c r="K1553" s="239">
        <f>IFERROR(IFERROR(VLOOKUP(B1553&amp;I1553&amp;Q1553,'New Weekly Paste'!A:M,8,0),VLOOKUP(B1553&amp;I1553&amp;Q1553,'New Weekly Paste'!B:O,10,0)),0)</f>
        <v>91.04</v>
      </c>
      <c r="L1553" s="239">
        <f t="shared" si="25"/>
        <v>0</v>
      </c>
      <c r="M1553" s="36" t="str">
        <f t="shared" si="3"/>
        <v>Playoffs</v>
      </c>
      <c r="N1553" s="239" t="str">
        <f t="shared" si="26"/>
        <v>Cock</v>
      </c>
      <c r="O1553" s="6">
        <f>VLOOKUP(D1553,'Mapped Opponent'!$G$4:$H$22,2,0)</f>
        <v>16</v>
      </c>
      <c r="P1553" s="6"/>
      <c r="Q1553" s="6" t="str">
        <f t="shared" si="4"/>
        <v>Week 16</v>
      </c>
      <c r="R1553" s="6" t="str">
        <f t="shared" si="5"/>
        <v>2019Round 2</v>
      </c>
      <c r="S1553" s="6">
        <f>IFERROR(__xludf.DUMMYFUNCTION("rank(J1553,FILTER(J:J,R:R=R1553))"),9.0)</f>
        <v>9</v>
      </c>
      <c r="T1553" s="6">
        <f t="shared" si="6"/>
        <v>3</v>
      </c>
      <c r="U1553" s="6">
        <f t="shared" si="7"/>
        <v>9</v>
      </c>
      <c r="V1553" s="42">
        <f>averageif(AllData!A:A,B1553,AllData!R:R)/vlookup(B1553,AllData!A:O,15,0)</f>
        <v>93.61128205</v>
      </c>
      <c r="W1553" s="6"/>
    </row>
    <row r="1554" ht="14.25" customHeight="1">
      <c r="A1554" s="6" t="str">
        <f t="shared" si="1"/>
        <v>2019Riley16</v>
      </c>
      <c r="B1554" s="59">
        <v>2019.0</v>
      </c>
      <c r="C1554" s="13" t="s">
        <v>67</v>
      </c>
      <c r="D1554" s="13" t="s">
        <v>153</v>
      </c>
      <c r="E1554" s="34"/>
      <c r="F1554" s="6"/>
      <c r="H1554" s="6"/>
      <c r="I1554" s="35" t="str">
        <f>IFERROR(IFERROR(IFERROR(VLOOKUP(B1554&amp;C1554&amp;Q1554,'New Weekly Paste'!A:M,10,0),VLOOKUP(B1554&amp;C1554&amp;Q1554,'New Weekly Paste'!B:O,6,0)),""),"")</f>
        <v>Salty</v>
      </c>
      <c r="J1554" s="239">
        <f>IFERROR(IFERROR(VLOOKUP(B1554&amp;C1554&amp;Q1554,'New Weekly Paste'!A:M,8,0),VLOOKUP(B1554&amp;C1554&amp;Q1554,'New Weekly Paste'!B:O,10,0)),0)</f>
        <v>111.22</v>
      </c>
      <c r="K1554" s="239">
        <f>IFERROR(IFERROR(VLOOKUP(B1554&amp;I1554&amp;Q1554,'New Weekly Paste'!A:M,8,0),VLOOKUP(B1554&amp;I1554&amp;Q1554,'New Weekly Paste'!B:O,10,0)),0)</f>
        <v>90.64</v>
      </c>
      <c r="L1554" s="239">
        <f t="shared" si="25"/>
        <v>1</v>
      </c>
      <c r="M1554" s="36" t="str">
        <f t="shared" si="3"/>
        <v>Playoffs</v>
      </c>
      <c r="N1554" s="239" t="str">
        <f t="shared" si="26"/>
        <v>Salty</v>
      </c>
      <c r="O1554" s="6">
        <f>VLOOKUP(D1554,'Mapped Opponent'!$G$4:$H$22,2,0)</f>
        <v>16</v>
      </c>
      <c r="P1554" s="6"/>
      <c r="Q1554" s="6" t="str">
        <f t="shared" si="4"/>
        <v>Week 16</v>
      </c>
      <c r="R1554" s="6" t="str">
        <f t="shared" si="5"/>
        <v>2019Round 2</v>
      </c>
      <c r="S1554" s="6">
        <f>IFERROR(__xludf.DUMMYFUNCTION("rank(J1554,FILTER(J:J,R:R=R1554))"),3.0)</f>
        <v>3</v>
      </c>
      <c r="T1554" s="6">
        <f t="shared" si="6"/>
        <v>9</v>
      </c>
      <c r="U1554" s="6">
        <f t="shared" si="7"/>
        <v>3</v>
      </c>
      <c r="V1554" s="42">
        <f>averageif(AllData!A:A,B1554,AllData!R:R)/vlookup(B1554,AllData!A:O,15,0)</f>
        <v>93.61128205</v>
      </c>
      <c r="W1554" s="6"/>
    </row>
    <row r="1555" ht="14.25" customHeight="1">
      <c r="A1555" s="6" t="str">
        <f t="shared" si="1"/>
        <v>2019Rooney/Jackson16</v>
      </c>
      <c r="B1555" s="59">
        <v>2019.0</v>
      </c>
      <c r="C1555" s="13" t="s">
        <v>57</v>
      </c>
      <c r="D1555" s="13" t="s">
        <v>153</v>
      </c>
      <c r="E1555" s="34"/>
      <c r="F1555" s="6"/>
      <c r="H1555" s="6"/>
      <c r="I1555" s="35" t="str">
        <f>IFERROR(IFERROR(IFERROR(VLOOKUP(B1555&amp;C1555&amp;Q1555,'New Weekly Paste'!A:M,10,0),VLOOKUP(B1555&amp;C1555&amp;Q1555,'New Weekly Paste'!B:O,6,0)),""),"")</f>
        <v>Buser</v>
      </c>
      <c r="J1555" s="239">
        <f>IFERROR(IFERROR(VLOOKUP(B1555&amp;C1555&amp;Q1555,'New Weekly Paste'!A:M,8,0),VLOOKUP(B1555&amp;C1555&amp;Q1555,'New Weekly Paste'!B:O,10,0)),0)</f>
        <v>78.42</v>
      </c>
      <c r="K1555" s="239">
        <f>IFERROR(IFERROR(VLOOKUP(B1555&amp;I1555&amp;Q1555,'New Weekly Paste'!A:M,8,0),VLOOKUP(B1555&amp;I1555&amp;Q1555,'New Weekly Paste'!B:O,10,0)),0)</f>
        <v>85.16</v>
      </c>
      <c r="L1555" s="239">
        <f t="shared" si="25"/>
        <v>0</v>
      </c>
      <c r="M1555" s="36" t="str">
        <f t="shared" si="3"/>
        <v>Playoffs</v>
      </c>
      <c r="N1555" s="239" t="str">
        <f t="shared" si="26"/>
        <v>Buser</v>
      </c>
      <c r="O1555" s="6">
        <f>VLOOKUP(D1555,'Mapped Opponent'!$G$4:$H$22,2,0)</f>
        <v>16</v>
      </c>
      <c r="P1555" s="6"/>
      <c r="Q1555" s="6" t="str">
        <f t="shared" si="4"/>
        <v>Week 16</v>
      </c>
      <c r="R1555" s="6" t="str">
        <f t="shared" si="5"/>
        <v>2019Round 2</v>
      </c>
      <c r="S1555" s="6">
        <f>IFERROR(__xludf.DUMMYFUNCTION("rank(J1555,FILTER(J:J,R:R=R1555))"),8.0)</f>
        <v>8</v>
      </c>
      <c r="T1555" s="6">
        <f t="shared" si="6"/>
        <v>4</v>
      </c>
      <c r="U1555" s="6">
        <f t="shared" si="7"/>
        <v>8</v>
      </c>
      <c r="V1555" s="42">
        <f>averageif(AllData!A:A,B1555,AllData!R:R)/vlookup(B1555,AllData!A:O,15,0)</f>
        <v>93.61128205</v>
      </c>
      <c r="W1555" s="6"/>
    </row>
    <row r="1556" ht="14.25" customHeight="1">
      <c r="A1556" s="6" t="str">
        <f t="shared" si="1"/>
        <v>2019Buser16</v>
      </c>
      <c r="B1556" s="59">
        <v>2019.0</v>
      </c>
      <c r="C1556" s="13" t="s">
        <v>47</v>
      </c>
      <c r="D1556" s="13" t="s">
        <v>153</v>
      </c>
      <c r="E1556" s="34"/>
      <c r="F1556" s="6"/>
      <c r="H1556" s="6"/>
      <c r="I1556" s="35" t="str">
        <f>IFERROR(IFERROR(IFERROR(VLOOKUP(B1556&amp;C1556&amp;Q1556,'New Weekly Paste'!A:M,10,0),VLOOKUP(B1556&amp;C1556&amp;Q1556,'New Weekly Paste'!B:O,6,0)),""),"")</f>
        <v>Rooney/Jackson</v>
      </c>
      <c r="J1556" s="239">
        <f>IFERROR(IFERROR(VLOOKUP(B1556&amp;C1556&amp;Q1556,'New Weekly Paste'!A:M,8,0),VLOOKUP(B1556&amp;C1556&amp;Q1556,'New Weekly Paste'!B:O,10,0)),0)</f>
        <v>85.16</v>
      </c>
      <c r="K1556" s="239">
        <f>IFERROR(IFERROR(VLOOKUP(B1556&amp;I1556&amp;Q1556,'New Weekly Paste'!A:M,8,0),VLOOKUP(B1556&amp;I1556&amp;Q1556,'New Weekly Paste'!B:O,10,0)),0)</f>
        <v>78.42</v>
      </c>
      <c r="L1556" s="239">
        <f t="shared" si="25"/>
        <v>1</v>
      </c>
      <c r="M1556" s="36" t="str">
        <f t="shared" si="3"/>
        <v>Playoffs</v>
      </c>
      <c r="N1556" s="239" t="str">
        <f t="shared" si="26"/>
        <v>Rooney/Jackson</v>
      </c>
      <c r="O1556" s="6">
        <f>VLOOKUP(D1556,'Mapped Opponent'!$G$4:$H$22,2,0)</f>
        <v>16</v>
      </c>
      <c r="P1556" s="6"/>
      <c r="Q1556" s="6" t="str">
        <f t="shared" si="4"/>
        <v>Week 16</v>
      </c>
      <c r="R1556" s="6" t="str">
        <f t="shared" si="5"/>
        <v>2019Round 2</v>
      </c>
      <c r="S1556" s="6">
        <f>IFERROR(__xludf.DUMMYFUNCTION("rank(J1556,FILTER(J:J,R:R=R1556))"),6.0)</f>
        <v>6</v>
      </c>
      <c r="T1556" s="6">
        <f t="shared" si="6"/>
        <v>6</v>
      </c>
      <c r="U1556" s="6">
        <f t="shared" si="7"/>
        <v>6</v>
      </c>
      <c r="V1556" s="42">
        <f>averageif(AllData!A:A,B1556,AllData!R:R)/vlookup(B1556,AllData!A:O,15,0)</f>
        <v>93.61128205</v>
      </c>
      <c r="W1556" s="6"/>
    </row>
    <row r="1557" ht="14.25" customHeight="1">
      <c r="A1557" s="6" t="str">
        <f t="shared" si="1"/>
        <v>2019Pierson16</v>
      </c>
      <c r="B1557" s="59">
        <v>2019.0</v>
      </c>
      <c r="C1557" s="13" t="s">
        <v>92</v>
      </c>
      <c r="D1557" s="13" t="s">
        <v>153</v>
      </c>
      <c r="E1557" s="34"/>
      <c r="F1557" s="6"/>
      <c r="H1557" s="6"/>
      <c r="I1557" s="35" t="str">
        <f>IFERROR(IFERROR(IFERROR(VLOOKUP(B1557&amp;C1557&amp;Q1557,'New Weekly Paste'!A:M,10,0),VLOOKUP(B1557&amp;C1557&amp;Q1557,'New Weekly Paste'!B:O,6,0)),""),"")</f>
        <v>Hudspeath</v>
      </c>
      <c r="J1557" s="239">
        <f>IFERROR(IFERROR(VLOOKUP(B1557&amp;C1557&amp;Q1557,'New Weekly Paste'!A:M,8,0),VLOOKUP(B1557&amp;C1557&amp;Q1557,'New Weekly Paste'!B:O,10,0)),0)</f>
        <v>124.02</v>
      </c>
      <c r="K1557" s="239">
        <f>IFERROR(IFERROR(VLOOKUP(B1557&amp;I1557&amp;Q1557,'New Weekly Paste'!A:M,8,0),VLOOKUP(B1557&amp;I1557&amp;Q1557,'New Weekly Paste'!B:O,10,0)),0)</f>
        <v>132.6</v>
      </c>
      <c r="L1557" s="239">
        <f t="shared" si="25"/>
        <v>0</v>
      </c>
      <c r="M1557" s="36" t="str">
        <f t="shared" si="3"/>
        <v>Playoffs</v>
      </c>
      <c r="N1557" s="239" t="str">
        <f t="shared" si="26"/>
        <v>Hudspeath</v>
      </c>
      <c r="O1557" s="6">
        <f>VLOOKUP(D1557,'Mapped Opponent'!$G$4:$H$22,2,0)</f>
        <v>16</v>
      </c>
      <c r="P1557" s="6"/>
      <c r="Q1557" s="6" t="str">
        <f t="shared" si="4"/>
        <v>Week 16</v>
      </c>
      <c r="R1557" s="6" t="str">
        <f t="shared" si="5"/>
        <v>2019Round 2</v>
      </c>
      <c r="S1557" s="6">
        <f>IFERROR(__xludf.DUMMYFUNCTION("rank(J1557,FILTER(J:J,R:R=R1557))"),2.0)</f>
        <v>2</v>
      </c>
      <c r="T1557" s="6">
        <f t="shared" si="6"/>
        <v>10</v>
      </c>
      <c r="U1557" s="6">
        <f t="shared" si="7"/>
        <v>2</v>
      </c>
      <c r="V1557" s="42">
        <f>averageif(AllData!A:A,B1557,AllData!R:R)/vlookup(B1557,AllData!A:O,15,0)</f>
        <v>93.61128205</v>
      </c>
      <c r="W1557" s="6"/>
    </row>
    <row r="1558" ht="14.25" customHeight="1">
      <c r="A1558" s="6" t="str">
        <f t="shared" si="1"/>
        <v>2019Cock16</v>
      </c>
      <c r="B1558" s="59">
        <v>2019.0</v>
      </c>
      <c r="C1558" s="13" t="s">
        <v>72</v>
      </c>
      <c r="D1558" s="13" t="s">
        <v>153</v>
      </c>
      <c r="E1558" s="34"/>
      <c r="F1558" s="6"/>
      <c r="H1558" s="6"/>
      <c r="I1558" s="35" t="str">
        <f>IFERROR(IFERROR(IFERROR(VLOOKUP(B1558&amp;C1558&amp;Q1558,'New Weekly Paste'!A:M,10,0),VLOOKUP(B1558&amp;C1558&amp;Q1558,'New Weekly Paste'!B:O,6,0)),""),"")</f>
        <v>Shep</v>
      </c>
      <c r="J1558" s="239">
        <f>IFERROR(IFERROR(VLOOKUP(B1558&amp;C1558&amp;Q1558,'New Weekly Paste'!A:M,8,0),VLOOKUP(B1558&amp;C1558&amp;Q1558,'New Weekly Paste'!B:O,10,0)),0)</f>
        <v>91.04</v>
      </c>
      <c r="K1558" s="239">
        <f>IFERROR(IFERROR(VLOOKUP(B1558&amp;I1558&amp;Q1558,'New Weekly Paste'!A:M,8,0),VLOOKUP(B1558&amp;I1558&amp;Q1558,'New Weekly Paste'!B:O,10,0)),0)</f>
        <v>76.86</v>
      </c>
      <c r="L1558" s="239">
        <f t="shared" si="25"/>
        <v>1</v>
      </c>
      <c r="M1558" s="36" t="str">
        <f t="shared" si="3"/>
        <v>Playoffs</v>
      </c>
      <c r="N1558" s="239" t="str">
        <f t="shared" si="26"/>
        <v>Shep</v>
      </c>
      <c r="O1558" s="6">
        <f>VLOOKUP(D1558,'Mapped Opponent'!$G$4:$H$22,2,0)</f>
        <v>16</v>
      </c>
      <c r="P1558" s="6"/>
      <c r="Q1558" s="6" t="str">
        <f t="shared" si="4"/>
        <v>Week 16</v>
      </c>
      <c r="R1558" s="6" t="str">
        <f t="shared" si="5"/>
        <v>2019Round 2</v>
      </c>
      <c r="S1558" s="6">
        <f>IFERROR(__xludf.DUMMYFUNCTION("rank(J1558,FILTER(J:J,R:R=R1558))"),4.0)</f>
        <v>4</v>
      </c>
      <c r="T1558" s="6">
        <f t="shared" si="6"/>
        <v>8</v>
      </c>
      <c r="U1558" s="6">
        <f t="shared" si="7"/>
        <v>4</v>
      </c>
      <c r="V1558" s="42">
        <f>averageif(AllData!A:A,B1558,AllData!R:R)/vlookup(B1558,AllData!A:O,15,0)</f>
        <v>93.61128205</v>
      </c>
      <c r="W1558" s="6"/>
    </row>
    <row r="1559" ht="14.25" customHeight="1">
      <c r="A1559" s="6" t="str">
        <f t="shared" si="1"/>
        <v>2019Tayski16</v>
      </c>
      <c r="B1559" s="59">
        <v>2019.0</v>
      </c>
      <c r="C1559" s="13" t="s">
        <v>52</v>
      </c>
      <c r="D1559" s="13" t="s">
        <v>153</v>
      </c>
      <c r="E1559" s="34"/>
      <c r="F1559" s="6"/>
      <c r="H1559" s="6"/>
      <c r="I1559" s="35" t="str">
        <f>IFERROR(IFERROR(IFERROR(VLOOKUP(B1559&amp;C1559&amp;Q1559,'New Weekly Paste'!A:M,10,0),VLOOKUP(B1559&amp;C1559&amp;Q1559,'New Weekly Paste'!B:O,6,0)),""),"")</f>
        <v>T-How</v>
      </c>
      <c r="J1559" s="239">
        <f>IFERROR(IFERROR(VLOOKUP(B1559&amp;C1559&amp;Q1559,'New Weekly Paste'!A:M,8,0),VLOOKUP(B1559&amp;C1559&amp;Q1559,'New Weekly Paste'!B:O,10,0)),0)</f>
        <v>72.26</v>
      </c>
      <c r="K1559" s="239">
        <f>IFERROR(IFERROR(VLOOKUP(B1559&amp;I1559&amp;Q1559,'New Weekly Paste'!A:M,8,0),VLOOKUP(B1559&amp;I1559&amp;Q1559,'New Weekly Paste'!B:O,10,0)),0)</f>
        <v>84.36</v>
      </c>
      <c r="L1559" s="239">
        <f t="shared" si="25"/>
        <v>0</v>
      </c>
      <c r="M1559" s="36" t="str">
        <f t="shared" si="3"/>
        <v>Playoffs</v>
      </c>
      <c r="N1559" s="239" t="str">
        <f t="shared" si="26"/>
        <v>T-How</v>
      </c>
      <c r="O1559" s="6">
        <f>VLOOKUP(D1559,'Mapped Opponent'!$G$4:$H$22,2,0)</f>
        <v>16</v>
      </c>
      <c r="P1559" s="6"/>
      <c r="Q1559" s="6" t="str">
        <f t="shared" si="4"/>
        <v>Week 16</v>
      </c>
      <c r="R1559" s="6" t="str">
        <f t="shared" si="5"/>
        <v>2019Round 2</v>
      </c>
      <c r="S1559" s="6">
        <f>IFERROR(__xludf.DUMMYFUNCTION("rank(J1559,FILTER(J:J,R:R=R1559))"),10.0)</f>
        <v>10</v>
      </c>
      <c r="T1559" s="6">
        <f t="shared" si="6"/>
        <v>2</v>
      </c>
      <c r="U1559" s="6">
        <f t="shared" si="7"/>
        <v>10</v>
      </c>
      <c r="V1559" s="42">
        <f>averageif(AllData!A:A,B1559,AllData!R:R)/vlookup(B1559,AllData!A:O,15,0)</f>
        <v>93.61128205</v>
      </c>
      <c r="W1559" s="6"/>
    </row>
    <row r="1560" ht="14.25" customHeight="1">
      <c r="A1560" s="6" t="str">
        <f t="shared" si="1"/>
        <v>2019KnardDawg16</v>
      </c>
      <c r="B1560" s="59">
        <v>2019.0</v>
      </c>
      <c r="C1560" s="13" t="s">
        <v>86</v>
      </c>
      <c r="D1560" s="13" t="s">
        <v>153</v>
      </c>
      <c r="E1560" s="34"/>
      <c r="F1560" s="6"/>
      <c r="H1560" s="6"/>
      <c r="I1560" s="35" t="str">
        <f>IFERROR(IFERROR(IFERROR(VLOOKUP(B1560&amp;C1560&amp;Q1560,'New Weekly Paste'!A:M,10,0),VLOOKUP(B1560&amp;C1560&amp;Q1560,'New Weekly Paste'!B:O,6,0)),""),"")</f>
        <v>Fellows</v>
      </c>
      <c r="J1560" s="239">
        <f>IFERROR(IFERROR(VLOOKUP(B1560&amp;C1560&amp;Q1560,'New Weekly Paste'!A:M,8,0),VLOOKUP(B1560&amp;C1560&amp;Q1560,'New Weekly Paste'!B:O,10,0)),0)</f>
        <v>66.84</v>
      </c>
      <c r="K1560" s="239">
        <f>IFERROR(IFERROR(VLOOKUP(B1560&amp;I1560&amp;Q1560,'New Weekly Paste'!A:M,8,0),VLOOKUP(B1560&amp;I1560&amp;Q1560,'New Weekly Paste'!B:O,10,0)),0)</f>
        <v>70.7</v>
      </c>
      <c r="L1560" s="239">
        <f t="shared" si="25"/>
        <v>0</v>
      </c>
      <c r="M1560" s="36" t="str">
        <f t="shared" si="3"/>
        <v>Playoffs</v>
      </c>
      <c r="N1560" s="239" t="str">
        <f t="shared" si="26"/>
        <v>Fellows</v>
      </c>
      <c r="O1560" s="6">
        <f>VLOOKUP(D1560,'Mapped Opponent'!$G$4:$H$22,2,0)</f>
        <v>16</v>
      </c>
      <c r="P1560" s="6"/>
      <c r="Q1560" s="6" t="str">
        <f t="shared" si="4"/>
        <v>Week 16</v>
      </c>
      <c r="R1560" s="6" t="str">
        <f t="shared" si="5"/>
        <v>2019Round 2</v>
      </c>
      <c r="S1560" s="6">
        <f>IFERROR(__xludf.DUMMYFUNCTION("rank(J1560,FILTER(J:J,R:R=R1560))"),12.0)</f>
        <v>12</v>
      </c>
      <c r="T1560" s="6">
        <f t="shared" si="6"/>
        <v>0</v>
      </c>
      <c r="U1560" s="6">
        <f t="shared" si="7"/>
        <v>12</v>
      </c>
      <c r="V1560" s="42">
        <f>averageif(AllData!A:A,B1560,AllData!R:R)/vlookup(B1560,AllData!A:O,15,0)</f>
        <v>93.61128205</v>
      </c>
      <c r="W1560" s="6"/>
    </row>
    <row r="1561" ht="14.25" customHeight="1">
      <c r="A1561" s="6" t="str">
        <f t="shared" si="1"/>
        <v>2019T-How16</v>
      </c>
      <c r="B1561" s="59">
        <v>2019.0</v>
      </c>
      <c r="C1561" s="13" t="s">
        <v>82</v>
      </c>
      <c r="D1561" s="13" t="s">
        <v>153</v>
      </c>
      <c r="E1561" s="34"/>
      <c r="F1561" s="6"/>
      <c r="H1561" s="6"/>
      <c r="I1561" s="35" t="str">
        <f>IFERROR(IFERROR(IFERROR(VLOOKUP(B1561&amp;C1561&amp;Q1561,'New Weekly Paste'!A:M,10,0),VLOOKUP(B1561&amp;C1561&amp;Q1561,'New Weekly Paste'!B:O,6,0)),""),"")</f>
        <v>Tayski</v>
      </c>
      <c r="J1561" s="239">
        <f>IFERROR(IFERROR(VLOOKUP(B1561&amp;C1561&amp;Q1561,'New Weekly Paste'!A:M,8,0),VLOOKUP(B1561&amp;C1561&amp;Q1561,'New Weekly Paste'!B:O,10,0)),0)</f>
        <v>84.36</v>
      </c>
      <c r="K1561" s="239">
        <f>IFERROR(IFERROR(VLOOKUP(B1561&amp;I1561&amp;Q1561,'New Weekly Paste'!A:M,8,0),VLOOKUP(B1561&amp;I1561&amp;Q1561,'New Weekly Paste'!B:O,10,0)),0)</f>
        <v>72.26</v>
      </c>
      <c r="L1561" s="239">
        <f t="shared" si="25"/>
        <v>1</v>
      </c>
      <c r="M1561" s="36" t="str">
        <f t="shared" si="3"/>
        <v>Playoffs</v>
      </c>
      <c r="N1561" s="239" t="str">
        <f t="shared" si="26"/>
        <v>Tayski</v>
      </c>
      <c r="O1561" s="6">
        <f>VLOOKUP(D1561,'Mapped Opponent'!$G$4:$H$22,2,0)</f>
        <v>16</v>
      </c>
      <c r="P1561" s="6"/>
      <c r="Q1561" s="6" t="str">
        <f t="shared" si="4"/>
        <v>Week 16</v>
      </c>
      <c r="R1561" s="6" t="str">
        <f t="shared" si="5"/>
        <v>2019Round 2</v>
      </c>
      <c r="S1561" s="6">
        <f>IFERROR(__xludf.DUMMYFUNCTION("rank(J1561,FILTER(J:J,R:R=R1561))"),7.0)</f>
        <v>7</v>
      </c>
      <c r="T1561" s="6">
        <f t="shared" si="6"/>
        <v>5</v>
      </c>
      <c r="U1561" s="6">
        <f t="shared" si="7"/>
        <v>7</v>
      </c>
      <c r="V1561" s="42">
        <f>averageif(AllData!A:A,B1561,AllData!R:R)/vlookup(B1561,AllData!A:O,15,0)</f>
        <v>93.61128205</v>
      </c>
      <c r="W1561" s="6"/>
    </row>
    <row r="1562" ht="14.25" customHeight="1">
      <c r="A1562" s="6" t="str">
        <f t="shared" si="1"/>
        <v>2019Hudspeath17</v>
      </c>
      <c r="B1562" s="59">
        <v>2019.0</v>
      </c>
      <c r="C1562" s="13" t="s">
        <v>39</v>
      </c>
      <c r="D1562" s="13" t="s">
        <v>154</v>
      </c>
      <c r="E1562" s="34"/>
      <c r="F1562" s="6"/>
      <c r="H1562" s="6"/>
      <c r="I1562" s="35" t="str">
        <f>IFERROR(IFERROR(IFERROR(VLOOKUP(B1562&amp;C1562&amp;Q1562,'New Weekly Paste'!A:M,10,0),VLOOKUP(B1562&amp;C1562&amp;Q1562,'New Weekly Paste'!B:O,6,0)),""),"")</f>
        <v/>
      </c>
      <c r="J1562" s="239">
        <f>IFERROR(IFERROR(VLOOKUP(B1562&amp;C1562&amp;Q1562,'New Weekly Paste'!A:M,8,0),VLOOKUP(B1562&amp;C1562&amp;Q1562,'New Weekly Paste'!B:O,10,0)),0)</f>
        <v>0</v>
      </c>
      <c r="K1562" s="239">
        <f>IFERROR(IFERROR(VLOOKUP(B1562&amp;I1562&amp;Q1562,'New Weekly Paste'!A:M,8,0),VLOOKUP(B1562&amp;I1562&amp;Q1562,'New Weekly Paste'!B:O,10,0)),0)</f>
        <v>0</v>
      </c>
      <c r="L1562" s="239">
        <f t="shared" si="25"/>
        <v>0</v>
      </c>
      <c r="M1562" s="36" t="str">
        <f t="shared" si="3"/>
        <v>Playoffs</v>
      </c>
      <c r="N1562" s="239" t="str">
        <f t="shared" si="26"/>
        <v/>
      </c>
      <c r="O1562" s="6">
        <f>VLOOKUP(D1562,'Mapped Opponent'!$G$4:$H$22,2,0)</f>
        <v>17</v>
      </c>
      <c r="P1562" s="6"/>
      <c r="Q1562" s="6" t="str">
        <f t="shared" si="4"/>
        <v>Week 17</v>
      </c>
      <c r="R1562" s="6" t="str">
        <f t="shared" si="5"/>
        <v>2019Round 3</v>
      </c>
      <c r="S1562" s="6">
        <f>IFERROR(__xludf.DUMMYFUNCTION("rank(J1562,FILTER(J:J,R:R=R1562))"),1.0)</f>
        <v>1</v>
      </c>
      <c r="T1562" s="6">
        <f t="shared" si="6"/>
        <v>11</v>
      </c>
      <c r="U1562" s="6">
        <f t="shared" si="7"/>
        <v>1</v>
      </c>
      <c r="V1562" s="42">
        <f>averageif(AllData!A:A,B1562,AllData!R:R)/vlookup(B1562,AllData!A:O,15,0)</f>
        <v>93.61128205</v>
      </c>
      <c r="W1562" s="6"/>
    </row>
    <row r="1563" ht="14.25" customHeight="1">
      <c r="A1563" s="6" t="str">
        <f t="shared" si="1"/>
        <v>2019Salty17</v>
      </c>
      <c r="B1563" s="59">
        <v>2019.0</v>
      </c>
      <c r="C1563" s="13" t="s">
        <v>76</v>
      </c>
      <c r="D1563" s="13" t="s">
        <v>154</v>
      </c>
      <c r="E1563" s="34"/>
      <c r="F1563" s="6"/>
      <c r="H1563" s="6"/>
      <c r="I1563" s="35" t="str">
        <f>IFERROR(IFERROR(IFERROR(VLOOKUP(B1563&amp;C1563&amp;Q1563,'New Weekly Paste'!A:M,10,0),VLOOKUP(B1563&amp;C1563&amp;Q1563,'New Weekly Paste'!B:O,6,0)),""),"")</f>
        <v/>
      </c>
      <c r="J1563" s="239">
        <f>IFERROR(IFERROR(VLOOKUP(B1563&amp;C1563&amp;Q1563,'New Weekly Paste'!A:M,8,0),VLOOKUP(B1563&amp;C1563&amp;Q1563,'New Weekly Paste'!B:O,10,0)),0)</f>
        <v>0</v>
      </c>
      <c r="K1563" s="239">
        <f>IFERROR(IFERROR(VLOOKUP(B1563&amp;I1563&amp;Q1563,'New Weekly Paste'!A:M,8,0),VLOOKUP(B1563&amp;I1563&amp;Q1563,'New Weekly Paste'!B:O,10,0)),0)</f>
        <v>0</v>
      </c>
      <c r="L1563" s="239">
        <f t="shared" si="25"/>
        <v>0</v>
      </c>
      <c r="M1563" s="36" t="str">
        <f t="shared" si="3"/>
        <v>Playoffs</v>
      </c>
      <c r="N1563" s="239" t="str">
        <f t="shared" si="26"/>
        <v/>
      </c>
      <c r="O1563" s="6">
        <f>VLOOKUP(D1563,'Mapped Opponent'!$G$4:$H$22,2,0)</f>
        <v>17</v>
      </c>
      <c r="P1563" s="6"/>
      <c r="Q1563" s="6" t="str">
        <f t="shared" si="4"/>
        <v>Week 17</v>
      </c>
      <c r="R1563" s="6" t="str">
        <f t="shared" si="5"/>
        <v>2019Round 3</v>
      </c>
      <c r="S1563" s="6">
        <f>IFERROR(__xludf.DUMMYFUNCTION("rank(J1563,FILTER(J:J,R:R=R1563))"),1.0)</f>
        <v>1</v>
      </c>
      <c r="T1563" s="6">
        <f t="shared" si="6"/>
        <v>11</v>
      </c>
      <c r="U1563" s="6">
        <f t="shared" si="7"/>
        <v>1</v>
      </c>
      <c r="V1563" s="42">
        <f>averageif(AllData!A:A,B1563,AllData!R:R)/vlookup(B1563,AllData!A:O,15,0)</f>
        <v>93.61128205</v>
      </c>
      <c r="W1563" s="6"/>
    </row>
    <row r="1564" ht="14.25" customHeight="1">
      <c r="A1564" s="6" t="str">
        <f t="shared" si="1"/>
        <v>2019Fellows17</v>
      </c>
      <c r="B1564" s="59">
        <v>2019.0</v>
      </c>
      <c r="C1564" s="13" t="s">
        <v>79</v>
      </c>
      <c r="D1564" s="13" t="s">
        <v>154</v>
      </c>
      <c r="E1564" s="34"/>
      <c r="F1564" s="6"/>
      <c r="H1564" s="6"/>
      <c r="I1564" s="35" t="str">
        <f>IFERROR(IFERROR(IFERROR(VLOOKUP(B1564&amp;C1564&amp;Q1564,'New Weekly Paste'!A:M,10,0),VLOOKUP(B1564&amp;C1564&amp;Q1564,'New Weekly Paste'!B:O,6,0)),""),"")</f>
        <v/>
      </c>
      <c r="J1564" s="239">
        <f>IFERROR(IFERROR(VLOOKUP(B1564&amp;C1564&amp;Q1564,'New Weekly Paste'!A:M,8,0),VLOOKUP(B1564&amp;C1564&amp;Q1564,'New Weekly Paste'!B:O,10,0)),0)</f>
        <v>0</v>
      </c>
      <c r="K1564" s="239">
        <f>IFERROR(IFERROR(VLOOKUP(B1564&amp;I1564&amp;Q1564,'New Weekly Paste'!A:M,8,0),VLOOKUP(B1564&amp;I1564&amp;Q1564,'New Weekly Paste'!B:O,10,0)),0)</f>
        <v>0</v>
      </c>
      <c r="L1564" s="239">
        <f t="shared" si="25"/>
        <v>0</v>
      </c>
      <c r="M1564" s="36" t="str">
        <f t="shared" si="3"/>
        <v>Playoffs</v>
      </c>
      <c r="N1564" s="239" t="str">
        <f t="shared" si="26"/>
        <v/>
      </c>
      <c r="O1564" s="6">
        <f>VLOOKUP(D1564,'Mapped Opponent'!$G$4:$H$22,2,0)</f>
        <v>17</v>
      </c>
      <c r="P1564" s="6"/>
      <c r="Q1564" s="6" t="str">
        <f t="shared" si="4"/>
        <v>Week 17</v>
      </c>
      <c r="R1564" s="6" t="str">
        <f t="shared" si="5"/>
        <v>2019Round 3</v>
      </c>
      <c r="S1564" s="6">
        <f>IFERROR(__xludf.DUMMYFUNCTION("rank(J1564,FILTER(J:J,R:R=R1564))"),1.0)</f>
        <v>1</v>
      </c>
      <c r="T1564" s="6">
        <f t="shared" si="6"/>
        <v>11</v>
      </c>
      <c r="U1564" s="6">
        <f t="shared" si="7"/>
        <v>1</v>
      </c>
      <c r="V1564" s="42">
        <f>averageif(AllData!A:A,B1564,AllData!R:R)/vlookup(B1564,AllData!A:O,15,0)</f>
        <v>93.61128205</v>
      </c>
      <c r="W1564" s="6"/>
    </row>
    <row r="1565" ht="14.25" customHeight="1">
      <c r="A1565" s="6" t="str">
        <f t="shared" si="1"/>
        <v>2019Shep17</v>
      </c>
      <c r="B1565" s="59">
        <v>2019.0</v>
      </c>
      <c r="C1565" s="13" t="s">
        <v>89</v>
      </c>
      <c r="D1565" s="13" t="s">
        <v>154</v>
      </c>
      <c r="E1565" s="34"/>
      <c r="F1565" s="6"/>
      <c r="H1565" s="6"/>
      <c r="I1565" s="35" t="str">
        <f>IFERROR(IFERROR(IFERROR(VLOOKUP(B1565&amp;C1565&amp;Q1565,'New Weekly Paste'!A:M,10,0),VLOOKUP(B1565&amp;C1565&amp;Q1565,'New Weekly Paste'!B:O,6,0)),""),"")</f>
        <v/>
      </c>
      <c r="J1565" s="239">
        <f>IFERROR(IFERROR(VLOOKUP(B1565&amp;C1565&amp;Q1565,'New Weekly Paste'!A:M,8,0),VLOOKUP(B1565&amp;C1565&amp;Q1565,'New Weekly Paste'!B:O,10,0)),0)</f>
        <v>0</v>
      </c>
      <c r="K1565" s="239">
        <f>IFERROR(IFERROR(VLOOKUP(B1565&amp;I1565&amp;Q1565,'New Weekly Paste'!A:M,8,0),VLOOKUP(B1565&amp;I1565&amp;Q1565,'New Weekly Paste'!B:O,10,0)),0)</f>
        <v>0</v>
      </c>
      <c r="L1565" s="239">
        <f t="shared" si="25"/>
        <v>0</v>
      </c>
      <c r="M1565" s="36" t="str">
        <f t="shared" si="3"/>
        <v>Playoffs</v>
      </c>
      <c r="N1565" s="239" t="str">
        <f t="shared" si="26"/>
        <v/>
      </c>
      <c r="O1565" s="6">
        <f>VLOOKUP(D1565,'Mapped Opponent'!$G$4:$H$22,2,0)</f>
        <v>17</v>
      </c>
      <c r="P1565" s="6"/>
      <c r="Q1565" s="6" t="str">
        <f t="shared" si="4"/>
        <v>Week 17</v>
      </c>
      <c r="R1565" s="6" t="str">
        <f t="shared" si="5"/>
        <v>2019Round 3</v>
      </c>
      <c r="S1565" s="6">
        <f>IFERROR(__xludf.DUMMYFUNCTION("rank(J1565,FILTER(J:J,R:R=R1565))"),1.0)</f>
        <v>1</v>
      </c>
      <c r="T1565" s="6">
        <f t="shared" si="6"/>
        <v>11</v>
      </c>
      <c r="U1565" s="6">
        <f t="shared" si="7"/>
        <v>1</v>
      </c>
      <c r="V1565" s="42">
        <f>averageif(AllData!A:A,B1565,AllData!R:R)/vlookup(B1565,AllData!A:O,15,0)</f>
        <v>93.61128205</v>
      </c>
      <c r="W1565" s="6"/>
    </row>
    <row r="1566" ht="14.25" customHeight="1">
      <c r="A1566" s="6" t="str">
        <f t="shared" si="1"/>
        <v>2019Riley17</v>
      </c>
      <c r="B1566" s="59">
        <v>2019.0</v>
      </c>
      <c r="C1566" s="13" t="s">
        <v>67</v>
      </c>
      <c r="D1566" s="13" t="s">
        <v>154</v>
      </c>
      <c r="E1566" s="34"/>
      <c r="F1566" s="6"/>
      <c r="H1566" s="6"/>
      <c r="I1566" s="35" t="str">
        <f>IFERROR(IFERROR(IFERROR(VLOOKUP(B1566&amp;C1566&amp;Q1566,'New Weekly Paste'!A:M,10,0),VLOOKUP(B1566&amp;C1566&amp;Q1566,'New Weekly Paste'!B:O,6,0)),""),"")</f>
        <v/>
      </c>
      <c r="J1566" s="239">
        <f>IFERROR(IFERROR(VLOOKUP(B1566&amp;C1566&amp;Q1566,'New Weekly Paste'!A:M,8,0),VLOOKUP(B1566&amp;C1566&amp;Q1566,'New Weekly Paste'!B:O,10,0)),0)</f>
        <v>0</v>
      </c>
      <c r="K1566" s="239">
        <f>IFERROR(IFERROR(VLOOKUP(B1566&amp;I1566&amp;Q1566,'New Weekly Paste'!A:M,8,0),VLOOKUP(B1566&amp;I1566&amp;Q1566,'New Weekly Paste'!B:O,10,0)),0)</f>
        <v>0</v>
      </c>
      <c r="L1566" s="239">
        <f t="shared" si="25"/>
        <v>0</v>
      </c>
      <c r="M1566" s="36" t="str">
        <f t="shared" si="3"/>
        <v>Playoffs</v>
      </c>
      <c r="N1566" s="239" t="str">
        <f t="shared" si="26"/>
        <v/>
      </c>
      <c r="O1566" s="6">
        <f>VLOOKUP(D1566,'Mapped Opponent'!$G$4:$H$22,2,0)</f>
        <v>17</v>
      </c>
      <c r="P1566" s="6"/>
      <c r="Q1566" s="6" t="str">
        <f t="shared" si="4"/>
        <v>Week 17</v>
      </c>
      <c r="R1566" s="6" t="str">
        <f t="shared" si="5"/>
        <v>2019Round 3</v>
      </c>
      <c r="S1566" s="6">
        <f>IFERROR(__xludf.DUMMYFUNCTION("rank(J1566,FILTER(J:J,R:R=R1566))"),1.0)</f>
        <v>1</v>
      </c>
      <c r="T1566" s="6">
        <f t="shared" si="6"/>
        <v>11</v>
      </c>
      <c r="U1566" s="6">
        <f t="shared" si="7"/>
        <v>1</v>
      </c>
      <c r="V1566" s="42">
        <f>averageif(AllData!A:A,B1566,AllData!R:R)/vlookup(B1566,AllData!A:O,15,0)</f>
        <v>93.61128205</v>
      </c>
      <c r="W1566" s="6"/>
    </row>
    <row r="1567" ht="14.25" customHeight="1">
      <c r="A1567" s="6" t="str">
        <f t="shared" si="1"/>
        <v>2019Rooney/Jackson17</v>
      </c>
      <c r="B1567" s="59">
        <v>2019.0</v>
      </c>
      <c r="C1567" s="13" t="s">
        <v>57</v>
      </c>
      <c r="D1567" s="13" t="s">
        <v>154</v>
      </c>
      <c r="E1567" s="34"/>
      <c r="F1567" s="6"/>
      <c r="H1567" s="6"/>
      <c r="I1567" s="35" t="str">
        <f>IFERROR(IFERROR(IFERROR(VLOOKUP(B1567&amp;C1567&amp;Q1567,'New Weekly Paste'!A:M,10,0),VLOOKUP(B1567&amp;C1567&amp;Q1567,'New Weekly Paste'!B:O,6,0)),""),"")</f>
        <v/>
      </c>
      <c r="J1567" s="239">
        <f>IFERROR(IFERROR(VLOOKUP(B1567&amp;C1567&amp;Q1567,'New Weekly Paste'!A:M,8,0),VLOOKUP(B1567&amp;C1567&amp;Q1567,'New Weekly Paste'!B:O,10,0)),0)</f>
        <v>0</v>
      </c>
      <c r="K1567" s="239">
        <f>IFERROR(IFERROR(VLOOKUP(B1567&amp;I1567&amp;Q1567,'New Weekly Paste'!A:M,8,0),VLOOKUP(B1567&amp;I1567&amp;Q1567,'New Weekly Paste'!B:O,10,0)),0)</f>
        <v>0</v>
      </c>
      <c r="L1567" s="239">
        <f t="shared" si="25"/>
        <v>0</v>
      </c>
      <c r="M1567" s="36" t="str">
        <f t="shared" si="3"/>
        <v>Playoffs</v>
      </c>
      <c r="N1567" s="239" t="str">
        <f t="shared" si="26"/>
        <v/>
      </c>
      <c r="O1567" s="6">
        <f>VLOOKUP(D1567,'Mapped Opponent'!$G$4:$H$22,2,0)</f>
        <v>17</v>
      </c>
      <c r="P1567" s="6"/>
      <c r="Q1567" s="6" t="str">
        <f t="shared" si="4"/>
        <v>Week 17</v>
      </c>
      <c r="R1567" s="6" t="str">
        <f t="shared" si="5"/>
        <v>2019Round 3</v>
      </c>
      <c r="S1567" s="6">
        <f>IFERROR(__xludf.DUMMYFUNCTION("rank(J1567,FILTER(J:J,R:R=R1567))"),1.0)</f>
        <v>1</v>
      </c>
      <c r="T1567" s="6">
        <f t="shared" si="6"/>
        <v>11</v>
      </c>
      <c r="U1567" s="6">
        <f t="shared" si="7"/>
        <v>1</v>
      </c>
      <c r="V1567" s="42">
        <f>averageif(AllData!A:A,B1567,AllData!R:R)/vlookup(B1567,AllData!A:O,15,0)</f>
        <v>93.61128205</v>
      </c>
      <c r="W1567" s="6"/>
    </row>
    <row r="1568" ht="14.25" customHeight="1">
      <c r="A1568" s="6" t="str">
        <f t="shared" si="1"/>
        <v>2019Buser17</v>
      </c>
      <c r="B1568" s="59">
        <v>2019.0</v>
      </c>
      <c r="C1568" s="13" t="s">
        <v>47</v>
      </c>
      <c r="D1568" s="13" t="s">
        <v>154</v>
      </c>
      <c r="E1568" s="34"/>
      <c r="F1568" s="6"/>
      <c r="H1568" s="6"/>
      <c r="I1568" s="35" t="str">
        <f>IFERROR(IFERROR(IFERROR(VLOOKUP(B1568&amp;C1568&amp;Q1568,'New Weekly Paste'!A:M,10,0),VLOOKUP(B1568&amp;C1568&amp;Q1568,'New Weekly Paste'!B:O,6,0)),""),"")</f>
        <v/>
      </c>
      <c r="J1568" s="239">
        <f>IFERROR(IFERROR(VLOOKUP(B1568&amp;C1568&amp;Q1568,'New Weekly Paste'!A:M,8,0),VLOOKUP(B1568&amp;C1568&amp;Q1568,'New Weekly Paste'!B:O,10,0)),0)</f>
        <v>0</v>
      </c>
      <c r="K1568" s="239">
        <f>IFERROR(IFERROR(VLOOKUP(B1568&amp;I1568&amp;Q1568,'New Weekly Paste'!A:M,8,0),VLOOKUP(B1568&amp;I1568&amp;Q1568,'New Weekly Paste'!B:O,10,0)),0)</f>
        <v>0</v>
      </c>
      <c r="L1568" s="239">
        <f t="shared" si="25"/>
        <v>0</v>
      </c>
      <c r="M1568" s="36" t="str">
        <f t="shared" si="3"/>
        <v>Playoffs</v>
      </c>
      <c r="N1568" s="239" t="str">
        <f t="shared" si="26"/>
        <v/>
      </c>
      <c r="O1568" s="6">
        <f>VLOOKUP(D1568,'Mapped Opponent'!$G$4:$H$22,2,0)</f>
        <v>17</v>
      </c>
      <c r="P1568" s="6"/>
      <c r="Q1568" s="6" t="str">
        <f t="shared" si="4"/>
        <v>Week 17</v>
      </c>
      <c r="R1568" s="6" t="str">
        <f t="shared" si="5"/>
        <v>2019Round 3</v>
      </c>
      <c r="S1568" s="6">
        <f>IFERROR(__xludf.DUMMYFUNCTION("rank(J1568,FILTER(J:J,R:R=R1568))"),1.0)</f>
        <v>1</v>
      </c>
      <c r="T1568" s="6">
        <f t="shared" si="6"/>
        <v>11</v>
      </c>
      <c r="U1568" s="6">
        <f t="shared" si="7"/>
        <v>1</v>
      </c>
      <c r="V1568" s="42">
        <f>averageif(AllData!A:A,B1568,AllData!R:R)/vlookup(B1568,AllData!A:O,15,0)</f>
        <v>93.61128205</v>
      </c>
      <c r="W1568" s="6"/>
    </row>
    <row r="1569" ht="14.25" customHeight="1">
      <c r="A1569" s="6" t="str">
        <f t="shared" si="1"/>
        <v>2019Pierson17</v>
      </c>
      <c r="B1569" s="59">
        <v>2019.0</v>
      </c>
      <c r="C1569" s="13" t="s">
        <v>92</v>
      </c>
      <c r="D1569" s="13" t="s">
        <v>154</v>
      </c>
      <c r="E1569" s="34"/>
      <c r="F1569" s="6"/>
      <c r="H1569" s="6"/>
      <c r="I1569" s="35" t="str">
        <f>IFERROR(IFERROR(IFERROR(VLOOKUP(B1569&amp;C1569&amp;Q1569,'New Weekly Paste'!A:M,10,0),VLOOKUP(B1569&amp;C1569&amp;Q1569,'New Weekly Paste'!B:O,6,0)),""),"")</f>
        <v/>
      </c>
      <c r="J1569" s="239">
        <f>IFERROR(IFERROR(VLOOKUP(B1569&amp;C1569&amp;Q1569,'New Weekly Paste'!A:M,8,0),VLOOKUP(B1569&amp;C1569&amp;Q1569,'New Weekly Paste'!B:O,10,0)),0)</f>
        <v>0</v>
      </c>
      <c r="K1569" s="239">
        <f>IFERROR(IFERROR(VLOOKUP(B1569&amp;I1569&amp;Q1569,'New Weekly Paste'!A:M,8,0),VLOOKUP(B1569&amp;I1569&amp;Q1569,'New Weekly Paste'!B:O,10,0)),0)</f>
        <v>0</v>
      </c>
      <c r="L1569" s="239">
        <f t="shared" si="25"/>
        <v>0</v>
      </c>
      <c r="M1569" s="36" t="str">
        <f t="shared" si="3"/>
        <v>Playoffs</v>
      </c>
      <c r="N1569" s="239" t="str">
        <f t="shared" si="26"/>
        <v/>
      </c>
      <c r="O1569" s="6">
        <f>VLOOKUP(D1569,'Mapped Opponent'!$G$4:$H$22,2,0)</f>
        <v>17</v>
      </c>
      <c r="P1569" s="6"/>
      <c r="Q1569" s="6" t="str">
        <f t="shared" si="4"/>
        <v>Week 17</v>
      </c>
      <c r="R1569" s="6" t="str">
        <f t="shared" si="5"/>
        <v>2019Round 3</v>
      </c>
      <c r="S1569" s="6">
        <f>IFERROR(__xludf.DUMMYFUNCTION("rank(J1569,FILTER(J:J,R:R=R1569))"),1.0)</f>
        <v>1</v>
      </c>
      <c r="T1569" s="6">
        <f t="shared" si="6"/>
        <v>11</v>
      </c>
      <c r="U1569" s="6">
        <f t="shared" si="7"/>
        <v>1</v>
      </c>
      <c r="V1569" s="42">
        <f>averageif(AllData!A:A,B1569,AllData!R:R)/vlookup(B1569,AllData!A:O,15,0)</f>
        <v>93.61128205</v>
      </c>
      <c r="W1569" s="6"/>
    </row>
    <row r="1570" ht="14.25" customHeight="1">
      <c r="A1570" s="6" t="str">
        <f t="shared" si="1"/>
        <v>2019Cock17</v>
      </c>
      <c r="B1570" s="59">
        <v>2019.0</v>
      </c>
      <c r="C1570" s="13" t="s">
        <v>72</v>
      </c>
      <c r="D1570" s="13" t="s">
        <v>154</v>
      </c>
      <c r="E1570" s="34"/>
      <c r="F1570" s="6"/>
      <c r="H1570" s="6"/>
      <c r="I1570" s="35" t="str">
        <f>IFERROR(IFERROR(IFERROR(VLOOKUP(B1570&amp;C1570&amp;Q1570,'New Weekly Paste'!A:M,10,0),VLOOKUP(B1570&amp;C1570&amp;Q1570,'New Weekly Paste'!B:O,6,0)),""),"")</f>
        <v/>
      </c>
      <c r="J1570" s="239">
        <f>IFERROR(IFERROR(VLOOKUP(B1570&amp;C1570&amp;Q1570,'New Weekly Paste'!A:M,8,0),VLOOKUP(B1570&amp;C1570&amp;Q1570,'New Weekly Paste'!B:O,10,0)),0)</f>
        <v>0</v>
      </c>
      <c r="K1570" s="239">
        <f>IFERROR(IFERROR(VLOOKUP(B1570&amp;I1570&amp;Q1570,'New Weekly Paste'!A:M,8,0),VLOOKUP(B1570&amp;I1570&amp;Q1570,'New Weekly Paste'!B:O,10,0)),0)</f>
        <v>0</v>
      </c>
      <c r="L1570" s="239">
        <f t="shared" si="25"/>
        <v>0</v>
      </c>
      <c r="M1570" s="36" t="str">
        <f t="shared" si="3"/>
        <v>Playoffs</v>
      </c>
      <c r="N1570" s="239" t="str">
        <f t="shared" si="26"/>
        <v/>
      </c>
      <c r="O1570" s="6">
        <f>VLOOKUP(D1570,'Mapped Opponent'!$G$4:$H$22,2,0)</f>
        <v>17</v>
      </c>
      <c r="P1570" s="6"/>
      <c r="Q1570" s="6" t="str">
        <f t="shared" si="4"/>
        <v>Week 17</v>
      </c>
      <c r="R1570" s="6" t="str">
        <f t="shared" si="5"/>
        <v>2019Round 3</v>
      </c>
      <c r="S1570" s="6">
        <f>IFERROR(__xludf.DUMMYFUNCTION("rank(J1570,FILTER(J:J,R:R=R1570))"),1.0)</f>
        <v>1</v>
      </c>
      <c r="T1570" s="6">
        <f t="shared" si="6"/>
        <v>11</v>
      </c>
      <c r="U1570" s="6">
        <f t="shared" si="7"/>
        <v>1</v>
      </c>
      <c r="V1570" s="42">
        <f>averageif(AllData!A:A,B1570,AllData!R:R)/vlookup(B1570,AllData!A:O,15,0)</f>
        <v>93.61128205</v>
      </c>
      <c r="W1570" s="6"/>
    </row>
    <row r="1571" ht="14.25" customHeight="1">
      <c r="A1571" s="6" t="str">
        <f t="shared" si="1"/>
        <v>2019Tayski17</v>
      </c>
      <c r="B1571" s="59">
        <v>2019.0</v>
      </c>
      <c r="C1571" s="13" t="s">
        <v>52</v>
      </c>
      <c r="D1571" s="13" t="s">
        <v>154</v>
      </c>
      <c r="E1571" s="34"/>
      <c r="F1571" s="6"/>
      <c r="H1571" s="6"/>
      <c r="I1571" s="35" t="str">
        <f>IFERROR(IFERROR(IFERROR(VLOOKUP(B1571&amp;C1571&amp;Q1571,'New Weekly Paste'!A:M,10,0),VLOOKUP(B1571&amp;C1571&amp;Q1571,'New Weekly Paste'!B:O,6,0)),""),"")</f>
        <v/>
      </c>
      <c r="J1571" s="239">
        <f>IFERROR(IFERROR(VLOOKUP(B1571&amp;C1571&amp;Q1571,'New Weekly Paste'!A:M,8,0),VLOOKUP(B1571&amp;C1571&amp;Q1571,'New Weekly Paste'!B:O,10,0)),0)</f>
        <v>0</v>
      </c>
      <c r="K1571" s="239">
        <f>IFERROR(IFERROR(VLOOKUP(B1571&amp;I1571&amp;Q1571,'New Weekly Paste'!A:M,8,0),VLOOKUP(B1571&amp;I1571&amp;Q1571,'New Weekly Paste'!B:O,10,0)),0)</f>
        <v>0</v>
      </c>
      <c r="L1571" s="239">
        <f t="shared" si="25"/>
        <v>0</v>
      </c>
      <c r="M1571" s="36" t="str">
        <f t="shared" si="3"/>
        <v>Playoffs</v>
      </c>
      <c r="N1571" s="239" t="str">
        <f t="shared" si="26"/>
        <v/>
      </c>
      <c r="O1571" s="6">
        <f>VLOOKUP(D1571,'Mapped Opponent'!$G$4:$H$22,2,0)</f>
        <v>17</v>
      </c>
      <c r="P1571" s="6"/>
      <c r="Q1571" s="6" t="str">
        <f t="shared" si="4"/>
        <v>Week 17</v>
      </c>
      <c r="R1571" s="6" t="str">
        <f t="shared" si="5"/>
        <v>2019Round 3</v>
      </c>
      <c r="S1571" s="6">
        <f>IFERROR(__xludf.DUMMYFUNCTION("rank(J1571,FILTER(J:J,R:R=R1571))"),1.0)</f>
        <v>1</v>
      </c>
      <c r="T1571" s="6">
        <f t="shared" si="6"/>
        <v>11</v>
      </c>
      <c r="U1571" s="6">
        <f t="shared" si="7"/>
        <v>1</v>
      </c>
      <c r="V1571" s="42">
        <f>averageif(AllData!A:A,B1571,AllData!R:R)/vlookup(B1571,AllData!A:O,15,0)</f>
        <v>93.61128205</v>
      </c>
      <c r="W1571" s="6"/>
    </row>
    <row r="1572" ht="14.25" customHeight="1">
      <c r="A1572" s="6" t="str">
        <f t="shared" si="1"/>
        <v>2019KnardDawg17</v>
      </c>
      <c r="B1572" s="59">
        <v>2019.0</v>
      </c>
      <c r="C1572" s="13" t="s">
        <v>86</v>
      </c>
      <c r="D1572" s="13" t="s">
        <v>154</v>
      </c>
      <c r="E1572" s="34"/>
      <c r="F1572" s="6"/>
      <c r="H1572" s="6"/>
      <c r="I1572" s="35" t="str">
        <f>IFERROR(IFERROR(IFERROR(VLOOKUP(B1572&amp;C1572&amp;Q1572,'New Weekly Paste'!A:M,10,0),VLOOKUP(B1572&amp;C1572&amp;Q1572,'New Weekly Paste'!B:O,6,0)),""),"")</f>
        <v/>
      </c>
      <c r="J1572" s="239">
        <f>IFERROR(IFERROR(VLOOKUP(B1572&amp;C1572&amp;Q1572,'New Weekly Paste'!A:M,8,0),VLOOKUP(B1572&amp;C1572&amp;Q1572,'New Weekly Paste'!B:O,10,0)),0)</f>
        <v>0</v>
      </c>
      <c r="K1572" s="239">
        <f>IFERROR(IFERROR(VLOOKUP(B1572&amp;I1572&amp;Q1572,'New Weekly Paste'!A:M,8,0),VLOOKUP(B1572&amp;I1572&amp;Q1572,'New Weekly Paste'!B:O,10,0)),0)</f>
        <v>0</v>
      </c>
      <c r="L1572" s="239">
        <f t="shared" si="25"/>
        <v>0</v>
      </c>
      <c r="M1572" s="36" t="str">
        <f t="shared" si="3"/>
        <v>Playoffs</v>
      </c>
      <c r="N1572" s="239" t="str">
        <f t="shared" si="26"/>
        <v/>
      </c>
      <c r="O1572" s="6">
        <f>VLOOKUP(D1572,'Mapped Opponent'!$G$4:$H$22,2,0)</f>
        <v>17</v>
      </c>
      <c r="P1572" s="6"/>
      <c r="Q1572" s="6" t="str">
        <f t="shared" si="4"/>
        <v>Week 17</v>
      </c>
      <c r="R1572" s="6" t="str">
        <f t="shared" si="5"/>
        <v>2019Round 3</v>
      </c>
      <c r="S1572" s="6">
        <f>IFERROR(__xludf.DUMMYFUNCTION("rank(J1572,FILTER(J:J,R:R=R1572))"),1.0)</f>
        <v>1</v>
      </c>
      <c r="T1572" s="6">
        <f t="shared" si="6"/>
        <v>11</v>
      </c>
      <c r="U1572" s="6">
        <f t="shared" si="7"/>
        <v>1</v>
      </c>
      <c r="V1572" s="42">
        <f>averageif(AllData!A:A,B1572,AllData!R:R)/vlookup(B1572,AllData!A:O,15,0)</f>
        <v>93.61128205</v>
      </c>
      <c r="W1572" s="6"/>
    </row>
    <row r="1573" ht="14.25" customHeight="1">
      <c r="A1573" s="6" t="str">
        <f t="shared" si="1"/>
        <v>2019T-How17</v>
      </c>
      <c r="B1573" s="59">
        <v>2019.0</v>
      </c>
      <c r="C1573" s="13" t="s">
        <v>82</v>
      </c>
      <c r="D1573" s="13" t="s">
        <v>154</v>
      </c>
      <c r="E1573" s="34"/>
      <c r="F1573" s="6"/>
      <c r="H1573" s="6"/>
      <c r="I1573" s="35" t="str">
        <f>IFERROR(IFERROR(IFERROR(VLOOKUP(B1573&amp;C1573&amp;Q1573,'New Weekly Paste'!A:M,10,0),VLOOKUP(B1573&amp;C1573&amp;Q1573,'New Weekly Paste'!B:O,6,0)),""),"")</f>
        <v/>
      </c>
      <c r="J1573" s="239">
        <f>IFERROR(IFERROR(VLOOKUP(B1573&amp;C1573&amp;Q1573,'New Weekly Paste'!A:M,8,0),VLOOKUP(B1573&amp;C1573&amp;Q1573,'New Weekly Paste'!B:O,10,0)),0)</f>
        <v>0</v>
      </c>
      <c r="K1573" s="239">
        <f>IFERROR(IFERROR(VLOOKUP(B1573&amp;I1573&amp;Q1573,'New Weekly Paste'!A:M,8,0),VLOOKUP(B1573&amp;I1573&amp;Q1573,'New Weekly Paste'!B:O,10,0)),0)</f>
        <v>0</v>
      </c>
      <c r="L1573" s="239">
        <f t="shared" si="25"/>
        <v>0</v>
      </c>
      <c r="M1573" s="36" t="str">
        <f t="shared" si="3"/>
        <v>Playoffs</v>
      </c>
      <c r="N1573" s="239" t="str">
        <f t="shared" si="26"/>
        <v/>
      </c>
      <c r="O1573" s="6">
        <f>VLOOKUP(D1573,'Mapped Opponent'!$G$4:$H$22,2,0)</f>
        <v>17</v>
      </c>
      <c r="P1573" s="6"/>
      <c r="Q1573" s="6" t="str">
        <f t="shared" si="4"/>
        <v>Week 17</v>
      </c>
      <c r="R1573" s="6" t="str">
        <f t="shared" si="5"/>
        <v>2019Round 3</v>
      </c>
      <c r="S1573" s="6">
        <f>IFERROR(__xludf.DUMMYFUNCTION("rank(J1573,FILTER(J:J,R:R=R1573))"),1.0)</f>
        <v>1</v>
      </c>
      <c r="T1573" s="6">
        <f t="shared" si="6"/>
        <v>11</v>
      </c>
      <c r="U1573" s="6">
        <f t="shared" si="7"/>
        <v>1</v>
      </c>
      <c r="V1573" s="42">
        <f>averageif(AllData!A:A,B1573,AllData!R:R)/vlookup(B1573,AllData!A:O,15,0)</f>
        <v>93.61128205</v>
      </c>
      <c r="W1573" s="6"/>
    </row>
    <row r="1574" ht="14.25" customHeight="1">
      <c r="A1574" s="6" t="str">
        <f t="shared" si="1"/>
        <v>2019Hudspeath1</v>
      </c>
      <c r="B1574" s="59">
        <v>2019.0</v>
      </c>
      <c r="C1574" s="13" t="s">
        <v>39</v>
      </c>
      <c r="D1574" s="13" t="s">
        <v>129</v>
      </c>
      <c r="E1574" s="34"/>
      <c r="F1574" s="6"/>
      <c r="H1574" s="6"/>
      <c r="I1574" s="35" t="str">
        <f>IFERROR(IFERROR(IFERROR(VLOOKUP(B1574&amp;C1574&amp;Q1574,'New Weekly Paste'!A:M,10,0),VLOOKUP(B1574&amp;C1574&amp;Q1574,'New Weekly Paste'!B:O,6,0)),""),"")</f>
        <v>Salty</v>
      </c>
      <c r="J1574" s="239">
        <f>IFERROR(IFERROR(VLOOKUP(B1574&amp;C1574&amp;Q1574,'New Weekly Paste'!A:M,8,0),VLOOKUP(B1574&amp;C1574&amp;Q1574,'New Weekly Paste'!B:O,10,0)),0)</f>
        <v>122.2</v>
      </c>
      <c r="K1574" s="239">
        <f>IFERROR(IFERROR(VLOOKUP(B1574&amp;I1574&amp;Q1574,'New Weekly Paste'!A:M,8,0),VLOOKUP(B1574&amp;I1574&amp;Q1574,'New Weekly Paste'!B:O,10,0)),0)</f>
        <v>99.52</v>
      </c>
      <c r="L1574" s="239">
        <f t="shared" si="25"/>
        <v>1</v>
      </c>
      <c r="M1574" s="36" t="str">
        <f t="shared" si="3"/>
        <v>Regular Season</v>
      </c>
      <c r="N1574" s="239" t="str">
        <f t="shared" si="26"/>
        <v>Salty</v>
      </c>
      <c r="O1574" s="6">
        <f>VLOOKUP(D1574,'Mapped Opponent'!$G$4:$H$22,2,0)</f>
        <v>1</v>
      </c>
      <c r="P1574" s="6"/>
      <c r="Q1574" s="6" t="str">
        <f t="shared" si="4"/>
        <v>Week 1</v>
      </c>
      <c r="R1574" s="6" t="str">
        <f t="shared" si="5"/>
        <v>2019Week 1</v>
      </c>
      <c r="S1574" s="6">
        <f>IFERROR(__xludf.DUMMYFUNCTION("rank(J1574,FILTER(J:J,R:R=R1574))"),3.0)</f>
        <v>3</v>
      </c>
      <c r="T1574" s="6">
        <f t="shared" si="6"/>
        <v>9</v>
      </c>
      <c r="U1574" s="6">
        <f t="shared" si="7"/>
        <v>3</v>
      </c>
      <c r="V1574" s="42">
        <f>averageif(AllData!A:A,B1574,AllData!R:R)/vlookup(B1574,AllData!A:O,15,0)</f>
        <v>93.61128205</v>
      </c>
      <c r="W1574" s="6"/>
    </row>
    <row r="1575" ht="14.25" customHeight="1">
      <c r="A1575" s="6" t="str">
        <f t="shared" si="1"/>
        <v>2019Salty1</v>
      </c>
      <c r="B1575" s="59">
        <v>2019.0</v>
      </c>
      <c r="C1575" s="13" t="s">
        <v>76</v>
      </c>
      <c r="D1575" s="13" t="s">
        <v>129</v>
      </c>
      <c r="E1575" s="34"/>
      <c r="F1575" s="6"/>
      <c r="H1575" s="6"/>
      <c r="I1575" s="35" t="str">
        <f>IFERROR(IFERROR(IFERROR(VLOOKUP(B1575&amp;C1575&amp;Q1575,'New Weekly Paste'!A:M,10,0),VLOOKUP(B1575&amp;C1575&amp;Q1575,'New Weekly Paste'!B:O,6,0)),""),"")</f>
        <v>Hudspeath</v>
      </c>
      <c r="J1575" s="239">
        <f>IFERROR(IFERROR(VLOOKUP(B1575&amp;C1575&amp;Q1575,'New Weekly Paste'!A:M,8,0),VLOOKUP(B1575&amp;C1575&amp;Q1575,'New Weekly Paste'!B:O,10,0)),0)</f>
        <v>99.52</v>
      </c>
      <c r="K1575" s="239">
        <f>IFERROR(IFERROR(VLOOKUP(B1575&amp;I1575&amp;Q1575,'New Weekly Paste'!A:M,8,0),VLOOKUP(B1575&amp;I1575&amp;Q1575,'New Weekly Paste'!B:O,10,0)),0)</f>
        <v>122.2</v>
      </c>
      <c r="L1575" s="239">
        <f t="shared" si="25"/>
        <v>0</v>
      </c>
      <c r="M1575" s="36" t="str">
        <f t="shared" si="3"/>
        <v>Regular Season</v>
      </c>
      <c r="N1575" s="239" t="str">
        <f t="shared" si="26"/>
        <v>Hudspeath</v>
      </c>
      <c r="O1575" s="6">
        <f>VLOOKUP(D1575,'Mapped Opponent'!$G$4:$H$22,2,0)</f>
        <v>1</v>
      </c>
      <c r="P1575" s="6"/>
      <c r="Q1575" s="6" t="str">
        <f t="shared" si="4"/>
        <v>Week 1</v>
      </c>
      <c r="R1575" s="6" t="str">
        <f t="shared" si="5"/>
        <v>2019Week 1</v>
      </c>
      <c r="S1575" s="6">
        <f>IFERROR(__xludf.DUMMYFUNCTION("rank(J1575,FILTER(J:J,R:R=R1575))"),7.0)</f>
        <v>7</v>
      </c>
      <c r="T1575" s="6">
        <f t="shared" si="6"/>
        <v>5</v>
      </c>
      <c r="U1575" s="6">
        <f t="shared" si="7"/>
        <v>7</v>
      </c>
      <c r="V1575" s="42">
        <f>averageif(AllData!A:A,B1575,AllData!R:R)/vlookup(B1575,AllData!A:O,15,0)</f>
        <v>93.61128205</v>
      </c>
      <c r="W1575" s="6"/>
    </row>
    <row r="1576" ht="14.25" customHeight="1">
      <c r="A1576" s="6" t="str">
        <f t="shared" si="1"/>
        <v>2019Fellows1</v>
      </c>
      <c r="B1576" s="59">
        <v>2019.0</v>
      </c>
      <c r="C1576" s="13" t="s">
        <v>79</v>
      </c>
      <c r="D1576" s="13" t="s">
        <v>129</v>
      </c>
      <c r="E1576" s="34"/>
      <c r="F1576" s="6"/>
      <c r="H1576" s="6"/>
      <c r="I1576" s="35" t="str">
        <f>IFERROR(IFERROR(IFERROR(VLOOKUP(B1576&amp;C1576&amp;Q1576,'New Weekly Paste'!A:M,10,0),VLOOKUP(B1576&amp;C1576&amp;Q1576,'New Weekly Paste'!B:O,6,0)),""),"")</f>
        <v>Shep</v>
      </c>
      <c r="J1576" s="239">
        <f>IFERROR(IFERROR(VLOOKUP(B1576&amp;C1576&amp;Q1576,'New Weekly Paste'!A:M,8,0),VLOOKUP(B1576&amp;C1576&amp;Q1576,'New Weekly Paste'!B:O,10,0)),0)</f>
        <v>114.2</v>
      </c>
      <c r="K1576" s="239">
        <f>IFERROR(IFERROR(VLOOKUP(B1576&amp;I1576&amp;Q1576,'New Weekly Paste'!A:M,8,0),VLOOKUP(B1576&amp;I1576&amp;Q1576,'New Weekly Paste'!B:O,10,0)),0)</f>
        <v>72.46</v>
      </c>
      <c r="L1576" s="239">
        <f t="shared" si="25"/>
        <v>1</v>
      </c>
      <c r="M1576" s="36" t="str">
        <f t="shared" si="3"/>
        <v>Regular Season</v>
      </c>
      <c r="N1576" s="239" t="str">
        <f t="shared" si="26"/>
        <v>Shep</v>
      </c>
      <c r="O1576" s="6">
        <f>VLOOKUP(D1576,'Mapped Opponent'!$G$4:$H$22,2,0)</f>
        <v>1</v>
      </c>
      <c r="P1576" s="6"/>
      <c r="Q1576" s="6" t="str">
        <f t="shared" si="4"/>
        <v>Week 1</v>
      </c>
      <c r="R1576" s="6" t="str">
        <f t="shared" si="5"/>
        <v>2019Week 1</v>
      </c>
      <c r="S1576" s="6">
        <f>IFERROR(__xludf.DUMMYFUNCTION("rank(J1576,FILTER(J:J,R:R=R1576))"),5.0)</f>
        <v>5</v>
      </c>
      <c r="T1576" s="6">
        <f t="shared" si="6"/>
        <v>7</v>
      </c>
      <c r="U1576" s="6">
        <f t="shared" si="7"/>
        <v>5</v>
      </c>
      <c r="V1576" s="42">
        <f>averageif(AllData!A:A,B1576,AllData!R:R)/vlookup(B1576,AllData!A:O,15,0)</f>
        <v>93.61128205</v>
      </c>
      <c r="W1576" s="6"/>
    </row>
    <row r="1577" ht="14.25" customHeight="1">
      <c r="A1577" s="6" t="str">
        <f t="shared" si="1"/>
        <v>2019Shep1</v>
      </c>
      <c r="B1577" s="59">
        <v>2019.0</v>
      </c>
      <c r="C1577" s="13" t="s">
        <v>89</v>
      </c>
      <c r="D1577" s="13" t="s">
        <v>129</v>
      </c>
      <c r="E1577" s="34"/>
      <c r="F1577" s="6"/>
      <c r="H1577" s="6"/>
      <c r="I1577" s="35" t="str">
        <f>IFERROR(IFERROR(IFERROR(VLOOKUP(B1577&amp;C1577&amp;Q1577,'New Weekly Paste'!A:M,10,0),VLOOKUP(B1577&amp;C1577&amp;Q1577,'New Weekly Paste'!B:O,6,0)),""),"")</f>
        <v>Fellows</v>
      </c>
      <c r="J1577" s="239">
        <f>IFERROR(IFERROR(VLOOKUP(B1577&amp;C1577&amp;Q1577,'New Weekly Paste'!A:M,8,0),VLOOKUP(B1577&amp;C1577&amp;Q1577,'New Weekly Paste'!B:O,10,0)),0)</f>
        <v>72.46</v>
      </c>
      <c r="K1577" s="239">
        <f>IFERROR(IFERROR(VLOOKUP(B1577&amp;I1577&amp;Q1577,'New Weekly Paste'!A:M,8,0),VLOOKUP(B1577&amp;I1577&amp;Q1577,'New Weekly Paste'!B:O,10,0)),0)</f>
        <v>114.2</v>
      </c>
      <c r="L1577" s="239">
        <f t="shared" si="25"/>
        <v>0</v>
      </c>
      <c r="M1577" s="36" t="str">
        <f t="shared" si="3"/>
        <v>Regular Season</v>
      </c>
      <c r="N1577" s="239" t="str">
        <f t="shared" si="26"/>
        <v>Fellows</v>
      </c>
      <c r="O1577" s="6">
        <f>VLOOKUP(D1577,'Mapped Opponent'!$G$4:$H$22,2,0)</f>
        <v>1</v>
      </c>
      <c r="P1577" s="6"/>
      <c r="Q1577" s="6" t="str">
        <f t="shared" si="4"/>
        <v>Week 1</v>
      </c>
      <c r="R1577" s="6" t="str">
        <f t="shared" si="5"/>
        <v>2019Week 1</v>
      </c>
      <c r="S1577" s="6">
        <f>IFERROR(__xludf.DUMMYFUNCTION("rank(J1577,FILTER(J:J,R:R=R1577))"),12.0)</f>
        <v>12</v>
      </c>
      <c r="T1577" s="6">
        <f t="shared" si="6"/>
        <v>0</v>
      </c>
      <c r="U1577" s="6">
        <f t="shared" si="7"/>
        <v>12</v>
      </c>
      <c r="V1577" s="42">
        <f>averageif(AllData!A:A,B1577,AllData!R:R)/vlookup(B1577,AllData!A:O,15,0)</f>
        <v>93.61128205</v>
      </c>
      <c r="W1577" s="6"/>
    </row>
    <row r="1578" ht="14.25" customHeight="1">
      <c r="A1578" s="6" t="str">
        <f t="shared" si="1"/>
        <v>2019Riley1</v>
      </c>
      <c r="B1578" s="59">
        <v>2019.0</v>
      </c>
      <c r="C1578" s="13" t="s">
        <v>67</v>
      </c>
      <c r="D1578" s="13" t="s">
        <v>129</v>
      </c>
      <c r="E1578" s="34"/>
      <c r="F1578" s="6"/>
      <c r="H1578" s="6"/>
      <c r="I1578" s="35" t="str">
        <f>IFERROR(IFERROR(IFERROR(VLOOKUP(B1578&amp;C1578&amp;Q1578,'New Weekly Paste'!A:M,10,0),VLOOKUP(B1578&amp;C1578&amp;Q1578,'New Weekly Paste'!B:O,6,0)),""),"")</f>
        <v>Pierson</v>
      </c>
      <c r="J1578" s="239">
        <f>IFERROR(IFERROR(VLOOKUP(B1578&amp;C1578&amp;Q1578,'New Weekly Paste'!A:M,8,0),VLOOKUP(B1578&amp;C1578&amp;Q1578,'New Weekly Paste'!B:O,10,0)),0)</f>
        <v>72.9</v>
      </c>
      <c r="K1578" s="239">
        <f>IFERROR(IFERROR(VLOOKUP(B1578&amp;I1578&amp;Q1578,'New Weekly Paste'!A:M,8,0),VLOOKUP(B1578&amp;I1578&amp;Q1578,'New Weekly Paste'!B:O,10,0)),0)</f>
        <v>120.66</v>
      </c>
      <c r="L1578" s="239">
        <f t="shared" si="25"/>
        <v>0</v>
      </c>
      <c r="M1578" s="36" t="str">
        <f t="shared" si="3"/>
        <v>Regular Season</v>
      </c>
      <c r="N1578" s="239" t="str">
        <f t="shared" si="26"/>
        <v>Pierson</v>
      </c>
      <c r="O1578" s="6">
        <f>VLOOKUP(D1578,'Mapped Opponent'!$G$4:$H$22,2,0)</f>
        <v>1</v>
      </c>
      <c r="P1578" s="6"/>
      <c r="Q1578" s="6" t="str">
        <f t="shared" si="4"/>
        <v>Week 1</v>
      </c>
      <c r="R1578" s="6" t="str">
        <f t="shared" si="5"/>
        <v>2019Week 1</v>
      </c>
      <c r="S1578" s="6">
        <f>IFERROR(__xludf.DUMMYFUNCTION("rank(J1578,FILTER(J:J,R:R=R1578))"),11.0)</f>
        <v>11</v>
      </c>
      <c r="T1578" s="6">
        <f t="shared" si="6"/>
        <v>1</v>
      </c>
      <c r="U1578" s="6">
        <f t="shared" si="7"/>
        <v>11</v>
      </c>
      <c r="V1578" s="42">
        <f>averageif(AllData!A:A,B1578,AllData!R:R)/vlookup(B1578,AllData!A:O,15,0)</f>
        <v>93.61128205</v>
      </c>
      <c r="W1578" s="6"/>
    </row>
    <row r="1579" ht="14.25" customHeight="1">
      <c r="A1579" s="6" t="str">
        <f t="shared" si="1"/>
        <v>2019Rooney/Jackson1</v>
      </c>
      <c r="B1579" s="59">
        <v>2019.0</v>
      </c>
      <c r="C1579" s="13" t="s">
        <v>57</v>
      </c>
      <c r="D1579" s="13" t="s">
        <v>129</v>
      </c>
      <c r="E1579" s="34"/>
      <c r="F1579" s="6"/>
      <c r="H1579" s="6"/>
      <c r="I1579" s="35" t="str">
        <f>IFERROR(IFERROR(IFERROR(VLOOKUP(B1579&amp;C1579&amp;Q1579,'New Weekly Paste'!A:M,10,0),VLOOKUP(B1579&amp;C1579&amp;Q1579,'New Weekly Paste'!B:O,6,0)),""),"")</f>
        <v>T-How</v>
      </c>
      <c r="J1579" s="239">
        <f>IFERROR(IFERROR(VLOOKUP(B1579&amp;C1579&amp;Q1579,'New Weekly Paste'!A:M,8,0),VLOOKUP(B1579&amp;C1579&amp;Q1579,'New Weekly Paste'!B:O,10,0)),0)</f>
        <v>97.72</v>
      </c>
      <c r="K1579" s="239">
        <f>IFERROR(IFERROR(VLOOKUP(B1579&amp;I1579&amp;Q1579,'New Weekly Paste'!A:M,8,0),VLOOKUP(B1579&amp;I1579&amp;Q1579,'New Weekly Paste'!B:O,10,0)),0)</f>
        <v>95.94</v>
      </c>
      <c r="L1579" s="239">
        <f t="shared" si="25"/>
        <v>1</v>
      </c>
      <c r="M1579" s="36" t="str">
        <f t="shared" si="3"/>
        <v>Regular Season</v>
      </c>
      <c r="N1579" s="239" t="str">
        <f t="shared" si="26"/>
        <v>T-How</v>
      </c>
      <c r="O1579" s="6">
        <f>VLOOKUP(D1579,'Mapped Opponent'!$G$4:$H$22,2,0)</f>
        <v>1</v>
      </c>
      <c r="P1579" s="6"/>
      <c r="Q1579" s="6" t="str">
        <f t="shared" si="4"/>
        <v>Week 1</v>
      </c>
      <c r="R1579" s="6" t="str">
        <f t="shared" si="5"/>
        <v>2019Week 1</v>
      </c>
      <c r="S1579" s="6">
        <f>IFERROR(__xludf.DUMMYFUNCTION("rank(J1579,FILTER(J:J,R:R=R1579))"),8.0)</f>
        <v>8</v>
      </c>
      <c r="T1579" s="6">
        <f t="shared" si="6"/>
        <v>4</v>
      </c>
      <c r="U1579" s="6">
        <f t="shared" si="7"/>
        <v>8</v>
      </c>
      <c r="V1579" s="42">
        <f>averageif(AllData!A:A,B1579,AllData!R:R)/vlookup(B1579,AllData!A:O,15,0)</f>
        <v>93.61128205</v>
      </c>
      <c r="W1579" s="6"/>
    </row>
    <row r="1580" ht="14.25" customHeight="1">
      <c r="A1580" s="6" t="str">
        <f t="shared" si="1"/>
        <v>2019Buser1</v>
      </c>
      <c r="B1580" s="59">
        <v>2019.0</v>
      </c>
      <c r="C1580" s="13" t="s">
        <v>47</v>
      </c>
      <c r="D1580" s="13" t="s">
        <v>129</v>
      </c>
      <c r="E1580" s="34"/>
      <c r="F1580" s="6"/>
      <c r="H1580" s="6"/>
      <c r="I1580" s="35" t="str">
        <f>IFERROR(IFERROR(IFERROR(VLOOKUP(B1580&amp;C1580&amp;Q1580,'New Weekly Paste'!A:M,10,0),VLOOKUP(B1580&amp;C1580&amp;Q1580,'New Weekly Paste'!B:O,6,0)),""),"")</f>
        <v>Tayski</v>
      </c>
      <c r="J1580" s="239">
        <f>IFERROR(IFERROR(VLOOKUP(B1580&amp;C1580&amp;Q1580,'New Weekly Paste'!A:M,8,0),VLOOKUP(B1580&amp;C1580&amp;Q1580,'New Weekly Paste'!B:O,10,0)),0)</f>
        <v>133.7</v>
      </c>
      <c r="K1580" s="239">
        <f>IFERROR(IFERROR(VLOOKUP(B1580&amp;I1580&amp;Q1580,'New Weekly Paste'!A:M,8,0),VLOOKUP(B1580&amp;I1580&amp;Q1580,'New Weekly Paste'!B:O,10,0)),0)</f>
        <v>96.52</v>
      </c>
      <c r="L1580" s="239">
        <f t="shared" si="25"/>
        <v>1</v>
      </c>
      <c r="M1580" s="36" t="str">
        <f t="shared" si="3"/>
        <v>Regular Season</v>
      </c>
      <c r="N1580" s="239" t="str">
        <f t="shared" si="26"/>
        <v>Tayski</v>
      </c>
      <c r="O1580" s="6">
        <f>VLOOKUP(D1580,'Mapped Opponent'!$G$4:$H$22,2,0)</f>
        <v>1</v>
      </c>
      <c r="P1580" s="6"/>
      <c r="Q1580" s="6" t="str">
        <f t="shared" si="4"/>
        <v>Week 1</v>
      </c>
      <c r="R1580" s="6" t="str">
        <f t="shared" si="5"/>
        <v>2019Week 1</v>
      </c>
      <c r="S1580" s="6">
        <f>IFERROR(__xludf.DUMMYFUNCTION("rank(J1580,FILTER(J:J,R:R=R1580))"),2.0)</f>
        <v>2</v>
      </c>
      <c r="T1580" s="6">
        <f t="shared" si="6"/>
        <v>10</v>
      </c>
      <c r="U1580" s="6">
        <f t="shared" si="7"/>
        <v>2</v>
      </c>
      <c r="V1580" s="42">
        <f>averageif(AllData!A:A,B1580,AllData!R:R)/vlookup(B1580,AllData!A:O,15,0)</f>
        <v>93.61128205</v>
      </c>
      <c r="W1580" s="6"/>
    </row>
    <row r="1581" ht="14.25" customHeight="1">
      <c r="A1581" s="6" t="str">
        <f t="shared" si="1"/>
        <v>2019Pierson1</v>
      </c>
      <c r="B1581" s="59">
        <v>2019.0</v>
      </c>
      <c r="C1581" s="13" t="s">
        <v>92</v>
      </c>
      <c r="D1581" s="13" t="s">
        <v>129</v>
      </c>
      <c r="E1581" s="34"/>
      <c r="F1581" s="6"/>
      <c r="H1581" s="6"/>
      <c r="I1581" s="35" t="str">
        <f>IFERROR(IFERROR(IFERROR(VLOOKUP(B1581&amp;C1581&amp;Q1581,'New Weekly Paste'!A:M,10,0),VLOOKUP(B1581&amp;C1581&amp;Q1581,'New Weekly Paste'!B:O,6,0)),""),"")</f>
        <v>Riley</v>
      </c>
      <c r="J1581" s="239">
        <f>IFERROR(IFERROR(VLOOKUP(B1581&amp;C1581&amp;Q1581,'New Weekly Paste'!A:M,8,0),VLOOKUP(B1581&amp;C1581&amp;Q1581,'New Weekly Paste'!B:O,10,0)),0)</f>
        <v>120.66</v>
      </c>
      <c r="K1581" s="239">
        <f>IFERROR(IFERROR(VLOOKUP(B1581&amp;I1581&amp;Q1581,'New Weekly Paste'!A:M,8,0),VLOOKUP(B1581&amp;I1581&amp;Q1581,'New Weekly Paste'!B:O,10,0)),0)</f>
        <v>72.9</v>
      </c>
      <c r="L1581" s="239">
        <f t="shared" si="25"/>
        <v>1</v>
      </c>
      <c r="M1581" s="36" t="str">
        <f t="shared" si="3"/>
        <v>Regular Season</v>
      </c>
      <c r="N1581" s="239" t="str">
        <f t="shared" si="26"/>
        <v>Riley</v>
      </c>
      <c r="O1581" s="6">
        <f>VLOOKUP(D1581,'Mapped Opponent'!$G$4:$H$22,2,0)</f>
        <v>1</v>
      </c>
      <c r="P1581" s="6"/>
      <c r="Q1581" s="6" t="str">
        <f t="shared" si="4"/>
        <v>Week 1</v>
      </c>
      <c r="R1581" s="6" t="str">
        <f t="shared" si="5"/>
        <v>2019Week 1</v>
      </c>
      <c r="S1581" s="6">
        <f>IFERROR(__xludf.DUMMYFUNCTION("rank(J1581,FILTER(J:J,R:R=R1581))"),4.0)</f>
        <v>4</v>
      </c>
      <c r="T1581" s="6">
        <f t="shared" si="6"/>
        <v>8</v>
      </c>
      <c r="U1581" s="6">
        <f t="shared" si="7"/>
        <v>4</v>
      </c>
      <c r="V1581" s="42">
        <f>averageif(AllData!A:A,B1581,AllData!R:R)/vlookup(B1581,AllData!A:O,15,0)</f>
        <v>93.61128205</v>
      </c>
      <c r="W1581" s="6"/>
    </row>
    <row r="1582" ht="14.25" customHeight="1">
      <c r="A1582" s="6" t="str">
        <f t="shared" si="1"/>
        <v>2019Cock1</v>
      </c>
      <c r="B1582" s="59">
        <v>2019.0</v>
      </c>
      <c r="C1582" s="13" t="s">
        <v>72</v>
      </c>
      <c r="D1582" s="13" t="s">
        <v>129</v>
      </c>
      <c r="E1582" s="34"/>
      <c r="F1582" s="6"/>
      <c r="H1582" s="6"/>
      <c r="I1582" s="35" t="str">
        <f>IFERROR(IFERROR(IFERROR(VLOOKUP(B1582&amp;C1582&amp;Q1582,'New Weekly Paste'!A:M,10,0),VLOOKUP(B1582&amp;C1582&amp;Q1582,'New Weekly Paste'!B:O,6,0)),""),"")</f>
        <v>KnardDawg</v>
      </c>
      <c r="J1582" s="239">
        <f>IFERROR(IFERROR(VLOOKUP(B1582&amp;C1582&amp;Q1582,'New Weekly Paste'!A:M,8,0),VLOOKUP(B1582&amp;C1582&amp;Q1582,'New Weekly Paste'!B:O,10,0)),0)</f>
        <v>141.84</v>
      </c>
      <c r="K1582" s="239">
        <f>IFERROR(IFERROR(VLOOKUP(B1582&amp;I1582&amp;Q1582,'New Weekly Paste'!A:M,8,0),VLOOKUP(B1582&amp;I1582&amp;Q1582,'New Weekly Paste'!B:O,10,0)),0)</f>
        <v>108.22</v>
      </c>
      <c r="L1582" s="239">
        <f t="shared" si="25"/>
        <v>1</v>
      </c>
      <c r="M1582" s="36" t="str">
        <f t="shared" si="3"/>
        <v>Regular Season</v>
      </c>
      <c r="N1582" s="239" t="str">
        <f t="shared" si="26"/>
        <v>KnardDawg</v>
      </c>
      <c r="O1582" s="6">
        <f>VLOOKUP(D1582,'Mapped Opponent'!$G$4:$H$22,2,0)</f>
        <v>1</v>
      </c>
      <c r="P1582" s="6"/>
      <c r="Q1582" s="6" t="str">
        <f t="shared" si="4"/>
        <v>Week 1</v>
      </c>
      <c r="R1582" s="6" t="str">
        <f t="shared" si="5"/>
        <v>2019Week 1</v>
      </c>
      <c r="S1582" s="6">
        <f>IFERROR(__xludf.DUMMYFUNCTION("rank(J1582,FILTER(J:J,R:R=R1582))"),1.0)</f>
        <v>1</v>
      </c>
      <c r="T1582" s="6">
        <f t="shared" si="6"/>
        <v>11</v>
      </c>
      <c r="U1582" s="6">
        <f t="shared" si="7"/>
        <v>1</v>
      </c>
      <c r="V1582" s="42">
        <f>averageif(AllData!A:A,B1582,AllData!R:R)/vlookup(B1582,AllData!A:O,15,0)</f>
        <v>93.61128205</v>
      </c>
      <c r="W1582" s="6"/>
    </row>
    <row r="1583" ht="14.25" customHeight="1">
      <c r="A1583" s="6" t="str">
        <f t="shared" si="1"/>
        <v>2019Tayski1</v>
      </c>
      <c r="B1583" s="59">
        <v>2019.0</v>
      </c>
      <c r="C1583" s="13" t="s">
        <v>52</v>
      </c>
      <c r="D1583" s="13" t="s">
        <v>129</v>
      </c>
      <c r="E1583" s="34"/>
      <c r="F1583" s="6"/>
      <c r="H1583" s="6"/>
      <c r="I1583" s="35" t="str">
        <f>IFERROR(IFERROR(IFERROR(VLOOKUP(B1583&amp;C1583&amp;Q1583,'New Weekly Paste'!A:M,10,0),VLOOKUP(B1583&amp;C1583&amp;Q1583,'New Weekly Paste'!B:O,6,0)),""),"")</f>
        <v>Buser</v>
      </c>
      <c r="J1583" s="239">
        <f>IFERROR(IFERROR(VLOOKUP(B1583&amp;C1583&amp;Q1583,'New Weekly Paste'!A:M,8,0),VLOOKUP(B1583&amp;C1583&amp;Q1583,'New Weekly Paste'!B:O,10,0)),0)</f>
        <v>96.52</v>
      </c>
      <c r="K1583" s="239">
        <f>IFERROR(IFERROR(VLOOKUP(B1583&amp;I1583&amp;Q1583,'New Weekly Paste'!A:M,8,0),VLOOKUP(B1583&amp;I1583&amp;Q1583,'New Weekly Paste'!B:O,10,0)),0)</f>
        <v>133.7</v>
      </c>
      <c r="L1583" s="239">
        <f t="shared" si="25"/>
        <v>0</v>
      </c>
      <c r="M1583" s="36" t="str">
        <f t="shared" si="3"/>
        <v>Regular Season</v>
      </c>
      <c r="N1583" s="239" t="str">
        <f t="shared" si="26"/>
        <v>Buser</v>
      </c>
      <c r="O1583" s="6">
        <f>VLOOKUP(D1583,'Mapped Opponent'!$G$4:$H$22,2,0)</f>
        <v>1</v>
      </c>
      <c r="P1583" s="6"/>
      <c r="Q1583" s="6" t="str">
        <f t="shared" si="4"/>
        <v>Week 1</v>
      </c>
      <c r="R1583" s="6" t="str">
        <f t="shared" si="5"/>
        <v>2019Week 1</v>
      </c>
      <c r="S1583" s="6">
        <f>IFERROR(__xludf.DUMMYFUNCTION("rank(J1583,FILTER(J:J,R:R=R1583))"),9.0)</f>
        <v>9</v>
      </c>
      <c r="T1583" s="6">
        <f t="shared" si="6"/>
        <v>3</v>
      </c>
      <c r="U1583" s="6">
        <f t="shared" si="7"/>
        <v>9</v>
      </c>
      <c r="V1583" s="42">
        <f>averageif(AllData!A:A,B1583,AllData!R:R)/vlookup(B1583,AllData!A:O,15,0)</f>
        <v>93.61128205</v>
      </c>
      <c r="W1583" s="6"/>
    </row>
    <row r="1584" ht="14.25" customHeight="1">
      <c r="A1584" s="6" t="str">
        <f t="shared" si="1"/>
        <v>2019KnardDawg1</v>
      </c>
      <c r="B1584" s="59">
        <v>2019.0</v>
      </c>
      <c r="C1584" s="13" t="s">
        <v>86</v>
      </c>
      <c r="D1584" s="13" t="s">
        <v>129</v>
      </c>
      <c r="E1584" s="34"/>
      <c r="F1584" s="6"/>
      <c r="H1584" s="6"/>
      <c r="I1584" s="35" t="str">
        <f>IFERROR(IFERROR(IFERROR(VLOOKUP(B1584&amp;C1584&amp;Q1584,'New Weekly Paste'!A:M,10,0),VLOOKUP(B1584&amp;C1584&amp;Q1584,'New Weekly Paste'!B:O,6,0)),""),"")</f>
        <v>Cock</v>
      </c>
      <c r="J1584" s="239">
        <f>IFERROR(IFERROR(VLOOKUP(B1584&amp;C1584&amp;Q1584,'New Weekly Paste'!A:M,8,0),VLOOKUP(B1584&amp;C1584&amp;Q1584,'New Weekly Paste'!B:O,10,0)),0)</f>
        <v>108.22</v>
      </c>
      <c r="K1584" s="239">
        <f>IFERROR(IFERROR(VLOOKUP(B1584&amp;I1584&amp;Q1584,'New Weekly Paste'!A:M,8,0),VLOOKUP(B1584&amp;I1584&amp;Q1584,'New Weekly Paste'!B:O,10,0)),0)</f>
        <v>141.84</v>
      </c>
      <c r="L1584" s="239">
        <f t="shared" si="25"/>
        <v>0</v>
      </c>
      <c r="M1584" s="36" t="str">
        <f t="shared" si="3"/>
        <v>Regular Season</v>
      </c>
      <c r="N1584" s="239" t="str">
        <f t="shared" si="26"/>
        <v>Cock</v>
      </c>
      <c r="O1584" s="6">
        <f>VLOOKUP(D1584,'Mapped Opponent'!$G$4:$H$22,2,0)</f>
        <v>1</v>
      </c>
      <c r="P1584" s="6"/>
      <c r="Q1584" s="6" t="str">
        <f t="shared" si="4"/>
        <v>Week 1</v>
      </c>
      <c r="R1584" s="6" t="str">
        <f t="shared" si="5"/>
        <v>2019Week 1</v>
      </c>
      <c r="S1584" s="6">
        <f>IFERROR(__xludf.DUMMYFUNCTION("rank(J1584,FILTER(J:J,R:R=R1584))"),6.0)</f>
        <v>6</v>
      </c>
      <c r="T1584" s="6">
        <f t="shared" si="6"/>
        <v>6</v>
      </c>
      <c r="U1584" s="6">
        <f t="shared" si="7"/>
        <v>6</v>
      </c>
      <c r="V1584" s="42">
        <f>averageif(AllData!A:A,B1584,AllData!R:R)/vlookup(B1584,AllData!A:O,15,0)</f>
        <v>93.61128205</v>
      </c>
      <c r="W1584" s="6"/>
    </row>
    <row r="1585" ht="14.25" customHeight="1">
      <c r="A1585" s="6" t="str">
        <f t="shared" si="1"/>
        <v>2019T-How1</v>
      </c>
      <c r="B1585" s="59">
        <v>2019.0</v>
      </c>
      <c r="C1585" s="13" t="s">
        <v>82</v>
      </c>
      <c r="D1585" s="13" t="s">
        <v>129</v>
      </c>
      <c r="E1585" s="34"/>
      <c r="F1585" s="6"/>
      <c r="H1585" s="6"/>
      <c r="I1585" s="35" t="str">
        <f>IFERROR(IFERROR(IFERROR(VLOOKUP(B1585&amp;C1585&amp;Q1585,'New Weekly Paste'!A:M,10,0),VLOOKUP(B1585&amp;C1585&amp;Q1585,'New Weekly Paste'!B:O,6,0)),""),"")</f>
        <v>Rooney/Jackson</v>
      </c>
      <c r="J1585" s="239">
        <f>IFERROR(IFERROR(VLOOKUP(B1585&amp;C1585&amp;Q1585,'New Weekly Paste'!A:M,8,0),VLOOKUP(B1585&amp;C1585&amp;Q1585,'New Weekly Paste'!B:O,10,0)),0)</f>
        <v>95.94</v>
      </c>
      <c r="K1585" s="239">
        <f>IFERROR(IFERROR(VLOOKUP(B1585&amp;I1585&amp;Q1585,'New Weekly Paste'!A:M,8,0),VLOOKUP(B1585&amp;I1585&amp;Q1585,'New Weekly Paste'!B:O,10,0)),0)</f>
        <v>97.72</v>
      </c>
      <c r="L1585" s="239">
        <f t="shared" si="25"/>
        <v>0</v>
      </c>
      <c r="M1585" s="36" t="str">
        <f t="shared" si="3"/>
        <v>Regular Season</v>
      </c>
      <c r="N1585" s="239" t="str">
        <f t="shared" si="26"/>
        <v>Rooney/Jackson</v>
      </c>
      <c r="O1585" s="6">
        <f>VLOOKUP(D1585,'Mapped Opponent'!$G$4:$H$22,2,0)</f>
        <v>1</v>
      </c>
      <c r="P1585" s="6"/>
      <c r="Q1585" s="6" t="str">
        <f t="shared" si="4"/>
        <v>Week 1</v>
      </c>
      <c r="R1585" s="6" t="str">
        <f t="shared" si="5"/>
        <v>2019Week 1</v>
      </c>
      <c r="S1585" s="6">
        <f>IFERROR(__xludf.DUMMYFUNCTION("rank(J1585,FILTER(J:J,R:R=R1585))"),10.0)</f>
        <v>10</v>
      </c>
      <c r="T1585" s="6">
        <f t="shared" si="6"/>
        <v>2</v>
      </c>
      <c r="U1585" s="6">
        <f t="shared" si="7"/>
        <v>10</v>
      </c>
      <c r="V1585" s="42">
        <f>averageif(AllData!A:A,B1585,AllData!R:R)/vlookup(B1585,AllData!A:O,15,0)</f>
        <v>93.61128205</v>
      </c>
      <c r="W1585" s="6"/>
    </row>
    <row r="1586" ht="14.25" customHeight="1">
      <c r="A1586" s="6" t="str">
        <f t="shared" si="1"/>
        <v>2019Hudspeath10</v>
      </c>
      <c r="B1586" s="59">
        <v>2019.0</v>
      </c>
      <c r="C1586" s="13" t="s">
        <v>39</v>
      </c>
      <c r="D1586" s="13" t="s">
        <v>149</v>
      </c>
      <c r="E1586" s="34"/>
      <c r="F1586" s="6"/>
      <c r="H1586" s="6"/>
      <c r="I1586" s="35" t="str">
        <f>IFERROR(IFERROR(IFERROR(VLOOKUP(B1586&amp;C1586&amp;Q1586,'New Weekly Paste'!A:M,10,0),VLOOKUP(B1586&amp;C1586&amp;Q1586,'New Weekly Paste'!B:O,6,0)),""),"")</f>
        <v>Cock</v>
      </c>
      <c r="J1586" s="239">
        <f>IFERROR(IFERROR(VLOOKUP(B1586&amp;C1586&amp;Q1586,'New Weekly Paste'!A:M,8,0),VLOOKUP(B1586&amp;C1586&amp;Q1586,'New Weekly Paste'!B:O,10,0)),0)</f>
        <v>73.82</v>
      </c>
      <c r="K1586" s="239">
        <f>IFERROR(IFERROR(VLOOKUP(B1586&amp;I1586&amp;Q1586,'New Weekly Paste'!A:M,8,0),VLOOKUP(B1586&amp;I1586&amp;Q1586,'New Weekly Paste'!B:O,10,0)),0)</f>
        <v>86.7</v>
      </c>
      <c r="L1586" s="239">
        <f t="shared" si="25"/>
        <v>0</v>
      </c>
      <c r="M1586" s="36" t="str">
        <f t="shared" si="3"/>
        <v>Regular Season</v>
      </c>
      <c r="N1586" s="239" t="str">
        <f t="shared" si="26"/>
        <v>Cock</v>
      </c>
      <c r="O1586" s="6">
        <f>VLOOKUP(D1586,'Mapped Opponent'!$G$4:$H$22,2,0)</f>
        <v>10</v>
      </c>
      <c r="P1586" s="6"/>
      <c r="Q1586" s="6" t="str">
        <f t="shared" si="4"/>
        <v>Week 10</v>
      </c>
      <c r="R1586" s="6" t="str">
        <f t="shared" si="5"/>
        <v>2019Week 10</v>
      </c>
      <c r="S1586" s="6">
        <f>IFERROR(__xludf.DUMMYFUNCTION("rank(J1586,FILTER(J:J,R:R=R1586))"),9.0)</f>
        <v>9</v>
      </c>
      <c r="T1586" s="6">
        <f t="shared" si="6"/>
        <v>3</v>
      </c>
      <c r="U1586" s="6">
        <f t="shared" si="7"/>
        <v>9</v>
      </c>
      <c r="V1586" s="42">
        <f>averageif(AllData!A:A,B1586,AllData!R:R)/vlookup(B1586,AllData!A:O,15,0)</f>
        <v>93.61128205</v>
      </c>
      <c r="W1586" s="6"/>
    </row>
    <row r="1587" ht="14.25" customHeight="1">
      <c r="A1587" s="6" t="str">
        <f t="shared" si="1"/>
        <v>2019Salty10</v>
      </c>
      <c r="B1587" s="59">
        <v>2019.0</v>
      </c>
      <c r="C1587" s="13" t="s">
        <v>76</v>
      </c>
      <c r="D1587" s="13" t="s">
        <v>149</v>
      </c>
      <c r="E1587" s="34"/>
      <c r="F1587" s="6"/>
      <c r="H1587" s="6"/>
      <c r="I1587" s="35" t="str">
        <f>IFERROR(IFERROR(IFERROR(VLOOKUP(B1587&amp;C1587&amp;Q1587,'New Weekly Paste'!A:M,10,0),VLOOKUP(B1587&amp;C1587&amp;Q1587,'New Weekly Paste'!B:O,6,0)),""),"")</f>
        <v>Buser</v>
      </c>
      <c r="J1587" s="239">
        <f>IFERROR(IFERROR(VLOOKUP(B1587&amp;C1587&amp;Q1587,'New Weekly Paste'!A:M,8,0),VLOOKUP(B1587&amp;C1587&amp;Q1587,'New Weekly Paste'!B:O,10,0)),0)</f>
        <v>105.22</v>
      </c>
      <c r="K1587" s="239">
        <f>IFERROR(IFERROR(VLOOKUP(B1587&amp;I1587&amp;Q1587,'New Weekly Paste'!A:M,8,0),VLOOKUP(B1587&amp;I1587&amp;Q1587,'New Weekly Paste'!B:O,10,0)),0)</f>
        <v>88.68</v>
      </c>
      <c r="L1587" s="239">
        <f t="shared" si="25"/>
        <v>1</v>
      </c>
      <c r="M1587" s="36" t="str">
        <f t="shared" si="3"/>
        <v>Regular Season</v>
      </c>
      <c r="N1587" s="239" t="str">
        <f t="shared" si="26"/>
        <v>Buser</v>
      </c>
      <c r="O1587" s="6">
        <f>VLOOKUP(D1587,'Mapped Opponent'!$G$4:$H$22,2,0)</f>
        <v>10</v>
      </c>
      <c r="P1587" s="6"/>
      <c r="Q1587" s="6" t="str">
        <f t="shared" si="4"/>
        <v>Week 10</v>
      </c>
      <c r="R1587" s="6" t="str">
        <f t="shared" si="5"/>
        <v>2019Week 10</v>
      </c>
      <c r="S1587" s="6">
        <f>IFERROR(__xludf.DUMMYFUNCTION("rank(J1587,FILTER(J:J,R:R=R1587))"),5.0)</f>
        <v>5</v>
      </c>
      <c r="T1587" s="6">
        <f t="shared" si="6"/>
        <v>7</v>
      </c>
      <c r="U1587" s="6">
        <f t="shared" si="7"/>
        <v>5</v>
      </c>
      <c r="V1587" s="42">
        <f>averageif(AllData!A:A,B1587,AllData!R:R)/vlookup(B1587,AllData!A:O,15,0)</f>
        <v>93.61128205</v>
      </c>
      <c r="W1587" s="6"/>
    </row>
    <row r="1588" ht="14.25" customHeight="1">
      <c r="A1588" s="6" t="str">
        <f t="shared" si="1"/>
        <v>2019Fellows10</v>
      </c>
      <c r="B1588" s="59">
        <v>2019.0</v>
      </c>
      <c r="C1588" s="13" t="s">
        <v>79</v>
      </c>
      <c r="D1588" s="13" t="s">
        <v>149</v>
      </c>
      <c r="E1588" s="34"/>
      <c r="F1588" s="6"/>
      <c r="H1588" s="6"/>
      <c r="I1588" s="35" t="str">
        <f>IFERROR(IFERROR(IFERROR(VLOOKUP(B1588&amp;C1588&amp;Q1588,'New Weekly Paste'!A:M,10,0),VLOOKUP(B1588&amp;C1588&amp;Q1588,'New Weekly Paste'!B:O,6,0)),""),"")</f>
        <v>Riley</v>
      </c>
      <c r="J1588" s="239">
        <f>IFERROR(IFERROR(VLOOKUP(B1588&amp;C1588&amp;Q1588,'New Weekly Paste'!A:M,8,0),VLOOKUP(B1588&amp;C1588&amp;Q1588,'New Weekly Paste'!B:O,10,0)),0)</f>
        <v>96.58</v>
      </c>
      <c r="K1588" s="239">
        <f>IFERROR(IFERROR(VLOOKUP(B1588&amp;I1588&amp;Q1588,'New Weekly Paste'!A:M,8,0),VLOOKUP(B1588&amp;I1588&amp;Q1588,'New Weekly Paste'!B:O,10,0)),0)</f>
        <v>124.56</v>
      </c>
      <c r="L1588" s="239">
        <f t="shared" si="25"/>
        <v>0</v>
      </c>
      <c r="M1588" s="36" t="str">
        <f t="shared" si="3"/>
        <v>Regular Season</v>
      </c>
      <c r="N1588" s="239" t="str">
        <f t="shared" si="26"/>
        <v>Riley</v>
      </c>
      <c r="O1588" s="6">
        <f>VLOOKUP(D1588,'Mapped Opponent'!$G$4:$H$22,2,0)</f>
        <v>10</v>
      </c>
      <c r="P1588" s="6"/>
      <c r="Q1588" s="6" t="str">
        <f t="shared" si="4"/>
        <v>Week 10</v>
      </c>
      <c r="R1588" s="6" t="str">
        <f t="shared" si="5"/>
        <v>2019Week 10</v>
      </c>
      <c r="S1588" s="6">
        <f>IFERROR(__xludf.DUMMYFUNCTION("rank(J1588,FILTER(J:J,R:R=R1588))"),6.0)</f>
        <v>6</v>
      </c>
      <c r="T1588" s="6">
        <f t="shared" si="6"/>
        <v>6</v>
      </c>
      <c r="U1588" s="6">
        <f t="shared" si="7"/>
        <v>6</v>
      </c>
      <c r="V1588" s="42">
        <f>averageif(AllData!A:A,B1588,AllData!R:R)/vlookup(B1588,AllData!A:O,15,0)</f>
        <v>93.61128205</v>
      </c>
      <c r="W1588" s="6"/>
    </row>
    <row r="1589" ht="14.25" customHeight="1">
      <c r="A1589" s="6" t="str">
        <f t="shared" si="1"/>
        <v>2019Shep10</v>
      </c>
      <c r="B1589" s="59">
        <v>2019.0</v>
      </c>
      <c r="C1589" s="13" t="s">
        <v>89</v>
      </c>
      <c r="D1589" s="13" t="s">
        <v>149</v>
      </c>
      <c r="E1589" s="34"/>
      <c r="F1589" s="6"/>
      <c r="H1589" s="6"/>
      <c r="I1589" s="35" t="str">
        <f>IFERROR(IFERROR(IFERROR(VLOOKUP(B1589&amp;C1589&amp;Q1589,'New Weekly Paste'!A:M,10,0),VLOOKUP(B1589&amp;C1589&amp;Q1589,'New Weekly Paste'!B:O,6,0)),""),"")</f>
        <v>Rooney/Jackson</v>
      </c>
      <c r="J1589" s="239">
        <f>IFERROR(IFERROR(VLOOKUP(B1589&amp;C1589&amp;Q1589,'New Weekly Paste'!A:M,8,0),VLOOKUP(B1589&amp;C1589&amp;Q1589,'New Weekly Paste'!B:O,10,0)),0)</f>
        <v>57.28</v>
      </c>
      <c r="K1589" s="239">
        <f>IFERROR(IFERROR(VLOOKUP(B1589&amp;I1589&amp;Q1589,'New Weekly Paste'!A:M,8,0),VLOOKUP(B1589&amp;I1589&amp;Q1589,'New Weekly Paste'!B:O,10,0)),0)</f>
        <v>112.14</v>
      </c>
      <c r="L1589" s="239">
        <f t="shared" si="25"/>
        <v>0</v>
      </c>
      <c r="M1589" s="36" t="str">
        <f t="shared" si="3"/>
        <v>Regular Season</v>
      </c>
      <c r="N1589" s="239" t="str">
        <f t="shared" si="26"/>
        <v>Rooney/Jackson</v>
      </c>
      <c r="O1589" s="6">
        <f>VLOOKUP(D1589,'Mapped Opponent'!$G$4:$H$22,2,0)</f>
        <v>10</v>
      </c>
      <c r="P1589" s="6"/>
      <c r="Q1589" s="6" t="str">
        <f t="shared" si="4"/>
        <v>Week 10</v>
      </c>
      <c r="R1589" s="6" t="str">
        <f t="shared" si="5"/>
        <v>2019Week 10</v>
      </c>
      <c r="S1589" s="6">
        <f>IFERROR(__xludf.DUMMYFUNCTION("rank(J1589,FILTER(J:J,R:R=R1589))"),12.0)</f>
        <v>12</v>
      </c>
      <c r="T1589" s="6">
        <f t="shared" si="6"/>
        <v>0</v>
      </c>
      <c r="U1589" s="6">
        <f t="shared" si="7"/>
        <v>12</v>
      </c>
      <c r="V1589" s="42">
        <f>averageif(AllData!A:A,B1589,AllData!R:R)/vlookup(B1589,AllData!A:O,15,0)</f>
        <v>93.61128205</v>
      </c>
      <c r="W1589" s="6"/>
    </row>
    <row r="1590" ht="14.25" customHeight="1">
      <c r="A1590" s="6" t="str">
        <f t="shared" si="1"/>
        <v>2019Riley10</v>
      </c>
      <c r="B1590" s="59">
        <v>2019.0</v>
      </c>
      <c r="C1590" s="13" t="s">
        <v>67</v>
      </c>
      <c r="D1590" s="13" t="s">
        <v>149</v>
      </c>
      <c r="E1590" s="34"/>
      <c r="F1590" s="6"/>
      <c r="H1590" s="6"/>
      <c r="I1590" s="35" t="str">
        <f>IFERROR(IFERROR(IFERROR(VLOOKUP(B1590&amp;C1590&amp;Q1590,'New Weekly Paste'!A:M,10,0),VLOOKUP(B1590&amp;C1590&amp;Q1590,'New Weekly Paste'!B:O,6,0)),""),"")</f>
        <v>Fellows</v>
      </c>
      <c r="J1590" s="239">
        <f>IFERROR(IFERROR(VLOOKUP(B1590&amp;C1590&amp;Q1590,'New Weekly Paste'!A:M,8,0),VLOOKUP(B1590&amp;C1590&amp;Q1590,'New Weekly Paste'!B:O,10,0)),0)</f>
        <v>124.56</v>
      </c>
      <c r="K1590" s="239">
        <f>IFERROR(IFERROR(VLOOKUP(B1590&amp;I1590&amp;Q1590,'New Weekly Paste'!A:M,8,0),VLOOKUP(B1590&amp;I1590&amp;Q1590,'New Weekly Paste'!B:O,10,0)),0)</f>
        <v>96.58</v>
      </c>
      <c r="L1590" s="239">
        <f t="shared" si="25"/>
        <v>1</v>
      </c>
      <c r="M1590" s="36" t="str">
        <f t="shared" si="3"/>
        <v>Regular Season</v>
      </c>
      <c r="N1590" s="239" t="str">
        <f t="shared" si="26"/>
        <v>Fellows</v>
      </c>
      <c r="O1590" s="6">
        <f>VLOOKUP(D1590,'Mapped Opponent'!$G$4:$H$22,2,0)</f>
        <v>10</v>
      </c>
      <c r="P1590" s="6"/>
      <c r="Q1590" s="6" t="str">
        <f t="shared" si="4"/>
        <v>Week 10</v>
      </c>
      <c r="R1590" s="6" t="str">
        <f t="shared" si="5"/>
        <v>2019Week 10</v>
      </c>
      <c r="S1590" s="6">
        <f>IFERROR(__xludf.DUMMYFUNCTION("rank(J1590,FILTER(J:J,R:R=R1590))"),1.0)</f>
        <v>1</v>
      </c>
      <c r="T1590" s="6">
        <f t="shared" si="6"/>
        <v>11</v>
      </c>
      <c r="U1590" s="6">
        <f t="shared" si="7"/>
        <v>1</v>
      </c>
      <c r="V1590" s="42">
        <f>averageif(AllData!A:A,B1590,AllData!R:R)/vlookup(B1590,AllData!A:O,15,0)</f>
        <v>93.61128205</v>
      </c>
      <c r="W1590" s="6"/>
    </row>
    <row r="1591" ht="14.25" customHeight="1">
      <c r="A1591" s="6" t="str">
        <f t="shared" si="1"/>
        <v>2019Rooney/Jackson10</v>
      </c>
      <c r="B1591" s="59">
        <v>2019.0</v>
      </c>
      <c r="C1591" s="13" t="s">
        <v>57</v>
      </c>
      <c r="D1591" s="13" t="s">
        <v>149</v>
      </c>
      <c r="E1591" s="34"/>
      <c r="F1591" s="6"/>
      <c r="H1591" s="6"/>
      <c r="I1591" s="35" t="str">
        <f>IFERROR(IFERROR(IFERROR(VLOOKUP(B1591&amp;C1591&amp;Q1591,'New Weekly Paste'!A:M,10,0),VLOOKUP(B1591&amp;C1591&amp;Q1591,'New Weekly Paste'!B:O,6,0)),""),"")</f>
        <v>Shep</v>
      </c>
      <c r="J1591" s="239">
        <f>IFERROR(IFERROR(VLOOKUP(B1591&amp;C1591&amp;Q1591,'New Weekly Paste'!A:M,8,0),VLOOKUP(B1591&amp;C1591&amp;Q1591,'New Weekly Paste'!B:O,10,0)),0)</f>
        <v>112.14</v>
      </c>
      <c r="K1591" s="239">
        <f>IFERROR(IFERROR(VLOOKUP(B1591&amp;I1591&amp;Q1591,'New Weekly Paste'!A:M,8,0),VLOOKUP(B1591&amp;I1591&amp;Q1591,'New Weekly Paste'!B:O,10,0)),0)</f>
        <v>57.28</v>
      </c>
      <c r="L1591" s="239">
        <f t="shared" si="25"/>
        <v>1</v>
      </c>
      <c r="M1591" s="36" t="str">
        <f t="shared" si="3"/>
        <v>Regular Season</v>
      </c>
      <c r="N1591" s="239" t="str">
        <f t="shared" si="26"/>
        <v>Shep</v>
      </c>
      <c r="O1591" s="6">
        <f>VLOOKUP(D1591,'Mapped Opponent'!$G$4:$H$22,2,0)</f>
        <v>10</v>
      </c>
      <c r="P1591" s="6"/>
      <c r="Q1591" s="6" t="str">
        <f t="shared" si="4"/>
        <v>Week 10</v>
      </c>
      <c r="R1591" s="6" t="str">
        <f t="shared" si="5"/>
        <v>2019Week 10</v>
      </c>
      <c r="S1591" s="6">
        <f>IFERROR(__xludf.DUMMYFUNCTION("rank(J1591,FILTER(J:J,R:R=R1591))"),4.0)</f>
        <v>4</v>
      </c>
      <c r="T1591" s="6">
        <f t="shared" si="6"/>
        <v>8</v>
      </c>
      <c r="U1591" s="6">
        <f t="shared" si="7"/>
        <v>4</v>
      </c>
      <c r="V1591" s="42">
        <f>averageif(AllData!A:A,B1591,AllData!R:R)/vlookup(B1591,AllData!A:O,15,0)</f>
        <v>93.61128205</v>
      </c>
      <c r="W1591" s="6"/>
    </row>
    <row r="1592" ht="14.25" customHeight="1">
      <c r="A1592" s="6" t="str">
        <f t="shared" si="1"/>
        <v>2019Buser10</v>
      </c>
      <c r="B1592" s="59">
        <v>2019.0</v>
      </c>
      <c r="C1592" s="13" t="s">
        <v>47</v>
      </c>
      <c r="D1592" s="13" t="s">
        <v>149</v>
      </c>
      <c r="E1592" s="34"/>
      <c r="F1592" s="6"/>
      <c r="H1592" s="6"/>
      <c r="I1592" s="35" t="str">
        <f>IFERROR(IFERROR(IFERROR(VLOOKUP(B1592&amp;C1592&amp;Q1592,'New Weekly Paste'!A:M,10,0),VLOOKUP(B1592&amp;C1592&amp;Q1592,'New Weekly Paste'!B:O,6,0)),""),"")</f>
        <v>Salty</v>
      </c>
      <c r="J1592" s="239">
        <f>IFERROR(IFERROR(VLOOKUP(B1592&amp;C1592&amp;Q1592,'New Weekly Paste'!A:M,8,0),VLOOKUP(B1592&amp;C1592&amp;Q1592,'New Weekly Paste'!B:O,10,0)),0)</f>
        <v>88.68</v>
      </c>
      <c r="K1592" s="239">
        <f>IFERROR(IFERROR(VLOOKUP(B1592&amp;I1592&amp;Q1592,'New Weekly Paste'!A:M,8,0),VLOOKUP(B1592&amp;I1592&amp;Q1592,'New Weekly Paste'!B:O,10,0)),0)</f>
        <v>105.22</v>
      </c>
      <c r="L1592" s="239">
        <f t="shared" si="25"/>
        <v>0</v>
      </c>
      <c r="M1592" s="36" t="str">
        <f t="shared" si="3"/>
        <v>Regular Season</v>
      </c>
      <c r="N1592" s="239" t="str">
        <f t="shared" si="26"/>
        <v>Salty</v>
      </c>
      <c r="O1592" s="6">
        <f>VLOOKUP(D1592,'Mapped Opponent'!$G$4:$H$22,2,0)</f>
        <v>10</v>
      </c>
      <c r="P1592" s="6"/>
      <c r="Q1592" s="6" t="str">
        <f t="shared" si="4"/>
        <v>Week 10</v>
      </c>
      <c r="R1592" s="6" t="str">
        <f t="shared" si="5"/>
        <v>2019Week 10</v>
      </c>
      <c r="S1592" s="6">
        <f>IFERROR(__xludf.DUMMYFUNCTION("rank(J1592,FILTER(J:J,R:R=R1592))"),7.0)</f>
        <v>7</v>
      </c>
      <c r="T1592" s="6">
        <f t="shared" si="6"/>
        <v>5</v>
      </c>
      <c r="U1592" s="6">
        <f t="shared" si="7"/>
        <v>7</v>
      </c>
      <c r="V1592" s="42">
        <f>averageif(AllData!A:A,B1592,AllData!R:R)/vlookup(B1592,AllData!A:O,15,0)</f>
        <v>93.61128205</v>
      </c>
      <c r="W1592" s="6"/>
    </row>
    <row r="1593" ht="14.25" customHeight="1">
      <c r="A1593" s="6" t="str">
        <f t="shared" si="1"/>
        <v>2019Pierson10</v>
      </c>
      <c r="B1593" s="59">
        <v>2019.0</v>
      </c>
      <c r="C1593" s="13" t="s">
        <v>92</v>
      </c>
      <c r="D1593" s="13" t="s">
        <v>149</v>
      </c>
      <c r="E1593" s="34"/>
      <c r="F1593" s="6"/>
      <c r="H1593" s="6"/>
      <c r="I1593" s="35" t="str">
        <f>IFERROR(IFERROR(IFERROR(VLOOKUP(B1593&amp;C1593&amp;Q1593,'New Weekly Paste'!A:M,10,0),VLOOKUP(B1593&amp;C1593&amp;Q1593,'New Weekly Paste'!B:O,6,0)),""),"")</f>
        <v>Tayski</v>
      </c>
      <c r="J1593" s="239">
        <f>IFERROR(IFERROR(VLOOKUP(B1593&amp;C1593&amp;Q1593,'New Weekly Paste'!A:M,8,0),VLOOKUP(B1593&amp;C1593&amp;Q1593,'New Weekly Paste'!B:O,10,0)),0)</f>
        <v>116.52</v>
      </c>
      <c r="K1593" s="239">
        <f>IFERROR(IFERROR(VLOOKUP(B1593&amp;I1593&amp;Q1593,'New Weekly Paste'!A:M,8,0),VLOOKUP(B1593&amp;I1593&amp;Q1593,'New Weekly Paste'!B:O,10,0)),0)</f>
        <v>71.68</v>
      </c>
      <c r="L1593" s="239">
        <f t="shared" si="25"/>
        <v>1</v>
      </c>
      <c r="M1593" s="36" t="str">
        <f t="shared" si="3"/>
        <v>Regular Season</v>
      </c>
      <c r="N1593" s="239" t="str">
        <f t="shared" si="26"/>
        <v>Tayski</v>
      </c>
      <c r="O1593" s="6">
        <f>VLOOKUP(D1593,'Mapped Opponent'!$G$4:$H$22,2,0)</f>
        <v>10</v>
      </c>
      <c r="P1593" s="6"/>
      <c r="Q1593" s="6" t="str">
        <f t="shared" si="4"/>
        <v>Week 10</v>
      </c>
      <c r="R1593" s="6" t="str">
        <f t="shared" si="5"/>
        <v>2019Week 10</v>
      </c>
      <c r="S1593" s="6">
        <f>IFERROR(__xludf.DUMMYFUNCTION("rank(J1593,FILTER(J:J,R:R=R1593))"),3.0)</f>
        <v>3</v>
      </c>
      <c r="T1593" s="6">
        <f t="shared" si="6"/>
        <v>9</v>
      </c>
      <c r="U1593" s="6">
        <f t="shared" si="7"/>
        <v>3</v>
      </c>
      <c r="V1593" s="42">
        <f>averageif(AllData!A:A,B1593,AllData!R:R)/vlookup(B1593,AllData!A:O,15,0)</f>
        <v>93.61128205</v>
      </c>
      <c r="W1593" s="6"/>
    </row>
    <row r="1594" ht="14.25" customHeight="1">
      <c r="A1594" s="6" t="str">
        <f t="shared" si="1"/>
        <v>2019Cock10</v>
      </c>
      <c r="B1594" s="59">
        <v>2019.0</v>
      </c>
      <c r="C1594" s="13" t="s">
        <v>72</v>
      </c>
      <c r="D1594" s="13" t="s">
        <v>149</v>
      </c>
      <c r="E1594" s="34"/>
      <c r="F1594" s="6"/>
      <c r="H1594" s="6"/>
      <c r="I1594" s="35" t="str">
        <f>IFERROR(IFERROR(IFERROR(VLOOKUP(B1594&amp;C1594&amp;Q1594,'New Weekly Paste'!A:M,10,0),VLOOKUP(B1594&amp;C1594&amp;Q1594,'New Weekly Paste'!B:O,6,0)),""),"")</f>
        <v>Hudspeath</v>
      </c>
      <c r="J1594" s="239">
        <f>IFERROR(IFERROR(VLOOKUP(B1594&amp;C1594&amp;Q1594,'New Weekly Paste'!A:M,8,0),VLOOKUP(B1594&amp;C1594&amp;Q1594,'New Weekly Paste'!B:O,10,0)),0)</f>
        <v>86.7</v>
      </c>
      <c r="K1594" s="239">
        <f>IFERROR(IFERROR(VLOOKUP(B1594&amp;I1594&amp;Q1594,'New Weekly Paste'!A:M,8,0),VLOOKUP(B1594&amp;I1594&amp;Q1594,'New Weekly Paste'!B:O,10,0)),0)</f>
        <v>73.82</v>
      </c>
      <c r="L1594" s="239">
        <f t="shared" si="25"/>
        <v>1</v>
      </c>
      <c r="M1594" s="36" t="str">
        <f t="shared" si="3"/>
        <v>Regular Season</v>
      </c>
      <c r="N1594" s="239" t="str">
        <f t="shared" si="26"/>
        <v>Hudspeath</v>
      </c>
      <c r="O1594" s="6">
        <f>VLOOKUP(D1594,'Mapped Opponent'!$G$4:$H$22,2,0)</f>
        <v>10</v>
      </c>
      <c r="P1594" s="6"/>
      <c r="Q1594" s="6" t="str">
        <f t="shared" si="4"/>
        <v>Week 10</v>
      </c>
      <c r="R1594" s="6" t="str">
        <f t="shared" si="5"/>
        <v>2019Week 10</v>
      </c>
      <c r="S1594" s="6">
        <f>IFERROR(__xludf.DUMMYFUNCTION("rank(J1594,FILTER(J:J,R:R=R1594))"),8.0)</f>
        <v>8</v>
      </c>
      <c r="T1594" s="6">
        <f t="shared" si="6"/>
        <v>4</v>
      </c>
      <c r="U1594" s="6">
        <f t="shared" si="7"/>
        <v>8</v>
      </c>
      <c r="V1594" s="42">
        <f>averageif(AllData!A:A,B1594,AllData!R:R)/vlookup(B1594,AllData!A:O,15,0)</f>
        <v>93.61128205</v>
      </c>
      <c r="W1594" s="6"/>
    </row>
    <row r="1595" ht="14.25" customHeight="1">
      <c r="A1595" s="6" t="str">
        <f t="shared" si="1"/>
        <v>2019Tayski10</v>
      </c>
      <c r="B1595" s="59">
        <v>2019.0</v>
      </c>
      <c r="C1595" s="13" t="s">
        <v>52</v>
      </c>
      <c r="D1595" s="13" t="s">
        <v>149</v>
      </c>
      <c r="E1595" s="34"/>
      <c r="F1595" s="6"/>
      <c r="H1595" s="6"/>
      <c r="I1595" s="35" t="str">
        <f>IFERROR(IFERROR(IFERROR(VLOOKUP(B1595&amp;C1595&amp;Q1595,'New Weekly Paste'!A:M,10,0),VLOOKUP(B1595&amp;C1595&amp;Q1595,'New Weekly Paste'!B:O,6,0)),""),"")</f>
        <v>Pierson</v>
      </c>
      <c r="J1595" s="239">
        <f>IFERROR(IFERROR(VLOOKUP(B1595&amp;C1595&amp;Q1595,'New Weekly Paste'!A:M,8,0),VLOOKUP(B1595&amp;C1595&amp;Q1595,'New Weekly Paste'!B:O,10,0)),0)</f>
        <v>71.68</v>
      </c>
      <c r="K1595" s="239">
        <f>IFERROR(IFERROR(VLOOKUP(B1595&amp;I1595&amp;Q1595,'New Weekly Paste'!A:M,8,0),VLOOKUP(B1595&amp;I1595&amp;Q1595,'New Weekly Paste'!B:O,10,0)),0)</f>
        <v>116.52</v>
      </c>
      <c r="L1595" s="239">
        <f t="shared" si="25"/>
        <v>0</v>
      </c>
      <c r="M1595" s="36" t="str">
        <f t="shared" si="3"/>
        <v>Regular Season</v>
      </c>
      <c r="N1595" s="239" t="str">
        <f t="shared" si="26"/>
        <v>Pierson</v>
      </c>
      <c r="O1595" s="6">
        <f>VLOOKUP(D1595,'Mapped Opponent'!$G$4:$H$22,2,0)</f>
        <v>10</v>
      </c>
      <c r="P1595" s="6"/>
      <c r="Q1595" s="6" t="str">
        <f t="shared" si="4"/>
        <v>Week 10</v>
      </c>
      <c r="R1595" s="6" t="str">
        <f t="shared" si="5"/>
        <v>2019Week 10</v>
      </c>
      <c r="S1595" s="6">
        <f>IFERROR(__xludf.DUMMYFUNCTION("rank(J1595,FILTER(J:J,R:R=R1595))"),11.0)</f>
        <v>11</v>
      </c>
      <c r="T1595" s="6">
        <f t="shared" si="6"/>
        <v>1</v>
      </c>
      <c r="U1595" s="6">
        <f t="shared" si="7"/>
        <v>11</v>
      </c>
      <c r="V1595" s="42">
        <f>averageif(AllData!A:A,B1595,AllData!R:R)/vlookup(B1595,AllData!A:O,15,0)</f>
        <v>93.61128205</v>
      </c>
      <c r="W1595" s="6"/>
    </row>
    <row r="1596" ht="14.25" customHeight="1">
      <c r="A1596" s="6" t="str">
        <f t="shared" si="1"/>
        <v>2019KnardDawg10</v>
      </c>
      <c r="B1596" s="59">
        <v>2019.0</v>
      </c>
      <c r="C1596" s="13" t="s">
        <v>86</v>
      </c>
      <c r="D1596" s="13" t="s">
        <v>149</v>
      </c>
      <c r="E1596" s="34"/>
      <c r="F1596" s="6"/>
      <c r="H1596" s="6"/>
      <c r="I1596" s="35" t="str">
        <f>IFERROR(IFERROR(IFERROR(VLOOKUP(B1596&amp;C1596&amp;Q1596,'New Weekly Paste'!A:M,10,0),VLOOKUP(B1596&amp;C1596&amp;Q1596,'New Weekly Paste'!B:O,6,0)),""),"")</f>
        <v>T-How</v>
      </c>
      <c r="J1596" s="239">
        <f>IFERROR(IFERROR(VLOOKUP(B1596&amp;C1596&amp;Q1596,'New Weekly Paste'!A:M,8,0),VLOOKUP(B1596&amp;C1596&amp;Q1596,'New Weekly Paste'!B:O,10,0)),0)</f>
        <v>121.74</v>
      </c>
      <c r="K1596" s="239">
        <f>IFERROR(IFERROR(VLOOKUP(B1596&amp;I1596&amp;Q1596,'New Weekly Paste'!A:M,8,0),VLOOKUP(B1596&amp;I1596&amp;Q1596,'New Weekly Paste'!B:O,10,0)),0)</f>
        <v>73.12</v>
      </c>
      <c r="L1596" s="239">
        <f t="shared" si="25"/>
        <v>1</v>
      </c>
      <c r="M1596" s="36" t="str">
        <f t="shared" si="3"/>
        <v>Regular Season</v>
      </c>
      <c r="N1596" s="239" t="str">
        <f t="shared" si="26"/>
        <v>T-How</v>
      </c>
      <c r="O1596" s="6">
        <f>VLOOKUP(D1596,'Mapped Opponent'!$G$4:$H$22,2,0)</f>
        <v>10</v>
      </c>
      <c r="P1596" s="6"/>
      <c r="Q1596" s="6" t="str">
        <f t="shared" si="4"/>
        <v>Week 10</v>
      </c>
      <c r="R1596" s="6" t="str">
        <f t="shared" si="5"/>
        <v>2019Week 10</v>
      </c>
      <c r="S1596" s="6">
        <f>IFERROR(__xludf.DUMMYFUNCTION("rank(J1596,FILTER(J:J,R:R=R1596))"),2.0)</f>
        <v>2</v>
      </c>
      <c r="T1596" s="6">
        <f t="shared" si="6"/>
        <v>10</v>
      </c>
      <c r="U1596" s="6">
        <f t="shared" si="7"/>
        <v>2</v>
      </c>
      <c r="V1596" s="42">
        <f>averageif(AllData!A:A,B1596,AllData!R:R)/vlookup(B1596,AllData!A:O,15,0)</f>
        <v>93.61128205</v>
      </c>
      <c r="W1596" s="6"/>
    </row>
    <row r="1597" ht="14.25" customHeight="1">
      <c r="A1597" s="6" t="str">
        <f t="shared" si="1"/>
        <v>2019T-How10</v>
      </c>
      <c r="B1597" s="59">
        <v>2019.0</v>
      </c>
      <c r="C1597" s="13" t="s">
        <v>82</v>
      </c>
      <c r="D1597" s="13" t="s">
        <v>149</v>
      </c>
      <c r="E1597" s="34"/>
      <c r="F1597" s="6"/>
      <c r="H1597" s="6"/>
      <c r="I1597" s="35" t="str">
        <f>IFERROR(IFERROR(IFERROR(VLOOKUP(B1597&amp;C1597&amp;Q1597,'New Weekly Paste'!A:M,10,0),VLOOKUP(B1597&amp;C1597&amp;Q1597,'New Weekly Paste'!B:O,6,0)),""),"")</f>
        <v>KnardDawg</v>
      </c>
      <c r="J1597" s="239">
        <f>IFERROR(IFERROR(VLOOKUP(B1597&amp;C1597&amp;Q1597,'New Weekly Paste'!A:M,8,0),VLOOKUP(B1597&amp;C1597&amp;Q1597,'New Weekly Paste'!B:O,10,0)),0)</f>
        <v>73.12</v>
      </c>
      <c r="K1597" s="239">
        <f>IFERROR(IFERROR(VLOOKUP(B1597&amp;I1597&amp;Q1597,'New Weekly Paste'!A:M,8,0),VLOOKUP(B1597&amp;I1597&amp;Q1597,'New Weekly Paste'!B:O,10,0)),0)</f>
        <v>121.74</v>
      </c>
      <c r="L1597" s="239">
        <f t="shared" si="25"/>
        <v>0</v>
      </c>
      <c r="M1597" s="36" t="str">
        <f t="shared" si="3"/>
        <v>Regular Season</v>
      </c>
      <c r="N1597" s="239" t="str">
        <f t="shared" si="26"/>
        <v>KnardDawg</v>
      </c>
      <c r="O1597" s="6">
        <f>VLOOKUP(D1597,'Mapped Opponent'!$G$4:$H$22,2,0)</f>
        <v>10</v>
      </c>
      <c r="P1597" s="6"/>
      <c r="Q1597" s="6" t="str">
        <f t="shared" si="4"/>
        <v>Week 10</v>
      </c>
      <c r="R1597" s="6" t="str">
        <f t="shared" si="5"/>
        <v>2019Week 10</v>
      </c>
      <c r="S1597" s="6">
        <f>IFERROR(__xludf.DUMMYFUNCTION("rank(J1597,FILTER(J:J,R:R=R1597))"),10.0)</f>
        <v>10</v>
      </c>
      <c r="T1597" s="6">
        <f t="shared" si="6"/>
        <v>2</v>
      </c>
      <c r="U1597" s="6">
        <f t="shared" si="7"/>
        <v>10</v>
      </c>
      <c r="V1597" s="42">
        <f>averageif(AllData!A:A,B1597,AllData!R:R)/vlookup(B1597,AllData!A:O,15,0)</f>
        <v>93.61128205</v>
      </c>
      <c r="W1597" s="6"/>
    </row>
    <row r="1598" ht="14.25" customHeight="1">
      <c r="A1598" s="6" t="str">
        <f t="shared" si="1"/>
        <v>2019Hudspeath11</v>
      </c>
      <c r="B1598" s="59">
        <v>2019.0</v>
      </c>
      <c r="C1598" s="13" t="s">
        <v>39</v>
      </c>
      <c r="D1598" s="13" t="s">
        <v>150</v>
      </c>
      <c r="E1598" s="34"/>
      <c r="F1598" s="6"/>
      <c r="H1598" s="6"/>
      <c r="I1598" s="35" t="str">
        <f>IFERROR(IFERROR(IFERROR(VLOOKUP(B1598&amp;C1598&amp;Q1598,'New Weekly Paste'!A:M,10,0),VLOOKUP(B1598&amp;C1598&amp;Q1598,'New Weekly Paste'!B:O,6,0)),""),"")</f>
        <v>KnardDawg</v>
      </c>
      <c r="J1598" s="239">
        <f>IFERROR(IFERROR(VLOOKUP(B1598&amp;C1598&amp;Q1598,'New Weekly Paste'!A:M,8,0),VLOOKUP(B1598&amp;C1598&amp;Q1598,'New Weekly Paste'!B:O,10,0)),0)</f>
        <v>96.12</v>
      </c>
      <c r="K1598" s="239">
        <f>IFERROR(IFERROR(VLOOKUP(B1598&amp;I1598&amp;Q1598,'New Weekly Paste'!A:M,8,0),VLOOKUP(B1598&amp;I1598&amp;Q1598,'New Weekly Paste'!B:O,10,0)),0)</f>
        <v>81.68</v>
      </c>
      <c r="L1598" s="239">
        <f t="shared" si="25"/>
        <v>1</v>
      </c>
      <c r="M1598" s="36" t="str">
        <f t="shared" si="3"/>
        <v>Regular Season</v>
      </c>
      <c r="N1598" s="239" t="str">
        <f t="shared" si="26"/>
        <v>KnardDawg</v>
      </c>
      <c r="O1598" s="6">
        <f>VLOOKUP(D1598,'Mapped Opponent'!$G$4:$H$22,2,0)</f>
        <v>11</v>
      </c>
      <c r="P1598" s="6"/>
      <c r="Q1598" s="6" t="str">
        <f t="shared" si="4"/>
        <v>Week 11</v>
      </c>
      <c r="R1598" s="6" t="str">
        <f t="shared" si="5"/>
        <v>2019Week 11</v>
      </c>
      <c r="S1598" s="6">
        <f>IFERROR(__xludf.DUMMYFUNCTION("rank(J1598,FILTER(J:J,R:R=R1598))"),4.0)</f>
        <v>4</v>
      </c>
      <c r="T1598" s="6">
        <f t="shared" si="6"/>
        <v>8</v>
      </c>
      <c r="U1598" s="6">
        <f t="shared" si="7"/>
        <v>4</v>
      </c>
      <c r="V1598" s="42">
        <f>averageif(AllData!A:A,B1598,AllData!R:R)/vlookup(B1598,AllData!A:O,15,0)</f>
        <v>93.61128205</v>
      </c>
      <c r="W1598" s="6"/>
    </row>
    <row r="1599" ht="14.25" customHeight="1">
      <c r="A1599" s="6" t="str">
        <f t="shared" si="1"/>
        <v>2019Salty11</v>
      </c>
      <c r="B1599" s="59">
        <v>2019.0</v>
      </c>
      <c r="C1599" s="13" t="s">
        <v>76</v>
      </c>
      <c r="D1599" s="13" t="s">
        <v>150</v>
      </c>
      <c r="E1599" s="34"/>
      <c r="F1599" s="6"/>
      <c r="H1599" s="6"/>
      <c r="I1599" s="35" t="str">
        <f>IFERROR(IFERROR(IFERROR(VLOOKUP(B1599&amp;C1599&amp;Q1599,'New Weekly Paste'!A:M,10,0),VLOOKUP(B1599&amp;C1599&amp;Q1599,'New Weekly Paste'!B:O,6,0)),""),"")</f>
        <v>T-How</v>
      </c>
      <c r="J1599" s="239">
        <f>IFERROR(IFERROR(VLOOKUP(B1599&amp;C1599&amp;Q1599,'New Weekly Paste'!A:M,8,0),VLOOKUP(B1599&amp;C1599&amp;Q1599,'New Weekly Paste'!B:O,10,0)),0)</f>
        <v>118.76</v>
      </c>
      <c r="K1599" s="239">
        <f>IFERROR(IFERROR(VLOOKUP(B1599&amp;I1599&amp;Q1599,'New Weekly Paste'!A:M,8,0),VLOOKUP(B1599&amp;I1599&amp;Q1599,'New Weekly Paste'!B:O,10,0)),0)</f>
        <v>55.12</v>
      </c>
      <c r="L1599" s="239">
        <f t="shared" si="25"/>
        <v>1</v>
      </c>
      <c r="M1599" s="36" t="str">
        <f t="shared" si="3"/>
        <v>Regular Season</v>
      </c>
      <c r="N1599" s="239" t="str">
        <f t="shared" si="26"/>
        <v>T-How</v>
      </c>
      <c r="O1599" s="6">
        <f>VLOOKUP(D1599,'Mapped Opponent'!$G$4:$H$22,2,0)</f>
        <v>11</v>
      </c>
      <c r="P1599" s="6"/>
      <c r="Q1599" s="6" t="str">
        <f t="shared" si="4"/>
        <v>Week 11</v>
      </c>
      <c r="R1599" s="6" t="str">
        <f t="shared" si="5"/>
        <v>2019Week 11</v>
      </c>
      <c r="S1599" s="6">
        <f>IFERROR(__xludf.DUMMYFUNCTION("rank(J1599,FILTER(J:J,R:R=R1599))"),3.0)</f>
        <v>3</v>
      </c>
      <c r="T1599" s="6">
        <f t="shared" si="6"/>
        <v>9</v>
      </c>
      <c r="U1599" s="6">
        <f t="shared" si="7"/>
        <v>3</v>
      </c>
      <c r="V1599" s="42">
        <f>averageif(AllData!A:A,B1599,AllData!R:R)/vlookup(B1599,AllData!A:O,15,0)</f>
        <v>93.61128205</v>
      </c>
      <c r="W1599" s="6"/>
    </row>
    <row r="1600" ht="14.25" customHeight="1">
      <c r="A1600" s="6" t="str">
        <f t="shared" si="1"/>
        <v>2019Fellows11</v>
      </c>
      <c r="B1600" s="59">
        <v>2019.0</v>
      </c>
      <c r="C1600" s="13" t="s">
        <v>79</v>
      </c>
      <c r="D1600" s="13" t="s">
        <v>150</v>
      </c>
      <c r="E1600" s="34"/>
      <c r="F1600" s="6"/>
      <c r="H1600" s="6"/>
      <c r="I1600" s="35" t="str">
        <f>IFERROR(IFERROR(IFERROR(VLOOKUP(B1600&amp;C1600&amp;Q1600,'New Weekly Paste'!A:M,10,0),VLOOKUP(B1600&amp;C1600&amp;Q1600,'New Weekly Paste'!B:O,6,0)),""),"")</f>
        <v>Pierson</v>
      </c>
      <c r="J1600" s="239">
        <f>IFERROR(IFERROR(VLOOKUP(B1600&amp;C1600&amp;Q1600,'New Weekly Paste'!A:M,8,0),VLOOKUP(B1600&amp;C1600&amp;Q1600,'New Weekly Paste'!B:O,10,0)),0)</f>
        <v>93.56</v>
      </c>
      <c r="K1600" s="239">
        <f>IFERROR(IFERROR(VLOOKUP(B1600&amp;I1600&amp;Q1600,'New Weekly Paste'!A:M,8,0),VLOOKUP(B1600&amp;I1600&amp;Q1600,'New Weekly Paste'!B:O,10,0)),0)</f>
        <v>119.68</v>
      </c>
      <c r="L1600" s="239">
        <f t="shared" si="25"/>
        <v>0</v>
      </c>
      <c r="M1600" s="36" t="str">
        <f t="shared" si="3"/>
        <v>Regular Season</v>
      </c>
      <c r="N1600" s="239" t="str">
        <f t="shared" si="26"/>
        <v>Pierson</v>
      </c>
      <c r="O1600" s="6">
        <f>VLOOKUP(D1600,'Mapped Opponent'!$G$4:$H$22,2,0)</f>
        <v>11</v>
      </c>
      <c r="P1600" s="6"/>
      <c r="Q1600" s="6" t="str">
        <f t="shared" si="4"/>
        <v>Week 11</v>
      </c>
      <c r="R1600" s="6" t="str">
        <f t="shared" si="5"/>
        <v>2019Week 11</v>
      </c>
      <c r="S1600" s="6">
        <f>IFERROR(__xludf.DUMMYFUNCTION("rank(J1600,FILTER(J:J,R:R=R1600))"),6.0)</f>
        <v>6</v>
      </c>
      <c r="T1600" s="6">
        <f t="shared" si="6"/>
        <v>6</v>
      </c>
      <c r="U1600" s="6">
        <f t="shared" si="7"/>
        <v>6</v>
      </c>
      <c r="V1600" s="42">
        <f>averageif(AllData!A:A,B1600,AllData!R:R)/vlookup(B1600,AllData!A:O,15,0)</f>
        <v>93.61128205</v>
      </c>
      <c r="W1600" s="6"/>
    </row>
    <row r="1601" ht="14.25" customHeight="1">
      <c r="A1601" s="6" t="str">
        <f t="shared" si="1"/>
        <v>2019Shep11</v>
      </c>
      <c r="B1601" s="59">
        <v>2019.0</v>
      </c>
      <c r="C1601" s="13" t="s">
        <v>89</v>
      </c>
      <c r="D1601" s="13" t="s">
        <v>150</v>
      </c>
      <c r="E1601" s="34"/>
      <c r="F1601" s="6"/>
      <c r="H1601" s="6"/>
      <c r="I1601" s="35" t="str">
        <f>IFERROR(IFERROR(IFERROR(VLOOKUP(B1601&amp;C1601&amp;Q1601,'New Weekly Paste'!A:M,10,0),VLOOKUP(B1601&amp;C1601&amp;Q1601,'New Weekly Paste'!B:O,6,0)),""),"")</f>
        <v>Tayski</v>
      </c>
      <c r="J1601" s="239">
        <f>IFERROR(IFERROR(VLOOKUP(B1601&amp;C1601&amp;Q1601,'New Weekly Paste'!A:M,8,0),VLOOKUP(B1601&amp;C1601&amp;Q1601,'New Weekly Paste'!B:O,10,0)),0)</f>
        <v>50.54</v>
      </c>
      <c r="K1601" s="239">
        <f>IFERROR(IFERROR(VLOOKUP(B1601&amp;I1601&amp;Q1601,'New Weekly Paste'!A:M,8,0),VLOOKUP(B1601&amp;I1601&amp;Q1601,'New Weekly Paste'!B:O,10,0)),0)</f>
        <v>52.66</v>
      </c>
      <c r="L1601" s="239">
        <f t="shared" si="25"/>
        <v>0</v>
      </c>
      <c r="M1601" s="36" t="str">
        <f t="shared" si="3"/>
        <v>Regular Season</v>
      </c>
      <c r="N1601" s="239" t="str">
        <f t="shared" si="26"/>
        <v>Tayski</v>
      </c>
      <c r="O1601" s="6">
        <f>VLOOKUP(D1601,'Mapped Opponent'!$G$4:$H$22,2,0)</f>
        <v>11</v>
      </c>
      <c r="P1601" s="6"/>
      <c r="Q1601" s="6" t="str">
        <f t="shared" si="4"/>
        <v>Week 11</v>
      </c>
      <c r="R1601" s="6" t="str">
        <f t="shared" si="5"/>
        <v>2019Week 11</v>
      </c>
      <c r="S1601" s="6">
        <f>IFERROR(__xludf.DUMMYFUNCTION("rank(J1601,FILTER(J:J,R:R=R1601))"),12.0)</f>
        <v>12</v>
      </c>
      <c r="T1601" s="6">
        <f t="shared" si="6"/>
        <v>0</v>
      </c>
      <c r="U1601" s="6">
        <f t="shared" si="7"/>
        <v>12</v>
      </c>
      <c r="V1601" s="42">
        <f>averageif(AllData!A:A,B1601,AllData!R:R)/vlookup(B1601,AllData!A:O,15,0)</f>
        <v>93.61128205</v>
      </c>
      <c r="W1601" s="6"/>
    </row>
    <row r="1602" ht="14.25" customHeight="1">
      <c r="A1602" s="6" t="str">
        <f t="shared" si="1"/>
        <v>2019Riley11</v>
      </c>
      <c r="B1602" s="59">
        <v>2019.0</v>
      </c>
      <c r="C1602" s="13" t="s">
        <v>67</v>
      </c>
      <c r="D1602" s="13" t="s">
        <v>150</v>
      </c>
      <c r="E1602" s="34"/>
      <c r="F1602" s="6"/>
      <c r="H1602" s="6"/>
      <c r="I1602" s="35" t="str">
        <f>IFERROR(IFERROR(IFERROR(VLOOKUP(B1602&amp;C1602&amp;Q1602,'New Weekly Paste'!A:M,10,0),VLOOKUP(B1602&amp;C1602&amp;Q1602,'New Weekly Paste'!B:O,6,0)),""),"")</f>
        <v>Cock</v>
      </c>
      <c r="J1602" s="239">
        <f>IFERROR(IFERROR(VLOOKUP(B1602&amp;C1602&amp;Q1602,'New Weekly Paste'!A:M,8,0),VLOOKUP(B1602&amp;C1602&amp;Q1602,'New Weekly Paste'!B:O,10,0)),0)</f>
        <v>75.3</v>
      </c>
      <c r="K1602" s="239">
        <f>IFERROR(IFERROR(VLOOKUP(B1602&amp;I1602&amp;Q1602,'New Weekly Paste'!A:M,8,0),VLOOKUP(B1602&amp;I1602&amp;Q1602,'New Weekly Paste'!B:O,10,0)),0)</f>
        <v>94.84</v>
      </c>
      <c r="L1602" s="239">
        <f t="shared" si="25"/>
        <v>0</v>
      </c>
      <c r="M1602" s="36" t="str">
        <f t="shared" si="3"/>
        <v>Regular Season</v>
      </c>
      <c r="N1602" s="239" t="str">
        <f t="shared" si="26"/>
        <v>Cock</v>
      </c>
      <c r="O1602" s="6">
        <f>VLOOKUP(D1602,'Mapped Opponent'!$G$4:$H$22,2,0)</f>
        <v>11</v>
      </c>
      <c r="P1602" s="6"/>
      <c r="Q1602" s="6" t="str">
        <f t="shared" si="4"/>
        <v>Week 11</v>
      </c>
      <c r="R1602" s="6" t="str">
        <f t="shared" si="5"/>
        <v>2019Week 11</v>
      </c>
      <c r="S1602" s="6">
        <f>IFERROR(__xludf.DUMMYFUNCTION("rank(J1602,FILTER(J:J,R:R=R1602))"),9.0)</f>
        <v>9</v>
      </c>
      <c r="T1602" s="6">
        <f t="shared" si="6"/>
        <v>3</v>
      </c>
      <c r="U1602" s="6">
        <f t="shared" si="7"/>
        <v>9</v>
      </c>
      <c r="V1602" s="42">
        <f>averageif(AllData!A:A,B1602,AllData!R:R)/vlookup(B1602,AllData!A:O,15,0)</f>
        <v>93.61128205</v>
      </c>
      <c r="W1602" s="6"/>
    </row>
    <row r="1603" ht="14.25" customHeight="1">
      <c r="A1603" s="6" t="str">
        <f t="shared" si="1"/>
        <v>2019Rooney/Jackson11</v>
      </c>
      <c r="B1603" s="59">
        <v>2019.0</v>
      </c>
      <c r="C1603" s="13" t="s">
        <v>57</v>
      </c>
      <c r="D1603" s="13" t="s">
        <v>150</v>
      </c>
      <c r="E1603" s="34"/>
      <c r="F1603" s="6"/>
      <c r="H1603" s="6"/>
      <c r="I1603" s="35" t="str">
        <f>IFERROR(IFERROR(IFERROR(VLOOKUP(B1603&amp;C1603&amp;Q1603,'New Weekly Paste'!A:M,10,0),VLOOKUP(B1603&amp;C1603&amp;Q1603,'New Weekly Paste'!B:O,6,0)),""),"")</f>
        <v>Buser</v>
      </c>
      <c r="J1603" s="239">
        <f>IFERROR(IFERROR(VLOOKUP(B1603&amp;C1603&amp;Q1603,'New Weekly Paste'!A:M,8,0),VLOOKUP(B1603&amp;C1603&amp;Q1603,'New Weekly Paste'!B:O,10,0)),0)</f>
        <v>119.84</v>
      </c>
      <c r="K1603" s="239">
        <f>IFERROR(IFERROR(VLOOKUP(B1603&amp;I1603&amp;Q1603,'New Weekly Paste'!A:M,8,0),VLOOKUP(B1603&amp;I1603&amp;Q1603,'New Weekly Paste'!B:O,10,0)),0)</f>
        <v>86</v>
      </c>
      <c r="L1603" s="239">
        <f t="shared" si="25"/>
        <v>1</v>
      </c>
      <c r="M1603" s="36" t="str">
        <f t="shared" si="3"/>
        <v>Regular Season</v>
      </c>
      <c r="N1603" s="239" t="str">
        <f t="shared" si="26"/>
        <v>Buser</v>
      </c>
      <c r="O1603" s="6">
        <f>VLOOKUP(D1603,'Mapped Opponent'!$G$4:$H$22,2,0)</f>
        <v>11</v>
      </c>
      <c r="P1603" s="6"/>
      <c r="Q1603" s="6" t="str">
        <f t="shared" si="4"/>
        <v>Week 11</v>
      </c>
      <c r="R1603" s="6" t="str">
        <f t="shared" si="5"/>
        <v>2019Week 11</v>
      </c>
      <c r="S1603" s="6">
        <f>IFERROR(__xludf.DUMMYFUNCTION("rank(J1603,FILTER(J:J,R:R=R1603))"),1.0)</f>
        <v>1</v>
      </c>
      <c r="T1603" s="6">
        <f t="shared" si="6"/>
        <v>11</v>
      </c>
      <c r="U1603" s="6">
        <f t="shared" si="7"/>
        <v>1</v>
      </c>
      <c r="V1603" s="42">
        <f>averageif(AllData!A:A,B1603,AllData!R:R)/vlookup(B1603,AllData!A:O,15,0)</f>
        <v>93.61128205</v>
      </c>
      <c r="W1603" s="6"/>
    </row>
    <row r="1604" ht="14.25" customHeight="1">
      <c r="A1604" s="6" t="str">
        <f t="shared" si="1"/>
        <v>2019Buser11</v>
      </c>
      <c r="B1604" s="59">
        <v>2019.0</v>
      </c>
      <c r="C1604" s="13" t="s">
        <v>47</v>
      </c>
      <c r="D1604" s="13" t="s">
        <v>150</v>
      </c>
      <c r="E1604" s="34"/>
      <c r="F1604" s="6"/>
      <c r="H1604" s="6"/>
      <c r="I1604" s="35" t="str">
        <f>IFERROR(IFERROR(IFERROR(VLOOKUP(B1604&amp;C1604&amp;Q1604,'New Weekly Paste'!A:M,10,0),VLOOKUP(B1604&amp;C1604&amp;Q1604,'New Weekly Paste'!B:O,6,0)),""),"")</f>
        <v>Rooney/Jackson</v>
      </c>
      <c r="J1604" s="239">
        <f>IFERROR(IFERROR(VLOOKUP(B1604&amp;C1604&amp;Q1604,'New Weekly Paste'!A:M,8,0),VLOOKUP(B1604&amp;C1604&amp;Q1604,'New Weekly Paste'!B:O,10,0)),0)</f>
        <v>86</v>
      </c>
      <c r="K1604" s="239">
        <f>IFERROR(IFERROR(VLOOKUP(B1604&amp;I1604&amp;Q1604,'New Weekly Paste'!A:M,8,0),VLOOKUP(B1604&amp;I1604&amp;Q1604,'New Weekly Paste'!B:O,10,0)),0)</f>
        <v>119.84</v>
      </c>
      <c r="L1604" s="239">
        <f t="shared" si="25"/>
        <v>0</v>
      </c>
      <c r="M1604" s="36" t="str">
        <f t="shared" si="3"/>
        <v>Regular Season</v>
      </c>
      <c r="N1604" s="239" t="str">
        <f t="shared" si="26"/>
        <v>Rooney/Jackson</v>
      </c>
      <c r="O1604" s="6">
        <f>VLOOKUP(D1604,'Mapped Opponent'!$G$4:$H$22,2,0)</f>
        <v>11</v>
      </c>
      <c r="P1604" s="6"/>
      <c r="Q1604" s="6" t="str">
        <f t="shared" si="4"/>
        <v>Week 11</v>
      </c>
      <c r="R1604" s="6" t="str">
        <f t="shared" si="5"/>
        <v>2019Week 11</v>
      </c>
      <c r="S1604" s="6">
        <f>IFERROR(__xludf.DUMMYFUNCTION("rank(J1604,FILTER(J:J,R:R=R1604))"),7.0)</f>
        <v>7</v>
      </c>
      <c r="T1604" s="6">
        <f t="shared" si="6"/>
        <v>5</v>
      </c>
      <c r="U1604" s="6">
        <f t="shared" si="7"/>
        <v>7</v>
      </c>
      <c r="V1604" s="42">
        <f>averageif(AllData!A:A,B1604,AllData!R:R)/vlookup(B1604,AllData!A:O,15,0)</f>
        <v>93.61128205</v>
      </c>
      <c r="W1604" s="6"/>
    </row>
    <row r="1605" ht="14.25" customHeight="1">
      <c r="A1605" s="6" t="str">
        <f t="shared" si="1"/>
        <v>2019Pierson11</v>
      </c>
      <c r="B1605" s="59">
        <v>2019.0</v>
      </c>
      <c r="C1605" s="13" t="s">
        <v>92</v>
      </c>
      <c r="D1605" s="13" t="s">
        <v>150</v>
      </c>
      <c r="E1605" s="34"/>
      <c r="F1605" s="6"/>
      <c r="H1605" s="6"/>
      <c r="I1605" s="35" t="str">
        <f>IFERROR(IFERROR(IFERROR(VLOOKUP(B1605&amp;C1605&amp;Q1605,'New Weekly Paste'!A:M,10,0),VLOOKUP(B1605&amp;C1605&amp;Q1605,'New Weekly Paste'!B:O,6,0)),""),"")</f>
        <v>Fellows</v>
      </c>
      <c r="J1605" s="239">
        <f>IFERROR(IFERROR(VLOOKUP(B1605&amp;C1605&amp;Q1605,'New Weekly Paste'!A:M,8,0),VLOOKUP(B1605&amp;C1605&amp;Q1605,'New Weekly Paste'!B:O,10,0)),0)</f>
        <v>119.68</v>
      </c>
      <c r="K1605" s="239">
        <f>IFERROR(IFERROR(VLOOKUP(B1605&amp;I1605&amp;Q1605,'New Weekly Paste'!A:M,8,0),VLOOKUP(B1605&amp;I1605&amp;Q1605,'New Weekly Paste'!B:O,10,0)),0)</f>
        <v>93.56</v>
      </c>
      <c r="L1605" s="239">
        <f t="shared" si="25"/>
        <v>1</v>
      </c>
      <c r="M1605" s="36" t="str">
        <f t="shared" si="3"/>
        <v>Regular Season</v>
      </c>
      <c r="N1605" s="239" t="str">
        <f t="shared" si="26"/>
        <v>Fellows</v>
      </c>
      <c r="O1605" s="6">
        <f>VLOOKUP(D1605,'Mapped Opponent'!$G$4:$H$22,2,0)</f>
        <v>11</v>
      </c>
      <c r="P1605" s="6"/>
      <c r="Q1605" s="6" t="str">
        <f t="shared" si="4"/>
        <v>Week 11</v>
      </c>
      <c r="R1605" s="6" t="str">
        <f t="shared" si="5"/>
        <v>2019Week 11</v>
      </c>
      <c r="S1605" s="6">
        <f>IFERROR(__xludf.DUMMYFUNCTION("rank(J1605,FILTER(J:J,R:R=R1605))"),2.0)</f>
        <v>2</v>
      </c>
      <c r="T1605" s="6">
        <f t="shared" si="6"/>
        <v>10</v>
      </c>
      <c r="U1605" s="6">
        <f t="shared" si="7"/>
        <v>2</v>
      </c>
      <c r="V1605" s="42">
        <f>averageif(AllData!A:A,B1605,AllData!R:R)/vlookup(B1605,AllData!A:O,15,0)</f>
        <v>93.61128205</v>
      </c>
      <c r="W1605" s="6"/>
    </row>
    <row r="1606" ht="14.25" customHeight="1">
      <c r="A1606" s="6" t="str">
        <f t="shared" si="1"/>
        <v>2019Cock11</v>
      </c>
      <c r="B1606" s="59">
        <v>2019.0</v>
      </c>
      <c r="C1606" s="13" t="s">
        <v>72</v>
      </c>
      <c r="D1606" s="13" t="s">
        <v>150</v>
      </c>
      <c r="E1606" s="34"/>
      <c r="F1606" s="6"/>
      <c r="H1606" s="6"/>
      <c r="I1606" s="35" t="str">
        <f>IFERROR(IFERROR(IFERROR(VLOOKUP(B1606&amp;C1606&amp;Q1606,'New Weekly Paste'!A:M,10,0),VLOOKUP(B1606&amp;C1606&amp;Q1606,'New Weekly Paste'!B:O,6,0)),""),"")</f>
        <v>Riley</v>
      </c>
      <c r="J1606" s="239">
        <f>IFERROR(IFERROR(VLOOKUP(B1606&amp;C1606&amp;Q1606,'New Weekly Paste'!A:M,8,0),VLOOKUP(B1606&amp;C1606&amp;Q1606,'New Weekly Paste'!B:O,10,0)),0)</f>
        <v>94.84</v>
      </c>
      <c r="K1606" s="239">
        <f>IFERROR(IFERROR(VLOOKUP(B1606&amp;I1606&amp;Q1606,'New Weekly Paste'!A:M,8,0),VLOOKUP(B1606&amp;I1606&amp;Q1606,'New Weekly Paste'!B:O,10,0)),0)</f>
        <v>75.3</v>
      </c>
      <c r="L1606" s="239">
        <f t="shared" si="25"/>
        <v>1</v>
      </c>
      <c r="M1606" s="36" t="str">
        <f t="shared" si="3"/>
        <v>Regular Season</v>
      </c>
      <c r="N1606" s="239" t="str">
        <f t="shared" si="26"/>
        <v>Riley</v>
      </c>
      <c r="O1606" s="6">
        <f>VLOOKUP(D1606,'Mapped Opponent'!$G$4:$H$22,2,0)</f>
        <v>11</v>
      </c>
      <c r="P1606" s="6"/>
      <c r="Q1606" s="6" t="str">
        <f t="shared" si="4"/>
        <v>Week 11</v>
      </c>
      <c r="R1606" s="6" t="str">
        <f t="shared" si="5"/>
        <v>2019Week 11</v>
      </c>
      <c r="S1606" s="6">
        <f>IFERROR(__xludf.DUMMYFUNCTION("rank(J1606,FILTER(J:J,R:R=R1606))"),5.0)</f>
        <v>5</v>
      </c>
      <c r="T1606" s="6">
        <f t="shared" si="6"/>
        <v>7</v>
      </c>
      <c r="U1606" s="6">
        <f t="shared" si="7"/>
        <v>5</v>
      </c>
      <c r="V1606" s="42">
        <f>averageif(AllData!A:A,B1606,AllData!R:R)/vlookup(B1606,AllData!A:O,15,0)</f>
        <v>93.61128205</v>
      </c>
      <c r="W1606" s="6"/>
    </row>
    <row r="1607" ht="14.25" customHeight="1">
      <c r="A1607" s="6" t="str">
        <f t="shared" si="1"/>
        <v>2019Tayski11</v>
      </c>
      <c r="B1607" s="59">
        <v>2019.0</v>
      </c>
      <c r="C1607" s="13" t="s">
        <v>52</v>
      </c>
      <c r="D1607" s="13" t="s">
        <v>150</v>
      </c>
      <c r="E1607" s="34"/>
      <c r="F1607" s="6"/>
      <c r="H1607" s="6"/>
      <c r="I1607" s="35" t="str">
        <f>IFERROR(IFERROR(IFERROR(VLOOKUP(B1607&amp;C1607&amp;Q1607,'New Weekly Paste'!A:M,10,0),VLOOKUP(B1607&amp;C1607&amp;Q1607,'New Weekly Paste'!B:O,6,0)),""),"")</f>
        <v>Shep</v>
      </c>
      <c r="J1607" s="239">
        <f>IFERROR(IFERROR(VLOOKUP(B1607&amp;C1607&amp;Q1607,'New Weekly Paste'!A:M,8,0),VLOOKUP(B1607&amp;C1607&amp;Q1607,'New Weekly Paste'!B:O,10,0)),0)</f>
        <v>52.66</v>
      </c>
      <c r="K1607" s="239">
        <f>IFERROR(IFERROR(VLOOKUP(B1607&amp;I1607&amp;Q1607,'New Weekly Paste'!A:M,8,0),VLOOKUP(B1607&amp;I1607&amp;Q1607,'New Weekly Paste'!B:O,10,0)),0)</f>
        <v>50.54</v>
      </c>
      <c r="L1607" s="239">
        <f t="shared" si="25"/>
        <v>1</v>
      </c>
      <c r="M1607" s="36" t="str">
        <f t="shared" si="3"/>
        <v>Regular Season</v>
      </c>
      <c r="N1607" s="239" t="str">
        <f t="shared" si="26"/>
        <v>Shep</v>
      </c>
      <c r="O1607" s="6">
        <f>VLOOKUP(D1607,'Mapped Opponent'!$G$4:$H$22,2,0)</f>
        <v>11</v>
      </c>
      <c r="P1607" s="6"/>
      <c r="Q1607" s="6" t="str">
        <f t="shared" si="4"/>
        <v>Week 11</v>
      </c>
      <c r="R1607" s="6" t="str">
        <f t="shared" si="5"/>
        <v>2019Week 11</v>
      </c>
      <c r="S1607" s="6">
        <f>IFERROR(__xludf.DUMMYFUNCTION("rank(J1607,FILTER(J:J,R:R=R1607))"),11.0)</f>
        <v>11</v>
      </c>
      <c r="T1607" s="6">
        <f t="shared" si="6"/>
        <v>1</v>
      </c>
      <c r="U1607" s="6">
        <f t="shared" si="7"/>
        <v>11</v>
      </c>
      <c r="V1607" s="42">
        <f>averageif(AllData!A:A,B1607,AllData!R:R)/vlookup(B1607,AllData!A:O,15,0)</f>
        <v>93.61128205</v>
      </c>
      <c r="W1607" s="6"/>
    </row>
    <row r="1608" ht="14.25" customHeight="1">
      <c r="A1608" s="6" t="str">
        <f t="shared" si="1"/>
        <v>2019KnardDawg11</v>
      </c>
      <c r="B1608" s="59">
        <v>2019.0</v>
      </c>
      <c r="C1608" s="13" t="s">
        <v>86</v>
      </c>
      <c r="D1608" s="13" t="s">
        <v>150</v>
      </c>
      <c r="E1608" s="34"/>
      <c r="F1608" s="6"/>
      <c r="H1608" s="6"/>
      <c r="I1608" s="35" t="str">
        <f>IFERROR(IFERROR(IFERROR(VLOOKUP(B1608&amp;C1608&amp;Q1608,'New Weekly Paste'!A:M,10,0),VLOOKUP(B1608&amp;C1608&amp;Q1608,'New Weekly Paste'!B:O,6,0)),""),"")</f>
        <v>Hudspeath</v>
      </c>
      <c r="J1608" s="239">
        <f>IFERROR(IFERROR(VLOOKUP(B1608&amp;C1608&amp;Q1608,'New Weekly Paste'!A:M,8,0),VLOOKUP(B1608&amp;C1608&amp;Q1608,'New Weekly Paste'!B:O,10,0)),0)</f>
        <v>81.68</v>
      </c>
      <c r="K1608" s="239">
        <f>IFERROR(IFERROR(VLOOKUP(B1608&amp;I1608&amp;Q1608,'New Weekly Paste'!A:M,8,0),VLOOKUP(B1608&amp;I1608&amp;Q1608,'New Weekly Paste'!B:O,10,0)),0)</f>
        <v>96.12</v>
      </c>
      <c r="L1608" s="239">
        <f t="shared" si="25"/>
        <v>0</v>
      </c>
      <c r="M1608" s="36" t="str">
        <f t="shared" si="3"/>
        <v>Regular Season</v>
      </c>
      <c r="N1608" s="239" t="str">
        <f t="shared" si="26"/>
        <v>Hudspeath</v>
      </c>
      <c r="O1608" s="6">
        <f>VLOOKUP(D1608,'Mapped Opponent'!$G$4:$H$22,2,0)</f>
        <v>11</v>
      </c>
      <c r="P1608" s="6"/>
      <c r="Q1608" s="6" t="str">
        <f t="shared" si="4"/>
        <v>Week 11</v>
      </c>
      <c r="R1608" s="6" t="str">
        <f t="shared" si="5"/>
        <v>2019Week 11</v>
      </c>
      <c r="S1608" s="6">
        <f>IFERROR(__xludf.DUMMYFUNCTION("rank(J1608,FILTER(J:J,R:R=R1608))"),8.0)</f>
        <v>8</v>
      </c>
      <c r="T1608" s="6">
        <f t="shared" si="6"/>
        <v>4</v>
      </c>
      <c r="U1608" s="6">
        <f t="shared" si="7"/>
        <v>8</v>
      </c>
      <c r="V1608" s="42">
        <f>averageif(AllData!A:A,B1608,AllData!R:R)/vlookup(B1608,AllData!A:O,15,0)</f>
        <v>93.61128205</v>
      </c>
      <c r="W1608" s="6"/>
    </row>
    <row r="1609" ht="14.25" customHeight="1">
      <c r="A1609" s="6" t="str">
        <f t="shared" si="1"/>
        <v>2019T-How11</v>
      </c>
      <c r="B1609" s="59">
        <v>2019.0</v>
      </c>
      <c r="C1609" s="13" t="s">
        <v>82</v>
      </c>
      <c r="D1609" s="13" t="s">
        <v>150</v>
      </c>
      <c r="E1609" s="34"/>
      <c r="F1609" s="6"/>
      <c r="H1609" s="6"/>
      <c r="I1609" s="35" t="str">
        <f>IFERROR(IFERROR(IFERROR(VLOOKUP(B1609&amp;C1609&amp;Q1609,'New Weekly Paste'!A:M,10,0),VLOOKUP(B1609&amp;C1609&amp;Q1609,'New Weekly Paste'!B:O,6,0)),""),"")</f>
        <v>Salty</v>
      </c>
      <c r="J1609" s="239">
        <f>IFERROR(IFERROR(VLOOKUP(B1609&amp;C1609&amp;Q1609,'New Weekly Paste'!A:M,8,0),VLOOKUP(B1609&amp;C1609&amp;Q1609,'New Weekly Paste'!B:O,10,0)),0)</f>
        <v>55.12</v>
      </c>
      <c r="K1609" s="239">
        <f>IFERROR(IFERROR(VLOOKUP(B1609&amp;I1609&amp;Q1609,'New Weekly Paste'!A:M,8,0),VLOOKUP(B1609&amp;I1609&amp;Q1609,'New Weekly Paste'!B:O,10,0)),0)</f>
        <v>118.76</v>
      </c>
      <c r="L1609" s="239">
        <f t="shared" si="25"/>
        <v>0</v>
      </c>
      <c r="M1609" s="36" t="str">
        <f t="shared" si="3"/>
        <v>Regular Season</v>
      </c>
      <c r="N1609" s="239" t="str">
        <f t="shared" si="26"/>
        <v>Salty</v>
      </c>
      <c r="O1609" s="6">
        <f>VLOOKUP(D1609,'Mapped Opponent'!$G$4:$H$22,2,0)</f>
        <v>11</v>
      </c>
      <c r="P1609" s="6"/>
      <c r="Q1609" s="6" t="str">
        <f t="shared" si="4"/>
        <v>Week 11</v>
      </c>
      <c r="R1609" s="6" t="str">
        <f t="shared" si="5"/>
        <v>2019Week 11</v>
      </c>
      <c r="S1609" s="6">
        <f>IFERROR(__xludf.DUMMYFUNCTION("rank(J1609,FILTER(J:J,R:R=R1609))"),10.0)</f>
        <v>10</v>
      </c>
      <c r="T1609" s="6">
        <f t="shared" si="6"/>
        <v>2</v>
      </c>
      <c r="U1609" s="6">
        <f t="shared" si="7"/>
        <v>10</v>
      </c>
      <c r="V1609" s="42">
        <f>averageif(AllData!A:A,B1609,AllData!R:R)/vlookup(B1609,AllData!A:O,15,0)</f>
        <v>93.61128205</v>
      </c>
      <c r="W1609" s="6"/>
    </row>
    <row r="1610" ht="14.25" customHeight="1">
      <c r="A1610" s="6" t="str">
        <f t="shared" si="1"/>
        <v>2019Hudspeath12</v>
      </c>
      <c r="B1610" s="59">
        <v>2019.0</v>
      </c>
      <c r="C1610" s="13" t="s">
        <v>39</v>
      </c>
      <c r="D1610" s="13" t="s">
        <v>151</v>
      </c>
      <c r="E1610" s="34"/>
      <c r="F1610" s="6"/>
      <c r="H1610" s="6"/>
      <c r="I1610" s="35" t="str">
        <f>IFERROR(IFERROR(IFERROR(VLOOKUP(B1610&amp;C1610&amp;Q1610,'New Weekly Paste'!A:M,10,0),VLOOKUP(B1610&amp;C1610&amp;Q1610,'New Weekly Paste'!B:O,6,0)),""),"")</f>
        <v>Salty</v>
      </c>
      <c r="J1610" s="239">
        <f>IFERROR(IFERROR(VLOOKUP(B1610&amp;C1610&amp;Q1610,'New Weekly Paste'!A:M,8,0),VLOOKUP(B1610&amp;C1610&amp;Q1610,'New Weekly Paste'!B:O,10,0)),0)</f>
        <v>98.22</v>
      </c>
      <c r="K1610" s="239">
        <f>IFERROR(IFERROR(VLOOKUP(B1610&amp;I1610&amp;Q1610,'New Weekly Paste'!A:M,8,0),VLOOKUP(B1610&amp;I1610&amp;Q1610,'New Weekly Paste'!B:O,10,0)),0)</f>
        <v>79.66</v>
      </c>
      <c r="L1610" s="239">
        <f t="shared" si="25"/>
        <v>1</v>
      </c>
      <c r="M1610" s="36" t="str">
        <f t="shared" si="3"/>
        <v>Regular Season</v>
      </c>
      <c r="N1610" s="239" t="str">
        <f t="shared" si="26"/>
        <v>Salty</v>
      </c>
      <c r="O1610" s="6">
        <f>VLOOKUP(D1610,'Mapped Opponent'!$G$4:$H$22,2,0)</f>
        <v>12</v>
      </c>
      <c r="P1610" s="6"/>
      <c r="Q1610" s="6" t="str">
        <f t="shared" si="4"/>
        <v>Week 12</v>
      </c>
      <c r="R1610" s="6" t="str">
        <f t="shared" si="5"/>
        <v>2019Week 12</v>
      </c>
      <c r="S1610" s="6">
        <f>IFERROR(__xludf.DUMMYFUNCTION("rank(J1610,FILTER(J:J,R:R=R1610))"),5.0)</f>
        <v>5</v>
      </c>
      <c r="T1610" s="6">
        <f t="shared" si="6"/>
        <v>7</v>
      </c>
      <c r="U1610" s="6">
        <f t="shared" si="7"/>
        <v>5</v>
      </c>
      <c r="V1610" s="42">
        <f>averageif(AllData!A:A,B1610,AllData!R:R)/vlookup(B1610,AllData!A:O,15,0)</f>
        <v>93.61128205</v>
      </c>
      <c r="W1610" s="6"/>
    </row>
    <row r="1611" ht="14.25" customHeight="1">
      <c r="A1611" s="6" t="str">
        <f t="shared" si="1"/>
        <v>2019Salty12</v>
      </c>
      <c r="B1611" s="59">
        <v>2019.0</v>
      </c>
      <c r="C1611" s="13" t="s">
        <v>76</v>
      </c>
      <c r="D1611" s="13" t="s">
        <v>151</v>
      </c>
      <c r="E1611" s="34"/>
      <c r="F1611" s="6"/>
      <c r="H1611" s="6"/>
      <c r="I1611" s="35" t="str">
        <f>IFERROR(IFERROR(IFERROR(VLOOKUP(B1611&amp;C1611&amp;Q1611,'New Weekly Paste'!A:M,10,0),VLOOKUP(B1611&amp;C1611&amp;Q1611,'New Weekly Paste'!B:O,6,0)),""),"")</f>
        <v>Hudspeath</v>
      </c>
      <c r="J1611" s="239">
        <f>IFERROR(IFERROR(VLOOKUP(B1611&amp;C1611&amp;Q1611,'New Weekly Paste'!A:M,8,0),VLOOKUP(B1611&amp;C1611&amp;Q1611,'New Weekly Paste'!B:O,10,0)),0)</f>
        <v>79.66</v>
      </c>
      <c r="K1611" s="239">
        <f>IFERROR(IFERROR(VLOOKUP(B1611&amp;I1611&amp;Q1611,'New Weekly Paste'!A:M,8,0),VLOOKUP(B1611&amp;I1611&amp;Q1611,'New Weekly Paste'!B:O,10,0)),0)</f>
        <v>98.22</v>
      </c>
      <c r="L1611" s="239">
        <f t="shared" si="25"/>
        <v>0</v>
      </c>
      <c r="M1611" s="36" t="str">
        <f t="shared" si="3"/>
        <v>Regular Season</v>
      </c>
      <c r="N1611" s="239" t="str">
        <f t="shared" si="26"/>
        <v>Hudspeath</v>
      </c>
      <c r="O1611" s="6">
        <f>VLOOKUP(D1611,'Mapped Opponent'!$G$4:$H$22,2,0)</f>
        <v>12</v>
      </c>
      <c r="P1611" s="6"/>
      <c r="Q1611" s="6" t="str">
        <f t="shared" si="4"/>
        <v>Week 12</v>
      </c>
      <c r="R1611" s="6" t="str">
        <f t="shared" si="5"/>
        <v>2019Week 12</v>
      </c>
      <c r="S1611" s="6">
        <f>IFERROR(__xludf.DUMMYFUNCTION("rank(J1611,FILTER(J:J,R:R=R1611))"),7.0)</f>
        <v>7</v>
      </c>
      <c r="T1611" s="6">
        <f t="shared" si="6"/>
        <v>5</v>
      </c>
      <c r="U1611" s="6">
        <f t="shared" si="7"/>
        <v>7</v>
      </c>
      <c r="V1611" s="42">
        <f>averageif(AllData!A:A,B1611,AllData!R:R)/vlookup(B1611,AllData!A:O,15,0)</f>
        <v>93.61128205</v>
      </c>
      <c r="W1611" s="6"/>
    </row>
    <row r="1612" ht="14.25" customHeight="1">
      <c r="A1612" s="6" t="str">
        <f t="shared" si="1"/>
        <v>2019Fellows12</v>
      </c>
      <c r="B1612" s="59">
        <v>2019.0</v>
      </c>
      <c r="C1612" s="13" t="s">
        <v>79</v>
      </c>
      <c r="D1612" s="13" t="s">
        <v>151</v>
      </c>
      <c r="E1612" s="34"/>
      <c r="F1612" s="6"/>
      <c r="H1612" s="6"/>
      <c r="I1612" s="35" t="str">
        <f>IFERROR(IFERROR(IFERROR(VLOOKUP(B1612&amp;C1612&amp;Q1612,'New Weekly Paste'!A:M,10,0),VLOOKUP(B1612&amp;C1612&amp;Q1612,'New Weekly Paste'!B:O,6,0)),""),"")</f>
        <v>Shep</v>
      </c>
      <c r="J1612" s="239">
        <f>IFERROR(IFERROR(VLOOKUP(B1612&amp;C1612&amp;Q1612,'New Weekly Paste'!A:M,8,0),VLOOKUP(B1612&amp;C1612&amp;Q1612,'New Weekly Paste'!B:O,10,0)),0)</f>
        <v>55.28</v>
      </c>
      <c r="K1612" s="239">
        <f>IFERROR(IFERROR(VLOOKUP(B1612&amp;I1612&amp;Q1612,'New Weekly Paste'!A:M,8,0),VLOOKUP(B1612&amp;I1612&amp;Q1612,'New Weekly Paste'!B:O,10,0)),0)</f>
        <v>39.44</v>
      </c>
      <c r="L1612" s="239">
        <f t="shared" si="25"/>
        <v>1</v>
      </c>
      <c r="M1612" s="36" t="str">
        <f t="shared" si="3"/>
        <v>Regular Season</v>
      </c>
      <c r="N1612" s="239" t="str">
        <f t="shared" si="26"/>
        <v>Shep</v>
      </c>
      <c r="O1612" s="6">
        <f>VLOOKUP(D1612,'Mapped Opponent'!$G$4:$H$22,2,0)</f>
        <v>12</v>
      </c>
      <c r="P1612" s="6"/>
      <c r="Q1612" s="6" t="str">
        <f t="shared" si="4"/>
        <v>Week 12</v>
      </c>
      <c r="R1612" s="6" t="str">
        <f t="shared" si="5"/>
        <v>2019Week 12</v>
      </c>
      <c r="S1612" s="6">
        <f>IFERROR(__xludf.DUMMYFUNCTION("rank(J1612,FILTER(J:J,R:R=R1612))"),11.0)</f>
        <v>11</v>
      </c>
      <c r="T1612" s="6">
        <f t="shared" si="6"/>
        <v>1</v>
      </c>
      <c r="U1612" s="6">
        <f t="shared" si="7"/>
        <v>11</v>
      </c>
      <c r="V1612" s="42">
        <f>averageif(AllData!A:A,B1612,AllData!R:R)/vlookup(B1612,AllData!A:O,15,0)</f>
        <v>93.61128205</v>
      </c>
      <c r="W1612" s="6"/>
    </row>
    <row r="1613" ht="14.25" customHeight="1">
      <c r="A1613" s="6" t="str">
        <f t="shared" si="1"/>
        <v>2019Shep12</v>
      </c>
      <c r="B1613" s="59">
        <v>2019.0</v>
      </c>
      <c r="C1613" s="13" t="s">
        <v>89</v>
      </c>
      <c r="D1613" s="13" t="s">
        <v>151</v>
      </c>
      <c r="E1613" s="34"/>
      <c r="F1613" s="6"/>
      <c r="H1613" s="6"/>
      <c r="I1613" s="35" t="str">
        <f>IFERROR(IFERROR(IFERROR(VLOOKUP(B1613&amp;C1613&amp;Q1613,'New Weekly Paste'!A:M,10,0),VLOOKUP(B1613&amp;C1613&amp;Q1613,'New Weekly Paste'!B:O,6,0)),""),"")</f>
        <v>Fellows</v>
      </c>
      <c r="J1613" s="239">
        <f>IFERROR(IFERROR(VLOOKUP(B1613&amp;C1613&amp;Q1613,'New Weekly Paste'!A:M,8,0),VLOOKUP(B1613&amp;C1613&amp;Q1613,'New Weekly Paste'!B:O,10,0)),0)</f>
        <v>39.44</v>
      </c>
      <c r="K1613" s="239">
        <f>IFERROR(IFERROR(VLOOKUP(B1613&amp;I1613&amp;Q1613,'New Weekly Paste'!A:M,8,0),VLOOKUP(B1613&amp;I1613&amp;Q1613,'New Weekly Paste'!B:O,10,0)),0)</f>
        <v>55.28</v>
      </c>
      <c r="L1613" s="239">
        <f t="shared" si="25"/>
        <v>0</v>
      </c>
      <c r="M1613" s="36" t="str">
        <f t="shared" si="3"/>
        <v>Regular Season</v>
      </c>
      <c r="N1613" s="239" t="str">
        <f t="shared" si="26"/>
        <v>Fellows</v>
      </c>
      <c r="O1613" s="6">
        <f>VLOOKUP(D1613,'Mapped Opponent'!$G$4:$H$22,2,0)</f>
        <v>12</v>
      </c>
      <c r="P1613" s="6"/>
      <c r="Q1613" s="6" t="str">
        <f t="shared" si="4"/>
        <v>Week 12</v>
      </c>
      <c r="R1613" s="6" t="str">
        <f t="shared" si="5"/>
        <v>2019Week 12</v>
      </c>
      <c r="S1613" s="6">
        <f>IFERROR(__xludf.DUMMYFUNCTION("rank(J1613,FILTER(J:J,R:R=R1613))"),12.0)</f>
        <v>12</v>
      </c>
      <c r="T1613" s="6">
        <f t="shared" si="6"/>
        <v>0</v>
      </c>
      <c r="U1613" s="6">
        <f t="shared" si="7"/>
        <v>12</v>
      </c>
      <c r="V1613" s="42">
        <f>averageif(AllData!A:A,B1613,AllData!R:R)/vlookup(B1613,AllData!A:O,15,0)</f>
        <v>93.61128205</v>
      </c>
      <c r="W1613" s="6"/>
    </row>
    <row r="1614" ht="14.25" customHeight="1">
      <c r="A1614" s="6" t="str">
        <f t="shared" si="1"/>
        <v>2019Riley12</v>
      </c>
      <c r="B1614" s="59">
        <v>2019.0</v>
      </c>
      <c r="C1614" s="13" t="s">
        <v>67</v>
      </c>
      <c r="D1614" s="13" t="s">
        <v>151</v>
      </c>
      <c r="E1614" s="34"/>
      <c r="F1614" s="6"/>
      <c r="H1614" s="6"/>
      <c r="I1614" s="35" t="str">
        <f>IFERROR(IFERROR(IFERROR(VLOOKUP(B1614&amp;C1614&amp;Q1614,'New Weekly Paste'!A:M,10,0),VLOOKUP(B1614&amp;C1614&amp;Q1614,'New Weekly Paste'!B:O,6,0)),""),"")</f>
        <v>Pierson</v>
      </c>
      <c r="J1614" s="239">
        <f>IFERROR(IFERROR(VLOOKUP(B1614&amp;C1614&amp;Q1614,'New Weekly Paste'!A:M,8,0),VLOOKUP(B1614&amp;C1614&amp;Q1614,'New Weekly Paste'!B:O,10,0)),0)</f>
        <v>78.7</v>
      </c>
      <c r="K1614" s="239">
        <f>IFERROR(IFERROR(VLOOKUP(B1614&amp;I1614&amp;Q1614,'New Weekly Paste'!A:M,8,0),VLOOKUP(B1614&amp;I1614&amp;Q1614,'New Weekly Paste'!B:O,10,0)),0)</f>
        <v>127.86</v>
      </c>
      <c r="L1614" s="239">
        <f t="shared" si="25"/>
        <v>0</v>
      </c>
      <c r="M1614" s="36" t="str">
        <f t="shared" si="3"/>
        <v>Regular Season</v>
      </c>
      <c r="N1614" s="239" t="str">
        <f t="shared" si="26"/>
        <v>Pierson</v>
      </c>
      <c r="O1614" s="6">
        <f>VLOOKUP(D1614,'Mapped Opponent'!$G$4:$H$22,2,0)</f>
        <v>12</v>
      </c>
      <c r="P1614" s="6"/>
      <c r="Q1614" s="6" t="str">
        <f t="shared" si="4"/>
        <v>Week 12</v>
      </c>
      <c r="R1614" s="6" t="str">
        <f t="shared" si="5"/>
        <v>2019Week 12</v>
      </c>
      <c r="S1614" s="6">
        <f>IFERROR(__xludf.DUMMYFUNCTION("rank(J1614,FILTER(J:J,R:R=R1614))"),8.0)</f>
        <v>8</v>
      </c>
      <c r="T1614" s="6">
        <f t="shared" si="6"/>
        <v>4</v>
      </c>
      <c r="U1614" s="6">
        <f t="shared" si="7"/>
        <v>8</v>
      </c>
      <c r="V1614" s="42">
        <f>averageif(AllData!A:A,B1614,AllData!R:R)/vlookup(B1614,AllData!A:O,15,0)</f>
        <v>93.61128205</v>
      </c>
      <c r="W1614" s="6"/>
    </row>
    <row r="1615" ht="14.25" customHeight="1">
      <c r="A1615" s="6" t="str">
        <f t="shared" si="1"/>
        <v>2019Rooney/Jackson12</v>
      </c>
      <c r="B1615" s="59">
        <v>2019.0</v>
      </c>
      <c r="C1615" s="13" t="s">
        <v>57</v>
      </c>
      <c r="D1615" s="13" t="s">
        <v>151</v>
      </c>
      <c r="E1615" s="34"/>
      <c r="F1615" s="6"/>
      <c r="H1615" s="6"/>
      <c r="I1615" s="35" t="str">
        <f>IFERROR(IFERROR(IFERROR(VLOOKUP(B1615&amp;C1615&amp;Q1615,'New Weekly Paste'!A:M,10,0),VLOOKUP(B1615&amp;C1615&amp;Q1615,'New Weekly Paste'!B:O,6,0)),""),"")</f>
        <v>T-How</v>
      </c>
      <c r="J1615" s="239">
        <f>IFERROR(IFERROR(VLOOKUP(B1615&amp;C1615&amp;Q1615,'New Weekly Paste'!A:M,8,0),VLOOKUP(B1615&amp;C1615&amp;Q1615,'New Weekly Paste'!B:O,10,0)),0)</f>
        <v>106.48</v>
      </c>
      <c r="K1615" s="239">
        <f>IFERROR(IFERROR(VLOOKUP(B1615&amp;I1615&amp;Q1615,'New Weekly Paste'!A:M,8,0),VLOOKUP(B1615&amp;I1615&amp;Q1615,'New Weekly Paste'!B:O,10,0)),0)</f>
        <v>100.48</v>
      </c>
      <c r="L1615" s="239">
        <f t="shared" si="25"/>
        <v>1</v>
      </c>
      <c r="M1615" s="36" t="str">
        <f t="shared" si="3"/>
        <v>Regular Season</v>
      </c>
      <c r="N1615" s="239" t="str">
        <f t="shared" si="26"/>
        <v>T-How</v>
      </c>
      <c r="O1615" s="6">
        <f>VLOOKUP(D1615,'Mapped Opponent'!$G$4:$H$22,2,0)</f>
        <v>12</v>
      </c>
      <c r="P1615" s="6"/>
      <c r="Q1615" s="6" t="str">
        <f t="shared" si="4"/>
        <v>Week 12</v>
      </c>
      <c r="R1615" s="6" t="str">
        <f t="shared" si="5"/>
        <v>2019Week 12</v>
      </c>
      <c r="S1615" s="6">
        <f>IFERROR(__xludf.DUMMYFUNCTION("rank(J1615,FILTER(J:J,R:R=R1615))"),3.0)</f>
        <v>3</v>
      </c>
      <c r="T1615" s="6">
        <f t="shared" si="6"/>
        <v>9</v>
      </c>
      <c r="U1615" s="6">
        <f t="shared" si="7"/>
        <v>3</v>
      </c>
      <c r="V1615" s="42">
        <f>averageif(AllData!A:A,B1615,AllData!R:R)/vlookup(B1615,AllData!A:O,15,0)</f>
        <v>93.61128205</v>
      </c>
      <c r="W1615" s="6"/>
    </row>
    <row r="1616" ht="14.25" customHeight="1">
      <c r="A1616" s="6" t="str">
        <f t="shared" si="1"/>
        <v>2019Buser12</v>
      </c>
      <c r="B1616" s="59">
        <v>2019.0</v>
      </c>
      <c r="C1616" s="13" t="s">
        <v>47</v>
      </c>
      <c r="D1616" s="13" t="s">
        <v>151</v>
      </c>
      <c r="E1616" s="34"/>
      <c r="F1616" s="6"/>
      <c r="H1616" s="6"/>
      <c r="I1616" s="35" t="str">
        <f>IFERROR(IFERROR(IFERROR(VLOOKUP(B1616&amp;C1616&amp;Q1616,'New Weekly Paste'!A:M,10,0),VLOOKUP(B1616&amp;C1616&amp;Q1616,'New Weekly Paste'!B:O,6,0)),""),"")</f>
        <v>Tayski</v>
      </c>
      <c r="J1616" s="239">
        <f>IFERROR(IFERROR(VLOOKUP(B1616&amp;C1616&amp;Q1616,'New Weekly Paste'!A:M,8,0),VLOOKUP(B1616&amp;C1616&amp;Q1616,'New Weekly Paste'!B:O,10,0)),0)</f>
        <v>82.4</v>
      </c>
      <c r="K1616" s="239">
        <f>IFERROR(IFERROR(VLOOKUP(B1616&amp;I1616&amp;Q1616,'New Weekly Paste'!A:M,8,0),VLOOKUP(B1616&amp;I1616&amp;Q1616,'New Weekly Paste'!B:O,10,0)),0)</f>
        <v>134.02</v>
      </c>
      <c r="L1616" s="239">
        <f t="shared" si="25"/>
        <v>0</v>
      </c>
      <c r="M1616" s="36" t="str">
        <f t="shared" si="3"/>
        <v>Regular Season</v>
      </c>
      <c r="N1616" s="239" t="str">
        <f t="shared" si="26"/>
        <v>Tayski</v>
      </c>
      <c r="O1616" s="6">
        <f>VLOOKUP(D1616,'Mapped Opponent'!$G$4:$H$22,2,0)</f>
        <v>12</v>
      </c>
      <c r="P1616" s="6"/>
      <c r="Q1616" s="6" t="str">
        <f t="shared" si="4"/>
        <v>Week 12</v>
      </c>
      <c r="R1616" s="6" t="str">
        <f t="shared" si="5"/>
        <v>2019Week 12</v>
      </c>
      <c r="S1616" s="6">
        <f>IFERROR(__xludf.DUMMYFUNCTION("rank(J1616,FILTER(J:J,R:R=R1616))"),6.0)</f>
        <v>6</v>
      </c>
      <c r="T1616" s="6">
        <f t="shared" si="6"/>
        <v>6</v>
      </c>
      <c r="U1616" s="6">
        <f t="shared" si="7"/>
        <v>6</v>
      </c>
      <c r="V1616" s="42">
        <f>averageif(AllData!A:A,B1616,AllData!R:R)/vlookup(B1616,AllData!A:O,15,0)</f>
        <v>93.61128205</v>
      </c>
      <c r="W1616" s="6"/>
    </row>
    <row r="1617" ht="14.25" customHeight="1">
      <c r="A1617" s="6" t="str">
        <f t="shared" si="1"/>
        <v>2019Pierson12</v>
      </c>
      <c r="B1617" s="59">
        <v>2019.0</v>
      </c>
      <c r="C1617" s="13" t="s">
        <v>92</v>
      </c>
      <c r="D1617" s="13" t="s">
        <v>151</v>
      </c>
      <c r="E1617" s="34"/>
      <c r="F1617" s="6"/>
      <c r="H1617" s="6"/>
      <c r="I1617" s="35" t="str">
        <f>IFERROR(IFERROR(IFERROR(VLOOKUP(B1617&amp;C1617&amp;Q1617,'New Weekly Paste'!A:M,10,0),VLOOKUP(B1617&amp;C1617&amp;Q1617,'New Weekly Paste'!B:O,6,0)),""),"")</f>
        <v>Riley</v>
      </c>
      <c r="J1617" s="239">
        <f>IFERROR(IFERROR(VLOOKUP(B1617&amp;C1617&amp;Q1617,'New Weekly Paste'!A:M,8,0),VLOOKUP(B1617&amp;C1617&amp;Q1617,'New Weekly Paste'!B:O,10,0)),0)</f>
        <v>127.86</v>
      </c>
      <c r="K1617" s="239">
        <f>IFERROR(IFERROR(VLOOKUP(B1617&amp;I1617&amp;Q1617,'New Weekly Paste'!A:M,8,0),VLOOKUP(B1617&amp;I1617&amp;Q1617,'New Weekly Paste'!B:O,10,0)),0)</f>
        <v>78.7</v>
      </c>
      <c r="L1617" s="239">
        <f t="shared" si="25"/>
        <v>1</v>
      </c>
      <c r="M1617" s="36" t="str">
        <f t="shared" si="3"/>
        <v>Regular Season</v>
      </c>
      <c r="N1617" s="239" t="str">
        <f t="shared" si="26"/>
        <v>Riley</v>
      </c>
      <c r="O1617" s="6">
        <f>VLOOKUP(D1617,'Mapped Opponent'!$G$4:$H$22,2,0)</f>
        <v>12</v>
      </c>
      <c r="P1617" s="6"/>
      <c r="Q1617" s="6" t="str">
        <f t="shared" si="4"/>
        <v>Week 12</v>
      </c>
      <c r="R1617" s="6" t="str">
        <f t="shared" si="5"/>
        <v>2019Week 12</v>
      </c>
      <c r="S1617" s="6">
        <f>IFERROR(__xludf.DUMMYFUNCTION("rank(J1617,FILTER(J:J,R:R=R1617))"),2.0)</f>
        <v>2</v>
      </c>
      <c r="T1617" s="6">
        <f t="shared" si="6"/>
        <v>10</v>
      </c>
      <c r="U1617" s="6">
        <f t="shared" si="7"/>
        <v>2</v>
      </c>
      <c r="V1617" s="42">
        <f>averageif(AllData!A:A,B1617,AllData!R:R)/vlookup(B1617,AllData!A:O,15,0)</f>
        <v>93.61128205</v>
      </c>
      <c r="W1617" s="6"/>
    </row>
    <row r="1618" ht="14.25" customHeight="1">
      <c r="A1618" s="6" t="str">
        <f t="shared" si="1"/>
        <v>2019Cock12</v>
      </c>
      <c r="B1618" s="59">
        <v>2019.0</v>
      </c>
      <c r="C1618" s="13" t="s">
        <v>72</v>
      </c>
      <c r="D1618" s="13" t="s">
        <v>151</v>
      </c>
      <c r="E1618" s="34"/>
      <c r="F1618" s="6"/>
      <c r="H1618" s="6"/>
      <c r="I1618" s="35" t="str">
        <f>IFERROR(IFERROR(IFERROR(VLOOKUP(B1618&amp;C1618&amp;Q1618,'New Weekly Paste'!A:M,10,0),VLOOKUP(B1618&amp;C1618&amp;Q1618,'New Weekly Paste'!B:O,6,0)),""),"")</f>
        <v>KnardDawg</v>
      </c>
      <c r="J1618" s="239">
        <f>IFERROR(IFERROR(VLOOKUP(B1618&amp;C1618&amp;Q1618,'New Weekly Paste'!A:M,8,0),VLOOKUP(B1618&amp;C1618&amp;Q1618,'New Weekly Paste'!B:O,10,0)),0)</f>
        <v>77.6</v>
      </c>
      <c r="K1618" s="239">
        <f>IFERROR(IFERROR(VLOOKUP(B1618&amp;I1618&amp;Q1618,'New Weekly Paste'!A:M,8,0),VLOOKUP(B1618&amp;I1618&amp;Q1618,'New Weekly Paste'!B:O,10,0)),0)</f>
        <v>61.58</v>
      </c>
      <c r="L1618" s="239">
        <f t="shared" si="25"/>
        <v>1</v>
      </c>
      <c r="M1618" s="36" t="str">
        <f t="shared" si="3"/>
        <v>Regular Season</v>
      </c>
      <c r="N1618" s="239" t="str">
        <f t="shared" si="26"/>
        <v>KnardDawg</v>
      </c>
      <c r="O1618" s="6">
        <f>VLOOKUP(D1618,'Mapped Opponent'!$G$4:$H$22,2,0)</f>
        <v>12</v>
      </c>
      <c r="P1618" s="6"/>
      <c r="Q1618" s="6" t="str">
        <f t="shared" si="4"/>
        <v>Week 12</v>
      </c>
      <c r="R1618" s="6" t="str">
        <f t="shared" si="5"/>
        <v>2019Week 12</v>
      </c>
      <c r="S1618" s="6">
        <f>IFERROR(__xludf.DUMMYFUNCTION("rank(J1618,FILTER(J:J,R:R=R1618))"),9.0)</f>
        <v>9</v>
      </c>
      <c r="T1618" s="6">
        <f t="shared" si="6"/>
        <v>3</v>
      </c>
      <c r="U1618" s="6">
        <f t="shared" si="7"/>
        <v>9</v>
      </c>
      <c r="V1618" s="42">
        <f>averageif(AllData!A:A,B1618,AllData!R:R)/vlookup(B1618,AllData!A:O,15,0)</f>
        <v>93.61128205</v>
      </c>
      <c r="W1618" s="6"/>
    </row>
    <row r="1619" ht="14.25" customHeight="1">
      <c r="A1619" s="6" t="str">
        <f t="shared" si="1"/>
        <v>2019Tayski12</v>
      </c>
      <c r="B1619" s="59">
        <v>2019.0</v>
      </c>
      <c r="C1619" s="13" t="s">
        <v>52</v>
      </c>
      <c r="D1619" s="13" t="s">
        <v>151</v>
      </c>
      <c r="E1619" s="34"/>
      <c r="F1619" s="6"/>
      <c r="H1619" s="6"/>
      <c r="I1619" s="35" t="str">
        <f>IFERROR(IFERROR(IFERROR(VLOOKUP(B1619&amp;C1619&amp;Q1619,'New Weekly Paste'!A:M,10,0),VLOOKUP(B1619&amp;C1619&amp;Q1619,'New Weekly Paste'!B:O,6,0)),""),"")</f>
        <v>Buser</v>
      </c>
      <c r="J1619" s="239">
        <f>IFERROR(IFERROR(VLOOKUP(B1619&amp;C1619&amp;Q1619,'New Weekly Paste'!A:M,8,0),VLOOKUP(B1619&amp;C1619&amp;Q1619,'New Weekly Paste'!B:O,10,0)),0)</f>
        <v>134.02</v>
      </c>
      <c r="K1619" s="239">
        <f>IFERROR(IFERROR(VLOOKUP(B1619&amp;I1619&amp;Q1619,'New Weekly Paste'!A:M,8,0),VLOOKUP(B1619&amp;I1619&amp;Q1619,'New Weekly Paste'!B:O,10,0)),0)</f>
        <v>82.4</v>
      </c>
      <c r="L1619" s="239">
        <f t="shared" si="25"/>
        <v>1</v>
      </c>
      <c r="M1619" s="36" t="str">
        <f t="shared" si="3"/>
        <v>Regular Season</v>
      </c>
      <c r="N1619" s="239" t="str">
        <f t="shared" si="26"/>
        <v>Buser</v>
      </c>
      <c r="O1619" s="6">
        <f>VLOOKUP(D1619,'Mapped Opponent'!$G$4:$H$22,2,0)</f>
        <v>12</v>
      </c>
      <c r="P1619" s="6"/>
      <c r="Q1619" s="6" t="str">
        <f t="shared" si="4"/>
        <v>Week 12</v>
      </c>
      <c r="R1619" s="6" t="str">
        <f t="shared" si="5"/>
        <v>2019Week 12</v>
      </c>
      <c r="S1619" s="6">
        <f>IFERROR(__xludf.DUMMYFUNCTION("rank(J1619,FILTER(J:J,R:R=R1619))"),1.0)</f>
        <v>1</v>
      </c>
      <c r="T1619" s="6">
        <f t="shared" si="6"/>
        <v>11</v>
      </c>
      <c r="U1619" s="6">
        <f t="shared" si="7"/>
        <v>1</v>
      </c>
      <c r="V1619" s="42">
        <f>averageif(AllData!A:A,B1619,AllData!R:R)/vlookup(B1619,AllData!A:O,15,0)</f>
        <v>93.61128205</v>
      </c>
      <c r="W1619" s="6"/>
    </row>
    <row r="1620" ht="14.25" customHeight="1">
      <c r="A1620" s="6" t="str">
        <f t="shared" si="1"/>
        <v>2019KnardDawg12</v>
      </c>
      <c r="B1620" s="59">
        <v>2019.0</v>
      </c>
      <c r="C1620" s="13" t="s">
        <v>86</v>
      </c>
      <c r="D1620" s="13" t="s">
        <v>151</v>
      </c>
      <c r="E1620" s="34"/>
      <c r="F1620" s="6"/>
      <c r="H1620" s="6"/>
      <c r="I1620" s="35" t="str">
        <f>IFERROR(IFERROR(IFERROR(VLOOKUP(B1620&amp;C1620&amp;Q1620,'New Weekly Paste'!A:M,10,0),VLOOKUP(B1620&amp;C1620&amp;Q1620,'New Weekly Paste'!B:O,6,0)),""),"")</f>
        <v>Cock</v>
      </c>
      <c r="J1620" s="239">
        <f>IFERROR(IFERROR(VLOOKUP(B1620&amp;C1620&amp;Q1620,'New Weekly Paste'!A:M,8,0),VLOOKUP(B1620&amp;C1620&amp;Q1620,'New Weekly Paste'!B:O,10,0)),0)</f>
        <v>61.58</v>
      </c>
      <c r="K1620" s="239">
        <f>IFERROR(IFERROR(VLOOKUP(B1620&amp;I1620&amp;Q1620,'New Weekly Paste'!A:M,8,0),VLOOKUP(B1620&amp;I1620&amp;Q1620,'New Weekly Paste'!B:O,10,0)),0)</f>
        <v>77.6</v>
      </c>
      <c r="L1620" s="239">
        <f t="shared" si="25"/>
        <v>0</v>
      </c>
      <c r="M1620" s="36" t="str">
        <f t="shared" si="3"/>
        <v>Regular Season</v>
      </c>
      <c r="N1620" s="239" t="str">
        <f t="shared" si="26"/>
        <v>Cock</v>
      </c>
      <c r="O1620" s="6">
        <f>VLOOKUP(D1620,'Mapped Opponent'!$G$4:$H$22,2,0)</f>
        <v>12</v>
      </c>
      <c r="P1620" s="6"/>
      <c r="Q1620" s="6" t="str">
        <f t="shared" si="4"/>
        <v>Week 12</v>
      </c>
      <c r="R1620" s="6" t="str">
        <f t="shared" si="5"/>
        <v>2019Week 12</v>
      </c>
      <c r="S1620" s="6">
        <f>IFERROR(__xludf.DUMMYFUNCTION("rank(J1620,FILTER(J:J,R:R=R1620))"),10.0)</f>
        <v>10</v>
      </c>
      <c r="T1620" s="6">
        <f t="shared" si="6"/>
        <v>2</v>
      </c>
      <c r="U1620" s="6">
        <f t="shared" si="7"/>
        <v>10</v>
      </c>
      <c r="V1620" s="42">
        <f>averageif(AllData!A:A,B1620,AllData!R:R)/vlookup(B1620,AllData!A:O,15,0)</f>
        <v>93.61128205</v>
      </c>
      <c r="W1620" s="6"/>
    </row>
    <row r="1621" ht="14.25" customHeight="1">
      <c r="A1621" s="6" t="str">
        <f t="shared" si="1"/>
        <v>2019T-How12</v>
      </c>
      <c r="B1621" s="59">
        <v>2019.0</v>
      </c>
      <c r="C1621" s="13" t="s">
        <v>82</v>
      </c>
      <c r="D1621" s="13" t="s">
        <v>151</v>
      </c>
      <c r="E1621" s="34"/>
      <c r="F1621" s="6"/>
      <c r="H1621" s="6"/>
      <c r="I1621" s="35" t="str">
        <f>IFERROR(IFERROR(IFERROR(VLOOKUP(B1621&amp;C1621&amp;Q1621,'New Weekly Paste'!A:M,10,0),VLOOKUP(B1621&amp;C1621&amp;Q1621,'New Weekly Paste'!B:O,6,0)),""),"")</f>
        <v>Rooney/Jackson</v>
      </c>
      <c r="J1621" s="239">
        <f>IFERROR(IFERROR(VLOOKUP(B1621&amp;C1621&amp;Q1621,'New Weekly Paste'!A:M,8,0),VLOOKUP(B1621&amp;C1621&amp;Q1621,'New Weekly Paste'!B:O,10,0)),0)</f>
        <v>100.48</v>
      </c>
      <c r="K1621" s="239">
        <f>IFERROR(IFERROR(VLOOKUP(B1621&amp;I1621&amp;Q1621,'New Weekly Paste'!A:M,8,0),VLOOKUP(B1621&amp;I1621&amp;Q1621,'New Weekly Paste'!B:O,10,0)),0)</f>
        <v>106.48</v>
      </c>
      <c r="L1621" s="239">
        <f t="shared" si="25"/>
        <v>0</v>
      </c>
      <c r="M1621" s="36" t="str">
        <f t="shared" si="3"/>
        <v>Regular Season</v>
      </c>
      <c r="N1621" s="239" t="str">
        <f t="shared" si="26"/>
        <v>Rooney/Jackson</v>
      </c>
      <c r="O1621" s="6">
        <f>VLOOKUP(D1621,'Mapped Opponent'!$G$4:$H$22,2,0)</f>
        <v>12</v>
      </c>
      <c r="P1621" s="6"/>
      <c r="Q1621" s="6" t="str">
        <f t="shared" si="4"/>
        <v>Week 12</v>
      </c>
      <c r="R1621" s="6" t="str">
        <f t="shared" si="5"/>
        <v>2019Week 12</v>
      </c>
      <c r="S1621" s="6">
        <f>IFERROR(__xludf.DUMMYFUNCTION("rank(J1621,FILTER(J:J,R:R=R1621))"),4.0)</f>
        <v>4</v>
      </c>
      <c r="T1621" s="6">
        <f t="shared" si="6"/>
        <v>8</v>
      </c>
      <c r="U1621" s="6">
        <f t="shared" si="7"/>
        <v>4</v>
      </c>
      <c r="V1621" s="42">
        <f>averageif(AllData!A:A,B1621,AllData!R:R)/vlookup(B1621,AllData!A:O,15,0)</f>
        <v>93.61128205</v>
      </c>
      <c r="W1621" s="6"/>
    </row>
    <row r="1622" ht="14.25" customHeight="1">
      <c r="A1622" s="6" t="str">
        <f t="shared" si="1"/>
        <v>2019Hudspeath13</v>
      </c>
      <c r="B1622" s="59">
        <v>2019.0</v>
      </c>
      <c r="C1622" s="13" t="s">
        <v>39</v>
      </c>
      <c r="D1622" s="13" t="s">
        <v>152</v>
      </c>
      <c r="E1622" s="34"/>
      <c r="F1622" s="6"/>
      <c r="H1622" s="6"/>
      <c r="I1622" s="35" t="str">
        <f>IFERROR(IFERROR(IFERROR(VLOOKUP(B1622&amp;C1622&amp;Q1622,'New Weekly Paste'!A:M,10,0),VLOOKUP(B1622&amp;C1622&amp;Q1622,'New Weekly Paste'!B:O,6,0)),""),"")</f>
        <v>Rooney/Jackson</v>
      </c>
      <c r="J1622" s="239">
        <f>IFERROR(IFERROR(VLOOKUP(B1622&amp;C1622&amp;Q1622,'New Weekly Paste'!A:M,8,0),VLOOKUP(B1622&amp;C1622&amp;Q1622,'New Weekly Paste'!B:O,10,0)),0)</f>
        <v>87.82</v>
      </c>
      <c r="K1622" s="239">
        <f>IFERROR(IFERROR(VLOOKUP(B1622&amp;I1622&amp;Q1622,'New Weekly Paste'!A:M,8,0),VLOOKUP(B1622&amp;I1622&amp;Q1622,'New Weekly Paste'!B:O,10,0)),0)</f>
        <v>87.64</v>
      </c>
      <c r="L1622" s="239">
        <f t="shared" si="25"/>
        <v>1</v>
      </c>
      <c r="M1622" s="36" t="str">
        <f t="shared" si="3"/>
        <v>Regular Season</v>
      </c>
      <c r="N1622" s="239" t="str">
        <f t="shared" si="26"/>
        <v>Rooney/Jackson</v>
      </c>
      <c r="O1622" s="6">
        <f>VLOOKUP(D1622,'Mapped Opponent'!$G$4:$H$22,2,0)</f>
        <v>13</v>
      </c>
      <c r="P1622" s="6"/>
      <c r="Q1622" s="6" t="str">
        <f t="shared" si="4"/>
        <v>Week 13</v>
      </c>
      <c r="R1622" s="6" t="str">
        <f t="shared" si="5"/>
        <v>2019Week 13</v>
      </c>
      <c r="S1622" s="6">
        <f>IFERROR(__xludf.DUMMYFUNCTION("rank(J1622,FILTER(J:J,R:R=R1622))"),6.0)</f>
        <v>6</v>
      </c>
      <c r="T1622" s="6">
        <f t="shared" si="6"/>
        <v>6</v>
      </c>
      <c r="U1622" s="6">
        <f t="shared" si="7"/>
        <v>6</v>
      </c>
      <c r="V1622" s="42">
        <f>averageif(AllData!A:A,B1622,AllData!R:R)/vlookup(B1622,AllData!A:O,15,0)</f>
        <v>93.61128205</v>
      </c>
      <c r="W1622" s="6"/>
    </row>
    <row r="1623" ht="14.25" customHeight="1">
      <c r="A1623" s="6" t="str">
        <f t="shared" si="1"/>
        <v>2019Salty13</v>
      </c>
      <c r="B1623" s="59">
        <v>2019.0</v>
      </c>
      <c r="C1623" s="13" t="s">
        <v>76</v>
      </c>
      <c r="D1623" s="13" t="s">
        <v>152</v>
      </c>
      <c r="E1623" s="34"/>
      <c r="F1623" s="6"/>
      <c r="H1623" s="6"/>
      <c r="I1623" s="35" t="str">
        <f>IFERROR(IFERROR(IFERROR(VLOOKUP(B1623&amp;C1623&amp;Q1623,'New Weekly Paste'!A:M,10,0),VLOOKUP(B1623&amp;C1623&amp;Q1623,'New Weekly Paste'!B:O,6,0)),""),"")</f>
        <v>KnardDawg</v>
      </c>
      <c r="J1623" s="239">
        <f>IFERROR(IFERROR(VLOOKUP(B1623&amp;C1623&amp;Q1623,'New Weekly Paste'!A:M,8,0),VLOOKUP(B1623&amp;C1623&amp;Q1623,'New Weekly Paste'!B:O,10,0)),0)</f>
        <v>92.12</v>
      </c>
      <c r="K1623" s="239">
        <f>IFERROR(IFERROR(VLOOKUP(B1623&amp;I1623&amp;Q1623,'New Weekly Paste'!A:M,8,0),VLOOKUP(B1623&amp;I1623&amp;Q1623,'New Weekly Paste'!B:O,10,0)),0)</f>
        <v>79.8</v>
      </c>
      <c r="L1623" s="239">
        <f t="shared" si="25"/>
        <v>1</v>
      </c>
      <c r="M1623" s="36" t="str">
        <f t="shared" si="3"/>
        <v>Regular Season</v>
      </c>
      <c r="N1623" s="239" t="str">
        <f t="shared" si="26"/>
        <v>KnardDawg</v>
      </c>
      <c r="O1623" s="6">
        <f>VLOOKUP(D1623,'Mapped Opponent'!$G$4:$H$22,2,0)</f>
        <v>13</v>
      </c>
      <c r="P1623" s="6"/>
      <c r="Q1623" s="6" t="str">
        <f t="shared" si="4"/>
        <v>Week 13</v>
      </c>
      <c r="R1623" s="6" t="str">
        <f t="shared" si="5"/>
        <v>2019Week 13</v>
      </c>
      <c r="S1623" s="6">
        <f>IFERROR(__xludf.DUMMYFUNCTION("rank(J1623,FILTER(J:J,R:R=R1623))"),5.0)</f>
        <v>5</v>
      </c>
      <c r="T1623" s="6">
        <f t="shared" si="6"/>
        <v>7</v>
      </c>
      <c r="U1623" s="6">
        <f t="shared" si="7"/>
        <v>5</v>
      </c>
      <c r="V1623" s="42">
        <f>averageif(AllData!A:A,B1623,AllData!R:R)/vlookup(B1623,AllData!A:O,15,0)</f>
        <v>93.61128205</v>
      </c>
      <c r="W1623" s="6"/>
    </row>
    <row r="1624" ht="14.25" customHeight="1">
      <c r="A1624" s="6" t="str">
        <f t="shared" si="1"/>
        <v>2019Fellows13</v>
      </c>
      <c r="B1624" s="59">
        <v>2019.0</v>
      </c>
      <c r="C1624" s="13" t="s">
        <v>79</v>
      </c>
      <c r="D1624" s="13" t="s">
        <v>152</v>
      </c>
      <c r="E1624" s="34"/>
      <c r="F1624" s="6"/>
      <c r="H1624" s="6"/>
      <c r="I1624" s="35" t="str">
        <f>IFERROR(IFERROR(IFERROR(VLOOKUP(B1624&amp;C1624&amp;Q1624,'New Weekly Paste'!A:M,10,0),VLOOKUP(B1624&amp;C1624&amp;Q1624,'New Weekly Paste'!B:O,6,0)),""),"")</f>
        <v>Buser</v>
      </c>
      <c r="J1624" s="239">
        <f>IFERROR(IFERROR(VLOOKUP(B1624&amp;C1624&amp;Q1624,'New Weekly Paste'!A:M,8,0),VLOOKUP(B1624&amp;C1624&amp;Q1624,'New Weekly Paste'!B:O,10,0)),0)</f>
        <v>68.5</v>
      </c>
      <c r="K1624" s="239">
        <f>IFERROR(IFERROR(VLOOKUP(B1624&amp;I1624&amp;Q1624,'New Weekly Paste'!A:M,8,0),VLOOKUP(B1624&amp;I1624&amp;Q1624,'New Weekly Paste'!B:O,10,0)),0)</f>
        <v>94.9</v>
      </c>
      <c r="L1624" s="239">
        <f t="shared" si="25"/>
        <v>0</v>
      </c>
      <c r="M1624" s="36" t="str">
        <f t="shared" si="3"/>
        <v>Regular Season</v>
      </c>
      <c r="N1624" s="239" t="str">
        <f t="shared" si="26"/>
        <v>Buser</v>
      </c>
      <c r="O1624" s="6">
        <f>VLOOKUP(D1624,'Mapped Opponent'!$G$4:$H$22,2,0)</f>
        <v>13</v>
      </c>
      <c r="P1624" s="6"/>
      <c r="Q1624" s="6" t="str">
        <f t="shared" si="4"/>
        <v>Week 13</v>
      </c>
      <c r="R1624" s="6" t="str">
        <f t="shared" si="5"/>
        <v>2019Week 13</v>
      </c>
      <c r="S1624" s="6">
        <f>IFERROR(__xludf.DUMMYFUNCTION("rank(J1624,FILTER(J:J,R:R=R1624))"),9.0)</f>
        <v>9</v>
      </c>
      <c r="T1624" s="6">
        <f t="shared" si="6"/>
        <v>3</v>
      </c>
      <c r="U1624" s="6">
        <f t="shared" si="7"/>
        <v>9</v>
      </c>
      <c r="V1624" s="42">
        <f>averageif(AllData!A:A,B1624,AllData!R:R)/vlookup(B1624,AllData!A:O,15,0)</f>
        <v>93.61128205</v>
      </c>
      <c r="W1624" s="6"/>
    </row>
    <row r="1625" ht="14.25" customHeight="1">
      <c r="A1625" s="6" t="str">
        <f t="shared" si="1"/>
        <v>2019Shep13</v>
      </c>
      <c r="B1625" s="59">
        <v>2019.0</v>
      </c>
      <c r="C1625" s="13" t="s">
        <v>89</v>
      </c>
      <c r="D1625" s="13" t="s">
        <v>152</v>
      </c>
      <c r="E1625" s="34"/>
      <c r="F1625" s="6"/>
      <c r="H1625" s="6"/>
      <c r="I1625" s="35" t="str">
        <f>IFERROR(IFERROR(IFERROR(VLOOKUP(B1625&amp;C1625&amp;Q1625,'New Weekly Paste'!A:M,10,0),VLOOKUP(B1625&amp;C1625&amp;Q1625,'New Weekly Paste'!B:O,6,0)),""),"")</f>
        <v>Riley</v>
      </c>
      <c r="J1625" s="239">
        <f>IFERROR(IFERROR(VLOOKUP(B1625&amp;C1625&amp;Q1625,'New Weekly Paste'!A:M,8,0),VLOOKUP(B1625&amp;C1625&amp;Q1625,'New Weekly Paste'!B:O,10,0)),0)</f>
        <v>54.58</v>
      </c>
      <c r="K1625" s="239">
        <f>IFERROR(IFERROR(VLOOKUP(B1625&amp;I1625&amp;Q1625,'New Weekly Paste'!A:M,8,0),VLOOKUP(B1625&amp;I1625&amp;Q1625,'New Weekly Paste'!B:O,10,0)),0)</f>
        <v>65.22</v>
      </c>
      <c r="L1625" s="239">
        <f t="shared" si="25"/>
        <v>0</v>
      </c>
      <c r="M1625" s="36" t="str">
        <f t="shared" si="3"/>
        <v>Regular Season</v>
      </c>
      <c r="N1625" s="239" t="str">
        <f t="shared" si="26"/>
        <v>Riley</v>
      </c>
      <c r="O1625" s="6">
        <f>VLOOKUP(D1625,'Mapped Opponent'!$G$4:$H$22,2,0)</f>
        <v>13</v>
      </c>
      <c r="P1625" s="6"/>
      <c r="Q1625" s="6" t="str">
        <f t="shared" si="4"/>
        <v>Week 13</v>
      </c>
      <c r="R1625" s="6" t="str">
        <f t="shared" si="5"/>
        <v>2019Week 13</v>
      </c>
      <c r="S1625" s="6">
        <f>IFERROR(__xludf.DUMMYFUNCTION("rank(J1625,FILTER(J:J,R:R=R1625))"),12.0)</f>
        <v>12</v>
      </c>
      <c r="T1625" s="6">
        <f t="shared" si="6"/>
        <v>0</v>
      </c>
      <c r="U1625" s="6">
        <f t="shared" si="7"/>
        <v>12</v>
      </c>
      <c r="V1625" s="42">
        <f>averageif(AllData!A:A,B1625,AllData!R:R)/vlookup(B1625,AllData!A:O,15,0)</f>
        <v>93.61128205</v>
      </c>
      <c r="W1625" s="6"/>
    </row>
    <row r="1626" ht="14.25" customHeight="1">
      <c r="A1626" s="6" t="str">
        <f t="shared" si="1"/>
        <v>2019Riley13</v>
      </c>
      <c r="B1626" s="59">
        <v>2019.0</v>
      </c>
      <c r="C1626" s="13" t="s">
        <v>67</v>
      </c>
      <c r="D1626" s="13" t="s">
        <v>152</v>
      </c>
      <c r="E1626" s="34"/>
      <c r="F1626" s="6"/>
      <c r="H1626" s="6"/>
      <c r="I1626" s="35" t="str">
        <f>IFERROR(IFERROR(IFERROR(VLOOKUP(B1626&amp;C1626&amp;Q1626,'New Weekly Paste'!A:M,10,0),VLOOKUP(B1626&amp;C1626&amp;Q1626,'New Weekly Paste'!B:O,6,0)),""),"")</f>
        <v>Shep</v>
      </c>
      <c r="J1626" s="239">
        <f>IFERROR(IFERROR(VLOOKUP(B1626&amp;C1626&amp;Q1626,'New Weekly Paste'!A:M,8,0),VLOOKUP(B1626&amp;C1626&amp;Q1626,'New Weekly Paste'!B:O,10,0)),0)</f>
        <v>65.22</v>
      </c>
      <c r="K1626" s="239">
        <f>IFERROR(IFERROR(VLOOKUP(B1626&amp;I1626&amp;Q1626,'New Weekly Paste'!A:M,8,0),VLOOKUP(B1626&amp;I1626&amp;Q1626,'New Weekly Paste'!B:O,10,0)),0)</f>
        <v>54.58</v>
      </c>
      <c r="L1626" s="239">
        <f t="shared" si="25"/>
        <v>1</v>
      </c>
      <c r="M1626" s="36" t="str">
        <f t="shared" si="3"/>
        <v>Regular Season</v>
      </c>
      <c r="N1626" s="239" t="str">
        <f t="shared" si="26"/>
        <v>Shep</v>
      </c>
      <c r="O1626" s="6">
        <f>VLOOKUP(D1626,'Mapped Opponent'!$G$4:$H$22,2,0)</f>
        <v>13</v>
      </c>
      <c r="P1626" s="6"/>
      <c r="Q1626" s="6" t="str">
        <f t="shared" si="4"/>
        <v>Week 13</v>
      </c>
      <c r="R1626" s="6" t="str">
        <f t="shared" si="5"/>
        <v>2019Week 13</v>
      </c>
      <c r="S1626" s="6">
        <f>IFERROR(__xludf.DUMMYFUNCTION("rank(J1626,FILTER(J:J,R:R=R1626))"),10.0)</f>
        <v>10</v>
      </c>
      <c r="T1626" s="6">
        <f t="shared" si="6"/>
        <v>2</v>
      </c>
      <c r="U1626" s="6">
        <f t="shared" si="7"/>
        <v>10</v>
      </c>
      <c r="V1626" s="42">
        <f>averageif(AllData!A:A,B1626,AllData!R:R)/vlookup(B1626,AllData!A:O,15,0)</f>
        <v>93.61128205</v>
      </c>
      <c r="W1626" s="6"/>
    </row>
    <row r="1627" ht="14.25" customHeight="1">
      <c r="A1627" s="6" t="str">
        <f t="shared" si="1"/>
        <v>2019Rooney/Jackson13</v>
      </c>
      <c r="B1627" s="59">
        <v>2019.0</v>
      </c>
      <c r="C1627" s="13" t="s">
        <v>57</v>
      </c>
      <c r="D1627" s="13" t="s">
        <v>152</v>
      </c>
      <c r="E1627" s="34"/>
      <c r="F1627" s="6"/>
      <c r="H1627" s="6"/>
      <c r="I1627" s="35" t="str">
        <f>IFERROR(IFERROR(IFERROR(VLOOKUP(B1627&amp;C1627&amp;Q1627,'New Weekly Paste'!A:M,10,0),VLOOKUP(B1627&amp;C1627&amp;Q1627,'New Weekly Paste'!B:O,6,0)),""),"")</f>
        <v>Hudspeath</v>
      </c>
      <c r="J1627" s="239">
        <f>IFERROR(IFERROR(VLOOKUP(B1627&amp;C1627&amp;Q1627,'New Weekly Paste'!A:M,8,0),VLOOKUP(B1627&amp;C1627&amp;Q1627,'New Weekly Paste'!B:O,10,0)),0)</f>
        <v>87.64</v>
      </c>
      <c r="K1627" s="239">
        <f>IFERROR(IFERROR(VLOOKUP(B1627&amp;I1627&amp;Q1627,'New Weekly Paste'!A:M,8,0),VLOOKUP(B1627&amp;I1627&amp;Q1627,'New Weekly Paste'!B:O,10,0)),0)</f>
        <v>87.82</v>
      </c>
      <c r="L1627" s="239">
        <f t="shared" si="25"/>
        <v>0</v>
      </c>
      <c r="M1627" s="36" t="str">
        <f t="shared" si="3"/>
        <v>Regular Season</v>
      </c>
      <c r="N1627" s="239" t="str">
        <f t="shared" si="26"/>
        <v>Hudspeath</v>
      </c>
      <c r="O1627" s="6">
        <f>VLOOKUP(D1627,'Mapped Opponent'!$G$4:$H$22,2,0)</f>
        <v>13</v>
      </c>
      <c r="P1627" s="6"/>
      <c r="Q1627" s="6" t="str">
        <f t="shared" si="4"/>
        <v>Week 13</v>
      </c>
      <c r="R1627" s="6" t="str">
        <f t="shared" si="5"/>
        <v>2019Week 13</v>
      </c>
      <c r="S1627" s="6">
        <f>IFERROR(__xludf.DUMMYFUNCTION("rank(J1627,FILTER(J:J,R:R=R1627))"),7.0)</f>
        <v>7</v>
      </c>
      <c r="T1627" s="6">
        <f t="shared" si="6"/>
        <v>5</v>
      </c>
      <c r="U1627" s="6">
        <f t="shared" si="7"/>
        <v>7</v>
      </c>
      <c r="V1627" s="42">
        <f>averageif(AllData!A:A,B1627,AllData!R:R)/vlookup(B1627,AllData!A:O,15,0)</f>
        <v>93.61128205</v>
      </c>
      <c r="W1627" s="6"/>
    </row>
    <row r="1628" ht="14.25" customHeight="1">
      <c r="A1628" s="6" t="str">
        <f t="shared" si="1"/>
        <v>2019Buser13</v>
      </c>
      <c r="B1628" s="59">
        <v>2019.0</v>
      </c>
      <c r="C1628" s="13" t="s">
        <v>47</v>
      </c>
      <c r="D1628" s="13" t="s">
        <v>152</v>
      </c>
      <c r="E1628" s="34"/>
      <c r="F1628" s="6"/>
      <c r="H1628" s="6"/>
      <c r="I1628" s="35" t="str">
        <f>IFERROR(IFERROR(IFERROR(VLOOKUP(B1628&amp;C1628&amp;Q1628,'New Weekly Paste'!A:M,10,0),VLOOKUP(B1628&amp;C1628&amp;Q1628,'New Weekly Paste'!B:O,6,0)),""),"")</f>
        <v>Fellows</v>
      </c>
      <c r="J1628" s="239">
        <f>IFERROR(IFERROR(VLOOKUP(B1628&amp;C1628&amp;Q1628,'New Weekly Paste'!A:M,8,0),VLOOKUP(B1628&amp;C1628&amp;Q1628,'New Weekly Paste'!B:O,10,0)),0)</f>
        <v>94.9</v>
      </c>
      <c r="K1628" s="239">
        <f>IFERROR(IFERROR(VLOOKUP(B1628&amp;I1628&amp;Q1628,'New Weekly Paste'!A:M,8,0),VLOOKUP(B1628&amp;I1628&amp;Q1628,'New Weekly Paste'!B:O,10,0)),0)</f>
        <v>68.5</v>
      </c>
      <c r="L1628" s="239">
        <f t="shared" si="25"/>
        <v>1</v>
      </c>
      <c r="M1628" s="36" t="str">
        <f t="shared" si="3"/>
        <v>Regular Season</v>
      </c>
      <c r="N1628" s="239" t="str">
        <f t="shared" si="26"/>
        <v>Fellows</v>
      </c>
      <c r="O1628" s="6">
        <f>VLOOKUP(D1628,'Mapped Opponent'!$G$4:$H$22,2,0)</f>
        <v>13</v>
      </c>
      <c r="P1628" s="6"/>
      <c r="Q1628" s="6" t="str">
        <f t="shared" si="4"/>
        <v>Week 13</v>
      </c>
      <c r="R1628" s="6" t="str">
        <f t="shared" si="5"/>
        <v>2019Week 13</v>
      </c>
      <c r="S1628" s="6">
        <f>IFERROR(__xludf.DUMMYFUNCTION("rank(J1628,FILTER(J:J,R:R=R1628))"),3.0)</f>
        <v>3</v>
      </c>
      <c r="T1628" s="6">
        <f t="shared" si="6"/>
        <v>9</v>
      </c>
      <c r="U1628" s="6">
        <f t="shared" si="7"/>
        <v>3</v>
      </c>
      <c r="V1628" s="42">
        <f>averageif(AllData!A:A,B1628,AllData!R:R)/vlookup(B1628,AllData!A:O,15,0)</f>
        <v>93.61128205</v>
      </c>
      <c r="W1628" s="6"/>
    </row>
    <row r="1629" ht="14.25" customHeight="1">
      <c r="A1629" s="6" t="str">
        <f t="shared" si="1"/>
        <v>2019Pierson13</v>
      </c>
      <c r="B1629" s="59">
        <v>2019.0</v>
      </c>
      <c r="C1629" s="13" t="s">
        <v>92</v>
      </c>
      <c r="D1629" s="13" t="s">
        <v>152</v>
      </c>
      <c r="E1629" s="34"/>
      <c r="F1629" s="6"/>
      <c r="H1629" s="6"/>
      <c r="I1629" s="35" t="str">
        <f>IFERROR(IFERROR(IFERROR(VLOOKUP(B1629&amp;C1629&amp;Q1629,'New Weekly Paste'!A:M,10,0),VLOOKUP(B1629&amp;C1629&amp;Q1629,'New Weekly Paste'!B:O,6,0)),""),"")</f>
        <v>Cock</v>
      </c>
      <c r="J1629" s="239">
        <f>IFERROR(IFERROR(VLOOKUP(B1629&amp;C1629&amp;Q1629,'New Weekly Paste'!A:M,8,0),VLOOKUP(B1629&amp;C1629&amp;Q1629,'New Weekly Paste'!B:O,10,0)),0)</f>
        <v>102</v>
      </c>
      <c r="K1629" s="239">
        <f>IFERROR(IFERROR(VLOOKUP(B1629&amp;I1629&amp;Q1629,'New Weekly Paste'!A:M,8,0),VLOOKUP(B1629&amp;I1629&amp;Q1629,'New Weekly Paste'!B:O,10,0)),0)</f>
        <v>93.8</v>
      </c>
      <c r="L1629" s="239">
        <f t="shared" si="25"/>
        <v>1</v>
      </c>
      <c r="M1629" s="36" t="str">
        <f t="shared" si="3"/>
        <v>Regular Season</v>
      </c>
      <c r="N1629" s="239" t="str">
        <f t="shared" si="26"/>
        <v>Cock</v>
      </c>
      <c r="O1629" s="6">
        <f>VLOOKUP(D1629,'Mapped Opponent'!$G$4:$H$22,2,0)</f>
        <v>13</v>
      </c>
      <c r="P1629" s="6"/>
      <c r="Q1629" s="6" t="str">
        <f t="shared" si="4"/>
        <v>Week 13</v>
      </c>
      <c r="R1629" s="6" t="str">
        <f t="shared" si="5"/>
        <v>2019Week 13</v>
      </c>
      <c r="S1629" s="6">
        <f>IFERROR(__xludf.DUMMYFUNCTION("rank(J1629,FILTER(J:J,R:R=R1629))"),2.0)</f>
        <v>2</v>
      </c>
      <c r="T1629" s="6">
        <f t="shared" si="6"/>
        <v>10</v>
      </c>
      <c r="U1629" s="6">
        <f t="shared" si="7"/>
        <v>2</v>
      </c>
      <c r="V1629" s="42">
        <f>averageif(AllData!A:A,B1629,AllData!R:R)/vlookup(B1629,AllData!A:O,15,0)</f>
        <v>93.61128205</v>
      </c>
      <c r="W1629" s="6"/>
    </row>
    <row r="1630" ht="14.25" customHeight="1">
      <c r="A1630" s="6" t="str">
        <f t="shared" si="1"/>
        <v>2019Cock13</v>
      </c>
      <c r="B1630" s="59">
        <v>2019.0</v>
      </c>
      <c r="C1630" s="13" t="s">
        <v>72</v>
      </c>
      <c r="D1630" s="13" t="s">
        <v>152</v>
      </c>
      <c r="E1630" s="34"/>
      <c r="F1630" s="6"/>
      <c r="H1630" s="6"/>
      <c r="I1630" s="35" t="str">
        <f>IFERROR(IFERROR(IFERROR(VLOOKUP(B1630&amp;C1630&amp;Q1630,'New Weekly Paste'!A:M,10,0),VLOOKUP(B1630&amp;C1630&amp;Q1630,'New Weekly Paste'!B:O,6,0)),""),"")</f>
        <v>Pierson</v>
      </c>
      <c r="J1630" s="239">
        <f>IFERROR(IFERROR(VLOOKUP(B1630&amp;C1630&amp;Q1630,'New Weekly Paste'!A:M,8,0),VLOOKUP(B1630&amp;C1630&amp;Q1630,'New Weekly Paste'!B:O,10,0)),0)</f>
        <v>93.8</v>
      </c>
      <c r="K1630" s="239">
        <f>IFERROR(IFERROR(VLOOKUP(B1630&amp;I1630&amp;Q1630,'New Weekly Paste'!A:M,8,0),VLOOKUP(B1630&amp;I1630&amp;Q1630,'New Weekly Paste'!B:O,10,0)),0)</f>
        <v>102</v>
      </c>
      <c r="L1630" s="239">
        <f t="shared" si="25"/>
        <v>0</v>
      </c>
      <c r="M1630" s="36" t="str">
        <f t="shared" si="3"/>
        <v>Regular Season</v>
      </c>
      <c r="N1630" s="239" t="str">
        <f t="shared" si="26"/>
        <v>Pierson</v>
      </c>
      <c r="O1630" s="6">
        <f>VLOOKUP(D1630,'Mapped Opponent'!$G$4:$H$22,2,0)</f>
        <v>13</v>
      </c>
      <c r="P1630" s="6"/>
      <c r="Q1630" s="6" t="str">
        <f t="shared" si="4"/>
        <v>Week 13</v>
      </c>
      <c r="R1630" s="6" t="str">
        <f t="shared" si="5"/>
        <v>2019Week 13</v>
      </c>
      <c r="S1630" s="6">
        <f>IFERROR(__xludf.DUMMYFUNCTION("rank(J1630,FILTER(J:J,R:R=R1630))"),4.0)</f>
        <v>4</v>
      </c>
      <c r="T1630" s="6">
        <f t="shared" si="6"/>
        <v>8</v>
      </c>
      <c r="U1630" s="6">
        <f t="shared" si="7"/>
        <v>4</v>
      </c>
      <c r="V1630" s="42">
        <f>averageif(AllData!A:A,B1630,AllData!R:R)/vlookup(B1630,AllData!A:O,15,0)</f>
        <v>93.61128205</v>
      </c>
      <c r="W1630" s="6"/>
    </row>
    <row r="1631" ht="14.25" customHeight="1">
      <c r="A1631" s="6" t="str">
        <f t="shared" si="1"/>
        <v>2019Tayski13</v>
      </c>
      <c r="B1631" s="59">
        <v>2019.0</v>
      </c>
      <c r="C1631" s="13" t="s">
        <v>52</v>
      </c>
      <c r="D1631" s="13" t="s">
        <v>152</v>
      </c>
      <c r="E1631" s="34"/>
      <c r="F1631" s="6"/>
      <c r="H1631" s="6"/>
      <c r="I1631" s="35" t="str">
        <f>IFERROR(IFERROR(IFERROR(VLOOKUP(B1631&amp;C1631&amp;Q1631,'New Weekly Paste'!A:M,10,0),VLOOKUP(B1631&amp;C1631&amp;Q1631,'New Weekly Paste'!B:O,6,0)),""),"")</f>
        <v>T-How</v>
      </c>
      <c r="J1631" s="239">
        <f>IFERROR(IFERROR(VLOOKUP(B1631&amp;C1631&amp;Q1631,'New Weekly Paste'!A:M,8,0),VLOOKUP(B1631&amp;C1631&amp;Q1631,'New Weekly Paste'!B:O,10,0)),0)</f>
        <v>63.78</v>
      </c>
      <c r="K1631" s="239">
        <f>IFERROR(IFERROR(VLOOKUP(B1631&amp;I1631&amp;Q1631,'New Weekly Paste'!A:M,8,0),VLOOKUP(B1631&amp;I1631&amp;Q1631,'New Weekly Paste'!B:O,10,0)),0)</f>
        <v>117.56</v>
      </c>
      <c r="L1631" s="239">
        <f t="shared" si="25"/>
        <v>0</v>
      </c>
      <c r="M1631" s="36" t="str">
        <f t="shared" si="3"/>
        <v>Regular Season</v>
      </c>
      <c r="N1631" s="239" t="str">
        <f t="shared" si="26"/>
        <v>T-How</v>
      </c>
      <c r="O1631" s="6">
        <f>VLOOKUP(D1631,'Mapped Opponent'!$G$4:$H$22,2,0)</f>
        <v>13</v>
      </c>
      <c r="P1631" s="6"/>
      <c r="Q1631" s="6" t="str">
        <f t="shared" si="4"/>
        <v>Week 13</v>
      </c>
      <c r="R1631" s="6" t="str">
        <f t="shared" si="5"/>
        <v>2019Week 13</v>
      </c>
      <c r="S1631" s="6">
        <f>IFERROR(__xludf.DUMMYFUNCTION("rank(J1631,FILTER(J:J,R:R=R1631))"),11.0)</f>
        <v>11</v>
      </c>
      <c r="T1631" s="6">
        <f t="shared" si="6"/>
        <v>1</v>
      </c>
      <c r="U1631" s="6">
        <f t="shared" si="7"/>
        <v>11</v>
      </c>
      <c r="V1631" s="42">
        <f>averageif(AllData!A:A,B1631,AllData!R:R)/vlookup(B1631,AllData!A:O,15,0)</f>
        <v>93.61128205</v>
      </c>
      <c r="W1631" s="6"/>
    </row>
    <row r="1632" ht="14.25" customHeight="1">
      <c r="A1632" s="6" t="str">
        <f t="shared" si="1"/>
        <v>2019KnardDawg13</v>
      </c>
      <c r="B1632" s="59">
        <v>2019.0</v>
      </c>
      <c r="C1632" s="13" t="s">
        <v>86</v>
      </c>
      <c r="D1632" s="13" t="s">
        <v>152</v>
      </c>
      <c r="E1632" s="34"/>
      <c r="F1632" s="6"/>
      <c r="H1632" s="6"/>
      <c r="I1632" s="35" t="str">
        <f>IFERROR(IFERROR(IFERROR(VLOOKUP(B1632&amp;C1632&amp;Q1632,'New Weekly Paste'!A:M,10,0),VLOOKUP(B1632&amp;C1632&amp;Q1632,'New Weekly Paste'!B:O,6,0)),""),"")</f>
        <v>Salty</v>
      </c>
      <c r="J1632" s="239">
        <f>IFERROR(IFERROR(VLOOKUP(B1632&amp;C1632&amp;Q1632,'New Weekly Paste'!A:M,8,0),VLOOKUP(B1632&amp;C1632&amp;Q1632,'New Weekly Paste'!B:O,10,0)),0)</f>
        <v>79.8</v>
      </c>
      <c r="K1632" s="239">
        <f>IFERROR(IFERROR(VLOOKUP(B1632&amp;I1632&amp;Q1632,'New Weekly Paste'!A:M,8,0),VLOOKUP(B1632&amp;I1632&amp;Q1632,'New Weekly Paste'!B:O,10,0)),0)</f>
        <v>92.12</v>
      </c>
      <c r="L1632" s="239">
        <f t="shared" si="25"/>
        <v>0</v>
      </c>
      <c r="M1632" s="36" t="str">
        <f t="shared" si="3"/>
        <v>Regular Season</v>
      </c>
      <c r="N1632" s="239" t="str">
        <f t="shared" si="26"/>
        <v>Salty</v>
      </c>
      <c r="O1632" s="6">
        <f>VLOOKUP(D1632,'Mapped Opponent'!$G$4:$H$22,2,0)</f>
        <v>13</v>
      </c>
      <c r="P1632" s="6"/>
      <c r="Q1632" s="6" t="str">
        <f t="shared" si="4"/>
        <v>Week 13</v>
      </c>
      <c r="R1632" s="6" t="str">
        <f t="shared" si="5"/>
        <v>2019Week 13</v>
      </c>
      <c r="S1632" s="6">
        <f>IFERROR(__xludf.DUMMYFUNCTION("rank(J1632,FILTER(J:J,R:R=R1632))"),8.0)</f>
        <v>8</v>
      </c>
      <c r="T1632" s="6">
        <f t="shared" si="6"/>
        <v>4</v>
      </c>
      <c r="U1632" s="6">
        <f t="shared" si="7"/>
        <v>8</v>
      </c>
      <c r="V1632" s="42">
        <f>averageif(AllData!A:A,B1632,AllData!R:R)/vlookup(B1632,AllData!A:O,15,0)</f>
        <v>93.61128205</v>
      </c>
      <c r="W1632" s="6"/>
    </row>
    <row r="1633" ht="14.25" customHeight="1">
      <c r="A1633" s="6" t="str">
        <f t="shared" si="1"/>
        <v>2019T-How13</v>
      </c>
      <c r="B1633" s="59">
        <v>2019.0</v>
      </c>
      <c r="C1633" s="13" t="s">
        <v>82</v>
      </c>
      <c r="D1633" s="13" t="s">
        <v>152</v>
      </c>
      <c r="E1633" s="34"/>
      <c r="F1633" s="6"/>
      <c r="H1633" s="6"/>
      <c r="I1633" s="35" t="str">
        <f>IFERROR(IFERROR(IFERROR(VLOOKUP(B1633&amp;C1633&amp;Q1633,'New Weekly Paste'!A:M,10,0),VLOOKUP(B1633&amp;C1633&amp;Q1633,'New Weekly Paste'!B:O,6,0)),""),"")</f>
        <v>Tayski</v>
      </c>
      <c r="J1633" s="239">
        <f>IFERROR(IFERROR(VLOOKUP(B1633&amp;C1633&amp;Q1633,'New Weekly Paste'!A:M,8,0),VLOOKUP(B1633&amp;C1633&amp;Q1633,'New Weekly Paste'!B:O,10,0)),0)</f>
        <v>117.56</v>
      </c>
      <c r="K1633" s="239">
        <f>IFERROR(IFERROR(VLOOKUP(B1633&amp;I1633&amp;Q1633,'New Weekly Paste'!A:M,8,0),VLOOKUP(B1633&amp;I1633&amp;Q1633,'New Weekly Paste'!B:O,10,0)),0)</f>
        <v>63.78</v>
      </c>
      <c r="L1633" s="239">
        <f t="shared" si="25"/>
        <v>1</v>
      </c>
      <c r="M1633" s="36" t="str">
        <f t="shared" si="3"/>
        <v>Regular Season</v>
      </c>
      <c r="N1633" s="239" t="str">
        <f t="shared" si="26"/>
        <v>Tayski</v>
      </c>
      <c r="O1633" s="6">
        <f>VLOOKUP(D1633,'Mapped Opponent'!$G$4:$H$22,2,0)</f>
        <v>13</v>
      </c>
      <c r="P1633" s="6"/>
      <c r="Q1633" s="6" t="str">
        <f t="shared" si="4"/>
        <v>Week 13</v>
      </c>
      <c r="R1633" s="6" t="str">
        <f t="shared" si="5"/>
        <v>2019Week 13</v>
      </c>
      <c r="S1633" s="6">
        <f>IFERROR(__xludf.DUMMYFUNCTION("rank(J1633,FILTER(J:J,R:R=R1633))"),1.0)</f>
        <v>1</v>
      </c>
      <c r="T1633" s="6">
        <f t="shared" si="6"/>
        <v>11</v>
      </c>
      <c r="U1633" s="6">
        <f t="shared" si="7"/>
        <v>1</v>
      </c>
      <c r="V1633" s="42">
        <f>averageif(AllData!A:A,B1633,AllData!R:R)/vlookup(B1633,AllData!A:O,15,0)</f>
        <v>93.61128205</v>
      </c>
      <c r="W1633" s="6"/>
    </row>
    <row r="1634" ht="14.25" customHeight="1">
      <c r="A1634" s="6" t="str">
        <f t="shared" si="1"/>
        <v>2019Hudspeath2</v>
      </c>
      <c r="B1634" s="59">
        <v>2019.0</v>
      </c>
      <c r="C1634" s="13" t="s">
        <v>39</v>
      </c>
      <c r="D1634" s="13" t="s">
        <v>131</v>
      </c>
      <c r="E1634" s="34"/>
      <c r="F1634" s="6"/>
      <c r="H1634" s="6"/>
      <c r="I1634" s="35" t="str">
        <f>IFERROR(IFERROR(IFERROR(VLOOKUP(B1634&amp;C1634&amp;Q1634,'New Weekly Paste'!A:M,10,0),VLOOKUP(B1634&amp;C1634&amp;Q1634,'New Weekly Paste'!B:O,6,0)),""),"")</f>
        <v>Rooney/Jackson</v>
      </c>
      <c r="J1634" s="239">
        <f>IFERROR(IFERROR(VLOOKUP(B1634&amp;C1634&amp;Q1634,'New Weekly Paste'!A:M,8,0),VLOOKUP(B1634&amp;C1634&amp;Q1634,'New Weekly Paste'!B:O,10,0)),0)</f>
        <v>107.64</v>
      </c>
      <c r="K1634" s="239">
        <f>IFERROR(IFERROR(VLOOKUP(B1634&amp;I1634&amp;Q1634,'New Weekly Paste'!A:M,8,0),VLOOKUP(B1634&amp;I1634&amp;Q1634,'New Weekly Paste'!B:O,10,0)),0)</f>
        <v>80.72</v>
      </c>
      <c r="L1634" s="239">
        <f t="shared" si="25"/>
        <v>1</v>
      </c>
      <c r="M1634" s="36" t="str">
        <f t="shared" si="3"/>
        <v>Regular Season</v>
      </c>
      <c r="N1634" s="239" t="str">
        <f t="shared" si="26"/>
        <v>Rooney/Jackson</v>
      </c>
      <c r="O1634" s="6">
        <f>VLOOKUP(D1634,'Mapped Opponent'!$G$4:$H$22,2,0)</f>
        <v>2</v>
      </c>
      <c r="P1634" s="6"/>
      <c r="Q1634" s="6" t="str">
        <f t="shared" si="4"/>
        <v>Week 2</v>
      </c>
      <c r="R1634" s="6" t="str">
        <f t="shared" si="5"/>
        <v>2019Week 2</v>
      </c>
      <c r="S1634" s="6">
        <f>IFERROR(__xludf.DUMMYFUNCTION("rank(J1634,FILTER(J:J,R:R=R1634))"),5.0)</f>
        <v>5</v>
      </c>
      <c r="T1634" s="6">
        <f t="shared" si="6"/>
        <v>7</v>
      </c>
      <c r="U1634" s="6">
        <f t="shared" si="7"/>
        <v>5</v>
      </c>
      <c r="V1634" s="42">
        <f>averageif(AllData!A:A,B1634,AllData!R:R)/vlookup(B1634,AllData!A:O,15,0)</f>
        <v>93.61128205</v>
      </c>
      <c r="W1634" s="6"/>
    </row>
    <row r="1635" ht="14.25" customHeight="1">
      <c r="A1635" s="6" t="str">
        <f t="shared" si="1"/>
        <v>2019Salty2</v>
      </c>
      <c r="B1635" s="59">
        <v>2019.0</v>
      </c>
      <c r="C1635" s="13" t="s">
        <v>76</v>
      </c>
      <c r="D1635" s="13" t="s">
        <v>131</v>
      </c>
      <c r="E1635" s="34"/>
      <c r="F1635" s="6"/>
      <c r="H1635" s="6"/>
      <c r="I1635" s="35" t="str">
        <f>IFERROR(IFERROR(IFERROR(VLOOKUP(B1635&amp;C1635&amp;Q1635,'New Weekly Paste'!A:M,10,0),VLOOKUP(B1635&amp;C1635&amp;Q1635,'New Weekly Paste'!B:O,6,0)),""),"")</f>
        <v>KnardDawg</v>
      </c>
      <c r="J1635" s="239">
        <f>IFERROR(IFERROR(VLOOKUP(B1635&amp;C1635&amp;Q1635,'New Weekly Paste'!A:M,8,0),VLOOKUP(B1635&amp;C1635&amp;Q1635,'New Weekly Paste'!B:O,10,0)),0)</f>
        <v>69.36</v>
      </c>
      <c r="K1635" s="239">
        <f>IFERROR(IFERROR(VLOOKUP(B1635&amp;I1635&amp;Q1635,'New Weekly Paste'!A:M,8,0),VLOOKUP(B1635&amp;I1635&amp;Q1635,'New Weekly Paste'!B:O,10,0)),0)</f>
        <v>90.72</v>
      </c>
      <c r="L1635" s="239">
        <f t="shared" si="25"/>
        <v>0</v>
      </c>
      <c r="M1635" s="36" t="str">
        <f t="shared" si="3"/>
        <v>Regular Season</v>
      </c>
      <c r="N1635" s="239" t="str">
        <f t="shared" si="26"/>
        <v>KnardDawg</v>
      </c>
      <c r="O1635" s="6">
        <f>VLOOKUP(D1635,'Mapped Opponent'!$G$4:$H$22,2,0)</f>
        <v>2</v>
      </c>
      <c r="P1635" s="6"/>
      <c r="Q1635" s="6" t="str">
        <f t="shared" si="4"/>
        <v>Week 2</v>
      </c>
      <c r="R1635" s="6" t="str">
        <f t="shared" si="5"/>
        <v>2019Week 2</v>
      </c>
      <c r="S1635" s="6">
        <f>IFERROR(__xludf.DUMMYFUNCTION("rank(J1635,FILTER(J:J,R:R=R1635))"),12.0)</f>
        <v>12</v>
      </c>
      <c r="T1635" s="6">
        <f t="shared" si="6"/>
        <v>0</v>
      </c>
      <c r="U1635" s="6">
        <f t="shared" si="7"/>
        <v>12</v>
      </c>
      <c r="V1635" s="42">
        <f>averageif(AllData!A:A,B1635,AllData!R:R)/vlookup(B1635,AllData!A:O,15,0)</f>
        <v>93.61128205</v>
      </c>
      <c r="W1635" s="6"/>
    </row>
    <row r="1636" ht="14.25" customHeight="1">
      <c r="A1636" s="6" t="str">
        <f t="shared" si="1"/>
        <v>2019Fellows2</v>
      </c>
      <c r="B1636" s="59">
        <v>2019.0</v>
      </c>
      <c r="C1636" s="13" t="s">
        <v>79</v>
      </c>
      <c r="D1636" s="13" t="s">
        <v>131</v>
      </c>
      <c r="E1636" s="34"/>
      <c r="F1636" s="6"/>
      <c r="H1636" s="6"/>
      <c r="I1636" s="35" t="str">
        <f>IFERROR(IFERROR(IFERROR(VLOOKUP(B1636&amp;C1636&amp;Q1636,'New Weekly Paste'!A:M,10,0),VLOOKUP(B1636&amp;C1636&amp;Q1636,'New Weekly Paste'!B:O,6,0)),""),"")</f>
        <v>Buser</v>
      </c>
      <c r="J1636" s="239">
        <f>IFERROR(IFERROR(VLOOKUP(B1636&amp;C1636&amp;Q1636,'New Weekly Paste'!A:M,8,0),VLOOKUP(B1636&amp;C1636&amp;Q1636,'New Weekly Paste'!B:O,10,0)),0)</f>
        <v>78.76</v>
      </c>
      <c r="K1636" s="239">
        <f>IFERROR(IFERROR(VLOOKUP(B1636&amp;I1636&amp;Q1636,'New Weekly Paste'!A:M,8,0),VLOOKUP(B1636&amp;I1636&amp;Q1636,'New Weekly Paste'!B:O,10,0)),0)</f>
        <v>109.4</v>
      </c>
      <c r="L1636" s="239">
        <f t="shared" si="25"/>
        <v>0</v>
      </c>
      <c r="M1636" s="36" t="str">
        <f t="shared" si="3"/>
        <v>Regular Season</v>
      </c>
      <c r="N1636" s="239" t="str">
        <f t="shared" si="26"/>
        <v>Buser</v>
      </c>
      <c r="O1636" s="6">
        <f>VLOOKUP(D1636,'Mapped Opponent'!$G$4:$H$22,2,0)</f>
        <v>2</v>
      </c>
      <c r="P1636" s="6"/>
      <c r="Q1636" s="6" t="str">
        <f t="shared" si="4"/>
        <v>Week 2</v>
      </c>
      <c r="R1636" s="6" t="str">
        <f t="shared" si="5"/>
        <v>2019Week 2</v>
      </c>
      <c r="S1636" s="6">
        <f>IFERROR(__xludf.DUMMYFUNCTION("rank(J1636,FILTER(J:J,R:R=R1636))"),10.0)</f>
        <v>10</v>
      </c>
      <c r="T1636" s="6">
        <f t="shared" si="6"/>
        <v>2</v>
      </c>
      <c r="U1636" s="6">
        <f t="shared" si="7"/>
        <v>10</v>
      </c>
      <c r="V1636" s="42">
        <f>averageif(AllData!A:A,B1636,AllData!R:R)/vlookup(B1636,AllData!A:O,15,0)</f>
        <v>93.61128205</v>
      </c>
      <c r="W1636" s="6"/>
    </row>
    <row r="1637" ht="14.25" customHeight="1">
      <c r="A1637" s="6" t="str">
        <f t="shared" si="1"/>
        <v>2019Shep2</v>
      </c>
      <c r="B1637" s="59">
        <v>2019.0</v>
      </c>
      <c r="C1637" s="13" t="s">
        <v>89</v>
      </c>
      <c r="D1637" s="13" t="s">
        <v>131</v>
      </c>
      <c r="E1637" s="34"/>
      <c r="F1637" s="6"/>
      <c r="H1637" s="6"/>
      <c r="I1637" s="35" t="str">
        <f>IFERROR(IFERROR(IFERROR(VLOOKUP(B1637&amp;C1637&amp;Q1637,'New Weekly Paste'!A:M,10,0),VLOOKUP(B1637&amp;C1637&amp;Q1637,'New Weekly Paste'!B:O,6,0)),""),"")</f>
        <v>Riley</v>
      </c>
      <c r="J1637" s="239">
        <f>IFERROR(IFERROR(VLOOKUP(B1637&amp;C1637&amp;Q1637,'New Weekly Paste'!A:M,8,0),VLOOKUP(B1637&amp;C1637&amp;Q1637,'New Weekly Paste'!B:O,10,0)),0)</f>
        <v>107.7</v>
      </c>
      <c r="K1637" s="239">
        <f>IFERROR(IFERROR(VLOOKUP(B1637&amp;I1637&amp;Q1637,'New Weekly Paste'!A:M,8,0),VLOOKUP(B1637&amp;I1637&amp;Q1637,'New Weekly Paste'!B:O,10,0)),0)</f>
        <v>117.76</v>
      </c>
      <c r="L1637" s="239">
        <f t="shared" si="25"/>
        <v>0</v>
      </c>
      <c r="M1637" s="36" t="str">
        <f t="shared" si="3"/>
        <v>Regular Season</v>
      </c>
      <c r="N1637" s="239" t="str">
        <f t="shared" si="26"/>
        <v>Riley</v>
      </c>
      <c r="O1637" s="6">
        <f>VLOOKUP(D1637,'Mapped Opponent'!$G$4:$H$22,2,0)</f>
        <v>2</v>
      </c>
      <c r="P1637" s="6"/>
      <c r="Q1637" s="6" t="str">
        <f t="shared" si="4"/>
        <v>Week 2</v>
      </c>
      <c r="R1637" s="6" t="str">
        <f t="shared" si="5"/>
        <v>2019Week 2</v>
      </c>
      <c r="S1637" s="6">
        <f>IFERROR(__xludf.DUMMYFUNCTION("rank(J1637,FILTER(J:J,R:R=R1637))"),4.0)</f>
        <v>4</v>
      </c>
      <c r="T1637" s="6">
        <f t="shared" si="6"/>
        <v>8</v>
      </c>
      <c r="U1637" s="6">
        <f t="shared" si="7"/>
        <v>4</v>
      </c>
      <c r="V1637" s="42">
        <f>averageif(AllData!A:A,B1637,AllData!R:R)/vlookup(B1637,AllData!A:O,15,0)</f>
        <v>93.61128205</v>
      </c>
      <c r="W1637" s="6"/>
    </row>
    <row r="1638" ht="14.25" customHeight="1">
      <c r="A1638" s="6" t="str">
        <f t="shared" si="1"/>
        <v>2019Riley2</v>
      </c>
      <c r="B1638" s="59">
        <v>2019.0</v>
      </c>
      <c r="C1638" s="13" t="s">
        <v>67</v>
      </c>
      <c r="D1638" s="13" t="s">
        <v>131</v>
      </c>
      <c r="E1638" s="34"/>
      <c r="F1638" s="6"/>
      <c r="H1638" s="6"/>
      <c r="I1638" s="35" t="str">
        <f>IFERROR(IFERROR(IFERROR(VLOOKUP(B1638&amp;C1638&amp;Q1638,'New Weekly Paste'!A:M,10,0),VLOOKUP(B1638&amp;C1638&amp;Q1638,'New Weekly Paste'!B:O,6,0)),""),"")</f>
        <v>Shep</v>
      </c>
      <c r="J1638" s="239">
        <f>IFERROR(IFERROR(VLOOKUP(B1638&amp;C1638&amp;Q1638,'New Weekly Paste'!A:M,8,0),VLOOKUP(B1638&amp;C1638&amp;Q1638,'New Weekly Paste'!B:O,10,0)),0)</f>
        <v>117.76</v>
      </c>
      <c r="K1638" s="239">
        <f>IFERROR(IFERROR(VLOOKUP(B1638&amp;I1638&amp;Q1638,'New Weekly Paste'!A:M,8,0),VLOOKUP(B1638&amp;I1638&amp;Q1638,'New Weekly Paste'!B:O,10,0)),0)</f>
        <v>107.7</v>
      </c>
      <c r="L1638" s="239">
        <f t="shared" si="25"/>
        <v>1</v>
      </c>
      <c r="M1638" s="36" t="str">
        <f t="shared" si="3"/>
        <v>Regular Season</v>
      </c>
      <c r="N1638" s="239" t="str">
        <f t="shared" si="26"/>
        <v>Shep</v>
      </c>
      <c r="O1638" s="6">
        <f>VLOOKUP(D1638,'Mapped Opponent'!$G$4:$H$22,2,0)</f>
        <v>2</v>
      </c>
      <c r="P1638" s="6"/>
      <c r="Q1638" s="6" t="str">
        <f t="shared" si="4"/>
        <v>Week 2</v>
      </c>
      <c r="R1638" s="6" t="str">
        <f t="shared" si="5"/>
        <v>2019Week 2</v>
      </c>
      <c r="S1638" s="6">
        <f>IFERROR(__xludf.DUMMYFUNCTION("rank(J1638,FILTER(J:J,R:R=R1638))"),2.0)</f>
        <v>2</v>
      </c>
      <c r="T1638" s="6">
        <f t="shared" si="6"/>
        <v>10</v>
      </c>
      <c r="U1638" s="6">
        <f t="shared" si="7"/>
        <v>2</v>
      </c>
      <c r="V1638" s="42">
        <f>averageif(AllData!A:A,B1638,AllData!R:R)/vlookup(B1638,AllData!A:O,15,0)</f>
        <v>93.61128205</v>
      </c>
      <c r="W1638" s="6"/>
    </row>
    <row r="1639" ht="14.25" customHeight="1">
      <c r="A1639" s="6" t="str">
        <f t="shared" si="1"/>
        <v>2019Rooney/Jackson2</v>
      </c>
      <c r="B1639" s="59">
        <v>2019.0</v>
      </c>
      <c r="C1639" s="13" t="s">
        <v>57</v>
      </c>
      <c r="D1639" s="13" t="s">
        <v>131</v>
      </c>
      <c r="E1639" s="34"/>
      <c r="F1639" s="6"/>
      <c r="H1639" s="6"/>
      <c r="I1639" s="35" t="str">
        <f>IFERROR(IFERROR(IFERROR(VLOOKUP(B1639&amp;C1639&amp;Q1639,'New Weekly Paste'!A:M,10,0),VLOOKUP(B1639&amp;C1639&amp;Q1639,'New Weekly Paste'!B:O,6,0)),""),"")</f>
        <v>Hudspeath</v>
      </c>
      <c r="J1639" s="239">
        <f>IFERROR(IFERROR(VLOOKUP(B1639&amp;C1639&amp;Q1639,'New Weekly Paste'!A:M,8,0),VLOOKUP(B1639&amp;C1639&amp;Q1639,'New Weekly Paste'!B:O,10,0)),0)</f>
        <v>80.72</v>
      </c>
      <c r="K1639" s="239">
        <f>IFERROR(IFERROR(VLOOKUP(B1639&amp;I1639&amp;Q1639,'New Weekly Paste'!A:M,8,0),VLOOKUP(B1639&amp;I1639&amp;Q1639,'New Weekly Paste'!B:O,10,0)),0)</f>
        <v>107.64</v>
      </c>
      <c r="L1639" s="239">
        <f t="shared" si="25"/>
        <v>0</v>
      </c>
      <c r="M1639" s="36" t="str">
        <f t="shared" si="3"/>
        <v>Regular Season</v>
      </c>
      <c r="N1639" s="239" t="str">
        <f t="shared" si="26"/>
        <v>Hudspeath</v>
      </c>
      <c r="O1639" s="6">
        <f>VLOOKUP(D1639,'Mapped Opponent'!$G$4:$H$22,2,0)</f>
        <v>2</v>
      </c>
      <c r="P1639" s="6"/>
      <c r="Q1639" s="6" t="str">
        <f t="shared" si="4"/>
        <v>Week 2</v>
      </c>
      <c r="R1639" s="6" t="str">
        <f t="shared" si="5"/>
        <v>2019Week 2</v>
      </c>
      <c r="S1639" s="6">
        <f>IFERROR(__xludf.DUMMYFUNCTION("rank(J1639,FILTER(J:J,R:R=R1639))"),9.0)</f>
        <v>9</v>
      </c>
      <c r="T1639" s="6">
        <f t="shared" si="6"/>
        <v>3</v>
      </c>
      <c r="U1639" s="6">
        <f t="shared" si="7"/>
        <v>9</v>
      </c>
      <c r="V1639" s="42">
        <f>averageif(AllData!A:A,B1639,AllData!R:R)/vlookup(B1639,AllData!A:O,15,0)</f>
        <v>93.61128205</v>
      </c>
      <c r="W1639" s="6"/>
    </row>
    <row r="1640" ht="14.25" customHeight="1">
      <c r="A1640" s="6" t="str">
        <f t="shared" si="1"/>
        <v>2019Buser2</v>
      </c>
      <c r="B1640" s="59">
        <v>2019.0</v>
      </c>
      <c r="C1640" s="13" t="s">
        <v>47</v>
      </c>
      <c r="D1640" s="13" t="s">
        <v>131</v>
      </c>
      <c r="E1640" s="34"/>
      <c r="F1640" s="6"/>
      <c r="H1640" s="6"/>
      <c r="I1640" s="35" t="str">
        <f>IFERROR(IFERROR(IFERROR(VLOOKUP(B1640&amp;C1640&amp;Q1640,'New Weekly Paste'!A:M,10,0),VLOOKUP(B1640&amp;C1640&amp;Q1640,'New Weekly Paste'!B:O,6,0)),""),"")</f>
        <v>Fellows</v>
      </c>
      <c r="J1640" s="239">
        <f>IFERROR(IFERROR(VLOOKUP(B1640&amp;C1640&amp;Q1640,'New Weekly Paste'!A:M,8,0),VLOOKUP(B1640&amp;C1640&amp;Q1640,'New Weekly Paste'!B:O,10,0)),0)</f>
        <v>109.4</v>
      </c>
      <c r="K1640" s="239">
        <f>IFERROR(IFERROR(VLOOKUP(B1640&amp;I1640&amp;Q1640,'New Weekly Paste'!A:M,8,0),VLOOKUP(B1640&amp;I1640&amp;Q1640,'New Weekly Paste'!B:O,10,0)),0)</f>
        <v>78.76</v>
      </c>
      <c r="L1640" s="239">
        <f t="shared" si="25"/>
        <v>1</v>
      </c>
      <c r="M1640" s="36" t="str">
        <f t="shared" si="3"/>
        <v>Regular Season</v>
      </c>
      <c r="N1640" s="239" t="str">
        <f t="shared" si="26"/>
        <v>Fellows</v>
      </c>
      <c r="O1640" s="6">
        <f>VLOOKUP(D1640,'Mapped Opponent'!$G$4:$H$22,2,0)</f>
        <v>2</v>
      </c>
      <c r="P1640" s="6"/>
      <c r="Q1640" s="6" t="str">
        <f t="shared" si="4"/>
        <v>Week 2</v>
      </c>
      <c r="R1640" s="6" t="str">
        <f t="shared" si="5"/>
        <v>2019Week 2</v>
      </c>
      <c r="S1640" s="6">
        <f>IFERROR(__xludf.DUMMYFUNCTION("rank(J1640,FILTER(J:J,R:R=R1640))"),3.0)</f>
        <v>3</v>
      </c>
      <c r="T1640" s="6">
        <f t="shared" si="6"/>
        <v>9</v>
      </c>
      <c r="U1640" s="6">
        <f t="shared" si="7"/>
        <v>3</v>
      </c>
      <c r="V1640" s="42">
        <f>averageif(AllData!A:A,B1640,AllData!R:R)/vlookup(B1640,AllData!A:O,15,0)</f>
        <v>93.61128205</v>
      </c>
      <c r="W1640" s="6"/>
    </row>
    <row r="1641" ht="14.25" customHeight="1">
      <c r="A1641" s="6" t="str">
        <f t="shared" si="1"/>
        <v>2019Pierson2</v>
      </c>
      <c r="B1641" s="59">
        <v>2019.0</v>
      </c>
      <c r="C1641" s="13" t="s">
        <v>92</v>
      </c>
      <c r="D1641" s="13" t="s">
        <v>131</v>
      </c>
      <c r="E1641" s="34"/>
      <c r="F1641" s="6"/>
      <c r="H1641" s="6"/>
      <c r="I1641" s="35" t="str">
        <f>IFERROR(IFERROR(IFERROR(VLOOKUP(B1641&amp;C1641&amp;Q1641,'New Weekly Paste'!A:M,10,0),VLOOKUP(B1641&amp;C1641&amp;Q1641,'New Weekly Paste'!B:O,6,0)),""),"")</f>
        <v>Cock</v>
      </c>
      <c r="J1641" s="239">
        <f>IFERROR(IFERROR(VLOOKUP(B1641&amp;C1641&amp;Q1641,'New Weekly Paste'!A:M,8,0),VLOOKUP(B1641&amp;C1641&amp;Q1641,'New Weekly Paste'!B:O,10,0)),0)</f>
        <v>131.78</v>
      </c>
      <c r="K1641" s="239">
        <f>IFERROR(IFERROR(VLOOKUP(B1641&amp;I1641&amp;Q1641,'New Weekly Paste'!A:M,8,0),VLOOKUP(B1641&amp;I1641&amp;Q1641,'New Weekly Paste'!B:O,10,0)),0)</f>
        <v>76.46</v>
      </c>
      <c r="L1641" s="239">
        <f t="shared" si="25"/>
        <v>1</v>
      </c>
      <c r="M1641" s="36" t="str">
        <f t="shared" si="3"/>
        <v>Regular Season</v>
      </c>
      <c r="N1641" s="239" t="str">
        <f t="shared" si="26"/>
        <v>Cock</v>
      </c>
      <c r="O1641" s="6">
        <f>VLOOKUP(D1641,'Mapped Opponent'!$G$4:$H$22,2,0)</f>
        <v>2</v>
      </c>
      <c r="P1641" s="6"/>
      <c r="Q1641" s="6" t="str">
        <f t="shared" si="4"/>
        <v>Week 2</v>
      </c>
      <c r="R1641" s="6" t="str">
        <f t="shared" si="5"/>
        <v>2019Week 2</v>
      </c>
      <c r="S1641" s="6">
        <f>IFERROR(__xludf.DUMMYFUNCTION("rank(J1641,FILTER(J:J,R:R=R1641))"),1.0)</f>
        <v>1</v>
      </c>
      <c r="T1641" s="6">
        <f t="shared" si="6"/>
        <v>11</v>
      </c>
      <c r="U1641" s="6">
        <f t="shared" si="7"/>
        <v>1</v>
      </c>
      <c r="V1641" s="42">
        <f>averageif(AllData!A:A,B1641,AllData!R:R)/vlookup(B1641,AllData!A:O,15,0)</f>
        <v>93.61128205</v>
      </c>
      <c r="W1641" s="6"/>
    </row>
    <row r="1642" ht="14.25" customHeight="1">
      <c r="A1642" s="6" t="str">
        <f t="shared" si="1"/>
        <v>2019Cock2</v>
      </c>
      <c r="B1642" s="59">
        <v>2019.0</v>
      </c>
      <c r="C1642" s="13" t="s">
        <v>72</v>
      </c>
      <c r="D1642" s="13" t="s">
        <v>131</v>
      </c>
      <c r="E1642" s="34"/>
      <c r="F1642" s="6"/>
      <c r="H1642" s="6"/>
      <c r="I1642" s="35" t="str">
        <f>IFERROR(IFERROR(IFERROR(VLOOKUP(B1642&amp;C1642&amp;Q1642,'New Weekly Paste'!A:M,10,0),VLOOKUP(B1642&amp;C1642&amp;Q1642,'New Weekly Paste'!B:O,6,0)),""),"")</f>
        <v>Pierson</v>
      </c>
      <c r="J1642" s="239">
        <f>IFERROR(IFERROR(VLOOKUP(B1642&amp;C1642&amp;Q1642,'New Weekly Paste'!A:M,8,0),VLOOKUP(B1642&amp;C1642&amp;Q1642,'New Weekly Paste'!B:O,10,0)),0)</f>
        <v>76.46</v>
      </c>
      <c r="K1642" s="239">
        <f>IFERROR(IFERROR(VLOOKUP(B1642&amp;I1642&amp;Q1642,'New Weekly Paste'!A:M,8,0),VLOOKUP(B1642&amp;I1642&amp;Q1642,'New Weekly Paste'!B:O,10,0)),0)</f>
        <v>131.78</v>
      </c>
      <c r="L1642" s="239">
        <f t="shared" si="25"/>
        <v>0</v>
      </c>
      <c r="M1642" s="36" t="str">
        <f t="shared" si="3"/>
        <v>Regular Season</v>
      </c>
      <c r="N1642" s="239" t="str">
        <f t="shared" si="26"/>
        <v>Pierson</v>
      </c>
      <c r="O1642" s="6">
        <f>VLOOKUP(D1642,'Mapped Opponent'!$G$4:$H$22,2,0)</f>
        <v>2</v>
      </c>
      <c r="P1642" s="6"/>
      <c r="Q1642" s="6" t="str">
        <f t="shared" si="4"/>
        <v>Week 2</v>
      </c>
      <c r="R1642" s="6" t="str">
        <f t="shared" si="5"/>
        <v>2019Week 2</v>
      </c>
      <c r="S1642" s="6">
        <f>IFERROR(__xludf.DUMMYFUNCTION("rank(J1642,FILTER(J:J,R:R=R1642))"),11.0)</f>
        <v>11</v>
      </c>
      <c r="T1642" s="6">
        <f t="shared" si="6"/>
        <v>1</v>
      </c>
      <c r="U1642" s="6">
        <f t="shared" si="7"/>
        <v>11</v>
      </c>
      <c r="V1642" s="42">
        <f>averageif(AllData!A:A,B1642,AllData!R:R)/vlookup(B1642,AllData!A:O,15,0)</f>
        <v>93.61128205</v>
      </c>
      <c r="W1642" s="6"/>
    </row>
    <row r="1643" ht="14.25" customHeight="1">
      <c r="A1643" s="6" t="str">
        <f t="shared" si="1"/>
        <v>2019Tayski2</v>
      </c>
      <c r="B1643" s="59">
        <v>2019.0</v>
      </c>
      <c r="C1643" s="13" t="s">
        <v>52</v>
      </c>
      <c r="D1643" s="13" t="s">
        <v>131</v>
      </c>
      <c r="E1643" s="34"/>
      <c r="F1643" s="6"/>
      <c r="H1643" s="6"/>
      <c r="I1643" s="35" t="str">
        <f>IFERROR(IFERROR(IFERROR(VLOOKUP(B1643&amp;C1643&amp;Q1643,'New Weekly Paste'!A:M,10,0),VLOOKUP(B1643&amp;C1643&amp;Q1643,'New Weekly Paste'!B:O,6,0)),""),"")</f>
        <v>T-How</v>
      </c>
      <c r="J1643" s="239">
        <f>IFERROR(IFERROR(VLOOKUP(B1643&amp;C1643&amp;Q1643,'New Weekly Paste'!A:M,8,0),VLOOKUP(B1643&amp;C1643&amp;Q1643,'New Weekly Paste'!B:O,10,0)),0)</f>
        <v>86.56</v>
      </c>
      <c r="K1643" s="239">
        <f>IFERROR(IFERROR(VLOOKUP(B1643&amp;I1643&amp;Q1643,'New Weekly Paste'!A:M,8,0),VLOOKUP(B1643&amp;I1643&amp;Q1643,'New Weekly Paste'!B:O,10,0)),0)</f>
        <v>90.72</v>
      </c>
      <c r="L1643" s="239">
        <f t="shared" si="25"/>
        <v>0</v>
      </c>
      <c r="M1643" s="36" t="str">
        <f t="shared" si="3"/>
        <v>Regular Season</v>
      </c>
      <c r="N1643" s="239" t="str">
        <f t="shared" si="26"/>
        <v>T-How</v>
      </c>
      <c r="O1643" s="6">
        <f>VLOOKUP(D1643,'Mapped Opponent'!$G$4:$H$22,2,0)</f>
        <v>2</v>
      </c>
      <c r="P1643" s="6"/>
      <c r="Q1643" s="6" t="str">
        <f t="shared" si="4"/>
        <v>Week 2</v>
      </c>
      <c r="R1643" s="6" t="str">
        <f t="shared" si="5"/>
        <v>2019Week 2</v>
      </c>
      <c r="S1643" s="6">
        <f>IFERROR(__xludf.DUMMYFUNCTION("rank(J1643,FILTER(J:J,R:R=R1643))"),8.0)</f>
        <v>8</v>
      </c>
      <c r="T1643" s="6">
        <f t="shared" si="6"/>
        <v>4</v>
      </c>
      <c r="U1643" s="6">
        <f t="shared" si="7"/>
        <v>8</v>
      </c>
      <c r="V1643" s="42">
        <f>averageif(AllData!A:A,B1643,AllData!R:R)/vlookup(B1643,AllData!A:O,15,0)</f>
        <v>93.61128205</v>
      </c>
      <c r="W1643" s="6"/>
    </row>
    <row r="1644" ht="14.25" customHeight="1">
      <c r="A1644" s="6" t="str">
        <f t="shared" si="1"/>
        <v>2019KnardDawg2</v>
      </c>
      <c r="B1644" s="59">
        <v>2019.0</v>
      </c>
      <c r="C1644" s="13" t="s">
        <v>86</v>
      </c>
      <c r="D1644" s="13" t="s">
        <v>131</v>
      </c>
      <c r="E1644" s="34"/>
      <c r="F1644" s="6"/>
      <c r="H1644" s="6"/>
      <c r="I1644" s="35" t="str">
        <f>IFERROR(IFERROR(IFERROR(VLOOKUP(B1644&amp;C1644&amp;Q1644,'New Weekly Paste'!A:M,10,0),VLOOKUP(B1644&amp;C1644&amp;Q1644,'New Weekly Paste'!B:O,6,0)),""),"")</f>
        <v>Salty</v>
      </c>
      <c r="J1644" s="239">
        <f>IFERROR(IFERROR(VLOOKUP(B1644&amp;C1644&amp;Q1644,'New Weekly Paste'!A:M,8,0),VLOOKUP(B1644&amp;C1644&amp;Q1644,'New Weekly Paste'!B:O,10,0)),0)</f>
        <v>90.72</v>
      </c>
      <c r="K1644" s="239">
        <f>IFERROR(IFERROR(VLOOKUP(B1644&amp;I1644&amp;Q1644,'New Weekly Paste'!A:M,8,0),VLOOKUP(B1644&amp;I1644&amp;Q1644,'New Weekly Paste'!B:O,10,0)),0)</f>
        <v>69.36</v>
      </c>
      <c r="L1644" s="239">
        <f t="shared" si="25"/>
        <v>1</v>
      </c>
      <c r="M1644" s="36" t="str">
        <f t="shared" si="3"/>
        <v>Regular Season</v>
      </c>
      <c r="N1644" s="239" t="str">
        <f t="shared" si="26"/>
        <v>Salty</v>
      </c>
      <c r="O1644" s="6">
        <f>VLOOKUP(D1644,'Mapped Opponent'!$G$4:$H$22,2,0)</f>
        <v>2</v>
      </c>
      <c r="P1644" s="6"/>
      <c r="Q1644" s="6" t="str">
        <f t="shared" si="4"/>
        <v>Week 2</v>
      </c>
      <c r="R1644" s="6" t="str">
        <f t="shared" si="5"/>
        <v>2019Week 2</v>
      </c>
      <c r="S1644" s="6">
        <f>IFERROR(__xludf.DUMMYFUNCTION("rank(J1644,FILTER(J:J,R:R=R1644))"),6.0)</f>
        <v>6</v>
      </c>
      <c r="T1644" s="6">
        <f t="shared" si="6"/>
        <v>6</v>
      </c>
      <c r="U1644" s="6">
        <f t="shared" si="7"/>
        <v>6</v>
      </c>
      <c r="V1644" s="42">
        <f>averageif(AllData!A:A,B1644,AllData!R:R)/vlookup(B1644,AllData!A:O,15,0)</f>
        <v>93.61128205</v>
      </c>
      <c r="W1644" s="6"/>
    </row>
    <row r="1645" ht="14.25" customHeight="1">
      <c r="A1645" s="6" t="str">
        <f t="shared" si="1"/>
        <v>2019T-How2</v>
      </c>
      <c r="B1645" s="59">
        <v>2019.0</v>
      </c>
      <c r="C1645" s="13" t="s">
        <v>82</v>
      </c>
      <c r="D1645" s="13" t="s">
        <v>131</v>
      </c>
      <c r="E1645" s="34"/>
      <c r="F1645" s="6"/>
      <c r="H1645" s="6"/>
      <c r="I1645" s="35" t="str">
        <f>IFERROR(IFERROR(IFERROR(VLOOKUP(B1645&amp;C1645&amp;Q1645,'New Weekly Paste'!A:M,10,0),VLOOKUP(B1645&amp;C1645&amp;Q1645,'New Weekly Paste'!B:O,6,0)),""),"")</f>
        <v>Tayski</v>
      </c>
      <c r="J1645" s="239">
        <f>IFERROR(IFERROR(VLOOKUP(B1645&amp;C1645&amp;Q1645,'New Weekly Paste'!A:M,8,0),VLOOKUP(B1645&amp;C1645&amp;Q1645,'New Weekly Paste'!B:O,10,0)),0)</f>
        <v>90.72</v>
      </c>
      <c r="K1645" s="239">
        <f>IFERROR(IFERROR(VLOOKUP(B1645&amp;I1645&amp;Q1645,'New Weekly Paste'!A:M,8,0),VLOOKUP(B1645&amp;I1645&amp;Q1645,'New Weekly Paste'!B:O,10,0)),0)</f>
        <v>86.56</v>
      </c>
      <c r="L1645" s="239">
        <f t="shared" si="25"/>
        <v>1</v>
      </c>
      <c r="M1645" s="36" t="str">
        <f t="shared" si="3"/>
        <v>Regular Season</v>
      </c>
      <c r="N1645" s="239" t="str">
        <f t="shared" si="26"/>
        <v>Tayski</v>
      </c>
      <c r="O1645" s="6">
        <f>VLOOKUP(D1645,'Mapped Opponent'!$G$4:$H$22,2,0)</f>
        <v>2</v>
      </c>
      <c r="P1645" s="6"/>
      <c r="Q1645" s="6" t="str">
        <f t="shared" si="4"/>
        <v>Week 2</v>
      </c>
      <c r="R1645" s="6" t="str">
        <f t="shared" si="5"/>
        <v>2019Week 2</v>
      </c>
      <c r="S1645" s="6">
        <f>IFERROR(__xludf.DUMMYFUNCTION("rank(J1645,FILTER(J:J,R:R=R1645))"),6.0)</f>
        <v>6</v>
      </c>
      <c r="T1645" s="6">
        <f t="shared" si="6"/>
        <v>6</v>
      </c>
      <c r="U1645" s="6">
        <f t="shared" si="7"/>
        <v>6</v>
      </c>
      <c r="V1645" s="42">
        <f>averageif(AllData!A:A,B1645,AllData!R:R)/vlookup(B1645,AllData!A:O,15,0)</f>
        <v>93.61128205</v>
      </c>
      <c r="W1645" s="6"/>
    </row>
    <row r="1646" ht="14.25" customHeight="1">
      <c r="A1646" s="6" t="str">
        <f t="shared" si="1"/>
        <v>2019Hudspeath3</v>
      </c>
      <c r="B1646" s="59">
        <v>2019.0</v>
      </c>
      <c r="C1646" s="13" t="s">
        <v>39</v>
      </c>
      <c r="D1646" s="13" t="s">
        <v>135</v>
      </c>
      <c r="E1646" s="34"/>
      <c r="F1646" s="6"/>
      <c r="H1646" s="6"/>
      <c r="I1646" s="35" t="str">
        <f>IFERROR(IFERROR(IFERROR(VLOOKUP(B1646&amp;C1646&amp;Q1646,'New Weekly Paste'!A:M,10,0),VLOOKUP(B1646&amp;C1646&amp;Q1646,'New Weekly Paste'!B:O,6,0)),""),"")</f>
        <v>Tayski</v>
      </c>
      <c r="J1646" s="239">
        <f>IFERROR(IFERROR(VLOOKUP(B1646&amp;C1646&amp;Q1646,'New Weekly Paste'!A:M,8,0),VLOOKUP(B1646&amp;C1646&amp;Q1646,'New Weekly Paste'!B:O,10,0)),0)</f>
        <v>61.86</v>
      </c>
      <c r="K1646" s="239">
        <f>IFERROR(IFERROR(VLOOKUP(B1646&amp;I1646&amp;Q1646,'New Weekly Paste'!A:M,8,0),VLOOKUP(B1646&amp;I1646&amp;Q1646,'New Weekly Paste'!B:O,10,0)),0)</f>
        <v>76.24</v>
      </c>
      <c r="L1646" s="239">
        <f t="shared" si="25"/>
        <v>0</v>
      </c>
      <c r="M1646" s="36" t="str">
        <f t="shared" si="3"/>
        <v>Regular Season</v>
      </c>
      <c r="N1646" s="239" t="str">
        <f t="shared" si="26"/>
        <v>Tayski</v>
      </c>
      <c r="O1646" s="6">
        <f>VLOOKUP(D1646,'Mapped Opponent'!$G$4:$H$22,2,0)</f>
        <v>3</v>
      </c>
      <c r="P1646" s="6"/>
      <c r="Q1646" s="6" t="str">
        <f t="shared" si="4"/>
        <v>Week 3</v>
      </c>
      <c r="R1646" s="6" t="str">
        <f t="shared" si="5"/>
        <v>2019Week 3</v>
      </c>
      <c r="S1646" s="6">
        <f>IFERROR(__xludf.DUMMYFUNCTION("rank(J1646,FILTER(J:J,R:R=R1646))"),11.0)</f>
        <v>11</v>
      </c>
      <c r="T1646" s="6">
        <f t="shared" si="6"/>
        <v>1</v>
      </c>
      <c r="U1646" s="6">
        <f t="shared" si="7"/>
        <v>11</v>
      </c>
      <c r="V1646" s="42">
        <f>averageif(AllData!A:A,B1646,AllData!R:R)/vlookup(B1646,AllData!A:O,15,0)</f>
        <v>93.61128205</v>
      </c>
      <c r="W1646" s="6"/>
    </row>
    <row r="1647" ht="14.25" customHeight="1">
      <c r="A1647" s="6" t="str">
        <f t="shared" si="1"/>
        <v>2019Salty3</v>
      </c>
      <c r="B1647" s="59">
        <v>2019.0</v>
      </c>
      <c r="C1647" s="13" t="s">
        <v>76</v>
      </c>
      <c r="D1647" s="13" t="s">
        <v>135</v>
      </c>
      <c r="E1647" s="34"/>
      <c r="F1647" s="6"/>
      <c r="H1647" s="6"/>
      <c r="I1647" s="35" t="str">
        <f>IFERROR(IFERROR(IFERROR(VLOOKUP(B1647&amp;C1647&amp;Q1647,'New Weekly Paste'!A:M,10,0),VLOOKUP(B1647&amp;C1647&amp;Q1647,'New Weekly Paste'!B:O,6,0)),""),"")</f>
        <v>Cock</v>
      </c>
      <c r="J1647" s="239">
        <f>IFERROR(IFERROR(VLOOKUP(B1647&amp;C1647&amp;Q1647,'New Weekly Paste'!A:M,8,0),VLOOKUP(B1647&amp;C1647&amp;Q1647,'New Weekly Paste'!B:O,10,0)),0)</f>
        <v>56.2</v>
      </c>
      <c r="K1647" s="239">
        <f>IFERROR(IFERROR(VLOOKUP(B1647&amp;I1647&amp;Q1647,'New Weekly Paste'!A:M,8,0),VLOOKUP(B1647&amp;I1647&amp;Q1647,'New Weekly Paste'!B:O,10,0)),0)</f>
        <v>92.64</v>
      </c>
      <c r="L1647" s="239">
        <f t="shared" si="25"/>
        <v>0</v>
      </c>
      <c r="M1647" s="36" t="str">
        <f t="shared" si="3"/>
        <v>Regular Season</v>
      </c>
      <c r="N1647" s="239" t="str">
        <f t="shared" si="26"/>
        <v>Cock</v>
      </c>
      <c r="O1647" s="6">
        <f>VLOOKUP(D1647,'Mapped Opponent'!$G$4:$H$22,2,0)</f>
        <v>3</v>
      </c>
      <c r="P1647" s="6"/>
      <c r="Q1647" s="6" t="str">
        <f t="shared" si="4"/>
        <v>Week 3</v>
      </c>
      <c r="R1647" s="6" t="str">
        <f t="shared" si="5"/>
        <v>2019Week 3</v>
      </c>
      <c r="S1647" s="6">
        <f>IFERROR(__xludf.DUMMYFUNCTION("rank(J1647,FILTER(J:J,R:R=R1647))"),12.0)</f>
        <v>12</v>
      </c>
      <c r="T1647" s="6">
        <f t="shared" si="6"/>
        <v>0</v>
      </c>
      <c r="U1647" s="6">
        <f t="shared" si="7"/>
        <v>12</v>
      </c>
      <c r="V1647" s="42">
        <f>averageif(AllData!A:A,B1647,AllData!R:R)/vlookup(B1647,AllData!A:O,15,0)</f>
        <v>93.61128205</v>
      </c>
      <c r="W1647" s="6"/>
    </row>
    <row r="1648" ht="14.25" customHeight="1">
      <c r="A1648" s="6" t="str">
        <f t="shared" si="1"/>
        <v>2019Fellows3</v>
      </c>
      <c r="B1648" s="59">
        <v>2019.0</v>
      </c>
      <c r="C1648" s="13" t="s">
        <v>79</v>
      </c>
      <c r="D1648" s="13" t="s">
        <v>135</v>
      </c>
      <c r="E1648" s="34"/>
      <c r="F1648" s="6"/>
      <c r="H1648" s="6"/>
      <c r="I1648" s="35" t="str">
        <f>IFERROR(IFERROR(IFERROR(VLOOKUP(B1648&amp;C1648&amp;Q1648,'New Weekly Paste'!A:M,10,0),VLOOKUP(B1648&amp;C1648&amp;Q1648,'New Weekly Paste'!B:O,6,0)),""),"")</f>
        <v>T-How</v>
      </c>
      <c r="J1648" s="239">
        <f>IFERROR(IFERROR(VLOOKUP(B1648&amp;C1648&amp;Q1648,'New Weekly Paste'!A:M,8,0),VLOOKUP(B1648&amp;C1648&amp;Q1648,'New Weekly Paste'!B:O,10,0)),0)</f>
        <v>89.94</v>
      </c>
      <c r="K1648" s="239">
        <f>IFERROR(IFERROR(VLOOKUP(B1648&amp;I1648&amp;Q1648,'New Weekly Paste'!A:M,8,0),VLOOKUP(B1648&amp;I1648&amp;Q1648,'New Weekly Paste'!B:O,10,0)),0)</f>
        <v>129.92</v>
      </c>
      <c r="L1648" s="239">
        <f t="shared" si="25"/>
        <v>0</v>
      </c>
      <c r="M1648" s="36" t="str">
        <f t="shared" si="3"/>
        <v>Regular Season</v>
      </c>
      <c r="N1648" s="239" t="str">
        <f t="shared" si="26"/>
        <v>T-How</v>
      </c>
      <c r="O1648" s="6">
        <f>VLOOKUP(D1648,'Mapped Opponent'!$G$4:$H$22,2,0)</f>
        <v>3</v>
      </c>
      <c r="P1648" s="6"/>
      <c r="Q1648" s="6" t="str">
        <f t="shared" si="4"/>
        <v>Week 3</v>
      </c>
      <c r="R1648" s="6" t="str">
        <f t="shared" si="5"/>
        <v>2019Week 3</v>
      </c>
      <c r="S1648" s="6">
        <f>IFERROR(__xludf.DUMMYFUNCTION("rank(J1648,FILTER(J:J,R:R=R1648))"),9.0)</f>
        <v>9</v>
      </c>
      <c r="T1648" s="6">
        <f t="shared" si="6"/>
        <v>3</v>
      </c>
      <c r="U1648" s="6">
        <f t="shared" si="7"/>
        <v>9</v>
      </c>
      <c r="V1648" s="42">
        <f>averageif(AllData!A:A,B1648,AllData!R:R)/vlookup(B1648,AllData!A:O,15,0)</f>
        <v>93.61128205</v>
      </c>
      <c r="W1648" s="6"/>
    </row>
    <row r="1649" ht="14.25" customHeight="1">
      <c r="A1649" s="6" t="str">
        <f t="shared" si="1"/>
        <v>2019Shep3</v>
      </c>
      <c r="B1649" s="59">
        <v>2019.0</v>
      </c>
      <c r="C1649" s="13" t="s">
        <v>89</v>
      </c>
      <c r="D1649" s="13" t="s">
        <v>135</v>
      </c>
      <c r="E1649" s="34"/>
      <c r="F1649" s="6"/>
      <c r="H1649" s="6"/>
      <c r="I1649" s="35" t="str">
        <f>IFERROR(IFERROR(IFERROR(VLOOKUP(B1649&amp;C1649&amp;Q1649,'New Weekly Paste'!A:M,10,0),VLOOKUP(B1649&amp;C1649&amp;Q1649,'New Weekly Paste'!B:O,6,0)),""),"")</f>
        <v>Pierson</v>
      </c>
      <c r="J1649" s="239">
        <f>IFERROR(IFERROR(VLOOKUP(B1649&amp;C1649&amp;Q1649,'New Weekly Paste'!A:M,8,0),VLOOKUP(B1649&amp;C1649&amp;Q1649,'New Weekly Paste'!B:O,10,0)),0)</f>
        <v>96.16</v>
      </c>
      <c r="K1649" s="239">
        <f>IFERROR(IFERROR(VLOOKUP(B1649&amp;I1649&amp;Q1649,'New Weekly Paste'!A:M,8,0),VLOOKUP(B1649&amp;I1649&amp;Q1649,'New Weekly Paste'!B:O,10,0)),0)</f>
        <v>134.88</v>
      </c>
      <c r="L1649" s="239">
        <f t="shared" si="25"/>
        <v>0</v>
      </c>
      <c r="M1649" s="36" t="str">
        <f t="shared" si="3"/>
        <v>Regular Season</v>
      </c>
      <c r="N1649" s="239" t="str">
        <f t="shared" si="26"/>
        <v>Pierson</v>
      </c>
      <c r="O1649" s="6">
        <f>VLOOKUP(D1649,'Mapped Opponent'!$G$4:$H$22,2,0)</f>
        <v>3</v>
      </c>
      <c r="P1649" s="6"/>
      <c r="Q1649" s="6" t="str">
        <f t="shared" si="4"/>
        <v>Week 3</v>
      </c>
      <c r="R1649" s="6" t="str">
        <f t="shared" si="5"/>
        <v>2019Week 3</v>
      </c>
      <c r="S1649" s="6">
        <f>IFERROR(__xludf.DUMMYFUNCTION("rank(J1649,FILTER(J:J,R:R=R1649))"),7.0)</f>
        <v>7</v>
      </c>
      <c r="T1649" s="6">
        <f t="shared" si="6"/>
        <v>5</v>
      </c>
      <c r="U1649" s="6">
        <f t="shared" si="7"/>
        <v>7</v>
      </c>
      <c r="V1649" s="42">
        <f>averageif(AllData!A:A,B1649,AllData!R:R)/vlookup(B1649,AllData!A:O,15,0)</f>
        <v>93.61128205</v>
      </c>
      <c r="W1649" s="6"/>
    </row>
    <row r="1650" ht="14.25" customHeight="1">
      <c r="A1650" s="6" t="str">
        <f t="shared" si="1"/>
        <v>2019Riley3</v>
      </c>
      <c r="B1650" s="59">
        <v>2019.0</v>
      </c>
      <c r="C1650" s="13" t="s">
        <v>67</v>
      </c>
      <c r="D1650" s="13" t="s">
        <v>135</v>
      </c>
      <c r="E1650" s="34"/>
      <c r="F1650" s="6"/>
      <c r="H1650" s="6"/>
      <c r="I1650" s="35" t="str">
        <f>IFERROR(IFERROR(IFERROR(VLOOKUP(B1650&amp;C1650&amp;Q1650,'New Weekly Paste'!A:M,10,0),VLOOKUP(B1650&amp;C1650&amp;Q1650,'New Weekly Paste'!B:O,6,0)),""),"")</f>
        <v>Buser</v>
      </c>
      <c r="J1650" s="239">
        <f>IFERROR(IFERROR(VLOOKUP(B1650&amp;C1650&amp;Q1650,'New Weekly Paste'!A:M,8,0),VLOOKUP(B1650&amp;C1650&amp;Q1650,'New Weekly Paste'!B:O,10,0)),0)</f>
        <v>97.72</v>
      </c>
      <c r="K1650" s="239">
        <f>IFERROR(IFERROR(VLOOKUP(B1650&amp;I1650&amp;Q1650,'New Weekly Paste'!A:M,8,0),VLOOKUP(B1650&amp;I1650&amp;Q1650,'New Weekly Paste'!B:O,10,0)),0)</f>
        <v>129.14</v>
      </c>
      <c r="L1650" s="239">
        <f t="shared" si="25"/>
        <v>0</v>
      </c>
      <c r="M1650" s="36" t="str">
        <f t="shared" si="3"/>
        <v>Regular Season</v>
      </c>
      <c r="N1650" s="239" t="str">
        <f t="shared" si="26"/>
        <v>Buser</v>
      </c>
      <c r="O1650" s="6">
        <f>VLOOKUP(D1650,'Mapped Opponent'!$G$4:$H$22,2,0)</f>
        <v>3</v>
      </c>
      <c r="P1650" s="6"/>
      <c r="Q1650" s="6" t="str">
        <f t="shared" si="4"/>
        <v>Week 3</v>
      </c>
      <c r="R1650" s="6" t="str">
        <f t="shared" si="5"/>
        <v>2019Week 3</v>
      </c>
      <c r="S1650" s="6">
        <f>IFERROR(__xludf.DUMMYFUNCTION("rank(J1650,FILTER(J:J,R:R=R1650))"),6.0)</f>
        <v>6</v>
      </c>
      <c r="T1650" s="6">
        <f t="shared" si="6"/>
        <v>6</v>
      </c>
      <c r="U1650" s="6">
        <f t="shared" si="7"/>
        <v>6</v>
      </c>
      <c r="V1650" s="42">
        <f>averageif(AllData!A:A,B1650,AllData!R:R)/vlookup(B1650,AllData!A:O,15,0)</f>
        <v>93.61128205</v>
      </c>
      <c r="W1650" s="6"/>
    </row>
    <row r="1651" ht="14.25" customHeight="1">
      <c r="A1651" s="6" t="str">
        <f t="shared" si="1"/>
        <v>2019Rooney/Jackson3</v>
      </c>
      <c r="B1651" s="59">
        <v>2019.0</v>
      </c>
      <c r="C1651" s="13" t="s">
        <v>57</v>
      </c>
      <c r="D1651" s="13" t="s">
        <v>135</v>
      </c>
      <c r="E1651" s="34"/>
      <c r="F1651" s="6"/>
      <c r="H1651" s="6"/>
      <c r="I1651" s="35" t="str">
        <f>IFERROR(IFERROR(IFERROR(VLOOKUP(B1651&amp;C1651&amp;Q1651,'New Weekly Paste'!A:M,10,0),VLOOKUP(B1651&amp;C1651&amp;Q1651,'New Weekly Paste'!B:O,6,0)),""),"")</f>
        <v>KnardDawg</v>
      </c>
      <c r="J1651" s="239">
        <f>IFERROR(IFERROR(VLOOKUP(B1651&amp;C1651&amp;Q1651,'New Weekly Paste'!A:M,8,0),VLOOKUP(B1651&amp;C1651&amp;Q1651,'New Weekly Paste'!B:O,10,0)),0)</f>
        <v>108.22</v>
      </c>
      <c r="K1651" s="239">
        <f>IFERROR(IFERROR(VLOOKUP(B1651&amp;I1651&amp;Q1651,'New Weekly Paste'!A:M,8,0),VLOOKUP(B1651&amp;I1651&amp;Q1651,'New Weekly Paste'!B:O,10,0)),0)</f>
        <v>144.16</v>
      </c>
      <c r="L1651" s="239">
        <f t="shared" si="25"/>
        <v>0</v>
      </c>
      <c r="M1651" s="36" t="str">
        <f t="shared" si="3"/>
        <v>Regular Season</v>
      </c>
      <c r="N1651" s="239" t="str">
        <f t="shared" si="26"/>
        <v>KnardDawg</v>
      </c>
      <c r="O1651" s="6">
        <f>VLOOKUP(D1651,'Mapped Opponent'!$G$4:$H$22,2,0)</f>
        <v>3</v>
      </c>
      <c r="P1651" s="6"/>
      <c r="Q1651" s="6" t="str">
        <f t="shared" si="4"/>
        <v>Week 3</v>
      </c>
      <c r="R1651" s="6" t="str">
        <f t="shared" si="5"/>
        <v>2019Week 3</v>
      </c>
      <c r="S1651" s="6">
        <f>IFERROR(__xludf.DUMMYFUNCTION("rank(J1651,FILTER(J:J,R:R=R1651))"),5.0)</f>
        <v>5</v>
      </c>
      <c r="T1651" s="6">
        <f t="shared" si="6"/>
        <v>7</v>
      </c>
      <c r="U1651" s="6">
        <f t="shared" si="7"/>
        <v>5</v>
      </c>
      <c r="V1651" s="42">
        <f>averageif(AllData!A:A,B1651,AllData!R:R)/vlookup(B1651,AllData!A:O,15,0)</f>
        <v>93.61128205</v>
      </c>
      <c r="W1651" s="6"/>
    </row>
    <row r="1652" ht="14.25" customHeight="1">
      <c r="A1652" s="6" t="str">
        <f t="shared" si="1"/>
        <v>2019Buser3</v>
      </c>
      <c r="B1652" s="59">
        <v>2019.0</v>
      </c>
      <c r="C1652" s="13" t="s">
        <v>47</v>
      </c>
      <c r="D1652" s="13" t="s">
        <v>135</v>
      </c>
      <c r="E1652" s="34"/>
      <c r="F1652" s="6"/>
      <c r="H1652" s="6"/>
      <c r="I1652" s="35" t="str">
        <f>IFERROR(IFERROR(IFERROR(VLOOKUP(B1652&amp;C1652&amp;Q1652,'New Weekly Paste'!A:M,10,0),VLOOKUP(B1652&amp;C1652&amp;Q1652,'New Weekly Paste'!B:O,6,0)),""),"")</f>
        <v>Riley</v>
      </c>
      <c r="J1652" s="239">
        <f>IFERROR(IFERROR(VLOOKUP(B1652&amp;C1652&amp;Q1652,'New Weekly Paste'!A:M,8,0),VLOOKUP(B1652&amp;C1652&amp;Q1652,'New Weekly Paste'!B:O,10,0)),0)</f>
        <v>129.14</v>
      </c>
      <c r="K1652" s="239">
        <f>IFERROR(IFERROR(VLOOKUP(B1652&amp;I1652&amp;Q1652,'New Weekly Paste'!A:M,8,0),VLOOKUP(B1652&amp;I1652&amp;Q1652,'New Weekly Paste'!B:O,10,0)),0)</f>
        <v>97.72</v>
      </c>
      <c r="L1652" s="239">
        <f t="shared" si="25"/>
        <v>1</v>
      </c>
      <c r="M1652" s="36" t="str">
        <f t="shared" si="3"/>
        <v>Regular Season</v>
      </c>
      <c r="N1652" s="239" t="str">
        <f t="shared" si="26"/>
        <v>Riley</v>
      </c>
      <c r="O1652" s="6">
        <f>VLOOKUP(D1652,'Mapped Opponent'!$G$4:$H$22,2,0)</f>
        <v>3</v>
      </c>
      <c r="P1652" s="6"/>
      <c r="Q1652" s="6" t="str">
        <f t="shared" si="4"/>
        <v>Week 3</v>
      </c>
      <c r="R1652" s="6" t="str">
        <f t="shared" si="5"/>
        <v>2019Week 3</v>
      </c>
      <c r="S1652" s="6">
        <f>IFERROR(__xludf.DUMMYFUNCTION("rank(J1652,FILTER(J:J,R:R=R1652))"),4.0)</f>
        <v>4</v>
      </c>
      <c r="T1652" s="6">
        <f t="shared" si="6"/>
        <v>8</v>
      </c>
      <c r="U1652" s="6">
        <f t="shared" si="7"/>
        <v>4</v>
      </c>
      <c r="V1652" s="42">
        <f>averageif(AllData!A:A,B1652,AllData!R:R)/vlookup(B1652,AllData!A:O,15,0)</f>
        <v>93.61128205</v>
      </c>
      <c r="W1652" s="6"/>
    </row>
    <row r="1653" ht="14.25" customHeight="1">
      <c r="A1653" s="6" t="str">
        <f t="shared" si="1"/>
        <v>2019Pierson3</v>
      </c>
      <c r="B1653" s="59">
        <v>2019.0</v>
      </c>
      <c r="C1653" s="13" t="s">
        <v>92</v>
      </c>
      <c r="D1653" s="13" t="s">
        <v>135</v>
      </c>
      <c r="E1653" s="34"/>
      <c r="F1653" s="6"/>
      <c r="H1653" s="6"/>
      <c r="I1653" s="35" t="str">
        <f>IFERROR(IFERROR(IFERROR(VLOOKUP(B1653&amp;C1653&amp;Q1653,'New Weekly Paste'!A:M,10,0),VLOOKUP(B1653&amp;C1653&amp;Q1653,'New Weekly Paste'!B:O,6,0)),""),"")</f>
        <v>Shep</v>
      </c>
      <c r="J1653" s="239">
        <f>IFERROR(IFERROR(VLOOKUP(B1653&amp;C1653&amp;Q1653,'New Weekly Paste'!A:M,8,0),VLOOKUP(B1653&amp;C1653&amp;Q1653,'New Weekly Paste'!B:O,10,0)),0)</f>
        <v>134.88</v>
      </c>
      <c r="K1653" s="239">
        <f>IFERROR(IFERROR(VLOOKUP(B1653&amp;I1653&amp;Q1653,'New Weekly Paste'!A:M,8,0),VLOOKUP(B1653&amp;I1653&amp;Q1653,'New Weekly Paste'!B:O,10,0)),0)</f>
        <v>96.16</v>
      </c>
      <c r="L1653" s="239">
        <f t="shared" si="25"/>
        <v>1</v>
      </c>
      <c r="M1653" s="36" t="str">
        <f t="shared" si="3"/>
        <v>Regular Season</v>
      </c>
      <c r="N1653" s="239" t="str">
        <f t="shared" si="26"/>
        <v>Shep</v>
      </c>
      <c r="O1653" s="6">
        <f>VLOOKUP(D1653,'Mapped Opponent'!$G$4:$H$22,2,0)</f>
        <v>3</v>
      </c>
      <c r="P1653" s="6"/>
      <c r="Q1653" s="6" t="str">
        <f t="shared" si="4"/>
        <v>Week 3</v>
      </c>
      <c r="R1653" s="6" t="str">
        <f t="shared" si="5"/>
        <v>2019Week 3</v>
      </c>
      <c r="S1653" s="6">
        <f>IFERROR(__xludf.DUMMYFUNCTION("rank(J1653,FILTER(J:J,R:R=R1653))"),2.0)</f>
        <v>2</v>
      </c>
      <c r="T1653" s="6">
        <f t="shared" si="6"/>
        <v>10</v>
      </c>
      <c r="U1653" s="6">
        <f t="shared" si="7"/>
        <v>2</v>
      </c>
      <c r="V1653" s="42">
        <f>averageif(AllData!A:A,B1653,AllData!R:R)/vlookup(B1653,AllData!A:O,15,0)</f>
        <v>93.61128205</v>
      </c>
      <c r="W1653" s="6"/>
    </row>
    <row r="1654" ht="14.25" customHeight="1">
      <c r="A1654" s="6" t="str">
        <f t="shared" si="1"/>
        <v>2019Cock3</v>
      </c>
      <c r="B1654" s="59">
        <v>2019.0</v>
      </c>
      <c r="C1654" s="13" t="s">
        <v>72</v>
      </c>
      <c r="D1654" s="13" t="s">
        <v>135</v>
      </c>
      <c r="E1654" s="34"/>
      <c r="F1654" s="6"/>
      <c r="H1654" s="6"/>
      <c r="I1654" s="35" t="str">
        <f>IFERROR(IFERROR(IFERROR(VLOOKUP(B1654&amp;C1654&amp;Q1654,'New Weekly Paste'!A:M,10,0),VLOOKUP(B1654&amp;C1654&amp;Q1654,'New Weekly Paste'!B:O,6,0)),""),"")</f>
        <v>Salty</v>
      </c>
      <c r="J1654" s="239">
        <f>IFERROR(IFERROR(VLOOKUP(B1654&amp;C1654&amp;Q1654,'New Weekly Paste'!A:M,8,0),VLOOKUP(B1654&amp;C1654&amp;Q1654,'New Weekly Paste'!B:O,10,0)),0)</f>
        <v>92.64</v>
      </c>
      <c r="K1654" s="239">
        <f>IFERROR(IFERROR(VLOOKUP(B1654&amp;I1654&amp;Q1654,'New Weekly Paste'!A:M,8,0),VLOOKUP(B1654&amp;I1654&amp;Q1654,'New Weekly Paste'!B:O,10,0)),0)</f>
        <v>56.2</v>
      </c>
      <c r="L1654" s="239">
        <f t="shared" si="25"/>
        <v>1</v>
      </c>
      <c r="M1654" s="36" t="str">
        <f t="shared" si="3"/>
        <v>Regular Season</v>
      </c>
      <c r="N1654" s="239" t="str">
        <f t="shared" si="26"/>
        <v>Salty</v>
      </c>
      <c r="O1654" s="6">
        <f>VLOOKUP(D1654,'Mapped Opponent'!$G$4:$H$22,2,0)</f>
        <v>3</v>
      </c>
      <c r="P1654" s="6"/>
      <c r="Q1654" s="6" t="str">
        <f t="shared" si="4"/>
        <v>Week 3</v>
      </c>
      <c r="R1654" s="6" t="str">
        <f t="shared" si="5"/>
        <v>2019Week 3</v>
      </c>
      <c r="S1654" s="6">
        <f>IFERROR(__xludf.DUMMYFUNCTION("rank(J1654,FILTER(J:J,R:R=R1654))"),8.0)</f>
        <v>8</v>
      </c>
      <c r="T1654" s="6">
        <f t="shared" si="6"/>
        <v>4</v>
      </c>
      <c r="U1654" s="6">
        <f t="shared" si="7"/>
        <v>8</v>
      </c>
      <c r="V1654" s="42">
        <f>averageif(AllData!A:A,B1654,AllData!R:R)/vlookup(B1654,AllData!A:O,15,0)</f>
        <v>93.61128205</v>
      </c>
      <c r="W1654" s="6"/>
    </row>
    <row r="1655" ht="14.25" customHeight="1">
      <c r="A1655" s="6" t="str">
        <f t="shared" si="1"/>
        <v>2019Tayski3</v>
      </c>
      <c r="B1655" s="59">
        <v>2019.0</v>
      </c>
      <c r="C1655" s="13" t="s">
        <v>52</v>
      </c>
      <c r="D1655" s="13" t="s">
        <v>135</v>
      </c>
      <c r="E1655" s="34"/>
      <c r="F1655" s="6"/>
      <c r="H1655" s="6"/>
      <c r="I1655" s="35" t="str">
        <f>IFERROR(IFERROR(IFERROR(VLOOKUP(B1655&amp;C1655&amp;Q1655,'New Weekly Paste'!A:M,10,0),VLOOKUP(B1655&amp;C1655&amp;Q1655,'New Weekly Paste'!B:O,6,0)),""),"")</f>
        <v>Hudspeath</v>
      </c>
      <c r="J1655" s="239">
        <f>IFERROR(IFERROR(VLOOKUP(B1655&amp;C1655&amp;Q1655,'New Weekly Paste'!A:M,8,0),VLOOKUP(B1655&amp;C1655&amp;Q1655,'New Weekly Paste'!B:O,10,0)),0)</f>
        <v>76.24</v>
      </c>
      <c r="K1655" s="239">
        <f>IFERROR(IFERROR(VLOOKUP(B1655&amp;I1655&amp;Q1655,'New Weekly Paste'!A:M,8,0),VLOOKUP(B1655&amp;I1655&amp;Q1655,'New Weekly Paste'!B:O,10,0)),0)</f>
        <v>61.86</v>
      </c>
      <c r="L1655" s="239">
        <f t="shared" si="25"/>
        <v>1</v>
      </c>
      <c r="M1655" s="36" t="str">
        <f t="shared" si="3"/>
        <v>Regular Season</v>
      </c>
      <c r="N1655" s="239" t="str">
        <f t="shared" si="26"/>
        <v>Hudspeath</v>
      </c>
      <c r="O1655" s="6">
        <f>VLOOKUP(D1655,'Mapped Opponent'!$G$4:$H$22,2,0)</f>
        <v>3</v>
      </c>
      <c r="P1655" s="6"/>
      <c r="Q1655" s="6" t="str">
        <f t="shared" si="4"/>
        <v>Week 3</v>
      </c>
      <c r="R1655" s="6" t="str">
        <f t="shared" si="5"/>
        <v>2019Week 3</v>
      </c>
      <c r="S1655" s="6">
        <f>IFERROR(__xludf.DUMMYFUNCTION("rank(J1655,FILTER(J:J,R:R=R1655))"),10.0)</f>
        <v>10</v>
      </c>
      <c r="T1655" s="6">
        <f t="shared" si="6"/>
        <v>2</v>
      </c>
      <c r="U1655" s="6">
        <f t="shared" si="7"/>
        <v>10</v>
      </c>
      <c r="V1655" s="42">
        <f>averageif(AllData!A:A,B1655,AllData!R:R)/vlookup(B1655,AllData!A:O,15,0)</f>
        <v>93.61128205</v>
      </c>
      <c r="W1655" s="6"/>
    </row>
    <row r="1656" ht="14.25" customHeight="1">
      <c r="A1656" s="6" t="str">
        <f t="shared" si="1"/>
        <v>2019KnardDawg3</v>
      </c>
      <c r="B1656" s="59">
        <v>2019.0</v>
      </c>
      <c r="C1656" s="13" t="s">
        <v>86</v>
      </c>
      <c r="D1656" s="13" t="s">
        <v>135</v>
      </c>
      <c r="E1656" s="34"/>
      <c r="F1656" s="6"/>
      <c r="H1656" s="6"/>
      <c r="I1656" s="35" t="str">
        <f>IFERROR(IFERROR(IFERROR(VLOOKUP(B1656&amp;C1656&amp;Q1656,'New Weekly Paste'!A:M,10,0),VLOOKUP(B1656&amp;C1656&amp;Q1656,'New Weekly Paste'!B:O,6,0)),""),"")</f>
        <v>Rooney/Jackson</v>
      </c>
      <c r="J1656" s="239">
        <f>IFERROR(IFERROR(VLOOKUP(B1656&amp;C1656&amp;Q1656,'New Weekly Paste'!A:M,8,0),VLOOKUP(B1656&amp;C1656&amp;Q1656,'New Weekly Paste'!B:O,10,0)),0)</f>
        <v>144.16</v>
      </c>
      <c r="K1656" s="239">
        <f>IFERROR(IFERROR(VLOOKUP(B1656&amp;I1656&amp;Q1656,'New Weekly Paste'!A:M,8,0),VLOOKUP(B1656&amp;I1656&amp;Q1656,'New Weekly Paste'!B:O,10,0)),0)</f>
        <v>108.22</v>
      </c>
      <c r="L1656" s="239">
        <f t="shared" si="25"/>
        <v>1</v>
      </c>
      <c r="M1656" s="36" t="str">
        <f t="shared" si="3"/>
        <v>Regular Season</v>
      </c>
      <c r="N1656" s="239" t="str">
        <f t="shared" si="26"/>
        <v>Rooney/Jackson</v>
      </c>
      <c r="O1656" s="6">
        <f>VLOOKUP(D1656,'Mapped Opponent'!$G$4:$H$22,2,0)</f>
        <v>3</v>
      </c>
      <c r="P1656" s="6"/>
      <c r="Q1656" s="6" t="str">
        <f t="shared" si="4"/>
        <v>Week 3</v>
      </c>
      <c r="R1656" s="6" t="str">
        <f t="shared" si="5"/>
        <v>2019Week 3</v>
      </c>
      <c r="S1656" s="6">
        <f>IFERROR(__xludf.DUMMYFUNCTION("rank(J1656,FILTER(J:J,R:R=R1656))"),1.0)</f>
        <v>1</v>
      </c>
      <c r="T1656" s="6">
        <f t="shared" si="6"/>
        <v>11</v>
      </c>
      <c r="U1656" s="6">
        <f t="shared" si="7"/>
        <v>1</v>
      </c>
      <c r="V1656" s="42">
        <f>averageif(AllData!A:A,B1656,AllData!R:R)/vlookup(B1656,AllData!A:O,15,0)</f>
        <v>93.61128205</v>
      </c>
      <c r="W1656" s="6"/>
    </row>
    <row r="1657" ht="14.25" customHeight="1">
      <c r="A1657" s="6" t="str">
        <f t="shared" si="1"/>
        <v>2019T-How3</v>
      </c>
      <c r="B1657" s="59">
        <v>2019.0</v>
      </c>
      <c r="C1657" s="13" t="s">
        <v>82</v>
      </c>
      <c r="D1657" s="13" t="s">
        <v>135</v>
      </c>
      <c r="E1657" s="34"/>
      <c r="F1657" s="6"/>
      <c r="H1657" s="6"/>
      <c r="I1657" s="35" t="str">
        <f>IFERROR(IFERROR(IFERROR(VLOOKUP(B1657&amp;C1657&amp;Q1657,'New Weekly Paste'!A:M,10,0),VLOOKUP(B1657&amp;C1657&amp;Q1657,'New Weekly Paste'!B:O,6,0)),""),"")</f>
        <v>Fellows</v>
      </c>
      <c r="J1657" s="239">
        <f>IFERROR(IFERROR(VLOOKUP(B1657&amp;C1657&amp;Q1657,'New Weekly Paste'!A:M,8,0),VLOOKUP(B1657&amp;C1657&amp;Q1657,'New Weekly Paste'!B:O,10,0)),0)</f>
        <v>129.92</v>
      </c>
      <c r="K1657" s="239">
        <f>IFERROR(IFERROR(VLOOKUP(B1657&amp;I1657&amp;Q1657,'New Weekly Paste'!A:M,8,0),VLOOKUP(B1657&amp;I1657&amp;Q1657,'New Weekly Paste'!B:O,10,0)),0)</f>
        <v>89.94</v>
      </c>
      <c r="L1657" s="239">
        <f t="shared" si="25"/>
        <v>1</v>
      </c>
      <c r="M1657" s="36" t="str">
        <f t="shared" si="3"/>
        <v>Regular Season</v>
      </c>
      <c r="N1657" s="239" t="str">
        <f t="shared" si="26"/>
        <v>Fellows</v>
      </c>
      <c r="O1657" s="6">
        <f>VLOOKUP(D1657,'Mapped Opponent'!$G$4:$H$22,2,0)</f>
        <v>3</v>
      </c>
      <c r="P1657" s="6"/>
      <c r="Q1657" s="6" t="str">
        <f t="shared" si="4"/>
        <v>Week 3</v>
      </c>
      <c r="R1657" s="6" t="str">
        <f t="shared" si="5"/>
        <v>2019Week 3</v>
      </c>
      <c r="S1657" s="6">
        <f>IFERROR(__xludf.DUMMYFUNCTION("rank(J1657,FILTER(J:J,R:R=R1657))"),3.0)</f>
        <v>3</v>
      </c>
      <c r="T1657" s="6">
        <f t="shared" si="6"/>
        <v>9</v>
      </c>
      <c r="U1657" s="6">
        <f t="shared" si="7"/>
        <v>3</v>
      </c>
      <c r="V1657" s="42">
        <f>averageif(AllData!A:A,B1657,AllData!R:R)/vlookup(B1657,AllData!A:O,15,0)</f>
        <v>93.61128205</v>
      </c>
      <c r="W1657" s="6"/>
    </row>
    <row r="1658" ht="14.25" customHeight="1">
      <c r="A1658" s="6" t="str">
        <f t="shared" si="1"/>
        <v>2019Hudspeath4</v>
      </c>
      <c r="B1658" s="59">
        <v>2019.0</v>
      </c>
      <c r="C1658" s="13" t="s">
        <v>39</v>
      </c>
      <c r="D1658" s="13" t="s">
        <v>138</v>
      </c>
      <c r="E1658" s="34"/>
      <c r="F1658" s="6"/>
      <c r="H1658" s="6"/>
      <c r="I1658" s="35" t="str">
        <f>IFERROR(IFERROR(IFERROR(VLOOKUP(B1658&amp;C1658&amp;Q1658,'New Weekly Paste'!A:M,10,0),VLOOKUP(B1658&amp;C1658&amp;Q1658,'New Weekly Paste'!B:O,6,0)),""),"")</f>
        <v>Fellows</v>
      </c>
      <c r="J1658" s="239">
        <f>IFERROR(IFERROR(VLOOKUP(B1658&amp;C1658&amp;Q1658,'New Weekly Paste'!A:M,8,0),VLOOKUP(B1658&amp;C1658&amp;Q1658,'New Weekly Paste'!B:O,10,0)),0)</f>
        <v>139.4</v>
      </c>
      <c r="K1658" s="239">
        <f>IFERROR(IFERROR(VLOOKUP(B1658&amp;I1658&amp;Q1658,'New Weekly Paste'!A:M,8,0),VLOOKUP(B1658&amp;I1658&amp;Q1658,'New Weekly Paste'!B:O,10,0)),0)</f>
        <v>65.52</v>
      </c>
      <c r="L1658" s="239">
        <f t="shared" si="25"/>
        <v>1</v>
      </c>
      <c r="M1658" s="36" t="str">
        <f t="shared" si="3"/>
        <v>Regular Season</v>
      </c>
      <c r="N1658" s="239" t="str">
        <f t="shared" si="26"/>
        <v>Fellows</v>
      </c>
      <c r="O1658" s="6">
        <f>VLOOKUP(D1658,'Mapped Opponent'!$G$4:$H$22,2,0)</f>
        <v>4</v>
      </c>
      <c r="P1658" s="6"/>
      <c r="Q1658" s="6" t="str">
        <f t="shared" si="4"/>
        <v>Week 4</v>
      </c>
      <c r="R1658" s="6" t="str">
        <f t="shared" si="5"/>
        <v>2019Week 4</v>
      </c>
      <c r="S1658" s="6">
        <f>IFERROR(__xludf.DUMMYFUNCTION("rank(J1658,FILTER(J:J,R:R=R1658))"),1.0)</f>
        <v>1</v>
      </c>
      <c r="T1658" s="6">
        <f t="shared" si="6"/>
        <v>11</v>
      </c>
      <c r="U1658" s="6">
        <f t="shared" si="7"/>
        <v>1</v>
      </c>
      <c r="V1658" s="42">
        <f>averageif(AllData!A:A,B1658,AllData!R:R)/vlookup(B1658,AllData!A:O,15,0)</f>
        <v>93.61128205</v>
      </c>
      <c r="W1658" s="6"/>
    </row>
    <row r="1659" ht="14.25" customHeight="1">
      <c r="A1659" s="6" t="str">
        <f t="shared" si="1"/>
        <v>2019Salty4</v>
      </c>
      <c r="B1659" s="59">
        <v>2019.0</v>
      </c>
      <c r="C1659" s="13" t="s">
        <v>76</v>
      </c>
      <c r="D1659" s="13" t="s">
        <v>138</v>
      </c>
      <c r="E1659" s="34"/>
      <c r="F1659" s="6"/>
      <c r="H1659" s="6"/>
      <c r="I1659" s="35" t="str">
        <f>IFERROR(IFERROR(IFERROR(VLOOKUP(B1659&amp;C1659&amp;Q1659,'New Weekly Paste'!A:M,10,0),VLOOKUP(B1659&amp;C1659&amp;Q1659,'New Weekly Paste'!B:O,6,0)),""),"")</f>
        <v>Rooney/Jackson</v>
      </c>
      <c r="J1659" s="239">
        <f>IFERROR(IFERROR(VLOOKUP(B1659&amp;C1659&amp;Q1659,'New Weekly Paste'!A:M,8,0),VLOOKUP(B1659&amp;C1659&amp;Q1659,'New Weekly Paste'!B:O,10,0)),0)</f>
        <v>120.28</v>
      </c>
      <c r="K1659" s="239">
        <f>IFERROR(IFERROR(VLOOKUP(B1659&amp;I1659&amp;Q1659,'New Weekly Paste'!A:M,8,0),VLOOKUP(B1659&amp;I1659&amp;Q1659,'New Weekly Paste'!B:O,10,0)),0)</f>
        <v>60.4</v>
      </c>
      <c r="L1659" s="239">
        <f t="shared" si="25"/>
        <v>1</v>
      </c>
      <c r="M1659" s="36" t="str">
        <f t="shared" si="3"/>
        <v>Regular Season</v>
      </c>
      <c r="N1659" s="239" t="str">
        <f t="shared" si="26"/>
        <v>Rooney/Jackson</v>
      </c>
      <c r="O1659" s="6">
        <f>VLOOKUP(D1659,'Mapped Opponent'!$G$4:$H$22,2,0)</f>
        <v>4</v>
      </c>
      <c r="P1659" s="6"/>
      <c r="Q1659" s="6" t="str">
        <f t="shared" si="4"/>
        <v>Week 4</v>
      </c>
      <c r="R1659" s="6" t="str">
        <f t="shared" si="5"/>
        <v>2019Week 4</v>
      </c>
      <c r="S1659" s="6">
        <f>IFERROR(__xludf.DUMMYFUNCTION("rank(J1659,FILTER(J:J,R:R=R1659))"),2.0)</f>
        <v>2</v>
      </c>
      <c r="T1659" s="6">
        <f t="shared" si="6"/>
        <v>10</v>
      </c>
      <c r="U1659" s="6">
        <f t="shared" si="7"/>
        <v>2</v>
      </c>
      <c r="V1659" s="42">
        <f>averageif(AllData!A:A,B1659,AllData!R:R)/vlookup(B1659,AllData!A:O,15,0)</f>
        <v>93.61128205</v>
      </c>
      <c r="W1659" s="6"/>
    </row>
    <row r="1660" ht="14.25" customHeight="1">
      <c r="A1660" s="6" t="str">
        <f t="shared" si="1"/>
        <v>2019Fellows4</v>
      </c>
      <c r="B1660" s="59">
        <v>2019.0</v>
      </c>
      <c r="C1660" s="13" t="s">
        <v>79</v>
      </c>
      <c r="D1660" s="13" t="s">
        <v>138</v>
      </c>
      <c r="E1660" s="34"/>
      <c r="F1660" s="6"/>
      <c r="H1660" s="6"/>
      <c r="I1660" s="35" t="str">
        <f>IFERROR(IFERROR(IFERROR(VLOOKUP(B1660&amp;C1660&amp;Q1660,'New Weekly Paste'!A:M,10,0),VLOOKUP(B1660&amp;C1660&amp;Q1660,'New Weekly Paste'!B:O,6,0)),""),"")</f>
        <v>Hudspeath</v>
      </c>
      <c r="J1660" s="239">
        <f>IFERROR(IFERROR(VLOOKUP(B1660&amp;C1660&amp;Q1660,'New Weekly Paste'!A:M,8,0),VLOOKUP(B1660&amp;C1660&amp;Q1660,'New Weekly Paste'!B:O,10,0)),0)</f>
        <v>65.52</v>
      </c>
      <c r="K1660" s="239">
        <f>IFERROR(IFERROR(VLOOKUP(B1660&amp;I1660&amp;Q1660,'New Weekly Paste'!A:M,8,0),VLOOKUP(B1660&amp;I1660&amp;Q1660,'New Weekly Paste'!B:O,10,0)),0)</f>
        <v>139.4</v>
      </c>
      <c r="L1660" s="239">
        <f t="shared" si="25"/>
        <v>0</v>
      </c>
      <c r="M1660" s="36" t="str">
        <f t="shared" si="3"/>
        <v>Regular Season</v>
      </c>
      <c r="N1660" s="239" t="str">
        <f t="shared" si="26"/>
        <v>Hudspeath</v>
      </c>
      <c r="O1660" s="6">
        <f>VLOOKUP(D1660,'Mapped Opponent'!$G$4:$H$22,2,0)</f>
        <v>4</v>
      </c>
      <c r="P1660" s="6"/>
      <c r="Q1660" s="6" t="str">
        <f t="shared" si="4"/>
        <v>Week 4</v>
      </c>
      <c r="R1660" s="6" t="str">
        <f t="shared" si="5"/>
        <v>2019Week 4</v>
      </c>
      <c r="S1660" s="6">
        <f>IFERROR(__xludf.DUMMYFUNCTION("rank(J1660,FILTER(J:J,R:R=R1660))"),10.0)</f>
        <v>10</v>
      </c>
      <c r="T1660" s="6">
        <f t="shared" si="6"/>
        <v>2</v>
      </c>
      <c r="U1660" s="6">
        <f t="shared" si="7"/>
        <v>10</v>
      </c>
      <c r="V1660" s="42">
        <f>averageif(AllData!A:A,B1660,AllData!R:R)/vlookup(B1660,AllData!A:O,15,0)</f>
        <v>93.61128205</v>
      </c>
      <c r="W1660" s="6"/>
    </row>
    <row r="1661" ht="14.25" customHeight="1">
      <c r="A1661" s="6" t="str">
        <f t="shared" si="1"/>
        <v>2019Shep4</v>
      </c>
      <c r="B1661" s="59">
        <v>2019.0</v>
      </c>
      <c r="C1661" s="13" t="s">
        <v>89</v>
      </c>
      <c r="D1661" s="13" t="s">
        <v>138</v>
      </c>
      <c r="E1661" s="34"/>
      <c r="F1661" s="6"/>
      <c r="H1661" s="6"/>
      <c r="I1661" s="35" t="str">
        <f>IFERROR(IFERROR(IFERROR(VLOOKUP(B1661&amp;C1661&amp;Q1661,'New Weekly Paste'!A:M,10,0),VLOOKUP(B1661&amp;C1661&amp;Q1661,'New Weekly Paste'!B:O,6,0)),""),"")</f>
        <v>Cock</v>
      </c>
      <c r="J1661" s="239">
        <f>IFERROR(IFERROR(VLOOKUP(B1661&amp;C1661&amp;Q1661,'New Weekly Paste'!A:M,8,0),VLOOKUP(B1661&amp;C1661&amp;Q1661,'New Weekly Paste'!B:O,10,0)),0)</f>
        <v>84.98</v>
      </c>
      <c r="K1661" s="239">
        <f>IFERROR(IFERROR(VLOOKUP(B1661&amp;I1661&amp;Q1661,'New Weekly Paste'!A:M,8,0),VLOOKUP(B1661&amp;I1661&amp;Q1661,'New Weekly Paste'!B:O,10,0)),0)</f>
        <v>32.8</v>
      </c>
      <c r="L1661" s="239">
        <f t="shared" si="25"/>
        <v>1</v>
      </c>
      <c r="M1661" s="36" t="str">
        <f t="shared" si="3"/>
        <v>Regular Season</v>
      </c>
      <c r="N1661" s="239" t="str">
        <f t="shared" si="26"/>
        <v>Cock</v>
      </c>
      <c r="O1661" s="6">
        <f>VLOOKUP(D1661,'Mapped Opponent'!$G$4:$H$22,2,0)</f>
        <v>4</v>
      </c>
      <c r="P1661" s="6"/>
      <c r="Q1661" s="6" t="str">
        <f t="shared" si="4"/>
        <v>Week 4</v>
      </c>
      <c r="R1661" s="6" t="str">
        <f t="shared" si="5"/>
        <v>2019Week 4</v>
      </c>
      <c r="S1661" s="6">
        <f>IFERROR(__xludf.DUMMYFUNCTION("rank(J1661,FILTER(J:J,R:R=R1661))"),6.0)</f>
        <v>6</v>
      </c>
      <c r="T1661" s="6">
        <f t="shared" si="6"/>
        <v>6</v>
      </c>
      <c r="U1661" s="6">
        <f t="shared" si="7"/>
        <v>6</v>
      </c>
      <c r="V1661" s="42">
        <f>averageif(AllData!A:A,B1661,AllData!R:R)/vlookup(B1661,AllData!A:O,15,0)</f>
        <v>93.61128205</v>
      </c>
      <c r="W1661" s="6"/>
    </row>
    <row r="1662" ht="14.25" customHeight="1">
      <c r="A1662" s="6" t="str">
        <f t="shared" si="1"/>
        <v>2019Riley4</v>
      </c>
      <c r="B1662" s="59">
        <v>2019.0</v>
      </c>
      <c r="C1662" s="13" t="s">
        <v>67</v>
      </c>
      <c r="D1662" s="13" t="s">
        <v>138</v>
      </c>
      <c r="E1662" s="34"/>
      <c r="F1662" s="6"/>
      <c r="H1662" s="6"/>
      <c r="I1662" s="35" t="str">
        <f>IFERROR(IFERROR(IFERROR(VLOOKUP(B1662&amp;C1662&amp;Q1662,'New Weekly Paste'!A:M,10,0),VLOOKUP(B1662&amp;C1662&amp;Q1662,'New Weekly Paste'!B:O,6,0)),""),"")</f>
        <v>T-How</v>
      </c>
      <c r="J1662" s="239">
        <f>IFERROR(IFERROR(VLOOKUP(B1662&amp;C1662&amp;Q1662,'New Weekly Paste'!A:M,8,0),VLOOKUP(B1662&amp;C1662&amp;Q1662,'New Weekly Paste'!B:O,10,0)),0)</f>
        <v>70.14</v>
      </c>
      <c r="K1662" s="239">
        <f>IFERROR(IFERROR(VLOOKUP(B1662&amp;I1662&amp;Q1662,'New Weekly Paste'!A:M,8,0),VLOOKUP(B1662&amp;I1662&amp;Q1662,'New Weekly Paste'!B:O,10,0)),0)</f>
        <v>101.28</v>
      </c>
      <c r="L1662" s="239">
        <f t="shared" si="25"/>
        <v>0</v>
      </c>
      <c r="M1662" s="36" t="str">
        <f t="shared" si="3"/>
        <v>Regular Season</v>
      </c>
      <c r="N1662" s="239" t="str">
        <f t="shared" si="26"/>
        <v>T-How</v>
      </c>
      <c r="O1662" s="6">
        <f>VLOOKUP(D1662,'Mapped Opponent'!$G$4:$H$22,2,0)</f>
        <v>4</v>
      </c>
      <c r="P1662" s="6"/>
      <c r="Q1662" s="6" t="str">
        <f t="shared" si="4"/>
        <v>Week 4</v>
      </c>
      <c r="R1662" s="6" t="str">
        <f t="shared" si="5"/>
        <v>2019Week 4</v>
      </c>
      <c r="S1662" s="6">
        <f>IFERROR(__xludf.DUMMYFUNCTION("rank(J1662,FILTER(J:J,R:R=R1662))"),9.0)</f>
        <v>9</v>
      </c>
      <c r="T1662" s="6">
        <f t="shared" si="6"/>
        <v>3</v>
      </c>
      <c r="U1662" s="6">
        <f t="shared" si="7"/>
        <v>9</v>
      </c>
      <c r="V1662" s="42">
        <f>averageif(AllData!A:A,B1662,AllData!R:R)/vlookup(B1662,AllData!A:O,15,0)</f>
        <v>93.61128205</v>
      </c>
      <c r="W1662" s="6"/>
    </row>
    <row r="1663" ht="14.25" customHeight="1">
      <c r="A1663" s="6" t="str">
        <f t="shared" si="1"/>
        <v>2019Rooney/Jackson4</v>
      </c>
      <c r="B1663" s="59">
        <v>2019.0</v>
      </c>
      <c r="C1663" s="13" t="s">
        <v>57</v>
      </c>
      <c r="D1663" s="13" t="s">
        <v>138</v>
      </c>
      <c r="E1663" s="34"/>
      <c r="F1663" s="6"/>
      <c r="H1663" s="6"/>
      <c r="I1663" s="35" t="str">
        <f>IFERROR(IFERROR(IFERROR(VLOOKUP(B1663&amp;C1663&amp;Q1663,'New Weekly Paste'!A:M,10,0),VLOOKUP(B1663&amp;C1663&amp;Q1663,'New Weekly Paste'!B:O,6,0)),""),"")</f>
        <v>Salty</v>
      </c>
      <c r="J1663" s="239">
        <f>IFERROR(IFERROR(VLOOKUP(B1663&amp;C1663&amp;Q1663,'New Weekly Paste'!A:M,8,0),VLOOKUP(B1663&amp;C1663&amp;Q1663,'New Weekly Paste'!B:O,10,0)),0)</f>
        <v>60.4</v>
      </c>
      <c r="K1663" s="239">
        <f>IFERROR(IFERROR(VLOOKUP(B1663&amp;I1663&amp;Q1663,'New Weekly Paste'!A:M,8,0),VLOOKUP(B1663&amp;I1663&amp;Q1663,'New Weekly Paste'!B:O,10,0)),0)</f>
        <v>120.28</v>
      </c>
      <c r="L1663" s="239">
        <f t="shared" si="25"/>
        <v>0</v>
      </c>
      <c r="M1663" s="36" t="str">
        <f t="shared" si="3"/>
        <v>Regular Season</v>
      </c>
      <c r="N1663" s="239" t="str">
        <f t="shared" si="26"/>
        <v>Salty</v>
      </c>
      <c r="O1663" s="6">
        <f>VLOOKUP(D1663,'Mapped Opponent'!$G$4:$H$22,2,0)</f>
        <v>4</v>
      </c>
      <c r="P1663" s="6"/>
      <c r="Q1663" s="6" t="str">
        <f t="shared" si="4"/>
        <v>Week 4</v>
      </c>
      <c r="R1663" s="6" t="str">
        <f t="shared" si="5"/>
        <v>2019Week 4</v>
      </c>
      <c r="S1663" s="6">
        <f>IFERROR(__xludf.DUMMYFUNCTION("rank(J1663,FILTER(J:J,R:R=R1663))"),11.0)</f>
        <v>11</v>
      </c>
      <c r="T1663" s="6">
        <f t="shared" si="6"/>
        <v>1</v>
      </c>
      <c r="U1663" s="6">
        <f t="shared" si="7"/>
        <v>11</v>
      </c>
      <c r="V1663" s="42">
        <f>averageif(AllData!A:A,B1663,AllData!R:R)/vlookup(B1663,AllData!A:O,15,0)</f>
        <v>93.61128205</v>
      </c>
      <c r="W1663" s="6"/>
    </row>
    <row r="1664" ht="14.25" customHeight="1">
      <c r="A1664" s="6" t="str">
        <f t="shared" si="1"/>
        <v>2019Buser4</v>
      </c>
      <c r="B1664" s="59">
        <v>2019.0</v>
      </c>
      <c r="C1664" s="13" t="s">
        <v>47</v>
      </c>
      <c r="D1664" s="13" t="s">
        <v>138</v>
      </c>
      <c r="E1664" s="34"/>
      <c r="F1664" s="6"/>
      <c r="H1664" s="6"/>
      <c r="I1664" s="35" t="str">
        <f>IFERROR(IFERROR(IFERROR(VLOOKUP(B1664&amp;C1664&amp;Q1664,'New Weekly Paste'!A:M,10,0),VLOOKUP(B1664&amp;C1664&amp;Q1664,'New Weekly Paste'!B:O,6,0)),""),"")</f>
        <v>Pierson</v>
      </c>
      <c r="J1664" s="239">
        <f>IFERROR(IFERROR(VLOOKUP(B1664&amp;C1664&amp;Q1664,'New Weekly Paste'!A:M,8,0),VLOOKUP(B1664&amp;C1664&amp;Q1664,'New Weekly Paste'!B:O,10,0)),0)</f>
        <v>75.8</v>
      </c>
      <c r="K1664" s="239">
        <f>IFERROR(IFERROR(VLOOKUP(B1664&amp;I1664&amp;Q1664,'New Weekly Paste'!A:M,8,0),VLOOKUP(B1664&amp;I1664&amp;Q1664,'New Weekly Paste'!B:O,10,0)),0)</f>
        <v>106.38</v>
      </c>
      <c r="L1664" s="239">
        <f t="shared" si="25"/>
        <v>0</v>
      </c>
      <c r="M1664" s="36" t="str">
        <f t="shared" si="3"/>
        <v>Regular Season</v>
      </c>
      <c r="N1664" s="239" t="str">
        <f t="shared" si="26"/>
        <v>Pierson</v>
      </c>
      <c r="O1664" s="6">
        <f>VLOOKUP(D1664,'Mapped Opponent'!$G$4:$H$22,2,0)</f>
        <v>4</v>
      </c>
      <c r="P1664" s="6"/>
      <c r="Q1664" s="6" t="str">
        <f t="shared" si="4"/>
        <v>Week 4</v>
      </c>
      <c r="R1664" s="6" t="str">
        <f t="shared" si="5"/>
        <v>2019Week 4</v>
      </c>
      <c r="S1664" s="6">
        <f>IFERROR(__xludf.DUMMYFUNCTION("rank(J1664,FILTER(J:J,R:R=R1664))"),8.0)</f>
        <v>8</v>
      </c>
      <c r="T1664" s="6">
        <f t="shared" si="6"/>
        <v>4</v>
      </c>
      <c r="U1664" s="6">
        <f t="shared" si="7"/>
        <v>8</v>
      </c>
      <c r="V1664" s="42">
        <f>averageif(AllData!A:A,B1664,AllData!R:R)/vlookup(B1664,AllData!A:O,15,0)</f>
        <v>93.61128205</v>
      </c>
      <c r="W1664" s="6"/>
    </row>
    <row r="1665" ht="14.25" customHeight="1">
      <c r="A1665" s="6" t="str">
        <f t="shared" si="1"/>
        <v>2019Pierson4</v>
      </c>
      <c r="B1665" s="59">
        <v>2019.0</v>
      </c>
      <c r="C1665" s="13" t="s">
        <v>92</v>
      </c>
      <c r="D1665" s="13" t="s">
        <v>138</v>
      </c>
      <c r="E1665" s="34"/>
      <c r="F1665" s="6"/>
      <c r="H1665" s="6"/>
      <c r="I1665" s="35" t="str">
        <f>IFERROR(IFERROR(IFERROR(VLOOKUP(B1665&amp;C1665&amp;Q1665,'New Weekly Paste'!A:M,10,0),VLOOKUP(B1665&amp;C1665&amp;Q1665,'New Weekly Paste'!B:O,6,0)),""),"")</f>
        <v>Buser</v>
      </c>
      <c r="J1665" s="239">
        <f>IFERROR(IFERROR(VLOOKUP(B1665&amp;C1665&amp;Q1665,'New Weekly Paste'!A:M,8,0),VLOOKUP(B1665&amp;C1665&amp;Q1665,'New Weekly Paste'!B:O,10,0)),0)</f>
        <v>106.38</v>
      </c>
      <c r="K1665" s="239">
        <f>IFERROR(IFERROR(VLOOKUP(B1665&amp;I1665&amp;Q1665,'New Weekly Paste'!A:M,8,0),VLOOKUP(B1665&amp;I1665&amp;Q1665,'New Weekly Paste'!B:O,10,0)),0)</f>
        <v>75.8</v>
      </c>
      <c r="L1665" s="239">
        <f t="shared" si="25"/>
        <v>1</v>
      </c>
      <c r="M1665" s="36" t="str">
        <f t="shared" si="3"/>
        <v>Regular Season</v>
      </c>
      <c r="N1665" s="239" t="str">
        <f t="shared" si="26"/>
        <v>Buser</v>
      </c>
      <c r="O1665" s="6">
        <f>VLOOKUP(D1665,'Mapped Opponent'!$G$4:$H$22,2,0)</f>
        <v>4</v>
      </c>
      <c r="P1665" s="6"/>
      <c r="Q1665" s="6" t="str">
        <f t="shared" si="4"/>
        <v>Week 4</v>
      </c>
      <c r="R1665" s="6" t="str">
        <f t="shared" si="5"/>
        <v>2019Week 4</v>
      </c>
      <c r="S1665" s="6">
        <f>IFERROR(__xludf.DUMMYFUNCTION("rank(J1665,FILTER(J:J,R:R=R1665))"),3.0)</f>
        <v>3</v>
      </c>
      <c r="T1665" s="6">
        <f t="shared" si="6"/>
        <v>9</v>
      </c>
      <c r="U1665" s="6">
        <f t="shared" si="7"/>
        <v>3</v>
      </c>
      <c r="V1665" s="42">
        <f>averageif(AllData!A:A,B1665,AllData!R:R)/vlookup(B1665,AllData!A:O,15,0)</f>
        <v>93.61128205</v>
      </c>
      <c r="W1665" s="6"/>
    </row>
    <row r="1666" ht="14.25" customHeight="1">
      <c r="A1666" s="6" t="str">
        <f t="shared" si="1"/>
        <v>2019Cock4</v>
      </c>
      <c r="B1666" s="59">
        <v>2019.0</v>
      </c>
      <c r="C1666" s="13" t="s">
        <v>72</v>
      </c>
      <c r="D1666" s="13" t="s">
        <v>138</v>
      </c>
      <c r="E1666" s="34"/>
      <c r="F1666" s="6"/>
      <c r="H1666" s="6"/>
      <c r="I1666" s="35" t="str">
        <f>IFERROR(IFERROR(IFERROR(VLOOKUP(B1666&amp;C1666&amp;Q1666,'New Weekly Paste'!A:M,10,0),VLOOKUP(B1666&amp;C1666&amp;Q1666,'New Weekly Paste'!B:O,6,0)),""),"")</f>
        <v>Shep</v>
      </c>
      <c r="J1666" s="239">
        <f>IFERROR(IFERROR(VLOOKUP(B1666&amp;C1666&amp;Q1666,'New Weekly Paste'!A:M,8,0),VLOOKUP(B1666&amp;C1666&amp;Q1666,'New Weekly Paste'!B:O,10,0)),0)</f>
        <v>32.8</v>
      </c>
      <c r="K1666" s="239">
        <f>IFERROR(IFERROR(VLOOKUP(B1666&amp;I1666&amp;Q1666,'New Weekly Paste'!A:M,8,0),VLOOKUP(B1666&amp;I1666&amp;Q1666,'New Weekly Paste'!B:O,10,0)),0)</f>
        <v>84.98</v>
      </c>
      <c r="L1666" s="239">
        <f t="shared" si="25"/>
        <v>0</v>
      </c>
      <c r="M1666" s="36" t="str">
        <f t="shared" si="3"/>
        <v>Regular Season</v>
      </c>
      <c r="N1666" s="239" t="str">
        <f t="shared" si="26"/>
        <v>Shep</v>
      </c>
      <c r="O1666" s="6">
        <f>VLOOKUP(D1666,'Mapped Opponent'!$G$4:$H$22,2,0)</f>
        <v>4</v>
      </c>
      <c r="P1666" s="6"/>
      <c r="Q1666" s="6" t="str">
        <f t="shared" si="4"/>
        <v>Week 4</v>
      </c>
      <c r="R1666" s="6" t="str">
        <f t="shared" si="5"/>
        <v>2019Week 4</v>
      </c>
      <c r="S1666" s="6">
        <f>IFERROR(__xludf.DUMMYFUNCTION("rank(J1666,FILTER(J:J,R:R=R1666))"),12.0)</f>
        <v>12</v>
      </c>
      <c r="T1666" s="6">
        <f t="shared" si="6"/>
        <v>0</v>
      </c>
      <c r="U1666" s="6">
        <f t="shared" si="7"/>
        <v>12</v>
      </c>
      <c r="V1666" s="42">
        <f>averageif(AllData!A:A,B1666,AllData!R:R)/vlookup(B1666,AllData!A:O,15,0)</f>
        <v>93.61128205</v>
      </c>
      <c r="W1666" s="6"/>
    </row>
    <row r="1667" ht="14.25" customHeight="1">
      <c r="A1667" s="6" t="str">
        <f t="shared" si="1"/>
        <v>2019Tayski4</v>
      </c>
      <c r="B1667" s="59">
        <v>2019.0</v>
      </c>
      <c r="C1667" s="13" t="s">
        <v>52</v>
      </c>
      <c r="D1667" s="13" t="s">
        <v>138</v>
      </c>
      <c r="E1667" s="34"/>
      <c r="F1667" s="6"/>
      <c r="H1667" s="6"/>
      <c r="I1667" s="35" t="str">
        <f>IFERROR(IFERROR(IFERROR(VLOOKUP(B1667&amp;C1667&amp;Q1667,'New Weekly Paste'!A:M,10,0),VLOOKUP(B1667&amp;C1667&amp;Q1667,'New Weekly Paste'!B:O,6,0)),""),"")</f>
        <v>KnardDawg</v>
      </c>
      <c r="J1667" s="239">
        <f>IFERROR(IFERROR(VLOOKUP(B1667&amp;C1667&amp;Q1667,'New Weekly Paste'!A:M,8,0),VLOOKUP(B1667&amp;C1667&amp;Q1667,'New Weekly Paste'!B:O,10,0)),0)</f>
        <v>104.4</v>
      </c>
      <c r="K1667" s="239">
        <f>IFERROR(IFERROR(VLOOKUP(B1667&amp;I1667&amp;Q1667,'New Weekly Paste'!A:M,8,0),VLOOKUP(B1667&amp;I1667&amp;Q1667,'New Weekly Paste'!B:O,10,0)),0)</f>
        <v>82.1</v>
      </c>
      <c r="L1667" s="239">
        <f t="shared" si="25"/>
        <v>1</v>
      </c>
      <c r="M1667" s="36" t="str">
        <f t="shared" si="3"/>
        <v>Regular Season</v>
      </c>
      <c r="N1667" s="239" t="str">
        <f t="shared" si="26"/>
        <v>KnardDawg</v>
      </c>
      <c r="O1667" s="6">
        <f>VLOOKUP(D1667,'Mapped Opponent'!$G$4:$H$22,2,0)</f>
        <v>4</v>
      </c>
      <c r="P1667" s="6"/>
      <c r="Q1667" s="6" t="str">
        <f t="shared" si="4"/>
        <v>Week 4</v>
      </c>
      <c r="R1667" s="6" t="str">
        <f t="shared" si="5"/>
        <v>2019Week 4</v>
      </c>
      <c r="S1667" s="6">
        <f>IFERROR(__xludf.DUMMYFUNCTION("rank(J1667,FILTER(J:J,R:R=R1667))"),4.0)</f>
        <v>4</v>
      </c>
      <c r="T1667" s="6">
        <f t="shared" si="6"/>
        <v>8</v>
      </c>
      <c r="U1667" s="6">
        <f t="shared" si="7"/>
        <v>4</v>
      </c>
      <c r="V1667" s="42">
        <f>averageif(AllData!A:A,B1667,AllData!R:R)/vlookup(B1667,AllData!A:O,15,0)</f>
        <v>93.61128205</v>
      </c>
      <c r="W1667" s="6"/>
    </row>
    <row r="1668" ht="14.25" customHeight="1">
      <c r="A1668" s="6" t="str">
        <f t="shared" si="1"/>
        <v>2019KnardDawg4</v>
      </c>
      <c r="B1668" s="59">
        <v>2019.0</v>
      </c>
      <c r="C1668" s="13" t="s">
        <v>86</v>
      </c>
      <c r="D1668" s="13" t="s">
        <v>138</v>
      </c>
      <c r="E1668" s="34"/>
      <c r="F1668" s="6"/>
      <c r="H1668" s="6"/>
      <c r="I1668" s="35" t="str">
        <f>IFERROR(IFERROR(IFERROR(VLOOKUP(B1668&amp;C1668&amp;Q1668,'New Weekly Paste'!A:M,10,0),VLOOKUP(B1668&amp;C1668&amp;Q1668,'New Weekly Paste'!B:O,6,0)),""),"")</f>
        <v>Tayski</v>
      </c>
      <c r="J1668" s="239">
        <f>IFERROR(IFERROR(VLOOKUP(B1668&amp;C1668&amp;Q1668,'New Weekly Paste'!A:M,8,0),VLOOKUP(B1668&amp;C1668&amp;Q1668,'New Weekly Paste'!B:O,10,0)),0)</f>
        <v>82.1</v>
      </c>
      <c r="K1668" s="239">
        <f>IFERROR(IFERROR(VLOOKUP(B1668&amp;I1668&amp;Q1668,'New Weekly Paste'!A:M,8,0),VLOOKUP(B1668&amp;I1668&amp;Q1668,'New Weekly Paste'!B:O,10,0)),0)</f>
        <v>104.4</v>
      </c>
      <c r="L1668" s="239">
        <f t="shared" si="25"/>
        <v>0</v>
      </c>
      <c r="M1668" s="36" t="str">
        <f t="shared" si="3"/>
        <v>Regular Season</v>
      </c>
      <c r="N1668" s="239" t="str">
        <f t="shared" si="26"/>
        <v>Tayski</v>
      </c>
      <c r="O1668" s="6">
        <f>VLOOKUP(D1668,'Mapped Opponent'!$G$4:$H$22,2,0)</f>
        <v>4</v>
      </c>
      <c r="P1668" s="6"/>
      <c r="Q1668" s="6" t="str">
        <f t="shared" si="4"/>
        <v>Week 4</v>
      </c>
      <c r="R1668" s="6" t="str">
        <f t="shared" si="5"/>
        <v>2019Week 4</v>
      </c>
      <c r="S1668" s="6">
        <f>IFERROR(__xludf.DUMMYFUNCTION("rank(J1668,FILTER(J:J,R:R=R1668))"),7.0)</f>
        <v>7</v>
      </c>
      <c r="T1668" s="6">
        <f t="shared" si="6"/>
        <v>5</v>
      </c>
      <c r="U1668" s="6">
        <f t="shared" si="7"/>
        <v>7</v>
      </c>
      <c r="V1668" s="42">
        <f>averageif(AllData!A:A,B1668,AllData!R:R)/vlookup(B1668,AllData!A:O,15,0)</f>
        <v>93.61128205</v>
      </c>
      <c r="W1668" s="6"/>
    </row>
    <row r="1669" ht="14.25" customHeight="1">
      <c r="A1669" s="6" t="str">
        <f t="shared" si="1"/>
        <v>2019T-How4</v>
      </c>
      <c r="B1669" s="59">
        <v>2019.0</v>
      </c>
      <c r="C1669" s="13" t="s">
        <v>82</v>
      </c>
      <c r="D1669" s="13" t="s">
        <v>138</v>
      </c>
      <c r="E1669" s="34"/>
      <c r="F1669" s="6"/>
      <c r="H1669" s="6"/>
      <c r="I1669" s="35" t="str">
        <f>IFERROR(IFERROR(IFERROR(VLOOKUP(B1669&amp;C1669&amp;Q1669,'New Weekly Paste'!A:M,10,0),VLOOKUP(B1669&amp;C1669&amp;Q1669,'New Weekly Paste'!B:O,6,0)),""),"")</f>
        <v>Riley</v>
      </c>
      <c r="J1669" s="239">
        <f>IFERROR(IFERROR(VLOOKUP(B1669&amp;C1669&amp;Q1669,'New Weekly Paste'!A:M,8,0),VLOOKUP(B1669&amp;C1669&amp;Q1669,'New Weekly Paste'!B:O,10,0)),0)</f>
        <v>101.28</v>
      </c>
      <c r="K1669" s="239">
        <f>IFERROR(IFERROR(VLOOKUP(B1669&amp;I1669&amp;Q1669,'New Weekly Paste'!A:M,8,0),VLOOKUP(B1669&amp;I1669&amp;Q1669,'New Weekly Paste'!B:O,10,0)),0)</f>
        <v>70.14</v>
      </c>
      <c r="L1669" s="239">
        <f t="shared" si="25"/>
        <v>1</v>
      </c>
      <c r="M1669" s="36" t="str">
        <f t="shared" si="3"/>
        <v>Regular Season</v>
      </c>
      <c r="N1669" s="239" t="str">
        <f t="shared" si="26"/>
        <v>Riley</v>
      </c>
      <c r="O1669" s="6">
        <f>VLOOKUP(D1669,'Mapped Opponent'!$G$4:$H$22,2,0)</f>
        <v>4</v>
      </c>
      <c r="P1669" s="6"/>
      <c r="Q1669" s="6" t="str">
        <f t="shared" si="4"/>
        <v>Week 4</v>
      </c>
      <c r="R1669" s="6" t="str">
        <f t="shared" si="5"/>
        <v>2019Week 4</v>
      </c>
      <c r="S1669" s="6">
        <f>IFERROR(__xludf.DUMMYFUNCTION("rank(J1669,FILTER(J:J,R:R=R1669))"),5.0)</f>
        <v>5</v>
      </c>
      <c r="T1669" s="6">
        <f t="shared" si="6"/>
        <v>7</v>
      </c>
      <c r="U1669" s="6">
        <f t="shared" si="7"/>
        <v>5</v>
      </c>
      <c r="V1669" s="42">
        <f>averageif(AllData!A:A,B1669,AllData!R:R)/vlookup(B1669,AllData!A:O,15,0)</f>
        <v>93.61128205</v>
      </c>
      <c r="W1669" s="6"/>
    </row>
    <row r="1670" ht="14.25" customHeight="1">
      <c r="A1670" s="6" t="str">
        <f t="shared" si="1"/>
        <v>2019Hudspeath5</v>
      </c>
      <c r="B1670" s="59">
        <v>2019.0</v>
      </c>
      <c r="C1670" s="13" t="s">
        <v>39</v>
      </c>
      <c r="D1670" s="13" t="s">
        <v>141</v>
      </c>
      <c r="E1670" s="34"/>
      <c r="F1670" s="6"/>
      <c r="H1670" s="6"/>
      <c r="I1670" s="35" t="str">
        <f>IFERROR(IFERROR(IFERROR(VLOOKUP(B1670&amp;C1670&amp;Q1670,'New Weekly Paste'!A:M,10,0),VLOOKUP(B1670&amp;C1670&amp;Q1670,'New Weekly Paste'!B:O,6,0)),""),"")</f>
        <v>Riley</v>
      </c>
      <c r="J1670" s="239">
        <f>IFERROR(IFERROR(VLOOKUP(B1670&amp;C1670&amp;Q1670,'New Weekly Paste'!A:M,8,0),VLOOKUP(B1670&amp;C1670&amp;Q1670,'New Weekly Paste'!B:O,10,0)),0)</f>
        <v>94.56</v>
      </c>
      <c r="K1670" s="239">
        <f>IFERROR(IFERROR(VLOOKUP(B1670&amp;I1670&amp;Q1670,'New Weekly Paste'!A:M,8,0),VLOOKUP(B1670&amp;I1670&amp;Q1670,'New Weekly Paste'!B:O,10,0)),0)</f>
        <v>134.14</v>
      </c>
      <c r="L1670" s="239">
        <f t="shared" si="25"/>
        <v>0</v>
      </c>
      <c r="M1670" s="36" t="str">
        <f t="shared" si="3"/>
        <v>Regular Season</v>
      </c>
      <c r="N1670" s="239" t="str">
        <f t="shared" si="26"/>
        <v>Riley</v>
      </c>
      <c r="O1670" s="6">
        <f>VLOOKUP(D1670,'Mapped Opponent'!$G$4:$H$22,2,0)</f>
        <v>5</v>
      </c>
      <c r="P1670" s="6"/>
      <c r="Q1670" s="6" t="str">
        <f t="shared" si="4"/>
        <v>Week 5</v>
      </c>
      <c r="R1670" s="6" t="str">
        <f t="shared" si="5"/>
        <v>2019Week 5</v>
      </c>
      <c r="S1670" s="6">
        <f>IFERROR(__xludf.DUMMYFUNCTION("rank(J1670,FILTER(J:J,R:R=R1670))"),8.0)</f>
        <v>8</v>
      </c>
      <c r="T1670" s="6">
        <f t="shared" si="6"/>
        <v>4</v>
      </c>
      <c r="U1670" s="6">
        <f t="shared" si="7"/>
        <v>8</v>
      </c>
      <c r="V1670" s="42">
        <f>averageif(AllData!A:A,B1670,AllData!R:R)/vlookup(B1670,AllData!A:O,15,0)</f>
        <v>93.61128205</v>
      </c>
      <c r="W1670" s="6"/>
    </row>
    <row r="1671" ht="14.25" customHeight="1">
      <c r="A1671" s="6" t="str">
        <f t="shared" si="1"/>
        <v>2019Salty5</v>
      </c>
      <c r="B1671" s="59">
        <v>2019.0</v>
      </c>
      <c r="C1671" s="13" t="s">
        <v>76</v>
      </c>
      <c r="D1671" s="13" t="s">
        <v>141</v>
      </c>
      <c r="E1671" s="34"/>
      <c r="F1671" s="6"/>
      <c r="H1671" s="6"/>
      <c r="I1671" s="35" t="str">
        <f>IFERROR(IFERROR(IFERROR(VLOOKUP(B1671&amp;C1671&amp;Q1671,'New Weekly Paste'!A:M,10,0),VLOOKUP(B1671&amp;C1671&amp;Q1671,'New Weekly Paste'!B:O,6,0)),""),"")</f>
        <v>Tayski</v>
      </c>
      <c r="J1671" s="239">
        <f>IFERROR(IFERROR(VLOOKUP(B1671&amp;C1671&amp;Q1671,'New Weekly Paste'!A:M,8,0),VLOOKUP(B1671&amp;C1671&amp;Q1671,'New Weekly Paste'!B:O,10,0)),0)</f>
        <v>108.72</v>
      </c>
      <c r="K1671" s="239">
        <f>IFERROR(IFERROR(VLOOKUP(B1671&amp;I1671&amp;Q1671,'New Weekly Paste'!A:M,8,0),VLOOKUP(B1671&amp;I1671&amp;Q1671,'New Weekly Paste'!B:O,10,0)),0)</f>
        <v>154.04</v>
      </c>
      <c r="L1671" s="239">
        <f t="shared" si="25"/>
        <v>0</v>
      </c>
      <c r="M1671" s="36" t="str">
        <f t="shared" si="3"/>
        <v>Regular Season</v>
      </c>
      <c r="N1671" s="239" t="str">
        <f t="shared" si="26"/>
        <v>Tayski</v>
      </c>
      <c r="O1671" s="6">
        <f>VLOOKUP(D1671,'Mapped Opponent'!$G$4:$H$22,2,0)</f>
        <v>5</v>
      </c>
      <c r="P1671" s="6"/>
      <c r="Q1671" s="6" t="str">
        <f t="shared" si="4"/>
        <v>Week 5</v>
      </c>
      <c r="R1671" s="6" t="str">
        <f t="shared" si="5"/>
        <v>2019Week 5</v>
      </c>
      <c r="S1671" s="6">
        <f>IFERROR(__xludf.DUMMYFUNCTION("rank(J1671,FILTER(J:J,R:R=R1671))"),6.0)</f>
        <v>6</v>
      </c>
      <c r="T1671" s="6">
        <f t="shared" si="6"/>
        <v>6</v>
      </c>
      <c r="U1671" s="6">
        <f t="shared" si="7"/>
        <v>6</v>
      </c>
      <c r="V1671" s="42">
        <f>averageif(AllData!A:A,B1671,AllData!R:R)/vlookup(B1671,AllData!A:O,15,0)</f>
        <v>93.61128205</v>
      </c>
      <c r="W1671" s="6"/>
    </row>
    <row r="1672" ht="14.25" customHeight="1">
      <c r="A1672" s="6" t="str">
        <f t="shared" si="1"/>
        <v>2019Fellows5</v>
      </c>
      <c r="B1672" s="59">
        <v>2019.0</v>
      </c>
      <c r="C1672" s="13" t="s">
        <v>79</v>
      </c>
      <c r="D1672" s="13" t="s">
        <v>141</v>
      </c>
      <c r="E1672" s="34"/>
      <c r="F1672" s="6"/>
      <c r="H1672" s="6"/>
      <c r="I1672" s="35" t="str">
        <f>IFERROR(IFERROR(IFERROR(VLOOKUP(B1672&amp;C1672&amp;Q1672,'New Weekly Paste'!A:M,10,0),VLOOKUP(B1672&amp;C1672&amp;Q1672,'New Weekly Paste'!B:O,6,0)),""),"")</f>
        <v>KnardDawg</v>
      </c>
      <c r="J1672" s="239">
        <f>IFERROR(IFERROR(VLOOKUP(B1672&amp;C1672&amp;Q1672,'New Weekly Paste'!A:M,8,0),VLOOKUP(B1672&amp;C1672&amp;Q1672,'New Weekly Paste'!B:O,10,0)),0)</f>
        <v>107.12</v>
      </c>
      <c r="K1672" s="239">
        <f>IFERROR(IFERROR(VLOOKUP(B1672&amp;I1672&amp;Q1672,'New Weekly Paste'!A:M,8,0),VLOOKUP(B1672&amp;I1672&amp;Q1672,'New Weekly Paste'!B:O,10,0)),0)</f>
        <v>68.64</v>
      </c>
      <c r="L1672" s="239">
        <f t="shared" si="25"/>
        <v>1</v>
      </c>
      <c r="M1672" s="36" t="str">
        <f t="shared" si="3"/>
        <v>Regular Season</v>
      </c>
      <c r="N1672" s="239" t="str">
        <f t="shared" si="26"/>
        <v>KnardDawg</v>
      </c>
      <c r="O1672" s="6">
        <f>VLOOKUP(D1672,'Mapped Opponent'!$G$4:$H$22,2,0)</f>
        <v>5</v>
      </c>
      <c r="P1672" s="6"/>
      <c r="Q1672" s="6" t="str">
        <f t="shared" si="4"/>
        <v>Week 5</v>
      </c>
      <c r="R1672" s="6" t="str">
        <f t="shared" si="5"/>
        <v>2019Week 5</v>
      </c>
      <c r="S1672" s="6">
        <f>IFERROR(__xludf.DUMMYFUNCTION("rank(J1672,FILTER(J:J,R:R=R1672))"),7.0)</f>
        <v>7</v>
      </c>
      <c r="T1672" s="6">
        <f t="shared" si="6"/>
        <v>5</v>
      </c>
      <c r="U1672" s="6">
        <f t="shared" si="7"/>
        <v>7</v>
      </c>
      <c r="V1672" s="42">
        <f>averageif(AllData!A:A,B1672,AllData!R:R)/vlookup(B1672,AllData!A:O,15,0)</f>
        <v>93.61128205</v>
      </c>
      <c r="W1672" s="6"/>
    </row>
    <row r="1673" ht="14.25" customHeight="1">
      <c r="A1673" s="6" t="str">
        <f t="shared" si="1"/>
        <v>2019Shep5</v>
      </c>
      <c r="B1673" s="59">
        <v>2019.0</v>
      </c>
      <c r="C1673" s="13" t="s">
        <v>89</v>
      </c>
      <c r="D1673" s="13" t="s">
        <v>141</v>
      </c>
      <c r="E1673" s="34"/>
      <c r="F1673" s="6"/>
      <c r="H1673" s="6"/>
      <c r="I1673" s="35" t="str">
        <f>IFERROR(IFERROR(IFERROR(VLOOKUP(B1673&amp;C1673&amp;Q1673,'New Weekly Paste'!A:M,10,0),VLOOKUP(B1673&amp;C1673&amp;Q1673,'New Weekly Paste'!B:O,6,0)),""),"")</f>
        <v>Buser</v>
      </c>
      <c r="J1673" s="239">
        <f>IFERROR(IFERROR(VLOOKUP(B1673&amp;C1673&amp;Q1673,'New Weekly Paste'!A:M,8,0),VLOOKUP(B1673&amp;C1673&amp;Q1673,'New Weekly Paste'!B:O,10,0)),0)</f>
        <v>93.6</v>
      </c>
      <c r="K1673" s="239">
        <f>IFERROR(IFERROR(VLOOKUP(B1673&amp;I1673&amp;Q1673,'New Weekly Paste'!A:M,8,0),VLOOKUP(B1673&amp;I1673&amp;Q1673,'New Weekly Paste'!B:O,10,0)),0)</f>
        <v>82.32</v>
      </c>
      <c r="L1673" s="239">
        <f t="shared" si="25"/>
        <v>1</v>
      </c>
      <c r="M1673" s="36" t="str">
        <f t="shared" si="3"/>
        <v>Regular Season</v>
      </c>
      <c r="N1673" s="239" t="str">
        <f t="shared" si="26"/>
        <v>Buser</v>
      </c>
      <c r="O1673" s="6">
        <f>VLOOKUP(D1673,'Mapped Opponent'!$G$4:$H$22,2,0)</f>
        <v>5</v>
      </c>
      <c r="P1673" s="6"/>
      <c r="Q1673" s="6" t="str">
        <f t="shared" si="4"/>
        <v>Week 5</v>
      </c>
      <c r="R1673" s="6" t="str">
        <f t="shared" si="5"/>
        <v>2019Week 5</v>
      </c>
      <c r="S1673" s="6">
        <f>IFERROR(__xludf.DUMMYFUNCTION("rank(J1673,FILTER(J:J,R:R=R1673))"),9.0)</f>
        <v>9</v>
      </c>
      <c r="T1673" s="6">
        <f t="shared" si="6"/>
        <v>3</v>
      </c>
      <c r="U1673" s="6">
        <f t="shared" si="7"/>
        <v>9</v>
      </c>
      <c r="V1673" s="42">
        <f>averageif(AllData!A:A,B1673,AllData!R:R)/vlookup(B1673,AllData!A:O,15,0)</f>
        <v>93.61128205</v>
      </c>
      <c r="W1673" s="6"/>
    </row>
    <row r="1674" ht="14.25" customHeight="1">
      <c r="A1674" s="6" t="str">
        <f t="shared" si="1"/>
        <v>2019Riley5</v>
      </c>
      <c r="B1674" s="59">
        <v>2019.0</v>
      </c>
      <c r="C1674" s="13" t="s">
        <v>67</v>
      </c>
      <c r="D1674" s="13" t="s">
        <v>141</v>
      </c>
      <c r="E1674" s="34"/>
      <c r="F1674" s="6"/>
      <c r="H1674" s="6"/>
      <c r="I1674" s="35" t="str">
        <f>IFERROR(IFERROR(IFERROR(VLOOKUP(B1674&amp;C1674&amp;Q1674,'New Weekly Paste'!A:M,10,0),VLOOKUP(B1674&amp;C1674&amp;Q1674,'New Weekly Paste'!B:O,6,0)),""),"")</f>
        <v>Hudspeath</v>
      </c>
      <c r="J1674" s="239">
        <f>IFERROR(IFERROR(VLOOKUP(B1674&amp;C1674&amp;Q1674,'New Weekly Paste'!A:M,8,0),VLOOKUP(B1674&amp;C1674&amp;Q1674,'New Weekly Paste'!B:O,10,0)),0)</f>
        <v>134.14</v>
      </c>
      <c r="K1674" s="239">
        <f>IFERROR(IFERROR(VLOOKUP(B1674&amp;I1674&amp;Q1674,'New Weekly Paste'!A:M,8,0),VLOOKUP(B1674&amp;I1674&amp;Q1674,'New Weekly Paste'!B:O,10,0)),0)</f>
        <v>94.56</v>
      </c>
      <c r="L1674" s="239">
        <f t="shared" si="25"/>
        <v>1</v>
      </c>
      <c r="M1674" s="36" t="str">
        <f t="shared" si="3"/>
        <v>Regular Season</v>
      </c>
      <c r="N1674" s="239" t="str">
        <f t="shared" si="26"/>
        <v>Hudspeath</v>
      </c>
      <c r="O1674" s="6">
        <f>VLOOKUP(D1674,'Mapped Opponent'!$G$4:$H$22,2,0)</f>
        <v>5</v>
      </c>
      <c r="P1674" s="6"/>
      <c r="Q1674" s="6" t="str">
        <f t="shared" si="4"/>
        <v>Week 5</v>
      </c>
      <c r="R1674" s="6" t="str">
        <f t="shared" si="5"/>
        <v>2019Week 5</v>
      </c>
      <c r="S1674" s="6">
        <f>IFERROR(__xludf.DUMMYFUNCTION("rank(J1674,FILTER(J:J,R:R=R1674))"),2.0)</f>
        <v>2</v>
      </c>
      <c r="T1674" s="6">
        <f t="shared" si="6"/>
        <v>10</v>
      </c>
      <c r="U1674" s="6">
        <f t="shared" si="7"/>
        <v>2</v>
      </c>
      <c r="V1674" s="42">
        <f>averageif(AllData!A:A,B1674,AllData!R:R)/vlookup(B1674,AllData!A:O,15,0)</f>
        <v>93.61128205</v>
      </c>
      <c r="W1674" s="6"/>
    </row>
    <row r="1675" ht="14.25" customHeight="1">
      <c r="A1675" s="6" t="str">
        <f t="shared" si="1"/>
        <v>2019Rooney/Jackson5</v>
      </c>
      <c r="B1675" s="59">
        <v>2019.0</v>
      </c>
      <c r="C1675" s="13" t="s">
        <v>57</v>
      </c>
      <c r="D1675" s="13" t="s">
        <v>141</v>
      </c>
      <c r="E1675" s="34"/>
      <c r="F1675" s="6"/>
      <c r="H1675" s="6"/>
      <c r="I1675" s="35" t="str">
        <f>IFERROR(IFERROR(IFERROR(VLOOKUP(B1675&amp;C1675&amp;Q1675,'New Weekly Paste'!A:M,10,0),VLOOKUP(B1675&amp;C1675&amp;Q1675,'New Weekly Paste'!B:O,6,0)),""),"")</f>
        <v>Cock</v>
      </c>
      <c r="J1675" s="239">
        <f>IFERROR(IFERROR(VLOOKUP(B1675&amp;C1675&amp;Q1675,'New Weekly Paste'!A:M,8,0),VLOOKUP(B1675&amp;C1675&amp;Q1675,'New Weekly Paste'!B:O,10,0)),0)</f>
        <v>112.44</v>
      </c>
      <c r="K1675" s="239">
        <f>IFERROR(IFERROR(VLOOKUP(B1675&amp;I1675&amp;Q1675,'New Weekly Paste'!A:M,8,0),VLOOKUP(B1675&amp;I1675&amp;Q1675,'New Weekly Paste'!B:O,10,0)),0)</f>
        <v>89.62</v>
      </c>
      <c r="L1675" s="239">
        <f t="shared" si="25"/>
        <v>1</v>
      </c>
      <c r="M1675" s="36" t="str">
        <f t="shared" si="3"/>
        <v>Regular Season</v>
      </c>
      <c r="N1675" s="239" t="str">
        <f t="shared" si="26"/>
        <v>Cock</v>
      </c>
      <c r="O1675" s="6">
        <f>VLOOKUP(D1675,'Mapped Opponent'!$G$4:$H$22,2,0)</f>
        <v>5</v>
      </c>
      <c r="P1675" s="6"/>
      <c r="Q1675" s="6" t="str">
        <f t="shared" si="4"/>
        <v>Week 5</v>
      </c>
      <c r="R1675" s="6" t="str">
        <f t="shared" si="5"/>
        <v>2019Week 5</v>
      </c>
      <c r="S1675" s="6">
        <f>IFERROR(__xludf.DUMMYFUNCTION("rank(J1675,FILTER(J:J,R:R=R1675))"),4.0)</f>
        <v>4</v>
      </c>
      <c r="T1675" s="6">
        <f t="shared" si="6"/>
        <v>8</v>
      </c>
      <c r="U1675" s="6">
        <f t="shared" si="7"/>
        <v>4</v>
      </c>
      <c r="V1675" s="42">
        <f>averageif(AllData!A:A,B1675,AllData!R:R)/vlookup(B1675,AllData!A:O,15,0)</f>
        <v>93.61128205</v>
      </c>
      <c r="W1675" s="6"/>
    </row>
    <row r="1676" ht="14.25" customHeight="1">
      <c r="A1676" s="6" t="str">
        <f t="shared" si="1"/>
        <v>2019Buser5</v>
      </c>
      <c r="B1676" s="59">
        <v>2019.0</v>
      </c>
      <c r="C1676" s="13" t="s">
        <v>47</v>
      </c>
      <c r="D1676" s="13" t="s">
        <v>141</v>
      </c>
      <c r="E1676" s="34"/>
      <c r="F1676" s="6"/>
      <c r="H1676" s="6"/>
      <c r="I1676" s="35" t="str">
        <f>IFERROR(IFERROR(IFERROR(VLOOKUP(B1676&amp;C1676&amp;Q1676,'New Weekly Paste'!A:M,10,0),VLOOKUP(B1676&amp;C1676&amp;Q1676,'New Weekly Paste'!B:O,6,0)),""),"")</f>
        <v>Shep</v>
      </c>
      <c r="J1676" s="239">
        <f>IFERROR(IFERROR(VLOOKUP(B1676&amp;C1676&amp;Q1676,'New Weekly Paste'!A:M,8,0),VLOOKUP(B1676&amp;C1676&amp;Q1676,'New Weekly Paste'!B:O,10,0)),0)</f>
        <v>82.32</v>
      </c>
      <c r="K1676" s="239">
        <f>IFERROR(IFERROR(VLOOKUP(B1676&amp;I1676&amp;Q1676,'New Weekly Paste'!A:M,8,0),VLOOKUP(B1676&amp;I1676&amp;Q1676,'New Weekly Paste'!B:O,10,0)),0)</f>
        <v>93.6</v>
      </c>
      <c r="L1676" s="239">
        <f t="shared" si="25"/>
        <v>0</v>
      </c>
      <c r="M1676" s="36" t="str">
        <f t="shared" si="3"/>
        <v>Regular Season</v>
      </c>
      <c r="N1676" s="239" t="str">
        <f t="shared" si="26"/>
        <v>Shep</v>
      </c>
      <c r="O1676" s="6">
        <f>VLOOKUP(D1676,'Mapped Opponent'!$G$4:$H$22,2,0)</f>
        <v>5</v>
      </c>
      <c r="P1676" s="6"/>
      <c r="Q1676" s="6" t="str">
        <f t="shared" si="4"/>
        <v>Week 5</v>
      </c>
      <c r="R1676" s="6" t="str">
        <f t="shared" si="5"/>
        <v>2019Week 5</v>
      </c>
      <c r="S1676" s="6">
        <f>IFERROR(__xludf.DUMMYFUNCTION("rank(J1676,FILTER(J:J,R:R=R1676))"),11.0)</f>
        <v>11</v>
      </c>
      <c r="T1676" s="6">
        <f t="shared" si="6"/>
        <v>1</v>
      </c>
      <c r="U1676" s="6">
        <f t="shared" si="7"/>
        <v>11</v>
      </c>
      <c r="V1676" s="42">
        <f>averageif(AllData!A:A,B1676,AllData!R:R)/vlookup(B1676,AllData!A:O,15,0)</f>
        <v>93.61128205</v>
      </c>
      <c r="W1676" s="6"/>
    </row>
    <row r="1677" ht="14.25" customHeight="1">
      <c r="A1677" s="6" t="str">
        <f t="shared" si="1"/>
        <v>2019Pierson5</v>
      </c>
      <c r="B1677" s="59">
        <v>2019.0</v>
      </c>
      <c r="C1677" s="13" t="s">
        <v>92</v>
      </c>
      <c r="D1677" s="13" t="s">
        <v>141</v>
      </c>
      <c r="E1677" s="34"/>
      <c r="F1677" s="6"/>
      <c r="H1677" s="6"/>
      <c r="I1677" s="35" t="str">
        <f>IFERROR(IFERROR(IFERROR(VLOOKUP(B1677&amp;C1677&amp;Q1677,'New Weekly Paste'!A:M,10,0),VLOOKUP(B1677&amp;C1677&amp;Q1677,'New Weekly Paste'!B:O,6,0)),""),"")</f>
        <v>T-How</v>
      </c>
      <c r="J1677" s="239">
        <f>IFERROR(IFERROR(VLOOKUP(B1677&amp;C1677&amp;Q1677,'New Weekly Paste'!A:M,8,0),VLOOKUP(B1677&amp;C1677&amp;Q1677,'New Weekly Paste'!B:O,10,0)),0)</f>
        <v>111.34</v>
      </c>
      <c r="K1677" s="239">
        <f>IFERROR(IFERROR(VLOOKUP(B1677&amp;I1677&amp;Q1677,'New Weekly Paste'!A:M,8,0),VLOOKUP(B1677&amp;I1677&amp;Q1677,'New Weekly Paste'!B:O,10,0)),0)</f>
        <v>127.8</v>
      </c>
      <c r="L1677" s="239">
        <f t="shared" si="25"/>
        <v>0</v>
      </c>
      <c r="M1677" s="36" t="str">
        <f t="shared" si="3"/>
        <v>Regular Season</v>
      </c>
      <c r="N1677" s="239" t="str">
        <f t="shared" si="26"/>
        <v>T-How</v>
      </c>
      <c r="O1677" s="6">
        <f>VLOOKUP(D1677,'Mapped Opponent'!$G$4:$H$22,2,0)</f>
        <v>5</v>
      </c>
      <c r="P1677" s="6"/>
      <c r="Q1677" s="6" t="str">
        <f t="shared" si="4"/>
        <v>Week 5</v>
      </c>
      <c r="R1677" s="6" t="str">
        <f t="shared" si="5"/>
        <v>2019Week 5</v>
      </c>
      <c r="S1677" s="6">
        <f>IFERROR(__xludf.DUMMYFUNCTION("rank(J1677,FILTER(J:J,R:R=R1677))"),5.0)</f>
        <v>5</v>
      </c>
      <c r="T1677" s="6">
        <f t="shared" si="6"/>
        <v>7</v>
      </c>
      <c r="U1677" s="6">
        <f t="shared" si="7"/>
        <v>5</v>
      </c>
      <c r="V1677" s="42">
        <f>averageif(AllData!A:A,B1677,AllData!R:R)/vlookup(B1677,AllData!A:O,15,0)</f>
        <v>93.61128205</v>
      </c>
      <c r="W1677" s="6"/>
    </row>
    <row r="1678" ht="14.25" customHeight="1">
      <c r="A1678" s="6" t="str">
        <f t="shared" si="1"/>
        <v>2019Cock5</v>
      </c>
      <c r="B1678" s="59">
        <v>2019.0</v>
      </c>
      <c r="C1678" s="13" t="s">
        <v>72</v>
      </c>
      <c r="D1678" s="13" t="s">
        <v>141</v>
      </c>
      <c r="E1678" s="34"/>
      <c r="F1678" s="6"/>
      <c r="H1678" s="6"/>
      <c r="I1678" s="35" t="str">
        <f>IFERROR(IFERROR(IFERROR(VLOOKUP(B1678&amp;C1678&amp;Q1678,'New Weekly Paste'!A:M,10,0),VLOOKUP(B1678&amp;C1678&amp;Q1678,'New Weekly Paste'!B:O,6,0)),""),"")</f>
        <v>Rooney/Jackson</v>
      </c>
      <c r="J1678" s="239">
        <f>IFERROR(IFERROR(VLOOKUP(B1678&amp;C1678&amp;Q1678,'New Weekly Paste'!A:M,8,0),VLOOKUP(B1678&amp;C1678&amp;Q1678,'New Weekly Paste'!B:O,10,0)),0)</f>
        <v>89.62</v>
      </c>
      <c r="K1678" s="239">
        <f>IFERROR(IFERROR(VLOOKUP(B1678&amp;I1678&amp;Q1678,'New Weekly Paste'!A:M,8,0),VLOOKUP(B1678&amp;I1678&amp;Q1678,'New Weekly Paste'!B:O,10,0)),0)</f>
        <v>112.44</v>
      </c>
      <c r="L1678" s="239">
        <f t="shared" si="25"/>
        <v>0</v>
      </c>
      <c r="M1678" s="36" t="str">
        <f t="shared" si="3"/>
        <v>Regular Season</v>
      </c>
      <c r="N1678" s="239" t="str">
        <f t="shared" si="26"/>
        <v>Rooney/Jackson</v>
      </c>
      <c r="O1678" s="6">
        <f>VLOOKUP(D1678,'Mapped Opponent'!$G$4:$H$22,2,0)</f>
        <v>5</v>
      </c>
      <c r="P1678" s="6"/>
      <c r="Q1678" s="6" t="str">
        <f t="shared" si="4"/>
        <v>Week 5</v>
      </c>
      <c r="R1678" s="6" t="str">
        <f t="shared" si="5"/>
        <v>2019Week 5</v>
      </c>
      <c r="S1678" s="6">
        <f>IFERROR(__xludf.DUMMYFUNCTION("rank(J1678,FILTER(J:J,R:R=R1678))"),10.0)</f>
        <v>10</v>
      </c>
      <c r="T1678" s="6">
        <f t="shared" si="6"/>
        <v>2</v>
      </c>
      <c r="U1678" s="6">
        <f t="shared" si="7"/>
        <v>10</v>
      </c>
      <c r="V1678" s="42">
        <f>averageif(AllData!A:A,B1678,AllData!R:R)/vlookup(B1678,AllData!A:O,15,0)</f>
        <v>93.61128205</v>
      </c>
      <c r="W1678" s="6"/>
    </row>
    <row r="1679" ht="14.25" customHeight="1">
      <c r="A1679" s="6" t="str">
        <f t="shared" si="1"/>
        <v>2019Tayski5</v>
      </c>
      <c r="B1679" s="59">
        <v>2019.0</v>
      </c>
      <c r="C1679" s="13" t="s">
        <v>52</v>
      </c>
      <c r="D1679" s="13" t="s">
        <v>141</v>
      </c>
      <c r="E1679" s="34"/>
      <c r="F1679" s="6"/>
      <c r="H1679" s="6"/>
      <c r="I1679" s="35" t="str">
        <f>IFERROR(IFERROR(IFERROR(VLOOKUP(B1679&amp;C1679&amp;Q1679,'New Weekly Paste'!A:M,10,0),VLOOKUP(B1679&amp;C1679&amp;Q1679,'New Weekly Paste'!B:O,6,0)),""),"")</f>
        <v>Salty</v>
      </c>
      <c r="J1679" s="239">
        <f>IFERROR(IFERROR(VLOOKUP(B1679&amp;C1679&amp;Q1679,'New Weekly Paste'!A:M,8,0),VLOOKUP(B1679&amp;C1679&amp;Q1679,'New Weekly Paste'!B:O,10,0)),0)</f>
        <v>154.04</v>
      </c>
      <c r="K1679" s="239">
        <f>IFERROR(IFERROR(VLOOKUP(B1679&amp;I1679&amp;Q1679,'New Weekly Paste'!A:M,8,0),VLOOKUP(B1679&amp;I1679&amp;Q1679,'New Weekly Paste'!B:O,10,0)),0)</f>
        <v>108.72</v>
      </c>
      <c r="L1679" s="239">
        <f t="shared" si="25"/>
        <v>1</v>
      </c>
      <c r="M1679" s="36" t="str">
        <f t="shared" si="3"/>
        <v>Regular Season</v>
      </c>
      <c r="N1679" s="239" t="str">
        <f t="shared" si="26"/>
        <v>Salty</v>
      </c>
      <c r="O1679" s="6">
        <f>VLOOKUP(D1679,'Mapped Opponent'!$G$4:$H$22,2,0)</f>
        <v>5</v>
      </c>
      <c r="P1679" s="6"/>
      <c r="Q1679" s="6" t="str">
        <f t="shared" si="4"/>
        <v>Week 5</v>
      </c>
      <c r="R1679" s="6" t="str">
        <f t="shared" si="5"/>
        <v>2019Week 5</v>
      </c>
      <c r="S1679" s="6">
        <f>IFERROR(__xludf.DUMMYFUNCTION("rank(J1679,FILTER(J:J,R:R=R1679))"),1.0)</f>
        <v>1</v>
      </c>
      <c r="T1679" s="6">
        <f t="shared" si="6"/>
        <v>11</v>
      </c>
      <c r="U1679" s="6">
        <f t="shared" si="7"/>
        <v>1</v>
      </c>
      <c r="V1679" s="42">
        <f>averageif(AllData!A:A,B1679,AllData!R:R)/vlookup(B1679,AllData!A:O,15,0)</f>
        <v>93.61128205</v>
      </c>
      <c r="W1679" s="6"/>
    </row>
    <row r="1680" ht="14.25" customHeight="1">
      <c r="A1680" s="6" t="str">
        <f t="shared" si="1"/>
        <v>2019KnardDawg5</v>
      </c>
      <c r="B1680" s="59">
        <v>2019.0</v>
      </c>
      <c r="C1680" s="13" t="s">
        <v>86</v>
      </c>
      <c r="D1680" s="13" t="s">
        <v>141</v>
      </c>
      <c r="E1680" s="34"/>
      <c r="F1680" s="6"/>
      <c r="H1680" s="6"/>
      <c r="I1680" s="35" t="str">
        <f>IFERROR(IFERROR(IFERROR(VLOOKUP(B1680&amp;C1680&amp;Q1680,'New Weekly Paste'!A:M,10,0),VLOOKUP(B1680&amp;C1680&amp;Q1680,'New Weekly Paste'!B:O,6,0)),""),"")</f>
        <v>Fellows</v>
      </c>
      <c r="J1680" s="239">
        <f>IFERROR(IFERROR(VLOOKUP(B1680&amp;C1680&amp;Q1680,'New Weekly Paste'!A:M,8,0),VLOOKUP(B1680&amp;C1680&amp;Q1680,'New Weekly Paste'!B:O,10,0)),0)</f>
        <v>68.64</v>
      </c>
      <c r="K1680" s="239">
        <f>IFERROR(IFERROR(VLOOKUP(B1680&amp;I1680&amp;Q1680,'New Weekly Paste'!A:M,8,0),VLOOKUP(B1680&amp;I1680&amp;Q1680,'New Weekly Paste'!B:O,10,0)),0)</f>
        <v>107.12</v>
      </c>
      <c r="L1680" s="239">
        <f t="shared" si="25"/>
        <v>0</v>
      </c>
      <c r="M1680" s="36" t="str">
        <f t="shared" si="3"/>
        <v>Regular Season</v>
      </c>
      <c r="N1680" s="239" t="str">
        <f t="shared" si="26"/>
        <v>Fellows</v>
      </c>
      <c r="O1680" s="6">
        <f>VLOOKUP(D1680,'Mapped Opponent'!$G$4:$H$22,2,0)</f>
        <v>5</v>
      </c>
      <c r="P1680" s="6"/>
      <c r="Q1680" s="6" t="str">
        <f t="shared" si="4"/>
        <v>Week 5</v>
      </c>
      <c r="R1680" s="6" t="str">
        <f t="shared" si="5"/>
        <v>2019Week 5</v>
      </c>
      <c r="S1680" s="6">
        <f>IFERROR(__xludf.DUMMYFUNCTION("rank(J1680,FILTER(J:J,R:R=R1680))"),12.0)</f>
        <v>12</v>
      </c>
      <c r="T1680" s="6">
        <f t="shared" si="6"/>
        <v>0</v>
      </c>
      <c r="U1680" s="6">
        <f t="shared" si="7"/>
        <v>12</v>
      </c>
      <c r="V1680" s="42">
        <f>averageif(AllData!A:A,B1680,AllData!R:R)/vlookup(B1680,AllData!A:O,15,0)</f>
        <v>93.61128205</v>
      </c>
      <c r="W1680" s="6"/>
    </row>
    <row r="1681" ht="14.25" customHeight="1">
      <c r="A1681" s="6" t="str">
        <f t="shared" si="1"/>
        <v>2019T-How5</v>
      </c>
      <c r="B1681" s="59">
        <v>2019.0</v>
      </c>
      <c r="C1681" s="13" t="s">
        <v>82</v>
      </c>
      <c r="D1681" s="13" t="s">
        <v>141</v>
      </c>
      <c r="E1681" s="34"/>
      <c r="F1681" s="6"/>
      <c r="H1681" s="6"/>
      <c r="I1681" s="35" t="str">
        <f>IFERROR(IFERROR(IFERROR(VLOOKUP(B1681&amp;C1681&amp;Q1681,'New Weekly Paste'!A:M,10,0),VLOOKUP(B1681&amp;C1681&amp;Q1681,'New Weekly Paste'!B:O,6,0)),""),"")</f>
        <v>Pierson</v>
      </c>
      <c r="J1681" s="239">
        <f>IFERROR(IFERROR(VLOOKUP(B1681&amp;C1681&amp;Q1681,'New Weekly Paste'!A:M,8,0),VLOOKUP(B1681&amp;C1681&amp;Q1681,'New Weekly Paste'!B:O,10,0)),0)</f>
        <v>127.8</v>
      </c>
      <c r="K1681" s="239">
        <f>IFERROR(IFERROR(VLOOKUP(B1681&amp;I1681&amp;Q1681,'New Weekly Paste'!A:M,8,0),VLOOKUP(B1681&amp;I1681&amp;Q1681,'New Weekly Paste'!B:O,10,0)),0)</f>
        <v>111.34</v>
      </c>
      <c r="L1681" s="239">
        <f t="shared" si="25"/>
        <v>1</v>
      </c>
      <c r="M1681" s="36" t="str">
        <f t="shared" si="3"/>
        <v>Regular Season</v>
      </c>
      <c r="N1681" s="239" t="str">
        <f t="shared" si="26"/>
        <v>Pierson</v>
      </c>
      <c r="O1681" s="6">
        <f>VLOOKUP(D1681,'Mapped Opponent'!$G$4:$H$22,2,0)</f>
        <v>5</v>
      </c>
      <c r="P1681" s="6"/>
      <c r="Q1681" s="6" t="str">
        <f t="shared" si="4"/>
        <v>Week 5</v>
      </c>
      <c r="R1681" s="6" t="str">
        <f t="shared" si="5"/>
        <v>2019Week 5</v>
      </c>
      <c r="S1681" s="6">
        <f>IFERROR(__xludf.DUMMYFUNCTION("rank(J1681,FILTER(J:J,R:R=R1681))"),3.0)</f>
        <v>3</v>
      </c>
      <c r="T1681" s="6">
        <f t="shared" si="6"/>
        <v>9</v>
      </c>
      <c r="U1681" s="6">
        <f t="shared" si="7"/>
        <v>3</v>
      </c>
      <c r="V1681" s="42">
        <f>averageif(AllData!A:A,B1681,AllData!R:R)/vlookup(B1681,AllData!A:O,15,0)</f>
        <v>93.61128205</v>
      </c>
      <c r="W1681" s="6"/>
    </row>
    <row r="1682" ht="14.25" customHeight="1">
      <c r="A1682" s="6" t="str">
        <f t="shared" si="1"/>
        <v>2019Hudspeath6</v>
      </c>
      <c r="B1682" s="59">
        <v>2019.0</v>
      </c>
      <c r="C1682" s="13" t="s">
        <v>39</v>
      </c>
      <c r="D1682" s="13" t="s">
        <v>142</v>
      </c>
      <c r="E1682" s="34"/>
      <c r="F1682" s="6"/>
      <c r="H1682" s="6"/>
      <c r="I1682" s="35" t="str">
        <f>IFERROR(IFERROR(IFERROR(VLOOKUP(B1682&amp;C1682&amp;Q1682,'New Weekly Paste'!A:M,10,0),VLOOKUP(B1682&amp;C1682&amp;Q1682,'New Weekly Paste'!B:O,6,0)),""),"")</f>
        <v>Pierson</v>
      </c>
      <c r="J1682" s="239">
        <f>IFERROR(IFERROR(VLOOKUP(B1682&amp;C1682&amp;Q1682,'New Weekly Paste'!A:M,8,0),VLOOKUP(B1682&amp;C1682&amp;Q1682,'New Weekly Paste'!B:O,10,0)),0)</f>
        <v>102.7</v>
      </c>
      <c r="K1682" s="239">
        <f>IFERROR(IFERROR(VLOOKUP(B1682&amp;I1682&amp;Q1682,'New Weekly Paste'!A:M,8,0),VLOOKUP(B1682&amp;I1682&amp;Q1682,'New Weekly Paste'!B:O,10,0)),0)</f>
        <v>110.54</v>
      </c>
      <c r="L1682" s="239">
        <f t="shared" si="25"/>
        <v>0</v>
      </c>
      <c r="M1682" s="36" t="str">
        <f t="shared" si="3"/>
        <v>Regular Season</v>
      </c>
      <c r="N1682" s="239" t="str">
        <f t="shared" si="26"/>
        <v>Pierson</v>
      </c>
      <c r="O1682" s="6">
        <f>VLOOKUP(D1682,'Mapped Opponent'!$G$4:$H$22,2,0)</f>
        <v>6</v>
      </c>
      <c r="P1682" s="6"/>
      <c r="Q1682" s="6" t="str">
        <f t="shared" si="4"/>
        <v>Week 6</v>
      </c>
      <c r="R1682" s="6" t="str">
        <f t="shared" si="5"/>
        <v>2019Week 6</v>
      </c>
      <c r="S1682" s="6">
        <f>IFERROR(__xludf.DUMMYFUNCTION("rank(J1682,FILTER(J:J,R:R=R1682))"),4.0)</f>
        <v>4</v>
      </c>
      <c r="T1682" s="6">
        <f t="shared" si="6"/>
        <v>8</v>
      </c>
      <c r="U1682" s="6">
        <f t="shared" si="7"/>
        <v>4</v>
      </c>
      <c r="V1682" s="42">
        <f>averageif(AllData!A:A,B1682,AllData!R:R)/vlookup(B1682,AllData!A:O,15,0)</f>
        <v>93.61128205</v>
      </c>
      <c r="W1682" s="6"/>
    </row>
    <row r="1683" ht="14.25" customHeight="1">
      <c r="A1683" s="6" t="str">
        <f t="shared" si="1"/>
        <v>2019Salty6</v>
      </c>
      <c r="B1683" s="59">
        <v>2019.0</v>
      </c>
      <c r="C1683" s="13" t="s">
        <v>76</v>
      </c>
      <c r="D1683" s="13" t="s">
        <v>142</v>
      </c>
      <c r="E1683" s="34"/>
      <c r="F1683" s="6"/>
      <c r="H1683" s="6"/>
      <c r="I1683" s="35" t="str">
        <f>IFERROR(IFERROR(IFERROR(VLOOKUP(B1683&amp;C1683&amp;Q1683,'New Weekly Paste'!A:M,10,0),VLOOKUP(B1683&amp;C1683&amp;Q1683,'New Weekly Paste'!B:O,6,0)),""),"")</f>
        <v>Fellows</v>
      </c>
      <c r="J1683" s="239">
        <f>IFERROR(IFERROR(VLOOKUP(B1683&amp;C1683&amp;Q1683,'New Weekly Paste'!A:M,8,0),VLOOKUP(B1683&amp;C1683&amp;Q1683,'New Weekly Paste'!B:O,10,0)),0)</f>
        <v>84.52</v>
      </c>
      <c r="K1683" s="239">
        <f>IFERROR(IFERROR(VLOOKUP(B1683&amp;I1683&amp;Q1683,'New Weekly Paste'!A:M,8,0),VLOOKUP(B1683&amp;I1683&amp;Q1683,'New Weekly Paste'!B:O,10,0)),0)</f>
        <v>99.82</v>
      </c>
      <c r="L1683" s="239">
        <f t="shared" si="25"/>
        <v>0</v>
      </c>
      <c r="M1683" s="36" t="str">
        <f t="shared" si="3"/>
        <v>Regular Season</v>
      </c>
      <c r="N1683" s="239" t="str">
        <f t="shared" si="26"/>
        <v>Fellows</v>
      </c>
      <c r="O1683" s="6">
        <f>VLOOKUP(D1683,'Mapped Opponent'!$G$4:$H$22,2,0)</f>
        <v>6</v>
      </c>
      <c r="P1683" s="6"/>
      <c r="Q1683" s="6" t="str">
        <f t="shared" si="4"/>
        <v>Week 6</v>
      </c>
      <c r="R1683" s="6" t="str">
        <f t="shared" si="5"/>
        <v>2019Week 6</v>
      </c>
      <c r="S1683" s="6">
        <f>IFERROR(__xludf.DUMMYFUNCTION("rank(J1683,FILTER(J:J,R:R=R1683))"),8.0)</f>
        <v>8</v>
      </c>
      <c r="T1683" s="6">
        <f t="shared" si="6"/>
        <v>4</v>
      </c>
      <c r="U1683" s="6">
        <f t="shared" si="7"/>
        <v>8</v>
      </c>
      <c r="V1683" s="42">
        <f>averageif(AllData!A:A,B1683,AllData!R:R)/vlookup(B1683,AllData!A:O,15,0)</f>
        <v>93.61128205</v>
      </c>
      <c r="W1683" s="6"/>
    </row>
    <row r="1684" ht="14.25" customHeight="1">
      <c r="A1684" s="6" t="str">
        <f t="shared" si="1"/>
        <v>2019Fellows6</v>
      </c>
      <c r="B1684" s="59">
        <v>2019.0</v>
      </c>
      <c r="C1684" s="13" t="s">
        <v>79</v>
      </c>
      <c r="D1684" s="13" t="s">
        <v>142</v>
      </c>
      <c r="E1684" s="34"/>
      <c r="F1684" s="6"/>
      <c r="H1684" s="6"/>
      <c r="I1684" s="35" t="str">
        <f>IFERROR(IFERROR(IFERROR(VLOOKUP(B1684&amp;C1684&amp;Q1684,'New Weekly Paste'!A:M,10,0),VLOOKUP(B1684&amp;C1684&amp;Q1684,'New Weekly Paste'!B:O,6,0)),""),"")</f>
        <v>Salty</v>
      </c>
      <c r="J1684" s="239">
        <f>IFERROR(IFERROR(VLOOKUP(B1684&amp;C1684&amp;Q1684,'New Weekly Paste'!A:M,8,0),VLOOKUP(B1684&amp;C1684&amp;Q1684,'New Weekly Paste'!B:O,10,0)),0)</f>
        <v>99.82</v>
      </c>
      <c r="K1684" s="239">
        <f>IFERROR(IFERROR(VLOOKUP(B1684&amp;I1684&amp;Q1684,'New Weekly Paste'!A:M,8,0),VLOOKUP(B1684&amp;I1684&amp;Q1684,'New Weekly Paste'!B:O,10,0)),0)</f>
        <v>84.52</v>
      </c>
      <c r="L1684" s="239">
        <f t="shared" si="25"/>
        <v>1</v>
      </c>
      <c r="M1684" s="36" t="str">
        <f t="shared" si="3"/>
        <v>Regular Season</v>
      </c>
      <c r="N1684" s="239" t="str">
        <f t="shared" si="26"/>
        <v>Salty</v>
      </c>
      <c r="O1684" s="6">
        <f>VLOOKUP(D1684,'Mapped Opponent'!$G$4:$H$22,2,0)</f>
        <v>6</v>
      </c>
      <c r="P1684" s="6"/>
      <c r="Q1684" s="6" t="str">
        <f t="shared" si="4"/>
        <v>Week 6</v>
      </c>
      <c r="R1684" s="6" t="str">
        <f t="shared" si="5"/>
        <v>2019Week 6</v>
      </c>
      <c r="S1684" s="6">
        <f>IFERROR(__xludf.DUMMYFUNCTION("rank(J1684,FILTER(J:J,R:R=R1684))"),5.0)</f>
        <v>5</v>
      </c>
      <c r="T1684" s="6">
        <f t="shared" si="6"/>
        <v>7</v>
      </c>
      <c r="U1684" s="6">
        <f t="shared" si="7"/>
        <v>5</v>
      </c>
      <c r="V1684" s="42">
        <f>averageif(AllData!A:A,B1684,AllData!R:R)/vlookup(B1684,AllData!A:O,15,0)</f>
        <v>93.61128205</v>
      </c>
      <c r="W1684" s="6"/>
    </row>
    <row r="1685" ht="14.25" customHeight="1">
      <c r="A1685" s="6" t="str">
        <f t="shared" si="1"/>
        <v>2019Shep6</v>
      </c>
      <c r="B1685" s="59">
        <v>2019.0</v>
      </c>
      <c r="C1685" s="13" t="s">
        <v>89</v>
      </c>
      <c r="D1685" s="13" t="s">
        <v>142</v>
      </c>
      <c r="E1685" s="34"/>
      <c r="F1685" s="6"/>
      <c r="H1685" s="6"/>
      <c r="I1685" s="35" t="str">
        <f>IFERROR(IFERROR(IFERROR(VLOOKUP(B1685&amp;C1685&amp;Q1685,'New Weekly Paste'!A:M,10,0),VLOOKUP(B1685&amp;C1685&amp;Q1685,'New Weekly Paste'!B:O,6,0)),""),"")</f>
        <v>T-How</v>
      </c>
      <c r="J1685" s="239">
        <f>IFERROR(IFERROR(VLOOKUP(B1685&amp;C1685&amp;Q1685,'New Weekly Paste'!A:M,8,0),VLOOKUP(B1685&amp;C1685&amp;Q1685,'New Weekly Paste'!B:O,10,0)),0)</f>
        <v>136.54</v>
      </c>
      <c r="K1685" s="239">
        <f>IFERROR(IFERROR(VLOOKUP(B1685&amp;I1685&amp;Q1685,'New Weekly Paste'!A:M,8,0),VLOOKUP(B1685&amp;I1685&amp;Q1685,'New Weekly Paste'!B:O,10,0)),0)</f>
        <v>58.22</v>
      </c>
      <c r="L1685" s="239">
        <f t="shared" si="25"/>
        <v>1</v>
      </c>
      <c r="M1685" s="36" t="str">
        <f t="shared" si="3"/>
        <v>Regular Season</v>
      </c>
      <c r="N1685" s="239" t="str">
        <f t="shared" si="26"/>
        <v>T-How</v>
      </c>
      <c r="O1685" s="6">
        <f>VLOOKUP(D1685,'Mapped Opponent'!$G$4:$H$22,2,0)</f>
        <v>6</v>
      </c>
      <c r="P1685" s="6"/>
      <c r="Q1685" s="6" t="str">
        <f t="shared" si="4"/>
        <v>Week 6</v>
      </c>
      <c r="R1685" s="6" t="str">
        <f t="shared" si="5"/>
        <v>2019Week 6</v>
      </c>
      <c r="S1685" s="6">
        <f>IFERROR(__xludf.DUMMYFUNCTION("rank(J1685,FILTER(J:J,R:R=R1685))"),1.0)</f>
        <v>1</v>
      </c>
      <c r="T1685" s="6">
        <f t="shared" si="6"/>
        <v>11</v>
      </c>
      <c r="U1685" s="6">
        <f t="shared" si="7"/>
        <v>1</v>
      </c>
      <c r="V1685" s="42">
        <f>averageif(AllData!A:A,B1685,AllData!R:R)/vlookup(B1685,AllData!A:O,15,0)</f>
        <v>93.61128205</v>
      </c>
      <c r="W1685" s="6"/>
    </row>
    <row r="1686" ht="14.25" customHeight="1">
      <c r="A1686" s="6" t="str">
        <f t="shared" si="1"/>
        <v>2019Riley6</v>
      </c>
      <c r="B1686" s="59">
        <v>2019.0</v>
      </c>
      <c r="C1686" s="13" t="s">
        <v>67</v>
      </c>
      <c r="D1686" s="13" t="s">
        <v>142</v>
      </c>
      <c r="E1686" s="34"/>
      <c r="F1686" s="6"/>
      <c r="H1686" s="6"/>
      <c r="I1686" s="35" t="str">
        <f>IFERROR(IFERROR(IFERROR(VLOOKUP(B1686&amp;C1686&amp;Q1686,'New Weekly Paste'!A:M,10,0),VLOOKUP(B1686&amp;C1686&amp;Q1686,'New Weekly Paste'!B:O,6,0)),""),"")</f>
        <v>KnardDawg</v>
      </c>
      <c r="J1686" s="239">
        <f>IFERROR(IFERROR(VLOOKUP(B1686&amp;C1686&amp;Q1686,'New Weekly Paste'!A:M,8,0),VLOOKUP(B1686&amp;C1686&amp;Q1686,'New Weekly Paste'!B:O,10,0)),0)</f>
        <v>76.7</v>
      </c>
      <c r="K1686" s="239">
        <f>IFERROR(IFERROR(VLOOKUP(B1686&amp;I1686&amp;Q1686,'New Weekly Paste'!A:M,8,0),VLOOKUP(B1686&amp;I1686&amp;Q1686,'New Weekly Paste'!B:O,10,0)),0)</f>
        <v>126.32</v>
      </c>
      <c r="L1686" s="239">
        <f t="shared" si="25"/>
        <v>0</v>
      </c>
      <c r="M1686" s="36" t="str">
        <f t="shared" si="3"/>
        <v>Regular Season</v>
      </c>
      <c r="N1686" s="239" t="str">
        <f t="shared" si="26"/>
        <v>KnardDawg</v>
      </c>
      <c r="O1686" s="6">
        <f>VLOOKUP(D1686,'Mapped Opponent'!$G$4:$H$22,2,0)</f>
        <v>6</v>
      </c>
      <c r="P1686" s="6"/>
      <c r="Q1686" s="6" t="str">
        <f t="shared" si="4"/>
        <v>Week 6</v>
      </c>
      <c r="R1686" s="6" t="str">
        <f t="shared" si="5"/>
        <v>2019Week 6</v>
      </c>
      <c r="S1686" s="6">
        <f>IFERROR(__xludf.DUMMYFUNCTION("rank(J1686,FILTER(J:J,R:R=R1686))"),10.0)</f>
        <v>10</v>
      </c>
      <c r="T1686" s="6">
        <f t="shared" si="6"/>
        <v>2</v>
      </c>
      <c r="U1686" s="6">
        <f t="shared" si="7"/>
        <v>10</v>
      </c>
      <c r="V1686" s="42">
        <f>averageif(AllData!A:A,B1686,AllData!R:R)/vlookup(B1686,AllData!A:O,15,0)</f>
        <v>93.61128205</v>
      </c>
      <c r="W1686" s="6"/>
    </row>
    <row r="1687" ht="14.25" customHeight="1">
      <c r="A1687" s="6" t="str">
        <f t="shared" si="1"/>
        <v>2019Rooney/Jackson6</v>
      </c>
      <c r="B1687" s="59">
        <v>2019.0</v>
      </c>
      <c r="C1687" s="13" t="s">
        <v>57</v>
      </c>
      <c r="D1687" s="13" t="s">
        <v>142</v>
      </c>
      <c r="E1687" s="34"/>
      <c r="F1687" s="6"/>
      <c r="H1687" s="6"/>
      <c r="I1687" s="35" t="str">
        <f>IFERROR(IFERROR(IFERROR(VLOOKUP(B1687&amp;C1687&amp;Q1687,'New Weekly Paste'!A:M,10,0),VLOOKUP(B1687&amp;C1687&amp;Q1687,'New Weekly Paste'!B:O,6,0)),""),"")</f>
        <v>Tayski</v>
      </c>
      <c r="J1687" s="239">
        <f>IFERROR(IFERROR(VLOOKUP(B1687&amp;C1687&amp;Q1687,'New Weekly Paste'!A:M,8,0),VLOOKUP(B1687&amp;C1687&amp;Q1687,'New Weekly Paste'!B:O,10,0)),0)</f>
        <v>67.42</v>
      </c>
      <c r="K1687" s="239">
        <f>IFERROR(IFERROR(VLOOKUP(B1687&amp;I1687&amp;Q1687,'New Weekly Paste'!A:M,8,0),VLOOKUP(B1687&amp;I1687&amp;Q1687,'New Weekly Paste'!B:O,10,0)),0)</f>
        <v>87</v>
      </c>
      <c r="L1687" s="239">
        <f t="shared" si="25"/>
        <v>0</v>
      </c>
      <c r="M1687" s="36" t="str">
        <f t="shared" si="3"/>
        <v>Regular Season</v>
      </c>
      <c r="N1687" s="239" t="str">
        <f t="shared" si="26"/>
        <v>Tayski</v>
      </c>
      <c r="O1687" s="6">
        <f>VLOOKUP(D1687,'Mapped Opponent'!$G$4:$H$22,2,0)</f>
        <v>6</v>
      </c>
      <c r="P1687" s="6"/>
      <c r="Q1687" s="6" t="str">
        <f t="shared" si="4"/>
        <v>Week 6</v>
      </c>
      <c r="R1687" s="6" t="str">
        <f t="shared" si="5"/>
        <v>2019Week 6</v>
      </c>
      <c r="S1687" s="6">
        <f>IFERROR(__xludf.DUMMYFUNCTION("rank(J1687,FILTER(J:J,R:R=R1687))"),11.0)</f>
        <v>11</v>
      </c>
      <c r="T1687" s="6">
        <f t="shared" si="6"/>
        <v>1</v>
      </c>
      <c r="U1687" s="6">
        <f t="shared" si="7"/>
        <v>11</v>
      </c>
      <c r="V1687" s="42">
        <f>averageif(AllData!A:A,B1687,AllData!R:R)/vlookup(B1687,AllData!A:O,15,0)</f>
        <v>93.61128205</v>
      </c>
      <c r="W1687" s="6"/>
    </row>
    <row r="1688" ht="14.25" customHeight="1">
      <c r="A1688" s="6" t="str">
        <f t="shared" si="1"/>
        <v>2019Buser6</v>
      </c>
      <c r="B1688" s="59">
        <v>2019.0</v>
      </c>
      <c r="C1688" s="13" t="s">
        <v>47</v>
      </c>
      <c r="D1688" s="13" t="s">
        <v>142</v>
      </c>
      <c r="E1688" s="34"/>
      <c r="F1688" s="6"/>
      <c r="H1688" s="6"/>
      <c r="I1688" s="35" t="str">
        <f>IFERROR(IFERROR(IFERROR(VLOOKUP(B1688&amp;C1688&amp;Q1688,'New Weekly Paste'!A:M,10,0),VLOOKUP(B1688&amp;C1688&amp;Q1688,'New Weekly Paste'!B:O,6,0)),""),"")</f>
        <v>Cock</v>
      </c>
      <c r="J1688" s="239">
        <f>IFERROR(IFERROR(VLOOKUP(B1688&amp;C1688&amp;Q1688,'New Weekly Paste'!A:M,8,0),VLOOKUP(B1688&amp;C1688&amp;Q1688,'New Weekly Paste'!B:O,10,0)),0)</f>
        <v>88.4</v>
      </c>
      <c r="K1688" s="239">
        <f>IFERROR(IFERROR(VLOOKUP(B1688&amp;I1688&amp;Q1688,'New Weekly Paste'!A:M,8,0),VLOOKUP(B1688&amp;I1688&amp;Q1688,'New Weekly Paste'!B:O,10,0)),0)</f>
        <v>81.16</v>
      </c>
      <c r="L1688" s="239">
        <f t="shared" si="25"/>
        <v>1</v>
      </c>
      <c r="M1688" s="36" t="str">
        <f t="shared" si="3"/>
        <v>Regular Season</v>
      </c>
      <c r="N1688" s="239" t="str">
        <f t="shared" si="26"/>
        <v>Cock</v>
      </c>
      <c r="O1688" s="6">
        <f>VLOOKUP(D1688,'Mapped Opponent'!$G$4:$H$22,2,0)</f>
        <v>6</v>
      </c>
      <c r="P1688" s="6"/>
      <c r="Q1688" s="6" t="str">
        <f t="shared" si="4"/>
        <v>Week 6</v>
      </c>
      <c r="R1688" s="6" t="str">
        <f t="shared" si="5"/>
        <v>2019Week 6</v>
      </c>
      <c r="S1688" s="6">
        <f>IFERROR(__xludf.DUMMYFUNCTION("rank(J1688,FILTER(J:J,R:R=R1688))"),6.0)</f>
        <v>6</v>
      </c>
      <c r="T1688" s="6">
        <f t="shared" si="6"/>
        <v>6</v>
      </c>
      <c r="U1688" s="6">
        <f t="shared" si="7"/>
        <v>6</v>
      </c>
      <c r="V1688" s="42">
        <f>averageif(AllData!A:A,B1688,AllData!R:R)/vlookup(B1688,AllData!A:O,15,0)</f>
        <v>93.61128205</v>
      </c>
      <c r="W1688" s="6"/>
    </row>
    <row r="1689" ht="14.25" customHeight="1">
      <c r="A1689" s="6" t="str">
        <f t="shared" si="1"/>
        <v>2019Pierson6</v>
      </c>
      <c r="B1689" s="59">
        <v>2019.0</v>
      </c>
      <c r="C1689" s="13" t="s">
        <v>92</v>
      </c>
      <c r="D1689" s="13" t="s">
        <v>142</v>
      </c>
      <c r="E1689" s="34"/>
      <c r="F1689" s="6"/>
      <c r="H1689" s="6"/>
      <c r="I1689" s="35" t="str">
        <f>IFERROR(IFERROR(IFERROR(VLOOKUP(B1689&amp;C1689&amp;Q1689,'New Weekly Paste'!A:M,10,0),VLOOKUP(B1689&amp;C1689&amp;Q1689,'New Weekly Paste'!B:O,6,0)),""),"")</f>
        <v>Hudspeath</v>
      </c>
      <c r="J1689" s="239">
        <f>IFERROR(IFERROR(VLOOKUP(B1689&amp;C1689&amp;Q1689,'New Weekly Paste'!A:M,8,0),VLOOKUP(B1689&amp;C1689&amp;Q1689,'New Weekly Paste'!B:O,10,0)),0)</f>
        <v>110.54</v>
      </c>
      <c r="K1689" s="239">
        <f>IFERROR(IFERROR(VLOOKUP(B1689&amp;I1689&amp;Q1689,'New Weekly Paste'!A:M,8,0),VLOOKUP(B1689&amp;I1689&amp;Q1689,'New Weekly Paste'!B:O,10,0)),0)</f>
        <v>102.7</v>
      </c>
      <c r="L1689" s="239">
        <f t="shared" si="25"/>
        <v>1</v>
      </c>
      <c r="M1689" s="36" t="str">
        <f t="shared" si="3"/>
        <v>Regular Season</v>
      </c>
      <c r="N1689" s="239" t="str">
        <f t="shared" si="26"/>
        <v>Hudspeath</v>
      </c>
      <c r="O1689" s="6">
        <f>VLOOKUP(D1689,'Mapped Opponent'!$G$4:$H$22,2,0)</f>
        <v>6</v>
      </c>
      <c r="P1689" s="6"/>
      <c r="Q1689" s="6" t="str">
        <f t="shared" si="4"/>
        <v>Week 6</v>
      </c>
      <c r="R1689" s="6" t="str">
        <f t="shared" si="5"/>
        <v>2019Week 6</v>
      </c>
      <c r="S1689" s="6">
        <f>IFERROR(__xludf.DUMMYFUNCTION("rank(J1689,FILTER(J:J,R:R=R1689))"),3.0)</f>
        <v>3</v>
      </c>
      <c r="T1689" s="6">
        <f t="shared" si="6"/>
        <v>9</v>
      </c>
      <c r="U1689" s="6">
        <f t="shared" si="7"/>
        <v>3</v>
      </c>
      <c r="V1689" s="42">
        <f>averageif(AllData!A:A,B1689,AllData!R:R)/vlookup(B1689,AllData!A:O,15,0)</f>
        <v>93.61128205</v>
      </c>
      <c r="W1689" s="6"/>
    </row>
    <row r="1690" ht="14.25" customHeight="1">
      <c r="A1690" s="6" t="str">
        <f t="shared" si="1"/>
        <v>2019Cock6</v>
      </c>
      <c r="B1690" s="59">
        <v>2019.0</v>
      </c>
      <c r="C1690" s="13" t="s">
        <v>72</v>
      </c>
      <c r="D1690" s="13" t="s">
        <v>142</v>
      </c>
      <c r="E1690" s="34"/>
      <c r="F1690" s="6"/>
      <c r="H1690" s="6"/>
      <c r="I1690" s="35" t="str">
        <f>IFERROR(IFERROR(IFERROR(VLOOKUP(B1690&amp;C1690&amp;Q1690,'New Weekly Paste'!A:M,10,0),VLOOKUP(B1690&amp;C1690&amp;Q1690,'New Weekly Paste'!B:O,6,0)),""),"")</f>
        <v>Buser</v>
      </c>
      <c r="J1690" s="239">
        <f>IFERROR(IFERROR(VLOOKUP(B1690&amp;C1690&amp;Q1690,'New Weekly Paste'!A:M,8,0),VLOOKUP(B1690&amp;C1690&amp;Q1690,'New Weekly Paste'!B:O,10,0)),0)</f>
        <v>81.16</v>
      </c>
      <c r="K1690" s="239">
        <f>IFERROR(IFERROR(VLOOKUP(B1690&amp;I1690&amp;Q1690,'New Weekly Paste'!A:M,8,0),VLOOKUP(B1690&amp;I1690&amp;Q1690,'New Weekly Paste'!B:O,10,0)),0)</f>
        <v>88.4</v>
      </c>
      <c r="L1690" s="239">
        <f t="shared" si="25"/>
        <v>0</v>
      </c>
      <c r="M1690" s="36" t="str">
        <f t="shared" si="3"/>
        <v>Regular Season</v>
      </c>
      <c r="N1690" s="239" t="str">
        <f t="shared" si="26"/>
        <v>Buser</v>
      </c>
      <c r="O1690" s="6">
        <f>VLOOKUP(D1690,'Mapped Opponent'!$G$4:$H$22,2,0)</f>
        <v>6</v>
      </c>
      <c r="P1690" s="6"/>
      <c r="Q1690" s="6" t="str">
        <f t="shared" si="4"/>
        <v>Week 6</v>
      </c>
      <c r="R1690" s="6" t="str">
        <f t="shared" si="5"/>
        <v>2019Week 6</v>
      </c>
      <c r="S1690" s="6">
        <f>IFERROR(__xludf.DUMMYFUNCTION("rank(J1690,FILTER(J:J,R:R=R1690))"),9.0)</f>
        <v>9</v>
      </c>
      <c r="T1690" s="6">
        <f t="shared" si="6"/>
        <v>3</v>
      </c>
      <c r="U1690" s="6">
        <f t="shared" si="7"/>
        <v>9</v>
      </c>
      <c r="V1690" s="42">
        <f>averageif(AllData!A:A,B1690,AllData!R:R)/vlookup(B1690,AllData!A:O,15,0)</f>
        <v>93.61128205</v>
      </c>
      <c r="W1690" s="6"/>
    </row>
    <row r="1691" ht="14.25" customHeight="1">
      <c r="A1691" s="6" t="str">
        <f t="shared" si="1"/>
        <v>2019Tayski6</v>
      </c>
      <c r="B1691" s="59">
        <v>2019.0</v>
      </c>
      <c r="C1691" s="13" t="s">
        <v>52</v>
      </c>
      <c r="D1691" s="13" t="s">
        <v>142</v>
      </c>
      <c r="E1691" s="34"/>
      <c r="F1691" s="6"/>
      <c r="H1691" s="6"/>
      <c r="I1691" s="35" t="str">
        <f>IFERROR(IFERROR(IFERROR(VLOOKUP(B1691&amp;C1691&amp;Q1691,'New Weekly Paste'!A:M,10,0),VLOOKUP(B1691&amp;C1691&amp;Q1691,'New Weekly Paste'!B:O,6,0)),""),"")</f>
        <v>Rooney/Jackson</v>
      </c>
      <c r="J1691" s="239">
        <f>IFERROR(IFERROR(VLOOKUP(B1691&amp;C1691&amp;Q1691,'New Weekly Paste'!A:M,8,0),VLOOKUP(B1691&amp;C1691&amp;Q1691,'New Weekly Paste'!B:O,10,0)),0)</f>
        <v>87</v>
      </c>
      <c r="K1691" s="239">
        <f>IFERROR(IFERROR(VLOOKUP(B1691&amp;I1691&amp;Q1691,'New Weekly Paste'!A:M,8,0),VLOOKUP(B1691&amp;I1691&amp;Q1691,'New Weekly Paste'!B:O,10,0)),0)</f>
        <v>67.42</v>
      </c>
      <c r="L1691" s="239">
        <f t="shared" si="25"/>
        <v>1</v>
      </c>
      <c r="M1691" s="36" t="str">
        <f t="shared" si="3"/>
        <v>Regular Season</v>
      </c>
      <c r="N1691" s="239" t="str">
        <f t="shared" si="26"/>
        <v>Rooney/Jackson</v>
      </c>
      <c r="O1691" s="6">
        <f>VLOOKUP(D1691,'Mapped Opponent'!$G$4:$H$22,2,0)</f>
        <v>6</v>
      </c>
      <c r="P1691" s="6"/>
      <c r="Q1691" s="6" t="str">
        <f t="shared" si="4"/>
        <v>Week 6</v>
      </c>
      <c r="R1691" s="6" t="str">
        <f t="shared" si="5"/>
        <v>2019Week 6</v>
      </c>
      <c r="S1691" s="6">
        <f>IFERROR(__xludf.DUMMYFUNCTION("rank(J1691,FILTER(J:J,R:R=R1691))"),7.0)</f>
        <v>7</v>
      </c>
      <c r="T1691" s="6">
        <f t="shared" si="6"/>
        <v>5</v>
      </c>
      <c r="U1691" s="6">
        <f t="shared" si="7"/>
        <v>7</v>
      </c>
      <c r="V1691" s="42">
        <f>averageif(AllData!A:A,B1691,AllData!R:R)/vlookup(B1691,AllData!A:O,15,0)</f>
        <v>93.61128205</v>
      </c>
      <c r="W1691" s="6"/>
    </row>
    <row r="1692" ht="14.25" customHeight="1">
      <c r="A1692" s="6" t="str">
        <f t="shared" si="1"/>
        <v>2019KnardDawg6</v>
      </c>
      <c r="B1692" s="59">
        <v>2019.0</v>
      </c>
      <c r="C1692" s="13" t="s">
        <v>86</v>
      </c>
      <c r="D1692" s="13" t="s">
        <v>142</v>
      </c>
      <c r="E1692" s="34"/>
      <c r="F1692" s="6"/>
      <c r="H1692" s="6"/>
      <c r="I1692" s="35" t="str">
        <f>IFERROR(IFERROR(IFERROR(VLOOKUP(B1692&amp;C1692&amp;Q1692,'New Weekly Paste'!A:M,10,0),VLOOKUP(B1692&amp;C1692&amp;Q1692,'New Weekly Paste'!B:O,6,0)),""),"")</f>
        <v>Riley</v>
      </c>
      <c r="J1692" s="239">
        <f>IFERROR(IFERROR(VLOOKUP(B1692&amp;C1692&amp;Q1692,'New Weekly Paste'!A:M,8,0),VLOOKUP(B1692&amp;C1692&amp;Q1692,'New Weekly Paste'!B:O,10,0)),0)</f>
        <v>126.32</v>
      </c>
      <c r="K1692" s="239">
        <f>IFERROR(IFERROR(VLOOKUP(B1692&amp;I1692&amp;Q1692,'New Weekly Paste'!A:M,8,0),VLOOKUP(B1692&amp;I1692&amp;Q1692,'New Weekly Paste'!B:O,10,0)),0)</f>
        <v>76.7</v>
      </c>
      <c r="L1692" s="239">
        <f t="shared" si="25"/>
        <v>1</v>
      </c>
      <c r="M1692" s="36" t="str">
        <f t="shared" si="3"/>
        <v>Regular Season</v>
      </c>
      <c r="N1692" s="239" t="str">
        <f t="shared" si="26"/>
        <v>Riley</v>
      </c>
      <c r="O1692" s="6">
        <f>VLOOKUP(D1692,'Mapped Opponent'!$G$4:$H$22,2,0)</f>
        <v>6</v>
      </c>
      <c r="P1692" s="6"/>
      <c r="Q1692" s="6" t="str">
        <f t="shared" si="4"/>
        <v>Week 6</v>
      </c>
      <c r="R1692" s="6" t="str">
        <f t="shared" si="5"/>
        <v>2019Week 6</v>
      </c>
      <c r="S1692" s="6">
        <f>IFERROR(__xludf.DUMMYFUNCTION("rank(J1692,FILTER(J:J,R:R=R1692))"),2.0)</f>
        <v>2</v>
      </c>
      <c r="T1692" s="6">
        <f t="shared" si="6"/>
        <v>10</v>
      </c>
      <c r="U1692" s="6">
        <f t="shared" si="7"/>
        <v>2</v>
      </c>
      <c r="V1692" s="42">
        <f>averageif(AllData!A:A,B1692,AllData!R:R)/vlookup(B1692,AllData!A:O,15,0)</f>
        <v>93.61128205</v>
      </c>
      <c r="W1692" s="6"/>
    </row>
    <row r="1693" ht="14.25" customHeight="1">
      <c r="A1693" s="6" t="str">
        <f t="shared" si="1"/>
        <v>2019T-How6</v>
      </c>
      <c r="B1693" s="59">
        <v>2019.0</v>
      </c>
      <c r="C1693" s="13" t="s">
        <v>82</v>
      </c>
      <c r="D1693" s="13" t="s">
        <v>142</v>
      </c>
      <c r="E1693" s="34"/>
      <c r="F1693" s="6"/>
      <c r="H1693" s="6"/>
      <c r="I1693" s="35" t="str">
        <f>IFERROR(IFERROR(IFERROR(VLOOKUP(B1693&amp;C1693&amp;Q1693,'New Weekly Paste'!A:M,10,0),VLOOKUP(B1693&amp;C1693&amp;Q1693,'New Weekly Paste'!B:O,6,0)),""),"")</f>
        <v>Shep</v>
      </c>
      <c r="J1693" s="239">
        <f>IFERROR(IFERROR(VLOOKUP(B1693&amp;C1693&amp;Q1693,'New Weekly Paste'!A:M,8,0),VLOOKUP(B1693&amp;C1693&amp;Q1693,'New Weekly Paste'!B:O,10,0)),0)</f>
        <v>58.22</v>
      </c>
      <c r="K1693" s="239">
        <f>IFERROR(IFERROR(VLOOKUP(B1693&amp;I1693&amp;Q1693,'New Weekly Paste'!A:M,8,0),VLOOKUP(B1693&amp;I1693&amp;Q1693,'New Weekly Paste'!B:O,10,0)),0)</f>
        <v>136.54</v>
      </c>
      <c r="L1693" s="239">
        <f t="shared" si="25"/>
        <v>0</v>
      </c>
      <c r="M1693" s="36" t="str">
        <f t="shared" si="3"/>
        <v>Regular Season</v>
      </c>
      <c r="N1693" s="239" t="str">
        <f t="shared" si="26"/>
        <v>Shep</v>
      </c>
      <c r="O1693" s="6">
        <f>VLOOKUP(D1693,'Mapped Opponent'!$G$4:$H$22,2,0)</f>
        <v>6</v>
      </c>
      <c r="P1693" s="6"/>
      <c r="Q1693" s="6" t="str">
        <f t="shared" si="4"/>
        <v>Week 6</v>
      </c>
      <c r="R1693" s="6" t="str">
        <f t="shared" si="5"/>
        <v>2019Week 6</v>
      </c>
      <c r="S1693" s="6">
        <f>IFERROR(__xludf.DUMMYFUNCTION("rank(J1693,FILTER(J:J,R:R=R1693))"),12.0)</f>
        <v>12</v>
      </c>
      <c r="T1693" s="6">
        <f t="shared" si="6"/>
        <v>0</v>
      </c>
      <c r="U1693" s="6">
        <f t="shared" si="7"/>
        <v>12</v>
      </c>
      <c r="V1693" s="42">
        <f>averageif(AllData!A:A,B1693,AllData!R:R)/vlookup(B1693,AllData!A:O,15,0)</f>
        <v>93.61128205</v>
      </c>
      <c r="W1693" s="6"/>
    </row>
    <row r="1694" ht="14.25" customHeight="1">
      <c r="A1694" s="6" t="str">
        <f t="shared" si="1"/>
        <v>2019Hudspeath7</v>
      </c>
      <c r="B1694" s="59">
        <v>2019.0</v>
      </c>
      <c r="C1694" s="13" t="s">
        <v>39</v>
      </c>
      <c r="D1694" s="13" t="s">
        <v>143</v>
      </c>
      <c r="E1694" s="34"/>
      <c r="F1694" s="6"/>
      <c r="H1694" s="6"/>
      <c r="I1694" s="35" t="str">
        <f>IFERROR(IFERROR(IFERROR(VLOOKUP(B1694&amp;C1694&amp;Q1694,'New Weekly Paste'!A:M,10,0),VLOOKUP(B1694&amp;C1694&amp;Q1694,'New Weekly Paste'!B:O,6,0)),""),"")</f>
        <v>Shep</v>
      </c>
      <c r="J1694" s="239">
        <f>IFERROR(IFERROR(VLOOKUP(B1694&amp;C1694&amp;Q1694,'New Weekly Paste'!A:M,8,0),VLOOKUP(B1694&amp;C1694&amp;Q1694,'New Weekly Paste'!B:O,10,0)),0)</f>
        <v>83.94</v>
      </c>
      <c r="K1694" s="239">
        <f>IFERROR(IFERROR(VLOOKUP(B1694&amp;I1694&amp;Q1694,'New Weekly Paste'!A:M,8,0),VLOOKUP(B1694&amp;I1694&amp;Q1694,'New Weekly Paste'!B:O,10,0)),0)</f>
        <v>47.96</v>
      </c>
      <c r="L1694" s="239">
        <f t="shared" si="25"/>
        <v>1</v>
      </c>
      <c r="M1694" s="36" t="str">
        <f t="shared" si="3"/>
        <v>Regular Season</v>
      </c>
      <c r="N1694" s="239" t="str">
        <f t="shared" si="26"/>
        <v>Shep</v>
      </c>
      <c r="O1694" s="6">
        <f>VLOOKUP(D1694,'Mapped Opponent'!$G$4:$H$22,2,0)</f>
        <v>7</v>
      </c>
      <c r="P1694" s="6"/>
      <c r="Q1694" s="6" t="str">
        <f t="shared" si="4"/>
        <v>Week 7</v>
      </c>
      <c r="R1694" s="6" t="str">
        <f t="shared" si="5"/>
        <v>2019Week 7</v>
      </c>
      <c r="S1694" s="6">
        <f>IFERROR(__xludf.DUMMYFUNCTION("rank(J1694,FILTER(J:J,R:R=R1694))"),6.0)</f>
        <v>6</v>
      </c>
      <c r="T1694" s="6">
        <f t="shared" si="6"/>
        <v>6</v>
      </c>
      <c r="U1694" s="6">
        <f t="shared" si="7"/>
        <v>6</v>
      </c>
      <c r="V1694" s="42">
        <f>averageif(AllData!A:A,B1694,AllData!R:R)/vlookup(B1694,AllData!A:O,15,0)</f>
        <v>93.61128205</v>
      </c>
      <c r="W1694" s="6"/>
    </row>
    <row r="1695" ht="14.25" customHeight="1">
      <c r="A1695" s="6" t="str">
        <f t="shared" si="1"/>
        <v>2019Salty7</v>
      </c>
      <c r="B1695" s="59">
        <v>2019.0</v>
      </c>
      <c r="C1695" s="13" t="s">
        <v>76</v>
      </c>
      <c r="D1695" s="13" t="s">
        <v>143</v>
      </c>
      <c r="E1695" s="34"/>
      <c r="F1695" s="6"/>
      <c r="H1695" s="6"/>
      <c r="I1695" s="35" t="str">
        <f>IFERROR(IFERROR(IFERROR(VLOOKUP(B1695&amp;C1695&amp;Q1695,'New Weekly Paste'!A:M,10,0),VLOOKUP(B1695&amp;C1695&amp;Q1695,'New Weekly Paste'!B:O,6,0)),""),"")</f>
        <v>Riley</v>
      </c>
      <c r="J1695" s="239">
        <f>IFERROR(IFERROR(VLOOKUP(B1695&amp;C1695&amp;Q1695,'New Weekly Paste'!A:M,8,0),VLOOKUP(B1695&amp;C1695&amp;Q1695,'New Weekly Paste'!B:O,10,0)),0)</f>
        <v>109.86</v>
      </c>
      <c r="K1695" s="239">
        <f>IFERROR(IFERROR(VLOOKUP(B1695&amp;I1695&amp;Q1695,'New Weekly Paste'!A:M,8,0),VLOOKUP(B1695&amp;I1695&amp;Q1695,'New Weekly Paste'!B:O,10,0)),0)</f>
        <v>61.36</v>
      </c>
      <c r="L1695" s="239">
        <f t="shared" si="25"/>
        <v>1</v>
      </c>
      <c r="M1695" s="36" t="str">
        <f t="shared" si="3"/>
        <v>Regular Season</v>
      </c>
      <c r="N1695" s="239" t="str">
        <f t="shared" si="26"/>
        <v>Riley</v>
      </c>
      <c r="O1695" s="6">
        <f>VLOOKUP(D1695,'Mapped Opponent'!$G$4:$H$22,2,0)</f>
        <v>7</v>
      </c>
      <c r="P1695" s="6"/>
      <c r="Q1695" s="6" t="str">
        <f t="shared" si="4"/>
        <v>Week 7</v>
      </c>
      <c r="R1695" s="6" t="str">
        <f t="shared" si="5"/>
        <v>2019Week 7</v>
      </c>
      <c r="S1695" s="6">
        <f>IFERROR(__xludf.DUMMYFUNCTION("rank(J1695,FILTER(J:J,R:R=R1695))"),1.0)</f>
        <v>1</v>
      </c>
      <c r="T1695" s="6">
        <f t="shared" si="6"/>
        <v>11</v>
      </c>
      <c r="U1695" s="6">
        <f t="shared" si="7"/>
        <v>1</v>
      </c>
      <c r="V1695" s="42">
        <f>averageif(AllData!A:A,B1695,AllData!R:R)/vlookup(B1695,AllData!A:O,15,0)</f>
        <v>93.61128205</v>
      </c>
      <c r="W1695" s="6"/>
    </row>
    <row r="1696" ht="14.25" customHeight="1">
      <c r="A1696" s="6" t="str">
        <f t="shared" si="1"/>
        <v>2019Fellows7</v>
      </c>
      <c r="B1696" s="59">
        <v>2019.0</v>
      </c>
      <c r="C1696" s="13" t="s">
        <v>79</v>
      </c>
      <c r="D1696" s="13" t="s">
        <v>143</v>
      </c>
      <c r="E1696" s="34"/>
      <c r="F1696" s="6"/>
      <c r="H1696" s="6"/>
      <c r="I1696" s="35" t="str">
        <f>IFERROR(IFERROR(IFERROR(VLOOKUP(B1696&amp;C1696&amp;Q1696,'New Weekly Paste'!A:M,10,0),VLOOKUP(B1696&amp;C1696&amp;Q1696,'New Weekly Paste'!B:O,6,0)),""),"")</f>
        <v>Rooney/Jackson</v>
      </c>
      <c r="J1696" s="239">
        <f>IFERROR(IFERROR(VLOOKUP(B1696&amp;C1696&amp;Q1696,'New Weekly Paste'!A:M,8,0),VLOOKUP(B1696&amp;C1696&amp;Q1696,'New Weekly Paste'!B:O,10,0)),0)</f>
        <v>63.66</v>
      </c>
      <c r="K1696" s="239">
        <f>IFERROR(IFERROR(VLOOKUP(B1696&amp;I1696&amp;Q1696,'New Weekly Paste'!A:M,8,0),VLOOKUP(B1696&amp;I1696&amp;Q1696,'New Weekly Paste'!B:O,10,0)),0)</f>
        <v>76.38</v>
      </c>
      <c r="L1696" s="239">
        <f t="shared" si="25"/>
        <v>0</v>
      </c>
      <c r="M1696" s="36" t="str">
        <f t="shared" si="3"/>
        <v>Regular Season</v>
      </c>
      <c r="N1696" s="239" t="str">
        <f t="shared" si="26"/>
        <v>Rooney/Jackson</v>
      </c>
      <c r="O1696" s="6">
        <f>VLOOKUP(D1696,'Mapped Opponent'!$G$4:$H$22,2,0)</f>
        <v>7</v>
      </c>
      <c r="P1696" s="6"/>
      <c r="Q1696" s="6" t="str">
        <f t="shared" si="4"/>
        <v>Week 7</v>
      </c>
      <c r="R1696" s="6" t="str">
        <f t="shared" si="5"/>
        <v>2019Week 7</v>
      </c>
      <c r="S1696" s="6">
        <f>IFERROR(__xludf.DUMMYFUNCTION("rank(J1696,FILTER(J:J,R:R=R1696))"),10.0)</f>
        <v>10</v>
      </c>
      <c r="T1696" s="6">
        <f t="shared" si="6"/>
        <v>2</v>
      </c>
      <c r="U1696" s="6">
        <f t="shared" si="7"/>
        <v>10</v>
      </c>
      <c r="V1696" s="42">
        <f>averageif(AllData!A:A,B1696,AllData!R:R)/vlookup(B1696,AllData!A:O,15,0)</f>
        <v>93.61128205</v>
      </c>
      <c r="W1696" s="6"/>
    </row>
    <row r="1697" ht="14.25" customHeight="1">
      <c r="A1697" s="6" t="str">
        <f t="shared" si="1"/>
        <v>2019Shep7</v>
      </c>
      <c r="B1697" s="59">
        <v>2019.0</v>
      </c>
      <c r="C1697" s="13" t="s">
        <v>89</v>
      </c>
      <c r="D1697" s="13" t="s">
        <v>143</v>
      </c>
      <c r="E1697" s="34"/>
      <c r="F1697" s="6"/>
      <c r="H1697" s="6"/>
      <c r="I1697" s="35" t="str">
        <f>IFERROR(IFERROR(IFERROR(VLOOKUP(B1697&amp;C1697&amp;Q1697,'New Weekly Paste'!A:M,10,0),VLOOKUP(B1697&amp;C1697&amp;Q1697,'New Weekly Paste'!B:O,6,0)),""),"")</f>
        <v>Hudspeath</v>
      </c>
      <c r="J1697" s="239">
        <f>IFERROR(IFERROR(VLOOKUP(B1697&amp;C1697&amp;Q1697,'New Weekly Paste'!A:M,8,0),VLOOKUP(B1697&amp;C1697&amp;Q1697,'New Weekly Paste'!B:O,10,0)),0)</f>
        <v>47.96</v>
      </c>
      <c r="K1697" s="239">
        <f>IFERROR(IFERROR(VLOOKUP(B1697&amp;I1697&amp;Q1697,'New Weekly Paste'!A:M,8,0),VLOOKUP(B1697&amp;I1697&amp;Q1697,'New Weekly Paste'!B:O,10,0)),0)</f>
        <v>83.94</v>
      </c>
      <c r="L1697" s="239">
        <f t="shared" si="25"/>
        <v>0</v>
      </c>
      <c r="M1697" s="36" t="str">
        <f t="shared" si="3"/>
        <v>Regular Season</v>
      </c>
      <c r="N1697" s="239" t="str">
        <f t="shared" si="26"/>
        <v>Hudspeath</v>
      </c>
      <c r="O1697" s="6">
        <f>VLOOKUP(D1697,'Mapped Opponent'!$G$4:$H$22,2,0)</f>
        <v>7</v>
      </c>
      <c r="P1697" s="6"/>
      <c r="Q1697" s="6" t="str">
        <f t="shared" si="4"/>
        <v>Week 7</v>
      </c>
      <c r="R1697" s="6" t="str">
        <f t="shared" si="5"/>
        <v>2019Week 7</v>
      </c>
      <c r="S1697" s="6">
        <f>IFERROR(__xludf.DUMMYFUNCTION("rank(J1697,FILTER(J:J,R:R=R1697))"),12.0)</f>
        <v>12</v>
      </c>
      <c r="T1697" s="6">
        <f t="shared" si="6"/>
        <v>0</v>
      </c>
      <c r="U1697" s="6">
        <f t="shared" si="7"/>
        <v>12</v>
      </c>
      <c r="V1697" s="42">
        <f>averageif(AllData!A:A,B1697,AllData!R:R)/vlookup(B1697,AllData!A:O,15,0)</f>
        <v>93.61128205</v>
      </c>
      <c r="W1697" s="6"/>
    </row>
    <row r="1698" ht="14.25" customHeight="1">
      <c r="A1698" s="6" t="str">
        <f t="shared" si="1"/>
        <v>2019Riley7</v>
      </c>
      <c r="B1698" s="59">
        <v>2019.0</v>
      </c>
      <c r="C1698" s="13" t="s">
        <v>67</v>
      </c>
      <c r="D1698" s="13" t="s">
        <v>143</v>
      </c>
      <c r="E1698" s="34"/>
      <c r="F1698" s="6"/>
      <c r="H1698" s="6"/>
      <c r="I1698" s="35" t="str">
        <f>IFERROR(IFERROR(IFERROR(VLOOKUP(B1698&amp;C1698&amp;Q1698,'New Weekly Paste'!A:M,10,0),VLOOKUP(B1698&amp;C1698&amp;Q1698,'New Weekly Paste'!B:O,6,0)),""),"")</f>
        <v>Salty</v>
      </c>
      <c r="J1698" s="239">
        <f>IFERROR(IFERROR(VLOOKUP(B1698&amp;C1698&amp;Q1698,'New Weekly Paste'!A:M,8,0),VLOOKUP(B1698&amp;C1698&amp;Q1698,'New Weekly Paste'!B:O,10,0)),0)</f>
        <v>61.36</v>
      </c>
      <c r="K1698" s="239">
        <f>IFERROR(IFERROR(VLOOKUP(B1698&amp;I1698&amp;Q1698,'New Weekly Paste'!A:M,8,0),VLOOKUP(B1698&amp;I1698&amp;Q1698,'New Weekly Paste'!B:O,10,0)),0)</f>
        <v>109.86</v>
      </c>
      <c r="L1698" s="239">
        <f t="shared" si="25"/>
        <v>0</v>
      </c>
      <c r="M1698" s="36" t="str">
        <f t="shared" si="3"/>
        <v>Regular Season</v>
      </c>
      <c r="N1698" s="239" t="str">
        <f t="shared" si="26"/>
        <v>Salty</v>
      </c>
      <c r="O1698" s="6">
        <f>VLOOKUP(D1698,'Mapped Opponent'!$G$4:$H$22,2,0)</f>
        <v>7</v>
      </c>
      <c r="P1698" s="6"/>
      <c r="Q1698" s="6" t="str">
        <f t="shared" si="4"/>
        <v>Week 7</v>
      </c>
      <c r="R1698" s="6" t="str">
        <f t="shared" si="5"/>
        <v>2019Week 7</v>
      </c>
      <c r="S1698" s="6">
        <f>IFERROR(__xludf.DUMMYFUNCTION("rank(J1698,FILTER(J:J,R:R=R1698))"),11.0)</f>
        <v>11</v>
      </c>
      <c r="T1698" s="6">
        <f t="shared" si="6"/>
        <v>1</v>
      </c>
      <c r="U1698" s="6">
        <f t="shared" si="7"/>
        <v>11</v>
      </c>
      <c r="V1698" s="42">
        <f>averageif(AllData!A:A,B1698,AllData!R:R)/vlookup(B1698,AllData!A:O,15,0)</f>
        <v>93.61128205</v>
      </c>
      <c r="W1698" s="6"/>
    </row>
    <row r="1699" ht="14.25" customHeight="1">
      <c r="A1699" s="6" t="str">
        <f t="shared" si="1"/>
        <v>2019Rooney/Jackson7</v>
      </c>
      <c r="B1699" s="59">
        <v>2019.0</v>
      </c>
      <c r="C1699" s="13" t="s">
        <v>57</v>
      </c>
      <c r="D1699" s="13" t="s">
        <v>143</v>
      </c>
      <c r="E1699" s="34"/>
      <c r="F1699" s="6"/>
      <c r="H1699" s="6"/>
      <c r="I1699" s="35" t="str">
        <f>IFERROR(IFERROR(IFERROR(VLOOKUP(B1699&amp;C1699&amp;Q1699,'New Weekly Paste'!A:M,10,0),VLOOKUP(B1699&amp;C1699&amp;Q1699,'New Weekly Paste'!B:O,6,0)),""),"")</f>
        <v>Fellows</v>
      </c>
      <c r="J1699" s="239">
        <f>IFERROR(IFERROR(VLOOKUP(B1699&amp;C1699&amp;Q1699,'New Weekly Paste'!A:M,8,0),VLOOKUP(B1699&amp;C1699&amp;Q1699,'New Weekly Paste'!B:O,10,0)),0)</f>
        <v>76.38</v>
      </c>
      <c r="K1699" s="239">
        <f>IFERROR(IFERROR(VLOOKUP(B1699&amp;I1699&amp;Q1699,'New Weekly Paste'!A:M,8,0),VLOOKUP(B1699&amp;I1699&amp;Q1699,'New Weekly Paste'!B:O,10,0)),0)</f>
        <v>63.66</v>
      </c>
      <c r="L1699" s="239">
        <f t="shared" si="25"/>
        <v>1</v>
      </c>
      <c r="M1699" s="36" t="str">
        <f t="shared" si="3"/>
        <v>Regular Season</v>
      </c>
      <c r="N1699" s="239" t="str">
        <f t="shared" si="26"/>
        <v>Fellows</v>
      </c>
      <c r="O1699" s="6">
        <f>VLOOKUP(D1699,'Mapped Opponent'!$G$4:$H$22,2,0)</f>
        <v>7</v>
      </c>
      <c r="P1699" s="6"/>
      <c r="Q1699" s="6" t="str">
        <f t="shared" si="4"/>
        <v>Week 7</v>
      </c>
      <c r="R1699" s="6" t="str">
        <f t="shared" si="5"/>
        <v>2019Week 7</v>
      </c>
      <c r="S1699" s="6">
        <f>IFERROR(__xludf.DUMMYFUNCTION("rank(J1699,FILTER(J:J,R:R=R1699))"),8.0)</f>
        <v>8</v>
      </c>
      <c r="T1699" s="6">
        <f t="shared" si="6"/>
        <v>4</v>
      </c>
      <c r="U1699" s="6">
        <f t="shared" si="7"/>
        <v>8</v>
      </c>
      <c r="V1699" s="42">
        <f>averageif(AllData!A:A,B1699,AllData!R:R)/vlookup(B1699,AllData!A:O,15,0)</f>
        <v>93.61128205</v>
      </c>
      <c r="W1699" s="6"/>
    </row>
    <row r="1700" ht="14.25" customHeight="1">
      <c r="A1700" s="6" t="str">
        <f t="shared" si="1"/>
        <v>2019Buser7</v>
      </c>
      <c r="B1700" s="59">
        <v>2019.0</v>
      </c>
      <c r="C1700" s="13" t="s">
        <v>47</v>
      </c>
      <c r="D1700" s="13" t="s">
        <v>143</v>
      </c>
      <c r="E1700" s="34"/>
      <c r="F1700" s="6"/>
      <c r="H1700" s="6"/>
      <c r="I1700" s="35" t="str">
        <f>IFERROR(IFERROR(IFERROR(VLOOKUP(B1700&amp;C1700&amp;Q1700,'New Weekly Paste'!A:M,10,0),VLOOKUP(B1700&amp;C1700&amp;Q1700,'New Weekly Paste'!B:O,6,0)),""),"")</f>
        <v>T-How</v>
      </c>
      <c r="J1700" s="239">
        <f>IFERROR(IFERROR(VLOOKUP(B1700&amp;C1700&amp;Q1700,'New Weekly Paste'!A:M,8,0),VLOOKUP(B1700&amp;C1700&amp;Q1700,'New Weekly Paste'!B:O,10,0)),0)</f>
        <v>67.54</v>
      </c>
      <c r="K1700" s="239">
        <f>IFERROR(IFERROR(VLOOKUP(B1700&amp;I1700&amp;Q1700,'New Weekly Paste'!A:M,8,0),VLOOKUP(B1700&amp;I1700&amp;Q1700,'New Weekly Paste'!B:O,10,0)),0)</f>
        <v>99.92</v>
      </c>
      <c r="L1700" s="239">
        <f t="shared" si="25"/>
        <v>0</v>
      </c>
      <c r="M1700" s="36" t="str">
        <f t="shared" si="3"/>
        <v>Regular Season</v>
      </c>
      <c r="N1700" s="239" t="str">
        <f t="shared" si="26"/>
        <v>T-How</v>
      </c>
      <c r="O1700" s="6">
        <f>VLOOKUP(D1700,'Mapped Opponent'!$G$4:$H$22,2,0)</f>
        <v>7</v>
      </c>
      <c r="P1700" s="6"/>
      <c r="Q1700" s="6" t="str">
        <f t="shared" si="4"/>
        <v>Week 7</v>
      </c>
      <c r="R1700" s="6" t="str">
        <f t="shared" si="5"/>
        <v>2019Week 7</v>
      </c>
      <c r="S1700" s="6">
        <f>IFERROR(__xludf.DUMMYFUNCTION("rank(J1700,FILTER(J:J,R:R=R1700))"),9.0)</f>
        <v>9</v>
      </c>
      <c r="T1700" s="6">
        <f t="shared" si="6"/>
        <v>3</v>
      </c>
      <c r="U1700" s="6">
        <f t="shared" si="7"/>
        <v>9</v>
      </c>
      <c r="V1700" s="42">
        <f>averageif(AllData!A:A,B1700,AllData!R:R)/vlookup(B1700,AllData!A:O,15,0)</f>
        <v>93.61128205</v>
      </c>
      <c r="W1700" s="6"/>
    </row>
    <row r="1701" ht="14.25" customHeight="1">
      <c r="A1701" s="6" t="str">
        <f t="shared" si="1"/>
        <v>2019Pierson7</v>
      </c>
      <c r="B1701" s="59">
        <v>2019.0</v>
      </c>
      <c r="C1701" s="13" t="s">
        <v>92</v>
      </c>
      <c r="D1701" s="13" t="s">
        <v>143</v>
      </c>
      <c r="E1701" s="34"/>
      <c r="F1701" s="6"/>
      <c r="H1701" s="6"/>
      <c r="I1701" s="35" t="str">
        <f>IFERROR(IFERROR(IFERROR(VLOOKUP(B1701&amp;C1701&amp;Q1701,'New Weekly Paste'!A:M,10,0),VLOOKUP(B1701&amp;C1701&amp;Q1701,'New Weekly Paste'!B:O,6,0)),""),"")</f>
        <v>KnardDawg</v>
      </c>
      <c r="J1701" s="239">
        <f>IFERROR(IFERROR(VLOOKUP(B1701&amp;C1701&amp;Q1701,'New Weekly Paste'!A:M,8,0),VLOOKUP(B1701&amp;C1701&amp;Q1701,'New Weekly Paste'!B:O,10,0)),0)</f>
        <v>94.72</v>
      </c>
      <c r="K1701" s="239">
        <f>IFERROR(IFERROR(VLOOKUP(B1701&amp;I1701&amp;Q1701,'New Weekly Paste'!A:M,8,0),VLOOKUP(B1701&amp;I1701&amp;Q1701,'New Weekly Paste'!B:O,10,0)),0)</f>
        <v>84.34</v>
      </c>
      <c r="L1701" s="239">
        <f t="shared" si="25"/>
        <v>1</v>
      </c>
      <c r="M1701" s="36" t="str">
        <f t="shared" si="3"/>
        <v>Regular Season</v>
      </c>
      <c r="N1701" s="239" t="str">
        <f t="shared" si="26"/>
        <v>KnardDawg</v>
      </c>
      <c r="O1701" s="6">
        <f>VLOOKUP(D1701,'Mapped Opponent'!$G$4:$H$22,2,0)</f>
        <v>7</v>
      </c>
      <c r="P1701" s="6"/>
      <c r="Q1701" s="6" t="str">
        <f t="shared" si="4"/>
        <v>Week 7</v>
      </c>
      <c r="R1701" s="6" t="str">
        <f t="shared" si="5"/>
        <v>2019Week 7</v>
      </c>
      <c r="S1701" s="6">
        <f>IFERROR(__xludf.DUMMYFUNCTION("rank(J1701,FILTER(J:J,R:R=R1701))"),4.0)</f>
        <v>4</v>
      </c>
      <c r="T1701" s="6">
        <f t="shared" si="6"/>
        <v>8</v>
      </c>
      <c r="U1701" s="6">
        <f t="shared" si="7"/>
        <v>4</v>
      </c>
      <c r="V1701" s="42">
        <f>averageif(AllData!A:A,B1701,AllData!R:R)/vlookup(B1701,AllData!A:O,15,0)</f>
        <v>93.61128205</v>
      </c>
      <c r="W1701" s="6"/>
    </row>
    <row r="1702" ht="14.25" customHeight="1">
      <c r="A1702" s="6" t="str">
        <f t="shared" si="1"/>
        <v>2019Cock7</v>
      </c>
      <c r="B1702" s="59">
        <v>2019.0</v>
      </c>
      <c r="C1702" s="13" t="s">
        <v>72</v>
      </c>
      <c r="D1702" s="13" t="s">
        <v>143</v>
      </c>
      <c r="E1702" s="34"/>
      <c r="F1702" s="6"/>
      <c r="H1702" s="6"/>
      <c r="I1702" s="35" t="str">
        <f>IFERROR(IFERROR(IFERROR(VLOOKUP(B1702&amp;C1702&amp;Q1702,'New Weekly Paste'!A:M,10,0),VLOOKUP(B1702&amp;C1702&amp;Q1702,'New Weekly Paste'!B:O,6,0)),""),"")</f>
        <v>Tayski</v>
      </c>
      <c r="J1702" s="239">
        <f>IFERROR(IFERROR(VLOOKUP(B1702&amp;C1702&amp;Q1702,'New Weekly Paste'!A:M,8,0),VLOOKUP(B1702&amp;C1702&amp;Q1702,'New Weekly Paste'!B:O,10,0)),0)</f>
        <v>98.76</v>
      </c>
      <c r="K1702" s="239">
        <f>IFERROR(IFERROR(VLOOKUP(B1702&amp;I1702&amp;Q1702,'New Weekly Paste'!A:M,8,0),VLOOKUP(B1702&amp;I1702&amp;Q1702,'New Weekly Paste'!B:O,10,0)),0)</f>
        <v>80.52</v>
      </c>
      <c r="L1702" s="239">
        <f t="shared" si="25"/>
        <v>1</v>
      </c>
      <c r="M1702" s="36" t="str">
        <f t="shared" si="3"/>
        <v>Regular Season</v>
      </c>
      <c r="N1702" s="239" t="str">
        <f t="shared" si="26"/>
        <v>Tayski</v>
      </c>
      <c r="O1702" s="6">
        <f>VLOOKUP(D1702,'Mapped Opponent'!$G$4:$H$22,2,0)</f>
        <v>7</v>
      </c>
      <c r="P1702" s="6"/>
      <c r="Q1702" s="6" t="str">
        <f t="shared" si="4"/>
        <v>Week 7</v>
      </c>
      <c r="R1702" s="6" t="str">
        <f t="shared" si="5"/>
        <v>2019Week 7</v>
      </c>
      <c r="S1702" s="6">
        <f>IFERROR(__xludf.DUMMYFUNCTION("rank(J1702,FILTER(J:J,R:R=R1702))"),3.0)</f>
        <v>3</v>
      </c>
      <c r="T1702" s="6">
        <f t="shared" si="6"/>
        <v>9</v>
      </c>
      <c r="U1702" s="6">
        <f t="shared" si="7"/>
        <v>3</v>
      </c>
      <c r="V1702" s="42">
        <f>averageif(AllData!A:A,B1702,AllData!R:R)/vlookup(B1702,AllData!A:O,15,0)</f>
        <v>93.61128205</v>
      </c>
      <c r="W1702" s="6"/>
    </row>
    <row r="1703" ht="14.25" customHeight="1">
      <c r="A1703" s="6" t="str">
        <f t="shared" si="1"/>
        <v>2019Tayski7</v>
      </c>
      <c r="B1703" s="59">
        <v>2019.0</v>
      </c>
      <c r="C1703" s="13" t="s">
        <v>52</v>
      </c>
      <c r="D1703" s="13" t="s">
        <v>143</v>
      </c>
      <c r="E1703" s="34"/>
      <c r="F1703" s="6"/>
      <c r="H1703" s="6"/>
      <c r="I1703" s="35" t="str">
        <f>IFERROR(IFERROR(IFERROR(VLOOKUP(B1703&amp;C1703&amp;Q1703,'New Weekly Paste'!A:M,10,0),VLOOKUP(B1703&amp;C1703&amp;Q1703,'New Weekly Paste'!B:O,6,0)),""),"")</f>
        <v>Cock</v>
      </c>
      <c r="J1703" s="239">
        <f>IFERROR(IFERROR(VLOOKUP(B1703&amp;C1703&amp;Q1703,'New Weekly Paste'!A:M,8,0),VLOOKUP(B1703&amp;C1703&amp;Q1703,'New Weekly Paste'!B:O,10,0)),0)</f>
        <v>80.52</v>
      </c>
      <c r="K1703" s="239">
        <f>IFERROR(IFERROR(VLOOKUP(B1703&amp;I1703&amp;Q1703,'New Weekly Paste'!A:M,8,0),VLOOKUP(B1703&amp;I1703&amp;Q1703,'New Weekly Paste'!B:O,10,0)),0)</f>
        <v>98.76</v>
      </c>
      <c r="L1703" s="239">
        <f t="shared" si="25"/>
        <v>0</v>
      </c>
      <c r="M1703" s="36" t="str">
        <f t="shared" si="3"/>
        <v>Regular Season</v>
      </c>
      <c r="N1703" s="239" t="str">
        <f t="shared" si="26"/>
        <v>Cock</v>
      </c>
      <c r="O1703" s="6">
        <f>VLOOKUP(D1703,'Mapped Opponent'!$G$4:$H$22,2,0)</f>
        <v>7</v>
      </c>
      <c r="P1703" s="6"/>
      <c r="Q1703" s="6" t="str">
        <f t="shared" si="4"/>
        <v>Week 7</v>
      </c>
      <c r="R1703" s="6" t="str">
        <f t="shared" si="5"/>
        <v>2019Week 7</v>
      </c>
      <c r="S1703" s="6">
        <f>IFERROR(__xludf.DUMMYFUNCTION("rank(J1703,FILTER(J:J,R:R=R1703))"),7.0)</f>
        <v>7</v>
      </c>
      <c r="T1703" s="6">
        <f t="shared" si="6"/>
        <v>5</v>
      </c>
      <c r="U1703" s="6">
        <f t="shared" si="7"/>
        <v>7</v>
      </c>
      <c r="V1703" s="42">
        <f>averageif(AllData!A:A,B1703,AllData!R:R)/vlookup(B1703,AllData!A:O,15,0)</f>
        <v>93.61128205</v>
      </c>
      <c r="W1703" s="6"/>
    </row>
    <row r="1704" ht="14.25" customHeight="1">
      <c r="A1704" s="6" t="str">
        <f t="shared" si="1"/>
        <v>2019KnardDawg7</v>
      </c>
      <c r="B1704" s="59">
        <v>2019.0</v>
      </c>
      <c r="C1704" s="13" t="s">
        <v>86</v>
      </c>
      <c r="D1704" s="13" t="s">
        <v>143</v>
      </c>
      <c r="E1704" s="34"/>
      <c r="F1704" s="6"/>
      <c r="H1704" s="6"/>
      <c r="I1704" s="35" t="str">
        <f>IFERROR(IFERROR(IFERROR(VLOOKUP(B1704&amp;C1704&amp;Q1704,'New Weekly Paste'!A:M,10,0),VLOOKUP(B1704&amp;C1704&amp;Q1704,'New Weekly Paste'!B:O,6,0)),""),"")</f>
        <v>Pierson</v>
      </c>
      <c r="J1704" s="239">
        <f>IFERROR(IFERROR(VLOOKUP(B1704&amp;C1704&amp;Q1704,'New Weekly Paste'!A:M,8,0),VLOOKUP(B1704&amp;C1704&amp;Q1704,'New Weekly Paste'!B:O,10,0)),0)</f>
        <v>84.34</v>
      </c>
      <c r="K1704" s="239">
        <f>IFERROR(IFERROR(VLOOKUP(B1704&amp;I1704&amp;Q1704,'New Weekly Paste'!A:M,8,0),VLOOKUP(B1704&amp;I1704&amp;Q1704,'New Weekly Paste'!B:O,10,0)),0)</f>
        <v>94.72</v>
      </c>
      <c r="L1704" s="239">
        <f t="shared" si="25"/>
        <v>0</v>
      </c>
      <c r="M1704" s="36" t="str">
        <f t="shared" si="3"/>
        <v>Regular Season</v>
      </c>
      <c r="N1704" s="239" t="str">
        <f t="shared" si="26"/>
        <v>Pierson</v>
      </c>
      <c r="O1704" s="6">
        <f>VLOOKUP(D1704,'Mapped Opponent'!$G$4:$H$22,2,0)</f>
        <v>7</v>
      </c>
      <c r="P1704" s="6"/>
      <c r="Q1704" s="6" t="str">
        <f t="shared" si="4"/>
        <v>Week 7</v>
      </c>
      <c r="R1704" s="6" t="str">
        <f t="shared" si="5"/>
        <v>2019Week 7</v>
      </c>
      <c r="S1704" s="6">
        <f>IFERROR(__xludf.DUMMYFUNCTION("rank(J1704,FILTER(J:J,R:R=R1704))"),5.0)</f>
        <v>5</v>
      </c>
      <c r="T1704" s="6">
        <f t="shared" si="6"/>
        <v>7</v>
      </c>
      <c r="U1704" s="6">
        <f t="shared" si="7"/>
        <v>5</v>
      </c>
      <c r="V1704" s="42">
        <f>averageif(AllData!A:A,B1704,AllData!R:R)/vlookup(B1704,AllData!A:O,15,0)</f>
        <v>93.61128205</v>
      </c>
      <c r="W1704" s="6"/>
    </row>
    <row r="1705" ht="14.25" customHeight="1">
      <c r="A1705" s="6" t="str">
        <f t="shared" si="1"/>
        <v>2019T-How7</v>
      </c>
      <c r="B1705" s="59">
        <v>2019.0</v>
      </c>
      <c r="C1705" s="13" t="s">
        <v>82</v>
      </c>
      <c r="D1705" s="13" t="s">
        <v>143</v>
      </c>
      <c r="E1705" s="34"/>
      <c r="F1705" s="6"/>
      <c r="H1705" s="6"/>
      <c r="I1705" s="35" t="str">
        <f>IFERROR(IFERROR(IFERROR(VLOOKUP(B1705&amp;C1705&amp;Q1705,'New Weekly Paste'!A:M,10,0),VLOOKUP(B1705&amp;C1705&amp;Q1705,'New Weekly Paste'!B:O,6,0)),""),"")</f>
        <v>Buser</v>
      </c>
      <c r="J1705" s="239">
        <f>IFERROR(IFERROR(VLOOKUP(B1705&amp;C1705&amp;Q1705,'New Weekly Paste'!A:M,8,0),VLOOKUP(B1705&amp;C1705&amp;Q1705,'New Weekly Paste'!B:O,10,0)),0)</f>
        <v>99.92</v>
      </c>
      <c r="K1705" s="239">
        <f>IFERROR(IFERROR(VLOOKUP(B1705&amp;I1705&amp;Q1705,'New Weekly Paste'!A:M,8,0),VLOOKUP(B1705&amp;I1705&amp;Q1705,'New Weekly Paste'!B:O,10,0)),0)</f>
        <v>67.54</v>
      </c>
      <c r="L1705" s="239">
        <f t="shared" si="25"/>
        <v>1</v>
      </c>
      <c r="M1705" s="36" t="str">
        <f t="shared" si="3"/>
        <v>Regular Season</v>
      </c>
      <c r="N1705" s="239" t="str">
        <f t="shared" si="26"/>
        <v>Buser</v>
      </c>
      <c r="O1705" s="6">
        <f>VLOOKUP(D1705,'Mapped Opponent'!$G$4:$H$22,2,0)</f>
        <v>7</v>
      </c>
      <c r="P1705" s="6"/>
      <c r="Q1705" s="6" t="str">
        <f t="shared" si="4"/>
        <v>Week 7</v>
      </c>
      <c r="R1705" s="6" t="str">
        <f t="shared" si="5"/>
        <v>2019Week 7</v>
      </c>
      <c r="S1705" s="6">
        <f>IFERROR(__xludf.DUMMYFUNCTION("rank(J1705,FILTER(J:J,R:R=R1705))"),2.0)</f>
        <v>2</v>
      </c>
      <c r="T1705" s="6">
        <f t="shared" si="6"/>
        <v>10</v>
      </c>
      <c r="U1705" s="6">
        <f t="shared" si="7"/>
        <v>2</v>
      </c>
      <c r="V1705" s="42">
        <f>averageif(AllData!A:A,B1705,AllData!R:R)/vlookup(B1705,AllData!A:O,15,0)</f>
        <v>93.61128205</v>
      </c>
      <c r="W1705" s="6"/>
    </row>
    <row r="1706" ht="14.25" customHeight="1">
      <c r="A1706" s="6" t="str">
        <f t="shared" si="1"/>
        <v>2019Hudspeath8</v>
      </c>
      <c r="B1706" s="59">
        <v>2019.0</v>
      </c>
      <c r="C1706" s="13" t="s">
        <v>39</v>
      </c>
      <c r="D1706" s="13" t="s">
        <v>145</v>
      </c>
      <c r="E1706" s="34"/>
      <c r="F1706" s="6"/>
      <c r="H1706" s="6"/>
      <c r="I1706" s="35" t="str">
        <f>IFERROR(IFERROR(IFERROR(VLOOKUP(B1706&amp;C1706&amp;Q1706,'New Weekly Paste'!A:M,10,0),VLOOKUP(B1706&amp;C1706&amp;Q1706,'New Weekly Paste'!B:O,6,0)),""),"")</f>
        <v>Buser</v>
      </c>
      <c r="J1706" s="239">
        <f>IFERROR(IFERROR(VLOOKUP(B1706&amp;C1706&amp;Q1706,'New Weekly Paste'!A:M,8,0),VLOOKUP(B1706&amp;C1706&amp;Q1706,'New Weekly Paste'!B:O,10,0)),0)</f>
        <v>106.14</v>
      </c>
      <c r="K1706" s="239">
        <f>IFERROR(IFERROR(VLOOKUP(B1706&amp;I1706&amp;Q1706,'New Weekly Paste'!A:M,8,0),VLOOKUP(B1706&amp;I1706&amp;Q1706,'New Weekly Paste'!B:O,10,0)),0)</f>
        <v>91.78</v>
      </c>
      <c r="L1706" s="239">
        <f t="shared" si="25"/>
        <v>1</v>
      </c>
      <c r="M1706" s="36" t="str">
        <f t="shared" si="3"/>
        <v>Regular Season</v>
      </c>
      <c r="N1706" s="239" t="str">
        <f t="shared" si="26"/>
        <v>Buser</v>
      </c>
      <c r="O1706" s="6">
        <f>VLOOKUP(D1706,'Mapped Opponent'!$G$4:$H$22,2,0)</f>
        <v>8</v>
      </c>
      <c r="P1706" s="6"/>
      <c r="Q1706" s="6" t="str">
        <f t="shared" si="4"/>
        <v>Week 8</v>
      </c>
      <c r="R1706" s="6" t="str">
        <f t="shared" si="5"/>
        <v>2019Week 8</v>
      </c>
      <c r="S1706" s="6">
        <f>IFERROR(__xludf.DUMMYFUNCTION("rank(J1706,FILTER(J:J,R:R=R1706))"),5.0)</f>
        <v>5</v>
      </c>
      <c r="T1706" s="6">
        <f t="shared" si="6"/>
        <v>7</v>
      </c>
      <c r="U1706" s="6">
        <f t="shared" si="7"/>
        <v>5</v>
      </c>
      <c r="V1706" s="42">
        <f>averageif(AllData!A:A,B1706,AllData!R:R)/vlookup(B1706,AllData!A:O,15,0)</f>
        <v>93.61128205</v>
      </c>
      <c r="W1706" s="6"/>
    </row>
    <row r="1707" ht="14.25" customHeight="1">
      <c r="A1707" s="6" t="str">
        <f t="shared" si="1"/>
        <v>2019Salty8</v>
      </c>
      <c r="B1707" s="59">
        <v>2019.0</v>
      </c>
      <c r="C1707" s="13" t="s">
        <v>76</v>
      </c>
      <c r="D1707" s="13" t="s">
        <v>145</v>
      </c>
      <c r="E1707" s="34"/>
      <c r="F1707" s="6"/>
      <c r="H1707" s="6"/>
      <c r="I1707" s="35" t="str">
        <f>IFERROR(IFERROR(IFERROR(VLOOKUP(B1707&amp;C1707&amp;Q1707,'New Weekly Paste'!A:M,10,0),VLOOKUP(B1707&amp;C1707&amp;Q1707,'New Weekly Paste'!B:O,6,0)),""),"")</f>
        <v>Pierson</v>
      </c>
      <c r="J1707" s="239">
        <f>IFERROR(IFERROR(VLOOKUP(B1707&amp;C1707&amp;Q1707,'New Weekly Paste'!A:M,8,0),VLOOKUP(B1707&amp;C1707&amp;Q1707,'New Weekly Paste'!B:O,10,0)),0)</f>
        <v>97.9</v>
      </c>
      <c r="K1707" s="239">
        <f>IFERROR(IFERROR(VLOOKUP(B1707&amp;I1707&amp;Q1707,'New Weekly Paste'!A:M,8,0),VLOOKUP(B1707&amp;I1707&amp;Q1707,'New Weekly Paste'!B:O,10,0)),0)</f>
        <v>109.2</v>
      </c>
      <c r="L1707" s="239">
        <f t="shared" si="25"/>
        <v>0</v>
      </c>
      <c r="M1707" s="36" t="str">
        <f t="shared" si="3"/>
        <v>Regular Season</v>
      </c>
      <c r="N1707" s="239" t="str">
        <f t="shared" si="26"/>
        <v>Pierson</v>
      </c>
      <c r="O1707" s="6">
        <f>VLOOKUP(D1707,'Mapped Opponent'!$G$4:$H$22,2,0)</f>
        <v>8</v>
      </c>
      <c r="P1707" s="6"/>
      <c r="Q1707" s="6" t="str">
        <f t="shared" si="4"/>
        <v>Week 8</v>
      </c>
      <c r="R1707" s="6" t="str">
        <f t="shared" si="5"/>
        <v>2019Week 8</v>
      </c>
      <c r="S1707" s="6">
        <f>IFERROR(__xludf.DUMMYFUNCTION("rank(J1707,FILTER(J:J,R:R=R1707))"),7.0)</f>
        <v>7</v>
      </c>
      <c r="T1707" s="6">
        <f t="shared" si="6"/>
        <v>5</v>
      </c>
      <c r="U1707" s="6">
        <f t="shared" si="7"/>
        <v>7</v>
      </c>
      <c r="V1707" s="42">
        <f>averageif(AllData!A:A,B1707,AllData!R:R)/vlookup(B1707,AllData!A:O,15,0)</f>
        <v>93.61128205</v>
      </c>
      <c r="W1707" s="6"/>
    </row>
    <row r="1708" ht="14.25" customHeight="1">
      <c r="A1708" s="6" t="str">
        <f t="shared" si="1"/>
        <v>2019Fellows8</v>
      </c>
      <c r="B1708" s="59">
        <v>2019.0</v>
      </c>
      <c r="C1708" s="13" t="s">
        <v>79</v>
      </c>
      <c r="D1708" s="13" t="s">
        <v>145</v>
      </c>
      <c r="E1708" s="34"/>
      <c r="F1708" s="6"/>
      <c r="H1708" s="6"/>
      <c r="I1708" s="35" t="str">
        <f>IFERROR(IFERROR(IFERROR(VLOOKUP(B1708&amp;C1708&amp;Q1708,'New Weekly Paste'!A:M,10,0),VLOOKUP(B1708&amp;C1708&amp;Q1708,'New Weekly Paste'!B:O,6,0)),""),"")</f>
        <v>Tayski</v>
      </c>
      <c r="J1708" s="239">
        <f>IFERROR(IFERROR(VLOOKUP(B1708&amp;C1708&amp;Q1708,'New Weekly Paste'!A:M,8,0),VLOOKUP(B1708&amp;C1708&amp;Q1708,'New Weekly Paste'!B:O,10,0)),0)</f>
        <v>64.36</v>
      </c>
      <c r="K1708" s="239">
        <f>IFERROR(IFERROR(VLOOKUP(B1708&amp;I1708&amp;Q1708,'New Weekly Paste'!A:M,8,0),VLOOKUP(B1708&amp;I1708&amp;Q1708,'New Weekly Paste'!B:O,10,0)),0)</f>
        <v>127.66</v>
      </c>
      <c r="L1708" s="239">
        <f t="shared" si="25"/>
        <v>0</v>
      </c>
      <c r="M1708" s="36" t="str">
        <f t="shared" si="3"/>
        <v>Regular Season</v>
      </c>
      <c r="N1708" s="239" t="str">
        <f t="shared" si="26"/>
        <v>Tayski</v>
      </c>
      <c r="O1708" s="6">
        <f>VLOOKUP(D1708,'Mapped Opponent'!$G$4:$H$22,2,0)</f>
        <v>8</v>
      </c>
      <c r="P1708" s="6"/>
      <c r="Q1708" s="6" t="str">
        <f t="shared" si="4"/>
        <v>Week 8</v>
      </c>
      <c r="R1708" s="6" t="str">
        <f t="shared" si="5"/>
        <v>2019Week 8</v>
      </c>
      <c r="S1708" s="6">
        <f>IFERROR(__xludf.DUMMYFUNCTION("rank(J1708,FILTER(J:J,R:R=R1708))"),12.0)</f>
        <v>12</v>
      </c>
      <c r="T1708" s="6">
        <f t="shared" si="6"/>
        <v>0</v>
      </c>
      <c r="U1708" s="6">
        <f t="shared" si="7"/>
        <v>12</v>
      </c>
      <c r="V1708" s="42">
        <f>averageif(AllData!A:A,B1708,AllData!R:R)/vlookup(B1708,AllData!A:O,15,0)</f>
        <v>93.61128205</v>
      </c>
      <c r="W1708" s="6"/>
    </row>
    <row r="1709" ht="14.25" customHeight="1">
      <c r="A1709" s="6" t="str">
        <f t="shared" si="1"/>
        <v>2019Shep8</v>
      </c>
      <c r="B1709" s="59">
        <v>2019.0</v>
      </c>
      <c r="C1709" s="13" t="s">
        <v>89</v>
      </c>
      <c r="D1709" s="13" t="s">
        <v>145</v>
      </c>
      <c r="E1709" s="34"/>
      <c r="F1709" s="6"/>
      <c r="H1709" s="6"/>
      <c r="I1709" s="35" t="str">
        <f>IFERROR(IFERROR(IFERROR(VLOOKUP(B1709&amp;C1709&amp;Q1709,'New Weekly Paste'!A:M,10,0),VLOOKUP(B1709&amp;C1709&amp;Q1709,'New Weekly Paste'!B:O,6,0)),""),"")</f>
        <v>KnardDawg</v>
      </c>
      <c r="J1709" s="239">
        <f>IFERROR(IFERROR(VLOOKUP(B1709&amp;C1709&amp;Q1709,'New Weekly Paste'!A:M,8,0),VLOOKUP(B1709&amp;C1709&amp;Q1709,'New Weekly Paste'!B:O,10,0)),0)</f>
        <v>76.78</v>
      </c>
      <c r="K1709" s="239">
        <f>IFERROR(IFERROR(VLOOKUP(B1709&amp;I1709&amp;Q1709,'New Weekly Paste'!A:M,8,0),VLOOKUP(B1709&amp;I1709&amp;Q1709,'New Weekly Paste'!B:O,10,0)),0)</f>
        <v>124.78</v>
      </c>
      <c r="L1709" s="239">
        <f t="shared" si="25"/>
        <v>0</v>
      </c>
      <c r="M1709" s="36" t="str">
        <f t="shared" si="3"/>
        <v>Regular Season</v>
      </c>
      <c r="N1709" s="239" t="str">
        <f t="shared" si="26"/>
        <v>KnardDawg</v>
      </c>
      <c r="O1709" s="6">
        <f>VLOOKUP(D1709,'Mapped Opponent'!$G$4:$H$22,2,0)</f>
        <v>8</v>
      </c>
      <c r="P1709" s="6"/>
      <c r="Q1709" s="6" t="str">
        <f t="shared" si="4"/>
        <v>Week 8</v>
      </c>
      <c r="R1709" s="6" t="str">
        <f t="shared" si="5"/>
        <v>2019Week 8</v>
      </c>
      <c r="S1709" s="6">
        <f>IFERROR(__xludf.DUMMYFUNCTION("rank(J1709,FILTER(J:J,R:R=R1709))"),11.0)</f>
        <v>11</v>
      </c>
      <c r="T1709" s="6">
        <f t="shared" si="6"/>
        <v>1</v>
      </c>
      <c r="U1709" s="6">
        <f t="shared" si="7"/>
        <v>11</v>
      </c>
      <c r="V1709" s="42">
        <f>averageif(AllData!A:A,B1709,AllData!R:R)/vlookup(B1709,AllData!A:O,15,0)</f>
        <v>93.61128205</v>
      </c>
      <c r="W1709" s="6"/>
    </row>
    <row r="1710" ht="14.25" customHeight="1">
      <c r="A1710" s="6" t="str">
        <f t="shared" si="1"/>
        <v>2019Riley8</v>
      </c>
      <c r="B1710" s="59">
        <v>2019.0</v>
      </c>
      <c r="C1710" s="13" t="s">
        <v>67</v>
      </c>
      <c r="D1710" s="13" t="s">
        <v>145</v>
      </c>
      <c r="E1710" s="34"/>
      <c r="F1710" s="6"/>
      <c r="H1710" s="6"/>
      <c r="I1710" s="35" t="str">
        <f>IFERROR(IFERROR(IFERROR(VLOOKUP(B1710&amp;C1710&amp;Q1710,'New Weekly Paste'!A:M,10,0),VLOOKUP(B1710&amp;C1710&amp;Q1710,'New Weekly Paste'!B:O,6,0)),""),"")</f>
        <v>Rooney/Jackson</v>
      </c>
      <c r="J1710" s="239">
        <f>IFERROR(IFERROR(VLOOKUP(B1710&amp;C1710&amp;Q1710,'New Weekly Paste'!A:M,8,0),VLOOKUP(B1710&amp;C1710&amp;Q1710,'New Weekly Paste'!B:O,10,0)),0)</f>
        <v>112.8</v>
      </c>
      <c r="K1710" s="239">
        <f>IFERROR(IFERROR(VLOOKUP(B1710&amp;I1710&amp;Q1710,'New Weekly Paste'!A:M,8,0),VLOOKUP(B1710&amp;I1710&amp;Q1710,'New Weekly Paste'!B:O,10,0)),0)</f>
        <v>102.36</v>
      </c>
      <c r="L1710" s="239">
        <f t="shared" si="25"/>
        <v>1</v>
      </c>
      <c r="M1710" s="36" t="str">
        <f t="shared" si="3"/>
        <v>Regular Season</v>
      </c>
      <c r="N1710" s="239" t="str">
        <f t="shared" si="26"/>
        <v>Rooney/Jackson</v>
      </c>
      <c r="O1710" s="6">
        <f>VLOOKUP(D1710,'Mapped Opponent'!$G$4:$H$22,2,0)</f>
        <v>8</v>
      </c>
      <c r="P1710" s="6"/>
      <c r="Q1710" s="6" t="str">
        <f t="shared" si="4"/>
        <v>Week 8</v>
      </c>
      <c r="R1710" s="6" t="str">
        <f t="shared" si="5"/>
        <v>2019Week 8</v>
      </c>
      <c r="S1710" s="6">
        <f>IFERROR(__xludf.DUMMYFUNCTION("rank(J1710,FILTER(J:J,R:R=R1710))"),3.0)</f>
        <v>3</v>
      </c>
      <c r="T1710" s="6">
        <f t="shared" si="6"/>
        <v>9</v>
      </c>
      <c r="U1710" s="6">
        <f t="shared" si="7"/>
        <v>3</v>
      </c>
      <c r="V1710" s="42">
        <f>averageif(AllData!A:A,B1710,AllData!R:R)/vlookup(B1710,AllData!A:O,15,0)</f>
        <v>93.61128205</v>
      </c>
      <c r="W1710" s="6"/>
    </row>
    <row r="1711" ht="14.25" customHeight="1">
      <c r="A1711" s="6" t="str">
        <f t="shared" si="1"/>
        <v>2019Rooney/Jackson8</v>
      </c>
      <c r="B1711" s="59">
        <v>2019.0</v>
      </c>
      <c r="C1711" s="13" t="s">
        <v>57</v>
      </c>
      <c r="D1711" s="13" t="s">
        <v>145</v>
      </c>
      <c r="E1711" s="34"/>
      <c r="F1711" s="6"/>
      <c r="H1711" s="6"/>
      <c r="I1711" s="35" t="str">
        <f>IFERROR(IFERROR(IFERROR(VLOOKUP(B1711&amp;C1711&amp;Q1711,'New Weekly Paste'!A:M,10,0),VLOOKUP(B1711&amp;C1711&amp;Q1711,'New Weekly Paste'!B:O,6,0)),""),"")</f>
        <v>Riley</v>
      </c>
      <c r="J1711" s="239">
        <f>IFERROR(IFERROR(VLOOKUP(B1711&amp;C1711&amp;Q1711,'New Weekly Paste'!A:M,8,0),VLOOKUP(B1711&amp;C1711&amp;Q1711,'New Weekly Paste'!B:O,10,0)),0)</f>
        <v>102.36</v>
      </c>
      <c r="K1711" s="239">
        <f>IFERROR(IFERROR(VLOOKUP(B1711&amp;I1711&amp;Q1711,'New Weekly Paste'!A:M,8,0),VLOOKUP(B1711&amp;I1711&amp;Q1711,'New Weekly Paste'!B:O,10,0)),0)</f>
        <v>112.8</v>
      </c>
      <c r="L1711" s="239">
        <f t="shared" si="25"/>
        <v>0</v>
      </c>
      <c r="M1711" s="36" t="str">
        <f t="shared" si="3"/>
        <v>Regular Season</v>
      </c>
      <c r="N1711" s="239" t="str">
        <f t="shared" si="26"/>
        <v>Riley</v>
      </c>
      <c r="O1711" s="6">
        <f>VLOOKUP(D1711,'Mapped Opponent'!$G$4:$H$22,2,0)</f>
        <v>8</v>
      </c>
      <c r="P1711" s="6"/>
      <c r="Q1711" s="6" t="str">
        <f t="shared" si="4"/>
        <v>Week 8</v>
      </c>
      <c r="R1711" s="6" t="str">
        <f t="shared" si="5"/>
        <v>2019Week 8</v>
      </c>
      <c r="S1711" s="6">
        <f>IFERROR(__xludf.DUMMYFUNCTION("rank(J1711,FILTER(J:J,R:R=R1711))"),6.0)</f>
        <v>6</v>
      </c>
      <c r="T1711" s="6">
        <f t="shared" si="6"/>
        <v>6</v>
      </c>
      <c r="U1711" s="6">
        <f t="shared" si="7"/>
        <v>6</v>
      </c>
      <c r="V1711" s="42">
        <f>averageif(AllData!A:A,B1711,AllData!R:R)/vlookup(B1711,AllData!A:O,15,0)</f>
        <v>93.61128205</v>
      </c>
      <c r="W1711" s="6"/>
    </row>
    <row r="1712" ht="14.25" customHeight="1">
      <c r="A1712" s="6" t="str">
        <f t="shared" si="1"/>
        <v>2019Buser8</v>
      </c>
      <c r="B1712" s="59">
        <v>2019.0</v>
      </c>
      <c r="C1712" s="13" t="s">
        <v>47</v>
      </c>
      <c r="D1712" s="13" t="s">
        <v>145</v>
      </c>
      <c r="E1712" s="34"/>
      <c r="F1712" s="6"/>
      <c r="H1712" s="6"/>
      <c r="I1712" s="35" t="str">
        <f>IFERROR(IFERROR(IFERROR(VLOOKUP(B1712&amp;C1712&amp;Q1712,'New Weekly Paste'!A:M,10,0),VLOOKUP(B1712&amp;C1712&amp;Q1712,'New Weekly Paste'!B:O,6,0)),""),"")</f>
        <v>Hudspeath</v>
      </c>
      <c r="J1712" s="239">
        <f>IFERROR(IFERROR(VLOOKUP(B1712&amp;C1712&amp;Q1712,'New Weekly Paste'!A:M,8,0),VLOOKUP(B1712&amp;C1712&amp;Q1712,'New Weekly Paste'!B:O,10,0)),0)</f>
        <v>91.78</v>
      </c>
      <c r="K1712" s="239">
        <f>IFERROR(IFERROR(VLOOKUP(B1712&amp;I1712&amp;Q1712,'New Weekly Paste'!A:M,8,0),VLOOKUP(B1712&amp;I1712&amp;Q1712,'New Weekly Paste'!B:O,10,0)),0)</f>
        <v>106.14</v>
      </c>
      <c r="L1712" s="239">
        <f t="shared" si="25"/>
        <v>0</v>
      </c>
      <c r="M1712" s="36" t="str">
        <f t="shared" si="3"/>
        <v>Regular Season</v>
      </c>
      <c r="N1712" s="239" t="str">
        <f t="shared" si="26"/>
        <v>Hudspeath</v>
      </c>
      <c r="O1712" s="6">
        <f>VLOOKUP(D1712,'Mapped Opponent'!$G$4:$H$22,2,0)</f>
        <v>8</v>
      </c>
      <c r="P1712" s="6"/>
      <c r="Q1712" s="6" t="str">
        <f t="shared" si="4"/>
        <v>Week 8</v>
      </c>
      <c r="R1712" s="6" t="str">
        <f t="shared" si="5"/>
        <v>2019Week 8</v>
      </c>
      <c r="S1712" s="6">
        <f>IFERROR(__xludf.DUMMYFUNCTION("rank(J1712,FILTER(J:J,R:R=R1712))"),9.0)</f>
        <v>9</v>
      </c>
      <c r="T1712" s="6">
        <f t="shared" si="6"/>
        <v>3</v>
      </c>
      <c r="U1712" s="6">
        <f t="shared" si="7"/>
        <v>9</v>
      </c>
      <c r="V1712" s="42">
        <f>averageif(AllData!A:A,B1712,AllData!R:R)/vlookup(B1712,AllData!A:O,15,0)</f>
        <v>93.61128205</v>
      </c>
      <c r="W1712" s="6"/>
    </row>
    <row r="1713" ht="14.25" customHeight="1">
      <c r="A1713" s="6" t="str">
        <f t="shared" si="1"/>
        <v>2019Pierson8</v>
      </c>
      <c r="B1713" s="59">
        <v>2019.0</v>
      </c>
      <c r="C1713" s="13" t="s">
        <v>92</v>
      </c>
      <c r="D1713" s="13" t="s">
        <v>145</v>
      </c>
      <c r="E1713" s="34"/>
      <c r="F1713" s="6"/>
      <c r="H1713" s="6"/>
      <c r="I1713" s="35" t="str">
        <f>IFERROR(IFERROR(IFERROR(VLOOKUP(B1713&amp;C1713&amp;Q1713,'New Weekly Paste'!A:M,10,0),VLOOKUP(B1713&amp;C1713&amp;Q1713,'New Weekly Paste'!B:O,6,0)),""),"")</f>
        <v>Salty</v>
      </c>
      <c r="J1713" s="239">
        <f>IFERROR(IFERROR(VLOOKUP(B1713&amp;C1713&amp;Q1713,'New Weekly Paste'!A:M,8,0),VLOOKUP(B1713&amp;C1713&amp;Q1713,'New Weekly Paste'!B:O,10,0)),0)</f>
        <v>109.2</v>
      </c>
      <c r="K1713" s="239">
        <f>IFERROR(IFERROR(VLOOKUP(B1713&amp;I1713&amp;Q1713,'New Weekly Paste'!A:M,8,0),VLOOKUP(B1713&amp;I1713&amp;Q1713,'New Weekly Paste'!B:O,10,0)),0)</f>
        <v>97.9</v>
      </c>
      <c r="L1713" s="239">
        <f t="shared" si="25"/>
        <v>1</v>
      </c>
      <c r="M1713" s="36" t="str">
        <f t="shared" si="3"/>
        <v>Regular Season</v>
      </c>
      <c r="N1713" s="239" t="str">
        <f t="shared" si="26"/>
        <v>Salty</v>
      </c>
      <c r="O1713" s="6">
        <f>VLOOKUP(D1713,'Mapped Opponent'!$G$4:$H$22,2,0)</f>
        <v>8</v>
      </c>
      <c r="P1713" s="6"/>
      <c r="Q1713" s="6" t="str">
        <f t="shared" si="4"/>
        <v>Week 8</v>
      </c>
      <c r="R1713" s="6" t="str">
        <f t="shared" si="5"/>
        <v>2019Week 8</v>
      </c>
      <c r="S1713" s="6">
        <f>IFERROR(__xludf.DUMMYFUNCTION("rank(J1713,FILTER(J:J,R:R=R1713))"),4.0)</f>
        <v>4</v>
      </c>
      <c r="T1713" s="6">
        <f t="shared" si="6"/>
        <v>8</v>
      </c>
      <c r="U1713" s="6">
        <f t="shared" si="7"/>
        <v>4</v>
      </c>
      <c r="V1713" s="42">
        <f>averageif(AllData!A:A,B1713,AllData!R:R)/vlookup(B1713,AllData!A:O,15,0)</f>
        <v>93.61128205</v>
      </c>
      <c r="W1713" s="6"/>
    </row>
    <row r="1714" ht="14.25" customHeight="1">
      <c r="A1714" s="6" t="str">
        <f t="shared" si="1"/>
        <v>2019Cock8</v>
      </c>
      <c r="B1714" s="59">
        <v>2019.0</v>
      </c>
      <c r="C1714" s="13" t="s">
        <v>72</v>
      </c>
      <c r="D1714" s="13" t="s">
        <v>145</v>
      </c>
      <c r="E1714" s="34"/>
      <c r="F1714" s="6"/>
      <c r="H1714" s="6"/>
      <c r="I1714" s="35" t="str">
        <f>IFERROR(IFERROR(IFERROR(VLOOKUP(B1714&amp;C1714&amp;Q1714,'New Weekly Paste'!A:M,10,0),VLOOKUP(B1714&amp;C1714&amp;Q1714,'New Weekly Paste'!B:O,6,0)),""),"")</f>
        <v>T-How</v>
      </c>
      <c r="J1714" s="239">
        <f>IFERROR(IFERROR(VLOOKUP(B1714&amp;C1714&amp;Q1714,'New Weekly Paste'!A:M,8,0),VLOOKUP(B1714&amp;C1714&amp;Q1714,'New Weekly Paste'!B:O,10,0)),0)</f>
        <v>84.46</v>
      </c>
      <c r="K1714" s="239">
        <f>IFERROR(IFERROR(VLOOKUP(B1714&amp;I1714&amp;Q1714,'New Weekly Paste'!A:M,8,0),VLOOKUP(B1714&amp;I1714&amp;Q1714,'New Weekly Paste'!B:O,10,0)),0)</f>
        <v>94.98</v>
      </c>
      <c r="L1714" s="239">
        <f t="shared" si="25"/>
        <v>0</v>
      </c>
      <c r="M1714" s="36" t="str">
        <f t="shared" si="3"/>
        <v>Regular Season</v>
      </c>
      <c r="N1714" s="239" t="str">
        <f t="shared" si="26"/>
        <v>T-How</v>
      </c>
      <c r="O1714" s="6">
        <f>VLOOKUP(D1714,'Mapped Opponent'!$G$4:$H$22,2,0)</f>
        <v>8</v>
      </c>
      <c r="P1714" s="6"/>
      <c r="Q1714" s="6" t="str">
        <f t="shared" si="4"/>
        <v>Week 8</v>
      </c>
      <c r="R1714" s="6" t="str">
        <f t="shared" si="5"/>
        <v>2019Week 8</v>
      </c>
      <c r="S1714" s="6">
        <f>IFERROR(__xludf.DUMMYFUNCTION("rank(J1714,FILTER(J:J,R:R=R1714))"),10.0)</f>
        <v>10</v>
      </c>
      <c r="T1714" s="6">
        <f t="shared" si="6"/>
        <v>2</v>
      </c>
      <c r="U1714" s="6">
        <f t="shared" si="7"/>
        <v>10</v>
      </c>
      <c r="V1714" s="42">
        <f>averageif(AllData!A:A,B1714,AllData!R:R)/vlookup(B1714,AllData!A:O,15,0)</f>
        <v>93.61128205</v>
      </c>
      <c r="W1714" s="6"/>
    </row>
    <row r="1715" ht="14.25" customHeight="1">
      <c r="A1715" s="6" t="str">
        <f t="shared" si="1"/>
        <v>2019Tayski8</v>
      </c>
      <c r="B1715" s="59">
        <v>2019.0</v>
      </c>
      <c r="C1715" s="13" t="s">
        <v>52</v>
      </c>
      <c r="D1715" s="13" t="s">
        <v>145</v>
      </c>
      <c r="E1715" s="34"/>
      <c r="F1715" s="6"/>
      <c r="H1715" s="6"/>
      <c r="I1715" s="35" t="str">
        <f>IFERROR(IFERROR(IFERROR(VLOOKUP(B1715&amp;C1715&amp;Q1715,'New Weekly Paste'!A:M,10,0),VLOOKUP(B1715&amp;C1715&amp;Q1715,'New Weekly Paste'!B:O,6,0)),""),"")</f>
        <v>Fellows</v>
      </c>
      <c r="J1715" s="239">
        <f>IFERROR(IFERROR(VLOOKUP(B1715&amp;C1715&amp;Q1715,'New Weekly Paste'!A:M,8,0),VLOOKUP(B1715&amp;C1715&amp;Q1715,'New Weekly Paste'!B:O,10,0)),0)</f>
        <v>127.66</v>
      </c>
      <c r="K1715" s="239">
        <f>IFERROR(IFERROR(VLOOKUP(B1715&amp;I1715&amp;Q1715,'New Weekly Paste'!A:M,8,0),VLOOKUP(B1715&amp;I1715&amp;Q1715,'New Weekly Paste'!B:O,10,0)),0)</f>
        <v>64.36</v>
      </c>
      <c r="L1715" s="239">
        <f t="shared" si="25"/>
        <v>1</v>
      </c>
      <c r="M1715" s="36" t="str">
        <f t="shared" si="3"/>
        <v>Regular Season</v>
      </c>
      <c r="N1715" s="239" t="str">
        <f t="shared" si="26"/>
        <v>Fellows</v>
      </c>
      <c r="O1715" s="6">
        <f>VLOOKUP(D1715,'Mapped Opponent'!$G$4:$H$22,2,0)</f>
        <v>8</v>
      </c>
      <c r="P1715" s="6"/>
      <c r="Q1715" s="6" t="str">
        <f t="shared" si="4"/>
        <v>Week 8</v>
      </c>
      <c r="R1715" s="6" t="str">
        <f t="shared" si="5"/>
        <v>2019Week 8</v>
      </c>
      <c r="S1715" s="6">
        <f>IFERROR(__xludf.DUMMYFUNCTION("rank(J1715,FILTER(J:J,R:R=R1715))"),1.0)</f>
        <v>1</v>
      </c>
      <c r="T1715" s="6">
        <f t="shared" si="6"/>
        <v>11</v>
      </c>
      <c r="U1715" s="6">
        <f t="shared" si="7"/>
        <v>1</v>
      </c>
      <c r="V1715" s="42">
        <f>averageif(AllData!A:A,B1715,AllData!R:R)/vlookup(B1715,AllData!A:O,15,0)</f>
        <v>93.61128205</v>
      </c>
      <c r="W1715" s="6"/>
    </row>
    <row r="1716" ht="14.25" customHeight="1">
      <c r="A1716" s="6" t="str">
        <f t="shared" si="1"/>
        <v>2019KnardDawg8</v>
      </c>
      <c r="B1716" s="59">
        <v>2019.0</v>
      </c>
      <c r="C1716" s="13" t="s">
        <v>86</v>
      </c>
      <c r="D1716" s="13" t="s">
        <v>145</v>
      </c>
      <c r="E1716" s="34"/>
      <c r="F1716" s="6"/>
      <c r="H1716" s="6"/>
      <c r="I1716" s="35" t="str">
        <f>IFERROR(IFERROR(IFERROR(VLOOKUP(B1716&amp;C1716&amp;Q1716,'New Weekly Paste'!A:M,10,0),VLOOKUP(B1716&amp;C1716&amp;Q1716,'New Weekly Paste'!B:O,6,0)),""),"")</f>
        <v>Shep</v>
      </c>
      <c r="J1716" s="239">
        <f>IFERROR(IFERROR(VLOOKUP(B1716&amp;C1716&amp;Q1716,'New Weekly Paste'!A:M,8,0),VLOOKUP(B1716&amp;C1716&amp;Q1716,'New Weekly Paste'!B:O,10,0)),0)</f>
        <v>124.78</v>
      </c>
      <c r="K1716" s="239">
        <f>IFERROR(IFERROR(VLOOKUP(B1716&amp;I1716&amp;Q1716,'New Weekly Paste'!A:M,8,0),VLOOKUP(B1716&amp;I1716&amp;Q1716,'New Weekly Paste'!B:O,10,0)),0)</f>
        <v>76.78</v>
      </c>
      <c r="L1716" s="239">
        <f t="shared" si="25"/>
        <v>1</v>
      </c>
      <c r="M1716" s="36" t="str">
        <f t="shared" si="3"/>
        <v>Regular Season</v>
      </c>
      <c r="N1716" s="239" t="str">
        <f t="shared" si="26"/>
        <v>Shep</v>
      </c>
      <c r="O1716" s="6">
        <f>VLOOKUP(D1716,'Mapped Opponent'!$G$4:$H$22,2,0)</f>
        <v>8</v>
      </c>
      <c r="P1716" s="6"/>
      <c r="Q1716" s="6" t="str">
        <f t="shared" si="4"/>
        <v>Week 8</v>
      </c>
      <c r="R1716" s="6" t="str">
        <f t="shared" si="5"/>
        <v>2019Week 8</v>
      </c>
      <c r="S1716" s="6">
        <f>IFERROR(__xludf.DUMMYFUNCTION("rank(J1716,FILTER(J:J,R:R=R1716))"),2.0)</f>
        <v>2</v>
      </c>
      <c r="T1716" s="6">
        <f t="shared" si="6"/>
        <v>10</v>
      </c>
      <c r="U1716" s="6">
        <f t="shared" si="7"/>
        <v>2</v>
      </c>
      <c r="V1716" s="42">
        <f>averageif(AllData!A:A,B1716,AllData!R:R)/vlookup(B1716,AllData!A:O,15,0)</f>
        <v>93.61128205</v>
      </c>
      <c r="W1716" s="6"/>
    </row>
    <row r="1717" ht="14.25" customHeight="1">
      <c r="A1717" s="6" t="str">
        <f t="shared" si="1"/>
        <v>2019T-How8</v>
      </c>
      <c r="B1717" s="59">
        <v>2019.0</v>
      </c>
      <c r="C1717" s="13" t="s">
        <v>82</v>
      </c>
      <c r="D1717" s="13" t="s">
        <v>145</v>
      </c>
      <c r="E1717" s="34"/>
      <c r="F1717" s="6"/>
      <c r="H1717" s="6"/>
      <c r="I1717" s="35" t="str">
        <f>IFERROR(IFERROR(IFERROR(VLOOKUP(B1717&amp;C1717&amp;Q1717,'New Weekly Paste'!A:M,10,0),VLOOKUP(B1717&amp;C1717&amp;Q1717,'New Weekly Paste'!B:O,6,0)),""),"")</f>
        <v>Cock</v>
      </c>
      <c r="J1717" s="239">
        <f>IFERROR(IFERROR(VLOOKUP(B1717&amp;C1717&amp;Q1717,'New Weekly Paste'!A:M,8,0),VLOOKUP(B1717&amp;C1717&amp;Q1717,'New Weekly Paste'!B:O,10,0)),0)</f>
        <v>94.98</v>
      </c>
      <c r="K1717" s="239">
        <f>IFERROR(IFERROR(VLOOKUP(B1717&amp;I1717&amp;Q1717,'New Weekly Paste'!A:M,8,0),VLOOKUP(B1717&amp;I1717&amp;Q1717,'New Weekly Paste'!B:O,10,0)),0)</f>
        <v>84.46</v>
      </c>
      <c r="L1717" s="239">
        <f t="shared" si="25"/>
        <v>1</v>
      </c>
      <c r="M1717" s="36" t="str">
        <f t="shared" si="3"/>
        <v>Regular Season</v>
      </c>
      <c r="N1717" s="239" t="str">
        <f t="shared" si="26"/>
        <v>Cock</v>
      </c>
      <c r="O1717" s="6">
        <f>VLOOKUP(D1717,'Mapped Opponent'!$G$4:$H$22,2,0)</f>
        <v>8</v>
      </c>
      <c r="P1717" s="6"/>
      <c r="Q1717" s="6" t="str">
        <f t="shared" si="4"/>
        <v>Week 8</v>
      </c>
      <c r="R1717" s="6" t="str">
        <f t="shared" si="5"/>
        <v>2019Week 8</v>
      </c>
      <c r="S1717" s="6">
        <f>IFERROR(__xludf.DUMMYFUNCTION("rank(J1717,FILTER(J:J,R:R=R1717))"),8.0)</f>
        <v>8</v>
      </c>
      <c r="T1717" s="6">
        <f t="shared" si="6"/>
        <v>4</v>
      </c>
      <c r="U1717" s="6">
        <f t="shared" si="7"/>
        <v>8</v>
      </c>
      <c r="V1717" s="42">
        <f>averageif(AllData!A:A,B1717,AllData!R:R)/vlookup(B1717,AllData!A:O,15,0)</f>
        <v>93.61128205</v>
      </c>
      <c r="W1717" s="6"/>
    </row>
    <row r="1718" ht="14.25" customHeight="1">
      <c r="A1718" s="6" t="str">
        <f t="shared" si="1"/>
        <v>2019Hudspeath9</v>
      </c>
      <c r="B1718" s="59">
        <v>2019.0</v>
      </c>
      <c r="C1718" s="13" t="s">
        <v>39</v>
      </c>
      <c r="D1718" s="13" t="s">
        <v>147</v>
      </c>
      <c r="E1718" s="34"/>
      <c r="F1718" s="6"/>
      <c r="H1718" s="6"/>
      <c r="I1718" s="35" t="str">
        <f>IFERROR(IFERROR(IFERROR(VLOOKUP(B1718&amp;C1718&amp;Q1718,'New Weekly Paste'!A:M,10,0),VLOOKUP(B1718&amp;C1718&amp;Q1718,'New Weekly Paste'!B:O,6,0)),""),"")</f>
        <v>T-How</v>
      </c>
      <c r="J1718" s="239">
        <f>IFERROR(IFERROR(VLOOKUP(B1718&amp;C1718&amp;Q1718,'New Weekly Paste'!A:M,8,0),VLOOKUP(B1718&amp;C1718&amp;Q1718,'New Weekly Paste'!B:O,10,0)),0)</f>
        <v>70.7</v>
      </c>
      <c r="K1718" s="239">
        <f>IFERROR(IFERROR(VLOOKUP(B1718&amp;I1718&amp;Q1718,'New Weekly Paste'!A:M,8,0),VLOOKUP(B1718&amp;I1718&amp;Q1718,'New Weekly Paste'!B:O,10,0)),0)</f>
        <v>83.26</v>
      </c>
      <c r="L1718" s="239">
        <f t="shared" si="25"/>
        <v>0</v>
      </c>
      <c r="M1718" s="36" t="str">
        <f t="shared" si="3"/>
        <v>Regular Season</v>
      </c>
      <c r="N1718" s="239" t="str">
        <f t="shared" si="26"/>
        <v>T-How</v>
      </c>
      <c r="O1718" s="6">
        <f>VLOOKUP(D1718,'Mapped Opponent'!$G$4:$H$22,2,0)</f>
        <v>9</v>
      </c>
      <c r="P1718" s="6"/>
      <c r="Q1718" s="6" t="str">
        <f t="shared" si="4"/>
        <v>Week 9</v>
      </c>
      <c r="R1718" s="6" t="str">
        <f t="shared" si="5"/>
        <v>2019Week 9</v>
      </c>
      <c r="S1718" s="6">
        <f>IFERROR(__xludf.DUMMYFUNCTION("rank(J1718,FILTER(J:J,R:R=R1718))"),10.0)</f>
        <v>10</v>
      </c>
      <c r="T1718" s="6">
        <f t="shared" si="6"/>
        <v>2</v>
      </c>
      <c r="U1718" s="6">
        <f t="shared" si="7"/>
        <v>10</v>
      </c>
      <c r="V1718" s="42">
        <f>averageif(AllData!A:A,B1718,AllData!R:R)/vlookup(B1718,AllData!A:O,15,0)</f>
        <v>93.61128205</v>
      </c>
      <c r="W1718" s="6"/>
    </row>
    <row r="1719" ht="14.25" customHeight="1">
      <c r="A1719" s="6" t="str">
        <f t="shared" si="1"/>
        <v>2019Salty9</v>
      </c>
      <c r="B1719" s="59">
        <v>2019.0</v>
      </c>
      <c r="C1719" s="13" t="s">
        <v>76</v>
      </c>
      <c r="D1719" s="13" t="s">
        <v>147</v>
      </c>
      <c r="E1719" s="34"/>
      <c r="F1719" s="6"/>
      <c r="H1719" s="6"/>
      <c r="I1719" s="35" t="str">
        <f>IFERROR(IFERROR(IFERROR(VLOOKUP(B1719&amp;C1719&amp;Q1719,'New Weekly Paste'!A:M,10,0),VLOOKUP(B1719&amp;C1719&amp;Q1719,'New Weekly Paste'!B:O,6,0)),""),"")</f>
        <v>Shep</v>
      </c>
      <c r="J1719" s="239">
        <f>IFERROR(IFERROR(VLOOKUP(B1719&amp;C1719&amp;Q1719,'New Weekly Paste'!A:M,8,0),VLOOKUP(B1719&amp;C1719&amp;Q1719,'New Weekly Paste'!B:O,10,0)),0)</f>
        <v>69.64</v>
      </c>
      <c r="K1719" s="239">
        <f>IFERROR(IFERROR(VLOOKUP(B1719&amp;I1719&amp;Q1719,'New Weekly Paste'!A:M,8,0),VLOOKUP(B1719&amp;I1719&amp;Q1719,'New Weekly Paste'!B:O,10,0)),0)</f>
        <v>51.46</v>
      </c>
      <c r="L1719" s="239">
        <f t="shared" si="25"/>
        <v>1</v>
      </c>
      <c r="M1719" s="36" t="str">
        <f t="shared" si="3"/>
        <v>Regular Season</v>
      </c>
      <c r="N1719" s="239" t="str">
        <f t="shared" si="26"/>
        <v>Shep</v>
      </c>
      <c r="O1719" s="6">
        <f>VLOOKUP(D1719,'Mapped Opponent'!$G$4:$H$22,2,0)</f>
        <v>9</v>
      </c>
      <c r="P1719" s="6"/>
      <c r="Q1719" s="6" t="str">
        <f t="shared" si="4"/>
        <v>Week 9</v>
      </c>
      <c r="R1719" s="6" t="str">
        <f t="shared" si="5"/>
        <v>2019Week 9</v>
      </c>
      <c r="S1719" s="6">
        <f>IFERROR(__xludf.DUMMYFUNCTION("rank(J1719,FILTER(J:J,R:R=R1719))"),11.0)</f>
        <v>11</v>
      </c>
      <c r="T1719" s="6">
        <f t="shared" si="6"/>
        <v>1</v>
      </c>
      <c r="U1719" s="6">
        <f t="shared" si="7"/>
        <v>11</v>
      </c>
      <c r="V1719" s="42">
        <f>averageif(AllData!A:A,B1719,AllData!R:R)/vlookup(B1719,AllData!A:O,15,0)</f>
        <v>93.61128205</v>
      </c>
      <c r="W1719" s="6"/>
    </row>
    <row r="1720" ht="14.25" customHeight="1">
      <c r="A1720" s="6" t="str">
        <f t="shared" si="1"/>
        <v>2019Fellows9</v>
      </c>
      <c r="B1720" s="59">
        <v>2019.0</v>
      </c>
      <c r="C1720" s="13" t="s">
        <v>79</v>
      </c>
      <c r="D1720" s="13" t="s">
        <v>147</v>
      </c>
      <c r="E1720" s="34"/>
      <c r="F1720" s="6"/>
      <c r="H1720" s="6"/>
      <c r="I1720" s="35" t="str">
        <f>IFERROR(IFERROR(IFERROR(VLOOKUP(B1720&amp;C1720&amp;Q1720,'New Weekly Paste'!A:M,10,0),VLOOKUP(B1720&amp;C1720&amp;Q1720,'New Weekly Paste'!B:O,6,0)),""),"")</f>
        <v>Cock</v>
      </c>
      <c r="J1720" s="239">
        <f>IFERROR(IFERROR(VLOOKUP(B1720&amp;C1720&amp;Q1720,'New Weekly Paste'!A:M,8,0),VLOOKUP(B1720&amp;C1720&amp;Q1720,'New Weekly Paste'!B:O,10,0)),0)</f>
        <v>102.28</v>
      </c>
      <c r="K1720" s="239">
        <f>IFERROR(IFERROR(VLOOKUP(B1720&amp;I1720&amp;Q1720,'New Weekly Paste'!A:M,8,0),VLOOKUP(B1720&amp;I1720&amp;Q1720,'New Weekly Paste'!B:O,10,0)),0)</f>
        <v>90</v>
      </c>
      <c r="L1720" s="239">
        <f t="shared" si="25"/>
        <v>1</v>
      </c>
      <c r="M1720" s="36" t="str">
        <f t="shared" si="3"/>
        <v>Regular Season</v>
      </c>
      <c r="N1720" s="239" t="str">
        <f t="shared" si="26"/>
        <v>Cock</v>
      </c>
      <c r="O1720" s="6">
        <f>VLOOKUP(D1720,'Mapped Opponent'!$G$4:$H$22,2,0)</f>
        <v>9</v>
      </c>
      <c r="P1720" s="6"/>
      <c r="Q1720" s="6" t="str">
        <f t="shared" si="4"/>
        <v>Week 9</v>
      </c>
      <c r="R1720" s="6" t="str">
        <f t="shared" si="5"/>
        <v>2019Week 9</v>
      </c>
      <c r="S1720" s="6">
        <f>IFERROR(__xludf.DUMMYFUNCTION("rank(J1720,FILTER(J:J,R:R=R1720))"),5.0)</f>
        <v>5</v>
      </c>
      <c r="T1720" s="6">
        <f t="shared" si="6"/>
        <v>7</v>
      </c>
      <c r="U1720" s="6">
        <f t="shared" si="7"/>
        <v>5</v>
      </c>
      <c r="V1720" s="42">
        <f>averageif(AllData!A:A,B1720,AllData!R:R)/vlookup(B1720,AllData!A:O,15,0)</f>
        <v>93.61128205</v>
      </c>
      <c r="W1720" s="6"/>
    </row>
    <row r="1721" ht="14.25" customHeight="1">
      <c r="A1721" s="6" t="str">
        <f t="shared" si="1"/>
        <v>2019Shep9</v>
      </c>
      <c r="B1721" s="59">
        <v>2019.0</v>
      </c>
      <c r="C1721" s="13" t="s">
        <v>89</v>
      </c>
      <c r="D1721" s="13" t="s">
        <v>147</v>
      </c>
      <c r="E1721" s="34"/>
      <c r="F1721" s="6"/>
      <c r="H1721" s="6"/>
      <c r="I1721" s="35" t="str">
        <f>IFERROR(IFERROR(IFERROR(VLOOKUP(B1721&amp;C1721&amp;Q1721,'New Weekly Paste'!A:M,10,0),VLOOKUP(B1721&amp;C1721&amp;Q1721,'New Weekly Paste'!B:O,6,0)),""),"")</f>
        <v>Salty</v>
      </c>
      <c r="J1721" s="239">
        <f>IFERROR(IFERROR(VLOOKUP(B1721&amp;C1721&amp;Q1721,'New Weekly Paste'!A:M,8,0),VLOOKUP(B1721&amp;C1721&amp;Q1721,'New Weekly Paste'!B:O,10,0)),0)</f>
        <v>51.46</v>
      </c>
      <c r="K1721" s="239">
        <f>IFERROR(IFERROR(VLOOKUP(B1721&amp;I1721&amp;Q1721,'New Weekly Paste'!A:M,8,0),VLOOKUP(B1721&amp;I1721&amp;Q1721,'New Weekly Paste'!B:O,10,0)),0)</f>
        <v>69.64</v>
      </c>
      <c r="L1721" s="239">
        <f t="shared" si="25"/>
        <v>0</v>
      </c>
      <c r="M1721" s="36" t="str">
        <f t="shared" si="3"/>
        <v>Regular Season</v>
      </c>
      <c r="N1721" s="239" t="str">
        <f t="shared" si="26"/>
        <v>Salty</v>
      </c>
      <c r="O1721" s="6">
        <f>VLOOKUP(D1721,'Mapped Opponent'!$G$4:$H$22,2,0)</f>
        <v>9</v>
      </c>
      <c r="P1721" s="6"/>
      <c r="Q1721" s="6" t="str">
        <f t="shared" si="4"/>
        <v>Week 9</v>
      </c>
      <c r="R1721" s="6" t="str">
        <f t="shared" si="5"/>
        <v>2019Week 9</v>
      </c>
      <c r="S1721" s="6">
        <f>IFERROR(__xludf.DUMMYFUNCTION("rank(J1721,FILTER(J:J,R:R=R1721))"),12.0)</f>
        <v>12</v>
      </c>
      <c r="T1721" s="6">
        <f t="shared" si="6"/>
        <v>0</v>
      </c>
      <c r="U1721" s="6">
        <f t="shared" si="7"/>
        <v>12</v>
      </c>
      <c r="V1721" s="42">
        <f>averageif(AllData!A:A,B1721,AllData!R:R)/vlookup(B1721,AllData!A:O,15,0)</f>
        <v>93.61128205</v>
      </c>
      <c r="W1721" s="6"/>
    </row>
    <row r="1722" ht="14.25" customHeight="1">
      <c r="A1722" s="6" t="str">
        <f t="shared" si="1"/>
        <v>2019Riley9</v>
      </c>
      <c r="B1722" s="59">
        <v>2019.0</v>
      </c>
      <c r="C1722" s="13" t="s">
        <v>67</v>
      </c>
      <c r="D1722" s="13" t="s">
        <v>147</v>
      </c>
      <c r="E1722" s="34"/>
      <c r="F1722" s="6"/>
      <c r="H1722" s="6"/>
      <c r="I1722" s="35" t="str">
        <f>IFERROR(IFERROR(IFERROR(VLOOKUP(B1722&amp;C1722&amp;Q1722,'New Weekly Paste'!A:M,10,0),VLOOKUP(B1722&amp;C1722&amp;Q1722,'New Weekly Paste'!B:O,6,0)),""),"")</f>
        <v>Tayski</v>
      </c>
      <c r="J1722" s="239">
        <f>IFERROR(IFERROR(VLOOKUP(B1722&amp;C1722&amp;Q1722,'New Weekly Paste'!A:M,8,0),VLOOKUP(B1722&amp;C1722&amp;Q1722,'New Weekly Paste'!B:O,10,0)),0)</f>
        <v>77.86</v>
      </c>
      <c r="K1722" s="239">
        <f>IFERROR(IFERROR(VLOOKUP(B1722&amp;I1722&amp;Q1722,'New Weekly Paste'!A:M,8,0),VLOOKUP(B1722&amp;I1722&amp;Q1722,'New Weekly Paste'!B:O,10,0)),0)</f>
        <v>97.14</v>
      </c>
      <c r="L1722" s="239">
        <f t="shared" si="25"/>
        <v>0</v>
      </c>
      <c r="M1722" s="36" t="str">
        <f t="shared" si="3"/>
        <v>Regular Season</v>
      </c>
      <c r="N1722" s="239" t="str">
        <f t="shared" si="26"/>
        <v>Tayski</v>
      </c>
      <c r="O1722" s="6">
        <f>VLOOKUP(D1722,'Mapped Opponent'!$G$4:$H$22,2,0)</f>
        <v>9</v>
      </c>
      <c r="P1722" s="6"/>
      <c r="Q1722" s="6" t="str">
        <f t="shared" si="4"/>
        <v>Week 9</v>
      </c>
      <c r="R1722" s="6" t="str">
        <f t="shared" si="5"/>
        <v>2019Week 9</v>
      </c>
      <c r="S1722" s="6">
        <f>IFERROR(__xludf.DUMMYFUNCTION("rank(J1722,FILTER(J:J,R:R=R1722))"),9.0)</f>
        <v>9</v>
      </c>
      <c r="T1722" s="6">
        <f t="shared" si="6"/>
        <v>3</v>
      </c>
      <c r="U1722" s="6">
        <f t="shared" si="7"/>
        <v>9</v>
      </c>
      <c r="V1722" s="42">
        <f>averageif(AllData!A:A,B1722,AllData!R:R)/vlookup(B1722,AllData!A:O,15,0)</f>
        <v>93.61128205</v>
      </c>
      <c r="W1722" s="6"/>
    </row>
    <row r="1723" ht="14.25" customHeight="1">
      <c r="A1723" s="6" t="str">
        <f t="shared" si="1"/>
        <v>2019Rooney/Jackson9</v>
      </c>
      <c r="B1723" s="59">
        <v>2019.0</v>
      </c>
      <c r="C1723" s="13" t="s">
        <v>57</v>
      </c>
      <c r="D1723" s="13" t="s">
        <v>147</v>
      </c>
      <c r="E1723" s="34"/>
      <c r="F1723" s="6"/>
      <c r="H1723" s="6"/>
      <c r="I1723" s="35" t="str">
        <f>IFERROR(IFERROR(IFERROR(VLOOKUP(B1723&amp;C1723&amp;Q1723,'New Weekly Paste'!A:M,10,0),VLOOKUP(B1723&amp;C1723&amp;Q1723,'New Weekly Paste'!B:O,6,0)),""),"")</f>
        <v>Pierson</v>
      </c>
      <c r="J1723" s="239">
        <f>IFERROR(IFERROR(VLOOKUP(B1723&amp;C1723&amp;Q1723,'New Weekly Paste'!A:M,8,0),VLOOKUP(B1723&amp;C1723&amp;Q1723,'New Weekly Paste'!B:O,10,0)),0)</f>
        <v>139.3</v>
      </c>
      <c r="K1723" s="239">
        <f>IFERROR(IFERROR(VLOOKUP(B1723&amp;I1723&amp;Q1723,'New Weekly Paste'!A:M,8,0),VLOOKUP(B1723&amp;I1723&amp;Q1723,'New Weekly Paste'!B:O,10,0)),0)</f>
        <v>112.62</v>
      </c>
      <c r="L1723" s="239">
        <f t="shared" si="25"/>
        <v>1</v>
      </c>
      <c r="M1723" s="36" t="str">
        <f t="shared" si="3"/>
        <v>Regular Season</v>
      </c>
      <c r="N1723" s="239" t="str">
        <f t="shared" si="26"/>
        <v>Pierson</v>
      </c>
      <c r="O1723" s="6">
        <f>VLOOKUP(D1723,'Mapped Opponent'!$G$4:$H$22,2,0)</f>
        <v>9</v>
      </c>
      <c r="P1723" s="6"/>
      <c r="Q1723" s="6" t="str">
        <f t="shared" si="4"/>
        <v>Week 9</v>
      </c>
      <c r="R1723" s="6" t="str">
        <f t="shared" si="5"/>
        <v>2019Week 9</v>
      </c>
      <c r="S1723" s="6">
        <f>IFERROR(__xludf.DUMMYFUNCTION("rank(J1723,FILTER(J:J,R:R=R1723))"),1.0)</f>
        <v>1</v>
      </c>
      <c r="T1723" s="6">
        <f t="shared" si="6"/>
        <v>11</v>
      </c>
      <c r="U1723" s="6">
        <f t="shared" si="7"/>
        <v>1</v>
      </c>
      <c r="V1723" s="42">
        <f>averageif(AllData!A:A,B1723,AllData!R:R)/vlookup(B1723,AllData!A:O,15,0)</f>
        <v>93.61128205</v>
      </c>
      <c r="W1723" s="6"/>
    </row>
    <row r="1724" ht="14.25" customHeight="1">
      <c r="A1724" s="6" t="str">
        <f t="shared" si="1"/>
        <v>2019Buser9</v>
      </c>
      <c r="B1724" s="59">
        <v>2019.0</v>
      </c>
      <c r="C1724" s="13" t="s">
        <v>47</v>
      </c>
      <c r="D1724" s="13" t="s">
        <v>147</v>
      </c>
      <c r="E1724" s="34"/>
      <c r="F1724" s="6"/>
      <c r="H1724" s="6"/>
      <c r="I1724" s="35" t="str">
        <f>IFERROR(IFERROR(IFERROR(VLOOKUP(B1724&amp;C1724&amp;Q1724,'New Weekly Paste'!A:M,10,0),VLOOKUP(B1724&amp;C1724&amp;Q1724,'New Weekly Paste'!B:O,6,0)),""),"")</f>
        <v>KnardDawg</v>
      </c>
      <c r="J1724" s="239">
        <f>IFERROR(IFERROR(VLOOKUP(B1724&amp;C1724&amp;Q1724,'New Weekly Paste'!A:M,8,0),VLOOKUP(B1724&amp;C1724&amp;Q1724,'New Weekly Paste'!B:O,10,0)),0)</f>
        <v>125.72</v>
      </c>
      <c r="K1724" s="239">
        <f>IFERROR(IFERROR(VLOOKUP(B1724&amp;I1724&amp;Q1724,'New Weekly Paste'!A:M,8,0),VLOOKUP(B1724&amp;I1724&amp;Q1724,'New Weekly Paste'!B:O,10,0)),0)</f>
        <v>111.94</v>
      </c>
      <c r="L1724" s="239">
        <f t="shared" si="25"/>
        <v>1</v>
      </c>
      <c r="M1724" s="36" t="str">
        <f t="shared" si="3"/>
        <v>Regular Season</v>
      </c>
      <c r="N1724" s="239" t="str">
        <f t="shared" si="26"/>
        <v>KnardDawg</v>
      </c>
      <c r="O1724" s="6">
        <f>VLOOKUP(D1724,'Mapped Opponent'!$G$4:$H$22,2,0)</f>
        <v>9</v>
      </c>
      <c r="P1724" s="6"/>
      <c r="Q1724" s="6" t="str">
        <f t="shared" si="4"/>
        <v>Week 9</v>
      </c>
      <c r="R1724" s="6" t="str">
        <f t="shared" si="5"/>
        <v>2019Week 9</v>
      </c>
      <c r="S1724" s="6">
        <f>IFERROR(__xludf.DUMMYFUNCTION("rank(J1724,FILTER(J:J,R:R=R1724))"),2.0)</f>
        <v>2</v>
      </c>
      <c r="T1724" s="6">
        <f t="shared" si="6"/>
        <v>10</v>
      </c>
      <c r="U1724" s="6">
        <f t="shared" si="7"/>
        <v>2</v>
      </c>
      <c r="V1724" s="42">
        <f>averageif(AllData!A:A,B1724,AllData!R:R)/vlookup(B1724,AllData!A:O,15,0)</f>
        <v>93.61128205</v>
      </c>
      <c r="W1724" s="6"/>
    </row>
    <row r="1725" ht="14.25" customHeight="1">
      <c r="A1725" s="6" t="str">
        <f t="shared" si="1"/>
        <v>2019Pierson9</v>
      </c>
      <c r="B1725" s="59">
        <v>2019.0</v>
      </c>
      <c r="C1725" s="13" t="s">
        <v>92</v>
      </c>
      <c r="D1725" s="13" t="s">
        <v>147</v>
      </c>
      <c r="E1725" s="34"/>
      <c r="F1725" s="6"/>
      <c r="H1725" s="6"/>
      <c r="I1725" s="35" t="str">
        <f>IFERROR(IFERROR(IFERROR(VLOOKUP(B1725&amp;C1725&amp;Q1725,'New Weekly Paste'!A:M,10,0),VLOOKUP(B1725&amp;C1725&amp;Q1725,'New Weekly Paste'!B:O,6,0)),""),"")</f>
        <v>Rooney/Jackson</v>
      </c>
      <c r="J1725" s="239">
        <f>IFERROR(IFERROR(VLOOKUP(B1725&amp;C1725&amp;Q1725,'New Weekly Paste'!A:M,8,0),VLOOKUP(B1725&amp;C1725&amp;Q1725,'New Weekly Paste'!B:O,10,0)),0)</f>
        <v>112.62</v>
      </c>
      <c r="K1725" s="239">
        <f>IFERROR(IFERROR(VLOOKUP(B1725&amp;I1725&amp;Q1725,'New Weekly Paste'!A:M,8,0),VLOOKUP(B1725&amp;I1725&amp;Q1725,'New Weekly Paste'!B:O,10,0)),0)</f>
        <v>139.3</v>
      </c>
      <c r="L1725" s="239">
        <f t="shared" si="25"/>
        <v>0</v>
      </c>
      <c r="M1725" s="36" t="str">
        <f t="shared" si="3"/>
        <v>Regular Season</v>
      </c>
      <c r="N1725" s="239" t="str">
        <f t="shared" si="26"/>
        <v>Rooney/Jackson</v>
      </c>
      <c r="O1725" s="6">
        <f>VLOOKUP(D1725,'Mapped Opponent'!$G$4:$H$22,2,0)</f>
        <v>9</v>
      </c>
      <c r="P1725" s="6"/>
      <c r="Q1725" s="6" t="str">
        <f t="shared" si="4"/>
        <v>Week 9</v>
      </c>
      <c r="R1725" s="6" t="str">
        <f t="shared" si="5"/>
        <v>2019Week 9</v>
      </c>
      <c r="S1725" s="6">
        <f>IFERROR(__xludf.DUMMYFUNCTION("rank(J1725,FILTER(J:J,R:R=R1725))"),3.0)</f>
        <v>3</v>
      </c>
      <c r="T1725" s="6">
        <f t="shared" si="6"/>
        <v>9</v>
      </c>
      <c r="U1725" s="6">
        <f t="shared" si="7"/>
        <v>3</v>
      </c>
      <c r="V1725" s="42">
        <f>averageif(AllData!A:A,B1725,AllData!R:R)/vlookup(B1725,AllData!A:O,15,0)</f>
        <v>93.61128205</v>
      </c>
      <c r="W1725" s="6"/>
    </row>
    <row r="1726" ht="14.25" customHeight="1">
      <c r="A1726" s="6" t="str">
        <f t="shared" si="1"/>
        <v>2019Cock9</v>
      </c>
      <c r="B1726" s="59">
        <v>2019.0</v>
      </c>
      <c r="C1726" s="13" t="s">
        <v>72</v>
      </c>
      <c r="D1726" s="13" t="s">
        <v>147</v>
      </c>
      <c r="E1726" s="34"/>
      <c r="F1726" s="6"/>
      <c r="H1726" s="6"/>
      <c r="I1726" s="35" t="str">
        <f>IFERROR(IFERROR(IFERROR(VLOOKUP(B1726&amp;C1726&amp;Q1726,'New Weekly Paste'!A:M,10,0),VLOOKUP(B1726&amp;C1726&amp;Q1726,'New Weekly Paste'!B:O,6,0)),""),"")</f>
        <v>Fellows</v>
      </c>
      <c r="J1726" s="239">
        <f>IFERROR(IFERROR(VLOOKUP(B1726&amp;C1726&amp;Q1726,'New Weekly Paste'!A:M,8,0),VLOOKUP(B1726&amp;C1726&amp;Q1726,'New Weekly Paste'!B:O,10,0)),0)</f>
        <v>90</v>
      </c>
      <c r="K1726" s="239">
        <f>IFERROR(IFERROR(VLOOKUP(B1726&amp;I1726&amp;Q1726,'New Weekly Paste'!A:M,8,0),VLOOKUP(B1726&amp;I1726&amp;Q1726,'New Weekly Paste'!B:O,10,0)),0)</f>
        <v>102.28</v>
      </c>
      <c r="L1726" s="239">
        <f t="shared" si="25"/>
        <v>0</v>
      </c>
      <c r="M1726" s="36" t="str">
        <f t="shared" si="3"/>
        <v>Regular Season</v>
      </c>
      <c r="N1726" s="239" t="str">
        <f t="shared" si="26"/>
        <v>Fellows</v>
      </c>
      <c r="O1726" s="6">
        <f>VLOOKUP(D1726,'Mapped Opponent'!$G$4:$H$22,2,0)</f>
        <v>9</v>
      </c>
      <c r="P1726" s="6"/>
      <c r="Q1726" s="6" t="str">
        <f t="shared" si="4"/>
        <v>Week 9</v>
      </c>
      <c r="R1726" s="6" t="str">
        <f t="shared" si="5"/>
        <v>2019Week 9</v>
      </c>
      <c r="S1726" s="6">
        <f>IFERROR(__xludf.DUMMYFUNCTION("rank(J1726,FILTER(J:J,R:R=R1726))"),7.0)</f>
        <v>7</v>
      </c>
      <c r="T1726" s="6">
        <f t="shared" si="6"/>
        <v>5</v>
      </c>
      <c r="U1726" s="6">
        <f t="shared" si="7"/>
        <v>7</v>
      </c>
      <c r="V1726" s="42">
        <f>averageif(AllData!A:A,B1726,AllData!R:R)/vlookup(B1726,AllData!A:O,15,0)</f>
        <v>93.61128205</v>
      </c>
      <c r="W1726" s="6"/>
    </row>
    <row r="1727" ht="14.25" customHeight="1">
      <c r="A1727" s="6" t="str">
        <f t="shared" si="1"/>
        <v>2019Tayski9</v>
      </c>
      <c r="B1727" s="59">
        <v>2019.0</v>
      </c>
      <c r="C1727" s="13" t="s">
        <v>52</v>
      </c>
      <c r="D1727" s="13" t="s">
        <v>147</v>
      </c>
      <c r="E1727" s="34"/>
      <c r="F1727" s="6"/>
      <c r="H1727" s="6"/>
      <c r="I1727" s="35" t="str">
        <f>IFERROR(IFERROR(IFERROR(VLOOKUP(B1727&amp;C1727&amp;Q1727,'New Weekly Paste'!A:M,10,0),VLOOKUP(B1727&amp;C1727&amp;Q1727,'New Weekly Paste'!B:O,6,0)),""),"")</f>
        <v>Riley</v>
      </c>
      <c r="J1727" s="239">
        <f>IFERROR(IFERROR(VLOOKUP(B1727&amp;C1727&amp;Q1727,'New Weekly Paste'!A:M,8,0),VLOOKUP(B1727&amp;C1727&amp;Q1727,'New Weekly Paste'!B:O,10,0)),0)</f>
        <v>97.14</v>
      </c>
      <c r="K1727" s="239">
        <f>IFERROR(IFERROR(VLOOKUP(B1727&amp;I1727&amp;Q1727,'New Weekly Paste'!A:M,8,0),VLOOKUP(B1727&amp;I1727&amp;Q1727,'New Weekly Paste'!B:O,10,0)),0)</f>
        <v>77.86</v>
      </c>
      <c r="L1727" s="239">
        <f t="shared" si="25"/>
        <v>1</v>
      </c>
      <c r="M1727" s="36" t="str">
        <f t="shared" si="3"/>
        <v>Regular Season</v>
      </c>
      <c r="N1727" s="239" t="str">
        <f t="shared" si="26"/>
        <v>Riley</v>
      </c>
      <c r="O1727" s="6">
        <f>VLOOKUP(D1727,'Mapped Opponent'!$G$4:$H$22,2,0)</f>
        <v>9</v>
      </c>
      <c r="P1727" s="6"/>
      <c r="Q1727" s="6" t="str">
        <f t="shared" si="4"/>
        <v>Week 9</v>
      </c>
      <c r="R1727" s="6" t="str">
        <f t="shared" si="5"/>
        <v>2019Week 9</v>
      </c>
      <c r="S1727" s="6">
        <f>IFERROR(__xludf.DUMMYFUNCTION("rank(J1727,FILTER(J:J,R:R=R1727))"),6.0)</f>
        <v>6</v>
      </c>
      <c r="T1727" s="6">
        <f t="shared" si="6"/>
        <v>6</v>
      </c>
      <c r="U1727" s="6">
        <f t="shared" si="7"/>
        <v>6</v>
      </c>
      <c r="V1727" s="42">
        <f>averageif(AllData!A:A,B1727,AllData!R:R)/vlookup(B1727,AllData!A:O,15,0)</f>
        <v>93.61128205</v>
      </c>
      <c r="W1727" s="6"/>
    </row>
    <row r="1728" ht="14.25" customHeight="1">
      <c r="A1728" s="6" t="str">
        <f t="shared" si="1"/>
        <v>2019KnardDawg9</v>
      </c>
      <c r="B1728" s="59">
        <v>2019.0</v>
      </c>
      <c r="C1728" s="13" t="s">
        <v>86</v>
      </c>
      <c r="D1728" s="13" t="s">
        <v>147</v>
      </c>
      <c r="E1728" s="34"/>
      <c r="F1728" s="6"/>
      <c r="H1728" s="6"/>
      <c r="I1728" s="35" t="str">
        <f>IFERROR(IFERROR(IFERROR(VLOOKUP(B1728&amp;C1728&amp;Q1728,'New Weekly Paste'!A:M,10,0),VLOOKUP(B1728&amp;C1728&amp;Q1728,'New Weekly Paste'!B:O,6,0)),""),"")</f>
        <v>Buser</v>
      </c>
      <c r="J1728" s="239">
        <f>IFERROR(IFERROR(VLOOKUP(B1728&amp;C1728&amp;Q1728,'New Weekly Paste'!A:M,8,0),VLOOKUP(B1728&amp;C1728&amp;Q1728,'New Weekly Paste'!B:O,10,0)),0)</f>
        <v>111.94</v>
      </c>
      <c r="K1728" s="239">
        <f>IFERROR(IFERROR(VLOOKUP(B1728&amp;I1728&amp;Q1728,'New Weekly Paste'!A:M,8,0),VLOOKUP(B1728&amp;I1728&amp;Q1728,'New Weekly Paste'!B:O,10,0)),0)</f>
        <v>125.72</v>
      </c>
      <c r="L1728" s="239">
        <f t="shared" si="25"/>
        <v>0</v>
      </c>
      <c r="M1728" s="36" t="str">
        <f t="shared" si="3"/>
        <v>Regular Season</v>
      </c>
      <c r="N1728" s="239" t="str">
        <f t="shared" si="26"/>
        <v>Buser</v>
      </c>
      <c r="O1728" s="6">
        <f>VLOOKUP(D1728,'Mapped Opponent'!$G$4:$H$22,2,0)</f>
        <v>9</v>
      </c>
      <c r="P1728" s="6"/>
      <c r="Q1728" s="6" t="str">
        <f t="shared" si="4"/>
        <v>Week 9</v>
      </c>
      <c r="R1728" s="6" t="str">
        <f t="shared" si="5"/>
        <v>2019Week 9</v>
      </c>
      <c r="S1728" s="6">
        <f>IFERROR(__xludf.DUMMYFUNCTION("rank(J1728,FILTER(J:J,R:R=R1728))"),4.0)</f>
        <v>4</v>
      </c>
      <c r="T1728" s="6">
        <f t="shared" si="6"/>
        <v>8</v>
      </c>
      <c r="U1728" s="6">
        <f t="shared" si="7"/>
        <v>4</v>
      </c>
      <c r="V1728" s="42">
        <f>averageif(AllData!A:A,B1728,AllData!R:R)/vlookup(B1728,AllData!A:O,15,0)</f>
        <v>93.61128205</v>
      </c>
      <c r="W1728" s="6"/>
    </row>
    <row r="1729" ht="14.25" customHeight="1">
      <c r="A1729" s="6" t="str">
        <f t="shared" si="1"/>
        <v>2019T-How9</v>
      </c>
      <c r="B1729" s="59">
        <v>2019.0</v>
      </c>
      <c r="C1729" s="13" t="s">
        <v>82</v>
      </c>
      <c r="D1729" s="13" t="s">
        <v>147</v>
      </c>
      <c r="E1729" s="34"/>
      <c r="F1729" s="6"/>
      <c r="H1729" s="6"/>
      <c r="I1729" s="35" t="str">
        <f>IFERROR(IFERROR(IFERROR(VLOOKUP(B1729&amp;C1729&amp;Q1729,'New Weekly Paste'!A:M,10,0),VLOOKUP(B1729&amp;C1729&amp;Q1729,'New Weekly Paste'!B:O,6,0)),""),"")</f>
        <v>Hudspeath</v>
      </c>
      <c r="J1729" s="239">
        <f>IFERROR(IFERROR(VLOOKUP(B1729&amp;C1729&amp;Q1729,'New Weekly Paste'!A:M,8,0),VLOOKUP(B1729&amp;C1729&amp;Q1729,'New Weekly Paste'!B:O,10,0)),0)</f>
        <v>83.26</v>
      </c>
      <c r="K1729" s="239">
        <f>IFERROR(IFERROR(VLOOKUP(B1729&amp;I1729&amp;Q1729,'New Weekly Paste'!A:M,8,0),VLOOKUP(B1729&amp;I1729&amp;Q1729,'New Weekly Paste'!B:O,10,0)),0)</f>
        <v>70.7</v>
      </c>
      <c r="L1729" s="239">
        <f t="shared" si="25"/>
        <v>1</v>
      </c>
      <c r="M1729" s="36" t="str">
        <f t="shared" si="3"/>
        <v>Regular Season</v>
      </c>
      <c r="N1729" s="239" t="str">
        <f t="shared" si="26"/>
        <v>Hudspeath</v>
      </c>
      <c r="O1729" s="6">
        <f>VLOOKUP(D1729,'Mapped Opponent'!$G$4:$H$22,2,0)</f>
        <v>9</v>
      </c>
      <c r="P1729" s="6"/>
      <c r="Q1729" s="6" t="str">
        <f t="shared" si="4"/>
        <v>Week 9</v>
      </c>
      <c r="R1729" s="6" t="str">
        <f t="shared" si="5"/>
        <v>2019Week 9</v>
      </c>
      <c r="S1729" s="6">
        <f>IFERROR(__xludf.DUMMYFUNCTION("rank(J1729,FILTER(J:J,R:R=R1729))"),8.0)</f>
        <v>8</v>
      </c>
      <c r="T1729" s="6">
        <f t="shared" si="6"/>
        <v>4</v>
      </c>
      <c r="U1729" s="6">
        <f t="shared" si="7"/>
        <v>8</v>
      </c>
      <c r="V1729" s="42">
        <f>averageif(AllData!A:A,B1729,AllData!R:R)/vlookup(B1729,AllData!A:O,15,0)</f>
        <v>93.61128205</v>
      </c>
      <c r="W1729" s="6"/>
    </row>
    <row r="1730" ht="14.25" customHeight="1">
      <c r="A1730" s="6" t="str">
        <f t="shared" si="1"/>
        <v>2020Hudspeath15</v>
      </c>
      <c r="B1730" s="59">
        <v>2020.0</v>
      </c>
      <c r="C1730" s="13" t="s">
        <v>39</v>
      </c>
      <c r="D1730" s="13" t="s">
        <v>112</v>
      </c>
      <c r="E1730" s="34"/>
      <c r="F1730" s="6"/>
      <c r="H1730" s="6"/>
      <c r="I1730" s="35" t="str">
        <f>IFERROR(IFERROR(IFERROR(VLOOKUP(B1730&amp;C1730&amp;Q1730,'New Weekly Paste'!A:M,10,0),VLOOKUP(B1730&amp;C1730&amp;Q1730,'New Weekly Paste'!B:O,6,0)),""),"")</f>
        <v>T-How</v>
      </c>
      <c r="J1730" s="239">
        <f>IFERROR(IFERROR(VLOOKUP(B1730&amp;C1730&amp;Q1730,'New Weekly Paste'!A:M,8,0),VLOOKUP(B1730&amp;C1730&amp;Q1730,'New Weekly Paste'!B:O,10,0)),0)</f>
        <v>64.3</v>
      </c>
      <c r="K1730" s="239">
        <f>IFERROR(IFERROR(VLOOKUP(B1730&amp;I1730&amp;Q1730,'New Weekly Paste'!A:M,8,0),VLOOKUP(B1730&amp;I1730&amp;Q1730,'New Weekly Paste'!B:O,10,0)),0)</f>
        <v>90.86</v>
      </c>
      <c r="L1730" s="239">
        <f t="shared" si="25"/>
        <v>0</v>
      </c>
      <c r="M1730" s="36" t="str">
        <f t="shared" si="3"/>
        <v>Playoffs</v>
      </c>
      <c r="N1730" s="239" t="str">
        <f t="shared" si="26"/>
        <v>T-How</v>
      </c>
      <c r="O1730" s="6">
        <f>VLOOKUP(D1730,'Mapped Opponent'!$G$4:$H$22,2,0)</f>
        <v>15</v>
      </c>
      <c r="P1730" s="6"/>
      <c r="Q1730" s="6" t="str">
        <f t="shared" si="4"/>
        <v>Week 15</v>
      </c>
      <c r="R1730" s="6" t="str">
        <f t="shared" si="5"/>
        <v>2020Round 1</v>
      </c>
      <c r="S1730" s="6">
        <f>IFERROR(__xludf.DUMMYFUNCTION("rank(J1730,FILTER(J:J,R:R=R1730))"),12.0)</f>
        <v>12</v>
      </c>
      <c r="T1730" s="6">
        <f t="shared" si="6"/>
        <v>0</v>
      </c>
      <c r="U1730" s="6">
        <f t="shared" si="7"/>
        <v>12</v>
      </c>
      <c r="V1730" s="42">
        <f>averageif(AllData!A:A,B1730,AllData!R:R)/vlookup(B1730,AllData!A:O,15,0)</f>
        <v>95.94858974</v>
      </c>
      <c r="W1730" s="6"/>
    </row>
    <row r="1731" ht="14.25" customHeight="1">
      <c r="A1731" s="6" t="str">
        <f t="shared" si="1"/>
        <v>2020Salty15</v>
      </c>
      <c r="B1731" s="59">
        <v>2020.0</v>
      </c>
      <c r="C1731" s="13" t="s">
        <v>76</v>
      </c>
      <c r="D1731" s="13" t="s">
        <v>112</v>
      </c>
      <c r="E1731" s="34"/>
      <c r="F1731" s="6"/>
      <c r="H1731" s="6"/>
      <c r="I1731" s="35" t="str">
        <f>IFERROR(IFERROR(IFERROR(VLOOKUP(B1731&amp;C1731&amp;Q1731,'New Weekly Paste'!A:M,10,0),VLOOKUP(B1731&amp;C1731&amp;Q1731,'New Weekly Paste'!B:O,6,0)),""),"")</f>
        <v>Riley</v>
      </c>
      <c r="J1731" s="239">
        <f>IFERROR(IFERROR(VLOOKUP(B1731&amp;C1731&amp;Q1731,'New Weekly Paste'!A:M,8,0),VLOOKUP(B1731&amp;C1731&amp;Q1731,'New Weekly Paste'!B:O,10,0)),0)</f>
        <v>81.46</v>
      </c>
      <c r="K1731" s="239">
        <f>IFERROR(IFERROR(VLOOKUP(B1731&amp;I1731&amp;Q1731,'New Weekly Paste'!A:M,8,0),VLOOKUP(B1731&amp;I1731&amp;Q1731,'New Weekly Paste'!B:O,10,0)),0)</f>
        <v>87.44</v>
      </c>
      <c r="L1731" s="239">
        <f t="shared" si="25"/>
        <v>0</v>
      </c>
      <c r="M1731" s="36" t="str">
        <f t="shared" si="3"/>
        <v>Playoffs</v>
      </c>
      <c r="N1731" s="239" t="str">
        <f t="shared" si="26"/>
        <v>Riley</v>
      </c>
      <c r="O1731" s="6">
        <f>VLOOKUP(D1731,'Mapped Opponent'!$G$4:$H$22,2,0)</f>
        <v>15</v>
      </c>
      <c r="P1731" s="6"/>
      <c r="Q1731" s="6" t="str">
        <f t="shared" si="4"/>
        <v>Week 15</v>
      </c>
      <c r="R1731" s="6" t="str">
        <f t="shared" si="5"/>
        <v>2020Round 1</v>
      </c>
      <c r="S1731" s="6">
        <f>IFERROR(__xludf.DUMMYFUNCTION("rank(J1731,FILTER(J:J,R:R=R1731))"),10.0)</f>
        <v>10</v>
      </c>
      <c r="T1731" s="6">
        <f t="shared" si="6"/>
        <v>2</v>
      </c>
      <c r="U1731" s="6">
        <f t="shared" si="7"/>
        <v>10</v>
      </c>
      <c r="V1731" s="42">
        <f>averageif(AllData!A:A,B1731,AllData!R:R)/vlookup(B1731,AllData!A:O,15,0)</f>
        <v>95.94858974</v>
      </c>
      <c r="W1731" s="6"/>
    </row>
    <row r="1732" ht="14.25" customHeight="1">
      <c r="A1732" s="6" t="str">
        <f t="shared" si="1"/>
        <v>2020Fellows15</v>
      </c>
      <c r="B1732" s="59">
        <v>2020.0</v>
      </c>
      <c r="C1732" s="13" t="s">
        <v>79</v>
      </c>
      <c r="D1732" s="13" t="s">
        <v>112</v>
      </c>
      <c r="E1732" s="34"/>
      <c r="F1732" s="6"/>
      <c r="H1732" s="6"/>
      <c r="I1732" s="35" t="str">
        <f>IFERROR(IFERROR(IFERROR(VLOOKUP(B1732&amp;C1732&amp;Q1732,'New Weekly Paste'!A:M,10,0),VLOOKUP(B1732&amp;C1732&amp;Q1732,'New Weekly Paste'!B:O,6,0)),""),"")</f>
        <v>Rooney/Jackson</v>
      </c>
      <c r="J1732" s="239">
        <f>IFERROR(IFERROR(VLOOKUP(B1732&amp;C1732&amp;Q1732,'New Weekly Paste'!A:M,8,0),VLOOKUP(B1732&amp;C1732&amp;Q1732,'New Weekly Paste'!B:O,10,0)),0)</f>
        <v>108.46</v>
      </c>
      <c r="K1732" s="239">
        <f>IFERROR(IFERROR(VLOOKUP(B1732&amp;I1732&amp;Q1732,'New Weekly Paste'!A:M,8,0),VLOOKUP(B1732&amp;I1732&amp;Q1732,'New Weekly Paste'!B:O,10,0)),0)</f>
        <v>74.7</v>
      </c>
      <c r="L1732" s="239">
        <f t="shared" si="25"/>
        <v>1</v>
      </c>
      <c r="M1732" s="36" t="str">
        <f t="shared" si="3"/>
        <v>Playoffs</v>
      </c>
      <c r="N1732" s="239" t="str">
        <f t="shared" si="26"/>
        <v>Rooney/Jackson</v>
      </c>
      <c r="O1732" s="6">
        <f>VLOOKUP(D1732,'Mapped Opponent'!$G$4:$H$22,2,0)</f>
        <v>15</v>
      </c>
      <c r="P1732" s="6"/>
      <c r="Q1732" s="6" t="str">
        <f t="shared" si="4"/>
        <v>Week 15</v>
      </c>
      <c r="R1732" s="6" t="str">
        <f t="shared" si="5"/>
        <v>2020Round 1</v>
      </c>
      <c r="S1732" s="6">
        <f>IFERROR(__xludf.DUMMYFUNCTION("rank(J1732,FILTER(J:J,R:R=R1732))"),4.0)</f>
        <v>4</v>
      </c>
      <c r="T1732" s="6">
        <f t="shared" si="6"/>
        <v>8</v>
      </c>
      <c r="U1732" s="6">
        <f t="shared" si="7"/>
        <v>4</v>
      </c>
      <c r="V1732" s="42">
        <f>averageif(AllData!A:A,B1732,AllData!R:R)/vlookup(B1732,AllData!A:O,15,0)</f>
        <v>95.94858974</v>
      </c>
      <c r="W1732" s="6"/>
    </row>
    <row r="1733" ht="14.25" customHeight="1">
      <c r="A1733" s="6" t="str">
        <f t="shared" si="1"/>
        <v>2020Shep15</v>
      </c>
      <c r="B1733" s="59">
        <v>2020.0</v>
      </c>
      <c r="C1733" s="13" t="s">
        <v>89</v>
      </c>
      <c r="D1733" s="13" t="s">
        <v>112</v>
      </c>
      <c r="E1733" s="34"/>
      <c r="F1733" s="6"/>
      <c r="H1733" s="6"/>
      <c r="I1733" s="35" t="str">
        <f>IFERROR(IFERROR(IFERROR(VLOOKUP(B1733&amp;C1733&amp;Q1733,'New Weekly Paste'!A:M,10,0),VLOOKUP(B1733&amp;C1733&amp;Q1733,'New Weekly Paste'!B:O,6,0)),""),"")</f>
        <v>Cock</v>
      </c>
      <c r="J1733" s="239">
        <f>IFERROR(IFERROR(VLOOKUP(B1733&amp;C1733&amp;Q1733,'New Weekly Paste'!A:M,8,0),VLOOKUP(B1733&amp;C1733&amp;Q1733,'New Weekly Paste'!B:O,10,0)),0)</f>
        <v>92.62</v>
      </c>
      <c r="K1733" s="239">
        <f>IFERROR(IFERROR(VLOOKUP(B1733&amp;I1733&amp;Q1733,'New Weekly Paste'!A:M,8,0),VLOOKUP(B1733&amp;I1733&amp;Q1733,'New Weekly Paste'!B:O,10,0)),0)</f>
        <v>166.12</v>
      </c>
      <c r="L1733" s="239">
        <f t="shared" si="25"/>
        <v>0</v>
      </c>
      <c r="M1733" s="36" t="str">
        <f t="shared" si="3"/>
        <v>Playoffs</v>
      </c>
      <c r="N1733" s="239" t="str">
        <f t="shared" si="26"/>
        <v>Cock</v>
      </c>
      <c r="O1733" s="6">
        <f>VLOOKUP(D1733,'Mapped Opponent'!$G$4:$H$22,2,0)</f>
        <v>15</v>
      </c>
      <c r="P1733" s="6"/>
      <c r="Q1733" s="6" t="str">
        <f t="shared" si="4"/>
        <v>Week 15</v>
      </c>
      <c r="R1733" s="6" t="str">
        <f t="shared" si="5"/>
        <v>2020Round 1</v>
      </c>
      <c r="S1733" s="6">
        <f>IFERROR(__xludf.DUMMYFUNCTION("rank(J1733,FILTER(J:J,R:R=R1733))"),7.0)</f>
        <v>7</v>
      </c>
      <c r="T1733" s="6">
        <f t="shared" si="6"/>
        <v>5</v>
      </c>
      <c r="U1733" s="6">
        <f t="shared" si="7"/>
        <v>7</v>
      </c>
      <c r="V1733" s="42">
        <f>averageif(AllData!A:A,B1733,AllData!R:R)/vlookup(B1733,AllData!A:O,15,0)</f>
        <v>95.94858974</v>
      </c>
      <c r="W1733" s="6"/>
    </row>
    <row r="1734" ht="14.25" customHeight="1">
      <c r="A1734" s="6" t="str">
        <f t="shared" si="1"/>
        <v>2020Riley15</v>
      </c>
      <c r="B1734" s="59">
        <v>2020.0</v>
      </c>
      <c r="C1734" s="13" t="s">
        <v>67</v>
      </c>
      <c r="D1734" s="13" t="s">
        <v>112</v>
      </c>
      <c r="E1734" s="34"/>
      <c r="F1734" s="6"/>
      <c r="H1734" s="6"/>
      <c r="I1734" s="35" t="str">
        <f>IFERROR(IFERROR(IFERROR(VLOOKUP(B1734&amp;C1734&amp;Q1734,'New Weekly Paste'!A:M,10,0),VLOOKUP(B1734&amp;C1734&amp;Q1734,'New Weekly Paste'!B:O,6,0)),""),"")</f>
        <v>Salty</v>
      </c>
      <c r="J1734" s="239">
        <f>IFERROR(IFERROR(VLOOKUP(B1734&amp;C1734&amp;Q1734,'New Weekly Paste'!A:M,8,0),VLOOKUP(B1734&amp;C1734&amp;Q1734,'New Weekly Paste'!B:O,10,0)),0)</f>
        <v>87.44</v>
      </c>
      <c r="K1734" s="239">
        <f>IFERROR(IFERROR(VLOOKUP(B1734&amp;I1734&amp;Q1734,'New Weekly Paste'!A:M,8,0),VLOOKUP(B1734&amp;I1734&amp;Q1734,'New Weekly Paste'!B:O,10,0)),0)</f>
        <v>81.46</v>
      </c>
      <c r="L1734" s="239">
        <f t="shared" si="25"/>
        <v>1</v>
      </c>
      <c r="M1734" s="36" t="str">
        <f t="shared" si="3"/>
        <v>Playoffs</v>
      </c>
      <c r="N1734" s="239" t="str">
        <f t="shared" si="26"/>
        <v>Salty</v>
      </c>
      <c r="O1734" s="6">
        <f>VLOOKUP(D1734,'Mapped Opponent'!$G$4:$H$22,2,0)</f>
        <v>15</v>
      </c>
      <c r="P1734" s="6"/>
      <c r="Q1734" s="6" t="str">
        <f t="shared" si="4"/>
        <v>Week 15</v>
      </c>
      <c r="R1734" s="6" t="str">
        <f t="shared" si="5"/>
        <v>2020Round 1</v>
      </c>
      <c r="S1734" s="6">
        <f>IFERROR(__xludf.DUMMYFUNCTION("rank(J1734,FILTER(J:J,R:R=R1734))"),9.0)</f>
        <v>9</v>
      </c>
      <c r="T1734" s="6">
        <f t="shared" si="6"/>
        <v>3</v>
      </c>
      <c r="U1734" s="6">
        <f t="shared" si="7"/>
        <v>9</v>
      </c>
      <c r="V1734" s="42">
        <f>averageif(AllData!A:A,B1734,AllData!R:R)/vlookup(B1734,AllData!A:O,15,0)</f>
        <v>95.94858974</v>
      </c>
      <c r="W1734" s="6"/>
    </row>
    <row r="1735" ht="14.25" customHeight="1">
      <c r="A1735" s="6" t="str">
        <f t="shared" si="1"/>
        <v>2020Rooney/Jackson15</v>
      </c>
      <c r="B1735" s="59">
        <v>2020.0</v>
      </c>
      <c r="C1735" s="13" t="s">
        <v>57</v>
      </c>
      <c r="D1735" s="13" t="s">
        <v>112</v>
      </c>
      <c r="E1735" s="34"/>
      <c r="F1735" s="6"/>
      <c r="H1735" s="6"/>
      <c r="I1735" s="35" t="str">
        <f>IFERROR(IFERROR(IFERROR(VLOOKUP(B1735&amp;C1735&amp;Q1735,'New Weekly Paste'!A:M,10,0),VLOOKUP(B1735&amp;C1735&amp;Q1735,'New Weekly Paste'!B:O,6,0)),""),"")</f>
        <v>Fellows</v>
      </c>
      <c r="J1735" s="239">
        <f>IFERROR(IFERROR(VLOOKUP(B1735&amp;C1735&amp;Q1735,'New Weekly Paste'!A:M,8,0),VLOOKUP(B1735&amp;C1735&amp;Q1735,'New Weekly Paste'!B:O,10,0)),0)</f>
        <v>74.7</v>
      </c>
      <c r="K1735" s="239">
        <f>IFERROR(IFERROR(VLOOKUP(B1735&amp;I1735&amp;Q1735,'New Weekly Paste'!A:M,8,0),VLOOKUP(B1735&amp;I1735&amp;Q1735,'New Weekly Paste'!B:O,10,0)),0)</f>
        <v>108.46</v>
      </c>
      <c r="L1735" s="239">
        <f t="shared" si="25"/>
        <v>0</v>
      </c>
      <c r="M1735" s="36" t="str">
        <f t="shared" si="3"/>
        <v>Playoffs</v>
      </c>
      <c r="N1735" s="239" t="str">
        <f t="shared" si="26"/>
        <v>Fellows</v>
      </c>
      <c r="O1735" s="6">
        <f>VLOOKUP(D1735,'Mapped Opponent'!$G$4:$H$22,2,0)</f>
        <v>15</v>
      </c>
      <c r="P1735" s="6"/>
      <c r="Q1735" s="6" t="str">
        <f t="shared" si="4"/>
        <v>Week 15</v>
      </c>
      <c r="R1735" s="6" t="str">
        <f t="shared" si="5"/>
        <v>2020Round 1</v>
      </c>
      <c r="S1735" s="6">
        <f>IFERROR(__xludf.DUMMYFUNCTION("rank(J1735,FILTER(J:J,R:R=R1735))"),11.0)</f>
        <v>11</v>
      </c>
      <c r="T1735" s="6">
        <f t="shared" si="6"/>
        <v>1</v>
      </c>
      <c r="U1735" s="6">
        <f t="shared" si="7"/>
        <v>11</v>
      </c>
      <c r="V1735" s="42">
        <f>averageif(AllData!A:A,B1735,AllData!R:R)/vlookup(B1735,AllData!A:O,15,0)</f>
        <v>95.94858974</v>
      </c>
      <c r="W1735" s="6"/>
    </row>
    <row r="1736" ht="14.25" customHeight="1">
      <c r="A1736" s="6" t="str">
        <f t="shared" si="1"/>
        <v>2020Buser15</v>
      </c>
      <c r="B1736" s="59">
        <v>2020.0</v>
      </c>
      <c r="C1736" s="13" t="s">
        <v>47</v>
      </c>
      <c r="D1736" s="13" t="s">
        <v>112</v>
      </c>
      <c r="E1736" s="34"/>
      <c r="F1736" s="6"/>
      <c r="H1736" s="6"/>
      <c r="I1736" s="35" t="str">
        <f>IFERROR(IFERROR(IFERROR(VLOOKUP(B1736&amp;C1736&amp;Q1736,'New Weekly Paste'!A:M,10,0),VLOOKUP(B1736&amp;C1736&amp;Q1736,'New Weekly Paste'!B:O,6,0)),""),"")</f>
        <v>Tayski</v>
      </c>
      <c r="J1736" s="239">
        <f>IFERROR(IFERROR(VLOOKUP(B1736&amp;C1736&amp;Q1736,'New Weekly Paste'!A:M,8,0),VLOOKUP(B1736&amp;C1736&amp;Q1736,'New Weekly Paste'!B:O,10,0)),0)</f>
        <v>95.74</v>
      </c>
      <c r="K1736" s="239">
        <f>IFERROR(IFERROR(VLOOKUP(B1736&amp;I1736&amp;Q1736,'New Weekly Paste'!A:M,8,0),VLOOKUP(B1736&amp;I1736&amp;Q1736,'New Weekly Paste'!B:O,10,0)),0)</f>
        <v>124.36</v>
      </c>
      <c r="L1736" s="239">
        <f t="shared" si="25"/>
        <v>0</v>
      </c>
      <c r="M1736" s="36" t="str">
        <f t="shared" si="3"/>
        <v>Playoffs</v>
      </c>
      <c r="N1736" s="239" t="str">
        <f t="shared" si="26"/>
        <v>Tayski</v>
      </c>
      <c r="O1736" s="6">
        <f>VLOOKUP(D1736,'Mapped Opponent'!$G$4:$H$22,2,0)</f>
        <v>15</v>
      </c>
      <c r="P1736" s="6"/>
      <c r="Q1736" s="6" t="str">
        <f t="shared" si="4"/>
        <v>Week 15</v>
      </c>
      <c r="R1736" s="6" t="str">
        <f t="shared" si="5"/>
        <v>2020Round 1</v>
      </c>
      <c r="S1736" s="6">
        <f>IFERROR(__xludf.DUMMYFUNCTION("rank(J1736,FILTER(J:J,R:R=R1736))"),5.0)</f>
        <v>5</v>
      </c>
      <c r="T1736" s="6">
        <f t="shared" si="6"/>
        <v>7</v>
      </c>
      <c r="U1736" s="6">
        <f t="shared" si="7"/>
        <v>5</v>
      </c>
      <c r="V1736" s="42">
        <f>averageif(AllData!A:A,B1736,AllData!R:R)/vlookup(B1736,AllData!A:O,15,0)</f>
        <v>95.94858974</v>
      </c>
      <c r="W1736" s="6"/>
    </row>
    <row r="1737" ht="14.25" customHeight="1">
      <c r="A1737" s="6" t="str">
        <f t="shared" si="1"/>
        <v>2020Pierson15</v>
      </c>
      <c r="B1737" s="59">
        <v>2020.0</v>
      </c>
      <c r="C1737" s="13" t="s">
        <v>92</v>
      </c>
      <c r="D1737" s="13" t="s">
        <v>112</v>
      </c>
      <c r="E1737" s="34"/>
      <c r="F1737" s="6"/>
      <c r="H1737" s="6"/>
      <c r="I1737" s="35" t="str">
        <f>IFERROR(IFERROR(IFERROR(VLOOKUP(B1737&amp;C1737&amp;Q1737,'New Weekly Paste'!A:M,10,0),VLOOKUP(B1737&amp;C1737&amp;Q1737,'New Weekly Paste'!B:O,6,0)),""),"")</f>
        <v>KnardDawg</v>
      </c>
      <c r="J1737" s="239">
        <f>IFERROR(IFERROR(VLOOKUP(B1737&amp;C1737&amp;Q1737,'New Weekly Paste'!A:M,8,0),VLOOKUP(B1737&amp;C1737&amp;Q1737,'New Weekly Paste'!B:O,10,0)),0)</f>
        <v>115.92</v>
      </c>
      <c r="K1737" s="239">
        <f>IFERROR(IFERROR(VLOOKUP(B1737&amp;I1737&amp;Q1737,'New Weekly Paste'!A:M,8,0),VLOOKUP(B1737&amp;I1737&amp;Q1737,'New Weekly Paste'!B:O,10,0)),0)</f>
        <v>94.42</v>
      </c>
      <c r="L1737" s="239">
        <f t="shared" si="25"/>
        <v>1</v>
      </c>
      <c r="M1737" s="36" t="str">
        <f t="shared" si="3"/>
        <v>Playoffs</v>
      </c>
      <c r="N1737" s="239" t="str">
        <f t="shared" si="26"/>
        <v>KnardDawg</v>
      </c>
      <c r="O1737" s="6">
        <f>VLOOKUP(D1737,'Mapped Opponent'!$G$4:$H$22,2,0)</f>
        <v>15</v>
      </c>
      <c r="P1737" s="6"/>
      <c r="Q1737" s="6" t="str">
        <f t="shared" si="4"/>
        <v>Week 15</v>
      </c>
      <c r="R1737" s="6" t="str">
        <f t="shared" si="5"/>
        <v>2020Round 1</v>
      </c>
      <c r="S1737" s="6">
        <f>IFERROR(__xludf.DUMMYFUNCTION("rank(J1737,FILTER(J:J,R:R=R1737))"),3.0)</f>
        <v>3</v>
      </c>
      <c r="T1737" s="6">
        <f t="shared" si="6"/>
        <v>9</v>
      </c>
      <c r="U1737" s="6">
        <f t="shared" si="7"/>
        <v>3</v>
      </c>
      <c r="V1737" s="42">
        <f>averageif(AllData!A:A,B1737,AllData!R:R)/vlookup(B1737,AllData!A:O,15,0)</f>
        <v>95.94858974</v>
      </c>
      <c r="W1737" s="6"/>
    </row>
    <row r="1738" ht="14.25" customHeight="1">
      <c r="A1738" s="6" t="str">
        <f t="shared" si="1"/>
        <v>2020Cock15</v>
      </c>
      <c r="B1738" s="59">
        <v>2020.0</v>
      </c>
      <c r="C1738" s="13" t="s">
        <v>72</v>
      </c>
      <c r="D1738" s="13" t="s">
        <v>112</v>
      </c>
      <c r="E1738" s="34"/>
      <c r="F1738" s="6"/>
      <c r="H1738" s="6"/>
      <c r="I1738" s="35" t="str">
        <f>IFERROR(IFERROR(IFERROR(VLOOKUP(B1738&amp;C1738&amp;Q1738,'New Weekly Paste'!A:M,10,0),VLOOKUP(B1738&amp;C1738&amp;Q1738,'New Weekly Paste'!B:O,6,0)),""),"")</f>
        <v>Shep</v>
      </c>
      <c r="J1738" s="239">
        <f>IFERROR(IFERROR(VLOOKUP(B1738&amp;C1738&amp;Q1738,'New Weekly Paste'!A:M,8,0),VLOOKUP(B1738&amp;C1738&amp;Q1738,'New Weekly Paste'!B:O,10,0)),0)</f>
        <v>166.12</v>
      </c>
      <c r="K1738" s="239">
        <f>IFERROR(IFERROR(VLOOKUP(B1738&amp;I1738&amp;Q1738,'New Weekly Paste'!A:M,8,0),VLOOKUP(B1738&amp;I1738&amp;Q1738,'New Weekly Paste'!B:O,10,0)),0)</f>
        <v>92.62</v>
      </c>
      <c r="L1738" s="239">
        <f t="shared" si="25"/>
        <v>1</v>
      </c>
      <c r="M1738" s="36" t="str">
        <f t="shared" si="3"/>
        <v>Playoffs</v>
      </c>
      <c r="N1738" s="239" t="str">
        <f t="shared" si="26"/>
        <v>Shep</v>
      </c>
      <c r="O1738" s="6">
        <f>VLOOKUP(D1738,'Mapped Opponent'!$G$4:$H$22,2,0)</f>
        <v>15</v>
      </c>
      <c r="P1738" s="6"/>
      <c r="Q1738" s="6" t="str">
        <f t="shared" si="4"/>
        <v>Week 15</v>
      </c>
      <c r="R1738" s="6" t="str">
        <f t="shared" si="5"/>
        <v>2020Round 1</v>
      </c>
      <c r="S1738" s="6">
        <f>IFERROR(__xludf.DUMMYFUNCTION("rank(J1738,FILTER(J:J,R:R=R1738))"),1.0)</f>
        <v>1</v>
      </c>
      <c r="T1738" s="6">
        <f t="shared" si="6"/>
        <v>11</v>
      </c>
      <c r="U1738" s="6">
        <f t="shared" si="7"/>
        <v>1</v>
      </c>
      <c r="V1738" s="42">
        <f>averageif(AllData!A:A,B1738,AllData!R:R)/vlookup(B1738,AllData!A:O,15,0)</f>
        <v>95.94858974</v>
      </c>
      <c r="W1738" s="6"/>
    </row>
    <row r="1739" ht="14.25" customHeight="1">
      <c r="A1739" s="6" t="str">
        <f t="shared" si="1"/>
        <v>2020Tayski15</v>
      </c>
      <c r="B1739" s="59">
        <v>2020.0</v>
      </c>
      <c r="C1739" s="13" t="s">
        <v>52</v>
      </c>
      <c r="D1739" s="13" t="s">
        <v>112</v>
      </c>
      <c r="E1739" s="34"/>
      <c r="F1739" s="6"/>
      <c r="H1739" s="6"/>
      <c r="I1739" s="35" t="str">
        <f>IFERROR(IFERROR(IFERROR(VLOOKUP(B1739&amp;C1739&amp;Q1739,'New Weekly Paste'!A:M,10,0),VLOOKUP(B1739&amp;C1739&amp;Q1739,'New Weekly Paste'!B:O,6,0)),""),"")</f>
        <v>Buser</v>
      </c>
      <c r="J1739" s="239">
        <f>IFERROR(IFERROR(VLOOKUP(B1739&amp;C1739&amp;Q1739,'New Weekly Paste'!A:M,8,0),VLOOKUP(B1739&amp;C1739&amp;Q1739,'New Weekly Paste'!B:O,10,0)),0)</f>
        <v>124.36</v>
      </c>
      <c r="K1739" s="239">
        <f>IFERROR(IFERROR(VLOOKUP(B1739&amp;I1739&amp;Q1739,'New Weekly Paste'!A:M,8,0),VLOOKUP(B1739&amp;I1739&amp;Q1739,'New Weekly Paste'!B:O,10,0)),0)</f>
        <v>95.74</v>
      </c>
      <c r="L1739" s="239">
        <f t="shared" si="25"/>
        <v>1</v>
      </c>
      <c r="M1739" s="36" t="str">
        <f t="shared" si="3"/>
        <v>Playoffs</v>
      </c>
      <c r="N1739" s="239" t="str">
        <f t="shared" si="26"/>
        <v>Buser</v>
      </c>
      <c r="O1739" s="6">
        <f>VLOOKUP(D1739,'Mapped Opponent'!$G$4:$H$22,2,0)</f>
        <v>15</v>
      </c>
      <c r="P1739" s="6"/>
      <c r="Q1739" s="6" t="str">
        <f t="shared" si="4"/>
        <v>Week 15</v>
      </c>
      <c r="R1739" s="6" t="str">
        <f t="shared" si="5"/>
        <v>2020Round 1</v>
      </c>
      <c r="S1739" s="6">
        <f>IFERROR(__xludf.DUMMYFUNCTION("rank(J1739,FILTER(J:J,R:R=R1739))"),2.0)</f>
        <v>2</v>
      </c>
      <c r="T1739" s="6">
        <f t="shared" si="6"/>
        <v>10</v>
      </c>
      <c r="U1739" s="6">
        <f t="shared" si="7"/>
        <v>2</v>
      </c>
      <c r="V1739" s="42">
        <f>averageif(AllData!A:A,B1739,AllData!R:R)/vlookup(B1739,AllData!A:O,15,0)</f>
        <v>95.94858974</v>
      </c>
      <c r="W1739" s="6"/>
    </row>
    <row r="1740" ht="14.25" customHeight="1">
      <c r="A1740" s="6" t="str">
        <f t="shared" si="1"/>
        <v>2020KnardDawg15</v>
      </c>
      <c r="B1740" s="59">
        <v>2020.0</v>
      </c>
      <c r="C1740" s="13" t="s">
        <v>86</v>
      </c>
      <c r="D1740" s="13" t="s">
        <v>112</v>
      </c>
      <c r="E1740" s="34"/>
      <c r="F1740" s="6"/>
      <c r="H1740" s="6"/>
      <c r="I1740" s="35" t="str">
        <f>IFERROR(IFERROR(IFERROR(VLOOKUP(B1740&amp;C1740&amp;Q1740,'New Weekly Paste'!A:M,10,0),VLOOKUP(B1740&amp;C1740&amp;Q1740,'New Weekly Paste'!B:O,6,0)),""),"")</f>
        <v>Pierson</v>
      </c>
      <c r="J1740" s="239">
        <f>IFERROR(IFERROR(VLOOKUP(B1740&amp;C1740&amp;Q1740,'New Weekly Paste'!A:M,8,0),VLOOKUP(B1740&amp;C1740&amp;Q1740,'New Weekly Paste'!B:O,10,0)),0)</f>
        <v>94.42</v>
      </c>
      <c r="K1740" s="239">
        <f>IFERROR(IFERROR(VLOOKUP(B1740&amp;I1740&amp;Q1740,'New Weekly Paste'!A:M,8,0),VLOOKUP(B1740&amp;I1740&amp;Q1740,'New Weekly Paste'!B:O,10,0)),0)</f>
        <v>115.92</v>
      </c>
      <c r="L1740" s="239">
        <f t="shared" si="25"/>
        <v>0</v>
      </c>
      <c r="M1740" s="36" t="str">
        <f t="shared" si="3"/>
        <v>Playoffs</v>
      </c>
      <c r="N1740" s="239" t="str">
        <f t="shared" si="26"/>
        <v>Pierson</v>
      </c>
      <c r="O1740" s="6">
        <f>VLOOKUP(D1740,'Mapped Opponent'!$G$4:$H$22,2,0)</f>
        <v>15</v>
      </c>
      <c r="P1740" s="6"/>
      <c r="Q1740" s="6" t="str">
        <f t="shared" si="4"/>
        <v>Week 15</v>
      </c>
      <c r="R1740" s="6" t="str">
        <f t="shared" si="5"/>
        <v>2020Round 1</v>
      </c>
      <c r="S1740" s="6">
        <f>IFERROR(__xludf.DUMMYFUNCTION("rank(J1740,FILTER(J:J,R:R=R1740))"),6.0)</f>
        <v>6</v>
      </c>
      <c r="T1740" s="6">
        <f t="shared" si="6"/>
        <v>6</v>
      </c>
      <c r="U1740" s="6">
        <f t="shared" si="7"/>
        <v>6</v>
      </c>
      <c r="V1740" s="42">
        <f>averageif(AllData!A:A,B1740,AllData!R:R)/vlookup(B1740,AllData!A:O,15,0)</f>
        <v>95.94858974</v>
      </c>
      <c r="W1740" s="6"/>
    </row>
    <row r="1741" ht="14.25" customHeight="1">
      <c r="A1741" s="6" t="str">
        <f t="shared" si="1"/>
        <v>2020T-How15</v>
      </c>
      <c r="B1741" s="59">
        <v>2020.0</v>
      </c>
      <c r="C1741" s="13" t="s">
        <v>82</v>
      </c>
      <c r="D1741" s="13" t="s">
        <v>112</v>
      </c>
      <c r="E1741" s="34"/>
      <c r="F1741" s="6"/>
      <c r="H1741" s="6"/>
      <c r="I1741" s="35" t="str">
        <f>IFERROR(IFERROR(IFERROR(VLOOKUP(B1741&amp;C1741&amp;Q1741,'New Weekly Paste'!A:M,10,0),VLOOKUP(B1741&amp;C1741&amp;Q1741,'New Weekly Paste'!B:O,6,0)),""),"")</f>
        <v>Hudspeath</v>
      </c>
      <c r="J1741" s="239">
        <f>IFERROR(IFERROR(VLOOKUP(B1741&amp;C1741&amp;Q1741,'New Weekly Paste'!A:M,8,0),VLOOKUP(B1741&amp;C1741&amp;Q1741,'New Weekly Paste'!B:O,10,0)),0)</f>
        <v>90.86</v>
      </c>
      <c r="K1741" s="239">
        <f>IFERROR(IFERROR(VLOOKUP(B1741&amp;I1741&amp;Q1741,'New Weekly Paste'!A:M,8,0),VLOOKUP(B1741&amp;I1741&amp;Q1741,'New Weekly Paste'!B:O,10,0)),0)</f>
        <v>64.3</v>
      </c>
      <c r="L1741" s="239">
        <f t="shared" si="25"/>
        <v>1</v>
      </c>
      <c r="M1741" s="36" t="str">
        <f t="shared" si="3"/>
        <v>Playoffs</v>
      </c>
      <c r="N1741" s="239" t="str">
        <f t="shared" si="26"/>
        <v>Hudspeath</v>
      </c>
      <c r="O1741" s="6">
        <f>VLOOKUP(D1741,'Mapped Opponent'!$G$4:$H$22,2,0)</f>
        <v>15</v>
      </c>
      <c r="P1741" s="6"/>
      <c r="Q1741" s="6" t="str">
        <f t="shared" si="4"/>
        <v>Week 15</v>
      </c>
      <c r="R1741" s="6" t="str">
        <f t="shared" si="5"/>
        <v>2020Round 1</v>
      </c>
      <c r="S1741" s="6">
        <f>IFERROR(__xludf.DUMMYFUNCTION("rank(J1741,FILTER(J:J,R:R=R1741))"),8.0)</f>
        <v>8</v>
      </c>
      <c r="T1741" s="6">
        <f t="shared" si="6"/>
        <v>4</v>
      </c>
      <c r="U1741" s="6">
        <f t="shared" si="7"/>
        <v>8</v>
      </c>
      <c r="V1741" s="42">
        <f>averageif(AllData!A:A,B1741,AllData!R:R)/vlookup(B1741,AllData!A:O,15,0)</f>
        <v>95.94858974</v>
      </c>
      <c r="W1741" s="6"/>
    </row>
    <row r="1742" ht="14.25" customHeight="1">
      <c r="A1742" s="6" t="str">
        <f t="shared" si="1"/>
        <v>2020Hudspeath16</v>
      </c>
      <c r="B1742" s="59">
        <v>2020.0</v>
      </c>
      <c r="C1742" s="13" t="s">
        <v>39</v>
      </c>
      <c r="D1742" s="13" t="s">
        <v>153</v>
      </c>
      <c r="E1742" s="34"/>
      <c r="F1742" s="6"/>
      <c r="H1742" s="6"/>
      <c r="I1742" s="35" t="str">
        <f>IFERROR(IFERROR(IFERROR(VLOOKUP(B1742&amp;C1742&amp;Q1742,'New Weekly Paste'!A:M,10,0),VLOOKUP(B1742&amp;C1742&amp;Q1742,'New Weekly Paste'!B:O,6,0)),""),"")</f>
        <v>Shep</v>
      </c>
      <c r="J1742" s="239">
        <f>IFERROR(IFERROR(VLOOKUP(B1742&amp;C1742&amp;Q1742,'New Weekly Paste'!A:M,8,0),VLOOKUP(B1742&amp;C1742&amp;Q1742,'New Weekly Paste'!B:O,10,0)),0)</f>
        <v>87.12</v>
      </c>
      <c r="K1742" s="239">
        <f>IFERROR(IFERROR(VLOOKUP(B1742&amp;I1742&amp;Q1742,'New Weekly Paste'!A:M,8,0),VLOOKUP(B1742&amp;I1742&amp;Q1742,'New Weekly Paste'!B:O,10,0)),0)</f>
        <v>73.94</v>
      </c>
      <c r="L1742" s="239">
        <f t="shared" si="25"/>
        <v>1</v>
      </c>
      <c r="M1742" s="36" t="str">
        <f t="shared" si="3"/>
        <v>Playoffs</v>
      </c>
      <c r="N1742" s="239" t="str">
        <f t="shared" si="26"/>
        <v>Shep</v>
      </c>
      <c r="O1742" s="6">
        <f>VLOOKUP(D1742,'Mapped Opponent'!$G$4:$H$22,2,0)</f>
        <v>16</v>
      </c>
      <c r="P1742" s="6"/>
      <c r="Q1742" s="6" t="str">
        <f t="shared" si="4"/>
        <v>Week 16</v>
      </c>
      <c r="R1742" s="6" t="str">
        <f t="shared" si="5"/>
        <v>2020Round 2</v>
      </c>
      <c r="S1742" s="6">
        <f>IFERROR(__xludf.DUMMYFUNCTION("rank(J1742,FILTER(J:J,R:R=R1742))"),8.0)</f>
        <v>8</v>
      </c>
      <c r="T1742" s="6">
        <f t="shared" si="6"/>
        <v>4</v>
      </c>
      <c r="U1742" s="6">
        <f t="shared" si="7"/>
        <v>8</v>
      </c>
      <c r="V1742" s="42">
        <f>averageif(AllData!A:A,B1742,AllData!R:R)/vlookup(B1742,AllData!A:O,15,0)</f>
        <v>95.94858974</v>
      </c>
      <c r="W1742" s="6"/>
    </row>
    <row r="1743" ht="14.25" customHeight="1">
      <c r="A1743" s="6" t="str">
        <f t="shared" si="1"/>
        <v>2020Salty16</v>
      </c>
      <c r="B1743" s="59">
        <v>2020.0</v>
      </c>
      <c r="C1743" s="13" t="s">
        <v>76</v>
      </c>
      <c r="D1743" s="13" t="s">
        <v>153</v>
      </c>
      <c r="E1743" s="34"/>
      <c r="F1743" s="6"/>
      <c r="H1743" s="6"/>
      <c r="I1743" s="35" t="str">
        <f>IFERROR(IFERROR(IFERROR(VLOOKUP(B1743&amp;C1743&amp;Q1743,'New Weekly Paste'!A:M,10,0),VLOOKUP(B1743&amp;C1743&amp;Q1743,'New Weekly Paste'!B:O,6,0)),""),"")</f>
        <v>T-How</v>
      </c>
      <c r="J1743" s="239">
        <f>IFERROR(IFERROR(VLOOKUP(B1743&amp;C1743&amp;Q1743,'New Weekly Paste'!A:M,8,0),VLOOKUP(B1743&amp;C1743&amp;Q1743,'New Weekly Paste'!B:O,10,0)),0)</f>
        <v>106.32</v>
      </c>
      <c r="K1743" s="239">
        <f>IFERROR(IFERROR(VLOOKUP(B1743&amp;I1743&amp;Q1743,'New Weekly Paste'!A:M,8,0),VLOOKUP(B1743&amp;I1743&amp;Q1743,'New Weekly Paste'!B:O,10,0)),0)</f>
        <v>87.42</v>
      </c>
      <c r="L1743" s="239">
        <f t="shared" si="25"/>
        <v>1</v>
      </c>
      <c r="M1743" s="36" t="str">
        <f t="shared" si="3"/>
        <v>Playoffs</v>
      </c>
      <c r="N1743" s="239" t="str">
        <f t="shared" si="26"/>
        <v>T-How</v>
      </c>
      <c r="O1743" s="6">
        <f>VLOOKUP(D1743,'Mapped Opponent'!$G$4:$H$22,2,0)</f>
        <v>16</v>
      </c>
      <c r="P1743" s="6"/>
      <c r="Q1743" s="6" t="str">
        <f t="shared" si="4"/>
        <v>Week 16</v>
      </c>
      <c r="R1743" s="6" t="str">
        <f t="shared" si="5"/>
        <v>2020Round 2</v>
      </c>
      <c r="S1743" s="6">
        <f>IFERROR(__xludf.DUMMYFUNCTION("rank(J1743,FILTER(J:J,R:R=R1743))"),4.0)</f>
        <v>4</v>
      </c>
      <c r="T1743" s="6">
        <f t="shared" si="6"/>
        <v>8</v>
      </c>
      <c r="U1743" s="6">
        <f t="shared" si="7"/>
        <v>4</v>
      </c>
      <c r="V1743" s="42">
        <f>averageif(AllData!A:A,B1743,AllData!R:R)/vlookup(B1743,AllData!A:O,15,0)</f>
        <v>95.94858974</v>
      </c>
      <c r="W1743" s="6"/>
    </row>
    <row r="1744" ht="14.25" customHeight="1">
      <c r="A1744" s="6" t="str">
        <f t="shared" si="1"/>
        <v>2020Fellows16</v>
      </c>
      <c r="B1744" s="59">
        <v>2020.0</v>
      </c>
      <c r="C1744" s="13" t="s">
        <v>79</v>
      </c>
      <c r="D1744" s="13" t="s">
        <v>153</v>
      </c>
      <c r="E1744" s="34"/>
      <c r="F1744" s="6"/>
      <c r="H1744" s="6"/>
      <c r="I1744" s="35" t="str">
        <f>IFERROR(IFERROR(IFERROR(VLOOKUP(B1744&amp;C1744&amp;Q1744,'New Weekly Paste'!A:M,10,0),VLOOKUP(B1744&amp;C1744&amp;Q1744,'New Weekly Paste'!B:O,6,0)),""),"")</f>
        <v>Rooney/Jackson</v>
      </c>
      <c r="J1744" s="239">
        <f>IFERROR(IFERROR(VLOOKUP(B1744&amp;C1744&amp;Q1744,'New Weekly Paste'!A:M,8,0),VLOOKUP(B1744&amp;C1744&amp;Q1744,'New Weekly Paste'!B:O,10,0)),0)</f>
        <v>125.06</v>
      </c>
      <c r="K1744" s="239">
        <f>IFERROR(IFERROR(VLOOKUP(B1744&amp;I1744&amp;Q1744,'New Weekly Paste'!A:M,8,0),VLOOKUP(B1744&amp;I1744&amp;Q1744,'New Weekly Paste'!B:O,10,0)),0)</f>
        <v>82.44</v>
      </c>
      <c r="L1744" s="239">
        <f t="shared" si="25"/>
        <v>1</v>
      </c>
      <c r="M1744" s="36" t="str">
        <f t="shared" si="3"/>
        <v>Playoffs</v>
      </c>
      <c r="N1744" s="239" t="str">
        <f t="shared" si="26"/>
        <v>Rooney/Jackson</v>
      </c>
      <c r="O1744" s="6">
        <f>VLOOKUP(D1744,'Mapped Opponent'!$G$4:$H$22,2,0)</f>
        <v>16</v>
      </c>
      <c r="P1744" s="6"/>
      <c r="Q1744" s="6" t="str">
        <f t="shared" si="4"/>
        <v>Week 16</v>
      </c>
      <c r="R1744" s="6" t="str">
        <f t="shared" si="5"/>
        <v>2020Round 2</v>
      </c>
      <c r="S1744" s="6">
        <f>IFERROR(__xludf.DUMMYFUNCTION("rank(J1744,FILTER(J:J,R:R=R1744))"),2.0)</f>
        <v>2</v>
      </c>
      <c r="T1744" s="6">
        <f t="shared" si="6"/>
        <v>10</v>
      </c>
      <c r="U1744" s="6">
        <f t="shared" si="7"/>
        <v>2</v>
      </c>
      <c r="V1744" s="42">
        <f>averageif(AllData!A:A,B1744,AllData!R:R)/vlookup(B1744,AllData!A:O,15,0)</f>
        <v>95.94858974</v>
      </c>
      <c r="W1744" s="6"/>
    </row>
    <row r="1745" ht="14.25" customHeight="1">
      <c r="A1745" s="6" t="str">
        <f t="shared" si="1"/>
        <v>2020Shep16</v>
      </c>
      <c r="B1745" s="59">
        <v>2020.0</v>
      </c>
      <c r="C1745" s="13" t="s">
        <v>89</v>
      </c>
      <c r="D1745" s="13" t="s">
        <v>153</v>
      </c>
      <c r="E1745" s="34"/>
      <c r="F1745" s="6"/>
      <c r="H1745" s="6"/>
      <c r="I1745" s="35" t="str">
        <f>IFERROR(IFERROR(IFERROR(VLOOKUP(B1745&amp;C1745&amp;Q1745,'New Weekly Paste'!A:M,10,0),VLOOKUP(B1745&amp;C1745&amp;Q1745,'New Weekly Paste'!B:O,6,0)),""),"")</f>
        <v>Hudspeath</v>
      </c>
      <c r="J1745" s="239">
        <f>IFERROR(IFERROR(VLOOKUP(B1745&amp;C1745&amp;Q1745,'New Weekly Paste'!A:M,8,0),VLOOKUP(B1745&amp;C1745&amp;Q1745,'New Weekly Paste'!B:O,10,0)),0)</f>
        <v>73.94</v>
      </c>
      <c r="K1745" s="239">
        <f>IFERROR(IFERROR(VLOOKUP(B1745&amp;I1745&amp;Q1745,'New Weekly Paste'!A:M,8,0),VLOOKUP(B1745&amp;I1745&amp;Q1745,'New Weekly Paste'!B:O,10,0)),0)</f>
        <v>87.12</v>
      </c>
      <c r="L1745" s="239">
        <f t="shared" si="25"/>
        <v>0</v>
      </c>
      <c r="M1745" s="36" t="str">
        <f t="shared" si="3"/>
        <v>Playoffs</v>
      </c>
      <c r="N1745" s="239" t="str">
        <f t="shared" si="26"/>
        <v>Hudspeath</v>
      </c>
      <c r="O1745" s="6">
        <f>VLOOKUP(D1745,'Mapped Opponent'!$G$4:$H$22,2,0)</f>
        <v>16</v>
      </c>
      <c r="P1745" s="6"/>
      <c r="Q1745" s="6" t="str">
        <f t="shared" si="4"/>
        <v>Week 16</v>
      </c>
      <c r="R1745" s="6" t="str">
        <f t="shared" si="5"/>
        <v>2020Round 2</v>
      </c>
      <c r="S1745" s="6">
        <f>IFERROR(__xludf.DUMMYFUNCTION("rank(J1745,FILTER(J:J,R:R=R1745))"),12.0)</f>
        <v>12</v>
      </c>
      <c r="T1745" s="6">
        <f t="shared" si="6"/>
        <v>0</v>
      </c>
      <c r="U1745" s="6">
        <f t="shared" si="7"/>
        <v>12</v>
      </c>
      <c r="V1745" s="42">
        <f>averageif(AllData!A:A,B1745,AllData!R:R)/vlookup(B1745,AllData!A:O,15,0)</f>
        <v>95.94858974</v>
      </c>
      <c r="W1745" s="6"/>
    </row>
    <row r="1746" ht="14.25" customHeight="1">
      <c r="A1746" s="6" t="str">
        <f t="shared" si="1"/>
        <v>2020Riley16</v>
      </c>
      <c r="B1746" s="59">
        <v>2020.0</v>
      </c>
      <c r="C1746" s="13" t="s">
        <v>67</v>
      </c>
      <c r="D1746" s="13" t="s">
        <v>153</v>
      </c>
      <c r="E1746" s="34"/>
      <c r="F1746" s="6"/>
      <c r="H1746" s="6"/>
      <c r="I1746" s="35" t="str">
        <f>IFERROR(IFERROR(IFERROR(VLOOKUP(B1746&amp;C1746&amp;Q1746,'New Weekly Paste'!A:M,10,0),VLOOKUP(B1746&amp;C1746&amp;Q1746,'New Weekly Paste'!B:O,6,0)),""),"")</f>
        <v>Cock</v>
      </c>
      <c r="J1746" s="239">
        <f>IFERROR(IFERROR(VLOOKUP(B1746&amp;C1746&amp;Q1746,'New Weekly Paste'!A:M,8,0),VLOOKUP(B1746&amp;C1746&amp;Q1746,'New Weekly Paste'!B:O,10,0)),0)</f>
        <v>123.5</v>
      </c>
      <c r="K1746" s="239">
        <f>IFERROR(IFERROR(VLOOKUP(B1746&amp;I1746&amp;Q1746,'New Weekly Paste'!A:M,8,0),VLOOKUP(B1746&amp;I1746&amp;Q1746,'New Weekly Paste'!B:O,10,0)),0)</f>
        <v>80.74</v>
      </c>
      <c r="L1746" s="239">
        <f t="shared" si="25"/>
        <v>1</v>
      </c>
      <c r="M1746" s="36" t="str">
        <f t="shared" si="3"/>
        <v>Playoffs</v>
      </c>
      <c r="N1746" s="239" t="str">
        <f t="shared" si="26"/>
        <v>Cock</v>
      </c>
      <c r="O1746" s="6">
        <f>VLOOKUP(D1746,'Mapped Opponent'!$G$4:$H$22,2,0)</f>
        <v>16</v>
      </c>
      <c r="P1746" s="6"/>
      <c r="Q1746" s="6" t="str">
        <f t="shared" si="4"/>
        <v>Week 16</v>
      </c>
      <c r="R1746" s="6" t="str">
        <f t="shared" si="5"/>
        <v>2020Round 2</v>
      </c>
      <c r="S1746" s="6">
        <f>IFERROR(__xludf.DUMMYFUNCTION("rank(J1746,FILTER(J:J,R:R=R1746))"),3.0)</f>
        <v>3</v>
      </c>
      <c r="T1746" s="6">
        <f t="shared" si="6"/>
        <v>9</v>
      </c>
      <c r="U1746" s="6">
        <f t="shared" si="7"/>
        <v>3</v>
      </c>
      <c r="V1746" s="42">
        <f>averageif(AllData!A:A,B1746,AllData!R:R)/vlookup(B1746,AllData!A:O,15,0)</f>
        <v>95.94858974</v>
      </c>
      <c r="W1746" s="6"/>
    </row>
    <row r="1747" ht="14.25" customHeight="1">
      <c r="A1747" s="6" t="str">
        <f t="shared" si="1"/>
        <v>2020Rooney/Jackson16</v>
      </c>
      <c r="B1747" s="59">
        <v>2020.0</v>
      </c>
      <c r="C1747" s="13" t="s">
        <v>57</v>
      </c>
      <c r="D1747" s="13" t="s">
        <v>153</v>
      </c>
      <c r="E1747" s="34"/>
      <c r="F1747" s="6"/>
      <c r="H1747" s="6"/>
      <c r="I1747" s="35" t="str">
        <f>IFERROR(IFERROR(IFERROR(VLOOKUP(B1747&amp;C1747&amp;Q1747,'New Weekly Paste'!A:M,10,0),VLOOKUP(B1747&amp;C1747&amp;Q1747,'New Weekly Paste'!B:O,6,0)),""),"")</f>
        <v>Fellows</v>
      </c>
      <c r="J1747" s="239">
        <f>IFERROR(IFERROR(VLOOKUP(B1747&amp;C1747&amp;Q1747,'New Weekly Paste'!A:M,8,0),VLOOKUP(B1747&amp;C1747&amp;Q1747,'New Weekly Paste'!B:O,10,0)),0)</f>
        <v>82.44</v>
      </c>
      <c r="K1747" s="239">
        <f>IFERROR(IFERROR(VLOOKUP(B1747&amp;I1747&amp;Q1747,'New Weekly Paste'!A:M,8,0),VLOOKUP(B1747&amp;I1747&amp;Q1747,'New Weekly Paste'!B:O,10,0)),0)</f>
        <v>125.06</v>
      </c>
      <c r="L1747" s="239">
        <f t="shared" si="25"/>
        <v>0</v>
      </c>
      <c r="M1747" s="36" t="str">
        <f t="shared" si="3"/>
        <v>Playoffs</v>
      </c>
      <c r="N1747" s="239" t="str">
        <f t="shared" si="26"/>
        <v>Fellows</v>
      </c>
      <c r="O1747" s="6">
        <f>VLOOKUP(D1747,'Mapped Opponent'!$G$4:$H$22,2,0)</f>
        <v>16</v>
      </c>
      <c r="P1747" s="6"/>
      <c r="Q1747" s="6" t="str">
        <f t="shared" si="4"/>
        <v>Week 16</v>
      </c>
      <c r="R1747" s="6" t="str">
        <f t="shared" si="5"/>
        <v>2020Round 2</v>
      </c>
      <c r="S1747" s="6">
        <f>IFERROR(__xludf.DUMMYFUNCTION("rank(J1747,FILTER(J:J,R:R=R1747))"),9.0)</f>
        <v>9</v>
      </c>
      <c r="T1747" s="6">
        <f t="shared" si="6"/>
        <v>3</v>
      </c>
      <c r="U1747" s="6">
        <f t="shared" si="7"/>
        <v>9</v>
      </c>
      <c r="V1747" s="42">
        <f>averageif(AllData!A:A,B1747,AllData!R:R)/vlookup(B1747,AllData!A:O,15,0)</f>
        <v>95.94858974</v>
      </c>
      <c r="W1747" s="6"/>
    </row>
    <row r="1748" ht="14.25" customHeight="1">
      <c r="A1748" s="6" t="str">
        <f t="shared" si="1"/>
        <v>2020Buser16</v>
      </c>
      <c r="B1748" s="59">
        <v>2020.0</v>
      </c>
      <c r="C1748" s="13" t="s">
        <v>47</v>
      </c>
      <c r="D1748" s="13" t="s">
        <v>153</v>
      </c>
      <c r="E1748" s="34"/>
      <c r="F1748" s="6"/>
      <c r="H1748" s="6"/>
      <c r="I1748" s="35" t="str">
        <f>IFERROR(IFERROR(IFERROR(VLOOKUP(B1748&amp;C1748&amp;Q1748,'New Weekly Paste'!A:M,10,0),VLOOKUP(B1748&amp;C1748&amp;Q1748,'New Weekly Paste'!B:O,6,0)),""),"")</f>
        <v>KnardDawg</v>
      </c>
      <c r="J1748" s="239">
        <f>IFERROR(IFERROR(VLOOKUP(B1748&amp;C1748&amp;Q1748,'New Weekly Paste'!A:M,8,0),VLOOKUP(B1748&amp;C1748&amp;Q1748,'New Weekly Paste'!B:O,10,0)),0)</f>
        <v>75.88</v>
      </c>
      <c r="K1748" s="239">
        <f>IFERROR(IFERROR(VLOOKUP(B1748&amp;I1748&amp;Q1748,'New Weekly Paste'!A:M,8,0),VLOOKUP(B1748&amp;I1748&amp;Q1748,'New Weekly Paste'!B:O,10,0)),0)</f>
        <v>130.26</v>
      </c>
      <c r="L1748" s="239">
        <f t="shared" si="25"/>
        <v>0</v>
      </c>
      <c r="M1748" s="36" t="str">
        <f t="shared" si="3"/>
        <v>Playoffs</v>
      </c>
      <c r="N1748" s="239" t="str">
        <f t="shared" si="26"/>
        <v>KnardDawg</v>
      </c>
      <c r="O1748" s="6">
        <f>VLOOKUP(D1748,'Mapped Opponent'!$G$4:$H$22,2,0)</f>
        <v>16</v>
      </c>
      <c r="P1748" s="6"/>
      <c r="Q1748" s="6" t="str">
        <f t="shared" si="4"/>
        <v>Week 16</v>
      </c>
      <c r="R1748" s="6" t="str">
        <f t="shared" si="5"/>
        <v>2020Round 2</v>
      </c>
      <c r="S1748" s="6">
        <f>IFERROR(__xludf.DUMMYFUNCTION("rank(J1748,FILTER(J:J,R:R=R1748))"),11.0)</f>
        <v>11</v>
      </c>
      <c r="T1748" s="6">
        <f t="shared" si="6"/>
        <v>1</v>
      </c>
      <c r="U1748" s="6">
        <f t="shared" si="7"/>
        <v>11</v>
      </c>
      <c r="V1748" s="42">
        <f>averageif(AllData!A:A,B1748,AllData!R:R)/vlookup(B1748,AllData!A:O,15,0)</f>
        <v>95.94858974</v>
      </c>
      <c r="W1748" s="6"/>
    </row>
    <row r="1749" ht="14.25" customHeight="1">
      <c r="A1749" s="6" t="str">
        <f t="shared" si="1"/>
        <v>2020Pierson16</v>
      </c>
      <c r="B1749" s="59">
        <v>2020.0</v>
      </c>
      <c r="C1749" s="13" t="s">
        <v>92</v>
      </c>
      <c r="D1749" s="13" t="s">
        <v>153</v>
      </c>
      <c r="E1749" s="34"/>
      <c r="F1749" s="6"/>
      <c r="H1749" s="6"/>
      <c r="I1749" s="35" t="str">
        <f>IFERROR(IFERROR(IFERROR(VLOOKUP(B1749&amp;C1749&amp;Q1749,'New Weekly Paste'!A:M,10,0),VLOOKUP(B1749&amp;C1749&amp;Q1749,'New Weekly Paste'!B:O,6,0)),""),"")</f>
        <v>Tayski</v>
      </c>
      <c r="J1749" s="239">
        <f>IFERROR(IFERROR(VLOOKUP(B1749&amp;C1749&amp;Q1749,'New Weekly Paste'!A:M,8,0),VLOOKUP(B1749&amp;C1749&amp;Q1749,'New Weekly Paste'!B:O,10,0)),0)</f>
        <v>97.22</v>
      </c>
      <c r="K1749" s="239">
        <f>IFERROR(IFERROR(VLOOKUP(B1749&amp;I1749&amp;Q1749,'New Weekly Paste'!A:M,8,0),VLOOKUP(B1749&amp;I1749&amp;Q1749,'New Weekly Paste'!B:O,10,0)),0)</f>
        <v>104.58</v>
      </c>
      <c r="L1749" s="239">
        <f t="shared" si="25"/>
        <v>0</v>
      </c>
      <c r="M1749" s="36" t="str">
        <f t="shared" si="3"/>
        <v>Playoffs</v>
      </c>
      <c r="N1749" s="239" t="str">
        <f t="shared" si="26"/>
        <v>Tayski</v>
      </c>
      <c r="O1749" s="6">
        <f>VLOOKUP(D1749,'Mapped Opponent'!$G$4:$H$22,2,0)</f>
        <v>16</v>
      </c>
      <c r="P1749" s="6"/>
      <c r="Q1749" s="6" t="str">
        <f t="shared" si="4"/>
        <v>Week 16</v>
      </c>
      <c r="R1749" s="6" t="str">
        <f t="shared" si="5"/>
        <v>2020Round 2</v>
      </c>
      <c r="S1749" s="6">
        <f>IFERROR(__xludf.DUMMYFUNCTION("rank(J1749,FILTER(J:J,R:R=R1749))"),6.0)</f>
        <v>6</v>
      </c>
      <c r="T1749" s="6">
        <f t="shared" si="6"/>
        <v>6</v>
      </c>
      <c r="U1749" s="6">
        <f t="shared" si="7"/>
        <v>6</v>
      </c>
      <c r="V1749" s="42">
        <f>averageif(AllData!A:A,B1749,AllData!R:R)/vlookup(B1749,AllData!A:O,15,0)</f>
        <v>95.94858974</v>
      </c>
      <c r="W1749" s="6"/>
    </row>
    <row r="1750" ht="14.25" customHeight="1">
      <c r="A1750" s="6" t="str">
        <f t="shared" si="1"/>
        <v>2020Cock16</v>
      </c>
      <c r="B1750" s="59">
        <v>2020.0</v>
      </c>
      <c r="C1750" s="13" t="s">
        <v>72</v>
      </c>
      <c r="D1750" s="13" t="s">
        <v>153</v>
      </c>
      <c r="E1750" s="34"/>
      <c r="F1750" s="6"/>
      <c r="H1750" s="6"/>
      <c r="I1750" s="35" t="str">
        <f>IFERROR(IFERROR(IFERROR(VLOOKUP(B1750&amp;C1750&amp;Q1750,'New Weekly Paste'!A:M,10,0),VLOOKUP(B1750&amp;C1750&amp;Q1750,'New Weekly Paste'!B:O,6,0)),""),"")</f>
        <v>Riley</v>
      </c>
      <c r="J1750" s="239">
        <f>IFERROR(IFERROR(VLOOKUP(B1750&amp;C1750&amp;Q1750,'New Weekly Paste'!A:M,8,0),VLOOKUP(B1750&amp;C1750&amp;Q1750,'New Weekly Paste'!B:O,10,0)),0)</f>
        <v>80.74</v>
      </c>
      <c r="K1750" s="239">
        <f>IFERROR(IFERROR(VLOOKUP(B1750&amp;I1750&amp;Q1750,'New Weekly Paste'!A:M,8,0),VLOOKUP(B1750&amp;I1750&amp;Q1750,'New Weekly Paste'!B:O,10,0)),0)</f>
        <v>123.5</v>
      </c>
      <c r="L1750" s="239">
        <f t="shared" si="25"/>
        <v>0</v>
      </c>
      <c r="M1750" s="36" t="str">
        <f t="shared" si="3"/>
        <v>Playoffs</v>
      </c>
      <c r="N1750" s="239" t="str">
        <f t="shared" si="26"/>
        <v>Riley</v>
      </c>
      <c r="O1750" s="6">
        <f>VLOOKUP(D1750,'Mapped Opponent'!$G$4:$H$22,2,0)</f>
        <v>16</v>
      </c>
      <c r="P1750" s="6"/>
      <c r="Q1750" s="6" t="str">
        <f t="shared" si="4"/>
        <v>Week 16</v>
      </c>
      <c r="R1750" s="6" t="str">
        <f t="shared" si="5"/>
        <v>2020Round 2</v>
      </c>
      <c r="S1750" s="6">
        <f>IFERROR(__xludf.DUMMYFUNCTION("rank(J1750,FILTER(J:J,R:R=R1750))"),10.0)</f>
        <v>10</v>
      </c>
      <c r="T1750" s="6">
        <f t="shared" si="6"/>
        <v>2</v>
      </c>
      <c r="U1750" s="6">
        <f t="shared" si="7"/>
        <v>10</v>
      </c>
      <c r="V1750" s="42">
        <f>averageif(AllData!A:A,B1750,AllData!R:R)/vlookup(B1750,AllData!A:O,15,0)</f>
        <v>95.94858974</v>
      </c>
      <c r="W1750" s="6"/>
    </row>
    <row r="1751" ht="14.25" customHeight="1">
      <c r="A1751" s="6" t="str">
        <f t="shared" si="1"/>
        <v>2020Tayski16</v>
      </c>
      <c r="B1751" s="59">
        <v>2020.0</v>
      </c>
      <c r="C1751" s="13" t="s">
        <v>52</v>
      </c>
      <c r="D1751" s="13" t="s">
        <v>153</v>
      </c>
      <c r="E1751" s="34"/>
      <c r="F1751" s="6"/>
      <c r="H1751" s="6"/>
      <c r="I1751" s="35" t="str">
        <f>IFERROR(IFERROR(IFERROR(VLOOKUP(B1751&amp;C1751&amp;Q1751,'New Weekly Paste'!A:M,10,0),VLOOKUP(B1751&amp;C1751&amp;Q1751,'New Weekly Paste'!B:O,6,0)),""),"")</f>
        <v>Pierson</v>
      </c>
      <c r="J1751" s="239">
        <f>IFERROR(IFERROR(VLOOKUP(B1751&amp;C1751&amp;Q1751,'New Weekly Paste'!A:M,8,0),VLOOKUP(B1751&amp;C1751&amp;Q1751,'New Weekly Paste'!B:O,10,0)),0)</f>
        <v>104.58</v>
      </c>
      <c r="K1751" s="239">
        <f>IFERROR(IFERROR(VLOOKUP(B1751&amp;I1751&amp;Q1751,'New Weekly Paste'!A:M,8,0),VLOOKUP(B1751&amp;I1751&amp;Q1751,'New Weekly Paste'!B:O,10,0)),0)</f>
        <v>97.22</v>
      </c>
      <c r="L1751" s="239">
        <f t="shared" si="25"/>
        <v>1</v>
      </c>
      <c r="M1751" s="36" t="str">
        <f t="shared" si="3"/>
        <v>Playoffs</v>
      </c>
      <c r="N1751" s="239" t="str">
        <f t="shared" si="26"/>
        <v>Pierson</v>
      </c>
      <c r="O1751" s="6">
        <f>VLOOKUP(D1751,'Mapped Opponent'!$G$4:$H$22,2,0)</f>
        <v>16</v>
      </c>
      <c r="P1751" s="6"/>
      <c r="Q1751" s="6" t="str">
        <f t="shared" si="4"/>
        <v>Week 16</v>
      </c>
      <c r="R1751" s="6" t="str">
        <f t="shared" si="5"/>
        <v>2020Round 2</v>
      </c>
      <c r="S1751" s="6">
        <f>IFERROR(__xludf.DUMMYFUNCTION("rank(J1751,FILTER(J:J,R:R=R1751))"),5.0)</f>
        <v>5</v>
      </c>
      <c r="T1751" s="6">
        <f t="shared" si="6"/>
        <v>7</v>
      </c>
      <c r="U1751" s="6">
        <f t="shared" si="7"/>
        <v>5</v>
      </c>
      <c r="V1751" s="42">
        <f>averageif(AllData!A:A,B1751,AllData!R:R)/vlookup(B1751,AllData!A:O,15,0)</f>
        <v>95.94858974</v>
      </c>
      <c r="W1751" s="6"/>
    </row>
    <row r="1752" ht="14.25" customHeight="1">
      <c r="A1752" s="6" t="str">
        <f t="shared" si="1"/>
        <v>2020KnardDawg16</v>
      </c>
      <c r="B1752" s="59">
        <v>2020.0</v>
      </c>
      <c r="C1752" s="13" t="s">
        <v>86</v>
      </c>
      <c r="D1752" s="13" t="s">
        <v>153</v>
      </c>
      <c r="E1752" s="34"/>
      <c r="F1752" s="6"/>
      <c r="H1752" s="6"/>
      <c r="I1752" s="35" t="str">
        <f>IFERROR(IFERROR(IFERROR(VLOOKUP(B1752&amp;C1752&amp;Q1752,'New Weekly Paste'!A:M,10,0),VLOOKUP(B1752&amp;C1752&amp;Q1752,'New Weekly Paste'!B:O,6,0)),""),"")</f>
        <v>Buser</v>
      </c>
      <c r="J1752" s="239">
        <f>IFERROR(IFERROR(VLOOKUP(B1752&amp;C1752&amp;Q1752,'New Weekly Paste'!A:M,8,0),VLOOKUP(B1752&amp;C1752&amp;Q1752,'New Weekly Paste'!B:O,10,0)),0)</f>
        <v>130.26</v>
      </c>
      <c r="K1752" s="239">
        <f>IFERROR(IFERROR(VLOOKUP(B1752&amp;I1752&amp;Q1752,'New Weekly Paste'!A:M,8,0),VLOOKUP(B1752&amp;I1752&amp;Q1752,'New Weekly Paste'!B:O,10,0)),0)</f>
        <v>75.88</v>
      </c>
      <c r="L1752" s="239">
        <f t="shared" si="25"/>
        <v>1</v>
      </c>
      <c r="M1752" s="36" t="str">
        <f t="shared" si="3"/>
        <v>Playoffs</v>
      </c>
      <c r="N1752" s="239" t="str">
        <f t="shared" si="26"/>
        <v>Buser</v>
      </c>
      <c r="O1752" s="6">
        <f>VLOOKUP(D1752,'Mapped Opponent'!$G$4:$H$22,2,0)</f>
        <v>16</v>
      </c>
      <c r="P1752" s="6"/>
      <c r="Q1752" s="6" t="str">
        <f t="shared" si="4"/>
        <v>Week 16</v>
      </c>
      <c r="R1752" s="6" t="str">
        <f t="shared" si="5"/>
        <v>2020Round 2</v>
      </c>
      <c r="S1752" s="6">
        <f>IFERROR(__xludf.DUMMYFUNCTION("rank(J1752,FILTER(J:J,R:R=R1752))"),1.0)</f>
        <v>1</v>
      </c>
      <c r="T1752" s="6">
        <f t="shared" si="6"/>
        <v>11</v>
      </c>
      <c r="U1752" s="6">
        <f t="shared" si="7"/>
        <v>1</v>
      </c>
      <c r="V1752" s="42">
        <f>averageif(AllData!A:A,B1752,AllData!R:R)/vlookup(B1752,AllData!A:O,15,0)</f>
        <v>95.94858974</v>
      </c>
      <c r="W1752" s="6"/>
    </row>
    <row r="1753" ht="14.25" customHeight="1">
      <c r="A1753" s="6" t="str">
        <f t="shared" si="1"/>
        <v>2020T-How16</v>
      </c>
      <c r="B1753" s="59">
        <v>2020.0</v>
      </c>
      <c r="C1753" s="13" t="s">
        <v>82</v>
      </c>
      <c r="D1753" s="13" t="s">
        <v>153</v>
      </c>
      <c r="E1753" s="34"/>
      <c r="F1753" s="6"/>
      <c r="H1753" s="6"/>
      <c r="I1753" s="35" t="str">
        <f>IFERROR(IFERROR(IFERROR(VLOOKUP(B1753&amp;C1753&amp;Q1753,'New Weekly Paste'!A:M,10,0),VLOOKUP(B1753&amp;C1753&amp;Q1753,'New Weekly Paste'!B:O,6,0)),""),"")</f>
        <v>Salty</v>
      </c>
      <c r="J1753" s="239">
        <f>IFERROR(IFERROR(VLOOKUP(B1753&amp;C1753&amp;Q1753,'New Weekly Paste'!A:M,8,0),VLOOKUP(B1753&amp;C1753&amp;Q1753,'New Weekly Paste'!B:O,10,0)),0)</f>
        <v>87.42</v>
      </c>
      <c r="K1753" s="239">
        <f>IFERROR(IFERROR(VLOOKUP(B1753&amp;I1753&amp;Q1753,'New Weekly Paste'!A:M,8,0),VLOOKUP(B1753&amp;I1753&amp;Q1753,'New Weekly Paste'!B:O,10,0)),0)</f>
        <v>106.32</v>
      </c>
      <c r="L1753" s="239">
        <f t="shared" si="25"/>
        <v>0</v>
      </c>
      <c r="M1753" s="36" t="str">
        <f t="shared" si="3"/>
        <v>Playoffs</v>
      </c>
      <c r="N1753" s="239" t="str">
        <f t="shared" si="26"/>
        <v>Salty</v>
      </c>
      <c r="O1753" s="6">
        <f>VLOOKUP(D1753,'Mapped Opponent'!$G$4:$H$22,2,0)</f>
        <v>16</v>
      </c>
      <c r="P1753" s="6"/>
      <c r="Q1753" s="6" t="str">
        <f t="shared" si="4"/>
        <v>Week 16</v>
      </c>
      <c r="R1753" s="6" t="str">
        <f t="shared" si="5"/>
        <v>2020Round 2</v>
      </c>
      <c r="S1753" s="6">
        <f>IFERROR(__xludf.DUMMYFUNCTION("rank(J1753,FILTER(J:J,R:R=R1753))"),7.0)</f>
        <v>7</v>
      </c>
      <c r="T1753" s="6">
        <f t="shared" si="6"/>
        <v>5</v>
      </c>
      <c r="U1753" s="6">
        <f t="shared" si="7"/>
        <v>7</v>
      </c>
      <c r="V1753" s="42">
        <f>averageif(AllData!A:A,B1753,AllData!R:R)/vlookup(B1753,AllData!A:O,15,0)</f>
        <v>95.94858974</v>
      </c>
      <c r="W1753" s="6"/>
    </row>
    <row r="1754" ht="14.25" customHeight="1">
      <c r="A1754" s="6" t="str">
        <f t="shared" si="1"/>
        <v>2020Hudspeath17</v>
      </c>
      <c r="B1754" s="59">
        <v>2020.0</v>
      </c>
      <c r="C1754" s="13" t="s">
        <v>39</v>
      </c>
      <c r="D1754" s="13" t="s">
        <v>154</v>
      </c>
      <c r="E1754" s="34"/>
      <c r="F1754" s="6"/>
      <c r="H1754" s="6"/>
      <c r="I1754" s="35" t="str">
        <f>IFERROR(IFERROR(IFERROR(VLOOKUP(B1754&amp;C1754&amp;Q1754,'New Weekly Paste'!A:M,10,0),VLOOKUP(B1754&amp;C1754&amp;Q1754,'New Weekly Paste'!B:O,6,0)),""),"")</f>
        <v/>
      </c>
      <c r="J1754" s="239">
        <f>IFERROR(IFERROR(VLOOKUP(B1754&amp;C1754&amp;Q1754,'New Weekly Paste'!A:M,8,0),VLOOKUP(B1754&amp;C1754&amp;Q1754,'New Weekly Paste'!B:O,10,0)),0)</f>
        <v>0</v>
      </c>
      <c r="K1754" s="239">
        <f>IFERROR(IFERROR(VLOOKUP(B1754&amp;I1754&amp;Q1754,'New Weekly Paste'!A:M,8,0),VLOOKUP(B1754&amp;I1754&amp;Q1754,'New Weekly Paste'!B:O,10,0)),0)</f>
        <v>0</v>
      </c>
      <c r="L1754" s="239">
        <f t="shared" si="25"/>
        <v>0</v>
      </c>
      <c r="M1754" s="36" t="str">
        <f t="shared" si="3"/>
        <v>Playoffs</v>
      </c>
      <c r="N1754" s="239" t="str">
        <f t="shared" si="26"/>
        <v/>
      </c>
      <c r="O1754" s="6">
        <f>VLOOKUP(D1754,'Mapped Opponent'!$G$4:$H$22,2,0)</f>
        <v>17</v>
      </c>
      <c r="P1754" s="6"/>
      <c r="Q1754" s="6" t="str">
        <f t="shared" si="4"/>
        <v>Week 17</v>
      </c>
      <c r="R1754" s="6" t="str">
        <f t="shared" si="5"/>
        <v>2020Round 3</v>
      </c>
      <c r="S1754" s="6">
        <f>IFERROR(__xludf.DUMMYFUNCTION("rank(J1754,FILTER(J:J,R:R=R1754))"),1.0)</f>
        <v>1</v>
      </c>
      <c r="T1754" s="6">
        <f t="shared" si="6"/>
        <v>11</v>
      </c>
      <c r="U1754" s="6">
        <f t="shared" si="7"/>
        <v>1</v>
      </c>
      <c r="V1754" s="42">
        <f>averageif(AllData!A:A,B1754,AllData!R:R)/vlookup(B1754,AllData!A:O,15,0)</f>
        <v>95.94858974</v>
      </c>
      <c r="W1754" s="6"/>
    </row>
    <row r="1755" ht="14.25" customHeight="1">
      <c r="A1755" s="6" t="str">
        <f t="shared" si="1"/>
        <v>2020Salty17</v>
      </c>
      <c r="B1755" s="59">
        <v>2020.0</v>
      </c>
      <c r="C1755" s="13" t="s">
        <v>76</v>
      </c>
      <c r="D1755" s="13" t="s">
        <v>154</v>
      </c>
      <c r="E1755" s="34"/>
      <c r="F1755" s="6"/>
      <c r="H1755" s="6"/>
      <c r="I1755" s="35" t="str">
        <f>IFERROR(IFERROR(IFERROR(VLOOKUP(B1755&amp;C1755&amp;Q1755,'New Weekly Paste'!A:M,10,0),VLOOKUP(B1755&amp;C1755&amp;Q1755,'New Weekly Paste'!B:O,6,0)),""),"")</f>
        <v/>
      </c>
      <c r="J1755" s="239">
        <f>IFERROR(IFERROR(VLOOKUP(B1755&amp;C1755&amp;Q1755,'New Weekly Paste'!A:M,8,0),VLOOKUP(B1755&amp;C1755&amp;Q1755,'New Weekly Paste'!B:O,10,0)),0)</f>
        <v>0</v>
      </c>
      <c r="K1755" s="239">
        <f>IFERROR(IFERROR(VLOOKUP(B1755&amp;I1755&amp;Q1755,'New Weekly Paste'!A:M,8,0),VLOOKUP(B1755&amp;I1755&amp;Q1755,'New Weekly Paste'!B:O,10,0)),0)</f>
        <v>0</v>
      </c>
      <c r="L1755" s="239">
        <f t="shared" si="25"/>
        <v>0</v>
      </c>
      <c r="M1755" s="36" t="str">
        <f t="shared" si="3"/>
        <v>Playoffs</v>
      </c>
      <c r="N1755" s="239" t="str">
        <f t="shared" si="26"/>
        <v/>
      </c>
      <c r="O1755" s="6">
        <f>VLOOKUP(D1755,'Mapped Opponent'!$G$4:$H$22,2,0)</f>
        <v>17</v>
      </c>
      <c r="P1755" s="6"/>
      <c r="Q1755" s="6" t="str">
        <f t="shared" si="4"/>
        <v>Week 17</v>
      </c>
      <c r="R1755" s="6" t="str">
        <f t="shared" si="5"/>
        <v>2020Round 3</v>
      </c>
      <c r="S1755" s="6">
        <f>IFERROR(__xludf.DUMMYFUNCTION("rank(J1755,FILTER(J:J,R:R=R1755))"),1.0)</f>
        <v>1</v>
      </c>
      <c r="T1755" s="6">
        <f t="shared" si="6"/>
        <v>11</v>
      </c>
      <c r="U1755" s="6">
        <f t="shared" si="7"/>
        <v>1</v>
      </c>
      <c r="V1755" s="42">
        <f>averageif(AllData!A:A,B1755,AllData!R:R)/vlookup(B1755,AllData!A:O,15,0)</f>
        <v>95.94858974</v>
      </c>
      <c r="W1755" s="6"/>
    </row>
    <row r="1756" ht="14.25" customHeight="1">
      <c r="A1756" s="6" t="str">
        <f t="shared" si="1"/>
        <v>2020Fellows17</v>
      </c>
      <c r="B1756" s="59">
        <v>2020.0</v>
      </c>
      <c r="C1756" s="13" t="s">
        <v>79</v>
      </c>
      <c r="D1756" s="13" t="s">
        <v>154</v>
      </c>
      <c r="E1756" s="34"/>
      <c r="F1756" s="6"/>
      <c r="H1756" s="6"/>
      <c r="I1756" s="35" t="str">
        <f>IFERROR(IFERROR(IFERROR(VLOOKUP(B1756&amp;C1756&amp;Q1756,'New Weekly Paste'!A:M,10,0),VLOOKUP(B1756&amp;C1756&amp;Q1756,'New Weekly Paste'!B:O,6,0)),""),"")</f>
        <v/>
      </c>
      <c r="J1756" s="239">
        <f>IFERROR(IFERROR(VLOOKUP(B1756&amp;C1756&amp;Q1756,'New Weekly Paste'!A:M,8,0),VLOOKUP(B1756&amp;C1756&amp;Q1756,'New Weekly Paste'!B:O,10,0)),0)</f>
        <v>0</v>
      </c>
      <c r="K1756" s="239">
        <f>IFERROR(IFERROR(VLOOKUP(B1756&amp;I1756&amp;Q1756,'New Weekly Paste'!A:M,8,0),VLOOKUP(B1756&amp;I1756&amp;Q1756,'New Weekly Paste'!B:O,10,0)),0)</f>
        <v>0</v>
      </c>
      <c r="L1756" s="239">
        <f t="shared" si="25"/>
        <v>0</v>
      </c>
      <c r="M1756" s="36" t="str">
        <f t="shared" si="3"/>
        <v>Playoffs</v>
      </c>
      <c r="N1756" s="239" t="str">
        <f t="shared" si="26"/>
        <v/>
      </c>
      <c r="O1756" s="6">
        <f>VLOOKUP(D1756,'Mapped Opponent'!$G$4:$H$22,2,0)</f>
        <v>17</v>
      </c>
      <c r="P1756" s="6"/>
      <c r="Q1756" s="6" t="str">
        <f t="shared" si="4"/>
        <v>Week 17</v>
      </c>
      <c r="R1756" s="6" t="str">
        <f t="shared" si="5"/>
        <v>2020Round 3</v>
      </c>
      <c r="S1756" s="6">
        <f>IFERROR(__xludf.DUMMYFUNCTION("rank(J1756,FILTER(J:J,R:R=R1756))"),1.0)</f>
        <v>1</v>
      </c>
      <c r="T1756" s="6">
        <f t="shared" si="6"/>
        <v>11</v>
      </c>
      <c r="U1756" s="6">
        <f t="shared" si="7"/>
        <v>1</v>
      </c>
      <c r="V1756" s="42">
        <f>averageif(AllData!A:A,B1756,AllData!R:R)/vlookup(B1756,AllData!A:O,15,0)</f>
        <v>95.94858974</v>
      </c>
      <c r="W1756" s="6"/>
    </row>
    <row r="1757" ht="14.25" customHeight="1">
      <c r="A1757" s="6" t="str">
        <f t="shared" si="1"/>
        <v>2020Shep17</v>
      </c>
      <c r="B1757" s="59">
        <v>2020.0</v>
      </c>
      <c r="C1757" s="13" t="s">
        <v>89</v>
      </c>
      <c r="D1757" s="13" t="s">
        <v>154</v>
      </c>
      <c r="E1757" s="34"/>
      <c r="F1757" s="6"/>
      <c r="H1757" s="6"/>
      <c r="I1757" s="35" t="str">
        <f>IFERROR(IFERROR(IFERROR(VLOOKUP(B1757&amp;C1757&amp;Q1757,'New Weekly Paste'!A:M,10,0),VLOOKUP(B1757&amp;C1757&amp;Q1757,'New Weekly Paste'!B:O,6,0)),""),"")</f>
        <v/>
      </c>
      <c r="J1757" s="239">
        <f>IFERROR(IFERROR(VLOOKUP(B1757&amp;C1757&amp;Q1757,'New Weekly Paste'!A:M,8,0),VLOOKUP(B1757&amp;C1757&amp;Q1757,'New Weekly Paste'!B:O,10,0)),0)</f>
        <v>0</v>
      </c>
      <c r="K1757" s="239">
        <f>IFERROR(IFERROR(VLOOKUP(B1757&amp;I1757&amp;Q1757,'New Weekly Paste'!A:M,8,0),VLOOKUP(B1757&amp;I1757&amp;Q1757,'New Weekly Paste'!B:O,10,0)),0)</f>
        <v>0</v>
      </c>
      <c r="L1757" s="239">
        <f t="shared" si="25"/>
        <v>0</v>
      </c>
      <c r="M1757" s="36" t="str">
        <f t="shared" si="3"/>
        <v>Playoffs</v>
      </c>
      <c r="N1757" s="239" t="str">
        <f t="shared" si="26"/>
        <v/>
      </c>
      <c r="O1757" s="6">
        <f>VLOOKUP(D1757,'Mapped Opponent'!$G$4:$H$22,2,0)</f>
        <v>17</v>
      </c>
      <c r="P1757" s="6"/>
      <c r="Q1757" s="6" t="str">
        <f t="shared" si="4"/>
        <v>Week 17</v>
      </c>
      <c r="R1757" s="6" t="str">
        <f t="shared" si="5"/>
        <v>2020Round 3</v>
      </c>
      <c r="S1757" s="6">
        <f>IFERROR(__xludf.DUMMYFUNCTION("rank(J1757,FILTER(J:J,R:R=R1757))"),1.0)</f>
        <v>1</v>
      </c>
      <c r="T1757" s="6">
        <f t="shared" si="6"/>
        <v>11</v>
      </c>
      <c r="U1757" s="6">
        <f t="shared" si="7"/>
        <v>1</v>
      </c>
      <c r="V1757" s="42">
        <f>averageif(AllData!A:A,B1757,AllData!R:R)/vlookup(B1757,AllData!A:O,15,0)</f>
        <v>95.94858974</v>
      </c>
      <c r="W1757" s="6"/>
    </row>
    <row r="1758" ht="14.25" customHeight="1">
      <c r="A1758" s="6" t="str">
        <f t="shared" si="1"/>
        <v>2020Riley17</v>
      </c>
      <c r="B1758" s="59">
        <v>2020.0</v>
      </c>
      <c r="C1758" s="13" t="s">
        <v>67</v>
      </c>
      <c r="D1758" s="13" t="s">
        <v>154</v>
      </c>
      <c r="E1758" s="34"/>
      <c r="F1758" s="6"/>
      <c r="H1758" s="6"/>
      <c r="I1758" s="35" t="str">
        <f>IFERROR(IFERROR(IFERROR(VLOOKUP(B1758&amp;C1758&amp;Q1758,'New Weekly Paste'!A:M,10,0),VLOOKUP(B1758&amp;C1758&amp;Q1758,'New Weekly Paste'!B:O,6,0)),""),"")</f>
        <v/>
      </c>
      <c r="J1758" s="239">
        <f>IFERROR(IFERROR(VLOOKUP(B1758&amp;C1758&amp;Q1758,'New Weekly Paste'!A:M,8,0),VLOOKUP(B1758&amp;C1758&amp;Q1758,'New Weekly Paste'!B:O,10,0)),0)</f>
        <v>0</v>
      </c>
      <c r="K1758" s="239">
        <f>IFERROR(IFERROR(VLOOKUP(B1758&amp;I1758&amp;Q1758,'New Weekly Paste'!A:M,8,0),VLOOKUP(B1758&amp;I1758&amp;Q1758,'New Weekly Paste'!B:O,10,0)),0)</f>
        <v>0</v>
      </c>
      <c r="L1758" s="239">
        <f t="shared" si="25"/>
        <v>0</v>
      </c>
      <c r="M1758" s="36" t="str">
        <f t="shared" si="3"/>
        <v>Playoffs</v>
      </c>
      <c r="N1758" s="239" t="str">
        <f t="shared" si="26"/>
        <v/>
      </c>
      <c r="O1758" s="6">
        <f>VLOOKUP(D1758,'Mapped Opponent'!$G$4:$H$22,2,0)</f>
        <v>17</v>
      </c>
      <c r="P1758" s="6"/>
      <c r="Q1758" s="6" t="str">
        <f t="shared" si="4"/>
        <v>Week 17</v>
      </c>
      <c r="R1758" s="6" t="str">
        <f t="shared" si="5"/>
        <v>2020Round 3</v>
      </c>
      <c r="S1758" s="6">
        <f>IFERROR(__xludf.DUMMYFUNCTION("rank(J1758,FILTER(J:J,R:R=R1758))"),1.0)</f>
        <v>1</v>
      </c>
      <c r="T1758" s="6">
        <f t="shared" si="6"/>
        <v>11</v>
      </c>
      <c r="U1758" s="6">
        <f t="shared" si="7"/>
        <v>1</v>
      </c>
      <c r="V1758" s="42">
        <f>averageif(AllData!A:A,B1758,AllData!R:R)/vlookup(B1758,AllData!A:O,15,0)</f>
        <v>95.94858974</v>
      </c>
      <c r="W1758" s="6"/>
    </row>
    <row r="1759" ht="14.25" customHeight="1">
      <c r="A1759" s="6" t="str">
        <f t="shared" si="1"/>
        <v>2020Rooney/Jackson17</v>
      </c>
      <c r="B1759" s="59">
        <v>2020.0</v>
      </c>
      <c r="C1759" s="13" t="s">
        <v>57</v>
      </c>
      <c r="D1759" s="13" t="s">
        <v>154</v>
      </c>
      <c r="E1759" s="34"/>
      <c r="F1759" s="6"/>
      <c r="H1759" s="6"/>
      <c r="I1759" s="35" t="str">
        <f>IFERROR(IFERROR(IFERROR(VLOOKUP(B1759&amp;C1759&amp;Q1759,'New Weekly Paste'!A:M,10,0),VLOOKUP(B1759&amp;C1759&amp;Q1759,'New Weekly Paste'!B:O,6,0)),""),"")</f>
        <v/>
      </c>
      <c r="J1759" s="239">
        <f>IFERROR(IFERROR(VLOOKUP(B1759&amp;C1759&amp;Q1759,'New Weekly Paste'!A:M,8,0),VLOOKUP(B1759&amp;C1759&amp;Q1759,'New Weekly Paste'!B:O,10,0)),0)</f>
        <v>0</v>
      </c>
      <c r="K1759" s="239">
        <f>IFERROR(IFERROR(VLOOKUP(B1759&amp;I1759&amp;Q1759,'New Weekly Paste'!A:M,8,0),VLOOKUP(B1759&amp;I1759&amp;Q1759,'New Weekly Paste'!B:O,10,0)),0)</f>
        <v>0</v>
      </c>
      <c r="L1759" s="239">
        <f t="shared" si="25"/>
        <v>0</v>
      </c>
      <c r="M1759" s="36" t="str">
        <f t="shared" si="3"/>
        <v>Playoffs</v>
      </c>
      <c r="N1759" s="239" t="str">
        <f t="shared" si="26"/>
        <v/>
      </c>
      <c r="O1759" s="6">
        <f>VLOOKUP(D1759,'Mapped Opponent'!$G$4:$H$22,2,0)</f>
        <v>17</v>
      </c>
      <c r="P1759" s="6"/>
      <c r="Q1759" s="6" t="str">
        <f t="shared" si="4"/>
        <v>Week 17</v>
      </c>
      <c r="R1759" s="6" t="str">
        <f t="shared" si="5"/>
        <v>2020Round 3</v>
      </c>
      <c r="S1759" s="6">
        <f>IFERROR(__xludf.DUMMYFUNCTION("rank(J1759,FILTER(J:J,R:R=R1759))"),1.0)</f>
        <v>1</v>
      </c>
      <c r="T1759" s="6">
        <f t="shared" si="6"/>
        <v>11</v>
      </c>
      <c r="U1759" s="6">
        <f t="shared" si="7"/>
        <v>1</v>
      </c>
      <c r="V1759" s="42">
        <f>averageif(AllData!A:A,B1759,AllData!R:R)/vlookup(B1759,AllData!A:O,15,0)</f>
        <v>95.94858974</v>
      </c>
      <c r="W1759" s="6"/>
    </row>
    <row r="1760" ht="14.25" customHeight="1">
      <c r="A1760" s="6" t="str">
        <f t="shared" si="1"/>
        <v>2020Buser17</v>
      </c>
      <c r="B1760" s="59">
        <v>2020.0</v>
      </c>
      <c r="C1760" s="13" t="s">
        <v>47</v>
      </c>
      <c r="D1760" s="13" t="s">
        <v>154</v>
      </c>
      <c r="E1760" s="34"/>
      <c r="F1760" s="6"/>
      <c r="H1760" s="6"/>
      <c r="I1760" s="35" t="str">
        <f>IFERROR(IFERROR(IFERROR(VLOOKUP(B1760&amp;C1760&amp;Q1760,'New Weekly Paste'!A:M,10,0),VLOOKUP(B1760&amp;C1760&amp;Q1760,'New Weekly Paste'!B:O,6,0)),""),"")</f>
        <v/>
      </c>
      <c r="J1760" s="239">
        <f>IFERROR(IFERROR(VLOOKUP(B1760&amp;C1760&amp;Q1760,'New Weekly Paste'!A:M,8,0),VLOOKUP(B1760&amp;C1760&amp;Q1760,'New Weekly Paste'!B:O,10,0)),0)</f>
        <v>0</v>
      </c>
      <c r="K1760" s="239">
        <f>IFERROR(IFERROR(VLOOKUP(B1760&amp;I1760&amp;Q1760,'New Weekly Paste'!A:M,8,0),VLOOKUP(B1760&amp;I1760&amp;Q1760,'New Weekly Paste'!B:O,10,0)),0)</f>
        <v>0</v>
      </c>
      <c r="L1760" s="239">
        <f t="shared" si="25"/>
        <v>0</v>
      </c>
      <c r="M1760" s="36" t="str">
        <f t="shared" si="3"/>
        <v>Playoffs</v>
      </c>
      <c r="N1760" s="239" t="str">
        <f t="shared" si="26"/>
        <v/>
      </c>
      <c r="O1760" s="6">
        <f>VLOOKUP(D1760,'Mapped Opponent'!$G$4:$H$22,2,0)</f>
        <v>17</v>
      </c>
      <c r="P1760" s="6"/>
      <c r="Q1760" s="6" t="str">
        <f t="shared" si="4"/>
        <v>Week 17</v>
      </c>
      <c r="R1760" s="6" t="str">
        <f t="shared" si="5"/>
        <v>2020Round 3</v>
      </c>
      <c r="S1760" s="6">
        <f>IFERROR(__xludf.DUMMYFUNCTION("rank(J1760,FILTER(J:J,R:R=R1760))"),1.0)</f>
        <v>1</v>
      </c>
      <c r="T1760" s="6">
        <f t="shared" si="6"/>
        <v>11</v>
      </c>
      <c r="U1760" s="6">
        <f t="shared" si="7"/>
        <v>1</v>
      </c>
      <c r="V1760" s="42">
        <f>averageif(AllData!A:A,B1760,AllData!R:R)/vlookup(B1760,AllData!A:O,15,0)</f>
        <v>95.94858974</v>
      </c>
      <c r="W1760" s="6"/>
    </row>
    <row r="1761" ht="14.25" customHeight="1">
      <c r="A1761" s="6" t="str">
        <f t="shared" si="1"/>
        <v>2020Pierson17</v>
      </c>
      <c r="B1761" s="59">
        <v>2020.0</v>
      </c>
      <c r="C1761" s="13" t="s">
        <v>92</v>
      </c>
      <c r="D1761" s="13" t="s">
        <v>154</v>
      </c>
      <c r="E1761" s="34"/>
      <c r="F1761" s="6"/>
      <c r="H1761" s="6"/>
      <c r="I1761" s="35" t="str">
        <f>IFERROR(IFERROR(IFERROR(VLOOKUP(B1761&amp;C1761&amp;Q1761,'New Weekly Paste'!A:M,10,0),VLOOKUP(B1761&amp;C1761&amp;Q1761,'New Weekly Paste'!B:O,6,0)),""),"")</f>
        <v/>
      </c>
      <c r="J1761" s="239">
        <f>IFERROR(IFERROR(VLOOKUP(B1761&amp;C1761&amp;Q1761,'New Weekly Paste'!A:M,8,0),VLOOKUP(B1761&amp;C1761&amp;Q1761,'New Weekly Paste'!B:O,10,0)),0)</f>
        <v>0</v>
      </c>
      <c r="K1761" s="239">
        <f>IFERROR(IFERROR(VLOOKUP(B1761&amp;I1761&amp;Q1761,'New Weekly Paste'!A:M,8,0),VLOOKUP(B1761&amp;I1761&amp;Q1761,'New Weekly Paste'!B:O,10,0)),0)</f>
        <v>0</v>
      </c>
      <c r="L1761" s="239">
        <f t="shared" si="25"/>
        <v>0</v>
      </c>
      <c r="M1761" s="36" t="str">
        <f t="shared" si="3"/>
        <v>Playoffs</v>
      </c>
      <c r="N1761" s="239" t="str">
        <f t="shared" si="26"/>
        <v/>
      </c>
      <c r="O1761" s="6">
        <f>VLOOKUP(D1761,'Mapped Opponent'!$G$4:$H$22,2,0)</f>
        <v>17</v>
      </c>
      <c r="P1761" s="6"/>
      <c r="Q1761" s="6" t="str">
        <f t="shared" si="4"/>
        <v>Week 17</v>
      </c>
      <c r="R1761" s="6" t="str">
        <f t="shared" si="5"/>
        <v>2020Round 3</v>
      </c>
      <c r="S1761" s="6">
        <f>IFERROR(__xludf.DUMMYFUNCTION("rank(J1761,FILTER(J:J,R:R=R1761))"),1.0)</f>
        <v>1</v>
      </c>
      <c r="T1761" s="6">
        <f t="shared" si="6"/>
        <v>11</v>
      </c>
      <c r="U1761" s="6">
        <f t="shared" si="7"/>
        <v>1</v>
      </c>
      <c r="V1761" s="42">
        <f>averageif(AllData!A:A,B1761,AllData!R:R)/vlookup(B1761,AllData!A:O,15,0)</f>
        <v>95.94858974</v>
      </c>
      <c r="W1761" s="6"/>
    </row>
    <row r="1762" ht="14.25" customHeight="1">
      <c r="A1762" s="6" t="str">
        <f t="shared" si="1"/>
        <v>2020Cock17</v>
      </c>
      <c r="B1762" s="59">
        <v>2020.0</v>
      </c>
      <c r="C1762" s="13" t="s">
        <v>72</v>
      </c>
      <c r="D1762" s="13" t="s">
        <v>154</v>
      </c>
      <c r="E1762" s="34"/>
      <c r="F1762" s="6"/>
      <c r="H1762" s="6"/>
      <c r="I1762" s="35" t="str">
        <f>IFERROR(IFERROR(IFERROR(VLOOKUP(B1762&amp;C1762&amp;Q1762,'New Weekly Paste'!A:M,10,0),VLOOKUP(B1762&amp;C1762&amp;Q1762,'New Weekly Paste'!B:O,6,0)),""),"")</f>
        <v/>
      </c>
      <c r="J1762" s="239">
        <f>IFERROR(IFERROR(VLOOKUP(B1762&amp;C1762&amp;Q1762,'New Weekly Paste'!A:M,8,0),VLOOKUP(B1762&amp;C1762&amp;Q1762,'New Weekly Paste'!B:O,10,0)),0)</f>
        <v>0</v>
      </c>
      <c r="K1762" s="239">
        <f>IFERROR(IFERROR(VLOOKUP(B1762&amp;I1762&amp;Q1762,'New Weekly Paste'!A:M,8,0),VLOOKUP(B1762&amp;I1762&amp;Q1762,'New Weekly Paste'!B:O,10,0)),0)</f>
        <v>0</v>
      </c>
      <c r="L1762" s="239">
        <f t="shared" si="25"/>
        <v>0</v>
      </c>
      <c r="M1762" s="36" t="str">
        <f t="shared" si="3"/>
        <v>Playoffs</v>
      </c>
      <c r="N1762" s="239" t="str">
        <f t="shared" si="26"/>
        <v/>
      </c>
      <c r="O1762" s="6">
        <f>VLOOKUP(D1762,'Mapped Opponent'!$G$4:$H$22,2,0)</f>
        <v>17</v>
      </c>
      <c r="P1762" s="6"/>
      <c r="Q1762" s="6" t="str">
        <f t="shared" si="4"/>
        <v>Week 17</v>
      </c>
      <c r="R1762" s="6" t="str">
        <f t="shared" si="5"/>
        <v>2020Round 3</v>
      </c>
      <c r="S1762" s="6">
        <f>IFERROR(__xludf.DUMMYFUNCTION("rank(J1762,FILTER(J:J,R:R=R1762))"),1.0)</f>
        <v>1</v>
      </c>
      <c r="T1762" s="6">
        <f t="shared" si="6"/>
        <v>11</v>
      </c>
      <c r="U1762" s="6">
        <f t="shared" si="7"/>
        <v>1</v>
      </c>
      <c r="V1762" s="42">
        <f>averageif(AllData!A:A,B1762,AllData!R:R)/vlookup(B1762,AllData!A:O,15,0)</f>
        <v>95.94858974</v>
      </c>
      <c r="W1762" s="6"/>
    </row>
    <row r="1763" ht="14.25" customHeight="1">
      <c r="A1763" s="6" t="str">
        <f t="shared" si="1"/>
        <v>2020Tayski17</v>
      </c>
      <c r="B1763" s="59">
        <v>2020.0</v>
      </c>
      <c r="C1763" s="13" t="s">
        <v>52</v>
      </c>
      <c r="D1763" s="13" t="s">
        <v>154</v>
      </c>
      <c r="E1763" s="34"/>
      <c r="F1763" s="6"/>
      <c r="H1763" s="6"/>
      <c r="I1763" s="35" t="str">
        <f>IFERROR(IFERROR(IFERROR(VLOOKUP(B1763&amp;C1763&amp;Q1763,'New Weekly Paste'!A:M,10,0),VLOOKUP(B1763&amp;C1763&amp;Q1763,'New Weekly Paste'!B:O,6,0)),""),"")</f>
        <v/>
      </c>
      <c r="J1763" s="239">
        <f>IFERROR(IFERROR(VLOOKUP(B1763&amp;C1763&amp;Q1763,'New Weekly Paste'!A:M,8,0),VLOOKUP(B1763&amp;C1763&amp;Q1763,'New Weekly Paste'!B:O,10,0)),0)</f>
        <v>0</v>
      </c>
      <c r="K1763" s="239">
        <f>IFERROR(IFERROR(VLOOKUP(B1763&amp;I1763&amp;Q1763,'New Weekly Paste'!A:M,8,0),VLOOKUP(B1763&amp;I1763&amp;Q1763,'New Weekly Paste'!B:O,10,0)),0)</f>
        <v>0</v>
      </c>
      <c r="L1763" s="239">
        <f t="shared" si="25"/>
        <v>0</v>
      </c>
      <c r="M1763" s="36" t="str">
        <f t="shared" si="3"/>
        <v>Playoffs</v>
      </c>
      <c r="N1763" s="239" t="str">
        <f t="shared" si="26"/>
        <v/>
      </c>
      <c r="O1763" s="6">
        <f>VLOOKUP(D1763,'Mapped Opponent'!$G$4:$H$22,2,0)</f>
        <v>17</v>
      </c>
      <c r="P1763" s="6"/>
      <c r="Q1763" s="6" t="str">
        <f t="shared" si="4"/>
        <v>Week 17</v>
      </c>
      <c r="R1763" s="6" t="str">
        <f t="shared" si="5"/>
        <v>2020Round 3</v>
      </c>
      <c r="S1763" s="6">
        <f>IFERROR(__xludf.DUMMYFUNCTION("rank(J1763,FILTER(J:J,R:R=R1763))"),1.0)</f>
        <v>1</v>
      </c>
      <c r="T1763" s="6">
        <f t="shared" si="6"/>
        <v>11</v>
      </c>
      <c r="U1763" s="6">
        <f t="shared" si="7"/>
        <v>1</v>
      </c>
      <c r="V1763" s="42">
        <f>averageif(AllData!A:A,B1763,AllData!R:R)/vlookup(B1763,AllData!A:O,15,0)</f>
        <v>95.94858974</v>
      </c>
      <c r="W1763" s="6"/>
    </row>
    <row r="1764" ht="14.25" customHeight="1">
      <c r="A1764" s="6" t="str">
        <f t="shared" si="1"/>
        <v>2020KnardDawg17</v>
      </c>
      <c r="B1764" s="59">
        <v>2020.0</v>
      </c>
      <c r="C1764" s="13" t="s">
        <v>86</v>
      </c>
      <c r="D1764" s="13" t="s">
        <v>154</v>
      </c>
      <c r="E1764" s="34"/>
      <c r="F1764" s="6"/>
      <c r="H1764" s="6"/>
      <c r="I1764" s="35" t="str">
        <f>IFERROR(IFERROR(IFERROR(VLOOKUP(B1764&amp;C1764&amp;Q1764,'New Weekly Paste'!A:M,10,0),VLOOKUP(B1764&amp;C1764&amp;Q1764,'New Weekly Paste'!B:O,6,0)),""),"")</f>
        <v/>
      </c>
      <c r="J1764" s="239">
        <f>IFERROR(IFERROR(VLOOKUP(B1764&amp;C1764&amp;Q1764,'New Weekly Paste'!A:M,8,0),VLOOKUP(B1764&amp;C1764&amp;Q1764,'New Weekly Paste'!B:O,10,0)),0)</f>
        <v>0</v>
      </c>
      <c r="K1764" s="239">
        <f>IFERROR(IFERROR(VLOOKUP(B1764&amp;I1764&amp;Q1764,'New Weekly Paste'!A:M,8,0),VLOOKUP(B1764&amp;I1764&amp;Q1764,'New Weekly Paste'!B:O,10,0)),0)</f>
        <v>0</v>
      </c>
      <c r="L1764" s="239">
        <f t="shared" si="25"/>
        <v>0</v>
      </c>
      <c r="M1764" s="36" t="str">
        <f t="shared" si="3"/>
        <v>Playoffs</v>
      </c>
      <c r="N1764" s="239" t="str">
        <f t="shared" si="26"/>
        <v/>
      </c>
      <c r="O1764" s="6">
        <f>VLOOKUP(D1764,'Mapped Opponent'!$G$4:$H$22,2,0)</f>
        <v>17</v>
      </c>
      <c r="P1764" s="6"/>
      <c r="Q1764" s="6" t="str">
        <f t="shared" si="4"/>
        <v>Week 17</v>
      </c>
      <c r="R1764" s="6" t="str">
        <f t="shared" si="5"/>
        <v>2020Round 3</v>
      </c>
      <c r="S1764" s="6">
        <f>IFERROR(__xludf.DUMMYFUNCTION("rank(J1764,FILTER(J:J,R:R=R1764))"),1.0)</f>
        <v>1</v>
      </c>
      <c r="T1764" s="6">
        <f t="shared" si="6"/>
        <v>11</v>
      </c>
      <c r="U1764" s="6">
        <f t="shared" si="7"/>
        <v>1</v>
      </c>
      <c r="V1764" s="42">
        <f>averageif(AllData!A:A,B1764,AllData!R:R)/vlookup(B1764,AllData!A:O,15,0)</f>
        <v>95.94858974</v>
      </c>
      <c r="W1764" s="6"/>
    </row>
    <row r="1765" ht="14.25" customHeight="1">
      <c r="A1765" s="6" t="str">
        <f t="shared" si="1"/>
        <v>2020T-How17</v>
      </c>
      <c r="B1765" s="59">
        <v>2020.0</v>
      </c>
      <c r="C1765" s="13" t="s">
        <v>82</v>
      </c>
      <c r="D1765" s="13" t="s">
        <v>154</v>
      </c>
      <c r="E1765" s="34"/>
      <c r="F1765" s="6"/>
      <c r="H1765" s="6"/>
      <c r="I1765" s="35" t="str">
        <f>IFERROR(IFERROR(IFERROR(VLOOKUP(B1765&amp;C1765&amp;Q1765,'New Weekly Paste'!A:M,10,0),VLOOKUP(B1765&amp;C1765&amp;Q1765,'New Weekly Paste'!B:O,6,0)),""),"")</f>
        <v/>
      </c>
      <c r="J1765" s="239">
        <f>IFERROR(IFERROR(VLOOKUP(B1765&amp;C1765&amp;Q1765,'New Weekly Paste'!A:M,8,0),VLOOKUP(B1765&amp;C1765&amp;Q1765,'New Weekly Paste'!B:O,10,0)),0)</f>
        <v>0</v>
      </c>
      <c r="K1765" s="239">
        <f>IFERROR(IFERROR(VLOOKUP(B1765&amp;I1765&amp;Q1765,'New Weekly Paste'!A:M,8,0),VLOOKUP(B1765&amp;I1765&amp;Q1765,'New Weekly Paste'!B:O,10,0)),0)</f>
        <v>0</v>
      </c>
      <c r="L1765" s="239">
        <f t="shared" si="25"/>
        <v>0</v>
      </c>
      <c r="M1765" s="36" t="str">
        <f t="shared" si="3"/>
        <v>Playoffs</v>
      </c>
      <c r="N1765" s="239" t="str">
        <f t="shared" si="26"/>
        <v/>
      </c>
      <c r="O1765" s="6">
        <f>VLOOKUP(D1765,'Mapped Opponent'!$G$4:$H$22,2,0)</f>
        <v>17</v>
      </c>
      <c r="P1765" s="6"/>
      <c r="Q1765" s="6" t="str">
        <f t="shared" si="4"/>
        <v>Week 17</v>
      </c>
      <c r="R1765" s="6" t="str">
        <f t="shared" si="5"/>
        <v>2020Round 3</v>
      </c>
      <c r="S1765" s="6">
        <f>IFERROR(__xludf.DUMMYFUNCTION("rank(J1765,FILTER(J:J,R:R=R1765))"),1.0)</f>
        <v>1</v>
      </c>
      <c r="T1765" s="6">
        <f t="shared" si="6"/>
        <v>11</v>
      </c>
      <c r="U1765" s="6">
        <f t="shared" si="7"/>
        <v>1</v>
      </c>
      <c r="V1765" s="42">
        <f>averageif(AllData!A:A,B1765,AllData!R:R)/vlookup(B1765,AllData!A:O,15,0)</f>
        <v>95.94858974</v>
      </c>
      <c r="W1765" s="6"/>
    </row>
    <row r="1766" ht="14.25" customHeight="1">
      <c r="A1766" s="6" t="str">
        <f t="shared" si="1"/>
        <v>2020Hudspeath1</v>
      </c>
      <c r="B1766" s="59">
        <v>2020.0</v>
      </c>
      <c r="C1766" s="13" t="s">
        <v>39</v>
      </c>
      <c r="D1766" s="13" t="s">
        <v>129</v>
      </c>
      <c r="E1766" s="34"/>
      <c r="F1766" s="6"/>
      <c r="H1766" s="6"/>
      <c r="I1766" s="35" t="str">
        <f>IFERROR(IFERROR(IFERROR(VLOOKUP(B1766&amp;C1766&amp;Q1766,'New Weekly Paste'!A:M,10,0),VLOOKUP(B1766&amp;C1766&amp;Q1766,'New Weekly Paste'!B:O,6,0)),""),"")</f>
        <v>T-How</v>
      </c>
      <c r="J1766" s="239">
        <f>IFERROR(IFERROR(VLOOKUP(B1766&amp;C1766&amp;Q1766,'New Weekly Paste'!A:M,8,0),VLOOKUP(B1766&amp;C1766&amp;Q1766,'New Weekly Paste'!B:O,10,0)),0)</f>
        <v>88.06</v>
      </c>
      <c r="K1766" s="239">
        <f>IFERROR(IFERROR(VLOOKUP(B1766&amp;I1766&amp;Q1766,'New Weekly Paste'!A:M,8,0),VLOOKUP(B1766&amp;I1766&amp;Q1766,'New Weekly Paste'!B:O,10,0)),0)</f>
        <v>115.4</v>
      </c>
      <c r="L1766" s="239">
        <f t="shared" si="25"/>
        <v>0</v>
      </c>
      <c r="M1766" s="36" t="str">
        <f t="shared" si="3"/>
        <v>Regular Season</v>
      </c>
      <c r="N1766" s="239" t="str">
        <f t="shared" si="26"/>
        <v>T-How</v>
      </c>
      <c r="O1766" s="6">
        <f>VLOOKUP(D1766,'Mapped Opponent'!$G$4:$H$22,2,0)</f>
        <v>1</v>
      </c>
      <c r="P1766" s="6"/>
      <c r="Q1766" s="6" t="str">
        <f t="shared" si="4"/>
        <v>Week 1</v>
      </c>
      <c r="R1766" s="6" t="str">
        <f t="shared" si="5"/>
        <v>2020Week 1</v>
      </c>
      <c r="S1766" s="6">
        <f>IFERROR(__xludf.DUMMYFUNCTION("rank(J1766,FILTER(J:J,R:R=R1766))"),9.0)</f>
        <v>9</v>
      </c>
      <c r="T1766" s="6">
        <f t="shared" si="6"/>
        <v>3</v>
      </c>
      <c r="U1766" s="6">
        <f t="shared" si="7"/>
        <v>9</v>
      </c>
      <c r="V1766" s="42">
        <f>averageif(AllData!A:A,B1766,AllData!R:R)/vlookup(B1766,AllData!A:O,15,0)</f>
        <v>95.94858974</v>
      </c>
      <c r="W1766" s="6"/>
    </row>
    <row r="1767" ht="14.25" customHeight="1">
      <c r="A1767" s="6" t="str">
        <f t="shared" si="1"/>
        <v>2020Salty1</v>
      </c>
      <c r="B1767" s="59">
        <v>2020.0</v>
      </c>
      <c r="C1767" s="13" t="s">
        <v>76</v>
      </c>
      <c r="D1767" s="13" t="s">
        <v>129</v>
      </c>
      <c r="E1767" s="34"/>
      <c r="F1767" s="6"/>
      <c r="H1767" s="6"/>
      <c r="I1767" s="35" t="str">
        <f>IFERROR(IFERROR(IFERROR(VLOOKUP(B1767&amp;C1767&amp;Q1767,'New Weekly Paste'!A:M,10,0),VLOOKUP(B1767&amp;C1767&amp;Q1767,'New Weekly Paste'!B:O,6,0)),""),"")</f>
        <v>Buser</v>
      </c>
      <c r="J1767" s="239">
        <f>IFERROR(IFERROR(VLOOKUP(B1767&amp;C1767&amp;Q1767,'New Weekly Paste'!A:M,8,0),VLOOKUP(B1767&amp;C1767&amp;Q1767,'New Weekly Paste'!B:O,10,0)),0)</f>
        <v>111.74</v>
      </c>
      <c r="K1767" s="239">
        <f>IFERROR(IFERROR(VLOOKUP(B1767&amp;I1767&amp;Q1767,'New Weekly Paste'!A:M,8,0),VLOOKUP(B1767&amp;I1767&amp;Q1767,'New Weekly Paste'!B:O,10,0)),0)</f>
        <v>81.6</v>
      </c>
      <c r="L1767" s="239">
        <f t="shared" si="25"/>
        <v>1</v>
      </c>
      <c r="M1767" s="36" t="str">
        <f t="shared" si="3"/>
        <v>Regular Season</v>
      </c>
      <c r="N1767" s="239" t="str">
        <f t="shared" si="26"/>
        <v>Buser</v>
      </c>
      <c r="O1767" s="6">
        <f>VLOOKUP(D1767,'Mapped Opponent'!$G$4:$H$22,2,0)</f>
        <v>1</v>
      </c>
      <c r="P1767" s="6"/>
      <c r="Q1767" s="6" t="str">
        <f t="shared" si="4"/>
        <v>Week 1</v>
      </c>
      <c r="R1767" s="6" t="str">
        <f t="shared" si="5"/>
        <v>2020Week 1</v>
      </c>
      <c r="S1767" s="6">
        <f>IFERROR(__xludf.DUMMYFUNCTION("rank(J1767,FILTER(J:J,R:R=R1767))"),4.0)</f>
        <v>4</v>
      </c>
      <c r="T1767" s="6">
        <f t="shared" si="6"/>
        <v>8</v>
      </c>
      <c r="U1767" s="6">
        <f t="shared" si="7"/>
        <v>4</v>
      </c>
      <c r="V1767" s="42">
        <f>averageif(AllData!A:A,B1767,AllData!R:R)/vlookup(B1767,AllData!A:O,15,0)</f>
        <v>95.94858974</v>
      </c>
      <c r="W1767" s="6"/>
    </row>
    <row r="1768" ht="14.25" customHeight="1">
      <c r="A1768" s="6" t="str">
        <f t="shared" si="1"/>
        <v>2020Fellows1</v>
      </c>
      <c r="B1768" s="59">
        <v>2020.0</v>
      </c>
      <c r="C1768" s="13" t="s">
        <v>79</v>
      </c>
      <c r="D1768" s="13" t="s">
        <v>129</v>
      </c>
      <c r="E1768" s="34"/>
      <c r="F1768" s="6"/>
      <c r="H1768" s="6"/>
      <c r="I1768" s="35" t="str">
        <f>IFERROR(IFERROR(IFERROR(VLOOKUP(B1768&amp;C1768&amp;Q1768,'New Weekly Paste'!A:M,10,0),VLOOKUP(B1768&amp;C1768&amp;Q1768,'New Weekly Paste'!B:O,6,0)),""),"")</f>
        <v>Rooney/Jackson</v>
      </c>
      <c r="J1768" s="239">
        <f>IFERROR(IFERROR(VLOOKUP(B1768&amp;C1768&amp;Q1768,'New Weekly Paste'!A:M,8,0),VLOOKUP(B1768&amp;C1768&amp;Q1768,'New Weekly Paste'!B:O,10,0)),0)</f>
        <v>81.7</v>
      </c>
      <c r="K1768" s="239">
        <f>IFERROR(IFERROR(VLOOKUP(B1768&amp;I1768&amp;Q1768,'New Weekly Paste'!A:M,8,0),VLOOKUP(B1768&amp;I1768&amp;Q1768,'New Weekly Paste'!B:O,10,0)),0)</f>
        <v>90.98</v>
      </c>
      <c r="L1768" s="239">
        <f t="shared" si="25"/>
        <v>0</v>
      </c>
      <c r="M1768" s="36" t="str">
        <f t="shared" si="3"/>
        <v>Regular Season</v>
      </c>
      <c r="N1768" s="239" t="str">
        <f t="shared" si="26"/>
        <v>Rooney/Jackson</v>
      </c>
      <c r="O1768" s="6">
        <f>VLOOKUP(D1768,'Mapped Opponent'!$G$4:$H$22,2,0)</f>
        <v>1</v>
      </c>
      <c r="P1768" s="6"/>
      <c r="Q1768" s="6" t="str">
        <f t="shared" si="4"/>
        <v>Week 1</v>
      </c>
      <c r="R1768" s="6" t="str">
        <f t="shared" si="5"/>
        <v>2020Week 1</v>
      </c>
      <c r="S1768" s="6">
        <f>IFERROR(__xludf.DUMMYFUNCTION("rank(J1768,FILTER(J:J,R:R=R1768))"),11.0)</f>
        <v>11</v>
      </c>
      <c r="T1768" s="6">
        <f t="shared" si="6"/>
        <v>1</v>
      </c>
      <c r="U1768" s="6">
        <f t="shared" si="7"/>
        <v>11</v>
      </c>
      <c r="V1768" s="42">
        <f>averageif(AllData!A:A,B1768,AllData!R:R)/vlookup(B1768,AllData!A:O,15,0)</f>
        <v>95.94858974</v>
      </c>
      <c r="W1768" s="6"/>
    </row>
    <row r="1769" ht="14.25" customHeight="1">
      <c r="A1769" s="6" t="str">
        <f t="shared" si="1"/>
        <v>2020Shep1</v>
      </c>
      <c r="B1769" s="59">
        <v>2020.0</v>
      </c>
      <c r="C1769" s="13" t="s">
        <v>89</v>
      </c>
      <c r="D1769" s="13" t="s">
        <v>129</v>
      </c>
      <c r="E1769" s="34"/>
      <c r="F1769" s="6"/>
      <c r="H1769" s="6"/>
      <c r="I1769" s="35" t="str">
        <f>IFERROR(IFERROR(IFERROR(VLOOKUP(B1769&amp;C1769&amp;Q1769,'New Weekly Paste'!A:M,10,0),VLOOKUP(B1769&amp;C1769&amp;Q1769,'New Weekly Paste'!B:O,6,0)),""),"")</f>
        <v>Tayski</v>
      </c>
      <c r="J1769" s="239">
        <f>IFERROR(IFERROR(VLOOKUP(B1769&amp;C1769&amp;Q1769,'New Weekly Paste'!A:M,8,0),VLOOKUP(B1769&amp;C1769&amp;Q1769,'New Weekly Paste'!B:O,10,0)),0)</f>
        <v>94</v>
      </c>
      <c r="K1769" s="239">
        <f>IFERROR(IFERROR(VLOOKUP(B1769&amp;I1769&amp;Q1769,'New Weekly Paste'!A:M,8,0),VLOOKUP(B1769&amp;I1769&amp;Q1769,'New Weekly Paste'!B:O,10,0)),0)</f>
        <v>127.18</v>
      </c>
      <c r="L1769" s="239">
        <f t="shared" si="25"/>
        <v>0</v>
      </c>
      <c r="M1769" s="36" t="str">
        <f t="shared" si="3"/>
        <v>Regular Season</v>
      </c>
      <c r="N1769" s="239" t="str">
        <f t="shared" si="26"/>
        <v>Tayski</v>
      </c>
      <c r="O1769" s="6">
        <f>VLOOKUP(D1769,'Mapped Opponent'!$G$4:$H$22,2,0)</f>
        <v>1</v>
      </c>
      <c r="P1769" s="6"/>
      <c r="Q1769" s="6" t="str">
        <f t="shared" si="4"/>
        <v>Week 1</v>
      </c>
      <c r="R1769" s="6" t="str">
        <f t="shared" si="5"/>
        <v>2020Week 1</v>
      </c>
      <c r="S1769" s="6">
        <f>IFERROR(__xludf.DUMMYFUNCTION("rank(J1769,FILTER(J:J,R:R=R1769))"),6.0)</f>
        <v>6</v>
      </c>
      <c r="T1769" s="6">
        <f t="shared" si="6"/>
        <v>6</v>
      </c>
      <c r="U1769" s="6">
        <f t="shared" si="7"/>
        <v>6</v>
      </c>
      <c r="V1769" s="42">
        <f>averageif(AllData!A:A,B1769,AllData!R:R)/vlookup(B1769,AllData!A:O,15,0)</f>
        <v>95.94858974</v>
      </c>
      <c r="W1769" s="6"/>
    </row>
    <row r="1770" ht="14.25" customHeight="1">
      <c r="A1770" s="6" t="str">
        <f t="shared" si="1"/>
        <v>2020Riley1</v>
      </c>
      <c r="B1770" s="59">
        <v>2020.0</v>
      </c>
      <c r="C1770" s="13" t="s">
        <v>67</v>
      </c>
      <c r="D1770" s="13" t="s">
        <v>129</v>
      </c>
      <c r="E1770" s="34"/>
      <c r="F1770" s="6"/>
      <c r="H1770" s="6"/>
      <c r="I1770" s="35" t="str">
        <f>IFERROR(IFERROR(IFERROR(VLOOKUP(B1770&amp;C1770&amp;Q1770,'New Weekly Paste'!A:M,10,0),VLOOKUP(B1770&amp;C1770&amp;Q1770,'New Weekly Paste'!B:O,6,0)),""),"")</f>
        <v>Cock</v>
      </c>
      <c r="J1770" s="239">
        <f>IFERROR(IFERROR(VLOOKUP(B1770&amp;C1770&amp;Q1770,'New Weekly Paste'!A:M,8,0),VLOOKUP(B1770&amp;C1770&amp;Q1770,'New Weekly Paste'!B:O,10,0)),0)</f>
        <v>141.48</v>
      </c>
      <c r="K1770" s="239">
        <f>IFERROR(IFERROR(VLOOKUP(B1770&amp;I1770&amp;Q1770,'New Weekly Paste'!A:M,8,0),VLOOKUP(B1770&amp;I1770&amp;Q1770,'New Weekly Paste'!B:O,10,0)),0)</f>
        <v>86.54</v>
      </c>
      <c r="L1770" s="239">
        <f t="shared" si="25"/>
        <v>1</v>
      </c>
      <c r="M1770" s="36" t="str">
        <f t="shared" si="3"/>
        <v>Regular Season</v>
      </c>
      <c r="N1770" s="239" t="str">
        <f t="shared" si="26"/>
        <v>Cock</v>
      </c>
      <c r="O1770" s="6">
        <f>VLOOKUP(D1770,'Mapped Opponent'!$G$4:$H$22,2,0)</f>
        <v>1</v>
      </c>
      <c r="P1770" s="6"/>
      <c r="Q1770" s="6" t="str">
        <f t="shared" si="4"/>
        <v>Week 1</v>
      </c>
      <c r="R1770" s="6" t="str">
        <f t="shared" si="5"/>
        <v>2020Week 1</v>
      </c>
      <c r="S1770" s="6">
        <f>IFERROR(__xludf.DUMMYFUNCTION("rank(J1770,FILTER(J:J,R:R=R1770))"),1.0)</f>
        <v>1</v>
      </c>
      <c r="T1770" s="6">
        <f t="shared" si="6"/>
        <v>11</v>
      </c>
      <c r="U1770" s="6">
        <f t="shared" si="7"/>
        <v>1</v>
      </c>
      <c r="V1770" s="42">
        <f>averageif(AllData!A:A,B1770,AllData!R:R)/vlookup(B1770,AllData!A:O,15,0)</f>
        <v>95.94858974</v>
      </c>
      <c r="W1770" s="6"/>
    </row>
    <row r="1771" ht="14.25" customHeight="1">
      <c r="A1771" s="6" t="str">
        <f t="shared" si="1"/>
        <v>2020Rooney/Jackson1</v>
      </c>
      <c r="B1771" s="59">
        <v>2020.0</v>
      </c>
      <c r="C1771" s="13" t="s">
        <v>57</v>
      </c>
      <c r="D1771" s="13" t="s">
        <v>129</v>
      </c>
      <c r="E1771" s="34"/>
      <c r="F1771" s="6"/>
      <c r="H1771" s="6"/>
      <c r="I1771" s="35" t="str">
        <f>IFERROR(IFERROR(IFERROR(VLOOKUP(B1771&amp;C1771&amp;Q1771,'New Weekly Paste'!A:M,10,0),VLOOKUP(B1771&amp;C1771&amp;Q1771,'New Weekly Paste'!B:O,6,0)),""),"")</f>
        <v>Fellows</v>
      </c>
      <c r="J1771" s="239">
        <f>IFERROR(IFERROR(VLOOKUP(B1771&amp;C1771&amp;Q1771,'New Weekly Paste'!A:M,8,0),VLOOKUP(B1771&amp;C1771&amp;Q1771,'New Weekly Paste'!B:O,10,0)),0)</f>
        <v>90.98</v>
      </c>
      <c r="K1771" s="239">
        <f>IFERROR(IFERROR(VLOOKUP(B1771&amp;I1771&amp;Q1771,'New Weekly Paste'!A:M,8,0),VLOOKUP(B1771&amp;I1771&amp;Q1771,'New Weekly Paste'!B:O,10,0)),0)</f>
        <v>81.7</v>
      </c>
      <c r="L1771" s="239">
        <f t="shared" si="25"/>
        <v>1</v>
      </c>
      <c r="M1771" s="36" t="str">
        <f t="shared" si="3"/>
        <v>Regular Season</v>
      </c>
      <c r="N1771" s="239" t="str">
        <f t="shared" si="26"/>
        <v>Fellows</v>
      </c>
      <c r="O1771" s="6">
        <f>VLOOKUP(D1771,'Mapped Opponent'!$G$4:$H$22,2,0)</f>
        <v>1</v>
      </c>
      <c r="P1771" s="6"/>
      <c r="Q1771" s="6" t="str">
        <f t="shared" si="4"/>
        <v>Week 1</v>
      </c>
      <c r="R1771" s="6" t="str">
        <f t="shared" si="5"/>
        <v>2020Week 1</v>
      </c>
      <c r="S1771" s="6">
        <f>IFERROR(__xludf.DUMMYFUNCTION("rank(J1771,FILTER(J:J,R:R=R1771))"),8.0)</f>
        <v>8</v>
      </c>
      <c r="T1771" s="6">
        <f t="shared" si="6"/>
        <v>4</v>
      </c>
      <c r="U1771" s="6">
        <f t="shared" si="7"/>
        <v>8</v>
      </c>
      <c r="V1771" s="42">
        <f>averageif(AllData!A:A,B1771,AllData!R:R)/vlookup(B1771,AllData!A:O,15,0)</f>
        <v>95.94858974</v>
      </c>
      <c r="W1771" s="6"/>
    </row>
    <row r="1772" ht="14.25" customHeight="1">
      <c r="A1772" s="6" t="str">
        <f t="shared" si="1"/>
        <v>2020Buser1</v>
      </c>
      <c r="B1772" s="59">
        <v>2020.0</v>
      </c>
      <c r="C1772" s="13" t="s">
        <v>47</v>
      </c>
      <c r="D1772" s="13" t="s">
        <v>129</v>
      </c>
      <c r="E1772" s="34"/>
      <c r="F1772" s="6"/>
      <c r="H1772" s="6"/>
      <c r="I1772" s="35" t="str">
        <f>IFERROR(IFERROR(IFERROR(VLOOKUP(B1772&amp;C1772&amp;Q1772,'New Weekly Paste'!A:M,10,0),VLOOKUP(B1772&amp;C1772&amp;Q1772,'New Weekly Paste'!B:O,6,0)),""),"")</f>
        <v>Salty</v>
      </c>
      <c r="J1772" s="239">
        <f>IFERROR(IFERROR(VLOOKUP(B1772&amp;C1772&amp;Q1772,'New Weekly Paste'!A:M,8,0),VLOOKUP(B1772&amp;C1772&amp;Q1772,'New Weekly Paste'!B:O,10,0)),0)</f>
        <v>81.6</v>
      </c>
      <c r="K1772" s="239">
        <f>IFERROR(IFERROR(VLOOKUP(B1772&amp;I1772&amp;Q1772,'New Weekly Paste'!A:M,8,0),VLOOKUP(B1772&amp;I1772&amp;Q1772,'New Weekly Paste'!B:O,10,0)),0)</f>
        <v>111.74</v>
      </c>
      <c r="L1772" s="239">
        <f t="shared" si="25"/>
        <v>0</v>
      </c>
      <c r="M1772" s="36" t="str">
        <f t="shared" si="3"/>
        <v>Regular Season</v>
      </c>
      <c r="N1772" s="239" t="str">
        <f t="shared" si="26"/>
        <v>Salty</v>
      </c>
      <c r="O1772" s="6">
        <f>VLOOKUP(D1772,'Mapped Opponent'!$G$4:$H$22,2,0)</f>
        <v>1</v>
      </c>
      <c r="P1772" s="6"/>
      <c r="Q1772" s="6" t="str">
        <f t="shared" si="4"/>
        <v>Week 1</v>
      </c>
      <c r="R1772" s="6" t="str">
        <f t="shared" si="5"/>
        <v>2020Week 1</v>
      </c>
      <c r="S1772" s="6">
        <f>IFERROR(__xludf.DUMMYFUNCTION("rank(J1772,FILTER(J:J,R:R=R1772))"),12.0)</f>
        <v>12</v>
      </c>
      <c r="T1772" s="6">
        <f t="shared" si="6"/>
        <v>0</v>
      </c>
      <c r="U1772" s="6">
        <f t="shared" si="7"/>
        <v>12</v>
      </c>
      <c r="V1772" s="42">
        <f>averageif(AllData!A:A,B1772,AllData!R:R)/vlookup(B1772,AllData!A:O,15,0)</f>
        <v>95.94858974</v>
      </c>
      <c r="W1772" s="6"/>
    </row>
    <row r="1773" ht="14.25" customHeight="1">
      <c r="A1773" s="6" t="str">
        <f t="shared" si="1"/>
        <v>2020Pierson1</v>
      </c>
      <c r="B1773" s="59">
        <v>2020.0</v>
      </c>
      <c r="C1773" s="13" t="s">
        <v>92</v>
      </c>
      <c r="D1773" s="13" t="s">
        <v>129</v>
      </c>
      <c r="E1773" s="34"/>
      <c r="F1773" s="6"/>
      <c r="H1773" s="6"/>
      <c r="I1773" s="35" t="str">
        <f>IFERROR(IFERROR(IFERROR(VLOOKUP(B1773&amp;C1773&amp;Q1773,'New Weekly Paste'!A:M,10,0),VLOOKUP(B1773&amp;C1773&amp;Q1773,'New Weekly Paste'!B:O,6,0)),""),"")</f>
        <v>KnardDawg</v>
      </c>
      <c r="J1773" s="239">
        <f>IFERROR(IFERROR(VLOOKUP(B1773&amp;C1773&amp;Q1773,'New Weekly Paste'!A:M,8,0),VLOOKUP(B1773&amp;C1773&amp;Q1773,'New Weekly Paste'!B:O,10,0)),0)</f>
        <v>95.2</v>
      </c>
      <c r="K1773" s="239">
        <f>IFERROR(IFERROR(VLOOKUP(B1773&amp;I1773&amp;Q1773,'New Weekly Paste'!A:M,8,0),VLOOKUP(B1773&amp;I1773&amp;Q1773,'New Weekly Paste'!B:O,10,0)),0)</f>
        <v>91.52</v>
      </c>
      <c r="L1773" s="239">
        <f t="shared" si="25"/>
        <v>1</v>
      </c>
      <c r="M1773" s="36" t="str">
        <f t="shared" si="3"/>
        <v>Regular Season</v>
      </c>
      <c r="N1773" s="239" t="str">
        <f t="shared" si="26"/>
        <v>KnardDawg</v>
      </c>
      <c r="O1773" s="6">
        <f>VLOOKUP(D1773,'Mapped Opponent'!$G$4:$H$22,2,0)</f>
        <v>1</v>
      </c>
      <c r="P1773" s="6"/>
      <c r="Q1773" s="6" t="str">
        <f t="shared" si="4"/>
        <v>Week 1</v>
      </c>
      <c r="R1773" s="6" t="str">
        <f t="shared" si="5"/>
        <v>2020Week 1</v>
      </c>
      <c r="S1773" s="6">
        <f>IFERROR(__xludf.DUMMYFUNCTION("rank(J1773,FILTER(J:J,R:R=R1773))"),5.0)</f>
        <v>5</v>
      </c>
      <c r="T1773" s="6">
        <f t="shared" si="6"/>
        <v>7</v>
      </c>
      <c r="U1773" s="6">
        <f t="shared" si="7"/>
        <v>5</v>
      </c>
      <c r="V1773" s="42">
        <f>averageif(AllData!A:A,B1773,AllData!R:R)/vlookup(B1773,AllData!A:O,15,0)</f>
        <v>95.94858974</v>
      </c>
      <c r="W1773" s="6"/>
    </row>
    <row r="1774" ht="14.25" customHeight="1">
      <c r="A1774" s="6" t="str">
        <f t="shared" si="1"/>
        <v>2020Cock1</v>
      </c>
      <c r="B1774" s="59">
        <v>2020.0</v>
      </c>
      <c r="C1774" s="13" t="s">
        <v>72</v>
      </c>
      <c r="D1774" s="13" t="s">
        <v>129</v>
      </c>
      <c r="E1774" s="34"/>
      <c r="F1774" s="6"/>
      <c r="H1774" s="6"/>
      <c r="I1774" s="35" t="str">
        <f>IFERROR(IFERROR(IFERROR(VLOOKUP(B1774&amp;C1774&amp;Q1774,'New Weekly Paste'!A:M,10,0),VLOOKUP(B1774&amp;C1774&amp;Q1774,'New Weekly Paste'!B:O,6,0)),""),"")</f>
        <v>Riley</v>
      </c>
      <c r="J1774" s="239">
        <f>IFERROR(IFERROR(VLOOKUP(B1774&amp;C1774&amp;Q1774,'New Weekly Paste'!A:M,8,0),VLOOKUP(B1774&amp;C1774&amp;Q1774,'New Weekly Paste'!B:O,10,0)),0)</f>
        <v>86.54</v>
      </c>
      <c r="K1774" s="239">
        <f>IFERROR(IFERROR(VLOOKUP(B1774&amp;I1774&amp;Q1774,'New Weekly Paste'!A:M,8,0),VLOOKUP(B1774&amp;I1774&amp;Q1774,'New Weekly Paste'!B:O,10,0)),0)</f>
        <v>141.48</v>
      </c>
      <c r="L1774" s="239">
        <f t="shared" si="25"/>
        <v>0</v>
      </c>
      <c r="M1774" s="36" t="str">
        <f t="shared" si="3"/>
        <v>Regular Season</v>
      </c>
      <c r="N1774" s="239" t="str">
        <f t="shared" si="26"/>
        <v>Riley</v>
      </c>
      <c r="O1774" s="6">
        <f>VLOOKUP(D1774,'Mapped Opponent'!$G$4:$H$22,2,0)</f>
        <v>1</v>
      </c>
      <c r="P1774" s="6"/>
      <c r="Q1774" s="6" t="str">
        <f t="shared" si="4"/>
        <v>Week 1</v>
      </c>
      <c r="R1774" s="6" t="str">
        <f t="shared" si="5"/>
        <v>2020Week 1</v>
      </c>
      <c r="S1774" s="6">
        <f>IFERROR(__xludf.DUMMYFUNCTION("rank(J1774,FILTER(J:J,R:R=R1774))"),10.0)</f>
        <v>10</v>
      </c>
      <c r="T1774" s="6">
        <f t="shared" si="6"/>
        <v>2</v>
      </c>
      <c r="U1774" s="6">
        <f t="shared" si="7"/>
        <v>10</v>
      </c>
      <c r="V1774" s="42">
        <f>averageif(AllData!A:A,B1774,AllData!R:R)/vlookup(B1774,AllData!A:O,15,0)</f>
        <v>95.94858974</v>
      </c>
      <c r="W1774" s="6"/>
    </row>
    <row r="1775" ht="14.25" customHeight="1">
      <c r="A1775" s="6" t="str">
        <f t="shared" si="1"/>
        <v>2020Tayski1</v>
      </c>
      <c r="B1775" s="59">
        <v>2020.0</v>
      </c>
      <c r="C1775" s="13" t="s">
        <v>52</v>
      </c>
      <c r="D1775" s="13" t="s">
        <v>129</v>
      </c>
      <c r="E1775" s="34"/>
      <c r="F1775" s="6"/>
      <c r="H1775" s="6"/>
      <c r="I1775" s="35" t="str">
        <f>IFERROR(IFERROR(IFERROR(VLOOKUP(B1775&amp;C1775&amp;Q1775,'New Weekly Paste'!A:M,10,0),VLOOKUP(B1775&amp;C1775&amp;Q1775,'New Weekly Paste'!B:O,6,0)),""),"")</f>
        <v>Shep</v>
      </c>
      <c r="J1775" s="239">
        <f>IFERROR(IFERROR(VLOOKUP(B1775&amp;C1775&amp;Q1775,'New Weekly Paste'!A:M,8,0),VLOOKUP(B1775&amp;C1775&amp;Q1775,'New Weekly Paste'!B:O,10,0)),0)</f>
        <v>127.18</v>
      </c>
      <c r="K1775" s="239">
        <f>IFERROR(IFERROR(VLOOKUP(B1775&amp;I1775&amp;Q1775,'New Weekly Paste'!A:M,8,0),VLOOKUP(B1775&amp;I1775&amp;Q1775,'New Weekly Paste'!B:O,10,0)),0)</f>
        <v>94</v>
      </c>
      <c r="L1775" s="239">
        <f t="shared" si="25"/>
        <v>1</v>
      </c>
      <c r="M1775" s="36" t="str">
        <f t="shared" si="3"/>
        <v>Regular Season</v>
      </c>
      <c r="N1775" s="239" t="str">
        <f t="shared" si="26"/>
        <v>Shep</v>
      </c>
      <c r="O1775" s="6">
        <f>VLOOKUP(D1775,'Mapped Opponent'!$G$4:$H$22,2,0)</f>
        <v>1</v>
      </c>
      <c r="P1775" s="6"/>
      <c r="Q1775" s="6" t="str">
        <f t="shared" si="4"/>
        <v>Week 1</v>
      </c>
      <c r="R1775" s="6" t="str">
        <f t="shared" si="5"/>
        <v>2020Week 1</v>
      </c>
      <c r="S1775" s="6">
        <f>IFERROR(__xludf.DUMMYFUNCTION("rank(J1775,FILTER(J:J,R:R=R1775))"),2.0)</f>
        <v>2</v>
      </c>
      <c r="T1775" s="6">
        <f t="shared" si="6"/>
        <v>10</v>
      </c>
      <c r="U1775" s="6">
        <f t="shared" si="7"/>
        <v>2</v>
      </c>
      <c r="V1775" s="42">
        <f>averageif(AllData!A:A,B1775,AllData!R:R)/vlookup(B1775,AllData!A:O,15,0)</f>
        <v>95.94858974</v>
      </c>
      <c r="W1775" s="6"/>
    </row>
    <row r="1776" ht="14.25" customHeight="1">
      <c r="A1776" s="6" t="str">
        <f t="shared" si="1"/>
        <v>2020KnardDawg1</v>
      </c>
      <c r="B1776" s="59">
        <v>2020.0</v>
      </c>
      <c r="C1776" s="13" t="s">
        <v>86</v>
      </c>
      <c r="D1776" s="13" t="s">
        <v>129</v>
      </c>
      <c r="E1776" s="34"/>
      <c r="F1776" s="6"/>
      <c r="H1776" s="6"/>
      <c r="I1776" s="35" t="str">
        <f>IFERROR(IFERROR(IFERROR(VLOOKUP(B1776&amp;C1776&amp;Q1776,'New Weekly Paste'!A:M,10,0),VLOOKUP(B1776&amp;C1776&amp;Q1776,'New Weekly Paste'!B:O,6,0)),""),"")</f>
        <v>Pierson</v>
      </c>
      <c r="J1776" s="239">
        <f>IFERROR(IFERROR(VLOOKUP(B1776&amp;C1776&amp;Q1776,'New Weekly Paste'!A:M,8,0),VLOOKUP(B1776&amp;C1776&amp;Q1776,'New Weekly Paste'!B:O,10,0)),0)</f>
        <v>91.52</v>
      </c>
      <c r="K1776" s="239">
        <f>IFERROR(IFERROR(VLOOKUP(B1776&amp;I1776&amp;Q1776,'New Weekly Paste'!A:M,8,0),VLOOKUP(B1776&amp;I1776&amp;Q1776,'New Weekly Paste'!B:O,10,0)),0)</f>
        <v>95.2</v>
      </c>
      <c r="L1776" s="239">
        <f t="shared" si="25"/>
        <v>0</v>
      </c>
      <c r="M1776" s="36" t="str">
        <f t="shared" si="3"/>
        <v>Regular Season</v>
      </c>
      <c r="N1776" s="239" t="str">
        <f t="shared" si="26"/>
        <v>Pierson</v>
      </c>
      <c r="O1776" s="6">
        <f>VLOOKUP(D1776,'Mapped Opponent'!$G$4:$H$22,2,0)</f>
        <v>1</v>
      </c>
      <c r="P1776" s="6"/>
      <c r="Q1776" s="6" t="str">
        <f t="shared" si="4"/>
        <v>Week 1</v>
      </c>
      <c r="R1776" s="6" t="str">
        <f t="shared" si="5"/>
        <v>2020Week 1</v>
      </c>
      <c r="S1776" s="6">
        <f>IFERROR(__xludf.DUMMYFUNCTION("rank(J1776,FILTER(J:J,R:R=R1776))"),7.0)</f>
        <v>7</v>
      </c>
      <c r="T1776" s="6">
        <f t="shared" si="6"/>
        <v>5</v>
      </c>
      <c r="U1776" s="6">
        <f t="shared" si="7"/>
        <v>7</v>
      </c>
      <c r="V1776" s="42">
        <f>averageif(AllData!A:A,B1776,AllData!R:R)/vlookup(B1776,AllData!A:O,15,0)</f>
        <v>95.94858974</v>
      </c>
      <c r="W1776" s="6"/>
    </row>
    <row r="1777" ht="14.25" customHeight="1">
      <c r="A1777" s="6" t="str">
        <f t="shared" si="1"/>
        <v>2020T-How1</v>
      </c>
      <c r="B1777" s="59">
        <v>2020.0</v>
      </c>
      <c r="C1777" s="13" t="s">
        <v>82</v>
      </c>
      <c r="D1777" s="13" t="s">
        <v>129</v>
      </c>
      <c r="E1777" s="34"/>
      <c r="F1777" s="6"/>
      <c r="H1777" s="6"/>
      <c r="I1777" s="35" t="str">
        <f>IFERROR(IFERROR(IFERROR(VLOOKUP(B1777&amp;C1777&amp;Q1777,'New Weekly Paste'!A:M,10,0),VLOOKUP(B1777&amp;C1777&amp;Q1777,'New Weekly Paste'!B:O,6,0)),""),"")</f>
        <v>Hudspeath</v>
      </c>
      <c r="J1777" s="239">
        <f>IFERROR(IFERROR(VLOOKUP(B1777&amp;C1777&amp;Q1777,'New Weekly Paste'!A:M,8,0),VLOOKUP(B1777&amp;C1777&amp;Q1777,'New Weekly Paste'!B:O,10,0)),0)</f>
        <v>115.4</v>
      </c>
      <c r="K1777" s="239">
        <f>IFERROR(IFERROR(VLOOKUP(B1777&amp;I1777&amp;Q1777,'New Weekly Paste'!A:M,8,0),VLOOKUP(B1777&amp;I1777&amp;Q1777,'New Weekly Paste'!B:O,10,0)),0)</f>
        <v>88.06</v>
      </c>
      <c r="L1777" s="239">
        <f t="shared" si="25"/>
        <v>1</v>
      </c>
      <c r="M1777" s="36" t="str">
        <f t="shared" si="3"/>
        <v>Regular Season</v>
      </c>
      <c r="N1777" s="239" t="str">
        <f t="shared" si="26"/>
        <v>Hudspeath</v>
      </c>
      <c r="O1777" s="6">
        <f>VLOOKUP(D1777,'Mapped Opponent'!$G$4:$H$22,2,0)</f>
        <v>1</v>
      </c>
      <c r="P1777" s="6"/>
      <c r="Q1777" s="6" t="str">
        <f t="shared" si="4"/>
        <v>Week 1</v>
      </c>
      <c r="R1777" s="6" t="str">
        <f t="shared" si="5"/>
        <v>2020Week 1</v>
      </c>
      <c r="S1777" s="6">
        <f>IFERROR(__xludf.DUMMYFUNCTION("rank(J1777,FILTER(J:J,R:R=R1777))"),3.0)</f>
        <v>3</v>
      </c>
      <c r="T1777" s="6">
        <f t="shared" si="6"/>
        <v>9</v>
      </c>
      <c r="U1777" s="6">
        <f t="shared" si="7"/>
        <v>3</v>
      </c>
      <c r="V1777" s="42">
        <f>averageif(AllData!A:A,B1777,AllData!R:R)/vlookup(B1777,AllData!A:O,15,0)</f>
        <v>95.94858974</v>
      </c>
      <c r="W1777" s="6"/>
    </row>
    <row r="1778" ht="14.25" customHeight="1">
      <c r="A1778" s="6" t="str">
        <f t="shared" si="1"/>
        <v>2020Hudspeath10</v>
      </c>
      <c r="B1778" s="59">
        <v>2020.0</v>
      </c>
      <c r="C1778" s="13" t="s">
        <v>39</v>
      </c>
      <c r="D1778" s="13" t="s">
        <v>149</v>
      </c>
      <c r="E1778" s="34"/>
      <c r="F1778" s="6"/>
      <c r="H1778" s="6"/>
      <c r="I1778" s="35" t="str">
        <f>IFERROR(IFERROR(IFERROR(VLOOKUP(B1778&amp;C1778&amp;Q1778,'New Weekly Paste'!A:M,10,0),VLOOKUP(B1778&amp;C1778&amp;Q1778,'New Weekly Paste'!B:O,6,0)),""),"")</f>
        <v>KnardDawg</v>
      </c>
      <c r="J1778" s="239">
        <f>IFERROR(IFERROR(VLOOKUP(B1778&amp;C1778&amp;Q1778,'New Weekly Paste'!A:M,8,0),VLOOKUP(B1778&amp;C1778&amp;Q1778,'New Weekly Paste'!B:O,10,0)),0)</f>
        <v>92.24</v>
      </c>
      <c r="K1778" s="239">
        <f>IFERROR(IFERROR(VLOOKUP(B1778&amp;I1778&amp;Q1778,'New Weekly Paste'!A:M,8,0),VLOOKUP(B1778&amp;I1778&amp;Q1778,'New Weekly Paste'!B:O,10,0)),0)</f>
        <v>111.32</v>
      </c>
      <c r="L1778" s="239">
        <f t="shared" si="25"/>
        <v>0</v>
      </c>
      <c r="M1778" s="36" t="str">
        <f t="shared" si="3"/>
        <v>Regular Season</v>
      </c>
      <c r="N1778" s="239" t="str">
        <f t="shared" si="26"/>
        <v>KnardDawg</v>
      </c>
      <c r="O1778" s="6">
        <f>VLOOKUP(D1778,'Mapped Opponent'!$G$4:$H$22,2,0)</f>
        <v>10</v>
      </c>
      <c r="P1778" s="6"/>
      <c r="Q1778" s="6" t="str">
        <f t="shared" si="4"/>
        <v>Week 10</v>
      </c>
      <c r="R1778" s="6" t="str">
        <f t="shared" si="5"/>
        <v>2020Week 10</v>
      </c>
      <c r="S1778" s="6">
        <f>IFERROR(__xludf.DUMMYFUNCTION("rank(J1778,FILTER(J:J,R:R=R1778))"),8.0)</f>
        <v>8</v>
      </c>
      <c r="T1778" s="6">
        <f t="shared" si="6"/>
        <v>4</v>
      </c>
      <c r="U1778" s="6">
        <f t="shared" si="7"/>
        <v>8</v>
      </c>
      <c r="V1778" s="42">
        <f>averageif(AllData!A:A,B1778,AllData!R:R)/vlookup(B1778,AllData!A:O,15,0)</f>
        <v>95.94858974</v>
      </c>
      <c r="W1778" s="6"/>
    </row>
    <row r="1779" ht="14.25" customHeight="1">
      <c r="A1779" s="6" t="str">
        <f t="shared" si="1"/>
        <v>2020Salty10</v>
      </c>
      <c r="B1779" s="59">
        <v>2020.0</v>
      </c>
      <c r="C1779" s="13" t="s">
        <v>76</v>
      </c>
      <c r="D1779" s="13" t="s">
        <v>149</v>
      </c>
      <c r="E1779" s="34"/>
      <c r="F1779" s="6"/>
      <c r="H1779" s="6"/>
      <c r="I1779" s="35" t="str">
        <f>IFERROR(IFERROR(IFERROR(VLOOKUP(B1779&amp;C1779&amp;Q1779,'New Weekly Paste'!A:M,10,0),VLOOKUP(B1779&amp;C1779&amp;Q1779,'New Weekly Paste'!B:O,6,0)),""),"")</f>
        <v>Shep</v>
      </c>
      <c r="J1779" s="239">
        <f>IFERROR(IFERROR(VLOOKUP(B1779&amp;C1779&amp;Q1779,'New Weekly Paste'!A:M,8,0),VLOOKUP(B1779&amp;C1779&amp;Q1779,'New Weekly Paste'!B:O,10,0)),0)</f>
        <v>67.46</v>
      </c>
      <c r="K1779" s="239">
        <f>IFERROR(IFERROR(VLOOKUP(B1779&amp;I1779&amp;Q1779,'New Weekly Paste'!A:M,8,0),VLOOKUP(B1779&amp;I1779&amp;Q1779,'New Weekly Paste'!B:O,10,0)),0)</f>
        <v>94.8</v>
      </c>
      <c r="L1779" s="239">
        <f t="shared" si="25"/>
        <v>0</v>
      </c>
      <c r="M1779" s="36" t="str">
        <f t="shared" si="3"/>
        <v>Regular Season</v>
      </c>
      <c r="N1779" s="239" t="str">
        <f t="shared" si="26"/>
        <v>Shep</v>
      </c>
      <c r="O1779" s="6">
        <f>VLOOKUP(D1779,'Mapped Opponent'!$G$4:$H$22,2,0)</f>
        <v>10</v>
      </c>
      <c r="P1779" s="6"/>
      <c r="Q1779" s="6" t="str">
        <f t="shared" si="4"/>
        <v>Week 10</v>
      </c>
      <c r="R1779" s="6" t="str">
        <f t="shared" si="5"/>
        <v>2020Week 10</v>
      </c>
      <c r="S1779" s="6">
        <f>IFERROR(__xludf.DUMMYFUNCTION("rank(J1779,FILTER(J:J,R:R=R1779))"),9.0)</f>
        <v>9</v>
      </c>
      <c r="T1779" s="6">
        <f t="shared" si="6"/>
        <v>3</v>
      </c>
      <c r="U1779" s="6">
        <f t="shared" si="7"/>
        <v>9</v>
      </c>
      <c r="V1779" s="42">
        <f>averageif(AllData!A:A,B1779,AllData!R:R)/vlookup(B1779,AllData!A:O,15,0)</f>
        <v>95.94858974</v>
      </c>
      <c r="W1779" s="6"/>
    </row>
    <row r="1780" ht="14.25" customHeight="1">
      <c r="A1780" s="6" t="str">
        <f t="shared" si="1"/>
        <v>2020Fellows10</v>
      </c>
      <c r="B1780" s="59">
        <v>2020.0</v>
      </c>
      <c r="C1780" s="13" t="s">
        <v>79</v>
      </c>
      <c r="D1780" s="13" t="s">
        <v>149</v>
      </c>
      <c r="E1780" s="34"/>
      <c r="F1780" s="6"/>
      <c r="H1780" s="6"/>
      <c r="I1780" s="35" t="str">
        <f>IFERROR(IFERROR(IFERROR(VLOOKUP(B1780&amp;C1780&amp;Q1780,'New Weekly Paste'!A:M,10,0),VLOOKUP(B1780&amp;C1780&amp;Q1780,'New Weekly Paste'!B:O,6,0)),""),"")</f>
        <v>T-How</v>
      </c>
      <c r="J1780" s="239">
        <f>IFERROR(IFERROR(VLOOKUP(B1780&amp;C1780&amp;Q1780,'New Weekly Paste'!A:M,8,0),VLOOKUP(B1780&amp;C1780&amp;Q1780,'New Weekly Paste'!B:O,10,0)),0)</f>
        <v>95.88</v>
      </c>
      <c r="K1780" s="239">
        <f>IFERROR(IFERROR(VLOOKUP(B1780&amp;I1780&amp;Q1780,'New Weekly Paste'!A:M,8,0),VLOOKUP(B1780&amp;I1780&amp;Q1780,'New Weekly Paste'!B:O,10,0)),0)</f>
        <v>51.72</v>
      </c>
      <c r="L1780" s="239">
        <f t="shared" si="25"/>
        <v>1</v>
      </c>
      <c r="M1780" s="36" t="str">
        <f t="shared" si="3"/>
        <v>Regular Season</v>
      </c>
      <c r="N1780" s="239" t="str">
        <f t="shared" si="26"/>
        <v>T-How</v>
      </c>
      <c r="O1780" s="6">
        <f>VLOOKUP(D1780,'Mapped Opponent'!$G$4:$H$22,2,0)</f>
        <v>10</v>
      </c>
      <c r="P1780" s="6"/>
      <c r="Q1780" s="6" t="str">
        <f t="shared" si="4"/>
        <v>Week 10</v>
      </c>
      <c r="R1780" s="6" t="str">
        <f t="shared" si="5"/>
        <v>2020Week 10</v>
      </c>
      <c r="S1780" s="6">
        <f>IFERROR(__xludf.DUMMYFUNCTION("rank(J1780,FILTER(J:J,R:R=R1780))"),6.0)</f>
        <v>6</v>
      </c>
      <c r="T1780" s="6">
        <f t="shared" si="6"/>
        <v>6</v>
      </c>
      <c r="U1780" s="6">
        <f t="shared" si="7"/>
        <v>6</v>
      </c>
      <c r="V1780" s="42">
        <f>averageif(AllData!A:A,B1780,AllData!R:R)/vlookup(B1780,AllData!A:O,15,0)</f>
        <v>95.94858974</v>
      </c>
      <c r="W1780" s="6"/>
    </row>
    <row r="1781" ht="14.25" customHeight="1">
      <c r="A1781" s="6" t="str">
        <f t="shared" si="1"/>
        <v>2020Shep10</v>
      </c>
      <c r="B1781" s="59">
        <v>2020.0</v>
      </c>
      <c r="C1781" s="13" t="s">
        <v>89</v>
      </c>
      <c r="D1781" s="13" t="s">
        <v>149</v>
      </c>
      <c r="E1781" s="34"/>
      <c r="F1781" s="6"/>
      <c r="H1781" s="6"/>
      <c r="I1781" s="35" t="str">
        <f>IFERROR(IFERROR(IFERROR(VLOOKUP(B1781&amp;C1781&amp;Q1781,'New Weekly Paste'!A:M,10,0),VLOOKUP(B1781&amp;C1781&amp;Q1781,'New Weekly Paste'!B:O,6,0)),""),"")</f>
        <v>Salty</v>
      </c>
      <c r="J1781" s="239">
        <f>IFERROR(IFERROR(VLOOKUP(B1781&amp;C1781&amp;Q1781,'New Weekly Paste'!A:M,8,0),VLOOKUP(B1781&amp;C1781&amp;Q1781,'New Weekly Paste'!B:O,10,0)),0)</f>
        <v>94.8</v>
      </c>
      <c r="K1781" s="239">
        <f>IFERROR(IFERROR(VLOOKUP(B1781&amp;I1781&amp;Q1781,'New Weekly Paste'!A:M,8,0),VLOOKUP(B1781&amp;I1781&amp;Q1781,'New Weekly Paste'!B:O,10,0)),0)</f>
        <v>67.46</v>
      </c>
      <c r="L1781" s="239">
        <f t="shared" si="25"/>
        <v>1</v>
      </c>
      <c r="M1781" s="36" t="str">
        <f t="shared" si="3"/>
        <v>Regular Season</v>
      </c>
      <c r="N1781" s="239" t="str">
        <f t="shared" si="26"/>
        <v>Salty</v>
      </c>
      <c r="O1781" s="6">
        <f>VLOOKUP(D1781,'Mapped Opponent'!$G$4:$H$22,2,0)</f>
        <v>10</v>
      </c>
      <c r="P1781" s="6"/>
      <c r="Q1781" s="6" t="str">
        <f t="shared" si="4"/>
        <v>Week 10</v>
      </c>
      <c r="R1781" s="6" t="str">
        <f t="shared" si="5"/>
        <v>2020Week 10</v>
      </c>
      <c r="S1781" s="6">
        <f>IFERROR(__xludf.DUMMYFUNCTION("rank(J1781,FILTER(J:J,R:R=R1781))"),7.0)</f>
        <v>7</v>
      </c>
      <c r="T1781" s="6">
        <f t="shared" si="6"/>
        <v>5</v>
      </c>
      <c r="U1781" s="6">
        <f t="shared" si="7"/>
        <v>7</v>
      </c>
      <c r="V1781" s="42">
        <f>averageif(AllData!A:A,B1781,AllData!R:R)/vlookup(B1781,AllData!A:O,15,0)</f>
        <v>95.94858974</v>
      </c>
      <c r="W1781" s="6"/>
    </row>
    <row r="1782" ht="14.25" customHeight="1">
      <c r="A1782" s="6" t="str">
        <f t="shared" si="1"/>
        <v>2020Riley10</v>
      </c>
      <c r="B1782" s="59">
        <v>2020.0</v>
      </c>
      <c r="C1782" s="13" t="s">
        <v>67</v>
      </c>
      <c r="D1782" s="13" t="s">
        <v>149</v>
      </c>
      <c r="E1782" s="34"/>
      <c r="F1782" s="6"/>
      <c r="H1782" s="6"/>
      <c r="I1782" s="35" t="str">
        <f>IFERROR(IFERROR(IFERROR(VLOOKUP(B1782&amp;C1782&amp;Q1782,'New Weekly Paste'!A:M,10,0),VLOOKUP(B1782&amp;C1782&amp;Q1782,'New Weekly Paste'!B:O,6,0)),""),"")</f>
        <v>Buser</v>
      </c>
      <c r="J1782" s="239">
        <f>IFERROR(IFERROR(VLOOKUP(B1782&amp;C1782&amp;Q1782,'New Weekly Paste'!A:M,8,0),VLOOKUP(B1782&amp;C1782&amp;Q1782,'New Weekly Paste'!B:O,10,0)),0)</f>
        <v>53.12</v>
      </c>
      <c r="K1782" s="239">
        <f>IFERROR(IFERROR(VLOOKUP(B1782&amp;I1782&amp;Q1782,'New Weekly Paste'!A:M,8,0),VLOOKUP(B1782&amp;I1782&amp;Q1782,'New Weekly Paste'!B:O,10,0)),0)</f>
        <v>107.7</v>
      </c>
      <c r="L1782" s="239">
        <f t="shared" si="25"/>
        <v>0</v>
      </c>
      <c r="M1782" s="36" t="str">
        <f t="shared" si="3"/>
        <v>Regular Season</v>
      </c>
      <c r="N1782" s="239" t="str">
        <f t="shared" si="26"/>
        <v>Buser</v>
      </c>
      <c r="O1782" s="6">
        <f>VLOOKUP(D1782,'Mapped Opponent'!$G$4:$H$22,2,0)</f>
        <v>10</v>
      </c>
      <c r="P1782" s="6"/>
      <c r="Q1782" s="6" t="str">
        <f t="shared" si="4"/>
        <v>Week 10</v>
      </c>
      <c r="R1782" s="6" t="str">
        <f t="shared" si="5"/>
        <v>2020Week 10</v>
      </c>
      <c r="S1782" s="6">
        <f>IFERROR(__xludf.DUMMYFUNCTION("rank(J1782,FILTER(J:J,R:R=R1782))"),11.0)</f>
        <v>11</v>
      </c>
      <c r="T1782" s="6">
        <f t="shared" si="6"/>
        <v>1</v>
      </c>
      <c r="U1782" s="6">
        <f t="shared" si="7"/>
        <v>11</v>
      </c>
      <c r="V1782" s="42">
        <f>averageif(AllData!A:A,B1782,AllData!R:R)/vlookup(B1782,AllData!A:O,15,0)</f>
        <v>95.94858974</v>
      </c>
      <c r="W1782" s="6"/>
    </row>
    <row r="1783" ht="14.25" customHeight="1">
      <c r="A1783" s="6" t="str">
        <f t="shared" si="1"/>
        <v>2020Rooney/Jackson10</v>
      </c>
      <c r="B1783" s="59">
        <v>2020.0</v>
      </c>
      <c r="C1783" s="13" t="s">
        <v>57</v>
      </c>
      <c r="D1783" s="13" t="s">
        <v>149</v>
      </c>
      <c r="E1783" s="34"/>
      <c r="F1783" s="6"/>
      <c r="H1783" s="6"/>
      <c r="I1783" s="35" t="str">
        <f>IFERROR(IFERROR(IFERROR(VLOOKUP(B1783&amp;C1783&amp;Q1783,'New Weekly Paste'!A:M,10,0),VLOOKUP(B1783&amp;C1783&amp;Q1783,'New Weekly Paste'!B:O,6,0)),""),"")</f>
        <v>Cock</v>
      </c>
      <c r="J1783" s="239">
        <f>IFERROR(IFERROR(VLOOKUP(B1783&amp;C1783&amp;Q1783,'New Weekly Paste'!A:M,8,0),VLOOKUP(B1783&amp;C1783&amp;Q1783,'New Weekly Paste'!B:O,10,0)),0)</f>
        <v>108.94</v>
      </c>
      <c r="K1783" s="239">
        <f>IFERROR(IFERROR(VLOOKUP(B1783&amp;I1783&amp;Q1783,'New Weekly Paste'!A:M,8,0),VLOOKUP(B1783&amp;I1783&amp;Q1783,'New Weekly Paste'!B:O,10,0)),0)</f>
        <v>99.18</v>
      </c>
      <c r="L1783" s="239">
        <f t="shared" si="25"/>
        <v>1</v>
      </c>
      <c r="M1783" s="36" t="str">
        <f t="shared" si="3"/>
        <v>Regular Season</v>
      </c>
      <c r="N1783" s="239" t="str">
        <f t="shared" si="26"/>
        <v>Cock</v>
      </c>
      <c r="O1783" s="6">
        <f>VLOOKUP(D1783,'Mapped Opponent'!$G$4:$H$22,2,0)</f>
        <v>10</v>
      </c>
      <c r="P1783" s="6"/>
      <c r="Q1783" s="6" t="str">
        <f t="shared" si="4"/>
        <v>Week 10</v>
      </c>
      <c r="R1783" s="6" t="str">
        <f t="shared" si="5"/>
        <v>2020Week 10</v>
      </c>
      <c r="S1783" s="6">
        <f>IFERROR(__xludf.DUMMYFUNCTION("rank(J1783,FILTER(J:J,R:R=R1783))"),2.0)</f>
        <v>2</v>
      </c>
      <c r="T1783" s="6">
        <f t="shared" si="6"/>
        <v>10</v>
      </c>
      <c r="U1783" s="6">
        <f t="shared" si="7"/>
        <v>2</v>
      </c>
      <c r="V1783" s="42">
        <f>averageif(AllData!A:A,B1783,AllData!R:R)/vlookup(B1783,AllData!A:O,15,0)</f>
        <v>95.94858974</v>
      </c>
      <c r="W1783" s="6"/>
    </row>
    <row r="1784" ht="14.25" customHeight="1">
      <c r="A1784" s="6" t="str">
        <f t="shared" si="1"/>
        <v>2020Buser10</v>
      </c>
      <c r="B1784" s="59">
        <v>2020.0</v>
      </c>
      <c r="C1784" s="13" t="s">
        <v>47</v>
      </c>
      <c r="D1784" s="13" t="s">
        <v>149</v>
      </c>
      <c r="E1784" s="34"/>
      <c r="F1784" s="6"/>
      <c r="H1784" s="6"/>
      <c r="I1784" s="35" t="str">
        <f>IFERROR(IFERROR(IFERROR(VLOOKUP(B1784&amp;C1784&amp;Q1784,'New Weekly Paste'!A:M,10,0),VLOOKUP(B1784&amp;C1784&amp;Q1784,'New Weekly Paste'!B:O,6,0)),""),"")</f>
        <v>Riley</v>
      </c>
      <c r="J1784" s="239">
        <f>IFERROR(IFERROR(VLOOKUP(B1784&amp;C1784&amp;Q1784,'New Weekly Paste'!A:M,8,0),VLOOKUP(B1784&amp;C1784&amp;Q1784,'New Weekly Paste'!B:O,10,0)),0)</f>
        <v>107.7</v>
      </c>
      <c r="K1784" s="239">
        <f>IFERROR(IFERROR(VLOOKUP(B1784&amp;I1784&amp;Q1784,'New Weekly Paste'!A:M,8,0),VLOOKUP(B1784&amp;I1784&amp;Q1784,'New Weekly Paste'!B:O,10,0)),0)</f>
        <v>53.12</v>
      </c>
      <c r="L1784" s="239">
        <f t="shared" si="25"/>
        <v>1</v>
      </c>
      <c r="M1784" s="36" t="str">
        <f t="shared" si="3"/>
        <v>Regular Season</v>
      </c>
      <c r="N1784" s="239" t="str">
        <f t="shared" si="26"/>
        <v>Riley</v>
      </c>
      <c r="O1784" s="6">
        <f>VLOOKUP(D1784,'Mapped Opponent'!$G$4:$H$22,2,0)</f>
        <v>10</v>
      </c>
      <c r="P1784" s="6"/>
      <c r="Q1784" s="6" t="str">
        <f t="shared" si="4"/>
        <v>Week 10</v>
      </c>
      <c r="R1784" s="6" t="str">
        <f t="shared" si="5"/>
        <v>2020Week 10</v>
      </c>
      <c r="S1784" s="6">
        <f>IFERROR(__xludf.DUMMYFUNCTION("rank(J1784,FILTER(J:J,R:R=R1784))"),3.0)</f>
        <v>3</v>
      </c>
      <c r="T1784" s="6">
        <f t="shared" si="6"/>
        <v>9</v>
      </c>
      <c r="U1784" s="6">
        <f t="shared" si="7"/>
        <v>3</v>
      </c>
      <c r="V1784" s="42">
        <f>averageif(AllData!A:A,B1784,AllData!R:R)/vlookup(B1784,AllData!A:O,15,0)</f>
        <v>95.94858974</v>
      </c>
      <c r="W1784" s="6"/>
    </row>
    <row r="1785" ht="14.25" customHeight="1">
      <c r="A1785" s="6" t="str">
        <f t="shared" si="1"/>
        <v>2020Pierson10</v>
      </c>
      <c r="B1785" s="59">
        <v>2020.0</v>
      </c>
      <c r="C1785" s="13" t="s">
        <v>92</v>
      </c>
      <c r="D1785" s="13" t="s">
        <v>149</v>
      </c>
      <c r="E1785" s="34"/>
      <c r="F1785" s="6"/>
      <c r="H1785" s="6"/>
      <c r="I1785" s="35" t="str">
        <f>IFERROR(IFERROR(IFERROR(VLOOKUP(B1785&amp;C1785&amp;Q1785,'New Weekly Paste'!A:M,10,0),VLOOKUP(B1785&amp;C1785&amp;Q1785,'New Weekly Paste'!B:O,6,0)),""),"")</f>
        <v>Tayski</v>
      </c>
      <c r="J1785" s="239">
        <f>IFERROR(IFERROR(VLOOKUP(B1785&amp;C1785&amp;Q1785,'New Weekly Paste'!A:M,8,0),VLOOKUP(B1785&amp;C1785&amp;Q1785,'New Weekly Paste'!B:O,10,0)),0)</f>
        <v>59.66</v>
      </c>
      <c r="K1785" s="239">
        <f>IFERROR(IFERROR(VLOOKUP(B1785&amp;I1785&amp;Q1785,'New Weekly Paste'!A:M,8,0),VLOOKUP(B1785&amp;I1785&amp;Q1785,'New Weekly Paste'!B:O,10,0)),0)</f>
        <v>101.76</v>
      </c>
      <c r="L1785" s="239">
        <f t="shared" si="25"/>
        <v>0</v>
      </c>
      <c r="M1785" s="36" t="str">
        <f t="shared" si="3"/>
        <v>Regular Season</v>
      </c>
      <c r="N1785" s="239" t="str">
        <f t="shared" si="26"/>
        <v>Tayski</v>
      </c>
      <c r="O1785" s="6">
        <f>VLOOKUP(D1785,'Mapped Opponent'!$G$4:$H$22,2,0)</f>
        <v>10</v>
      </c>
      <c r="P1785" s="6"/>
      <c r="Q1785" s="6" t="str">
        <f t="shared" si="4"/>
        <v>Week 10</v>
      </c>
      <c r="R1785" s="6" t="str">
        <f t="shared" si="5"/>
        <v>2020Week 10</v>
      </c>
      <c r="S1785" s="6">
        <f>IFERROR(__xludf.DUMMYFUNCTION("rank(J1785,FILTER(J:J,R:R=R1785))"),10.0)</f>
        <v>10</v>
      </c>
      <c r="T1785" s="6">
        <f t="shared" si="6"/>
        <v>2</v>
      </c>
      <c r="U1785" s="6">
        <f t="shared" si="7"/>
        <v>10</v>
      </c>
      <c r="V1785" s="42">
        <f>averageif(AllData!A:A,B1785,AllData!R:R)/vlookup(B1785,AllData!A:O,15,0)</f>
        <v>95.94858974</v>
      </c>
      <c r="W1785" s="6"/>
    </row>
    <row r="1786" ht="14.25" customHeight="1">
      <c r="A1786" s="6" t="str">
        <f t="shared" si="1"/>
        <v>2020Cock10</v>
      </c>
      <c r="B1786" s="59">
        <v>2020.0</v>
      </c>
      <c r="C1786" s="13" t="s">
        <v>72</v>
      </c>
      <c r="D1786" s="13" t="s">
        <v>149</v>
      </c>
      <c r="E1786" s="34"/>
      <c r="F1786" s="6"/>
      <c r="H1786" s="6"/>
      <c r="I1786" s="35" t="str">
        <f>IFERROR(IFERROR(IFERROR(VLOOKUP(B1786&amp;C1786&amp;Q1786,'New Weekly Paste'!A:M,10,0),VLOOKUP(B1786&amp;C1786&amp;Q1786,'New Weekly Paste'!B:O,6,0)),""),"")</f>
        <v>Rooney/Jackson</v>
      </c>
      <c r="J1786" s="239">
        <f>IFERROR(IFERROR(VLOOKUP(B1786&amp;C1786&amp;Q1786,'New Weekly Paste'!A:M,8,0),VLOOKUP(B1786&amp;C1786&amp;Q1786,'New Weekly Paste'!B:O,10,0)),0)</f>
        <v>99.18</v>
      </c>
      <c r="K1786" s="239">
        <f>IFERROR(IFERROR(VLOOKUP(B1786&amp;I1786&amp;Q1786,'New Weekly Paste'!A:M,8,0),VLOOKUP(B1786&amp;I1786&amp;Q1786,'New Weekly Paste'!B:O,10,0)),0)</f>
        <v>108.94</v>
      </c>
      <c r="L1786" s="239">
        <f t="shared" si="25"/>
        <v>0</v>
      </c>
      <c r="M1786" s="36" t="str">
        <f t="shared" si="3"/>
        <v>Regular Season</v>
      </c>
      <c r="N1786" s="239" t="str">
        <f t="shared" si="26"/>
        <v>Rooney/Jackson</v>
      </c>
      <c r="O1786" s="6">
        <f>VLOOKUP(D1786,'Mapped Opponent'!$G$4:$H$22,2,0)</f>
        <v>10</v>
      </c>
      <c r="P1786" s="6"/>
      <c r="Q1786" s="6" t="str">
        <f t="shared" si="4"/>
        <v>Week 10</v>
      </c>
      <c r="R1786" s="6" t="str">
        <f t="shared" si="5"/>
        <v>2020Week 10</v>
      </c>
      <c r="S1786" s="6">
        <f>IFERROR(__xludf.DUMMYFUNCTION("rank(J1786,FILTER(J:J,R:R=R1786))"),5.0)</f>
        <v>5</v>
      </c>
      <c r="T1786" s="6">
        <f t="shared" si="6"/>
        <v>7</v>
      </c>
      <c r="U1786" s="6">
        <f t="shared" si="7"/>
        <v>5</v>
      </c>
      <c r="V1786" s="42">
        <f>averageif(AllData!A:A,B1786,AllData!R:R)/vlookup(B1786,AllData!A:O,15,0)</f>
        <v>95.94858974</v>
      </c>
      <c r="W1786" s="6"/>
    </row>
    <row r="1787" ht="14.25" customHeight="1">
      <c r="A1787" s="6" t="str">
        <f t="shared" si="1"/>
        <v>2020Tayski10</v>
      </c>
      <c r="B1787" s="59">
        <v>2020.0</v>
      </c>
      <c r="C1787" s="13" t="s">
        <v>52</v>
      </c>
      <c r="D1787" s="13" t="s">
        <v>149</v>
      </c>
      <c r="E1787" s="34"/>
      <c r="F1787" s="6"/>
      <c r="H1787" s="6"/>
      <c r="I1787" s="35" t="str">
        <f>IFERROR(IFERROR(IFERROR(VLOOKUP(B1787&amp;C1787&amp;Q1787,'New Weekly Paste'!A:M,10,0),VLOOKUP(B1787&amp;C1787&amp;Q1787,'New Weekly Paste'!B:O,6,0)),""),"")</f>
        <v>Pierson</v>
      </c>
      <c r="J1787" s="239">
        <f>IFERROR(IFERROR(VLOOKUP(B1787&amp;C1787&amp;Q1787,'New Weekly Paste'!A:M,8,0),VLOOKUP(B1787&amp;C1787&amp;Q1787,'New Weekly Paste'!B:O,10,0)),0)</f>
        <v>101.76</v>
      </c>
      <c r="K1787" s="239">
        <f>IFERROR(IFERROR(VLOOKUP(B1787&amp;I1787&amp;Q1787,'New Weekly Paste'!A:M,8,0),VLOOKUP(B1787&amp;I1787&amp;Q1787,'New Weekly Paste'!B:O,10,0)),0)</f>
        <v>59.66</v>
      </c>
      <c r="L1787" s="239">
        <f t="shared" si="25"/>
        <v>1</v>
      </c>
      <c r="M1787" s="36" t="str">
        <f t="shared" si="3"/>
        <v>Regular Season</v>
      </c>
      <c r="N1787" s="239" t="str">
        <f t="shared" si="26"/>
        <v>Pierson</v>
      </c>
      <c r="O1787" s="6">
        <f>VLOOKUP(D1787,'Mapped Opponent'!$G$4:$H$22,2,0)</f>
        <v>10</v>
      </c>
      <c r="P1787" s="6"/>
      <c r="Q1787" s="6" t="str">
        <f t="shared" si="4"/>
        <v>Week 10</v>
      </c>
      <c r="R1787" s="6" t="str">
        <f t="shared" si="5"/>
        <v>2020Week 10</v>
      </c>
      <c r="S1787" s="6">
        <f>IFERROR(__xludf.DUMMYFUNCTION("rank(J1787,FILTER(J:J,R:R=R1787))"),4.0)</f>
        <v>4</v>
      </c>
      <c r="T1787" s="6">
        <f t="shared" si="6"/>
        <v>8</v>
      </c>
      <c r="U1787" s="6">
        <f t="shared" si="7"/>
        <v>4</v>
      </c>
      <c r="V1787" s="42">
        <f>averageif(AllData!A:A,B1787,AllData!R:R)/vlookup(B1787,AllData!A:O,15,0)</f>
        <v>95.94858974</v>
      </c>
      <c r="W1787" s="6"/>
    </row>
    <row r="1788" ht="14.25" customHeight="1">
      <c r="A1788" s="6" t="str">
        <f t="shared" si="1"/>
        <v>2020KnardDawg10</v>
      </c>
      <c r="B1788" s="59">
        <v>2020.0</v>
      </c>
      <c r="C1788" s="13" t="s">
        <v>86</v>
      </c>
      <c r="D1788" s="13" t="s">
        <v>149</v>
      </c>
      <c r="E1788" s="34"/>
      <c r="F1788" s="6"/>
      <c r="H1788" s="6"/>
      <c r="I1788" s="35" t="str">
        <f>IFERROR(IFERROR(IFERROR(VLOOKUP(B1788&amp;C1788&amp;Q1788,'New Weekly Paste'!A:M,10,0),VLOOKUP(B1788&amp;C1788&amp;Q1788,'New Weekly Paste'!B:O,6,0)),""),"")</f>
        <v>Hudspeath</v>
      </c>
      <c r="J1788" s="239">
        <f>IFERROR(IFERROR(VLOOKUP(B1788&amp;C1788&amp;Q1788,'New Weekly Paste'!A:M,8,0),VLOOKUP(B1788&amp;C1788&amp;Q1788,'New Weekly Paste'!B:O,10,0)),0)</f>
        <v>111.32</v>
      </c>
      <c r="K1788" s="239">
        <f>IFERROR(IFERROR(VLOOKUP(B1788&amp;I1788&amp;Q1788,'New Weekly Paste'!A:M,8,0),VLOOKUP(B1788&amp;I1788&amp;Q1788,'New Weekly Paste'!B:O,10,0)),0)</f>
        <v>92.24</v>
      </c>
      <c r="L1788" s="239">
        <f t="shared" si="25"/>
        <v>1</v>
      </c>
      <c r="M1788" s="36" t="str">
        <f t="shared" si="3"/>
        <v>Regular Season</v>
      </c>
      <c r="N1788" s="239" t="str">
        <f t="shared" si="26"/>
        <v>Hudspeath</v>
      </c>
      <c r="O1788" s="6">
        <f>VLOOKUP(D1788,'Mapped Opponent'!$G$4:$H$22,2,0)</f>
        <v>10</v>
      </c>
      <c r="P1788" s="6"/>
      <c r="Q1788" s="6" t="str">
        <f t="shared" si="4"/>
        <v>Week 10</v>
      </c>
      <c r="R1788" s="6" t="str">
        <f t="shared" si="5"/>
        <v>2020Week 10</v>
      </c>
      <c r="S1788" s="6">
        <f>IFERROR(__xludf.DUMMYFUNCTION("rank(J1788,FILTER(J:J,R:R=R1788))"),1.0)</f>
        <v>1</v>
      </c>
      <c r="T1788" s="6">
        <f t="shared" si="6"/>
        <v>11</v>
      </c>
      <c r="U1788" s="6">
        <f t="shared" si="7"/>
        <v>1</v>
      </c>
      <c r="V1788" s="42">
        <f>averageif(AllData!A:A,B1788,AllData!R:R)/vlookup(B1788,AllData!A:O,15,0)</f>
        <v>95.94858974</v>
      </c>
      <c r="W1788" s="6"/>
    </row>
    <row r="1789" ht="14.25" customHeight="1">
      <c r="A1789" s="6" t="str">
        <f t="shared" si="1"/>
        <v>2020T-How10</v>
      </c>
      <c r="B1789" s="59">
        <v>2020.0</v>
      </c>
      <c r="C1789" s="13" t="s">
        <v>82</v>
      </c>
      <c r="D1789" s="13" t="s">
        <v>149</v>
      </c>
      <c r="E1789" s="34"/>
      <c r="F1789" s="6"/>
      <c r="H1789" s="6"/>
      <c r="I1789" s="35" t="str">
        <f>IFERROR(IFERROR(IFERROR(VLOOKUP(B1789&amp;C1789&amp;Q1789,'New Weekly Paste'!A:M,10,0),VLOOKUP(B1789&amp;C1789&amp;Q1789,'New Weekly Paste'!B:O,6,0)),""),"")</f>
        <v>Fellows</v>
      </c>
      <c r="J1789" s="239">
        <f>IFERROR(IFERROR(VLOOKUP(B1789&amp;C1789&amp;Q1789,'New Weekly Paste'!A:M,8,0),VLOOKUP(B1789&amp;C1789&amp;Q1789,'New Weekly Paste'!B:O,10,0)),0)</f>
        <v>51.72</v>
      </c>
      <c r="K1789" s="239">
        <f>IFERROR(IFERROR(VLOOKUP(B1789&amp;I1789&amp;Q1789,'New Weekly Paste'!A:M,8,0),VLOOKUP(B1789&amp;I1789&amp;Q1789,'New Weekly Paste'!B:O,10,0)),0)</f>
        <v>95.88</v>
      </c>
      <c r="L1789" s="239">
        <f t="shared" si="25"/>
        <v>0</v>
      </c>
      <c r="M1789" s="36" t="str">
        <f t="shared" si="3"/>
        <v>Regular Season</v>
      </c>
      <c r="N1789" s="239" t="str">
        <f t="shared" si="26"/>
        <v>Fellows</v>
      </c>
      <c r="O1789" s="6">
        <f>VLOOKUP(D1789,'Mapped Opponent'!$G$4:$H$22,2,0)</f>
        <v>10</v>
      </c>
      <c r="P1789" s="6"/>
      <c r="Q1789" s="6" t="str">
        <f t="shared" si="4"/>
        <v>Week 10</v>
      </c>
      <c r="R1789" s="6" t="str">
        <f t="shared" si="5"/>
        <v>2020Week 10</v>
      </c>
      <c r="S1789" s="6">
        <f>IFERROR(__xludf.DUMMYFUNCTION("rank(J1789,FILTER(J:J,R:R=R1789))"),12.0)</f>
        <v>12</v>
      </c>
      <c r="T1789" s="6">
        <f t="shared" si="6"/>
        <v>0</v>
      </c>
      <c r="U1789" s="6">
        <f t="shared" si="7"/>
        <v>12</v>
      </c>
      <c r="V1789" s="42">
        <f>averageif(AllData!A:A,B1789,AllData!R:R)/vlookup(B1789,AllData!A:O,15,0)</f>
        <v>95.94858974</v>
      </c>
      <c r="W1789" s="6"/>
    </row>
    <row r="1790" ht="14.25" customHeight="1">
      <c r="A1790" s="6" t="str">
        <f t="shared" si="1"/>
        <v>2020Hudspeath11</v>
      </c>
      <c r="B1790" s="59">
        <v>2020.0</v>
      </c>
      <c r="C1790" s="13" t="s">
        <v>39</v>
      </c>
      <c r="D1790" s="13" t="s">
        <v>150</v>
      </c>
      <c r="E1790" s="34"/>
      <c r="F1790" s="6"/>
      <c r="H1790" s="6"/>
      <c r="I1790" s="35" t="str">
        <f>IFERROR(IFERROR(IFERROR(VLOOKUP(B1790&amp;C1790&amp;Q1790,'New Weekly Paste'!A:M,10,0),VLOOKUP(B1790&amp;C1790&amp;Q1790,'New Weekly Paste'!B:O,6,0)),""),"")</f>
        <v>Shep</v>
      </c>
      <c r="J1790" s="239">
        <f>IFERROR(IFERROR(VLOOKUP(B1790&amp;C1790&amp;Q1790,'New Weekly Paste'!A:M,8,0),VLOOKUP(B1790&amp;C1790&amp;Q1790,'New Weekly Paste'!B:O,10,0)),0)</f>
        <v>103.36</v>
      </c>
      <c r="K1790" s="239">
        <f>IFERROR(IFERROR(VLOOKUP(B1790&amp;I1790&amp;Q1790,'New Weekly Paste'!A:M,8,0),VLOOKUP(B1790&amp;I1790&amp;Q1790,'New Weekly Paste'!B:O,10,0)),0)</f>
        <v>114.84</v>
      </c>
      <c r="L1790" s="239">
        <f t="shared" si="25"/>
        <v>0</v>
      </c>
      <c r="M1790" s="36" t="str">
        <f t="shared" si="3"/>
        <v>Regular Season</v>
      </c>
      <c r="N1790" s="239" t="str">
        <f t="shared" si="26"/>
        <v>Shep</v>
      </c>
      <c r="O1790" s="6">
        <f>VLOOKUP(D1790,'Mapped Opponent'!$G$4:$H$22,2,0)</f>
        <v>11</v>
      </c>
      <c r="P1790" s="6"/>
      <c r="Q1790" s="6" t="str">
        <f t="shared" si="4"/>
        <v>Week 11</v>
      </c>
      <c r="R1790" s="6" t="str">
        <f t="shared" si="5"/>
        <v>2020Week 11</v>
      </c>
      <c r="S1790" s="6">
        <f>IFERROR(__xludf.DUMMYFUNCTION("rank(J1790,FILTER(J:J,R:R=R1790))"),4.0)</f>
        <v>4</v>
      </c>
      <c r="T1790" s="6">
        <f t="shared" si="6"/>
        <v>8</v>
      </c>
      <c r="U1790" s="6">
        <f t="shared" si="7"/>
        <v>4</v>
      </c>
      <c r="V1790" s="42">
        <f>averageif(AllData!A:A,B1790,AllData!R:R)/vlookup(B1790,AllData!A:O,15,0)</f>
        <v>95.94858974</v>
      </c>
      <c r="W1790" s="6"/>
    </row>
    <row r="1791" ht="14.25" customHeight="1">
      <c r="A1791" s="6" t="str">
        <f t="shared" si="1"/>
        <v>2020Salty11</v>
      </c>
      <c r="B1791" s="59">
        <v>2020.0</v>
      </c>
      <c r="C1791" s="13" t="s">
        <v>76</v>
      </c>
      <c r="D1791" s="13" t="s">
        <v>150</v>
      </c>
      <c r="E1791" s="34"/>
      <c r="F1791" s="6"/>
      <c r="H1791" s="6"/>
      <c r="I1791" s="35" t="str">
        <f>IFERROR(IFERROR(IFERROR(VLOOKUP(B1791&amp;C1791&amp;Q1791,'New Weekly Paste'!A:M,10,0),VLOOKUP(B1791&amp;C1791&amp;Q1791,'New Weekly Paste'!B:O,6,0)),""),"")</f>
        <v>T-How</v>
      </c>
      <c r="J1791" s="239">
        <f>IFERROR(IFERROR(VLOOKUP(B1791&amp;C1791&amp;Q1791,'New Weekly Paste'!A:M,8,0),VLOOKUP(B1791&amp;C1791&amp;Q1791,'New Weekly Paste'!B:O,10,0)),0)</f>
        <v>77.62</v>
      </c>
      <c r="K1791" s="239">
        <f>IFERROR(IFERROR(VLOOKUP(B1791&amp;I1791&amp;Q1791,'New Weekly Paste'!A:M,8,0),VLOOKUP(B1791&amp;I1791&amp;Q1791,'New Weekly Paste'!B:O,10,0)),0)</f>
        <v>93.74</v>
      </c>
      <c r="L1791" s="239">
        <f t="shared" si="25"/>
        <v>0</v>
      </c>
      <c r="M1791" s="36" t="str">
        <f t="shared" si="3"/>
        <v>Regular Season</v>
      </c>
      <c r="N1791" s="239" t="str">
        <f t="shared" si="26"/>
        <v>T-How</v>
      </c>
      <c r="O1791" s="6">
        <f>VLOOKUP(D1791,'Mapped Opponent'!$G$4:$H$22,2,0)</f>
        <v>11</v>
      </c>
      <c r="P1791" s="6"/>
      <c r="Q1791" s="6" t="str">
        <f t="shared" si="4"/>
        <v>Week 11</v>
      </c>
      <c r="R1791" s="6" t="str">
        <f t="shared" si="5"/>
        <v>2020Week 11</v>
      </c>
      <c r="S1791" s="6">
        <f>IFERROR(__xludf.DUMMYFUNCTION("rank(J1791,FILTER(J:J,R:R=R1791))"),10.0)</f>
        <v>10</v>
      </c>
      <c r="T1791" s="6">
        <f t="shared" si="6"/>
        <v>2</v>
      </c>
      <c r="U1791" s="6">
        <f t="shared" si="7"/>
        <v>10</v>
      </c>
      <c r="V1791" s="42">
        <f>averageif(AllData!A:A,B1791,AllData!R:R)/vlookup(B1791,AllData!A:O,15,0)</f>
        <v>95.94858974</v>
      </c>
      <c r="W1791" s="6"/>
    </row>
    <row r="1792" ht="14.25" customHeight="1">
      <c r="A1792" s="6" t="str">
        <f t="shared" si="1"/>
        <v>2020Fellows11</v>
      </c>
      <c r="B1792" s="59">
        <v>2020.0</v>
      </c>
      <c r="C1792" s="13" t="s">
        <v>79</v>
      </c>
      <c r="D1792" s="13" t="s">
        <v>150</v>
      </c>
      <c r="E1792" s="34"/>
      <c r="F1792" s="6"/>
      <c r="H1792" s="6"/>
      <c r="I1792" s="35" t="str">
        <f>IFERROR(IFERROR(IFERROR(VLOOKUP(B1792&amp;C1792&amp;Q1792,'New Weekly Paste'!A:M,10,0),VLOOKUP(B1792&amp;C1792&amp;Q1792,'New Weekly Paste'!B:O,6,0)),""),"")</f>
        <v>Buser</v>
      </c>
      <c r="J1792" s="239">
        <f>IFERROR(IFERROR(VLOOKUP(B1792&amp;C1792&amp;Q1792,'New Weekly Paste'!A:M,8,0),VLOOKUP(B1792&amp;C1792&amp;Q1792,'New Weekly Paste'!B:O,10,0)),0)</f>
        <v>91.6</v>
      </c>
      <c r="K1792" s="239">
        <f>IFERROR(IFERROR(VLOOKUP(B1792&amp;I1792&amp;Q1792,'New Weekly Paste'!A:M,8,0),VLOOKUP(B1792&amp;I1792&amp;Q1792,'New Weekly Paste'!B:O,10,0)),0)</f>
        <v>65.76</v>
      </c>
      <c r="L1792" s="239">
        <f t="shared" si="25"/>
        <v>1</v>
      </c>
      <c r="M1792" s="36" t="str">
        <f t="shared" si="3"/>
        <v>Regular Season</v>
      </c>
      <c r="N1792" s="239" t="str">
        <f t="shared" si="26"/>
        <v>Buser</v>
      </c>
      <c r="O1792" s="6">
        <f>VLOOKUP(D1792,'Mapped Opponent'!$G$4:$H$22,2,0)</f>
        <v>11</v>
      </c>
      <c r="P1792" s="6"/>
      <c r="Q1792" s="6" t="str">
        <f t="shared" si="4"/>
        <v>Week 11</v>
      </c>
      <c r="R1792" s="6" t="str">
        <f t="shared" si="5"/>
        <v>2020Week 11</v>
      </c>
      <c r="S1792" s="6">
        <f>IFERROR(__xludf.DUMMYFUNCTION("rank(J1792,FILTER(J:J,R:R=R1792))"),9.0)</f>
        <v>9</v>
      </c>
      <c r="T1792" s="6">
        <f t="shared" si="6"/>
        <v>3</v>
      </c>
      <c r="U1792" s="6">
        <f t="shared" si="7"/>
        <v>9</v>
      </c>
      <c r="V1792" s="42">
        <f>averageif(AllData!A:A,B1792,AllData!R:R)/vlookup(B1792,AllData!A:O,15,0)</f>
        <v>95.94858974</v>
      </c>
      <c r="W1792" s="6"/>
    </row>
    <row r="1793" ht="14.25" customHeight="1">
      <c r="A1793" s="6" t="str">
        <f t="shared" si="1"/>
        <v>2020Shep11</v>
      </c>
      <c r="B1793" s="59">
        <v>2020.0</v>
      </c>
      <c r="C1793" s="13" t="s">
        <v>89</v>
      </c>
      <c r="D1793" s="13" t="s">
        <v>150</v>
      </c>
      <c r="E1793" s="34"/>
      <c r="F1793" s="6"/>
      <c r="H1793" s="6"/>
      <c r="I1793" s="35" t="str">
        <f>IFERROR(IFERROR(IFERROR(VLOOKUP(B1793&amp;C1793&amp;Q1793,'New Weekly Paste'!A:M,10,0),VLOOKUP(B1793&amp;C1793&amp;Q1793,'New Weekly Paste'!B:O,6,0)),""),"")</f>
        <v>Hudspeath</v>
      </c>
      <c r="J1793" s="239">
        <f>IFERROR(IFERROR(VLOOKUP(B1793&amp;C1793&amp;Q1793,'New Weekly Paste'!A:M,8,0),VLOOKUP(B1793&amp;C1793&amp;Q1793,'New Weekly Paste'!B:O,10,0)),0)</f>
        <v>114.84</v>
      </c>
      <c r="K1793" s="239">
        <f>IFERROR(IFERROR(VLOOKUP(B1793&amp;I1793&amp;Q1793,'New Weekly Paste'!A:M,8,0),VLOOKUP(B1793&amp;I1793&amp;Q1793,'New Weekly Paste'!B:O,10,0)),0)</f>
        <v>103.36</v>
      </c>
      <c r="L1793" s="239">
        <f t="shared" si="25"/>
        <v>1</v>
      </c>
      <c r="M1793" s="36" t="str">
        <f t="shared" si="3"/>
        <v>Regular Season</v>
      </c>
      <c r="N1793" s="239" t="str">
        <f t="shared" si="26"/>
        <v>Hudspeath</v>
      </c>
      <c r="O1793" s="6">
        <f>VLOOKUP(D1793,'Mapped Opponent'!$G$4:$H$22,2,0)</f>
        <v>11</v>
      </c>
      <c r="P1793" s="6"/>
      <c r="Q1793" s="6" t="str">
        <f t="shared" si="4"/>
        <v>Week 11</v>
      </c>
      <c r="R1793" s="6" t="str">
        <f t="shared" si="5"/>
        <v>2020Week 11</v>
      </c>
      <c r="S1793" s="6">
        <f>IFERROR(__xludf.DUMMYFUNCTION("rank(J1793,FILTER(J:J,R:R=R1793))"),3.0)</f>
        <v>3</v>
      </c>
      <c r="T1793" s="6">
        <f t="shared" si="6"/>
        <v>9</v>
      </c>
      <c r="U1793" s="6">
        <f t="shared" si="7"/>
        <v>3</v>
      </c>
      <c r="V1793" s="42">
        <f>averageif(AllData!A:A,B1793,AllData!R:R)/vlookup(B1793,AllData!A:O,15,0)</f>
        <v>95.94858974</v>
      </c>
      <c r="W1793" s="6"/>
    </row>
    <row r="1794" ht="14.25" customHeight="1">
      <c r="A1794" s="6" t="str">
        <f t="shared" si="1"/>
        <v>2020Riley11</v>
      </c>
      <c r="B1794" s="59">
        <v>2020.0</v>
      </c>
      <c r="C1794" s="13" t="s">
        <v>67</v>
      </c>
      <c r="D1794" s="13" t="s">
        <v>150</v>
      </c>
      <c r="E1794" s="34"/>
      <c r="F1794" s="6"/>
      <c r="H1794" s="6"/>
      <c r="I1794" s="35" t="str">
        <f>IFERROR(IFERROR(IFERROR(VLOOKUP(B1794&amp;C1794&amp;Q1794,'New Weekly Paste'!A:M,10,0),VLOOKUP(B1794&amp;C1794&amp;Q1794,'New Weekly Paste'!B:O,6,0)),""),"")</f>
        <v>Rooney/Jackson</v>
      </c>
      <c r="J1794" s="239">
        <f>IFERROR(IFERROR(VLOOKUP(B1794&amp;C1794&amp;Q1794,'New Weekly Paste'!A:M,8,0),VLOOKUP(B1794&amp;C1794&amp;Q1794,'New Weekly Paste'!B:O,10,0)),0)</f>
        <v>120.18</v>
      </c>
      <c r="K1794" s="239">
        <f>IFERROR(IFERROR(VLOOKUP(B1794&amp;I1794&amp;Q1794,'New Weekly Paste'!A:M,8,0),VLOOKUP(B1794&amp;I1794&amp;Q1794,'New Weekly Paste'!B:O,10,0)),0)</f>
        <v>120.58</v>
      </c>
      <c r="L1794" s="239">
        <f t="shared" si="25"/>
        <v>0</v>
      </c>
      <c r="M1794" s="36" t="str">
        <f t="shared" si="3"/>
        <v>Regular Season</v>
      </c>
      <c r="N1794" s="239" t="str">
        <f t="shared" si="26"/>
        <v>Rooney/Jackson</v>
      </c>
      <c r="O1794" s="6">
        <f>VLOOKUP(D1794,'Mapped Opponent'!$G$4:$H$22,2,0)</f>
        <v>11</v>
      </c>
      <c r="P1794" s="6"/>
      <c r="Q1794" s="6" t="str">
        <f t="shared" si="4"/>
        <v>Week 11</v>
      </c>
      <c r="R1794" s="6" t="str">
        <f t="shared" si="5"/>
        <v>2020Week 11</v>
      </c>
      <c r="S1794" s="6">
        <f>IFERROR(__xludf.DUMMYFUNCTION("rank(J1794,FILTER(J:J,R:R=R1794))"),2.0)</f>
        <v>2</v>
      </c>
      <c r="T1794" s="6">
        <f t="shared" si="6"/>
        <v>10</v>
      </c>
      <c r="U1794" s="6">
        <f t="shared" si="7"/>
        <v>2</v>
      </c>
      <c r="V1794" s="42">
        <f>averageif(AllData!A:A,B1794,AllData!R:R)/vlookup(B1794,AllData!A:O,15,0)</f>
        <v>95.94858974</v>
      </c>
      <c r="W1794" s="6"/>
    </row>
    <row r="1795" ht="14.25" customHeight="1">
      <c r="A1795" s="6" t="str">
        <f t="shared" si="1"/>
        <v>2020Rooney/Jackson11</v>
      </c>
      <c r="B1795" s="59">
        <v>2020.0</v>
      </c>
      <c r="C1795" s="13" t="s">
        <v>57</v>
      </c>
      <c r="D1795" s="13" t="s">
        <v>150</v>
      </c>
      <c r="E1795" s="34"/>
      <c r="F1795" s="6"/>
      <c r="H1795" s="6"/>
      <c r="I1795" s="35" t="str">
        <f>IFERROR(IFERROR(IFERROR(VLOOKUP(B1795&amp;C1795&amp;Q1795,'New Weekly Paste'!A:M,10,0),VLOOKUP(B1795&amp;C1795&amp;Q1795,'New Weekly Paste'!B:O,6,0)),""),"")</f>
        <v>Riley</v>
      </c>
      <c r="J1795" s="239">
        <f>IFERROR(IFERROR(VLOOKUP(B1795&amp;C1795&amp;Q1795,'New Weekly Paste'!A:M,8,0),VLOOKUP(B1795&amp;C1795&amp;Q1795,'New Weekly Paste'!B:O,10,0)),0)</f>
        <v>120.58</v>
      </c>
      <c r="K1795" s="239">
        <f>IFERROR(IFERROR(VLOOKUP(B1795&amp;I1795&amp;Q1795,'New Weekly Paste'!A:M,8,0),VLOOKUP(B1795&amp;I1795&amp;Q1795,'New Weekly Paste'!B:O,10,0)),0)</f>
        <v>120.18</v>
      </c>
      <c r="L1795" s="239">
        <f t="shared" si="25"/>
        <v>1</v>
      </c>
      <c r="M1795" s="36" t="str">
        <f t="shared" si="3"/>
        <v>Regular Season</v>
      </c>
      <c r="N1795" s="239" t="str">
        <f t="shared" si="26"/>
        <v>Riley</v>
      </c>
      <c r="O1795" s="6">
        <f>VLOOKUP(D1795,'Mapped Opponent'!$G$4:$H$22,2,0)</f>
        <v>11</v>
      </c>
      <c r="P1795" s="6"/>
      <c r="Q1795" s="6" t="str">
        <f t="shared" si="4"/>
        <v>Week 11</v>
      </c>
      <c r="R1795" s="6" t="str">
        <f t="shared" si="5"/>
        <v>2020Week 11</v>
      </c>
      <c r="S1795" s="6">
        <f>IFERROR(__xludf.DUMMYFUNCTION("rank(J1795,FILTER(J:J,R:R=R1795))"),1.0)</f>
        <v>1</v>
      </c>
      <c r="T1795" s="6">
        <f t="shared" si="6"/>
        <v>11</v>
      </c>
      <c r="U1795" s="6">
        <f t="shared" si="7"/>
        <v>1</v>
      </c>
      <c r="V1795" s="42">
        <f>averageif(AllData!A:A,B1795,AllData!R:R)/vlookup(B1795,AllData!A:O,15,0)</f>
        <v>95.94858974</v>
      </c>
      <c r="W1795" s="6"/>
    </row>
    <row r="1796" ht="14.25" customHeight="1">
      <c r="A1796" s="6" t="str">
        <f t="shared" si="1"/>
        <v>2020Buser11</v>
      </c>
      <c r="B1796" s="59">
        <v>2020.0</v>
      </c>
      <c r="C1796" s="13" t="s">
        <v>47</v>
      </c>
      <c r="D1796" s="13" t="s">
        <v>150</v>
      </c>
      <c r="E1796" s="34"/>
      <c r="F1796" s="6"/>
      <c r="H1796" s="6"/>
      <c r="I1796" s="35" t="str">
        <f>IFERROR(IFERROR(IFERROR(VLOOKUP(B1796&amp;C1796&amp;Q1796,'New Weekly Paste'!A:M,10,0),VLOOKUP(B1796&amp;C1796&amp;Q1796,'New Weekly Paste'!B:O,6,0)),""),"")</f>
        <v>Fellows</v>
      </c>
      <c r="J1796" s="239">
        <f>IFERROR(IFERROR(VLOOKUP(B1796&amp;C1796&amp;Q1796,'New Weekly Paste'!A:M,8,0),VLOOKUP(B1796&amp;C1796&amp;Q1796,'New Weekly Paste'!B:O,10,0)),0)</f>
        <v>65.76</v>
      </c>
      <c r="K1796" s="239">
        <f>IFERROR(IFERROR(VLOOKUP(B1796&amp;I1796&amp;Q1796,'New Weekly Paste'!A:M,8,0),VLOOKUP(B1796&amp;I1796&amp;Q1796,'New Weekly Paste'!B:O,10,0)),0)</f>
        <v>91.6</v>
      </c>
      <c r="L1796" s="239">
        <f t="shared" si="25"/>
        <v>0</v>
      </c>
      <c r="M1796" s="36" t="str">
        <f t="shared" si="3"/>
        <v>Regular Season</v>
      </c>
      <c r="N1796" s="239" t="str">
        <f t="shared" si="26"/>
        <v>Fellows</v>
      </c>
      <c r="O1796" s="6">
        <f>VLOOKUP(D1796,'Mapped Opponent'!$G$4:$H$22,2,0)</f>
        <v>11</v>
      </c>
      <c r="P1796" s="6"/>
      <c r="Q1796" s="6" t="str">
        <f t="shared" si="4"/>
        <v>Week 11</v>
      </c>
      <c r="R1796" s="6" t="str">
        <f t="shared" si="5"/>
        <v>2020Week 11</v>
      </c>
      <c r="S1796" s="6">
        <f>IFERROR(__xludf.DUMMYFUNCTION("rank(J1796,FILTER(J:J,R:R=R1796))"),12.0)</f>
        <v>12</v>
      </c>
      <c r="T1796" s="6">
        <f t="shared" si="6"/>
        <v>0</v>
      </c>
      <c r="U1796" s="6">
        <f t="shared" si="7"/>
        <v>12</v>
      </c>
      <c r="V1796" s="42">
        <f>averageif(AllData!A:A,B1796,AllData!R:R)/vlookup(B1796,AllData!A:O,15,0)</f>
        <v>95.94858974</v>
      </c>
      <c r="W1796" s="6"/>
    </row>
    <row r="1797" ht="14.25" customHeight="1">
      <c r="A1797" s="6" t="str">
        <f t="shared" si="1"/>
        <v>2020Pierson11</v>
      </c>
      <c r="B1797" s="59">
        <v>2020.0</v>
      </c>
      <c r="C1797" s="13" t="s">
        <v>92</v>
      </c>
      <c r="D1797" s="13" t="s">
        <v>150</v>
      </c>
      <c r="E1797" s="34"/>
      <c r="F1797" s="6"/>
      <c r="H1797" s="6"/>
      <c r="I1797" s="35" t="str">
        <f>IFERROR(IFERROR(IFERROR(VLOOKUP(B1797&amp;C1797&amp;Q1797,'New Weekly Paste'!A:M,10,0),VLOOKUP(B1797&amp;C1797&amp;Q1797,'New Weekly Paste'!B:O,6,0)),""),"")</f>
        <v>Cock</v>
      </c>
      <c r="J1797" s="239">
        <f>IFERROR(IFERROR(VLOOKUP(B1797&amp;C1797&amp;Q1797,'New Weekly Paste'!A:M,8,0),VLOOKUP(B1797&amp;C1797&amp;Q1797,'New Weekly Paste'!B:O,10,0)),0)</f>
        <v>101.9</v>
      </c>
      <c r="K1797" s="239">
        <f>IFERROR(IFERROR(VLOOKUP(B1797&amp;I1797&amp;Q1797,'New Weekly Paste'!A:M,8,0),VLOOKUP(B1797&amp;I1797&amp;Q1797,'New Weekly Paste'!B:O,10,0)),0)</f>
        <v>73.66</v>
      </c>
      <c r="L1797" s="239">
        <f t="shared" si="25"/>
        <v>1</v>
      </c>
      <c r="M1797" s="36" t="str">
        <f t="shared" si="3"/>
        <v>Regular Season</v>
      </c>
      <c r="N1797" s="239" t="str">
        <f t="shared" si="26"/>
        <v>Cock</v>
      </c>
      <c r="O1797" s="6">
        <f>VLOOKUP(D1797,'Mapped Opponent'!$G$4:$H$22,2,0)</f>
        <v>11</v>
      </c>
      <c r="P1797" s="6"/>
      <c r="Q1797" s="6" t="str">
        <f t="shared" si="4"/>
        <v>Week 11</v>
      </c>
      <c r="R1797" s="6" t="str">
        <f t="shared" si="5"/>
        <v>2020Week 11</v>
      </c>
      <c r="S1797" s="6">
        <f>IFERROR(__xludf.DUMMYFUNCTION("rank(J1797,FILTER(J:J,R:R=R1797))"),6.0)</f>
        <v>6</v>
      </c>
      <c r="T1797" s="6">
        <f t="shared" si="6"/>
        <v>6</v>
      </c>
      <c r="U1797" s="6">
        <f t="shared" si="7"/>
        <v>6</v>
      </c>
      <c r="V1797" s="42">
        <f>averageif(AllData!A:A,B1797,AllData!R:R)/vlookup(B1797,AllData!A:O,15,0)</f>
        <v>95.94858974</v>
      </c>
      <c r="W1797" s="6"/>
    </row>
    <row r="1798" ht="14.25" customHeight="1">
      <c r="A1798" s="6" t="str">
        <f t="shared" si="1"/>
        <v>2020Cock11</v>
      </c>
      <c r="B1798" s="59">
        <v>2020.0</v>
      </c>
      <c r="C1798" s="13" t="s">
        <v>72</v>
      </c>
      <c r="D1798" s="13" t="s">
        <v>150</v>
      </c>
      <c r="E1798" s="34"/>
      <c r="F1798" s="6"/>
      <c r="H1798" s="6"/>
      <c r="I1798" s="35" t="str">
        <f>IFERROR(IFERROR(IFERROR(VLOOKUP(B1798&amp;C1798&amp;Q1798,'New Weekly Paste'!A:M,10,0),VLOOKUP(B1798&amp;C1798&amp;Q1798,'New Weekly Paste'!B:O,6,0)),""),"")</f>
        <v>Pierson</v>
      </c>
      <c r="J1798" s="239">
        <f>IFERROR(IFERROR(VLOOKUP(B1798&amp;C1798&amp;Q1798,'New Weekly Paste'!A:M,8,0),VLOOKUP(B1798&amp;C1798&amp;Q1798,'New Weekly Paste'!B:O,10,0)),0)</f>
        <v>73.66</v>
      </c>
      <c r="K1798" s="239">
        <f>IFERROR(IFERROR(VLOOKUP(B1798&amp;I1798&amp;Q1798,'New Weekly Paste'!A:M,8,0),VLOOKUP(B1798&amp;I1798&amp;Q1798,'New Weekly Paste'!B:O,10,0)),0)</f>
        <v>101.9</v>
      </c>
      <c r="L1798" s="239">
        <f t="shared" si="25"/>
        <v>0</v>
      </c>
      <c r="M1798" s="36" t="str">
        <f t="shared" si="3"/>
        <v>Regular Season</v>
      </c>
      <c r="N1798" s="239" t="str">
        <f t="shared" si="26"/>
        <v>Pierson</v>
      </c>
      <c r="O1798" s="6">
        <f>VLOOKUP(D1798,'Mapped Opponent'!$G$4:$H$22,2,0)</f>
        <v>11</v>
      </c>
      <c r="P1798" s="6"/>
      <c r="Q1798" s="6" t="str">
        <f t="shared" si="4"/>
        <v>Week 11</v>
      </c>
      <c r="R1798" s="6" t="str">
        <f t="shared" si="5"/>
        <v>2020Week 11</v>
      </c>
      <c r="S1798" s="6">
        <f>IFERROR(__xludf.DUMMYFUNCTION("rank(J1798,FILTER(J:J,R:R=R1798))"),11.0)</f>
        <v>11</v>
      </c>
      <c r="T1798" s="6">
        <f t="shared" si="6"/>
        <v>1</v>
      </c>
      <c r="U1798" s="6">
        <f t="shared" si="7"/>
        <v>11</v>
      </c>
      <c r="V1798" s="42">
        <f>averageif(AllData!A:A,B1798,AllData!R:R)/vlookup(B1798,AllData!A:O,15,0)</f>
        <v>95.94858974</v>
      </c>
      <c r="W1798" s="6"/>
    </row>
    <row r="1799" ht="14.25" customHeight="1">
      <c r="A1799" s="6" t="str">
        <f t="shared" si="1"/>
        <v>2020Tayski11</v>
      </c>
      <c r="B1799" s="59">
        <v>2020.0</v>
      </c>
      <c r="C1799" s="13" t="s">
        <v>52</v>
      </c>
      <c r="D1799" s="13" t="s">
        <v>150</v>
      </c>
      <c r="E1799" s="34"/>
      <c r="F1799" s="6"/>
      <c r="H1799" s="6"/>
      <c r="I1799" s="35" t="str">
        <f>IFERROR(IFERROR(IFERROR(VLOOKUP(B1799&amp;C1799&amp;Q1799,'New Weekly Paste'!A:M,10,0),VLOOKUP(B1799&amp;C1799&amp;Q1799,'New Weekly Paste'!B:O,6,0)),""),"")</f>
        <v>KnardDawg</v>
      </c>
      <c r="J1799" s="239">
        <f>IFERROR(IFERROR(VLOOKUP(B1799&amp;C1799&amp;Q1799,'New Weekly Paste'!A:M,8,0),VLOOKUP(B1799&amp;C1799&amp;Q1799,'New Weekly Paste'!B:O,10,0)),0)</f>
        <v>91.72</v>
      </c>
      <c r="K1799" s="239">
        <f>IFERROR(IFERROR(VLOOKUP(B1799&amp;I1799&amp;Q1799,'New Weekly Paste'!A:M,8,0),VLOOKUP(B1799&amp;I1799&amp;Q1799,'New Weekly Paste'!B:O,10,0)),0)</f>
        <v>103.26</v>
      </c>
      <c r="L1799" s="239">
        <f t="shared" si="25"/>
        <v>0</v>
      </c>
      <c r="M1799" s="36" t="str">
        <f t="shared" si="3"/>
        <v>Regular Season</v>
      </c>
      <c r="N1799" s="239" t="str">
        <f t="shared" si="26"/>
        <v>KnardDawg</v>
      </c>
      <c r="O1799" s="6">
        <f>VLOOKUP(D1799,'Mapped Opponent'!$G$4:$H$22,2,0)</f>
        <v>11</v>
      </c>
      <c r="P1799" s="6"/>
      <c r="Q1799" s="6" t="str">
        <f t="shared" si="4"/>
        <v>Week 11</v>
      </c>
      <c r="R1799" s="6" t="str">
        <f t="shared" si="5"/>
        <v>2020Week 11</v>
      </c>
      <c r="S1799" s="6">
        <f>IFERROR(__xludf.DUMMYFUNCTION("rank(J1799,FILTER(J:J,R:R=R1799))"),8.0)</f>
        <v>8</v>
      </c>
      <c r="T1799" s="6">
        <f t="shared" si="6"/>
        <v>4</v>
      </c>
      <c r="U1799" s="6">
        <f t="shared" si="7"/>
        <v>8</v>
      </c>
      <c r="V1799" s="42">
        <f>averageif(AllData!A:A,B1799,AllData!R:R)/vlookup(B1799,AllData!A:O,15,0)</f>
        <v>95.94858974</v>
      </c>
      <c r="W1799" s="6"/>
    </row>
    <row r="1800" ht="14.25" customHeight="1">
      <c r="A1800" s="6" t="str">
        <f t="shared" si="1"/>
        <v>2020KnardDawg11</v>
      </c>
      <c r="B1800" s="59">
        <v>2020.0</v>
      </c>
      <c r="C1800" s="13" t="s">
        <v>86</v>
      </c>
      <c r="D1800" s="13" t="s">
        <v>150</v>
      </c>
      <c r="E1800" s="34"/>
      <c r="F1800" s="6"/>
      <c r="H1800" s="6"/>
      <c r="I1800" s="35" t="str">
        <f>IFERROR(IFERROR(IFERROR(VLOOKUP(B1800&amp;C1800&amp;Q1800,'New Weekly Paste'!A:M,10,0),VLOOKUP(B1800&amp;C1800&amp;Q1800,'New Weekly Paste'!B:O,6,0)),""),"")</f>
        <v>Tayski</v>
      </c>
      <c r="J1800" s="239">
        <f>IFERROR(IFERROR(VLOOKUP(B1800&amp;C1800&amp;Q1800,'New Weekly Paste'!A:M,8,0),VLOOKUP(B1800&amp;C1800&amp;Q1800,'New Weekly Paste'!B:O,10,0)),0)</f>
        <v>103.26</v>
      </c>
      <c r="K1800" s="239">
        <f>IFERROR(IFERROR(VLOOKUP(B1800&amp;I1800&amp;Q1800,'New Weekly Paste'!A:M,8,0),VLOOKUP(B1800&amp;I1800&amp;Q1800,'New Weekly Paste'!B:O,10,0)),0)</f>
        <v>91.72</v>
      </c>
      <c r="L1800" s="239">
        <f t="shared" si="25"/>
        <v>1</v>
      </c>
      <c r="M1800" s="36" t="str">
        <f t="shared" si="3"/>
        <v>Regular Season</v>
      </c>
      <c r="N1800" s="239" t="str">
        <f t="shared" si="26"/>
        <v>Tayski</v>
      </c>
      <c r="O1800" s="6">
        <f>VLOOKUP(D1800,'Mapped Opponent'!$G$4:$H$22,2,0)</f>
        <v>11</v>
      </c>
      <c r="P1800" s="6"/>
      <c r="Q1800" s="6" t="str">
        <f t="shared" si="4"/>
        <v>Week 11</v>
      </c>
      <c r="R1800" s="6" t="str">
        <f t="shared" si="5"/>
        <v>2020Week 11</v>
      </c>
      <c r="S1800" s="6">
        <f>IFERROR(__xludf.DUMMYFUNCTION("rank(J1800,FILTER(J:J,R:R=R1800))"),5.0)</f>
        <v>5</v>
      </c>
      <c r="T1800" s="6">
        <f t="shared" si="6"/>
        <v>7</v>
      </c>
      <c r="U1800" s="6">
        <f t="shared" si="7"/>
        <v>5</v>
      </c>
      <c r="V1800" s="42">
        <f>averageif(AllData!A:A,B1800,AllData!R:R)/vlookup(B1800,AllData!A:O,15,0)</f>
        <v>95.94858974</v>
      </c>
      <c r="W1800" s="6"/>
    </row>
    <row r="1801" ht="14.25" customHeight="1">
      <c r="A1801" s="6" t="str">
        <f t="shared" si="1"/>
        <v>2020T-How11</v>
      </c>
      <c r="B1801" s="59">
        <v>2020.0</v>
      </c>
      <c r="C1801" s="13" t="s">
        <v>82</v>
      </c>
      <c r="D1801" s="13" t="s">
        <v>150</v>
      </c>
      <c r="E1801" s="34"/>
      <c r="F1801" s="6"/>
      <c r="H1801" s="6"/>
      <c r="I1801" s="35" t="str">
        <f>IFERROR(IFERROR(IFERROR(VLOOKUP(B1801&amp;C1801&amp;Q1801,'New Weekly Paste'!A:M,10,0),VLOOKUP(B1801&amp;C1801&amp;Q1801,'New Weekly Paste'!B:O,6,0)),""),"")</f>
        <v>Salty</v>
      </c>
      <c r="J1801" s="239">
        <f>IFERROR(IFERROR(VLOOKUP(B1801&amp;C1801&amp;Q1801,'New Weekly Paste'!A:M,8,0),VLOOKUP(B1801&amp;C1801&amp;Q1801,'New Weekly Paste'!B:O,10,0)),0)</f>
        <v>93.74</v>
      </c>
      <c r="K1801" s="239">
        <f>IFERROR(IFERROR(VLOOKUP(B1801&amp;I1801&amp;Q1801,'New Weekly Paste'!A:M,8,0),VLOOKUP(B1801&amp;I1801&amp;Q1801,'New Weekly Paste'!B:O,10,0)),0)</f>
        <v>77.62</v>
      </c>
      <c r="L1801" s="239">
        <f t="shared" si="25"/>
        <v>1</v>
      </c>
      <c r="M1801" s="36" t="str">
        <f t="shared" si="3"/>
        <v>Regular Season</v>
      </c>
      <c r="N1801" s="239" t="str">
        <f t="shared" si="26"/>
        <v>Salty</v>
      </c>
      <c r="O1801" s="6">
        <f>VLOOKUP(D1801,'Mapped Opponent'!$G$4:$H$22,2,0)</f>
        <v>11</v>
      </c>
      <c r="P1801" s="6"/>
      <c r="Q1801" s="6" t="str">
        <f t="shared" si="4"/>
        <v>Week 11</v>
      </c>
      <c r="R1801" s="6" t="str">
        <f t="shared" si="5"/>
        <v>2020Week 11</v>
      </c>
      <c r="S1801" s="6">
        <f>IFERROR(__xludf.DUMMYFUNCTION("rank(J1801,FILTER(J:J,R:R=R1801))"),7.0)</f>
        <v>7</v>
      </c>
      <c r="T1801" s="6">
        <f t="shared" si="6"/>
        <v>5</v>
      </c>
      <c r="U1801" s="6">
        <f t="shared" si="7"/>
        <v>7</v>
      </c>
      <c r="V1801" s="42">
        <f>averageif(AllData!A:A,B1801,AllData!R:R)/vlookup(B1801,AllData!A:O,15,0)</f>
        <v>95.94858974</v>
      </c>
      <c r="W1801" s="6"/>
    </row>
    <row r="1802" ht="14.25" customHeight="1">
      <c r="A1802" s="6" t="str">
        <f t="shared" si="1"/>
        <v>2020Hudspeath12</v>
      </c>
      <c r="B1802" s="59">
        <v>2020.0</v>
      </c>
      <c r="C1802" s="13" t="s">
        <v>39</v>
      </c>
      <c r="D1802" s="13" t="s">
        <v>151</v>
      </c>
      <c r="E1802" s="34"/>
      <c r="F1802" s="6"/>
      <c r="H1802" s="6"/>
      <c r="I1802" s="35" t="str">
        <f>IFERROR(IFERROR(IFERROR(VLOOKUP(B1802&amp;C1802&amp;Q1802,'New Weekly Paste'!A:M,10,0),VLOOKUP(B1802&amp;C1802&amp;Q1802,'New Weekly Paste'!B:O,6,0)),""),"")</f>
        <v>T-How</v>
      </c>
      <c r="J1802" s="239">
        <f>IFERROR(IFERROR(VLOOKUP(B1802&amp;C1802&amp;Q1802,'New Weekly Paste'!A:M,8,0),VLOOKUP(B1802&amp;C1802&amp;Q1802,'New Weekly Paste'!B:O,10,0)),0)</f>
        <v>89.7</v>
      </c>
      <c r="K1802" s="239">
        <f>IFERROR(IFERROR(VLOOKUP(B1802&amp;I1802&amp;Q1802,'New Weekly Paste'!A:M,8,0),VLOOKUP(B1802&amp;I1802&amp;Q1802,'New Weekly Paste'!B:O,10,0)),0)</f>
        <v>89.04</v>
      </c>
      <c r="L1802" s="239">
        <f t="shared" si="25"/>
        <v>1</v>
      </c>
      <c r="M1802" s="36" t="str">
        <f t="shared" si="3"/>
        <v>Regular Season</v>
      </c>
      <c r="N1802" s="239" t="str">
        <f t="shared" si="26"/>
        <v>T-How</v>
      </c>
      <c r="O1802" s="6">
        <f>VLOOKUP(D1802,'Mapped Opponent'!$G$4:$H$22,2,0)</f>
        <v>12</v>
      </c>
      <c r="P1802" s="6"/>
      <c r="Q1802" s="6" t="str">
        <f t="shared" si="4"/>
        <v>Week 12</v>
      </c>
      <c r="R1802" s="6" t="str">
        <f t="shared" si="5"/>
        <v>2020Week 12</v>
      </c>
      <c r="S1802" s="6">
        <f>IFERROR(__xludf.DUMMYFUNCTION("rank(J1802,FILTER(J:J,R:R=R1802))"),8.0)</f>
        <v>8</v>
      </c>
      <c r="T1802" s="6">
        <f t="shared" si="6"/>
        <v>4</v>
      </c>
      <c r="U1802" s="6">
        <f t="shared" si="7"/>
        <v>8</v>
      </c>
      <c r="V1802" s="42">
        <f>averageif(AllData!A:A,B1802,AllData!R:R)/vlookup(B1802,AllData!A:O,15,0)</f>
        <v>95.94858974</v>
      </c>
      <c r="W1802" s="6"/>
    </row>
    <row r="1803" ht="14.25" customHeight="1">
      <c r="A1803" s="6" t="str">
        <f t="shared" si="1"/>
        <v>2020Salty12</v>
      </c>
      <c r="B1803" s="59">
        <v>2020.0</v>
      </c>
      <c r="C1803" s="13" t="s">
        <v>76</v>
      </c>
      <c r="D1803" s="13" t="s">
        <v>151</v>
      </c>
      <c r="E1803" s="34"/>
      <c r="F1803" s="6"/>
      <c r="H1803" s="6"/>
      <c r="I1803" s="35" t="str">
        <f>IFERROR(IFERROR(IFERROR(VLOOKUP(B1803&amp;C1803&amp;Q1803,'New Weekly Paste'!A:M,10,0),VLOOKUP(B1803&amp;C1803&amp;Q1803,'New Weekly Paste'!B:O,6,0)),""),"")</f>
        <v>Buser</v>
      </c>
      <c r="J1803" s="239">
        <f>IFERROR(IFERROR(VLOOKUP(B1803&amp;C1803&amp;Q1803,'New Weekly Paste'!A:M,8,0),VLOOKUP(B1803&amp;C1803&amp;Q1803,'New Weekly Paste'!B:O,10,0)),0)</f>
        <v>113.08</v>
      </c>
      <c r="K1803" s="239">
        <f>IFERROR(IFERROR(VLOOKUP(B1803&amp;I1803&amp;Q1803,'New Weekly Paste'!A:M,8,0),VLOOKUP(B1803&amp;I1803&amp;Q1803,'New Weekly Paste'!B:O,10,0)),0)</f>
        <v>85.1</v>
      </c>
      <c r="L1803" s="239">
        <f t="shared" si="25"/>
        <v>1</v>
      </c>
      <c r="M1803" s="36" t="str">
        <f t="shared" si="3"/>
        <v>Regular Season</v>
      </c>
      <c r="N1803" s="239" t="str">
        <f t="shared" si="26"/>
        <v>Buser</v>
      </c>
      <c r="O1803" s="6">
        <f>VLOOKUP(D1803,'Mapped Opponent'!$G$4:$H$22,2,0)</f>
        <v>12</v>
      </c>
      <c r="P1803" s="6"/>
      <c r="Q1803" s="6" t="str">
        <f t="shared" si="4"/>
        <v>Week 12</v>
      </c>
      <c r="R1803" s="6" t="str">
        <f t="shared" si="5"/>
        <v>2020Week 12</v>
      </c>
      <c r="S1803" s="6">
        <f>IFERROR(__xludf.DUMMYFUNCTION("rank(J1803,FILTER(J:J,R:R=R1803))"),4.0)</f>
        <v>4</v>
      </c>
      <c r="T1803" s="6">
        <f t="shared" si="6"/>
        <v>8</v>
      </c>
      <c r="U1803" s="6">
        <f t="shared" si="7"/>
        <v>4</v>
      </c>
      <c r="V1803" s="42">
        <f>averageif(AllData!A:A,B1803,AllData!R:R)/vlookup(B1803,AllData!A:O,15,0)</f>
        <v>95.94858974</v>
      </c>
      <c r="W1803" s="6"/>
    </row>
    <row r="1804" ht="14.25" customHeight="1">
      <c r="A1804" s="6" t="str">
        <f t="shared" si="1"/>
        <v>2020Fellows12</v>
      </c>
      <c r="B1804" s="59">
        <v>2020.0</v>
      </c>
      <c r="C1804" s="13" t="s">
        <v>79</v>
      </c>
      <c r="D1804" s="13" t="s">
        <v>151</v>
      </c>
      <c r="E1804" s="34"/>
      <c r="F1804" s="6"/>
      <c r="H1804" s="6"/>
      <c r="I1804" s="35" t="str">
        <f>IFERROR(IFERROR(IFERROR(VLOOKUP(B1804&amp;C1804&amp;Q1804,'New Weekly Paste'!A:M,10,0),VLOOKUP(B1804&amp;C1804&amp;Q1804,'New Weekly Paste'!B:O,6,0)),""),"")</f>
        <v>Rooney/Jackson</v>
      </c>
      <c r="J1804" s="239">
        <f>IFERROR(IFERROR(VLOOKUP(B1804&amp;C1804&amp;Q1804,'New Weekly Paste'!A:M,8,0),VLOOKUP(B1804&amp;C1804&amp;Q1804,'New Weekly Paste'!B:O,10,0)),0)</f>
        <v>119.86</v>
      </c>
      <c r="K1804" s="239">
        <f>IFERROR(IFERROR(VLOOKUP(B1804&amp;I1804&amp;Q1804,'New Weekly Paste'!A:M,8,0),VLOOKUP(B1804&amp;I1804&amp;Q1804,'New Weekly Paste'!B:O,10,0)),0)</f>
        <v>141.2</v>
      </c>
      <c r="L1804" s="239">
        <f t="shared" si="25"/>
        <v>0</v>
      </c>
      <c r="M1804" s="36" t="str">
        <f t="shared" si="3"/>
        <v>Regular Season</v>
      </c>
      <c r="N1804" s="239" t="str">
        <f t="shared" si="26"/>
        <v>Rooney/Jackson</v>
      </c>
      <c r="O1804" s="6">
        <f>VLOOKUP(D1804,'Mapped Opponent'!$G$4:$H$22,2,0)</f>
        <v>12</v>
      </c>
      <c r="P1804" s="6"/>
      <c r="Q1804" s="6" t="str">
        <f t="shared" si="4"/>
        <v>Week 12</v>
      </c>
      <c r="R1804" s="6" t="str">
        <f t="shared" si="5"/>
        <v>2020Week 12</v>
      </c>
      <c r="S1804" s="6">
        <f>IFERROR(__xludf.DUMMYFUNCTION("rank(J1804,FILTER(J:J,R:R=R1804))"),2.0)</f>
        <v>2</v>
      </c>
      <c r="T1804" s="6">
        <f t="shared" si="6"/>
        <v>10</v>
      </c>
      <c r="U1804" s="6">
        <f t="shared" si="7"/>
        <v>2</v>
      </c>
      <c r="V1804" s="42">
        <f>averageif(AllData!A:A,B1804,AllData!R:R)/vlookup(B1804,AllData!A:O,15,0)</f>
        <v>95.94858974</v>
      </c>
      <c r="W1804" s="6"/>
    </row>
    <row r="1805" ht="14.25" customHeight="1">
      <c r="A1805" s="6" t="str">
        <f t="shared" si="1"/>
        <v>2020Shep12</v>
      </c>
      <c r="B1805" s="59">
        <v>2020.0</v>
      </c>
      <c r="C1805" s="13" t="s">
        <v>89</v>
      </c>
      <c r="D1805" s="13" t="s">
        <v>151</v>
      </c>
      <c r="E1805" s="34"/>
      <c r="F1805" s="6"/>
      <c r="H1805" s="6"/>
      <c r="I1805" s="35" t="str">
        <f>IFERROR(IFERROR(IFERROR(VLOOKUP(B1805&amp;C1805&amp;Q1805,'New Weekly Paste'!A:M,10,0),VLOOKUP(B1805&amp;C1805&amp;Q1805,'New Weekly Paste'!B:O,6,0)),""),"")</f>
        <v>Tayski</v>
      </c>
      <c r="J1805" s="239">
        <f>IFERROR(IFERROR(VLOOKUP(B1805&amp;C1805&amp;Q1805,'New Weekly Paste'!A:M,8,0),VLOOKUP(B1805&amp;C1805&amp;Q1805,'New Weekly Paste'!B:O,10,0)),0)</f>
        <v>79.54</v>
      </c>
      <c r="K1805" s="239">
        <f>IFERROR(IFERROR(VLOOKUP(B1805&amp;I1805&amp;Q1805,'New Weekly Paste'!A:M,8,0),VLOOKUP(B1805&amp;I1805&amp;Q1805,'New Weekly Paste'!B:O,10,0)),0)</f>
        <v>100.78</v>
      </c>
      <c r="L1805" s="239">
        <f t="shared" si="25"/>
        <v>0</v>
      </c>
      <c r="M1805" s="36" t="str">
        <f t="shared" si="3"/>
        <v>Regular Season</v>
      </c>
      <c r="N1805" s="239" t="str">
        <f t="shared" si="26"/>
        <v>Tayski</v>
      </c>
      <c r="O1805" s="6">
        <f>VLOOKUP(D1805,'Mapped Opponent'!$G$4:$H$22,2,0)</f>
        <v>12</v>
      </c>
      <c r="P1805" s="6"/>
      <c r="Q1805" s="6" t="str">
        <f t="shared" si="4"/>
        <v>Week 12</v>
      </c>
      <c r="R1805" s="6" t="str">
        <f t="shared" si="5"/>
        <v>2020Week 12</v>
      </c>
      <c r="S1805" s="6">
        <f>IFERROR(__xludf.DUMMYFUNCTION("rank(J1805,FILTER(J:J,R:R=R1805))"),11.0)</f>
        <v>11</v>
      </c>
      <c r="T1805" s="6">
        <f t="shared" si="6"/>
        <v>1</v>
      </c>
      <c r="U1805" s="6">
        <f t="shared" si="7"/>
        <v>11</v>
      </c>
      <c r="V1805" s="42">
        <f>averageif(AllData!A:A,B1805,AllData!R:R)/vlookup(B1805,AllData!A:O,15,0)</f>
        <v>95.94858974</v>
      </c>
      <c r="W1805" s="6"/>
    </row>
    <row r="1806" ht="14.25" customHeight="1">
      <c r="A1806" s="6" t="str">
        <f t="shared" si="1"/>
        <v>2020Riley12</v>
      </c>
      <c r="B1806" s="59">
        <v>2020.0</v>
      </c>
      <c r="C1806" s="13" t="s">
        <v>67</v>
      </c>
      <c r="D1806" s="13" t="s">
        <v>151</v>
      </c>
      <c r="E1806" s="34"/>
      <c r="F1806" s="6"/>
      <c r="H1806" s="6"/>
      <c r="I1806" s="35" t="str">
        <f>IFERROR(IFERROR(IFERROR(VLOOKUP(B1806&amp;C1806&amp;Q1806,'New Weekly Paste'!A:M,10,0),VLOOKUP(B1806&amp;C1806&amp;Q1806,'New Weekly Paste'!B:O,6,0)),""),"")</f>
        <v>Cock</v>
      </c>
      <c r="J1806" s="239">
        <f>IFERROR(IFERROR(VLOOKUP(B1806&amp;C1806&amp;Q1806,'New Weekly Paste'!A:M,8,0),VLOOKUP(B1806&amp;C1806&amp;Q1806,'New Weekly Paste'!B:O,10,0)),0)</f>
        <v>91.5</v>
      </c>
      <c r="K1806" s="239">
        <f>IFERROR(IFERROR(VLOOKUP(B1806&amp;I1806&amp;Q1806,'New Weekly Paste'!A:M,8,0),VLOOKUP(B1806&amp;I1806&amp;Q1806,'New Weekly Paste'!B:O,10,0)),0)</f>
        <v>67.34</v>
      </c>
      <c r="L1806" s="239">
        <f t="shared" si="25"/>
        <v>1</v>
      </c>
      <c r="M1806" s="36" t="str">
        <f t="shared" si="3"/>
        <v>Regular Season</v>
      </c>
      <c r="N1806" s="239" t="str">
        <f t="shared" si="26"/>
        <v>Cock</v>
      </c>
      <c r="O1806" s="6">
        <f>VLOOKUP(D1806,'Mapped Opponent'!$G$4:$H$22,2,0)</f>
        <v>12</v>
      </c>
      <c r="P1806" s="6"/>
      <c r="Q1806" s="6" t="str">
        <f t="shared" si="4"/>
        <v>Week 12</v>
      </c>
      <c r="R1806" s="6" t="str">
        <f t="shared" si="5"/>
        <v>2020Week 12</v>
      </c>
      <c r="S1806" s="6">
        <f>IFERROR(__xludf.DUMMYFUNCTION("rank(J1806,FILTER(J:J,R:R=R1806))"),7.0)</f>
        <v>7</v>
      </c>
      <c r="T1806" s="6">
        <f t="shared" si="6"/>
        <v>5</v>
      </c>
      <c r="U1806" s="6">
        <f t="shared" si="7"/>
        <v>7</v>
      </c>
      <c r="V1806" s="42">
        <f>averageif(AllData!A:A,B1806,AllData!R:R)/vlookup(B1806,AllData!A:O,15,0)</f>
        <v>95.94858974</v>
      </c>
      <c r="W1806" s="6"/>
    </row>
    <row r="1807" ht="14.25" customHeight="1">
      <c r="A1807" s="6" t="str">
        <f t="shared" si="1"/>
        <v>2020Rooney/Jackson12</v>
      </c>
      <c r="B1807" s="59">
        <v>2020.0</v>
      </c>
      <c r="C1807" s="13" t="s">
        <v>57</v>
      </c>
      <c r="D1807" s="13" t="s">
        <v>151</v>
      </c>
      <c r="E1807" s="34"/>
      <c r="F1807" s="6"/>
      <c r="H1807" s="6"/>
      <c r="I1807" s="35" t="str">
        <f>IFERROR(IFERROR(IFERROR(VLOOKUP(B1807&amp;C1807&amp;Q1807,'New Weekly Paste'!A:M,10,0),VLOOKUP(B1807&amp;C1807&amp;Q1807,'New Weekly Paste'!B:O,6,0)),""),"")</f>
        <v>Fellows</v>
      </c>
      <c r="J1807" s="239">
        <f>IFERROR(IFERROR(VLOOKUP(B1807&amp;C1807&amp;Q1807,'New Weekly Paste'!A:M,8,0),VLOOKUP(B1807&amp;C1807&amp;Q1807,'New Weekly Paste'!B:O,10,0)),0)</f>
        <v>141.2</v>
      </c>
      <c r="K1807" s="239">
        <f>IFERROR(IFERROR(VLOOKUP(B1807&amp;I1807&amp;Q1807,'New Weekly Paste'!A:M,8,0),VLOOKUP(B1807&amp;I1807&amp;Q1807,'New Weekly Paste'!B:O,10,0)),0)</f>
        <v>119.86</v>
      </c>
      <c r="L1807" s="239">
        <f t="shared" si="25"/>
        <v>1</v>
      </c>
      <c r="M1807" s="36" t="str">
        <f t="shared" si="3"/>
        <v>Regular Season</v>
      </c>
      <c r="N1807" s="239" t="str">
        <f t="shared" si="26"/>
        <v>Fellows</v>
      </c>
      <c r="O1807" s="6">
        <f>VLOOKUP(D1807,'Mapped Opponent'!$G$4:$H$22,2,0)</f>
        <v>12</v>
      </c>
      <c r="P1807" s="6"/>
      <c r="Q1807" s="6" t="str">
        <f t="shared" si="4"/>
        <v>Week 12</v>
      </c>
      <c r="R1807" s="6" t="str">
        <f t="shared" si="5"/>
        <v>2020Week 12</v>
      </c>
      <c r="S1807" s="6">
        <f>IFERROR(__xludf.DUMMYFUNCTION("rank(J1807,FILTER(J:J,R:R=R1807))"),1.0)</f>
        <v>1</v>
      </c>
      <c r="T1807" s="6">
        <f t="shared" si="6"/>
        <v>11</v>
      </c>
      <c r="U1807" s="6">
        <f t="shared" si="7"/>
        <v>1</v>
      </c>
      <c r="V1807" s="42">
        <f>averageif(AllData!A:A,B1807,AllData!R:R)/vlookup(B1807,AllData!A:O,15,0)</f>
        <v>95.94858974</v>
      </c>
      <c r="W1807" s="6"/>
    </row>
    <row r="1808" ht="14.25" customHeight="1">
      <c r="A1808" s="6" t="str">
        <f t="shared" si="1"/>
        <v>2020Buser12</v>
      </c>
      <c r="B1808" s="59">
        <v>2020.0</v>
      </c>
      <c r="C1808" s="13" t="s">
        <v>47</v>
      </c>
      <c r="D1808" s="13" t="s">
        <v>151</v>
      </c>
      <c r="E1808" s="34"/>
      <c r="F1808" s="6"/>
      <c r="H1808" s="6"/>
      <c r="I1808" s="35" t="str">
        <f>IFERROR(IFERROR(IFERROR(VLOOKUP(B1808&amp;C1808&amp;Q1808,'New Weekly Paste'!A:M,10,0),VLOOKUP(B1808&amp;C1808&amp;Q1808,'New Weekly Paste'!B:O,6,0)),""),"")</f>
        <v>Salty</v>
      </c>
      <c r="J1808" s="239">
        <f>IFERROR(IFERROR(VLOOKUP(B1808&amp;C1808&amp;Q1808,'New Weekly Paste'!A:M,8,0),VLOOKUP(B1808&amp;C1808&amp;Q1808,'New Weekly Paste'!B:O,10,0)),0)</f>
        <v>85.1</v>
      </c>
      <c r="K1808" s="239">
        <f>IFERROR(IFERROR(VLOOKUP(B1808&amp;I1808&amp;Q1808,'New Weekly Paste'!A:M,8,0),VLOOKUP(B1808&amp;I1808&amp;Q1808,'New Weekly Paste'!B:O,10,0)),0)</f>
        <v>113.08</v>
      </c>
      <c r="L1808" s="239">
        <f t="shared" si="25"/>
        <v>0</v>
      </c>
      <c r="M1808" s="36" t="str">
        <f t="shared" si="3"/>
        <v>Regular Season</v>
      </c>
      <c r="N1808" s="239" t="str">
        <f t="shared" si="26"/>
        <v>Salty</v>
      </c>
      <c r="O1808" s="6">
        <f>VLOOKUP(D1808,'Mapped Opponent'!$G$4:$H$22,2,0)</f>
        <v>12</v>
      </c>
      <c r="P1808" s="6"/>
      <c r="Q1808" s="6" t="str">
        <f t="shared" si="4"/>
        <v>Week 12</v>
      </c>
      <c r="R1808" s="6" t="str">
        <f t="shared" si="5"/>
        <v>2020Week 12</v>
      </c>
      <c r="S1808" s="6">
        <f>IFERROR(__xludf.DUMMYFUNCTION("rank(J1808,FILTER(J:J,R:R=R1808))"),10.0)</f>
        <v>10</v>
      </c>
      <c r="T1808" s="6">
        <f t="shared" si="6"/>
        <v>2</v>
      </c>
      <c r="U1808" s="6">
        <f t="shared" si="7"/>
        <v>10</v>
      </c>
      <c r="V1808" s="42">
        <f>averageif(AllData!A:A,B1808,AllData!R:R)/vlookup(B1808,AllData!A:O,15,0)</f>
        <v>95.94858974</v>
      </c>
      <c r="W1808" s="6"/>
    </row>
    <row r="1809" ht="14.25" customHeight="1">
      <c r="A1809" s="6" t="str">
        <f t="shared" si="1"/>
        <v>2020Pierson12</v>
      </c>
      <c r="B1809" s="59">
        <v>2020.0</v>
      </c>
      <c r="C1809" s="13" t="s">
        <v>92</v>
      </c>
      <c r="D1809" s="13" t="s">
        <v>151</v>
      </c>
      <c r="E1809" s="34"/>
      <c r="F1809" s="6"/>
      <c r="H1809" s="6"/>
      <c r="I1809" s="35" t="str">
        <f>IFERROR(IFERROR(IFERROR(VLOOKUP(B1809&amp;C1809&amp;Q1809,'New Weekly Paste'!A:M,10,0),VLOOKUP(B1809&amp;C1809&amp;Q1809,'New Weekly Paste'!B:O,6,0)),""),"")</f>
        <v>KnardDawg</v>
      </c>
      <c r="J1809" s="239">
        <f>IFERROR(IFERROR(VLOOKUP(B1809&amp;C1809&amp;Q1809,'New Weekly Paste'!A:M,8,0),VLOOKUP(B1809&amp;C1809&amp;Q1809,'New Weekly Paste'!B:O,10,0)),0)</f>
        <v>115.2</v>
      </c>
      <c r="K1809" s="239">
        <f>IFERROR(IFERROR(VLOOKUP(B1809&amp;I1809&amp;Q1809,'New Weekly Paste'!A:M,8,0),VLOOKUP(B1809&amp;I1809&amp;Q1809,'New Weekly Paste'!B:O,10,0)),0)</f>
        <v>105.42</v>
      </c>
      <c r="L1809" s="239">
        <f t="shared" si="25"/>
        <v>1</v>
      </c>
      <c r="M1809" s="36" t="str">
        <f t="shared" si="3"/>
        <v>Regular Season</v>
      </c>
      <c r="N1809" s="239" t="str">
        <f t="shared" si="26"/>
        <v>KnardDawg</v>
      </c>
      <c r="O1809" s="6">
        <f>VLOOKUP(D1809,'Mapped Opponent'!$G$4:$H$22,2,0)</f>
        <v>12</v>
      </c>
      <c r="P1809" s="6"/>
      <c r="Q1809" s="6" t="str">
        <f t="shared" si="4"/>
        <v>Week 12</v>
      </c>
      <c r="R1809" s="6" t="str">
        <f t="shared" si="5"/>
        <v>2020Week 12</v>
      </c>
      <c r="S1809" s="6">
        <f>IFERROR(__xludf.DUMMYFUNCTION("rank(J1809,FILTER(J:J,R:R=R1809))"),3.0)</f>
        <v>3</v>
      </c>
      <c r="T1809" s="6">
        <f t="shared" si="6"/>
        <v>9</v>
      </c>
      <c r="U1809" s="6">
        <f t="shared" si="7"/>
        <v>3</v>
      </c>
      <c r="V1809" s="42">
        <f>averageif(AllData!A:A,B1809,AllData!R:R)/vlookup(B1809,AllData!A:O,15,0)</f>
        <v>95.94858974</v>
      </c>
      <c r="W1809" s="6"/>
    </row>
    <row r="1810" ht="14.25" customHeight="1">
      <c r="A1810" s="6" t="str">
        <f t="shared" si="1"/>
        <v>2020Cock12</v>
      </c>
      <c r="B1810" s="59">
        <v>2020.0</v>
      </c>
      <c r="C1810" s="13" t="s">
        <v>72</v>
      </c>
      <c r="D1810" s="13" t="s">
        <v>151</v>
      </c>
      <c r="E1810" s="34"/>
      <c r="F1810" s="6"/>
      <c r="H1810" s="6"/>
      <c r="I1810" s="35" t="str">
        <f>IFERROR(IFERROR(IFERROR(VLOOKUP(B1810&amp;C1810&amp;Q1810,'New Weekly Paste'!A:M,10,0),VLOOKUP(B1810&amp;C1810&amp;Q1810,'New Weekly Paste'!B:O,6,0)),""),"")</f>
        <v>Riley</v>
      </c>
      <c r="J1810" s="239">
        <f>IFERROR(IFERROR(VLOOKUP(B1810&amp;C1810&amp;Q1810,'New Weekly Paste'!A:M,8,0),VLOOKUP(B1810&amp;C1810&amp;Q1810,'New Weekly Paste'!B:O,10,0)),0)</f>
        <v>67.34</v>
      </c>
      <c r="K1810" s="239">
        <f>IFERROR(IFERROR(VLOOKUP(B1810&amp;I1810&amp;Q1810,'New Weekly Paste'!A:M,8,0),VLOOKUP(B1810&amp;I1810&amp;Q1810,'New Weekly Paste'!B:O,10,0)),0)</f>
        <v>91.5</v>
      </c>
      <c r="L1810" s="239">
        <f t="shared" si="25"/>
        <v>0</v>
      </c>
      <c r="M1810" s="36" t="str">
        <f t="shared" si="3"/>
        <v>Regular Season</v>
      </c>
      <c r="N1810" s="239" t="str">
        <f t="shared" si="26"/>
        <v>Riley</v>
      </c>
      <c r="O1810" s="6">
        <f>VLOOKUP(D1810,'Mapped Opponent'!$G$4:$H$22,2,0)</f>
        <v>12</v>
      </c>
      <c r="P1810" s="6"/>
      <c r="Q1810" s="6" t="str">
        <f t="shared" si="4"/>
        <v>Week 12</v>
      </c>
      <c r="R1810" s="6" t="str">
        <f t="shared" si="5"/>
        <v>2020Week 12</v>
      </c>
      <c r="S1810" s="6">
        <f>IFERROR(__xludf.DUMMYFUNCTION("rank(J1810,FILTER(J:J,R:R=R1810))"),12.0)</f>
        <v>12</v>
      </c>
      <c r="T1810" s="6">
        <f t="shared" si="6"/>
        <v>0</v>
      </c>
      <c r="U1810" s="6">
        <f t="shared" si="7"/>
        <v>12</v>
      </c>
      <c r="V1810" s="42">
        <f>averageif(AllData!A:A,B1810,AllData!R:R)/vlookup(B1810,AllData!A:O,15,0)</f>
        <v>95.94858974</v>
      </c>
      <c r="W1810" s="6"/>
    </row>
    <row r="1811" ht="14.25" customHeight="1">
      <c r="A1811" s="6" t="str">
        <f t="shared" si="1"/>
        <v>2020Tayski12</v>
      </c>
      <c r="B1811" s="59">
        <v>2020.0</v>
      </c>
      <c r="C1811" s="13" t="s">
        <v>52</v>
      </c>
      <c r="D1811" s="13" t="s">
        <v>151</v>
      </c>
      <c r="E1811" s="34"/>
      <c r="F1811" s="6"/>
      <c r="H1811" s="6"/>
      <c r="I1811" s="35" t="str">
        <f>IFERROR(IFERROR(IFERROR(VLOOKUP(B1811&amp;C1811&amp;Q1811,'New Weekly Paste'!A:M,10,0),VLOOKUP(B1811&amp;C1811&amp;Q1811,'New Weekly Paste'!B:O,6,0)),""),"")</f>
        <v>Shep</v>
      </c>
      <c r="J1811" s="239">
        <f>IFERROR(IFERROR(VLOOKUP(B1811&amp;C1811&amp;Q1811,'New Weekly Paste'!A:M,8,0),VLOOKUP(B1811&amp;C1811&amp;Q1811,'New Weekly Paste'!B:O,10,0)),0)</f>
        <v>100.78</v>
      </c>
      <c r="K1811" s="239">
        <f>IFERROR(IFERROR(VLOOKUP(B1811&amp;I1811&amp;Q1811,'New Weekly Paste'!A:M,8,0),VLOOKUP(B1811&amp;I1811&amp;Q1811,'New Weekly Paste'!B:O,10,0)),0)</f>
        <v>79.54</v>
      </c>
      <c r="L1811" s="239">
        <f t="shared" si="25"/>
        <v>1</v>
      </c>
      <c r="M1811" s="36" t="str">
        <f t="shared" si="3"/>
        <v>Regular Season</v>
      </c>
      <c r="N1811" s="239" t="str">
        <f t="shared" si="26"/>
        <v>Shep</v>
      </c>
      <c r="O1811" s="6">
        <f>VLOOKUP(D1811,'Mapped Opponent'!$G$4:$H$22,2,0)</f>
        <v>12</v>
      </c>
      <c r="P1811" s="6"/>
      <c r="Q1811" s="6" t="str">
        <f t="shared" si="4"/>
        <v>Week 12</v>
      </c>
      <c r="R1811" s="6" t="str">
        <f t="shared" si="5"/>
        <v>2020Week 12</v>
      </c>
      <c r="S1811" s="6">
        <f>IFERROR(__xludf.DUMMYFUNCTION("rank(J1811,FILTER(J:J,R:R=R1811))"),6.0)</f>
        <v>6</v>
      </c>
      <c r="T1811" s="6">
        <f t="shared" si="6"/>
        <v>6</v>
      </c>
      <c r="U1811" s="6">
        <f t="shared" si="7"/>
        <v>6</v>
      </c>
      <c r="V1811" s="42">
        <f>averageif(AllData!A:A,B1811,AllData!R:R)/vlookup(B1811,AllData!A:O,15,0)</f>
        <v>95.94858974</v>
      </c>
      <c r="W1811" s="6"/>
    </row>
    <row r="1812" ht="14.25" customHeight="1">
      <c r="A1812" s="6" t="str">
        <f t="shared" si="1"/>
        <v>2020KnardDawg12</v>
      </c>
      <c r="B1812" s="59">
        <v>2020.0</v>
      </c>
      <c r="C1812" s="13" t="s">
        <v>86</v>
      </c>
      <c r="D1812" s="13" t="s">
        <v>151</v>
      </c>
      <c r="E1812" s="34"/>
      <c r="F1812" s="6"/>
      <c r="H1812" s="6"/>
      <c r="I1812" s="35" t="str">
        <f>IFERROR(IFERROR(IFERROR(VLOOKUP(B1812&amp;C1812&amp;Q1812,'New Weekly Paste'!A:M,10,0),VLOOKUP(B1812&amp;C1812&amp;Q1812,'New Weekly Paste'!B:O,6,0)),""),"")</f>
        <v>Pierson</v>
      </c>
      <c r="J1812" s="239">
        <f>IFERROR(IFERROR(VLOOKUP(B1812&amp;C1812&amp;Q1812,'New Weekly Paste'!A:M,8,0),VLOOKUP(B1812&amp;C1812&amp;Q1812,'New Weekly Paste'!B:O,10,0)),0)</f>
        <v>105.42</v>
      </c>
      <c r="K1812" s="239">
        <f>IFERROR(IFERROR(VLOOKUP(B1812&amp;I1812&amp;Q1812,'New Weekly Paste'!A:M,8,0),VLOOKUP(B1812&amp;I1812&amp;Q1812,'New Weekly Paste'!B:O,10,0)),0)</f>
        <v>115.2</v>
      </c>
      <c r="L1812" s="239">
        <f t="shared" si="25"/>
        <v>0</v>
      </c>
      <c r="M1812" s="36" t="str">
        <f t="shared" si="3"/>
        <v>Regular Season</v>
      </c>
      <c r="N1812" s="239" t="str">
        <f t="shared" si="26"/>
        <v>Pierson</v>
      </c>
      <c r="O1812" s="6">
        <f>VLOOKUP(D1812,'Mapped Opponent'!$G$4:$H$22,2,0)</f>
        <v>12</v>
      </c>
      <c r="P1812" s="6"/>
      <c r="Q1812" s="6" t="str">
        <f t="shared" si="4"/>
        <v>Week 12</v>
      </c>
      <c r="R1812" s="6" t="str">
        <f t="shared" si="5"/>
        <v>2020Week 12</v>
      </c>
      <c r="S1812" s="6">
        <f>IFERROR(__xludf.DUMMYFUNCTION("rank(J1812,FILTER(J:J,R:R=R1812))"),5.0)</f>
        <v>5</v>
      </c>
      <c r="T1812" s="6">
        <f t="shared" si="6"/>
        <v>7</v>
      </c>
      <c r="U1812" s="6">
        <f t="shared" si="7"/>
        <v>5</v>
      </c>
      <c r="V1812" s="42">
        <f>averageif(AllData!A:A,B1812,AllData!R:R)/vlookup(B1812,AllData!A:O,15,0)</f>
        <v>95.94858974</v>
      </c>
      <c r="W1812" s="6"/>
    </row>
    <row r="1813" ht="14.25" customHeight="1">
      <c r="A1813" s="6" t="str">
        <f t="shared" si="1"/>
        <v>2020T-How12</v>
      </c>
      <c r="B1813" s="59">
        <v>2020.0</v>
      </c>
      <c r="C1813" s="13" t="s">
        <v>82</v>
      </c>
      <c r="D1813" s="13" t="s">
        <v>151</v>
      </c>
      <c r="E1813" s="34"/>
      <c r="F1813" s="6"/>
      <c r="H1813" s="6"/>
      <c r="I1813" s="35" t="str">
        <f>IFERROR(IFERROR(IFERROR(VLOOKUP(B1813&amp;C1813&amp;Q1813,'New Weekly Paste'!A:M,10,0),VLOOKUP(B1813&amp;C1813&amp;Q1813,'New Weekly Paste'!B:O,6,0)),""),"")</f>
        <v>Hudspeath</v>
      </c>
      <c r="J1813" s="239">
        <f>IFERROR(IFERROR(VLOOKUP(B1813&amp;C1813&amp;Q1813,'New Weekly Paste'!A:M,8,0),VLOOKUP(B1813&amp;C1813&amp;Q1813,'New Weekly Paste'!B:O,10,0)),0)</f>
        <v>89.04</v>
      </c>
      <c r="K1813" s="239">
        <f>IFERROR(IFERROR(VLOOKUP(B1813&amp;I1813&amp;Q1813,'New Weekly Paste'!A:M,8,0),VLOOKUP(B1813&amp;I1813&amp;Q1813,'New Weekly Paste'!B:O,10,0)),0)</f>
        <v>89.7</v>
      </c>
      <c r="L1813" s="239">
        <f t="shared" si="25"/>
        <v>0</v>
      </c>
      <c r="M1813" s="36" t="str">
        <f t="shared" si="3"/>
        <v>Regular Season</v>
      </c>
      <c r="N1813" s="239" t="str">
        <f t="shared" si="26"/>
        <v>Hudspeath</v>
      </c>
      <c r="O1813" s="6">
        <f>VLOOKUP(D1813,'Mapped Opponent'!$G$4:$H$22,2,0)</f>
        <v>12</v>
      </c>
      <c r="P1813" s="6"/>
      <c r="Q1813" s="6" t="str">
        <f t="shared" si="4"/>
        <v>Week 12</v>
      </c>
      <c r="R1813" s="6" t="str">
        <f t="shared" si="5"/>
        <v>2020Week 12</v>
      </c>
      <c r="S1813" s="6">
        <f>IFERROR(__xludf.DUMMYFUNCTION("rank(J1813,FILTER(J:J,R:R=R1813))"),9.0)</f>
        <v>9</v>
      </c>
      <c r="T1813" s="6">
        <f t="shared" si="6"/>
        <v>3</v>
      </c>
      <c r="U1813" s="6">
        <f t="shared" si="7"/>
        <v>9</v>
      </c>
      <c r="V1813" s="42">
        <f>averageif(AllData!A:A,B1813,AllData!R:R)/vlookup(B1813,AllData!A:O,15,0)</f>
        <v>95.94858974</v>
      </c>
      <c r="W1813" s="6"/>
    </row>
    <row r="1814" ht="14.25" customHeight="1">
      <c r="A1814" s="6" t="str">
        <f t="shared" si="1"/>
        <v>2020Hudspeath13</v>
      </c>
      <c r="B1814" s="59">
        <v>2020.0</v>
      </c>
      <c r="C1814" s="13" t="s">
        <v>39</v>
      </c>
      <c r="D1814" s="13" t="s">
        <v>152</v>
      </c>
      <c r="E1814" s="34"/>
      <c r="F1814" s="6"/>
      <c r="H1814" s="6"/>
      <c r="I1814" s="35" t="str">
        <f>IFERROR(IFERROR(IFERROR(VLOOKUP(B1814&amp;C1814&amp;Q1814,'New Weekly Paste'!A:M,10,0),VLOOKUP(B1814&amp;C1814&amp;Q1814,'New Weekly Paste'!B:O,6,0)),""),"")</f>
        <v>Buser</v>
      </c>
      <c r="J1814" s="239">
        <f>IFERROR(IFERROR(VLOOKUP(B1814&amp;C1814&amp;Q1814,'New Weekly Paste'!A:M,8,0),VLOOKUP(B1814&amp;C1814&amp;Q1814,'New Weekly Paste'!B:O,10,0)),0)</f>
        <v>90.78</v>
      </c>
      <c r="K1814" s="239">
        <f>IFERROR(IFERROR(VLOOKUP(B1814&amp;I1814&amp;Q1814,'New Weekly Paste'!A:M,8,0),VLOOKUP(B1814&amp;I1814&amp;Q1814,'New Weekly Paste'!B:O,10,0)),0)</f>
        <v>41.12</v>
      </c>
      <c r="L1814" s="239">
        <f t="shared" si="25"/>
        <v>1</v>
      </c>
      <c r="M1814" s="36" t="str">
        <f t="shared" si="3"/>
        <v>Regular Season</v>
      </c>
      <c r="N1814" s="239" t="str">
        <f t="shared" si="26"/>
        <v>Buser</v>
      </c>
      <c r="O1814" s="6">
        <f>VLOOKUP(D1814,'Mapped Opponent'!$G$4:$H$22,2,0)</f>
        <v>13</v>
      </c>
      <c r="P1814" s="6"/>
      <c r="Q1814" s="6" t="str">
        <f t="shared" si="4"/>
        <v>Week 13</v>
      </c>
      <c r="R1814" s="6" t="str">
        <f t="shared" si="5"/>
        <v>2020Week 13</v>
      </c>
      <c r="S1814" s="6">
        <f>IFERROR(__xludf.DUMMYFUNCTION("rank(J1814,FILTER(J:J,R:R=R1814))"),7.0)</f>
        <v>7</v>
      </c>
      <c r="T1814" s="6">
        <f t="shared" si="6"/>
        <v>5</v>
      </c>
      <c r="U1814" s="6">
        <f t="shared" si="7"/>
        <v>7</v>
      </c>
      <c r="V1814" s="42">
        <f>averageif(AllData!A:A,B1814,AllData!R:R)/vlookup(B1814,AllData!A:O,15,0)</f>
        <v>95.94858974</v>
      </c>
      <c r="W1814" s="6"/>
    </row>
    <row r="1815" ht="14.25" customHeight="1">
      <c r="A1815" s="6" t="str">
        <f t="shared" si="1"/>
        <v>2020Salty13</v>
      </c>
      <c r="B1815" s="59">
        <v>2020.0</v>
      </c>
      <c r="C1815" s="13" t="s">
        <v>76</v>
      </c>
      <c r="D1815" s="13" t="s">
        <v>152</v>
      </c>
      <c r="E1815" s="34"/>
      <c r="F1815" s="6"/>
      <c r="H1815" s="6"/>
      <c r="I1815" s="35" t="str">
        <f>IFERROR(IFERROR(IFERROR(VLOOKUP(B1815&amp;C1815&amp;Q1815,'New Weekly Paste'!A:M,10,0),VLOOKUP(B1815&amp;C1815&amp;Q1815,'New Weekly Paste'!B:O,6,0)),""),"")</f>
        <v>Rooney/Jackson</v>
      </c>
      <c r="J1815" s="239">
        <f>IFERROR(IFERROR(VLOOKUP(B1815&amp;C1815&amp;Q1815,'New Weekly Paste'!A:M,8,0),VLOOKUP(B1815&amp;C1815&amp;Q1815,'New Weekly Paste'!B:O,10,0)),0)</f>
        <v>77.22</v>
      </c>
      <c r="K1815" s="239">
        <f>IFERROR(IFERROR(VLOOKUP(B1815&amp;I1815&amp;Q1815,'New Weekly Paste'!A:M,8,0),VLOOKUP(B1815&amp;I1815&amp;Q1815,'New Weekly Paste'!B:O,10,0)),0)</f>
        <v>82.7</v>
      </c>
      <c r="L1815" s="239">
        <f t="shared" si="25"/>
        <v>0</v>
      </c>
      <c r="M1815" s="36" t="str">
        <f t="shared" si="3"/>
        <v>Regular Season</v>
      </c>
      <c r="N1815" s="239" t="str">
        <f t="shared" si="26"/>
        <v>Rooney/Jackson</v>
      </c>
      <c r="O1815" s="6">
        <f>VLOOKUP(D1815,'Mapped Opponent'!$G$4:$H$22,2,0)</f>
        <v>13</v>
      </c>
      <c r="P1815" s="6"/>
      <c r="Q1815" s="6" t="str">
        <f t="shared" si="4"/>
        <v>Week 13</v>
      </c>
      <c r="R1815" s="6" t="str">
        <f t="shared" si="5"/>
        <v>2020Week 13</v>
      </c>
      <c r="S1815" s="6">
        <f>IFERROR(__xludf.DUMMYFUNCTION("rank(J1815,FILTER(J:J,R:R=R1815))"),11.0)</f>
        <v>11</v>
      </c>
      <c r="T1815" s="6">
        <f t="shared" si="6"/>
        <v>1</v>
      </c>
      <c r="U1815" s="6">
        <f t="shared" si="7"/>
        <v>11</v>
      </c>
      <c r="V1815" s="42">
        <f>averageif(AllData!A:A,B1815,AllData!R:R)/vlookup(B1815,AllData!A:O,15,0)</f>
        <v>95.94858974</v>
      </c>
      <c r="W1815" s="6"/>
    </row>
    <row r="1816" ht="14.25" customHeight="1">
      <c r="A1816" s="6" t="str">
        <f t="shared" si="1"/>
        <v>2020Fellows13</v>
      </c>
      <c r="B1816" s="59">
        <v>2020.0</v>
      </c>
      <c r="C1816" s="13" t="s">
        <v>79</v>
      </c>
      <c r="D1816" s="13" t="s">
        <v>152</v>
      </c>
      <c r="E1816" s="34"/>
      <c r="F1816" s="6"/>
      <c r="H1816" s="6"/>
      <c r="I1816" s="35" t="str">
        <f>IFERROR(IFERROR(IFERROR(VLOOKUP(B1816&amp;C1816&amp;Q1816,'New Weekly Paste'!A:M,10,0),VLOOKUP(B1816&amp;C1816&amp;Q1816,'New Weekly Paste'!B:O,6,0)),""),"")</f>
        <v>Riley</v>
      </c>
      <c r="J1816" s="239">
        <f>IFERROR(IFERROR(VLOOKUP(B1816&amp;C1816&amp;Q1816,'New Weekly Paste'!A:M,8,0),VLOOKUP(B1816&amp;C1816&amp;Q1816,'New Weekly Paste'!B:O,10,0)),0)</f>
        <v>113.94</v>
      </c>
      <c r="K1816" s="239">
        <f>IFERROR(IFERROR(VLOOKUP(B1816&amp;I1816&amp;Q1816,'New Weekly Paste'!A:M,8,0),VLOOKUP(B1816&amp;I1816&amp;Q1816,'New Weekly Paste'!B:O,10,0)),0)</f>
        <v>91.82</v>
      </c>
      <c r="L1816" s="239">
        <f t="shared" si="25"/>
        <v>1</v>
      </c>
      <c r="M1816" s="36" t="str">
        <f t="shared" si="3"/>
        <v>Regular Season</v>
      </c>
      <c r="N1816" s="239" t="str">
        <f t="shared" si="26"/>
        <v>Riley</v>
      </c>
      <c r="O1816" s="6">
        <f>VLOOKUP(D1816,'Mapped Opponent'!$G$4:$H$22,2,0)</f>
        <v>13</v>
      </c>
      <c r="P1816" s="6"/>
      <c r="Q1816" s="6" t="str">
        <f t="shared" si="4"/>
        <v>Week 13</v>
      </c>
      <c r="R1816" s="6" t="str">
        <f t="shared" si="5"/>
        <v>2020Week 13</v>
      </c>
      <c r="S1816" s="6">
        <f>IFERROR(__xludf.DUMMYFUNCTION("rank(J1816,FILTER(J:J,R:R=R1816))"),1.0)</f>
        <v>1</v>
      </c>
      <c r="T1816" s="6">
        <f t="shared" si="6"/>
        <v>11</v>
      </c>
      <c r="U1816" s="6">
        <f t="shared" si="7"/>
        <v>1</v>
      </c>
      <c r="V1816" s="42">
        <f>averageif(AllData!A:A,B1816,AllData!R:R)/vlookup(B1816,AllData!A:O,15,0)</f>
        <v>95.94858974</v>
      </c>
      <c r="W1816" s="6"/>
    </row>
    <row r="1817" ht="14.25" customHeight="1">
      <c r="A1817" s="6" t="str">
        <f t="shared" si="1"/>
        <v>2020Shep13</v>
      </c>
      <c r="B1817" s="59">
        <v>2020.0</v>
      </c>
      <c r="C1817" s="13" t="s">
        <v>89</v>
      </c>
      <c r="D1817" s="13" t="s">
        <v>152</v>
      </c>
      <c r="E1817" s="34"/>
      <c r="F1817" s="6"/>
      <c r="H1817" s="6"/>
      <c r="I1817" s="35" t="str">
        <f>IFERROR(IFERROR(IFERROR(VLOOKUP(B1817&amp;C1817&amp;Q1817,'New Weekly Paste'!A:M,10,0),VLOOKUP(B1817&amp;C1817&amp;Q1817,'New Weekly Paste'!B:O,6,0)),""),"")</f>
        <v>Pierson</v>
      </c>
      <c r="J1817" s="239">
        <f>IFERROR(IFERROR(VLOOKUP(B1817&amp;C1817&amp;Q1817,'New Weekly Paste'!A:M,8,0),VLOOKUP(B1817&amp;C1817&amp;Q1817,'New Weekly Paste'!B:O,10,0)),0)</f>
        <v>96.34</v>
      </c>
      <c r="K1817" s="239">
        <f>IFERROR(IFERROR(VLOOKUP(B1817&amp;I1817&amp;Q1817,'New Weekly Paste'!A:M,8,0),VLOOKUP(B1817&amp;I1817&amp;Q1817,'New Weekly Paste'!B:O,10,0)),0)</f>
        <v>90.18</v>
      </c>
      <c r="L1817" s="239">
        <f t="shared" si="25"/>
        <v>1</v>
      </c>
      <c r="M1817" s="36" t="str">
        <f t="shared" si="3"/>
        <v>Regular Season</v>
      </c>
      <c r="N1817" s="239" t="str">
        <f t="shared" si="26"/>
        <v>Pierson</v>
      </c>
      <c r="O1817" s="6">
        <f>VLOOKUP(D1817,'Mapped Opponent'!$G$4:$H$22,2,0)</f>
        <v>13</v>
      </c>
      <c r="P1817" s="6"/>
      <c r="Q1817" s="6" t="str">
        <f t="shared" si="4"/>
        <v>Week 13</v>
      </c>
      <c r="R1817" s="6" t="str">
        <f t="shared" si="5"/>
        <v>2020Week 13</v>
      </c>
      <c r="S1817" s="6">
        <f>IFERROR(__xludf.DUMMYFUNCTION("rank(J1817,FILTER(J:J,R:R=R1817))"),3.0)</f>
        <v>3</v>
      </c>
      <c r="T1817" s="6">
        <f t="shared" si="6"/>
        <v>9</v>
      </c>
      <c r="U1817" s="6">
        <f t="shared" si="7"/>
        <v>3</v>
      </c>
      <c r="V1817" s="42">
        <f>averageif(AllData!A:A,B1817,AllData!R:R)/vlookup(B1817,AllData!A:O,15,0)</f>
        <v>95.94858974</v>
      </c>
      <c r="W1817" s="6"/>
    </row>
    <row r="1818" ht="14.25" customHeight="1">
      <c r="A1818" s="6" t="str">
        <f t="shared" si="1"/>
        <v>2020Riley13</v>
      </c>
      <c r="B1818" s="59">
        <v>2020.0</v>
      </c>
      <c r="C1818" s="13" t="s">
        <v>67</v>
      </c>
      <c r="D1818" s="13" t="s">
        <v>152</v>
      </c>
      <c r="E1818" s="34"/>
      <c r="F1818" s="6"/>
      <c r="H1818" s="6"/>
      <c r="I1818" s="35" t="str">
        <f>IFERROR(IFERROR(IFERROR(VLOOKUP(B1818&amp;C1818&amp;Q1818,'New Weekly Paste'!A:M,10,0),VLOOKUP(B1818&amp;C1818&amp;Q1818,'New Weekly Paste'!B:O,6,0)),""),"")</f>
        <v>Fellows</v>
      </c>
      <c r="J1818" s="239">
        <f>IFERROR(IFERROR(VLOOKUP(B1818&amp;C1818&amp;Q1818,'New Weekly Paste'!A:M,8,0),VLOOKUP(B1818&amp;C1818&amp;Q1818,'New Weekly Paste'!B:O,10,0)),0)</f>
        <v>91.82</v>
      </c>
      <c r="K1818" s="239">
        <f>IFERROR(IFERROR(VLOOKUP(B1818&amp;I1818&amp;Q1818,'New Weekly Paste'!A:M,8,0),VLOOKUP(B1818&amp;I1818&amp;Q1818,'New Weekly Paste'!B:O,10,0)),0)</f>
        <v>113.94</v>
      </c>
      <c r="L1818" s="239">
        <f t="shared" si="25"/>
        <v>0</v>
      </c>
      <c r="M1818" s="36" t="str">
        <f t="shared" si="3"/>
        <v>Regular Season</v>
      </c>
      <c r="N1818" s="239" t="str">
        <f t="shared" si="26"/>
        <v>Fellows</v>
      </c>
      <c r="O1818" s="6">
        <f>VLOOKUP(D1818,'Mapped Opponent'!$G$4:$H$22,2,0)</f>
        <v>13</v>
      </c>
      <c r="P1818" s="6"/>
      <c r="Q1818" s="6" t="str">
        <f t="shared" si="4"/>
        <v>Week 13</v>
      </c>
      <c r="R1818" s="6" t="str">
        <f t="shared" si="5"/>
        <v>2020Week 13</v>
      </c>
      <c r="S1818" s="6">
        <f>IFERROR(__xludf.DUMMYFUNCTION("rank(J1818,FILTER(J:J,R:R=R1818))"),6.0)</f>
        <v>6</v>
      </c>
      <c r="T1818" s="6">
        <f t="shared" si="6"/>
        <v>6</v>
      </c>
      <c r="U1818" s="6">
        <f t="shared" si="7"/>
        <v>6</v>
      </c>
      <c r="V1818" s="42">
        <f>averageif(AllData!A:A,B1818,AllData!R:R)/vlookup(B1818,AllData!A:O,15,0)</f>
        <v>95.94858974</v>
      </c>
      <c r="W1818" s="6"/>
    </row>
    <row r="1819" ht="14.25" customHeight="1">
      <c r="A1819" s="6" t="str">
        <f t="shared" si="1"/>
        <v>2020Rooney/Jackson13</v>
      </c>
      <c r="B1819" s="59">
        <v>2020.0</v>
      </c>
      <c r="C1819" s="13" t="s">
        <v>57</v>
      </c>
      <c r="D1819" s="13" t="s">
        <v>152</v>
      </c>
      <c r="E1819" s="34"/>
      <c r="F1819" s="6"/>
      <c r="H1819" s="6"/>
      <c r="I1819" s="35" t="str">
        <f>IFERROR(IFERROR(IFERROR(VLOOKUP(B1819&amp;C1819&amp;Q1819,'New Weekly Paste'!A:M,10,0),VLOOKUP(B1819&amp;C1819&amp;Q1819,'New Weekly Paste'!B:O,6,0)),""),"")</f>
        <v>Salty</v>
      </c>
      <c r="J1819" s="239">
        <f>IFERROR(IFERROR(VLOOKUP(B1819&amp;C1819&amp;Q1819,'New Weekly Paste'!A:M,8,0),VLOOKUP(B1819&amp;C1819&amp;Q1819,'New Weekly Paste'!B:O,10,0)),0)</f>
        <v>82.7</v>
      </c>
      <c r="K1819" s="239">
        <f>IFERROR(IFERROR(VLOOKUP(B1819&amp;I1819&amp;Q1819,'New Weekly Paste'!A:M,8,0),VLOOKUP(B1819&amp;I1819&amp;Q1819,'New Weekly Paste'!B:O,10,0)),0)</f>
        <v>77.22</v>
      </c>
      <c r="L1819" s="239">
        <f t="shared" si="25"/>
        <v>1</v>
      </c>
      <c r="M1819" s="36" t="str">
        <f t="shared" si="3"/>
        <v>Regular Season</v>
      </c>
      <c r="N1819" s="239" t="str">
        <f t="shared" si="26"/>
        <v>Salty</v>
      </c>
      <c r="O1819" s="6">
        <f>VLOOKUP(D1819,'Mapped Opponent'!$G$4:$H$22,2,0)</f>
        <v>13</v>
      </c>
      <c r="P1819" s="6"/>
      <c r="Q1819" s="6" t="str">
        <f t="shared" si="4"/>
        <v>Week 13</v>
      </c>
      <c r="R1819" s="6" t="str">
        <f t="shared" si="5"/>
        <v>2020Week 13</v>
      </c>
      <c r="S1819" s="6">
        <f>IFERROR(__xludf.DUMMYFUNCTION("rank(J1819,FILTER(J:J,R:R=R1819))"),10.0)</f>
        <v>10</v>
      </c>
      <c r="T1819" s="6">
        <f t="shared" si="6"/>
        <v>2</v>
      </c>
      <c r="U1819" s="6">
        <f t="shared" si="7"/>
        <v>10</v>
      </c>
      <c r="V1819" s="42">
        <f>averageif(AllData!A:A,B1819,AllData!R:R)/vlookup(B1819,AllData!A:O,15,0)</f>
        <v>95.94858974</v>
      </c>
      <c r="W1819" s="6"/>
    </row>
    <row r="1820" ht="14.25" customHeight="1">
      <c r="A1820" s="6" t="str">
        <f t="shared" si="1"/>
        <v>2020Buser13</v>
      </c>
      <c r="B1820" s="59">
        <v>2020.0</v>
      </c>
      <c r="C1820" s="13" t="s">
        <v>47</v>
      </c>
      <c r="D1820" s="13" t="s">
        <v>152</v>
      </c>
      <c r="E1820" s="34"/>
      <c r="F1820" s="6"/>
      <c r="H1820" s="6"/>
      <c r="I1820" s="35" t="str">
        <f>IFERROR(IFERROR(IFERROR(VLOOKUP(B1820&amp;C1820&amp;Q1820,'New Weekly Paste'!A:M,10,0),VLOOKUP(B1820&amp;C1820&amp;Q1820,'New Weekly Paste'!B:O,6,0)),""),"")</f>
        <v>Hudspeath</v>
      </c>
      <c r="J1820" s="239">
        <f>IFERROR(IFERROR(VLOOKUP(B1820&amp;C1820&amp;Q1820,'New Weekly Paste'!A:M,8,0),VLOOKUP(B1820&amp;C1820&amp;Q1820,'New Weekly Paste'!B:O,10,0)),0)</f>
        <v>41.12</v>
      </c>
      <c r="K1820" s="239">
        <f>IFERROR(IFERROR(VLOOKUP(B1820&amp;I1820&amp;Q1820,'New Weekly Paste'!A:M,8,0),VLOOKUP(B1820&amp;I1820&amp;Q1820,'New Weekly Paste'!B:O,10,0)),0)</f>
        <v>90.78</v>
      </c>
      <c r="L1820" s="239">
        <f t="shared" si="25"/>
        <v>0</v>
      </c>
      <c r="M1820" s="36" t="str">
        <f t="shared" si="3"/>
        <v>Regular Season</v>
      </c>
      <c r="N1820" s="239" t="str">
        <f t="shared" si="26"/>
        <v>Hudspeath</v>
      </c>
      <c r="O1820" s="6">
        <f>VLOOKUP(D1820,'Mapped Opponent'!$G$4:$H$22,2,0)</f>
        <v>13</v>
      </c>
      <c r="P1820" s="6"/>
      <c r="Q1820" s="6" t="str">
        <f t="shared" si="4"/>
        <v>Week 13</v>
      </c>
      <c r="R1820" s="6" t="str">
        <f t="shared" si="5"/>
        <v>2020Week 13</v>
      </c>
      <c r="S1820" s="6">
        <f>IFERROR(__xludf.DUMMYFUNCTION("rank(J1820,FILTER(J:J,R:R=R1820))"),12.0)</f>
        <v>12</v>
      </c>
      <c r="T1820" s="6">
        <f t="shared" si="6"/>
        <v>0</v>
      </c>
      <c r="U1820" s="6">
        <f t="shared" si="7"/>
        <v>12</v>
      </c>
      <c r="V1820" s="42">
        <f>averageif(AllData!A:A,B1820,AllData!R:R)/vlookup(B1820,AllData!A:O,15,0)</f>
        <v>95.94858974</v>
      </c>
      <c r="W1820" s="6"/>
    </row>
    <row r="1821" ht="14.25" customHeight="1">
      <c r="A1821" s="6" t="str">
        <f t="shared" si="1"/>
        <v>2020Pierson13</v>
      </c>
      <c r="B1821" s="59">
        <v>2020.0</v>
      </c>
      <c r="C1821" s="13" t="s">
        <v>92</v>
      </c>
      <c r="D1821" s="13" t="s">
        <v>152</v>
      </c>
      <c r="E1821" s="34"/>
      <c r="F1821" s="6"/>
      <c r="H1821" s="6"/>
      <c r="I1821" s="35" t="str">
        <f>IFERROR(IFERROR(IFERROR(VLOOKUP(B1821&amp;C1821&amp;Q1821,'New Weekly Paste'!A:M,10,0),VLOOKUP(B1821&amp;C1821&amp;Q1821,'New Weekly Paste'!B:O,6,0)),""),"")</f>
        <v>Shep</v>
      </c>
      <c r="J1821" s="239">
        <f>IFERROR(IFERROR(VLOOKUP(B1821&amp;C1821&amp;Q1821,'New Weekly Paste'!A:M,8,0),VLOOKUP(B1821&amp;C1821&amp;Q1821,'New Weekly Paste'!B:O,10,0)),0)</f>
        <v>90.18</v>
      </c>
      <c r="K1821" s="239">
        <f>IFERROR(IFERROR(VLOOKUP(B1821&amp;I1821&amp;Q1821,'New Weekly Paste'!A:M,8,0),VLOOKUP(B1821&amp;I1821&amp;Q1821,'New Weekly Paste'!B:O,10,0)),0)</f>
        <v>96.34</v>
      </c>
      <c r="L1821" s="239">
        <f t="shared" si="25"/>
        <v>0</v>
      </c>
      <c r="M1821" s="36" t="str">
        <f t="shared" si="3"/>
        <v>Regular Season</v>
      </c>
      <c r="N1821" s="239" t="str">
        <f t="shared" si="26"/>
        <v>Shep</v>
      </c>
      <c r="O1821" s="6">
        <f>VLOOKUP(D1821,'Mapped Opponent'!$G$4:$H$22,2,0)</f>
        <v>13</v>
      </c>
      <c r="P1821" s="6"/>
      <c r="Q1821" s="6" t="str">
        <f t="shared" si="4"/>
        <v>Week 13</v>
      </c>
      <c r="R1821" s="6" t="str">
        <f t="shared" si="5"/>
        <v>2020Week 13</v>
      </c>
      <c r="S1821" s="6">
        <f>IFERROR(__xludf.DUMMYFUNCTION("rank(J1821,FILTER(J:J,R:R=R1821))"),8.0)</f>
        <v>8</v>
      </c>
      <c r="T1821" s="6">
        <f t="shared" si="6"/>
        <v>4</v>
      </c>
      <c r="U1821" s="6">
        <f t="shared" si="7"/>
        <v>8</v>
      </c>
      <c r="V1821" s="42">
        <f>averageif(AllData!A:A,B1821,AllData!R:R)/vlookup(B1821,AllData!A:O,15,0)</f>
        <v>95.94858974</v>
      </c>
      <c r="W1821" s="6"/>
    </row>
    <row r="1822" ht="14.25" customHeight="1">
      <c r="A1822" s="6" t="str">
        <f t="shared" si="1"/>
        <v>2020Cock13</v>
      </c>
      <c r="B1822" s="59">
        <v>2020.0</v>
      </c>
      <c r="C1822" s="13" t="s">
        <v>72</v>
      </c>
      <c r="D1822" s="13" t="s">
        <v>152</v>
      </c>
      <c r="E1822" s="34"/>
      <c r="F1822" s="6"/>
      <c r="H1822" s="6"/>
      <c r="I1822" s="35" t="str">
        <f>IFERROR(IFERROR(IFERROR(VLOOKUP(B1822&amp;C1822&amp;Q1822,'New Weekly Paste'!A:M,10,0),VLOOKUP(B1822&amp;C1822&amp;Q1822,'New Weekly Paste'!B:O,6,0)),""),"")</f>
        <v>KnardDawg</v>
      </c>
      <c r="J1822" s="239">
        <f>IFERROR(IFERROR(VLOOKUP(B1822&amp;C1822&amp;Q1822,'New Weekly Paste'!A:M,8,0),VLOOKUP(B1822&amp;C1822&amp;Q1822,'New Weekly Paste'!B:O,10,0)),0)</f>
        <v>107.76</v>
      </c>
      <c r="K1822" s="239">
        <f>IFERROR(IFERROR(VLOOKUP(B1822&amp;I1822&amp;Q1822,'New Weekly Paste'!A:M,8,0),VLOOKUP(B1822&amp;I1822&amp;Q1822,'New Weekly Paste'!B:O,10,0)),0)</f>
        <v>95.64</v>
      </c>
      <c r="L1822" s="239">
        <f t="shared" si="25"/>
        <v>1</v>
      </c>
      <c r="M1822" s="36" t="str">
        <f t="shared" si="3"/>
        <v>Regular Season</v>
      </c>
      <c r="N1822" s="239" t="str">
        <f t="shared" si="26"/>
        <v>KnardDawg</v>
      </c>
      <c r="O1822" s="6">
        <f>VLOOKUP(D1822,'Mapped Opponent'!$G$4:$H$22,2,0)</f>
        <v>13</v>
      </c>
      <c r="P1822" s="6"/>
      <c r="Q1822" s="6" t="str">
        <f t="shared" si="4"/>
        <v>Week 13</v>
      </c>
      <c r="R1822" s="6" t="str">
        <f t="shared" si="5"/>
        <v>2020Week 13</v>
      </c>
      <c r="S1822" s="6">
        <f>IFERROR(__xludf.DUMMYFUNCTION("rank(J1822,FILTER(J:J,R:R=R1822))"),2.0)</f>
        <v>2</v>
      </c>
      <c r="T1822" s="6">
        <f t="shared" si="6"/>
        <v>10</v>
      </c>
      <c r="U1822" s="6">
        <f t="shared" si="7"/>
        <v>2</v>
      </c>
      <c r="V1822" s="42">
        <f>averageif(AllData!A:A,B1822,AllData!R:R)/vlookup(B1822,AllData!A:O,15,0)</f>
        <v>95.94858974</v>
      </c>
      <c r="W1822" s="6"/>
    </row>
    <row r="1823" ht="14.25" customHeight="1">
      <c r="A1823" s="6" t="str">
        <f t="shared" si="1"/>
        <v>2020Tayski13</v>
      </c>
      <c r="B1823" s="59">
        <v>2020.0</v>
      </c>
      <c r="C1823" s="13" t="s">
        <v>52</v>
      </c>
      <c r="D1823" s="13" t="s">
        <v>152</v>
      </c>
      <c r="E1823" s="34"/>
      <c r="F1823" s="6"/>
      <c r="H1823" s="6"/>
      <c r="I1823" s="35" t="str">
        <f>IFERROR(IFERROR(IFERROR(VLOOKUP(B1823&amp;C1823&amp;Q1823,'New Weekly Paste'!A:M,10,0),VLOOKUP(B1823&amp;C1823&amp;Q1823,'New Weekly Paste'!B:O,6,0)),""),"")</f>
        <v>T-How</v>
      </c>
      <c r="J1823" s="239">
        <f>IFERROR(IFERROR(VLOOKUP(B1823&amp;C1823&amp;Q1823,'New Weekly Paste'!A:M,8,0),VLOOKUP(B1823&amp;C1823&amp;Q1823,'New Weekly Paste'!B:O,10,0)),0)</f>
        <v>95.6</v>
      </c>
      <c r="K1823" s="239">
        <f>IFERROR(IFERROR(VLOOKUP(B1823&amp;I1823&amp;Q1823,'New Weekly Paste'!A:M,8,0),VLOOKUP(B1823&amp;I1823&amp;Q1823,'New Weekly Paste'!B:O,10,0)),0)</f>
        <v>86.96</v>
      </c>
      <c r="L1823" s="239">
        <f t="shared" si="25"/>
        <v>1</v>
      </c>
      <c r="M1823" s="36" t="str">
        <f t="shared" si="3"/>
        <v>Regular Season</v>
      </c>
      <c r="N1823" s="239" t="str">
        <f t="shared" si="26"/>
        <v>T-How</v>
      </c>
      <c r="O1823" s="6">
        <f>VLOOKUP(D1823,'Mapped Opponent'!$G$4:$H$22,2,0)</f>
        <v>13</v>
      </c>
      <c r="P1823" s="6"/>
      <c r="Q1823" s="6" t="str">
        <f t="shared" si="4"/>
        <v>Week 13</v>
      </c>
      <c r="R1823" s="6" t="str">
        <f t="shared" si="5"/>
        <v>2020Week 13</v>
      </c>
      <c r="S1823" s="6">
        <f>IFERROR(__xludf.DUMMYFUNCTION("rank(J1823,FILTER(J:J,R:R=R1823))"),5.0)</f>
        <v>5</v>
      </c>
      <c r="T1823" s="6">
        <f t="shared" si="6"/>
        <v>7</v>
      </c>
      <c r="U1823" s="6">
        <f t="shared" si="7"/>
        <v>5</v>
      </c>
      <c r="V1823" s="42">
        <f>averageif(AllData!A:A,B1823,AllData!R:R)/vlookup(B1823,AllData!A:O,15,0)</f>
        <v>95.94858974</v>
      </c>
      <c r="W1823" s="6"/>
    </row>
    <row r="1824" ht="14.25" customHeight="1">
      <c r="A1824" s="6" t="str">
        <f t="shared" si="1"/>
        <v>2020KnardDawg13</v>
      </c>
      <c r="B1824" s="59">
        <v>2020.0</v>
      </c>
      <c r="C1824" s="13" t="s">
        <v>86</v>
      </c>
      <c r="D1824" s="13" t="s">
        <v>152</v>
      </c>
      <c r="E1824" s="34"/>
      <c r="F1824" s="6"/>
      <c r="H1824" s="6"/>
      <c r="I1824" s="35" t="str">
        <f>IFERROR(IFERROR(IFERROR(VLOOKUP(B1824&amp;C1824&amp;Q1824,'New Weekly Paste'!A:M,10,0),VLOOKUP(B1824&amp;C1824&amp;Q1824,'New Weekly Paste'!B:O,6,0)),""),"")</f>
        <v>Cock</v>
      </c>
      <c r="J1824" s="239">
        <f>IFERROR(IFERROR(VLOOKUP(B1824&amp;C1824&amp;Q1824,'New Weekly Paste'!A:M,8,0),VLOOKUP(B1824&amp;C1824&amp;Q1824,'New Weekly Paste'!B:O,10,0)),0)</f>
        <v>95.64</v>
      </c>
      <c r="K1824" s="239">
        <f>IFERROR(IFERROR(VLOOKUP(B1824&amp;I1824&amp;Q1824,'New Weekly Paste'!A:M,8,0),VLOOKUP(B1824&amp;I1824&amp;Q1824,'New Weekly Paste'!B:O,10,0)),0)</f>
        <v>107.76</v>
      </c>
      <c r="L1824" s="239">
        <f t="shared" si="25"/>
        <v>0</v>
      </c>
      <c r="M1824" s="36" t="str">
        <f t="shared" si="3"/>
        <v>Regular Season</v>
      </c>
      <c r="N1824" s="239" t="str">
        <f t="shared" si="26"/>
        <v>Cock</v>
      </c>
      <c r="O1824" s="6">
        <f>VLOOKUP(D1824,'Mapped Opponent'!$G$4:$H$22,2,0)</f>
        <v>13</v>
      </c>
      <c r="P1824" s="6"/>
      <c r="Q1824" s="6" t="str">
        <f t="shared" si="4"/>
        <v>Week 13</v>
      </c>
      <c r="R1824" s="6" t="str">
        <f t="shared" si="5"/>
        <v>2020Week 13</v>
      </c>
      <c r="S1824" s="6">
        <f>IFERROR(__xludf.DUMMYFUNCTION("rank(J1824,FILTER(J:J,R:R=R1824))"),4.0)</f>
        <v>4</v>
      </c>
      <c r="T1824" s="6">
        <f t="shared" si="6"/>
        <v>8</v>
      </c>
      <c r="U1824" s="6">
        <f t="shared" si="7"/>
        <v>4</v>
      </c>
      <c r="V1824" s="42">
        <f>averageif(AllData!A:A,B1824,AllData!R:R)/vlookup(B1824,AllData!A:O,15,0)</f>
        <v>95.94858974</v>
      </c>
      <c r="W1824" s="6"/>
    </row>
    <row r="1825" ht="14.25" customHeight="1">
      <c r="A1825" s="6" t="str">
        <f t="shared" si="1"/>
        <v>2020T-How13</v>
      </c>
      <c r="B1825" s="59">
        <v>2020.0</v>
      </c>
      <c r="C1825" s="13" t="s">
        <v>82</v>
      </c>
      <c r="D1825" s="13" t="s">
        <v>152</v>
      </c>
      <c r="E1825" s="34"/>
      <c r="F1825" s="6"/>
      <c r="H1825" s="6"/>
      <c r="I1825" s="35" t="str">
        <f>IFERROR(IFERROR(IFERROR(VLOOKUP(B1825&amp;C1825&amp;Q1825,'New Weekly Paste'!A:M,10,0),VLOOKUP(B1825&amp;C1825&amp;Q1825,'New Weekly Paste'!B:O,6,0)),""),"")</f>
        <v>Tayski</v>
      </c>
      <c r="J1825" s="239">
        <f>IFERROR(IFERROR(VLOOKUP(B1825&amp;C1825&amp;Q1825,'New Weekly Paste'!A:M,8,0),VLOOKUP(B1825&amp;C1825&amp;Q1825,'New Weekly Paste'!B:O,10,0)),0)</f>
        <v>86.96</v>
      </c>
      <c r="K1825" s="239">
        <f>IFERROR(IFERROR(VLOOKUP(B1825&amp;I1825&amp;Q1825,'New Weekly Paste'!A:M,8,0),VLOOKUP(B1825&amp;I1825&amp;Q1825,'New Weekly Paste'!B:O,10,0)),0)</f>
        <v>95.6</v>
      </c>
      <c r="L1825" s="239">
        <f t="shared" si="25"/>
        <v>0</v>
      </c>
      <c r="M1825" s="36" t="str">
        <f t="shared" si="3"/>
        <v>Regular Season</v>
      </c>
      <c r="N1825" s="239" t="str">
        <f t="shared" si="26"/>
        <v>Tayski</v>
      </c>
      <c r="O1825" s="6">
        <f>VLOOKUP(D1825,'Mapped Opponent'!$G$4:$H$22,2,0)</f>
        <v>13</v>
      </c>
      <c r="P1825" s="6"/>
      <c r="Q1825" s="6" t="str">
        <f t="shared" si="4"/>
        <v>Week 13</v>
      </c>
      <c r="R1825" s="6" t="str">
        <f t="shared" si="5"/>
        <v>2020Week 13</v>
      </c>
      <c r="S1825" s="6">
        <f>IFERROR(__xludf.DUMMYFUNCTION("rank(J1825,FILTER(J:J,R:R=R1825))"),9.0)</f>
        <v>9</v>
      </c>
      <c r="T1825" s="6">
        <f t="shared" si="6"/>
        <v>3</v>
      </c>
      <c r="U1825" s="6">
        <f t="shared" si="7"/>
        <v>9</v>
      </c>
      <c r="V1825" s="42">
        <f>averageif(AllData!A:A,B1825,AllData!R:R)/vlookup(B1825,AllData!A:O,15,0)</f>
        <v>95.94858974</v>
      </c>
      <c r="W1825" s="6"/>
    </row>
    <row r="1826" ht="14.25" customHeight="1">
      <c r="A1826" s="6" t="str">
        <f t="shared" si="1"/>
        <v>2020Hudspeath2</v>
      </c>
      <c r="B1826" s="59">
        <v>2020.0</v>
      </c>
      <c r="C1826" s="13" t="s">
        <v>39</v>
      </c>
      <c r="D1826" s="13" t="s">
        <v>131</v>
      </c>
      <c r="E1826" s="34"/>
      <c r="F1826" s="6"/>
      <c r="H1826" s="6"/>
      <c r="I1826" s="35" t="str">
        <f>IFERROR(IFERROR(IFERROR(VLOOKUP(B1826&amp;C1826&amp;Q1826,'New Weekly Paste'!A:M,10,0),VLOOKUP(B1826&amp;C1826&amp;Q1826,'New Weekly Paste'!B:O,6,0)),""),"")</f>
        <v>Buser</v>
      </c>
      <c r="J1826" s="239">
        <f>IFERROR(IFERROR(VLOOKUP(B1826&amp;C1826&amp;Q1826,'New Weekly Paste'!A:M,8,0),VLOOKUP(B1826&amp;C1826&amp;Q1826,'New Weekly Paste'!B:O,10,0)),0)</f>
        <v>75.18</v>
      </c>
      <c r="K1826" s="239">
        <f>IFERROR(IFERROR(VLOOKUP(B1826&amp;I1826&amp;Q1826,'New Weekly Paste'!A:M,8,0),VLOOKUP(B1826&amp;I1826&amp;Q1826,'New Weekly Paste'!B:O,10,0)),0)</f>
        <v>123.94</v>
      </c>
      <c r="L1826" s="239">
        <f t="shared" si="25"/>
        <v>0</v>
      </c>
      <c r="M1826" s="36" t="str">
        <f t="shared" si="3"/>
        <v>Regular Season</v>
      </c>
      <c r="N1826" s="239" t="str">
        <f t="shared" si="26"/>
        <v>Buser</v>
      </c>
      <c r="O1826" s="6">
        <f>VLOOKUP(D1826,'Mapped Opponent'!$G$4:$H$22,2,0)</f>
        <v>2</v>
      </c>
      <c r="P1826" s="6"/>
      <c r="Q1826" s="6" t="str">
        <f t="shared" si="4"/>
        <v>Week 2</v>
      </c>
      <c r="R1826" s="6" t="str">
        <f t="shared" si="5"/>
        <v>2020Week 2</v>
      </c>
      <c r="S1826" s="6">
        <f>IFERROR(__xludf.DUMMYFUNCTION("rank(J1826,FILTER(J:J,R:R=R1826))"),12.0)</f>
        <v>12</v>
      </c>
      <c r="T1826" s="6">
        <f t="shared" si="6"/>
        <v>0</v>
      </c>
      <c r="U1826" s="6">
        <f t="shared" si="7"/>
        <v>12</v>
      </c>
      <c r="V1826" s="42">
        <f>averageif(AllData!A:A,B1826,AllData!R:R)/vlookup(B1826,AllData!A:O,15,0)</f>
        <v>95.94858974</v>
      </c>
      <c r="W1826" s="6"/>
    </row>
    <row r="1827" ht="14.25" customHeight="1">
      <c r="A1827" s="6" t="str">
        <f t="shared" si="1"/>
        <v>2020Salty2</v>
      </c>
      <c r="B1827" s="59">
        <v>2020.0</v>
      </c>
      <c r="C1827" s="13" t="s">
        <v>76</v>
      </c>
      <c r="D1827" s="13" t="s">
        <v>131</v>
      </c>
      <c r="E1827" s="34"/>
      <c r="F1827" s="6"/>
      <c r="H1827" s="6"/>
      <c r="I1827" s="35" t="str">
        <f>IFERROR(IFERROR(IFERROR(VLOOKUP(B1827&amp;C1827&amp;Q1827,'New Weekly Paste'!A:M,10,0),VLOOKUP(B1827&amp;C1827&amp;Q1827,'New Weekly Paste'!B:O,6,0)),""),"")</f>
        <v>Rooney/Jackson</v>
      </c>
      <c r="J1827" s="239">
        <f>IFERROR(IFERROR(VLOOKUP(B1827&amp;C1827&amp;Q1827,'New Weekly Paste'!A:M,8,0),VLOOKUP(B1827&amp;C1827&amp;Q1827,'New Weekly Paste'!B:O,10,0)),0)</f>
        <v>106.18</v>
      </c>
      <c r="K1827" s="239">
        <f>IFERROR(IFERROR(VLOOKUP(B1827&amp;I1827&amp;Q1827,'New Weekly Paste'!A:M,8,0),VLOOKUP(B1827&amp;I1827&amp;Q1827,'New Weekly Paste'!B:O,10,0)),0)</f>
        <v>86.66</v>
      </c>
      <c r="L1827" s="239">
        <f t="shared" si="25"/>
        <v>1</v>
      </c>
      <c r="M1827" s="36" t="str">
        <f t="shared" si="3"/>
        <v>Regular Season</v>
      </c>
      <c r="N1827" s="239" t="str">
        <f t="shared" si="26"/>
        <v>Rooney/Jackson</v>
      </c>
      <c r="O1827" s="6">
        <f>VLOOKUP(D1827,'Mapped Opponent'!$G$4:$H$22,2,0)</f>
        <v>2</v>
      </c>
      <c r="P1827" s="6"/>
      <c r="Q1827" s="6" t="str">
        <f t="shared" si="4"/>
        <v>Week 2</v>
      </c>
      <c r="R1827" s="6" t="str">
        <f t="shared" si="5"/>
        <v>2020Week 2</v>
      </c>
      <c r="S1827" s="6">
        <f>IFERROR(__xludf.DUMMYFUNCTION("rank(J1827,FILTER(J:J,R:R=R1827))"),7.0)</f>
        <v>7</v>
      </c>
      <c r="T1827" s="6">
        <f t="shared" si="6"/>
        <v>5</v>
      </c>
      <c r="U1827" s="6">
        <f t="shared" si="7"/>
        <v>7</v>
      </c>
      <c r="V1827" s="42">
        <f>averageif(AllData!A:A,B1827,AllData!R:R)/vlookup(B1827,AllData!A:O,15,0)</f>
        <v>95.94858974</v>
      </c>
      <c r="W1827" s="6"/>
    </row>
    <row r="1828" ht="14.25" customHeight="1">
      <c r="A1828" s="6" t="str">
        <f t="shared" si="1"/>
        <v>2020Fellows2</v>
      </c>
      <c r="B1828" s="59">
        <v>2020.0</v>
      </c>
      <c r="C1828" s="13" t="s">
        <v>79</v>
      </c>
      <c r="D1828" s="13" t="s">
        <v>131</v>
      </c>
      <c r="E1828" s="34"/>
      <c r="F1828" s="6"/>
      <c r="H1828" s="6"/>
      <c r="I1828" s="35" t="str">
        <f>IFERROR(IFERROR(IFERROR(VLOOKUP(B1828&amp;C1828&amp;Q1828,'New Weekly Paste'!A:M,10,0),VLOOKUP(B1828&amp;C1828&amp;Q1828,'New Weekly Paste'!B:O,6,0)),""),"")</f>
        <v>Riley</v>
      </c>
      <c r="J1828" s="239">
        <f>IFERROR(IFERROR(VLOOKUP(B1828&amp;C1828&amp;Q1828,'New Weekly Paste'!A:M,8,0),VLOOKUP(B1828&amp;C1828&amp;Q1828,'New Weekly Paste'!B:O,10,0)),0)</f>
        <v>122.88</v>
      </c>
      <c r="K1828" s="239">
        <f>IFERROR(IFERROR(VLOOKUP(B1828&amp;I1828&amp;Q1828,'New Weekly Paste'!A:M,8,0),VLOOKUP(B1828&amp;I1828&amp;Q1828,'New Weekly Paste'!B:O,10,0)),0)</f>
        <v>105.82</v>
      </c>
      <c r="L1828" s="239">
        <f t="shared" si="25"/>
        <v>1</v>
      </c>
      <c r="M1828" s="36" t="str">
        <f t="shared" si="3"/>
        <v>Regular Season</v>
      </c>
      <c r="N1828" s="239" t="str">
        <f t="shared" si="26"/>
        <v>Riley</v>
      </c>
      <c r="O1828" s="6">
        <f>VLOOKUP(D1828,'Mapped Opponent'!$G$4:$H$22,2,0)</f>
        <v>2</v>
      </c>
      <c r="P1828" s="6"/>
      <c r="Q1828" s="6" t="str">
        <f t="shared" si="4"/>
        <v>Week 2</v>
      </c>
      <c r="R1828" s="6" t="str">
        <f t="shared" si="5"/>
        <v>2020Week 2</v>
      </c>
      <c r="S1828" s="6">
        <f>IFERROR(__xludf.DUMMYFUNCTION("rank(J1828,FILTER(J:J,R:R=R1828))"),3.0)</f>
        <v>3</v>
      </c>
      <c r="T1828" s="6">
        <f t="shared" si="6"/>
        <v>9</v>
      </c>
      <c r="U1828" s="6">
        <f t="shared" si="7"/>
        <v>3</v>
      </c>
      <c r="V1828" s="42">
        <f>averageif(AllData!A:A,B1828,AllData!R:R)/vlookup(B1828,AllData!A:O,15,0)</f>
        <v>95.94858974</v>
      </c>
      <c r="W1828" s="6"/>
    </row>
    <row r="1829" ht="14.25" customHeight="1">
      <c r="A1829" s="6" t="str">
        <f t="shared" si="1"/>
        <v>2020Shep2</v>
      </c>
      <c r="B1829" s="59">
        <v>2020.0</v>
      </c>
      <c r="C1829" s="13" t="s">
        <v>89</v>
      </c>
      <c r="D1829" s="13" t="s">
        <v>131</v>
      </c>
      <c r="E1829" s="34"/>
      <c r="F1829" s="6"/>
      <c r="H1829" s="6"/>
      <c r="I1829" s="35" t="str">
        <f>IFERROR(IFERROR(IFERROR(VLOOKUP(B1829&amp;C1829&amp;Q1829,'New Weekly Paste'!A:M,10,0),VLOOKUP(B1829&amp;C1829&amp;Q1829,'New Weekly Paste'!B:O,6,0)),""),"")</f>
        <v>Pierson</v>
      </c>
      <c r="J1829" s="239">
        <f>IFERROR(IFERROR(VLOOKUP(B1829&amp;C1829&amp;Q1829,'New Weekly Paste'!A:M,8,0),VLOOKUP(B1829&amp;C1829&amp;Q1829,'New Weekly Paste'!B:O,10,0)),0)</f>
        <v>83.5</v>
      </c>
      <c r="K1829" s="239">
        <f>IFERROR(IFERROR(VLOOKUP(B1829&amp;I1829&amp;Q1829,'New Weekly Paste'!A:M,8,0),VLOOKUP(B1829&amp;I1829&amp;Q1829,'New Weekly Paste'!B:O,10,0)),0)</f>
        <v>95.06</v>
      </c>
      <c r="L1829" s="239">
        <f t="shared" si="25"/>
        <v>0</v>
      </c>
      <c r="M1829" s="36" t="str">
        <f t="shared" si="3"/>
        <v>Regular Season</v>
      </c>
      <c r="N1829" s="239" t="str">
        <f t="shared" si="26"/>
        <v>Pierson</v>
      </c>
      <c r="O1829" s="6">
        <f>VLOOKUP(D1829,'Mapped Opponent'!$G$4:$H$22,2,0)</f>
        <v>2</v>
      </c>
      <c r="P1829" s="6"/>
      <c r="Q1829" s="6" t="str">
        <f t="shared" si="4"/>
        <v>Week 2</v>
      </c>
      <c r="R1829" s="6" t="str">
        <f t="shared" si="5"/>
        <v>2020Week 2</v>
      </c>
      <c r="S1829" s="6">
        <f>IFERROR(__xludf.DUMMYFUNCTION("rank(J1829,FILTER(J:J,R:R=R1829))"),11.0)</f>
        <v>11</v>
      </c>
      <c r="T1829" s="6">
        <f t="shared" si="6"/>
        <v>1</v>
      </c>
      <c r="U1829" s="6">
        <f t="shared" si="7"/>
        <v>11</v>
      </c>
      <c r="V1829" s="42">
        <f>averageif(AllData!A:A,B1829,AllData!R:R)/vlookup(B1829,AllData!A:O,15,0)</f>
        <v>95.94858974</v>
      </c>
      <c r="W1829" s="6"/>
    </row>
    <row r="1830" ht="14.25" customHeight="1">
      <c r="A1830" s="6" t="str">
        <f t="shared" si="1"/>
        <v>2020Riley2</v>
      </c>
      <c r="B1830" s="59">
        <v>2020.0</v>
      </c>
      <c r="C1830" s="13" t="s">
        <v>67</v>
      </c>
      <c r="D1830" s="13" t="s">
        <v>131</v>
      </c>
      <c r="E1830" s="34"/>
      <c r="F1830" s="6"/>
      <c r="H1830" s="6"/>
      <c r="I1830" s="35" t="str">
        <f>IFERROR(IFERROR(IFERROR(VLOOKUP(B1830&amp;C1830&amp;Q1830,'New Weekly Paste'!A:M,10,0),VLOOKUP(B1830&amp;C1830&amp;Q1830,'New Weekly Paste'!B:O,6,0)),""),"")</f>
        <v>Fellows</v>
      </c>
      <c r="J1830" s="239">
        <f>IFERROR(IFERROR(VLOOKUP(B1830&amp;C1830&amp;Q1830,'New Weekly Paste'!A:M,8,0),VLOOKUP(B1830&amp;C1830&amp;Q1830,'New Weekly Paste'!B:O,10,0)),0)</f>
        <v>105.82</v>
      </c>
      <c r="K1830" s="239">
        <f>IFERROR(IFERROR(VLOOKUP(B1830&amp;I1830&amp;Q1830,'New Weekly Paste'!A:M,8,0),VLOOKUP(B1830&amp;I1830&amp;Q1830,'New Weekly Paste'!B:O,10,0)),0)</f>
        <v>122.88</v>
      </c>
      <c r="L1830" s="239">
        <f t="shared" si="25"/>
        <v>0</v>
      </c>
      <c r="M1830" s="36" t="str">
        <f t="shared" si="3"/>
        <v>Regular Season</v>
      </c>
      <c r="N1830" s="239" t="str">
        <f t="shared" si="26"/>
        <v>Fellows</v>
      </c>
      <c r="O1830" s="6">
        <f>VLOOKUP(D1830,'Mapped Opponent'!$G$4:$H$22,2,0)</f>
        <v>2</v>
      </c>
      <c r="P1830" s="6"/>
      <c r="Q1830" s="6" t="str">
        <f t="shared" si="4"/>
        <v>Week 2</v>
      </c>
      <c r="R1830" s="6" t="str">
        <f t="shared" si="5"/>
        <v>2020Week 2</v>
      </c>
      <c r="S1830" s="6">
        <f>IFERROR(__xludf.DUMMYFUNCTION("rank(J1830,FILTER(J:J,R:R=R1830))"),8.0)</f>
        <v>8</v>
      </c>
      <c r="T1830" s="6">
        <f t="shared" si="6"/>
        <v>4</v>
      </c>
      <c r="U1830" s="6">
        <f t="shared" si="7"/>
        <v>8</v>
      </c>
      <c r="V1830" s="42">
        <f>averageif(AllData!A:A,B1830,AllData!R:R)/vlookup(B1830,AllData!A:O,15,0)</f>
        <v>95.94858974</v>
      </c>
      <c r="W1830" s="6"/>
    </row>
    <row r="1831" ht="14.25" customHeight="1">
      <c r="A1831" s="6" t="str">
        <f t="shared" si="1"/>
        <v>2020Rooney/Jackson2</v>
      </c>
      <c r="B1831" s="59">
        <v>2020.0</v>
      </c>
      <c r="C1831" s="13" t="s">
        <v>57</v>
      </c>
      <c r="D1831" s="13" t="s">
        <v>131</v>
      </c>
      <c r="E1831" s="34"/>
      <c r="F1831" s="6"/>
      <c r="H1831" s="6"/>
      <c r="I1831" s="35" t="str">
        <f>IFERROR(IFERROR(IFERROR(VLOOKUP(B1831&amp;C1831&amp;Q1831,'New Weekly Paste'!A:M,10,0),VLOOKUP(B1831&amp;C1831&amp;Q1831,'New Weekly Paste'!B:O,6,0)),""),"")</f>
        <v>Salty</v>
      </c>
      <c r="J1831" s="239">
        <f>IFERROR(IFERROR(VLOOKUP(B1831&amp;C1831&amp;Q1831,'New Weekly Paste'!A:M,8,0),VLOOKUP(B1831&amp;C1831&amp;Q1831,'New Weekly Paste'!B:O,10,0)),0)</f>
        <v>86.66</v>
      </c>
      <c r="K1831" s="239">
        <f>IFERROR(IFERROR(VLOOKUP(B1831&amp;I1831&amp;Q1831,'New Weekly Paste'!A:M,8,0),VLOOKUP(B1831&amp;I1831&amp;Q1831,'New Weekly Paste'!B:O,10,0)),0)</f>
        <v>106.18</v>
      </c>
      <c r="L1831" s="239">
        <f t="shared" si="25"/>
        <v>0</v>
      </c>
      <c r="M1831" s="36" t="str">
        <f t="shared" si="3"/>
        <v>Regular Season</v>
      </c>
      <c r="N1831" s="239" t="str">
        <f t="shared" si="26"/>
        <v>Salty</v>
      </c>
      <c r="O1831" s="6">
        <f>VLOOKUP(D1831,'Mapped Opponent'!$G$4:$H$22,2,0)</f>
        <v>2</v>
      </c>
      <c r="P1831" s="6"/>
      <c r="Q1831" s="6" t="str">
        <f t="shared" si="4"/>
        <v>Week 2</v>
      </c>
      <c r="R1831" s="6" t="str">
        <f t="shared" si="5"/>
        <v>2020Week 2</v>
      </c>
      <c r="S1831" s="6">
        <f>IFERROR(__xludf.DUMMYFUNCTION("rank(J1831,FILTER(J:J,R:R=R1831))"),10.0)</f>
        <v>10</v>
      </c>
      <c r="T1831" s="6">
        <f t="shared" si="6"/>
        <v>2</v>
      </c>
      <c r="U1831" s="6">
        <f t="shared" si="7"/>
        <v>10</v>
      </c>
      <c r="V1831" s="42">
        <f>averageif(AllData!A:A,B1831,AllData!R:R)/vlookup(B1831,AllData!A:O,15,0)</f>
        <v>95.94858974</v>
      </c>
      <c r="W1831" s="6"/>
    </row>
    <row r="1832" ht="14.25" customHeight="1">
      <c r="A1832" s="6" t="str">
        <f t="shared" si="1"/>
        <v>2020Buser2</v>
      </c>
      <c r="B1832" s="59">
        <v>2020.0</v>
      </c>
      <c r="C1832" s="13" t="s">
        <v>47</v>
      </c>
      <c r="D1832" s="13" t="s">
        <v>131</v>
      </c>
      <c r="E1832" s="34"/>
      <c r="F1832" s="6"/>
      <c r="H1832" s="6"/>
      <c r="I1832" s="35" t="str">
        <f>IFERROR(IFERROR(IFERROR(VLOOKUP(B1832&amp;C1832&amp;Q1832,'New Weekly Paste'!A:M,10,0),VLOOKUP(B1832&amp;C1832&amp;Q1832,'New Weekly Paste'!B:O,6,0)),""),"")</f>
        <v>Hudspeath</v>
      </c>
      <c r="J1832" s="239">
        <f>IFERROR(IFERROR(VLOOKUP(B1832&amp;C1832&amp;Q1832,'New Weekly Paste'!A:M,8,0),VLOOKUP(B1832&amp;C1832&amp;Q1832,'New Weekly Paste'!B:O,10,0)),0)</f>
        <v>123.94</v>
      </c>
      <c r="K1832" s="239">
        <f>IFERROR(IFERROR(VLOOKUP(B1832&amp;I1832&amp;Q1832,'New Weekly Paste'!A:M,8,0),VLOOKUP(B1832&amp;I1832&amp;Q1832,'New Weekly Paste'!B:O,10,0)),0)</f>
        <v>75.18</v>
      </c>
      <c r="L1832" s="239">
        <f t="shared" si="25"/>
        <v>1</v>
      </c>
      <c r="M1832" s="36" t="str">
        <f t="shared" si="3"/>
        <v>Regular Season</v>
      </c>
      <c r="N1832" s="239" t="str">
        <f t="shared" si="26"/>
        <v>Hudspeath</v>
      </c>
      <c r="O1832" s="6">
        <f>VLOOKUP(D1832,'Mapped Opponent'!$G$4:$H$22,2,0)</f>
        <v>2</v>
      </c>
      <c r="P1832" s="6"/>
      <c r="Q1832" s="6" t="str">
        <f t="shared" si="4"/>
        <v>Week 2</v>
      </c>
      <c r="R1832" s="6" t="str">
        <f t="shared" si="5"/>
        <v>2020Week 2</v>
      </c>
      <c r="S1832" s="6">
        <f>IFERROR(__xludf.DUMMYFUNCTION("rank(J1832,FILTER(J:J,R:R=R1832))"),2.0)</f>
        <v>2</v>
      </c>
      <c r="T1832" s="6">
        <f t="shared" si="6"/>
        <v>10</v>
      </c>
      <c r="U1832" s="6">
        <f t="shared" si="7"/>
        <v>2</v>
      </c>
      <c r="V1832" s="42">
        <f>averageif(AllData!A:A,B1832,AllData!R:R)/vlookup(B1832,AllData!A:O,15,0)</f>
        <v>95.94858974</v>
      </c>
      <c r="W1832" s="6"/>
    </row>
    <row r="1833" ht="14.25" customHeight="1">
      <c r="A1833" s="6" t="str">
        <f t="shared" si="1"/>
        <v>2020Pierson2</v>
      </c>
      <c r="B1833" s="59">
        <v>2020.0</v>
      </c>
      <c r="C1833" s="13" t="s">
        <v>92</v>
      </c>
      <c r="D1833" s="13" t="s">
        <v>131</v>
      </c>
      <c r="E1833" s="34"/>
      <c r="F1833" s="6"/>
      <c r="H1833" s="6"/>
      <c r="I1833" s="35" t="str">
        <f>IFERROR(IFERROR(IFERROR(VLOOKUP(B1833&amp;C1833&amp;Q1833,'New Weekly Paste'!A:M,10,0),VLOOKUP(B1833&amp;C1833&amp;Q1833,'New Weekly Paste'!B:O,6,0)),""),"")</f>
        <v>Shep</v>
      </c>
      <c r="J1833" s="239">
        <f>IFERROR(IFERROR(VLOOKUP(B1833&amp;C1833&amp;Q1833,'New Weekly Paste'!A:M,8,0),VLOOKUP(B1833&amp;C1833&amp;Q1833,'New Weekly Paste'!B:O,10,0)),0)</f>
        <v>95.06</v>
      </c>
      <c r="K1833" s="239">
        <f>IFERROR(IFERROR(VLOOKUP(B1833&amp;I1833&amp;Q1833,'New Weekly Paste'!A:M,8,0),VLOOKUP(B1833&amp;I1833&amp;Q1833,'New Weekly Paste'!B:O,10,0)),0)</f>
        <v>83.5</v>
      </c>
      <c r="L1833" s="239">
        <f t="shared" si="25"/>
        <v>1</v>
      </c>
      <c r="M1833" s="36" t="str">
        <f t="shared" si="3"/>
        <v>Regular Season</v>
      </c>
      <c r="N1833" s="239" t="str">
        <f t="shared" si="26"/>
        <v>Shep</v>
      </c>
      <c r="O1833" s="6">
        <f>VLOOKUP(D1833,'Mapped Opponent'!$G$4:$H$22,2,0)</f>
        <v>2</v>
      </c>
      <c r="P1833" s="6"/>
      <c r="Q1833" s="6" t="str">
        <f t="shared" si="4"/>
        <v>Week 2</v>
      </c>
      <c r="R1833" s="6" t="str">
        <f t="shared" si="5"/>
        <v>2020Week 2</v>
      </c>
      <c r="S1833" s="6">
        <f>IFERROR(__xludf.DUMMYFUNCTION("rank(J1833,FILTER(J:J,R:R=R1833))"),9.0)</f>
        <v>9</v>
      </c>
      <c r="T1833" s="6">
        <f t="shared" si="6"/>
        <v>3</v>
      </c>
      <c r="U1833" s="6">
        <f t="shared" si="7"/>
        <v>9</v>
      </c>
      <c r="V1833" s="42">
        <f>averageif(AllData!A:A,B1833,AllData!R:R)/vlookup(B1833,AllData!A:O,15,0)</f>
        <v>95.94858974</v>
      </c>
      <c r="W1833" s="6"/>
    </row>
    <row r="1834" ht="14.25" customHeight="1">
      <c r="A1834" s="6" t="str">
        <f t="shared" si="1"/>
        <v>2020Cock2</v>
      </c>
      <c r="B1834" s="59">
        <v>2020.0</v>
      </c>
      <c r="C1834" s="13" t="s">
        <v>72</v>
      </c>
      <c r="D1834" s="13" t="s">
        <v>131</v>
      </c>
      <c r="E1834" s="34"/>
      <c r="F1834" s="6"/>
      <c r="H1834" s="6"/>
      <c r="I1834" s="35" t="str">
        <f>IFERROR(IFERROR(IFERROR(VLOOKUP(B1834&amp;C1834&amp;Q1834,'New Weekly Paste'!A:M,10,0),VLOOKUP(B1834&amp;C1834&amp;Q1834,'New Weekly Paste'!B:O,6,0)),""),"")</f>
        <v>KnardDawg</v>
      </c>
      <c r="J1834" s="239">
        <f>IFERROR(IFERROR(VLOOKUP(B1834&amp;C1834&amp;Q1834,'New Weekly Paste'!A:M,8,0),VLOOKUP(B1834&amp;C1834&amp;Q1834,'New Weekly Paste'!B:O,10,0)),0)</f>
        <v>120.2</v>
      </c>
      <c r="K1834" s="239">
        <f>IFERROR(IFERROR(VLOOKUP(B1834&amp;I1834&amp;Q1834,'New Weekly Paste'!A:M,8,0),VLOOKUP(B1834&amp;I1834&amp;Q1834,'New Weekly Paste'!B:O,10,0)),0)</f>
        <v>120.7</v>
      </c>
      <c r="L1834" s="239">
        <f t="shared" si="25"/>
        <v>0</v>
      </c>
      <c r="M1834" s="36" t="str">
        <f t="shared" si="3"/>
        <v>Regular Season</v>
      </c>
      <c r="N1834" s="239" t="str">
        <f t="shared" si="26"/>
        <v>KnardDawg</v>
      </c>
      <c r="O1834" s="6">
        <f>VLOOKUP(D1834,'Mapped Opponent'!$G$4:$H$22,2,0)</f>
        <v>2</v>
      </c>
      <c r="P1834" s="6"/>
      <c r="Q1834" s="6" t="str">
        <f t="shared" si="4"/>
        <v>Week 2</v>
      </c>
      <c r="R1834" s="6" t="str">
        <f t="shared" si="5"/>
        <v>2020Week 2</v>
      </c>
      <c r="S1834" s="6">
        <f>IFERROR(__xludf.DUMMYFUNCTION("rank(J1834,FILTER(J:J,R:R=R1834))"),5.0)</f>
        <v>5</v>
      </c>
      <c r="T1834" s="6">
        <f t="shared" si="6"/>
        <v>7</v>
      </c>
      <c r="U1834" s="6">
        <f t="shared" si="7"/>
        <v>5</v>
      </c>
      <c r="V1834" s="42">
        <f>averageif(AllData!A:A,B1834,AllData!R:R)/vlookup(B1834,AllData!A:O,15,0)</f>
        <v>95.94858974</v>
      </c>
      <c r="W1834" s="6"/>
    </row>
    <row r="1835" ht="14.25" customHeight="1">
      <c r="A1835" s="6" t="str">
        <f t="shared" si="1"/>
        <v>2020Tayski2</v>
      </c>
      <c r="B1835" s="59">
        <v>2020.0</v>
      </c>
      <c r="C1835" s="13" t="s">
        <v>52</v>
      </c>
      <c r="D1835" s="13" t="s">
        <v>131</v>
      </c>
      <c r="E1835" s="34"/>
      <c r="F1835" s="6"/>
      <c r="H1835" s="6"/>
      <c r="I1835" s="35" t="str">
        <f>IFERROR(IFERROR(IFERROR(VLOOKUP(B1835&amp;C1835&amp;Q1835,'New Weekly Paste'!A:M,10,0),VLOOKUP(B1835&amp;C1835&amp;Q1835,'New Weekly Paste'!B:O,6,0)),""),"")</f>
        <v>T-How</v>
      </c>
      <c r="J1835" s="239">
        <f>IFERROR(IFERROR(VLOOKUP(B1835&amp;C1835&amp;Q1835,'New Weekly Paste'!A:M,8,0),VLOOKUP(B1835&amp;C1835&amp;Q1835,'New Weekly Paste'!B:O,10,0)),0)</f>
        <v>150.1</v>
      </c>
      <c r="K1835" s="239">
        <f>IFERROR(IFERROR(VLOOKUP(B1835&amp;I1835&amp;Q1835,'New Weekly Paste'!A:M,8,0),VLOOKUP(B1835&amp;I1835&amp;Q1835,'New Weekly Paste'!B:O,10,0)),0)</f>
        <v>119.62</v>
      </c>
      <c r="L1835" s="239">
        <f t="shared" si="25"/>
        <v>1</v>
      </c>
      <c r="M1835" s="36" t="str">
        <f t="shared" si="3"/>
        <v>Regular Season</v>
      </c>
      <c r="N1835" s="239" t="str">
        <f t="shared" si="26"/>
        <v>T-How</v>
      </c>
      <c r="O1835" s="6">
        <f>VLOOKUP(D1835,'Mapped Opponent'!$G$4:$H$22,2,0)</f>
        <v>2</v>
      </c>
      <c r="P1835" s="6"/>
      <c r="Q1835" s="6" t="str">
        <f t="shared" si="4"/>
        <v>Week 2</v>
      </c>
      <c r="R1835" s="6" t="str">
        <f t="shared" si="5"/>
        <v>2020Week 2</v>
      </c>
      <c r="S1835" s="6">
        <f>IFERROR(__xludf.DUMMYFUNCTION("rank(J1835,FILTER(J:J,R:R=R1835))"),1.0)</f>
        <v>1</v>
      </c>
      <c r="T1835" s="6">
        <f t="shared" si="6"/>
        <v>11</v>
      </c>
      <c r="U1835" s="6">
        <f t="shared" si="7"/>
        <v>1</v>
      </c>
      <c r="V1835" s="42">
        <f>averageif(AllData!A:A,B1835,AllData!R:R)/vlookup(B1835,AllData!A:O,15,0)</f>
        <v>95.94858974</v>
      </c>
      <c r="W1835" s="6"/>
    </row>
    <row r="1836" ht="14.25" customHeight="1">
      <c r="A1836" s="6" t="str">
        <f t="shared" si="1"/>
        <v>2020KnardDawg2</v>
      </c>
      <c r="B1836" s="59">
        <v>2020.0</v>
      </c>
      <c r="C1836" s="13" t="s">
        <v>86</v>
      </c>
      <c r="D1836" s="13" t="s">
        <v>131</v>
      </c>
      <c r="E1836" s="34"/>
      <c r="F1836" s="6"/>
      <c r="H1836" s="6"/>
      <c r="I1836" s="35" t="str">
        <f>IFERROR(IFERROR(IFERROR(VLOOKUP(B1836&amp;C1836&amp;Q1836,'New Weekly Paste'!A:M,10,0),VLOOKUP(B1836&amp;C1836&amp;Q1836,'New Weekly Paste'!B:O,6,0)),""),"")</f>
        <v>Cock</v>
      </c>
      <c r="J1836" s="239">
        <f>IFERROR(IFERROR(VLOOKUP(B1836&amp;C1836&amp;Q1836,'New Weekly Paste'!A:M,8,0),VLOOKUP(B1836&amp;C1836&amp;Q1836,'New Weekly Paste'!B:O,10,0)),0)</f>
        <v>120.7</v>
      </c>
      <c r="K1836" s="239">
        <f>IFERROR(IFERROR(VLOOKUP(B1836&amp;I1836&amp;Q1836,'New Weekly Paste'!A:M,8,0),VLOOKUP(B1836&amp;I1836&amp;Q1836,'New Weekly Paste'!B:O,10,0)),0)</f>
        <v>120.2</v>
      </c>
      <c r="L1836" s="239">
        <f t="shared" si="25"/>
        <v>1</v>
      </c>
      <c r="M1836" s="36" t="str">
        <f t="shared" si="3"/>
        <v>Regular Season</v>
      </c>
      <c r="N1836" s="239" t="str">
        <f t="shared" si="26"/>
        <v>Cock</v>
      </c>
      <c r="O1836" s="6">
        <f>VLOOKUP(D1836,'Mapped Opponent'!$G$4:$H$22,2,0)</f>
        <v>2</v>
      </c>
      <c r="P1836" s="6"/>
      <c r="Q1836" s="6" t="str">
        <f t="shared" si="4"/>
        <v>Week 2</v>
      </c>
      <c r="R1836" s="6" t="str">
        <f t="shared" si="5"/>
        <v>2020Week 2</v>
      </c>
      <c r="S1836" s="6">
        <f>IFERROR(__xludf.DUMMYFUNCTION("rank(J1836,FILTER(J:J,R:R=R1836))"),4.0)</f>
        <v>4</v>
      </c>
      <c r="T1836" s="6">
        <f t="shared" si="6"/>
        <v>8</v>
      </c>
      <c r="U1836" s="6">
        <f t="shared" si="7"/>
        <v>4</v>
      </c>
      <c r="V1836" s="42">
        <f>averageif(AllData!A:A,B1836,AllData!R:R)/vlookup(B1836,AllData!A:O,15,0)</f>
        <v>95.94858974</v>
      </c>
      <c r="W1836" s="6"/>
    </row>
    <row r="1837" ht="14.25" customHeight="1">
      <c r="A1837" s="6" t="str">
        <f t="shared" si="1"/>
        <v>2020T-How2</v>
      </c>
      <c r="B1837" s="59">
        <v>2020.0</v>
      </c>
      <c r="C1837" s="13" t="s">
        <v>82</v>
      </c>
      <c r="D1837" s="13" t="s">
        <v>131</v>
      </c>
      <c r="E1837" s="34"/>
      <c r="F1837" s="6"/>
      <c r="H1837" s="6"/>
      <c r="I1837" s="35" t="str">
        <f>IFERROR(IFERROR(IFERROR(VLOOKUP(B1837&amp;C1837&amp;Q1837,'New Weekly Paste'!A:M,10,0),VLOOKUP(B1837&amp;C1837&amp;Q1837,'New Weekly Paste'!B:O,6,0)),""),"")</f>
        <v>Tayski</v>
      </c>
      <c r="J1837" s="239">
        <f>IFERROR(IFERROR(VLOOKUP(B1837&amp;C1837&amp;Q1837,'New Weekly Paste'!A:M,8,0),VLOOKUP(B1837&amp;C1837&amp;Q1837,'New Weekly Paste'!B:O,10,0)),0)</f>
        <v>119.62</v>
      </c>
      <c r="K1837" s="239">
        <f>IFERROR(IFERROR(VLOOKUP(B1837&amp;I1837&amp;Q1837,'New Weekly Paste'!A:M,8,0),VLOOKUP(B1837&amp;I1837&amp;Q1837,'New Weekly Paste'!B:O,10,0)),0)</f>
        <v>150.1</v>
      </c>
      <c r="L1837" s="239">
        <f t="shared" si="25"/>
        <v>0</v>
      </c>
      <c r="M1837" s="36" t="str">
        <f t="shared" si="3"/>
        <v>Regular Season</v>
      </c>
      <c r="N1837" s="239" t="str">
        <f t="shared" si="26"/>
        <v>Tayski</v>
      </c>
      <c r="O1837" s="6">
        <f>VLOOKUP(D1837,'Mapped Opponent'!$G$4:$H$22,2,0)</f>
        <v>2</v>
      </c>
      <c r="P1837" s="6"/>
      <c r="Q1837" s="6" t="str">
        <f t="shared" si="4"/>
        <v>Week 2</v>
      </c>
      <c r="R1837" s="6" t="str">
        <f t="shared" si="5"/>
        <v>2020Week 2</v>
      </c>
      <c r="S1837" s="6">
        <f>IFERROR(__xludf.DUMMYFUNCTION("rank(J1837,FILTER(J:J,R:R=R1837))"),6.0)</f>
        <v>6</v>
      </c>
      <c r="T1837" s="6">
        <f t="shared" si="6"/>
        <v>6</v>
      </c>
      <c r="U1837" s="6">
        <f t="shared" si="7"/>
        <v>6</v>
      </c>
      <c r="V1837" s="42">
        <f>averageif(AllData!A:A,B1837,AllData!R:R)/vlookup(B1837,AllData!A:O,15,0)</f>
        <v>95.94858974</v>
      </c>
      <c r="W1837" s="6"/>
    </row>
    <row r="1838" ht="14.25" customHeight="1">
      <c r="A1838" s="6" t="str">
        <f t="shared" si="1"/>
        <v>2020Hudspeath3</v>
      </c>
      <c r="B1838" s="59">
        <v>2020.0</v>
      </c>
      <c r="C1838" s="13" t="s">
        <v>39</v>
      </c>
      <c r="D1838" s="13" t="s">
        <v>135</v>
      </c>
      <c r="E1838" s="34"/>
      <c r="F1838" s="6"/>
      <c r="H1838" s="6"/>
      <c r="I1838" s="35" t="str">
        <f>IFERROR(IFERROR(IFERROR(VLOOKUP(B1838&amp;C1838&amp;Q1838,'New Weekly Paste'!A:M,10,0),VLOOKUP(B1838&amp;C1838&amp;Q1838,'New Weekly Paste'!B:O,6,0)),""),"")</f>
        <v>Rooney/Jackson</v>
      </c>
      <c r="J1838" s="239">
        <f>IFERROR(IFERROR(VLOOKUP(B1838&amp;C1838&amp;Q1838,'New Weekly Paste'!A:M,8,0),VLOOKUP(B1838&amp;C1838&amp;Q1838,'New Weekly Paste'!B:O,10,0)),0)</f>
        <v>67.68</v>
      </c>
      <c r="K1838" s="239">
        <f>IFERROR(IFERROR(VLOOKUP(B1838&amp;I1838&amp;Q1838,'New Weekly Paste'!A:M,8,0),VLOOKUP(B1838&amp;I1838&amp;Q1838,'New Weekly Paste'!B:O,10,0)),0)</f>
        <v>75.1</v>
      </c>
      <c r="L1838" s="239">
        <f t="shared" si="25"/>
        <v>0</v>
      </c>
      <c r="M1838" s="36" t="str">
        <f t="shared" si="3"/>
        <v>Regular Season</v>
      </c>
      <c r="N1838" s="239" t="str">
        <f t="shared" si="26"/>
        <v>Rooney/Jackson</v>
      </c>
      <c r="O1838" s="6">
        <f>VLOOKUP(D1838,'Mapped Opponent'!$G$4:$H$22,2,0)</f>
        <v>3</v>
      </c>
      <c r="P1838" s="6"/>
      <c r="Q1838" s="6" t="str">
        <f t="shared" si="4"/>
        <v>Week 3</v>
      </c>
      <c r="R1838" s="6" t="str">
        <f t="shared" si="5"/>
        <v>2020Week 3</v>
      </c>
      <c r="S1838" s="6">
        <f>IFERROR(__xludf.DUMMYFUNCTION("rank(J1838,FILTER(J:J,R:R=R1838))"),12.0)</f>
        <v>12</v>
      </c>
      <c r="T1838" s="6">
        <f t="shared" si="6"/>
        <v>0</v>
      </c>
      <c r="U1838" s="6">
        <f t="shared" si="7"/>
        <v>12</v>
      </c>
      <c r="V1838" s="42">
        <f>averageif(AllData!A:A,B1838,AllData!R:R)/vlookup(B1838,AllData!A:O,15,0)</f>
        <v>95.94858974</v>
      </c>
      <c r="W1838" s="6"/>
    </row>
    <row r="1839" ht="14.25" customHeight="1">
      <c r="A1839" s="6" t="str">
        <f t="shared" si="1"/>
        <v>2020Salty3</v>
      </c>
      <c r="B1839" s="59">
        <v>2020.0</v>
      </c>
      <c r="C1839" s="13" t="s">
        <v>76</v>
      </c>
      <c r="D1839" s="13" t="s">
        <v>135</v>
      </c>
      <c r="E1839" s="34"/>
      <c r="F1839" s="6"/>
      <c r="H1839" s="6"/>
      <c r="I1839" s="35" t="str">
        <f>IFERROR(IFERROR(IFERROR(VLOOKUP(B1839&amp;C1839&amp;Q1839,'New Weekly Paste'!A:M,10,0),VLOOKUP(B1839&amp;C1839&amp;Q1839,'New Weekly Paste'!B:O,6,0)),""),"")</f>
        <v>Riley</v>
      </c>
      <c r="J1839" s="239">
        <f>IFERROR(IFERROR(VLOOKUP(B1839&amp;C1839&amp;Q1839,'New Weekly Paste'!A:M,8,0),VLOOKUP(B1839&amp;C1839&amp;Q1839,'New Weekly Paste'!B:O,10,0)),0)</f>
        <v>135.1</v>
      </c>
      <c r="K1839" s="239">
        <f>IFERROR(IFERROR(VLOOKUP(B1839&amp;I1839&amp;Q1839,'New Weekly Paste'!A:M,8,0),VLOOKUP(B1839&amp;I1839&amp;Q1839,'New Weekly Paste'!B:O,10,0)),0)</f>
        <v>107.9</v>
      </c>
      <c r="L1839" s="239">
        <f t="shared" si="25"/>
        <v>1</v>
      </c>
      <c r="M1839" s="36" t="str">
        <f t="shared" si="3"/>
        <v>Regular Season</v>
      </c>
      <c r="N1839" s="239" t="str">
        <f t="shared" si="26"/>
        <v>Riley</v>
      </c>
      <c r="O1839" s="6">
        <f>VLOOKUP(D1839,'Mapped Opponent'!$G$4:$H$22,2,0)</f>
        <v>3</v>
      </c>
      <c r="P1839" s="6"/>
      <c r="Q1839" s="6" t="str">
        <f t="shared" si="4"/>
        <v>Week 3</v>
      </c>
      <c r="R1839" s="6" t="str">
        <f t="shared" si="5"/>
        <v>2020Week 3</v>
      </c>
      <c r="S1839" s="6">
        <f>IFERROR(__xludf.DUMMYFUNCTION("rank(J1839,FILTER(J:J,R:R=R1839))"),1.0)</f>
        <v>1</v>
      </c>
      <c r="T1839" s="6">
        <f t="shared" si="6"/>
        <v>11</v>
      </c>
      <c r="U1839" s="6">
        <f t="shared" si="7"/>
        <v>1</v>
      </c>
      <c r="V1839" s="42">
        <f>averageif(AllData!A:A,B1839,AllData!R:R)/vlookup(B1839,AllData!A:O,15,0)</f>
        <v>95.94858974</v>
      </c>
      <c r="W1839" s="6"/>
    </row>
    <row r="1840" ht="14.25" customHeight="1">
      <c r="A1840" s="6" t="str">
        <f t="shared" si="1"/>
        <v>2020Fellows3</v>
      </c>
      <c r="B1840" s="59">
        <v>2020.0</v>
      </c>
      <c r="C1840" s="13" t="s">
        <v>79</v>
      </c>
      <c r="D1840" s="13" t="s">
        <v>135</v>
      </c>
      <c r="E1840" s="34"/>
      <c r="F1840" s="6"/>
      <c r="H1840" s="6"/>
      <c r="I1840" s="35" t="str">
        <f>IFERROR(IFERROR(IFERROR(VLOOKUP(B1840&amp;C1840&amp;Q1840,'New Weekly Paste'!A:M,10,0),VLOOKUP(B1840&amp;C1840&amp;Q1840,'New Weekly Paste'!B:O,6,0)),""),"")</f>
        <v>Cock</v>
      </c>
      <c r="J1840" s="239">
        <f>IFERROR(IFERROR(VLOOKUP(B1840&amp;C1840&amp;Q1840,'New Weekly Paste'!A:M,8,0),VLOOKUP(B1840&amp;C1840&amp;Q1840,'New Weekly Paste'!B:O,10,0)),0)</f>
        <v>105.48</v>
      </c>
      <c r="K1840" s="239">
        <f>IFERROR(IFERROR(VLOOKUP(B1840&amp;I1840&amp;Q1840,'New Weekly Paste'!A:M,8,0),VLOOKUP(B1840&amp;I1840&amp;Q1840,'New Weekly Paste'!B:O,10,0)),0)</f>
        <v>99.48</v>
      </c>
      <c r="L1840" s="239">
        <f t="shared" si="25"/>
        <v>1</v>
      </c>
      <c r="M1840" s="36" t="str">
        <f t="shared" si="3"/>
        <v>Regular Season</v>
      </c>
      <c r="N1840" s="239" t="str">
        <f t="shared" si="26"/>
        <v>Cock</v>
      </c>
      <c r="O1840" s="6">
        <f>VLOOKUP(D1840,'Mapped Opponent'!$G$4:$H$22,2,0)</f>
        <v>3</v>
      </c>
      <c r="P1840" s="6"/>
      <c r="Q1840" s="6" t="str">
        <f t="shared" si="4"/>
        <v>Week 3</v>
      </c>
      <c r="R1840" s="6" t="str">
        <f t="shared" si="5"/>
        <v>2020Week 3</v>
      </c>
      <c r="S1840" s="6">
        <f>IFERROR(__xludf.DUMMYFUNCTION("rank(J1840,FILTER(J:J,R:R=R1840))"),7.0)</f>
        <v>7</v>
      </c>
      <c r="T1840" s="6">
        <f t="shared" si="6"/>
        <v>5</v>
      </c>
      <c r="U1840" s="6">
        <f t="shared" si="7"/>
        <v>7</v>
      </c>
      <c r="V1840" s="42">
        <f>averageif(AllData!A:A,B1840,AllData!R:R)/vlookup(B1840,AllData!A:O,15,0)</f>
        <v>95.94858974</v>
      </c>
      <c r="W1840" s="6"/>
    </row>
    <row r="1841" ht="14.25" customHeight="1">
      <c r="A1841" s="6" t="str">
        <f t="shared" si="1"/>
        <v>2020Shep3</v>
      </c>
      <c r="B1841" s="59">
        <v>2020.0</v>
      </c>
      <c r="C1841" s="13" t="s">
        <v>89</v>
      </c>
      <c r="D1841" s="13" t="s">
        <v>135</v>
      </c>
      <c r="E1841" s="34"/>
      <c r="F1841" s="6"/>
      <c r="H1841" s="6"/>
      <c r="I1841" s="35" t="str">
        <f>IFERROR(IFERROR(IFERROR(VLOOKUP(B1841&amp;C1841&amp;Q1841,'New Weekly Paste'!A:M,10,0),VLOOKUP(B1841&amp;C1841&amp;Q1841,'New Weekly Paste'!B:O,6,0)),""),"")</f>
        <v>KnardDawg</v>
      </c>
      <c r="J1841" s="239">
        <f>IFERROR(IFERROR(VLOOKUP(B1841&amp;C1841&amp;Q1841,'New Weekly Paste'!A:M,8,0),VLOOKUP(B1841&amp;C1841&amp;Q1841,'New Weekly Paste'!B:O,10,0)),0)</f>
        <v>100.42</v>
      </c>
      <c r="K1841" s="239">
        <f>IFERROR(IFERROR(VLOOKUP(B1841&amp;I1841&amp;Q1841,'New Weekly Paste'!A:M,8,0),VLOOKUP(B1841&amp;I1841&amp;Q1841,'New Weekly Paste'!B:O,10,0)),0)</f>
        <v>118.06</v>
      </c>
      <c r="L1841" s="239">
        <f t="shared" si="25"/>
        <v>0</v>
      </c>
      <c r="M1841" s="36" t="str">
        <f t="shared" si="3"/>
        <v>Regular Season</v>
      </c>
      <c r="N1841" s="239" t="str">
        <f t="shared" si="26"/>
        <v>KnardDawg</v>
      </c>
      <c r="O1841" s="6">
        <f>VLOOKUP(D1841,'Mapped Opponent'!$G$4:$H$22,2,0)</f>
        <v>3</v>
      </c>
      <c r="P1841" s="6"/>
      <c r="Q1841" s="6" t="str">
        <f t="shared" si="4"/>
        <v>Week 3</v>
      </c>
      <c r="R1841" s="6" t="str">
        <f t="shared" si="5"/>
        <v>2020Week 3</v>
      </c>
      <c r="S1841" s="6">
        <f>IFERROR(__xludf.DUMMYFUNCTION("rank(J1841,FILTER(J:J,R:R=R1841))"),9.0)</f>
        <v>9</v>
      </c>
      <c r="T1841" s="6">
        <f t="shared" si="6"/>
        <v>3</v>
      </c>
      <c r="U1841" s="6">
        <f t="shared" si="7"/>
        <v>9</v>
      </c>
      <c r="V1841" s="42">
        <f>averageif(AllData!A:A,B1841,AllData!R:R)/vlookup(B1841,AllData!A:O,15,0)</f>
        <v>95.94858974</v>
      </c>
      <c r="W1841" s="6"/>
    </row>
    <row r="1842" ht="14.25" customHeight="1">
      <c r="A1842" s="6" t="str">
        <f t="shared" si="1"/>
        <v>2020Riley3</v>
      </c>
      <c r="B1842" s="59">
        <v>2020.0</v>
      </c>
      <c r="C1842" s="13" t="s">
        <v>67</v>
      </c>
      <c r="D1842" s="13" t="s">
        <v>135</v>
      </c>
      <c r="E1842" s="34"/>
      <c r="F1842" s="6"/>
      <c r="H1842" s="6"/>
      <c r="I1842" s="35" t="str">
        <f>IFERROR(IFERROR(IFERROR(VLOOKUP(B1842&amp;C1842&amp;Q1842,'New Weekly Paste'!A:M,10,0),VLOOKUP(B1842&amp;C1842&amp;Q1842,'New Weekly Paste'!B:O,6,0)),""),"")</f>
        <v>Salty</v>
      </c>
      <c r="J1842" s="239">
        <f>IFERROR(IFERROR(VLOOKUP(B1842&amp;C1842&amp;Q1842,'New Weekly Paste'!A:M,8,0),VLOOKUP(B1842&amp;C1842&amp;Q1842,'New Weekly Paste'!B:O,10,0)),0)</f>
        <v>107.9</v>
      </c>
      <c r="K1842" s="239">
        <f>IFERROR(IFERROR(VLOOKUP(B1842&amp;I1842&amp;Q1842,'New Weekly Paste'!A:M,8,0),VLOOKUP(B1842&amp;I1842&amp;Q1842,'New Weekly Paste'!B:O,10,0)),0)</f>
        <v>135.1</v>
      </c>
      <c r="L1842" s="239">
        <f t="shared" si="25"/>
        <v>0</v>
      </c>
      <c r="M1842" s="36" t="str">
        <f t="shared" si="3"/>
        <v>Regular Season</v>
      </c>
      <c r="N1842" s="239" t="str">
        <f t="shared" si="26"/>
        <v>Salty</v>
      </c>
      <c r="O1842" s="6">
        <f>VLOOKUP(D1842,'Mapped Opponent'!$G$4:$H$22,2,0)</f>
        <v>3</v>
      </c>
      <c r="P1842" s="6"/>
      <c r="Q1842" s="6" t="str">
        <f t="shared" si="4"/>
        <v>Week 3</v>
      </c>
      <c r="R1842" s="6" t="str">
        <f t="shared" si="5"/>
        <v>2020Week 3</v>
      </c>
      <c r="S1842" s="6">
        <f>IFERROR(__xludf.DUMMYFUNCTION("rank(J1842,FILTER(J:J,R:R=R1842))"),6.0)</f>
        <v>6</v>
      </c>
      <c r="T1842" s="6">
        <f t="shared" si="6"/>
        <v>6</v>
      </c>
      <c r="U1842" s="6">
        <f t="shared" si="7"/>
        <v>6</v>
      </c>
      <c r="V1842" s="42">
        <f>averageif(AllData!A:A,B1842,AllData!R:R)/vlookup(B1842,AllData!A:O,15,0)</f>
        <v>95.94858974</v>
      </c>
      <c r="W1842" s="6"/>
    </row>
    <row r="1843" ht="14.25" customHeight="1">
      <c r="A1843" s="6" t="str">
        <f t="shared" si="1"/>
        <v>2020Rooney/Jackson3</v>
      </c>
      <c r="B1843" s="59">
        <v>2020.0</v>
      </c>
      <c r="C1843" s="13" t="s">
        <v>57</v>
      </c>
      <c r="D1843" s="13" t="s">
        <v>135</v>
      </c>
      <c r="E1843" s="34"/>
      <c r="F1843" s="6"/>
      <c r="H1843" s="6"/>
      <c r="I1843" s="35" t="str">
        <f>IFERROR(IFERROR(IFERROR(VLOOKUP(B1843&amp;C1843&amp;Q1843,'New Weekly Paste'!A:M,10,0),VLOOKUP(B1843&amp;C1843&amp;Q1843,'New Weekly Paste'!B:O,6,0)),""),"")</f>
        <v>Hudspeath</v>
      </c>
      <c r="J1843" s="239">
        <f>IFERROR(IFERROR(VLOOKUP(B1843&amp;C1843&amp;Q1843,'New Weekly Paste'!A:M,8,0),VLOOKUP(B1843&amp;C1843&amp;Q1843,'New Weekly Paste'!B:O,10,0)),0)</f>
        <v>75.1</v>
      </c>
      <c r="K1843" s="239">
        <f>IFERROR(IFERROR(VLOOKUP(B1843&amp;I1843&amp;Q1843,'New Weekly Paste'!A:M,8,0),VLOOKUP(B1843&amp;I1843&amp;Q1843,'New Weekly Paste'!B:O,10,0)),0)</f>
        <v>67.68</v>
      </c>
      <c r="L1843" s="239">
        <f t="shared" si="25"/>
        <v>1</v>
      </c>
      <c r="M1843" s="36" t="str">
        <f t="shared" si="3"/>
        <v>Regular Season</v>
      </c>
      <c r="N1843" s="239" t="str">
        <f t="shared" si="26"/>
        <v>Hudspeath</v>
      </c>
      <c r="O1843" s="6">
        <f>VLOOKUP(D1843,'Mapped Opponent'!$G$4:$H$22,2,0)</f>
        <v>3</v>
      </c>
      <c r="P1843" s="6"/>
      <c r="Q1843" s="6" t="str">
        <f t="shared" si="4"/>
        <v>Week 3</v>
      </c>
      <c r="R1843" s="6" t="str">
        <f t="shared" si="5"/>
        <v>2020Week 3</v>
      </c>
      <c r="S1843" s="6">
        <f>IFERROR(__xludf.DUMMYFUNCTION("rank(J1843,FILTER(J:J,R:R=R1843))"),11.0)</f>
        <v>11</v>
      </c>
      <c r="T1843" s="6">
        <f t="shared" si="6"/>
        <v>1</v>
      </c>
      <c r="U1843" s="6">
        <f t="shared" si="7"/>
        <v>11</v>
      </c>
      <c r="V1843" s="42">
        <f>averageif(AllData!A:A,B1843,AllData!R:R)/vlookup(B1843,AllData!A:O,15,0)</f>
        <v>95.94858974</v>
      </c>
      <c r="W1843" s="6"/>
    </row>
    <row r="1844" ht="14.25" customHeight="1">
      <c r="A1844" s="6" t="str">
        <f t="shared" si="1"/>
        <v>2020Buser3</v>
      </c>
      <c r="B1844" s="59">
        <v>2020.0</v>
      </c>
      <c r="C1844" s="13" t="s">
        <v>47</v>
      </c>
      <c r="D1844" s="13" t="s">
        <v>135</v>
      </c>
      <c r="E1844" s="34"/>
      <c r="F1844" s="6"/>
      <c r="H1844" s="6"/>
      <c r="I1844" s="35" t="str">
        <f>IFERROR(IFERROR(IFERROR(VLOOKUP(B1844&amp;C1844&amp;Q1844,'New Weekly Paste'!A:M,10,0),VLOOKUP(B1844&amp;C1844&amp;Q1844,'New Weekly Paste'!B:O,6,0)),""),"")</f>
        <v>Tayski</v>
      </c>
      <c r="J1844" s="239">
        <f>IFERROR(IFERROR(VLOOKUP(B1844&amp;C1844&amp;Q1844,'New Weekly Paste'!A:M,8,0),VLOOKUP(B1844&amp;C1844&amp;Q1844,'New Weekly Paste'!B:O,10,0)),0)</f>
        <v>127</v>
      </c>
      <c r="K1844" s="239">
        <f>IFERROR(IFERROR(VLOOKUP(B1844&amp;I1844&amp;Q1844,'New Weekly Paste'!A:M,8,0),VLOOKUP(B1844&amp;I1844&amp;Q1844,'New Weekly Paste'!B:O,10,0)),0)</f>
        <v>120.84</v>
      </c>
      <c r="L1844" s="239">
        <f t="shared" si="25"/>
        <v>1</v>
      </c>
      <c r="M1844" s="36" t="str">
        <f t="shared" si="3"/>
        <v>Regular Season</v>
      </c>
      <c r="N1844" s="239" t="str">
        <f t="shared" si="26"/>
        <v>Tayski</v>
      </c>
      <c r="O1844" s="6">
        <f>VLOOKUP(D1844,'Mapped Opponent'!$G$4:$H$22,2,0)</f>
        <v>3</v>
      </c>
      <c r="P1844" s="6"/>
      <c r="Q1844" s="6" t="str">
        <f t="shared" si="4"/>
        <v>Week 3</v>
      </c>
      <c r="R1844" s="6" t="str">
        <f t="shared" si="5"/>
        <v>2020Week 3</v>
      </c>
      <c r="S1844" s="6">
        <f>IFERROR(__xludf.DUMMYFUNCTION("rank(J1844,FILTER(J:J,R:R=R1844))"),2.0)</f>
        <v>2</v>
      </c>
      <c r="T1844" s="6">
        <f t="shared" si="6"/>
        <v>10</v>
      </c>
      <c r="U1844" s="6">
        <f t="shared" si="7"/>
        <v>2</v>
      </c>
      <c r="V1844" s="42">
        <f>averageif(AllData!A:A,B1844,AllData!R:R)/vlookup(B1844,AllData!A:O,15,0)</f>
        <v>95.94858974</v>
      </c>
      <c r="W1844" s="6"/>
    </row>
    <row r="1845" ht="14.25" customHeight="1">
      <c r="A1845" s="6" t="str">
        <f t="shared" si="1"/>
        <v>2020Pierson3</v>
      </c>
      <c r="B1845" s="59">
        <v>2020.0</v>
      </c>
      <c r="C1845" s="13" t="s">
        <v>92</v>
      </c>
      <c r="D1845" s="13" t="s">
        <v>135</v>
      </c>
      <c r="E1845" s="34"/>
      <c r="F1845" s="6"/>
      <c r="H1845" s="6"/>
      <c r="I1845" s="35" t="str">
        <f>IFERROR(IFERROR(IFERROR(VLOOKUP(B1845&amp;C1845&amp;Q1845,'New Weekly Paste'!A:M,10,0),VLOOKUP(B1845&amp;C1845&amp;Q1845,'New Weekly Paste'!B:O,6,0)),""),"")</f>
        <v>T-How</v>
      </c>
      <c r="J1845" s="239">
        <f>IFERROR(IFERROR(VLOOKUP(B1845&amp;C1845&amp;Q1845,'New Weekly Paste'!A:M,8,0),VLOOKUP(B1845&amp;C1845&amp;Q1845,'New Weekly Paste'!B:O,10,0)),0)</f>
        <v>100.78</v>
      </c>
      <c r="K1845" s="239">
        <f>IFERROR(IFERROR(VLOOKUP(B1845&amp;I1845&amp;Q1845,'New Weekly Paste'!A:M,8,0),VLOOKUP(B1845&amp;I1845&amp;Q1845,'New Weekly Paste'!B:O,10,0)),0)</f>
        <v>117.62</v>
      </c>
      <c r="L1845" s="239">
        <f t="shared" si="25"/>
        <v>0</v>
      </c>
      <c r="M1845" s="36" t="str">
        <f t="shared" si="3"/>
        <v>Regular Season</v>
      </c>
      <c r="N1845" s="239" t="str">
        <f t="shared" si="26"/>
        <v>T-How</v>
      </c>
      <c r="O1845" s="6">
        <f>VLOOKUP(D1845,'Mapped Opponent'!$G$4:$H$22,2,0)</f>
        <v>3</v>
      </c>
      <c r="P1845" s="6"/>
      <c r="Q1845" s="6" t="str">
        <f t="shared" si="4"/>
        <v>Week 3</v>
      </c>
      <c r="R1845" s="6" t="str">
        <f t="shared" si="5"/>
        <v>2020Week 3</v>
      </c>
      <c r="S1845" s="6">
        <f>IFERROR(__xludf.DUMMYFUNCTION("rank(J1845,FILTER(J:J,R:R=R1845))"),8.0)</f>
        <v>8</v>
      </c>
      <c r="T1845" s="6">
        <f t="shared" si="6"/>
        <v>4</v>
      </c>
      <c r="U1845" s="6">
        <f t="shared" si="7"/>
        <v>8</v>
      </c>
      <c r="V1845" s="42">
        <f>averageif(AllData!A:A,B1845,AllData!R:R)/vlookup(B1845,AllData!A:O,15,0)</f>
        <v>95.94858974</v>
      </c>
      <c r="W1845" s="6"/>
    </row>
    <row r="1846" ht="14.25" customHeight="1">
      <c r="A1846" s="6" t="str">
        <f t="shared" si="1"/>
        <v>2020Cock3</v>
      </c>
      <c r="B1846" s="59">
        <v>2020.0</v>
      </c>
      <c r="C1846" s="13" t="s">
        <v>72</v>
      </c>
      <c r="D1846" s="13" t="s">
        <v>135</v>
      </c>
      <c r="E1846" s="34"/>
      <c r="F1846" s="6"/>
      <c r="H1846" s="6"/>
      <c r="I1846" s="35" t="str">
        <f>IFERROR(IFERROR(IFERROR(VLOOKUP(B1846&amp;C1846&amp;Q1846,'New Weekly Paste'!A:M,10,0),VLOOKUP(B1846&amp;C1846&amp;Q1846,'New Weekly Paste'!B:O,6,0)),""),"")</f>
        <v>Fellows</v>
      </c>
      <c r="J1846" s="239">
        <f>IFERROR(IFERROR(VLOOKUP(B1846&amp;C1846&amp;Q1846,'New Weekly Paste'!A:M,8,0),VLOOKUP(B1846&amp;C1846&amp;Q1846,'New Weekly Paste'!B:O,10,0)),0)</f>
        <v>99.48</v>
      </c>
      <c r="K1846" s="239">
        <f>IFERROR(IFERROR(VLOOKUP(B1846&amp;I1846&amp;Q1846,'New Weekly Paste'!A:M,8,0),VLOOKUP(B1846&amp;I1846&amp;Q1846,'New Weekly Paste'!B:O,10,0)),0)</f>
        <v>105.48</v>
      </c>
      <c r="L1846" s="239">
        <f t="shared" si="25"/>
        <v>0</v>
      </c>
      <c r="M1846" s="36" t="str">
        <f t="shared" si="3"/>
        <v>Regular Season</v>
      </c>
      <c r="N1846" s="239" t="str">
        <f t="shared" si="26"/>
        <v>Fellows</v>
      </c>
      <c r="O1846" s="6">
        <f>VLOOKUP(D1846,'Mapped Opponent'!$G$4:$H$22,2,0)</f>
        <v>3</v>
      </c>
      <c r="P1846" s="6"/>
      <c r="Q1846" s="6" t="str">
        <f t="shared" si="4"/>
        <v>Week 3</v>
      </c>
      <c r="R1846" s="6" t="str">
        <f t="shared" si="5"/>
        <v>2020Week 3</v>
      </c>
      <c r="S1846" s="6">
        <f>IFERROR(__xludf.DUMMYFUNCTION("rank(J1846,FILTER(J:J,R:R=R1846))"),10.0)</f>
        <v>10</v>
      </c>
      <c r="T1846" s="6">
        <f t="shared" si="6"/>
        <v>2</v>
      </c>
      <c r="U1846" s="6">
        <f t="shared" si="7"/>
        <v>10</v>
      </c>
      <c r="V1846" s="42">
        <f>averageif(AllData!A:A,B1846,AllData!R:R)/vlookup(B1846,AllData!A:O,15,0)</f>
        <v>95.94858974</v>
      </c>
      <c r="W1846" s="6"/>
    </row>
    <row r="1847" ht="14.25" customHeight="1">
      <c r="A1847" s="6" t="str">
        <f t="shared" si="1"/>
        <v>2020Tayski3</v>
      </c>
      <c r="B1847" s="59">
        <v>2020.0</v>
      </c>
      <c r="C1847" s="13" t="s">
        <v>52</v>
      </c>
      <c r="D1847" s="13" t="s">
        <v>135</v>
      </c>
      <c r="E1847" s="34"/>
      <c r="F1847" s="6"/>
      <c r="H1847" s="6"/>
      <c r="I1847" s="35" t="str">
        <f>IFERROR(IFERROR(IFERROR(VLOOKUP(B1847&amp;C1847&amp;Q1847,'New Weekly Paste'!A:M,10,0),VLOOKUP(B1847&amp;C1847&amp;Q1847,'New Weekly Paste'!B:O,6,0)),""),"")</f>
        <v>Buser</v>
      </c>
      <c r="J1847" s="239">
        <f>IFERROR(IFERROR(VLOOKUP(B1847&amp;C1847&amp;Q1847,'New Weekly Paste'!A:M,8,0),VLOOKUP(B1847&amp;C1847&amp;Q1847,'New Weekly Paste'!B:O,10,0)),0)</f>
        <v>120.84</v>
      </c>
      <c r="K1847" s="239">
        <f>IFERROR(IFERROR(VLOOKUP(B1847&amp;I1847&amp;Q1847,'New Weekly Paste'!A:M,8,0),VLOOKUP(B1847&amp;I1847&amp;Q1847,'New Weekly Paste'!B:O,10,0)),0)</f>
        <v>127</v>
      </c>
      <c r="L1847" s="239">
        <f t="shared" si="25"/>
        <v>0</v>
      </c>
      <c r="M1847" s="36" t="str">
        <f t="shared" si="3"/>
        <v>Regular Season</v>
      </c>
      <c r="N1847" s="239" t="str">
        <f t="shared" si="26"/>
        <v>Buser</v>
      </c>
      <c r="O1847" s="6">
        <f>VLOOKUP(D1847,'Mapped Opponent'!$G$4:$H$22,2,0)</f>
        <v>3</v>
      </c>
      <c r="P1847" s="6"/>
      <c r="Q1847" s="6" t="str">
        <f t="shared" si="4"/>
        <v>Week 3</v>
      </c>
      <c r="R1847" s="6" t="str">
        <f t="shared" si="5"/>
        <v>2020Week 3</v>
      </c>
      <c r="S1847" s="6">
        <f>IFERROR(__xludf.DUMMYFUNCTION("rank(J1847,FILTER(J:J,R:R=R1847))"),3.0)</f>
        <v>3</v>
      </c>
      <c r="T1847" s="6">
        <f t="shared" si="6"/>
        <v>9</v>
      </c>
      <c r="U1847" s="6">
        <f t="shared" si="7"/>
        <v>3</v>
      </c>
      <c r="V1847" s="42">
        <f>averageif(AllData!A:A,B1847,AllData!R:R)/vlookup(B1847,AllData!A:O,15,0)</f>
        <v>95.94858974</v>
      </c>
      <c r="W1847" s="6"/>
    </row>
    <row r="1848" ht="14.25" customHeight="1">
      <c r="A1848" s="6" t="str">
        <f t="shared" si="1"/>
        <v>2020KnardDawg3</v>
      </c>
      <c r="B1848" s="59">
        <v>2020.0</v>
      </c>
      <c r="C1848" s="13" t="s">
        <v>86</v>
      </c>
      <c r="D1848" s="13" t="s">
        <v>135</v>
      </c>
      <c r="E1848" s="34"/>
      <c r="F1848" s="6"/>
      <c r="H1848" s="6"/>
      <c r="I1848" s="35" t="str">
        <f>IFERROR(IFERROR(IFERROR(VLOOKUP(B1848&amp;C1848&amp;Q1848,'New Weekly Paste'!A:M,10,0),VLOOKUP(B1848&amp;C1848&amp;Q1848,'New Weekly Paste'!B:O,6,0)),""),"")</f>
        <v>Shep</v>
      </c>
      <c r="J1848" s="239">
        <f>IFERROR(IFERROR(VLOOKUP(B1848&amp;C1848&amp;Q1848,'New Weekly Paste'!A:M,8,0),VLOOKUP(B1848&amp;C1848&amp;Q1848,'New Weekly Paste'!B:O,10,0)),0)</f>
        <v>118.06</v>
      </c>
      <c r="K1848" s="239">
        <f>IFERROR(IFERROR(VLOOKUP(B1848&amp;I1848&amp;Q1848,'New Weekly Paste'!A:M,8,0),VLOOKUP(B1848&amp;I1848&amp;Q1848,'New Weekly Paste'!B:O,10,0)),0)</f>
        <v>100.42</v>
      </c>
      <c r="L1848" s="239">
        <f t="shared" si="25"/>
        <v>1</v>
      </c>
      <c r="M1848" s="36" t="str">
        <f t="shared" si="3"/>
        <v>Regular Season</v>
      </c>
      <c r="N1848" s="239" t="str">
        <f t="shared" si="26"/>
        <v>Shep</v>
      </c>
      <c r="O1848" s="6">
        <f>VLOOKUP(D1848,'Mapped Opponent'!$G$4:$H$22,2,0)</f>
        <v>3</v>
      </c>
      <c r="P1848" s="6"/>
      <c r="Q1848" s="6" t="str">
        <f t="shared" si="4"/>
        <v>Week 3</v>
      </c>
      <c r="R1848" s="6" t="str">
        <f t="shared" si="5"/>
        <v>2020Week 3</v>
      </c>
      <c r="S1848" s="6">
        <f>IFERROR(__xludf.DUMMYFUNCTION("rank(J1848,FILTER(J:J,R:R=R1848))"),4.0)</f>
        <v>4</v>
      </c>
      <c r="T1848" s="6">
        <f t="shared" si="6"/>
        <v>8</v>
      </c>
      <c r="U1848" s="6">
        <f t="shared" si="7"/>
        <v>4</v>
      </c>
      <c r="V1848" s="42">
        <f>averageif(AllData!A:A,B1848,AllData!R:R)/vlookup(B1848,AllData!A:O,15,0)</f>
        <v>95.94858974</v>
      </c>
      <c r="W1848" s="6"/>
    </row>
    <row r="1849" ht="14.25" customHeight="1">
      <c r="A1849" s="6" t="str">
        <f t="shared" si="1"/>
        <v>2020T-How3</v>
      </c>
      <c r="B1849" s="59">
        <v>2020.0</v>
      </c>
      <c r="C1849" s="13" t="s">
        <v>82</v>
      </c>
      <c r="D1849" s="13" t="s">
        <v>135</v>
      </c>
      <c r="E1849" s="34"/>
      <c r="F1849" s="6"/>
      <c r="H1849" s="6"/>
      <c r="I1849" s="35" t="str">
        <f>IFERROR(IFERROR(IFERROR(VLOOKUP(B1849&amp;C1849&amp;Q1849,'New Weekly Paste'!A:M,10,0),VLOOKUP(B1849&amp;C1849&amp;Q1849,'New Weekly Paste'!B:O,6,0)),""),"")</f>
        <v>Pierson</v>
      </c>
      <c r="J1849" s="239">
        <f>IFERROR(IFERROR(VLOOKUP(B1849&amp;C1849&amp;Q1849,'New Weekly Paste'!A:M,8,0),VLOOKUP(B1849&amp;C1849&amp;Q1849,'New Weekly Paste'!B:O,10,0)),0)</f>
        <v>117.62</v>
      </c>
      <c r="K1849" s="239">
        <f>IFERROR(IFERROR(VLOOKUP(B1849&amp;I1849&amp;Q1849,'New Weekly Paste'!A:M,8,0),VLOOKUP(B1849&amp;I1849&amp;Q1849,'New Weekly Paste'!B:O,10,0)),0)</f>
        <v>100.78</v>
      </c>
      <c r="L1849" s="239">
        <f t="shared" si="25"/>
        <v>1</v>
      </c>
      <c r="M1849" s="36" t="str">
        <f t="shared" si="3"/>
        <v>Regular Season</v>
      </c>
      <c r="N1849" s="239" t="str">
        <f t="shared" si="26"/>
        <v>Pierson</v>
      </c>
      <c r="O1849" s="6">
        <f>VLOOKUP(D1849,'Mapped Opponent'!$G$4:$H$22,2,0)</f>
        <v>3</v>
      </c>
      <c r="P1849" s="6"/>
      <c r="Q1849" s="6" t="str">
        <f t="shared" si="4"/>
        <v>Week 3</v>
      </c>
      <c r="R1849" s="6" t="str">
        <f t="shared" si="5"/>
        <v>2020Week 3</v>
      </c>
      <c r="S1849" s="6">
        <f>IFERROR(__xludf.DUMMYFUNCTION("rank(J1849,FILTER(J:J,R:R=R1849))"),5.0)</f>
        <v>5</v>
      </c>
      <c r="T1849" s="6">
        <f t="shared" si="6"/>
        <v>7</v>
      </c>
      <c r="U1849" s="6">
        <f t="shared" si="7"/>
        <v>5</v>
      </c>
      <c r="V1849" s="42">
        <f>averageif(AllData!A:A,B1849,AllData!R:R)/vlookup(B1849,AllData!A:O,15,0)</f>
        <v>95.94858974</v>
      </c>
      <c r="W1849" s="6"/>
    </row>
    <row r="1850" ht="14.25" customHeight="1">
      <c r="A1850" s="6" t="str">
        <f t="shared" si="1"/>
        <v>2020Hudspeath4</v>
      </c>
      <c r="B1850" s="59">
        <v>2020.0</v>
      </c>
      <c r="C1850" s="13" t="s">
        <v>39</v>
      </c>
      <c r="D1850" s="13" t="s">
        <v>138</v>
      </c>
      <c r="E1850" s="34"/>
      <c r="F1850" s="6"/>
      <c r="H1850" s="6"/>
      <c r="I1850" s="35" t="str">
        <f>IFERROR(IFERROR(IFERROR(VLOOKUP(B1850&amp;C1850&amp;Q1850,'New Weekly Paste'!A:M,10,0),VLOOKUP(B1850&amp;C1850&amp;Q1850,'New Weekly Paste'!B:O,6,0)),""),"")</f>
        <v>Riley</v>
      </c>
      <c r="J1850" s="239">
        <f>IFERROR(IFERROR(VLOOKUP(B1850&amp;C1850&amp;Q1850,'New Weekly Paste'!A:M,8,0),VLOOKUP(B1850&amp;C1850&amp;Q1850,'New Weekly Paste'!B:O,10,0)),0)</f>
        <v>102.94</v>
      </c>
      <c r="K1850" s="239">
        <f>IFERROR(IFERROR(VLOOKUP(B1850&amp;I1850&amp;Q1850,'New Weekly Paste'!A:M,8,0),VLOOKUP(B1850&amp;I1850&amp;Q1850,'New Weekly Paste'!B:O,10,0)),0)</f>
        <v>77.4</v>
      </c>
      <c r="L1850" s="239">
        <f t="shared" si="25"/>
        <v>1</v>
      </c>
      <c r="M1850" s="36" t="str">
        <f t="shared" si="3"/>
        <v>Regular Season</v>
      </c>
      <c r="N1850" s="239" t="str">
        <f t="shared" si="26"/>
        <v>Riley</v>
      </c>
      <c r="O1850" s="6">
        <f>VLOOKUP(D1850,'Mapped Opponent'!$G$4:$H$22,2,0)</f>
        <v>4</v>
      </c>
      <c r="P1850" s="6"/>
      <c r="Q1850" s="6" t="str">
        <f t="shared" si="4"/>
        <v>Week 4</v>
      </c>
      <c r="R1850" s="6" t="str">
        <f t="shared" si="5"/>
        <v>2020Week 4</v>
      </c>
      <c r="S1850" s="6">
        <f>IFERROR(__xludf.DUMMYFUNCTION("rank(J1850,FILTER(J:J,R:R=R1850))"),5.0)</f>
        <v>5</v>
      </c>
      <c r="T1850" s="6">
        <f t="shared" si="6"/>
        <v>7</v>
      </c>
      <c r="U1850" s="6">
        <f t="shared" si="7"/>
        <v>5</v>
      </c>
      <c r="V1850" s="42">
        <f>averageif(AllData!A:A,B1850,AllData!R:R)/vlookup(B1850,AllData!A:O,15,0)</f>
        <v>95.94858974</v>
      </c>
      <c r="W1850" s="6"/>
    </row>
    <row r="1851" ht="14.25" customHeight="1">
      <c r="A1851" s="6" t="str">
        <f t="shared" si="1"/>
        <v>2020Salty4</v>
      </c>
      <c r="B1851" s="59">
        <v>2020.0</v>
      </c>
      <c r="C1851" s="13" t="s">
        <v>76</v>
      </c>
      <c r="D1851" s="13" t="s">
        <v>138</v>
      </c>
      <c r="E1851" s="34"/>
      <c r="F1851" s="6"/>
      <c r="H1851" s="6"/>
      <c r="I1851" s="35" t="str">
        <f>IFERROR(IFERROR(IFERROR(VLOOKUP(B1851&amp;C1851&amp;Q1851,'New Weekly Paste'!A:M,10,0),VLOOKUP(B1851&amp;C1851&amp;Q1851,'New Weekly Paste'!B:O,6,0)),""),"")</f>
        <v>Fellows</v>
      </c>
      <c r="J1851" s="239">
        <f>IFERROR(IFERROR(VLOOKUP(B1851&amp;C1851&amp;Q1851,'New Weekly Paste'!A:M,8,0),VLOOKUP(B1851&amp;C1851&amp;Q1851,'New Weekly Paste'!B:O,10,0)),0)</f>
        <v>88.14</v>
      </c>
      <c r="K1851" s="239">
        <f>IFERROR(IFERROR(VLOOKUP(B1851&amp;I1851&amp;Q1851,'New Weekly Paste'!A:M,8,0),VLOOKUP(B1851&amp;I1851&amp;Q1851,'New Weekly Paste'!B:O,10,0)),0)</f>
        <v>95.6</v>
      </c>
      <c r="L1851" s="239">
        <f t="shared" si="25"/>
        <v>0</v>
      </c>
      <c r="M1851" s="36" t="str">
        <f t="shared" si="3"/>
        <v>Regular Season</v>
      </c>
      <c r="N1851" s="239" t="str">
        <f t="shared" si="26"/>
        <v>Fellows</v>
      </c>
      <c r="O1851" s="6">
        <f>VLOOKUP(D1851,'Mapped Opponent'!$G$4:$H$22,2,0)</f>
        <v>4</v>
      </c>
      <c r="P1851" s="6"/>
      <c r="Q1851" s="6" t="str">
        <f t="shared" si="4"/>
        <v>Week 4</v>
      </c>
      <c r="R1851" s="6" t="str">
        <f t="shared" si="5"/>
        <v>2020Week 4</v>
      </c>
      <c r="S1851" s="6">
        <f>IFERROR(__xludf.DUMMYFUNCTION("rank(J1851,FILTER(J:J,R:R=R1851))"),10.0)</f>
        <v>10</v>
      </c>
      <c r="T1851" s="6">
        <f t="shared" si="6"/>
        <v>2</v>
      </c>
      <c r="U1851" s="6">
        <f t="shared" si="7"/>
        <v>10</v>
      </c>
      <c r="V1851" s="42">
        <f>averageif(AllData!A:A,B1851,AllData!R:R)/vlookup(B1851,AllData!A:O,15,0)</f>
        <v>95.94858974</v>
      </c>
      <c r="W1851" s="6"/>
    </row>
    <row r="1852" ht="14.25" customHeight="1">
      <c r="A1852" s="6" t="str">
        <f t="shared" si="1"/>
        <v>2020Fellows4</v>
      </c>
      <c r="B1852" s="59">
        <v>2020.0</v>
      </c>
      <c r="C1852" s="13" t="s">
        <v>79</v>
      </c>
      <c r="D1852" s="13" t="s">
        <v>138</v>
      </c>
      <c r="E1852" s="34"/>
      <c r="F1852" s="6"/>
      <c r="H1852" s="6"/>
      <c r="I1852" s="35" t="str">
        <f>IFERROR(IFERROR(IFERROR(VLOOKUP(B1852&amp;C1852&amp;Q1852,'New Weekly Paste'!A:M,10,0),VLOOKUP(B1852&amp;C1852&amp;Q1852,'New Weekly Paste'!B:O,6,0)),""),"")</f>
        <v>Salty</v>
      </c>
      <c r="J1852" s="239">
        <f>IFERROR(IFERROR(VLOOKUP(B1852&amp;C1852&amp;Q1852,'New Weekly Paste'!A:M,8,0),VLOOKUP(B1852&amp;C1852&amp;Q1852,'New Weekly Paste'!B:O,10,0)),0)</f>
        <v>95.6</v>
      </c>
      <c r="K1852" s="239">
        <f>IFERROR(IFERROR(VLOOKUP(B1852&amp;I1852&amp;Q1852,'New Weekly Paste'!A:M,8,0),VLOOKUP(B1852&amp;I1852&amp;Q1852,'New Weekly Paste'!B:O,10,0)),0)</f>
        <v>88.14</v>
      </c>
      <c r="L1852" s="239">
        <f t="shared" si="25"/>
        <v>1</v>
      </c>
      <c r="M1852" s="36" t="str">
        <f t="shared" si="3"/>
        <v>Regular Season</v>
      </c>
      <c r="N1852" s="239" t="str">
        <f t="shared" si="26"/>
        <v>Salty</v>
      </c>
      <c r="O1852" s="6">
        <f>VLOOKUP(D1852,'Mapped Opponent'!$G$4:$H$22,2,0)</f>
        <v>4</v>
      </c>
      <c r="P1852" s="6"/>
      <c r="Q1852" s="6" t="str">
        <f t="shared" si="4"/>
        <v>Week 4</v>
      </c>
      <c r="R1852" s="6" t="str">
        <f t="shared" si="5"/>
        <v>2020Week 4</v>
      </c>
      <c r="S1852" s="6">
        <f>IFERROR(__xludf.DUMMYFUNCTION("rank(J1852,FILTER(J:J,R:R=R1852))"),7.0)</f>
        <v>7</v>
      </c>
      <c r="T1852" s="6">
        <f t="shared" si="6"/>
        <v>5</v>
      </c>
      <c r="U1852" s="6">
        <f t="shared" si="7"/>
        <v>7</v>
      </c>
      <c r="V1852" s="42">
        <f>averageif(AllData!A:A,B1852,AllData!R:R)/vlookup(B1852,AllData!A:O,15,0)</f>
        <v>95.94858974</v>
      </c>
      <c r="W1852" s="6"/>
    </row>
    <row r="1853" ht="14.25" customHeight="1">
      <c r="A1853" s="6" t="str">
        <f t="shared" si="1"/>
        <v>2020Shep4</v>
      </c>
      <c r="B1853" s="59">
        <v>2020.0</v>
      </c>
      <c r="C1853" s="13" t="s">
        <v>89</v>
      </c>
      <c r="D1853" s="13" t="s">
        <v>138</v>
      </c>
      <c r="E1853" s="34"/>
      <c r="F1853" s="6"/>
      <c r="H1853" s="6"/>
      <c r="I1853" s="35" t="str">
        <f>IFERROR(IFERROR(IFERROR(VLOOKUP(B1853&amp;C1853&amp;Q1853,'New Weekly Paste'!A:M,10,0),VLOOKUP(B1853&amp;C1853&amp;Q1853,'New Weekly Paste'!B:O,6,0)),""),"")</f>
        <v>Cock</v>
      </c>
      <c r="J1853" s="239">
        <f>IFERROR(IFERROR(VLOOKUP(B1853&amp;C1853&amp;Q1853,'New Weekly Paste'!A:M,8,0),VLOOKUP(B1853&amp;C1853&amp;Q1853,'New Weekly Paste'!B:O,10,0)),0)</f>
        <v>112.08</v>
      </c>
      <c r="K1853" s="239">
        <f>IFERROR(IFERROR(VLOOKUP(B1853&amp;I1853&amp;Q1853,'New Weekly Paste'!A:M,8,0),VLOOKUP(B1853&amp;I1853&amp;Q1853,'New Weekly Paste'!B:O,10,0)),0)</f>
        <v>106.98</v>
      </c>
      <c r="L1853" s="239">
        <f t="shared" si="25"/>
        <v>1</v>
      </c>
      <c r="M1853" s="36" t="str">
        <f t="shared" si="3"/>
        <v>Regular Season</v>
      </c>
      <c r="N1853" s="239" t="str">
        <f t="shared" si="26"/>
        <v>Cock</v>
      </c>
      <c r="O1853" s="6">
        <f>VLOOKUP(D1853,'Mapped Opponent'!$G$4:$H$22,2,0)</f>
        <v>4</v>
      </c>
      <c r="P1853" s="6"/>
      <c r="Q1853" s="6" t="str">
        <f t="shared" si="4"/>
        <v>Week 4</v>
      </c>
      <c r="R1853" s="6" t="str">
        <f t="shared" si="5"/>
        <v>2020Week 4</v>
      </c>
      <c r="S1853" s="6">
        <f>IFERROR(__xludf.DUMMYFUNCTION("rank(J1853,FILTER(J:J,R:R=R1853))"),3.0)</f>
        <v>3</v>
      </c>
      <c r="T1853" s="6">
        <f t="shared" si="6"/>
        <v>9</v>
      </c>
      <c r="U1853" s="6">
        <f t="shared" si="7"/>
        <v>3</v>
      </c>
      <c r="V1853" s="42">
        <f>averageif(AllData!A:A,B1853,AllData!R:R)/vlookup(B1853,AllData!A:O,15,0)</f>
        <v>95.94858974</v>
      </c>
      <c r="W1853" s="6"/>
    </row>
    <row r="1854" ht="14.25" customHeight="1">
      <c r="A1854" s="6" t="str">
        <f t="shared" si="1"/>
        <v>2020Riley4</v>
      </c>
      <c r="B1854" s="59">
        <v>2020.0</v>
      </c>
      <c r="C1854" s="13" t="s">
        <v>67</v>
      </c>
      <c r="D1854" s="13" t="s">
        <v>138</v>
      </c>
      <c r="E1854" s="34"/>
      <c r="F1854" s="6"/>
      <c r="H1854" s="6"/>
      <c r="I1854" s="35" t="str">
        <f>IFERROR(IFERROR(IFERROR(VLOOKUP(B1854&amp;C1854&amp;Q1854,'New Weekly Paste'!A:M,10,0),VLOOKUP(B1854&amp;C1854&amp;Q1854,'New Weekly Paste'!B:O,6,0)),""),"")</f>
        <v>Hudspeath</v>
      </c>
      <c r="J1854" s="239">
        <f>IFERROR(IFERROR(VLOOKUP(B1854&amp;C1854&amp;Q1854,'New Weekly Paste'!A:M,8,0),VLOOKUP(B1854&amp;C1854&amp;Q1854,'New Weekly Paste'!B:O,10,0)),0)</f>
        <v>77.4</v>
      </c>
      <c r="K1854" s="239">
        <f>IFERROR(IFERROR(VLOOKUP(B1854&amp;I1854&amp;Q1854,'New Weekly Paste'!A:M,8,0),VLOOKUP(B1854&amp;I1854&amp;Q1854,'New Weekly Paste'!B:O,10,0)),0)</f>
        <v>102.94</v>
      </c>
      <c r="L1854" s="239">
        <f t="shared" si="25"/>
        <v>0</v>
      </c>
      <c r="M1854" s="36" t="str">
        <f t="shared" si="3"/>
        <v>Regular Season</v>
      </c>
      <c r="N1854" s="239" t="str">
        <f t="shared" si="26"/>
        <v>Hudspeath</v>
      </c>
      <c r="O1854" s="6">
        <f>VLOOKUP(D1854,'Mapped Opponent'!$G$4:$H$22,2,0)</f>
        <v>4</v>
      </c>
      <c r="P1854" s="6"/>
      <c r="Q1854" s="6" t="str">
        <f t="shared" si="4"/>
        <v>Week 4</v>
      </c>
      <c r="R1854" s="6" t="str">
        <f t="shared" si="5"/>
        <v>2020Week 4</v>
      </c>
      <c r="S1854" s="6">
        <f>IFERROR(__xludf.DUMMYFUNCTION("rank(J1854,FILTER(J:J,R:R=R1854))"),11.0)</f>
        <v>11</v>
      </c>
      <c r="T1854" s="6">
        <f t="shared" si="6"/>
        <v>1</v>
      </c>
      <c r="U1854" s="6">
        <f t="shared" si="7"/>
        <v>11</v>
      </c>
      <c r="V1854" s="42">
        <f>averageif(AllData!A:A,B1854,AllData!R:R)/vlookup(B1854,AllData!A:O,15,0)</f>
        <v>95.94858974</v>
      </c>
      <c r="W1854" s="6"/>
    </row>
    <row r="1855" ht="14.25" customHeight="1">
      <c r="A1855" s="6" t="str">
        <f t="shared" si="1"/>
        <v>2020Rooney/Jackson4</v>
      </c>
      <c r="B1855" s="59">
        <v>2020.0</v>
      </c>
      <c r="C1855" s="13" t="s">
        <v>57</v>
      </c>
      <c r="D1855" s="13" t="s">
        <v>138</v>
      </c>
      <c r="E1855" s="34"/>
      <c r="F1855" s="6"/>
      <c r="H1855" s="6"/>
      <c r="I1855" s="35" t="str">
        <f>IFERROR(IFERROR(IFERROR(VLOOKUP(B1855&amp;C1855&amp;Q1855,'New Weekly Paste'!A:M,10,0),VLOOKUP(B1855&amp;C1855&amp;Q1855,'New Weekly Paste'!B:O,6,0)),""),"")</f>
        <v>Tayski</v>
      </c>
      <c r="J1855" s="239">
        <f>IFERROR(IFERROR(VLOOKUP(B1855&amp;C1855&amp;Q1855,'New Weekly Paste'!A:M,8,0),VLOOKUP(B1855&amp;C1855&amp;Q1855,'New Weekly Paste'!B:O,10,0)),0)</f>
        <v>152.64</v>
      </c>
      <c r="K1855" s="239">
        <f>IFERROR(IFERROR(VLOOKUP(B1855&amp;I1855&amp;Q1855,'New Weekly Paste'!A:M,8,0),VLOOKUP(B1855&amp;I1855&amp;Q1855,'New Weekly Paste'!B:O,10,0)),0)</f>
        <v>88.42</v>
      </c>
      <c r="L1855" s="239">
        <f t="shared" si="25"/>
        <v>1</v>
      </c>
      <c r="M1855" s="36" t="str">
        <f t="shared" si="3"/>
        <v>Regular Season</v>
      </c>
      <c r="N1855" s="239" t="str">
        <f t="shared" si="26"/>
        <v>Tayski</v>
      </c>
      <c r="O1855" s="6">
        <f>VLOOKUP(D1855,'Mapped Opponent'!$G$4:$H$22,2,0)</f>
        <v>4</v>
      </c>
      <c r="P1855" s="6"/>
      <c r="Q1855" s="6" t="str">
        <f t="shared" si="4"/>
        <v>Week 4</v>
      </c>
      <c r="R1855" s="6" t="str">
        <f t="shared" si="5"/>
        <v>2020Week 4</v>
      </c>
      <c r="S1855" s="6">
        <f>IFERROR(__xludf.DUMMYFUNCTION("rank(J1855,FILTER(J:J,R:R=R1855))"),1.0)</f>
        <v>1</v>
      </c>
      <c r="T1855" s="6">
        <f t="shared" si="6"/>
        <v>11</v>
      </c>
      <c r="U1855" s="6">
        <f t="shared" si="7"/>
        <v>1</v>
      </c>
      <c r="V1855" s="42">
        <f>averageif(AllData!A:A,B1855,AllData!R:R)/vlookup(B1855,AllData!A:O,15,0)</f>
        <v>95.94858974</v>
      </c>
      <c r="W1855" s="6"/>
    </row>
    <row r="1856" ht="14.25" customHeight="1">
      <c r="A1856" s="6" t="str">
        <f t="shared" si="1"/>
        <v>2020Buser4</v>
      </c>
      <c r="B1856" s="59">
        <v>2020.0</v>
      </c>
      <c r="C1856" s="13" t="s">
        <v>47</v>
      </c>
      <c r="D1856" s="13" t="s">
        <v>138</v>
      </c>
      <c r="E1856" s="34"/>
      <c r="F1856" s="6"/>
      <c r="H1856" s="6"/>
      <c r="I1856" s="35" t="str">
        <f>IFERROR(IFERROR(IFERROR(VLOOKUP(B1856&amp;C1856&amp;Q1856,'New Weekly Paste'!A:M,10,0),VLOOKUP(B1856&amp;C1856&amp;Q1856,'New Weekly Paste'!B:O,6,0)),""),"")</f>
        <v>Pierson</v>
      </c>
      <c r="J1856" s="239">
        <f>IFERROR(IFERROR(VLOOKUP(B1856&amp;C1856&amp;Q1856,'New Weekly Paste'!A:M,8,0),VLOOKUP(B1856&amp;C1856&amp;Q1856,'New Weekly Paste'!B:O,10,0)),0)</f>
        <v>92.92</v>
      </c>
      <c r="K1856" s="239">
        <f>IFERROR(IFERROR(VLOOKUP(B1856&amp;I1856&amp;Q1856,'New Weekly Paste'!A:M,8,0),VLOOKUP(B1856&amp;I1856&amp;Q1856,'New Weekly Paste'!B:O,10,0)),0)</f>
        <v>98.32</v>
      </c>
      <c r="L1856" s="239">
        <f t="shared" si="25"/>
        <v>0</v>
      </c>
      <c r="M1856" s="36" t="str">
        <f t="shared" si="3"/>
        <v>Regular Season</v>
      </c>
      <c r="N1856" s="239" t="str">
        <f t="shared" si="26"/>
        <v>Pierson</v>
      </c>
      <c r="O1856" s="6">
        <f>VLOOKUP(D1856,'Mapped Opponent'!$G$4:$H$22,2,0)</f>
        <v>4</v>
      </c>
      <c r="P1856" s="6"/>
      <c r="Q1856" s="6" t="str">
        <f t="shared" si="4"/>
        <v>Week 4</v>
      </c>
      <c r="R1856" s="6" t="str">
        <f t="shared" si="5"/>
        <v>2020Week 4</v>
      </c>
      <c r="S1856" s="6">
        <f>IFERROR(__xludf.DUMMYFUNCTION("rank(J1856,FILTER(J:J,R:R=R1856))"),8.0)</f>
        <v>8</v>
      </c>
      <c r="T1856" s="6">
        <f t="shared" si="6"/>
        <v>4</v>
      </c>
      <c r="U1856" s="6">
        <f t="shared" si="7"/>
        <v>8</v>
      </c>
      <c r="V1856" s="42">
        <f>averageif(AllData!A:A,B1856,AllData!R:R)/vlookup(B1856,AllData!A:O,15,0)</f>
        <v>95.94858974</v>
      </c>
      <c r="W1856" s="6"/>
    </row>
    <row r="1857" ht="14.25" customHeight="1">
      <c r="A1857" s="6" t="str">
        <f t="shared" si="1"/>
        <v>2020Pierson4</v>
      </c>
      <c r="B1857" s="59">
        <v>2020.0</v>
      </c>
      <c r="C1857" s="13" t="s">
        <v>92</v>
      </c>
      <c r="D1857" s="13" t="s">
        <v>138</v>
      </c>
      <c r="E1857" s="34"/>
      <c r="F1857" s="6"/>
      <c r="H1857" s="6"/>
      <c r="I1857" s="35" t="str">
        <f>IFERROR(IFERROR(IFERROR(VLOOKUP(B1857&amp;C1857&amp;Q1857,'New Weekly Paste'!A:M,10,0),VLOOKUP(B1857&amp;C1857&amp;Q1857,'New Weekly Paste'!B:O,6,0)),""),"")</f>
        <v>Buser</v>
      </c>
      <c r="J1857" s="239">
        <f>IFERROR(IFERROR(VLOOKUP(B1857&amp;C1857&amp;Q1857,'New Weekly Paste'!A:M,8,0),VLOOKUP(B1857&amp;C1857&amp;Q1857,'New Weekly Paste'!B:O,10,0)),0)</f>
        <v>98.32</v>
      </c>
      <c r="K1857" s="239">
        <f>IFERROR(IFERROR(VLOOKUP(B1857&amp;I1857&amp;Q1857,'New Weekly Paste'!A:M,8,0),VLOOKUP(B1857&amp;I1857&amp;Q1857,'New Weekly Paste'!B:O,10,0)),0)</f>
        <v>92.92</v>
      </c>
      <c r="L1857" s="239">
        <f t="shared" si="25"/>
        <v>1</v>
      </c>
      <c r="M1857" s="36" t="str">
        <f t="shared" si="3"/>
        <v>Regular Season</v>
      </c>
      <c r="N1857" s="239" t="str">
        <f t="shared" si="26"/>
        <v>Buser</v>
      </c>
      <c r="O1857" s="6">
        <f>VLOOKUP(D1857,'Mapped Opponent'!$G$4:$H$22,2,0)</f>
        <v>4</v>
      </c>
      <c r="P1857" s="6"/>
      <c r="Q1857" s="6" t="str">
        <f t="shared" si="4"/>
        <v>Week 4</v>
      </c>
      <c r="R1857" s="6" t="str">
        <f t="shared" si="5"/>
        <v>2020Week 4</v>
      </c>
      <c r="S1857" s="6">
        <f>IFERROR(__xludf.DUMMYFUNCTION("rank(J1857,FILTER(J:J,R:R=R1857))"),6.0)</f>
        <v>6</v>
      </c>
      <c r="T1857" s="6">
        <f t="shared" si="6"/>
        <v>6</v>
      </c>
      <c r="U1857" s="6">
        <f t="shared" si="7"/>
        <v>6</v>
      </c>
      <c r="V1857" s="42">
        <f>averageif(AllData!A:A,B1857,AllData!R:R)/vlookup(B1857,AllData!A:O,15,0)</f>
        <v>95.94858974</v>
      </c>
      <c r="W1857" s="6"/>
    </row>
    <row r="1858" ht="14.25" customHeight="1">
      <c r="A1858" s="6" t="str">
        <f t="shared" si="1"/>
        <v>2020Cock4</v>
      </c>
      <c r="B1858" s="59">
        <v>2020.0</v>
      </c>
      <c r="C1858" s="13" t="s">
        <v>72</v>
      </c>
      <c r="D1858" s="13" t="s">
        <v>138</v>
      </c>
      <c r="E1858" s="34"/>
      <c r="F1858" s="6"/>
      <c r="H1858" s="6"/>
      <c r="I1858" s="35" t="str">
        <f>IFERROR(IFERROR(IFERROR(VLOOKUP(B1858&amp;C1858&amp;Q1858,'New Weekly Paste'!A:M,10,0),VLOOKUP(B1858&amp;C1858&amp;Q1858,'New Weekly Paste'!B:O,6,0)),""),"")</f>
        <v>Shep</v>
      </c>
      <c r="J1858" s="239">
        <f>IFERROR(IFERROR(VLOOKUP(B1858&amp;C1858&amp;Q1858,'New Weekly Paste'!A:M,8,0),VLOOKUP(B1858&amp;C1858&amp;Q1858,'New Weekly Paste'!B:O,10,0)),0)</f>
        <v>106.98</v>
      </c>
      <c r="K1858" s="239">
        <f>IFERROR(IFERROR(VLOOKUP(B1858&amp;I1858&amp;Q1858,'New Weekly Paste'!A:M,8,0),VLOOKUP(B1858&amp;I1858&amp;Q1858,'New Weekly Paste'!B:O,10,0)),0)</f>
        <v>112.08</v>
      </c>
      <c r="L1858" s="239">
        <f t="shared" si="25"/>
        <v>0</v>
      </c>
      <c r="M1858" s="36" t="str">
        <f t="shared" si="3"/>
        <v>Regular Season</v>
      </c>
      <c r="N1858" s="239" t="str">
        <f t="shared" si="26"/>
        <v>Shep</v>
      </c>
      <c r="O1858" s="6">
        <f>VLOOKUP(D1858,'Mapped Opponent'!$G$4:$H$22,2,0)</f>
        <v>4</v>
      </c>
      <c r="P1858" s="6"/>
      <c r="Q1858" s="6" t="str">
        <f t="shared" si="4"/>
        <v>Week 4</v>
      </c>
      <c r="R1858" s="6" t="str">
        <f t="shared" si="5"/>
        <v>2020Week 4</v>
      </c>
      <c r="S1858" s="6">
        <f>IFERROR(__xludf.DUMMYFUNCTION("rank(J1858,FILTER(J:J,R:R=R1858))"),4.0)</f>
        <v>4</v>
      </c>
      <c r="T1858" s="6">
        <f t="shared" si="6"/>
        <v>8</v>
      </c>
      <c r="U1858" s="6">
        <f t="shared" si="7"/>
        <v>4</v>
      </c>
      <c r="V1858" s="42">
        <f>averageif(AllData!A:A,B1858,AllData!R:R)/vlookup(B1858,AllData!A:O,15,0)</f>
        <v>95.94858974</v>
      </c>
      <c r="W1858" s="6"/>
    </row>
    <row r="1859" ht="14.25" customHeight="1">
      <c r="A1859" s="6" t="str">
        <f t="shared" si="1"/>
        <v>2020Tayski4</v>
      </c>
      <c r="B1859" s="59">
        <v>2020.0</v>
      </c>
      <c r="C1859" s="13" t="s">
        <v>52</v>
      </c>
      <c r="D1859" s="13" t="s">
        <v>138</v>
      </c>
      <c r="E1859" s="34"/>
      <c r="F1859" s="6"/>
      <c r="H1859" s="6"/>
      <c r="I1859" s="35" t="str">
        <f>IFERROR(IFERROR(IFERROR(VLOOKUP(B1859&amp;C1859&amp;Q1859,'New Weekly Paste'!A:M,10,0),VLOOKUP(B1859&amp;C1859&amp;Q1859,'New Weekly Paste'!B:O,6,0)),""),"")</f>
        <v>Rooney/Jackson</v>
      </c>
      <c r="J1859" s="239">
        <f>IFERROR(IFERROR(VLOOKUP(B1859&amp;C1859&amp;Q1859,'New Weekly Paste'!A:M,8,0),VLOOKUP(B1859&amp;C1859&amp;Q1859,'New Weekly Paste'!B:O,10,0)),0)</f>
        <v>88.42</v>
      </c>
      <c r="K1859" s="239">
        <f>IFERROR(IFERROR(VLOOKUP(B1859&amp;I1859&amp;Q1859,'New Weekly Paste'!A:M,8,0),VLOOKUP(B1859&amp;I1859&amp;Q1859,'New Weekly Paste'!B:O,10,0)),0)</f>
        <v>152.64</v>
      </c>
      <c r="L1859" s="239">
        <f t="shared" si="25"/>
        <v>0</v>
      </c>
      <c r="M1859" s="36" t="str">
        <f t="shared" si="3"/>
        <v>Regular Season</v>
      </c>
      <c r="N1859" s="239" t="str">
        <f t="shared" si="26"/>
        <v>Rooney/Jackson</v>
      </c>
      <c r="O1859" s="6">
        <f>VLOOKUP(D1859,'Mapped Opponent'!$G$4:$H$22,2,0)</f>
        <v>4</v>
      </c>
      <c r="P1859" s="6"/>
      <c r="Q1859" s="6" t="str">
        <f t="shared" si="4"/>
        <v>Week 4</v>
      </c>
      <c r="R1859" s="6" t="str">
        <f t="shared" si="5"/>
        <v>2020Week 4</v>
      </c>
      <c r="S1859" s="6">
        <f>IFERROR(__xludf.DUMMYFUNCTION("rank(J1859,FILTER(J:J,R:R=R1859))"),9.0)</f>
        <v>9</v>
      </c>
      <c r="T1859" s="6">
        <f t="shared" si="6"/>
        <v>3</v>
      </c>
      <c r="U1859" s="6">
        <f t="shared" si="7"/>
        <v>9</v>
      </c>
      <c r="V1859" s="42">
        <f>averageif(AllData!A:A,B1859,AllData!R:R)/vlookup(B1859,AllData!A:O,15,0)</f>
        <v>95.94858974</v>
      </c>
      <c r="W1859" s="6"/>
    </row>
    <row r="1860" ht="14.25" customHeight="1">
      <c r="A1860" s="6" t="str">
        <f t="shared" si="1"/>
        <v>2020KnardDawg4</v>
      </c>
      <c r="B1860" s="59">
        <v>2020.0</v>
      </c>
      <c r="C1860" s="13" t="s">
        <v>86</v>
      </c>
      <c r="D1860" s="13" t="s">
        <v>138</v>
      </c>
      <c r="E1860" s="34"/>
      <c r="F1860" s="6"/>
      <c r="H1860" s="6"/>
      <c r="I1860" s="35" t="str">
        <f>IFERROR(IFERROR(IFERROR(VLOOKUP(B1860&amp;C1860&amp;Q1860,'New Weekly Paste'!A:M,10,0),VLOOKUP(B1860&amp;C1860&amp;Q1860,'New Weekly Paste'!B:O,6,0)),""),"")</f>
        <v>T-How</v>
      </c>
      <c r="J1860" s="239">
        <f>IFERROR(IFERROR(VLOOKUP(B1860&amp;C1860&amp;Q1860,'New Weekly Paste'!A:M,8,0),VLOOKUP(B1860&amp;C1860&amp;Q1860,'New Weekly Paste'!B:O,10,0)),0)</f>
        <v>120.8</v>
      </c>
      <c r="K1860" s="239">
        <f>IFERROR(IFERROR(VLOOKUP(B1860&amp;I1860&amp;Q1860,'New Weekly Paste'!A:M,8,0),VLOOKUP(B1860&amp;I1860&amp;Q1860,'New Weekly Paste'!B:O,10,0)),0)</f>
        <v>70.3</v>
      </c>
      <c r="L1860" s="239">
        <f t="shared" si="25"/>
        <v>1</v>
      </c>
      <c r="M1860" s="36" t="str">
        <f t="shared" si="3"/>
        <v>Regular Season</v>
      </c>
      <c r="N1860" s="239" t="str">
        <f t="shared" si="26"/>
        <v>T-How</v>
      </c>
      <c r="O1860" s="6">
        <f>VLOOKUP(D1860,'Mapped Opponent'!$G$4:$H$22,2,0)</f>
        <v>4</v>
      </c>
      <c r="P1860" s="6"/>
      <c r="Q1860" s="6" t="str">
        <f t="shared" si="4"/>
        <v>Week 4</v>
      </c>
      <c r="R1860" s="6" t="str">
        <f t="shared" si="5"/>
        <v>2020Week 4</v>
      </c>
      <c r="S1860" s="6">
        <f>IFERROR(__xludf.DUMMYFUNCTION("rank(J1860,FILTER(J:J,R:R=R1860))"),2.0)</f>
        <v>2</v>
      </c>
      <c r="T1860" s="6">
        <f t="shared" si="6"/>
        <v>10</v>
      </c>
      <c r="U1860" s="6">
        <f t="shared" si="7"/>
        <v>2</v>
      </c>
      <c r="V1860" s="42">
        <f>averageif(AllData!A:A,B1860,AllData!R:R)/vlookup(B1860,AllData!A:O,15,0)</f>
        <v>95.94858974</v>
      </c>
      <c r="W1860" s="6"/>
    </row>
    <row r="1861" ht="14.25" customHeight="1">
      <c r="A1861" s="6" t="str">
        <f t="shared" si="1"/>
        <v>2020T-How4</v>
      </c>
      <c r="B1861" s="59">
        <v>2020.0</v>
      </c>
      <c r="C1861" s="13" t="s">
        <v>82</v>
      </c>
      <c r="D1861" s="13" t="s">
        <v>138</v>
      </c>
      <c r="E1861" s="34"/>
      <c r="F1861" s="6"/>
      <c r="H1861" s="6"/>
      <c r="I1861" s="35" t="str">
        <f>IFERROR(IFERROR(IFERROR(VLOOKUP(B1861&amp;C1861&amp;Q1861,'New Weekly Paste'!A:M,10,0),VLOOKUP(B1861&amp;C1861&amp;Q1861,'New Weekly Paste'!B:O,6,0)),""),"")</f>
        <v>KnardDawg</v>
      </c>
      <c r="J1861" s="239">
        <f>IFERROR(IFERROR(VLOOKUP(B1861&amp;C1861&amp;Q1861,'New Weekly Paste'!A:M,8,0),VLOOKUP(B1861&amp;C1861&amp;Q1861,'New Weekly Paste'!B:O,10,0)),0)</f>
        <v>70.3</v>
      </c>
      <c r="K1861" s="239">
        <f>IFERROR(IFERROR(VLOOKUP(B1861&amp;I1861&amp;Q1861,'New Weekly Paste'!A:M,8,0),VLOOKUP(B1861&amp;I1861&amp;Q1861,'New Weekly Paste'!B:O,10,0)),0)</f>
        <v>120.8</v>
      </c>
      <c r="L1861" s="239">
        <f t="shared" si="25"/>
        <v>0</v>
      </c>
      <c r="M1861" s="36" t="str">
        <f t="shared" si="3"/>
        <v>Regular Season</v>
      </c>
      <c r="N1861" s="239" t="str">
        <f t="shared" si="26"/>
        <v>KnardDawg</v>
      </c>
      <c r="O1861" s="6">
        <f>VLOOKUP(D1861,'Mapped Opponent'!$G$4:$H$22,2,0)</f>
        <v>4</v>
      </c>
      <c r="P1861" s="6"/>
      <c r="Q1861" s="6" t="str">
        <f t="shared" si="4"/>
        <v>Week 4</v>
      </c>
      <c r="R1861" s="6" t="str">
        <f t="shared" si="5"/>
        <v>2020Week 4</v>
      </c>
      <c r="S1861" s="6">
        <f>IFERROR(__xludf.DUMMYFUNCTION("rank(J1861,FILTER(J:J,R:R=R1861))"),12.0)</f>
        <v>12</v>
      </c>
      <c r="T1861" s="6">
        <f t="shared" si="6"/>
        <v>0</v>
      </c>
      <c r="U1861" s="6">
        <f t="shared" si="7"/>
        <v>12</v>
      </c>
      <c r="V1861" s="42">
        <f>averageif(AllData!A:A,B1861,AllData!R:R)/vlookup(B1861,AllData!A:O,15,0)</f>
        <v>95.94858974</v>
      </c>
      <c r="W1861" s="6"/>
    </row>
    <row r="1862" ht="14.25" customHeight="1">
      <c r="A1862" s="6" t="str">
        <f t="shared" si="1"/>
        <v>2020Hudspeath5</v>
      </c>
      <c r="B1862" s="59">
        <v>2020.0</v>
      </c>
      <c r="C1862" s="13" t="s">
        <v>39</v>
      </c>
      <c r="D1862" s="13" t="s">
        <v>141</v>
      </c>
      <c r="E1862" s="34"/>
      <c r="F1862" s="6"/>
      <c r="H1862" s="6"/>
      <c r="I1862" s="35" t="str">
        <f>IFERROR(IFERROR(IFERROR(VLOOKUP(B1862&amp;C1862&amp;Q1862,'New Weekly Paste'!A:M,10,0),VLOOKUP(B1862&amp;C1862&amp;Q1862,'New Weekly Paste'!B:O,6,0)),""),"")</f>
        <v>Fellows</v>
      </c>
      <c r="J1862" s="239">
        <f>IFERROR(IFERROR(VLOOKUP(B1862&amp;C1862&amp;Q1862,'New Weekly Paste'!A:M,8,0),VLOOKUP(B1862&amp;C1862&amp;Q1862,'New Weekly Paste'!B:O,10,0)),0)</f>
        <v>68.98</v>
      </c>
      <c r="K1862" s="239">
        <f>IFERROR(IFERROR(VLOOKUP(B1862&amp;I1862&amp;Q1862,'New Weekly Paste'!A:M,8,0),VLOOKUP(B1862&amp;I1862&amp;Q1862,'New Weekly Paste'!B:O,10,0)),0)</f>
        <v>100.36</v>
      </c>
      <c r="L1862" s="239">
        <f t="shared" si="25"/>
        <v>0</v>
      </c>
      <c r="M1862" s="36" t="str">
        <f t="shared" si="3"/>
        <v>Regular Season</v>
      </c>
      <c r="N1862" s="239" t="str">
        <f t="shared" si="26"/>
        <v>Fellows</v>
      </c>
      <c r="O1862" s="6">
        <f>VLOOKUP(D1862,'Mapped Opponent'!$G$4:$H$22,2,0)</f>
        <v>5</v>
      </c>
      <c r="P1862" s="6"/>
      <c r="Q1862" s="6" t="str">
        <f t="shared" si="4"/>
        <v>Week 5</v>
      </c>
      <c r="R1862" s="6" t="str">
        <f t="shared" si="5"/>
        <v>2020Week 5</v>
      </c>
      <c r="S1862" s="6">
        <f>IFERROR(__xludf.DUMMYFUNCTION("rank(J1862,FILTER(J:J,R:R=R1862))"),10.0)</f>
        <v>10</v>
      </c>
      <c r="T1862" s="6">
        <f t="shared" si="6"/>
        <v>2</v>
      </c>
      <c r="U1862" s="6">
        <f t="shared" si="7"/>
        <v>10</v>
      </c>
      <c r="V1862" s="42">
        <f>averageif(AllData!A:A,B1862,AllData!R:R)/vlookup(B1862,AllData!A:O,15,0)</f>
        <v>95.94858974</v>
      </c>
      <c r="W1862" s="6"/>
    </row>
    <row r="1863" ht="14.25" customHeight="1">
      <c r="A1863" s="6" t="str">
        <f t="shared" si="1"/>
        <v>2020Salty5</v>
      </c>
      <c r="B1863" s="59">
        <v>2020.0</v>
      </c>
      <c r="C1863" s="13" t="s">
        <v>76</v>
      </c>
      <c r="D1863" s="13" t="s">
        <v>141</v>
      </c>
      <c r="E1863" s="34"/>
      <c r="F1863" s="6"/>
      <c r="H1863" s="6"/>
      <c r="I1863" s="35" t="str">
        <f>IFERROR(IFERROR(IFERROR(VLOOKUP(B1863&amp;C1863&amp;Q1863,'New Weekly Paste'!A:M,10,0),VLOOKUP(B1863&amp;C1863&amp;Q1863,'New Weekly Paste'!B:O,6,0)),""),"")</f>
        <v>Cock</v>
      </c>
      <c r="J1863" s="239">
        <f>IFERROR(IFERROR(VLOOKUP(B1863&amp;C1863&amp;Q1863,'New Weekly Paste'!A:M,8,0),VLOOKUP(B1863&amp;C1863&amp;Q1863,'New Weekly Paste'!B:O,10,0)),0)</f>
        <v>144.6</v>
      </c>
      <c r="K1863" s="239">
        <f>IFERROR(IFERROR(VLOOKUP(B1863&amp;I1863&amp;Q1863,'New Weekly Paste'!A:M,8,0),VLOOKUP(B1863&amp;I1863&amp;Q1863,'New Weekly Paste'!B:O,10,0)),0)</f>
        <v>122.54</v>
      </c>
      <c r="L1863" s="239">
        <f t="shared" si="25"/>
        <v>1</v>
      </c>
      <c r="M1863" s="36" t="str">
        <f t="shared" si="3"/>
        <v>Regular Season</v>
      </c>
      <c r="N1863" s="239" t="str">
        <f t="shared" si="26"/>
        <v>Cock</v>
      </c>
      <c r="O1863" s="6">
        <f>VLOOKUP(D1863,'Mapped Opponent'!$G$4:$H$22,2,0)</f>
        <v>5</v>
      </c>
      <c r="P1863" s="6"/>
      <c r="Q1863" s="6" t="str">
        <f t="shared" si="4"/>
        <v>Week 5</v>
      </c>
      <c r="R1863" s="6" t="str">
        <f t="shared" si="5"/>
        <v>2020Week 5</v>
      </c>
      <c r="S1863" s="6">
        <f>IFERROR(__xludf.DUMMYFUNCTION("rank(J1863,FILTER(J:J,R:R=R1863))"),1.0)</f>
        <v>1</v>
      </c>
      <c r="T1863" s="6">
        <f t="shared" si="6"/>
        <v>11</v>
      </c>
      <c r="U1863" s="6">
        <f t="shared" si="7"/>
        <v>1</v>
      </c>
      <c r="V1863" s="42">
        <f>averageif(AllData!A:A,B1863,AllData!R:R)/vlookup(B1863,AllData!A:O,15,0)</f>
        <v>95.94858974</v>
      </c>
      <c r="W1863" s="6"/>
    </row>
    <row r="1864" ht="14.25" customHeight="1">
      <c r="A1864" s="6" t="str">
        <f t="shared" si="1"/>
        <v>2020Fellows5</v>
      </c>
      <c r="B1864" s="59">
        <v>2020.0</v>
      </c>
      <c r="C1864" s="13" t="s">
        <v>79</v>
      </c>
      <c r="D1864" s="13" t="s">
        <v>141</v>
      </c>
      <c r="E1864" s="34"/>
      <c r="F1864" s="6"/>
      <c r="H1864" s="6"/>
      <c r="I1864" s="35" t="str">
        <f>IFERROR(IFERROR(IFERROR(VLOOKUP(B1864&amp;C1864&amp;Q1864,'New Weekly Paste'!A:M,10,0),VLOOKUP(B1864&amp;C1864&amp;Q1864,'New Weekly Paste'!B:O,6,0)),""),"")</f>
        <v>Hudspeath</v>
      </c>
      <c r="J1864" s="239">
        <f>IFERROR(IFERROR(VLOOKUP(B1864&amp;C1864&amp;Q1864,'New Weekly Paste'!A:M,8,0),VLOOKUP(B1864&amp;C1864&amp;Q1864,'New Weekly Paste'!B:O,10,0)),0)</f>
        <v>100.36</v>
      </c>
      <c r="K1864" s="239">
        <f>IFERROR(IFERROR(VLOOKUP(B1864&amp;I1864&amp;Q1864,'New Weekly Paste'!A:M,8,0),VLOOKUP(B1864&amp;I1864&amp;Q1864,'New Weekly Paste'!B:O,10,0)),0)</f>
        <v>68.98</v>
      </c>
      <c r="L1864" s="239">
        <f t="shared" si="25"/>
        <v>1</v>
      </c>
      <c r="M1864" s="36" t="str">
        <f t="shared" si="3"/>
        <v>Regular Season</v>
      </c>
      <c r="N1864" s="239" t="str">
        <f t="shared" si="26"/>
        <v>Hudspeath</v>
      </c>
      <c r="O1864" s="6">
        <f>VLOOKUP(D1864,'Mapped Opponent'!$G$4:$H$22,2,0)</f>
        <v>5</v>
      </c>
      <c r="P1864" s="6"/>
      <c r="Q1864" s="6" t="str">
        <f t="shared" si="4"/>
        <v>Week 5</v>
      </c>
      <c r="R1864" s="6" t="str">
        <f t="shared" si="5"/>
        <v>2020Week 5</v>
      </c>
      <c r="S1864" s="6">
        <f>IFERROR(__xludf.DUMMYFUNCTION("rank(J1864,FILTER(J:J,R:R=R1864))"),4.0)</f>
        <v>4</v>
      </c>
      <c r="T1864" s="6">
        <f t="shared" si="6"/>
        <v>8</v>
      </c>
      <c r="U1864" s="6">
        <f t="shared" si="7"/>
        <v>4</v>
      </c>
      <c r="V1864" s="42">
        <f>averageif(AllData!A:A,B1864,AllData!R:R)/vlookup(B1864,AllData!A:O,15,0)</f>
        <v>95.94858974</v>
      </c>
      <c r="W1864" s="6"/>
    </row>
    <row r="1865" ht="14.25" customHeight="1">
      <c r="A1865" s="6" t="str">
        <f t="shared" si="1"/>
        <v>2020Shep5</v>
      </c>
      <c r="B1865" s="59">
        <v>2020.0</v>
      </c>
      <c r="C1865" s="13" t="s">
        <v>89</v>
      </c>
      <c r="D1865" s="13" t="s">
        <v>141</v>
      </c>
      <c r="E1865" s="34"/>
      <c r="F1865" s="6"/>
      <c r="H1865" s="6"/>
      <c r="I1865" s="35" t="str">
        <f>IFERROR(IFERROR(IFERROR(VLOOKUP(B1865&amp;C1865&amp;Q1865,'New Weekly Paste'!A:M,10,0),VLOOKUP(B1865&amp;C1865&amp;Q1865,'New Weekly Paste'!B:O,6,0)),""),"")</f>
        <v>T-How</v>
      </c>
      <c r="J1865" s="239">
        <f>IFERROR(IFERROR(VLOOKUP(B1865&amp;C1865&amp;Q1865,'New Weekly Paste'!A:M,8,0),VLOOKUP(B1865&amp;C1865&amp;Q1865,'New Weekly Paste'!B:O,10,0)),0)</f>
        <v>57.92</v>
      </c>
      <c r="K1865" s="239">
        <f>IFERROR(IFERROR(VLOOKUP(B1865&amp;I1865&amp;Q1865,'New Weekly Paste'!A:M,8,0),VLOOKUP(B1865&amp;I1865&amp;Q1865,'New Weekly Paste'!B:O,10,0)),0)</f>
        <v>65.24</v>
      </c>
      <c r="L1865" s="239">
        <f t="shared" si="25"/>
        <v>0</v>
      </c>
      <c r="M1865" s="36" t="str">
        <f t="shared" si="3"/>
        <v>Regular Season</v>
      </c>
      <c r="N1865" s="239" t="str">
        <f t="shared" si="26"/>
        <v>T-How</v>
      </c>
      <c r="O1865" s="6">
        <f>VLOOKUP(D1865,'Mapped Opponent'!$G$4:$H$22,2,0)</f>
        <v>5</v>
      </c>
      <c r="P1865" s="6"/>
      <c r="Q1865" s="6" t="str">
        <f t="shared" si="4"/>
        <v>Week 5</v>
      </c>
      <c r="R1865" s="6" t="str">
        <f t="shared" si="5"/>
        <v>2020Week 5</v>
      </c>
      <c r="S1865" s="6">
        <f>IFERROR(__xludf.DUMMYFUNCTION("rank(J1865,FILTER(J:J,R:R=R1865))"),12.0)</f>
        <v>12</v>
      </c>
      <c r="T1865" s="6">
        <f t="shared" si="6"/>
        <v>0</v>
      </c>
      <c r="U1865" s="6">
        <f t="shared" si="7"/>
        <v>12</v>
      </c>
      <c r="V1865" s="42">
        <f>averageif(AllData!A:A,B1865,AllData!R:R)/vlookup(B1865,AllData!A:O,15,0)</f>
        <v>95.94858974</v>
      </c>
      <c r="W1865" s="6"/>
    </row>
    <row r="1866" ht="14.25" customHeight="1">
      <c r="A1866" s="6" t="str">
        <f t="shared" si="1"/>
        <v>2020Riley5</v>
      </c>
      <c r="B1866" s="59">
        <v>2020.0</v>
      </c>
      <c r="C1866" s="13" t="s">
        <v>67</v>
      </c>
      <c r="D1866" s="13" t="s">
        <v>141</v>
      </c>
      <c r="E1866" s="34"/>
      <c r="F1866" s="6"/>
      <c r="H1866" s="6"/>
      <c r="I1866" s="35" t="str">
        <f>IFERROR(IFERROR(IFERROR(VLOOKUP(B1866&amp;C1866&amp;Q1866,'New Weekly Paste'!A:M,10,0),VLOOKUP(B1866&amp;C1866&amp;Q1866,'New Weekly Paste'!B:O,6,0)),""),"")</f>
        <v>Tayski</v>
      </c>
      <c r="J1866" s="239">
        <f>IFERROR(IFERROR(VLOOKUP(B1866&amp;C1866&amp;Q1866,'New Weekly Paste'!A:M,8,0),VLOOKUP(B1866&amp;C1866&amp;Q1866,'New Weekly Paste'!B:O,10,0)),0)</f>
        <v>86.58</v>
      </c>
      <c r="K1866" s="239">
        <f>IFERROR(IFERROR(VLOOKUP(B1866&amp;I1866&amp;Q1866,'New Weekly Paste'!A:M,8,0),VLOOKUP(B1866&amp;I1866&amp;Q1866,'New Weekly Paste'!B:O,10,0)),0)</f>
        <v>86.82</v>
      </c>
      <c r="L1866" s="239">
        <f t="shared" si="25"/>
        <v>0</v>
      </c>
      <c r="M1866" s="36" t="str">
        <f t="shared" si="3"/>
        <v>Regular Season</v>
      </c>
      <c r="N1866" s="239" t="str">
        <f t="shared" si="26"/>
        <v>Tayski</v>
      </c>
      <c r="O1866" s="6">
        <f>VLOOKUP(D1866,'Mapped Opponent'!$G$4:$H$22,2,0)</f>
        <v>5</v>
      </c>
      <c r="P1866" s="6"/>
      <c r="Q1866" s="6" t="str">
        <f t="shared" si="4"/>
        <v>Week 5</v>
      </c>
      <c r="R1866" s="6" t="str">
        <f t="shared" si="5"/>
        <v>2020Week 5</v>
      </c>
      <c r="S1866" s="6">
        <f>IFERROR(__xludf.DUMMYFUNCTION("rank(J1866,FILTER(J:J,R:R=R1866))"),7.0)</f>
        <v>7</v>
      </c>
      <c r="T1866" s="6">
        <f t="shared" si="6"/>
        <v>5</v>
      </c>
      <c r="U1866" s="6">
        <f t="shared" si="7"/>
        <v>7</v>
      </c>
      <c r="V1866" s="42">
        <f>averageif(AllData!A:A,B1866,AllData!R:R)/vlookup(B1866,AllData!A:O,15,0)</f>
        <v>95.94858974</v>
      </c>
      <c r="W1866" s="6"/>
    </row>
    <row r="1867" ht="14.25" customHeight="1">
      <c r="A1867" s="6" t="str">
        <f t="shared" si="1"/>
        <v>2020Rooney/Jackson5</v>
      </c>
      <c r="B1867" s="59">
        <v>2020.0</v>
      </c>
      <c r="C1867" s="13" t="s">
        <v>57</v>
      </c>
      <c r="D1867" s="13" t="s">
        <v>141</v>
      </c>
      <c r="E1867" s="34"/>
      <c r="F1867" s="6"/>
      <c r="H1867" s="6"/>
      <c r="I1867" s="35" t="str">
        <f>IFERROR(IFERROR(IFERROR(VLOOKUP(B1867&amp;C1867&amp;Q1867,'New Weekly Paste'!A:M,10,0),VLOOKUP(B1867&amp;C1867&amp;Q1867,'New Weekly Paste'!B:O,6,0)),""),"")</f>
        <v>Pierson</v>
      </c>
      <c r="J1867" s="239">
        <f>IFERROR(IFERROR(VLOOKUP(B1867&amp;C1867&amp;Q1867,'New Weekly Paste'!A:M,8,0),VLOOKUP(B1867&amp;C1867&amp;Q1867,'New Weekly Paste'!B:O,10,0)),0)</f>
        <v>84.66</v>
      </c>
      <c r="K1867" s="239">
        <f>IFERROR(IFERROR(VLOOKUP(B1867&amp;I1867&amp;Q1867,'New Weekly Paste'!A:M,8,0),VLOOKUP(B1867&amp;I1867&amp;Q1867,'New Weekly Paste'!B:O,10,0)),0)</f>
        <v>127.1</v>
      </c>
      <c r="L1867" s="239">
        <f t="shared" si="25"/>
        <v>0</v>
      </c>
      <c r="M1867" s="36" t="str">
        <f t="shared" si="3"/>
        <v>Regular Season</v>
      </c>
      <c r="N1867" s="239" t="str">
        <f t="shared" si="26"/>
        <v>Pierson</v>
      </c>
      <c r="O1867" s="6">
        <f>VLOOKUP(D1867,'Mapped Opponent'!$G$4:$H$22,2,0)</f>
        <v>5</v>
      </c>
      <c r="P1867" s="6"/>
      <c r="Q1867" s="6" t="str">
        <f t="shared" si="4"/>
        <v>Week 5</v>
      </c>
      <c r="R1867" s="6" t="str">
        <f t="shared" si="5"/>
        <v>2020Week 5</v>
      </c>
      <c r="S1867" s="6">
        <f>IFERROR(__xludf.DUMMYFUNCTION("rank(J1867,FILTER(J:J,R:R=R1867))"),9.0)</f>
        <v>9</v>
      </c>
      <c r="T1867" s="6">
        <f t="shared" si="6"/>
        <v>3</v>
      </c>
      <c r="U1867" s="6">
        <f t="shared" si="7"/>
        <v>9</v>
      </c>
      <c r="V1867" s="42">
        <f>averageif(AllData!A:A,B1867,AllData!R:R)/vlookup(B1867,AllData!A:O,15,0)</f>
        <v>95.94858974</v>
      </c>
      <c r="W1867" s="6"/>
    </row>
    <row r="1868" ht="14.25" customHeight="1">
      <c r="A1868" s="6" t="str">
        <f t="shared" si="1"/>
        <v>2020Buser5</v>
      </c>
      <c r="B1868" s="59">
        <v>2020.0</v>
      </c>
      <c r="C1868" s="13" t="s">
        <v>47</v>
      </c>
      <c r="D1868" s="13" t="s">
        <v>141</v>
      </c>
      <c r="E1868" s="34"/>
      <c r="F1868" s="6"/>
      <c r="H1868" s="6"/>
      <c r="I1868" s="35" t="str">
        <f>IFERROR(IFERROR(IFERROR(VLOOKUP(B1868&amp;C1868&amp;Q1868,'New Weekly Paste'!A:M,10,0),VLOOKUP(B1868&amp;C1868&amp;Q1868,'New Weekly Paste'!B:O,6,0)),""),"")</f>
        <v>KnardDawg</v>
      </c>
      <c r="J1868" s="239">
        <f>IFERROR(IFERROR(VLOOKUP(B1868&amp;C1868&amp;Q1868,'New Weekly Paste'!A:M,8,0),VLOOKUP(B1868&amp;C1868&amp;Q1868,'New Weekly Paste'!B:O,10,0)),0)</f>
        <v>93</v>
      </c>
      <c r="K1868" s="239">
        <f>IFERROR(IFERROR(VLOOKUP(B1868&amp;I1868&amp;Q1868,'New Weekly Paste'!A:M,8,0),VLOOKUP(B1868&amp;I1868&amp;Q1868,'New Weekly Paste'!B:O,10,0)),0)</f>
        <v>85.66</v>
      </c>
      <c r="L1868" s="239">
        <f t="shared" si="25"/>
        <v>1</v>
      </c>
      <c r="M1868" s="36" t="str">
        <f t="shared" si="3"/>
        <v>Regular Season</v>
      </c>
      <c r="N1868" s="239" t="str">
        <f t="shared" si="26"/>
        <v>KnardDawg</v>
      </c>
      <c r="O1868" s="6">
        <f>VLOOKUP(D1868,'Mapped Opponent'!$G$4:$H$22,2,0)</f>
        <v>5</v>
      </c>
      <c r="P1868" s="6"/>
      <c r="Q1868" s="6" t="str">
        <f t="shared" si="4"/>
        <v>Week 5</v>
      </c>
      <c r="R1868" s="6" t="str">
        <f t="shared" si="5"/>
        <v>2020Week 5</v>
      </c>
      <c r="S1868" s="6">
        <f>IFERROR(__xludf.DUMMYFUNCTION("rank(J1868,FILTER(J:J,R:R=R1868))"),5.0)</f>
        <v>5</v>
      </c>
      <c r="T1868" s="6">
        <f t="shared" si="6"/>
        <v>7</v>
      </c>
      <c r="U1868" s="6">
        <f t="shared" si="7"/>
        <v>5</v>
      </c>
      <c r="V1868" s="42">
        <f>averageif(AllData!A:A,B1868,AllData!R:R)/vlookup(B1868,AllData!A:O,15,0)</f>
        <v>95.94858974</v>
      </c>
      <c r="W1868" s="6"/>
    </row>
    <row r="1869" ht="14.25" customHeight="1">
      <c r="A1869" s="6" t="str">
        <f t="shared" si="1"/>
        <v>2020Pierson5</v>
      </c>
      <c r="B1869" s="59">
        <v>2020.0</v>
      </c>
      <c r="C1869" s="13" t="s">
        <v>92</v>
      </c>
      <c r="D1869" s="13" t="s">
        <v>141</v>
      </c>
      <c r="E1869" s="34"/>
      <c r="F1869" s="6"/>
      <c r="H1869" s="6"/>
      <c r="I1869" s="35" t="str">
        <f>IFERROR(IFERROR(IFERROR(VLOOKUP(B1869&amp;C1869&amp;Q1869,'New Weekly Paste'!A:M,10,0),VLOOKUP(B1869&amp;C1869&amp;Q1869,'New Weekly Paste'!B:O,6,0)),""),"")</f>
        <v>Rooney/Jackson</v>
      </c>
      <c r="J1869" s="239">
        <f>IFERROR(IFERROR(VLOOKUP(B1869&amp;C1869&amp;Q1869,'New Weekly Paste'!A:M,8,0),VLOOKUP(B1869&amp;C1869&amp;Q1869,'New Weekly Paste'!B:O,10,0)),0)</f>
        <v>127.1</v>
      </c>
      <c r="K1869" s="239">
        <f>IFERROR(IFERROR(VLOOKUP(B1869&amp;I1869&amp;Q1869,'New Weekly Paste'!A:M,8,0),VLOOKUP(B1869&amp;I1869&amp;Q1869,'New Weekly Paste'!B:O,10,0)),0)</f>
        <v>84.66</v>
      </c>
      <c r="L1869" s="239">
        <f t="shared" si="25"/>
        <v>1</v>
      </c>
      <c r="M1869" s="36" t="str">
        <f t="shared" si="3"/>
        <v>Regular Season</v>
      </c>
      <c r="N1869" s="239" t="str">
        <f t="shared" si="26"/>
        <v>Rooney/Jackson</v>
      </c>
      <c r="O1869" s="6">
        <f>VLOOKUP(D1869,'Mapped Opponent'!$G$4:$H$22,2,0)</f>
        <v>5</v>
      </c>
      <c r="P1869" s="6"/>
      <c r="Q1869" s="6" t="str">
        <f t="shared" si="4"/>
        <v>Week 5</v>
      </c>
      <c r="R1869" s="6" t="str">
        <f t="shared" si="5"/>
        <v>2020Week 5</v>
      </c>
      <c r="S1869" s="6">
        <f>IFERROR(__xludf.DUMMYFUNCTION("rank(J1869,FILTER(J:J,R:R=R1869))"),2.0)</f>
        <v>2</v>
      </c>
      <c r="T1869" s="6">
        <f t="shared" si="6"/>
        <v>10</v>
      </c>
      <c r="U1869" s="6">
        <f t="shared" si="7"/>
        <v>2</v>
      </c>
      <c r="V1869" s="42">
        <f>averageif(AllData!A:A,B1869,AllData!R:R)/vlookup(B1869,AllData!A:O,15,0)</f>
        <v>95.94858974</v>
      </c>
      <c r="W1869" s="6"/>
    </row>
    <row r="1870" ht="14.25" customHeight="1">
      <c r="A1870" s="6" t="str">
        <f t="shared" si="1"/>
        <v>2020Cock5</v>
      </c>
      <c r="B1870" s="59">
        <v>2020.0</v>
      </c>
      <c r="C1870" s="13" t="s">
        <v>72</v>
      </c>
      <c r="D1870" s="13" t="s">
        <v>141</v>
      </c>
      <c r="E1870" s="34"/>
      <c r="F1870" s="6"/>
      <c r="H1870" s="6"/>
      <c r="I1870" s="35" t="str">
        <f>IFERROR(IFERROR(IFERROR(VLOOKUP(B1870&amp;C1870&amp;Q1870,'New Weekly Paste'!A:M,10,0),VLOOKUP(B1870&amp;C1870&amp;Q1870,'New Weekly Paste'!B:O,6,0)),""),"")</f>
        <v>Salty</v>
      </c>
      <c r="J1870" s="239">
        <f>IFERROR(IFERROR(VLOOKUP(B1870&amp;C1870&amp;Q1870,'New Weekly Paste'!A:M,8,0),VLOOKUP(B1870&amp;C1870&amp;Q1870,'New Weekly Paste'!B:O,10,0)),0)</f>
        <v>122.54</v>
      </c>
      <c r="K1870" s="239">
        <f>IFERROR(IFERROR(VLOOKUP(B1870&amp;I1870&amp;Q1870,'New Weekly Paste'!A:M,8,0),VLOOKUP(B1870&amp;I1870&amp;Q1870,'New Weekly Paste'!B:O,10,0)),0)</f>
        <v>144.6</v>
      </c>
      <c r="L1870" s="239">
        <f t="shared" si="25"/>
        <v>0</v>
      </c>
      <c r="M1870" s="36" t="str">
        <f t="shared" si="3"/>
        <v>Regular Season</v>
      </c>
      <c r="N1870" s="239" t="str">
        <f t="shared" si="26"/>
        <v>Salty</v>
      </c>
      <c r="O1870" s="6">
        <f>VLOOKUP(D1870,'Mapped Opponent'!$G$4:$H$22,2,0)</f>
        <v>5</v>
      </c>
      <c r="P1870" s="6"/>
      <c r="Q1870" s="6" t="str">
        <f t="shared" si="4"/>
        <v>Week 5</v>
      </c>
      <c r="R1870" s="6" t="str">
        <f t="shared" si="5"/>
        <v>2020Week 5</v>
      </c>
      <c r="S1870" s="6">
        <f>IFERROR(__xludf.DUMMYFUNCTION("rank(J1870,FILTER(J:J,R:R=R1870))"),3.0)</f>
        <v>3</v>
      </c>
      <c r="T1870" s="6">
        <f t="shared" si="6"/>
        <v>9</v>
      </c>
      <c r="U1870" s="6">
        <f t="shared" si="7"/>
        <v>3</v>
      </c>
      <c r="V1870" s="42">
        <f>averageif(AllData!A:A,B1870,AllData!R:R)/vlookup(B1870,AllData!A:O,15,0)</f>
        <v>95.94858974</v>
      </c>
      <c r="W1870" s="6"/>
    </row>
    <row r="1871" ht="14.25" customHeight="1">
      <c r="A1871" s="6" t="str">
        <f t="shared" si="1"/>
        <v>2020Tayski5</v>
      </c>
      <c r="B1871" s="59">
        <v>2020.0</v>
      </c>
      <c r="C1871" s="13" t="s">
        <v>52</v>
      </c>
      <c r="D1871" s="13" t="s">
        <v>141</v>
      </c>
      <c r="E1871" s="34"/>
      <c r="F1871" s="6"/>
      <c r="H1871" s="6"/>
      <c r="I1871" s="35" t="str">
        <f>IFERROR(IFERROR(IFERROR(VLOOKUP(B1871&amp;C1871&amp;Q1871,'New Weekly Paste'!A:M,10,0),VLOOKUP(B1871&amp;C1871&amp;Q1871,'New Weekly Paste'!B:O,6,0)),""),"")</f>
        <v>Riley</v>
      </c>
      <c r="J1871" s="239">
        <f>IFERROR(IFERROR(VLOOKUP(B1871&amp;C1871&amp;Q1871,'New Weekly Paste'!A:M,8,0),VLOOKUP(B1871&amp;C1871&amp;Q1871,'New Weekly Paste'!B:O,10,0)),0)</f>
        <v>86.82</v>
      </c>
      <c r="K1871" s="239">
        <f>IFERROR(IFERROR(VLOOKUP(B1871&amp;I1871&amp;Q1871,'New Weekly Paste'!A:M,8,0),VLOOKUP(B1871&amp;I1871&amp;Q1871,'New Weekly Paste'!B:O,10,0)),0)</f>
        <v>86.58</v>
      </c>
      <c r="L1871" s="239">
        <f t="shared" si="25"/>
        <v>1</v>
      </c>
      <c r="M1871" s="36" t="str">
        <f t="shared" si="3"/>
        <v>Regular Season</v>
      </c>
      <c r="N1871" s="239" t="str">
        <f t="shared" si="26"/>
        <v>Riley</v>
      </c>
      <c r="O1871" s="6">
        <f>VLOOKUP(D1871,'Mapped Opponent'!$G$4:$H$22,2,0)</f>
        <v>5</v>
      </c>
      <c r="P1871" s="6"/>
      <c r="Q1871" s="6" t="str">
        <f t="shared" si="4"/>
        <v>Week 5</v>
      </c>
      <c r="R1871" s="6" t="str">
        <f t="shared" si="5"/>
        <v>2020Week 5</v>
      </c>
      <c r="S1871" s="6">
        <f>IFERROR(__xludf.DUMMYFUNCTION("rank(J1871,FILTER(J:J,R:R=R1871))"),6.0)</f>
        <v>6</v>
      </c>
      <c r="T1871" s="6">
        <f t="shared" si="6"/>
        <v>6</v>
      </c>
      <c r="U1871" s="6">
        <f t="shared" si="7"/>
        <v>6</v>
      </c>
      <c r="V1871" s="42">
        <f>averageif(AllData!A:A,B1871,AllData!R:R)/vlookup(B1871,AllData!A:O,15,0)</f>
        <v>95.94858974</v>
      </c>
      <c r="W1871" s="6"/>
    </row>
    <row r="1872" ht="14.25" customHeight="1">
      <c r="A1872" s="6" t="str">
        <f t="shared" si="1"/>
        <v>2020KnardDawg5</v>
      </c>
      <c r="B1872" s="59">
        <v>2020.0</v>
      </c>
      <c r="C1872" s="13" t="s">
        <v>86</v>
      </c>
      <c r="D1872" s="13" t="s">
        <v>141</v>
      </c>
      <c r="E1872" s="34"/>
      <c r="F1872" s="6"/>
      <c r="H1872" s="6"/>
      <c r="I1872" s="35" t="str">
        <f>IFERROR(IFERROR(IFERROR(VLOOKUP(B1872&amp;C1872&amp;Q1872,'New Weekly Paste'!A:M,10,0),VLOOKUP(B1872&amp;C1872&amp;Q1872,'New Weekly Paste'!B:O,6,0)),""),"")</f>
        <v>Buser</v>
      </c>
      <c r="J1872" s="239">
        <f>IFERROR(IFERROR(VLOOKUP(B1872&amp;C1872&amp;Q1872,'New Weekly Paste'!A:M,8,0),VLOOKUP(B1872&amp;C1872&amp;Q1872,'New Weekly Paste'!B:O,10,0)),0)</f>
        <v>85.66</v>
      </c>
      <c r="K1872" s="239">
        <f>IFERROR(IFERROR(VLOOKUP(B1872&amp;I1872&amp;Q1872,'New Weekly Paste'!A:M,8,0),VLOOKUP(B1872&amp;I1872&amp;Q1872,'New Weekly Paste'!B:O,10,0)),0)</f>
        <v>93</v>
      </c>
      <c r="L1872" s="239">
        <f t="shared" si="25"/>
        <v>0</v>
      </c>
      <c r="M1872" s="36" t="str">
        <f t="shared" si="3"/>
        <v>Regular Season</v>
      </c>
      <c r="N1872" s="239" t="str">
        <f t="shared" si="26"/>
        <v>Buser</v>
      </c>
      <c r="O1872" s="6">
        <f>VLOOKUP(D1872,'Mapped Opponent'!$G$4:$H$22,2,0)</f>
        <v>5</v>
      </c>
      <c r="P1872" s="6"/>
      <c r="Q1872" s="6" t="str">
        <f t="shared" si="4"/>
        <v>Week 5</v>
      </c>
      <c r="R1872" s="6" t="str">
        <f t="shared" si="5"/>
        <v>2020Week 5</v>
      </c>
      <c r="S1872" s="6">
        <f>IFERROR(__xludf.DUMMYFUNCTION("rank(J1872,FILTER(J:J,R:R=R1872))"),8.0)</f>
        <v>8</v>
      </c>
      <c r="T1872" s="6">
        <f t="shared" si="6"/>
        <v>4</v>
      </c>
      <c r="U1872" s="6">
        <f t="shared" si="7"/>
        <v>8</v>
      </c>
      <c r="V1872" s="42">
        <f>averageif(AllData!A:A,B1872,AllData!R:R)/vlookup(B1872,AllData!A:O,15,0)</f>
        <v>95.94858974</v>
      </c>
      <c r="W1872" s="6"/>
    </row>
    <row r="1873" ht="14.25" customHeight="1">
      <c r="A1873" s="6" t="str">
        <f t="shared" si="1"/>
        <v>2020T-How5</v>
      </c>
      <c r="B1873" s="59">
        <v>2020.0</v>
      </c>
      <c r="C1873" s="13" t="s">
        <v>82</v>
      </c>
      <c r="D1873" s="13" t="s">
        <v>141</v>
      </c>
      <c r="E1873" s="34"/>
      <c r="F1873" s="6"/>
      <c r="H1873" s="6"/>
      <c r="I1873" s="35" t="str">
        <f>IFERROR(IFERROR(IFERROR(VLOOKUP(B1873&amp;C1873&amp;Q1873,'New Weekly Paste'!A:M,10,0),VLOOKUP(B1873&amp;C1873&amp;Q1873,'New Weekly Paste'!B:O,6,0)),""),"")</f>
        <v>Shep</v>
      </c>
      <c r="J1873" s="239">
        <f>IFERROR(IFERROR(VLOOKUP(B1873&amp;C1873&amp;Q1873,'New Weekly Paste'!A:M,8,0),VLOOKUP(B1873&amp;C1873&amp;Q1873,'New Weekly Paste'!B:O,10,0)),0)</f>
        <v>65.24</v>
      </c>
      <c r="K1873" s="239">
        <f>IFERROR(IFERROR(VLOOKUP(B1873&amp;I1873&amp;Q1873,'New Weekly Paste'!A:M,8,0),VLOOKUP(B1873&amp;I1873&amp;Q1873,'New Weekly Paste'!B:O,10,0)),0)</f>
        <v>57.92</v>
      </c>
      <c r="L1873" s="239">
        <f t="shared" si="25"/>
        <v>1</v>
      </c>
      <c r="M1873" s="36" t="str">
        <f t="shared" si="3"/>
        <v>Regular Season</v>
      </c>
      <c r="N1873" s="239" t="str">
        <f t="shared" si="26"/>
        <v>Shep</v>
      </c>
      <c r="O1873" s="6">
        <f>VLOOKUP(D1873,'Mapped Opponent'!$G$4:$H$22,2,0)</f>
        <v>5</v>
      </c>
      <c r="P1873" s="6"/>
      <c r="Q1873" s="6" t="str">
        <f t="shared" si="4"/>
        <v>Week 5</v>
      </c>
      <c r="R1873" s="6" t="str">
        <f t="shared" si="5"/>
        <v>2020Week 5</v>
      </c>
      <c r="S1873" s="6">
        <f>IFERROR(__xludf.DUMMYFUNCTION("rank(J1873,FILTER(J:J,R:R=R1873))"),11.0)</f>
        <v>11</v>
      </c>
      <c r="T1873" s="6">
        <f t="shared" si="6"/>
        <v>1</v>
      </c>
      <c r="U1873" s="6">
        <f t="shared" si="7"/>
        <v>11</v>
      </c>
      <c r="V1873" s="42">
        <f>averageif(AllData!A:A,B1873,AllData!R:R)/vlookup(B1873,AllData!A:O,15,0)</f>
        <v>95.94858974</v>
      </c>
      <c r="W1873" s="6"/>
    </row>
    <row r="1874" ht="14.25" customHeight="1">
      <c r="A1874" s="6" t="str">
        <f t="shared" si="1"/>
        <v>2020Hudspeath6</v>
      </c>
      <c r="B1874" s="59">
        <v>2020.0</v>
      </c>
      <c r="C1874" s="13" t="s">
        <v>39</v>
      </c>
      <c r="D1874" s="13" t="s">
        <v>142</v>
      </c>
      <c r="E1874" s="34"/>
      <c r="F1874" s="6"/>
      <c r="H1874" s="6"/>
      <c r="I1874" s="35" t="str">
        <f>IFERROR(IFERROR(IFERROR(VLOOKUP(B1874&amp;C1874&amp;Q1874,'New Weekly Paste'!A:M,10,0),VLOOKUP(B1874&amp;C1874&amp;Q1874,'New Weekly Paste'!B:O,6,0)),""),"")</f>
        <v>Salty</v>
      </c>
      <c r="J1874" s="239">
        <f>IFERROR(IFERROR(VLOOKUP(B1874&amp;C1874&amp;Q1874,'New Weekly Paste'!A:M,8,0),VLOOKUP(B1874&amp;C1874&amp;Q1874,'New Weekly Paste'!B:O,10,0)),0)</f>
        <v>70.28</v>
      </c>
      <c r="K1874" s="239">
        <f>IFERROR(IFERROR(VLOOKUP(B1874&amp;I1874&amp;Q1874,'New Weekly Paste'!A:M,8,0),VLOOKUP(B1874&amp;I1874&amp;Q1874,'New Weekly Paste'!B:O,10,0)),0)</f>
        <v>66.4</v>
      </c>
      <c r="L1874" s="239">
        <f t="shared" si="25"/>
        <v>1</v>
      </c>
      <c r="M1874" s="36" t="str">
        <f t="shared" si="3"/>
        <v>Regular Season</v>
      </c>
      <c r="N1874" s="239" t="str">
        <f t="shared" si="26"/>
        <v>Salty</v>
      </c>
      <c r="O1874" s="6">
        <f>VLOOKUP(D1874,'Mapped Opponent'!$G$4:$H$22,2,0)</f>
        <v>6</v>
      </c>
      <c r="P1874" s="6"/>
      <c r="Q1874" s="6" t="str">
        <f t="shared" si="4"/>
        <v>Week 6</v>
      </c>
      <c r="R1874" s="6" t="str">
        <f t="shared" si="5"/>
        <v>2020Week 6</v>
      </c>
      <c r="S1874" s="6">
        <f>IFERROR(__xludf.DUMMYFUNCTION("rank(J1874,FILTER(J:J,R:R=R1874))"),9.0)</f>
        <v>9</v>
      </c>
      <c r="T1874" s="6">
        <f t="shared" si="6"/>
        <v>3</v>
      </c>
      <c r="U1874" s="6">
        <f t="shared" si="7"/>
        <v>9</v>
      </c>
      <c r="V1874" s="42">
        <f>averageif(AllData!A:A,B1874,AllData!R:R)/vlookup(B1874,AllData!A:O,15,0)</f>
        <v>95.94858974</v>
      </c>
      <c r="W1874" s="6"/>
    </row>
    <row r="1875" ht="14.25" customHeight="1">
      <c r="A1875" s="6" t="str">
        <f t="shared" si="1"/>
        <v>2020Salty6</v>
      </c>
      <c r="B1875" s="59">
        <v>2020.0</v>
      </c>
      <c r="C1875" s="13" t="s">
        <v>76</v>
      </c>
      <c r="D1875" s="13" t="s">
        <v>142</v>
      </c>
      <c r="E1875" s="34"/>
      <c r="F1875" s="6"/>
      <c r="H1875" s="6"/>
      <c r="I1875" s="35" t="str">
        <f>IFERROR(IFERROR(IFERROR(VLOOKUP(B1875&amp;C1875&amp;Q1875,'New Weekly Paste'!A:M,10,0),VLOOKUP(B1875&amp;C1875&amp;Q1875,'New Weekly Paste'!B:O,6,0)),""),"")</f>
        <v>Hudspeath</v>
      </c>
      <c r="J1875" s="239">
        <f>IFERROR(IFERROR(VLOOKUP(B1875&amp;C1875&amp;Q1875,'New Weekly Paste'!A:M,8,0),VLOOKUP(B1875&amp;C1875&amp;Q1875,'New Weekly Paste'!B:O,10,0)),0)</f>
        <v>66.4</v>
      </c>
      <c r="K1875" s="239">
        <f>IFERROR(IFERROR(VLOOKUP(B1875&amp;I1875&amp;Q1875,'New Weekly Paste'!A:M,8,0),VLOOKUP(B1875&amp;I1875&amp;Q1875,'New Weekly Paste'!B:O,10,0)),0)</f>
        <v>70.28</v>
      </c>
      <c r="L1875" s="239">
        <f t="shared" si="25"/>
        <v>0</v>
      </c>
      <c r="M1875" s="36" t="str">
        <f t="shared" si="3"/>
        <v>Regular Season</v>
      </c>
      <c r="N1875" s="239" t="str">
        <f t="shared" si="26"/>
        <v>Hudspeath</v>
      </c>
      <c r="O1875" s="6">
        <f>VLOOKUP(D1875,'Mapped Opponent'!$G$4:$H$22,2,0)</f>
        <v>6</v>
      </c>
      <c r="P1875" s="6"/>
      <c r="Q1875" s="6" t="str">
        <f t="shared" si="4"/>
        <v>Week 6</v>
      </c>
      <c r="R1875" s="6" t="str">
        <f t="shared" si="5"/>
        <v>2020Week 6</v>
      </c>
      <c r="S1875" s="6">
        <f>IFERROR(__xludf.DUMMYFUNCTION("rank(J1875,FILTER(J:J,R:R=R1875))"),12.0)</f>
        <v>12</v>
      </c>
      <c r="T1875" s="6">
        <f t="shared" si="6"/>
        <v>0</v>
      </c>
      <c r="U1875" s="6">
        <f t="shared" si="7"/>
        <v>12</v>
      </c>
      <c r="V1875" s="42">
        <f>averageif(AllData!A:A,B1875,AllData!R:R)/vlookup(B1875,AllData!A:O,15,0)</f>
        <v>95.94858974</v>
      </c>
      <c r="W1875" s="6"/>
    </row>
    <row r="1876" ht="14.25" customHeight="1">
      <c r="A1876" s="6" t="str">
        <f t="shared" si="1"/>
        <v>2020Fellows6</v>
      </c>
      <c r="B1876" s="59">
        <v>2020.0</v>
      </c>
      <c r="C1876" s="13" t="s">
        <v>79</v>
      </c>
      <c r="D1876" s="13" t="s">
        <v>142</v>
      </c>
      <c r="E1876" s="34"/>
      <c r="F1876" s="6"/>
      <c r="H1876" s="6"/>
      <c r="I1876" s="35" t="str">
        <f>IFERROR(IFERROR(IFERROR(VLOOKUP(B1876&amp;C1876&amp;Q1876,'New Weekly Paste'!A:M,10,0),VLOOKUP(B1876&amp;C1876&amp;Q1876,'New Weekly Paste'!B:O,6,0)),""),"")</f>
        <v>Tayski</v>
      </c>
      <c r="J1876" s="239">
        <f>IFERROR(IFERROR(VLOOKUP(B1876&amp;C1876&amp;Q1876,'New Weekly Paste'!A:M,8,0),VLOOKUP(B1876&amp;C1876&amp;Q1876,'New Weekly Paste'!B:O,10,0)),0)</f>
        <v>106.28</v>
      </c>
      <c r="K1876" s="239">
        <f>IFERROR(IFERROR(VLOOKUP(B1876&amp;I1876&amp;Q1876,'New Weekly Paste'!A:M,8,0),VLOOKUP(B1876&amp;I1876&amp;Q1876,'New Weekly Paste'!B:O,10,0)),0)</f>
        <v>109.08</v>
      </c>
      <c r="L1876" s="239">
        <f t="shared" si="25"/>
        <v>0</v>
      </c>
      <c r="M1876" s="36" t="str">
        <f t="shared" si="3"/>
        <v>Regular Season</v>
      </c>
      <c r="N1876" s="239" t="str">
        <f t="shared" si="26"/>
        <v>Tayski</v>
      </c>
      <c r="O1876" s="6">
        <f>VLOOKUP(D1876,'Mapped Opponent'!$G$4:$H$22,2,0)</f>
        <v>6</v>
      </c>
      <c r="P1876" s="6"/>
      <c r="Q1876" s="6" t="str">
        <f t="shared" si="4"/>
        <v>Week 6</v>
      </c>
      <c r="R1876" s="6" t="str">
        <f t="shared" si="5"/>
        <v>2020Week 6</v>
      </c>
      <c r="S1876" s="6">
        <f>IFERROR(__xludf.DUMMYFUNCTION("rank(J1876,FILTER(J:J,R:R=R1876))"),3.0)</f>
        <v>3</v>
      </c>
      <c r="T1876" s="6">
        <f t="shared" si="6"/>
        <v>9</v>
      </c>
      <c r="U1876" s="6">
        <f t="shared" si="7"/>
        <v>3</v>
      </c>
      <c r="V1876" s="42">
        <f>averageif(AllData!A:A,B1876,AllData!R:R)/vlookup(B1876,AllData!A:O,15,0)</f>
        <v>95.94858974</v>
      </c>
      <c r="W1876" s="6"/>
    </row>
    <row r="1877" ht="14.25" customHeight="1">
      <c r="A1877" s="6" t="str">
        <f t="shared" si="1"/>
        <v>2020Shep6</v>
      </c>
      <c r="B1877" s="59">
        <v>2020.0</v>
      </c>
      <c r="C1877" s="13" t="s">
        <v>89</v>
      </c>
      <c r="D1877" s="13" t="s">
        <v>142</v>
      </c>
      <c r="E1877" s="34"/>
      <c r="F1877" s="6"/>
      <c r="H1877" s="6"/>
      <c r="I1877" s="35" t="str">
        <f>IFERROR(IFERROR(IFERROR(VLOOKUP(B1877&amp;C1877&amp;Q1877,'New Weekly Paste'!A:M,10,0),VLOOKUP(B1877&amp;C1877&amp;Q1877,'New Weekly Paste'!B:O,6,0)),""),"")</f>
        <v>Buser</v>
      </c>
      <c r="J1877" s="239">
        <f>IFERROR(IFERROR(VLOOKUP(B1877&amp;C1877&amp;Q1877,'New Weekly Paste'!A:M,8,0),VLOOKUP(B1877&amp;C1877&amp;Q1877,'New Weekly Paste'!B:O,10,0)),0)</f>
        <v>67.8</v>
      </c>
      <c r="K1877" s="239">
        <f>IFERROR(IFERROR(VLOOKUP(B1877&amp;I1877&amp;Q1877,'New Weekly Paste'!A:M,8,0),VLOOKUP(B1877&amp;I1877&amp;Q1877,'New Weekly Paste'!B:O,10,0)),0)</f>
        <v>99.02</v>
      </c>
      <c r="L1877" s="239">
        <f t="shared" si="25"/>
        <v>0</v>
      </c>
      <c r="M1877" s="36" t="str">
        <f t="shared" si="3"/>
        <v>Regular Season</v>
      </c>
      <c r="N1877" s="239" t="str">
        <f t="shared" si="26"/>
        <v>Buser</v>
      </c>
      <c r="O1877" s="6">
        <f>VLOOKUP(D1877,'Mapped Opponent'!$G$4:$H$22,2,0)</f>
        <v>6</v>
      </c>
      <c r="P1877" s="6"/>
      <c r="Q1877" s="6" t="str">
        <f t="shared" si="4"/>
        <v>Week 6</v>
      </c>
      <c r="R1877" s="6" t="str">
        <f t="shared" si="5"/>
        <v>2020Week 6</v>
      </c>
      <c r="S1877" s="6">
        <f>IFERROR(__xludf.DUMMYFUNCTION("rank(J1877,FILTER(J:J,R:R=R1877))"),11.0)</f>
        <v>11</v>
      </c>
      <c r="T1877" s="6">
        <f t="shared" si="6"/>
        <v>1</v>
      </c>
      <c r="U1877" s="6">
        <f t="shared" si="7"/>
        <v>11</v>
      </c>
      <c r="V1877" s="42">
        <f>averageif(AllData!A:A,B1877,AllData!R:R)/vlookup(B1877,AllData!A:O,15,0)</f>
        <v>95.94858974</v>
      </c>
      <c r="W1877" s="6"/>
    </row>
    <row r="1878" ht="14.25" customHeight="1">
      <c r="A1878" s="6" t="str">
        <f t="shared" si="1"/>
        <v>2020Riley6</v>
      </c>
      <c r="B1878" s="59">
        <v>2020.0</v>
      </c>
      <c r="C1878" s="13" t="s">
        <v>67</v>
      </c>
      <c r="D1878" s="13" t="s">
        <v>142</v>
      </c>
      <c r="E1878" s="34"/>
      <c r="F1878" s="6"/>
      <c r="H1878" s="6"/>
      <c r="I1878" s="35" t="str">
        <f>IFERROR(IFERROR(IFERROR(VLOOKUP(B1878&amp;C1878&amp;Q1878,'New Weekly Paste'!A:M,10,0),VLOOKUP(B1878&amp;C1878&amp;Q1878,'New Weekly Paste'!B:O,6,0)),""),"")</f>
        <v>Pierson</v>
      </c>
      <c r="J1878" s="239">
        <f>IFERROR(IFERROR(VLOOKUP(B1878&amp;C1878&amp;Q1878,'New Weekly Paste'!A:M,8,0),VLOOKUP(B1878&amp;C1878&amp;Q1878,'New Weekly Paste'!B:O,10,0)),0)</f>
        <v>88.12</v>
      </c>
      <c r="K1878" s="239">
        <f>IFERROR(IFERROR(VLOOKUP(B1878&amp;I1878&amp;Q1878,'New Weekly Paste'!A:M,8,0),VLOOKUP(B1878&amp;I1878&amp;Q1878,'New Weekly Paste'!B:O,10,0)),0)</f>
        <v>125.94</v>
      </c>
      <c r="L1878" s="239">
        <f t="shared" si="25"/>
        <v>0</v>
      </c>
      <c r="M1878" s="36" t="str">
        <f t="shared" si="3"/>
        <v>Regular Season</v>
      </c>
      <c r="N1878" s="239" t="str">
        <f t="shared" si="26"/>
        <v>Pierson</v>
      </c>
      <c r="O1878" s="6">
        <f>VLOOKUP(D1878,'Mapped Opponent'!$G$4:$H$22,2,0)</f>
        <v>6</v>
      </c>
      <c r="P1878" s="6"/>
      <c r="Q1878" s="6" t="str">
        <f t="shared" si="4"/>
        <v>Week 6</v>
      </c>
      <c r="R1878" s="6" t="str">
        <f t="shared" si="5"/>
        <v>2020Week 6</v>
      </c>
      <c r="S1878" s="6">
        <f>IFERROR(__xludf.DUMMYFUNCTION("rank(J1878,FILTER(J:J,R:R=R1878))"),8.0)</f>
        <v>8</v>
      </c>
      <c r="T1878" s="6">
        <f t="shared" si="6"/>
        <v>4</v>
      </c>
      <c r="U1878" s="6">
        <f t="shared" si="7"/>
        <v>8</v>
      </c>
      <c r="V1878" s="42">
        <f>averageif(AllData!A:A,B1878,AllData!R:R)/vlookup(B1878,AllData!A:O,15,0)</f>
        <v>95.94858974</v>
      </c>
      <c r="W1878" s="6"/>
    </row>
    <row r="1879" ht="14.25" customHeight="1">
      <c r="A1879" s="6" t="str">
        <f t="shared" si="1"/>
        <v>2020Rooney/Jackson6</v>
      </c>
      <c r="B1879" s="59">
        <v>2020.0</v>
      </c>
      <c r="C1879" s="13" t="s">
        <v>57</v>
      </c>
      <c r="D1879" s="13" t="s">
        <v>142</v>
      </c>
      <c r="E1879" s="34"/>
      <c r="F1879" s="6"/>
      <c r="H1879" s="6"/>
      <c r="I1879" s="35" t="str">
        <f>IFERROR(IFERROR(IFERROR(VLOOKUP(B1879&amp;C1879&amp;Q1879,'New Weekly Paste'!A:M,10,0),VLOOKUP(B1879&amp;C1879&amp;Q1879,'New Weekly Paste'!B:O,6,0)),""),"")</f>
        <v>KnardDawg</v>
      </c>
      <c r="J1879" s="239">
        <f>IFERROR(IFERROR(VLOOKUP(B1879&amp;C1879&amp;Q1879,'New Weekly Paste'!A:M,8,0),VLOOKUP(B1879&amp;C1879&amp;Q1879,'New Weekly Paste'!B:O,10,0)),0)</f>
        <v>102.22</v>
      </c>
      <c r="K1879" s="239">
        <f>IFERROR(IFERROR(VLOOKUP(B1879&amp;I1879&amp;Q1879,'New Weekly Paste'!A:M,8,0),VLOOKUP(B1879&amp;I1879&amp;Q1879,'New Weekly Paste'!B:O,10,0)),0)</f>
        <v>96.5</v>
      </c>
      <c r="L1879" s="239">
        <f t="shared" si="25"/>
        <v>1</v>
      </c>
      <c r="M1879" s="36" t="str">
        <f t="shared" si="3"/>
        <v>Regular Season</v>
      </c>
      <c r="N1879" s="239" t="str">
        <f t="shared" si="26"/>
        <v>KnardDawg</v>
      </c>
      <c r="O1879" s="6">
        <f>VLOOKUP(D1879,'Mapped Opponent'!$G$4:$H$22,2,0)</f>
        <v>6</v>
      </c>
      <c r="P1879" s="6"/>
      <c r="Q1879" s="6" t="str">
        <f t="shared" si="4"/>
        <v>Week 6</v>
      </c>
      <c r="R1879" s="6" t="str">
        <f t="shared" si="5"/>
        <v>2020Week 6</v>
      </c>
      <c r="S1879" s="6">
        <f>IFERROR(__xludf.DUMMYFUNCTION("rank(J1879,FILTER(J:J,R:R=R1879))"),4.0)</f>
        <v>4</v>
      </c>
      <c r="T1879" s="6">
        <f t="shared" si="6"/>
        <v>8</v>
      </c>
      <c r="U1879" s="6">
        <f t="shared" si="7"/>
        <v>4</v>
      </c>
      <c r="V1879" s="42">
        <f>averageif(AllData!A:A,B1879,AllData!R:R)/vlookup(B1879,AllData!A:O,15,0)</f>
        <v>95.94858974</v>
      </c>
      <c r="W1879" s="6"/>
    </row>
    <row r="1880" ht="14.25" customHeight="1">
      <c r="A1880" s="6" t="str">
        <f t="shared" si="1"/>
        <v>2020Buser6</v>
      </c>
      <c r="B1880" s="59">
        <v>2020.0</v>
      </c>
      <c r="C1880" s="13" t="s">
        <v>47</v>
      </c>
      <c r="D1880" s="13" t="s">
        <v>142</v>
      </c>
      <c r="E1880" s="34"/>
      <c r="F1880" s="6"/>
      <c r="H1880" s="6"/>
      <c r="I1880" s="35" t="str">
        <f>IFERROR(IFERROR(IFERROR(VLOOKUP(B1880&amp;C1880&amp;Q1880,'New Weekly Paste'!A:M,10,0),VLOOKUP(B1880&amp;C1880&amp;Q1880,'New Weekly Paste'!B:O,6,0)),""),"")</f>
        <v>Shep</v>
      </c>
      <c r="J1880" s="239">
        <f>IFERROR(IFERROR(VLOOKUP(B1880&amp;C1880&amp;Q1880,'New Weekly Paste'!A:M,8,0),VLOOKUP(B1880&amp;C1880&amp;Q1880,'New Weekly Paste'!B:O,10,0)),0)</f>
        <v>99.02</v>
      </c>
      <c r="K1880" s="239">
        <f>IFERROR(IFERROR(VLOOKUP(B1880&amp;I1880&amp;Q1880,'New Weekly Paste'!A:M,8,0),VLOOKUP(B1880&amp;I1880&amp;Q1880,'New Weekly Paste'!B:O,10,0)),0)</f>
        <v>67.8</v>
      </c>
      <c r="L1880" s="239">
        <f t="shared" si="25"/>
        <v>1</v>
      </c>
      <c r="M1880" s="36" t="str">
        <f t="shared" si="3"/>
        <v>Regular Season</v>
      </c>
      <c r="N1880" s="239" t="str">
        <f t="shared" si="26"/>
        <v>Shep</v>
      </c>
      <c r="O1880" s="6">
        <f>VLOOKUP(D1880,'Mapped Opponent'!$G$4:$H$22,2,0)</f>
        <v>6</v>
      </c>
      <c r="P1880" s="6"/>
      <c r="Q1880" s="6" t="str">
        <f t="shared" si="4"/>
        <v>Week 6</v>
      </c>
      <c r="R1880" s="6" t="str">
        <f t="shared" si="5"/>
        <v>2020Week 6</v>
      </c>
      <c r="S1880" s="6">
        <f>IFERROR(__xludf.DUMMYFUNCTION("rank(J1880,FILTER(J:J,R:R=R1880))"),5.0)</f>
        <v>5</v>
      </c>
      <c r="T1880" s="6">
        <f t="shared" si="6"/>
        <v>7</v>
      </c>
      <c r="U1880" s="6">
        <f t="shared" si="7"/>
        <v>5</v>
      </c>
      <c r="V1880" s="42">
        <f>averageif(AllData!A:A,B1880,AllData!R:R)/vlookup(B1880,AllData!A:O,15,0)</f>
        <v>95.94858974</v>
      </c>
      <c r="W1880" s="6"/>
    </row>
    <row r="1881" ht="14.25" customHeight="1">
      <c r="A1881" s="6" t="str">
        <f t="shared" si="1"/>
        <v>2020Pierson6</v>
      </c>
      <c r="B1881" s="59">
        <v>2020.0</v>
      </c>
      <c r="C1881" s="13" t="s">
        <v>92</v>
      </c>
      <c r="D1881" s="13" t="s">
        <v>142</v>
      </c>
      <c r="E1881" s="34"/>
      <c r="F1881" s="6"/>
      <c r="H1881" s="6"/>
      <c r="I1881" s="35" t="str">
        <f>IFERROR(IFERROR(IFERROR(VLOOKUP(B1881&amp;C1881&amp;Q1881,'New Weekly Paste'!A:M,10,0),VLOOKUP(B1881&amp;C1881&amp;Q1881,'New Weekly Paste'!B:O,6,0)),""),"")</f>
        <v>Riley</v>
      </c>
      <c r="J1881" s="239">
        <f>IFERROR(IFERROR(VLOOKUP(B1881&amp;C1881&amp;Q1881,'New Weekly Paste'!A:M,8,0),VLOOKUP(B1881&amp;C1881&amp;Q1881,'New Weekly Paste'!B:O,10,0)),0)</f>
        <v>125.94</v>
      </c>
      <c r="K1881" s="239">
        <f>IFERROR(IFERROR(VLOOKUP(B1881&amp;I1881&amp;Q1881,'New Weekly Paste'!A:M,8,0),VLOOKUP(B1881&amp;I1881&amp;Q1881,'New Weekly Paste'!B:O,10,0)),0)</f>
        <v>88.12</v>
      </c>
      <c r="L1881" s="239">
        <f t="shared" si="25"/>
        <v>1</v>
      </c>
      <c r="M1881" s="36" t="str">
        <f t="shared" si="3"/>
        <v>Regular Season</v>
      </c>
      <c r="N1881" s="239" t="str">
        <f t="shared" si="26"/>
        <v>Riley</v>
      </c>
      <c r="O1881" s="6">
        <f>VLOOKUP(D1881,'Mapped Opponent'!$G$4:$H$22,2,0)</f>
        <v>6</v>
      </c>
      <c r="P1881" s="6"/>
      <c r="Q1881" s="6" t="str">
        <f t="shared" si="4"/>
        <v>Week 6</v>
      </c>
      <c r="R1881" s="6" t="str">
        <f t="shared" si="5"/>
        <v>2020Week 6</v>
      </c>
      <c r="S1881" s="6">
        <f>IFERROR(__xludf.DUMMYFUNCTION("rank(J1881,FILTER(J:J,R:R=R1881))"),1.0)</f>
        <v>1</v>
      </c>
      <c r="T1881" s="6">
        <f t="shared" si="6"/>
        <v>11</v>
      </c>
      <c r="U1881" s="6">
        <f t="shared" si="7"/>
        <v>1</v>
      </c>
      <c r="V1881" s="42">
        <f>averageif(AllData!A:A,B1881,AllData!R:R)/vlookup(B1881,AllData!A:O,15,0)</f>
        <v>95.94858974</v>
      </c>
      <c r="W1881" s="6"/>
    </row>
    <row r="1882" ht="14.25" customHeight="1">
      <c r="A1882" s="6" t="str">
        <f t="shared" si="1"/>
        <v>2020Cock6</v>
      </c>
      <c r="B1882" s="59">
        <v>2020.0</v>
      </c>
      <c r="C1882" s="13" t="s">
        <v>72</v>
      </c>
      <c r="D1882" s="13" t="s">
        <v>142</v>
      </c>
      <c r="E1882" s="34"/>
      <c r="F1882" s="6"/>
      <c r="H1882" s="6"/>
      <c r="I1882" s="35" t="str">
        <f>IFERROR(IFERROR(IFERROR(VLOOKUP(B1882&amp;C1882&amp;Q1882,'New Weekly Paste'!A:M,10,0),VLOOKUP(B1882&amp;C1882&amp;Q1882,'New Weekly Paste'!B:O,6,0)),""),"")</f>
        <v>T-How</v>
      </c>
      <c r="J1882" s="239">
        <f>IFERROR(IFERROR(VLOOKUP(B1882&amp;C1882&amp;Q1882,'New Weekly Paste'!A:M,8,0),VLOOKUP(B1882&amp;C1882&amp;Q1882,'New Weekly Paste'!B:O,10,0)),0)</f>
        <v>96.64</v>
      </c>
      <c r="K1882" s="239">
        <f>IFERROR(IFERROR(VLOOKUP(B1882&amp;I1882&amp;Q1882,'New Weekly Paste'!A:M,8,0),VLOOKUP(B1882&amp;I1882&amp;Q1882,'New Weekly Paste'!B:O,10,0)),0)</f>
        <v>69.94</v>
      </c>
      <c r="L1882" s="239">
        <f t="shared" si="25"/>
        <v>1</v>
      </c>
      <c r="M1882" s="36" t="str">
        <f t="shared" si="3"/>
        <v>Regular Season</v>
      </c>
      <c r="N1882" s="239" t="str">
        <f t="shared" si="26"/>
        <v>T-How</v>
      </c>
      <c r="O1882" s="6">
        <f>VLOOKUP(D1882,'Mapped Opponent'!$G$4:$H$22,2,0)</f>
        <v>6</v>
      </c>
      <c r="P1882" s="6"/>
      <c r="Q1882" s="6" t="str">
        <f t="shared" si="4"/>
        <v>Week 6</v>
      </c>
      <c r="R1882" s="6" t="str">
        <f t="shared" si="5"/>
        <v>2020Week 6</v>
      </c>
      <c r="S1882" s="6">
        <f>IFERROR(__xludf.DUMMYFUNCTION("rank(J1882,FILTER(J:J,R:R=R1882))"),6.0)</f>
        <v>6</v>
      </c>
      <c r="T1882" s="6">
        <f t="shared" si="6"/>
        <v>6</v>
      </c>
      <c r="U1882" s="6">
        <f t="shared" si="7"/>
        <v>6</v>
      </c>
      <c r="V1882" s="42">
        <f>averageif(AllData!A:A,B1882,AllData!R:R)/vlookup(B1882,AllData!A:O,15,0)</f>
        <v>95.94858974</v>
      </c>
      <c r="W1882" s="6"/>
    </row>
    <row r="1883" ht="14.25" customHeight="1">
      <c r="A1883" s="6" t="str">
        <f t="shared" si="1"/>
        <v>2020Tayski6</v>
      </c>
      <c r="B1883" s="59">
        <v>2020.0</v>
      </c>
      <c r="C1883" s="13" t="s">
        <v>52</v>
      </c>
      <c r="D1883" s="13" t="s">
        <v>142</v>
      </c>
      <c r="E1883" s="34"/>
      <c r="F1883" s="6"/>
      <c r="H1883" s="6"/>
      <c r="I1883" s="35" t="str">
        <f>IFERROR(IFERROR(IFERROR(VLOOKUP(B1883&amp;C1883&amp;Q1883,'New Weekly Paste'!A:M,10,0),VLOOKUP(B1883&amp;C1883&amp;Q1883,'New Weekly Paste'!B:O,6,0)),""),"")</f>
        <v>Fellows</v>
      </c>
      <c r="J1883" s="239">
        <f>IFERROR(IFERROR(VLOOKUP(B1883&amp;C1883&amp;Q1883,'New Weekly Paste'!A:M,8,0),VLOOKUP(B1883&amp;C1883&amp;Q1883,'New Weekly Paste'!B:O,10,0)),0)</f>
        <v>109.08</v>
      </c>
      <c r="K1883" s="239">
        <f>IFERROR(IFERROR(VLOOKUP(B1883&amp;I1883&amp;Q1883,'New Weekly Paste'!A:M,8,0),VLOOKUP(B1883&amp;I1883&amp;Q1883,'New Weekly Paste'!B:O,10,0)),0)</f>
        <v>106.28</v>
      </c>
      <c r="L1883" s="239">
        <f t="shared" si="25"/>
        <v>1</v>
      </c>
      <c r="M1883" s="36" t="str">
        <f t="shared" si="3"/>
        <v>Regular Season</v>
      </c>
      <c r="N1883" s="239" t="str">
        <f t="shared" si="26"/>
        <v>Fellows</v>
      </c>
      <c r="O1883" s="6">
        <f>VLOOKUP(D1883,'Mapped Opponent'!$G$4:$H$22,2,0)</f>
        <v>6</v>
      </c>
      <c r="P1883" s="6"/>
      <c r="Q1883" s="6" t="str">
        <f t="shared" si="4"/>
        <v>Week 6</v>
      </c>
      <c r="R1883" s="6" t="str">
        <f t="shared" si="5"/>
        <v>2020Week 6</v>
      </c>
      <c r="S1883" s="6">
        <f>IFERROR(__xludf.DUMMYFUNCTION("rank(J1883,FILTER(J:J,R:R=R1883))"),2.0)</f>
        <v>2</v>
      </c>
      <c r="T1883" s="6">
        <f t="shared" si="6"/>
        <v>10</v>
      </c>
      <c r="U1883" s="6">
        <f t="shared" si="7"/>
        <v>2</v>
      </c>
      <c r="V1883" s="42">
        <f>averageif(AllData!A:A,B1883,AllData!R:R)/vlookup(B1883,AllData!A:O,15,0)</f>
        <v>95.94858974</v>
      </c>
      <c r="W1883" s="6"/>
    </row>
    <row r="1884" ht="14.25" customHeight="1">
      <c r="A1884" s="6" t="str">
        <f t="shared" si="1"/>
        <v>2020KnardDawg6</v>
      </c>
      <c r="B1884" s="59">
        <v>2020.0</v>
      </c>
      <c r="C1884" s="13" t="s">
        <v>86</v>
      </c>
      <c r="D1884" s="13" t="s">
        <v>142</v>
      </c>
      <c r="E1884" s="34"/>
      <c r="F1884" s="6"/>
      <c r="H1884" s="6"/>
      <c r="I1884" s="35" t="str">
        <f>IFERROR(IFERROR(IFERROR(VLOOKUP(B1884&amp;C1884&amp;Q1884,'New Weekly Paste'!A:M,10,0),VLOOKUP(B1884&amp;C1884&amp;Q1884,'New Weekly Paste'!B:O,6,0)),""),"")</f>
        <v>Rooney/Jackson</v>
      </c>
      <c r="J1884" s="239">
        <f>IFERROR(IFERROR(VLOOKUP(B1884&amp;C1884&amp;Q1884,'New Weekly Paste'!A:M,8,0),VLOOKUP(B1884&amp;C1884&amp;Q1884,'New Weekly Paste'!B:O,10,0)),0)</f>
        <v>96.5</v>
      </c>
      <c r="K1884" s="239">
        <f>IFERROR(IFERROR(VLOOKUP(B1884&amp;I1884&amp;Q1884,'New Weekly Paste'!A:M,8,0),VLOOKUP(B1884&amp;I1884&amp;Q1884,'New Weekly Paste'!B:O,10,0)),0)</f>
        <v>102.22</v>
      </c>
      <c r="L1884" s="239">
        <f t="shared" si="25"/>
        <v>0</v>
      </c>
      <c r="M1884" s="36" t="str">
        <f t="shared" si="3"/>
        <v>Regular Season</v>
      </c>
      <c r="N1884" s="239" t="str">
        <f t="shared" si="26"/>
        <v>Rooney/Jackson</v>
      </c>
      <c r="O1884" s="6">
        <f>VLOOKUP(D1884,'Mapped Opponent'!$G$4:$H$22,2,0)</f>
        <v>6</v>
      </c>
      <c r="P1884" s="6"/>
      <c r="Q1884" s="6" t="str">
        <f t="shared" si="4"/>
        <v>Week 6</v>
      </c>
      <c r="R1884" s="6" t="str">
        <f t="shared" si="5"/>
        <v>2020Week 6</v>
      </c>
      <c r="S1884" s="6">
        <f>IFERROR(__xludf.DUMMYFUNCTION("rank(J1884,FILTER(J:J,R:R=R1884))"),7.0)</f>
        <v>7</v>
      </c>
      <c r="T1884" s="6">
        <f t="shared" si="6"/>
        <v>5</v>
      </c>
      <c r="U1884" s="6">
        <f t="shared" si="7"/>
        <v>7</v>
      </c>
      <c r="V1884" s="42">
        <f>averageif(AllData!A:A,B1884,AllData!R:R)/vlookup(B1884,AllData!A:O,15,0)</f>
        <v>95.94858974</v>
      </c>
      <c r="W1884" s="6"/>
    </row>
    <row r="1885" ht="14.25" customHeight="1">
      <c r="A1885" s="6" t="str">
        <f t="shared" si="1"/>
        <v>2020T-How6</v>
      </c>
      <c r="B1885" s="59">
        <v>2020.0</v>
      </c>
      <c r="C1885" s="13" t="s">
        <v>82</v>
      </c>
      <c r="D1885" s="13" t="s">
        <v>142</v>
      </c>
      <c r="E1885" s="34"/>
      <c r="F1885" s="6"/>
      <c r="H1885" s="6"/>
      <c r="I1885" s="35" t="str">
        <f>IFERROR(IFERROR(IFERROR(VLOOKUP(B1885&amp;C1885&amp;Q1885,'New Weekly Paste'!A:M,10,0),VLOOKUP(B1885&amp;C1885&amp;Q1885,'New Weekly Paste'!B:O,6,0)),""),"")</f>
        <v>Cock</v>
      </c>
      <c r="J1885" s="239">
        <f>IFERROR(IFERROR(VLOOKUP(B1885&amp;C1885&amp;Q1885,'New Weekly Paste'!A:M,8,0),VLOOKUP(B1885&amp;C1885&amp;Q1885,'New Weekly Paste'!B:O,10,0)),0)</f>
        <v>69.94</v>
      </c>
      <c r="K1885" s="239">
        <f>IFERROR(IFERROR(VLOOKUP(B1885&amp;I1885&amp;Q1885,'New Weekly Paste'!A:M,8,0),VLOOKUP(B1885&amp;I1885&amp;Q1885,'New Weekly Paste'!B:O,10,0)),0)</f>
        <v>96.64</v>
      </c>
      <c r="L1885" s="239">
        <f t="shared" si="25"/>
        <v>0</v>
      </c>
      <c r="M1885" s="36" t="str">
        <f t="shared" si="3"/>
        <v>Regular Season</v>
      </c>
      <c r="N1885" s="239" t="str">
        <f t="shared" si="26"/>
        <v>Cock</v>
      </c>
      <c r="O1885" s="6">
        <f>VLOOKUP(D1885,'Mapped Opponent'!$G$4:$H$22,2,0)</f>
        <v>6</v>
      </c>
      <c r="P1885" s="6"/>
      <c r="Q1885" s="6" t="str">
        <f t="shared" si="4"/>
        <v>Week 6</v>
      </c>
      <c r="R1885" s="6" t="str">
        <f t="shared" si="5"/>
        <v>2020Week 6</v>
      </c>
      <c r="S1885" s="6">
        <f>IFERROR(__xludf.DUMMYFUNCTION("rank(J1885,FILTER(J:J,R:R=R1885))"),10.0)</f>
        <v>10</v>
      </c>
      <c r="T1885" s="6">
        <f t="shared" si="6"/>
        <v>2</v>
      </c>
      <c r="U1885" s="6">
        <f t="shared" si="7"/>
        <v>10</v>
      </c>
      <c r="V1885" s="42">
        <f>averageif(AllData!A:A,B1885,AllData!R:R)/vlookup(B1885,AllData!A:O,15,0)</f>
        <v>95.94858974</v>
      </c>
      <c r="W1885" s="6"/>
    </row>
    <row r="1886" ht="14.25" customHeight="1">
      <c r="A1886" s="6" t="str">
        <f t="shared" si="1"/>
        <v>2020Hudspeath7</v>
      </c>
      <c r="B1886" s="59">
        <v>2020.0</v>
      </c>
      <c r="C1886" s="13" t="s">
        <v>39</v>
      </c>
      <c r="D1886" s="13" t="s">
        <v>143</v>
      </c>
      <c r="E1886" s="34"/>
      <c r="F1886" s="6"/>
      <c r="H1886" s="6"/>
      <c r="I1886" s="35" t="str">
        <f>IFERROR(IFERROR(IFERROR(VLOOKUP(B1886&amp;C1886&amp;Q1886,'New Weekly Paste'!A:M,10,0),VLOOKUP(B1886&amp;C1886&amp;Q1886,'New Weekly Paste'!B:O,6,0)),""),"")</f>
        <v>Cock</v>
      </c>
      <c r="J1886" s="239">
        <f>IFERROR(IFERROR(VLOOKUP(B1886&amp;C1886&amp;Q1886,'New Weekly Paste'!A:M,8,0),VLOOKUP(B1886&amp;C1886&amp;Q1886,'New Weekly Paste'!B:O,10,0)),0)</f>
        <v>67.66</v>
      </c>
      <c r="K1886" s="239">
        <f>IFERROR(IFERROR(VLOOKUP(B1886&amp;I1886&amp;Q1886,'New Weekly Paste'!A:M,8,0),VLOOKUP(B1886&amp;I1886&amp;Q1886,'New Weekly Paste'!B:O,10,0)),0)</f>
        <v>142.8</v>
      </c>
      <c r="L1886" s="239">
        <f t="shared" si="25"/>
        <v>0</v>
      </c>
      <c r="M1886" s="36" t="str">
        <f t="shared" si="3"/>
        <v>Regular Season</v>
      </c>
      <c r="N1886" s="239" t="str">
        <f t="shared" si="26"/>
        <v>Cock</v>
      </c>
      <c r="O1886" s="6">
        <f>VLOOKUP(D1886,'Mapped Opponent'!$G$4:$H$22,2,0)</f>
        <v>7</v>
      </c>
      <c r="P1886" s="6"/>
      <c r="Q1886" s="6" t="str">
        <f t="shared" si="4"/>
        <v>Week 7</v>
      </c>
      <c r="R1886" s="6" t="str">
        <f t="shared" si="5"/>
        <v>2020Week 7</v>
      </c>
      <c r="S1886" s="6">
        <f>IFERROR(__xludf.DUMMYFUNCTION("rank(J1886,FILTER(J:J,R:R=R1886))"),10.0)</f>
        <v>10</v>
      </c>
      <c r="T1886" s="6">
        <f t="shared" si="6"/>
        <v>2</v>
      </c>
      <c r="U1886" s="6">
        <f t="shared" si="7"/>
        <v>10</v>
      </c>
      <c r="V1886" s="42">
        <f>averageif(AllData!A:A,B1886,AllData!R:R)/vlookup(B1886,AllData!A:O,15,0)</f>
        <v>95.94858974</v>
      </c>
      <c r="W1886" s="6"/>
    </row>
    <row r="1887" ht="14.25" customHeight="1">
      <c r="A1887" s="6" t="str">
        <f t="shared" si="1"/>
        <v>2020Salty7</v>
      </c>
      <c r="B1887" s="59">
        <v>2020.0</v>
      </c>
      <c r="C1887" s="13" t="s">
        <v>76</v>
      </c>
      <c r="D1887" s="13" t="s">
        <v>143</v>
      </c>
      <c r="E1887" s="34"/>
      <c r="F1887" s="6"/>
      <c r="H1887" s="6"/>
      <c r="I1887" s="35" t="str">
        <f>IFERROR(IFERROR(IFERROR(VLOOKUP(B1887&amp;C1887&amp;Q1887,'New Weekly Paste'!A:M,10,0),VLOOKUP(B1887&amp;C1887&amp;Q1887,'New Weekly Paste'!B:O,6,0)),""),"")</f>
        <v>Tayski</v>
      </c>
      <c r="J1887" s="239">
        <f>IFERROR(IFERROR(VLOOKUP(B1887&amp;C1887&amp;Q1887,'New Weekly Paste'!A:M,8,0),VLOOKUP(B1887&amp;C1887&amp;Q1887,'New Weekly Paste'!B:O,10,0)),0)</f>
        <v>61.2</v>
      </c>
      <c r="K1887" s="239">
        <f>IFERROR(IFERROR(VLOOKUP(B1887&amp;I1887&amp;Q1887,'New Weekly Paste'!A:M,8,0),VLOOKUP(B1887&amp;I1887&amp;Q1887,'New Weekly Paste'!B:O,10,0)),0)</f>
        <v>90.92</v>
      </c>
      <c r="L1887" s="239">
        <f t="shared" si="25"/>
        <v>0</v>
      </c>
      <c r="M1887" s="36" t="str">
        <f t="shared" si="3"/>
        <v>Regular Season</v>
      </c>
      <c r="N1887" s="239" t="str">
        <f t="shared" si="26"/>
        <v>Tayski</v>
      </c>
      <c r="O1887" s="6">
        <f>VLOOKUP(D1887,'Mapped Opponent'!$G$4:$H$22,2,0)</f>
        <v>7</v>
      </c>
      <c r="P1887" s="6"/>
      <c r="Q1887" s="6" t="str">
        <f t="shared" si="4"/>
        <v>Week 7</v>
      </c>
      <c r="R1887" s="6" t="str">
        <f t="shared" si="5"/>
        <v>2020Week 7</v>
      </c>
      <c r="S1887" s="6">
        <f>IFERROR(__xludf.DUMMYFUNCTION("rank(J1887,FILTER(J:J,R:R=R1887))"),11.0)</f>
        <v>11</v>
      </c>
      <c r="T1887" s="6">
        <f t="shared" si="6"/>
        <v>1</v>
      </c>
      <c r="U1887" s="6">
        <f t="shared" si="7"/>
        <v>11</v>
      </c>
      <c r="V1887" s="42">
        <f>averageif(AllData!A:A,B1887,AllData!R:R)/vlookup(B1887,AllData!A:O,15,0)</f>
        <v>95.94858974</v>
      </c>
      <c r="W1887" s="6"/>
    </row>
    <row r="1888" ht="14.25" customHeight="1">
      <c r="A1888" s="6" t="str">
        <f t="shared" si="1"/>
        <v>2020Fellows7</v>
      </c>
      <c r="B1888" s="59">
        <v>2020.0</v>
      </c>
      <c r="C1888" s="13" t="s">
        <v>79</v>
      </c>
      <c r="D1888" s="13" t="s">
        <v>143</v>
      </c>
      <c r="E1888" s="34"/>
      <c r="F1888" s="6"/>
      <c r="H1888" s="6"/>
      <c r="I1888" s="35" t="str">
        <f>IFERROR(IFERROR(IFERROR(VLOOKUP(B1888&amp;C1888&amp;Q1888,'New Weekly Paste'!A:M,10,0),VLOOKUP(B1888&amp;C1888&amp;Q1888,'New Weekly Paste'!B:O,6,0)),""),"")</f>
        <v>Pierson</v>
      </c>
      <c r="J1888" s="239">
        <f>IFERROR(IFERROR(VLOOKUP(B1888&amp;C1888&amp;Q1888,'New Weekly Paste'!A:M,8,0),VLOOKUP(B1888&amp;C1888&amp;Q1888,'New Weekly Paste'!B:O,10,0)),0)</f>
        <v>44.82</v>
      </c>
      <c r="K1888" s="239">
        <f>IFERROR(IFERROR(VLOOKUP(B1888&amp;I1888&amp;Q1888,'New Weekly Paste'!A:M,8,0),VLOOKUP(B1888&amp;I1888&amp;Q1888,'New Weekly Paste'!B:O,10,0)),0)</f>
        <v>107.36</v>
      </c>
      <c r="L1888" s="239">
        <f t="shared" si="25"/>
        <v>0</v>
      </c>
      <c r="M1888" s="36" t="str">
        <f t="shared" si="3"/>
        <v>Regular Season</v>
      </c>
      <c r="N1888" s="239" t="str">
        <f t="shared" si="26"/>
        <v>Pierson</v>
      </c>
      <c r="O1888" s="6">
        <f>VLOOKUP(D1888,'Mapped Opponent'!$G$4:$H$22,2,0)</f>
        <v>7</v>
      </c>
      <c r="P1888" s="6"/>
      <c r="Q1888" s="6" t="str">
        <f t="shared" si="4"/>
        <v>Week 7</v>
      </c>
      <c r="R1888" s="6" t="str">
        <f t="shared" si="5"/>
        <v>2020Week 7</v>
      </c>
      <c r="S1888" s="6">
        <f>IFERROR(__xludf.DUMMYFUNCTION("rank(J1888,FILTER(J:J,R:R=R1888))"),12.0)</f>
        <v>12</v>
      </c>
      <c r="T1888" s="6">
        <f t="shared" si="6"/>
        <v>0</v>
      </c>
      <c r="U1888" s="6">
        <f t="shared" si="7"/>
        <v>12</v>
      </c>
      <c r="V1888" s="42">
        <f>averageif(AllData!A:A,B1888,AllData!R:R)/vlookup(B1888,AllData!A:O,15,0)</f>
        <v>95.94858974</v>
      </c>
      <c r="W1888" s="6"/>
    </row>
    <row r="1889" ht="14.25" customHeight="1">
      <c r="A1889" s="6" t="str">
        <f t="shared" si="1"/>
        <v>2020Shep7</v>
      </c>
      <c r="B1889" s="59">
        <v>2020.0</v>
      </c>
      <c r="C1889" s="13" t="s">
        <v>89</v>
      </c>
      <c r="D1889" s="13" t="s">
        <v>143</v>
      </c>
      <c r="E1889" s="34"/>
      <c r="F1889" s="6"/>
      <c r="H1889" s="6"/>
      <c r="I1889" s="35" t="str">
        <f>IFERROR(IFERROR(IFERROR(VLOOKUP(B1889&amp;C1889&amp;Q1889,'New Weekly Paste'!A:M,10,0),VLOOKUP(B1889&amp;C1889&amp;Q1889,'New Weekly Paste'!B:O,6,0)),""),"")</f>
        <v>Rooney/Jackson</v>
      </c>
      <c r="J1889" s="239">
        <f>IFERROR(IFERROR(VLOOKUP(B1889&amp;C1889&amp;Q1889,'New Weekly Paste'!A:M,8,0),VLOOKUP(B1889&amp;C1889&amp;Q1889,'New Weekly Paste'!B:O,10,0)),0)</f>
        <v>78.42</v>
      </c>
      <c r="K1889" s="239">
        <f>IFERROR(IFERROR(VLOOKUP(B1889&amp;I1889&amp;Q1889,'New Weekly Paste'!A:M,8,0),VLOOKUP(B1889&amp;I1889&amp;Q1889,'New Weekly Paste'!B:O,10,0)),0)</f>
        <v>93.6</v>
      </c>
      <c r="L1889" s="239">
        <f t="shared" si="25"/>
        <v>0</v>
      </c>
      <c r="M1889" s="36" t="str">
        <f t="shared" si="3"/>
        <v>Regular Season</v>
      </c>
      <c r="N1889" s="239" t="str">
        <f t="shared" si="26"/>
        <v>Rooney/Jackson</v>
      </c>
      <c r="O1889" s="6">
        <f>VLOOKUP(D1889,'Mapped Opponent'!$G$4:$H$22,2,0)</f>
        <v>7</v>
      </c>
      <c r="P1889" s="6"/>
      <c r="Q1889" s="6" t="str">
        <f t="shared" si="4"/>
        <v>Week 7</v>
      </c>
      <c r="R1889" s="6" t="str">
        <f t="shared" si="5"/>
        <v>2020Week 7</v>
      </c>
      <c r="S1889" s="6">
        <f>IFERROR(__xludf.DUMMYFUNCTION("rank(J1889,FILTER(J:J,R:R=R1889))"),9.0)</f>
        <v>9</v>
      </c>
      <c r="T1889" s="6">
        <f t="shared" si="6"/>
        <v>3</v>
      </c>
      <c r="U1889" s="6">
        <f t="shared" si="7"/>
        <v>9</v>
      </c>
      <c r="V1889" s="42">
        <f>averageif(AllData!A:A,B1889,AllData!R:R)/vlookup(B1889,AllData!A:O,15,0)</f>
        <v>95.94858974</v>
      </c>
      <c r="W1889" s="6"/>
    </row>
    <row r="1890" ht="14.25" customHeight="1">
      <c r="A1890" s="6" t="str">
        <f t="shared" si="1"/>
        <v>2020Riley7</v>
      </c>
      <c r="B1890" s="59">
        <v>2020.0</v>
      </c>
      <c r="C1890" s="13" t="s">
        <v>67</v>
      </c>
      <c r="D1890" s="13" t="s">
        <v>143</v>
      </c>
      <c r="E1890" s="34"/>
      <c r="F1890" s="6"/>
      <c r="H1890" s="6"/>
      <c r="I1890" s="35" t="str">
        <f>IFERROR(IFERROR(IFERROR(VLOOKUP(B1890&amp;C1890&amp;Q1890,'New Weekly Paste'!A:M,10,0),VLOOKUP(B1890&amp;C1890&amp;Q1890,'New Weekly Paste'!B:O,6,0)),""),"")</f>
        <v>KnardDawg</v>
      </c>
      <c r="J1890" s="239">
        <f>IFERROR(IFERROR(VLOOKUP(B1890&amp;C1890&amp;Q1890,'New Weekly Paste'!A:M,8,0),VLOOKUP(B1890&amp;C1890&amp;Q1890,'New Weekly Paste'!B:O,10,0)),0)</f>
        <v>129.32</v>
      </c>
      <c r="K1890" s="239">
        <f>IFERROR(IFERROR(VLOOKUP(B1890&amp;I1890&amp;Q1890,'New Weekly Paste'!A:M,8,0),VLOOKUP(B1890&amp;I1890&amp;Q1890,'New Weekly Paste'!B:O,10,0)),0)</f>
        <v>101.56</v>
      </c>
      <c r="L1890" s="239">
        <f t="shared" si="25"/>
        <v>1</v>
      </c>
      <c r="M1890" s="36" t="str">
        <f t="shared" si="3"/>
        <v>Regular Season</v>
      </c>
      <c r="N1890" s="239" t="str">
        <f t="shared" si="26"/>
        <v>KnardDawg</v>
      </c>
      <c r="O1890" s="6">
        <f>VLOOKUP(D1890,'Mapped Opponent'!$G$4:$H$22,2,0)</f>
        <v>7</v>
      </c>
      <c r="P1890" s="6"/>
      <c r="Q1890" s="6" t="str">
        <f t="shared" si="4"/>
        <v>Week 7</v>
      </c>
      <c r="R1890" s="6" t="str">
        <f t="shared" si="5"/>
        <v>2020Week 7</v>
      </c>
      <c r="S1890" s="6">
        <f>IFERROR(__xludf.DUMMYFUNCTION("rank(J1890,FILTER(J:J,R:R=R1890))"),3.0)</f>
        <v>3</v>
      </c>
      <c r="T1890" s="6">
        <f t="shared" si="6"/>
        <v>9</v>
      </c>
      <c r="U1890" s="6">
        <f t="shared" si="7"/>
        <v>3</v>
      </c>
      <c r="V1890" s="42">
        <f>averageif(AllData!A:A,B1890,AllData!R:R)/vlookup(B1890,AllData!A:O,15,0)</f>
        <v>95.94858974</v>
      </c>
      <c r="W1890" s="6"/>
    </row>
    <row r="1891" ht="14.25" customHeight="1">
      <c r="A1891" s="6" t="str">
        <f t="shared" si="1"/>
        <v>2020Rooney/Jackson7</v>
      </c>
      <c r="B1891" s="59">
        <v>2020.0</v>
      </c>
      <c r="C1891" s="13" t="s">
        <v>57</v>
      </c>
      <c r="D1891" s="13" t="s">
        <v>143</v>
      </c>
      <c r="E1891" s="34"/>
      <c r="F1891" s="6"/>
      <c r="H1891" s="6"/>
      <c r="I1891" s="35" t="str">
        <f>IFERROR(IFERROR(IFERROR(VLOOKUP(B1891&amp;C1891&amp;Q1891,'New Weekly Paste'!A:M,10,0),VLOOKUP(B1891&amp;C1891&amp;Q1891,'New Weekly Paste'!B:O,6,0)),""),"")</f>
        <v>Shep</v>
      </c>
      <c r="J1891" s="239">
        <f>IFERROR(IFERROR(VLOOKUP(B1891&amp;C1891&amp;Q1891,'New Weekly Paste'!A:M,8,0),VLOOKUP(B1891&amp;C1891&amp;Q1891,'New Weekly Paste'!B:O,10,0)),0)</f>
        <v>93.6</v>
      </c>
      <c r="K1891" s="239">
        <f>IFERROR(IFERROR(VLOOKUP(B1891&amp;I1891&amp;Q1891,'New Weekly Paste'!A:M,8,0),VLOOKUP(B1891&amp;I1891&amp;Q1891,'New Weekly Paste'!B:O,10,0)),0)</f>
        <v>78.42</v>
      </c>
      <c r="L1891" s="239">
        <f t="shared" si="25"/>
        <v>1</v>
      </c>
      <c r="M1891" s="36" t="str">
        <f t="shared" si="3"/>
        <v>Regular Season</v>
      </c>
      <c r="N1891" s="239" t="str">
        <f t="shared" si="26"/>
        <v>Shep</v>
      </c>
      <c r="O1891" s="6">
        <f>VLOOKUP(D1891,'Mapped Opponent'!$G$4:$H$22,2,0)</f>
        <v>7</v>
      </c>
      <c r="P1891" s="6"/>
      <c r="Q1891" s="6" t="str">
        <f t="shared" si="4"/>
        <v>Week 7</v>
      </c>
      <c r="R1891" s="6" t="str">
        <f t="shared" si="5"/>
        <v>2020Week 7</v>
      </c>
      <c r="S1891" s="6">
        <f>IFERROR(__xludf.DUMMYFUNCTION("rank(J1891,FILTER(J:J,R:R=R1891))"),6.0)</f>
        <v>6</v>
      </c>
      <c r="T1891" s="6">
        <f t="shared" si="6"/>
        <v>6</v>
      </c>
      <c r="U1891" s="6">
        <f t="shared" si="7"/>
        <v>6</v>
      </c>
      <c r="V1891" s="42">
        <f>averageif(AllData!A:A,B1891,AllData!R:R)/vlookup(B1891,AllData!A:O,15,0)</f>
        <v>95.94858974</v>
      </c>
      <c r="W1891" s="6"/>
    </row>
    <row r="1892" ht="14.25" customHeight="1">
      <c r="A1892" s="6" t="str">
        <f t="shared" si="1"/>
        <v>2020Buser7</v>
      </c>
      <c r="B1892" s="59">
        <v>2020.0</v>
      </c>
      <c r="C1892" s="13" t="s">
        <v>47</v>
      </c>
      <c r="D1892" s="13" t="s">
        <v>143</v>
      </c>
      <c r="E1892" s="34"/>
      <c r="F1892" s="6"/>
      <c r="H1892" s="6"/>
      <c r="I1892" s="35" t="str">
        <f>IFERROR(IFERROR(IFERROR(VLOOKUP(B1892&amp;C1892&amp;Q1892,'New Weekly Paste'!A:M,10,0),VLOOKUP(B1892&amp;C1892&amp;Q1892,'New Weekly Paste'!B:O,6,0)),""),"")</f>
        <v>T-How</v>
      </c>
      <c r="J1892" s="239">
        <f>IFERROR(IFERROR(VLOOKUP(B1892&amp;C1892&amp;Q1892,'New Weekly Paste'!A:M,8,0),VLOOKUP(B1892&amp;C1892&amp;Q1892,'New Weekly Paste'!B:O,10,0)),0)</f>
        <v>139.4</v>
      </c>
      <c r="K1892" s="239">
        <f>IFERROR(IFERROR(VLOOKUP(B1892&amp;I1892&amp;Q1892,'New Weekly Paste'!A:M,8,0),VLOOKUP(B1892&amp;I1892&amp;Q1892,'New Weekly Paste'!B:O,10,0)),0)</f>
        <v>92.62</v>
      </c>
      <c r="L1892" s="239">
        <f t="shared" si="25"/>
        <v>1</v>
      </c>
      <c r="M1892" s="36" t="str">
        <f t="shared" si="3"/>
        <v>Regular Season</v>
      </c>
      <c r="N1892" s="239" t="str">
        <f t="shared" si="26"/>
        <v>T-How</v>
      </c>
      <c r="O1892" s="6">
        <f>VLOOKUP(D1892,'Mapped Opponent'!$G$4:$H$22,2,0)</f>
        <v>7</v>
      </c>
      <c r="P1892" s="6"/>
      <c r="Q1892" s="6" t="str">
        <f t="shared" si="4"/>
        <v>Week 7</v>
      </c>
      <c r="R1892" s="6" t="str">
        <f t="shared" si="5"/>
        <v>2020Week 7</v>
      </c>
      <c r="S1892" s="6">
        <f>IFERROR(__xludf.DUMMYFUNCTION("rank(J1892,FILTER(J:J,R:R=R1892))"),2.0)</f>
        <v>2</v>
      </c>
      <c r="T1892" s="6">
        <f t="shared" si="6"/>
        <v>10</v>
      </c>
      <c r="U1892" s="6">
        <f t="shared" si="7"/>
        <v>2</v>
      </c>
      <c r="V1892" s="42">
        <f>averageif(AllData!A:A,B1892,AllData!R:R)/vlookup(B1892,AllData!A:O,15,0)</f>
        <v>95.94858974</v>
      </c>
      <c r="W1892" s="6"/>
    </row>
    <row r="1893" ht="14.25" customHeight="1">
      <c r="A1893" s="6" t="str">
        <f t="shared" si="1"/>
        <v>2020Pierson7</v>
      </c>
      <c r="B1893" s="59">
        <v>2020.0</v>
      </c>
      <c r="C1893" s="13" t="s">
        <v>92</v>
      </c>
      <c r="D1893" s="13" t="s">
        <v>143</v>
      </c>
      <c r="E1893" s="34"/>
      <c r="F1893" s="6"/>
      <c r="H1893" s="6"/>
      <c r="I1893" s="35" t="str">
        <f>IFERROR(IFERROR(IFERROR(VLOOKUP(B1893&amp;C1893&amp;Q1893,'New Weekly Paste'!A:M,10,0),VLOOKUP(B1893&amp;C1893&amp;Q1893,'New Weekly Paste'!B:O,6,0)),""),"")</f>
        <v>Fellows</v>
      </c>
      <c r="J1893" s="239">
        <f>IFERROR(IFERROR(VLOOKUP(B1893&amp;C1893&amp;Q1893,'New Weekly Paste'!A:M,8,0),VLOOKUP(B1893&amp;C1893&amp;Q1893,'New Weekly Paste'!B:O,10,0)),0)</f>
        <v>107.36</v>
      </c>
      <c r="K1893" s="239">
        <f>IFERROR(IFERROR(VLOOKUP(B1893&amp;I1893&amp;Q1893,'New Weekly Paste'!A:M,8,0),VLOOKUP(B1893&amp;I1893&amp;Q1893,'New Weekly Paste'!B:O,10,0)),0)</f>
        <v>44.82</v>
      </c>
      <c r="L1893" s="239">
        <f t="shared" si="25"/>
        <v>1</v>
      </c>
      <c r="M1893" s="36" t="str">
        <f t="shared" si="3"/>
        <v>Regular Season</v>
      </c>
      <c r="N1893" s="239" t="str">
        <f t="shared" si="26"/>
        <v>Fellows</v>
      </c>
      <c r="O1893" s="6">
        <f>VLOOKUP(D1893,'Mapped Opponent'!$G$4:$H$22,2,0)</f>
        <v>7</v>
      </c>
      <c r="P1893" s="6"/>
      <c r="Q1893" s="6" t="str">
        <f t="shared" si="4"/>
        <v>Week 7</v>
      </c>
      <c r="R1893" s="6" t="str">
        <f t="shared" si="5"/>
        <v>2020Week 7</v>
      </c>
      <c r="S1893" s="6">
        <f>IFERROR(__xludf.DUMMYFUNCTION("rank(J1893,FILTER(J:J,R:R=R1893))"),4.0)</f>
        <v>4</v>
      </c>
      <c r="T1893" s="6">
        <f t="shared" si="6"/>
        <v>8</v>
      </c>
      <c r="U1893" s="6">
        <f t="shared" si="7"/>
        <v>4</v>
      </c>
      <c r="V1893" s="42">
        <f>averageif(AllData!A:A,B1893,AllData!R:R)/vlookup(B1893,AllData!A:O,15,0)</f>
        <v>95.94858974</v>
      </c>
      <c r="W1893" s="6"/>
    </row>
    <row r="1894" ht="14.25" customHeight="1">
      <c r="A1894" s="6" t="str">
        <f t="shared" si="1"/>
        <v>2020Cock7</v>
      </c>
      <c r="B1894" s="59">
        <v>2020.0</v>
      </c>
      <c r="C1894" s="13" t="s">
        <v>72</v>
      </c>
      <c r="D1894" s="13" t="s">
        <v>143</v>
      </c>
      <c r="E1894" s="34"/>
      <c r="F1894" s="6"/>
      <c r="H1894" s="6"/>
      <c r="I1894" s="35" t="str">
        <f>IFERROR(IFERROR(IFERROR(VLOOKUP(B1894&amp;C1894&amp;Q1894,'New Weekly Paste'!A:M,10,0),VLOOKUP(B1894&amp;C1894&amp;Q1894,'New Weekly Paste'!B:O,6,0)),""),"")</f>
        <v>Hudspeath</v>
      </c>
      <c r="J1894" s="239">
        <f>IFERROR(IFERROR(VLOOKUP(B1894&amp;C1894&amp;Q1894,'New Weekly Paste'!A:M,8,0),VLOOKUP(B1894&amp;C1894&amp;Q1894,'New Weekly Paste'!B:O,10,0)),0)</f>
        <v>142.8</v>
      </c>
      <c r="K1894" s="239">
        <f>IFERROR(IFERROR(VLOOKUP(B1894&amp;I1894&amp;Q1894,'New Weekly Paste'!A:M,8,0),VLOOKUP(B1894&amp;I1894&amp;Q1894,'New Weekly Paste'!B:O,10,0)),0)</f>
        <v>67.66</v>
      </c>
      <c r="L1894" s="239">
        <f t="shared" si="25"/>
        <v>1</v>
      </c>
      <c r="M1894" s="36" t="str">
        <f t="shared" si="3"/>
        <v>Regular Season</v>
      </c>
      <c r="N1894" s="239" t="str">
        <f t="shared" si="26"/>
        <v>Hudspeath</v>
      </c>
      <c r="O1894" s="6">
        <f>VLOOKUP(D1894,'Mapped Opponent'!$G$4:$H$22,2,0)</f>
        <v>7</v>
      </c>
      <c r="P1894" s="6"/>
      <c r="Q1894" s="6" t="str">
        <f t="shared" si="4"/>
        <v>Week 7</v>
      </c>
      <c r="R1894" s="6" t="str">
        <f t="shared" si="5"/>
        <v>2020Week 7</v>
      </c>
      <c r="S1894" s="6">
        <f>IFERROR(__xludf.DUMMYFUNCTION("rank(J1894,FILTER(J:J,R:R=R1894))"),1.0)</f>
        <v>1</v>
      </c>
      <c r="T1894" s="6">
        <f t="shared" si="6"/>
        <v>11</v>
      </c>
      <c r="U1894" s="6">
        <f t="shared" si="7"/>
        <v>1</v>
      </c>
      <c r="V1894" s="42">
        <f>averageif(AllData!A:A,B1894,AllData!R:R)/vlookup(B1894,AllData!A:O,15,0)</f>
        <v>95.94858974</v>
      </c>
      <c r="W1894" s="6"/>
    </row>
    <row r="1895" ht="14.25" customHeight="1">
      <c r="A1895" s="6" t="str">
        <f t="shared" si="1"/>
        <v>2020Tayski7</v>
      </c>
      <c r="B1895" s="59">
        <v>2020.0</v>
      </c>
      <c r="C1895" s="13" t="s">
        <v>52</v>
      </c>
      <c r="D1895" s="13" t="s">
        <v>143</v>
      </c>
      <c r="E1895" s="34"/>
      <c r="F1895" s="6"/>
      <c r="H1895" s="6"/>
      <c r="I1895" s="35" t="str">
        <f>IFERROR(IFERROR(IFERROR(VLOOKUP(B1895&amp;C1895&amp;Q1895,'New Weekly Paste'!A:M,10,0),VLOOKUP(B1895&amp;C1895&amp;Q1895,'New Weekly Paste'!B:O,6,0)),""),"")</f>
        <v>Salty</v>
      </c>
      <c r="J1895" s="239">
        <f>IFERROR(IFERROR(VLOOKUP(B1895&amp;C1895&amp;Q1895,'New Weekly Paste'!A:M,8,0),VLOOKUP(B1895&amp;C1895&amp;Q1895,'New Weekly Paste'!B:O,10,0)),0)</f>
        <v>90.92</v>
      </c>
      <c r="K1895" s="239">
        <f>IFERROR(IFERROR(VLOOKUP(B1895&amp;I1895&amp;Q1895,'New Weekly Paste'!A:M,8,0),VLOOKUP(B1895&amp;I1895&amp;Q1895,'New Weekly Paste'!B:O,10,0)),0)</f>
        <v>61.2</v>
      </c>
      <c r="L1895" s="239">
        <f t="shared" si="25"/>
        <v>1</v>
      </c>
      <c r="M1895" s="36" t="str">
        <f t="shared" si="3"/>
        <v>Regular Season</v>
      </c>
      <c r="N1895" s="239" t="str">
        <f t="shared" si="26"/>
        <v>Salty</v>
      </c>
      <c r="O1895" s="6">
        <f>VLOOKUP(D1895,'Mapped Opponent'!$G$4:$H$22,2,0)</f>
        <v>7</v>
      </c>
      <c r="P1895" s="6"/>
      <c r="Q1895" s="6" t="str">
        <f t="shared" si="4"/>
        <v>Week 7</v>
      </c>
      <c r="R1895" s="6" t="str">
        <f t="shared" si="5"/>
        <v>2020Week 7</v>
      </c>
      <c r="S1895" s="6">
        <f>IFERROR(__xludf.DUMMYFUNCTION("rank(J1895,FILTER(J:J,R:R=R1895))"),8.0)</f>
        <v>8</v>
      </c>
      <c r="T1895" s="6">
        <f t="shared" si="6"/>
        <v>4</v>
      </c>
      <c r="U1895" s="6">
        <f t="shared" si="7"/>
        <v>8</v>
      </c>
      <c r="V1895" s="42">
        <f>averageif(AllData!A:A,B1895,AllData!R:R)/vlookup(B1895,AllData!A:O,15,0)</f>
        <v>95.94858974</v>
      </c>
      <c r="W1895" s="6"/>
    </row>
    <row r="1896" ht="14.25" customHeight="1">
      <c r="A1896" s="6" t="str">
        <f t="shared" si="1"/>
        <v>2020KnardDawg7</v>
      </c>
      <c r="B1896" s="59">
        <v>2020.0</v>
      </c>
      <c r="C1896" s="13" t="s">
        <v>86</v>
      </c>
      <c r="D1896" s="13" t="s">
        <v>143</v>
      </c>
      <c r="E1896" s="34"/>
      <c r="F1896" s="6"/>
      <c r="H1896" s="6"/>
      <c r="I1896" s="35" t="str">
        <f>IFERROR(IFERROR(IFERROR(VLOOKUP(B1896&amp;C1896&amp;Q1896,'New Weekly Paste'!A:M,10,0),VLOOKUP(B1896&amp;C1896&amp;Q1896,'New Weekly Paste'!B:O,6,0)),""),"")</f>
        <v>Riley</v>
      </c>
      <c r="J1896" s="239">
        <f>IFERROR(IFERROR(VLOOKUP(B1896&amp;C1896&amp;Q1896,'New Weekly Paste'!A:M,8,0),VLOOKUP(B1896&amp;C1896&amp;Q1896,'New Weekly Paste'!B:O,10,0)),0)</f>
        <v>101.56</v>
      </c>
      <c r="K1896" s="239">
        <f>IFERROR(IFERROR(VLOOKUP(B1896&amp;I1896&amp;Q1896,'New Weekly Paste'!A:M,8,0),VLOOKUP(B1896&amp;I1896&amp;Q1896,'New Weekly Paste'!B:O,10,0)),0)</f>
        <v>129.32</v>
      </c>
      <c r="L1896" s="239">
        <f t="shared" si="25"/>
        <v>0</v>
      </c>
      <c r="M1896" s="36" t="str">
        <f t="shared" si="3"/>
        <v>Regular Season</v>
      </c>
      <c r="N1896" s="239" t="str">
        <f t="shared" si="26"/>
        <v>Riley</v>
      </c>
      <c r="O1896" s="6">
        <f>VLOOKUP(D1896,'Mapped Opponent'!$G$4:$H$22,2,0)</f>
        <v>7</v>
      </c>
      <c r="P1896" s="6"/>
      <c r="Q1896" s="6" t="str">
        <f t="shared" si="4"/>
        <v>Week 7</v>
      </c>
      <c r="R1896" s="6" t="str">
        <f t="shared" si="5"/>
        <v>2020Week 7</v>
      </c>
      <c r="S1896" s="6">
        <f>IFERROR(__xludf.DUMMYFUNCTION("rank(J1896,FILTER(J:J,R:R=R1896))"),5.0)</f>
        <v>5</v>
      </c>
      <c r="T1896" s="6">
        <f t="shared" si="6"/>
        <v>7</v>
      </c>
      <c r="U1896" s="6">
        <f t="shared" si="7"/>
        <v>5</v>
      </c>
      <c r="V1896" s="42">
        <f>averageif(AllData!A:A,B1896,AllData!R:R)/vlookup(B1896,AllData!A:O,15,0)</f>
        <v>95.94858974</v>
      </c>
      <c r="W1896" s="6"/>
    </row>
    <row r="1897" ht="14.25" customHeight="1">
      <c r="A1897" s="6" t="str">
        <f t="shared" si="1"/>
        <v>2020T-How7</v>
      </c>
      <c r="B1897" s="59">
        <v>2020.0</v>
      </c>
      <c r="C1897" s="13" t="s">
        <v>82</v>
      </c>
      <c r="D1897" s="13" t="s">
        <v>143</v>
      </c>
      <c r="E1897" s="34"/>
      <c r="F1897" s="6"/>
      <c r="H1897" s="6"/>
      <c r="I1897" s="35" t="str">
        <f>IFERROR(IFERROR(IFERROR(VLOOKUP(B1897&amp;C1897&amp;Q1897,'New Weekly Paste'!A:M,10,0),VLOOKUP(B1897&amp;C1897&amp;Q1897,'New Weekly Paste'!B:O,6,0)),""),"")</f>
        <v>Buser</v>
      </c>
      <c r="J1897" s="239">
        <f>IFERROR(IFERROR(VLOOKUP(B1897&amp;C1897&amp;Q1897,'New Weekly Paste'!A:M,8,0),VLOOKUP(B1897&amp;C1897&amp;Q1897,'New Weekly Paste'!B:O,10,0)),0)</f>
        <v>92.62</v>
      </c>
      <c r="K1897" s="239">
        <f>IFERROR(IFERROR(VLOOKUP(B1897&amp;I1897&amp;Q1897,'New Weekly Paste'!A:M,8,0),VLOOKUP(B1897&amp;I1897&amp;Q1897,'New Weekly Paste'!B:O,10,0)),0)</f>
        <v>139.4</v>
      </c>
      <c r="L1897" s="239">
        <f t="shared" si="25"/>
        <v>0</v>
      </c>
      <c r="M1897" s="36" t="str">
        <f t="shared" si="3"/>
        <v>Regular Season</v>
      </c>
      <c r="N1897" s="239" t="str">
        <f t="shared" si="26"/>
        <v>Buser</v>
      </c>
      <c r="O1897" s="6">
        <f>VLOOKUP(D1897,'Mapped Opponent'!$G$4:$H$22,2,0)</f>
        <v>7</v>
      </c>
      <c r="P1897" s="6"/>
      <c r="Q1897" s="6" t="str">
        <f t="shared" si="4"/>
        <v>Week 7</v>
      </c>
      <c r="R1897" s="6" t="str">
        <f t="shared" si="5"/>
        <v>2020Week 7</v>
      </c>
      <c r="S1897" s="6">
        <f>IFERROR(__xludf.DUMMYFUNCTION("rank(J1897,FILTER(J:J,R:R=R1897))"),7.0)</f>
        <v>7</v>
      </c>
      <c r="T1897" s="6">
        <f t="shared" si="6"/>
        <v>5</v>
      </c>
      <c r="U1897" s="6">
        <f t="shared" si="7"/>
        <v>7</v>
      </c>
      <c r="V1897" s="42">
        <f>averageif(AllData!A:A,B1897,AllData!R:R)/vlookup(B1897,AllData!A:O,15,0)</f>
        <v>95.94858974</v>
      </c>
      <c r="W1897" s="6"/>
    </row>
    <row r="1898" ht="14.25" customHeight="1">
      <c r="A1898" s="6" t="str">
        <f t="shared" si="1"/>
        <v>2020Hudspeath8</v>
      </c>
      <c r="B1898" s="59">
        <v>2020.0</v>
      </c>
      <c r="C1898" s="13" t="s">
        <v>39</v>
      </c>
      <c r="D1898" s="13" t="s">
        <v>145</v>
      </c>
      <c r="E1898" s="34"/>
      <c r="F1898" s="6"/>
      <c r="H1898" s="6"/>
      <c r="I1898" s="35" t="str">
        <f>IFERROR(IFERROR(IFERROR(VLOOKUP(B1898&amp;C1898&amp;Q1898,'New Weekly Paste'!A:M,10,0),VLOOKUP(B1898&amp;C1898&amp;Q1898,'New Weekly Paste'!B:O,6,0)),""),"")</f>
        <v>Tayski</v>
      </c>
      <c r="J1898" s="239">
        <f>IFERROR(IFERROR(VLOOKUP(B1898&amp;C1898&amp;Q1898,'New Weekly Paste'!A:M,8,0),VLOOKUP(B1898&amp;C1898&amp;Q1898,'New Weekly Paste'!B:O,10,0)),0)</f>
        <v>54.56</v>
      </c>
      <c r="K1898" s="239">
        <f>IFERROR(IFERROR(VLOOKUP(B1898&amp;I1898&amp;Q1898,'New Weekly Paste'!A:M,8,0),VLOOKUP(B1898&amp;I1898&amp;Q1898,'New Weekly Paste'!B:O,10,0)),0)</f>
        <v>92.76</v>
      </c>
      <c r="L1898" s="239">
        <f t="shared" si="25"/>
        <v>0</v>
      </c>
      <c r="M1898" s="36" t="str">
        <f t="shared" si="3"/>
        <v>Regular Season</v>
      </c>
      <c r="N1898" s="239" t="str">
        <f t="shared" si="26"/>
        <v>Tayski</v>
      </c>
      <c r="O1898" s="6">
        <f>VLOOKUP(D1898,'Mapped Opponent'!$G$4:$H$22,2,0)</f>
        <v>8</v>
      </c>
      <c r="P1898" s="6"/>
      <c r="Q1898" s="6" t="str">
        <f t="shared" si="4"/>
        <v>Week 8</v>
      </c>
      <c r="R1898" s="6" t="str">
        <f t="shared" si="5"/>
        <v>2020Week 8</v>
      </c>
      <c r="S1898" s="6">
        <f>IFERROR(__xludf.DUMMYFUNCTION("rank(J1898,FILTER(J:J,R:R=R1898))"),12.0)</f>
        <v>12</v>
      </c>
      <c r="T1898" s="6">
        <f t="shared" si="6"/>
        <v>0</v>
      </c>
      <c r="U1898" s="6">
        <f t="shared" si="7"/>
        <v>12</v>
      </c>
      <c r="V1898" s="42">
        <f>averageif(AllData!A:A,B1898,AllData!R:R)/vlookup(B1898,AllData!A:O,15,0)</f>
        <v>95.94858974</v>
      </c>
      <c r="W1898" s="6"/>
    </row>
    <row r="1899" ht="14.25" customHeight="1">
      <c r="A1899" s="6" t="str">
        <f t="shared" si="1"/>
        <v>2020Salty8</v>
      </c>
      <c r="B1899" s="59">
        <v>2020.0</v>
      </c>
      <c r="C1899" s="13" t="s">
        <v>76</v>
      </c>
      <c r="D1899" s="13" t="s">
        <v>145</v>
      </c>
      <c r="E1899" s="34"/>
      <c r="F1899" s="6"/>
      <c r="H1899" s="6"/>
      <c r="I1899" s="35" t="str">
        <f>IFERROR(IFERROR(IFERROR(VLOOKUP(B1899&amp;C1899&amp;Q1899,'New Weekly Paste'!A:M,10,0),VLOOKUP(B1899&amp;C1899&amp;Q1899,'New Weekly Paste'!B:O,6,0)),""),"")</f>
        <v>Pierson</v>
      </c>
      <c r="J1899" s="239">
        <f>IFERROR(IFERROR(VLOOKUP(B1899&amp;C1899&amp;Q1899,'New Weekly Paste'!A:M,8,0),VLOOKUP(B1899&amp;C1899&amp;Q1899,'New Weekly Paste'!B:O,10,0)),0)</f>
        <v>118.74</v>
      </c>
      <c r="K1899" s="239">
        <f>IFERROR(IFERROR(VLOOKUP(B1899&amp;I1899&amp;Q1899,'New Weekly Paste'!A:M,8,0),VLOOKUP(B1899&amp;I1899&amp;Q1899,'New Weekly Paste'!B:O,10,0)),0)</f>
        <v>110.62</v>
      </c>
      <c r="L1899" s="239">
        <f t="shared" si="25"/>
        <v>1</v>
      </c>
      <c r="M1899" s="36" t="str">
        <f t="shared" si="3"/>
        <v>Regular Season</v>
      </c>
      <c r="N1899" s="239" t="str">
        <f t="shared" si="26"/>
        <v>Pierson</v>
      </c>
      <c r="O1899" s="6">
        <f>VLOOKUP(D1899,'Mapped Opponent'!$G$4:$H$22,2,0)</f>
        <v>8</v>
      </c>
      <c r="P1899" s="6"/>
      <c r="Q1899" s="6" t="str">
        <f t="shared" si="4"/>
        <v>Week 8</v>
      </c>
      <c r="R1899" s="6" t="str">
        <f t="shared" si="5"/>
        <v>2020Week 8</v>
      </c>
      <c r="S1899" s="6">
        <f>IFERROR(__xludf.DUMMYFUNCTION("rank(J1899,FILTER(J:J,R:R=R1899))"),1.0)</f>
        <v>1</v>
      </c>
      <c r="T1899" s="6">
        <f t="shared" si="6"/>
        <v>11</v>
      </c>
      <c r="U1899" s="6">
        <f t="shared" si="7"/>
        <v>1</v>
      </c>
      <c r="V1899" s="42">
        <f>averageif(AllData!A:A,B1899,AllData!R:R)/vlookup(B1899,AllData!A:O,15,0)</f>
        <v>95.94858974</v>
      </c>
      <c r="W1899" s="6"/>
    </row>
    <row r="1900" ht="14.25" customHeight="1">
      <c r="A1900" s="6" t="str">
        <f t="shared" si="1"/>
        <v>2020Fellows8</v>
      </c>
      <c r="B1900" s="59">
        <v>2020.0</v>
      </c>
      <c r="C1900" s="13" t="s">
        <v>79</v>
      </c>
      <c r="D1900" s="13" t="s">
        <v>145</v>
      </c>
      <c r="E1900" s="34"/>
      <c r="F1900" s="6"/>
      <c r="H1900" s="6"/>
      <c r="I1900" s="35" t="str">
        <f>IFERROR(IFERROR(IFERROR(VLOOKUP(B1900&amp;C1900&amp;Q1900,'New Weekly Paste'!A:M,10,0),VLOOKUP(B1900&amp;C1900&amp;Q1900,'New Weekly Paste'!B:O,6,0)),""),"")</f>
        <v>KnardDawg</v>
      </c>
      <c r="J1900" s="239">
        <f>IFERROR(IFERROR(VLOOKUP(B1900&amp;C1900&amp;Q1900,'New Weekly Paste'!A:M,8,0),VLOOKUP(B1900&amp;C1900&amp;Q1900,'New Weekly Paste'!B:O,10,0)),0)</f>
        <v>79.4</v>
      </c>
      <c r="K1900" s="239">
        <f>IFERROR(IFERROR(VLOOKUP(B1900&amp;I1900&amp;Q1900,'New Weekly Paste'!A:M,8,0),VLOOKUP(B1900&amp;I1900&amp;Q1900,'New Weekly Paste'!B:O,10,0)),0)</f>
        <v>109.78</v>
      </c>
      <c r="L1900" s="239">
        <f t="shared" si="25"/>
        <v>0</v>
      </c>
      <c r="M1900" s="36" t="str">
        <f t="shared" si="3"/>
        <v>Regular Season</v>
      </c>
      <c r="N1900" s="239" t="str">
        <f t="shared" si="26"/>
        <v>KnardDawg</v>
      </c>
      <c r="O1900" s="6">
        <f>VLOOKUP(D1900,'Mapped Opponent'!$G$4:$H$22,2,0)</f>
        <v>8</v>
      </c>
      <c r="P1900" s="6"/>
      <c r="Q1900" s="6" t="str">
        <f t="shared" si="4"/>
        <v>Week 8</v>
      </c>
      <c r="R1900" s="6" t="str">
        <f t="shared" si="5"/>
        <v>2020Week 8</v>
      </c>
      <c r="S1900" s="6">
        <f>IFERROR(__xludf.DUMMYFUNCTION("rank(J1900,FILTER(J:J,R:R=R1900))"),8.0)</f>
        <v>8</v>
      </c>
      <c r="T1900" s="6">
        <f t="shared" si="6"/>
        <v>4</v>
      </c>
      <c r="U1900" s="6">
        <f t="shared" si="7"/>
        <v>8</v>
      </c>
      <c r="V1900" s="42">
        <f>averageif(AllData!A:A,B1900,AllData!R:R)/vlookup(B1900,AllData!A:O,15,0)</f>
        <v>95.94858974</v>
      </c>
      <c r="W1900" s="6"/>
    </row>
    <row r="1901" ht="14.25" customHeight="1">
      <c r="A1901" s="6" t="str">
        <f t="shared" si="1"/>
        <v>2020Shep8</v>
      </c>
      <c r="B1901" s="59">
        <v>2020.0</v>
      </c>
      <c r="C1901" s="13" t="s">
        <v>89</v>
      </c>
      <c r="D1901" s="13" t="s">
        <v>145</v>
      </c>
      <c r="E1901" s="34"/>
      <c r="F1901" s="6"/>
      <c r="H1901" s="6"/>
      <c r="I1901" s="35" t="str">
        <f>IFERROR(IFERROR(IFERROR(VLOOKUP(B1901&amp;C1901&amp;Q1901,'New Weekly Paste'!A:M,10,0),VLOOKUP(B1901&amp;C1901&amp;Q1901,'New Weekly Paste'!B:O,6,0)),""),"")</f>
        <v>Riley</v>
      </c>
      <c r="J1901" s="239">
        <f>IFERROR(IFERROR(VLOOKUP(B1901&amp;C1901&amp;Q1901,'New Weekly Paste'!A:M,8,0),VLOOKUP(B1901&amp;C1901&amp;Q1901,'New Weekly Paste'!B:O,10,0)),0)</f>
        <v>96.44</v>
      </c>
      <c r="K1901" s="239">
        <f>IFERROR(IFERROR(VLOOKUP(B1901&amp;I1901&amp;Q1901,'New Weekly Paste'!A:M,8,0),VLOOKUP(B1901&amp;I1901&amp;Q1901,'New Weekly Paste'!B:O,10,0)),0)</f>
        <v>72.14</v>
      </c>
      <c r="L1901" s="239">
        <f t="shared" si="25"/>
        <v>1</v>
      </c>
      <c r="M1901" s="36" t="str">
        <f t="shared" si="3"/>
        <v>Regular Season</v>
      </c>
      <c r="N1901" s="239" t="str">
        <f t="shared" si="26"/>
        <v>Riley</v>
      </c>
      <c r="O1901" s="6">
        <f>VLOOKUP(D1901,'Mapped Opponent'!$G$4:$H$22,2,0)</f>
        <v>8</v>
      </c>
      <c r="P1901" s="6"/>
      <c r="Q1901" s="6" t="str">
        <f t="shared" si="4"/>
        <v>Week 8</v>
      </c>
      <c r="R1901" s="6" t="str">
        <f t="shared" si="5"/>
        <v>2020Week 8</v>
      </c>
      <c r="S1901" s="6">
        <f>IFERROR(__xludf.DUMMYFUNCTION("rank(J1901,FILTER(J:J,R:R=R1901))"),4.0)</f>
        <v>4</v>
      </c>
      <c r="T1901" s="6">
        <f t="shared" si="6"/>
        <v>8</v>
      </c>
      <c r="U1901" s="6">
        <f t="shared" si="7"/>
        <v>4</v>
      </c>
      <c r="V1901" s="42">
        <f>averageif(AllData!A:A,B1901,AllData!R:R)/vlookup(B1901,AllData!A:O,15,0)</f>
        <v>95.94858974</v>
      </c>
      <c r="W1901" s="6"/>
    </row>
    <row r="1902" ht="14.25" customHeight="1">
      <c r="A1902" s="6" t="str">
        <f t="shared" si="1"/>
        <v>2020Riley8</v>
      </c>
      <c r="B1902" s="59">
        <v>2020.0</v>
      </c>
      <c r="C1902" s="13" t="s">
        <v>67</v>
      </c>
      <c r="D1902" s="13" t="s">
        <v>145</v>
      </c>
      <c r="E1902" s="34"/>
      <c r="F1902" s="6"/>
      <c r="H1902" s="6"/>
      <c r="I1902" s="35" t="str">
        <f>IFERROR(IFERROR(IFERROR(VLOOKUP(B1902&amp;C1902&amp;Q1902,'New Weekly Paste'!A:M,10,0),VLOOKUP(B1902&amp;C1902&amp;Q1902,'New Weekly Paste'!B:O,6,0)),""),"")</f>
        <v>Shep</v>
      </c>
      <c r="J1902" s="239">
        <f>IFERROR(IFERROR(VLOOKUP(B1902&amp;C1902&amp;Q1902,'New Weekly Paste'!A:M,8,0),VLOOKUP(B1902&amp;C1902&amp;Q1902,'New Weekly Paste'!B:O,10,0)),0)</f>
        <v>72.14</v>
      </c>
      <c r="K1902" s="239">
        <f>IFERROR(IFERROR(VLOOKUP(B1902&amp;I1902&amp;Q1902,'New Weekly Paste'!A:M,8,0),VLOOKUP(B1902&amp;I1902&amp;Q1902,'New Weekly Paste'!B:O,10,0)),0)</f>
        <v>96.44</v>
      </c>
      <c r="L1902" s="239">
        <f t="shared" si="25"/>
        <v>0</v>
      </c>
      <c r="M1902" s="36" t="str">
        <f t="shared" si="3"/>
        <v>Regular Season</v>
      </c>
      <c r="N1902" s="239" t="str">
        <f t="shared" si="26"/>
        <v>Shep</v>
      </c>
      <c r="O1902" s="6">
        <f>VLOOKUP(D1902,'Mapped Opponent'!$G$4:$H$22,2,0)</f>
        <v>8</v>
      </c>
      <c r="P1902" s="6"/>
      <c r="Q1902" s="6" t="str">
        <f t="shared" si="4"/>
        <v>Week 8</v>
      </c>
      <c r="R1902" s="6" t="str">
        <f t="shared" si="5"/>
        <v>2020Week 8</v>
      </c>
      <c r="S1902" s="6">
        <f>IFERROR(__xludf.DUMMYFUNCTION("rank(J1902,FILTER(J:J,R:R=R1902))"),10.0)</f>
        <v>10</v>
      </c>
      <c r="T1902" s="6">
        <f t="shared" si="6"/>
        <v>2</v>
      </c>
      <c r="U1902" s="6">
        <f t="shared" si="7"/>
        <v>10</v>
      </c>
      <c r="V1902" s="42">
        <f>averageif(AllData!A:A,B1902,AllData!R:R)/vlookup(B1902,AllData!A:O,15,0)</f>
        <v>95.94858974</v>
      </c>
      <c r="W1902" s="6"/>
    </row>
    <row r="1903" ht="14.25" customHeight="1">
      <c r="A1903" s="6" t="str">
        <f t="shared" si="1"/>
        <v>2020Rooney/Jackson8</v>
      </c>
      <c r="B1903" s="59">
        <v>2020.0</v>
      </c>
      <c r="C1903" s="13" t="s">
        <v>57</v>
      </c>
      <c r="D1903" s="13" t="s">
        <v>145</v>
      </c>
      <c r="E1903" s="34"/>
      <c r="F1903" s="6"/>
      <c r="H1903" s="6"/>
      <c r="I1903" s="35" t="str">
        <f>IFERROR(IFERROR(IFERROR(VLOOKUP(B1903&amp;C1903&amp;Q1903,'New Weekly Paste'!A:M,10,0),VLOOKUP(B1903&amp;C1903&amp;Q1903,'New Weekly Paste'!B:O,6,0)),""),"")</f>
        <v>T-How</v>
      </c>
      <c r="J1903" s="239">
        <f>IFERROR(IFERROR(VLOOKUP(B1903&amp;C1903&amp;Q1903,'New Weekly Paste'!A:M,8,0),VLOOKUP(B1903&amp;C1903&amp;Q1903,'New Weekly Paste'!B:O,10,0)),0)</f>
        <v>82.04</v>
      </c>
      <c r="K1903" s="239">
        <f>IFERROR(IFERROR(VLOOKUP(B1903&amp;I1903&amp;Q1903,'New Weekly Paste'!A:M,8,0),VLOOKUP(B1903&amp;I1903&amp;Q1903,'New Weekly Paste'!B:O,10,0)),0)</f>
        <v>96.16</v>
      </c>
      <c r="L1903" s="239">
        <f t="shared" si="25"/>
        <v>0</v>
      </c>
      <c r="M1903" s="36" t="str">
        <f t="shared" si="3"/>
        <v>Regular Season</v>
      </c>
      <c r="N1903" s="239" t="str">
        <f t="shared" si="26"/>
        <v>T-How</v>
      </c>
      <c r="O1903" s="6">
        <f>VLOOKUP(D1903,'Mapped Opponent'!$G$4:$H$22,2,0)</f>
        <v>8</v>
      </c>
      <c r="P1903" s="6"/>
      <c r="Q1903" s="6" t="str">
        <f t="shared" si="4"/>
        <v>Week 8</v>
      </c>
      <c r="R1903" s="6" t="str">
        <f t="shared" si="5"/>
        <v>2020Week 8</v>
      </c>
      <c r="S1903" s="6">
        <f>IFERROR(__xludf.DUMMYFUNCTION("rank(J1903,FILTER(J:J,R:R=R1903))"),7.0)</f>
        <v>7</v>
      </c>
      <c r="T1903" s="6">
        <f t="shared" si="6"/>
        <v>5</v>
      </c>
      <c r="U1903" s="6">
        <f t="shared" si="7"/>
        <v>7</v>
      </c>
      <c r="V1903" s="42">
        <f>averageif(AllData!A:A,B1903,AllData!R:R)/vlookup(B1903,AllData!A:O,15,0)</f>
        <v>95.94858974</v>
      </c>
      <c r="W1903" s="6"/>
    </row>
    <row r="1904" ht="14.25" customHeight="1">
      <c r="A1904" s="6" t="str">
        <f t="shared" si="1"/>
        <v>2020Buser8</v>
      </c>
      <c r="B1904" s="59">
        <v>2020.0</v>
      </c>
      <c r="C1904" s="13" t="s">
        <v>47</v>
      </c>
      <c r="D1904" s="13" t="s">
        <v>145</v>
      </c>
      <c r="E1904" s="34"/>
      <c r="F1904" s="6"/>
      <c r="H1904" s="6"/>
      <c r="I1904" s="35" t="str">
        <f>IFERROR(IFERROR(IFERROR(VLOOKUP(B1904&amp;C1904&amp;Q1904,'New Weekly Paste'!A:M,10,0),VLOOKUP(B1904&amp;C1904&amp;Q1904,'New Weekly Paste'!B:O,6,0)),""),"")</f>
        <v>Cock</v>
      </c>
      <c r="J1904" s="239">
        <f>IFERROR(IFERROR(VLOOKUP(B1904&amp;C1904&amp;Q1904,'New Weekly Paste'!A:M,8,0),VLOOKUP(B1904&amp;C1904&amp;Q1904,'New Weekly Paste'!B:O,10,0)),0)</f>
        <v>78.52</v>
      </c>
      <c r="K1904" s="239">
        <f>IFERROR(IFERROR(VLOOKUP(B1904&amp;I1904&amp;Q1904,'New Weekly Paste'!A:M,8,0),VLOOKUP(B1904&amp;I1904&amp;Q1904,'New Weekly Paste'!B:O,10,0)),0)</f>
        <v>70.02</v>
      </c>
      <c r="L1904" s="239">
        <f t="shared" si="25"/>
        <v>1</v>
      </c>
      <c r="M1904" s="36" t="str">
        <f t="shared" si="3"/>
        <v>Regular Season</v>
      </c>
      <c r="N1904" s="239" t="str">
        <f t="shared" si="26"/>
        <v>Cock</v>
      </c>
      <c r="O1904" s="6">
        <f>VLOOKUP(D1904,'Mapped Opponent'!$G$4:$H$22,2,0)</f>
        <v>8</v>
      </c>
      <c r="P1904" s="6"/>
      <c r="Q1904" s="6" t="str">
        <f t="shared" si="4"/>
        <v>Week 8</v>
      </c>
      <c r="R1904" s="6" t="str">
        <f t="shared" si="5"/>
        <v>2020Week 8</v>
      </c>
      <c r="S1904" s="6">
        <f>IFERROR(__xludf.DUMMYFUNCTION("rank(J1904,FILTER(J:J,R:R=R1904))"),9.0)</f>
        <v>9</v>
      </c>
      <c r="T1904" s="6">
        <f t="shared" si="6"/>
        <v>3</v>
      </c>
      <c r="U1904" s="6">
        <f t="shared" si="7"/>
        <v>9</v>
      </c>
      <c r="V1904" s="42">
        <f>averageif(AllData!A:A,B1904,AllData!R:R)/vlookup(B1904,AllData!A:O,15,0)</f>
        <v>95.94858974</v>
      </c>
      <c r="W1904" s="6"/>
    </row>
    <row r="1905" ht="14.25" customHeight="1">
      <c r="A1905" s="6" t="str">
        <f t="shared" si="1"/>
        <v>2020Pierson8</v>
      </c>
      <c r="B1905" s="59">
        <v>2020.0</v>
      </c>
      <c r="C1905" s="13" t="s">
        <v>92</v>
      </c>
      <c r="D1905" s="13" t="s">
        <v>145</v>
      </c>
      <c r="E1905" s="34"/>
      <c r="F1905" s="6"/>
      <c r="H1905" s="6"/>
      <c r="I1905" s="35" t="str">
        <f>IFERROR(IFERROR(IFERROR(VLOOKUP(B1905&amp;C1905&amp;Q1905,'New Weekly Paste'!A:M,10,0),VLOOKUP(B1905&amp;C1905&amp;Q1905,'New Weekly Paste'!B:O,6,0)),""),"")</f>
        <v>Salty</v>
      </c>
      <c r="J1905" s="239">
        <f>IFERROR(IFERROR(VLOOKUP(B1905&amp;C1905&amp;Q1905,'New Weekly Paste'!A:M,8,0),VLOOKUP(B1905&amp;C1905&amp;Q1905,'New Weekly Paste'!B:O,10,0)),0)</f>
        <v>110.62</v>
      </c>
      <c r="K1905" s="239">
        <f>IFERROR(IFERROR(VLOOKUP(B1905&amp;I1905&amp;Q1905,'New Weekly Paste'!A:M,8,0),VLOOKUP(B1905&amp;I1905&amp;Q1905,'New Weekly Paste'!B:O,10,0)),0)</f>
        <v>118.74</v>
      </c>
      <c r="L1905" s="239">
        <f t="shared" si="25"/>
        <v>0</v>
      </c>
      <c r="M1905" s="36" t="str">
        <f t="shared" si="3"/>
        <v>Regular Season</v>
      </c>
      <c r="N1905" s="239" t="str">
        <f t="shared" si="26"/>
        <v>Salty</v>
      </c>
      <c r="O1905" s="6">
        <f>VLOOKUP(D1905,'Mapped Opponent'!$G$4:$H$22,2,0)</f>
        <v>8</v>
      </c>
      <c r="P1905" s="6"/>
      <c r="Q1905" s="6" t="str">
        <f t="shared" si="4"/>
        <v>Week 8</v>
      </c>
      <c r="R1905" s="6" t="str">
        <f t="shared" si="5"/>
        <v>2020Week 8</v>
      </c>
      <c r="S1905" s="6">
        <f>IFERROR(__xludf.DUMMYFUNCTION("rank(J1905,FILTER(J:J,R:R=R1905))"),2.0)</f>
        <v>2</v>
      </c>
      <c r="T1905" s="6">
        <f t="shared" si="6"/>
        <v>10</v>
      </c>
      <c r="U1905" s="6">
        <f t="shared" si="7"/>
        <v>2</v>
      </c>
      <c r="V1905" s="42">
        <f>averageif(AllData!A:A,B1905,AllData!R:R)/vlookup(B1905,AllData!A:O,15,0)</f>
        <v>95.94858974</v>
      </c>
      <c r="W1905" s="6"/>
    </row>
    <row r="1906" ht="14.25" customHeight="1">
      <c r="A1906" s="6" t="str">
        <f t="shared" si="1"/>
        <v>2020Cock8</v>
      </c>
      <c r="B1906" s="59">
        <v>2020.0</v>
      </c>
      <c r="C1906" s="13" t="s">
        <v>72</v>
      </c>
      <c r="D1906" s="13" t="s">
        <v>145</v>
      </c>
      <c r="E1906" s="34"/>
      <c r="F1906" s="6"/>
      <c r="H1906" s="6"/>
      <c r="I1906" s="35" t="str">
        <f>IFERROR(IFERROR(IFERROR(VLOOKUP(B1906&amp;C1906&amp;Q1906,'New Weekly Paste'!A:M,10,0),VLOOKUP(B1906&amp;C1906&amp;Q1906,'New Weekly Paste'!B:O,6,0)),""),"")</f>
        <v>Buser</v>
      </c>
      <c r="J1906" s="239">
        <f>IFERROR(IFERROR(VLOOKUP(B1906&amp;C1906&amp;Q1906,'New Weekly Paste'!A:M,8,0),VLOOKUP(B1906&amp;C1906&amp;Q1906,'New Weekly Paste'!B:O,10,0)),0)</f>
        <v>70.02</v>
      </c>
      <c r="K1906" s="239">
        <f>IFERROR(IFERROR(VLOOKUP(B1906&amp;I1906&amp;Q1906,'New Weekly Paste'!A:M,8,0),VLOOKUP(B1906&amp;I1906&amp;Q1906,'New Weekly Paste'!B:O,10,0)),0)</f>
        <v>78.52</v>
      </c>
      <c r="L1906" s="239">
        <f t="shared" si="25"/>
        <v>0</v>
      </c>
      <c r="M1906" s="36" t="str">
        <f t="shared" si="3"/>
        <v>Regular Season</v>
      </c>
      <c r="N1906" s="239" t="str">
        <f t="shared" si="26"/>
        <v>Buser</v>
      </c>
      <c r="O1906" s="6">
        <f>VLOOKUP(D1906,'Mapped Opponent'!$G$4:$H$22,2,0)</f>
        <v>8</v>
      </c>
      <c r="P1906" s="6"/>
      <c r="Q1906" s="6" t="str">
        <f t="shared" si="4"/>
        <v>Week 8</v>
      </c>
      <c r="R1906" s="6" t="str">
        <f t="shared" si="5"/>
        <v>2020Week 8</v>
      </c>
      <c r="S1906" s="6">
        <f>IFERROR(__xludf.DUMMYFUNCTION("rank(J1906,FILTER(J:J,R:R=R1906))"),11.0)</f>
        <v>11</v>
      </c>
      <c r="T1906" s="6">
        <f t="shared" si="6"/>
        <v>1</v>
      </c>
      <c r="U1906" s="6">
        <f t="shared" si="7"/>
        <v>11</v>
      </c>
      <c r="V1906" s="42">
        <f>averageif(AllData!A:A,B1906,AllData!R:R)/vlookup(B1906,AllData!A:O,15,0)</f>
        <v>95.94858974</v>
      </c>
      <c r="W1906" s="6"/>
    </row>
    <row r="1907" ht="14.25" customHeight="1">
      <c r="A1907" s="6" t="str">
        <f t="shared" si="1"/>
        <v>2020Tayski8</v>
      </c>
      <c r="B1907" s="59">
        <v>2020.0</v>
      </c>
      <c r="C1907" s="13" t="s">
        <v>52</v>
      </c>
      <c r="D1907" s="13" t="s">
        <v>145</v>
      </c>
      <c r="E1907" s="34"/>
      <c r="F1907" s="6"/>
      <c r="H1907" s="6"/>
      <c r="I1907" s="35" t="str">
        <f>IFERROR(IFERROR(IFERROR(VLOOKUP(B1907&amp;C1907&amp;Q1907,'New Weekly Paste'!A:M,10,0),VLOOKUP(B1907&amp;C1907&amp;Q1907,'New Weekly Paste'!B:O,6,0)),""),"")</f>
        <v>Hudspeath</v>
      </c>
      <c r="J1907" s="239">
        <f>IFERROR(IFERROR(VLOOKUP(B1907&amp;C1907&amp;Q1907,'New Weekly Paste'!A:M,8,0),VLOOKUP(B1907&amp;C1907&amp;Q1907,'New Weekly Paste'!B:O,10,0)),0)</f>
        <v>92.76</v>
      </c>
      <c r="K1907" s="239">
        <f>IFERROR(IFERROR(VLOOKUP(B1907&amp;I1907&amp;Q1907,'New Weekly Paste'!A:M,8,0),VLOOKUP(B1907&amp;I1907&amp;Q1907,'New Weekly Paste'!B:O,10,0)),0)</f>
        <v>54.56</v>
      </c>
      <c r="L1907" s="239">
        <f t="shared" si="25"/>
        <v>1</v>
      </c>
      <c r="M1907" s="36" t="str">
        <f t="shared" si="3"/>
        <v>Regular Season</v>
      </c>
      <c r="N1907" s="239" t="str">
        <f t="shared" si="26"/>
        <v>Hudspeath</v>
      </c>
      <c r="O1907" s="6">
        <f>VLOOKUP(D1907,'Mapped Opponent'!$G$4:$H$22,2,0)</f>
        <v>8</v>
      </c>
      <c r="P1907" s="6"/>
      <c r="Q1907" s="6" t="str">
        <f t="shared" si="4"/>
        <v>Week 8</v>
      </c>
      <c r="R1907" s="6" t="str">
        <f t="shared" si="5"/>
        <v>2020Week 8</v>
      </c>
      <c r="S1907" s="6">
        <f>IFERROR(__xludf.DUMMYFUNCTION("rank(J1907,FILTER(J:J,R:R=R1907))"),6.0)</f>
        <v>6</v>
      </c>
      <c r="T1907" s="6">
        <f t="shared" si="6"/>
        <v>6</v>
      </c>
      <c r="U1907" s="6">
        <f t="shared" si="7"/>
        <v>6</v>
      </c>
      <c r="V1907" s="42">
        <f>averageif(AllData!A:A,B1907,AllData!R:R)/vlookup(B1907,AllData!A:O,15,0)</f>
        <v>95.94858974</v>
      </c>
      <c r="W1907" s="6"/>
    </row>
    <row r="1908" ht="14.25" customHeight="1">
      <c r="A1908" s="6" t="str">
        <f t="shared" si="1"/>
        <v>2020KnardDawg8</v>
      </c>
      <c r="B1908" s="59">
        <v>2020.0</v>
      </c>
      <c r="C1908" s="13" t="s">
        <v>86</v>
      </c>
      <c r="D1908" s="13" t="s">
        <v>145</v>
      </c>
      <c r="E1908" s="34"/>
      <c r="F1908" s="6"/>
      <c r="H1908" s="6"/>
      <c r="I1908" s="35" t="str">
        <f>IFERROR(IFERROR(IFERROR(VLOOKUP(B1908&amp;C1908&amp;Q1908,'New Weekly Paste'!A:M,10,0),VLOOKUP(B1908&amp;C1908&amp;Q1908,'New Weekly Paste'!B:O,6,0)),""),"")</f>
        <v>Fellows</v>
      </c>
      <c r="J1908" s="239">
        <f>IFERROR(IFERROR(VLOOKUP(B1908&amp;C1908&amp;Q1908,'New Weekly Paste'!A:M,8,0),VLOOKUP(B1908&amp;C1908&amp;Q1908,'New Weekly Paste'!B:O,10,0)),0)</f>
        <v>109.78</v>
      </c>
      <c r="K1908" s="239">
        <f>IFERROR(IFERROR(VLOOKUP(B1908&amp;I1908&amp;Q1908,'New Weekly Paste'!A:M,8,0),VLOOKUP(B1908&amp;I1908&amp;Q1908,'New Weekly Paste'!B:O,10,0)),0)</f>
        <v>79.4</v>
      </c>
      <c r="L1908" s="239">
        <f t="shared" si="25"/>
        <v>1</v>
      </c>
      <c r="M1908" s="36" t="str">
        <f t="shared" si="3"/>
        <v>Regular Season</v>
      </c>
      <c r="N1908" s="239" t="str">
        <f t="shared" si="26"/>
        <v>Fellows</v>
      </c>
      <c r="O1908" s="6">
        <f>VLOOKUP(D1908,'Mapped Opponent'!$G$4:$H$22,2,0)</f>
        <v>8</v>
      </c>
      <c r="P1908" s="6"/>
      <c r="Q1908" s="6" t="str">
        <f t="shared" si="4"/>
        <v>Week 8</v>
      </c>
      <c r="R1908" s="6" t="str">
        <f t="shared" si="5"/>
        <v>2020Week 8</v>
      </c>
      <c r="S1908" s="6">
        <f>IFERROR(__xludf.DUMMYFUNCTION("rank(J1908,FILTER(J:J,R:R=R1908))"),3.0)</f>
        <v>3</v>
      </c>
      <c r="T1908" s="6">
        <f t="shared" si="6"/>
        <v>9</v>
      </c>
      <c r="U1908" s="6">
        <f t="shared" si="7"/>
        <v>3</v>
      </c>
      <c r="V1908" s="42">
        <f>averageif(AllData!A:A,B1908,AllData!R:R)/vlookup(B1908,AllData!A:O,15,0)</f>
        <v>95.94858974</v>
      </c>
      <c r="W1908" s="6"/>
    </row>
    <row r="1909" ht="14.25" customHeight="1">
      <c r="A1909" s="6" t="str">
        <f t="shared" si="1"/>
        <v>2020T-How8</v>
      </c>
      <c r="B1909" s="59">
        <v>2020.0</v>
      </c>
      <c r="C1909" s="13" t="s">
        <v>82</v>
      </c>
      <c r="D1909" s="13" t="s">
        <v>145</v>
      </c>
      <c r="E1909" s="34"/>
      <c r="F1909" s="6"/>
      <c r="H1909" s="6"/>
      <c r="I1909" s="35" t="str">
        <f>IFERROR(IFERROR(IFERROR(VLOOKUP(B1909&amp;C1909&amp;Q1909,'New Weekly Paste'!A:M,10,0),VLOOKUP(B1909&amp;C1909&amp;Q1909,'New Weekly Paste'!B:O,6,0)),""),"")</f>
        <v>Rooney/Jackson</v>
      </c>
      <c r="J1909" s="239">
        <f>IFERROR(IFERROR(VLOOKUP(B1909&amp;C1909&amp;Q1909,'New Weekly Paste'!A:M,8,0),VLOOKUP(B1909&amp;C1909&amp;Q1909,'New Weekly Paste'!B:O,10,0)),0)</f>
        <v>96.16</v>
      </c>
      <c r="K1909" s="239">
        <f>IFERROR(IFERROR(VLOOKUP(B1909&amp;I1909&amp;Q1909,'New Weekly Paste'!A:M,8,0),VLOOKUP(B1909&amp;I1909&amp;Q1909,'New Weekly Paste'!B:O,10,0)),0)</f>
        <v>82.04</v>
      </c>
      <c r="L1909" s="239">
        <f t="shared" si="25"/>
        <v>1</v>
      </c>
      <c r="M1909" s="36" t="str">
        <f t="shared" si="3"/>
        <v>Regular Season</v>
      </c>
      <c r="N1909" s="239" t="str">
        <f t="shared" si="26"/>
        <v>Rooney/Jackson</v>
      </c>
      <c r="O1909" s="6">
        <f>VLOOKUP(D1909,'Mapped Opponent'!$G$4:$H$22,2,0)</f>
        <v>8</v>
      </c>
      <c r="P1909" s="6"/>
      <c r="Q1909" s="6" t="str">
        <f t="shared" si="4"/>
        <v>Week 8</v>
      </c>
      <c r="R1909" s="6" t="str">
        <f t="shared" si="5"/>
        <v>2020Week 8</v>
      </c>
      <c r="S1909" s="6">
        <f>IFERROR(__xludf.DUMMYFUNCTION("rank(J1909,FILTER(J:J,R:R=R1909))"),5.0)</f>
        <v>5</v>
      </c>
      <c r="T1909" s="6">
        <f t="shared" si="6"/>
        <v>7</v>
      </c>
      <c r="U1909" s="6">
        <f t="shared" si="7"/>
        <v>5</v>
      </c>
      <c r="V1909" s="42">
        <f>averageif(AllData!A:A,B1909,AllData!R:R)/vlookup(B1909,AllData!A:O,15,0)</f>
        <v>95.94858974</v>
      </c>
      <c r="W1909" s="6"/>
    </row>
    <row r="1910" ht="14.25" customHeight="1">
      <c r="A1910" s="6" t="str">
        <f t="shared" si="1"/>
        <v>2020Hudspeath9</v>
      </c>
      <c r="B1910" s="59">
        <v>2020.0</v>
      </c>
      <c r="C1910" s="13" t="s">
        <v>39</v>
      </c>
      <c r="D1910" s="13" t="s">
        <v>147</v>
      </c>
      <c r="E1910" s="34"/>
      <c r="F1910" s="6"/>
      <c r="H1910" s="6"/>
      <c r="I1910" s="35" t="str">
        <f>IFERROR(IFERROR(IFERROR(VLOOKUP(B1910&amp;C1910&amp;Q1910,'New Weekly Paste'!A:M,10,0),VLOOKUP(B1910&amp;C1910&amp;Q1910,'New Weekly Paste'!B:O,6,0)),""),"")</f>
        <v>Pierson</v>
      </c>
      <c r="J1910" s="239">
        <f>IFERROR(IFERROR(VLOOKUP(B1910&amp;C1910&amp;Q1910,'New Weekly Paste'!A:M,8,0),VLOOKUP(B1910&amp;C1910&amp;Q1910,'New Weekly Paste'!B:O,10,0)),0)</f>
        <v>55.16</v>
      </c>
      <c r="K1910" s="239">
        <f>IFERROR(IFERROR(VLOOKUP(B1910&amp;I1910&amp;Q1910,'New Weekly Paste'!A:M,8,0),VLOOKUP(B1910&amp;I1910&amp;Q1910,'New Weekly Paste'!B:O,10,0)),0)</f>
        <v>93.5</v>
      </c>
      <c r="L1910" s="239">
        <f t="shared" si="25"/>
        <v>0</v>
      </c>
      <c r="M1910" s="36" t="str">
        <f t="shared" si="3"/>
        <v>Regular Season</v>
      </c>
      <c r="N1910" s="239" t="str">
        <f t="shared" si="26"/>
        <v>Pierson</v>
      </c>
      <c r="O1910" s="6">
        <f>VLOOKUP(D1910,'Mapped Opponent'!$G$4:$H$22,2,0)</f>
        <v>9</v>
      </c>
      <c r="P1910" s="6"/>
      <c r="Q1910" s="6" t="str">
        <f t="shared" si="4"/>
        <v>Week 9</v>
      </c>
      <c r="R1910" s="6" t="str">
        <f t="shared" si="5"/>
        <v>2020Week 9</v>
      </c>
      <c r="S1910" s="6">
        <f>IFERROR(__xludf.DUMMYFUNCTION("rank(J1910,FILTER(J:J,R:R=R1910))"),12.0)</f>
        <v>12</v>
      </c>
      <c r="T1910" s="6">
        <f t="shared" si="6"/>
        <v>0</v>
      </c>
      <c r="U1910" s="6">
        <f t="shared" si="7"/>
        <v>12</v>
      </c>
      <c r="V1910" s="42">
        <f>averageif(AllData!A:A,B1910,AllData!R:R)/vlookup(B1910,AllData!A:O,15,0)</f>
        <v>95.94858974</v>
      </c>
      <c r="W1910" s="6"/>
    </row>
    <row r="1911" ht="14.25" customHeight="1">
      <c r="A1911" s="6" t="str">
        <f t="shared" si="1"/>
        <v>2020Salty9</v>
      </c>
      <c r="B1911" s="59">
        <v>2020.0</v>
      </c>
      <c r="C1911" s="13" t="s">
        <v>76</v>
      </c>
      <c r="D1911" s="13" t="s">
        <v>147</v>
      </c>
      <c r="E1911" s="34"/>
      <c r="F1911" s="6"/>
      <c r="H1911" s="6"/>
      <c r="I1911" s="35" t="str">
        <f>IFERROR(IFERROR(IFERROR(VLOOKUP(B1911&amp;C1911&amp;Q1911,'New Weekly Paste'!A:M,10,0),VLOOKUP(B1911&amp;C1911&amp;Q1911,'New Weekly Paste'!B:O,6,0)),""),"")</f>
        <v>KnardDawg</v>
      </c>
      <c r="J1911" s="239">
        <f>IFERROR(IFERROR(VLOOKUP(B1911&amp;C1911&amp;Q1911,'New Weekly Paste'!A:M,8,0),VLOOKUP(B1911&amp;C1911&amp;Q1911,'New Weekly Paste'!B:O,10,0)),0)</f>
        <v>112.78</v>
      </c>
      <c r="K1911" s="239">
        <f>IFERROR(IFERROR(VLOOKUP(B1911&amp;I1911&amp;Q1911,'New Weekly Paste'!A:M,8,0),VLOOKUP(B1911&amp;I1911&amp;Q1911,'New Weekly Paste'!B:O,10,0)),0)</f>
        <v>113.74</v>
      </c>
      <c r="L1911" s="239">
        <f t="shared" si="25"/>
        <v>0</v>
      </c>
      <c r="M1911" s="36" t="str">
        <f t="shared" si="3"/>
        <v>Regular Season</v>
      </c>
      <c r="N1911" s="239" t="str">
        <f t="shared" si="26"/>
        <v>KnardDawg</v>
      </c>
      <c r="O1911" s="6">
        <f>VLOOKUP(D1911,'Mapped Opponent'!$G$4:$H$22,2,0)</f>
        <v>9</v>
      </c>
      <c r="P1911" s="6"/>
      <c r="Q1911" s="6" t="str">
        <f t="shared" si="4"/>
        <v>Week 9</v>
      </c>
      <c r="R1911" s="6" t="str">
        <f t="shared" si="5"/>
        <v>2020Week 9</v>
      </c>
      <c r="S1911" s="6">
        <f>IFERROR(__xludf.DUMMYFUNCTION("rank(J1911,FILTER(J:J,R:R=R1911))"),2.0)</f>
        <v>2</v>
      </c>
      <c r="T1911" s="6">
        <f t="shared" si="6"/>
        <v>10</v>
      </c>
      <c r="U1911" s="6">
        <f t="shared" si="7"/>
        <v>2</v>
      </c>
      <c r="V1911" s="42">
        <f>averageif(AllData!A:A,B1911,AllData!R:R)/vlookup(B1911,AllData!A:O,15,0)</f>
        <v>95.94858974</v>
      </c>
      <c r="W1911" s="6"/>
    </row>
    <row r="1912" ht="14.25" customHeight="1">
      <c r="A1912" s="6" t="str">
        <f t="shared" si="1"/>
        <v>2020Fellows9</v>
      </c>
      <c r="B1912" s="59">
        <v>2020.0</v>
      </c>
      <c r="C1912" s="13" t="s">
        <v>79</v>
      </c>
      <c r="D1912" s="13" t="s">
        <v>147</v>
      </c>
      <c r="E1912" s="34"/>
      <c r="F1912" s="6"/>
      <c r="H1912" s="6"/>
      <c r="I1912" s="35" t="str">
        <f>IFERROR(IFERROR(IFERROR(VLOOKUP(B1912&amp;C1912&amp;Q1912,'New Weekly Paste'!A:M,10,0),VLOOKUP(B1912&amp;C1912&amp;Q1912,'New Weekly Paste'!B:O,6,0)),""),"")</f>
        <v>Shep</v>
      </c>
      <c r="J1912" s="239">
        <f>IFERROR(IFERROR(VLOOKUP(B1912&amp;C1912&amp;Q1912,'New Weekly Paste'!A:M,8,0),VLOOKUP(B1912&amp;C1912&amp;Q1912,'New Weekly Paste'!B:O,10,0)),0)</f>
        <v>104.36</v>
      </c>
      <c r="K1912" s="239">
        <f>IFERROR(IFERROR(VLOOKUP(B1912&amp;I1912&amp;Q1912,'New Weekly Paste'!A:M,8,0),VLOOKUP(B1912&amp;I1912&amp;Q1912,'New Weekly Paste'!B:O,10,0)),0)</f>
        <v>93</v>
      </c>
      <c r="L1912" s="239">
        <f t="shared" si="25"/>
        <v>1</v>
      </c>
      <c r="M1912" s="36" t="str">
        <f t="shared" si="3"/>
        <v>Regular Season</v>
      </c>
      <c r="N1912" s="239" t="str">
        <f t="shared" si="26"/>
        <v>Shep</v>
      </c>
      <c r="O1912" s="6">
        <f>VLOOKUP(D1912,'Mapped Opponent'!$G$4:$H$22,2,0)</f>
        <v>9</v>
      </c>
      <c r="P1912" s="6"/>
      <c r="Q1912" s="6" t="str">
        <f t="shared" si="4"/>
        <v>Week 9</v>
      </c>
      <c r="R1912" s="6" t="str">
        <f t="shared" si="5"/>
        <v>2020Week 9</v>
      </c>
      <c r="S1912" s="6">
        <f>IFERROR(__xludf.DUMMYFUNCTION("rank(J1912,FILTER(J:J,R:R=R1912))"),4.0)</f>
        <v>4</v>
      </c>
      <c r="T1912" s="6">
        <f t="shared" si="6"/>
        <v>8</v>
      </c>
      <c r="U1912" s="6">
        <f t="shared" si="7"/>
        <v>4</v>
      </c>
      <c r="V1912" s="42">
        <f>averageif(AllData!A:A,B1912,AllData!R:R)/vlookup(B1912,AllData!A:O,15,0)</f>
        <v>95.94858974</v>
      </c>
      <c r="W1912" s="6"/>
    </row>
    <row r="1913" ht="14.25" customHeight="1">
      <c r="A1913" s="6" t="str">
        <f t="shared" si="1"/>
        <v>2020Shep9</v>
      </c>
      <c r="B1913" s="59">
        <v>2020.0</v>
      </c>
      <c r="C1913" s="13" t="s">
        <v>89</v>
      </c>
      <c r="D1913" s="13" t="s">
        <v>147</v>
      </c>
      <c r="E1913" s="34"/>
      <c r="F1913" s="6"/>
      <c r="H1913" s="6"/>
      <c r="I1913" s="35" t="str">
        <f>IFERROR(IFERROR(IFERROR(VLOOKUP(B1913&amp;C1913&amp;Q1913,'New Weekly Paste'!A:M,10,0),VLOOKUP(B1913&amp;C1913&amp;Q1913,'New Weekly Paste'!B:O,6,0)),""),"")</f>
        <v>Fellows</v>
      </c>
      <c r="J1913" s="239">
        <f>IFERROR(IFERROR(VLOOKUP(B1913&amp;C1913&amp;Q1913,'New Weekly Paste'!A:M,8,0),VLOOKUP(B1913&amp;C1913&amp;Q1913,'New Weekly Paste'!B:O,10,0)),0)</f>
        <v>93</v>
      </c>
      <c r="K1913" s="239">
        <f>IFERROR(IFERROR(VLOOKUP(B1913&amp;I1913&amp;Q1913,'New Weekly Paste'!A:M,8,0),VLOOKUP(B1913&amp;I1913&amp;Q1913,'New Weekly Paste'!B:O,10,0)),0)</f>
        <v>104.36</v>
      </c>
      <c r="L1913" s="239">
        <f t="shared" si="25"/>
        <v>0</v>
      </c>
      <c r="M1913" s="36" t="str">
        <f t="shared" si="3"/>
        <v>Regular Season</v>
      </c>
      <c r="N1913" s="239" t="str">
        <f t="shared" si="26"/>
        <v>Fellows</v>
      </c>
      <c r="O1913" s="6">
        <f>VLOOKUP(D1913,'Mapped Opponent'!$G$4:$H$22,2,0)</f>
        <v>9</v>
      </c>
      <c r="P1913" s="6"/>
      <c r="Q1913" s="6" t="str">
        <f t="shared" si="4"/>
        <v>Week 9</v>
      </c>
      <c r="R1913" s="6" t="str">
        <f t="shared" si="5"/>
        <v>2020Week 9</v>
      </c>
      <c r="S1913" s="6">
        <f>IFERROR(__xludf.DUMMYFUNCTION("rank(J1913,FILTER(J:J,R:R=R1913))"),7.0)</f>
        <v>7</v>
      </c>
      <c r="T1913" s="6">
        <f t="shared" si="6"/>
        <v>5</v>
      </c>
      <c r="U1913" s="6">
        <f t="shared" si="7"/>
        <v>7</v>
      </c>
      <c r="V1913" s="42">
        <f>averageif(AllData!A:A,B1913,AllData!R:R)/vlookup(B1913,AllData!A:O,15,0)</f>
        <v>95.94858974</v>
      </c>
      <c r="W1913" s="6"/>
    </row>
    <row r="1914" ht="14.25" customHeight="1">
      <c r="A1914" s="6" t="str">
        <f t="shared" si="1"/>
        <v>2020Riley9</v>
      </c>
      <c r="B1914" s="59">
        <v>2020.0</v>
      </c>
      <c r="C1914" s="13" t="s">
        <v>67</v>
      </c>
      <c r="D1914" s="13" t="s">
        <v>147</v>
      </c>
      <c r="E1914" s="34"/>
      <c r="F1914" s="6"/>
      <c r="H1914" s="6"/>
      <c r="I1914" s="35" t="str">
        <f>IFERROR(IFERROR(IFERROR(VLOOKUP(B1914&amp;C1914&amp;Q1914,'New Weekly Paste'!A:M,10,0),VLOOKUP(B1914&amp;C1914&amp;Q1914,'New Weekly Paste'!B:O,6,0)),""),"")</f>
        <v>T-How</v>
      </c>
      <c r="J1914" s="239">
        <f>IFERROR(IFERROR(VLOOKUP(B1914&amp;C1914&amp;Q1914,'New Weekly Paste'!A:M,8,0),VLOOKUP(B1914&amp;C1914&amp;Q1914,'New Weekly Paste'!B:O,10,0)),0)</f>
        <v>104.3</v>
      </c>
      <c r="K1914" s="239">
        <f>IFERROR(IFERROR(VLOOKUP(B1914&amp;I1914&amp;Q1914,'New Weekly Paste'!A:M,8,0),VLOOKUP(B1914&amp;I1914&amp;Q1914,'New Weekly Paste'!B:O,10,0)),0)</f>
        <v>75.66</v>
      </c>
      <c r="L1914" s="239">
        <f t="shared" si="25"/>
        <v>1</v>
      </c>
      <c r="M1914" s="36" t="str">
        <f t="shared" si="3"/>
        <v>Regular Season</v>
      </c>
      <c r="N1914" s="239" t="str">
        <f t="shared" si="26"/>
        <v>T-How</v>
      </c>
      <c r="O1914" s="6">
        <f>VLOOKUP(D1914,'Mapped Opponent'!$G$4:$H$22,2,0)</f>
        <v>9</v>
      </c>
      <c r="P1914" s="6"/>
      <c r="Q1914" s="6" t="str">
        <f t="shared" si="4"/>
        <v>Week 9</v>
      </c>
      <c r="R1914" s="6" t="str">
        <f t="shared" si="5"/>
        <v>2020Week 9</v>
      </c>
      <c r="S1914" s="6">
        <f>IFERROR(__xludf.DUMMYFUNCTION("rank(J1914,FILTER(J:J,R:R=R1914))"),5.0)</f>
        <v>5</v>
      </c>
      <c r="T1914" s="6">
        <f t="shared" si="6"/>
        <v>7</v>
      </c>
      <c r="U1914" s="6">
        <f t="shared" si="7"/>
        <v>5</v>
      </c>
      <c r="V1914" s="42">
        <f>averageif(AllData!A:A,B1914,AllData!R:R)/vlookup(B1914,AllData!A:O,15,0)</f>
        <v>95.94858974</v>
      </c>
      <c r="W1914" s="6"/>
    </row>
    <row r="1915" ht="14.25" customHeight="1">
      <c r="A1915" s="6" t="str">
        <f t="shared" si="1"/>
        <v>2020Rooney/Jackson9</v>
      </c>
      <c r="B1915" s="59">
        <v>2020.0</v>
      </c>
      <c r="C1915" s="13" t="s">
        <v>57</v>
      </c>
      <c r="D1915" s="13" t="s">
        <v>147</v>
      </c>
      <c r="E1915" s="34"/>
      <c r="F1915" s="6"/>
      <c r="H1915" s="6"/>
      <c r="I1915" s="35" t="str">
        <f>IFERROR(IFERROR(IFERROR(VLOOKUP(B1915&amp;C1915&amp;Q1915,'New Weekly Paste'!A:M,10,0),VLOOKUP(B1915&amp;C1915&amp;Q1915,'New Weekly Paste'!B:O,6,0)),""),"")</f>
        <v>Buser</v>
      </c>
      <c r="J1915" s="239">
        <f>IFERROR(IFERROR(VLOOKUP(B1915&amp;C1915&amp;Q1915,'New Weekly Paste'!A:M,8,0),VLOOKUP(B1915&amp;C1915&amp;Q1915,'New Weekly Paste'!B:O,10,0)),0)</f>
        <v>71.94</v>
      </c>
      <c r="K1915" s="239">
        <f>IFERROR(IFERROR(VLOOKUP(B1915&amp;I1915&amp;Q1915,'New Weekly Paste'!A:M,8,0),VLOOKUP(B1915&amp;I1915&amp;Q1915,'New Weekly Paste'!B:O,10,0)),0)</f>
        <v>74.52</v>
      </c>
      <c r="L1915" s="239">
        <f t="shared" si="25"/>
        <v>0</v>
      </c>
      <c r="M1915" s="36" t="str">
        <f t="shared" si="3"/>
        <v>Regular Season</v>
      </c>
      <c r="N1915" s="239" t="str">
        <f t="shared" si="26"/>
        <v>Buser</v>
      </c>
      <c r="O1915" s="6">
        <f>VLOOKUP(D1915,'Mapped Opponent'!$G$4:$H$22,2,0)</f>
        <v>9</v>
      </c>
      <c r="P1915" s="6"/>
      <c r="Q1915" s="6" t="str">
        <f t="shared" si="4"/>
        <v>Week 9</v>
      </c>
      <c r="R1915" s="6" t="str">
        <f t="shared" si="5"/>
        <v>2020Week 9</v>
      </c>
      <c r="S1915" s="6">
        <f>IFERROR(__xludf.DUMMYFUNCTION("rank(J1915,FILTER(J:J,R:R=R1915))"),10.0)</f>
        <v>10</v>
      </c>
      <c r="T1915" s="6">
        <f t="shared" si="6"/>
        <v>2</v>
      </c>
      <c r="U1915" s="6">
        <f t="shared" si="7"/>
        <v>10</v>
      </c>
      <c r="V1915" s="42">
        <f>averageif(AllData!A:A,B1915,AllData!R:R)/vlookup(B1915,AllData!A:O,15,0)</f>
        <v>95.94858974</v>
      </c>
      <c r="W1915" s="6"/>
    </row>
    <row r="1916" ht="14.25" customHeight="1">
      <c r="A1916" s="6" t="str">
        <f t="shared" si="1"/>
        <v>2020Buser9</v>
      </c>
      <c r="B1916" s="59">
        <v>2020.0</v>
      </c>
      <c r="C1916" s="13" t="s">
        <v>47</v>
      </c>
      <c r="D1916" s="13" t="s">
        <v>147</v>
      </c>
      <c r="E1916" s="34"/>
      <c r="F1916" s="6"/>
      <c r="H1916" s="6"/>
      <c r="I1916" s="35" t="str">
        <f>IFERROR(IFERROR(IFERROR(VLOOKUP(B1916&amp;C1916&amp;Q1916,'New Weekly Paste'!A:M,10,0),VLOOKUP(B1916&amp;C1916&amp;Q1916,'New Weekly Paste'!B:O,6,0)),""),"")</f>
        <v>Rooney/Jackson</v>
      </c>
      <c r="J1916" s="239">
        <f>IFERROR(IFERROR(VLOOKUP(B1916&amp;C1916&amp;Q1916,'New Weekly Paste'!A:M,8,0),VLOOKUP(B1916&amp;C1916&amp;Q1916,'New Weekly Paste'!B:O,10,0)),0)</f>
        <v>74.52</v>
      </c>
      <c r="K1916" s="239">
        <f>IFERROR(IFERROR(VLOOKUP(B1916&amp;I1916&amp;Q1916,'New Weekly Paste'!A:M,8,0),VLOOKUP(B1916&amp;I1916&amp;Q1916,'New Weekly Paste'!B:O,10,0)),0)</f>
        <v>71.94</v>
      </c>
      <c r="L1916" s="239">
        <f t="shared" si="25"/>
        <v>1</v>
      </c>
      <c r="M1916" s="36" t="str">
        <f t="shared" si="3"/>
        <v>Regular Season</v>
      </c>
      <c r="N1916" s="239" t="str">
        <f t="shared" si="26"/>
        <v>Rooney/Jackson</v>
      </c>
      <c r="O1916" s="6">
        <f>VLOOKUP(D1916,'Mapped Opponent'!$G$4:$H$22,2,0)</f>
        <v>9</v>
      </c>
      <c r="P1916" s="6"/>
      <c r="Q1916" s="6" t="str">
        <f t="shared" si="4"/>
        <v>Week 9</v>
      </c>
      <c r="R1916" s="6" t="str">
        <f t="shared" si="5"/>
        <v>2020Week 9</v>
      </c>
      <c r="S1916" s="6">
        <f>IFERROR(__xludf.DUMMYFUNCTION("rank(J1916,FILTER(J:J,R:R=R1916))"),9.0)</f>
        <v>9</v>
      </c>
      <c r="T1916" s="6">
        <f t="shared" si="6"/>
        <v>3</v>
      </c>
      <c r="U1916" s="6">
        <f t="shared" si="7"/>
        <v>9</v>
      </c>
      <c r="V1916" s="42">
        <f>averageif(AllData!A:A,B1916,AllData!R:R)/vlookup(B1916,AllData!A:O,15,0)</f>
        <v>95.94858974</v>
      </c>
      <c r="W1916" s="6"/>
    </row>
    <row r="1917" ht="14.25" customHeight="1">
      <c r="A1917" s="6" t="str">
        <f t="shared" si="1"/>
        <v>2020Pierson9</v>
      </c>
      <c r="B1917" s="59">
        <v>2020.0</v>
      </c>
      <c r="C1917" s="13" t="s">
        <v>92</v>
      </c>
      <c r="D1917" s="13" t="s">
        <v>147</v>
      </c>
      <c r="E1917" s="34"/>
      <c r="F1917" s="6"/>
      <c r="H1917" s="6"/>
      <c r="I1917" s="35" t="str">
        <f>IFERROR(IFERROR(IFERROR(VLOOKUP(B1917&amp;C1917&amp;Q1917,'New Weekly Paste'!A:M,10,0),VLOOKUP(B1917&amp;C1917&amp;Q1917,'New Weekly Paste'!B:O,6,0)),""),"")</f>
        <v>Hudspeath</v>
      </c>
      <c r="J1917" s="239">
        <f>IFERROR(IFERROR(VLOOKUP(B1917&amp;C1917&amp;Q1917,'New Weekly Paste'!A:M,8,0),VLOOKUP(B1917&amp;C1917&amp;Q1917,'New Weekly Paste'!B:O,10,0)),0)</f>
        <v>93.5</v>
      </c>
      <c r="K1917" s="239">
        <f>IFERROR(IFERROR(VLOOKUP(B1917&amp;I1917&amp;Q1917,'New Weekly Paste'!A:M,8,0),VLOOKUP(B1917&amp;I1917&amp;Q1917,'New Weekly Paste'!B:O,10,0)),0)</f>
        <v>55.16</v>
      </c>
      <c r="L1917" s="239">
        <f t="shared" si="25"/>
        <v>1</v>
      </c>
      <c r="M1917" s="36" t="str">
        <f t="shared" si="3"/>
        <v>Regular Season</v>
      </c>
      <c r="N1917" s="239" t="str">
        <f t="shared" si="26"/>
        <v>Hudspeath</v>
      </c>
      <c r="O1917" s="6">
        <f>VLOOKUP(D1917,'Mapped Opponent'!$G$4:$H$22,2,0)</f>
        <v>9</v>
      </c>
      <c r="P1917" s="6"/>
      <c r="Q1917" s="6" t="str">
        <f t="shared" si="4"/>
        <v>Week 9</v>
      </c>
      <c r="R1917" s="6" t="str">
        <f t="shared" si="5"/>
        <v>2020Week 9</v>
      </c>
      <c r="S1917" s="6">
        <f>IFERROR(__xludf.DUMMYFUNCTION("rank(J1917,FILTER(J:J,R:R=R1917))"),6.0)</f>
        <v>6</v>
      </c>
      <c r="T1917" s="6">
        <f t="shared" si="6"/>
        <v>6</v>
      </c>
      <c r="U1917" s="6">
        <f t="shared" si="7"/>
        <v>6</v>
      </c>
      <c r="V1917" s="42">
        <f>averageif(AllData!A:A,B1917,AllData!R:R)/vlookup(B1917,AllData!A:O,15,0)</f>
        <v>95.94858974</v>
      </c>
      <c r="W1917" s="6"/>
    </row>
    <row r="1918" ht="14.25" customHeight="1">
      <c r="A1918" s="6" t="str">
        <f t="shared" si="1"/>
        <v>2020Cock9</v>
      </c>
      <c r="B1918" s="59">
        <v>2020.0</v>
      </c>
      <c r="C1918" s="13" t="s">
        <v>72</v>
      </c>
      <c r="D1918" s="13" t="s">
        <v>147</v>
      </c>
      <c r="E1918" s="34"/>
      <c r="F1918" s="6"/>
      <c r="H1918" s="6"/>
      <c r="I1918" s="35" t="str">
        <f>IFERROR(IFERROR(IFERROR(VLOOKUP(B1918&amp;C1918&amp;Q1918,'New Weekly Paste'!A:M,10,0),VLOOKUP(B1918&amp;C1918&amp;Q1918,'New Weekly Paste'!B:O,6,0)),""),"")</f>
        <v>Tayski</v>
      </c>
      <c r="J1918" s="239">
        <f>IFERROR(IFERROR(VLOOKUP(B1918&amp;C1918&amp;Q1918,'New Weekly Paste'!A:M,8,0),VLOOKUP(B1918&amp;C1918&amp;Q1918,'New Weekly Paste'!B:O,10,0)),0)</f>
        <v>61.02</v>
      </c>
      <c r="K1918" s="239">
        <f>IFERROR(IFERROR(VLOOKUP(B1918&amp;I1918&amp;Q1918,'New Weekly Paste'!A:M,8,0),VLOOKUP(B1918&amp;I1918&amp;Q1918,'New Weekly Paste'!B:O,10,0)),0)</f>
        <v>108.4</v>
      </c>
      <c r="L1918" s="239">
        <f t="shared" si="25"/>
        <v>0</v>
      </c>
      <c r="M1918" s="36" t="str">
        <f t="shared" si="3"/>
        <v>Regular Season</v>
      </c>
      <c r="N1918" s="239" t="str">
        <f t="shared" si="26"/>
        <v>Tayski</v>
      </c>
      <c r="O1918" s="6">
        <f>VLOOKUP(D1918,'Mapped Opponent'!$G$4:$H$22,2,0)</f>
        <v>9</v>
      </c>
      <c r="P1918" s="6"/>
      <c r="Q1918" s="6" t="str">
        <f t="shared" si="4"/>
        <v>Week 9</v>
      </c>
      <c r="R1918" s="6" t="str">
        <f t="shared" si="5"/>
        <v>2020Week 9</v>
      </c>
      <c r="S1918" s="6">
        <f>IFERROR(__xludf.DUMMYFUNCTION("rank(J1918,FILTER(J:J,R:R=R1918))"),11.0)</f>
        <v>11</v>
      </c>
      <c r="T1918" s="6">
        <f t="shared" si="6"/>
        <v>1</v>
      </c>
      <c r="U1918" s="6">
        <f t="shared" si="7"/>
        <v>11</v>
      </c>
      <c r="V1918" s="42">
        <f>averageif(AllData!A:A,B1918,AllData!R:R)/vlookup(B1918,AllData!A:O,15,0)</f>
        <v>95.94858974</v>
      </c>
      <c r="W1918" s="6"/>
    </row>
    <row r="1919" ht="14.25" customHeight="1">
      <c r="A1919" s="6" t="str">
        <f t="shared" si="1"/>
        <v>2020Tayski9</v>
      </c>
      <c r="B1919" s="59">
        <v>2020.0</v>
      </c>
      <c r="C1919" s="13" t="s">
        <v>52</v>
      </c>
      <c r="D1919" s="13" t="s">
        <v>147</v>
      </c>
      <c r="E1919" s="34"/>
      <c r="F1919" s="6"/>
      <c r="H1919" s="6"/>
      <c r="I1919" s="35" t="str">
        <f>IFERROR(IFERROR(IFERROR(VLOOKUP(B1919&amp;C1919&amp;Q1919,'New Weekly Paste'!A:M,10,0),VLOOKUP(B1919&amp;C1919&amp;Q1919,'New Weekly Paste'!B:O,6,0)),""),"")</f>
        <v>Cock</v>
      </c>
      <c r="J1919" s="239">
        <f>IFERROR(IFERROR(VLOOKUP(B1919&amp;C1919&amp;Q1919,'New Weekly Paste'!A:M,8,0),VLOOKUP(B1919&amp;C1919&amp;Q1919,'New Weekly Paste'!B:O,10,0)),0)</f>
        <v>108.4</v>
      </c>
      <c r="K1919" s="239">
        <f>IFERROR(IFERROR(VLOOKUP(B1919&amp;I1919&amp;Q1919,'New Weekly Paste'!A:M,8,0),VLOOKUP(B1919&amp;I1919&amp;Q1919,'New Weekly Paste'!B:O,10,0)),0)</f>
        <v>61.02</v>
      </c>
      <c r="L1919" s="239">
        <f t="shared" si="25"/>
        <v>1</v>
      </c>
      <c r="M1919" s="36" t="str">
        <f t="shared" si="3"/>
        <v>Regular Season</v>
      </c>
      <c r="N1919" s="239" t="str">
        <f t="shared" si="26"/>
        <v>Cock</v>
      </c>
      <c r="O1919" s="6">
        <f>VLOOKUP(D1919,'Mapped Opponent'!$G$4:$H$22,2,0)</f>
        <v>9</v>
      </c>
      <c r="P1919" s="6"/>
      <c r="Q1919" s="6" t="str">
        <f t="shared" si="4"/>
        <v>Week 9</v>
      </c>
      <c r="R1919" s="6" t="str">
        <f t="shared" si="5"/>
        <v>2020Week 9</v>
      </c>
      <c r="S1919" s="6">
        <f>IFERROR(__xludf.DUMMYFUNCTION("rank(J1919,FILTER(J:J,R:R=R1919))"),3.0)</f>
        <v>3</v>
      </c>
      <c r="T1919" s="6">
        <f t="shared" si="6"/>
        <v>9</v>
      </c>
      <c r="U1919" s="6">
        <f t="shared" si="7"/>
        <v>3</v>
      </c>
      <c r="V1919" s="42">
        <f>averageif(AllData!A:A,B1919,AllData!R:R)/vlookup(B1919,AllData!A:O,15,0)</f>
        <v>95.94858974</v>
      </c>
      <c r="W1919" s="6"/>
    </row>
    <row r="1920" ht="14.25" customHeight="1">
      <c r="A1920" s="6" t="str">
        <f t="shared" si="1"/>
        <v>2020KnardDawg9</v>
      </c>
      <c r="B1920" s="59">
        <v>2020.0</v>
      </c>
      <c r="C1920" s="13" t="s">
        <v>86</v>
      </c>
      <c r="D1920" s="13" t="s">
        <v>147</v>
      </c>
      <c r="E1920" s="34"/>
      <c r="F1920" s="6"/>
      <c r="H1920" s="6"/>
      <c r="I1920" s="35" t="str">
        <f>IFERROR(IFERROR(IFERROR(VLOOKUP(B1920&amp;C1920&amp;Q1920,'New Weekly Paste'!A:M,10,0),VLOOKUP(B1920&amp;C1920&amp;Q1920,'New Weekly Paste'!B:O,6,0)),""),"")</f>
        <v>Salty</v>
      </c>
      <c r="J1920" s="239">
        <f>IFERROR(IFERROR(VLOOKUP(B1920&amp;C1920&amp;Q1920,'New Weekly Paste'!A:M,8,0),VLOOKUP(B1920&amp;C1920&amp;Q1920,'New Weekly Paste'!B:O,10,0)),0)</f>
        <v>113.74</v>
      </c>
      <c r="K1920" s="239">
        <f>IFERROR(IFERROR(VLOOKUP(B1920&amp;I1920&amp;Q1920,'New Weekly Paste'!A:M,8,0),VLOOKUP(B1920&amp;I1920&amp;Q1920,'New Weekly Paste'!B:O,10,0)),0)</f>
        <v>112.78</v>
      </c>
      <c r="L1920" s="239">
        <f t="shared" si="25"/>
        <v>1</v>
      </c>
      <c r="M1920" s="36" t="str">
        <f t="shared" si="3"/>
        <v>Regular Season</v>
      </c>
      <c r="N1920" s="239" t="str">
        <f t="shared" si="26"/>
        <v>Salty</v>
      </c>
      <c r="O1920" s="6">
        <f>VLOOKUP(D1920,'Mapped Opponent'!$G$4:$H$22,2,0)</f>
        <v>9</v>
      </c>
      <c r="P1920" s="6"/>
      <c r="Q1920" s="6" t="str">
        <f t="shared" si="4"/>
        <v>Week 9</v>
      </c>
      <c r="R1920" s="6" t="str">
        <f t="shared" si="5"/>
        <v>2020Week 9</v>
      </c>
      <c r="S1920" s="6">
        <f>IFERROR(__xludf.DUMMYFUNCTION("rank(J1920,FILTER(J:J,R:R=R1920))"),1.0)</f>
        <v>1</v>
      </c>
      <c r="T1920" s="6">
        <f t="shared" si="6"/>
        <v>11</v>
      </c>
      <c r="U1920" s="6">
        <f t="shared" si="7"/>
        <v>1</v>
      </c>
      <c r="V1920" s="42">
        <f>averageif(AllData!A:A,B1920,AllData!R:R)/vlookup(B1920,AllData!A:O,15,0)</f>
        <v>95.94858974</v>
      </c>
      <c r="W1920" s="6"/>
    </row>
    <row r="1921" ht="14.25" customHeight="1">
      <c r="A1921" s="6" t="str">
        <f t="shared" si="1"/>
        <v>2020T-How9</v>
      </c>
      <c r="B1921" s="59">
        <v>2020.0</v>
      </c>
      <c r="C1921" s="13" t="s">
        <v>82</v>
      </c>
      <c r="D1921" s="13" t="s">
        <v>147</v>
      </c>
      <c r="E1921" s="34"/>
      <c r="F1921" s="6"/>
      <c r="H1921" s="6"/>
      <c r="I1921" s="35" t="str">
        <f>IFERROR(IFERROR(IFERROR(VLOOKUP(B1921&amp;C1921&amp;Q1921,'New Weekly Paste'!A:M,10,0),VLOOKUP(B1921&amp;C1921&amp;Q1921,'New Weekly Paste'!B:O,6,0)),""),"")</f>
        <v>Riley</v>
      </c>
      <c r="J1921" s="239">
        <f>IFERROR(IFERROR(VLOOKUP(B1921&amp;C1921&amp;Q1921,'New Weekly Paste'!A:M,8,0),VLOOKUP(B1921&amp;C1921&amp;Q1921,'New Weekly Paste'!B:O,10,0)),0)</f>
        <v>75.66</v>
      </c>
      <c r="K1921" s="239">
        <f>IFERROR(IFERROR(VLOOKUP(B1921&amp;I1921&amp;Q1921,'New Weekly Paste'!A:M,8,0),VLOOKUP(B1921&amp;I1921&amp;Q1921,'New Weekly Paste'!B:O,10,0)),0)</f>
        <v>104.3</v>
      </c>
      <c r="L1921" s="239">
        <f t="shared" si="25"/>
        <v>0</v>
      </c>
      <c r="M1921" s="36" t="str">
        <f t="shared" si="3"/>
        <v>Regular Season</v>
      </c>
      <c r="N1921" s="239" t="str">
        <f t="shared" si="26"/>
        <v>Riley</v>
      </c>
      <c r="O1921" s="6">
        <f>VLOOKUP(D1921,'Mapped Opponent'!$G$4:$H$22,2,0)</f>
        <v>9</v>
      </c>
      <c r="P1921" s="6"/>
      <c r="Q1921" s="6" t="str">
        <f t="shared" si="4"/>
        <v>Week 9</v>
      </c>
      <c r="R1921" s="6" t="str">
        <f t="shared" si="5"/>
        <v>2020Week 9</v>
      </c>
      <c r="S1921" s="6">
        <f>IFERROR(__xludf.DUMMYFUNCTION("rank(J1921,FILTER(J:J,R:R=R1921))"),8.0)</f>
        <v>8</v>
      </c>
      <c r="T1921" s="6">
        <f t="shared" si="6"/>
        <v>4</v>
      </c>
      <c r="U1921" s="6">
        <f t="shared" si="7"/>
        <v>8</v>
      </c>
      <c r="V1921" s="42">
        <f>averageif(AllData!A:A,B1921,AllData!R:R)/vlookup(B1921,AllData!A:O,15,0)</f>
        <v>95.94858974</v>
      </c>
      <c r="W1921" s="6"/>
    </row>
    <row r="1922" ht="14.25" customHeight="1">
      <c r="A1922" s="6" t="str">
        <f t="shared" si="1"/>
        <v>2021Hudspeath15</v>
      </c>
      <c r="B1922" s="59">
        <v>2021.0</v>
      </c>
      <c r="C1922" s="13" t="s">
        <v>39</v>
      </c>
      <c r="D1922" s="13" t="s">
        <v>112</v>
      </c>
      <c r="E1922" s="34"/>
      <c r="F1922" s="6"/>
      <c r="H1922" s="6"/>
      <c r="I1922" s="35" t="str">
        <f>IFERROR(IFERROR(IFERROR(VLOOKUP(B1922&amp;C1922&amp;Q1922,'New Weekly Paste'!A:M,10,0),VLOOKUP(B1922&amp;C1922&amp;Q1922,'New Weekly Paste'!B:O,6,0)),""),"")</f>
        <v>Salty</v>
      </c>
      <c r="J1922" s="259">
        <f>IFERROR(IFERROR(VLOOKUP(B1922&amp;C1922&amp;Q1922,'New Weekly Paste'!A:M,8,0),VLOOKUP(B1922&amp;C1922&amp;Q1922,'New Weekly Paste'!B:O,10,0)),0)</f>
        <v>130.92</v>
      </c>
      <c r="K1922" s="259">
        <f>IFERROR(IFERROR(VLOOKUP(B1922&amp;I1922&amp;Q1922,'New Weekly Paste'!A:M,8,0),VLOOKUP(B1922&amp;I1922&amp;Q1922,'New Weekly Paste'!B:O,10,0)),0)</f>
        <v>82.5</v>
      </c>
      <c r="L1922" s="239">
        <f t="shared" si="25"/>
        <v>1</v>
      </c>
      <c r="M1922" s="36" t="str">
        <f t="shared" si="3"/>
        <v>Playoffs</v>
      </c>
      <c r="N1922" s="239" t="str">
        <f t="shared" si="26"/>
        <v>Salty</v>
      </c>
      <c r="O1922" s="6">
        <f>VLOOKUP(D1922,'Mapped Opponent'!$G$4:$H$22,2,0)</f>
        <v>15</v>
      </c>
      <c r="P1922" s="6"/>
      <c r="Q1922" s="6" t="str">
        <f t="shared" si="4"/>
        <v>Week 15</v>
      </c>
      <c r="R1922" s="6" t="str">
        <f t="shared" si="5"/>
        <v>2021Round 1</v>
      </c>
      <c r="S1922" s="6">
        <f>IFERROR(__xludf.DUMMYFUNCTION("rank(J1922,FILTER(J:J,R:R=R1922))"),1.0)</f>
        <v>1</v>
      </c>
      <c r="T1922" s="6">
        <f t="shared" si="6"/>
        <v>11</v>
      </c>
      <c r="U1922" s="6">
        <f t="shared" si="7"/>
        <v>1</v>
      </c>
      <c r="V1922" s="42">
        <f>averageif(AllData!A:A,B1922,AllData!R:R)/vlookup(B1922,AllData!A:O,15,0)</f>
        <v>94.5352381</v>
      </c>
      <c r="W1922" s="6"/>
    </row>
    <row r="1923" ht="14.25" customHeight="1">
      <c r="A1923" s="6" t="str">
        <f t="shared" si="1"/>
        <v>2021Salty15</v>
      </c>
      <c r="B1923" s="59">
        <v>2021.0</v>
      </c>
      <c r="C1923" s="13" t="s">
        <v>76</v>
      </c>
      <c r="D1923" s="13" t="s">
        <v>112</v>
      </c>
      <c r="E1923" s="34"/>
      <c r="F1923" s="6"/>
      <c r="H1923" s="6"/>
      <c r="I1923" s="35" t="str">
        <f>IFERROR(IFERROR(IFERROR(VLOOKUP(B1923&amp;C1923&amp;Q1923,'New Weekly Paste'!A:M,10,0),VLOOKUP(B1923&amp;C1923&amp;Q1923,'New Weekly Paste'!B:O,6,0)),""),"")</f>
        <v>Hudspeath</v>
      </c>
      <c r="J1923" s="259">
        <f>IFERROR(IFERROR(VLOOKUP(B1923&amp;C1923&amp;Q1923,'New Weekly Paste'!A:M,8,0),VLOOKUP(B1923&amp;C1923&amp;Q1923,'New Weekly Paste'!B:O,10,0)),0)</f>
        <v>82.5</v>
      </c>
      <c r="K1923" s="259">
        <f>IFERROR(IFERROR(VLOOKUP(B1923&amp;I1923&amp;Q1923,'New Weekly Paste'!A:M,8,0),VLOOKUP(B1923&amp;I1923&amp;Q1923,'New Weekly Paste'!B:O,10,0)),0)</f>
        <v>130.92</v>
      </c>
      <c r="L1923" s="239">
        <f t="shared" si="25"/>
        <v>0</v>
      </c>
      <c r="M1923" s="36" t="str">
        <f t="shared" si="3"/>
        <v>Playoffs</v>
      </c>
      <c r="N1923" s="239" t="str">
        <f t="shared" si="26"/>
        <v>Hudspeath</v>
      </c>
      <c r="O1923" s="6">
        <f>VLOOKUP(D1923,'Mapped Opponent'!$G$4:$H$22,2,0)</f>
        <v>15</v>
      </c>
      <c r="P1923" s="6"/>
      <c r="Q1923" s="6" t="str">
        <f t="shared" si="4"/>
        <v>Week 15</v>
      </c>
      <c r="R1923" s="6" t="str">
        <f t="shared" si="5"/>
        <v>2021Round 1</v>
      </c>
      <c r="S1923" s="6">
        <f>IFERROR(__xludf.DUMMYFUNCTION("rank(J1923,FILTER(J:J,R:R=R1923))"),3.0)</f>
        <v>3</v>
      </c>
      <c r="T1923" s="6">
        <f t="shared" si="6"/>
        <v>9</v>
      </c>
      <c r="U1923" s="6">
        <f t="shared" si="7"/>
        <v>3</v>
      </c>
      <c r="V1923" s="42">
        <f>averageif(AllData!A:A,B1923,AllData!R:R)/vlookup(B1923,AllData!A:O,15,0)</f>
        <v>94.5352381</v>
      </c>
      <c r="W1923" s="6"/>
    </row>
    <row r="1924" ht="14.25" customHeight="1">
      <c r="A1924" s="6" t="str">
        <f t="shared" si="1"/>
        <v>2021Fellows15</v>
      </c>
      <c r="B1924" s="59">
        <v>2021.0</v>
      </c>
      <c r="C1924" s="13" t="s">
        <v>79</v>
      </c>
      <c r="D1924" s="13" t="s">
        <v>112</v>
      </c>
      <c r="E1924" s="34"/>
      <c r="F1924" s="6"/>
      <c r="H1924" s="6"/>
      <c r="I1924" s="35" t="str">
        <f>IFERROR(IFERROR(IFERROR(VLOOKUP(B1924&amp;C1924&amp;Q1924,'New Weekly Paste'!A:M,10,0),VLOOKUP(B1924&amp;C1924&amp;Q1924,'New Weekly Paste'!B:O,6,0)),""),"")</f>
        <v>Tayski</v>
      </c>
      <c r="J1924" s="259">
        <f>IFERROR(IFERROR(VLOOKUP(B1924&amp;C1924&amp;Q1924,'New Weekly Paste'!A:M,8,0),VLOOKUP(B1924&amp;C1924&amp;Q1924,'New Weekly Paste'!B:O,10,0)),0)</f>
        <v>82.76</v>
      </c>
      <c r="K1924" s="259">
        <f>IFERROR(IFERROR(VLOOKUP(B1924&amp;I1924&amp;Q1924,'New Weekly Paste'!A:M,8,0),VLOOKUP(B1924&amp;I1924&amp;Q1924,'New Weekly Paste'!B:O,10,0)),0)</f>
        <v>75.26</v>
      </c>
      <c r="L1924" s="239">
        <f t="shared" si="25"/>
        <v>1</v>
      </c>
      <c r="M1924" s="36" t="str">
        <f t="shared" si="3"/>
        <v>Playoffs</v>
      </c>
      <c r="N1924" s="239" t="str">
        <f t="shared" si="26"/>
        <v>Tayski</v>
      </c>
      <c r="O1924" s="6">
        <f>VLOOKUP(D1924,'Mapped Opponent'!$G$4:$H$22,2,0)</f>
        <v>15</v>
      </c>
      <c r="P1924" s="6"/>
      <c r="Q1924" s="6" t="str">
        <f t="shared" si="4"/>
        <v>Week 15</v>
      </c>
      <c r="R1924" s="6" t="str">
        <f t="shared" si="5"/>
        <v>2021Round 1</v>
      </c>
      <c r="S1924" s="6">
        <f>IFERROR(__xludf.DUMMYFUNCTION("rank(J1924,FILTER(J:J,R:R=R1924))"),2.0)</f>
        <v>2</v>
      </c>
      <c r="T1924" s="6">
        <f t="shared" si="6"/>
        <v>10</v>
      </c>
      <c r="U1924" s="6">
        <f t="shared" si="7"/>
        <v>2</v>
      </c>
      <c r="V1924" s="42">
        <f>averageif(AllData!A:A,B1924,AllData!R:R)/vlookup(B1924,AllData!A:O,15,0)</f>
        <v>94.5352381</v>
      </c>
      <c r="W1924" s="6"/>
    </row>
    <row r="1925" ht="14.25" customHeight="1">
      <c r="A1925" s="6" t="str">
        <f t="shared" si="1"/>
        <v>2021Shep15</v>
      </c>
      <c r="B1925" s="59">
        <v>2021.0</v>
      </c>
      <c r="C1925" s="13" t="s">
        <v>89</v>
      </c>
      <c r="D1925" s="13" t="s">
        <v>112</v>
      </c>
      <c r="E1925" s="34"/>
      <c r="F1925" s="6"/>
      <c r="H1925" s="6"/>
      <c r="I1925" s="35" t="str">
        <f>IFERROR(IFERROR(IFERROR(VLOOKUP(B1925&amp;C1925&amp;Q1925,'New Weekly Paste'!A:M,10,0),VLOOKUP(B1925&amp;C1925&amp;Q1925,'New Weekly Paste'!B:O,6,0)),""),"")</f>
        <v>Pierson</v>
      </c>
      <c r="J1925" s="259">
        <f>IFERROR(IFERROR(VLOOKUP(B1925&amp;C1925&amp;Q1925,'New Weekly Paste'!A:M,8,0),VLOOKUP(B1925&amp;C1925&amp;Q1925,'New Weekly Paste'!B:O,10,0)),0)</f>
        <v>59.14</v>
      </c>
      <c r="K1925" s="259">
        <f>IFERROR(IFERROR(VLOOKUP(B1925&amp;I1925&amp;Q1925,'New Weekly Paste'!A:M,8,0),VLOOKUP(B1925&amp;I1925&amp;Q1925,'New Weekly Paste'!B:O,10,0)),0)</f>
        <v>67.76</v>
      </c>
      <c r="L1925" s="239">
        <f t="shared" si="25"/>
        <v>0</v>
      </c>
      <c r="M1925" s="36" t="str">
        <f t="shared" si="3"/>
        <v>Playoffs</v>
      </c>
      <c r="N1925" s="239" t="str">
        <f t="shared" si="26"/>
        <v>Pierson</v>
      </c>
      <c r="O1925" s="6">
        <f>VLOOKUP(D1925,'Mapped Opponent'!$G$4:$H$22,2,0)</f>
        <v>15</v>
      </c>
      <c r="P1925" s="6"/>
      <c r="Q1925" s="6" t="str">
        <f t="shared" si="4"/>
        <v>Week 15</v>
      </c>
      <c r="R1925" s="6" t="str">
        <f t="shared" si="5"/>
        <v>2021Round 1</v>
      </c>
      <c r="S1925" s="6">
        <f>IFERROR(__xludf.DUMMYFUNCTION("rank(J1925,FILTER(J:J,R:R=R1925))"),9.0)</f>
        <v>9</v>
      </c>
      <c r="T1925" s="6">
        <f t="shared" si="6"/>
        <v>3</v>
      </c>
      <c r="U1925" s="6">
        <f t="shared" si="7"/>
        <v>9</v>
      </c>
      <c r="V1925" s="42">
        <f>averageif(AllData!A:A,B1925,AllData!R:R)/vlookup(B1925,AllData!A:O,15,0)</f>
        <v>94.5352381</v>
      </c>
      <c r="W1925" s="6"/>
    </row>
    <row r="1926" ht="14.25" customHeight="1">
      <c r="A1926" s="6" t="str">
        <f t="shared" si="1"/>
        <v>2021Riley15</v>
      </c>
      <c r="B1926" s="59">
        <v>2021.0</v>
      </c>
      <c r="C1926" s="13" t="s">
        <v>67</v>
      </c>
      <c r="D1926" s="13" t="s">
        <v>112</v>
      </c>
      <c r="E1926" s="34"/>
      <c r="F1926" s="6"/>
      <c r="H1926" s="6"/>
      <c r="I1926" s="35" t="str">
        <f>IFERROR(IFERROR(IFERROR(VLOOKUP(B1926&amp;C1926&amp;Q1926,'New Weekly Paste'!A:M,10,0),VLOOKUP(B1926&amp;C1926&amp;Q1926,'New Weekly Paste'!B:O,6,0)),""),"")</f>
        <v/>
      </c>
      <c r="J1926" s="239">
        <f>IFERROR(IFERROR(VLOOKUP(B1926&amp;C1926&amp;Q1926,'New Weekly Paste'!A:M,8,0),VLOOKUP(B1926&amp;C1926&amp;Q1926,'New Weekly Paste'!B:O,10,0)),0)</f>
        <v>0</v>
      </c>
      <c r="K1926" s="239">
        <f>IFERROR(IFERROR(VLOOKUP(B1926&amp;I1926&amp;Q1926,'New Weekly Paste'!A:M,8,0),VLOOKUP(B1926&amp;I1926&amp;Q1926,'New Weekly Paste'!B:O,10,0)),0)</f>
        <v>0</v>
      </c>
      <c r="L1926" s="239">
        <f t="shared" si="25"/>
        <v>0</v>
      </c>
      <c r="M1926" s="36" t="str">
        <f t="shared" si="3"/>
        <v>Playoffs</v>
      </c>
      <c r="N1926" s="239" t="str">
        <f t="shared" si="26"/>
        <v/>
      </c>
      <c r="O1926" s="6">
        <f>VLOOKUP(D1926,'Mapped Opponent'!$G$4:$H$22,2,0)</f>
        <v>15</v>
      </c>
      <c r="P1926" s="6"/>
      <c r="Q1926" s="6" t="str">
        <f t="shared" si="4"/>
        <v>Week 15</v>
      </c>
      <c r="R1926" s="6" t="str">
        <f t="shared" si="5"/>
        <v>2021Round 1</v>
      </c>
      <c r="S1926" s="6">
        <f>IFERROR(__xludf.DUMMYFUNCTION("rank(J1926,FILTER(J:J,R:R=R1926))"),11.0)</f>
        <v>11</v>
      </c>
      <c r="T1926" s="6">
        <f t="shared" si="6"/>
        <v>1</v>
      </c>
      <c r="U1926" s="6">
        <f t="shared" si="7"/>
        <v>11</v>
      </c>
      <c r="V1926" s="42">
        <f>averageif(AllData!A:A,B1926,AllData!R:R)/vlookup(B1926,AllData!A:O,15,0)</f>
        <v>94.5352381</v>
      </c>
      <c r="W1926" s="6"/>
    </row>
    <row r="1927" ht="14.25" customHeight="1">
      <c r="A1927" s="6" t="str">
        <f t="shared" si="1"/>
        <v>2021Rooney/Jackson15</v>
      </c>
      <c r="B1927" s="59">
        <v>2021.0</v>
      </c>
      <c r="C1927" s="13" t="s">
        <v>57</v>
      </c>
      <c r="D1927" s="13" t="s">
        <v>112</v>
      </c>
      <c r="E1927" s="34"/>
      <c r="F1927" s="6"/>
      <c r="H1927" s="6"/>
      <c r="I1927" s="35" t="str">
        <f>IFERROR(IFERROR(IFERROR(VLOOKUP(B1927&amp;C1927&amp;Q1927,'New Weekly Paste'!A:M,10,0),VLOOKUP(B1927&amp;C1927&amp;Q1927,'New Weekly Paste'!B:O,6,0)),""),"")</f>
        <v>T-How</v>
      </c>
      <c r="J1927" s="259">
        <f>IFERROR(IFERROR(VLOOKUP(B1927&amp;C1927&amp;Q1927,'New Weekly Paste'!A:M,8,0),VLOOKUP(B1927&amp;C1927&amp;Q1927,'New Weekly Paste'!B:O,10,0)),0)</f>
        <v>73.98</v>
      </c>
      <c r="K1927" s="259">
        <f>IFERROR(IFERROR(VLOOKUP(B1927&amp;I1927&amp;Q1927,'New Weekly Paste'!A:M,8,0),VLOOKUP(B1927&amp;I1927&amp;Q1927,'New Weekly Paste'!B:O,10,0)),0)</f>
        <v>80.4</v>
      </c>
      <c r="L1927" s="239">
        <f t="shared" si="25"/>
        <v>0</v>
      </c>
      <c r="M1927" s="36" t="str">
        <f t="shared" si="3"/>
        <v>Playoffs</v>
      </c>
      <c r="N1927" s="239" t="str">
        <f t="shared" si="26"/>
        <v>T-How</v>
      </c>
      <c r="O1927" s="6">
        <f>VLOOKUP(D1927,'Mapped Opponent'!$G$4:$H$22,2,0)</f>
        <v>15</v>
      </c>
      <c r="P1927" s="6"/>
      <c r="Q1927" s="6" t="str">
        <f t="shared" si="4"/>
        <v>Week 15</v>
      </c>
      <c r="R1927" s="6" t="str">
        <f t="shared" si="5"/>
        <v>2021Round 1</v>
      </c>
      <c r="S1927" s="6">
        <f>IFERROR(__xludf.DUMMYFUNCTION("rank(J1927,FILTER(J:J,R:R=R1927))"),6.0)</f>
        <v>6</v>
      </c>
      <c r="T1927" s="6">
        <f t="shared" si="6"/>
        <v>6</v>
      </c>
      <c r="U1927" s="6">
        <f t="shared" si="7"/>
        <v>6</v>
      </c>
      <c r="V1927" s="42">
        <f>averageif(AllData!A:A,B1927,AllData!R:R)/vlookup(B1927,AllData!A:O,15,0)</f>
        <v>94.5352381</v>
      </c>
      <c r="W1927" s="6"/>
    </row>
    <row r="1928" ht="14.25" customHeight="1">
      <c r="A1928" s="6" t="str">
        <f t="shared" si="1"/>
        <v>2021Buser15</v>
      </c>
      <c r="B1928" s="59">
        <v>2021.0</v>
      </c>
      <c r="C1928" s="13" t="s">
        <v>47</v>
      </c>
      <c r="D1928" s="13" t="s">
        <v>112</v>
      </c>
      <c r="E1928" s="34"/>
      <c r="F1928" s="6"/>
      <c r="H1928" s="6"/>
      <c r="I1928" s="35" t="str">
        <f>IFERROR(IFERROR(IFERROR(VLOOKUP(B1928&amp;C1928&amp;Q1928,'New Weekly Paste'!A:M,10,0),VLOOKUP(B1928&amp;C1928&amp;Q1928,'New Weekly Paste'!B:O,6,0)),""),"")</f>
        <v/>
      </c>
      <c r="J1928" s="239">
        <f>IFERROR(IFERROR(VLOOKUP(B1928&amp;C1928&amp;Q1928,'New Weekly Paste'!A:M,8,0),VLOOKUP(B1928&amp;C1928&amp;Q1928,'New Weekly Paste'!B:O,10,0)),0)</f>
        <v>0</v>
      </c>
      <c r="K1928" s="239">
        <f>IFERROR(IFERROR(VLOOKUP(B1928&amp;I1928&amp;Q1928,'New Weekly Paste'!A:M,8,0),VLOOKUP(B1928&amp;I1928&amp;Q1928,'New Weekly Paste'!B:O,10,0)),0)</f>
        <v>0</v>
      </c>
      <c r="L1928" s="239">
        <f t="shared" si="25"/>
        <v>0</v>
      </c>
      <c r="M1928" s="36" t="str">
        <f t="shared" si="3"/>
        <v>Playoffs</v>
      </c>
      <c r="N1928" s="239" t="str">
        <f t="shared" si="26"/>
        <v/>
      </c>
      <c r="O1928" s="6">
        <f>VLOOKUP(D1928,'Mapped Opponent'!$G$4:$H$22,2,0)</f>
        <v>15</v>
      </c>
      <c r="P1928" s="6"/>
      <c r="Q1928" s="6" t="str">
        <f t="shared" si="4"/>
        <v>Week 15</v>
      </c>
      <c r="R1928" s="6" t="str">
        <f t="shared" si="5"/>
        <v>2021Round 1</v>
      </c>
      <c r="S1928" s="6">
        <f>IFERROR(__xludf.DUMMYFUNCTION("rank(J1928,FILTER(J:J,R:R=R1928))"),11.0)</f>
        <v>11</v>
      </c>
      <c r="T1928" s="6">
        <f t="shared" si="6"/>
        <v>1</v>
      </c>
      <c r="U1928" s="6">
        <f t="shared" si="7"/>
        <v>11</v>
      </c>
      <c r="V1928" s="42">
        <f>averageif(AllData!A:A,B1928,AllData!R:R)/vlookup(B1928,AllData!A:O,15,0)</f>
        <v>94.5352381</v>
      </c>
      <c r="W1928" s="6"/>
    </row>
    <row r="1929" ht="14.25" customHeight="1">
      <c r="A1929" s="6" t="str">
        <f t="shared" si="1"/>
        <v>2021Pierson15</v>
      </c>
      <c r="B1929" s="59">
        <v>2021.0</v>
      </c>
      <c r="C1929" s="13" t="s">
        <v>92</v>
      </c>
      <c r="D1929" s="13" t="s">
        <v>112</v>
      </c>
      <c r="E1929" s="34"/>
      <c r="F1929" s="6"/>
      <c r="H1929" s="6"/>
      <c r="I1929" s="35" t="str">
        <f>IFERROR(IFERROR(IFERROR(VLOOKUP(B1929&amp;C1929&amp;Q1929,'New Weekly Paste'!A:M,10,0),VLOOKUP(B1929&amp;C1929&amp;Q1929,'New Weekly Paste'!B:O,6,0)),""),"")</f>
        <v>Shep</v>
      </c>
      <c r="J1929" s="259">
        <f>IFERROR(IFERROR(VLOOKUP(B1929&amp;C1929&amp;Q1929,'New Weekly Paste'!A:M,8,0),VLOOKUP(B1929&amp;C1929&amp;Q1929,'New Weekly Paste'!B:O,10,0)),0)</f>
        <v>67.76</v>
      </c>
      <c r="K1929" s="259">
        <f>IFERROR(IFERROR(VLOOKUP(B1929&amp;I1929&amp;Q1929,'New Weekly Paste'!A:M,8,0),VLOOKUP(B1929&amp;I1929&amp;Q1929,'New Weekly Paste'!B:O,10,0)),0)</f>
        <v>59.14</v>
      </c>
      <c r="L1929" s="239">
        <f t="shared" si="25"/>
        <v>1</v>
      </c>
      <c r="M1929" s="36" t="str">
        <f t="shared" si="3"/>
        <v>Playoffs</v>
      </c>
      <c r="N1929" s="239" t="str">
        <f t="shared" si="26"/>
        <v>Shep</v>
      </c>
      <c r="O1929" s="6">
        <f>VLOOKUP(D1929,'Mapped Opponent'!$G$4:$H$22,2,0)</f>
        <v>15</v>
      </c>
      <c r="P1929" s="6"/>
      <c r="Q1929" s="6" t="str">
        <f t="shared" si="4"/>
        <v>Week 15</v>
      </c>
      <c r="R1929" s="6" t="str">
        <f t="shared" si="5"/>
        <v>2021Round 1</v>
      </c>
      <c r="S1929" s="6">
        <f>IFERROR(__xludf.DUMMYFUNCTION("rank(J1929,FILTER(J:J,R:R=R1929))"),7.0)</f>
        <v>7</v>
      </c>
      <c r="T1929" s="6">
        <f t="shared" si="6"/>
        <v>5</v>
      </c>
      <c r="U1929" s="6">
        <f t="shared" si="7"/>
        <v>7</v>
      </c>
      <c r="V1929" s="42">
        <f>averageif(AllData!A:A,B1929,AllData!R:R)/vlookup(B1929,AllData!A:O,15,0)</f>
        <v>94.5352381</v>
      </c>
      <c r="W1929" s="6"/>
    </row>
    <row r="1930" ht="14.25" customHeight="1">
      <c r="A1930" s="6" t="str">
        <f t="shared" si="1"/>
        <v>2021Cock15</v>
      </c>
      <c r="B1930" s="59">
        <v>2021.0</v>
      </c>
      <c r="C1930" s="13" t="s">
        <v>72</v>
      </c>
      <c r="D1930" s="13" t="s">
        <v>112</v>
      </c>
      <c r="E1930" s="34"/>
      <c r="F1930" s="6"/>
      <c r="H1930" s="6"/>
      <c r="I1930" s="35" t="str">
        <f>IFERROR(IFERROR(IFERROR(VLOOKUP(B1930&amp;C1930&amp;Q1930,'New Weekly Paste'!A:M,10,0),VLOOKUP(B1930&amp;C1930&amp;Q1930,'New Weekly Paste'!B:O,6,0)),""),"")</f>
        <v>KnardDawg</v>
      </c>
      <c r="J1930" s="259">
        <f>IFERROR(IFERROR(VLOOKUP(B1930&amp;C1930&amp;Q1930,'New Weekly Paste'!A:M,8,0),VLOOKUP(B1930&amp;C1930&amp;Q1930,'New Weekly Paste'!B:O,10,0)),0)</f>
        <v>63.08</v>
      </c>
      <c r="K1930" s="259">
        <f>IFERROR(IFERROR(VLOOKUP(B1930&amp;I1930&amp;Q1930,'New Weekly Paste'!A:M,8,0),VLOOKUP(B1930&amp;I1930&amp;Q1930,'New Weekly Paste'!B:O,10,0)),0)</f>
        <v>47.64</v>
      </c>
      <c r="L1930" s="239">
        <f t="shared" si="25"/>
        <v>1</v>
      </c>
      <c r="M1930" s="36" t="str">
        <f t="shared" si="3"/>
        <v>Playoffs</v>
      </c>
      <c r="N1930" s="239" t="str">
        <f t="shared" si="26"/>
        <v>KnardDawg</v>
      </c>
      <c r="O1930" s="6">
        <f>VLOOKUP(D1930,'Mapped Opponent'!$G$4:$H$22,2,0)</f>
        <v>15</v>
      </c>
      <c r="P1930" s="6"/>
      <c r="Q1930" s="6" t="str">
        <f t="shared" si="4"/>
        <v>Week 15</v>
      </c>
      <c r="R1930" s="6" t="str">
        <f t="shared" si="5"/>
        <v>2021Round 1</v>
      </c>
      <c r="S1930" s="6">
        <f>IFERROR(__xludf.DUMMYFUNCTION("rank(J1930,FILTER(J:J,R:R=R1930))"),8.0)</f>
        <v>8</v>
      </c>
      <c r="T1930" s="6">
        <f t="shared" si="6"/>
        <v>4</v>
      </c>
      <c r="U1930" s="6">
        <f t="shared" si="7"/>
        <v>8</v>
      </c>
      <c r="V1930" s="42">
        <f>averageif(AllData!A:A,B1930,AllData!R:R)/vlookup(B1930,AllData!A:O,15,0)</f>
        <v>94.5352381</v>
      </c>
      <c r="W1930" s="6"/>
    </row>
    <row r="1931" ht="14.25" customHeight="1">
      <c r="A1931" s="6" t="str">
        <f t="shared" si="1"/>
        <v>2021Tayski15</v>
      </c>
      <c r="B1931" s="59">
        <v>2021.0</v>
      </c>
      <c r="C1931" s="13" t="s">
        <v>52</v>
      </c>
      <c r="D1931" s="13" t="s">
        <v>112</v>
      </c>
      <c r="E1931" s="34"/>
      <c r="F1931" s="6"/>
      <c r="H1931" s="6"/>
      <c r="I1931" s="35" t="str">
        <f>IFERROR(IFERROR(IFERROR(VLOOKUP(B1931&amp;C1931&amp;Q1931,'New Weekly Paste'!A:M,10,0),VLOOKUP(B1931&amp;C1931&amp;Q1931,'New Weekly Paste'!B:O,6,0)),""),"")</f>
        <v>Fellows</v>
      </c>
      <c r="J1931" s="259">
        <f>IFERROR(IFERROR(VLOOKUP(B1931&amp;C1931&amp;Q1931,'New Weekly Paste'!A:M,8,0),VLOOKUP(B1931&amp;C1931&amp;Q1931,'New Weekly Paste'!B:O,10,0)),0)</f>
        <v>75.26</v>
      </c>
      <c r="K1931" s="259">
        <f>IFERROR(IFERROR(VLOOKUP(B1931&amp;I1931&amp;Q1931,'New Weekly Paste'!A:M,8,0),VLOOKUP(B1931&amp;I1931&amp;Q1931,'New Weekly Paste'!B:O,10,0)),0)</f>
        <v>82.76</v>
      </c>
      <c r="L1931" s="239">
        <f t="shared" si="25"/>
        <v>0</v>
      </c>
      <c r="M1931" s="36" t="str">
        <f t="shared" si="3"/>
        <v>Playoffs</v>
      </c>
      <c r="N1931" s="239" t="str">
        <f t="shared" si="26"/>
        <v>Fellows</v>
      </c>
      <c r="O1931" s="6">
        <f>VLOOKUP(D1931,'Mapped Opponent'!$G$4:$H$22,2,0)</f>
        <v>15</v>
      </c>
      <c r="P1931" s="6"/>
      <c r="Q1931" s="6" t="str">
        <f t="shared" si="4"/>
        <v>Week 15</v>
      </c>
      <c r="R1931" s="6" t="str">
        <f t="shared" si="5"/>
        <v>2021Round 1</v>
      </c>
      <c r="S1931" s="6">
        <f>IFERROR(__xludf.DUMMYFUNCTION("rank(J1931,FILTER(J:J,R:R=R1931))"),5.0)</f>
        <v>5</v>
      </c>
      <c r="T1931" s="6">
        <f t="shared" si="6"/>
        <v>7</v>
      </c>
      <c r="U1931" s="6">
        <f t="shared" si="7"/>
        <v>5</v>
      </c>
      <c r="V1931" s="42">
        <f>averageif(AllData!A:A,B1931,AllData!R:R)/vlookup(B1931,AllData!A:O,15,0)</f>
        <v>94.5352381</v>
      </c>
      <c r="W1931" s="6"/>
    </row>
    <row r="1932" ht="14.25" customHeight="1">
      <c r="A1932" s="6" t="str">
        <f t="shared" si="1"/>
        <v>2021KnardDawg15</v>
      </c>
      <c r="B1932" s="59">
        <v>2021.0</v>
      </c>
      <c r="C1932" s="13" t="s">
        <v>86</v>
      </c>
      <c r="D1932" s="13" t="s">
        <v>112</v>
      </c>
      <c r="E1932" s="34"/>
      <c r="F1932" s="6"/>
      <c r="H1932" s="6"/>
      <c r="I1932" s="35" t="str">
        <f>IFERROR(IFERROR(IFERROR(VLOOKUP(B1932&amp;C1932&amp;Q1932,'New Weekly Paste'!A:M,10,0),VLOOKUP(B1932&amp;C1932&amp;Q1932,'New Weekly Paste'!B:O,6,0)),""),"")</f>
        <v>Cock</v>
      </c>
      <c r="J1932" s="259">
        <f>IFERROR(IFERROR(VLOOKUP(B1932&amp;C1932&amp;Q1932,'New Weekly Paste'!A:M,8,0),VLOOKUP(B1932&amp;C1932&amp;Q1932,'New Weekly Paste'!B:O,10,0)),0)</f>
        <v>47.64</v>
      </c>
      <c r="K1932" s="259">
        <f>IFERROR(IFERROR(VLOOKUP(B1932&amp;I1932&amp;Q1932,'New Weekly Paste'!A:M,8,0),VLOOKUP(B1932&amp;I1932&amp;Q1932,'New Weekly Paste'!B:O,10,0)),0)</f>
        <v>63.08</v>
      </c>
      <c r="L1932" s="239">
        <f t="shared" si="25"/>
        <v>0</v>
      </c>
      <c r="M1932" s="36" t="str">
        <f t="shared" si="3"/>
        <v>Playoffs</v>
      </c>
      <c r="N1932" s="239" t="str">
        <f t="shared" si="26"/>
        <v>Cock</v>
      </c>
      <c r="O1932" s="6">
        <f>VLOOKUP(D1932,'Mapped Opponent'!$G$4:$H$22,2,0)</f>
        <v>15</v>
      </c>
      <c r="P1932" s="6"/>
      <c r="Q1932" s="6" t="str">
        <f t="shared" si="4"/>
        <v>Week 15</v>
      </c>
      <c r="R1932" s="6" t="str">
        <f t="shared" si="5"/>
        <v>2021Round 1</v>
      </c>
      <c r="S1932" s="6">
        <f>IFERROR(__xludf.DUMMYFUNCTION("rank(J1932,FILTER(J:J,R:R=R1932))"),10.0)</f>
        <v>10</v>
      </c>
      <c r="T1932" s="6">
        <f t="shared" si="6"/>
        <v>2</v>
      </c>
      <c r="U1932" s="6">
        <f t="shared" si="7"/>
        <v>10</v>
      </c>
      <c r="V1932" s="42">
        <f>averageif(AllData!A:A,B1932,AllData!R:R)/vlookup(B1932,AllData!A:O,15,0)</f>
        <v>94.5352381</v>
      </c>
      <c r="W1932" s="6"/>
    </row>
    <row r="1933" ht="14.25" customHeight="1">
      <c r="A1933" s="6" t="str">
        <f t="shared" si="1"/>
        <v>2021T-How15</v>
      </c>
      <c r="B1933" s="59">
        <v>2021.0</v>
      </c>
      <c r="C1933" s="13" t="s">
        <v>82</v>
      </c>
      <c r="D1933" s="13" t="s">
        <v>112</v>
      </c>
      <c r="E1933" s="34"/>
      <c r="F1933" s="6"/>
      <c r="H1933" s="6"/>
      <c r="I1933" s="35" t="str">
        <f>IFERROR(IFERROR(IFERROR(VLOOKUP(B1933&amp;C1933&amp;Q1933,'New Weekly Paste'!A:M,10,0),VLOOKUP(B1933&amp;C1933&amp;Q1933,'New Weekly Paste'!B:O,6,0)),""),"")</f>
        <v>Rooney/Jackson</v>
      </c>
      <c r="J1933" s="259">
        <f>IFERROR(IFERROR(VLOOKUP(B1933&amp;C1933&amp;Q1933,'New Weekly Paste'!A:M,8,0),VLOOKUP(B1933&amp;C1933&amp;Q1933,'New Weekly Paste'!B:O,10,0)),0)</f>
        <v>80.4</v>
      </c>
      <c r="K1933" s="259">
        <f>IFERROR(IFERROR(VLOOKUP(B1933&amp;I1933&amp;Q1933,'New Weekly Paste'!A:M,8,0),VLOOKUP(B1933&amp;I1933&amp;Q1933,'New Weekly Paste'!B:O,10,0)),0)</f>
        <v>73.98</v>
      </c>
      <c r="L1933" s="239">
        <f t="shared" si="25"/>
        <v>1</v>
      </c>
      <c r="M1933" s="36" t="str">
        <f t="shared" si="3"/>
        <v>Playoffs</v>
      </c>
      <c r="N1933" s="239" t="str">
        <f t="shared" si="26"/>
        <v>Rooney/Jackson</v>
      </c>
      <c r="O1933" s="6">
        <f>VLOOKUP(D1933,'Mapped Opponent'!$G$4:$H$22,2,0)</f>
        <v>15</v>
      </c>
      <c r="P1933" s="6"/>
      <c r="Q1933" s="6" t="str">
        <f t="shared" si="4"/>
        <v>Week 15</v>
      </c>
      <c r="R1933" s="6" t="str">
        <f t="shared" si="5"/>
        <v>2021Round 1</v>
      </c>
      <c r="S1933" s="6">
        <f>IFERROR(__xludf.DUMMYFUNCTION("rank(J1933,FILTER(J:J,R:R=R1933))"),4.0)</f>
        <v>4</v>
      </c>
      <c r="T1933" s="6">
        <f t="shared" si="6"/>
        <v>8</v>
      </c>
      <c r="U1933" s="6">
        <f t="shared" si="7"/>
        <v>4</v>
      </c>
      <c r="V1933" s="42">
        <f>averageif(AllData!A:A,B1933,AllData!R:R)/vlookup(B1933,AllData!A:O,15,0)</f>
        <v>94.5352381</v>
      </c>
      <c r="W1933" s="6"/>
    </row>
    <row r="1934" ht="14.25" customHeight="1">
      <c r="A1934" s="6" t="str">
        <f t="shared" si="1"/>
        <v>2021Hudspeath16</v>
      </c>
      <c r="B1934" s="59">
        <v>2021.0</v>
      </c>
      <c r="C1934" s="13" t="s">
        <v>39</v>
      </c>
      <c r="D1934" s="13" t="s">
        <v>153</v>
      </c>
      <c r="E1934" s="34"/>
      <c r="F1934" s="6"/>
      <c r="H1934" s="6"/>
      <c r="I1934" s="35" t="str">
        <f>IFERROR(IFERROR(IFERROR(VLOOKUP(B1934&amp;C1934&amp;Q1934,'New Weekly Paste'!A:M,10,0),VLOOKUP(B1934&amp;C1934&amp;Q1934,'New Weekly Paste'!B:O,6,0)),""),"")</f>
        <v>Buser</v>
      </c>
      <c r="J1934" s="259">
        <f>IFERROR(IFERROR(VLOOKUP(B1934&amp;C1934&amp;Q1934,'New Weekly Paste'!A:M,8,0),VLOOKUP(B1934&amp;C1934&amp;Q1934,'New Weekly Paste'!B:O,10,0)),0)</f>
        <v>110.68</v>
      </c>
      <c r="K1934" s="259">
        <f>IFERROR(IFERROR(VLOOKUP(B1934&amp;I1934&amp;Q1934,'New Weekly Paste'!A:M,8,0),VLOOKUP(B1934&amp;I1934&amp;Q1934,'New Weekly Paste'!B:O,10,0)),0)</f>
        <v>76.04</v>
      </c>
      <c r="L1934" s="239">
        <f t="shared" si="25"/>
        <v>1</v>
      </c>
      <c r="M1934" s="36" t="str">
        <f t="shared" si="3"/>
        <v>Playoffs</v>
      </c>
      <c r="N1934" s="239" t="str">
        <f t="shared" si="26"/>
        <v>Buser</v>
      </c>
      <c r="O1934" s="6">
        <f>VLOOKUP(D1934,'Mapped Opponent'!$G$4:$H$22,2,0)</f>
        <v>16</v>
      </c>
      <c r="P1934" s="6"/>
      <c r="Q1934" s="6" t="str">
        <f t="shared" si="4"/>
        <v>Week 16</v>
      </c>
      <c r="R1934" s="6" t="str">
        <f t="shared" si="5"/>
        <v>2021Round 2</v>
      </c>
      <c r="S1934" s="6">
        <f>IFERROR(__xludf.DUMMYFUNCTION("rank(J1934,FILTER(J:J,R:R=R1934))"),2.0)</f>
        <v>2</v>
      </c>
      <c r="T1934" s="6">
        <f t="shared" si="6"/>
        <v>10</v>
      </c>
      <c r="U1934" s="6">
        <f t="shared" si="7"/>
        <v>2</v>
      </c>
      <c r="V1934" s="42">
        <f>averageif(AllData!A:A,B1934,AllData!R:R)/vlookup(B1934,AllData!A:O,15,0)</f>
        <v>94.5352381</v>
      </c>
      <c r="W1934" s="6"/>
    </row>
    <row r="1935" ht="14.25" customHeight="1">
      <c r="A1935" s="6" t="str">
        <f t="shared" si="1"/>
        <v>2021Salty16</v>
      </c>
      <c r="B1935" s="59">
        <v>2021.0</v>
      </c>
      <c r="C1935" s="13" t="s">
        <v>76</v>
      </c>
      <c r="D1935" s="13" t="s">
        <v>153</v>
      </c>
      <c r="E1935" s="34"/>
      <c r="F1935" s="6"/>
      <c r="H1935" s="6"/>
      <c r="I1935" s="35" t="str">
        <f>IFERROR(IFERROR(IFERROR(VLOOKUP(B1935&amp;C1935&amp;Q1935,'New Weekly Paste'!A:M,10,0),VLOOKUP(B1935&amp;C1935&amp;Q1935,'New Weekly Paste'!B:O,6,0)),""),"")</f>
        <v>Shep</v>
      </c>
      <c r="J1935" s="259">
        <f>IFERROR(IFERROR(VLOOKUP(B1935&amp;C1935&amp;Q1935,'New Weekly Paste'!A:M,8,0),VLOOKUP(B1935&amp;C1935&amp;Q1935,'New Weekly Paste'!B:O,10,0)),0)</f>
        <v>114.46</v>
      </c>
      <c r="K1935" s="259">
        <f>IFERROR(IFERROR(VLOOKUP(B1935&amp;I1935&amp;Q1935,'New Weekly Paste'!A:M,8,0),VLOOKUP(B1935&amp;I1935&amp;Q1935,'New Weekly Paste'!B:O,10,0)),0)</f>
        <v>88.82</v>
      </c>
      <c r="L1935" s="239">
        <f t="shared" si="25"/>
        <v>1</v>
      </c>
      <c r="M1935" s="36" t="str">
        <f t="shared" si="3"/>
        <v>Playoffs</v>
      </c>
      <c r="N1935" s="239" t="str">
        <f t="shared" si="26"/>
        <v>Shep</v>
      </c>
      <c r="O1935" s="6">
        <f>VLOOKUP(D1935,'Mapped Opponent'!$G$4:$H$22,2,0)</f>
        <v>16</v>
      </c>
      <c r="P1935" s="6"/>
      <c r="Q1935" s="6" t="str">
        <f t="shared" si="4"/>
        <v>Week 16</v>
      </c>
      <c r="R1935" s="6" t="str">
        <f t="shared" si="5"/>
        <v>2021Round 2</v>
      </c>
      <c r="S1935" s="6">
        <f>IFERROR(__xludf.DUMMYFUNCTION("rank(J1935,FILTER(J:J,R:R=R1935))"),1.0)</f>
        <v>1</v>
      </c>
      <c r="T1935" s="6">
        <f t="shared" si="6"/>
        <v>11</v>
      </c>
      <c r="U1935" s="6">
        <f t="shared" si="7"/>
        <v>1</v>
      </c>
      <c r="V1935" s="42">
        <f>averageif(AllData!A:A,B1935,AllData!R:R)/vlookup(B1935,AllData!A:O,15,0)</f>
        <v>94.5352381</v>
      </c>
      <c r="W1935" s="6"/>
    </row>
    <row r="1936" ht="14.25" customHeight="1">
      <c r="A1936" s="6" t="str">
        <f t="shared" si="1"/>
        <v>2021Fellows16</v>
      </c>
      <c r="B1936" s="59">
        <v>2021.0</v>
      </c>
      <c r="C1936" s="13" t="s">
        <v>79</v>
      </c>
      <c r="D1936" s="13" t="s">
        <v>153</v>
      </c>
      <c r="E1936" s="34"/>
      <c r="F1936" s="6"/>
      <c r="H1936" s="6"/>
      <c r="I1936" s="35" t="str">
        <f>IFERROR(IFERROR(IFERROR(VLOOKUP(B1936&amp;C1936&amp;Q1936,'New Weekly Paste'!A:M,10,0),VLOOKUP(B1936&amp;C1936&amp;Q1936,'New Weekly Paste'!B:O,6,0)),""),"")</f>
        <v>T-How</v>
      </c>
      <c r="J1936" s="259">
        <f>IFERROR(IFERROR(VLOOKUP(B1936&amp;C1936&amp;Q1936,'New Weekly Paste'!A:M,8,0),VLOOKUP(B1936&amp;C1936&amp;Q1936,'New Weekly Paste'!B:O,10,0)),0)</f>
        <v>75.7</v>
      </c>
      <c r="K1936" s="259">
        <f>IFERROR(IFERROR(VLOOKUP(B1936&amp;I1936&amp;Q1936,'New Weekly Paste'!A:M,8,0),VLOOKUP(B1936&amp;I1936&amp;Q1936,'New Weekly Paste'!B:O,10,0)),0)</f>
        <v>90.92</v>
      </c>
      <c r="L1936" s="239">
        <f t="shared" si="25"/>
        <v>0</v>
      </c>
      <c r="M1936" s="36" t="str">
        <f t="shared" si="3"/>
        <v>Playoffs</v>
      </c>
      <c r="N1936" s="239" t="str">
        <f t="shared" si="26"/>
        <v>T-How</v>
      </c>
      <c r="O1936" s="6">
        <f>VLOOKUP(D1936,'Mapped Opponent'!$G$4:$H$22,2,0)</f>
        <v>16</v>
      </c>
      <c r="P1936" s="6"/>
      <c r="Q1936" s="6" t="str">
        <f t="shared" si="4"/>
        <v>Week 16</v>
      </c>
      <c r="R1936" s="6" t="str">
        <f t="shared" si="5"/>
        <v>2021Round 2</v>
      </c>
      <c r="S1936" s="6">
        <f>IFERROR(__xludf.DUMMYFUNCTION("rank(J1936,FILTER(J:J,R:R=R1936))"),10.0)</f>
        <v>10</v>
      </c>
      <c r="T1936" s="6">
        <f t="shared" si="6"/>
        <v>2</v>
      </c>
      <c r="U1936" s="6">
        <f t="shared" si="7"/>
        <v>10</v>
      </c>
      <c r="V1936" s="42">
        <f>averageif(AllData!A:A,B1936,AllData!R:R)/vlookup(B1936,AllData!A:O,15,0)</f>
        <v>94.5352381</v>
      </c>
      <c r="W1936" s="6"/>
    </row>
    <row r="1937" ht="14.25" customHeight="1">
      <c r="A1937" s="6" t="str">
        <f t="shared" si="1"/>
        <v>2021Shep16</v>
      </c>
      <c r="B1937" s="59">
        <v>2021.0</v>
      </c>
      <c r="C1937" s="13" t="s">
        <v>89</v>
      </c>
      <c r="D1937" s="13" t="s">
        <v>153</v>
      </c>
      <c r="E1937" s="34"/>
      <c r="F1937" s="6"/>
      <c r="H1937" s="6"/>
      <c r="I1937" s="35" t="str">
        <f>IFERROR(IFERROR(IFERROR(VLOOKUP(B1937&amp;C1937&amp;Q1937,'New Weekly Paste'!A:M,10,0),VLOOKUP(B1937&amp;C1937&amp;Q1937,'New Weekly Paste'!B:O,6,0)),""),"")</f>
        <v>Salty</v>
      </c>
      <c r="J1937" s="259">
        <f>IFERROR(IFERROR(VLOOKUP(B1937&amp;C1937&amp;Q1937,'New Weekly Paste'!A:M,8,0),VLOOKUP(B1937&amp;C1937&amp;Q1937,'New Weekly Paste'!B:O,10,0)),0)</f>
        <v>88.82</v>
      </c>
      <c r="K1937" s="259">
        <f>IFERROR(IFERROR(VLOOKUP(B1937&amp;I1937&amp;Q1937,'New Weekly Paste'!A:M,8,0),VLOOKUP(B1937&amp;I1937&amp;Q1937,'New Weekly Paste'!B:O,10,0)),0)</f>
        <v>114.46</v>
      </c>
      <c r="L1937" s="239">
        <f t="shared" si="25"/>
        <v>0</v>
      </c>
      <c r="M1937" s="36" t="str">
        <f t="shared" si="3"/>
        <v>Playoffs</v>
      </c>
      <c r="N1937" s="239" t="str">
        <f t="shared" si="26"/>
        <v>Salty</v>
      </c>
      <c r="O1937" s="6">
        <f>VLOOKUP(D1937,'Mapped Opponent'!$G$4:$H$22,2,0)</f>
        <v>16</v>
      </c>
      <c r="P1937" s="6"/>
      <c r="Q1937" s="6" t="str">
        <f t="shared" si="4"/>
        <v>Week 16</v>
      </c>
      <c r="R1937" s="6" t="str">
        <f t="shared" si="5"/>
        <v>2021Round 2</v>
      </c>
      <c r="S1937" s="6">
        <f>IFERROR(__xludf.DUMMYFUNCTION("rank(J1937,FILTER(J:J,R:R=R1937))"),7.0)</f>
        <v>7</v>
      </c>
      <c r="T1937" s="6">
        <f t="shared" si="6"/>
        <v>5</v>
      </c>
      <c r="U1937" s="6">
        <f t="shared" si="7"/>
        <v>7</v>
      </c>
      <c r="V1937" s="42">
        <f>averageif(AllData!A:A,B1937,AllData!R:R)/vlookup(B1937,AllData!A:O,15,0)</f>
        <v>94.5352381</v>
      </c>
      <c r="W1937" s="6"/>
    </row>
    <row r="1938" ht="14.25" customHeight="1">
      <c r="A1938" s="6" t="str">
        <f t="shared" si="1"/>
        <v>2021Riley16</v>
      </c>
      <c r="B1938" s="59">
        <v>2021.0</v>
      </c>
      <c r="C1938" s="13" t="s">
        <v>67</v>
      </c>
      <c r="D1938" s="13" t="s">
        <v>153</v>
      </c>
      <c r="E1938" s="34"/>
      <c r="F1938" s="6"/>
      <c r="H1938" s="6"/>
      <c r="I1938" s="35" t="str">
        <f>IFERROR(IFERROR(IFERROR(VLOOKUP(B1938&amp;C1938&amp;Q1938,'New Weekly Paste'!A:M,10,0),VLOOKUP(B1938&amp;C1938&amp;Q1938,'New Weekly Paste'!B:O,6,0)),""),"")</f>
        <v>Pierson</v>
      </c>
      <c r="J1938" s="259">
        <f>IFERROR(IFERROR(VLOOKUP(B1938&amp;C1938&amp;Q1938,'New Weekly Paste'!A:M,8,0),VLOOKUP(B1938&amp;C1938&amp;Q1938,'New Weekly Paste'!B:O,10,0)),0)</f>
        <v>93.1</v>
      </c>
      <c r="K1938" s="259">
        <f>IFERROR(IFERROR(VLOOKUP(B1938&amp;I1938&amp;Q1938,'New Weekly Paste'!A:M,8,0),VLOOKUP(B1938&amp;I1938&amp;Q1938,'New Weekly Paste'!B:O,10,0)),0)</f>
        <v>92.38</v>
      </c>
      <c r="L1938" s="239">
        <f t="shared" si="25"/>
        <v>1</v>
      </c>
      <c r="M1938" s="36" t="str">
        <f t="shared" si="3"/>
        <v>Playoffs</v>
      </c>
      <c r="N1938" s="239" t="str">
        <f t="shared" si="26"/>
        <v>Pierson</v>
      </c>
      <c r="O1938" s="6">
        <f>VLOOKUP(D1938,'Mapped Opponent'!$G$4:$H$22,2,0)</f>
        <v>16</v>
      </c>
      <c r="P1938" s="6"/>
      <c r="Q1938" s="6" t="str">
        <f t="shared" si="4"/>
        <v>Week 16</v>
      </c>
      <c r="R1938" s="6" t="str">
        <f t="shared" si="5"/>
        <v>2021Round 2</v>
      </c>
      <c r="S1938" s="6">
        <f>IFERROR(__xludf.DUMMYFUNCTION("rank(J1938,FILTER(J:J,R:R=R1938))"),4.0)</f>
        <v>4</v>
      </c>
      <c r="T1938" s="6">
        <f t="shared" si="6"/>
        <v>8</v>
      </c>
      <c r="U1938" s="6">
        <f t="shared" si="7"/>
        <v>4</v>
      </c>
      <c r="V1938" s="42">
        <f>averageif(AllData!A:A,B1938,AllData!R:R)/vlookup(B1938,AllData!A:O,15,0)</f>
        <v>94.5352381</v>
      </c>
      <c r="W1938" s="6"/>
    </row>
    <row r="1939" ht="14.25" customHeight="1">
      <c r="A1939" s="6" t="str">
        <f t="shared" si="1"/>
        <v>2021Rooney/Jackson16</v>
      </c>
      <c r="B1939" s="59">
        <v>2021.0</v>
      </c>
      <c r="C1939" s="13" t="s">
        <v>57</v>
      </c>
      <c r="D1939" s="13" t="s">
        <v>153</v>
      </c>
      <c r="E1939" s="34"/>
      <c r="F1939" s="6"/>
      <c r="H1939" s="6"/>
      <c r="I1939" s="35" t="str">
        <f>IFERROR(IFERROR(IFERROR(VLOOKUP(B1939&amp;C1939&amp;Q1939,'New Weekly Paste'!A:M,10,0),VLOOKUP(B1939&amp;C1939&amp;Q1939,'New Weekly Paste'!B:O,6,0)),""),"")</f>
        <v>Cock</v>
      </c>
      <c r="J1939" s="259">
        <f>IFERROR(IFERROR(VLOOKUP(B1939&amp;C1939&amp;Q1939,'New Weekly Paste'!A:M,8,0),VLOOKUP(B1939&amp;C1939&amp;Q1939,'New Weekly Paste'!B:O,10,0)),0)</f>
        <v>103.5</v>
      </c>
      <c r="K1939" s="259">
        <f>IFERROR(IFERROR(VLOOKUP(B1939&amp;I1939&amp;Q1939,'New Weekly Paste'!A:M,8,0),VLOOKUP(B1939&amp;I1939&amp;Q1939,'New Weekly Paste'!B:O,10,0)),0)</f>
        <v>59.4</v>
      </c>
      <c r="L1939" s="239">
        <f t="shared" si="25"/>
        <v>1</v>
      </c>
      <c r="M1939" s="36" t="str">
        <f t="shared" si="3"/>
        <v>Playoffs</v>
      </c>
      <c r="N1939" s="239" t="str">
        <f t="shared" si="26"/>
        <v>Cock</v>
      </c>
      <c r="O1939" s="6">
        <f>VLOOKUP(D1939,'Mapped Opponent'!$G$4:$H$22,2,0)</f>
        <v>16</v>
      </c>
      <c r="P1939" s="6"/>
      <c r="Q1939" s="6" t="str">
        <f t="shared" si="4"/>
        <v>Week 16</v>
      </c>
      <c r="R1939" s="6" t="str">
        <f t="shared" si="5"/>
        <v>2021Round 2</v>
      </c>
      <c r="S1939" s="6">
        <f>IFERROR(__xludf.DUMMYFUNCTION("rank(J1939,FILTER(J:J,R:R=R1939))"),3.0)</f>
        <v>3</v>
      </c>
      <c r="T1939" s="6">
        <f t="shared" si="6"/>
        <v>9</v>
      </c>
      <c r="U1939" s="6">
        <f t="shared" si="7"/>
        <v>3</v>
      </c>
      <c r="V1939" s="42">
        <f>averageif(AllData!A:A,B1939,AllData!R:R)/vlookup(B1939,AllData!A:O,15,0)</f>
        <v>94.5352381</v>
      </c>
      <c r="W1939" s="6"/>
    </row>
    <row r="1940" ht="14.25" customHeight="1">
      <c r="A1940" s="6" t="str">
        <f t="shared" si="1"/>
        <v>2021Buser16</v>
      </c>
      <c r="B1940" s="59">
        <v>2021.0</v>
      </c>
      <c r="C1940" s="13" t="s">
        <v>47</v>
      </c>
      <c r="D1940" s="13" t="s">
        <v>153</v>
      </c>
      <c r="E1940" s="34"/>
      <c r="F1940" s="6"/>
      <c r="H1940" s="6"/>
      <c r="I1940" s="35" t="str">
        <f>IFERROR(IFERROR(IFERROR(VLOOKUP(B1940&amp;C1940&amp;Q1940,'New Weekly Paste'!A:M,10,0),VLOOKUP(B1940&amp;C1940&amp;Q1940,'New Weekly Paste'!B:O,6,0)),""),"")</f>
        <v>Hudspeath</v>
      </c>
      <c r="J1940" s="259">
        <f>IFERROR(IFERROR(VLOOKUP(B1940&amp;C1940&amp;Q1940,'New Weekly Paste'!A:M,8,0),VLOOKUP(B1940&amp;C1940&amp;Q1940,'New Weekly Paste'!B:O,10,0)),0)</f>
        <v>76.04</v>
      </c>
      <c r="K1940" s="259">
        <f>IFERROR(IFERROR(VLOOKUP(B1940&amp;I1940&amp;Q1940,'New Weekly Paste'!A:M,8,0),VLOOKUP(B1940&amp;I1940&amp;Q1940,'New Weekly Paste'!B:O,10,0)),0)</f>
        <v>110.68</v>
      </c>
      <c r="L1940" s="239">
        <f t="shared" si="25"/>
        <v>0</v>
      </c>
      <c r="M1940" s="36" t="str">
        <f t="shared" si="3"/>
        <v>Playoffs</v>
      </c>
      <c r="N1940" s="239" t="str">
        <f t="shared" si="26"/>
        <v>Hudspeath</v>
      </c>
      <c r="O1940" s="6">
        <f>VLOOKUP(D1940,'Mapped Opponent'!$G$4:$H$22,2,0)</f>
        <v>16</v>
      </c>
      <c r="P1940" s="6"/>
      <c r="Q1940" s="6" t="str">
        <f t="shared" si="4"/>
        <v>Week 16</v>
      </c>
      <c r="R1940" s="6" t="str">
        <f t="shared" si="5"/>
        <v>2021Round 2</v>
      </c>
      <c r="S1940" s="6">
        <f>IFERROR(__xludf.DUMMYFUNCTION("rank(J1940,FILTER(J:J,R:R=R1940))"),9.0)</f>
        <v>9</v>
      </c>
      <c r="T1940" s="6">
        <f t="shared" si="6"/>
        <v>3</v>
      </c>
      <c r="U1940" s="6">
        <f t="shared" si="7"/>
        <v>9</v>
      </c>
      <c r="V1940" s="42">
        <f>averageif(AllData!A:A,B1940,AllData!R:R)/vlookup(B1940,AllData!A:O,15,0)</f>
        <v>94.5352381</v>
      </c>
      <c r="W1940" s="6"/>
    </row>
    <row r="1941" ht="14.25" customHeight="1">
      <c r="A1941" s="6" t="str">
        <f t="shared" si="1"/>
        <v>2021Pierson16</v>
      </c>
      <c r="B1941" s="59">
        <v>2021.0</v>
      </c>
      <c r="C1941" s="13" t="s">
        <v>92</v>
      </c>
      <c r="D1941" s="13" t="s">
        <v>153</v>
      </c>
      <c r="E1941" s="34"/>
      <c r="F1941" s="6"/>
      <c r="H1941" s="6"/>
      <c r="I1941" s="35" t="str">
        <f>IFERROR(IFERROR(IFERROR(VLOOKUP(B1941&amp;C1941&amp;Q1941,'New Weekly Paste'!A:M,10,0),VLOOKUP(B1941&amp;C1941&amp;Q1941,'New Weekly Paste'!B:O,6,0)),""),"")</f>
        <v>Riley</v>
      </c>
      <c r="J1941" s="259">
        <f>IFERROR(IFERROR(VLOOKUP(B1941&amp;C1941&amp;Q1941,'New Weekly Paste'!A:M,8,0),VLOOKUP(B1941&amp;C1941&amp;Q1941,'New Weekly Paste'!B:O,10,0)),0)</f>
        <v>92.38</v>
      </c>
      <c r="K1941" s="259">
        <f>IFERROR(IFERROR(VLOOKUP(B1941&amp;I1941&amp;Q1941,'New Weekly Paste'!A:M,8,0),VLOOKUP(B1941&amp;I1941&amp;Q1941,'New Weekly Paste'!B:O,10,0)),0)</f>
        <v>93.1</v>
      </c>
      <c r="L1941" s="239">
        <f t="shared" si="25"/>
        <v>0</v>
      </c>
      <c r="M1941" s="36" t="str">
        <f t="shared" si="3"/>
        <v>Playoffs</v>
      </c>
      <c r="N1941" s="239" t="str">
        <f t="shared" si="26"/>
        <v>Riley</v>
      </c>
      <c r="O1941" s="6">
        <f>VLOOKUP(D1941,'Mapped Opponent'!$G$4:$H$22,2,0)</f>
        <v>16</v>
      </c>
      <c r="P1941" s="6"/>
      <c r="Q1941" s="6" t="str">
        <f t="shared" si="4"/>
        <v>Week 16</v>
      </c>
      <c r="R1941" s="6" t="str">
        <f t="shared" si="5"/>
        <v>2021Round 2</v>
      </c>
      <c r="S1941" s="6">
        <f>IFERROR(__xludf.DUMMYFUNCTION("rank(J1941,FILTER(J:J,R:R=R1941))"),5.0)</f>
        <v>5</v>
      </c>
      <c r="T1941" s="6">
        <f t="shared" si="6"/>
        <v>7</v>
      </c>
      <c r="U1941" s="6">
        <f t="shared" si="7"/>
        <v>5</v>
      </c>
      <c r="V1941" s="42">
        <f>averageif(AllData!A:A,B1941,AllData!R:R)/vlookup(B1941,AllData!A:O,15,0)</f>
        <v>94.5352381</v>
      </c>
      <c r="W1941" s="6"/>
    </row>
    <row r="1942" ht="14.25" customHeight="1">
      <c r="A1942" s="6" t="str">
        <f t="shared" si="1"/>
        <v>2021Cock16</v>
      </c>
      <c r="B1942" s="59">
        <v>2021.0</v>
      </c>
      <c r="C1942" s="13" t="s">
        <v>72</v>
      </c>
      <c r="D1942" s="13" t="s">
        <v>153</v>
      </c>
      <c r="E1942" s="34"/>
      <c r="F1942" s="6"/>
      <c r="H1942" s="6"/>
      <c r="I1942" s="35" t="str">
        <f>IFERROR(IFERROR(IFERROR(VLOOKUP(B1942&amp;C1942&amp;Q1942,'New Weekly Paste'!A:M,10,0),VLOOKUP(B1942&amp;C1942&amp;Q1942,'New Weekly Paste'!B:O,6,0)),""),"")</f>
        <v>Rooney/Jackson</v>
      </c>
      <c r="J1942" s="259">
        <f>IFERROR(IFERROR(VLOOKUP(B1942&amp;C1942&amp;Q1942,'New Weekly Paste'!A:M,8,0),VLOOKUP(B1942&amp;C1942&amp;Q1942,'New Weekly Paste'!B:O,10,0)),0)</f>
        <v>59.4</v>
      </c>
      <c r="K1942" s="259">
        <f>IFERROR(IFERROR(VLOOKUP(B1942&amp;I1942&amp;Q1942,'New Weekly Paste'!A:M,8,0),VLOOKUP(B1942&amp;I1942&amp;Q1942,'New Weekly Paste'!B:O,10,0)),0)</f>
        <v>103.5</v>
      </c>
      <c r="L1942" s="239">
        <f t="shared" si="25"/>
        <v>0</v>
      </c>
      <c r="M1942" s="36" t="str">
        <f t="shared" si="3"/>
        <v>Playoffs</v>
      </c>
      <c r="N1942" s="239" t="str">
        <f t="shared" si="26"/>
        <v>Rooney/Jackson</v>
      </c>
      <c r="O1942" s="6">
        <f>VLOOKUP(D1942,'Mapped Opponent'!$G$4:$H$22,2,0)</f>
        <v>16</v>
      </c>
      <c r="P1942" s="6"/>
      <c r="Q1942" s="6" t="str">
        <f t="shared" si="4"/>
        <v>Week 16</v>
      </c>
      <c r="R1942" s="6" t="str">
        <f t="shared" si="5"/>
        <v>2021Round 2</v>
      </c>
      <c r="S1942" s="6">
        <f>IFERROR(__xludf.DUMMYFUNCTION("rank(J1942,FILTER(J:J,R:R=R1942))"),11.0)</f>
        <v>11</v>
      </c>
      <c r="T1942" s="6">
        <f t="shared" si="6"/>
        <v>1</v>
      </c>
      <c r="U1942" s="6">
        <f t="shared" si="7"/>
        <v>11</v>
      </c>
      <c r="V1942" s="42">
        <f>averageif(AllData!A:A,B1942,AllData!R:R)/vlookup(B1942,AllData!A:O,15,0)</f>
        <v>94.5352381</v>
      </c>
      <c r="W1942" s="6"/>
    </row>
    <row r="1943" ht="14.25" customHeight="1">
      <c r="A1943" s="6" t="str">
        <f t="shared" si="1"/>
        <v>2021Tayski16</v>
      </c>
      <c r="B1943" s="59">
        <v>2021.0</v>
      </c>
      <c r="C1943" s="13" t="s">
        <v>52</v>
      </c>
      <c r="D1943" s="13" t="s">
        <v>153</v>
      </c>
      <c r="E1943" s="34"/>
      <c r="F1943" s="6"/>
      <c r="H1943" s="6"/>
      <c r="I1943" s="35" t="str">
        <f>IFERROR(IFERROR(IFERROR(VLOOKUP(B1943&amp;C1943&amp;Q1943,'New Weekly Paste'!A:M,10,0),VLOOKUP(B1943&amp;C1943&amp;Q1943,'New Weekly Paste'!B:O,6,0)),""),"")</f>
        <v>KnardDawg</v>
      </c>
      <c r="J1943" s="259">
        <f>IFERROR(IFERROR(VLOOKUP(B1943&amp;C1943&amp;Q1943,'New Weekly Paste'!A:M,8,0),VLOOKUP(B1943&amp;C1943&amp;Q1943,'New Weekly Paste'!B:O,10,0)),0)</f>
        <v>57.98</v>
      </c>
      <c r="K1943" s="259">
        <f>IFERROR(IFERROR(VLOOKUP(B1943&amp;I1943&amp;Q1943,'New Weekly Paste'!A:M,8,0),VLOOKUP(B1943&amp;I1943&amp;Q1943,'New Weekly Paste'!B:O,10,0)),0)</f>
        <v>77.74</v>
      </c>
      <c r="L1943" s="239">
        <f t="shared" si="25"/>
        <v>0</v>
      </c>
      <c r="M1943" s="36" t="str">
        <f t="shared" si="3"/>
        <v>Playoffs</v>
      </c>
      <c r="N1943" s="239" t="str">
        <f t="shared" si="26"/>
        <v>KnardDawg</v>
      </c>
      <c r="O1943" s="6">
        <f>VLOOKUP(D1943,'Mapped Opponent'!$G$4:$H$22,2,0)</f>
        <v>16</v>
      </c>
      <c r="P1943" s="6"/>
      <c r="Q1943" s="6" t="str">
        <f t="shared" si="4"/>
        <v>Week 16</v>
      </c>
      <c r="R1943" s="6" t="str">
        <f t="shared" si="5"/>
        <v>2021Round 2</v>
      </c>
      <c r="S1943" s="6">
        <f>IFERROR(__xludf.DUMMYFUNCTION("rank(J1943,FILTER(J:J,R:R=R1943))"),12.0)</f>
        <v>12</v>
      </c>
      <c r="T1943" s="6">
        <f t="shared" si="6"/>
        <v>0</v>
      </c>
      <c r="U1943" s="6">
        <f t="shared" si="7"/>
        <v>12</v>
      </c>
      <c r="V1943" s="42">
        <f>averageif(AllData!A:A,B1943,AllData!R:R)/vlookup(B1943,AllData!A:O,15,0)</f>
        <v>94.5352381</v>
      </c>
      <c r="W1943" s="6"/>
    </row>
    <row r="1944" ht="14.25" customHeight="1">
      <c r="A1944" s="6" t="str">
        <f t="shared" si="1"/>
        <v>2021KnardDawg16</v>
      </c>
      <c r="B1944" s="59">
        <v>2021.0</v>
      </c>
      <c r="C1944" s="13" t="s">
        <v>86</v>
      </c>
      <c r="D1944" s="13" t="s">
        <v>153</v>
      </c>
      <c r="E1944" s="34"/>
      <c r="F1944" s="6"/>
      <c r="H1944" s="6"/>
      <c r="I1944" s="35" t="str">
        <f>IFERROR(IFERROR(IFERROR(VLOOKUP(B1944&amp;C1944&amp;Q1944,'New Weekly Paste'!A:M,10,0),VLOOKUP(B1944&amp;C1944&amp;Q1944,'New Weekly Paste'!B:O,6,0)),""),"")</f>
        <v>Tayski</v>
      </c>
      <c r="J1944" s="259">
        <f>IFERROR(IFERROR(VLOOKUP(B1944&amp;C1944&amp;Q1944,'New Weekly Paste'!A:M,8,0),VLOOKUP(B1944&amp;C1944&amp;Q1944,'New Weekly Paste'!B:O,10,0)),0)</f>
        <v>77.74</v>
      </c>
      <c r="K1944" s="259">
        <f>IFERROR(IFERROR(VLOOKUP(B1944&amp;I1944&amp;Q1944,'New Weekly Paste'!A:M,8,0),VLOOKUP(B1944&amp;I1944&amp;Q1944,'New Weekly Paste'!B:O,10,0)),0)</f>
        <v>57.98</v>
      </c>
      <c r="L1944" s="239">
        <f t="shared" si="25"/>
        <v>1</v>
      </c>
      <c r="M1944" s="36" t="str">
        <f t="shared" si="3"/>
        <v>Playoffs</v>
      </c>
      <c r="N1944" s="239" t="str">
        <f t="shared" si="26"/>
        <v>Tayski</v>
      </c>
      <c r="O1944" s="6">
        <f>VLOOKUP(D1944,'Mapped Opponent'!$G$4:$H$22,2,0)</f>
        <v>16</v>
      </c>
      <c r="P1944" s="6"/>
      <c r="Q1944" s="6" t="str">
        <f t="shared" si="4"/>
        <v>Week 16</v>
      </c>
      <c r="R1944" s="6" t="str">
        <f t="shared" si="5"/>
        <v>2021Round 2</v>
      </c>
      <c r="S1944" s="6">
        <f>IFERROR(__xludf.DUMMYFUNCTION("rank(J1944,FILTER(J:J,R:R=R1944))"),8.0)</f>
        <v>8</v>
      </c>
      <c r="T1944" s="6">
        <f t="shared" si="6"/>
        <v>4</v>
      </c>
      <c r="U1944" s="6">
        <f t="shared" si="7"/>
        <v>8</v>
      </c>
      <c r="V1944" s="42">
        <f>averageif(AllData!A:A,B1944,AllData!R:R)/vlookup(B1944,AllData!A:O,15,0)</f>
        <v>94.5352381</v>
      </c>
      <c r="W1944" s="6"/>
    </row>
    <row r="1945" ht="14.25" customHeight="1">
      <c r="A1945" s="6" t="str">
        <f t="shared" si="1"/>
        <v>2021T-How16</v>
      </c>
      <c r="B1945" s="59">
        <v>2021.0</v>
      </c>
      <c r="C1945" s="13" t="s">
        <v>82</v>
      </c>
      <c r="D1945" s="13" t="s">
        <v>153</v>
      </c>
      <c r="E1945" s="34"/>
      <c r="F1945" s="6"/>
      <c r="H1945" s="6"/>
      <c r="I1945" s="35" t="str">
        <f>IFERROR(IFERROR(IFERROR(VLOOKUP(B1945&amp;C1945&amp;Q1945,'New Weekly Paste'!A:M,10,0),VLOOKUP(B1945&amp;C1945&amp;Q1945,'New Weekly Paste'!B:O,6,0)),""),"")</f>
        <v>Fellows</v>
      </c>
      <c r="J1945" s="259">
        <f>IFERROR(IFERROR(VLOOKUP(B1945&amp;C1945&amp;Q1945,'New Weekly Paste'!A:M,8,0),VLOOKUP(B1945&amp;C1945&amp;Q1945,'New Weekly Paste'!B:O,10,0)),0)</f>
        <v>90.92</v>
      </c>
      <c r="K1945" s="259">
        <f>IFERROR(IFERROR(VLOOKUP(B1945&amp;I1945&amp;Q1945,'New Weekly Paste'!A:M,8,0),VLOOKUP(B1945&amp;I1945&amp;Q1945,'New Weekly Paste'!B:O,10,0)),0)</f>
        <v>75.7</v>
      </c>
      <c r="L1945" s="239">
        <f t="shared" si="25"/>
        <v>1</v>
      </c>
      <c r="M1945" s="36" t="str">
        <f t="shared" si="3"/>
        <v>Playoffs</v>
      </c>
      <c r="N1945" s="239" t="str">
        <f t="shared" si="26"/>
        <v>Fellows</v>
      </c>
      <c r="O1945" s="6">
        <f>VLOOKUP(D1945,'Mapped Opponent'!$G$4:$H$22,2,0)</f>
        <v>16</v>
      </c>
      <c r="P1945" s="6"/>
      <c r="Q1945" s="6" t="str">
        <f t="shared" si="4"/>
        <v>Week 16</v>
      </c>
      <c r="R1945" s="6" t="str">
        <f t="shared" si="5"/>
        <v>2021Round 2</v>
      </c>
      <c r="S1945" s="6">
        <f>IFERROR(__xludf.DUMMYFUNCTION("rank(J1945,FILTER(J:J,R:R=R1945))"),6.0)</f>
        <v>6</v>
      </c>
      <c r="T1945" s="6">
        <f t="shared" si="6"/>
        <v>6</v>
      </c>
      <c r="U1945" s="6">
        <f t="shared" si="7"/>
        <v>6</v>
      </c>
      <c r="V1945" s="42">
        <f>averageif(AllData!A:A,B1945,AllData!R:R)/vlookup(B1945,AllData!A:O,15,0)</f>
        <v>94.5352381</v>
      </c>
      <c r="W1945" s="6"/>
    </row>
    <row r="1946" ht="14.25" customHeight="1">
      <c r="A1946" s="6" t="str">
        <f t="shared" si="1"/>
        <v>2021Hudspeath17</v>
      </c>
      <c r="B1946" s="59">
        <v>2021.0</v>
      </c>
      <c r="C1946" s="13" t="s">
        <v>39</v>
      </c>
      <c r="D1946" s="13" t="s">
        <v>154</v>
      </c>
      <c r="E1946" s="34"/>
      <c r="F1946" s="6"/>
      <c r="H1946" s="6"/>
      <c r="I1946" s="35" t="str">
        <f>IFERROR(IFERROR(IFERROR(VLOOKUP(B1946&amp;C1946&amp;Q1946,'New Weekly Paste'!A:M,10,0),VLOOKUP(B1946&amp;C1946&amp;Q1946,'New Weekly Paste'!B:O,6,0)),""),"")</f>
        <v>Riley</v>
      </c>
      <c r="J1946" s="259">
        <f>IFERROR(IFERROR(VLOOKUP(B1946&amp;C1946&amp;Q1946,'New Weekly Paste'!A:M,8,0),VLOOKUP(B1946&amp;C1946&amp;Q1946,'New Weekly Paste'!B:O,10,0)),0)</f>
        <v>97.72</v>
      </c>
      <c r="K1946" s="259">
        <f>IFERROR(IFERROR(VLOOKUP(B1946&amp;I1946&amp;Q1946,'New Weekly Paste'!A:M,8,0),VLOOKUP(B1946&amp;I1946&amp;Q1946,'New Weekly Paste'!B:O,10,0)),0)</f>
        <v>106.14</v>
      </c>
      <c r="L1946" s="239">
        <f t="shared" si="25"/>
        <v>0</v>
      </c>
      <c r="M1946" s="36" t="str">
        <f t="shared" si="3"/>
        <v>Playoffs</v>
      </c>
      <c r="N1946" s="239" t="str">
        <f t="shared" si="26"/>
        <v>Riley</v>
      </c>
      <c r="O1946" s="6">
        <f>VLOOKUP(D1946,'Mapped Opponent'!$G$4:$H$22,2,0)</f>
        <v>17</v>
      </c>
      <c r="P1946" s="6"/>
      <c r="Q1946" s="6" t="str">
        <f t="shared" si="4"/>
        <v>Week 17</v>
      </c>
      <c r="R1946" s="6" t="str">
        <f t="shared" si="5"/>
        <v>2021Round 3</v>
      </c>
      <c r="S1946" s="6">
        <f>IFERROR(__xludf.DUMMYFUNCTION("rank(J1946,FILTER(J:J,R:R=R1946))"),6.0)</f>
        <v>6</v>
      </c>
      <c r="T1946" s="6">
        <f t="shared" si="6"/>
        <v>6</v>
      </c>
      <c r="U1946" s="6">
        <f t="shared" si="7"/>
        <v>6</v>
      </c>
      <c r="V1946" s="42">
        <f>averageif(AllData!A:A,B1946,AllData!R:R)/vlookup(B1946,AllData!A:O,15,0)</f>
        <v>94.5352381</v>
      </c>
      <c r="W1946" s="6"/>
    </row>
    <row r="1947" ht="14.25" customHeight="1">
      <c r="A1947" s="6" t="str">
        <f t="shared" si="1"/>
        <v>2021Salty17</v>
      </c>
      <c r="B1947" s="59">
        <v>2021.0</v>
      </c>
      <c r="C1947" s="13" t="s">
        <v>76</v>
      </c>
      <c r="D1947" s="13" t="s">
        <v>154</v>
      </c>
      <c r="E1947" s="34"/>
      <c r="F1947" s="6"/>
      <c r="H1947" s="6"/>
      <c r="I1947" s="35" t="str">
        <f>IFERROR(IFERROR(IFERROR(VLOOKUP(B1947&amp;C1947&amp;Q1947,'New Weekly Paste'!A:M,10,0),VLOOKUP(B1947&amp;C1947&amp;Q1947,'New Weekly Paste'!B:O,6,0)),""),"")</f>
        <v>Shep</v>
      </c>
      <c r="J1947" s="259">
        <f>IFERROR(IFERROR(VLOOKUP(B1947&amp;C1947&amp;Q1947,'New Weekly Paste'!A:M,8,0),VLOOKUP(B1947&amp;C1947&amp;Q1947,'New Weekly Paste'!B:O,10,0)),0)</f>
        <v>109</v>
      </c>
      <c r="K1947" s="259">
        <f>IFERROR(IFERROR(VLOOKUP(B1947&amp;I1947&amp;Q1947,'New Weekly Paste'!A:M,8,0),VLOOKUP(B1947&amp;I1947&amp;Q1947,'New Weekly Paste'!B:O,10,0)),0)</f>
        <v>59.6</v>
      </c>
      <c r="L1947" s="239">
        <f t="shared" si="25"/>
        <v>1</v>
      </c>
      <c r="M1947" s="36" t="str">
        <f t="shared" si="3"/>
        <v>Playoffs</v>
      </c>
      <c r="N1947" s="239" t="str">
        <f t="shared" si="26"/>
        <v>Shep</v>
      </c>
      <c r="O1947" s="6">
        <f>VLOOKUP(D1947,'Mapped Opponent'!$G$4:$H$22,2,0)</f>
        <v>17</v>
      </c>
      <c r="P1947" s="6"/>
      <c r="Q1947" s="6" t="str">
        <f t="shared" si="4"/>
        <v>Week 17</v>
      </c>
      <c r="R1947" s="6" t="str">
        <f t="shared" si="5"/>
        <v>2021Round 3</v>
      </c>
      <c r="S1947" s="6">
        <f>IFERROR(__xludf.DUMMYFUNCTION("rank(J1947,FILTER(J:J,R:R=R1947))"),4.0)</f>
        <v>4</v>
      </c>
      <c r="T1947" s="6">
        <f t="shared" si="6"/>
        <v>8</v>
      </c>
      <c r="U1947" s="6">
        <f t="shared" si="7"/>
        <v>4</v>
      </c>
      <c r="V1947" s="42">
        <f>averageif(AllData!A:A,B1947,AllData!R:R)/vlookup(B1947,AllData!A:O,15,0)</f>
        <v>94.5352381</v>
      </c>
      <c r="W1947" s="6"/>
    </row>
    <row r="1948" ht="14.25" customHeight="1">
      <c r="A1948" s="6" t="str">
        <f t="shared" si="1"/>
        <v>2021Fellows17</v>
      </c>
      <c r="B1948" s="59">
        <v>2021.0</v>
      </c>
      <c r="C1948" s="13" t="s">
        <v>79</v>
      </c>
      <c r="D1948" s="13" t="s">
        <v>154</v>
      </c>
      <c r="E1948" s="34"/>
      <c r="F1948" s="6"/>
      <c r="H1948" s="6"/>
      <c r="I1948" s="35" t="str">
        <f>IFERROR(IFERROR(IFERROR(VLOOKUP(B1948&amp;C1948&amp;Q1948,'New Weekly Paste'!A:M,10,0),VLOOKUP(B1948&amp;C1948&amp;Q1948,'New Weekly Paste'!B:O,6,0)),""),"")</f>
        <v>KnardDawg</v>
      </c>
      <c r="J1948" s="259">
        <f>IFERROR(IFERROR(VLOOKUP(B1948&amp;C1948&amp;Q1948,'New Weekly Paste'!A:M,8,0),VLOOKUP(B1948&amp;C1948&amp;Q1948,'New Weekly Paste'!B:O,10,0)),0)</f>
        <v>71.48</v>
      </c>
      <c r="K1948" s="259">
        <f>IFERROR(IFERROR(VLOOKUP(B1948&amp;I1948&amp;Q1948,'New Weekly Paste'!A:M,8,0),VLOOKUP(B1948&amp;I1948&amp;Q1948,'New Weekly Paste'!B:O,10,0)),0)</f>
        <v>116.34</v>
      </c>
      <c r="L1948" s="239">
        <f t="shared" si="25"/>
        <v>0</v>
      </c>
      <c r="M1948" s="36" t="str">
        <f t="shared" si="3"/>
        <v>Playoffs</v>
      </c>
      <c r="N1948" s="239" t="str">
        <f t="shared" si="26"/>
        <v>KnardDawg</v>
      </c>
      <c r="O1948" s="6">
        <f>VLOOKUP(D1948,'Mapped Opponent'!$G$4:$H$22,2,0)</f>
        <v>17</v>
      </c>
      <c r="P1948" s="6"/>
      <c r="Q1948" s="6" t="str">
        <f t="shared" si="4"/>
        <v>Week 17</v>
      </c>
      <c r="R1948" s="6" t="str">
        <f t="shared" si="5"/>
        <v>2021Round 3</v>
      </c>
      <c r="S1948" s="6">
        <f>IFERROR(__xludf.DUMMYFUNCTION("rank(J1948,FILTER(J:J,R:R=R1948))"),10.0)</f>
        <v>10</v>
      </c>
      <c r="T1948" s="6">
        <f t="shared" si="6"/>
        <v>2</v>
      </c>
      <c r="U1948" s="6">
        <f t="shared" si="7"/>
        <v>10</v>
      </c>
      <c r="V1948" s="42">
        <f>averageif(AllData!A:A,B1948,AllData!R:R)/vlookup(B1948,AllData!A:O,15,0)</f>
        <v>94.5352381</v>
      </c>
      <c r="W1948" s="6"/>
    </row>
    <row r="1949" ht="14.25" customHeight="1">
      <c r="A1949" s="6" t="str">
        <f t="shared" si="1"/>
        <v>2021Shep17</v>
      </c>
      <c r="B1949" s="59">
        <v>2021.0</v>
      </c>
      <c r="C1949" s="13" t="s">
        <v>89</v>
      </c>
      <c r="D1949" s="13" t="s">
        <v>154</v>
      </c>
      <c r="E1949" s="34"/>
      <c r="F1949" s="6"/>
      <c r="H1949" s="6"/>
      <c r="I1949" s="35" t="str">
        <f>IFERROR(IFERROR(IFERROR(VLOOKUP(B1949&amp;C1949&amp;Q1949,'New Weekly Paste'!A:M,10,0),VLOOKUP(B1949&amp;C1949&amp;Q1949,'New Weekly Paste'!B:O,6,0)),""),"")</f>
        <v>Salty</v>
      </c>
      <c r="J1949" s="259">
        <f>IFERROR(IFERROR(VLOOKUP(B1949&amp;C1949&amp;Q1949,'New Weekly Paste'!A:M,8,0),VLOOKUP(B1949&amp;C1949&amp;Q1949,'New Weekly Paste'!B:O,10,0)),0)</f>
        <v>59.6</v>
      </c>
      <c r="K1949" s="259">
        <f>IFERROR(IFERROR(VLOOKUP(B1949&amp;I1949&amp;Q1949,'New Weekly Paste'!A:M,8,0),VLOOKUP(B1949&amp;I1949&amp;Q1949,'New Weekly Paste'!B:O,10,0)),0)</f>
        <v>109</v>
      </c>
      <c r="L1949" s="239">
        <f t="shared" si="25"/>
        <v>0</v>
      </c>
      <c r="M1949" s="36" t="str">
        <f t="shared" si="3"/>
        <v>Playoffs</v>
      </c>
      <c r="N1949" s="239" t="str">
        <f t="shared" si="26"/>
        <v>Salty</v>
      </c>
      <c r="O1949" s="6">
        <f>VLOOKUP(D1949,'Mapped Opponent'!$G$4:$H$22,2,0)</f>
        <v>17</v>
      </c>
      <c r="P1949" s="6"/>
      <c r="Q1949" s="6" t="str">
        <f t="shared" si="4"/>
        <v>Week 17</v>
      </c>
      <c r="R1949" s="6" t="str">
        <f t="shared" si="5"/>
        <v>2021Round 3</v>
      </c>
      <c r="S1949" s="6">
        <f>IFERROR(__xludf.DUMMYFUNCTION("rank(J1949,FILTER(J:J,R:R=R1949))"),12.0)</f>
        <v>12</v>
      </c>
      <c r="T1949" s="6">
        <f t="shared" si="6"/>
        <v>0</v>
      </c>
      <c r="U1949" s="6">
        <f t="shared" si="7"/>
        <v>12</v>
      </c>
      <c r="V1949" s="42">
        <f>averageif(AllData!A:A,B1949,AllData!R:R)/vlookup(B1949,AllData!A:O,15,0)</f>
        <v>94.5352381</v>
      </c>
      <c r="W1949" s="6"/>
    </row>
    <row r="1950" ht="14.25" customHeight="1">
      <c r="A1950" s="6" t="str">
        <f t="shared" si="1"/>
        <v>2021Riley17</v>
      </c>
      <c r="B1950" s="59">
        <v>2021.0</v>
      </c>
      <c r="C1950" s="13" t="s">
        <v>67</v>
      </c>
      <c r="D1950" s="13" t="s">
        <v>154</v>
      </c>
      <c r="E1950" s="34"/>
      <c r="F1950" s="6"/>
      <c r="H1950" s="6"/>
      <c r="I1950" s="35" t="str">
        <f>IFERROR(IFERROR(IFERROR(VLOOKUP(B1950&amp;C1950&amp;Q1950,'New Weekly Paste'!A:M,10,0),VLOOKUP(B1950&amp;C1950&amp;Q1950,'New Weekly Paste'!B:O,6,0)),""),"")</f>
        <v>Hudspeath</v>
      </c>
      <c r="J1950" s="259">
        <f>IFERROR(IFERROR(VLOOKUP(B1950&amp;C1950&amp;Q1950,'New Weekly Paste'!A:M,8,0),VLOOKUP(B1950&amp;C1950&amp;Q1950,'New Weekly Paste'!B:O,10,0)),0)</f>
        <v>106.14</v>
      </c>
      <c r="K1950" s="259">
        <f>IFERROR(IFERROR(VLOOKUP(B1950&amp;I1950&amp;Q1950,'New Weekly Paste'!A:M,8,0),VLOOKUP(B1950&amp;I1950&amp;Q1950,'New Weekly Paste'!B:O,10,0)),0)</f>
        <v>97.72</v>
      </c>
      <c r="L1950" s="239">
        <f t="shared" si="25"/>
        <v>1</v>
      </c>
      <c r="M1950" s="36" t="str">
        <f t="shared" si="3"/>
        <v>Playoffs</v>
      </c>
      <c r="N1950" s="239" t="str">
        <f t="shared" si="26"/>
        <v>Hudspeath</v>
      </c>
      <c r="O1950" s="6">
        <f>VLOOKUP(D1950,'Mapped Opponent'!$G$4:$H$22,2,0)</f>
        <v>17</v>
      </c>
      <c r="P1950" s="6"/>
      <c r="Q1950" s="6" t="str">
        <f t="shared" si="4"/>
        <v>Week 17</v>
      </c>
      <c r="R1950" s="6" t="str">
        <f t="shared" si="5"/>
        <v>2021Round 3</v>
      </c>
      <c r="S1950" s="6">
        <f>IFERROR(__xludf.DUMMYFUNCTION("rank(J1950,FILTER(J:J,R:R=R1950))"),5.0)</f>
        <v>5</v>
      </c>
      <c r="T1950" s="6">
        <f t="shared" si="6"/>
        <v>7</v>
      </c>
      <c r="U1950" s="6">
        <f t="shared" si="7"/>
        <v>5</v>
      </c>
      <c r="V1950" s="42">
        <f>averageif(AllData!A:A,B1950,AllData!R:R)/vlookup(B1950,AllData!A:O,15,0)</f>
        <v>94.5352381</v>
      </c>
      <c r="W1950" s="6"/>
    </row>
    <row r="1951" ht="14.25" customHeight="1">
      <c r="A1951" s="6" t="str">
        <f t="shared" si="1"/>
        <v>2021Rooney/Jackson17</v>
      </c>
      <c r="B1951" s="59">
        <v>2021.0</v>
      </c>
      <c r="C1951" s="13" t="s">
        <v>57</v>
      </c>
      <c r="D1951" s="13" t="s">
        <v>154</v>
      </c>
      <c r="E1951" s="34"/>
      <c r="F1951" s="6"/>
      <c r="H1951" s="6"/>
      <c r="I1951" s="35" t="str">
        <f>IFERROR(IFERROR(IFERROR(VLOOKUP(B1951&amp;C1951&amp;Q1951,'New Weekly Paste'!A:M,10,0),VLOOKUP(B1951&amp;C1951&amp;Q1951,'New Weekly Paste'!B:O,6,0)),""),"")</f>
        <v>T-How</v>
      </c>
      <c r="J1951" s="259">
        <f>IFERROR(IFERROR(VLOOKUP(B1951&amp;C1951&amp;Q1951,'New Weekly Paste'!A:M,8,0),VLOOKUP(B1951&amp;C1951&amp;Q1951,'New Weekly Paste'!B:O,10,0)),0)</f>
        <v>97.56</v>
      </c>
      <c r="K1951" s="259">
        <f>IFERROR(IFERROR(VLOOKUP(B1951&amp;I1951&amp;Q1951,'New Weekly Paste'!A:M,8,0),VLOOKUP(B1951&amp;I1951&amp;Q1951,'New Weekly Paste'!B:O,10,0)),0)</f>
        <v>121.96</v>
      </c>
      <c r="L1951" s="239">
        <f t="shared" si="25"/>
        <v>0</v>
      </c>
      <c r="M1951" s="36" t="str">
        <f t="shared" si="3"/>
        <v>Playoffs</v>
      </c>
      <c r="N1951" s="239" t="str">
        <f t="shared" si="26"/>
        <v>T-How</v>
      </c>
      <c r="O1951" s="6">
        <f>VLOOKUP(D1951,'Mapped Opponent'!$G$4:$H$22,2,0)</f>
        <v>17</v>
      </c>
      <c r="P1951" s="6"/>
      <c r="Q1951" s="6" t="str">
        <f t="shared" si="4"/>
        <v>Week 17</v>
      </c>
      <c r="R1951" s="6" t="str">
        <f t="shared" si="5"/>
        <v>2021Round 3</v>
      </c>
      <c r="S1951" s="6">
        <f>IFERROR(__xludf.DUMMYFUNCTION("rank(J1951,FILTER(J:J,R:R=R1951))"),7.0)</f>
        <v>7</v>
      </c>
      <c r="T1951" s="6">
        <f t="shared" si="6"/>
        <v>5</v>
      </c>
      <c r="U1951" s="6">
        <f t="shared" si="7"/>
        <v>7</v>
      </c>
      <c r="V1951" s="42">
        <f>averageif(AllData!A:A,B1951,AllData!R:R)/vlookup(B1951,AllData!A:O,15,0)</f>
        <v>94.5352381</v>
      </c>
      <c r="W1951" s="6"/>
    </row>
    <row r="1952" ht="14.25" customHeight="1">
      <c r="A1952" s="6" t="str">
        <f t="shared" si="1"/>
        <v>2021Buser17</v>
      </c>
      <c r="B1952" s="59">
        <v>2021.0</v>
      </c>
      <c r="C1952" s="13" t="s">
        <v>47</v>
      </c>
      <c r="D1952" s="13" t="s">
        <v>154</v>
      </c>
      <c r="E1952" s="34"/>
      <c r="F1952" s="6"/>
      <c r="H1952" s="6"/>
      <c r="I1952" s="35" t="str">
        <f>IFERROR(IFERROR(IFERROR(VLOOKUP(B1952&amp;C1952&amp;Q1952,'New Weekly Paste'!A:M,10,0),VLOOKUP(B1952&amp;C1952&amp;Q1952,'New Weekly Paste'!B:O,6,0)),""),"")</f>
        <v>Pierson</v>
      </c>
      <c r="J1952" s="259">
        <f>IFERROR(IFERROR(VLOOKUP(B1952&amp;C1952&amp;Q1952,'New Weekly Paste'!A:M,8,0),VLOOKUP(B1952&amp;C1952&amp;Q1952,'New Weekly Paste'!B:O,10,0)),0)</f>
        <v>93.18</v>
      </c>
      <c r="K1952" s="259">
        <f>IFERROR(IFERROR(VLOOKUP(B1952&amp;I1952&amp;Q1952,'New Weekly Paste'!A:M,8,0),VLOOKUP(B1952&amp;I1952&amp;Q1952,'New Weekly Paste'!B:O,10,0)),0)</f>
        <v>132.2</v>
      </c>
      <c r="L1952" s="239">
        <f t="shared" si="25"/>
        <v>0</v>
      </c>
      <c r="M1952" s="36" t="str">
        <f t="shared" si="3"/>
        <v>Playoffs</v>
      </c>
      <c r="N1952" s="239" t="str">
        <f t="shared" si="26"/>
        <v>Pierson</v>
      </c>
      <c r="O1952" s="6">
        <f>VLOOKUP(D1952,'Mapped Opponent'!$G$4:$H$22,2,0)</f>
        <v>17</v>
      </c>
      <c r="P1952" s="6"/>
      <c r="Q1952" s="6" t="str">
        <f t="shared" si="4"/>
        <v>Week 17</v>
      </c>
      <c r="R1952" s="6" t="str">
        <f t="shared" si="5"/>
        <v>2021Round 3</v>
      </c>
      <c r="S1952" s="6">
        <f>IFERROR(__xludf.DUMMYFUNCTION("rank(J1952,FILTER(J:J,R:R=R1952))"),8.0)</f>
        <v>8</v>
      </c>
      <c r="T1952" s="6">
        <f t="shared" si="6"/>
        <v>4</v>
      </c>
      <c r="U1952" s="6">
        <f t="shared" si="7"/>
        <v>8</v>
      </c>
      <c r="V1952" s="42">
        <f>averageif(AllData!A:A,B1952,AllData!R:R)/vlookup(B1952,AllData!A:O,15,0)</f>
        <v>94.5352381</v>
      </c>
      <c r="W1952" s="6"/>
    </row>
    <row r="1953" ht="14.25" customHeight="1">
      <c r="A1953" s="6" t="str">
        <f t="shared" si="1"/>
        <v>2021Pierson17</v>
      </c>
      <c r="B1953" s="59">
        <v>2021.0</v>
      </c>
      <c r="C1953" s="13" t="s">
        <v>92</v>
      </c>
      <c r="D1953" s="13" t="s">
        <v>154</v>
      </c>
      <c r="E1953" s="34"/>
      <c r="F1953" s="6"/>
      <c r="H1953" s="6"/>
      <c r="I1953" s="35" t="str">
        <f>IFERROR(IFERROR(IFERROR(VLOOKUP(B1953&amp;C1953&amp;Q1953,'New Weekly Paste'!A:M,10,0),VLOOKUP(B1953&amp;C1953&amp;Q1953,'New Weekly Paste'!B:O,6,0)),""),"")</f>
        <v>Buser</v>
      </c>
      <c r="J1953" s="259">
        <f>IFERROR(IFERROR(VLOOKUP(B1953&amp;C1953&amp;Q1953,'New Weekly Paste'!A:M,8,0),VLOOKUP(B1953&amp;C1953&amp;Q1953,'New Weekly Paste'!B:O,10,0)),0)</f>
        <v>132.2</v>
      </c>
      <c r="K1953" s="259">
        <f>IFERROR(IFERROR(VLOOKUP(B1953&amp;I1953&amp;Q1953,'New Weekly Paste'!A:M,8,0),VLOOKUP(B1953&amp;I1953&amp;Q1953,'New Weekly Paste'!B:O,10,0)),0)</f>
        <v>93.18</v>
      </c>
      <c r="L1953" s="239">
        <f t="shared" si="25"/>
        <v>1</v>
      </c>
      <c r="M1953" s="36" t="str">
        <f t="shared" si="3"/>
        <v>Playoffs</v>
      </c>
      <c r="N1953" s="239" t="str">
        <f t="shared" si="26"/>
        <v>Buser</v>
      </c>
      <c r="O1953" s="6">
        <f>VLOOKUP(D1953,'Mapped Opponent'!$G$4:$H$22,2,0)</f>
        <v>17</v>
      </c>
      <c r="P1953" s="6"/>
      <c r="Q1953" s="6" t="str">
        <f t="shared" si="4"/>
        <v>Week 17</v>
      </c>
      <c r="R1953" s="6" t="str">
        <f t="shared" si="5"/>
        <v>2021Round 3</v>
      </c>
      <c r="S1953" s="6">
        <f>IFERROR(__xludf.DUMMYFUNCTION("rank(J1953,FILTER(J:J,R:R=R1953))"),1.0)</f>
        <v>1</v>
      </c>
      <c r="T1953" s="6">
        <f t="shared" si="6"/>
        <v>11</v>
      </c>
      <c r="U1953" s="6">
        <f t="shared" si="7"/>
        <v>1</v>
      </c>
      <c r="V1953" s="42">
        <f>averageif(AllData!A:A,B1953,AllData!R:R)/vlookup(B1953,AllData!A:O,15,0)</f>
        <v>94.5352381</v>
      </c>
      <c r="W1953" s="6"/>
    </row>
    <row r="1954" ht="14.25" customHeight="1">
      <c r="A1954" s="6" t="str">
        <f t="shared" si="1"/>
        <v>2021Cock17</v>
      </c>
      <c r="B1954" s="59">
        <v>2021.0</v>
      </c>
      <c r="C1954" s="13" t="s">
        <v>72</v>
      </c>
      <c r="D1954" s="13" t="s">
        <v>154</v>
      </c>
      <c r="E1954" s="34"/>
      <c r="F1954" s="6"/>
      <c r="H1954" s="6"/>
      <c r="I1954" s="35" t="str">
        <f>IFERROR(IFERROR(IFERROR(VLOOKUP(B1954&amp;C1954&amp;Q1954,'New Weekly Paste'!A:M,10,0),VLOOKUP(B1954&amp;C1954&amp;Q1954,'New Weekly Paste'!B:O,6,0)),""),"")</f>
        <v>Tayski</v>
      </c>
      <c r="J1954" s="259">
        <f>IFERROR(IFERROR(VLOOKUP(B1954&amp;C1954&amp;Q1954,'New Weekly Paste'!A:M,8,0),VLOOKUP(B1954&amp;C1954&amp;Q1954,'New Weekly Paste'!B:O,10,0)),0)</f>
        <v>88.74</v>
      </c>
      <c r="K1954" s="259">
        <f>IFERROR(IFERROR(VLOOKUP(B1954&amp;I1954&amp;Q1954,'New Weekly Paste'!A:M,8,0),VLOOKUP(B1954&amp;I1954&amp;Q1954,'New Weekly Paste'!B:O,10,0)),0)</f>
        <v>65.76</v>
      </c>
      <c r="L1954" s="239">
        <f t="shared" si="25"/>
        <v>1</v>
      </c>
      <c r="M1954" s="36" t="str">
        <f t="shared" si="3"/>
        <v>Playoffs</v>
      </c>
      <c r="N1954" s="239" t="str">
        <f t="shared" si="26"/>
        <v>Tayski</v>
      </c>
      <c r="O1954" s="6">
        <f>VLOOKUP(D1954,'Mapped Opponent'!$G$4:$H$22,2,0)</f>
        <v>17</v>
      </c>
      <c r="P1954" s="6"/>
      <c r="Q1954" s="6" t="str">
        <f t="shared" si="4"/>
        <v>Week 17</v>
      </c>
      <c r="R1954" s="6" t="str">
        <f t="shared" si="5"/>
        <v>2021Round 3</v>
      </c>
      <c r="S1954" s="6">
        <f>IFERROR(__xludf.DUMMYFUNCTION("rank(J1954,FILTER(J:J,R:R=R1954))"),9.0)</f>
        <v>9</v>
      </c>
      <c r="T1954" s="6">
        <f t="shared" si="6"/>
        <v>3</v>
      </c>
      <c r="U1954" s="6">
        <f t="shared" si="7"/>
        <v>9</v>
      </c>
      <c r="V1954" s="42">
        <f>averageif(AllData!A:A,B1954,AllData!R:R)/vlookup(B1954,AllData!A:O,15,0)</f>
        <v>94.5352381</v>
      </c>
      <c r="W1954" s="6"/>
    </row>
    <row r="1955" ht="14.25" customHeight="1">
      <c r="A1955" s="6" t="str">
        <f t="shared" si="1"/>
        <v>2021Tayski17</v>
      </c>
      <c r="B1955" s="59">
        <v>2021.0</v>
      </c>
      <c r="C1955" s="13" t="s">
        <v>52</v>
      </c>
      <c r="D1955" s="13" t="s">
        <v>154</v>
      </c>
      <c r="E1955" s="34"/>
      <c r="F1955" s="6"/>
      <c r="H1955" s="6"/>
      <c r="I1955" s="35" t="str">
        <f>IFERROR(IFERROR(IFERROR(VLOOKUP(B1955&amp;C1955&amp;Q1955,'New Weekly Paste'!A:M,10,0),VLOOKUP(B1955&amp;C1955&amp;Q1955,'New Weekly Paste'!B:O,6,0)),""),"")</f>
        <v>Cock</v>
      </c>
      <c r="J1955" s="259">
        <f>IFERROR(IFERROR(VLOOKUP(B1955&amp;C1955&amp;Q1955,'New Weekly Paste'!A:M,8,0),VLOOKUP(B1955&amp;C1955&amp;Q1955,'New Weekly Paste'!B:O,10,0)),0)</f>
        <v>65.76</v>
      </c>
      <c r="K1955" s="259">
        <f>IFERROR(IFERROR(VLOOKUP(B1955&amp;I1955&amp;Q1955,'New Weekly Paste'!A:M,8,0),VLOOKUP(B1955&amp;I1955&amp;Q1955,'New Weekly Paste'!B:O,10,0)),0)</f>
        <v>88.74</v>
      </c>
      <c r="L1955" s="239">
        <f t="shared" si="25"/>
        <v>0</v>
      </c>
      <c r="M1955" s="36" t="str">
        <f t="shared" si="3"/>
        <v>Playoffs</v>
      </c>
      <c r="N1955" s="239" t="str">
        <f t="shared" si="26"/>
        <v>Cock</v>
      </c>
      <c r="O1955" s="6">
        <f>VLOOKUP(D1955,'Mapped Opponent'!$G$4:$H$22,2,0)</f>
        <v>17</v>
      </c>
      <c r="P1955" s="6"/>
      <c r="Q1955" s="6" t="str">
        <f t="shared" si="4"/>
        <v>Week 17</v>
      </c>
      <c r="R1955" s="6" t="str">
        <f t="shared" si="5"/>
        <v>2021Round 3</v>
      </c>
      <c r="S1955" s="6">
        <f>IFERROR(__xludf.DUMMYFUNCTION("rank(J1955,FILTER(J:J,R:R=R1955))"),11.0)</f>
        <v>11</v>
      </c>
      <c r="T1955" s="6">
        <f t="shared" si="6"/>
        <v>1</v>
      </c>
      <c r="U1955" s="6">
        <f t="shared" si="7"/>
        <v>11</v>
      </c>
      <c r="V1955" s="42">
        <f>averageif(AllData!A:A,B1955,AllData!R:R)/vlookup(B1955,AllData!A:O,15,0)</f>
        <v>94.5352381</v>
      </c>
      <c r="W1955" s="6"/>
    </row>
    <row r="1956" ht="14.25" customHeight="1">
      <c r="A1956" s="6" t="str">
        <f t="shared" si="1"/>
        <v>2021KnardDawg17</v>
      </c>
      <c r="B1956" s="59">
        <v>2021.0</v>
      </c>
      <c r="C1956" s="13" t="s">
        <v>86</v>
      </c>
      <c r="D1956" s="13" t="s">
        <v>154</v>
      </c>
      <c r="E1956" s="34"/>
      <c r="F1956" s="6"/>
      <c r="H1956" s="6"/>
      <c r="I1956" s="35" t="str">
        <f>IFERROR(IFERROR(IFERROR(VLOOKUP(B1956&amp;C1956&amp;Q1956,'New Weekly Paste'!A:M,10,0),VLOOKUP(B1956&amp;C1956&amp;Q1956,'New Weekly Paste'!B:O,6,0)),""),"")</f>
        <v>Fellows</v>
      </c>
      <c r="J1956" s="259">
        <f>IFERROR(IFERROR(VLOOKUP(B1956&amp;C1956&amp;Q1956,'New Weekly Paste'!A:M,8,0),VLOOKUP(B1956&amp;C1956&amp;Q1956,'New Weekly Paste'!B:O,10,0)),0)</f>
        <v>116.34</v>
      </c>
      <c r="K1956" s="259">
        <f>IFERROR(IFERROR(VLOOKUP(B1956&amp;I1956&amp;Q1956,'New Weekly Paste'!A:M,8,0),VLOOKUP(B1956&amp;I1956&amp;Q1956,'New Weekly Paste'!B:O,10,0)),0)</f>
        <v>71.48</v>
      </c>
      <c r="L1956" s="239">
        <f t="shared" si="25"/>
        <v>1</v>
      </c>
      <c r="M1956" s="36" t="str">
        <f t="shared" si="3"/>
        <v>Playoffs</v>
      </c>
      <c r="N1956" s="239" t="str">
        <f t="shared" si="26"/>
        <v>Fellows</v>
      </c>
      <c r="O1956" s="6">
        <f>VLOOKUP(D1956,'Mapped Opponent'!$G$4:$H$22,2,0)</f>
        <v>17</v>
      </c>
      <c r="P1956" s="6"/>
      <c r="Q1956" s="6" t="str">
        <f t="shared" si="4"/>
        <v>Week 17</v>
      </c>
      <c r="R1956" s="6" t="str">
        <f t="shared" si="5"/>
        <v>2021Round 3</v>
      </c>
      <c r="S1956" s="6">
        <f>IFERROR(__xludf.DUMMYFUNCTION("rank(J1956,FILTER(J:J,R:R=R1956))"),3.0)</f>
        <v>3</v>
      </c>
      <c r="T1956" s="6">
        <f t="shared" si="6"/>
        <v>9</v>
      </c>
      <c r="U1956" s="6">
        <f t="shared" si="7"/>
        <v>3</v>
      </c>
      <c r="V1956" s="42">
        <f>averageif(AllData!A:A,B1956,AllData!R:R)/vlookup(B1956,AllData!A:O,15,0)</f>
        <v>94.5352381</v>
      </c>
      <c r="W1956" s="6"/>
    </row>
    <row r="1957" ht="14.25" customHeight="1">
      <c r="A1957" s="6" t="str">
        <f t="shared" si="1"/>
        <v>2021T-How17</v>
      </c>
      <c r="B1957" s="59">
        <v>2021.0</v>
      </c>
      <c r="C1957" s="13" t="s">
        <v>82</v>
      </c>
      <c r="D1957" s="13" t="s">
        <v>154</v>
      </c>
      <c r="E1957" s="34"/>
      <c r="F1957" s="6"/>
      <c r="H1957" s="6"/>
      <c r="I1957" s="35" t="str">
        <f>IFERROR(IFERROR(IFERROR(VLOOKUP(B1957&amp;C1957&amp;Q1957,'New Weekly Paste'!A:M,10,0),VLOOKUP(B1957&amp;C1957&amp;Q1957,'New Weekly Paste'!B:O,6,0)),""),"")</f>
        <v>Rooney/Jackson</v>
      </c>
      <c r="J1957" s="259">
        <f>IFERROR(IFERROR(VLOOKUP(B1957&amp;C1957&amp;Q1957,'New Weekly Paste'!A:M,8,0),VLOOKUP(B1957&amp;C1957&amp;Q1957,'New Weekly Paste'!B:O,10,0)),0)</f>
        <v>121.96</v>
      </c>
      <c r="K1957" s="259">
        <f>IFERROR(IFERROR(VLOOKUP(B1957&amp;I1957&amp;Q1957,'New Weekly Paste'!A:M,8,0),VLOOKUP(B1957&amp;I1957&amp;Q1957,'New Weekly Paste'!B:O,10,0)),0)</f>
        <v>97.56</v>
      </c>
      <c r="L1957" s="239">
        <f t="shared" si="25"/>
        <v>1</v>
      </c>
      <c r="M1957" s="36" t="str">
        <f t="shared" si="3"/>
        <v>Playoffs</v>
      </c>
      <c r="N1957" s="239" t="str">
        <f t="shared" si="26"/>
        <v>Rooney/Jackson</v>
      </c>
      <c r="O1957" s="6">
        <f>VLOOKUP(D1957,'Mapped Opponent'!$G$4:$H$22,2,0)</f>
        <v>17</v>
      </c>
      <c r="P1957" s="6"/>
      <c r="Q1957" s="6" t="str">
        <f t="shared" si="4"/>
        <v>Week 17</v>
      </c>
      <c r="R1957" s="6" t="str">
        <f t="shared" si="5"/>
        <v>2021Round 3</v>
      </c>
      <c r="S1957" s="6">
        <f>IFERROR(__xludf.DUMMYFUNCTION("rank(J1957,FILTER(J:J,R:R=R1957))"),2.0)</f>
        <v>2</v>
      </c>
      <c r="T1957" s="6">
        <f t="shared" si="6"/>
        <v>10</v>
      </c>
      <c r="U1957" s="6">
        <f t="shared" si="7"/>
        <v>2</v>
      </c>
      <c r="V1957" s="42">
        <f>averageif(AllData!A:A,B1957,AllData!R:R)/vlookup(B1957,AllData!A:O,15,0)</f>
        <v>94.5352381</v>
      </c>
      <c r="W1957" s="6"/>
    </row>
    <row r="1958" ht="14.25" customHeight="1">
      <c r="A1958" s="6" t="str">
        <f t="shared" si="1"/>
        <v>2021Hudspeath1</v>
      </c>
      <c r="B1958" s="59">
        <v>2021.0</v>
      </c>
      <c r="C1958" s="13" t="s">
        <v>39</v>
      </c>
      <c r="D1958" s="13" t="s">
        <v>129</v>
      </c>
      <c r="E1958" s="34"/>
      <c r="F1958" s="6"/>
      <c r="H1958" s="6"/>
      <c r="I1958" s="35" t="str">
        <f>IFERROR(IFERROR(IFERROR(VLOOKUP(B1958&amp;C1958&amp;Q1958,'New Weekly Paste'!A:M,10,0),VLOOKUP(B1958&amp;C1958&amp;Q1958,'New Weekly Paste'!B:O,6,0)),""),"")</f>
        <v>T-How</v>
      </c>
      <c r="J1958" s="259">
        <f>IFERROR(IFERROR(VLOOKUP(B1958&amp;C1958&amp;Q1958,'New Weekly Paste'!A:M,8,0),VLOOKUP(B1958&amp;C1958&amp;Q1958,'New Weekly Paste'!B:O,10,0)),0)</f>
        <v>78.82</v>
      </c>
      <c r="K1958" s="259">
        <f>IFERROR(IFERROR(VLOOKUP(B1958&amp;I1958&amp;Q1958,'New Weekly Paste'!A:M,8,0),VLOOKUP(B1958&amp;I1958&amp;Q1958,'New Weekly Paste'!B:O,10,0)),0)</f>
        <v>123.28</v>
      </c>
      <c r="L1958" s="239">
        <f t="shared" si="25"/>
        <v>0</v>
      </c>
      <c r="M1958" s="36" t="str">
        <f t="shared" si="3"/>
        <v>Regular Season</v>
      </c>
      <c r="N1958" s="239" t="str">
        <f t="shared" si="26"/>
        <v>T-How</v>
      </c>
      <c r="O1958" s="6">
        <f>VLOOKUP(D1958,'Mapped Opponent'!$G$4:$H$22,2,0)</f>
        <v>1</v>
      </c>
      <c r="P1958" s="6"/>
      <c r="Q1958" s="6" t="str">
        <f t="shared" si="4"/>
        <v>Week 1</v>
      </c>
      <c r="R1958" s="6" t="str">
        <f t="shared" si="5"/>
        <v>2021Week 1</v>
      </c>
      <c r="S1958" s="6">
        <f>IFERROR(__xludf.DUMMYFUNCTION("rank(J1958,FILTER(J:J,R:R=R1958))"),11.0)</f>
        <v>11</v>
      </c>
      <c r="T1958" s="6">
        <f t="shared" si="6"/>
        <v>1</v>
      </c>
      <c r="U1958" s="6">
        <f t="shared" si="7"/>
        <v>11</v>
      </c>
      <c r="V1958" s="42">
        <f>averageif(AllData!A:A,B1958,AllData!R:R)/vlookup(B1958,AllData!A:O,15,0)</f>
        <v>94.5352381</v>
      </c>
      <c r="W1958" s="6"/>
    </row>
    <row r="1959" ht="14.25" customHeight="1">
      <c r="A1959" s="6" t="str">
        <f t="shared" si="1"/>
        <v>2021Salty1</v>
      </c>
      <c r="B1959" s="59">
        <v>2021.0</v>
      </c>
      <c r="C1959" s="13" t="s">
        <v>76</v>
      </c>
      <c r="D1959" s="13" t="s">
        <v>129</v>
      </c>
      <c r="E1959" s="34"/>
      <c r="F1959" s="6"/>
      <c r="H1959" s="6"/>
      <c r="I1959" s="35" t="str">
        <f>IFERROR(IFERROR(IFERROR(VLOOKUP(B1959&amp;C1959&amp;Q1959,'New Weekly Paste'!A:M,10,0),VLOOKUP(B1959&amp;C1959&amp;Q1959,'New Weekly Paste'!B:O,6,0)),""),"")</f>
        <v>Rooney/Jackson</v>
      </c>
      <c r="J1959" s="259">
        <f>IFERROR(IFERROR(VLOOKUP(B1959&amp;C1959&amp;Q1959,'New Weekly Paste'!A:M,8,0),VLOOKUP(B1959&amp;C1959&amp;Q1959,'New Weekly Paste'!B:O,10,0)),0)</f>
        <v>93.9</v>
      </c>
      <c r="K1959" s="259">
        <f>IFERROR(IFERROR(VLOOKUP(B1959&amp;I1959&amp;Q1959,'New Weekly Paste'!A:M,8,0),VLOOKUP(B1959&amp;I1959&amp;Q1959,'New Weekly Paste'!B:O,10,0)),0)</f>
        <v>93.56</v>
      </c>
      <c r="L1959" s="239">
        <f t="shared" si="25"/>
        <v>1</v>
      </c>
      <c r="M1959" s="36" t="str">
        <f t="shared" si="3"/>
        <v>Regular Season</v>
      </c>
      <c r="N1959" s="239" t="str">
        <f t="shared" si="26"/>
        <v>Rooney/Jackson</v>
      </c>
      <c r="O1959" s="6">
        <f>VLOOKUP(D1959,'Mapped Opponent'!$G$4:$H$22,2,0)</f>
        <v>1</v>
      </c>
      <c r="P1959" s="6"/>
      <c r="Q1959" s="6" t="str">
        <f t="shared" si="4"/>
        <v>Week 1</v>
      </c>
      <c r="R1959" s="6" t="str">
        <f t="shared" si="5"/>
        <v>2021Week 1</v>
      </c>
      <c r="S1959" s="6">
        <f>IFERROR(__xludf.DUMMYFUNCTION("rank(J1959,FILTER(J:J,R:R=R1959))"),7.0)</f>
        <v>7</v>
      </c>
      <c r="T1959" s="6">
        <f t="shared" si="6"/>
        <v>5</v>
      </c>
      <c r="U1959" s="6">
        <f t="shared" si="7"/>
        <v>7</v>
      </c>
      <c r="V1959" s="42">
        <f>averageif(AllData!A:A,B1959,AllData!R:R)/vlookup(B1959,AllData!A:O,15,0)</f>
        <v>94.5352381</v>
      </c>
      <c r="W1959" s="6"/>
    </row>
    <row r="1960" ht="14.25" customHeight="1">
      <c r="A1960" s="6" t="str">
        <f t="shared" si="1"/>
        <v>2021Fellows1</v>
      </c>
      <c r="B1960" s="59">
        <v>2021.0</v>
      </c>
      <c r="C1960" s="13" t="s">
        <v>79</v>
      </c>
      <c r="D1960" s="13" t="s">
        <v>129</v>
      </c>
      <c r="E1960" s="34"/>
      <c r="F1960" s="6"/>
      <c r="H1960" s="6"/>
      <c r="I1960" s="35" t="str">
        <f>IFERROR(IFERROR(IFERROR(VLOOKUP(B1960&amp;C1960&amp;Q1960,'New Weekly Paste'!A:M,10,0),VLOOKUP(B1960&amp;C1960&amp;Q1960,'New Weekly Paste'!B:O,6,0)),""),"")</f>
        <v>KnardDawg</v>
      </c>
      <c r="J1960" s="259">
        <f>IFERROR(IFERROR(VLOOKUP(B1960&amp;C1960&amp;Q1960,'New Weekly Paste'!A:M,8,0),VLOOKUP(B1960&amp;C1960&amp;Q1960,'New Weekly Paste'!B:O,10,0)),0)</f>
        <v>79.58</v>
      </c>
      <c r="K1960" s="259">
        <f>IFERROR(IFERROR(VLOOKUP(B1960&amp;I1960&amp;Q1960,'New Weekly Paste'!A:M,8,0),VLOOKUP(B1960&amp;I1960&amp;Q1960,'New Weekly Paste'!B:O,10,0)),0)</f>
        <v>93.66</v>
      </c>
      <c r="L1960" s="239">
        <f t="shared" si="25"/>
        <v>0</v>
      </c>
      <c r="M1960" s="36" t="str">
        <f t="shared" si="3"/>
        <v>Regular Season</v>
      </c>
      <c r="N1960" s="239" t="str">
        <f t="shared" si="26"/>
        <v>KnardDawg</v>
      </c>
      <c r="O1960" s="6">
        <f>VLOOKUP(D1960,'Mapped Opponent'!$G$4:$H$22,2,0)</f>
        <v>1</v>
      </c>
      <c r="P1960" s="6"/>
      <c r="Q1960" s="6" t="str">
        <f t="shared" si="4"/>
        <v>Week 1</v>
      </c>
      <c r="R1960" s="6" t="str">
        <f t="shared" si="5"/>
        <v>2021Week 1</v>
      </c>
      <c r="S1960" s="6">
        <f>IFERROR(__xludf.DUMMYFUNCTION("rank(J1960,FILTER(J:J,R:R=R1960))"),10.0)</f>
        <v>10</v>
      </c>
      <c r="T1960" s="6">
        <f t="shared" si="6"/>
        <v>2</v>
      </c>
      <c r="U1960" s="6">
        <f t="shared" si="7"/>
        <v>10</v>
      </c>
      <c r="V1960" s="42">
        <f>averageif(AllData!A:A,B1960,AllData!R:R)/vlookup(B1960,AllData!A:O,15,0)</f>
        <v>94.5352381</v>
      </c>
      <c r="W1960" s="6"/>
    </row>
    <row r="1961" ht="14.25" customHeight="1">
      <c r="A1961" s="6" t="str">
        <f t="shared" si="1"/>
        <v>2021Shep1</v>
      </c>
      <c r="B1961" s="59">
        <v>2021.0</v>
      </c>
      <c r="C1961" s="13" t="s">
        <v>89</v>
      </c>
      <c r="D1961" s="13" t="s">
        <v>129</v>
      </c>
      <c r="E1961" s="34"/>
      <c r="F1961" s="6"/>
      <c r="H1961" s="6"/>
      <c r="I1961" s="35" t="str">
        <f>IFERROR(IFERROR(IFERROR(VLOOKUP(B1961&amp;C1961&amp;Q1961,'New Weekly Paste'!A:M,10,0),VLOOKUP(B1961&amp;C1961&amp;Q1961,'New Weekly Paste'!B:O,6,0)),""),"")</f>
        <v>Cock</v>
      </c>
      <c r="J1961" s="259">
        <f>IFERROR(IFERROR(VLOOKUP(B1961&amp;C1961&amp;Q1961,'New Weekly Paste'!A:M,8,0),VLOOKUP(B1961&amp;C1961&amp;Q1961,'New Weekly Paste'!B:O,10,0)),0)</f>
        <v>108.54</v>
      </c>
      <c r="K1961" s="259">
        <f>IFERROR(IFERROR(VLOOKUP(B1961&amp;I1961&amp;Q1961,'New Weekly Paste'!A:M,8,0),VLOOKUP(B1961&amp;I1961&amp;Q1961,'New Weekly Paste'!B:O,10,0)),0)</f>
        <v>116.96</v>
      </c>
      <c r="L1961" s="239">
        <f t="shared" si="25"/>
        <v>0</v>
      </c>
      <c r="M1961" s="36" t="str">
        <f t="shared" si="3"/>
        <v>Regular Season</v>
      </c>
      <c r="N1961" s="239" t="str">
        <f t="shared" si="26"/>
        <v>Cock</v>
      </c>
      <c r="O1961" s="6">
        <f>VLOOKUP(D1961,'Mapped Opponent'!$G$4:$H$22,2,0)</f>
        <v>1</v>
      </c>
      <c r="P1961" s="6"/>
      <c r="Q1961" s="6" t="str">
        <f t="shared" si="4"/>
        <v>Week 1</v>
      </c>
      <c r="R1961" s="6" t="str">
        <f t="shared" si="5"/>
        <v>2021Week 1</v>
      </c>
      <c r="S1961" s="6">
        <f>IFERROR(__xludf.DUMMYFUNCTION("rank(J1961,FILTER(J:J,R:R=R1961))"),4.0)</f>
        <v>4</v>
      </c>
      <c r="T1961" s="6">
        <f t="shared" si="6"/>
        <v>8</v>
      </c>
      <c r="U1961" s="6">
        <f t="shared" si="7"/>
        <v>4</v>
      </c>
      <c r="V1961" s="42">
        <f>averageif(AllData!A:A,B1961,AllData!R:R)/vlookup(B1961,AllData!A:O,15,0)</f>
        <v>94.5352381</v>
      </c>
      <c r="W1961" s="6"/>
    </row>
    <row r="1962" ht="14.25" customHeight="1">
      <c r="A1962" s="6" t="str">
        <f t="shared" si="1"/>
        <v>2021Riley1</v>
      </c>
      <c r="B1962" s="59">
        <v>2021.0</v>
      </c>
      <c r="C1962" s="13" t="s">
        <v>67</v>
      </c>
      <c r="D1962" s="13" t="s">
        <v>129</v>
      </c>
      <c r="E1962" s="34"/>
      <c r="F1962" s="6"/>
      <c r="H1962" s="6"/>
      <c r="I1962" s="35" t="str">
        <f>IFERROR(IFERROR(IFERROR(VLOOKUP(B1962&amp;C1962&amp;Q1962,'New Weekly Paste'!A:M,10,0),VLOOKUP(B1962&amp;C1962&amp;Q1962,'New Weekly Paste'!B:O,6,0)),""),"")</f>
        <v>Tayski</v>
      </c>
      <c r="J1962" s="259">
        <f>IFERROR(IFERROR(VLOOKUP(B1962&amp;C1962&amp;Q1962,'New Weekly Paste'!A:M,8,0),VLOOKUP(B1962&amp;C1962&amp;Q1962,'New Weekly Paste'!B:O,10,0)),0)</f>
        <v>116.92</v>
      </c>
      <c r="K1962" s="259">
        <f>IFERROR(IFERROR(VLOOKUP(B1962&amp;I1962&amp;Q1962,'New Weekly Paste'!A:M,8,0),VLOOKUP(B1962&amp;I1962&amp;Q1962,'New Weekly Paste'!B:O,10,0)),0)</f>
        <v>78.3</v>
      </c>
      <c r="L1962" s="239">
        <f t="shared" si="25"/>
        <v>1</v>
      </c>
      <c r="M1962" s="36" t="str">
        <f t="shared" si="3"/>
        <v>Regular Season</v>
      </c>
      <c r="N1962" s="239" t="str">
        <f t="shared" si="26"/>
        <v>Tayski</v>
      </c>
      <c r="O1962" s="6">
        <f>VLOOKUP(D1962,'Mapped Opponent'!$G$4:$H$22,2,0)</f>
        <v>1</v>
      </c>
      <c r="P1962" s="6"/>
      <c r="Q1962" s="6" t="str">
        <f t="shared" si="4"/>
        <v>Week 1</v>
      </c>
      <c r="R1962" s="6" t="str">
        <f t="shared" si="5"/>
        <v>2021Week 1</v>
      </c>
      <c r="S1962" s="6">
        <f>IFERROR(__xludf.DUMMYFUNCTION("rank(J1962,FILTER(J:J,R:R=R1962))"),3.0)</f>
        <v>3</v>
      </c>
      <c r="T1962" s="6">
        <f t="shared" si="6"/>
        <v>9</v>
      </c>
      <c r="U1962" s="6">
        <f t="shared" si="7"/>
        <v>3</v>
      </c>
      <c r="V1962" s="42">
        <f>averageif(AllData!A:A,B1962,AllData!R:R)/vlookup(B1962,AllData!A:O,15,0)</f>
        <v>94.5352381</v>
      </c>
      <c r="W1962" s="6"/>
    </row>
    <row r="1963" ht="14.25" customHeight="1">
      <c r="A1963" s="6" t="str">
        <f t="shared" si="1"/>
        <v>2021Rooney/Jackson1</v>
      </c>
      <c r="B1963" s="59">
        <v>2021.0</v>
      </c>
      <c r="C1963" s="13" t="s">
        <v>57</v>
      </c>
      <c r="D1963" s="13" t="s">
        <v>129</v>
      </c>
      <c r="E1963" s="34"/>
      <c r="F1963" s="6"/>
      <c r="H1963" s="6"/>
      <c r="I1963" s="35" t="str">
        <f>IFERROR(IFERROR(IFERROR(VLOOKUP(B1963&amp;C1963&amp;Q1963,'New Weekly Paste'!A:M,10,0),VLOOKUP(B1963&amp;C1963&amp;Q1963,'New Weekly Paste'!B:O,6,0)),""),"")</f>
        <v>Salty</v>
      </c>
      <c r="J1963" s="259">
        <f>IFERROR(IFERROR(VLOOKUP(B1963&amp;C1963&amp;Q1963,'New Weekly Paste'!A:M,8,0),VLOOKUP(B1963&amp;C1963&amp;Q1963,'New Weekly Paste'!B:O,10,0)),0)</f>
        <v>93.56</v>
      </c>
      <c r="K1963" s="259">
        <f>IFERROR(IFERROR(VLOOKUP(B1963&amp;I1963&amp;Q1963,'New Weekly Paste'!A:M,8,0),VLOOKUP(B1963&amp;I1963&amp;Q1963,'New Weekly Paste'!B:O,10,0)),0)</f>
        <v>93.9</v>
      </c>
      <c r="L1963" s="239">
        <f t="shared" si="25"/>
        <v>0</v>
      </c>
      <c r="M1963" s="36" t="str">
        <f t="shared" si="3"/>
        <v>Regular Season</v>
      </c>
      <c r="N1963" s="239" t="str">
        <f t="shared" si="26"/>
        <v>Salty</v>
      </c>
      <c r="O1963" s="6">
        <f>VLOOKUP(D1963,'Mapped Opponent'!$G$4:$H$22,2,0)</f>
        <v>1</v>
      </c>
      <c r="P1963" s="6"/>
      <c r="Q1963" s="6" t="str">
        <f t="shared" si="4"/>
        <v>Week 1</v>
      </c>
      <c r="R1963" s="6" t="str">
        <f t="shared" si="5"/>
        <v>2021Week 1</v>
      </c>
      <c r="S1963" s="6">
        <f>IFERROR(__xludf.DUMMYFUNCTION("rank(J1963,FILTER(J:J,R:R=R1963))"),9.0)</f>
        <v>9</v>
      </c>
      <c r="T1963" s="6">
        <f t="shared" si="6"/>
        <v>3</v>
      </c>
      <c r="U1963" s="6">
        <f t="shared" si="7"/>
        <v>9</v>
      </c>
      <c r="V1963" s="42">
        <f>averageif(AllData!A:A,B1963,AllData!R:R)/vlookup(B1963,AllData!A:O,15,0)</f>
        <v>94.5352381</v>
      </c>
      <c r="W1963" s="6"/>
    </row>
    <row r="1964" ht="14.25" customHeight="1">
      <c r="A1964" s="6" t="str">
        <f t="shared" si="1"/>
        <v>2021Buser1</v>
      </c>
      <c r="B1964" s="59">
        <v>2021.0</v>
      </c>
      <c r="C1964" s="13" t="s">
        <v>47</v>
      </c>
      <c r="D1964" s="13" t="s">
        <v>129</v>
      </c>
      <c r="E1964" s="34"/>
      <c r="F1964" s="6"/>
      <c r="H1964" s="6"/>
      <c r="I1964" s="35" t="str">
        <f>IFERROR(IFERROR(IFERROR(VLOOKUP(B1964&amp;C1964&amp;Q1964,'New Weekly Paste'!A:M,10,0),VLOOKUP(B1964&amp;C1964&amp;Q1964,'New Weekly Paste'!B:O,6,0)),""),"")</f>
        <v>Pierson</v>
      </c>
      <c r="J1964" s="259">
        <f>IFERROR(IFERROR(VLOOKUP(B1964&amp;C1964&amp;Q1964,'New Weekly Paste'!A:M,8,0),VLOOKUP(B1964&amp;C1964&amp;Q1964,'New Weekly Paste'!B:O,10,0)),0)</f>
        <v>94.88</v>
      </c>
      <c r="K1964" s="259">
        <f>IFERROR(IFERROR(VLOOKUP(B1964&amp;I1964&amp;Q1964,'New Weekly Paste'!A:M,8,0),VLOOKUP(B1964&amp;I1964&amp;Q1964,'New Weekly Paste'!B:O,10,0)),0)</f>
        <v>104.4</v>
      </c>
      <c r="L1964" s="239">
        <f t="shared" si="25"/>
        <v>0</v>
      </c>
      <c r="M1964" s="36" t="str">
        <f t="shared" si="3"/>
        <v>Regular Season</v>
      </c>
      <c r="N1964" s="239" t="str">
        <f t="shared" si="26"/>
        <v>Pierson</v>
      </c>
      <c r="O1964" s="6">
        <f>VLOOKUP(D1964,'Mapped Opponent'!$G$4:$H$22,2,0)</f>
        <v>1</v>
      </c>
      <c r="P1964" s="6"/>
      <c r="Q1964" s="6" t="str">
        <f t="shared" si="4"/>
        <v>Week 1</v>
      </c>
      <c r="R1964" s="6" t="str">
        <f t="shared" si="5"/>
        <v>2021Week 1</v>
      </c>
      <c r="S1964" s="6">
        <f>IFERROR(__xludf.DUMMYFUNCTION("rank(J1964,FILTER(J:J,R:R=R1964))"),6.0)</f>
        <v>6</v>
      </c>
      <c r="T1964" s="6">
        <f t="shared" si="6"/>
        <v>6</v>
      </c>
      <c r="U1964" s="6">
        <f t="shared" si="7"/>
        <v>6</v>
      </c>
      <c r="V1964" s="42">
        <f>averageif(AllData!A:A,B1964,AllData!R:R)/vlookup(B1964,AllData!A:O,15,0)</f>
        <v>94.5352381</v>
      </c>
      <c r="W1964" s="6"/>
    </row>
    <row r="1965" ht="14.25" customHeight="1">
      <c r="A1965" s="6" t="str">
        <f t="shared" si="1"/>
        <v>2021Pierson1</v>
      </c>
      <c r="B1965" s="59">
        <v>2021.0</v>
      </c>
      <c r="C1965" s="13" t="s">
        <v>92</v>
      </c>
      <c r="D1965" s="13" t="s">
        <v>129</v>
      </c>
      <c r="E1965" s="34"/>
      <c r="F1965" s="6"/>
      <c r="H1965" s="6"/>
      <c r="I1965" s="35" t="str">
        <f>IFERROR(IFERROR(IFERROR(VLOOKUP(B1965&amp;C1965&amp;Q1965,'New Weekly Paste'!A:M,10,0),VLOOKUP(B1965&amp;C1965&amp;Q1965,'New Weekly Paste'!B:O,6,0)),""),"")</f>
        <v>Buser</v>
      </c>
      <c r="J1965" s="259">
        <f>IFERROR(IFERROR(VLOOKUP(B1965&amp;C1965&amp;Q1965,'New Weekly Paste'!A:M,8,0),VLOOKUP(B1965&amp;C1965&amp;Q1965,'New Weekly Paste'!B:O,10,0)),0)</f>
        <v>104.4</v>
      </c>
      <c r="K1965" s="259">
        <f>IFERROR(IFERROR(VLOOKUP(B1965&amp;I1965&amp;Q1965,'New Weekly Paste'!A:M,8,0),VLOOKUP(B1965&amp;I1965&amp;Q1965,'New Weekly Paste'!B:O,10,0)),0)</f>
        <v>94.88</v>
      </c>
      <c r="L1965" s="239">
        <f t="shared" si="25"/>
        <v>1</v>
      </c>
      <c r="M1965" s="36" t="str">
        <f t="shared" si="3"/>
        <v>Regular Season</v>
      </c>
      <c r="N1965" s="239" t="str">
        <f t="shared" si="26"/>
        <v>Buser</v>
      </c>
      <c r="O1965" s="6">
        <f>VLOOKUP(D1965,'Mapped Opponent'!$G$4:$H$22,2,0)</f>
        <v>1</v>
      </c>
      <c r="P1965" s="6"/>
      <c r="Q1965" s="6" t="str">
        <f t="shared" si="4"/>
        <v>Week 1</v>
      </c>
      <c r="R1965" s="6" t="str">
        <f t="shared" si="5"/>
        <v>2021Week 1</v>
      </c>
      <c r="S1965" s="6">
        <f>IFERROR(__xludf.DUMMYFUNCTION("rank(J1965,FILTER(J:J,R:R=R1965))"),5.0)</f>
        <v>5</v>
      </c>
      <c r="T1965" s="6">
        <f t="shared" si="6"/>
        <v>7</v>
      </c>
      <c r="U1965" s="6">
        <f t="shared" si="7"/>
        <v>5</v>
      </c>
      <c r="V1965" s="42">
        <f>averageif(AllData!A:A,B1965,AllData!R:R)/vlookup(B1965,AllData!A:O,15,0)</f>
        <v>94.5352381</v>
      </c>
      <c r="W1965" s="6"/>
    </row>
    <row r="1966" ht="14.25" customHeight="1">
      <c r="A1966" s="6" t="str">
        <f t="shared" si="1"/>
        <v>2021Cock1</v>
      </c>
      <c r="B1966" s="59">
        <v>2021.0</v>
      </c>
      <c r="C1966" s="13" t="s">
        <v>72</v>
      </c>
      <c r="D1966" s="13" t="s">
        <v>129</v>
      </c>
      <c r="E1966" s="34"/>
      <c r="F1966" s="6"/>
      <c r="H1966" s="6"/>
      <c r="I1966" s="35" t="str">
        <f>IFERROR(IFERROR(IFERROR(VLOOKUP(B1966&amp;C1966&amp;Q1966,'New Weekly Paste'!A:M,10,0),VLOOKUP(B1966&amp;C1966&amp;Q1966,'New Weekly Paste'!B:O,6,0)),""),"")</f>
        <v>Shep</v>
      </c>
      <c r="J1966" s="259">
        <f>IFERROR(IFERROR(VLOOKUP(B1966&amp;C1966&amp;Q1966,'New Weekly Paste'!A:M,8,0),VLOOKUP(B1966&amp;C1966&amp;Q1966,'New Weekly Paste'!B:O,10,0)),0)</f>
        <v>116.96</v>
      </c>
      <c r="K1966" s="259">
        <f>IFERROR(IFERROR(VLOOKUP(B1966&amp;I1966&amp;Q1966,'New Weekly Paste'!A:M,8,0),VLOOKUP(B1966&amp;I1966&amp;Q1966,'New Weekly Paste'!B:O,10,0)),0)</f>
        <v>108.54</v>
      </c>
      <c r="L1966" s="239">
        <f t="shared" si="25"/>
        <v>1</v>
      </c>
      <c r="M1966" s="36" t="str">
        <f t="shared" si="3"/>
        <v>Regular Season</v>
      </c>
      <c r="N1966" s="239" t="str">
        <f t="shared" si="26"/>
        <v>Shep</v>
      </c>
      <c r="O1966" s="6">
        <f>VLOOKUP(D1966,'Mapped Opponent'!$G$4:$H$22,2,0)</f>
        <v>1</v>
      </c>
      <c r="P1966" s="6"/>
      <c r="Q1966" s="6" t="str">
        <f t="shared" si="4"/>
        <v>Week 1</v>
      </c>
      <c r="R1966" s="6" t="str">
        <f t="shared" si="5"/>
        <v>2021Week 1</v>
      </c>
      <c r="S1966" s="6">
        <f>IFERROR(__xludf.DUMMYFUNCTION("rank(J1966,FILTER(J:J,R:R=R1966))"),2.0)</f>
        <v>2</v>
      </c>
      <c r="T1966" s="6">
        <f t="shared" si="6"/>
        <v>10</v>
      </c>
      <c r="U1966" s="6">
        <f t="shared" si="7"/>
        <v>2</v>
      </c>
      <c r="V1966" s="42">
        <f>averageif(AllData!A:A,B1966,AllData!R:R)/vlookup(B1966,AllData!A:O,15,0)</f>
        <v>94.5352381</v>
      </c>
      <c r="W1966" s="6"/>
    </row>
    <row r="1967" ht="14.25" customHeight="1">
      <c r="A1967" s="6" t="str">
        <f t="shared" si="1"/>
        <v>2021Tayski1</v>
      </c>
      <c r="B1967" s="59">
        <v>2021.0</v>
      </c>
      <c r="C1967" s="13" t="s">
        <v>52</v>
      </c>
      <c r="D1967" s="13" t="s">
        <v>129</v>
      </c>
      <c r="E1967" s="34"/>
      <c r="F1967" s="6"/>
      <c r="H1967" s="6"/>
      <c r="I1967" s="35" t="str">
        <f>IFERROR(IFERROR(IFERROR(VLOOKUP(B1967&amp;C1967&amp;Q1967,'New Weekly Paste'!A:M,10,0),VLOOKUP(B1967&amp;C1967&amp;Q1967,'New Weekly Paste'!B:O,6,0)),""),"")</f>
        <v>Riley</v>
      </c>
      <c r="J1967" s="259">
        <f>IFERROR(IFERROR(VLOOKUP(B1967&amp;C1967&amp;Q1967,'New Weekly Paste'!A:M,8,0),VLOOKUP(B1967&amp;C1967&amp;Q1967,'New Weekly Paste'!B:O,10,0)),0)</f>
        <v>78.3</v>
      </c>
      <c r="K1967" s="259">
        <f>IFERROR(IFERROR(VLOOKUP(B1967&amp;I1967&amp;Q1967,'New Weekly Paste'!A:M,8,0),VLOOKUP(B1967&amp;I1967&amp;Q1967,'New Weekly Paste'!B:O,10,0)),0)</f>
        <v>116.92</v>
      </c>
      <c r="L1967" s="239">
        <f t="shared" si="25"/>
        <v>0</v>
      </c>
      <c r="M1967" s="36" t="str">
        <f t="shared" si="3"/>
        <v>Regular Season</v>
      </c>
      <c r="N1967" s="239" t="str">
        <f t="shared" si="26"/>
        <v>Riley</v>
      </c>
      <c r="O1967" s="6">
        <f>VLOOKUP(D1967,'Mapped Opponent'!$G$4:$H$22,2,0)</f>
        <v>1</v>
      </c>
      <c r="P1967" s="6"/>
      <c r="Q1967" s="6" t="str">
        <f t="shared" si="4"/>
        <v>Week 1</v>
      </c>
      <c r="R1967" s="6" t="str">
        <f t="shared" si="5"/>
        <v>2021Week 1</v>
      </c>
      <c r="S1967" s="6">
        <f>IFERROR(__xludf.DUMMYFUNCTION("rank(J1967,FILTER(J:J,R:R=R1967))"),12.0)</f>
        <v>12</v>
      </c>
      <c r="T1967" s="6">
        <f t="shared" si="6"/>
        <v>0</v>
      </c>
      <c r="U1967" s="6">
        <f t="shared" si="7"/>
        <v>12</v>
      </c>
      <c r="V1967" s="42">
        <f>averageif(AllData!A:A,B1967,AllData!R:R)/vlookup(B1967,AllData!A:O,15,0)</f>
        <v>94.5352381</v>
      </c>
      <c r="W1967" s="6"/>
    </row>
    <row r="1968" ht="14.25" customHeight="1">
      <c r="A1968" s="6" t="str">
        <f t="shared" si="1"/>
        <v>2021KnardDawg1</v>
      </c>
      <c r="B1968" s="59">
        <v>2021.0</v>
      </c>
      <c r="C1968" s="13" t="s">
        <v>86</v>
      </c>
      <c r="D1968" s="13" t="s">
        <v>129</v>
      </c>
      <c r="E1968" s="34"/>
      <c r="F1968" s="6"/>
      <c r="H1968" s="6"/>
      <c r="I1968" s="35" t="str">
        <f>IFERROR(IFERROR(IFERROR(VLOOKUP(B1968&amp;C1968&amp;Q1968,'New Weekly Paste'!A:M,10,0),VLOOKUP(B1968&amp;C1968&amp;Q1968,'New Weekly Paste'!B:O,6,0)),""),"")</f>
        <v>Fellows</v>
      </c>
      <c r="J1968" s="259">
        <f>IFERROR(IFERROR(VLOOKUP(B1968&amp;C1968&amp;Q1968,'New Weekly Paste'!A:M,8,0),VLOOKUP(B1968&amp;C1968&amp;Q1968,'New Weekly Paste'!B:O,10,0)),0)</f>
        <v>93.66</v>
      </c>
      <c r="K1968" s="259">
        <f>IFERROR(IFERROR(VLOOKUP(B1968&amp;I1968&amp;Q1968,'New Weekly Paste'!A:M,8,0),VLOOKUP(B1968&amp;I1968&amp;Q1968,'New Weekly Paste'!B:O,10,0)),0)</f>
        <v>79.58</v>
      </c>
      <c r="L1968" s="239">
        <f t="shared" si="25"/>
        <v>1</v>
      </c>
      <c r="M1968" s="36" t="str">
        <f t="shared" si="3"/>
        <v>Regular Season</v>
      </c>
      <c r="N1968" s="239" t="str">
        <f t="shared" si="26"/>
        <v>Fellows</v>
      </c>
      <c r="O1968" s="6">
        <f>VLOOKUP(D1968,'Mapped Opponent'!$G$4:$H$22,2,0)</f>
        <v>1</v>
      </c>
      <c r="P1968" s="6"/>
      <c r="Q1968" s="6" t="str">
        <f t="shared" si="4"/>
        <v>Week 1</v>
      </c>
      <c r="R1968" s="6" t="str">
        <f t="shared" si="5"/>
        <v>2021Week 1</v>
      </c>
      <c r="S1968" s="6">
        <f>IFERROR(__xludf.DUMMYFUNCTION("rank(J1968,FILTER(J:J,R:R=R1968))"),8.0)</f>
        <v>8</v>
      </c>
      <c r="T1968" s="6">
        <f t="shared" si="6"/>
        <v>4</v>
      </c>
      <c r="U1968" s="6">
        <f t="shared" si="7"/>
        <v>8</v>
      </c>
      <c r="V1968" s="42">
        <f>averageif(AllData!A:A,B1968,AllData!R:R)/vlookup(B1968,AllData!A:O,15,0)</f>
        <v>94.5352381</v>
      </c>
      <c r="W1968" s="6"/>
    </row>
    <row r="1969" ht="14.25" customHeight="1">
      <c r="A1969" s="6" t="str">
        <f t="shared" si="1"/>
        <v>2021T-How1</v>
      </c>
      <c r="B1969" s="59">
        <v>2021.0</v>
      </c>
      <c r="C1969" s="13" t="s">
        <v>82</v>
      </c>
      <c r="D1969" s="13" t="s">
        <v>129</v>
      </c>
      <c r="E1969" s="34"/>
      <c r="F1969" s="6"/>
      <c r="H1969" s="6"/>
      <c r="I1969" s="35" t="str">
        <f>IFERROR(IFERROR(IFERROR(VLOOKUP(B1969&amp;C1969&amp;Q1969,'New Weekly Paste'!A:M,10,0),VLOOKUP(B1969&amp;C1969&amp;Q1969,'New Weekly Paste'!B:O,6,0)),""),"")</f>
        <v>Hudspeath</v>
      </c>
      <c r="J1969" s="259">
        <f>IFERROR(IFERROR(VLOOKUP(B1969&amp;C1969&amp;Q1969,'New Weekly Paste'!A:M,8,0),VLOOKUP(B1969&amp;C1969&amp;Q1969,'New Weekly Paste'!B:O,10,0)),0)</f>
        <v>123.28</v>
      </c>
      <c r="K1969" s="259">
        <f>IFERROR(IFERROR(VLOOKUP(B1969&amp;I1969&amp;Q1969,'New Weekly Paste'!A:M,8,0),VLOOKUP(B1969&amp;I1969&amp;Q1969,'New Weekly Paste'!B:O,10,0)),0)</f>
        <v>78.82</v>
      </c>
      <c r="L1969" s="239">
        <f t="shared" si="25"/>
        <v>1</v>
      </c>
      <c r="M1969" s="36" t="str">
        <f t="shared" si="3"/>
        <v>Regular Season</v>
      </c>
      <c r="N1969" s="239" t="str">
        <f t="shared" si="26"/>
        <v>Hudspeath</v>
      </c>
      <c r="O1969" s="6">
        <f>VLOOKUP(D1969,'Mapped Opponent'!$G$4:$H$22,2,0)</f>
        <v>1</v>
      </c>
      <c r="P1969" s="6"/>
      <c r="Q1969" s="6" t="str">
        <f t="shared" si="4"/>
        <v>Week 1</v>
      </c>
      <c r="R1969" s="6" t="str">
        <f t="shared" si="5"/>
        <v>2021Week 1</v>
      </c>
      <c r="S1969" s="6">
        <f>IFERROR(__xludf.DUMMYFUNCTION("rank(J1969,FILTER(J:J,R:R=R1969))"),1.0)</f>
        <v>1</v>
      </c>
      <c r="T1969" s="6">
        <f t="shared" si="6"/>
        <v>11</v>
      </c>
      <c r="U1969" s="6">
        <f t="shared" si="7"/>
        <v>1</v>
      </c>
      <c r="V1969" s="42">
        <f>averageif(AllData!A:A,B1969,AllData!R:R)/vlookup(B1969,AllData!A:O,15,0)</f>
        <v>94.5352381</v>
      </c>
      <c r="W1969" s="6"/>
    </row>
    <row r="1970" ht="14.25" customHeight="1">
      <c r="A1970" s="6" t="str">
        <f t="shared" si="1"/>
        <v>2021Hudspeath10</v>
      </c>
      <c r="B1970" s="59">
        <v>2021.0</v>
      </c>
      <c r="C1970" s="13" t="s">
        <v>39</v>
      </c>
      <c r="D1970" s="13" t="s">
        <v>149</v>
      </c>
      <c r="E1970" s="34"/>
      <c r="F1970" s="6"/>
      <c r="H1970" s="6"/>
      <c r="I1970" s="35" t="str">
        <f>IFERROR(IFERROR(IFERROR(VLOOKUP(B1970&amp;C1970&amp;Q1970,'New Weekly Paste'!A:M,10,0),VLOOKUP(B1970&amp;C1970&amp;Q1970,'New Weekly Paste'!B:O,6,0)),""),"")</f>
        <v>Buser</v>
      </c>
      <c r="J1970" s="259">
        <f>IFERROR(IFERROR(VLOOKUP(B1970&amp;C1970&amp;Q1970,'New Weekly Paste'!A:M,8,0),VLOOKUP(B1970&amp;C1970&amp;Q1970,'New Weekly Paste'!B:O,10,0)),0)</f>
        <v>76.68</v>
      </c>
      <c r="K1970" s="259">
        <f>IFERROR(IFERROR(VLOOKUP(B1970&amp;I1970&amp;Q1970,'New Weekly Paste'!A:M,8,0),VLOOKUP(B1970&amp;I1970&amp;Q1970,'New Weekly Paste'!B:O,10,0)),0)</f>
        <v>77.2</v>
      </c>
      <c r="L1970" s="239">
        <f t="shared" si="25"/>
        <v>0</v>
      </c>
      <c r="M1970" s="36" t="str">
        <f t="shared" si="3"/>
        <v>Regular Season</v>
      </c>
      <c r="N1970" s="239" t="str">
        <f t="shared" si="26"/>
        <v>Buser</v>
      </c>
      <c r="O1970" s="6">
        <f>VLOOKUP(D1970,'Mapped Opponent'!$G$4:$H$22,2,0)</f>
        <v>10</v>
      </c>
      <c r="P1970" s="6"/>
      <c r="Q1970" s="6" t="str">
        <f t="shared" si="4"/>
        <v>Week 10</v>
      </c>
      <c r="R1970" s="6" t="str">
        <f t="shared" si="5"/>
        <v>2021Week 10</v>
      </c>
      <c r="S1970" s="6">
        <f>IFERROR(__xludf.DUMMYFUNCTION("rank(J1970,FILTER(J:J,R:R=R1970))"),9.0)</f>
        <v>9</v>
      </c>
      <c r="T1970" s="6">
        <f t="shared" si="6"/>
        <v>3</v>
      </c>
      <c r="U1970" s="6">
        <f t="shared" si="7"/>
        <v>9</v>
      </c>
      <c r="V1970" s="42">
        <f>averageif(AllData!A:A,B1970,AllData!R:R)/vlookup(B1970,AllData!A:O,15,0)</f>
        <v>94.5352381</v>
      </c>
      <c r="W1970" s="6"/>
    </row>
    <row r="1971" ht="14.25" customHeight="1">
      <c r="A1971" s="6" t="str">
        <f t="shared" si="1"/>
        <v>2021Salty10</v>
      </c>
      <c r="B1971" s="59">
        <v>2021.0</v>
      </c>
      <c r="C1971" s="13" t="s">
        <v>76</v>
      </c>
      <c r="D1971" s="13" t="s">
        <v>149</v>
      </c>
      <c r="E1971" s="34"/>
      <c r="F1971" s="6"/>
      <c r="H1971" s="6"/>
      <c r="I1971" s="35" t="str">
        <f>IFERROR(IFERROR(IFERROR(VLOOKUP(B1971&amp;C1971&amp;Q1971,'New Weekly Paste'!A:M,10,0),VLOOKUP(B1971&amp;C1971&amp;Q1971,'New Weekly Paste'!B:O,6,0)),""),"")</f>
        <v>KnardDawg</v>
      </c>
      <c r="J1971" s="259">
        <f>IFERROR(IFERROR(VLOOKUP(B1971&amp;C1971&amp;Q1971,'New Weekly Paste'!A:M,8,0),VLOOKUP(B1971&amp;C1971&amp;Q1971,'New Weekly Paste'!B:O,10,0)),0)</f>
        <v>103.14</v>
      </c>
      <c r="K1971" s="259">
        <f>IFERROR(IFERROR(VLOOKUP(B1971&amp;I1971&amp;Q1971,'New Weekly Paste'!A:M,8,0),VLOOKUP(B1971&amp;I1971&amp;Q1971,'New Weekly Paste'!B:O,10,0)),0)</f>
        <v>89.44</v>
      </c>
      <c r="L1971" s="239">
        <f t="shared" si="25"/>
        <v>1</v>
      </c>
      <c r="M1971" s="36" t="str">
        <f t="shared" si="3"/>
        <v>Regular Season</v>
      </c>
      <c r="N1971" s="239" t="str">
        <f t="shared" si="26"/>
        <v>KnardDawg</v>
      </c>
      <c r="O1971" s="6">
        <f>VLOOKUP(D1971,'Mapped Opponent'!$G$4:$H$22,2,0)</f>
        <v>10</v>
      </c>
      <c r="P1971" s="6"/>
      <c r="Q1971" s="6" t="str">
        <f t="shared" si="4"/>
        <v>Week 10</v>
      </c>
      <c r="R1971" s="6" t="str">
        <f t="shared" si="5"/>
        <v>2021Week 10</v>
      </c>
      <c r="S1971" s="6">
        <f>IFERROR(__xludf.DUMMYFUNCTION("rank(J1971,FILTER(J:J,R:R=R1971))"),3.0)</f>
        <v>3</v>
      </c>
      <c r="T1971" s="6">
        <f t="shared" si="6"/>
        <v>9</v>
      </c>
      <c r="U1971" s="6">
        <f t="shared" si="7"/>
        <v>3</v>
      </c>
      <c r="V1971" s="42">
        <f>averageif(AllData!A:A,B1971,AllData!R:R)/vlookup(B1971,AllData!A:O,15,0)</f>
        <v>94.5352381</v>
      </c>
      <c r="W1971" s="6"/>
    </row>
    <row r="1972" ht="14.25" customHeight="1">
      <c r="A1972" s="6" t="str">
        <f t="shared" si="1"/>
        <v>2021Fellows10</v>
      </c>
      <c r="B1972" s="59">
        <v>2021.0</v>
      </c>
      <c r="C1972" s="13" t="s">
        <v>79</v>
      </c>
      <c r="D1972" s="13" t="s">
        <v>149</v>
      </c>
      <c r="E1972" s="34"/>
      <c r="F1972" s="6"/>
      <c r="H1972" s="6"/>
      <c r="I1972" s="35" t="str">
        <f>IFERROR(IFERROR(IFERROR(VLOOKUP(B1972&amp;C1972&amp;Q1972,'New Weekly Paste'!A:M,10,0),VLOOKUP(B1972&amp;C1972&amp;Q1972,'New Weekly Paste'!B:O,6,0)),""),"")</f>
        <v>T-How</v>
      </c>
      <c r="J1972" s="259">
        <f>IFERROR(IFERROR(VLOOKUP(B1972&amp;C1972&amp;Q1972,'New Weekly Paste'!A:M,8,0),VLOOKUP(B1972&amp;C1972&amp;Q1972,'New Weekly Paste'!B:O,10,0)),0)</f>
        <v>112.48</v>
      </c>
      <c r="K1972" s="259">
        <f>IFERROR(IFERROR(VLOOKUP(B1972&amp;I1972&amp;Q1972,'New Weekly Paste'!A:M,8,0),VLOOKUP(B1972&amp;I1972&amp;Q1972,'New Weekly Paste'!B:O,10,0)),0)</f>
        <v>103.44</v>
      </c>
      <c r="L1972" s="239">
        <f t="shared" si="25"/>
        <v>1</v>
      </c>
      <c r="M1972" s="36" t="str">
        <f t="shared" si="3"/>
        <v>Regular Season</v>
      </c>
      <c r="N1972" s="239" t="str">
        <f t="shared" si="26"/>
        <v>T-How</v>
      </c>
      <c r="O1972" s="6">
        <f>VLOOKUP(D1972,'Mapped Opponent'!$G$4:$H$22,2,0)</f>
        <v>10</v>
      </c>
      <c r="P1972" s="6"/>
      <c r="Q1972" s="6" t="str">
        <f t="shared" si="4"/>
        <v>Week 10</v>
      </c>
      <c r="R1972" s="6" t="str">
        <f t="shared" si="5"/>
        <v>2021Week 10</v>
      </c>
      <c r="S1972" s="6">
        <f>IFERROR(__xludf.DUMMYFUNCTION("rank(J1972,FILTER(J:J,R:R=R1972))"),1.0)</f>
        <v>1</v>
      </c>
      <c r="T1972" s="6">
        <f t="shared" si="6"/>
        <v>11</v>
      </c>
      <c r="U1972" s="6">
        <f t="shared" si="7"/>
        <v>1</v>
      </c>
      <c r="V1972" s="42">
        <f>averageif(AllData!A:A,B1972,AllData!R:R)/vlookup(B1972,AllData!A:O,15,0)</f>
        <v>94.5352381</v>
      </c>
      <c r="W1972" s="6"/>
    </row>
    <row r="1973" ht="14.25" customHeight="1">
      <c r="A1973" s="6" t="str">
        <f t="shared" si="1"/>
        <v>2021Shep10</v>
      </c>
      <c r="B1973" s="59">
        <v>2021.0</v>
      </c>
      <c r="C1973" s="13" t="s">
        <v>89</v>
      </c>
      <c r="D1973" s="13" t="s">
        <v>149</v>
      </c>
      <c r="E1973" s="34"/>
      <c r="F1973" s="6"/>
      <c r="H1973" s="6"/>
      <c r="I1973" s="35" t="str">
        <f>IFERROR(IFERROR(IFERROR(VLOOKUP(B1973&amp;C1973&amp;Q1973,'New Weekly Paste'!A:M,10,0),VLOOKUP(B1973&amp;C1973&amp;Q1973,'New Weekly Paste'!B:O,6,0)),""),"")</f>
        <v>Tayski</v>
      </c>
      <c r="J1973" s="259">
        <f>IFERROR(IFERROR(VLOOKUP(B1973&amp;C1973&amp;Q1973,'New Weekly Paste'!A:M,8,0),VLOOKUP(B1973&amp;C1973&amp;Q1973,'New Weekly Paste'!B:O,10,0)),0)</f>
        <v>100.52</v>
      </c>
      <c r="K1973" s="259">
        <f>IFERROR(IFERROR(VLOOKUP(B1973&amp;I1973&amp;Q1973,'New Weekly Paste'!A:M,8,0),VLOOKUP(B1973&amp;I1973&amp;Q1973,'New Weekly Paste'!B:O,10,0)),0)</f>
        <v>70.52</v>
      </c>
      <c r="L1973" s="239">
        <f t="shared" si="25"/>
        <v>1</v>
      </c>
      <c r="M1973" s="36" t="str">
        <f t="shared" si="3"/>
        <v>Regular Season</v>
      </c>
      <c r="N1973" s="239" t="str">
        <f t="shared" si="26"/>
        <v>Tayski</v>
      </c>
      <c r="O1973" s="6">
        <f>VLOOKUP(D1973,'Mapped Opponent'!$G$4:$H$22,2,0)</f>
        <v>10</v>
      </c>
      <c r="P1973" s="6"/>
      <c r="Q1973" s="6" t="str">
        <f t="shared" si="4"/>
        <v>Week 10</v>
      </c>
      <c r="R1973" s="6" t="str">
        <f t="shared" si="5"/>
        <v>2021Week 10</v>
      </c>
      <c r="S1973" s="6">
        <f>IFERROR(__xludf.DUMMYFUNCTION("rank(J1973,FILTER(J:J,R:R=R1973))"),5.0)</f>
        <v>5</v>
      </c>
      <c r="T1973" s="6">
        <f t="shared" si="6"/>
        <v>7</v>
      </c>
      <c r="U1973" s="6">
        <f t="shared" si="7"/>
        <v>5</v>
      </c>
      <c r="V1973" s="42">
        <f>averageif(AllData!A:A,B1973,AllData!R:R)/vlookup(B1973,AllData!A:O,15,0)</f>
        <v>94.5352381</v>
      </c>
      <c r="W1973" s="6"/>
    </row>
    <row r="1974" ht="14.25" customHeight="1">
      <c r="A1974" s="6" t="str">
        <f t="shared" si="1"/>
        <v>2021Riley10</v>
      </c>
      <c r="B1974" s="59">
        <v>2021.0</v>
      </c>
      <c r="C1974" s="13" t="s">
        <v>67</v>
      </c>
      <c r="D1974" s="13" t="s">
        <v>149</v>
      </c>
      <c r="E1974" s="34"/>
      <c r="F1974" s="6"/>
      <c r="H1974" s="6"/>
      <c r="I1974" s="35" t="str">
        <f>IFERROR(IFERROR(IFERROR(VLOOKUP(B1974&amp;C1974&amp;Q1974,'New Weekly Paste'!A:M,10,0),VLOOKUP(B1974&amp;C1974&amp;Q1974,'New Weekly Paste'!B:O,6,0)),""),"")</f>
        <v>Pierson</v>
      </c>
      <c r="J1974" s="259">
        <f>IFERROR(IFERROR(VLOOKUP(B1974&amp;C1974&amp;Q1974,'New Weekly Paste'!A:M,8,0),VLOOKUP(B1974&amp;C1974&amp;Q1974,'New Weekly Paste'!B:O,10,0)),0)</f>
        <v>99.84</v>
      </c>
      <c r="K1974" s="259">
        <f>IFERROR(IFERROR(VLOOKUP(B1974&amp;I1974&amp;Q1974,'New Weekly Paste'!A:M,8,0),VLOOKUP(B1974&amp;I1974&amp;Q1974,'New Weekly Paste'!B:O,10,0)),0)</f>
        <v>71.6</v>
      </c>
      <c r="L1974" s="239">
        <f t="shared" si="25"/>
        <v>1</v>
      </c>
      <c r="M1974" s="36" t="str">
        <f t="shared" si="3"/>
        <v>Regular Season</v>
      </c>
      <c r="N1974" s="239" t="str">
        <f t="shared" si="26"/>
        <v>Pierson</v>
      </c>
      <c r="O1974" s="6">
        <f>VLOOKUP(D1974,'Mapped Opponent'!$G$4:$H$22,2,0)</f>
        <v>10</v>
      </c>
      <c r="P1974" s="6"/>
      <c r="Q1974" s="6" t="str">
        <f t="shared" si="4"/>
        <v>Week 10</v>
      </c>
      <c r="R1974" s="6" t="str">
        <f t="shared" si="5"/>
        <v>2021Week 10</v>
      </c>
      <c r="S1974" s="6">
        <f>IFERROR(__xludf.DUMMYFUNCTION("rank(J1974,FILTER(J:J,R:R=R1974))"),6.0)</f>
        <v>6</v>
      </c>
      <c r="T1974" s="6">
        <f t="shared" si="6"/>
        <v>6</v>
      </c>
      <c r="U1974" s="6">
        <f t="shared" si="7"/>
        <v>6</v>
      </c>
      <c r="V1974" s="42">
        <f>averageif(AllData!A:A,B1974,AllData!R:R)/vlookup(B1974,AllData!A:O,15,0)</f>
        <v>94.5352381</v>
      </c>
      <c r="W1974" s="6"/>
    </row>
    <row r="1975" ht="14.25" customHeight="1">
      <c r="A1975" s="6" t="str">
        <f t="shared" si="1"/>
        <v>2021Rooney/Jackson10</v>
      </c>
      <c r="B1975" s="59">
        <v>2021.0</v>
      </c>
      <c r="C1975" s="13" t="s">
        <v>57</v>
      </c>
      <c r="D1975" s="13" t="s">
        <v>149</v>
      </c>
      <c r="E1975" s="34"/>
      <c r="F1975" s="6"/>
      <c r="H1975" s="6"/>
      <c r="I1975" s="35" t="str">
        <f>IFERROR(IFERROR(IFERROR(VLOOKUP(B1975&amp;C1975&amp;Q1975,'New Weekly Paste'!A:M,10,0),VLOOKUP(B1975&amp;C1975&amp;Q1975,'New Weekly Paste'!B:O,6,0)),""),"")</f>
        <v>Cock</v>
      </c>
      <c r="J1975" s="259">
        <f>IFERROR(IFERROR(VLOOKUP(B1975&amp;C1975&amp;Q1975,'New Weekly Paste'!A:M,8,0),VLOOKUP(B1975&amp;C1975&amp;Q1975,'New Weekly Paste'!B:O,10,0)),0)</f>
        <v>101.14</v>
      </c>
      <c r="K1975" s="259">
        <f>IFERROR(IFERROR(VLOOKUP(B1975&amp;I1975&amp;Q1975,'New Weekly Paste'!A:M,8,0),VLOOKUP(B1975&amp;I1975&amp;Q1975,'New Weekly Paste'!B:O,10,0)),0)</f>
        <v>69.52</v>
      </c>
      <c r="L1975" s="239">
        <f t="shared" si="25"/>
        <v>1</v>
      </c>
      <c r="M1975" s="36" t="str">
        <f t="shared" si="3"/>
        <v>Regular Season</v>
      </c>
      <c r="N1975" s="239" t="str">
        <f t="shared" si="26"/>
        <v>Cock</v>
      </c>
      <c r="O1975" s="6">
        <f>VLOOKUP(D1975,'Mapped Opponent'!$G$4:$H$22,2,0)</f>
        <v>10</v>
      </c>
      <c r="P1975" s="6"/>
      <c r="Q1975" s="6" t="str">
        <f t="shared" si="4"/>
        <v>Week 10</v>
      </c>
      <c r="R1975" s="6" t="str">
        <f t="shared" si="5"/>
        <v>2021Week 10</v>
      </c>
      <c r="S1975" s="6">
        <f>IFERROR(__xludf.DUMMYFUNCTION("rank(J1975,FILTER(J:J,R:R=R1975))"),4.0)</f>
        <v>4</v>
      </c>
      <c r="T1975" s="6">
        <f t="shared" si="6"/>
        <v>8</v>
      </c>
      <c r="U1975" s="6">
        <f t="shared" si="7"/>
        <v>4</v>
      </c>
      <c r="V1975" s="42">
        <f>averageif(AllData!A:A,B1975,AllData!R:R)/vlookup(B1975,AllData!A:O,15,0)</f>
        <v>94.5352381</v>
      </c>
      <c r="W1975" s="6"/>
    </row>
    <row r="1976" ht="14.25" customHeight="1">
      <c r="A1976" s="6" t="str">
        <f t="shared" si="1"/>
        <v>2021Buser10</v>
      </c>
      <c r="B1976" s="59">
        <v>2021.0</v>
      </c>
      <c r="C1976" s="13" t="s">
        <v>47</v>
      </c>
      <c r="D1976" s="13" t="s">
        <v>149</v>
      </c>
      <c r="E1976" s="34"/>
      <c r="F1976" s="6"/>
      <c r="H1976" s="6"/>
      <c r="I1976" s="35" t="str">
        <f>IFERROR(IFERROR(IFERROR(VLOOKUP(B1976&amp;C1976&amp;Q1976,'New Weekly Paste'!A:M,10,0),VLOOKUP(B1976&amp;C1976&amp;Q1976,'New Weekly Paste'!B:O,6,0)),""),"")</f>
        <v>Hudspeath</v>
      </c>
      <c r="J1976" s="259">
        <f>IFERROR(IFERROR(VLOOKUP(B1976&amp;C1976&amp;Q1976,'New Weekly Paste'!A:M,8,0),VLOOKUP(B1976&amp;C1976&amp;Q1976,'New Weekly Paste'!B:O,10,0)),0)</f>
        <v>77.2</v>
      </c>
      <c r="K1976" s="259">
        <f>IFERROR(IFERROR(VLOOKUP(B1976&amp;I1976&amp;Q1976,'New Weekly Paste'!A:M,8,0),VLOOKUP(B1976&amp;I1976&amp;Q1976,'New Weekly Paste'!B:O,10,0)),0)</f>
        <v>76.68</v>
      </c>
      <c r="L1976" s="239">
        <f t="shared" si="25"/>
        <v>1</v>
      </c>
      <c r="M1976" s="36" t="str">
        <f t="shared" si="3"/>
        <v>Regular Season</v>
      </c>
      <c r="N1976" s="239" t="str">
        <f t="shared" si="26"/>
        <v>Hudspeath</v>
      </c>
      <c r="O1976" s="6">
        <f>VLOOKUP(D1976,'Mapped Opponent'!$G$4:$H$22,2,0)</f>
        <v>10</v>
      </c>
      <c r="P1976" s="6"/>
      <c r="Q1976" s="6" t="str">
        <f t="shared" si="4"/>
        <v>Week 10</v>
      </c>
      <c r="R1976" s="6" t="str">
        <f t="shared" si="5"/>
        <v>2021Week 10</v>
      </c>
      <c r="S1976" s="6">
        <f>IFERROR(__xludf.DUMMYFUNCTION("rank(J1976,FILTER(J:J,R:R=R1976))"),8.0)</f>
        <v>8</v>
      </c>
      <c r="T1976" s="6">
        <f t="shared" si="6"/>
        <v>4</v>
      </c>
      <c r="U1976" s="6">
        <f t="shared" si="7"/>
        <v>8</v>
      </c>
      <c r="V1976" s="42">
        <f>averageif(AllData!A:A,B1976,AllData!R:R)/vlookup(B1976,AllData!A:O,15,0)</f>
        <v>94.5352381</v>
      </c>
      <c r="W1976" s="6"/>
    </row>
    <row r="1977" ht="14.25" customHeight="1">
      <c r="A1977" s="6" t="str">
        <f t="shared" si="1"/>
        <v>2021Pierson10</v>
      </c>
      <c r="B1977" s="59">
        <v>2021.0</v>
      </c>
      <c r="C1977" s="13" t="s">
        <v>92</v>
      </c>
      <c r="D1977" s="13" t="s">
        <v>149</v>
      </c>
      <c r="E1977" s="34"/>
      <c r="F1977" s="6"/>
      <c r="H1977" s="6"/>
      <c r="I1977" s="35" t="str">
        <f>IFERROR(IFERROR(IFERROR(VLOOKUP(B1977&amp;C1977&amp;Q1977,'New Weekly Paste'!A:M,10,0),VLOOKUP(B1977&amp;C1977&amp;Q1977,'New Weekly Paste'!B:O,6,0)),""),"")</f>
        <v>Riley</v>
      </c>
      <c r="J1977" s="259">
        <f>IFERROR(IFERROR(VLOOKUP(B1977&amp;C1977&amp;Q1977,'New Weekly Paste'!A:M,8,0),VLOOKUP(B1977&amp;C1977&amp;Q1977,'New Weekly Paste'!B:O,10,0)),0)</f>
        <v>71.6</v>
      </c>
      <c r="K1977" s="259">
        <f>IFERROR(IFERROR(VLOOKUP(B1977&amp;I1977&amp;Q1977,'New Weekly Paste'!A:M,8,0),VLOOKUP(B1977&amp;I1977&amp;Q1977,'New Weekly Paste'!B:O,10,0)),0)</f>
        <v>99.84</v>
      </c>
      <c r="L1977" s="239">
        <f t="shared" si="25"/>
        <v>0</v>
      </c>
      <c r="M1977" s="36" t="str">
        <f t="shared" si="3"/>
        <v>Regular Season</v>
      </c>
      <c r="N1977" s="239" t="str">
        <f t="shared" si="26"/>
        <v>Riley</v>
      </c>
      <c r="O1977" s="6">
        <f>VLOOKUP(D1977,'Mapped Opponent'!$G$4:$H$22,2,0)</f>
        <v>10</v>
      </c>
      <c r="P1977" s="6"/>
      <c r="Q1977" s="6" t="str">
        <f t="shared" si="4"/>
        <v>Week 10</v>
      </c>
      <c r="R1977" s="6" t="str">
        <f t="shared" si="5"/>
        <v>2021Week 10</v>
      </c>
      <c r="S1977" s="6">
        <f>IFERROR(__xludf.DUMMYFUNCTION("rank(J1977,FILTER(J:J,R:R=R1977))"),10.0)</f>
        <v>10</v>
      </c>
      <c r="T1977" s="6">
        <f t="shared" si="6"/>
        <v>2</v>
      </c>
      <c r="U1977" s="6">
        <f t="shared" si="7"/>
        <v>10</v>
      </c>
      <c r="V1977" s="42">
        <f>averageif(AllData!A:A,B1977,AllData!R:R)/vlookup(B1977,AllData!A:O,15,0)</f>
        <v>94.5352381</v>
      </c>
      <c r="W1977" s="6"/>
    </row>
    <row r="1978" ht="14.25" customHeight="1">
      <c r="A1978" s="6" t="str">
        <f t="shared" si="1"/>
        <v>2021Cock10</v>
      </c>
      <c r="B1978" s="59">
        <v>2021.0</v>
      </c>
      <c r="C1978" s="13" t="s">
        <v>72</v>
      </c>
      <c r="D1978" s="13" t="s">
        <v>149</v>
      </c>
      <c r="E1978" s="34"/>
      <c r="F1978" s="6"/>
      <c r="H1978" s="6"/>
      <c r="I1978" s="35" t="str">
        <f>IFERROR(IFERROR(IFERROR(VLOOKUP(B1978&amp;C1978&amp;Q1978,'New Weekly Paste'!A:M,10,0),VLOOKUP(B1978&amp;C1978&amp;Q1978,'New Weekly Paste'!B:O,6,0)),""),"")</f>
        <v>Rooney/Jackson</v>
      </c>
      <c r="J1978" s="259">
        <f>IFERROR(IFERROR(VLOOKUP(B1978&amp;C1978&amp;Q1978,'New Weekly Paste'!A:M,8,0),VLOOKUP(B1978&amp;C1978&amp;Q1978,'New Weekly Paste'!B:O,10,0)),0)</f>
        <v>69.52</v>
      </c>
      <c r="K1978" s="259">
        <f>IFERROR(IFERROR(VLOOKUP(B1978&amp;I1978&amp;Q1978,'New Weekly Paste'!A:M,8,0),VLOOKUP(B1978&amp;I1978&amp;Q1978,'New Weekly Paste'!B:O,10,0)),0)</f>
        <v>101.14</v>
      </c>
      <c r="L1978" s="239">
        <f t="shared" si="25"/>
        <v>0</v>
      </c>
      <c r="M1978" s="36" t="str">
        <f t="shared" si="3"/>
        <v>Regular Season</v>
      </c>
      <c r="N1978" s="239" t="str">
        <f t="shared" si="26"/>
        <v>Rooney/Jackson</v>
      </c>
      <c r="O1978" s="6">
        <f>VLOOKUP(D1978,'Mapped Opponent'!$G$4:$H$22,2,0)</f>
        <v>10</v>
      </c>
      <c r="P1978" s="6"/>
      <c r="Q1978" s="6" t="str">
        <f t="shared" si="4"/>
        <v>Week 10</v>
      </c>
      <c r="R1978" s="6" t="str">
        <f t="shared" si="5"/>
        <v>2021Week 10</v>
      </c>
      <c r="S1978" s="6">
        <f>IFERROR(__xludf.DUMMYFUNCTION("rank(J1978,FILTER(J:J,R:R=R1978))"),12.0)</f>
        <v>12</v>
      </c>
      <c r="T1978" s="6">
        <f t="shared" si="6"/>
        <v>0</v>
      </c>
      <c r="U1978" s="6">
        <f t="shared" si="7"/>
        <v>12</v>
      </c>
      <c r="V1978" s="42">
        <f>averageif(AllData!A:A,B1978,AllData!R:R)/vlookup(B1978,AllData!A:O,15,0)</f>
        <v>94.5352381</v>
      </c>
      <c r="W1978" s="6"/>
    </row>
    <row r="1979" ht="14.25" customHeight="1">
      <c r="A1979" s="6" t="str">
        <f t="shared" si="1"/>
        <v>2021Tayski10</v>
      </c>
      <c r="B1979" s="59">
        <v>2021.0</v>
      </c>
      <c r="C1979" s="13" t="s">
        <v>52</v>
      </c>
      <c r="D1979" s="13" t="s">
        <v>149</v>
      </c>
      <c r="E1979" s="34"/>
      <c r="F1979" s="6"/>
      <c r="H1979" s="6"/>
      <c r="I1979" s="35" t="str">
        <f>IFERROR(IFERROR(IFERROR(VLOOKUP(B1979&amp;C1979&amp;Q1979,'New Weekly Paste'!A:M,10,0),VLOOKUP(B1979&amp;C1979&amp;Q1979,'New Weekly Paste'!B:O,6,0)),""),"")</f>
        <v>Shep</v>
      </c>
      <c r="J1979" s="259">
        <f>IFERROR(IFERROR(VLOOKUP(B1979&amp;C1979&amp;Q1979,'New Weekly Paste'!A:M,8,0),VLOOKUP(B1979&amp;C1979&amp;Q1979,'New Weekly Paste'!B:O,10,0)),0)</f>
        <v>70.52</v>
      </c>
      <c r="K1979" s="259">
        <f>IFERROR(IFERROR(VLOOKUP(B1979&amp;I1979&amp;Q1979,'New Weekly Paste'!A:M,8,0),VLOOKUP(B1979&amp;I1979&amp;Q1979,'New Weekly Paste'!B:O,10,0)),0)</f>
        <v>100.52</v>
      </c>
      <c r="L1979" s="239">
        <f t="shared" si="25"/>
        <v>0</v>
      </c>
      <c r="M1979" s="36" t="str">
        <f t="shared" si="3"/>
        <v>Regular Season</v>
      </c>
      <c r="N1979" s="239" t="str">
        <f t="shared" si="26"/>
        <v>Shep</v>
      </c>
      <c r="O1979" s="6">
        <f>VLOOKUP(D1979,'Mapped Opponent'!$G$4:$H$22,2,0)</f>
        <v>10</v>
      </c>
      <c r="P1979" s="6"/>
      <c r="Q1979" s="6" t="str">
        <f t="shared" si="4"/>
        <v>Week 10</v>
      </c>
      <c r="R1979" s="6" t="str">
        <f t="shared" si="5"/>
        <v>2021Week 10</v>
      </c>
      <c r="S1979" s="6">
        <f>IFERROR(__xludf.DUMMYFUNCTION("rank(J1979,FILTER(J:J,R:R=R1979))"),11.0)</f>
        <v>11</v>
      </c>
      <c r="T1979" s="6">
        <f t="shared" si="6"/>
        <v>1</v>
      </c>
      <c r="U1979" s="6">
        <f t="shared" si="7"/>
        <v>11</v>
      </c>
      <c r="V1979" s="42">
        <f>averageif(AllData!A:A,B1979,AllData!R:R)/vlookup(B1979,AllData!A:O,15,0)</f>
        <v>94.5352381</v>
      </c>
      <c r="W1979" s="6"/>
    </row>
    <row r="1980" ht="14.25" customHeight="1">
      <c r="A1980" s="6" t="str">
        <f t="shared" si="1"/>
        <v>2021KnardDawg10</v>
      </c>
      <c r="B1980" s="59">
        <v>2021.0</v>
      </c>
      <c r="C1980" s="13" t="s">
        <v>86</v>
      </c>
      <c r="D1980" s="13" t="s">
        <v>149</v>
      </c>
      <c r="E1980" s="34"/>
      <c r="F1980" s="6"/>
      <c r="H1980" s="6"/>
      <c r="I1980" s="35" t="str">
        <f>IFERROR(IFERROR(IFERROR(VLOOKUP(B1980&amp;C1980&amp;Q1980,'New Weekly Paste'!A:M,10,0),VLOOKUP(B1980&amp;C1980&amp;Q1980,'New Weekly Paste'!B:O,6,0)),""),"")</f>
        <v>Salty</v>
      </c>
      <c r="J1980" s="259">
        <f>IFERROR(IFERROR(VLOOKUP(B1980&amp;C1980&amp;Q1980,'New Weekly Paste'!A:M,8,0),VLOOKUP(B1980&amp;C1980&amp;Q1980,'New Weekly Paste'!B:O,10,0)),0)</f>
        <v>89.44</v>
      </c>
      <c r="K1980" s="259">
        <f>IFERROR(IFERROR(VLOOKUP(B1980&amp;I1980&amp;Q1980,'New Weekly Paste'!A:M,8,0),VLOOKUP(B1980&amp;I1980&amp;Q1980,'New Weekly Paste'!B:O,10,0)),0)</f>
        <v>103.14</v>
      </c>
      <c r="L1980" s="239">
        <f t="shared" si="25"/>
        <v>0</v>
      </c>
      <c r="M1980" s="36" t="str">
        <f t="shared" si="3"/>
        <v>Regular Season</v>
      </c>
      <c r="N1980" s="239" t="str">
        <f t="shared" si="26"/>
        <v>Salty</v>
      </c>
      <c r="O1980" s="6">
        <f>VLOOKUP(D1980,'Mapped Opponent'!$G$4:$H$22,2,0)</f>
        <v>10</v>
      </c>
      <c r="P1980" s="6"/>
      <c r="Q1980" s="6" t="str">
        <f t="shared" si="4"/>
        <v>Week 10</v>
      </c>
      <c r="R1980" s="6" t="str">
        <f t="shared" si="5"/>
        <v>2021Week 10</v>
      </c>
      <c r="S1980" s="6">
        <f>IFERROR(__xludf.DUMMYFUNCTION("rank(J1980,FILTER(J:J,R:R=R1980))"),7.0)</f>
        <v>7</v>
      </c>
      <c r="T1980" s="6">
        <f t="shared" si="6"/>
        <v>5</v>
      </c>
      <c r="U1980" s="6">
        <f t="shared" si="7"/>
        <v>7</v>
      </c>
      <c r="V1980" s="42">
        <f>averageif(AllData!A:A,B1980,AllData!R:R)/vlookup(B1980,AllData!A:O,15,0)</f>
        <v>94.5352381</v>
      </c>
      <c r="W1980" s="6"/>
    </row>
    <row r="1981" ht="14.25" customHeight="1">
      <c r="A1981" s="6" t="str">
        <f t="shared" si="1"/>
        <v>2021T-How10</v>
      </c>
      <c r="B1981" s="59">
        <v>2021.0</v>
      </c>
      <c r="C1981" s="13" t="s">
        <v>82</v>
      </c>
      <c r="D1981" s="13" t="s">
        <v>149</v>
      </c>
      <c r="E1981" s="34"/>
      <c r="F1981" s="6"/>
      <c r="H1981" s="6"/>
      <c r="I1981" s="35" t="str">
        <f>IFERROR(IFERROR(IFERROR(VLOOKUP(B1981&amp;C1981&amp;Q1981,'New Weekly Paste'!A:M,10,0),VLOOKUP(B1981&amp;C1981&amp;Q1981,'New Weekly Paste'!B:O,6,0)),""),"")</f>
        <v>Fellows</v>
      </c>
      <c r="J1981" s="259">
        <f>IFERROR(IFERROR(VLOOKUP(B1981&amp;C1981&amp;Q1981,'New Weekly Paste'!A:M,8,0),VLOOKUP(B1981&amp;C1981&amp;Q1981,'New Weekly Paste'!B:O,10,0)),0)</f>
        <v>103.44</v>
      </c>
      <c r="K1981" s="259">
        <f>IFERROR(IFERROR(VLOOKUP(B1981&amp;I1981&amp;Q1981,'New Weekly Paste'!A:M,8,0),VLOOKUP(B1981&amp;I1981&amp;Q1981,'New Weekly Paste'!B:O,10,0)),0)</f>
        <v>112.48</v>
      </c>
      <c r="L1981" s="239">
        <f t="shared" si="25"/>
        <v>0</v>
      </c>
      <c r="M1981" s="36" t="str">
        <f t="shared" si="3"/>
        <v>Regular Season</v>
      </c>
      <c r="N1981" s="239" t="str">
        <f t="shared" si="26"/>
        <v>Fellows</v>
      </c>
      <c r="O1981" s="6">
        <f>VLOOKUP(D1981,'Mapped Opponent'!$G$4:$H$22,2,0)</f>
        <v>10</v>
      </c>
      <c r="P1981" s="6"/>
      <c r="Q1981" s="6" t="str">
        <f t="shared" si="4"/>
        <v>Week 10</v>
      </c>
      <c r="R1981" s="6" t="str">
        <f t="shared" si="5"/>
        <v>2021Week 10</v>
      </c>
      <c r="S1981" s="6">
        <f>IFERROR(__xludf.DUMMYFUNCTION("rank(J1981,FILTER(J:J,R:R=R1981))"),2.0)</f>
        <v>2</v>
      </c>
      <c r="T1981" s="6">
        <f t="shared" si="6"/>
        <v>10</v>
      </c>
      <c r="U1981" s="6">
        <f t="shared" si="7"/>
        <v>2</v>
      </c>
      <c r="V1981" s="42">
        <f>averageif(AllData!A:A,B1981,AllData!R:R)/vlookup(B1981,AllData!A:O,15,0)</f>
        <v>94.5352381</v>
      </c>
      <c r="W1981" s="6"/>
    </row>
    <row r="1982" ht="14.25" customHeight="1">
      <c r="A1982" s="6" t="str">
        <f t="shared" si="1"/>
        <v>2021Hudspeath11</v>
      </c>
      <c r="B1982" s="59">
        <v>2021.0</v>
      </c>
      <c r="C1982" s="13" t="s">
        <v>39</v>
      </c>
      <c r="D1982" s="13" t="s">
        <v>150</v>
      </c>
      <c r="E1982" s="34"/>
      <c r="F1982" s="6"/>
      <c r="H1982" s="6"/>
      <c r="I1982" s="35" t="str">
        <f>IFERROR(IFERROR(IFERROR(VLOOKUP(B1982&amp;C1982&amp;Q1982,'New Weekly Paste'!A:M,10,0),VLOOKUP(B1982&amp;C1982&amp;Q1982,'New Weekly Paste'!B:O,6,0)),""),"")</f>
        <v>Tayski</v>
      </c>
      <c r="J1982" s="259">
        <f>IFERROR(IFERROR(VLOOKUP(B1982&amp;C1982&amp;Q1982,'New Weekly Paste'!A:M,8,0),VLOOKUP(B1982&amp;C1982&amp;Q1982,'New Weekly Paste'!B:O,10,0)),0)</f>
        <v>97.1</v>
      </c>
      <c r="K1982" s="259">
        <f>IFERROR(IFERROR(VLOOKUP(B1982&amp;I1982&amp;Q1982,'New Weekly Paste'!A:M,8,0),VLOOKUP(B1982&amp;I1982&amp;Q1982,'New Weekly Paste'!B:O,10,0)),0)</f>
        <v>89.96</v>
      </c>
      <c r="L1982" s="239">
        <f t="shared" si="25"/>
        <v>1</v>
      </c>
      <c r="M1982" s="36" t="str">
        <f t="shared" si="3"/>
        <v>Regular Season</v>
      </c>
      <c r="N1982" s="239" t="str">
        <f t="shared" si="26"/>
        <v>Tayski</v>
      </c>
      <c r="O1982" s="6">
        <f>VLOOKUP(D1982,'Mapped Opponent'!$G$4:$H$22,2,0)</f>
        <v>11</v>
      </c>
      <c r="P1982" s="6"/>
      <c r="Q1982" s="6" t="str">
        <f t="shared" si="4"/>
        <v>Week 11</v>
      </c>
      <c r="R1982" s="6" t="str">
        <f t="shared" si="5"/>
        <v>2021Week 11</v>
      </c>
      <c r="S1982" s="6">
        <f>IFERROR(__xludf.DUMMYFUNCTION("rank(J1982,FILTER(J:J,R:R=R1982))"),5.0)</f>
        <v>5</v>
      </c>
      <c r="T1982" s="6">
        <f t="shared" si="6"/>
        <v>7</v>
      </c>
      <c r="U1982" s="6">
        <f t="shared" si="7"/>
        <v>5</v>
      </c>
      <c r="V1982" s="42">
        <f>averageif(AllData!A:A,B1982,AllData!R:R)/vlookup(B1982,AllData!A:O,15,0)</f>
        <v>94.5352381</v>
      </c>
      <c r="W1982" s="6"/>
    </row>
    <row r="1983" ht="14.25" customHeight="1">
      <c r="A1983" s="6" t="str">
        <f t="shared" si="1"/>
        <v>2021Salty11</v>
      </c>
      <c r="B1983" s="59">
        <v>2021.0</v>
      </c>
      <c r="C1983" s="13" t="s">
        <v>76</v>
      </c>
      <c r="D1983" s="13" t="s">
        <v>150</v>
      </c>
      <c r="E1983" s="34"/>
      <c r="F1983" s="6"/>
      <c r="H1983" s="6"/>
      <c r="I1983" s="35" t="str">
        <f>IFERROR(IFERROR(IFERROR(VLOOKUP(B1983&amp;C1983&amp;Q1983,'New Weekly Paste'!A:M,10,0),VLOOKUP(B1983&amp;C1983&amp;Q1983,'New Weekly Paste'!B:O,6,0)),""),"")</f>
        <v>Pierson</v>
      </c>
      <c r="J1983" s="259">
        <f>IFERROR(IFERROR(VLOOKUP(B1983&amp;C1983&amp;Q1983,'New Weekly Paste'!A:M,8,0),VLOOKUP(B1983&amp;C1983&amp;Q1983,'New Weekly Paste'!B:O,10,0)),0)</f>
        <v>94.26</v>
      </c>
      <c r="K1983" s="259">
        <f>IFERROR(IFERROR(VLOOKUP(B1983&amp;I1983&amp;Q1983,'New Weekly Paste'!A:M,8,0),VLOOKUP(B1983&amp;I1983&amp;Q1983,'New Weekly Paste'!B:O,10,0)),0)</f>
        <v>83.48</v>
      </c>
      <c r="L1983" s="239">
        <f t="shared" si="25"/>
        <v>1</v>
      </c>
      <c r="M1983" s="36" t="str">
        <f t="shared" si="3"/>
        <v>Regular Season</v>
      </c>
      <c r="N1983" s="239" t="str">
        <f t="shared" si="26"/>
        <v>Pierson</v>
      </c>
      <c r="O1983" s="6">
        <f>VLOOKUP(D1983,'Mapped Opponent'!$G$4:$H$22,2,0)</f>
        <v>11</v>
      </c>
      <c r="P1983" s="6"/>
      <c r="Q1983" s="6" t="str">
        <f t="shared" si="4"/>
        <v>Week 11</v>
      </c>
      <c r="R1983" s="6" t="str">
        <f t="shared" si="5"/>
        <v>2021Week 11</v>
      </c>
      <c r="S1983" s="6">
        <f>IFERROR(__xludf.DUMMYFUNCTION("rank(J1983,FILTER(J:J,R:R=R1983))"),6.0)</f>
        <v>6</v>
      </c>
      <c r="T1983" s="6">
        <f t="shared" si="6"/>
        <v>6</v>
      </c>
      <c r="U1983" s="6">
        <f t="shared" si="7"/>
        <v>6</v>
      </c>
      <c r="V1983" s="42">
        <f>averageif(AllData!A:A,B1983,AllData!R:R)/vlookup(B1983,AllData!A:O,15,0)</f>
        <v>94.5352381</v>
      </c>
      <c r="W1983" s="6"/>
    </row>
    <row r="1984" ht="14.25" customHeight="1">
      <c r="A1984" s="6" t="str">
        <f t="shared" si="1"/>
        <v>2021Fellows11</v>
      </c>
      <c r="B1984" s="59">
        <v>2021.0</v>
      </c>
      <c r="C1984" s="13" t="s">
        <v>79</v>
      </c>
      <c r="D1984" s="13" t="s">
        <v>150</v>
      </c>
      <c r="E1984" s="34"/>
      <c r="F1984" s="6"/>
      <c r="H1984" s="6"/>
      <c r="I1984" s="35" t="str">
        <f>IFERROR(IFERROR(IFERROR(VLOOKUP(B1984&amp;C1984&amp;Q1984,'New Weekly Paste'!A:M,10,0),VLOOKUP(B1984&amp;C1984&amp;Q1984,'New Weekly Paste'!B:O,6,0)),""),"")</f>
        <v>Cock</v>
      </c>
      <c r="J1984" s="259">
        <f>IFERROR(IFERROR(VLOOKUP(B1984&amp;C1984&amp;Q1984,'New Weekly Paste'!A:M,8,0),VLOOKUP(B1984&amp;C1984&amp;Q1984,'New Weekly Paste'!B:O,10,0)),0)</f>
        <v>79.72</v>
      </c>
      <c r="K1984" s="259">
        <f>IFERROR(IFERROR(VLOOKUP(B1984&amp;I1984&amp;Q1984,'New Weekly Paste'!A:M,8,0),VLOOKUP(B1984&amp;I1984&amp;Q1984,'New Weekly Paste'!B:O,10,0)),0)</f>
        <v>112.28</v>
      </c>
      <c r="L1984" s="239">
        <f t="shared" si="25"/>
        <v>0</v>
      </c>
      <c r="M1984" s="36" t="str">
        <f t="shared" si="3"/>
        <v>Regular Season</v>
      </c>
      <c r="N1984" s="239" t="str">
        <f t="shared" si="26"/>
        <v>Cock</v>
      </c>
      <c r="O1984" s="6">
        <f>VLOOKUP(D1984,'Mapped Opponent'!$G$4:$H$22,2,0)</f>
        <v>11</v>
      </c>
      <c r="P1984" s="6"/>
      <c r="Q1984" s="6" t="str">
        <f t="shared" si="4"/>
        <v>Week 11</v>
      </c>
      <c r="R1984" s="6" t="str">
        <f t="shared" si="5"/>
        <v>2021Week 11</v>
      </c>
      <c r="S1984" s="6">
        <f>IFERROR(__xludf.DUMMYFUNCTION("rank(J1984,FILTER(J:J,R:R=R1984))"),12.0)</f>
        <v>12</v>
      </c>
      <c r="T1984" s="6">
        <f t="shared" si="6"/>
        <v>0</v>
      </c>
      <c r="U1984" s="6">
        <f t="shared" si="7"/>
        <v>12</v>
      </c>
      <c r="V1984" s="42">
        <f>averageif(AllData!A:A,B1984,AllData!R:R)/vlookup(B1984,AllData!A:O,15,0)</f>
        <v>94.5352381</v>
      </c>
      <c r="W1984" s="6"/>
    </row>
    <row r="1985" ht="14.25" customHeight="1">
      <c r="A1985" s="6" t="str">
        <f t="shared" si="1"/>
        <v>2021Shep11</v>
      </c>
      <c r="B1985" s="59">
        <v>2021.0</v>
      </c>
      <c r="C1985" s="13" t="s">
        <v>89</v>
      </c>
      <c r="D1985" s="13" t="s">
        <v>150</v>
      </c>
      <c r="E1985" s="34"/>
      <c r="F1985" s="6"/>
      <c r="H1985" s="6"/>
      <c r="I1985" s="35" t="str">
        <f>IFERROR(IFERROR(IFERROR(VLOOKUP(B1985&amp;C1985&amp;Q1985,'New Weekly Paste'!A:M,10,0),VLOOKUP(B1985&amp;C1985&amp;Q1985,'New Weekly Paste'!B:O,6,0)),""),"")</f>
        <v>T-How</v>
      </c>
      <c r="J1985" s="259">
        <f>IFERROR(IFERROR(VLOOKUP(B1985&amp;C1985&amp;Q1985,'New Weekly Paste'!A:M,8,0),VLOOKUP(B1985&amp;C1985&amp;Q1985,'New Weekly Paste'!B:O,10,0)),0)</f>
        <v>93.22</v>
      </c>
      <c r="K1985" s="259">
        <f>IFERROR(IFERROR(VLOOKUP(B1985&amp;I1985&amp;Q1985,'New Weekly Paste'!A:M,8,0),VLOOKUP(B1985&amp;I1985&amp;Q1985,'New Weekly Paste'!B:O,10,0)),0)</f>
        <v>84.6</v>
      </c>
      <c r="L1985" s="239">
        <f t="shared" si="25"/>
        <v>1</v>
      </c>
      <c r="M1985" s="36" t="str">
        <f t="shared" si="3"/>
        <v>Regular Season</v>
      </c>
      <c r="N1985" s="239" t="str">
        <f t="shared" si="26"/>
        <v>T-How</v>
      </c>
      <c r="O1985" s="6">
        <f>VLOOKUP(D1985,'Mapped Opponent'!$G$4:$H$22,2,0)</f>
        <v>11</v>
      </c>
      <c r="P1985" s="6"/>
      <c r="Q1985" s="6" t="str">
        <f t="shared" si="4"/>
        <v>Week 11</v>
      </c>
      <c r="R1985" s="6" t="str">
        <f t="shared" si="5"/>
        <v>2021Week 11</v>
      </c>
      <c r="S1985" s="6">
        <f>IFERROR(__xludf.DUMMYFUNCTION("rank(J1985,FILTER(J:J,R:R=R1985))"),7.0)</f>
        <v>7</v>
      </c>
      <c r="T1985" s="6">
        <f t="shared" si="6"/>
        <v>5</v>
      </c>
      <c r="U1985" s="6">
        <f t="shared" si="7"/>
        <v>7</v>
      </c>
      <c r="V1985" s="42">
        <f>averageif(AllData!A:A,B1985,AllData!R:R)/vlookup(B1985,AllData!A:O,15,0)</f>
        <v>94.5352381</v>
      </c>
      <c r="W1985" s="6"/>
    </row>
    <row r="1986" ht="14.25" customHeight="1">
      <c r="A1986" s="6" t="str">
        <f t="shared" si="1"/>
        <v>2021Riley11</v>
      </c>
      <c r="B1986" s="59">
        <v>2021.0</v>
      </c>
      <c r="C1986" s="13" t="s">
        <v>67</v>
      </c>
      <c r="D1986" s="13" t="s">
        <v>150</v>
      </c>
      <c r="E1986" s="34"/>
      <c r="F1986" s="6"/>
      <c r="H1986" s="6"/>
      <c r="I1986" s="35" t="str">
        <f>IFERROR(IFERROR(IFERROR(VLOOKUP(B1986&amp;C1986&amp;Q1986,'New Weekly Paste'!A:M,10,0),VLOOKUP(B1986&amp;C1986&amp;Q1986,'New Weekly Paste'!B:O,6,0)),""),"")</f>
        <v>Buser</v>
      </c>
      <c r="J1986" s="259">
        <f>IFERROR(IFERROR(VLOOKUP(B1986&amp;C1986&amp;Q1986,'New Weekly Paste'!A:M,8,0),VLOOKUP(B1986&amp;C1986&amp;Q1986,'New Weekly Paste'!B:O,10,0)),0)</f>
        <v>104.14</v>
      </c>
      <c r="K1986" s="259">
        <f>IFERROR(IFERROR(VLOOKUP(B1986&amp;I1986&amp;Q1986,'New Weekly Paste'!A:M,8,0),VLOOKUP(B1986&amp;I1986&amp;Q1986,'New Weekly Paste'!B:O,10,0)),0)</f>
        <v>134.28</v>
      </c>
      <c r="L1986" s="239">
        <f t="shared" si="25"/>
        <v>0</v>
      </c>
      <c r="M1986" s="36" t="str">
        <f t="shared" si="3"/>
        <v>Regular Season</v>
      </c>
      <c r="N1986" s="239" t="str">
        <f t="shared" si="26"/>
        <v>Buser</v>
      </c>
      <c r="O1986" s="6">
        <f>VLOOKUP(D1986,'Mapped Opponent'!$G$4:$H$22,2,0)</f>
        <v>11</v>
      </c>
      <c r="P1986" s="6"/>
      <c r="Q1986" s="6" t="str">
        <f t="shared" si="4"/>
        <v>Week 11</v>
      </c>
      <c r="R1986" s="6" t="str">
        <f t="shared" si="5"/>
        <v>2021Week 11</v>
      </c>
      <c r="S1986" s="6">
        <f>IFERROR(__xludf.DUMMYFUNCTION("rank(J1986,FILTER(J:J,R:R=R1986))"),3.0)</f>
        <v>3</v>
      </c>
      <c r="T1986" s="6">
        <f t="shared" si="6"/>
        <v>9</v>
      </c>
      <c r="U1986" s="6">
        <f t="shared" si="7"/>
        <v>3</v>
      </c>
      <c r="V1986" s="42">
        <f>averageif(AllData!A:A,B1986,AllData!R:R)/vlookup(B1986,AllData!A:O,15,0)</f>
        <v>94.5352381</v>
      </c>
      <c r="W1986" s="6"/>
    </row>
    <row r="1987" ht="14.25" customHeight="1">
      <c r="A1987" s="6" t="str">
        <f t="shared" si="1"/>
        <v>2021Rooney/Jackson11</v>
      </c>
      <c r="B1987" s="59">
        <v>2021.0</v>
      </c>
      <c r="C1987" s="13" t="s">
        <v>57</v>
      </c>
      <c r="D1987" s="13" t="s">
        <v>150</v>
      </c>
      <c r="E1987" s="34"/>
      <c r="F1987" s="6"/>
      <c r="H1987" s="6"/>
      <c r="I1987" s="35" t="str">
        <f>IFERROR(IFERROR(IFERROR(VLOOKUP(B1987&amp;C1987&amp;Q1987,'New Weekly Paste'!A:M,10,0),VLOOKUP(B1987&amp;C1987&amp;Q1987,'New Weekly Paste'!B:O,6,0)),""),"")</f>
        <v>KnardDawg</v>
      </c>
      <c r="J1987" s="259">
        <f>IFERROR(IFERROR(VLOOKUP(B1987&amp;C1987&amp;Q1987,'New Weekly Paste'!A:M,8,0),VLOOKUP(B1987&amp;C1987&amp;Q1987,'New Weekly Paste'!B:O,10,0)),0)</f>
        <v>98.2</v>
      </c>
      <c r="K1987" s="259">
        <f>IFERROR(IFERROR(VLOOKUP(B1987&amp;I1987&amp;Q1987,'New Weekly Paste'!A:M,8,0),VLOOKUP(B1987&amp;I1987&amp;Q1987,'New Weekly Paste'!B:O,10,0)),0)</f>
        <v>81.88</v>
      </c>
      <c r="L1987" s="239">
        <f t="shared" si="25"/>
        <v>1</v>
      </c>
      <c r="M1987" s="36" t="str">
        <f t="shared" si="3"/>
        <v>Regular Season</v>
      </c>
      <c r="N1987" s="239" t="str">
        <f t="shared" si="26"/>
        <v>KnardDawg</v>
      </c>
      <c r="O1987" s="6">
        <f>VLOOKUP(D1987,'Mapped Opponent'!$G$4:$H$22,2,0)</f>
        <v>11</v>
      </c>
      <c r="P1987" s="6"/>
      <c r="Q1987" s="6" t="str">
        <f t="shared" si="4"/>
        <v>Week 11</v>
      </c>
      <c r="R1987" s="6" t="str">
        <f t="shared" si="5"/>
        <v>2021Week 11</v>
      </c>
      <c r="S1987" s="6">
        <f>IFERROR(__xludf.DUMMYFUNCTION("rank(J1987,FILTER(J:J,R:R=R1987))"),4.0)</f>
        <v>4</v>
      </c>
      <c r="T1987" s="6">
        <f t="shared" si="6"/>
        <v>8</v>
      </c>
      <c r="U1987" s="6">
        <f t="shared" si="7"/>
        <v>4</v>
      </c>
      <c r="V1987" s="42">
        <f>averageif(AllData!A:A,B1987,AllData!R:R)/vlookup(B1987,AllData!A:O,15,0)</f>
        <v>94.5352381</v>
      </c>
      <c r="W1987" s="6"/>
    </row>
    <row r="1988" ht="14.25" customHeight="1">
      <c r="A1988" s="6" t="str">
        <f t="shared" si="1"/>
        <v>2021Buser11</v>
      </c>
      <c r="B1988" s="59">
        <v>2021.0</v>
      </c>
      <c r="C1988" s="13" t="s">
        <v>47</v>
      </c>
      <c r="D1988" s="13" t="s">
        <v>150</v>
      </c>
      <c r="E1988" s="34"/>
      <c r="F1988" s="6"/>
      <c r="H1988" s="6"/>
      <c r="I1988" s="35" t="str">
        <f>IFERROR(IFERROR(IFERROR(VLOOKUP(B1988&amp;C1988&amp;Q1988,'New Weekly Paste'!A:M,10,0),VLOOKUP(B1988&amp;C1988&amp;Q1988,'New Weekly Paste'!B:O,6,0)),""),"")</f>
        <v>Riley</v>
      </c>
      <c r="J1988" s="259">
        <f>IFERROR(IFERROR(VLOOKUP(B1988&amp;C1988&amp;Q1988,'New Weekly Paste'!A:M,8,0),VLOOKUP(B1988&amp;C1988&amp;Q1988,'New Weekly Paste'!B:O,10,0)),0)</f>
        <v>134.28</v>
      </c>
      <c r="K1988" s="259">
        <f>IFERROR(IFERROR(VLOOKUP(B1988&amp;I1988&amp;Q1988,'New Weekly Paste'!A:M,8,0),VLOOKUP(B1988&amp;I1988&amp;Q1988,'New Weekly Paste'!B:O,10,0)),0)</f>
        <v>104.14</v>
      </c>
      <c r="L1988" s="239">
        <f t="shared" si="25"/>
        <v>1</v>
      </c>
      <c r="M1988" s="36" t="str">
        <f t="shared" si="3"/>
        <v>Regular Season</v>
      </c>
      <c r="N1988" s="239" t="str">
        <f t="shared" si="26"/>
        <v>Riley</v>
      </c>
      <c r="O1988" s="6">
        <f>VLOOKUP(D1988,'Mapped Opponent'!$G$4:$H$22,2,0)</f>
        <v>11</v>
      </c>
      <c r="P1988" s="6"/>
      <c r="Q1988" s="6" t="str">
        <f t="shared" si="4"/>
        <v>Week 11</v>
      </c>
      <c r="R1988" s="6" t="str">
        <f t="shared" si="5"/>
        <v>2021Week 11</v>
      </c>
      <c r="S1988" s="6">
        <f>IFERROR(__xludf.DUMMYFUNCTION("rank(J1988,FILTER(J:J,R:R=R1988))"),1.0)</f>
        <v>1</v>
      </c>
      <c r="T1988" s="6">
        <f t="shared" si="6"/>
        <v>11</v>
      </c>
      <c r="U1988" s="6">
        <f t="shared" si="7"/>
        <v>1</v>
      </c>
      <c r="V1988" s="42">
        <f>averageif(AllData!A:A,B1988,AllData!R:R)/vlookup(B1988,AllData!A:O,15,0)</f>
        <v>94.5352381</v>
      </c>
      <c r="W1988" s="6"/>
    </row>
    <row r="1989" ht="14.25" customHeight="1">
      <c r="A1989" s="6" t="str">
        <f t="shared" si="1"/>
        <v>2021Pierson11</v>
      </c>
      <c r="B1989" s="59">
        <v>2021.0</v>
      </c>
      <c r="C1989" s="13" t="s">
        <v>92</v>
      </c>
      <c r="D1989" s="13" t="s">
        <v>150</v>
      </c>
      <c r="E1989" s="34"/>
      <c r="F1989" s="6"/>
      <c r="H1989" s="6"/>
      <c r="I1989" s="35" t="str">
        <f>IFERROR(IFERROR(IFERROR(VLOOKUP(B1989&amp;C1989&amp;Q1989,'New Weekly Paste'!A:M,10,0),VLOOKUP(B1989&amp;C1989&amp;Q1989,'New Weekly Paste'!B:O,6,0)),""),"")</f>
        <v>Salty</v>
      </c>
      <c r="J1989" s="259">
        <f>IFERROR(IFERROR(VLOOKUP(B1989&amp;C1989&amp;Q1989,'New Weekly Paste'!A:M,8,0),VLOOKUP(B1989&amp;C1989&amp;Q1989,'New Weekly Paste'!B:O,10,0)),0)</f>
        <v>83.48</v>
      </c>
      <c r="K1989" s="259">
        <f>IFERROR(IFERROR(VLOOKUP(B1989&amp;I1989&amp;Q1989,'New Weekly Paste'!A:M,8,0),VLOOKUP(B1989&amp;I1989&amp;Q1989,'New Weekly Paste'!B:O,10,0)),0)</f>
        <v>94.26</v>
      </c>
      <c r="L1989" s="239">
        <f t="shared" si="25"/>
        <v>0</v>
      </c>
      <c r="M1989" s="36" t="str">
        <f t="shared" si="3"/>
        <v>Regular Season</v>
      </c>
      <c r="N1989" s="239" t="str">
        <f t="shared" si="26"/>
        <v>Salty</v>
      </c>
      <c r="O1989" s="6">
        <f>VLOOKUP(D1989,'Mapped Opponent'!$G$4:$H$22,2,0)</f>
        <v>11</v>
      </c>
      <c r="P1989" s="6"/>
      <c r="Q1989" s="6" t="str">
        <f t="shared" si="4"/>
        <v>Week 11</v>
      </c>
      <c r="R1989" s="6" t="str">
        <f t="shared" si="5"/>
        <v>2021Week 11</v>
      </c>
      <c r="S1989" s="6">
        <f>IFERROR(__xludf.DUMMYFUNCTION("rank(J1989,FILTER(J:J,R:R=R1989))"),10.0)</f>
        <v>10</v>
      </c>
      <c r="T1989" s="6">
        <f t="shared" si="6"/>
        <v>2</v>
      </c>
      <c r="U1989" s="6">
        <f t="shared" si="7"/>
        <v>10</v>
      </c>
      <c r="V1989" s="42">
        <f>averageif(AllData!A:A,B1989,AllData!R:R)/vlookup(B1989,AllData!A:O,15,0)</f>
        <v>94.5352381</v>
      </c>
      <c r="W1989" s="6"/>
    </row>
    <row r="1990" ht="14.25" customHeight="1">
      <c r="A1990" s="6" t="str">
        <f t="shared" si="1"/>
        <v>2021Cock11</v>
      </c>
      <c r="B1990" s="59">
        <v>2021.0</v>
      </c>
      <c r="C1990" s="13" t="s">
        <v>72</v>
      </c>
      <c r="D1990" s="13" t="s">
        <v>150</v>
      </c>
      <c r="E1990" s="34"/>
      <c r="F1990" s="6"/>
      <c r="H1990" s="6"/>
      <c r="I1990" s="35" t="str">
        <f>IFERROR(IFERROR(IFERROR(VLOOKUP(B1990&amp;C1990&amp;Q1990,'New Weekly Paste'!A:M,10,0),VLOOKUP(B1990&amp;C1990&amp;Q1990,'New Weekly Paste'!B:O,6,0)),""),"")</f>
        <v>Fellows</v>
      </c>
      <c r="J1990" s="259">
        <f>IFERROR(IFERROR(VLOOKUP(B1990&amp;C1990&amp;Q1990,'New Weekly Paste'!A:M,8,0),VLOOKUP(B1990&amp;C1990&amp;Q1990,'New Weekly Paste'!B:O,10,0)),0)</f>
        <v>112.28</v>
      </c>
      <c r="K1990" s="259">
        <f>IFERROR(IFERROR(VLOOKUP(B1990&amp;I1990&amp;Q1990,'New Weekly Paste'!A:M,8,0),VLOOKUP(B1990&amp;I1990&amp;Q1990,'New Weekly Paste'!B:O,10,0)),0)</f>
        <v>79.72</v>
      </c>
      <c r="L1990" s="239">
        <f t="shared" si="25"/>
        <v>1</v>
      </c>
      <c r="M1990" s="36" t="str">
        <f t="shared" si="3"/>
        <v>Regular Season</v>
      </c>
      <c r="N1990" s="239" t="str">
        <f t="shared" si="26"/>
        <v>Fellows</v>
      </c>
      <c r="O1990" s="6">
        <f>VLOOKUP(D1990,'Mapped Opponent'!$G$4:$H$22,2,0)</f>
        <v>11</v>
      </c>
      <c r="P1990" s="6"/>
      <c r="Q1990" s="6" t="str">
        <f t="shared" si="4"/>
        <v>Week 11</v>
      </c>
      <c r="R1990" s="6" t="str">
        <f t="shared" si="5"/>
        <v>2021Week 11</v>
      </c>
      <c r="S1990" s="6">
        <f>IFERROR(__xludf.DUMMYFUNCTION("rank(J1990,FILTER(J:J,R:R=R1990))"),2.0)</f>
        <v>2</v>
      </c>
      <c r="T1990" s="6">
        <f t="shared" si="6"/>
        <v>10</v>
      </c>
      <c r="U1990" s="6">
        <f t="shared" si="7"/>
        <v>2</v>
      </c>
      <c r="V1990" s="42">
        <f>averageif(AllData!A:A,B1990,AllData!R:R)/vlookup(B1990,AllData!A:O,15,0)</f>
        <v>94.5352381</v>
      </c>
      <c r="W1990" s="6"/>
    </row>
    <row r="1991" ht="14.25" customHeight="1">
      <c r="A1991" s="6" t="str">
        <f t="shared" si="1"/>
        <v>2021Tayski11</v>
      </c>
      <c r="B1991" s="59">
        <v>2021.0</v>
      </c>
      <c r="C1991" s="13" t="s">
        <v>52</v>
      </c>
      <c r="D1991" s="13" t="s">
        <v>150</v>
      </c>
      <c r="E1991" s="34"/>
      <c r="F1991" s="6"/>
      <c r="H1991" s="6"/>
      <c r="I1991" s="35" t="str">
        <f>IFERROR(IFERROR(IFERROR(VLOOKUP(B1991&amp;C1991&amp;Q1991,'New Weekly Paste'!A:M,10,0),VLOOKUP(B1991&amp;C1991&amp;Q1991,'New Weekly Paste'!B:O,6,0)),""),"")</f>
        <v>Hudspeath</v>
      </c>
      <c r="J1991" s="259">
        <f>IFERROR(IFERROR(VLOOKUP(B1991&amp;C1991&amp;Q1991,'New Weekly Paste'!A:M,8,0),VLOOKUP(B1991&amp;C1991&amp;Q1991,'New Weekly Paste'!B:O,10,0)),0)</f>
        <v>89.96</v>
      </c>
      <c r="K1991" s="259">
        <f>IFERROR(IFERROR(VLOOKUP(B1991&amp;I1991&amp;Q1991,'New Weekly Paste'!A:M,8,0),VLOOKUP(B1991&amp;I1991&amp;Q1991,'New Weekly Paste'!B:O,10,0)),0)</f>
        <v>97.1</v>
      </c>
      <c r="L1991" s="239">
        <f t="shared" si="25"/>
        <v>0</v>
      </c>
      <c r="M1991" s="36" t="str">
        <f t="shared" si="3"/>
        <v>Regular Season</v>
      </c>
      <c r="N1991" s="239" t="str">
        <f t="shared" si="26"/>
        <v>Hudspeath</v>
      </c>
      <c r="O1991" s="6">
        <f>VLOOKUP(D1991,'Mapped Opponent'!$G$4:$H$22,2,0)</f>
        <v>11</v>
      </c>
      <c r="P1991" s="6"/>
      <c r="Q1991" s="6" t="str">
        <f t="shared" si="4"/>
        <v>Week 11</v>
      </c>
      <c r="R1991" s="6" t="str">
        <f t="shared" si="5"/>
        <v>2021Week 11</v>
      </c>
      <c r="S1991" s="6">
        <f>IFERROR(__xludf.DUMMYFUNCTION("rank(J1991,FILTER(J:J,R:R=R1991))"),8.0)</f>
        <v>8</v>
      </c>
      <c r="T1991" s="6">
        <f t="shared" si="6"/>
        <v>4</v>
      </c>
      <c r="U1991" s="6">
        <f t="shared" si="7"/>
        <v>8</v>
      </c>
      <c r="V1991" s="42">
        <f>averageif(AllData!A:A,B1991,AllData!R:R)/vlookup(B1991,AllData!A:O,15,0)</f>
        <v>94.5352381</v>
      </c>
      <c r="W1991" s="6"/>
    </row>
    <row r="1992" ht="14.25" customHeight="1">
      <c r="A1992" s="6" t="str">
        <f t="shared" si="1"/>
        <v>2021KnardDawg11</v>
      </c>
      <c r="B1992" s="59">
        <v>2021.0</v>
      </c>
      <c r="C1992" s="13" t="s">
        <v>86</v>
      </c>
      <c r="D1992" s="13" t="s">
        <v>150</v>
      </c>
      <c r="E1992" s="34"/>
      <c r="F1992" s="6"/>
      <c r="H1992" s="6"/>
      <c r="I1992" s="35" t="str">
        <f>IFERROR(IFERROR(IFERROR(VLOOKUP(B1992&amp;C1992&amp;Q1992,'New Weekly Paste'!A:M,10,0),VLOOKUP(B1992&amp;C1992&amp;Q1992,'New Weekly Paste'!B:O,6,0)),""),"")</f>
        <v>Rooney/Jackson</v>
      </c>
      <c r="J1992" s="259">
        <f>IFERROR(IFERROR(VLOOKUP(B1992&amp;C1992&amp;Q1992,'New Weekly Paste'!A:M,8,0),VLOOKUP(B1992&amp;C1992&amp;Q1992,'New Weekly Paste'!B:O,10,0)),0)</f>
        <v>81.88</v>
      </c>
      <c r="K1992" s="259">
        <f>IFERROR(IFERROR(VLOOKUP(B1992&amp;I1992&amp;Q1992,'New Weekly Paste'!A:M,8,0),VLOOKUP(B1992&amp;I1992&amp;Q1992,'New Weekly Paste'!B:O,10,0)),0)</f>
        <v>98.2</v>
      </c>
      <c r="L1992" s="239">
        <f t="shared" si="25"/>
        <v>0</v>
      </c>
      <c r="M1992" s="36" t="str">
        <f t="shared" si="3"/>
        <v>Regular Season</v>
      </c>
      <c r="N1992" s="239" t="str">
        <f t="shared" si="26"/>
        <v>Rooney/Jackson</v>
      </c>
      <c r="O1992" s="6">
        <f>VLOOKUP(D1992,'Mapped Opponent'!$G$4:$H$22,2,0)</f>
        <v>11</v>
      </c>
      <c r="P1992" s="6"/>
      <c r="Q1992" s="6" t="str">
        <f t="shared" si="4"/>
        <v>Week 11</v>
      </c>
      <c r="R1992" s="6" t="str">
        <f t="shared" si="5"/>
        <v>2021Week 11</v>
      </c>
      <c r="S1992" s="6">
        <f>IFERROR(__xludf.DUMMYFUNCTION("rank(J1992,FILTER(J:J,R:R=R1992))"),11.0)</f>
        <v>11</v>
      </c>
      <c r="T1992" s="6">
        <f t="shared" si="6"/>
        <v>1</v>
      </c>
      <c r="U1992" s="6">
        <f t="shared" si="7"/>
        <v>11</v>
      </c>
      <c r="V1992" s="42">
        <f>averageif(AllData!A:A,B1992,AllData!R:R)/vlookup(B1992,AllData!A:O,15,0)</f>
        <v>94.5352381</v>
      </c>
      <c r="W1992" s="6"/>
    </row>
    <row r="1993" ht="14.25" customHeight="1">
      <c r="A1993" s="6" t="str">
        <f t="shared" si="1"/>
        <v>2021T-How11</v>
      </c>
      <c r="B1993" s="59">
        <v>2021.0</v>
      </c>
      <c r="C1993" s="13" t="s">
        <v>82</v>
      </c>
      <c r="D1993" s="13" t="s">
        <v>150</v>
      </c>
      <c r="E1993" s="34"/>
      <c r="F1993" s="6"/>
      <c r="H1993" s="6"/>
      <c r="I1993" s="35" t="str">
        <f>IFERROR(IFERROR(IFERROR(VLOOKUP(B1993&amp;C1993&amp;Q1993,'New Weekly Paste'!A:M,10,0),VLOOKUP(B1993&amp;C1993&amp;Q1993,'New Weekly Paste'!B:O,6,0)),""),"")</f>
        <v>Shep</v>
      </c>
      <c r="J1993" s="259">
        <f>IFERROR(IFERROR(VLOOKUP(B1993&amp;C1993&amp;Q1993,'New Weekly Paste'!A:M,8,0),VLOOKUP(B1993&amp;C1993&amp;Q1993,'New Weekly Paste'!B:O,10,0)),0)</f>
        <v>84.6</v>
      </c>
      <c r="K1993" s="259">
        <f>IFERROR(IFERROR(VLOOKUP(B1993&amp;I1993&amp;Q1993,'New Weekly Paste'!A:M,8,0),VLOOKUP(B1993&amp;I1993&amp;Q1993,'New Weekly Paste'!B:O,10,0)),0)</f>
        <v>93.22</v>
      </c>
      <c r="L1993" s="239">
        <f t="shared" si="25"/>
        <v>0</v>
      </c>
      <c r="M1993" s="36" t="str">
        <f t="shared" si="3"/>
        <v>Regular Season</v>
      </c>
      <c r="N1993" s="239" t="str">
        <f t="shared" si="26"/>
        <v>Shep</v>
      </c>
      <c r="O1993" s="6">
        <f>VLOOKUP(D1993,'Mapped Opponent'!$G$4:$H$22,2,0)</f>
        <v>11</v>
      </c>
      <c r="P1993" s="6"/>
      <c r="Q1993" s="6" t="str">
        <f t="shared" si="4"/>
        <v>Week 11</v>
      </c>
      <c r="R1993" s="6" t="str">
        <f t="shared" si="5"/>
        <v>2021Week 11</v>
      </c>
      <c r="S1993" s="6">
        <f>IFERROR(__xludf.DUMMYFUNCTION("rank(J1993,FILTER(J:J,R:R=R1993))"),9.0)</f>
        <v>9</v>
      </c>
      <c r="T1993" s="6">
        <f t="shared" si="6"/>
        <v>3</v>
      </c>
      <c r="U1993" s="6">
        <f t="shared" si="7"/>
        <v>9</v>
      </c>
      <c r="V1993" s="42">
        <f>averageif(AllData!A:A,B1993,AllData!R:R)/vlookup(B1993,AllData!A:O,15,0)</f>
        <v>94.5352381</v>
      </c>
      <c r="W1993" s="6"/>
    </row>
    <row r="1994" ht="14.25" customHeight="1">
      <c r="A1994" s="6" t="str">
        <f t="shared" si="1"/>
        <v>2021Hudspeath12</v>
      </c>
      <c r="B1994" s="59">
        <v>2021.0</v>
      </c>
      <c r="C1994" s="13" t="s">
        <v>39</v>
      </c>
      <c r="D1994" s="13" t="s">
        <v>151</v>
      </c>
      <c r="E1994" s="34"/>
      <c r="F1994" s="6"/>
      <c r="H1994" s="6"/>
      <c r="I1994" s="35" t="str">
        <f>IFERROR(IFERROR(IFERROR(VLOOKUP(B1994&amp;C1994&amp;Q1994,'New Weekly Paste'!A:M,10,0),VLOOKUP(B1994&amp;C1994&amp;Q1994,'New Weekly Paste'!B:O,6,0)),""),"")</f>
        <v>T-How</v>
      </c>
      <c r="J1994" s="259">
        <f>IFERROR(IFERROR(VLOOKUP(B1994&amp;C1994&amp;Q1994,'New Weekly Paste'!A:M,8,0),VLOOKUP(B1994&amp;C1994&amp;Q1994,'New Weekly Paste'!B:O,10,0)),0)</f>
        <v>104.88</v>
      </c>
      <c r="K1994" s="259">
        <f>IFERROR(IFERROR(VLOOKUP(B1994&amp;I1994&amp;Q1994,'New Weekly Paste'!A:M,8,0),VLOOKUP(B1994&amp;I1994&amp;Q1994,'New Weekly Paste'!B:O,10,0)),0)</f>
        <v>79.12</v>
      </c>
      <c r="L1994" s="239">
        <f t="shared" si="25"/>
        <v>1</v>
      </c>
      <c r="M1994" s="36" t="str">
        <f t="shared" si="3"/>
        <v>Regular Season</v>
      </c>
      <c r="N1994" s="239" t="str">
        <f t="shared" si="26"/>
        <v>T-How</v>
      </c>
      <c r="O1994" s="6">
        <f>VLOOKUP(D1994,'Mapped Opponent'!$G$4:$H$22,2,0)</f>
        <v>12</v>
      </c>
      <c r="P1994" s="6"/>
      <c r="Q1994" s="6" t="str">
        <f t="shared" si="4"/>
        <v>Week 12</v>
      </c>
      <c r="R1994" s="6" t="str">
        <f t="shared" si="5"/>
        <v>2021Week 12</v>
      </c>
      <c r="S1994" s="6">
        <f>IFERROR(__xludf.DUMMYFUNCTION("rank(J1994,FILTER(J:J,R:R=R1994))"),4.0)</f>
        <v>4</v>
      </c>
      <c r="T1994" s="6">
        <f t="shared" si="6"/>
        <v>8</v>
      </c>
      <c r="U1994" s="6">
        <f t="shared" si="7"/>
        <v>4</v>
      </c>
      <c r="V1994" s="42">
        <f>averageif(AllData!A:A,B1994,AllData!R:R)/vlookup(B1994,AllData!A:O,15,0)</f>
        <v>94.5352381</v>
      </c>
      <c r="W1994" s="6"/>
    </row>
    <row r="1995" ht="14.25" customHeight="1">
      <c r="A1995" s="6" t="str">
        <f t="shared" si="1"/>
        <v>2021Salty12</v>
      </c>
      <c r="B1995" s="59">
        <v>2021.0</v>
      </c>
      <c r="C1995" s="13" t="s">
        <v>76</v>
      </c>
      <c r="D1995" s="13" t="s">
        <v>151</v>
      </c>
      <c r="E1995" s="34"/>
      <c r="F1995" s="6"/>
      <c r="H1995" s="6"/>
      <c r="I1995" s="35" t="str">
        <f>IFERROR(IFERROR(IFERROR(VLOOKUP(B1995&amp;C1995&amp;Q1995,'New Weekly Paste'!A:M,10,0),VLOOKUP(B1995&amp;C1995&amp;Q1995,'New Weekly Paste'!B:O,6,0)),""),"")</f>
        <v>Rooney/Jackson</v>
      </c>
      <c r="J1995" s="259">
        <f>IFERROR(IFERROR(VLOOKUP(B1995&amp;C1995&amp;Q1995,'New Weekly Paste'!A:M,8,0),VLOOKUP(B1995&amp;C1995&amp;Q1995,'New Weekly Paste'!B:O,10,0)),0)</f>
        <v>116.8</v>
      </c>
      <c r="K1995" s="259">
        <f>IFERROR(IFERROR(VLOOKUP(B1995&amp;I1995&amp;Q1995,'New Weekly Paste'!A:M,8,0),VLOOKUP(B1995&amp;I1995&amp;Q1995,'New Weekly Paste'!B:O,10,0)),0)</f>
        <v>89.72</v>
      </c>
      <c r="L1995" s="239">
        <f t="shared" si="25"/>
        <v>1</v>
      </c>
      <c r="M1995" s="36" t="str">
        <f t="shared" si="3"/>
        <v>Regular Season</v>
      </c>
      <c r="N1995" s="239" t="str">
        <f t="shared" si="26"/>
        <v>Rooney/Jackson</v>
      </c>
      <c r="O1995" s="6">
        <f>VLOOKUP(D1995,'Mapped Opponent'!$G$4:$H$22,2,0)</f>
        <v>12</v>
      </c>
      <c r="P1995" s="6"/>
      <c r="Q1995" s="6" t="str">
        <f t="shared" si="4"/>
        <v>Week 12</v>
      </c>
      <c r="R1995" s="6" t="str">
        <f t="shared" si="5"/>
        <v>2021Week 12</v>
      </c>
      <c r="S1995" s="6">
        <f>IFERROR(__xludf.DUMMYFUNCTION("rank(J1995,FILTER(J:J,R:R=R1995))"),3.0)</f>
        <v>3</v>
      </c>
      <c r="T1995" s="6">
        <f t="shared" si="6"/>
        <v>9</v>
      </c>
      <c r="U1995" s="6">
        <f t="shared" si="7"/>
        <v>3</v>
      </c>
      <c r="V1995" s="42">
        <f>averageif(AllData!A:A,B1995,AllData!R:R)/vlookup(B1995,AllData!A:O,15,0)</f>
        <v>94.5352381</v>
      </c>
      <c r="W1995" s="6"/>
    </row>
    <row r="1996" ht="14.25" customHeight="1">
      <c r="A1996" s="6" t="str">
        <f t="shared" si="1"/>
        <v>2021Fellows12</v>
      </c>
      <c r="B1996" s="59">
        <v>2021.0</v>
      </c>
      <c r="C1996" s="13" t="s">
        <v>79</v>
      </c>
      <c r="D1996" s="13" t="s">
        <v>151</v>
      </c>
      <c r="E1996" s="34"/>
      <c r="F1996" s="6"/>
      <c r="H1996" s="6"/>
      <c r="I1996" s="35" t="str">
        <f>IFERROR(IFERROR(IFERROR(VLOOKUP(B1996&amp;C1996&amp;Q1996,'New Weekly Paste'!A:M,10,0),VLOOKUP(B1996&amp;C1996&amp;Q1996,'New Weekly Paste'!B:O,6,0)),""),"")</f>
        <v>KnardDawg</v>
      </c>
      <c r="J1996" s="259">
        <f>IFERROR(IFERROR(VLOOKUP(B1996&amp;C1996&amp;Q1996,'New Weekly Paste'!A:M,8,0),VLOOKUP(B1996&amp;C1996&amp;Q1996,'New Weekly Paste'!B:O,10,0)),0)</f>
        <v>62.52</v>
      </c>
      <c r="K1996" s="259">
        <f>IFERROR(IFERROR(VLOOKUP(B1996&amp;I1996&amp;Q1996,'New Weekly Paste'!A:M,8,0),VLOOKUP(B1996&amp;I1996&amp;Q1996,'New Weekly Paste'!B:O,10,0)),0)</f>
        <v>97.18</v>
      </c>
      <c r="L1996" s="239">
        <f t="shared" si="25"/>
        <v>0</v>
      </c>
      <c r="M1996" s="36" t="str">
        <f t="shared" si="3"/>
        <v>Regular Season</v>
      </c>
      <c r="N1996" s="239" t="str">
        <f t="shared" si="26"/>
        <v>KnardDawg</v>
      </c>
      <c r="O1996" s="6">
        <f>VLOOKUP(D1996,'Mapped Opponent'!$G$4:$H$22,2,0)</f>
        <v>12</v>
      </c>
      <c r="P1996" s="6"/>
      <c r="Q1996" s="6" t="str">
        <f t="shared" si="4"/>
        <v>Week 12</v>
      </c>
      <c r="R1996" s="6" t="str">
        <f t="shared" si="5"/>
        <v>2021Week 12</v>
      </c>
      <c r="S1996" s="6">
        <f>IFERROR(__xludf.DUMMYFUNCTION("rank(J1996,FILTER(J:J,R:R=R1996))"),10.0)</f>
        <v>10</v>
      </c>
      <c r="T1996" s="6">
        <f t="shared" si="6"/>
        <v>2</v>
      </c>
      <c r="U1996" s="6">
        <f t="shared" si="7"/>
        <v>10</v>
      </c>
      <c r="V1996" s="42">
        <f>averageif(AllData!A:A,B1996,AllData!R:R)/vlookup(B1996,AllData!A:O,15,0)</f>
        <v>94.5352381</v>
      </c>
      <c r="W1996" s="6"/>
    </row>
    <row r="1997" ht="14.25" customHeight="1">
      <c r="A1997" s="6" t="str">
        <f t="shared" si="1"/>
        <v>2021Shep12</v>
      </c>
      <c r="B1997" s="59">
        <v>2021.0</v>
      </c>
      <c r="C1997" s="13" t="s">
        <v>89</v>
      </c>
      <c r="D1997" s="13" t="s">
        <v>151</v>
      </c>
      <c r="E1997" s="34"/>
      <c r="F1997" s="6"/>
      <c r="H1997" s="6"/>
      <c r="I1997" s="35" t="str">
        <f>IFERROR(IFERROR(IFERROR(VLOOKUP(B1997&amp;C1997&amp;Q1997,'New Weekly Paste'!A:M,10,0),VLOOKUP(B1997&amp;C1997&amp;Q1997,'New Weekly Paste'!B:O,6,0)),""),"")</f>
        <v>Cock</v>
      </c>
      <c r="J1997" s="259">
        <f>IFERROR(IFERROR(VLOOKUP(B1997&amp;C1997&amp;Q1997,'New Weekly Paste'!A:M,8,0),VLOOKUP(B1997&amp;C1997&amp;Q1997,'New Weekly Paste'!B:O,10,0)),0)</f>
        <v>102.2</v>
      </c>
      <c r="K1997" s="259">
        <f>IFERROR(IFERROR(VLOOKUP(B1997&amp;I1997&amp;Q1997,'New Weekly Paste'!A:M,8,0),VLOOKUP(B1997&amp;I1997&amp;Q1997,'New Weekly Paste'!B:O,10,0)),0)</f>
        <v>46.96</v>
      </c>
      <c r="L1997" s="239">
        <f t="shared" si="25"/>
        <v>1</v>
      </c>
      <c r="M1997" s="36" t="str">
        <f t="shared" si="3"/>
        <v>Regular Season</v>
      </c>
      <c r="N1997" s="239" t="str">
        <f t="shared" si="26"/>
        <v>Cock</v>
      </c>
      <c r="O1997" s="6">
        <f>VLOOKUP(D1997,'Mapped Opponent'!$G$4:$H$22,2,0)</f>
        <v>12</v>
      </c>
      <c r="P1997" s="6"/>
      <c r="Q1997" s="6" t="str">
        <f t="shared" si="4"/>
        <v>Week 12</v>
      </c>
      <c r="R1997" s="6" t="str">
        <f t="shared" si="5"/>
        <v>2021Week 12</v>
      </c>
      <c r="S1997" s="6">
        <f>IFERROR(__xludf.DUMMYFUNCTION("rank(J1997,FILTER(J:J,R:R=R1997))"),6.0)</f>
        <v>6</v>
      </c>
      <c r="T1997" s="6">
        <f t="shared" si="6"/>
        <v>6</v>
      </c>
      <c r="U1997" s="6">
        <f t="shared" si="7"/>
        <v>6</v>
      </c>
      <c r="V1997" s="42">
        <f>averageif(AllData!A:A,B1997,AllData!R:R)/vlookup(B1997,AllData!A:O,15,0)</f>
        <v>94.5352381</v>
      </c>
      <c r="W1997" s="6"/>
    </row>
    <row r="1998" ht="14.25" customHeight="1">
      <c r="A1998" s="6" t="str">
        <f t="shared" si="1"/>
        <v>2021Riley12</v>
      </c>
      <c r="B1998" s="59">
        <v>2021.0</v>
      </c>
      <c r="C1998" s="13" t="s">
        <v>67</v>
      </c>
      <c r="D1998" s="13" t="s">
        <v>151</v>
      </c>
      <c r="E1998" s="34"/>
      <c r="F1998" s="6"/>
      <c r="H1998" s="6"/>
      <c r="I1998" s="35" t="str">
        <f>IFERROR(IFERROR(IFERROR(VLOOKUP(B1998&amp;C1998&amp;Q1998,'New Weekly Paste'!A:M,10,0),VLOOKUP(B1998&amp;C1998&amp;Q1998,'New Weekly Paste'!B:O,6,0)),""),"")</f>
        <v>Tayski</v>
      </c>
      <c r="J1998" s="259">
        <f>IFERROR(IFERROR(VLOOKUP(B1998&amp;C1998&amp;Q1998,'New Weekly Paste'!A:M,8,0),VLOOKUP(B1998&amp;C1998&amp;Q1998,'New Weekly Paste'!B:O,10,0)),0)</f>
        <v>117.5</v>
      </c>
      <c r="K1998" s="259">
        <f>IFERROR(IFERROR(VLOOKUP(B1998&amp;I1998&amp;Q1998,'New Weekly Paste'!A:M,8,0),VLOOKUP(B1998&amp;I1998&amp;Q1998,'New Weekly Paste'!B:O,10,0)),0)</f>
        <v>39.94</v>
      </c>
      <c r="L1998" s="239">
        <f t="shared" si="25"/>
        <v>1</v>
      </c>
      <c r="M1998" s="36" t="str">
        <f t="shared" si="3"/>
        <v>Regular Season</v>
      </c>
      <c r="N1998" s="239" t="str">
        <f t="shared" si="26"/>
        <v>Tayski</v>
      </c>
      <c r="O1998" s="6">
        <f>VLOOKUP(D1998,'Mapped Opponent'!$G$4:$H$22,2,0)</f>
        <v>12</v>
      </c>
      <c r="P1998" s="6"/>
      <c r="Q1998" s="6" t="str">
        <f t="shared" si="4"/>
        <v>Week 12</v>
      </c>
      <c r="R1998" s="6" t="str">
        <f t="shared" si="5"/>
        <v>2021Week 12</v>
      </c>
      <c r="S1998" s="6">
        <f>IFERROR(__xludf.DUMMYFUNCTION("rank(J1998,FILTER(J:J,R:R=R1998))"),2.0)</f>
        <v>2</v>
      </c>
      <c r="T1998" s="6">
        <f t="shared" si="6"/>
        <v>10</v>
      </c>
      <c r="U1998" s="6">
        <f t="shared" si="7"/>
        <v>2</v>
      </c>
      <c r="V1998" s="42">
        <f>averageif(AllData!A:A,B1998,AllData!R:R)/vlookup(B1998,AllData!A:O,15,0)</f>
        <v>94.5352381</v>
      </c>
      <c r="W1998" s="6"/>
    </row>
    <row r="1999" ht="14.25" customHeight="1">
      <c r="A1999" s="6" t="str">
        <f t="shared" si="1"/>
        <v>2021Rooney/Jackson12</v>
      </c>
      <c r="B1999" s="59">
        <v>2021.0</v>
      </c>
      <c r="C1999" s="13" t="s">
        <v>57</v>
      </c>
      <c r="D1999" s="13" t="s">
        <v>151</v>
      </c>
      <c r="E1999" s="34"/>
      <c r="F1999" s="6"/>
      <c r="H1999" s="6"/>
      <c r="I1999" s="35" t="str">
        <f>IFERROR(IFERROR(IFERROR(VLOOKUP(B1999&amp;C1999&amp;Q1999,'New Weekly Paste'!A:M,10,0),VLOOKUP(B1999&amp;C1999&amp;Q1999,'New Weekly Paste'!B:O,6,0)),""),"")</f>
        <v>Salty</v>
      </c>
      <c r="J1999" s="259">
        <f>IFERROR(IFERROR(VLOOKUP(B1999&amp;C1999&amp;Q1999,'New Weekly Paste'!A:M,8,0),VLOOKUP(B1999&amp;C1999&amp;Q1999,'New Weekly Paste'!B:O,10,0)),0)</f>
        <v>89.72</v>
      </c>
      <c r="K1999" s="259">
        <f>IFERROR(IFERROR(VLOOKUP(B1999&amp;I1999&amp;Q1999,'New Weekly Paste'!A:M,8,0),VLOOKUP(B1999&amp;I1999&amp;Q1999,'New Weekly Paste'!B:O,10,0)),0)</f>
        <v>116.8</v>
      </c>
      <c r="L1999" s="239">
        <f t="shared" si="25"/>
        <v>0</v>
      </c>
      <c r="M1999" s="36" t="str">
        <f t="shared" si="3"/>
        <v>Regular Season</v>
      </c>
      <c r="N1999" s="239" t="str">
        <f t="shared" si="26"/>
        <v>Salty</v>
      </c>
      <c r="O1999" s="6">
        <f>VLOOKUP(D1999,'Mapped Opponent'!$G$4:$H$22,2,0)</f>
        <v>12</v>
      </c>
      <c r="P1999" s="6"/>
      <c r="Q1999" s="6" t="str">
        <f t="shared" si="4"/>
        <v>Week 12</v>
      </c>
      <c r="R1999" s="6" t="str">
        <f t="shared" si="5"/>
        <v>2021Week 12</v>
      </c>
      <c r="S1999" s="6">
        <f>IFERROR(__xludf.DUMMYFUNCTION("rank(J1999,FILTER(J:J,R:R=R1999))"),8.0)</f>
        <v>8</v>
      </c>
      <c r="T1999" s="6">
        <f t="shared" si="6"/>
        <v>4</v>
      </c>
      <c r="U1999" s="6">
        <f t="shared" si="7"/>
        <v>8</v>
      </c>
      <c r="V1999" s="42">
        <f>averageif(AllData!A:A,B1999,AllData!R:R)/vlookup(B1999,AllData!A:O,15,0)</f>
        <v>94.5352381</v>
      </c>
      <c r="W1999" s="6"/>
    </row>
    <row r="2000" ht="14.25" customHeight="1">
      <c r="A2000" s="6" t="str">
        <f t="shared" si="1"/>
        <v>2021Buser12</v>
      </c>
      <c r="B2000" s="59">
        <v>2021.0</v>
      </c>
      <c r="C2000" s="13" t="s">
        <v>47</v>
      </c>
      <c r="D2000" s="13" t="s">
        <v>151</v>
      </c>
      <c r="E2000" s="34"/>
      <c r="F2000" s="6"/>
      <c r="H2000" s="6"/>
      <c r="I2000" s="35" t="str">
        <f>IFERROR(IFERROR(IFERROR(VLOOKUP(B2000&amp;C2000&amp;Q2000,'New Weekly Paste'!A:M,10,0),VLOOKUP(B2000&amp;C2000&amp;Q2000,'New Weekly Paste'!B:O,6,0)),""),"")</f>
        <v>Pierson</v>
      </c>
      <c r="J2000" s="259">
        <f>IFERROR(IFERROR(VLOOKUP(B2000&amp;C2000&amp;Q2000,'New Weekly Paste'!A:M,8,0),VLOOKUP(B2000&amp;C2000&amp;Q2000,'New Weekly Paste'!B:O,10,0)),0)</f>
        <v>118.02</v>
      </c>
      <c r="K2000" s="259">
        <f>IFERROR(IFERROR(VLOOKUP(B2000&amp;I2000&amp;Q2000,'New Weekly Paste'!A:M,8,0),VLOOKUP(B2000&amp;I2000&amp;Q2000,'New Weekly Paste'!B:O,10,0)),0)</f>
        <v>104.54</v>
      </c>
      <c r="L2000" s="239">
        <f t="shared" si="25"/>
        <v>1</v>
      </c>
      <c r="M2000" s="36" t="str">
        <f t="shared" si="3"/>
        <v>Regular Season</v>
      </c>
      <c r="N2000" s="239" t="str">
        <f t="shared" si="26"/>
        <v>Pierson</v>
      </c>
      <c r="O2000" s="6">
        <f>VLOOKUP(D2000,'Mapped Opponent'!$G$4:$H$22,2,0)</f>
        <v>12</v>
      </c>
      <c r="P2000" s="6"/>
      <c r="Q2000" s="6" t="str">
        <f t="shared" si="4"/>
        <v>Week 12</v>
      </c>
      <c r="R2000" s="6" t="str">
        <f t="shared" si="5"/>
        <v>2021Week 12</v>
      </c>
      <c r="S2000" s="6">
        <f>IFERROR(__xludf.DUMMYFUNCTION("rank(J2000,FILTER(J:J,R:R=R2000))"),1.0)</f>
        <v>1</v>
      </c>
      <c r="T2000" s="6">
        <f t="shared" si="6"/>
        <v>11</v>
      </c>
      <c r="U2000" s="6">
        <f t="shared" si="7"/>
        <v>1</v>
      </c>
      <c r="V2000" s="42">
        <f>averageif(AllData!A:A,B2000,AllData!R:R)/vlookup(B2000,AllData!A:O,15,0)</f>
        <v>94.5352381</v>
      </c>
      <c r="W2000" s="6"/>
    </row>
    <row r="2001" ht="14.25" customHeight="1">
      <c r="A2001" s="6" t="str">
        <f t="shared" si="1"/>
        <v>2021Pierson12</v>
      </c>
      <c r="B2001" s="59">
        <v>2021.0</v>
      </c>
      <c r="C2001" s="13" t="s">
        <v>92</v>
      </c>
      <c r="D2001" s="13" t="s">
        <v>151</v>
      </c>
      <c r="E2001" s="34"/>
      <c r="F2001" s="6"/>
      <c r="H2001" s="6"/>
      <c r="I2001" s="35" t="str">
        <f>IFERROR(IFERROR(IFERROR(VLOOKUP(B2001&amp;C2001&amp;Q2001,'New Weekly Paste'!A:M,10,0),VLOOKUP(B2001&amp;C2001&amp;Q2001,'New Weekly Paste'!B:O,6,0)),""),"")</f>
        <v>Buser</v>
      </c>
      <c r="J2001" s="259">
        <f>IFERROR(IFERROR(VLOOKUP(B2001&amp;C2001&amp;Q2001,'New Weekly Paste'!A:M,8,0),VLOOKUP(B2001&amp;C2001&amp;Q2001,'New Weekly Paste'!B:O,10,0)),0)</f>
        <v>104.54</v>
      </c>
      <c r="K2001" s="259">
        <f>IFERROR(IFERROR(VLOOKUP(B2001&amp;I2001&amp;Q2001,'New Weekly Paste'!A:M,8,0),VLOOKUP(B2001&amp;I2001&amp;Q2001,'New Weekly Paste'!B:O,10,0)),0)</f>
        <v>118.02</v>
      </c>
      <c r="L2001" s="239">
        <f t="shared" si="25"/>
        <v>0</v>
      </c>
      <c r="M2001" s="36" t="str">
        <f t="shared" si="3"/>
        <v>Regular Season</v>
      </c>
      <c r="N2001" s="239" t="str">
        <f t="shared" si="26"/>
        <v>Buser</v>
      </c>
      <c r="O2001" s="6">
        <f>VLOOKUP(D2001,'Mapped Opponent'!$G$4:$H$22,2,0)</f>
        <v>12</v>
      </c>
      <c r="P2001" s="6"/>
      <c r="Q2001" s="6" t="str">
        <f t="shared" si="4"/>
        <v>Week 12</v>
      </c>
      <c r="R2001" s="6" t="str">
        <f t="shared" si="5"/>
        <v>2021Week 12</v>
      </c>
      <c r="S2001" s="6">
        <f>IFERROR(__xludf.DUMMYFUNCTION("rank(J2001,FILTER(J:J,R:R=R2001))"),5.0)</f>
        <v>5</v>
      </c>
      <c r="T2001" s="6">
        <f t="shared" si="6"/>
        <v>7</v>
      </c>
      <c r="U2001" s="6">
        <f t="shared" si="7"/>
        <v>5</v>
      </c>
      <c r="V2001" s="42">
        <f>averageif(AllData!A:A,B2001,AllData!R:R)/vlookup(B2001,AllData!A:O,15,0)</f>
        <v>94.5352381</v>
      </c>
      <c r="W2001" s="6"/>
    </row>
    <row r="2002" ht="14.25" customHeight="1">
      <c r="A2002" s="6" t="str">
        <f t="shared" si="1"/>
        <v>2021Cock12</v>
      </c>
      <c r="B2002" s="59">
        <v>2021.0</v>
      </c>
      <c r="C2002" s="13" t="s">
        <v>72</v>
      </c>
      <c r="D2002" s="13" t="s">
        <v>151</v>
      </c>
      <c r="E2002" s="34"/>
      <c r="F2002" s="6"/>
      <c r="H2002" s="6"/>
      <c r="I2002" s="35" t="str">
        <f>IFERROR(IFERROR(IFERROR(VLOOKUP(B2002&amp;C2002&amp;Q2002,'New Weekly Paste'!A:M,10,0),VLOOKUP(B2002&amp;C2002&amp;Q2002,'New Weekly Paste'!B:O,6,0)),""),"")</f>
        <v>Shep</v>
      </c>
      <c r="J2002" s="259">
        <f>IFERROR(IFERROR(VLOOKUP(B2002&amp;C2002&amp;Q2002,'New Weekly Paste'!A:M,8,0),VLOOKUP(B2002&amp;C2002&amp;Q2002,'New Weekly Paste'!B:O,10,0)),0)</f>
        <v>46.96</v>
      </c>
      <c r="K2002" s="259">
        <f>IFERROR(IFERROR(VLOOKUP(B2002&amp;I2002&amp;Q2002,'New Weekly Paste'!A:M,8,0),VLOOKUP(B2002&amp;I2002&amp;Q2002,'New Weekly Paste'!B:O,10,0)),0)</f>
        <v>102.2</v>
      </c>
      <c r="L2002" s="239">
        <f t="shared" si="25"/>
        <v>0</v>
      </c>
      <c r="M2002" s="36" t="str">
        <f t="shared" si="3"/>
        <v>Regular Season</v>
      </c>
      <c r="N2002" s="239" t="str">
        <f t="shared" si="26"/>
        <v>Shep</v>
      </c>
      <c r="O2002" s="6">
        <f>VLOOKUP(D2002,'Mapped Opponent'!$G$4:$H$22,2,0)</f>
        <v>12</v>
      </c>
      <c r="P2002" s="6"/>
      <c r="Q2002" s="6" t="str">
        <f t="shared" si="4"/>
        <v>Week 12</v>
      </c>
      <c r="R2002" s="6" t="str">
        <f t="shared" si="5"/>
        <v>2021Week 12</v>
      </c>
      <c r="S2002" s="6">
        <f>IFERROR(__xludf.DUMMYFUNCTION("rank(J2002,FILTER(J:J,R:R=R2002))"),11.0)</f>
        <v>11</v>
      </c>
      <c r="T2002" s="6">
        <f t="shared" si="6"/>
        <v>1</v>
      </c>
      <c r="U2002" s="6">
        <f t="shared" si="7"/>
        <v>11</v>
      </c>
      <c r="V2002" s="42">
        <f>averageif(AllData!A:A,B2002,AllData!R:R)/vlookup(B2002,AllData!A:O,15,0)</f>
        <v>94.5352381</v>
      </c>
      <c r="W2002" s="6"/>
    </row>
    <row r="2003" ht="14.25" customHeight="1">
      <c r="A2003" s="6" t="str">
        <f t="shared" si="1"/>
        <v>2021Tayski12</v>
      </c>
      <c r="B2003" s="59">
        <v>2021.0</v>
      </c>
      <c r="C2003" s="13" t="s">
        <v>52</v>
      </c>
      <c r="D2003" s="13" t="s">
        <v>151</v>
      </c>
      <c r="E2003" s="34"/>
      <c r="F2003" s="6"/>
      <c r="H2003" s="6"/>
      <c r="I2003" s="35" t="str">
        <f>IFERROR(IFERROR(IFERROR(VLOOKUP(B2003&amp;C2003&amp;Q2003,'New Weekly Paste'!A:M,10,0),VLOOKUP(B2003&amp;C2003&amp;Q2003,'New Weekly Paste'!B:O,6,0)),""),"")</f>
        <v>Riley</v>
      </c>
      <c r="J2003" s="259">
        <f>IFERROR(IFERROR(VLOOKUP(B2003&amp;C2003&amp;Q2003,'New Weekly Paste'!A:M,8,0),VLOOKUP(B2003&amp;C2003&amp;Q2003,'New Weekly Paste'!B:O,10,0)),0)</f>
        <v>39.94</v>
      </c>
      <c r="K2003" s="259">
        <f>IFERROR(IFERROR(VLOOKUP(B2003&amp;I2003&amp;Q2003,'New Weekly Paste'!A:M,8,0),VLOOKUP(B2003&amp;I2003&amp;Q2003,'New Weekly Paste'!B:O,10,0)),0)</f>
        <v>117.5</v>
      </c>
      <c r="L2003" s="239">
        <f t="shared" si="25"/>
        <v>0</v>
      </c>
      <c r="M2003" s="36" t="str">
        <f t="shared" si="3"/>
        <v>Regular Season</v>
      </c>
      <c r="N2003" s="239" t="str">
        <f t="shared" si="26"/>
        <v>Riley</v>
      </c>
      <c r="O2003" s="6">
        <f>VLOOKUP(D2003,'Mapped Opponent'!$G$4:$H$22,2,0)</f>
        <v>12</v>
      </c>
      <c r="P2003" s="6"/>
      <c r="Q2003" s="6" t="str">
        <f t="shared" si="4"/>
        <v>Week 12</v>
      </c>
      <c r="R2003" s="6" t="str">
        <f t="shared" si="5"/>
        <v>2021Week 12</v>
      </c>
      <c r="S2003" s="6">
        <f>IFERROR(__xludf.DUMMYFUNCTION("rank(J2003,FILTER(J:J,R:R=R2003))"),12.0)</f>
        <v>12</v>
      </c>
      <c r="T2003" s="6">
        <f t="shared" si="6"/>
        <v>0</v>
      </c>
      <c r="U2003" s="6">
        <f t="shared" si="7"/>
        <v>12</v>
      </c>
      <c r="V2003" s="42">
        <f>averageif(AllData!A:A,B2003,AllData!R:R)/vlookup(B2003,AllData!A:O,15,0)</f>
        <v>94.5352381</v>
      </c>
      <c r="W2003" s="6"/>
    </row>
    <row r="2004" ht="14.25" customHeight="1">
      <c r="A2004" s="6" t="str">
        <f t="shared" si="1"/>
        <v>2021KnardDawg12</v>
      </c>
      <c r="B2004" s="59">
        <v>2021.0</v>
      </c>
      <c r="C2004" s="13" t="s">
        <v>86</v>
      </c>
      <c r="D2004" s="13" t="s">
        <v>151</v>
      </c>
      <c r="E2004" s="34"/>
      <c r="F2004" s="6"/>
      <c r="H2004" s="6"/>
      <c r="I2004" s="35" t="str">
        <f>IFERROR(IFERROR(IFERROR(VLOOKUP(B2004&amp;C2004&amp;Q2004,'New Weekly Paste'!A:M,10,0),VLOOKUP(B2004&amp;C2004&amp;Q2004,'New Weekly Paste'!B:O,6,0)),""),"")</f>
        <v>Fellows</v>
      </c>
      <c r="J2004" s="259">
        <f>IFERROR(IFERROR(VLOOKUP(B2004&amp;C2004&amp;Q2004,'New Weekly Paste'!A:M,8,0),VLOOKUP(B2004&amp;C2004&amp;Q2004,'New Weekly Paste'!B:O,10,0)),0)</f>
        <v>97.18</v>
      </c>
      <c r="K2004" s="259">
        <f>IFERROR(IFERROR(VLOOKUP(B2004&amp;I2004&amp;Q2004,'New Weekly Paste'!A:M,8,0),VLOOKUP(B2004&amp;I2004&amp;Q2004,'New Weekly Paste'!B:O,10,0)),0)</f>
        <v>62.52</v>
      </c>
      <c r="L2004" s="239">
        <f t="shared" si="25"/>
        <v>1</v>
      </c>
      <c r="M2004" s="36" t="str">
        <f t="shared" si="3"/>
        <v>Regular Season</v>
      </c>
      <c r="N2004" s="239" t="str">
        <f t="shared" si="26"/>
        <v>Fellows</v>
      </c>
      <c r="O2004" s="6">
        <f>VLOOKUP(D2004,'Mapped Opponent'!$G$4:$H$22,2,0)</f>
        <v>12</v>
      </c>
      <c r="P2004" s="6"/>
      <c r="Q2004" s="6" t="str">
        <f t="shared" si="4"/>
        <v>Week 12</v>
      </c>
      <c r="R2004" s="6" t="str">
        <f t="shared" si="5"/>
        <v>2021Week 12</v>
      </c>
      <c r="S2004" s="6">
        <f>IFERROR(__xludf.DUMMYFUNCTION("rank(J2004,FILTER(J:J,R:R=R2004))"),7.0)</f>
        <v>7</v>
      </c>
      <c r="T2004" s="6">
        <f t="shared" si="6"/>
        <v>5</v>
      </c>
      <c r="U2004" s="6">
        <f t="shared" si="7"/>
        <v>7</v>
      </c>
      <c r="V2004" s="42">
        <f>averageif(AllData!A:A,B2004,AllData!R:R)/vlookup(B2004,AllData!A:O,15,0)</f>
        <v>94.5352381</v>
      </c>
      <c r="W2004" s="6"/>
    </row>
    <row r="2005" ht="14.25" customHeight="1">
      <c r="A2005" s="6" t="str">
        <f t="shared" si="1"/>
        <v>2021T-How12</v>
      </c>
      <c r="B2005" s="59">
        <v>2021.0</v>
      </c>
      <c r="C2005" s="13" t="s">
        <v>82</v>
      </c>
      <c r="D2005" s="13" t="s">
        <v>151</v>
      </c>
      <c r="E2005" s="34"/>
      <c r="F2005" s="6"/>
      <c r="H2005" s="6"/>
      <c r="I2005" s="35" t="str">
        <f>IFERROR(IFERROR(IFERROR(VLOOKUP(B2005&amp;C2005&amp;Q2005,'New Weekly Paste'!A:M,10,0),VLOOKUP(B2005&amp;C2005&amp;Q2005,'New Weekly Paste'!B:O,6,0)),""),"")</f>
        <v>Hudspeath</v>
      </c>
      <c r="J2005" s="259">
        <f>IFERROR(IFERROR(VLOOKUP(B2005&amp;C2005&amp;Q2005,'New Weekly Paste'!A:M,8,0),VLOOKUP(B2005&amp;C2005&amp;Q2005,'New Weekly Paste'!B:O,10,0)),0)</f>
        <v>79.12</v>
      </c>
      <c r="K2005" s="259">
        <f>IFERROR(IFERROR(VLOOKUP(B2005&amp;I2005&amp;Q2005,'New Weekly Paste'!A:M,8,0),VLOOKUP(B2005&amp;I2005&amp;Q2005,'New Weekly Paste'!B:O,10,0)),0)</f>
        <v>104.88</v>
      </c>
      <c r="L2005" s="239">
        <f t="shared" si="25"/>
        <v>0</v>
      </c>
      <c r="M2005" s="36" t="str">
        <f t="shared" si="3"/>
        <v>Regular Season</v>
      </c>
      <c r="N2005" s="239" t="str">
        <f t="shared" si="26"/>
        <v>Hudspeath</v>
      </c>
      <c r="O2005" s="6">
        <f>VLOOKUP(D2005,'Mapped Opponent'!$G$4:$H$22,2,0)</f>
        <v>12</v>
      </c>
      <c r="P2005" s="6"/>
      <c r="Q2005" s="6" t="str">
        <f t="shared" si="4"/>
        <v>Week 12</v>
      </c>
      <c r="R2005" s="6" t="str">
        <f t="shared" si="5"/>
        <v>2021Week 12</v>
      </c>
      <c r="S2005" s="6">
        <f>IFERROR(__xludf.DUMMYFUNCTION("rank(J2005,FILTER(J:J,R:R=R2005))"),9.0)</f>
        <v>9</v>
      </c>
      <c r="T2005" s="6">
        <f t="shared" si="6"/>
        <v>3</v>
      </c>
      <c r="U2005" s="6">
        <f t="shared" si="7"/>
        <v>9</v>
      </c>
      <c r="V2005" s="42">
        <f>averageif(AllData!A:A,B2005,AllData!R:R)/vlookup(B2005,AllData!A:O,15,0)</f>
        <v>94.5352381</v>
      </c>
      <c r="W2005" s="6"/>
    </row>
    <row r="2006" ht="14.25" customHeight="1">
      <c r="A2006" s="6" t="str">
        <f t="shared" si="1"/>
        <v>2021Hudspeath13</v>
      </c>
      <c r="B2006" s="59">
        <v>2021.0</v>
      </c>
      <c r="C2006" s="13" t="s">
        <v>39</v>
      </c>
      <c r="D2006" s="13" t="s">
        <v>152</v>
      </c>
      <c r="E2006" s="34"/>
      <c r="F2006" s="6"/>
      <c r="H2006" s="6"/>
      <c r="I2006" s="35" t="str">
        <f>IFERROR(IFERROR(IFERROR(VLOOKUP(B2006&amp;C2006&amp;Q2006,'New Weekly Paste'!A:M,10,0),VLOOKUP(B2006&amp;C2006&amp;Q2006,'New Weekly Paste'!B:O,6,0)),""),"")</f>
        <v>Cock</v>
      </c>
      <c r="J2006" s="259">
        <f>IFERROR(IFERROR(VLOOKUP(B2006&amp;C2006&amp;Q2006,'New Weekly Paste'!A:M,8,0),VLOOKUP(B2006&amp;C2006&amp;Q2006,'New Weekly Paste'!B:O,10,0)),0)</f>
        <v>102.26</v>
      </c>
      <c r="K2006" s="259">
        <f>IFERROR(IFERROR(VLOOKUP(B2006&amp;I2006&amp;Q2006,'New Weekly Paste'!A:M,8,0),VLOOKUP(B2006&amp;I2006&amp;Q2006,'New Weekly Paste'!B:O,10,0)),0)</f>
        <v>58.2</v>
      </c>
      <c r="L2006" s="239">
        <f t="shared" si="25"/>
        <v>1</v>
      </c>
      <c r="M2006" s="36" t="str">
        <f t="shared" si="3"/>
        <v>Regular Season</v>
      </c>
      <c r="N2006" s="239" t="str">
        <f t="shared" si="26"/>
        <v>Cock</v>
      </c>
      <c r="O2006" s="6">
        <f>VLOOKUP(D2006,'Mapped Opponent'!$G$4:$H$22,2,0)</f>
        <v>13</v>
      </c>
      <c r="P2006" s="6"/>
      <c r="Q2006" s="6" t="str">
        <f t="shared" si="4"/>
        <v>Week 13</v>
      </c>
      <c r="R2006" s="6" t="str">
        <f t="shared" si="5"/>
        <v>2021Week 13</v>
      </c>
      <c r="S2006" s="6">
        <f>IFERROR(__xludf.DUMMYFUNCTION("rank(J2006,FILTER(J:J,R:R=R2006))"),5.0)</f>
        <v>5</v>
      </c>
      <c r="T2006" s="6">
        <f t="shared" si="6"/>
        <v>7</v>
      </c>
      <c r="U2006" s="6">
        <f t="shared" si="7"/>
        <v>5</v>
      </c>
      <c r="V2006" s="42">
        <f>averageif(AllData!A:A,B2006,AllData!R:R)/vlookup(B2006,AllData!A:O,15,0)</f>
        <v>94.5352381</v>
      </c>
      <c r="W2006" s="6"/>
    </row>
    <row r="2007" ht="14.25" customHeight="1">
      <c r="A2007" s="6" t="str">
        <f t="shared" si="1"/>
        <v>2021Salty13</v>
      </c>
      <c r="B2007" s="59">
        <v>2021.0</v>
      </c>
      <c r="C2007" s="13" t="s">
        <v>76</v>
      </c>
      <c r="D2007" s="13" t="s">
        <v>152</v>
      </c>
      <c r="E2007" s="34"/>
      <c r="F2007" s="6"/>
      <c r="H2007" s="6"/>
      <c r="I2007" s="35" t="str">
        <f>IFERROR(IFERROR(IFERROR(VLOOKUP(B2007&amp;C2007&amp;Q2007,'New Weekly Paste'!A:M,10,0),VLOOKUP(B2007&amp;C2007&amp;Q2007,'New Weekly Paste'!B:O,6,0)),""),"")</f>
        <v>Buser</v>
      </c>
      <c r="J2007" s="259">
        <f>IFERROR(IFERROR(VLOOKUP(B2007&amp;C2007&amp;Q2007,'New Weekly Paste'!A:M,8,0),VLOOKUP(B2007&amp;C2007&amp;Q2007,'New Weekly Paste'!B:O,10,0)),0)</f>
        <v>85.6</v>
      </c>
      <c r="K2007" s="259">
        <f>IFERROR(IFERROR(VLOOKUP(B2007&amp;I2007&amp;Q2007,'New Weekly Paste'!A:M,8,0),VLOOKUP(B2007&amp;I2007&amp;Q2007,'New Weekly Paste'!B:O,10,0)),0)</f>
        <v>134.78</v>
      </c>
      <c r="L2007" s="239">
        <f t="shared" si="25"/>
        <v>0</v>
      </c>
      <c r="M2007" s="36" t="str">
        <f t="shared" si="3"/>
        <v>Regular Season</v>
      </c>
      <c r="N2007" s="239" t="str">
        <f t="shared" si="26"/>
        <v>Buser</v>
      </c>
      <c r="O2007" s="6">
        <f>VLOOKUP(D2007,'Mapped Opponent'!$G$4:$H$22,2,0)</f>
        <v>13</v>
      </c>
      <c r="P2007" s="6"/>
      <c r="Q2007" s="6" t="str">
        <f t="shared" si="4"/>
        <v>Week 13</v>
      </c>
      <c r="R2007" s="6" t="str">
        <f t="shared" si="5"/>
        <v>2021Week 13</v>
      </c>
      <c r="S2007" s="6">
        <f>IFERROR(__xludf.DUMMYFUNCTION("rank(J2007,FILTER(J:J,R:R=R2007))"),8.0)</f>
        <v>8</v>
      </c>
      <c r="T2007" s="6">
        <f t="shared" si="6"/>
        <v>4</v>
      </c>
      <c r="U2007" s="6">
        <f t="shared" si="7"/>
        <v>8</v>
      </c>
      <c r="V2007" s="42">
        <f>averageif(AllData!A:A,B2007,AllData!R:R)/vlookup(B2007,AllData!A:O,15,0)</f>
        <v>94.5352381</v>
      </c>
      <c r="W2007" s="6"/>
    </row>
    <row r="2008" ht="14.25" customHeight="1">
      <c r="A2008" s="6" t="str">
        <f t="shared" si="1"/>
        <v>2021Fellows13</v>
      </c>
      <c r="B2008" s="59">
        <v>2021.0</v>
      </c>
      <c r="C2008" s="13" t="s">
        <v>79</v>
      </c>
      <c r="D2008" s="13" t="s">
        <v>152</v>
      </c>
      <c r="E2008" s="34"/>
      <c r="F2008" s="6"/>
      <c r="H2008" s="6"/>
      <c r="I2008" s="35" t="str">
        <f>IFERROR(IFERROR(IFERROR(VLOOKUP(B2008&amp;C2008&amp;Q2008,'New Weekly Paste'!A:M,10,0),VLOOKUP(B2008&amp;C2008&amp;Q2008,'New Weekly Paste'!B:O,6,0)),""),"")</f>
        <v>Rooney/Jackson</v>
      </c>
      <c r="J2008" s="259">
        <f>IFERROR(IFERROR(VLOOKUP(B2008&amp;C2008&amp;Q2008,'New Weekly Paste'!A:M,8,0),VLOOKUP(B2008&amp;C2008&amp;Q2008,'New Weekly Paste'!B:O,10,0)),0)</f>
        <v>117.56</v>
      </c>
      <c r="K2008" s="259">
        <f>IFERROR(IFERROR(VLOOKUP(B2008&amp;I2008&amp;Q2008,'New Weekly Paste'!A:M,8,0),VLOOKUP(B2008&amp;I2008&amp;Q2008,'New Weekly Paste'!B:O,10,0)),0)</f>
        <v>85.82</v>
      </c>
      <c r="L2008" s="239">
        <f t="shared" si="25"/>
        <v>1</v>
      </c>
      <c r="M2008" s="36" t="str">
        <f t="shared" si="3"/>
        <v>Regular Season</v>
      </c>
      <c r="N2008" s="239" t="str">
        <f t="shared" si="26"/>
        <v>Rooney/Jackson</v>
      </c>
      <c r="O2008" s="6">
        <f>VLOOKUP(D2008,'Mapped Opponent'!$G$4:$H$22,2,0)</f>
        <v>13</v>
      </c>
      <c r="P2008" s="6"/>
      <c r="Q2008" s="6" t="str">
        <f t="shared" si="4"/>
        <v>Week 13</v>
      </c>
      <c r="R2008" s="6" t="str">
        <f t="shared" si="5"/>
        <v>2021Week 13</v>
      </c>
      <c r="S2008" s="6">
        <f>IFERROR(__xludf.DUMMYFUNCTION("rank(J2008,FILTER(J:J,R:R=R2008))"),3.0)</f>
        <v>3</v>
      </c>
      <c r="T2008" s="6">
        <f t="shared" si="6"/>
        <v>9</v>
      </c>
      <c r="U2008" s="6">
        <f t="shared" si="7"/>
        <v>3</v>
      </c>
      <c r="V2008" s="42">
        <f>averageif(AllData!A:A,B2008,AllData!R:R)/vlookup(B2008,AllData!A:O,15,0)</f>
        <v>94.5352381</v>
      </c>
      <c r="W2008" s="6"/>
    </row>
    <row r="2009" ht="14.25" customHeight="1">
      <c r="A2009" s="6" t="str">
        <f t="shared" si="1"/>
        <v>2021Shep13</v>
      </c>
      <c r="B2009" s="59">
        <v>2021.0</v>
      </c>
      <c r="C2009" s="13" t="s">
        <v>89</v>
      </c>
      <c r="D2009" s="13" t="s">
        <v>152</v>
      </c>
      <c r="E2009" s="34"/>
      <c r="F2009" s="6"/>
      <c r="H2009" s="6"/>
      <c r="I2009" s="35" t="str">
        <f>IFERROR(IFERROR(IFERROR(VLOOKUP(B2009&amp;C2009&amp;Q2009,'New Weekly Paste'!A:M,10,0),VLOOKUP(B2009&amp;C2009&amp;Q2009,'New Weekly Paste'!B:O,6,0)),""),"")</f>
        <v>KnardDawg</v>
      </c>
      <c r="J2009" s="259">
        <f>IFERROR(IFERROR(VLOOKUP(B2009&amp;C2009&amp;Q2009,'New Weekly Paste'!A:M,8,0),VLOOKUP(B2009&amp;C2009&amp;Q2009,'New Weekly Paste'!B:O,10,0)),0)</f>
        <v>112.02</v>
      </c>
      <c r="K2009" s="259">
        <f>IFERROR(IFERROR(VLOOKUP(B2009&amp;I2009&amp;Q2009,'New Weekly Paste'!A:M,8,0),VLOOKUP(B2009&amp;I2009&amp;Q2009,'New Weekly Paste'!B:O,10,0)),0)</f>
        <v>68.44</v>
      </c>
      <c r="L2009" s="239">
        <f t="shared" si="25"/>
        <v>1</v>
      </c>
      <c r="M2009" s="36" t="str">
        <f t="shared" si="3"/>
        <v>Regular Season</v>
      </c>
      <c r="N2009" s="239" t="str">
        <f t="shared" si="26"/>
        <v>KnardDawg</v>
      </c>
      <c r="O2009" s="6">
        <f>VLOOKUP(D2009,'Mapped Opponent'!$G$4:$H$22,2,0)</f>
        <v>13</v>
      </c>
      <c r="P2009" s="6"/>
      <c r="Q2009" s="6" t="str">
        <f t="shared" si="4"/>
        <v>Week 13</v>
      </c>
      <c r="R2009" s="6" t="str">
        <f t="shared" si="5"/>
        <v>2021Week 13</v>
      </c>
      <c r="S2009" s="6">
        <f>IFERROR(__xludf.DUMMYFUNCTION("rank(J2009,FILTER(J:J,R:R=R2009))"),4.0)</f>
        <v>4</v>
      </c>
      <c r="T2009" s="6">
        <f t="shared" si="6"/>
        <v>8</v>
      </c>
      <c r="U2009" s="6">
        <f t="shared" si="7"/>
        <v>4</v>
      </c>
      <c r="V2009" s="42">
        <f>averageif(AllData!A:A,B2009,AllData!R:R)/vlookup(B2009,AllData!A:O,15,0)</f>
        <v>94.5352381</v>
      </c>
      <c r="W2009" s="6"/>
    </row>
    <row r="2010" ht="14.25" customHeight="1">
      <c r="A2010" s="6" t="str">
        <f t="shared" si="1"/>
        <v>2021Riley13</v>
      </c>
      <c r="B2010" s="59">
        <v>2021.0</v>
      </c>
      <c r="C2010" s="13" t="s">
        <v>67</v>
      </c>
      <c r="D2010" s="13" t="s">
        <v>152</v>
      </c>
      <c r="E2010" s="34"/>
      <c r="F2010" s="6"/>
      <c r="H2010" s="6"/>
      <c r="I2010" s="35" t="str">
        <f>IFERROR(IFERROR(IFERROR(VLOOKUP(B2010&amp;C2010&amp;Q2010,'New Weekly Paste'!A:M,10,0),VLOOKUP(B2010&amp;C2010&amp;Q2010,'New Weekly Paste'!B:O,6,0)),""),"")</f>
        <v>T-How</v>
      </c>
      <c r="J2010" s="259">
        <f>IFERROR(IFERROR(VLOOKUP(B2010&amp;C2010&amp;Q2010,'New Weekly Paste'!A:M,8,0),VLOOKUP(B2010&amp;C2010&amp;Q2010,'New Weekly Paste'!B:O,10,0)),0)</f>
        <v>119.22</v>
      </c>
      <c r="K2010" s="259">
        <f>IFERROR(IFERROR(VLOOKUP(B2010&amp;I2010&amp;Q2010,'New Weekly Paste'!A:M,8,0),VLOOKUP(B2010&amp;I2010&amp;Q2010,'New Weekly Paste'!B:O,10,0)),0)</f>
        <v>73.16</v>
      </c>
      <c r="L2010" s="239">
        <f t="shared" si="25"/>
        <v>1</v>
      </c>
      <c r="M2010" s="36" t="str">
        <f t="shared" si="3"/>
        <v>Regular Season</v>
      </c>
      <c r="N2010" s="239" t="str">
        <f t="shared" si="26"/>
        <v>T-How</v>
      </c>
      <c r="O2010" s="6">
        <f>VLOOKUP(D2010,'Mapped Opponent'!$G$4:$H$22,2,0)</f>
        <v>13</v>
      </c>
      <c r="P2010" s="6"/>
      <c r="Q2010" s="6" t="str">
        <f t="shared" si="4"/>
        <v>Week 13</v>
      </c>
      <c r="R2010" s="6" t="str">
        <f t="shared" si="5"/>
        <v>2021Week 13</v>
      </c>
      <c r="S2010" s="6">
        <f>IFERROR(__xludf.DUMMYFUNCTION("rank(J2010,FILTER(J:J,R:R=R2010))"),2.0)</f>
        <v>2</v>
      </c>
      <c r="T2010" s="6">
        <f t="shared" si="6"/>
        <v>10</v>
      </c>
      <c r="U2010" s="6">
        <f t="shared" si="7"/>
        <v>2</v>
      </c>
      <c r="V2010" s="42">
        <f>averageif(AllData!A:A,B2010,AllData!R:R)/vlookup(B2010,AllData!A:O,15,0)</f>
        <v>94.5352381</v>
      </c>
      <c r="W2010" s="6"/>
    </row>
    <row r="2011" ht="14.25" customHeight="1">
      <c r="A2011" s="6" t="str">
        <f t="shared" si="1"/>
        <v>2021Rooney/Jackson13</v>
      </c>
      <c r="B2011" s="59">
        <v>2021.0</v>
      </c>
      <c r="C2011" s="13" t="s">
        <v>57</v>
      </c>
      <c r="D2011" s="13" t="s">
        <v>152</v>
      </c>
      <c r="E2011" s="34"/>
      <c r="F2011" s="6"/>
      <c r="H2011" s="6"/>
      <c r="I2011" s="35" t="str">
        <f>IFERROR(IFERROR(IFERROR(VLOOKUP(B2011&amp;C2011&amp;Q2011,'New Weekly Paste'!A:M,10,0),VLOOKUP(B2011&amp;C2011&amp;Q2011,'New Weekly Paste'!B:O,6,0)),""),"")</f>
        <v>Fellows</v>
      </c>
      <c r="J2011" s="259">
        <f>IFERROR(IFERROR(VLOOKUP(B2011&amp;C2011&amp;Q2011,'New Weekly Paste'!A:M,8,0),VLOOKUP(B2011&amp;C2011&amp;Q2011,'New Weekly Paste'!B:O,10,0)),0)</f>
        <v>85.82</v>
      </c>
      <c r="K2011" s="259">
        <f>IFERROR(IFERROR(VLOOKUP(B2011&amp;I2011&amp;Q2011,'New Weekly Paste'!A:M,8,0),VLOOKUP(B2011&amp;I2011&amp;Q2011,'New Weekly Paste'!B:O,10,0)),0)</f>
        <v>117.56</v>
      </c>
      <c r="L2011" s="239">
        <f t="shared" si="25"/>
        <v>0</v>
      </c>
      <c r="M2011" s="36" t="str">
        <f t="shared" si="3"/>
        <v>Regular Season</v>
      </c>
      <c r="N2011" s="239" t="str">
        <f t="shared" si="26"/>
        <v>Fellows</v>
      </c>
      <c r="O2011" s="6">
        <f>VLOOKUP(D2011,'Mapped Opponent'!$G$4:$H$22,2,0)</f>
        <v>13</v>
      </c>
      <c r="P2011" s="6"/>
      <c r="Q2011" s="6" t="str">
        <f t="shared" si="4"/>
        <v>Week 13</v>
      </c>
      <c r="R2011" s="6" t="str">
        <f t="shared" si="5"/>
        <v>2021Week 13</v>
      </c>
      <c r="S2011" s="6">
        <f>IFERROR(__xludf.DUMMYFUNCTION("rank(J2011,FILTER(J:J,R:R=R2011))"),7.0)</f>
        <v>7</v>
      </c>
      <c r="T2011" s="6">
        <f t="shared" si="6"/>
        <v>5</v>
      </c>
      <c r="U2011" s="6">
        <f t="shared" si="7"/>
        <v>7</v>
      </c>
      <c r="V2011" s="42">
        <f>averageif(AllData!A:A,B2011,AllData!R:R)/vlookup(B2011,AllData!A:O,15,0)</f>
        <v>94.5352381</v>
      </c>
      <c r="W2011" s="6"/>
    </row>
    <row r="2012" ht="14.25" customHeight="1">
      <c r="A2012" s="6" t="str">
        <f t="shared" si="1"/>
        <v>2021Buser13</v>
      </c>
      <c r="B2012" s="59">
        <v>2021.0</v>
      </c>
      <c r="C2012" s="13" t="s">
        <v>47</v>
      </c>
      <c r="D2012" s="13" t="s">
        <v>152</v>
      </c>
      <c r="E2012" s="34"/>
      <c r="F2012" s="6"/>
      <c r="H2012" s="6"/>
      <c r="I2012" s="35" t="str">
        <f>IFERROR(IFERROR(IFERROR(VLOOKUP(B2012&amp;C2012&amp;Q2012,'New Weekly Paste'!A:M,10,0),VLOOKUP(B2012&amp;C2012&amp;Q2012,'New Weekly Paste'!B:O,6,0)),""),"")</f>
        <v>Salty</v>
      </c>
      <c r="J2012" s="259">
        <f>IFERROR(IFERROR(VLOOKUP(B2012&amp;C2012&amp;Q2012,'New Weekly Paste'!A:M,8,0),VLOOKUP(B2012&amp;C2012&amp;Q2012,'New Weekly Paste'!B:O,10,0)),0)</f>
        <v>134.78</v>
      </c>
      <c r="K2012" s="259">
        <f>IFERROR(IFERROR(VLOOKUP(B2012&amp;I2012&amp;Q2012,'New Weekly Paste'!A:M,8,0),VLOOKUP(B2012&amp;I2012&amp;Q2012,'New Weekly Paste'!B:O,10,0)),0)</f>
        <v>85.6</v>
      </c>
      <c r="L2012" s="239">
        <f t="shared" si="25"/>
        <v>1</v>
      </c>
      <c r="M2012" s="36" t="str">
        <f t="shared" si="3"/>
        <v>Regular Season</v>
      </c>
      <c r="N2012" s="239" t="str">
        <f t="shared" si="26"/>
        <v>Salty</v>
      </c>
      <c r="O2012" s="6">
        <f>VLOOKUP(D2012,'Mapped Opponent'!$G$4:$H$22,2,0)</f>
        <v>13</v>
      </c>
      <c r="P2012" s="6"/>
      <c r="Q2012" s="6" t="str">
        <f t="shared" si="4"/>
        <v>Week 13</v>
      </c>
      <c r="R2012" s="6" t="str">
        <f t="shared" si="5"/>
        <v>2021Week 13</v>
      </c>
      <c r="S2012" s="6">
        <f>IFERROR(__xludf.DUMMYFUNCTION("rank(J2012,FILTER(J:J,R:R=R2012))"),1.0)</f>
        <v>1</v>
      </c>
      <c r="T2012" s="6">
        <f t="shared" si="6"/>
        <v>11</v>
      </c>
      <c r="U2012" s="6">
        <f t="shared" si="7"/>
        <v>1</v>
      </c>
      <c r="V2012" s="42">
        <f>averageif(AllData!A:A,B2012,AllData!R:R)/vlookup(B2012,AllData!A:O,15,0)</f>
        <v>94.5352381</v>
      </c>
      <c r="W2012" s="6"/>
    </row>
    <row r="2013" ht="14.25" customHeight="1">
      <c r="A2013" s="6" t="str">
        <f t="shared" si="1"/>
        <v>2021Pierson13</v>
      </c>
      <c r="B2013" s="59">
        <v>2021.0</v>
      </c>
      <c r="C2013" s="13" t="s">
        <v>92</v>
      </c>
      <c r="D2013" s="13" t="s">
        <v>152</v>
      </c>
      <c r="E2013" s="34"/>
      <c r="F2013" s="6"/>
      <c r="H2013" s="6"/>
      <c r="I2013" s="35" t="str">
        <f>IFERROR(IFERROR(IFERROR(VLOOKUP(B2013&amp;C2013&amp;Q2013,'New Weekly Paste'!A:M,10,0),VLOOKUP(B2013&amp;C2013&amp;Q2013,'New Weekly Paste'!B:O,6,0)),""),"")</f>
        <v>Tayski</v>
      </c>
      <c r="J2013" s="259">
        <f>IFERROR(IFERROR(VLOOKUP(B2013&amp;C2013&amp;Q2013,'New Weekly Paste'!A:M,8,0),VLOOKUP(B2013&amp;C2013&amp;Q2013,'New Weekly Paste'!B:O,10,0)),0)</f>
        <v>94.72</v>
      </c>
      <c r="K2013" s="259">
        <f>IFERROR(IFERROR(VLOOKUP(B2013&amp;I2013&amp;Q2013,'New Weekly Paste'!A:M,8,0),VLOOKUP(B2013&amp;I2013&amp;Q2013,'New Weekly Paste'!B:O,10,0)),0)</f>
        <v>85.2</v>
      </c>
      <c r="L2013" s="239">
        <f t="shared" si="25"/>
        <v>1</v>
      </c>
      <c r="M2013" s="36" t="str">
        <f t="shared" si="3"/>
        <v>Regular Season</v>
      </c>
      <c r="N2013" s="239" t="str">
        <f t="shared" si="26"/>
        <v>Tayski</v>
      </c>
      <c r="O2013" s="6">
        <f>VLOOKUP(D2013,'Mapped Opponent'!$G$4:$H$22,2,0)</f>
        <v>13</v>
      </c>
      <c r="P2013" s="6"/>
      <c r="Q2013" s="6" t="str">
        <f t="shared" si="4"/>
        <v>Week 13</v>
      </c>
      <c r="R2013" s="6" t="str">
        <f t="shared" si="5"/>
        <v>2021Week 13</v>
      </c>
      <c r="S2013" s="6">
        <f>IFERROR(__xludf.DUMMYFUNCTION("rank(J2013,FILTER(J:J,R:R=R2013))"),6.0)</f>
        <v>6</v>
      </c>
      <c r="T2013" s="6">
        <f t="shared" si="6"/>
        <v>6</v>
      </c>
      <c r="U2013" s="6">
        <f t="shared" si="7"/>
        <v>6</v>
      </c>
      <c r="V2013" s="42">
        <f>averageif(AllData!A:A,B2013,AllData!R:R)/vlookup(B2013,AllData!A:O,15,0)</f>
        <v>94.5352381</v>
      </c>
      <c r="W2013" s="6"/>
    </row>
    <row r="2014" ht="14.25" customHeight="1">
      <c r="A2014" s="6" t="str">
        <f t="shared" si="1"/>
        <v>2021Cock13</v>
      </c>
      <c r="B2014" s="59">
        <v>2021.0</v>
      </c>
      <c r="C2014" s="13" t="s">
        <v>72</v>
      </c>
      <c r="D2014" s="13" t="s">
        <v>152</v>
      </c>
      <c r="E2014" s="34"/>
      <c r="F2014" s="6"/>
      <c r="H2014" s="6"/>
      <c r="I2014" s="35" t="str">
        <f>IFERROR(IFERROR(IFERROR(VLOOKUP(B2014&amp;C2014&amp;Q2014,'New Weekly Paste'!A:M,10,0),VLOOKUP(B2014&amp;C2014&amp;Q2014,'New Weekly Paste'!B:O,6,0)),""),"")</f>
        <v>Hudspeath</v>
      </c>
      <c r="J2014" s="259">
        <f>IFERROR(IFERROR(VLOOKUP(B2014&amp;C2014&amp;Q2014,'New Weekly Paste'!A:M,8,0),VLOOKUP(B2014&amp;C2014&amp;Q2014,'New Weekly Paste'!B:O,10,0)),0)</f>
        <v>58.2</v>
      </c>
      <c r="K2014" s="259">
        <f>IFERROR(IFERROR(VLOOKUP(B2014&amp;I2014&amp;Q2014,'New Weekly Paste'!A:M,8,0),VLOOKUP(B2014&amp;I2014&amp;Q2014,'New Weekly Paste'!B:O,10,0)),0)</f>
        <v>102.26</v>
      </c>
      <c r="L2014" s="239">
        <f t="shared" si="25"/>
        <v>0</v>
      </c>
      <c r="M2014" s="36" t="str">
        <f t="shared" si="3"/>
        <v>Regular Season</v>
      </c>
      <c r="N2014" s="239" t="str">
        <f t="shared" si="26"/>
        <v>Hudspeath</v>
      </c>
      <c r="O2014" s="6">
        <f>VLOOKUP(D2014,'Mapped Opponent'!$G$4:$H$22,2,0)</f>
        <v>13</v>
      </c>
      <c r="P2014" s="6"/>
      <c r="Q2014" s="6" t="str">
        <f t="shared" si="4"/>
        <v>Week 13</v>
      </c>
      <c r="R2014" s="6" t="str">
        <f t="shared" si="5"/>
        <v>2021Week 13</v>
      </c>
      <c r="S2014" s="6">
        <f>IFERROR(__xludf.DUMMYFUNCTION("rank(J2014,FILTER(J:J,R:R=R2014))"),12.0)</f>
        <v>12</v>
      </c>
      <c r="T2014" s="6">
        <f t="shared" si="6"/>
        <v>0</v>
      </c>
      <c r="U2014" s="6">
        <f t="shared" si="7"/>
        <v>12</v>
      </c>
      <c r="V2014" s="42">
        <f>averageif(AllData!A:A,B2014,AllData!R:R)/vlookup(B2014,AllData!A:O,15,0)</f>
        <v>94.5352381</v>
      </c>
      <c r="W2014" s="6"/>
    </row>
    <row r="2015" ht="14.25" customHeight="1">
      <c r="A2015" s="6" t="str">
        <f t="shared" si="1"/>
        <v>2021Tayski13</v>
      </c>
      <c r="B2015" s="59">
        <v>2021.0</v>
      </c>
      <c r="C2015" s="13" t="s">
        <v>52</v>
      </c>
      <c r="D2015" s="13" t="s">
        <v>152</v>
      </c>
      <c r="E2015" s="34"/>
      <c r="F2015" s="6"/>
      <c r="H2015" s="6"/>
      <c r="I2015" s="35" t="str">
        <f>IFERROR(IFERROR(IFERROR(VLOOKUP(B2015&amp;C2015&amp;Q2015,'New Weekly Paste'!A:M,10,0),VLOOKUP(B2015&amp;C2015&amp;Q2015,'New Weekly Paste'!B:O,6,0)),""),"")</f>
        <v>Pierson</v>
      </c>
      <c r="J2015" s="259">
        <f>IFERROR(IFERROR(VLOOKUP(B2015&amp;C2015&amp;Q2015,'New Weekly Paste'!A:M,8,0),VLOOKUP(B2015&amp;C2015&amp;Q2015,'New Weekly Paste'!B:O,10,0)),0)</f>
        <v>85.2</v>
      </c>
      <c r="K2015" s="259">
        <f>IFERROR(IFERROR(VLOOKUP(B2015&amp;I2015&amp;Q2015,'New Weekly Paste'!A:M,8,0),VLOOKUP(B2015&amp;I2015&amp;Q2015,'New Weekly Paste'!B:O,10,0)),0)</f>
        <v>94.72</v>
      </c>
      <c r="L2015" s="239">
        <f t="shared" si="25"/>
        <v>0</v>
      </c>
      <c r="M2015" s="36" t="str">
        <f t="shared" si="3"/>
        <v>Regular Season</v>
      </c>
      <c r="N2015" s="239" t="str">
        <f t="shared" si="26"/>
        <v>Pierson</v>
      </c>
      <c r="O2015" s="6">
        <f>VLOOKUP(D2015,'Mapped Opponent'!$G$4:$H$22,2,0)</f>
        <v>13</v>
      </c>
      <c r="P2015" s="6"/>
      <c r="Q2015" s="6" t="str">
        <f t="shared" si="4"/>
        <v>Week 13</v>
      </c>
      <c r="R2015" s="6" t="str">
        <f t="shared" si="5"/>
        <v>2021Week 13</v>
      </c>
      <c r="S2015" s="6">
        <f>IFERROR(__xludf.DUMMYFUNCTION("rank(J2015,FILTER(J:J,R:R=R2015))"),9.0)</f>
        <v>9</v>
      </c>
      <c r="T2015" s="6">
        <f t="shared" si="6"/>
        <v>3</v>
      </c>
      <c r="U2015" s="6">
        <f t="shared" si="7"/>
        <v>9</v>
      </c>
      <c r="V2015" s="42">
        <f>averageif(AllData!A:A,B2015,AllData!R:R)/vlookup(B2015,AllData!A:O,15,0)</f>
        <v>94.5352381</v>
      </c>
      <c r="W2015" s="6"/>
    </row>
    <row r="2016" ht="14.25" customHeight="1">
      <c r="A2016" s="6" t="str">
        <f t="shared" si="1"/>
        <v>2021KnardDawg13</v>
      </c>
      <c r="B2016" s="59">
        <v>2021.0</v>
      </c>
      <c r="C2016" s="13" t="s">
        <v>86</v>
      </c>
      <c r="D2016" s="13" t="s">
        <v>152</v>
      </c>
      <c r="E2016" s="34"/>
      <c r="F2016" s="6"/>
      <c r="H2016" s="6"/>
      <c r="I2016" s="35" t="str">
        <f>IFERROR(IFERROR(IFERROR(VLOOKUP(B2016&amp;C2016&amp;Q2016,'New Weekly Paste'!A:M,10,0),VLOOKUP(B2016&amp;C2016&amp;Q2016,'New Weekly Paste'!B:O,6,0)),""),"")</f>
        <v>Shep</v>
      </c>
      <c r="J2016" s="259">
        <f>IFERROR(IFERROR(VLOOKUP(B2016&amp;C2016&amp;Q2016,'New Weekly Paste'!A:M,8,0),VLOOKUP(B2016&amp;C2016&amp;Q2016,'New Weekly Paste'!B:O,10,0)),0)</f>
        <v>68.44</v>
      </c>
      <c r="K2016" s="259">
        <f>IFERROR(IFERROR(VLOOKUP(B2016&amp;I2016&amp;Q2016,'New Weekly Paste'!A:M,8,0),VLOOKUP(B2016&amp;I2016&amp;Q2016,'New Weekly Paste'!B:O,10,0)),0)</f>
        <v>112.02</v>
      </c>
      <c r="L2016" s="239">
        <f t="shared" si="25"/>
        <v>0</v>
      </c>
      <c r="M2016" s="36" t="str">
        <f t="shared" si="3"/>
        <v>Regular Season</v>
      </c>
      <c r="N2016" s="239" t="str">
        <f t="shared" si="26"/>
        <v>Shep</v>
      </c>
      <c r="O2016" s="6">
        <f>VLOOKUP(D2016,'Mapped Opponent'!$G$4:$H$22,2,0)</f>
        <v>13</v>
      </c>
      <c r="P2016" s="6"/>
      <c r="Q2016" s="6" t="str">
        <f t="shared" si="4"/>
        <v>Week 13</v>
      </c>
      <c r="R2016" s="6" t="str">
        <f t="shared" si="5"/>
        <v>2021Week 13</v>
      </c>
      <c r="S2016" s="6">
        <f>IFERROR(__xludf.DUMMYFUNCTION("rank(J2016,FILTER(J:J,R:R=R2016))"),11.0)</f>
        <v>11</v>
      </c>
      <c r="T2016" s="6">
        <f t="shared" si="6"/>
        <v>1</v>
      </c>
      <c r="U2016" s="6">
        <f t="shared" si="7"/>
        <v>11</v>
      </c>
      <c r="V2016" s="42">
        <f>averageif(AllData!A:A,B2016,AllData!R:R)/vlookup(B2016,AllData!A:O,15,0)</f>
        <v>94.5352381</v>
      </c>
      <c r="W2016" s="6"/>
    </row>
    <row r="2017" ht="14.25" customHeight="1">
      <c r="A2017" s="6" t="str">
        <f t="shared" si="1"/>
        <v>2021T-How13</v>
      </c>
      <c r="B2017" s="59">
        <v>2021.0</v>
      </c>
      <c r="C2017" s="13" t="s">
        <v>82</v>
      </c>
      <c r="D2017" s="13" t="s">
        <v>152</v>
      </c>
      <c r="E2017" s="34"/>
      <c r="F2017" s="6"/>
      <c r="H2017" s="6"/>
      <c r="I2017" s="35" t="str">
        <f>IFERROR(IFERROR(IFERROR(VLOOKUP(B2017&amp;C2017&amp;Q2017,'New Weekly Paste'!A:M,10,0),VLOOKUP(B2017&amp;C2017&amp;Q2017,'New Weekly Paste'!B:O,6,0)),""),"")</f>
        <v>Riley</v>
      </c>
      <c r="J2017" s="259">
        <f>IFERROR(IFERROR(VLOOKUP(B2017&amp;C2017&amp;Q2017,'New Weekly Paste'!A:M,8,0),VLOOKUP(B2017&amp;C2017&amp;Q2017,'New Weekly Paste'!B:O,10,0)),0)</f>
        <v>73.16</v>
      </c>
      <c r="K2017" s="259">
        <f>IFERROR(IFERROR(VLOOKUP(B2017&amp;I2017&amp;Q2017,'New Weekly Paste'!A:M,8,0),VLOOKUP(B2017&amp;I2017&amp;Q2017,'New Weekly Paste'!B:O,10,0)),0)</f>
        <v>119.22</v>
      </c>
      <c r="L2017" s="239">
        <f t="shared" si="25"/>
        <v>0</v>
      </c>
      <c r="M2017" s="36" t="str">
        <f t="shared" si="3"/>
        <v>Regular Season</v>
      </c>
      <c r="N2017" s="239" t="str">
        <f t="shared" si="26"/>
        <v>Riley</v>
      </c>
      <c r="O2017" s="6">
        <f>VLOOKUP(D2017,'Mapped Opponent'!$G$4:$H$22,2,0)</f>
        <v>13</v>
      </c>
      <c r="P2017" s="6"/>
      <c r="Q2017" s="6" t="str">
        <f t="shared" si="4"/>
        <v>Week 13</v>
      </c>
      <c r="R2017" s="6" t="str">
        <f t="shared" si="5"/>
        <v>2021Week 13</v>
      </c>
      <c r="S2017" s="6">
        <f>IFERROR(__xludf.DUMMYFUNCTION("rank(J2017,FILTER(J:J,R:R=R2017))"),10.0)</f>
        <v>10</v>
      </c>
      <c r="T2017" s="6">
        <f t="shared" si="6"/>
        <v>2</v>
      </c>
      <c r="U2017" s="6">
        <f t="shared" si="7"/>
        <v>10</v>
      </c>
      <c r="V2017" s="42">
        <f>averageif(AllData!A:A,B2017,AllData!R:R)/vlookup(B2017,AllData!A:O,15,0)</f>
        <v>94.5352381</v>
      </c>
      <c r="W2017" s="6"/>
    </row>
    <row r="2018" ht="14.25" customHeight="1">
      <c r="A2018" s="6" t="str">
        <f t="shared" si="1"/>
        <v>2021Hudspeath2</v>
      </c>
      <c r="B2018" s="59">
        <v>2021.0</v>
      </c>
      <c r="C2018" s="13" t="s">
        <v>39</v>
      </c>
      <c r="D2018" s="13" t="s">
        <v>131</v>
      </c>
      <c r="E2018" s="34"/>
      <c r="F2018" s="6"/>
      <c r="H2018" s="6"/>
      <c r="I2018" s="35" t="str">
        <f>IFERROR(IFERROR(IFERROR(VLOOKUP(B2018&amp;C2018&amp;Q2018,'New Weekly Paste'!A:M,10,0),VLOOKUP(B2018&amp;C2018&amp;Q2018,'New Weekly Paste'!B:O,6,0)),""),"")</f>
        <v>Cock</v>
      </c>
      <c r="J2018" s="259">
        <f>IFERROR(IFERROR(VLOOKUP(B2018&amp;C2018&amp;Q2018,'New Weekly Paste'!A:M,8,0),VLOOKUP(B2018&amp;C2018&amp;Q2018,'New Weekly Paste'!B:O,10,0)),0)</f>
        <v>145.2</v>
      </c>
      <c r="K2018" s="259">
        <f>IFERROR(IFERROR(VLOOKUP(B2018&amp;I2018&amp;Q2018,'New Weekly Paste'!A:M,8,0),VLOOKUP(B2018&amp;I2018&amp;Q2018,'New Weekly Paste'!B:O,10,0)),0)</f>
        <v>106.5</v>
      </c>
      <c r="L2018" s="239">
        <f t="shared" si="25"/>
        <v>1</v>
      </c>
      <c r="M2018" s="36" t="str">
        <f t="shared" si="3"/>
        <v>Regular Season</v>
      </c>
      <c r="N2018" s="239" t="str">
        <f t="shared" si="26"/>
        <v>Cock</v>
      </c>
      <c r="O2018" s="6">
        <f>VLOOKUP(D2018,'Mapped Opponent'!$G$4:$H$22,2,0)</f>
        <v>2</v>
      </c>
      <c r="P2018" s="6"/>
      <c r="Q2018" s="6" t="str">
        <f t="shared" si="4"/>
        <v>Week 2</v>
      </c>
      <c r="R2018" s="6" t="str">
        <f t="shared" si="5"/>
        <v>2021Week 2</v>
      </c>
      <c r="S2018" s="6">
        <f>IFERROR(__xludf.DUMMYFUNCTION("rank(J2018,FILTER(J:J,R:R=R2018))"),1.0)</f>
        <v>1</v>
      </c>
      <c r="T2018" s="6">
        <f t="shared" si="6"/>
        <v>11</v>
      </c>
      <c r="U2018" s="6">
        <f t="shared" si="7"/>
        <v>1</v>
      </c>
      <c r="V2018" s="42">
        <f>averageif(AllData!A:A,B2018,AllData!R:R)/vlookup(B2018,AllData!A:O,15,0)</f>
        <v>94.5352381</v>
      </c>
      <c r="W2018" s="6"/>
    </row>
    <row r="2019" ht="14.25" customHeight="1">
      <c r="A2019" s="6" t="str">
        <f t="shared" si="1"/>
        <v>2021Salty2</v>
      </c>
      <c r="B2019" s="59">
        <v>2021.0</v>
      </c>
      <c r="C2019" s="13" t="s">
        <v>76</v>
      </c>
      <c r="D2019" s="13" t="s">
        <v>131</v>
      </c>
      <c r="E2019" s="34"/>
      <c r="F2019" s="6"/>
      <c r="H2019" s="6"/>
      <c r="I2019" s="35" t="str">
        <f>IFERROR(IFERROR(IFERROR(VLOOKUP(B2019&amp;C2019&amp;Q2019,'New Weekly Paste'!A:M,10,0),VLOOKUP(B2019&amp;C2019&amp;Q2019,'New Weekly Paste'!B:O,6,0)),""),"")</f>
        <v>Buser</v>
      </c>
      <c r="J2019" s="259">
        <f>IFERROR(IFERROR(VLOOKUP(B2019&amp;C2019&amp;Q2019,'New Weekly Paste'!A:M,8,0),VLOOKUP(B2019&amp;C2019&amp;Q2019,'New Weekly Paste'!B:O,10,0)),0)</f>
        <v>85.16</v>
      </c>
      <c r="K2019" s="259">
        <f>IFERROR(IFERROR(VLOOKUP(B2019&amp;I2019&amp;Q2019,'New Weekly Paste'!A:M,8,0),VLOOKUP(B2019&amp;I2019&amp;Q2019,'New Weekly Paste'!B:O,10,0)),0)</f>
        <v>95.22</v>
      </c>
      <c r="L2019" s="239">
        <f t="shared" si="25"/>
        <v>0</v>
      </c>
      <c r="M2019" s="36" t="str">
        <f t="shared" si="3"/>
        <v>Regular Season</v>
      </c>
      <c r="N2019" s="239" t="str">
        <f t="shared" si="26"/>
        <v>Buser</v>
      </c>
      <c r="O2019" s="6">
        <f>VLOOKUP(D2019,'Mapped Opponent'!$G$4:$H$22,2,0)</f>
        <v>2</v>
      </c>
      <c r="P2019" s="6"/>
      <c r="Q2019" s="6" t="str">
        <f t="shared" si="4"/>
        <v>Week 2</v>
      </c>
      <c r="R2019" s="6" t="str">
        <f t="shared" si="5"/>
        <v>2021Week 2</v>
      </c>
      <c r="S2019" s="6">
        <f>IFERROR(__xludf.DUMMYFUNCTION("rank(J2019,FILTER(J:J,R:R=R2019))"),10.0)</f>
        <v>10</v>
      </c>
      <c r="T2019" s="6">
        <f t="shared" si="6"/>
        <v>2</v>
      </c>
      <c r="U2019" s="6">
        <f t="shared" si="7"/>
        <v>10</v>
      </c>
      <c r="V2019" s="42">
        <f>averageif(AllData!A:A,B2019,AllData!R:R)/vlookup(B2019,AllData!A:O,15,0)</f>
        <v>94.5352381</v>
      </c>
      <c r="W2019" s="6"/>
    </row>
    <row r="2020" ht="14.25" customHeight="1">
      <c r="A2020" s="6" t="str">
        <f t="shared" si="1"/>
        <v>2021Fellows2</v>
      </c>
      <c r="B2020" s="59">
        <v>2021.0</v>
      </c>
      <c r="C2020" s="13" t="s">
        <v>79</v>
      </c>
      <c r="D2020" s="13" t="s">
        <v>131</v>
      </c>
      <c r="E2020" s="34"/>
      <c r="F2020" s="6"/>
      <c r="H2020" s="6"/>
      <c r="I2020" s="35" t="str">
        <f>IFERROR(IFERROR(IFERROR(VLOOKUP(B2020&amp;C2020&amp;Q2020,'New Weekly Paste'!A:M,10,0),VLOOKUP(B2020&amp;C2020&amp;Q2020,'New Weekly Paste'!B:O,6,0)),""),"")</f>
        <v>Rooney/Jackson</v>
      </c>
      <c r="J2020" s="259">
        <f>IFERROR(IFERROR(VLOOKUP(B2020&amp;C2020&amp;Q2020,'New Weekly Paste'!A:M,8,0),VLOOKUP(B2020&amp;C2020&amp;Q2020,'New Weekly Paste'!B:O,10,0)),0)</f>
        <v>72.44</v>
      </c>
      <c r="K2020" s="259">
        <f>IFERROR(IFERROR(VLOOKUP(B2020&amp;I2020&amp;Q2020,'New Weekly Paste'!A:M,8,0),VLOOKUP(B2020&amp;I2020&amp;Q2020,'New Weekly Paste'!B:O,10,0)),0)</f>
        <v>115.6</v>
      </c>
      <c r="L2020" s="239">
        <f t="shared" si="25"/>
        <v>0</v>
      </c>
      <c r="M2020" s="36" t="str">
        <f t="shared" si="3"/>
        <v>Regular Season</v>
      </c>
      <c r="N2020" s="239" t="str">
        <f t="shared" si="26"/>
        <v>Rooney/Jackson</v>
      </c>
      <c r="O2020" s="6">
        <f>VLOOKUP(D2020,'Mapped Opponent'!$G$4:$H$22,2,0)</f>
        <v>2</v>
      </c>
      <c r="P2020" s="6"/>
      <c r="Q2020" s="6" t="str">
        <f t="shared" si="4"/>
        <v>Week 2</v>
      </c>
      <c r="R2020" s="6" t="str">
        <f t="shared" si="5"/>
        <v>2021Week 2</v>
      </c>
      <c r="S2020" s="6">
        <f>IFERROR(__xludf.DUMMYFUNCTION("rank(J2020,FILTER(J:J,R:R=R2020))"),12.0)</f>
        <v>12</v>
      </c>
      <c r="T2020" s="6">
        <f t="shared" si="6"/>
        <v>0</v>
      </c>
      <c r="U2020" s="6">
        <f t="shared" si="7"/>
        <v>12</v>
      </c>
      <c r="V2020" s="42">
        <f>averageif(AllData!A:A,B2020,AllData!R:R)/vlookup(B2020,AllData!A:O,15,0)</f>
        <v>94.5352381</v>
      </c>
      <c r="W2020" s="6"/>
    </row>
    <row r="2021" ht="14.25" customHeight="1">
      <c r="A2021" s="6" t="str">
        <f t="shared" si="1"/>
        <v>2021Shep2</v>
      </c>
      <c r="B2021" s="59">
        <v>2021.0</v>
      </c>
      <c r="C2021" s="13" t="s">
        <v>89</v>
      </c>
      <c r="D2021" s="13" t="s">
        <v>131</v>
      </c>
      <c r="E2021" s="34"/>
      <c r="F2021" s="6"/>
      <c r="H2021" s="6"/>
      <c r="I2021" s="35" t="str">
        <f>IFERROR(IFERROR(IFERROR(VLOOKUP(B2021&amp;C2021&amp;Q2021,'New Weekly Paste'!A:M,10,0),VLOOKUP(B2021&amp;C2021&amp;Q2021,'New Weekly Paste'!B:O,6,0)),""),"")</f>
        <v>KnardDawg</v>
      </c>
      <c r="J2021" s="259">
        <f>IFERROR(IFERROR(VLOOKUP(B2021&amp;C2021&amp;Q2021,'New Weekly Paste'!A:M,8,0),VLOOKUP(B2021&amp;C2021&amp;Q2021,'New Weekly Paste'!B:O,10,0)),0)</f>
        <v>87.02</v>
      </c>
      <c r="K2021" s="259">
        <f>IFERROR(IFERROR(VLOOKUP(B2021&amp;I2021&amp;Q2021,'New Weekly Paste'!A:M,8,0),VLOOKUP(B2021&amp;I2021&amp;Q2021,'New Weekly Paste'!B:O,10,0)),0)</f>
        <v>82.12</v>
      </c>
      <c r="L2021" s="239">
        <f t="shared" si="25"/>
        <v>1</v>
      </c>
      <c r="M2021" s="36" t="str">
        <f t="shared" si="3"/>
        <v>Regular Season</v>
      </c>
      <c r="N2021" s="239" t="str">
        <f t="shared" si="26"/>
        <v>KnardDawg</v>
      </c>
      <c r="O2021" s="6">
        <f>VLOOKUP(D2021,'Mapped Opponent'!$G$4:$H$22,2,0)</f>
        <v>2</v>
      </c>
      <c r="P2021" s="6"/>
      <c r="Q2021" s="6" t="str">
        <f t="shared" si="4"/>
        <v>Week 2</v>
      </c>
      <c r="R2021" s="6" t="str">
        <f t="shared" si="5"/>
        <v>2021Week 2</v>
      </c>
      <c r="S2021" s="6">
        <f>IFERROR(__xludf.DUMMYFUNCTION("rank(J2021,FILTER(J:J,R:R=R2021))"),9.0)</f>
        <v>9</v>
      </c>
      <c r="T2021" s="6">
        <f t="shared" si="6"/>
        <v>3</v>
      </c>
      <c r="U2021" s="6">
        <f t="shared" si="7"/>
        <v>9</v>
      </c>
      <c r="V2021" s="42">
        <f>averageif(AllData!A:A,B2021,AllData!R:R)/vlookup(B2021,AllData!A:O,15,0)</f>
        <v>94.5352381</v>
      </c>
      <c r="W2021" s="6"/>
    </row>
    <row r="2022" ht="14.25" customHeight="1">
      <c r="A2022" s="6" t="str">
        <f t="shared" si="1"/>
        <v>2021Riley2</v>
      </c>
      <c r="B2022" s="59">
        <v>2021.0</v>
      </c>
      <c r="C2022" s="13" t="s">
        <v>67</v>
      </c>
      <c r="D2022" s="13" t="s">
        <v>131</v>
      </c>
      <c r="E2022" s="34"/>
      <c r="F2022" s="6"/>
      <c r="H2022" s="6"/>
      <c r="I2022" s="35" t="str">
        <f>IFERROR(IFERROR(IFERROR(VLOOKUP(B2022&amp;C2022&amp;Q2022,'New Weekly Paste'!A:M,10,0),VLOOKUP(B2022&amp;C2022&amp;Q2022,'New Weekly Paste'!B:O,6,0)),""),"")</f>
        <v>T-How</v>
      </c>
      <c r="J2022" s="259">
        <f>IFERROR(IFERROR(VLOOKUP(B2022&amp;C2022&amp;Q2022,'New Weekly Paste'!A:M,8,0),VLOOKUP(B2022&amp;C2022&amp;Q2022,'New Weekly Paste'!B:O,10,0)),0)</f>
        <v>102.48</v>
      </c>
      <c r="K2022" s="259">
        <f>IFERROR(IFERROR(VLOOKUP(B2022&amp;I2022&amp;Q2022,'New Weekly Paste'!A:M,8,0),VLOOKUP(B2022&amp;I2022&amp;Q2022,'New Weekly Paste'!B:O,10,0)),0)</f>
        <v>89.32</v>
      </c>
      <c r="L2022" s="239">
        <f t="shared" si="25"/>
        <v>1</v>
      </c>
      <c r="M2022" s="36" t="str">
        <f t="shared" si="3"/>
        <v>Regular Season</v>
      </c>
      <c r="N2022" s="239" t="str">
        <f t="shared" si="26"/>
        <v>T-How</v>
      </c>
      <c r="O2022" s="6">
        <f>VLOOKUP(D2022,'Mapped Opponent'!$G$4:$H$22,2,0)</f>
        <v>2</v>
      </c>
      <c r="P2022" s="6"/>
      <c r="Q2022" s="6" t="str">
        <f t="shared" si="4"/>
        <v>Week 2</v>
      </c>
      <c r="R2022" s="6" t="str">
        <f t="shared" si="5"/>
        <v>2021Week 2</v>
      </c>
      <c r="S2022" s="6">
        <f>IFERROR(__xludf.DUMMYFUNCTION("rank(J2022,FILTER(J:J,R:R=R2022))"),4.0)</f>
        <v>4</v>
      </c>
      <c r="T2022" s="6">
        <f t="shared" si="6"/>
        <v>8</v>
      </c>
      <c r="U2022" s="6">
        <f t="shared" si="7"/>
        <v>4</v>
      </c>
      <c r="V2022" s="42">
        <f>averageif(AllData!A:A,B2022,AllData!R:R)/vlookup(B2022,AllData!A:O,15,0)</f>
        <v>94.5352381</v>
      </c>
      <c r="W2022" s="6"/>
    </row>
    <row r="2023" ht="14.25" customHeight="1">
      <c r="A2023" s="6" t="str">
        <f t="shared" si="1"/>
        <v>2021Rooney/Jackson2</v>
      </c>
      <c r="B2023" s="59">
        <v>2021.0</v>
      </c>
      <c r="C2023" s="13" t="s">
        <v>57</v>
      </c>
      <c r="D2023" s="13" t="s">
        <v>131</v>
      </c>
      <c r="E2023" s="34"/>
      <c r="F2023" s="6"/>
      <c r="H2023" s="6"/>
      <c r="I2023" s="35" t="str">
        <f>IFERROR(IFERROR(IFERROR(VLOOKUP(B2023&amp;C2023&amp;Q2023,'New Weekly Paste'!A:M,10,0),VLOOKUP(B2023&amp;C2023&amp;Q2023,'New Weekly Paste'!B:O,6,0)),""),"")</f>
        <v>Fellows</v>
      </c>
      <c r="J2023" s="259">
        <f>IFERROR(IFERROR(VLOOKUP(B2023&amp;C2023&amp;Q2023,'New Weekly Paste'!A:M,8,0),VLOOKUP(B2023&amp;C2023&amp;Q2023,'New Weekly Paste'!B:O,10,0)),0)</f>
        <v>115.6</v>
      </c>
      <c r="K2023" s="259">
        <f>IFERROR(IFERROR(VLOOKUP(B2023&amp;I2023&amp;Q2023,'New Weekly Paste'!A:M,8,0),VLOOKUP(B2023&amp;I2023&amp;Q2023,'New Weekly Paste'!B:O,10,0)),0)</f>
        <v>72.44</v>
      </c>
      <c r="L2023" s="239">
        <f t="shared" si="25"/>
        <v>1</v>
      </c>
      <c r="M2023" s="36" t="str">
        <f t="shared" si="3"/>
        <v>Regular Season</v>
      </c>
      <c r="N2023" s="239" t="str">
        <f t="shared" si="26"/>
        <v>Fellows</v>
      </c>
      <c r="O2023" s="6">
        <f>VLOOKUP(D2023,'Mapped Opponent'!$G$4:$H$22,2,0)</f>
        <v>2</v>
      </c>
      <c r="P2023" s="6"/>
      <c r="Q2023" s="6" t="str">
        <f t="shared" si="4"/>
        <v>Week 2</v>
      </c>
      <c r="R2023" s="6" t="str">
        <f t="shared" si="5"/>
        <v>2021Week 2</v>
      </c>
      <c r="S2023" s="6">
        <f>IFERROR(__xludf.DUMMYFUNCTION("rank(J2023,FILTER(J:J,R:R=R2023))"),2.0)</f>
        <v>2</v>
      </c>
      <c r="T2023" s="6">
        <f t="shared" si="6"/>
        <v>10</v>
      </c>
      <c r="U2023" s="6">
        <f t="shared" si="7"/>
        <v>2</v>
      </c>
      <c r="V2023" s="42">
        <f>averageif(AllData!A:A,B2023,AllData!R:R)/vlookup(B2023,AllData!A:O,15,0)</f>
        <v>94.5352381</v>
      </c>
      <c r="W2023" s="6"/>
    </row>
    <row r="2024" ht="14.25" customHeight="1">
      <c r="A2024" s="6" t="str">
        <f t="shared" si="1"/>
        <v>2021Buser2</v>
      </c>
      <c r="B2024" s="59">
        <v>2021.0</v>
      </c>
      <c r="C2024" s="13" t="s">
        <v>47</v>
      </c>
      <c r="D2024" s="13" t="s">
        <v>131</v>
      </c>
      <c r="E2024" s="34"/>
      <c r="F2024" s="6"/>
      <c r="H2024" s="6"/>
      <c r="I2024" s="35" t="str">
        <f>IFERROR(IFERROR(IFERROR(VLOOKUP(B2024&amp;C2024&amp;Q2024,'New Weekly Paste'!A:M,10,0),VLOOKUP(B2024&amp;C2024&amp;Q2024,'New Weekly Paste'!B:O,6,0)),""),"")</f>
        <v>Salty</v>
      </c>
      <c r="J2024" s="259">
        <f>IFERROR(IFERROR(VLOOKUP(B2024&amp;C2024&amp;Q2024,'New Weekly Paste'!A:M,8,0),VLOOKUP(B2024&amp;C2024&amp;Q2024,'New Weekly Paste'!B:O,10,0)),0)</f>
        <v>95.22</v>
      </c>
      <c r="K2024" s="259">
        <f>IFERROR(IFERROR(VLOOKUP(B2024&amp;I2024&amp;Q2024,'New Weekly Paste'!A:M,8,0),VLOOKUP(B2024&amp;I2024&amp;Q2024,'New Weekly Paste'!B:O,10,0)),0)</f>
        <v>85.16</v>
      </c>
      <c r="L2024" s="239">
        <f t="shared" si="25"/>
        <v>1</v>
      </c>
      <c r="M2024" s="36" t="str">
        <f t="shared" si="3"/>
        <v>Regular Season</v>
      </c>
      <c r="N2024" s="239" t="str">
        <f t="shared" si="26"/>
        <v>Salty</v>
      </c>
      <c r="O2024" s="6">
        <f>VLOOKUP(D2024,'Mapped Opponent'!$G$4:$H$22,2,0)</f>
        <v>2</v>
      </c>
      <c r="P2024" s="6"/>
      <c r="Q2024" s="6" t="str">
        <f t="shared" si="4"/>
        <v>Week 2</v>
      </c>
      <c r="R2024" s="6" t="str">
        <f t="shared" si="5"/>
        <v>2021Week 2</v>
      </c>
      <c r="S2024" s="6">
        <f>IFERROR(__xludf.DUMMYFUNCTION("rank(J2024,FILTER(J:J,R:R=R2024))"),7.0)</f>
        <v>7</v>
      </c>
      <c r="T2024" s="6">
        <f t="shared" si="6"/>
        <v>5</v>
      </c>
      <c r="U2024" s="6">
        <f t="shared" si="7"/>
        <v>7</v>
      </c>
      <c r="V2024" s="42">
        <f>averageif(AllData!A:A,B2024,AllData!R:R)/vlookup(B2024,AllData!A:O,15,0)</f>
        <v>94.5352381</v>
      </c>
      <c r="W2024" s="6"/>
    </row>
    <row r="2025" ht="14.25" customHeight="1">
      <c r="A2025" s="6" t="str">
        <f t="shared" si="1"/>
        <v>2021Pierson2</v>
      </c>
      <c r="B2025" s="59">
        <v>2021.0</v>
      </c>
      <c r="C2025" s="13" t="s">
        <v>92</v>
      </c>
      <c r="D2025" s="13" t="s">
        <v>131</v>
      </c>
      <c r="E2025" s="34"/>
      <c r="F2025" s="6"/>
      <c r="H2025" s="6"/>
      <c r="I2025" s="35" t="str">
        <f>IFERROR(IFERROR(IFERROR(VLOOKUP(B2025&amp;C2025&amp;Q2025,'New Weekly Paste'!A:M,10,0),VLOOKUP(B2025&amp;C2025&amp;Q2025,'New Weekly Paste'!B:O,6,0)),""),"")</f>
        <v>Tayski</v>
      </c>
      <c r="J2025" s="259">
        <f>IFERROR(IFERROR(VLOOKUP(B2025&amp;C2025&amp;Q2025,'New Weekly Paste'!A:M,8,0),VLOOKUP(B2025&amp;C2025&amp;Q2025,'New Weekly Paste'!B:O,10,0)),0)</f>
        <v>102.24</v>
      </c>
      <c r="K2025" s="259">
        <f>IFERROR(IFERROR(VLOOKUP(B2025&amp;I2025&amp;Q2025,'New Weekly Paste'!A:M,8,0),VLOOKUP(B2025&amp;I2025&amp;Q2025,'New Weekly Paste'!B:O,10,0)),0)</f>
        <v>100.96</v>
      </c>
      <c r="L2025" s="239">
        <f t="shared" si="25"/>
        <v>1</v>
      </c>
      <c r="M2025" s="36" t="str">
        <f t="shared" si="3"/>
        <v>Regular Season</v>
      </c>
      <c r="N2025" s="239" t="str">
        <f t="shared" si="26"/>
        <v>Tayski</v>
      </c>
      <c r="O2025" s="6">
        <f>VLOOKUP(D2025,'Mapped Opponent'!$G$4:$H$22,2,0)</f>
        <v>2</v>
      </c>
      <c r="P2025" s="6"/>
      <c r="Q2025" s="6" t="str">
        <f t="shared" si="4"/>
        <v>Week 2</v>
      </c>
      <c r="R2025" s="6" t="str">
        <f t="shared" si="5"/>
        <v>2021Week 2</v>
      </c>
      <c r="S2025" s="6">
        <f>IFERROR(__xludf.DUMMYFUNCTION("rank(J2025,FILTER(J:J,R:R=R2025))"),5.0)</f>
        <v>5</v>
      </c>
      <c r="T2025" s="6">
        <f t="shared" si="6"/>
        <v>7</v>
      </c>
      <c r="U2025" s="6">
        <f t="shared" si="7"/>
        <v>5</v>
      </c>
      <c r="V2025" s="42">
        <f>averageif(AllData!A:A,B2025,AllData!R:R)/vlookup(B2025,AllData!A:O,15,0)</f>
        <v>94.5352381</v>
      </c>
      <c r="W2025" s="6"/>
    </row>
    <row r="2026" ht="14.25" customHeight="1">
      <c r="A2026" s="6" t="str">
        <f t="shared" si="1"/>
        <v>2021Cock2</v>
      </c>
      <c r="B2026" s="59">
        <v>2021.0</v>
      </c>
      <c r="C2026" s="13" t="s">
        <v>72</v>
      </c>
      <c r="D2026" s="13" t="s">
        <v>131</v>
      </c>
      <c r="E2026" s="34"/>
      <c r="F2026" s="6"/>
      <c r="H2026" s="6"/>
      <c r="I2026" s="35" t="str">
        <f>IFERROR(IFERROR(IFERROR(VLOOKUP(B2026&amp;C2026&amp;Q2026,'New Weekly Paste'!A:M,10,0),VLOOKUP(B2026&amp;C2026&amp;Q2026,'New Weekly Paste'!B:O,6,0)),""),"")</f>
        <v>Hudspeath</v>
      </c>
      <c r="J2026" s="259">
        <f>IFERROR(IFERROR(VLOOKUP(B2026&amp;C2026&amp;Q2026,'New Weekly Paste'!A:M,8,0),VLOOKUP(B2026&amp;C2026&amp;Q2026,'New Weekly Paste'!B:O,10,0)),0)</f>
        <v>106.5</v>
      </c>
      <c r="K2026" s="259">
        <f>IFERROR(IFERROR(VLOOKUP(B2026&amp;I2026&amp;Q2026,'New Weekly Paste'!A:M,8,0),VLOOKUP(B2026&amp;I2026&amp;Q2026,'New Weekly Paste'!B:O,10,0)),0)</f>
        <v>145.2</v>
      </c>
      <c r="L2026" s="239">
        <f t="shared" si="25"/>
        <v>0</v>
      </c>
      <c r="M2026" s="36" t="str">
        <f t="shared" si="3"/>
        <v>Regular Season</v>
      </c>
      <c r="N2026" s="239" t="str">
        <f t="shared" si="26"/>
        <v>Hudspeath</v>
      </c>
      <c r="O2026" s="6">
        <f>VLOOKUP(D2026,'Mapped Opponent'!$G$4:$H$22,2,0)</f>
        <v>2</v>
      </c>
      <c r="P2026" s="6"/>
      <c r="Q2026" s="6" t="str">
        <f t="shared" si="4"/>
        <v>Week 2</v>
      </c>
      <c r="R2026" s="6" t="str">
        <f t="shared" si="5"/>
        <v>2021Week 2</v>
      </c>
      <c r="S2026" s="6">
        <f>IFERROR(__xludf.DUMMYFUNCTION("rank(J2026,FILTER(J:J,R:R=R2026))"),3.0)</f>
        <v>3</v>
      </c>
      <c r="T2026" s="6">
        <f t="shared" si="6"/>
        <v>9</v>
      </c>
      <c r="U2026" s="6">
        <f t="shared" si="7"/>
        <v>3</v>
      </c>
      <c r="V2026" s="42">
        <f>averageif(AllData!A:A,B2026,AllData!R:R)/vlookup(B2026,AllData!A:O,15,0)</f>
        <v>94.5352381</v>
      </c>
      <c r="W2026" s="6"/>
    </row>
    <row r="2027" ht="14.25" customHeight="1">
      <c r="A2027" s="6" t="str">
        <f t="shared" si="1"/>
        <v>2021Tayski2</v>
      </c>
      <c r="B2027" s="59">
        <v>2021.0</v>
      </c>
      <c r="C2027" s="13" t="s">
        <v>52</v>
      </c>
      <c r="D2027" s="13" t="s">
        <v>131</v>
      </c>
      <c r="E2027" s="34"/>
      <c r="F2027" s="6"/>
      <c r="H2027" s="6"/>
      <c r="I2027" s="35" t="str">
        <f>IFERROR(IFERROR(IFERROR(VLOOKUP(B2027&amp;C2027&amp;Q2027,'New Weekly Paste'!A:M,10,0),VLOOKUP(B2027&amp;C2027&amp;Q2027,'New Weekly Paste'!B:O,6,0)),""),"")</f>
        <v>Pierson</v>
      </c>
      <c r="J2027" s="259">
        <f>IFERROR(IFERROR(VLOOKUP(B2027&amp;C2027&amp;Q2027,'New Weekly Paste'!A:M,8,0),VLOOKUP(B2027&amp;C2027&amp;Q2027,'New Weekly Paste'!B:O,10,0)),0)</f>
        <v>100.96</v>
      </c>
      <c r="K2027" s="259">
        <f>IFERROR(IFERROR(VLOOKUP(B2027&amp;I2027&amp;Q2027,'New Weekly Paste'!A:M,8,0),VLOOKUP(B2027&amp;I2027&amp;Q2027,'New Weekly Paste'!B:O,10,0)),0)</f>
        <v>102.24</v>
      </c>
      <c r="L2027" s="239">
        <f t="shared" si="25"/>
        <v>0</v>
      </c>
      <c r="M2027" s="36" t="str">
        <f t="shared" si="3"/>
        <v>Regular Season</v>
      </c>
      <c r="N2027" s="239" t="str">
        <f t="shared" si="26"/>
        <v>Pierson</v>
      </c>
      <c r="O2027" s="6">
        <f>VLOOKUP(D2027,'Mapped Opponent'!$G$4:$H$22,2,0)</f>
        <v>2</v>
      </c>
      <c r="P2027" s="6"/>
      <c r="Q2027" s="6" t="str">
        <f t="shared" si="4"/>
        <v>Week 2</v>
      </c>
      <c r="R2027" s="6" t="str">
        <f t="shared" si="5"/>
        <v>2021Week 2</v>
      </c>
      <c r="S2027" s="6">
        <f>IFERROR(__xludf.DUMMYFUNCTION("rank(J2027,FILTER(J:J,R:R=R2027))"),6.0)</f>
        <v>6</v>
      </c>
      <c r="T2027" s="6">
        <f t="shared" si="6"/>
        <v>6</v>
      </c>
      <c r="U2027" s="6">
        <f t="shared" si="7"/>
        <v>6</v>
      </c>
      <c r="V2027" s="42">
        <f>averageif(AllData!A:A,B2027,AllData!R:R)/vlookup(B2027,AllData!A:O,15,0)</f>
        <v>94.5352381</v>
      </c>
      <c r="W2027" s="6"/>
    </row>
    <row r="2028" ht="14.25" customHeight="1">
      <c r="A2028" s="6" t="str">
        <f t="shared" si="1"/>
        <v>2021KnardDawg2</v>
      </c>
      <c r="B2028" s="59">
        <v>2021.0</v>
      </c>
      <c r="C2028" s="13" t="s">
        <v>86</v>
      </c>
      <c r="D2028" s="13" t="s">
        <v>131</v>
      </c>
      <c r="E2028" s="34"/>
      <c r="F2028" s="6"/>
      <c r="H2028" s="6"/>
      <c r="I2028" s="35" t="str">
        <f>IFERROR(IFERROR(IFERROR(VLOOKUP(B2028&amp;C2028&amp;Q2028,'New Weekly Paste'!A:M,10,0),VLOOKUP(B2028&amp;C2028&amp;Q2028,'New Weekly Paste'!B:O,6,0)),""),"")</f>
        <v>Shep</v>
      </c>
      <c r="J2028" s="259">
        <f>IFERROR(IFERROR(VLOOKUP(B2028&amp;C2028&amp;Q2028,'New Weekly Paste'!A:M,8,0),VLOOKUP(B2028&amp;C2028&amp;Q2028,'New Weekly Paste'!B:O,10,0)),0)</f>
        <v>82.12</v>
      </c>
      <c r="K2028" s="259">
        <f>IFERROR(IFERROR(VLOOKUP(B2028&amp;I2028&amp;Q2028,'New Weekly Paste'!A:M,8,0),VLOOKUP(B2028&amp;I2028&amp;Q2028,'New Weekly Paste'!B:O,10,0)),0)</f>
        <v>87.02</v>
      </c>
      <c r="L2028" s="239">
        <f t="shared" si="25"/>
        <v>0</v>
      </c>
      <c r="M2028" s="36" t="str">
        <f t="shared" si="3"/>
        <v>Regular Season</v>
      </c>
      <c r="N2028" s="239" t="str">
        <f t="shared" si="26"/>
        <v>Shep</v>
      </c>
      <c r="O2028" s="6">
        <f>VLOOKUP(D2028,'Mapped Opponent'!$G$4:$H$22,2,0)</f>
        <v>2</v>
      </c>
      <c r="P2028" s="6"/>
      <c r="Q2028" s="6" t="str">
        <f t="shared" si="4"/>
        <v>Week 2</v>
      </c>
      <c r="R2028" s="6" t="str">
        <f t="shared" si="5"/>
        <v>2021Week 2</v>
      </c>
      <c r="S2028" s="6">
        <f>IFERROR(__xludf.DUMMYFUNCTION("rank(J2028,FILTER(J:J,R:R=R2028))"),11.0)</f>
        <v>11</v>
      </c>
      <c r="T2028" s="6">
        <f t="shared" si="6"/>
        <v>1</v>
      </c>
      <c r="U2028" s="6">
        <f t="shared" si="7"/>
        <v>11</v>
      </c>
      <c r="V2028" s="42">
        <f>averageif(AllData!A:A,B2028,AllData!R:R)/vlookup(B2028,AllData!A:O,15,0)</f>
        <v>94.5352381</v>
      </c>
      <c r="W2028" s="6"/>
    </row>
    <row r="2029" ht="14.25" customHeight="1">
      <c r="A2029" s="6" t="str">
        <f t="shared" si="1"/>
        <v>2021T-How2</v>
      </c>
      <c r="B2029" s="59">
        <v>2021.0</v>
      </c>
      <c r="C2029" s="13" t="s">
        <v>82</v>
      </c>
      <c r="D2029" s="13" t="s">
        <v>131</v>
      </c>
      <c r="E2029" s="34"/>
      <c r="F2029" s="6"/>
      <c r="H2029" s="6"/>
      <c r="I2029" s="35" t="str">
        <f>IFERROR(IFERROR(IFERROR(VLOOKUP(B2029&amp;C2029&amp;Q2029,'New Weekly Paste'!A:M,10,0),VLOOKUP(B2029&amp;C2029&amp;Q2029,'New Weekly Paste'!B:O,6,0)),""),"")</f>
        <v>Riley</v>
      </c>
      <c r="J2029" s="259">
        <f>IFERROR(IFERROR(VLOOKUP(B2029&amp;C2029&amp;Q2029,'New Weekly Paste'!A:M,8,0),VLOOKUP(B2029&amp;C2029&amp;Q2029,'New Weekly Paste'!B:O,10,0)),0)</f>
        <v>89.32</v>
      </c>
      <c r="K2029" s="259">
        <f>IFERROR(IFERROR(VLOOKUP(B2029&amp;I2029&amp;Q2029,'New Weekly Paste'!A:M,8,0),VLOOKUP(B2029&amp;I2029&amp;Q2029,'New Weekly Paste'!B:O,10,0)),0)</f>
        <v>102.48</v>
      </c>
      <c r="L2029" s="239">
        <f t="shared" si="25"/>
        <v>0</v>
      </c>
      <c r="M2029" s="36" t="str">
        <f t="shared" si="3"/>
        <v>Regular Season</v>
      </c>
      <c r="N2029" s="239" t="str">
        <f t="shared" si="26"/>
        <v>Riley</v>
      </c>
      <c r="O2029" s="6">
        <f>VLOOKUP(D2029,'Mapped Opponent'!$G$4:$H$22,2,0)</f>
        <v>2</v>
      </c>
      <c r="P2029" s="6"/>
      <c r="Q2029" s="6" t="str">
        <f t="shared" si="4"/>
        <v>Week 2</v>
      </c>
      <c r="R2029" s="6" t="str">
        <f t="shared" si="5"/>
        <v>2021Week 2</v>
      </c>
      <c r="S2029" s="6">
        <f>IFERROR(__xludf.DUMMYFUNCTION("rank(J2029,FILTER(J:J,R:R=R2029))"),8.0)</f>
        <v>8</v>
      </c>
      <c r="T2029" s="6">
        <f t="shared" si="6"/>
        <v>4</v>
      </c>
      <c r="U2029" s="6">
        <f t="shared" si="7"/>
        <v>8</v>
      </c>
      <c r="V2029" s="42">
        <f>averageif(AllData!A:A,B2029,AllData!R:R)/vlookup(B2029,AllData!A:O,15,0)</f>
        <v>94.5352381</v>
      </c>
      <c r="W2029" s="6"/>
    </row>
    <row r="2030" ht="14.25" customHeight="1">
      <c r="A2030" s="6" t="str">
        <f t="shared" si="1"/>
        <v>2021Hudspeath3</v>
      </c>
      <c r="B2030" s="59">
        <v>2021.0</v>
      </c>
      <c r="C2030" s="13" t="s">
        <v>39</v>
      </c>
      <c r="D2030" s="13" t="s">
        <v>135</v>
      </c>
      <c r="E2030" s="34"/>
      <c r="F2030" s="6"/>
      <c r="H2030" s="6"/>
      <c r="I2030" s="35" t="str">
        <f>IFERROR(IFERROR(IFERROR(VLOOKUP(B2030&amp;C2030&amp;Q2030,'New Weekly Paste'!A:M,10,0),VLOOKUP(B2030&amp;C2030&amp;Q2030,'New Weekly Paste'!B:O,6,0)),""),"")</f>
        <v>KnardDawg</v>
      </c>
      <c r="J2030" s="259">
        <f>IFERROR(IFERROR(VLOOKUP(B2030&amp;C2030&amp;Q2030,'New Weekly Paste'!A:M,8,0),VLOOKUP(B2030&amp;C2030&amp;Q2030,'New Weekly Paste'!B:O,10,0)),0)</f>
        <v>109.64</v>
      </c>
      <c r="K2030" s="259">
        <f>IFERROR(IFERROR(VLOOKUP(B2030&amp;I2030&amp;Q2030,'New Weekly Paste'!A:M,8,0),VLOOKUP(B2030&amp;I2030&amp;Q2030,'New Weekly Paste'!B:O,10,0)),0)</f>
        <v>79.42</v>
      </c>
      <c r="L2030" s="239">
        <f t="shared" si="25"/>
        <v>1</v>
      </c>
      <c r="M2030" s="36" t="str">
        <f t="shared" si="3"/>
        <v>Regular Season</v>
      </c>
      <c r="N2030" s="239" t="str">
        <f t="shared" si="26"/>
        <v>KnardDawg</v>
      </c>
      <c r="O2030" s="6">
        <f>VLOOKUP(D2030,'Mapped Opponent'!$G$4:$H$22,2,0)</f>
        <v>3</v>
      </c>
      <c r="P2030" s="6"/>
      <c r="Q2030" s="6" t="str">
        <f t="shared" si="4"/>
        <v>Week 3</v>
      </c>
      <c r="R2030" s="6" t="str">
        <f t="shared" si="5"/>
        <v>2021Week 3</v>
      </c>
      <c r="S2030" s="6">
        <f>IFERROR(__xludf.DUMMYFUNCTION("rank(J2030,FILTER(J:J,R:R=R2030))"),3.0)</f>
        <v>3</v>
      </c>
      <c r="T2030" s="6">
        <f t="shared" si="6"/>
        <v>9</v>
      </c>
      <c r="U2030" s="6">
        <f t="shared" si="7"/>
        <v>3</v>
      </c>
      <c r="V2030" s="42">
        <f>averageif(AllData!A:A,B2030,AllData!R:R)/vlookup(B2030,AllData!A:O,15,0)</f>
        <v>94.5352381</v>
      </c>
      <c r="W2030" s="6"/>
    </row>
    <row r="2031" ht="14.25" customHeight="1">
      <c r="A2031" s="6" t="str">
        <f t="shared" si="1"/>
        <v>2021Salty3</v>
      </c>
      <c r="B2031" s="59">
        <v>2021.0</v>
      </c>
      <c r="C2031" s="13" t="s">
        <v>76</v>
      </c>
      <c r="D2031" s="13" t="s">
        <v>135</v>
      </c>
      <c r="E2031" s="34"/>
      <c r="F2031" s="6"/>
      <c r="H2031" s="6"/>
      <c r="I2031" s="35" t="str">
        <f>IFERROR(IFERROR(IFERROR(VLOOKUP(B2031&amp;C2031&amp;Q2031,'New Weekly Paste'!A:M,10,0),VLOOKUP(B2031&amp;C2031&amp;Q2031,'New Weekly Paste'!B:O,6,0)),""),"")</f>
        <v>Fellows</v>
      </c>
      <c r="J2031" s="259">
        <f>IFERROR(IFERROR(VLOOKUP(B2031&amp;C2031&amp;Q2031,'New Weekly Paste'!A:M,8,0),VLOOKUP(B2031&amp;C2031&amp;Q2031,'New Weekly Paste'!B:O,10,0)),0)</f>
        <v>107.62</v>
      </c>
      <c r="K2031" s="259">
        <f>IFERROR(IFERROR(VLOOKUP(B2031&amp;I2031&amp;Q2031,'New Weekly Paste'!A:M,8,0),VLOOKUP(B2031&amp;I2031&amp;Q2031,'New Weekly Paste'!B:O,10,0)),0)</f>
        <v>83.68</v>
      </c>
      <c r="L2031" s="239">
        <f t="shared" si="25"/>
        <v>1</v>
      </c>
      <c r="M2031" s="36" t="str">
        <f t="shared" si="3"/>
        <v>Regular Season</v>
      </c>
      <c r="N2031" s="239" t="str">
        <f t="shared" si="26"/>
        <v>Fellows</v>
      </c>
      <c r="O2031" s="6">
        <f>VLOOKUP(D2031,'Mapped Opponent'!$G$4:$H$22,2,0)</f>
        <v>3</v>
      </c>
      <c r="P2031" s="6"/>
      <c r="Q2031" s="6" t="str">
        <f t="shared" si="4"/>
        <v>Week 3</v>
      </c>
      <c r="R2031" s="6" t="str">
        <f t="shared" si="5"/>
        <v>2021Week 3</v>
      </c>
      <c r="S2031" s="6">
        <f>IFERROR(__xludf.DUMMYFUNCTION("rank(J2031,FILTER(J:J,R:R=R2031))"),5.0)</f>
        <v>5</v>
      </c>
      <c r="T2031" s="6">
        <f t="shared" si="6"/>
        <v>7</v>
      </c>
      <c r="U2031" s="6">
        <f t="shared" si="7"/>
        <v>5</v>
      </c>
      <c r="V2031" s="42">
        <f>averageif(AllData!A:A,B2031,AllData!R:R)/vlookup(B2031,AllData!A:O,15,0)</f>
        <v>94.5352381</v>
      </c>
      <c r="W2031" s="6"/>
    </row>
    <row r="2032" ht="14.25" customHeight="1">
      <c r="A2032" s="6" t="str">
        <f t="shared" si="1"/>
        <v>2021Fellows3</v>
      </c>
      <c r="B2032" s="59">
        <v>2021.0</v>
      </c>
      <c r="C2032" s="13" t="s">
        <v>79</v>
      </c>
      <c r="D2032" s="13" t="s">
        <v>135</v>
      </c>
      <c r="E2032" s="34"/>
      <c r="F2032" s="6"/>
      <c r="H2032" s="6"/>
      <c r="I2032" s="35" t="str">
        <f>IFERROR(IFERROR(IFERROR(VLOOKUP(B2032&amp;C2032&amp;Q2032,'New Weekly Paste'!A:M,10,0),VLOOKUP(B2032&amp;C2032&amp;Q2032,'New Weekly Paste'!B:O,6,0)),""),"")</f>
        <v>Salty</v>
      </c>
      <c r="J2032" s="259">
        <f>IFERROR(IFERROR(VLOOKUP(B2032&amp;C2032&amp;Q2032,'New Weekly Paste'!A:M,8,0),VLOOKUP(B2032&amp;C2032&amp;Q2032,'New Weekly Paste'!B:O,10,0)),0)</f>
        <v>83.68</v>
      </c>
      <c r="K2032" s="259">
        <f>IFERROR(IFERROR(VLOOKUP(B2032&amp;I2032&amp;Q2032,'New Weekly Paste'!A:M,8,0),VLOOKUP(B2032&amp;I2032&amp;Q2032,'New Weekly Paste'!B:O,10,0)),0)</f>
        <v>107.62</v>
      </c>
      <c r="L2032" s="239">
        <f t="shared" si="25"/>
        <v>0</v>
      </c>
      <c r="M2032" s="36" t="str">
        <f t="shared" si="3"/>
        <v>Regular Season</v>
      </c>
      <c r="N2032" s="239" t="str">
        <f t="shared" si="26"/>
        <v>Salty</v>
      </c>
      <c r="O2032" s="6">
        <f>VLOOKUP(D2032,'Mapped Opponent'!$G$4:$H$22,2,0)</f>
        <v>3</v>
      </c>
      <c r="P2032" s="6"/>
      <c r="Q2032" s="6" t="str">
        <f t="shared" si="4"/>
        <v>Week 3</v>
      </c>
      <c r="R2032" s="6" t="str">
        <f t="shared" si="5"/>
        <v>2021Week 3</v>
      </c>
      <c r="S2032" s="6">
        <f>IFERROR(__xludf.DUMMYFUNCTION("rank(J2032,FILTER(J:J,R:R=R2032))"),8.0)</f>
        <v>8</v>
      </c>
      <c r="T2032" s="6">
        <f t="shared" si="6"/>
        <v>4</v>
      </c>
      <c r="U2032" s="6">
        <f t="shared" si="7"/>
        <v>8</v>
      </c>
      <c r="V2032" s="42">
        <f>averageif(AllData!A:A,B2032,AllData!R:R)/vlookup(B2032,AllData!A:O,15,0)</f>
        <v>94.5352381</v>
      </c>
      <c r="W2032" s="6"/>
    </row>
    <row r="2033" ht="14.25" customHeight="1">
      <c r="A2033" s="6" t="str">
        <f t="shared" si="1"/>
        <v>2021Shep3</v>
      </c>
      <c r="B2033" s="59">
        <v>2021.0</v>
      </c>
      <c r="C2033" s="13" t="s">
        <v>89</v>
      </c>
      <c r="D2033" s="13" t="s">
        <v>135</v>
      </c>
      <c r="E2033" s="34"/>
      <c r="F2033" s="6"/>
      <c r="H2033" s="6"/>
      <c r="I2033" s="35" t="str">
        <f>IFERROR(IFERROR(IFERROR(VLOOKUP(B2033&amp;C2033&amp;Q2033,'New Weekly Paste'!A:M,10,0),VLOOKUP(B2033&amp;C2033&amp;Q2033,'New Weekly Paste'!B:O,6,0)),""),"")</f>
        <v>Rooney/Jackson</v>
      </c>
      <c r="J2033" s="259">
        <f>IFERROR(IFERROR(VLOOKUP(B2033&amp;C2033&amp;Q2033,'New Weekly Paste'!A:M,8,0),VLOOKUP(B2033&amp;C2033&amp;Q2033,'New Weekly Paste'!B:O,10,0)),0)</f>
        <v>81.88</v>
      </c>
      <c r="K2033" s="259">
        <f>IFERROR(IFERROR(VLOOKUP(B2033&amp;I2033&amp;Q2033,'New Weekly Paste'!A:M,8,0),VLOOKUP(B2033&amp;I2033&amp;Q2033,'New Weekly Paste'!B:O,10,0)),0)</f>
        <v>63.44</v>
      </c>
      <c r="L2033" s="239">
        <f t="shared" si="25"/>
        <v>1</v>
      </c>
      <c r="M2033" s="36" t="str">
        <f t="shared" si="3"/>
        <v>Regular Season</v>
      </c>
      <c r="N2033" s="239" t="str">
        <f t="shared" si="26"/>
        <v>Rooney/Jackson</v>
      </c>
      <c r="O2033" s="6">
        <f>VLOOKUP(D2033,'Mapped Opponent'!$G$4:$H$22,2,0)</f>
        <v>3</v>
      </c>
      <c r="P2033" s="6"/>
      <c r="Q2033" s="6" t="str">
        <f t="shared" si="4"/>
        <v>Week 3</v>
      </c>
      <c r="R2033" s="6" t="str">
        <f t="shared" si="5"/>
        <v>2021Week 3</v>
      </c>
      <c r="S2033" s="6">
        <f>IFERROR(__xludf.DUMMYFUNCTION("rank(J2033,FILTER(J:J,R:R=R2033))"),9.0)</f>
        <v>9</v>
      </c>
      <c r="T2033" s="6">
        <f t="shared" si="6"/>
        <v>3</v>
      </c>
      <c r="U2033" s="6">
        <f t="shared" si="7"/>
        <v>9</v>
      </c>
      <c r="V2033" s="42">
        <f>averageif(AllData!A:A,B2033,AllData!R:R)/vlookup(B2033,AllData!A:O,15,0)</f>
        <v>94.5352381</v>
      </c>
      <c r="W2033" s="6"/>
    </row>
    <row r="2034" ht="14.25" customHeight="1">
      <c r="A2034" s="6" t="str">
        <f t="shared" si="1"/>
        <v>2021Riley3</v>
      </c>
      <c r="B2034" s="59">
        <v>2021.0</v>
      </c>
      <c r="C2034" s="13" t="s">
        <v>67</v>
      </c>
      <c r="D2034" s="13" t="s">
        <v>135</v>
      </c>
      <c r="E2034" s="34"/>
      <c r="F2034" s="6"/>
      <c r="H2034" s="6"/>
      <c r="I2034" s="35" t="str">
        <f>IFERROR(IFERROR(IFERROR(VLOOKUP(B2034&amp;C2034&amp;Q2034,'New Weekly Paste'!A:M,10,0),VLOOKUP(B2034&amp;C2034&amp;Q2034,'New Weekly Paste'!B:O,6,0)),""),"")</f>
        <v>Cock</v>
      </c>
      <c r="J2034" s="259">
        <f>IFERROR(IFERROR(VLOOKUP(B2034&amp;C2034&amp;Q2034,'New Weekly Paste'!A:M,8,0),VLOOKUP(B2034&amp;C2034&amp;Q2034,'New Weekly Paste'!B:O,10,0)),0)</f>
        <v>120.32</v>
      </c>
      <c r="K2034" s="259">
        <f>IFERROR(IFERROR(VLOOKUP(B2034&amp;I2034&amp;Q2034,'New Weekly Paste'!A:M,8,0),VLOOKUP(B2034&amp;I2034&amp;Q2034,'New Weekly Paste'!B:O,10,0)),0)</f>
        <v>95.64</v>
      </c>
      <c r="L2034" s="239">
        <f t="shared" si="25"/>
        <v>1</v>
      </c>
      <c r="M2034" s="36" t="str">
        <f t="shared" si="3"/>
        <v>Regular Season</v>
      </c>
      <c r="N2034" s="239" t="str">
        <f t="shared" si="26"/>
        <v>Cock</v>
      </c>
      <c r="O2034" s="6">
        <f>VLOOKUP(D2034,'Mapped Opponent'!$G$4:$H$22,2,0)</f>
        <v>3</v>
      </c>
      <c r="P2034" s="6"/>
      <c r="Q2034" s="6" t="str">
        <f t="shared" si="4"/>
        <v>Week 3</v>
      </c>
      <c r="R2034" s="6" t="str">
        <f t="shared" si="5"/>
        <v>2021Week 3</v>
      </c>
      <c r="S2034" s="6">
        <f>IFERROR(__xludf.DUMMYFUNCTION("rank(J2034,FILTER(J:J,R:R=R2034))"),2.0)</f>
        <v>2</v>
      </c>
      <c r="T2034" s="6">
        <f t="shared" si="6"/>
        <v>10</v>
      </c>
      <c r="U2034" s="6">
        <f t="shared" si="7"/>
        <v>2</v>
      </c>
      <c r="V2034" s="42">
        <f>averageif(AllData!A:A,B2034,AllData!R:R)/vlookup(B2034,AllData!A:O,15,0)</f>
        <v>94.5352381</v>
      </c>
      <c r="W2034" s="6"/>
    </row>
    <row r="2035" ht="14.25" customHeight="1">
      <c r="A2035" s="6" t="str">
        <f t="shared" si="1"/>
        <v>2021Rooney/Jackson3</v>
      </c>
      <c r="B2035" s="59">
        <v>2021.0</v>
      </c>
      <c r="C2035" s="13" t="s">
        <v>57</v>
      </c>
      <c r="D2035" s="13" t="s">
        <v>135</v>
      </c>
      <c r="E2035" s="34"/>
      <c r="F2035" s="6"/>
      <c r="H2035" s="6"/>
      <c r="I2035" s="35" t="str">
        <f>IFERROR(IFERROR(IFERROR(VLOOKUP(B2035&amp;C2035&amp;Q2035,'New Weekly Paste'!A:M,10,0),VLOOKUP(B2035&amp;C2035&amp;Q2035,'New Weekly Paste'!B:O,6,0)),""),"")</f>
        <v>Shep</v>
      </c>
      <c r="J2035" s="259">
        <f>IFERROR(IFERROR(VLOOKUP(B2035&amp;C2035&amp;Q2035,'New Weekly Paste'!A:M,8,0),VLOOKUP(B2035&amp;C2035&amp;Q2035,'New Weekly Paste'!B:O,10,0)),0)</f>
        <v>63.44</v>
      </c>
      <c r="K2035" s="259">
        <f>IFERROR(IFERROR(VLOOKUP(B2035&amp;I2035&amp;Q2035,'New Weekly Paste'!A:M,8,0),VLOOKUP(B2035&amp;I2035&amp;Q2035,'New Weekly Paste'!B:O,10,0)),0)</f>
        <v>81.88</v>
      </c>
      <c r="L2035" s="239">
        <f t="shared" si="25"/>
        <v>0</v>
      </c>
      <c r="M2035" s="36" t="str">
        <f t="shared" si="3"/>
        <v>Regular Season</v>
      </c>
      <c r="N2035" s="239" t="str">
        <f t="shared" si="26"/>
        <v>Shep</v>
      </c>
      <c r="O2035" s="6">
        <f>VLOOKUP(D2035,'Mapped Opponent'!$G$4:$H$22,2,0)</f>
        <v>3</v>
      </c>
      <c r="P2035" s="6"/>
      <c r="Q2035" s="6" t="str">
        <f t="shared" si="4"/>
        <v>Week 3</v>
      </c>
      <c r="R2035" s="6" t="str">
        <f t="shared" si="5"/>
        <v>2021Week 3</v>
      </c>
      <c r="S2035" s="6">
        <f>IFERROR(__xludf.DUMMYFUNCTION("rank(J2035,FILTER(J:J,R:R=R2035))"),12.0)</f>
        <v>12</v>
      </c>
      <c r="T2035" s="6">
        <f t="shared" si="6"/>
        <v>0</v>
      </c>
      <c r="U2035" s="6">
        <f t="shared" si="7"/>
        <v>12</v>
      </c>
      <c r="V2035" s="42">
        <f>averageif(AllData!A:A,B2035,AllData!R:R)/vlookup(B2035,AllData!A:O,15,0)</f>
        <v>94.5352381</v>
      </c>
      <c r="W2035" s="6"/>
    </row>
    <row r="2036" ht="14.25" customHeight="1">
      <c r="A2036" s="6" t="str">
        <f t="shared" si="1"/>
        <v>2021Buser3</v>
      </c>
      <c r="B2036" s="59">
        <v>2021.0</v>
      </c>
      <c r="C2036" s="13" t="s">
        <v>47</v>
      </c>
      <c r="D2036" s="13" t="s">
        <v>135</v>
      </c>
      <c r="E2036" s="34"/>
      <c r="F2036" s="6"/>
      <c r="H2036" s="6"/>
      <c r="I2036" s="35" t="str">
        <f>IFERROR(IFERROR(IFERROR(VLOOKUP(B2036&amp;C2036&amp;Q2036,'New Weekly Paste'!A:M,10,0),VLOOKUP(B2036&amp;C2036&amp;Q2036,'New Weekly Paste'!B:O,6,0)),""),"")</f>
        <v>Tayski</v>
      </c>
      <c r="J2036" s="259">
        <f>IFERROR(IFERROR(VLOOKUP(B2036&amp;C2036&amp;Q2036,'New Weekly Paste'!A:M,8,0),VLOOKUP(B2036&amp;C2036&amp;Q2036,'New Weekly Paste'!B:O,10,0)),0)</f>
        <v>133.94</v>
      </c>
      <c r="K2036" s="259">
        <f>IFERROR(IFERROR(VLOOKUP(B2036&amp;I2036&amp;Q2036,'New Weekly Paste'!A:M,8,0),VLOOKUP(B2036&amp;I2036&amp;Q2036,'New Weekly Paste'!B:O,10,0)),0)</f>
        <v>80.82</v>
      </c>
      <c r="L2036" s="239">
        <f t="shared" si="25"/>
        <v>1</v>
      </c>
      <c r="M2036" s="36" t="str">
        <f t="shared" si="3"/>
        <v>Regular Season</v>
      </c>
      <c r="N2036" s="239" t="str">
        <f t="shared" si="26"/>
        <v>Tayski</v>
      </c>
      <c r="O2036" s="6">
        <f>VLOOKUP(D2036,'Mapped Opponent'!$G$4:$H$22,2,0)</f>
        <v>3</v>
      </c>
      <c r="P2036" s="6"/>
      <c r="Q2036" s="6" t="str">
        <f t="shared" si="4"/>
        <v>Week 3</v>
      </c>
      <c r="R2036" s="6" t="str">
        <f t="shared" si="5"/>
        <v>2021Week 3</v>
      </c>
      <c r="S2036" s="6">
        <f>IFERROR(__xludf.DUMMYFUNCTION("rank(J2036,FILTER(J:J,R:R=R2036))"),1.0)</f>
        <v>1</v>
      </c>
      <c r="T2036" s="6">
        <f t="shared" si="6"/>
        <v>11</v>
      </c>
      <c r="U2036" s="6">
        <f t="shared" si="7"/>
        <v>1</v>
      </c>
      <c r="V2036" s="42">
        <f>averageif(AllData!A:A,B2036,AllData!R:R)/vlookup(B2036,AllData!A:O,15,0)</f>
        <v>94.5352381</v>
      </c>
      <c r="W2036" s="6"/>
    </row>
    <row r="2037" ht="14.25" customHeight="1">
      <c r="A2037" s="6" t="str">
        <f t="shared" si="1"/>
        <v>2021Pierson3</v>
      </c>
      <c r="B2037" s="59">
        <v>2021.0</v>
      </c>
      <c r="C2037" s="13" t="s">
        <v>92</v>
      </c>
      <c r="D2037" s="13" t="s">
        <v>135</v>
      </c>
      <c r="E2037" s="34"/>
      <c r="F2037" s="6"/>
      <c r="H2037" s="6"/>
      <c r="I2037" s="35" t="str">
        <f>IFERROR(IFERROR(IFERROR(VLOOKUP(B2037&amp;C2037&amp;Q2037,'New Weekly Paste'!A:M,10,0),VLOOKUP(B2037&amp;C2037&amp;Q2037,'New Weekly Paste'!B:O,6,0)),""),"")</f>
        <v>T-How</v>
      </c>
      <c r="J2037" s="259">
        <f>IFERROR(IFERROR(VLOOKUP(B2037&amp;C2037&amp;Q2037,'New Weekly Paste'!A:M,8,0),VLOOKUP(B2037&amp;C2037&amp;Q2037,'New Weekly Paste'!B:O,10,0)),0)</f>
        <v>109.48</v>
      </c>
      <c r="K2037" s="259">
        <f>IFERROR(IFERROR(VLOOKUP(B2037&amp;I2037&amp;Q2037,'New Weekly Paste'!A:M,8,0),VLOOKUP(B2037&amp;I2037&amp;Q2037,'New Weekly Paste'!B:O,10,0)),0)</f>
        <v>99.6</v>
      </c>
      <c r="L2037" s="239">
        <f t="shared" si="25"/>
        <v>1</v>
      </c>
      <c r="M2037" s="36" t="str">
        <f t="shared" si="3"/>
        <v>Regular Season</v>
      </c>
      <c r="N2037" s="239" t="str">
        <f t="shared" si="26"/>
        <v>T-How</v>
      </c>
      <c r="O2037" s="6">
        <f>VLOOKUP(D2037,'Mapped Opponent'!$G$4:$H$22,2,0)</f>
        <v>3</v>
      </c>
      <c r="P2037" s="6"/>
      <c r="Q2037" s="6" t="str">
        <f t="shared" si="4"/>
        <v>Week 3</v>
      </c>
      <c r="R2037" s="6" t="str">
        <f t="shared" si="5"/>
        <v>2021Week 3</v>
      </c>
      <c r="S2037" s="6">
        <f>IFERROR(__xludf.DUMMYFUNCTION("rank(J2037,FILTER(J:J,R:R=R2037))"),4.0)</f>
        <v>4</v>
      </c>
      <c r="T2037" s="6">
        <f t="shared" si="6"/>
        <v>8</v>
      </c>
      <c r="U2037" s="6">
        <f t="shared" si="7"/>
        <v>4</v>
      </c>
      <c r="V2037" s="42">
        <f>averageif(AllData!A:A,B2037,AllData!R:R)/vlookup(B2037,AllData!A:O,15,0)</f>
        <v>94.5352381</v>
      </c>
      <c r="W2037" s="6"/>
    </row>
    <row r="2038" ht="14.25" customHeight="1">
      <c r="A2038" s="6" t="str">
        <f t="shared" si="1"/>
        <v>2021Cock3</v>
      </c>
      <c r="B2038" s="59">
        <v>2021.0</v>
      </c>
      <c r="C2038" s="13" t="s">
        <v>72</v>
      </c>
      <c r="D2038" s="13" t="s">
        <v>135</v>
      </c>
      <c r="E2038" s="34"/>
      <c r="F2038" s="6"/>
      <c r="H2038" s="6"/>
      <c r="I2038" s="35" t="str">
        <f>IFERROR(IFERROR(IFERROR(VLOOKUP(B2038&amp;C2038&amp;Q2038,'New Weekly Paste'!A:M,10,0),VLOOKUP(B2038&amp;C2038&amp;Q2038,'New Weekly Paste'!B:O,6,0)),""),"")</f>
        <v>Riley</v>
      </c>
      <c r="J2038" s="259">
        <f>IFERROR(IFERROR(VLOOKUP(B2038&amp;C2038&amp;Q2038,'New Weekly Paste'!A:M,8,0),VLOOKUP(B2038&amp;C2038&amp;Q2038,'New Weekly Paste'!B:O,10,0)),0)</f>
        <v>95.64</v>
      </c>
      <c r="K2038" s="259">
        <f>IFERROR(IFERROR(VLOOKUP(B2038&amp;I2038&amp;Q2038,'New Weekly Paste'!A:M,8,0),VLOOKUP(B2038&amp;I2038&amp;Q2038,'New Weekly Paste'!B:O,10,0)),0)</f>
        <v>120.32</v>
      </c>
      <c r="L2038" s="239">
        <f t="shared" si="25"/>
        <v>0</v>
      </c>
      <c r="M2038" s="36" t="str">
        <f t="shared" si="3"/>
        <v>Regular Season</v>
      </c>
      <c r="N2038" s="239" t="str">
        <f t="shared" si="26"/>
        <v>Riley</v>
      </c>
      <c r="O2038" s="6">
        <f>VLOOKUP(D2038,'Mapped Opponent'!$G$4:$H$22,2,0)</f>
        <v>3</v>
      </c>
      <c r="P2038" s="6"/>
      <c r="Q2038" s="6" t="str">
        <f t="shared" si="4"/>
        <v>Week 3</v>
      </c>
      <c r="R2038" s="6" t="str">
        <f t="shared" si="5"/>
        <v>2021Week 3</v>
      </c>
      <c r="S2038" s="6">
        <f>IFERROR(__xludf.DUMMYFUNCTION("rank(J2038,FILTER(J:J,R:R=R2038))"),7.0)</f>
        <v>7</v>
      </c>
      <c r="T2038" s="6">
        <f t="shared" si="6"/>
        <v>5</v>
      </c>
      <c r="U2038" s="6">
        <f t="shared" si="7"/>
        <v>7</v>
      </c>
      <c r="V2038" s="42">
        <f>averageif(AllData!A:A,B2038,AllData!R:R)/vlookup(B2038,AllData!A:O,15,0)</f>
        <v>94.5352381</v>
      </c>
      <c r="W2038" s="6"/>
    </row>
    <row r="2039" ht="14.25" customHeight="1">
      <c r="A2039" s="6" t="str">
        <f t="shared" si="1"/>
        <v>2021Tayski3</v>
      </c>
      <c r="B2039" s="59">
        <v>2021.0</v>
      </c>
      <c r="C2039" s="13" t="s">
        <v>52</v>
      </c>
      <c r="D2039" s="13" t="s">
        <v>135</v>
      </c>
      <c r="E2039" s="34"/>
      <c r="F2039" s="6"/>
      <c r="H2039" s="6"/>
      <c r="I2039" s="35" t="str">
        <f>IFERROR(IFERROR(IFERROR(VLOOKUP(B2039&amp;C2039&amp;Q2039,'New Weekly Paste'!A:M,10,0),VLOOKUP(B2039&amp;C2039&amp;Q2039,'New Weekly Paste'!B:O,6,0)),""),"")</f>
        <v>Buser</v>
      </c>
      <c r="J2039" s="259">
        <f>IFERROR(IFERROR(VLOOKUP(B2039&amp;C2039&amp;Q2039,'New Weekly Paste'!A:M,8,0),VLOOKUP(B2039&amp;C2039&amp;Q2039,'New Weekly Paste'!B:O,10,0)),0)</f>
        <v>80.82</v>
      </c>
      <c r="K2039" s="259">
        <f>IFERROR(IFERROR(VLOOKUP(B2039&amp;I2039&amp;Q2039,'New Weekly Paste'!A:M,8,0),VLOOKUP(B2039&amp;I2039&amp;Q2039,'New Weekly Paste'!B:O,10,0)),0)</f>
        <v>133.94</v>
      </c>
      <c r="L2039" s="239">
        <f t="shared" si="25"/>
        <v>0</v>
      </c>
      <c r="M2039" s="36" t="str">
        <f t="shared" si="3"/>
        <v>Regular Season</v>
      </c>
      <c r="N2039" s="239" t="str">
        <f t="shared" si="26"/>
        <v>Buser</v>
      </c>
      <c r="O2039" s="6">
        <f>VLOOKUP(D2039,'Mapped Opponent'!$G$4:$H$22,2,0)</f>
        <v>3</v>
      </c>
      <c r="P2039" s="6"/>
      <c r="Q2039" s="6" t="str">
        <f t="shared" si="4"/>
        <v>Week 3</v>
      </c>
      <c r="R2039" s="6" t="str">
        <f t="shared" si="5"/>
        <v>2021Week 3</v>
      </c>
      <c r="S2039" s="6">
        <f>IFERROR(__xludf.DUMMYFUNCTION("rank(J2039,FILTER(J:J,R:R=R2039))"),10.0)</f>
        <v>10</v>
      </c>
      <c r="T2039" s="6">
        <f t="shared" si="6"/>
        <v>2</v>
      </c>
      <c r="U2039" s="6">
        <f t="shared" si="7"/>
        <v>10</v>
      </c>
      <c r="V2039" s="42">
        <f>averageif(AllData!A:A,B2039,AllData!R:R)/vlookup(B2039,AllData!A:O,15,0)</f>
        <v>94.5352381</v>
      </c>
      <c r="W2039" s="6"/>
    </row>
    <row r="2040" ht="14.25" customHeight="1">
      <c r="A2040" s="6" t="str">
        <f t="shared" si="1"/>
        <v>2021KnardDawg3</v>
      </c>
      <c r="B2040" s="59">
        <v>2021.0</v>
      </c>
      <c r="C2040" s="13" t="s">
        <v>86</v>
      </c>
      <c r="D2040" s="13" t="s">
        <v>135</v>
      </c>
      <c r="E2040" s="34"/>
      <c r="F2040" s="6"/>
      <c r="H2040" s="6"/>
      <c r="I2040" s="35" t="str">
        <f>IFERROR(IFERROR(IFERROR(VLOOKUP(B2040&amp;C2040&amp;Q2040,'New Weekly Paste'!A:M,10,0),VLOOKUP(B2040&amp;C2040&amp;Q2040,'New Weekly Paste'!B:O,6,0)),""),"")</f>
        <v>Hudspeath</v>
      </c>
      <c r="J2040" s="259">
        <f>IFERROR(IFERROR(VLOOKUP(B2040&amp;C2040&amp;Q2040,'New Weekly Paste'!A:M,8,0),VLOOKUP(B2040&amp;C2040&amp;Q2040,'New Weekly Paste'!B:O,10,0)),0)</f>
        <v>79.42</v>
      </c>
      <c r="K2040" s="259">
        <f>IFERROR(IFERROR(VLOOKUP(B2040&amp;I2040&amp;Q2040,'New Weekly Paste'!A:M,8,0),VLOOKUP(B2040&amp;I2040&amp;Q2040,'New Weekly Paste'!B:O,10,0)),0)</f>
        <v>109.64</v>
      </c>
      <c r="L2040" s="239">
        <f t="shared" si="25"/>
        <v>0</v>
      </c>
      <c r="M2040" s="36" t="str">
        <f t="shared" si="3"/>
        <v>Regular Season</v>
      </c>
      <c r="N2040" s="239" t="str">
        <f t="shared" si="26"/>
        <v>Hudspeath</v>
      </c>
      <c r="O2040" s="6">
        <f>VLOOKUP(D2040,'Mapped Opponent'!$G$4:$H$22,2,0)</f>
        <v>3</v>
      </c>
      <c r="P2040" s="6"/>
      <c r="Q2040" s="6" t="str">
        <f t="shared" si="4"/>
        <v>Week 3</v>
      </c>
      <c r="R2040" s="6" t="str">
        <f t="shared" si="5"/>
        <v>2021Week 3</v>
      </c>
      <c r="S2040" s="6">
        <f>IFERROR(__xludf.DUMMYFUNCTION("rank(J2040,FILTER(J:J,R:R=R2040))"),11.0)</f>
        <v>11</v>
      </c>
      <c r="T2040" s="6">
        <f t="shared" si="6"/>
        <v>1</v>
      </c>
      <c r="U2040" s="6">
        <f t="shared" si="7"/>
        <v>11</v>
      </c>
      <c r="V2040" s="42">
        <f>averageif(AllData!A:A,B2040,AllData!R:R)/vlookup(B2040,AllData!A:O,15,0)</f>
        <v>94.5352381</v>
      </c>
      <c r="W2040" s="6"/>
    </row>
    <row r="2041" ht="14.25" customHeight="1">
      <c r="A2041" s="6" t="str">
        <f t="shared" si="1"/>
        <v>2021T-How3</v>
      </c>
      <c r="B2041" s="59">
        <v>2021.0</v>
      </c>
      <c r="C2041" s="13" t="s">
        <v>82</v>
      </c>
      <c r="D2041" s="13" t="s">
        <v>135</v>
      </c>
      <c r="E2041" s="34"/>
      <c r="F2041" s="6"/>
      <c r="H2041" s="6"/>
      <c r="I2041" s="35" t="str">
        <f>IFERROR(IFERROR(IFERROR(VLOOKUP(B2041&amp;C2041&amp;Q2041,'New Weekly Paste'!A:M,10,0),VLOOKUP(B2041&amp;C2041&amp;Q2041,'New Weekly Paste'!B:O,6,0)),""),"")</f>
        <v>Pierson</v>
      </c>
      <c r="J2041" s="259">
        <f>IFERROR(IFERROR(VLOOKUP(B2041&amp;C2041&amp;Q2041,'New Weekly Paste'!A:M,8,0),VLOOKUP(B2041&amp;C2041&amp;Q2041,'New Weekly Paste'!B:O,10,0)),0)</f>
        <v>99.6</v>
      </c>
      <c r="K2041" s="259">
        <f>IFERROR(IFERROR(VLOOKUP(B2041&amp;I2041&amp;Q2041,'New Weekly Paste'!A:M,8,0),VLOOKUP(B2041&amp;I2041&amp;Q2041,'New Weekly Paste'!B:O,10,0)),0)</f>
        <v>109.48</v>
      </c>
      <c r="L2041" s="239">
        <f t="shared" si="25"/>
        <v>0</v>
      </c>
      <c r="M2041" s="36" t="str">
        <f t="shared" si="3"/>
        <v>Regular Season</v>
      </c>
      <c r="N2041" s="239" t="str">
        <f t="shared" si="26"/>
        <v>Pierson</v>
      </c>
      <c r="O2041" s="6">
        <f>VLOOKUP(D2041,'Mapped Opponent'!$G$4:$H$22,2,0)</f>
        <v>3</v>
      </c>
      <c r="P2041" s="6"/>
      <c r="Q2041" s="6" t="str">
        <f t="shared" si="4"/>
        <v>Week 3</v>
      </c>
      <c r="R2041" s="6" t="str">
        <f t="shared" si="5"/>
        <v>2021Week 3</v>
      </c>
      <c r="S2041" s="6">
        <f>IFERROR(__xludf.DUMMYFUNCTION("rank(J2041,FILTER(J:J,R:R=R2041))"),6.0)</f>
        <v>6</v>
      </c>
      <c r="T2041" s="6">
        <f t="shared" si="6"/>
        <v>6</v>
      </c>
      <c r="U2041" s="6">
        <f t="shared" si="7"/>
        <v>6</v>
      </c>
      <c r="V2041" s="42">
        <f>averageif(AllData!A:A,B2041,AllData!R:R)/vlookup(B2041,AllData!A:O,15,0)</f>
        <v>94.5352381</v>
      </c>
      <c r="W2041" s="6"/>
    </row>
    <row r="2042" ht="14.25" customHeight="1">
      <c r="A2042" s="6" t="str">
        <f t="shared" si="1"/>
        <v>2021Hudspeath4</v>
      </c>
      <c r="B2042" s="59">
        <v>2021.0</v>
      </c>
      <c r="C2042" s="13" t="s">
        <v>39</v>
      </c>
      <c r="D2042" s="13" t="s">
        <v>138</v>
      </c>
      <c r="E2042" s="34"/>
      <c r="F2042" s="6"/>
      <c r="H2042" s="6"/>
      <c r="I2042" s="35" t="str">
        <f>IFERROR(IFERROR(IFERROR(VLOOKUP(B2042&amp;C2042&amp;Q2042,'New Weekly Paste'!A:M,10,0),VLOOKUP(B2042&amp;C2042&amp;Q2042,'New Weekly Paste'!B:O,6,0)),""),"")</f>
        <v>Rooney/Jackson</v>
      </c>
      <c r="J2042" s="259">
        <f>IFERROR(IFERROR(VLOOKUP(B2042&amp;C2042&amp;Q2042,'New Weekly Paste'!A:M,8,0),VLOOKUP(B2042&amp;C2042&amp;Q2042,'New Weekly Paste'!B:O,10,0)),0)</f>
        <v>76.82</v>
      </c>
      <c r="K2042" s="259">
        <f>IFERROR(IFERROR(VLOOKUP(B2042&amp;I2042&amp;Q2042,'New Weekly Paste'!A:M,8,0),VLOOKUP(B2042&amp;I2042&amp;Q2042,'New Weekly Paste'!B:O,10,0)),0)</f>
        <v>94.52</v>
      </c>
      <c r="L2042" s="239">
        <f t="shared" si="25"/>
        <v>0</v>
      </c>
      <c r="M2042" s="36" t="str">
        <f t="shared" si="3"/>
        <v>Regular Season</v>
      </c>
      <c r="N2042" s="239" t="str">
        <f t="shared" si="26"/>
        <v>Rooney/Jackson</v>
      </c>
      <c r="O2042" s="6">
        <f>VLOOKUP(D2042,'Mapped Opponent'!$G$4:$H$22,2,0)</f>
        <v>4</v>
      </c>
      <c r="P2042" s="6"/>
      <c r="Q2042" s="6" t="str">
        <f t="shared" si="4"/>
        <v>Week 4</v>
      </c>
      <c r="R2042" s="6" t="str">
        <f t="shared" si="5"/>
        <v>2021Week 4</v>
      </c>
      <c r="S2042" s="6">
        <f>IFERROR(__xludf.DUMMYFUNCTION("rank(J2042,FILTER(J:J,R:R=R2042))"),10.0)</f>
        <v>10</v>
      </c>
      <c r="T2042" s="6">
        <f t="shared" si="6"/>
        <v>2</v>
      </c>
      <c r="U2042" s="6">
        <f t="shared" si="7"/>
        <v>10</v>
      </c>
      <c r="V2042" s="42">
        <f>averageif(AllData!A:A,B2042,AllData!R:R)/vlookup(B2042,AllData!A:O,15,0)</f>
        <v>94.5352381</v>
      </c>
      <c r="W2042" s="6"/>
    </row>
    <row r="2043" ht="14.25" customHeight="1">
      <c r="A2043" s="6" t="str">
        <f t="shared" si="1"/>
        <v>2021Salty4</v>
      </c>
      <c r="B2043" s="59">
        <v>2021.0</v>
      </c>
      <c r="C2043" s="13" t="s">
        <v>76</v>
      </c>
      <c r="D2043" s="13" t="s">
        <v>138</v>
      </c>
      <c r="E2043" s="34"/>
      <c r="F2043" s="6"/>
      <c r="H2043" s="6"/>
      <c r="I2043" s="35" t="str">
        <f>IFERROR(IFERROR(IFERROR(VLOOKUP(B2043&amp;C2043&amp;Q2043,'New Weekly Paste'!A:M,10,0),VLOOKUP(B2043&amp;C2043&amp;Q2043,'New Weekly Paste'!B:O,6,0)),""),"")</f>
        <v>Tayski</v>
      </c>
      <c r="J2043" s="259">
        <f>IFERROR(IFERROR(VLOOKUP(B2043&amp;C2043&amp;Q2043,'New Weekly Paste'!A:M,8,0),VLOOKUP(B2043&amp;C2043&amp;Q2043,'New Weekly Paste'!B:O,10,0)),0)</f>
        <v>112.92</v>
      </c>
      <c r="K2043" s="259">
        <f>IFERROR(IFERROR(VLOOKUP(B2043&amp;I2043&amp;Q2043,'New Weekly Paste'!A:M,8,0),VLOOKUP(B2043&amp;I2043&amp;Q2043,'New Weekly Paste'!B:O,10,0)),0)</f>
        <v>108</v>
      </c>
      <c r="L2043" s="239">
        <f t="shared" si="25"/>
        <v>1</v>
      </c>
      <c r="M2043" s="36" t="str">
        <f t="shared" si="3"/>
        <v>Regular Season</v>
      </c>
      <c r="N2043" s="239" t="str">
        <f t="shared" si="26"/>
        <v>Tayski</v>
      </c>
      <c r="O2043" s="6">
        <f>VLOOKUP(D2043,'Mapped Opponent'!$G$4:$H$22,2,0)</f>
        <v>4</v>
      </c>
      <c r="P2043" s="6"/>
      <c r="Q2043" s="6" t="str">
        <f t="shared" si="4"/>
        <v>Week 4</v>
      </c>
      <c r="R2043" s="6" t="str">
        <f t="shared" si="5"/>
        <v>2021Week 4</v>
      </c>
      <c r="S2043" s="6">
        <f>IFERROR(__xludf.DUMMYFUNCTION("rank(J2043,FILTER(J:J,R:R=R2043))"),3.0)</f>
        <v>3</v>
      </c>
      <c r="T2043" s="6">
        <f t="shared" si="6"/>
        <v>9</v>
      </c>
      <c r="U2043" s="6">
        <f t="shared" si="7"/>
        <v>3</v>
      </c>
      <c r="V2043" s="42">
        <f>averageif(AllData!A:A,B2043,AllData!R:R)/vlookup(B2043,AllData!A:O,15,0)</f>
        <v>94.5352381</v>
      </c>
      <c r="W2043" s="6"/>
    </row>
    <row r="2044" ht="14.25" customHeight="1">
      <c r="A2044" s="6" t="str">
        <f t="shared" si="1"/>
        <v>2021Fellows4</v>
      </c>
      <c r="B2044" s="59">
        <v>2021.0</v>
      </c>
      <c r="C2044" s="13" t="s">
        <v>79</v>
      </c>
      <c r="D2044" s="13" t="s">
        <v>138</v>
      </c>
      <c r="E2044" s="34"/>
      <c r="F2044" s="6"/>
      <c r="H2044" s="6"/>
      <c r="I2044" s="35" t="str">
        <f>IFERROR(IFERROR(IFERROR(VLOOKUP(B2044&amp;C2044&amp;Q2044,'New Weekly Paste'!A:M,10,0),VLOOKUP(B2044&amp;C2044&amp;Q2044,'New Weekly Paste'!B:O,6,0)),""),"")</f>
        <v>Shep</v>
      </c>
      <c r="J2044" s="259">
        <f>IFERROR(IFERROR(VLOOKUP(B2044&amp;C2044&amp;Q2044,'New Weekly Paste'!A:M,8,0),VLOOKUP(B2044&amp;C2044&amp;Q2044,'New Weekly Paste'!B:O,10,0)),0)</f>
        <v>96.42</v>
      </c>
      <c r="K2044" s="259">
        <f>IFERROR(IFERROR(VLOOKUP(B2044&amp;I2044&amp;Q2044,'New Weekly Paste'!A:M,8,0),VLOOKUP(B2044&amp;I2044&amp;Q2044,'New Weekly Paste'!B:O,10,0)),0)</f>
        <v>108.64</v>
      </c>
      <c r="L2044" s="239">
        <f t="shared" si="25"/>
        <v>0</v>
      </c>
      <c r="M2044" s="36" t="str">
        <f t="shared" si="3"/>
        <v>Regular Season</v>
      </c>
      <c r="N2044" s="239" t="str">
        <f t="shared" si="26"/>
        <v>Shep</v>
      </c>
      <c r="O2044" s="6">
        <f>VLOOKUP(D2044,'Mapped Opponent'!$G$4:$H$22,2,0)</f>
        <v>4</v>
      </c>
      <c r="P2044" s="6"/>
      <c r="Q2044" s="6" t="str">
        <f t="shared" si="4"/>
        <v>Week 4</v>
      </c>
      <c r="R2044" s="6" t="str">
        <f t="shared" si="5"/>
        <v>2021Week 4</v>
      </c>
      <c r="S2044" s="6">
        <f>IFERROR(__xludf.DUMMYFUNCTION("rank(J2044,FILTER(J:J,R:R=R2044))"),7.0)</f>
        <v>7</v>
      </c>
      <c r="T2044" s="6">
        <f t="shared" si="6"/>
        <v>5</v>
      </c>
      <c r="U2044" s="6">
        <f t="shared" si="7"/>
        <v>7</v>
      </c>
      <c r="V2044" s="42">
        <f>averageif(AllData!A:A,B2044,AllData!R:R)/vlookup(B2044,AllData!A:O,15,0)</f>
        <v>94.5352381</v>
      </c>
      <c r="W2044" s="6"/>
    </row>
    <row r="2045" ht="14.25" customHeight="1">
      <c r="A2045" s="6" t="str">
        <f t="shared" si="1"/>
        <v>2021Shep4</v>
      </c>
      <c r="B2045" s="59">
        <v>2021.0</v>
      </c>
      <c r="C2045" s="13" t="s">
        <v>89</v>
      </c>
      <c r="D2045" s="13" t="s">
        <v>138</v>
      </c>
      <c r="E2045" s="34"/>
      <c r="F2045" s="6"/>
      <c r="H2045" s="6"/>
      <c r="I2045" s="35" t="str">
        <f>IFERROR(IFERROR(IFERROR(VLOOKUP(B2045&amp;C2045&amp;Q2045,'New Weekly Paste'!A:M,10,0),VLOOKUP(B2045&amp;C2045&amp;Q2045,'New Weekly Paste'!B:O,6,0)),""),"")</f>
        <v>Fellows</v>
      </c>
      <c r="J2045" s="259">
        <f>IFERROR(IFERROR(VLOOKUP(B2045&amp;C2045&amp;Q2045,'New Weekly Paste'!A:M,8,0),VLOOKUP(B2045&amp;C2045&amp;Q2045,'New Weekly Paste'!B:O,10,0)),0)</f>
        <v>108.64</v>
      </c>
      <c r="K2045" s="259">
        <f>IFERROR(IFERROR(VLOOKUP(B2045&amp;I2045&amp;Q2045,'New Weekly Paste'!A:M,8,0),VLOOKUP(B2045&amp;I2045&amp;Q2045,'New Weekly Paste'!B:O,10,0)),0)</f>
        <v>96.42</v>
      </c>
      <c r="L2045" s="239">
        <f t="shared" si="25"/>
        <v>1</v>
      </c>
      <c r="M2045" s="36" t="str">
        <f t="shared" si="3"/>
        <v>Regular Season</v>
      </c>
      <c r="N2045" s="239" t="str">
        <f t="shared" si="26"/>
        <v>Fellows</v>
      </c>
      <c r="O2045" s="6">
        <f>VLOOKUP(D2045,'Mapped Opponent'!$G$4:$H$22,2,0)</f>
        <v>4</v>
      </c>
      <c r="P2045" s="6"/>
      <c r="Q2045" s="6" t="str">
        <f t="shared" si="4"/>
        <v>Week 4</v>
      </c>
      <c r="R2045" s="6" t="str">
        <f t="shared" si="5"/>
        <v>2021Week 4</v>
      </c>
      <c r="S2045" s="6">
        <f>IFERROR(__xludf.DUMMYFUNCTION("rank(J2045,FILTER(J:J,R:R=R2045))"),4.0)</f>
        <v>4</v>
      </c>
      <c r="T2045" s="6">
        <f t="shared" si="6"/>
        <v>8</v>
      </c>
      <c r="U2045" s="6">
        <f t="shared" si="7"/>
        <v>4</v>
      </c>
      <c r="V2045" s="42">
        <f>averageif(AllData!A:A,B2045,AllData!R:R)/vlookup(B2045,AllData!A:O,15,0)</f>
        <v>94.5352381</v>
      </c>
      <c r="W2045" s="6"/>
    </row>
    <row r="2046" ht="14.25" customHeight="1">
      <c r="A2046" s="6" t="str">
        <f t="shared" si="1"/>
        <v>2021Riley4</v>
      </c>
      <c r="B2046" s="59">
        <v>2021.0</v>
      </c>
      <c r="C2046" s="13" t="s">
        <v>67</v>
      </c>
      <c r="D2046" s="13" t="s">
        <v>138</v>
      </c>
      <c r="E2046" s="34"/>
      <c r="F2046" s="6"/>
      <c r="H2046" s="6"/>
      <c r="I2046" s="35" t="str">
        <f>IFERROR(IFERROR(IFERROR(VLOOKUP(B2046&amp;C2046&amp;Q2046,'New Weekly Paste'!A:M,10,0),VLOOKUP(B2046&amp;C2046&amp;Q2046,'New Weekly Paste'!B:O,6,0)),""),"")</f>
        <v>KnardDawg</v>
      </c>
      <c r="J2046" s="259">
        <f>IFERROR(IFERROR(VLOOKUP(B2046&amp;C2046&amp;Q2046,'New Weekly Paste'!A:M,8,0),VLOOKUP(B2046&amp;C2046&amp;Q2046,'New Weekly Paste'!B:O,10,0)),0)</f>
        <v>123.52</v>
      </c>
      <c r="K2046" s="259">
        <f>IFERROR(IFERROR(VLOOKUP(B2046&amp;I2046&amp;Q2046,'New Weekly Paste'!A:M,8,0),VLOOKUP(B2046&amp;I2046&amp;Q2046,'New Weekly Paste'!B:O,10,0)),0)</f>
        <v>71.86</v>
      </c>
      <c r="L2046" s="239">
        <f t="shared" si="25"/>
        <v>1</v>
      </c>
      <c r="M2046" s="36" t="str">
        <f t="shared" si="3"/>
        <v>Regular Season</v>
      </c>
      <c r="N2046" s="239" t="str">
        <f t="shared" si="26"/>
        <v>KnardDawg</v>
      </c>
      <c r="O2046" s="6">
        <f>VLOOKUP(D2046,'Mapped Opponent'!$G$4:$H$22,2,0)</f>
        <v>4</v>
      </c>
      <c r="P2046" s="6"/>
      <c r="Q2046" s="6" t="str">
        <f t="shared" si="4"/>
        <v>Week 4</v>
      </c>
      <c r="R2046" s="6" t="str">
        <f t="shared" si="5"/>
        <v>2021Week 4</v>
      </c>
      <c r="S2046" s="6">
        <f>IFERROR(__xludf.DUMMYFUNCTION("rank(J2046,FILTER(J:J,R:R=R2046))"),2.0)</f>
        <v>2</v>
      </c>
      <c r="T2046" s="6">
        <f t="shared" si="6"/>
        <v>10</v>
      </c>
      <c r="U2046" s="6">
        <f t="shared" si="7"/>
        <v>2</v>
      </c>
      <c r="V2046" s="42">
        <f>averageif(AllData!A:A,B2046,AllData!R:R)/vlookup(B2046,AllData!A:O,15,0)</f>
        <v>94.5352381</v>
      </c>
      <c r="W2046" s="6"/>
    </row>
    <row r="2047" ht="14.25" customHeight="1">
      <c r="A2047" s="6" t="str">
        <f t="shared" si="1"/>
        <v>2021Rooney/Jackson4</v>
      </c>
      <c r="B2047" s="59">
        <v>2021.0</v>
      </c>
      <c r="C2047" s="13" t="s">
        <v>57</v>
      </c>
      <c r="D2047" s="13" t="s">
        <v>138</v>
      </c>
      <c r="E2047" s="34"/>
      <c r="F2047" s="6"/>
      <c r="H2047" s="6"/>
      <c r="I2047" s="35" t="str">
        <f>IFERROR(IFERROR(IFERROR(VLOOKUP(B2047&amp;C2047&amp;Q2047,'New Weekly Paste'!A:M,10,0),VLOOKUP(B2047&amp;C2047&amp;Q2047,'New Weekly Paste'!B:O,6,0)),""),"")</f>
        <v>Hudspeath</v>
      </c>
      <c r="J2047" s="259">
        <f>IFERROR(IFERROR(VLOOKUP(B2047&amp;C2047&amp;Q2047,'New Weekly Paste'!A:M,8,0),VLOOKUP(B2047&amp;C2047&amp;Q2047,'New Weekly Paste'!B:O,10,0)),0)</f>
        <v>94.52</v>
      </c>
      <c r="K2047" s="259">
        <f>IFERROR(IFERROR(VLOOKUP(B2047&amp;I2047&amp;Q2047,'New Weekly Paste'!A:M,8,0),VLOOKUP(B2047&amp;I2047&amp;Q2047,'New Weekly Paste'!B:O,10,0)),0)</f>
        <v>76.82</v>
      </c>
      <c r="L2047" s="239">
        <f t="shared" si="25"/>
        <v>1</v>
      </c>
      <c r="M2047" s="36" t="str">
        <f t="shared" si="3"/>
        <v>Regular Season</v>
      </c>
      <c r="N2047" s="239" t="str">
        <f t="shared" si="26"/>
        <v>Hudspeath</v>
      </c>
      <c r="O2047" s="6">
        <f>VLOOKUP(D2047,'Mapped Opponent'!$G$4:$H$22,2,0)</f>
        <v>4</v>
      </c>
      <c r="P2047" s="6"/>
      <c r="Q2047" s="6" t="str">
        <f t="shared" si="4"/>
        <v>Week 4</v>
      </c>
      <c r="R2047" s="6" t="str">
        <f t="shared" si="5"/>
        <v>2021Week 4</v>
      </c>
      <c r="S2047" s="6">
        <f>IFERROR(__xludf.DUMMYFUNCTION("rank(J2047,FILTER(J:J,R:R=R2047))"),8.0)</f>
        <v>8</v>
      </c>
      <c r="T2047" s="6">
        <f t="shared" si="6"/>
        <v>4</v>
      </c>
      <c r="U2047" s="6">
        <f t="shared" si="7"/>
        <v>8</v>
      </c>
      <c r="V2047" s="42">
        <f>averageif(AllData!A:A,B2047,AllData!R:R)/vlookup(B2047,AllData!A:O,15,0)</f>
        <v>94.5352381</v>
      </c>
      <c r="W2047" s="6"/>
    </row>
    <row r="2048" ht="14.25" customHeight="1">
      <c r="A2048" s="6" t="str">
        <f t="shared" si="1"/>
        <v>2021Buser4</v>
      </c>
      <c r="B2048" s="59">
        <v>2021.0</v>
      </c>
      <c r="C2048" s="13" t="s">
        <v>47</v>
      </c>
      <c r="D2048" s="13" t="s">
        <v>138</v>
      </c>
      <c r="E2048" s="34"/>
      <c r="F2048" s="6"/>
      <c r="H2048" s="6"/>
      <c r="I2048" s="35" t="str">
        <f>IFERROR(IFERROR(IFERROR(VLOOKUP(B2048&amp;C2048&amp;Q2048,'New Weekly Paste'!A:M,10,0),VLOOKUP(B2048&amp;C2048&amp;Q2048,'New Weekly Paste'!B:O,6,0)),""),"")</f>
        <v>T-How</v>
      </c>
      <c r="J2048" s="259">
        <f>IFERROR(IFERROR(VLOOKUP(B2048&amp;C2048&amp;Q2048,'New Weekly Paste'!A:M,8,0),VLOOKUP(B2048&amp;C2048&amp;Q2048,'New Weekly Paste'!B:O,10,0)),0)</f>
        <v>97.58</v>
      </c>
      <c r="K2048" s="259">
        <f>IFERROR(IFERROR(VLOOKUP(B2048&amp;I2048&amp;Q2048,'New Weekly Paste'!A:M,8,0),VLOOKUP(B2048&amp;I2048&amp;Q2048,'New Weekly Paste'!B:O,10,0)),0)</f>
        <v>141.42</v>
      </c>
      <c r="L2048" s="239">
        <f t="shared" si="25"/>
        <v>0</v>
      </c>
      <c r="M2048" s="36" t="str">
        <f t="shared" si="3"/>
        <v>Regular Season</v>
      </c>
      <c r="N2048" s="239" t="str">
        <f t="shared" si="26"/>
        <v>T-How</v>
      </c>
      <c r="O2048" s="6">
        <f>VLOOKUP(D2048,'Mapped Opponent'!$G$4:$H$22,2,0)</f>
        <v>4</v>
      </c>
      <c r="P2048" s="6"/>
      <c r="Q2048" s="6" t="str">
        <f t="shared" si="4"/>
        <v>Week 4</v>
      </c>
      <c r="R2048" s="6" t="str">
        <f t="shared" si="5"/>
        <v>2021Week 4</v>
      </c>
      <c r="S2048" s="6">
        <f>IFERROR(__xludf.DUMMYFUNCTION("rank(J2048,FILTER(J:J,R:R=R2048))"),6.0)</f>
        <v>6</v>
      </c>
      <c r="T2048" s="6">
        <f t="shared" si="6"/>
        <v>6</v>
      </c>
      <c r="U2048" s="6">
        <f t="shared" si="7"/>
        <v>6</v>
      </c>
      <c r="V2048" s="42">
        <f>averageif(AllData!A:A,B2048,AllData!R:R)/vlookup(B2048,AllData!A:O,15,0)</f>
        <v>94.5352381</v>
      </c>
      <c r="W2048" s="6"/>
    </row>
    <row r="2049" ht="14.25" customHeight="1">
      <c r="A2049" s="6" t="str">
        <f t="shared" si="1"/>
        <v>2021Pierson4</v>
      </c>
      <c r="B2049" s="59">
        <v>2021.0</v>
      </c>
      <c r="C2049" s="13" t="s">
        <v>92</v>
      </c>
      <c r="D2049" s="13" t="s">
        <v>138</v>
      </c>
      <c r="E2049" s="34"/>
      <c r="F2049" s="6"/>
      <c r="H2049" s="6"/>
      <c r="I2049" s="35" t="str">
        <f>IFERROR(IFERROR(IFERROR(VLOOKUP(B2049&amp;C2049&amp;Q2049,'New Weekly Paste'!A:M,10,0),VLOOKUP(B2049&amp;C2049&amp;Q2049,'New Weekly Paste'!B:O,6,0)),""),"")</f>
        <v>Cock</v>
      </c>
      <c r="J2049" s="259">
        <f>IFERROR(IFERROR(VLOOKUP(B2049&amp;C2049&amp;Q2049,'New Weekly Paste'!A:M,8,0),VLOOKUP(B2049&amp;C2049&amp;Q2049,'New Weekly Paste'!B:O,10,0)),0)</f>
        <v>89.66</v>
      </c>
      <c r="K2049" s="259">
        <f>IFERROR(IFERROR(VLOOKUP(B2049&amp;I2049&amp;Q2049,'New Weekly Paste'!A:M,8,0),VLOOKUP(B2049&amp;I2049&amp;Q2049,'New Weekly Paste'!B:O,10,0)),0)</f>
        <v>64.68</v>
      </c>
      <c r="L2049" s="239">
        <f t="shared" si="25"/>
        <v>1</v>
      </c>
      <c r="M2049" s="36" t="str">
        <f t="shared" si="3"/>
        <v>Regular Season</v>
      </c>
      <c r="N2049" s="239" t="str">
        <f t="shared" si="26"/>
        <v>Cock</v>
      </c>
      <c r="O2049" s="6">
        <f>VLOOKUP(D2049,'Mapped Opponent'!$G$4:$H$22,2,0)</f>
        <v>4</v>
      </c>
      <c r="P2049" s="6"/>
      <c r="Q2049" s="6" t="str">
        <f t="shared" si="4"/>
        <v>Week 4</v>
      </c>
      <c r="R2049" s="6" t="str">
        <f t="shared" si="5"/>
        <v>2021Week 4</v>
      </c>
      <c r="S2049" s="6">
        <f>IFERROR(__xludf.DUMMYFUNCTION("rank(J2049,FILTER(J:J,R:R=R2049))"),9.0)</f>
        <v>9</v>
      </c>
      <c r="T2049" s="6">
        <f t="shared" si="6"/>
        <v>3</v>
      </c>
      <c r="U2049" s="6">
        <f t="shared" si="7"/>
        <v>9</v>
      </c>
      <c r="V2049" s="42">
        <f>averageif(AllData!A:A,B2049,AllData!R:R)/vlookup(B2049,AllData!A:O,15,0)</f>
        <v>94.5352381</v>
      </c>
      <c r="W2049" s="6"/>
    </row>
    <row r="2050" ht="14.25" customHeight="1">
      <c r="A2050" s="6" t="str">
        <f t="shared" si="1"/>
        <v>2021Cock4</v>
      </c>
      <c r="B2050" s="59">
        <v>2021.0</v>
      </c>
      <c r="C2050" s="13" t="s">
        <v>72</v>
      </c>
      <c r="D2050" s="13" t="s">
        <v>138</v>
      </c>
      <c r="E2050" s="34"/>
      <c r="F2050" s="6"/>
      <c r="H2050" s="6"/>
      <c r="I2050" s="35" t="str">
        <f>IFERROR(IFERROR(IFERROR(VLOOKUP(B2050&amp;C2050&amp;Q2050,'New Weekly Paste'!A:M,10,0),VLOOKUP(B2050&amp;C2050&amp;Q2050,'New Weekly Paste'!B:O,6,0)),""),"")</f>
        <v>Pierson</v>
      </c>
      <c r="J2050" s="259">
        <f>IFERROR(IFERROR(VLOOKUP(B2050&amp;C2050&amp;Q2050,'New Weekly Paste'!A:M,8,0),VLOOKUP(B2050&amp;C2050&amp;Q2050,'New Weekly Paste'!B:O,10,0)),0)</f>
        <v>64.68</v>
      </c>
      <c r="K2050" s="259">
        <f>IFERROR(IFERROR(VLOOKUP(B2050&amp;I2050&amp;Q2050,'New Weekly Paste'!A:M,8,0),VLOOKUP(B2050&amp;I2050&amp;Q2050,'New Weekly Paste'!B:O,10,0)),0)</f>
        <v>89.66</v>
      </c>
      <c r="L2050" s="239">
        <f t="shared" si="25"/>
        <v>0</v>
      </c>
      <c r="M2050" s="36" t="str">
        <f t="shared" si="3"/>
        <v>Regular Season</v>
      </c>
      <c r="N2050" s="239" t="str">
        <f t="shared" si="26"/>
        <v>Pierson</v>
      </c>
      <c r="O2050" s="6">
        <f>VLOOKUP(D2050,'Mapped Opponent'!$G$4:$H$22,2,0)</f>
        <v>4</v>
      </c>
      <c r="P2050" s="6"/>
      <c r="Q2050" s="6" t="str">
        <f t="shared" si="4"/>
        <v>Week 4</v>
      </c>
      <c r="R2050" s="6" t="str">
        <f t="shared" si="5"/>
        <v>2021Week 4</v>
      </c>
      <c r="S2050" s="6">
        <f>IFERROR(__xludf.DUMMYFUNCTION("rank(J2050,FILTER(J:J,R:R=R2050))"),12.0)</f>
        <v>12</v>
      </c>
      <c r="T2050" s="6">
        <f t="shared" si="6"/>
        <v>0</v>
      </c>
      <c r="U2050" s="6">
        <f t="shared" si="7"/>
        <v>12</v>
      </c>
      <c r="V2050" s="42">
        <f>averageif(AllData!A:A,B2050,AllData!R:R)/vlookup(B2050,AllData!A:O,15,0)</f>
        <v>94.5352381</v>
      </c>
      <c r="W2050" s="6"/>
    </row>
    <row r="2051" ht="14.25" customHeight="1">
      <c r="A2051" s="6" t="str">
        <f t="shared" si="1"/>
        <v>2021Tayski4</v>
      </c>
      <c r="B2051" s="59">
        <v>2021.0</v>
      </c>
      <c r="C2051" s="13" t="s">
        <v>52</v>
      </c>
      <c r="D2051" s="13" t="s">
        <v>138</v>
      </c>
      <c r="E2051" s="34"/>
      <c r="F2051" s="6"/>
      <c r="H2051" s="6"/>
      <c r="I2051" s="35" t="str">
        <f>IFERROR(IFERROR(IFERROR(VLOOKUP(B2051&amp;C2051&amp;Q2051,'New Weekly Paste'!A:M,10,0),VLOOKUP(B2051&amp;C2051&amp;Q2051,'New Weekly Paste'!B:O,6,0)),""),"")</f>
        <v>Salty</v>
      </c>
      <c r="J2051" s="259">
        <f>IFERROR(IFERROR(VLOOKUP(B2051&amp;C2051&amp;Q2051,'New Weekly Paste'!A:M,8,0),VLOOKUP(B2051&amp;C2051&amp;Q2051,'New Weekly Paste'!B:O,10,0)),0)</f>
        <v>108</v>
      </c>
      <c r="K2051" s="259">
        <f>IFERROR(IFERROR(VLOOKUP(B2051&amp;I2051&amp;Q2051,'New Weekly Paste'!A:M,8,0),VLOOKUP(B2051&amp;I2051&amp;Q2051,'New Weekly Paste'!B:O,10,0)),0)</f>
        <v>112.92</v>
      </c>
      <c r="L2051" s="239">
        <f t="shared" si="25"/>
        <v>0</v>
      </c>
      <c r="M2051" s="36" t="str">
        <f t="shared" si="3"/>
        <v>Regular Season</v>
      </c>
      <c r="N2051" s="239" t="str">
        <f t="shared" si="26"/>
        <v>Salty</v>
      </c>
      <c r="O2051" s="6">
        <f>VLOOKUP(D2051,'Mapped Opponent'!$G$4:$H$22,2,0)</f>
        <v>4</v>
      </c>
      <c r="P2051" s="6"/>
      <c r="Q2051" s="6" t="str">
        <f t="shared" si="4"/>
        <v>Week 4</v>
      </c>
      <c r="R2051" s="6" t="str">
        <f t="shared" si="5"/>
        <v>2021Week 4</v>
      </c>
      <c r="S2051" s="6">
        <f>IFERROR(__xludf.DUMMYFUNCTION("rank(J2051,FILTER(J:J,R:R=R2051))"),5.0)</f>
        <v>5</v>
      </c>
      <c r="T2051" s="6">
        <f t="shared" si="6"/>
        <v>7</v>
      </c>
      <c r="U2051" s="6">
        <f t="shared" si="7"/>
        <v>5</v>
      </c>
      <c r="V2051" s="42">
        <f>averageif(AllData!A:A,B2051,AllData!R:R)/vlookup(B2051,AllData!A:O,15,0)</f>
        <v>94.5352381</v>
      </c>
      <c r="W2051" s="6"/>
    </row>
    <row r="2052" ht="14.25" customHeight="1">
      <c r="A2052" s="6" t="str">
        <f t="shared" si="1"/>
        <v>2021KnardDawg4</v>
      </c>
      <c r="B2052" s="59">
        <v>2021.0</v>
      </c>
      <c r="C2052" s="13" t="s">
        <v>86</v>
      </c>
      <c r="D2052" s="13" t="s">
        <v>138</v>
      </c>
      <c r="E2052" s="34"/>
      <c r="F2052" s="6"/>
      <c r="H2052" s="6"/>
      <c r="I2052" s="35" t="str">
        <f>IFERROR(IFERROR(IFERROR(VLOOKUP(B2052&amp;C2052&amp;Q2052,'New Weekly Paste'!A:M,10,0),VLOOKUP(B2052&amp;C2052&amp;Q2052,'New Weekly Paste'!B:O,6,0)),""),"")</f>
        <v>Riley</v>
      </c>
      <c r="J2052" s="259">
        <f>IFERROR(IFERROR(VLOOKUP(B2052&amp;C2052&amp;Q2052,'New Weekly Paste'!A:M,8,0),VLOOKUP(B2052&amp;C2052&amp;Q2052,'New Weekly Paste'!B:O,10,0)),0)</f>
        <v>71.86</v>
      </c>
      <c r="K2052" s="259">
        <f>IFERROR(IFERROR(VLOOKUP(B2052&amp;I2052&amp;Q2052,'New Weekly Paste'!A:M,8,0),VLOOKUP(B2052&amp;I2052&amp;Q2052,'New Weekly Paste'!B:O,10,0)),0)</f>
        <v>123.52</v>
      </c>
      <c r="L2052" s="239">
        <f t="shared" si="25"/>
        <v>0</v>
      </c>
      <c r="M2052" s="36" t="str">
        <f t="shared" si="3"/>
        <v>Regular Season</v>
      </c>
      <c r="N2052" s="239" t="str">
        <f t="shared" si="26"/>
        <v>Riley</v>
      </c>
      <c r="O2052" s="6">
        <f>VLOOKUP(D2052,'Mapped Opponent'!$G$4:$H$22,2,0)</f>
        <v>4</v>
      </c>
      <c r="P2052" s="6"/>
      <c r="Q2052" s="6" t="str">
        <f t="shared" si="4"/>
        <v>Week 4</v>
      </c>
      <c r="R2052" s="6" t="str">
        <f t="shared" si="5"/>
        <v>2021Week 4</v>
      </c>
      <c r="S2052" s="6">
        <f>IFERROR(__xludf.DUMMYFUNCTION("rank(J2052,FILTER(J:J,R:R=R2052))"),11.0)</f>
        <v>11</v>
      </c>
      <c r="T2052" s="6">
        <f t="shared" si="6"/>
        <v>1</v>
      </c>
      <c r="U2052" s="6">
        <f t="shared" si="7"/>
        <v>11</v>
      </c>
      <c r="V2052" s="42">
        <f>averageif(AllData!A:A,B2052,AllData!R:R)/vlookup(B2052,AllData!A:O,15,0)</f>
        <v>94.5352381</v>
      </c>
      <c r="W2052" s="6"/>
    </row>
    <row r="2053" ht="14.25" customHeight="1">
      <c r="A2053" s="6" t="str">
        <f t="shared" si="1"/>
        <v>2021T-How4</v>
      </c>
      <c r="B2053" s="59">
        <v>2021.0</v>
      </c>
      <c r="C2053" s="13" t="s">
        <v>82</v>
      </c>
      <c r="D2053" s="13" t="s">
        <v>138</v>
      </c>
      <c r="E2053" s="34"/>
      <c r="F2053" s="6"/>
      <c r="H2053" s="6"/>
      <c r="I2053" s="35" t="str">
        <f>IFERROR(IFERROR(IFERROR(VLOOKUP(B2053&amp;C2053&amp;Q2053,'New Weekly Paste'!A:M,10,0),VLOOKUP(B2053&amp;C2053&amp;Q2053,'New Weekly Paste'!B:O,6,0)),""),"")</f>
        <v>Buser</v>
      </c>
      <c r="J2053" s="259">
        <f>IFERROR(IFERROR(VLOOKUP(B2053&amp;C2053&amp;Q2053,'New Weekly Paste'!A:M,8,0),VLOOKUP(B2053&amp;C2053&amp;Q2053,'New Weekly Paste'!B:O,10,0)),0)</f>
        <v>141.42</v>
      </c>
      <c r="K2053" s="259">
        <f>IFERROR(IFERROR(VLOOKUP(B2053&amp;I2053&amp;Q2053,'New Weekly Paste'!A:M,8,0),VLOOKUP(B2053&amp;I2053&amp;Q2053,'New Weekly Paste'!B:O,10,0)),0)</f>
        <v>97.58</v>
      </c>
      <c r="L2053" s="239">
        <f t="shared" si="25"/>
        <v>1</v>
      </c>
      <c r="M2053" s="36" t="str">
        <f t="shared" si="3"/>
        <v>Regular Season</v>
      </c>
      <c r="N2053" s="239" t="str">
        <f t="shared" si="26"/>
        <v>Buser</v>
      </c>
      <c r="O2053" s="6">
        <f>VLOOKUP(D2053,'Mapped Opponent'!$G$4:$H$22,2,0)</f>
        <v>4</v>
      </c>
      <c r="P2053" s="6"/>
      <c r="Q2053" s="6" t="str">
        <f t="shared" si="4"/>
        <v>Week 4</v>
      </c>
      <c r="R2053" s="6" t="str">
        <f t="shared" si="5"/>
        <v>2021Week 4</v>
      </c>
      <c r="S2053" s="6">
        <f>IFERROR(__xludf.DUMMYFUNCTION("rank(J2053,FILTER(J:J,R:R=R2053))"),1.0)</f>
        <v>1</v>
      </c>
      <c r="T2053" s="6">
        <f t="shared" si="6"/>
        <v>11</v>
      </c>
      <c r="U2053" s="6">
        <f t="shared" si="7"/>
        <v>1</v>
      </c>
      <c r="V2053" s="42">
        <f>averageif(AllData!A:A,B2053,AllData!R:R)/vlookup(B2053,AllData!A:O,15,0)</f>
        <v>94.5352381</v>
      </c>
      <c r="W2053" s="6"/>
    </row>
    <row r="2054" ht="14.25" customHeight="1">
      <c r="A2054" s="6" t="str">
        <f t="shared" si="1"/>
        <v>2021Hudspeath5</v>
      </c>
      <c r="B2054" s="59">
        <v>2021.0</v>
      </c>
      <c r="C2054" s="13" t="s">
        <v>39</v>
      </c>
      <c r="D2054" s="13" t="s">
        <v>141</v>
      </c>
      <c r="E2054" s="34"/>
      <c r="F2054" s="6"/>
      <c r="H2054" s="6"/>
      <c r="I2054" s="35" t="str">
        <f>IFERROR(IFERROR(IFERROR(VLOOKUP(B2054&amp;C2054&amp;Q2054,'New Weekly Paste'!A:M,10,0),VLOOKUP(B2054&amp;C2054&amp;Q2054,'New Weekly Paste'!B:O,6,0)),""),"")</f>
        <v>Fellows</v>
      </c>
      <c r="J2054" s="259">
        <f>IFERROR(IFERROR(VLOOKUP(B2054&amp;C2054&amp;Q2054,'New Weekly Paste'!A:M,8,0),VLOOKUP(B2054&amp;C2054&amp;Q2054,'New Weekly Paste'!B:O,10,0)),0)</f>
        <v>91.26</v>
      </c>
      <c r="K2054" s="259">
        <f>IFERROR(IFERROR(VLOOKUP(B2054&amp;I2054&amp;Q2054,'New Weekly Paste'!A:M,8,0),VLOOKUP(B2054&amp;I2054&amp;Q2054,'New Weekly Paste'!B:O,10,0)),0)</f>
        <v>110.08</v>
      </c>
      <c r="L2054" s="239">
        <f t="shared" si="25"/>
        <v>0</v>
      </c>
      <c r="M2054" s="36" t="str">
        <f t="shared" si="3"/>
        <v>Regular Season</v>
      </c>
      <c r="N2054" s="239" t="str">
        <f t="shared" si="26"/>
        <v>Fellows</v>
      </c>
      <c r="O2054" s="6">
        <f>VLOOKUP(D2054,'Mapped Opponent'!$G$4:$H$22,2,0)</f>
        <v>5</v>
      </c>
      <c r="P2054" s="6"/>
      <c r="Q2054" s="6" t="str">
        <f t="shared" si="4"/>
        <v>Week 5</v>
      </c>
      <c r="R2054" s="6" t="str">
        <f t="shared" si="5"/>
        <v>2021Week 5</v>
      </c>
      <c r="S2054" s="6">
        <f>IFERROR(__xludf.DUMMYFUNCTION("rank(J2054,FILTER(J:J,R:R=R2054))"),9.0)</f>
        <v>9</v>
      </c>
      <c r="T2054" s="6">
        <f t="shared" si="6"/>
        <v>3</v>
      </c>
      <c r="U2054" s="6">
        <f t="shared" si="7"/>
        <v>9</v>
      </c>
      <c r="V2054" s="42">
        <f>averageif(AllData!A:A,B2054,AllData!R:R)/vlookup(B2054,AllData!A:O,15,0)</f>
        <v>94.5352381</v>
      </c>
      <c r="W2054" s="6"/>
    </row>
    <row r="2055" ht="14.25" customHeight="1">
      <c r="A2055" s="6" t="str">
        <f t="shared" si="1"/>
        <v>2021Salty5</v>
      </c>
      <c r="B2055" s="59">
        <v>2021.0</v>
      </c>
      <c r="C2055" s="13" t="s">
        <v>76</v>
      </c>
      <c r="D2055" s="13" t="s">
        <v>141</v>
      </c>
      <c r="E2055" s="34"/>
      <c r="F2055" s="6"/>
      <c r="H2055" s="6"/>
      <c r="I2055" s="35" t="str">
        <f>IFERROR(IFERROR(IFERROR(VLOOKUP(B2055&amp;C2055&amp;Q2055,'New Weekly Paste'!A:M,10,0),VLOOKUP(B2055&amp;C2055&amp;Q2055,'New Weekly Paste'!B:O,6,0)),""),"")</f>
        <v>Shep</v>
      </c>
      <c r="J2055" s="259">
        <f>IFERROR(IFERROR(VLOOKUP(B2055&amp;C2055&amp;Q2055,'New Weekly Paste'!A:M,8,0),VLOOKUP(B2055&amp;C2055&amp;Q2055,'New Weekly Paste'!B:O,10,0)),0)</f>
        <v>113.2</v>
      </c>
      <c r="K2055" s="259">
        <f>IFERROR(IFERROR(VLOOKUP(B2055&amp;I2055&amp;Q2055,'New Weekly Paste'!A:M,8,0),VLOOKUP(B2055&amp;I2055&amp;Q2055,'New Weekly Paste'!B:O,10,0)),0)</f>
        <v>120.38</v>
      </c>
      <c r="L2055" s="239">
        <f t="shared" si="25"/>
        <v>0</v>
      </c>
      <c r="M2055" s="36" t="str">
        <f t="shared" si="3"/>
        <v>Regular Season</v>
      </c>
      <c r="N2055" s="239" t="str">
        <f t="shared" si="26"/>
        <v>Shep</v>
      </c>
      <c r="O2055" s="6">
        <f>VLOOKUP(D2055,'Mapped Opponent'!$G$4:$H$22,2,0)</f>
        <v>5</v>
      </c>
      <c r="P2055" s="6"/>
      <c r="Q2055" s="6" t="str">
        <f t="shared" si="4"/>
        <v>Week 5</v>
      </c>
      <c r="R2055" s="6" t="str">
        <f t="shared" si="5"/>
        <v>2021Week 5</v>
      </c>
      <c r="S2055" s="6">
        <f>IFERROR(__xludf.DUMMYFUNCTION("rank(J2055,FILTER(J:J,R:R=R2055))"),5.0)</f>
        <v>5</v>
      </c>
      <c r="T2055" s="6">
        <f t="shared" si="6"/>
        <v>7</v>
      </c>
      <c r="U2055" s="6">
        <f t="shared" si="7"/>
        <v>5</v>
      </c>
      <c r="V2055" s="42">
        <f>averageif(AllData!A:A,B2055,AllData!R:R)/vlookup(B2055,AllData!A:O,15,0)</f>
        <v>94.5352381</v>
      </c>
      <c r="W2055" s="6"/>
    </row>
    <row r="2056" ht="14.25" customHeight="1">
      <c r="A2056" s="6" t="str">
        <f t="shared" si="1"/>
        <v>2021Fellows5</v>
      </c>
      <c r="B2056" s="59">
        <v>2021.0</v>
      </c>
      <c r="C2056" s="13" t="s">
        <v>79</v>
      </c>
      <c r="D2056" s="13" t="s">
        <v>141</v>
      </c>
      <c r="E2056" s="34"/>
      <c r="F2056" s="6"/>
      <c r="H2056" s="6"/>
      <c r="I2056" s="35" t="str">
        <f>IFERROR(IFERROR(IFERROR(VLOOKUP(B2056&amp;C2056&amp;Q2056,'New Weekly Paste'!A:M,10,0),VLOOKUP(B2056&amp;C2056&amp;Q2056,'New Weekly Paste'!B:O,6,0)),""),"")</f>
        <v>Hudspeath</v>
      </c>
      <c r="J2056" s="259">
        <f>IFERROR(IFERROR(VLOOKUP(B2056&amp;C2056&amp;Q2056,'New Weekly Paste'!A:M,8,0),VLOOKUP(B2056&amp;C2056&amp;Q2056,'New Weekly Paste'!B:O,10,0)),0)</f>
        <v>110.08</v>
      </c>
      <c r="K2056" s="259">
        <f>IFERROR(IFERROR(VLOOKUP(B2056&amp;I2056&amp;Q2056,'New Weekly Paste'!A:M,8,0),VLOOKUP(B2056&amp;I2056&amp;Q2056,'New Weekly Paste'!B:O,10,0)),0)</f>
        <v>91.26</v>
      </c>
      <c r="L2056" s="239">
        <f t="shared" si="25"/>
        <v>1</v>
      </c>
      <c r="M2056" s="36" t="str">
        <f t="shared" si="3"/>
        <v>Regular Season</v>
      </c>
      <c r="N2056" s="239" t="str">
        <f t="shared" si="26"/>
        <v>Hudspeath</v>
      </c>
      <c r="O2056" s="6">
        <f>VLOOKUP(D2056,'Mapped Opponent'!$G$4:$H$22,2,0)</f>
        <v>5</v>
      </c>
      <c r="P2056" s="6"/>
      <c r="Q2056" s="6" t="str">
        <f t="shared" si="4"/>
        <v>Week 5</v>
      </c>
      <c r="R2056" s="6" t="str">
        <f t="shared" si="5"/>
        <v>2021Week 5</v>
      </c>
      <c r="S2056" s="6">
        <f>IFERROR(__xludf.DUMMYFUNCTION("rank(J2056,FILTER(J:J,R:R=R2056))"),6.0)</f>
        <v>6</v>
      </c>
      <c r="T2056" s="6">
        <f t="shared" si="6"/>
        <v>6</v>
      </c>
      <c r="U2056" s="6">
        <f t="shared" si="7"/>
        <v>6</v>
      </c>
      <c r="V2056" s="42">
        <f>averageif(AllData!A:A,B2056,AllData!R:R)/vlookup(B2056,AllData!A:O,15,0)</f>
        <v>94.5352381</v>
      </c>
      <c r="W2056" s="6"/>
    </row>
    <row r="2057" ht="14.25" customHeight="1">
      <c r="A2057" s="6" t="str">
        <f t="shared" si="1"/>
        <v>2021Shep5</v>
      </c>
      <c r="B2057" s="59">
        <v>2021.0</v>
      </c>
      <c r="C2057" s="13" t="s">
        <v>89</v>
      </c>
      <c r="D2057" s="13" t="s">
        <v>141</v>
      </c>
      <c r="E2057" s="34"/>
      <c r="F2057" s="6"/>
      <c r="H2057" s="6"/>
      <c r="I2057" s="35" t="str">
        <f>IFERROR(IFERROR(IFERROR(VLOOKUP(B2057&amp;C2057&amp;Q2057,'New Weekly Paste'!A:M,10,0),VLOOKUP(B2057&amp;C2057&amp;Q2057,'New Weekly Paste'!B:O,6,0)),""),"")</f>
        <v>Salty</v>
      </c>
      <c r="J2057" s="259">
        <f>IFERROR(IFERROR(VLOOKUP(B2057&amp;C2057&amp;Q2057,'New Weekly Paste'!A:M,8,0),VLOOKUP(B2057&amp;C2057&amp;Q2057,'New Weekly Paste'!B:O,10,0)),0)</f>
        <v>120.38</v>
      </c>
      <c r="K2057" s="259">
        <f>IFERROR(IFERROR(VLOOKUP(B2057&amp;I2057&amp;Q2057,'New Weekly Paste'!A:M,8,0),VLOOKUP(B2057&amp;I2057&amp;Q2057,'New Weekly Paste'!B:O,10,0)),0)</f>
        <v>113.2</v>
      </c>
      <c r="L2057" s="239">
        <f t="shared" si="25"/>
        <v>1</v>
      </c>
      <c r="M2057" s="36" t="str">
        <f t="shared" si="3"/>
        <v>Regular Season</v>
      </c>
      <c r="N2057" s="239" t="str">
        <f t="shared" si="26"/>
        <v>Salty</v>
      </c>
      <c r="O2057" s="6">
        <f>VLOOKUP(D2057,'Mapped Opponent'!$G$4:$H$22,2,0)</f>
        <v>5</v>
      </c>
      <c r="P2057" s="6"/>
      <c r="Q2057" s="6" t="str">
        <f t="shared" si="4"/>
        <v>Week 5</v>
      </c>
      <c r="R2057" s="6" t="str">
        <f t="shared" si="5"/>
        <v>2021Week 5</v>
      </c>
      <c r="S2057" s="6">
        <f>IFERROR(__xludf.DUMMYFUNCTION("rank(J2057,FILTER(J:J,R:R=R2057))"),4.0)</f>
        <v>4</v>
      </c>
      <c r="T2057" s="6">
        <f t="shared" si="6"/>
        <v>8</v>
      </c>
      <c r="U2057" s="6">
        <f t="shared" si="7"/>
        <v>4</v>
      </c>
      <c r="V2057" s="42">
        <f>averageif(AllData!A:A,B2057,AllData!R:R)/vlookup(B2057,AllData!A:O,15,0)</f>
        <v>94.5352381</v>
      </c>
      <c r="W2057" s="6"/>
    </row>
    <row r="2058" ht="14.25" customHeight="1">
      <c r="A2058" s="6" t="str">
        <f t="shared" si="1"/>
        <v>2021Riley5</v>
      </c>
      <c r="B2058" s="59">
        <v>2021.0</v>
      </c>
      <c r="C2058" s="13" t="s">
        <v>67</v>
      </c>
      <c r="D2058" s="13" t="s">
        <v>141</v>
      </c>
      <c r="E2058" s="34"/>
      <c r="F2058" s="6"/>
      <c r="H2058" s="6"/>
      <c r="I2058" s="35" t="str">
        <f>IFERROR(IFERROR(IFERROR(VLOOKUP(B2058&amp;C2058&amp;Q2058,'New Weekly Paste'!A:M,10,0),VLOOKUP(B2058&amp;C2058&amp;Q2058,'New Weekly Paste'!B:O,6,0)),""),"")</f>
        <v>Rooney/Jackson</v>
      </c>
      <c r="J2058" s="259">
        <f>IFERROR(IFERROR(VLOOKUP(B2058&amp;C2058&amp;Q2058,'New Weekly Paste'!A:M,8,0),VLOOKUP(B2058&amp;C2058&amp;Q2058,'New Weekly Paste'!B:O,10,0)),0)</f>
        <v>122.58</v>
      </c>
      <c r="K2058" s="259">
        <f>IFERROR(IFERROR(VLOOKUP(B2058&amp;I2058&amp;Q2058,'New Weekly Paste'!A:M,8,0),VLOOKUP(B2058&amp;I2058&amp;Q2058,'New Weekly Paste'!B:O,10,0)),0)</f>
        <v>86.56</v>
      </c>
      <c r="L2058" s="239">
        <f t="shared" si="25"/>
        <v>1</v>
      </c>
      <c r="M2058" s="36" t="str">
        <f t="shared" si="3"/>
        <v>Regular Season</v>
      </c>
      <c r="N2058" s="239" t="str">
        <f t="shared" si="26"/>
        <v>Rooney/Jackson</v>
      </c>
      <c r="O2058" s="6">
        <f>VLOOKUP(D2058,'Mapped Opponent'!$G$4:$H$22,2,0)</f>
        <v>5</v>
      </c>
      <c r="P2058" s="6"/>
      <c r="Q2058" s="6" t="str">
        <f t="shared" si="4"/>
        <v>Week 5</v>
      </c>
      <c r="R2058" s="6" t="str">
        <f t="shared" si="5"/>
        <v>2021Week 5</v>
      </c>
      <c r="S2058" s="6">
        <f>IFERROR(__xludf.DUMMYFUNCTION("rank(J2058,FILTER(J:J,R:R=R2058))"),3.0)</f>
        <v>3</v>
      </c>
      <c r="T2058" s="6">
        <f t="shared" si="6"/>
        <v>9</v>
      </c>
      <c r="U2058" s="6">
        <f t="shared" si="7"/>
        <v>3</v>
      </c>
      <c r="V2058" s="42">
        <f>averageif(AllData!A:A,B2058,AllData!R:R)/vlookup(B2058,AllData!A:O,15,0)</f>
        <v>94.5352381</v>
      </c>
      <c r="W2058" s="6"/>
    </row>
    <row r="2059" ht="14.25" customHeight="1">
      <c r="A2059" s="6" t="str">
        <f t="shared" si="1"/>
        <v>2021Rooney/Jackson5</v>
      </c>
      <c r="B2059" s="59">
        <v>2021.0</v>
      </c>
      <c r="C2059" s="13" t="s">
        <v>57</v>
      </c>
      <c r="D2059" s="13" t="s">
        <v>141</v>
      </c>
      <c r="E2059" s="34"/>
      <c r="F2059" s="6"/>
      <c r="H2059" s="6"/>
      <c r="I2059" s="35" t="str">
        <f>IFERROR(IFERROR(IFERROR(VLOOKUP(B2059&amp;C2059&amp;Q2059,'New Weekly Paste'!A:M,10,0),VLOOKUP(B2059&amp;C2059&amp;Q2059,'New Weekly Paste'!B:O,6,0)),""),"")</f>
        <v>Riley</v>
      </c>
      <c r="J2059" s="259">
        <f>IFERROR(IFERROR(VLOOKUP(B2059&amp;C2059&amp;Q2059,'New Weekly Paste'!A:M,8,0),VLOOKUP(B2059&amp;C2059&amp;Q2059,'New Weekly Paste'!B:O,10,0)),0)</f>
        <v>86.56</v>
      </c>
      <c r="K2059" s="259">
        <f>IFERROR(IFERROR(VLOOKUP(B2059&amp;I2059&amp;Q2059,'New Weekly Paste'!A:M,8,0),VLOOKUP(B2059&amp;I2059&amp;Q2059,'New Weekly Paste'!B:O,10,0)),0)</f>
        <v>122.58</v>
      </c>
      <c r="L2059" s="239">
        <f t="shared" si="25"/>
        <v>0</v>
      </c>
      <c r="M2059" s="36" t="str">
        <f t="shared" si="3"/>
        <v>Regular Season</v>
      </c>
      <c r="N2059" s="239" t="str">
        <f t="shared" si="26"/>
        <v>Riley</v>
      </c>
      <c r="O2059" s="6">
        <f>VLOOKUP(D2059,'Mapped Opponent'!$G$4:$H$22,2,0)</f>
        <v>5</v>
      </c>
      <c r="P2059" s="6"/>
      <c r="Q2059" s="6" t="str">
        <f t="shared" si="4"/>
        <v>Week 5</v>
      </c>
      <c r="R2059" s="6" t="str">
        <f t="shared" si="5"/>
        <v>2021Week 5</v>
      </c>
      <c r="S2059" s="6">
        <f>IFERROR(__xludf.DUMMYFUNCTION("rank(J2059,FILTER(J:J,R:R=R2059))"),11.0)</f>
        <v>11</v>
      </c>
      <c r="T2059" s="6">
        <f t="shared" si="6"/>
        <v>1</v>
      </c>
      <c r="U2059" s="6">
        <f t="shared" si="7"/>
        <v>11</v>
      </c>
      <c r="V2059" s="42">
        <f>averageif(AllData!A:A,B2059,AllData!R:R)/vlookup(B2059,AllData!A:O,15,0)</f>
        <v>94.5352381</v>
      </c>
      <c r="W2059" s="6"/>
    </row>
    <row r="2060" ht="14.25" customHeight="1">
      <c r="A2060" s="6" t="str">
        <f t="shared" si="1"/>
        <v>2021Buser5</v>
      </c>
      <c r="B2060" s="59">
        <v>2021.0</v>
      </c>
      <c r="C2060" s="13" t="s">
        <v>47</v>
      </c>
      <c r="D2060" s="13" t="s">
        <v>141</v>
      </c>
      <c r="E2060" s="34"/>
      <c r="F2060" s="6"/>
      <c r="H2060" s="6"/>
      <c r="I2060" s="35" t="str">
        <f>IFERROR(IFERROR(IFERROR(VLOOKUP(B2060&amp;C2060&amp;Q2060,'New Weekly Paste'!A:M,10,0),VLOOKUP(B2060&amp;C2060&amp;Q2060,'New Weekly Paste'!B:O,6,0)),""),"")</f>
        <v>Cock</v>
      </c>
      <c r="J2060" s="259">
        <f>IFERROR(IFERROR(VLOOKUP(B2060&amp;C2060&amp;Q2060,'New Weekly Paste'!A:M,8,0),VLOOKUP(B2060&amp;C2060&amp;Q2060,'New Weekly Paste'!B:O,10,0)),0)</f>
        <v>140.42</v>
      </c>
      <c r="K2060" s="259">
        <f>IFERROR(IFERROR(VLOOKUP(B2060&amp;I2060&amp;Q2060,'New Weekly Paste'!A:M,8,0),VLOOKUP(B2060&amp;I2060&amp;Q2060,'New Weekly Paste'!B:O,10,0)),0)</f>
        <v>54.22</v>
      </c>
      <c r="L2060" s="239">
        <f t="shared" si="25"/>
        <v>1</v>
      </c>
      <c r="M2060" s="36" t="str">
        <f t="shared" si="3"/>
        <v>Regular Season</v>
      </c>
      <c r="N2060" s="239" t="str">
        <f t="shared" si="26"/>
        <v>Cock</v>
      </c>
      <c r="O2060" s="6">
        <f>VLOOKUP(D2060,'Mapped Opponent'!$G$4:$H$22,2,0)</f>
        <v>5</v>
      </c>
      <c r="P2060" s="6"/>
      <c r="Q2060" s="6" t="str">
        <f t="shared" si="4"/>
        <v>Week 5</v>
      </c>
      <c r="R2060" s="6" t="str">
        <f t="shared" si="5"/>
        <v>2021Week 5</v>
      </c>
      <c r="S2060" s="6">
        <f>IFERROR(__xludf.DUMMYFUNCTION("rank(J2060,FILTER(J:J,R:R=R2060))"),1.0)</f>
        <v>1</v>
      </c>
      <c r="T2060" s="6">
        <f t="shared" si="6"/>
        <v>11</v>
      </c>
      <c r="U2060" s="6">
        <f t="shared" si="7"/>
        <v>1</v>
      </c>
      <c r="V2060" s="42">
        <f>averageif(AllData!A:A,B2060,AllData!R:R)/vlookup(B2060,AllData!A:O,15,0)</f>
        <v>94.5352381</v>
      </c>
      <c r="W2060" s="6"/>
    </row>
    <row r="2061" ht="14.25" customHeight="1">
      <c r="A2061" s="6" t="str">
        <f t="shared" si="1"/>
        <v>2021Pierson5</v>
      </c>
      <c r="B2061" s="59">
        <v>2021.0</v>
      </c>
      <c r="C2061" s="13" t="s">
        <v>92</v>
      </c>
      <c r="D2061" s="13" t="s">
        <v>141</v>
      </c>
      <c r="E2061" s="34"/>
      <c r="F2061" s="6"/>
      <c r="H2061" s="6"/>
      <c r="I2061" s="35" t="str">
        <f>IFERROR(IFERROR(IFERROR(VLOOKUP(B2061&amp;C2061&amp;Q2061,'New Weekly Paste'!A:M,10,0),VLOOKUP(B2061&amp;C2061&amp;Q2061,'New Weekly Paste'!B:O,6,0)),""),"")</f>
        <v>KnardDawg</v>
      </c>
      <c r="J2061" s="259">
        <f>IFERROR(IFERROR(VLOOKUP(B2061&amp;C2061&amp;Q2061,'New Weekly Paste'!A:M,8,0),VLOOKUP(B2061&amp;C2061&amp;Q2061,'New Weekly Paste'!B:O,10,0)),0)</f>
        <v>129.84</v>
      </c>
      <c r="K2061" s="259">
        <f>IFERROR(IFERROR(VLOOKUP(B2061&amp;I2061&amp;Q2061,'New Weekly Paste'!A:M,8,0),VLOOKUP(B2061&amp;I2061&amp;Q2061,'New Weekly Paste'!B:O,10,0)),0)</f>
        <v>88.78</v>
      </c>
      <c r="L2061" s="239">
        <f t="shared" si="25"/>
        <v>1</v>
      </c>
      <c r="M2061" s="36" t="str">
        <f t="shared" si="3"/>
        <v>Regular Season</v>
      </c>
      <c r="N2061" s="239" t="str">
        <f t="shared" si="26"/>
        <v>KnardDawg</v>
      </c>
      <c r="O2061" s="6">
        <f>VLOOKUP(D2061,'Mapped Opponent'!$G$4:$H$22,2,0)</f>
        <v>5</v>
      </c>
      <c r="P2061" s="6"/>
      <c r="Q2061" s="6" t="str">
        <f t="shared" si="4"/>
        <v>Week 5</v>
      </c>
      <c r="R2061" s="6" t="str">
        <f t="shared" si="5"/>
        <v>2021Week 5</v>
      </c>
      <c r="S2061" s="6">
        <f>IFERROR(__xludf.DUMMYFUNCTION("rank(J2061,FILTER(J:J,R:R=R2061))"),2.0)</f>
        <v>2</v>
      </c>
      <c r="T2061" s="6">
        <f t="shared" si="6"/>
        <v>10</v>
      </c>
      <c r="U2061" s="6">
        <f t="shared" si="7"/>
        <v>2</v>
      </c>
      <c r="V2061" s="42">
        <f>averageif(AllData!A:A,B2061,AllData!R:R)/vlookup(B2061,AllData!A:O,15,0)</f>
        <v>94.5352381</v>
      </c>
      <c r="W2061" s="6"/>
    </row>
    <row r="2062" ht="14.25" customHeight="1">
      <c r="A2062" s="6" t="str">
        <f t="shared" si="1"/>
        <v>2021Cock5</v>
      </c>
      <c r="B2062" s="59">
        <v>2021.0</v>
      </c>
      <c r="C2062" s="13" t="s">
        <v>72</v>
      </c>
      <c r="D2062" s="13" t="s">
        <v>141</v>
      </c>
      <c r="E2062" s="34"/>
      <c r="F2062" s="6"/>
      <c r="H2062" s="6"/>
      <c r="I2062" s="35" t="str">
        <f>IFERROR(IFERROR(IFERROR(VLOOKUP(B2062&amp;C2062&amp;Q2062,'New Weekly Paste'!A:M,10,0),VLOOKUP(B2062&amp;C2062&amp;Q2062,'New Weekly Paste'!B:O,6,0)),""),"")</f>
        <v>Buser</v>
      </c>
      <c r="J2062" s="259">
        <f>IFERROR(IFERROR(VLOOKUP(B2062&amp;C2062&amp;Q2062,'New Weekly Paste'!A:M,8,0),VLOOKUP(B2062&amp;C2062&amp;Q2062,'New Weekly Paste'!B:O,10,0)),0)</f>
        <v>54.22</v>
      </c>
      <c r="K2062" s="259">
        <f>IFERROR(IFERROR(VLOOKUP(B2062&amp;I2062&amp;Q2062,'New Weekly Paste'!A:M,8,0),VLOOKUP(B2062&amp;I2062&amp;Q2062,'New Weekly Paste'!B:O,10,0)),0)</f>
        <v>140.42</v>
      </c>
      <c r="L2062" s="239">
        <f t="shared" si="25"/>
        <v>0</v>
      </c>
      <c r="M2062" s="36" t="str">
        <f t="shared" si="3"/>
        <v>Regular Season</v>
      </c>
      <c r="N2062" s="239" t="str">
        <f t="shared" si="26"/>
        <v>Buser</v>
      </c>
      <c r="O2062" s="6">
        <f>VLOOKUP(D2062,'Mapped Opponent'!$G$4:$H$22,2,0)</f>
        <v>5</v>
      </c>
      <c r="P2062" s="6"/>
      <c r="Q2062" s="6" t="str">
        <f t="shared" si="4"/>
        <v>Week 5</v>
      </c>
      <c r="R2062" s="6" t="str">
        <f t="shared" si="5"/>
        <v>2021Week 5</v>
      </c>
      <c r="S2062" s="6">
        <f>IFERROR(__xludf.DUMMYFUNCTION("rank(J2062,FILTER(J:J,R:R=R2062))"),12.0)</f>
        <v>12</v>
      </c>
      <c r="T2062" s="6">
        <f t="shared" si="6"/>
        <v>0</v>
      </c>
      <c r="U2062" s="6">
        <f t="shared" si="7"/>
        <v>12</v>
      </c>
      <c r="V2062" s="42">
        <f>averageif(AllData!A:A,B2062,AllData!R:R)/vlookup(B2062,AllData!A:O,15,0)</f>
        <v>94.5352381</v>
      </c>
      <c r="W2062" s="6"/>
    </row>
    <row r="2063" ht="14.25" customHeight="1">
      <c r="A2063" s="6" t="str">
        <f t="shared" si="1"/>
        <v>2021Tayski5</v>
      </c>
      <c r="B2063" s="59">
        <v>2021.0</v>
      </c>
      <c r="C2063" s="13" t="s">
        <v>52</v>
      </c>
      <c r="D2063" s="13" t="s">
        <v>141</v>
      </c>
      <c r="E2063" s="34"/>
      <c r="F2063" s="6"/>
      <c r="H2063" s="6"/>
      <c r="I2063" s="35" t="str">
        <f>IFERROR(IFERROR(IFERROR(VLOOKUP(B2063&amp;C2063&amp;Q2063,'New Weekly Paste'!A:M,10,0),VLOOKUP(B2063&amp;C2063&amp;Q2063,'New Weekly Paste'!B:O,6,0)),""),"")</f>
        <v>T-How</v>
      </c>
      <c r="J2063" s="259">
        <f>IFERROR(IFERROR(VLOOKUP(B2063&amp;C2063&amp;Q2063,'New Weekly Paste'!A:M,8,0),VLOOKUP(B2063&amp;C2063&amp;Q2063,'New Weekly Paste'!B:O,10,0)),0)</f>
        <v>105.6</v>
      </c>
      <c r="K2063" s="259">
        <f>IFERROR(IFERROR(VLOOKUP(B2063&amp;I2063&amp;Q2063,'New Weekly Paste'!A:M,8,0),VLOOKUP(B2063&amp;I2063&amp;Q2063,'New Weekly Paste'!B:O,10,0)),0)</f>
        <v>105.88</v>
      </c>
      <c r="L2063" s="239">
        <f t="shared" si="25"/>
        <v>0</v>
      </c>
      <c r="M2063" s="36" t="str">
        <f t="shared" si="3"/>
        <v>Regular Season</v>
      </c>
      <c r="N2063" s="239" t="str">
        <f t="shared" si="26"/>
        <v>T-How</v>
      </c>
      <c r="O2063" s="6">
        <f>VLOOKUP(D2063,'Mapped Opponent'!$G$4:$H$22,2,0)</f>
        <v>5</v>
      </c>
      <c r="P2063" s="6"/>
      <c r="Q2063" s="6" t="str">
        <f t="shared" si="4"/>
        <v>Week 5</v>
      </c>
      <c r="R2063" s="6" t="str">
        <f t="shared" si="5"/>
        <v>2021Week 5</v>
      </c>
      <c r="S2063" s="6">
        <f>IFERROR(__xludf.DUMMYFUNCTION("rank(J2063,FILTER(J:J,R:R=R2063))"),8.0)</f>
        <v>8</v>
      </c>
      <c r="T2063" s="6">
        <f t="shared" si="6"/>
        <v>4</v>
      </c>
      <c r="U2063" s="6">
        <f t="shared" si="7"/>
        <v>8</v>
      </c>
      <c r="V2063" s="42">
        <f>averageif(AllData!A:A,B2063,AllData!R:R)/vlookup(B2063,AllData!A:O,15,0)</f>
        <v>94.5352381</v>
      </c>
      <c r="W2063" s="6"/>
    </row>
    <row r="2064" ht="14.25" customHeight="1">
      <c r="A2064" s="6" t="str">
        <f t="shared" si="1"/>
        <v>2021KnardDawg5</v>
      </c>
      <c r="B2064" s="59">
        <v>2021.0</v>
      </c>
      <c r="C2064" s="13" t="s">
        <v>86</v>
      </c>
      <c r="D2064" s="13" t="s">
        <v>141</v>
      </c>
      <c r="E2064" s="34"/>
      <c r="F2064" s="6"/>
      <c r="H2064" s="6"/>
      <c r="I2064" s="35" t="str">
        <f>IFERROR(IFERROR(IFERROR(VLOOKUP(B2064&amp;C2064&amp;Q2064,'New Weekly Paste'!A:M,10,0),VLOOKUP(B2064&amp;C2064&amp;Q2064,'New Weekly Paste'!B:O,6,0)),""),"")</f>
        <v>Pierson</v>
      </c>
      <c r="J2064" s="259">
        <f>IFERROR(IFERROR(VLOOKUP(B2064&amp;C2064&amp;Q2064,'New Weekly Paste'!A:M,8,0),VLOOKUP(B2064&amp;C2064&amp;Q2064,'New Weekly Paste'!B:O,10,0)),0)</f>
        <v>88.78</v>
      </c>
      <c r="K2064" s="259">
        <f>IFERROR(IFERROR(VLOOKUP(B2064&amp;I2064&amp;Q2064,'New Weekly Paste'!A:M,8,0),VLOOKUP(B2064&amp;I2064&amp;Q2064,'New Weekly Paste'!B:O,10,0)),0)</f>
        <v>129.84</v>
      </c>
      <c r="L2064" s="239">
        <f t="shared" si="25"/>
        <v>0</v>
      </c>
      <c r="M2064" s="36" t="str">
        <f t="shared" si="3"/>
        <v>Regular Season</v>
      </c>
      <c r="N2064" s="239" t="str">
        <f t="shared" si="26"/>
        <v>Pierson</v>
      </c>
      <c r="O2064" s="6">
        <f>VLOOKUP(D2064,'Mapped Opponent'!$G$4:$H$22,2,0)</f>
        <v>5</v>
      </c>
      <c r="P2064" s="6"/>
      <c r="Q2064" s="6" t="str">
        <f t="shared" si="4"/>
        <v>Week 5</v>
      </c>
      <c r="R2064" s="6" t="str">
        <f t="shared" si="5"/>
        <v>2021Week 5</v>
      </c>
      <c r="S2064" s="6">
        <f>IFERROR(__xludf.DUMMYFUNCTION("rank(J2064,FILTER(J:J,R:R=R2064))"),10.0)</f>
        <v>10</v>
      </c>
      <c r="T2064" s="6">
        <f t="shared" si="6"/>
        <v>2</v>
      </c>
      <c r="U2064" s="6">
        <f t="shared" si="7"/>
        <v>10</v>
      </c>
      <c r="V2064" s="42">
        <f>averageif(AllData!A:A,B2064,AllData!R:R)/vlookup(B2064,AllData!A:O,15,0)</f>
        <v>94.5352381</v>
      </c>
      <c r="W2064" s="6"/>
    </row>
    <row r="2065" ht="14.25" customHeight="1">
      <c r="A2065" s="6" t="str">
        <f t="shared" si="1"/>
        <v>2021T-How5</v>
      </c>
      <c r="B2065" s="59">
        <v>2021.0</v>
      </c>
      <c r="C2065" s="13" t="s">
        <v>82</v>
      </c>
      <c r="D2065" s="13" t="s">
        <v>141</v>
      </c>
      <c r="E2065" s="34"/>
      <c r="F2065" s="6"/>
      <c r="H2065" s="6"/>
      <c r="I2065" s="35" t="str">
        <f>IFERROR(IFERROR(IFERROR(VLOOKUP(B2065&amp;C2065&amp;Q2065,'New Weekly Paste'!A:M,10,0),VLOOKUP(B2065&amp;C2065&amp;Q2065,'New Weekly Paste'!B:O,6,0)),""),"")</f>
        <v>Tayski</v>
      </c>
      <c r="J2065" s="259">
        <f>IFERROR(IFERROR(VLOOKUP(B2065&amp;C2065&amp;Q2065,'New Weekly Paste'!A:M,8,0),VLOOKUP(B2065&amp;C2065&amp;Q2065,'New Weekly Paste'!B:O,10,0)),0)</f>
        <v>105.88</v>
      </c>
      <c r="K2065" s="259">
        <f>IFERROR(IFERROR(VLOOKUP(B2065&amp;I2065&amp;Q2065,'New Weekly Paste'!A:M,8,0),VLOOKUP(B2065&amp;I2065&amp;Q2065,'New Weekly Paste'!B:O,10,0)),0)</f>
        <v>105.6</v>
      </c>
      <c r="L2065" s="239">
        <f t="shared" si="25"/>
        <v>1</v>
      </c>
      <c r="M2065" s="36" t="str">
        <f t="shared" si="3"/>
        <v>Regular Season</v>
      </c>
      <c r="N2065" s="239" t="str">
        <f t="shared" si="26"/>
        <v>Tayski</v>
      </c>
      <c r="O2065" s="6">
        <f>VLOOKUP(D2065,'Mapped Opponent'!$G$4:$H$22,2,0)</f>
        <v>5</v>
      </c>
      <c r="P2065" s="6"/>
      <c r="Q2065" s="6" t="str">
        <f t="shared" si="4"/>
        <v>Week 5</v>
      </c>
      <c r="R2065" s="6" t="str">
        <f t="shared" si="5"/>
        <v>2021Week 5</v>
      </c>
      <c r="S2065" s="6">
        <f>IFERROR(__xludf.DUMMYFUNCTION("rank(J2065,FILTER(J:J,R:R=R2065))"),7.0)</f>
        <v>7</v>
      </c>
      <c r="T2065" s="6">
        <f t="shared" si="6"/>
        <v>5</v>
      </c>
      <c r="U2065" s="6">
        <f t="shared" si="7"/>
        <v>7</v>
      </c>
      <c r="V2065" s="42">
        <f>averageif(AllData!A:A,B2065,AllData!R:R)/vlookup(B2065,AllData!A:O,15,0)</f>
        <v>94.5352381</v>
      </c>
      <c r="W2065" s="6"/>
    </row>
    <row r="2066" ht="14.25" customHeight="1">
      <c r="A2066" s="6" t="str">
        <f t="shared" si="1"/>
        <v>2021Hudspeath6</v>
      </c>
      <c r="B2066" s="59">
        <v>2021.0</v>
      </c>
      <c r="C2066" s="13" t="s">
        <v>39</v>
      </c>
      <c r="D2066" s="13" t="s">
        <v>142</v>
      </c>
      <c r="E2066" s="34"/>
      <c r="F2066" s="6"/>
      <c r="H2066" s="6"/>
      <c r="I2066" s="35" t="str">
        <f>IFERROR(IFERROR(IFERROR(VLOOKUP(B2066&amp;C2066&amp;Q2066,'New Weekly Paste'!A:M,10,0),VLOOKUP(B2066&amp;C2066&amp;Q2066,'New Weekly Paste'!B:O,6,0)),""),"")</f>
        <v>Shep</v>
      </c>
      <c r="J2066" s="259">
        <f>IFERROR(IFERROR(VLOOKUP(B2066&amp;C2066&amp;Q2066,'New Weekly Paste'!A:M,8,0),VLOOKUP(B2066&amp;C2066&amp;Q2066,'New Weekly Paste'!B:O,10,0)),0)</f>
        <v>97.2</v>
      </c>
      <c r="K2066" s="259">
        <f>IFERROR(IFERROR(VLOOKUP(B2066&amp;I2066&amp;Q2066,'New Weekly Paste'!A:M,8,0),VLOOKUP(B2066&amp;I2066&amp;Q2066,'New Weekly Paste'!B:O,10,0)),0)</f>
        <v>72.58</v>
      </c>
      <c r="L2066" s="239">
        <f t="shared" si="25"/>
        <v>1</v>
      </c>
      <c r="M2066" s="36" t="str">
        <f t="shared" si="3"/>
        <v>Regular Season</v>
      </c>
      <c r="N2066" s="239" t="str">
        <f t="shared" si="26"/>
        <v>Shep</v>
      </c>
      <c r="O2066" s="6">
        <f>VLOOKUP(D2066,'Mapped Opponent'!$G$4:$H$22,2,0)</f>
        <v>6</v>
      </c>
      <c r="P2066" s="6"/>
      <c r="Q2066" s="6" t="str">
        <f t="shared" si="4"/>
        <v>Week 6</v>
      </c>
      <c r="R2066" s="6" t="str">
        <f t="shared" si="5"/>
        <v>2021Week 6</v>
      </c>
      <c r="S2066" s="6">
        <f>IFERROR(__xludf.DUMMYFUNCTION("rank(J2066,FILTER(J:J,R:R=R2066))"),7.0)</f>
        <v>7</v>
      </c>
      <c r="T2066" s="6">
        <f t="shared" si="6"/>
        <v>5</v>
      </c>
      <c r="U2066" s="6">
        <f t="shared" si="7"/>
        <v>7</v>
      </c>
      <c r="V2066" s="42">
        <f>averageif(AllData!A:A,B2066,AllData!R:R)/vlookup(B2066,AllData!A:O,15,0)</f>
        <v>94.5352381</v>
      </c>
      <c r="W2066" s="6"/>
    </row>
    <row r="2067" ht="14.25" customHeight="1">
      <c r="A2067" s="6" t="str">
        <f t="shared" si="1"/>
        <v>2021Salty6</v>
      </c>
      <c r="B2067" s="59">
        <v>2021.0</v>
      </c>
      <c r="C2067" s="13" t="s">
        <v>76</v>
      </c>
      <c r="D2067" s="13" t="s">
        <v>142</v>
      </c>
      <c r="E2067" s="34"/>
      <c r="F2067" s="6"/>
      <c r="H2067" s="6"/>
      <c r="I2067" s="35" t="str">
        <f>IFERROR(IFERROR(IFERROR(VLOOKUP(B2067&amp;C2067&amp;Q2067,'New Weekly Paste'!A:M,10,0),VLOOKUP(B2067&amp;C2067&amp;Q2067,'New Weekly Paste'!B:O,6,0)),""),"")</f>
        <v>T-How</v>
      </c>
      <c r="J2067" s="259">
        <f>IFERROR(IFERROR(VLOOKUP(B2067&amp;C2067&amp;Q2067,'New Weekly Paste'!A:M,8,0),VLOOKUP(B2067&amp;C2067&amp;Q2067,'New Weekly Paste'!B:O,10,0)),0)</f>
        <v>117.32</v>
      </c>
      <c r="K2067" s="259">
        <f>IFERROR(IFERROR(VLOOKUP(B2067&amp;I2067&amp;Q2067,'New Weekly Paste'!A:M,8,0),VLOOKUP(B2067&amp;I2067&amp;Q2067,'New Weekly Paste'!B:O,10,0)),0)</f>
        <v>98.78</v>
      </c>
      <c r="L2067" s="239">
        <f t="shared" si="25"/>
        <v>1</v>
      </c>
      <c r="M2067" s="36" t="str">
        <f t="shared" si="3"/>
        <v>Regular Season</v>
      </c>
      <c r="N2067" s="239" t="str">
        <f t="shared" si="26"/>
        <v>T-How</v>
      </c>
      <c r="O2067" s="6">
        <f>VLOOKUP(D2067,'Mapped Opponent'!$G$4:$H$22,2,0)</f>
        <v>6</v>
      </c>
      <c r="P2067" s="6"/>
      <c r="Q2067" s="6" t="str">
        <f t="shared" si="4"/>
        <v>Week 6</v>
      </c>
      <c r="R2067" s="6" t="str">
        <f t="shared" si="5"/>
        <v>2021Week 6</v>
      </c>
      <c r="S2067" s="6">
        <f>IFERROR(__xludf.DUMMYFUNCTION("rank(J2067,FILTER(J:J,R:R=R2067))"),2.0)</f>
        <v>2</v>
      </c>
      <c r="T2067" s="6">
        <f t="shared" si="6"/>
        <v>10</v>
      </c>
      <c r="U2067" s="6">
        <f t="shared" si="7"/>
        <v>2</v>
      </c>
      <c r="V2067" s="42">
        <f>averageif(AllData!A:A,B2067,AllData!R:R)/vlookup(B2067,AllData!A:O,15,0)</f>
        <v>94.5352381</v>
      </c>
      <c r="W2067" s="6"/>
    </row>
    <row r="2068" ht="14.25" customHeight="1">
      <c r="A2068" s="6" t="str">
        <f t="shared" si="1"/>
        <v>2021Fellows6</v>
      </c>
      <c r="B2068" s="59">
        <v>2021.0</v>
      </c>
      <c r="C2068" s="13" t="s">
        <v>79</v>
      </c>
      <c r="D2068" s="13" t="s">
        <v>142</v>
      </c>
      <c r="E2068" s="34"/>
      <c r="F2068" s="6"/>
      <c r="H2068" s="6"/>
      <c r="I2068" s="35" t="str">
        <f>IFERROR(IFERROR(IFERROR(VLOOKUP(B2068&amp;C2068&amp;Q2068,'New Weekly Paste'!A:M,10,0),VLOOKUP(B2068&amp;C2068&amp;Q2068,'New Weekly Paste'!B:O,6,0)),""),"")</f>
        <v>Riley</v>
      </c>
      <c r="J2068" s="259">
        <f>IFERROR(IFERROR(VLOOKUP(B2068&amp;C2068&amp;Q2068,'New Weekly Paste'!A:M,8,0),VLOOKUP(B2068&amp;C2068&amp;Q2068,'New Weekly Paste'!B:O,10,0)),0)</f>
        <v>91.04</v>
      </c>
      <c r="K2068" s="259">
        <f>IFERROR(IFERROR(VLOOKUP(B2068&amp;I2068&amp;Q2068,'New Weekly Paste'!A:M,8,0),VLOOKUP(B2068&amp;I2068&amp;Q2068,'New Weekly Paste'!B:O,10,0)),0)</f>
        <v>121.8</v>
      </c>
      <c r="L2068" s="239">
        <f t="shared" si="25"/>
        <v>0</v>
      </c>
      <c r="M2068" s="36" t="str">
        <f t="shared" si="3"/>
        <v>Regular Season</v>
      </c>
      <c r="N2068" s="239" t="str">
        <f t="shared" si="26"/>
        <v>Riley</v>
      </c>
      <c r="O2068" s="6">
        <f>VLOOKUP(D2068,'Mapped Opponent'!$G$4:$H$22,2,0)</f>
        <v>6</v>
      </c>
      <c r="P2068" s="6"/>
      <c r="Q2068" s="6" t="str">
        <f t="shared" si="4"/>
        <v>Week 6</v>
      </c>
      <c r="R2068" s="6" t="str">
        <f t="shared" si="5"/>
        <v>2021Week 6</v>
      </c>
      <c r="S2068" s="6">
        <f>IFERROR(__xludf.DUMMYFUNCTION("rank(J2068,FILTER(J:J,R:R=R2068))"),9.0)</f>
        <v>9</v>
      </c>
      <c r="T2068" s="6">
        <f t="shared" si="6"/>
        <v>3</v>
      </c>
      <c r="U2068" s="6">
        <f t="shared" si="7"/>
        <v>9</v>
      </c>
      <c r="V2068" s="42">
        <f>averageif(AllData!A:A,B2068,AllData!R:R)/vlookup(B2068,AllData!A:O,15,0)</f>
        <v>94.5352381</v>
      </c>
      <c r="W2068" s="6"/>
    </row>
    <row r="2069" ht="14.25" customHeight="1">
      <c r="A2069" s="6" t="str">
        <f t="shared" si="1"/>
        <v>2021Shep6</v>
      </c>
      <c r="B2069" s="59">
        <v>2021.0</v>
      </c>
      <c r="C2069" s="13" t="s">
        <v>89</v>
      </c>
      <c r="D2069" s="13" t="s">
        <v>142</v>
      </c>
      <c r="E2069" s="34"/>
      <c r="F2069" s="6"/>
      <c r="H2069" s="6"/>
      <c r="I2069" s="35" t="str">
        <f>IFERROR(IFERROR(IFERROR(VLOOKUP(B2069&amp;C2069&amp;Q2069,'New Weekly Paste'!A:M,10,0),VLOOKUP(B2069&amp;C2069&amp;Q2069,'New Weekly Paste'!B:O,6,0)),""),"")</f>
        <v>Hudspeath</v>
      </c>
      <c r="J2069" s="259">
        <f>IFERROR(IFERROR(VLOOKUP(B2069&amp;C2069&amp;Q2069,'New Weekly Paste'!A:M,8,0),VLOOKUP(B2069&amp;C2069&amp;Q2069,'New Weekly Paste'!B:O,10,0)),0)</f>
        <v>72.58</v>
      </c>
      <c r="K2069" s="259">
        <f>IFERROR(IFERROR(VLOOKUP(B2069&amp;I2069&amp;Q2069,'New Weekly Paste'!A:M,8,0),VLOOKUP(B2069&amp;I2069&amp;Q2069,'New Weekly Paste'!B:O,10,0)),0)</f>
        <v>97.2</v>
      </c>
      <c r="L2069" s="239">
        <f t="shared" si="25"/>
        <v>0</v>
      </c>
      <c r="M2069" s="36" t="str">
        <f t="shared" si="3"/>
        <v>Regular Season</v>
      </c>
      <c r="N2069" s="239" t="str">
        <f t="shared" si="26"/>
        <v>Hudspeath</v>
      </c>
      <c r="O2069" s="6">
        <f>VLOOKUP(D2069,'Mapped Opponent'!$G$4:$H$22,2,0)</f>
        <v>6</v>
      </c>
      <c r="P2069" s="6"/>
      <c r="Q2069" s="6" t="str">
        <f t="shared" si="4"/>
        <v>Week 6</v>
      </c>
      <c r="R2069" s="6" t="str">
        <f t="shared" si="5"/>
        <v>2021Week 6</v>
      </c>
      <c r="S2069" s="6">
        <f>IFERROR(__xludf.DUMMYFUNCTION("rank(J2069,FILTER(J:J,R:R=R2069))"),10.0)</f>
        <v>10</v>
      </c>
      <c r="T2069" s="6">
        <f t="shared" si="6"/>
        <v>2</v>
      </c>
      <c r="U2069" s="6">
        <f t="shared" si="7"/>
        <v>10</v>
      </c>
      <c r="V2069" s="42">
        <f>averageif(AllData!A:A,B2069,AllData!R:R)/vlookup(B2069,AllData!A:O,15,0)</f>
        <v>94.5352381</v>
      </c>
      <c r="W2069" s="6"/>
    </row>
    <row r="2070" ht="14.25" customHeight="1">
      <c r="A2070" s="6" t="str">
        <f t="shared" si="1"/>
        <v>2021Riley6</v>
      </c>
      <c r="B2070" s="59">
        <v>2021.0</v>
      </c>
      <c r="C2070" s="13" t="s">
        <v>67</v>
      </c>
      <c r="D2070" s="13" t="s">
        <v>142</v>
      </c>
      <c r="E2070" s="34"/>
      <c r="F2070" s="6"/>
      <c r="H2070" s="6"/>
      <c r="I2070" s="35" t="str">
        <f>IFERROR(IFERROR(IFERROR(VLOOKUP(B2070&amp;C2070&amp;Q2070,'New Weekly Paste'!A:M,10,0),VLOOKUP(B2070&amp;C2070&amp;Q2070,'New Weekly Paste'!B:O,6,0)),""),"")</f>
        <v>Fellows</v>
      </c>
      <c r="J2070" s="259">
        <f>IFERROR(IFERROR(VLOOKUP(B2070&amp;C2070&amp;Q2070,'New Weekly Paste'!A:M,8,0),VLOOKUP(B2070&amp;C2070&amp;Q2070,'New Weekly Paste'!B:O,10,0)),0)</f>
        <v>121.8</v>
      </c>
      <c r="K2070" s="259">
        <f>IFERROR(IFERROR(VLOOKUP(B2070&amp;I2070&amp;Q2070,'New Weekly Paste'!A:M,8,0),VLOOKUP(B2070&amp;I2070&amp;Q2070,'New Weekly Paste'!B:O,10,0)),0)</f>
        <v>91.04</v>
      </c>
      <c r="L2070" s="239">
        <f t="shared" si="25"/>
        <v>1</v>
      </c>
      <c r="M2070" s="36" t="str">
        <f t="shared" si="3"/>
        <v>Regular Season</v>
      </c>
      <c r="N2070" s="239" t="str">
        <f t="shared" si="26"/>
        <v>Fellows</v>
      </c>
      <c r="O2070" s="6">
        <f>VLOOKUP(D2070,'Mapped Opponent'!$G$4:$H$22,2,0)</f>
        <v>6</v>
      </c>
      <c r="P2070" s="6"/>
      <c r="Q2070" s="6" t="str">
        <f t="shared" si="4"/>
        <v>Week 6</v>
      </c>
      <c r="R2070" s="6" t="str">
        <f t="shared" si="5"/>
        <v>2021Week 6</v>
      </c>
      <c r="S2070" s="6">
        <f>IFERROR(__xludf.DUMMYFUNCTION("rank(J2070,FILTER(J:J,R:R=R2070))"),1.0)</f>
        <v>1</v>
      </c>
      <c r="T2070" s="6">
        <f t="shared" si="6"/>
        <v>11</v>
      </c>
      <c r="U2070" s="6">
        <f t="shared" si="7"/>
        <v>1</v>
      </c>
      <c r="V2070" s="42">
        <f>averageif(AllData!A:A,B2070,AllData!R:R)/vlookup(B2070,AllData!A:O,15,0)</f>
        <v>94.5352381</v>
      </c>
      <c r="W2070" s="6"/>
    </row>
    <row r="2071" ht="14.25" customHeight="1">
      <c r="A2071" s="6" t="str">
        <f t="shared" si="1"/>
        <v>2021Rooney/Jackson6</v>
      </c>
      <c r="B2071" s="59">
        <v>2021.0</v>
      </c>
      <c r="C2071" s="13" t="s">
        <v>57</v>
      </c>
      <c r="D2071" s="13" t="s">
        <v>142</v>
      </c>
      <c r="E2071" s="34"/>
      <c r="F2071" s="6"/>
      <c r="H2071" s="6"/>
      <c r="I2071" s="35" t="str">
        <f>IFERROR(IFERROR(IFERROR(VLOOKUP(B2071&amp;C2071&amp;Q2071,'New Weekly Paste'!A:M,10,0),VLOOKUP(B2071&amp;C2071&amp;Q2071,'New Weekly Paste'!B:O,6,0)),""),"")</f>
        <v>Pierson</v>
      </c>
      <c r="J2071" s="259">
        <f>IFERROR(IFERROR(VLOOKUP(B2071&amp;C2071&amp;Q2071,'New Weekly Paste'!A:M,8,0),VLOOKUP(B2071&amp;C2071&amp;Q2071,'New Weekly Paste'!B:O,10,0)),0)</f>
        <v>95.26</v>
      </c>
      <c r="K2071" s="259">
        <f>IFERROR(IFERROR(VLOOKUP(B2071&amp;I2071&amp;Q2071,'New Weekly Paste'!A:M,8,0),VLOOKUP(B2071&amp;I2071&amp;Q2071,'New Weekly Paste'!B:O,10,0)),0)</f>
        <v>71.38</v>
      </c>
      <c r="L2071" s="239">
        <f t="shared" si="25"/>
        <v>1</v>
      </c>
      <c r="M2071" s="36" t="str">
        <f t="shared" si="3"/>
        <v>Regular Season</v>
      </c>
      <c r="N2071" s="239" t="str">
        <f t="shared" si="26"/>
        <v>Pierson</v>
      </c>
      <c r="O2071" s="6">
        <f>VLOOKUP(D2071,'Mapped Opponent'!$G$4:$H$22,2,0)</f>
        <v>6</v>
      </c>
      <c r="P2071" s="6"/>
      <c r="Q2071" s="6" t="str">
        <f t="shared" si="4"/>
        <v>Week 6</v>
      </c>
      <c r="R2071" s="6" t="str">
        <f t="shared" si="5"/>
        <v>2021Week 6</v>
      </c>
      <c r="S2071" s="6">
        <f>IFERROR(__xludf.DUMMYFUNCTION("rank(J2071,FILTER(J:J,R:R=R2071))"),8.0)</f>
        <v>8</v>
      </c>
      <c r="T2071" s="6">
        <f t="shared" si="6"/>
        <v>4</v>
      </c>
      <c r="U2071" s="6">
        <f t="shared" si="7"/>
        <v>8</v>
      </c>
      <c r="V2071" s="42">
        <f>averageif(AllData!A:A,B2071,AllData!R:R)/vlookup(B2071,AllData!A:O,15,0)</f>
        <v>94.5352381</v>
      </c>
      <c r="W2071" s="6"/>
    </row>
    <row r="2072" ht="14.25" customHeight="1">
      <c r="A2072" s="6" t="str">
        <f t="shared" si="1"/>
        <v>2021Buser6</v>
      </c>
      <c r="B2072" s="59">
        <v>2021.0</v>
      </c>
      <c r="C2072" s="13" t="s">
        <v>47</v>
      </c>
      <c r="D2072" s="13" t="s">
        <v>142</v>
      </c>
      <c r="E2072" s="34"/>
      <c r="F2072" s="6"/>
      <c r="H2072" s="6"/>
      <c r="I2072" s="35" t="str">
        <f>IFERROR(IFERROR(IFERROR(VLOOKUP(B2072&amp;C2072&amp;Q2072,'New Weekly Paste'!A:M,10,0),VLOOKUP(B2072&amp;C2072&amp;Q2072,'New Weekly Paste'!B:O,6,0)),""),"")</f>
        <v>KnardDawg</v>
      </c>
      <c r="J2072" s="259">
        <f>IFERROR(IFERROR(VLOOKUP(B2072&amp;C2072&amp;Q2072,'New Weekly Paste'!A:M,8,0),VLOOKUP(B2072&amp;C2072&amp;Q2072,'New Weekly Paste'!B:O,10,0)),0)</f>
        <v>114.3</v>
      </c>
      <c r="K2072" s="259">
        <f>IFERROR(IFERROR(VLOOKUP(B2072&amp;I2072&amp;Q2072,'New Weekly Paste'!A:M,8,0),VLOOKUP(B2072&amp;I2072&amp;Q2072,'New Weekly Paste'!B:O,10,0)),0)</f>
        <v>112.46</v>
      </c>
      <c r="L2072" s="239">
        <f t="shared" si="25"/>
        <v>1</v>
      </c>
      <c r="M2072" s="36" t="str">
        <f t="shared" si="3"/>
        <v>Regular Season</v>
      </c>
      <c r="N2072" s="239" t="str">
        <f t="shared" si="26"/>
        <v>KnardDawg</v>
      </c>
      <c r="O2072" s="6">
        <f>VLOOKUP(D2072,'Mapped Opponent'!$G$4:$H$22,2,0)</f>
        <v>6</v>
      </c>
      <c r="P2072" s="6"/>
      <c r="Q2072" s="6" t="str">
        <f t="shared" si="4"/>
        <v>Week 6</v>
      </c>
      <c r="R2072" s="6" t="str">
        <f t="shared" si="5"/>
        <v>2021Week 6</v>
      </c>
      <c r="S2072" s="6">
        <f>IFERROR(__xludf.DUMMYFUNCTION("rank(J2072,FILTER(J:J,R:R=R2072))"),3.0)</f>
        <v>3</v>
      </c>
      <c r="T2072" s="6">
        <f t="shared" si="6"/>
        <v>9</v>
      </c>
      <c r="U2072" s="6">
        <f t="shared" si="7"/>
        <v>3</v>
      </c>
      <c r="V2072" s="42">
        <f>averageif(AllData!A:A,B2072,AllData!R:R)/vlookup(B2072,AllData!A:O,15,0)</f>
        <v>94.5352381</v>
      </c>
      <c r="W2072" s="6"/>
    </row>
    <row r="2073" ht="14.25" customHeight="1">
      <c r="A2073" s="6" t="str">
        <f t="shared" si="1"/>
        <v>2021Pierson6</v>
      </c>
      <c r="B2073" s="59">
        <v>2021.0</v>
      </c>
      <c r="C2073" s="13" t="s">
        <v>92</v>
      </c>
      <c r="D2073" s="13" t="s">
        <v>142</v>
      </c>
      <c r="E2073" s="34"/>
      <c r="F2073" s="6"/>
      <c r="H2073" s="6"/>
      <c r="I2073" s="35" t="str">
        <f>IFERROR(IFERROR(IFERROR(VLOOKUP(B2073&amp;C2073&amp;Q2073,'New Weekly Paste'!A:M,10,0),VLOOKUP(B2073&amp;C2073&amp;Q2073,'New Weekly Paste'!B:O,6,0)),""),"")</f>
        <v>Rooney/Jackson</v>
      </c>
      <c r="J2073" s="259">
        <f>IFERROR(IFERROR(VLOOKUP(B2073&amp;C2073&amp;Q2073,'New Weekly Paste'!A:M,8,0),VLOOKUP(B2073&amp;C2073&amp;Q2073,'New Weekly Paste'!B:O,10,0)),0)</f>
        <v>71.38</v>
      </c>
      <c r="K2073" s="259">
        <f>IFERROR(IFERROR(VLOOKUP(B2073&amp;I2073&amp;Q2073,'New Weekly Paste'!A:M,8,0),VLOOKUP(B2073&amp;I2073&amp;Q2073,'New Weekly Paste'!B:O,10,0)),0)</f>
        <v>95.26</v>
      </c>
      <c r="L2073" s="239">
        <f t="shared" si="25"/>
        <v>0</v>
      </c>
      <c r="M2073" s="36" t="str">
        <f t="shared" si="3"/>
        <v>Regular Season</v>
      </c>
      <c r="N2073" s="239" t="str">
        <f t="shared" si="26"/>
        <v>Rooney/Jackson</v>
      </c>
      <c r="O2073" s="6">
        <f>VLOOKUP(D2073,'Mapped Opponent'!$G$4:$H$22,2,0)</f>
        <v>6</v>
      </c>
      <c r="P2073" s="6"/>
      <c r="Q2073" s="6" t="str">
        <f t="shared" si="4"/>
        <v>Week 6</v>
      </c>
      <c r="R2073" s="6" t="str">
        <f t="shared" si="5"/>
        <v>2021Week 6</v>
      </c>
      <c r="S2073" s="6">
        <f>IFERROR(__xludf.DUMMYFUNCTION("rank(J2073,FILTER(J:J,R:R=R2073))"),11.0)</f>
        <v>11</v>
      </c>
      <c r="T2073" s="6">
        <f t="shared" si="6"/>
        <v>1</v>
      </c>
      <c r="U2073" s="6">
        <f t="shared" si="7"/>
        <v>11</v>
      </c>
      <c r="V2073" s="42">
        <f>averageif(AllData!A:A,B2073,AllData!R:R)/vlookup(B2073,AllData!A:O,15,0)</f>
        <v>94.5352381</v>
      </c>
      <c r="W2073" s="6"/>
    </row>
    <row r="2074" ht="14.25" customHeight="1">
      <c r="A2074" s="6" t="str">
        <f t="shared" si="1"/>
        <v>2021Cock6</v>
      </c>
      <c r="B2074" s="59">
        <v>2021.0</v>
      </c>
      <c r="C2074" s="13" t="s">
        <v>72</v>
      </c>
      <c r="D2074" s="13" t="s">
        <v>142</v>
      </c>
      <c r="E2074" s="34"/>
      <c r="F2074" s="6"/>
      <c r="H2074" s="6"/>
      <c r="I2074" s="35" t="str">
        <f>IFERROR(IFERROR(IFERROR(VLOOKUP(B2074&amp;C2074&amp;Q2074,'New Weekly Paste'!A:M,10,0),VLOOKUP(B2074&amp;C2074&amp;Q2074,'New Weekly Paste'!B:O,6,0)),""),"")</f>
        <v>Tayski</v>
      </c>
      <c r="J2074" s="259">
        <f>IFERROR(IFERROR(VLOOKUP(B2074&amp;C2074&amp;Q2074,'New Weekly Paste'!A:M,8,0),VLOOKUP(B2074&amp;C2074&amp;Q2074,'New Weekly Paste'!B:O,10,0)),0)</f>
        <v>64.3</v>
      </c>
      <c r="K2074" s="259">
        <f>IFERROR(IFERROR(VLOOKUP(B2074&amp;I2074&amp;Q2074,'New Weekly Paste'!A:M,8,0),VLOOKUP(B2074&amp;I2074&amp;Q2074,'New Weekly Paste'!B:O,10,0)),0)</f>
        <v>104.94</v>
      </c>
      <c r="L2074" s="239">
        <f t="shared" si="25"/>
        <v>0</v>
      </c>
      <c r="M2074" s="36" t="str">
        <f t="shared" si="3"/>
        <v>Regular Season</v>
      </c>
      <c r="N2074" s="239" t="str">
        <f t="shared" si="26"/>
        <v>Tayski</v>
      </c>
      <c r="O2074" s="6">
        <f>VLOOKUP(D2074,'Mapped Opponent'!$G$4:$H$22,2,0)</f>
        <v>6</v>
      </c>
      <c r="P2074" s="6"/>
      <c r="Q2074" s="6" t="str">
        <f t="shared" si="4"/>
        <v>Week 6</v>
      </c>
      <c r="R2074" s="6" t="str">
        <f t="shared" si="5"/>
        <v>2021Week 6</v>
      </c>
      <c r="S2074" s="6">
        <f>IFERROR(__xludf.DUMMYFUNCTION("rank(J2074,FILTER(J:J,R:R=R2074))"),12.0)</f>
        <v>12</v>
      </c>
      <c r="T2074" s="6">
        <f t="shared" si="6"/>
        <v>0</v>
      </c>
      <c r="U2074" s="6">
        <f t="shared" si="7"/>
        <v>12</v>
      </c>
      <c r="V2074" s="42">
        <f>averageif(AllData!A:A,B2074,AllData!R:R)/vlookup(B2074,AllData!A:O,15,0)</f>
        <v>94.5352381</v>
      </c>
      <c r="W2074" s="6"/>
    </row>
    <row r="2075" ht="14.25" customHeight="1">
      <c r="A2075" s="6" t="str">
        <f t="shared" si="1"/>
        <v>2021Tayski6</v>
      </c>
      <c r="B2075" s="59">
        <v>2021.0</v>
      </c>
      <c r="C2075" s="13" t="s">
        <v>52</v>
      </c>
      <c r="D2075" s="13" t="s">
        <v>142</v>
      </c>
      <c r="E2075" s="34"/>
      <c r="F2075" s="6"/>
      <c r="H2075" s="6"/>
      <c r="I2075" s="35" t="str">
        <f>IFERROR(IFERROR(IFERROR(VLOOKUP(B2075&amp;C2075&amp;Q2075,'New Weekly Paste'!A:M,10,0),VLOOKUP(B2075&amp;C2075&amp;Q2075,'New Weekly Paste'!B:O,6,0)),""),"")</f>
        <v>Cock</v>
      </c>
      <c r="J2075" s="259">
        <f>IFERROR(IFERROR(VLOOKUP(B2075&amp;C2075&amp;Q2075,'New Weekly Paste'!A:M,8,0),VLOOKUP(B2075&amp;C2075&amp;Q2075,'New Weekly Paste'!B:O,10,0)),0)</f>
        <v>104.94</v>
      </c>
      <c r="K2075" s="259">
        <f>IFERROR(IFERROR(VLOOKUP(B2075&amp;I2075&amp;Q2075,'New Weekly Paste'!A:M,8,0),VLOOKUP(B2075&amp;I2075&amp;Q2075,'New Weekly Paste'!B:O,10,0)),0)</f>
        <v>64.3</v>
      </c>
      <c r="L2075" s="239">
        <f t="shared" si="25"/>
        <v>1</v>
      </c>
      <c r="M2075" s="36" t="str">
        <f t="shared" si="3"/>
        <v>Regular Season</v>
      </c>
      <c r="N2075" s="239" t="str">
        <f t="shared" si="26"/>
        <v>Cock</v>
      </c>
      <c r="O2075" s="6">
        <f>VLOOKUP(D2075,'Mapped Opponent'!$G$4:$H$22,2,0)</f>
        <v>6</v>
      </c>
      <c r="P2075" s="6"/>
      <c r="Q2075" s="6" t="str">
        <f t="shared" si="4"/>
        <v>Week 6</v>
      </c>
      <c r="R2075" s="6" t="str">
        <f t="shared" si="5"/>
        <v>2021Week 6</v>
      </c>
      <c r="S2075" s="6">
        <f>IFERROR(__xludf.DUMMYFUNCTION("rank(J2075,FILTER(J:J,R:R=R2075))"),5.0)</f>
        <v>5</v>
      </c>
      <c r="T2075" s="6">
        <f t="shared" si="6"/>
        <v>7</v>
      </c>
      <c r="U2075" s="6">
        <f t="shared" si="7"/>
        <v>5</v>
      </c>
      <c r="V2075" s="42">
        <f>averageif(AllData!A:A,B2075,AllData!R:R)/vlookup(B2075,AllData!A:O,15,0)</f>
        <v>94.5352381</v>
      </c>
      <c r="W2075" s="6"/>
    </row>
    <row r="2076" ht="14.25" customHeight="1">
      <c r="A2076" s="6" t="str">
        <f t="shared" si="1"/>
        <v>2021KnardDawg6</v>
      </c>
      <c r="B2076" s="59">
        <v>2021.0</v>
      </c>
      <c r="C2076" s="13" t="s">
        <v>86</v>
      </c>
      <c r="D2076" s="13" t="s">
        <v>142</v>
      </c>
      <c r="E2076" s="34"/>
      <c r="F2076" s="6"/>
      <c r="H2076" s="6"/>
      <c r="I2076" s="35" t="str">
        <f>IFERROR(IFERROR(IFERROR(VLOOKUP(B2076&amp;C2076&amp;Q2076,'New Weekly Paste'!A:M,10,0),VLOOKUP(B2076&amp;C2076&amp;Q2076,'New Weekly Paste'!B:O,6,0)),""),"")</f>
        <v>Buser</v>
      </c>
      <c r="J2076" s="259">
        <f>IFERROR(IFERROR(VLOOKUP(B2076&amp;C2076&amp;Q2076,'New Weekly Paste'!A:M,8,0),VLOOKUP(B2076&amp;C2076&amp;Q2076,'New Weekly Paste'!B:O,10,0)),0)</f>
        <v>112.46</v>
      </c>
      <c r="K2076" s="259">
        <f>IFERROR(IFERROR(VLOOKUP(B2076&amp;I2076&amp;Q2076,'New Weekly Paste'!A:M,8,0),VLOOKUP(B2076&amp;I2076&amp;Q2076,'New Weekly Paste'!B:O,10,0)),0)</f>
        <v>114.3</v>
      </c>
      <c r="L2076" s="239">
        <f t="shared" si="25"/>
        <v>0</v>
      </c>
      <c r="M2076" s="36" t="str">
        <f t="shared" si="3"/>
        <v>Regular Season</v>
      </c>
      <c r="N2076" s="239" t="str">
        <f t="shared" si="26"/>
        <v>Buser</v>
      </c>
      <c r="O2076" s="6">
        <f>VLOOKUP(D2076,'Mapped Opponent'!$G$4:$H$22,2,0)</f>
        <v>6</v>
      </c>
      <c r="P2076" s="6"/>
      <c r="Q2076" s="6" t="str">
        <f t="shared" si="4"/>
        <v>Week 6</v>
      </c>
      <c r="R2076" s="6" t="str">
        <f t="shared" si="5"/>
        <v>2021Week 6</v>
      </c>
      <c r="S2076" s="6">
        <f>IFERROR(__xludf.DUMMYFUNCTION("rank(J2076,FILTER(J:J,R:R=R2076))"),4.0)</f>
        <v>4</v>
      </c>
      <c r="T2076" s="6">
        <f t="shared" si="6"/>
        <v>8</v>
      </c>
      <c r="U2076" s="6">
        <f t="shared" si="7"/>
        <v>4</v>
      </c>
      <c r="V2076" s="42">
        <f>averageif(AllData!A:A,B2076,AllData!R:R)/vlookup(B2076,AllData!A:O,15,0)</f>
        <v>94.5352381</v>
      </c>
      <c r="W2076" s="6"/>
    </row>
    <row r="2077" ht="14.25" customHeight="1">
      <c r="A2077" s="6" t="str">
        <f t="shared" si="1"/>
        <v>2021T-How6</v>
      </c>
      <c r="B2077" s="59">
        <v>2021.0</v>
      </c>
      <c r="C2077" s="13" t="s">
        <v>82</v>
      </c>
      <c r="D2077" s="13" t="s">
        <v>142</v>
      </c>
      <c r="E2077" s="34"/>
      <c r="F2077" s="6"/>
      <c r="H2077" s="6"/>
      <c r="I2077" s="35" t="str">
        <f>IFERROR(IFERROR(IFERROR(VLOOKUP(B2077&amp;C2077&amp;Q2077,'New Weekly Paste'!A:M,10,0),VLOOKUP(B2077&amp;C2077&amp;Q2077,'New Weekly Paste'!B:O,6,0)),""),"")</f>
        <v>Salty</v>
      </c>
      <c r="J2077" s="259">
        <f>IFERROR(IFERROR(VLOOKUP(B2077&amp;C2077&amp;Q2077,'New Weekly Paste'!A:M,8,0),VLOOKUP(B2077&amp;C2077&amp;Q2077,'New Weekly Paste'!B:O,10,0)),0)</f>
        <v>98.78</v>
      </c>
      <c r="K2077" s="259">
        <f>IFERROR(IFERROR(VLOOKUP(B2077&amp;I2077&amp;Q2077,'New Weekly Paste'!A:M,8,0),VLOOKUP(B2077&amp;I2077&amp;Q2077,'New Weekly Paste'!B:O,10,0)),0)</f>
        <v>117.32</v>
      </c>
      <c r="L2077" s="239">
        <f t="shared" si="25"/>
        <v>0</v>
      </c>
      <c r="M2077" s="36" t="str">
        <f t="shared" si="3"/>
        <v>Regular Season</v>
      </c>
      <c r="N2077" s="239" t="str">
        <f t="shared" si="26"/>
        <v>Salty</v>
      </c>
      <c r="O2077" s="6">
        <f>VLOOKUP(D2077,'Mapped Opponent'!$G$4:$H$22,2,0)</f>
        <v>6</v>
      </c>
      <c r="P2077" s="6"/>
      <c r="Q2077" s="6" t="str">
        <f t="shared" si="4"/>
        <v>Week 6</v>
      </c>
      <c r="R2077" s="6" t="str">
        <f t="shared" si="5"/>
        <v>2021Week 6</v>
      </c>
      <c r="S2077" s="6">
        <f>IFERROR(__xludf.DUMMYFUNCTION("rank(J2077,FILTER(J:J,R:R=R2077))"),6.0)</f>
        <v>6</v>
      </c>
      <c r="T2077" s="6">
        <f t="shared" si="6"/>
        <v>6</v>
      </c>
      <c r="U2077" s="6">
        <f t="shared" si="7"/>
        <v>6</v>
      </c>
      <c r="V2077" s="42">
        <f>averageif(AllData!A:A,B2077,AllData!R:R)/vlookup(B2077,AllData!A:O,15,0)</f>
        <v>94.5352381</v>
      </c>
      <c r="W2077" s="6"/>
    </row>
    <row r="2078" ht="14.25" customHeight="1">
      <c r="A2078" s="6" t="str">
        <f t="shared" si="1"/>
        <v>2021Hudspeath7</v>
      </c>
      <c r="B2078" s="59">
        <v>2021.0</v>
      </c>
      <c r="C2078" s="13" t="s">
        <v>39</v>
      </c>
      <c r="D2078" s="13" t="s">
        <v>143</v>
      </c>
      <c r="E2078" s="34"/>
      <c r="F2078" s="6"/>
      <c r="H2078" s="6"/>
      <c r="I2078" s="35" t="str">
        <f>IFERROR(IFERROR(IFERROR(VLOOKUP(B2078&amp;C2078&amp;Q2078,'New Weekly Paste'!A:M,10,0),VLOOKUP(B2078&amp;C2078&amp;Q2078,'New Weekly Paste'!B:O,6,0)),""),"")</f>
        <v>Salty</v>
      </c>
      <c r="J2078" s="259">
        <f>IFERROR(IFERROR(VLOOKUP(B2078&amp;C2078&amp;Q2078,'New Weekly Paste'!A:M,8,0),VLOOKUP(B2078&amp;C2078&amp;Q2078,'New Weekly Paste'!B:O,10,0)),0)</f>
        <v>72.26</v>
      </c>
      <c r="K2078" s="259">
        <f>IFERROR(IFERROR(VLOOKUP(B2078&amp;I2078&amp;Q2078,'New Weekly Paste'!A:M,8,0),VLOOKUP(B2078&amp;I2078&amp;Q2078,'New Weekly Paste'!B:O,10,0)),0)</f>
        <v>98.64</v>
      </c>
      <c r="L2078" s="239">
        <f t="shared" si="25"/>
        <v>0</v>
      </c>
      <c r="M2078" s="36" t="str">
        <f t="shared" si="3"/>
        <v>Regular Season</v>
      </c>
      <c r="N2078" s="239" t="str">
        <f t="shared" si="26"/>
        <v>Salty</v>
      </c>
      <c r="O2078" s="6">
        <f>VLOOKUP(D2078,'Mapped Opponent'!$G$4:$H$22,2,0)</f>
        <v>7</v>
      </c>
      <c r="P2078" s="6"/>
      <c r="Q2078" s="6" t="str">
        <f t="shared" si="4"/>
        <v>Week 7</v>
      </c>
      <c r="R2078" s="6" t="str">
        <f t="shared" si="5"/>
        <v>2021Week 7</v>
      </c>
      <c r="S2078" s="6">
        <f>IFERROR(__xludf.DUMMYFUNCTION("rank(J2078,FILTER(J:J,R:R=R2078))"),10.0)</f>
        <v>10</v>
      </c>
      <c r="T2078" s="6">
        <f t="shared" si="6"/>
        <v>2</v>
      </c>
      <c r="U2078" s="6">
        <f t="shared" si="7"/>
        <v>10</v>
      </c>
      <c r="V2078" s="42">
        <f>averageif(AllData!A:A,B2078,AllData!R:R)/vlookup(B2078,AllData!A:O,15,0)</f>
        <v>94.5352381</v>
      </c>
      <c r="W2078" s="6"/>
    </row>
    <row r="2079" ht="14.25" customHeight="1">
      <c r="A2079" s="6" t="str">
        <f t="shared" si="1"/>
        <v>2021Salty7</v>
      </c>
      <c r="B2079" s="59">
        <v>2021.0</v>
      </c>
      <c r="C2079" s="13" t="s">
        <v>76</v>
      </c>
      <c r="D2079" s="13" t="s">
        <v>143</v>
      </c>
      <c r="E2079" s="34"/>
      <c r="F2079" s="6"/>
      <c r="H2079" s="6"/>
      <c r="I2079" s="35" t="str">
        <f>IFERROR(IFERROR(IFERROR(VLOOKUP(B2079&amp;C2079&amp;Q2079,'New Weekly Paste'!A:M,10,0),VLOOKUP(B2079&amp;C2079&amp;Q2079,'New Weekly Paste'!B:O,6,0)),""),"")</f>
        <v>Hudspeath</v>
      </c>
      <c r="J2079" s="259">
        <f>IFERROR(IFERROR(VLOOKUP(B2079&amp;C2079&amp;Q2079,'New Weekly Paste'!A:M,8,0),VLOOKUP(B2079&amp;C2079&amp;Q2079,'New Weekly Paste'!B:O,10,0)),0)</f>
        <v>98.64</v>
      </c>
      <c r="K2079" s="259">
        <f>IFERROR(IFERROR(VLOOKUP(B2079&amp;I2079&amp;Q2079,'New Weekly Paste'!A:M,8,0),VLOOKUP(B2079&amp;I2079&amp;Q2079,'New Weekly Paste'!B:O,10,0)),0)</f>
        <v>72.26</v>
      </c>
      <c r="L2079" s="239">
        <f t="shared" si="25"/>
        <v>1</v>
      </c>
      <c r="M2079" s="36" t="str">
        <f t="shared" si="3"/>
        <v>Regular Season</v>
      </c>
      <c r="N2079" s="239" t="str">
        <f t="shared" si="26"/>
        <v>Hudspeath</v>
      </c>
      <c r="O2079" s="6">
        <f>VLOOKUP(D2079,'Mapped Opponent'!$G$4:$H$22,2,0)</f>
        <v>7</v>
      </c>
      <c r="P2079" s="6"/>
      <c r="Q2079" s="6" t="str">
        <f t="shared" si="4"/>
        <v>Week 7</v>
      </c>
      <c r="R2079" s="6" t="str">
        <f t="shared" si="5"/>
        <v>2021Week 7</v>
      </c>
      <c r="S2079" s="6">
        <f>IFERROR(__xludf.DUMMYFUNCTION("rank(J2079,FILTER(J:J,R:R=R2079))"),5.0)</f>
        <v>5</v>
      </c>
      <c r="T2079" s="6">
        <f t="shared" si="6"/>
        <v>7</v>
      </c>
      <c r="U2079" s="6">
        <f t="shared" si="7"/>
        <v>5</v>
      </c>
      <c r="V2079" s="42">
        <f>averageif(AllData!A:A,B2079,AllData!R:R)/vlookup(B2079,AllData!A:O,15,0)</f>
        <v>94.5352381</v>
      </c>
      <c r="W2079" s="6"/>
    </row>
    <row r="2080" ht="14.25" customHeight="1">
      <c r="A2080" s="6" t="str">
        <f t="shared" si="1"/>
        <v>2021Fellows7</v>
      </c>
      <c r="B2080" s="59">
        <v>2021.0</v>
      </c>
      <c r="C2080" s="13" t="s">
        <v>79</v>
      </c>
      <c r="D2080" s="13" t="s">
        <v>143</v>
      </c>
      <c r="E2080" s="34"/>
      <c r="F2080" s="6"/>
      <c r="H2080" s="6"/>
      <c r="I2080" s="35" t="str">
        <f>IFERROR(IFERROR(IFERROR(VLOOKUP(B2080&amp;C2080&amp;Q2080,'New Weekly Paste'!A:M,10,0),VLOOKUP(B2080&amp;C2080&amp;Q2080,'New Weekly Paste'!B:O,6,0)),""),"")</f>
        <v>Pierson</v>
      </c>
      <c r="J2080" s="259">
        <f>IFERROR(IFERROR(VLOOKUP(B2080&amp;C2080&amp;Q2080,'New Weekly Paste'!A:M,8,0),VLOOKUP(B2080&amp;C2080&amp;Q2080,'New Weekly Paste'!B:O,10,0)),0)</f>
        <v>95.6</v>
      </c>
      <c r="K2080" s="259">
        <f>IFERROR(IFERROR(VLOOKUP(B2080&amp;I2080&amp;Q2080,'New Weekly Paste'!A:M,8,0),VLOOKUP(B2080&amp;I2080&amp;Q2080,'New Weekly Paste'!B:O,10,0)),0)</f>
        <v>126.54</v>
      </c>
      <c r="L2080" s="239">
        <f t="shared" si="25"/>
        <v>0</v>
      </c>
      <c r="M2080" s="36" t="str">
        <f t="shared" si="3"/>
        <v>Regular Season</v>
      </c>
      <c r="N2080" s="239" t="str">
        <f t="shared" si="26"/>
        <v>Pierson</v>
      </c>
      <c r="O2080" s="6">
        <f>VLOOKUP(D2080,'Mapped Opponent'!$G$4:$H$22,2,0)</f>
        <v>7</v>
      </c>
      <c r="P2080" s="6"/>
      <c r="Q2080" s="6" t="str">
        <f t="shared" si="4"/>
        <v>Week 7</v>
      </c>
      <c r="R2080" s="6" t="str">
        <f t="shared" si="5"/>
        <v>2021Week 7</v>
      </c>
      <c r="S2080" s="6">
        <f>IFERROR(__xludf.DUMMYFUNCTION("rank(J2080,FILTER(J:J,R:R=R2080))"),7.0)</f>
        <v>7</v>
      </c>
      <c r="T2080" s="6">
        <f t="shared" si="6"/>
        <v>5</v>
      </c>
      <c r="U2080" s="6">
        <f t="shared" si="7"/>
        <v>7</v>
      </c>
      <c r="V2080" s="42">
        <f>averageif(AllData!A:A,B2080,AllData!R:R)/vlookup(B2080,AllData!A:O,15,0)</f>
        <v>94.5352381</v>
      </c>
      <c r="W2080" s="6"/>
    </row>
    <row r="2081" ht="14.25" customHeight="1">
      <c r="A2081" s="6" t="str">
        <f t="shared" si="1"/>
        <v>2021Shep7</v>
      </c>
      <c r="B2081" s="59">
        <v>2021.0</v>
      </c>
      <c r="C2081" s="13" t="s">
        <v>89</v>
      </c>
      <c r="D2081" s="13" t="s">
        <v>143</v>
      </c>
      <c r="E2081" s="34"/>
      <c r="F2081" s="6"/>
      <c r="H2081" s="6"/>
      <c r="I2081" s="35" t="str">
        <f>IFERROR(IFERROR(IFERROR(VLOOKUP(B2081&amp;C2081&amp;Q2081,'New Weekly Paste'!A:M,10,0),VLOOKUP(B2081&amp;C2081&amp;Q2081,'New Weekly Paste'!B:O,6,0)),""),"")</f>
        <v>Riley</v>
      </c>
      <c r="J2081" s="259">
        <f>IFERROR(IFERROR(VLOOKUP(B2081&amp;C2081&amp;Q2081,'New Weekly Paste'!A:M,8,0),VLOOKUP(B2081&amp;C2081&amp;Q2081,'New Weekly Paste'!B:O,10,0)),0)</f>
        <v>100.98</v>
      </c>
      <c r="K2081" s="259">
        <f>IFERROR(IFERROR(VLOOKUP(B2081&amp;I2081&amp;Q2081,'New Weekly Paste'!A:M,8,0),VLOOKUP(B2081&amp;I2081&amp;Q2081,'New Weekly Paste'!B:O,10,0)),0)</f>
        <v>95.42</v>
      </c>
      <c r="L2081" s="239">
        <f t="shared" si="25"/>
        <v>1</v>
      </c>
      <c r="M2081" s="36" t="str">
        <f t="shared" si="3"/>
        <v>Regular Season</v>
      </c>
      <c r="N2081" s="239" t="str">
        <f t="shared" si="26"/>
        <v>Riley</v>
      </c>
      <c r="O2081" s="6">
        <f>VLOOKUP(D2081,'Mapped Opponent'!$G$4:$H$22,2,0)</f>
        <v>7</v>
      </c>
      <c r="P2081" s="6"/>
      <c r="Q2081" s="6" t="str">
        <f t="shared" si="4"/>
        <v>Week 7</v>
      </c>
      <c r="R2081" s="6" t="str">
        <f t="shared" si="5"/>
        <v>2021Week 7</v>
      </c>
      <c r="S2081" s="6">
        <f>IFERROR(__xludf.DUMMYFUNCTION("rank(J2081,FILTER(J:J,R:R=R2081))"),3.0)</f>
        <v>3</v>
      </c>
      <c r="T2081" s="6">
        <f t="shared" si="6"/>
        <v>9</v>
      </c>
      <c r="U2081" s="6">
        <f t="shared" si="7"/>
        <v>3</v>
      </c>
      <c r="V2081" s="42">
        <f>averageif(AllData!A:A,B2081,AllData!R:R)/vlookup(B2081,AllData!A:O,15,0)</f>
        <v>94.5352381</v>
      </c>
      <c r="W2081" s="6"/>
    </row>
    <row r="2082" ht="14.25" customHeight="1">
      <c r="A2082" s="6" t="str">
        <f t="shared" si="1"/>
        <v>2021Riley7</v>
      </c>
      <c r="B2082" s="59">
        <v>2021.0</v>
      </c>
      <c r="C2082" s="13" t="s">
        <v>67</v>
      </c>
      <c r="D2082" s="13" t="s">
        <v>143</v>
      </c>
      <c r="E2082" s="34"/>
      <c r="F2082" s="6"/>
      <c r="H2082" s="6"/>
      <c r="I2082" s="35" t="str">
        <f>IFERROR(IFERROR(IFERROR(VLOOKUP(B2082&amp;C2082&amp;Q2082,'New Weekly Paste'!A:M,10,0),VLOOKUP(B2082&amp;C2082&amp;Q2082,'New Weekly Paste'!B:O,6,0)),""),"")</f>
        <v>Shep</v>
      </c>
      <c r="J2082" s="259">
        <f>IFERROR(IFERROR(VLOOKUP(B2082&amp;C2082&amp;Q2082,'New Weekly Paste'!A:M,8,0),VLOOKUP(B2082&amp;C2082&amp;Q2082,'New Weekly Paste'!B:O,10,0)),0)</f>
        <v>95.42</v>
      </c>
      <c r="K2082" s="259">
        <f>IFERROR(IFERROR(VLOOKUP(B2082&amp;I2082&amp;Q2082,'New Weekly Paste'!A:M,8,0),VLOOKUP(B2082&amp;I2082&amp;Q2082,'New Weekly Paste'!B:O,10,0)),0)</f>
        <v>100.98</v>
      </c>
      <c r="L2082" s="239">
        <f t="shared" si="25"/>
        <v>0</v>
      </c>
      <c r="M2082" s="36" t="str">
        <f t="shared" si="3"/>
        <v>Regular Season</v>
      </c>
      <c r="N2082" s="239" t="str">
        <f t="shared" si="26"/>
        <v>Shep</v>
      </c>
      <c r="O2082" s="6">
        <f>VLOOKUP(D2082,'Mapped Opponent'!$G$4:$H$22,2,0)</f>
        <v>7</v>
      </c>
      <c r="P2082" s="6"/>
      <c r="Q2082" s="6" t="str">
        <f t="shared" si="4"/>
        <v>Week 7</v>
      </c>
      <c r="R2082" s="6" t="str">
        <f t="shared" si="5"/>
        <v>2021Week 7</v>
      </c>
      <c r="S2082" s="6">
        <f>IFERROR(__xludf.DUMMYFUNCTION("rank(J2082,FILTER(J:J,R:R=R2082))"),8.0)</f>
        <v>8</v>
      </c>
      <c r="T2082" s="6">
        <f t="shared" si="6"/>
        <v>4</v>
      </c>
      <c r="U2082" s="6">
        <f t="shared" si="7"/>
        <v>8</v>
      </c>
      <c r="V2082" s="42">
        <f>averageif(AllData!A:A,B2082,AllData!R:R)/vlookup(B2082,AllData!A:O,15,0)</f>
        <v>94.5352381</v>
      </c>
      <c r="W2082" s="6"/>
    </row>
    <row r="2083" ht="14.25" customHeight="1">
      <c r="A2083" s="6" t="str">
        <f t="shared" si="1"/>
        <v>2021Rooney/Jackson7</v>
      </c>
      <c r="B2083" s="59">
        <v>2021.0</v>
      </c>
      <c r="C2083" s="13" t="s">
        <v>57</v>
      </c>
      <c r="D2083" s="13" t="s">
        <v>143</v>
      </c>
      <c r="E2083" s="34"/>
      <c r="F2083" s="6"/>
      <c r="H2083" s="6"/>
      <c r="I2083" s="35" t="str">
        <f>IFERROR(IFERROR(IFERROR(VLOOKUP(B2083&amp;C2083&amp;Q2083,'New Weekly Paste'!A:M,10,0),VLOOKUP(B2083&amp;C2083&amp;Q2083,'New Weekly Paste'!B:O,6,0)),""),"")</f>
        <v>Buser</v>
      </c>
      <c r="J2083" s="259">
        <f>IFERROR(IFERROR(VLOOKUP(B2083&amp;C2083&amp;Q2083,'New Weekly Paste'!A:M,8,0),VLOOKUP(B2083&amp;C2083&amp;Q2083,'New Weekly Paste'!B:O,10,0)),0)</f>
        <v>99.64</v>
      </c>
      <c r="K2083" s="259">
        <f>IFERROR(IFERROR(VLOOKUP(B2083&amp;I2083&amp;Q2083,'New Weekly Paste'!A:M,8,0),VLOOKUP(B2083&amp;I2083&amp;Q2083,'New Weekly Paste'!B:O,10,0)),0)</f>
        <v>70.78</v>
      </c>
      <c r="L2083" s="239">
        <f t="shared" si="25"/>
        <v>1</v>
      </c>
      <c r="M2083" s="36" t="str">
        <f t="shared" si="3"/>
        <v>Regular Season</v>
      </c>
      <c r="N2083" s="239" t="str">
        <f t="shared" si="26"/>
        <v>Buser</v>
      </c>
      <c r="O2083" s="6">
        <f>VLOOKUP(D2083,'Mapped Opponent'!$G$4:$H$22,2,0)</f>
        <v>7</v>
      </c>
      <c r="P2083" s="6"/>
      <c r="Q2083" s="6" t="str">
        <f t="shared" si="4"/>
        <v>Week 7</v>
      </c>
      <c r="R2083" s="6" t="str">
        <f t="shared" si="5"/>
        <v>2021Week 7</v>
      </c>
      <c r="S2083" s="6">
        <f>IFERROR(__xludf.DUMMYFUNCTION("rank(J2083,FILTER(J:J,R:R=R2083))"),4.0)</f>
        <v>4</v>
      </c>
      <c r="T2083" s="6">
        <f t="shared" si="6"/>
        <v>8</v>
      </c>
      <c r="U2083" s="6">
        <f t="shared" si="7"/>
        <v>4</v>
      </c>
      <c r="V2083" s="42">
        <f>averageif(AllData!A:A,B2083,AllData!R:R)/vlookup(B2083,AllData!A:O,15,0)</f>
        <v>94.5352381</v>
      </c>
      <c r="W2083" s="6"/>
    </row>
    <row r="2084" ht="14.25" customHeight="1">
      <c r="A2084" s="6" t="str">
        <f t="shared" si="1"/>
        <v>2021Buser7</v>
      </c>
      <c r="B2084" s="59">
        <v>2021.0</v>
      </c>
      <c r="C2084" s="13" t="s">
        <v>47</v>
      </c>
      <c r="D2084" s="13" t="s">
        <v>143</v>
      </c>
      <c r="E2084" s="34"/>
      <c r="F2084" s="6"/>
      <c r="H2084" s="6"/>
      <c r="I2084" s="35" t="str">
        <f>IFERROR(IFERROR(IFERROR(VLOOKUP(B2084&amp;C2084&amp;Q2084,'New Weekly Paste'!A:M,10,0),VLOOKUP(B2084&amp;C2084&amp;Q2084,'New Weekly Paste'!B:O,6,0)),""),"")</f>
        <v>Rooney/Jackson</v>
      </c>
      <c r="J2084" s="259">
        <f>IFERROR(IFERROR(VLOOKUP(B2084&amp;C2084&amp;Q2084,'New Weekly Paste'!A:M,8,0),VLOOKUP(B2084&amp;C2084&amp;Q2084,'New Weekly Paste'!B:O,10,0)),0)</f>
        <v>70.78</v>
      </c>
      <c r="K2084" s="259">
        <f>IFERROR(IFERROR(VLOOKUP(B2084&amp;I2084&amp;Q2084,'New Weekly Paste'!A:M,8,0),VLOOKUP(B2084&amp;I2084&amp;Q2084,'New Weekly Paste'!B:O,10,0)),0)</f>
        <v>99.64</v>
      </c>
      <c r="L2084" s="239">
        <f t="shared" si="25"/>
        <v>0</v>
      </c>
      <c r="M2084" s="36" t="str">
        <f t="shared" si="3"/>
        <v>Regular Season</v>
      </c>
      <c r="N2084" s="239" t="str">
        <f t="shared" si="26"/>
        <v>Rooney/Jackson</v>
      </c>
      <c r="O2084" s="6">
        <f>VLOOKUP(D2084,'Mapped Opponent'!$G$4:$H$22,2,0)</f>
        <v>7</v>
      </c>
      <c r="P2084" s="6"/>
      <c r="Q2084" s="6" t="str">
        <f t="shared" si="4"/>
        <v>Week 7</v>
      </c>
      <c r="R2084" s="6" t="str">
        <f t="shared" si="5"/>
        <v>2021Week 7</v>
      </c>
      <c r="S2084" s="6">
        <f>IFERROR(__xludf.DUMMYFUNCTION("rank(J2084,FILTER(J:J,R:R=R2084))"),11.0)</f>
        <v>11</v>
      </c>
      <c r="T2084" s="6">
        <f t="shared" si="6"/>
        <v>1</v>
      </c>
      <c r="U2084" s="6">
        <f t="shared" si="7"/>
        <v>11</v>
      </c>
      <c r="V2084" s="42">
        <f>averageif(AllData!A:A,B2084,AllData!R:R)/vlookup(B2084,AllData!A:O,15,0)</f>
        <v>94.5352381</v>
      </c>
      <c r="W2084" s="6"/>
    </row>
    <row r="2085" ht="14.25" customHeight="1">
      <c r="A2085" s="6" t="str">
        <f t="shared" si="1"/>
        <v>2021Pierson7</v>
      </c>
      <c r="B2085" s="59">
        <v>2021.0</v>
      </c>
      <c r="C2085" s="13" t="s">
        <v>92</v>
      </c>
      <c r="D2085" s="13" t="s">
        <v>143</v>
      </c>
      <c r="E2085" s="34"/>
      <c r="F2085" s="6"/>
      <c r="H2085" s="6"/>
      <c r="I2085" s="35" t="str">
        <f>IFERROR(IFERROR(IFERROR(VLOOKUP(B2085&amp;C2085&amp;Q2085,'New Weekly Paste'!A:M,10,0),VLOOKUP(B2085&amp;C2085&amp;Q2085,'New Weekly Paste'!B:O,6,0)),""),"")</f>
        <v>Fellows</v>
      </c>
      <c r="J2085" s="259">
        <f>IFERROR(IFERROR(VLOOKUP(B2085&amp;C2085&amp;Q2085,'New Weekly Paste'!A:M,8,0),VLOOKUP(B2085&amp;C2085&amp;Q2085,'New Weekly Paste'!B:O,10,0)),0)</f>
        <v>126.54</v>
      </c>
      <c r="K2085" s="259">
        <f>IFERROR(IFERROR(VLOOKUP(B2085&amp;I2085&amp;Q2085,'New Weekly Paste'!A:M,8,0),VLOOKUP(B2085&amp;I2085&amp;Q2085,'New Weekly Paste'!B:O,10,0)),0)</f>
        <v>95.6</v>
      </c>
      <c r="L2085" s="239">
        <f t="shared" si="25"/>
        <v>1</v>
      </c>
      <c r="M2085" s="36" t="str">
        <f t="shared" si="3"/>
        <v>Regular Season</v>
      </c>
      <c r="N2085" s="239" t="str">
        <f t="shared" si="26"/>
        <v>Fellows</v>
      </c>
      <c r="O2085" s="6">
        <f>VLOOKUP(D2085,'Mapped Opponent'!$G$4:$H$22,2,0)</f>
        <v>7</v>
      </c>
      <c r="P2085" s="6"/>
      <c r="Q2085" s="6" t="str">
        <f t="shared" si="4"/>
        <v>Week 7</v>
      </c>
      <c r="R2085" s="6" t="str">
        <f t="shared" si="5"/>
        <v>2021Week 7</v>
      </c>
      <c r="S2085" s="6">
        <f>IFERROR(__xludf.DUMMYFUNCTION("rank(J2085,FILTER(J:J,R:R=R2085))"),1.0)</f>
        <v>1</v>
      </c>
      <c r="T2085" s="6">
        <f t="shared" si="6"/>
        <v>11</v>
      </c>
      <c r="U2085" s="6">
        <f t="shared" si="7"/>
        <v>1</v>
      </c>
      <c r="V2085" s="42">
        <f>averageif(AllData!A:A,B2085,AllData!R:R)/vlookup(B2085,AllData!A:O,15,0)</f>
        <v>94.5352381</v>
      </c>
      <c r="W2085" s="6"/>
    </row>
    <row r="2086" ht="14.25" customHeight="1">
      <c r="A2086" s="6" t="str">
        <f t="shared" si="1"/>
        <v>2021Cock7</v>
      </c>
      <c r="B2086" s="59">
        <v>2021.0</v>
      </c>
      <c r="C2086" s="13" t="s">
        <v>72</v>
      </c>
      <c r="D2086" s="13" t="s">
        <v>143</v>
      </c>
      <c r="E2086" s="34"/>
      <c r="F2086" s="6"/>
      <c r="H2086" s="6"/>
      <c r="I2086" s="35" t="str">
        <f>IFERROR(IFERROR(IFERROR(VLOOKUP(B2086&amp;C2086&amp;Q2086,'New Weekly Paste'!A:M,10,0),VLOOKUP(B2086&amp;C2086&amp;Q2086,'New Weekly Paste'!B:O,6,0)),""),"")</f>
        <v>T-How</v>
      </c>
      <c r="J2086" s="259">
        <f>IFERROR(IFERROR(VLOOKUP(B2086&amp;C2086&amp;Q2086,'New Weekly Paste'!A:M,8,0),VLOOKUP(B2086&amp;C2086&amp;Q2086,'New Weekly Paste'!B:O,10,0)),0)</f>
        <v>93.24</v>
      </c>
      <c r="K2086" s="259">
        <f>IFERROR(IFERROR(VLOOKUP(B2086&amp;I2086&amp;Q2086,'New Weekly Paste'!A:M,8,0),VLOOKUP(B2086&amp;I2086&amp;Q2086,'New Weekly Paste'!B:O,10,0)),0)</f>
        <v>114.24</v>
      </c>
      <c r="L2086" s="239">
        <f t="shared" si="25"/>
        <v>0</v>
      </c>
      <c r="M2086" s="36" t="str">
        <f t="shared" si="3"/>
        <v>Regular Season</v>
      </c>
      <c r="N2086" s="239" t="str">
        <f t="shared" si="26"/>
        <v>T-How</v>
      </c>
      <c r="O2086" s="6">
        <f>VLOOKUP(D2086,'Mapped Opponent'!$G$4:$H$22,2,0)</f>
        <v>7</v>
      </c>
      <c r="P2086" s="6"/>
      <c r="Q2086" s="6" t="str">
        <f t="shared" si="4"/>
        <v>Week 7</v>
      </c>
      <c r="R2086" s="6" t="str">
        <f t="shared" si="5"/>
        <v>2021Week 7</v>
      </c>
      <c r="S2086" s="6">
        <f>IFERROR(__xludf.DUMMYFUNCTION("rank(J2086,FILTER(J:J,R:R=R2086))"),9.0)</f>
        <v>9</v>
      </c>
      <c r="T2086" s="6">
        <f t="shared" si="6"/>
        <v>3</v>
      </c>
      <c r="U2086" s="6">
        <f t="shared" si="7"/>
        <v>9</v>
      </c>
      <c r="V2086" s="42">
        <f>averageif(AllData!A:A,B2086,AllData!R:R)/vlookup(B2086,AllData!A:O,15,0)</f>
        <v>94.5352381</v>
      </c>
      <c r="W2086" s="6"/>
    </row>
    <row r="2087" ht="14.25" customHeight="1">
      <c r="A2087" s="6" t="str">
        <f t="shared" si="1"/>
        <v>2021Tayski7</v>
      </c>
      <c r="B2087" s="59">
        <v>2021.0</v>
      </c>
      <c r="C2087" s="13" t="s">
        <v>52</v>
      </c>
      <c r="D2087" s="13" t="s">
        <v>143</v>
      </c>
      <c r="E2087" s="34"/>
      <c r="F2087" s="6"/>
      <c r="H2087" s="6"/>
      <c r="I2087" s="35" t="str">
        <f>IFERROR(IFERROR(IFERROR(VLOOKUP(B2087&amp;C2087&amp;Q2087,'New Weekly Paste'!A:M,10,0),VLOOKUP(B2087&amp;C2087&amp;Q2087,'New Weekly Paste'!B:O,6,0)),""),"")</f>
        <v>KnardDawg</v>
      </c>
      <c r="J2087" s="259">
        <f>IFERROR(IFERROR(VLOOKUP(B2087&amp;C2087&amp;Q2087,'New Weekly Paste'!A:M,8,0),VLOOKUP(B2087&amp;C2087&amp;Q2087,'New Weekly Paste'!B:O,10,0)),0)</f>
        <v>95.76</v>
      </c>
      <c r="K2087" s="259">
        <f>IFERROR(IFERROR(VLOOKUP(B2087&amp;I2087&amp;Q2087,'New Weekly Paste'!A:M,8,0),VLOOKUP(B2087&amp;I2087&amp;Q2087,'New Weekly Paste'!B:O,10,0)),0)</f>
        <v>70.14</v>
      </c>
      <c r="L2087" s="239">
        <f t="shared" si="25"/>
        <v>1</v>
      </c>
      <c r="M2087" s="36" t="str">
        <f t="shared" si="3"/>
        <v>Regular Season</v>
      </c>
      <c r="N2087" s="239" t="str">
        <f t="shared" si="26"/>
        <v>KnardDawg</v>
      </c>
      <c r="O2087" s="6">
        <f>VLOOKUP(D2087,'Mapped Opponent'!$G$4:$H$22,2,0)</f>
        <v>7</v>
      </c>
      <c r="P2087" s="6"/>
      <c r="Q2087" s="6" t="str">
        <f t="shared" si="4"/>
        <v>Week 7</v>
      </c>
      <c r="R2087" s="6" t="str">
        <f t="shared" si="5"/>
        <v>2021Week 7</v>
      </c>
      <c r="S2087" s="6">
        <f>IFERROR(__xludf.DUMMYFUNCTION("rank(J2087,FILTER(J:J,R:R=R2087))"),6.0)</f>
        <v>6</v>
      </c>
      <c r="T2087" s="6">
        <f t="shared" si="6"/>
        <v>6</v>
      </c>
      <c r="U2087" s="6">
        <f t="shared" si="7"/>
        <v>6</v>
      </c>
      <c r="V2087" s="42">
        <f>averageif(AllData!A:A,B2087,AllData!R:R)/vlookup(B2087,AllData!A:O,15,0)</f>
        <v>94.5352381</v>
      </c>
      <c r="W2087" s="6"/>
    </row>
    <row r="2088" ht="14.25" customHeight="1">
      <c r="A2088" s="6" t="str">
        <f t="shared" si="1"/>
        <v>2021KnardDawg7</v>
      </c>
      <c r="B2088" s="59">
        <v>2021.0</v>
      </c>
      <c r="C2088" s="13" t="s">
        <v>86</v>
      </c>
      <c r="D2088" s="13" t="s">
        <v>143</v>
      </c>
      <c r="E2088" s="34"/>
      <c r="F2088" s="6"/>
      <c r="H2088" s="6"/>
      <c r="I2088" s="35" t="str">
        <f>IFERROR(IFERROR(IFERROR(VLOOKUP(B2088&amp;C2088&amp;Q2088,'New Weekly Paste'!A:M,10,0),VLOOKUP(B2088&amp;C2088&amp;Q2088,'New Weekly Paste'!B:O,6,0)),""),"")</f>
        <v>Tayski</v>
      </c>
      <c r="J2088" s="259">
        <f>IFERROR(IFERROR(VLOOKUP(B2088&amp;C2088&amp;Q2088,'New Weekly Paste'!A:M,8,0),VLOOKUP(B2088&amp;C2088&amp;Q2088,'New Weekly Paste'!B:O,10,0)),0)</f>
        <v>70.14</v>
      </c>
      <c r="K2088" s="259">
        <f>IFERROR(IFERROR(VLOOKUP(B2088&amp;I2088&amp;Q2088,'New Weekly Paste'!A:M,8,0),VLOOKUP(B2088&amp;I2088&amp;Q2088,'New Weekly Paste'!B:O,10,0)),0)</f>
        <v>95.76</v>
      </c>
      <c r="L2088" s="239">
        <f t="shared" si="25"/>
        <v>0</v>
      </c>
      <c r="M2088" s="36" t="str">
        <f t="shared" si="3"/>
        <v>Regular Season</v>
      </c>
      <c r="N2088" s="239" t="str">
        <f t="shared" si="26"/>
        <v>Tayski</v>
      </c>
      <c r="O2088" s="6">
        <f>VLOOKUP(D2088,'Mapped Opponent'!$G$4:$H$22,2,0)</f>
        <v>7</v>
      </c>
      <c r="P2088" s="6"/>
      <c r="Q2088" s="6" t="str">
        <f t="shared" si="4"/>
        <v>Week 7</v>
      </c>
      <c r="R2088" s="6" t="str">
        <f t="shared" si="5"/>
        <v>2021Week 7</v>
      </c>
      <c r="S2088" s="6">
        <f>IFERROR(__xludf.DUMMYFUNCTION("rank(J2088,FILTER(J:J,R:R=R2088))"),12.0)</f>
        <v>12</v>
      </c>
      <c r="T2088" s="6">
        <f t="shared" si="6"/>
        <v>0</v>
      </c>
      <c r="U2088" s="6">
        <f t="shared" si="7"/>
        <v>12</v>
      </c>
      <c r="V2088" s="42">
        <f>averageif(AllData!A:A,B2088,AllData!R:R)/vlookup(B2088,AllData!A:O,15,0)</f>
        <v>94.5352381</v>
      </c>
      <c r="W2088" s="6"/>
    </row>
    <row r="2089" ht="14.25" customHeight="1">
      <c r="A2089" s="6" t="str">
        <f t="shared" si="1"/>
        <v>2021T-How7</v>
      </c>
      <c r="B2089" s="59">
        <v>2021.0</v>
      </c>
      <c r="C2089" s="13" t="s">
        <v>82</v>
      </c>
      <c r="D2089" s="13" t="s">
        <v>143</v>
      </c>
      <c r="E2089" s="34"/>
      <c r="F2089" s="6"/>
      <c r="H2089" s="6"/>
      <c r="I2089" s="35" t="str">
        <f>IFERROR(IFERROR(IFERROR(VLOOKUP(B2089&amp;C2089&amp;Q2089,'New Weekly Paste'!A:M,10,0),VLOOKUP(B2089&amp;C2089&amp;Q2089,'New Weekly Paste'!B:O,6,0)),""),"")</f>
        <v>Cock</v>
      </c>
      <c r="J2089" s="259">
        <f>IFERROR(IFERROR(VLOOKUP(B2089&amp;C2089&amp;Q2089,'New Weekly Paste'!A:M,8,0),VLOOKUP(B2089&amp;C2089&amp;Q2089,'New Weekly Paste'!B:O,10,0)),0)</f>
        <v>114.24</v>
      </c>
      <c r="K2089" s="259">
        <f>IFERROR(IFERROR(VLOOKUP(B2089&amp;I2089&amp;Q2089,'New Weekly Paste'!A:M,8,0),VLOOKUP(B2089&amp;I2089&amp;Q2089,'New Weekly Paste'!B:O,10,0)),0)</f>
        <v>93.24</v>
      </c>
      <c r="L2089" s="239">
        <f t="shared" si="25"/>
        <v>1</v>
      </c>
      <c r="M2089" s="36" t="str">
        <f t="shared" si="3"/>
        <v>Regular Season</v>
      </c>
      <c r="N2089" s="239" t="str">
        <f t="shared" si="26"/>
        <v>Cock</v>
      </c>
      <c r="O2089" s="6">
        <f>VLOOKUP(D2089,'Mapped Opponent'!$G$4:$H$22,2,0)</f>
        <v>7</v>
      </c>
      <c r="P2089" s="6"/>
      <c r="Q2089" s="6" t="str">
        <f t="shared" si="4"/>
        <v>Week 7</v>
      </c>
      <c r="R2089" s="6" t="str">
        <f t="shared" si="5"/>
        <v>2021Week 7</v>
      </c>
      <c r="S2089" s="6">
        <f>IFERROR(__xludf.DUMMYFUNCTION("rank(J2089,FILTER(J:J,R:R=R2089))"),2.0)</f>
        <v>2</v>
      </c>
      <c r="T2089" s="6">
        <f t="shared" si="6"/>
        <v>10</v>
      </c>
      <c r="U2089" s="6">
        <f t="shared" si="7"/>
        <v>2</v>
      </c>
      <c r="V2089" s="42">
        <f>averageif(AllData!A:A,B2089,AllData!R:R)/vlookup(B2089,AllData!A:O,15,0)</f>
        <v>94.5352381</v>
      </c>
      <c r="W2089" s="6"/>
    </row>
    <row r="2090" ht="14.25" customHeight="1">
      <c r="A2090" s="6" t="str">
        <f t="shared" si="1"/>
        <v>2021Hudspeath8</v>
      </c>
      <c r="B2090" s="59">
        <v>2021.0</v>
      </c>
      <c r="C2090" s="13" t="s">
        <v>39</v>
      </c>
      <c r="D2090" s="13" t="s">
        <v>145</v>
      </c>
      <c r="E2090" s="34"/>
      <c r="F2090" s="6"/>
      <c r="H2090" s="6"/>
      <c r="I2090" s="35" t="str">
        <f>IFERROR(IFERROR(IFERROR(VLOOKUP(B2090&amp;C2090&amp;Q2090,'New Weekly Paste'!A:M,10,0),VLOOKUP(B2090&amp;C2090&amp;Q2090,'New Weekly Paste'!B:O,6,0)),""),"")</f>
        <v>Riley</v>
      </c>
      <c r="J2090" s="259">
        <f>IFERROR(IFERROR(VLOOKUP(B2090&amp;C2090&amp;Q2090,'New Weekly Paste'!A:M,8,0),VLOOKUP(B2090&amp;C2090&amp;Q2090,'New Weekly Paste'!B:O,10,0)),0)</f>
        <v>86.56</v>
      </c>
      <c r="K2090" s="259">
        <f>IFERROR(IFERROR(VLOOKUP(B2090&amp;I2090&amp;Q2090,'New Weekly Paste'!A:M,8,0),VLOOKUP(B2090&amp;I2090&amp;Q2090,'New Weekly Paste'!B:O,10,0)),0)</f>
        <v>89.68</v>
      </c>
      <c r="L2090" s="239">
        <f t="shared" si="25"/>
        <v>0</v>
      </c>
      <c r="M2090" s="36" t="str">
        <f t="shared" si="3"/>
        <v>Regular Season</v>
      </c>
      <c r="N2090" s="239" t="str">
        <f t="shared" si="26"/>
        <v>Riley</v>
      </c>
      <c r="O2090" s="6">
        <f>VLOOKUP(D2090,'Mapped Opponent'!$G$4:$H$22,2,0)</f>
        <v>8</v>
      </c>
      <c r="P2090" s="6"/>
      <c r="Q2090" s="6" t="str">
        <f t="shared" si="4"/>
        <v>Week 8</v>
      </c>
      <c r="R2090" s="6" t="str">
        <f t="shared" si="5"/>
        <v>2021Week 8</v>
      </c>
      <c r="S2090" s="6">
        <f>IFERROR(__xludf.DUMMYFUNCTION("rank(J2090,FILTER(J:J,R:R=R2090))"),6.0)</f>
        <v>6</v>
      </c>
      <c r="T2090" s="6">
        <f t="shared" si="6"/>
        <v>6</v>
      </c>
      <c r="U2090" s="6">
        <f t="shared" si="7"/>
        <v>6</v>
      </c>
      <c r="V2090" s="42">
        <f>averageif(AllData!A:A,B2090,AllData!R:R)/vlookup(B2090,AllData!A:O,15,0)</f>
        <v>94.5352381</v>
      </c>
      <c r="W2090" s="6"/>
    </row>
    <row r="2091" ht="14.25" customHeight="1">
      <c r="A2091" s="6" t="str">
        <f t="shared" si="1"/>
        <v>2021Salty8</v>
      </c>
      <c r="B2091" s="59">
        <v>2021.0</v>
      </c>
      <c r="C2091" s="13" t="s">
        <v>76</v>
      </c>
      <c r="D2091" s="13" t="s">
        <v>145</v>
      </c>
      <c r="E2091" s="34"/>
      <c r="F2091" s="6"/>
      <c r="H2091" s="6"/>
      <c r="I2091" s="35" t="str">
        <f>IFERROR(IFERROR(IFERROR(VLOOKUP(B2091&amp;C2091&amp;Q2091,'New Weekly Paste'!A:M,10,0),VLOOKUP(B2091&amp;C2091&amp;Q2091,'New Weekly Paste'!B:O,6,0)),""),"")</f>
        <v>Cock</v>
      </c>
      <c r="J2091" s="259">
        <f>IFERROR(IFERROR(VLOOKUP(B2091&amp;C2091&amp;Q2091,'New Weekly Paste'!A:M,8,0),VLOOKUP(B2091&amp;C2091&amp;Q2091,'New Weekly Paste'!B:O,10,0)),0)</f>
        <v>97.86</v>
      </c>
      <c r="K2091" s="259">
        <f>IFERROR(IFERROR(VLOOKUP(B2091&amp;I2091&amp;Q2091,'New Weekly Paste'!A:M,8,0),VLOOKUP(B2091&amp;I2091&amp;Q2091,'New Weekly Paste'!B:O,10,0)),0)</f>
        <v>71.12</v>
      </c>
      <c r="L2091" s="239">
        <f t="shared" si="25"/>
        <v>1</v>
      </c>
      <c r="M2091" s="36" t="str">
        <f t="shared" si="3"/>
        <v>Regular Season</v>
      </c>
      <c r="N2091" s="239" t="str">
        <f t="shared" si="26"/>
        <v>Cock</v>
      </c>
      <c r="O2091" s="6">
        <f>VLOOKUP(D2091,'Mapped Opponent'!$G$4:$H$22,2,0)</f>
        <v>8</v>
      </c>
      <c r="P2091" s="6"/>
      <c r="Q2091" s="6" t="str">
        <f t="shared" si="4"/>
        <v>Week 8</v>
      </c>
      <c r="R2091" s="6" t="str">
        <f t="shared" si="5"/>
        <v>2021Week 8</v>
      </c>
      <c r="S2091" s="6">
        <f>IFERROR(__xludf.DUMMYFUNCTION("rank(J2091,FILTER(J:J,R:R=R2091))"),2.0)</f>
        <v>2</v>
      </c>
      <c r="T2091" s="6">
        <f t="shared" si="6"/>
        <v>10</v>
      </c>
      <c r="U2091" s="6">
        <f t="shared" si="7"/>
        <v>2</v>
      </c>
      <c r="V2091" s="42">
        <f>averageif(AllData!A:A,B2091,AllData!R:R)/vlookup(B2091,AllData!A:O,15,0)</f>
        <v>94.5352381</v>
      </c>
      <c r="W2091" s="6"/>
    </row>
    <row r="2092" ht="14.25" customHeight="1">
      <c r="A2092" s="6" t="str">
        <f t="shared" si="1"/>
        <v>2021Fellows8</v>
      </c>
      <c r="B2092" s="59">
        <v>2021.0</v>
      </c>
      <c r="C2092" s="13" t="s">
        <v>79</v>
      </c>
      <c r="D2092" s="13" t="s">
        <v>145</v>
      </c>
      <c r="E2092" s="34"/>
      <c r="F2092" s="6"/>
      <c r="H2092" s="6"/>
      <c r="I2092" s="35" t="str">
        <f>IFERROR(IFERROR(IFERROR(VLOOKUP(B2092&amp;C2092&amp;Q2092,'New Weekly Paste'!A:M,10,0),VLOOKUP(B2092&amp;C2092&amp;Q2092,'New Weekly Paste'!B:O,6,0)),""),"")</f>
        <v>Buser</v>
      </c>
      <c r="J2092" s="259">
        <f>IFERROR(IFERROR(VLOOKUP(B2092&amp;C2092&amp;Q2092,'New Weekly Paste'!A:M,8,0),VLOOKUP(B2092&amp;C2092&amp;Q2092,'New Weekly Paste'!B:O,10,0)),0)</f>
        <v>75.9</v>
      </c>
      <c r="K2092" s="259">
        <f>IFERROR(IFERROR(VLOOKUP(B2092&amp;I2092&amp;Q2092,'New Weekly Paste'!A:M,8,0),VLOOKUP(B2092&amp;I2092&amp;Q2092,'New Weekly Paste'!B:O,10,0)),0)</f>
        <v>86.02</v>
      </c>
      <c r="L2092" s="239">
        <f t="shared" si="25"/>
        <v>0</v>
      </c>
      <c r="M2092" s="36" t="str">
        <f t="shared" si="3"/>
        <v>Regular Season</v>
      </c>
      <c r="N2092" s="239" t="str">
        <f t="shared" si="26"/>
        <v>Buser</v>
      </c>
      <c r="O2092" s="6">
        <f>VLOOKUP(D2092,'Mapped Opponent'!$G$4:$H$22,2,0)</f>
        <v>8</v>
      </c>
      <c r="P2092" s="6"/>
      <c r="Q2092" s="6" t="str">
        <f t="shared" si="4"/>
        <v>Week 8</v>
      </c>
      <c r="R2092" s="6" t="str">
        <f t="shared" si="5"/>
        <v>2021Week 8</v>
      </c>
      <c r="S2092" s="6">
        <f>IFERROR(__xludf.DUMMYFUNCTION("rank(J2092,FILTER(J:J,R:R=R2092))"),9.0)</f>
        <v>9</v>
      </c>
      <c r="T2092" s="6">
        <f t="shared" si="6"/>
        <v>3</v>
      </c>
      <c r="U2092" s="6">
        <f t="shared" si="7"/>
        <v>9</v>
      </c>
      <c r="V2092" s="42">
        <f>averageif(AllData!A:A,B2092,AllData!R:R)/vlookup(B2092,AllData!A:O,15,0)</f>
        <v>94.5352381</v>
      </c>
      <c r="W2092" s="6"/>
    </row>
    <row r="2093" ht="14.25" customHeight="1">
      <c r="A2093" s="6" t="str">
        <f t="shared" si="1"/>
        <v>2021Shep8</v>
      </c>
      <c r="B2093" s="59">
        <v>2021.0</v>
      </c>
      <c r="C2093" s="13" t="s">
        <v>89</v>
      </c>
      <c r="D2093" s="13" t="s">
        <v>145</v>
      </c>
      <c r="E2093" s="34"/>
      <c r="F2093" s="6"/>
      <c r="H2093" s="6"/>
      <c r="I2093" s="35" t="str">
        <f>IFERROR(IFERROR(IFERROR(VLOOKUP(B2093&amp;C2093&amp;Q2093,'New Weekly Paste'!A:M,10,0),VLOOKUP(B2093&amp;C2093&amp;Q2093,'New Weekly Paste'!B:O,6,0)),""),"")</f>
        <v>Pierson</v>
      </c>
      <c r="J2093" s="259">
        <f>IFERROR(IFERROR(VLOOKUP(B2093&amp;C2093&amp;Q2093,'New Weekly Paste'!A:M,8,0),VLOOKUP(B2093&amp;C2093&amp;Q2093,'New Weekly Paste'!B:O,10,0)),0)</f>
        <v>99.52</v>
      </c>
      <c r="K2093" s="259">
        <f>IFERROR(IFERROR(VLOOKUP(B2093&amp;I2093&amp;Q2093,'New Weekly Paste'!A:M,8,0),VLOOKUP(B2093&amp;I2093&amp;Q2093,'New Weekly Paste'!B:O,10,0)),0)</f>
        <v>83.6</v>
      </c>
      <c r="L2093" s="239">
        <f t="shared" si="25"/>
        <v>1</v>
      </c>
      <c r="M2093" s="36" t="str">
        <f t="shared" si="3"/>
        <v>Regular Season</v>
      </c>
      <c r="N2093" s="239" t="str">
        <f t="shared" si="26"/>
        <v>Pierson</v>
      </c>
      <c r="O2093" s="6">
        <f>VLOOKUP(D2093,'Mapped Opponent'!$G$4:$H$22,2,0)</f>
        <v>8</v>
      </c>
      <c r="P2093" s="6"/>
      <c r="Q2093" s="6" t="str">
        <f t="shared" si="4"/>
        <v>Week 8</v>
      </c>
      <c r="R2093" s="6" t="str">
        <f t="shared" si="5"/>
        <v>2021Week 8</v>
      </c>
      <c r="S2093" s="6">
        <f>IFERROR(__xludf.DUMMYFUNCTION("rank(J2093,FILTER(J:J,R:R=R2093))"),1.0)</f>
        <v>1</v>
      </c>
      <c r="T2093" s="6">
        <f t="shared" si="6"/>
        <v>11</v>
      </c>
      <c r="U2093" s="6">
        <f t="shared" si="7"/>
        <v>1</v>
      </c>
      <c r="V2093" s="42">
        <f>averageif(AllData!A:A,B2093,AllData!R:R)/vlookup(B2093,AllData!A:O,15,0)</f>
        <v>94.5352381</v>
      </c>
      <c r="W2093" s="6"/>
    </row>
    <row r="2094" ht="14.25" customHeight="1">
      <c r="A2094" s="6" t="str">
        <f t="shared" si="1"/>
        <v>2021Riley8</v>
      </c>
      <c r="B2094" s="59">
        <v>2021.0</v>
      </c>
      <c r="C2094" s="13" t="s">
        <v>67</v>
      </c>
      <c r="D2094" s="13" t="s">
        <v>145</v>
      </c>
      <c r="E2094" s="34"/>
      <c r="F2094" s="6"/>
      <c r="H2094" s="6"/>
      <c r="I2094" s="35" t="str">
        <f>IFERROR(IFERROR(IFERROR(VLOOKUP(B2094&amp;C2094&amp;Q2094,'New Weekly Paste'!A:M,10,0),VLOOKUP(B2094&amp;C2094&amp;Q2094,'New Weekly Paste'!B:O,6,0)),""),"")</f>
        <v>Hudspeath</v>
      </c>
      <c r="J2094" s="259">
        <f>IFERROR(IFERROR(VLOOKUP(B2094&amp;C2094&amp;Q2094,'New Weekly Paste'!A:M,8,0),VLOOKUP(B2094&amp;C2094&amp;Q2094,'New Weekly Paste'!B:O,10,0)),0)</f>
        <v>89.68</v>
      </c>
      <c r="K2094" s="259">
        <f>IFERROR(IFERROR(VLOOKUP(B2094&amp;I2094&amp;Q2094,'New Weekly Paste'!A:M,8,0),VLOOKUP(B2094&amp;I2094&amp;Q2094,'New Weekly Paste'!B:O,10,0)),0)</f>
        <v>86.56</v>
      </c>
      <c r="L2094" s="239">
        <f t="shared" si="25"/>
        <v>1</v>
      </c>
      <c r="M2094" s="36" t="str">
        <f t="shared" si="3"/>
        <v>Regular Season</v>
      </c>
      <c r="N2094" s="239" t="str">
        <f t="shared" si="26"/>
        <v>Hudspeath</v>
      </c>
      <c r="O2094" s="6">
        <f>VLOOKUP(D2094,'Mapped Opponent'!$G$4:$H$22,2,0)</f>
        <v>8</v>
      </c>
      <c r="P2094" s="6"/>
      <c r="Q2094" s="6" t="str">
        <f t="shared" si="4"/>
        <v>Week 8</v>
      </c>
      <c r="R2094" s="6" t="str">
        <f t="shared" si="5"/>
        <v>2021Week 8</v>
      </c>
      <c r="S2094" s="6">
        <f>IFERROR(__xludf.DUMMYFUNCTION("rank(J2094,FILTER(J:J,R:R=R2094))"),3.0)</f>
        <v>3</v>
      </c>
      <c r="T2094" s="6">
        <f t="shared" si="6"/>
        <v>9</v>
      </c>
      <c r="U2094" s="6">
        <f t="shared" si="7"/>
        <v>3</v>
      </c>
      <c r="V2094" s="42">
        <f>averageif(AllData!A:A,B2094,AllData!R:R)/vlookup(B2094,AllData!A:O,15,0)</f>
        <v>94.5352381</v>
      </c>
      <c r="W2094" s="6"/>
    </row>
    <row r="2095" ht="14.25" customHeight="1">
      <c r="A2095" s="6" t="str">
        <f t="shared" si="1"/>
        <v>2021Rooney/Jackson8</v>
      </c>
      <c r="B2095" s="59">
        <v>2021.0</v>
      </c>
      <c r="C2095" s="13" t="s">
        <v>57</v>
      </c>
      <c r="D2095" s="13" t="s">
        <v>145</v>
      </c>
      <c r="E2095" s="34"/>
      <c r="F2095" s="6"/>
      <c r="H2095" s="6"/>
      <c r="I2095" s="35" t="str">
        <f>IFERROR(IFERROR(IFERROR(VLOOKUP(B2095&amp;C2095&amp;Q2095,'New Weekly Paste'!A:M,10,0),VLOOKUP(B2095&amp;C2095&amp;Q2095,'New Weekly Paste'!B:O,6,0)),""),"")</f>
        <v>Tayski</v>
      </c>
      <c r="J2095" s="259">
        <f>IFERROR(IFERROR(VLOOKUP(B2095&amp;C2095&amp;Q2095,'New Weekly Paste'!A:M,8,0),VLOOKUP(B2095&amp;C2095&amp;Q2095,'New Weekly Paste'!B:O,10,0)),0)</f>
        <v>61.02</v>
      </c>
      <c r="K2095" s="259">
        <f>IFERROR(IFERROR(VLOOKUP(B2095&amp;I2095&amp;Q2095,'New Weekly Paste'!A:M,8,0),VLOOKUP(B2095&amp;I2095&amp;Q2095,'New Weekly Paste'!B:O,10,0)),0)</f>
        <v>89</v>
      </c>
      <c r="L2095" s="239">
        <f t="shared" si="25"/>
        <v>0</v>
      </c>
      <c r="M2095" s="36" t="str">
        <f t="shared" si="3"/>
        <v>Regular Season</v>
      </c>
      <c r="N2095" s="239" t="str">
        <f t="shared" si="26"/>
        <v>Tayski</v>
      </c>
      <c r="O2095" s="6">
        <f>VLOOKUP(D2095,'Mapped Opponent'!$G$4:$H$22,2,0)</f>
        <v>8</v>
      </c>
      <c r="P2095" s="6"/>
      <c r="Q2095" s="6" t="str">
        <f t="shared" si="4"/>
        <v>Week 8</v>
      </c>
      <c r="R2095" s="6" t="str">
        <f t="shared" si="5"/>
        <v>2021Week 8</v>
      </c>
      <c r="S2095" s="6">
        <f>IFERROR(__xludf.DUMMYFUNCTION("rank(J2095,FILTER(J:J,R:R=R2095))"),11.0)</f>
        <v>11</v>
      </c>
      <c r="T2095" s="6">
        <f t="shared" si="6"/>
        <v>1</v>
      </c>
      <c r="U2095" s="6">
        <f t="shared" si="7"/>
        <v>11</v>
      </c>
      <c r="V2095" s="42">
        <f>averageif(AllData!A:A,B2095,AllData!R:R)/vlookup(B2095,AllData!A:O,15,0)</f>
        <v>94.5352381</v>
      </c>
      <c r="W2095" s="6"/>
    </row>
    <row r="2096" ht="14.25" customHeight="1">
      <c r="A2096" s="6" t="str">
        <f t="shared" si="1"/>
        <v>2021Buser8</v>
      </c>
      <c r="B2096" s="59">
        <v>2021.0</v>
      </c>
      <c r="C2096" s="13" t="s">
        <v>47</v>
      </c>
      <c r="D2096" s="13" t="s">
        <v>145</v>
      </c>
      <c r="E2096" s="34"/>
      <c r="F2096" s="6"/>
      <c r="H2096" s="6"/>
      <c r="I2096" s="35" t="str">
        <f>IFERROR(IFERROR(IFERROR(VLOOKUP(B2096&amp;C2096&amp;Q2096,'New Weekly Paste'!A:M,10,0),VLOOKUP(B2096&amp;C2096&amp;Q2096,'New Weekly Paste'!B:O,6,0)),""),"")</f>
        <v>Fellows</v>
      </c>
      <c r="J2096" s="259">
        <f>IFERROR(IFERROR(VLOOKUP(B2096&amp;C2096&amp;Q2096,'New Weekly Paste'!A:M,8,0),VLOOKUP(B2096&amp;C2096&amp;Q2096,'New Weekly Paste'!B:O,10,0)),0)</f>
        <v>86.02</v>
      </c>
      <c r="K2096" s="259">
        <f>IFERROR(IFERROR(VLOOKUP(B2096&amp;I2096&amp;Q2096,'New Weekly Paste'!A:M,8,0),VLOOKUP(B2096&amp;I2096&amp;Q2096,'New Weekly Paste'!B:O,10,0)),0)</f>
        <v>75.9</v>
      </c>
      <c r="L2096" s="239">
        <f t="shared" si="25"/>
        <v>1</v>
      </c>
      <c r="M2096" s="36" t="str">
        <f t="shared" si="3"/>
        <v>Regular Season</v>
      </c>
      <c r="N2096" s="239" t="str">
        <f t="shared" si="26"/>
        <v>Fellows</v>
      </c>
      <c r="O2096" s="6">
        <f>VLOOKUP(D2096,'Mapped Opponent'!$G$4:$H$22,2,0)</f>
        <v>8</v>
      </c>
      <c r="P2096" s="6"/>
      <c r="Q2096" s="6" t="str">
        <f t="shared" si="4"/>
        <v>Week 8</v>
      </c>
      <c r="R2096" s="6" t="str">
        <f t="shared" si="5"/>
        <v>2021Week 8</v>
      </c>
      <c r="S2096" s="6">
        <f>IFERROR(__xludf.DUMMYFUNCTION("rank(J2096,FILTER(J:J,R:R=R2096))"),7.0)</f>
        <v>7</v>
      </c>
      <c r="T2096" s="6">
        <f t="shared" si="6"/>
        <v>5</v>
      </c>
      <c r="U2096" s="6">
        <f t="shared" si="7"/>
        <v>7</v>
      </c>
      <c r="V2096" s="42">
        <f>averageif(AllData!A:A,B2096,AllData!R:R)/vlookup(B2096,AllData!A:O,15,0)</f>
        <v>94.5352381</v>
      </c>
      <c r="W2096" s="6"/>
    </row>
    <row r="2097" ht="14.25" customHeight="1">
      <c r="A2097" s="6" t="str">
        <f t="shared" si="1"/>
        <v>2021Pierson8</v>
      </c>
      <c r="B2097" s="59">
        <v>2021.0</v>
      </c>
      <c r="C2097" s="13" t="s">
        <v>92</v>
      </c>
      <c r="D2097" s="13" t="s">
        <v>145</v>
      </c>
      <c r="E2097" s="34"/>
      <c r="F2097" s="6"/>
      <c r="H2097" s="6"/>
      <c r="I2097" s="35" t="str">
        <f>IFERROR(IFERROR(IFERROR(VLOOKUP(B2097&amp;C2097&amp;Q2097,'New Weekly Paste'!A:M,10,0),VLOOKUP(B2097&amp;C2097&amp;Q2097,'New Weekly Paste'!B:O,6,0)),""),"")</f>
        <v>Shep</v>
      </c>
      <c r="J2097" s="259">
        <f>IFERROR(IFERROR(VLOOKUP(B2097&amp;C2097&amp;Q2097,'New Weekly Paste'!A:M,8,0),VLOOKUP(B2097&amp;C2097&amp;Q2097,'New Weekly Paste'!B:O,10,0)),0)</f>
        <v>83.6</v>
      </c>
      <c r="K2097" s="259">
        <f>IFERROR(IFERROR(VLOOKUP(B2097&amp;I2097&amp;Q2097,'New Weekly Paste'!A:M,8,0),VLOOKUP(B2097&amp;I2097&amp;Q2097,'New Weekly Paste'!B:O,10,0)),0)</f>
        <v>99.52</v>
      </c>
      <c r="L2097" s="239">
        <f t="shared" si="25"/>
        <v>0</v>
      </c>
      <c r="M2097" s="36" t="str">
        <f t="shared" si="3"/>
        <v>Regular Season</v>
      </c>
      <c r="N2097" s="239" t="str">
        <f t="shared" si="26"/>
        <v>Shep</v>
      </c>
      <c r="O2097" s="6">
        <f>VLOOKUP(D2097,'Mapped Opponent'!$G$4:$H$22,2,0)</f>
        <v>8</v>
      </c>
      <c r="P2097" s="6"/>
      <c r="Q2097" s="6" t="str">
        <f t="shared" si="4"/>
        <v>Week 8</v>
      </c>
      <c r="R2097" s="6" t="str">
        <f t="shared" si="5"/>
        <v>2021Week 8</v>
      </c>
      <c r="S2097" s="6">
        <f>IFERROR(__xludf.DUMMYFUNCTION("rank(J2097,FILTER(J:J,R:R=R2097))"),8.0)</f>
        <v>8</v>
      </c>
      <c r="T2097" s="6">
        <f t="shared" si="6"/>
        <v>4</v>
      </c>
      <c r="U2097" s="6">
        <f t="shared" si="7"/>
        <v>8</v>
      </c>
      <c r="V2097" s="42">
        <f>averageif(AllData!A:A,B2097,AllData!R:R)/vlookup(B2097,AllData!A:O,15,0)</f>
        <v>94.5352381</v>
      </c>
      <c r="W2097" s="6"/>
    </row>
    <row r="2098" ht="14.25" customHeight="1">
      <c r="A2098" s="6" t="str">
        <f t="shared" si="1"/>
        <v>2021Cock8</v>
      </c>
      <c r="B2098" s="59">
        <v>2021.0</v>
      </c>
      <c r="C2098" s="13" t="s">
        <v>72</v>
      </c>
      <c r="D2098" s="13" t="s">
        <v>145</v>
      </c>
      <c r="E2098" s="34"/>
      <c r="F2098" s="6"/>
      <c r="H2098" s="6"/>
      <c r="I2098" s="35" t="str">
        <f>IFERROR(IFERROR(IFERROR(VLOOKUP(B2098&amp;C2098&amp;Q2098,'New Weekly Paste'!A:M,10,0),VLOOKUP(B2098&amp;C2098&amp;Q2098,'New Weekly Paste'!B:O,6,0)),""),"")</f>
        <v>Salty</v>
      </c>
      <c r="J2098" s="259">
        <f>IFERROR(IFERROR(VLOOKUP(B2098&amp;C2098&amp;Q2098,'New Weekly Paste'!A:M,8,0),VLOOKUP(B2098&amp;C2098&amp;Q2098,'New Weekly Paste'!B:O,10,0)),0)</f>
        <v>71.12</v>
      </c>
      <c r="K2098" s="259">
        <f>IFERROR(IFERROR(VLOOKUP(B2098&amp;I2098&amp;Q2098,'New Weekly Paste'!A:M,8,0),VLOOKUP(B2098&amp;I2098&amp;Q2098,'New Weekly Paste'!B:O,10,0)),0)</f>
        <v>97.86</v>
      </c>
      <c r="L2098" s="239">
        <f t="shared" si="25"/>
        <v>0</v>
      </c>
      <c r="M2098" s="36" t="str">
        <f t="shared" si="3"/>
        <v>Regular Season</v>
      </c>
      <c r="N2098" s="239" t="str">
        <f t="shared" si="26"/>
        <v>Salty</v>
      </c>
      <c r="O2098" s="6">
        <f>VLOOKUP(D2098,'Mapped Opponent'!$G$4:$H$22,2,0)</f>
        <v>8</v>
      </c>
      <c r="P2098" s="6"/>
      <c r="Q2098" s="6" t="str">
        <f t="shared" si="4"/>
        <v>Week 8</v>
      </c>
      <c r="R2098" s="6" t="str">
        <f t="shared" si="5"/>
        <v>2021Week 8</v>
      </c>
      <c r="S2098" s="6">
        <f>IFERROR(__xludf.DUMMYFUNCTION("rank(J2098,FILTER(J:J,R:R=R2098))"),10.0)</f>
        <v>10</v>
      </c>
      <c r="T2098" s="6">
        <f t="shared" si="6"/>
        <v>2</v>
      </c>
      <c r="U2098" s="6">
        <f t="shared" si="7"/>
        <v>10</v>
      </c>
      <c r="V2098" s="42">
        <f>averageif(AllData!A:A,B2098,AllData!R:R)/vlookup(B2098,AllData!A:O,15,0)</f>
        <v>94.5352381</v>
      </c>
      <c r="W2098" s="6"/>
    </row>
    <row r="2099" ht="14.25" customHeight="1">
      <c r="A2099" s="6" t="str">
        <f t="shared" si="1"/>
        <v>2021Tayski8</v>
      </c>
      <c r="B2099" s="59">
        <v>2021.0</v>
      </c>
      <c r="C2099" s="13" t="s">
        <v>52</v>
      </c>
      <c r="D2099" s="13" t="s">
        <v>145</v>
      </c>
      <c r="E2099" s="34"/>
      <c r="F2099" s="6"/>
      <c r="H2099" s="6"/>
      <c r="I2099" s="35" t="str">
        <f>IFERROR(IFERROR(IFERROR(VLOOKUP(B2099&amp;C2099&amp;Q2099,'New Weekly Paste'!A:M,10,0),VLOOKUP(B2099&amp;C2099&amp;Q2099,'New Weekly Paste'!B:O,6,0)),""),"")</f>
        <v>Rooney/Jackson</v>
      </c>
      <c r="J2099" s="259">
        <f>IFERROR(IFERROR(VLOOKUP(B2099&amp;C2099&amp;Q2099,'New Weekly Paste'!A:M,8,0),VLOOKUP(B2099&amp;C2099&amp;Q2099,'New Weekly Paste'!B:O,10,0)),0)</f>
        <v>89</v>
      </c>
      <c r="K2099" s="259">
        <f>IFERROR(IFERROR(VLOOKUP(B2099&amp;I2099&amp;Q2099,'New Weekly Paste'!A:M,8,0),VLOOKUP(B2099&amp;I2099&amp;Q2099,'New Weekly Paste'!B:O,10,0)),0)</f>
        <v>61.02</v>
      </c>
      <c r="L2099" s="239">
        <f t="shared" si="25"/>
        <v>1</v>
      </c>
      <c r="M2099" s="36" t="str">
        <f t="shared" si="3"/>
        <v>Regular Season</v>
      </c>
      <c r="N2099" s="239" t="str">
        <f t="shared" si="26"/>
        <v>Rooney/Jackson</v>
      </c>
      <c r="O2099" s="6">
        <f>VLOOKUP(D2099,'Mapped Opponent'!$G$4:$H$22,2,0)</f>
        <v>8</v>
      </c>
      <c r="P2099" s="6"/>
      <c r="Q2099" s="6" t="str">
        <f t="shared" si="4"/>
        <v>Week 8</v>
      </c>
      <c r="R2099" s="6" t="str">
        <f t="shared" si="5"/>
        <v>2021Week 8</v>
      </c>
      <c r="S2099" s="6">
        <f>IFERROR(__xludf.DUMMYFUNCTION("rank(J2099,FILTER(J:J,R:R=R2099))"),4.0)</f>
        <v>4</v>
      </c>
      <c r="T2099" s="6">
        <f t="shared" si="6"/>
        <v>8</v>
      </c>
      <c r="U2099" s="6">
        <f t="shared" si="7"/>
        <v>4</v>
      </c>
      <c r="V2099" s="42">
        <f>averageif(AllData!A:A,B2099,AllData!R:R)/vlookup(B2099,AllData!A:O,15,0)</f>
        <v>94.5352381</v>
      </c>
      <c r="W2099" s="6"/>
    </row>
    <row r="2100" ht="14.25" customHeight="1">
      <c r="A2100" s="6" t="str">
        <f t="shared" si="1"/>
        <v>2021KnardDawg8</v>
      </c>
      <c r="B2100" s="59">
        <v>2021.0</v>
      </c>
      <c r="C2100" s="13" t="s">
        <v>86</v>
      </c>
      <c r="D2100" s="13" t="s">
        <v>145</v>
      </c>
      <c r="E2100" s="34"/>
      <c r="F2100" s="6"/>
      <c r="H2100" s="6"/>
      <c r="I2100" s="35" t="str">
        <f>IFERROR(IFERROR(IFERROR(VLOOKUP(B2100&amp;C2100&amp;Q2100,'New Weekly Paste'!A:M,10,0),VLOOKUP(B2100&amp;C2100&amp;Q2100,'New Weekly Paste'!B:O,6,0)),""),"")</f>
        <v>T-How</v>
      </c>
      <c r="J2100" s="259">
        <f>IFERROR(IFERROR(VLOOKUP(B2100&amp;C2100&amp;Q2100,'New Weekly Paste'!A:M,8,0),VLOOKUP(B2100&amp;C2100&amp;Q2100,'New Weekly Paste'!B:O,10,0)),0)</f>
        <v>60.54</v>
      </c>
      <c r="K2100" s="259">
        <f>IFERROR(IFERROR(VLOOKUP(B2100&amp;I2100&amp;Q2100,'New Weekly Paste'!A:M,8,0),VLOOKUP(B2100&amp;I2100&amp;Q2100,'New Weekly Paste'!B:O,10,0)),0)</f>
        <v>88.7</v>
      </c>
      <c r="L2100" s="239">
        <f t="shared" si="25"/>
        <v>0</v>
      </c>
      <c r="M2100" s="36" t="str">
        <f t="shared" si="3"/>
        <v>Regular Season</v>
      </c>
      <c r="N2100" s="239" t="str">
        <f t="shared" si="26"/>
        <v>T-How</v>
      </c>
      <c r="O2100" s="6">
        <f>VLOOKUP(D2100,'Mapped Opponent'!$G$4:$H$22,2,0)</f>
        <v>8</v>
      </c>
      <c r="P2100" s="6"/>
      <c r="Q2100" s="6" t="str">
        <f t="shared" si="4"/>
        <v>Week 8</v>
      </c>
      <c r="R2100" s="6" t="str">
        <f t="shared" si="5"/>
        <v>2021Week 8</v>
      </c>
      <c r="S2100" s="6">
        <f>IFERROR(__xludf.DUMMYFUNCTION("rank(J2100,FILTER(J:J,R:R=R2100))"),12.0)</f>
        <v>12</v>
      </c>
      <c r="T2100" s="6">
        <f t="shared" si="6"/>
        <v>0</v>
      </c>
      <c r="U2100" s="6">
        <f t="shared" si="7"/>
        <v>12</v>
      </c>
      <c r="V2100" s="42">
        <f>averageif(AllData!A:A,B2100,AllData!R:R)/vlookup(B2100,AllData!A:O,15,0)</f>
        <v>94.5352381</v>
      </c>
      <c r="W2100" s="6"/>
    </row>
    <row r="2101" ht="14.25" customHeight="1">
      <c r="A2101" s="6" t="str">
        <f t="shared" si="1"/>
        <v>2021T-How8</v>
      </c>
      <c r="B2101" s="59">
        <v>2021.0</v>
      </c>
      <c r="C2101" s="13" t="s">
        <v>82</v>
      </c>
      <c r="D2101" s="13" t="s">
        <v>145</v>
      </c>
      <c r="E2101" s="34"/>
      <c r="F2101" s="6"/>
      <c r="H2101" s="6"/>
      <c r="I2101" s="35" t="str">
        <f>IFERROR(IFERROR(IFERROR(VLOOKUP(B2101&amp;C2101&amp;Q2101,'New Weekly Paste'!A:M,10,0),VLOOKUP(B2101&amp;C2101&amp;Q2101,'New Weekly Paste'!B:O,6,0)),""),"")</f>
        <v>KnardDawg</v>
      </c>
      <c r="J2101" s="259">
        <f>IFERROR(IFERROR(VLOOKUP(B2101&amp;C2101&amp;Q2101,'New Weekly Paste'!A:M,8,0),VLOOKUP(B2101&amp;C2101&amp;Q2101,'New Weekly Paste'!B:O,10,0)),0)</f>
        <v>88.7</v>
      </c>
      <c r="K2101" s="259">
        <f>IFERROR(IFERROR(VLOOKUP(B2101&amp;I2101&amp;Q2101,'New Weekly Paste'!A:M,8,0),VLOOKUP(B2101&amp;I2101&amp;Q2101,'New Weekly Paste'!B:O,10,0)),0)</f>
        <v>60.54</v>
      </c>
      <c r="L2101" s="239">
        <f t="shared" si="25"/>
        <v>1</v>
      </c>
      <c r="M2101" s="36" t="str">
        <f t="shared" si="3"/>
        <v>Regular Season</v>
      </c>
      <c r="N2101" s="239" t="str">
        <f t="shared" si="26"/>
        <v>KnardDawg</v>
      </c>
      <c r="O2101" s="6">
        <f>VLOOKUP(D2101,'Mapped Opponent'!$G$4:$H$22,2,0)</f>
        <v>8</v>
      </c>
      <c r="P2101" s="6"/>
      <c r="Q2101" s="6" t="str">
        <f t="shared" si="4"/>
        <v>Week 8</v>
      </c>
      <c r="R2101" s="6" t="str">
        <f t="shared" si="5"/>
        <v>2021Week 8</v>
      </c>
      <c r="S2101" s="6">
        <f>IFERROR(__xludf.DUMMYFUNCTION("rank(J2101,FILTER(J:J,R:R=R2101))"),5.0)</f>
        <v>5</v>
      </c>
      <c r="T2101" s="6">
        <f t="shared" si="6"/>
        <v>7</v>
      </c>
      <c r="U2101" s="6">
        <f t="shared" si="7"/>
        <v>5</v>
      </c>
      <c r="V2101" s="42">
        <f>averageif(AllData!A:A,B2101,AllData!R:R)/vlookup(B2101,AllData!A:O,15,0)</f>
        <v>94.5352381</v>
      </c>
      <c r="W2101" s="6"/>
    </row>
    <row r="2102" ht="14.25" customHeight="1">
      <c r="A2102" s="6" t="str">
        <f t="shared" si="1"/>
        <v>2021Hudspeath9</v>
      </c>
      <c r="B2102" s="59">
        <v>2021.0</v>
      </c>
      <c r="C2102" s="13" t="s">
        <v>39</v>
      </c>
      <c r="D2102" s="13" t="s">
        <v>147</v>
      </c>
      <c r="E2102" s="34"/>
      <c r="F2102" s="6"/>
      <c r="H2102" s="6"/>
      <c r="I2102" s="35" t="str">
        <f>IFERROR(IFERROR(IFERROR(VLOOKUP(B2102&amp;C2102&amp;Q2102,'New Weekly Paste'!A:M,10,0),VLOOKUP(B2102&amp;C2102&amp;Q2102,'New Weekly Paste'!B:O,6,0)),""),"")</f>
        <v>Pierson</v>
      </c>
      <c r="J2102" s="259">
        <f>IFERROR(IFERROR(VLOOKUP(B2102&amp;C2102&amp;Q2102,'New Weekly Paste'!A:M,8,0),VLOOKUP(B2102&amp;C2102&amp;Q2102,'New Weekly Paste'!B:O,10,0)),0)</f>
        <v>78.8</v>
      </c>
      <c r="K2102" s="259">
        <f>IFERROR(IFERROR(VLOOKUP(B2102&amp;I2102&amp;Q2102,'New Weekly Paste'!A:M,8,0),VLOOKUP(B2102&amp;I2102&amp;Q2102,'New Weekly Paste'!B:O,10,0)),0)</f>
        <v>69.4</v>
      </c>
      <c r="L2102" s="239">
        <f t="shared" si="25"/>
        <v>1</v>
      </c>
      <c r="M2102" s="36" t="str">
        <f t="shared" si="3"/>
        <v>Regular Season</v>
      </c>
      <c r="N2102" s="239" t="str">
        <f t="shared" si="26"/>
        <v>Pierson</v>
      </c>
      <c r="O2102" s="6">
        <f>VLOOKUP(D2102,'Mapped Opponent'!$G$4:$H$22,2,0)</f>
        <v>9</v>
      </c>
      <c r="P2102" s="6"/>
      <c r="Q2102" s="6" t="str">
        <f t="shared" si="4"/>
        <v>Week 9</v>
      </c>
      <c r="R2102" s="6" t="str">
        <f t="shared" si="5"/>
        <v>2021Week 9</v>
      </c>
      <c r="S2102" s="6">
        <f>IFERROR(__xludf.DUMMYFUNCTION("rank(J2102,FILTER(J:J,R:R=R2102))"),5.0)</f>
        <v>5</v>
      </c>
      <c r="T2102" s="6">
        <f t="shared" si="6"/>
        <v>7</v>
      </c>
      <c r="U2102" s="6">
        <f t="shared" si="7"/>
        <v>5</v>
      </c>
      <c r="V2102" s="42">
        <f>averageif(AllData!A:A,B2102,AllData!R:R)/vlookup(B2102,AllData!A:O,15,0)</f>
        <v>94.5352381</v>
      </c>
      <c r="W2102" s="6"/>
    </row>
    <row r="2103" ht="14.25" customHeight="1">
      <c r="A2103" s="6" t="str">
        <f t="shared" si="1"/>
        <v>2021Salty9</v>
      </c>
      <c r="B2103" s="59">
        <v>2021.0</v>
      </c>
      <c r="C2103" s="13" t="s">
        <v>76</v>
      </c>
      <c r="D2103" s="13" t="s">
        <v>147</v>
      </c>
      <c r="E2103" s="34"/>
      <c r="F2103" s="6"/>
      <c r="H2103" s="6"/>
      <c r="I2103" s="35" t="str">
        <f>IFERROR(IFERROR(IFERROR(VLOOKUP(B2103&amp;C2103&amp;Q2103,'New Weekly Paste'!A:M,10,0),VLOOKUP(B2103&amp;C2103&amp;Q2103,'New Weekly Paste'!B:O,6,0)),""),"")</f>
        <v>Riley</v>
      </c>
      <c r="J2103" s="259">
        <f>IFERROR(IFERROR(VLOOKUP(B2103&amp;C2103&amp;Q2103,'New Weekly Paste'!A:M,8,0),VLOOKUP(B2103&amp;C2103&amp;Q2103,'New Weekly Paste'!B:O,10,0)),0)</f>
        <v>65.66</v>
      </c>
      <c r="K2103" s="259">
        <f>IFERROR(IFERROR(VLOOKUP(B2103&amp;I2103&amp;Q2103,'New Weekly Paste'!A:M,8,0),VLOOKUP(B2103&amp;I2103&amp;Q2103,'New Weekly Paste'!B:O,10,0)),0)</f>
        <v>102.88</v>
      </c>
      <c r="L2103" s="239">
        <f t="shared" si="25"/>
        <v>0</v>
      </c>
      <c r="M2103" s="36" t="str">
        <f t="shared" si="3"/>
        <v>Regular Season</v>
      </c>
      <c r="N2103" s="239" t="str">
        <f t="shared" si="26"/>
        <v>Riley</v>
      </c>
      <c r="O2103" s="6">
        <f>VLOOKUP(D2103,'Mapped Opponent'!$G$4:$H$22,2,0)</f>
        <v>9</v>
      </c>
      <c r="P2103" s="6"/>
      <c r="Q2103" s="6" t="str">
        <f t="shared" si="4"/>
        <v>Week 9</v>
      </c>
      <c r="R2103" s="6" t="str">
        <f t="shared" si="5"/>
        <v>2021Week 9</v>
      </c>
      <c r="S2103" s="6">
        <f>IFERROR(__xludf.DUMMYFUNCTION("rank(J2103,FILTER(J:J,R:R=R2103))"),10.0)</f>
        <v>10</v>
      </c>
      <c r="T2103" s="6">
        <f t="shared" si="6"/>
        <v>2</v>
      </c>
      <c r="U2103" s="6">
        <f t="shared" si="7"/>
        <v>10</v>
      </c>
      <c r="V2103" s="42">
        <f>averageif(AllData!A:A,B2103,AllData!R:R)/vlookup(B2103,AllData!A:O,15,0)</f>
        <v>94.5352381</v>
      </c>
      <c r="W2103" s="6"/>
    </row>
    <row r="2104" ht="14.25" customHeight="1">
      <c r="A2104" s="6" t="str">
        <f t="shared" si="1"/>
        <v>2021Fellows9</v>
      </c>
      <c r="B2104" s="59">
        <v>2021.0</v>
      </c>
      <c r="C2104" s="13" t="s">
        <v>79</v>
      </c>
      <c r="D2104" s="13" t="s">
        <v>147</v>
      </c>
      <c r="E2104" s="34"/>
      <c r="F2104" s="6"/>
      <c r="H2104" s="6"/>
      <c r="I2104" s="35" t="str">
        <f>IFERROR(IFERROR(IFERROR(VLOOKUP(B2104&amp;C2104&amp;Q2104,'New Weekly Paste'!A:M,10,0),VLOOKUP(B2104&amp;C2104&amp;Q2104,'New Weekly Paste'!B:O,6,0)),""),"")</f>
        <v>Tayski</v>
      </c>
      <c r="J2104" s="259">
        <f>IFERROR(IFERROR(VLOOKUP(B2104&amp;C2104&amp;Q2104,'New Weekly Paste'!A:M,8,0),VLOOKUP(B2104&amp;C2104&amp;Q2104,'New Weekly Paste'!B:O,10,0)),0)</f>
        <v>60.32</v>
      </c>
      <c r="K2104" s="259">
        <f>IFERROR(IFERROR(VLOOKUP(B2104&amp;I2104&amp;Q2104,'New Weekly Paste'!A:M,8,0),VLOOKUP(B2104&amp;I2104&amp;Q2104,'New Weekly Paste'!B:O,10,0)),0)</f>
        <v>71.46</v>
      </c>
      <c r="L2104" s="239">
        <f t="shared" si="25"/>
        <v>0</v>
      </c>
      <c r="M2104" s="36" t="str">
        <f t="shared" si="3"/>
        <v>Regular Season</v>
      </c>
      <c r="N2104" s="239" t="str">
        <f t="shared" si="26"/>
        <v>Tayski</v>
      </c>
      <c r="O2104" s="6">
        <f>VLOOKUP(D2104,'Mapped Opponent'!$G$4:$H$22,2,0)</f>
        <v>9</v>
      </c>
      <c r="P2104" s="6"/>
      <c r="Q2104" s="6" t="str">
        <f t="shared" si="4"/>
        <v>Week 9</v>
      </c>
      <c r="R2104" s="6" t="str">
        <f t="shared" si="5"/>
        <v>2021Week 9</v>
      </c>
      <c r="S2104" s="6">
        <f>IFERROR(__xludf.DUMMYFUNCTION("rank(J2104,FILTER(J:J,R:R=R2104))"),11.0)</f>
        <v>11</v>
      </c>
      <c r="T2104" s="6">
        <f t="shared" si="6"/>
        <v>1</v>
      </c>
      <c r="U2104" s="6">
        <f t="shared" si="7"/>
        <v>11</v>
      </c>
      <c r="V2104" s="42">
        <f>averageif(AllData!A:A,B2104,AllData!R:R)/vlookup(B2104,AllData!A:O,15,0)</f>
        <v>94.5352381</v>
      </c>
      <c r="W2104" s="6"/>
    </row>
    <row r="2105" ht="14.25" customHeight="1">
      <c r="A2105" s="6" t="str">
        <f t="shared" si="1"/>
        <v>2021Shep9</v>
      </c>
      <c r="B2105" s="59">
        <v>2021.0</v>
      </c>
      <c r="C2105" s="13" t="s">
        <v>89</v>
      </c>
      <c r="D2105" s="13" t="s">
        <v>147</v>
      </c>
      <c r="E2105" s="34"/>
      <c r="F2105" s="6"/>
      <c r="H2105" s="6"/>
      <c r="I2105" s="35" t="str">
        <f>IFERROR(IFERROR(IFERROR(VLOOKUP(B2105&amp;C2105&amp;Q2105,'New Weekly Paste'!A:M,10,0),VLOOKUP(B2105&amp;C2105&amp;Q2105,'New Weekly Paste'!B:O,6,0)),""),"")</f>
        <v>Buser</v>
      </c>
      <c r="J2105" s="259">
        <f>IFERROR(IFERROR(VLOOKUP(B2105&amp;C2105&amp;Q2105,'New Weekly Paste'!A:M,8,0),VLOOKUP(B2105&amp;C2105&amp;Q2105,'New Weekly Paste'!B:O,10,0)),0)</f>
        <v>115.64</v>
      </c>
      <c r="K2105" s="259">
        <f>IFERROR(IFERROR(VLOOKUP(B2105&amp;I2105&amp;Q2105,'New Weekly Paste'!A:M,8,0),VLOOKUP(B2105&amp;I2105&amp;Q2105,'New Weekly Paste'!B:O,10,0)),0)</f>
        <v>129.34</v>
      </c>
      <c r="L2105" s="239">
        <f t="shared" si="25"/>
        <v>0</v>
      </c>
      <c r="M2105" s="36" t="str">
        <f t="shared" si="3"/>
        <v>Regular Season</v>
      </c>
      <c r="N2105" s="239" t="str">
        <f t="shared" si="26"/>
        <v>Buser</v>
      </c>
      <c r="O2105" s="6">
        <f>VLOOKUP(D2105,'Mapped Opponent'!$G$4:$H$22,2,0)</f>
        <v>9</v>
      </c>
      <c r="P2105" s="6"/>
      <c r="Q2105" s="6" t="str">
        <f t="shared" si="4"/>
        <v>Week 9</v>
      </c>
      <c r="R2105" s="6" t="str">
        <f t="shared" si="5"/>
        <v>2021Week 9</v>
      </c>
      <c r="S2105" s="6">
        <f>IFERROR(__xludf.DUMMYFUNCTION("rank(J2105,FILTER(J:J,R:R=R2105))"),2.0)</f>
        <v>2</v>
      </c>
      <c r="T2105" s="6">
        <f t="shared" si="6"/>
        <v>10</v>
      </c>
      <c r="U2105" s="6">
        <f t="shared" si="7"/>
        <v>2</v>
      </c>
      <c r="V2105" s="42">
        <f>averageif(AllData!A:A,B2105,AllData!R:R)/vlookup(B2105,AllData!A:O,15,0)</f>
        <v>94.5352381</v>
      </c>
      <c r="W2105" s="6"/>
    </row>
    <row r="2106" ht="14.25" customHeight="1">
      <c r="A2106" s="6" t="str">
        <f t="shared" si="1"/>
        <v>2021Riley9</v>
      </c>
      <c r="B2106" s="59">
        <v>2021.0</v>
      </c>
      <c r="C2106" s="13" t="s">
        <v>67</v>
      </c>
      <c r="D2106" s="13" t="s">
        <v>147</v>
      </c>
      <c r="E2106" s="34"/>
      <c r="F2106" s="6"/>
      <c r="H2106" s="6"/>
      <c r="I2106" s="35" t="str">
        <f>IFERROR(IFERROR(IFERROR(VLOOKUP(B2106&amp;C2106&amp;Q2106,'New Weekly Paste'!A:M,10,0),VLOOKUP(B2106&amp;C2106&amp;Q2106,'New Weekly Paste'!B:O,6,0)),""),"")</f>
        <v>Salty</v>
      </c>
      <c r="J2106" s="259">
        <f>IFERROR(IFERROR(VLOOKUP(B2106&amp;C2106&amp;Q2106,'New Weekly Paste'!A:M,8,0),VLOOKUP(B2106&amp;C2106&amp;Q2106,'New Weekly Paste'!B:O,10,0)),0)</f>
        <v>102.88</v>
      </c>
      <c r="K2106" s="259">
        <f>IFERROR(IFERROR(VLOOKUP(B2106&amp;I2106&amp;Q2106,'New Weekly Paste'!A:M,8,0),VLOOKUP(B2106&amp;I2106&amp;Q2106,'New Weekly Paste'!B:O,10,0)),0)</f>
        <v>65.66</v>
      </c>
      <c r="L2106" s="239">
        <f t="shared" si="25"/>
        <v>1</v>
      </c>
      <c r="M2106" s="36" t="str">
        <f t="shared" si="3"/>
        <v>Regular Season</v>
      </c>
      <c r="N2106" s="239" t="str">
        <f t="shared" si="26"/>
        <v>Salty</v>
      </c>
      <c r="O2106" s="6">
        <f>VLOOKUP(D2106,'Mapped Opponent'!$G$4:$H$22,2,0)</f>
        <v>9</v>
      </c>
      <c r="P2106" s="6"/>
      <c r="Q2106" s="6" t="str">
        <f t="shared" si="4"/>
        <v>Week 9</v>
      </c>
      <c r="R2106" s="6" t="str">
        <f t="shared" si="5"/>
        <v>2021Week 9</v>
      </c>
      <c r="S2106" s="6">
        <f>IFERROR(__xludf.DUMMYFUNCTION("rank(J2106,FILTER(J:J,R:R=R2106))"),3.0)</f>
        <v>3</v>
      </c>
      <c r="T2106" s="6">
        <f t="shared" si="6"/>
        <v>9</v>
      </c>
      <c r="U2106" s="6">
        <f t="shared" si="7"/>
        <v>3</v>
      </c>
      <c r="V2106" s="42">
        <f>averageif(AllData!A:A,B2106,AllData!R:R)/vlookup(B2106,AllData!A:O,15,0)</f>
        <v>94.5352381</v>
      </c>
      <c r="W2106" s="6"/>
    </row>
    <row r="2107" ht="14.25" customHeight="1">
      <c r="A2107" s="6" t="str">
        <f t="shared" si="1"/>
        <v>2021Rooney/Jackson9</v>
      </c>
      <c r="B2107" s="59">
        <v>2021.0</v>
      </c>
      <c r="C2107" s="13" t="s">
        <v>57</v>
      </c>
      <c r="D2107" s="13" t="s">
        <v>147</v>
      </c>
      <c r="E2107" s="34"/>
      <c r="F2107" s="6"/>
      <c r="H2107" s="6"/>
      <c r="I2107" s="35" t="str">
        <f>IFERROR(IFERROR(IFERROR(VLOOKUP(B2107&amp;C2107&amp;Q2107,'New Weekly Paste'!A:M,10,0),VLOOKUP(B2107&amp;C2107&amp;Q2107,'New Weekly Paste'!B:O,6,0)),""),"")</f>
        <v>T-How</v>
      </c>
      <c r="J2107" s="259">
        <f>IFERROR(IFERROR(VLOOKUP(B2107&amp;C2107&amp;Q2107,'New Weekly Paste'!A:M,8,0),VLOOKUP(B2107&amp;C2107&amp;Q2107,'New Weekly Paste'!B:O,10,0)),0)</f>
        <v>72.54</v>
      </c>
      <c r="K2107" s="259">
        <f>IFERROR(IFERROR(VLOOKUP(B2107&amp;I2107&amp;Q2107,'New Weekly Paste'!A:M,8,0),VLOOKUP(B2107&amp;I2107&amp;Q2107,'New Weekly Paste'!B:O,10,0)),0)</f>
        <v>69.04</v>
      </c>
      <c r="L2107" s="239">
        <f t="shared" si="25"/>
        <v>1</v>
      </c>
      <c r="M2107" s="36" t="str">
        <f t="shared" si="3"/>
        <v>Regular Season</v>
      </c>
      <c r="N2107" s="239" t="str">
        <f t="shared" si="26"/>
        <v>T-How</v>
      </c>
      <c r="O2107" s="6">
        <f>VLOOKUP(D2107,'Mapped Opponent'!$G$4:$H$22,2,0)</f>
        <v>9</v>
      </c>
      <c r="P2107" s="6"/>
      <c r="Q2107" s="6" t="str">
        <f t="shared" si="4"/>
        <v>Week 9</v>
      </c>
      <c r="R2107" s="6" t="str">
        <f t="shared" si="5"/>
        <v>2021Week 9</v>
      </c>
      <c r="S2107" s="6">
        <f>IFERROR(__xludf.DUMMYFUNCTION("rank(J2107,FILTER(J:J,R:R=R2107))"),6.0)</f>
        <v>6</v>
      </c>
      <c r="T2107" s="6">
        <f t="shared" si="6"/>
        <v>6</v>
      </c>
      <c r="U2107" s="6">
        <f t="shared" si="7"/>
        <v>6</v>
      </c>
      <c r="V2107" s="42">
        <f>averageif(AllData!A:A,B2107,AllData!R:R)/vlookup(B2107,AllData!A:O,15,0)</f>
        <v>94.5352381</v>
      </c>
      <c r="W2107" s="6"/>
    </row>
    <row r="2108" ht="14.25" customHeight="1">
      <c r="A2108" s="6" t="str">
        <f t="shared" si="1"/>
        <v>2021Buser9</v>
      </c>
      <c r="B2108" s="59">
        <v>2021.0</v>
      </c>
      <c r="C2108" s="13" t="s">
        <v>47</v>
      </c>
      <c r="D2108" s="13" t="s">
        <v>147</v>
      </c>
      <c r="E2108" s="34"/>
      <c r="F2108" s="6"/>
      <c r="H2108" s="6"/>
      <c r="I2108" s="35" t="str">
        <f>IFERROR(IFERROR(IFERROR(VLOOKUP(B2108&amp;C2108&amp;Q2108,'New Weekly Paste'!A:M,10,0),VLOOKUP(B2108&amp;C2108&amp;Q2108,'New Weekly Paste'!B:O,6,0)),""),"")</f>
        <v>Shep</v>
      </c>
      <c r="J2108" s="259">
        <f>IFERROR(IFERROR(VLOOKUP(B2108&amp;C2108&amp;Q2108,'New Weekly Paste'!A:M,8,0),VLOOKUP(B2108&amp;C2108&amp;Q2108,'New Weekly Paste'!B:O,10,0)),0)</f>
        <v>129.34</v>
      </c>
      <c r="K2108" s="259">
        <f>IFERROR(IFERROR(VLOOKUP(B2108&amp;I2108&amp;Q2108,'New Weekly Paste'!A:M,8,0),VLOOKUP(B2108&amp;I2108&amp;Q2108,'New Weekly Paste'!B:O,10,0)),0)</f>
        <v>115.64</v>
      </c>
      <c r="L2108" s="239">
        <f t="shared" si="25"/>
        <v>1</v>
      </c>
      <c r="M2108" s="36" t="str">
        <f t="shared" si="3"/>
        <v>Regular Season</v>
      </c>
      <c r="N2108" s="239" t="str">
        <f t="shared" si="26"/>
        <v>Shep</v>
      </c>
      <c r="O2108" s="6">
        <f>VLOOKUP(D2108,'Mapped Opponent'!$G$4:$H$22,2,0)</f>
        <v>9</v>
      </c>
      <c r="P2108" s="6"/>
      <c r="Q2108" s="6" t="str">
        <f t="shared" si="4"/>
        <v>Week 9</v>
      </c>
      <c r="R2108" s="6" t="str">
        <f t="shared" si="5"/>
        <v>2021Week 9</v>
      </c>
      <c r="S2108" s="6">
        <f>IFERROR(__xludf.DUMMYFUNCTION("rank(J2108,FILTER(J:J,R:R=R2108))"),1.0)</f>
        <v>1</v>
      </c>
      <c r="T2108" s="6">
        <f t="shared" si="6"/>
        <v>11</v>
      </c>
      <c r="U2108" s="6">
        <f t="shared" si="7"/>
        <v>1</v>
      </c>
      <c r="V2108" s="42">
        <f>averageif(AllData!A:A,B2108,AllData!R:R)/vlookup(B2108,AllData!A:O,15,0)</f>
        <v>94.5352381</v>
      </c>
      <c r="W2108" s="6"/>
    </row>
    <row r="2109" ht="14.25" customHeight="1">
      <c r="A2109" s="6" t="str">
        <f t="shared" si="1"/>
        <v>2021Pierson9</v>
      </c>
      <c r="B2109" s="59">
        <v>2021.0</v>
      </c>
      <c r="C2109" s="13" t="s">
        <v>92</v>
      </c>
      <c r="D2109" s="13" t="s">
        <v>147</v>
      </c>
      <c r="E2109" s="34"/>
      <c r="F2109" s="6"/>
      <c r="H2109" s="6"/>
      <c r="I2109" s="35" t="str">
        <f>IFERROR(IFERROR(IFERROR(VLOOKUP(B2109&amp;C2109&amp;Q2109,'New Weekly Paste'!A:M,10,0),VLOOKUP(B2109&amp;C2109&amp;Q2109,'New Weekly Paste'!B:O,6,0)),""),"")</f>
        <v>Hudspeath</v>
      </c>
      <c r="J2109" s="259">
        <f>IFERROR(IFERROR(VLOOKUP(B2109&amp;C2109&amp;Q2109,'New Weekly Paste'!A:M,8,0),VLOOKUP(B2109&amp;C2109&amp;Q2109,'New Weekly Paste'!B:O,10,0)),0)</f>
        <v>69.4</v>
      </c>
      <c r="K2109" s="259">
        <f>IFERROR(IFERROR(VLOOKUP(B2109&amp;I2109&amp;Q2109,'New Weekly Paste'!A:M,8,0),VLOOKUP(B2109&amp;I2109&amp;Q2109,'New Weekly Paste'!B:O,10,0)),0)</f>
        <v>78.8</v>
      </c>
      <c r="L2109" s="239">
        <f t="shared" si="25"/>
        <v>0</v>
      </c>
      <c r="M2109" s="36" t="str">
        <f t="shared" si="3"/>
        <v>Regular Season</v>
      </c>
      <c r="N2109" s="239" t="str">
        <f t="shared" si="26"/>
        <v>Hudspeath</v>
      </c>
      <c r="O2109" s="6">
        <f>VLOOKUP(D2109,'Mapped Opponent'!$G$4:$H$22,2,0)</f>
        <v>9</v>
      </c>
      <c r="P2109" s="6"/>
      <c r="Q2109" s="6" t="str">
        <f t="shared" si="4"/>
        <v>Week 9</v>
      </c>
      <c r="R2109" s="6" t="str">
        <f t="shared" si="5"/>
        <v>2021Week 9</v>
      </c>
      <c r="S2109" s="6">
        <f>IFERROR(__xludf.DUMMYFUNCTION("rank(J2109,FILTER(J:J,R:R=R2109))"),8.0)</f>
        <v>8</v>
      </c>
      <c r="T2109" s="6">
        <f t="shared" si="6"/>
        <v>4</v>
      </c>
      <c r="U2109" s="6">
        <f t="shared" si="7"/>
        <v>8</v>
      </c>
      <c r="V2109" s="42">
        <f>averageif(AllData!A:A,B2109,AllData!R:R)/vlookup(B2109,AllData!A:O,15,0)</f>
        <v>94.5352381</v>
      </c>
      <c r="W2109" s="6"/>
    </row>
    <row r="2110" ht="14.25" customHeight="1">
      <c r="A2110" s="6" t="str">
        <f t="shared" si="1"/>
        <v>2021Cock9</v>
      </c>
      <c r="B2110" s="59">
        <v>2021.0</v>
      </c>
      <c r="C2110" s="13" t="s">
        <v>72</v>
      </c>
      <c r="D2110" s="13" t="s">
        <v>147</v>
      </c>
      <c r="E2110" s="34"/>
      <c r="F2110" s="6"/>
      <c r="H2110" s="6"/>
      <c r="I2110" s="35" t="str">
        <f>IFERROR(IFERROR(IFERROR(VLOOKUP(B2110&amp;C2110&amp;Q2110,'New Weekly Paste'!A:M,10,0),VLOOKUP(B2110&amp;C2110&amp;Q2110,'New Weekly Paste'!B:O,6,0)),""),"")</f>
        <v>KnardDawg</v>
      </c>
      <c r="J2110" s="259">
        <f>IFERROR(IFERROR(VLOOKUP(B2110&amp;C2110&amp;Q2110,'New Weekly Paste'!A:M,8,0),VLOOKUP(B2110&amp;C2110&amp;Q2110,'New Weekly Paste'!B:O,10,0)),0)</f>
        <v>58.28</v>
      </c>
      <c r="K2110" s="259">
        <f>IFERROR(IFERROR(VLOOKUP(B2110&amp;I2110&amp;Q2110,'New Weekly Paste'!A:M,8,0),VLOOKUP(B2110&amp;I2110&amp;Q2110,'New Weekly Paste'!B:O,10,0)),0)</f>
        <v>87.32</v>
      </c>
      <c r="L2110" s="239">
        <f t="shared" si="25"/>
        <v>0</v>
      </c>
      <c r="M2110" s="36" t="str">
        <f t="shared" si="3"/>
        <v>Regular Season</v>
      </c>
      <c r="N2110" s="239" t="str">
        <f t="shared" si="26"/>
        <v>KnardDawg</v>
      </c>
      <c r="O2110" s="6">
        <f>VLOOKUP(D2110,'Mapped Opponent'!$G$4:$H$22,2,0)</f>
        <v>9</v>
      </c>
      <c r="P2110" s="6"/>
      <c r="Q2110" s="6" t="str">
        <f t="shared" si="4"/>
        <v>Week 9</v>
      </c>
      <c r="R2110" s="6" t="str">
        <f t="shared" si="5"/>
        <v>2021Week 9</v>
      </c>
      <c r="S2110" s="6">
        <f>IFERROR(__xludf.DUMMYFUNCTION("rank(J2110,FILTER(J:J,R:R=R2110))"),12.0)</f>
        <v>12</v>
      </c>
      <c r="T2110" s="6">
        <f t="shared" si="6"/>
        <v>0</v>
      </c>
      <c r="U2110" s="6">
        <f t="shared" si="7"/>
        <v>12</v>
      </c>
      <c r="V2110" s="42">
        <f>averageif(AllData!A:A,B2110,AllData!R:R)/vlookup(B2110,AllData!A:O,15,0)</f>
        <v>94.5352381</v>
      </c>
      <c r="W2110" s="6"/>
    </row>
    <row r="2111" ht="14.25" customHeight="1">
      <c r="A2111" s="6" t="str">
        <f t="shared" si="1"/>
        <v>2021Tayski9</v>
      </c>
      <c r="B2111" s="59">
        <v>2021.0</v>
      </c>
      <c r="C2111" s="13" t="s">
        <v>52</v>
      </c>
      <c r="D2111" s="13" t="s">
        <v>147</v>
      </c>
      <c r="E2111" s="34"/>
      <c r="F2111" s="6"/>
      <c r="H2111" s="6"/>
      <c r="I2111" s="35" t="str">
        <f>IFERROR(IFERROR(IFERROR(VLOOKUP(B2111&amp;C2111&amp;Q2111,'New Weekly Paste'!A:M,10,0),VLOOKUP(B2111&amp;C2111&amp;Q2111,'New Weekly Paste'!B:O,6,0)),""),"")</f>
        <v>Fellows</v>
      </c>
      <c r="J2111" s="259">
        <f>IFERROR(IFERROR(VLOOKUP(B2111&amp;C2111&amp;Q2111,'New Weekly Paste'!A:M,8,0),VLOOKUP(B2111&amp;C2111&amp;Q2111,'New Weekly Paste'!B:O,10,0)),0)</f>
        <v>71.46</v>
      </c>
      <c r="K2111" s="259">
        <f>IFERROR(IFERROR(VLOOKUP(B2111&amp;I2111&amp;Q2111,'New Weekly Paste'!A:M,8,0),VLOOKUP(B2111&amp;I2111&amp;Q2111,'New Weekly Paste'!B:O,10,0)),0)</f>
        <v>60.32</v>
      </c>
      <c r="L2111" s="239">
        <f t="shared" si="25"/>
        <v>1</v>
      </c>
      <c r="M2111" s="36" t="str">
        <f t="shared" si="3"/>
        <v>Regular Season</v>
      </c>
      <c r="N2111" s="239" t="str">
        <f t="shared" si="26"/>
        <v>Fellows</v>
      </c>
      <c r="O2111" s="6">
        <f>VLOOKUP(D2111,'Mapped Opponent'!$G$4:$H$22,2,0)</f>
        <v>9</v>
      </c>
      <c r="P2111" s="6"/>
      <c r="Q2111" s="6" t="str">
        <f t="shared" si="4"/>
        <v>Week 9</v>
      </c>
      <c r="R2111" s="6" t="str">
        <f t="shared" si="5"/>
        <v>2021Week 9</v>
      </c>
      <c r="S2111" s="6">
        <f>IFERROR(__xludf.DUMMYFUNCTION("rank(J2111,FILTER(J:J,R:R=R2111))"),7.0)</f>
        <v>7</v>
      </c>
      <c r="T2111" s="6">
        <f t="shared" si="6"/>
        <v>5</v>
      </c>
      <c r="U2111" s="6">
        <f t="shared" si="7"/>
        <v>7</v>
      </c>
      <c r="V2111" s="42">
        <f>averageif(AllData!A:A,B2111,AllData!R:R)/vlookup(B2111,AllData!A:O,15,0)</f>
        <v>94.5352381</v>
      </c>
      <c r="W2111" s="6"/>
    </row>
    <row r="2112" ht="14.25" customHeight="1">
      <c r="A2112" s="6" t="str">
        <f t="shared" si="1"/>
        <v>2021KnardDawg9</v>
      </c>
      <c r="B2112" s="59">
        <v>2021.0</v>
      </c>
      <c r="C2112" s="13" t="s">
        <v>86</v>
      </c>
      <c r="D2112" s="13" t="s">
        <v>147</v>
      </c>
      <c r="E2112" s="34"/>
      <c r="F2112" s="6"/>
      <c r="H2112" s="6"/>
      <c r="I2112" s="35" t="str">
        <f>IFERROR(IFERROR(IFERROR(VLOOKUP(B2112&amp;C2112&amp;Q2112,'New Weekly Paste'!A:M,10,0),VLOOKUP(B2112&amp;C2112&amp;Q2112,'New Weekly Paste'!B:O,6,0)),""),"")</f>
        <v>Cock</v>
      </c>
      <c r="J2112" s="259">
        <f>IFERROR(IFERROR(VLOOKUP(B2112&amp;C2112&amp;Q2112,'New Weekly Paste'!A:M,8,0),VLOOKUP(B2112&amp;C2112&amp;Q2112,'New Weekly Paste'!B:O,10,0)),0)</f>
        <v>87.32</v>
      </c>
      <c r="K2112" s="259">
        <f>IFERROR(IFERROR(VLOOKUP(B2112&amp;I2112&amp;Q2112,'New Weekly Paste'!A:M,8,0),VLOOKUP(B2112&amp;I2112&amp;Q2112,'New Weekly Paste'!B:O,10,0)),0)</f>
        <v>58.28</v>
      </c>
      <c r="L2112" s="239">
        <f t="shared" si="25"/>
        <v>1</v>
      </c>
      <c r="M2112" s="36" t="str">
        <f t="shared" si="3"/>
        <v>Regular Season</v>
      </c>
      <c r="N2112" s="239" t="str">
        <f t="shared" si="26"/>
        <v>Cock</v>
      </c>
      <c r="O2112" s="6">
        <f>VLOOKUP(D2112,'Mapped Opponent'!$G$4:$H$22,2,0)</f>
        <v>9</v>
      </c>
      <c r="P2112" s="6"/>
      <c r="Q2112" s="6" t="str">
        <f t="shared" si="4"/>
        <v>Week 9</v>
      </c>
      <c r="R2112" s="6" t="str">
        <f t="shared" si="5"/>
        <v>2021Week 9</v>
      </c>
      <c r="S2112" s="6">
        <f>IFERROR(__xludf.DUMMYFUNCTION("rank(J2112,FILTER(J:J,R:R=R2112))"),4.0)</f>
        <v>4</v>
      </c>
      <c r="T2112" s="6">
        <f t="shared" si="6"/>
        <v>8</v>
      </c>
      <c r="U2112" s="6">
        <f t="shared" si="7"/>
        <v>4</v>
      </c>
      <c r="V2112" s="42">
        <f>averageif(AllData!A:A,B2112,AllData!R:R)/vlookup(B2112,AllData!A:O,15,0)</f>
        <v>94.5352381</v>
      </c>
      <c r="W2112" s="6"/>
    </row>
    <row r="2113" ht="14.25" customHeight="1">
      <c r="A2113" s="6" t="str">
        <f t="shared" si="1"/>
        <v>2021T-How9</v>
      </c>
      <c r="B2113" s="59">
        <v>2021.0</v>
      </c>
      <c r="C2113" s="13" t="s">
        <v>82</v>
      </c>
      <c r="D2113" s="13" t="s">
        <v>147</v>
      </c>
      <c r="E2113" s="34"/>
      <c r="F2113" s="6"/>
      <c r="H2113" s="6"/>
      <c r="I2113" s="35" t="str">
        <f>IFERROR(IFERROR(IFERROR(VLOOKUP(B2113&amp;C2113&amp;Q2113,'New Weekly Paste'!A:M,10,0),VLOOKUP(B2113&amp;C2113&amp;Q2113,'New Weekly Paste'!B:O,6,0)),""),"")</f>
        <v>Rooney/Jackson</v>
      </c>
      <c r="J2113" s="259">
        <f>IFERROR(IFERROR(VLOOKUP(B2113&amp;C2113&amp;Q2113,'New Weekly Paste'!A:M,8,0),VLOOKUP(B2113&amp;C2113&amp;Q2113,'New Weekly Paste'!B:O,10,0)),0)</f>
        <v>69.04</v>
      </c>
      <c r="K2113" s="259">
        <f>IFERROR(IFERROR(VLOOKUP(B2113&amp;I2113&amp;Q2113,'New Weekly Paste'!A:M,8,0),VLOOKUP(B2113&amp;I2113&amp;Q2113,'New Weekly Paste'!B:O,10,0)),0)</f>
        <v>72.54</v>
      </c>
      <c r="L2113" s="239">
        <f t="shared" si="25"/>
        <v>0</v>
      </c>
      <c r="M2113" s="36" t="str">
        <f t="shared" si="3"/>
        <v>Regular Season</v>
      </c>
      <c r="N2113" s="239" t="str">
        <f t="shared" si="26"/>
        <v>Rooney/Jackson</v>
      </c>
      <c r="O2113" s="6">
        <f>VLOOKUP(D2113,'Mapped Opponent'!$G$4:$H$22,2,0)</f>
        <v>9</v>
      </c>
      <c r="P2113" s="6"/>
      <c r="Q2113" s="6" t="str">
        <f t="shared" si="4"/>
        <v>Week 9</v>
      </c>
      <c r="R2113" s="6" t="str">
        <f t="shared" si="5"/>
        <v>2021Week 9</v>
      </c>
      <c r="S2113" s="6">
        <f>IFERROR(__xludf.DUMMYFUNCTION("rank(J2113,FILTER(J:J,R:R=R2113))"),9.0)</f>
        <v>9</v>
      </c>
      <c r="T2113" s="6">
        <f t="shared" si="6"/>
        <v>3</v>
      </c>
      <c r="U2113" s="6">
        <f t="shared" si="7"/>
        <v>9</v>
      </c>
      <c r="V2113" s="42">
        <f>averageif(AllData!A:A,B2113,AllData!R:R)/vlookup(B2113,AllData!A:O,15,0)</f>
        <v>94.5352381</v>
      </c>
      <c r="W2113" s="6"/>
    </row>
    <row r="2114" ht="14.25" customHeight="1">
      <c r="A2114" s="6" t="str">
        <f t="shared" si="1"/>
        <v>2021Hudspeath14</v>
      </c>
      <c r="B2114" s="59">
        <v>2021.0</v>
      </c>
      <c r="C2114" s="13" t="s">
        <v>39</v>
      </c>
      <c r="D2114" s="13" t="s">
        <v>156</v>
      </c>
      <c r="E2114" s="34"/>
      <c r="F2114" s="6"/>
      <c r="H2114" s="6"/>
      <c r="I2114" s="35" t="str">
        <f>IFERROR(IFERROR(IFERROR(VLOOKUP(B2114&amp;C2114&amp;Q2114,'New Weekly Paste'!A:M,10,0),VLOOKUP(B2114&amp;C2114&amp;Q2114,'New Weekly Paste'!B:O,6,0)),""),"")</f>
        <v>Fellows</v>
      </c>
      <c r="J2114" s="259">
        <f>IFERROR(IFERROR(VLOOKUP(B2114&amp;C2114&amp;Q2114,'New Weekly Paste'!A:M,8,0),VLOOKUP(B2114&amp;C2114&amp;Q2114,'New Weekly Paste'!B:O,10,0)),0)</f>
        <v>84.84</v>
      </c>
      <c r="K2114" s="259">
        <f>IFERROR(IFERROR(VLOOKUP(B2114&amp;I2114&amp;Q2114,'New Weekly Paste'!A:M,8,0),VLOOKUP(B2114&amp;I2114&amp;Q2114,'New Weekly Paste'!B:O,10,0)),0)</f>
        <v>112.8</v>
      </c>
      <c r="L2114" s="239">
        <f t="shared" si="25"/>
        <v>0</v>
      </c>
      <c r="M2114" s="36" t="str">
        <f t="shared" si="3"/>
        <v>Regular Season</v>
      </c>
      <c r="N2114" s="239" t="str">
        <f t="shared" si="26"/>
        <v>Fellows</v>
      </c>
      <c r="O2114" s="6">
        <f>VLOOKUP(D2114,'Mapped Opponent'!$G$4:$H$22,2,0)</f>
        <v>14</v>
      </c>
      <c r="P2114" s="6"/>
      <c r="Q2114" s="6" t="str">
        <f t="shared" si="4"/>
        <v>Week 14</v>
      </c>
      <c r="R2114" s="6" t="str">
        <f t="shared" si="5"/>
        <v>2021Week 14</v>
      </c>
      <c r="S2114" s="6">
        <f>IFERROR(__xludf.DUMMYFUNCTION("rank(J2114,FILTER(J:J,R:R=R2114))"),10.0)</f>
        <v>10</v>
      </c>
      <c r="T2114" s="6">
        <f t="shared" si="6"/>
        <v>2</v>
      </c>
      <c r="U2114" s="6">
        <f t="shared" si="7"/>
        <v>10</v>
      </c>
      <c r="V2114" s="42">
        <f>averageif(AllData!A:A,B2114,AllData!R:R)/vlookup(B2114,AllData!A:O,15,0)</f>
        <v>94.5352381</v>
      </c>
      <c r="W2114" s="6"/>
    </row>
    <row r="2115" ht="14.25" customHeight="1">
      <c r="A2115" s="6" t="str">
        <f t="shared" si="1"/>
        <v>2021Salty14</v>
      </c>
      <c r="B2115" s="59">
        <v>2021.0</v>
      </c>
      <c r="C2115" s="13" t="s">
        <v>76</v>
      </c>
      <c r="D2115" s="13" t="s">
        <v>156</v>
      </c>
      <c r="E2115" s="34"/>
      <c r="F2115" s="6"/>
      <c r="H2115" s="6"/>
      <c r="I2115" s="35" t="str">
        <f>IFERROR(IFERROR(IFERROR(VLOOKUP(B2115&amp;C2115&amp;Q2115,'New Weekly Paste'!A:M,10,0),VLOOKUP(B2115&amp;C2115&amp;Q2115,'New Weekly Paste'!B:O,6,0)),""),"")</f>
        <v>T-How</v>
      </c>
      <c r="J2115" s="259">
        <f>IFERROR(IFERROR(VLOOKUP(B2115&amp;C2115&amp;Q2115,'New Weekly Paste'!A:M,8,0),VLOOKUP(B2115&amp;C2115&amp;Q2115,'New Weekly Paste'!B:O,10,0)),0)</f>
        <v>119.92</v>
      </c>
      <c r="K2115" s="259">
        <f>IFERROR(IFERROR(VLOOKUP(B2115&amp;I2115&amp;Q2115,'New Weekly Paste'!A:M,8,0),VLOOKUP(B2115&amp;I2115&amp;Q2115,'New Weekly Paste'!B:O,10,0)),0)</f>
        <v>91.22</v>
      </c>
      <c r="L2115" s="239">
        <f t="shared" si="25"/>
        <v>1</v>
      </c>
      <c r="M2115" s="36" t="str">
        <f t="shared" si="3"/>
        <v>Regular Season</v>
      </c>
      <c r="N2115" s="239" t="str">
        <f t="shared" si="26"/>
        <v>T-How</v>
      </c>
      <c r="O2115" s="6">
        <f>VLOOKUP(D2115,'Mapped Opponent'!$G$4:$H$22,2,0)</f>
        <v>14</v>
      </c>
      <c r="P2115" s="6"/>
      <c r="Q2115" s="6" t="str">
        <f t="shared" si="4"/>
        <v>Week 14</v>
      </c>
      <c r="R2115" s="6" t="str">
        <f t="shared" si="5"/>
        <v>2021Week 14</v>
      </c>
      <c r="S2115" s="6">
        <f>IFERROR(__xludf.DUMMYFUNCTION("rank(J2115,FILTER(J:J,R:R=R2115))"),2.0)</f>
        <v>2</v>
      </c>
      <c r="T2115" s="6">
        <f t="shared" si="6"/>
        <v>10</v>
      </c>
      <c r="U2115" s="6">
        <f t="shared" si="7"/>
        <v>2</v>
      </c>
      <c r="V2115" s="42">
        <f>averageif(AllData!A:A,B2115,AllData!R:R)/vlookup(B2115,AllData!A:O,15,0)</f>
        <v>94.5352381</v>
      </c>
      <c r="W2115" s="6"/>
    </row>
    <row r="2116" ht="14.25" customHeight="1">
      <c r="A2116" s="6" t="str">
        <f t="shared" si="1"/>
        <v>2021Fellows14</v>
      </c>
      <c r="B2116" s="59">
        <v>2021.0</v>
      </c>
      <c r="C2116" s="13" t="s">
        <v>79</v>
      </c>
      <c r="D2116" s="13" t="s">
        <v>156</v>
      </c>
      <c r="E2116" s="34"/>
      <c r="F2116" s="6"/>
      <c r="H2116" s="6"/>
      <c r="I2116" s="35" t="str">
        <f>IFERROR(IFERROR(IFERROR(VLOOKUP(B2116&amp;C2116&amp;Q2116,'New Weekly Paste'!A:M,10,0),VLOOKUP(B2116&amp;C2116&amp;Q2116,'New Weekly Paste'!B:O,6,0)),""),"")</f>
        <v>Hudspeath</v>
      </c>
      <c r="J2116" s="259">
        <f>IFERROR(IFERROR(VLOOKUP(B2116&amp;C2116&amp;Q2116,'New Weekly Paste'!A:M,8,0),VLOOKUP(B2116&amp;C2116&amp;Q2116,'New Weekly Paste'!B:O,10,0)),0)</f>
        <v>112.8</v>
      </c>
      <c r="K2116" s="259">
        <f>IFERROR(IFERROR(VLOOKUP(B2116&amp;I2116&amp;Q2116,'New Weekly Paste'!A:M,8,0),VLOOKUP(B2116&amp;I2116&amp;Q2116,'New Weekly Paste'!B:O,10,0)),0)</f>
        <v>84.84</v>
      </c>
      <c r="L2116" s="239">
        <f t="shared" si="25"/>
        <v>1</v>
      </c>
      <c r="M2116" s="36" t="str">
        <f t="shared" si="3"/>
        <v>Regular Season</v>
      </c>
      <c r="N2116" s="239" t="str">
        <f t="shared" si="26"/>
        <v>Hudspeath</v>
      </c>
      <c r="O2116" s="6">
        <f>VLOOKUP(D2116,'Mapped Opponent'!$G$4:$H$22,2,0)</f>
        <v>14</v>
      </c>
      <c r="P2116" s="6"/>
      <c r="Q2116" s="6" t="str">
        <f t="shared" si="4"/>
        <v>Week 14</v>
      </c>
      <c r="R2116" s="6" t="str">
        <f t="shared" si="5"/>
        <v>2021Week 14</v>
      </c>
      <c r="S2116" s="6">
        <f>IFERROR(__xludf.DUMMYFUNCTION("rank(J2116,FILTER(J:J,R:R=R2116))"),4.0)</f>
        <v>4</v>
      </c>
      <c r="T2116" s="6">
        <f t="shared" si="6"/>
        <v>8</v>
      </c>
      <c r="U2116" s="6">
        <f t="shared" si="7"/>
        <v>4</v>
      </c>
      <c r="V2116" s="42">
        <f>averageif(AllData!A:A,B2116,AllData!R:R)/vlookup(B2116,AllData!A:O,15,0)</f>
        <v>94.5352381</v>
      </c>
      <c r="W2116" s="6"/>
    </row>
    <row r="2117" ht="14.25" customHeight="1">
      <c r="A2117" s="6" t="str">
        <f t="shared" si="1"/>
        <v>2021Shep14</v>
      </c>
      <c r="B2117" s="59">
        <v>2021.0</v>
      </c>
      <c r="C2117" s="13" t="s">
        <v>89</v>
      </c>
      <c r="D2117" s="13" t="s">
        <v>156</v>
      </c>
      <c r="E2117" s="34"/>
      <c r="F2117" s="6"/>
      <c r="H2117" s="6"/>
      <c r="I2117" s="35" t="str">
        <f>IFERROR(IFERROR(IFERROR(VLOOKUP(B2117&amp;C2117&amp;Q2117,'New Weekly Paste'!A:M,10,0),VLOOKUP(B2117&amp;C2117&amp;Q2117,'New Weekly Paste'!B:O,6,0)),""),"")</f>
        <v>Riley</v>
      </c>
      <c r="J2117" s="259">
        <f>IFERROR(IFERROR(VLOOKUP(B2117&amp;C2117&amp;Q2117,'New Weekly Paste'!A:M,8,0),VLOOKUP(B2117&amp;C2117&amp;Q2117,'New Weekly Paste'!B:O,10,0)),0)</f>
        <v>86.48</v>
      </c>
      <c r="K2117" s="259">
        <f>IFERROR(IFERROR(VLOOKUP(B2117&amp;I2117&amp;Q2117,'New Weekly Paste'!A:M,8,0),VLOOKUP(B2117&amp;I2117&amp;Q2117,'New Weekly Paste'!B:O,10,0)),0)</f>
        <v>148.14</v>
      </c>
      <c r="L2117" s="239">
        <f t="shared" si="25"/>
        <v>0</v>
      </c>
      <c r="M2117" s="36" t="str">
        <f t="shared" si="3"/>
        <v>Regular Season</v>
      </c>
      <c r="N2117" s="239" t="str">
        <f t="shared" si="26"/>
        <v>Riley</v>
      </c>
      <c r="O2117" s="6">
        <f>VLOOKUP(D2117,'Mapped Opponent'!$G$4:$H$22,2,0)</f>
        <v>14</v>
      </c>
      <c r="P2117" s="6"/>
      <c r="Q2117" s="6" t="str">
        <f t="shared" si="4"/>
        <v>Week 14</v>
      </c>
      <c r="R2117" s="6" t="str">
        <f t="shared" si="5"/>
        <v>2021Week 14</v>
      </c>
      <c r="S2117" s="6">
        <f>IFERROR(__xludf.DUMMYFUNCTION("rank(J2117,FILTER(J:J,R:R=R2117))"),9.0)</f>
        <v>9</v>
      </c>
      <c r="T2117" s="6">
        <f t="shared" si="6"/>
        <v>3</v>
      </c>
      <c r="U2117" s="6">
        <f t="shared" si="7"/>
        <v>9</v>
      </c>
      <c r="V2117" s="42">
        <f>averageif(AllData!A:A,B2117,AllData!R:R)/vlookup(B2117,AllData!A:O,15,0)</f>
        <v>94.5352381</v>
      </c>
      <c r="W2117" s="6"/>
    </row>
    <row r="2118" ht="14.25" customHeight="1">
      <c r="A2118" s="6" t="str">
        <f t="shared" si="1"/>
        <v>2021Riley14</v>
      </c>
      <c r="B2118" s="59">
        <v>2021.0</v>
      </c>
      <c r="C2118" s="13" t="s">
        <v>67</v>
      </c>
      <c r="D2118" s="13" t="s">
        <v>156</v>
      </c>
      <c r="E2118" s="34"/>
      <c r="F2118" s="6"/>
      <c r="H2118" s="6"/>
      <c r="I2118" s="35" t="str">
        <f>IFERROR(IFERROR(IFERROR(VLOOKUP(B2118&amp;C2118&amp;Q2118,'New Weekly Paste'!A:M,10,0),VLOOKUP(B2118&amp;C2118&amp;Q2118,'New Weekly Paste'!B:O,6,0)),""),"")</f>
        <v>Shep</v>
      </c>
      <c r="J2118" s="259">
        <f>IFERROR(IFERROR(VLOOKUP(B2118&amp;C2118&amp;Q2118,'New Weekly Paste'!A:M,8,0),VLOOKUP(B2118&amp;C2118&amp;Q2118,'New Weekly Paste'!B:O,10,0)),0)</f>
        <v>148.14</v>
      </c>
      <c r="K2118" s="259">
        <f>IFERROR(IFERROR(VLOOKUP(B2118&amp;I2118&amp;Q2118,'New Weekly Paste'!A:M,8,0),VLOOKUP(B2118&amp;I2118&amp;Q2118,'New Weekly Paste'!B:O,10,0)),0)</f>
        <v>86.48</v>
      </c>
      <c r="L2118" s="239">
        <f t="shared" si="25"/>
        <v>1</v>
      </c>
      <c r="M2118" s="36" t="str">
        <f t="shared" si="3"/>
        <v>Regular Season</v>
      </c>
      <c r="N2118" s="239" t="str">
        <f t="shared" si="26"/>
        <v>Shep</v>
      </c>
      <c r="O2118" s="6">
        <f>VLOOKUP(D2118,'Mapped Opponent'!$G$4:$H$22,2,0)</f>
        <v>14</v>
      </c>
      <c r="P2118" s="6"/>
      <c r="Q2118" s="6" t="str">
        <f t="shared" si="4"/>
        <v>Week 14</v>
      </c>
      <c r="R2118" s="6" t="str">
        <f t="shared" si="5"/>
        <v>2021Week 14</v>
      </c>
      <c r="S2118" s="6">
        <f>IFERROR(__xludf.DUMMYFUNCTION("rank(J2118,FILTER(J:J,R:R=R2118))"),1.0)</f>
        <v>1</v>
      </c>
      <c r="T2118" s="6">
        <f t="shared" si="6"/>
        <v>11</v>
      </c>
      <c r="U2118" s="6">
        <f t="shared" si="7"/>
        <v>1</v>
      </c>
      <c r="V2118" s="42">
        <f>averageif(AllData!A:A,B2118,AllData!R:R)/vlookup(B2118,AllData!A:O,15,0)</f>
        <v>94.5352381</v>
      </c>
      <c r="W2118" s="6"/>
    </row>
    <row r="2119" ht="14.25" customHeight="1">
      <c r="A2119" s="6" t="str">
        <f t="shared" si="1"/>
        <v>2021Rooney/Jackson14</v>
      </c>
      <c r="B2119" s="59">
        <v>2021.0</v>
      </c>
      <c r="C2119" s="13" t="s">
        <v>57</v>
      </c>
      <c r="D2119" s="13" t="s">
        <v>156</v>
      </c>
      <c r="E2119" s="34"/>
      <c r="F2119" s="6"/>
      <c r="H2119" s="6"/>
      <c r="I2119" s="35" t="str">
        <f>IFERROR(IFERROR(IFERROR(VLOOKUP(B2119&amp;C2119&amp;Q2119,'New Weekly Paste'!A:M,10,0),VLOOKUP(B2119&amp;C2119&amp;Q2119,'New Weekly Paste'!B:O,6,0)),""),"")</f>
        <v>Buser</v>
      </c>
      <c r="J2119" s="259">
        <f>IFERROR(IFERROR(VLOOKUP(B2119&amp;C2119&amp;Q2119,'New Weekly Paste'!A:M,8,0),VLOOKUP(B2119&amp;C2119&amp;Q2119,'New Weekly Paste'!B:O,10,0)),0)</f>
        <v>60.02</v>
      </c>
      <c r="K2119" s="259">
        <f>IFERROR(IFERROR(VLOOKUP(B2119&amp;I2119&amp;Q2119,'New Weekly Paste'!A:M,8,0),VLOOKUP(B2119&amp;I2119&amp;Q2119,'New Weekly Paste'!B:O,10,0)),0)</f>
        <v>113.2</v>
      </c>
      <c r="L2119" s="239">
        <f t="shared" si="25"/>
        <v>0</v>
      </c>
      <c r="M2119" s="36" t="str">
        <f t="shared" si="3"/>
        <v>Regular Season</v>
      </c>
      <c r="N2119" s="239" t="str">
        <f t="shared" si="26"/>
        <v>Buser</v>
      </c>
      <c r="O2119" s="6">
        <f>VLOOKUP(D2119,'Mapped Opponent'!$G$4:$H$22,2,0)</f>
        <v>14</v>
      </c>
      <c r="P2119" s="6"/>
      <c r="Q2119" s="6" t="str">
        <f t="shared" si="4"/>
        <v>Week 14</v>
      </c>
      <c r="R2119" s="6" t="str">
        <f t="shared" si="5"/>
        <v>2021Week 14</v>
      </c>
      <c r="S2119" s="6">
        <f>IFERROR(__xludf.DUMMYFUNCTION("rank(J2119,FILTER(J:J,R:R=R2119))"),12.0)</f>
        <v>12</v>
      </c>
      <c r="T2119" s="6">
        <f t="shared" si="6"/>
        <v>0</v>
      </c>
      <c r="U2119" s="6">
        <f t="shared" si="7"/>
        <v>12</v>
      </c>
      <c r="V2119" s="42">
        <f>averageif(AllData!A:A,B2119,AllData!R:R)/vlookup(B2119,AllData!A:O,15,0)</f>
        <v>94.5352381</v>
      </c>
      <c r="W2119" s="6"/>
    </row>
    <row r="2120" ht="14.25" customHeight="1">
      <c r="A2120" s="6" t="str">
        <f t="shared" si="1"/>
        <v>2021Buser14</v>
      </c>
      <c r="B2120" s="59">
        <v>2021.0</v>
      </c>
      <c r="C2120" s="13" t="s">
        <v>47</v>
      </c>
      <c r="D2120" s="13" t="s">
        <v>156</v>
      </c>
      <c r="E2120" s="34"/>
      <c r="F2120" s="6"/>
      <c r="H2120" s="6"/>
      <c r="I2120" s="35" t="str">
        <f>IFERROR(IFERROR(IFERROR(VLOOKUP(B2120&amp;C2120&amp;Q2120,'New Weekly Paste'!A:M,10,0),VLOOKUP(B2120&amp;C2120&amp;Q2120,'New Weekly Paste'!B:O,6,0)),""),"")</f>
        <v>Rooney/Jackson</v>
      </c>
      <c r="J2120" s="259">
        <f>IFERROR(IFERROR(VLOOKUP(B2120&amp;C2120&amp;Q2120,'New Weekly Paste'!A:M,8,0),VLOOKUP(B2120&amp;C2120&amp;Q2120,'New Weekly Paste'!B:O,10,0)),0)</f>
        <v>113.2</v>
      </c>
      <c r="K2120" s="259">
        <f>IFERROR(IFERROR(VLOOKUP(B2120&amp;I2120&amp;Q2120,'New Weekly Paste'!A:M,8,0),VLOOKUP(B2120&amp;I2120&amp;Q2120,'New Weekly Paste'!B:O,10,0)),0)</f>
        <v>60.02</v>
      </c>
      <c r="L2120" s="239">
        <f t="shared" si="25"/>
        <v>1</v>
      </c>
      <c r="M2120" s="36" t="str">
        <f t="shared" si="3"/>
        <v>Regular Season</v>
      </c>
      <c r="N2120" s="239" t="str">
        <f t="shared" si="26"/>
        <v>Rooney/Jackson</v>
      </c>
      <c r="O2120" s="6">
        <f>VLOOKUP(D2120,'Mapped Opponent'!$G$4:$H$22,2,0)</f>
        <v>14</v>
      </c>
      <c r="P2120" s="6"/>
      <c r="Q2120" s="6" t="str">
        <f t="shared" si="4"/>
        <v>Week 14</v>
      </c>
      <c r="R2120" s="6" t="str">
        <f t="shared" si="5"/>
        <v>2021Week 14</v>
      </c>
      <c r="S2120" s="6">
        <f>IFERROR(__xludf.DUMMYFUNCTION("rank(J2120,FILTER(J:J,R:R=R2120))"),3.0)</f>
        <v>3</v>
      </c>
      <c r="T2120" s="6">
        <f t="shared" si="6"/>
        <v>9</v>
      </c>
      <c r="U2120" s="6">
        <f t="shared" si="7"/>
        <v>3</v>
      </c>
      <c r="V2120" s="42">
        <f>averageif(AllData!A:A,B2120,AllData!R:R)/vlookup(B2120,AllData!A:O,15,0)</f>
        <v>94.5352381</v>
      </c>
      <c r="W2120" s="6"/>
    </row>
    <row r="2121" ht="14.25" customHeight="1">
      <c r="A2121" s="6" t="str">
        <f t="shared" si="1"/>
        <v>2021Pierson14</v>
      </c>
      <c r="B2121" s="59">
        <v>2021.0</v>
      </c>
      <c r="C2121" s="13" t="s">
        <v>92</v>
      </c>
      <c r="D2121" s="13" t="s">
        <v>156</v>
      </c>
      <c r="E2121" s="34"/>
      <c r="F2121" s="6"/>
      <c r="H2121" s="6"/>
      <c r="I2121" s="35" t="str">
        <f>IFERROR(IFERROR(IFERROR(VLOOKUP(B2121&amp;C2121&amp;Q2121,'New Weekly Paste'!A:M,10,0),VLOOKUP(B2121&amp;C2121&amp;Q2121,'New Weekly Paste'!B:O,6,0)),""),"")</f>
        <v>Cock</v>
      </c>
      <c r="J2121" s="259">
        <f>IFERROR(IFERROR(VLOOKUP(B2121&amp;C2121&amp;Q2121,'New Weekly Paste'!A:M,8,0),VLOOKUP(B2121&amp;C2121&amp;Q2121,'New Weekly Paste'!B:O,10,0)),0)</f>
        <v>104.82</v>
      </c>
      <c r="K2121" s="259">
        <f>IFERROR(IFERROR(VLOOKUP(B2121&amp;I2121&amp;Q2121,'New Weekly Paste'!A:M,8,0),VLOOKUP(B2121&amp;I2121&amp;Q2121,'New Weekly Paste'!B:O,10,0)),0)</f>
        <v>72.62</v>
      </c>
      <c r="L2121" s="239">
        <f t="shared" si="25"/>
        <v>1</v>
      </c>
      <c r="M2121" s="36" t="str">
        <f t="shared" si="3"/>
        <v>Regular Season</v>
      </c>
      <c r="N2121" s="239" t="str">
        <f t="shared" si="26"/>
        <v>Cock</v>
      </c>
      <c r="O2121" s="6">
        <f>VLOOKUP(D2121,'Mapped Opponent'!$G$4:$H$22,2,0)</f>
        <v>14</v>
      </c>
      <c r="P2121" s="6"/>
      <c r="Q2121" s="6" t="str">
        <f t="shared" si="4"/>
        <v>Week 14</v>
      </c>
      <c r="R2121" s="6" t="str">
        <f t="shared" si="5"/>
        <v>2021Week 14</v>
      </c>
      <c r="S2121" s="6">
        <f>IFERROR(__xludf.DUMMYFUNCTION("rank(J2121,FILTER(J:J,R:R=R2121))"),5.0)</f>
        <v>5</v>
      </c>
      <c r="T2121" s="6">
        <f t="shared" si="6"/>
        <v>7</v>
      </c>
      <c r="U2121" s="6">
        <f t="shared" si="7"/>
        <v>5</v>
      </c>
      <c r="V2121" s="42">
        <f>averageif(AllData!A:A,B2121,AllData!R:R)/vlookup(B2121,AllData!A:O,15,0)</f>
        <v>94.5352381</v>
      </c>
      <c r="W2121" s="6"/>
    </row>
    <row r="2122" ht="14.25" customHeight="1">
      <c r="A2122" s="6" t="str">
        <f t="shared" si="1"/>
        <v>2021Cock14</v>
      </c>
      <c r="B2122" s="59">
        <v>2021.0</v>
      </c>
      <c r="C2122" s="13" t="s">
        <v>72</v>
      </c>
      <c r="D2122" s="13" t="s">
        <v>156</v>
      </c>
      <c r="E2122" s="34"/>
      <c r="F2122" s="6"/>
      <c r="H2122" s="6"/>
      <c r="I2122" s="35" t="str">
        <f>IFERROR(IFERROR(IFERROR(VLOOKUP(B2122&amp;C2122&amp;Q2122,'New Weekly Paste'!A:M,10,0),VLOOKUP(B2122&amp;C2122&amp;Q2122,'New Weekly Paste'!B:O,6,0)),""),"")</f>
        <v>Pierson</v>
      </c>
      <c r="J2122" s="259">
        <f>IFERROR(IFERROR(VLOOKUP(B2122&amp;C2122&amp;Q2122,'New Weekly Paste'!A:M,8,0),VLOOKUP(B2122&amp;C2122&amp;Q2122,'New Weekly Paste'!B:O,10,0)),0)</f>
        <v>72.62</v>
      </c>
      <c r="K2122" s="259">
        <f>IFERROR(IFERROR(VLOOKUP(B2122&amp;I2122&amp;Q2122,'New Weekly Paste'!A:M,8,0),VLOOKUP(B2122&amp;I2122&amp;Q2122,'New Weekly Paste'!B:O,10,0)),0)</f>
        <v>104.82</v>
      </c>
      <c r="L2122" s="239">
        <f t="shared" si="25"/>
        <v>0</v>
      </c>
      <c r="M2122" s="36" t="str">
        <f t="shared" si="3"/>
        <v>Regular Season</v>
      </c>
      <c r="N2122" s="239" t="str">
        <f t="shared" si="26"/>
        <v>Pierson</v>
      </c>
      <c r="O2122" s="6">
        <f>VLOOKUP(D2122,'Mapped Opponent'!$G$4:$H$22,2,0)</f>
        <v>14</v>
      </c>
      <c r="P2122" s="6"/>
      <c r="Q2122" s="6" t="str">
        <f t="shared" si="4"/>
        <v>Week 14</v>
      </c>
      <c r="R2122" s="6" t="str">
        <f t="shared" si="5"/>
        <v>2021Week 14</v>
      </c>
      <c r="S2122" s="6">
        <f>IFERROR(__xludf.DUMMYFUNCTION("rank(J2122,FILTER(J:J,R:R=R2122))"),11.0)</f>
        <v>11</v>
      </c>
      <c r="T2122" s="6">
        <f t="shared" si="6"/>
        <v>1</v>
      </c>
      <c r="U2122" s="6">
        <f t="shared" si="7"/>
        <v>11</v>
      </c>
      <c r="V2122" s="42">
        <f>averageif(AllData!A:A,B2122,AllData!R:R)/vlookup(B2122,AllData!A:O,15,0)</f>
        <v>94.5352381</v>
      </c>
      <c r="W2122" s="6"/>
    </row>
    <row r="2123" ht="14.25" customHeight="1">
      <c r="A2123" s="6" t="str">
        <f t="shared" si="1"/>
        <v>2021Tayski14</v>
      </c>
      <c r="B2123" s="59">
        <v>2021.0</v>
      </c>
      <c r="C2123" s="13" t="s">
        <v>52</v>
      </c>
      <c r="D2123" s="13" t="s">
        <v>156</v>
      </c>
      <c r="E2123" s="34"/>
      <c r="F2123" s="6"/>
      <c r="H2123" s="6"/>
      <c r="I2123" s="35" t="str">
        <f>IFERROR(IFERROR(IFERROR(VLOOKUP(B2123&amp;C2123&amp;Q2123,'New Weekly Paste'!A:M,10,0),VLOOKUP(B2123&amp;C2123&amp;Q2123,'New Weekly Paste'!B:O,6,0)),""),"")</f>
        <v>KnardDawg</v>
      </c>
      <c r="J2123" s="259">
        <f>IFERROR(IFERROR(VLOOKUP(B2123&amp;C2123&amp;Q2123,'New Weekly Paste'!A:M,8,0),VLOOKUP(B2123&amp;C2123&amp;Q2123,'New Weekly Paste'!B:O,10,0)),0)</f>
        <v>94.58</v>
      </c>
      <c r="K2123" s="259">
        <f>IFERROR(IFERROR(VLOOKUP(B2123&amp;I2123&amp;Q2123,'New Weekly Paste'!A:M,8,0),VLOOKUP(B2123&amp;I2123&amp;Q2123,'New Weekly Paste'!B:O,10,0)),0)</f>
        <v>96.1</v>
      </c>
      <c r="L2123" s="239">
        <f t="shared" si="25"/>
        <v>0</v>
      </c>
      <c r="M2123" s="36" t="str">
        <f t="shared" si="3"/>
        <v>Regular Season</v>
      </c>
      <c r="N2123" s="239" t="str">
        <f t="shared" si="26"/>
        <v>KnardDawg</v>
      </c>
      <c r="O2123" s="6">
        <f>VLOOKUP(D2123,'Mapped Opponent'!$G$4:$H$22,2,0)</f>
        <v>14</v>
      </c>
      <c r="P2123" s="6"/>
      <c r="Q2123" s="6" t="str">
        <f t="shared" si="4"/>
        <v>Week 14</v>
      </c>
      <c r="R2123" s="6" t="str">
        <f t="shared" si="5"/>
        <v>2021Week 14</v>
      </c>
      <c r="S2123" s="6">
        <f>IFERROR(__xludf.DUMMYFUNCTION("rank(J2123,FILTER(J:J,R:R=R2123))"),7.0)</f>
        <v>7</v>
      </c>
      <c r="T2123" s="6">
        <f t="shared" si="6"/>
        <v>5</v>
      </c>
      <c r="U2123" s="6">
        <f t="shared" si="7"/>
        <v>7</v>
      </c>
      <c r="V2123" s="42">
        <f>averageif(AllData!A:A,B2123,AllData!R:R)/vlookup(B2123,AllData!A:O,15,0)</f>
        <v>94.5352381</v>
      </c>
      <c r="W2123" s="6"/>
    </row>
    <row r="2124" ht="14.25" customHeight="1">
      <c r="A2124" s="6" t="str">
        <f t="shared" si="1"/>
        <v>2021KnardDawg14</v>
      </c>
      <c r="B2124" s="59">
        <v>2021.0</v>
      </c>
      <c r="C2124" s="13" t="s">
        <v>86</v>
      </c>
      <c r="D2124" s="13" t="s">
        <v>156</v>
      </c>
      <c r="E2124" s="34"/>
      <c r="F2124" s="6"/>
      <c r="H2124" s="6"/>
      <c r="I2124" s="35" t="str">
        <f>IFERROR(IFERROR(IFERROR(VLOOKUP(B2124&amp;C2124&amp;Q2124,'New Weekly Paste'!A:M,10,0),VLOOKUP(B2124&amp;C2124&amp;Q2124,'New Weekly Paste'!B:O,6,0)),""),"")</f>
        <v>Tayski</v>
      </c>
      <c r="J2124" s="259">
        <f>IFERROR(IFERROR(VLOOKUP(B2124&amp;C2124&amp;Q2124,'New Weekly Paste'!A:M,8,0),VLOOKUP(B2124&amp;C2124&amp;Q2124,'New Weekly Paste'!B:O,10,0)),0)</f>
        <v>96.1</v>
      </c>
      <c r="K2124" s="259">
        <f>IFERROR(IFERROR(VLOOKUP(B2124&amp;I2124&amp;Q2124,'New Weekly Paste'!A:M,8,0),VLOOKUP(B2124&amp;I2124&amp;Q2124,'New Weekly Paste'!B:O,10,0)),0)</f>
        <v>94.58</v>
      </c>
      <c r="L2124" s="239">
        <f t="shared" si="25"/>
        <v>1</v>
      </c>
      <c r="M2124" s="36" t="str">
        <f t="shared" si="3"/>
        <v>Regular Season</v>
      </c>
      <c r="N2124" s="239" t="str">
        <f t="shared" si="26"/>
        <v>Tayski</v>
      </c>
      <c r="O2124" s="6">
        <f>VLOOKUP(D2124,'Mapped Opponent'!$G$4:$H$22,2,0)</f>
        <v>14</v>
      </c>
      <c r="P2124" s="6"/>
      <c r="Q2124" s="6" t="str">
        <f t="shared" si="4"/>
        <v>Week 14</v>
      </c>
      <c r="R2124" s="6" t="str">
        <f t="shared" si="5"/>
        <v>2021Week 14</v>
      </c>
      <c r="S2124" s="6">
        <f>IFERROR(__xludf.DUMMYFUNCTION("rank(J2124,FILTER(J:J,R:R=R2124))"),6.0)</f>
        <v>6</v>
      </c>
      <c r="T2124" s="6">
        <f t="shared" si="6"/>
        <v>6</v>
      </c>
      <c r="U2124" s="6">
        <f t="shared" si="7"/>
        <v>6</v>
      </c>
      <c r="V2124" s="42">
        <f>averageif(AllData!A:A,B2124,AllData!R:R)/vlookup(B2124,AllData!A:O,15,0)</f>
        <v>94.5352381</v>
      </c>
      <c r="W2124" s="6"/>
    </row>
    <row r="2125" ht="14.25" customHeight="1">
      <c r="A2125" s="6" t="str">
        <f t="shared" si="1"/>
        <v>2021T-How14</v>
      </c>
      <c r="B2125" s="59">
        <v>2021.0</v>
      </c>
      <c r="C2125" s="13" t="s">
        <v>82</v>
      </c>
      <c r="D2125" s="13" t="s">
        <v>156</v>
      </c>
      <c r="E2125" s="34"/>
      <c r="F2125" s="6"/>
      <c r="H2125" s="6"/>
      <c r="I2125" s="35" t="str">
        <f>IFERROR(IFERROR(IFERROR(VLOOKUP(B2125&amp;C2125&amp;Q2125,'New Weekly Paste'!A:M,10,0),VLOOKUP(B2125&amp;C2125&amp;Q2125,'New Weekly Paste'!B:O,6,0)),""),"")</f>
        <v>Salty</v>
      </c>
      <c r="J2125" s="259">
        <f>IFERROR(IFERROR(VLOOKUP(B2125&amp;C2125&amp;Q2125,'New Weekly Paste'!A:M,8,0),VLOOKUP(B2125&amp;C2125&amp;Q2125,'New Weekly Paste'!B:O,10,0)),0)</f>
        <v>91.22</v>
      </c>
      <c r="K2125" s="259">
        <f>IFERROR(IFERROR(VLOOKUP(B2125&amp;I2125&amp;Q2125,'New Weekly Paste'!A:M,8,0),VLOOKUP(B2125&amp;I2125&amp;Q2125,'New Weekly Paste'!B:O,10,0)),0)</f>
        <v>119.92</v>
      </c>
      <c r="L2125" s="239">
        <f t="shared" si="25"/>
        <v>0</v>
      </c>
      <c r="M2125" s="36" t="str">
        <f t="shared" si="3"/>
        <v>Regular Season</v>
      </c>
      <c r="N2125" s="239" t="str">
        <f t="shared" si="26"/>
        <v>Salty</v>
      </c>
      <c r="O2125" s="6">
        <f>VLOOKUP(D2125,'Mapped Opponent'!$G$4:$H$22,2,0)</f>
        <v>14</v>
      </c>
      <c r="P2125" s="6"/>
      <c r="Q2125" s="6" t="str">
        <f t="shared" si="4"/>
        <v>Week 14</v>
      </c>
      <c r="R2125" s="6" t="str">
        <f t="shared" si="5"/>
        <v>2021Week 14</v>
      </c>
      <c r="S2125" s="6">
        <f>IFERROR(__xludf.DUMMYFUNCTION("rank(J2125,FILTER(J:J,R:R=R2125))"),8.0)</f>
        <v>8</v>
      </c>
      <c r="T2125" s="6">
        <f t="shared" si="6"/>
        <v>4</v>
      </c>
      <c r="U2125" s="6">
        <f t="shared" si="7"/>
        <v>8</v>
      </c>
      <c r="V2125" s="42">
        <f>averageif(AllData!A:A,B2125,AllData!R:R)/vlookup(B2125,AllData!A:O,15,0)</f>
        <v>94.5352381</v>
      </c>
      <c r="W2125" s="6"/>
    </row>
    <row r="2126" ht="14.25" customHeight="1">
      <c r="A2126" s="6" t="str">
        <f t="shared" si="1"/>
        <v>2022Hudspeath15</v>
      </c>
      <c r="B2126" s="59">
        <v>2022.0</v>
      </c>
      <c r="C2126" s="13" t="s">
        <v>39</v>
      </c>
      <c r="D2126" s="13" t="s">
        <v>112</v>
      </c>
      <c r="E2126" s="34"/>
      <c r="F2126" s="6"/>
      <c r="H2126" s="6"/>
      <c r="I2126" s="35" t="str">
        <f>IFERROR(IFERROR(IFERROR(VLOOKUP(B2126&amp;C2126&amp;Q2126,'New Weekly Paste'!A:M,10,0),VLOOKUP(B2126&amp;C2126&amp;Q2126,'New Weekly Paste'!B:O,6,0)),""),"")</f>
        <v>Buser</v>
      </c>
      <c r="J2126" s="259">
        <f>IFERROR(IFERROR(VLOOKUP(B2126&amp;C2126&amp;Q2126,'New Weekly Paste'!A:M,8,0),VLOOKUP(B2126&amp;C2126&amp;Q2126,'New Weekly Paste'!B:O,10,0)),0)</f>
        <v>88.04</v>
      </c>
      <c r="K2126" s="259">
        <f>IFERROR(IFERROR(VLOOKUP(B2126&amp;I2126&amp;Q2126,'New Weekly Paste'!A:M,8,0),VLOOKUP(B2126&amp;I2126&amp;Q2126,'New Weekly Paste'!B:O,10,0)),0)</f>
        <v>97.32</v>
      </c>
      <c r="L2126" s="239">
        <f t="shared" si="25"/>
        <v>0</v>
      </c>
      <c r="M2126" s="36" t="str">
        <f t="shared" si="3"/>
        <v>Playoffs</v>
      </c>
      <c r="N2126" s="239" t="str">
        <f t="shared" si="26"/>
        <v>Buser</v>
      </c>
      <c r="O2126" s="6">
        <f>VLOOKUP(D2126,'Mapped Opponent'!$G$4:$H$22,2,0)</f>
        <v>15</v>
      </c>
      <c r="P2126" s="6"/>
      <c r="Q2126" s="6" t="str">
        <f t="shared" si="4"/>
        <v>Week 15</v>
      </c>
      <c r="R2126" s="6" t="str">
        <f t="shared" si="5"/>
        <v>2022Round 1</v>
      </c>
      <c r="S2126" s="6">
        <f>IFERROR(__xludf.DUMMYFUNCTION("rank(J2126,FILTER(J:J,R:R=R2126))"),7.0)</f>
        <v>7</v>
      </c>
      <c r="T2126" s="6">
        <f t="shared" si="6"/>
        <v>5</v>
      </c>
      <c r="U2126" s="6">
        <f t="shared" si="7"/>
        <v>7</v>
      </c>
      <c r="V2126" s="42">
        <f>averageif(AllData!A:A,B2126,AllData!R:R)/vlookup(B2126,AllData!A:O,15,0)</f>
        <v>92.75369048</v>
      </c>
      <c r="W2126" s="6"/>
    </row>
    <row r="2127" ht="14.25" customHeight="1">
      <c r="A2127" s="6" t="str">
        <f t="shared" si="1"/>
        <v>2022Salty15</v>
      </c>
      <c r="B2127" s="59">
        <v>2022.0</v>
      </c>
      <c r="C2127" s="13" t="s">
        <v>76</v>
      </c>
      <c r="D2127" s="13" t="s">
        <v>112</v>
      </c>
      <c r="E2127" s="34"/>
      <c r="F2127" s="6"/>
      <c r="H2127" s="6"/>
      <c r="I2127" s="35" t="str">
        <f>IFERROR(IFERROR(IFERROR(VLOOKUP(B2127&amp;C2127&amp;Q2127,'New Weekly Paste'!A:M,10,0),VLOOKUP(B2127&amp;C2127&amp;Q2127,'New Weekly Paste'!B:O,6,0)),""),"")</f>
        <v/>
      </c>
      <c r="J2127" s="239">
        <f>IFERROR(IFERROR(VLOOKUP(B2127&amp;C2127&amp;Q2127,'New Weekly Paste'!A:M,8,0),VLOOKUP(B2127&amp;C2127&amp;Q2127,'New Weekly Paste'!B:O,10,0)),0)</f>
        <v>0</v>
      </c>
      <c r="K2127" s="239">
        <f>IFERROR(IFERROR(VLOOKUP(B2127&amp;I2127&amp;Q2127,'New Weekly Paste'!A:M,8,0),VLOOKUP(B2127&amp;I2127&amp;Q2127,'New Weekly Paste'!B:O,10,0)),0)</f>
        <v>0</v>
      </c>
      <c r="L2127" s="239">
        <f t="shared" si="25"/>
        <v>0</v>
      </c>
      <c r="M2127" s="36" t="str">
        <f t="shared" si="3"/>
        <v>Playoffs</v>
      </c>
      <c r="N2127" s="239" t="str">
        <f t="shared" si="26"/>
        <v/>
      </c>
      <c r="O2127" s="6">
        <f>VLOOKUP(D2127,'Mapped Opponent'!$G$4:$H$22,2,0)</f>
        <v>15</v>
      </c>
      <c r="P2127" s="6"/>
      <c r="Q2127" s="6" t="str">
        <f t="shared" si="4"/>
        <v>Week 15</v>
      </c>
      <c r="R2127" s="6" t="str">
        <f t="shared" si="5"/>
        <v>2022Round 1</v>
      </c>
      <c r="S2127" s="6">
        <f>IFERROR(__xludf.DUMMYFUNCTION("rank(J2127,FILTER(J:J,R:R=R2127))"),11.0)</f>
        <v>11</v>
      </c>
      <c r="T2127" s="6">
        <f t="shared" si="6"/>
        <v>1</v>
      </c>
      <c r="U2127" s="6">
        <f t="shared" si="7"/>
        <v>11</v>
      </c>
      <c r="V2127" s="42">
        <f>averageif(AllData!A:A,B2127,AllData!R:R)/vlookup(B2127,AllData!A:O,15,0)</f>
        <v>92.75369048</v>
      </c>
      <c r="W2127" s="6"/>
    </row>
    <row r="2128" ht="14.25" customHeight="1">
      <c r="A2128" s="6" t="str">
        <f t="shared" si="1"/>
        <v>2022Fellows15</v>
      </c>
      <c r="B2128" s="59">
        <v>2022.0</v>
      </c>
      <c r="C2128" s="13" t="s">
        <v>79</v>
      </c>
      <c r="D2128" s="13" t="s">
        <v>112</v>
      </c>
      <c r="E2128" s="34"/>
      <c r="F2128" s="6"/>
      <c r="H2128" s="6"/>
      <c r="I2128" s="35" t="str">
        <f>IFERROR(IFERROR(IFERROR(VLOOKUP(B2128&amp;C2128&amp;Q2128,'New Weekly Paste'!A:M,10,0),VLOOKUP(B2128&amp;C2128&amp;Q2128,'New Weekly Paste'!B:O,6,0)),""),"")</f>
        <v>Tayski</v>
      </c>
      <c r="J2128" s="259">
        <f>IFERROR(IFERROR(VLOOKUP(B2128&amp;C2128&amp;Q2128,'New Weekly Paste'!A:M,8,0),VLOOKUP(B2128&amp;C2128&amp;Q2128,'New Weekly Paste'!B:O,10,0)),0)</f>
        <v>118.18</v>
      </c>
      <c r="K2128" s="259">
        <f>IFERROR(IFERROR(VLOOKUP(B2128&amp;I2128&amp;Q2128,'New Weekly Paste'!A:M,8,0),VLOOKUP(B2128&amp;I2128&amp;Q2128,'New Weekly Paste'!B:O,10,0)),0)</f>
        <v>107.56</v>
      </c>
      <c r="L2128" s="239">
        <f t="shared" si="25"/>
        <v>1</v>
      </c>
      <c r="M2128" s="36" t="str">
        <f t="shared" si="3"/>
        <v>Playoffs</v>
      </c>
      <c r="N2128" s="239" t="str">
        <f t="shared" si="26"/>
        <v>Tayski</v>
      </c>
      <c r="O2128" s="6">
        <f>VLOOKUP(D2128,'Mapped Opponent'!$G$4:$H$22,2,0)</f>
        <v>15</v>
      </c>
      <c r="P2128" s="6"/>
      <c r="Q2128" s="6" t="str">
        <f t="shared" si="4"/>
        <v>Week 15</v>
      </c>
      <c r="R2128" s="6" t="str">
        <f t="shared" si="5"/>
        <v>2022Round 1</v>
      </c>
      <c r="S2128" s="6">
        <f>IFERROR(__xludf.DUMMYFUNCTION("rank(J2128,FILTER(J:J,R:R=R2128))"),1.0)</f>
        <v>1</v>
      </c>
      <c r="T2128" s="6">
        <f t="shared" si="6"/>
        <v>11</v>
      </c>
      <c r="U2128" s="6">
        <f t="shared" si="7"/>
        <v>1</v>
      </c>
      <c r="V2128" s="42">
        <f>averageif(AllData!A:A,B2128,AllData!R:R)/vlookup(B2128,AllData!A:O,15,0)</f>
        <v>92.75369048</v>
      </c>
      <c r="W2128" s="6"/>
    </row>
    <row r="2129" ht="14.25" customHeight="1">
      <c r="A2129" s="6" t="str">
        <f t="shared" si="1"/>
        <v>2022Shep15</v>
      </c>
      <c r="B2129" s="59">
        <v>2022.0</v>
      </c>
      <c r="C2129" s="13" t="s">
        <v>89</v>
      </c>
      <c r="D2129" s="13" t="s">
        <v>112</v>
      </c>
      <c r="E2129" s="34"/>
      <c r="F2129" s="6"/>
      <c r="H2129" s="6"/>
      <c r="I2129" s="35" t="str">
        <f>IFERROR(IFERROR(IFERROR(VLOOKUP(B2129&amp;C2129&amp;Q2129,'New Weekly Paste'!A:M,10,0),VLOOKUP(B2129&amp;C2129&amp;Q2129,'New Weekly Paste'!B:O,6,0)),""),"")</f>
        <v>KnardDawg</v>
      </c>
      <c r="J2129" s="259">
        <f>IFERROR(IFERROR(VLOOKUP(B2129&amp;C2129&amp;Q2129,'New Weekly Paste'!A:M,8,0),VLOOKUP(B2129&amp;C2129&amp;Q2129,'New Weekly Paste'!B:O,10,0)),0)</f>
        <v>104.4</v>
      </c>
      <c r="K2129" s="259">
        <f>IFERROR(IFERROR(VLOOKUP(B2129&amp;I2129&amp;Q2129,'New Weekly Paste'!A:M,8,0),VLOOKUP(B2129&amp;I2129&amp;Q2129,'New Weekly Paste'!B:O,10,0)),0)</f>
        <v>85.2</v>
      </c>
      <c r="L2129" s="239">
        <f t="shared" si="25"/>
        <v>1</v>
      </c>
      <c r="M2129" s="36" t="str">
        <f t="shared" si="3"/>
        <v>Playoffs</v>
      </c>
      <c r="N2129" s="239" t="str">
        <f t="shared" si="26"/>
        <v>KnardDawg</v>
      </c>
      <c r="O2129" s="6">
        <f>VLOOKUP(D2129,'Mapped Opponent'!$G$4:$H$22,2,0)</f>
        <v>15</v>
      </c>
      <c r="P2129" s="6"/>
      <c r="Q2129" s="6" t="str">
        <f t="shared" si="4"/>
        <v>Week 15</v>
      </c>
      <c r="R2129" s="6" t="str">
        <f t="shared" si="5"/>
        <v>2022Round 1</v>
      </c>
      <c r="S2129" s="6">
        <f>IFERROR(__xludf.DUMMYFUNCTION("rank(J2129,FILTER(J:J,R:R=R2129))"),3.0)</f>
        <v>3</v>
      </c>
      <c r="T2129" s="6">
        <f t="shared" si="6"/>
        <v>9</v>
      </c>
      <c r="U2129" s="6">
        <f t="shared" si="7"/>
        <v>3</v>
      </c>
      <c r="V2129" s="42">
        <f>averageif(AllData!A:A,B2129,AllData!R:R)/vlookup(B2129,AllData!A:O,15,0)</f>
        <v>92.75369048</v>
      </c>
      <c r="W2129" s="6"/>
    </row>
    <row r="2130" ht="14.25" customHeight="1">
      <c r="A2130" s="6" t="str">
        <f t="shared" si="1"/>
        <v>2022Riley15</v>
      </c>
      <c r="B2130" s="59">
        <v>2022.0</v>
      </c>
      <c r="C2130" s="13" t="s">
        <v>67</v>
      </c>
      <c r="D2130" s="13" t="s">
        <v>112</v>
      </c>
      <c r="E2130" s="34"/>
      <c r="F2130" s="6"/>
      <c r="H2130" s="6"/>
      <c r="I2130" s="35" t="str">
        <f>IFERROR(IFERROR(IFERROR(VLOOKUP(B2130&amp;C2130&amp;Q2130,'New Weekly Paste'!A:M,10,0),VLOOKUP(B2130&amp;C2130&amp;Q2130,'New Weekly Paste'!B:O,6,0)),""),"")</f>
        <v>Cock</v>
      </c>
      <c r="J2130" s="259">
        <f>IFERROR(IFERROR(VLOOKUP(B2130&amp;C2130&amp;Q2130,'New Weekly Paste'!A:M,8,0),VLOOKUP(B2130&amp;C2130&amp;Q2130,'New Weekly Paste'!B:O,10,0)),0)</f>
        <v>55.38</v>
      </c>
      <c r="K2130" s="259">
        <f>IFERROR(IFERROR(VLOOKUP(B2130&amp;I2130&amp;Q2130,'New Weekly Paste'!A:M,8,0),VLOOKUP(B2130&amp;I2130&amp;Q2130,'New Weekly Paste'!B:O,10,0)),0)</f>
        <v>85.28</v>
      </c>
      <c r="L2130" s="239">
        <f t="shared" si="25"/>
        <v>0</v>
      </c>
      <c r="M2130" s="36" t="str">
        <f t="shared" si="3"/>
        <v>Playoffs</v>
      </c>
      <c r="N2130" s="239" t="str">
        <f t="shared" si="26"/>
        <v>Cock</v>
      </c>
      <c r="O2130" s="6">
        <f>VLOOKUP(D2130,'Mapped Opponent'!$G$4:$H$22,2,0)</f>
        <v>15</v>
      </c>
      <c r="P2130" s="6"/>
      <c r="Q2130" s="6" t="str">
        <f t="shared" si="4"/>
        <v>Week 15</v>
      </c>
      <c r="R2130" s="6" t="str">
        <f t="shared" si="5"/>
        <v>2022Round 1</v>
      </c>
      <c r="S2130" s="6">
        <f>IFERROR(__xludf.DUMMYFUNCTION("rank(J2130,FILTER(J:J,R:R=R2130))"),10.0)</f>
        <v>10</v>
      </c>
      <c r="T2130" s="6">
        <f t="shared" si="6"/>
        <v>2</v>
      </c>
      <c r="U2130" s="6">
        <f t="shared" si="7"/>
        <v>10</v>
      </c>
      <c r="V2130" s="42">
        <f>averageif(AllData!A:A,B2130,AllData!R:R)/vlookup(B2130,AllData!A:O,15,0)</f>
        <v>92.75369048</v>
      </c>
      <c r="W2130" s="6"/>
    </row>
    <row r="2131" ht="14.25" customHeight="1">
      <c r="A2131" s="6" t="str">
        <f t="shared" si="1"/>
        <v>2022Rooney/Jackson15</v>
      </c>
      <c r="B2131" s="59">
        <v>2022.0</v>
      </c>
      <c r="C2131" s="13" t="s">
        <v>57</v>
      </c>
      <c r="D2131" s="13" t="s">
        <v>112</v>
      </c>
      <c r="E2131" s="34"/>
      <c r="F2131" s="6"/>
      <c r="H2131" s="6"/>
      <c r="I2131" s="35" t="str">
        <f>IFERROR(IFERROR(IFERROR(VLOOKUP(B2131&amp;C2131&amp;Q2131,'New Weekly Paste'!A:M,10,0),VLOOKUP(B2131&amp;C2131&amp;Q2131,'New Weekly Paste'!B:O,6,0)),""),"")</f>
        <v/>
      </c>
      <c r="J2131" s="239">
        <f>IFERROR(IFERROR(VLOOKUP(B2131&amp;C2131&amp;Q2131,'New Weekly Paste'!A:M,8,0),VLOOKUP(B2131&amp;C2131&amp;Q2131,'New Weekly Paste'!B:O,10,0)),0)</f>
        <v>0</v>
      </c>
      <c r="K2131" s="239">
        <f>IFERROR(IFERROR(VLOOKUP(B2131&amp;I2131&amp;Q2131,'New Weekly Paste'!A:M,8,0),VLOOKUP(B2131&amp;I2131&amp;Q2131,'New Weekly Paste'!B:O,10,0)),0)</f>
        <v>0</v>
      </c>
      <c r="L2131" s="239">
        <f t="shared" si="25"/>
        <v>0</v>
      </c>
      <c r="M2131" s="36" t="str">
        <f t="shared" si="3"/>
        <v>Playoffs</v>
      </c>
      <c r="N2131" s="239" t="str">
        <f t="shared" si="26"/>
        <v/>
      </c>
      <c r="O2131" s="6">
        <f>VLOOKUP(D2131,'Mapped Opponent'!$G$4:$H$22,2,0)</f>
        <v>15</v>
      </c>
      <c r="P2131" s="6"/>
      <c r="Q2131" s="6" t="str">
        <f t="shared" si="4"/>
        <v>Week 15</v>
      </c>
      <c r="R2131" s="6" t="str">
        <f t="shared" si="5"/>
        <v>2022Round 1</v>
      </c>
      <c r="S2131" s="6">
        <f>IFERROR(__xludf.DUMMYFUNCTION("rank(J2131,FILTER(J:J,R:R=R2131))"),11.0)</f>
        <v>11</v>
      </c>
      <c r="T2131" s="6">
        <f t="shared" si="6"/>
        <v>1</v>
      </c>
      <c r="U2131" s="6">
        <f t="shared" si="7"/>
        <v>11</v>
      </c>
      <c r="V2131" s="42">
        <f>averageif(AllData!A:A,B2131,AllData!R:R)/vlookup(B2131,AllData!A:O,15,0)</f>
        <v>92.75369048</v>
      </c>
      <c r="W2131" s="6"/>
    </row>
    <row r="2132" ht="14.25" customHeight="1">
      <c r="A2132" s="6" t="str">
        <f t="shared" si="1"/>
        <v>2022Buser15</v>
      </c>
      <c r="B2132" s="59">
        <v>2022.0</v>
      </c>
      <c r="C2132" s="13" t="s">
        <v>47</v>
      </c>
      <c r="D2132" s="13" t="s">
        <v>112</v>
      </c>
      <c r="E2132" s="34"/>
      <c r="F2132" s="6"/>
      <c r="H2132" s="6"/>
      <c r="I2132" s="35" t="str">
        <f>IFERROR(IFERROR(IFERROR(VLOOKUP(B2132&amp;C2132&amp;Q2132,'New Weekly Paste'!A:M,10,0),VLOOKUP(B2132&amp;C2132&amp;Q2132,'New Weekly Paste'!B:O,6,0)),""),"")</f>
        <v>Hudspeath</v>
      </c>
      <c r="J2132" s="259">
        <f>IFERROR(IFERROR(VLOOKUP(B2132&amp;C2132&amp;Q2132,'New Weekly Paste'!A:M,8,0),VLOOKUP(B2132&amp;C2132&amp;Q2132,'New Weekly Paste'!B:O,10,0)),0)</f>
        <v>97.32</v>
      </c>
      <c r="K2132" s="259">
        <f>IFERROR(IFERROR(VLOOKUP(B2132&amp;I2132&amp;Q2132,'New Weekly Paste'!A:M,8,0),VLOOKUP(B2132&amp;I2132&amp;Q2132,'New Weekly Paste'!B:O,10,0)),0)</f>
        <v>88.04</v>
      </c>
      <c r="L2132" s="239">
        <f t="shared" si="25"/>
        <v>1</v>
      </c>
      <c r="M2132" s="36" t="str">
        <f t="shared" si="3"/>
        <v>Playoffs</v>
      </c>
      <c r="N2132" s="239" t="str">
        <f t="shared" si="26"/>
        <v>Hudspeath</v>
      </c>
      <c r="O2132" s="6">
        <f>VLOOKUP(D2132,'Mapped Opponent'!$G$4:$H$22,2,0)</f>
        <v>15</v>
      </c>
      <c r="P2132" s="6"/>
      <c r="Q2132" s="6" t="str">
        <f t="shared" si="4"/>
        <v>Week 15</v>
      </c>
      <c r="R2132" s="6" t="str">
        <f t="shared" si="5"/>
        <v>2022Round 1</v>
      </c>
      <c r="S2132" s="6">
        <f>IFERROR(__xludf.DUMMYFUNCTION("rank(J2132,FILTER(J:J,R:R=R2132))"),5.0)</f>
        <v>5</v>
      </c>
      <c r="T2132" s="6">
        <f t="shared" si="6"/>
        <v>7</v>
      </c>
      <c r="U2132" s="6">
        <f t="shared" si="7"/>
        <v>5</v>
      </c>
      <c r="V2132" s="42">
        <f>averageif(AllData!A:A,B2132,AllData!R:R)/vlookup(B2132,AllData!A:O,15,0)</f>
        <v>92.75369048</v>
      </c>
      <c r="W2132" s="6"/>
    </row>
    <row r="2133" ht="14.25" customHeight="1">
      <c r="A2133" s="6" t="str">
        <f t="shared" si="1"/>
        <v>2022Pierson15</v>
      </c>
      <c r="B2133" s="59">
        <v>2022.0</v>
      </c>
      <c r="C2133" s="13" t="s">
        <v>92</v>
      </c>
      <c r="D2133" s="13" t="s">
        <v>112</v>
      </c>
      <c r="E2133" s="34"/>
      <c r="F2133" s="6"/>
      <c r="H2133" s="6"/>
      <c r="I2133" s="35" t="str">
        <f>IFERROR(IFERROR(IFERROR(VLOOKUP(B2133&amp;C2133&amp;Q2133,'New Weekly Paste'!A:M,10,0),VLOOKUP(B2133&amp;C2133&amp;Q2133,'New Weekly Paste'!B:O,6,0)),""),"")</f>
        <v>T-How</v>
      </c>
      <c r="J2133" s="259">
        <f>IFERROR(IFERROR(VLOOKUP(B2133&amp;C2133&amp;Q2133,'New Weekly Paste'!A:M,8,0),VLOOKUP(B2133&amp;C2133&amp;Q2133,'New Weekly Paste'!B:O,10,0)),0)</f>
        <v>91.24</v>
      </c>
      <c r="K2133" s="259">
        <f>IFERROR(IFERROR(VLOOKUP(B2133&amp;I2133&amp;Q2133,'New Weekly Paste'!A:M,8,0),VLOOKUP(B2133&amp;I2133&amp;Q2133,'New Weekly Paste'!B:O,10,0)),0)</f>
        <v>97.9</v>
      </c>
      <c r="L2133" s="239">
        <f t="shared" si="25"/>
        <v>0</v>
      </c>
      <c r="M2133" s="36" t="str">
        <f t="shared" si="3"/>
        <v>Playoffs</v>
      </c>
      <c r="N2133" s="239" t="str">
        <f t="shared" si="26"/>
        <v>T-How</v>
      </c>
      <c r="O2133" s="6">
        <f>VLOOKUP(D2133,'Mapped Opponent'!$G$4:$H$22,2,0)</f>
        <v>15</v>
      </c>
      <c r="P2133" s="6"/>
      <c r="Q2133" s="6" t="str">
        <f t="shared" si="4"/>
        <v>Week 15</v>
      </c>
      <c r="R2133" s="6" t="str">
        <f t="shared" si="5"/>
        <v>2022Round 1</v>
      </c>
      <c r="S2133" s="6">
        <f>IFERROR(__xludf.DUMMYFUNCTION("rank(J2133,FILTER(J:J,R:R=R2133))"),6.0)</f>
        <v>6</v>
      </c>
      <c r="T2133" s="6">
        <f t="shared" si="6"/>
        <v>6</v>
      </c>
      <c r="U2133" s="6">
        <f t="shared" si="7"/>
        <v>6</v>
      </c>
      <c r="V2133" s="42">
        <f>averageif(AllData!A:A,B2133,AllData!R:R)/vlookup(B2133,AllData!A:O,15,0)</f>
        <v>92.75369048</v>
      </c>
      <c r="W2133" s="6"/>
    </row>
    <row r="2134" ht="14.25" customHeight="1">
      <c r="A2134" s="6" t="str">
        <f t="shared" si="1"/>
        <v>2022Cock15</v>
      </c>
      <c r="B2134" s="59">
        <v>2022.0</v>
      </c>
      <c r="C2134" s="13" t="s">
        <v>72</v>
      </c>
      <c r="D2134" s="13" t="s">
        <v>112</v>
      </c>
      <c r="E2134" s="34"/>
      <c r="F2134" s="6"/>
      <c r="H2134" s="6"/>
      <c r="I2134" s="35" t="str">
        <f>IFERROR(IFERROR(IFERROR(VLOOKUP(B2134&amp;C2134&amp;Q2134,'New Weekly Paste'!A:M,10,0),VLOOKUP(B2134&amp;C2134&amp;Q2134,'New Weekly Paste'!B:O,6,0)),""),"")</f>
        <v>Riley</v>
      </c>
      <c r="J2134" s="259">
        <f>IFERROR(IFERROR(VLOOKUP(B2134&amp;C2134&amp;Q2134,'New Weekly Paste'!A:M,8,0),VLOOKUP(B2134&amp;C2134&amp;Q2134,'New Weekly Paste'!B:O,10,0)),0)</f>
        <v>85.28</v>
      </c>
      <c r="K2134" s="259">
        <f>IFERROR(IFERROR(VLOOKUP(B2134&amp;I2134&amp;Q2134,'New Weekly Paste'!A:M,8,0),VLOOKUP(B2134&amp;I2134&amp;Q2134,'New Weekly Paste'!B:O,10,0)),0)</f>
        <v>55.38</v>
      </c>
      <c r="L2134" s="239">
        <f t="shared" si="25"/>
        <v>1</v>
      </c>
      <c r="M2134" s="36" t="str">
        <f t="shared" si="3"/>
        <v>Playoffs</v>
      </c>
      <c r="N2134" s="239" t="str">
        <f t="shared" si="26"/>
        <v>Riley</v>
      </c>
      <c r="O2134" s="6">
        <f>VLOOKUP(D2134,'Mapped Opponent'!$G$4:$H$22,2,0)</f>
        <v>15</v>
      </c>
      <c r="P2134" s="6"/>
      <c r="Q2134" s="6" t="str">
        <f t="shared" si="4"/>
        <v>Week 15</v>
      </c>
      <c r="R2134" s="6" t="str">
        <f t="shared" si="5"/>
        <v>2022Round 1</v>
      </c>
      <c r="S2134" s="6">
        <f>IFERROR(__xludf.DUMMYFUNCTION("rank(J2134,FILTER(J:J,R:R=R2134))"),8.0)</f>
        <v>8</v>
      </c>
      <c r="T2134" s="6">
        <f t="shared" si="6"/>
        <v>4</v>
      </c>
      <c r="U2134" s="6">
        <f t="shared" si="7"/>
        <v>8</v>
      </c>
      <c r="V2134" s="42">
        <f>averageif(AllData!A:A,B2134,AllData!R:R)/vlookup(B2134,AllData!A:O,15,0)</f>
        <v>92.75369048</v>
      </c>
      <c r="W2134" s="6"/>
    </row>
    <row r="2135" ht="14.25" customHeight="1">
      <c r="A2135" s="6" t="str">
        <f t="shared" si="1"/>
        <v>2022Tayski15</v>
      </c>
      <c r="B2135" s="59">
        <v>2022.0</v>
      </c>
      <c r="C2135" s="13" t="s">
        <v>52</v>
      </c>
      <c r="D2135" s="13" t="s">
        <v>112</v>
      </c>
      <c r="E2135" s="34"/>
      <c r="F2135" s="6"/>
      <c r="H2135" s="6"/>
      <c r="I2135" s="35" t="str">
        <f>IFERROR(IFERROR(IFERROR(VLOOKUP(B2135&amp;C2135&amp;Q2135,'New Weekly Paste'!A:M,10,0),VLOOKUP(B2135&amp;C2135&amp;Q2135,'New Weekly Paste'!B:O,6,0)),""),"")</f>
        <v>Fellows</v>
      </c>
      <c r="J2135" s="259">
        <f>IFERROR(IFERROR(VLOOKUP(B2135&amp;C2135&amp;Q2135,'New Weekly Paste'!A:M,8,0),VLOOKUP(B2135&amp;C2135&amp;Q2135,'New Weekly Paste'!B:O,10,0)),0)</f>
        <v>107.56</v>
      </c>
      <c r="K2135" s="259">
        <f>IFERROR(IFERROR(VLOOKUP(B2135&amp;I2135&amp;Q2135,'New Weekly Paste'!A:M,8,0),VLOOKUP(B2135&amp;I2135&amp;Q2135,'New Weekly Paste'!B:O,10,0)),0)</f>
        <v>118.18</v>
      </c>
      <c r="L2135" s="239">
        <f t="shared" si="25"/>
        <v>0</v>
      </c>
      <c r="M2135" s="36" t="str">
        <f t="shared" si="3"/>
        <v>Playoffs</v>
      </c>
      <c r="N2135" s="239" t="str">
        <f t="shared" si="26"/>
        <v>Fellows</v>
      </c>
      <c r="O2135" s="6">
        <f>VLOOKUP(D2135,'Mapped Opponent'!$G$4:$H$22,2,0)</f>
        <v>15</v>
      </c>
      <c r="P2135" s="6"/>
      <c r="Q2135" s="6" t="str">
        <f t="shared" si="4"/>
        <v>Week 15</v>
      </c>
      <c r="R2135" s="6" t="str">
        <f t="shared" si="5"/>
        <v>2022Round 1</v>
      </c>
      <c r="S2135" s="6">
        <f>IFERROR(__xludf.DUMMYFUNCTION("rank(J2135,FILTER(J:J,R:R=R2135))"),2.0)</f>
        <v>2</v>
      </c>
      <c r="T2135" s="6">
        <f t="shared" si="6"/>
        <v>10</v>
      </c>
      <c r="U2135" s="6">
        <f t="shared" si="7"/>
        <v>2</v>
      </c>
      <c r="V2135" s="42">
        <f>averageif(AllData!A:A,B2135,AllData!R:R)/vlookup(B2135,AllData!A:O,15,0)</f>
        <v>92.75369048</v>
      </c>
      <c r="W2135" s="6"/>
    </row>
    <row r="2136" ht="14.25" customHeight="1">
      <c r="A2136" s="6" t="str">
        <f t="shared" si="1"/>
        <v>2022KnardDawg15</v>
      </c>
      <c r="B2136" s="59">
        <v>2022.0</v>
      </c>
      <c r="C2136" s="13" t="s">
        <v>86</v>
      </c>
      <c r="D2136" s="13" t="s">
        <v>112</v>
      </c>
      <c r="E2136" s="34"/>
      <c r="F2136" s="6"/>
      <c r="H2136" s="6"/>
      <c r="I2136" s="35" t="str">
        <f>IFERROR(IFERROR(IFERROR(VLOOKUP(B2136&amp;C2136&amp;Q2136,'New Weekly Paste'!A:M,10,0),VLOOKUP(B2136&amp;C2136&amp;Q2136,'New Weekly Paste'!B:O,6,0)),""),"")</f>
        <v>Shep</v>
      </c>
      <c r="J2136" s="259">
        <f>IFERROR(IFERROR(VLOOKUP(B2136&amp;C2136&amp;Q2136,'New Weekly Paste'!A:M,8,0),VLOOKUP(B2136&amp;C2136&amp;Q2136,'New Weekly Paste'!B:O,10,0)),0)</f>
        <v>85.2</v>
      </c>
      <c r="K2136" s="259">
        <f>IFERROR(IFERROR(VLOOKUP(B2136&amp;I2136&amp;Q2136,'New Weekly Paste'!A:M,8,0),VLOOKUP(B2136&amp;I2136&amp;Q2136,'New Weekly Paste'!B:O,10,0)),0)</f>
        <v>104.4</v>
      </c>
      <c r="L2136" s="239">
        <f t="shared" si="25"/>
        <v>0</v>
      </c>
      <c r="M2136" s="36" t="str">
        <f t="shared" si="3"/>
        <v>Playoffs</v>
      </c>
      <c r="N2136" s="239" t="str">
        <f t="shared" si="26"/>
        <v>Shep</v>
      </c>
      <c r="O2136" s="6">
        <f>VLOOKUP(D2136,'Mapped Opponent'!$G$4:$H$22,2,0)</f>
        <v>15</v>
      </c>
      <c r="P2136" s="6"/>
      <c r="Q2136" s="6" t="str">
        <f t="shared" si="4"/>
        <v>Week 15</v>
      </c>
      <c r="R2136" s="6" t="str">
        <f t="shared" si="5"/>
        <v>2022Round 1</v>
      </c>
      <c r="S2136" s="6">
        <f>IFERROR(__xludf.DUMMYFUNCTION("rank(J2136,FILTER(J:J,R:R=R2136))"),9.0)</f>
        <v>9</v>
      </c>
      <c r="T2136" s="6">
        <f t="shared" si="6"/>
        <v>3</v>
      </c>
      <c r="U2136" s="6">
        <f t="shared" si="7"/>
        <v>9</v>
      </c>
      <c r="V2136" s="42">
        <f>averageif(AllData!A:A,B2136,AllData!R:R)/vlookup(B2136,AllData!A:O,15,0)</f>
        <v>92.75369048</v>
      </c>
      <c r="W2136" s="6"/>
    </row>
    <row r="2137" ht="14.25" customHeight="1">
      <c r="A2137" s="6" t="str">
        <f t="shared" si="1"/>
        <v>2022T-How15</v>
      </c>
      <c r="B2137" s="59">
        <v>2022.0</v>
      </c>
      <c r="C2137" s="13" t="s">
        <v>82</v>
      </c>
      <c r="D2137" s="13" t="s">
        <v>112</v>
      </c>
      <c r="E2137" s="34"/>
      <c r="F2137" s="6"/>
      <c r="H2137" s="6"/>
      <c r="I2137" s="35" t="str">
        <f>IFERROR(IFERROR(IFERROR(VLOOKUP(B2137&amp;C2137&amp;Q2137,'New Weekly Paste'!A:M,10,0),VLOOKUP(B2137&amp;C2137&amp;Q2137,'New Weekly Paste'!B:O,6,0)),""),"")</f>
        <v>Pierson</v>
      </c>
      <c r="J2137" s="259">
        <f>IFERROR(IFERROR(VLOOKUP(B2137&amp;C2137&amp;Q2137,'New Weekly Paste'!A:M,8,0),VLOOKUP(B2137&amp;C2137&amp;Q2137,'New Weekly Paste'!B:O,10,0)),0)</f>
        <v>97.9</v>
      </c>
      <c r="K2137" s="259">
        <f>IFERROR(IFERROR(VLOOKUP(B2137&amp;I2137&amp;Q2137,'New Weekly Paste'!A:M,8,0),VLOOKUP(B2137&amp;I2137&amp;Q2137,'New Weekly Paste'!B:O,10,0)),0)</f>
        <v>91.24</v>
      </c>
      <c r="L2137" s="239">
        <f t="shared" si="25"/>
        <v>1</v>
      </c>
      <c r="M2137" s="36" t="str">
        <f t="shared" si="3"/>
        <v>Playoffs</v>
      </c>
      <c r="N2137" s="239" t="str">
        <f t="shared" si="26"/>
        <v>Pierson</v>
      </c>
      <c r="O2137" s="6">
        <f>VLOOKUP(D2137,'Mapped Opponent'!$G$4:$H$22,2,0)</f>
        <v>15</v>
      </c>
      <c r="P2137" s="6"/>
      <c r="Q2137" s="6" t="str">
        <f t="shared" si="4"/>
        <v>Week 15</v>
      </c>
      <c r="R2137" s="6" t="str">
        <f t="shared" si="5"/>
        <v>2022Round 1</v>
      </c>
      <c r="S2137" s="6">
        <f>IFERROR(__xludf.DUMMYFUNCTION("rank(J2137,FILTER(J:J,R:R=R2137))"),4.0)</f>
        <v>4</v>
      </c>
      <c r="T2137" s="6">
        <f t="shared" si="6"/>
        <v>8</v>
      </c>
      <c r="U2137" s="6">
        <f t="shared" si="7"/>
        <v>4</v>
      </c>
      <c r="V2137" s="42">
        <f>averageif(AllData!A:A,B2137,AllData!R:R)/vlookup(B2137,AllData!A:O,15,0)</f>
        <v>92.75369048</v>
      </c>
      <c r="W2137" s="6"/>
    </row>
    <row r="2138" ht="14.25" customHeight="1">
      <c r="A2138" s="6" t="str">
        <f t="shared" si="1"/>
        <v>2022Hudspeath16</v>
      </c>
      <c r="B2138" s="59">
        <v>2022.0</v>
      </c>
      <c r="C2138" s="13" t="s">
        <v>39</v>
      </c>
      <c r="D2138" s="13" t="s">
        <v>153</v>
      </c>
      <c r="E2138" s="34"/>
      <c r="F2138" s="6"/>
      <c r="H2138" s="6"/>
      <c r="I2138" s="35" t="str">
        <f>IFERROR(IFERROR(IFERROR(VLOOKUP(B2138&amp;C2138&amp;Q2138,'New Weekly Paste'!A:M,10,0),VLOOKUP(B2138&amp;C2138&amp;Q2138,'New Weekly Paste'!B:O,6,0)),""),"")</f>
        <v>Tayski</v>
      </c>
      <c r="J2138" s="259">
        <f>IFERROR(IFERROR(VLOOKUP(B2138&amp;C2138&amp;Q2138,'New Weekly Paste'!A:M,8,0),VLOOKUP(B2138&amp;C2138&amp;Q2138,'New Weekly Paste'!B:O,10,0)),0)</f>
        <v>82.2</v>
      </c>
      <c r="K2138" s="259">
        <f>IFERROR(IFERROR(VLOOKUP(B2138&amp;I2138&amp;Q2138,'New Weekly Paste'!A:M,8,0),VLOOKUP(B2138&amp;I2138&amp;Q2138,'New Weekly Paste'!B:O,10,0)),0)</f>
        <v>94.58</v>
      </c>
      <c r="L2138" s="239">
        <f t="shared" si="25"/>
        <v>0</v>
      </c>
      <c r="M2138" s="36" t="str">
        <f t="shared" si="3"/>
        <v>Playoffs</v>
      </c>
      <c r="N2138" s="239" t="str">
        <f t="shared" si="26"/>
        <v>Tayski</v>
      </c>
      <c r="O2138" s="6">
        <f>VLOOKUP(D2138,'Mapped Opponent'!$G$4:$H$22,2,0)</f>
        <v>16</v>
      </c>
      <c r="P2138" s="6"/>
      <c r="Q2138" s="6" t="str">
        <f t="shared" si="4"/>
        <v>Week 16</v>
      </c>
      <c r="R2138" s="6" t="str">
        <f t="shared" si="5"/>
        <v>2022Round 2</v>
      </c>
      <c r="S2138" s="6">
        <f>IFERROR(__xludf.DUMMYFUNCTION("rank(J2138,FILTER(J:J,R:R=R2138))"),6.0)</f>
        <v>6</v>
      </c>
      <c r="T2138" s="6">
        <f t="shared" si="6"/>
        <v>6</v>
      </c>
      <c r="U2138" s="6">
        <f t="shared" si="7"/>
        <v>6</v>
      </c>
      <c r="V2138" s="42">
        <f>averageif(AllData!A:A,B2138,AllData!R:R)/vlookup(B2138,AllData!A:O,15,0)</f>
        <v>92.75369048</v>
      </c>
      <c r="W2138" s="6"/>
    </row>
    <row r="2139" ht="14.25" customHeight="1">
      <c r="A2139" s="6" t="str">
        <f t="shared" si="1"/>
        <v>2022Salty16</v>
      </c>
      <c r="B2139" s="59">
        <v>2022.0</v>
      </c>
      <c r="C2139" s="13" t="s">
        <v>76</v>
      </c>
      <c r="D2139" s="13" t="s">
        <v>153</v>
      </c>
      <c r="E2139" s="34"/>
      <c r="F2139" s="6"/>
      <c r="H2139" s="6"/>
      <c r="I2139" s="35" t="str">
        <f>IFERROR(IFERROR(IFERROR(VLOOKUP(B2139&amp;C2139&amp;Q2139,'New Weekly Paste'!A:M,10,0),VLOOKUP(B2139&amp;C2139&amp;Q2139,'New Weekly Paste'!B:O,6,0)),""),"")</f>
        <v>Fellows</v>
      </c>
      <c r="J2139" s="259">
        <f>IFERROR(IFERROR(VLOOKUP(B2139&amp;C2139&amp;Q2139,'New Weekly Paste'!A:M,8,0),VLOOKUP(B2139&amp;C2139&amp;Q2139,'New Weekly Paste'!B:O,10,0)),0)</f>
        <v>77.06</v>
      </c>
      <c r="K2139" s="259">
        <f>IFERROR(IFERROR(VLOOKUP(B2139&amp;I2139&amp;Q2139,'New Weekly Paste'!A:M,8,0),VLOOKUP(B2139&amp;I2139&amp;Q2139,'New Weekly Paste'!B:O,10,0)),0)</f>
        <v>64.76</v>
      </c>
      <c r="L2139" s="239">
        <f t="shared" si="25"/>
        <v>1</v>
      </c>
      <c r="M2139" s="36" t="str">
        <f t="shared" si="3"/>
        <v>Playoffs</v>
      </c>
      <c r="N2139" s="239" t="str">
        <f t="shared" si="26"/>
        <v>Fellows</v>
      </c>
      <c r="O2139" s="6">
        <f>VLOOKUP(D2139,'Mapped Opponent'!$G$4:$H$22,2,0)</f>
        <v>16</v>
      </c>
      <c r="P2139" s="6"/>
      <c r="Q2139" s="6" t="str">
        <f t="shared" si="4"/>
        <v>Week 16</v>
      </c>
      <c r="R2139" s="6" t="str">
        <f t="shared" si="5"/>
        <v>2022Round 2</v>
      </c>
      <c r="S2139" s="6">
        <f>IFERROR(__xludf.DUMMYFUNCTION("rank(J2139,FILTER(J:J,R:R=R2139))"),7.0)</f>
        <v>7</v>
      </c>
      <c r="T2139" s="6">
        <f t="shared" si="6"/>
        <v>5</v>
      </c>
      <c r="U2139" s="6">
        <f t="shared" si="7"/>
        <v>7</v>
      </c>
      <c r="V2139" s="42">
        <f>averageif(AllData!A:A,B2139,AllData!R:R)/vlookup(B2139,AllData!A:O,15,0)</f>
        <v>92.75369048</v>
      </c>
      <c r="W2139" s="6"/>
    </row>
    <row r="2140" ht="14.25" customHeight="1">
      <c r="A2140" s="6" t="str">
        <f t="shared" si="1"/>
        <v>2022Fellows16</v>
      </c>
      <c r="B2140" s="59">
        <v>2022.0</v>
      </c>
      <c r="C2140" s="13" t="s">
        <v>79</v>
      </c>
      <c r="D2140" s="13" t="s">
        <v>153</v>
      </c>
      <c r="E2140" s="34"/>
      <c r="F2140" s="6"/>
      <c r="H2140" s="6"/>
      <c r="I2140" s="35" t="str">
        <f>IFERROR(IFERROR(IFERROR(VLOOKUP(B2140&amp;C2140&amp;Q2140,'New Weekly Paste'!A:M,10,0),VLOOKUP(B2140&amp;C2140&amp;Q2140,'New Weekly Paste'!B:O,6,0)),""),"")</f>
        <v>Salty</v>
      </c>
      <c r="J2140" s="259">
        <f>IFERROR(IFERROR(VLOOKUP(B2140&amp;C2140&amp;Q2140,'New Weekly Paste'!A:M,8,0),VLOOKUP(B2140&amp;C2140&amp;Q2140,'New Weekly Paste'!B:O,10,0)),0)</f>
        <v>64.76</v>
      </c>
      <c r="K2140" s="259">
        <f>IFERROR(IFERROR(VLOOKUP(B2140&amp;I2140&amp;Q2140,'New Weekly Paste'!A:M,8,0),VLOOKUP(B2140&amp;I2140&amp;Q2140,'New Weekly Paste'!B:O,10,0)),0)</f>
        <v>77.06</v>
      </c>
      <c r="L2140" s="239">
        <f t="shared" si="25"/>
        <v>0</v>
      </c>
      <c r="M2140" s="36" t="str">
        <f t="shared" si="3"/>
        <v>Playoffs</v>
      </c>
      <c r="N2140" s="239" t="str">
        <f t="shared" si="26"/>
        <v>Salty</v>
      </c>
      <c r="O2140" s="6">
        <f>VLOOKUP(D2140,'Mapped Opponent'!$G$4:$H$22,2,0)</f>
        <v>16</v>
      </c>
      <c r="P2140" s="6"/>
      <c r="Q2140" s="6" t="str">
        <f t="shared" si="4"/>
        <v>Week 16</v>
      </c>
      <c r="R2140" s="6" t="str">
        <f t="shared" si="5"/>
        <v>2022Round 2</v>
      </c>
      <c r="S2140" s="6">
        <f>IFERROR(__xludf.DUMMYFUNCTION("rank(J2140,FILTER(J:J,R:R=R2140))"),11.0)</f>
        <v>11</v>
      </c>
      <c r="T2140" s="6">
        <f t="shared" si="6"/>
        <v>1</v>
      </c>
      <c r="U2140" s="6">
        <f t="shared" si="7"/>
        <v>11</v>
      </c>
      <c r="V2140" s="42">
        <f>averageif(AllData!A:A,B2140,AllData!R:R)/vlookup(B2140,AllData!A:O,15,0)</f>
        <v>92.75369048</v>
      </c>
      <c r="W2140" s="6"/>
    </row>
    <row r="2141" ht="14.25" customHeight="1">
      <c r="A2141" s="6" t="str">
        <f t="shared" si="1"/>
        <v>2022Shep16</v>
      </c>
      <c r="B2141" s="59">
        <v>2022.0</v>
      </c>
      <c r="C2141" s="13" t="s">
        <v>89</v>
      </c>
      <c r="D2141" s="13" t="s">
        <v>153</v>
      </c>
      <c r="E2141" s="34"/>
      <c r="F2141" s="6"/>
      <c r="H2141" s="6"/>
      <c r="I2141" s="35" t="str">
        <f>IFERROR(IFERROR(IFERROR(VLOOKUP(B2141&amp;C2141&amp;Q2141,'New Weekly Paste'!A:M,10,0),VLOOKUP(B2141&amp;C2141&amp;Q2141,'New Weekly Paste'!B:O,6,0)),""),"")</f>
        <v>T-How</v>
      </c>
      <c r="J2141" s="259">
        <f>IFERROR(IFERROR(VLOOKUP(B2141&amp;C2141&amp;Q2141,'New Weekly Paste'!A:M,8,0),VLOOKUP(B2141&amp;C2141&amp;Q2141,'New Weekly Paste'!B:O,10,0)),0)</f>
        <v>75.9</v>
      </c>
      <c r="K2141" s="259">
        <f>IFERROR(IFERROR(VLOOKUP(B2141&amp;I2141&amp;Q2141,'New Weekly Paste'!A:M,8,0),VLOOKUP(B2141&amp;I2141&amp;Q2141,'New Weekly Paste'!B:O,10,0)),0)</f>
        <v>68.06</v>
      </c>
      <c r="L2141" s="239">
        <f t="shared" si="25"/>
        <v>1</v>
      </c>
      <c r="M2141" s="36" t="str">
        <f t="shared" si="3"/>
        <v>Playoffs</v>
      </c>
      <c r="N2141" s="239" t="str">
        <f t="shared" si="26"/>
        <v>T-How</v>
      </c>
      <c r="O2141" s="6">
        <f>VLOOKUP(D2141,'Mapped Opponent'!$G$4:$H$22,2,0)</f>
        <v>16</v>
      </c>
      <c r="P2141" s="6"/>
      <c r="Q2141" s="6" t="str">
        <f t="shared" si="4"/>
        <v>Week 16</v>
      </c>
      <c r="R2141" s="6" t="str">
        <f t="shared" si="5"/>
        <v>2022Round 2</v>
      </c>
      <c r="S2141" s="6">
        <f>IFERROR(__xludf.DUMMYFUNCTION("rank(J2141,FILTER(J:J,R:R=R2141))"),8.0)</f>
        <v>8</v>
      </c>
      <c r="T2141" s="6">
        <f t="shared" si="6"/>
        <v>4</v>
      </c>
      <c r="U2141" s="6">
        <f t="shared" si="7"/>
        <v>8</v>
      </c>
      <c r="V2141" s="42">
        <f>averageif(AllData!A:A,B2141,AllData!R:R)/vlookup(B2141,AllData!A:O,15,0)</f>
        <v>92.75369048</v>
      </c>
      <c r="W2141" s="6"/>
    </row>
    <row r="2142" ht="14.25" customHeight="1">
      <c r="A2142" s="6" t="str">
        <f t="shared" si="1"/>
        <v>2022Riley16</v>
      </c>
      <c r="B2142" s="59">
        <v>2022.0</v>
      </c>
      <c r="C2142" s="13" t="s">
        <v>67</v>
      </c>
      <c r="D2142" s="13" t="s">
        <v>153</v>
      </c>
      <c r="E2142" s="34"/>
      <c r="F2142" s="6"/>
      <c r="H2142" s="6"/>
      <c r="I2142" s="35" t="str">
        <f>IFERROR(IFERROR(IFERROR(VLOOKUP(B2142&amp;C2142&amp;Q2142,'New Weekly Paste'!A:M,10,0),VLOOKUP(B2142&amp;C2142&amp;Q2142,'New Weekly Paste'!B:O,6,0)),""),"")</f>
        <v>KnardDawg</v>
      </c>
      <c r="J2142" s="259">
        <f>IFERROR(IFERROR(VLOOKUP(B2142&amp;C2142&amp;Q2142,'New Weekly Paste'!A:M,8,0),VLOOKUP(B2142&amp;C2142&amp;Q2142,'New Weekly Paste'!B:O,10,0)),0)</f>
        <v>69.3</v>
      </c>
      <c r="K2142" s="259">
        <f>IFERROR(IFERROR(VLOOKUP(B2142&amp;I2142&amp;Q2142,'New Weekly Paste'!A:M,8,0),VLOOKUP(B2142&amp;I2142&amp;Q2142,'New Weekly Paste'!B:O,10,0)),0)</f>
        <v>59.6</v>
      </c>
      <c r="L2142" s="239">
        <f t="shared" si="25"/>
        <v>1</v>
      </c>
      <c r="M2142" s="36" t="str">
        <f t="shared" si="3"/>
        <v>Playoffs</v>
      </c>
      <c r="N2142" s="239" t="str">
        <f t="shared" si="26"/>
        <v>KnardDawg</v>
      </c>
      <c r="O2142" s="6">
        <f>VLOOKUP(D2142,'Mapped Opponent'!$G$4:$H$22,2,0)</f>
        <v>16</v>
      </c>
      <c r="P2142" s="6"/>
      <c r="Q2142" s="6" t="str">
        <f t="shared" si="4"/>
        <v>Week 16</v>
      </c>
      <c r="R2142" s="6" t="str">
        <f t="shared" si="5"/>
        <v>2022Round 2</v>
      </c>
      <c r="S2142" s="6">
        <f>IFERROR(__xludf.DUMMYFUNCTION("rank(J2142,FILTER(J:J,R:R=R2142))"),9.0)</f>
        <v>9</v>
      </c>
      <c r="T2142" s="6">
        <f t="shared" si="6"/>
        <v>3</v>
      </c>
      <c r="U2142" s="6">
        <f t="shared" si="7"/>
        <v>9</v>
      </c>
      <c r="V2142" s="42">
        <f>averageif(AllData!A:A,B2142,AllData!R:R)/vlookup(B2142,AllData!A:O,15,0)</f>
        <v>92.75369048</v>
      </c>
      <c r="W2142" s="6"/>
    </row>
    <row r="2143" ht="14.25" customHeight="1">
      <c r="A2143" s="6" t="str">
        <f t="shared" si="1"/>
        <v>2022Rooney/Jackson16</v>
      </c>
      <c r="B2143" s="59">
        <v>2022.0</v>
      </c>
      <c r="C2143" s="13" t="s">
        <v>57</v>
      </c>
      <c r="D2143" s="13" t="s">
        <v>153</v>
      </c>
      <c r="E2143" s="34"/>
      <c r="F2143" s="6"/>
      <c r="H2143" s="6"/>
      <c r="I2143" s="35" t="str">
        <f>IFERROR(IFERROR(IFERROR(VLOOKUP(B2143&amp;C2143&amp;Q2143,'New Weekly Paste'!A:M,10,0),VLOOKUP(B2143&amp;C2143&amp;Q2143,'New Weekly Paste'!B:O,6,0)),""),"")</f>
        <v>Buser</v>
      </c>
      <c r="J2143" s="259">
        <f>IFERROR(IFERROR(VLOOKUP(B2143&amp;C2143&amp;Q2143,'New Weekly Paste'!A:M,8,0),VLOOKUP(B2143&amp;C2143&amp;Q2143,'New Weekly Paste'!B:O,10,0)),0)</f>
        <v>96.06</v>
      </c>
      <c r="K2143" s="259">
        <f>IFERROR(IFERROR(VLOOKUP(B2143&amp;I2143&amp;Q2143,'New Weekly Paste'!A:M,8,0),VLOOKUP(B2143&amp;I2143&amp;Q2143,'New Weekly Paste'!B:O,10,0)),0)</f>
        <v>110.5</v>
      </c>
      <c r="L2143" s="239">
        <f t="shared" si="25"/>
        <v>0</v>
      </c>
      <c r="M2143" s="36" t="str">
        <f t="shared" si="3"/>
        <v>Playoffs</v>
      </c>
      <c r="N2143" s="239" t="str">
        <f t="shared" si="26"/>
        <v>Buser</v>
      </c>
      <c r="O2143" s="6">
        <f>VLOOKUP(D2143,'Mapped Opponent'!$G$4:$H$22,2,0)</f>
        <v>16</v>
      </c>
      <c r="P2143" s="6"/>
      <c r="Q2143" s="6" t="str">
        <f t="shared" si="4"/>
        <v>Week 16</v>
      </c>
      <c r="R2143" s="6" t="str">
        <f t="shared" si="5"/>
        <v>2022Round 2</v>
      </c>
      <c r="S2143" s="6">
        <f>IFERROR(__xludf.DUMMYFUNCTION("rank(J2143,FILTER(J:J,R:R=R2143))"),3.0)</f>
        <v>3</v>
      </c>
      <c r="T2143" s="6">
        <f t="shared" si="6"/>
        <v>9</v>
      </c>
      <c r="U2143" s="6">
        <f t="shared" si="7"/>
        <v>3</v>
      </c>
      <c r="V2143" s="42">
        <f>averageif(AllData!A:A,B2143,AllData!R:R)/vlookup(B2143,AllData!A:O,15,0)</f>
        <v>92.75369048</v>
      </c>
      <c r="W2143" s="6"/>
    </row>
    <row r="2144" ht="14.25" customHeight="1">
      <c r="A2144" s="6" t="str">
        <f t="shared" si="1"/>
        <v>2022Buser16</v>
      </c>
      <c r="B2144" s="59">
        <v>2022.0</v>
      </c>
      <c r="C2144" s="13" t="s">
        <v>47</v>
      </c>
      <c r="D2144" s="13" t="s">
        <v>153</v>
      </c>
      <c r="E2144" s="34"/>
      <c r="F2144" s="6"/>
      <c r="H2144" s="6"/>
      <c r="I2144" s="35" t="str">
        <f>IFERROR(IFERROR(IFERROR(VLOOKUP(B2144&amp;C2144&amp;Q2144,'New Weekly Paste'!A:M,10,0),VLOOKUP(B2144&amp;C2144&amp;Q2144,'New Weekly Paste'!B:O,6,0)),""),"")</f>
        <v>Rooney/Jackson</v>
      </c>
      <c r="J2144" s="259">
        <f>IFERROR(IFERROR(VLOOKUP(B2144&amp;C2144&amp;Q2144,'New Weekly Paste'!A:M,8,0),VLOOKUP(B2144&amp;C2144&amp;Q2144,'New Weekly Paste'!B:O,10,0)),0)</f>
        <v>110.5</v>
      </c>
      <c r="K2144" s="259">
        <f>IFERROR(IFERROR(VLOOKUP(B2144&amp;I2144&amp;Q2144,'New Weekly Paste'!A:M,8,0),VLOOKUP(B2144&amp;I2144&amp;Q2144,'New Weekly Paste'!B:O,10,0)),0)</f>
        <v>96.06</v>
      </c>
      <c r="L2144" s="239">
        <f t="shared" si="25"/>
        <v>1</v>
      </c>
      <c r="M2144" s="36" t="str">
        <f t="shared" si="3"/>
        <v>Playoffs</v>
      </c>
      <c r="N2144" s="239" t="str">
        <f t="shared" si="26"/>
        <v>Rooney/Jackson</v>
      </c>
      <c r="O2144" s="6">
        <f>VLOOKUP(D2144,'Mapped Opponent'!$G$4:$H$22,2,0)</f>
        <v>16</v>
      </c>
      <c r="P2144" s="6"/>
      <c r="Q2144" s="6" t="str">
        <f t="shared" si="4"/>
        <v>Week 16</v>
      </c>
      <c r="R2144" s="6" t="str">
        <f t="shared" si="5"/>
        <v>2022Round 2</v>
      </c>
      <c r="S2144" s="6">
        <f>IFERROR(__xludf.DUMMYFUNCTION("rank(J2144,FILTER(J:J,R:R=R2144))"),2.0)</f>
        <v>2</v>
      </c>
      <c r="T2144" s="6">
        <f t="shared" si="6"/>
        <v>10</v>
      </c>
      <c r="U2144" s="6">
        <f t="shared" si="7"/>
        <v>2</v>
      </c>
      <c r="V2144" s="42">
        <f>averageif(AllData!A:A,B2144,AllData!R:R)/vlookup(B2144,AllData!A:O,15,0)</f>
        <v>92.75369048</v>
      </c>
      <c r="W2144" s="6"/>
    </row>
    <row r="2145" ht="14.25" customHeight="1">
      <c r="A2145" s="6" t="str">
        <f t="shared" si="1"/>
        <v>2022Pierson16</v>
      </c>
      <c r="B2145" s="59">
        <v>2022.0</v>
      </c>
      <c r="C2145" s="13" t="s">
        <v>92</v>
      </c>
      <c r="D2145" s="13" t="s">
        <v>153</v>
      </c>
      <c r="E2145" s="34"/>
      <c r="F2145" s="6"/>
      <c r="H2145" s="6"/>
      <c r="I2145" s="35" t="str">
        <f>IFERROR(IFERROR(IFERROR(VLOOKUP(B2145&amp;C2145&amp;Q2145,'New Weekly Paste'!A:M,10,0),VLOOKUP(B2145&amp;C2145&amp;Q2145,'New Weekly Paste'!B:O,6,0)),""),"")</f>
        <v>Cock</v>
      </c>
      <c r="J2145" s="259">
        <f>IFERROR(IFERROR(VLOOKUP(B2145&amp;C2145&amp;Q2145,'New Weekly Paste'!A:M,8,0),VLOOKUP(B2145&amp;C2145&amp;Q2145,'New Weekly Paste'!B:O,10,0)),0)</f>
        <v>92.96</v>
      </c>
      <c r="K2145" s="259">
        <f>IFERROR(IFERROR(VLOOKUP(B2145&amp;I2145&amp;Q2145,'New Weekly Paste'!A:M,8,0),VLOOKUP(B2145&amp;I2145&amp;Q2145,'New Weekly Paste'!B:O,10,0)),0)</f>
        <v>114.34</v>
      </c>
      <c r="L2145" s="239">
        <f t="shared" si="25"/>
        <v>0</v>
      </c>
      <c r="M2145" s="36" t="str">
        <f t="shared" si="3"/>
        <v>Playoffs</v>
      </c>
      <c r="N2145" s="239" t="str">
        <f t="shared" si="26"/>
        <v>Cock</v>
      </c>
      <c r="O2145" s="6">
        <f>VLOOKUP(D2145,'Mapped Opponent'!$G$4:$H$22,2,0)</f>
        <v>16</v>
      </c>
      <c r="P2145" s="6"/>
      <c r="Q2145" s="6" t="str">
        <f t="shared" si="4"/>
        <v>Week 16</v>
      </c>
      <c r="R2145" s="6" t="str">
        <f t="shared" si="5"/>
        <v>2022Round 2</v>
      </c>
      <c r="S2145" s="6">
        <f>IFERROR(__xludf.DUMMYFUNCTION("rank(J2145,FILTER(J:J,R:R=R2145))"),5.0)</f>
        <v>5</v>
      </c>
      <c r="T2145" s="6">
        <f t="shared" si="6"/>
        <v>7</v>
      </c>
      <c r="U2145" s="6">
        <f t="shared" si="7"/>
        <v>5</v>
      </c>
      <c r="V2145" s="42">
        <f>averageif(AllData!A:A,B2145,AllData!R:R)/vlookup(B2145,AllData!A:O,15,0)</f>
        <v>92.75369048</v>
      </c>
      <c r="W2145" s="6"/>
    </row>
    <row r="2146" ht="14.25" customHeight="1">
      <c r="A2146" s="6" t="str">
        <f t="shared" si="1"/>
        <v>2022Cock16</v>
      </c>
      <c r="B2146" s="59">
        <v>2022.0</v>
      </c>
      <c r="C2146" s="13" t="s">
        <v>72</v>
      </c>
      <c r="D2146" s="13" t="s">
        <v>153</v>
      </c>
      <c r="E2146" s="34"/>
      <c r="F2146" s="6"/>
      <c r="H2146" s="6"/>
      <c r="I2146" s="35" t="str">
        <f>IFERROR(IFERROR(IFERROR(VLOOKUP(B2146&amp;C2146&amp;Q2146,'New Weekly Paste'!A:M,10,0),VLOOKUP(B2146&amp;C2146&amp;Q2146,'New Weekly Paste'!B:O,6,0)),""),"")</f>
        <v>Pierson</v>
      </c>
      <c r="J2146" s="259">
        <f>IFERROR(IFERROR(VLOOKUP(B2146&amp;C2146&amp;Q2146,'New Weekly Paste'!A:M,8,0),VLOOKUP(B2146&amp;C2146&amp;Q2146,'New Weekly Paste'!B:O,10,0)),0)</f>
        <v>114.34</v>
      </c>
      <c r="K2146" s="259">
        <f>IFERROR(IFERROR(VLOOKUP(B2146&amp;I2146&amp;Q2146,'New Weekly Paste'!A:M,8,0),VLOOKUP(B2146&amp;I2146&amp;Q2146,'New Weekly Paste'!B:O,10,0)),0)</f>
        <v>92.96</v>
      </c>
      <c r="L2146" s="239">
        <f t="shared" si="25"/>
        <v>1</v>
      </c>
      <c r="M2146" s="36" t="str">
        <f t="shared" si="3"/>
        <v>Playoffs</v>
      </c>
      <c r="N2146" s="239" t="str">
        <f t="shared" si="26"/>
        <v>Pierson</v>
      </c>
      <c r="O2146" s="6">
        <f>VLOOKUP(D2146,'Mapped Opponent'!$G$4:$H$22,2,0)</f>
        <v>16</v>
      </c>
      <c r="P2146" s="6"/>
      <c r="Q2146" s="6" t="str">
        <f t="shared" si="4"/>
        <v>Week 16</v>
      </c>
      <c r="R2146" s="6" t="str">
        <f t="shared" si="5"/>
        <v>2022Round 2</v>
      </c>
      <c r="S2146" s="6">
        <f>IFERROR(__xludf.DUMMYFUNCTION("rank(J2146,FILTER(J:J,R:R=R2146))"),1.0)</f>
        <v>1</v>
      </c>
      <c r="T2146" s="6">
        <f t="shared" si="6"/>
        <v>11</v>
      </c>
      <c r="U2146" s="6">
        <f t="shared" si="7"/>
        <v>1</v>
      </c>
      <c r="V2146" s="42">
        <f>averageif(AllData!A:A,B2146,AllData!R:R)/vlookup(B2146,AllData!A:O,15,0)</f>
        <v>92.75369048</v>
      </c>
      <c r="W2146" s="6"/>
    </row>
    <row r="2147" ht="14.25" customHeight="1">
      <c r="A2147" s="6" t="str">
        <f t="shared" si="1"/>
        <v>2022Tayski16</v>
      </c>
      <c r="B2147" s="59">
        <v>2022.0</v>
      </c>
      <c r="C2147" s="13" t="s">
        <v>52</v>
      </c>
      <c r="D2147" s="13" t="s">
        <v>153</v>
      </c>
      <c r="E2147" s="34"/>
      <c r="F2147" s="6"/>
      <c r="H2147" s="6"/>
      <c r="I2147" s="35" t="str">
        <f>IFERROR(IFERROR(IFERROR(VLOOKUP(B2147&amp;C2147&amp;Q2147,'New Weekly Paste'!A:M,10,0),VLOOKUP(B2147&amp;C2147&amp;Q2147,'New Weekly Paste'!B:O,6,0)),""),"")</f>
        <v>Hudspeath</v>
      </c>
      <c r="J2147" s="259">
        <f>IFERROR(IFERROR(VLOOKUP(B2147&amp;C2147&amp;Q2147,'New Weekly Paste'!A:M,8,0),VLOOKUP(B2147&amp;C2147&amp;Q2147,'New Weekly Paste'!B:O,10,0)),0)</f>
        <v>94.58</v>
      </c>
      <c r="K2147" s="259">
        <f>IFERROR(IFERROR(VLOOKUP(B2147&amp;I2147&amp;Q2147,'New Weekly Paste'!A:M,8,0),VLOOKUP(B2147&amp;I2147&amp;Q2147,'New Weekly Paste'!B:O,10,0)),0)</f>
        <v>82.2</v>
      </c>
      <c r="L2147" s="239">
        <f t="shared" si="25"/>
        <v>1</v>
      </c>
      <c r="M2147" s="36" t="str">
        <f t="shared" si="3"/>
        <v>Playoffs</v>
      </c>
      <c r="N2147" s="239" t="str">
        <f t="shared" si="26"/>
        <v>Hudspeath</v>
      </c>
      <c r="O2147" s="6">
        <f>VLOOKUP(D2147,'Mapped Opponent'!$G$4:$H$22,2,0)</f>
        <v>16</v>
      </c>
      <c r="P2147" s="6"/>
      <c r="Q2147" s="6" t="str">
        <f t="shared" si="4"/>
        <v>Week 16</v>
      </c>
      <c r="R2147" s="6" t="str">
        <f t="shared" si="5"/>
        <v>2022Round 2</v>
      </c>
      <c r="S2147" s="6">
        <f>IFERROR(__xludf.DUMMYFUNCTION("rank(J2147,FILTER(J:J,R:R=R2147))"),4.0)</f>
        <v>4</v>
      </c>
      <c r="T2147" s="6">
        <f t="shared" si="6"/>
        <v>8</v>
      </c>
      <c r="U2147" s="6">
        <f t="shared" si="7"/>
        <v>4</v>
      </c>
      <c r="V2147" s="42">
        <f>averageif(AllData!A:A,B2147,AllData!R:R)/vlookup(B2147,AllData!A:O,15,0)</f>
        <v>92.75369048</v>
      </c>
      <c r="W2147" s="6"/>
    </row>
    <row r="2148" ht="14.25" customHeight="1">
      <c r="A2148" s="6" t="str">
        <f t="shared" si="1"/>
        <v>2022KnardDawg16</v>
      </c>
      <c r="B2148" s="59">
        <v>2022.0</v>
      </c>
      <c r="C2148" s="13" t="s">
        <v>86</v>
      </c>
      <c r="D2148" s="13" t="s">
        <v>153</v>
      </c>
      <c r="E2148" s="34"/>
      <c r="F2148" s="6"/>
      <c r="H2148" s="6"/>
      <c r="I2148" s="35" t="str">
        <f>IFERROR(IFERROR(IFERROR(VLOOKUP(B2148&amp;C2148&amp;Q2148,'New Weekly Paste'!A:M,10,0),VLOOKUP(B2148&amp;C2148&amp;Q2148,'New Weekly Paste'!B:O,6,0)),""),"")</f>
        <v>Riley</v>
      </c>
      <c r="J2148" s="259">
        <f>IFERROR(IFERROR(VLOOKUP(B2148&amp;C2148&amp;Q2148,'New Weekly Paste'!A:M,8,0),VLOOKUP(B2148&amp;C2148&amp;Q2148,'New Weekly Paste'!B:O,10,0)),0)</f>
        <v>59.6</v>
      </c>
      <c r="K2148" s="259">
        <f>IFERROR(IFERROR(VLOOKUP(B2148&amp;I2148&amp;Q2148,'New Weekly Paste'!A:M,8,0),VLOOKUP(B2148&amp;I2148&amp;Q2148,'New Weekly Paste'!B:O,10,0)),0)</f>
        <v>69.3</v>
      </c>
      <c r="L2148" s="239">
        <f t="shared" si="25"/>
        <v>0</v>
      </c>
      <c r="M2148" s="36" t="str">
        <f t="shared" si="3"/>
        <v>Playoffs</v>
      </c>
      <c r="N2148" s="239" t="str">
        <f t="shared" si="26"/>
        <v>Riley</v>
      </c>
      <c r="O2148" s="6">
        <f>VLOOKUP(D2148,'Mapped Opponent'!$G$4:$H$22,2,0)</f>
        <v>16</v>
      </c>
      <c r="P2148" s="6"/>
      <c r="Q2148" s="6" t="str">
        <f t="shared" si="4"/>
        <v>Week 16</v>
      </c>
      <c r="R2148" s="6" t="str">
        <f t="shared" si="5"/>
        <v>2022Round 2</v>
      </c>
      <c r="S2148" s="6">
        <f>IFERROR(__xludf.DUMMYFUNCTION("rank(J2148,FILTER(J:J,R:R=R2148))"),12.0)</f>
        <v>12</v>
      </c>
      <c r="T2148" s="6">
        <f t="shared" si="6"/>
        <v>0</v>
      </c>
      <c r="U2148" s="6">
        <f t="shared" si="7"/>
        <v>12</v>
      </c>
      <c r="V2148" s="42">
        <f>averageif(AllData!A:A,B2148,AllData!R:R)/vlookup(B2148,AllData!A:O,15,0)</f>
        <v>92.75369048</v>
      </c>
      <c r="W2148" s="6"/>
    </row>
    <row r="2149" ht="14.25" customHeight="1">
      <c r="A2149" s="6" t="str">
        <f t="shared" si="1"/>
        <v>2022T-How16</v>
      </c>
      <c r="B2149" s="59">
        <v>2022.0</v>
      </c>
      <c r="C2149" s="13" t="s">
        <v>82</v>
      </c>
      <c r="D2149" s="13" t="s">
        <v>153</v>
      </c>
      <c r="E2149" s="34"/>
      <c r="F2149" s="6"/>
      <c r="H2149" s="6"/>
      <c r="I2149" s="35" t="str">
        <f>IFERROR(IFERROR(IFERROR(VLOOKUP(B2149&amp;C2149&amp;Q2149,'New Weekly Paste'!A:M,10,0),VLOOKUP(B2149&amp;C2149&amp;Q2149,'New Weekly Paste'!B:O,6,0)),""),"")</f>
        <v>Shep</v>
      </c>
      <c r="J2149" s="259">
        <f>IFERROR(IFERROR(VLOOKUP(B2149&amp;C2149&amp;Q2149,'New Weekly Paste'!A:M,8,0),VLOOKUP(B2149&amp;C2149&amp;Q2149,'New Weekly Paste'!B:O,10,0)),0)</f>
        <v>68.06</v>
      </c>
      <c r="K2149" s="259">
        <f>IFERROR(IFERROR(VLOOKUP(B2149&amp;I2149&amp;Q2149,'New Weekly Paste'!A:M,8,0),VLOOKUP(B2149&amp;I2149&amp;Q2149,'New Weekly Paste'!B:O,10,0)),0)</f>
        <v>75.9</v>
      </c>
      <c r="L2149" s="239">
        <f t="shared" si="25"/>
        <v>0</v>
      </c>
      <c r="M2149" s="36" t="str">
        <f t="shared" si="3"/>
        <v>Playoffs</v>
      </c>
      <c r="N2149" s="239" t="str">
        <f t="shared" si="26"/>
        <v>Shep</v>
      </c>
      <c r="O2149" s="6">
        <f>VLOOKUP(D2149,'Mapped Opponent'!$G$4:$H$22,2,0)</f>
        <v>16</v>
      </c>
      <c r="P2149" s="6"/>
      <c r="Q2149" s="6" t="str">
        <f t="shared" si="4"/>
        <v>Week 16</v>
      </c>
      <c r="R2149" s="6" t="str">
        <f t="shared" si="5"/>
        <v>2022Round 2</v>
      </c>
      <c r="S2149" s="6">
        <f>IFERROR(__xludf.DUMMYFUNCTION("rank(J2149,FILTER(J:J,R:R=R2149))"),10.0)</f>
        <v>10</v>
      </c>
      <c r="T2149" s="6">
        <f t="shared" si="6"/>
        <v>2</v>
      </c>
      <c r="U2149" s="6">
        <f t="shared" si="7"/>
        <v>10</v>
      </c>
      <c r="V2149" s="42">
        <f>averageif(AllData!A:A,B2149,AllData!R:R)/vlookup(B2149,AllData!A:O,15,0)</f>
        <v>92.75369048</v>
      </c>
      <c r="W2149" s="6"/>
    </row>
    <row r="2150" ht="14.25" customHeight="1">
      <c r="A2150" s="6" t="str">
        <f t="shared" si="1"/>
        <v>2022Hudspeath17</v>
      </c>
      <c r="B2150" s="59">
        <v>2022.0</v>
      </c>
      <c r="C2150" s="13" t="s">
        <v>39</v>
      </c>
      <c r="D2150" s="13" t="s">
        <v>154</v>
      </c>
      <c r="E2150" s="34"/>
      <c r="F2150" s="6"/>
      <c r="H2150" s="6"/>
      <c r="I2150" s="35" t="str">
        <f>IFERROR(IFERROR(IFERROR(VLOOKUP(B2150&amp;C2150&amp;Q2150,'New Weekly Paste'!A:M,10,0),VLOOKUP(B2150&amp;C2150&amp;Q2150,'New Weekly Paste'!B:O,6,0)),""),"")</f>
        <v>Tayski</v>
      </c>
      <c r="J2150" s="259">
        <f>IFERROR(IFERROR(VLOOKUP(B2150&amp;C2150&amp;Q2150,'New Weekly Paste'!A:M,8,0),VLOOKUP(B2150&amp;C2150&amp;Q2150,'New Weekly Paste'!B:O,10,0)),0)</f>
        <v>85.12</v>
      </c>
      <c r="K2150" s="259">
        <f>IFERROR(IFERROR(VLOOKUP(B2150&amp;I2150&amp;Q2150,'New Weekly Paste'!A:M,8,0),VLOOKUP(B2150&amp;I2150&amp;Q2150,'New Weekly Paste'!B:O,10,0)),0)</f>
        <v>45.02</v>
      </c>
      <c r="L2150" s="239">
        <f t="shared" si="25"/>
        <v>1</v>
      </c>
      <c r="M2150" s="36" t="str">
        <f t="shared" si="3"/>
        <v>Playoffs</v>
      </c>
      <c r="N2150" s="239" t="str">
        <f t="shared" si="26"/>
        <v>Tayski</v>
      </c>
      <c r="O2150" s="6">
        <f>VLOOKUP(D2150,'Mapped Opponent'!$G$4:$H$22,2,0)</f>
        <v>17</v>
      </c>
      <c r="P2150" s="6"/>
      <c r="Q2150" s="6" t="str">
        <f t="shared" si="4"/>
        <v>Week 17</v>
      </c>
      <c r="R2150" s="6" t="str">
        <f t="shared" si="5"/>
        <v>2022Round 3</v>
      </c>
      <c r="S2150" s="6">
        <f>IFERROR(__xludf.DUMMYFUNCTION("rank(J2150,FILTER(J:J,R:R=R2150))"),6.0)</f>
        <v>6</v>
      </c>
      <c r="T2150" s="6">
        <f t="shared" si="6"/>
        <v>6</v>
      </c>
      <c r="U2150" s="6">
        <f t="shared" si="7"/>
        <v>6</v>
      </c>
      <c r="V2150" s="42">
        <f>averageif(AllData!A:A,B2150,AllData!R:R)/vlookup(B2150,AllData!A:O,15,0)</f>
        <v>92.75369048</v>
      </c>
      <c r="W2150" s="6"/>
    </row>
    <row r="2151" ht="14.25" customHeight="1">
      <c r="A2151" s="6" t="str">
        <f t="shared" si="1"/>
        <v>2022Salty17</v>
      </c>
      <c r="B2151" s="59">
        <v>2022.0</v>
      </c>
      <c r="C2151" s="13" t="s">
        <v>76</v>
      </c>
      <c r="D2151" s="13" t="s">
        <v>154</v>
      </c>
      <c r="E2151" s="34"/>
      <c r="F2151" s="6"/>
      <c r="H2151" s="6"/>
      <c r="I2151" s="35" t="str">
        <f>IFERROR(IFERROR(IFERROR(VLOOKUP(B2151&amp;C2151&amp;Q2151,'New Weekly Paste'!A:M,10,0),VLOOKUP(B2151&amp;C2151&amp;Q2151,'New Weekly Paste'!B:O,6,0)),""),"")</f>
        <v>Buser</v>
      </c>
      <c r="J2151" s="259">
        <f>IFERROR(IFERROR(VLOOKUP(B2151&amp;C2151&amp;Q2151,'New Weekly Paste'!A:M,8,0),VLOOKUP(B2151&amp;C2151&amp;Q2151,'New Weekly Paste'!B:O,10,0)),0)</f>
        <v>86.08</v>
      </c>
      <c r="K2151" s="259">
        <f>IFERROR(IFERROR(VLOOKUP(B2151&amp;I2151&amp;Q2151,'New Weekly Paste'!A:M,8,0),VLOOKUP(B2151&amp;I2151&amp;Q2151,'New Weekly Paste'!B:O,10,0)),0)</f>
        <v>109.28</v>
      </c>
      <c r="L2151" s="239">
        <f t="shared" si="25"/>
        <v>0</v>
      </c>
      <c r="M2151" s="36" t="str">
        <f t="shared" si="3"/>
        <v>Playoffs</v>
      </c>
      <c r="N2151" s="239" t="str">
        <f t="shared" si="26"/>
        <v>Buser</v>
      </c>
      <c r="O2151" s="6">
        <f>VLOOKUP(D2151,'Mapped Opponent'!$G$4:$H$22,2,0)</f>
        <v>17</v>
      </c>
      <c r="P2151" s="6"/>
      <c r="Q2151" s="6" t="str">
        <f t="shared" si="4"/>
        <v>Week 17</v>
      </c>
      <c r="R2151" s="6" t="str">
        <f t="shared" si="5"/>
        <v>2022Round 3</v>
      </c>
      <c r="S2151" s="6">
        <f>IFERROR(__xludf.DUMMYFUNCTION("rank(J2151,FILTER(J:J,R:R=R2151))"),5.0)</f>
        <v>5</v>
      </c>
      <c r="T2151" s="6">
        <f t="shared" si="6"/>
        <v>7</v>
      </c>
      <c r="U2151" s="6">
        <f t="shared" si="7"/>
        <v>5</v>
      </c>
      <c r="V2151" s="42">
        <f>averageif(AllData!A:A,B2151,AllData!R:R)/vlookup(B2151,AllData!A:O,15,0)</f>
        <v>92.75369048</v>
      </c>
      <c r="W2151" s="6"/>
    </row>
    <row r="2152" ht="14.25" customHeight="1">
      <c r="A2152" s="6" t="str">
        <f t="shared" si="1"/>
        <v>2022Fellows17</v>
      </c>
      <c r="B2152" s="59">
        <v>2022.0</v>
      </c>
      <c r="C2152" s="13" t="s">
        <v>79</v>
      </c>
      <c r="D2152" s="13" t="s">
        <v>154</v>
      </c>
      <c r="E2152" s="34"/>
      <c r="F2152" s="6"/>
      <c r="H2152" s="6"/>
      <c r="I2152" s="35" t="str">
        <f>IFERROR(IFERROR(IFERROR(VLOOKUP(B2152&amp;C2152&amp;Q2152,'New Weekly Paste'!A:M,10,0),VLOOKUP(B2152&amp;C2152&amp;Q2152,'New Weekly Paste'!B:O,6,0)),""),"")</f>
        <v>Rooney/Jackson</v>
      </c>
      <c r="J2152" s="259">
        <f>IFERROR(IFERROR(VLOOKUP(B2152&amp;C2152&amp;Q2152,'New Weekly Paste'!A:M,8,0),VLOOKUP(B2152&amp;C2152&amp;Q2152,'New Weekly Paste'!B:O,10,0)),0)</f>
        <v>64.1</v>
      </c>
      <c r="K2152" s="259">
        <f>IFERROR(IFERROR(VLOOKUP(B2152&amp;I2152&amp;Q2152,'New Weekly Paste'!A:M,8,0),VLOOKUP(B2152&amp;I2152&amp;Q2152,'New Weekly Paste'!B:O,10,0)),0)</f>
        <v>95.06</v>
      </c>
      <c r="L2152" s="239">
        <f t="shared" si="25"/>
        <v>0</v>
      </c>
      <c r="M2152" s="36" t="str">
        <f t="shared" si="3"/>
        <v>Playoffs</v>
      </c>
      <c r="N2152" s="239" t="str">
        <f t="shared" si="26"/>
        <v>Rooney/Jackson</v>
      </c>
      <c r="O2152" s="6">
        <f>VLOOKUP(D2152,'Mapped Opponent'!$G$4:$H$22,2,0)</f>
        <v>17</v>
      </c>
      <c r="P2152" s="6"/>
      <c r="Q2152" s="6" t="str">
        <f t="shared" si="4"/>
        <v>Week 17</v>
      </c>
      <c r="R2152" s="6" t="str">
        <f t="shared" si="5"/>
        <v>2022Round 3</v>
      </c>
      <c r="S2152" s="6">
        <f>IFERROR(__xludf.DUMMYFUNCTION("rank(J2152,FILTER(J:J,R:R=R2152))"),9.0)</f>
        <v>9</v>
      </c>
      <c r="T2152" s="6">
        <f t="shared" si="6"/>
        <v>3</v>
      </c>
      <c r="U2152" s="6">
        <f t="shared" si="7"/>
        <v>9</v>
      </c>
      <c r="V2152" s="42">
        <f>averageif(AllData!A:A,B2152,AllData!R:R)/vlookup(B2152,AllData!A:O,15,0)</f>
        <v>92.75369048</v>
      </c>
      <c r="W2152" s="6"/>
    </row>
    <row r="2153" ht="14.25" customHeight="1">
      <c r="A2153" s="6" t="str">
        <f t="shared" si="1"/>
        <v>2022Shep17</v>
      </c>
      <c r="B2153" s="59">
        <v>2022.0</v>
      </c>
      <c r="C2153" s="13" t="s">
        <v>89</v>
      </c>
      <c r="D2153" s="13" t="s">
        <v>154</v>
      </c>
      <c r="E2153" s="34"/>
      <c r="F2153" s="6"/>
      <c r="H2153" s="6"/>
      <c r="I2153" s="35" t="str">
        <f>IFERROR(IFERROR(IFERROR(VLOOKUP(B2153&amp;C2153&amp;Q2153,'New Weekly Paste'!A:M,10,0),VLOOKUP(B2153&amp;C2153&amp;Q2153,'New Weekly Paste'!B:O,6,0)),""),"")</f>
        <v>Cock</v>
      </c>
      <c r="J2153" s="259">
        <f>IFERROR(IFERROR(VLOOKUP(B2153&amp;C2153&amp;Q2153,'New Weekly Paste'!A:M,8,0),VLOOKUP(B2153&amp;C2153&amp;Q2153,'New Weekly Paste'!B:O,10,0)),0)</f>
        <v>62.08</v>
      </c>
      <c r="K2153" s="259">
        <f>IFERROR(IFERROR(VLOOKUP(B2153&amp;I2153&amp;Q2153,'New Weekly Paste'!A:M,8,0),VLOOKUP(B2153&amp;I2153&amp;Q2153,'New Weekly Paste'!B:O,10,0)),0)</f>
        <v>125.78</v>
      </c>
      <c r="L2153" s="239">
        <f t="shared" si="25"/>
        <v>0</v>
      </c>
      <c r="M2153" s="36" t="str">
        <f t="shared" si="3"/>
        <v>Playoffs</v>
      </c>
      <c r="N2153" s="239" t="str">
        <f t="shared" si="26"/>
        <v>Cock</v>
      </c>
      <c r="O2153" s="6">
        <f>VLOOKUP(D2153,'Mapped Opponent'!$G$4:$H$22,2,0)</f>
        <v>17</v>
      </c>
      <c r="P2153" s="6"/>
      <c r="Q2153" s="6" t="str">
        <f t="shared" si="4"/>
        <v>Week 17</v>
      </c>
      <c r="R2153" s="6" t="str">
        <f t="shared" si="5"/>
        <v>2022Round 3</v>
      </c>
      <c r="S2153" s="6">
        <f>IFERROR(__xludf.DUMMYFUNCTION("rank(J2153,FILTER(J:J,R:R=R2153))"),10.0)</f>
        <v>10</v>
      </c>
      <c r="T2153" s="6">
        <f t="shared" si="6"/>
        <v>2</v>
      </c>
      <c r="U2153" s="6">
        <f t="shared" si="7"/>
        <v>10</v>
      </c>
      <c r="V2153" s="42">
        <f>averageif(AllData!A:A,B2153,AllData!R:R)/vlookup(B2153,AllData!A:O,15,0)</f>
        <v>92.75369048</v>
      </c>
      <c r="W2153" s="6"/>
    </row>
    <row r="2154" ht="14.25" customHeight="1">
      <c r="A2154" s="6" t="str">
        <f t="shared" si="1"/>
        <v>2022Riley17</v>
      </c>
      <c r="B2154" s="59">
        <v>2022.0</v>
      </c>
      <c r="C2154" s="13" t="s">
        <v>67</v>
      </c>
      <c r="D2154" s="13" t="s">
        <v>154</v>
      </c>
      <c r="E2154" s="34"/>
      <c r="F2154" s="6"/>
      <c r="H2154" s="6"/>
      <c r="I2154" s="35" t="str">
        <f>IFERROR(IFERROR(IFERROR(VLOOKUP(B2154&amp;C2154&amp;Q2154,'New Weekly Paste'!A:M,10,0),VLOOKUP(B2154&amp;C2154&amp;Q2154,'New Weekly Paste'!B:O,6,0)),""),"")</f>
        <v>T-How</v>
      </c>
      <c r="J2154" s="259">
        <f>IFERROR(IFERROR(VLOOKUP(B2154&amp;C2154&amp;Q2154,'New Weekly Paste'!A:M,8,0),VLOOKUP(B2154&amp;C2154&amp;Q2154,'New Weekly Paste'!B:O,10,0)),0)</f>
        <v>72.7</v>
      </c>
      <c r="K2154" s="259">
        <f>IFERROR(IFERROR(VLOOKUP(B2154&amp;I2154&amp;Q2154,'New Weekly Paste'!A:M,8,0),VLOOKUP(B2154&amp;I2154&amp;Q2154,'New Weekly Paste'!B:O,10,0)),0)</f>
        <v>97.7</v>
      </c>
      <c r="L2154" s="239">
        <f t="shared" si="25"/>
        <v>0</v>
      </c>
      <c r="M2154" s="36" t="str">
        <f t="shared" si="3"/>
        <v>Playoffs</v>
      </c>
      <c r="N2154" s="239" t="str">
        <f t="shared" si="26"/>
        <v>T-How</v>
      </c>
      <c r="O2154" s="6">
        <f>VLOOKUP(D2154,'Mapped Opponent'!$G$4:$H$22,2,0)</f>
        <v>17</v>
      </c>
      <c r="P2154" s="6"/>
      <c r="Q2154" s="6" t="str">
        <f t="shared" si="4"/>
        <v>Week 17</v>
      </c>
      <c r="R2154" s="6" t="str">
        <f t="shared" si="5"/>
        <v>2022Round 3</v>
      </c>
      <c r="S2154" s="6">
        <f>IFERROR(__xludf.DUMMYFUNCTION("rank(J2154,FILTER(J:J,R:R=R2154))"),8.0)</f>
        <v>8</v>
      </c>
      <c r="T2154" s="6">
        <f t="shared" si="6"/>
        <v>4</v>
      </c>
      <c r="U2154" s="6">
        <f t="shared" si="7"/>
        <v>8</v>
      </c>
      <c r="V2154" s="42">
        <f>averageif(AllData!A:A,B2154,AllData!R:R)/vlookup(B2154,AllData!A:O,15,0)</f>
        <v>92.75369048</v>
      </c>
      <c r="W2154" s="6"/>
    </row>
    <row r="2155" ht="14.25" customHeight="1">
      <c r="A2155" s="6" t="str">
        <f t="shared" si="1"/>
        <v>2022Rooney/Jackson17</v>
      </c>
      <c r="B2155" s="59">
        <v>2022.0</v>
      </c>
      <c r="C2155" s="13" t="s">
        <v>57</v>
      </c>
      <c r="D2155" s="13" t="s">
        <v>154</v>
      </c>
      <c r="E2155" s="34"/>
      <c r="F2155" s="6"/>
      <c r="H2155" s="6"/>
      <c r="I2155" s="35" t="str">
        <f>IFERROR(IFERROR(IFERROR(VLOOKUP(B2155&amp;C2155&amp;Q2155,'New Weekly Paste'!A:M,10,0),VLOOKUP(B2155&amp;C2155&amp;Q2155,'New Weekly Paste'!B:O,6,0)),""),"")</f>
        <v>Fellows</v>
      </c>
      <c r="J2155" s="259">
        <f>IFERROR(IFERROR(VLOOKUP(B2155&amp;C2155&amp;Q2155,'New Weekly Paste'!A:M,8,0),VLOOKUP(B2155&amp;C2155&amp;Q2155,'New Weekly Paste'!B:O,10,0)),0)</f>
        <v>95.06</v>
      </c>
      <c r="K2155" s="259">
        <f>IFERROR(IFERROR(VLOOKUP(B2155&amp;I2155&amp;Q2155,'New Weekly Paste'!A:M,8,0),VLOOKUP(B2155&amp;I2155&amp;Q2155,'New Weekly Paste'!B:O,10,0)),0)</f>
        <v>64.1</v>
      </c>
      <c r="L2155" s="239">
        <f t="shared" si="25"/>
        <v>1</v>
      </c>
      <c r="M2155" s="36" t="str">
        <f t="shared" si="3"/>
        <v>Playoffs</v>
      </c>
      <c r="N2155" s="239" t="str">
        <f t="shared" si="26"/>
        <v>Fellows</v>
      </c>
      <c r="O2155" s="6">
        <f>VLOOKUP(D2155,'Mapped Opponent'!$G$4:$H$22,2,0)</f>
        <v>17</v>
      </c>
      <c r="P2155" s="6"/>
      <c r="Q2155" s="6" t="str">
        <f t="shared" si="4"/>
        <v>Week 17</v>
      </c>
      <c r="R2155" s="6" t="str">
        <f t="shared" si="5"/>
        <v>2022Round 3</v>
      </c>
      <c r="S2155" s="6">
        <f>IFERROR(__xludf.DUMMYFUNCTION("rank(J2155,FILTER(J:J,R:R=R2155))"),4.0)</f>
        <v>4</v>
      </c>
      <c r="T2155" s="6">
        <f t="shared" si="6"/>
        <v>8</v>
      </c>
      <c r="U2155" s="6">
        <f t="shared" si="7"/>
        <v>4</v>
      </c>
      <c r="V2155" s="42">
        <f>averageif(AllData!A:A,B2155,AllData!R:R)/vlookup(B2155,AllData!A:O,15,0)</f>
        <v>92.75369048</v>
      </c>
      <c r="W2155" s="6"/>
    </row>
    <row r="2156" ht="14.25" customHeight="1">
      <c r="A2156" s="6" t="str">
        <f t="shared" si="1"/>
        <v>2022Buser17</v>
      </c>
      <c r="B2156" s="59">
        <v>2022.0</v>
      </c>
      <c r="C2156" s="13" t="s">
        <v>47</v>
      </c>
      <c r="D2156" s="13" t="s">
        <v>154</v>
      </c>
      <c r="E2156" s="34"/>
      <c r="F2156" s="6"/>
      <c r="H2156" s="6"/>
      <c r="I2156" s="35" t="str">
        <f>IFERROR(IFERROR(IFERROR(VLOOKUP(B2156&amp;C2156&amp;Q2156,'New Weekly Paste'!A:M,10,0),VLOOKUP(B2156&amp;C2156&amp;Q2156,'New Weekly Paste'!B:O,6,0)),""),"")</f>
        <v>Salty</v>
      </c>
      <c r="J2156" s="259">
        <f>IFERROR(IFERROR(VLOOKUP(B2156&amp;C2156&amp;Q2156,'New Weekly Paste'!A:M,8,0),VLOOKUP(B2156&amp;C2156&amp;Q2156,'New Weekly Paste'!B:O,10,0)),0)</f>
        <v>109.28</v>
      </c>
      <c r="K2156" s="259">
        <f>IFERROR(IFERROR(VLOOKUP(B2156&amp;I2156&amp;Q2156,'New Weekly Paste'!A:M,8,0),VLOOKUP(B2156&amp;I2156&amp;Q2156,'New Weekly Paste'!B:O,10,0)),0)</f>
        <v>86.08</v>
      </c>
      <c r="L2156" s="239">
        <f t="shared" si="25"/>
        <v>1</v>
      </c>
      <c r="M2156" s="36" t="str">
        <f t="shared" si="3"/>
        <v>Playoffs</v>
      </c>
      <c r="N2156" s="239" t="str">
        <f t="shared" si="26"/>
        <v>Salty</v>
      </c>
      <c r="O2156" s="6">
        <f>VLOOKUP(D2156,'Mapped Opponent'!$G$4:$H$22,2,0)</f>
        <v>17</v>
      </c>
      <c r="P2156" s="6"/>
      <c r="Q2156" s="6" t="str">
        <f t="shared" si="4"/>
        <v>Week 17</v>
      </c>
      <c r="R2156" s="6" t="str">
        <f t="shared" si="5"/>
        <v>2022Round 3</v>
      </c>
      <c r="S2156" s="6">
        <f>IFERROR(__xludf.DUMMYFUNCTION("rank(J2156,FILTER(J:J,R:R=R2156))"),2.0)</f>
        <v>2</v>
      </c>
      <c r="T2156" s="6">
        <f t="shared" si="6"/>
        <v>10</v>
      </c>
      <c r="U2156" s="6">
        <f t="shared" si="7"/>
        <v>2</v>
      </c>
      <c r="V2156" s="42">
        <f>averageif(AllData!A:A,B2156,AllData!R:R)/vlookup(B2156,AllData!A:O,15,0)</f>
        <v>92.75369048</v>
      </c>
      <c r="W2156" s="6"/>
    </row>
    <row r="2157" ht="14.25" customHeight="1">
      <c r="A2157" s="6" t="str">
        <f t="shared" si="1"/>
        <v>2022Pierson17</v>
      </c>
      <c r="B2157" s="59">
        <v>2022.0</v>
      </c>
      <c r="C2157" s="13" t="s">
        <v>92</v>
      </c>
      <c r="D2157" s="13" t="s">
        <v>154</v>
      </c>
      <c r="E2157" s="34"/>
      <c r="F2157" s="6"/>
      <c r="H2157" s="6"/>
      <c r="I2157" s="35" t="str">
        <f>IFERROR(IFERROR(IFERROR(VLOOKUP(B2157&amp;C2157&amp;Q2157,'New Weekly Paste'!A:M,10,0),VLOOKUP(B2157&amp;C2157&amp;Q2157,'New Weekly Paste'!B:O,6,0)),""),"")</f>
        <v>KnardDawg</v>
      </c>
      <c r="J2157" s="259">
        <f>IFERROR(IFERROR(VLOOKUP(B2157&amp;C2157&amp;Q2157,'New Weekly Paste'!A:M,8,0),VLOOKUP(B2157&amp;C2157&amp;Q2157,'New Weekly Paste'!B:O,10,0)),0)</f>
        <v>83.92</v>
      </c>
      <c r="K2157" s="259">
        <f>IFERROR(IFERROR(VLOOKUP(B2157&amp;I2157&amp;Q2157,'New Weekly Paste'!A:M,8,0),VLOOKUP(B2157&amp;I2157&amp;Q2157,'New Weekly Paste'!B:O,10,0)),0)</f>
        <v>50.8</v>
      </c>
      <c r="L2157" s="239">
        <f t="shared" si="25"/>
        <v>1</v>
      </c>
      <c r="M2157" s="36" t="str">
        <f t="shared" si="3"/>
        <v>Playoffs</v>
      </c>
      <c r="N2157" s="239" t="str">
        <f t="shared" si="26"/>
        <v>KnardDawg</v>
      </c>
      <c r="O2157" s="6">
        <f>VLOOKUP(D2157,'Mapped Opponent'!$G$4:$H$22,2,0)</f>
        <v>17</v>
      </c>
      <c r="P2157" s="6"/>
      <c r="Q2157" s="6" t="str">
        <f t="shared" si="4"/>
        <v>Week 17</v>
      </c>
      <c r="R2157" s="6" t="str">
        <f t="shared" si="5"/>
        <v>2022Round 3</v>
      </c>
      <c r="S2157" s="6">
        <f>IFERROR(__xludf.DUMMYFUNCTION("rank(J2157,FILTER(J:J,R:R=R2157))"),7.0)</f>
        <v>7</v>
      </c>
      <c r="T2157" s="6">
        <f t="shared" si="6"/>
        <v>5</v>
      </c>
      <c r="U2157" s="6">
        <f t="shared" si="7"/>
        <v>7</v>
      </c>
      <c r="V2157" s="42">
        <f>averageif(AllData!A:A,B2157,AllData!R:R)/vlookup(B2157,AllData!A:O,15,0)</f>
        <v>92.75369048</v>
      </c>
      <c r="W2157" s="6"/>
    </row>
    <row r="2158" ht="14.25" customHeight="1">
      <c r="A2158" s="6" t="str">
        <f t="shared" si="1"/>
        <v>2022Cock17</v>
      </c>
      <c r="B2158" s="59">
        <v>2022.0</v>
      </c>
      <c r="C2158" s="13" t="s">
        <v>72</v>
      </c>
      <c r="D2158" s="13" t="s">
        <v>154</v>
      </c>
      <c r="E2158" s="34"/>
      <c r="F2158" s="6"/>
      <c r="H2158" s="6"/>
      <c r="I2158" s="35" t="str">
        <f>IFERROR(IFERROR(IFERROR(VLOOKUP(B2158&amp;C2158&amp;Q2158,'New Weekly Paste'!A:M,10,0),VLOOKUP(B2158&amp;C2158&amp;Q2158,'New Weekly Paste'!B:O,6,0)),""),"")</f>
        <v>Shep</v>
      </c>
      <c r="J2158" s="259">
        <f>IFERROR(IFERROR(VLOOKUP(B2158&amp;C2158&amp;Q2158,'New Weekly Paste'!A:M,8,0),VLOOKUP(B2158&amp;C2158&amp;Q2158,'New Weekly Paste'!B:O,10,0)),0)</f>
        <v>125.78</v>
      </c>
      <c r="K2158" s="259">
        <f>IFERROR(IFERROR(VLOOKUP(B2158&amp;I2158&amp;Q2158,'New Weekly Paste'!A:M,8,0),VLOOKUP(B2158&amp;I2158&amp;Q2158,'New Weekly Paste'!B:O,10,0)),0)</f>
        <v>62.08</v>
      </c>
      <c r="L2158" s="239">
        <f t="shared" si="25"/>
        <v>1</v>
      </c>
      <c r="M2158" s="36" t="str">
        <f t="shared" si="3"/>
        <v>Playoffs</v>
      </c>
      <c r="N2158" s="239" t="str">
        <f t="shared" si="26"/>
        <v>Shep</v>
      </c>
      <c r="O2158" s="6">
        <f>VLOOKUP(D2158,'Mapped Opponent'!$G$4:$H$22,2,0)</f>
        <v>17</v>
      </c>
      <c r="P2158" s="6"/>
      <c r="Q2158" s="6" t="str">
        <f t="shared" si="4"/>
        <v>Week 17</v>
      </c>
      <c r="R2158" s="6" t="str">
        <f t="shared" si="5"/>
        <v>2022Round 3</v>
      </c>
      <c r="S2158" s="6">
        <f>IFERROR(__xludf.DUMMYFUNCTION("rank(J2158,FILTER(J:J,R:R=R2158))"),1.0)</f>
        <v>1</v>
      </c>
      <c r="T2158" s="6">
        <f t="shared" si="6"/>
        <v>11</v>
      </c>
      <c r="U2158" s="6">
        <f t="shared" si="7"/>
        <v>1</v>
      </c>
      <c r="V2158" s="42">
        <f>averageif(AllData!A:A,B2158,AllData!R:R)/vlookup(B2158,AllData!A:O,15,0)</f>
        <v>92.75369048</v>
      </c>
      <c r="W2158" s="6"/>
    </row>
    <row r="2159" ht="14.25" customHeight="1">
      <c r="A2159" s="6" t="str">
        <f t="shared" si="1"/>
        <v>2022Tayski17</v>
      </c>
      <c r="B2159" s="59">
        <v>2022.0</v>
      </c>
      <c r="C2159" s="13" t="s">
        <v>52</v>
      </c>
      <c r="D2159" s="13" t="s">
        <v>154</v>
      </c>
      <c r="E2159" s="34"/>
      <c r="F2159" s="6"/>
      <c r="H2159" s="6"/>
      <c r="I2159" s="35" t="str">
        <f>IFERROR(IFERROR(IFERROR(VLOOKUP(B2159&amp;C2159&amp;Q2159,'New Weekly Paste'!A:M,10,0),VLOOKUP(B2159&amp;C2159&amp;Q2159,'New Weekly Paste'!B:O,6,0)),""),"")</f>
        <v>Hudspeath</v>
      </c>
      <c r="J2159" s="259">
        <f>IFERROR(IFERROR(VLOOKUP(B2159&amp;C2159&amp;Q2159,'New Weekly Paste'!A:M,8,0),VLOOKUP(B2159&amp;C2159&amp;Q2159,'New Weekly Paste'!B:O,10,0)),0)</f>
        <v>45.02</v>
      </c>
      <c r="K2159" s="259">
        <f>IFERROR(IFERROR(VLOOKUP(B2159&amp;I2159&amp;Q2159,'New Weekly Paste'!A:M,8,0),VLOOKUP(B2159&amp;I2159&amp;Q2159,'New Weekly Paste'!B:O,10,0)),0)</f>
        <v>85.12</v>
      </c>
      <c r="L2159" s="239">
        <f t="shared" si="25"/>
        <v>0</v>
      </c>
      <c r="M2159" s="36" t="str">
        <f t="shared" si="3"/>
        <v>Playoffs</v>
      </c>
      <c r="N2159" s="239" t="str">
        <f t="shared" si="26"/>
        <v>Hudspeath</v>
      </c>
      <c r="O2159" s="6">
        <f>VLOOKUP(D2159,'Mapped Opponent'!$G$4:$H$22,2,0)</f>
        <v>17</v>
      </c>
      <c r="P2159" s="6"/>
      <c r="Q2159" s="6" t="str">
        <f t="shared" si="4"/>
        <v>Week 17</v>
      </c>
      <c r="R2159" s="6" t="str">
        <f t="shared" si="5"/>
        <v>2022Round 3</v>
      </c>
      <c r="S2159" s="6">
        <f>IFERROR(__xludf.DUMMYFUNCTION("rank(J2159,FILTER(J:J,R:R=R2159))"),12.0)</f>
        <v>12</v>
      </c>
      <c r="T2159" s="6">
        <f t="shared" si="6"/>
        <v>0</v>
      </c>
      <c r="U2159" s="6">
        <f t="shared" si="7"/>
        <v>12</v>
      </c>
      <c r="V2159" s="42">
        <f>averageif(AllData!A:A,B2159,AllData!R:R)/vlookup(B2159,AllData!A:O,15,0)</f>
        <v>92.75369048</v>
      </c>
      <c r="W2159" s="6"/>
    </row>
    <row r="2160" ht="14.25" customHeight="1">
      <c r="A2160" s="6" t="str">
        <f t="shared" si="1"/>
        <v>2022KnardDawg17</v>
      </c>
      <c r="B2160" s="59">
        <v>2022.0</v>
      </c>
      <c r="C2160" s="13" t="s">
        <v>86</v>
      </c>
      <c r="D2160" s="13" t="s">
        <v>154</v>
      </c>
      <c r="E2160" s="34"/>
      <c r="F2160" s="6"/>
      <c r="H2160" s="6"/>
      <c r="I2160" s="35" t="str">
        <f>IFERROR(IFERROR(IFERROR(VLOOKUP(B2160&amp;C2160&amp;Q2160,'New Weekly Paste'!A:M,10,0),VLOOKUP(B2160&amp;C2160&amp;Q2160,'New Weekly Paste'!B:O,6,0)),""),"")</f>
        <v>Pierson</v>
      </c>
      <c r="J2160" s="259">
        <f>IFERROR(IFERROR(VLOOKUP(B2160&amp;C2160&amp;Q2160,'New Weekly Paste'!A:M,8,0),VLOOKUP(B2160&amp;C2160&amp;Q2160,'New Weekly Paste'!B:O,10,0)),0)</f>
        <v>50.8</v>
      </c>
      <c r="K2160" s="259">
        <f>IFERROR(IFERROR(VLOOKUP(B2160&amp;I2160&amp;Q2160,'New Weekly Paste'!A:M,8,0),VLOOKUP(B2160&amp;I2160&amp;Q2160,'New Weekly Paste'!B:O,10,0)),0)</f>
        <v>83.92</v>
      </c>
      <c r="L2160" s="239">
        <f t="shared" si="25"/>
        <v>0</v>
      </c>
      <c r="M2160" s="36" t="str">
        <f t="shared" si="3"/>
        <v>Playoffs</v>
      </c>
      <c r="N2160" s="239" t="str">
        <f t="shared" si="26"/>
        <v>Pierson</v>
      </c>
      <c r="O2160" s="6">
        <f>VLOOKUP(D2160,'Mapped Opponent'!$G$4:$H$22,2,0)</f>
        <v>17</v>
      </c>
      <c r="P2160" s="6"/>
      <c r="Q2160" s="6" t="str">
        <f t="shared" si="4"/>
        <v>Week 17</v>
      </c>
      <c r="R2160" s="6" t="str">
        <f t="shared" si="5"/>
        <v>2022Round 3</v>
      </c>
      <c r="S2160" s="6">
        <f>IFERROR(__xludf.DUMMYFUNCTION("rank(J2160,FILTER(J:J,R:R=R2160))"),11.0)</f>
        <v>11</v>
      </c>
      <c r="T2160" s="6">
        <f t="shared" si="6"/>
        <v>1</v>
      </c>
      <c r="U2160" s="6">
        <f t="shared" si="7"/>
        <v>11</v>
      </c>
      <c r="V2160" s="42">
        <f>averageif(AllData!A:A,B2160,AllData!R:R)/vlookup(B2160,AllData!A:O,15,0)</f>
        <v>92.75369048</v>
      </c>
      <c r="W2160" s="6"/>
    </row>
    <row r="2161" ht="14.25" customHeight="1">
      <c r="A2161" s="6" t="str">
        <f t="shared" si="1"/>
        <v>2022T-How17</v>
      </c>
      <c r="B2161" s="59">
        <v>2022.0</v>
      </c>
      <c r="C2161" s="13" t="s">
        <v>82</v>
      </c>
      <c r="D2161" s="13" t="s">
        <v>154</v>
      </c>
      <c r="E2161" s="34"/>
      <c r="F2161" s="6"/>
      <c r="H2161" s="6"/>
      <c r="I2161" s="35" t="str">
        <f>IFERROR(IFERROR(IFERROR(VLOOKUP(B2161&amp;C2161&amp;Q2161,'New Weekly Paste'!A:M,10,0),VLOOKUP(B2161&amp;C2161&amp;Q2161,'New Weekly Paste'!B:O,6,0)),""),"")</f>
        <v>Riley</v>
      </c>
      <c r="J2161" s="259">
        <f>IFERROR(IFERROR(VLOOKUP(B2161&amp;C2161&amp;Q2161,'New Weekly Paste'!A:M,8,0),VLOOKUP(B2161&amp;C2161&amp;Q2161,'New Weekly Paste'!B:O,10,0)),0)</f>
        <v>97.7</v>
      </c>
      <c r="K2161" s="259">
        <f>IFERROR(IFERROR(VLOOKUP(B2161&amp;I2161&amp;Q2161,'New Weekly Paste'!A:M,8,0),VLOOKUP(B2161&amp;I2161&amp;Q2161,'New Weekly Paste'!B:O,10,0)),0)</f>
        <v>72.7</v>
      </c>
      <c r="L2161" s="239">
        <f t="shared" si="25"/>
        <v>1</v>
      </c>
      <c r="M2161" s="36" t="str">
        <f t="shared" si="3"/>
        <v>Playoffs</v>
      </c>
      <c r="N2161" s="239" t="str">
        <f t="shared" si="26"/>
        <v>Riley</v>
      </c>
      <c r="O2161" s="6">
        <f>VLOOKUP(D2161,'Mapped Opponent'!$G$4:$H$22,2,0)</f>
        <v>17</v>
      </c>
      <c r="P2161" s="6"/>
      <c r="Q2161" s="6" t="str">
        <f t="shared" si="4"/>
        <v>Week 17</v>
      </c>
      <c r="R2161" s="6" t="str">
        <f t="shared" si="5"/>
        <v>2022Round 3</v>
      </c>
      <c r="S2161" s="6">
        <f>IFERROR(__xludf.DUMMYFUNCTION("rank(J2161,FILTER(J:J,R:R=R2161))"),3.0)</f>
        <v>3</v>
      </c>
      <c r="T2161" s="6">
        <f t="shared" si="6"/>
        <v>9</v>
      </c>
      <c r="U2161" s="6">
        <f t="shared" si="7"/>
        <v>3</v>
      </c>
      <c r="V2161" s="42">
        <f>averageif(AllData!A:A,B2161,AllData!R:R)/vlookup(B2161,AllData!A:O,15,0)</f>
        <v>92.75369048</v>
      </c>
      <c r="W2161" s="6"/>
    </row>
    <row r="2162" ht="14.25" customHeight="1">
      <c r="A2162" s="6" t="str">
        <f t="shared" si="1"/>
        <v>2022Hudspeath1</v>
      </c>
      <c r="B2162" s="59">
        <v>2022.0</v>
      </c>
      <c r="C2162" s="13" t="s">
        <v>39</v>
      </c>
      <c r="D2162" s="13" t="s">
        <v>129</v>
      </c>
      <c r="E2162" s="34"/>
      <c r="F2162" s="6"/>
      <c r="H2162" s="6"/>
      <c r="I2162" s="35" t="str">
        <f>IFERROR(IFERROR(IFERROR(VLOOKUP(B2162&amp;C2162&amp;Q2162,'New Weekly Paste'!A:M,10,0),VLOOKUP(B2162&amp;C2162&amp;Q2162,'New Weekly Paste'!B:O,6,0)),""),"")</f>
        <v>KnardDawg</v>
      </c>
      <c r="J2162" s="259">
        <f>IFERROR(IFERROR(VLOOKUP(B2162&amp;C2162&amp;Q2162,'New Weekly Paste'!A:M,8,0),VLOOKUP(B2162&amp;C2162&amp;Q2162,'New Weekly Paste'!B:O,10,0)),0)</f>
        <v>80</v>
      </c>
      <c r="K2162" s="259">
        <f>IFERROR(IFERROR(VLOOKUP(B2162&amp;I2162&amp;Q2162,'New Weekly Paste'!A:M,8,0),VLOOKUP(B2162&amp;I2162&amp;Q2162,'New Weekly Paste'!B:O,10,0)),0)</f>
        <v>60.6</v>
      </c>
      <c r="L2162" s="239">
        <f t="shared" si="25"/>
        <v>1</v>
      </c>
      <c r="M2162" s="36" t="str">
        <f t="shared" si="3"/>
        <v>Regular Season</v>
      </c>
      <c r="N2162" s="239" t="str">
        <f t="shared" si="26"/>
        <v>KnardDawg</v>
      </c>
      <c r="O2162" s="6">
        <f>VLOOKUP(D2162,'Mapped Opponent'!$G$4:$H$22,2,0)</f>
        <v>1</v>
      </c>
      <c r="P2162" s="6"/>
      <c r="Q2162" s="6" t="str">
        <f t="shared" si="4"/>
        <v>Week 1</v>
      </c>
      <c r="R2162" s="6" t="str">
        <f t="shared" si="5"/>
        <v>2022Week 1</v>
      </c>
      <c r="S2162" s="6">
        <f>IFERROR(__xludf.DUMMYFUNCTION("rank(J2162,FILTER(J:J,R:R=R2162))"),10.0)</f>
        <v>10</v>
      </c>
      <c r="T2162" s="6">
        <f t="shared" si="6"/>
        <v>2</v>
      </c>
      <c r="U2162" s="6">
        <f t="shared" si="7"/>
        <v>10</v>
      </c>
      <c r="V2162" s="42">
        <f>averageif(AllData!A:A,B2162,AllData!R:R)/vlookup(B2162,AllData!A:O,15,0)</f>
        <v>92.75369048</v>
      </c>
      <c r="W2162" s="6"/>
    </row>
    <row r="2163" ht="14.25" customHeight="1">
      <c r="A2163" s="6" t="str">
        <f t="shared" si="1"/>
        <v>2022Salty1</v>
      </c>
      <c r="B2163" s="59">
        <v>2022.0</v>
      </c>
      <c r="C2163" s="13" t="s">
        <v>76</v>
      </c>
      <c r="D2163" s="13" t="s">
        <v>129</v>
      </c>
      <c r="E2163" s="34"/>
      <c r="F2163" s="6"/>
      <c r="H2163" s="6"/>
      <c r="I2163" s="35" t="str">
        <f>IFERROR(IFERROR(IFERROR(VLOOKUP(B2163&amp;C2163&amp;Q2163,'New Weekly Paste'!A:M,10,0),VLOOKUP(B2163&amp;C2163&amp;Q2163,'New Weekly Paste'!B:O,6,0)),""),"")</f>
        <v>Pierson</v>
      </c>
      <c r="J2163" s="259">
        <f>IFERROR(IFERROR(VLOOKUP(B2163&amp;C2163&amp;Q2163,'New Weekly Paste'!A:M,8,0),VLOOKUP(B2163&amp;C2163&amp;Q2163,'New Weekly Paste'!B:O,10,0)),0)</f>
        <v>102.52</v>
      </c>
      <c r="K2163" s="259">
        <f>IFERROR(IFERROR(VLOOKUP(B2163&amp;I2163&amp;Q2163,'New Weekly Paste'!A:M,8,0),VLOOKUP(B2163&amp;I2163&amp;Q2163,'New Weekly Paste'!B:O,10,0)),0)</f>
        <v>91.3</v>
      </c>
      <c r="L2163" s="239">
        <f t="shared" si="25"/>
        <v>1</v>
      </c>
      <c r="M2163" s="36" t="str">
        <f t="shared" si="3"/>
        <v>Regular Season</v>
      </c>
      <c r="N2163" s="239" t="str">
        <f t="shared" si="26"/>
        <v>Pierson</v>
      </c>
      <c r="O2163" s="6">
        <f>VLOOKUP(D2163,'Mapped Opponent'!$G$4:$H$22,2,0)</f>
        <v>1</v>
      </c>
      <c r="P2163" s="6"/>
      <c r="Q2163" s="6" t="str">
        <f t="shared" si="4"/>
        <v>Week 1</v>
      </c>
      <c r="R2163" s="6" t="str">
        <f t="shared" si="5"/>
        <v>2022Week 1</v>
      </c>
      <c r="S2163" s="6">
        <f>IFERROR(__xludf.DUMMYFUNCTION("rank(J2163,FILTER(J:J,R:R=R2163))"),4.0)</f>
        <v>4</v>
      </c>
      <c r="T2163" s="6">
        <f t="shared" si="6"/>
        <v>8</v>
      </c>
      <c r="U2163" s="6">
        <f t="shared" si="7"/>
        <v>4</v>
      </c>
      <c r="V2163" s="42">
        <f>averageif(AllData!A:A,B2163,AllData!R:R)/vlookup(B2163,AllData!A:O,15,0)</f>
        <v>92.75369048</v>
      </c>
      <c r="W2163" s="6"/>
    </row>
    <row r="2164" ht="14.25" customHeight="1">
      <c r="A2164" s="6" t="str">
        <f t="shared" si="1"/>
        <v>2022Fellows1</v>
      </c>
      <c r="B2164" s="59">
        <v>2022.0</v>
      </c>
      <c r="C2164" s="13" t="s">
        <v>79</v>
      </c>
      <c r="D2164" s="13" t="s">
        <v>129</v>
      </c>
      <c r="E2164" s="34"/>
      <c r="F2164" s="6"/>
      <c r="H2164" s="6"/>
      <c r="I2164" s="35" t="str">
        <f>IFERROR(IFERROR(IFERROR(VLOOKUP(B2164&amp;C2164&amp;Q2164,'New Weekly Paste'!A:M,10,0),VLOOKUP(B2164&amp;C2164&amp;Q2164,'New Weekly Paste'!B:O,6,0)),""),"")</f>
        <v>Riley</v>
      </c>
      <c r="J2164" s="259">
        <f>IFERROR(IFERROR(VLOOKUP(B2164&amp;C2164&amp;Q2164,'New Weekly Paste'!A:M,8,0),VLOOKUP(B2164&amp;C2164&amp;Q2164,'New Weekly Paste'!B:O,10,0)),0)</f>
        <v>97.86</v>
      </c>
      <c r="K2164" s="259">
        <f>IFERROR(IFERROR(VLOOKUP(B2164&amp;I2164&amp;Q2164,'New Weekly Paste'!A:M,8,0),VLOOKUP(B2164&amp;I2164&amp;Q2164,'New Weekly Paste'!B:O,10,0)),0)</f>
        <v>95.52</v>
      </c>
      <c r="L2164" s="239">
        <f t="shared" si="25"/>
        <v>1</v>
      </c>
      <c r="M2164" s="36" t="str">
        <f t="shared" si="3"/>
        <v>Regular Season</v>
      </c>
      <c r="N2164" s="239" t="str">
        <f t="shared" si="26"/>
        <v>Riley</v>
      </c>
      <c r="O2164" s="6">
        <f>VLOOKUP(D2164,'Mapped Opponent'!$G$4:$H$22,2,0)</f>
        <v>1</v>
      </c>
      <c r="P2164" s="6"/>
      <c r="Q2164" s="6" t="str">
        <f t="shared" si="4"/>
        <v>Week 1</v>
      </c>
      <c r="R2164" s="6" t="str">
        <f t="shared" si="5"/>
        <v>2022Week 1</v>
      </c>
      <c r="S2164" s="6">
        <f>IFERROR(__xludf.DUMMYFUNCTION("rank(J2164,FILTER(J:J,R:R=R2164))"),5.0)</f>
        <v>5</v>
      </c>
      <c r="T2164" s="6">
        <f t="shared" si="6"/>
        <v>7</v>
      </c>
      <c r="U2164" s="6">
        <f t="shared" si="7"/>
        <v>5</v>
      </c>
      <c r="V2164" s="42">
        <f>averageif(AllData!A:A,B2164,AllData!R:R)/vlookup(B2164,AllData!A:O,15,0)</f>
        <v>92.75369048</v>
      </c>
      <c r="W2164" s="6"/>
    </row>
    <row r="2165" ht="14.25" customHeight="1">
      <c r="A2165" s="6" t="str">
        <f t="shared" si="1"/>
        <v>2022Shep1</v>
      </c>
      <c r="B2165" s="59">
        <v>2022.0</v>
      </c>
      <c r="C2165" s="13" t="s">
        <v>89</v>
      </c>
      <c r="D2165" s="13" t="s">
        <v>129</v>
      </c>
      <c r="E2165" s="34"/>
      <c r="F2165" s="6"/>
      <c r="H2165" s="6"/>
      <c r="I2165" s="35" t="str">
        <f>IFERROR(IFERROR(IFERROR(VLOOKUP(B2165&amp;C2165&amp;Q2165,'New Weekly Paste'!A:M,10,0),VLOOKUP(B2165&amp;C2165&amp;Q2165,'New Weekly Paste'!B:O,6,0)),""),"")</f>
        <v>Buser</v>
      </c>
      <c r="J2165" s="259">
        <f>IFERROR(IFERROR(VLOOKUP(B2165&amp;C2165&amp;Q2165,'New Weekly Paste'!A:M,8,0),VLOOKUP(B2165&amp;C2165&amp;Q2165,'New Weekly Paste'!B:O,10,0)),0)</f>
        <v>89.12</v>
      </c>
      <c r="K2165" s="259">
        <f>IFERROR(IFERROR(VLOOKUP(B2165&amp;I2165&amp;Q2165,'New Weekly Paste'!A:M,8,0),VLOOKUP(B2165&amp;I2165&amp;Q2165,'New Weekly Paste'!B:O,10,0)),0)</f>
        <v>107.16</v>
      </c>
      <c r="L2165" s="239">
        <f t="shared" si="25"/>
        <v>0</v>
      </c>
      <c r="M2165" s="36" t="str">
        <f t="shared" si="3"/>
        <v>Regular Season</v>
      </c>
      <c r="N2165" s="239" t="str">
        <f t="shared" si="26"/>
        <v>Buser</v>
      </c>
      <c r="O2165" s="6">
        <f>VLOOKUP(D2165,'Mapped Opponent'!$G$4:$H$22,2,0)</f>
        <v>1</v>
      </c>
      <c r="P2165" s="6"/>
      <c r="Q2165" s="6" t="str">
        <f t="shared" si="4"/>
        <v>Week 1</v>
      </c>
      <c r="R2165" s="6" t="str">
        <f t="shared" si="5"/>
        <v>2022Week 1</v>
      </c>
      <c r="S2165" s="6">
        <f>IFERROR(__xludf.DUMMYFUNCTION("rank(J2165,FILTER(J:J,R:R=R2165))"),9.0)</f>
        <v>9</v>
      </c>
      <c r="T2165" s="6">
        <f t="shared" si="6"/>
        <v>3</v>
      </c>
      <c r="U2165" s="6">
        <f t="shared" si="7"/>
        <v>9</v>
      </c>
      <c r="V2165" s="42">
        <f>averageif(AllData!A:A,B2165,AllData!R:R)/vlookup(B2165,AllData!A:O,15,0)</f>
        <v>92.75369048</v>
      </c>
      <c r="W2165" s="6"/>
    </row>
    <row r="2166" ht="14.25" customHeight="1">
      <c r="A2166" s="6" t="str">
        <f t="shared" si="1"/>
        <v>2022Riley1</v>
      </c>
      <c r="B2166" s="59">
        <v>2022.0</v>
      </c>
      <c r="C2166" s="13" t="s">
        <v>67</v>
      </c>
      <c r="D2166" s="13" t="s">
        <v>129</v>
      </c>
      <c r="E2166" s="34"/>
      <c r="F2166" s="6"/>
      <c r="H2166" s="6"/>
      <c r="I2166" s="35" t="str">
        <f>IFERROR(IFERROR(IFERROR(VLOOKUP(B2166&amp;C2166&amp;Q2166,'New Weekly Paste'!A:M,10,0),VLOOKUP(B2166&amp;C2166&amp;Q2166,'New Weekly Paste'!B:O,6,0)),""),"")</f>
        <v>Fellows</v>
      </c>
      <c r="J2166" s="259">
        <f>IFERROR(IFERROR(VLOOKUP(B2166&amp;C2166&amp;Q2166,'New Weekly Paste'!A:M,8,0),VLOOKUP(B2166&amp;C2166&amp;Q2166,'New Weekly Paste'!B:O,10,0)),0)</f>
        <v>95.52</v>
      </c>
      <c r="K2166" s="259">
        <f>IFERROR(IFERROR(VLOOKUP(B2166&amp;I2166&amp;Q2166,'New Weekly Paste'!A:M,8,0),VLOOKUP(B2166&amp;I2166&amp;Q2166,'New Weekly Paste'!B:O,10,0)),0)</f>
        <v>97.86</v>
      </c>
      <c r="L2166" s="239">
        <f t="shared" si="25"/>
        <v>0</v>
      </c>
      <c r="M2166" s="36" t="str">
        <f t="shared" si="3"/>
        <v>Regular Season</v>
      </c>
      <c r="N2166" s="239" t="str">
        <f t="shared" si="26"/>
        <v>Fellows</v>
      </c>
      <c r="O2166" s="6">
        <f>VLOOKUP(D2166,'Mapped Opponent'!$G$4:$H$22,2,0)</f>
        <v>1</v>
      </c>
      <c r="P2166" s="6"/>
      <c r="Q2166" s="6" t="str">
        <f t="shared" si="4"/>
        <v>Week 1</v>
      </c>
      <c r="R2166" s="6" t="str">
        <f t="shared" si="5"/>
        <v>2022Week 1</v>
      </c>
      <c r="S2166" s="6">
        <f>IFERROR(__xludf.DUMMYFUNCTION("rank(J2166,FILTER(J:J,R:R=R2166))"),6.0)</f>
        <v>6</v>
      </c>
      <c r="T2166" s="6">
        <f t="shared" si="6"/>
        <v>6</v>
      </c>
      <c r="U2166" s="6">
        <f t="shared" si="7"/>
        <v>6</v>
      </c>
      <c r="V2166" s="42">
        <f>averageif(AllData!A:A,B2166,AllData!R:R)/vlookup(B2166,AllData!A:O,15,0)</f>
        <v>92.75369048</v>
      </c>
      <c r="W2166" s="6"/>
    </row>
    <row r="2167" ht="14.25" customHeight="1">
      <c r="A2167" s="6" t="str">
        <f t="shared" si="1"/>
        <v>2022Rooney/Jackson1</v>
      </c>
      <c r="B2167" s="59">
        <v>2022.0</v>
      </c>
      <c r="C2167" s="13" t="s">
        <v>57</v>
      </c>
      <c r="D2167" s="13" t="s">
        <v>129</v>
      </c>
      <c r="E2167" s="34"/>
      <c r="F2167" s="6"/>
      <c r="H2167" s="6"/>
      <c r="I2167" s="35" t="str">
        <f>IFERROR(IFERROR(IFERROR(VLOOKUP(B2167&amp;C2167&amp;Q2167,'New Weekly Paste'!A:M,10,0),VLOOKUP(B2167&amp;C2167&amp;Q2167,'New Weekly Paste'!B:O,6,0)),""),"")</f>
        <v>Tayski</v>
      </c>
      <c r="J2167" s="259">
        <f>IFERROR(IFERROR(VLOOKUP(B2167&amp;C2167&amp;Q2167,'New Weekly Paste'!A:M,8,0),VLOOKUP(B2167&amp;C2167&amp;Q2167,'New Weekly Paste'!B:O,10,0)),0)</f>
        <v>118.32</v>
      </c>
      <c r="K2167" s="259">
        <f>IFERROR(IFERROR(VLOOKUP(B2167&amp;I2167&amp;Q2167,'New Weekly Paste'!A:M,8,0),VLOOKUP(B2167&amp;I2167&amp;Q2167,'New Weekly Paste'!B:O,10,0)),0)</f>
        <v>90.78</v>
      </c>
      <c r="L2167" s="239">
        <f t="shared" si="25"/>
        <v>1</v>
      </c>
      <c r="M2167" s="36" t="str">
        <f t="shared" si="3"/>
        <v>Regular Season</v>
      </c>
      <c r="N2167" s="239" t="str">
        <f t="shared" si="26"/>
        <v>Tayski</v>
      </c>
      <c r="O2167" s="6">
        <f>VLOOKUP(D2167,'Mapped Opponent'!$G$4:$H$22,2,0)</f>
        <v>1</v>
      </c>
      <c r="P2167" s="6"/>
      <c r="Q2167" s="6" t="str">
        <f t="shared" si="4"/>
        <v>Week 1</v>
      </c>
      <c r="R2167" s="6" t="str">
        <f t="shared" si="5"/>
        <v>2022Week 1</v>
      </c>
      <c r="S2167" s="6">
        <f>IFERROR(__xludf.DUMMYFUNCTION("rank(J2167,FILTER(J:J,R:R=R2167))"),1.0)</f>
        <v>1</v>
      </c>
      <c r="T2167" s="6">
        <f t="shared" si="6"/>
        <v>11</v>
      </c>
      <c r="U2167" s="6">
        <f t="shared" si="7"/>
        <v>1</v>
      </c>
      <c r="V2167" s="42">
        <f>averageif(AllData!A:A,B2167,AllData!R:R)/vlookup(B2167,AllData!A:O,15,0)</f>
        <v>92.75369048</v>
      </c>
      <c r="W2167" s="6"/>
    </row>
    <row r="2168" ht="14.25" customHeight="1">
      <c r="A2168" s="6" t="str">
        <f t="shared" si="1"/>
        <v>2022Buser1</v>
      </c>
      <c r="B2168" s="59">
        <v>2022.0</v>
      </c>
      <c r="C2168" s="13" t="s">
        <v>47</v>
      </c>
      <c r="D2168" s="13" t="s">
        <v>129</v>
      </c>
      <c r="E2168" s="34"/>
      <c r="F2168" s="6"/>
      <c r="H2168" s="6"/>
      <c r="I2168" s="35" t="str">
        <f>IFERROR(IFERROR(IFERROR(VLOOKUP(B2168&amp;C2168&amp;Q2168,'New Weekly Paste'!A:M,10,0),VLOOKUP(B2168&amp;C2168&amp;Q2168,'New Weekly Paste'!B:O,6,0)),""),"")</f>
        <v>Shep</v>
      </c>
      <c r="J2168" s="259">
        <f>IFERROR(IFERROR(VLOOKUP(B2168&amp;C2168&amp;Q2168,'New Weekly Paste'!A:M,8,0),VLOOKUP(B2168&amp;C2168&amp;Q2168,'New Weekly Paste'!B:O,10,0)),0)</f>
        <v>107.16</v>
      </c>
      <c r="K2168" s="259">
        <f>IFERROR(IFERROR(VLOOKUP(B2168&amp;I2168&amp;Q2168,'New Weekly Paste'!A:M,8,0),VLOOKUP(B2168&amp;I2168&amp;Q2168,'New Weekly Paste'!B:O,10,0)),0)</f>
        <v>89.12</v>
      </c>
      <c r="L2168" s="239">
        <f t="shared" si="25"/>
        <v>1</v>
      </c>
      <c r="M2168" s="36" t="str">
        <f t="shared" si="3"/>
        <v>Regular Season</v>
      </c>
      <c r="N2168" s="239" t="str">
        <f t="shared" si="26"/>
        <v>Shep</v>
      </c>
      <c r="O2168" s="6">
        <f>VLOOKUP(D2168,'Mapped Opponent'!$G$4:$H$22,2,0)</f>
        <v>1</v>
      </c>
      <c r="P2168" s="6"/>
      <c r="Q2168" s="6" t="str">
        <f t="shared" si="4"/>
        <v>Week 1</v>
      </c>
      <c r="R2168" s="6" t="str">
        <f t="shared" si="5"/>
        <v>2022Week 1</v>
      </c>
      <c r="S2168" s="6">
        <f>IFERROR(__xludf.DUMMYFUNCTION("rank(J2168,FILTER(J:J,R:R=R2168))"),2.0)</f>
        <v>2</v>
      </c>
      <c r="T2168" s="6">
        <f t="shared" si="6"/>
        <v>10</v>
      </c>
      <c r="U2168" s="6">
        <f t="shared" si="7"/>
        <v>2</v>
      </c>
      <c r="V2168" s="42">
        <f>averageif(AllData!A:A,B2168,AllData!R:R)/vlookup(B2168,AllData!A:O,15,0)</f>
        <v>92.75369048</v>
      </c>
      <c r="W2168" s="6"/>
    </row>
    <row r="2169" ht="14.25" customHeight="1">
      <c r="A2169" s="6" t="str">
        <f t="shared" si="1"/>
        <v>2022Pierson1</v>
      </c>
      <c r="B2169" s="59">
        <v>2022.0</v>
      </c>
      <c r="C2169" s="13" t="s">
        <v>92</v>
      </c>
      <c r="D2169" s="13" t="s">
        <v>129</v>
      </c>
      <c r="E2169" s="34"/>
      <c r="F2169" s="6"/>
      <c r="H2169" s="6"/>
      <c r="I2169" s="35" t="str">
        <f>IFERROR(IFERROR(IFERROR(VLOOKUP(B2169&amp;C2169&amp;Q2169,'New Weekly Paste'!A:M,10,0),VLOOKUP(B2169&amp;C2169&amp;Q2169,'New Weekly Paste'!B:O,6,0)),""),"")</f>
        <v>Salty</v>
      </c>
      <c r="J2169" s="259">
        <f>IFERROR(IFERROR(VLOOKUP(B2169&amp;C2169&amp;Q2169,'New Weekly Paste'!A:M,8,0),VLOOKUP(B2169&amp;C2169&amp;Q2169,'New Weekly Paste'!B:O,10,0)),0)</f>
        <v>91.3</v>
      </c>
      <c r="K2169" s="259">
        <f>IFERROR(IFERROR(VLOOKUP(B2169&amp;I2169&amp;Q2169,'New Weekly Paste'!A:M,8,0),VLOOKUP(B2169&amp;I2169&amp;Q2169,'New Weekly Paste'!B:O,10,0)),0)</f>
        <v>102.52</v>
      </c>
      <c r="L2169" s="239">
        <f t="shared" si="25"/>
        <v>0</v>
      </c>
      <c r="M2169" s="36" t="str">
        <f t="shared" si="3"/>
        <v>Regular Season</v>
      </c>
      <c r="N2169" s="239" t="str">
        <f t="shared" si="26"/>
        <v>Salty</v>
      </c>
      <c r="O2169" s="6">
        <f>VLOOKUP(D2169,'Mapped Opponent'!$G$4:$H$22,2,0)</f>
        <v>1</v>
      </c>
      <c r="P2169" s="6"/>
      <c r="Q2169" s="6" t="str">
        <f t="shared" si="4"/>
        <v>Week 1</v>
      </c>
      <c r="R2169" s="6" t="str">
        <f t="shared" si="5"/>
        <v>2022Week 1</v>
      </c>
      <c r="S2169" s="6">
        <f>IFERROR(__xludf.DUMMYFUNCTION("rank(J2169,FILTER(J:J,R:R=R2169))"),7.0)</f>
        <v>7</v>
      </c>
      <c r="T2169" s="6">
        <f t="shared" si="6"/>
        <v>5</v>
      </c>
      <c r="U2169" s="6">
        <f t="shared" si="7"/>
        <v>7</v>
      </c>
      <c r="V2169" s="42">
        <f>averageif(AllData!A:A,B2169,AllData!R:R)/vlookup(B2169,AllData!A:O,15,0)</f>
        <v>92.75369048</v>
      </c>
      <c r="W2169" s="6"/>
    </row>
    <row r="2170" ht="14.25" customHeight="1">
      <c r="A2170" s="6" t="str">
        <f t="shared" si="1"/>
        <v>2022Cock1</v>
      </c>
      <c r="B2170" s="59">
        <v>2022.0</v>
      </c>
      <c r="C2170" s="13" t="s">
        <v>72</v>
      </c>
      <c r="D2170" s="13" t="s">
        <v>129</v>
      </c>
      <c r="E2170" s="34"/>
      <c r="F2170" s="6"/>
      <c r="H2170" s="6"/>
      <c r="I2170" s="35" t="str">
        <f>IFERROR(IFERROR(IFERROR(VLOOKUP(B2170&amp;C2170&amp;Q2170,'New Weekly Paste'!A:M,10,0),VLOOKUP(B2170&amp;C2170&amp;Q2170,'New Weekly Paste'!B:O,6,0)),""),"")</f>
        <v>T-How</v>
      </c>
      <c r="J2170" s="259">
        <f>IFERROR(IFERROR(VLOOKUP(B2170&amp;C2170&amp;Q2170,'New Weekly Paste'!A:M,8,0),VLOOKUP(B2170&amp;C2170&amp;Q2170,'New Weekly Paste'!B:O,10,0)),0)</f>
        <v>79.1</v>
      </c>
      <c r="K2170" s="259">
        <f>IFERROR(IFERROR(VLOOKUP(B2170&amp;I2170&amp;Q2170,'New Weekly Paste'!A:M,8,0),VLOOKUP(B2170&amp;I2170&amp;Q2170,'New Weekly Paste'!B:O,10,0)),0)</f>
        <v>105.88</v>
      </c>
      <c r="L2170" s="239">
        <f t="shared" si="25"/>
        <v>0</v>
      </c>
      <c r="M2170" s="36" t="str">
        <f t="shared" si="3"/>
        <v>Regular Season</v>
      </c>
      <c r="N2170" s="239" t="str">
        <f t="shared" si="26"/>
        <v>T-How</v>
      </c>
      <c r="O2170" s="6">
        <f>VLOOKUP(D2170,'Mapped Opponent'!$G$4:$H$22,2,0)</f>
        <v>1</v>
      </c>
      <c r="P2170" s="6"/>
      <c r="Q2170" s="6" t="str">
        <f t="shared" si="4"/>
        <v>Week 1</v>
      </c>
      <c r="R2170" s="6" t="str">
        <f t="shared" si="5"/>
        <v>2022Week 1</v>
      </c>
      <c r="S2170" s="6">
        <f>IFERROR(__xludf.DUMMYFUNCTION("rank(J2170,FILTER(J:J,R:R=R2170))"),11.0)</f>
        <v>11</v>
      </c>
      <c r="T2170" s="6">
        <f t="shared" si="6"/>
        <v>1</v>
      </c>
      <c r="U2170" s="6">
        <f t="shared" si="7"/>
        <v>11</v>
      </c>
      <c r="V2170" s="42">
        <f>averageif(AllData!A:A,B2170,AllData!R:R)/vlookup(B2170,AllData!A:O,15,0)</f>
        <v>92.75369048</v>
      </c>
      <c r="W2170" s="6"/>
    </row>
    <row r="2171" ht="14.25" customHeight="1">
      <c r="A2171" s="6" t="str">
        <f t="shared" si="1"/>
        <v>2022Tayski1</v>
      </c>
      <c r="B2171" s="59">
        <v>2022.0</v>
      </c>
      <c r="C2171" s="13" t="s">
        <v>52</v>
      </c>
      <c r="D2171" s="13" t="s">
        <v>129</v>
      </c>
      <c r="E2171" s="34"/>
      <c r="F2171" s="6"/>
      <c r="H2171" s="6"/>
      <c r="I2171" s="35" t="str">
        <f>IFERROR(IFERROR(IFERROR(VLOOKUP(B2171&amp;C2171&amp;Q2171,'New Weekly Paste'!A:M,10,0),VLOOKUP(B2171&amp;C2171&amp;Q2171,'New Weekly Paste'!B:O,6,0)),""),"")</f>
        <v>Rooney/Jackson</v>
      </c>
      <c r="J2171" s="259">
        <f>IFERROR(IFERROR(VLOOKUP(B2171&amp;C2171&amp;Q2171,'New Weekly Paste'!A:M,8,0),VLOOKUP(B2171&amp;C2171&amp;Q2171,'New Weekly Paste'!B:O,10,0)),0)</f>
        <v>90.78</v>
      </c>
      <c r="K2171" s="259">
        <f>IFERROR(IFERROR(VLOOKUP(B2171&amp;I2171&amp;Q2171,'New Weekly Paste'!A:M,8,0),VLOOKUP(B2171&amp;I2171&amp;Q2171,'New Weekly Paste'!B:O,10,0)),0)</f>
        <v>118.32</v>
      </c>
      <c r="L2171" s="239">
        <f t="shared" si="25"/>
        <v>0</v>
      </c>
      <c r="M2171" s="36" t="str">
        <f t="shared" si="3"/>
        <v>Regular Season</v>
      </c>
      <c r="N2171" s="239" t="str">
        <f t="shared" si="26"/>
        <v>Rooney/Jackson</v>
      </c>
      <c r="O2171" s="6">
        <f>VLOOKUP(D2171,'Mapped Opponent'!$G$4:$H$22,2,0)</f>
        <v>1</v>
      </c>
      <c r="P2171" s="6"/>
      <c r="Q2171" s="6" t="str">
        <f t="shared" si="4"/>
        <v>Week 1</v>
      </c>
      <c r="R2171" s="6" t="str">
        <f t="shared" si="5"/>
        <v>2022Week 1</v>
      </c>
      <c r="S2171" s="6">
        <f>IFERROR(__xludf.DUMMYFUNCTION("rank(J2171,FILTER(J:J,R:R=R2171))"),8.0)</f>
        <v>8</v>
      </c>
      <c r="T2171" s="6">
        <f t="shared" si="6"/>
        <v>4</v>
      </c>
      <c r="U2171" s="6">
        <f t="shared" si="7"/>
        <v>8</v>
      </c>
      <c r="V2171" s="42">
        <f>averageif(AllData!A:A,B2171,AllData!R:R)/vlookup(B2171,AllData!A:O,15,0)</f>
        <v>92.75369048</v>
      </c>
      <c r="W2171" s="6"/>
    </row>
    <row r="2172" ht="14.25" customHeight="1">
      <c r="A2172" s="6" t="str">
        <f t="shared" si="1"/>
        <v>2022KnardDawg1</v>
      </c>
      <c r="B2172" s="59">
        <v>2022.0</v>
      </c>
      <c r="C2172" s="13" t="s">
        <v>86</v>
      </c>
      <c r="D2172" s="13" t="s">
        <v>129</v>
      </c>
      <c r="E2172" s="34"/>
      <c r="F2172" s="6"/>
      <c r="H2172" s="6"/>
      <c r="I2172" s="35" t="str">
        <f>IFERROR(IFERROR(IFERROR(VLOOKUP(B2172&amp;C2172&amp;Q2172,'New Weekly Paste'!A:M,10,0),VLOOKUP(B2172&amp;C2172&amp;Q2172,'New Weekly Paste'!B:O,6,0)),""),"")</f>
        <v>Hudspeath</v>
      </c>
      <c r="J2172" s="259">
        <f>IFERROR(IFERROR(VLOOKUP(B2172&amp;C2172&amp;Q2172,'New Weekly Paste'!A:M,8,0),VLOOKUP(B2172&amp;C2172&amp;Q2172,'New Weekly Paste'!B:O,10,0)),0)</f>
        <v>60.6</v>
      </c>
      <c r="K2172" s="259">
        <f>IFERROR(IFERROR(VLOOKUP(B2172&amp;I2172&amp;Q2172,'New Weekly Paste'!A:M,8,0),VLOOKUP(B2172&amp;I2172&amp;Q2172,'New Weekly Paste'!B:O,10,0)),0)</f>
        <v>80</v>
      </c>
      <c r="L2172" s="239">
        <f t="shared" si="25"/>
        <v>0</v>
      </c>
      <c r="M2172" s="36" t="str">
        <f t="shared" si="3"/>
        <v>Regular Season</v>
      </c>
      <c r="N2172" s="239" t="str">
        <f t="shared" si="26"/>
        <v>Hudspeath</v>
      </c>
      <c r="O2172" s="6">
        <f>VLOOKUP(D2172,'Mapped Opponent'!$G$4:$H$22,2,0)</f>
        <v>1</v>
      </c>
      <c r="P2172" s="6"/>
      <c r="Q2172" s="6" t="str">
        <f t="shared" si="4"/>
        <v>Week 1</v>
      </c>
      <c r="R2172" s="6" t="str">
        <f t="shared" si="5"/>
        <v>2022Week 1</v>
      </c>
      <c r="S2172" s="6">
        <f>IFERROR(__xludf.DUMMYFUNCTION("rank(J2172,FILTER(J:J,R:R=R2172))"),12.0)</f>
        <v>12</v>
      </c>
      <c r="T2172" s="6">
        <f t="shared" si="6"/>
        <v>0</v>
      </c>
      <c r="U2172" s="6">
        <f t="shared" si="7"/>
        <v>12</v>
      </c>
      <c r="V2172" s="42">
        <f>averageif(AllData!A:A,B2172,AllData!R:R)/vlookup(B2172,AllData!A:O,15,0)</f>
        <v>92.75369048</v>
      </c>
      <c r="W2172" s="6"/>
    </row>
    <row r="2173" ht="14.25" customHeight="1">
      <c r="A2173" s="6" t="str">
        <f t="shared" si="1"/>
        <v>2022T-How1</v>
      </c>
      <c r="B2173" s="59">
        <v>2022.0</v>
      </c>
      <c r="C2173" s="13" t="s">
        <v>82</v>
      </c>
      <c r="D2173" s="13" t="s">
        <v>129</v>
      </c>
      <c r="E2173" s="34"/>
      <c r="F2173" s="6"/>
      <c r="H2173" s="6"/>
      <c r="I2173" s="35" t="str">
        <f>IFERROR(IFERROR(IFERROR(VLOOKUP(B2173&amp;C2173&amp;Q2173,'New Weekly Paste'!A:M,10,0),VLOOKUP(B2173&amp;C2173&amp;Q2173,'New Weekly Paste'!B:O,6,0)),""),"")</f>
        <v>Cock</v>
      </c>
      <c r="J2173" s="259">
        <f>IFERROR(IFERROR(VLOOKUP(B2173&amp;C2173&amp;Q2173,'New Weekly Paste'!A:M,8,0),VLOOKUP(B2173&amp;C2173&amp;Q2173,'New Weekly Paste'!B:O,10,0)),0)</f>
        <v>105.88</v>
      </c>
      <c r="K2173" s="259">
        <f>IFERROR(IFERROR(VLOOKUP(B2173&amp;I2173&amp;Q2173,'New Weekly Paste'!A:M,8,0),VLOOKUP(B2173&amp;I2173&amp;Q2173,'New Weekly Paste'!B:O,10,0)),0)</f>
        <v>79.1</v>
      </c>
      <c r="L2173" s="239">
        <f t="shared" si="25"/>
        <v>1</v>
      </c>
      <c r="M2173" s="36" t="str">
        <f t="shared" si="3"/>
        <v>Regular Season</v>
      </c>
      <c r="N2173" s="239" t="str">
        <f t="shared" si="26"/>
        <v>Cock</v>
      </c>
      <c r="O2173" s="6">
        <f>VLOOKUP(D2173,'Mapped Opponent'!$G$4:$H$22,2,0)</f>
        <v>1</v>
      </c>
      <c r="P2173" s="6"/>
      <c r="Q2173" s="6" t="str">
        <f t="shared" si="4"/>
        <v>Week 1</v>
      </c>
      <c r="R2173" s="6" t="str">
        <f t="shared" si="5"/>
        <v>2022Week 1</v>
      </c>
      <c r="S2173" s="6">
        <f>IFERROR(__xludf.DUMMYFUNCTION("rank(J2173,FILTER(J:J,R:R=R2173))"),3.0)</f>
        <v>3</v>
      </c>
      <c r="T2173" s="6">
        <f t="shared" si="6"/>
        <v>9</v>
      </c>
      <c r="U2173" s="6">
        <f t="shared" si="7"/>
        <v>3</v>
      </c>
      <c r="V2173" s="42">
        <f>averageif(AllData!A:A,B2173,AllData!R:R)/vlookup(B2173,AllData!A:O,15,0)</f>
        <v>92.75369048</v>
      </c>
      <c r="W2173" s="6"/>
    </row>
    <row r="2174" ht="14.25" customHeight="1">
      <c r="A2174" s="6" t="str">
        <f t="shared" si="1"/>
        <v>2022Hudspeath10</v>
      </c>
      <c r="B2174" s="59">
        <v>2022.0</v>
      </c>
      <c r="C2174" s="13" t="s">
        <v>39</v>
      </c>
      <c r="D2174" s="13" t="s">
        <v>149</v>
      </c>
      <c r="E2174" s="34"/>
      <c r="F2174" s="6"/>
      <c r="H2174" s="6"/>
      <c r="I2174" s="35" t="str">
        <f>IFERROR(IFERROR(IFERROR(VLOOKUP(B2174&amp;C2174&amp;Q2174,'New Weekly Paste'!A:M,10,0),VLOOKUP(B2174&amp;C2174&amp;Q2174,'New Weekly Paste'!B:O,6,0)),""),"")</f>
        <v>Cock</v>
      </c>
      <c r="J2174" s="259">
        <f>IFERROR(IFERROR(VLOOKUP(B2174&amp;C2174&amp;Q2174,'New Weekly Paste'!A:M,8,0),VLOOKUP(B2174&amp;C2174&amp;Q2174,'New Weekly Paste'!B:O,10,0)),0)</f>
        <v>87.6</v>
      </c>
      <c r="K2174" s="259">
        <f>IFERROR(IFERROR(VLOOKUP(B2174&amp;I2174&amp;Q2174,'New Weekly Paste'!A:M,8,0),VLOOKUP(B2174&amp;I2174&amp;Q2174,'New Weekly Paste'!B:O,10,0)),0)</f>
        <v>62.22</v>
      </c>
      <c r="L2174" s="239">
        <f t="shared" si="25"/>
        <v>1</v>
      </c>
      <c r="M2174" s="36" t="str">
        <f t="shared" si="3"/>
        <v>Regular Season</v>
      </c>
      <c r="N2174" s="239" t="str">
        <f t="shared" si="26"/>
        <v>Cock</v>
      </c>
      <c r="O2174" s="6">
        <f>VLOOKUP(D2174,'Mapped Opponent'!$G$4:$H$22,2,0)</f>
        <v>10</v>
      </c>
      <c r="P2174" s="6"/>
      <c r="Q2174" s="6" t="str">
        <f t="shared" si="4"/>
        <v>Week 10</v>
      </c>
      <c r="R2174" s="6" t="str">
        <f t="shared" si="5"/>
        <v>2022Week 10</v>
      </c>
      <c r="S2174" s="6">
        <f>IFERROR(__xludf.DUMMYFUNCTION("rank(J2174,FILTER(J:J,R:R=R2174))"),7.0)</f>
        <v>7</v>
      </c>
      <c r="T2174" s="6">
        <f t="shared" si="6"/>
        <v>5</v>
      </c>
      <c r="U2174" s="6">
        <f t="shared" si="7"/>
        <v>7</v>
      </c>
      <c r="V2174" s="42">
        <f>averageif(AllData!A:A,B2174,AllData!R:R)/vlookup(B2174,AllData!A:O,15,0)</f>
        <v>92.75369048</v>
      </c>
      <c r="W2174" s="6"/>
    </row>
    <row r="2175" ht="14.25" customHeight="1">
      <c r="A2175" s="6" t="str">
        <f t="shared" si="1"/>
        <v>2022Salty10</v>
      </c>
      <c r="B2175" s="59">
        <v>2022.0</v>
      </c>
      <c r="C2175" s="13" t="s">
        <v>76</v>
      </c>
      <c r="D2175" s="13" t="s">
        <v>149</v>
      </c>
      <c r="E2175" s="34"/>
      <c r="F2175" s="6"/>
      <c r="H2175" s="6"/>
      <c r="I2175" s="35" t="str">
        <f>IFERROR(IFERROR(IFERROR(VLOOKUP(B2175&amp;C2175&amp;Q2175,'New Weekly Paste'!A:M,10,0),VLOOKUP(B2175&amp;C2175&amp;Q2175,'New Weekly Paste'!B:O,6,0)),""),"")</f>
        <v>Tayski</v>
      </c>
      <c r="J2175" s="259">
        <f>IFERROR(IFERROR(VLOOKUP(B2175&amp;C2175&amp;Q2175,'New Weekly Paste'!A:M,8,0),VLOOKUP(B2175&amp;C2175&amp;Q2175,'New Weekly Paste'!B:O,10,0)),0)</f>
        <v>66.7</v>
      </c>
      <c r="K2175" s="259">
        <f>IFERROR(IFERROR(VLOOKUP(B2175&amp;I2175&amp;Q2175,'New Weekly Paste'!A:M,8,0),VLOOKUP(B2175&amp;I2175&amp;Q2175,'New Weekly Paste'!B:O,10,0)),0)</f>
        <v>97.7</v>
      </c>
      <c r="L2175" s="239">
        <f t="shared" si="25"/>
        <v>0</v>
      </c>
      <c r="M2175" s="36" t="str">
        <f t="shared" si="3"/>
        <v>Regular Season</v>
      </c>
      <c r="N2175" s="239" t="str">
        <f t="shared" si="26"/>
        <v>Tayski</v>
      </c>
      <c r="O2175" s="6">
        <f>VLOOKUP(D2175,'Mapped Opponent'!$G$4:$H$22,2,0)</f>
        <v>10</v>
      </c>
      <c r="P2175" s="6"/>
      <c r="Q2175" s="6" t="str">
        <f t="shared" si="4"/>
        <v>Week 10</v>
      </c>
      <c r="R2175" s="6" t="str">
        <f t="shared" si="5"/>
        <v>2022Week 10</v>
      </c>
      <c r="S2175" s="6">
        <f>IFERROR(__xludf.DUMMYFUNCTION("rank(J2175,FILTER(J:J,R:R=R2175))"),10.0)</f>
        <v>10</v>
      </c>
      <c r="T2175" s="6">
        <f t="shared" si="6"/>
        <v>2</v>
      </c>
      <c r="U2175" s="6">
        <f t="shared" si="7"/>
        <v>10</v>
      </c>
      <c r="V2175" s="42">
        <f>averageif(AllData!A:A,B2175,AllData!R:R)/vlookup(B2175,AllData!A:O,15,0)</f>
        <v>92.75369048</v>
      </c>
      <c r="W2175" s="6"/>
    </row>
    <row r="2176" ht="14.25" customHeight="1">
      <c r="A2176" s="6" t="str">
        <f t="shared" si="1"/>
        <v>2022Fellows10</v>
      </c>
      <c r="B2176" s="59">
        <v>2022.0</v>
      </c>
      <c r="C2176" s="13" t="s">
        <v>79</v>
      </c>
      <c r="D2176" s="13" t="s">
        <v>149</v>
      </c>
      <c r="E2176" s="34"/>
      <c r="F2176" s="6"/>
      <c r="H2176" s="6"/>
      <c r="I2176" s="35" t="str">
        <f>IFERROR(IFERROR(IFERROR(VLOOKUP(B2176&amp;C2176&amp;Q2176,'New Weekly Paste'!A:M,10,0),VLOOKUP(B2176&amp;C2176&amp;Q2176,'New Weekly Paste'!B:O,6,0)),""),"")</f>
        <v>Rooney/Jackson</v>
      </c>
      <c r="J2176" s="259">
        <f>IFERROR(IFERROR(VLOOKUP(B2176&amp;C2176&amp;Q2176,'New Weekly Paste'!A:M,8,0),VLOOKUP(B2176&amp;C2176&amp;Q2176,'New Weekly Paste'!B:O,10,0)),0)</f>
        <v>149.48</v>
      </c>
      <c r="K2176" s="259">
        <f>IFERROR(IFERROR(VLOOKUP(B2176&amp;I2176&amp;Q2176,'New Weekly Paste'!A:M,8,0),VLOOKUP(B2176&amp;I2176&amp;Q2176,'New Weekly Paste'!B:O,10,0)),0)</f>
        <v>111.3</v>
      </c>
      <c r="L2176" s="239">
        <f t="shared" si="25"/>
        <v>1</v>
      </c>
      <c r="M2176" s="36" t="str">
        <f t="shared" si="3"/>
        <v>Regular Season</v>
      </c>
      <c r="N2176" s="239" t="str">
        <f t="shared" si="26"/>
        <v>Rooney/Jackson</v>
      </c>
      <c r="O2176" s="6">
        <f>VLOOKUP(D2176,'Mapped Opponent'!$G$4:$H$22,2,0)</f>
        <v>10</v>
      </c>
      <c r="P2176" s="6"/>
      <c r="Q2176" s="6" t="str">
        <f t="shared" si="4"/>
        <v>Week 10</v>
      </c>
      <c r="R2176" s="6" t="str">
        <f t="shared" si="5"/>
        <v>2022Week 10</v>
      </c>
      <c r="S2176" s="6">
        <f>IFERROR(__xludf.DUMMYFUNCTION("rank(J2176,FILTER(J:J,R:R=R2176))"),1.0)</f>
        <v>1</v>
      </c>
      <c r="T2176" s="6">
        <f t="shared" si="6"/>
        <v>11</v>
      </c>
      <c r="U2176" s="6">
        <f t="shared" si="7"/>
        <v>1</v>
      </c>
      <c r="V2176" s="42">
        <f>averageif(AllData!A:A,B2176,AllData!R:R)/vlookup(B2176,AllData!A:O,15,0)</f>
        <v>92.75369048</v>
      </c>
      <c r="W2176" s="6"/>
    </row>
    <row r="2177" ht="14.25" customHeight="1">
      <c r="A2177" s="6" t="str">
        <f t="shared" si="1"/>
        <v>2022Shep10</v>
      </c>
      <c r="B2177" s="59">
        <v>2022.0</v>
      </c>
      <c r="C2177" s="13" t="s">
        <v>89</v>
      </c>
      <c r="D2177" s="13" t="s">
        <v>149</v>
      </c>
      <c r="E2177" s="34"/>
      <c r="F2177" s="6"/>
      <c r="H2177" s="6"/>
      <c r="I2177" s="35" t="str">
        <f>IFERROR(IFERROR(IFERROR(VLOOKUP(B2177&amp;C2177&amp;Q2177,'New Weekly Paste'!A:M,10,0),VLOOKUP(B2177&amp;C2177&amp;Q2177,'New Weekly Paste'!B:O,6,0)),""),"")</f>
        <v>KnardDawg</v>
      </c>
      <c r="J2177" s="259">
        <f>IFERROR(IFERROR(VLOOKUP(B2177&amp;C2177&amp;Q2177,'New Weekly Paste'!A:M,8,0),VLOOKUP(B2177&amp;C2177&amp;Q2177,'New Weekly Paste'!B:O,10,0)),0)</f>
        <v>105.74</v>
      </c>
      <c r="K2177" s="259">
        <f>IFERROR(IFERROR(VLOOKUP(B2177&amp;I2177&amp;Q2177,'New Weekly Paste'!A:M,8,0),VLOOKUP(B2177&amp;I2177&amp;Q2177,'New Weekly Paste'!B:O,10,0)),0)</f>
        <v>85.86</v>
      </c>
      <c r="L2177" s="239">
        <f t="shared" si="25"/>
        <v>1</v>
      </c>
      <c r="M2177" s="36" t="str">
        <f t="shared" si="3"/>
        <v>Regular Season</v>
      </c>
      <c r="N2177" s="239" t="str">
        <f t="shared" si="26"/>
        <v>KnardDawg</v>
      </c>
      <c r="O2177" s="6">
        <f>VLOOKUP(D2177,'Mapped Opponent'!$G$4:$H$22,2,0)</f>
        <v>10</v>
      </c>
      <c r="P2177" s="6"/>
      <c r="Q2177" s="6" t="str">
        <f t="shared" si="4"/>
        <v>Week 10</v>
      </c>
      <c r="R2177" s="6" t="str">
        <f t="shared" si="5"/>
        <v>2022Week 10</v>
      </c>
      <c r="S2177" s="6">
        <f>IFERROR(__xludf.DUMMYFUNCTION("rank(J2177,FILTER(J:J,R:R=R2177))"),3.0)</f>
        <v>3</v>
      </c>
      <c r="T2177" s="6">
        <f t="shared" si="6"/>
        <v>9</v>
      </c>
      <c r="U2177" s="6">
        <f t="shared" si="7"/>
        <v>3</v>
      </c>
      <c r="V2177" s="42">
        <f>averageif(AllData!A:A,B2177,AllData!R:R)/vlookup(B2177,AllData!A:O,15,0)</f>
        <v>92.75369048</v>
      </c>
      <c r="W2177" s="6"/>
    </row>
    <row r="2178" ht="14.25" customHeight="1">
      <c r="A2178" s="6" t="str">
        <f t="shared" si="1"/>
        <v>2022Riley10</v>
      </c>
      <c r="B2178" s="59">
        <v>2022.0</v>
      </c>
      <c r="C2178" s="13" t="s">
        <v>67</v>
      </c>
      <c r="D2178" s="13" t="s">
        <v>149</v>
      </c>
      <c r="E2178" s="34"/>
      <c r="F2178" s="6"/>
      <c r="H2178" s="6"/>
      <c r="I2178" s="35" t="str">
        <f>IFERROR(IFERROR(IFERROR(VLOOKUP(B2178&amp;C2178&amp;Q2178,'New Weekly Paste'!A:M,10,0),VLOOKUP(B2178&amp;C2178&amp;Q2178,'New Weekly Paste'!B:O,6,0)),""),"")</f>
        <v>T-How</v>
      </c>
      <c r="J2178" s="259">
        <f>IFERROR(IFERROR(VLOOKUP(B2178&amp;C2178&amp;Q2178,'New Weekly Paste'!A:M,8,0),VLOOKUP(B2178&amp;C2178&amp;Q2178,'New Weekly Paste'!B:O,10,0)),0)</f>
        <v>104.58</v>
      </c>
      <c r="K2178" s="259">
        <f>IFERROR(IFERROR(VLOOKUP(B2178&amp;I2178&amp;Q2178,'New Weekly Paste'!A:M,8,0),VLOOKUP(B2178&amp;I2178&amp;Q2178,'New Weekly Paste'!B:O,10,0)),0)</f>
        <v>66.68</v>
      </c>
      <c r="L2178" s="239">
        <f t="shared" si="25"/>
        <v>1</v>
      </c>
      <c r="M2178" s="36" t="str">
        <f t="shared" si="3"/>
        <v>Regular Season</v>
      </c>
      <c r="N2178" s="239" t="str">
        <f t="shared" si="26"/>
        <v>T-How</v>
      </c>
      <c r="O2178" s="6">
        <f>VLOOKUP(D2178,'Mapped Opponent'!$G$4:$H$22,2,0)</f>
        <v>10</v>
      </c>
      <c r="P2178" s="6"/>
      <c r="Q2178" s="6" t="str">
        <f t="shared" si="4"/>
        <v>Week 10</v>
      </c>
      <c r="R2178" s="6" t="str">
        <f t="shared" si="5"/>
        <v>2022Week 10</v>
      </c>
      <c r="S2178" s="6">
        <f>IFERROR(__xludf.DUMMYFUNCTION("rank(J2178,FILTER(J:J,R:R=R2178))"),4.0)</f>
        <v>4</v>
      </c>
      <c r="T2178" s="6">
        <f t="shared" si="6"/>
        <v>8</v>
      </c>
      <c r="U2178" s="6">
        <f t="shared" si="7"/>
        <v>4</v>
      </c>
      <c r="V2178" s="42">
        <f>averageif(AllData!A:A,B2178,AllData!R:R)/vlookup(B2178,AllData!A:O,15,0)</f>
        <v>92.75369048</v>
      </c>
      <c r="W2178" s="6"/>
    </row>
    <row r="2179" ht="14.25" customHeight="1">
      <c r="A2179" s="6" t="str">
        <f t="shared" si="1"/>
        <v>2022Rooney/Jackson10</v>
      </c>
      <c r="B2179" s="59">
        <v>2022.0</v>
      </c>
      <c r="C2179" s="13" t="s">
        <v>57</v>
      </c>
      <c r="D2179" s="13" t="s">
        <v>149</v>
      </c>
      <c r="E2179" s="34"/>
      <c r="F2179" s="6"/>
      <c r="H2179" s="6"/>
      <c r="I2179" s="35" t="str">
        <f>IFERROR(IFERROR(IFERROR(VLOOKUP(B2179&amp;C2179&amp;Q2179,'New Weekly Paste'!A:M,10,0),VLOOKUP(B2179&amp;C2179&amp;Q2179,'New Weekly Paste'!B:O,6,0)),""),"")</f>
        <v>Fellows</v>
      </c>
      <c r="J2179" s="259">
        <f>IFERROR(IFERROR(VLOOKUP(B2179&amp;C2179&amp;Q2179,'New Weekly Paste'!A:M,8,0),VLOOKUP(B2179&amp;C2179&amp;Q2179,'New Weekly Paste'!B:O,10,0)),0)</f>
        <v>111.3</v>
      </c>
      <c r="K2179" s="259">
        <f>IFERROR(IFERROR(VLOOKUP(B2179&amp;I2179&amp;Q2179,'New Weekly Paste'!A:M,8,0),VLOOKUP(B2179&amp;I2179&amp;Q2179,'New Weekly Paste'!B:O,10,0)),0)</f>
        <v>149.48</v>
      </c>
      <c r="L2179" s="239">
        <f t="shared" si="25"/>
        <v>0</v>
      </c>
      <c r="M2179" s="36" t="str">
        <f t="shared" si="3"/>
        <v>Regular Season</v>
      </c>
      <c r="N2179" s="239" t="str">
        <f t="shared" si="26"/>
        <v>Fellows</v>
      </c>
      <c r="O2179" s="6">
        <f>VLOOKUP(D2179,'Mapped Opponent'!$G$4:$H$22,2,0)</f>
        <v>10</v>
      </c>
      <c r="P2179" s="6"/>
      <c r="Q2179" s="6" t="str">
        <f t="shared" si="4"/>
        <v>Week 10</v>
      </c>
      <c r="R2179" s="6" t="str">
        <f t="shared" si="5"/>
        <v>2022Week 10</v>
      </c>
      <c r="S2179" s="6">
        <f>IFERROR(__xludf.DUMMYFUNCTION("rank(J2179,FILTER(J:J,R:R=R2179))"),2.0)</f>
        <v>2</v>
      </c>
      <c r="T2179" s="6">
        <f t="shared" si="6"/>
        <v>10</v>
      </c>
      <c r="U2179" s="6">
        <f t="shared" si="7"/>
        <v>2</v>
      </c>
      <c r="V2179" s="42">
        <f>averageif(AllData!A:A,B2179,AllData!R:R)/vlookup(B2179,AllData!A:O,15,0)</f>
        <v>92.75369048</v>
      </c>
      <c r="W2179" s="6"/>
    </row>
    <row r="2180" ht="14.25" customHeight="1">
      <c r="A2180" s="6" t="str">
        <f t="shared" si="1"/>
        <v>2022Buser10</v>
      </c>
      <c r="B2180" s="59">
        <v>2022.0</v>
      </c>
      <c r="C2180" s="13" t="s">
        <v>47</v>
      </c>
      <c r="D2180" s="13" t="s">
        <v>149</v>
      </c>
      <c r="E2180" s="34"/>
      <c r="F2180" s="6"/>
      <c r="H2180" s="6"/>
      <c r="I2180" s="35" t="str">
        <f>IFERROR(IFERROR(IFERROR(VLOOKUP(B2180&amp;C2180&amp;Q2180,'New Weekly Paste'!A:M,10,0),VLOOKUP(B2180&amp;C2180&amp;Q2180,'New Weekly Paste'!B:O,6,0)),""),"")</f>
        <v>Pierson</v>
      </c>
      <c r="J2180" s="259">
        <f>IFERROR(IFERROR(VLOOKUP(B2180&amp;C2180&amp;Q2180,'New Weekly Paste'!A:M,8,0),VLOOKUP(B2180&amp;C2180&amp;Q2180,'New Weekly Paste'!B:O,10,0)),0)</f>
        <v>78.6</v>
      </c>
      <c r="K2180" s="259">
        <f>IFERROR(IFERROR(VLOOKUP(B2180&amp;I2180&amp;Q2180,'New Weekly Paste'!A:M,8,0),VLOOKUP(B2180&amp;I2180&amp;Q2180,'New Weekly Paste'!B:O,10,0)),0)</f>
        <v>93.94</v>
      </c>
      <c r="L2180" s="239">
        <f t="shared" si="25"/>
        <v>0</v>
      </c>
      <c r="M2180" s="36" t="str">
        <f t="shared" si="3"/>
        <v>Regular Season</v>
      </c>
      <c r="N2180" s="239" t="str">
        <f t="shared" si="26"/>
        <v>Pierson</v>
      </c>
      <c r="O2180" s="6">
        <f>VLOOKUP(D2180,'Mapped Opponent'!$G$4:$H$22,2,0)</f>
        <v>10</v>
      </c>
      <c r="P2180" s="6"/>
      <c r="Q2180" s="6" t="str">
        <f t="shared" si="4"/>
        <v>Week 10</v>
      </c>
      <c r="R2180" s="6" t="str">
        <f t="shared" si="5"/>
        <v>2022Week 10</v>
      </c>
      <c r="S2180" s="6">
        <f>IFERROR(__xludf.DUMMYFUNCTION("rank(J2180,FILTER(J:J,R:R=R2180))"),9.0)</f>
        <v>9</v>
      </c>
      <c r="T2180" s="6">
        <f t="shared" si="6"/>
        <v>3</v>
      </c>
      <c r="U2180" s="6">
        <f t="shared" si="7"/>
        <v>9</v>
      </c>
      <c r="V2180" s="42">
        <f>averageif(AllData!A:A,B2180,AllData!R:R)/vlookup(B2180,AllData!A:O,15,0)</f>
        <v>92.75369048</v>
      </c>
      <c r="W2180" s="6"/>
    </row>
    <row r="2181" ht="14.25" customHeight="1">
      <c r="A2181" s="6" t="str">
        <f t="shared" si="1"/>
        <v>2022Pierson10</v>
      </c>
      <c r="B2181" s="59">
        <v>2022.0</v>
      </c>
      <c r="C2181" s="13" t="s">
        <v>92</v>
      </c>
      <c r="D2181" s="13" t="s">
        <v>149</v>
      </c>
      <c r="E2181" s="34"/>
      <c r="F2181" s="6"/>
      <c r="H2181" s="6"/>
      <c r="I2181" s="35" t="str">
        <f>IFERROR(IFERROR(IFERROR(VLOOKUP(B2181&amp;C2181&amp;Q2181,'New Weekly Paste'!A:M,10,0),VLOOKUP(B2181&amp;C2181&amp;Q2181,'New Weekly Paste'!B:O,6,0)),""),"")</f>
        <v>Buser</v>
      </c>
      <c r="J2181" s="259">
        <f>IFERROR(IFERROR(VLOOKUP(B2181&amp;C2181&amp;Q2181,'New Weekly Paste'!A:M,8,0),VLOOKUP(B2181&amp;C2181&amp;Q2181,'New Weekly Paste'!B:O,10,0)),0)</f>
        <v>93.94</v>
      </c>
      <c r="K2181" s="259">
        <f>IFERROR(IFERROR(VLOOKUP(B2181&amp;I2181&amp;Q2181,'New Weekly Paste'!A:M,8,0),VLOOKUP(B2181&amp;I2181&amp;Q2181,'New Weekly Paste'!B:O,10,0)),0)</f>
        <v>78.6</v>
      </c>
      <c r="L2181" s="239">
        <f t="shared" si="25"/>
        <v>1</v>
      </c>
      <c r="M2181" s="36" t="str">
        <f t="shared" si="3"/>
        <v>Regular Season</v>
      </c>
      <c r="N2181" s="239" t="str">
        <f t="shared" si="26"/>
        <v>Buser</v>
      </c>
      <c r="O2181" s="6">
        <f>VLOOKUP(D2181,'Mapped Opponent'!$G$4:$H$22,2,0)</f>
        <v>10</v>
      </c>
      <c r="P2181" s="6"/>
      <c r="Q2181" s="6" t="str">
        <f t="shared" si="4"/>
        <v>Week 10</v>
      </c>
      <c r="R2181" s="6" t="str">
        <f t="shared" si="5"/>
        <v>2022Week 10</v>
      </c>
      <c r="S2181" s="6">
        <f>IFERROR(__xludf.DUMMYFUNCTION("rank(J2181,FILTER(J:J,R:R=R2181))"),6.0)</f>
        <v>6</v>
      </c>
      <c r="T2181" s="6">
        <f t="shared" si="6"/>
        <v>6</v>
      </c>
      <c r="U2181" s="6">
        <f t="shared" si="7"/>
        <v>6</v>
      </c>
      <c r="V2181" s="42">
        <f>averageif(AllData!A:A,B2181,AllData!R:R)/vlookup(B2181,AllData!A:O,15,0)</f>
        <v>92.75369048</v>
      </c>
      <c r="W2181" s="6"/>
    </row>
    <row r="2182" ht="14.25" customHeight="1">
      <c r="A2182" s="6" t="str">
        <f t="shared" si="1"/>
        <v>2022Cock10</v>
      </c>
      <c r="B2182" s="59">
        <v>2022.0</v>
      </c>
      <c r="C2182" s="13" t="s">
        <v>72</v>
      </c>
      <c r="D2182" s="13" t="s">
        <v>149</v>
      </c>
      <c r="E2182" s="34"/>
      <c r="F2182" s="6"/>
      <c r="H2182" s="6"/>
      <c r="I2182" s="35" t="str">
        <f>IFERROR(IFERROR(IFERROR(VLOOKUP(B2182&amp;C2182&amp;Q2182,'New Weekly Paste'!A:M,10,0),VLOOKUP(B2182&amp;C2182&amp;Q2182,'New Weekly Paste'!B:O,6,0)),""),"")</f>
        <v>Hudspeath</v>
      </c>
      <c r="J2182" s="259">
        <f>IFERROR(IFERROR(VLOOKUP(B2182&amp;C2182&amp;Q2182,'New Weekly Paste'!A:M,8,0),VLOOKUP(B2182&amp;C2182&amp;Q2182,'New Weekly Paste'!B:O,10,0)),0)</f>
        <v>62.22</v>
      </c>
      <c r="K2182" s="259">
        <f>IFERROR(IFERROR(VLOOKUP(B2182&amp;I2182&amp;Q2182,'New Weekly Paste'!A:M,8,0),VLOOKUP(B2182&amp;I2182&amp;Q2182,'New Weekly Paste'!B:O,10,0)),0)</f>
        <v>87.6</v>
      </c>
      <c r="L2182" s="239">
        <f t="shared" si="25"/>
        <v>0</v>
      </c>
      <c r="M2182" s="36" t="str">
        <f t="shared" si="3"/>
        <v>Regular Season</v>
      </c>
      <c r="N2182" s="239" t="str">
        <f t="shared" si="26"/>
        <v>Hudspeath</v>
      </c>
      <c r="O2182" s="6">
        <f>VLOOKUP(D2182,'Mapped Opponent'!$G$4:$H$22,2,0)</f>
        <v>10</v>
      </c>
      <c r="P2182" s="6"/>
      <c r="Q2182" s="6" t="str">
        <f t="shared" si="4"/>
        <v>Week 10</v>
      </c>
      <c r="R2182" s="6" t="str">
        <f t="shared" si="5"/>
        <v>2022Week 10</v>
      </c>
      <c r="S2182" s="6">
        <f>IFERROR(__xludf.DUMMYFUNCTION("rank(J2182,FILTER(J:J,R:R=R2182))"),12.0)</f>
        <v>12</v>
      </c>
      <c r="T2182" s="6">
        <f t="shared" si="6"/>
        <v>0</v>
      </c>
      <c r="U2182" s="6">
        <f t="shared" si="7"/>
        <v>12</v>
      </c>
      <c r="V2182" s="42">
        <f>averageif(AllData!A:A,B2182,AllData!R:R)/vlookup(B2182,AllData!A:O,15,0)</f>
        <v>92.75369048</v>
      </c>
      <c r="W2182" s="6"/>
    </row>
    <row r="2183" ht="14.25" customHeight="1">
      <c r="A2183" s="6" t="str">
        <f t="shared" si="1"/>
        <v>2022Tayski10</v>
      </c>
      <c r="B2183" s="59">
        <v>2022.0</v>
      </c>
      <c r="C2183" s="13" t="s">
        <v>52</v>
      </c>
      <c r="D2183" s="13" t="s">
        <v>149</v>
      </c>
      <c r="E2183" s="34"/>
      <c r="F2183" s="6"/>
      <c r="H2183" s="6"/>
      <c r="I2183" s="35" t="str">
        <f>IFERROR(IFERROR(IFERROR(VLOOKUP(B2183&amp;C2183&amp;Q2183,'New Weekly Paste'!A:M,10,0),VLOOKUP(B2183&amp;C2183&amp;Q2183,'New Weekly Paste'!B:O,6,0)),""),"")</f>
        <v>Salty</v>
      </c>
      <c r="J2183" s="259">
        <f>IFERROR(IFERROR(VLOOKUP(B2183&amp;C2183&amp;Q2183,'New Weekly Paste'!A:M,8,0),VLOOKUP(B2183&amp;C2183&amp;Q2183,'New Weekly Paste'!B:O,10,0)),0)</f>
        <v>97.7</v>
      </c>
      <c r="K2183" s="259">
        <f>IFERROR(IFERROR(VLOOKUP(B2183&amp;I2183&amp;Q2183,'New Weekly Paste'!A:M,8,0),VLOOKUP(B2183&amp;I2183&amp;Q2183,'New Weekly Paste'!B:O,10,0)),0)</f>
        <v>66.7</v>
      </c>
      <c r="L2183" s="239">
        <f t="shared" si="25"/>
        <v>1</v>
      </c>
      <c r="M2183" s="36" t="str">
        <f t="shared" si="3"/>
        <v>Regular Season</v>
      </c>
      <c r="N2183" s="239" t="str">
        <f t="shared" si="26"/>
        <v>Salty</v>
      </c>
      <c r="O2183" s="6">
        <f>VLOOKUP(D2183,'Mapped Opponent'!$G$4:$H$22,2,0)</f>
        <v>10</v>
      </c>
      <c r="P2183" s="6"/>
      <c r="Q2183" s="6" t="str">
        <f t="shared" si="4"/>
        <v>Week 10</v>
      </c>
      <c r="R2183" s="6" t="str">
        <f t="shared" si="5"/>
        <v>2022Week 10</v>
      </c>
      <c r="S2183" s="6">
        <f>IFERROR(__xludf.DUMMYFUNCTION("rank(J2183,FILTER(J:J,R:R=R2183))"),5.0)</f>
        <v>5</v>
      </c>
      <c r="T2183" s="6">
        <f t="shared" si="6"/>
        <v>7</v>
      </c>
      <c r="U2183" s="6">
        <f t="shared" si="7"/>
        <v>5</v>
      </c>
      <c r="V2183" s="42">
        <f>averageif(AllData!A:A,B2183,AllData!R:R)/vlookup(B2183,AllData!A:O,15,0)</f>
        <v>92.75369048</v>
      </c>
      <c r="W2183" s="6"/>
    </row>
    <row r="2184" ht="14.25" customHeight="1">
      <c r="A2184" s="6" t="str">
        <f t="shared" si="1"/>
        <v>2022KnardDawg10</v>
      </c>
      <c r="B2184" s="59">
        <v>2022.0</v>
      </c>
      <c r="C2184" s="13" t="s">
        <v>86</v>
      </c>
      <c r="D2184" s="13" t="s">
        <v>149</v>
      </c>
      <c r="E2184" s="34"/>
      <c r="F2184" s="6"/>
      <c r="H2184" s="6"/>
      <c r="I2184" s="35" t="str">
        <f>IFERROR(IFERROR(IFERROR(VLOOKUP(B2184&amp;C2184&amp;Q2184,'New Weekly Paste'!A:M,10,0),VLOOKUP(B2184&amp;C2184&amp;Q2184,'New Weekly Paste'!B:O,6,0)),""),"")</f>
        <v>Shep</v>
      </c>
      <c r="J2184" s="259">
        <f>IFERROR(IFERROR(VLOOKUP(B2184&amp;C2184&amp;Q2184,'New Weekly Paste'!A:M,8,0),VLOOKUP(B2184&amp;C2184&amp;Q2184,'New Weekly Paste'!B:O,10,0)),0)</f>
        <v>85.86</v>
      </c>
      <c r="K2184" s="259">
        <f>IFERROR(IFERROR(VLOOKUP(B2184&amp;I2184&amp;Q2184,'New Weekly Paste'!A:M,8,0),VLOOKUP(B2184&amp;I2184&amp;Q2184,'New Weekly Paste'!B:O,10,0)),0)</f>
        <v>105.74</v>
      </c>
      <c r="L2184" s="239">
        <f t="shared" si="25"/>
        <v>0</v>
      </c>
      <c r="M2184" s="36" t="str">
        <f t="shared" si="3"/>
        <v>Regular Season</v>
      </c>
      <c r="N2184" s="239" t="str">
        <f t="shared" si="26"/>
        <v>Shep</v>
      </c>
      <c r="O2184" s="6">
        <f>VLOOKUP(D2184,'Mapped Opponent'!$G$4:$H$22,2,0)</f>
        <v>10</v>
      </c>
      <c r="P2184" s="6"/>
      <c r="Q2184" s="6" t="str">
        <f t="shared" si="4"/>
        <v>Week 10</v>
      </c>
      <c r="R2184" s="6" t="str">
        <f t="shared" si="5"/>
        <v>2022Week 10</v>
      </c>
      <c r="S2184" s="6">
        <f>IFERROR(__xludf.DUMMYFUNCTION("rank(J2184,FILTER(J:J,R:R=R2184))"),8.0)</f>
        <v>8</v>
      </c>
      <c r="T2184" s="6">
        <f t="shared" si="6"/>
        <v>4</v>
      </c>
      <c r="U2184" s="6">
        <f t="shared" si="7"/>
        <v>8</v>
      </c>
      <c r="V2184" s="42">
        <f>averageif(AllData!A:A,B2184,AllData!R:R)/vlookup(B2184,AllData!A:O,15,0)</f>
        <v>92.75369048</v>
      </c>
      <c r="W2184" s="6"/>
    </row>
    <row r="2185" ht="14.25" customHeight="1">
      <c r="A2185" s="6" t="str">
        <f t="shared" si="1"/>
        <v>2022T-How10</v>
      </c>
      <c r="B2185" s="59">
        <v>2022.0</v>
      </c>
      <c r="C2185" s="13" t="s">
        <v>82</v>
      </c>
      <c r="D2185" s="13" t="s">
        <v>149</v>
      </c>
      <c r="E2185" s="34"/>
      <c r="F2185" s="6"/>
      <c r="H2185" s="6"/>
      <c r="I2185" s="35" t="str">
        <f>IFERROR(IFERROR(IFERROR(VLOOKUP(B2185&amp;C2185&amp;Q2185,'New Weekly Paste'!A:M,10,0),VLOOKUP(B2185&amp;C2185&amp;Q2185,'New Weekly Paste'!B:O,6,0)),""),"")</f>
        <v>Riley</v>
      </c>
      <c r="J2185" s="259">
        <f>IFERROR(IFERROR(VLOOKUP(B2185&amp;C2185&amp;Q2185,'New Weekly Paste'!A:M,8,0),VLOOKUP(B2185&amp;C2185&amp;Q2185,'New Weekly Paste'!B:O,10,0)),0)</f>
        <v>66.68</v>
      </c>
      <c r="K2185" s="259">
        <f>IFERROR(IFERROR(VLOOKUP(B2185&amp;I2185&amp;Q2185,'New Weekly Paste'!A:M,8,0),VLOOKUP(B2185&amp;I2185&amp;Q2185,'New Weekly Paste'!B:O,10,0)),0)</f>
        <v>104.58</v>
      </c>
      <c r="L2185" s="239">
        <f t="shared" si="25"/>
        <v>0</v>
      </c>
      <c r="M2185" s="36" t="str">
        <f t="shared" si="3"/>
        <v>Regular Season</v>
      </c>
      <c r="N2185" s="239" t="str">
        <f t="shared" si="26"/>
        <v>Riley</v>
      </c>
      <c r="O2185" s="6">
        <f>VLOOKUP(D2185,'Mapped Opponent'!$G$4:$H$22,2,0)</f>
        <v>10</v>
      </c>
      <c r="P2185" s="6"/>
      <c r="Q2185" s="6" t="str">
        <f t="shared" si="4"/>
        <v>Week 10</v>
      </c>
      <c r="R2185" s="6" t="str">
        <f t="shared" si="5"/>
        <v>2022Week 10</v>
      </c>
      <c r="S2185" s="6">
        <f>IFERROR(__xludf.DUMMYFUNCTION("rank(J2185,FILTER(J:J,R:R=R2185))"),11.0)</f>
        <v>11</v>
      </c>
      <c r="T2185" s="6">
        <f t="shared" si="6"/>
        <v>1</v>
      </c>
      <c r="U2185" s="6">
        <f t="shared" si="7"/>
        <v>11</v>
      </c>
      <c r="V2185" s="42">
        <f>averageif(AllData!A:A,B2185,AllData!R:R)/vlookup(B2185,AllData!A:O,15,0)</f>
        <v>92.75369048</v>
      </c>
      <c r="W2185" s="6"/>
    </row>
    <row r="2186" ht="14.25" customHeight="1">
      <c r="A2186" s="6" t="str">
        <f t="shared" si="1"/>
        <v>2022Hudspeath11</v>
      </c>
      <c r="B2186" s="59">
        <v>2022.0</v>
      </c>
      <c r="C2186" s="13" t="s">
        <v>39</v>
      </c>
      <c r="D2186" s="13" t="s">
        <v>150</v>
      </c>
      <c r="E2186" s="34"/>
      <c r="F2186" s="6"/>
      <c r="H2186" s="6"/>
      <c r="I2186" s="35" t="str">
        <f>IFERROR(IFERROR(IFERROR(VLOOKUP(B2186&amp;C2186&amp;Q2186,'New Weekly Paste'!A:M,10,0),VLOOKUP(B2186&amp;C2186&amp;Q2186,'New Weekly Paste'!B:O,6,0)),""),"")</f>
        <v>Tayski</v>
      </c>
      <c r="J2186" s="259">
        <f>IFERROR(IFERROR(VLOOKUP(B2186&amp;C2186&amp;Q2186,'New Weekly Paste'!A:M,8,0),VLOOKUP(B2186&amp;C2186&amp;Q2186,'New Weekly Paste'!B:O,10,0)),0)</f>
        <v>84.14</v>
      </c>
      <c r="K2186" s="259">
        <f>IFERROR(IFERROR(VLOOKUP(B2186&amp;I2186&amp;Q2186,'New Weekly Paste'!A:M,8,0),VLOOKUP(B2186&amp;I2186&amp;Q2186,'New Weekly Paste'!B:O,10,0)),0)</f>
        <v>111.34</v>
      </c>
      <c r="L2186" s="239">
        <f t="shared" si="25"/>
        <v>0</v>
      </c>
      <c r="M2186" s="36" t="str">
        <f t="shared" si="3"/>
        <v>Regular Season</v>
      </c>
      <c r="N2186" s="239" t="str">
        <f t="shared" si="26"/>
        <v>Tayski</v>
      </c>
      <c r="O2186" s="6">
        <f>VLOOKUP(D2186,'Mapped Opponent'!$G$4:$H$22,2,0)</f>
        <v>11</v>
      </c>
      <c r="P2186" s="6"/>
      <c r="Q2186" s="6" t="str">
        <f t="shared" si="4"/>
        <v>Week 11</v>
      </c>
      <c r="R2186" s="6" t="str">
        <f t="shared" si="5"/>
        <v>2022Week 11</v>
      </c>
      <c r="S2186" s="6">
        <f>IFERROR(__xludf.DUMMYFUNCTION("rank(J2186,FILTER(J:J,R:R=R2186))"),10.0)</f>
        <v>10</v>
      </c>
      <c r="T2186" s="6">
        <f t="shared" si="6"/>
        <v>2</v>
      </c>
      <c r="U2186" s="6">
        <f t="shared" si="7"/>
        <v>10</v>
      </c>
      <c r="V2186" s="42">
        <f>averageif(AllData!A:A,B2186,AllData!R:R)/vlookup(B2186,AllData!A:O,15,0)</f>
        <v>92.75369048</v>
      </c>
      <c r="W2186" s="6"/>
    </row>
    <row r="2187" ht="14.25" customHeight="1">
      <c r="A2187" s="6" t="str">
        <f t="shared" si="1"/>
        <v>2022Salty11</v>
      </c>
      <c r="B2187" s="59">
        <v>2022.0</v>
      </c>
      <c r="C2187" s="13" t="s">
        <v>76</v>
      </c>
      <c r="D2187" s="13" t="s">
        <v>150</v>
      </c>
      <c r="E2187" s="34"/>
      <c r="F2187" s="6"/>
      <c r="H2187" s="6"/>
      <c r="I2187" s="35" t="str">
        <f>IFERROR(IFERROR(IFERROR(VLOOKUP(B2187&amp;C2187&amp;Q2187,'New Weekly Paste'!A:M,10,0),VLOOKUP(B2187&amp;C2187&amp;Q2187,'New Weekly Paste'!B:O,6,0)),""),"")</f>
        <v>Rooney/Jackson</v>
      </c>
      <c r="J2187" s="259">
        <f>IFERROR(IFERROR(VLOOKUP(B2187&amp;C2187&amp;Q2187,'New Weekly Paste'!A:M,8,0),VLOOKUP(B2187&amp;C2187&amp;Q2187,'New Weekly Paste'!B:O,10,0)),0)</f>
        <v>72.3</v>
      </c>
      <c r="K2187" s="259">
        <f>IFERROR(IFERROR(VLOOKUP(B2187&amp;I2187&amp;Q2187,'New Weekly Paste'!A:M,8,0),VLOOKUP(B2187&amp;I2187&amp;Q2187,'New Weekly Paste'!B:O,10,0)),0)</f>
        <v>96.32</v>
      </c>
      <c r="L2187" s="239">
        <f t="shared" si="25"/>
        <v>0</v>
      </c>
      <c r="M2187" s="36" t="str">
        <f t="shared" si="3"/>
        <v>Regular Season</v>
      </c>
      <c r="N2187" s="239" t="str">
        <f t="shared" si="26"/>
        <v>Rooney/Jackson</v>
      </c>
      <c r="O2187" s="6">
        <f>VLOOKUP(D2187,'Mapped Opponent'!$G$4:$H$22,2,0)</f>
        <v>11</v>
      </c>
      <c r="P2187" s="6"/>
      <c r="Q2187" s="6" t="str">
        <f t="shared" si="4"/>
        <v>Week 11</v>
      </c>
      <c r="R2187" s="6" t="str">
        <f t="shared" si="5"/>
        <v>2022Week 11</v>
      </c>
      <c r="S2187" s="6">
        <f>IFERROR(__xludf.DUMMYFUNCTION("rank(J2187,FILTER(J:J,R:R=R2187))"),11.0)</f>
        <v>11</v>
      </c>
      <c r="T2187" s="6">
        <f t="shared" si="6"/>
        <v>1</v>
      </c>
      <c r="U2187" s="6">
        <f t="shared" si="7"/>
        <v>11</v>
      </c>
      <c r="V2187" s="42">
        <f>averageif(AllData!A:A,B2187,AllData!R:R)/vlookup(B2187,AllData!A:O,15,0)</f>
        <v>92.75369048</v>
      </c>
      <c r="W2187" s="6"/>
    </row>
    <row r="2188" ht="14.25" customHeight="1">
      <c r="A2188" s="6" t="str">
        <f t="shared" si="1"/>
        <v>2022Fellows11</v>
      </c>
      <c r="B2188" s="59">
        <v>2022.0</v>
      </c>
      <c r="C2188" s="13" t="s">
        <v>79</v>
      </c>
      <c r="D2188" s="13" t="s">
        <v>150</v>
      </c>
      <c r="E2188" s="34"/>
      <c r="F2188" s="6"/>
      <c r="H2188" s="6"/>
      <c r="I2188" s="35" t="str">
        <f>IFERROR(IFERROR(IFERROR(VLOOKUP(B2188&amp;C2188&amp;Q2188,'New Weekly Paste'!A:M,10,0),VLOOKUP(B2188&amp;C2188&amp;Q2188,'New Weekly Paste'!B:O,6,0)),""),"")</f>
        <v>Pierson</v>
      </c>
      <c r="J2188" s="259">
        <f>IFERROR(IFERROR(VLOOKUP(B2188&amp;C2188&amp;Q2188,'New Weekly Paste'!A:M,8,0),VLOOKUP(B2188&amp;C2188&amp;Q2188,'New Weekly Paste'!B:O,10,0)),0)</f>
        <v>91.32</v>
      </c>
      <c r="K2188" s="259">
        <f>IFERROR(IFERROR(VLOOKUP(B2188&amp;I2188&amp;Q2188,'New Weekly Paste'!A:M,8,0),VLOOKUP(B2188&amp;I2188&amp;Q2188,'New Weekly Paste'!B:O,10,0)),0)</f>
        <v>137.56</v>
      </c>
      <c r="L2188" s="239">
        <f t="shared" si="25"/>
        <v>0</v>
      </c>
      <c r="M2188" s="36" t="str">
        <f t="shared" si="3"/>
        <v>Regular Season</v>
      </c>
      <c r="N2188" s="239" t="str">
        <f t="shared" si="26"/>
        <v>Pierson</v>
      </c>
      <c r="O2188" s="6">
        <f>VLOOKUP(D2188,'Mapped Opponent'!$G$4:$H$22,2,0)</f>
        <v>11</v>
      </c>
      <c r="P2188" s="6"/>
      <c r="Q2188" s="6" t="str">
        <f t="shared" si="4"/>
        <v>Week 11</v>
      </c>
      <c r="R2188" s="6" t="str">
        <f t="shared" si="5"/>
        <v>2022Week 11</v>
      </c>
      <c r="S2188" s="6">
        <f>IFERROR(__xludf.DUMMYFUNCTION("rank(J2188,FILTER(J:J,R:R=R2188))"),8.0)</f>
        <v>8</v>
      </c>
      <c r="T2188" s="6">
        <f t="shared" si="6"/>
        <v>4</v>
      </c>
      <c r="U2188" s="6">
        <f t="shared" si="7"/>
        <v>8</v>
      </c>
      <c r="V2188" s="42">
        <f>averageif(AllData!A:A,B2188,AllData!R:R)/vlookup(B2188,AllData!A:O,15,0)</f>
        <v>92.75369048</v>
      </c>
      <c r="W2188" s="6"/>
    </row>
    <row r="2189" ht="14.25" customHeight="1">
      <c r="A2189" s="6" t="str">
        <f t="shared" si="1"/>
        <v>2022Shep11</v>
      </c>
      <c r="B2189" s="59">
        <v>2022.0</v>
      </c>
      <c r="C2189" s="13" t="s">
        <v>89</v>
      </c>
      <c r="D2189" s="13" t="s">
        <v>150</v>
      </c>
      <c r="E2189" s="34"/>
      <c r="F2189" s="6"/>
      <c r="H2189" s="6"/>
      <c r="I2189" s="35" t="str">
        <f>IFERROR(IFERROR(IFERROR(VLOOKUP(B2189&amp;C2189&amp;Q2189,'New Weekly Paste'!A:M,10,0),VLOOKUP(B2189&amp;C2189&amp;Q2189,'New Weekly Paste'!B:O,6,0)),""),"")</f>
        <v>T-How</v>
      </c>
      <c r="J2189" s="259">
        <f>IFERROR(IFERROR(VLOOKUP(B2189&amp;C2189&amp;Q2189,'New Weekly Paste'!A:M,8,0),VLOOKUP(B2189&amp;C2189&amp;Q2189,'New Weekly Paste'!B:O,10,0)),0)</f>
        <v>88.2</v>
      </c>
      <c r="K2189" s="259">
        <f>IFERROR(IFERROR(VLOOKUP(B2189&amp;I2189&amp;Q2189,'New Weekly Paste'!A:M,8,0),VLOOKUP(B2189&amp;I2189&amp;Q2189,'New Weekly Paste'!B:O,10,0)),0)</f>
        <v>95.66</v>
      </c>
      <c r="L2189" s="239">
        <f t="shared" si="25"/>
        <v>0</v>
      </c>
      <c r="M2189" s="36" t="str">
        <f t="shared" si="3"/>
        <v>Regular Season</v>
      </c>
      <c r="N2189" s="239" t="str">
        <f t="shared" si="26"/>
        <v>T-How</v>
      </c>
      <c r="O2189" s="6">
        <f>VLOOKUP(D2189,'Mapped Opponent'!$G$4:$H$22,2,0)</f>
        <v>11</v>
      </c>
      <c r="P2189" s="6"/>
      <c r="Q2189" s="6" t="str">
        <f t="shared" si="4"/>
        <v>Week 11</v>
      </c>
      <c r="R2189" s="6" t="str">
        <f t="shared" si="5"/>
        <v>2022Week 11</v>
      </c>
      <c r="S2189" s="6">
        <f>IFERROR(__xludf.DUMMYFUNCTION("rank(J2189,FILTER(J:J,R:R=R2189))"),9.0)</f>
        <v>9</v>
      </c>
      <c r="T2189" s="6">
        <f t="shared" si="6"/>
        <v>3</v>
      </c>
      <c r="U2189" s="6">
        <f t="shared" si="7"/>
        <v>9</v>
      </c>
      <c r="V2189" s="42">
        <f>averageif(AllData!A:A,B2189,AllData!R:R)/vlookup(B2189,AllData!A:O,15,0)</f>
        <v>92.75369048</v>
      </c>
      <c r="W2189" s="6"/>
    </row>
    <row r="2190" ht="14.25" customHeight="1">
      <c r="A2190" s="6" t="str">
        <f t="shared" si="1"/>
        <v>2022Riley11</v>
      </c>
      <c r="B2190" s="59">
        <v>2022.0</v>
      </c>
      <c r="C2190" s="13" t="s">
        <v>67</v>
      </c>
      <c r="D2190" s="13" t="s">
        <v>150</v>
      </c>
      <c r="E2190" s="34"/>
      <c r="F2190" s="6"/>
      <c r="H2190" s="6"/>
      <c r="I2190" s="35" t="str">
        <f>IFERROR(IFERROR(IFERROR(VLOOKUP(B2190&amp;C2190&amp;Q2190,'New Weekly Paste'!A:M,10,0),VLOOKUP(B2190&amp;C2190&amp;Q2190,'New Weekly Paste'!B:O,6,0)),""),"")</f>
        <v>Buser</v>
      </c>
      <c r="J2190" s="259">
        <f>IFERROR(IFERROR(VLOOKUP(B2190&amp;C2190&amp;Q2190,'New Weekly Paste'!A:M,8,0),VLOOKUP(B2190&amp;C2190&amp;Q2190,'New Weekly Paste'!B:O,10,0)),0)</f>
        <v>60.76</v>
      </c>
      <c r="K2190" s="259">
        <f>IFERROR(IFERROR(VLOOKUP(B2190&amp;I2190&amp;Q2190,'New Weekly Paste'!A:M,8,0),VLOOKUP(B2190&amp;I2190&amp;Q2190,'New Weekly Paste'!B:O,10,0)),0)</f>
        <v>99.2</v>
      </c>
      <c r="L2190" s="239">
        <f t="shared" si="25"/>
        <v>0</v>
      </c>
      <c r="M2190" s="36" t="str">
        <f t="shared" si="3"/>
        <v>Regular Season</v>
      </c>
      <c r="N2190" s="239" t="str">
        <f t="shared" si="26"/>
        <v>Buser</v>
      </c>
      <c r="O2190" s="6">
        <f>VLOOKUP(D2190,'Mapped Opponent'!$G$4:$H$22,2,0)</f>
        <v>11</v>
      </c>
      <c r="P2190" s="6"/>
      <c r="Q2190" s="6" t="str">
        <f t="shared" si="4"/>
        <v>Week 11</v>
      </c>
      <c r="R2190" s="6" t="str">
        <f t="shared" si="5"/>
        <v>2022Week 11</v>
      </c>
      <c r="S2190" s="6">
        <f>IFERROR(__xludf.DUMMYFUNCTION("rank(J2190,FILTER(J:J,R:R=R2190))"),12.0)</f>
        <v>12</v>
      </c>
      <c r="T2190" s="6">
        <f t="shared" si="6"/>
        <v>0</v>
      </c>
      <c r="U2190" s="6">
        <f t="shared" si="7"/>
        <v>12</v>
      </c>
      <c r="V2190" s="42">
        <f>averageif(AllData!A:A,B2190,AllData!R:R)/vlookup(B2190,AllData!A:O,15,0)</f>
        <v>92.75369048</v>
      </c>
      <c r="W2190" s="6"/>
    </row>
    <row r="2191" ht="14.25" customHeight="1">
      <c r="A2191" s="6" t="str">
        <f t="shared" si="1"/>
        <v>2022Rooney/Jackson11</v>
      </c>
      <c r="B2191" s="59">
        <v>2022.0</v>
      </c>
      <c r="C2191" s="13" t="s">
        <v>57</v>
      </c>
      <c r="D2191" s="13" t="s">
        <v>150</v>
      </c>
      <c r="E2191" s="34"/>
      <c r="F2191" s="6"/>
      <c r="H2191" s="6"/>
      <c r="I2191" s="35" t="str">
        <f>IFERROR(IFERROR(IFERROR(VLOOKUP(B2191&amp;C2191&amp;Q2191,'New Weekly Paste'!A:M,10,0),VLOOKUP(B2191&amp;C2191&amp;Q2191,'New Weekly Paste'!B:O,6,0)),""),"")</f>
        <v>Salty</v>
      </c>
      <c r="J2191" s="259">
        <f>IFERROR(IFERROR(VLOOKUP(B2191&amp;C2191&amp;Q2191,'New Weekly Paste'!A:M,8,0),VLOOKUP(B2191&amp;C2191&amp;Q2191,'New Weekly Paste'!B:O,10,0)),0)</f>
        <v>96.32</v>
      </c>
      <c r="K2191" s="259">
        <f>IFERROR(IFERROR(VLOOKUP(B2191&amp;I2191&amp;Q2191,'New Weekly Paste'!A:M,8,0),VLOOKUP(B2191&amp;I2191&amp;Q2191,'New Weekly Paste'!B:O,10,0)),0)</f>
        <v>72.3</v>
      </c>
      <c r="L2191" s="239">
        <f t="shared" si="25"/>
        <v>1</v>
      </c>
      <c r="M2191" s="36" t="str">
        <f t="shared" si="3"/>
        <v>Regular Season</v>
      </c>
      <c r="N2191" s="239" t="str">
        <f t="shared" si="26"/>
        <v>Salty</v>
      </c>
      <c r="O2191" s="6">
        <f>VLOOKUP(D2191,'Mapped Opponent'!$G$4:$H$22,2,0)</f>
        <v>11</v>
      </c>
      <c r="P2191" s="6"/>
      <c r="Q2191" s="6" t="str">
        <f t="shared" si="4"/>
        <v>Week 11</v>
      </c>
      <c r="R2191" s="6" t="str">
        <f t="shared" si="5"/>
        <v>2022Week 11</v>
      </c>
      <c r="S2191" s="6">
        <f>IFERROR(__xludf.DUMMYFUNCTION("rank(J2191,FILTER(J:J,R:R=R2191))"),5.0)</f>
        <v>5</v>
      </c>
      <c r="T2191" s="6">
        <f t="shared" si="6"/>
        <v>7</v>
      </c>
      <c r="U2191" s="6">
        <f t="shared" si="7"/>
        <v>5</v>
      </c>
      <c r="V2191" s="42">
        <f>averageif(AllData!A:A,B2191,AllData!R:R)/vlookup(B2191,AllData!A:O,15,0)</f>
        <v>92.75369048</v>
      </c>
      <c r="W2191" s="6"/>
    </row>
    <row r="2192" ht="14.25" customHeight="1">
      <c r="A2192" s="6" t="str">
        <f t="shared" si="1"/>
        <v>2022Buser11</v>
      </c>
      <c r="B2192" s="59">
        <v>2022.0</v>
      </c>
      <c r="C2192" s="13" t="s">
        <v>47</v>
      </c>
      <c r="D2192" s="13" t="s">
        <v>150</v>
      </c>
      <c r="E2192" s="34"/>
      <c r="F2192" s="6"/>
      <c r="H2192" s="6"/>
      <c r="I2192" s="35" t="str">
        <f>IFERROR(IFERROR(IFERROR(VLOOKUP(B2192&amp;C2192&amp;Q2192,'New Weekly Paste'!A:M,10,0),VLOOKUP(B2192&amp;C2192&amp;Q2192,'New Weekly Paste'!B:O,6,0)),""),"")</f>
        <v>Riley</v>
      </c>
      <c r="J2192" s="259">
        <f>IFERROR(IFERROR(VLOOKUP(B2192&amp;C2192&amp;Q2192,'New Weekly Paste'!A:M,8,0),VLOOKUP(B2192&amp;C2192&amp;Q2192,'New Weekly Paste'!B:O,10,0)),0)</f>
        <v>99.2</v>
      </c>
      <c r="K2192" s="259">
        <f>IFERROR(IFERROR(VLOOKUP(B2192&amp;I2192&amp;Q2192,'New Weekly Paste'!A:M,8,0),VLOOKUP(B2192&amp;I2192&amp;Q2192,'New Weekly Paste'!B:O,10,0)),0)</f>
        <v>60.76</v>
      </c>
      <c r="L2192" s="239">
        <f t="shared" si="25"/>
        <v>1</v>
      </c>
      <c r="M2192" s="36" t="str">
        <f t="shared" si="3"/>
        <v>Regular Season</v>
      </c>
      <c r="N2192" s="239" t="str">
        <f t="shared" si="26"/>
        <v>Riley</v>
      </c>
      <c r="O2192" s="6">
        <f>VLOOKUP(D2192,'Mapped Opponent'!$G$4:$H$22,2,0)</f>
        <v>11</v>
      </c>
      <c r="P2192" s="6"/>
      <c r="Q2192" s="6" t="str">
        <f t="shared" si="4"/>
        <v>Week 11</v>
      </c>
      <c r="R2192" s="6" t="str">
        <f t="shared" si="5"/>
        <v>2022Week 11</v>
      </c>
      <c r="S2192" s="6">
        <f>IFERROR(__xludf.DUMMYFUNCTION("rank(J2192,FILTER(J:J,R:R=R2192))"),4.0)</f>
        <v>4</v>
      </c>
      <c r="T2192" s="6">
        <f t="shared" si="6"/>
        <v>8</v>
      </c>
      <c r="U2192" s="6">
        <f t="shared" si="7"/>
        <v>4</v>
      </c>
      <c r="V2192" s="42">
        <f>averageif(AllData!A:A,B2192,AllData!R:R)/vlookup(B2192,AllData!A:O,15,0)</f>
        <v>92.75369048</v>
      </c>
      <c r="W2192" s="6"/>
    </row>
    <row r="2193" ht="14.25" customHeight="1">
      <c r="A2193" s="6" t="str">
        <f t="shared" si="1"/>
        <v>2022Pierson11</v>
      </c>
      <c r="B2193" s="59">
        <v>2022.0</v>
      </c>
      <c r="C2193" s="13" t="s">
        <v>92</v>
      </c>
      <c r="D2193" s="13" t="s">
        <v>150</v>
      </c>
      <c r="E2193" s="34"/>
      <c r="F2193" s="6"/>
      <c r="H2193" s="6"/>
      <c r="I2193" s="35" t="str">
        <f>IFERROR(IFERROR(IFERROR(VLOOKUP(B2193&amp;C2193&amp;Q2193,'New Weekly Paste'!A:M,10,0),VLOOKUP(B2193&amp;C2193&amp;Q2193,'New Weekly Paste'!B:O,6,0)),""),"")</f>
        <v>Fellows</v>
      </c>
      <c r="J2193" s="259">
        <f>IFERROR(IFERROR(VLOOKUP(B2193&amp;C2193&amp;Q2193,'New Weekly Paste'!A:M,8,0),VLOOKUP(B2193&amp;C2193&amp;Q2193,'New Weekly Paste'!B:O,10,0)),0)</f>
        <v>137.56</v>
      </c>
      <c r="K2193" s="259">
        <f>IFERROR(IFERROR(VLOOKUP(B2193&amp;I2193&amp;Q2193,'New Weekly Paste'!A:M,8,0),VLOOKUP(B2193&amp;I2193&amp;Q2193,'New Weekly Paste'!B:O,10,0)),0)</f>
        <v>91.32</v>
      </c>
      <c r="L2193" s="239">
        <f t="shared" si="25"/>
        <v>1</v>
      </c>
      <c r="M2193" s="36" t="str">
        <f t="shared" si="3"/>
        <v>Regular Season</v>
      </c>
      <c r="N2193" s="239" t="str">
        <f t="shared" si="26"/>
        <v>Fellows</v>
      </c>
      <c r="O2193" s="6">
        <f>VLOOKUP(D2193,'Mapped Opponent'!$G$4:$H$22,2,0)</f>
        <v>11</v>
      </c>
      <c r="P2193" s="6"/>
      <c r="Q2193" s="6" t="str">
        <f t="shared" si="4"/>
        <v>Week 11</v>
      </c>
      <c r="R2193" s="6" t="str">
        <f t="shared" si="5"/>
        <v>2022Week 11</v>
      </c>
      <c r="S2193" s="6">
        <f>IFERROR(__xludf.DUMMYFUNCTION("rank(J2193,FILTER(J:J,R:R=R2193))"),1.0)</f>
        <v>1</v>
      </c>
      <c r="T2193" s="6">
        <f t="shared" si="6"/>
        <v>11</v>
      </c>
      <c r="U2193" s="6">
        <f t="shared" si="7"/>
        <v>1</v>
      </c>
      <c r="V2193" s="42">
        <f>averageif(AllData!A:A,B2193,AllData!R:R)/vlookup(B2193,AllData!A:O,15,0)</f>
        <v>92.75369048</v>
      </c>
      <c r="W2193" s="6"/>
    </row>
    <row r="2194" ht="14.25" customHeight="1">
      <c r="A2194" s="6" t="str">
        <f t="shared" si="1"/>
        <v>2022Cock11</v>
      </c>
      <c r="B2194" s="59">
        <v>2022.0</v>
      </c>
      <c r="C2194" s="13" t="s">
        <v>72</v>
      </c>
      <c r="D2194" s="13" t="s">
        <v>150</v>
      </c>
      <c r="E2194" s="34"/>
      <c r="F2194" s="6"/>
      <c r="H2194" s="6"/>
      <c r="I2194" s="35" t="str">
        <f>IFERROR(IFERROR(IFERROR(VLOOKUP(B2194&amp;C2194&amp;Q2194,'New Weekly Paste'!A:M,10,0),VLOOKUP(B2194&amp;C2194&amp;Q2194,'New Weekly Paste'!B:O,6,0)),""),"")</f>
        <v>KnardDawg</v>
      </c>
      <c r="J2194" s="259">
        <f>IFERROR(IFERROR(VLOOKUP(B2194&amp;C2194&amp;Q2194,'New Weekly Paste'!A:M,8,0),VLOOKUP(B2194&amp;C2194&amp;Q2194,'New Weekly Paste'!B:O,10,0)),0)</f>
        <v>94.36</v>
      </c>
      <c r="K2194" s="259">
        <f>IFERROR(IFERROR(VLOOKUP(B2194&amp;I2194&amp;Q2194,'New Weekly Paste'!A:M,8,0),VLOOKUP(B2194&amp;I2194&amp;Q2194,'New Weekly Paste'!B:O,10,0)),0)</f>
        <v>102.58</v>
      </c>
      <c r="L2194" s="239">
        <f t="shared" si="25"/>
        <v>0</v>
      </c>
      <c r="M2194" s="36" t="str">
        <f t="shared" si="3"/>
        <v>Regular Season</v>
      </c>
      <c r="N2194" s="239" t="str">
        <f t="shared" si="26"/>
        <v>KnardDawg</v>
      </c>
      <c r="O2194" s="6">
        <f>VLOOKUP(D2194,'Mapped Opponent'!$G$4:$H$22,2,0)</f>
        <v>11</v>
      </c>
      <c r="P2194" s="6"/>
      <c r="Q2194" s="6" t="str">
        <f t="shared" si="4"/>
        <v>Week 11</v>
      </c>
      <c r="R2194" s="6" t="str">
        <f t="shared" si="5"/>
        <v>2022Week 11</v>
      </c>
      <c r="S2194" s="6">
        <f>IFERROR(__xludf.DUMMYFUNCTION("rank(J2194,FILTER(J:J,R:R=R2194))"),7.0)</f>
        <v>7</v>
      </c>
      <c r="T2194" s="6">
        <f t="shared" si="6"/>
        <v>5</v>
      </c>
      <c r="U2194" s="6">
        <f t="shared" si="7"/>
        <v>7</v>
      </c>
      <c r="V2194" s="42">
        <f>averageif(AllData!A:A,B2194,AllData!R:R)/vlookup(B2194,AllData!A:O,15,0)</f>
        <v>92.75369048</v>
      </c>
      <c r="W2194" s="6"/>
    </row>
    <row r="2195" ht="14.25" customHeight="1">
      <c r="A2195" s="6" t="str">
        <f t="shared" si="1"/>
        <v>2022Tayski11</v>
      </c>
      <c r="B2195" s="59">
        <v>2022.0</v>
      </c>
      <c r="C2195" s="13" t="s">
        <v>52</v>
      </c>
      <c r="D2195" s="13" t="s">
        <v>150</v>
      </c>
      <c r="E2195" s="34"/>
      <c r="F2195" s="6"/>
      <c r="H2195" s="6"/>
      <c r="I2195" s="35" t="str">
        <f>IFERROR(IFERROR(IFERROR(VLOOKUP(B2195&amp;C2195&amp;Q2195,'New Weekly Paste'!A:M,10,0),VLOOKUP(B2195&amp;C2195&amp;Q2195,'New Weekly Paste'!B:O,6,0)),""),"")</f>
        <v>Hudspeath</v>
      </c>
      <c r="J2195" s="259">
        <f>IFERROR(IFERROR(VLOOKUP(B2195&amp;C2195&amp;Q2195,'New Weekly Paste'!A:M,8,0),VLOOKUP(B2195&amp;C2195&amp;Q2195,'New Weekly Paste'!B:O,10,0)),0)</f>
        <v>111.34</v>
      </c>
      <c r="K2195" s="259">
        <f>IFERROR(IFERROR(VLOOKUP(B2195&amp;I2195&amp;Q2195,'New Weekly Paste'!A:M,8,0),VLOOKUP(B2195&amp;I2195&amp;Q2195,'New Weekly Paste'!B:O,10,0)),0)</f>
        <v>84.14</v>
      </c>
      <c r="L2195" s="239">
        <f t="shared" si="25"/>
        <v>1</v>
      </c>
      <c r="M2195" s="36" t="str">
        <f t="shared" si="3"/>
        <v>Regular Season</v>
      </c>
      <c r="N2195" s="239" t="str">
        <f t="shared" si="26"/>
        <v>Hudspeath</v>
      </c>
      <c r="O2195" s="6">
        <f>VLOOKUP(D2195,'Mapped Opponent'!$G$4:$H$22,2,0)</f>
        <v>11</v>
      </c>
      <c r="P2195" s="6"/>
      <c r="Q2195" s="6" t="str">
        <f t="shared" si="4"/>
        <v>Week 11</v>
      </c>
      <c r="R2195" s="6" t="str">
        <f t="shared" si="5"/>
        <v>2022Week 11</v>
      </c>
      <c r="S2195" s="6">
        <f>IFERROR(__xludf.DUMMYFUNCTION("rank(J2195,FILTER(J:J,R:R=R2195))"),2.0)</f>
        <v>2</v>
      </c>
      <c r="T2195" s="6">
        <f t="shared" si="6"/>
        <v>10</v>
      </c>
      <c r="U2195" s="6">
        <f t="shared" si="7"/>
        <v>2</v>
      </c>
      <c r="V2195" s="42">
        <f>averageif(AllData!A:A,B2195,AllData!R:R)/vlookup(B2195,AllData!A:O,15,0)</f>
        <v>92.75369048</v>
      </c>
      <c r="W2195" s="6"/>
    </row>
    <row r="2196" ht="14.25" customHeight="1">
      <c r="A2196" s="6" t="str">
        <f t="shared" si="1"/>
        <v>2022KnardDawg11</v>
      </c>
      <c r="B2196" s="59">
        <v>2022.0</v>
      </c>
      <c r="C2196" s="13" t="s">
        <v>86</v>
      </c>
      <c r="D2196" s="13" t="s">
        <v>150</v>
      </c>
      <c r="E2196" s="34"/>
      <c r="F2196" s="6"/>
      <c r="H2196" s="6"/>
      <c r="I2196" s="35" t="str">
        <f>IFERROR(IFERROR(IFERROR(VLOOKUP(B2196&amp;C2196&amp;Q2196,'New Weekly Paste'!A:M,10,0),VLOOKUP(B2196&amp;C2196&amp;Q2196,'New Weekly Paste'!B:O,6,0)),""),"")</f>
        <v>Cock</v>
      </c>
      <c r="J2196" s="259">
        <f>IFERROR(IFERROR(VLOOKUP(B2196&amp;C2196&amp;Q2196,'New Weekly Paste'!A:M,8,0),VLOOKUP(B2196&amp;C2196&amp;Q2196,'New Weekly Paste'!B:O,10,0)),0)</f>
        <v>102.58</v>
      </c>
      <c r="K2196" s="259">
        <f>IFERROR(IFERROR(VLOOKUP(B2196&amp;I2196&amp;Q2196,'New Weekly Paste'!A:M,8,0),VLOOKUP(B2196&amp;I2196&amp;Q2196,'New Weekly Paste'!B:O,10,0)),0)</f>
        <v>94.36</v>
      </c>
      <c r="L2196" s="239">
        <f t="shared" si="25"/>
        <v>1</v>
      </c>
      <c r="M2196" s="36" t="str">
        <f t="shared" si="3"/>
        <v>Regular Season</v>
      </c>
      <c r="N2196" s="239" t="str">
        <f t="shared" si="26"/>
        <v>Cock</v>
      </c>
      <c r="O2196" s="6">
        <f>VLOOKUP(D2196,'Mapped Opponent'!$G$4:$H$22,2,0)</f>
        <v>11</v>
      </c>
      <c r="P2196" s="6"/>
      <c r="Q2196" s="6" t="str">
        <f t="shared" si="4"/>
        <v>Week 11</v>
      </c>
      <c r="R2196" s="6" t="str">
        <f t="shared" si="5"/>
        <v>2022Week 11</v>
      </c>
      <c r="S2196" s="6">
        <f>IFERROR(__xludf.DUMMYFUNCTION("rank(J2196,FILTER(J:J,R:R=R2196))"),3.0)</f>
        <v>3</v>
      </c>
      <c r="T2196" s="6">
        <f t="shared" si="6"/>
        <v>9</v>
      </c>
      <c r="U2196" s="6">
        <f t="shared" si="7"/>
        <v>3</v>
      </c>
      <c r="V2196" s="42">
        <f>averageif(AllData!A:A,B2196,AllData!R:R)/vlookup(B2196,AllData!A:O,15,0)</f>
        <v>92.75369048</v>
      </c>
      <c r="W2196" s="6"/>
    </row>
    <row r="2197" ht="14.25" customHeight="1">
      <c r="A2197" s="6" t="str">
        <f t="shared" si="1"/>
        <v>2022T-How11</v>
      </c>
      <c r="B2197" s="59">
        <v>2022.0</v>
      </c>
      <c r="C2197" s="13" t="s">
        <v>82</v>
      </c>
      <c r="D2197" s="13" t="s">
        <v>150</v>
      </c>
      <c r="E2197" s="34"/>
      <c r="F2197" s="6"/>
      <c r="H2197" s="6"/>
      <c r="I2197" s="35" t="str">
        <f>IFERROR(IFERROR(IFERROR(VLOOKUP(B2197&amp;C2197&amp;Q2197,'New Weekly Paste'!A:M,10,0),VLOOKUP(B2197&amp;C2197&amp;Q2197,'New Weekly Paste'!B:O,6,0)),""),"")</f>
        <v>Shep</v>
      </c>
      <c r="J2197" s="259">
        <f>IFERROR(IFERROR(VLOOKUP(B2197&amp;C2197&amp;Q2197,'New Weekly Paste'!A:M,8,0),VLOOKUP(B2197&amp;C2197&amp;Q2197,'New Weekly Paste'!B:O,10,0)),0)</f>
        <v>95.66</v>
      </c>
      <c r="K2197" s="259">
        <f>IFERROR(IFERROR(VLOOKUP(B2197&amp;I2197&amp;Q2197,'New Weekly Paste'!A:M,8,0),VLOOKUP(B2197&amp;I2197&amp;Q2197,'New Weekly Paste'!B:O,10,0)),0)</f>
        <v>88.2</v>
      </c>
      <c r="L2197" s="239">
        <f t="shared" si="25"/>
        <v>1</v>
      </c>
      <c r="M2197" s="36" t="str">
        <f t="shared" si="3"/>
        <v>Regular Season</v>
      </c>
      <c r="N2197" s="239" t="str">
        <f t="shared" si="26"/>
        <v>Shep</v>
      </c>
      <c r="O2197" s="6">
        <f>VLOOKUP(D2197,'Mapped Opponent'!$G$4:$H$22,2,0)</f>
        <v>11</v>
      </c>
      <c r="P2197" s="6"/>
      <c r="Q2197" s="6" t="str">
        <f t="shared" si="4"/>
        <v>Week 11</v>
      </c>
      <c r="R2197" s="6" t="str">
        <f t="shared" si="5"/>
        <v>2022Week 11</v>
      </c>
      <c r="S2197" s="6">
        <f>IFERROR(__xludf.DUMMYFUNCTION("rank(J2197,FILTER(J:J,R:R=R2197))"),6.0)</f>
        <v>6</v>
      </c>
      <c r="T2197" s="6">
        <f t="shared" si="6"/>
        <v>6</v>
      </c>
      <c r="U2197" s="6">
        <f t="shared" si="7"/>
        <v>6</v>
      </c>
      <c r="V2197" s="42">
        <f>averageif(AllData!A:A,B2197,AllData!R:R)/vlookup(B2197,AllData!A:O,15,0)</f>
        <v>92.75369048</v>
      </c>
      <c r="W2197" s="6"/>
    </row>
    <row r="2198" ht="14.25" customHeight="1">
      <c r="A2198" s="6" t="str">
        <f t="shared" si="1"/>
        <v>2022Hudspeath12</v>
      </c>
      <c r="B2198" s="59">
        <v>2022.0</v>
      </c>
      <c r="C2198" s="13" t="s">
        <v>39</v>
      </c>
      <c r="D2198" s="13" t="s">
        <v>151</v>
      </c>
      <c r="E2198" s="34"/>
      <c r="F2198" s="6"/>
      <c r="H2198" s="6"/>
      <c r="I2198" s="35" t="str">
        <f>IFERROR(IFERROR(IFERROR(VLOOKUP(B2198&amp;C2198&amp;Q2198,'New Weekly Paste'!A:M,10,0),VLOOKUP(B2198&amp;C2198&amp;Q2198,'New Weekly Paste'!B:O,6,0)),""),"")</f>
        <v>KnardDawg</v>
      </c>
      <c r="J2198" s="259">
        <f>IFERROR(IFERROR(VLOOKUP(B2198&amp;C2198&amp;Q2198,'New Weekly Paste'!A:M,8,0),VLOOKUP(B2198&amp;C2198&amp;Q2198,'New Weekly Paste'!B:O,10,0)),0)</f>
        <v>99.62</v>
      </c>
      <c r="K2198" s="259">
        <f>IFERROR(IFERROR(VLOOKUP(B2198&amp;I2198&amp;Q2198,'New Weekly Paste'!A:M,8,0),VLOOKUP(B2198&amp;I2198&amp;Q2198,'New Weekly Paste'!B:O,10,0)),0)</f>
        <v>91.6</v>
      </c>
      <c r="L2198" s="239">
        <f t="shared" si="25"/>
        <v>1</v>
      </c>
      <c r="M2198" s="36" t="str">
        <f t="shared" si="3"/>
        <v>Regular Season</v>
      </c>
      <c r="N2198" s="239" t="str">
        <f t="shared" si="26"/>
        <v>KnardDawg</v>
      </c>
      <c r="O2198" s="6">
        <f>VLOOKUP(D2198,'Mapped Opponent'!$G$4:$H$22,2,0)</f>
        <v>12</v>
      </c>
      <c r="P2198" s="6"/>
      <c r="Q2198" s="6" t="str">
        <f t="shared" si="4"/>
        <v>Week 12</v>
      </c>
      <c r="R2198" s="6" t="str">
        <f t="shared" si="5"/>
        <v>2022Week 12</v>
      </c>
      <c r="S2198" s="6">
        <f>IFERROR(__xludf.DUMMYFUNCTION("rank(J2198,FILTER(J:J,R:R=R2198))"),5.0)</f>
        <v>5</v>
      </c>
      <c r="T2198" s="6">
        <f t="shared" si="6"/>
        <v>7</v>
      </c>
      <c r="U2198" s="6">
        <f t="shared" si="7"/>
        <v>5</v>
      </c>
      <c r="V2198" s="42">
        <f>averageif(AllData!A:A,B2198,AllData!R:R)/vlookup(B2198,AllData!A:O,15,0)</f>
        <v>92.75369048</v>
      </c>
      <c r="W2198" s="6"/>
    </row>
    <row r="2199" ht="14.25" customHeight="1">
      <c r="A2199" s="6" t="str">
        <f t="shared" si="1"/>
        <v>2022Salty12</v>
      </c>
      <c r="B2199" s="59">
        <v>2022.0</v>
      </c>
      <c r="C2199" s="13" t="s">
        <v>76</v>
      </c>
      <c r="D2199" s="13" t="s">
        <v>151</v>
      </c>
      <c r="E2199" s="34"/>
      <c r="F2199" s="6"/>
      <c r="H2199" s="6"/>
      <c r="I2199" s="35" t="str">
        <f>IFERROR(IFERROR(IFERROR(VLOOKUP(B2199&amp;C2199&amp;Q2199,'New Weekly Paste'!A:M,10,0),VLOOKUP(B2199&amp;C2199&amp;Q2199,'New Weekly Paste'!B:O,6,0)),""),"")</f>
        <v>Pierson</v>
      </c>
      <c r="J2199" s="259">
        <f>IFERROR(IFERROR(VLOOKUP(B2199&amp;C2199&amp;Q2199,'New Weekly Paste'!A:M,8,0),VLOOKUP(B2199&amp;C2199&amp;Q2199,'New Weekly Paste'!B:O,10,0)),0)</f>
        <v>120.82</v>
      </c>
      <c r="K2199" s="259">
        <f>IFERROR(IFERROR(VLOOKUP(B2199&amp;I2199&amp;Q2199,'New Weekly Paste'!A:M,8,0),VLOOKUP(B2199&amp;I2199&amp;Q2199,'New Weekly Paste'!B:O,10,0)),0)</f>
        <v>82.8</v>
      </c>
      <c r="L2199" s="239">
        <f t="shared" si="25"/>
        <v>1</v>
      </c>
      <c r="M2199" s="36" t="str">
        <f t="shared" si="3"/>
        <v>Regular Season</v>
      </c>
      <c r="N2199" s="239" t="str">
        <f t="shared" si="26"/>
        <v>Pierson</v>
      </c>
      <c r="O2199" s="6">
        <f>VLOOKUP(D2199,'Mapped Opponent'!$G$4:$H$22,2,0)</f>
        <v>12</v>
      </c>
      <c r="P2199" s="6"/>
      <c r="Q2199" s="6" t="str">
        <f t="shared" si="4"/>
        <v>Week 12</v>
      </c>
      <c r="R2199" s="6" t="str">
        <f t="shared" si="5"/>
        <v>2022Week 12</v>
      </c>
      <c r="S2199" s="6">
        <f>IFERROR(__xludf.DUMMYFUNCTION("rank(J2199,FILTER(J:J,R:R=R2199))"),3.0)</f>
        <v>3</v>
      </c>
      <c r="T2199" s="6">
        <f t="shared" si="6"/>
        <v>9</v>
      </c>
      <c r="U2199" s="6">
        <f t="shared" si="7"/>
        <v>3</v>
      </c>
      <c r="V2199" s="42">
        <f>averageif(AllData!A:A,B2199,AllData!R:R)/vlookup(B2199,AllData!A:O,15,0)</f>
        <v>92.75369048</v>
      </c>
      <c r="W2199" s="6"/>
    </row>
    <row r="2200" ht="14.25" customHeight="1">
      <c r="A2200" s="6" t="str">
        <f t="shared" si="1"/>
        <v>2022Fellows12</v>
      </c>
      <c r="B2200" s="59">
        <v>2022.0</v>
      </c>
      <c r="C2200" s="13" t="s">
        <v>79</v>
      </c>
      <c r="D2200" s="13" t="s">
        <v>151</v>
      </c>
      <c r="E2200" s="34"/>
      <c r="F2200" s="6"/>
      <c r="H2200" s="6"/>
      <c r="I2200" s="35" t="str">
        <f>IFERROR(IFERROR(IFERROR(VLOOKUP(B2200&amp;C2200&amp;Q2200,'New Weekly Paste'!A:M,10,0),VLOOKUP(B2200&amp;C2200&amp;Q2200,'New Weekly Paste'!B:O,6,0)),""),"")</f>
        <v>Riley</v>
      </c>
      <c r="J2200" s="259">
        <f>IFERROR(IFERROR(VLOOKUP(B2200&amp;C2200&amp;Q2200,'New Weekly Paste'!A:M,8,0),VLOOKUP(B2200&amp;C2200&amp;Q2200,'New Weekly Paste'!B:O,10,0)),0)</f>
        <v>122.08</v>
      </c>
      <c r="K2200" s="259">
        <f>IFERROR(IFERROR(VLOOKUP(B2200&amp;I2200&amp;Q2200,'New Weekly Paste'!A:M,8,0),VLOOKUP(B2200&amp;I2200&amp;Q2200,'New Weekly Paste'!B:O,10,0)),0)</f>
        <v>75.46</v>
      </c>
      <c r="L2200" s="239">
        <f t="shared" si="25"/>
        <v>1</v>
      </c>
      <c r="M2200" s="36" t="str">
        <f t="shared" si="3"/>
        <v>Regular Season</v>
      </c>
      <c r="N2200" s="239" t="str">
        <f t="shared" si="26"/>
        <v>Riley</v>
      </c>
      <c r="O2200" s="6">
        <f>VLOOKUP(D2200,'Mapped Opponent'!$G$4:$H$22,2,0)</f>
        <v>12</v>
      </c>
      <c r="P2200" s="6"/>
      <c r="Q2200" s="6" t="str">
        <f t="shared" si="4"/>
        <v>Week 12</v>
      </c>
      <c r="R2200" s="6" t="str">
        <f t="shared" si="5"/>
        <v>2022Week 12</v>
      </c>
      <c r="S2200" s="6">
        <f>IFERROR(__xludf.DUMMYFUNCTION("rank(J2200,FILTER(J:J,R:R=R2200))"),2.0)</f>
        <v>2</v>
      </c>
      <c r="T2200" s="6">
        <f t="shared" si="6"/>
        <v>10</v>
      </c>
      <c r="U2200" s="6">
        <f t="shared" si="7"/>
        <v>2</v>
      </c>
      <c r="V2200" s="42">
        <f>averageif(AllData!A:A,B2200,AllData!R:R)/vlookup(B2200,AllData!A:O,15,0)</f>
        <v>92.75369048</v>
      </c>
      <c r="W2200" s="6"/>
    </row>
    <row r="2201" ht="14.25" customHeight="1">
      <c r="A2201" s="6" t="str">
        <f t="shared" si="1"/>
        <v>2022Shep12</v>
      </c>
      <c r="B2201" s="59">
        <v>2022.0</v>
      </c>
      <c r="C2201" s="13" t="s">
        <v>89</v>
      </c>
      <c r="D2201" s="13" t="s">
        <v>151</v>
      </c>
      <c r="E2201" s="34"/>
      <c r="F2201" s="6"/>
      <c r="H2201" s="6"/>
      <c r="I2201" s="35" t="str">
        <f>IFERROR(IFERROR(IFERROR(VLOOKUP(B2201&amp;C2201&amp;Q2201,'New Weekly Paste'!A:M,10,0),VLOOKUP(B2201&amp;C2201&amp;Q2201,'New Weekly Paste'!B:O,6,0)),""),"")</f>
        <v>Buser</v>
      </c>
      <c r="J2201" s="259">
        <f>IFERROR(IFERROR(VLOOKUP(B2201&amp;C2201&amp;Q2201,'New Weekly Paste'!A:M,8,0),VLOOKUP(B2201&amp;C2201&amp;Q2201,'New Weekly Paste'!B:O,10,0)),0)</f>
        <v>98.1</v>
      </c>
      <c r="K2201" s="259">
        <f>IFERROR(IFERROR(VLOOKUP(B2201&amp;I2201&amp;Q2201,'New Weekly Paste'!A:M,8,0),VLOOKUP(B2201&amp;I2201&amp;Q2201,'New Weekly Paste'!B:O,10,0)),0)</f>
        <v>106.86</v>
      </c>
      <c r="L2201" s="239">
        <f t="shared" si="25"/>
        <v>0</v>
      </c>
      <c r="M2201" s="36" t="str">
        <f t="shared" si="3"/>
        <v>Regular Season</v>
      </c>
      <c r="N2201" s="239" t="str">
        <f t="shared" si="26"/>
        <v>Buser</v>
      </c>
      <c r="O2201" s="6">
        <f>VLOOKUP(D2201,'Mapped Opponent'!$G$4:$H$22,2,0)</f>
        <v>12</v>
      </c>
      <c r="P2201" s="6"/>
      <c r="Q2201" s="6" t="str">
        <f t="shared" si="4"/>
        <v>Week 12</v>
      </c>
      <c r="R2201" s="6" t="str">
        <f t="shared" si="5"/>
        <v>2022Week 12</v>
      </c>
      <c r="S2201" s="6">
        <f>IFERROR(__xludf.DUMMYFUNCTION("rank(J2201,FILTER(J:J,R:R=R2201))"),6.0)</f>
        <v>6</v>
      </c>
      <c r="T2201" s="6">
        <f t="shared" si="6"/>
        <v>6</v>
      </c>
      <c r="U2201" s="6">
        <f t="shared" si="7"/>
        <v>6</v>
      </c>
      <c r="V2201" s="42">
        <f>averageif(AllData!A:A,B2201,AllData!R:R)/vlookup(B2201,AllData!A:O,15,0)</f>
        <v>92.75369048</v>
      </c>
      <c r="W2201" s="6"/>
    </row>
    <row r="2202" ht="14.25" customHeight="1">
      <c r="A2202" s="6" t="str">
        <f t="shared" si="1"/>
        <v>2022Riley12</v>
      </c>
      <c r="B2202" s="59">
        <v>2022.0</v>
      </c>
      <c r="C2202" s="13" t="s">
        <v>67</v>
      </c>
      <c r="D2202" s="13" t="s">
        <v>151</v>
      </c>
      <c r="E2202" s="34"/>
      <c r="F2202" s="6"/>
      <c r="H2202" s="6"/>
      <c r="I2202" s="35" t="str">
        <f>IFERROR(IFERROR(IFERROR(VLOOKUP(B2202&amp;C2202&amp;Q2202,'New Weekly Paste'!A:M,10,0),VLOOKUP(B2202&amp;C2202&amp;Q2202,'New Weekly Paste'!B:O,6,0)),""),"")</f>
        <v>Fellows</v>
      </c>
      <c r="J2202" s="259">
        <f>IFERROR(IFERROR(VLOOKUP(B2202&amp;C2202&amp;Q2202,'New Weekly Paste'!A:M,8,0),VLOOKUP(B2202&amp;C2202&amp;Q2202,'New Weekly Paste'!B:O,10,0)),0)</f>
        <v>75.46</v>
      </c>
      <c r="K2202" s="259">
        <f>IFERROR(IFERROR(VLOOKUP(B2202&amp;I2202&amp;Q2202,'New Weekly Paste'!A:M,8,0),VLOOKUP(B2202&amp;I2202&amp;Q2202,'New Weekly Paste'!B:O,10,0)),0)</f>
        <v>122.08</v>
      </c>
      <c r="L2202" s="239">
        <f t="shared" si="25"/>
        <v>0</v>
      </c>
      <c r="M2202" s="36" t="str">
        <f t="shared" si="3"/>
        <v>Regular Season</v>
      </c>
      <c r="N2202" s="239" t="str">
        <f t="shared" si="26"/>
        <v>Fellows</v>
      </c>
      <c r="O2202" s="6">
        <f>VLOOKUP(D2202,'Mapped Opponent'!$G$4:$H$22,2,0)</f>
        <v>12</v>
      </c>
      <c r="P2202" s="6"/>
      <c r="Q2202" s="6" t="str">
        <f t="shared" si="4"/>
        <v>Week 12</v>
      </c>
      <c r="R2202" s="6" t="str">
        <f t="shared" si="5"/>
        <v>2022Week 12</v>
      </c>
      <c r="S2202" s="6">
        <f>IFERROR(__xludf.DUMMYFUNCTION("rank(J2202,FILTER(J:J,R:R=R2202))"),10.0)</f>
        <v>10</v>
      </c>
      <c r="T2202" s="6">
        <f t="shared" si="6"/>
        <v>2</v>
      </c>
      <c r="U2202" s="6">
        <f t="shared" si="7"/>
        <v>10</v>
      </c>
      <c r="V2202" s="42">
        <f>averageif(AllData!A:A,B2202,AllData!R:R)/vlookup(B2202,AllData!A:O,15,0)</f>
        <v>92.75369048</v>
      </c>
      <c r="W2202" s="6"/>
    </row>
    <row r="2203" ht="14.25" customHeight="1">
      <c r="A2203" s="6" t="str">
        <f t="shared" si="1"/>
        <v>2022Rooney/Jackson12</v>
      </c>
      <c r="B2203" s="59">
        <v>2022.0</v>
      </c>
      <c r="C2203" s="13" t="s">
        <v>57</v>
      </c>
      <c r="D2203" s="13" t="s">
        <v>151</v>
      </c>
      <c r="E2203" s="34"/>
      <c r="F2203" s="6"/>
      <c r="H2203" s="6"/>
      <c r="I2203" s="35" t="str">
        <f>IFERROR(IFERROR(IFERROR(VLOOKUP(B2203&amp;C2203&amp;Q2203,'New Weekly Paste'!A:M,10,0),VLOOKUP(B2203&amp;C2203&amp;Q2203,'New Weekly Paste'!B:O,6,0)),""),"")</f>
        <v>Tayski</v>
      </c>
      <c r="J2203" s="259">
        <f>IFERROR(IFERROR(VLOOKUP(B2203&amp;C2203&amp;Q2203,'New Weekly Paste'!A:M,8,0),VLOOKUP(B2203&amp;C2203&amp;Q2203,'New Weekly Paste'!B:O,10,0)),0)</f>
        <v>72.38</v>
      </c>
      <c r="K2203" s="259">
        <f>IFERROR(IFERROR(VLOOKUP(B2203&amp;I2203&amp;Q2203,'New Weekly Paste'!A:M,8,0),VLOOKUP(B2203&amp;I2203&amp;Q2203,'New Weekly Paste'!B:O,10,0)),0)</f>
        <v>134.82</v>
      </c>
      <c r="L2203" s="239">
        <f t="shared" si="25"/>
        <v>0</v>
      </c>
      <c r="M2203" s="36" t="str">
        <f t="shared" si="3"/>
        <v>Regular Season</v>
      </c>
      <c r="N2203" s="239" t="str">
        <f t="shared" si="26"/>
        <v>Tayski</v>
      </c>
      <c r="O2203" s="6">
        <f>VLOOKUP(D2203,'Mapped Opponent'!$G$4:$H$22,2,0)</f>
        <v>12</v>
      </c>
      <c r="P2203" s="6"/>
      <c r="Q2203" s="6" t="str">
        <f t="shared" si="4"/>
        <v>Week 12</v>
      </c>
      <c r="R2203" s="6" t="str">
        <f t="shared" si="5"/>
        <v>2022Week 12</v>
      </c>
      <c r="S2203" s="6">
        <f>IFERROR(__xludf.DUMMYFUNCTION("rank(J2203,FILTER(J:J,R:R=R2203))"),11.0)</f>
        <v>11</v>
      </c>
      <c r="T2203" s="6">
        <f t="shared" si="6"/>
        <v>1</v>
      </c>
      <c r="U2203" s="6">
        <f t="shared" si="7"/>
        <v>11</v>
      </c>
      <c r="V2203" s="42">
        <f>averageif(AllData!A:A,B2203,AllData!R:R)/vlookup(B2203,AllData!A:O,15,0)</f>
        <v>92.75369048</v>
      </c>
      <c r="W2203" s="6"/>
    </row>
    <row r="2204" ht="14.25" customHeight="1">
      <c r="A2204" s="6" t="str">
        <f t="shared" si="1"/>
        <v>2022Buser12</v>
      </c>
      <c r="B2204" s="59">
        <v>2022.0</v>
      </c>
      <c r="C2204" s="13" t="s">
        <v>47</v>
      </c>
      <c r="D2204" s="13" t="s">
        <v>151</v>
      </c>
      <c r="E2204" s="34"/>
      <c r="F2204" s="6"/>
      <c r="H2204" s="6"/>
      <c r="I2204" s="35" t="str">
        <f>IFERROR(IFERROR(IFERROR(VLOOKUP(B2204&amp;C2204&amp;Q2204,'New Weekly Paste'!A:M,10,0),VLOOKUP(B2204&amp;C2204&amp;Q2204,'New Weekly Paste'!B:O,6,0)),""),"")</f>
        <v>Shep</v>
      </c>
      <c r="J2204" s="259">
        <f>IFERROR(IFERROR(VLOOKUP(B2204&amp;C2204&amp;Q2204,'New Weekly Paste'!A:M,8,0),VLOOKUP(B2204&amp;C2204&amp;Q2204,'New Weekly Paste'!B:O,10,0)),0)</f>
        <v>106.86</v>
      </c>
      <c r="K2204" s="259">
        <f>IFERROR(IFERROR(VLOOKUP(B2204&amp;I2204&amp;Q2204,'New Weekly Paste'!A:M,8,0),VLOOKUP(B2204&amp;I2204&amp;Q2204,'New Weekly Paste'!B:O,10,0)),0)</f>
        <v>98.1</v>
      </c>
      <c r="L2204" s="239">
        <f t="shared" si="25"/>
        <v>1</v>
      </c>
      <c r="M2204" s="36" t="str">
        <f t="shared" si="3"/>
        <v>Regular Season</v>
      </c>
      <c r="N2204" s="239" t="str">
        <f t="shared" si="26"/>
        <v>Shep</v>
      </c>
      <c r="O2204" s="6">
        <f>VLOOKUP(D2204,'Mapped Opponent'!$G$4:$H$22,2,0)</f>
        <v>12</v>
      </c>
      <c r="P2204" s="6"/>
      <c r="Q2204" s="6" t="str">
        <f t="shared" si="4"/>
        <v>Week 12</v>
      </c>
      <c r="R2204" s="6" t="str">
        <f t="shared" si="5"/>
        <v>2022Week 12</v>
      </c>
      <c r="S2204" s="6">
        <f>IFERROR(__xludf.DUMMYFUNCTION("rank(J2204,FILTER(J:J,R:R=R2204))"),4.0)</f>
        <v>4</v>
      </c>
      <c r="T2204" s="6">
        <f t="shared" si="6"/>
        <v>8</v>
      </c>
      <c r="U2204" s="6">
        <f t="shared" si="7"/>
        <v>4</v>
      </c>
      <c r="V2204" s="42">
        <f>averageif(AllData!A:A,B2204,AllData!R:R)/vlookup(B2204,AllData!A:O,15,0)</f>
        <v>92.75369048</v>
      </c>
      <c r="W2204" s="6"/>
    </row>
    <row r="2205" ht="14.25" customHeight="1">
      <c r="A2205" s="6" t="str">
        <f t="shared" si="1"/>
        <v>2022Pierson12</v>
      </c>
      <c r="B2205" s="59">
        <v>2022.0</v>
      </c>
      <c r="C2205" s="13" t="s">
        <v>92</v>
      </c>
      <c r="D2205" s="13" t="s">
        <v>151</v>
      </c>
      <c r="E2205" s="34"/>
      <c r="F2205" s="6"/>
      <c r="H2205" s="6"/>
      <c r="I2205" s="35" t="str">
        <f>IFERROR(IFERROR(IFERROR(VLOOKUP(B2205&amp;C2205&amp;Q2205,'New Weekly Paste'!A:M,10,0),VLOOKUP(B2205&amp;C2205&amp;Q2205,'New Weekly Paste'!B:O,6,0)),""),"")</f>
        <v>Salty</v>
      </c>
      <c r="J2205" s="259">
        <f>IFERROR(IFERROR(VLOOKUP(B2205&amp;C2205&amp;Q2205,'New Weekly Paste'!A:M,8,0),VLOOKUP(B2205&amp;C2205&amp;Q2205,'New Weekly Paste'!B:O,10,0)),0)</f>
        <v>82.8</v>
      </c>
      <c r="K2205" s="259">
        <f>IFERROR(IFERROR(VLOOKUP(B2205&amp;I2205&amp;Q2205,'New Weekly Paste'!A:M,8,0),VLOOKUP(B2205&amp;I2205&amp;Q2205,'New Weekly Paste'!B:O,10,0)),0)</f>
        <v>120.82</v>
      </c>
      <c r="L2205" s="239">
        <f t="shared" si="25"/>
        <v>0</v>
      </c>
      <c r="M2205" s="36" t="str">
        <f t="shared" si="3"/>
        <v>Regular Season</v>
      </c>
      <c r="N2205" s="239" t="str">
        <f t="shared" si="26"/>
        <v>Salty</v>
      </c>
      <c r="O2205" s="6">
        <f>VLOOKUP(D2205,'Mapped Opponent'!$G$4:$H$22,2,0)</f>
        <v>12</v>
      </c>
      <c r="P2205" s="6"/>
      <c r="Q2205" s="6" t="str">
        <f t="shared" si="4"/>
        <v>Week 12</v>
      </c>
      <c r="R2205" s="6" t="str">
        <f t="shared" si="5"/>
        <v>2022Week 12</v>
      </c>
      <c r="S2205" s="6">
        <f>IFERROR(__xludf.DUMMYFUNCTION("rank(J2205,FILTER(J:J,R:R=R2205))"),8.0)</f>
        <v>8</v>
      </c>
      <c r="T2205" s="6">
        <f t="shared" si="6"/>
        <v>4</v>
      </c>
      <c r="U2205" s="6">
        <f t="shared" si="7"/>
        <v>8</v>
      </c>
      <c r="V2205" s="42">
        <f>averageif(AllData!A:A,B2205,AllData!R:R)/vlookup(B2205,AllData!A:O,15,0)</f>
        <v>92.75369048</v>
      </c>
      <c r="W2205" s="6"/>
    </row>
    <row r="2206" ht="14.25" customHeight="1">
      <c r="A2206" s="6" t="str">
        <f t="shared" si="1"/>
        <v>2022Cock12</v>
      </c>
      <c r="B2206" s="59">
        <v>2022.0</v>
      </c>
      <c r="C2206" s="13" t="s">
        <v>72</v>
      </c>
      <c r="D2206" s="13" t="s">
        <v>151</v>
      </c>
      <c r="E2206" s="34"/>
      <c r="F2206" s="6"/>
      <c r="H2206" s="6"/>
      <c r="I2206" s="35" t="str">
        <f>IFERROR(IFERROR(IFERROR(VLOOKUP(B2206&amp;C2206&amp;Q2206,'New Weekly Paste'!A:M,10,0),VLOOKUP(B2206&amp;C2206&amp;Q2206,'New Weekly Paste'!B:O,6,0)),""),"")</f>
        <v>T-How</v>
      </c>
      <c r="J2206" s="259">
        <f>IFERROR(IFERROR(VLOOKUP(B2206&amp;C2206&amp;Q2206,'New Weekly Paste'!A:M,8,0),VLOOKUP(B2206&amp;C2206&amp;Q2206,'New Weekly Paste'!B:O,10,0)),0)</f>
        <v>66.44</v>
      </c>
      <c r="K2206" s="259">
        <f>IFERROR(IFERROR(VLOOKUP(B2206&amp;I2206&amp;Q2206,'New Weekly Paste'!A:M,8,0),VLOOKUP(B2206&amp;I2206&amp;Q2206,'New Weekly Paste'!B:O,10,0)),0)</f>
        <v>81.36</v>
      </c>
      <c r="L2206" s="239">
        <f t="shared" si="25"/>
        <v>0</v>
      </c>
      <c r="M2206" s="36" t="str">
        <f t="shared" si="3"/>
        <v>Regular Season</v>
      </c>
      <c r="N2206" s="239" t="str">
        <f t="shared" si="26"/>
        <v>T-How</v>
      </c>
      <c r="O2206" s="6">
        <f>VLOOKUP(D2206,'Mapped Opponent'!$G$4:$H$22,2,0)</f>
        <v>12</v>
      </c>
      <c r="P2206" s="6"/>
      <c r="Q2206" s="6" t="str">
        <f t="shared" si="4"/>
        <v>Week 12</v>
      </c>
      <c r="R2206" s="6" t="str">
        <f t="shared" si="5"/>
        <v>2022Week 12</v>
      </c>
      <c r="S2206" s="6">
        <f>IFERROR(__xludf.DUMMYFUNCTION("rank(J2206,FILTER(J:J,R:R=R2206))"),12.0)</f>
        <v>12</v>
      </c>
      <c r="T2206" s="6">
        <f t="shared" si="6"/>
        <v>0</v>
      </c>
      <c r="U2206" s="6">
        <f t="shared" si="7"/>
        <v>12</v>
      </c>
      <c r="V2206" s="42">
        <f>averageif(AllData!A:A,B2206,AllData!R:R)/vlookup(B2206,AllData!A:O,15,0)</f>
        <v>92.75369048</v>
      </c>
      <c r="W2206" s="6"/>
    </row>
    <row r="2207" ht="14.25" customHeight="1">
      <c r="A2207" s="6" t="str">
        <f t="shared" si="1"/>
        <v>2022Tayski12</v>
      </c>
      <c r="B2207" s="59">
        <v>2022.0</v>
      </c>
      <c r="C2207" s="13" t="s">
        <v>52</v>
      </c>
      <c r="D2207" s="13" t="s">
        <v>151</v>
      </c>
      <c r="E2207" s="34"/>
      <c r="F2207" s="6"/>
      <c r="H2207" s="6"/>
      <c r="I2207" s="35" t="str">
        <f>IFERROR(IFERROR(IFERROR(VLOOKUP(B2207&amp;C2207&amp;Q2207,'New Weekly Paste'!A:M,10,0),VLOOKUP(B2207&amp;C2207&amp;Q2207,'New Weekly Paste'!B:O,6,0)),""),"")</f>
        <v>Rooney/Jackson</v>
      </c>
      <c r="J2207" s="259">
        <f>IFERROR(IFERROR(VLOOKUP(B2207&amp;C2207&amp;Q2207,'New Weekly Paste'!A:M,8,0),VLOOKUP(B2207&amp;C2207&amp;Q2207,'New Weekly Paste'!B:O,10,0)),0)</f>
        <v>134.82</v>
      </c>
      <c r="K2207" s="259">
        <f>IFERROR(IFERROR(VLOOKUP(B2207&amp;I2207&amp;Q2207,'New Weekly Paste'!A:M,8,0),VLOOKUP(B2207&amp;I2207&amp;Q2207,'New Weekly Paste'!B:O,10,0)),0)</f>
        <v>72.38</v>
      </c>
      <c r="L2207" s="239">
        <f t="shared" si="25"/>
        <v>1</v>
      </c>
      <c r="M2207" s="36" t="str">
        <f t="shared" si="3"/>
        <v>Regular Season</v>
      </c>
      <c r="N2207" s="239" t="str">
        <f t="shared" si="26"/>
        <v>Rooney/Jackson</v>
      </c>
      <c r="O2207" s="6">
        <f>VLOOKUP(D2207,'Mapped Opponent'!$G$4:$H$22,2,0)</f>
        <v>12</v>
      </c>
      <c r="P2207" s="6"/>
      <c r="Q2207" s="6" t="str">
        <f t="shared" si="4"/>
        <v>Week 12</v>
      </c>
      <c r="R2207" s="6" t="str">
        <f t="shared" si="5"/>
        <v>2022Week 12</v>
      </c>
      <c r="S2207" s="6">
        <f>IFERROR(__xludf.DUMMYFUNCTION("rank(J2207,FILTER(J:J,R:R=R2207))"),1.0)</f>
        <v>1</v>
      </c>
      <c r="T2207" s="6">
        <f t="shared" si="6"/>
        <v>11</v>
      </c>
      <c r="U2207" s="6">
        <f t="shared" si="7"/>
        <v>1</v>
      </c>
      <c r="V2207" s="42">
        <f>averageif(AllData!A:A,B2207,AllData!R:R)/vlookup(B2207,AllData!A:O,15,0)</f>
        <v>92.75369048</v>
      </c>
      <c r="W2207" s="6"/>
    </row>
    <row r="2208" ht="14.25" customHeight="1">
      <c r="A2208" s="6" t="str">
        <f t="shared" si="1"/>
        <v>2022KnardDawg12</v>
      </c>
      <c r="B2208" s="59">
        <v>2022.0</v>
      </c>
      <c r="C2208" s="13" t="s">
        <v>86</v>
      </c>
      <c r="D2208" s="13" t="s">
        <v>151</v>
      </c>
      <c r="E2208" s="34"/>
      <c r="F2208" s="6"/>
      <c r="H2208" s="6"/>
      <c r="I2208" s="35" t="str">
        <f>IFERROR(IFERROR(IFERROR(VLOOKUP(B2208&amp;C2208&amp;Q2208,'New Weekly Paste'!A:M,10,0),VLOOKUP(B2208&amp;C2208&amp;Q2208,'New Weekly Paste'!B:O,6,0)),""),"")</f>
        <v>Hudspeath</v>
      </c>
      <c r="J2208" s="259">
        <f>IFERROR(IFERROR(VLOOKUP(B2208&amp;C2208&amp;Q2208,'New Weekly Paste'!A:M,8,0),VLOOKUP(B2208&amp;C2208&amp;Q2208,'New Weekly Paste'!B:O,10,0)),0)</f>
        <v>91.6</v>
      </c>
      <c r="K2208" s="259">
        <f>IFERROR(IFERROR(VLOOKUP(B2208&amp;I2208&amp;Q2208,'New Weekly Paste'!A:M,8,0),VLOOKUP(B2208&amp;I2208&amp;Q2208,'New Weekly Paste'!B:O,10,0)),0)</f>
        <v>99.62</v>
      </c>
      <c r="L2208" s="239">
        <f t="shared" si="25"/>
        <v>0</v>
      </c>
      <c r="M2208" s="36" t="str">
        <f t="shared" si="3"/>
        <v>Regular Season</v>
      </c>
      <c r="N2208" s="239" t="str">
        <f t="shared" si="26"/>
        <v>Hudspeath</v>
      </c>
      <c r="O2208" s="6">
        <f>VLOOKUP(D2208,'Mapped Opponent'!$G$4:$H$22,2,0)</f>
        <v>12</v>
      </c>
      <c r="P2208" s="6"/>
      <c r="Q2208" s="6" t="str">
        <f t="shared" si="4"/>
        <v>Week 12</v>
      </c>
      <c r="R2208" s="6" t="str">
        <f t="shared" si="5"/>
        <v>2022Week 12</v>
      </c>
      <c r="S2208" s="6">
        <f>IFERROR(__xludf.DUMMYFUNCTION("rank(J2208,FILTER(J:J,R:R=R2208))"),7.0)</f>
        <v>7</v>
      </c>
      <c r="T2208" s="6">
        <f t="shared" si="6"/>
        <v>5</v>
      </c>
      <c r="U2208" s="6">
        <f t="shared" si="7"/>
        <v>7</v>
      </c>
      <c r="V2208" s="42">
        <f>averageif(AllData!A:A,B2208,AllData!R:R)/vlookup(B2208,AllData!A:O,15,0)</f>
        <v>92.75369048</v>
      </c>
      <c r="W2208" s="6"/>
    </row>
    <row r="2209" ht="14.25" customHeight="1">
      <c r="A2209" s="6" t="str">
        <f t="shared" si="1"/>
        <v>2022T-How12</v>
      </c>
      <c r="B2209" s="59">
        <v>2022.0</v>
      </c>
      <c r="C2209" s="13" t="s">
        <v>82</v>
      </c>
      <c r="D2209" s="13" t="s">
        <v>151</v>
      </c>
      <c r="E2209" s="34"/>
      <c r="F2209" s="6"/>
      <c r="H2209" s="6"/>
      <c r="I2209" s="35" t="str">
        <f>IFERROR(IFERROR(IFERROR(VLOOKUP(B2209&amp;C2209&amp;Q2209,'New Weekly Paste'!A:M,10,0),VLOOKUP(B2209&amp;C2209&amp;Q2209,'New Weekly Paste'!B:O,6,0)),""),"")</f>
        <v>Cock</v>
      </c>
      <c r="J2209" s="259">
        <f>IFERROR(IFERROR(VLOOKUP(B2209&amp;C2209&amp;Q2209,'New Weekly Paste'!A:M,8,0),VLOOKUP(B2209&amp;C2209&amp;Q2209,'New Weekly Paste'!B:O,10,0)),0)</f>
        <v>81.36</v>
      </c>
      <c r="K2209" s="259">
        <f>IFERROR(IFERROR(VLOOKUP(B2209&amp;I2209&amp;Q2209,'New Weekly Paste'!A:M,8,0),VLOOKUP(B2209&amp;I2209&amp;Q2209,'New Weekly Paste'!B:O,10,0)),0)</f>
        <v>66.44</v>
      </c>
      <c r="L2209" s="239">
        <f t="shared" si="25"/>
        <v>1</v>
      </c>
      <c r="M2209" s="36" t="str">
        <f t="shared" si="3"/>
        <v>Regular Season</v>
      </c>
      <c r="N2209" s="239" t="str">
        <f t="shared" si="26"/>
        <v>Cock</v>
      </c>
      <c r="O2209" s="6">
        <f>VLOOKUP(D2209,'Mapped Opponent'!$G$4:$H$22,2,0)</f>
        <v>12</v>
      </c>
      <c r="P2209" s="6"/>
      <c r="Q2209" s="6" t="str">
        <f t="shared" si="4"/>
        <v>Week 12</v>
      </c>
      <c r="R2209" s="6" t="str">
        <f t="shared" si="5"/>
        <v>2022Week 12</v>
      </c>
      <c r="S2209" s="6">
        <f>IFERROR(__xludf.DUMMYFUNCTION("rank(J2209,FILTER(J:J,R:R=R2209))"),9.0)</f>
        <v>9</v>
      </c>
      <c r="T2209" s="6">
        <f t="shared" si="6"/>
        <v>3</v>
      </c>
      <c r="U2209" s="6">
        <f t="shared" si="7"/>
        <v>9</v>
      </c>
      <c r="V2209" s="42">
        <f>averageif(AllData!A:A,B2209,AllData!R:R)/vlookup(B2209,AllData!A:O,15,0)</f>
        <v>92.75369048</v>
      </c>
      <c r="W2209" s="6"/>
    </row>
    <row r="2210" ht="14.25" customHeight="1">
      <c r="A2210" s="6" t="str">
        <f t="shared" si="1"/>
        <v>2022Hudspeath13</v>
      </c>
      <c r="B2210" s="59">
        <v>2022.0</v>
      </c>
      <c r="C2210" s="13" t="s">
        <v>39</v>
      </c>
      <c r="D2210" s="13" t="s">
        <v>152</v>
      </c>
      <c r="E2210" s="34"/>
      <c r="F2210" s="6"/>
      <c r="H2210" s="6"/>
      <c r="I2210" s="35" t="str">
        <f>IFERROR(IFERROR(IFERROR(VLOOKUP(B2210&amp;C2210&amp;Q2210,'New Weekly Paste'!A:M,10,0),VLOOKUP(B2210&amp;C2210&amp;Q2210,'New Weekly Paste'!B:O,6,0)),""),"")</f>
        <v>Rooney/Jackson</v>
      </c>
      <c r="J2210" s="259">
        <f>IFERROR(IFERROR(VLOOKUP(B2210&amp;C2210&amp;Q2210,'New Weekly Paste'!A:M,8,0),VLOOKUP(B2210&amp;C2210&amp;Q2210,'New Weekly Paste'!B:O,10,0)),0)</f>
        <v>93.34</v>
      </c>
      <c r="K2210" s="259">
        <f>IFERROR(IFERROR(VLOOKUP(B2210&amp;I2210&amp;Q2210,'New Weekly Paste'!A:M,8,0),VLOOKUP(B2210&amp;I2210&amp;Q2210,'New Weekly Paste'!B:O,10,0)),0)</f>
        <v>101.54</v>
      </c>
      <c r="L2210" s="239">
        <f t="shared" si="25"/>
        <v>0</v>
      </c>
      <c r="M2210" s="36" t="str">
        <f t="shared" si="3"/>
        <v>Regular Season</v>
      </c>
      <c r="N2210" s="239" t="str">
        <f t="shared" si="26"/>
        <v>Rooney/Jackson</v>
      </c>
      <c r="O2210" s="6">
        <f>VLOOKUP(D2210,'Mapped Opponent'!$G$4:$H$22,2,0)</f>
        <v>13</v>
      </c>
      <c r="P2210" s="6"/>
      <c r="Q2210" s="6" t="str">
        <f t="shared" si="4"/>
        <v>Week 13</v>
      </c>
      <c r="R2210" s="6" t="str">
        <f t="shared" si="5"/>
        <v>2022Week 13</v>
      </c>
      <c r="S2210" s="6">
        <f>IFERROR(__xludf.DUMMYFUNCTION("rank(J2210,FILTER(J:J,R:R=R2210))"),7.0)</f>
        <v>7</v>
      </c>
      <c r="T2210" s="6">
        <f t="shared" si="6"/>
        <v>5</v>
      </c>
      <c r="U2210" s="6">
        <f t="shared" si="7"/>
        <v>7</v>
      </c>
      <c r="V2210" s="42">
        <f>averageif(AllData!A:A,B2210,AllData!R:R)/vlookup(B2210,AllData!A:O,15,0)</f>
        <v>92.75369048</v>
      </c>
      <c r="W2210" s="6"/>
    </row>
    <row r="2211" ht="14.25" customHeight="1">
      <c r="A2211" s="6" t="str">
        <f t="shared" si="1"/>
        <v>2022Salty13</v>
      </c>
      <c r="B2211" s="59">
        <v>2022.0</v>
      </c>
      <c r="C2211" s="13" t="s">
        <v>76</v>
      </c>
      <c r="D2211" s="13" t="s">
        <v>152</v>
      </c>
      <c r="E2211" s="34"/>
      <c r="F2211" s="6"/>
      <c r="H2211" s="6"/>
      <c r="I2211" s="35" t="str">
        <f>IFERROR(IFERROR(IFERROR(VLOOKUP(B2211&amp;C2211&amp;Q2211,'New Weekly Paste'!A:M,10,0),VLOOKUP(B2211&amp;C2211&amp;Q2211,'New Weekly Paste'!B:O,6,0)),""),"")</f>
        <v>Riley</v>
      </c>
      <c r="J2211" s="259">
        <f>IFERROR(IFERROR(VLOOKUP(B2211&amp;C2211&amp;Q2211,'New Weekly Paste'!A:M,8,0),VLOOKUP(B2211&amp;C2211&amp;Q2211,'New Weekly Paste'!B:O,10,0)),0)</f>
        <v>90.9</v>
      </c>
      <c r="K2211" s="259">
        <f>IFERROR(IFERROR(VLOOKUP(B2211&amp;I2211&amp;Q2211,'New Weekly Paste'!A:M,8,0),VLOOKUP(B2211&amp;I2211&amp;Q2211,'New Weekly Paste'!B:O,10,0)),0)</f>
        <v>61.24</v>
      </c>
      <c r="L2211" s="239">
        <f t="shared" si="25"/>
        <v>1</v>
      </c>
      <c r="M2211" s="36" t="str">
        <f t="shared" si="3"/>
        <v>Regular Season</v>
      </c>
      <c r="N2211" s="239" t="str">
        <f t="shared" si="26"/>
        <v>Riley</v>
      </c>
      <c r="O2211" s="6">
        <f>VLOOKUP(D2211,'Mapped Opponent'!$G$4:$H$22,2,0)</f>
        <v>13</v>
      </c>
      <c r="P2211" s="6"/>
      <c r="Q2211" s="6" t="str">
        <f t="shared" si="4"/>
        <v>Week 13</v>
      </c>
      <c r="R2211" s="6" t="str">
        <f t="shared" si="5"/>
        <v>2022Week 13</v>
      </c>
      <c r="S2211" s="6">
        <f>IFERROR(__xludf.DUMMYFUNCTION("rank(J2211,FILTER(J:J,R:R=R2211))"),8.0)</f>
        <v>8</v>
      </c>
      <c r="T2211" s="6">
        <f t="shared" si="6"/>
        <v>4</v>
      </c>
      <c r="U2211" s="6">
        <f t="shared" si="7"/>
        <v>8</v>
      </c>
      <c r="V2211" s="42">
        <f>averageif(AllData!A:A,B2211,AllData!R:R)/vlookup(B2211,AllData!A:O,15,0)</f>
        <v>92.75369048</v>
      </c>
      <c r="W2211" s="6"/>
    </row>
    <row r="2212" ht="14.25" customHeight="1">
      <c r="A2212" s="6" t="str">
        <f t="shared" si="1"/>
        <v>2022Fellows13</v>
      </c>
      <c r="B2212" s="59">
        <v>2022.0</v>
      </c>
      <c r="C2212" s="13" t="s">
        <v>79</v>
      </c>
      <c r="D2212" s="13" t="s">
        <v>152</v>
      </c>
      <c r="E2212" s="34"/>
      <c r="F2212" s="6"/>
      <c r="H2212" s="6"/>
      <c r="I2212" s="35" t="str">
        <f>IFERROR(IFERROR(IFERROR(VLOOKUP(B2212&amp;C2212&amp;Q2212,'New Weekly Paste'!A:M,10,0),VLOOKUP(B2212&amp;C2212&amp;Q2212,'New Weekly Paste'!B:O,6,0)),""),"")</f>
        <v>Shep</v>
      </c>
      <c r="J2212" s="259">
        <f>IFERROR(IFERROR(VLOOKUP(B2212&amp;C2212&amp;Q2212,'New Weekly Paste'!A:M,8,0),VLOOKUP(B2212&amp;C2212&amp;Q2212,'New Weekly Paste'!B:O,10,0)),0)</f>
        <v>90.26</v>
      </c>
      <c r="K2212" s="259">
        <f>IFERROR(IFERROR(VLOOKUP(B2212&amp;I2212&amp;Q2212,'New Weekly Paste'!A:M,8,0),VLOOKUP(B2212&amp;I2212&amp;Q2212,'New Weekly Paste'!B:O,10,0)),0)</f>
        <v>96.34</v>
      </c>
      <c r="L2212" s="239">
        <f t="shared" si="25"/>
        <v>0</v>
      </c>
      <c r="M2212" s="36" t="str">
        <f t="shared" si="3"/>
        <v>Regular Season</v>
      </c>
      <c r="N2212" s="239" t="str">
        <f t="shared" si="26"/>
        <v>Shep</v>
      </c>
      <c r="O2212" s="6">
        <f>VLOOKUP(D2212,'Mapped Opponent'!$G$4:$H$22,2,0)</f>
        <v>13</v>
      </c>
      <c r="P2212" s="6"/>
      <c r="Q2212" s="6" t="str">
        <f t="shared" si="4"/>
        <v>Week 13</v>
      </c>
      <c r="R2212" s="6" t="str">
        <f t="shared" si="5"/>
        <v>2022Week 13</v>
      </c>
      <c r="S2212" s="6">
        <f>IFERROR(__xludf.DUMMYFUNCTION("rank(J2212,FILTER(J:J,R:R=R2212))"),9.0)</f>
        <v>9</v>
      </c>
      <c r="T2212" s="6">
        <f t="shared" si="6"/>
        <v>3</v>
      </c>
      <c r="U2212" s="6">
        <f t="shared" si="7"/>
        <v>9</v>
      </c>
      <c r="V2212" s="42">
        <f>averageif(AllData!A:A,B2212,AllData!R:R)/vlookup(B2212,AllData!A:O,15,0)</f>
        <v>92.75369048</v>
      </c>
      <c r="W2212" s="6"/>
    </row>
    <row r="2213" ht="14.25" customHeight="1">
      <c r="A2213" s="6" t="str">
        <f t="shared" si="1"/>
        <v>2022Shep13</v>
      </c>
      <c r="B2213" s="59">
        <v>2022.0</v>
      </c>
      <c r="C2213" s="13" t="s">
        <v>89</v>
      </c>
      <c r="D2213" s="13" t="s">
        <v>152</v>
      </c>
      <c r="E2213" s="34"/>
      <c r="F2213" s="6"/>
      <c r="H2213" s="6"/>
      <c r="I2213" s="35" t="str">
        <f>IFERROR(IFERROR(IFERROR(VLOOKUP(B2213&amp;C2213&amp;Q2213,'New Weekly Paste'!A:M,10,0),VLOOKUP(B2213&amp;C2213&amp;Q2213,'New Weekly Paste'!B:O,6,0)),""),"")</f>
        <v>Fellows</v>
      </c>
      <c r="J2213" s="259">
        <f>IFERROR(IFERROR(VLOOKUP(B2213&amp;C2213&amp;Q2213,'New Weekly Paste'!A:M,8,0),VLOOKUP(B2213&amp;C2213&amp;Q2213,'New Weekly Paste'!B:O,10,0)),0)</f>
        <v>96.34</v>
      </c>
      <c r="K2213" s="259">
        <f>IFERROR(IFERROR(VLOOKUP(B2213&amp;I2213&amp;Q2213,'New Weekly Paste'!A:M,8,0),VLOOKUP(B2213&amp;I2213&amp;Q2213,'New Weekly Paste'!B:O,10,0)),0)</f>
        <v>90.26</v>
      </c>
      <c r="L2213" s="239">
        <f t="shared" si="25"/>
        <v>1</v>
      </c>
      <c r="M2213" s="36" t="str">
        <f t="shared" si="3"/>
        <v>Regular Season</v>
      </c>
      <c r="N2213" s="239" t="str">
        <f t="shared" si="26"/>
        <v>Fellows</v>
      </c>
      <c r="O2213" s="6">
        <f>VLOOKUP(D2213,'Mapped Opponent'!$G$4:$H$22,2,0)</f>
        <v>13</v>
      </c>
      <c r="P2213" s="6"/>
      <c r="Q2213" s="6" t="str">
        <f t="shared" si="4"/>
        <v>Week 13</v>
      </c>
      <c r="R2213" s="6" t="str">
        <f t="shared" si="5"/>
        <v>2022Week 13</v>
      </c>
      <c r="S2213" s="6">
        <f>IFERROR(__xludf.DUMMYFUNCTION("rank(J2213,FILTER(J:J,R:R=R2213))"),5.0)</f>
        <v>5</v>
      </c>
      <c r="T2213" s="6">
        <f t="shared" si="6"/>
        <v>7</v>
      </c>
      <c r="U2213" s="6">
        <f t="shared" si="7"/>
        <v>5</v>
      </c>
      <c r="V2213" s="42">
        <f>averageif(AllData!A:A,B2213,AllData!R:R)/vlookup(B2213,AllData!A:O,15,0)</f>
        <v>92.75369048</v>
      </c>
      <c r="W2213" s="6"/>
    </row>
    <row r="2214" ht="14.25" customHeight="1">
      <c r="A2214" s="6" t="str">
        <f t="shared" si="1"/>
        <v>2022Riley13</v>
      </c>
      <c r="B2214" s="59">
        <v>2022.0</v>
      </c>
      <c r="C2214" s="13" t="s">
        <v>67</v>
      </c>
      <c r="D2214" s="13" t="s">
        <v>152</v>
      </c>
      <c r="E2214" s="34"/>
      <c r="F2214" s="6"/>
      <c r="H2214" s="6"/>
      <c r="I2214" s="35" t="str">
        <f>IFERROR(IFERROR(IFERROR(VLOOKUP(B2214&amp;C2214&amp;Q2214,'New Weekly Paste'!A:M,10,0),VLOOKUP(B2214&amp;C2214&amp;Q2214,'New Weekly Paste'!B:O,6,0)),""),"")</f>
        <v>Salty</v>
      </c>
      <c r="J2214" s="259">
        <f>IFERROR(IFERROR(VLOOKUP(B2214&amp;C2214&amp;Q2214,'New Weekly Paste'!A:M,8,0),VLOOKUP(B2214&amp;C2214&amp;Q2214,'New Weekly Paste'!B:O,10,0)),0)</f>
        <v>61.24</v>
      </c>
      <c r="K2214" s="259">
        <f>IFERROR(IFERROR(VLOOKUP(B2214&amp;I2214&amp;Q2214,'New Weekly Paste'!A:M,8,0),VLOOKUP(B2214&amp;I2214&amp;Q2214,'New Weekly Paste'!B:O,10,0)),0)</f>
        <v>90.9</v>
      </c>
      <c r="L2214" s="239">
        <f t="shared" si="25"/>
        <v>0</v>
      </c>
      <c r="M2214" s="36" t="str">
        <f t="shared" si="3"/>
        <v>Regular Season</v>
      </c>
      <c r="N2214" s="239" t="str">
        <f t="shared" si="26"/>
        <v>Salty</v>
      </c>
      <c r="O2214" s="6">
        <f>VLOOKUP(D2214,'Mapped Opponent'!$G$4:$H$22,2,0)</f>
        <v>13</v>
      </c>
      <c r="P2214" s="6"/>
      <c r="Q2214" s="6" t="str">
        <f t="shared" si="4"/>
        <v>Week 13</v>
      </c>
      <c r="R2214" s="6" t="str">
        <f t="shared" si="5"/>
        <v>2022Week 13</v>
      </c>
      <c r="S2214" s="6">
        <f>IFERROR(__xludf.DUMMYFUNCTION("rank(J2214,FILTER(J:J,R:R=R2214))"),12.0)</f>
        <v>12</v>
      </c>
      <c r="T2214" s="6">
        <f t="shared" si="6"/>
        <v>0</v>
      </c>
      <c r="U2214" s="6">
        <f t="shared" si="7"/>
        <v>12</v>
      </c>
      <c r="V2214" s="42">
        <f>averageif(AllData!A:A,B2214,AllData!R:R)/vlookup(B2214,AllData!A:O,15,0)</f>
        <v>92.75369048</v>
      </c>
      <c r="W2214" s="6"/>
    </row>
    <row r="2215" ht="14.25" customHeight="1">
      <c r="A2215" s="6" t="str">
        <f t="shared" si="1"/>
        <v>2022Rooney/Jackson13</v>
      </c>
      <c r="B2215" s="59">
        <v>2022.0</v>
      </c>
      <c r="C2215" s="13" t="s">
        <v>57</v>
      </c>
      <c r="D2215" s="13" t="s">
        <v>152</v>
      </c>
      <c r="E2215" s="34"/>
      <c r="F2215" s="6"/>
      <c r="H2215" s="6"/>
      <c r="I2215" s="35" t="str">
        <f>IFERROR(IFERROR(IFERROR(VLOOKUP(B2215&amp;C2215&amp;Q2215,'New Weekly Paste'!A:M,10,0),VLOOKUP(B2215&amp;C2215&amp;Q2215,'New Weekly Paste'!B:O,6,0)),""),"")</f>
        <v>Hudspeath</v>
      </c>
      <c r="J2215" s="259">
        <f>IFERROR(IFERROR(VLOOKUP(B2215&amp;C2215&amp;Q2215,'New Weekly Paste'!A:M,8,0),VLOOKUP(B2215&amp;C2215&amp;Q2215,'New Weekly Paste'!B:O,10,0)),0)</f>
        <v>101.54</v>
      </c>
      <c r="K2215" s="259">
        <f>IFERROR(IFERROR(VLOOKUP(B2215&amp;I2215&amp;Q2215,'New Weekly Paste'!A:M,8,0),VLOOKUP(B2215&amp;I2215&amp;Q2215,'New Weekly Paste'!B:O,10,0)),0)</f>
        <v>93.34</v>
      </c>
      <c r="L2215" s="239">
        <f t="shared" si="25"/>
        <v>1</v>
      </c>
      <c r="M2215" s="36" t="str">
        <f t="shared" si="3"/>
        <v>Regular Season</v>
      </c>
      <c r="N2215" s="239" t="str">
        <f t="shared" si="26"/>
        <v>Hudspeath</v>
      </c>
      <c r="O2215" s="6">
        <f>VLOOKUP(D2215,'Mapped Opponent'!$G$4:$H$22,2,0)</f>
        <v>13</v>
      </c>
      <c r="P2215" s="6"/>
      <c r="Q2215" s="6" t="str">
        <f t="shared" si="4"/>
        <v>Week 13</v>
      </c>
      <c r="R2215" s="6" t="str">
        <f t="shared" si="5"/>
        <v>2022Week 13</v>
      </c>
      <c r="S2215" s="6">
        <f>IFERROR(__xludf.DUMMYFUNCTION("rank(J2215,FILTER(J:J,R:R=R2215))"),3.0)</f>
        <v>3</v>
      </c>
      <c r="T2215" s="6">
        <f t="shared" si="6"/>
        <v>9</v>
      </c>
      <c r="U2215" s="6">
        <f t="shared" si="7"/>
        <v>3</v>
      </c>
      <c r="V2215" s="42">
        <f>averageif(AllData!A:A,B2215,AllData!R:R)/vlookup(B2215,AllData!A:O,15,0)</f>
        <v>92.75369048</v>
      </c>
      <c r="W2215" s="6"/>
    </row>
    <row r="2216" ht="14.25" customHeight="1">
      <c r="A2216" s="6" t="str">
        <f t="shared" si="1"/>
        <v>2022Buser13</v>
      </c>
      <c r="B2216" s="59">
        <v>2022.0</v>
      </c>
      <c r="C2216" s="13" t="s">
        <v>47</v>
      </c>
      <c r="D2216" s="13" t="s">
        <v>152</v>
      </c>
      <c r="E2216" s="34"/>
      <c r="F2216" s="6"/>
      <c r="H2216" s="6"/>
      <c r="I2216" s="35" t="str">
        <f>IFERROR(IFERROR(IFERROR(VLOOKUP(B2216&amp;C2216&amp;Q2216,'New Weekly Paste'!A:M,10,0),VLOOKUP(B2216&amp;C2216&amp;Q2216,'New Weekly Paste'!B:O,6,0)),""),"")</f>
        <v>Cock</v>
      </c>
      <c r="J2216" s="259">
        <f>IFERROR(IFERROR(VLOOKUP(B2216&amp;C2216&amp;Q2216,'New Weekly Paste'!A:M,8,0),VLOOKUP(B2216&amp;C2216&amp;Q2216,'New Weekly Paste'!B:O,10,0)),0)</f>
        <v>98.9</v>
      </c>
      <c r="K2216" s="259">
        <f>IFERROR(IFERROR(VLOOKUP(B2216&amp;I2216&amp;Q2216,'New Weekly Paste'!A:M,8,0),VLOOKUP(B2216&amp;I2216&amp;Q2216,'New Weekly Paste'!B:O,10,0)),0)</f>
        <v>84.64</v>
      </c>
      <c r="L2216" s="239">
        <f t="shared" si="25"/>
        <v>1</v>
      </c>
      <c r="M2216" s="36" t="str">
        <f t="shared" si="3"/>
        <v>Regular Season</v>
      </c>
      <c r="N2216" s="239" t="str">
        <f t="shared" si="26"/>
        <v>Cock</v>
      </c>
      <c r="O2216" s="6">
        <f>VLOOKUP(D2216,'Mapped Opponent'!$G$4:$H$22,2,0)</f>
        <v>13</v>
      </c>
      <c r="P2216" s="6"/>
      <c r="Q2216" s="6" t="str">
        <f t="shared" si="4"/>
        <v>Week 13</v>
      </c>
      <c r="R2216" s="6" t="str">
        <f t="shared" si="5"/>
        <v>2022Week 13</v>
      </c>
      <c r="S2216" s="6">
        <f>IFERROR(__xludf.DUMMYFUNCTION("rank(J2216,FILTER(J:J,R:R=R2216))"),4.0)</f>
        <v>4</v>
      </c>
      <c r="T2216" s="6">
        <f t="shared" si="6"/>
        <v>8</v>
      </c>
      <c r="U2216" s="6">
        <f t="shared" si="7"/>
        <v>4</v>
      </c>
      <c r="V2216" s="42">
        <f>averageif(AllData!A:A,B2216,AllData!R:R)/vlookup(B2216,AllData!A:O,15,0)</f>
        <v>92.75369048</v>
      </c>
      <c r="W2216" s="6"/>
    </row>
    <row r="2217" ht="14.25" customHeight="1">
      <c r="A2217" s="6" t="str">
        <f t="shared" si="1"/>
        <v>2022Pierson13</v>
      </c>
      <c r="B2217" s="59">
        <v>2022.0</v>
      </c>
      <c r="C2217" s="13" t="s">
        <v>92</v>
      </c>
      <c r="D2217" s="13" t="s">
        <v>152</v>
      </c>
      <c r="E2217" s="34"/>
      <c r="F2217" s="6"/>
      <c r="H2217" s="6"/>
      <c r="I2217" s="35" t="str">
        <f>IFERROR(IFERROR(IFERROR(VLOOKUP(B2217&amp;C2217&amp;Q2217,'New Weekly Paste'!A:M,10,0),VLOOKUP(B2217&amp;C2217&amp;Q2217,'New Weekly Paste'!B:O,6,0)),""),"")</f>
        <v>Tayski</v>
      </c>
      <c r="J2217" s="259">
        <f>IFERROR(IFERROR(VLOOKUP(B2217&amp;C2217&amp;Q2217,'New Weekly Paste'!A:M,8,0),VLOOKUP(B2217&amp;C2217&amp;Q2217,'New Weekly Paste'!B:O,10,0)),0)</f>
        <v>95.92</v>
      </c>
      <c r="K2217" s="259">
        <f>IFERROR(IFERROR(VLOOKUP(B2217&amp;I2217&amp;Q2217,'New Weekly Paste'!A:M,8,0),VLOOKUP(B2217&amp;I2217&amp;Q2217,'New Weekly Paste'!B:O,10,0)),0)</f>
        <v>111.92</v>
      </c>
      <c r="L2217" s="239">
        <f t="shared" si="25"/>
        <v>0</v>
      </c>
      <c r="M2217" s="36" t="str">
        <f t="shared" si="3"/>
        <v>Regular Season</v>
      </c>
      <c r="N2217" s="239" t="str">
        <f t="shared" si="26"/>
        <v>Tayski</v>
      </c>
      <c r="O2217" s="6">
        <f>VLOOKUP(D2217,'Mapped Opponent'!$G$4:$H$22,2,0)</f>
        <v>13</v>
      </c>
      <c r="P2217" s="6"/>
      <c r="Q2217" s="6" t="str">
        <f t="shared" si="4"/>
        <v>Week 13</v>
      </c>
      <c r="R2217" s="6" t="str">
        <f t="shared" si="5"/>
        <v>2022Week 13</v>
      </c>
      <c r="S2217" s="6">
        <f>IFERROR(__xludf.DUMMYFUNCTION("rank(J2217,FILTER(J:J,R:R=R2217))"),6.0)</f>
        <v>6</v>
      </c>
      <c r="T2217" s="6">
        <f t="shared" si="6"/>
        <v>6</v>
      </c>
      <c r="U2217" s="6">
        <f t="shared" si="7"/>
        <v>6</v>
      </c>
      <c r="V2217" s="42">
        <f>averageif(AllData!A:A,B2217,AllData!R:R)/vlookup(B2217,AllData!A:O,15,0)</f>
        <v>92.75369048</v>
      </c>
      <c r="W2217" s="6"/>
    </row>
    <row r="2218" ht="14.25" customHeight="1">
      <c r="A2218" s="6" t="str">
        <f t="shared" si="1"/>
        <v>2022Cock13</v>
      </c>
      <c r="B2218" s="59">
        <v>2022.0</v>
      </c>
      <c r="C2218" s="13" t="s">
        <v>72</v>
      </c>
      <c r="D2218" s="13" t="s">
        <v>152</v>
      </c>
      <c r="E2218" s="34"/>
      <c r="F2218" s="6"/>
      <c r="H2218" s="6"/>
      <c r="I2218" s="35" t="str">
        <f>IFERROR(IFERROR(IFERROR(VLOOKUP(B2218&amp;C2218&amp;Q2218,'New Weekly Paste'!A:M,10,0),VLOOKUP(B2218&amp;C2218&amp;Q2218,'New Weekly Paste'!B:O,6,0)),""),"")</f>
        <v>Buser</v>
      </c>
      <c r="J2218" s="259">
        <f>IFERROR(IFERROR(VLOOKUP(B2218&amp;C2218&amp;Q2218,'New Weekly Paste'!A:M,8,0),VLOOKUP(B2218&amp;C2218&amp;Q2218,'New Weekly Paste'!B:O,10,0)),0)</f>
        <v>84.64</v>
      </c>
      <c r="K2218" s="259">
        <f>IFERROR(IFERROR(VLOOKUP(B2218&amp;I2218&amp;Q2218,'New Weekly Paste'!A:M,8,0),VLOOKUP(B2218&amp;I2218&amp;Q2218,'New Weekly Paste'!B:O,10,0)),0)</f>
        <v>98.9</v>
      </c>
      <c r="L2218" s="239">
        <f t="shared" si="25"/>
        <v>0</v>
      </c>
      <c r="M2218" s="36" t="str">
        <f t="shared" si="3"/>
        <v>Regular Season</v>
      </c>
      <c r="N2218" s="239" t="str">
        <f t="shared" si="26"/>
        <v>Buser</v>
      </c>
      <c r="O2218" s="6">
        <f>VLOOKUP(D2218,'Mapped Opponent'!$G$4:$H$22,2,0)</f>
        <v>13</v>
      </c>
      <c r="P2218" s="6"/>
      <c r="Q2218" s="6" t="str">
        <f t="shared" si="4"/>
        <v>Week 13</v>
      </c>
      <c r="R2218" s="6" t="str">
        <f t="shared" si="5"/>
        <v>2022Week 13</v>
      </c>
      <c r="S2218" s="6">
        <f>IFERROR(__xludf.DUMMYFUNCTION("rank(J2218,FILTER(J:J,R:R=R2218))"),10.0)</f>
        <v>10</v>
      </c>
      <c r="T2218" s="6">
        <f t="shared" si="6"/>
        <v>2</v>
      </c>
      <c r="U2218" s="6">
        <f t="shared" si="7"/>
        <v>10</v>
      </c>
      <c r="V2218" s="42">
        <f>averageif(AllData!A:A,B2218,AllData!R:R)/vlookup(B2218,AllData!A:O,15,0)</f>
        <v>92.75369048</v>
      </c>
      <c r="W2218" s="6"/>
    </row>
    <row r="2219" ht="14.25" customHeight="1">
      <c r="A2219" s="6" t="str">
        <f t="shared" si="1"/>
        <v>2022Tayski13</v>
      </c>
      <c r="B2219" s="59">
        <v>2022.0</v>
      </c>
      <c r="C2219" s="13" t="s">
        <v>52</v>
      </c>
      <c r="D2219" s="13" t="s">
        <v>152</v>
      </c>
      <c r="E2219" s="34"/>
      <c r="F2219" s="6"/>
      <c r="H2219" s="6"/>
      <c r="I2219" s="35" t="str">
        <f>IFERROR(IFERROR(IFERROR(VLOOKUP(B2219&amp;C2219&amp;Q2219,'New Weekly Paste'!A:M,10,0),VLOOKUP(B2219&amp;C2219&amp;Q2219,'New Weekly Paste'!B:O,6,0)),""),"")</f>
        <v>Pierson</v>
      </c>
      <c r="J2219" s="259">
        <f>IFERROR(IFERROR(VLOOKUP(B2219&amp;C2219&amp;Q2219,'New Weekly Paste'!A:M,8,0),VLOOKUP(B2219&amp;C2219&amp;Q2219,'New Weekly Paste'!B:O,10,0)),0)</f>
        <v>111.92</v>
      </c>
      <c r="K2219" s="259">
        <f>IFERROR(IFERROR(VLOOKUP(B2219&amp;I2219&amp;Q2219,'New Weekly Paste'!A:M,8,0),VLOOKUP(B2219&amp;I2219&amp;Q2219,'New Weekly Paste'!B:O,10,0)),0)</f>
        <v>95.92</v>
      </c>
      <c r="L2219" s="239">
        <f t="shared" si="25"/>
        <v>1</v>
      </c>
      <c r="M2219" s="36" t="str">
        <f t="shared" si="3"/>
        <v>Regular Season</v>
      </c>
      <c r="N2219" s="239" t="str">
        <f t="shared" si="26"/>
        <v>Pierson</v>
      </c>
      <c r="O2219" s="6">
        <f>VLOOKUP(D2219,'Mapped Opponent'!$G$4:$H$22,2,0)</f>
        <v>13</v>
      </c>
      <c r="P2219" s="6"/>
      <c r="Q2219" s="6" t="str">
        <f t="shared" si="4"/>
        <v>Week 13</v>
      </c>
      <c r="R2219" s="6" t="str">
        <f t="shared" si="5"/>
        <v>2022Week 13</v>
      </c>
      <c r="S2219" s="6">
        <f>IFERROR(__xludf.DUMMYFUNCTION("rank(J2219,FILTER(J:J,R:R=R2219))"),1.0)</f>
        <v>1</v>
      </c>
      <c r="T2219" s="6">
        <f t="shared" si="6"/>
        <v>11</v>
      </c>
      <c r="U2219" s="6">
        <f t="shared" si="7"/>
        <v>1</v>
      </c>
      <c r="V2219" s="42">
        <f>averageif(AllData!A:A,B2219,AllData!R:R)/vlookup(B2219,AllData!A:O,15,0)</f>
        <v>92.75369048</v>
      </c>
      <c r="W2219" s="6"/>
    </row>
    <row r="2220" ht="14.25" customHeight="1">
      <c r="A2220" s="6" t="str">
        <f t="shared" si="1"/>
        <v>2022KnardDawg13</v>
      </c>
      <c r="B2220" s="59">
        <v>2022.0</v>
      </c>
      <c r="C2220" s="13" t="s">
        <v>86</v>
      </c>
      <c r="D2220" s="13" t="s">
        <v>152</v>
      </c>
      <c r="E2220" s="34"/>
      <c r="F2220" s="6"/>
      <c r="H2220" s="6"/>
      <c r="I2220" s="35" t="str">
        <f>IFERROR(IFERROR(IFERROR(VLOOKUP(B2220&amp;C2220&amp;Q2220,'New Weekly Paste'!A:M,10,0),VLOOKUP(B2220&amp;C2220&amp;Q2220,'New Weekly Paste'!B:O,6,0)),""),"")</f>
        <v>T-How</v>
      </c>
      <c r="J2220" s="259">
        <f>IFERROR(IFERROR(VLOOKUP(B2220&amp;C2220&amp;Q2220,'New Weekly Paste'!A:M,8,0),VLOOKUP(B2220&amp;C2220&amp;Q2220,'New Weekly Paste'!B:O,10,0)),0)</f>
        <v>83.68</v>
      </c>
      <c r="K2220" s="259">
        <f>IFERROR(IFERROR(VLOOKUP(B2220&amp;I2220&amp;Q2220,'New Weekly Paste'!A:M,8,0),VLOOKUP(B2220&amp;I2220&amp;Q2220,'New Weekly Paste'!B:O,10,0)),0)</f>
        <v>108.86</v>
      </c>
      <c r="L2220" s="239">
        <f t="shared" si="25"/>
        <v>0</v>
      </c>
      <c r="M2220" s="36" t="str">
        <f t="shared" si="3"/>
        <v>Regular Season</v>
      </c>
      <c r="N2220" s="239" t="str">
        <f t="shared" si="26"/>
        <v>T-How</v>
      </c>
      <c r="O2220" s="6">
        <f>VLOOKUP(D2220,'Mapped Opponent'!$G$4:$H$22,2,0)</f>
        <v>13</v>
      </c>
      <c r="P2220" s="6"/>
      <c r="Q2220" s="6" t="str">
        <f t="shared" si="4"/>
        <v>Week 13</v>
      </c>
      <c r="R2220" s="6" t="str">
        <f t="shared" si="5"/>
        <v>2022Week 13</v>
      </c>
      <c r="S2220" s="6">
        <f>IFERROR(__xludf.DUMMYFUNCTION("rank(J2220,FILTER(J:J,R:R=R2220))"),11.0)</f>
        <v>11</v>
      </c>
      <c r="T2220" s="6">
        <f t="shared" si="6"/>
        <v>1</v>
      </c>
      <c r="U2220" s="6">
        <f t="shared" si="7"/>
        <v>11</v>
      </c>
      <c r="V2220" s="42">
        <f>averageif(AllData!A:A,B2220,AllData!R:R)/vlookup(B2220,AllData!A:O,15,0)</f>
        <v>92.75369048</v>
      </c>
      <c r="W2220" s="6"/>
    </row>
    <row r="2221" ht="14.25" customHeight="1">
      <c r="A2221" s="6" t="str">
        <f t="shared" si="1"/>
        <v>2022T-How13</v>
      </c>
      <c r="B2221" s="59">
        <v>2022.0</v>
      </c>
      <c r="C2221" s="13" t="s">
        <v>82</v>
      </c>
      <c r="D2221" s="13" t="s">
        <v>152</v>
      </c>
      <c r="E2221" s="34"/>
      <c r="F2221" s="6"/>
      <c r="H2221" s="6"/>
      <c r="I2221" s="35" t="str">
        <f>IFERROR(IFERROR(IFERROR(VLOOKUP(B2221&amp;C2221&amp;Q2221,'New Weekly Paste'!A:M,10,0),VLOOKUP(B2221&amp;C2221&amp;Q2221,'New Weekly Paste'!B:O,6,0)),""),"")</f>
        <v>KnardDawg</v>
      </c>
      <c r="J2221" s="259">
        <f>IFERROR(IFERROR(VLOOKUP(B2221&amp;C2221&amp;Q2221,'New Weekly Paste'!A:M,8,0),VLOOKUP(B2221&amp;C2221&amp;Q2221,'New Weekly Paste'!B:O,10,0)),0)</f>
        <v>108.86</v>
      </c>
      <c r="K2221" s="259">
        <f>IFERROR(IFERROR(VLOOKUP(B2221&amp;I2221&amp;Q2221,'New Weekly Paste'!A:M,8,0),VLOOKUP(B2221&amp;I2221&amp;Q2221,'New Weekly Paste'!B:O,10,0)),0)</f>
        <v>83.68</v>
      </c>
      <c r="L2221" s="239">
        <f t="shared" si="25"/>
        <v>1</v>
      </c>
      <c r="M2221" s="36" t="str">
        <f t="shared" si="3"/>
        <v>Regular Season</v>
      </c>
      <c r="N2221" s="239" t="str">
        <f t="shared" si="26"/>
        <v>KnardDawg</v>
      </c>
      <c r="O2221" s="6">
        <f>VLOOKUP(D2221,'Mapped Opponent'!$G$4:$H$22,2,0)</f>
        <v>13</v>
      </c>
      <c r="P2221" s="6"/>
      <c r="Q2221" s="6" t="str">
        <f t="shared" si="4"/>
        <v>Week 13</v>
      </c>
      <c r="R2221" s="6" t="str">
        <f t="shared" si="5"/>
        <v>2022Week 13</v>
      </c>
      <c r="S2221" s="6">
        <f>IFERROR(__xludf.DUMMYFUNCTION("rank(J2221,FILTER(J:J,R:R=R2221))"),2.0)</f>
        <v>2</v>
      </c>
      <c r="T2221" s="6">
        <f t="shared" si="6"/>
        <v>10</v>
      </c>
      <c r="U2221" s="6">
        <f t="shared" si="7"/>
        <v>2</v>
      </c>
      <c r="V2221" s="42">
        <f>averageif(AllData!A:A,B2221,AllData!R:R)/vlookup(B2221,AllData!A:O,15,0)</f>
        <v>92.75369048</v>
      </c>
      <c r="W2221" s="6"/>
    </row>
    <row r="2222" ht="14.25" customHeight="1">
      <c r="A2222" s="6" t="str">
        <f t="shared" si="1"/>
        <v>2022Hudspeath14</v>
      </c>
      <c r="B2222" s="59">
        <v>2022.0</v>
      </c>
      <c r="C2222" s="13" t="s">
        <v>39</v>
      </c>
      <c r="D2222" s="13" t="s">
        <v>156</v>
      </c>
      <c r="E2222" s="34"/>
      <c r="F2222" s="6"/>
      <c r="H2222" s="6"/>
      <c r="I2222" s="35" t="str">
        <f>IFERROR(IFERROR(IFERROR(VLOOKUP(B2222&amp;C2222&amp;Q2222,'New Weekly Paste'!A:M,10,0),VLOOKUP(B2222&amp;C2222&amp;Q2222,'New Weekly Paste'!B:O,6,0)),""),"")</f>
        <v>T-How</v>
      </c>
      <c r="J2222" s="259">
        <f>IFERROR(IFERROR(VLOOKUP(B2222&amp;C2222&amp;Q2222,'New Weekly Paste'!A:M,8,0),VLOOKUP(B2222&amp;C2222&amp;Q2222,'New Weekly Paste'!B:O,10,0)),0)</f>
        <v>78.86</v>
      </c>
      <c r="K2222" s="259">
        <f>IFERROR(IFERROR(VLOOKUP(B2222&amp;I2222&amp;Q2222,'New Weekly Paste'!A:M,8,0),VLOOKUP(B2222&amp;I2222&amp;Q2222,'New Weekly Paste'!B:O,10,0)),0)</f>
        <v>74.1</v>
      </c>
      <c r="L2222" s="239">
        <f t="shared" si="25"/>
        <v>1</v>
      </c>
      <c r="M2222" s="36" t="str">
        <f t="shared" si="3"/>
        <v>Regular Season</v>
      </c>
      <c r="N2222" s="239" t="str">
        <f t="shared" si="26"/>
        <v>T-How</v>
      </c>
      <c r="O2222" s="6">
        <f>VLOOKUP(D2222,'Mapped Opponent'!$G$4:$H$22,2,0)</f>
        <v>14</v>
      </c>
      <c r="P2222" s="6"/>
      <c r="Q2222" s="6" t="str">
        <f t="shared" si="4"/>
        <v>Week 14</v>
      </c>
      <c r="R2222" s="6" t="str">
        <f t="shared" si="5"/>
        <v>2022Week 14</v>
      </c>
      <c r="S2222" s="6">
        <f>IFERROR(__xludf.DUMMYFUNCTION("rank(J2222,FILTER(J:J,R:R=R2222))"),6.0)</f>
        <v>6</v>
      </c>
      <c r="T2222" s="6">
        <f t="shared" si="6"/>
        <v>6</v>
      </c>
      <c r="U2222" s="6">
        <f t="shared" si="7"/>
        <v>6</v>
      </c>
      <c r="V2222" s="42">
        <f>averageif(AllData!A:A,B2222,AllData!R:R)/vlookup(B2222,AllData!A:O,15,0)</f>
        <v>92.75369048</v>
      </c>
      <c r="W2222" s="6"/>
    </row>
    <row r="2223" ht="14.25" customHeight="1">
      <c r="A2223" s="6" t="str">
        <f t="shared" si="1"/>
        <v>2022Salty14</v>
      </c>
      <c r="B2223" s="59">
        <v>2022.0</v>
      </c>
      <c r="C2223" s="13" t="s">
        <v>76</v>
      </c>
      <c r="D2223" s="13" t="s">
        <v>156</v>
      </c>
      <c r="E2223" s="34"/>
      <c r="F2223" s="6"/>
      <c r="H2223" s="6"/>
      <c r="I2223" s="35" t="str">
        <f>IFERROR(IFERROR(IFERROR(VLOOKUP(B2223&amp;C2223&amp;Q2223,'New Weekly Paste'!A:M,10,0),VLOOKUP(B2223&amp;C2223&amp;Q2223,'New Weekly Paste'!B:O,6,0)),""),"")</f>
        <v>Shep</v>
      </c>
      <c r="J2223" s="259">
        <f>IFERROR(IFERROR(VLOOKUP(B2223&amp;C2223&amp;Q2223,'New Weekly Paste'!A:M,8,0),VLOOKUP(B2223&amp;C2223&amp;Q2223,'New Weekly Paste'!B:O,10,0)),0)</f>
        <v>133.98</v>
      </c>
      <c r="K2223" s="259">
        <f>IFERROR(IFERROR(VLOOKUP(B2223&amp;I2223&amp;Q2223,'New Weekly Paste'!A:M,8,0),VLOOKUP(B2223&amp;I2223&amp;Q2223,'New Weekly Paste'!B:O,10,0)),0)</f>
        <v>72.56</v>
      </c>
      <c r="L2223" s="239">
        <f t="shared" si="25"/>
        <v>1</v>
      </c>
      <c r="M2223" s="36" t="str">
        <f t="shared" si="3"/>
        <v>Regular Season</v>
      </c>
      <c r="N2223" s="239" t="str">
        <f t="shared" si="26"/>
        <v>Shep</v>
      </c>
      <c r="O2223" s="6">
        <f>VLOOKUP(D2223,'Mapped Opponent'!$G$4:$H$22,2,0)</f>
        <v>14</v>
      </c>
      <c r="P2223" s="6"/>
      <c r="Q2223" s="6" t="str">
        <f t="shared" si="4"/>
        <v>Week 14</v>
      </c>
      <c r="R2223" s="6" t="str">
        <f t="shared" si="5"/>
        <v>2022Week 14</v>
      </c>
      <c r="S2223" s="6">
        <f>IFERROR(__xludf.DUMMYFUNCTION("rank(J2223,FILTER(J:J,R:R=R2223))"),1.0)</f>
        <v>1</v>
      </c>
      <c r="T2223" s="6">
        <f t="shared" si="6"/>
        <v>11</v>
      </c>
      <c r="U2223" s="6">
        <f t="shared" si="7"/>
        <v>1</v>
      </c>
      <c r="V2223" s="42">
        <f>averageif(AllData!A:A,B2223,AllData!R:R)/vlookup(B2223,AllData!A:O,15,0)</f>
        <v>92.75369048</v>
      </c>
      <c r="W2223" s="6"/>
    </row>
    <row r="2224" ht="14.25" customHeight="1">
      <c r="A2224" s="6" t="str">
        <f t="shared" si="1"/>
        <v>2022Fellows14</v>
      </c>
      <c r="B2224" s="59">
        <v>2022.0</v>
      </c>
      <c r="C2224" s="13" t="s">
        <v>79</v>
      </c>
      <c r="D2224" s="13" t="s">
        <v>156</v>
      </c>
      <c r="E2224" s="34"/>
      <c r="F2224" s="6"/>
      <c r="H2224" s="6"/>
      <c r="I2224" s="35" t="str">
        <f>IFERROR(IFERROR(IFERROR(VLOOKUP(B2224&amp;C2224&amp;Q2224,'New Weekly Paste'!A:M,10,0),VLOOKUP(B2224&amp;C2224&amp;Q2224,'New Weekly Paste'!B:O,6,0)),""),"")</f>
        <v>Cock</v>
      </c>
      <c r="J2224" s="259">
        <f>IFERROR(IFERROR(VLOOKUP(B2224&amp;C2224&amp;Q2224,'New Weekly Paste'!A:M,8,0),VLOOKUP(B2224&amp;C2224&amp;Q2224,'New Weekly Paste'!B:O,10,0)),0)</f>
        <v>85.62</v>
      </c>
      <c r="K2224" s="259">
        <f>IFERROR(IFERROR(VLOOKUP(B2224&amp;I2224&amp;Q2224,'New Weekly Paste'!A:M,8,0),VLOOKUP(B2224&amp;I2224&amp;Q2224,'New Weekly Paste'!B:O,10,0)),0)</f>
        <v>76.92</v>
      </c>
      <c r="L2224" s="239">
        <f t="shared" si="25"/>
        <v>1</v>
      </c>
      <c r="M2224" s="36" t="str">
        <f t="shared" si="3"/>
        <v>Regular Season</v>
      </c>
      <c r="N2224" s="239" t="str">
        <f t="shared" si="26"/>
        <v>Cock</v>
      </c>
      <c r="O2224" s="6">
        <f>VLOOKUP(D2224,'Mapped Opponent'!$G$4:$H$22,2,0)</f>
        <v>14</v>
      </c>
      <c r="P2224" s="6"/>
      <c r="Q2224" s="6" t="str">
        <f t="shared" si="4"/>
        <v>Week 14</v>
      </c>
      <c r="R2224" s="6" t="str">
        <f t="shared" si="5"/>
        <v>2022Week 14</v>
      </c>
      <c r="S2224" s="6">
        <f>IFERROR(__xludf.DUMMYFUNCTION("rank(J2224,FILTER(J:J,R:R=R2224))"),5.0)</f>
        <v>5</v>
      </c>
      <c r="T2224" s="6">
        <f t="shared" si="6"/>
        <v>7</v>
      </c>
      <c r="U2224" s="6">
        <f t="shared" si="7"/>
        <v>5</v>
      </c>
      <c r="V2224" s="42">
        <f>averageif(AllData!A:A,B2224,AllData!R:R)/vlookup(B2224,AllData!A:O,15,0)</f>
        <v>92.75369048</v>
      </c>
      <c r="W2224" s="6"/>
    </row>
    <row r="2225" ht="14.25" customHeight="1">
      <c r="A2225" s="6" t="str">
        <f t="shared" si="1"/>
        <v>2022Shep14</v>
      </c>
      <c r="B2225" s="59">
        <v>2022.0</v>
      </c>
      <c r="C2225" s="13" t="s">
        <v>89</v>
      </c>
      <c r="D2225" s="13" t="s">
        <v>156</v>
      </c>
      <c r="E2225" s="34"/>
      <c r="F2225" s="6"/>
      <c r="H2225" s="6"/>
      <c r="I2225" s="35" t="str">
        <f>IFERROR(IFERROR(IFERROR(VLOOKUP(B2225&amp;C2225&amp;Q2225,'New Weekly Paste'!A:M,10,0),VLOOKUP(B2225&amp;C2225&amp;Q2225,'New Weekly Paste'!B:O,6,0)),""),"")</f>
        <v>Salty</v>
      </c>
      <c r="J2225" s="259">
        <f>IFERROR(IFERROR(VLOOKUP(B2225&amp;C2225&amp;Q2225,'New Weekly Paste'!A:M,8,0),VLOOKUP(B2225&amp;C2225&amp;Q2225,'New Weekly Paste'!B:O,10,0)),0)</f>
        <v>72.56</v>
      </c>
      <c r="K2225" s="259">
        <f>IFERROR(IFERROR(VLOOKUP(B2225&amp;I2225&amp;Q2225,'New Weekly Paste'!A:M,8,0),VLOOKUP(B2225&amp;I2225&amp;Q2225,'New Weekly Paste'!B:O,10,0)),0)</f>
        <v>133.98</v>
      </c>
      <c r="L2225" s="239">
        <f t="shared" si="25"/>
        <v>0</v>
      </c>
      <c r="M2225" s="36" t="str">
        <f t="shared" si="3"/>
        <v>Regular Season</v>
      </c>
      <c r="N2225" s="239" t="str">
        <f t="shared" si="26"/>
        <v>Salty</v>
      </c>
      <c r="O2225" s="6">
        <f>VLOOKUP(D2225,'Mapped Opponent'!$G$4:$H$22,2,0)</f>
        <v>14</v>
      </c>
      <c r="P2225" s="6"/>
      <c r="Q2225" s="6" t="str">
        <f t="shared" si="4"/>
        <v>Week 14</v>
      </c>
      <c r="R2225" s="6" t="str">
        <f t="shared" si="5"/>
        <v>2022Week 14</v>
      </c>
      <c r="S2225" s="6">
        <f>IFERROR(__xludf.DUMMYFUNCTION("rank(J2225,FILTER(J:J,R:R=R2225))"),9.0)</f>
        <v>9</v>
      </c>
      <c r="T2225" s="6">
        <f t="shared" si="6"/>
        <v>3</v>
      </c>
      <c r="U2225" s="6">
        <f t="shared" si="7"/>
        <v>9</v>
      </c>
      <c r="V2225" s="42">
        <f>averageif(AllData!A:A,B2225,AllData!R:R)/vlookup(B2225,AllData!A:O,15,0)</f>
        <v>92.75369048</v>
      </c>
      <c r="W2225" s="6"/>
    </row>
    <row r="2226" ht="14.25" customHeight="1">
      <c r="A2226" s="6" t="str">
        <f t="shared" si="1"/>
        <v>2022Riley14</v>
      </c>
      <c r="B2226" s="59">
        <v>2022.0</v>
      </c>
      <c r="C2226" s="13" t="s">
        <v>67</v>
      </c>
      <c r="D2226" s="13" t="s">
        <v>156</v>
      </c>
      <c r="E2226" s="34"/>
      <c r="F2226" s="6"/>
      <c r="H2226" s="6"/>
      <c r="I2226" s="35" t="str">
        <f>IFERROR(IFERROR(IFERROR(VLOOKUP(B2226&amp;C2226&amp;Q2226,'New Weekly Paste'!A:M,10,0),VLOOKUP(B2226&amp;C2226&amp;Q2226,'New Weekly Paste'!B:O,6,0)),""),"")</f>
        <v>Tayski</v>
      </c>
      <c r="J2226" s="259">
        <f>IFERROR(IFERROR(VLOOKUP(B2226&amp;C2226&amp;Q2226,'New Weekly Paste'!A:M,8,0),VLOOKUP(B2226&amp;C2226&amp;Q2226,'New Weekly Paste'!B:O,10,0)),0)</f>
        <v>88.5</v>
      </c>
      <c r="K2226" s="259">
        <f>IFERROR(IFERROR(VLOOKUP(B2226&amp;I2226&amp;Q2226,'New Weekly Paste'!A:M,8,0),VLOOKUP(B2226&amp;I2226&amp;Q2226,'New Weekly Paste'!B:O,10,0)),0)</f>
        <v>97.18</v>
      </c>
      <c r="L2226" s="239">
        <f t="shared" si="25"/>
        <v>0</v>
      </c>
      <c r="M2226" s="36" t="str">
        <f t="shared" si="3"/>
        <v>Regular Season</v>
      </c>
      <c r="N2226" s="239" t="str">
        <f t="shared" si="26"/>
        <v>Tayski</v>
      </c>
      <c r="O2226" s="6">
        <f>VLOOKUP(D2226,'Mapped Opponent'!$G$4:$H$22,2,0)</f>
        <v>14</v>
      </c>
      <c r="P2226" s="6"/>
      <c r="Q2226" s="6" t="str">
        <f t="shared" si="4"/>
        <v>Week 14</v>
      </c>
      <c r="R2226" s="6" t="str">
        <f t="shared" si="5"/>
        <v>2022Week 14</v>
      </c>
      <c r="S2226" s="6">
        <f>IFERROR(__xludf.DUMMYFUNCTION("rank(J2226,FILTER(J:J,R:R=R2226))"),4.0)</f>
        <v>4</v>
      </c>
      <c r="T2226" s="6">
        <f t="shared" si="6"/>
        <v>8</v>
      </c>
      <c r="U2226" s="6">
        <f t="shared" si="7"/>
        <v>4</v>
      </c>
      <c r="V2226" s="42">
        <f>averageif(AllData!A:A,B2226,AllData!R:R)/vlookup(B2226,AllData!A:O,15,0)</f>
        <v>92.75369048</v>
      </c>
      <c r="W2226" s="6"/>
    </row>
    <row r="2227" ht="14.25" customHeight="1">
      <c r="A2227" s="6" t="str">
        <f t="shared" si="1"/>
        <v>2022Rooney/Jackson14</v>
      </c>
      <c r="B2227" s="59">
        <v>2022.0</v>
      </c>
      <c r="C2227" s="13" t="s">
        <v>57</v>
      </c>
      <c r="D2227" s="13" t="s">
        <v>156</v>
      </c>
      <c r="E2227" s="34"/>
      <c r="F2227" s="6"/>
      <c r="H2227" s="6"/>
      <c r="I2227" s="35" t="str">
        <f>IFERROR(IFERROR(IFERROR(VLOOKUP(B2227&amp;C2227&amp;Q2227,'New Weekly Paste'!A:M,10,0),VLOOKUP(B2227&amp;C2227&amp;Q2227,'New Weekly Paste'!B:O,6,0)),""),"")</f>
        <v>Pierson</v>
      </c>
      <c r="J2227" s="259">
        <f>IFERROR(IFERROR(VLOOKUP(B2227&amp;C2227&amp;Q2227,'New Weekly Paste'!A:M,8,0),VLOOKUP(B2227&amp;C2227&amp;Q2227,'New Weekly Paste'!B:O,10,0)),0)</f>
        <v>71.06</v>
      </c>
      <c r="K2227" s="259">
        <f>IFERROR(IFERROR(VLOOKUP(B2227&amp;I2227&amp;Q2227,'New Weekly Paste'!A:M,8,0),VLOOKUP(B2227&amp;I2227&amp;Q2227,'New Weekly Paste'!B:O,10,0)),0)</f>
        <v>123.68</v>
      </c>
      <c r="L2227" s="239">
        <f t="shared" si="25"/>
        <v>0</v>
      </c>
      <c r="M2227" s="36" t="str">
        <f t="shared" si="3"/>
        <v>Regular Season</v>
      </c>
      <c r="N2227" s="239" t="str">
        <f t="shared" si="26"/>
        <v>Pierson</v>
      </c>
      <c r="O2227" s="6">
        <f>VLOOKUP(D2227,'Mapped Opponent'!$G$4:$H$22,2,0)</f>
        <v>14</v>
      </c>
      <c r="P2227" s="6"/>
      <c r="Q2227" s="6" t="str">
        <f t="shared" si="4"/>
        <v>Week 14</v>
      </c>
      <c r="R2227" s="6" t="str">
        <f t="shared" si="5"/>
        <v>2022Week 14</v>
      </c>
      <c r="S2227" s="6">
        <f>IFERROR(__xludf.DUMMYFUNCTION("rank(J2227,FILTER(J:J,R:R=R2227))"),10.0)</f>
        <v>10</v>
      </c>
      <c r="T2227" s="6">
        <f t="shared" si="6"/>
        <v>2</v>
      </c>
      <c r="U2227" s="6">
        <f t="shared" si="7"/>
        <v>10</v>
      </c>
      <c r="V2227" s="42">
        <f>averageif(AllData!A:A,B2227,AllData!R:R)/vlookup(B2227,AllData!A:O,15,0)</f>
        <v>92.75369048</v>
      </c>
      <c r="W2227" s="6"/>
    </row>
    <row r="2228" ht="14.25" customHeight="1">
      <c r="A2228" s="6" t="str">
        <f t="shared" si="1"/>
        <v>2022Buser14</v>
      </c>
      <c r="B2228" s="59">
        <v>2022.0</v>
      </c>
      <c r="C2228" s="13" t="s">
        <v>47</v>
      </c>
      <c r="D2228" s="13" t="s">
        <v>156</v>
      </c>
      <c r="E2228" s="34"/>
      <c r="F2228" s="6"/>
      <c r="H2228" s="6"/>
      <c r="I2228" s="35" t="str">
        <f>IFERROR(IFERROR(IFERROR(VLOOKUP(B2228&amp;C2228&amp;Q2228,'New Weekly Paste'!A:M,10,0),VLOOKUP(B2228&amp;C2228&amp;Q2228,'New Weekly Paste'!B:O,6,0)),""),"")</f>
        <v>KnardDawg</v>
      </c>
      <c r="J2228" s="259">
        <f>IFERROR(IFERROR(VLOOKUP(B2228&amp;C2228&amp;Q2228,'New Weekly Paste'!A:M,8,0),VLOOKUP(B2228&amp;C2228&amp;Q2228,'New Weekly Paste'!B:O,10,0)),0)</f>
        <v>64</v>
      </c>
      <c r="K2228" s="259">
        <f>IFERROR(IFERROR(VLOOKUP(B2228&amp;I2228&amp;Q2228,'New Weekly Paste'!A:M,8,0),VLOOKUP(B2228&amp;I2228&amp;Q2228,'New Weekly Paste'!B:O,10,0)),0)</f>
        <v>59.76</v>
      </c>
      <c r="L2228" s="239">
        <f t="shared" si="25"/>
        <v>1</v>
      </c>
      <c r="M2228" s="36" t="str">
        <f t="shared" si="3"/>
        <v>Regular Season</v>
      </c>
      <c r="N2228" s="239" t="str">
        <f t="shared" si="26"/>
        <v>KnardDawg</v>
      </c>
      <c r="O2228" s="6">
        <f>VLOOKUP(D2228,'Mapped Opponent'!$G$4:$H$22,2,0)</f>
        <v>14</v>
      </c>
      <c r="P2228" s="6"/>
      <c r="Q2228" s="6" t="str">
        <f t="shared" si="4"/>
        <v>Week 14</v>
      </c>
      <c r="R2228" s="6" t="str">
        <f t="shared" si="5"/>
        <v>2022Week 14</v>
      </c>
      <c r="S2228" s="6">
        <f>IFERROR(__xludf.DUMMYFUNCTION("rank(J2228,FILTER(J:J,R:R=R2228))"),11.0)</f>
        <v>11</v>
      </c>
      <c r="T2228" s="6">
        <f t="shared" si="6"/>
        <v>1</v>
      </c>
      <c r="U2228" s="6">
        <f t="shared" si="7"/>
        <v>11</v>
      </c>
      <c r="V2228" s="42">
        <f>averageif(AllData!A:A,B2228,AllData!R:R)/vlookup(B2228,AllData!A:O,15,0)</f>
        <v>92.75369048</v>
      </c>
      <c r="W2228" s="6"/>
    </row>
    <row r="2229" ht="14.25" customHeight="1">
      <c r="A2229" s="6" t="str">
        <f t="shared" si="1"/>
        <v>2022Pierson14</v>
      </c>
      <c r="B2229" s="59">
        <v>2022.0</v>
      </c>
      <c r="C2229" s="13" t="s">
        <v>92</v>
      </c>
      <c r="D2229" s="13" t="s">
        <v>156</v>
      </c>
      <c r="E2229" s="34"/>
      <c r="F2229" s="6"/>
      <c r="H2229" s="6"/>
      <c r="I2229" s="35" t="str">
        <f>IFERROR(IFERROR(IFERROR(VLOOKUP(B2229&amp;C2229&amp;Q2229,'New Weekly Paste'!A:M,10,0),VLOOKUP(B2229&amp;C2229&amp;Q2229,'New Weekly Paste'!B:O,6,0)),""),"")</f>
        <v>Rooney/Jackson</v>
      </c>
      <c r="J2229" s="259">
        <f>IFERROR(IFERROR(VLOOKUP(B2229&amp;C2229&amp;Q2229,'New Weekly Paste'!A:M,8,0),VLOOKUP(B2229&amp;C2229&amp;Q2229,'New Weekly Paste'!B:O,10,0)),0)</f>
        <v>123.68</v>
      </c>
      <c r="K2229" s="259">
        <f>IFERROR(IFERROR(VLOOKUP(B2229&amp;I2229&amp;Q2229,'New Weekly Paste'!A:M,8,0),VLOOKUP(B2229&amp;I2229&amp;Q2229,'New Weekly Paste'!B:O,10,0)),0)</f>
        <v>71.06</v>
      </c>
      <c r="L2229" s="239">
        <f t="shared" si="25"/>
        <v>1</v>
      </c>
      <c r="M2229" s="36" t="str">
        <f t="shared" si="3"/>
        <v>Regular Season</v>
      </c>
      <c r="N2229" s="239" t="str">
        <f t="shared" si="26"/>
        <v>Rooney/Jackson</v>
      </c>
      <c r="O2229" s="6">
        <f>VLOOKUP(D2229,'Mapped Opponent'!$G$4:$H$22,2,0)</f>
        <v>14</v>
      </c>
      <c r="P2229" s="6"/>
      <c r="Q2229" s="6" t="str">
        <f t="shared" si="4"/>
        <v>Week 14</v>
      </c>
      <c r="R2229" s="6" t="str">
        <f t="shared" si="5"/>
        <v>2022Week 14</v>
      </c>
      <c r="S2229" s="6">
        <f>IFERROR(__xludf.DUMMYFUNCTION("rank(J2229,FILTER(J:J,R:R=R2229))"),2.0)</f>
        <v>2</v>
      </c>
      <c r="T2229" s="6">
        <f t="shared" si="6"/>
        <v>10</v>
      </c>
      <c r="U2229" s="6">
        <f t="shared" si="7"/>
        <v>2</v>
      </c>
      <c r="V2229" s="42">
        <f>averageif(AllData!A:A,B2229,AllData!R:R)/vlookup(B2229,AllData!A:O,15,0)</f>
        <v>92.75369048</v>
      </c>
      <c r="W2229" s="6"/>
    </row>
    <row r="2230" ht="14.25" customHeight="1">
      <c r="A2230" s="6" t="str">
        <f t="shared" si="1"/>
        <v>2022Cock14</v>
      </c>
      <c r="B2230" s="59">
        <v>2022.0</v>
      </c>
      <c r="C2230" s="13" t="s">
        <v>72</v>
      </c>
      <c r="D2230" s="13" t="s">
        <v>156</v>
      </c>
      <c r="E2230" s="34"/>
      <c r="F2230" s="6"/>
      <c r="H2230" s="6"/>
      <c r="I2230" s="35" t="str">
        <f>IFERROR(IFERROR(IFERROR(VLOOKUP(B2230&amp;C2230&amp;Q2230,'New Weekly Paste'!A:M,10,0),VLOOKUP(B2230&amp;C2230&amp;Q2230,'New Weekly Paste'!B:O,6,0)),""),"")</f>
        <v>Fellows</v>
      </c>
      <c r="J2230" s="259">
        <f>IFERROR(IFERROR(VLOOKUP(B2230&amp;C2230&amp;Q2230,'New Weekly Paste'!A:M,8,0),VLOOKUP(B2230&amp;C2230&amp;Q2230,'New Weekly Paste'!B:O,10,0)),0)</f>
        <v>76.92</v>
      </c>
      <c r="K2230" s="259">
        <f>IFERROR(IFERROR(VLOOKUP(B2230&amp;I2230&amp;Q2230,'New Weekly Paste'!A:M,8,0),VLOOKUP(B2230&amp;I2230&amp;Q2230,'New Weekly Paste'!B:O,10,0)),0)</f>
        <v>85.62</v>
      </c>
      <c r="L2230" s="239">
        <f t="shared" si="25"/>
        <v>0</v>
      </c>
      <c r="M2230" s="36" t="str">
        <f t="shared" si="3"/>
        <v>Regular Season</v>
      </c>
      <c r="N2230" s="239" t="str">
        <f t="shared" si="26"/>
        <v>Fellows</v>
      </c>
      <c r="O2230" s="6">
        <f>VLOOKUP(D2230,'Mapped Opponent'!$G$4:$H$22,2,0)</f>
        <v>14</v>
      </c>
      <c r="P2230" s="6"/>
      <c r="Q2230" s="6" t="str">
        <f t="shared" si="4"/>
        <v>Week 14</v>
      </c>
      <c r="R2230" s="6" t="str">
        <f t="shared" si="5"/>
        <v>2022Week 14</v>
      </c>
      <c r="S2230" s="6">
        <f>IFERROR(__xludf.DUMMYFUNCTION("rank(J2230,FILTER(J:J,R:R=R2230))"),7.0)</f>
        <v>7</v>
      </c>
      <c r="T2230" s="6">
        <f t="shared" si="6"/>
        <v>5</v>
      </c>
      <c r="U2230" s="6">
        <f t="shared" si="7"/>
        <v>7</v>
      </c>
      <c r="V2230" s="42">
        <f>averageif(AllData!A:A,B2230,AllData!R:R)/vlookup(B2230,AllData!A:O,15,0)</f>
        <v>92.75369048</v>
      </c>
      <c r="W2230" s="6"/>
    </row>
    <row r="2231" ht="14.25" customHeight="1">
      <c r="A2231" s="6" t="str">
        <f t="shared" si="1"/>
        <v>2022Tayski14</v>
      </c>
      <c r="B2231" s="59">
        <v>2022.0</v>
      </c>
      <c r="C2231" s="13" t="s">
        <v>52</v>
      </c>
      <c r="D2231" s="13" t="s">
        <v>156</v>
      </c>
      <c r="E2231" s="34"/>
      <c r="F2231" s="6"/>
      <c r="H2231" s="6"/>
      <c r="I2231" s="35" t="str">
        <f>IFERROR(IFERROR(IFERROR(VLOOKUP(B2231&amp;C2231&amp;Q2231,'New Weekly Paste'!A:M,10,0),VLOOKUP(B2231&amp;C2231&amp;Q2231,'New Weekly Paste'!B:O,6,0)),""),"")</f>
        <v>Riley</v>
      </c>
      <c r="J2231" s="259">
        <f>IFERROR(IFERROR(VLOOKUP(B2231&amp;C2231&amp;Q2231,'New Weekly Paste'!A:M,8,0),VLOOKUP(B2231&amp;C2231&amp;Q2231,'New Weekly Paste'!B:O,10,0)),0)</f>
        <v>97.18</v>
      </c>
      <c r="K2231" s="259">
        <f>IFERROR(IFERROR(VLOOKUP(B2231&amp;I2231&amp;Q2231,'New Weekly Paste'!A:M,8,0),VLOOKUP(B2231&amp;I2231&amp;Q2231,'New Weekly Paste'!B:O,10,0)),0)</f>
        <v>88.5</v>
      </c>
      <c r="L2231" s="239">
        <f t="shared" si="25"/>
        <v>1</v>
      </c>
      <c r="M2231" s="36" t="str">
        <f t="shared" si="3"/>
        <v>Regular Season</v>
      </c>
      <c r="N2231" s="239" t="str">
        <f t="shared" si="26"/>
        <v>Riley</v>
      </c>
      <c r="O2231" s="6">
        <f>VLOOKUP(D2231,'Mapped Opponent'!$G$4:$H$22,2,0)</f>
        <v>14</v>
      </c>
      <c r="P2231" s="6"/>
      <c r="Q2231" s="6" t="str">
        <f t="shared" si="4"/>
        <v>Week 14</v>
      </c>
      <c r="R2231" s="6" t="str">
        <f t="shared" si="5"/>
        <v>2022Week 14</v>
      </c>
      <c r="S2231" s="6">
        <f>IFERROR(__xludf.DUMMYFUNCTION("rank(J2231,FILTER(J:J,R:R=R2231))"),3.0)</f>
        <v>3</v>
      </c>
      <c r="T2231" s="6">
        <f t="shared" si="6"/>
        <v>9</v>
      </c>
      <c r="U2231" s="6">
        <f t="shared" si="7"/>
        <v>3</v>
      </c>
      <c r="V2231" s="42">
        <f>averageif(AllData!A:A,B2231,AllData!R:R)/vlookup(B2231,AllData!A:O,15,0)</f>
        <v>92.75369048</v>
      </c>
      <c r="W2231" s="6"/>
    </row>
    <row r="2232" ht="14.25" customHeight="1">
      <c r="A2232" s="6" t="str">
        <f t="shared" si="1"/>
        <v>2022KnardDawg14</v>
      </c>
      <c r="B2232" s="59">
        <v>2022.0</v>
      </c>
      <c r="C2232" s="13" t="s">
        <v>86</v>
      </c>
      <c r="D2232" s="13" t="s">
        <v>156</v>
      </c>
      <c r="E2232" s="34"/>
      <c r="F2232" s="6"/>
      <c r="H2232" s="6"/>
      <c r="I2232" s="35" t="str">
        <f>IFERROR(IFERROR(IFERROR(VLOOKUP(B2232&amp;C2232&amp;Q2232,'New Weekly Paste'!A:M,10,0),VLOOKUP(B2232&amp;C2232&amp;Q2232,'New Weekly Paste'!B:O,6,0)),""),"")</f>
        <v>Buser</v>
      </c>
      <c r="J2232" s="259">
        <f>IFERROR(IFERROR(VLOOKUP(B2232&amp;C2232&amp;Q2232,'New Weekly Paste'!A:M,8,0),VLOOKUP(B2232&amp;C2232&amp;Q2232,'New Weekly Paste'!B:O,10,0)),0)</f>
        <v>59.76</v>
      </c>
      <c r="K2232" s="259">
        <f>IFERROR(IFERROR(VLOOKUP(B2232&amp;I2232&amp;Q2232,'New Weekly Paste'!A:M,8,0),VLOOKUP(B2232&amp;I2232&amp;Q2232,'New Weekly Paste'!B:O,10,0)),0)</f>
        <v>64</v>
      </c>
      <c r="L2232" s="239">
        <f t="shared" si="25"/>
        <v>0</v>
      </c>
      <c r="M2232" s="36" t="str">
        <f t="shared" si="3"/>
        <v>Regular Season</v>
      </c>
      <c r="N2232" s="239" t="str">
        <f t="shared" si="26"/>
        <v>Buser</v>
      </c>
      <c r="O2232" s="6">
        <f>VLOOKUP(D2232,'Mapped Opponent'!$G$4:$H$22,2,0)</f>
        <v>14</v>
      </c>
      <c r="P2232" s="6"/>
      <c r="Q2232" s="6" t="str">
        <f t="shared" si="4"/>
        <v>Week 14</v>
      </c>
      <c r="R2232" s="6" t="str">
        <f t="shared" si="5"/>
        <v>2022Week 14</v>
      </c>
      <c r="S2232" s="6">
        <f>IFERROR(__xludf.DUMMYFUNCTION("rank(J2232,FILTER(J:J,R:R=R2232))"),12.0)</f>
        <v>12</v>
      </c>
      <c r="T2232" s="6">
        <f t="shared" si="6"/>
        <v>0</v>
      </c>
      <c r="U2232" s="6">
        <f t="shared" si="7"/>
        <v>12</v>
      </c>
      <c r="V2232" s="42">
        <f>averageif(AllData!A:A,B2232,AllData!R:R)/vlookup(B2232,AllData!A:O,15,0)</f>
        <v>92.75369048</v>
      </c>
      <c r="W2232" s="6"/>
    </row>
    <row r="2233" ht="14.25" customHeight="1">
      <c r="A2233" s="6" t="str">
        <f>B2233&amp;C2233&amp;$O$2329</f>
        <v>2022T-How9</v>
      </c>
      <c r="B2233" s="59">
        <v>2022.0</v>
      </c>
      <c r="C2233" s="13" t="s">
        <v>82</v>
      </c>
      <c r="D2233" s="13" t="s">
        <v>156</v>
      </c>
      <c r="E2233" s="34"/>
      <c r="F2233" s="6"/>
      <c r="H2233" s="6"/>
      <c r="I2233" s="35" t="str">
        <f>IFERROR(IFERROR(IFERROR(VLOOKUP(B2233&amp;C2233&amp;Q2233,'New Weekly Paste'!A:M,10,0),VLOOKUP(B2233&amp;C2233&amp;Q2233,'New Weekly Paste'!B:O,6,0)),""),"")</f>
        <v>Hudspeath</v>
      </c>
      <c r="J2233" s="259">
        <f>IFERROR(IFERROR(VLOOKUP(B2233&amp;C2233&amp;Q2233,'New Weekly Paste'!A:M,8,0),VLOOKUP(B2233&amp;C2233&amp;Q2233,'New Weekly Paste'!B:O,10,0)),0)</f>
        <v>74.1</v>
      </c>
      <c r="K2233" s="259">
        <f>IFERROR(IFERROR(VLOOKUP(B2233&amp;I2233&amp;Q2233,'New Weekly Paste'!A:M,8,0),VLOOKUP(B2233&amp;I2233&amp;Q2233,'New Weekly Paste'!B:O,10,0)),0)</f>
        <v>78.86</v>
      </c>
      <c r="L2233" s="239">
        <f t="shared" si="25"/>
        <v>0</v>
      </c>
      <c r="M2233" s="36" t="str">
        <f t="shared" si="3"/>
        <v>Regular Season</v>
      </c>
      <c r="N2233" s="239" t="str">
        <f t="shared" si="26"/>
        <v>Hudspeath</v>
      </c>
      <c r="O2233" s="6">
        <f>VLOOKUP(D2233,'Mapped Opponent'!$G$4:$H$22,2,0)</f>
        <v>14</v>
      </c>
      <c r="P2233" s="6"/>
      <c r="Q2233" s="6" t="str">
        <f t="shared" si="4"/>
        <v>Week 14</v>
      </c>
      <c r="R2233" s="6" t="str">
        <f t="shared" si="5"/>
        <v>2022Week 14</v>
      </c>
      <c r="S2233" s="6">
        <f>IFERROR(__xludf.DUMMYFUNCTION("rank(J2233,FILTER(J:J,R:R=R2233))"),8.0)</f>
        <v>8</v>
      </c>
      <c r="T2233" s="6">
        <f t="shared" si="6"/>
        <v>4</v>
      </c>
      <c r="U2233" s="6">
        <f t="shared" si="7"/>
        <v>8</v>
      </c>
      <c r="V2233" s="42">
        <f>averageif(AllData!A:A,B2233,AllData!R:R)/vlookup(B2233,AllData!A:O,15,0)</f>
        <v>92.75369048</v>
      </c>
      <c r="W2233" s="6"/>
    </row>
    <row r="2234" ht="14.25" customHeight="1">
      <c r="A2234" s="6" t="str">
        <f t="shared" ref="A2234:A2329" si="27">B2234&amp;C2234&amp;O2234</f>
        <v>2022Hudspeath2</v>
      </c>
      <c r="B2234" s="59">
        <v>2022.0</v>
      </c>
      <c r="C2234" s="13" t="s">
        <v>39</v>
      </c>
      <c r="D2234" s="13" t="s">
        <v>131</v>
      </c>
      <c r="E2234" s="34"/>
      <c r="F2234" s="6"/>
      <c r="H2234" s="6"/>
      <c r="I2234" s="35" t="str">
        <f>IFERROR(IFERROR(IFERROR(VLOOKUP(B2234&amp;C2234&amp;Q2234,'New Weekly Paste'!A:M,10,0),VLOOKUP(B2234&amp;C2234&amp;Q2234,'New Weekly Paste'!B:O,6,0)),""),"")</f>
        <v>Rooney/Jackson</v>
      </c>
      <c r="J2234" s="259">
        <f>IFERROR(IFERROR(VLOOKUP(B2234&amp;C2234&amp;Q2234,'New Weekly Paste'!A:M,8,0),VLOOKUP(B2234&amp;C2234&amp;Q2234,'New Weekly Paste'!B:O,10,0)),0)</f>
        <v>113.26</v>
      </c>
      <c r="K2234" s="259">
        <f>IFERROR(IFERROR(VLOOKUP(B2234&amp;I2234&amp;Q2234,'New Weekly Paste'!A:M,8,0),VLOOKUP(B2234&amp;I2234&amp;Q2234,'New Weekly Paste'!B:O,10,0)),0)</f>
        <v>115.08</v>
      </c>
      <c r="L2234" s="239">
        <f t="shared" si="25"/>
        <v>0</v>
      </c>
      <c r="M2234" s="36" t="str">
        <f t="shared" si="3"/>
        <v>Regular Season</v>
      </c>
      <c r="N2234" s="239" t="str">
        <f t="shared" si="26"/>
        <v>Rooney/Jackson</v>
      </c>
      <c r="O2234" s="6">
        <f>VLOOKUP(D2234,'Mapped Opponent'!$G$4:$H$22,2,0)</f>
        <v>2</v>
      </c>
      <c r="P2234" s="6"/>
      <c r="Q2234" s="6" t="str">
        <f t="shared" si="4"/>
        <v>Week 2</v>
      </c>
      <c r="R2234" s="6" t="str">
        <f t="shared" si="5"/>
        <v>2022Week 2</v>
      </c>
      <c r="S2234" s="6">
        <f>IFERROR(__xludf.DUMMYFUNCTION("rank(J2234,FILTER(J:J,R:R=R2234))"),4.0)</f>
        <v>4</v>
      </c>
      <c r="T2234" s="6">
        <f t="shared" si="6"/>
        <v>8</v>
      </c>
      <c r="U2234" s="6">
        <f t="shared" si="7"/>
        <v>4</v>
      </c>
      <c r="V2234" s="42">
        <f>averageif(AllData!A:A,B2234,AllData!R:R)/vlookup(B2234,AllData!A:O,15,0)</f>
        <v>92.75369048</v>
      </c>
      <c r="W2234" s="6"/>
    </row>
    <row r="2235" ht="14.25" customHeight="1">
      <c r="A2235" s="6" t="str">
        <f t="shared" si="27"/>
        <v>2022Salty2</v>
      </c>
      <c r="B2235" s="59">
        <v>2022.0</v>
      </c>
      <c r="C2235" s="13" t="s">
        <v>76</v>
      </c>
      <c r="D2235" s="13" t="s">
        <v>131</v>
      </c>
      <c r="E2235" s="34"/>
      <c r="F2235" s="6"/>
      <c r="H2235" s="6"/>
      <c r="I2235" s="35" t="str">
        <f>IFERROR(IFERROR(IFERROR(VLOOKUP(B2235&amp;C2235&amp;Q2235,'New Weekly Paste'!A:M,10,0),VLOOKUP(B2235&amp;C2235&amp;Q2235,'New Weekly Paste'!B:O,6,0)),""),"")</f>
        <v>Riley</v>
      </c>
      <c r="J2235" s="259">
        <f>IFERROR(IFERROR(VLOOKUP(B2235&amp;C2235&amp;Q2235,'New Weekly Paste'!A:M,8,0),VLOOKUP(B2235&amp;C2235&amp;Q2235,'New Weekly Paste'!B:O,10,0)),0)</f>
        <v>119.92</v>
      </c>
      <c r="K2235" s="259">
        <f>IFERROR(IFERROR(VLOOKUP(B2235&amp;I2235&amp;Q2235,'New Weekly Paste'!A:M,8,0),VLOOKUP(B2235&amp;I2235&amp;Q2235,'New Weekly Paste'!B:O,10,0)),0)</f>
        <v>140.82</v>
      </c>
      <c r="L2235" s="239">
        <f t="shared" si="25"/>
        <v>0</v>
      </c>
      <c r="M2235" s="36" t="str">
        <f t="shared" si="3"/>
        <v>Regular Season</v>
      </c>
      <c r="N2235" s="239" t="str">
        <f t="shared" si="26"/>
        <v>Riley</v>
      </c>
      <c r="O2235" s="6">
        <f>VLOOKUP(D2235,'Mapped Opponent'!$G$4:$H$22,2,0)</f>
        <v>2</v>
      </c>
      <c r="P2235" s="6"/>
      <c r="Q2235" s="6" t="str">
        <f t="shared" si="4"/>
        <v>Week 2</v>
      </c>
      <c r="R2235" s="6" t="str">
        <f t="shared" si="5"/>
        <v>2022Week 2</v>
      </c>
      <c r="S2235" s="6">
        <f>IFERROR(__xludf.DUMMYFUNCTION("rank(J2235,FILTER(J:J,R:R=R2235))"),2.0)</f>
        <v>2</v>
      </c>
      <c r="T2235" s="6">
        <f t="shared" si="6"/>
        <v>10</v>
      </c>
      <c r="U2235" s="6">
        <f t="shared" si="7"/>
        <v>2</v>
      </c>
      <c r="V2235" s="42">
        <f>averageif(AllData!A:A,B2235,AllData!R:R)/vlookup(B2235,AllData!A:O,15,0)</f>
        <v>92.75369048</v>
      </c>
      <c r="W2235" s="6"/>
    </row>
    <row r="2236" ht="14.25" customHeight="1">
      <c r="A2236" s="6" t="str">
        <f t="shared" si="27"/>
        <v>2022Fellows2</v>
      </c>
      <c r="B2236" s="59">
        <v>2022.0</v>
      </c>
      <c r="C2236" s="13" t="s">
        <v>79</v>
      </c>
      <c r="D2236" s="13" t="s">
        <v>131</v>
      </c>
      <c r="E2236" s="34"/>
      <c r="F2236" s="6"/>
      <c r="H2236" s="6"/>
      <c r="I2236" s="35" t="str">
        <f>IFERROR(IFERROR(IFERROR(VLOOKUP(B2236&amp;C2236&amp;Q2236,'New Weekly Paste'!A:M,10,0),VLOOKUP(B2236&amp;C2236&amp;Q2236,'New Weekly Paste'!B:O,6,0)),""),"")</f>
        <v>Shep</v>
      </c>
      <c r="J2236" s="259">
        <f>IFERROR(IFERROR(VLOOKUP(B2236&amp;C2236&amp;Q2236,'New Weekly Paste'!A:M,8,0),VLOOKUP(B2236&amp;C2236&amp;Q2236,'New Weekly Paste'!B:O,10,0)),0)</f>
        <v>58.1</v>
      </c>
      <c r="K2236" s="259">
        <f>IFERROR(IFERROR(VLOOKUP(B2236&amp;I2236&amp;Q2236,'New Weekly Paste'!A:M,8,0),VLOOKUP(B2236&amp;I2236&amp;Q2236,'New Weekly Paste'!B:O,10,0)),0)</f>
        <v>67.36</v>
      </c>
      <c r="L2236" s="239">
        <f t="shared" si="25"/>
        <v>0</v>
      </c>
      <c r="M2236" s="36" t="str">
        <f t="shared" si="3"/>
        <v>Regular Season</v>
      </c>
      <c r="N2236" s="239" t="str">
        <f t="shared" si="26"/>
        <v>Shep</v>
      </c>
      <c r="O2236" s="6">
        <f>VLOOKUP(D2236,'Mapped Opponent'!$G$4:$H$22,2,0)</f>
        <v>2</v>
      </c>
      <c r="P2236" s="6"/>
      <c r="Q2236" s="6" t="str">
        <f t="shared" si="4"/>
        <v>Week 2</v>
      </c>
      <c r="R2236" s="6" t="str">
        <f t="shared" si="5"/>
        <v>2022Week 2</v>
      </c>
      <c r="S2236" s="6">
        <f>IFERROR(__xludf.DUMMYFUNCTION("rank(J2236,FILTER(J:J,R:R=R2236))"),12.0)</f>
        <v>12</v>
      </c>
      <c r="T2236" s="6">
        <f t="shared" si="6"/>
        <v>0</v>
      </c>
      <c r="U2236" s="6">
        <f t="shared" si="7"/>
        <v>12</v>
      </c>
      <c r="V2236" s="42">
        <f>averageif(AllData!A:A,B2236,AllData!R:R)/vlookup(B2236,AllData!A:O,15,0)</f>
        <v>92.75369048</v>
      </c>
      <c r="W2236" s="6"/>
    </row>
    <row r="2237" ht="14.25" customHeight="1">
      <c r="A2237" s="6" t="str">
        <f t="shared" si="27"/>
        <v>2022Shep2</v>
      </c>
      <c r="B2237" s="59">
        <v>2022.0</v>
      </c>
      <c r="C2237" s="13" t="s">
        <v>89</v>
      </c>
      <c r="D2237" s="13" t="s">
        <v>131</v>
      </c>
      <c r="E2237" s="34"/>
      <c r="F2237" s="6"/>
      <c r="H2237" s="6"/>
      <c r="I2237" s="35" t="str">
        <f>IFERROR(IFERROR(IFERROR(VLOOKUP(B2237&amp;C2237&amp;Q2237,'New Weekly Paste'!A:M,10,0),VLOOKUP(B2237&amp;C2237&amp;Q2237,'New Weekly Paste'!B:O,6,0)),""),"")</f>
        <v>Fellows</v>
      </c>
      <c r="J2237" s="259">
        <f>IFERROR(IFERROR(VLOOKUP(B2237&amp;C2237&amp;Q2237,'New Weekly Paste'!A:M,8,0),VLOOKUP(B2237&amp;C2237&amp;Q2237,'New Weekly Paste'!B:O,10,0)),0)</f>
        <v>67.36</v>
      </c>
      <c r="K2237" s="259">
        <f>IFERROR(IFERROR(VLOOKUP(B2237&amp;I2237&amp;Q2237,'New Weekly Paste'!A:M,8,0),VLOOKUP(B2237&amp;I2237&amp;Q2237,'New Weekly Paste'!B:O,10,0)),0)</f>
        <v>58.1</v>
      </c>
      <c r="L2237" s="239">
        <f t="shared" si="25"/>
        <v>1</v>
      </c>
      <c r="M2237" s="36" t="str">
        <f t="shared" si="3"/>
        <v>Regular Season</v>
      </c>
      <c r="N2237" s="239" t="str">
        <f t="shared" si="26"/>
        <v>Fellows</v>
      </c>
      <c r="O2237" s="6">
        <f>VLOOKUP(D2237,'Mapped Opponent'!$G$4:$H$22,2,0)</f>
        <v>2</v>
      </c>
      <c r="P2237" s="6"/>
      <c r="Q2237" s="6" t="str">
        <f t="shared" si="4"/>
        <v>Week 2</v>
      </c>
      <c r="R2237" s="6" t="str">
        <f t="shared" si="5"/>
        <v>2022Week 2</v>
      </c>
      <c r="S2237" s="6">
        <f>IFERROR(__xludf.DUMMYFUNCTION("rank(J2237,FILTER(J:J,R:R=R2237))"),11.0)</f>
        <v>11</v>
      </c>
      <c r="T2237" s="6">
        <f t="shared" si="6"/>
        <v>1</v>
      </c>
      <c r="U2237" s="6">
        <f t="shared" si="7"/>
        <v>11</v>
      </c>
      <c r="V2237" s="42">
        <f>averageif(AllData!A:A,B2237,AllData!R:R)/vlookup(B2237,AllData!A:O,15,0)</f>
        <v>92.75369048</v>
      </c>
      <c r="W2237" s="6"/>
    </row>
    <row r="2238" ht="14.25" customHeight="1">
      <c r="A2238" s="6" t="str">
        <f t="shared" si="27"/>
        <v>2022Riley2</v>
      </c>
      <c r="B2238" s="59">
        <v>2022.0</v>
      </c>
      <c r="C2238" s="13" t="s">
        <v>67</v>
      </c>
      <c r="D2238" s="13" t="s">
        <v>131</v>
      </c>
      <c r="E2238" s="34"/>
      <c r="F2238" s="6"/>
      <c r="H2238" s="6"/>
      <c r="I2238" s="35" t="str">
        <f>IFERROR(IFERROR(IFERROR(VLOOKUP(B2238&amp;C2238&amp;Q2238,'New Weekly Paste'!A:M,10,0),VLOOKUP(B2238&amp;C2238&amp;Q2238,'New Weekly Paste'!B:O,6,0)),""),"")</f>
        <v>Salty</v>
      </c>
      <c r="J2238" s="259">
        <f>IFERROR(IFERROR(VLOOKUP(B2238&amp;C2238&amp;Q2238,'New Weekly Paste'!A:M,8,0),VLOOKUP(B2238&amp;C2238&amp;Q2238,'New Weekly Paste'!B:O,10,0)),0)</f>
        <v>140.82</v>
      </c>
      <c r="K2238" s="259">
        <f>IFERROR(IFERROR(VLOOKUP(B2238&amp;I2238&amp;Q2238,'New Weekly Paste'!A:M,8,0),VLOOKUP(B2238&amp;I2238&amp;Q2238,'New Weekly Paste'!B:O,10,0)),0)</f>
        <v>119.92</v>
      </c>
      <c r="L2238" s="239">
        <f t="shared" si="25"/>
        <v>1</v>
      </c>
      <c r="M2238" s="36" t="str">
        <f t="shared" si="3"/>
        <v>Regular Season</v>
      </c>
      <c r="N2238" s="239" t="str">
        <f t="shared" si="26"/>
        <v>Salty</v>
      </c>
      <c r="O2238" s="6">
        <f>VLOOKUP(D2238,'Mapped Opponent'!$G$4:$H$22,2,0)</f>
        <v>2</v>
      </c>
      <c r="P2238" s="6"/>
      <c r="Q2238" s="6" t="str">
        <f t="shared" si="4"/>
        <v>Week 2</v>
      </c>
      <c r="R2238" s="6" t="str">
        <f t="shared" si="5"/>
        <v>2022Week 2</v>
      </c>
      <c r="S2238" s="6">
        <f>IFERROR(__xludf.DUMMYFUNCTION("rank(J2238,FILTER(J:J,R:R=R2238))"),1.0)</f>
        <v>1</v>
      </c>
      <c r="T2238" s="6">
        <f t="shared" si="6"/>
        <v>11</v>
      </c>
      <c r="U2238" s="6">
        <f t="shared" si="7"/>
        <v>1</v>
      </c>
      <c r="V2238" s="42">
        <f>averageif(AllData!A:A,B2238,AllData!R:R)/vlookup(B2238,AllData!A:O,15,0)</f>
        <v>92.75369048</v>
      </c>
      <c r="W2238" s="6"/>
    </row>
    <row r="2239" ht="14.25" customHeight="1">
      <c r="A2239" s="6" t="str">
        <f t="shared" si="27"/>
        <v>2022Rooney/Jackson2</v>
      </c>
      <c r="B2239" s="59">
        <v>2022.0</v>
      </c>
      <c r="C2239" s="13" t="s">
        <v>57</v>
      </c>
      <c r="D2239" s="13" t="s">
        <v>131</v>
      </c>
      <c r="E2239" s="34"/>
      <c r="F2239" s="6"/>
      <c r="H2239" s="6"/>
      <c r="I2239" s="35" t="str">
        <f>IFERROR(IFERROR(IFERROR(VLOOKUP(B2239&amp;C2239&amp;Q2239,'New Weekly Paste'!A:M,10,0),VLOOKUP(B2239&amp;C2239&amp;Q2239,'New Weekly Paste'!B:O,6,0)),""),"")</f>
        <v>Hudspeath</v>
      </c>
      <c r="J2239" s="259">
        <f>IFERROR(IFERROR(VLOOKUP(B2239&amp;C2239&amp;Q2239,'New Weekly Paste'!A:M,8,0),VLOOKUP(B2239&amp;C2239&amp;Q2239,'New Weekly Paste'!B:O,10,0)),0)</f>
        <v>115.08</v>
      </c>
      <c r="K2239" s="259">
        <f>IFERROR(IFERROR(VLOOKUP(B2239&amp;I2239&amp;Q2239,'New Weekly Paste'!A:M,8,0),VLOOKUP(B2239&amp;I2239&amp;Q2239,'New Weekly Paste'!B:O,10,0)),0)</f>
        <v>113.26</v>
      </c>
      <c r="L2239" s="239">
        <f t="shared" si="25"/>
        <v>1</v>
      </c>
      <c r="M2239" s="36" t="str">
        <f t="shared" si="3"/>
        <v>Regular Season</v>
      </c>
      <c r="N2239" s="239" t="str">
        <f t="shared" si="26"/>
        <v>Hudspeath</v>
      </c>
      <c r="O2239" s="6">
        <f>VLOOKUP(D2239,'Mapped Opponent'!$G$4:$H$22,2,0)</f>
        <v>2</v>
      </c>
      <c r="P2239" s="6"/>
      <c r="Q2239" s="6" t="str">
        <f t="shared" si="4"/>
        <v>Week 2</v>
      </c>
      <c r="R2239" s="6" t="str">
        <f t="shared" si="5"/>
        <v>2022Week 2</v>
      </c>
      <c r="S2239" s="6">
        <f>IFERROR(__xludf.DUMMYFUNCTION("rank(J2239,FILTER(J:J,R:R=R2239))"),3.0)</f>
        <v>3</v>
      </c>
      <c r="T2239" s="6">
        <f t="shared" si="6"/>
        <v>9</v>
      </c>
      <c r="U2239" s="6">
        <f t="shared" si="7"/>
        <v>3</v>
      </c>
      <c r="V2239" s="42">
        <f>averageif(AllData!A:A,B2239,AllData!R:R)/vlookup(B2239,AllData!A:O,15,0)</f>
        <v>92.75369048</v>
      </c>
      <c r="W2239" s="6"/>
    </row>
    <row r="2240" ht="14.25" customHeight="1">
      <c r="A2240" s="6" t="str">
        <f t="shared" si="27"/>
        <v>2022Buser2</v>
      </c>
      <c r="B2240" s="59">
        <v>2022.0</v>
      </c>
      <c r="C2240" s="13" t="s">
        <v>47</v>
      </c>
      <c r="D2240" s="13" t="s">
        <v>131</v>
      </c>
      <c r="E2240" s="34"/>
      <c r="F2240" s="6"/>
      <c r="H2240" s="6"/>
      <c r="I2240" s="35" t="str">
        <f>IFERROR(IFERROR(IFERROR(VLOOKUP(B2240&amp;C2240&amp;Q2240,'New Weekly Paste'!A:M,10,0),VLOOKUP(B2240&amp;C2240&amp;Q2240,'New Weekly Paste'!B:O,6,0)),""),"")</f>
        <v>Cock</v>
      </c>
      <c r="J2240" s="259">
        <f>IFERROR(IFERROR(VLOOKUP(B2240&amp;C2240&amp;Q2240,'New Weekly Paste'!A:M,8,0),VLOOKUP(B2240&amp;C2240&amp;Q2240,'New Weekly Paste'!B:O,10,0)),0)</f>
        <v>95.46</v>
      </c>
      <c r="K2240" s="259">
        <f>IFERROR(IFERROR(VLOOKUP(B2240&amp;I2240&amp;Q2240,'New Weekly Paste'!A:M,8,0),VLOOKUP(B2240&amp;I2240&amp;Q2240,'New Weekly Paste'!B:O,10,0)),0)</f>
        <v>92.48</v>
      </c>
      <c r="L2240" s="239">
        <f t="shared" si="25"/>
        <v>1</v>
      </c>
      <c r="M2240" s="36" t="str">
        <f t="shared" si="3"/>
        <v>Regular Season</v>
      </c>
      <c r="N2240" s="239" t="str">
        <f t="shared" si="26"/>
        <v>Cock</v>
      </c>
      <c r="O2240" s="6">
        <f>VLOOKUP(D2240,'Mapped Opponent'!$G$4:$H$22,2,0)</f>
        <v>2</v>
      </c>
      <c r="P2240" s="6"/>
      <c r="Q2240" s="6" t="str">
        <f t="shared" si="4"/>
        <v>Week 2</v>
      </c>
      <c r="R2240" s="6" t="str">
        <f t="shared" si="5"/>
        <v>2022Week 2</v>
      </c>
      <c r="S2240" s="6">
        <f>IFERROR(__xludf.DUMMYFUNCTION("rank(J2240,FILTER(J:J,R:R=R2240))"),6.0)</f>
        <v>6</v>
      </c>
      <c r="T2240" s="6">
        <f t="shared" si="6"/>
        <v>6</v>
      </c>
      <c r="U2240" s="6">
        <f t="shared" si="7"/>
        <v>6</v>
      </c>
      <c r="V2240" s="42">
        <f>averageif(AllData!A:A,B2240,AllData!R:R)/vlookup(B2240,AllData!A:O,15,0)</f>
        <v>92.75369048</v>
      </c>
      <c r="W2240" s="6"/>
    </row>
    <row r="2241" ht="14.25" customHeight="1">
      <c r="A2241" s="6" t="str">
        <f t="shared" si="27"/>
        <v>2022Pierson2</v>
      </c>
      <c r="B2241" s="59">
        <v>2022.0</v>
      </c>
      <c r="C2241" s="13" t="s">
        <v>92</v>
      </c>
      <c r="D2241" s="13" t="s">
        <v>131</v>
      </c>
      <c r="E2241" s="34"/>
      <c r="F2241" s="6"/>
      <c r="H2241" s="6"/>
      <c r="I2241" s="35" t="str">
        <f>IFERROR(IFERROR(IFERROR(VLOOKUP(B2241&amp;C2241&amp;Q2241,'New Weekly Paste'!A:M,10,0),VLOOKUP(B2241&amp;C2241&amp;Q2241,'New Weekly Paste'!B:O,6,0)),""),"")</f>
        <v>Tayski</v>
      </c>
      <c r="J2241" s="259">
        <f>IFERROR(IFERROR(VLOOKUP(B2241&amp;C2241&amp;Q2241,'New Weekly Paste'!A:M,8,0),VLOOKUP(B2241&amp;C2241&amp;Q2241,'New Weekly Paste'!B:O,10,0)),0)</f>
        <v>74</v>
      </c>
      <c r="K2241" s="259">
        <f>IFERROR(IFERROR(VLOOKUP(B2241&amp;I2241&amp;Q2241,'New Weekly Paste'!A:M,8,0),VLOOKUP(B2241&amp;I2241&amp;Q2241,'New Weekly Paste'!B:O,10,0)),0)</f>
        <v>71.18</v>
      </c>
      <c r="L2241" s="239">
        <f t="shared" si="25"/>
        <v>1</v>
      </c>
      <c r="M2241" s="36" t="str">
        <f t="shared" si="3"/>
        <v>Regular Season</v>
      </c>
      <c r="N2241" s="239" t="str">
        <f t="shared" si="26"/>
        <v>Tayski</v>
      </c>
      <c r="O2241" s="6">
        <f>VLOOKUP(D2241,'Mapped Opponent'!$G$4:$H$22,2,0)</f>
        <v>2</v>
      </c>
      <c r="P2241" s="6"/>
      <c r="Q2241" s="6" t="str">
        <f t="shared" si="4"/>
        <v>Week 2</v>
      </c>
      <c r="R2241" s="6" t="str">
        <f t="shared" si="5"/>
        <v>2022Week 2</v>
      </c>
      <c r="S2241" s="6">
        <f>IFERROR(__xludf.DUMMYFUNCTION("rank(J2241,FILTER(J:J,R:R=R2241))"),8.0)</f>
        <v>8</v>
      </c>
      <c r="T2241" s="6">
        <f t="shared" si="6"/>
        <v>4</v>
      </c>
      <c r="U2241" s="6">
        <f t="shared" si="7"/>
        <v>8</v>
      </c>
      <c r="V2241" s="42">
        <f>averageif(AllData!A:A,B2241,AllData!R:R)/vlookup(B2241,AllData!A:O,15,0)</f>
        <v>92.75369048</v>
      </c>
      <c r="W2241" s="6"/>
    </row>
    <row r="2242" ht="14.25" customHeight="1">
      <c r="A2242" s="6" t="str">
        <f t="shared" si="27"/>
        <v>2022Cock2</v>
      </c>
      <c r="B2242" s="59">
        <v>2022.0</v>
      </c>
      <c r="C2242" s="13" t="s">
        <v>72</v>
      </c>
      <c r="D2242" s="13" t="s">
        <v>131</v>
      </c>
      <c r="E2242" s="34"/>
      <c r="F2242" s="6"/>
      <c r="H2242" s="6"/>
      <c r="I2242" s="35" t="str">
        <f>IFERROR(IFERROR(IFERROR(VLOOKUP(B2242&amp;C2242&amp;Q2242,'New Weekly Paste'!A:M,10,0),VLOOKUP(B2242&amp;C2242&amp;Q2242,'New Weekly Paste'!B:O,6,0)),""),"")</f>
        <v>Buser</v>
      </c>
      <c r="J2242" s="259">
        <f>IFERROR(IFERROR(VLOOKUP(B2242&amp;C2242&amp;Q2242,'New Weekly Paste'!A:M,8,0),VLOOKUP(B2242&amp;C2242&amp;Q2242,'New Weekly Paste'!B:O,10,0)),0)</f>
        <v>92.48</v>
      </c>
      <c r="K2242" s="259">
        <f>IFERROR(IFERROR(VLOOKUP(B2242&amp;I2242&amp;Q2242,'New Weekly Paste'!A:M,8,0),VLOOKUP(B2242&amp;I2242&amp;Q2242,'New Weekly Paste'!B:O,10,0)),0)</f>
        <v>95.46</v>
      </c>
      <c r="L2242" s="239">
        <f t="shared" si="25"/>
        <v>0</v>
      </c>
      <c r="M2242" s="36" t="str">
        <f t="shared" si="3"/>
        <v>Regular Season</v>
      </c>
      <c r="N2242" s="239" t="str">
        <f t="shared" si="26"/>
        <v>Buser</v>
      </c>
      <c r="O2242" s="6">
        <f>VLOOKUP(D2242,'Mapped Opponent'!$G$4:$H$22,2,0)</f>
        <v>2</v>
      </c>
      <c r="P2242" s="6"/>
      <c r="Q2242" s="6" t="str">
        <f t="shared" si="4"/>
        <v>Week 2</v>
      </c>
      <c r="R2242" s="6" t="str">
        <f t="shared" si="5"/>
        <v>2022Week 2</v>
      </c>
      <c r="S2242" s="6">
        <f>IFERROR(__xludf.DUMMYFUNCTION("rank(J2242,FILTER(J:J,R:R=R2242))"),7.0)</f>
        <v>7</v>
      </c>
      <c r="T2242" s="6">
        <f t="shared" si="6"/>
        <v>5</v>
      </c>
      <c r="U2242" s="6">
        <f t="shared" si="7"/>
        <v>7</v>
      </c>
      <c r="V2242" s="42">
        <f>averageif(AllData!A:A,B2242,AllData!R:R)/vlookup(B2242,AllData!A:O,15,0)</f>
        <v>92.75369048</v>
      </c>
      <c r="W2242" s="6"/>
    </row>
    <row r="2243" ht="14.25" customHeight="1">
      <c r="A2243" s="6" t="str">
        <f t="shared" si="27"/>
        <v>2022Tayski2</v>
      </c>
      <c r="B2243" s="59">
        <v>2022.0</v>
      </c>
      <c r="C2243" s="13" t="s">
        <v>52</v>
      </c>
      <c r="D2243" s="13" t="s">
        <v>131</v>
      </c>
      <c r="E2243" s="34"/>
      <c r="F2243" s="6"/>
      <c r="H2243" s="6"/>
      <c r="I2243" s="35" t="str">
        <f>IFERROR(IFERROR(IFERROR(VLOOKUP(B2243&amp;C2243&amp;Q2243,'New Weekly Paste'!A:M,10,0),VLOOKUP(B2243&amp;C2243&amp;Q2243,'New Weekly Paste'!B:O,6,0)),""),"")</f>
        <v>Pierson</v>
      </c>
      <c r="J2243" s="259">
        <f>IFERROR(IFERROR(VLOOKUP(B2243&amp;C2243&amp;Q2243,'New Weekly Paste'!A:M,8,0),VLOOKUP(B2243&amp;C2243&amp;Q2243,'New Weekly Paste'!B:O,10,0)),0)</f>
        <v>71.18</v>
      </c>
      <c r="K2243" s="259">
        <f>IFERROR(IFERROR(VLOOKUP(B2243&amp;I2243&amp;Q2243,'New Weekly Paste'!A:M,8,0),VLOOKUP(B2243&amp;I2243&amp;Q2243,'New Weekly Paste'!B:O,10,0)),0)</f>
        <v>74</v>
      </c>
      <c r="L2243" s="239">
        <f t="shared" si="25"/>
        <v>0</v>
      </c>
      <c r="M2243" s="36" t="str">
        <f t="shared" si="3"/>
        <v>Regular Season</v>
      </c>
      <c r="N2243" s="239" t="str">
        <f t="shared" si="26"/>
        <v>Pierson</v>
      </c>
      <c r="O2243" s="6">
        <f>VLOOKUP(D2243,'Mapped Opponent'!$G$4:$H$22,2,0)</f>
        <v>2</v>
      </c>
      <c r="P2243" s="6"/>
      <c r="Q2243" s="6" t="str">
        <f t="shared" si="4"/>
        <v>Week 2</v>
      </c>
      <c r="R2243" s="6" t="str">
        <f t="shared" si="5"/>
        <v>2022Week 2</v>
      </c>
      <c r="S2243" s="6">
        <f>IFERROR(__xludf.DUMMYFUNCTION("rank(J2243,FILTER(J:J,R:R=R2243))"),10.0)</f>
        <v>10</v>
      </c>
      <c r="T2243" s="6">
        <f t="shared" si="6"/>
        <v>2</v>
      </c>
      <c r="U2243" s="6">
        <f t="shared" si="7"/>
        <v>10</v>
      </c>
      <c r="V2243" s="42">
        <f>averageif(AllData!A:A,B2243,AllData!R:R)/vlookup(B2243,AllData!A:O,15,0)</f>
        <v>92.75369048</v>
      </c>
      <c r="W2243" s="6"/>
    </row>
    <row r="2244" ht="14.25" customHeight="1">
      <c r="A2244" s="6" t="str">
        <f t="shared" si="27"/>
        <v>2022KnardDawg2</v>
      </c>
      <c r="B2244" s="59">
        <v>2022.0</v>
      </c>
      <c r="C2244" s="13" t="s">
        <v>86</v>
      </c>
      <c r="D2244" s="13" t="s">
        <v>131</v>
      </c>
      <c r="E2244" s="34"/>
      <c r="F2244" s="6"/>
      <c r="H2244" s="6"/>
      <c r="I2244" s="35" t="str">
        <f>IFERROR(IFERROR(IFERROR(VLOOKUP(B2244&amp;C2244&amp;Q2244,'New Weekly Paste'!A:M,10,0),VLOOKUP(B2244&amp;C2244&amp;Q2244,'New Weekly Paste'!B:O,6,0)),""),"")</f>
        <v>T-How</v>
      </c>
      <c r="J2244" s="259">
        <f>IFERROR(IFERROR(VLOOKUP(B2244&amp;C2244&amp;Q2244,'New Weekly Paste'!A:M,8,0),VLOOKUP(B2244&amp;C2244&amp;Q2244,'New Weekly Paste'!B:O,10,0)),0)</f>
        <v>99.06</v>
      </c>
      <c r="K2244" s="259">
        <f>IFERROR(IFERROR(VLOOKUP(B2244&amp;I2244&amp;Q2244,'New Weekly Paste'!A:M,8,0),VLOOKUP(B2244&amp;I2244&amp;Q2244,'New Weekly Paste'!B:O,10,0)),0)</f>
        <v>71.54</v>
      </c>
      <c r="L2244" s="239">
        <f t="shared" si="25"/>
        <v>1</v>
      </c>
      <c r="M2244" s="36" t="str">
        <f t="shared" si="3"/>
        <v>Regular Season</v>
      </c>
      <c r="N2244" s="239" t="str">
        <f t="shared" si="26"/>
        <v>T-How</v>
      </c>
      <c r="O2244" s="6">
        <f>VLOOKUP(D2244,'Mapped Opponent'!$G$4:$H$22,2,0)</f>
        <v>2</v>
      </c>
      <c r="P2244" s="6"/>
      <c r="Q2244" s="6" t="str">
        <f t="shared" si="4"/>
        <v>Week 2</v>
      </c>
      <c r="R2244" s="6" t="str">
        <f t="shared" si="5"/>
        <v>2022Week 2</v>
      </c>
      <c r="S2244" s="6">
        <f>IFERROR(__xludf.DUMMYFUNCTION("rank(J2244,FILTER(J:J,R:R=R2244))"),5.0)</f>
        <v>5</v>
      </c>
      <c r="T2244" s="6">
        <f t="shared" si="6"/>
        <v>7</v>
      </c>
      <c r="U2244" s="6">
        <f t="shared" si="7"/>
        <v>5</v>
      </c>
      <c r="V2244" s="42">
        <f>averageif(AllData!A:A,B2244,AllData!R:R)/vlookup(B2244,AllData!A:O,15,0)</f>
        <v>92.75369048</v>
      </c>
      <c r="W2244" s="6"/>
    </row>
    <row r="2245" ht="14.25" customHeight="1">
      <c r="A2245" s="6" t="str">
        <f t="shared" si="27"/>
        <v>2022T-How2</v>
      </c>
      <c r="B2245" s="59">
        <v>2022.0</v>
      </c>
      <c r="C2245" s="13" t="s">
        <v>82</v>
      </c>
      <c r="D2245" s="13" t="s">
        <v>131</v>
      </c>
      <c r="E2245" s="34"/>
      <c r="F2245" s="6"/>
      <c r="H2245" s="6"/>
      <c r="I2245" s="35" t="str">
        <f>IFERROR(IFERROR(IFERROR(VLOOKUP(B2245&amp;C2245&amp;Q2245,'New Weekly Paste'!A:M,10,0),VLOOKUP(B2245&amp;C2245&amp;Q2245,'New Weekly Paste'!B:O,6,0)),""),"")</f>
        <v>KnardDawg</v>
      </c>
      <c r="J2245" s="259">
        <f>IFERROR(IFERROR(VLOOKUP(B2245&amp;C2245&amp;Q2245,'New Weekly Paste'!A:M,8,0),VLOOKUP(B2245&amp;C2245&amp;Q2245,'New Weekly Paste'!B:O,10,0)),0)</f>
        <v>71.54</v>
      </c>
      <c r="K2245" s="259">
        <f>IFERROR(IFERROR(VLOOKUP(B2245&amp;I2245&amp;Q2245,'New Weekly Paste'!A:M,8,0),VLOOKUP(B2245&amp;I2245&amp;Q2245,'New Weekly Paste'!B:O,10,0)),0)</f>
        <v>99.06</v>
      </c>
      <c r="L2245" s="239">
        <f t="shared" si="25"/>
        <v>0</v>
      </c>
      <c r="M2245" s="36" t="str">
        <f t="shared" si="3"/>
        <v>Regular Season</v>
      </c>
      <c r="N2245" s="239" t="str">
        <f t="shared" si="26"/>
        <v>KnardDawg</v>
      </c>
      <c r="O2245" s="6">
        <f>VLOOKUP(D2245,'Mapped Opponent'!$G$4:$H$22,2,0)</f>
        <v>2</v>
      </c>
      <c r="P2245" s="6"/>
      <c r="Q2245" s="6" t="str">
        <f t="shared" si="4"/>
        <v>Week 2</v>
      </c>
      <c r="R2245" s="6" t="str">
        <f t="shared" si="5"/>
        <v>2022Week 2</v>
      </c>
      <c r="S2245" s="6">
        <f>IFERROR(__xludf.DUMMYFUNCTION("rank(J2245,FILTER(J:J,R:R=R2245))"),9.0)</f>
        <v>9</v>
      </c>
      <c r="T2245" s="6">
        <f t="shared" si="6"/>
        <v>3</v>
      </c>
      <c r="U2245" s="6">
        <f t="shared" si="7"/>
        <v>9</v>
      </c>
      <c r="V2245" s="42">
        <f>averageif(AllData!A:A,B2245,AllData!R:R)/vlookup(B2245,AllData!A:O,15,0)</f>
        <v>92.75369048</v>
      </c>
      <c r="W2245" s="6"/>
    </row>
    <row r="2246" ht="14.25" customHeight="1">
      <c r="A2246" s="6" t="str">
        <f t="shared" si="27"/>
        <v>2022Hudspeath3</v>
      </c>
      <c r="B2246" s="59">
        <v>2022.0</v>
      </c>
      <c r="C2246" s="13" t="s">
        <v>39</v>
      </c>
      <c r="D2246" s="13" t="s">
        <v>135</v>
      </c>
      <c r="E2246" s="34"/>
      <c r="F2246" s="6"/>
      <c r="H2246" s="6"/>
      <c r="I2246" s="35" t="str">
        <f>IFERROR(IFERROR(IFERROR(VLOOKUP(B2246&amp;C2246&amp;Q2246,'New Weekly Paste'!A:M,10,0),VLOOKUP(B2246&amp;C2246&amp;Q2246,'New Weekly Paste'!B:O,6,0)),""),"")</f>
        <v>T-How</v>
      </c>
      <c r="J2246" s="259">
        <f>IFERROR(IFERROR(VLOOKUP(B2246&amp;C2246&amp;Q2246,'New Weekly Paste'!A:M,8,0),VLOOKUP(B2246&amp;C2246&amp;Q2246,'New Weekly Paste'!B:O,10,0)),0)</f>
        <v>86.76</v>
      </c>
      <c r="K2246" s="259">
        <f>IFERROR(IFERROR(VLOOKUP(B2246&amp;I2246&amp;Q2246,'New Weekly Paste'!A:M,8,0),VLOOKUP(B2246&amp;I2246&amp;Q2246,'New Weekly Paste'!B:O,10,0)),0)</f>
        <v>51.5</v>
      </c>
      <c r="L2246" s="239">
        <f t="shared" si="25"/>
        <v>1</v>
      </c>
      <c r="M2246" s="36" t="str">
        <f t="shared" si="3"/>
        <v>Regular Season</v>
      </c>
      <c r="N2246" s="239" t="str">
        <f t="shared" si="26"/>
        <v>T-How</v>
      </c>
      <c r="O2246" s="6">
        <f>VLOOKUP(D2246,'Mapped Opponent'!$G$4:$H$22,2,0)</f>
        <v>3</v>
      </c>
      <c r="P2246" s="6"/>
      <c r="Q2246" s="6" t="str">
        <f t="shared" si="4"/>
        <v>Week 3</v>
      </c>
      <c r="R2246" s="6" t="str">
        <f t="shared" si="5"/>
        <v>2022Week 3</v>
      </c>
      <c r="S2246" s="6">
        <f>IFERROR(__xludf.DUMMYFUNCTION("rank(J2246,FILTER(J:J,R:R=R2246))"),6.0)</f>
        <v>6</v>
      </c>
      <c r="T2246" s="6">
        <f t="shared" si="6"/>
        <v>6</v>
      </c>
      <c r="U2246" s="6">
        <f t="shared" si="7"/>
        <v>6</v>
      </c>
      <c r="V2246" s="42">
        <f>averageif(AllData!A:A,B2246,AllData!R:R)/vlookup(B2246,AllData!A:O,15,0)</f>
        <v>92.75369048</v>
      </c>
      <c r="W2246" s="6"/>
    </row>
    <row r="2247" ht="14.25" customHeight="1">
      <c r="A2247" s="6" t="str">
        <f t="shared" si="27"/>
        <v>2022Salty3</v>
      </c>
      <c r="B2247" s="59">
        <v>2022.0</v>
      </c>
      <c r="C2247" s="13" t="s">
        <v>76</v>
      </c>
      <c r="D2247" s="13" t="s">
        <v>135</v>
      </c>
      <c r="E2247" s="34"/>
      <c r="F2247" s="6"/>
      <c r="H2247" s="6"/>
      <c r="I2247" s="35" t="str">
        <f>IFERROR(IFERROR(IFERROR(VLOOKUP(B2247&amp;C2247&amp;Q2247,'New Weekly Paste'!A:M,10,0),VLOOKUP(B2247&amp;C2247&amp;Q2247,'New Weekly Paste'!B:O,6,0)),""),"")</f>
        <v>Shep</v>
      </c>
      <c r="J2247" s="259">
        <f>IFERROR(IFERROR(VLOOKUP(B2247&amp;C2247&amp;Q2247,'New Weekly Paste'!A:M,8,0),VLOOKUP(B2247&amp;C2247&amp;Q2247,'New Weekly Paste'!B:O,10,0)),0)</f>
        <v>101</v>
      </c>
      <c r="K2247" s="259">
        <f>IFERROR(IFERROR(VLOOKUP(B2247&amp;I2247&amp;Q2247,'New Weekly Paste'!A:M,8,0),VLOOKUP(B2247&amp;I2247&amp;Q2247,'New Weekly Paste'!B:O,10,0)),0)</f>
        <v>80.6</v>
      </c>
      <c r="L2247" s="239">
        <f t="shared" si="25"/>
        <v>1</v>
      </c>
      <c r="M2247" s="36" t="str">
        <f t="shared" si="3"/>
        <v>Regular Season</v>
      </c>
      <c r="N2247" s="239" t="str">
        <f t="shared" si="26"/>
        <v>Shep</v>
      </c>
      <c r="O2247" s="6">
        <f>VLOOKUP(D2247,'Mapped Opponent'!$G$4:$H$22,2,0)</f>
        <v>3</v>
      </c>
      <c r="P2247" s="6"/>
      <c r="Q2247" s="6" t="str">
        <f t="shared" si="4"/>
        <v>Week 3</v>
      </c>
      <c r="R2247" s="6" t="str">
        <f t="shared" si="5"/>
        <v>2022Week 3</v>
      </c>
      <c r="S2247" s="6">
        <f>IFERROR(__xludf.DUMMYFUNCTION("rank(J2247,FILTER(J:J,R:R=R2247))"),3.0)</f>
        <v>3</v>
      </c>
      <c r="T2247" s="6">
        <f t="shared" si="6"/>
        <v>9</v>
      </c>
      <c r="U2247" s="6">
        <f t="shared" si="7"/>
        <v>3</v>
      </c>
      <c r="V2247" s="42">
        <f>averageif(AllData!A:A,B2247,AllData!R:R)/vlookup(B2247,AllData!A:O,15,0)</f>
        <v>92.75369048</v>
      </c>
      <c r="W2247" s="6"/>
    </row>
    <row r="2248" ht="14.25" customHeight="1">
      <c r="A2248" s="6" t="str">
        <f t="shared" si="27"/>
        <v>2022Fellows3</v>
      </c>
      <c r="B2248" s="59">
        <v>2022.0</v>
      </c>
      <c r="C2248" s="13" t="s">
        <v>79</v>
      </c>
      <c r="D2248" s="13" t="s">
        <v>135</v>
      </c>
      <c r="E2248" s="34"/>
      <c r="F2248" s="6"/>
      <c r="H2248" s="6"/>
      <c r="I2248" s="35" t="str">
        <f>IFERROR(IFERROR(IFERROR(VLOOKUP(B2248&amp;C2248&amp;Q2248,'New Weekly Paste'!A:M,10,0),VLOOKUP(B2248&amp;C2248&amp;Q2248,'New Weekly Paste'!B:O,6,0)),""),"")</f>
        <v>Cock</v>
      </c>
      <c r="J2248" s="259">
        <f>IFERROR(IFERROR(VLOOKUP(B2248&amp;C2248&amp;Q2248,'New Weekly Paste'!A:M,8,0),VLOOKUP(B2248&amp;C2248&amp;Q2248,'New Weekly Paste'!B:O,10,0)),0)</f>
        <v>87.42</v>
      </c>
      <c r="K2248" s="259">
        <f>IFERROR(IFERROR(VLOOKUP(B2248&amp;I2248&amp;Q2248,'New Weekly Paste'!A:M,8,0),VLOOKUP(B2248&amp;I2248&amp;Q2248,'New Weekly Paste'!B:O,10,0)),0)</f>
        <v>80.56</v>
      </c>
      <c r="L2248" s="239">
        <f t="shared" si="25"/>
        <v>1</v>
      </c>
      <c r="M2248" s="36" t="str">
        <f t="shared" si="3"/>
        <v>Regular Season</v>
      </c>
      <c r="N2248" s="239" t="str">
        <f t="shared" si="26"/>
        <v>Cock</v>
      </c>
      <c r="O2248" s="6">
        <f>VLOOKUP(D2248,'Mapped Opponent'!$G$4:$H$22,2,0)</f>
        <v>3</v>
      </c>
      <c r="P2248" s="6"/>
      <c r="Q2248" s="6" t="str">
        <f t="shared" si="4"/>
        <v>Week 3</v>
      </c>
      <c r="R2248" s="6" t="str">
        <f t="shared" si="5"/>
        <v>2022Week 3</v>
      </c>
      <c r="S2248" s="6">
        <f>IFERROR(__xludf.DUMMYFUNCTION("rank(J2248,FILTER(J:J,R:R=R2248))"),5.0)</f>
        <v>5</v>
      </c>
      <c r="T2248" s="6">
        <f t="shared" si="6"/>
        <v>7</v>
      </c>
      <c r="U2248" s="6">
        <f t="shared" si="7"/>
        <v>5</v>
      </c>
      <c r="V2248" s="42">
        <f>averageif(AllData!A:A,B2248,AllData!R:R)/vlookup(B2248,AllData!A:O,15,0)</f>
        <v>92.75369048</v>
      </c>
      <c r="W2248" s="6"/>
    </row>
    <row r="2249" ht="14.25" customHeight="1">
      <c r="A2249" s="6" t="str">
        <f t="shared" si="27"/>
        <v>2022Shep3</v>
      </c>
      <c r="B2249" s="59">
        <v>2022.0</v>
      </c>
      <c r="C2249" s="13" t="s">
        <v>89</v>
      </c>
      <c r="D2249" s="13" t="s">
        <v>135</v>
      </c>
      <c r="E2249" s="34"/>
      <c r="F2249" s="6"/>
      <c r="H2249" s="6"/>
      <c r="I2249" s="35" t="str">
        <f>IFERROR(IFERROR(IFERROR(VLOOKUP(B2249&amp;C2249&amp;Q2249,'New Weekly Paste'!A:M,10,0),VLOOKUP(B2249&amp;C2249&amp;Q2249,'New Weekly Paste'!B:O,6,0)),""),"")</f>
        <v>Salty</v>
      </c>
      <c r="J2249" s="259">
        <f>IFERROR(IFERROR(VLOOKUP(B2249&amp;C2249&amp;Q2249,'New Weekly Paste'!A:M,8,0),VLOOKUP(B2249&amp;C2249&amp;Q2249,'New Weekly Paste'!B:O,10,0)),0)</f>
        <v>80.6</v>
      </c>
      <c r="K2249" s="259">
        <f>IFERROR(IFERROR(VLOOKUP(B2249&amp;I2249&amp;Q2249,'New Weekly Paste'!A:M,8,0),VLOOKUP(B2249&amp;I2249&amp;Q2249,'New Weekly Paste'!B:O,10,0)),0)</f>
        <v>101</v>
      </c>
      <c r="L2249" s="239">
        <f t="shared" si="25"/>
        <v>0</v>
      </c>
      <c r="M2249" s="36" t="str">
        <f t="shared" si="3"/>
        <v>Regular Season</v>
      </c>
      <c r="N2249" s="239" t="str">
        <f t="shared" si="26"/>
        <v>Salty</v>
      </c>
      <c r="O2249" s="6">
        <f>VLOOKUP(D2249,'Mapped Opponent'!$G$4:$H$22,2,0)</f>
        <v>3</v>
      </c>
      <c r="P2249" s="6"/>
      <c r="Q2249" s="6" t="str">
        <f t="shared" si="4"/>
        <v>Week 3</v>
      </c>
      <c r="R2249" s="6" t="str">
        <f t="shared" si="5"/>
        <v>2022Week 3</v>
      </c>
      <c r="S2249" s="6">
        <f>IFERROR(__xludf.DUMMYFUNCTION("rank(J2249,FILTER(J:J,R:R=R2249))"),8.0)</f>
        <v>8</v>
      </c>
      <c r="T2249" s="6">
        <f t="shared" si="6"/>
        <v>4</v>
      </c>
      <c r="U2249" s="6">
        <f t="shared" si="7"/>
        <v>8</v>
      </c>
      <c r="V2249" s="42">
        <f>averageif(AllData!A:A,B2249,AllData!R:R)/vlookup(B2249,AllData!A:O,15,0)</f>
        <v>92.75369048</v>
      </c>
      <c r="W2249" s="6"/>
    </row>
    <row r="2250" ht="14.25" customHeight="1">
      <c r="A2250" s="6" t="str">
        <f t="shared" si="27"/>
        <v>2022Riley3</v>
      </c>
      <c r="B2250" s="59">
        <v>2022.0</v>
      </c>
      <c r="C2250" s="13" t="s">
        <v>67</v>
      </c>
      <c r="D2250" s="13" t="s">
        <v>135</v>
      </c>
      <c r="E2250" s="34"/>
      <c r="F2250" s="6"/>
      <c r="H2250" s="6"/>
      <c r="I2250" s="35" t="str">
        <f>IFERROR(IFERROR(IFERROR(VLOOKUP(B2250&amp;C2250&amp;Q2250,'New Weekly Paste'!A:M,10,0),VLOOKUP(B2250&amp;C2250&amp;Q2250,'New Weekly Paste'!B:O,6,0)),""),"")</f>
        <v>Tayski</v>
      </c>
      <c r="J2250" s="259">
        <f>IFERROR(IFERROR(VLOOKUP(B2250&amp;C2250&amp;Q2250,'New Weekly Paste'!A:M,8,0),VLOOKUP(B2250&amp;C2250&amp;Q2250,'New Weekly Paste'!B:O,10,0)),0)</f>
        <v>108.92</v>
      </c>
      <c r="K2250" s="259">
        <f>IFERROR(IFERROR(VLOOKUP(B2250&amp;I2250&amp;Q2250,'New Weekly Paste'!A:M,8,0),VLOOKUP(B2250&amp;I2250&amp;Q2250,'New Weekly Paste'!B:O,10,0)),0)</f>
        <v>114.5</v>
      </c>
      <c r="L2250" s="239">
        <f t="shared" si="25"/>
        <v>0</v>
      </c>
      <c r="M2250" s="36" t="str">
        <f t="shared" si="3"/>
        <v>Regular Season</v>
      </c>
      <c r="N2250" s="239" t="str">
        <f t="shared" si="26"/>
        <v>Tayski</v>
      </c>
      <c r="O2250" s="6">
        <f>VLOOKUP(D2250,'Mapped Opponent'!$G$4:$H$22,2,0)</f>
        <v>3</v>
      </c>
      <c r="P2250" s="6"/>
      <c r="Q2250" s="6" t="str">
        <f t="shared" si="4"/>
        <v>Week 3</v>
      </c>
      <c r="R2250" s="6" t="str">
        <f t="shared" si="5"/>
        <v>2022Week 3</v>
      </c>
      <c r="S2250" s="6">
        <f>IFERROR(__xludf.DUMMYFUNCTION("rank(J2250,FILTER(J:J,R:R=R2250))"),2.0)</f>
        <v>2</v>
      </c>
      <c r="T2250" s="6">
        <f t="shared" si="6"/>
        <v>10</v>
      </c>
      <c r="U2250" s="6">
        <f t="shared" si="7"/>
        <v>2</v>
      </c>
      <c r="V2250" s="42">
        <f>averageif(AllData!A:A,B2250,AllData!R:R)/vlookup(B2250,AllData!A:O,15,0)</f>
        <v>92.75369048</v>
      </c>
      <c r="W2250" s="6"/>
    </row>
    <row r="2251" ht="14.25" customHeight="1">
      <c r="A2251" s="6" t="str">
        <f t="shared" si="27"/>
        <v>2022Rooney/Jackson3</v>
      </c>
      <c r="B2251" s="59">
        <v>2022.0</v>
      </c>
      <c r="C2251" s="13" t="s">
        <v>57</v>
      </c>
      <c r="D2251" s="13" t="s">
        <v>135</v>
      </c>
      <c r="E2251" s="34"/>
      <c r="F2251" s="6"/>
      <c r="H2251" s="6"/>
      <c r="I2251" s="35" t="str">
        <f>IFERROR(IFERROR(IFERROR(VLOOKUP(B2251&amp;C2251&amp;Q2251,'New Weekly Paste'!A:M,10,0),VLOOKUP(B2251&amp;C2251&amp;Q2251,'New Weekly Paste'!B:O,6,0)),""),"")</f>
        <v>Pierson</v>
      </c>
      <c r="J2251" s="259">
        <f>IFERROR(IFERROR(VLOOKUP(B2251&amp;C2251&amp;Q2251,'New Weekly Paste'!A:M,8,0),VLOOKUP(B2251&amp;C2251&amp;Q2251,'New Weekly Paste'!B:O,10,0)),0)</f>
        <v>92.96</v>
      </c>
      <c r="K2251" s="259">
        <f>IFERROR(IFERROR(VLOOKUP(B2251&amp;I2251&amp;Q2251,'New Weekly Paste'!A:M,8,0),VLOOKUP(B2251&amp;I2251&amp;Q2251,'New Weekly Paste'!B:O,10,0)),0)</f>
        <v>59.58</v>
      </c>
      <c r="L2251" s="239">
        <f t="shared" si="25"/>
        <v>1</v>
      </c>
      <c r="M2251" s="36" t="str">
        <f t="shared" si="3"/>
        <v>Regular Season</v>
      </c>
      <c r="N2251" s="239" t="str">
        <f t="shared" si="26"/>
        <v>Pierson</v>
      </c>
      <c r="O2251" s="6">
        <f>VLOOKUP(D2251,'Mapped Opponent'!$G$4:$H$22,2,0)</f>
        <v>3</v>
      </c>
      <c r="P2251" s="6"/>
      <c r="Q2251" s="6" t="str">
        <f t="shared" si="4"/>
        <v>Week 3</v>
      </c>
      <c r="R2251" s="6" t="str">
        <f t="shared" si="5"/>
        <v>2022Week 3</v>
      </c>
      <c r="S2251" s="6">
        <f>IFERROR(__xludf.DUMMYFUNCTION("rank(J2251,FILTER(J:J,R:R=R2251))"),4.0)</f>
        <v>4</v>
      </c>
      <c r="T2251" s="6">
        <f t="shared" si="6"/>
        <v>8</v>
      </c>
      <c r="U2251" s="6">
        <f t="shared" si="7"/>
        <v>4</v>
      </c>
      <c r="V2251" s="42">
        <f>averageif(AllData!A:A,B2251,AllData!R:R)/vlookup(B2251,AllData!A:O,15,0)</f>
        <v>92.75369048</v>
      </c>
      <c r="W2251" s="6"/>
    </row>
    <row r="2252" ht="14.25" customHeight="1">
      <c r="A2252" s="6" t="str">
        <f t="shared" si="27"/>
        <v>2022Buser3</v>
      </c>
      <c r="B2252" s="59">
        <v>2022.0</v>
      </c>
      <c r="C2252" s="13" t="s">
        <v>47</v>
      </c>
      <c r="D2252" s="13" t="s">
        <v>135</v>
      </c>
      <c r="E2252" s="34"/>
      <c r="F2252" s="6"/>
      <c r="H2252" s="6"/>
      <c r="I2252" s="35" t="str">
        <f>IFERROR(IFERROR(IFERROR(VLOOKUP(B2252&amp;C2252&amp;Q2252,'New Weekly Paste'!A:M,10,0),VLOOKUP(B2252&amp;C2252&amp;Q2252,'New Weekly Paste'!B:O,6,0)),""),"")</f>
        <v>KnardDawg</v>
      </c>
      <c r="J2252" s="259">
        <f>IFERROR(IFERROR(VLOOKUP(B2252&amp;C2252&amp;Q2252,'New Weekly Paste'!A:M,8,0),VLOOKUP(B2252&amp;C2252&amp;Q2252,'New Weekly Paste'!B:O,10,0)),0)</f>
        <v>73.64</v>
      </c>
      <c r="K2252" s="259">
        <f>IFERROR(IFERROR(VLOOKUP(B2252&amp;I2252&amp;Q2252,'New Weekly Paste'!A:M,8,0),VLOOKUP(B2252&amp;I2252&amp;Q2252,'New Weekly Paste'!B:O,10,0)),0)</f>
        <v>83.4</v>
      </c>
      <c r="L2252" s="239">
        <f t="shared" si="25"/>
        <v>0</v>
      </c>
      <c r="M2252" s="36" t="str">
        <f t="shared" si="3"/>
        <v>Regular Season</v>
      </c>
      <c r="N2252" s="239" t="str">
        <f t="shared" si="26"/>
        <v>KnardDawg</v>
      </c>
      <c r="O2252" s="6">
        <f>VLOOKUP(D2252,'Mapped Opponent'!$G$4:$H$22,2,0)</f>
        <v>3</v>
      </c>
      <c r="P2252" s="6"/>
      <c r="Q2252" s="6" t="str">
        <f t="shared" si="4"/>
        <v>Week 3</v>
      </c>
      <c r="R2252" s="6" t="str">
        <f t="shared" si="5"/>
        <v>2022Week 3</v>
      </c>
      <c r="S2252" s="6">
        <f>IFERROR(__xludf.DUMMYFUNCTION("rank(J2252,FILTER(J:J,R:R=R2252))"),10.0)</f>
        <v>10</v>
      </c>
      <c r="T2252" s="6">
        <f t="shared" si="6"/>
        <v>2</v>
      </c>
      <c r="U2252" s="6">
        <f t="shared" si="7"/>
        <v>10</v>
      </c>
      <c r="V2252" s="42">
        <f>averageif(AllData!A:A,B2252,AllData!R:R)/vlookup(B2252,AllData!A:O,15,0)</f>
        <v>92.75369048</v>
      </c>
      <c r="W2252" s="6"/>
    </row>
    <row r="2253" ht="14.25" customHeight="1">
      <c r="A2253" s="6" t="str">
        <f t="shared" si="27"/>
        <v>2022Pierson3</v>
      </c>
      <c r="B2253" s="59">
        <v>2022.0</v>
      </c>
      <c r="C2253" s="13" t="s">
        <v>92</v>
      </c>
      <c r="D2253" s="13" t="s">
        <v>135</v>
      </c>
      <c r="E2253" s="34"/>
      <c r="F2253" s="6"/>
      <c r="H2253" s="6"/>
      <c r="I2253" s="35" t="str">
        <f>IFERROR(IFERROR(IFERROR(VLOOKUP(B2253&amp;C2253&amp;Q2253,'New Weekly Paste'!A:M,10,0),VLOOKUP(B2253&amp;C2253&amp;Q2253,'New Weekly Paste'!B:O,6,0)),""),"")</f>
        <v>Rooney/Jackson</v>
      </c>
      <c r="J2253" s="259">
        <f>IFERROR(IFERROR(VLOOKUP(B2253&amp;C2253&amp;Q2253,'New Weekly Paste'!A:M,8,0),VLOOKUP(B2253&amp;C2253&amp;Q2253,'New Weekly Paste'!B:O,10,0)),0)</f>
        <v>59.58</v>
      </c>
      <c r="K2253" s="259">
        <f>IFERROR(IFERROR(VLOOKUP(B2253&amp;I2253&amp;Q2253,'New Weekly Paste'!A:M,8,0),VLOOKUP(B2253&amp;I2253&amp;Q2253,'New Weekly Paste'!B:O,10,0)),0)</f>
        <v>92.96</v>
      </c>
      <c r="L2253" s="239">
        <f t="shared" si="25"/>
        <v>0</v>
      </c>
      <c r="M2253" s="36" t="str">
        <f t="shared" si="3"/>
        <v>Regular Season</v>
      </c>
      <c r="N2253" s="239" t="str">
        <f t="shared" si="26"/>
        <v>Rooney/Jackson</v>
      </c>
      <c r="O2253" s="6">
        <f>VLOOKUP(D2253,'Mapped Opponent'!$G$4:$H$22,2,0)</f>
        <v>3</v>
      </c>
      <c r="P2253" s="6"/>
      <c r="Q2253" s="6" t="str">
        <f t="shared" si="4"/>
        <v>Week 3</v>
      </c>
      <c r="R2253" s="6" t="str">
        <f t="shared" si="5"/>
        <v>2022Week 3</v>
      </c>
      <c r="S2253" s="6">
        <f>IFERROR(__xludf.DUMMYFUNCTION("rank(J2253,FILTER(J:J,R:R=R2253))"),11.0)</f>
        <v>11</v>
      </c>
      <c r="T2253" s="6">
        <f t="shared" si="6"/>
        <v>1</v>
      </c>
      <c r="U2253" s="6">
        <f t="shared" si="7"/>
        <v>11</v>
      </c>
      <c r="V2253" s="42">
        <f>averageif(AllData!A:A,B2253,AllData!R:R)/vlookup(B2253,AllData!A:O,15,0)</f>
        <v>92.75369048</v>
      </c>
      <c r="W2253" s="6"/>
    </row>
    <row r="2254" ht="14.25" customHeight="1">
      <c r="A2254" s="6" t="str">
        <f t="shared" si="27"/>
        <v>2022Cock3</v>
      </c>
      <c r="B2254" s="59">
        <v>2022.0</v>
      </c>
      <c r="C2254" s="13" t="s">
        <v>72</v>
      </c>
      <c r="D2254" s="13" t="s">
        <v>135</v>
      </c>
      <c r="E2254" s="34"/>
      <c r="F2254" s="6"/>
      <c r="H2254" s="6"/>
      <c r="I2254" s="35" t="str">
        <f>IFERROR(IFERROR(IFERROR(VLOOKUP(B2254&amp;C2254&amp;Q2254,'New Weekly Paste'!A:M,10,0),VLOOKUP(B2254&amp;C2254&amp;Q2254,'New Weekly Paste'!B:O,6,0)),""),"")</f>
        <v>Fellows</v>
      </c>
      <c r="J2254" s="259">
        <f>IFERROR(IFERROR(VLOOKUP(B2254&amp;C2254&amp;Q2254,'New Weekly Paste'!A:M,8,0),VLOOKUP(B2254&amp;C2254&amp;Q2254,'New Weekly Paste'!B:O,10,0)),0)</f>
        <v>80.56</v>
      </c>
      <c r="K2254" s="259">
        <f>IFERROR(IFERROR(VLOOKUP(B2254&amp;I2254&amp;Q2254,'New Weekly Paste'!A:M,8,0),VLOOKUP(B2254&amp;I2254&amp;Q2254,'New Weekly Paste'!B:O,10,0)),0)</f>
        <v>87.42</v>
      </c>
      <c r="L2254" s="239">
        <f t="shared" si="25"/>
        <v>0</v>
      </c>
      <c r="M2254" s="36" t="str">
        <f t="shared" si="3"/>
        <v>Regular Season</v>
      </c>
      <c r="N2254" s="239" t="str">
        <f t="shared" si="26"/>
        <v>Fellows</v>
      </c>
      <c r="O2254" s="6">
        <f>VLOOKUP(D2254,'Mapped Opponent'!$G$4:$H$22,2,0)</f>
        <v>3</v>
      </c>
      <c r="P2254" s="6"/>
      <c r="Q2254" s="6" t="str">
        <f t="shared" si="4"/>
        <v>Week 3</v>
      </c>
      <c r="R2254" s="6" t="str">
        <f t="shared" si="5"/>
        <v>2022Week 3</v>
      </c>
      <c r="S2254" s="6">
        <f>IFERROR(__xludf.DUMMYFUNCTION("rank(J2254,FILTER(J:J,R:R=R2254))"),9.0)</f>
        <v>9</v>
      </c>
      <c r="T2254" s="6">
        <f t="shared" si="6"/>
        <v>3</v>
      </c>
      <c r="U2254" s="6">
        <f t="shared" si="7"/>
        <v>9</v>
      </c>
      <c r="V2254" s="42">
        <f>averageif(AllData!A:A,B2254,AllData!R:R)/vlookup(B2254,AllData!A:O,15,0)</f>
        <v>92.75369048</v>
      </c>
      <c r="W2254" s="6"/>
    </row>
    <row r="2255" ht="14.25" customHeight="1">
      <c r="A2255" s="6" t="str">
        <f t="shared" si="27"/>
        <v>2022Tayski3</v>
      </c>
      <c r="B2255" s="59">
        <v>2022.0</v>
      </c>
      <c r="C2255" s="13" t="s">
        <v>52</v>
      </c>
      <c r="D2255" s="13" t="s">
        <v>135</v>
      </c>
      <c r="E2255" s="34"/>
      <c r="F2255" s="6"/>
      <c r="H2255" s="6"/>
      <c r="I2255" s="35" t="str">
        <f>IFERROR(IFERROR(IFERROR(VLOOKUP(B2255&amp;C2255&amp;Q2255,'New Weekly Paste'!A:M,10,0),VLOOKUP(B2255&amp;C2255&amp;Q2255,'New Weekly Paste'!B:O,6,0)),""),"")</f>
        <v>Riley</v>
      </c>
      <c r="J2255" s="259">
        <f>IFERROR(IFERROR(VLOOKUP(B2255&amp;C2255&amp;Q2255,'New Weekly Paste'!A:M,8,0),VLOOKUP(B2255&amp;C2255&amp;Q2255,'New Weekly Paste'!B:O,10,0)),0)</f>
        <v>114.5</v>
      </c>
      <c r="K2255" s="259">
        <f>IFERROR(IFERROR(VLOOKUP(B2255&amp;I2255&amp;Q2255,'New Weekly Paste'!A:M,8,0),VLOOKUP(B2255&amp;I2255&amp;Q2255,'New Weekly Paste'!B:O,10,0)),0)</f>
        <v>108.92</v>
      </c>
      <c r="L2255" s="239">
        <f t="shared" si="25"/>
        <v>1</v>
      </c>
      <c r="M2255" s="36" t="str">
        <f t="shared" si="3"/>
        <v>Regular Season</v>
      </c>
      <c r="N2255" s="239" t="str">
        <f t="shared" si="26"/>
        <v>Riley</v>
      </c>
      <c r="O2255" s="6">
        <f>VLOOKUP(D2255,'Mapped Opponent'!$G$4:$H$22,2,0)</f>
        <v>3</v>
      </c>
      <c r="P2255" s="6"/>
      <c r="Q2255" s="6" t="str">
        <f t="shared" si="4"/>
        <v>Week 3</v>
      </c>
      <c r="R2255" s="6" t="str">
        <f t="shared" si="5"/>
        <v>2022Week 3</v>
      </c>
      <c r="S2255" s="6">
        <f>IFERROR(__xludf.DUMMYFUNCTION("rank(J2255,FILTER(J:J,R:R=R2255))"),1.0)</f>
        <v>1</v>
      </c>
      <c r="T2255" s="6">
        <f t="shared" si="6"/>
        <v>11</v>
      </c>
      <c r="U2255" s="6">
        <f t="shared" si="7"/>
        <v>1</v>
      </c>
      <c r="V2255" s="42">
        <f>averageif(AllData!A:A,B2255,AllData!R:R)/vlookup(B2255,AllData!A:O,15,0)</f>
        <v>92.75369048</v>
      </c>
      <c r="W2255" s="6"/>
    </row>
    <row r="2256" ht="14.25" customHeight="1">
      <c r="A2256" s="6" t="str">
        <f t="shared" si="27"/>
        <v>2022KnardDawg3</v>
      </c>
      <c r="B2256" s="59">
        <v>2022.0</v>
      </c>
      <c r="C2256" s="13" t="s">
        <v>86</v>
      </c>
      <c r="D2256" s="13" t="s">
        <v>135</v>
      </c>
      <c r="E2256" s="34"/>
      <c r="F2256" s="6"/>
      <c r="H2256" s="6"/>
      <c r="I2256" s="35" t="str">
        <f>IFERROR(IFERROR(IFERROR(VLOOKUP(B2256&amp;C2256&amp;Q2256,'New Weekly Paste'!A:M,10,0),VLOOKUP(B2256&amp;C2256&amp;Q2256,'New Weekly Paste'!B:O,6,0)),""),"")</f>
        <v>Buser</v>
      </c>
      <c r="J2256" s="259">
        <f>IFERROR(IFERROR(VLOOKUP(B2256&amp;C2256&amp;Q2256,'New Weekly Paste'!A:M,8,0),VLOOKUP(B2256&amp;C2256&amp;Q2256,'New Weekly Paste'!B:O,10,0)),0)</f>
        <v>83.4</v>
      </c>
      <c r="K2256" s="259">
        <f>IFERROR(IFERROR(VLOOKUP(B2256&amp;I2256&amp;Q2256,'New Weekly Paste'!A:M,8,0),VLOOKUP(B2256&amp;I2256&amp;Q2256,'New Weekly Paste'!B:O,10,0)),0)</f>
        <v>73.64</v>
      </c>
      <c r="L2256" s="239">
        <f t="shared" si="25"/>
        <v>1</v>
      </c>
      <c r="M2256" s="36" t="str">
        <f t="shared" si="3"/>
        <v>Regular Season</v>
      </c>
      <c r="N2256" s="239" t="str">
        <f t="shared" si="26"/>
        <v>Buser</v>
      </c>
      <c r="O2256" s="6">
        <f>VLOOKUP(D2256,'Mapped Opponent'!$G$4:$H$22,2,0)</f>
        <v>3</v>
      </c>
      <c r="P2256" s="6"/>
      <c r="Q2256" s="6" t="str">
        <f t="shared" si="4"/>
        <v>Week 3</v>
      </c>
      <c r="R2256" s="6" t="str">
        <f t="shared" si="5"/>
        <v>2022Week 3</v>
      </c>
      <c r="S2256" s="6">
        <f>IFERROR(__xludf.DUMMYFUNCTION("rank(J2256,FILTER(J:J,R:R=R2256))"),7.0)</f>
        <v>7</v>
      </c>
      <c r="T2256" s="6">
        <f t="shared" si="6"/>
        <v>5</v>
      </c>
      <c r="U2256" s="6">
        <f t="shared" si="7"/>
        <v>7</v>
      </c>
      <c r="V2256" s="42">
        <f>averageif(AllData!A:A,B2256,AllData!R:R)/vlookup(B2256,AllData!A:O,15,0)</f>
        <v>92.75369048</v>
      </c>
      <c r="W2256" s="6"/>
    </row>
    <row r="2257" ht="14.25" customHeight="1">
      <c r="A2257" s="6" t="str">
        <f t="shared" si="27"/>
        <v>2022T-How3</v>
      </c>
      <c r="B2257" s="59">
        <v>2022.0</v>
      </c>
      <c r="C2257" s="13" t="s">
        <v>82</v>
      </c>
      <c r="D2257" s="13" t="s">
        <v>135</v>
      </c>
      <c r="E2257" s="34"/>
      <c r="F2257" s="6"/>
      <c r="H2257" s="6"/>
      <c r="I2257" s="35" t="str">
        <f>IFERROR(IFERROR(IFERROR(VLOOKUP(B2257&amp;C2257&amp;Q2257,'New Weekly Paste'!A:M,10,0),VLOOKUP(B2257&amp;C2257&amp;Q2257,'New Weekly Paste'!B:O,6,0)),""),"")</f>
        <v>Hudspeath</v>
      </c>
      <c r="J2257" s="259">
        <f>IFERROR(IFERROR(VLOOKUP(B2257&amp;C2257&amp;Q2257,'New Weekly Paste'!A:M,8,0),VLOOKUP(B2257&amp;C2257&amp;Q2257,'New Weekly Paste'!B:O,10,0)),0)</f>
        <v>51.5</v>
      </c>
      <c r="K2257" s="259">
        <f>IFERROR(IFERROR(VLOOKUP(B2257&amp;I2257&amp;Q2257,'New Weekly Paste'!A:M,8,0),VLOOKUP(B2257&amp;I2257&amp;Q2257,'New Weekly Paste'!B:O,10,0)),0)</f>
        <v>86.76</v>
      </c>
      <c r="L2257" s="239">
        <f t="shared" si="25"/>
        <v>0</v>
      </c>
      <c r="M2257" s="36" t="str">
        <f t="shared" si="3"/>
        <v>Regular Season</v>
      </c>
      <c r="N2257" s="239" t="str">
        <f t="shared" si="26"/>
        <v>Hudspeath</v>
      </c>
      <c r="O2257" s="6">
        <f>VLOOKUP(D2257,'Mapped Opponent'!$G$4:$H$22,2,0)</f>
        <v>3</v>
      </c>
      <c r="P2257" s="6"/>
      <c r="Q2257" s="6" t="str">
        <f t="shared" si="4"/>
        <v>Week 3</v>
      </c>
      <c r="R2257" s="6" t="str">
        <f t="shared" si="5"/>
        <v>2022Week 3</v>
      </c>
      <c r="S2257" s="6">
        <f>IFERROR(__xludf.DUMMYFUNCTION("rank(J2257,FILTER(J:J,R:R=R2257))"),12.0)</f>
        <v>12</v>
      </c>
      <c r="T2257" s="6">
        <f t="shared" si="6"/>
        <v>0</v>
      </c>
      <c r="U2257" s="6">
        <f t="shared" si="7"/>
        <v>12</v>
      </c>
      <c r="V2257" s="42">
        <f>averageif(AllData!A:A,B2257,AllData!R:R)/vlookup(B2257,AllData!A:O,15,0)</f>
        <v>92.75369048</v>
      </c>
      <c r="W2257" s="6"/>
    </row>
    <row r="2258" ht="14.25" customHeight="1">
      <c r="A2258" s="6" t="str">
        <f t="shared" si="27"/>
        <v>2022Hudspeath4</v>
      </c>
      <c r="B2258" s="59">
        <v>2022.0</v>
      </c>
      <c r="C2258" s="13" t="s">
        <v>39</v>
      </c>
      <c r="D2258" s="13" t="s">
        <v>138</v>
      </c>
      <c r="E2258" s="34"/>
      <c r="F2258" s="6"/>
      <c r="H2258" s="6"/>
      <c r="I2258" s="35" t="str">
        <f>IFERROR(IFERROR(IFERROR(VLOOKUP(B2258&amp;C2258&amp;Q2258,'New Weekly Paste'!A:M,10,0),VLOOKUP(B2258&amp;C2258&amp;Q2258,'New Weekly Paste'!B:O,6,0)),""),"")</f>
        <v>Pierson</v>
      </c>
      <c r="J2258" s="259">
        <f>IFERROR(IFERROR(VLOOKUP(B2258&amp;C2258&amp;Q2258,'New Weekly Paste'!A:M,8,0),VLOOKUP(B2258&amp;C2258&amp;Q2258,'New Weekly Paste'!B:O,10,0)),0)</f>
        <v>117.38</v>
      </c>
      <c r="K2258" s="259">
        <f>IFERROR(IFERROR(VLOOKUP(B2258&amp;I2258&amp;Q2258,'New Weekly Paste'!A:M,8,0),VLOOKUP(B2258&amp;I2258&amp;Q2258,'New Weekly Paste'!B:O,10,0)),0)</f>
        <v>104.26</v>
      </c>
      <c r="L2258" s="239">
        <f t="shared" si="25"/>
        <v>1</v>
      </c>
      <c r="M2258" s="36" t="str">
        <f t="shared" si="3"/>
        <v>Regular Season</v>
      </c>
      <c r="N2258" s="239" t="str">
        <f t="shared" si="26"/>
        <v>Pierson</v>
      </c>
      <c r="O2258" s="6">
        <f>VLOOKUP(D2258,'Mapped Opponent'!$G$4:$H$22,2,0)</f>
        <v>4</v>
      </c>
      <c r="P2258" s="6"/>
      <c r="Q2258" s="6" t="str">
        <f t="shared" si="4"/>
        <v>Week 4</v>
      </c>
      <c r="R2258" s="6" t="str">
        <f t="shared" si="5"/>
        <v>2022Week 4</v>
      </c>
      <c r="S2258" s="6">
        <f>IFERROR(__xludf.DUMMYFUNCTION("rank(J2258,FILTER(J:J,R:R=R2258))"),3.0)</f>
        <v>3</v>
      </c>
      <c r="T2258" s="6">
        <f t="shared" si="6"/>
        <v>9</v>
      </c>
      <c r="U2258" s="6">
        <f t="shared" si="7"/>
        <v>3</v>
      </c>
      <c r="V2258" s="42">
        <f>averageif(AllData!A:A,B2258,AllData!R:R)/vlookup(B2258,AllData!A:O,15,0)</f>
        <v>92.75369048</v>
      </c>
      <c r="W2258" s="6"/>
    </row>
    <row r="2259" ht="14.25" customHeight="1">
      <c r="A2259" s="6" t="str">
        <f t="shared" si="27"/>
        <v>2022Salty4</v>
      </c>
      <c r="B2259" s="59">
        <v>2022.0</v>
      </c>
      <c r="C2259" s="13" t="s">
        <v>76</v>
      </c>
      <c r="D2259" s="13" t="s">
        <v>138</v>
      </c>
      <c r="E2259" s="34"/>
      <c r="F2259" s="6"/>
      <c r="H2259" s="6"/>
      <c r="I2259" s="35" t="str">
        <f>IFERROR(IFERROR(IFERROR(VLOOKUP(B2259&amp;C2259&amp;Q2259,'New Weekly Paste'!A:M,10,0),VLOOKUP(B2259&amp;C2259&amp;Q2259,'New Weekly Paste'!B:O,6,0)),""),"")</f>
        <v>Cock</v>
      </c>
      <c r="J2259" s="259">
        <f>IFERROR(IFERROR(VLOOKUP(B2259&amp;C2259&amp;Q2259,'New Weekly Paste'!A:M,8,0),VLOOKUP(B2259&amp;C2259&amp;Q2259,'New Weekly Paste'!B:O,10,0)),0)</f>
        <v>142.56</v>
      </c>
      <c r="K2259" s="259">
        <f>IFERROR(IFERROR(VLOOKUP(B2259&amp;I2259&amp;Q2259,'New Weekly Paste'!A:M,8,0),VLOOKUP(B2259&amp;I2259&amp;Q2259,'New Weekly Paste'!B:O,10,0)),0)</f>
        <v>96.3</v>
      </c>
      <c r="L2259" s="239">
        <f t="shared" si="25"/>
        <v>1</v>
      </c>
      <c r="M2259" s="36" t="str">
        <f t="shared" si="3"/>
        <v>Regular Season</v>
      </c>
      <c r="N2259" s="239" t="str">
        <f t="shared" si="26"/>
        <v>Cock</v>
      </c>
      <c r="O2259" s="6">
        <f>VLOOKUP(D2259,'Mapped Opponent'!$G$4:$H$22,2,0)</f>
        <v>4</v>
      </c>
      <c r="P2259" s="6"/>
      <c r="Q2259" s="6" t="str">
        <f t="shared" si="4"/>
        <v>Week 4</v>
      </c>
      <c r="R2259" s="6" t="str">
        <f t="shared" si="5"/>
        <v>2022Week 4</v>
      </c>
      <c r="S2259" s="6">
        <f>IFERROR(__xludf.DUMMYFUNCTION("rank(J2259,FILTER(J:J,R:R=R2259))"),1.0)</f>
        <v>1</v>
      </c>
      <c r="T2259" s="6">
        <f t="shared" si="6"/>
        <v>11</v>
      </c>
      <c r="U2259" s="6">
        <f t="shared" si="7"/>
        <v>1</v>
      </c>
      <c r="V2259" s="42">
        <f>averageif(AllData!A:A,B2259,AllData!R:R)/vlookup(B2259,AllData!A:O,15,0)</f>
        <v>92.75369048</v>
      </c>
      <c r="W2259" s="6"/>
    </row>
    <row r="2260" ht="14.25" customHeight="1">
      <c r="A2260" s="6" t="str">
        <f t="shared" si="27"/>
        <v>2022Fellows4</v>
      </c>
      <c r="B2260" s="59">
        <v>2022.0</v>
      </c>
      <c r="C2260" s="13" t="s">
        <v>79</v>
      </c>
      <c r="D2260" s="13" t="s">
        <v>138</v>
      </c>
      <c r="E2260" s="34"/>
      <c r="F2260" s="6"/>
      <c r="H2260" s="6"/>
      <c r="I2260" s="35" t="str">
        <f>IFERROR(IFERROR(IFERROR(VLOOKUP(B2260&amp;C2260&amp;Q2260,'New Weekly Paste'!A:M,10,0),VLOOKUP(B2260&amp;C2260&amp;Q2260,'New Weekly Paste'!B:O,6,0)),""),"")</f>
        <v>KnardDawg</v>
      </c>
      <c r="J2260" s="259">
        <f>IFERROR(IFERROR(VLOOKUP(B2260&amp;C2260&amp;Q2260,'New Weekly Paste'!A:M,8,0),VLOOKUP(B2260&amp;C2260&amp;Q2260,'New Weekly Paste'!B:O,10,0)),0)</f>
        <v>93.62</v>
      </c>
      <c r="K2260" s="259">
        <f>IFERROR(IFERROR(VLOOKUP(B2260&amp;I2260&amp;Q2260,'New Weekly Paste'!A:M,8,0),VLOOKUP(B2260&amp;I2260&amp;Q2260,'New Weekly Paste'!B:O,10,0)),0)</f>
        <v>64.44</v>
      </c>
      <c r="L2260" s="239">
        <f t="shared" si="25"/>
        <v>1</v>
      </c>
      <c r="M2260" s="36" t="str">
        <f t="shared" si="3"/>
        <v>Regular Season</v>
      </c>
      <c r="N2260" s="239" t="str">
        <f t="shared" si="26"/>
        <v>KnardDawg</v>
      </c>
      <c r="O2260" s="6">
        <f>VLOOKUP(D2260,'Mapped Opponent'!$G$4:$H$22,2,0)</f>
        <v>4</v>
      </c>
      <c r="P2260" s="6"/>
      <c r="Q2260" s="6" t="str">
        <f t="shared" si="4"/>
        <v>Week 4</v>
      </c>
      <c r="R2260" s="6" t="str">
        <f t="shared" si="5"/>
        <v>2022Week 4</v>
      </c>
      <c r="S2260" s="6">
        <f>IFERROR(__xludf.DUMMYFUNCTION("rank(J2260,FILTER(J:J,R:R=R2260))"),8.0)</f>
        <v>8</v>
      </c>
      <c r="T2260" s="6">
        <f t="shared" si="6"/>
        <v>4</v>
      </c>
      <c r="U2260" s="6">
        <f t="shared" si="7"/>
        <v>8</v>
      </c>
      <c r="V2260" s="42">
        <f>averageif(AllData!A:A,B2260,AllData!R:R)/vlookup(B2260,AllData!A:O,15,0)</f>
        <v>92.75369048</v>
      </c>
      <c r="W2260" s="6"/>
    </row>
    <row r="2261" ht="14.25" customHeight="1">
      <c r="A2261" s="6" t="str">
        <f t="shared" si="27"/>
        <v>2022Shep4</v>
      </c>
      <c r="B2261" s="59">
        <v>2022.0</v>
      </c>
      <c r="C2261" s="13" t="s">
        <v>89</v>
      </c>
      <c r="D2261" s="13" t="s">
        <v>138</v>
      </c>
      <c r="E2261" s="34"/>
      <c r="F2261" s="6"/>
      <c r="H2261" s="6"/>
      <c r="I2261" s="35" t="str">
        <f>IFERROR(IFERROR(IFERROR(VLOOKUP(B2261&amp;C2261&amp;Q2261,'New Weekly Paste'!A:M,10,0),VLOOKUP(B2261&amp;C2261&amp;Q2261,'New Weekly Paste'!B:O,6,0)),""),"")</f>
        <v>Tayski</v>
      </c>
      <c r="J2261" s="259">
        <f>IFERROR(IFERROR(VLOOKUP(B2261&amp;C2261&amp;Q2261,'New Weekly Paste'!A:M,8,0),VLOOKUP(B2261&amp;C2261&amp;Q2261,'New Weekly Paste'!B:O,10,0)),0)</f>
        <v>83.68</v>
      </c>
      <c r="K2261" s="259">
        <f>IFERROR(IFERROR(VLOOKUP(B2261&amp;I2261&amp;Q2261,'New Weekly Paste'!A:M,8,0),VLOOKUP(B2261&amp;I2261&amp;Q2261,'New Weekly Paste'!B:O,10,0)),0)</f>
        <v>134.82</v>
      </c>
      <c r="L2261" s="239">
        <f t="shared" si="25"/>
        <v>0</v>
      </c>
      <c r="M2261" s="36" t="str">
        <f t="shared" si="3"/>
        <v>Regular Season</v>
      </c>
      <c r="N2261" s="239" t="str">
        <f t="shared" si="26"/>
        <v>Tayski</v>
      </c>
      <c r="O2261" s="6">
        <f>VLOOKUP(D2261,'Mapped Opponent'!$G$4:$H$22,2,0)</f>
        <v>4</v>
      </c>
      <c r="P2261" s="6"/>
      <c r="Q2261" s="6" t="str">
        <f t="shared" si="4"/>
        <v>Week 4</v>
      </c>
      <c r="R2261" s="6" t="str">
        <f t="shared" si="5"/>
        <v>2022Week 4</v>
      </c>
      <c r="S2261" s="6">
        <f>IFERROR(__xludf.DUMMYFUNCTION("rank(J2261,FILTER(J:J,R:R=R2261))"),10.0)</f>
        <v>10</v>
      </c>
      <c r="T2261" s="6">
        <f t="shared" si="6"/>
        <v>2</v>
      </c>
      <c r="U2261" s="6">
        <f t="shared" si="7"/>
        <v>10</v>
      </c>
      <c r="V2261" s="42">
        <f>averageif(AllData!A:A,B2261,AllData!R:R)/vlookup(B2261,AllData!A:O,15,0)</f>
        <v>92.75369048</v>
      </c>
      <c r="W2261" s="6"/>
    </row>
    <row r="2262" ht="14.25" customHeight="1">
      <c r="A2262" s="6" t="str">
        <f t="shared" si="27"/>
        <v>2022Riley4</v>
      </c>
      <c r="B2262" s="59">
        <v>2022.0</v>
      </c>
      <c r="C2262" s="13" t="s">
        <v>67</v>
      </c>
      <c r="D2262" s="13" t="s">
        <v>138</v>
      </c>
      <c r="E2262" s="34"/>
      <c r="F2262" s="6"/>
      <c r="H2262" s="6"/>
      <c r="I2262" s="35" t="str">
        <f>IFERROR(IFERROR(IFERROR(VLOOKUP(B2262&amp;C2262&amp;Q2262,'New Weekly Paste'!A:M,10,0),VLOOKUP(B2262&amp;C2262&amp;Q2262,'New Weekly Paste'!B:O,6,0)),""),"")</f>
        <v>Rooney/Jackson</v>
      </c>
      <c r="J2262" s="259">
        <f>IFERROR(IFERROR(VLOOKUP(B2262&amp;C2262&amp;Q2262,'New Weekly Paste'!A:M,8,0),VLOOKUP(B2262&amp;C2262&amp;Q2262,'New Weekly Paste'!B:O,10,0)),0)</f>
        <v>73.46</v>
      </c>
      <c r="K2262" s="259">
        <f>IFERROR(IFERROR(VLOOKUP(B2262&amp;I2262&amp;Q2262,'New Weekly Paste'!A:M,8,0),VLOOKUP(B2262&amp;I2262&amp;Q2262,'New Weekly Paste'!B:O,10,0)),0)</f>
        <v>100.68</v>
      </c>
      <c r="L2262" s="239">
        <f t="shared" si="25"/>
        <v>0</v>
      </c>
      <c r="M2262" s="36" t="str">
        <f t="shared" si="3"/>
        <v>Regular Season</v>
      </c>
      <c r="N2262" s="239" t="str">
        <f t="shared" si="26"/>
        <v>Rooney/Jackson</v>
      </c>
      <c r="O2262" s="6">
        <f>VLOOKUP(D2262,'Mapped Opponent'!$G$4:$H$22,2,0)</f>
        <v>4</v>
      </c>
      <c r="P2262" s="6"/>
      <c r="Q2262" s="6" t="str">
        <f t="shared" si="4"/>
        <v>Week 4</v>
      </c>
      <c r="R2262" s="6" t="str">
        <f t="shared" si="5"/>
        <v>2022Week 4</v>
      </c>
      <c r="S2262" s="6">
        <f>IFERROR(__xludf.DUMMYFUNCTION("rank(J2262,FILTER(J:J,R:R=R2262))"),11.0)</f>
        <v>11</v>
      </c>
      <c r="T2262" s="6">
        <f t="shared" si="6"/>
        <v>1</v>
      </c>
      <c r="U2262" s="6">
        <f t="shared" si="7"/>
        <v>11</v>
      </c>
      <c r="V2262" s="42">
        <f>averageif(AllData!A:A,B2262,AllData!R:R)/vlookup(B2262,AllData!A:O,15,0)</f>
        <v>92.75369048</v>
      </c>
      <c r="W2262" s="6"/>
    </row>
    <row r="2263" ht="14.25" customHeight="1">
      <c r="A2263" s="6" t="str">
        <f t="shared" si="27"/>
        <v>2022Rooney/Jackson4</v>
      </c>
      <c r="B2263" s="59">
        <v>2022.0</v>
      </c>
      <c r="C2263" s="13" t="s">
        <v>57</v>
      </c>
      <c r="D2263" s="13" t="s">
        <v>138</v>
      </c>
      <c r="E2263" s="34"/>
      <c r="F2263" s="6"/>
      <c r="H2263" s="6"/>
      <c r="I2263" s="35" t="str">
        <f>IFERROR(IFERROR(IFERROR(VLOOKUP(B2263&amp;C2263&amp;Q2263,'New Weekly Paste'!A:M,10,0),VLOOKUP(B2263&amp;C2263&amp;Q2263,'New Weekly Paste'!B:O,6,0)),""),"")</f>
        <v>Riley</v>
      </c>
      <c r="J2263" s="259">
        <f>IFERROR(IFERROR(VLOOKUP(B2263&amp;C2263&amp;Q2263,'New Weekly Paste'!A:M,8,0),VLOOKUP(B2263&amp;C2263&amp;Q2263,'New Weekly Paste'!B:O,10,0)),0)</f>
        <v>100.68</v>
      </c>
      <c r="K2263" s="259">
        <f>IFERROR(IFERROR(VLOOKUP(B2263&amp;I2263&amp;Q2263,'New Weekly Paste'!A:M,8,0),VLOOKUP(B2263&amp;I2263&amp;Q2263,'New Weekly Paste'!B:O,10,0)),0)</f>
        <v>73.46</v>
      </c>
      <c r="L2263" s="239">
        <f t="shared" si="25"/>
        <v>1</v>
      </c>
      <c r="M2263" s="36" t="str">
        <f t="shared" si="3"/>
        <v>Regular Season</v>
      </c>
      <c r="N2263" s="239" t="str">
        <f t="shared" si="26"/>
        <v>Riley</v>
      </c>
      <c r="O2263" s="6">
        <f>VLOOKUP(D2263,'Mapped Opponent'!$G$4:$H$22,2,0)</f>
        <v>4</v>
      </c>
      <c r="P2263" s="6"/>
      <c r="Q2263" s="6" t="str">
        <f t="shared" si="4"/>
        <v>Week 4</v>
      </c>
      <c r="R2263" s="6" t="str">
        <f t="shared" si="5"/>
        <v>2022Week 4</v>
      </c>
      <c r="S2263" s="6">
        <f>IFERROR(__xludf.DUMMYFUNCTION("rank(J2263,FILTER(J:J,R:R=R2263))"),6.0)</f>
        <v>6</v>
      </c>
      <c r="T2263" s="6">
        <f t="shared" si="6"/>
        <v>6</v>
      </c>
      <c r="U2263" s="6">
        <f t="shared" si="7"/>
        <v>6</v>
      </c>
      <c r="V2263" s="42">
        <f>averageif(AllData!A:A,B2263,AllData!R:R)/vlookup(B2263,AllData!A:O,15,0)</f>
        <v>92.75369048</v>
      </c>
      <c r="W2263" s="6"/>
    </row>
    <row r="2264" ht="14.25" customHeight="1">
      <c r="A2264" s="6" t="str">
        <f t="shared" si="27"/>
        <v>2022Buser4</v>
      </c>
      <c r="B2264" s="59">
        <v>2022.0</v>
      </c>
      <c r="C2264" s="13" t="s">
        <v>47</v>
      </c>
      <c r="D2264" s="13" t="s">
        <v>138</v>
      </c>
      <c r="E2264" s="34"/>
      <c r="F2264" s="6"/>
      <c r="H2264" s="6"/>
      <c r="I2264" s="35" t="str">
        <f>IFERROR(IFERROR(IFERROR(VLOOKUP(B2264&amp;C2264&amp;Q2264,'New Weekly Paste'!A:M,10,0),VLOOKUP(B2264&amp;C2264&amp;Q2264,'New Weekly Paste'!B:O,6,0)),""),"")</f>
        <v>T-How</v>
      </c>
      <c r="J2264" s="259">
        <f>IFERROR(IFERROR(VLOOKUP(B2264&amp;C2264&amp;Q2264,'New Weekly Paste'!A:M,8,0),VLOOKUP(B2264&amp;C2264&amp;Q2264,'New Weekly Paste'!B:O,10,0)),0)</f>
        <v>102.2</v>
      </c>
      <c r="K2264" s="259">
        <f>IFERROR(IFERROR(VLOOKUP(B2264&amp;I2264&amp;Q2264,'New Weekly Paste'!A:M,8,0),VLOOKUP(B2264&amp;I2264&amp;Q2264,'New Weekly Paste'!B:O,10,0)),0)</f>
        <v>83.82</v>
      </c>
      <c r="L2264" s="239">
        <f t="shared" si="25"/>
        <v>1</v>
      </c>
      <c r="M2264" s="36" t="str">
        <f t="shared" si="3"/>
        <v>Regular Season</v>
      </c>
      <c r="N2264" s="239" t="str">
        <f t="shared" si="26"/>
        <v>T-How</v>
      </c>
      <c r="O2264" s="6">
        <f>VLOOKUP(D2264,'Mapped Opponent'!$G$4:$H$22,2,0)</f>
        <v>4</v>
      </c>
      <c r="P2264" s="6"/>
      <c r="Q2264" s="6" t="str">
        <f t="shared" si="4"/>
        <v>Week 4</v>
      </c>
      <c r="R2264" s="6" t="str">
        <f t="shared" si="5"/>
        <v>2022Week 4</v>
      </c>
      <c r="S2264" s="6">
        <f>IFERROR(__xludf.DUMMYFUNCTION("rank(J2264,FILTER(J:J,R:R=R2264))"),5.0)</f>
        <v>5</v>
      </c>
      <c r="T2264" s="6">
        <f t="shared" si="6"/>
        <v>7</v>
      </c>
      <c r="U2264" s="6">
        <f t="shared" si="7"/>
        <v>5</v>
      </c>
      <c r="V2264" s="42">
        <f>averageif(AllData!A:A,B2264,AllData!R:R)/vlookup(B2264,AllData!A:O,15,0)</f>
        <v>92.75369048</v>
      </c>
      <c r="W2264" s="6"/>
    </row>
    <row r="2265" ht="14.25" customHeight="1">
      <c r="A2265" s="6" t="str">
        <f t="shared" si="27"/>
        <v>2022Pierson4</v>
      </c>
      <c r="B2265" s="59">
        <v>2022.0</v>
      </c>
      <c r="C2265" s="13" t="s">
        <v>92</v>
      </c>
      <c r="D2265" s="13" t="s">
        <v>138</v>
      </c>
      <c r="E2265" s="34"/>
      <c r="F2265" s="6"/>
      <c r="H2265" s="6"/>
      <c r="I2265" s="35" t="str">
        <f>IFERROR(IFERROR(IFERROR(VLOOKUP(B2265&amp;C2265&amp;Q2265,'New Weekly Paste'!A:M,10,0),VLOOKUP(B2265&amp;C2265&amp;Q2265,'New Weekly Paste'!B:O,6,0)),""),"")</f>
        <v>Hudspeath</v>
      </c>
      <c r="J2265" s="259">
        <f>IFERROR(IFERROR(VLOOKUP(B2265&amp;C2265&amp;Q2265,'New Weekly Paste'!A:M,8,0),VLOOKUP(B2265&amp;C2265&amp;Q2265,'New Weekly Paste'!B:O,10,0)),0)</f>
        <v>104.26</v>
      </c>
      <c r="K2265" s="259">
        <f>IFERROR(IFERROR(VLOOKUP(B2265&amp;I2265&amp;Q2265,'New Weekly Paste'!A:M,8,0),VLOOKUP(B2265&amp;I2265&amp;Q2265,'New Weekly Paste'!B:O,10,0)),0)</f>
        <v>117.38</v>
      </c>
      <c r="L2265" s="239">
        <f t="shared" si="25"/>
        <v>0</v>
      </c>
      <c r="M2265" s="36" t="str">
        <f t="shared" si="3"/>
        <v>Regular Season</v>
      </c>
      <c r="N2265" s="239" t="str">
        <f t="shared" si="26"/>
        <v>Hudspeath</v>
      </c>
      <c r="O2265" s="6">
        <f>VLOOKUP(D2265,'Mapped Opponent'!$G$4:$H$22,2,0)</f>
        <v>4</v>
      </c>
      <c r="P2265" s="6"/>
      <c r="Q2265" s="6" t="str">
        <f t="shared" si="4"/>
        <v>Week 4</v>
      </c>
      <c r="R2265" s="6" t="str">
        <f t="shared" si="5"/>
        <v>2022Week 4</v>
      </c>
      <c r="S2265" s="6">
        <f>IFERROR(__xludf.DUMMYFUNCTION("rank(J2265,FILTER(J:J,R:R=R2265))"),4.0)</f>
        <v>4</v>
      </c>
      <c r="T2265" s="6">
        <f t="shared" si="6"/>
        <v>8</v>
      </c>
      <c r="U2265" s="6">
        <f t="shared" si="7"/>
        <v>4</v>
      </c>
      <c r="V2265" s="42">
        <f>averageif(AllData!A:A,B2265,AllData!R:R)/vlookup(B2265,AllData!A:O,15,0)</f>
        <v>92.75369048</v>
      </c>
      <c r="W2265" s="6"/>
    </row>
    <row r="2266" ht="14.25" customHeight="1">
      <c r="A2266" s="6" t="str">
        <f t="shared" si="27"/>
        <v>2022Cock4</v>
      </c>
      <c r="B2266" s="59">
        <v>2022.0</v>
      </c>
      <c r="C2266" s="13" t="s">
        <v>72</v>
      </c>
      <c r="D2266" s="13" t="s">
        <v>138</v>
      </c>
      <c r="E2266" s="34"/>
      <c r="F2266" s="6"/>
      <c r="H2266" s="6"/>
      <c r="I2266" s="35" t="str">
        <f>IFERROR(IFERROR(IFERROR(VLOOKUP(B2266&amp;C2266&amp;Q2266,'New Weekly Paste'!A:M,10,0),VLOOKUP(B2266&amp;C2266&amp;Q2266,'New Weekly Paste'!B:O,6,0)),""),"")</f>
        <v>Salty</v>
      </c>
      <c r="J2266" s="259">
        <f>IFERROR(IFERROR(VLOOKUP(B2266&amp;C2266&amp;Q2266,'New Weekly Paste'!A:M,8,0),VLOOKUP(B2266&amp;C2266&amp;Q2266,'New Weekly Paste'!B:O,10,0)),0)</f>
        <v>96.3</v>
      </c>
      <c r="K2266" s="259">
        <f>IFERROR(IFERROR(VLOOKUP(B2266&amp;I2266&amp;Q2266,'New Weekly Paste'!A:M,8,0),VLOOKUP(B2266&amp;I2266&amp;Q2266,'New Weekly Paste'!B:O,10,0)),0)</f>
        <v>142.56</v>
      </c>
      <c r="L2266" s="239">
        <f t="shared" si="25"/>
        <v>0</v>
      </c>
      <c r="M2266" s="36" t="str">
        <f t="shared" si="3"/>
        <v>Regular Season</v>
      </c>
      <c r="N2266" s="239" t="str">
        <f t="shared" si="26"/>
        <v>Salty</v>
      </c>
      <c r="O2266" s="6">
        <f>VLOOKUP(D2266,'Mapped Opponent'!$G$4:$H$22,2,0)</f>
        <v>4</v>
      </c>
      <c r="P2266" s="6"/>
      <c r="Q2266" s="6" t="str">
        <f t="shared" si="4"/>
        <v>Week 4</v>
      </c>
      <c r="R2266" s="6" t="str">
        <f t="shared" si="5"/>
        <v>2022Week 4</v>
      </c>
      <c r="S2266" s="6">
        <f>IFERROR(__xludf.DUMMYFUNCTION("rank(J2266,FILTER(J:J,R:R=R2266))"),7.0)</f>
        <v>7</v>
      </c>
      <c r="T2266" s="6">
        <f t="shared" si="6"/>
        <v>5</v>
      </c>
      <c r="U2266" s="6">
        <f t="shared" si="7"/>
        <v>7</v>
      </c>
      <c r="V2266" s="42">
        <f>averageif(AllData!A:A,B2266,AllData!R:R)/vlookup(B2266,AllData!A:O,15,0)</f>
        <v>92.75369048</v>
      </c>
      <c r="W2266" s="6"/>
    </row>
    <row r="2267" ht="14.25" customHeight="1">
      <c r="A2267" s="6" t="str">
        <f t="shared" si="27"/>
        <v>2022Tayski4</v>
      </c>
      <c r="B2267" s="59">
        <v>2022.0</v>
      </c>
      <c r="C2267" s="13" t="s">
        <v>52</v>
      </c>
      <c r="D2267" s="13" t="s">
        <v>138</v>
      </c>
      <c r="E2267" s="34"/>
      <c r="F2267" s="6"/>
      <c r="H2267" s="6"/>
      <c r="I2267" s="35" t="str">
        <f>IFERROR(IFERROR(IFERROR(VLOOKUP(B2267&amp;C2267&amp;Q2267,'New Weekly Paste'!A:M,10,0),VLOOKUP(B2267&amp;C2267&amp;Q2267,'New Weekly Paste'!B:O,6,0)),""),"")</f>
        <v>Shep</v>
      </c>
      <c r="J2267" s="259">
        <f>IFERROR(IFERROR(VLOOKUP(B2267&amp;C2267&amp;Q2267,'New Weekly Paste'!A:M,8,0),VLOOKUP(B2267&amp;C2267&amp;Q2267,'New Weekly Paste'!B:O,10,0)),0)</f>
        <v>134.82</v>
      </c>
      <c r="K2267" s="259">
        <f>IFERROR(IFERROR(VLOOKUP(B2267&amp;I2267&amp;Q2267,'New Weekly Paste'!A:M,8,0),VLOOKUP(B2267&amp;I2267&amp;Q2267,'New Weekly Paste'!B:O,10,0)),0)</f>
        <v>83.68</v>
      </c>
      <c r="L2267" s="239">
        <f t="shared" si="25"/>
        <v>1</v>
      </c>
      <c r="M2267" s="36" t="str">
        <f t="shared" si="3"/>
        <v>Regular Season</v>
      </c>
      <c r="N2267" s="239" t="str">
        <f t="shared" si="26"/>
        <v>Shep</v>
      </c>
      <c r="O2267" s="6">
        <f>VLOOKUP(D2267,'Mapped Opponent'!$G$4:$H$22,2,0)</f>
        <v>4</v>
      </c>
      <c r="P2267" s="6"/>
      <c r="Q2267" s="6" t="str">
        <f t="shared" si="4"/>
        <v>Week 4</v>
      </c>
      <c r="R2267" s="6" t="str">
        <f t="shared" si="5"/>
        <v>2022Week 4</v>
      </c>
      <c r="S2267" s="6">
        <f>IFERROR(__xludf.DUMMYFUNCTION("rank(J2267,FILTER(J:J,R:R=R2267))"),2.0)</f>
        <v>2</v>
      </c>
      <c r="T2267" s="6">
        <f t="shared" si="6"/>
        <v>10</v>
      </c>
      <c r="U2267" s="6">
        <f t="shared" si="7"/>
        <v>2</v>
      </c>
      <c r="V2267" s="42">
        <f>averageif(AllData!A:A,B2267,AllData!R:R)/vlookup(B2267,AllData!A:O,15,0)</f>
        <v>92.75369048</v>
      </c>
      <c r="W2267" s="6"/>
    </row>
    <row r="2268" ht="14.25" customHeight="1">
      <c r="A2268" s="6" t="str">
        <f t="shared" si="27"/>
        <v>2022KnardDawg4</v>
      </c>
      <c r="B2268" s="59">
        <v>2022.0</v>
      </c>
      <c r="C2268" s="13" t="s">
        <v>86</v>
      </c>
      <c r="D2268" s="13" t="s">
        <v>138</v>
      </c>
      <c r="E2268" s="34"/>
      <c r="F2268" s="6"/>
      <c r="H2268" s="6"/>
      <c r="I2268" s="35" t="str">
        <f>IFERROR(IFERROR(IFERROR(VLOOKUP(B2268&amp;C2268&amp;Q2268,'New Weekly Paste'!A:M,10,0),VLOOKUP(B2268&amp;C2268&amp;Q2268,'New Weekly Paste'!B:O,6,0)),""),"")</f>
        <v>Fellows</v>
      </c>
      <c r="J2268" s="259">
        <f>IFERROR(IFERROR(VLOOKUP(B2268&amp;C2268&amp;Q2268,'New Weekly Paste'!A:M,8,0),VLOOKUP(B2268&amp;C2268&amp;Q2268,'New Weekly Paste'!B:O,10,0)),0)</f>
        <v>64.44</v>
      </c>
      <c r="K2268" s="259">
        <f>IFERROR(IFERROR(VLOOKUP(B2268&amp;I2268&amp;Q2268,'New Weekly Paste'!A:M,8,0),VLOOKUP(B2268&amp;I2268&amp;Q2268,'New Weekly Paste'!B:O,10,0)),0)</f>
        <v>93.62</v>
      </c>
      <c r="L2268" s="239">
        <f t="shared" si="25"/>
        <v>0</v>
      </c>
      <c r="M2268" s="36" t="str">
        <f t="shared" si="3"/>
        <v>Regular Season</v>
      </c>
      <c r="N2268" s="239" t="str">
        <f t="shared" si="26"/>
        <v>Fellows</v>
      </c>
      <c r="O2268" s="6">
        <f>VLOOKUP(D2268,'Mapped Opponent'!$G$4:$H$22,2,0)</f>
        <v>4</v>
      </c>
      <c r="P2268" s="6"/>
      <c r="Q2268" s="6" t="str">
        <f t="shared" si="4"/>
        <v>Week 4</v>
      </c>
      <c r="R2268" s="6" t="str">
        <f t="shared" si="5"/>
        <v>2022Week 4</v>
      </c>
      <c r="S2268" s="6">
        <f>IFERROR(__xludf.DUMMYFUNCTION("rank(J2268,FILTER(J:J,R:R=R2268))"),12.0)</f>
        <v>12</v>
      </c>
      <c r="T2268" s="6">
        <f t="shared" si="6"/>
        <v>0</v>
      </c>
      <c r="U2268" s="6">
        <f t="shared" si="7"/>
        <v>12</v>
      </c>
      <c r="V2268" s="42">
        <f>averageif(AllData!A:A,B2268,AllData!R:R)/vlookup(B2268,AllData!A:O,15,0)</f>
        <v>92.75369048</v>
      </c>
      <c r="W2268" s="6"/>
    </row>
    <row r="2269" ht="14.25" customHeight="1">
      <c r="A2269" s="6" t="str">
        <f t="shared" si="27"/>
        <v>2022T-How4</v>
      </c>
      <c r="B2269" s="59">
        <v>2022.0</v>
      </c>
      <c r="C2269" s="13" t="s">
        <v>82</v>
      </c>
      <c r="D2269" s="13" t="s">
        <v>138</v>
      </c>
      <c r="E2269" s="34"/>
      <c r="F2269" s="6"/>
      <c r="H2269" s="6"/>
      <c r="I2269" s="35" t="str">
        <f>IFERROR(IFERROR(IFERROR(VLOOKUP(B2269&amp;C2269&amp;Q2269,'New Weekly Paste'!A:M,10,0),VLOOKUP(B2269&amp;C2269&amp;Q2269,'New Weekly Paste'!B:O,6,0)),""),"")</f>
        <v>Buser</v>
      </c>
      <c r="J2269" s="259">
        <f>IFERROR(IFERROR(VLOOKUP(B2269&amp;C2269&amp;Q2269,'New Weekly Paste'!A:M,8,0),VLOOKUP(B2269&amp;C2269&amp;Q2269,'New Weekly Paste'!B:O,10,0)),0)</f>
        <v>83.82</v>
      </c>
      <c r="K2269" s="259">
        <f>IFERROR(IFERROR(VLOOKUP(B2269&amp;I2269&amp;Q2269,'New Weekly Paste'!A:M,8,0),VLOOKUP(B2269&amp;I2269&amp;Q2269,'New Weekly Paste'!B:O,10,0)),0)</f>
        <v>102.2</v>
      </c>
      <c r="L2269" s="239">
        <f t="shared" si="25"/>
        <v>0</v>
      </c>
      <c r="M2269" s="36" t="str">
        <f t="shared" si="3"/>
        <v>Regular Season</v>
      </c>
      <c r="N2269" s="239" t="str">
        <f t="shared" si="26"/>
        <v>Buser</v>
      </c>
      <c r="O2269" s="6">
        <f>VLOOKUP(D2269,'Mapped Opponent'!$G$4:$H$22,2,0)</f>
        <v>4</v>
      </c>
      <c r="P2269" s="6"/>
      <c r="Q2269" s="6" t="str">
        <f t="shared" si="4"/>
        <v>Week 4</v>
      </c>
      <c r="R2269" s="6" t="str">
        <f t="shared" si="5"/>
        <v>2022Week 4</v>
      </c>
      <c r="S2269" s="6">
        <f>IFERROR(__xludf.DUMMYFUNCTION("rank(J2269,FILTER(J:J,R:R=R2269))"),9.0)</f>
        <v>9</v>
      </c>
      <c r="T2269" s="6">
        <f t="shared" si="6"/>
        <v>3</v>
      </c>
      <c r="U2269" s="6">
        <f t="shared" si="7"/>
        <v>9</v>
      </c>
      <c r="V2269" s="42">
        <f>averageif(AllData!A:A,B2269,AllData!R:R)/vlookup(B2269,AllData!A:O,15,0)</f>
        <v>92.75369048</v>
      </c>
      <c r="W2269" s="6"/>
    </row>
    <row r="2270" ht="14.25" customHeight="1">
      <c r="A2270" s="6" t="str">
        <f t="shared" si="27"/>
        <v>2022Hudspeath5</v>
      </c>
      <c r="B2270" s="59">
        <v>2022.0</v>
      </c>
      <c r="C2270" s="13" t="s">
        <v>39</v>
      </c>
      <c r="D2270" s="13" t="s">
        <v>141</v>
      </c>
      <c r="E2270" s="34"/>
      <c r="F2270" s="6"/>
      <c r="H2270" s="6"/>
      <c r="I2270" s="35" t="str">
        <f>IFERROR(IFERROR(IFERROR(VLOOKUP(B2270&amp;C2270&amp;Q2270,'New Weekly Paste'!A:M,10,0),VLOOKUP(B2270&amp;C2270&amp;Q2270,'New Weekly Paste'!B:O,6,0)),""),"")</f>
        <v>Buser</v>
      </c>
      <c r="J2270" s="259">
        <f>IFERROR(IFERROR(VLOOKUP(B2270&amp;C2270&amp;Q2270,'New Weekly Paste'!A:M,8,0),VLOOKUP(B2270&amp;C2270&amp;Q2270,'New Weekly Paste'!B:O,10,0)),0)</f>
        <v>76.66</v>
      </c>
      <c r="K2270" s="259">
        <f>IFERROR(IFERROR(VLOOKUP(B2270&amp;I2270&amp;Q2270,'New Weekly Paste'!A:M,8,0),VLOOKUP(B2270&amp;I2270&amp;Q2270,'New Weekly Paste'!B:O,10,0)),0)</f>
        <v>89.42</v>
      </c>
      <c r="L2270" s="239">
        <f t="shared" si="25"/>
        <v>0</v>
      </c>
      <c r="M2270" s="36" t="str">
        <f t="shared" si="3"/>
        <v>Regular Season</v>
      </c>
      <c r="N2270" s="239" t="str">
        <f t="shared" si="26"/>
        <v>Buser</v>
      </c>
      <c r="O2270" s="6">
        <f>VLOOKUP(D2270,'Mapped Opponent'!$G$4:$H$22,2,0)</f>
        <v>5</v>
      </c>
      <c r="P2270" s="6"/>
      <c r="Q2270" s="6" t="str">
        <f t="shared" si="4"/>
        <v>Week 5</v>
      </c>
      <c r="R2270" s="6" t="str">
        <f t="shared" si="5"/>
        <v>2022Week 5</v>
      </c>
      <c r="S2270" s="6">
        <f>IFERROR(__xludf.DUMMYFUNCTION("rank(J2270,FILTER(J:J,R:R=R2270))"),8.0)</f>
        <v>8</v>
      </c>
      <c r="T2270" s="6">
        <f t="shared" si="6"/>
        <v>4</v>
      </c>
      <c r="U2270" s="6">
        <f t="shared" si="7"/>
        <v>8</v>
      </c>
      <c r="V2270" s="42">
        <f>averageif(AllData!A:A,B2270,AllData!R:R)/vlookup(B2270,AllData!A:O,15,0)</f>
        <v>92.75369048</v>
      </c>
      <c r="W2270" s="6"/>
    </row>
    <row r="2271" ht="14.25" customHeight="1">
      <c r="A2271" s="6" t="str">
        <f t="shared" si="27"/>
        <v>2022Salty5</v>
      </c>
      <c r="B2271" s="59">
        <v>2022.0</v>
      </c>
      <c r="C2271" s="13" t="s">
        <v>76</v>
      </c>
      <c r="D2271" s="13" t="s">
        <v>141</v>
      </c>
      <c r="E2271" s="34"/>
      <c r="F2271" s="6"/>
      <c r="H2271" s="6"/>
      <c r="I2271" s="35" t="str">
        <f>IFERROR(IFERROR(IFERROR(VLOOKUP(B2271&amp;C2271&amp;Q2271,'New Weekly Paste'!A:M,10,0),VLOOKUP(B2271&amp;C2271&amp;Q2271,'New Weekly Paste'!B:O,6,0)),""),"")</f>
        <v>KnardDawg</v>
      </c>
      <c r="J2271" s="259">
        <f>IFERROR(IFERROR(VLOOKUP(B2271&amp;C2271&amp;Q2271,'New Weekly Paste'!A:M,8,0),VLOOKUP(B2271&amp;C2271&amp;Q2271,'New Weekly Paste'!B:O,10,0)),0)</f>
        <v>107.86</v>
      </c>
      <c r="K2271" s="259">
        <f>IFERROR(IFERROR(VLOOKUP(B2271&amp;I2271&amp;Q2271,'New Weekly Paste'!A:M,8,0),VLOOKUP(B2271&amp;I2271&amp;Q2271,'New Weekly Paste'!B:O,10,0)),0)</f>
        <v>74.98</v>
      </c>
      <c r="L2271" s="239">
        <f t="shared" si="25"/>
        <v>1</v>
      </c>
      <c r="M2271" s="36" t="str">
        <f t="shared" si="3"/>
        <v>Regular Season</v>
      </c>
      <c r="N2271" s="239" t="str">
        <f t="shared" si="26"/>
        <v>KnardDawg</v>
      </c>
      <c r="O2271" s="6">
        <f>VLOOKUP(D2271,'Mapped Opponent'!$G$4:$H$22,2,0)</f>
        <v>5</v>
      </c>
      <c r="P2271" s="6"/>
      <c r="Q2271" s="6" t="str">
        <f t="shared" si="4"/>
        <v>Week 5</v>
      </c>
      <c r="R2271" s="6" t="str">
        <f t="shared" si="5"/>
        <v>2022Week 5</v>
      </c>
      <c r="S2271" s="6">
        <f>IFERROR(__xludf.DUMMYFUNCTION("rank(J2271,FILTER(J:J,R:R=R2271))"),5.0)</f>
        <v>5</v>
      </c>
      <c r="T2271" s="6">
        <f t="shared" si="6"/>
        <v>7</v>
      </c>
      <c r="U2271" s="6">
        <f t="shared" si="7"/>
        <v>5</v>
      </c>
      <c r="V2271" s="42">
        <f>averageif(AllData!A:A,B2271,AllData!R:R)/vlookup(B2271,AllData!A:O,15,0)</f>
        <v>92.75369048</v>
      </c>
      <c r="W2271" s="6"/>
    </row>
    <row r="2272" ht="14.25" customHeight="1">
      <c r="A2272" s="6" t="str">
        <f t="shared" si="27"/>
        <v>2022Fellows5</v>
      </c>
      <c r="B2272" s="59">
        <v>2022.0</v>
      </c>
      <c r="C2272" s="13" t="s">
        <v>79</v>
      </c>
      <c r="D2272" s="13" t="s">
        <v>141</v>
      </c>
      <c r="E2272" s="34"/>
      <c r="F2272" s="6"/>
      <c r="H2272" s="6"/>
      <c r="I2272" s="35" t="str">
        <f>IFERROR(IFERROR(IFERROR(VLOOKUP(B2272&amp;C2272&amp;Q2272,'New Weekly Paste'!A:M,10,0),VLOOKUP(B2272&amp;C2272&amp;Q2272,'New Weekly Paste'!B:O,6,0)),""),"")</f>
        <v>T-How</v>
      </c>
      <c r="J2272" s="259">
        <f>IFERROR(IFERROR(VLOOKUP(B2272&amp;C2272&amp;Q2272,'New Weekly Paste'!A:M,8,0),VLOOKUP(B2272&amp;C2272&amp;Q2272,'New Weekly Paste'!B:O,10,0)),0)</f>
        <v>128.16</v>
      </c>
      <c r="K2272" s="259">
        <f>IFERROR(IFERROR(VLOOKUP(B2272&amp;I2272&amp;Q2272,'New Weekly Paste'!A:M,8,0),VLOOKUP(B2272&amp;I2272&amp;Q2272,'New Weekly Paste'!B:O,10,0)),0)</f>
        <v>130.22</v>
      </c>
      <c r="L2272" s="239">
        <f t="shared" si="25"/>
        <v>0</v>
      </c>
      <c r="M2272" s="36" t="str">
        <f t="shared" si="3"/>
        <v>Regular Season</v>
      </c>
      <c r="N2272" s="239" t="str">
        <f t="shared" si="26"/>
        <v>T-How</v>
      </c>
      <c r="O2272" s="6">
        <f>VLOOKUP(D2272,'Mapped Opponent'!$G$4:$H$22,2,0)</f>
        <v>5</v>
      </c>
      <c r="P2272" s="6"/>
      <c r="Q2272" s="6" t="str">
        <f t="shared" si="4"/>
        <v>Week 5</v>
      </c>
      <c r="R2272" s="6" t="str">
        <f t="shared" si="5"/>
        <v>2022Week 5</v>
      </c>
      <c r="S2272" s="6">
        <f>IFERROR(__xludf.DUMMYFUNCTION("rank(J2272,FILTER(J:J,R:R=R2272))"),4.0)</f>
        <v>4</v>
      </c>
      <c r="T2272" s="6">
        <f t="shared" si="6"/>
        <v>8</v>
      </c>
      <c r="U2272" s="6">
        <f t="shared" si="7"/>
        <v>4</v>
      </c>
      <c r="V2272" s="42">
        <f>averageif(AllData!A:A,B2272,AllData!R:R)/vlookup(B2272,AllData!A:O,15,0)</f>
        <v>92.75369048</v>
      </c>
      <c r="W2272" s="6"/>
    </row>
    <row r="2273" ht="14.25" customHeight="1">
      <c r="A2273" s="6" t="str">
        <f t="shared" si="27"/>
        <v>2022Shep5</v>
      </c>
      <c r="B2273" s="59">
        <v>2022.0</v>
      </c>
      <c r="C2273" s="13" t="s">
        <v>89</v>
      </c>
      <c r="D2273" s="13" t="s">
        <v>141</v>
      </c>
      <c r="E2273" s="34"/>
      <c r="F2273" s="6"/>
      <c r="H2273" s="6"/>
      <c r="I2273" s="35" t="str">
        <f>IFERROR(IFERROR(IFERROR(VLOOKUP(B2273&amp;C2273&amp;Q2273,'New Weekly Paste'!A:M,10,0),VLOOKUP(B2273&amp;C2273&amp;Q2273,'New Weekly Paste'!B:O,6,0)),""),"")</f>
        <v>Rooney/Jackson</v>
      </c>
      <c r="J2273" s="259">
        <f>IFERROR(IFERROR(VLOOKUP(B2273&amp;C2273&amp;Q2273,'New Weekly Paste'!A:M,8,0),VLOOKUP(B2273&amp;C2273&amp;Q2273,'New Weekly Paste'!B:O,10,0)),0)</f>
        <v>66.38</v>
      </c>
      <c r="K2273" s="259">
        <f>IFERROR(IFERROR(VLOOKUP(B2273&amp;I2273&amp;Q2273,'New Weekly Paste'!A:M,8,0),VLOOKUP(B2273&amp;I2273&amp;Q2273,'New Weekly Paste'!B:O,10,0)),0)</f>
        <v>74</v>
      </c>
      <c r="L2273" s="239">
        <f t="shared" si="25"/>
        <v>0</v>
      </c>
      <c r="M2273" s="36" t="str">
        <f t="shared" si="3"/>
        <v>Regular Season</v>
      </c>
      <c r="N2273" s="239" t="str">
        <f t="shared" si="26"/>
        <v>Rooney/Jackson</v>
      </c>
      <c r="O2273" s="6">
        <f>VLOOKUP(D2273,'Mapped Opponent'!$G$4:$H$22,2,0)</f>
        <v>5</v>
      </c>
      <c r="P2273" s="6"/>
      <c r="Q2273" s="6" t="str">
        <f t="shared" si="4"/>
        <v>Week 5</v>
      </c>
      <c r="R2273" s="6" t="str">
        <f t="shared" si="5"/>
        <v>2022Week 5</v>
      </c>
      <c r="S2273" s="6">
        <f>IFERROR(__xludf.DUMMYFUNCTION("rank(J2273,FILTER(J:J,R:R=R2273))"),12.0)</f>
        <v>12</v>
      </c>
      <c r="T2273" s="6">
        <f t="shared" si="6"/>
        <v>0</v>
      </c>
      <c r="U2273" s="6">
        <f t="shared" si="7"/>
        <v>12</v>
      </c>
      <c r="V2273" s="42">
        <f>averageif(AllData!A:A,B2273,AllData!R:R)/vlookup(B2273,AllData!A:O,15,0)</f>
        <v>92.75369048</v>
      </c>
      <c r="W2273" s="6"/>
    </row>
    <row r="2274" ht="14.25" customHeight="1">
      <c r="A2274" s="6" t="str">
        <f t="shared" si="27"/>
        <v>2022Riley5</v>
      </c>
      <c r="B2274" s="59">
        <v>2022.0</v>
      </c>
      <c r="C2274" s="13" t="s">
        <v>67</v>
      </c>
      <c r="D2274" s="13" t="s">
        <v>141</v>
      </c>
      <c r="E2274" s="34"/>
      <c r="F2274" s="6"/>
      <c r="H2274" s="6"/>
      <c r="I2274" s="35" t="str">
        <f>IFERROR(IFERROR(IFERROR(VLOOKUP(B2274&amp;C2274&amp;Q2274,'New Weekly Paste'!A:M,10,0),VLOOKUP(B2274&amp;C2274&amp;Q2274,'New Weekly Paste'!B:O,6,0)),""),"")</f>
        <v>Pierson</v>
      </c>
      <c r="J2274" s="259">
        <f>IFERROR(IFERROR(VLOOKUP(B2274&amp;C2274&amp;Q2274,'New Weekly Paste'!A:M,8,0),VLOOKUP(B2274&amp;C2274&amp;Q2274,'New Weekly Paste'!B:O,10,0)),0)</f>
        <v>78.16</v>
      </c>
      <c r="K2274" s="259">
        <f>IFERROR(IFERROR(VLOOKUP(B2274&amp;I2274&amp;Q2274,'New Weekly Paste'!A:M,8,0),VLOOKUP(B2274&amp;I2274&amp;Q2274,'New Weekly Paste'!B:O,10,0)),0)</f>
        <v>129.18</v>
      </c>
      <c r="L2274" s="239">
        <f t="shared" si="25"/>
        <v>0</v>
      </c>
      <c r="M2274" s="36" t="str">
        <f t="shared" si="3"/>
        <v>Regular Season</v>
      </c>
      <c r="N2274" s="239" t="str">
        <f t="shared" si="26"/>
        <v>Pierson</v>
      </c>
      <c r="O2274" s="6">
        <f>VLOOKUP(D2274,'Mapped Opponent'!$G$4:$H$22,2,0)</f>
        <v>5</v>
      </c>
      <c r="P2274" s="6"/>
      <c r="Q2274" s="6" t="str">
        <f t="shared" si="4"/>
        <v>Week 5</v>
      </c>
      <c r="R2274" s="6" t="str">
        <f t="shared" si="5"/>
        <v>2022Week 5</v>
      </c>
      <c r="S2274" s="6">
        <f>IFERROR(__xludf.DUMMYFUNCTION("rank(J2274,FILTER(J:J,R:R=R2274))"),7.0)</f>
        <v>7</v>
      </c>
      <c r="T2274" s="6">
        <f t="shared" si="6"/>
        <v>5</v>
      </c>
      <c r="U2274" s="6">
        <f t="shared" si="7"/>
        <v>7</v>
      </c>
      <c r="V2274" s="42">
        <f>averageif(AllData!A:A,B2274,AllData!R:R)/vlookup(B2274,AllData!A:O,15,0)</f>
        <v>92.75369048</v>
      </c>
      <c r="W2274" s="6"/>
    </row>
    <row r="2275" ht="14.25" customHeight="1">
      <c r="A2275" s="6" t="str">
        <f t="shared" si="27"/>
        <v>2022Rooney/Jackson5</v>
      </c>
      <c r="B2275" s="59">
        <v>2022.0</v>
      </c>
      <c r="C2275" s="13" t="s">
        <v>57</v>
      </c>
      <c r="D2275" s="13" t="s">
        <v>141</v>
      </c>
      <c r="E2275" s="34"/>
      <c r="F2275" s="6"/>
      <c r="H2275" s="6"/>
      <c r="I2275" s="35" t="str">
        <f>IFERROR(IFERROR(IFERROR(VLOOKUP(B2275&amp;C2275&amp;Q2275,'New Weekly Paste'!A:M,10,0),VLOOKUP(B2275&amp;C2275&amp;Q2275,'New Weekly Paste'!B:O,6,0)),""),"")</f>
        <v>Shep</v>
      </c>
      <c r="J2275" s="259">
        <f>IFERROR(IFERROR(VLOOKUP(B2275&amp;C2275&amp;Q2275,'New Weekly Paste'!A:M,8,0),VLOOKUP(B2275&amp;C2275&amp;Q2275,'New Weekly Paste'!B:O,10,0)),0)</f>
        <v>74</v>
      </c>
      <c r="K2275" s="259">
        <f>IFERROR(IFERROR(VLOOKUP(B2275&amp;I2275&amp;Q2275,'New Weekly Paste'!A:M,8,0),VLOOKUP(B2275&amp;I2275&amp;Q2275,'New Weekly Paste'!B:O,10,0)),0)</f>
        <v>66.38</v>
      </c>
      <c r="L2275" s="239">
        <f t="shared" si="25"/>
        <v>1</v>
      </c>
      <c r="M2275" s="36" t="str">
        <f t="shared" si="3"/>
        <v>Regular Season</v>
      </c>
      <c r="N2275" s="239" t="str">
        <f t="shared" si="26"/>
        <v>Shep</v>
      </c>
      <c r="O2275" s="6">
        <f>VLOOKUP(D2275,'Mapped Opponent'!$G$4:$H$22,2,0)</f>
        <v>5</v>
      </c>
      <c r="P2275" s="6"/>
      <c r="Q2275" s="6" t="str">
        <f t="shared" si="4"/>
        <v>Week 5</v>
      </c>
      <c r="R2275" s="6" t="str">
        <f t="shared" si="5"/>
        <v>2022Week 5</v>
      </c>
      <c r="S2275" s="6">
        <f>IFERROR(__xludf.DUMMYFUNCTION("rank(J2275,FILTER(J:J,R:R=R2275))"),10.0)</f>
        <v>10</v>
      </c>
      <c r="T2275" s="6">
        <f t="shared" si="6"/>
        <v>2</v>
      </c>
      <c r="U2275" s="6">
        <f t="shared" si="7"/>
        <v>10</v>
      </c>
      <c r="V2275" s="42">
        <f>averageif(AllData!A:A,B2275,AllData!R:R)/vlookup(B2275,AllData!A:O,15,0)</f>
        <v>92.75369048</v>
      </c>
      <c r="W2275" s="6"/>
    </row>
    <row r="2276" ht="14.25" customHeight="1">
      <c r="A2276" s="6" t="str">
        <f t="shared" si="27"/>
        <v>2022Buser5</v>
      </c>
      <c r="B2276" s="59">
        <v>2022.0</v>
      </c>
      <c r="C2276" s="13" t="s">
        <v>47</v>
      </c>
      <c r="D2276" s="13" t="s">
        <v>141</v>
      </c>
      <c r="E2276" s="34"/>
      <c r="F2276" s="6"/>
      <c r="H2276" s="6"/>
      <c r="I2276" s="35" t="str">
        <f>IFERROR(IFERROR(IFERROR(VLOOKUP(B2276&amp;C2276&amp;Q2276,'New Weekly Paste'!A:M,10,0),VLOOKUP(B2276&amp;C2276&amp;Q2276,'New Weekly Paste'!B:O,6,0)),""),"")</f>
        <v>Hudspeath</v>
      </c>
      <c r="J2276" s="259">
        <f>IFERROR(IFERROR(VLOOKUP(B2276&amp;C2276&amp;Q2276,'New Weekly Paste'!A:M,8,0),VLOOKUP(B2276&amp;C2276&amp;Q2276,'New Weekly Paste'!B:O,10,0)),0)</f>
        <v>89.42</v>
      </c>
      <c r="K2276" s="259">
        <f>IFERROR(IFERROR(VLOOKUP(B2276&amp;I2276&amp;Q2276,'New Weekly Paste'!A:M,8,0),VLOOKUP(B2276&amp;I2276&amp;Q2276,'New Weekly Paste'!B:O,10,0)),0)</f>
        <v>76.66</v>
      </c>
      <c r="L2276" s="239">
        <f t="shared" si="25"/>
        <v>1</v>
      </c>
      <c r="M2276" s="36" t="str">
        <f t="shared" si="3"/>
        <v>Regular Season</v>
      </c>
      <c r="N2276" s="239" t="str">
        <f t="shared" si="26"/>
        <v>Hudspeath</v>
      </c>
      <c r="O2276" s="6">
        <f>VLOOKUP(D2276,'Mapped Opponent'!$G$4:$H$22,2,0)</f>
        <v>5</v>
      </c>
      <c r="P2276" s="6"/>
      <c r="Q2276" s="6" t="str">
        <f t="shared" si="4"/>
        <v>Week 5</v>
      </c>
      <c r="R2276" s="6" t="str">
        <f t="shared" si="5"/>
        <v>2022Week 5</v>
      </c>
      <c r="S2276" s="6">
        <f>IFERROR(__xludf.DUMMYFUNCTION("rank(J2276,FILTER(J:J,R:R=R2276))"),6.0)</f>
        <v>6</v>
      </c>
      <c r="T2276" s="6">
        <f t="shared" si="6"/>
        <v>6</v>
      </c>
      <c r="U2276" s="6">
        <f t="shared" si="7"/>
        <v>6</v>
      </c>
      <c r="V2276" s="42">
        <f>averageif(AllData!A:A,B2276,AllData!R:R)/vlookup(B2276,AllData!A:O,15,0)</f>
        <v>92.75369048</v>
      </c>
      <c r="W2276" s="6"/>
    </row>
    <row r="2277" ht="14.25" customHeight="1">
      <c r="A2277" s="6" t="str">
        <f t="shared" si="27"/>
        <v>2022Pierson5</v>
      </c>
      <c r="B2277" s="59">
        <v>2022.0</v>
      </c>
      <c r="C2277" s="13" t="s">
        <v>92</v>
      </c>
      <c r="D2277" s="13" t="s">
        <v>141</v>
      </c>
      <c r="E2277" s="34"/>
      <c r="F2277" s="6"/>
      <c r="H2277" s="6"/>
      <c r="I2277" s="35" t="str">
        <f>IFERROR(IFERROR(IFERROR(VLOOKUP(B2277&amp;C2277&amp;Q2277,'New Weekly Paste'!A:M,10,0),VLOOKUP(B2277&amp;C2277&amp;Q2277,'New Weekly Paste'!B:O,6,0)),""),"")</f>
        <v>Riley</v>
      </c>
      <c r="J2277" s="259">
        <f>IFERROR(IFERROR(VLOOKUP(B2277&amp;C2277&amp;Q2277,'New Weekly Paste'!A:M,8,0),VLOOKUP(B2277&amp;C2277&amp;Q2277,'New Weekly Paste'!B:O,10,0)),0)</f>
        <v>129.18</v>
      </c>
      <c r="K2277" s="259">
        <f>IFERROR(IFERROR(VLOOKUP(B2277&amp;I2277&amp;Q2277,'New Weekly Paste'!A:M,8,0),VLOOKUP(B2277&amp;I2277&amp;Q2277,'New Weekly Paste'!B:O,10,0)),0)</f>
        <v>78.16</v>
      </c>
      <c r="L2277" s="239">
        <f t="shared" si="25"/>
        <v>1</v>
      </c>
      <c r="M2277" s="36" t="str">
        <f t="shared" si="3"/>
        <v>Regular Season</v>
      </c>
      <c r="N2277" s="239" t="str">
        <f t="shared" si="26"/>
        <v>Riley</v>
      </c>
      <c r="O2277" s="6">
        <f>VLOOKUP(D2277,'Mapped Opponent'!$G$4:$H$22,2,0)</f>
        <v>5</v>
      </c>
      <c r="P2277" s="6"/>
      <c r="Q2277" s="6" t="str">
        <f t="shared" si="4"/>
        <v>Week 5</v>
      </c>
      <c r="R2277" s="6" t="str">
        <f t="shared" si="5"/>
        <v>2022Week 5</v>
      </c>
      <c r="S2277" s="6">
        <f>IFERROR(__xludf.DUMMYFUNCTION("rank(J2277,FILTER(J:J,R:R=R2277))"),3.0)</f>
        <v>3</v>
      </c>
      <c r="T2277" s="6">
        <f t="shared" si="6"/>
        <v>9</v>
      </c>
      <c r="U2277" s="6">
        <f t="shared" si="7"/>
        <v>3</v>
      </c>
      <c r="V2277" s="42">
        <f>averageif(AllData!A:A,B2277,AllData!R:R)/vlookup(B2277,AllData!A:O,15,0)</f>
        <v>92.75369048</v>
      </c>
      <c r="W2277" s="6"/>
    </row>
    <row r="2278" ht="14.25" customHeight="1">
      <c r="A2278" s="6" t="str">
        <f t="shared" si="27"/>
        <v>2022Cock5</v>
      </c>
      <c r="B2278" s="59">
        <v>2022.0</v>
      </c>
      <c r="C2278" s="13" t="s">
        <v>72</v>
      </c>
      <c r="D2278" s="13" t="s">
        <v>141</v>
      </c>
      <c r="E2278" s="34"/>
      <c r="F2278" s="6"/>
      <c r="H2278" s="6"/>
      <c r="I2278" s="35" t="str">
        <f>IFERROR(IFERROR(IFERROR(VLOOKUP(B2278&amp;C2278&amp;Q2278,'New Weekly Paste'!A:M,10,0),VLOOKUP(B2278&amp;C2278&amp;Q2278,'New Weekly Paste'!B:O,6,0)),""),"")</f>
        <v>Tayski</v>
      </c>
      <c r="J2278" s="259">
        <f>IFERROR(IFERROR(VLOOKUP(B2278&amp;C2278&amp;Q2278,'New Weekly Paste'!A:M,8,0),VLOOKUP(B2278&amp;C2278&amp;Q2278,'New Weekly Paste'!B:O,10,0)),0)</f>
        <v>68.14</v>
      </c>
      <c r="K2278" s="259">
        <f>IFERROR(IFERROR(VLOOKUP(B2278&amp;I2278&amp;Q2278,'New Weekly Paste'!A:M,8,0),VLOOKUP(B2278&amp;I2278&amp;Q2278,'New Weekly Paste'!B:O,10,0)),0)</f>
        <v>168.16</v>
      </c>
      <c r="L2278" s="239">
        <f t="shared" si="25"/>
        <v>0</v>
      </c>
      <c r="M2278" s="36" t="str">
        <f t="shared" si="3"/>
        <v>Regular Season</v>
      </c>
      <c r="N2278" s="239" t="str">
        <f t="shared" si="26"/>
        <v>Tayski</v>
      </c>
      <c r="O2278" s="6">
        <f>VLOOKUP(D2278,'Mapped Opponent'!$G$4:$H$22,2,0)</f>
        <v>5</v>
      </c>
      <c r="P2278" s="6"/>
      <c r="Q2278" s="6" t="str">
        <f t="shared" si="4"/>
        <v>Week 5</v>
      </c>
      <c r="R2278" s="6" t="str">
        <f t="shared" si="5"/>
        <v>2022Week 5</v>
      </c>
      <c r="S2278" s="6">
        <f>IFERROR(__xludf.DUMMYFUNCTION("rank(J2278,FILTER(J:J,R:R=R2278))"),11.0)</f>
        <v>11</v>
      </c>
      <c r="T2278" s="6">
        <f t="shared" si="6"/>
        <v>1</v>
      </c>
      <c r="U2278" s="6">
        <f t="shared" si="7"/>
        <v>11</v>
      </c>
      <c r="V2278" s="42">
        <f>averageif(AllData!A:A,B2278,AllData!R:R)/vlookup(B2278,AllData!A:O,15,0)</f>
        <v>92.75369048</v>
      </c>
      <c r="W2278" s="6"/>
    </row>
    <row r="2279" ht="14.25" customHeight="1">
      <c r="A2279" s="6" t="str">
        <f t="shared" si="27"/>
        <v>2022Tayski5</v>
      </c>
      <c r="B2279" s="59">
        <v>2022.0</v>
      </c>
      <c r="C2279" s="13" t="s">
        <v>52</v>
      </c>
      <c r="D2279" s="13" t="s">
        <v>141</v>
      </c>
      <c r="E2279" s="34"/>
      <c r="F2279" s="6"/>
      <c r="H2279" s="6"/>
      <c r="I2279" s="35" t="str">
        <f>IFERROR(IFERROR(IFERROR(VLOOKUP(B2279&amp;C2279&amp;Q2279,'New Weekly Paste'!A:M,10,0),VLOOKUP(B2279&amp;C2279&amp;Q2279,'New Weekly Paste'!B:O,6,0)),""),"")</f>
        <v>Cock</v>
      </c>
      <c r="J2279" s="259">
        <f>IFERROR(IFERROR(VLOOKUP(B2279&amp;C2279&amp;Q2279,'New Weekly Paste'!A:M,8,0),VLOOKUP(B2279&amp;C2279&amp;Q2279,'New Weekly Paste'!B:O,10,0)),0)</f>
        <v>168.16</v>
      </c>
      <c r="K2279" s="259">
        <f>IFERROR(IFERROR(VLOOKUP(B2279&amp;I2279&amp;Q2279,'New Weekly Paste'!A:M,8,0),VLOOKUP(B2279&amp;I2279&amp;Q2279,'New Weekly Paste'!B:O,10,0)),0)</f>
        <v>68.14</v>
      </c>
      <c r="L2279" s="239">
        <f t="shared" si="25"/>
        <v>1</v>
      </c>
      <c r="M2279" s="36" t="str">
        <f t="shared" si="3"/>
        <v>Regular Season</v>
      </c>
      <c r="N2279" s="239" t="str">
        <f t="shared" si="26"/>
        <v>Cock</v>
      </c>
      <c r="O2279" s="6">
        <f>VLOOKUP(D2279,'Mapped Opponent'!$G$4:$H$22,2,0)</f>
        <v>5</v>
      </c>
      <c r="P2279" s="6"/>
      <c r="Q2279" s="6" t="str">
        <f t="shared" si="4"/>
        <v>Week 5</v>
      </c>
      <c r="R2279" s="6" t="str">
        <f t="shared" si="5"/>
        <v>2022Week 5</v>
      </c>
      <c r="S2279" s="6">
        <f>IFERROR(__xludf.DUMMYFUNCTION("rank(J2279,FILTER(J:J,R:R=R2279))"),1.0)</f>
        <v>1</v>
      </c>
      <c r="T2279" s="6">
        <f t="shared" si="6"/>
        <v>11</v>
      </c>
      <c r="U2279" s="6">
        <f t="shared" si="7"/>
        <v>1</v>
      </c>
      <c r="V2279" s="42">
        <f>averageif(AllData!A:A,B2279,AllData!R:R)/vlookup(B2279,AllData!A:O,15,0)</f>
        <v>92.75369048</v>
      </c>
      <c r="W2279" s="6"/>
    </row>
    <row r="2280" ht="14.25" customHeight="1">
      <c r="A2280" s="6" t="str">
        <f t="shared" si="27"/>
        <v>2022KnardDawg5</v>
      </c>
      <c r="B2280" s="59">
        <v>2022.0</v>
      </c>
      <c r="C2280" s="13" t="s">
        <v>86</v>
      </c>
      <c r="D2280" s="13" t="s">
        <v>141</v>
      </c>
      <c r="E2280" s="34"/>
      <c r="F2280" s="6"/>
      <c r="H2280" s="6"/>
      <c r="I2280" s="35" t="str">
        <f>IFERROR(IFERROR(IFERROR(VLOOKUP(B2280&amp;C2280&amp;Q2280,'New Weekly Paste'!A:M,10,0),VLOOKUP(B2280&amp;C2280&amp;Q2280,'New Weekly Paste'!B:O,6,0)),""),"")</f>
        <v>Salty</v>
      </c>
      <c r="J2280" s="259">
        <f>IFERROR(IFERROR(VLOOKUP(B2280&amp;C2280&amp;Q2280,'New Weekly Paste'!A:M,8,0),VLOOKUP(B2280&amp;C2280&amp;Q2280,'New Weekly Paste'!B:O,10,0)),0)</f>
        <v>74.98</v>
      </c>
      <c r="K2280" s="259">
        <f>IFERROR(IFERROR(VLOOKUP(B2280&amp;I2280&amp;Q2280,'New Weekly Paste'!A:M,8,0),VLOOKUP(B2280&amp;I2280&amp;Q2280,'New Weekly Paste'!B:O,10,0)),0)</f>
        <v>107.86</v>
      </c>
      <c r="L2280" s="239">
        <f t="shared" si="25"/>
        <v>0</v>
      </c>
      <c r="M2280" s="36" t="str">
        <f t="shared" si="3"/>
        <v>Regular Season</v>
      </c>
      <c r="N2280" s="239" t="str">
        <f t="shared" si="26"/>
        <v>Salty</v>
      </c>
      <c r="O2280" s="6">
        <f>VLOOKUP(D2280,'Mapped Opponent'!$G$4:$H$22,2,0)</f>
        <v>5</v>
      </c>
      <c r="P2280" s="6"/>
      <c r="Q2280" s="6" t="str">
        <f t="shared" si="4"/>
        <v>Week 5</v>
      </c>
      <c r="R2280" s="6" t="str">
        <f t="shared" si="5"/>
        <v>2022Week 5</v>
      </c>
      <c r="S2280" s="6">
        <f>IFERROR(__xludf.DUMMYFUNCTION("rank(J2280,FILTER(J:J,R:R=R2280))"),9.0)</f>
        <v>9</v>
      </c>
      <c r="T2280" s="6">
        <f t="shared" si="6"/>
        <v>3</v>
      </c>
      <c r="U2280" s="6">
        <f t="shared" si="7"/>
        <v>9</v>
      </c>
      <c r="V2280" s="42">
        <f>averageif(AllData!A:A,B2280,AllData!R:R)/vlookup(B2280,AllData!A:O,15,0)</f>
        <v>92.75369048</v>
      </c>
      <c r="W2280" s="6"/>
    </row>
    <row r="2281" ht="14.25" customHeight="1">
      <c r="A2281" s="6" t="str">
        <f t="shared" si="27"/>
        <v>2022T-How5</v>
      </c>
      <c r="B2281" s="59">
        <v>2022.0</v>
      </c>
      <c r="C2281" s="13" t="s">
        <v>82</v>
      </c>
      <c r="D2281" s="13" t="s">
        <v>141</v>
      </c>
      <c r="E2281" s="34"/>
      <c r="F2281" s="6"/>
      <c r="H2281" s="6"/>
      <c r="I2281" s="35" t="str">
        <f>IFERROR(IFERROR(IFERROR(VLOOKUP(B2281&amp;C2281&amp;Q2281,'New Weekly Paste'!A:M,10,0),VLOOKUP(B2281&amp;C2281&amp;Q2281,'New Weekly Paste'!B:O,6,0)),""),"")</f>
        <v>Fellows</v>
      </c>
      <c r="J2281" s="259">
        <f>IFERROR(IFERROR(VLOOKUP(B2281&amp;C2281&amp;Q2281,'New Weekly Paste'!A:M,8,0),VLOOKUP(B2281&amp;C2281&amp;Q2281,'New Weekly Paste'!B:O,10,0)),0)</f>
        <v>130.22</v>
      </c>
      <c r="K2281" s="259">
        <f>IFERROR(IFERROR(VLOOKUP(B2281&amp;I2281&amp;Q2281,'New Weekly Paste'!A:M,8,0),VLOOKUP(B2281&amp;I2281&amp;Q2281,'New Weekly Paste'!B:O,10,0)),0)</f>
        <v>128.16</v>
      </c>
      <c r="L2281" s="239">
        <f t="shared" si="25"/>
        <v>1</v>
      </c>
      <c r="M2281" s="36" t="str">
        <f t="shared" si="3"/>
        <v>Regular Season</v>
      </c>
      <c r="N2281" s="239" t="str">
        <f t="shared" si="26"/>
        <v>Fellows</v>
      </c>
      <c r="O2281" s="6">
        <f>VLOOKUP(D2281,'Mapped Opponent'!$G$4:$H$22,2,0)</f>
        <v>5</v>
      </c>
      <c r="P2281" s="6"/>
      <c r="Q2281" s="6" t="str">
        <f t="shared" si="4"/>
        <v>Week 5</v>
      </c>
      <c r="R2281" s="6" t="str">
        <f t="shared" si="5"/>
        <v>2022Week 5</v>
      </c>
      <c r="S2281" s="6">
        <f>IFERROR(__xludf.DUMMYFUNCTION("rank(J2281,FILTER(J:J,R:R=R2281))"),2.0)</f>
        <v>2</v>
      </c>
      <c r="T2281" s="6">
        <f t="shared" si="6"/>
        <v>10</v>
      </c>
      <c r="U2281" s="6">
        <f t="shared" si="7"/>
        <v>2</v>
      </c>
      <c r="V2281" s="42">
        <f>averageif(AllData!A:A,B2281,AllData!R:R)/vlookup(B2281,AllData!A:O,15,0)</f>
        <v>92.75369048</v>
      </c>
      <c r="W2281" s="6"/>
    </row>
    <row r="2282" ht="14.25" customHeight="1">
      <c r="A2282" s="6" t="str">
        <f t="shared" si="27"/>
        <v>2022Hudspeath6</v>
      </c>
      <c r="B2282" s="59">
        <v>2022.0</v>
      </c>
      <c r="C2282" s="13" t="s">
        <v>39</v>
      </c>
      <c r="D2282" s="13" t="s">
        <v>142</v>
      </c>
      <c r="E2282" s="34"/>
      <c r="F2282" s="6"/>
      <c r="H2282" s="6"/>
      <c r="I2282" s="35" t="str">
        <f>IFERROR(IFERROR(IFERROR(VLOOKUP(B2282&amp;C2282&amp;Q2282,'New Weekly Paste'!A:M,10,0),VLOOKUP(B2282&amp;C2282&amp;Q2282,'New Weekly Paste'!B:O,6,0)),""),"")</f>
        <v>Riley</v>
      </c>
      <c r="J2282" s="259">
        <f>IFERROR(IFERROR(VLOOKUP(B2282&amp;C2282&amp;Q2282,'New Weekly Paste'!A:M,8,0),VLOOKUP(B2282&amp;C2282&amp;Q2282,'New Weekly Paste'!B:O,10,0)),0)</f>
        <v>71.42</v>
      </c>
      <c r="K2282" s="259">
        <f>IFERROR(IFERROR(VLOOKUP(B2282&amp;I2282&amp;Q2282,'New Weekly Paste'!A:M,8,0),VLOOKUP(B2282&amp;I2282&amp;Q2282,'New Weekly Paste'!B:O,10,0)),0)</f>
        <v>65.4</v>
      </c>
      <c r="L2282" s="239">
        <f t="shared" si="25"/>
        <v>1</v>
      </c>
      <c r="M2282" s="36" t="str">
        <f t="shared" si="3"/>
        <v>Regular Season</v>
      </c>
      <c r="N2282" s="239" t="str">
        <f t="shared" si="26"/>
        <v>Riley</v>
      </c>
      <c r="O2282" s="6">
        <f>VLOOKUP(D2282,'Mapped Opponent'!$G$4:$H$22,2,0)</f>
        <v>6</v>
      </c>
      <c r="P2282" s="6"/>
      <c r="Q2282" s="6" t="str">
        <f t="shared" si="4"/>
        <v>Week 6</v>
      </c>
      <c r="R2282" s="6" t="str">
        <f t="shared" si="5"/>
        <v>2022Week 6</v>
      </c>
      <c r="S2282" s="6">
        <f>IFERROR(__xludf.DUMMYFUNCTION("rank(J2282,FILTER(J:J,R:R=R2282))"),11.0)</f>
        <v>11</v>
      </c>
      <c r="T2282" s="6">
        <f t="shared" si="6"/>
        <v>1</v>
      </c>
      <c r="U2282" s="6">
        <f t="shared" si="7"/>
        <v>11</v>
      </c>
      <c r="V2282" s="42">
        <f>averageif(AllData!A:A,B2282,AllData!R:R)/vlookup(B2282,AllData!A:O,15,0)</f>
        <v>92.75369048</v>
      </c>
      <c r="W2282" s="6"/>
    </row>
    <row r="2283" ht="14.25" customHeight="1">
      <c r="A2283" s="6" t="str">
        <f t="shared" si="27"/>
        <v>2022Salty6</v>
      </c>
      <c r="B2283" s="59">
        <v>2022.0</v>
      </c>
      <c r="C2283" s="13" t="s">
        <v>76</v>
      </c>
      <c r="D2283" s="13" t="s">
        <v>142</v>
      </c>
      <c r="E2283" s="34"/>
      <c r="F2283" s="6"/>
      <c r="H2283" s="6"/>
      <c r="I2283" s="35" t="str">
        <f>IFERROR(IFERROR(IFERROR(VLOOKUP(B2283&amp;C2283&amp;Q2283,'New Weekly Paste'!A:M,10,0),VLOOKUP(B2283&amp;C2283&amp;Q2283,'New Weekly Paste'!B:O,6,0)),""),"")</f>
        <v>T-How</v>
      </c>
      <c r="J2283" s="259">
        <f>IFERROR(IFERROR(VLOOKUP(B2283&amp;C2283&amp;Q2283,'New Weekly Paste'!A:M,8,0),VLOOKUP(B2283&amp;C2283&amp;Q2283,'New Weekly Paste'!B:O,10,0)),0)</f>
        <v>92.5</v>
      </c>
      <c r="K2283" s="259">
        <f>IFERROR(IFERROR(VLOOKUP(B2283&amp;I2283&amp;Q2283,'New Weekly Paste'!A:M,8,0),VLOOKUP(B2283&amp;I2283&amp;Q2283,'New Weekly Paste'!B:O,10,0)),0)</f>
        <v>80.34</v>
      </c>
      <c r="L2283" s="239">
        <f t="shared" si="25"/>
        <v>1</v>
      </c>
      <c r="M2283" s="36" t="str">
        <f t="shared" si="3"/>
        <v>Regular Season</v>
      </c>
      <c r="N2283" s="239" t="str">
        <f t="shared" si="26"/>
        <v>T-How</v>
      </c>
      <c r="O2283" s="6">
        <f>VLOOKUP(D2283,'Mapped Opponent'!$G$4:$H$22,2,0)</f>
        <v>6</v>
      </c>
      <c r="P2283" s="6"/>
      <c r="Q2283" s="6" t="str">
        <f t="shared" si="4"/>
        <v>Week 6</v>
      </c>
      <c r="R2283" s="6" t="str">
        <f t="shared" si="5"/>
        <v>2022Week 6</v>
      </c>
      <c r="S2283" s="6">
        <f>IFERROR(__xludf.DUMMYFUNCTION("rank(J2283,FILTER(J:J,R:R=R2283))"),3.0)</f>
        <v>3</v>
      </c>
      <c r="T2283" s="6">
        <f t="shared" si="6"/>
        <v>9</v>
      </c>
      <c r="U2283" s="6">
        <f t="shared" si="7"/>
        <v>3</v>
      </c>
      <c r="V2283" s="42">
        <f>averageif(AllData!A:A,B2283,AllData!R:R)/vlookup(B2283,AllData!A:O,15,0)</f>
        <v>92.75369048</v>
      </c>
      <c r="W2283" s="6"/>
    </row>
    <row r="2284" ht="14.25" customHeight="1">
      <c r="A2284" s="6" t="str">
        <f t="shared" si="27"/>
        <v>2022Fellows6</v>
      </c>
      <c r="B2284" s="59">
        <v>2022.0</v>
      </c>
      <c r="C2284" s="13" t="s">
        <v>79</v>
      </c>
      <c r="D2284" s="13" t="s">
        <v>142</v>
      </c>
      <c r="E2284" s="34"/>
      <c r="F2284" s="6"/>
      <c r="H2284" s="6"/>
      <c r="I2284" s="35" t="str">
        <f>IFERROR(IFERROR(IFERROR(VLOOKUP(B2284&amp;C2284&amp;Q2284,'New Weekly Paste'!A:M,10,0),VLOOKUP(B2284&amp;C2284&amp;Q2284,'New Weekly Paste'!B:O,6,0)),""),"")</f>
        <v>Buser</v>
      </c>
      <c r="J2284" s="259">
        <f>IFERROR(IFERROR(VLOOKUP(B2284&amp;C2284&amp;Q2284,'New Weekly Paste'!A:M,8,0),VLOOKUP(B2284&amp;C2284&amp;Q2284,'New Weekly Paste'!B:O,10,0)),0)</f>
        <v>108.7</v>
      </c>
      <c r="K2284" s="259">
        <f>IFERROR(IFERROR(VLOOKUP(B2284&amp;I2284&amp;Q2284,'New Weekly Paste'!A:M,8,0),VLOOKUP(B2284&amp;I2284&amp;Q2284,'New Weekly Paste'!B:O,10,0)),0)</f>
        <v>74.42</v>
      </c>
      <c r="L2284" s="239">
        <f t="shared" si="25"/>
        <v>1</v>
      </c>
      <c r="M2284" s="36" t="str">
        <f t="shared" si="3"/>
        <v>Regular Season</v>
      </c>
      <c r="N2284" s="239" t="str">
        <f t="shared" si="26"/>
        <v>Buser</v>
      </c>
      <c r="O2284" s="6">
        <f>VLOOKUP(D2284,'Mapped Opponent'!$G$4:$H$22,2,0)</f>
        <v>6</v>
      </c>
      <c r="P2284" s="6"/>
      <c r="Q2284" s="6" t="str">
        <f t="shared" si="4"/>
        <v>Week 6</v>
      </c>
      <c r="R2284" s="6" t="str">
        <f t="shared" si="5"/>
        <v>2022Week 6</v>
      </c>
      <c r="S2284" s="6">
        <f>IFERROR(__xludf.DUMMYFUNCTION("rank(J2284,FILTER(J:J,R:R=R2284))"),1.0)</f>
        <v>1</v>
      </c>
      <c r="T2284" s="6">
        <f t="shared" si="6"/>
        <v>11</v>
      </c>
      <c r="U2284" s="6">
        <f t="shared" si="7"/>
        <v>1</v>
      </c>
      <c r="V2284" s="42">
        <f>averageif(AllData!A:A,B2284,AllData!R:R)/vlookup(B2284,AllData!A:O,15,0)</f>
        <v>92.75369048</v>
      </c>
      <c r="W2284" s="6"/>
    </row>
    <row r="2285" ht="14.25" customHeight="1">
      <c r="A2285" s="6" t="str">
        <f t="shared" si="27"/>
        <v>2022Shep6</v>
      </c>
      <c r="B2285" s="59">
        <v>2022.0</v>
      </c>
      <c r="C2285" s="13" t="s">
        <v>89</v>
      </c>
      <c r="D2285" s="13" t="s">
        <v>142</v>
      </c>
      <c r="E2285" s="34"/>
      <c r="F2285" s="6"/>
      <c r="H2285" s="6"/>
      <c r="I2285" s="35" t="str">
        <f>IFERROR(IFERROR(IFERROR(VLOOKUP(B2285&amp;C2285&amp;Q2285,'New Weekly Paste'!A:M,10,0),VLOOKUP(B2285&amp;C2285&amp;Q2285,'New Weekly Paste'!B:O,6,0)),""),"")</f>
        <v>Pierson</v>
      </c>
      <c r="J2285" s="259">
        <f>IFERROR(IFERROR(VLOOKUP(B2285&amp;C2285&amp;Q2285,'New Weekly Paste'!A:M,8,0),VLOOKUP(B2285&amp;C2285&amp;Q2285,'New Weekly Paste'!B:O,10,0)),0)</f>
        <v>73.6</v>
      </c>
      <c r="K2285" s="259">
        <f>IFERROR(IFERROR(VLOOKUP(B2285&amp;I2285&amp;Q2285,'New Weekly Paste'!A:M,8,0),VLOOKUP(B2285&amp;I2285&amp;Q2285,'New Weekly Paste'!B:O,10,0)),0)</f>
        <v>78.32</v>
      </c>
      <c r="L2285" s="239">
        <f t="shared" si="25"/>
        <v>0</v>
      </c>
      <c r="M2285" s="36" t="str">
        <f t="shared" si="3"/>
        <v>Regular Season</v>
      </c>
      <c r="N2285" s="239" t="str">
        <f t="shared" si="26"/>
        <v>Pierson</v>
      </c>
      <c r="O2285" s="6">
        <f>VLOOKUP(D2285,'Mapped Opponent'!$G$4:$H$22,2,0)</f>
        <v>6</v>
      </c>
      <c r="P2285" s="6"/>
      <c r="Q2285" s="6" t="str">
        <f t="shared" si="4"/>
        <v>Week 6</v>
      </c>
      <c r="R2285" s="6" t="str">
        <f t="shared" si="5"/>
        <v>2022Week 6</v>
      </c>
      <c r="S2285" s="6">
        <f>IFERROR(__xludf.DUMMYFUNCTION("rank(J2285,FILTER(J:J,R:R=R2285))"),9.0)</f>
        <v>9</v>
      </c>
      <c r="T2285" s="6">
        <f t="shared" si="6"/>
        <v>3</v>
      </c>
      <c r="U2285" s="6">
        <f t="shared" si="7"/>
        <v>9</v>
      </c>
      <c r="V2285" s="42">
        <f>averageif(AllData!A:A,B2285,AllData!R:R)/vlookup(B2285,AllData!A:O,15,0)</f>
        <v>92.75369048</v>
      </c>
      <c r="W2285" s="6"/>
    </row>
    <row r="2286" ht="14.25" customHeight="1">
      <c r="A2286" s="6" t="str">
        <f t="shared" si="27"/>
        <v>2022Riley6</v>
      </c>
      <c r="B2286" s="59">
        <v>2022.0</v>
      </c>
      <c r="C2286" s="13" t="s">
        <v>67</v>
      </c>
      <c r="D2286" s="13" t="s">
        <v>142</v>
      </c>
      <c r="E2286" s="34"/>
      <c r="F2286" s="6"/>
      <c r="H2286" s="6"/>
      <c r="I2286" s="35" t="str">
        <f>IFERROR(IFERROR(IFERROR(VLOOKUP(B2286&amp;C2286&amp;Q2286,'New Weekly Paste'!A:M,10,0),VLOOKUP(B2286&amp;C2286&amp;Q2286,'New Weekly Paste'!B:O,6,0)),""),"")</f>
        <v>Hudspeath</v>
      </c>
      <c r="J2286" s="259">
        <f>IFERROR(IFERROR(VLOOKUP(B2286&amp;C2286&amp;Q2286,'New Weekly Paste'!A:M,8,0),VLOOKUP(B2286&amp;C2286&amp;Q2286,'New Weekly Paste'!B:O,10,0)),0)</f>
        <v>65.4</v>
      </c>
      <c r="K2286" s="259">
        <f>IFERROR(IFERROR(VLOOKUP(B2286&amp;I2286&amp;Q2286,'New Weekly Paste'!A:M,8,0),VLOOKUP(B2286&amp;I2286&amp;Q2286,'New Weekly Paste'!B:O,10,0)),0)</f>
        <v>71.42</v>
      </c>
      <c r="L2286" s="239">
        <f t="shared" si="25"/>
        <v>0</v>
      </c>
      <c r="M2286" s="36" t="str">
        <f t="shared" si="3"/>
        <v>Regular Season</v>
      </c>
      <c r="N2286" s="239" t="str">
        <f t="shared" si="26"/>
        <v>Hudspeath</v>
      </c>
      <c r="O2286" s="6">
        <f>VLOOKUP(D2286,'Mapped Opponent'!$G$4:$H$22,2,0)</f>
        <v>6</v>
      </c>
      <c r="P2286" s="6"/>
      <c r="Q2286" s="6" t="str">
        <f t="shared" si="4"/>
        <v>Week 6</v>
      </c>
      <c r="R2286" s="6" t="str">
        <f t="shared" si="5"/>
        <v>2022Week 6</v>
      </c>
      <c r="S2286" s="6">
        <f>IFERROR(__xludf.DUMMYFUNCTION("rank(J2286,FILTER(J:J,R:R=R2286))"),12.0)</f>
        <v>12</v>
      </c>
      <c r="T2286" s="6">
        <f t="shared" si="6"/>
        <v>0</v>
      </c>
      <c r="U2286" s="6">
        <f t="shared" si="7"/>
        <v>12</v>
      </c>
      <c r="V2286" s="42">
        <f>averageif(AllData!A:A,B2286,AllData!R:R)/vlookup(B2286,AllData!A:O,15,0)</f>
        <v>92.75369048</v>
      </c>
      <c r="W2286" s="6"/>
    </row>
    <row r="2287" ht="14.25" customHeight="1">
      <c r="A2287" s="6" t="str">
        <f t="shared" si="27"/>
        <v>2022Rooney/Jackson6</v>
      </c>
      <c r="B2287" s="59">
        <v>2022.0</v>
      </c>
      <c r="C2287" s="13" t="s">
        <v>57</v>
      </c>
      <c r="D2287" s="13" t="s">
        <v>142</v>
      </c>
      <c r="E2287" s="34"/>
      <c r="F2287" s="6"/>
      <c r="H2287" s="6"/>
      <c r="I2287" s="35" t="str">
        <f>IFERROR(IFERROR(IFERROR(VLOOKUP(B2287&amp;C2287&amp;Q2287,'New Weekly Paste'!A:M,10,0),VLOOKUP(B2287&amp;C2287&amp;Q2287,'New Weekly Paste'!B:O,6,0)),""),"")</f>
        <v>Cock</v>
      </c>
      <c r="J2287" s="259">
        <f>IFERROR(IFERROR(VLOOKUP(B2287&amp;C2287&amp;Q2287,'New Weekly Paste'!A:M,8,0),VLOOKUP(B2287&amp;C2287&amp;Q2287,'New Weekly Paste'!B:O,10,0)),0)</f>
        <v>87.78</v>
      </c>
      <c r="K2287" s="259">
        <f>IFERROR(IFERROR(VLOOKUP(B2287&amp;I2287&amp;Q2287,'New Weekly Paste'!A:M,8,0),VLOOKUP(B2287&amp;I2287&amp;Q2287,'New Weekly Paste'!B:O,10,0)),0)</f>
        <v>72.42</v>
      </c>
      <c r="L2287" s="239">
        <f t="shared" si="25"/>
        <v>1</v>
      </c>
      <c r="M2287" s="36" t="str">
        <f t="shared" si="3"/>
        <v>Regular Season</v>
      </c>
      <c r="N2287" s="239" t="str">
        <f t="shared" si="26"/>
        <v>Cock</v>
      </c>
      <c r="O2287" s="6">
        <f>VLOOKUP(D2287,'Mapped Opponent'!$G$4:$H$22,2,0)</f>
        <v>6</v>
      </c>
      <c r="P2287" s="6"/>
      <c r="Q2287" s="6" t="str">
        <f t="shared" si="4"/>
        <v>Week 6</v>
      </c>
      <c r="R2287" s="6" t="str">
        <f t="shared" si="5"/>
        <v>2022Week 6</v>
      </c>
      <c r="S2287" s="6">
        <f>IFERROR(__xludf.DUMMYFUNCTION("rank(J2287,FILTER(J:J,R:R=R2287))"),4.0)</f>
        <v>4</v>
      </c>
      <c r="T2287" s="6">
        <f t="shared" si="6"/>
        <v>8</v>
      </c>
      <c r="U2287" s="6">
        <f t="shared" si="7"/>
        <v>4</v>
      </c>
      <c r="V2287" s="42">
        <f>averageif(AllData!A:A,B2287,AllData!R:R)/vlookup(B2287,AllData!A:O,15,0)</f>
        <v>92.75369048</v>
      </c>
      <c r="W2287" s="6"/>
    </row>
    <row r="2288" ht="14.25" customHeight="1">
      <c r="A2288" s="6" t="str">
        <f t="shared" si="27"/>
        <v>2022Buser6</v>
      </c>
      <c r="B2288" s="59">
        <v>2022.0</v>
      </c>
      <c r="C2288" s="13" t="s">
        <v>47</v>
      </c>
      <c r="D2288" s="13" t="s">
        <v>142</v>
      </c>
      <c r="E2288" s="34"/>
      <c r="F2288" s="6"/>
      <c r="H2288" s="6"/>
      <c r="I2288" s="35" t="str">
        <f>IFERROR(IFERROR(IFERROR(VLOOKUP(B2288&amp;C2288&amp;Q2288,'New Weekly Paste'!A:M,10,0),VLOOKUP(B2288&amp;C2288&amp;Q2288,'New Weekly Paste'!B:O,6,0)),""),"")</f>
        <v>Fellows</v>
      </c>
      <c r="J2288" s="259">
        <f>IFERROR(IFERROR(VLOOKUP(B2288&amp;C2288&amp;Q2288,'New Weekly Paste'!A:M,8,0),VLOOKUP(B2288&amp;C2288&amp;Q2288,'New Weekly Paste'!B:O,10,0)),0)</f>
        <v>74.42</v>
      </c>
      <c r="K2288" s="259">
        <f>IFERROR(IFERROR(VLOOKUP(B2288&amp;I2288&amp;Q2288,'New Weekly Paste'!A:M,8,0),VLOOKUP(B2288&amp;I2288&amp;Q2288,'New Weekly Paste'!B:O,10,0)),0)</f>
        <v>108.7</v>
      </c>
      <c r="L2288" s="239">
        <f t="shared" si="25"/>
        <v>0</v>
      </c>
      <c r="M2288" s="36" t="str">
        <f t="shared" si="3"/>
        <v>Regular Season</v>
      </c>
      <c r="N2288" s="239" t="str">
        <f t="shared" si="26"/>
        <v>Fellows</v>
      </c>
      <c r="O2288" s="6">
        <f>VLOOKUP(D2288,'Mapped Opponent'!$G$4:$H$22,2,0)</f>
        <v>6</v>
      </c>
      <c r="P2288" s="6"/>
      <c r="Q2288" s="6" t="str">
        <f t="shared" si="4"/>
        <v>Week 6</v>
      </c>
      <c r="R2288" s="6" t="str">
        <f t="shared" si="5"/>
        <v>2022Week 6</v>
      </c>
      <c r="S2288" s="6">
        <f>IFERROR(__xludf.DUMMYFUNCTION("rank(J2288,FILTER(J:J,R:R=R2288))"),8.0)</f>
        <v>8</v>
      </c>
      <c r="T2288" s="6">
        <f t="shared" si="6"/>
        <v>4</v>
      </c>
      <c r="U2288" s="6">
        <f t="shared" si="7"/>
        <v>8</v>
      </c>
      <c r="V2288" s="42">
        <f>averageif(AllData!A:A,B2288,AllData!R:R)/vlookup(B2288,AllData!A:O,15,0)</f>
        <v>92.75369048</v>
      </c>
      <c r="W2288" s="6"/>
    </row>
    <row r="2289" ht="14.25" customHeight="1">
      <c r="A2289" s="6" t="str">
        <f t="shared" si="27"/>
        <v>2022Pierson6</v>
      </c>
      <c r="B2289" s="59">
        <v>2022.0</v>
      </c>
      <c r="C2289" s="13" t="s">
        <v>92</v>
      </c>
      <c r="D2289" s="13" t="s">
        <v>142</v>
      </c>
      <c r="E2289" s="34"/>
      <c r="F2289" s="6"/>
      <c r="H2289" s="6"/>
      <c r="I2289" s="35" t="str">
        <f>IFERROR(IFERROR(IFERROR(VLOOKUP(B2289&amp;C2289&amp;Q2289,'New Weekly Paste'!A:M,10,0),VLOOKUP(B2289&amp;C2289&amp;Q2289,'New Weekly Paste'!B:O,6,0)),""),"")</f>
        <v>Shep</v>
      </c>
      <c r="J2289" s="259">
        <f>IFERROR(IFERROR(VLOOKUP(B2289&amp;C2289&amp;Q2289,'New Weekly Paste'!A:M,8,0),VLOOKUP(B2289&amp;C2289&amp;Q2289,'New Weekly Paste'!B:O,10,0)),0)</f>
        <v>78.32</v>
      </c>
      <c r="K2289" s="259">
        <f>IFERROR(IFERROR(VLOOKUP(B2289&amp;I2289&amp;Q2289,'New Weekly Paste'!A:M,8,0),VLOOKUP(B2289&amp;I2289&amp;Q2289,'New Weekly Paste'!B:O,10,0)),0)</f>
        <v>73.6</v>
      </c>
      <c r="L2289" s="239">
        <f t="shared" si="25"/>
        <v>1</v>
      </c>
      <c r="M2289" s="36" t="str">
        <f t="shared" si="3"/>
        <v>Regular Season</v>
      </c>
      <c r="N2289" s="239" t="str">
        <f t="shared" si="26"/>
        <v>Shep</v>
      </c>
      <c r="O2289" s="6">
        <f>VLOOKUP(D2289,'Mapped Opponent'!$G$4:$H$22,2,0)</f>
        <v>6</v>
      </c>
      <c r="P2289" s="6"/>
      <c r="Q2289" s="6" t="str">
        <f t="shared" si="4"/>
        <v>Week 6</v>
      </c>
      <c r="R2289" s="6" t="str">
        <f t="shared" si="5"/>
        <v>2022Week 6</v>
      </c>
      <c r="S2289" s="6">
        <f>IFERROR(__xludf.DUMMYFUNCTION("rank(J2289,FILTER(J:J,R:R=R2289))"),6.0)</f>
        <v>6</v>
      </c>
      <c r="T2289" s="6">
        <f t="shared" si="6"/>
        <v>6</v>
      </c>
      <c r="U2289" s="6">
        <f t="shared" si="7"/>
        <v>6</v>
      </c>
      <c r="V2289" s="42">
        <f>averageif(AllData!A:A,B2289,AllData!R:R)/vlookup(B2289,AllData!A:O,15,0)</f>
        <v>92.75369048</v>
      </c>
      <c r="W2289" s="6"/>
    </row>
    <row r="2290" ht="14.25" customHeight="1">
      <c r="A2290" s="6" t="str">
        <f t="shared" si="27"/>
        <v>2022Cock6</v>
      </c>
      <c r="B2290" s="59">
        <v>2022.0</v>
      </c>
      <c r="C2290" s="13" t="s">
        <v>72</v>
      </c>
      <c r="D2290" s="13" t="s">
        <v>142</v>
      </c>
      <c r="E2290" s="34"/>
      <c r="F2290" s="6"/>
      <c r="H2290" s="6"/>
      <c r="I2290" s="35" t="str">
        <f>IFERROR(IFERROR(IFERROR(VLOOKUP(B2290&amp;C2290&amp;Q2290,'New Weekly Paste'!A:M,10,0),VLOOKUP(B2290&amp;C2290&amp;Q2290,'New Weekly Paste'!B:O,6,0)),""),"")</f>
        <v>Rooney/Jackson</v>
      </c>
      <c r="J2290" s="259">
        <f>IFERROR(IFERROR(VLOOKUP(B2290&amp;C2290&amp;Q2290,'New Weekly Paste'!A:M,8,0),VLOOKUP(B2290&amp;C2290&amp;Q2290,'New Weekly Paste'!B:O,10,0)),0)</f>
        <v>72.42</v>
      </c>
      <c r="K2290" s="259">
        <f>IFERROR(IFERROR(VLOOKUP(B2290&amp;I2290&amp;Q2290,'New Weekly Paste'!A:M,8,0),VLOOKUP(B2290&amp;I2290&amp;Q2290,'New Weekly Paste'!B:O,10,0)),0)</f>
        <v>87.78</v>
      </c>
      <c r="L2290" s="239">
        <f t="shared" si="25"/>
        <v>0</v>
      </c>
      <c r="M2290" s="36" t="str">
        <f t="shared" si="3"/>
        <v>Regular Season</v>
      </c>
      <c r="N2290" s="239" t="str">
        <f t="shared" si="26"/>
        <v>Rooney/Jackson</v>
      </c>
      <c r="O2290" s="6">
        <f>VLOOKUP(D2290,'Mapped Opponent'!$G$4:$H$22,2,0)</f>
        <v>6</v>
      </c>
      <c r="P2290" s="6"/>
      <c r="Q2290" s="6" t="str">
        <f t="shared" si="4"/>
        <v>Week 6</v>
      </c>
      <c r="R2290" s="6" t="str">
        <f t="shared" si="5"/>
        <v>2022Week 6</v>
      </c>
      <c r="S2290" s="6">
        <f>IFERROR(__xludf.DUMMYFUNCTION("rank(J2290,FILTER(J:J,R:R=R2290))"),10.0)</f>
        <v>10</v>
      </c>
      <c r="T2290" s="6">
        <f t="shared" si="6"/>
        <v>2</v>
      </c>
      <c r="U2290" s="6">
        <f t="shared" si="7"/>
        <v>10</v>
      </c>
      <c r="V2290" s="42">
        <f>averageif(AllData!A:A,B2290,AllData!R:R)/vlookup(B2290,AllData!A:O,15,0)</f>
        <v>92.75369048</v>
      </c>
      <c r="W2290" s="6"/>
    </row>
    <row r="2291" ht="14.25" customHeight="1">
      <c r="A2291" s="6" t="str">
        <f t="shared" si="27"/>
        <v>2022Tayski6</v>
      </c>
      <c r="B2291" s="59">
        <v>2022.0</v>
      </c>
      <c r="C2291" s="13" t="s">
        <v>52</v>
      </c>
      <c r="D2291" s="13" t="s">
        <v>142</v>
      </c>
      <c r="E2291" s="34"/>
      <c r="F2291" s="6"/>
      <c r="H2291" s="6"/>
      <c r="I2291" s="35" t="str">
        <f>IFERROR(IFERROR(IFERROR(VLOOKUP(B2291&amp;C2291&amp;Q2291,'New Weekly Paste'!A:M,10,0),VLOOKUP(B2291&amp;C2291&amp;Q2291,'New Weekly Paste'!B:O,6,0)),""),"")</f>
        <v>KnardDawg</v>
      </c>
      <c r="J2291" s="259">
        <f>IFERROR(IFERROR(VLOOKUP(B2291&amp;C2291&amp;Q2291,'New Weekly Paste'!A:M,8,0),VLOOKUP(B2291&amp;C2291&amp;Q2291,'New Weekly Paste'!B:O,10,0)),0)</f>
        <v>75.06</v>
      </c>
      <c r="K2291" s="259">
        <f>IFERROR(IFERROR(VLOOKUP(B2291&amp;I2291&amp;Q2291,'New Weekly Paste'!A:M,8,0),VLOOKUP(B2291&amp;I2291&amp;Q2291,'New Weekly Paste'!B:O,10,0)),0)</f>
        <v>99.24</v>
      </c>
      <c r="L2291" s="239">
        <f t="shared" si="25"/>
        <v>0</v>
      </c>
      <c r="M2291" s="36" t="str">
        <f t="shared" si="3"/>
        <v>Regular Season</v>
      </c>
      <c r="N2291" s="239" t="str">
        <f t="shared" si="26"/>
        <v>KnardDawg</v>
      </c>
      <c r="O2291" s="6">
        <f>VLOOKUP(D2291,'Mapped Opponent'!$G$4:$H$22,2,0)</f>
        <v>6</v>
      </c>
      <c r="P2291" s="6"/>
      <c r="Q2291" s="6" t="str">
        <f t="shared" si="4"/>
        <v>Week 6</v>
      </c>
      <c r="R2291" s="6" t="str">
        <f t="shared" si="5"/>
        <v>2022Week 6</v>
      </c>
      <c r="S2291" s="6">
        <f>IFERROR(__xludf.DUMMYFUNCTION("rank(J2291,FILTER(J:J,R:R=R2291))"),7.0)</f>
        <v>7</v>
      </c>
      <c r="T2291" s="6">
        <f t="shared" si="6"/>
        <v>5</v>
      </c>
      <c r="U2291" s="6">
        <f t="shared" si="7"/>
        <v>7</v>
      </c>
      <c r="V2291" s="42">
        <f>averageif(AllData!A:A,B2291,AllData!R:R)/vlookup(B2291,AllData!A:O,15,0)</f>
        <v>92.75369048</v>
      </c>
      <c r="W2291" s="6"/>
    </row>
    <row r="2292" ht="14.25" customHeight="1">
      <c r="A2292" s="6" t="str">
        <f t="shared" si="27"/>
        <v>2022KnardDawg6</v>
      </c>
      <c r="B2292" s="59">
        <v>2022.0</v>
      </c>
      <c r="C2292" s="13" t="s">
        <v>86</v>
      </c>
      <c r="D2292" s="13" t="s">
        <v>142</v>
      </c>
      <c r="E2292" s="34"/>
      <c r="F2292" s="6"/>
      <c r="H2292" s="6"/>
      <c r="I2292" s="35" t="str">
        <f>IFERROR(IFERROR(IFERROR(VLOOKUP(B2292&amp;C2292&amp;Q2292,'New Weekly Paste'!A:M,10,0),VLOOKUP(B2292&amp;C2292&amp;Q2292,'New Weekly Paste'!B:O,6,0)),""),"")</f>
        <v>Tayski</v>
      </c>
      <c r="J2292" s="259">
        <f>IFERROR(IFERROR(VLOOKUP(B2292&amp;C2292&amp;Q2292,'New Weekly Paste'!A:M,8,0),VLOOKUP(B2292&amp;C2292&amp;Q2292,'New Weekly Paste'!B:O,10,0)),0)</f>
        <v>99.24</v>
      </c>
      <c r="K2292" s="259">
        <f>IFERROR(IFERROR(VLOOKUP(B2292&amp;I2292&amp;Q2292,'New Weekly Paste'!A:M,8,0),VLOOKUP(B2292&amp;I2292&amp;Q2292,'New Weekly Paste'!B:O,10,0)),0)</f>
        <v>75.06</v>
      </c>
      <c r="L2292" s="239">
        <f t="shared" si="25"/>
        <v>1</v>
      </c>
      <c r="M2292" s="36" t="str">
        <f t="shared" si="3"/>
        <v>Regular Season</v>
      </c>
      <c r="N2292" s="239" t="str">
        <f t="shared" si="26"/>
        <v>Tayski</v>
      </c>
      <c r="O2292" s="6">
        <f>VLOOKUP(D2292,'Mapped Opponent'!$G$4:$H$22,2,0)</f>
        <v>6</v>
      </c>
      <c r="P2292" s="6"/>
      <c r="Q2292" s="6" t="str">
        <f t="shared" si="4"/>
        <v>Week 6</v>
      </c>
      <c r="R2292" s="6" t="str">
        <f t="shared" si="5"/>
        <v>2022Week 6</v>
      </c>
      <c r="S2292" s="6">
        <f>IFERROR(__xludf.DUMMYFUNCTION("rank(J2292,FILTER(J:J,R:R=R2292))"),2.0)</f>
        <v>2</v>
      </c>
      <c r="T2292" s="6">
        <f t="shared" si="6"/>
        <v>10</v>
      </c>
      <c r="U2292" s="6">
        <f t="shared" si="7"/>
        <v>2</v>
      </c>
      <c r="V2292" s="42">
        <f>averageif(AllData!A:A,B2292,AllData!R:R)/vlookup(B2292,AllData!A:O,15,0)</f>
        <v>92.75369048</v>
      </c>
      <c r="W2292" s="6"/>
    </row>
    <row r="2293" ht="14.25" customHeight="1">
      <c r="A2293" s="6" t="str">
        <f t="shared" si="27"/>
        <v>2022T-How6</v>
      </c>
      <c r="B2293" s="59">
        <v>2022.0</v>
      </c>
      <c r="C2293" s="13" t="s">
        <v>82</v>
      </c>
      <c r="D2293" s="13" t="s">
        <v>142</v>
      </c>
      <c r="E2293" s="34"/>
      <c r="F2293" s="6"/>
      <c r="H2293" s="6"/>
      <c r="I2293" s="35" t="str">
        <f>IFERROR(IFERROR(IFERROR(VLOOKUP(B2293&amp;C2293&amp;Q2293,'New Weekly Paste'!A:M,10,0),VLOOKUP(B2293&amp;C2293&amp;Q2293,'New Weekly Paste'!B:O,6,0)),""),"")</f>
        <v>Salty</v>
      </c>
      <c r="J2293" s="259">
        <f>IFERROR(IFERROR(VLOOKUP(B2293&amp;C2293&amp;Q2293,'New Weekly Paste'!A:M,8,0),VLOOKUP(B2293&amp;C2293&amp;Q2293,'New Weekly Paste'!B:O,10,0)),0)</f>
        <v>80.34</v>
      </c>
      <c r="K2293" s="259">
        <f>IFERROR(IFERROR(VLOOKUP(B2293&amp;I2293&amp;Q2293,'New Weekly Paste'!A:M,8,0),VLOOKUP(B2293&amp;I2293&amp;Q2293,'New Weekly Paste'!B:O,10,0)),0)</f>
        <v>92.5</v>
      </c>
      <c r="L2293" s="239">
        <f t="shared" si="25"/>
        <v>0</v>
      </c>
      <c r="M2293" s="36" t="str">
        <f t="shared" si="3"/>
        <v>Regular Season</v>
      </c>
      <c r="N2293" s="239" t="str">
        <f t="shared" si="26"/>
        <v>Salty</v>
      </c>
      <c r="O2293" s="6">
        <f>VLOOKUP(D2293,'Mapped Opponent'!$G$4:$H$22,2,0)</f>
        <v>6</v>
      </c>
      <c r="P2293" s="6"/>
      <c r="Q2293" s="6" t="str">
        <f t="shared" si="4"/>
        <v>Week 6</v>
      </c>
      <c r="R2293" s="6" t="str">
        <f t="shared" si="5"/>
        <v>2022Week 6</v>
      </c>
      <c r="S2293" s="6">
        <f>IFERROR(__xludf.DUMMYFUNCTION("rank(J2293,FILTER(J:J,R:R=R2293))"),5.0)</f>
        <v>5</v>
      </c>
      <c r="T2293" s="6">
        <f t="shared" si="6"/>
        <v>7</v>
      </c>
      <c r="U2293" s="6">
        <f t="shared" si="7"/>
        <v>5</v>
      </c>
      <c r="V2293" s="42">
        <f>averageif(AllData!A:A,B2293,AllData!R:R)/vlookup(B2293,AllData!A:O,15,0)</f>
        <v>92.75369048</v>
      </c>
      <c r="W2293" s="6"/>
    </row>
    <row r="2294" ht="14.25" customHeight="1">
      <c r="A2294" s="6" t="str">
        <f t="shared" si="27"/>
        <v>2022Hudspeath7</v>
      </c>
      <c r="B2294" s="59">
        <v>2022.0</v>
      </c>
      <c r="C2294" s="13" t="s">
        <v>39</v>
      </c>
      <c r="D2294" s="13" t="s">
        <v>143</v>
      </c>
      <c r="E2294" s="34"/>
      <c r="F2294" s="6"/>
      <c r="H2294" s="6"/>
      <c r="I2294" s="35" t="str">
        <f>IFERROR(IFERROR(IFERROR(VLOOKUP(B2294&amp;C2294&amp;Q2294,'New Weekly Paste'!A:M,10,0),VLOOKUP(B2294&amp;C2294&amp;Q2294,'New Weekly Paste'!B:O,6,0)),""),"")</f>
        <v>Fellows</v>
      </c>
      <c r="J2294" s="259">
        <f>IFERROR(IFERROR(VLOOKUP(B2294&amp;C2294&amp;Q2294,'New Weekly Paste'!A:M,8,0),VLOOKUP(B2294&amp;C2294&amp;Q2294,'New Weekly Paste'!B:O,10,0)),0)</f>
        <v>45.02</v>
      </c>
      <c r="K2294" s="259">
        <f>IFERROR(IFERROR(VLOOKUP(B2294&amp;I2294&amp;Q2294,'New Weekly Paste'!A:M,8,0),VLOOKUP(B2294&amp;I2294&amp;Q2294,'New Weekly Paste'!B:O,10,0)),0)</f>
        <v>109.94</v>
      </c>
      <c r="L2294" s="239">
        <f t="shared" si="25"/>
        <v>0</v>
      </c>
      <c r="M2294" s="36" t="str">
        <f t="shared" si="3"/>
        <v>Regular Season</v>
      </c>
      <c r="N2294" s="239" t="str">
        <f t="shared" si="26"/>
        <v>Fellows</v>
      </c>
      <c r="O2294" s="6">
        <f>VLOOKUP(D2294,'Mapped Opponent'!$G$4:$H$22,2,0)</f>
        <v>7</v>
      </c>
      <c r="P2294" s="6"/>
      <c r="Q2294" s="6" t="str">
        <f t="shared" si="4"/>
        <v>Week 7</v>
      </c>
      <c r="R2294" s="6" t="str">
        <f t="shared" si="5"/>
        <v>2022Week 7</v>
      </c>
      <c r="S2294" s="6">
        <f>IFERROR(__xludf.DUMMYFUNCTION("rank(J2294,FILTER(J:J,R:R=R2294))"),12.0)</f>
        <v>12</v>
      </c>
      <c r="T2294" s="6">
        <f t="shared" si="6"/>
        <v>0</v>
      </c>
      <c r="U2294" s="6">
        <f t="shared" si="7"/>
        <v>12</v>
      </c>
      <c r="V2294" s="42">
        <f>averageif(AllData!A:A,B2294,AllData!R:R)/vlookup(B2294,AllData!A:O,15,0)</f>
        <v>92.75369048</v>
      </c>
      <c r="W2294" s="6"/>
    </row>
    <row r="2295" ht="14.25" customHeight="1">
      <c r="A2295" s="6" t="str">
        <f t="shared" si="27"/>
        <v>2022Salty7</v>
      </c>
      <c r="B2295" s="59">
        <v>2022.0</v>
      </c>
      <c r="C2295" s="13" t="s">
        <v>76</v>
      </c>
      <c r="D2295" s="13" t="s">
        <v>143</v>
      </c>
      <c r="E2295" s="34"/>
      <c r="F2295" s="6"/>
      <c r="H2295" s="6"/>
      <c r="I2295" s="35" t="str">
        <f>IFERROR(IFERROR(IFERROR(VLOOKUP(B2295&amp;C2295&amp;Q2295,'New Weekly Paste'!A:M,10,0),VLOOKUP(B2295&amp;C2295&amp;Q2295,'New Weekly Paste'!B:O,6,0)),""),"")</f>
        <v>Buser</v>
      </c>
      <c r="J2295" s="259">
        <f>IFERROR(IFERROR(VLOOKUP(B2295&amp;C2295&amp;Q2295,'New Weekly Paste'!A:M,8,0),VLOOKUP(B2295&amp;C2295&amp;Q2295,'New Weekly Paste'!B:O,10,0)),0)</f>
        <v>80.82</v>
      </c>
      <c r="K2295" s="259">
        <f>IFERROR(IFERROR(VLOOKUP(B2295&amp;I2295&amp;Q2295,'New Weekly Paste'!A:M,8,0),VLOOKUP(B2295&amp;I2295&amp;Q2295,'New Weekly Paste'!B:O,10,0)),0)</f>
        <v>90.42</v>
      </c>
      <c r="L2295" s="239">
        <f t="shared" si="25"/>
        <v>0</v>
      </c>
      <c r="M2295" s="36" t="str">
        <f t="shared" si="3"/>
        <v>Regular Season</v>
      </c>
      <c r="N2295" s="239" t="str">
        <f t="shared" si="26"/>
        <v>Buser</v>
      </c>
      <c r="O2295" s="6">
        <f>VLOOKUP(D2295,'Mapped Opponent'!$G$4:$H$22,2,0)</f>
        <v>7</v>
      </c>
      <c r="P2295" s="6"/>
      <c r="Q2295" s="6" t="str">
        <f t="shared" si="4"/>
        <v>Week 7</v>
      </c>
      <c r="R2295" s="6" t="str">
        <f t="shared" si="5"/>
        <v>2022Week 7</v>
      </c>
      <c r="S2295" s="6">
        <f>IFERROR(__xludf.DUMMYFUNCTION("rank(J2295,FILTER(J:J,R:R=R2295))"),8.0)</f>
        <v>8</v>
      </c>
      <c r="T2295" s="6">
        <f t="shared" si="6"/>
        <v>4</v>
      </c>
      <c r="U2295" s="6">
        <f t="shared" si="7"/>
        <v>8</v>
      </c>
      <c r="V2295" s="42">
        <f>averageif(AllData!A:A,B2295,AllData!R:R)/vlookup(B2295,AllData!A:O,15,0)</f>
        <v>92.75369048</v>
      </c>
      <c r="W2295" s="6"/>
    </row>
    <row r="2296" ht="14.25" customHeight="1">
      <c r="A2296" s="6" t="str">
        <f t="shared" si="27"/>
        <v>2022Fellows7</v>
      </c>
      <c r="B2296" s="59">
        <v>2022.0</v>
      </c>
      <c r="C2296" s="13" t="s">
        <v>79</v>
      </c>
      <c r="D2296" s="13" t="s">
        <v>143</v>
      </c>
      <c r="E2296" s="34"/>
      <c r="F2296" s="6"/>
      <c r="H2296" s="6"/>
      <c r="I2296" s="35" t="str">
        <f>IFERROR(IFERROR(IFERROR(VLOOKUP(B2296&amp;C2296&amp;Q2296,'New Weekly Paste'!A:M,10,0),VLOOKUP(B2296&amp;C2296&amp;Q2296,'New Weekly Paste'!B:O,6,0)),""),"")</f>
        <v>Hudspeath</v>
      </c>
      <c r="J2296" s="259">
        <f>IFERROR(IFERROR(VLOOKUP(B2296&amp;C2296&amp;Q2296,'New Weekly Paste'!A:M,8,0),VLOOKUP(B2296&amp;C2296&amp;Q2296,'New Weekly Paste'!B:O,10,0)),0)</f>
        <v>109.94</v>
      </c>
      <c r="K2296" s="259">
        <f>IFERROR(IFERROR(VLOOKUP(B2296&amp;I2296&amp;Q2296,'New Weekly Paste'!A:M,8,0),VLOOKUP(B2296&amp;I2296&amp;Q2296,'New Weekly Paste'!B:O,10,0)),0)</f>
        <v>45.02</v>
      </c>
      <c r="L2296" s="239">
        <f t="shared" si="25"/>
        <v>1</v>
      </c>
      <c r="M2296" s="36" t="str">
        <f t="shared" si="3"/>
        <v>Regular Season</v>
      </c>
      <c r="N2296" s="239" t="str">
        <f t="shared" si="26"/>
        <v>Hudspeath</v>
      </c>
      <c r="O2296" s="6">
        <f>VLOOKUP(D2296,'Mapped Opponent'!$G$4:$H$22,2,0)</f>
        <v>7</v>
      </c>
      <c r="P2296" s="6"/>
      <c r="Q2296" s="6" t="str">
        <f t="shared" si="4"/>
        <v>Week 7</v>
      </c>
      <c r="R2296" s="6" t="str">
        <f t="shared" si="5"/>
        <v>2022Week 7</v>
      </c>
      <c r="S2296" s="6">
        <f>IFERROR(__xludf.DUMMYFUNCTION("rank(J2296,FILTER(J:J,R:R=R2296))"),2.0)</f>
        <v>2</v>
      </c>
      <c r="T2296" s="6">
        <f t="shared" si="6"/>
        <v>10</v>
      </c>
      <c r="U2296" s="6">
        <f t="shared" si="7"/>
        <v>2</v>
      </c>
      <c r="V2296" s="42">
        <f>averageif(AllData!A:A,B2296,AllData!R:R)/vlookup(B2296,AllData!A:O,15,0)</f>
        <v>92.75369048</v>
      </c>
      <c r="W2296" s="6"/>
    </row>
    <row r="2297" ht="14.25" customHeight="1">
      <c r="A2297" s="6" t="str">
        <f t="shared" si="27"/>
        <v>2022Shep7</v>
      </c>
      <c r="B2297" s="59">
        <v>2022.0</v>
      </c>
      <c r="C2297" s="13" t="s">
        <v>89</v>
      </c>
      <c r="D2297" s="13" t="s">
        <v>143</v>
      </c>
      <c r="E2297" s="34"/>
      <c r="F2297" s="6"/>
      <c r="H2297" s="6"/>
      <c r="I2297" s="35" t="str">
        <f>IFERROR(IFERROR(IFERROR(VLOOKUP(B2297&amp;C2297&amp;Q2297,'New Weekly Paste'!A:M,10,0),VLOOKUP(B2297&amp;C2297&amp;Q2297,'New Weekly Paste'!B:O,6,0)),""),"")</f>
        <v>Riley</v>
      </c>
      <c r="J2297" s="259">
        <f>IFERROR(IFERROR(VLOOKUP(B2297&amp;C2297&amp;Q2297,'New Weekly Paste'!A:M,8,0),VLOOKUP(B2297&amp;C2297&amp;Q2297,'New Weekly Paste'!B:O,10,0)),0)</f>
        <v>119.24</v>
      </c>
      <c r="K2297" s="259">
        <f>IFERROR(IFERROR(VLOOKUP(B2297&amp;I2297&amp;Q2297,'New Weekly Paste'!A:M,8,0),VLOOKUP(B2297&amp;I2297&amp;Q2297,'New Weekly Paste'!B:O,10,0)),0)</f>
        <v>70.1</v>
      </c>
      <c r="L2297" s="239">
        <f t="shared" si="25"/>
        <v>1</v>
      </c>
      <c r="M2297" s="36" t="str">
        <f t="shared" si="3"/>
        <v>Regular Season</v>
      </c>
      <c r="N2297" s="239" t="str">
        <f t="shared" si="26"/>
        <v>Riley</v>
      </c>
      <c r="O2297" s="6">
        <f>VLOOKUP(D2297,'Mapped Opponent'!$G$4:$H$22,2,0)</f>
        <v>7</v>
      </c>
      <c r="P2297" s="6"/>
      <c r="Q2297" s="6" t="str">
        <f t="shared" si="4"/>
        <v>Week 7</v>
      </c>
      <c r="R2297" s="6" t="str">
        <f t="shared" si="5"/>
        <v>2022Week 7</v>
      </c>
      <c r="S2297" s="6">
        <f>IFERROR(__xludf.DUMMYFUNCTION("rank(J2297,FILTER(J:J,R:R=R2297))"),1.0)</f>
        <v>1</v>
      </c>
      <c r="T2297" s="6">
        <f t="shared" si="6"/>
        <v>11</v>
      </c>
      <c r="U2297" s="6">
        <f t="shared" si="7"/>
        <v>1</v>
      </c>
      <c r="V2297" s="42">
        <f>averageif(AllData!A:A,B2297,AllData!R:R)/vlookup(B2297,AllData!A:O,15,0)</f>
        <v>92.75369048</v>
      </c>
      <c r="W2297" s="6"/>
    </row>
    <row r="2298" ht="14.25" customHeight="1">
      <c r="A2298" s="6" t="str">
        <f t="shared" si="27"/>
        <v>2022Riley7</v>
      </c>
      <c r="B2298" s="59">
        <v>2022.0</v>
      </c>
      <c r="C2298" s="13" t="s">
        <v>67</v>
      </c>
      <c r="D2298" s="13" t="s">
        <v>143</v>
      </c>
      <c r="E2298" s="34"/>
      <c r="F2298" s="6"/>
      <c r="H2298" s="6"/>
      <c r="I2298" s="35" t="str">
        <f>IFERROR(IFERROR(IFERROR(VLOOKUP(B2298&amp;C2298&amp;Q2298,'New Weekly Paste'!A:M,10,0),VLOOKUP(B2298&amp;C2298&amp;Q2298,'New Weekly Paste'!B:O,6,0)),""),"")</f>
        <v>Shep</v>
      </c>
      <c r="J2298" s="259">
        <f>IFERROR(IFERROR(VLOOKUP(B2298&amp;C2298&amp;Q2298,'New Weekly Paste'!A:M,8,0),VLOOKUP(B2298&amp;C2298&amp;Q2298,'New Weekly Paste'!B:O,10,0)),0)</f>
        <v>70.1</v>
      </c>
      <c r="K2298" s="259">
        <f>IFERROR(IFERROR(VLOOKUP(B2298&amp;I2298&amp;Q2298,'New Weekly Paste'!A:M,8,0),VLOOKUP(B2298&amp;I2298&amp;Q2298,'New Weekly Paste'!B:O,10,0)),0)</f>
        <v>119.24</v>
      </c>
      <c r="L2298" s="239">
        <f t="shared" si="25"/>
        <v>0</v>
      </c>
      <c r="M2298" s="36" t="str">
        <f t="shared" si="3"/>
        <v>Regular Season</v>
      </c>
      <c r="N2298" s="239" t="str">
        <f t="shared" si="26"/>
        <v>Shep</v>
      </c>
      <c r="O2298" s="6">
        <f>VLOOKUP(D2298,'Mapped Opponent'!$G$4:$H$22,2,0)</f>
        <v>7</v>
      </c>
      <c r="P2298" s="6"/>
      <c r="Q2298" s="6" t="str">
        <f t="shared" si="4"/>
        <v>Week 7</v>
      </c>
      <c r="R2298" s="6" t="str">
        <f t="shared" si="5"/>
        <v>2022Week 7</v>
      </c>
      <c r="S2298" s="6">
        <f>IFERROR(__xludf.DUMMYFUNCTION("rank(J2298,FILTER(J:J,R:R=R2298))"),10.0)</f>
        <v>10</v>
      </c>
      <c r="T2298" s="6">
        <f t="shared" si="6"/>
        <v>2</v>
      </c>
      <c r="U2298" s="6">
        <f t="shared" si="7"/>
        <v>10</v>
      </c>
      <c r="V2298" s="42">
        <f>averageif(AllData!A:A,B2298,AllData!R:R)/vlookup(B2298,AllData!A:O,15,0)</f>
        <v>92.75369048</v>
      </c>
      <c r="W2298" s="6"/>
    </row>
    <row r="2299" ht="14.25" customHeight="1">
      <c r="A2299" s="6" t="str">
        <f t="shared" si="27"/>
        <v>2022Rooney/Jackson7</v>
      </c>
      <c r="B2299" s="59">
        <v>2022.0</v>
      </c>
      <c r="C2299" s="13" t="s">
        <v>57</v>
      </c>
      <c r="D2299" s="13" t="s">
        <v>143</v>
      </c>
      <c r="E2299" s="34"/>
      <c r="F2299" s="6"/>
      <c r="H2299" s="6"/>
      <c r="I2299" s="35" t="str">
        <f>IFERROR(IFERROR(IFERROR(VLOOKUP(B2299&amp;C2299&amp;Q2299,'New Weekly Paste'!A:M,10,0),VLOOKUP(B2299&amp;C2299&amp;Q2299,'New Weekly Paste'!B:O,6,0)),""),"")</f>
        <v>KnardDawg</v>
      </c>
      <c r="J2299" s="259">
        <f>IFERROR(IFERROR(VLOOKUP(B2299&amp;C2299&amp;Q2299,'New Weekly Paste'!A:M,8,0),VLOOKUP(B2299&amp;C2299&amp;Q2299,'New Weekly Paste'!B:O,10,0)),0)</f>
        <v>68.86</v>
      </c>
      <c r="K2299" s="259">
        <f>IFERROR(IFERROR(VLOOKUP(B2299&amp;I2299&amp;Q2299,'New Weekly Paste'!A:M,8,0),VLOOKUP(B2299&amp;I2299&amp;Q2299,'New Weekly Paste'!B:O,10,0)),0)</f>
        <v>70.16</v>
      </c>
      <c r="L2299" s="239">
        <f t="shared" si="25"/>
        <v>0</v>
      </c>
      <c r="M2299" s="36" t="str">
        <f t="shared" si="3"/>
        <v>Regular Season</v>
      </c>
      <c r="N2299" s="239" t="str">
        <f t="shared" si="26"/>
        <v>KnardDawg</v>
      </c>
      <c r="O2299" s="6">
        <f>VLOOKUP(D2299,'Mapped Opponent'!$G$4:$H$22,2,0)</f>
        <v>7</v>
      </c>
      <c r="P2299" s="6"/>
      <c r="Q2299" s="6" t="str">
        <f t="shared" si="4"/>
        <v>Week 7</v>
      </c>
      <c r="R2299" s="6" t="str">
        <f t="shared" si="5"/>
        <v>2022Week 7</v>
      </c>
      <c r="S2299" s="6">
        <f>IFERROR(__xludf.DUMMYFUNCTION("rank(J2299,FILTER(J:J,R:R=R2299))"),11.0)</f>
        <v>11</v>
      </c>
      <c r="T2299" s="6">
        <f t="shared" si="6"/>
        <v>1</v>
      </c>
      <c r="U2299" s="6">
        <f t="shared" si="7"/>
        <v>11</v>
      </c>
      <c r="V2299" s="42">
        <f>averageif(AllData!A:A,B2299,AllData!R:R)/vlookup(B2299,AllData!A:O,15,0)</f>
        <v>92.75369048</v>
      </c>
      <c r="W2299" s="6"/>
    </row>
    <row r="2300" ht="14.25" customHeight="1">
      <c r="A2300" s="6" t="str">
        <f t="shared" si="27"/>
        <v>2022Buser7</v>
      </c>
      <c r="B2300" s="59">
        <v>2022.0</v>
      </c>
      <c r="C2300" s="13" t="s">
        <v>47</v>
      </c>
      <c r="D2300" s="13" t="s">
        <v>143</v>
      </c>
      <c r="E2300" s="34"/>
      <c r="F2300" s="6"/>
      <c r="H2300" s="6"/>
      <c r="I2300" s="35" t="str">
        <f>IFERROR(IFERROR(IFERROR(VLOOKUP(B2300&amp;C2300&amp;Q2300,'New Weekly Paste'!A:M,10,0),VLOOKUP(B2300&amp;C2300&amp;Q2300,'New Weekly Paste'!B:O,6,0)),""),"")</f>
        <v>Salty</v>
      </c>
      <c r="J2300" s="259">
        <f>IFERROR(IFERROR(VLOOKUP(B2300&amp;C2300&amp;Q2300,'New Weekly Paste'!A:M,8,0),VLOOKUP(B2300&amp;C2300&amp;Q2300,'New Weekly Paste'!B:O,10,0)),0)</f>
        <v>90.42</v>
      </c>
      <c r="K2300" s="259">
        <f>IFERROR(IFERROR(VLOOKUP(B2300&amp;I2300&amp;Q2300,'New Weekly Paste'!A:M,8,0),VLOOKUP(B2300&amp;I2300&amp;Q2300,'New Weekly Paste'!B:O,10,0)),0)</f>
        <v>80.82</v>
      </c>
      <c r="L2300" s="239">
        <f t="shared" si="25"/>
        <v>1</v>
      </c>
      <c r="M2300" s="36" t="str">
        <f t="shared" si="3"/>
        <v>Regular Season</v>
      </c>
      <c r="N2300" s="239" t="str">
        <f t="shared" si="26"/>
        <v>Salty</v>
      </c>
      <c r="O2300" s="6">
        <f>VLOOKUP(D2300,'Mapped Opponent'!$G$4:$H$22,2,0)</f>
        <v>7</v>
      </c>
      <c r="P2300" s="6"/>
      <c r="Q2300" s="6" t="str">
        <f t="shared" si="4"/>
        <v>Week 7</v>
      </c>
      <c r="R2300" s="6" t="str">
        <f t="shared" si="5"/>
        <v>2022Week 7</v>
      </c>
      <c r="S2300" s="6">
        <f>IFERROR(__xludf.DUMMYFUNCTION("rank(J2300,FILTER(J:J,R:R=R2300))"),6.0)</f>
        <v>6</v>
      </c>
      <c r="T2300" s="6">
        <f t="shared" si="6"/>
        <v>6</v>
      </c>
      <c r="U2300" s="6">
        <f t="shared" si="7"/>
        <v>6</v>
      </c>
      <c r="V2300" s="42">
        <f>averageif(AllData!A:A,B2300,AllData!R:R)/vlookup(B2300,AllData!A:O,15,0)</f>
        <v>92.75369048</v>
      </c>
      <c r="W2300" s="6"/>
    </row>
    <row r="2301" ht="14.25" customHeight="1">
      <c r="A2301" s="6" t="str">
        <f t="shared" si="27"/>
        <v>2022Pierson7</v>
      </c>
      <c r="B2301" s="59">
        <v>2022.0</v>
      </c>
      <c r="C2301" s="13" t="s">
        <v>92</v>
      </c>
      <c r="D2301" s="13" t="s">
        <v>143</v>
      </c>
      <c r="E2301" s="34"/>
      <c r="F2301" s="6"/>
      <c r="H2301" s="6"/>
      <c r="I2301" s="35" t="str">
        <f>IFERROR(IFERROR(IFERROR(VLOOKUP(B2301&amp;C2301&amp;Q2301,'New Weekly Paste'!A:M,10,0),VLOOKUP(B2301&amp;C2301&amp;Q2301,'New Weekly Paste'!B:O,6,0)),""),"")</f>
        <v>Cock</v>
      </c>
      <c r="J2301" s="259">
        <f>IFERROR(IFERROR(VLOOKUP(B2301&amp;C2301&amp;Q2301,'New Weekly Paste'!A:M,8,0),VLOOKUP(B2301&amp;C2301&amp;Q2301,'New Weekly Paste'!B:O,10,0)),0)</f>
        <v>86.72</v>
      </c>
      <c r="K2301" s="259">
        <f>IFERROR(IFERROR(VLOOKUP(B2301&amp;I2301&amp;Q2301,'New Weekly Paste'!A:M,8,0),VLOOKUP(B2301&amp;I2301&amp;Q2301,'New Weekly Paste'!B:O,10,0)),0)</f>
        <v>97.1</v>
      </c>
      <c r="L2301" s="239">
        <f t="shared" si="25"/>
        <v>0</v>
      </c>
      <c r="M2301" s="36" t="str">
        <f t="shared" si="3"/>
        <v>Regular Season</v>
      </c>
      <c r="N2301" s="239" t="str">
        <f t="shared" si="26"/>
        <v>Cock</v>
      </c>
      <c r="O2301" s="6">
        <f>VLOOKUP(D2301,'Mapped Opponent'!$G$4:$H$22,2,0)</f>
        <v>7</v>
      </c>
      <c r="P2301" s="6"/>
      <c r="Q2301" s="6" t="str">
        <f t="shared" si="4"/>
        <v>Week 7</v>
      </c>
      <c r="R2301" s="6" t="str">
        <f t="shared" si="5"/>
        <v>2022Week 7</v>
      </c>
      <c r="S2301" s="6">
        <f>IFERROR(__xludf.DUMMYFUNCTION("rank(J2301,FILTER(J:J,R:R=R2301))"),7.0)</f>
        <v>7</v>
      </c>
      <c r="T2301" s="6">
        <f t="shared" si="6"/>
        <v>5</v>
      </c>
      <c r="U2301" s="6">
        <f t="shared" si="7"/>
        <v>7</v>
      </c>
      <c r="V2301" s="42">
        <f>averageif(AllData!A:A,B2301,AllData!R:R)/vlookup(B2301,AllData!A:O,15,0)</f>
        <v>92.75369048</v>
      </c>
      <c r="W2301" s="6"/>
    </row>
    <row r="2302" ht="14.25" customHeight="1">
      <c r="A2302" s="6" t="str">
        <f t="shared" si="27"/>
        <v>2022Cock7</v>
      </c>
      <c r="B2302" s="59">
        <v>2022.0</v>
      </c>
      <c r="C2302" s="13" t="s">
        <v>72</v>
      </c>
      <c r="D2302" s="13" t="s">
        <v>143</v>
      </c>
      <c r="E2302" s="34"/>
      <c r="F2302" s="6"/>
      <c r="H2302" s="6"/>
      <c r="I2302" s="35" t="str">
        <f>IFERROR(IFERROR(IFERROR(VLOOKUP(B2302&amp;C2302&amp;Q2302,'New Weekly Paste'!A:M,10,0),VLOOKUP(B2302&amp;C2302&amp;Q2302,'New Weekly Paste'!B:O,6,0)),""),"")</f>
        <v>Pierson</v>
      </c>
      <c r="J2302" s="259">
        <f>IFERROR(IFERROR(VLOOKUP(B2302&amp;C2302&amp;Q2302,'New Weekly Paste'!A:M,8,0),VLOOKUP(B2302&amp;C2302&amp;Q2302,'New Weekly Paste'!B:O,10,0)),0)</f>
        <v>97.1</v>
      </c>
      <c r="K2302" s="259">
        <f>IFERROR(IFERROR(VLOOKUP(B2302&amp;I2302&amp;Q2302,'New Weekly Paste'!A:M,8,0),VLOOKUP(B2302&amp;I2302&amp;Q2302,'New Weekly Paste'!B:O,10,0)),0)</f>
        <v>86.72</v>
      </c>
      <c r="L2302" s="239">
        <f t="shared" si="25"/>
        <v>1</v>
      </c>
      <c r="M2302" s="36" t="str">
        <f t="shared" si="3"/>
        <v>Regular Season</v>
      </c>
      <c r="N2302" s="239" t="str">
        <f t="shared" si="26"/>
        <v>Pierson</v>
      </c>
      <c r="O2302" s="6">
        <f>VLOOKUP(D2302,'Mapped Opponent'!$G$4:$H$22,2,0)</f>
        <v>7</v>
      </c>
      <c r="P2302" s="6"/>
      <c r="Q2302" s="6" t="str">
        <f t="shared" si="4"/>
        <v>Week 7</v>
      </c>
      <c r="R2302" s="6" t="str">
        <f t="shared" si="5"/>
        <v>2022Week 7</v>
      </c>
      <c r="S2302" s="6">
        <f>IFERROR(__xludf.DUMMYFUNCTION("rank(J2302,FILTER(J:J,R:R=R2302))"),5.0)</f>
        <v>5</v>
      </c>
      <c r="T2302" s="6">
        <f t="shared" si="6"/>
        <v>7</v>
      </c>
      <c r="U2302" s="6">
        <f t="shared" si="7"/>
        <v>5</v>
      </c>
      <c r="V2302" s="42">
        <f>averageif(AllData!A:A,B2302,AllData!R:R)/vlookup(B2302,AllData!A:O,15,0)</f>
        <v>92.75369048</v>
      </c>
      <c r="W2302" s="6"/>
    </row>
    <row r="2303" ht="14.25" customHeight="1">
      <c r="A2303" s="6" t="str">
        <f t="shared" si="27"/>
        <v>2022Tayski7</v>
      </c>
      <c r="B2303" s="59">
        <v>2022.0</v>
      </c>
      <c r="C2303" s="13" t="s">
        <v>52</v>
      </c>
      <c r="D2303" s="13" t="s">
        <v>143</v>
      </c>
      <c r="E2303" s="34"/>
      <c r="F2303" s="6"/>
      <c r="H2303" s="6"/>
      <c r="I2303" s="35" t="str">
        <f>IFERROR(IFERROR(IFERROR(VLOOKUP(B2303&amp;C2303&amp;Q2303,'New Weekly Paste'!A:M,10,0),VLOOKUP(B2303&amp;C2303&amp;Q2303,'New Weekly Paste'!B:O,6,0)),""),"")</f>
        <v>T-How</v>
      </c>
      <c r="J2303" s="259">
        <f>IFERROR(IFERROR(VLOOKUP(B2303&amp;C2303&amp;Q2303,'New Weekly Paste'!A:M,8,0),VLOOKUP(B2303&amp;C2303&amp;Q2303,'New Weekly Paste'!B:O,10,0)),0)</f>
        <v>98.48</v>
      </c>
      <c r="K2303" s="259">
        <f>IFERROR(IFERROR(VLOOKUP(B2303&amp;I2303&amp;Q2303,'New Weekly Paste'!A:M,8,0),VLOOKUP(B2303&amp;I2303&amp;Q2303,'New Weekly Paste'!B:O,10,0)),0)</f>
        <v>100.44</v>
      </c>
      <c r="L2303" s="239">
        <f t="shared" si="25"/>
        <v>0</v>
      </c>
      <c r="M2303" s="36" t="str">
        <f t="shared" si="3"/>
        <v>Regular Season</v>
      </c>
      <c r="N2303" s="239" t="str">
        <f t="shared" si="26"/>
        <v>T-How</v>
      </c>
      <c r="O2303" s="6">
        <f>VLOOKUP(D2303,'Mapped Opponent'!$G$4:$H$22,2,0)</f>
        <v>7</v>
      </c>
      <c r="P2303" s="6"/>
      <c r="Q2303" s="6" t="str">
        <f t="shared" si="4"/>
        <v>Week 7</v>
      </c>
      <c r="R2303" s="6" t="str">
        <f t="shared" si="5"/>
        <v>2022Week 7</v>
      </c>
      <c r="S2303" s="6">
        <f>IFERROR(__xludf.DUMMYFUNCTION("rank(J2303,FILTER(J:J,R:R=R2303))"),4.0)</f>
        <v>4</v>
      </c>
      <c r="T2303" s="6">
        <f t="shared" si="6"/>
        <v>8</v>
      </c>
      <c r="U2303" s="6">
        <f t="shared" si="7"/>
        <v>4</v>
      </c>
      <c r="V2303" s="42">
        <f>averageif(AllData!A:A,B2303,AllData!R:R)/vlookup(B2303,AllData!A:O,15,0)</f>
        <v>92.75369048</v>
      </c>
      <c r="W2303" s="6"/>
    </row>
    <row r="2304" ht="14.25" customHeight="1">
      <c r="A2304" s="6" t="str">
        <f t="shared" si="27"/>
        <v>2022KnardDawg7</v>
      </c>
      <c r="B2304" s="59">
        <v>2022.0</v>
      </c>
      <c r="C2304" s="13" t="s">
        <v>86</v>
      </c>
      <c r="D2304" s="13" t="s">
        <v>143</v>
      </c>
      <c r="E2304" s="34"/>
      <c r="F2304" s="6"/>
      <c r="H2304" s="6"/>
      <c r="I2304" s="35" t="str">
        <f>IFERROR(IFERROR(IFERROR(VLOOKUP(B2304&amp;C2304&amp;Q2304,'New Weekly Paste'!A:M,10,0),VLOOKUP(B2304&amp;C2304&amp;Q2304,'New Weekly Paste'!B:O,6,0)),""),"")</f>
        <v>Rooney/Jackson</v>
      </c>
      <c r="J2304" s="259">
        <f>IFERROR(IFERROR(VLOOKUP(B2304&amp;C2304&amp;Q2304,'New Weekly Paste'!A:M,8,0),VLOOKUP(B2304&amp;C2304&amp;Q2304,'New Weekly Paste'!B:O,10,0)),0)</f>
        <v>70.16</v>
      </c>
      <c r="K2304" s="259">
        <f>IFERROR(IFERROR(VLOOKUP(B2304&amp;I2304&amp;Q2304,'New Weekly Paste'!A:M,8,0),VLOOKUP(B2304&amp;I2304&amp;Q2304,'New Weekly Paste'!B:O,10,0)),0)</f>
        <v>68.86</v>
      </c>
      <c r="L2304" s="239">
        <f t="shared" si="25"/>
        <v>1</v>
      </c>
      <c r="M2304" s="36" t="str">
        <f t="shared" si="3"/>
        <v>Regular Season</v>
      </c>
      <c r="N2304" s="239" t="str">
        <f t="shared" si="26"/>
        <v>Rooney/Jackson</v>
      </c>
      <c r="O2304" s="6">
        <f>VLOOKUP(D2304,'Mapped Opponent'!$G$4:$H$22,2,0)</f>
        <v>7</v>
      </c>
      <c r="P2304" s="6"/>
      <c r="Q2304" s="6" t="str">
        <f t="shared" si="4"/>
        <v>Week 7</v>
      </c>
      <c r="R2304" s="6" t="str">
        <f t="shared" si="5"/>
        <v>2022Week 7</v>
      </c>
      <c r="S2304" s="6">
        <f>IFERROR(__xludf.DUMMYFUNCTION("rank(J2304,FILTER(J:J,R:R=R2304))"),9.0)</f>
        <v>9</v>
      </c>
      <c r="T2304" s="6">
        <f t="shared" si="6"/>
        <v>3</v>
      </c>
      <c r="U2304" s="6">
        <f t="shared" si="7"/>
        <v>9</v>
      </c>
      <c r="V2304" s="42">
        <f>averageif(AllData!A:A,B2304,AllData!R:R)/vlookup(B2304,AllData!A:O,15,0)</f>
        <v>92.75369048</v>
      </c>
      <c r="W2304" s="6"/>
    </row>
    <row r="2305" ht="14.25" customHeight="1">
      <c r="A2305" s="6" t="str">
        <f t="shared" si="27"/>
        <v>2022T-How7</v>
      </c>
      <c r="B2305" s="59">
        <v>2022.0</v>
      </c>
      <c r="C2305" s="13" t="s">
        <v>82</v>
      </c>
      <c r="D2305" s="13" t="s">
        <v>143</v>
      </c>
      <c r="E2305" s="34"/>
      <c r="F2305" s="6"/>
      <c r="H2305" s="6"/>
      <c r="I2305" s="35" t="str">
        <f>IFERROR(IFERROR(IFERROR(VLOOKUP(B2305&amp;C2305&amp;Q2305,'New Weekly Paste'!A:M,10,0),VLOOKUP(B2305&amp;C2305&amp;Q2305,'New Weekly Paste'!B:O,6,0)),""),"")</f>
        <v>Tayski</v>
      </c>
      <c r="J2305" s="259">
        <f>IFERROR(IFERROR(VLOOKUP(B2305&amp;C2305&amp;Q2305,'New Weekly Paste'!A:M,8,0),VLOOKUP(B2305&amp;C2305&amp;Q2305,'New Weekly Paste'!B:O,10,0)),0)</f>
        <v>100.44</v>
      </c>
      <c r="K2305" s="259">
        <f>IFERROR(IFERROR(VLOOKUP(B2305&amp;I2305&amp;Q2305,'New Weekly Paste'!A:M,8,0),VLOOKUP(B2305&amp;I2305&amp;Q2305,'New Weekly Paste'!B:O,10,0)),0)</f>
        <v>98.48</v>
      </c>
      <c r="L2305" s="239">
        <f t="shared" si="25"/>
        <v>1</v>
      </c>
      <c r="M2305" s="36" t="str">
        <f t="shared" si="3"/>
        <v>Regular Season</v>
      </c>
      <c r="N2305" s="239" t="str">
        <f t="shared" si="26"/>
        <v>Tayski</v>
      </c>
      <c r="O2305" s="6">
        <f>VLOOKUP(D2305,'Mapped Opponent'!$G$4:$H$22,2,0)</f>
        <v>7</v>
      </c>
      <c r="P2305" s="6"/>
      <c r="Q2305" s="6" t="str">
        <f t="shared" si="4"/>
        <v>Week 7</v>
      </c>
      <c r="R2305" s="6" t="str">
        <f t="shared" si="5"/>
        <v>2022Week 7</v>
      </c>
      <c r="S2305" s="6">
        <f>IFERROR(__xludf.DUMMYFUNCTION("rank(J2305,FILTER(J:J,R:R=R2305))"),3.0)</f>
        <v>3</v>
      </c>
      <c r="T2305" s="6">
        <f t="shared" si="6"/>
        <v>9</v>
      </c>
      <c r="U2305" s="6">
        <f t="shared" si="7"/>
        <v>3</v>
      </c>
      <c r="V2305" s="42">
        <f>averageif(AllData!A:A,B2305,AllData!R:R)/vlookup(B2305,AllData!A:O,15,0)</f>
        <v>92.75369048</v>
      </c>
      <c r="W2305" s="6"/>
    </row>
    <row r="2306" ht="14.25" customHeight="1">
      <c r="A2306" s="6" t="str">
        <f t="shared" si="27"/>
        <v>2022Hudspeath8</v>
      </c>
      <c r="B2306" s="59">
        <v>2022.0</v>
      </c>
      <c r="C2306" s="13" t="s">
        <v>39</v>
      </c>
      <c r="D2306" s="13" t="s">
        <v>145</v>
      </c>
      <c r="E2306" s="34"/>
      <c r="F2306" s="6"/>
      <c r="H2306" s="6"/>
      <c r="I2306" s="35" t="str">
        <f>IFERROR(IFERROR(IFERROR(VLOOKUP(B2306&amp;C2306&amp;Q2306,'New Weekly Paste'!A:M,10,0),VLOOKUP(B2306&amp;C2306&amp;Q2306,'New Weekly Paste'!B:O,6,0)),""),"")</f>
        <v>Shep</v>
      </c>
      <c r="J2306" s="259">
        <f>IFERROR(IFERROR(VLOOKUP(B2306&amp;C2306&amp;Q2306,'New Weekly Paste'!A:M,8,0),VLOOKUP(B2306&amp;C2306&amp;Q2306,'New Weekly Paste'!B:O,10,0)),0)</f>
        <v>96.34</v>
      </c>
      <c r="K2306" s="259">
        <f>IFERROR(IFERROR(VLOOKUP(B2306&amp;I2306&amp;Q2306,'New Weekly Paste'!A:M,8,0),VLOOKUP(B2306&amp;I2306&amp;Q2306,'New Weekly Paste'!B:O,10,0)),0)</f>
        <v>70.08</v>
      </c>
      <c r="L2306" s="239">
        <f t="shared" si="25"/>
        <v>1</v>
      </c>
      <c r="M2306" s="36" t="str">
        <f t="shared" si="3"/>
        <v>Regular Season</v>
      </c>
      <c r="N2306" s="239" t="str">
        <f t="shared" si="26"/>
        <v>Shep</v>
      </c>
      <c r="O2306" s="6">
        <f>VLOOKUP(D2306,'Mapped Opponent'!$G$4:$H$22,2,0)</f>
        <v>8</v>
      </c>
      <c r="P2306" s="6"/>
      <c r="Q2306" s="6" t="str">
        <f t="shared" si="4"/>
        <v>Week 8</v>
      </c>
      <c r="R2306" s="6" t="str">
        <f t="shared" si="5"/>
        <v>2022Week 8</v>
      </c>
      <c r="S2306" s="6">
        <f>IFERROR(__xludf.DUMMYFUNCTION("rank(J2306,FILTER(J:J,R:R=R2306))"),8.0)</f>
        <v>8</v>
      </c>
      <c r="T2306" s="6">
        <f t="shared" si="6"/>
        <v>4</v>
      </c>
      <c r="U2306" s="6">
        <f t="shared" si="7"/>
        <v>8</v>
      </c>
      <c r="V2306" s="42">
        <f>averageif(AllData!A:A,B2306,AllData!R:R)/vlookup(B2306,AllData!A:O,15,0)</f>
        <v>92.75369048</v>
      </c>
      <c r="W2306" s="6"/>
    </row>
    <row r="2307" ht="14.25" customHeight="1">
      <c r="A2307" s="6" t="str">
        <f t="shared" si="27"/>
        <v>2022Salty8</v>
      </c>
      <c r="B2307" s="59">
        <v>2022.0</v>
      </c>
      <c r="C2307" s="13" t="s">
        <v>76</v>
      </c>
      <c r="D2307" s="13" t="s">
        <v>145</v>
      </c>
      <c r="E2307" s="34"/>
      <c r="F2307" s="6"/>
      <c r="H2307" s="6"/>
      <c r="I2307" s="35" t="str">
        <f>IFERROR(IFERROR(IFERROR(VLOOKUP(B2307&amp;C2307&amp;Q2307,'New Weekly Paste'!A:M,10,0),VLOOKUP(B2307&amp;C2307&amp;Q2307,'New Weekly Paste'!B:O,6,0)),""),"")</f>
        <v>Fellows</v>
      </c>
      <c r="J2307" s="259">
        <f>IFERROR(IFERROR(VLOOKUP(B2307&amp;C2307&amp;Q2307,'New Weekly Paste'!A:M,8,0),VLOOKUP(B2307&amp;C2307&amp;Q2307,'New Weekly Paste'!B:O,10,0)),0)</f>
        <v>104.1</v>
      </c>
      <c r="K2307" s="259">
        <f>IFERROR(IFERROR(VLOOKUP(B2307&amp;I2307&amp;Q2307,'New Weekly Paste'!A:M,8,0),VLOOKUP(B2307&amp;I2307&amp;Q2307,'New Weekly Paste'!B:O,10,0)),0)</f>
        <v>103.74</v>
      </c>
      <c r="L2307" s="239">
        <f t="shared" si="25"/>
        <v>1</v>
      </c>
      <c r="M2307" s="36" t="str">
        <f t="shared" si="3"/>
        <v>Regular Season</v>
      </c>
      <c r="N2307" s="239" t="str">
        <f t="shared" si="26"/>
        <v>Fellows</v>
      </c>
      <c r="O2307" s="6">
        <f>VLOOKUP(D2307,'Mapped Opponent'!$G$4:$H$22,2,0)</f>
        <v>8</v>
      </c>
      <c r="P2307" s="6"/>
      <c r="Q2307" s="6" t="str">
        <f t="shared" si="4"/>
        <v>Week 8</v>
      </c>
      <c r="R2307" s="6" t="str">
        <f t="shared" si="5"/>
        <v>2022Week 8</v>
      </c>
      <c r="S2307" s="6">
        <f>IFERROR(__xludf.DUMMYFUNCTION("rank(J2307,FILTER(J:J,R:R=R2307))"),5.0)</f>
        <v>5</v>
      </c>
      <c r="T2307" s="6">
        <f t="shared" si="6"/>
        <v>7</v>
      </c>
      <c r="U2307" s="6">
        <f t="shared" si="7"/>
        <v>5</v>
      </c>
      <c r="V2307" s="42">
        <f>averageif(AllData!A:A,B2307,AllData!R:R)/vlookup(B2307,AllData!A:O,15,0)</f>
        <v>92.75369048</v>
      </c>
      <c r="W2307" s="6"/>
    </row>
    <row r="2308" ht="14.25" customHeight="1">
      <c r="A2308" s="6" t="str">
        <f t="shared" si="27"/>
        <v>2022Fellows8</v>
      </c>
      <c r="B2308" s="59">
        <v>2022.0</v>
      </c>
      <c r="C2308" s="13" t="s">
        <v>79</v>
      </c>
      <c r="D2308" s="13" t="s">
        <v>145</v>
      </c>
      <c r="E2308" s="34"/>
      <c r="F2308" s="6"/>
      <c r="H2308" s="6"/>
      <c r="I2308" s="35" t="str">
        <f>IFERROR(IFERROR(IFERROR(VLOOKUP(B2308&amp;C2308&amp;Q2308,'New Weekly Paste'!A:M,10,0),VLOOKUP(B2308&amp;C2308&amp;Q2308,'New Weekly Paste'!B:O,6,0)),""),"")</f>
        <v>Salty</v>
      </c>
      <c r="J2308" s="259">
        <f>IFERROR(IFERROR(VLOOKUP(B2308&amp;C2308&amp;Q2308,'New Weekly Paste'!A:M,8,0),VLOOKUP(B2308&amp;C2308&amp;Q2308,'New Weekly Paste'!B:O,10,0)),0)</f>
        <v>103.74</v>
      </c>
      <c r="K2308" s="259">
        <f>IFERROR(IFERROR(VLOOKUP(B2308&amp;I2308&amp;Q2308,'New Weekly Paste'!A:M,8,0),VLOOKUP(B2308&amp;I2308&amp;Q2308,'New Weekly Paste'!B:O,10,0)),0)</f>
        <v>104.1</v>
      </c>
      <c r="L2308" s="239">
        <f t="shared" si="25"/>
        <v>0</v>
      </c>
      <c r="M2308" s="36" t="str">
        <f t="shared" si="3"/>
        <v>Regular Season</v>
      </c>
      <c r="N2308" s="239" t="str">
        <f t="shared" si="26"/>
        <v>Salty</v>
      </c>
      <c r="O2308" s="6">
        <f>VLOOKUP(D2308,'Mapped Opponent'!$G$4:$H$22,2,0)</f>
        <v>8</v>
      </c>
      <c r="P2308" s="6"/>
      <c r="Q2308" s="6" t="str">
        <f t="shared" si="4"/>
        <v>Week 8</v>
      </c>
      <c r="R2308" s="6" t="str">
        <f t="shared" si="5"/>
        <v>2022Week 8</v>
      </c>
      <c r="S2308" s="6">
        <f>IFERROR(__xludf.DUMMYFUNCTION("rank(J2308,FILTER(J:J,R:R=R2308))"),6.0)</f>
        <v>6</v>
      </c>
      <c r="T2308" s="6">
        <f t="shared" si="6"/>
        <v>6</v>
      </c>
      <c r="U2308" s="6">
        <f t="shared" si="7"/>
        <v>6</v>
      </c>
      <c r="V2308" s="42">
        <f>averageif(AllData!A:A,B2308,AllData!R:R)/vlookup(B2308,AllData!A:O,15,0)</f>
        <v>92.75369048</v>
      </c>
      <c r="W2308" s="6"/>
    </row>
    <row r="2309" ht="14.25" customHeight="1">
      <c r="A2309" s="6" t="str">
        <f t="shared" si="27"/>
        <v>2022Shep8</v>
      </c>
      <c r="B2309" s="59">
        <v>2022.0</v>
      </c>
      <c r="C2309" s="13" t="s">
        <v>89</v>
      </c>
      <c r="D2309" s="13" t="s">
        <v>145</v>
      </c>
      <c r="E2309" s="34"/>
      <c r="F2309" s="6"/>
      <c r="H2309" s="6"/>
      <c r="I2309" s="35" t="str">
        <f>IFERROR(IFERROR(IFERROR(VLOOKUP(B2309&amp;C2309&amp;Q2309,'New Weekly Paste'!A:M,10,0),VLOOKUP(B2309&amp;C2309&amp;Q2309,'New Weekly Paste'!B:O,6,0)),""),"")</f>
        <v>Hudspeath</v>
      </c>
      <c r="J2309" s="259">
        <f>IFERROR(IFERROR(VLOOKUP(B2309&amp;C2309&amp;Q2309,'New Weekly Paste'!A:M,8,0),VLOOKUP(B2309&amp;C2309&amp;Q2309,'New Weekly Paste'!B:O,10,0)),0)</f>
        <v>70.08</v>
      </c>
      <c r="K2309" s="259">
        <f>IFERROR(IFERROR(VLOOKUP(B2309&amp;I2309&amp;Q2309,'New Weekly Paste'!A:M,8,0),VLOOKUP(B2309&amp;I2309&amp;Q2309,'New Weekly Paste'!B:O,10,0)),0)</f>
        <v>96.34</v>
      </c>
      <c r="L2309" s="239">
        <f t="shared" si="25"/>
        <v>0</v>
      </c>
      <c r="M2309" s="36" t="str">
        <f t="shared" si="3"/>
        <v>Regular Season</v>
      </c>
      <c r="N2309" s="239" t="str">
        <f t="shared" si="26"/>
        <v>Hudspeath</v>
      </c>
      <c r="O2309" s="6">
        <f>VLOOKUP(D2309,'Mapped Opponent'!$G$4:$H$22,2,0)</f>
        <v>8</v>
      </c>
      <c r="P2309" s="6"/>
      <c r="Q2309" s="6" t="str">
        <f t="shared" si="4"/>
        <v>Week 8</v>
      </c>
      <c r="R2309" s="6" t="str">
        <f t="shared" si="5"/>
        <v>2022Week 8</v>
      </c>
      <c r="S2309" s="6">
        <f>IFERROR(__xludf.DUMMYFUNCTION("rank(J2309,FILTER(J:J,R:R=R2309))"),12.0)</f>
        <v>12</v>
      </c>
      <c r="T2309" s="6">
        <f t="shared" si="6"/>
        <v>0</v>
      </c>
      <c r="U2309" s="6">
        <f t="shared" si="7"/>
        <v>12</v>
      </c>
      <c r="V2309" s="42">
        <f>averageif(AllData!A:A,B2309,AllData!R:R)/vlookup(B2309,AllData!A:O,15,0)</f>
        <v>92.75369048</v>
      </c>
      <c r="W2309" s="6"/>
    </row>
    <row r="2310" ht="14.25" customHeight="1">
      <c r="A2310" s="6" t="str">
        <f t="shared" si="27"/>
        <v>2022Riley8</v>
      </c>
      <c r="B2310" s="59">
        <v>2022.0</v>
      </c>
      <c r="C2310" s="13" t="s">
        <v>67</v>
      </c>
      <c r="D2310" s="13" t="s">
        <v>145</v>
      </c>
      <c r="E2310" s="34"/>
      <c r="F2310" s="6"/>
      <c r="H2310" s="6"/>
      <c r="I2310" s="35" t="str">
        <f>IFERROR(IFERROR(IFERROR(VLOOKUP(B2310&amp;C2310&amp;Q2310,'New Weekly Paste'!A:M,10,0),VLOOKUP(B2310&amp;C2310&amp;Q2310,'New Weekly Paste'!B:O,6,0)),""),"")</f>
        <v>Cock</v>
      </c>
      <c r="J2310" s="259">
        <f>IFERROR(IFERROR(VLOOKUP(B2310&amp;C2310&amp;Q2310,'New Weekly Paste'!A:M,8,0),VLOOKUP(B2310&amp;C2310&amp;Q2310,'New Weekly Paste'!B:O,10,0)),0)</f>
        <v>89.82</v>
      </c>
      <c r="K2310" s="259">
        <f>IFERROR(IFERROR(VLOOKUP(B2310&amp;I2310&amp;Q2310,'New Weekly Paste'!A:M,8,0),VLOOKUP(B2310&amp;I2310&amp;Q2310,'New Weekly Paste'!B:O,10,0)),0)</f>
        <v>99.66</v>
      </c>
      <c r="L2310" s="239">
        <f t="shared" si="25"/>
        <v>0</v>
      </c>
      <c r="M2310" s="36" t="str">
        <f t="shared" si="3"/>
        <v>Regular Season</v>
      </c>
      <c r="N2310" s="239" t="str">
        <f t="shared" si="26"/>
        <v>Cock</v>
      </c>
      <c r="O2310" s="6">
        <f>VLOOKUP(D2310,'Mapped Opponent'!$G$4:$H$22,2,0)</f>
        <v>8</v>
      </c>
      <c r="P2310" s="6"/>
      <c r="Q2310" s="6" t="str">
        <f t="shared" si="4"/>
        <v>Week 8</v>
      </c>
      <c r="R2310" s="6" t="str">
        <f t="shared" si="5"/>
        <v>2022Week 8</v>
      </c>
      <c r="S2310" s="6">
        <f>IFERROR(__xludf.DUMMYFUNCTION("rank(J2310,FILTER(J:J,R:R=R2310))"),9.0)</f>
        <v>9</v>
      </c>
      <c r="T2310" s="6">
        <f t="shared" si="6"/>
        <v>3</v>
      </c>
      <c r="U2310" s="6">
        <f t="shared" si="7"/>
        <v>9</v>
      </c>
      <c r="V2310" s="42">
        <f>averageif(AllData!A:A,B2310,AllData!R:R)/vlookup(B2310,AllData!A:O,15,0)</f>
        <v>92.75369048</v>
      </c>
      <c r="W2310" s="6"/>
    </row>
    <row r="2311" ht="14.25" customHeight="1">
      <c r="A2311" s="6" t="str">
        <f t="shared" si="27"/>
        <v>2022Rooney/Jackson8</v>
      </c>
      <c r="B2311" s="59">
        <v>2022.0</v>
      </c>
      <c r="C2311" s="13" t="s">
        <v>57</v>
      </c>
      <c r="D2311" s="13" t="s">
        <v>145</v>
      </c>
      <c r="E2311" s="34"/>
      <c r="F2311" s="6"/>
      <c r="H2311" s="6"/>
      <c r="I2311" s="35" t="str">
        <f>IFERROR(IFERROR(IFERROR(VLOOKUP(B2311&amp;C2311&amp;Q2311,'New Weekly Paste'!A:M,10,0),VLOOKUP(B2311&amp;C2311&amp;Q2311,'New Weekly Paste'!B:O,6,0)),""),"")</f>
        <v>T-How</v>
      </c>
      <c r="J2311" s="259">
        <f>IFERROR(IFERROR(VLOOKUP(B2311&amp;C2311&amp;Q2311,'New Weekly Paste'!A:M,8,0),VLOOKUP(B2311&amp;C2311&amp;Q2311,'New Weekly Paste'!B:O,10,0)),0)</f>
        <v>151.8</v>
      </c>
      <c r="K2311" s="259">
        <f>IFERROR(IFERROR(VLOOKUP(B2311&amp;I2311&amp;Q2311,'New Weekly Paste'!A:M,8,0),VLOOKUP(B2311&amp;I2311&amp;Q2311,'New Weekly Paste'!B:O,10,0)),0)</f>
        <v>87.16</v>
      </c>
      <c r="L2311" s="239">
        <f t="shared" si="25"/>
        <v>1</v>
      </c>
      <c r="M2311" s="36" t="str">
        <f t="shared" si="3"/>
        <v>Regular Season</v>
      </c>
      <c r="N2311" s="239" t="str">
        <f t="shared" si="26"/>
        <v>T-How</v>
      </c>
      <c r="O2311" s="6">
        <f>VLOOKUP(D2311,'Mapped Opponent'!$G$4:$H$22,2,0)</f>
        <v>8</v>
      </c>
      <c r="P2311" s="6"/>
      <c r="Q2311" s="6" t="str">
        <f t="shared" si="4"/>
        <v>Week 8</v>
      </c>
      <c r="R2311" s="6" t="str">
        <f t="shared" si="5"/>
        <v>2022Week 8</v>
      </c>
      <c r="S2311" s="6">
        <f>IFERROR(__xludf.DUMMYFUNCTION("rank(J2311,FILTER(J:J,R:R=R2311))"),1.0)</f>
        <v>1</v>
      </c>
      <c r="T2311" s="6">
        <f t="shared" si="6"/>
        <v>11</v>
      </c>
      <c r="U2311" s="6">
        <f t="shared" si="7"/>
        <v>1</v>
      </c>
      <c r="V2311" s="42">
        <f>averageif(AllData!A:A,B2311,AllData!R:R)/vlookup(B2311,AllData!A:O,15,0)</f>
        <v>92.75369048</v>
      </c>
      <c r="W2311" s="6"/>
    </row>
    <row r="2312" ht="14.25" customHeight="1">
      <c r="A2312" s="6" t="str">
        <f t="shared" si="27"/>
        <v>2022Buser8</v>
      </c>
      <c r="B2312" s="59">
        <v>2022.0</v>
      </c>
      <c r="C2312" s="13" t="s">
        <v>47</v>
      </c>
      <c r="D2312" s="13" t="s">
        <v>145</v>
      </c>
      <c r="E2312" s="34"/>
      <c r="F2312" s="6"/>
      <c r="H2312" s="6"/>
      <c r="I2312" s="35" t="str">
        <f>IFERROR(IFERROR(IFERROR(VLOOKUP(B2312&amp;C2312&amp;Q2312,'New Weekly Paste'!A:M,10,0),VLOOKUP(B2312&amp;C2312&amp;Q2312,'New Weekly Paste'!B:O,6,0)),""),"")</f>
        <v>Tayski</v>
      </c>
      <c r="J2312" s="259">
        <f>IFERROR(IFERROR(VLOOKUP(B2312&amp;C2312&amp;Q2312,'New Weekly Paste'!A:M,8,0),VLOOKUP(B2312&amp;C2312&amp;Q2312,'New Weekly Paste'!B:O,10,0)),0)</f>
        <v>104.38</v>
      </c>
      <c r="K2312" s="259">
        <f>IFERROR(IFERROR(VLOOKUP(B2312&amp;I2312&amp;Q2312,'New Weekly Paste'!A:M,8,0),VLOOKUP(B2312&amp;I2312&amp;Q2312,'New Weekly Paste'!B:O,10,0)),0)</f>
        <v>85.42</v>
      </c>
      <c r="L2312" s="239">
        <f t="shared" si="25"/>
        <v>1</v>
      </c>
      <c r="M2312" s="36" t="str">
        <f t="shared" si="3"/>
        <v>Regular Season</v>
      </c>
      <c r="N2312" s="239" t="str">
        <f t="shared" si="26"/>
        <v>Tayski</v>
      </c>
      <c r="O2312" s="6">
        <f>VLOOKUP(D2312,'Mapped Opponent'!$G$4:$H$22,2,0)</f>
        <v>8</v>
      </c>
      <c r="P2312" s="6"/>
      <c r="Q2312" s="6" t="str">
        <f t="shared" si="4"/>
        <v>Week 8</v>
      </c>
      <c r="R2312" s="6" t="str">
        <f t="shared" si="5"/>
        <v>2022Week 8</v>
      </c>
      <c r="S2312" s="6">
        <f>IFERROR(__xludf.DUMMYFUNCTION("rank(J2312,FILTER(J:J,R:R=R2312))"),4.0)</f>
        <v>4</v>
      </c>
      <c r="T2312" s="6">
        <f t="shared" si="6"/>
        <v>8</v>
      </c>
      <c r="U2312" s="6">
        <f t="shared" si="7"/>
        <v>4</v>
      </c>
      <c r="V2312" s="42">
        <f>averageif(AllData!A:A,B2312,AllData!R:R)/vlookup(B2312,AllData!A:O,15,0)</f>
        <v>92.75369048</v>
      </c>
      <c r="W2312" s="6"/>
    </row>
    <row r="2313" ht="14.25" customHeight="1">
      <c r="A2313" s="6" t="str">
        <f t="shared" si="27"/>
        <v>2022Pierson8</v>
      </c>
      <c r="B2313" s="59">
        <v>2022.0</v>
      </c>
      <c r="C2313" s="13" t="s">
        <v>92</v>
      </c>
      <c r="D2313" s="13" t="s">
        <v>145</v>
      </c>
      <c r="E2313" s="34"/>
      <c r="F2313" s="6"/>
      <c r="H2313" s="6"/>
      <c r="I2313" s="35" t="str">
        <f>IFERROR(IFERROR(IFERROR(VLOOKUP(B2313&amp;C2313&amp;Q2313,'New Weekly Paste'!A:M,10,0),VLOOKUP(B2313&amp;C2313&amp;Q2313,'New Weekly Paste'!B:O,6,0)),""),"")</f>
        <v>KnardDawg</v>
      </c>
      <c r="J2313" s="259">
        <f>IFERROR(IFERROR(VLOOKUP(B2313&amp;C2313&amp;Q2313,'New Weekly Paste'!A:M,8,0),VLOOKUP(B2313&amp;C2313&amp;Q2313,'New Weekly Paste'!B:O,10,0)),0)</f>
        <v>111.48</v>
      </c>
      <c r="K2313" s="259">
        <f>IFERROR(IFERROR(VLOOKUP(B2313&amp;I2313&amp;Q2313,'New Weekly Paste'!A:M,8,0),VLOOKUP(B2313&amp;I2313&amp;Q2313,'New Weekly Paste'!B:O,10,0)),0)</f>
        <v>108.02</v>
      </c>
      <c r="L2313" s="239">
        <f t="shared" si="25"/>
        <v>1</v>
      </c>
      <c r="M2313" s="36" t="str">
        <f t="shared" si="3"/>
        <v>Regular Season</v>
      </c>
      <c r="N2313" s="239" t="str">
        <f t="shared" si="26"/>
        <v>KnardDawg</v>
      </c>
      <c r="O2313" s="6">
        <f>VLOOKUP(D2313,'Mapped Opponent'!$G$4:$H$22,2,0)</f>
        <v>8</v>
      </c>
      <c r="P2313" s="6"/>
      <c r="Q2313" s="6" t="str">
        <f t="shared" si="4"/>
        <v>Week 8</v>
      </c>
      <c r="R2313" s="6" t="str">
        <f t="shared" si="5"/>
        <v>2022Week 8</v>
      </c>
      <c r="S2313" s="6">
        <f>IFERROR(__xludf.DUMMYFUNCTION("rank(J2313,FILTER(J:J,R:R=R2313))"),2.0)</f>
        <v>2</v>
      </c>
      <c r="T2313" s="6">
        <f t="shared" si="6"/>
        <v>10</v>
      </c>
      <c r="U2313" s="6">
        <f t="shared" si="7"/>
        <v>2</v>
      </c>
      <c r="V2313" s="42">
        <f>averageif(AllData!A:A,B2313,AllData!R:R)/vlookup(B2313,AllData!A:O,15,0)</f>
        <v>92.75369048</v>
      </c>
      <c r="W2313" s="6"/>
    </row>
    <row r="2314" ht="14.25" customHeight="1">
      <c r="A2314" s="6" t="str">
        <f t="shared" si="27"/>
        <v>2022Cock8</v>
      </c>
      <c r="B2314" s="59">
        <v>2022.0</v>
      </c>
      <c r="C2314" s="13" t="s">
        <v>72</v>
      </c>
      <c r="D2314" s="13" t="s">
        <v>145</v>
      </c>
      <c r="E2314" s="34"/>
      <c r="F2314" s="6"/>
      <c r="H2314" s="6"/>
      <c r="I2314" s="35" t="str">
        <f>IFERROR(IFERROR(IFERROR(VLOOKUP(B2314&amp;C2314&amp;Q2314,'New Weekly Paste'!A:M,10,0),VLOOKUP(B2314&amp;C2314&amp;Q2314,'New Weekly Paste'!B:O,6,0)),""),"")</f>
        <v>Riley</v>
      </c>
      <c r="J2314" s="259">
        <f>IFERROR(IFERROR(VLOOKUP(B2314&amp;C2314&amp;Q2314,'New Weekly Paste'!A:M,8,0),VLOOKUP(B2314&amp;C2314&amp;Q2314,'New Weekly Paste'!B:O,10,0)),0)</f>
        <v>99.66</v>
      </c>
      <c r="K2314" s="259">
        <f>IFERROR(IFERROR(VLOOKUP(B2314&amp;I2314&amp;Q2314,'New Weekly Paste'!A:M,8,0),VLOOKUP(B2314&amp;I2314&amp;Q2314,'New Weekly Paste'!B:O,10,0)),0)</f>
        <v>89.82</v>
      </c>
      <c r="L2314" s="239">
        <f t="shared" si="25"/>
        <v>1</v>
      </c>
      <c r="M2314" s="36" t="str">
        <f t="shared" si="3"/>
        <v>Regular Season</v>
      </c>
      <c r="N2314" s="239" t="str">
        <f t="shared" si="26"/>
        <v>Riley</v>
      </c>
      <c r="O2314" s="6">
        <f>VLOOKUP(D2314,'Mapped Opponent'!$G$4:$H$22,2,0)</f>
        <v>8</v>
      </c>
      <c r="P2314" s="6"/>
      <c r="Q2314" s="6" t="str">
        <f t="shared" si="4"/>
        <v>Week 8</v>
      </c>
      <c r="R2314" s="6" t="str">
        <f t="shared" si="5"/>
        <v>2022Week 8</v>
      </c>
      <c r="S2314" s="6">
        <f>IFERROR(__xludf.DUMMYFUNCTION("rank(J2314,FILTER(J:J,R:R=R2314))"),7.0)</f>
        <v>7</v>
      </c>
      <c r="T2314" s="6">
        <f t="shared" si="6"/>
        <v>5</v>
      </c>
      <c r="U2314" s="6">
        <f t="shared" si="7"/>
        <v>7</v>
      </c>
      <c r="V2314" s="42">
        <f>averageif(AllData!A:A,B2314,AllData!R:R)/vlookup(B2314,AllData!A:O,15,0)</f>
        <v>92.75369048</v>
      </c>
      <c r="W2314" s="6"/>
    </row>
    <row r="2315" ht="14.25" customHeight="1">
      <c r="A2315" s="6" t="str">
        <f t="shared" si="27"/>
        <v>2022Tayski8</v>
      </c>
      <c r="B2315" s="59">
        <v>2022.0</v>
      </c>
      <c r="C2315" s="13" t="s">
        <v>52</v>
      </c>
      <c r="D2315" s="13" t="s">
        <v>145</v>
      </c>
      <c r="E2315" s="34"/>
      <c r="F2315" s="6"/>
      <c r="H2315" s="6"/>
      <c r="I2315" s="35" t="str">
        <f>IFERROR(IFERROR(IFERROR(VLOOKUP(B2315&amp;C2315&amp;Q2315,'New Weekly Paste'!A:M,10,0),VLOOKUP(B2315&amp;C2315&amp;Q2315,'New Weekly Paste'!B:O,6,0)),""),"")</f>
        <v>Buser</v>
      </c>
      <c r="J2315" s="259">
        <f>IFERROR(IFERROR(VLOOKUP(B2315&amp;C2315&amp;Q2315,'New Weekly Paste'!A:M,8,0),VLOOKUP(B2315&amp;C2315&amp;Q2315,'New Weekly Paste'!B:O,10,0)),0)</f>
        <v>85.42</v>
      </c>
      <c r="K2315" s="259">
        <f>IFERROR(IFERROR(VLOOKUP(B2315&amp;I2315&amp;Q2315,'New Weekly Paste'!A:M,8,0),VLOOKUP(B2315&amp;I2315&amp;Q2315,'New Weekly Paste'!B:O,10,0)),0)</f>
        <v>104.38</v>
      </c>
      <c r="L2315" s="239">
        <f t="shared" si="25"/>
        <v>0</v>
      </c>
      <c r="M2315" s="36" t="str">
        <f t="shared" si="3"/>
        <v>Regular Season</v>
      </c>
      <c r="N2315" s="239" t="str">
        <f t="shared" si="26"/>
        <v>Buser</v>
      </c>
      <c r="O2315" s="6">
        <f>VLOOKUP(D2315,'Mapped Opponent'!$G$4:$H$22,2,0)</f>
        <v>8</v>
      </c>
      <c r="P2315" s="6"/>
      <c r="Q2315" s="6" t="str">
        <f t="shared" si="4"/>
        <v>Week 8</v>
      </c>
      <c r="R2315" s="6" t="str">
        <f t="shared" si="5"/>
        <v>2022Week 8</v>
      </c>
      <c r="S2315" s="6">
        <f>IFERROR(__xludf.DUMMYFUNCTION("rank(J2315,FILTER(J:J,R:R=R2315))"),11.0)</f>
        <v>11</v>
      </c>
      <c r="T2315" s="6">
        <f t="shared" si="6"/>
        <v>1</v>
      </c>
      <c r="U2315" s="6">
        <f t="shared" si="7"/>
        <v>11</v>
      </c>
      <c r="V2315" s="42">
        <f>averageif(AllData!A:A,B2315,AllData!R:R)/vlookup(B2315,AllData!A:O,15,0)</f>
        <v>92.75369048</v>
      </c>
      <c r="W2315" s="6"/>
    </row>
    <row r="2316" ht="14.25" customHeight="1">
      <c r="A2316" s="6" t="str">
        <f t="shared" si="27"/>
        <v>2022KnardDawg8</v>
      </c>
      <c r="B2316" s="59">
        <v>2022.0</v>
      </c>
      <c r="C2316" s="13" t="s">
        <v>86</v>
      </c>
      <c r="D2316" s="13" t="s">
        <v>145</v>
      </c>
      <c r="E2316" s="34"/>
      <c r="F2316" s="6"/>
      <c r="H2316" s="6"/>
      <c r="I2316" s="35" t="str">
        <f>IFERROR(IFERROR(IFERROR(VLOOKUP(B2316&amp;C2316&amp;Q2316,'New Weekly Paste'!A:M,10,0),VLOOKUP(B2316&amp;C2316&amp;Q2316,'New Weekly Paste'!B:O,6,0)),""),"")</f>
        <v>Pierson</v>
      </c>
      <c r="J2316" s="259">
        <f>IFERROR(IFERROR(VLOOKUP(B2316&amp;C2316&amp;Q2316,'New Weekly Paste'!A:M,8,0),VLOOKUP(B2316&amp;C2316&amp;Q2316,'New Weekly Paste'!B:O,10,0)),0)</f>
        <v>108.02</v>
      </c>
      <c r="K2316" s="259">
        <f>IFERROR(IFERROR(VLOOKUP(B2316&amp;I2316&amp;Q2316,'New Weekly Paste'!A:M,8,0),VLOOKUP(B2316&amp;I2316&amp;Q2316,'New Weekly Paste'!B:O,10,0)),0)</f>
        <v>111.48</v>
      </c>
      <c r="L2316" s="239">
        <f t="shared" si="25"/>
        <v>0</v>
      </c>
      <c r="M2316" s="36" t="str">
        <f t="shared" si="3"/>
        <v>Regular Season</v>
      </c>
      <c r="N2316" s="239" t="str">
        <f t="shared" si="26"/>
        <v>Pierson</v>
      </c>
      <c r="O2316" s="6">
        <f>VLOOKUP(D2316,'Mapped Opponent'!$G$4:$H$22,2,0)</f>
        <v>8</v>
      </c>
      <c r="P2316" s="6"/>
      <c r="Q2316" s="6" t="str">
        <f t="shared" si="4"/>
        <v>Week 8</v>
      </c>
      <c r="R2316" s="6" t="str">
        <f t="shared" si="5"/>
        <v>2022Week 8</v>
      </c>
      <c r="S2316" s="6">
        <f>IFERROR(__xludf.DUMMYFUNCTION("rank(J2316,FILTER(J:J,R:R=R2316))"),3.0)</f>
        <v>3</v>
      </c>
      <c r="T2316" s="6">
        <f t="shared" si="6"/>
        <v>9</v>
      </c>
      <c r="U2316" s="6">
        <f t="shared" si="7"/>
        <v>3</v>
      </c>
      <c r="V2316" s="42">
        <f>averageif(AllData!A:A,B2316,AllData!R:R)/vlookup(B2316,AllData!A:O,15,0)</f>
        <v>92.75369048</v>
      </c>
      <c r="W2316" s="6"/>
    </row>
    <row r="2317" ht="14.25" customHeight="1">
      <c r="A2317" s="6" t="str">
        <f t="shared" si="27"/>
        <v>2022T-How8</v>
      </c>
      <c r="B2317" s="59">
        <v>2022.0</v>
      </c>
      <c r="C2317" s="13" t="s">
        <v>82</v>
      </c>
      <c r="D2317" s="13" t="s">
        <v>145</v>
      </c>
      <c r="E2317" s="34"/>
      <c r="F2317" s="6"/>
      <c r="H2317" s="6"/>
      <c r="I2317" s="35" t="str">
        <f>IFERROR(IFERROR(IFERROR(VLOOKUP(B2317&amp;C2317&amp;Q2317,'New Weekly Paste'!A:M,10,0),VLOOKUP(B2317&amp;C2317&amp;Q2317,'New Weekly Paste'!B:O,6,0)),""),"")</f>
        <v>Rooney/Jackson</v>
      </c>
      <c r="J2317" s="259">
        <f>IFERROR(IFERROR(VLOOKUP(B2317&amp;C2317&amp;Q2317,'New Weekly Paste'!A:M,8,0),VLOOKUP(B2317&amp;C2317&amp;Q2317,'New Weekly Paste'!B:O,10,0)),0)</f>
        <v>87.16</v>
      </c>
      <c r="K2317" s="259">
        <f>IFERROR(IFERROR(VLOOKUP(B2317&amp;I2317&amp;Q2317,'New Weekly Paste'!A:M,8,0),VLOOKUP(B2317&amp;I2317&amp;Q2317,'New Weekly Paste'!B:O,10,0)),0)</f>
        <v>151.8</v>
      </c>
      <c r="L2317" s="239">
        <f t="shared" si="25"/>
        <v>0</v>
      </c>
      <c r="M2317" s="36" t="str">
        <f t="shared" si="3"/>
        <v>Regular Season</v>
      </c>
      <c r="N2317" s="239" t="str">
        <f t="shared" si="26"/>
        <v>Rooney/Jackson</v>
      </c>
      <c r="O2317" s="6">
        <f>VLOOKUP(D2317,'Mapped Opponent'!$G$4:$H$22,2,0)</f>
        <v>8</v>
      </c>
      <c r="P2317" s="6"/>
      <c r="Q2317" s="6" t="str">
        <f t="shared" si="4"/>
        <v>Week 8</v>
      </c>
      <c r="R2317" s="6" t="str">
        <f t="shared" si="5"/>
        <v>2022Week 8</v>
      </c>
      <c r="S2317" s="6">
        <f>IFERROR(__xludf.DUMMYFUNCTION("rank(J2317,FILTER(J:J,R:R=R2317))"),10.0)</f>
        <v>10</v>
      </c>
      <c r="T2317" s="6">
        <f t="shared" si="6"/>
        <v>2</v>
      </c>
      <c r="U2317" s="6">
        <f t="shared" si="7"/>
        <v>10</v>
      </c>
      <c r="V2317" s="42">
        <f>averageif(AllData!A:A,B2317,AllData!R:R)/vlookup(B2317,AllData!A:O,15,0)</f>
        <v>92.75369048</v>
      </c>
      <c r="W2317" s="6"/>
    </row>
    <row r="2318" ht="14.25" customHeight="1">
      <c r="A2318" s="6" t="str">
        <f t="shared" si="27"/>
        <v>2022Hudspeath9</v>
      </c>
      <c r="B2318" s="59">
        <v>2022.0</v>
      </c>
      <c r="C2318" s="13" t="s">
        <v>39</v>
      </c>
      <c r="D2318" s="13" t="s">
        <v>147</v>
      </c>
      <c r="E2318" s="34"/>
      <c r="F2318" s="6"/>
      <c r="H2318" s="6"/>
      <c r="I2318" s="35" t="str">
        <f>IFERROR(IFERROR(IFERROR(VLOOKUP(B2318&amp;C2318&amp;Q2318,'New Weekly Paste'!A:M,10,0),VLOOKUP(B2318&amp;C2318&amp;Q2318,'New Weekly Paste'!B:O,6,0)),""),"")</f>
        <v>Salty</v>
      </c>
      <c r="J2318" s="259">
        <f>IFERROR(IFERROR(VLOOKUP(B2318&amp;C2318&amp;Q2318,'New Weekly Paste'!A:M,8,0),VLOOKUP(B2318&amp;C2318&amp;Q2318,'New Weekly Paste'!B:O,10,0)),0)</f>
        <v>73.7</v>
      </c>
      <c r="K2318" s="259">
        <f>IFERROR(IFERROR(VLOOKUP(B2318&amp;I2318&amp;Q2318,'New Weekly Paste'!A:M,8,0),VLOOKUP(B2318&amp;I2318&amp;Q2318,'New Weekly Paste'!B:O,10,0)),0)</f>
        <v>129.82</v>
      </c>
      <c r="L2318" s="239">
        <f t="shared" si="25"/>
        <v>0</v>
      </c>
      <c r="M2318" s="36" t="str">
        <f t="shared" si="3"/>
        <v>Regular Season</v>
      </c>
      <c r="N2318" s="239" t="str">
        <f t="shared" si="26"/>
        <v>Salty</v>
      </c>
      <c r="O2318" s="6">
        <f>VLOOKUP(D2318,'Mapped Opponent'!$G$4:$H$22,2,0)</f>
        <v>9</v>
      </c>
      <c r="P2318" s="6"/>
      <c r="Q2318" s="6" t="str">
        <f t="shared" si="4"/>
        <v>Week 9</v>
      </c>
      <c r="R2318" s="6" t="str">
        <f t="shared" si="5"/>
        <v>2022Week 9</v>
      </c>
      <c r="S2318" s="6">
        <f>IFERROR(__xludf.DUMMYFUNCTION("rank(J2318,FILTER(J:J,R:R=R2318))"),11.0)</f>
        <v>11</v>
      </c>
      <c r="T2318" s="6">
        <f t="shared" si="6"/>
        <v>1</v>
      </c>
      <c r="U2318" s="6">
        <f t="shared" si="7"/>
        <v>11</v>
      </c>
      <c r="V2318" s="42">
        <f>averageif(AllData!A:A,B2318,AllData!R:R)/vlookup(B2318,AllData!A:O,15,0)</f>
        <v>92.75369048</v>
      </c>
      <c r="W2318" s="6"/>
    </row>
    <row r="2319" ht="14.25" customHeight="1">
      <c r="A2319" s="6" t="str">
        <f t="shared" si="27"/>
        <v>2022Salty9</v>
      </c>
      <c r="B2319" s="59">
        <v>2022.0</v>
      </c>
      <c r="C2319" s="13" t="s">
        <v>76</v>
      </c>
      <c r="D2319" s="13" t="s">
        <v>147</v>
      </c>
      <c r="E2319" s="34"/>
      <c r="F2319" s="6"/>
      <c r="H2319" s="6"/>
      <c r="I2319" s="35" t="str">
        <f>IFERROR(IFERROR(IFERROR(VLOOKUP(B2319&amp;C2319&amp;Q2319,'New Weekly Paste'!A:M,10,0),VLOOKUP(B2319&amp;C2319&amp;Q2319,'New Weekly Paste'!B:O,6,0)),""),"")</f>
        <v>Hudspeath</v>
      </c>
      <c r="J2319" s="259">
        <f>IFERROR(IFERROR(VLOOKUP(B2319&amp;C2319&amp;Q2319,'New Weekly Paste'!A:M,8,0),VLOOKUP(B2319&amp;C2319&amp;Q2319,'New Weekly Paste'!B:O,10,0)),0)</f>
        <v>129.82</v>
      </c>
      <c r="K2319" s="259">
        <f>IFERROR(IFERROR(VLOOKUP(B2319&amp;I2319&amp;Q2319,'New Weekly Paste'!A:M,8,0),VLOOKUP(B2319&amp;I2319&amp;Q2319,'New Weekly Paste'!B:O,10,0)),0)</f>
        <v>73.7</v>
      </c>
      <c r="L2319" s="239">
        <f t="shared" si="25"/>
        <v>1</v>
      </c>
      <c r="M2319" s="36" t="str">
        <f t="shared" si="3"/>
        <v>Regular Season</v>
      </c>
      <c r="N2319" s="239" t="str">
        <f t="shared" si="26"/>
        <v>Hudspeath</v>
      </c>
      <c r="O2319" s="6">
        <f>VLOOKUP(D2319,'Mapped Opponent'!$G$4:$H$22,2,0)</f>
        <v>9</v>
      </c>
      <c r="P2319" s="6"/>
      <c r="Q2319" s="6" t="str">
        <f t="shared" si="4"/>
        <v>Week 9</v>
      </c>
      <c r="R2319" s="6" t="str">
        <f t="shared" si="5"/>
        <v>2022Week 9</v>
      </c>
      <c r="S2319" s="6">
        <f>IFERROR(__xludf.DUMMYFUNCTION("rank(J2319,FILTER(J:J,R:R=R2319))"),1.0)</f>
        <v>1</v>
      </c>
      <c r="T2319" s="6">
        <f t="shared" si="6"/>
        <v>11</v>
      </c>
      <c r="U2319" s="6">
        <f t="shared" si="7"/>
        <v>1</v>
      </c>
      <c r="V2319" s="42">
        <f>averageif(AllData!A:A,B2319,AllData!R:R)/vlookup(B2319,AllData!A:O,15,0)</f>
        <v>92.75369048</v>
      </c>
      <c r="W2319" s="6"/>
    </row>
    <row r="2320" ht="14.25" customHeight="1">
      <c r="A2320" s="6" t="str">
        <f t="shared" si="27"/>
        <v>2022Fellows9</v>
      </c>
      <c r="B2320" s="59">
        <v>2022.0</v>
      </c>
      <c r="C2320" s="13" t="s">
        <v>79</v>
      </c>
      <c r="D2320" s="13" t="s">
        <v>147</v>
      </c>
      <c r="E2320" s="34"/>
      <c r="F2320" s="6"/>
      <c r="H2320" s="6"/>
      <c r="I2320" s="35" t="str">
        <f>IFERROR(IFERROR(IFERROR(VLOOKUP(B2320&amp;C2320&amp;Q2320,'New Weekly Paste'!A:M,10,0),VLOOKUP(B2320&amp;C2320&amp;Q2320,'New Weekly Paste'!B:O,6,0)),""),"")</f>
        <v>Tayski</v>
      </c>
      <c r="J2320" s="259">
        <f>IFERROR(IFERROR(VLOOKUP(B2320&amp;C2320&amp;Q2320,'New Weekly Paste'!A:M,8,0),VLOOKUP(B2320&amp;C2320&amp;Q2320,'New Weekly Paste'!B:O,10,0)),0)</f>
        <v>119.62</v>
      </c>
      <c r="K2320" s="259">
        <f>IFERROR(IFERROR(VLOOKUP(B2320&amp;I2320&amp;Q2320,'New Weekly Paste'!A:M,8,0),VLOOKUP(B2320&amp;I2320&amp;Q2320,'New Weekly Paste'!B:O,10,0)),0)</f>
        <v>92.3</v>
      </c>
      <c r="L2320" s="239">
        <f t="shared" si="25"/>
        <v>1</v>
      </c>
      <c r="M2320" s="36" t="str">
        <f t="shared" si="3"/>
        <v>Regular Season</v>
      </c>
      <c r="N2320" s="239" t="str">
        <f t="shared" si="26"/>
        <v>Tayski</v>
      </c>
      <c r="O2320" s="6">
        <f>VLOOKUP(D2320,'Mapped Opponent'!$G$4:$H$22,2,0)</f>
        <v>9</v>
      </c>
      <c r="P2320" s="6"/>
      <c r="Q2320" s="6" t="str">
        <f t="shared" si="4"/>
        <v>Week 9</v>
      </c>
      <c r="R2320" s="6" t="str">
        <f t="shared" si="5"/>
        <v>2022Week 9</v>
      </c>
      <c r="S2320" s="6">
        <f>IFERROR(__xludf.DUMMYFUNCTION("rank(J2320,FILTER(J:J,R:R=R2320))"),2.0)</f>
        <v>2</v>
      </c>
      <c r="T2320" s="6">
        <f t="shared" si="6"/>
        <v>10</v>
      </c>
      <c r="U2320" s="6">
        <f t="shared" si="7"/>
        <v>2</v>
      </c>
      <c r="V2320" s="42">
        <f>averageif(AllData!A:A,B2320,AllData!R:R)/vlookup(B2320,AllData!A:O,15,0)</f>
        <v>92.75369048</v>
      </c>
      <c r="W2320" s="6"/>
    </row>
    <row r="2321" ht="14.25" customHeight="1">
      <c r="A2321" s="6" t="str">
        <f t="shared" si="27"/>
        <v>2022Shep9</v>
      </c>
      <c r="B2321" s="59">
        <v>2022.0</v>
      </c>
      <c r="C2321" s="13" t="s">
        <v>89</v>
      </c>
      <c r="D2321" s="13" t="s">
        <v>147</v>
      </c>
      <c r="E2321" s="34"/>
      <c r="F2321" s="6"/>
      <c r="H2321" s="6"/>
      <c r="I2321" s="35" t="str">
        <f>IFERROR(IFERROR(IFERROR(VLOOKUP(B2321&amp;C2321&amp;Q2321,'New Weekly Paste'!A:M,10,0),VLOOKUP(B2321&amp;C2321&amp;Q2321,'New Weekly Paste'!B:O,6,0)),""),"")</f>
        <v>Cock</v>
      </c>
      <c r="J2321" s="259">
        <f>IFERROR(IFERROR(VLOOKUP(B2321&amp;C2321&amp;Q2321,'New Weekly Paste'!A:M,8,0),VLOOKUP(B2321&amp;C2321&amp;Q2321,'New Weekly Paste'!B:O,10,0)),0)</f>
        <v>75.14</v>
      </c>
      <c r="K2321" s="259">
        <f>IFERROR(IFERROR(VLOOKUP(B2321&amp;I2321&amp;Q2321,'New Weekly Paste'!A:M,8,0),VLOOKUP(B2321&amp;I2321&amp;Q2321,'New Weekly Paste'!B:O,10,0)),0)</f>
        <v>110.8</v>
      </c>
      <c r="L2321" s="239">
        <f t="shared" si="25"/>
        <v>0</v>
      </c>
      <c r="M2321" s="36" t="str">
        <f t="shared" si="3"/>
        <v>Regular Season</v>
      </c>
      <c r="N2321" s="239" t="str">
        <f t="shared" si="26"/>
        <v>Cock</v>
      </c>
      <c r="O2321" s="6">
        <f>VLOOKUP(D2321,'Mapped Opponent'!$G$4:$H$22,2,0)</f>
        <v>9</v>
      </c>
      <c r="P2321" s="6"/>
      <c r="Q2321" s="6" t="str">
        <f t="shared" si="4"/>
        <v>Week 9</v>
      </c>
      <c r="R2321" s="6" t="str">
        <f t="shared" si="5"/>
        <v>2022Week 9</v>
      </c>
      <c r="S2321" s="6">
        <f>IFERROR(__xludf.DUMMYFUNCTION("rank(J2321,FILTER(J:J,R:R=R2321))"),10.0)</f>
        <v>10</v>
      </c>
      <c r="T2321" s="6">
        <f t="shared" si="6"/>
        <v>2</v>
      </c>
      <c r="U2321" s="6">
        <f t="shared" si="7"/>
        <v>10</v>
      </c>
      <c r="V2321" s="42">
        <f>averageif(AllData!A:A,B2321,AllData!R:R)/vlookup(B2321,AllData!A:O,15,0)</f>
        <v>92.75369048</v>
      </c>
      <c r="W2321" s="6"/>
    </row>
    <row r="2322" ht="14.25" customHeight="1">
      <c r="A2322" s="6" t="str">
        <f t="shared" si="27"/>
        <v>2022Riley9</v>
      </c>
      <c r="B2322" s="59">
        <v>2022.0</v>
      </c>
      <c r="C2322" s="13" t="s">
        <v>67</v>
      </c>
      <c r="D2322" s="13" t="s">
        <v>147</v>
      </c>
      <c r="E2322" s="34"/>
      <c r="F2322" s="6"/>
      <c r="H2322" s="6"/>
      <c r="I2322" s="35" t="str">
        <f>IFERROR(IFERROR(IFERROR(VLOOKUP(B2322&amp;C2322&amp;Q2322,'New Weekly Paste'!A:M,10,0),VLOOKUP(B2322&amp;C2322&amp;Q2322,'New Weekly Paste'!B:O,6,0)),""),"")</f>
        <v>KnardDawg</v>
      </c>
      <c r="J2322" s="259">
        <f>IFERROR(IFERROR(VLOOKUP(B2322&amp;C2322&amp;Q2322,'New Weekly Paste'!A:M,8,0),VLOOKUP(B2322&amp;C2322&amp;Q2322,'New Weekly Paste'!B:O,10,0)),0)</f>
        <v>91.22</v>
      </c>
      <c r="K2322" s="259">
        <f>IFERROR(IFERROR(VLOOKUP(B2322&amp;I2322&amp;Q2322,'New Weekly Paste'!A:M,8,0),VLOOKUP(B2322&amp;I2322&amp;Q2322,'New Weekly Paste'!B:O,10,0)),0)</f>
        <v>76.24</v>
      </c>
      <c r="L2322" s="239">
        <f t="shared" si="25"/>
        <v>1</v>
      </c>
      <c r="M2322" s="36" t="str">
        <f t="shared" si="3"/>
        <v>Regular Season</v>
      </c>
      <c r="N2322" s="239" t="str">
        <f t="shared" si="26"/>
        <v>KnardDawg</v>
      </c>
      <c r="O2322" s="6">
        <f>VLOOKUP(D2322,'Mapped Opponent'!$G$4:$H$22,2,0)</f>
        <v>9</v>
      </c>
      <c r="P2322" s="6"/>
      <c r="Q2322" s="6" t="str">
        <f t="shared" si="4"/>
        <v>Week 9</v>
      </c>
      <c r="R2322" s="6" t="str">
        <f t="shared" si="5"/>
        <v>2022Week 9</v>
      </c>
      <c r="S2322" s="6">
        <f>IFERROR(__xludf.DUMMYFUNCTION("rank(J2322,FILTER(J:J,R:R=R2322))"),8.0)</f>
        <v>8</v>
      </c>
      <c r="T2322" s="6">
        <f t="shared" si="6"/>
        <v>4</v>
      </c>
      <c r="U2322" s="6">
        <f t="shared" si="7"/>
        <v>8</v>
      </c>
      <c r="V2322" s="42">
        <f>averageif(AllData!A:A,B2322,AllData!R:R)/vlookup(B2322,AllData!A:O,15,0)</f>
        <v>92.75369048</v>
      </c>
      <c r="W2322" s="6"/>
    </row>
    <row r="2323" ht="14.25" customHeight="1">
      <c r="A2323" s="6" t="str">
        <f t="shared" si="27"/>
        <v>2022Rooney/Jackson9</v>
      </c>
      <c r="B2323" s="59">
        <v>2022.0</v>
      </c>
      <c r="C2323" s="13" t="s">
        <v>57</v>
      </c>
      <c r="D2323" s="13" t="s">
        <v>147</v>
      </c>
      <c r="E2323" s="34"/>
      <c r="F2323" s="6"/>
      <c r="H2323" s="6"/>
      <c r="I2323" s="35" t="str">
        <f>IFERROR(IFERROR(IFERROR(VLOOKUP(B2323&amp;C2323&amp;Q2323,'New Weekly Paste'!A:M,10,0),VLOOKUP(B2323&amp;C2323&amp;Q2323,'New Weekly Paste'!B:O,6,0)),""),"")</f>
        <v>Buser</v>
      </c>
      <c r="J2323" s="259">
        <f>IFERROR(IFERROR(VLOOKUP(B2323&amp;C2323&amp;Q2323,'New Weekly Paste'!A:M,8,0),VLOOKUP(B2323&amp;C2323&amp;Q2323,'New Weekly Paste'!B:O,10,0)),0)</f>
        <v>97.3</v>
      </c>
      <c r="K2323" s="259">
        <f>IFERROR(IFERROR(VLOOKUP(B2323&amp;I2323&amp;Q2323,'New Weekly Paste'!A:M,8,0),VLOOKUP(B2323&amp;I2323&amp;Q2323,'New Weekly Paste'!B:O,10,0)),0)</f>
        <v>64.38</v>
      </c>
      <c r="L2323" s="239">
        <f t="shared" si="25"/>
        <v>1</v>
      </c>
      <c r="M2323" s="36" t="str">
        <f t="shared" si="3"/>
        <v>Regular Season</v>
      </c>
      <c r="N2323" s="239" t="str">
        <f t="shared" si="26"/>
        <v>Buser</v>
      </c>
      <c r="O2323" s="6">
        <f>VLOOKUP(D2323,'Mapped Opponent'!$G$4:$H$22,2,0)</f>
        <v>9</v>
      </c>
      <c r="P2323" s="6"/>
      <c r="Q2323" s="6" t="str">
        <f t="shared" si="4"/>
        <v>Week 9</v>
      </c>
      <c r="R2323" s="6" t="str">
        <f t="shared" si="5"/>
        <v>2022Week 9</v>
      </c>
      <c r="S2323" s="6">
        <f>IFERROR(__xludf.DUMMYFUNCTION("rank(J2323,FILTER(J:J,R:R=R2323))"),6.0)</f>
        <v>6</v>
      </c>
      <c r="T2323" s="6">
        <f t="shared" si="6"/>
        <v>6</v>
      </c>
      <c r="U2323" s="6">
        <f t="shared" si="7"/>
        <v>6</v>
      </c>
      <c r="V2323" s="42">
        <f>averageif(AllData!A:A,B2323,AllData!R:R)/vlookup(B2323,AllData!A:O,15,0)</f>
        <v>92.75369048</v>
      </c>
      <c r="W2323" s="6"/>
    </row>
    <row r="2324" ht="14.25" customHeight="1">
      <c r="A2324" s="6" t="str">
        <f t="shared" si="27"/>
        <v>2022Buser9</v>
      </c>
      <c r="B2324" s="59">
        <v>2022.0</v>
      </c>
      <c r="C2324" s="13" t="s">
        <v>47</v>
      </c>
      <c r="D2324" s="13" t="s">
        <v>147</v>
      </c>
      <c r="E2324" s="34"/>
      <c r="F2324" s="6"/>
      <c r="H2324" s="6"/>
      <c r="I2324" s="35" t="str">
        <f>IFERROR(IFERROR(IFERROR(VLOOKUP(B2324&amp;C2324&amp;Q2324,'New Weekly Paste'!A:M,10,0),VLOOKUP(B2324&amp;C2324&amp;Q2324,'New Weekly Paste'!B:O,6,0)),""),"")</f>
        <v>Rooney/Jackson</v>
      </c>
      <c r="J2324" s="259">
        <f>IFERROR(IFERROR(VLOOKUP(B2324&amp;C2324&amp;Q2324,'New Weekly Paste'!A:M,8,0),VLOOKUP(B2324&amp;C2324&amp;Q2324,'New Weekly Paste'!B:O,10,0)),0)</f>
        <v>64.38</v>
      </c>
      <c r="K2324" s="259">
        <f>IFERROR(IFERROR(VLOOKUP(B2324&amp;I2324&amp;Q2324,'New Weekly Paste'!A:M,8,0),VLOOKUP(B2324&amp;I2324&amp;Q2324,'New Weekly Paste'!B:O,10,0)),0)</f>
        <v>97.3</v>
      </c>
      <c r="L2324" s="239">
        <f t="shared" si="25"/>
        <v>0</v>
      </c>
      <c r="M2324" s="36" t="str">
        <f t="shared" si="3"/>
        <v>Regular Season</v>
      </c>
      <c r="N2324" s="239" t="str">
        <f t="shared" si="26"/>
        <v>Rooney/Jackson</v>
      </c>
      <c r="O2324" s="6">
        <f>VLOOKUP(D2324,'Mapped Opponent'!$G$4:$H$22,2,0)</f>
        <v>9</v>
      </c>
      <c r="P2324" s="6"/>
      <c r="Q2324" s="6" t="str">
        <f t="shared" si="4"/>
        <v>Week 9</v>
      </c>
      <c r="R2324" s="6" t="str">
        <f t="shared" si="5"/>
        <v>2022Week 9</v>
      </c>
      <c r="S2324" s="6">
        <f>IFERROR(__xludf.DUMMYFUNCTION("rank(J2324,FILTER(J:J,R:R=R2324))"),12.0)</f>
        <v>12</v>
      </c>
      <c r="T2324" s="6">
        <f t="shared" si="6"/>
        <v>0</v>
      </c>
      <c r="U2324" s="6">
        <f t="shared" si="7"/>
        <v>12</v>
      </c>
      <c r="V2324" s="42">
        <f>averageif(AllData!A:A,B2324,AllData!R:R)/vlookup(B2324,AllData!A:O,15,0)</f>
        <v>92.75369048</v>
      </c>
      <c r="W2324" s="6"/>
    </row>
    <row r="2325" ht="14.25" customHeight="1">
      <c r="A2325" s="6" t="str">
        <f t="shared" si="27"/>
        <v>2022Pierson9</v>
      </c>
      <c r="B2325" s="59">
        <v>2022.0</v>
      </c>
      <c r="C2325" s="13" t="s">
        <v>92</v>
      </c>
      <c r="D2325" s="13" t="s">
        <v>147</v>
      </c>
      <c r="E2325" s="34"/>
      <c r="F2325" s="6"/>
      <c r="H2325" s="6"/>
      <c r="I2325" s="35" t="str">
        <f>IFERROR(IFERROR(IFERROR(VLOOKUP(B2325&amp;C2325&amp;Q2325,'New Weekly Paste'!A:M,10,0),VLOOKUP(B2325&amp;C2325&amp;Q2325,'New Weekly Paste'!B:O,6,0)),""),"")</f>
        <v>T-How</v>
      </c>
      <c r="J2325" s="259">
        <f>IFERROR(IFERROR(VLOOKUP(B2325&amp;C2325&amp;Q2325,'New Weekly Paste'!A:M,8,0),VLOOKUP(B2325&amp;C2325&amp;Q2325,'New Weekly Paste'!B:O,10,0)),0)</f>
        <v>118.54</v>
      </c>
      <c r="K2325" s="259">
        <f>IFERROR(IFERROR(VLOOKUP(B2325&amp;I2325&amp;Q2325,'New Weekly Paste'!A:M,8,0),VLOOKUP(B2325&amp;I2325&amp;Q2325,'New Weekly Paste'!B:O,10,0)),0)</f>
        <v>119.02</v>
      </c>
      <c r="L2325" s="239">
        <f t="shared" si="25"/>
        <v>0</v>
      </c>
      <c r="M2325" s="36" t="str">
        <f t="shared" si="3"/>
        <v>Regular Season</v>
      </c>
      <c r="N2325" s="239" t="str">
        <f t="shared" si="26"/>
        <v>T-How</v>
      </c>
      <c r="O2325" s="6">
        <f>VLOOKUP(D2325,'Mapped Opponent'!$G$4:$H$22,2,0)</f>
        <v>9</v>
      </c>
      <c r="P2325" s="6"/>
      <c r="Q2325" s="6" t="str">
        <f t="shared" si="4"/>
        <v>Week 9</v>
      </c>
      <c r="R2325" s="6" t="str">
        <f t="shared" si="5"/>
        <v>2022Week 9</v>
      </c>
      <c r="S2325" s="6">
        <f>IFERROR(__xludf.DUMMYFUNCTION("rank(J2325,FILTER(J:J,R:R=R2325))"),4.0)</f>
        <v>4</v>
      </c>
      <c r="T2325" s="6">
        <f t="shared" si="6"/>
        <v>8</v>
      </c>
      <c r="U2325" s="6">
        <f t="shared" si="7"/>
        <v>4</v>
      </c>
      <c r="V2325" s="42">
        <f>averageif(AllData!A:A,B2325,AllData!R:R)/vlookup(B2325,AllData!A:O,15,0)</f>
        <v>92.75369048</v>
      </c>
      <c r="W2325" s="6"/>
    </row>
    <row r="2326" ht="14.25" customHeight="1">
      <c r="A2326" s="6" t="str">
        <f t="shared" si="27"/>
        <v>2022Cock9</v>
      </c>
      <c r="B2326" s="59">
        <v>2022.0</v>
      </c>
      <c r="C2326" s="13" t="s">
        <v>72</v>
      </c>
      <c r="D2326" s="13" t="s">
        <v>147</v>
      </c>
      <c r="E2326" s="34"/>
      <c r="F2326" s="6"/>
      <c r="H2326" s="6"/>
      <c r="I2326" s="35" t="str">
        <f>IFERROR(IFERROR(IFERROR(VLOOKUP(B2326&amp;C2326&amp;Q2326,'New Weekly Paste'!A:M,10,0),VLOOKUP(B2326&amp;C2326&amp;Q2326,'New Weekly Paste'!B:O,6,0)),""),"")</f>
        <v>Shep</v>
      </c>
      <c r="J2326" s="259">
        <f>IFERROR(IFERROR(VLOOKUP(B2326&amp;C2326&amp;Q2326,'New Weekly Paste'!A:M,8,0),VLOOKUP(B2326&amp;C2326&amp;Q2326,'New Weekly Paste'!B:O,10,0)),0)</f>
        <v>110.8</v>
      </c>
      <c r="K2326" s="259">
        <f>IFERROR(IFERROR(VLOOKUP(B2326&amp;I2326&amp;Q2326,'New Weekly Paste'!A:M,8,0),VLOOKUP(B2326&amp;I2326&amp;Q2326,'New Weekly Paste'!B:O,10,0)),0)</f>
        <v>75.14</v>
      </c>
      <c r="L2326" s="239">
        <f t="shared" si="25"/>
        <v>1</v>
      </c>
      <c r="M2326" s="36" t="str">
        <f t="shared" si="3"/>
        <v>Regular Season</v>
      </c>
      <c r="N2326" s="239" t="str">
        <f t="shared" si="26"/>
        <v>Shep</v>
      </c>
      <c r="O2326" s="6">
        <f>VLOOKUP(D2326,'Mapped Opponent'!$G$4:$H$22,2,0)</f>
        <v>9</v>
      </c>
      <c r="P2326" s="6"/>
      <c r="Q2326" s="6" t="str">
        <f t="shared" si="4"/>
        <v>Week 9</v>
      </c>
      <c r="R2326" s="6" t="str">
        <f t="shared" si="5"/>
        <v>2022Week 9</v>
      </c>
      <c r="S2326" s="6">
        <f>IFERROR(__xludf.DUMMYFUNCTION("rank(J2326,FILTER(J:J,R:R=R2326))"),5.0)</f>
        <v>5</v>
      </c>
      <c r="T2326" s="6">
        <f t="shared" si="6"/>
        <v>7</v>
      </c>
      <c r="U2326" s="6">
        <f t="shared" si="7"/>
        <v>5</v>
      </c>
      <c r="V2326" s="42">
        <f>averageif(AllData!A:A,B2326,AllData!R:R)/vlookup(B2326,AllData!A:O,15,0)</f>
        <v>92.75369048</v>
      </c>
      <c r="W2326" s="6"/>
    </row>
    <row r="2327" ht="14.25" customHeight="1">
      <c r="A2327" s="6" t="str">
        <f t="shared" si="27"/>
        <v>2022Tayski9</v>
      </c>
      <c r="B2327" s="59">
        <v>2022.0</v>
      </c>
      <c r="C2327" s="13" t="s">
        <v>52</v>
      </c>
      <c r="D2327" s="13" t="s">
        <v>147</v>
      </c>
      <c r="E2327" s="34"/>
      <c r="F2327" s="6"/>
      <c r="H2327" s="6"/>
      <c r="I2327" s="35" t="str">
        <f>IFERROR(IFERROR(IFERROR(VLOOKUP(B2327&amp;C2327&amp;Q2327,'New Weekly Paste'!A:M,10,0),VLOOKUP(B2327&amp;C2327&amp;Q2327,'New Weekly Paste'!B:O,6,0)),""),"")</f>
        <v>Fellows</v>
      </c>
      <c r="J2327" s="259">
        <f>IFERROR(IFERROR(VLOOKUP(B2327&amp;C2327&amp;Q2327,'New Weekly Paste'!A:M,8,0),VLOOKUP(B2327&amp;C2327&amp;Q2327,'New Weekly Paste'!B:O,10,0)),0)</f>
        <v>92.3</v>
      </c>
      <c r="K2327" s="259">
        <f>IFERROR(IFERROR(VLOOKUP(B2327&amp;I2327&amp;Q2327,'New Weekly Paste'!A:M,8,0),VLOOKUP(B2327&amp;I2327&amp;Q2327,'New Weekly Paste'!B:O,10,0)),0)</f>
        <v>119.62</v>
      </c>
      <c r="L2327" s="239">
        <f t="shared" si="25"/>
        <v>0</v>
      </c>
      <c r="M2327" s="36" t="str">
        <f t="shared" si="3"/>
        <v>Regular Season</v>
      </c>
      <c r="N2327" s="239" t="str">
        <f t="shared" si="26"/>
        <v>Fellows</v>
      </c>
      <c r="O2327" s="6">
        <f>VLOOKUP(D2327,'Mapped Opponent'!$G$4:$H$22,2,0)</f>
        <v>9</v>
      </c>
      <c r="P2327" s="6"/>
      <c r="Q2327" s="6" t="str">
        <f t="shared" si="4"/>
        <v>Week 9</v>
      </c>
      <c r="R2327" s="6" t="str">
        <f t="shared" si="5"/>
        <v>2022Week 9</v>
      </c>
      <c r="S2327" s="6">
        <f>IFERROR(__xludf.DUMMYFUNCTION("rank(J2327,FILTER(J:J,R:R=R2327))"),7.0)</f>
        <v>7</v>
      </c>
      <c r="T2327" s="6">
        <f t="shared" si="6"/>
        <v>5</v>
      </c>
      <c r="U2327" s="6">
        <f t="shared" si="7"/>
        <v>7</v>
      </c>
      <c r="V2327" s="42">
        <f>averageif(AllData!A:A,B2327,AllData!R:R)/vlookup(B2327,AllData!A:O,15,0)</f>
        <v>92.75369048</v>
      </c>
      <c r="W2327" s="6"/>
    </row>
    <row r="2328" ht="14.25" customHeight="1">
      <c r="A2328" s="6" t="str">
        <f t="shared" si="27"/>
        <v>2022KnardDawg9</v>
      </c>
      <c r="B2328" s="59">
        <v>2022.0</v>
      </c>
      <c r="C2328" s="13" t="s">
        <v>86</v>
      </c>
      <c r="D2328" s="13" t="s">
        <v>147</v>
      </c>
      <c r="E2328" s="34"/>
      <c r="F2328" s="6"/>
      <c r="H2328" s="6"/>
      <c r="I2328" s="35" t="str">
        <f>IFERROR(IFERROR(IFERROR(VLOOKUP(B2328&amp;C2328&amp;Q2328,'New Weekly Paste'!A:M,10,0),VLOOKUP(B2328&amp;C2328&amp;Q2328,'New Weekly Paste'!B:O,6,0)),""),"")</f>
        <v>Riley</v>
      </c>
      <c r="J2328" s="259">
        <f>IFERROR(IFERROR(VLOOKUP(B2328&amp;C2328&amp;Q2328,'New Weekly Paste'!A:M,8,0),VLOOKUP(B2328&amp;C2328&amp;Q2328,'New Weekly Paste'!B:O,10,0)),0)</f>
        <v>76.24</v>
      </c>
      <c r="K2328" s="259">
        <f>IFERROR(IFERROR(VLOOKUP(B2328&amp;I2328&amp;Q2328,'New Weekly Paste'!A:M,8,0),VLOOKUP(B2328&amp;I2328&amp;Q2328,'New Weekly Paste'!B:O,10,0)),0)</f>
        <v>91.22</v>
      </c>
      <c r="L2328" s="239">
        <f t="shared" si="25"/>
        <v>0</v>
      </c>
      <c r="M2328" s="36" t="str">
        <f t="shared" si="3"/>
        <v>Regular Season</v>
      </c>
      <c r="N2328" s="239" t="str">
        <f t="shared" si="26"/>
        <v>Riley</v>
      </c>
      <c r="O2328" s="6">
        <f>VLOOKUP(D2328,'Mapped Opponent'!$G$4:$H$22,2,0)</f>
        <v>9</v>
      </c>
      <c r="P2328" s="6"/>
      <c r="Q2328" s="6" t="str">
        <f t="shared" si="4"/>
        <v>Week 9</v>
      </c>
      <c r="R2328" s="6" t="str">
        <f t="shared" si="5"/>
        <v>2022Week 9</v>
      </c>
      <c r="S2328" s="6">
        <f>IFERROR(__xludf.DUMMYFUNCTION("rank(J2328,FILTER(J:J,R:R=R2328))"),9.0)</f>
        <v>9</v>
      </c>
      <c r="T2328" s="6">
        <f t="shared" si="6"/>
        <v>3</v>
      </c>
      <c r="U2328" s="6">
        <f t="shared" si="7"/>
        <v>9</v>
      </c>
      <c r="V2328" s="42">
        <f>averageif(AllData!A:A,B2328,AllData!R:R)/vlookup(B2328,AllData!A:O,15,0)</f>
        <v>92.75369048</v>
      </c>
      <c r="W2328" s="6"/>
    </row>
    <row r="2329" ht="14.25" customHeight="1">
      <c r="A2329" s="6" t="str">
        <f t="shared" si="27"/>
        <v>2022T-How9</v>
      </c>
      <c r="B2329" s="59">
        <v>2022.0</v>
      </c>
      <c r="C2329" s="13" t="s">
        <v>82</v>
      </c>
      <c r="D2329" s="13" t="s">
        <v>147</v>
      </c>
      <c r="E2329" s="34"/>
      <c r="F2329" s="6"/>
      <c r="H2329" s="6"/>
      <c r="I2329" s="35" t="str">
        <f>IFERROR(IFERROR(IFERROR(VLOOKUP(B2329&amp;C2329&amp;Q2329,'New Weekly Paste'!A:M,10,0),VLOOKUP(B2329&amp;C2329&amp;Q2329,'New Weekly Paste'!B:O,6,0)),""),"")</f>
        <v>Pierson</v>
      </c>
      <c r="J2329" s="259">
        <f>IFERROR(IFERROR(VLOOKUP(B2329&amp;C2329&amp;Q2329,'New Weekly Paste'!A:M,8,0),VLOOKUP(B2329&amp;C2329&amp;Q2329,'New Weekly Paste'!B:O,10,0)),0)</f>
        <v>119.02</v>
      </c>
      <c r="K2329" s="259">
        <f>IFERROR(IFERROR(VLOOKUP(B2329&amp;I2329&amp;Q2329,'New Weekly Paste'!A:M,8,0),VLOOKUP(B2329&amp;I2329&amp;Q2329,'New Weekly Paste'!B:O,10,0)),0)</f>
        <v>118.54</v>
      </c>
      <c r="L2329" s="239">
        <f t="shared" si="25"/>
        <v>1</v>
      </c>
      <c r="M2329" s="36" t="str">
        <f t="shared" si="3"/>
        <v>Regular Season</v>
      </c>
      <c r="N2329" s="239" t="str">
        <f t="shared" si="26"/>
        <v>Pierson</v>
      </c>
      <c r="O2329" s="6">
        <f>VLOOKUP(D2329,'Mapped Opponent'!$G$4:$H$22,2,0)</f>
        <v>9</v>
      </c>
      <c r="P2329" s="6"/>
      <c r="Q2329" s="6" t="str">
        <f t="shared" si="4"/>
        <v>Week 9</v>
      </c>
      <c r="R2329" s="6" t="str">
        <f t="shared" si="5"/>
        <v>2022Week 9</v>
      </c>
      <c r="S2329" s="6">
        <f>IFERROR(__xludf.DUMMYFUNCTION("rank(J2329,FILTER(J:J,R:R=R2329))"),3.0)</f>
        <v>3</v>
      </c>
      <c r="T2329" s="6">
        <f t="shared" si="6"/>
        <v>9</v>
      </c>
      <c r="U2329" s="6">
        <f t="shared" si="7"/>
        <v>3</v>
      </c>
      <c r="V2329" s="42">
        <f>averageif(AllData!A:A,B2329,AllData!R:R)/vlookup(B2329,AllData!A:O,15,0)</f>
        <v>92.75369048</v>
      </c>
      <c r="W2329" s="6"/>
    </row>
    <row r="2330" ht="14.25" customHeight="1">
      <c r="A2330" s="6" t="str">
        <f t="shared" ref="A2330:A2737" si="28">B2330&amp;C2330&amp;$O2330</f>
        <v>2023Hudspeath15</v>
      </c>
      <c r="B2330" s="59">
        <v>2023.0</v>
      </c>
      <c r="C2330" s="13" t="s">
        <v>39</v>
      </c>
      <c r="D2330" s="13" t="s">
        <v>112</v>
      </c>
      <c r="E2330" s="34"/>
      <c r="F2330" s="6"/>
      <c r="H2330" s="6"/>
      <c r="I2330" s="35" t="str">
        <f>IFERROR(IFERROR(IFERROR(VLOOKUP(B2330&amp;C2330&amp;Q2330,'New Weekly Paste'!A:M,10,0),VLOOKUP(B2330&amp;C2330&amp;Q2330,'New Weekly Paste'!B:O,6,0)),""),"")</f>
        <v/>
      </c>
      <c r="J2330" s="239">
        <f>IFERROR(IFERROR(VLOOKUP(B2330&amp;C2330&amp;Q2330,'New Weekly Paste'!A:M,8,0),VLOOKUP(B2330&amp;C2330&amp;Q2330,'New Weekly Paste'!B:O,10,0)),0)</f>
        <v>0</v>
      </c>
      <c r="K2330" s="239">
        <f>IFERROR(IFERROR(VLOOKUP(B2330&amp;I2330&amp;Q2330,'New Weekly Paste'!A:M,8,0),VLOOKUP(B2330&amp;I2330&amp;Q2330,'New Weekly Paste'!B:O,10,0)),0)</f>
        <v>0</v>
      </c>
      <c r="L2330" s="239">
        <f t="shared" si="25"/>
        <v>0</v>
      </c>
      <c r="M2330" s="36" t="str">
        <f t="shared" si="3"/>
        <v>Playoffs</v>
      </c>
      <c r="N2330" s="239" t="str">
        <f t="shared" si="26"/>
        <v/>
      </c>
      <c r="O2330" s="6">
        <f>VLOOKUP(D2330,'Mapped Opponent'!$G$4:$H$22,2,0)</f>
        <v>15</v>
      </c>
      <c r="P2330" s="6"/>
      <c r="Q2330" s="6" t="str">
        <f t="shared" si="4"/>
        <v>Week 15</v>
      </c>
      <c r="R2330" s="6" t="str">
        <f t="shared" si="5"/>
        <v>2023Round 1</v>
      </c>
      <c r="S2330" s="6">
        <f>IFERROR(__xludf.DUMMYFUNCTION("rank(J2330,FILTER(J:J,R:R=R2330))"),11.0)</f>
        <v>11</v>
      </c>
      <c r="T2330" s="6">
        <f t="shared" si="6"/>
        <v>1</v>
      </c>
      <c r="U2330" s="6">
        <f t="shared" si="7"/>
        <v>11</v>
      </c>
      <c r="V2330" s="42">
        <f>averageif(AllData!A:A,B2330,AllData!R:R)/vlookup(B2330,AllData!A:O,15,0)</f>
        <v>93.35904762</v>
      </c>
      <c r="W2330" s="6"/>
    </row>
    <row r="2331" ht="14.25" customHeight="1">
      <c r="A2331" s="6" t="str">
        <f t="shared" si="28"/>
        <v>2023Salty15</v>
      </c>
      <c r="B2331" s="59">
        <v>2023.0</v>
      </c>
      <c r="C2331" s="13" t="s">
        <v>76</v>
      </c>
      <c r="D2331" s="13" t="s">
        <v>112</v>
      </c>
      <c r="E2331" s="34"/>
      <c r="F2331" s="6"/>
      <c r="H2331" s="6"/>
      <c r="I2331" s="35" t="str">
        <f>IFERROR(IFERROR(IFERROR(VLOOKUP(B2331&amp;C2331&amp;Q2331,'New Weekly Paste'!A:M,10,0),VLOOKUP(B2331&amp;C2331&amp;Q2331,'New Weekly Paste'!B:O,6,0)),""),"")</f>
        <v/>
      </c>
      <c r="J2331" s="239">
        <f>IFERROR(IFERROR(VLOOKUP(B2331&amp;C2331&amp;Q2331,'New Weekly Paste'!A:M,8,0),VLOOKUP(B2331&amp;C2331&amp;Q2331,'New Weekly Paste'!B:O,10,0)),0)</f>
        <v>0</v>
      </c>
      <c r="K2331" s="239">
        <f>IFERROR(IFERROR(VLOOKUP(B2331&amp;I2331&amp;Q2331,'New Weekly Paste'!A:M,8,0),VLOOKUP(B2331&amp;I2331&amp;Q2331,'New Weekly Paste'!B:O,10,0)),0)</f>
        <v>0</v>
      </c>
      <c r="L2331" s="239">
        <f t="shared" si="25"/>
        <v>0</v>
      </c>
      <c r="M2331" s="36" t="str">
        <f t="shared" si="3"/>
        <v>Playoffs</v>
      </c>
      <c r="N2331" s="239" t="str">
        <f t="shared" si="26"/>
        <v/>
      </c>
      <c r="O2331" s="6">
        <f>VLOOKUP(D2331,'Mapped Opponent'!$G$4:$H$22,2,0)</f>
        <v>15</v>
      </c>
      <c r="P2331" s="6"/>
      <c r="Q2331" s="6" t="str">
        <f t="shared" si="4"/>
        <v>Week 15</v>
      </c>
      <c r="R2331" s="6" t="str">
        <f t="shared" si="5"/>
        <v>2023Round 1</v>
      </c>
      <c r="S2331" s="6">
        <f>IFERROR(__xludf.DUMMYFUNCTION("rank(J2331,FILTER(J:J,R:R=R2331))"),11.0)</f>
        <v>11</v>
      </c>
      <c r="T2331" s="6">
        <f t="shared" si="6"/>
        <v>1</v>
      </c>
      <c r="U2331" s="6">
        <f t="shared" si="7"/>
        <v>11</v>
      </c>
      <c r="V2331" s="42">
        <f>averageif(AllData!A:A,B2331,AllData!R:R)/vlookup(B2331,AllData!A:O,15,0)</f>
        <v>93.35904762</v>
      </c>
      <c r="W2331" s="6"/>
    </row>
    <row r="2332" ht="14.25" customHeight="1">
      <c r="A2332" s="6" t="str">
        <f t="shared" si="28"/>
        <v>2023Ewert15</v>
      </c>
      <c r="B2332" s="59">
        <v>2023.0</v>
      </c>
      <c r="C2332" s="13" t="s">
        <v>108</v>
      </c>
      <c r="D2332" s="13" t="s">
        <v>112</v>
      </c>
      <c r="E2332" s="34"/>
      <c r="F2332" s="6"/>
      <c r="H2332" s="6"/>
      <c r="I2332" s="35" t="str">
        <f>IFERROR(IFERROR(IFERROR(VLOOKUP(B2332&amp;C2332&amp;Q2332,'New Weekly Paste'!A:M,10,0),VLOOKUP(B2332&amp;C2332&amp;Q2332,'New Weekly Paste'!B:O,6,0)),""),"")</f>
        <v>Rooney/Jackson</v>
      </c>
      <c r="J2332" s="259">
        <f>IFERROR(IFERROR(VLOOKUP(B2332&amp;C2332&amp;Q2332,'New Weekly Paste'!A:M,8,0),VLOOKUP(B2332&amp;C2332&amp;Q2332,'New Weekly Paste'!B:O,10,0)),0)</f>
        <v>94.26</v>
      </c>
      <c r="K2332" s="259">
        <f>IFERROR(IFERROR(VLOOKUP(B2332&amp;I2332&amp;Q2332,'New Weekly Paste'!A:M,8,0),VLOOKUP(B2332&amp;I2332&amp;Q2332,'New Weekly Paste'!B:O,10,0)),0)</f>
        <v>73.04</v>
      </c>
      <c r="L2332" s="239">
        <f t="shared" si="25"/>
        <v>1</v>
      </c>
      <c r="M2332" s="36" t="str">
        <f t="shared" si="3"/>
        <v>Playoffs</v>
      </c>
      <c r="N2332" s="239" t="str">
        <f t="shared" si="26"/>
        <v>Rooney/Jackson</v>
      </c>
      <c r="O2332" s="6">
        <f>VLOOKUP(D2332,'Mapped Opponent'!$G$4:$H$22,2,0)</f>
        <v>15</v>
      </c>
      <c r="P2332" s="6"/>
      <c r="Q2332" s="6" t="str">
        <f t="shared" si="4"/>
        <v>Week 15</v>
      </c>
      <c r="R2332" s="6" t="str">
        <f t="shared" si="5"/>
        <v>2023Round 1</v>
      </c>
      <c r="S2332" s="6">
        <f>IFERROR(__xludf.DUMMYFUNCTION("rank(J2332,FILTER(J:J,R:R=R2332))"),6.0)</f>
        <v>6</v>
      </c>
      <c r="T2332" s="6">
        <f t="shared" si="6"/>
        <v>6</v>
      </c>
      <c r="U2332" s="6">
        <f t="shared" si="7"/>
        <v>6</v>
      </c>
      <c r="V2332" s="42">
        <f>averageif(AllData!A:A,B2332,AllData!R:R)/vlookup(B2332,AllData!A:O,15,0)</f>
        <v>93.35904762</v>
      </c>
      <c r="W2332" s="6"/>
    </row>
    <row r="2333" ht="14.25" customHeight="1">
      <c r="A2333" s="6" t="str">
        <f t="shared" si="28"/>
        <v>2023Shep15</v>
      </c>
      <c r="B2333" s="59">
        <v>2023.0</v>
      </c>
      <c r="C2333" s="13" t="s">
        <v>89</v>
      </c>
      <c r="D2333" s="13" t="s">
        <v>112</v>
      </c>
      <c r="E2333" s="34"/>
      <c r="F2333" s="6"/>
      <c r="H2333" s="6"/>
      <c r="I2333" s="35" t="str">
        <f>IFERROR(IFERROR(IFERROR(VLOOKUP(B2333&amp;C2333&amp;Q2333,'New Weekly Paste'!A:M,10,0),VLOOKUP(B2333&amp;C2333&amp;Q2333,'New Weekly Paste'!B:O,6,0)),""),"")</f>
        <v>Buser</v>
      </c>
      <c r="J2333" s="259">
        <f>IFERROR(IFERROR(VLOOKUP(B2333&amp;C2333&amp;Q2333,'New Weekly Paste'!A:M,8,0),VLOOKUP(B2333&amp;C2333&amp;Q2333,'New Weekly Paste'!B:O,10,0)),0)</f>
        <v>71.44</v>
      </c>
      <c r="K2333" s="259">
        <f>IFERROR(IFERROR(VLOOKUP(B2333&amp;I2333&amp;Q2333,'New Weekly Paste'!A:M,8,0),VLOOKUP(B2333&amp;I2333&amp;Q2333,'New Weekly Paste'!B:O,10,0)),0)</f>
        <v>110.46</v>
      </c>
      <c r="L2333" s="239">
        <f t="shared" si="25"/>
        <v>0</v>
      </c>
      <c r="M2333" s="36" t="str">
        <f t="shared" si="3"/>
        <v>Playoffs</v>
      </c>
      <c r="N2333" s="239" t="str">
        <f t="shared" si="26"/>
        <v>Buser</v>
      </c>
      <c r="O2333" s="6">
        <f>VLOOKUP(D2333,'Mapped Opponent'!$G$4:$H$22,2,0)</f>
        <v>15</v>
      </c>
      <c r="P2333" s="6"/>
      <c r="Q2333" s="6" t="str">
        <f t="shared" si="4"/>
        <v>Week 15</v>
      </c>
      <c r="R2333" s="6" t="str">
        <f t="shared" si="5"/>
        <v>2023Round 1</v>
      </c>
      <c r="S2333" s="6">
        <f>IFERROR(__xludf.DUMMYFUNCTION("rank(J2333,FILTER(J:J,R:R=R2333))"),9.0)</f>
        <v>9</v>
      </c>
      <c r="T2333" s="6">
        <f t="shared" si="6"/>
        <v>3</v>
      </c>
      <c r="U2333" s="6">
        <f t="shared" si="7"/>
        <v>9</v>
      </c>
      <c r="V2333" s="42">
        <f>averageif(AllData!A:A,B2333,AllData!R:R)/vlookup(B2333,AllData!A:O,15,0)</f>
        <v>93.35904762</v>
      </c>
      <c r="W2333" s="6"/>
    </row>
    <row r="2334" ht="14.25" customHeight="1">
      <c r="A2334" s="6" t="str">
        <f t="shared" si="28"/>
        <v>2023Riley15</v>
      </c>
      <c r="B2334" s="59">
        <v>2023.0</v>
      </c>
      <c r="C2334" s="13" t="s">
        <v>67</v>
      </c>
      <c r="D2334" s="13" t="s">
        <v>112</v>
      </c>
      <c r="E2334" s="34"/>
      <c r="F2334" s="6"/>
      <c r="H2334" s="6"/>
      <c r="I2334" s="35" t="str">
        <f>IFERROR(IFERROR(IFERROR(VLOOKUP(B2334&amp;C2334&amp;Q2334,'New Weekly Paste'!A:M,10,0),VLOOKUP(B2334&amp;C2334&amp;Q2334,'New Weekly Paste'!B:O,6,0)),""),"")</f>
        <v>T-How</v>
      </c>
      <c r="J2334" s="259">
        <f>IFERROR(IFERROR(VLOOKUP(B2334&amp;C2334&amp;Q2334,'New Weekly Paste'!A:M,8,0),VLOOKUP(B2334&amp;C2334&amp;Q2334,'New Weekly Paste'!B:O,10,0)),0)</f>
        <v>99.96</v>
      </c>
      <c r="K2334" s="259">
        <f>IFERROR(IFERROR(VLOOKUP(B2334&amp;I2334&amp;Q2334,'New Weekly Paste'!A:M,8,0),VLOOKUP(B2334&amp;I2334&amp;Q2334,'New Weekly Paste'!B:O,10,0)),0)</f>
        <v>107.02</v>
      </c>
      <c r="L2334" s="239">
        <f t="shared" si="25"/>
        <v>0</v>
      </c>
      <c r="M2334" s="36" t="str">
        <f t="shared" si="3"/>
        <v>Playoffs</v>
      </c>
      <c r="N2334" s="239" t="str">
        <f t="shared" si="26"/>
        <v>T-How</v>
      </c>
      <c r="O2334" s="6">
        <f>VLOOKUP(D2334,'Mapped Opponent'!$G$4:$H$22,2,0)</f>
        <v>15</v>
      </c>
      <c r="P2334" s="6"/>
      <c r="Q2334" s="6" t="str">
        <f t="shared" si="4"/>
        <v>Week 15</v>
      </c>
      <c r="R2334" s="6" t="str">
        <f t="shared" si="5"/>
        <v>2023Round 1</v>
      </c>
      <c r="S2334" s="6">
        <f>IFERROR(__xludf.DUMMYFUNCTION("rank(J2334,FILTER(J:J,R:R=R2334))"),5.0)</f>
        <v>5</v>
      </c>
      <c r="T2334" s="6">
        <f t="shared" si="6"/>
        <v>7</v>
      </c>
      <c r="U2334" s="6">
        <f t="shared" si="7"/>
        <v>5</v>
      </c>
      <c r="V2334" s="42">
        <f>averageif(AllData!A:A,B2334,AllData!R:R)/vlookup(B2334,AllData!A:O,15,0)</f>
        <v>93.35904762</v>
      </c>
      <c r="W2334" s="6"/>
    </row>
    <row r="2335" ht="14.25" customHeight="1">
      <c r="A2335" s="6" t="str">
        <f t="shared" si="28"/>
        <v>2023Rooney/Jackson15</v>
      </c>
      <c r="B2335" s="59">
        <v>2023.0</v>
      </c>
      <c r="C2335" s="13" t="s">
        <v>57</v>
      </c>
      <c r="D2335" s="13" t="s">
        <v>112</v>
      </c>
      <c r="E2335" s="34"/>
      <c r="F2335" s="6"/>
      <c r="H2335" s="6"/>
      <c r="I2335" s="35" t="str">
        <f>IFERROR(IFERROR(IFERROR(VLOOKUP(B2335&amp;C2335&amp;Q2335,'New Weekly Paste'!A:M,10,0),VLOOKUP(B2335&amp;C2335&amp;Q2335,'New Weekly Paste'!B:O,6,0)),""),"")</f>
        <v>Ewert</v>
      </c>
      <c r="J2335" s="259">
        <f>IFERROR(IFERROR(VLOOKUP(B2335&amp;C2335&amp;Q2335,'New Weekly Paste'!A:M,8,0),VLOOKUP(B2335&amp;C2335&amp;Q2335,'New Weekly Paste'!B:O,10,0)),0)</f>
        <v>73.04</v>
      </c>
      <c r="K2335" s="259">
        <f>IFERROR(IFERROR(VLOOKUP(B2335&amp;I2335&amp;Q2335,'New Weekly Paste'!A:M,8,0),VLOOKUP(B2335&amp;I2335&amp;Q2335,'New Weekly Paste'!B:O,10,0)),0)</f>
        <v>94.26</v>
      </c>
      <c r="L2335" s="239">
        <f t="shared" si="25"/>
        <v>0</v>
      </c>
      <c r="M2335" s="36" t="str">
        <f t="shared" si="3"/>
        <v>Playoffs</v>
      </c>
      <c r="N2335" s="239" t="str">
        <f t="shared" si="26"/>
        <v>Ewert</v>
      </c>
      <c r="O2335" s="6">
        <f>VLOOKUP(D2335,'Mapped Opponent'!$G$4:$H$22,2,0)</f>
        <v>15</v>
      </c>
      <c r="P2335" s="6"/>
      <c r="Q2335" s="6" t="str">
        <f t="shared" si="4"/>
        <v>Week 15</v>
      </c>
      <c r="R2335" s="6" t="str">
        <f t="shared" si="5"/>
        <v>2023Round 1</v>
      </c>
      <c r="S2335" s="6">
        <f>IFERROR(__xludf.DUMMYFUNCTION("rank(J2335,FILTER(J:J,R:R=R2335))"),8.0)</f>
        <v>8</v>
      </c>
      <c r="T2335" s="6">
        <f t="shared" si="6"/>
        <v>4</v>
      </c>
      <c r="U2335" s="6">
        <f t="shared" si="7"/>
        <v>8</v>
      </c>
      <c r="V2335" s="42">
        <f>averageif(AllData!A:A,B2335,AllData!R:R)/vlookup(B2335,AllData!A:O,15,0)</f>
        <v>93.35904762</v>
      </c>
      <c r="W2335" s="6"/>
    </row>
    <row r="2336" ht="14.25" customHeight="1">
      <c r="A2336" s="6" t="str">
        <f t="shared" si="28"/>
        <v>2023Buser15</v>
      </c>
      <c r="B2336" s="59">
        <v>2023.0</v>
      </c>
      <c r="C2336" s="13" t="s">
        <v>47</v>
      </c>
      <c r="D2336" s="13" t="s">
        <v>112</v>
      </c>
      <c r="E2336" s="34"/>
      <c r="F2336" s="6"/>
      <c r="H2336" s="6"/>
      <c r="I2336" s="35" t="str">
        <f>IFERROR(IFERROR(IFERROR(VLOOKUP(B2336&amp;C2336&amp;Q2336,'New Weekly Paste'!A:M,10,0),VLOOKUP(B2336&amp;C2336&amp;Q2336,'New Weekly Paste'!B:O,6,0)),""),"")</f>
        <v>Shep</v>
      </c>
      <c r="J2336" s="259">
        <f>IFERROR(IFERROR(VLOOKUP(B2336&amp;C2336&amp;Q2336,'New Weekly Paste'!A:M,8,0),VLOOKUP(B2336&amp;C2336&amp;Q2336,'New Weekly Paste'!B:O,10,0)),0)</f>
        <v>110.46</v>
      </c>
      <c r="K2336" s="259">
        <f>IFERROR(IFERROR(VLOOKUP(B2336&amp;I2336&amp;Q2336,'New Weekly Paste'!A:M,8,0),VLOOKUP(B2336&amp;I2336&amp;Q2336,'New Weekly Paste'!B:O,10,0)),0)</f>
        <v>71.44</v>
      </c>
      <c r="L2336" s="239">
        <f t="shared" si="25"/>
        <v>1</v>
      </c>
      <c r="M2336" s="36" t="str">
        <f t="shared" si="3"/>
        <v>Playoffs</v>
      </c>
      <c r="N2336" s="239" t="str">
        <f t="shared" si="26"/>
        <v>Shep</v>
      </c>
      <c r="O2336" s="6">
        <f>VLOOKUP(D2336,'Mapped Opponent'!$G$4:$H$22,2,0)</f>
        <v>15</v>
      </c>
      <c r="P2336" s="6"/>
      <c r="Q2336" s="6" t="str">
        <f t="shared" si="4"/>
        <v>Week 15</v>
      </c>
      <c r="R2336" s="6" t="str">
        <f t="shared" si="5"/>
        <v>2023Round 1</v>
      </c>
      <c r="S2336" s="6">
        <f>IFERROR(__xludf.DUMMYFUNCTION("rank(J2336,FILTER(J:J,R:R=R2336))"),2.0)</f>
        <v>2</v>
      </c>
      <c r="T2336" s="6">
        <f t="shared" si="6"/>
        <v>10</v>
      </c>
      <c r="U2336" s="6">
        <f t="shared" si="7"/>
        <v>2</v>
      </c>
      <c r="V2336" s="42">
        <f>averageif(AllData!A:A,B2336,AllData!R:R)/vlookup(B2336,AllData!A:O,15,0)</f>
        <v>93.35904762</v>
      </c>
      <c r="W2336" s="6"/>
    </row>
    <row r="2337" ht="14.25" customHeight="1">
      <c r="A2337" s="6" t="str">
        <f t="shared" si="28"/>
        <v>2023Pierson15</v>
      </c>
      <c r="B2337" s="59">
        <v>2023.0</v>
      </c>
      <c r="C2337" s="13" t="s">
        <v>92</v>
      </c>
      <c r="D2337" s="13" t="s">
        <v>112</v>
      </c>
      <c r="E2337" s="34"/>
      <c r="F2337" s="6"/>
      <c r="H2337" s="6"/>
      <c r="I2337" s="35" t="str">
        <f>IFERROR(IFERROR(IFERROR(VLOOKUP(B2337&amp;C2337&amp;Q2337,'New Weekly Paste'!A:M,10,0),VLOOKUP(B2337&amp;C2337&amp;Q2337,'New Weekly Paste'!B:O,6,0)),""),"")</f>
        <v>Tayski</v>
      </c>
      <c r="J2337" s="259">
        <f>IFERROR(IFERROR(VLOOKUP(B2337&amp;C2337&amp;Q2337,'New Weekly Paste'!A:M,8,0),VLOOKUP(B2337&amp;C2337&amp;Q2337,'New Weekly Paste'!B:O,10,0)),0)</f>
        <v>104.32</v>
      </c>
      <c r="K2337" s="259">
        <f>IFERROR(IFERROR(VLOOKUP(B2337&amp;I2337&amp;Q2337,'New Weekly Paste'!A:M,8,0),VLOOKUP(B2337&amp;I2337&amp;Q2337,'New Weekly Paste'!B:O,10,0)),0)</f>
        <v>137.82</v>
      </c>
      <c r="L2337" s="239">
        <f t="shared" si="25"/>
        <v>0</v>
      </c>
      <c r="M2337" s="36" t="str">
        <f t="shared" si="3"/>
        <v>Playoffs</v>
      </c>
      <c r="N2337" s="239" t="str">
        <f t="shared" si="26"/>
        <v>Tayski</v>
      </c>
      <c r="O2337" s="6">
        <f>VLOOKUP(D2337,'Mapped Opponent'!$G$4:$H$22,2,0)</f>
        <v>15</v>
      </c>
      <c r="P2337" s="6"/>
      <c r="Q2337" s="6" t="str">
        <f t="shared" si="4"/>
        <v>Week 15</v>
      </c>
      <c r="R2337" s="6" t="str">
        <f t="shared" si="5"/>
        <v>2023Round 1</v>
      </c>
      <c r="S2337" s="6">
        <f>IFERROR(__xludf.DUMMYFUNCTION("rank(J2337,FILTER(J:J,R:R=R2337))"),4.0)</f>
        <v>4</v>
      </c>
      <c r="T2337" s="6">
        <f t="shared" si="6"/>
        <v>8</v>
      </c>
      <c r="U2337" s="6">
        <f t="shared" si="7"/>
        <v>4</v>
      </c>
      <c r="V2337" s="42">
        <f>averageif(AllData!A:A,B2337,AllData!R:R)/vlookup(B2337,AllData!A:O,15,0)</f>
        <v>93.35904762</v>
      </c>
      <c r="W2337" s="6"/>
    </row>
    <row r="2338" ht="14.25" customHeight="1">
      <c r="A2338" s="6" t="str">
        <f t="shared" si="28"/>
        <v>2023Cock15</v>
      </c>
      <c r="B2338" s="59">
        <v>2023.0</v>
      </c>
      <c r="C2338" s="13" t="s">
        <v>72</v>
      </c>
      <c r="D2338" s="13" t="s">
        <v>112</v>
      </c>
      <c r="E2338" s="34"/>
      <c r="F2338" s="6"/>
      <c r="H2338" s="6"/>
      <c r="I2338" s="35" t="str">
        <f>IFERROR(IFERROR(IFERROR(VLOOKUP(B2338&amp;C2338&amp;Q2338,'New Weekly Paste'!A:M,10,0),VLOOKUP(B2338&amp;C2338&amp;Q2338,'New Weekly Paste'!B:O,6,0)),""),"")</f>
        <v>KnardDawg</v>
      </c>
      <c r="J2338" s="259">
        <f>IFERROR(IFERROR(VLOOKUP(B2338&amp;C2338&amp;Q2338,'New Weekly Paste'!A:M,8,0),VLOOKUP(B2338&amp;C2338&amp;Q2338,'New Weekly Paste'!B:O,10,0)),0)</f>
        <v>77.3</v>
      </c>
      <c r="K2338" s="259">
        <f>IFERROR(IFERROR(VLOOKUP(B2338&amp;I2338&amp;Q2338,'New Weekly Paste'!A:M,8,0),VLOOKUP(B2338&amp;I2338&amp;Q2338,'New Weekly Paste'!B:O,10,0)),0)</f>
        <v>66.98</v>
      </c>
      <c r="L2338" s="239">
        <f t="shared" si="25"/>
        <v>1</v>
      </c>
      <c r="M2338" s="36" t="str">
        <f t="shared" si="3"/>
        <v>Playoffs</v>
      </c>
      <c r="N2338" s="239" t="str">
        <f t="shared" si="26"/>
        <v>KnardDawg</v>
      </c>
      <c r="O2338" s="6">
        <f>VLOOKUP(D2338,'Mapped Opponent'!$G$4:$H$22,2,0)</f>
        <v>15</v>
      </c>
      <c r="P2338" s="6"/>
      <c r="Q2338" s="6" t="str">
        <f t="shared" si="4"/>
        <v>Week 15</v>
      </c>
      <c r="R2338" s="6" t="str">
        <f t="shared" si="5"/>
        <v>2023Round 1</v>
      </c>
      <c r="S2338" s="6">
        <f>IFERROR(__xludf.DUMMYFUNCTION("rank(J2338,FILTER(J:J,R:R=R2338))"),7.0)</f>
        <v>7</v>
      </c>
      <c r="T2338" s="6">
        <f t="shared" si="6"/>
        <v>5</v>
      </c>
      <c r="U2338" s="6">
        <f t="shared" si="7"/>
        <v>7</v>
      </c>
      <c r="V2338" s="42">
        <f>averageif(AllData!A:A,B2338,AllData!R:R)/vlookup(B2338,AllData!A:O,15,0)</f>
        <v>93.35904762</v>
      </c>
      <c r="W2338" s="6"/>
    </row>
    <row r="2339" ht="14.25" customHeight="1">
      <c r="A2339" s="6" t="str">
        <f t="shared" si="28"/>
        <v>2023Tayski15</v>
      </c>
      <c r="B2339" s="59">
        <v>2023.0</v>
      </c>
      <c r="C2339" s="13" t="s">
        <v>52</v>
      </c>
      <c r="D2339" s="13" t="s">
        <v>112</v>
      </c>
      <c r="E2339" s="34"/>
      <c r="F2339" s="6"/>
      <c r="H2339" s="6"/>
      <c r="I2339" s="35" t="str">
        <f>IFERROR(IFERROR(IFERROR(VLOOKUP(B2339&amp;C2339&amp;Q2339,'New Weekly Paste'!A:M,10,0),VLOOKUP(B2339&amp;C2339&amp;Q2339,'New Weekly Paste'!B:O,6,0)),""),"")</f>
        <v>Pierson</v>
      </c>
      <c r="J2339" s="259">
        <f>IFERROR(IFERROR(VLOOKUP(B2339&amp;C2339&amp;Q2339,'New Weekly Paste'!A:M,8,0),VLOOKUP(B2339&amp;C2339&amp;Q2339,'New Weekly Paste'!B:O,10,0)),0)</f>
        <v>137.82</v>
      </c>
      <c r="K2339" s="259">
        <f>IFERROR(IFERROR(VLOOKUP(B2339&amp;I2339&amp;Q2339,'New Weekly Paste'!A:M,8,0),VLOOKUP(B2339&amp;I2339&amp;Q2339,'New Weekly Paste'!B:O,10,0)),0)</f>
        <v>104.32</v>
      </c>
      <c r="L2339" s="239">
        <f t="shared" si="25"/>
        <v>1</v>
      </c>
      <c r="M2339" s="36" t="str">
        <f t="shared" si="3"/>
        <v>Playoffs</v>
      </c>
      <c r="N2339" s="239" t="str">
        <f t="shared" si="26"/>
        <v>Pierson</v>
      </c>
      <c r="O2339" s="6">
        <f>VLOOKUP(D2339,'Mapped Opponent'!$G$4:$H$22,2,0)</f>
        <v>15</v>
      </c>
      <c r="P2339" s="6"/>
      <c r="Q2339" s="6" t="str">
        <f t="shared" si="4"/>
        <v>Week 15</v>
      </c>
      <c r="R2339" s="6" t="str">
        <f t="shared" si="5"/>
        <v>2023Round 1</v>
      </c>
      <c r="S2339" s="6">
        <f>IFERROR(__xludf.DUMMYFUNCTION("rank(J2339,FILTER(J:J,R:R=R2339))"),1.0)</f>
        <v>1</v>
      </c>
      <c r="T2339" s="6">
        <f t="shared" si="6"/>
        <v>11</v>
      </c>
      <c r="U2339" s="6">
        <f t="shared" si="7"/>
        <v>1</v>
      </c>
      <c r="V2339" s="42">
        <f>averageif(AllData!A:A,B2339,AllData!R:R)/vlookup(B2339,AllData!A:O,15,0)</f>
        <v>93.35904762</v>
      </c>
      <c r="W2339" s="6"/>
    </row>
    <row r="2340" ht="14.25" customHeight="1">
      <c r="A2340" s="6" t="str">
        <f t="shared" si="28"/>
        <v>2023KnardDawg15</v>
      </c>
      <c r="B2340" s="59">
        <v>2023.0</v>
      </c>
      <c r="C2340" s="13" t="s">
        <v>86</v>
      </c>
      <c r="D2340" s="13" t="s">
        <v>112</v>
      </c>
      <c r="E2340" s="34"/>
      <c r="F2340" s="6"/>
      <c r="H2340" s="6"/>
      <c r="I2340" s="35" t="str">
        <f>IFERROR(IFERROR(IFERROR(VLOOKUP(B2340&amp;C2340&amp;Q2340,'New Weekly Paste'!A:M,10,0),VLOOKUP(B2340&amp;C2340&amp;Q2340,'New Weekly Paste'!B:O,6,0)),""),"")</f>
        <v>Cock</v>
      </c>
      <c r="J2340" s="259">
        <f>IFERROR(IFERROR(VLOOKUP(B2340&amp;C2340&amp;Q2340,'New Weekly Paste'!A:M,8,0),VLOOKUP(B2340&amp;C2340&amp;Q2340,'New Weekly Paste'!B:O,10,0)),0)</f>
        <v>66.98</v>
      </c>
      <c r="K2340" s="259">
        <f>IFERROR(IFERROR(VLOOKUP(B2340&amp;I2340&amp;Q2340,'New Weekly Paste'!A:M,8,0),VLOOKUP(B2340&amp;I2340&amp;Q2340,'New Weekly Paste'!B:O,10,0)),0)</f>
        <v>77.3</v>
      </c>
      <c r="L2340" s="239">
        <f t="shared" si="25"/>
        <v>0</v>
      </c>
      <c r="M2340" s="36" t="str">
        <f t="shared" si="3"/>
        <v>Playoffs</v>
      </c>
      <c r="N2340" s="239" t="str">
        <f t="shared" si="26"/>
        <v>Cock</v>
      </c>
      <c r="O2340" s="6">
        <f>VLOOKUP(D2340,'Mapped Opponent'!$G$4:$H$22,2,0)</f>
        <v>15</v>
      </c>
      <c r="P2340" s="6"/>
      <c r="Q2340" s="6" t="str">
        <f t="shared" si="4"/>
        <v>Week 15</v>
      </c>
      <c r="R2340" s="6" t="str">
        <f t="shared" si="5"/>
        <v>2023Round 1</v>
      </c>
      <c r="S2340" s="6">
        <f>IFERROR(__xludf.DUMMYFUNCTION("rank(J2340,FILTER(J:J,R:R=R2340))"),10.0)</f>
        <v>10</v>
      </c>
      <c r="T2340" s="6">
        <f t="shared" si="6"/>
        <v>2</v>
      </c>
      <c r="U2340" s="6">
        <f t="shared" si="7"/>
        <v>10</v>
      </c>
      <c r="V2340" s="42">
        <f>averageif(AllData!A:A,B2340,AllData!R:R)/vlookup(B2340,AllData!A:O,15,0)</f>
        <v>93.35904762</v>
      </c>
      <c r="W2340" s="6"/>
    </row>
    <row r="2341" ht="14.25" customHeight="1">
      <c r="A2341" s="6" t="str">
        <f t="shared" si="28"/>
        <v>2023T-How15</v>
      </c>
      <c r="B2341" s="59">
        <v>2023.0</v>
      </c>
      <c r="C2341" s="13" t="s">
        <v>82</v>
      </c>
      <c r="D2341" s="13" t="s">
        <v>112</v>
      </c>
      <c r="E2341" s="34"/>
      <c r="F2341" s="6"/>
      <c r="H2341" s="6"/>
      <c r="I2341" s="35" t="str">
        <f>IFERROR(IFERROR(IFERROR(VLOOKUP(B2341&amp;C2341&amp;Q2341,'New Weekly Paste'!A:M,10,0),VLOOKUP(B2341&amp;C2341&amp;Q2341,'New Weekly Paste'!B:O,6,0)),""),"")</f>
        <v>Riley</v>
      </c>
      <c r="J2341" s="259">
        <f>IFERROR(IFERROR(VLOOKUP(B2341&amp;C2341&amp;Q2341,'New Weekly Paste'!A:M,8,0),VLOOKUP(B2341&amp;C2341&amp;Q2341,'New Weekly Paste'!B:O,10,0)),0)</f>
        <v>107.02</v>
      </c>
      <c r="K2341" s="259">
        <f>IFERROR(IFERROR(VLOOKUP(B2341&amp;I2341&amp;Q2341,'New Weekly Paste'!A:M,8,0),VLOOKUP(B2341&amp;I2341&amp;Q2341,'New Weekly Paste'!B:O,10,0)),0)</f>
        <v>99.96</v>
      </c>
      <c r="L2341" s="239">
        <f t="shared" si="25"/>
        <v>1</v>
      </c>
      <c r="M2341" s="36" t="str">
        <f t="shared" si="3"/>
        <v>Playoffs</v>
      </c>
      <c r="N2341" s="239" t="str">
        <f t="shared" si="26"/>
        <v>Riley</v>
      </c>
      <c r="O2341" s="6">
        <f>VLOOKUP(D2341,'Mapped Opponent'!$G$4:$H$22,2,0)</f>
        <v>15</v>
      </c>
      <c r="P2341" s="6"/>
      <c r="Q2341" s="6" t="str">
        <f t="shared" si="4"/>
        <v>Week 15</v>
      </c>
      <c r="R2341" s="6" t="str">
        <f t="shared" si="5"/>
        <v>2023Round 1</v>
      </c>
      <c r="S2341" s="6">
        <f>IFERROR(__xludf.DUMMYFUNCTION("rank(J2341,FILTER(J:J,R:R=R2341))"),3.0)</f>
        <v>3</v>
      </c>
      <c r="T2341" s="6">
        <f t="shared" si="6"/>
        <v>9</v>
      </c>
      <c r="U2341" s="6">
        <f t="shared" si="7"/>
        <v>3</v>
      </c>
      <c r="V2341" s="42">
        <f>averageif(AllData!A:A,B2341,AllData!R:R)/vlookup(B2341,AllData!A:O,15,0)</f>
        <v>93.35904762</v>
      </c>
      <c r="W2341" s="6"/>
    </row>
    <row r="2342" ht="14.25" customHeight="1">
      <c r="A2342" s="6" t="str">
        <f t="shared" si="28"/>
        <v>2023Hudspeath16</v>
      </c>
      <c r="B2342" s="59">
        <v>2023.0</v>
      </c>
      <c r="C2342" s="13" t="s">
        <v>39</v>
      </c>
      <c r="D2342" s="13" t="s">
        <v>153</v>
      </c>
      <c r="E2342" s="34"/>
      <c r="F2342" s="6"/>
      <c r="H2342" s="6"/>
      <c r="I2342" s="35" t="str">
        <f>IFERROR(IFERROR(IFERROR(VLOOKUP(B2342&amp;C2342&amp;Q2342,'New Weekly Paste'!A:M,10,0),VLOOKUP(B2342&amp;C2342&amp;Q2342,'New Weekly Paste'!B:O,6,0)),""),"")</f>
        <v>Tayski</v>
      </c>
      <c r="J2342" s="259">
        <f>IFERROR(IFERROR(VLOOKUP(B2342&amp;C2342&amp;Q2342,'New Weekly Paste'!A:M,8,0),VLOOKUP(B2342&amp;C2342&amp;Q2342,'New Weekly Paste'!B:O,10,0)),0)</f>
        <v>85.92</v>
      </c>
      <c r="K2342" s="259">
        <f>IFERROR(IFERROR(VLOOKUP(B2342&amp;I2342&amp;Q2342,'New Weekly Paste'!A:M,8,0),VLOOKUP(B2342&amp;I2342&amp;Q2342,'New Weekly Paste'!B:O,10,0)),0)</f>
        <v>90.62</v>
      </c>
      <c r="L2342" s="239">
        <f t="shared" si="25"/>
        <v>0</v>
      </c>
      <c r="M2342" s="36" t="str">
        <f t="shared" si="3"/>
        <v>Playoffs</v>
      </c>
      <c r="N2342" s="239" t="str">
        <f t="shared" si="26"/>
        <v>Tayski</v>
      </c>
      <c r="O2342" s="6">
        <f>VLOOKUP(D2342,'Mapped Opponent'!$G$4:$H$22,2,0)</f>
        <v>16</v>
      </c>
      <c r="P2342" s="6"/>
      <c r="Q2342" s="6" t="str">
        <f t="shared" si="4"/>
        <v>Week 16</v>
      </c>
      <c r="R2342" s="6" t="str">
        <f t="shared" si="5"/>
        <v>2023Round 2</v>
      </c>
      <c r="S2342" s="6">
        <f>IFERROR(__xludf.DUMMYFUNCTION("rank(J2342,FILTER(J:J,R:R=R2342))"),7.0)</f>
        <v>7</v>
      </c>
      <c r="T2342" s="6">
        <f t="shared" si="6"/>
        <v>5</v>
      </c>
      <c r="U2342" s="6">
        <f t="shared" si="7"/>
        <v>7</v>
      </c>
      <c r="V2342" s="42">
        <f>averageif(AllData!A:A,B2342,AllData!R:R)/vlookup(B2342,AllData!A:O,15,0)</f>
        <v>93.35904762</v>
      </c>
      <c r="W2342" s="6"/>
    </row>
    <row r="2343" ht="14.25" customHeight="1">
      <c r="A2343" s="6" t="str">
        <f t="shared" si="28"/>
        <v>2023Salty16</v>
      </c>
      <c r="B2343" s="59">
        <v>2023.0</v>
      </c>
      <c r="C2343" s="13" t="s">
        <v>76</v>
      </c>
      <c r="D2343" s="13" t="s">
        <v>153</v>
      </c>
      <c r="E2343" s="34"/>
      <c r="F2343" s="6"/>
      <c r="H2343" s="6"/>
      <c r="I2343" s="35" t="str">
        <f>IFERROR(IFERROR(IFERROR(VLOOKUP(B2343&amp;C2343&amp;Q2343,'New Weekly Paste'!A:M,10,0),VLOOKUP(B2343&amp;C2343&amp;Q2343,'New Weekly Paste'!B:O,6,0)),""),"")</f>
        <v>T-How</v>
      </c>
      <c r="J2343" s="259">
        <f>IFERROR(IFERROR(VLOOKUP(B2343&amp;C2343&amp;Q2343,'New Weekly Paste'!A:M,8,0),VLOOKUP(B2343&amp;C2343&amp;Q2343,'New Weekly Paste'!B:O,10,0)),0)</f>
        <v>79.08</v>
      </c>
      <c r="K2343" s="259">
        <f>IFERROR(IFERROR(VLOOKUP(B2343&amp;I2343&amp;Q2343,'New Weekly Paste'!A:M,8,0),VLOOKUP(B2343&amp;I2343&amp;Q2343,'New Weekly Paste'!B:O,10,0)),0)</f>
        <v>94.28</v>
      </c>
      <c r="L2343" s="239">
        <f t="shared" si="25"/>
        <v>0</v>
      </c>
      <c r="M2343" s="36" t="str">
        <f t="shared" si="3"/>
        <v>Playoffs</v>
      </c>
      <c r="N2343" s="239" t="str">
        <f t="shared" si="26"/>
        <v>T-How</v>
      </c>
      <c r="O2343" s="6">
        <f>VLOOKUP(D2343,'Mapped Opponent'!$G$4:$H$22,2,0)</f>
        <v>16</v>
      </c>
      <c r="P2343" s="6"/>
      <c r="Q2343" s="6" t="str">
        <f t="shared" si="4"/>
        <v>Week 16</v>
      </c>
      <c r="R2343" s="6" t="str">
        <f t="shared" si="5"/>
        <v>2023Round 2</v>
      </c>
      <c r="S2343" s="6">
        <f>IFERROR(__xludf.DUMMYFUNCTION("rank(J2343,FILTER(J:J,R:R=R2343))"),8.0)</f>
        <v>8</v>
      </c>
      <c r="T2343" s="6">
        <f t="shared" si="6"/>
        <v>4</v>
      </c>
      <c r="U2343" s="6">
        <f t="shared" si="7"/>
        <v>8</v>
      </c>
      <c r="V2343" s="42">
        <f>averageif(AllData!A:A,B2343,AllData!R:R)/vlookup(B2343,AllData!A:O,15,0)</f>
        <v>93.35904762</v>
      </c>
      <c r="W2343" s="6"/>
    </row>
    <row r="2344" ht="14.25" customHeight="1">
      <c r="A2344" s="6" t="str">
        <f t="shared" si="28"/>
        <v>2023Ewert16</v>
      </c>
      <c r="B2344" s="59">
        <v>2023.0</v>
      </c>
      <c r="C2344" s="13" t="s">
        <v>108</v>
      </c>
      <c r="D2344" s="13" t="s">
        <v>153</v>
      </c>
      <c r="E2344" s="34"/>
      <c r="F2344" s="6"/>
      <c r="H2344" s="6"/>
      <c r="I2344" s="35" t="str">
        <f>IFERROR(IFERROR(IFERROR(VLOOKUP(B2344&amp;C2344&amp;Q2344,'New Weekly Paste'!A:M,10,0),VLOOKUP(B2344&amp;C2344&amp;Q2344,'New Weekly Paste'!B:O,6,0)),""),"")</f>
        <v>Buser</v>
      </c>
      <c r="J2344" s="259">
        <f>IFERROR(IFERROR(VLOOKUP(B2344&amp;C2344&amp;Q2344,'New Weekly Paste'!A:M,8,0),VLOOKUP(B2344&amp;C2344&amp;Q2344,'New Weekly Paste'!B:O,10,0)),0)</f>
        <v>113.64</v>
      </c>
      <c r="K2344" s="259">
        <f>IFERROR(IFERROR(VLOOKUP(B2344&amp;I2344&amp;Q2344,'New Weekly Paste'!A:M,8,0),VLOOKUP(B2344&amp;I2344&amp;Q2344,'New Weekly Paste'!B:O,10,0)),0)</f>
        <v>106.36</v>
      </c>
      <c r="L2344" s="239">
        <f t="shared" si="25"/>
        <v>1</v>
      </c>
      <c r="M2344" s="36" t="str">
        <f t="shared" si="3"/>
        <v>Playoffs</v>
      </c>
      <c r="N2344" s="239" t="str">
        <f t="shared" si="26"/>
        <v>Buser</v>
      </c>
      <c r="O2344" s="6">
        <f>VLOOKUP(D2344,'Mapped Opponent'!$G$4:$H$22,2,0)</f>
        <v>16</v>
      </c>
      <c r="P2344" s="6"/>
      <c r="Q2344" s="6" t="str">
        <f t="shared" si="4"/>
        <v>Week 16</v>
      </c>
      <c r="R2344" s="6" t="str">
        <f t="shared" si="5"/>
        <v>2023Round 2</v>
      </c>
      <c r="S2344" s="6">
        <f>IFERROR(__xludf.DUMMYFUNCTION("rank(J2344,FILTER(J:J,R:R=R2344))"),3.0)</f>
        <v>3</v>
      </c>
      <c r="T2344" s="6">
        <f t="shared" si="6"/>
        <v>9</v>
      </c>
      <c r="U2344" s="6">
        <f t="shared" si="7"/>
        <v>3</v>
      </c>
      <c r="V2344" s="42">
        <f>averageif(AllData!A:A,B2344,AllData!R:R)/vlookup(B2344,AllData!A:O,15,0)</f>
        <v>93.35904762</v>
      </c>
      <c r="W2344" s="6"/>
    </row>
    <row r="2345" ht="14.25" customHeight="1">
      <c r="A2345" s="6" t="str">
        <f t="shared" si="28"/>
        <v>2023Shep16</v>
      </c>
      <c r="B2345" s="59">
        <v>2023.0</v>
      </c>
      <c r="C2345" s="13" t="s">
        <v>89</v>
      </c>
      <c r="D2345" s="13" t="s">
        <v>153</v>
      </c>
      <c r="E2345" s="34"/>
      <c r="F2345" s="6"/>
      <c r="H2345" s="6"/>
      <c r="I2345" s="35" t="str">
        <f>IFERROR(IFERROR(IFERROR(VLOOKUP(B2345&amp;C2345&amp;Q2345,'New Weekly Paste'!A:M,10,0),VLOOKUP(B2345&amp;C2345&amp;Q2345,'New Weekly Paste'!B:O,6,0)),""),"")</f>
        <v>Cock</v>
      </c>
      <c r="J2345" s="259">
        <f>IFERROR(IFERROR(VLOOKUP(B2345&amp;C2345&amp;Q2345,'New Weekly Paste'!A:M,8,0),VLOOKUP(B2345&amp;C2345&amp;Q2345,'New Weekly Paste'!B:O,10,0)),0)</f>
        <v>122.8</v>
      </c>
      <c r="K2345" s="259">
        <f>IFERROR(IFERROR(VLOOKUP(B2345&amp;I2345&amp;Q2345,'New Weekly Paste'!A:M,8,0),VLOOKUP(B2345&amp;I2345&amp;Q2345,'New Weekly Paste'!B:O,10,0)),0)</f>
        <v>67.3</v>
      </c>
      <c r="L2345" s="239">
        <f t="shared" si="25"/>
        <v>1</v>
      </c>
      <c r="M2345" s="36" t="str">
        <f t="shared" si="3"/>
        <v>Playoffs</v>
      </c>
      <c r="N2345" s="239" t="str">
        <f t="shared" si="26"/>
        <v>Cock</v>
      </c>
      <c r="O2345" s="6">
        <f>VLOOKUP(D2345,'Mapped Opponent'!$G$4:$H$22,2,0)</f>
        <v>16</v>
      </c>
      <c r="P2345" s="6"/>
      <c r="Q2345" s="6" t="str">
        <f t="shared" si="4"/>
        <v>Week 16</v>
      </c>
      <c r="R2345" s="6" t="str">
        <f t="shared" si="5"/>
        <v>2023Round 2</v>
      </c>
      <c r="S2345" s="6">
        <f>IFERROR(__xludf.DUMMYFUNCTION("rank(J2345,FILTER(J:J,R:R=R2345))"),1.0)</f>
        <v>1</v>
      </c>
      <c r="T2345" s="6">
        <f t="shared" si="6"/>
        <v>11</v>
      </c>
      <c r="U2345" s="6">
        <f t="shared" si="7"/>
        <v>1</v>
      </c>
      <c r="V2345" s="42">
        <f>averageif(AllData!A:A,B2345,AllData!R:R)/vlookup(B2345,AllData!A:O,15,0)</f>
        <v>93.35904762</v>
      </c>
      <c r="W2345" s="6"/>
    </row>
    <row r="2346" ht="14.25" customHeight="1">
      <c r="A2346" s="6" t="str">
        <f t="shared" si="28"/>
        <v>2023Riley16</v>
      </c>
      <c r="B2346" s="59">
        <v>2023.0</v>
      </c>
      <c r="C2346" s="13" t="s">
        <v>67</v>
      </c>
      <c r="D2346" s="13" t="s">
        <v>153</v>
      </c>
      <c r="E2346" s="34"/>
      <c r="F2346" s="6"/>
      <c r="H2346" s="6"/>
      <c r="I2346" s="35" t="str">
        <f>IFERROR(IFERROR(IFERROR(VLOOKUP(B2346&amp;C2346&amp;Q2346,'New Weekly Paste'!A:M,10,0),VLOOKUP(B2346&amp;C2346&amp;Q2346,'New Weekly Paste'!B:O,6,0)),""),"")</f>
        <v>Pierson</v>
      </c>
      <c r="J2346" s="259">
        <f>IFERROR(IFERROR(VLOOKUP(B2346&amp;C2346&amp;Q2346,'New Weekly Paste'!A:M,8,0),VLOOKUP(B2346&amp;C2346&amp;Q2346,'New Weekly Paste'!B:O,10,0)),0)</f>
        <v>63.92</v>
      </c>
      <c r="K2346" s="259">
        <f>IFERROR(IFERROR(VLOOKUP(B2346&amp;I2346&amp;Q2346,'New Weekly Paste'!A:M,8,0),VLOOKUP(B2346&amp;I2346&amp;Q2346,'New Weekly Paste'!B:O,10,0)),0)</f>
        <v>75.52</v>
      </c>
      <c r="L2346" s="239">
        <f t="shared" si="25"/>
        <v>0</v>
      </c>
      <c r="M2346" s="36" t="str">
        <f t="shared" si="3"/>
        <v>Playoffs</v>
      </c>
      <c r="N2346" s="239" t="str">
        <f t="shared" si="26"/>
        <v>Pierson</v>
      </c>
      <c r="O2346" s="6">
        <f>VLOOKUP(D2346,'Mapped Opponent'!$G$4:$H$22,2,0)</f>
        <v>16</v>
      </c>
      <c r="P2346" s="6"/>
      <c r="Q2346" s="6" t="str">
        <f t="shared" si="4"/>
        <v>Week 16</v>
      </c>
      <c r="R2346" s="6" t="str">
        <f t="shared" si="5"/>
        <v>2023Round 2</v>
      </c>
      <c r="S2346" s="6">
        <f>IFERROR(__xludf.DUMMYFUNCTION("rank(J2346,FILTER(J:J,R:R=R2346))"),12.0)</f>
        <v>12</v>
      </c>
      <c r="T2346" s="6">
        <f t="shared" si="6"/>
        <v>0</v>
      </c>
      <c r="U2346" s="6">
        <f t="shared" si="7"/>
        <v>12</v>
      </c>
      <c r="V2346" s="42">
        <f>averageif(AllData!A:A,B2346,AllData!R:R)/vlookup(B2346,AllData!A:O,15,0)</f>
        <v>93.35904762</v>
      </c>
      <c r="W2346" s="6"/>
    </row>
    <row r="2347" ht="14.25" customHeight="1">
      <c r="A2347" s="6" t="str">
        <f t="shared" si="28"/>
        <v>2023Rooney/Jackson16</v>
      </c>
      <c r="B2347" s="59">
        <v>2023.0</v>
      </c>
      <c r="C2347" s="13" t="s">
        <v>57</v>
      </c>
      <c r="D2347" s="13" t="s">
        <v>153</v>
      </c>
      <c r="E2347" s="34"/>
      <c r="F2347" s="6"/>
      <c r="H2347" s="6"/>
      <c r="I2347" s="35" t="str">
        <f>IFERROR(IFERROR(IFERROR(VLOOKUP(B2347&amp;C2347&amp;Q2347,'New Weekly Paste'!A:M,10,0),VLOOKUP(B2347&amp;C2347&amp;Q2347,'New Weekly Paste'!B:O,6,0)),""),"")</f>
        <v>KnardDawg</v>
      </c>
      <c r="J2347" s="259">
        <f>IFERROR(IFERROR(VLOOKUP(B2347&amp;C2347&amp;Q2347,'New Weekly Paste'!A:M,8,0),VLOOKUP(B2347&amp;C2347&amp;Q2347,'New Weekly Paste'!B:O,10,0)),0)</f>
        <v>117.98</v>
      </c>
      <c r="K2347" s="259">
        <f>IFERROR(IFERROR(VLOOKUP(B2347&amp;I2347&amp;Q2347,'New Weekly Paste'!A:M,8,0),VLOOKUP(B2347&amp;I2347&amp;Q2347,'New Weekly Paste'!B:O,10,0)),0)</f>
        <v>66.5</v>
      </c>
      <c r="L2347" s="239">
        <f t="shared" si="25"/>
        <v>1</v>
      </c>
      <c r="M2347" s="36" t="str">
        <f t="shared" si="3"/>
        <v>Playoffs</v>
      </c>
      <c r="N2347" s="239" t="str">
        <f t="shared" si="26"/>
        <v>KnardDawg</v>
      </c>
      <c r="O2347" s="6">
        <f>VLOOKUP(D2347,'Mapped Opponent'!$G$4:$H$22,2,0)</f>
        <v>16</v>
      </c>
      <c r="P2347" s="6"/>
      <c r="Q2347" s="6" t="str">
        <f t="shared" si="4"/>
        <v>Week 16</v>
      </c>
      <c r="R2347" s="6" t="str">
        <f t="shared" si="5"/>
        <v>2023Round 2</v>
      </c>
      <c r="S2347" s="6">
        <f>IFERROR(__xludf.DUMMYFUNCTION("rank(J2347,FILTER(J:J,R:R=R2347))"),2.0)</f>
        <v>2</v>
      </c>
      <c r="T2347" s="6">
        <f t="shared" si="6"/>
        <v>10</v>
      </c>
      <c r="U2347" s="6">
        <f t="shared" si="7"/>
        <v>2</v>
      </c>
      <c r="V2347" s="42">
        <f>averageif(AllData!A:A,B2347,AllData!R:R)/vlookup(B2347,AllData!A:O,15,0)</f>
        <v>93.35904762</v>
      </c>
      <c r="W2347" s="6"/>
    </row>
    <row r="2348" ht="14.25" customHeight="1">
      <c r="A2348" s="6" t="str">
        <f t="shared" si="28"/>
        <v>2023Buser16</v>
      </c>
      <c r="B2348" s="59">
        <v>2023.0</v>
      </c>
      <c r="C2348" s="13" t="s">
        <v>47</v>
      </c>
      <c r="D2348" s="13" t="s">
        <v>153</v>
      </c>
      <c r="E2348" s="34"/>
      <c r="F2348" s="6"/>
      <c r="H2348" s="6"/>
      <c r="I2348" s="35" t="str">
        <f>IFERROR(IFERROR(IFERROR(VLOOKUP(B2348&amp;C2348&amp;Q2348,'New Weekly Paste'!A:M,10,0),VLOOKUP(B2348&amp;C2348&amp;Q2348,'New Weekly Paste'!B:O,6,0)),""),"")</f>
        <v>Ewert</v>
      </c>
      <c r="J2348" s="259">
        <f>IFERROR(IFERROR(VLOOKUP(B2348&amp;C2348&amp;Q2348,'New Weekly Paste'!A:M,8,0),VLOOKUP(B2348&amp;C2348&amp;Q2348,'New Weekly Paste'!B:O,10,0)),0)</f>
        <v>106.36</v>
      </c>
      <c r="K2348" s="259">
        <f>IFERROR(IFERROR(VLOOKUP(B2348&amp;I2348&amp;Q2348,'New Weekly Paste'!A:M,8,0),VLOOKUP(B2348&amp;I2348&amp;Q2348,'New Weekly Paste'!B:O,10,0)),0)</f>
        <v>113.64</v>
      </c>
      <c r="L2348" s="239">
        <f t="shared" si="25"/>
        <v>0</v>
      </c>
      <c r="M2348" s="36" t="str">
        <f t="shared" si="3"/>
        <v>Playoffs</v>
      </c>
      <c r="N2348" s="239" t="str">
        <f t="shared" si="26"/>
        <v>Ewert</v>
      </c>
      <c r="O2348" s="6">
        <f>VLOOKUP(D2348,'Mapped Opponent'!$G$4:$H$22,2,0)</f>
        <v>16</v>
      </c>
      <c r="P2348" s="6"/>
      <c r="Q2348" s="6" t="str">
        <f t="shared" si="4"/>
        <v>Week 16</v>
      </c>
      <c r="R2348" s="6" t="str">
        <f t="shared" si="5"/>
        <v>2023Round 2</v>
      </c>
      <c r="S2348" s="6">
        <f>IFERROR(__xludf.DUMMYFUNCTION("rank(J2348,FILTER(J:J,R:R=R2348))"),4.0)</f>
        <v>4</v>
      </c>
      <c r="T2348" s="6">
        <f t="shared" si="6"/>
        <v>8</v>
      </c>
      <c r="U2348" s="6">
        <f t="shared" si="7"/>
        <v>4</v>
      </c>
      <c r="V2348" s="42">
        <f>averageif(AllData!A:A,B2348,AllData!R:R)/vlookup(B2348,AllData!A:O,15,0)</f>
        <v>93.35904762</v>
      </c>
      <c r="W2348" s="6"/>
    </row>
    <row r="2349" ht="14.25" customHeight="1">
      <c r="A2349" s="6" t="str">
        <f t="shared" si="28"/>
        <v>2023Pierson16</v>
      </c>
      <c r="B2349" s="59">
        <v>2023.0</v>
      </c>
      <c r="C2349" s="13" t="s">
        <v>92</v>
      </c>
      <c r="D2349" s="13" t="s">
        <v>153</v>
      </c>
      <c r="E2349" s="34"/>
      <c r="F2349" s="6"/>
      <c r="H2349" s="6"/>
      <c r="I2349" s="35" t="str">
        <f>IFERROR(IFERROR(IFERROR(VLOOKUP(B2349&amp;C2349&amp;Q2349,'New Weekly Paste'!A:M,10,0),VLOOKUP(B2349&amp;C2349&amp;Q2349,'New Weekly Paste'!B:O,6,0)),""),"")</f>
        <v>Riley</v>
      </c>
      <c r="J2349" s="259">
        <f>IFERROR(IFERROR(VLOOKUP(B2349&amp;C2349&amp;Q2349,'New Weekly Paste'!A:M,8,0),VLOOKUP(B2349&amp;C2349&amp;Q2349,'New Weekly Paste'!B:O,10,0)),0)</f>
        <v>75.52</v>
      </c>
      <c r="K2349" s="259">
        <f>IFERROR(IFERROR(VLOOKUP(B2349&amp;I2349&amp;Q2349,'New Weekly Paste'!A:M,8,0),VLOOKUP(B2349&amp;I2349&amp;Q2349,'New Weekly Paste'!B:O,10,0)),0)</f>
        <v>63.92</v>
      </c>
      <c r="L2349" s="239">
        <f t="shared" si="25"/>
        <v>1</v>
      </c>
      <c r="M2349" s="36" t="str">
        <f t="shared" si="3"/>
        <v>Playoffs</v>
      </c>
      <c r="N2349" s="239" t="str">
        <f t="shared" si="26"/>
        <v>Riley</v>
      </c>
      <c r="O2349" s="6">
        <f>VLOOKUP(D2349,'Mapped Opponent'!$G$4:$H$22,2,0)</f>
        <v>16</v>
      </c>
      <c r="P2349" s="6"/>
      <c r="Q2349" s="6" t="str">
        <f t="shared" si="4"/>
        <v>Week 16</v>
      </c>
      <c r="R2349" s="6" t="str">
        <f t="shared" si="5"/>
        <v>2023Round 2</v>
      </c>
      <c r="S2349" s="6">
        <f>IFERROR(__xludf.DUMMYFUNCTION("rank(J2349,FILTER(J:J,R:R=R2349))"),9.0)</f>
        <v>9</v>
      </c>
      <c r="T2349" s="6">
        <f t="shared" si="6"/>
        <v>3</v>
      </c>
      <c r="U2349" s="6">
        <f t="shared" si="7"/>
        <v>9</v>
      </c>
      <c r="V2349" s="42">
        <f>averageif(AllData!A:A,B2349,AllData!R:R)/vlookup(B2349,AllData!A:O,15,0)</f>
        <v>93.35904762</v>
      </c>
      <c r="W2349" s="6"/>
    </row>
    <row r="2350" ht="14.25" customHeight="1">
      <c r="A2350" s="6" t="str">
        <f t="shared" si="28"/>
        <v>2023Cock16</v>
      </c>
      <c r="B2350" s="59">
        <v>2023.0</v>
      </c>
      <c r="C2350" s="13" t="s">
        <v>72</v>
      </c>
      <c r="D2350" s="13" t="s">
        <v>153</v>
      </c>
      <c r="E2350" s="34"/>
      <c r="F2350" s="6"/>
      <c r="H2350" s="6"/>
      <c r="I2350" s="35" t="str">
        <f>IFERROR(IFERROR(IFERROR(VLOOKUP(B2350&amp;C2350&amp;Q2350,'New Weekly Paste'!A:M,10,0),VLOOKUP(B2350&amp;C2350&amp;Q2350,'New Weekly Paste'!B:O,6,0)),""),"")</f>
        <v>Shep</v>
      </c>
      <c r="J2350" s="259">
        <f>IFERROR(IFERROR(VLOOKUP(B2350&amp;C2350&amp;Q2350,'New Weekly Paste'!A:M,8,0),VLOOKUP(B2350&amp;C2350&amp;Q2350,'New Weekly Paste'!B:O,10,0)),0)</f>
        <v>67.3</v>
      </c>
      <c r="K2350" s="259">
        <f>IFERROR(IFERROR(VLOOKUP(B2350&amp;I2350&amp;Q2350,'New Weekly Paste'!A:M,8,0),VLOOKUP(B2350&amp;I2350&amp;Q2350,'New Weekly Paste'!B:O,10,0)),0)</f>
        <v>122.8</v>
      </c>
      <c r="L2350" s="239">
        <f t="shared" si="25"/>
        <v>0</v>
      </c>
      <c r="M2350" s="36" t="str">
        <f t="shared" si="3"/>
        <v>Playoffs</v>
      </c>
      <c r="N2350" s="239" t="str">
        <f t="shared" si="26"/>
        <v>Shep</v>
      </c>
      <c r="O2350" s="6">
        <f>VLOOKUP(D2350,'Mapped Opponent'!$G$4:$H$22,2,0)</f>
        <v>16</v>
      </c>
      <c r="P2350" s="6"/>
      <c r="Q2350" s="6" t="str">
        <f t="shared" si="4"/>
        <v>Week 16</v>
      </c>
      <c r="R2350" s="6" t="str">
        <f t="shared" si="5"/>
        <v>2023Round 2</v>
      </c>
      <c r="S2350" s="6">
        <f>IFERROR(__xludf.DUMMYFUNCTION("rank(J2350,FILTER(J:J,R:R=R2350))"),10.0)</f>
        <v>10</v>
      </c>
      <c r="T2350" s="6">
        <f t="shared" si="6"/>
        <v>2</v>
      </c>
      <c r="U2350" s="6">
        <f t="shared" si="7"/>
        <v>10</v>
      </c>
      <c r="V2350" s="42">
        <f>averageif(AllData!A:A,B2350,AllData!R:R)/vlookup(B2350,AllData!A:O,15,0)</f>
        <v>93.35904762</v>
      </c>
      <c r="W2350" s="6"/>
    </row>
    <row r="2351" ht="14.25" customHeight="1">
      <c r="A2351" s="6" t="str">
        <f t="shared" si="28"/>
        <v>2023Tayski16</v>
      </c>
      <c r="B2351" s="59">
        <v>2023.0</v>
      </c>
      <c r="C2351" s="13" t="s">
        <v>52</v>
      </c>
      <c r="D2351" s="13" t="s">
        <v>153</v>
      </c>
      <c r="E2351" s="34"/>
      <c r="F2351" s="6"/>
      <c r="H2351" s="6"/>
      <c r="I2351" s="35" t="str">
        <f>IFERROR(IFERROR(IFERROR(VLOOKUP(B2351&amp;C2351&amp;Q2351,'New Weekly Paste'!A:M,10,0),VLOOKUP(B2351&amp;C2351&amp;Q2351,'New Weekly Paste'!B:O,6,0)),""),"")</f>
        <v>Hudspeath</v>
      </c>
      <c r="J2351" s="259">
        <f>IFERROR(IFERROR(VLOOKUP(B2351&amp;C2351&amp;Q2351,'New Weekly Paste'!A:M,8,0),VLOOKUP(B2351&amp;C2351&amp;Q2351,'New Weekly Paste'!B:O,10,0)),0)</f>
        <v>90.62</v>
      </c>
      <c r="K2351" s="259">
        <f>IFERROR(IFERROR(VLOOKUP(B2351&amp;I2351&amp;Q2351,'New Weekly Paste'!A:M,8,0),VLOOKUP(B2351&amp;I2351&amp;Q2351,'New Weekly Paste'!B:O,10,0)),0)</f>
        <v>85.92</v>
      </c>
      <c r="L2351" s="239">
        <f t="shared" si="25"/>
        <v>1</v>
      </c>
      <c r="M2351" s="36" t="str">
        <f t="shared" si="3"/>
        <v>Playoffs</v>
      </c>
      <c r="N2351" s="239" t="str">
        <f t="shared" si="26"/>
        <v>Hudspeath</v>
      </c>
      <c r="O2351" s="6">
        <f>VLOOKUP(D2351,'Mapped Opponent'!$G$4:$H$22,2,0)</f>
        <v>16</v>
      </c>
      <c r="P2351" s="6"/>
      <c r="Q2351" s="6" t="str">
        <f t="shared" si="4"/>
        <v>Week 16</v>
      </c>
      <c r="R2351" s="6" t="str">
        <f t="shared" si="5"/>
        <v>2023Round 2</v>
      </c>
      <c r="S2351" s="6">
        <f>IFERROR(__xludf.DUMMYFUNCTION("rank(J2351,FILTER(J:J,R:R=R2351))"),6.0)</f>
        <v>6</v>
      </c>
      <c r="T2351" s="6">
        <f t="shared" si="6"/>
        <v>6</v>
      </c>
      <c r="U2351" s="6">
        <f t="shared" si="7"/>
        <v>6</v>
      </c>
      <c r="V2351" s="42">
        <f>averageif(AllData!A:A,B2351,AllData!R:R)/vlookup(B2351,AllData!A:O,15,0)</f>
        <v>93.35904762</v>
      </c>
      <c r="W2351" s="6"/>
    </row>
    <row r="2352" ht="14.25" customHeight="1">
      <c r="A2352" s="6" t="str">
        <f t="shared" si="28"/>
        <v>2023KnardDawg16</v>
      </c>
      <c r="B2352" s="59">
        <v>2023.0</v>
      </c>
      <c r="C2352" s="13" t="s">
        <v>86</v>
      </c>
      <c r="D2352" s="13" t="s">
        <v>153</v>
      </c>
      <c r="E2352" s="34"/>
      <c r="F2352" s="6"/>
      <c r="H2352" s="6"/>
      <c r="I2352" s="35" t="str">
        <f>IFERROR(IFERROR(IFERROR(VLOOKUP(B2352&amp;C2352&amp;Q2352,'New Weekly Paste'!A:M,10,0),VLOOKUP(B2352&amp;C2352&amp;Q2352,'New Weekly Paste'!B:O,6,0)),""),"")</f>
        <v>Rooney/Jackson</v>
      </c>
      <c r="J2352" s="259">
        <f>IFERROR(IFERROR(VLOOKUP(B2352&amp;C2352&amp;Q2352,'New Weekly Paste'!A:M,8,0),VLOOKUP(B2352&amp;C2352&amp;Q2352,'New Weekly Paste'!B:O,10,0)),0)</f>
        <v>66.5</v>
      </c>
      <c r="K2352" s="259">
        <f>IFERROR(IFERROR(VLOOKUP(B2352&amp;I2352&amp;Q2352,'New Weekly Paste'!A:M,8,0),VLOOKUP(B2352&amp;I2352&amp;Q2352,'New Weekly Paste'!B:O,10,0)),0)</f>
        <v>117.98</v>
      </c>
      <c r="L2352" s="239">
        <f t="shared" si="25"/>
        <v>0</v>
      </c>
      <c r="M2352" s="36" t="str">
        <f t="shared" si="3"/>
        <v>Playoffs</v>
      </c>
      <c r="N2352" s="239" t="str">
        <f t="shared" si="26"/>
        <v>Rooney/Jackson</v>
      </c>
      <c r="O2352" s="6">
        <f>VLOOKUP(D2352,'Mapped Opponent'!$G$4:$H$22,2,0)</f>
        <v>16</v>
      </c>
      <c r="P2352" s="6"/>
      <c r="Q2352" s="6" t="str">
        <f t="shared" si="4"/>
        <v>Week 16</v>
      </c>
      <c r="R2352" s="6" t="str">
        <f t="shared" si="5"/>
        <v>2023Round 2</v>
      </c>
      <c r="S2352" s="6">
        <f>IFERROR(__xludf.DUMMYFUNCTION("rank(J2352,FILTER(J:J,R:R=R2352))"),11.0)</f>
        <v>11</v>
      </c>
      <c r="T2352" s="6">
        <f t="shared" si="6"/>
        <v>1</v>
      </c>
      <c r="U2352" s="6">
        <f t="shared" si="7"/>
        <v>11</v>
      </c>
      <c r="V2352" s="42">
        <f>averageif(AllData!A:A,B2352,AllData!R:R)/vlookup(B2352,AllData!A:O,15,0)</f>
        <v>93.35904762</v>
      </c>
      <c r="W2352" s="6"/>
    </row>
    <row r="2353" ht="14.25" customHeight="1">
      <c r="A2353" s="6" t="str">
        <f t="shared" si="28"/>
        <v>2023T-How16</v>
      </c>
      <c r="B2353" s="59">
        <v>2023.0</v>
      </c>
      <c r="C2353" s="13" t="s">
        <v>82</v>
      </c>
      <c r="D2353" s="13" t="s">
        <v>153</v>
      </c>
      <c r="E2353" s="34"/>
      <c r="F2353" s="6"/>
      <c r="H2353" s="6"/>
      <c r="I2353" s="35" t="str">
        <f>IFERROR(IFERROR(IFERROR(VLOOKUP(B2353&amp;C2353&amp;Q2353,'New Weekly Paste'!A:M,10,0),VLOOKUP(B2353&amp;C2353&amp;Q2353,'New Weekly Paste'!B:O,6,0)),""),"")</f>
        <v>Salty</v>
      </c>
      <c r="J2353" s="259">
        <f>IFERROR(IFERROR(VLOOKUP(B2353&amp;C2353&amp;Q2353,'New Weekly Paste'!A:M,8,0),VLOOKUP(B2353&amp;C2353&amp;Q2353,'New Weekly Paste'!B:O,10,0)),0)</f>
        <v>94.28</v>
      </c>
      <c r="K2353" s="259">
        <f>IFERROR(IFERROR(VLOOKUP(B2353&amp;I2353&amp;Q2353,'New Weekly Paste'!A:M,8,0),VLOOKUP(B2353&amp;I2353&amp;Q2353,'New Weekly Paste'!B:O,10,0)),0)</f>
        <v>79.08</v>
      </c>
      <c r="L2353" s="239">
        <f t="shared" si="25"/>
        <v>1</v>
      </c>
      <c r="M2353" s="36" t="str">
        <f t="shared" si="3"/>
        <v>Playoffs</v>
      </c>
      <c r="N2353" s="239" t="str">
        <f t="shared" si="26"/>
        <v>Salty</v>
      </c>
      <c r="O2353" s="6">
        <f>VLOOKUP(D2353,'Mapped Opponent'!$G$4:$H$22,2,0)</f>
        <v>16</v>
      </c>
      <c r="P2353" s="6"/>
      <c r="Q2353" s="6" t="str">
        <f t="shared" si="4"/>
        <v>Week 16</v>
      </c>
      <c r="R2353" s="6" t="str">
        <f t="shared" si="5"/>
        <v>2023Round 2</v>
      </c>
      <c r="S2353" s="6">
        <f>IFERROR(__xludf.DUMMYFUNCTION("rank(J2353,FILTER(J:J,R:R=R2353))"),5.0)</f>
        <v>5</v>
      </c>
      <c r="T2353" s="6">
        <f t="shared" si="6"/>
        <v>7</v>
      </c>
      <c r="U2353" s="6">
        <f t="shared" si="7"/>
        <v>5</v>
      </c>
      <c r="V2353" s="42">
        <f>averageif(AllData!A:A,B2353,AllData!R:R)/vlookup(B2353,AllData!A:O,15,0)</f>
        <v>93.35904762</v>
      </c>
      <c r="W2353" s="6"/>
    </row>
    <row r="2354" ht="14.25" customHeight="1">
      <c r="A2354" s="6" t="str">
        <f t="shared" si="28"/>
        <v>2023Hudspeath17</v>
      </c>
      <c r="B2354" s="59">
        <v>2023.0</v>
      </c>
      <c r="C2354" s="13" t="s">
        <v>39</v>
      </c>
      <c r="D2354" s="13" t="s">
        <v>154</v>
      </c>
      <c r="E2354" s="34"/>
      <c r="F2354" s="6"/>
      <c r="H2354" s="6"/>
      <c r="I2354" s="35" t="str">
        <f>IFERROR(IFERROR(IFERROR(VLOOKUP(B2354&amp;C2354&amp;Q2354,'New Weekly Paste'!A:M,10,0),VLOOKUP(B2354&amp;C2354&amp;Q2354,'New Weekly Paste'!B:O,6,0)),""),"")</f>
        <v>Salty</v>
      </c>
      <c r="J2354" s="259">
        <f>IFERROR(IFERROR(VLOOKUP(B2354&amp;C2354&amp;Q2354,'New Weekly Paste'!A:M,8,0),VLOOKUP(B2354&amp;C2354&amp;Q2354,'New Weekly Paste'!B:O,10,0)),0)</f>
        <v>94</v>
      </c>
      <c r="K2354" s="259">
        <f>IFERROR(IFERROR(VLOOKUP(B2354&amp;I2354&amp;Q2354,'New Weekly Paste'!A:M,8,0),VLOOKUP(B2354&amp;I2354&amp;Q2354,'New Weekly Paste'!B:O,10,0)),0)</f>
        <v>93.86</v>
      </c>
      <c r="L2354" s="239">
        <f t="shared" si="25"/>
        <v>1</v>
      </c>
      <c r="M2354" s="36" t="str">
        <f t="shared" si="3"/>
        <v>Playoffs</v>
      </c>
      <c r="N2354" s="239" t="str">
        <f t="shared" si="26"/>
        <v>Salty</v>
      </c>
      <c r="O2354" s="6">
        <f>VLOOKUP(D2354,'Mapped Opponent'!$G$4:$H$22,2,0)</f>
        <v>17</v>
      </c>
      <c r="P2354" s="6"/>
      <c r="Q2354" s="6" t="str">
        <f t="shared" si="4"/>
        <v>Week 17</v>
      </c>
      <c r="R2354" s="6" t="str">
        <f t="shared" si="5"/>
        <v>2023Round 3</v>
      </c>
      <c r="S2354" s="6">
        <f>IFERROR(__xludf.DUMMYFUNCTION("rank(J2354,FILTER(J:J,R:R=R2354))"),7.0)</f>
        <v>7</v>
      </c>
      <c r="T2354" s="6">
        <f t="shared" si="6"/>
        <v>5</v>
      </c>
      <c r="U2354" s="6">
        <f t="shared" si="7"/>
        <v>7</v>
      </c>
      <c r="V2354" s="42">
        <f>averageif(AllData!A:A,B2354,AllData!R:R)/vlookup(B2354,AllData!A:O,15,0)</f>
        <v>93.35904762</v>
      </c>
      <c r="W2354" s="6"/>
    </row>
    <row r="2355" ht="14.25" customHeight="1">
      <c r="A2355" s="6" t="str">
        <f t="shared" si="28"/>
        <v>2023Salty17</v>
      </c>
      <c r="B2355" s="59">
        <v>2023.0</v>
      </c>
      <c r="C2355" s="13" t="s">
        <v>76</v>
      </c>
      <c r="D2355" s="13" t="s">
        <v>154</v>
      </c>
      <c r="E2355" s="34"/>
      <c r="F2355" s="6"/>
      <c r="H2355" s="6"/>
      <c r="I2355" s="35" t="str">
        <f>IFERROR(IFERROR(IFERROR(VLOOKUP(B2355&amp;C2355&amp;Q2355,'New Weekly Paste'!A:M,10,0),VLOOKUP(B2355&amp;C2355&amp;Q2355,'New Weekly Paste'!B:O,6,0)),""),"")</f>
        <v>Hudspeath</v>
      </c>
      <c r="J2355" s="259">
        <f>IFERROR(IFERROR(VLOOKUP(B2355&amp;C2355&amp;Q2355,'New Weekly Paste'!A:M,8,0),VLOOKUP(B2355&amp;C2355&amp;Q2355,'New Weekly Paste'!B:O,10,0)),0)</f>
        <v>93.86</v>
      </c>
      <c r="K2355" s="259">
        <f>IFERROR(IFERROR(VLOOKUP(B2355&amp;I2355&amp;Q2355,'New Weekly Paste'!A:M,8,0),VLOOKUP(B2355&amp;I2355&amp;Q2355,'New Weekly Paste'!B:O,10,0)),0)</f>
        <v>94</v>
      </c>
      <c r="L2355" s="239">
        <f t="shared" si="25"/>
        <v>0</v>
      </c>
      <c r="M2355" s="36" t="str">
        <f t="shared" si="3"/>
        <v>Playoffs</v>
      </c>
      <c r="N2355" s="239" t="str">
        <f t="shared" si="26"/>
        <v>Hudspeath</v>
      </c>
      <c r="O2355" s="6">
        <f>VLOOKUP(D2355,'Mapped Opponent'!$G$4:$H$22,2,0)</f>
        <v>17</v>
      </c>
      <c r="P2355" s="6"/>
      <c r="Q2355" s="6" t="str">
        <f t="shared" si="4"/>
        <v>Week 17</v>
      </c>
      <c r="R2355" s="6" t="str">
        <f t="shared" si="5"/>
        <v>2023Round 3</v>
      </c>
      <c r="S2355" s="6">
        <f>IFERROR(__xludf.DUMMYFUNCTION("rank(J2355,FILTER(J:J,R:R=R2355))"),8.0)</f>
        <v>8</v>
      </c>
      <c r="T2355" s="6">
        <f t="shared" si="6"/>
        <v>4</v>
      </c>
      <c r="U2355" s="6">
        <f t="shared" si="7"/>
        <v>8</v>
      </c>
      <c r="V2355" s="42">
        <f>averageif(AllData!A:A,B2355,AllData!R:R)/vlookup(B2355,AllData!A:O,15,0)</f>
        <v>93.35904762</v>
      </c>
      <c r="W2355" s="6"/>
    </row>
    <row r="2356" ht="14.25" customHeight="1">
      <c r="A2356" s="6" t="str">
        <f t="shared" si="28"/>
        <v>2023Ewert17</v>
      </c>
      <c r="B2356" s="59">
        <v>2023.0</v>
      </c>
      <c r="C2356" s="13" t="s">
        <v>108</v>
      </c>
      <c r="D2356" s="13" t="s">
        <v>154</v>
      </c>
      <c r="E2356" s="34"/>
      <c r="F2356" s="6"/>
      <c r="H2356" s="6"/>
      <c r="I2356" s="35" t="str">
        <f>IFERROR(IFERROR(IFERROR(VLOOKUP(B2356&amp;C2356&amp;Q2356,'New Weekly Paste'!A:M,10,0),VLOOKUP(B2356&amp;C2356&amp;Q2356,'New Weekly Paste'!B:O,6,0)),""),"")</f>
        <v>Shep</v>
      </c>
      <c r="J2356" s="259">
        <f>IFERROR(IFERROR(VLOOKUP(B2356&amp;C2356&amp;Q2356,'New Weekly Paste'!A:M,8,0),VLOOKUP(B2356&amp;C2356&amp;Q2356,'New Weekly Paste'!B:O,10,0)),0)</f>
        <v>52.5</v>
      </c>
      <c r="K2356" s="259">
        <f>IFERROR(IFERROR(VLOOKUP(B2356&amp;I2356&amp;Q2356,'New Weekly Paste'!A:M,8,0),VLOOKUP(B2356&amp;I2356&amp;Q2356,'New Weekly Paste'!B:O,10,0)),0)</f>
        <v>104.32</v>
      </c>
      <c r="L2356" s="239">
        <f t="shared" si="25"/>
        <v>0</v>
      </c>
      <c r="M2356" s="36" t="str">
        <f t="shared" si="3"/>
        <v>Playoffs</v>
      </c>
      <c r="N2356" s="239" t="str">
        <f t="shared" si="26"/>
        <v>Shep</v>
      </c>
      <c r="O2356" s="6">
        <f>VLOOKUP(D2356,'Mapped Opponent'!$G$4:$H$22,2,0)</f>
        <v>17</v>
      </c>
      <c r="P2356" s="6"/>
      <c r="Q2356" s="6" t="str">
        <f t="shared" si="4"/>
        <v>Week 17</v>
      </c>
      <c r="R2356" s="6" t="str">
        <f t="shared" si="5"/>
        <v>2023Round 3</v>
      </c>
      <c r="S2356" s="6">
        <f>IFERROR(__xludf.DUMMYFUNCTION("rank(J2356,FILTER(J:J,R:R=R2356))"),12.0)</f>
        <v>12</v>
      </c>
      <c r="T2356" s="6">
        <f t="shared" si="6"/>
        <v>0</v>
      </c>
      <c r="U2356" s="6">
        <f t="shared" si="7"/>
        <v>12</v>
      </c>
      <c r="V2356" s="42">
        <f>averageif(AllData!A:A,B2356,AllData!R:R)/vlookup(B2356,AllData!A:O,15,0)</f>
        <v>93.35904762</v>
      </c>
      <c r="W2356" s="6"/>
    </row>
    <row r="2357" ht="14.25" customHeight="1">
      <c r="A2357" s="6" t="str">
        <f t="shared" si="28"/>
        <v>2023Shep17</v>
      </c>
      <c r="B2357" s="59">
        <v>2023.0</v>
      </c>
      <c r="C2357" s="13" t="s">
        <v>89</v>
      </c>
      <c r="D2357" s="13" t="s">
        <v>154</v>
      </c>
      <c r="E2357" s="34"/>
      <c r="F2357" s="6"/>
      <c r="H2357" s="6"/>
      <c r="I2357" s="35" t="str">
        <f>IFERROR(IFERROR(IFERROR(VLOOKUP(B2357&amp;C2357&amp;Q2357,'New Weekly Paste'!A:M,10,0),VLOOKUP(B2357&amp;C2357&amp;Q2357,'New Weekly Paste'!B:O,6,0)),""),"")</f>
        <v>Ewert</v>
      </c>
      <c r="J2357" s="259">
        <f>IFERROR(IFERROR(VLOOKUP(B2357&amp;C2357&amp;Q2357,'New Weekly Paste'!A:M,8,0),VLOOKUP(B2357&amp;C2357&amp;Q2357,'New Weekly Paste'!B:O,10,0)),0)</f>
        <v>104.32</v>
      </c>
      <c r="K2357" s="259">
        <f>IFERROR(IFERROR(VLOOKUP(B2357&amp;I2357&amp;Q2357,'New Weekly Paste'!A:M,8,0),VLOOKUP(B2357&amp;I2357&amp;Q2357,'New Weekly Paste'!B:O,10,0)),0)</f>
        <v>52.5</v>
      </c>
      <c r="L2357" s="239">
        <f t="shared" si="25"/>
        <v>1</v>
      </c>
      <c r="M2357" s="36" t="str">
        <f t="shared" si="3"/>
        <v>Playoffs</v>
      </c>
      <c r="N2357" s="239" t="str">
        <f t="shared" si="26"/>
        <v>Ewert</v>
      </c>
      <c r="O2357" s="6">
        <f>VLOOKUP(D2357,'Mapped Opponent'!$G$4:$H$22,2,0)</f>
        <v>17</v>
      </c>
      <c r="P2357" s="6"/>
      <c r="Q2357" s="6" t="str">
        <f t="shared" si="4"/>
        <v>Week 17</v>
      </c>
      <c r="R2357" s="6" t="str">
        <f t="shared" si="5"/>
        <v>2023Round 3</v>
      </c>
      <c r="S2357" s="6">
        <f>IFERROR(__xludf.DUMMYFUNCTION("rank(J2357,FILTER(J:J,R:R=R2357))"),4.0)</f>
        <v>4</v>
      </c>
      <c r="T2357" s="6">
        <f t="shared" si="6"/>
        <v>8</v>
      </c>
      <c r="U2357" s="6">
        <f t="shared" si="7"/>
        <v>4</v>
      </c>
      <c r="V2357" s="42">
        <f>averageif(AllData!A:A,B2357,AllData!R:R)/vlookup(B2357,AllData!A:O,15,0)</f>
        <v>93.35904762</v>
      </c>
      <c r="W2357" s="6"/>
    </row>
    <row r="2358" ht="14.25" customHeight="1">
      <c r="A2358" s="6" t="str">
        <f t="shared" si="28"/>
        <v>2023Riley17</v>
      </c>
      <c r="B2358" s="59">
        <v>2023.0</v>
      </c>
      <c r="C2358" s="13" t="s">
        <v>67</v>
      </c>
      <c r="D2358" s="13" t="s">
        <v>154</v>
      </c>
      <c r="E2358" s="34"/>
      <c r="F2358" s="6"/>
      <c r="H2358" s="6"/>
      <c r="I2358" s="35" t="str">
        <f>IFERROR(IFERROR(IFERROR(VLOOKUP(B2358&amp;C2358&amp;Q2358,'New Weekly Paste'!A:M,10,0),VLOOKUP(B2358&amp;C2358&amp;Q2358,'New Weekly Paste'!B:O,6,0)),""),"")</f>
        <v>Pierson</v>
      </c>
      <c r="J2358" s="259">
        <f>IFERROR(IFERROR(VLOOKUP(B2358&amp;C2358&amp;Q2358,'New Weekly Paste'!A:M,8,0),VLOOKUP(B2358&amp;C2358&amp;Q2358,'New Weekly Paste'!B:O,10,0)),0)</f>
        <v>73.88</v>
      </c>
      <c r="K2358" s="259">
        <f>IFERROR(IFERROR(VLOOKUP(B2358&amp;I2358&amp;Q2358,'New Weekly Paste'!A:M,8,0),VLOOKUP(B2358&amp;I2358&amp;Q2358,'New Weekly Paste'!B:O,10,0)),0)</f>
        <v>119.38</v>
      </c>
      <c r="L2358" s="239">
        <f t="shared" si="25"/>
        <v>0</v>
      </c>
      <c r="M2358" s="36" t="str">
        <f t="shared" si="3"/>
        <v>Playoffs</v>
      </c>
      <c r="N2358" s="239" t="str">
        <f t="shared" si="26"/>
        <v>Pierson</v>
      </c>
      <c r="O2358" s="6">
        <f>VLOOKUP(D2358,'Mapped Opponent'!$G$4:$H$22,2,0)</f>
        <v>17</v>
      </c>
      <c r="P2358" s="6"/>
      <c r="Q2358" s="6" t="str">
        <f t="shared" si="4"/>
        <v>Week 17</v>
      </c>
      <c r="R2358" s="6" t="str">
        <f t="shared" si="5"/>
        <v>2023Round 3</v>
      </c>
      <c r="S2358" s="6">
        <f>IFERROR(__xludf.DUMMYFUNCTION("rank(J2358,FILTER(J:J,R:R=R2358))"),11.0)</f>
        <v>11</v>
      </c>
      <c r="T2358" s="6">
        <f t="shared" si="6"/>
        <v>1</v>
      </c>
      <c r="U2358" s="6">
        <f t="shared" si="7"/>
        <v>11</v>
      </c>
      <c r="V2358" s="42">
        <f>averageif(AllData!A:A,B2358,AllData!R:R)/vlookup(B2358,AllData!A:O,15,0)</f>
        <v>93.35904762</v>
      </c>
      <c r="W2358" s="6"/>
    </row>
    <row r="2359" ht="14.25" customHeight="1">
      <c r="A2359" s="6" t="str">
        <f t="shared" si="28"/>
        <v>2023Rooney/Jackson17</v>
      </c>
      <c r="B2359" s="59">
        <v>2023.0</v>
      </c>
      <c r="C2359" s="13" t="s">
        <v>57</v>
      </c>
      <c r="D2359" s="13" t="s">
        <v>154</v>
      </c>
      <c r="E2359" s="34"/>
      <c r="F2359" s="6"/>
      <c r="H2359" s="6"/>
      <c r="I2359" s="35" t="str">
        <f>IFERROR(IFERROR(IFERROR(VLOOKUP(B2359&amp;C2359&amp;Q2359,'New Weekly Paste'!A:M,10,0),VLOOKUP(B2359&amp;C2359&amp;Q2359,'New Weekly Paste'!B:O,6,0)),""),"")</f>
        <v>Buser</v>
      </c>
      <c r="J2359" s="259">
        <f>IFERROR(IFERROR(VLOOKUP(B2359&amp;C2359&amp;Q2359,'New Weekly Paste'!A:M,8,0),VLOOKUP(B2359&amp;C2359&amp;Q2359,'New Weekly Paste'!B:O,10,0)),0)</f>
        <v>116.74</v>
      </c>
      <c r="K2359" s="259">
        <f>IFERROR(IFERROR(VLOOKUP(B2359&amp;I2359&amp;Q2359,'New Weekly Paste'!A:M,8,0),VLOOKUP(B2359&amp;I2359&amp;Q2359,'New Weekly Paste'!B:O,10,0)),0)</f>
        <v>132.84</v>
      </c>
      <c r="L2359" s="239">
        <f t="shared" si="25"/>
        <v>0</v>
      </c>
      <c r="M2359" s="36" t="str">
        <f t="shared" si="3"/>
        <v>Playoffs</v>
      </c>
      <c r="N2359" s="239" t="str">
        <f t="shared" si="26"/>
        <v>Buser</v>
      </c>
      <c r="O2359" s="6">
        <f>VLOOKUP(D2359,'Mapped Opponent'!$G$4:$H$22,2,0)</f>
        <v>17</v>
      </c>
      <c r="P2359" s="6"/>
      <c r="Q2359" s="6" t="str">
        <f t="shared" si="4"/>
        <v>Week 17</v>
      </c>
      <c r="R2359" s="6" t="str">
        <f t="shared" si="5"/>
        <v>2023Round 3</v>
      </c>
      <c r="S2359" s="6">
        <f>IFERROR(__xludf.DUMMYFUNCTION("rank(J2359,FILTER(J:J,R:R=R2359))"),3.0)</f>
        <v>3</v>
      </c>
      <c r="T2359" s="6">
        <f t="shared" si="6"/>
        <v>9</v>
      </c>
      <c r="U2359" s="6">
        <f t="shared" si="7"/>
        <v>3</v>
      </c>
      <c r="V2359" s="42">
        <f>averageif(AllData!A:A,B2359,AllData!R:R)/vlookup(B2359,AllData!A:O,15,0)</f>
        <v>93.35904762</v>
      </c>
      <c r="W2359" s="6"/>
    </row>
    <row r="2360" ht="14.25" customHeight="1">
      <c r="A2360" s="6" t="str">
        <f t="shared" si="28"/>
        <v>2023Buser17</v>
      </c>
      <c r="B2360" s="59">
        <v>2023.0</v>
      </c>
      <c r="C2360" s="13" t="s">
        <v>47</v>
      </c>
      <c r="D2360" s="13" t="s">
        <v>154</v>
      </c>
      <c r="E2360" s="34"/>
      <c r="F2360" s="6"/>
      <c r="H2360" s="6"/>
      <c r="I2360" s="35" t="str">
        <f>IFERROR(IFERROR(IFERROR(VLOOKUP(B2360&amp;C2360&amp;Q2360,'New Weekly Paste'!A:M,10,0),VLOOKUP(B2360&amp;C2360&amp;Q2360,'New Weekly Paste'!B:O,6,0)),""),"")</f>
        <v>Rooney/Jackson</v>
      </c>
      <c r="J2360" s="259">
        <f>IFERROR(IFERROR(VLOOKUP(B2360&amp;C2360&amp;Q2360,'New Weekly Paste'!A:M,8,0),VLOOKUP(B2360&amp;C2360&amp;Q2360,'New Weekly Paste'!B:O,10,0)),0)</f>
        <v>132.84</v>
      </c>
      <c r="K2360" s="259">
        <f>IFERROR(IFERROR(VLOOKUP(B2360&amp;I2360&amp;Q2360,'New Weekly Paste'!A:M,8,0),VLOOKUP(B2360&amp;I2360&amp;Q2360,'New Weekly Paste'!B:O,10,0)),0)</f>
        <v>116.74</v>
      </c>
      <c r="L2360" s="239">
        <f t="shared" si="25"/>
        <v>1</v>
      </c>
      <c r="M2360" s="36" t="str">
        <f t="shared" si="3"/>
        <v>Playoffs</v>
      </c>
      <c r="N2360" s="239" t="str">
        <f t="shared" si="26"/>
        <v>Rooney/Jackson</v>
      </c>
      <c r="O2360" s="6">
        <f>VLOOKUP(D2360,'Mapped Opponent'!$G$4:$H$22,2,0)</f>
        <v>17</v>
      </c>
      <c r="P2360" s="6"/>
      <c r="Q2360" s="6" t="str">
        <f t="shared" si="4"/>
        <v>Week 17</v>
      </c>
      <c r="R2360" s="6" t="str">
        <f t="shared" si="5"/>
        <v>2023Round 3</v>
      </c>
      <c r="S2360" s="6">
        <f>IFERROR(__xludf.DUMMYFUNCTION("rank(J2360,FILTER(J:J,R:R=R2360))"),1.0)</f>
        <v>1</v>
      </c>
      <c r="T2360" s="6">
        <f t="shared" si="6"/>
        <v>11</v>
      </c>
      <c r="U2360" s="6">
        <f t="shared" si="7"/>
        <v>1</v>
      </c>
      <c r="V2360" s="42">
        <f>averageif(AllData!A:A,B2360,AllData!R:R)/vlookup(B2360,AllData!A:O,15,0)</f>
        <v>93.35904762</v>
      </c>
      <c r="W2360" s="6"/>
    </row>
    <row r="2361" ht="14.25" customHeight="1">
      <c r="A2361" s="6" t="str">
        <f t="shared" si="28"/>
        <v>2023Pierson17</v>
      </c>
      <c r="B2361" s="59">
        <v>2023.0</v>
      </c>
      <c r="C2361" s="13" t="s">
        <v>92</v>
      </c>
      <c r="D2361" s="13" t="s">
        <v>154</v>
      </c>
      <c r="E2361" s="34"/>
      <c r="F2361" s="6"/>
      <c r="H2361" s="6"/>
      <c r="I2361" s="35" t="str">
        <f>IFERROR(IFERROR(IFERROR(VLOOKUP(B2361&amp;C2361&amp;Q2361,'New Weekly Paste'!A:M,10,0),VLOOKUP(B2361&amp;C2361&amp;Q2361,'New Weekly Paste'!B:O,6,0)),""),"")</f>
        <v>Riley</v>
      </c>
      <c r="J2361" s="259">
        <f>IFERROR(IFERROR(VLOOKUP(B2361&amp;C2361&amp;Q2361,'New Weekly Paste'!A:M,8,0),VLOOKUP(B2361&amp;C2361&amp;Q2361,'New Weekly Paste'!B:O,10,0)),0)</f>
        <v>119.38</v>
      </c>
      <c r="K2361" s="259">
        <f>IFERROR(IFERROR(VLOOKUP(B2361&amp;I2361&amp;Q2361,'New Weekly Paste'!A:M,8,0),VLOOKUP(B2361&amp;I2361&amp;Q2361,'New Weekly Paste'!B:O,10,0)),0)</f>
        <v>73.88</v>
      </c>
      <c r="L2361" s="239">
        <f t="shared" si="25"/>
        <v>1</v>
      </c>
      <c r="M2361" s="36" t="str">
        <f t="shared" si="3"/>
        <v>Playoffs</v>
      </c>
      <c r="N2361" s="239" t="str">
        <f t="shared" si="26"/>
        <v>Riley</v>
      </c>
      <c r="O2361" s="6">
        <f>VLOOKUP(D2361,'Mapped Opponent'!$G$4:$H$22,2,0)</f>
        <v>17</v>
      </c>
      <c r="P2361" s="6"/>
      <c r="Q2361" s="6" t="str">
        <f t="shared" si="4"/>
        <v>Week 17</v>
      </c>
      <c r="R2361" s="6" t="str">
        <f t="shared" si="5"/>
        <v>2023Round 3</v>
      </c>
      <c r="S2361" s="6">
        <f>IFERROR(__xludf.DUMMYFUNCTION("rank(J2361,FILTER(J:J,R:R=R2361))"),2.0)</f>
        <v>2</v>
      </c>
      <c r="T2361" s="6">
        <f t="shared" si="6"/>
        <v>10</v>
      </c>
      <c r="U2361" s="6">
        <f t="shared" si="7"/>
        <v>2</v>
      </c>
      <c r="V2361" s="42">
        <f>averageif(AllData!A:A,B2361,AllData!R:R)/vlookup(B2361,AllData!A:O,15,0)</f>
        <v>93.35904762</v>
      </c>
      <c r="W2361" s="6"/>
    </row>
    <row r="2362" ht="14.25" customHeight="1">
      <c r="A2362" s="6" t="str">
        <f t="shared" si="28"/>
        <v>2023Cock17</v>
      </c>
      <c r="B2362" s="59">
        <v>2023.0</v>
      </c>
      <c r="C2362" s="13" t="s">
        <v>72</v>
      </c>
      <c r="D2362" s="13" t="s">
        <v>154</v>
      </c>
      <c r="E2362" s="34"/>
      <c r="F2362" s="6"/>
      <c r="H2362" s="6"/>
      <c r="I2362" s="35" t="str">
        <f>IFERROR(IFERROR(IFERROR(VLOOKUP(B2362&amp;C2362&amp;Q2362,'New Weekly Paste'!A:M,10,0),VLOOKUP(B2362&amp;C2362&amp;Q2362,'New Weekly Paste'!B:O,6,0)),""),"")</f>
        <v>KnardDawg</v>
      </c>
      <c r="J2362" s="259">
        <f>IFERROR(IFERROR(VLOOKUP(B2362&amp;C2362&amp;Q2362,'New Weekly Paste'!A:M,8,0),VLOOKUP(B2362&amp;C2362&amp;Q2362,'New Weekly Paste'!B:O,10,0)),0)</f>
        <v>103.6</v>
      </c>
      <c r="K2362" s="259">
        <f>IFERROR(IFERROR(VLOOKUP(B2362&amp;I2362&amp;Q2362,'New Weekly Paste'!A:M,8,0),VLOOKUP(B2362&amp;I2362&amp;Q2362,'New Weekly Paste'!B:O,10,0)),0)</f>
        <v>92</v>
      </c>
      <c r="L2362" s="239">
        <f t="shared" si="25"/>
        <v>1</v>
      </c>
      <c r="M2362" s="36" t="str">
        <f t="shared" si="3"/>
        <v>Playoffs</v>
      </c>
      <c r="N2362" s="239" t="str">
        <f t="shared" si="26"/>
        <v>KnardDawg</v>
      </c>
      <c r="O2362" s="6">
        <f>VLOOKUP(D2362,'Mapped Opponent'!$G$4:$H$22,2,0)</f>
        <v>17</v>
      </c>
      <c r="P2362" s="6"/>
      <c r="Q2362" s="6" t="str">
        <f t="shared" si="4"/>
        <v>Week 17</v>
      </c>
      <c r="R2362" s="6" t="str">
        <f t="shared" si="5"/>
        <v>2023Round 3</v>
      </c>
      <c r="S2362" s="6">
        <f>IFERROR(__xludf.DUMMYFUNCTION("rank(J2362,FILTER(J:J,R:R=R2362))"),5.0)</f>
        <v>5</v>
      </c>
      <c r="T2362" s="6">
        <f t="shared" si="6"/>
        <v>7</v>
      </c>
      <c r="U2362" s="6">
        <f t="shared" si="7"/>
        <v>5</v>
      </c>
      <c r="V2362" s="42">
        <f>averageif(AllData!A:A,B2362,AllData!R:R)/vlookup(B2362,AllData!A:O,15,0)</f>
        <v>93.35904762</v>
      </c>
      <c r="W2362" s="6"/>
    </row>
    <row r="2363" ht="14.25" customHeight="1">
      <c r="A2363" s="6" t="str">
        <f t="shared" si="28"/>
        <v>2023Tayski17</v>
      </c>
      <c r="B2363" s="59">
        <v>2023.0</v>
      </c>
      <c r="C2363" s="13" t="s">
        <v>52</v>
      </c>
      <c r="D2363" s="13" t="s">
        <v>154</v>
      </c>
      <c r="E2363" s="34"/>
      <c r="F2363" s="6"/>
      <c r="H2363" s="6"/>
      <c r="I2363" s="35" t="str">
        <f>IFERROR(IFERROR(IFERROR(VLOOKUP(B2363&amp;C2363&amp;Q2363,'New Weekly Paste'!A:M,10,0),VLOOKUP(B2363&amp;C2363&amp;Q2363,'New Weekly Paste'!B:O,6,0)),""),"")</f>
        <v>T-How</v>
      </c>
      <c r="J2363" s="259">
        <f>IFERROR(IFERROR(VLOOKUP(B2363&amp;C2363&amp;Q2363,'New Weekly Paste'!A:M,8,0),VLOOKUP(B2363&amp;C2363&amp;Q2363,'New Weekly Paste'!B:O,10,0)),0)</f>
        <v>83.62</v>
      </c>
      <c r="K2363" s="259">
        <f>IFERROR(IFERROR(VLOOKUP(B2363&amp;I2363&amp;Q2363,'New Weekly Paste'!A:M,8,0),VLOOKUP(B2363&amp;I2363&amp;Q2363,'New Weekly Paste'!B:O,10,0)),0)</f>
        <v>99.94</v>
      </c>
      <c r="L2363" s="239">
        <f t="shared" si="25"/>
        <v>0</v>
      </c>
      <c r="M2363" s="36" t="str">
        <f t="shared" si="3"/>
        <v>Playoffs</v>
      </c>
      <c r="N2363" s="239" t="str">
        <f t="shared" si="26"/>
        <v>T-How</v>
      </c>
      <c r="O2363" s="6">
        <f>VLOOKUP(D2363,'Mapped Opponent'!$G$4:$H$22,2,0)</f>
        <v>17</v>
      </c>
      <c r="P2363" s="6"/>
      <c r="Q2363" s="6" t="str">
        <f t="shared" si="4"/>
        <v>Week 17</v>
      </c>
      <c r="R2363" s="6" t="str">
        <f t="shared" si="5"/>
        <v>2023Round 3</v>
      </c>
      <c r="S2363" s="6">
        <f>IFERROR(__xludf.DUMMYFUNCTION("rank(J2363,FILTER(J:J,R:R=R2363))"),10.0)</f>
        <v>10</v>
      </c>
      <c r="T2363" s="6">
        <f t="shared" si="6"/>
        <v>2</v>
      </c>
      <c r="U2363" s="6">
        <f t="shared" si="7"/>
        <v>10</v>
      </c>
      <c r="V2363" s="42">
        <f>averageif(AllData!A:A,B2363,AllData!R:R)/vlookup(B2363,AllData!A:O,15,0)</f>
        <v>93.35904762</v>
      </c>
      <c r="W2363" s="6"/>
    </row>
    <row r="2364" ht="14.25" customHeight="1">
      <c r="A2364" s="6" t="str">
        <f t="shared" si="28"/>
        <v>2023KnardDawg17</v>
      </c>
      <c r="B2364" s="59">
        <v>2023.0</v>
      </c>
      <c r="C2364" s="13" t="s">
        <v>86</v>
      </c>
      <c r="D2364" s="13" t="s">
        <v>154</v>
      </c>
      <c r="E2364" s="34"/>
      <c r="F2364" s="6"/>
      <c r="H2364" s="6"/>
      <c r="I2364" s="35" t="str">
        <f>IFERROR(IFERROR(IFERROR(VLOOKUP(B2364&amp;C2364&amp;Q2364,'New Weekly Paste'!A:M,10,0),VLOOKUP(B2364&amp;C2364&amp;Q2364,'New Weekly Paste'!B:O,6,0)),""),"")</f>
        <v>Cock</v>
      </c>
      <c r="J2364" s="259">
        <f>IFERROR(IFERROR(VLOOKUP(B2364&amp;C2364&amp;Q2364,'New Weekly Paste'!A:M,8,0),VLOOKUP(B2364&amp;C2364&amp;Q2364,'New Weekly Paste'!B:O,10,0)),0)</f>
        <v>92</v>
      </c>
      <c r="K2364" s="259">
        <f>IFERROR(IFERROR(VLOOKUP(B2364&amp;I2364&amp;Q2364,'New Weekly Paste'!A:M,8,0),VLOOKUP(B2364&amp;I2364&amp;Q2364,'New Weekly Paste'!B:O,10,0)),0)</f>
        <v>103.6</v>
      </c>
      <c r="L2364" s="239">
        <f t="shared" si="25"/>
        <v>0</v>
      </c>
      <c r="M2364" s="36" t="str">
        <f t="shared" si="3"/>
        <v>Playoffs</v>
      </c>
      <c r="N2364" s="239" t="str">
        <f t="shared" si="26"/>
        <v>Cock</v>
      </c>
      <c r="O2364" s="6">
        <f>VLOOKUP(D2364,'Mapped Opponent'!$G$4:$H$22,2,0)</f>
        <v>17</v>
      </c>
      <c r="P2364" s="6"/>
      <c r="Q2364" s="6" t="str">
        <f t="shared" si="4"/>
        <v>Week 17</v>
      </c>
      <c r="R2364" s="6" t="str">
        <f t="shared" si="5"/>
        <v>2023Round 3</v>
      </c>
      <c r="S2364" s="6">
        <f>IFERROR(__xludf.DUMMYFUNCTION("rank(J2364,FILTER(J:J,R:R=R2364))"),9.0)</f>
        <v>9</v>
      </c>
      <c r="T2364" s="6">
        <f t="shared" si="6"/>
        <v>3</v>
      </c>
      <c r="U2364" s="6">
        <f t="shared" si="7"/>
        <v>9</v>
      </c>
      <c r="V2364" s="42">
        <f>averageif(AllData!A:A,B2364,AllData!R:R)/vlookup(B2364,AllData!A:O,15,0)</f>
        <v>93.35904762</v>
      </c>
      <c r="W2364" s="6"/>
    </row>
    <row r="2365" ht="14.25" customHeight="1">
      <c r="A2365" s="6" t="str">
        <f t="shared" si="28"/>
        <v>2023T-How17</v>
      </c>
      <c r="B2365" s="59">
        <v>2023.0</v>
      </c>
      <c r="C2365" s="13" t="s">
        <v>82</v>
      </c>
      <c r="D2365" s="13" t="s">
        <v>154</v>
      </c>
      <c r="E2365" s="34"/>
      <c r="F2365" s="6"/>
      <c r="H2365" s="6"/>
      <c r="I2365" s="35" t="str">
        <f>IFERROR(IFERROR(IFERROR(VLOOKUP(B2365&amp;C2365&amp;Q2365,'New Weekly Paste'!A:M,10,0),VLOOKUP(B2365&amp;C2365&amp;Q2365,'New Weekly Paste'!B:O,6,0)),""),"")</f>
        <v>Tayski</v>
      </c>
      <c r="J2365" s="259">
        <f>IFERROR(IFERROR(VLOOKUP(B2365&amp;C2365&amp;Q2365,'New Weekly Paste'!A:M,8,0),VLOOKUP(B2365&amp;C2365&amp;Q2365,'New Weekly Paste'!B:O,10,0)),0)</f>
        <v>99.94</v>
      </c>
      <c r="K2365" s="259">
        <f>IFERROR(IFERROR(VLOOKUP(B2365&amp;I2365&amp;Q2365,'New Weekly Paste'!A:M,8,0),VLOOKUP(B2365&amp;I2365&amp;Q2365,'New Weekly Paste'!B:O,10,0)),0)</f>
        <v>83.62</v>
      </c>
      <c r="L2365" s="239">
        <f t="shared" si="25"/>
        <v>1</v>
      </c>
      <c r="M2365" s="36" t="str">
        <f t="shared" si="3"/>
        <v>Playoffs</v>
      </c>
      <c r="N2365" s="239" t="str">
        <f t="shared" si="26"/>
        <v>Tayski</v>
      </c>
      <c r="O2365" s="6">
        <f>VLOOKUP(D2365,'Mapped Opponent'!$G$4:$H$22,2,0)</f>
        <v>17</v>
      </c>
      <c r="P2365" s="6"/>
      <c r="Q2365" s="6" t="str">
        <f t="shared" si="4"/>
        <v>Week 17</v>
      </c>
      <c r="R2365" s="6" t="str">
        <f t="shared" si="5"/>
        <v>2023Round 3</v>
      </c>
      <c r="S2365" s="6">
        <f>IFERROR(__xludf.DUMMYFUNCTION("rank(J2365,FILTER(J:J,R:R=R2365))"),6.0)</f>
        <v>6</v>
      </c>
      <c r="T2365" s="6">
        <f t="shared" si="6"/>
        <v>6</v>
      </c>
      <c r="U2365" s="6">
        <f t="shared" si="7"/>
        <v>6</v>
      </c>
      <c r="V2365" s="42">
        <f>averageif(AllData!A:A,B2365,AllData!R:R)/vlookup(B2365,AllData!A:O,15,0)</f>
        <v>93.35904762</v>
      </c>
      <c r="W2365" s="6"/>
    </row>
    <row r="2366" ht="14.25" customHeight="1">
      <c r="A2366" s="6" t="str">
        <f t="shared" si="28"/>
        <v>2023Hudspeath1</v>
      </c>
      <c r="B2366" s="59">
        <v>2023.0</v>
      </c>
      <c r="C2366" s="13" t="s">
        <v>39</v>
      </c>
      <c r="D2366" s="13" t="s">
        <v>129</v>
      </c>
      <c r="E2366" s="34"/>
      <c r="F2366" s="6"/>
      <c r="H2366" s="6"/>
      <c r="I2366" s="35" t="str">
        <f>IFERROR(IFERROR(IFERROR(VLOOKUP(B2366&amp;C2366&amp;Q2366,'New Weekly Paste'!A:M,10,0),VLOOKUP(B2366&amp;C2366&amp;Q2366,'New Weekly Paste'!B:O,6,0)),""),"")</f>
        <v>Tayski</v>
      </c>
      <c r="J2366" s="259">
        <f>IFERROR(IFERROR(VLOOKUP(B2366&amp;C2366&amp;Q2366,'New Weekly Paste'!A:M,8,0),VLOOKUP(B2366&amp;C2366&amp;Q2366,'New Weekly Paste'!B:O,10,0)),0)</f>
        <v>72.78</v>
      </c>
      <c r="K2366" s="259">
        <f>IFERROR(IFERROR(VLOOKUP(B2366&amp;I2366&amp;Q2366,'New Weekly Paste'!A:M,8,0),VLOOKUP(B2366&amp;I2366&amp;Q2366,'New Weekly Paste'!B:O,10,0)),0)</f>
        <v>92.74</v>
      </c>
      <c r="L2366" s="239">
        <f t="shared" si="25"/>
        <v>0</v>
      </c>
      <c r="M2366" s="36" t="str">
        <f t="shared" si="3"/>
        <v>Regular Season</v>
      </c>
      <c r="N2366" s="239" t="str">
        <f t="shared" si="26"/>
        <v>Tayski</v>
      </c>
      <c r="O2366" s="6">
        <f>VLOOKUP(D2366,'Mapped Opponent'!$G$4:$H$22,2,0)</f>
        <v>1</v>
      </c>
      <c r="P2366" s="6"/>
      <c r="Q2366" s="6" t="str">
        <f t="shared" si="4"/>
        <v>Week 1</v>
      </c>
      <c r="R2366" s="6" t="str">
        <f t="shared" si="5"/>
        <v>2023Week 1</v>
      </c>
      <c r="S2366" s="6">
        <f>IFERROR(__xludf.DUMMYFUNCTION("rank(J2366,FILTER(J:J,R:R=R2366))"),9.0)</f>
        <v>9</v>
      </c>
      <c r="T2366" s="6">
        <f t="shared" si="6"/>
        <v>3</v>
      </c>
      <c r="U2366" s="6">
        <f t="shared" si="7"/>
        <v>9</v>
      </c>
      <c r="V2366" s="42">
        <f>averageif(AllData!A:A,B2366,AllData!R:R)/vlookup(B2366,AllData!A:O,15,0)</f>
        <v>93.35904762</v>
      </c>
      <c r="W2366" s="6"/>
    </row>
    <row r="2367" ht="14.25" customHeight="1">
      <c r="A2367" s="6" t="str">
        <f t="shared" si="28"/>
        <v>2023Salty1</v>
      </c>
      <c r="B2367" s="59">
        <v>2023.0</v>
      </c>
      <c r="C2367" s="13" t="s">
        <v>76</v>
      </c>
      <c r="D2367" s="13" t="s">
        <v>129</v>
      </c>
      <c r="E2367" s="34"/>
      <c r="F2367" s="6"/>
      <c r="H2367" s="6"/>
      <c r="I2367" s="35" t="str">
        <f>IFERROR(IFERROR(IFERROR(VLOOKUP(B2367&amp;C2367&amp;Q2367,'New Weekly Paste'!A:M,10,0),VLOOKUP(B2367&amp;C2367&amp;Q2367,'New Weekly Paste'!B:O,6,0)),""),"")</f>
        <v>Riley</v>
      </c>
      <c r="J2367" s="259">
        <f>IFERROR(IFERROR(VLOOKUP(B2367&amp;C2367&amp;Q2367,'New Weekly Paste'!A:M,8,0),VLOOKUP(B2367&amp;C2367&amp;Q2367,'New Weekly Paste'!B:O,10,0)),0)</f>
        <v>63.14</v>
      </c>
      <c r="K2367" s="259">
        <f>IFERROR(IFERROR(VLOOKUP(B2367&amp;I2367&amp;Q2367,'New Weekly Paste'!A:M,8,0),VLOOKUP(B2367&amp;I2367&amp;Q2367,'New Weekly Paste'!B:O,10,0)),0)</f>
        <v>79.86</v>
      </c>
      <c r="L2367" s="239">
        <f t="shared" si="25"/>
        <v>0</v>
      </c>
      <c r="M2367" s="36" t="str">
        <f t="shared" si="3"/>
        <v>Regular Season</v>
      </c>
      <c r="N2367" s="239" t="str">
        <f t="shared" si="26"/>
        <v>Riley</v>
      </c>
      <c r="O2367" s="6">
        <f>VLOOKUP(D2367,'Mapped Opponent'!$G$4:$H$22,2,0)</f>
        <v>1</v>
      </c>
      <c r="P2367" s="6"/>
      <c r="Q2367" s="6" t="str">
        <f t="shared" si="4"/>
        <v>Week 1</v>
      </c>
      <c r="R2367" s="6" t="str">
        <f t="shared" si="5"/>
        <v>2023Week 1</v>
      </c>
      <c r="S2367" s="6">
        <f>IFERROR(__xludf.DUMMYFUNCTION("rank(J2367,FILTER(J:J,R:R=R2367))"),11.0)</f>
        <v>11</v>
      </c>
      <c r="T2367" s="6">
        <f t="shared" si="6"/>
        <v>1</v>
      </c>
      <c r="U2367" s="6">
        <f t="shared" si="7"/>
        <v>11</v>
      </c>
      <c r="V2367" s="42">
        <f>averageif(AllData!A:A,B2367,AllData!R:R)/vlookup(B2367,AllData!A:O,15,0)</f>
        <v>93.35904762</v>
      </c>
      <c r="W2367" s="6"/>
    </row>
    <row r="2368" ht="14.25" customHeight="1">
      <c r="A2368" s="6" t="str">
        <f t="shared" si="28"/>
        <v>2023Ewert1</v>
      </c>
      <c r="B2368" s="59">
        <v>2023.0</v>
      </c>
      <c r="C2368" s="13" t="s">
        <v>108</v>
      </c>
      <c r="D2368" s="13" t="s">
        <v>129</v>
      </c>
      <c r="E2368" s="34"/>
      <c r="F2368" s="6"/>
      <c r="H2368" s="6"/>
      <c r="I2368" s="35" t="str">
        <f>IFERROR(IFERROR(IFERROR(VLOOKUP(B2368&amp;C2368&amp;Q2368,'New Weekly Paste'!A:M,10,0),VLOOKUP(B2368&amp;C2368&amp;Q2368,'New Weekly Paste'!B:O,6,0)),""),"")</f>
        <v>Shep</v>
      </c>
      <c r="J2368" s="259">
        <f>IFERROR(IFERROR(VLOOKUP(B2368&amp;C2368&amp;Q2368,'New Weekly Paste'!A:M,8,0),VLOOKUP(B2368&amp;C2368&amp;Q2368,'New Weekly Paste'!B:O,10,0)),0)</f>
        <v>78.24</v>
      </c>
      <c r="K2368" s="259">
        <f>IFERROR(IFERROR(VLOOKUP(B2368&amp;I2368&amp;Q2368,'New Weekly Paste'!A:M,8,0),VLOOKUP(B2368&amp;I2368&amp;Q2368,'New Weekly Paste'!B:O,10,0)),0)</f>
        <v>119.02</v>
      </c>
      <c r="L2368" s="239">
        <f t="shared" si="25"/>
        <v>0</v>
      </c>
      <c r="M2368" s="36" t="str">
        <f t="shared" si="3"/>
        <v>Regular Season</v>
      </c>
      <c r="N2368" s="239" t="str">
        <f t="shared" si="26"/>
        <v>Shep</v>
      </c>
      <c r="O2368" s="6">
        <f>VLOOKUP(D2368,'Mapped Opponent'!$G$4:$H$22,2,0)</f>
        <v>1</v>
      </c>
      <c r="P2368" s="6"/>
      <c r="Q2368" s="6" t="str">
        <f t="shared" si="4"/>
        <v>Week 1</v>
      </c>
      <c r="R2368" s="6" t="str">
        <f t="shared" si="5"/>
        <v>2023Week 1</v>
      </c>
      <c r="S2368" s="6">
        <f>IFERROR(__xludf.DUMMYFUNCTION("rank(J2368,FILTER(J:J,R:R=R2368))"),8.0)</f>
        <v>8</v>
      </c>
      <c r="T2368" s="6">
        <f t="shared" si="6"/>
        <v>4</v>
      </c>
      <c r="U2368" s="6">
        <f t="shared" si="7"/>
        <v>8</v>
      </c>
      <c r="V2368" s="42">
        <f>averageif(AllData!A:A,B2368,AllData!R:R)/vlookup(B2368,AllData!A:O,15,0)</f>
        <v>93.35904762</v>
      </c>
      <c r="W2368" s="6"/>
    </row>
    <row r="2369" ht="14.25" customHeight="1">
      <c r="A2369" s="6" t="str">
        <f t="shared" si="28"/>
        <v>2023Shep1</v>
      </c>
      <c r="B2369" s="59">
        <v>2023.0</v>
      </c>
      <c r="C2369" s="13" t="s">
        <v>89</v>
      </c>
      <c r="D2369" s="13" t="s">
        <v>129</v>
      </c>
      <c r="E2369" s="34"/>
      <c r="F2369" s="6"/>
      <c r="H2369" s="6"/>
      <c r="I2369" s="35" t="str">
        <f>IFERROR(IFERROR(IFERROR(VLOOKUP(B2369&amp;C2369&amp;Q2369,'New Weekly Paste'!A:M,10,0),VLOOKUP(B2369&amp;C2369&amp;Q2369,'New Weekly Paste'!B:O,6,0)),""),"")</f>
        <v>Ewert</v>
      </c>
      <c r="J2369" s="259">
        <f>IFERROR(IFERROR(VLOOKUP(B2369&amp;C2369&amp;Q2369,'New Weekly Paste'!A:M,8,0),VLOOKUP(B2369&amp;C2369&amp;Q2369,'New Weekly Paste'!B:O,10,0)),0)</f>
        <v>119.02</v>
      </c>
      <c r="K2369" s="259">
        <f>IFERROR(IFERROR(VLOOKUP(B2369&amp;I2369&amp;Q2369,'New Weekly Paste'!A:M,8,0),VLOOKUP(B2369&amp;I2369&amp;Q2369,'New Weekly Paste'!B:O,10,0)),0)</f>
        <v>78.24</v>
      </c>
      <c r="L2369" s="239">
        <f t="shared" si="25"/>
        <v>1</v>
      </c>
      <c r="M2369" s="36" t="str">
        <f t="shared" si="3"/>
        <v>Regular Season</v>
      </c>
      <c r="N2369" s="239" t="str">
        <f t="shared" si="26"/>
        <v>Ewert</v>
      </c>
      <c r="O2369" s="6">
        <f>VLOOKUP(D2369,'Mapped Opponent'!$G$4:$H$22,2,0)</f>
        <v>1</v>
      </c>
      <c r="P2369" s="6"/>
      <c r="Q2369" s="6" t="str">
        <f t="shared" si="4"/>
        <v>Week 1</v>
      </c>
      <c r="R2369" s="6" t="str">
        <f t="shared" si="5"/>
        <v>2023Week 1</v>
      </c>
      <c r="S2369" s="6">
        <f>IFERROR(__xludf.DUMMYFUNCTION("rank(J2369,FILTER(J:J,R:R=R2369))"),1.0)</f>
        <v>1</v>
      </c>
      <c r="T2369" s="6">
        <f t="shared" si="6"/>
        <v>11</v>
      </c>
      <c r="U2369" s="6">
        <f t="shared" si="7"/>
        <v>1</v>
      </c>
      <c r="V2369" s="42">
        <f>averageif(AllData!A:A,B2369,AllData!R:R)/vlookup(B2369,AllData!A:O,15,0)</f>
        <v>93.35904762</v>
      </c>
      <c r="W2369" s="6"/>
    </row>
    <row r="2370" ht="14.25" customHeight="1">
      <c r="A2370" s="6" t="str">
        <f t="shared" si="28"/>
        <v>2023Riley1</v>
      </c>
      <c r="B2370" s="59">
        <v>2023.0</v>
      </c>
      <c r="C2370" s="13" t="s">
        <v>67</v>
      </c>
      <c r="D2370" s="13" t="s">
        <v>129</v>
      </c>
      <c r="E2370" s="34"/>
      <c r="F2370" s="6"/>
      <c r="H2370" s="6"/>
      <c r="I2370" s="35" t="str">
        <f>IFERROR(IFERROR(IFERROR(VLOOKUP(B2370&amp;C2370&amp;Q2370,'New Weekly Paste'!A:M,10,0),VLOOKUP(B2370&amp;C2370&amp;Q2370,'New Weekly Paste'!B:O,6,0)),""),"")</f>
        <v>Salty</v>
      </c>
      <c r="J2370" s="259">
        <f>IFERROR(IFERROR(VLOOKUP(B2370&amp;C2370&amp;Q2370,'New Weekly Paste'!A:M,8,0),VLOOKUP(B2370&amp;C2370&amp;Q2370,'New Weekly Paste'!B:O,10,0)),0)</f>
        <v>79.86</v>
      </c>
      <c r="K2370" s="259">
        <f>IFERROR(IFERROR(VLOOKUP(B2370&amp;I2370&amp;Q2370,'New Weekly Paste'!A:M,8,0),VLOOKUP(B2370&amp;I2370&amp;Q2370,'New Weekly Paste'!B:O,10,0)),0)</f>
        <v>63.14</v>
      </c>
      <c r="L2370" s="239">
        <f t="shared" si="25"/>
        <v>1</v>
      </c>
      <c r="M2370" s="36" t="str">
        <f t="shared" si="3"/>
        <v>Regular Season</v>
      </c>
      <c r="N2370" s="239" t="str">
        <f t="shared" si="26"/>
        <v>Salty</v>
      </c>
      <c r="O2370" s="6">
        <f>VLOOKUP(D2370,'Mapped Opponent'!$G$4:$H$22,2,0)</f>
        <v>1</v>
      </c>
      <c r="P2370" s="6"/>
      <c r="Q2370" s="6" t="str">
        <f t="shared" si="4"/>
        <v>Week 1</v>
      </c>
      <c r="R2370" s="6" t="str">
        <f t="shared" si="5"/>
        <v>2023Week 1</v>
      </c>
      <c r="S2370" s="6">
        <f>IFERROR(__xludf.DUMMYFUNCTION("rank(J2370,FILTER(J:J,R:R=R2370))"),7.0)</f>
        <v>7</v>
      </c>
      <c r="T2370" s="6">
        <f t="shared" si="6"/>
        <v>5</v>
      </c>
      <c r="U2370" s="6">
        <f t="shared" si="7"/>
        <v>7</v>
      </c>
      <c r="V2370" s="42">
        <f>averageif(AllData!A:A,B2370,AllData!R:R)/vlookup(B2370,AllData!A:O,15,0)</f>
        <v>93.35904762</v>
      </c>
      <c r="W2370" s="6"/>
    </row>
    <row r="2371" ht="14.25" customHeight="1">
      <c r="A2371" s="6" t="str">
        <f t="shared" si="28"/>
        <v>2023Rooney/Jackson1</v>
      </c>
      <c r="B2371" s="59">
        <v>2023.0</v>
      </c>
      <c r="C2371" s="13" t="s">
        <v>57</v>
      </c>
      <c r="D2371" s="13" t="s">
        <v>129</v>
      </c>
      <c r="E2371" s="34"/>
      <c r="F2371" s="6"/>
      <c r="H2371" s="6"/>
      <c r="I2371" s="35" t="str">
        <f>IFERROR(IFERROR(IFERROR(VLOOKUP(B2371&amp;C2371&amp;Q2371,'New Weekly Paste'!A:M,10,0),VLOOKUP(B2371&amp;C2371&amp;Q2371,'New Weekly Paste'!B:O,6,0)),""),"")</f>
        <v>Cock</v>
      </c>
      <c r="J2371" s="259">
        <f>IFERROR(IFERROR(VLOOKUP(B2371&amp;C2371&amp;Q2371,'New Weekly Paste'!A:M,8,0),VLOOKUP(B2371&amp;C2371&amp;Q2371,'New Weekly Paste'!B:O,10,0)),0)</f>
        <v>86.66</v>
      </c>
      <c r="K2371" s="259">
        <f>IFERROR(IFERROR(VLOOKUP(B2371&amp;I2371&amp;Q2371,'New Weekly Paste'!A:M,8,0),VLOOKUP(B2371&amp;I2371&amp;Q2371,'New Weekly Paste'!B:O,10,0)),0)</f>
        <v>100.14</v>
      </c>
      <c r="L2371" s="239">
        <f t="shared" si="25"/>
        <v>0</v>
      </c>
      <c r="M2371" s="36" t="str">
        <f t="shared" si="3"/>
        <v>Regular Season</v>
      </c>
      <c r="N2371" s="239" t="str">
        <f t="shared" si="26"/>
        <v>Cock</v>
      </c>
      <c r="O2371" s="6">
        <f>VLOOKUP(D2371,'Mapped Opponent'!$G$4:$H$22,2,0)</f>
        <v>1</v>
      </c>
      <c r="P2371" s="6"/>
      <c r="Q2371" s="6" t="str">
        <f t="shared" si="4"/>
        <v>Week 1</v>
      </c>
      <c r="R2371" s="6" t="str">
        <f t="shared" si="5"/>
        <v>2023Week 1</v>
      </c>
      <c r="S2371" s="6">
        <f>IFERROR(__xludf.DUMMYFUNCTION("rank(J2371,FILTER(J:J,R:R=R2371))"),6.0)</f>
        <v>6</v>
      </c>
      <c r="T2371" s="6">
        <f t="shared" si="6"/>
        <v>6</v>
      </c>
      <c r="U2371" s="6">
        <f t="shared" si="7"/>
        <v>6</v>
      </c>
      <c r="V2371" s="42">
        <f>averageif(AllData!A:A,B2371,AllData!R:R)/vlookup(B2371,AllData!A:O,15,0)</f>
        <v>93.35904762</v>
      </c>
      <c r="W2371" s="6"/>
    </row>
    <row r="2372" ht="14.25" customHeight="1">
      <c r="A2372" s="6" t="str">
        <f t="shared" si="28"/>
        <v>2023Buser1</v>
      </c>
      <c r="B2372" s="59">
        <v>2023.0</v>
      </c>
      <c r="C2372" s="13" t="s">
        <v>47</v>
      </c>
      <c r="D2372" s="13" t="s">
        <v>129</v>
      </c>
      <c r="E2372" s="34"/>
      <c r="F2372" s="6"/>
      <c r="H2372" s="6"/>
      <c r="I2372" s="35" t="str">
        <f>IFERROR(IFERROR(IFERROR(VLOOKUP(B2372&amp;C2372&amp;Q2372,'New Weekly Paste'!A:M,10,0),VLOOKUP(B2372&amp;C2372&amp;Q2372,'New Weekly Paste'!B:O,6,0)),""),"")</f>
        <v>Pierson</v>
      </c>
      <c r="J2372" s="259">
        <f>IFERROR(IFERROR(VLOOKUP(B2372&amp;C2372&amp;Q2372,'New Weekly Paste'!A:M,8,0),VLOOKUP(B2372&amp;C2372&amp;Q2372,'New Weekly Paste'!B:O,10,0)),0)</f>
        <v>56.48</v>
      </c>
      <c r="K2372" s="259">
        <f>IFERROR(IFERROR(VLOOKUP(B2372&amp;I2372&amp;Q2372,'New Weekly Paste'!A:M,8,0),VLOOKUP(B2372&amp;I2372&amp;Q2372,'New Weekly Paste'!B:O,10,0)),0)</f>
        <v>71.4</v>
      </c>
      <c r="L2372" s="239">
        <f t="shared" si="25"/>
        <v>0</v>
      </c>
      <c r="M2372" s="36" t="str">
        <f t="shared" si="3"/>
        <v>Regular Season</v>
      </c>
      <c r="N2372" s="239" t="str">
        <f t="shared" si="26"/>
        <v>Pierson</v>
      </c>
      <c r="O2372" s="6">
        <f>VLOOKUP(D2372,'Mapped Opponent'!$G$4:$H$22,2,0)</f>
        <v>1</v>
      </c>
      <c r="P2372" s="6"/>
      <c r="Q2372" s="6" t="str">
        <f t="shared" si="4"/>
        <v>Week 1</v>
      </c>
      <c r="R2372" s="6" t="str">
        <f t="shared" si="5"/>
        <v>2023Week 1</v>
      </c>
      <c r="S2372" s="6">
        <f>IFERROR(__xludf.DUMMYFUNCTION("rank(J2372,FILTER(J:J,R:R=R2372))"),12.0)</f>
        <v>12</v>
      </c>
      <c r="T2372" s="6">
        <f t="shared" si="6"/>
        <v>0</v>
      </c>
      <c r="U2372" s="6">
        <f t="shared" si="7"/>
        <v>12</v>
      </c>
      <c r="V2372" s="42">
        <f>averageif(AllData!A:A,B2372,AllData!R:R)/vlookup(B2372,AllData!A:O,15,0)</f>
        <v>93.35904762</v>
      </c>
      <c r="W2372" s="6"/>
    </row>
    <row r="2373" ht="14.25" customHeight="1">
      <c r="A2373" s="6" t="str">
        <f t="shared" si="28"/>
        <v>2023Pierson1</v>
      </c>
      <c r="B2373" s="59">
        <v>2023.0</v>
      </c>
      <c r="C2373" s="13" t="s">
        <v>92</v>
      </c>
      <c r="D2373" s="13" t="s">
        <v>129</v>
      </c>
      <c r="E2373" s="34"/>
      <c r="F2373" s="6"/>
      <c r="H2373" s="6"/>
      <c r="I2373" s="35" t="str">
        <f>IFERROR(IFERROR(IFERROR(VLOOKUP(B2373&amp;C2373&amp;Q2373,'New Weekly Paste'!A:M,10,0),VLOOKUP(B2373&amp;C2373&amp;Q2373,'New Weekly Paste'!B:O,6,0)),""),"")</f>
        <v>Buser</v>
      </c>
      <c r="J2373" s="259">
        <f>IFERROR(IFERROR(VLOOKUP(B2373&amp;C2373&amp;Q2373,'New Weekly Paste'!A:M,8,0),VLOOKUP(B2373&amp;C2373&amp;Q2373,'New Weekly Paste'!B:O,10,0)),0)</f>
        <v>71.4</v>
      </c>
      <c r="K2373" s="259">
        <f>IFERROR(IFERROR(VLOOKUP(B2373&amp;I2373&amp;Q2373,'New Weekly Paste'!A:M,8,0),VLOOKUP(B2373&amp;I2373&amp;Q2373,'New Weekly Paste'!B:O,10,0)),0)</f>
        <v>56.48</v>
      </c>
      <c r="L2373" s="239">
        <f t="shared" si="25"/>
        <v>1</v>
      </c>
      <c r="M2373" s="36" t="str">
        <f t="shared" si="3"/>
        <v>Regular Season</v>
      </c>
      <c r="N2373" s="239" t="str">
        <f t="shared" si="26"/>
        <v>Buser</v>
      </c>
      <c r="O2373" s="6">
        <f>VLOOKUP(D2373,'Mapped Opponent'!$G$4:$H$22,2,0)</f>
        <v>1</v>
      </c>
      <c r="P2373" s="6"/>
      <c r="Q2373" s="6" t="str">
        <f t="shared" si="4"/>
        <v>Week 1</v>
      </c>
      <c r="R2373" s="6" t="str">
        <f t="shared" si="5"/>
        <v>2023Week 1</v>
      </c>
      <c r="S2373" s="6">
        <f>IFERROR(__xludf.DUMMYFUNCTION("rank(J2373,FILTER(J:J,R:R=R2373))"),10.0)</f>
        <v>10</v>
      </c>
      <c r="T2373" s="6">
        <f t="shared" si="6"/>
        <v>2</v>
      </c>
      <c r="U2373" s="6">
        <f t="shared" si="7"/>
        <v>10</v>
      </c>
      <c r="V2373" s="42">
        <f>averageif(AllData!A:A,B2373,AllData!R:R)/vlookup(B2373,AllData!A:O,15,0)</f>
        <v>93.35904762</v>
      </c>
      <c r="W2373" s="6"/>
    </row>
    <row r="2374" ht="14.25" customHeight="1">
      <c r="A2374" s="6" t="str">
        <f t="shared" si="28"/>
        <v>2023Cock1</v>
      </c>
      <c r="B2374" s="59">
        <v>2023.0</v>
      </c>
      <c r="C2374" s="13" t="s">
        <v>72</v>
      </c>
      <c r="D2374" s="13" t="s">
        <v>129</v>
      </c>
      <c r="E2374" s="34"/>
      <c r="F2374" s="6"/>
      <c r="H2374" s="6"/>
      <c r="I2374" s="35" t="str">
        <f>IFERROR(IFERROR(IFERROR(VLOOKUP(B2374&amp;C2374&amp;Q2374,'New Weekly Paste'!A:M,10,0),VLOOKUP(B2374&amp;C2374&amp;Q2374,'New Weekly Paste'!B:O,6,0)),""),"")</f>
        <v>Rooney/Jackson</v>
      </c>
      <c r="J2374" s="259">
        <f>IFERROR(IFERROR(VLOOKUP(B2374&amp;C2374&amp;Q2374,'New Weekly Paste'!A:M,8,0),VLOOKUP(B2374&amp;C2374&amp;Q2374,'New Weekly Paste'!B:O,10,0)),0)</f>
        <v>100.14</v>
      </c>
      <c r="K2374" s="259">
        <f>IFERROR(IFERROR(VLOOKUP(B2374&amp;I2374&amp;Q2374,'New Weekly Paste'!A:M,8,0),VLOOKUP(B2374&amp;I2374&amp;Q2374,'New Weekly Paste'!B:O,10,0)),0)</f>
        <v>86.66</v>
      </c>
      <c r="L2374" s="239">
        <f t="shared" si="25"/>
        <v>1</v>
      </c>
      <c r="M2374" s="36" t="str">
        <f t="shared" si="3"/>
        <v>Regular Season</v>
      </c>
      <c r="N2374" s="239" t="str">
        <f t="shared" si="26"/>
        <v>Rooney/Jackson</v>
      </c>
      <c r="O2374" s="6">
        <f>VLOOKUP(D2374,'Mapped Opponent'!$G$4:$H$22,2,0)</f>
        <v>1</v>
      </c>
      <c r="P2374" s="6"/>
      <c r="Q2374" s="6" t="str">
        <f t="shared" si="4"/>
        <v>Week 1</v>
      </c>
      <c r="R2374" s="6" t="str">
        <f t="shared" si="5"/>
        <v>2023Week 1</v>
      </c>
      <c r="S2374" s="6">
        <f>IFERROR(__xludf.DUMMYFUNCTION("rank(J2374,FILTER(J:J,R:R=R2374))"),3.0)</f>
        <v>3</v>
      </c>
      <c r="T2374" s="6">
        <f t="shared" si="6"/>
        <v>9</v>
      </c>
      <c r="U2374" s="6">
        <f t="shared" si="7"/>
        <v>3</v>
      </c>
      <c r="V2374" s="42">
        <f>averageif(AllData!A:A,B2374,AllData!R:R)/vlookup(B2374,AllData!A:O,15,0)</f>
        <v>93.35904762</v>
      </c>
      <c r="W2374" s="6"/>
    </row>
    <row r="2375" ht="14.25" customHeight="1">
      <c r="A2375" s="6" t="str">
        <f t="shared" si="28"/>
        <v>2023Tayski1</v>
      </c>
      <c r="B2375" s="59">
        <v>2023.0</v>
      </c>
      <c r="C2375" s="13" t="s">
        <v>52</v>
      </c>
      <c r="D2375" s="13" t="s">
        <v>129</v>
      </c>
      <c r="E2375" s="34"/>
      <c r="F2375" s="6"/>
      <c r="H2375" s="6"/>
      <c r="I2375" s="35" t="str">
        <f>IFERROR(IFERROR(IFERROR(VLOOKUP(B2375&amp;C2375&amp;Q2375,'New Weekly Paste'!A:M,10,0),VLOOKUP(B2375&amp;C2375&amp;Q2375,'New Weekly Paste'!B:O,6,0)),""),"")</f>
        <v>Hudspeath</v>
      </c>
      <c r="J2375" s="259">
        <f>IFERROR(IFERROR(VLOOKUP(B2375&amp;C2375&amp;Q2375,'New Weekly Paste'!A:M,8,0),VLOOKUP(B2375&amp;C2375&amp;Q2375,'New Weekly Paste'!B:O,10,0)),0)</f>
        <v>92.74</v>
      </c>
      <c r="K2375" s="259">
        <f>IFERROR(IFERROR(VLOOKUP(B2375&amp;I2375&amp;Q2375,'New Weekly Paste'!A:M,8,0),VLOOKUP(B2375&amp;I2375&amp;Q2375,'New Weekly Paste'!B:O,10,0)),0)</f>
        <v>72.78</v>
      </c>
      <c r="L2375" s="239">
        <f t="shared" si="25"/>
        <v>1</v>
      </c>
      <c r="M2375" s="36" t="str">
        <f t="shared" si="3"/>
        <v>Regular Season</v>
      </c>
      <c r="N2375" s="239" t="str">
        <f t="shared" si="26"/>
        <v>Hudspeath</v>
      </c>
      <c r="O2375" s="6">
        <f>VLOOKUP(D2375,'Mapped Opponent'!$G$4:$H$22,2,0)</f>
        <v>1</v>
      </c>
      <c r="P2375" s="6"/>
      <c r="Q2375" s="6" t="str">
        <f t="shared" si="4"/>
        <v>Week 1</v>
      </c>
      <c r="R2375" s="6" t="str">
        <f t="shared" si="5"/>
        <v>2023Week 1</v>
      </c>
      <c r="S2375" s="6">
        <f>IFERROR(__xludf.DUMMYFUNCTION("rank(J2375,FILTER(J:J,R:R=R2375))"),5.0)</f>
        <v>5</v>
      </c>
      <c r="T2375" s="6">
        <f t="shared" si="6"/>
        <v>7</v>
      </c>
      <c r="U2375" s="6">
        <f t="shared" si="7"/>
        <v>5</v>
      </c>
      <c r="V2375" s="42">
        <f>averageif(AllData!A:A,B2375,AllData!R:R)/vlookup(B2375,AllData!A:O,15,0)</f>
        <v>93.35904762</v>
      </c>
      <c r="W2375" s="6"/>
    </row>
    <row r="2376" ht="14.25" customHeight="1">
      <c r="A2376" s="6" t="str">
        <f t="shared" si="28"/>
        <v>2023KnardDawg1</v>
      </c>
      <c r="B2376" s="59">
        <v>2023.0</v>
      </c>
      <c r="C2376" s="13" t="s">
        <v>86</v>
      </c>
      <c r="D2376" s="13" t="s">
        <v>129</v>
      </c>
      <c r="E2376" s="34"/>
      <c r="F2376" s="6"/>
      <c r="H2376" s="6"/>
      <c r="I2376" s="35" t="str">
        <f>IFERROR(IFERROR(IFERROR(VLOOKUP(B2376&amp;C2376&amp;Q2376,'New Weekly Paste'!A:M,10,0),VLOOKUP(B2376&amp;C2376&amp;Q2376,'New Weekly Paste'!B:O,6,0)),""),"")</f>
        <v>T-How</v>
      </c>
      <c r="J2376" s="259">
        <f>IFERROR(IFERROR(VLOOKUP(B2376&amp;C2376&amp;Q2376,'New Weekly Paste'!A:M,8,0),VLOOKUP(B2376&amp;C2376&amp;Q2376,'New Weekly Paste'!B:O,10,0)),0)</f>
        <v>94.9</v>
      </c>
      <c r="K2376" s="259">
        <f>IFERROR(IFERROR(VLOOKUP(B2376&amp;I2376&amp;Q2376,'New Weekly Paste'!A:M,8,0),VLOOKUP(B2376&amp;I2376&amp;Q2376,'New Weekly Paste'!B:O,10,0)),0)</f>
        <v>101.06</v>
      </c>
      <c r="L2376" s="239">
        <f t="shared" si="25"/>
        <v>0</v>
      </c>
      <c r="M2376" s="36" t="str">
        <f t="shared" si="3"/>
        <v>Regular Season</v>
      </c>
      <c r="N2376" s="239" t="str">
        <f t="shared" si="26"/>
        <v>T-How</v>
      </c>
      <c r="O2376" s="6">
        <f>VLOOKUP(D2376,'Mapped Opponent'!$G$4:$H$22,2,0)</f>
        <v>1</v>
      </c>
      <c r="P2376" s="6"/>
      <c r="Q2376" s="6" t="str">
        <f t="shared" si="4"/>
        <v>Week 1</v>
      </c>
      <c r="R2376" s="6" t="str">
        <f t="shared" si="5"/>
        <v>2023Week 1</v>
      </c>
      <c r="S2376" s="6">
        <f>IFERROR(__xludf.DUMMYFUNCTION("rank(J2376,FILTER(J:J,R:R=R2376))"),4.0)</f>
        <v>4</v>
      </c>
      <c r="T2376" s="6">
        <f t="shared" si="6"/>
        <v>8</v>
      </c>
      <c r="U2376" s="6">
        <f t="shared" si="7"/>
        <v>4</v>
      </c>
      <c r="V2376" s="42">
        <f>averageif(AllData!A:A,B2376,AllData!R:R)/vlookup(B2376,AllData!A:O,15,0)</f>
        <v>93.35904762</v>
      </c>
      <c r="W2376" s="6"/>
    </row>
    <row r="2377" ht="14.25" customHeight="1">
      <c r="A2377" s="6" t="str">
        <f t="shared" si="28"/>
        <v>2023T-How1</v>
      </c>
      <c r="B2377" s="59">
        <v>2023.0</v>
      </c>
      <c r="C2377" s="13" t="s">
        <v>82</v>
      </c>
      <c r="D2377" s="13" t="s">
        <v>129</v>
      </c>
      <c r="E2377" s="34"/>
      <c r="F2377" s="6"/>
      <c r="H2377" s="6"/>
      <c r="I2377" s="35" t="str">
        <f>IFERROR(IFERROR(IFERROR(VLOOKUP(B2377&amp;C2377&amp;Q2377,'New Weekly Paste'!A:M,10,0),VLOOKUP(B2377&amp;C2377&amp;Q2377,'New Weekly Paste'!B:O,6,0)),""),"")</f>
        <v>KnardDawg</v>
      </c>
      <c r="J2377" s="259">
        <f>IFERROR(IFERROR(VLOOKUP(B2377&amp;C2377&amp;Q2377,'New Weekly Paste'!A:M,8,0),VLOOKUP(B2377&amp;C2377&amp;Q2377,'New Weekly Paste'!B:O,10,0)),0)</f>
        <v>101.06</v>
      </c>
      <c r="K2377" s="259">
        <f>IFERROR(IFERROR(VLOOKUP(B2377&amp;I2377&amp;Q2377,'New Weekly Paste'!A:M,8,0),VLOOKUP(B2377&amp;I2377&amp;Q2377,'New Weekly Paste'!B:O,10,0)),0)</f>
        <v>94.9</v>
      </c>
      <c r="L2377" s="239">
        <f t="shared" si="25"/>
        <v>1</v>
      </c>
      <c r="M2377" s="36" t="str">
        <f t="shared" si="3"/>
        <v>Regular Season</v>
      </c>
      <c r="N2377" s="239" t="str">
        <f t="shared" si="26"/>
        <v>KnardDawg</v>
      </c>
      <c r="O2377" s="6">
        <f>VLOOKUP(D2377,'Mapped Opponent'!$G$4:$H$22,2,0)</f>
        <v>1</v>
      </c>
      <c r="P2377" s="6"/>
      <c r="Q2377" s="6" t="str">
        <f t="shared" si="4"/>
        <v>Week 1</v>
      </c>
      <c r="R2377" s="6" t="str">
        <f t="shared" si="5"/>
        <v>2023Week 1</v>
      </c>
      <c r="S2377" s="6">
        <f>IFERROR(__xludf.DUMMYFUNCTION("rank(J2377,FILTER(J:J,R:R=R2377))"),2.0)</f>
        <v>2</v>
      </c>
      <c r="T2377" s="6">
        <f t="shared" si="6"/>
        <v>10</v>
      </c>
      <c r="U2377" s="6">
        <f t="shared" si="7"/>
        <v>2</v>
      </c>
      <c r="V2377" s="42">
        <f>averageif(AllData!A:A,B2377,AllData!R:R)/vlookup(B2377,AllData!A:O,15,0)</f>
        <v>93.35904762</v>
      </c>
      <c r="W2377" s="6"/>
    </row>
    <row r="2378" ht="14.25" customHeight="1">
      <c r="A2378" s="6" t="str">
        <f t="shared" si="28"/>
        <v>2023Hudspeath10</v>
      </c>
      <c r="B2378" s="59">
        <v>2023.0</v>
      </c>
      <c r="C2378" s="13" t="s">
        <v>39</v>
      </c>
      <c r="D2378" s="13" t="s">
        <v>149</v>
      </c>
      <c r="E2378" s="34"/>
      <c r="F2378" s="6"/>
      <c r="H2378" s="6"/>
      <c r="I2378" s="35" t="str">
        <f>IFERROR(IFERROR(IFERROR(VLOOKUP(B2378&amp;C2378&amp;Q2378,'New Weekly Paste'!A:M,10,0),VLOOKUP(B2378&amp;C2378&amp;Q2378,'New Weekly Paste'!B:O,6,0)),""),"")</f>
        <v>Riley</v>
      </c>
      <c r="J2378" s="259">
        <f>IFERROR(IFERROR(VLOOKUP(B2378&amp;C2378&amp;Q2378,'New Weekly Paste'!A:M,8,0),VLOOKUP(B2378&amp;C2378&amp;Q2378,'New Weekly Paste'!B:O,10,0)),0)</f>
        <v>106.56</v>
      </c>
      <c r="K2378" s="259">
        <f>IFERROR(IFERROR(VLOOKUP(B2378&amp;I2378&amp;Q2378,'New Weekly Paste'!A:M,8,0),VLOOKUP(B2378&amp;I2378&amp;Q2378,'New Weekly Paste'!B:O,10,0)),0)</f>
        <v>79.22</v>
      </c>
      <c r="L2378" s="239">
        <f t="shared" si="25"/>
        <v>1</v>
      </c>
      <c r="M2378" s="36" t="str">
        <f t="shared" si="3"/>
        <v>Regular Season</v>
      </c>
      <c r="N2378" s="239" t="str">
        <f t="shared" si="26"/>
        <v>Riley</v>
      </c>
      <c r="O2378" s="6">
        <f>VLOOKUP(D2378,'Mapped Opponent'!$G$4:$H$22,2,0)</f>
        <v>10</v>
      </c>
      <c r="P2378" s="6"/>
      <c r="Q2378" s="6" t="str">
        <f t="shared" si="4"/>
        <v>Week 10</v>
      </c>
      <c r="R2378" s="6" t="str">
        <f t="shared" si="5"/>
        <v>2023Week 10</v>
      </c>
      <c r="S2378" s="6">
        <f>IFERROR(__xludf.DUMMYFUNCTION("rank(J2378,FILTER(J:J,R:R=R2378))"),4.0)</f>
        <v>4</v>
      </c>
      <c r="T2378" s="6">
        <f t="shared" si="6"/>
        <v>8</v>
      </c>
      <c r="U2378" s="6">
        <f t="shared" si="7"/>
        <v>4</v>
      </c>
      <c r="V2378" s="42">
        <f>averageif(AllData!A:A,B2378,AllData!R:R)/vlookup(B2378,AllData!A:O,15,0)</f>
        <v>93.35904762</v>
      </c>
      <c r="W2378" s="6"/>
    </row>
    <row r="2379" ht="14.25" customHeight="1">
      <c r="A2379" s="6" t="str">
        <f t="shared" si="28"/>
        <v>2023Salty10</v>
      </c>
      <c r="B2379" s="59">
        <v>2023.0</v>
      </c>
      <c r="C2379" s="13" t="s">
        <v>76</v>
      </c>
      <c r="D2379" s="13" t="s">
        <v>149</v>
      </c>
      <c r="E2379" s="34"/>
      <c r="F2379" s="6"/>
      <c r="H2379" s="6"/>
      <c r="I2379" s="35" t="str">
        <f>IFERROR(IFERROR(IFERROR(VLOOKUP(B2379&amp;C2379&amp;Q2379,'New Weekly Paste'!A:M,10,0),VLOOKUP(B2379&amp;C2379&amp;Q2379,'New Weekly Paste'!B:O,6,0)),""),"")</f>
        <v>Shep</v>
      </c>
      <c r="J2379" s="259">
        <f>IFERROR(IFERROR(VLOOKUP(B2379&amp;C2379&amp;Q2379,'New Weekly Paste'!A:M,8,0),VLOOKUP(B2379&amp;C2379&amp;Q2379,'New Weekly Paste'!B:O,10,0)),0)</f>
        <v>122.88</v>
      </c>
      <c r="K2379" s="259">
        <f>IFERROR(IFERROR(VLOOKUP(B2379&amp;I2379&amp;Q2379,'New Weekly Paste'!A:M,8,0),VLOOKUP(B2379&amp;I2379&amp;Q2379,'New Weekly Paste'!B:O,10,0)),0)</f>
        <v>115.38</v>
      </c>
      <c r="L2379" s="239">
        <f t="shared" si="25"/>
        <v>1</v>
      </c>
      <c r="M2379" s="36" t="str">
        <f t="shared" si="3"/>
        <v>Regular Season</v>
      </c>
      <c r="N2379" s="239" t="str">
        <f t="shared" si="26"/>
        <v>Shep</v>
      </c>
      <c r="O2379" s="6">
        <f>VLOOKUP(D2379,'Mapped Opponent'!$G$4:$H$22,2,0)</f>
        <v>10</v>
      </c>
      <c r="P2379" s="6"/>
      <c r="Q2379" s="6" t="str">
        <f t="shared" si="4"/>
        <v>Week 10</v>
      </c>
      <c r="R2379" s="6" t="str">
        <f t="shared" si="5"/>
        <v>2023Week 10</v>
      </c>
      <c r="S2379" s="6">
        <f>IFERROR(__xludf.DUMMYFUNCTION("rank(J2379,FILTER(J:J,R:R=R2379))"),2.0)</f>
        <v>2</v>
      </c>
      <c r="T2379" s="6">
        <f t="shared" si="6"/>
        <v>10</v>
      </c>
      <c r="U2379" s="6">
        <f t="shared" si="7"/>
        <v>2</v>
      </c>
      <c r="V2379" s="42">
        <f>averageif(AllData!A:A,B2379,AllData!R:R)/vlookup(B2379,AllData!A:O,15,0)</f>
        <v>93.35904762</v>
      </c>
      <c r="W2379" s="6"/>
    </row>
    <row r="2380" ht="14.25" customHeight="1">
      <c r="A2380" s="6" t="str">
        <f t="shared" si="28"/>
        <v>2023Ewert10</v>
      </c>
      <c r="B2380" s="59">
        <v>2023.0</v>
      </c>
      <c r="C2380" s="13" t="s">
        <v>108</v>
      </c>
      <c r="D2380" s="13" t="s">
        <v>149</v>
      </c>
      <c r="E2380" s="34"/>
      <c r="F2380" s="6"/>
      <c r="H2380" s="6"/>
      <c r="I2380" s="35" t="str">
        <f>IFERROR(IFERROR(IFERROR(VLOOKUP(B2380&amp;C2380&amp;Q2380,'New Weekly Paste'!A:M,10,0),VLOOKUP(B2380&amp;C2380&amp;Q2380,'New Weekly Paste'!B:O,6,0)),""),"")</f>
        <v>Pierson</v>
      </c>
      <c r="J2380" s="259">
        <f>IFERROR(IFERROR(VLOOKUP(B2380&amp;C2380&amp;Q2380,'New Weekly Paste'!A:M,8,0),VLOOKUP(B2380&amp;C2380&amp;Q2380,'New Weekly Paste'!B:O,10,0)),0)</f>
        <v>95.9</v>
      </c>
      <c r="K2380" s="259">
        <f>IFERROR(IFERROR(VLOOKUP(B2380&amp;I2380&amp;Q2380,'New Weekly Paste'!A:M,8,0),VLOOKUP(B2380&amp;I2380&amp;Q2380,'New Weekly Paste'!B:O,10,0)),0)</f>
        <v>98.12</v>
      </c>
      <c r="L2380" s="239">
        <f t="shared" si="25"/>
        <v>0</v>
      </c>
      <c r="M2380" s="36" t="str">
        <f t="shared" si="3"/>
        <v>Regular Season</v>
      </c>
      <c r="N2380" s="239" t="str">
        <f t="shared" si="26"/>
        <v>Pierson</v>
      </c>
      <c r="O2380" s="6">
        <f>VLOOKUP(D2380,'Mapped Opponent'!$G$4:$H$22,2,0)</f>
        <v>10</v>
      </c>
      <c r="P2380" s="6"/>
      <c r="Q2380" s="6" t="str">
        <f t="shared" si="4"/>
        <v>Week 10</v>
      </c>
      <c r="R2380" s="6" t="str">
        <f t="shared" si="5"/>
        <v>2023Week 10</v>
      </c>
      <c r="S2380" s="6">
        <f>IFERROR(__xludf.DUMMYFUNCTION("rank(J2380,FILTER(J:J,R:R=R2380))"),9.0)</f>
        <v>9</v>
      </c>
      <c r="T2380" s="6">
        <f t="shared" si="6"/>
        <v>3</v>
      </c>
      <c r="U2380" s="6">
        <f t="shared" si="7"/>
        <v>9</v>
      </c>
      <c r="V2380" s="42">
        <f>averageif(AllData!A:A,B2380,AllData!R:R)/vlookup(B2380,AllData!A:O,15,0)</f>
        <v>93.35904762</v>
      </c>
      <c r="W2380" s="6"/>
    </row>
    <row r="2381" ht="14.25" customHeight="1">
      <c r="A2381" s="6" t="str">
        <f t="shared" si="28"/>
        <v>2023Shep10</v>
      </c>
      <c r="B2381" s="59">
        <v>2023.0</v>
      </c>
      <c r="C2381" s="13" t="s">
        <v>89</v>
      </c>
      <c r="D2381" s="13" t="s">
        <v>149</v>
      </c>
      <c r="E2381" s="34"/>
      <c r="F2381" s="6"/>
      <c r="H2381" s="6"/>
      <c r="I2381" s="35" t="str">
        <f>IFERROR(IFERROR(IFERROR(VLOOKUP(B2381&amp;C2381&amp;Q2381,'New Weekly Paste'!A:M,10,0),VLOOKUP(B2381&amp;C2381&amp;Q2381,'New Weekly Paste'!B:O,6,0)),""),"")</f>
        <v>Salty</v>
      </c>
      <c r="J2381" s="259">
        <f>IFERROR(IFERROR(VLOOKUP(B2381&amp;C2381&amp;Q2381,'New Weekly Paste'!A:M,8,0),VLOOKUP(B2381&amp;C2381&amp;Q2381,'New Weekly Paste'!B:O,10,0)),0)</f>
        <v>115.38</v>
      </c>
      <c r="K2381" s="259">
        <f>IFERROR(IFERROR(VLOOKUP(B2381&amp;I2381&amp;Q2381,'New Weekly Paste'!A:M,8,0),VLOOKUP(B2381&amp;I2381&amp;Q2381,'New Weekly Paste'!B:O,10,0)),0)</f>
        <v>122.88</v>
      </c>
      <c r="L2381" s="239">
        <f t="shared" si="25"/>
        <v>0</v>
      </c>
      <c r="M2381" s="36" t="str">
        <f t="shared" si="3"/>
        <v>Regular Season</v>
      </c>
      <c r="N2381" s="239" t="str">
        <f t="shared" si="26"/>
        <v>Salty</v>
      </c>
      <c r="O2381" s="6">
        <f>VLOOKUP(D2381,'Mapped Opponent'!$G$4:$H$22,2,0)</f>
        <v>10</v>
      </c>
      <c r="P2381" s="6"/>
      <c r="Q2381" s="6" t="str">
        <f t="shared" si="4"/>
        <v>Week 10</v>
      </c>
      <c r="R2381" s="6" t="str">
        <f t="shared" si="5"/>
        <v>2023Week 10</v>
      </c>
      <c r="S2381" s="6">
        <f>IFERROR(__xludf.DUMMYFUNCTION("rank(J2381,FILTER(J:J,R:R=R2381))"),3.0)</f>
        <v>3</v>
      </c>
      <c r="T2381" s="6">
        <f t="shared" si="6"/>
        <v>9</v>
      </c>
      <c r="U2381" s="6">
        <f t="shared" si="7"/>
        <v>3</v>
      </c>
      <c r="V2381" s="42">
        <f>averageif(AllData!A:A,B2381,AllData!R:R)/vlookup(B2381,AllData!A:O,15,0)</f>
        <v>93.35904762</v>
      </c>
      <c r="W2381" s="6"/>
    </row>
    <row r="2382" ht="14.25" customHeight="1">
      <c r="A2382" s="6" t="str">
        <f t="shared" si="28"/>
        <v>2023Riley10</v>
      </c>
      <c r="B2382" s="59">
        <v>2023.0</v>
      </c>
      <c r="C2382" s="13" t="s">
        <v>67</v>
      </c>
      <c r="D2382" s="13" t="s">
        <v>149</v>
      </c>
      <c r="E2382" s="34"/>
      <c r="F2382" s="6"/>
      <c r="H2382" s="6"/>
      <c r="I2382" s="35" t="str">
        <f>IFERROR(IFERROR(IFERROR(VLOOKUP(B2382&amp;C2382&amp;Q2382,'New Weekly Paste'!A:M,10,0),VLOOKUP(B2382&amp;C2382&amp;Q2382,'New Weekly Paste'!B:O,6,0)),""),"")</f>
        <v>Hudspeath</v>
      </c>
      <c r="J2382" s="259">
        <f>IFERROR(IFERROR(VLOOKUP(B2382&amp;C2382&amp;Q2382,'New Weekly Paste'!A:M,8,0),VLOOKUP(B2382&amp;C2382&amp;Q2382,'New Weekly Paste'!B:O,10,0)),0)</f>
        <v>79.22</v>
      </c>
      <c r="K2382" s="259">
        <f>IFERROR(IFERROR(VLOOKUP(B2382&amp;I2382&amp;Q2382,'New Weekly Paste'!A:M,8,0),VLOOKUP(B2382&amp;I2382&amp;Q2382,'New Weekly Paste'!B:O,10,0)),0)</f>
        <v>106.56</v>
      </c>
      <c r="L2382" s="239">
        <f t="shared" si="25"/>
        <v>0</v>
      </c>
      <c r="M2382" s="36" t="str">
        <f t="shared" si="3"/>
        <v>Regular Season</v>
      </c>
      <c r="N2382" s="239" t="str">
        <f t="shared" si="26"/>
        <v>Hudspeath</v>
      </c>
      <c r="O2382" s="6">
        <f>VLOOKUP(D2382,'Mapped Opponent'!$G$4:$H$22,2,0)</f>
        <v>10</v>
      </c>
      <c r="P2382" s="6"/>
      <c r="Q2382" s="6" t="str">
        <f t="shared" si="4"/>
        <v>Week 10</v>
      </c>
      <c r="R2382" s="6" t="str">
        <f t="shared" si="5"/>
        <v>2023Week 10</v>
      </c>
      <c r="S2382" s="6">
        <f>IFERROR(__xludf.DUMMYFUNCTION("rank(J2382,FILTER(J:J,R:R=R2382))"),11.0)</f>
        <v>11</v>
      </c>
      <c r="T2382" s="6">
        <f t="shared" si="6"/>
        <v>1</v>
      </c>
      <c r="U2382" s="6">
        <f t="shared" si="7"/>
        <v>11</v>
      </c>
      <c r="V2382" s="42">
        <f>averageif(AllData!A:A,B2382,AllData!R:R)/vlookup(B2382,AllData!A:O,15,0)</f>
        <v>93.35904762</v>
      </c>
      <c r="W2382" s="6"/>
    </row>
    <row r="2383" ht="14.25" customHeight="1">
      <c r="A2383" s="6" t="str">
        <f t="shared" si="28"/>
        <v>2023Rooney/Jackson10</v>
      </c>
      <c r="B2383" s="59">
        <v>2023.0</v>
      </c>
      <c r="C2383" s="13" t="s">
        <v>57</v>
      </c>
      <c r="D2383" s="13" t="s">
        <v>149</v>
      </c>
      <c r="E2383" s="34"/>
      <c r="F2383" s="6"/>
      <c r="H2383" s="6"/>
      <c r="I2383" s="35" t="str">
        <f>IFERROR(IFERROR(IFERROR(VLOOKUP(B2383&amp;C2383&amp;Q2383,'New Weekly Paste'!A:M,10,0),VLOOKUP(B2383&amp;C2383&amp;Q2383,'New Weekly Paste'!B:O,6,0)),""),"")</f>
        <v>T-How</v>
      </c>
      <c r="J2383" s="259">
        <f>IFERROR(IFERROR(VLOOKUP(B2383&amp;C2383&amp;Q2383,'New Weekly Paste'!A:M,8,0),VLOOKUP(B2383&amp;C2383&amp;Q2383,'New Weekly Paste'!B:O,10,0)),0)</f>
        <v>98.52</v>
      </c>
      <c r="K2383" s="259">
        <f>IFERROR(IFERROR(VLOOKUP(B2383&amp;I2383&amp;Q2383,'New Weekly Paste'!A:M,8,0),VLOOKUP(B2383&amp;I2383&amp;Q2383,'New Weekly Paste'!B:O,10,0)),0)</f>
        <v>127.62</v>
      </c>
      <c r="L2383" s="239">
        <f t="shared" si="25"/>
        <v>0</v>
      </c>
      <c r="M2383" s="36" t="str">
        <f t="shared" si="3"/>
        <v>Regular Season</v>
      </c>
      <c r="N2383" s="239" t="str">
        <f t="shared" si="26"/>
        <v>T-How</v>
      </c>
      <c r="O2383" s="6">
        <f>VLOOKUP(D2383,'Mapped Opponent'!$G$4:$H$22,2,0)</f>
        <v>10</v>
      </c>
      <c r="P2383" s="6"/>
      <c r="Q2383" s="6" t="str">
        <f t="shared" si="4"/>
        <v>Week 10</v>
      </c>
      <c r="R2383" s="6" t="str">
        <f t="shared" si="5"/>
        <v>2023Week 10</v>
      </c>
      <c r="S2383" s="6">
        <f>IFERROR(__xludf.DUMMYFUNCTION("rank(J2383,FILTER(J:J,R:R=R2383))"),7.0)</f>
        <v>7</v>
      </c>
      <c r="T2383" s="6">
        <f t="shared" si="6"/>
        <v>5</v>
      </c>
      <c r="U2383" s="6">
        <f t="shared" si="7"/>
        <v>7</v>
      </c>
      <c r="V2383" s="42">
        <f>averageif(AllData!A:A,B2383,AllData!R:R)/vlookup(B2383,AllData!A:O,15,0)</f>
        <v>93.35904762</v>
      </c>
      <c r="W2383" s="6"/>
    </row>
    <row r="2384" ht="14.25" customHeight="1">
      <c r="A2384" s="6" t="str">
        <f t="shared" si="28"/>
        <v>2023Buser10</v>
      </c>
      <c r="B2384" s="59">
        <v>2023.0</v>
      </c>
      <c r="C2384" s="13" t="s">
        <v>47</v>
      </c>
      <c r="D2384" s="13" t="s">
        <v>149</v>
      </c>
      <c r="E2384" s="34"/>
      <c r="F2384" s="6"/>
      <c r="H2384" s="6"/>
      <c r="I2384" s="35" t="str">
        <f>IFERROR(IFERROR(IFERROR(VLOOKUP(B2384&amp;C2384&amp;Q2384,'New Weekly Paste'!A:M,10,0),VLOOKUP(B2384&amp;C2384&amp;Q2384,'New Weekly Paste'!B:O,6,0)),""),"")</f>
        <v>Cock</v>
      </c>
      <c r="J2384" s="259">
        <f>IFERROR(IFERROR(VLOOKUP(B2384&amp;C2384&amp;Q2384,'New Weekly Paste'!A:M,8,0),VLOOKUP(B2384&amp;C2384&amp;Q2384,'New Weekly Paste'!B:O,10,0)),0)</f>
        <v>84.48</v>
      </c>
      <c r="K2384" s="259">
        <f>IFERROR(IFERROR(VLOOKUP(B2384&amp;I2384&amp;Q2384,'New Weekly Paste'!A:M,8,0),VLOOKUP(B2384&amp;I2384&amp;Q2384,'New Weekly Paste'!B:O,10,0)),0)</f>
        <v>99.62</v>
      </c>
      <c r="L2384" s="239">
        <f t="shared" si="25"/>
        <v>0</v>
      </c>
      <c r="M2384" s="36" t="str">
        <f t="shared" si="3"/>
        <v>Regular Season</v>
      </c>
      <c r="N2384" s="239" t="str">
        <f t="shared" si="26"/>
        <v>Cock</v>
      </c>
      <c r="O2384" s="6">
        <f>VLOOKUP(D2384,'Mapped Opponent'!$G$4:$H$22,2,0)</f>
        <v>10</v>
      </c>
      <c r="P2384" s="6"/>
      <c r="Q2384" s="6" t="str">
        <f t="shared" si="4"/>
        <v>Week 10</v>
      </c>
      <c r="R2384" s="6" t="str">
        <f t="shared" si="5"/>
        <v>2023Week 10</v>
      </c>
      <c r="S2384" s="6">
        <f>IFERROR(__xludf.DUMMYFUNCTION("rank(J2384,FILTER(J:J,R:R=R2384))"),10.0)</f>
        <v>10</v>
      </c>
      <c r="T2384" s="6">
        <f t="shared" si="6"/>
        <v>2</v>
      </c>
      <c r="U2384" s="6">
        <f t="shared" si="7"/>
        <v>10</v>
      </c>
      <c r="V2384" s="42">
        <f>averageif(AllData!A:A,B2384,AllData!R:R)/vlookup(B2384,AllData!A:O,15,0)</f>
        <v>93.35904762</v>
      </c>
      <c r="W2384" s="6"/>
    </row>
    <row r="2385" ht="14.25" customHeight="1">
      <c r="A2385" s="6" t="str">
        <f t="shared" si="28"/>
        <v>2023Pierson10</v>
      </c>
      <c r="B2385" s="59">
        <v>2023.0</v>
      </c>
      <c r="C2385" s="13" t="s">
        <v>92</v>
      </c>
      <c r="D2385" s="13" t="s">
        <v>149</v>
      </c>
      <c r="E2385" s="34"/>
      <c r="F2385" s="6"/>
      <c r="H2385" s="6"/>
      <c r="I2385" s="35" t="str">
        <f>IFERROR(IFERROR(IFERROR(VLOOKUP(B2385&amp;C2385&amp;Q2385,'New Weekly Paste'!A:M,10,0),VLOOKUP(B2385&amp;C2385&amp;Q2385,'New Weekly Paste'!B:O,6,0)),""),"")</f>
        <v>Ewert</v>
      </c>
      <c r="J2385" s="259">
        <f>IFERROR(IFERROR(VLOOKUP(B2385&amp;C2385&amp;Q2385,'New Weekly Paste'!A:M,8,0),VLOOKUP(B2385&amp;C2385&amp;Q2385,'New Weekly Paste'!B:O,10,0)),0)</f>
        <v>98.12</v>
      </c>
      <c r="K2385" s="259">
        <f>IFERROR(IFERROR(VLOOKUP(B2385&amp;I2385&amp;Q2385,'New Weekly Paste'!A:M,8,0),VLOOKUP(B2385&amp;I2385&amp;Q2385,'New Weekly Paste'!B:O,10,0)),0)</f>
        <v>95.9</v>
      </c>
      <c r="L2385" s="239">
        <f t="shared" si="25"/>
        <v>1</v>
      </c>
      <c r="M2385" s="36" t="str">
        <f t="shared" si="3"/>
        <v>Regular Season</v>
      </c>
      <c r="N2385" s="239" t="str">
        <f t="shared" si="26"/>
        <v>Ewert</v>
      </c>
      <c r="O2385" s="6">
        <f>VLOOKUP(D2385,'Mapped Opponent'!$G$4:$H$22,2,0)</f>
        <v>10</v>
      </c>
      <c r="P2385" s="6"/>
      <c r="Q2385" s="6" t="str">
        <f t="shared" si="4"/>
        <v>Week 10</v>
      </c>
      <c r="R2385" s="6" t="str">
        <f t="shared" si="5"/>
        <v>2023Week 10</v>
      </c>
      <c r="S2385" s="6">
        <f>IFERROR(__xludf.DUMMYFUNCTION("rank(J2385,FILTER(J:J,R:R=R2385))"),8.0)</f>
        <v>8</v>
      </c>
      <c r="T2385" s="6">
        <f t="shared" si="6"/>
        <v>4</v>
      </c>
      <c r="U2385" s="6">
        <f t="shared" si="7"/>
        <v>8</v>
      </c>
      <c r="V2385" s="42">
        <f>averageif(AllData!A:A,B2385,AllData!R:R)/vlookup(B2385,AllData!A:O,15,0)</f>
        <v>93.35904762</v>
      </c>
      <c r="W2385" s="6"/>
    </row>
    <row r="2386" ht="14.25" customHeight="1">
      <c r="A2386" s="6" t="str">
        <f t="shared" si="28"/>
        <v>2023Cock10</v>
      </c>
      <c r="B2386" s="59">
        <v>2023.0</v>
      </c>
      <c r="C2386" s="13" t="s">
        <v>72</v>
      </c>
      <c r="D2386" s="13" t="s">
        <v>149</v>
      </c>
      <c r="E2386" s="34"/>
      <c r="F2386" s="6"/>
      <c r="H2386" s="6"/>
      <c r="I2386" s="35" t="str">
        <f>IFERROR(IFERROR(IFERROR(VLOOKUP(B2386&amp;C2386&amp;Q2386,'New Weekly Paste'!A:M,10,0),VLOOKUP(B2386&amp;C2386&amp;Q2386,'New Weekly Paste'!B:O,6,0)),""),"")</f>
        <v>Buser</v>
      </c>
      <c r="J2386" s="259">
        <f>IFERROR(IFERROR(VLOOKUP(B2386&amp;C2386&amp;Q2386,'New Weekly Paste'!A:M,8,0),VLOOKUP(B2386&amp;C2386&amp;Q2386,'New Weekly Paste'!B:O,10,0)),0)</f>
        <v>99.62</v>
      </c>
      <c r="K2386" s="259">
        <f>IFERROR(IFERROR(VLOOKUP(B2386&amp;I2386&amp;Q2386,'New Weekly Paste'!A:M,8,0),VLOOKUP(B2386&amp;I2386&amp;Q2386,'New Weekly Paste'!B:O,10,0)),0)</f>
        <v>84.48</v>
      </c>
      <c r="L2386" s="239">
        <f t="shared" si="25"/>
        <v>1</v>
      </c>
      <c r="M2386" s="36" t="str">
        <f t="shared" si="3"/>
        <v>Regular Season</v>
      </c>
      <c r="N2386" s="239" t="str">
        <f t="shared" si="26"/>
        <v>Buser</v>
      </c>
      <c r="O2386" s="6">
        <f>VLOOKUP(D2386,'Mapped Opponent'!$G$4:$H$22,2,0)</f>
        <v>10</v>
      </c>
      <c r="P2386" s="6"/>
      <c r="Q2386" s="6" t="str">
        <f t="shared" si="4"/>
        <v>Week 10</v>
      </c>
      <c r="R2386" s="6" t="str">
        <f t="shared" si="5"/>
        <v>2023Week 10</v>
      </c>
      <c r="S2386" s="6">
        <f>IFERROR(__xludf.DUMMYFUNCTION("rank(J2386,FILTER(J:J,R:R=R2386))"),6.0)</f>
        <v>6</v>
      </c>
      <c r="T2386" s="6">
        <f t="shared" si="6"/>
        <v>6</v>
      </c>
      <c r="U2386" s="6">
        <f t="shared" si="7"/>
        <v>6</v>
      </c>
      <c r="V2386" s="42">
        <f>averageif(AllData!A:A,B2386,AllData!R:R)/vlookup(B2386,AllData!A:O,15,0)</f>
        <v>93.35904762</v>
      </c>
      <c r="W2386" s="6"/>
    </row>
    <row r="2387" ht="14.25" customHeight="1">
      <c r="A2387" s="6" t="str">
        <f t="shared" si="28"/>
        <v>2023Tayski10</v>
      </c>
      <c r="B2387" s="59">
        <v>2023.0</v>
      </c>
      <c r="C2387" s="13" t="s">
        <v>52</v>
      </c>
      <c r="D2387" s="13" t="s">
        <v>149</v>
      </c>
      <c r="E2387" s="34"/>
      <c r="F2387" s="6"/>
      <c r="H2387" s="6"/>
      <c r="I2387" s="35" t="str">
        <f>IFERROR(IFERROR(IFERROR(VLOOKUP(B2387&amp;C2387&amp;Q2387,'New Weekly Paste'!A:M,10,0),VLOOKUP(B2387&amp;C2387&amp;Q2387,'New Weekly Paste'!B:O,6,0)),""),"")</f>
        <v>KnardDawg</v>
      </c>
      <c r="J2387" s="259">
        <f>IFERROR(IFERROR(VLOOKUP(B2387&amp;C2387&amp;Q2387,'New Weekly Paste'!A:M,8,0),VLOOKUP(B2387&amp;C2387&amp;Q2387,'New Weekly Paste'!B:O,10,0)),0)</f>
        <v>71.14</v>
      </c>
      <c r="K2387" s="259">
        <f>IFERROR(IFERROR(VLOOKUP(B2387&amp;I2387&amp;Q2387,'New Weekly Paste'!A:M,8,0),VLOOKUP(B2387&amp;I2387&amp;Q2387,'New Weekly Paste'!B:O,10,0)),0)</f>
        <v>101.04</v>
      </c>
      <c r="L2387" s="239">
        <f t="shared" si="25"/>
        <v>0</v>
      </c>
      <c r="M2387" s="36" t="str">
        <f t="shared" si="3"/>
        <v>Regular Season</v>
      </c>
      <c r="N2387" s="239" t="str">
        <f t="shared" si="26"/>
        <v>KnardDawg</v>
      </c>
      <c r="O2387" s="6">
        <f>VLOOKUP(D2387,'Mapped Opponent'!$G$4:$H$22,2,0)</f>
        <v>10</v>
      </c>
      <c r="P2387" s="6"/>
      <c r="Q2387" s="6" t="str">
        <f t="shared" si="4"/>
        <v>Week 10</v>
      </c>
      <c r="R2387" s="6" t="str">
        <f t="shared" si="5"/>
        <v>2023Week 10</v>
      </c>
      <c r="S2387" s="6">
        <f>IFERROR(__xludf.DUMMYFUNCTION("rank(J2387,FILTER(J:J,R:R=R2387))"),12.0)</f>
        <v>12</v>
      </c>
      <c r="T2387" s="6">
        <f t="shared" si="6"/>
        <v>0</v>
      </c>
      <c r="U2387" s="6">
        <f t="shared" si="7"/>
        <v>12</v>
      </c>
      <c r="V2387" s="42">
        <f>averageif(AllData!A:A,B2387,AllData!R:R)/vlookup(B2387,AllData!A:O,15,0)</f>
        <v>93.35904762</v>
      </c>
      <c r="W2387" s="6"/>
    </row>
    <row r="2388" ht="14.25" customHeight="1">
      <c r="A2388" s="6" t="str">
        <f t="shared" si="28"/>
        <v>2023KnardDawg10</v>
      </c>
      <c r="B2388" s="59">
        <v>2023.0</v>
      </c>
      <c r="C2388" s="13" t="s">
        <v>86</v>
      </c>
      <c r="D2388" s="13" t="s">
        <v>149</v>
      </c>
      <c r="E2388" s="34"/>
      <c r="F2388" s="6"/>
      <c r="H2388" s="6"/>
      <c r="I2388" s="35" t="str">
        <f>IFERROR(IFERROR(IFERROR(VLOOKUP(B2388&amp;C2388&amp;Q2388,'New Weekly Paste'!A:M,10,0),VLOOKUP(B2388&amp;C2388&amp;Q2388,'New Weekly Paste'!B:O,6,0)),""),"")</f>
        <v>Tayski</v>
      </c>
      <c r="J2388" s="259">
        <f>IFERROR(IFERROR(VLOOKUP(B2388&amp;C2388&amp;Q2388,'New Weekly Paste'!A:M,8,0),VLOOKUP(B2388&amp;C2388&amp;Q2388,'New Weekly Paste'!B:O,10,0)),0)</f>
        <v>101.04</v>
      </c>
      <c r="K2388" s="259">
        <f>IFERROR(IFERROR(VLOOKUP(B2388&amp;I2388&amp;Q2388,'New Weekly Paste'!A:M,8,0),VLOOKUP(B2388&amp;I2388&amp;Q2388,'New Weekly Paste'!B:O,10,0)),0)</f>
        <v>71.14</v>
      </c>
      <c r="L2388" s="239">
        <f t="shared" si="25"/>
        <v>1</v>
      </c>
      <c r="M2388" s="36" t="str">
        <f t="shared" si="3"/>
        <v>Regular Season</v>
      </c>
      <c r="N2388" s="239" t="str">
        <f t="shared" si="26"/>
        <v>Tayski</v>
      </c>
      <c r="O2388" s="6">
        <f>VLOOKUP(D2388,'Mapped Opponent'!$G$4:$H$22,2,0)</f>
        <v>10</v>
      </c>
      <c r="P2388" s="6"/>
      <c r="Q2388" s="6" t="str">
        <f t="shared" si="4"/>
        <v>Week 10</v>
      </c>
      <c r="R2388" s="6" t="str">
        <f t="shared" si="5"/>
        <v>2023Week 10</v>
      </c>
      <c r="S2388" s="6">
        <f>IFERROR(__xludf.DUMMYFUNCTION("rank(J2388,FILTER(J:J,R:R=R2388))"),5.0)</f>
        <v>5</v>
      </c>
      <c r="T2388" s="6">
        <f t="shared" si="6"/>
        <v>7</v>
      </c>
      <c r="U2388" s="6">
        <f t="shared" si="7"/>
        <v>5</v>
      </c>
      <c r="V2388" s="42">
        <f>averageif(AllData!A:A,B2388,AllData!R:R)/vlookup(B2388,AllData!A:O,15,0)</f>
        <v>93.35904762</v>
      </c>
      <c r="W2388" s="6"/>
    </row>
    <row r="2389" ht="14.25" customHeight="1">
      <c r="A2389" s="6" t="str">
        <f t="shared" si="28"/>
        <v>2023T-How10</v>
      </c>
      <c r="B2389" s="59">
        <v>2023.0</v>
      </c>
      <c r="C2389" s="13" t="s">
        <v>82</v>
      </c>
      <c r="D2389" s="13" t="s">
        <v>149</v>
      </c>
      <c r="E2389" s="34"/>
      <c r="F2389" s="6"/>
      <c r="H2389" s="6"/>
      <c r="I2389" s="35" t="str">
        <f>IFERROR(IFERROR(IFERROR(VLOOKUP(B2389&amp;C2389&amp;Q2389,'New Weekly Paste'!A:M,10,0),VLOOKUP(B2389&amp;C2389&amp;Q2389,'New Weekly Paste'!B:O,6,0)),""),"")</f>
        <v>Rooney/Jackson</v>
      </c>
      <c r="J2389" s="259">
        <f>IFERROR(IFERROR(VLOOKUP(B2389&amp;C2389&amp;Q2389,'New Weekly Paste'!A:M,8,0),VLOOKUP(B2389&amp;C2389&amp;Q2389,'New Weekly Paste'!B:O,10,0)),0)</f>
        <v>127.62</v>
      </c>
      <c r="K2389" s="259">
        <f>IFERROR(IFERROR(VLOOKUP(B2389&amp;I2389&amp;Q2389,'New Weekly Paste'!A:M,8,0),VLOOKUP(B2389&amp;I2389&amp;Q2389,'New Weekly Paste'!B:O,10,0)),0)</f>
        <v>98.52</v>
      </c>
      <c r="L2389" s="239">
        <f t="shared" si="25"/>
        <v>1</v>
      </c>
      <c r="M2389" s="36" t="str">
        <f t="shared" si="3"/>
        <v>Regular Season</v>
      </c>
      <c r="N2389" s="239" t="str">
        <f t="shared" si="26"/>
        <v>Rooney/Jackson</v>
      </c>
      <c r="O2389" s="6">
        <f>VLOOKUP(D2389,'Mapped Opponent'!$G$4:$H$22,2,0)</f>
        <v>10</v>
      </c>
      <c r="P2389" s="6"/>
      <c r="Q2389" s="6" t="str">
        <f t="shared" si="4"/>
        <v>Week 10</v>
      </c>
      <c r="R2389" s="6" t="str">
        <f t="shared" si="5"/>
        <v>2023Week 10</v>
      </c>
      <c r="S2389" s="6">
        <f>IFERROR(__xludf.DUMMYFUNCTION("rank(J2389,FILTER(J:J,R:R=R2389))"),1.0)</f>
        <v>1</v>
      </c>
      <c r="T2389" s="6">
        <f t="shared" si="6"/>
        <v>11</v>
      </c>
      <c r="U2389" s="6">
        <f t="shared" si="7"/>
        <v>1</v>
      </c>
      <c r="V2389" s="42">
        <f>averageif(AllData!A:A,B2389,AllData!R:R)/vlookup(B2389,AllData!A:O,15,0)</f>
        <v>93.35904762</v>
      </c>
      <c r="W2389" s="6"/>
    </row>
    <row r="2390" ht="14.25" customHeight="1">
      <c r="A2390" s="6" t="str">
        <f t="shared" si="28"/>
        <v>2023Hudspeath11</v>
      </c>
      <c r="B2390" s="59">
        <v>2023.0</v>
      </c>
      <c r="C2390" s="13" t="s">
        <v>39</v>
      </c>
      <c r="D2390" s="13" t="s">
        <v>150</v>
      </c>
      <c r="E2390" s="34"/>
      <c r="F2390" s="6"/>
      <c r="H2390" s="6"/>
      <c r="I2390" s="35" t="str">
        <f>IFERROR(IFERROR(IFERROR(VLOOKUP(B2390&amp;C2390&amp;Q2390,'New Weekly Paste'!A:M,10,0),VLOOKUP(B2390&amp;C2390&amp;Q2390,'New Weekly Paste'!B:O,6,0)),""),"")</f>
        <v>Buser</v>
      </c>
      <c r="J2390" s="259">
        <f>IFERROR(IFERROR(VLOOKUP(B2390&amp;C2390&amp;Q2390,'New Weekly Paste'!A:M,8,0),VLOOKUP(B2390&amp;C2390&amp;Q2390,'New Weekly Paste'!B:O,10,0)),0)</f>
        <v>82.26</v>
      </c>
      <c r="K2390" s="259">
        <f>IFERROR(IFERROR(VLOOKUP(B2390&amp;I2390&amp;Q2390,'New Weekly Paste'!A:M,8,0),VLOOKUP(B2390&amp;I2390&amp;Q2390,'New Weekly Paste'!B:O,10,0)),0)</f>
        <v>82.74</v>
      </c>
      <c r="L2390" s="239">
        <f t="shared" si="25"/>
        <v>0</v>
      </c>
      <c r="M2390" s="36" t="str">
        <f t="shared" si="3"/>
        <v>Regular Season</v>
      </c>
      <c r="N2390" s="239" t="str">
        <f t="shared" si="26"/>
        <v>Buser</v>
      </c>
      <c r="O2390" s="6">
        <f>VLOOKUP(D2390,'Mapped Opponent'!$G$4:$H$22,2,0)</f>
        <v>11</v>
      </c>
      <c r="P2390" s="6"/>
      <c r="Q2390" s="6" t="str">
        <f t="shared" si="4"/>
        <v>Week 11</v>
      </c>
      <c r="R2390" s="6" t="str">
        <f t="shared" si="5"/>
        <v>2023Week 11</v>
      </c>
      <c r="S2390" s="6">
        <f>IFERROR(__xludf.DUMMYFUNCTION("rank(J2390,FILTER(J:J,R:R=R2390))"),10.0)</f>
        <v>10</v>
      </c>
      <c r="T2390" s="6">
        <f t="shared" si="6"/>
        <v>2</v>
      </c>
      <c r="U2390" s="6">
        <f t="shared" si="7"/>
        <v>10</v>
      </c>
      <c r="V2390" s="42">
        <f>averageif(AllData!A:A,B2390,AllData!R:R)/vlookup(B2390,AllData!A:O,15,0)</f>
        <v>93.35904762</v>
      </c>
      <c r="W2390" s="6"/>
    </row>
    <row r="2391" ht="14.25" customHeight="1">
      <c r="A2391" s="6" t="str">
        <f t="shared" si="28"/>
        <v>2023Salty11</v>
      </c>
      <c r="B2391" s="59">
        <v>2023.0</v>
      </c>
      <c r="C2391" s="13" t="s">
        <v>76</v>
      </c>
      <c r="D2391" s="13" t="s">
        <v>150</v>
      </c>
      <c r="E2391" s="34"/>
      <c r="F2391" s="6"/>
      <c r="H2391" s="6"/>
      <c r="I2391" s="35" t="str">
        <f>IFERROR(IFERROR(IFERROR(VLOOKUP(B2391&amp;C2391&amp;Q2391,'New Weekly Paste'!A:M,10,0),VLOOKUP(B2391&amp;C2391&amp;Q2391,'New Weekly Paste'!B:O,6,0)),""),"")</f>
        <v>KnardDawg</v>
      </c>
      <c r="J2391" s="259">
        <f>IFERROR(IFERROR(VLOOKUP(B2391&amp;C2391&amp;Q2391,'New Weekly Paste'!A:M,8,0),VLOOKUP(B2391&amp;C2391&amp;Q2391,'New Weekly Paste'!B:O,10,0)),0)</f>
        <v>95.8</v>
      </c>
      <c r="K2391" s="259">
        <f>IFERROR(IFERROR(VLOOKUP(B2391&amp;I2391&amp;Q2391,'New Weekly Paste'!A:M,8,0),VLOOKUP(B2391&amp;I2391&amp;Q2391,'New Weekly Paste'!B:O,10,0)),0)</f>
        <v>90.02</v>
      </c>
      <c r="L2391" s="239">
        <f t="shared" si="25"/>
        <v>1</v>
      </c>
      <c r="M2391" s="36" t="str">
        <f t="shared" si="3"/>
        <v>Regular Season</v>
      </c>
      <c r="N2391" s="239" t="str">
        <f t="shared" si="26"/>
        <v>KnardDawg</v>
      </c>
      <c r="O2391" s="6">
        <f>VLOOKUP(D2391,'Mapped Opponent'!$G$4:$H$22,2,0)</f>
        <v>11</v>
      </c>
      <c r="P2391" s="6"/>
      <c r="Q2391" s="6" t="str">
        <f t="shared" si="4"/>
        <v>Week 11</v>
      </c>
      <c r="R2391" s="6" t="str">
        <f t="shared" si="5"/>
        <v>2023Week 11</v>
      </c>
      <c r="S2391" s="6">
        <f>IFERROR(__xludf.DUMMYFUNCTION("rank(J2391,FILTER(J:J,R:R=R2391))"),7.0)</f>
        <v>7</v>
      </c>
      <c r="T2391" s="6">
        <f t="shared" si="6"/>
        <v>5</v>
      </c>
      <c r="U2391" s="6">
        <f t="shared" si="7"/>
        <v>7</v>
      </c>
      <c r="V2391" s="42">
        <f>averageif(AllData!A:A,B2391,AllData!R:R)/vlookup(B2391,AllData!A:O,15,0)</f>
        <v>93.35904762</v>
      </c>
      <c r="W2391" s="6"/>
    </row>
    <row r="2392" ht="14.25" customHeight="1">
      <c r="A2392" s="6" t="str">
        <f t="shared" si="28"/>
        <v>2023Ewert11</v>
      </c>
      <c r="B2392" s="59">
        <v>2023.0</v>
      </c>
      <c r="C2392" s="13" t="s">
        <v>108</v>
      </c>
      <c r="D2392" s="13" t="s">
        <v>150</v>
      </c>
      <c r="E2392" s="34"/>
      <c r="F2392" s="6"/>
      <c r="H2392" s="6"/>
      <c r="I2392" s="35" t="str">
        <f>IFERROR(IFERROR(IFERROR(VLOOKUP(B2392&amp;C2392&amp;Q2392,'New Weekly Paste'!A:M,10,0),VLOOKUP(B2392&amp;C2392&amp;Q2392,'New Weekly Paste'!B:O,6,0)),""),"")</f>
        <v>Rooney/Jackson</v>
      </c>
      <c r="J2392" s="259">
        <f>IFERROR(IFERROR(VLOOKUP(B2392&amp;C2392&amp;Q2392,'New Weekly Paste'!A:M,8,0),VLOOKUP(B2392&amp;C2392&amp;Q2392,'New Weekly Paste'!B:O,10,0)),0)</f>
        <v>107.18</v>
      </c>
      <c r="K2392" s="259">
        <f>IFERROR(IFERROR(VLOOKUP(B2392&amp;I2392&amp;Q2392,'New Weekly Paste'!A:M,8,0),VLOOKUP(B2392&amp;I2392&amp;Q2392,'New Weekly Paste'!B:O,10,0)),0)</f>
        <v>101.76</v>
      </c>
      <c r="L2392" s="239">
        <f t="shared" si="25"/>
        <v>1</v>
      </c>
      <c r="M2392" s="36" t="str">
        <f t="shared" si="3"/>
        <v>Regular Season</v>
      </c>
      <c r="N2392" s="239" t="str">
        <f t="shared" si="26"/>
        <v>Rooney/Jackson</v>
      </c>
      <c r="O2392" s="6">
        <f>VLOOKUP(D2392,'Mapped Opponent'!$G$4:$H$22,2,0)</f>
        <v>11</v>
      </c>
      <c r="P2392" s="6"/>
      <c r="Q2392" s="6" t="str">
        <f t="shared" si="4"/>
        <v>Week 11</v>
      </c>
      <c r="R2392" s="6" t="str">
        <f t="shared" si="5"/>
        <v>2023Week 11</v>
      </c>
      <c r="S2392" s="6">
        <f>IFERROR(__xludf.DUMMYFUNCTION("rank(J2392,FILTER(J:J,R:R=R2392))"),3.0)</f>
        <v>3</v>
      </c>
      <c r="T2392" s="6">
        <f t="shared" si="6"/>
        <v>9</v>
      </c>
      <c r="U2392" s="6">
        <f t="shared" si="7"/>
        <v>3</v>
      </c>
      <c r="V2392" s="42">
        <f>averageif(AllData!A:A,B2392,AllData!R:R)/vlookup(B2392,AllData!A:O,15,0)</f>
        <v>93.35904762</v>
      </c>
      <c r="W2392" s="6"/>
    </row>
    <row r="2393" ht="14.25" customHeight="1">
      <c r="A2393" s="6" t="str">
        <f t="shared" si="28"/>
        <v>2023Shep11</v>
      </c>
      <c r="B2393" s="59">
        <v>2023.0</v>
      </c>
      <c r="C2393" s="13" t="s">
        <v>89</v>
      </c>
      <c r="D2393" s="13" t="s">
        <v>150</v>
      </c>
      <c r="E2393" s="34"/>
      <c r="F2393" s="6"/>
      <c r="H2393" s="6"/>
      <c r="I2393" s="35" t="str">
        <f>IFERROR(IFERROR(IFERROR(VLOOKUP(B2393&amp;C2393&amp;Q2393,'New Weekly Paste'!A:M,10,0),VLOOKUP(B2393&amp;C2393&amp;Q2393,'New Weekly Paste'!B:O,6,0)),""),"")</f>
        <v>T-How</v>
      </c>
      <c r="J2393" s="259">
        <f>IFERROR(IFERROR(VLOOKUP(B2393&amp;C2393&amp;Q2393,'New Weekly Paste'!A:M,8,0),VLOOKUP(B2393&amp;C2393&amp;Q2393,'New Weekly Paste'!B:O,10,0)),0)</f>
        <v>99.24</v>
      </c>
      <c r="K2393" s="259">
        <f>IFERROR(IFERROR(VLOOKUP(B2393&amp;I2393&amp;Q2393,'New Weekly Paste'!A:M,8,0),VLOOKUP(B2393&amp;I2393&amp;Q2393,'New Weekly Paste'!B:O,10,0)),0)</f>
        <v>120.8</v>
      </c>
      <c r="L2393" s="239">
        <f t="shared" si="25"/>
        <v>0</v>
      </c>
      <c r="M2393" s="36" t="str">
        <f t="shared" si="3"/>
        <v>Regular Season</v>
      </c>
      <c r="N2393" s="239" t="str">
        <f t="shared" si="26"/>
        <v>T-How</v>
      </c>
      <c r="O2393" s="6">
        <f>VLOOKUP(D2393,'Mapped Opponent'!$G$4:$H$22,2,0)</f>
        <v>11</v>
      </c>
      <c r="P2393" s="6"/>
      <c r="Q2393" s="6" t="str">
        <f t="shared" si="4"/>
        <v>Week 11</v>
      </c>
      <c r="R2393" s="6" t="str">
        <f t="shared" si="5"/>
        <v>2023Week 11</v>
      </c>
      <c r="S2393" s="6">
        <f>IFERROR(__xludf.DUMMYFUNCTION("rank(J2393,FILTER(J:J,R:R=R2393))"),6.0)</f>
        <v>6</v>
      </c>
      <c r="T2393" s="6">
        <f t="shared" si="6"/>
        <v>6</v>
      </c>
      <c r="U2393" s="6">
        <f t="shared" si="7"/>
        <v>6</v>
      </c>
      <c r="V2393" s="42">
        <f>averageif(AllData!A:A,B2393,AllData!R:R)/vlookup(B2393,AllData!A:O,15,0)</f>
        <v>93.35904762</v>
      </c>
      <c r="W2393" s="6"/>
    </row>
    <row r="2394" ht="14.25" customHeight="1">
      <c r="A2394" s="6" t="str">
        <f t="shared" si="28"/>
        <v>2023Riley11</v>
      </c>
      <c r="B2394" s="59">
        <v>2023.0</v>
      </c>
      <c r="C2394" s="13" t="s">
        <v>67</v>
      </c>
      <c r="D2394" s="13" t="s">
        <v>150</v>
      </c>
      <c r="E2394" s="34"/>
      <c r="F2394" s="6"/>
      <c r="H2394" s="6"/>
      <c r="I2394" s="35" t="str">
        <f>IFERROR(IFERROR(IFERROR(VLOOKUP(B2394&amp;C2394&amp;Q2394,'New Weekly Paste'!A:M,10,0),VLOOKUP(B2394&amp;C2394&amp;Q2394,'New Weekly Paste'!B:O,6,0)),""),"")</f>
        <v>Tayski</v>
      </c>
      <c r="J2394" s="259">
        <f>IFERROR(IFERROR(VLOOKUP(B2394&amp;C2394&amp;Q2394,'New Weekly Paste'!A:M,8,0),VLOOKUP(B2394&amp;C2394&amp;Q2394,'New Weekly Paste'!B:O,10,0)),0)</f>
        <v>74.4</v>
      </c>
      <c r="K2394" s="259">
        <f>IFERROR(IFERROR(VLOOKUP(B2394&amp;I2394&amp;Q2394,'New Weekly Paste'!A:M,8,0),VLOOKUP(B2394&amp;I2394&amp;Q2394,'New Weekly Paste'!B:O,10,0)),0)</f>
        <v>103.24</v>
      </c>
      <c r="L2394" s="239">
        <f t="shared" si="25"/>
        <v>0</v>
      </c>
      <c r="M2394" s="36" t="str">
        <f t="shared" si="3"/>
        <v>Regular Season</v>
      </c>
      <c r="N2394" s="239" t="str">
        <f t="shared" si="26"/>
        <v>Tayski</v>
      </c>
      <c r="O2394" s="6">
        <f>VLOOKUP(D2394,'Mapped Opponent'!$G$4:$H$22,2,0)</f>
        <v>11</v>
      </c>
      <c r="P2394" s="6"/>
      <c r="Q2394" s="6" t="str">
        <f t="shared" si="4"/>
        <v>Week 11</v>
      </c>
      <c r="R2394" s="6" t="str">
        <f t="shared" si="5"/>
        <v>2023Week 11</v>
      </c>
      <c r="S2394" s="6">
        <f>IFERROR(__xludf.DUMMYFUNCTION("rank(J2394,FILTER(J:J,R:R=R2394))"),12.0)</f>
        <v>12</v>
      </c>
      <c r="T2394" s="6">
        <f t="shared" si="6"/>
        <v>0</v>
      </c>
      <c r="U2394" s="6">
        <f t="shared" si="7"/>
        <v>12</v>
      </c>
      <c r="V2394" s="42">
        <f>averageif(AllData!A:A,B2394,AllData!R:R)/vlookup(B2394,AllData!A:O,15,0)</f>
        <v>93.35904762</v>
      </c>
      <c r="W2394" s="6"/>
    </row>
    <row r="2395" ht="14.25" customHeight="1">
      <c r="A2395" s="6" t="str">
        <f t="shared" si="28"/>
        <v>2023Rooney/Jackson11</v>
      </c>
      <c r="B2395" s="59">
        <v>2023.0</v>
      </c>
      <c r="C2395" s="13" t="s">
        <v>57</v>
      </c>
      <c r="D2395" s="13" t="s">
        <v>150</v>
      </c>
      <c r="E2395" s="34"/>
      <c r="F2395" s="6"/>
      <c r="H2395" s="6"/>
      <c r="I2395" s="35" t="str">
        <f>IFERROR(IFERROR(IFERROR(VLOOKUP(B2395&amp;C2395&amp;Q2395,'New Weekly Paste'!A:M,10,0),VLOOKUP(B2395&amp;C2395&amp;Q2395,'New Weekly Paste'!B:O,6,0)),""),"")</f>
        <v>Ewert</v>
      </c>
      <c r="J2395" s="259">
        <f>IFERROR(IFERROR(VLOOKUP(B2395&amp;C2395&amp;Q2395,'New Weekly Paste'!A:M,8,0),VLOOKUP(B2395&amp;C2395&amp;Q2395,'New Weekly Paste'!B:O,10,0)),0)</f>
        <v>101.76</v>
      </c>
      <c r="K2395" s="259">
        <f>IFERROR(IFERROR(VLOOKUP(B2395&amp;I2395&amp;Q2395,'New Weekly Paste'!A:M,8,0),VLOOKUP(B2395&amp;I2395&amp;Q2395,'New Weekly Paste'!B:O,10,0)),0)</f>
        <v>107.18</v>
      </c>
      <c r="L2395" s="239">
        <f t="shared" si="25"/>
        <v>0</v>
      </c>
      <c r="M2395" s="36" t="str">
        <f t="shared" si="3"/>
        <v>Regular Season</v>
      </c>
      <c r="N2395" s="239" t="str">
        <f t="shared" si="26"/>
        <v>Ewert</v>
      </c>
      <c r="O2395" s="6">
        <f>VLOOKUP(D2395,'Mapped Opponent'!$G$4:$H$22,2,0)</f>
        <v>11</v>
      </c>
      <c r="P2395" s="6"/>
      <c r="Q2395" s="6" t="str">
        <f t="shared" si="4"/>
        <v>Week 11</v>
      </c>
      <c r="R2395" s="6" t="str">
        <f t="shared" si="5"/>
        <v>2023Week 11</v>
      </c>
      <c r="S2395" s="6">
        <f>IFERROR(__xludf.DUMMYFUNCTION("rank(J2395,FILTER(J:J,R:R=R2395))"),5.0)</f>
        <v>5</v>
      </c>
      <c r="T2395" s="6">
        <f t="shared" si="6"/>
        <v>7</v>
      </c>
      <c r="U2395" s="6">
        <f t="shared" si="7"/>
        <v>5</v>
      </c>
      <c r="V2395" s="42">
        <f>averageif(AllData!A:A,B2395,AllData!R:R)/vlookup(B2395,AllData!A:O,15,0)</f>
        <v>93.35904762</v>
      </c>
      <c r="W2395" s="6"/>
    </row>
    <row r="2396" ht="14.25" customHeight="1">
      <c r="A2396" s="6" t="str">
        <f t="shared" si="28"/>
        <v>2023Buser11</v>
      </c>
      <c r="B2396" s="59">
        <v>2023.0</v>
      </c>
      <c r="C2396" s="13" t="s">
        <v>47</v>
      </c>
      <c r="D2396" s="13" t="s">
        <v>150</v>
      </c>
      <c r="E2396" s="34"/>
      <c r="F2396" s="6"/>
      <c r="H2396" s="6"/>
      <c r="I2396" s="35" t="str">
        <f>IFERROR(IFERROR(IFERROR(VLOOKUP(B2396&amp;C2396&amp;Q2396,'New Weekly Paste'!A:M,10,0),VLOOKUP(B2396&amp;C2396&amp;Q2396,'New Weekly Paste'!B:O,6,0)),""),"")</f>
        <v>Hudspeath</v>
      </c>
      <c r="J2396" s="259">
        <f>IFERROR(IFERROR(VLOOKUP(B2396&amp;C2396&amp;Q2396,'New Weekly Paste'!A:M,8,0),VLOOKUP(B2396&amp;C2396&amp;Q2396,'New Weekly Paste'!B:O,10,0)),0)</f>
        <v>82.74</v>
      </c>
      <c r="K2396" s="259">
        <f>IFERROR(IFERROR(VLOOKUP(B2396&amp;I2396&amp;Q2396,'New Weekly Paste'!A:M,8,0),VLOOKUP(B2396&amp;I2396&amp;Q2396,'New Weekly Paste'!B:O,10,0)),0)</f>
        <v>82.26</v>
      </c>
      <c r="L2396" s="239">
        <f t="shared" si="25"/>
        <v>1</v>
      </c>
      <c r="M2396" s="36" t="str">
        <f t="shared" si="3"/>
        <v>Regular Season</v>
      </c>
      <c r="N2396" s="239" t="str">
        <f t="shared" si="26"/>
        <v>Hudspeath</v>
      </c>
      <c r="O2396" s="6">
        <f>VLOOKUP(D2396,'Mapped Opponent'!$G$4:$H$22,2,0)</f>
        <v>11</v>
      </c>
      <c r="P2396" s="6"/>
      <c r="Q2396" s="6" t="str">
        <f t="shared" si="4"/>
        <v>Week 11</v>
      </c>
      <c r="R2396" s="6" t="str">
        <f t="shared" si="5"/>
        <v>2023Week 11</v>
      </c>
      <c r="S2396" s="6">
        <f>IFERROR(__xludf.DUMMYFUNCTION("rank(J2396,FILTER(J:J,R:R=R2396))"),9.0)</f>
        <v>9</v>
      </c>
      <c r="T2396" s="6">
        <f t="shared" si="6"/>
        <v>3</v>
      </c>
      <c r="U2396" s="6">
        <f t="shared" si="7"/>
        <v>9</v>
      </c>
      <c r="V2396" s="42">
        <f>averageif(AllData!A:A,B2396,AllData!R:R)/vlookup(B2396,AllData!A:O,15,0)</f>
        <v>93.35904762</v>
      </c>
      <c r="W2396" s="6"/>
    </row>
    <row r="2397" ht="14.25" customHeight="1">
      <c r="A2397" s="6" t="str">
        <f t="shared" si="28"/>
        <v>2023Pierson11</v>
      </c>
      <c r="B2397" s="59">
        <v>2023.0</v>
      </c>
      <c r="C2397" s="13" t="s">
        <v>92</v>
      </c>
      <c r="D2397" s="13" t="s">
        <v>150</v>
      </c>
      <c r="E2397" s="34"/>
      <c r="F2397" s="6"/>
      <c r="H2397" s="6"/>
      <c r="I2397" s="35" t="str">
        <f>IFERROR(IFERROR(IFERROR(VLOOKUP(B2397&amp;C2397&amp;Q2397,'New Weekly Paste'!A:M,10,0),VLOOKUP(B2397&amp;C2397&amp;Q2397,'New Weekly Paste'!B:O,6,0)),""),"")</f>
        <v>Cock</v>
      </c>
      <c r="J2397" s="259">
        <f>IFERROR(IFERROR(VLOOKUP(B2397&amp;C2397&amp;Q2397,'New Weekly Paste'!A:M,8,0),VLOOKUP(B2397&amp;C2397&amp;Q2397,'New Weekly Paste'!B:O,10,0)),0)</f>
        <v>110.4</v>
      </c>
      <c r="K2397" s="259">
        <f>IFERROR(IFERROR(VLOOKUP(B2397&amp;I2397&amp;Q2397,'New Weekly Paste'!A:M,8,0),VLOOKUP(B2397&amp;I2397&amp;Q2397,'New Weekly Paste'!B:O,10,0)),0)</f>
        <v>74.98</v>
      </c>
      <c r="L2397" s="239">
        <f t="shared" si="25"/>
        <v>1</v>
      </c>
      <c r="M2397" s="36" t="str">
        <f t="shared" si="3"/>
        <v>Regular Season</v>
      </c>
      <c r="N2397" s="239" t="str">
        <f t="shared" si="26"/>
        <v>Cock</v>
      </c>
      <c r="O2397" s="6">
        <f>VLOOKUP(D2397,'Mapped Opponent'!$G$4:$H$22,2,0)</f>
        <v>11</v>
      </c>
      <c r="P2397" s="6"/>
      <c r="Q2397" s="6" t="str">
        <f t="shared" si="4"/>
        <v>Week 11</v>
      </c>
      <c r="R2397" s="6" t="str">
        <f t="shared" si="5"/>
        <v>2023Week 11</v>
      </c>
      <c r="S2397" s="6">
        <f>IFERROR(__xludf.DUMMYFUNCTION("rank(J2397,FILTER(J:J,R:R=R2397))"),2.0)</f>
        <v>2</v>
      </c>
      <c r="T2397" s="6">
        <f t="shared" si="6"/>
        <v>10</v>
      </c>
      <c r="U2397" s="6">
        <f t="shared" si="7"/>
        <v>2</v>
      </c>
      <c r="V2397" s="42">
        <f>averageif(AllData!A:A,B2397,AllData!R:R)/vlookup(B2397,AllData!A:O,15,0)</f>
        <v>93.35904762</v>
      </c>
      <c r="W2397" s="6"/>
    </row>
    <row r="2398" ht="14.25" customHeight="1">
      <c r="A2398" s="6" t="str">
        <f t="shared" si="28"/>
        <v>2023Cock11</v>
      </c>
      <c r="B2398" s="59">
        <v>2023.0</v>
      </c>
      <c r="C2398" s="13" t="s">
        <v>72</v>
      </c>
      <c r="D2398" s="13" t="s">
        <v>150</v>
      </c>
      <c r="E2398" s="34"/>
      <c r="F2398" s="6"/>
      <c r="H2398" s="6"/>
      <c r="I2398" s="35" t="str">
        <f>IFERROR(IFERROR(IFERROR(VLOOKUP(B2398&amp;C2398&amp;Q2398,'New Weekly Paste'!A:M,10,0),VLOOKUP(B2398&amp;C2398&amp;Q2398,'New Weekly Paste'!B:O,6,0)),""),"")</f>
        <v>Pierson</v>
      </c>
      <c r="J2398" s="259">
        <f>IFERROR(IFERROR(VLOOKUP(B2398&amp;C2398&amp;Q2398,'New Weekly Paste'!A:M,8,0),VLOOKUP(B2398&amp;C2398&amp;Q2398,'New Weekly Paste'!B:O,10,0)),0)</f>
        <v>74.98</v>
      </c>
      <c r="K2398" s="259">
        <f>IFERROR(IFERROR(VLOOKUP(B2398&amp;I2398&amp;Q2398,'New Weekly Paste'!A:M,8,0),VLOOKUP(B2398&amp;I2398&amp;Q2398,'New Weekly Paste'!B:O,10,0)),0)</f>
        <v>110.4</v>
      </c>
      <c r="L2398" s="239">
        <f t="shared" si="25"/>
        <v>0</v>
      </c>
      <c r="M2398" s="36" t="str">
        <f t="shared" si="3"/>
        <v>Regular Season</v>
      </c>
      <c r="N2398" s="239" t="str">
        <f t="shared" si="26"/>
        <v>Pierson</v>
      </c>
      <c r="O2398" s="6">
        <f>VLOOKUP(D2398,'Mapped Opponent'!$G$4:$H$22,2,0)</f>
        <v>11</v>
      </c>
      <c r="P2398" s="6"/>
      <c r="Q2398" s="6" t="str">
        <f t="shared" si="4"/>
        <v>Week 11</v>
      </c>
      <c r="R2398" s="6" t="str">
        <f t="shared" si="5"/>
        <v>2023Week 11</v>
      </c>
      <c r="S2398" s="6">
        <f>IFERROR(__xludf.DUMMYFUNCTION("rank(J2398,FILTER(J:J,R:R=R2398))"),11.0)</f>
        <v>11</v>
      </c>
      <c r="T2398" s="6">
        <f t="shared" si="6"/>
        <v>1</v>
      </c>
      <c r="U2398" s="6">
        <f t="shared" si="7"/>
        <v>11</v>
      </c>
      <c r="V2398" s="42">
        <f>averageif(AllData!A:A,B2398,AllData!R:R)/vlookup(B2398,AllData!A:O,15,0)</f>
        <v>93.35904762</v>
      </c>
      <c r="W2398" s="6"/>
    </row>
    <row r="2399" ht="14.25" customHeight="1">
      <c r="A2399" s="6" t="str">
        <f t="shared" si="28"/>
        <v>2023Tayski11</v>
      </c>
      <c r="B2399" s="59">
        <v>2023.0</v>
      </c>
      <c r="C2399" s="13" t="s">
        <v>52</v>
      </c>
      <c r="D2399" s="13" t="s">
        <v>150</v>
      </c>
      <c r="E2399" s="34"/>
      <c r="F2399" s="6"/>
      <c r="H2399" s="6"/>
      <c r="I2399" s="35" t="str">
        <f>IFERROR(IFERROR(IFERROR(VLOOKUP(B2399&amp;C2399&amp;Q2399,'New Weekly Paste'!A:M,10,0),VLOOKUP(B2399&amp;C2399&amp;Q2399,'New Weekly Paste'!B:O,6,0)),""),"")</f>
        <v>Riley</v>
      </c>
      <c r="J2399" s="259">
        <f>IFERROR(IFERROR(VLOOKUP(B2399&amp;C2399&amp;Q2399,'New Weekly Paste'!A:M,8,0),VLOOKUP(B2399&amp;C2399&amp;Q2399,'New Weekly Paste'!B:O,10,0)),0)</f>
        <v>103.24</v>
      </c>
      <c r="K2399" s="259">
        <f>IFERROR(IFERROR(VLOOKUP(B2399&amp;I2399&amp;Q2399,'New Weekly Paste'!A:M,8,0),VLOOKUP(B2399&amp;I2399&amp;Q2399,'New Weekly Paste'!B:O,10,0)),0)</f>
        <v>74.4</v>
      </c>
      <c r="L2399" s="239">
        <f t="shared" si="25"/>
        <v>1</v>
      </c>
      <c r="M2399" s="36" t="str">
        <f t="shared" si="3"/>
        <v>Regular Season</v>
      </c>
      <c r="N2399" s="239" t="str">
        <f t="shared" si="26"/>
        <v>Riley</v>
      </c>
      <c r="O2399" s="6">
        <f>VLOOKUP(D2399,'Mapped Opponent'!$G$4:$H$22,2,0)</f>
        <v>11</v>
      </c>
      <c r="P2399" s="6"/>
      <c r="Q2399" s="6" t="str">
        <f t="shared" si="4"/>
        <v>Week 11</v>
      </c>
      <c r="R2399" s="6" t="str">
        <f t="shared" si="5"/>
        <v>2023Week 11</v>
      </c>
      <c r="S2399" s="6">
        <f>IFERROR(__xludf.DUMMYFUNCTION("rank(J2399,FILTER(J:J,R:R=R2399))"),4.0)</f>
        <v>4</v>
      </c>
      <c r="T2399" s="6">
        <f t="shared" si="6"/>
        <v>8</v>
      </c>
      <c r="U2399" s="6">
        <f t="shared" si="7"/>
        <v>4</v>
      </c>
      <c r="V2399" s="42">
        <f>averageif(AllData!A:A,B2399,AllData!R:R)/vlookup(B2399,AllData!A:O,15,0)</f>
        <v>93.35904762</v>
      </c>
      <c r="W2399" s="6"/>
    </row>
    <row r="2400" ht="14.25" customHeight="1">
      <c r="A2400" s="6" t="str">
        <f t="shared" si="28"/>
        <v>2023KnardDawg11</v>
      </c>
      <c r="B2400" s="59">
        <v>2023.0</v>
      </c>
      <c r="C2400" s="13" t="s">
        <v>86</v>
      </c>
      <c r="D2400" s="13" t="s">
        <v>150</v>
      </c>
      <c r="E2400" s="34"/>
      <c r="F2400" s="6"/>
      <c r="H2400" s="6"/>
      <c r="I2400" s="35" t="str">
        <f>IFERROR(IFERROR(IFERROR(VLOOKUP(B2400&amp;C2400&amp;Q2400,'New Weekly Paste'!A:M,10,0),VLOOKUP(B2400&amp;C2400&amp;Q2400,'New Weekly Paste'!B:O,6,0)),""),"")</f>
        <v>Salty</v>
      </c>
      <c r="J2400" s="259">
        <f>IFERROR(IFERROR(VLOOKUP(B2400&amp;C2400&amp;Q2400,'New Weekly Paste'!A:M,8,0),VLOOKUP(B2400&amp;C2400&amp;Q2400,'New Weekly Paste'!B:O,10,0)),0)</f>
        <v>90.02</v>
      </c>
      <c r="K2400" s="259">
        <f>IFERROR(IFERROR(VLOOKUP(B2400&amp;I2400&amp;Q2400,'New Weekly Paste'!A:M,8,0),VLOOKUP(B2400&amp;I2400&amp;Q2400,'New Weekly Paste'!B:O,10,0)),0)</f>
        <v>95.8</v>
      </c>
      <c r="L2400" s="239">
        <f t="shared" si="25"/>
        <v>0</v>
      </c>
      <c r="M2400" s="36" t="str">
        <f t="shared" si="3"/>
        <v>Regular Season</v>
      </c>
      <c r="N2400" s="239" t="str">
        <f t="shared" si="26"/>
        <v>Salty</v>
      </c>
      <c r="O2400" s="6">
        <f>VLOOKUP(D2400,'Mapped Opponent'!$G$4:$H$22,2,0)</f>
        <v>11</v>
      </c>
      <c r="P2400" s="6"/>
      <c r="Q2400" s="6" t="str">
        <f t="shared" si="4"/>
        <v>Week 11</v>
      </c>
      <c r="R2400" s="6" t="str">
        <f t="shared" si="5"/>
        <v>2023Week 11</v>
      </c>
      <c r="S2400" s="6">
        <f>IFERROR(__xludf.DUMMYFUNCTION("rank(J2400,FILTER(J:J,R:R=R2400))"),8.0)</f>
        <v>8</v>
      </c>
      <c r="T2400" s="6">
        <f t="shared" si="6"/>
        <v>4</v>
      </c>
      <c r="U2400" s="6">
        <f t="shared" si="7"/>
        <v>8</v>
      </c>
      <c r="V2400" s="42">
        <f>averageif(AllData!A:A,B2400,AllData!R:R)/vlookup(B2400,AllData!A:O,15,0)</f>
        <v>93.35904762</v>
      </c>
      <c r="W2400" s="6"/>
    </row>
    <row r="2401" ht="14.25" customHeight="1">
      <c r="A2401" s="6" t="str">
        <f t="shared" si="28"/>
        <v>2023T-How11</v>
      </c>
      <c r="B2401" s="59">
        <v>2023.0</v>
      </c>
      <c r="C2401" s="13" t="s">
        <v>82</v>
      </c>
      <c r="D2401" s="13" t="s">
        <v>150</v>
      </c>
      <c r="E2401" s="34"/>
      <c r="F2401" s="6"/>
      <c r="H2401" s="6"/>
      <c r="I2401" s="35" t="str">
        <f>IFERROR(IFERROR(IFERROR(VLOOKUP(B2401&amp;C2401&amp;Q2401,'New Weekly Paste'!A:M,10,0),VLOOKUP(B2401&amp;C2401&amp;Q2401,'New Weekly Paste'!B:O,6,0)),""),"")</f>
        <v>Shep</v>
      </c>
      <c r="J2401" s="259">
        <f>IFERROR(IFERROR(VLOOKUP(B2401&amp;C2401&amp;Q2401,'New Weekly Paste'!A:M,8,0),VLOOKUP(B2401&amp;C2401&amp;Q2401,'New Weekly Paste'!B:O,10,0)),0)</f>
        <v>120.8</v>
      </c>
      <c r="K2401" s="259">
        <f>IFERROR(IFERROR(VLOOKUP(B2401&amp;I2401&amp;Q2401,'New Weekly Paste'!A:M,8,0),VLOOKUP(B2401&amp;I2401&amp;Q2401,'New Weekly Paste'!B:O,10,0)),0)</f>
        <v>99.24</v>
      </c>
      <c r="L2401" s="239">
        <f t="shared" si="25"/>
        <v>1</v>
      </c>
      <c r="M2401" s="36" t="str">
        <f t="shared" si="3"/>
        <v>Regular Season</v>
      </c>
      <c r="N2401" s="239" t="str">
        <f t="shared" si="26"/>
        <v>Shep</v>
      </c>
      <c r="O2401" s="6">
        <f>VLOOKUP(D2401,'Mapped Opponent'!$G$4:$H$22,2,0)</f>
        <v>11</v>
      </c>
      <c r="P2401" s="6"/>
      <c r="Q2401" s="6" t="str">
        <f t="shared" si="4"/>
        <v>Week 11</v>
      </c>
      <c r="R2401" s="6" t="str">
        <f t="shared" si="5"/>
        <v>2023Week 11</v>
      </c>
      <c r="S2401" s="6">
        <f>IFERROR(__xludf.DUMMYFUNCTION("rank(J2401,FILTER(J:J,R:R=R2401))"),1.0)</f>
        <v>1</v>
      </c>
      <c r="T2401" s="6">
        <f t="shared" si="6"/>
        <v>11</v>
      </c>
      <c r="U2401" s="6">
        <f t="shared" si="7"/>
        <v>1</v>
      </c>
      <c r="V2401" s="42">
        <f>averageif(AllData!A:A,B2401,AllData!R:R)/vlookup(B2401,AllData!A:O,15,0)</f>
        <v>93.35904762</v>
      </c>
      <c r="W2401" s="6"/>
    </row>
    <row r="2402" ht="14.25" customHeight="1">
      <c r="A2402" s="6" t="str">
        <f t="shared" si="28"/>
        <v>2023Hudspeath12</v>
      </c>
      <c r="B2402" s="59">
        <v>2023.0</v>
      </c>
      <c r="C2402" s="13" t="s">
        <v>39</v>
      </c>
      <c r="D2402" s="13" t="s">
        <v>151</v>
      </c>
      <c r="E2402" s="34"/>
      <c r="F2402" s="6"/>
      <c r="H2402" s="6"/>
      <c r="I2402" s="35" t="str">
        <f>IFERROR(IFERROR(IFERROR(VLOOKUP(B2402&amp;C2402&amp;Q2402,'New Weekly Paste'!A:M,10,0),VLOOKUP(B2402&amp;C2402&amp;Q2402,'New Weekly Paste'!B:O,6,0)),""),"")</f>
        <v>Tayski</v>
      </c>
      <c r="J2402" s="259">
        <f>IFERROR(IFERROR(VLOOKUP(B2402&amp;C2402&amp;Q2402,'New Weekly Paste'!A:M,8,0),VLOOKUP(B2402&amp;C2402&amp;Q2402,'New Weekly Paste'!B:O,10,0)),0)</f>
        <v>115.54</v>
      </c>
      <c r="K2402" s="259">
        <f>IFERROR(IFERROR(VLOOKUP(B2402&amp;I2402&amp;Q2402,'New Weekly Paste'!A:M,8,0),VLOOKUP(B2402&amp;I2402&amp;Q2402,'New Weekly Paste'!B:O,10,0)),0)</f>
        <v>106.16</v>
      </c>
      <c r="L2402" s="239">
        <f t="shared" si="25"/>
        <v>1</v>
      </c>
      <c r="M2402" s="36" t="str">
        <f t="shared" si="3"/>
        <v>Regular Season</v>
      </c>
      <c r="N2402" s="239" t="str">
        <f t="shared" si="26"/>
        <v>Tayski</v>
      </c>
      <c r="O2402" s="6">
        <f>VLOOKUP(D2402,'Mapped Opponent'!$G$4:$H$22,2,0)</f>
        <v>12</v>
      </c>
      <c r="P2402" s="6"/>
      <c r="Q2402" s="6" t="str">
        <f t="shared" si="4"/>
        <v>Week 12</v>
      </c>
      <c r="R2402" s="6" t="str">
        <f t="shared" si="5"/>
        <v>2023Week 12</v>
      </c>
      <c r="S2402" s="6">
        <f>IFERROR(__xludf.DUMMYFUNCTION("rank(J2402,FILTER(J:J,R:R=R2402))"),3.0)</f>
        <v>3</v>
      </c>
      <c r="T2402" s="6">
        <f t="shared" si="6"/>
        <v>9</v>
      </c>
      <c r="U2402" s="6">
        <f t="shared" si="7"/>
        <v>3</v>
      </c>
      <c r="V2402" s="42">
        <f>averageif(AllData!A:A,B2402,AllData!R:R)/vlookup(B2402,AllData!A:O,15,0)</f>
        <v>93.35904762</v>
      </c>
      <c r="W2402" s="6"/>
    </row>
    <row r="2403" ht="14.25" customHeight="1">
      <c r="A2403" s="6" t="str">
        <f t="shared" si="28"/>
        <v>2023Salty12</v>
      </c>
      <c r="B2403" s="59">
        <v>2023.0</v>
      </c>
      <c r="C2403" s="13" t="s">
        <v>76</v>
      </c>
      <c r="D2403" s="13" t="s">
        <v>151</v>
      </c>
      <c r="E2403" s="34"/>
      <c r="F2403" s="6"/>
      <c r="H2403" s="6"/>
      <c r="I2403" s="35" t="str">
        <f>IFERROR(IFERROR(IFERROR(VLOOKUP(B2403&amp;C2403&amp;Q2403,'New Weekly Paste'!A:M,10,0),VLOOKUP(B2403&amp;C2403&amp;Q2403,'New Weekly Paste'!B:O,6,0)),""),"")</f>
        <v>Riley</v>
      </c>
      <c r="J2403" s="259">
        <f>IFERROR(IFERROR(VLOOKUP(B2403&amp;C2403&amp;Q2403,'New Weekly Paste'!A:M,8,0),VLOOKUP(B2403&amp;C2403&amp;Q2403,'New Weekly Paste'!B:O,10,0)),0)</f>
        <v>115.16</v>
      </c>
      <c r="K2403" s="259">
        <f>IFERROR(IFERROR(VLOOKUP(B2403&amp;I2403&amp;Q2403,'New Weekly Paste'!A:M,8,0),VLOOKUP(B2403&amp;I2403&amp;Q2403,'New Weekly Paste'!B:O,10,0)),0)</f>
        <v>88.92</v>
      </c>
      <c r="L2403" s="239">
        <f t="shared" si="25"/>
        <v>1</v>
      </c>
      <c r="M2403" s="36" t="str">
        <f t="shared" si="3"/>
        <v>Regular Season</v>
      </c>
      <c r="N2403" s="239" t="str">
        <f t="shared" si="26"/>
        <v>Riley</v>
      </c>
      <c r="O2403" s="6">
        <f>VLOOKUP(D2403,'Mapped Opponent'!$G$4:$H$22,2,0)</f>
        <v>12</v>
      </c>
      <c r="P2403" s="6"/>
      <c r="Q2403" s="6" t="str">
        <f t="shared" si="4"/>
        <v>Week 12</v>
      </c>
      <c r="R2403" s="6" t="str">
        <f t="shared" si="5"/>
        <v>2023Week 12</v>
      </c>
      <c r="S2403" s="6">
        <f>IFERROR(__xludf.DUMMYFUNCTION("rank(J2403,FILTER(J:J,R:R=R2403))"),4.0)</f>
        <v>4</v>
      </c>
      <c r="T2403" s="6">
        <f t="shared" si="6"/>
        <v>8</v>
      </c>
      <c r="U2403" s="6">
        <f t="shared" si="7"/>
        <v>4</v>
      </c>
      <c r="V2403" s="42">
        <f>averageif(AllData!A:A,B2403,AllData!R:R)/vlookup(B2403,AllData!A:O,15,0)</f>
        <v>93.35904762</v>
      </c>
      <c r="W2403" s="6"/>
    </row>
    <row r="2404" ht="14.25" customHeight="1">
      <c r="A2404" s="6" t="str">
        <f t="shared" si="28"/>
        <v>2023Ewert12</v>
      </c>
      <c r="B2404" s="59">
        <v>2023.0</v>
      </c>
      <c r="C2404" s="13" t="s">
        <v>108</v>
      </c>
      <c r="D2404" s="13" t="s">
        <v>151</v>
      </c>
      <c r="E2404" s="34"/>
      <c r="F2404" s="6"/>
      <c r="H2404" s="6"/>
      <c r="I2404" s="35" t="str">
        <f>IFERROR(IFERROR(IFERROR(VLOOKUP(B2404&amp;C2404&amp;Q2404,'New Weekly Paste'!A:M,10,0),VLOOKUP(B2404&amp;C2404&amp;Q2404,'New Weekly Paste'!B:O,6,0)),""),"")</f>
        <v>Shep</v>
      </c>
      <c r="J2404" s="259">
        <f>IFERROR(IFERROR(VLOOKUP(B2404&amp;C2404&amp;Q2404,'New Weekly Paste'!A:M,8,0),VLOOKUP(B2404&amp;C2404&amp;Q2404,'New Weekly Paste'!B:O,10,0)),0)</f>
        <v>112.66</v>
      </c>
      <c r="K2404" s="239" t="str">
        <f>IFERROR(IFERROR(VLOOKUP(B2404&amp;I2404&amp;Q2404,'New Weekly Paste'!A:M,8,0),VLOOKUP(B2404&amp;I2404&amp;Q2404,'New Weekly Paste'!B:O,10,0)),0)</f>
        <v/>
      </c>
      <c r="L2404" s="239">
        <f t="shared" si="25"/>
        <v>1</v>
      </c>
      <c r="M2404" s="36" t="str">
        <f t="shared" si="3"/>
        <v>Regular Season</v>
      </c>
      <c r="N2404" s="239" t="str">
        <f t="shared" si="26"/>
        <v>Shep</v>
      </c>
      <c r="O2404" s="6">
        <f>VLOOKUP(D2404,'Mapped Opponent'!$G$4:$H$22,2,0)</f>
        <v>12</v>
      </c>
      <c r="P2404" s="6"/>
      <c r="Q2404" s="6" t="str">
        <f t="shared" si="4"/>
        <v>Week 12</v>
      </c>
      <c r="R2404" s="6" t="str">
        <f t="shared" si="5"/>
        <v>2023Week 12</v>
      </c>
      <c r="S2404" s="6">
        <f>IFERROR(__xludf.DUMMYFUNCTION("rank(J2404,FILTER(J:J,R:R=R2404))"),5.0)</f>
        <v>5</v>
      </c>
      <c r="T2404" s="6">
        <f t="shared" si="6"/>
        <v>7</v>
      </c>
      <c r="U2404" s="6">
        <f t="shared" si="7"/>
        <v>5</v>
      </c>
      <c r="V2404" s="42">
        <f>averageif(AllData!A:A,B2404,AllData!R:R)/vlookup(B2404,AllData!A:O,15,0)</f>
        <v>93.35904762</v>
      </c>
      <c r="W2404" s="6"/>
    </row>
    <row r="2405" ht="14.25" customHeight="1">
      <c r="A2405" s="6" t="str">
        <f t="shared" si="28"/>
        <v>2023Shep12</v>
      </c>
      <c r="B2405" s="59">
        <v>2023.0</v>
      </c>
      <c r="C2405" s="13" t="s">
        <v>89</v>
      </c>
      <c r="D2405" s="13" t="s">
        <v>151</v>
      </c>
      <c r="E2405" s="34"/>
      <c r="F2405" s="6"/>
      <c r="H2405" s="6"/>
      <c r="I2405" s="35" t="str">
        <f>IFERROR(IFERROR(IFERROR(VLOOKUP(B2405&amp;C2405&amp;Q2405,'New Weekly Paste'!A:M,10,0),VLOOKUP(B2405&amp;C2405&amp;Q2405,'New Weekly Paste'!B:O,6,0)),""),"")</f>
        <v>T-How</v>
      </c>
      <c r="J2405" s="239" t="str">
        <f>IFERROR(IFERROR(VLOOKUP(B2405&amp;C2405&amp;Q2405,'New Weekly Paste'!A:M,8,0),VLOOKUP(B2405&amp;C2405&amp;Q2405,'New Weekly Paste'!B:O,10,0)),0)</f>
        <v/>
      </c>
      <c r="K2405" s="259">
        <f>IFERROR(IFERROR(VLOOKUP(B2405&amp;I2405&amp;Q2405,'New Weekly Paste'!A:M,8,0),VLOOKUP(B2405&amp;I2405&amp;Q2405,'New Weekly Paste'!B:O,10,0)),0)</f>
        <v>89.28</v>
      </c>
      <c r="L2405" s="239">
        <f t="shared" si="25"/>
        <v>0</v>
      </c>
      <c r="M2405" s="36" t="str">
        <f t="shared" si="3"/>
        <v>Regular Season</v>
      </c>
      <c r="N2405" s="239" t="str">
        <f t="shared" si="26"/>
        <v>T-How</v>
      </c>
      <c r="O2405" s="6">
        <f>VLOOKUP(D2405,'Mapped Opponent'!$G$4:$H$22,2,0)</f>
        <v>12</v>
      </c>
      <c r="P2405" s="6"/>
      <c r="Q2405" s="6" t="str">
        <f t="shared" si="4"/>
        <v>Week 12</v>
      </c>
      <c r="R2405" s="6" t="str">
        <f t="shared" si="5"/>
        <v>2023Week 12</v>
      </c>
      <c r="S2405" s="6" t="str">
        <f>IFERROR(__xludf.DUMMYFUNCTION("rank(J2405,FILTER(J:J,R:R=R2405))"),"#N/A")</f>
        <v>#N/A</v>
      </c>
      <c r="T2405" s="6">
        <f t="shared" si="6"/>
        <v>0</v>
      </c>
      <c r="U2405" s="6">
        <f t="shared" si="7"/>
        <v>12</v>
      </c>
      <c r="V2405" s="42">
        <f>averageif(AllData!A:A,B2405,AllData!R:R)/vlookup(B2405,AllData!A:O,15,0)</f>
        <v>93.35904762</v>
      </c>
      <c r="W2405" s="6"/>
    </row>
    <row r="2406" ht="14.25" customHeight="1">
      <c r="A2406" s="6" t="str">
        <f t="shared" si="28"/>
        <v>2023Riley12</v>
      </c>
      <c r="B2406" s="59">
        <v>2023.0</v>
      </c>
      <c r="C2406" s="13" t="s">
        <v>67</v>
      </c>
      <c r="D2406" s="13" t="s">
        <v>151</v>
      </c>
      <c r="E2406" s="34"/>
      <c r="F2406" s="6"/>
      <c r="H2406" s="6"/>
      <c r="I2406" s="35" t="str">
        <f>IFERROR(IFERROR(IFERROR(VLOOKUP(B2406&amp;C2406&amp;Q2406,'New Weekly Paste'!A:M,10,0),VLOOKUP(B2406&amp;C2406&amp;Q2406,'New Weekly Paste'!B:O,6,0)),""),"")</f>
        <v>Salty</v>
      </c>
      <c r="J2406" s="259">
        <f>IFERROR(IFERROR(VLOOKUP(B2406&amp;C2406&amp;Q2406,'New Weekly Paste'!A:M,8,0),VLOOKUP(B2406&amp;C2406&amp;Q2406,'New Weekly Paste'!B:O,10,0)),0)</f>
        <v>88.92</v>
      </c>
      <c r="K2406" s="259">
        <f>IFERROR(IFERROR(VLOOKUP(B2406&amp;I2406&amp;Q2406,'New Weekly Paste'!A:M,8,0),VLOOKUP(B2406&amp;I2406&amp;Q2406,'New Weekly Paste'!B:O,10,0)),0)</f>
        <v>115.16</v>
      </c>
      <c r="L2406" s="239">
        <f t="shared" si="25"/>
        <v>0</v>
      </c>
      <c r="M2406" s="36" t="str">
        <f t="shared" si="3"/>
        <v>Regular Season</v>
      </c>
      <c r="N2406" s="239" t="str">
        <f t="shared" si="26"/>
        <v>Salty</v>
      </c>
      <c r="O2406" s="6">
        <f>VLOOKUP(D2406,'Mapped Opponent'!$G$4:$H$22,2,0)</f>
        <v>12</v>
      </c>
      <c r="P2406" s="6"/>
      <c r="Q2406" s="6" t="str">
        <f t="shared" si="4"/>
        <v>Week 12</v>
      </c>
      <c r="R2406" s="6" t="str">
        <f t="shared" si="5"/>
        <v>2023Week 12</v>
      </c>
      <c r="S2406" s="6">
        <f>IFERROR(__xludf.DUMMYFUNCTION("rank(J2406,FILTER(J:J,R:R=R2406))"),9.0)</f>
        <v>9</v>
      </c>
      <c r="T2406" s="6">
        <f t="shared" si="6"/>
        <v>3</v>
      </c>
      <c r="U2406" s="6">
        <f t="shared" si="7"/>
        <v>9</v>
      </c>
      <c r="V2406" s="42">
        <f>averageif(AllData!A:A,B2406,AllData!R:R)/vlookup(B2406,AllData!A:O,15,0)</f>
        <v>93.35904762</v>
      </c>
      <c r="W2406" s="6"/>
    </row>
    <row r="2407" ht="14.25" customHeight="1">
      <c r="A2407" s="6" t="str">
        <f t="shared" si="28"/>
        <v>2023Rooney/Jackson12</v>
      </c>
      <c r="B2407" s="59">
        <v>2023.0</v>
      </c>
      <c r="C2407" s="13" t="s">
        <v>57</v>
      </c>
      <c r="D2407" s="13" t="s">
        <v>151</v>
      </c>
      <c r="E2407" s="34"/>
      <c r="F2407" s="6"/>
      <c r="H2407" s="6"/>
      <c r="I2407" s="35" t="str">
        <f>IFERROR(IFERROR(IFERROR(VLOOKUP(B2407&amp;C2407&amp;Q2407,'New Weekly Paste'!A:M,10,0),VLOOKUP(B2407&amp;C2407&amp;Q2407,'New Weekly Paste'!B:O,6,0)),""),"")</f>
        <v>Cock</v>
      </c>
      <c r="J2407" s="259">
        <f>IFERROR(IFERROR(VLOOKUP(B2407&amp;C2407&amp;Q2407,'New Weekly Paste'!A:M,8,0),VLOOKUP(B2407&amp;C2407&amp;Q2407,'New Weekly Paste'!B:O,10,0)),0)</f>
        <v>71.68</v>
      </c>
      <c r="K2407" s="259">
        <f>IFERROR(IFERROR(VLOOKUP(B2407&amp;I2407&amp;Q2407,'New Weekly Paste'!A:M,8,0),VLOOKUP(B2407&amp;I2407&amp;Q2407,'New Weekly Paste'!B:O,10,0)),0)</f>
        <v>79.32</v>
      </c>
      <c r="L2407" s="239">
        <f t="shared" si="25"/>
        <v>0</v>
      </c>
      <c r="M2407" s="36" t="str">
        <f t="shared" si="3"/>
        <v>Regular Season</v>
      </c>
      <c r="N2407" s="239" t="str">
        <f t="shared" si="26"/>
        <v>Cock</v>
      </c>
      <c r="O2407" s="6">
        <f>VLOOKUP(D2407,'Mapped Opponent'!$G$4:$H$22,2,0)</f>
        <v>12</v>
      </c>
      <c r="P2407" s="6"/>
      <c r="Q2407" s="6" t="str">
        <f t="shared" si="4"/>
        <v>Week 12</v>
      </c>
      <c r="R2407" s="6" t="str">
        <f t="shared" si="5"/>
        <v>2023Week 12</v>
      </c>
      <c r="S2407" s="6">
        <f>IFERROR(__xludf.DUMMYFUNCTION("rank(J2407,FILTER(J:J,R:R=R2407))"),11.0)</f>
        <v>11</v>
      </c>
      <c r="T2407" s="6">
        <f t="shared" si="6"/>
        <v>1</v>
      </c>
      <c r="U2407" s="6">
        <f t="shared" si="7"/>
        <v>11</v>
      </c>
      <c r="V2407" s="42">
        <f>averageif(AllData!A:A,B2407,AllData!R:R)/vlookup(B2407,AllData!A:O,15,0)</f>
        <v>93.35904762</v>
      </c>
      <c r="W2407" s="6"/>
    </row>
    <row r="2408" ht="14.25" customHeight="1">
      <c r="A2408" s="6" t="str">
        <f t="shared" si="28"/>
        <v>2023Buser12</v>
      </c>
      <c r="B2408" s="59">
        <v>2023.0</v>
      </c>
      <c r="C2408" s="13" t="s">
        <v>47</v>
      </c>
      <c r="D2408" s="13" t="s">
        <v>151</v>
      </c>
      <c r="E2408" s="34"/>
      <c r="F2408" s="6"/>
      <c r="H2408" s="6"/>
      <c r="I2408" s="35" t="str">
        <f>IFERROR(IFERROR(IFERROR(VLOOKUP(B2408&amp;C2408&amp;Q2408,'New Weekly Paste'!A:M,10,0),VLOOKUP(B2408&amp;C2408&amp;Q2408,'New Weekly Paste'!B:O,6,0)),""),"")</f>
        <v>Pierson</v>
      </c>
      <c r="J2408" s="259">
        <f>IFERROR(IFERROR(VLOOKUP(B2408&amp;C2408&amp;Q2408,'New Weekly Paste'!A:M,8,0),VLOOKUP(B2408&amp;C2408&amp;Q2408,'New Weekly Paste'!B:O,10,0)),0)</f>
        <v>117.02</v>
      </c>
      <c r="K2408" s="259">
        <f>IFERROR(IFERROR(VLOOKUP(B2408&amp;I2408&amp;Q2408,'New Weekly Paste'!A:M,8,0),VLOOKUP(B2408&amp;I2408&amp;Q2408,'New Weekly Paste'!B:O,10,0)),0)</f>
        <v>125</v>
      </c>
      <c r="L2408" s="239">
        <f t="shared" si="25"/>
        <v>0</v>
      </c>
      <c r="M2408" s="36" t="str">
        <f t="shared" si="3"/>
        <v>Regular Season</v>
      </c>
      <c r="N2408" s="239" t="str">
        <f t="shared" si="26"/>
        <v>Pierson</v>
      </c>
      <c r="O2408" s="6">
        <f>VLOOKUP(D2408,'Mapped Opponent'!$G$4:$H$22,2,0)</f>
        <v>12</v>
      </c>
      <c r="P2408" s="6"/>
      <c r="Q2408" s="6" t="str">
        <f t="shared" si="4"/>
        <v>Week 12</v>
      </c>
      <c r="R2408" s="6" t="str">
        <f t="shared" si="5"/>
        <v>2023Week 12</v>
      </c>
      <c r="S2408" s="6">
        <f>IFERROR(__xludf.DUMMYFUNCTION("rank(J2408,FILTER(J:J,R:R=R2408))"),2.0)</f>
        <v>2</v>
      </c>
      <c r="T2408" s="6">
        <f t="shared" si="6"/>
        <v>10</v>
      </c>
      <c r="U2408" s="6">
        <f t="shared" si="7"/>
        <v>2</v>
      </c>
      <c r="V2408" s="42">
        <f>averageif(AllData!A:A,B2408,AllData!R:R)/vlookup(B2408,AllData!A:O,15,0)</f>
        <v>93.35904762</v>
      </c>
      <c r="W2408" s="6"/>
    </row>
    <row r="2409" ht="14.25" customHeight="1">
      <c r="A2409" s="6" t="str">
        <f t="shared" si="28"/>
        <v>2023Pierson12</v>
      </c>
      <c r="B2409" s="59">
        <v>2023.0</v>
      </c>
      <c r="C2409" s="13" t="s">
        <v>92</v>
      </c>
      <c r="D2409" s="13" t="s">
        <v>151</v>
      </c>
      <c r="E2409" s="34"/>
      <c r="F2409" s="6"/>
      <c r="H2409" s="6"/>
      <c r="I2409" s="35" t="str">
        <f>IFERROR(IFERROR(IFERROR(VLOOKUP(B2409&amp;C2409&amp;Q2409,'New Weekly Paste'!A:M,10,0),VLOOKUP(B2409&amp;C2409&amp;Q2409,'New Weekly Paste'!B:O,6,0)),""),"")</f>
        <v>Buser</v>
      </c>
      <c r="J2409" s="259">
        <f>IFERROR(IFERROR(VLOOKUP(B2409&amp;C2409&amp;Q2409,'New Weekly Paste'!A:M,8,0),VLOOKUP(B2409&amp;C2409&amp;Q2409,'New Weekly Paste'!B:O,10,0)),0)</f>
        <v>125</v>
      </c>
      <c r="K2409" s="259">
        <f>IFERROR(IFERROR(VLOOKUP(B2409&amp;I2409&amp;Q2409,'New Weekly Paste'!A:M,8,0),VLOOKUP(B2409&amp;I2409&amp;Q2409,'New Weekly Paste'!B:O,10,0)),0)</f>
        <v>117.02</v>
      </c>
      <c r="L2409" s="239">
        <f t="shared" si="25"/>
        <v>1</v>
      </c>
      <c r="M2409" s="36" t="str">
        <f t="shared" si="3"/>
        <v>Regular Season</v>
      </c>
      <c r="N2409" s="239" t="str">
        <f t="shared" si="26"/>
        <v>Buser</v>
      </c>
      <c r="O2409" s="6">
        <f>VLOOKUP(D2409,'Mapped Opponent'!$G$4:$H$22,2,0)</f>
        <v>12</v>
      </c>
      <c r="P2409" s="6"/>
      <c r="Q2409" s="6" t="str">
        <f t="shared" si="4"/>
        <v>Week 12</v>
      </c>
      <c r="R2409" s="6" t="str">
        <f t="shared" si="5"/>
        <v>2023Week 12</v>
      </c>
      <c r="S2409" s="6">
        <f>IFERROR(__xludf.DUMMYFUNCTION("rank(J2409,FILTER(J:J,R:R=R2409))"),1.0)</f>
        <v>1</v>
      </c>
      <c r="T2409" s="6">
        <f t="shared" si="6"/>
        <v>11</v>
      </c>
      <c r="U2409" s="6">
        <f t="shared" si="7"/>
        <v>1</v>
      </c>
      <c r="V2409" s="42">
        <f>averageif(AllData!A:A,B2409,AllData!R:R)/vlookup(B2409,AllData!A:O,15,0)</f>
        <v>93.35904762</v>
      </c>
      <c r="W2409" s="6"/>
    </row>
    <row r="2410" ht="14.25" customHeight="1">
      <c r="A2410" s="6" t="str">
        <f t="shared" si="28"/>
        <v>2023Cock12</v>
      </c>
      <c r="B2410" s="59">
        <v>2023.0</v>
      </c>
      <c r="C2410" s="13" t="s">
        <v>72</v>
      </c>
      <c r="D2410" s="13" t="s">
        <v>151</v>
      </c>
      <c r="E2410" s="34"/>
      <c r="F2410" s="6"/>
      <c r="H2410" s="6"/>
      <c r="I2410" s="35" t="str">
        <f>IFERROR(IFERROR(IFERROR(VLOOKUP(B2410&amp;C2410&amp;Q2410,'New Weekly Paste'!A:M,10,0),VLOOKUP(B2410&amp;C2410&amp;Q2410,'New Weekly Paste'!B:O,6,0)),""),"")</f>
        <v>Rooney/Jackson</v>
      </c>
      <c r="J2410" s="259">
        <f>IFERROR(IFERROR(VLOOKUP(B2410&amp;C2410&amp;Q2410,'New Weekly Paste'!A:M,8,0),VLOOKUP(B2410&amp;C2410&amp;Q2410,'New Weekly Paste'!B:O,10,0)),0)</f>
        <v>79.32</v>
      </c>
      <c r="K2410" s="259">
        <f>IFERROR(IFERROR(VLOOKUP(B2410&amp;I2410&amp;Q2410,'New Weekly Paste'!A:M,8,0),VLOOKUP(B2410&amp;I2410&amp;Q2410,'New Weekly Paste'!B:O,10,0)),0)</f>
        <v>71.68</v>
      </c>
      <c r="L2410" s="239">
        <f t="shared" si="25"/>
        <v>1</v>
      </c>
      <c r="M2410" s="36" t="str">
        <f t="shared" si="3"/>
        <v>Regular Season</v>
      </c>
      <c r="N2410" s="239" t="str">
        <f t="shared" si="26"/>
        <v>Rooney/Jackson</v>
      </c>
      <c r="O2410" s="6">
        <f>VLOOKUP(D2410,'Mapped Opponent'!$G$4:$H$22,2,0)</f>
        <v>12</v>
      </c>
      <c r="P2410" s="6"/>
      <c r="Q2410" s="6" t="str">
        <f t="shared" si="4"/>
        <v>Week 12</v>
      </c>
      <c r="R2410" s="6" t="str">
        <f t="shared" si="5"/>
        <v>2023Week 12</v>
      </c>
      <c r="S2410" s="6">
        <f>IFERROR(__xludf.DUMMYFUNCTION("rank(J2410,FILTER(J:J,R:R=R2410))"),10.0)</f>
        <v>10</v>
      </c>
      <c r="T2410" s="6">
        <f t="shared" si="6"/>
        <v>2</v>
      </c>
      <c r="U2410" s="6">
        <f t="shared" si="7"/>
        <v>10</v>
      </c>
      <c r="V2410" s="42">
        <f>averageif(AllData!A:A,B2410,AllData!R:R)/vlookup(B2410,AllData!A:O,15,0)</f>
        <v>93.35904762</v>
      </c>
      <c r="W2410" s="6"/>
    </row>
    <row r="2411" ht="14.25" customHeight="1">
      <c r="A2411" s="6" t="str">
        <f t="shared" si="28"/>
        <v>2023Tayski12</v>
      </c>
      <c r="B2411" s="59">
        <v>2023.0</v>
      </c>
      <c r="C2411" s="13" t="s">
        <v>52</v>
      </c>
      <c r="D2411" s="13" t="s">
        <v>151</v>
      </c>
      <c r="E2411" s="34"/>
      <c r="F2411" s="6"/>
      <c r="H2411" s="6"/>
      <c r="I2411" s="35" t="str">
        <f>IFERROR(IFERROR(IFERROR(VLOOKUP(B2411&amp;C2411&amp;Q2411,'New Weekly Paste'!A:M,10,0),VLOOKUP(B2411&amp;C2411&amp;Q2411,'New Weekly Paste'!B:O,6,0)),""),"")</f>
        <v>Hudspeath</v>
      </c>
      <c r="J2411" s="259">
        <f>IFERROR(IFERROR(VLOOKUP(B2411&amp;C2411&amp;Q2411,'New Weekly Paste'!A:M,8,0),VLOOKUP(B2411&amp;C2411&amp;Q2411,'New Weekly Paste'!B:O,10,0)),0)</f>
        <v>106.16</v>
      </c>
      <c r="K2411" s="259">
        <f>IFERROR(IFERROR(VLOOKUP(B2411&amp;I2411&amp;Q2411,'New Weekly Paste'!A:M,8,0),VLOOKUP(B2411&amp;I2411&amp;Q2411,'New Weekly Paste'!B:O,10,0)),0)</f>
        <v>115.54</v>
      </c>
      <c r="L2411" s="239">
        <f t="shared" si="25"/>
        <v>0</v>
      </c>
      <c r="M2411" s="36" t="str">
        <f t="shared" si="3"/>
        <v>Regular Season</v>
      </c>
      <c r="N2411" s="239" t="str">
        <f t="shared" si="26"/>
        <v>Hudspeath</v>
      </c>
      <c r="O2411" s="6">
        <f>VLOOKUP(D2411,'Mapped Opponent'!$G$4:$H$22,2,0)</f>
        <v>12</v>
      </c>
      <c r="P2411" s="6"/>
      <c r="Q2411" s="6" t="str">
        <f t="shared" si="4"/>
        <v>Week 12</v>
      </c>
      <c r="R2411" s="6" t="str">
        <f t="shared" si="5"/>
        <v>2023Week 12</v>
      </c>
      <c r="S2411" s="6">
        <f>IFERROR(__xludf.DUMMYFUNCTION("rank(J2411,FILTER(J:J,R:R=R2411))"),6.0)</f>
        <v>6</v>
      </c>
      <c r="T2411" s="6">
        <f t="shared" si="6"/>
        <v>6</v>
      </c>
      <c r="U2411" s="6">
        <f t="shared" si="7"/>
        <v>6</v>
      </c>
      <c r="V2411" s="42">
        <f>averageif(AllData!A:A,B2411,AllData!R:R)/vlookup(B2411,AllData!A:O,15,0)</f>
        <v>93.35904762</v>
      </c>
      <c r="W2411" s="6"/>
    </row>
    <row r="2412" ht="14.25" customHeight="1">
      <c r="A2412" s="6" t="str">
        <f t="shared" si="28"/>
        <v>2023KnardDawg12</v>
      </c>
      <c r="B2412" s="59">
        <v>2023.0</v>
      </c>
      <c r="C2412" s="13" t="s">
        <v>86</v>
      </c>
      <c r="D2412" s="13" t="s">
        <v>151</v>
      </c>
      <c r="E2412" s="34"/>
      <c r="F2412" s="6"/>
      <c r="H2412" s="6"/>
      <c r="I2412" s="35" t="str">
        <f>IFERROR(IFERROR(IFERROR(VLOOKUP(B2412&amp;C2412&amp;Q2412,'New Weekly Paste'!A:M,10,0),VLOOKUP(B2412&amp;C2412&amp;Q2412,'New Weekly Paste'!B:O,6,0)),""),"")</f>
        <v>T-How</v>
      </c>
      <c r="J2412" s="259">
        <f>IFERROR(IFERROR(VLOOKUP(B2412&amp;C2412&amp;Q2412,'New Weekly Paste'!A:M,8,0),VLOOKUP(B2412&amp;C2412&amp;Q2412,'New Weekly Paste'!B:O,10,0)),0)</f>
        <v>97.46</v>
      </c>
      <c r="K2412" s="259">
        <f>IFERROR(IFERROR(VLOOKUP(B2412&amp;I2412&amp;Q2412,'New Weekly Paste'!A:M,8,0),VLOOKUP(B2412&amp;I2412&amp;Q2412,'New Weekly Paste'!B:O,10,0)),0)</f>
        <v>89.28</v>
      </c>
      <c r="L2412" s="239">
        <f t="shared" si="25"/>
        <v>1</v>
      </c>
      <c r="M2412" s="36" t="str">
        <f t="shared" si="3"/>
        <v>Regular Season</v>
      </c>
      <c r="N2412" s="239" t="str">
        <f t="shared" si="26"/>
        <v>T-How</v>
      </c>
      <c r="O2412" s="6">
        <f>VLOOKUP(D2412,'Mapped Opponent'!$G$4:$H$22,2,0)</f>
        <v>12</v>
      </c>
      <c r="P2412" s="6"/>
      <c r="Q2412" s="6" t="str">
        <f t="shared" si="4"/>
        <v>Week 12</v>
      </c>
      <c r="R2412" s="6" t="str">
        <f t="shared" si="5"/>
        <v>2023Week 12</v>
      </c>
      <c r="S2412" s="6">
        <f>IFERROR(__xludf.DUMMYFUNCTION("rank(J2412,FILTER(J:J,R:R=R2412))"),7.0)</f>
        <v>7</v>
      </c>
      <c r="T2412" s="6">
        <f t="shared" si="6"/>
        <v>5</v>
      </c>
      <c r="U2412" s="6">
        <f t="shared" si="7"/>
        <v>7</v>
      </c>
      <c r="V2412" s="42">
        <f>averageif(AllData!A:A,B2412,AllData!R:R)/vlookup(B2412,AllData!A:O,15,0)</f>
        <v>93.35904762</v>
      </c>
      <c r="W2412" s="6"/>
    </row>
    <row r="2413" ht="14.25" customHeight="1">
      <c r="A2413" s="6" t="str">
        <f t="shared" si="28"/>
        <v>2023T-How12</v>
      </c>
      <c r="B2413" s="59">
        <v>2023.0</v>
      </c>
      <c r="C2413" s="13" t="s">
        <v>82</v>
      </c>
      <c r="D2413" s="13" t="s">
        <v>151</v>
      </c>
      <c r="E2413" s="34"/>
      <c r="F2413" s="6"/>
      <c r="H2413" s="6"/>
      <c r="I2413" s="35" t="str">
        <f>IFERROR(IFERROR(IFERROR(VLOOKUP(B2413&amp;C2413&amp;Q2413,'New Weekly Paste'!A:M,10,0),VLOOKUP(B2413&amp;C2413&amp;Q2413,'New Weekly Paste'!B:O,6,0)),""),"")</f>
        <v>KnardDawg</v>
      </c>
      <c r="J2413" s="259">
        <f>IFERROR(IFERROR(VLOOKUP(B2413&amp;C2413&amp;Q2413,'New Weekly Paste'!A:M,8,0),VLOOKUP(B2413&amp;C2413&amp;Q2413,'New Weekly Paste'!B:O,10,0)),0)</f>
        <v>89.28</v>
      </c>
      <c r="K2413" s="259">
        <f>IFERROR(IFERROR(VLOOKUP(B2413&amp;I2413&amp;Q2413,'New Weekly Paste'!A:M,8,0),VLOOKUP(B2413&amp;I2413&amp;Q2413,'New Weekly Paste'!B:O,10,0)),0)</f>
        <v>97.46</v>
      </c>
      <c r="L2413" s="239">
        <f t="shared" si="25"/>
        <v>0</v>
      </c>
      <c r="M2413" s="36" t="str">
        <f t="shared" si="3"/>
        <v>Regular Season</v>
      </c>
      <c r="N2413" s="239" t="str">
        <f t="shared" si="26"/>
        <v>KnardDawg</v>
      </c>
      <c r="O2413" s="6">
        <f>VLOOKUP(D2413,'Mapped Opponent'!$G$4:$H$22,2,0)</f>
        <v>12</v>
      </c>
      <c r="P2413" s="6"/>
      <c r="Q2413" s="6" t="str">
        <f t="shared" si="4"/>
        <v>Week 12</v>
      </c>
      <c r="R2413" s="6" t="str">
        <f t="shared" si="5"/>
        <v>2023Week 12</v>
      </c>
      <c r="S2413" s="6">
        <f>IFERROR(__xludf.DUMMYFUNCTION("rank(J2413,FILTER(J:J,R:R=R2413))"),8.0)</f>
        <v>8</v>
      </c>
      <c r="T2413" s="6">
        <f t="shared" si="6"/>
        <v>4</v>
      </c>
      <c r="U2413" s="6">
        <f t="shared" si="7"/>
        <v>8</v>
      </c>
      <c r="V2413" s="42">
        <f>averageif(AllData!A:A,B2413,AllData!R:R)/vlookup(B2413,AllData!A:O,15,0)</f>
        <v>93.35904762</v>
      </c>
      <c r="W2413" s="6"/>
    </row>
    <row r="2414" ht="14.25" customHeight="1">
      <c r="A2414" s="6" t="str">
        <f t="shared" si="28"/>
        <v>2023Hudspeath13</v>
      </c>
      <c r="B2414" s="59">
        <v>2023.0</v>
      </c>
      <c r="C2414" s="13" t="s">
        <v>39</v>
      </c>
      <c r="D2414" s="13" t="s">
        <v>152</v>
      </c>
      <c r="E2414" s="34"/>
      <c r="F2414" s="6"/>
      <c r="H2414" s="6"/>
      <c r="I2414" s="35" t="str">
        <f>IFERROR(IFERROR(IFERROR(VLOOKUP(B2414&amp;C2414&amp;Q2414,'New Weekly Paste'!A:M,10,0),VLOOKUP(B2414&amp;C2414&amp;Q2414,'New Weekly Paste'!B:O,6,0)),""),"")</f>
        <v>Salty</v>
      </c>
      <c r="J2414" s="259">
        <f>IFERROR(IFERROR(VLOOKUP(B2414&amp;C2414&amp;Q2414,'New Weekly Paste'!A:M,8,0),VLOOKUP(B2414&amp;C2414&amp;Q2414,'New Weekly Paste'!B:O,10,0)),0)</f>
        <v>111.48</v>
      </c>
      <c r="K2414" s="259">
        <f>IFERROR(IFERROR(VLOOKUP(B2414&amp;I2414&amp;Q2414,'New Weekly Paste'!A:M,8,0),VLOOKUP(B2414&amp;I2414&amp;Q2414,'New Weekly Paste'!B:O,10,0)),0)</f>
        <v>101.3</v>
      </c>
      <c r="L2414" s="239">
        <f t="shared" si="25"/>
        <v>1</v>
      </c>
      <c r="M2414" s="36" t="str">
        <f t="shared" si="3"/>
        <v>Regular Season</v>
      </c>
      <c r="N2414" s="239" t="str">
        <f t="shared" si="26"/>
        <v>Salty</v>
      </c>
      <c r="O2414" s="6">
        <f>VLOOKUP(D2414,'Mapped Opponent'!$G$4:$H$22,2,0)</f>
        <v>13</v>
      </c>
      <c r="P2414" s="6"/>
      <c r="Q2414" s="6" t="str">
        <f t="shared" si="4"/>
        <v>Week 13</v>
      </c>
      <c r="R2414" s="6" t="str">
        <f t="shared" si="5"/>
        <v>2023Week 13</v>
      </c>
      <c r="S2414" s="6">
        <f>IFERROR(__xludf.DUMMYFUNCTION("rank(J2414,FILTER(J:J,R:R=R2414))"),4.0)</f>
        <v>4</v>
      </c>
      <c r="T2414" s="6">
        <f t="shared" si="6"/>
        <v>8</v>
      </c>
      <c r="U2414" s="6">
        <f t="shared" si="7"/>
        <v>4</v>
      </c>
      <c r="V2414" s="42">
        <f>averageif(AllData!A:A,B2414,AllData!R:R)/vlookup(B2414,AllData!A:O,15,0)</f>
        <v>93.35904762</v>
      </c>
      <c r="W2414" s="6"/>
    </row>
    <row r="2415" ht="14.25" customHeight="1">
      <c r="A2415" s="6" t="str">
        <f t="shared" si="28"/>
        <v>2023Salty13</v>
      </c>
      <c r="B2415" s="59">
        <v>2023.0</v>
      </c>
      <c r="C2415" s="13" t="s">
        <v>76</v>
      </c>
      <c r="D2415" s="13" t="s">
        <v>152</v>
      </c>
      <c r="E2415" s="34"/>
      <c r="F2415" s="6"/>
      <c r="H2415" s="6"/>
      <c r="I2415" s="35" t="str">
        <f>IFERROR(IFERROR(IFERROR(VLOOKUP(B2415&amp;C2415&amp;Q2415,'New Weekly Paste'!A:M,10,0),VLOOKUP(B2415&amp;C2415&amp;Q2415,'New Weekly Paste'!B:O,6,0)),""),"")</f>
        <v>Hudspeath</v>
      </c>
      <c r="J2415" s="259">
        <f>IFERROR(IFERROR(VLOOKUP(B2415&amp;C2415&amp;Q2415,'New Weekly Paste'!A:M,8,0),VLOOKUP(B2415&amp;C2415&amp;Q2415,'New Weekly Paste'!B:O,10,0)),0)</f>
        <v>101.3</v>
      </c>
      <c r="K2415" s="259">
        <f>IFERROR(IFERROR(VLOOKUP(B2415&amp;I2415&amp;Q2415,'New Weekly Paste'!A:M,8,0),VLOOKUP(B2415&amp;I2415&amp;Q2415,'New Weekly Paste'!B:O,10,0)),0)</f>
        <v>111.48</v>
      </c>
      <c r="L2415" s="239">
        <f t="shared" si="25"/>
        <v>0</v>
      </c>
      <c r="M2415" s="36" t="str">
        <f t="shared" si="3"/>
        <v>Regular Season</v>
      </c>
      <c r="N2415" s="239" t="str">
        <f t="shared" si="26"/>
        <v>Hudspeath</v>
      </c>
      <c r="O2415" s="6">
        <f>VLOOKUP(D2415,'Mapped Opponent'!$G$4:$H$22,2,0)</f>
        <v>13</v>
      </c>
      <c r="P2415" s="6"/>
      <c r="Q2415" s="6" t="str">
        <f t="shared" si="4"/>
        <v>Week 13</v>
      </c>
      <c r="R2415" s="6" t="str">
        <f t="shared" si="5"/>
        <v>2023Week 13</v>
      </c>
      <c r="S2415" s="6">
        <f>IFERROR(__xludf.DUMMYFUNCTION("rank(J2415,FILTER(J:J,R:R=R2415))"),7.0)</f>
        <v>7</v>
      </c>
      <c r="T2415" s="6">
        <f t="shared" si="6"/>
        <v>5</v>
      </c>
      <c r="U2415" s="6">
        <f t="shared" si="7"/>
        <v>7</v>
      </c>
      <c r="V2415" s="42">
        <f>averageif(AllData!A:A,B2415,AllData!R:R)/vlookup(B2415,AllData!A:O,15,0)</f>
        <v>93.35904762</v>
      </c>
      <c r="W2415" s="6"/>
    </row>
    <row r="2416" ht="14.25" customHeight="1">
      <c r="A2416" s="6" t="str">
        <f t="shared" si="28"/>
        <v>2023Ewert13</v>
      </c>
      <c r="B2416" s="59">
        <v>2023.0</v>
      </c>
      <c r="C2416" s="13" t="s">
        <v>108</v>
      </c>
      <c r="D2416" s="13" t="s">
        <v>152</v>
      </c>
      <c r="E2416" s="34"/>
      <c r="F2416" s="6"/>
      <c r="H2416" s="6"/>
      <c r="I2416" s="35" t="str">
        <f>IFERROR(IFERROR(IFERROR(VLOOKUP(B2416&amp;C2416&amp;Q2416,'New Weekly Paste'!A:M,10,0),VLOOKUP(B2416&amp;C2416&amp;Q2416,'New Weekly Paste'!B:O,6,0)),""),"")</f>
        <v>KnardDawg</v>
      </c>
      <c r="J2416" s="259">
        <f>IFERROR(IFERROR(VLOOKUP(B2416&amp;C2416&amp;Q2416,'New Weekly Paste'!A:M,8,0),VLOOKUP(B2416&amp;C2416&amp;Q2416,'New Weekly Paste'!B:O,10,0)),0)</f>
        <v>108.62</v>
      </c>
      <c r="K2416" s="259">
        <f>IFERROR(IFERROR(VLOOKUP(B2416&amp;I2416&amp;Q2416,'New Weekly Paste'!A:M,8,0),VLOOKUP(B2416&amp;I2416&amp;Q2416,'New Weekly Paste'!B:O,10,0)),0)</f>
        <v>61.66</v>
      </c>
      <c r="L2416" s="239">
        <f t="shared" si="25"/>
        <v>1</v>
      </c>
      <c r="M2416" s="36" t="str">
        <f t="shared" si="3"/>
        <v>Regular Season</v>
      </c>
      <c r="N2416" s="239" t="str">
        <f t="shared" si="26"/>
        <v>KnardDawg</v>
      </c>
      <c r="O2416" s="6">
        <f>VLOOKUP(D2416,'Mapped Opponent'!$G$4:$H$22,2,0)</f>
        <v>13</v>
      </c>
      <c r="P2416" s="6"/>
      <c r="Q2416" s="6" t="str">
        <f t="shared" si="4"/>
        <v>Week 13</v>
      </c>
      <c r="R2416" s="6" t="str">
        <f t="shared" si="5"/>
        <v>2023Week 13</v>
      </c>
      <c r="S2416" s="6">
        <f>IFERROR(__xludf.DUMMYFUNCTION("rank(J2416,FILTER(J:J,R:R=R2416))"),5.0)</f>
        <v>5</v>
      </c>
      <c r="T2416" s="6">
        <f t="shared" si="6"/>
        <v>7</v>
      </c>
      <c r="U2416" s="6">
        <f t="shared" si="7"/>
        <v>5</v>
      </c>
      <c r="V2416" s="42">
        <f>averageif(AllData!A:A,B2416,AllData!R:R)/vlookup(B2416,AllData!A:O,15,0)</f>
        <v>93.35904762</v>
      </c>
      <c r="W2416" s="6"/>
    </row>
    <row r="2417" ht="14.25" customHeight="1">
      <c r="A2417" s="6" t="str">
        <f t="shared" si="28"/>
        <v>2023Shep13</v>
      </c>
      <c r="B2417" s="59">
        <v>2023.0</v>
      </c>
      <c r="C2417" s="13" t="s">
        <v>89</v>
      </c>
      <c r="D2417" s="13" t="s">
        <v>152</v>
      </c>
      <c r="E2417" s="34"/>
      <c r="F2417" s="6"/>
      <c r="H2417" s="6"/>
      <c r="I2417" s="35" t="str">
        <f>IFERROR(IFERROR(IFERROR(VLOOKUP(B2417&amp;C2417&amp;Q2417,'New Weekly Paste'!A:M,10,0),VLOOKUP(B2417&amp;C2417&amp;Q2417,'New Weekly Paste'!B:O,6,0)),""),"")</f>
        <v>Cock</v>
      </c>
      <c r="J2417" s="259">
        <f>IFERROR(IFERROR(VLOOKUP(B2417&amp;C2417&amp;Q2417,'New Weekly Paste'!A:M,8,0),VLOOKUP(B2417&amp;C2417&amp;Q2417,'New Weekly Paste'!B:O,10,0)),0)</f>
        <v>125.78</v>
      </c>
      <c r="K2417" s="259">
        <f>IFERROR(IFERROR(VLOOKUP(B2417&amp;I2417&amp;Q2417,'New Weekly Paste'!A:M,8,0),VLOOKUP(B2417&amp;I2417&amp;Q2417,'New Weekly Paste'!B:O,10,0)),0)</f>
        <v>104.7</v>
      </c>
      <c r="L2417" s="239">
        <f t="shared" si="25"/>
        <v>1</v>
      </c>
      <c r="M2417" s="36" t="str">
        <f t="shared" si="3"/>
        <v>Regular Season</v>
      </c>
      <c r="N2417" s="239" t="str">
        <f t="shared" si="26"/>
        <v>Cock</v>
      </c>
      <c r="O2417" s="6">
        <f>VLOOKUP(D2417,'Mapped Opponent'!$G$4:$H$22,2,0)</f>
        <v>13</v>
      </c>
      <c r="P2417" s="6"/>
      <c r="Q2417" s="6" t="str">
        <f t="shared" si="4"/>
        <v>Week 13</v>
      </c>
      <c r="R2417" s="6" t="str">
        <f t="shared" si="5"/>
        <v>2023Week 13</v>
      </c>
      <c r="S2417" s="6">
        <f>IFERROR(__xludf.DUMMYFUNCTION("rank(J2417,FILTER(J:J,R:R=R2417))"),1.0)</f>
        <v>1</v>
      </c>
      <c r="T2417" s="6">
        <f t="shared" si="6"/>
        <v>11</v>
      </c>
      <c r="U2417" s="6">
        <f t="shared" si="7"/>
        <v>1</v>
      </c>
      <c r="V2417" s="42">
        <f>averageif(AllData!A:A,B2417,AllData!R:R)/vlookup(B2417,AllData!A:O,15,0)</f>
        <v>93.35904762</v>
      </c>
      <c r="W2417" s="6"/>
    </row>
    <row r="2418" ht="14.25" customHeight="1">
      <c r="A2418" s="6" t="str">
        <f t="shared" si="28"/>
        <v>2023Riley13</v>
      </c>
      <c r="B2418" s="59">
        <v>2023.0</v>
      </c>
      <c r="C2418" s="13" t="s">
        <v>67</v>
      </c>
      <c r="D2418" s="13" t="s">
        <v>152</v>
      </c>
      <c r="E2418" s="34"/>
      <c r="F2418" s="6"/>
      <c r="H2418" s="6"/>
      <c r="I2418" s="35" t="str">
        <f>IFERROR(IFERROR(IFERROR(VLOOKUP(B2418&amp;C2418&amp;Q2418,'New Weekly Paste'!A:M,10,0),VLOOKUP(B2418&amp;C2418&amp;Q2418,'New Weekly Paste'!B:O,6,0)),""),"")</f>
        <v>T-How</v>
      </c>
      <c r="J2418" s="259">
        <f>IFERROR(IFERROR(VLOOKUP(B2418&amp;C2418&amp;Q2418,'New Weekly Paste'!A:M,8,0),VLOOKUP(B2418&amp;C2418&amp;Q2418,'New Weekly Paste'!B:O,10,0)),0)</f>
        <v>87.5</v>
      </c>
      <c r="K2418" s="259">
        <f>IFERROR(IFERROR(VLOOKUP(B2418&amp;I2418&amp;Q2418,'New Weekly Paste'!A:M,8,0),VLOOKUP(B2418&amp;I2418&amp;Q2418,'New Weekly Paste'!B:O,10,0)),0)</f>
        <v>85.88</v>
      </c>
      <c r="L2418" s="239">
        <f t="shared" si="25"/>
        <v>1</v>
      </c>
      <c r="M2418" s="36" t="str">
        <f t="shared" si="3"/>
        <v>Regular Season</v>
      </c>
      <c r="N2418" s="239" t="str">
        <f t="shared" si="26"/>
        <v>T-How</v>
      </c>
      <c r="O2418" s="6">
        <f>VLOOKUP(D2418,'Mapped Opponent'!$G$4:$H$22,2,0)</f>
        <v>13</v>
      </c>
      <c r="P2418" s="6"/>
      <c r="Q2418" s="6" t="str">
        <f t="shared" si="4"/>
        <v>Week 13</v>
      </c>
      <c r="R2418" s="6" t="str">
        <f t="shared" si="5"/>
        <v>2023Week 13</v>
      </c>
      <c r="S2418" s="6">
        <f>IFERROR(__xludf.DUMMYFUNCTION("rank(J2418,FILTER(J:J,R:R=R2418))"),9.0)</f>
        <v>9</v>
      </c>
      <c r="T2418" s="6">
        <f t="shared" si="6"/>
        <v>3</v>
      </c>
      <c r="U2418" s="6">
        <f t="shared" si="7"/>
        <v>9</v>
      </c>
      <c r="V2418" s="42">
        <f>averageif(AllData!A:A,B2418,AllData!R:R)/vlookup(B2418,AllData!A:O,15,0)</f>
        <v>93.35904762</v>
      </c>
      <c r="W2418" s="6"/>
    </row>
    <row r="2419" ht="14.25" customHeight="1">
      <c r="A2419" s="6" t="str">
        <f t="shared" si="28"/>
        <v>2023Rooney/Jackson13</v>
      </c>
      <c r="B2419" s="59">
        <v>2023.0</v>
      </c>
      <c r="C2419" s="13" t="s">
        <v>57</v>
      </c>
      <c r="D2419" s="13" t="s">
        <v>152</v>
      </c>
      <c r="E2419" s="34"/>
      <c r="F2419" s="6"/>
      <c r="H2419" s="6"/>
      <c r="I2419" s="35" t="str">
        <f>IFERROR(IFERROR(IFERROR(VLOOKUP(B2419&amp;C2419&amp;Q2419,'New Weekly Paste'!A:M,10,0),VLOOKUP(B2419&amp;C2419&amp;Q2419,'New Weekly Paste'!B:O,6,0)),""),"")</f>
        <v>Pierson</v>
      </c>
      <c r="J2419" s="259">
        <f>IFERROR(IFERROR(VLOOKUP(B2419&amp;C2419&amp;Q2419,'New Weekly Paste'!A:M,8,0),VLOOKUP(B2419&amp;C2419&amp;Q2419,'New Weekly Paste'!B:O,10,0)),0)</f>
        <v>85.34</v>
      </c>
      <c r="K2419" s="259">
        <f>IFERROR(IFERROR(VLOOKUP(B2419&amp;I2419&amp;Q2419,'New Weekly Paste'!A:M,8,0),VLOOKUP(B2419&amp;I2419&amp;Q2419,'New Weekly Paste'!B:O,10,0)),0)</f>
        <v>100.52</v>
      </c>
      <c r="L2419" s="239">
        <f t="shared" si="25"/>
        <v>0</v>
      </c>
      <c r="M2419" s="36" t="str">
        <f t="shared" si="3"/>
        <v>Regular Season</v>
      </c>
      <c r="N2419" s="239" t="str">
        <f t="shared" si="26"/>
        <v>Pierson</v>
      </c>
      <c r="O2419" s="6">
        <f>VLOOKUP(D2419,'Mapped Opponent'!$G$4:$H$22,2,0)</f>
        <v>13</v>
      </c>
      <c r="P2419" s="6"/>
      <c r="Q2419" s="6" t="str">
        <f t="shared" si="4"/>
        <v>Week 13</v>
      </c>
      <c r="R2419" s="6" t="str">
        <f t="shared" si="5"/>
        <v>2023Week 13</v>
      </c>
      <c r="S2419" s="6">
        <f>IFERROR(__xludf.DUMMYFUNCTION("rank(J2419,FILTER(J:J,R:R=R2419))"),11.0)</f>
        <v>11</v>
      </c>
      <c r="T2419" s="6">
        <f t="shared" si="6"/>
        <v>1</v>
      </c>
      <c r="U2419" s="6">
        <f t="shared" si="7"/>
        <v>11</v>
      </c>
      <c r="V2419" s="42">
        <f>averageif(AllData!A:A,B2419,AllData!R:R)/vlookup(B2419,AllData!A:O,15,0)</f>
        <v>93.35904762</v>
      </c>
      <c r="W2419" s="6"/>
    </row>
    <row r="2420" ht="14.25" customHeight="1">
      <c r="A2420" s="6" t="str">
        <f t="shared" si="28"/>
        <v>2023Buser13</v>
      </c>
      <c r="B2420" s="59">
        <v>2023.0</v>
      </c>
      <c r="C2420" s="13" t="s">
        <v>47</v>
      </c>
      <c r="D2420" s="13" t="s">
        <v>152</v>
      </c>
      <c r="E2420" s="34"/>
      <c r="F2420" s="6"/>
      <c r="H2420" s="6"/>
      <c r="I2420" s="35" t="str">
        <f>IFERROR(IFERROR(IFERROR(VLOOKUP(B2420&amp;C2420&amp;Q2420,'New Weekly Paste'!A:M,10,0),VLOOKUP(B2420&amp;C2420&amp;Q2420,'New Weekly Paste'!B:O,6,0)),""),"")</f>
        <v>Tayski</v>
      </c>
      <c r="J2420" s="259">
        <f>IFERROR(IFERROR(VLOOKUP(B2420&amp;C2420&amp;Q2420,'New Weekly Paste'!A:M,8,0),VLOOKUP(B2420&amp;C2420&amp;Q2420,'New Weekly Paste'!B:O,10,0)),0)</f>
        <v>123.24</v>
      </c>
      <c r="K2420" s="259">
        <f>IFERROR(IFERROR(VLOOKUP(B2420&amp;I2420&amp;Q2420,'New Weekly Paste'!A:M,8,0),VLOOKUP(B2420&amp;I2420&amp;Q2420,'New Weekly Paste'!B:O,10,0)),0)</f>
        <v>116.86</v>
      </c>
      <c r="L2420" s="239">
        <f t="shared" si="25"/>
        <v>1</v>
      </c>
      <c r="M2420" s="36" t="str">
        <f t="shared" si="3"/>
        <v>Regular Season</v>
      </c>
      <c r="N2420" s="239" t="str">
        <f t="shared" si="26"/>
        <v>Tayski</v>
      </c>
      <c r="O2420" s="6">
        <f>VLOOKUP(D2420,'Mapped Opponent'!$G$4:$H$22,2,0)</f>
        <v>13</v>
      </c>
      <c r="P2420" s="6"/>
      <c r="Q2420" s="6" t="str">
        <f t="shared" si="4"/>
        <v>Week 13</v>
      </c>
      <c r="R2420" s="6" t="str">
        <f t="shared" si="5"/>
        <v>2023Week 13</v>
      </c>
      <c r="S2420" s="6">
        <f>IFERROR(__xludf.DUMMYFUNCTION("rank(J2420,FILTER(J:J,R:R=R2420))"),2.0)</f>
        <v>2</v>
      </c>
      <c r="T2420" s="6">
        <f t="shared" si="6"/>
        <v>10</v>
      </c>
      <c r="U2420" s="6">
        <f t="shared" si="7"/>
        <v>2</v>
      </c>
      <c r="V2420" s="42">
        <f>averageif(AllData!A:A,B2420,AllData!R:R)/vlookup(B2420,AllData!A:O,15,0)</f>
        <v>93.35904762</v>
      </c>
      <c r="W2420" s="6"/>
    </row>
    <row r="2421" ht="14.25" customHeight="1">
      <c r="A2421" s="6" t="str">
        <f t="shared" si="28"/>
        <v>2023Pierson13</v>
      </c>
      <c r="B2421" s="59">
        <v>2023.0</v>
      </c>
      <c r="C2421" s="13" t="s">
        <v>92</v>
      </c>
      <c r="D2421" s="13" t="s">
        <v>152</v>
      </c>
      <c r="E2421" s="34"/>
      <c r="F2421" s="6"/>
      <c r="H2421" s="6"/>
      <c r="I2421" s="35" t="str">
        <f>IFERROR(IFERROR(IFERROR(VLOOKUP(B2421&amp;C2421&amp;Q2421,'New Weekly Paste'!A:M,10,0),VLOOKUP(B2421&amp;C2421&amp;Q2421,'New Weekly Paste'!B:O,6,0)),""),"")</f>
        <v>Rooney/Jackson</v>
      </c>
      <c r="J2421" s="259">
        <f>IFERROR(IFERROR(VLOOKUP(B2421&amp;C2421&amp;Q2421,'New Weekly Paste'!A:M,8,0),VLOOKUP(B2421&amp;C2421&amp;Q2421,'New Weekly Paste'!B:O,10,0)),0)</f>
        <v>100.52</v>
      </c>
      <c r="K2421" s="259">
        <f>IFERROR(IFERROR(VLOOKUP(B2421&amp;I2421&amp;Q2421,'New Weekly Paste'!A:M,8,0),VLOOKUP(B2421&amp;I2421&amp;Q2421,'New Weekly Paste'!B:O,10,0)),0)</f>
        <v>85.34</v>
      </c>
      <c r="L2421" s="239">
        <f t="shared" si="25"/>
        <v>1</v>
      </c>
      <c r="M2421" s="36" t="str">
        <f t="shared" si="3"/>
        <v>Regular Season</v>
      </c>
      <c r="N2421" s="239" t="str">
        <f t="shared" si="26"/>
        <v>Rooney/Jackson</v>
      </c>
      <c r="O2421" s="6">
        <f>VLOOKUP(D2421,'Mapped Opponent'!$G$4:$H$22,2,0)</f>
        <v>13</v>
      </c>
      <c r="P2421" s="6"/>
      <c r="Q2421" s="6" t="str">
        <f t="shared" si="4"/>
        <v>Week 13</v>
      </c>
      <c r="R2421" s="6" t="str">
        <f t="shared" si="5"/>
        <v>2023Week 13</v>
      </c>
      <c r="S2421" s="6">
        <f>IFERROR(__xludf.DUMMYFUNCTION("rank(J2421,FILTER(J:J,R:R=R2421))"),8.0)</f>
        <v>8</v>
      </c>
      <c r="T2421" s="6">
        <f t="shared" si="6"/>
        <v>4</v>
      </c>
      <c r="U2421" s="6">
        <f t="shared" si="7"/>
        <v>8</v>
      </c>
      <c r="V2421" s="42">
        <f>averageif(AllData!A:A,B2421,AllData!R:R)/vlookup(B2421,AllData!A:O,15,0)</f>
        <v>93.35904762</v>
      </c>
      <c r="W2421" s="6"/>
    </row>
    <row r="2422" ht="14.25" customHeight="1">
      <c r="A2422" s="6" t="str">
        <f t="shared" si="28"/>
        <v>2023Cock13</v>
      </c>
      <c r="B2422" s="59">
        <v>2023.0</v>
      </c>
      <c r="C2422" s="13" t="s">
        <v>72</v>
      </c>
      <c r="D2422" s="13" t="s">
        <v>152</v>
      </c>
      <c r="E2422" s="34"/>
      <c r="F2422" s="6"/>
      <c r="H2422" s="6"/>
      <c r="I2422" s="35" t="str">
        <f>IFERROR(IFERROR(IFERROR(VLOOKUP(B2422&amp;C2422&amp;Q2422,'New Weekly Paste'!A:M,10,0),VLOOKUP(B2422&amp;C2422&amp;Q2422,'New Weekly Paste'!B:O,6,0)),""),"")</f>
        <v>Shep</v>
      </c>
      <c r="J2422" s="259">
        <f>IFERROR(IFERROR(VLOOKUP(B2422&amp;C2422&amp;Q2422,'New Weekly Paste'!A:M,8,0),VLOOKUP(B2422&amp;C2422&amp;Q2422,'New Weekly Paste'!B:O,10,0)),0)</f>
        <v>104.7</v>
      </c>
      <c r="K2422" s="259">
        <f>IFERROR(IFERROR(VLOOKUP(B2422&amp;I2422&amp;Q2422,'New Weekly Paste'!A:M,8,0),VLOOKUP(B2422&amp;I2422&amp;Q2422,'New Weekly Paste'!B:O,10,0)),0)</f>
        <v>125.78</v>
      </c>
      <c r="L2422" s="239">
        <f t="shared" si="25"/>
        <v>0</v>
      </c>
      <c r="M2422" s="36" t="str">
        <f t="shared" si="3"/>
        <v>Regular Season</v>
      </c>
      <c r="N2422" s="239" t="str">
        <f t="shared" si="26"/>
        <v>Shep</v>
      </c>
      <c r="O2422" s="6">
        <f>VLOOKUP(D2422,'Mapped Opponent'!$G$4:$H$22,2,0)</f>
        <v>13</v>
      </c>
      <c r="P2422" s="6"/>
      <c r="Q2422" s="6" t="str">
        <f t="shared" si="4"/>
        <v>Week 13</v>
      </c>
      <c r="R2422" s="6" t="str">
        <f t="shared" si="5"/>
        <v>2023Week 13</v>
      </c>
      <c r="S2422" s="6">
        <f>IFERROR(__xludf.DUMMYFUNCTION("rank(J2422,FILTER(J:J,R:R=R2422))"),6.0)</f>
        <v>6</v>
      </c>
      <c r="T2422" s="6">
        <f t="shared" si="6"/>
        <v>6</v>
      </c>
      <c r="U2422" s="6">
        <f t="shared" si="7"/>
        <v>6</v>
      </c>
      <c r="V2422" s="42">
        <f>averageif(AllData!A:A,B2422,AllData!R:R)/vlookup(B2422,AllData!A:O,15,0)</f>
        <v>93.35904762</v>
      </c>
      <c r="W2422" s="6"/>
    </row>
    <row r="2423" ht="14.25" customHeight="1">
      <c r="A2423" s="6" t="str">
        <f t="shared" si="28"/>
        <v>2023Tayski13</v>
      </c>
      <c r="B2423" s="59">
        <v>2023.0</v>
      </c>
      <c r="C2423" s="13" t="s">
        <v>52</v>
      </c>
      <c r="D2423" s="13" t="s">
        <v>152</v>
      </c>
      <c r="E2423" s="34"/>
      <c r="F2423" s="6"/>
      <c r="H2423" s="6"/>
      <c r="I2423" s="35" t="str">
        <f>IFERROR(IFERROR(IFERROR(VLOOKUP(B2423&amp;C2423&amp;Q2423,'New Weekly Paste'!A:M,10,0),VLOOKUP(B2423&amp;C2423&amp;Q2423,'New Weekly Paste'!B:O,6,0)),""),"")</f>
        <v>Buser</v>
      </c>
      <c r="J2423" s="259">
        <f>IFERROR(IFERROR(VLOOKUP(B2423&amp;C2423&amp;Q2423,'New Weekly Paste'!A:M,8,0),VLOOKUP(B2423&amp;C2423&amp;Q2423,'New Weekly Paste'!B:O,10,0)),0)</f>
        <v>116.86</v>
      </c>
      <c r="K2423" s="259">
        <f>IFERROR(IFERROR(VLOOKUP(B2423&amp;I2423&amp;Q2423,'New Weekly Paste'!A:M,8,0),VLOOKUP(B2423&amp;I2423&amp;Q2423,'New Weekly Paste'!B:O,10,0)),0)</f>
        <v>123.24</v>
      </c>
      <c r="L2423" s="239">
        <f t="shared" si="25"/>
        <v>0</v>
      </c>
      <c r="M2423" s="36" t="str">
        <f t="shared" si="3"/>
        <v>Regular Season</v>
      </c>
      <c r="N2423" s="239" t="str">
        <f t="shared" si="26"/>
        <v>Buser</v>
      </c>
      <c r="O2423" s="6">
        <f>VLOOKUP(D2423,'Mapped Opponent'!$G$4:$H$22,2,0)</f>
        <v>13</v>
      </c>
      <c r="P2423" s="6"/>
      <c r="Q2423" s="6" t="str">
        <f t="shared" si="4"/>
        <v>Week 13</v>
      </c>
      <c r="R2423" s="6" t="str">
        <f t="shared" si="5"/>
        <v>2023Week 13</v>
      </c>
      <c r="S2423" s="6">
        <f>IFERROR(__xludf.DUMMYFUNCTION("rank(J2423,FILTER(J:J,R:R=R2423))"),3.0)</f>
        <v>3</v>
      </c>
      <c r="T2423" s="6">
        <f t="shared" si="6"/>
        <v>9</v>
      </c>
      <c r="U2423" s="6">
        <f t="shared" si="7"/>
        <v>3</v>
      </c>
      <c r="V2423" s="42">
        <f>averageif(AllData!A:A,B2423,AllData!R:R)/vlookup(B2423,AllData!A:O,15,0)</f>
        <v>93.35904762</v>
      </c>
      <c r="W2423" s="6"/>
    </row>
    <row r="2424" ht="14.25" customHeight="1">
      <c r="A2424" s="6" t="str">
        <f t="shared" si="28"/>
        <v>2023KnardDawg13</v>
      </c>
      <c r="B2424" s="59">
        <v>2023.0</v>
      </c>
      <c r="C2424" s="13" t="s">
        <v>86</v>
      </c>
      <c r="D2424" s="13" t="s">
        <v>152</v>
      </c>
      <c r="E2424" s="34"/>
      <c r="F2424" s="6"/>
      <c r="H2424" s="6"/>
      <c r="I2424" s="35" t="str">
        <f>IFERROR(IFERROR(IFERROR(VLOOKUP(B2424&amp;C2424&amp;Q2424,'New Weekly Paste'!A:M,10,0),VLOOKUP(B2424&amp;C2424&amp;Q2424,'New Weekly Paste'!B:O,6,0)),""),"")</f>
        <v>Ewert</v>
      </c>
      <c r="J2424" s="259">
        <f>IFERROR(IFERROR(VLOOKUP(B2424&amp;C2424&amp;Q2424,'New Weekly Paste'!A:M,8,0),VLOOKUP(B2424&amp;C2424&amp;Q2424,'New Weekly Paste'!B:O,10,0)),0)</f>
        <v>61.66</v>
      </c>
      <c r="K2424" s="259">
        <f>IFERROR(IFERROR(VLOOKUP(B2424&amp;I2424&amp;Q2424,'New Weekly Paste'!A:M,8,0),VLOOKUP(B2424&amp;I2424&amp;Q2424,'New Weekly Paste'!B:O,10,0)),0)</f>
        <v>108.62</v>
      </c>
      <c r="L2424" s="239">
        <f t="shared" si="25"/>
        <v>0</v>
      </c>
      <c r="M2424" s="36" t="str">
        <f t="shared" si="3"/>
        <v>Regular Season</v>
      </c>
      <c r="N2424" s="239" t="str">
        <f t="shared" si="26"/>
        <v>Ewert</v>
      </c>
      <c r="O2424" s="6">
        <f>VLOOKUP(D2424,'Mapped Opponent'!$G$4:$H$22,2,0)</f>
        <v>13</v>
      </c>
      <c r="P2424" s="6"/>
      <c r="Q2424" s="6" t="str">
        <f t="shared" si="4"/>
        <v>Week 13</v>
      </c>
      <c r="R2424" s="6" t="str">
        <f t="shared" si="5"/>
        <v>2023Week 13</v>
      </c>
      <c r="S2424" s="6">
        <f>IFERROR(__xludf.DUMMYFUNCTION("rank(J2424,FILTER(J:J,R:R=R2424))"),12.0)</f>
        <v>12</v>
      </c>
      <c r="T2424" s="6">
        <f t="shared" si="6"/>
        <v>0</v>
      </c>
      <c r="U2424" s="6">
        <f t="shared" si="7"/>
        <v>12</v>
      </c>
      <c r="V2424" s="42">
        <f>averageif(AllData!A:A,B2424,AllData!R:R)/vlookup(B2424,AllData!A:O,15,0)</f>
        <v>93.35904762</v>
      </c>
      <c r="W2424" s="6"/>
    </row>
    <row r="2425" ht="14.25" customHeight="1">
      <c r="A2425" s="6" t="str">
        <f t="shared" si="28"/>
        <v>2023T-How13</v>
      </c>
      <c r="B2425" s="59">
        <v>2023.0</v>
      </c>
      <c r="C2425" s="13" t="s">
        <v>82</v>
      </c>
      <c r="D2425" s="13" t="s">
        <v>152</v>
      </c>
      <c r="E2425" s="34"/>
      <c r="F2425" s="6"/>
      <c r="H2425" s="6"/>
      <c r="I2425" s="35" t="str">
        <f>IFERROR(IFERROR(IFERROR(VLOOKUP(B2425&amp;C2425&amp;Q2425,'New Weekly Paste'!A:M,10,0),VLOOKUP(B2425&amp;C2425&amp;Q2425,'New Weekly Paste'!B:O,6,0)),""),"")</f>
        <v>Riley</v>
      </c>
      <c r="J2425" s="259">
        <f>IFERROR(IFERROR(VLOOKUP(B2425&amp;C2425&amp;Q2425,'New Weekly Paste'!A:M,8,0),VLOOKUP(B2425&amp;C2425&amp;Q2425,'New Weekly Paste'!B:O,10,0)),0)</f>
        <v>85.88</v>
      </c>
      <c r="K2425" s="259">
        <f>IFERROR(IFERROR(VLOOKUP(B2425&amp;I2425&amp;Q2425,'New Weekly Paste'!A:M,8,0),VLOOKUP(B2425&amp;I2425&amp;Q2425,'New Weekly Paste'!B:O,10,0)),0)</f>
        <v>87.5</v>
      </c>
      <c r="L2425" s="239">
        <f t="shared" si="25"/>
        <v>0</v>
      </c>
      <c r="M2425" s="36" t="str">
        <f t="shared" si="3"/>
        <v>Regular Season</v>
      </c>
      <c r="N2425" s="239" t="str">
        <f t="shared" si="26"/>
        <v>Riley</v>
      </c>
      <c r="O2425" s="6">
        <f>VLOOKUP(D2425,'Mapped Opponent'!$G$4:$H$22,2,0)</f>
        <v>13</v>
      </c>
      <c r="P2425" s="6"/>
      <c r="Q2425" s="6" t="str">
        <f t="shared" si="4"/>
        <v>Week 13</v>
      </c>
      <c r="R2425" s="6" t="str">
        <f t="shared" si="5"/>
        <v>2023Week 13</v>
      </c>
      <c r="S2425" s="6">
        <f>IFERROR(__xludf.DUMMYFUNCTION("rank(J2425,FILTER(J:J,R:R=R2425))"),10.0)</f>
        <v>10</v>
      </c>
      <c r="T2425" s="6">
        <f t="shared" si="6"/>
        <v>2</v>
      </c>
      <c r="U2425" s="6">
        <f t="shared" si="7"/>
        <v>10</v>
      </c>
      <c r="V2425" s="42">
        <f>averageif(AllData!A:A,B2425,AllData!R:R)/vlookup(B2425,AllData!A:O,15,0)</f>
        <v>93.35904762</v>
      </c>
      <c r="W2425" s="6"/>
    </row>
    <row r="2426" ht="14.25" customHeight="1">
      <c r="A2426" s="6" t="str">
        <f t="shared" si="28"/>
        <v>2023Hudspeath14</v>
      </c>
      <c r="B2426" s="59">
        <v>2023.0</v>
      </c>
      <c r="C2426" s="13" t="s">
        <v>39</v>
      </c>
      <c r="D2426" s="13" t="s">
        <v>156</v>
      </c>
      <c r="E2426" s="34"/>
      <c r="F2426" s="6"/>
      <c r="H2426" s="6"/>
      <c r="I2426" s="35" t="str">
        <f>IFERROR(IFERROR(IFERROR(VLOOKUP(B2426&amp;C2426&amp;Q2426,'New Weekly Paste'!A:M,10,0),VLOOKUP(B2426&amp;C2426&amp;Q2426,'New Weekly Paste'!B:O,6,0)),""),"")</f>
        <v>T-How</v>
      </c>
      <c r="J2426" s="259">
        <f>IFERROR(IFERROR(VLOOKUP(B2426&amp;C2426&amp;Q2426,'New Weekly Paste'!A:M,8,0),VLOOKUP(B2426&amp;C2426&amp;Q2426,'New Weekly Paste'!B:O,10,0)),0)</f>
        <v>111.14</v>
      </c>
      <c r="K2426" s="259">
        <f>IFERROR(IFERROR(VLOOKUP(B2426&amp;I2426&amp;Q2426,'New Weekly Paste'!A:M,8,0),VLOOKUP(B2426&amp;I2426&amp;Q2426,'New Weekly Paste'!B:O,10,0)),0)</f>
        <v>28.94</v>
      </c>
      <c r="L2426" s="239">
        <f t="shared" si="25"/>
        <v>1</v>
      </c>
      <c r="M2426" s="36" t="str">
        <f t="shared" si="3"/>
        <v>Regular Season</v>
      </c>
      <c r="N2426" s="239" t="str">
        <f t="shared" si="26"/>
        <v>T-How</v>
      </c>
      <c r="O2426" s="6">
        <f>VLOOKUP(D2426,'Mapped Opponent'!$G$4:$H$22,2,0)</f>
        <v>14</v>
      </c>
      <c r="P2426" s="6"/>
      <c r="Q2426" s="6" t="str">
        <f t="shared" si="4"/>
        <v>Week 14</v>
      </c>
      <c r="R2426" s="6" t="str">
        <f t="shared" si="5"/>
        <v>2023Week 14</v>
      </c>
      <c r="S2426" s="6">
        <f>IFERROR(__xludf.DUMMYFUNCTION("rank(J2426,FILTER(J:J,R:R=R2426))"),3.0)</f>
        <v>3</v>
      </c>
      <c r="T2426" s="6">
        <f t="shared" si="6"/>
        <v>9</v>
      </c>
      <c r="U2426" s="6">
        <f t="shared" si="7"/>
        <v>3</v>
      </c>
      <c r="V2426" s="42">
        <f>averageif(AllData!A:A,B2426,AllData!R:R)/vlookup(B2426,AllData!A:O,15,0)</f>
        <v>93.35904762</v>
      </c>
      <c r="W2426" s="6"/>
    </row>
    <row r="2427" ht="14.25" customHeight="1">
      <c r="A2427" s="6" t="str">
        <f t="shared" si="28"/>
        <v>2023Salty14</v>
      </c>
      <c r="B2427" s="59">
        <v>2023.0</v>
      </c>
      <c r="C2427" s="13" t="s">
        <v>76</v>
      </c>
      <c r="D2427" s="13" t="s">
        <v>156</v>
      </c>
      <c r="E2427" s="34"/>
      <c r="F2427" s="6"/>
      <c r="H2427" s="6"/>
      <c r="I2427" s="35" t="str">
        <f>IFERROR(IFERROR(IFERROR(VLOOKUP(B2427&amp;C2427&amp;Q2427,'New Weekly Paste'!A:M,10,0),VLOOKUP(B2427&amp;C2427&amp;Q2427,'New Weekly Paste'!B:O,6,0)),""),"")</f>
        <v>Tayski</v>
      </c>
      <c r="J2427" s="259">
        <f>IFERROR(IFERROR(VLOOKUP(B2427&amp;C2427&amp;Q2427,'New Weekly Paste'!A:M,8,0),VLOOKUP(B2427&amp;C2427&amp;Q2427,'New Weekly Paste'!B:O,10,0)),0)</f>
        <v>125.62</v>
      </c>
      <c r="K2427" s="259">
        <f>IFERROR(IFERROR(VLOOKUP(B2427&amp;I2427&amp;Q2427,'New Weekly Paste'!A:M,8,0),VLOOKUP(B2427&amp;I2427&amp;Q2427,'New Weekly Paste'!B:O,10,0)),0)</f>
        <v>97.44</v>
      </c>
      <c r="L2427" s="239">
        <f t="shared" si="25"/>
        <v>1</v>
      </c>
      <c r="M2427" s="36" t="str">
        <f t="shared" si="3"/>
        <v>Regular Season</v>
      </c>
      <c r="N2427" s="239" t="str">
        <f t="shared" si="26"/>
        <v>Tayski</v>
      </c>
      <c r="O2427" s="6">
        <f>VLOOKUP(D2427,'Mapped Opponent'!$G$4:$H$22,2,0)</f>
        <v>14</v>
      </c>
      <c r="P2427" s="6"/>
      <c r="Q2427" s="6" t="str">
        <f t="shared" si="4"/>
        <v>Week 14</v>
      </c>
      <c r="R2427" s="6" t="str">
        <f t="shared" si="5"/>
        <v>2023Week 14</v>
      </c>
      <c r="S2427" s="6">
        <f>IFERROR(__xludf.DUMMYFUNCTION("rank(J2427,FILTER(J:J,R:R=R2427))"),1.0)</f>
        <v>1</v>
      </c>
      <c r="T2427" s="6">
        <f t="shared" si="6"/>
        <v>11</v>
      </c>
      <c r="U2427" s="6">
        <f t="shared" si="7"/>
        <v>1</v>
      </c>
      <c r="V2427" s="42">
        <f>averageif(AllData!A:A,B2427,AllData!R:R)/vlookup(B2427,AllData!A:O,15,0)</f>
        <v>93.35904762</v>
      </c>
      <c r="W2427" s="6"/>
    </row>
    <row r="2428" ht="14.25" customHeight="1">
      <c r="A2428" s="6" t="str">
        <f t="shared" si="28"/>
        <v>2023Ewert14</v>
      </c>
      <c r="B2428" s="59">
        <v>2023.0</v>
      </c>
      <c r="C2428" s="13" t="s">
        <v>108</v>
      </c>
      <c r="D2428" s="13" t="s">
        <v>156</v>
      </c>
      <c r="E2428" s="34"/>
      <c r="F2428" s="6"/>
      <c r="H2428" s="6"/>
      <c r="I2428" s="35" t="str">
        <f>IFERROR(IFERROR(IFERROR(VLOOKUP(B2428&amp;C2428&amp;Q2428,'New Weekly Paste'!A:M,10,0),VLOOKUP(B2428&amp;C2428&amp;Q2428,'New Weekly Paste'!B:O,6,0)),""),"")</f>
        <v>Riley</v>
      </c>
      <c r="J2428" s="259">
        <f>IFERROR(IFERROR(VLOOKUP(B2428&amp;C2428&amp;Q2428,'New Weekly Paste'!A:M,8,0),VLOOKUP(B2428&amp;C2428&amp;Q2428,'New Weekly Paste'!B:O,10,0)),0)</f>
        <v>71.12</v>
      </c>
      <c r="K2428" s="259">
        <f>IFERROR(IFERROR(VLOOKUP(B2428&amp;I2428&amp;Q2428,'New Weekly Paste'!A:M,8,0),VLOOKUP(B2428&amp;I2428&amp;Q2428,'New Weekly Paste'!B:O,10,0)),0)</f>
        <v>69.3</v>
      </c>
      <c r="L2428" s="239">
        <f t="shared" si="25"/>
        <v>1</v>
      </c>
      <c r="M2428" s="36" t="str">
        <f t="shared" si="3"/>
        <v>Regular Season</v>
      </c>
      <c r="N2428" s="239" t="str">
        <f t="shared" si="26"/>
        <v>Riley</v>
      </c>
      <c r="O2428" s="6">
        <f>VLOOKUP(D2428,'Mapped Opponent'!$G$4:$H$22,2,0)</f>
        <v>14</v>
      </c>
      <c r="P2428" s="6"/>
      <c r="Q2428" s="6" t="str">
        <f t="shared" si="4"/>
        <v>Week 14</v>
      </c>
      <c r="R2428" s="6" t="str">
        <f t="shared" si="5"/>
        <v>2023Week 14</v>
      </c>
      <c r="S2428" s="6">
        <f>IFERROR(__xludf.DUMMYFUNCTION("rank(J2428,FILTER(J:J,R:R=R2428))"),9.0)</f>
        <v>9</v>
      </c>
      <c r="T2428" s="6">
        <f t="shared" si="6"/>
        <v>3</v>
      </c>
      <c r="U2428" s="6">
        <f t="shared" si="7"/>
        <v>9</v>
      </c>
      <c r="V2428" s="42">
        <f>averageif(AllData!A:A,B2428,AllData!R:R)/vlookup(B2428,AllData!A:O,15,0)</f>
        <v>93.35904762</v>
      </c>
      <c r="W2428" s="6"/>
    </row>
    <row r="2429" ht="14.25" customHeight="1">
      <c r="A2429" s="6" t="str">
        <f t="shared" si="28"/>
        <v>2023Shep14</v>
      </c>
      <c r="B2429" s="59">
        <v>2023.0</v>
      </c>
      <c r="C2429" s="13" t="s">
        <v>89</v>
      </c>
      <c r="D2429" s="13" t="s">
        <v>156</v>
      </c>
      <c r="E2429" s="34"/>
      <c r="F2429" s="6"/>
      <c r="H2429" s="6"/>
      <c r="I2429" s="35" t="str">
        <f>IFERROR(IFERROR(IFERROR(VLOOKUP(B2429&amp;C2429&amp;Q2429,'New Weekly Paste'!A:M,10,0),VLOOKUP(B2429&amp;C2429&amp;Q2429,'New Weekly Paste'!B:O,6,0)),""),"")</f>
        <v>Pierson</v>
      </c>
      <c r="J2429" s="259">
        <f>IFERROR(IFERROR(VLOOKUP(B2429&amp;C2429&amp;Q2429,'New Weekly Paste'!A:M,8,0),VLOOKUP(B2429&amp;C2429&amp;Q2429,'New Weekly Paste'!B:O,10,0)),0)</f>
        <v>103.42</v>
      </c>
      <c r="K2429" s="259">
        <f>IFERROR(IFERROR(VLOOKUP(B2429&amp;I2429&amp;Q2429,'New Weekly Paste'!A:M,8,0),VLOOKUP(B2429&amp;I2429&amp;Q2429,'New Weekly Paste'!B:O,10,0)),0)</f>
        <v>87.58</v>
      </c>
      <c r="L2429" s="239">
        <f t="shared" si="25"/>
        <v>1</v>
      </c>
      <c r="M2429" s="36" t="str">
        <f t="shared" si="3"/>
        <v>Regular Season</v>
      </c>
      <c r="N2429" s="239" t="str">
        <f t="shared" si="26"/>
        <v>Pierson</v>
      </c>
      <c r="O2429" s="6">
        <f>VLOOKUP(D2429,'Mapped Opponent'!$G$4:$H$22,2,0)</f>
        <v>14</v>
      </c>
      <c r="P2429" s="6"/>
      <c r="Q2429" s="6" t="str">
        <f t="shared" si="4"/>
        <v>Week 14</v>
      </c>
      <c r="R2429" s="6" t="str">
        <f t="shared" si="5"/>
        <v>2023Week 14</v>
      </c>
      <c r="S2429" s="6">
        <f>IFERROR(__xludf.DUMMYFUNCTION("rank(J2429,FILTER(J:J,R:R=R2429))"),4.0)</f>
        <v>4</v>
      </c>
      <c r="T2429" s="6">
        <f t="shared" si="6"/>
        <v>8</v>
      </c>
      <c r="U2429" s="6">
        <f t="shared" si="7"/>
        <v>4</v>
      </c>
      <c r="V2429" s="42">
        <f>averageif(AllData!A:A,B2429,AllData!R:R)/vlookup(B2429,AllData!A:O,15,0)</f>
        <v>93.35904762</v>
      </c>
      <c r="W2429" s="6"/>
    </row>
    <row r="2430" ht="14.25" customHeight="1">
      <c r="A2430" s="6" t="str">
        <f t="shared" si="28"/>
        <v>2023Riley14</v>
      </c>
      <c r="B2430" s="59">
        <v>2023.0</v>
      </c>
      <c r="C2430" s="13" t="s">
        <v>67</v>
      </c>
      <c r="D2430" s="13" t="s">
        <v>156</v>
      </c>
      <c r="E2430" s="34"/>
      <c r="F2430" s="6"/>
      <c r="H2430" s="6"/>
      <c r="I2430" s="35" t="str">
        <f>IFERROR(IFERROR(IFERROR(VLOOKUP(B2430&amp;C2430&amp;Q2430,'New Weekly Paste'!A:M,10,0),VLOOKUP(B2430&amp;C2430&amp;Q2430,'New Weekly Paste'!B:O,6,0)),""),"")</f>
        <v>Ewert</v>
      </c>
      <c r="J2430" s="259">
        <f>IFERROR(IFERROR(VLOOKUP(B2430&amp;C2430&amp;Q2430,'New Weekly Paste'!A:M,8,0),VLOOKUP(B2430&amp;C2430&amp;Q2430,'New Weekly Paste'!B:O,10,0)),0)</f>
        <v>69.3</v>
      </c>
      <c r="K2430" s="259">
        <f>IFERROR(IFERROR(VLOOKUP(B2430&amp;I2430&amp;Q2430,'New Weekly Paste'!A:M,8,0),VLOOKUP(B2430&amp;I2430&amp;Q2430,'New Weekly Paste'!B:O,10,0)),0)</f>
        <v>71.12</v>
      </c>
      <c r="L2430" s="239">
        <f t="shared" si="25"/>
        <v>0</v>
      </c>
      <c r="M2430" s="36" t="str">
        <f t="shared" si="3"/>
        <v>Regular Season</v>
      </c>
      <c r="N2430" s="239" t="str">
        <f t="shared" si="26"/>
        <v>Ewert</v>
      </c>
      <c r="O2430" s="6">
        <f>VLOOKUP(D2430,'Mapped Opponent'!$G$4:$H$22,2,0)</f>
        <v>14</v>
      </c>
      <c r="P2430" s="6"/>
      <c r="Q2430" s="6" t="str">
        <f t="shared" si="4"/>
        <v>Week 14</v>
      </c>
      <c r="R2430" s="6" t="str">
        <f t="shared" si="5"/>
        <v>2023Week 14</v>
      </c>
      <c r="S2430" s="6">
        <f>IFERROR(__xludf.DUMMYFUNCTION("rank(J2430,FILTER(J:J,R:R=R2430))"),11.0)</f>
        <v>11</v>
      </c>
      <c r="T2430" s="6">
        <f t="shared" si="6"/>
        <v>1</v>
      </c>
      <c r="U2430" s="6">
        <f t="shared" si="7"/>
        <v>11</v>
      </c>
      <c r="V2430" s="42">
        <f>averageif(AllData!A:A,B2430,AllData!R:R)/vlookup(B2430,AllData!A:O,15,0)</f>
        <v>93.35904762</v>
      </c>
      <c r="W2430" s="6"/>
    </row>
    <row r="2431" ht="14.25" customHeight="1">
      <c r="A2431" s="6" t="str">
        <f t="shared" si="28"/>
        <v>2023Rooney/Jackson14</v>
      </c>
      <c r="B2431" s="59">
        <v>2023.0</v>
      </c>
      <c r="C2431" s="13" t="s">
        <v>57</v>
      </c>
      <c r="D2431" s="13" t="s">
        <v>156</v>
      </c>
      <c r="E2431" s="34"/>
      <c r="F2431" s="6"/>
      <c r="H2431" s="6"/>
      <c r="I2431" s="35" t="str">
        <f>IFERROR(IFERROR(IFERROR(VLOOKUP(B2431&amp;C2431&amp;Q2431,'New Weekly Paste'!A:M,10,0),VLOOKUP(B2431&amp;C2431&amp;Q2431,'New Weekly Paste'!B:O,6,0)),""),"")</f>
        <v>Buser</v>
      </c>
      <c r="J2431" s="259">
        <f>IFERROR(IFERROR(VLOOKUP(B2431&amp;C2431&amp;Q2431,'New Weekly Paste'!A:M,8,0),VLOOKUP(B2431&amp;C2431&amp;Q2431,'New Weekly Paste'!B:O,10,0)),0)</f>
        <v>117.94</v>
      </c>
      <c r="K2431" s="259">
        <f>IFERROR(IFERROR(VLOOKUP(B2431&amp;I2431&amp;Q2431,'New Weekly Paste'!A:M,8,0),VLOOKUP(B2431&amp;I2431&amp;Q2431,'New Weekly Paste'!B:O,10,0)),0)</f>
        <v>81.32</v>
      </c>
      <c r="L2431" s="239">
        <f t="shared" si="25"/>
        <v>1</v>
      </c>
      <c r="M2431" s="36" t="str">
        <f t="shared" si="3"/>
        <v>Regular Season</v>
      </c>
      <c r="N2431" s="239" t="str">
        <f t="shared" si="26"/>
        <v>Buser</v>
      </c>
      <c r="O2431" s="6">
        <f>VLOOKUP(D2431,'Mapped Opponent'!$G$4:$H$22,2,0)</f>
        <v>14</v>
      </c>
      <c r="P2431" s="6"/>
      <c r="Q2431" s="6" t="str">
        <f t="shared" si="4"/>
        <v>Week 14</v>
      </c>
      <c r="R2431" s="6" t="str">
        <f t="shared" si="5"/>
        <v>2023Week 14</v>
      </c>
      <c r="S2431" s="6">
        <f>IFERROR(__xludf.DUMMYFUNCTION("rank(J2431,FILTER(J:J,R:R=R2431))"),2.0)</f>
        <v>2</v>
      </c>
      <c r="T2431" s="6">
        <f t="shared" si="6"/>
        <v>10</v>
      </c>
      <c r="U2431" s="6">
        <f t="shared" si="7"/>
        <v>2</v>
      </c>
      <c r="V2431" s="42">
        <f>averageif(AllData!A:A,B2431,AllData!R:R)/vlookup(B2431,AllData!A:O,15,0)</f>
        <v>93.35904762</v>
      </c>
      <c r="W2431" s="6"/>
    </row>
    <row r="2432" ht="14.25" customHeight="1">
      <c r="A2432" s="6" t="str">
        <f t="shared" si="28"/>
        <v>2023Buser14</v>
      </c>
      <c r="B2432" s="59">
        <v>2023.0</v>
      </c>
      <c r="C2432" s="13" t="s">
        <v>47</v>
      </c>
      <c r="D2432" s="13" t="s">
        <v>156</v>
      </c>
      <c r="E2432" s="34"/>
      <c r="F2432" s="6"/>
      <c r="H2432" s="6"/>
      <c r="I2432" s="35" t="str">
        <f>IFERROR(IFERROR(IFERROR(VLOOKUP(B2432&amp;C2432&amp;Q2432,'New Weekly Paste'!A:M,10,0),VLOOKUP(B2432&amp;C2432&amp;Q2432,'New Weekly Paste'!B:O,6,0)),""),"")</f>
        <v>Rooney/Jackson</v>
      </c>
      <c r="J2432" s="259">
        <f>IFERROR(IFERROR(VLOOKUP(B2432&amp;C2432&amp;Q2432,'New Weekly Paste'!A:M,8,0),VLOOKUP(B2432&amp;C2432&amp;Q2432,'New Weekly Paste'!B:O,10,0)),0)</f>
        <v>81.32</v>
      </c>
      <c r="K2432" s="259">
        <f>IFERROR(IFERROR(VLOOKUP(B2432&amp;I2432&amp;Q2432,'New Weekly Paste'!A:M,8,0),VLOOKUP(B2432&amp;I2432&amp;Q2432,'New Weekly Paste'!B:O,10,0)),0)</f>
        <v>117.94</v>
      </c>
      <c r="L2432" s="239">
        <f t="shared" si="25"/>
        <v>0</v>
      </c>
      <c r="M2432" s="36" t="str">
        <f t="shared" si="3"/>
        <v>Regular Season</v>
      </c>
      <c r="N2432" s="239" t="str">
        <f t="shared" si="26"/>
        <v>Rooney/Jackson</v>
      </c>
      <c r="O2432" s="6">
        <f>VLOOKUP(D2432,'Mapped Opponent'!$G$4:$H$22,2,0)</f>
        <v>14</v>
      </c>
      <c r="P2432" s="6"/>
      <c r="Q2432" s="6" t="str">
        <f t="shared" si="4"/>
        <v>Week 14</v>
      </c>
      <c r="R2432" s="6" t="str">
        <f t="shared" si="5"/>
        <v>2023Week 14</v>
      </c>
      <c r="S2432" s="6">
        <f>IFERROR(__xludf.DUMMYFUNCTION("rank(J2432,FILTER(J:J,R:R=R2432))"),8.0)</f>
        <v>8</v>
      </c>
      <c r="T2432" s="6">
        <f t="shared" si="6"/>
        <v>4</v>
      </c>
      <c r="U2432" s="6">
        <f t="shared" si="7"/>
        <v>8</v>
      </c>
      <c r="V2432" s="42">
        <f>averageif(AllData!A:A,B2432,AllData!R:R)/vlookup(B2432,AllData!A:O,15,0)</f>
        <v>93.35904762</v>
      </c>
      <c r="W2432" s="6"/>
    </row>
    <row r="2433" ht="14.25" customHeight="1">
      <c r="A2433" s="6" t="str">
        <f t="shared" si="28"/>
        <v>2023Pierson14</v>
      </c>
      <c r="B2433" s="59">
        <v>2023.0</v>
      </c>
      <c r="C2433" s="13" t="s">
        <v>92</v>
      </c>
      <c r="D2433" s="13" t="s">
        <v>156</v>
      </c>
      <c r="E2433" s="34"/>
      <c r="F2433" s="6"/>
      <c r="H2433" s="6"/>
      <c r="I2433" s="35" t="str">
        <f>IFERROR(IFERROR(IFERROR(VLOOKUP(B2433&amp;C2433&amp;Q2433,'New Weekly Paste'!A:M,10,0),VLOOKUP(B2433&amp;C2433&amp;Q2433,'New Weekly Paste'!B:O,6,0)),""),"")</f>
        <v>Shep</v>
      </c>
      <c r="J2433" s="259">
        <f>IFERROR(IFERROR(VLOOKUP(B2433&amp;C2433&amp;Q2433,'New Weekly Paste'!A:M,8,0),VLOOKUP(B2433&amp;C2433&amp;Q2433,'New Weekly Paste'!B:O,10,0)),0)</f>
        <v>87.58</v>
      </c>
      <c r="K2433" s="259">
        <f>IFERROR(IFERROR(VLOOKUP(B2433&amp;I2433&amp;Q2433,'New Weekly Paste'!A:M,8,0),VLOOKUP(B2433&amp;I2433&amp;Q2433,'New Weekly Paste'!B:O,10,0)),0)</f>
        <v>103.42</v>
      </c>
      <c r="L2433" s="239">
        <f t="shared" si="25"/>
        <v>0</v>
      </c>
      <c r="M2433" s="36" t="str">
        <f t="shared" si="3"/>
        <v>Regular Season</v>
      </c>
      <c r="N2433" s="239" t="str">
        <f t="shared" si="26"/>
        <v>Shep</v>
      </c>
      <c r="O2433" s="6">
        <f>VLOOKUP(D2433,'Mapped Opponent'!$G$4:$H$22,2,0)</f>
        <v>14</v>
      </c>
      <c r="P2433" s="6"/>
      <c r="Q2433" s="6" t="str">
        <f t="shared" si="4"/>
        <v>Week 14</v>
      </c>
      <c r="R2433" s="6" t="str">
        <f t="shared" si="5"/>
        <v>2023Week 14</v>
      </c>
      <c r="S2433" s="6">
        <f>IFERROR(__xludf.DUMMYFUNCTION("rank(J2433,FILTER(J:J,R:R=R2433))"),6.0)</f>
        <v>6</v>
      </c>
      <c r="T2433" s="6">
        <f t="shared" si="6"/>
        <v>6</v>
      </c>
      <c r="U2433" s="6">
        <f t="shared" si="7"/>
        <v>6</v>
      </c>
      <c r="V2433" s="42">
        <f>averageif(AllData!A:A,B2433,AllData!R:R)/vlookup(B2433,AllData!A:O,15,0)</f>
        <v>93.35904762</v>
      </c>
      <c r="W2433" s="6"/>
    </row>
    <row r="2434" ht="14.25" customHeight="1">
      <c r="A2434" s="6" t="str">
        <f t="shared" si="28"/>
        <v>2023Cock14</v>
      </c>
      <c r="B2434" s="59">
        <v>2023.0</v>
      </c>
      <c r="C2434" s="13" t="s">
        <v>72</v>
      </c>
      <c r="D2434" s="13" t="s">
        <v>156</v>
      </c>
      <c r="E2434" s="34"/>
      <c r="F2434" s="6"/>
      <c r="H2434" s="6"/>
      <c r="I2434" s="35" t="str">
        <f>IFERROR(IFERROR(IFERROR(VLOOKUP(B2434&amp;C2434&amp;Q2434,'New Weekly Paste'!A:M,10,0),VLOOKUP(B2434&amp;C2434&amp;Q2434,'New Weekly Paste'!B:O,6,0)),""),"")</f>
        <v>KnardDawg</v>
      </c>
      <c r="J2434" s="259">
        <f>IFERROR(IFERROR(VLOOKUP(B2434&amp;C2434&amp;Q2434,'New Weekly Paste'!A:M,8,0),VLOOKUP(B2434&amp;C2434&amp;Q2434,'New Weekly Paste'!B:O,10,0)),0)</f>
        <v>70.24</v>
      </c>
      <c r="K2434" s="259">
        <f>IFERROR(IFERROR(VLOOKUP(B2434&amp;I2434&amp;Q2434,'New Weekly Paste'!A:M,8,0),VLOOKUP(B2434&amp;I2434&amp;Q2434,'New Weekly Paste'!B:O,10,0)),0)</f>
        <v>83.92</v>
      </c>
      <c r="L2434" s="239">
        <f t="shared" si="25"/>
        <v>0</v>
      </c>
      <c r="M2434" s="36" t="str">
        <f t="shared" si="3"/>
        <v>Regular Season</v>
      </c>
      <c r="N2434" s="239" t="str">
        <f t="shared" si="26"/>
        <v>KnardDawg</v>
      </c>
      <c r="O2434" s="6">
        <f>VLOOKUP(D2434,'Mapped Opponent'!$G$4:$H$22,2,0)</f>
        <v>14</v>
      </c>
      <c r="P2434" s="6"/>
      <c r="Q2434" s="6" t="str">
        <f t="shared" si="4"/>
        <v>Week 14</v>
      </c>
      <c r="R2434" s="6" t="str">
        <f t="shared" si="5"/>
        <v>2023Week 14</v>
      </c>
      <c r="S2434" s="6">
        <f>IFERROR(__xludf.DUMMYFUNCTION("rank(J2434,FILTER(J:J,R:R=R2434))"),10.0)</f>
        <v>10</v>
      </c>
      <c r="T2434" s="6">
        <f t="shared" si="6"/>
        <v>2</v>
      </c>
      <c r="U2434" s="6">
        <f t="shared" si="7"/>
        <v>10</v>
      </c>
      <c r="V2434" s="42">
        <f>averageif(AllData!A:A,B2434,AllData!R:R)/vlookup(B2434,AllData!A:O,15,0)</f>
        <v>93.35904762</v>
      </c>
      <c r="W2434" s="6"/>
    </row>
    <row r="2435" ht="14.25" customHeight="1">
      <c r="A2435" s="6" t="str">
        <f t="shared" si="28"/>
        <v>2023Tayski14</v>
      </c>
      <c r="B2435" s="59">
        <v>2023.0</v>
      </c>
      <c r="C2435" s="13" t="s">
        <v>52</v>
      </c>
      <c r="D2435" s="13" t="s">
        <v>156</v>
      </c>
      <c r="E2435" s="34"/>
      <c r="F2435" s="6"/>
      <c r="H2435" s="6"/>
      <c r="I2435" s="35" t="str">
        <f>IFERROR(IFERROR(IFERROR(VLOOKUP(B2435&amp;C2435&amp;Q2435,'New Weekly Paste'!A:M,10,0),VLOOKUP(B2435&amp;C2435&amp;Q2435,'New Weekly Paste'!B:O,6,0)),""),"")</f>
        <v>Salty</v>
      </c>
      <c r="J2435" s="259">
        <f>IFERROR(IFERROR(VLOOKUP(B2435&amp;C2435&amp;Q2435,'New Weekly Paste'!A:M,8,0),VLOOKUP(B2435&amp;C2435&amp;Q2435,'New Weekly Paste'!B:O,10,0)),0)</f>
        <v>97.44</v>
      </c>
      <c r="K2435" s="259">
        <f>IFERROR(IFERROR(VLOOKUP(B2435&amp;I2435&amp;Q2435,'New Weekly Paste'!A:M,8,0),VLOOKUP(B2435&amp;I2435&amp;Q2435,'New Weekly Paste'!B:O,10,0)),0)</f>
        <v>125.62</v>
      </c>
      <c r="L2435" s="239">
        <f t="shared" si="25"/>
        <v>0</v>
      </c>
      <c r="M2435" s="36" t="str">
        <f t="shared" si="3"/>
        <v>Regular Season</v>
      </c>
      <c r="N2435" s="239" t="str">
        <f t="shared" si="26"/>
        <v>Salty</v>
      </c>
      <c r="O2435" s="6">
        <f>VLOOKUP(D2435,'Mapped Opponent'!$G$4:$H$22,2,0)</f>
        <v>14</v>
      </c>
      <c r="P2435" s="6"/>
      <c r="Q2435" s="6" t="str">
        <f t="shared" si="4"/>
        <v>Week 14</v>
      </c>
      <c r="R2435" s="6" t="str">
        <f t="shared" si="5"/>
        <v>2023Week 14</v>
      </c>
      <c r="S2435" s="6">
        <f>IFERROR(__xludf.DUMMYFUNCTION("rank(J2435,FILTER(J:J,R:R=R2435))"),5.0)</f>
        <v>5</v>
      </c>
      <c r="T2435" s="6">
        <f t="shared" si="6"/>
        <v>7</v>
      </c>
      <c r="U2435" s="6">
        <f t="shared" si="7"/>
        <v>5</v>
      </c>
      <c r="V2435" s="42">
        <f>averageif(AllData!A:A,B2435,AllData!R:R)/vlookup(B2435,AllData!A:O,15,0)</f>
        <v>93.35904762</v>
      </c>
      <c r="W2435" s="6"/>
    </row>
    <row r="2436" ht="14.25" customHeight="1">
      <c r="A2436" s="6" t="str">
        <f t="shared" si="28"/>
        <v>2023KnardDawg14</v>
      </c>
      <c r="B2436" s="59">
        <v>2023.0</v>
      </c>
      <c r="C2436" s="13" t="s">
        <v>86</v>
      </c>
      <c r="D2436" s="13" t="s">
        <v>156</v>
      </c>
      <c r="E2436" s="34"/>
      <c r="F2436" s="6"/>
      <c r="H2436" s="6"/>
      <c r="I2436" s="35" t="str">
        <f>IFERROR(IFERROR(IFERROR(VLOOKUP(B2436&amp;C2436&amp;Q2436,'New Weekly Paste'!A:M,10,0),VLOOKUP(B2436&amp;C2436&amp;Q2436,'New Weekly Paste'!B:O,6,0)),""),"")</f>
        <v>Cock</v>
      </c>
      <c r="J2436" s="259">
        <f>IFERROR(IFERROR(VLOOKUP(B2436&amp;C2436&amp;Q2436,'New Weekly Paste'!A:M,8,0),VLOOKUP(B2436&amp;C2436&amp;Q2436,'New Weekly Paste'!B:O,10,0)),0)</f>
        <v>83.92</v>
      </c>
      <c r="K2436" s="259">
        <f>IFERROR(IFERROR(VLOOKUP(B2436&amp;I2436&amp;Q2436,'New Weekly Paste'!A:M,8,0),VLOOKUP(B2436&amp;I2436&amp;Q2436,'New Weekly Paste'!B:O,10,0)),0)</f>
        <v>70.24</v>
      </c>
      <c r="L2436" s="239">
        <f t="shared" si="25"/>
        <v>1</v>
      </c>
      <c r="M2436" s="36" t="str">
        <f t="shared" si="3"/>
        <v>Regular Season</v>
      </c>
      <c r="N2436" s="239" t="str">
        <f t="shared" si="26"/>
        <v>Cock</v>
      </c>
      <c r="O2436" s="6">
        <f>VLOOKUP(D2436,'Mapped Opponent'!$G$4:$H$22,2,0)</f>
        <v>14</v>
      </c>
      <c r="P2436" s="6"/>
      <c r="Q2436" s="6" t="str">
        <f t="shared" si="4"/>
        <v>Week 14</v>
      </c>
      <c r="R2436" s="6" t="str">
        <f t="shared" si="5"/>
        <v>2023Week 14</v>
      </c>
      <c r="S2436" s="6">
        <f>IFERROR(__xludf.DUMMYFUNCTION("rank(J2436,FILTER(J:J,R:R=R2436))"),7.0)</f>
        <v>7</v>
      </c>
      <c r="T2436" s="6">
        <f t="shared" si="6"/>
        <v>5</v>
      </c>
      <c r="U2436" s="6">
        <f t="shared" si="7"/>
        <v>7</v>
      </c>
      <c r="V2436" s="42">
        <f>averageif(AllData!A:A,B2436,AllData!R:R)/vlookup(B2436,AllData!A:O,15,0)</f>
        <v>93.35904762</v>
      </c>
      <c r="W2436" s="6"/>
    </row>
    <row r="2437" ht="14.25" customHeight="1">
      <c r="A2437" s="6" t="str">
        <f t="shared" si="28"/>
        <v>2023T-How14</v>
      </c>
      <c r="B2437" s="59">
        <v>2023.0</v>
      </c>
      <c r="C2437" s="13" t="s">
        <v>82</v>
      </c>
      <c r="D2437" s="13" t="s">
        <v>156</v>
      </c>
      <c r="E2437" s="34"/>
      <c r="F2437" s="6"/>
      <c r="H2437" s="6"/>
      <c r="I2437" s="35" t="str">
        <f>IFERROR(IFERROR(IFERROR(VLOOKUP(B2437&amp;C2437&amp;Q2437,'New Weekly Paste'!A:M,10,0),VLOOKUP(B2437&amp;C2437&amp;Q2437,'New Weekly Paste'!B:O,6,0)),""),"")</f>
        <v>Hudspeath</v>
      </c>
      <c r="J2437" s="259">
        <f>IFERROR(IFERROR(VLOOKUP(B2437&amp;C2437&amp;Q2437,'New Weekly Paste'!A:M,8,0),VLOOKUP(B2437&amp;C2437&amp;Q2437,'New Weekly Paste'!B:O,10,0)),0)</f>
        <v>28.94</v>
      </c>
      <c r="K2437" s="259">
        <f>IFERROR(IFERROR(VLOOKUP(B2437&amp;I2437&amp;Q2437,'New Weekly Paste'!A:M,8,0),VLOOKUP(B2437&amp;I2437&amp;Q2437,'New Weekly Paste'!B:O,10,0)),0)</f>
        <v>111.14</v>
      </c>
      <c r="L2437" s="239">
        <f t="shared" si="25"/>
        <v>0</v>
      </c>
      <c r="M2437" s="36" t="str">
        <f t="shared" si="3"/>
        <v>Regular Season</v>
      </c>
      <c r="N2437" s="239" t="str">
        <f t="shared" si="26"/>
        <v>Hudspeath</v>
      </c>
      <c r="O2437" s="6">
        <f>VLOOKUP(D2437,'Mapped Opponent'!$G$4:$H$22,2,0)</f>
        <v>14</v>
      </c>
      <c r="P2437" s="6"/>
      <c r="Q2437" s="6" t="str">
        <f t="shared" si="4"/>
        <v>Week 14</v>
      </c>
      <c r="R2437" s="6" t="str">
        <f t="shared" si="5"/>
        <v>2023Week 14</v>
      </c>
      <c r="S2437" s="6">
        <f>IFERROR(__xludf.DUMMYFUNCTION("rank(J2437,FILTER(J:J,R:R=R2437))"),12.0)</f>
        <v>12</v>
      </c>
      <c r="T2437" s="6">
        <f t="shared" si="6"/>
        <v>0</v>
      </c>
      <c r="U2437" s="6">
        <f t="shared" si="7"/>
        <v>12</v>
      </c>
      <c r="V2437" s="42">
        <f>averageif(AllData!A:A,B2437,AllData!R:R)/vlookup(B2437,AllData!A:O,15,0)</f>
        <v>93.35904762</v>
      </c>
      <c r="W2437" s="6"/>
    </row>
    <row r="2438" ht="14.25" customHeight="1">
      <c r="A2438" s="6" t="str">
        <f t="shared" si="28"/>
        <v>2023Hudspeath2</v>
      </c>
      <c r="B2438" s="59">
        <v>2023.0</v>
      </c>
      <c r="C2438" s="13" t="s">
        <v>39</v>
      </c>
      <c r="D2438" s="13" t="s">
        <v>131</v>
      </c>
      <c r="E2438" s="34"/>
      <c r="F2438" s="6"/>
      <c r="H2438" s="6"/>
      <c r="I2438" s="35" t="str">
        <f>IFERROR(IFERROR(IFERROR(VLOOKUP(B2438&amp;C2438&amp;Q2438,'New Weekly Paste'!A:M,10,0),VLOOKUP(B2438&amp;C2438&amp;Q2438,'New Weekly Paste'!B:O,6,0)),""),"")</f>
        <v>Salty</v>
      </c>
      <c r="J2438" s="259">
        <f>IFERROR(IFERROR(VLOOKUP(B2438&amp;C2438&amp;Q2438,'New Weekly Paste'!A:M,8,0),VLOOKUP(B2438&amp;C2438&amp;Q2438,'New Weekly Paste'!B:O,10,0)),0)</f>
        <v>82.02</v>
      </c>
      <c r="K2438" s="259">
        <f>IFERROR(IFERROR(VLOOKUP(B2438&amp;I2438&amp;Q2438,'New Weekly Paste'!A:M,8,0),VLOOKUP(B2438&amp;I2438&amp;Q2438,'New Weekly Paste'!B:O,10,0)),0)</f>
        <v>117.46</v>
      </c>
      <c r="L2438" s="239">
        <f t="shared" si="25"/>
        <v>0</v>
      </c>
      <c r="M2438" s="36" t="str">
        <f t="shared" si="3"/>
        <v>Regular Season</v>
      </c>
      <c r="N2438" s="239" t="str">
        <f t="shared" si="26"/>
        <v>Salty</v>
      </c>
      <c r="O2438" s="6">
        <f>VLOOKUP(D2438,'Mapped Opponent'!$G$4:$H$22,2,0)</f>
        <v>2</v>
      </c>
      <c r="P2438" s="6"/>
      <c r="Q2438" s="6" t="str">
        <f t="shared" si="4"/>
        <v>Week 2</v>
      </c>
      <c r="R2438" s="6" t="str">
        <f t="shared" si="5"/>
        <v>2023Week 2</v>
      </c>
      <c r="S2438" s="6">
        <f>IFERROR(__xludf.DUMMYFUNCTION("rank(J2438,FILTER(J:J,R:R=R2438))"),9.0)</f>
        <v>9</v>
      </c>
      <c r="T2438" s="6">
        <f t="shared" si="6"/>
        <v>3</v>
      </c>
      <c r="U2438" s="6">
        <f t="shared" si="7"/>
        <v>9</v>
      </c>
      <c r="V2438" s="42">
        <f>averageif(AllData!A:A,B2438,AllData!R:R)/vlookup(B2438,AllData!A:O,15,0)</f>
        <v>93.35904762</v>
      </c>
      <c r="W2438" s="6"/>
    </row>
    <row r="2439" ht="14.25" customHeight="1">
      <c r="A2439" s="6" t="str">
        <f t="shared" si="28"/>
        <v>2023Salty2</v>
      </c>
      <c r="B2439" s="59">
        <v>2023.0</v>
      </c>
      <c r="C2439" s="13" t="s">
        <v>76</v>
      </c>
      <c r="D2439" s="13" t="s">
        <v>131</v>
      </c>
      <c r="E2439" s="34"/>
      <c r="F2439" s="6"/>
      <c r="H2439" s="6"/>
      <c r="I2439" s="35" t="str">
        <f>IFERROR(IFERROR(IFERROR(VLOOKUP(B2439&amp;C2439&amp;Q2439,'New Weekly Paste'!A:M,10,0),VLOOKUP(B2439&amp;C2439&amp;Q2439,'New Weekly Paste'!B:O,6,0)),""),"")</f>
        <v>Hudspeath</v>
      </c>
      <c r="J2439" s="259">
        <f>IFERROR(IFERROR(VLOOKUP(B2439&amp;C2439&amp;Q2439,'New Weekly Paste'!A:M,8,0),VLOOKUP(B2439&amp;C2439&amp;Q2439,'New Weekly Paste'!B:O,10,0)),0)</f>
        <v>117.46</v>
      </c>
      <c r="K2439" s="259">
        <f>IFERROR(IFERROR(VLOOKUP(B2439&amp;I2439&amp;Q2439,'New Weekly Paste'!A:M,8,0),VLOOKUP(B2439&amp;I2439&amp;Q2439,'New Weekly Paste'!B:O,10,0)),0)</f>
        <v>82.02</v>
      </c>
      <c r="L2439" s="239">
        <f t="shared" si="25"/>
        <v>1</v>
      </c>
      <c r="M2439" s="36" t="str">
        <f t="shared" si="3"/>
        <v>Regular Season</v>
      </c>
      <c r="N2439" s="239" t="str">
        <f t="shared" si="26"/>
        <v>Hudspeath</v>
      </c>
      <c r="O2439" s="6">
        <f>VLOOKUP(D2439,'Mapped Opponent'!$G$4:$H$22,2,0)</f>
        <v>2</v>
      </c>
      <c r="P2439" s="6"/>
      <c r="Q2439" s="6" t="str">
        <f t="shared" si="4"/>
        <v>Week 2</v>
      </c>
      <c r="R2439" s="6" t="str">
        <f t="shared" si="5"/>
        <v>2023Week 2</v>
      </c>
      <c r="S2439" s="6">
        <f>IFERROR(__xludf.DUMMYFUNCTION("rank(J2439,FILTER(J:J,R:R=R2439))"),2.0)</f>
        <v>2</v>
      </c>
      <c r="T2439" s="6">
        <f t="shared" si="6"/>
        <v>10</v>
      </c>
      <c r="U2439" s="6">
        <f t="shared" si="7"/>
        <v>2</v>
      </c>
      <c r="V2439" s="42">
        <f>averageif(AllData!A:A,B2439,AllData!R:R)/vlookup(B2439,AllData!A:O,15,0)</f>
        <v>93.35904762</v>
      </c>
      <c r="W2439" s="6"/>
    </row>
    <row r="2440" ht="14.25" customHeight="1">
      <c r="A2440" s="6" t="str">
        <f t="shared" si="28"/>
        <v>2023Ewert2</v>
      </c>
      <c r="B2440" s="59">
        <v>2023.0</v>
      </c>
      <c r="C2440" s="13" t="s">
        <v>108</v>
      </c>
      <c r="D2440" s="13" t="s">
        <v>131</v>
      </c>
      <c r="E2440" s="34"/>
      <c r="F2440" s="6"/>
      <c r="H2440" s="6"/>
      <c r="I2440" s="35" t="str">
        <f>IFERROR(IFERROR(IFERROR(VLOOKUP(B2440&amp;C2440&amp;Q2440,'New Weekly Paste'!A:M,10,0),VLOOKUP(B2440&amp;C2440&amp;Q2440,'New Weekly Paste'!B:O,6,0)),""),"")</f>
        <v>KnardDawg</v>
      </c>
      <c r="J2440" s="259">
        <f>IFERROR(IFERROR(VLOOKUP(B2440&amp;C2440&amp;Q2440,'New Weekly Paste'!A:M,8,0),VLOOKUP(B2440&amp;C2440&amp;Q2440,'New Weekly Paste'!B:O,10,0)),0)</f>
        <v>87.14</v>
      </c>
      <c r="K2440" s="259">
        <f>IFERROR(IFERROR(VLOOKUP(B2440&amp;I2440&amp;Q2440,'New Weekly Paste'!A:M,8,0),VLOOKUP(B2440&amp;I2440&amp;Q2440,'New Weekly Paste'!B:O,10,0)),0)</f>
        <v>90.84</v>
      </c>
      <c r="L2440" s="239">
        <f t="shared" si="25"/>
        <v>0</v>
      </c>
      <c r="M2440" s="36" t="str">
        <f t="shared" si="3"/>
        <v>Regular Season</v>
      </c>
      <c r="N2440" s="239" t="str">
        <f t="shared" si="26"/>
        <v>KnardDawg</v>
      </c>
      <c r="O2440" s="6">
        <f>VLOOKUP(D2440,'Mapped Opponent'!$G$4:$H$22,2,0)</f>
        <v>2</v>
      </c>
      <c r="P2440" s="6"/>
      <c r="Q2440" s="6" t="str">
        <f t="shared" si="4"/>
        <v>Week 2</v>
      </c>
      <c r="R2440" s="6" t="str">
        <f t="shared" si="5"/>
        <v>2023Week 2</v>
      </c>
      <c r="S2440" s="6">
        <f>IFERROR(__xludf.DUMMYFUNCTION("rank(J2440,FILTER(J:J,R:R=R2440))"),7.0)</f>
        <v>7</v>
      </c>
      <c r="T2440" s="6">
        <f t="shared" si="6"/>
        <v>5</v>
      </c>
      <c r="U2440" s="6">
        <f t="shared" si="7"/>
        <v>7</v>
      </c>
      <c r="V2440" s="42">
        <f>averageif(AllData!A:A,B2440,AllData!R:R)/vlookup(B2440,AllData!A:O,15,0)</f>
        <v>93.35904762</v>
      </c>
      <c r="W2440" s="6"/>
    </row>
    <row r="2441" ht="14.25" customHeight="1">
      <c r="A2441" s="6" t="str">
        <f t="shared" si="28"/>
        <v>2023Shep2</v>
      </c>
      <c r="B2441" s="59">
        <v>2023.0</v>
      </c>
      <c r="C2441" s="13" t="s">
        <v>89</v>
      </c>
      <c r="D2441" s="13" t="s">
        <v>131</v>
      </c>
      <c r="E2441" s="34"/>
      <c r="F2441" s="6"/>
      <c r="H2441" s="6"/>
      <c r="I2441" s="35" t="str">
        <f>IFERROR(IFERROR(IFERROR(VLOOKUP(B2441&amp;C2441&amp;Q2441,'New Weekly Paste'!A:M,10,0),VLOOKUP(B2441&amp;C2441&amp;Q2441,'New Weekly Paste'!B:O,6,0)),""),"")</f>
        <v>Cock</v>
      </c>
      <c r="J2441" s="259">
        <f>IFERROR(IFERROR(VLOOKUP(B2441&amp;C2441&amp;Q2441,'New Weekly Paste'!A:M,8,0),VLOOKUP(B2441&amp;C2441&amp;Q2441,'New Weekly Paste'!B:O,10,0)),0)</f>
        <v>86.34</v>
      </c>
      <c r="K2441" s="259">
        <f>IFERROR(IFERROR(VLOOKUP(B2441&amp;I2441&amp;Q2441,'New Weekly Paste'!A:M,8,0),VLOOKUP(B2441&amp;I2441&amp;Q2441,'New Weekly Paste'!B:O,10,0)),0)</f>
        <v>67.5</v>
      </c>
      <c r="L2441" s="239">
        <f t="shared" si="25"/>
        <v>1</v>
      </c>
      <c r="M2441" s="36" t="str">
        <f t="shared" si="3"/>
        <v>Regular Season</v>
      </c>
      <c r="N2441" s="239" t="str">
        <f t="shared" si="26"/>
        <v>Cock</v>
      </c>
      <c r="O2441" s="6">
        <f>VLOOKUP(D2441,'Mapped Opponent'!$G$4:$H$22,2,0)</f>
        <v>2</v>
      </c>
      <c r="P2441" s="6"/>
      <c r="Q2441" s="6" t="str">
        <f t="shared" si="4"/>
        <v>Week 2</v>
      </c>
      <c r="R2441" s="6" t="str">
        <f t="shared" si="5"/>
        <v>2023Week 2</v>
      </c>
      <c r="S2441" s="6">
        <f>IFERROR(__xludf.DUMMYFUNCTION("rank(J2441,FILTER(J:J,R:R=R2441))"),8.0)</f>
        <v>8</v>
      </c>
      <c r="T2441" s="6">
        <f t="shared" si="6"/>
        <v>4</v>
      </c>
      <c r="U2441" s="6">
        <f t="shared" si="7"/>
        <v>8</v>
      </c>
      <c r="V2441" s="42">
        <f>averageif(AllData!A:A,B2441,AllData!R:R)/vlookup(B2441,AllData!A:O,15,0)</f>
        <v>93.35904762</v>
      </c>
      <c r="W2441" s="6"/>
    </row>
    <row r="2442" ht="14.25" customHeight="1">
      <c r="A2442" s="6" t="str">
        <f t="shared" si="28"/>
        <v>2023Riley2</v>
      </c>
      <c r="B2442" s="59">
        <v>2023.0</v>
      </c>
      <c r="C2442" s="13" t="s">
        <v>67</v>
      </c>
      <c r="D2442" s="13" t="s">
        <v>131</v>
      </c>
      <c r="E2442" s="34"/>
      <c r="F2442" s="6"/>
      <c r="H2442" s="6"/>
      <c r="I2442" s="35" t="str">
        <f>IFERROR(IFERROR(IFERROR(VLOOKUP(B2442&amp;C2442&amp;Q2442,'New Weekly Paste'!A:M,10,0),VLOOKUP(B2442&amp;C2442&amp;Q2442,'New Weekly Paste'!B:O,6,0)),""),"")</f>
        <v>T-How</v>
      </c>
      <c r="J2442" s="259">
        <f>IFERROR(IFERROR(VLOOKUP(B2442&amp;C2442&amp;Q2442,'New Weekly Paste'!A:M,8,0),VLOOKUP(B2442&amp;C2442&amp;Q2442,'New Weekly Paste'!B:O,10,0)),0)</f>
        <v>79.8</v>
      </c>
      <c r="K2442" s="259">
        <f>IFERROR(IFERROR(VLOOKUP(B2442&amp;I2442&amp;Q2442,'New Weekly Paste'!A:M,8,0),VLOOKUP(B2442&amp;I2442&amp;Q2442,'New Weekly Paste'!B:O,10,0)),0)</f>
        <v>104.7</v>
      </c>
      <c r="L2442" s="239">
        <f t="shared" si="25"/>
        <v>0</v>
      </c>
      <c r="M2442" s="36" t="str">
        <f t="shared" si="3"/>
        <v>Regular Season</v>
      </c>
      <c r="N2442" s="239" t="str">
        <f t="shared" si="26"/>
        <v>T-How</v>
      </c>
      <c r="O2442" s="6">
        <f>VLOOKUP(D2442,'Mapped Opponent'!$G$4:$H$22,2,0)</f>
        <v>2</v>
      </c>
      <c r="P2442" s="6"/>
      <c r="Q2442" s="6" t="str">
        <f t="shared" si="4"/>
        <v>Week 2</v>
      </c>
      <c r="R2442" s="6" t="str">
        <f t="shared" si="5"/>
        <v>2023Week 2</v>
      </c>
      <c r="S2442" s="6">
        <f>IFERROR(__xludf.DUMMYFUNCTION("rank(J2442,FILTER(J:J,R:R=R2442))"),10.0)</f>
        <v>10</v>
      </c>
      <c r="T2442" s="6">
        <f t="shared" si="6"/>
        <v>2</v>
      </c>
      <c r="U2442" s="6">
        <f t="shared" si="7"/>
        <v>10</v>
      </c>
      <c r="V2442" s="42">
        <f>averageif(AllData!A:A,B2442,AllData!R:R)/vlookup(B2442,AllData!A:O,15,0)</f>
        <v>93.35904762</v>
      </c>
      <c r="W2442" s="6"/>
    </row>
    <row r="2443" ht="14.25" customHeight="1">
      <c r="A2443" s="6" t="str">
        <f t="shared" si="28"/>
        <v>2023Rooney/Jackson2</v>
      </c>
      <c r="B2443" s="59">
        <v>2023.0</v>
      </c>
      <c r="C2443" s="13" t="s">
        <v>57</v>
      </c>
      <c r="D2443" s="13" t="s">
        <v>131</v>
      </c>
      <c r="E2443" s="34"/>
      <c r="F2443" s="6"/>
      <c r="H2443" s="6"/>
      <c r="I2443" s="35" t="str">
        <f>IFERROR(IFERROR(IFERROR(VLOOKUP(B2443&amp;C2443&amp;Q2443,'New Weekly Paste'!A:M,10,0),VLOOKUP(B2443&amp;C2443&amp;Q2443,'New Weekly Paste'!B:O,6,0)),""),"")</f>
        <v>Pierson</v>
      </c>
      <c r="J2443" s="259">
        <f>IFERROR(IFERROR(VLOOKUP(B2443&amp;C2443&amp;Q2443,'New Weekly Paste'!A:M,8,0),VLOOKUP(B2443&amp;C2443&amp;Q2443,'New Weekly Paste'!B:O,10,0)),0)</f>
        <v>129.18</v>
      </c>
      <c r="K2443" s="259">
        <f>IFERROR(IFERROR(VLOOKUP(B2443&amp;I2443&amp;Q2443,'New Weekly Paste'!A:M,8,0),VLOOKUP(B2443&amp;I2443&amp;Q2443,'New Weekly Paste'!B:O,10,0)),0)</f>
        <v>97.52</v>
      </c>
      <c r="L2443" s="239">
        <f t="shared" si="25"/>
        <v>1</v>
      </c>
      <c r="M2443" s="36" t="str">
        <f t="shared" si="3"/>
        <v>Regular Season</v>
      </c>
      <c r="N2443" s="239" t="str">
        <f t="shared" si="26"/>
        <v>Pierson</v>
      </c>
      <c r="O2443" s="6">
        <f>VLOOKUP(D2443,'Mapped Opponent'!$G$4:$H$22,2,0)</f>
        <v>2</v>
      </c>
      <c r="P2443" s="6"/>
      <c r="Q2443" s="6" t="str">
        <f t="shared" si="4"/>
        <v>Week 2</v>
      </c>
      <c r="R2443" s="6" t="str">
        <f t="shared" si="5"/>
        <v>2023Week 2</v>
      </c>
      <c r="S2443" s="6">
        <f>IFERROR(__xludf.DUMMYFUNCTION("rank(J2443,FILTER(J:J,R:R=R2443))"),1.0)</f>
        <v>1</v>
      </c>
      <c r="T2443" s="6">
        <f t="shared" si="6"/>
        <v>11</v>
      </c>
      <c r="U2443" s="6">
        <f t="shared" si="7"/>
        <v>1</v>
      </c>
      <c r="V2443" s="42">
        <f>averageif(AllData!A:A,B2443,AllData!R:R)/vlookup(B2443,AllData!A:O,15,0)</f>
        <v>93.35904762</v>
      </c>
      <c r="W2443" s="6"/>
    </row>
    <row r="2444" ht="14.25" customHeight="1">
      <c r="A2444" s="6" t="str">
        <f t="shared" si="28"/>
        <v>2023Buser2</v>
      </c>
      <c r="B2444" s="59">
        <v>2023.0</v>
      </c>
      <c r="C2444" s="13" t="s">
        <v>47</v>
      </c>
      <c r="D2444" s="13" t="s">
        <v>131</v>
      </c>
      <c r="E2444" s="34"/>
      <c r="F2444" s="6"/>
      <c r="H2444" s="6"/>
      <c r="I2444" s="35" t="str">
        <f>IFERROR(IFERROR(IFERROR(VLOOKUP(B2444&amp;C2444&amp;Q2444,'New Weekly Paste'!A:M,10,0),VLOOKUP(B2444&amp;C2444&amp;Q2444,'New Weekly Paste'!B:O,6,0)),""),"")</f>
        <v>Tayski</v>
      </c>
      <c r="J2444" s="259">
        <f>IFERROR(IFERROR(VLOOKUP(B2444&amp;C2444&amp;Q2444,'New Weekly Paste'!A:M,8,0),VLOOKUP(B2444&amp;C2444&amp;Q2444,'New Weekly Paste'!B:O,10,0)),0)</f>
        <v>95.98</v>
      </c>
      <c r="K2444" s="259">
        <f>IFERROR(IFERROR(VLOOKUP(B2444&amp;I2444&amp;Q2444,'New Weekly Paste'!A:M,8,0),VLOOKUP(B2444&amp;I2444&amp;Q2444,'New Weekly Paste'!B:O,10,0)),0)</f>
        <v>67.44</v>
      </c>
      <c r="L2444" s="239">
        <f t="shared" si="25"/>
        <v>1</v>
      </c>
      <c r="M2444" s="36" t="str">
        <f t="shared" si="3"/>
        <v>Regular Season</v>
      </c>
      <c r="N2444" s="239" t="str">
        <f t="shared" si="26"/>
        <v>Tayski</v>
      </c>
      <c r="O2444" s="6">
        <f>VLOOKUP(D2444,'Mapped Opponent'!$G$4:$H$22,2,0)</f>
        <v>2</v>
      </c>
      <c r="P2444" s="6"/>
      <c r="Q2444" s="6" t="str">
        <f t="shared" si="4"/>
        <v>Week 2</v>
      </c>
      <c r="R2444" s="6" t="str">
        <f t="shared" si="5"/>
        <v>2023Week 2</v>
      </c>
      <c r="S2444" s="6">
        <f>IFERROR(__xludf.DUMMYFUNCTION("rank(J2444,FILTER(J:J,R:R=R2444))"),5.0)</f>
        <v>5</v>
      </c>
      <c r="T2444" s="6">
        <f t="shared" si="6"/>
        <v>7</v>
      </c>
      <c r="U2444" s="6">
        <f t="shared" si="7"/>
        <v>5</v>
      </c>
      <c r="V2444" s="42">
        <f>averageif(AllData!A:A,B2444,AllData!R:R)/vlookup(B2444,AllData!A:O,15,0)</f>
        <v>93.35904762</v>
      </c>
      <c r="W2444" s="6"/>
    </row>
    <row r="2445" ht="14.25" customHeight="1">
      <c r="A2445" s="6" t="str">
        <f t="shared" si="28"/>
        <v>2023Pierson2</v>
      </c>
      <c r="B2445" s="59">
        <v>2023.0</v>
      </c>
      <c r="C2445" s="13" t="s">
        <v>92</v>
      </c>
      <c r="D2445" s="13" t="s">
        <v>131</v>
      </c>
      <c r="E2445" s="34"/>
      <c r="F2445" s="6"/>
      <c r="H2445" s="6"/>
      <c r="I2445" s="35" t="str">
        <f>IFERROR(IFERROR(IFERROR(VLOOKUP(B2445&amp;C2445&amp;Q2445,'New Weekly Paste'!A:M,10,0),VLOOKUP(B2445&amp;C2445&amp;Q2445,'New Weekly Paste'!B:O,6,0)),""),"")</f>
        <v>Rooney/Jackson</v>
      </c>
      <c r="J2445" s="259">
        <f>IFERROR(IFERROR(VLOOKUP(B2445&amp;C2445&amp;Q2445,'New Weekly Paste'!A:M,8,0),VLOOKUP(B2445&amp;C2445&amp;Q2445,'New Weekly Paste'!B:O,10,0)),0)</f>
        <v>97.52</v>
      </c>
      <c r="K2445" s="259">
        <f>IFERROR(IFERROR(VLOOKUP(B2445&amp;I2445&amp;Q2445,'New Weekly Paste'!A:M,8,0),VLOOKUP(B2445&amp;I2445&amp;Q2445,'New Weekly Paste'!B:O,10,0)),0)</f>
        <v>129.18</v>
      </c>
      <c r="L2445" s="239">
        <f t="shared" si="25"/>
        <v>0</v>
      </c>
      <c r="M2445" s="36" t="str">
        <f t="shared" si="3"/>
        <v>Regular Season</v>
      </c>
      <c r="N2445" s="239" t="str">
        <f t="shared" si="26"/>
        <v>Rooney/Jackson</v>
      </c>
      <c r="O2445" s="6">
        <f>VLOOKUP(D2445,'Mapped Opponent'!$G$4:$H$22,2,0)</f>
        <v>2</v>
      </c>
      <c r="P2445" s="6"/>
      <c r="Q2445" s="6" t="str">
        <f t="shared" si="4"/>
        <v>Week 2</v>
      </c>
      <c r="R2445" s="6" t="str">
        <f t="shared" si="5"/>
        <v>2023Week 2</v>
      </c>
      <c r="S2445" s="6">
        <f>IFERROR(__xludf.DUMMYFUNCTION("rank(J2445,FILTER(J:J,R:R=R2445))"),4.0)</f>
        <v>4</v>
      </c>
      <c r="T2445" s="6">
        <f t="shared" si="6"/>
        <v>8</v>
      </c>
      <c r="U2445" s="6">
        <f t="shared" si="7"/>
        <v>4</v>
      </c>
      <c r="V2445" s="42">
        <f>averageif(AllData!A:A,B2445,AllData!R:R)/vlookup(B2445,AllData!A:O,15,0)</f>
        <v>93.35904762</v>
      </c>
      <c r="W2445" s="6"/>
    </row>
    <row r="2446" ht="14.25" customHeight="1">
      <c r="A2446" s="6" t="str">
        <f t="shared" si="28"/>
        <v>2023Cock2</v>
      </c>
      <c r="B2446" s="59">
        <v>2023.0</v>
      </c>
      <c r="C2446" s="13" t="s">
        <v>72</v>
      </c>
      <c r="D2446" s="13" t="s">
        <v>131</v>
      </c>
      <c r="E2446" s="34"/>
      <c r="F2446" s="6"/>
      <c r="H2446" s="6"/>
      <c r="I2446" s="35" t="str">
        <f>IFERROR(IFERROR(IFERROR(VLOOKUP(B2446&amp;C2446&amp;Q2446,'New Weekly Paste'!A:M,10,0),VLOOKUP(B2446&amp;C2446&amp;Q2446,'New Weekly Paste'!B:O,6,0)),""),"")</f>
        <v>Shep</v>
      </c>
      <c r="J2446" s="259">
        <f>IFERROR(IFERROR(VLOOKUP(B2446&amp;C2446&amp;Q2446,'New Weekly Paste'!A:M,8,0),VLOOKUP(B2446&amp;C2446&amp;Q2446,'New Weekly Paste'!B:O,10,0)),0)</f>
        <v>67.5</v>
      </c>
      <c r="K2446" s="259">
        <f>IFERROR(IFERROR(VLOOKUP(B2446&amp;I2446&amp;Q2446,'New Weekly Paste'!A:M,8,0),VLOOKUP(B2446&amp;I2446&amp;Q2446,'New Weekly Paste'!B:O,10,0)),0)</f>
        <v>86.34</v>
      </c>
      <c r="L2446" s="239">
        <f t="shared" si="25"/>
        <v>0</v>
      </c>
      <c r="M2446" s="36" t="str">
        <f t="shared" si="3"/>
        <v>Regular Season</v>
      </c>
      <c r="N2446" s="239" t="str">
        <f t="shared" si="26"/>
        <v>Shep</v>
      </c>
      <c r="O2446" s="6">
        <f>VLOOKUP(D2446,'Mapped Opponent'!$G$4:$H$22,2,0)</f>
        <v>2</v>
      </c>
      <c r="P2446" s="6"/>
      <c r="Q2446" s="6" t="str">
        <f t="shared" si="4"/>
        <v>Week 2</v>
      </c>
      <c r="R2446" s="6" t="str">
        <f t="shared" si="5"/>
        <v>2023Week 2</v>
      </c>
      <c r="S2446" s="6">
        <f>IFERROR(__xludf.DUMMYFUNCTION("rank(J2446,FILTER(J:J,R:R=R2446))"),11.0)</f>
        <v>11</v>
      </c>
      <c r="T2446" s="6">
        <f t="shared" si="6"/>
        <v>1</v>
      </c>
      <c r="U2446" s="6">
        <f t="shared" si="7"/>
        <v>11</v>
      </c>
      <c r="V2446" s="42">
        <f>averageif(AllData!A:A,B2446,AllData!R:R)/vlookup(B2446,AllData!A:O,15,0)</f>
        <v>93.35904762</v>
      </c>
      <c r="W2446" s="6"/>
    </row>
    <row r="2447" ht="14.25" customHeight="1">
      <c r="A2447" s="6" t="str">
        <f t="shared" si="28"/>
        <v>2023Tayski2</v>
      </c>
      <c r="B2447" s="59">
        <v>2023.0</v>
      </c>
      <c r="C2447" s="13" t="s">
        <v>52</v>
      </c>
      <c r="D2447" s="13" t="s">
        <v>131</v>
      </c>
      <c r="E2447" s="34"/>
      <c r="F2447" s="6"/>
      <c r="H2447" s="6"/>
      <c r="I2447" s="35" t="str">
        <f>IFERROR(IFERROR(IFERROR(VLOOKUP(B2447&amp;C2447&amp;Q2447,'New Weekly Paste'!A:M,10,0),VLOOKUP(B2447&amp;C2447&amp;Q2447,'New Weekly Paste'!B:O,6,0)),""),"")</f>
        <v>Buser</v>
      </c>
      <c r="J2447" s="259">
        <f>IFERROR(IFERROR(VLOOKUP(B2447&amp;C2447&amp;Q2447,'New Weekly Paste'!A:M,8,0),VLOOKUP(B2447&amp;C2447&amp;Q2447,'New Weekly Paste'!B:O,10,0)),0)</f>
        <v>67.44</v>
      </c>
      <c r="K2447" s="259">
        <f>IFERROR(IFERROR(VLOOKUP(B2447&amp;I2447&amp;Q2447,'New Weekly Paste'!A:M,8,0),VLOOKUP(B2447&amp;I2447&amp;Q2447,'New Weekly Paste'!B:O,10,0)),0)</f>
        <v>95.98</v>
      </c>
      <c r="L2447" s="239">
        <f t="shared" si="25"/>
        <v>0</v>
      </c>
      <c r="M2447" s="36" t="str">
        <f t="shared" si="3"/>
        <v>Regular Season</v>
      </c>
      <c r="N2447" s="239" t="str">
        <f t="shared" si="26"/>
        <v>Buser</v>
      </c>
      <c r="O2447" s="6">
        <f>VLOOKUP(D2447,'Mapped Opponent'!$G$4:$H$22,2,0)</f>
        <v>2</v>
      </c>
      <c r="P2447" s="6"/>
      <c r="Q2447" s="6" t="str">
        <f t="shared" si="4"/>
        <v>Week 2</v>
      </c>
      <c r="R2447" s="6" t="str">
        <f t="shared" si="5"/>
        <v>2023Week 2</v>
      </c>
      <c r="S2447" s="6">
        <f>IFERROR(__xludf.DUMMYFUNCTION("rank(J2447,FILTER(J:J,R:R=R2447))"),12.0)</f>
        <v>12</v>
      </c>
      <c r="T2447" s="6">
        <f t="shared" si="6"/>
        <v>0</v>
      </c>
      <c r="U2447" s="6">
        <f t="shared" si="7"/>
        <v>12</v>
      </c>
      <c r="V2447" s="42">
        <f>averageif(AllData!A:A,B2447,AllData!R:R)/vlookup(B2447,AllData!A:O,15,0)</f>
        <v>93.35904762</v>
      </c>
      <c r="W2447" s="6"/>
    </row>
    <row r="2448" ht="14.25" customHeight="1">
      <c r="A2448" s="6" t="str">
        <f t="shared" si="28"/>
        <v>2023KnardDawg2</v>
      </c>
      <c r="B2448" s="59">
        <v>2023.0</v>
      </c>
      <c r="C2448" s="13" t="s">
        <v>86</v>
      </c>
      <c r="D2448" s="13" t="s">
        <v>131</v>
      </c>
      <c r="E2448" s="34"/>
      <c r="F2448" s="6"/>
      <c r="H2448" s="6"/>
      <c r="I2448" s="35" t="str">
        <f>IFERROR(IFERROR(IFERROR(VLOOKUP(B2448&amp;C2448&amp;Q2448,'New Weekly Paste'!A:M,10,0),VLOOKUP(B2448&amp;C2448&amp;Q2448,'New Weekly Paste'!B:O,6,0)),""),"")</f>
        <v>Ewert</v>
      </c>
      <c r="J2448" s="259">
        <f>IFERROR(IFERROR(VLOOKUP(B2448&amp;C2448&amp;Q2448,'New Weekly Paste'!A:M,8,0),VLOOKUP(B2448&amp;C2448&amp;Q2448,'New Weekly Paste'!B:O,10,0)),0)</f>
        <v>90.84</v>
      </c>
      <c r="K2448" s="259">
        <f>IFERROR(IFERROR(VLOOKUP(B2448&amp;I2448&amp;Q2448,'New Weekly Paste'!A:M,8,0),VLOOKUP(B2448&amp;I2448&amp;Q2448,'New Weekly Paste'!B:O,10,0)),0)</f>
        <v>87.14</v>
      </c>
      <c r="L2448" s="239">
        <f t="shared" si="25"/>
        <v>1</v>
      </c>
      <c r="M2448" s="36" t="str">
        <f t="shared" si="3"/>
        <v>Regular Season</v>
      </c>
      <c r="N2448" s="239" t="str">
        <f t="shared" si="26"/>
        <v>Ewert</v>
      </c>
      <c r="O2448" s="6">
        <f>VLOOKUP(D2448,'Mapped Opponent'!$G$4:$H$22,2,0)</f>
        <v>2</v>
      </c>
      <c r="P2448" s="6"/>
      <c r="Q2448" s="6" t="str">
        <f t="shared" si="4"/>
        <v>Week 2</v>
      </c>
      <c r="R2448" s="6" t="str">
        <f t="shared" si="5"/>
        <v>2023Week 2</v>
      </c>
      <c r="S2448" s="6">
        <f>IFERROR(__xludf.DUMMYFUNCTION("rank(J2448,FILTER(J:J,R:R=R2448))"),6.0)</f>
        <v>6</v>
      </c>
      <c r="T2448" s="6">
        <f t="shared" si="6"/>
        <v>6</v>
      </c>
      <c r="U2448" s="6">
        <f t="shared" si="7"/>
        <v>6</v>
      </c>
      <c r="V2448" s="42">
        <f>averageif(AllData!A:A,B2448,AllData!R:R)/vlookup(B2448,AllData!A:O,15,0)</f>
        <v>93.35904762</v>
      </c>
      <c r="W2448" s="6"/>
    </row>
    <row r="2449" ht="14.25" customHeight="1">
      <c r="A2449" s="6" t="str">
        <f t="shared" si="28"/>
        <v>2023T-How2</v>
      </c>
      <c r="B2449" s="59">
        <v>2023.0</v>
      </c>
      <c r="C2449" s="13" t="s">
        <v>82</v>
      </c>
      <c r="D2449" s="13" t="s">
        <v>131</v>
      </c>
      <c r="E2449" s="34"/>
      <c r="F2449" s="6"/>
      <c r="H2449" s="6"/>
      <c r="I2449" s="35" t="str">
        <f>IFERROR(IFERROR(IFERROR(VLOOKUP(B2449&amp;C2449&amp;Q2449,'New Weekly Paste'!A:M,10,0),VLOOKUP(B2449&amp;C2449&amp;Q2449,'New Weekly Paste'!B:O,6,0)),""),"")</f>
        <v>Riley</v>
      </c>
      <c r="J2449" s="259">
        <f>IFERROR(IFERROR(VLOOKUP(B2449&amp;C2449&amp;Q2449,'New Weekly Paste'!A:M,8,0),VLOOKUP(B2449&amp;C2449&amp;Q2449,'New Weekly Paste'!B:O,10,0)),0)</f>
        <v>104.7</v>
      </c>
      <c r="K2449" s="259">
        <f>IFERROR(IFERROR(VLOOKUP(B2449&amp;I2449&amp;Q2449,'New Weekly Paste'!A:M,8,0),VLOOKUP(B2449&amp;I2449&amp;Q2449,'New Weekly Paste'!B:O,10,0)),0)</f>
        <v>79.8</v>
      </c>
      <c r="L2449" s="239">
        <f t="shared" si="25"/>
        <v>1</v>
      </c>
      <c r="M2449" s="36" t="str">
        <f t="shared" si="3"/>
        <v>Regular Season</v>
      </c>
      <c r="N2449" s="239" t="str">
        <f t="shared" si="26"/>
        <v>Riley</v>
      </c>
      <c r="O2449" s="6">
        <f>VLOOKUP(D2449,'Mapped Opponent'!$G$4:$H$22,2,0)</f>
        <v>2</v>
      </c>
      <c r="P2449" s="6"/>
      <c r="Q2449" s="6" t="str">
        <f t="shared" si="4"/>
        <v>Week 2</v>
      </c>
      <c r="R2449" s="6" t="str">
        <f t="shared" si="5"/>
        <v>2023Week 2</v>
      </c>
      <c r="S2449" s="6">
        <f>IFERROR(__xludf.DUMMYFUNCTION("rank(J2449,FILTER(J:J,R:R=R2449))"),3.0)</f>
        <v>3</v>
      </c>
      <c r="T2449" s="6">
        <f t="shared" si="6"/>
        <v>9</v>
      </c>
      <c r="U2449" s="6">
        <f t="shared" si="7"/>
        <v>3</v>
      </c>
      <c r="V2449" s="42">
        <f>averageif(AllData!A:A,B2449,AllData!R:R)/vlookup(B2449,AllData!A:O,15,0)</f>
        <v>93.35904762</v>
      </c>
      <c r="W2449" s="6"/>
    </row>
    <row r="2450" ht="14.25" customHeight="1">
      <c r="A2450" s="6" t="str">
        <f t="shared" si="28"/>
        <v>2023Hudspeath3</v>
      </c>
      <c r="B2450" s="59">
        <v>2023.0</v>
      </c>
      <c r="C2450" s="13" t="s">
        <v>39</v>
      </c>
      <c r="D2450" s="13" t="s">
        <v>135</v>
      </c>
      <c r="E2450" s="34"/>
      <c r="F2450" s="6"/>
      <c r="H2450" s="6"/>
      <c r="I2450" s="35" t="str">
        <f>IFERROR(IFERROR(IFERROR(VLOOKUP(B2450&amp;C2450&amp;Q2450,'New Weekly Paste'!A:M,10,0),VLOOKUP(B2450&amp;C2450&amp;Q2450,'New Weekly Paste'!B:O,6,0)),""),"")</f>
        <v>T-How</v>
      </c>
      <c r="J2450" s="259">
        <f>IFERROR(IFERROR(VLOOKUP(B2450&amp;C2450&amp;Q2450,'New Weekly Paste'!A:M,8,0),VLOOKUP(B2450&amp;C2450&amp;Q2450,'New Weekly Paste'!B:O,10,0)),0)</f>
        <v>97.76</v>
      </c>
      <c r="K2450" s="259">
        <f>IFERROR(IFERROR(VLOOKUP(B2450&amp;I2450&amp;Q2450,'New Weekly Paste'!A:M,8,0),VLOOKUP(B2450&amp;I2450&amp;Q2450,'New Weekly Paste'!B:O,10,0)),0)</f>
        <v>106.3</v>
      </c>
      <c r="L2450" s="239">
        <f t="shared" si="25"/>
        <v>0</v>
      </c>
      <c r="M2450" s="36" t="str">
        <f t="shared" si="3"/>
        <v>Regular Season</v>
      </c>
      <c r="N2450" s="239" t="str">
        <f t="shared" si="26"/>
        <v>T-How</v>
      </c>
      <c r="O2450" s="6">
        <f>VLOOKUP(D2450,'Mapped Opponent'!$G$4:$H$22,2,0)</f>
        <v>3</v>
      </c>
      <c r="P2450" s="6"/>
      <c r="Q2450" s="6" t="str">
        <f t="shared" si="4"/>
        <v>Week 3</v>
      </c>
      <c r="R2450" s="6" t="str">
        <f t="shared" si="5"/>
        <v>2023Week 3</v>
      </c>
      <c r="S2450" s="6">
        <f>IFERROR(__xludf.DUMMYFUNCTION("rank(J2450,FILTER(J:J,R:R=R2450))"),8.0)</f>
        <v>8</v>
      </c>
      <c r="T2450" s="6">
        <f t="shared" si="6"/>
        <v>4</v>
      </c>
      <c r="U2450" s="6">
        <f t="shared" si="7"/>
        <v>8</v>
      </c>
      <c r="V2450" s="42">
        <f>averageif(AllData!A:A,B2450,AllData!R:R)/vlookup(B2450,AllData!A:O,15,0)</f>
        <v>93.35904762</v>
      </c>
      <c r="W2450" s="6"/>
    </row>
    <row r="2451" ht="14.25" customHeight="1">
      <c r="A2451" s="6" t="str">
        <f t="shared" si="28"/>
        <v>2023Salty3</v>
      </c>
      <c r="B2451" s="59">
        <v>2023.0</v>
      </c>
      <c r="C2451" s="13" t="s">
        <v>76</v>
      </c>
      <c r="D2451" s="13" t="s">
        <v>135</v>
      </c>
      <c r="E2451" s="34"/>
      <c r="F2451" s="6"/>
      <c r="H2451" s="6"/>
      <c r="I2451" s="35" t="str">
        <f>IFERROR(IFERROR(IFERROR(VLOOKUP(B2451&amp;C2451&amp;Q2451,'New Weekly Paste'!A:M,10,0),VLOOKUP(B2451&amp;C2451&amp;Q2451,'New Weekly Paste'!B:O,6,0)),""),"")</f>
        <v>Tayski</v>
      </c>
      <c r="J2451" s="259">
        <f>IFERROR(IFERROR(VLOOKUP(B2451&amp;C2451&amp;Q2451,'New Weekly Paste'!A:M,8,0),VLOOKUP(B2451&amp;C2451&amp;Q2451,'New Weekly Paste'!B:O,10,0)),0)</f>
        <v>112.12</v>
      </c>
      <c r="K2451" s="259">
        <f>IFERROR(IFERROR(VLOOKUP(B2451&amp;I2451&amp;Q2451,'New Weekly Paste'!A:M,8,0),VLOOKUP(B2451&amp;I2451&amp;Q2451,'New Weekly Paste'!B:O,10,0)),0)</f>
        <v>86.66</v>
      </c>
      <c r="L2451" s="239">
        <f t="shared" si="25"/>
        <v>1</v>
      </c>
      <c r="M2451" s="36" t="str">
        <f t="shared" si="3"/>
        <v>Regular Season</v>
      </c>
      <c r="N2451" s="239" t="str">
        <f t="shared" si="26"/>
        <v>Tayski</v>
      </c>
      <c r="O2451" s="6">
        <f>VLOOKUP(D2451,'Mapped Opponent'!$G$4:$H$22,2,0)</f>
        <v>3</v>
      </c>
      <c r="P2451" s="6"/>
      <c r="Q2451" s="6" t="str">
        <f t="shared" si="4"/>
        <v>Week 3</v>
      </c>
      <c r="R2451" s="6" t="str">
        <f t="shared" si="5"/>
        <v>2023Week 3</v>
      </c>
      <c r="S2451" s="6">
        <f>IFERROR(__xludf.DUMMYFUNCTION("rank(J2451,FILTER(J:J,R:R=R2451))"),4.0)</f>
        <v>4</v>
      </c>
      <c r="T2451" s="6">
        <f t="shared" si="6"/>
        <v>8</v>
      </c>
      <c r="U2451" s="6">
        <f t="shared" si="7"/>
        <v>4</v>
      </c>
      <c r="V2451" s="42">
        <f>averageif(AllData!A:A,B2451,AllData!R:R)/vlookup(B2451,AllData!A:O,15,0)</f>
        <v>93.35904762</v>
      </c>
      <c r="W2451" s="6"/>
    </row>
    <row r="2452" ht="14.25" customHeight="1">
      <c r="A2452" s="6" t="str">
        <f t="shared" si="28"/>
        <v>2023Ewert3</v>
      </c>
      <c r="B2452" s="59">
        <v>2023.0</v>
      </c>
      <c r="C2452" s="13" t="s">
        <v>108</v>
      </c>
      <c r="D2452" s="13" t="s">
        <v>135</v>
      </c>
      <c r="E2452" s="34"/>
      <c r="F2452" s="6"/>
      <c r="H2452" s="6"/>
      <c r="I2452" s="35" t="str">
        <f>IFERROR(IFERROR(IFERROR(VLOOKUP(B2452&amp;C2452&amp;Q2452,'New Weekly Paste'!A:M,10,0),VLOOKUP(B2452&amp;C2452&amp;Q2452,'New Weekly Paste'!B:O,6,0)),""),"")</f>
        <v>Riley</v>
      </c>
      <c r="J2452" s="259">
        <f>IFERROR(IFERROR(VLOOKUP(B2452&amp;C2452&amp;Q2452,'New Weekly Paste'!A:M,8,0),VLOOKUP(B2452&amp;C2452&amp;Q2452,'New Weekly Paste'!B:O,10,0)),0)</f>
        <v>77.96</v>
      </c>
      <c r="K2452" s="259">
        <f>IFERROR(IFERROR(VLOOKUP(B2452&amp;I2452&amp;Q2452,'New Weekly Paste'!A:M,8,0),VLOOKUP(B2452&amp;I2452&amp;Q2452,'New Weekly Paste'!B:O,10,0)),0)</f>
        <v>112.54</v>
      </c>
      <c r="L2452" s="239">
        <f t="shared" si="25"/>
        <v>0</v>
      </c>
      <c r="M2452" s="36" t="str">
        <f t="shared" si="3"/>
        <v>Regular Season</v>
      </c>
      <c r="N2452" s="239" t="str">
        <f t="shared" si="26"/>
        <v>Riley</v>
      </c>
      <c r="O2452" s="6">
        <f>VLOOKUP(D2452,'Mapped Opponent'!$G$4:$H$22,2,0)</f>
        <v>3</v>
      </c>
      <c r="P2452" s="6"/>
      <c r="Q2452" s="6" t="str">
        <f t="shared" si="4"/>
        <v>Week 3</v>
      </c>
      <c r="R2452" s="6" t="str">
        <f t="shared" si="5"/>
        <v>2023Week 3</v>
      </c>
      <c r="S2452" s="6">
        <f>IFERROR(__xludf.DUMMYFUNCTION("rank(J2452,FILTER(J:J,R:R=R2452))"),12.0)</f>
        <v>12</v>
      </c>
      <c r="T2452" s="6">
        <f t="shared" si="6"/>
        <v>0</v>
      </c>
      <c r="U2452" s="6">
        <f t="shared" si="7"/>
        <v>12</v>
      </c>
      <c r="V2452" s="42">
        <f>averageif(AllData!A:A,B2452,AllData!R:R)/vlookup(B2452,AllData!A:O,15,0)</f>
        <v>93.35904762</v>
      </c>
      <c r="W2452" s="6"/>
    </row>
    <row r="2453" ht="14.25" customHeight="1">
      <c r="A2453" s="6" t="str">
        <f t="shared" si="28"/>
        <v>2023Shep3</v>
      </c>
      <c r="B2453" s="59">
        <v>2023.0</v>
      </c>
      <c r="C2453" s="13" t="s">
        <v>89</v>
      </c>
      <c r="D2453" s="13" t="s">
        <v>135</v>
      </c>
      <c r="E2453" s="34"/>
      <c r="F2453" s="6"/>
      <c r="H2453" s="6"/>
      <c r="I2453" s="35" t="str">
        <f>IFERROR(IFERROR(IFERROR(VLOOKUP(B2453&amp;C2453&amp;Q2453,'New Weekly Paste'!A:M,10,0),VLOOKUP(B2453&amp;C2453&amp;Q2453,'New Weekly Paste'!B:O,6,0)),""),"")</f>
        <v>Pierson</v>
      </c>
      <c r="J2453" s="259">
        <f>IFERROR(IFERROR(VLOOKUP(B2453&amp;C2453&amp;Q2453,'New Weekly Paste'!A:M,8,0),VLOOKUP(B2453&amp;C2453&amp;Q2453,'New Weekly Paste'!B:O,10,0)),0)</f>
        <v>104.82</v>
      </c>
      <c r="K2453" s="259">
        <f>IFERROR(IFERROR(VLOOKUP(B2453&amp;I2453&amp;Q2453,'New Weekly Paste'!A:M,8,0),VLOOKUP(B2453&amp;I2453&amp;Q2453,'New Weekly Paste'!B:O,10,0)),0)</f>
        <v>112.88</v>
      </c>
      <c r="L2453" s="239">
        <f t="shared" si="25"/>
        <v>0</v>
      </c>
      <c r="M2453" s="36" t="str">
        <f t="shared" si="3"/>
        <v>Regular Season</v>
      </c>
      <c r="N2453" s="239" t="str">
        <f t="shared" si="26"/>
        <v>Pierson</v>
      </c>
      <c r="O2453" s="6">
        <f>VLOOKUP(D2453,'Mapped Opponent'!$G$4:$H$22,2,0)</f>
        <v>3</v>
      </c>
      <c r="P2453" s="6"/>
      <c r="Q2453" s="6" t="str">
        <f t="shared" si="4"/>
        <v>Week 3</v>
      </c>
      <c r="R2453" s="6" t="str">
        <f t="shared" si="5"/>
        <v>2023Week 3</v>
      </c>
      <c r="S2453" s="6">
        <f>IFERROR(__xludf.DUMMYFUNCTION("rank(J2453,FILTER(J:J,R:R=R2453))"),7.0)</f>
        <v>7</v>
      </c>
      <c r="T2453" s="6">
        <f t="shared" si="6"/>
        <v>5</v>
      </c>
      <c r="U2453" s="6">
        <f t="shared" si="7"/>
        <v>7</v>
      </c>
      <c r="V2453" s="42">
        <f>averageif(AllData!A:A,B2453,AllData!R:R)/vlookup(B2453,AllData!A:O,15,0)</f>
        <v>93.35904762</v>
      </c>
      <c r="W2453" s="6"/>
    </row>
    <row r="2454" ht="14.25" customHeight="1">
      <c r="A2454" s="6" t="str">
        <f t="shared" si="28"/>
        <v>2023Riley3</v>
      </c>
      <c r="B2454" s="59">
        <v>2023.0</v>
      </c>
      <c r="C2454" s="13" t="s">
        <v>67</v>
      </c>
      <c r="D2454" s="13" t="s">
        <v>135</v>
      </c>
      <c r="E2454" s="34"/>
      <c r="F2454" s="6"/>
      <c r="H2454" s="6"/>
      <c r="I2454" s="35" t="str">
        <f>IFERROR(IFERROR(IFERROR(VLOOKUP(B2454&amp;C2454&amp;Q2454,'New Weekly Paste'!A:M,10,0),VLOOKUP(B2454&amp;C2454&amp;Q2454,'New Weekly Paste'!B:O,6,0)),""),"")</f>
        <v>Ewert</v>
      </c>
      <c r="J2454" s="259">
        <f>IFERROR(IFERROR(VLOOKUP(B2454&amp;C2454&amp;Q2454,'New Weekly Paste'!A:M,8,0),VLOOKUP(B2454&amp;C2454&amp;Q2454,'New Weekly Paste'!B:O,10,0)),0)</f>
        <v>112.54</v>
      </c>
      <c r="K2454" s="259">
        <f>IFERROR(IFERROR(VLOOKUP(B2454&amp;I2454&amp;Q2454,'New Weekly Paste'!A:M,8,0),VLOOKUP(B2454&amp;I2454&amp;Q2454,'New Weekly Paste'!B:O,10,0)),0)</f>
        <v>77.96</v>
      </c>
      <c r="L2454" s="239">
        <f t="shared" si="25"/>
        <v>1</v>
      </c>
      <c r="M2454" s="36" t="str">
        <f t="shared" si="3"/>
        <v>Regular Season</v>
      </c>
      <c r="N2454" s="239" t="str">
        <f t="shared" si="26"/>
        <v>Ewert</v>
      </c>
      <c r="O2454" s="6">
        <f>VLOOKUP(D2454,'Mapped Opponent'!$G$4:$H$22,2,0)</f>
        <v>3</v>
      </c>
      <c r="P2454" s="6"/>
      <c r="Q2454" s="6" t="str">
        <f t="shared" si="4"/>
        <v>Week 3</v>
      </c>
      <c r="R2454" s="6" t="str">
        <f t="shared" si="5"/>
        <v>2023Week 3</v>
      </c>
      <c r="S2454" s="6">
        <f>IFERROR(__xludf.DUMMYFUNCTION("rank(J2454,FILTER(J:J,R:R=R2454))"),3.0)</f>
        <v>3</v>
      </c>
      <c r="T2454" s="6">
        <f t="shared" si="6"/>
        <v>9</v>
      </c>
      <c r="U2454" s="6">
        <f t="shared" si="7"/>
        <v>3</v>
      </c>
      <c r="V2454" s="42">
        <f>averageif(AllData!A:A,B2454,AllData!R:R)/vlookup(B2454,AllData!A:O,15,0)</f>
        <v>93.35904762</v>
      </c>
      <c r="W2454" s="6"/>
    </row>
    <row r="2455" ht="14.25" customHeight="1">
      <c r="A2455" s="6" t="str">
        <f t="shared" si="28"/>
        <v>2023Rooney/Jackson3</v>
      </c>
      <c r="B2455" s="59">
        <v>2023.0</v>
      </c>
      <c r="C2455" s="13" t="s">
        <v>57</v>
      </c>
      <c r="D2455" s="13" t="s">
        <v>135</v>
      </c>
      <c r="E2455" s="34"/>
      <c r="F2455" s="6"/>
      <c r="H2455" s="6"/>
      <c r="I2455" s="35" t="str">
        <f>IFERROR(IFERROR(IFERROR(VLOOKUP(B2455&amp;C2455&amp;Q2455,'New Weekly Paste'!A:M,10,0),VLOOKUP(B2455&amp;C2455&amp;Q2455,'New Weekly Paste'!B:O,6,0)),""),"")</f>
        <v>Buser</v>
      </c>
      <c r="J2455" s="259">
        <f>IFERROR(IFERROR(VLOOKUP(B2455&amp;C2455&amp;Q2455,'New Weekly Paste'!A:M,8,0),VLOOKUP(B2455&amp;C2455&amp;Q2455,'New Weekly Paste'!B:O,10,0)),0)</f>
        <v>131.48</v>
      </c>
      <c r="K2455" s="259">
        <f>IFERROR(IFERROR(VLOOKUP(B2455&amp;I2455&amp;Q2455,'New Weekly Paste'!A:M,8,0),VLOOKUP(B2455&amp;I2455&amp;Q2455,'New Weekly Paste'!B:O,10,0)),0)</f>
        <v>108.56</v>
      </c>
      <c r="L2455" s="239">
        <f t="shared" si="25"/>
        <v>1</v>
      </c>
      <c r="M2455" s="36" t="str">
        <f t="shared" si="3"/>
        <v>Regular Season</v>
      </c>
      <c r="N2455" s="239" t="str">
        <f t="shared" si="26"/>
        <v>Buser</v>
      </c>
      <c r="O2455" s="6">
        <f>VLOOKUP(D2455,'Mapped Opponent'!$G$4:$H$22,2,0)</f>
        <v>3</v>
      </c>
      <c r="P2455" s="6"/>
      <c r="Q2455" s="6" t="str">
        <f t="shared" si="4"/>
        <v>Week 3</v>
      </c>
      <c r="R2455" s="6" t="str">
        <f t="shared" si="5"/>
        <v>2023Week 3</v>
      </c>
      <c r="S2455" s="6">
        <f>IFERROR(__xludf.DUMMYFUNCTION("rank(J2455,FILTER(J:J,R:R=R2455))"),1.0)</f>
        <v>1</v>
      </c>
      <c r="T2455" s="6">
        <f t="shared" si="6"/>
        <v>11</v>
      </c>
      <c r="U2455" s="6">
        <f t="shared" si="7"/>
        <v>1</v>
      </c>
      <c r="V2455" s="42">
        <f>averageif(AllData!A:A,B2455,AllData!R:R)/vlookup(B2455,AllData!A:O,15,0)</f>
        <v>93.35904762</v>
      </c>
      <c r="W2455" s="6"/>
    </row>
    <row r="2456" ht="14.25" customHeight="1">
      <c r="A2456" s="6" t="str">
        <f t="shared" si="28"/>
        <v>2023Buser3</v>
      </c>
      <c r="B2456" s="59">
        <v>2023.0</v>
      </c>
      <c r="C2456" s="13" t="s">
        <v>47</v>
      </c>
      <c r="D2456" s="13" t="s">
        <v>135</v>
      </c>
      <c r="E2456" s="34"/>
      <c r="F2456" s="6"/>
      <c r="H2456" s="6"/>
      <c r="I2456" s="35" t="str">
        <f>IFERROR(IFERROR(IFERROR(VLOOKUP(B2456&amp;C2456&amp;Q2456,'New Weekly Paste'!A:M,10,0),VLOOKUP(B2456&amp;C2456&amp;Q2456,'New Weekly Paste'!B:O,6,0)),""),"")</f>
        <v>Rooney/Jackson</v>
      </c>
      <c r="J2456" s="259">
        <f>IFERROR(IFERROR(VLOOKUP(B2456&amp;C2456&amp;Q2456,'New Weekly Paste'!A:M,8,0),VLOOKUP(B2456&amp;C2456&amp;Q2456,'New Weekly Paste'!B:O,10,0)),0)</f>
        <v>108.56</v>
      </c>
      <c r="K2456" s="259">
        <f>IFERROR(IFERROR(VLOOKUP(B2456&amp;I2456&amp;Q2456,'New Weekly Paste'!A:M,8,0),VLOOKUP(B2456&amp;I2456&amp;Q2456,'New Weekly Paste'!B:O,10,0)),0)</f>
        <v>131.48</v>
      </c>
      <c r="L2456" s="239">
        <f t="shared" si="25"/>
        <v>0</v>
      </c>
      <c r="M2456" s="36" t="str">
        <f t="shared" si="3"/>
        <v>Regular Season</v>
      </c>
      <c r="N2456" s="239" t="str">
        <f t="shared" si="26"/>
        <v>Rooney/Jackson</v>
      </c>
      <c r="O2456" s="6">
        <f>VLOOKUP(D2456,'Mapped Opponent'!$G$4:$H$22,2,0)</f>
        <v>3</v>
      </c>
      <c r="P2456" s="6"/>
      <c r="Q2456" s="6" t="str">
        <f t="shared" si="4"/>
        <v>Week 3</v>
      </c>
      <c r="R2456" s="6" t="str">
        <f t="shared" si="5"/>
        <v>2023Week 3</v>
      </c>
      <c r="S2456" s="6">
        <f>IFERROR(__xludf.DUMMYFUNCTION("rank(J2456,FILTER(J:J,R:R=R2456))"),5.0)</f>
        <v>5</v>
      </c>
      <c r="T2456" s="6">
        <f t="shared" si="6"/>
        <v>7</v>
      </c>
      <c r="U2456" s="6">
        <f t="shared" si="7"/>
        <v>5</v>
      </c>
      <c r="V2456" s="42">
        <f>averageif(AllData!A:A,B2456,AllData!R:R)/vlookup(B2456,AllData!A:O,15,0)</f>
        <v>93.35904762</v>
      </c>
      <c r="W2456" s="6"/>
    </row>
    <row r="2457" ht="14.25" customHeight="1">
      <c r="A2457" s="6" t="str">
        <f t="shared" si="28"/>
        <v>2023Pierson3</v>
      </c>
      <c r="B2457" s="59">
        <v>2023.0</v>
      </c>
      <c r="C2457" s="13" t="s">
        <v>92</v>
      </c>
      <c r="D2457" s="13" t="s">
        <v>135</v>
      </c>
      <c r="E2457" s="34"/>
      <c r="F2457" s="6"/>
      <c r="H2457" s="6"/>
      <c r="I2457" s="35" t="str">
        <f>IFERROR(IFERROR(IFERROR(VLOOKUP(B2457&amp;C2457&amp;Q2457,'New Weekly Paste'!A:M,10,0),VLOOKUP(B2457&amp;C2457&amp;Q2457,'New Weekly Paste'!B:O,6,0)),""),"")</f>
        <v>Shep</v>
      </c>
      <c r="J2457" s="259">
        <f>IFERROR(IFERROR(VLOOKUP(B2457&amp;C2457&amp;Q2457,'New Weekly Paste'!A:M,8,0),VLOOKUP(B2457&amp;C2457&amp;Q2457,'New Weekly Paste'!B:O,10,0)),0)</f>
        <v>112.88</v>
      </c>
      <c r="K2457" s="259">
        <f>IFERROR(IFERROR(VLOOKUP(B2457&amp;I2457&amp;Q2457,'New Weekly Paste'!A:M,8,0),VLOOKUP(B2457&amp;I2457&amp;Q2457,'New Weekly Paste'!B:O,10,0)),0)</f>
        <v>104.82</v>
      </c>
      <c r="L2457" s="239">
        <f t="shared" si="25"/>
        <v>1</v>
      </c>
      <c r="M2457" s="36" t="str">
        <f t="shared" si="3"/>
        <v>Regular Season</v>
      </c>
      <c r="N2457" s="239" t="str">
        <f t="shared" si="26"/>
        <v>Shep</v>
      </c>
      <c r="O2457" s="6">
        <f>VLOOKUP(D2457,'Mapped Opponent'!$G$4:$H$22,2,0)</f>
        <v>3</v>
      </c>
      <c r="P2457" s="6"/>
      <c r="Q2457" s="6" t="str">
        <f t="shared" si="4"/>
        <v>Week 3</v>
      </c>
      <c r="R2457" s="6" t="str">
        <f t="shared" si="5"/>
        <v>2023Week 3</v>
      </c>
      <c r="S2457" s="6">
        <f>IFERROR(__xludf.DUMMYFUNCTION("rank(J2457,FILTER(J:J,R:R=R2457))"),2.0)</f>
        <v>2</v>
      </c>
      <c r="T2457" s="6">
        <f t="shared" si="6"/>
        <v>10</v>
      </c>
      <c r="U2457" s="6">
        <f t="shared" si="7"/>
        <v>2</v>
      </c>
      <c r="V2457" s="42">
        <f>averageif(AllData!A:A,B2457,AllData!R:R)/vlookup(B2457,AllData!A:O,15,0)</f>
        <v>93.35904762</v>
      </c>
      <c r="W2457" s="6"/>
    </row>
    <row r="2458" ht="14.25" customHeight="1">
      <c r="A2458" s="6" t="str">
        <f t="shared" si="28"/>
        <v>2023Cock3</v>
      </c>
      <c r="B2458" s="59">
        <v>2023.0</v>
      </c>
      <c r="C2458" s="13" t="s">
        <v>72</v>
      </c>
      <c r="D2458" s="13" t="s">
        <v>135</v>
      </c>
      <c r="E2458" s="34"/>
      <c r="F2458" s="6"/>
      <c r="H2458" s="6"/>
      <c r="I2458" s="35" t="str">
        <f>IFERROR(IFERROR(IFERROR(VLOOKUP(B2458&amp;C2458&amp;Q2458,'New Weekly Paste'!A:M,10,0),VLOOKUP(B2458&amp;C2458&amp;Q2458,'New Weekly Paste'!B:O,6,0)),""),"")</f>
        <v>KnardDawg</v>
      </c>
      <c r="J2458" s="259">
        <f>IFERROR(IFERROR(VLOOKUP(B2458&amp;C2458&amp;Q2458,'New Weekly Paste'!A:M,8,0),VLOOKUP(B2458&amp;C2458&amp;Q2458,'New Weekly Paste'!B:O,10,0)),0)</f>
        <v>88.34</v>
      </c>
      <c r="K2458" s="259">
        <f>IFERROR(IFERROR(VLOOKUP(B2458&amp;I2458&amp;Q2458,'New Weekly Paste'!A:M,8,0),VLOOKUP(B2458&amp;I2458&amp;Q2458,'New Weekly Paste'!B:O,10,0)),0)</f>
        <v>84</v>
      </c>
      <c r="L2458" s="239">
        <f t="shared" si="25"/>
        <v>1</v>
      </c>
      <c r="M2458" s="36" t="str">
        <f t="shared" si="3"/>
        <v>Regular Season</v>
      </c>
      <c r="N2458" s="239" t="str">
        <f t="shared" si="26"/>
        <v>KnardDawg</v>
      </c>
      <c r="O2458" s="6">
        <f>VLOOKUP(D2458,'Mapped Opponent'!$G$4:$H$22,2,0)</f>
        <v>3</v>
      </c>
      <c r="P2458" s="6"/>
      <c r="Q2458" s="6" t="str">
        <f t="shared" si="4"/>
        <v>Week 3</v>
      </c>
      <c r="R2458" s="6" t="str">
        <f t="shared" si="5"/>
        <v>2023Week 3</v>
      </c>
      <c r="S2458" s="6">
        <f>IFERROR(__xludf.DUMMYFUNCTION("rank(J2458,FILTER(J:J,R:R=R2458))"),9.0)</f>
        <v>9</v>
      </c>
      <c r="T2458" s="6">
        <f t="shared" si="6"/>
        <v>3</v>
      </c>
      <c r="U2458" s="6">
        <f t="shared" si="7"/>
        <v>9</v>
      </c>
      <c r="V2458" s="42">
        <f>averageif(AllData!A:A,B2458,AllData!R:R)/vlookup(B2458,AllData!A:O,15,0)</f>
        <v>93.35904762</v>
      </c>
      <c r="W2458" s="6"/>
    </row>
    <row r="2459" ht="14.25" customHeight="1">
      <c r="A2459" s="6" t="str">
        <f t="shared" si="28"/>
        <v>2023Tayski3</v>
      </c>
      <c r="B2459" s="59">
        <v>2023.0</v>
      </c>
      <c r="C2459" s="13" t="s">
        <v>52</v>
      </c>
      <c r="D2459" s="13" t="s">
        <v>135</v>
      </c>
      <c r="E2459" s="34"/>
      <c r="F2459" s="6"/>
      <c r="H2459" s="6"/>
      <c r="I2459" s="35" t="str">
        <f>IFERROR(IFERROR(IFERROR(VLOOKUP(B2459&amp;C2459&amp;Q2459,'New Weekly Paste'!A:M,10,0),VLOOKUP(B2459&amp;C2459&amp;Q2459,'New Weekly Paste'!B:O,6,0)),""),"")</f>
        <v>Salty</v>
      </c>
      <c r="J2459" s="259">
        <f>IFERROR(IFERROR(VLOOKUP(B2459&amp;C2459&amp;Q2459,'New Weekly Paste'!A:M,8,0),VLOOKUP(B2459&amp;C2459&amp;Q2459,'New Weekly Paste'!B:O,10,0)),0)</f>
        <v>86.66</v>
      </c>
      <c r="K2459" s="259">
        <f>IFERROR(IFERROR(VLOOKUP(B2459&amp;I2459&amp;Q2459,'New Weekly Paste'!A:M,8,0),VLOOKUP(B2459&amp;I2459&amp;Q2459,'New Weekly Paste'!B:O,10,0)),0)</f>
        <v>112.12</v>
      </c>
      <c r="L2459" s="239">
        <f t="shared" si="25"/>
        <v>0</v>
      </c>
      <c r="M2459" s="36" t="str">
        <f t="shared" si="3"/>
        <v>Regular Season</v>
      </c>
      <c r="N2459" s="239" t="str">
        <f t="shared" si="26"/>
        <v>Salty</v>
      </c>
      <c r="O2459" s="6">
        <f>VLOOKUP(D2459,'Mapped Opponent'!$G$4:$H$22,2,0)</f>
        <v>3</v>
      </c>
      <c r="P2459" s="6"/>
      <c r="Q2459" s="6" t="str">
        <f t="shared" si="4"/>
        <v>Week 3</v>
      </c>
      <c r="R2459" s="6" t="str">
        <f t="shared" si="5"/>
        <v>2023Week 3</v>
      </c>
      <c r="S2459" s="6">
        <f>IFERROR(__xludf.DUMMYFUNCTION("rank(J2459,FILTER(J:J,R:R=R2459))"),10.0)</f>
        <v>10</v>
      </c>
      <c r="T2459" s="6">
        <f t="shared" si="6"/>
        <v>2</v>
      </c>
      <c r="U2459" s="6">
        <f t="shared" si="7"/>
        <v>10</v>
      </c>
      <c r="V2459" s="42">
        <f>averageif(AllData!A:A,B2459,AllData!R:R)/vlookup(B2459,AllData!A:O,15,0)</f>
        <v>93.35904762</v>
      </c>
      <c r="W2459" s="6"/>
    </row>
    <row r="2460" ht="14.25" customHeight="1">
      <c r="A2460" s="6" t="str">
        <f t="shared" si="28"/>
        <v>2023KnardDawg3</v>
      </c>
      <c r="B2460" s="59">
        <v>2023.0</v>
      </c>
      <c r="C2460" s="13" t="s">
        <v>86</v>
      </c>
      <c r="D2460" s="13" t="s">
        <v>135</v>
      </c>
      <c r="E2460" s="34"/>
      <c r="F2460" s="6"/>
      <c r="H2460" s="6"/>
      <c r="I2460" s="35" t="str">
        <f>IFERROR(IFERROR(IFERROR(VLOOKUP(B2460&amp;C2460&amp;Q2460,'New Weekly Paste'!A:M,10,0),VLOOKUP(B2460&amp;C2460&amp;Q2460,'New Weekly Paste'!B:O,6,0)),""),"")</f>
        <v>Cock</v>
      </c>
      <c r="J2460" s="259">
        <f>IFERROR(IFERROR(VLOOKUP(B2460&amp;C2460&amp;Q2460,'New Weekly Paste'!A:M,8,0),VLOOKUP(B2460&amp;C2460&amp;Q2460,'New Weekly Paste'!B:O,10,0)),0)</f>
        <v>84</v>
      </c>
      <c r="K2460" s="259">
        <f>IFERROR(IFERROR(VLOOKUP(B2460&amp;I2460&amp;Q2460,'New Weekly Paste'!A:M,8,0),VLOOKUP(B2460&amp;I2460&amp;Q2460,'New Weekly Paste'!B:O,10,0)),0)</f>
        <v>88.34</v>
      </c>
      <c r="L2460" s="239">
        <f t="shared" si="25"/>
        <v>0</v>
      </c>
      <c r="M2460" s="36" t="str">
        <f t="shared" si="3"/>
        <v>Regular Season</v>
      </c>
      <c r="N2460" s="239" t="str">
        <f t="shared" si="26"/>
        <v>Cock</v>
      </c>
      <c r="O2460" s="6">
        <f>VLOOKUP(D2460,'Mapped Opponent'!$G$4:$H$22,2,0)</f>
        <v>3</v>
      </c>
      <c r="P2460" s="6"/>
      <c r="Q2460" s="6" t="str">
        <f t="shared" si="4"/>
        <v>Week 3</v>
      </c>
      <c r="R2460" s="6" t="str">
        <f t="shared" si="5"/>
        <v>2023Week 3</v>
      </c>
      <c r="S2460" s="6">
        <f>IFERROR(__xludf.DUMMYFUNCTION("rank(J2460,FILTER(J:J,R:R=R2460))"),11.0)</f>
        <v>11</v>
      </c>
      <c r="T2460" s="6">
        <f t="shared" si="6"/>
        <v>1</v>
      </c>
      <c r="U2460" s="6">
        <f t="shared" si="7"/>
        <v>11</v>
      </c>
      <c r="V2460" s="42">
        <f>averageif(AllData!A:A,B2460,AllData!R:R)/vlookup(B2460,AllData!A:O,15,0)</f>
        <v>93.35904762</v>
      </c>
      <c r="W2460" s="6"/>
    </row>
    <row r="2461" ht="14.25" customHeight="1">
      <c r="A2461" s="6" t="str">
        <f t="shared" si="28"/>
        <v>2023T-How3</v>
      </c>
      <c r="B2461" s="59">
        <v>2023.0</v>
      </c>
      <c r="C2461" s="13" t="s">
        <v>82</v>
      </c>
      <c r="D2461" s="13" t="s">
        <v>135</v>
      </c>
      <c r="E2461" s="34"/>
      <c r="F2461" s="6"/>
      <c r="H2461" s="6"/>
      <c r="I2461" s="35" t="str">
        <f>IFERROR(IFERROR(IFERROR(VLOOKUP(B2461&amp;C2461&amp;Q2461,'New Weekly Paste'!A:M,10,0),VLOOKUP(B2461&amp;C2461&amp;Q2461,'New Weekly Paste'!B:O,6,0)),""),"")</f>
        <v>Hudspeath</v>
      </c>
      <c r="J2461" s="259">
        <f>IFERROR(IFERROR(VLOOKUP(B2461&amp;C2461&amp;Q2461,'New Weekly Paste'!A:M,8,0),VLOOKUP(B2461&amp;C2461&amp;Q2461,'New Weekly Paste'!B:O,10,0)),0)</f>
        <v>106.3</v>
      </c>
      <c r="K2461" s="259">
        <f>IFERROR(IFERROR(VLOOKUP(B2461&amp;I2461&amp;Q2461,'New Weekly Paste'!A:M,8,0),VLOOKUP(B2461&amp;I2461&amp;Q2461,'New Weekly Paste'!B:O,10,0)),0)</f>
        <v>97.76</v>
      </c>
      <c r="L2461" s="239">
        <f t="shared" si="25"/>
        <v>1</v>
      </c>
      <c r="M2461" s="36" t="str">
        <f t="shared" si="3"/>
        <v>Regular Season</v>
      </c>
      <c r="N2461" s="239" t="str">
        <f t="shared" si="26"/>
        <v>Hudspeath</v>
      </c>
      <c r="O2461" s="6">
        <f>VLOOKUP(D2461,'Mapped Opponent'!$G$4:$H$22,2,0)</f>
        <v>3</v>
      </c>
      <c r="P2461" s="6"/>
      <c r="Q2461" s="6" t="str">
        <f t="shared" si="4"/>
        <v>Week 3</v>
      </c>
      <c r="R2461" s="6" t="str">
        <f t="shared" si="5"/>
        <v>2023Week 3</v>
      </c>
      <c r="S2461" s="6">
        <f>IFERROR(__xludf.DUMMYFUNCTION("rank(J2461,FILTER(J:J,R:R=R2461))"),6.0)</f>
        <v>6</v>
      </c>
      <c r="T2461" s="6">
        <f t="shared" si="6"/>
        <v>6</v>
      </c>
      <c r="U2461" s="6">
        <f t="shared" si="7"/>
        <v>6</v>
      </c>
      <c r="V2461" s="42">
        <f>averageif(AllData!A:A,B2461,AllData!R:R)/vlookup(B2461,AllData!A:O,15,0)</f>
        <v>93.35904762</v>
      </c>
      <c r="W2461" s="6"/>
    </row>
    <row r="2462" ht="14.25" customHeight="1">
      <c r="A2462" s="6" t="str">
        <f t="shared" si="28"/>
        <v>2023Hudspeath4</v>
      </c>
      <c r="B2462" s="59">
        <v>2023.0</v>
      </c>
      <c r="C2462" s="13" t="s">
        <v>39</v>
      </c>
      <c r="D2462" s="13" t="s">
        <v>138</v>
      </c>
      <c r="E2462" s="34"/>
      <c r="F2462" s="6"/>
      <c r="H2462" s="6"/>
      <c r="I2462" s="35" t="str">
        <f>IFERROR(IFERROR(IFERROR(VLOOKUP(B2462&amp;C2462&amp;Q2462,'New Weekly Paste'!A:M,10,0),VLOOKUP(B2462&amp;C2462&amp;Q2462,'New Weekly Paste'!B:O,6,0)),""),"")</f>
        <v>Ewert</v>
      </c>
      <c r="J2462" s="259">
        <f>IFERROR(IFERROR(VLOOKUP(B2462&amp;C2462&amp;Q2462,'New Weekly Paste'!A:M,8,0),VLOOKUP(B2462&amp;C2462&amp;Q2462,'New Weekly Paste'!B:O,10,0)),0)</f>
        <v>91.7</v>
      </c>
      <c r="K2462" s="259">
        <f>IFERROR(IFERROR(VLOOKUP(B2462&amp;I2462&amp;Q2462,'New Weekly Paste'!A:M,8,0),VLOOKUP(B2462&amp;I2462&amp;Q2462,'New Weekly Paste'!B:O,10,0)),0)</f>
        <v>60.38</v>
      </c>
      <c r="L2462" s="239">
        <f t="shared" si="25"/>
        <v>1</v>
      </c>
      <c r="M2462" s="36" t="str">
        <f t="shared" si="3"/>
        <v>Regular Season</v>
      </c>
      <c r="N2462" s="239" t="str">
        <f t="shared" si="26"/>
        <v>Ewert</v>
      </c>
      <c r="O2462" s="6">
        <f>VLOOKUP(D2462,'Mapped Opponent'!$G$4:$H$22,2,0)</f>
        <v>4</v>
      </c>
      <c r="P2462" s="6"/>
      <c r="Q2462" s="6" t="str">
        <f t="shared" si="4"/>
        <v>Week 4</v>
      </c>
      <c r="R2462" s="6" t="str">
        <f t="shared" si="5"/>
        <v>2023Week 4</v>
      </c>
      <c r="S2462" s="6">
        <f>IFERROR(__xludf.DUMMYFUNCTION("rank(J2462,FILTER(J:J,R:R=R2462))"),7.0)</f>
        <v>7</v>
      </c>
      <c r="T2462" s="6">
        <f t="shared" si="6"/>
        <v>5</v>
      </c>
      <c r="U2462" s="6">
        <f t="shared" si="7"/>
        <v>7</v>
      </c>
      <c r="V2462" s="42">
        <f>averageif(AllData!A:A,B2462,AllData!R:R)/vlookup(B2462,AllData!A:O,15,0)</f>
        <v>93.35904762</v>
      </c>
      <c r="W2462" s="6"/>
    </row>
    <row r="2463" ht="14.25" customHeight="1">
      <c r="A2463" s="6" t="str">
        <f t="shared" si="28"/>
        <v>2023Salty4</v>
      </c>
      <c r="B2463" s="59">
        <v>2023.0</v>
      </c>
      <c r="C2463" s="13" t="s">
        <v>76</v>
      </c>
      <c r="D2463" s="13" t="s">
        <v>138</v>
      </c>
      <c r="E2463" s="34"/>
      <c r="F2463" s="6"/>
      <c r="H2463" s="6"/>
      <c r="I2463" s="35" t="str">
        <f>IFERROR(IFERROR(IFERROR(VLOOKUP(B2463&amp;C2463&amp;Q2463,'New Weekly Paste'!A:M,10,0),VLOOKUP(B2463&amp;C2463&amp;Q2463,'New Weekly Paste'!B:O,6,0)),""),"")</f>
        <v>Buser</v>
      </c>
      <c r="J2463" s="259">
        <f>IFERROR(IFERROR(VLOOKUP(B2463&amp;C2463&amp;Q2463,'New Weekly Paste'!A:M,8,0),VLOOKUP(B2463&amp;C2463&amp;Q2463,'New Weekly Paste'!B:O,10,0)),0)</f>
        <v>117.4</v>
      </c>
      <c r="K2463" s="259">
        <f>IFERROR(IFERROR(VLOOKUP(B2463&amp;I2463&amp;Q2463,'New Weekly Paste'!A:M,8,0),VLOOKUP(B2463&amp;I2463&amp;Q2463,'New Weekly Paste'!B:O,10,0)),0)</f>
        <v>87.28</v>
      </c>
      <c r="L2463" s="239">
        <f t="shared" si="25"/>
        <v>1</v>
      </c>
      <c r="M2463" s="36" t="str">
        <f t="shared" si="3"/>
        <v>Regular Season</v>
      </c>
      <c r="N2463" s="239" t="str">
        <f t="shared" si="26"/>
        <v>Buser</v>
      </c>
      <c r="O2463" s="6">
        <f>VLOOKUP(D2463,'Mapped Opponent'!$G$4:$H$22,2,0)</f>
        <v>4</v>
      </c>
      <c r="P2463" s="6"/>
      <c r="Q2463" s="6" t="str">
        <f t="shared" si="4"/>
        <v>Week 4</v>
      </c>
      <c r="R2463" s="6" t="str">
        <f t="shared" si="5"/>
        <v>2023Week 4</v>
      </c>
      <c r="S2463" s="6">
        <f>IFERROR(__xludf.DUMMYFUNCTION("rank(J2463,FILTER(J:J,R:R=R2463))"),4.0)</f>
        <v>4</v>
      </c>
      <c r="T2463" s="6">
        <f t="shared" si="6"/>
        <v>8</v>
      </c>
      <c r="U2463" s="6">
        <f t="shared" si="7"/>
        <v>4</v>
      </c>
      <c r="V2463" s="42">
        <f>averageif(AllData!A:A,B2463,AllData!R:R)/vlookup(B2463,AllData!A:O,15,0)</f>
        <v>93.35904762</v>
      </c>
      <c r="W2463" s="6"/>
    </row>
    <row r="2464" ht="14.25" customHeight="1">
      <c r="A2464" s="6" t="str">
        <f t="shared" si="28"/>
        <v>2023Ewert4</v>
      </c>
      <c r="B2464" s="59">
        <v>2023.0</v>
      </c>
      <c r="C2464" s="13" t="s">
        <v>108</v>
      </c>
      <c r="D2464" s="13" t="s">
        <v>138</v>
      </c>
      <c r="E2464" s="34"/>
      <c r="F2464" s="6"/>
      <c r="H2464" s="6"/>
      <c r="I2464" s="35" t="str">
        <f>IFERROR(IFERROR(IFERROR(VLOOKUP(B2464&amp;C2464&amp;Q2464,'New Weekly Paste'!A:M,10,0),VLOOKUP(B2464&amp;C2464&amp;Q2464,'New Weekly Paste'!B:O,6,0)),""),"")</f>
        <v>Hudspeath</v>
      </c>
      <c r="J2464" s="259">
        <f>IFERROR(IFERROR(VLOOKUP(B2464&amp;C2464&amp;Q2464,'New Weekly Paste'!A:M,8,0),VLOOKUP(B2464&amp;C2464&amp;Q2464,'New Weekly Paste'!B:O,10,0)),0)</f>
        <v>60.38</v>
      </c>
      <c r="K2464" s="259">
        <f>IFERROR(IFERROR(VLOOKUP(B2464&amp;I2464&amp;Q2464,'New Weekly Paste'!A:M,8,0),VLOOKUP(B2464&amp;I2464&amp;Q2464,'New Weekly Paste'!B:O,10,0)),0)</f>
        <v>91.7</v>
      </c>
      <c r="L2464" s="239">
        <f t="shared" si="25"/>
        <v>0</v>
      </c>
      <c r="M2464" s="36" t="str">
        <f t="shared" si="3"/>
        <v>Regular Season</v>
      </c>
      <c r="N2464" s="239" t="str">
        <f t="shared" si="26"/>
        <v>Hudspeath</v>
      </c>
      <c r="O2464" s="6">
        <f>VLOOKUP(D2464,'Mapped Opponent'!$G$4:$H$22,2,0)</f>
        <v>4</v>
      </c>
      <c r="P2464" s="6"/>
      <c r="Q2464" s="6" t="str">
        <f t="shared" si="4"/>
        <v>Week 4</v>
      </c>
      <c r="R2464" s="6" t="str">
        <f t="shared" si="5"/>
        <v>2023Week 4</v>
      </c>
      <c r="S2464" s="6">
        <f>IFERROR(__xludf.DUMMYFUNCTION("rank(J2464,FILTER(J:J,R:R=R2464))"),12.0)</f>
        <v>12</v>
      </c>
      <c r="T2464" s="6">
        <f t="shared" si="6"/>
        <v>0</v>
      </c>
      <c r="U2464" s="6">
        <f t="shared" si="7"/>
        <v>12</v>
      </c>
      <c r="V2464" s="42">
        <f>averageif(AllData!A:A,B2464,AllData!R:R)/vlookup(B2464,AllData!A:O,15,0)</f>
        <v>93.35904762</v>
      </c>
      <c r="W2464" s="6"/>
    </row>
    <row r="2465" ht="14.25" customHeight="1">
      <c r="A2465" s="6" t="str">
        <f t="shared" si="28"/>
        <v>2023Shep4</v>
      </c>
      <c r="B2465" s="59">
        <v>2023.0</v>
      </c>
      <c r="C2465" s="13" t="s">
        <v>89</v>
      </c>
      <c r="D2465" s="13" t="s">
        <v>138</v>
      </c>
      <c r="E2465" s="34"/>
      <c r="F2465" s="6"/>
      <c r="H2465" s="6"/>
      <c r="I2465" s="35" t="str">
        <f>IFERROR(IFERROR(IFERROR(VLOOKUP(B2465&amp;C2465&amp;Q2465,'New Weekly Paste'!A:M,10,0),VLOOKUP(B2465&amp;C2465&amp;Q2465,'New Weekly Paste'!B:O,6,0)),""),"")</f>
        <v>Rooney/Jackson</v>
      </c>
      <c r="J2465" s="259">
        <f>IFERROR(IFERROR(VLOOKUP(B2465&amp;C2465&amp;Q2465,'New Weekly Paste'!A:M,8,0),VLOOKUP(B2465&amp;C2465&amp;Q2465,'New Weekly Paste'!B:O,10,0)),0)</f>
        <v>78</v>
      </c>
      <c r="K2465" s="259">
        <f>IFERROR(IFERROR(VLOOKUP(B2465&amp;I2465&amp;Q2465,'New Weekly Paste'!A:M,8,0),VLOOKUP(B2465&amp;I2465&amp;Q2465,'New Weekly Paste'!B:O,10,0)),0)</f>
        <v>77.34</v>
      </c>
      <c r="L2465" s="239">
        <f t="shared" si="25"/>
        <v>1</v>
      </c>
      <c r="M2465" s="36" t="str">
        <f t="shared" si="3"/>
        <v>Regular Season</v>
      </c>
      <c r="N2465" s="239" t="str">
        <f t="shared" si="26"/>
        <v>Rooney/Jackson</v>
      </c>
      <c r="O2465" s="6">
        <f>VLOOKUP(D2465,'Mapped Opponent'!$G$4:$H$22,2,0)</f>
        <v>4</v>
      </c>
      <c r="P2465" s="6"/>
      <c r="Q2465" s="6" t="str">
        <f t="shared" si="4"/>
        <v>Week 4</v>
      </c>
      <c r="R2465" s="6" t="str">
        <f t="shared" si="5"/>
        <v>2023Week 4</v>
      </c>
      <c r="S2465" s="6">
        <f>IFERROR(__xludf.DUMMYFUNCTION("rank(J2465,FILTER(J:J,R:R=R2465))"),10.0)</f>
        <v>10</v>
      </c>
      <c r="T2465" s="6">
        <f t="shared" si="6"/>
        <v>2</v>
      </c>
      <c r="U2465" s="6">
        <f t="shared" si="7"/>
        <v>10</v>
      </c>
      <c r="V2465" s="42">
        <f>averageif(AllData!A:A,B2465,AllData!R:R)/vlookup(B2465,AllData!A:O,15,0)</f>
        <v>93.35904762</v>
      </c>
      <c r="W2465" s="6"/>
    </row>
    <row r="2466" ht="14.25" customHeight="1">
      <c r="A2466" s="6" t="str">
        <f t="shared" si="28"/>
        <v>2023Riley4</v>
      </c>
      <c r="B2466" s="59">
        <v>2023.0</v>
      </c>
      <c r="C2466" s="13" t="s">
        <v>67</v>
      </c>
      <c r="D2466" s="13" t="s">
        <v>138</v>
      </c>
      <c r="E2466" s="34"/>
      <c r="F2466" s="6"/>
      <c r="H2466" s="6"/>
      <c r="I2466" s="35" t="str">
        <f>IFERROR(IFERROR(IFERROR(VLOOKUP(B2466&amp;C2466&amp;Q2466,'New Weekly Paste'!A:M,10,0),VLOOKUP(B2466&amp;C2466&amp;Q2466,'New Weekly Paste'!B:O,6,0)),""),"")</f>
        <v>Cock</v>
      </c>
      <c r="J2466" s="259">
        <f>IFERROR(IFERROR(VLOOKUP(B2466&amp;C2466&amp;Q2466,'New Weekly Paste'!A:M,8,0),VLOOKUP(B2466&amp;C2466&amp;Q2466,'New Weekly Paste'!B:O,10,0)),0)</f>
        <v>135.52</v>
      </c>
      <c r="K2466" s="259">
        <f>IFERROR(IFERROR(VLOOKUP(B2466&amp;I2466&amp;Q2466,'New Weekly Paste'!A:M,8,0),VLOOKUP(B2466&amp;I2466&amp;Q2466,'New Weekly Paste'!B:O,10,0)),0)</f>
        <v>90.42</v>
      </c>
      <c r="L2466" s="239">
        <f t="shared" si="25"/>
        <v>1</v>
      </c>
      <c r="M2466" s="36" t="str">
        <f t="shared" si="3"/>
        <v>Regular Season</v>
      </c>
      <c r="N2466" s="239" t="str">
        <f t="shared" si="26"/>
        <v>Cock</v>
      </c>
      <c r="O2466" s="6">
        <f>VLOOKUP(D2466,'Mapped Opponent'!$G$4:$H$22,2,0)</f>
        <v>4</v>
      </c>
      <c r="P2466" s="6"/>
      <c r="Q2466" s="6" t="str">
        <f t="shared" si="4"/>
        <v>Week 4</v>
      </c>
      <c r="R2466" s="6" t="str">
        <f t="shared" si="5"/>
        <v>2023Week 4</v>
      </c>
      <c r="S2466" s="6">
        <f>IFERROR(__xludf.DUMMYFUNCTION("rank(J2466,FILTER(J:J,R:R=R2466))"),1.0)</f>
        <v>1</v>
      </c>
      <c r="T2466" s="6">
        <f t="shared" si="6"/>
        <v>11</v>
      </c>
      <c r="U2466" s="6">
        <f t="shared" si="7"/>
        <v>1</v>
      </c>
      <c r="V2466" s="42">
        <f>averageif(AllData!A:A,B2466,AllData!R:R)/vlookup(B2466,AllData!A:O,15,0)</f>
        <v>93.35904762</v>
      </c>
      <c r="W2466" s="6"/>
    </row>
    <row r="2467" ht="14.25" customHeight="1">
      <c r="A2467" s="6" t="str">
        <f t="shared" si="28"/>
        <v>2023Rooney/Jackson4</v>
      </c>
      <c r="B2467" s="59">
        <v>2023.0</v>
      </c>
      <c r="C2467" s="13" t="s">
        <v>57</v>
      </c>
      <c r="D2467" s="13" t="s">
        <v>138</v>
      </c>
      <c r="E2467" s="34"/>
      <c r="F2467" s="6"/>
      <c r="H2467" s="6"/>
      <c r="I2467" s="35" t="str">
        <f>IFERROR(IFERROR(IFERROR(VLOOKUP(B2467&amp;C2467&amp;Q2467,'New Weekly Paste'!A:M,10,0),VLOOKUP(B2467&amp;C2467&amp;Q2467,'New Weekly Paste'!B:O,6,0)),""),"")</f>
        <v>Shep</v>
      </c>
      <c r="J2467" s="259">
        <f>IFERROR(IFERROR(VLOOKUP(B2467&amp;C2467&amp;Q2467,'New Weekly Paste'!A:M,8,0),VLOOKUP(B2467&amp;C2467&amp;Q2467,'New Weekly Paste'!B:O,10,0)),0)</f>
        <v>77.34</v>
      </c>
      <c r="K2467" s="259">
        <f>IFERROR(IFERROR(VLOOKUP(B2467&amp;I2467&amp;Q2467,'New Weekly Paste'!A:M,8,0),VLOOKUP(B2467&amp;I2467&amp;Q2467,'New Weekly Paste'!B:O,10,0)),0)</f>
        <v>78</v>
      </c>
      <c r="L2467" s="239">
        <f t="shared" si="25"/>
        <v>0</v>
      </c>
      <c r="M2467" s="36" t="str">
        <f t="shared" si="3"/>
        <v>Regular Season</v>
      </c>
      <c r="N2467" s="239" t="str">
        <f t="shared" si="26"/>
        <v>Shep</v>
      </c>
      <c r="O2467" s="6">
        <f>VLOOKUP(D2467,'Mapped Opponent'!$G$4:$H$22,2,0)</f>
        <v>4</v>
      </c>
      <c r="P2467" s="6"/>
      <c r="Q2467" s="6" t="str">
        <f t="shared" si="4"/>
        <v>Week 4</v>
      </c>
      <c r="R2467" s="6" t="str">
        <f t="shared" si="5"/>
        <v>2023Week 4</v>
      </c>
      <c r="S2467" s="6">
        <f>IFERROR(__xludf.DUMMYFUNCTION("rank(J2467,FILTER(J:J,R:R=R2467))"),11.0)</f>
        <v>11</v>
      </c>
      <c r="T2467" s="6">
        <f t="shared" si="6"/>
        <v>1</v>
      </c>
      <c r="U2467" s="6">
        <f t="shared" si="7"/>
        <v>11</v>
      </c>
      <c r="V2467" s="42">
        <f>averageif(AllData!A:A,B2467,AllData!R:R)/vlookup(B2467,AllData!A:O,15,0)</f>
        <v>93.35904762</v>
      </c>
      <c r="W2467" s="6"/>
    </row>
    <row r="2468" ht="14.25" customHeight="1">
      <c r="A2468" s="6" t="str">
        <f t="shared" si="28"/>
        <v>2023Buser4</v>
      </c>
      <c r="B2468" s="59">
        <v>2023.0</v>
      </c>
      <c r="C2468" s="13" t="s">
        <v>47</v>
      </c>
      <c r="D2468" s="13" t="s">
        <v>138</v>
      </c>
      <c r="E2468" s="34"/>
      <c r="F2468" s="6"/>
      <c r="H2468" s="6"/>
      <c r="I2468" s="35" t="str">
        <f>IFERROR(IFERROR(IFERROR(VLOOKUP(B2468&amp;C2468&amp;Q2468,'New Weekly Paste'!A:M,10,0),VLOOKUP(B2468&amp;C2468&amp;Q2468,'New Weekly Paste'!B:O,6,0)),""),"")</f>
        <v>Salty</v>
      </c>
      <c r="J2468" s="259">
        <f>IFERROR(IFERROR(VLOOKUP(B2468&amp;C2468&amp;Q2468,'New Weekly Paste'!A:M,8,0),VLOOKUP(B2468&amp;C2468&amp;Q2468,'New Weekly Paste'!B:O,10,0)),0)</f>
        <v>87.28</v>
      </c>
      <c r="K2468" s="259">
        <f>IFERROR(IFERROR(VLOOKUP(B2468&amp;I2468&amp;Q2468,'New Weekly Paste'!A:M,8,0),VLOOKUP(B2468&amp;I2468&amp;Q2468,'New Weekly Paste'!B:O,10,0)),0)</f>
        <v>117.4</v>
      </c>
      <c r="L2468" s="239">
        <f t="shared" si="25"/>
        <v>0</v>
      </c>
      <c r="M2468" s="36" t="str">
        <f t="shared" si="3"/>
        <v>Regular Season</v>
      </c>
      <c r="N2468" s="239" t="str">
        <f t="shared" si="26"/>
        <v>Salty</v>
      </c>
      <c r="O2468" s="6">
        <f>VLOOKUP(D2468,'Mapped Opponent'!$G$4:$H$22,2,0)</f>
        <v>4</v>
      </c>
      <c r="P2468" s="6"/>
      <c r="Q2468" s="6" t="str">
        <f t="shared" si="4"/>
        <v>Week 4</v>
      </c>
      <c r="R2468" s="6" t="str">
        <f t="shared" si="5"/>
        <v>2023Week 4</v>
      </c>
      <c r="S2468" s="6">
        <f>IFERROR(__xludf.DUMMYFUNCTION("rank(J2468,FILTER(J:J,R:R=R2468))"),9.0)</f>
        <v>9</v>
      </c>
      <c r="T2468" s="6">
        <f t="shared" si="6"/>
        <v>3</v>
      </c>
      <c r="U2468" s="6">
        <f t="shared" si="7"/>
        <v>9</v>
      </c>
      <c r="V2468" s="42">
        <f>averageif(AllData!A:A,B2468,AllData!R:R)/vlookup(B2468,AllData!A:O,15,0)</f>
        <v>93.35904762</v>
      </c>
      <c r="W2468" s="6"/>
    </row>
    <row r="2469" ht="14.25" customHeight="1">
      <c r="A2469" s="6" t="str">
        <f t="shared" si="28"/>
        <v>2023Pierson4</v>
      </c>
      <c r="B2469" s="59">
        <v>2023.0</v>
      </c>
      <c r="C2469" s="13" t="s">
        <v>92</v>
      </c>
      <c r="D2469" s="13" t="s">
        <v>138</v>
      </c>
      <c r="E2469" s="34"/>
      <c r="F2469" s="6"/>
      <c r="H2469" s="6"/>
      <c r="I2469" s="35" t="str">
        <f>IFERROR(IFERROR(IFERROR(VLOOKUP(B2469&amp;C2469&amp;Q2469,'New Weekly Paste'!A:M,10,0),VLOOKUP(B2469&amp;C2469&amp;Q2469,'New Weekly Paste'!B:O,6,0)),""),"")</f>
        <v>KnardDawg</v>
      </c>
      <c r="J2469" s="259">
        <f>IFERROR(IFERROR(VLOOKUP(B2469&amp;C2469&amp;Q2469,'New Weekly Paste'!A:M,8,0),VLOOKUP(B2469&amp;C2469&amp;Q2469,'New Weekly Paste'!B:O,10,0)),0)</f>
        <v>103.24</v>
      </c>
      <c r="K2469" s="259">
        <f>IFERROR(IFERROR(VLOOKUP(B2469&amp;I2469&amp;Q2469,'New Weekly Paste'!A:M,8,0),VLOOKUP(B2469&amp;I2469&amp;Q2469,'New Weekly Paste'!B:O,10,0)),0)</f>
        <v>116.32</v>
      </c>
      <c r="L2469" s="239">
        <f t="shared" si="25"/>
        <v>0</v>
      </c>
      <c r="M2469" s="36" t="str">
        <f t="shared" si="3"/>
        <v>Regular Season</v>
      </c>
      <c r="N2469" s="239" t="str">
        <f t="shared" si="26"/>
        <v>KnardDawg</v>
      </c>
      <c r="O2469" s="6">
        <f>VLOOKUP(D2469,'Mapped Opponent'!$G$4:$H$22,2,0)</f>
        <v>4</v>
      </c>
      <c r="P2469" s="6"/>
      <c r="Q2469" s="6" t="str">
        <f t="shared" si="4"/>
        <v>Week 4</v>
      </c>
      <c r="R2469" s="6" t="str">
        <f t="shared" si="5"/>
        <v>2023Week 4</v>
      </c>
      <c r="S2469" s="6">
        <f>IFERROR(__xludf.DUMMYFUNCTION("rank(J2469,FILTER(J:J,R:R=R2469))"),6.0)</f>
        <v>6</v>
      </c>
      <c r="T2469" s="6">
        <f t="shared" si="6"/>
        <v>6</v>
      </c>
      <c r="U2469" s="6">
        <f t="shared" si="7"/>
        <v>6</v>
      </c>
      <c r="V2469" s="42">
        <f>averageif(AllData!A:A,B2469,AllData!R:R)/vlookup(B2469,AllData!A:O,15,0)</f>
        <v>93.35904762</v>
      </c>
      <c r="W2469" s="6"/>
    </row>
    <row r="2470" ht="14.25" customHeight="1">
      <c r="A2470" s="6" t="str">
        <f t="shared" si="28"/>
        <v>2023Cock4</v>
      </c>
      <c r="B2470" s="59">
        <v>2023.0</v>
      </c>
      <c r="C2470" s="13" t="s">
        <v>72</v>
      </c>
      <c r="D2470" s="13" t="s">
        <v>138</v>
      </c>
      <c r="E2470" s="34"/>
      <c r="F2470" s="6"/>
      <c r="H2470" s="6"/>
      <c r="I2470" s="35" t="str">
        <f>IFERROR(IFERROR(IFERROR(VLOOKUP(B2470&amp;C2470&amp;Q2470,'New Weekly Paste'!A:M,10,0),VLOOKUP(B2470&amp;C2470&amp;Q2470,'New Weekly Paste'!B:O,6,0)),""),"")</f>
        <v>Riley</v>
      </c>
      <c r="J2470" s="259">
        <f>IFERROR(IFERROR(VLOOKUP(B2470&amp;C2470&amp;Q2470,'New Weekly Paste'!A:M,8,0),VLOOKUP(B2470&amp;C2470&amp;Q2470,'New Weekly Paste'!B:O,10,0)),0)</f>
        <v>90.42</v>
      </c>
      <c r="K2470" s="259">
        <f>IFERROR(IFERROR(VLOOKUP(B2470&amp;I2470&amp;Q2470,'New Weekly Paste'!A:M,8,0),VLOOKUP(B2470&amp;I2470&amp;Q2470,'New Weekly Paste'!B:O,10,0)),0)</f>
        <v>135.52</v>
      </c>
      <c r="L2470" s="239">
        <f t="shared" si="25"/>
        <v>0</v>
      </c>
      <c r="M2470" s="36" t="str">
        <f t="shared" si="3"/>
        <v>Regular Season</v>
      </c>
      <c r="N2470" s="239" t="str">
        <f t="shared" si="26"/>
        <v>Riley</v>
      </c>
      <c r="O2470" s="6">
        <f>VLOOKUP(D2470,'Mapped Opponent'!$G$4:$H$22,2,0)</f>
        <v>4</v>
      </c>
      <c r="P2470" s="6"/>
      <c r="Q2470" s="6" t="str">
        <f t="shared" si="4"/>
        <v>Week 4</v>
      </c>
      <c r="R2470" s="6" t="str">
        <f t="shared" si="5"/>
        <v>2023Week 4</v>
      </c>
      <c r="S2470" s="6">
        <f>IFERROR(__xludf.DUMMYFUNCTION("rank(J2470,FILTER(J:J,R:R=R2470))"),8.0)</f>
        <v>8</v>
      </c>
      <c r="T2470" s="6">
        <f t="shared" si="6"/>
        <v>4</v>
      </c>
      <c r="U2470" s="6">
        <f t="shared" si="7"/>
        <v>8</v>
      </c>
      <c r="V2470" s="42">
        <f>averageif(AllData!A:A,B2470,AllData!R:R)/vlookup(B2470,AllData!A:O,15,0)</f>
        <v>93.35904762</v>
      </c>
      <c r="W2470" s="6"/>
    </row>
    <row r="2471" ht="14.25" customHeight="1">
      <c r="A2471" s="6" t="str">
        <f t="shared" si="28"/>
        <v>2023Tayski4</v>
      </c>
      <c r="B2471" s="59">
        <v>2023.0</v>
      </c>
      <c r="C2471" s="13" t="s">
        <v>52</v>
      </c>
      <c r="D2471" s="13" t="s">
        <v>138</v>
      </c>
      <c r="E2471" s="34"/>
      <c r="F2471" s="6"/>
      <c r="H2471" s="6"/>
      <c r="I2471" s="35" t="str">
        <f>IFERROR(IFERROR(IFERROR(VLOOKUP(B2471&amp;C2471&amp;Q2471,'New Weekly Paste'!A:M,10,0),VLOOKUP(B2471&amp;C2471&amp;Q2471,'New Weekly Paste'!B:O,6,0)),""),"")</f>
        <v>T-How</v>
      </c>
      <c r="J2471" s="259">
        <f>IFERROR(IFERROR(VLOOKUP(B2471&amp;C2471&amp;Q2471,'New Weekly Paste'!A:M,8,0),VLOOKUP(B2471&amp;C2471&amp;Q2471,'New Weekly Paste'!B:O,10,0)),0)</f>
        <v>127.2</v>
      </c>
      <c r="K2471" s="259">
        <f>IFERROR(IFERROR(VLOOKUP(B2471&amp;I2471&amp;Q2471,'New Weekly Paste'!A:M,8,0),VLOOKUP(B2471&amp;I2471&amp;Q2471,'New Weekly Paste'!B:O,10,0)),0)</f>
        <v>122.18</v>
      </c>
      <c r="L2471" s="239">
        <f t="shared" si="25"/>
        <v>1</v>
      </c>
      <c r="M2471" s="36" t="str">
        <f t="shared" si="3"/>
        <v>Regular Season</v>
      </c>
      <c r="N2471" s="239" t="str">
        <f t="shared" si="26"/>
        <v>T-How</v>
      </c>
      <c r="O2471" s="6">
        <f>VLOOKUP(D2471,'Mapped Opponent'!$G$4:$H$22,2,0)</f>
        <v>4</v>
      </c>
      <c r="P2471" s="6"/>
      <c r="Q2471" s="6" t="str">
        <f t="shared" si="4"/>
        <v>Week 4</v>
      </c>
      <c r="R2471" s="6" t="str">
        <f t="shared" si="5"/>
        <v>2023Week 4</v>
      </c>
      <c r="S2471" s="6">
        <f>IFERROR(__xludf.DUMMYFUNCTION("rank(J2471,FILTER(J:J,R:R=R2471))"),2.0)</f>
        <v>2</v>
      </c>
      <c r="T2471" s="6">
        <f t="shared" si="6"/>
        <v>10</v>
      </c>
      <c r="U2471" s="6">
        <f t="shared" si="7"/>
        <v>2</v>
      </c>
      <c r="V2471" s="42">
        <f>averageif(AllData!A:A,B2471,AllData!R:R)/vlookup(B2471,AllData!A:O,15,0)</f>
        <v>93.35904762</v>
      </c>
      <c r="W2471" s="6"/>
    </row>
    <row r="2472" ht="14.25" customHeight="1">
      <c r="A2472" s="6" t="str">
        <f t="shared" si="28"/>
        <v>2023KnardDawg4</v>
      </c>
      <c r="B2472" s="59">
        <v>2023.0</v>
      </c>
      <c r="C2472" s="13" t="s">
        <v>86</v>
      </c>
      <c r="D2472" s="13" t="s">
        <v>138</v>
      </c>
      <c r="E2472" s="34"/>
      <c r="F2472" s="6"/>
      <c r="H2472" s="6"/>
      <c r="I2472" s="35" t="str">
        <f>IFERROR(IFERROR(IFERROR(VLOOKUP(B2472&amp;C2472&amp;Q2472,'New Weekly Paste'!A:M,10,0),VLOOKUP(B2472&amp;C2472&amp;Q2472,'New Weekly Paste'!B:O,6,0)),""),"")</f>
        <v>Pierson</v>
      </c>
      <c r="J2472" s="259">
        <f>IFERROR(IFERROR(VLOOKUP(B2472&amp;C2472&amp;Q2472,'New Weekly Paste'!A:M,8,0),VLOOKUP(B2472&amp;C2472&amp;Q2472,'New Weekly Paste'!B:O,10,0)),0)</f>
        <v>116.32</v>
      </c>
      <c r="K2472" s="259">
        <f>IFERROR(IFERROR(VLOOKUP(B2472&amp;I2472&amp;Q2472,'New Weekly Paste'!A:M,8,0),VLOOKUP(B2472&amp;I2472&amp;Q2472,'New Weekly Paste'!B:O,10,0)),0)</f>
        <v>103.24</v>
      </c>
      <c r="L2472" s="239">
        <f t="shared" si="25"/>
        <v>1</v>
      </c>
      <c r="M2472" s="36" t="str">
        <f t="shared" si="3"/>
        <v>Regular Season</v>
      </c>
      <c r="N2472" s="239" t="str">
        <f t="shared" si="26"/>
        <v>Pierson</v>
      </c>
      <c r="O2472" s="6">
        <f>VLOOKUP(D2472,'Mapped Opponent'!$G$4:$H$22,2,0)</f>
        <v>4</v>
      </c>
      <c r="P2472" s="6"/>
      <c r="Q2472" s="6" t="str">
        <f t="shared" si="4"/>
        <v>Week 4</v>
      </c>
      <c r="R2472" s="6" t="str">
        <f t="shared" si="5"/>
        <v>2023Week 4</v>
      </c>
      <c r="S2472" s="6">
        <f>IFERROR(__xludf.DUMMYFUNCTION("rank(J2472,FILTER(J:J,R:R=R2472))"),5.0)</f>
        <v>5</v>
      </c>
      <c r="T2472" s="6">
        <f t="shared" si="6"/>
        <v>7</v>
      </c>
      <c r="U2472" s="6">
        <f t="shared" si="7"/>
        <v>5</v>
      </c>
      <c r="V2472" s="42">
        <f>averageif(AllData!A:A,B2472,AllData!R:R)/vlookup(B2472,AllData!A:O,15,0)</f>
        <v>93.35904762</v>
      </c>
      <c r="W2472" s="6"/>
    </row>
    <row r="2473" ht="14.25" customHeight="1">
      <c r="A2473" s="6" t="str">
        <f t="shared" si="28"/>
        <v>2023T-How4</v>
      </c>
      <c r="B2473" s="59">
        <v>2023.0</v>
      </c>
      <c r="C2473" s="13" t="s">
        <v>82</v>
      </c>
      <c r="D2473" s="13" t="s">
        <v>138</v>
      </c>
      <c r="E2473" s="34"/>
      <c r="F2473" s="6"/>
      <c r="H2473" s="6"/>
      <c r="I2473" s="35" t="str">
        <f>IFERROR(IFERROR(IFERROR(VLOOKUP(B2473&amp;C2473&amp;Q2473,'New Weekly Paste'!A:M,10,0),VLOOKUP(B2473&amp;C2473&amp;Q2473,'New Weekly Paste'!B:O,6,0)),""),"")</f>
        <v>Tayski</v>
      </c>
      <c r="J2473" s="259">
        <f>IFERROR(IFERROR(VLOOKUP(B2473&amp;C2473&amp;Q2473,'New Weekly Paste'!A:M,8,0),VLOOKUP(B2473&amp;C2473&amp;Q2473,'New Weekly Paste'!B:O,10,0)),0)</f>
        <v>122.18</v>
      </c>
      <c r="K2473" s="259">
        <f>IFERROR(IFERROR(VLOOKUP(B2473&amp;I2473&amp;Q2473,'New Weekly Paste'!A:M,8,0),VLOOKUP(B2473&amp;I2473&amp;Q2473,'New Weekly Paste'!B:O,10,0)),0)</f>
        <v>127.2</v>
      </c>
      <c r="L2473" s="239">
        <f t="shared" si="25"/>
        <v>0</v>
      </c>
      <c r="M2473" s="36" t="str">
        <f t="shared" si="3"/>
        <v>Regular Season</v>
      </c>
      <c r="N2473" s="239" t="str">
        <f t="shared" si="26"/>
        <v>Tayski</v>
      </c>
      <c r="O2473" s="6">
        <f>VLOOKUP(D2473,'Mapped Opponent'!$G$4:$H$22,2,0)</f>
        <v>4</v>
      </c>
      <c r="P2473" s="6"/>
      <c r="Q2473" s="6" t="str">
        <f t="shared" si="4"/>
        <v>Week 4</v>
      </c>
      <c r="R2473" s="6" t="str">
        <f t="shared" si="5"/>
        <v>2023Week 4</v>
      </c>
      <c r="S2473" s="6">
        <f>IFERROR(__xludf.DUMMYFUNCTION("rank(J2473,FILTER(J:J,R:R=R2473))"),3.0)</f>
        <v>3</v>
      </c>
      <c r="T2473" s="6">
        <f t="shared" si="6"/>
        <v>9</v>
      </c>
      <c r="U2473" s="6">
        <f t="shared" si="7"/>
        <v>3</v>
      </c>
      <c r="V2473" s="42">
        <f>averageif(AllData!A:A,B2473,AllData!R:R)/vlookup(B2473,AllData!A:O,15,0)</f>
        <v>93.35904762</v>
      </c>
      <c r="W2473" s="6"/>
    </row>
    <row r="2474" ht="14.25" customHeight="1">
      <c r="A2474" s="6" t="str">
        <f t="shared" si="28"/>
        <v>2023Hudspeath5</v>
      </c>
      <c r="B2474" s="59">
        <v>2023.0</v>
      </c>
      <c r="C2474" s="13" t="s">
        <v>39</v>
      </c>
      <c r="D2474" s="13" t="s">
        <v>141</v>
      </c>
      <c r="E2474" s="34"/>
      <c r="F2474" s="6"/>
      <c r="H2474" s="6"/>
      <c r="I2474" s="35" t="str">
        <f>IFERROR(IFERROR(IFERROR(VLOOKUP(B2474&amp;C2474&amp;Q2474,'New Weekly Paste'!A:M,10,0),VLOOKUP(B2474&amp;C2474&amp;Q2474,'New Weekly Paste'!B:O,6,0)),""),"")</f>
        <v>Cock</v>
      </c>
      <c r="J2474" s="259">
        <f>IFERROR(IFERROR(VLOOKUP(B2474&amp;C2474&amp;Q2474,'New Weekly Paste'!A:M,8,0),VLOOKUP(B2474&amp;C2474&amp;Q2474,'New Weekly Paste'!B:O,10,0)),0)</f>
        <v>127.06</v>
      </c>
      <c r="K2474" s="259">
        <f>IFERROR(IFERROR(VLOOKUP(B2474&amp;I2474&amp;Q2474,'New Weekly Paste'!A:M,8,0),VLOOKUP(B2474&amp;I2474&amp;Q2474,'New Weekly Paste'!B:O,10,0)),0)</f>
        <v>95.84</v>
      </c>
      <c r="L2474" s="239">
        <f t="shared" si="25"/>
        <v>1</v>
      </c>
      <c r="M2474" s="36" t="str">
        <f t="shared" si="3"/>
        <v>Regular Season</v>
      </c>
      <c r="N2474" s="239" t="str">
        <f t="shared" si="26"/>
        <v>Cock</v>
      </c>
      <c r="O2474" s="6">
        <f>VLOOKUP(D2474,'Mapped Opponent'!$G$4:$H$22,2,0)</f>
        <v>5</v>
      </c>
      <c r="P2474" s="6"/>
      <c r="Q2474" s="6" t="str">
        <f t="shared" si="4"/>
        <v>Week 5</v>
      </c>
      <c r="R2474" s="6" t="str">
        <f t="shared" si="5"/>
        <v>2023Week 5</v>
      </c>
      <c r="S2474" s="6">
        <f>IFERROR(__xludf.DUMMYFUNCTION("rank(J2474,FILTER(J:J,R:R=R2474))"),2.0)</f>
        <v>2</v>
      </c>
      <c r="T2474" s="6">
        <f t="shared" si="6"/>
        <v>10</v>
      </c>
      <c r="U2474" s="6">
        <f t="shared" si="7"/>
        <v>2</v>
      </c>
      <c r="V2474" s="42">
        <f>averageif(AllData!A:A,B2474,AllData!R:R)/vlookup(B2474,AllData!A:O,15,0)</f>
        <v>93.35904762</v>
      </c>
      <c r="W2474" s="6"/>
    </row>
    <row r="2475" ht="14.25" customHeight="1">
      <c r="A2475" s="6" t="str">
        <f t="shared" si="28"/>
        <v>2023Salty5</v>
      </c>
      <c r="B2475" s="59">
        <v>2023.0</v>
      </c>
      <c r="C2475" s="13" t="s">
        <v>76</v>
      </c>
      <c r="D2475" s="13" t="s">
        <v>141</v>
      </c>
      <c r="E2475" s="34"/>
      <c r="F2475" s="6"/>
      <c r="H2475" s="6"/>
      <c r="I2475" s="35" t="str">
        <f>IFERROR(IFERROR(IFERROR(VLOOKUP(B2475&amp;C2475&amp;Q2475,'New Weekly Paste'!A:M,10,0),VLOOKUP(B2475&amp;C2475&amp;Q2475,'New Weekly Paste'!B:O,6,0)),""),"")</f>
        <v>T-How</v>
      </c>
      <c r="J2475" s="259">
        <f>IFERROR(IFERROR(VLOOKUP(B2475&amp;C2475&amp;Q2475,'New Weekly Paste'!A:M,8,0),VLOOKUP(B2475&amp;C2475&amp;Q2475,'New Weekly Paste'!B:O,10,0)),0)</f>
        <v>145.66</v>
      </c>
      <c r="K2475" s="259">
        <f>IFERROR(IFERROR(VLOOKUP(B2475&amp;I2475&amp;Q2475,'New Weekly Paste'!A:M,8,0),VLOOKUP(B2475&amp;I2475&amp;Q2475,'New Weekly Paste'!B:O,10,0)),0)</f>
        <v>97.82</v>
      </c>
      <c r="L2475" s="239">
        <f t="shared" si="25"/>
        <v>1</v>
      </c>
      <c r="M2475" s="36" t="str">
        <f t="shared" si="3"/>
        <v>Regular Season</v>
      </c>
      <c r="N2475" s="239" t="str">
        <f t="shared" si="26"/>
        <v>T-How</v>
      </c>
      <c r="O2475" s="6">
        <f>VLOOKUP(D2475,'Mapped Opponent'!$G$4:$H$22,2,0)</f>
        <v>5</v>
      </c>
      <c r="P2475" s="6"/>
      <c r="Q2475" s="6" t="str">
        <f t="shared" si="4"/>
        <v>Week 5</v>
      </c>
      <c r="R2475" s="6" t="str">
        <f t="shared" si="5"/>
        <v>2023Week 5</v>
      </c>
      <c r="S2475" s="6">
        <f>IFERROR(__xludf.DUMMYFUNCTION("rank(J2475,FILTER(J:J,R:R=R2475))"),1.0)</f>
        <v>1</v>
      </c>
      <c r="T2475" s="6">
        <f t="shared" si="6"/>
        <v>11</v>
      </c>
      <c r="U2475" s="6">
        <f t="shared" si="7"/>
        <v>1</v>
      </c>
      <c r="V2475" s="42">
        <f>averageif(AllData!A:A,B2475,AllData!R:R)/vlookup(B2475,AllData!A:O,15,0)</f>
        <v>93.35904762</v>
      </c>
      <c r="W2475" s="6"/>
    </row>
    <row r="2476" ht="14.25" customHeight="1">
      <c r="A2476" s="6" t="str">
        <f t="shared" si="28"/>
        <v>2023Ewert5</v>
      </c>
      <c r="B2476" s="59">
        <v>2023.0</v>
      </c>
      <c r="C2476" s="13" t="s">
        <v>108</v>
      </c>
      <c r="D2476" s="13" t="s">
        <v>141</v>
      </c>
      <c r="E2476" s="34"/>
      <c r="F2476" s="6"/>
      <c r="H2476" s="6"/>
      <c r="I2476" s="35" t="str">
        <f>IFERROR(IFERROR(IFERROR(VLOOKUP(B2476&amp;C2476&amp;Q2476,'New Weekly Paste'!A:M,10,0),VLOOKUP(B2476&amp;C2476&amp;Q2476,'New Weekly Paste'!B:O,6,0)),""),"")</f>
        <v>Tayski</v>
      </c>
      <c r="J2476" s="259">
        <f>IFERROR(IFERROR(VLOOKUP(B2476&amp;C2476&amp;Q2476,'New Weekly Paste'!A:M,8,0),VLOOKUP(B2476&amp;C2476&amp;Q2476,'New Weekly Paste'!B:O,10,0)),0)</f>
        <v>48.74</v>
      </c>
      <c r="K2476" s="259">
        <f>IFERROR(IFERROR(VLOOKUP(B2476&amp;I2476&amp;Q2476,'New Weekly Paste'!A:M,8,0),VLOOKUP(B2476&amp;I2476&amp;Q2476,'New Weekly Paste'!B:O,10,0)),0)</f>
        <v>107.68</v>
      </c>
      <c r="L2476" s="239">
        <f t="shared" si="25"/>
        <v>0</v>
      </c>
      <c r="M2476" s="36" t="str">
        <f t="shared" si="3"/>
        <v>Regular Season</v>
      </c>
      <c r="N2476" s="239" t="str">
        <f t="shared" si="26"/>
        <v>Tayski</v>
      </c>
      <c r="O2476" s="6">
        <f>VLOOKUP(D2476,'Mapped Opponent'!$G$4:$H$22,2,0)</f>
        <v>5</v>
      </c>
      <c r="P2476" s="6"/>
      <c r="Q2476" s="6" t="str">
        <f t="shared" si="4"/>
        <v>Week 5</v>
      </c>
      <c r="R2476" s="6" t="str">
        <f t="shared" si="5"/>
        <v>2023Week 5</v>
      </c>
      <c r="S2476" s="6">
        <f>IFERROR(__xludf.DUMMYFUNCTION("rank(J2476,FILTER(J:J,R:R=R2476))"),12.0)</f>
        <v>12</v>
      </c>
      <c r="T2476" s="6">
        <f t="shared" si="6"/>
        <v>0</v>
      </c>
      <c r="U2476" s="6">
        <f t="shared" si="7"/>
        <v>12</v>
      </c>
      <c r="V2476" s="42">
        <f>averageif(AllData!A:A,B2476,AllData!R:R)/vlookup(B2476,AllData!A:O,15,0)</f>
        <v>93.35904762</v>
      </c>
      <c r="W2476" s="6"/>
    </row>
    <row r="2477" ht="14.25" customHeight="1">
      <c r="A2477" s="6" t="str">
        <f t="shared" si="28"/>
        <v>2023Shep5</v>
      </c>
      <c r="B2477" s="59">
        <v>2023.0</v>
      </c>
      <c r="C2477" s="13" t="s">
        <v>89</v>
      </c>
      <c r="D2477" s="13" t="s">
        <v>141</v>
      </c>
      <c r="E2477" s="34"/>
      <c r="F2477" s="6"/>
      <c r="H2477" s="6"/>
      <c r="I2477" s="35" t="str">
        <f>IFERROR(IFERROR(IFERROR(VLOOKUP(B2477&amp;C2477&amp;Q2477,'New Weekly Paste'!A:M,10,0),VLOOKUP(B2477&amp;C2477&amp;Q2477,'New Weekly Paste'!B:O,6,0)),""),"")</f>
        <v>Buser</v>
      </c>
      <c r="J2477" s="259">
        <f>IFERROR(IFERROR(VLOOKUP(B2477&amp;C2477&amp;Q2477,'New Weekly Paste'!A:M,8,0),VLOOKUP(B2477&amp;C2477&amp;Q2477,'New Weekly Paste'!B:O,10,0)),0)</f>
        <v>71.62</v>
      </c>
      <c r="K2477" s="259">
        <f>IFERROR(IFERROR(VLOOKUP(B2477&amp;I2477&amp;Q2477,'New Weekly Paste'!A:M,8,0),VLOOKUP(B2477&amp;I2477&amp;Q2477,'New Weekly Paste'!B:O,10,0)),0)</f>
        <v>98.52</v>
      </c>
      <c r="L2477" s="239">
        <f t="shared" si="25"/>
        <v>0</v>
      </c>
      <c r="M2477" s="36" t="str">
        <f t="shared" si="3"/>
        <v>Regular Season</v>
      </c>
      <c r="N2477" s="239" t="str">
        <f t="shared" si="26"/>
        <v>Buser</v>
      </c>
      <c r="O2477" s="6">
        <f>VLOOKUP(D2477,'Mapped Opponent'!$G$4:$H$22,2,0)</f>
        <v>5</v>
      </c>
      <c r="P2477" s="6"/>
      <c r="Q2477" s="6" t="str">
        <f t="shared" si="4"/>
        <v>Week 5</v>
      </c>
      <c r="R2477" s="6" t="str">
        <f t="shared" si="5"/>
        <v>2023Week 5</v>
      </c>
      <c r="S2477" s="6">
        <f>IFERROR(__xludf.DUMMYFUNCTION("rank(J2477,FILTER(J:J,R:R=R2477))"),11.0)</f>
        <v>11</v>
      </c>
      <c r="T2477" s="6">
        <f t="shared" si="6"/>
        <v>1</v>
      </c>
      <c r="U2477" s="6">
        <f t="shared" si="7"/>
        <v>11</v>
      </c>
      <c r="V2477" s="42">
        <f>averageif(AllData!A:A,B2477,AllData!R:R)/vlookup(B2477,AllData!A:O,15,0)</f>
        <v>93.35904762</v>
      </c>
      <c r="W2477" s="6"/>
    </row>
    <row r="2478" ht="14.25" customHeight="1">
      <c r="A2478" s="6" t="str">
        <f t="shared" si="28"/>
        <v>2023Riley5</v>
      </c>
      <c r="B2478" s="59">
        <v>2023.0</v>
      </c>
      <c r="C2478" s="13" t="s">
        <v>67</v>
      </c>
      <c r="D2478" s="13" t="s">
        <v>141</v>
      </c>
      <c r="E2478" s="34"/>
      <c r="F2478" s="6"/>
      <c r="H2478" s="6"/>
      <c r="I2478" s="35" t="str">
        <f>IFERROR(IFERROR(IFERROR(VLOOKUP(B2478&amp;C2478&amp;Q2478,'New Weekly Paste'!A:M,10,0),VLOOKUP(B2478&amp;C2478&amp;Q2478,'New Weekly Paste'!B:O,6,0)),""),"")</f>
        <v>Pierson</v>
      </c>
      <c r="J2478" s="259">
        <f>IFERROR(IFERROR(VLOOKUP(B2478&amp;C2478&amp;Q2478,'New Weekly Paste'!A:M,8,0),VLOOKUP(B2478&amp;C2478&amp;Q2478,'New Weekly Paste'!B:O,10,0)),0)</f>
        <v>105.34</v>
      </c>
      <c r="K2478" s="259">
        <f>IFERROR(IFERROR(VLOOKUP(B2478&amp;I2478&amp;Q2478,'New Weekly Paste'!A:M,8,0),VLOOKUP(B2478&amp;I2478&amp;Q2478,'New Weekly Paste'!B:O,10,0)),0)</f>
        <v>77.12</v>
      </c>
      <c r="L2478" s="239">
        <f t="shared" si="25"/>
        <v>1</v>
      </c>
      <c r="M2478" s="36" t="str">
        <f t="shared" si="3"/>
        <v>Regular Season</v>
      </c>
      <c r="N2478" s="239" t="str">
        <f t="shared" si="26"/>
        <v>Pierson</v>
      </c>
      <c r="O2478" s="6">
        <f>VLOOKUP(D2478,'Mapped Opponent'!$G$4:$H$22,2,0)</f>
        <v>5</v>
      </c>
      <c r="P2478" s="6"/>
      <c r="Q2478" s="6" t="str">
        <f t="shared" si="4"/>
        <v>Week 5</v>
      </c>
      <c r="R2478" s="6" t="str">
        <f t="shared" si="5"/>
        <v>2023Week 5</v>
      </c>
      <c r="S2478" s="6">
        <f>IFERROR(__xludf.DUMMYFUNCTION("rank(J2478,FILTER(J:J,R:R=R2478))"),5.0)</f>
        <v>5</v>
      </c>
      <c r="T2478" s="6">
        <f t="shared" si="6"/>
        <v>7</v>
      </c>
      <c r="U2478" s="6">
        <f t="shared" si="7"/>
        <v>5</v>
      </c>
      <c r="V2478" s="42">
        <f>averageif(AllData!A:A,B2478,AllData!R:R)/vlookup(B2478,AllData!A:O,15,0)</f>
        <v>93.35904762</v>
      </c>
      <c r="W2478" s="6"/>
    </row>
    <row r="2479" ht="14.25" customHeight="1">
      <c r="A2479" s="6" t="str">
        <f t="shared" si="28"/>
        <v>2023Rooney/Jackson5</v>
      </c>
      <c r="B2479" s="59">
        <v>2023.0</v>
      </c>
      <c r="C2479" s="13" t="s">
        <v>57</v>
      </c>
      <c r="D2479" s="13" t="s">
        <v>141</v>
      </c>
      <c r="E2479" s="34"/>
      <c r="F2479" s="6"/>
      <c r="H2479" s="6"/>
      <c r="I2479" s="35" t="str">
        <f>IFERROR(IFERROR(IFERROR(VLOOKUP(B2479&amp;C2479&amp;Q2479,'New Weekly Paste'!A:M,10,0),VLOOKUP(B2479&amp;C2479&amp;Q2479,'New Weekly Paste'!B:O,6,0)),""),"")</f>
        <v>KnardDawg</v>
      </c>
      <c r="J2479" s="259">
        <f>IFERROR(IFERROR(VLOOKUP(B2479&amp;C2479&amp;Q2479,'New Weekly Paste'!A:M,8,0),VLOOKUP(B2479&amp;C2479&amp;Q2479,'New Weekly Paste'!B:O,10,0)),0)</f>
        <v>111.44</v>
      </c>
      <c r="K2479" s="259">
        <f>IFERROR(IFERROR(VLOOKUP(B2479&amp;I2479&amp;Q2479,'New Weekly Paste'!A:M,8,0),VLOOKUP(B2479&amp;I2479&amp;Q2479,'New Weekly Paste'!B:O,10,0)),0)</f>
        <v>76.48</v>
      </c>
      <c r="L2479" s="239">
        <f t="shared" si="25"/>
        <v>1</v>
      </c>
      <c r="M2479" s="36" t="str">
        <f t="shared" si="3"/>
        <v>Regular Season</v>
      </c>
      <c r="N2479" s="239" t="str">
        <f t="shared" si="26"/>
        <v>KnardDawg</v>
      </c>
      <c r="O2479" s="6">
        <f>VLOOKUP(D2479,'Mapped Opponent'!$G$4:$H$22,2,0)</f>
        <v>5</v>
      </c>
      <c r="P2479" s="6"/>
      <c r="Q2479" s="6" t="str">
        <f t="shared" si="4"/>
        <v>Week 5</v>
      </c>
      <c r="R2479" s="6" t="str">
        <f t="shared" si="5"/>
        <v>2023Week 5</v>
      </c>
      <c r="S2479" s="6">
        <f>IFERROR(__xludf.DUMMYFUNCTION("rank(J2479,FILTER(J:J,R:R=R2479))"),3.0)</f>
        <v>3</v>
      </c>
      <c r="T2479" s="6">
        <f t="shared" si="6"/>
        <v>9</v>
      </c>
      <c r="U2479" s="6">
        <f t="shared" si="7"/>
        <v>3</v>
      </c>
      <c r="V2479" s="42">
        <f>averageif(AllData!A:A,B2479,AllData!R:R)/vlookup(B2479,AllData!A:O,15,0)</f>
        <v>93.35904762</v>
      </c>
      <c r="W2479" s="6"/>
    </row>
    <row r="2480" ht="14.25" customHeight="1">
      <c r="A2480" s="6" t="str">
        <f t="shared" si="28"/>
        <v>2023Buser5</v>
      </c>
      <c r="B2480" s="59">
        <v>2023.0</v>
      </c>
      <c r="C2480" s="13" t="s">
        <v>47</v>
      </c>
      <c r="D2480" s="13" t="s">
        <v>141</v>
      </c>
      <c r="E2480" s="34"/>
      <c r="F2480" s="6"/>
      <c r="H2480" s="6"/>
      <c r="I2480" s="35" t="str">
        <f>IFERROR(IFERROR(IFERROR(VLOOKUP(B2480&amp;C2480&amp;Q2480,'New Weekly Paste'!A:M,10,0),VLOOKUP(B2480&amp;C2480&amp;Q2480,'New Weekly Paste'!B:O,6,0)),""),"")</f>
        <v>Shep</v>
      </c>
      <c r="J2480" s="259">
        <f>IFERROR(IFERROR(VLOOKUP(B2480&amp;C2480&amp;Q2480,'New Weekly Paste'!A:M,8,0),VLOOKUP(B2480&amp;C2480&amp;Q2480,'New Weekly Paste'!B:O,10,0)),0)</f>
        <v>98.52</v>
      </c>
      <c r="K2480" s="259">
        <f>IFERROR(IFERROR(VLOOKUP(B2480&amp;I2480&amp;Q2480,'New Weekly Paste'!A:M,8,0),VLOOKUP(B2480&amp;I2480&amp;Q2480,'New Weekly Paste'!B:O,10,0)),0)</f>
        <v>71.62</v>
      </c>
      <c r="L2480" s="239">
        <f t="shared" si="25"/>
        <v>1</v>
      </c>
      <c r="M2480" s="36" t="str">
        <f t="shared" si="3"/>
        <v>Regular Season</v>
      </c>
      <c r="N2480" s="239" t="str">
        <f t="shared" si="26"/>
        <v>Shep</v>
      </c>
      <c r="O2480" s="6">
        <f>VLOOKUP(D2480,'Mapped Opponent'!$G$4:$H$22,2,0)</f>
        <v>5</v>
      </c>
      <c r="P2480" s="6"/>
      <c r="Q2480" s="6" t="str">
        <f t="shared" si="4"/>
        <v>Week 5</v>
      </c>
      <c r="R2480" s="6" t="str">
        <f t="shared" si="5"/>
        <v>2023Week 5</v>
      </c>
      <c r="S2480" s="6">
        <f>IFERROR(__xludf.DUMMYFUNCTION("rank(J2480,FILTER(J:J,R:R=R2480))"),6.0)</f>
        <v>6</v>
      </c>
      <c r="T2480" s="6">
        <f t="shared" si="6"/>
        <v>6</v>
      </c>
      <c r="U2480" s="6">
        <f t="shared" si="7"/>
        <v>6</v>
      </c>
      <c r="V2480" s="42">
        <f>averageif(AllData!A:A,B2480,AllData!R:R)/vlookup(B2480,AllData!A:O,15,0)</f>
        <v>93.35904762</v>
      </c>
      <c r="W2480" s="6"/>
    </row>
    <row r="2481" ht="14.25" customHeight="1">
      <c r="A2481" s="6" t="str">
        <f t="shared" si="28"/>
        <v>2023Pierson5</v>
      </c>
      <c r="B2481" s="59">
        <v>2023.0</v>
      </c>
      <c r="C2481" s="13" t="s">
        <v>92</v>
      </c>
      <c r="D2481" s="13" t="s">
        <v>141</v>
      </c>
      <c r="E2481" s="34"/>
      <c r="F2481" s="6"/>
      <c r="H2481" s="6"/>
      <c r="I2481" s="35" t="str">
        <f>IFERROR(IFERROR(IFERROR(VLOOKUP(B2481&amp;C2481&amp;Q2481,'New Weekly Paste'!A:M,10,0),VLOOKUP(B2481&amp;C2481&amp;Q2481,'New Weekly Paste'!B:O,6,0)),""),"")</f>
        <v>Riley</v>
      </c>
      <c r="J2481" s="259">
        <f>IFERROR(IFERROR(VLOOKUP(B2481&amp;C2481&amp;Q2481,'New Weekly Paste'!A:M,8,0),VLOOKUP(B2481&amp;C2481&amp;Q2481,'New Weekly Paste'!B:O,10,0)),0)</f>
        <v>77.12</v>
      </c>
      <c r="K2481" s="259">
        <f>IFERROR(IFERROR(VLOOKUP(B2481&amp;I2481&amp;Q2481,'New Weekly Paste'!A:M,8,0),VLOOKUP(B2481&amp;I2481&amp;Q2481,'New Weekly Paste'!B:O,10,0)),0)</f>
        <v>105.34</v>
      </c>
      <c r="L2481" s="239">
        <f t="shared" si="25"/>
        <v>0</v>
      </c>
      <c r="M2481" s="36" t="str">
        <f t="shared" si="3"/>
        <v>Regular Season</v>
      </c>
      <c r="N2481" s="239" t="str">
        <f t="shared" si="26"/>
        <v>Riley</v>
      </c>
      <c r="O2481" s="6">
        <f>VLOOKUP(D2481,'Mapped Opponent'!$G$4:$H$22,2,0)</f>
        <v>5</v>
      </c>
      <c r="P2481" s="6"/>
      <c r="Q2481" s="6" t="str">
        <f t="shared" si="4"/>
        <v>Week 5</v>
      </c>
      <c r="R2481" s="6" t="str">
        <f t="shared" si="5"/>
        <v>2023Week 5</v>
      </c>
      <c r="S2481" s="6">
        <f>IFERROR(__xludf.DUMMYFUNCTION("rank(J2481,FILTER(J:J,R:R=R2481))"),9.0)</f>
        <v>9</v>
      </c>
      <c r="T2481" s="6">
        <f t="shared" si="6"/>
        <v>3</v>
      </c>
      <c r="U2481" s="6">
        <f t="shared" si="7"/>
        <v>9</v>
      </c>
      <c r="V2481" s="42">
        <f>averageif(AllData!A:A,B2481,AllData!R:R)/vlookup(B2481,AllData!A:O,15,0)</f>
        <v>93.35904762</v>
      </c>
      <c r="W2481" s="6"/>
    </row>
    <row r="2482" ht="14.25" customHeight="1">
      <c r="A2482" s="6" t="str">
        <f t="shared" si="28"/>
        <v>2023Cock5</v>
      </c>
      <c r="B2482" s="59">
        <v>2023.0</v>
      </c>
      <c r="C2482" s="13" t="s">
        <v>72</v>
      </c>
      <c r="D2482" s="13" t="s">
        <v>141</v>
      </c>
      <c r="E2482" s="34"/>
      <c r="F2482" s="6"/>
      <c r="H2482" s="6"/>
      <c r="I2482" s="35" t="str">
        <f>IFERROR(IFERROR(IFERROR(VLOOKUP(B2482&amp;C2482&amp;Q2482,'New Weekly Paste'!A:M,10,0),VLOOKUP(B2482&amp;C2482&amp;Q2482,'New Weekly Paste'!B:O,6,0)),""),"")</f>
        <v>Hudspeath</v>
      </c>
      <c r="J2482" s="259">
        <f>IFERROR(IFERROR(VLOOKUP(B2482&amp;C2482&amp;Q2482,'New Weekly Paste'!A:M,8,0),VLOOKUP(B2482&amp;C2482&amp;Q2482,'New Weekly Paste'!B:O,10,0)),0)</f>
        <v>95.84</v>
      </c>
      <c r="K2482" s="259">
        <f>IFERROR(IFERROR(VLOOKUP(B2482&amp;I2482&amp;Q2482,'New Weekly Paste'!A:M,8,0),VLOOKUP(B2482&amp;I2482&amp;Q2482,'New Weekly Paste'!B:O,10,0)),0)</f>
        <v>127.06</v>
      </c>
      <c r="L2482" s="239">
        <f t="shared" si="25"/>
        <v>0</v>
      </c>
      <c r="M2482" s="36" t="str">
        <f t="shared" si="3"/>
        <v>Regular Season</v>
      </c>
      <c r="N2482" s="239" t="str">
        <f t="shared" si="26"/>
        <v>Hudspeath</v>
      </c>
      <c r="O2482" s="6">
        <f>VLOOKUP(D2482,'Mapped Opponent'!$G$4:$H$22,2,0)</f>
        <v>5</v>
      </c>
      <c r="P2482" s="6"/>
      <c r="Q2482" s="6" t="str">
        <f t="shared" si="4"/>
        <v>Week 5</v>
      </c>
      <c r="R2482" s="6" t="str">
        <f t="shared" si="5"/>
        <v>2023Week 5</v>
      </c>
      <c r="S2482" s="6">
        <f>IFERROR(__xludf.DUMMYFUNCTION("rank(J2482,FILTER(J:J,R:R=R2482))"),8.0)</f>
        <v>8</v>
      </c>
      <c r="T2482" s="6">
        <f t="shared" si="6"/>
        <v>4</v>
      </c>
      <c r="U2482" s="6">
        <f t="shared" si="7"/>
        <v>8</v>
      </c>
      <c r="V2482" s="42">
        <f>averageif(AllData!A:A,B2482,AllData!R:R)/vlookup(B2482,AllData!A:O,15,0)</f>
        <v>93.35904762</v>
      </c>
      <c r="W2482" s="6"/>
    </row>
    <row r="2483" ht="14.25" customHeight="1">
      <c r="A2483" s="6" t="str">
        <f t="shared" si="28"/>
        <v>2023Tayski5</v>
      </c>
      <c r="B2483" s="59">
        <v>2023.0</v>
      </c>
      <c r="C2483" s="13" t="s">
        <v>52</v>
      </c>
      <c r="D2483" s="13" t="s">
        <v>141</v>
      </c>
      <c r="E2483" s="34"/>
      <c r="F2483" s="6"/>
      <c r="H2483" s="6"/>
      <c r="I2483" s="35" t="str">
        <f>IFERROR(IFERROR(IFERROR(VLOOKUP(B2483&amp;C2483&amp;Q2483,'New Weekly Paste'!A:M,10,0),VLOOKUP(B2483&amp;C2483&amp;Q2483,'New Weekly Paste'!B:O,6,0)),""),"")</f>
        <v>Ewert</v>
      </c>
      <c r="J2483" s="259">
        <f>IFERROR(IFERROR(VLOOKUP(B2483&amp;C2483&amp;Q2483,'New Weekly Paste'!A:M,8,0),VLOOKUP(B2483&amp;C2483&amp;Q2483,'New Weekly Paste'!B:O,10,0)),0)</f>
        <v>107.68</v>
      </c>
      <c r="K2483" s="259">
        <f>IFERROR(IFERROR(VLOOKUP(B2483&amp;I2483&amp;Q2483,'New Weekly Paste'!A:M,8,0),VLOOKUP(B2483&amp;I2483&amp;Q2483,'New Weekly Paste'!B:O,10,0)),0)</f>
        <v>48.74</v>
      </c>
      <c r="L2483" s="239">
        <f t="shared" si="25"/>
        <v>1</v>
      </c>
      <c r="M2483" s="36" t="str">
        <f t="shared" si="3"/>
        <v>Regular Season</v>
      </c>
      <c r="N2483" s="239" t="str">
        <f t="shared" si="26"/>
        <v>Ewert</v>
      </c>
      <c r="O2483" s="6">
        <f>VLOOKUP(D2483,'Mapped Opponent'!$G$4:$H$22,2,0)</f>
        <v>5</v>
      </c>
      <c r="P2483" s="6"/>
      <c r="Q2483" s="6" t="str">
        <f t="shared" si="4"/>
        <v>Week 5</v>
      </c>
      <c r="R2483" s="6" t="str">
        <f t="shared" si="5"/>
        <v>2023Week 5</v>
      </c>
      <c r="S2483" s="6">
        <f>IFERROR(__xludf.DUMMYFUNCTION("rank(J2483,FILTER(J:J,R:R=R2483))"),4.0)</f>
        <v>4</v>
      </c>
      <c r="T2483" s="6">
        <f t="shared" si="6"/>
        <v>8</v>
      </c>
      <c r="U2483" s="6">
        <f t="shared" si="7"/>
        <v>4</v>
      </c>
      <c r="V2483" s="42">
        <f>averageif(AllData!A:A,B2483,AllData!R:R)/vlookup(B2483,AllData!A:O,15,0)</f>
        <v>93.35904762</v>
      </c>
      <c r="W2483" s="6"/>
    </row>
    <row r="2484" ht="14.25" customHeight="1">
      <c r="A2484" s="6" t="str">
        <f t="shared" si="28"/>
        <v>2023KnardDawg5</v>
      </c>
      <c r="B2484" s="59">
        <v>2023.0</v>
      </c>
      <c r="C2484" s="13" t="s">
        <v>86</v>
      </c>
      <c r="D2484" s="13" t="s">
        <v>141</v>
      </c>
      <c r="E2484" s="34"/>
      <c r="F2484" s="6"/>
      <c r="H2484" s="6"/>
      <c r="I2484" s="35" t="str">
        <f>IFERROR(IFERROR(IFERROR(VLOOKUP(B2484&amp;C2484&amp;Q2484,'New Weekly Paste'!A:M,10,0),VLOOKUP(B2484&amp;C2484&amp;Q2484,'New Weekly Paste'!B:O,6,0)),""),"")</f>
        <v>Rooney/Jackson</v>
      </c>
      <c r="J2484" s="259">
        <f>IFERROR(IFERROR(VLOOKUP(B2484&amp;C2484&amp;Q2484,'New Weekly Paste'!A:M,8,0),VLOOKUP(B2484&amp;C2484&amp;Q2484,'New Weekly Paste'!B:O,10,0)),0)</f>
        <v>76.48</v>
      </c>
      <c r="K2484" s="259">
        <f>IFERROR(IFERROR(VLOOKUP(B2484&amp;I2484&amp;Q2484,'New Weekly Paste'!A:M,8,0),VLOOKUP(B2484&amp;I2484&amp;Q2484,'New Weekly Paste'!B:O,10,0)),0)</f>
        <v>111.44</v>
      </c>
      <c r="L2484" s="239">
        <f t="shared" si="25"/>
        <v>0</v>
      </c>
      <c r="M2484" s="36" t="str">
        <f t="shared" si="3"/>
        <v>Regular Season</v>
      </c>
      <c r="N2484" s="239" t="str">
        <f t="shared" si="26"/>
        <v>Rooney/Jackson</v>
      </c>
      <c r="O2484" s="6">
        <f>VLOOKUP(D2484,'Mapped Opponent'!$G$4:$H$22,2,0)</f>
        <v>5</v>
      </c>
      <c r="P2484" s="6"/>
      <c r="Q2484" s="6" t="str">
        <f t="shared" si="4"/>
        <v>Week 5</v>
      </c>
      <c r="R2484" s="6" t="str">
        <f t="shared" si="5"/>
        <v>2023Week 5</v>
      </c>
      <c r="S2484" s="6">
        <f>IFERROR(__xludf.DUMMYFUNCTION("rank(J2484,FILTER(J:J,R:R=R2484))"),10.0)</f>
        <v>10</v>
      </c>
      <c r="T2484" s="6">
        <f t="shared" si="6"/>
        <v>2</v>
      </c>
      <c r="U2484" s="6">
        <f t="shared" si="7"/>
        <v>10</v>
      </c>
      <c r="V2484" s="42">
        <f>averageif(AllData!A:A,B2484,AllData!R:R)/vlookup(B2484,AllData!A:O,15,0)</f>
        <v>93.35904762</v>
      </c>
      <c r="W2484" s="6"/>
    </row>
    <row r="2485" ht="14.25" customHeight="1">
      <c r="A2485" s="6" t="str">
        <f t="shared" si="28"/>
        <v>2023T-How5</v>
      </c>
      <c r="B2485" s="59">
        <v>2023.0</v>
      </c>
      <c r="C2485" s="13" t="s">
        <v>82</v>
      </c>
      <c r="D2485" s="13" t="s">
        <v>141</v>
      </c>
      <c r="E2485" s="34"/>
      <c r="F2485" s="6"/>
      <c r="H2485" s="6"/>
      <c r="I2485" s="35" t="str">
        <f>IFERROR(IFERROR(IFERROR(VLOOKUP(B2485&amp;C2485&amp;Q2485,'New Weekly Paste'!A:M,10,0),VLOOKUP(B2485&amp;C2485&amp;Q2485,'New Weekly Paste'!B:O,6,0)),""),"")</f>
        <v>Salty</v>
      </c>
      <c r="J2485" s="259">
        <f>IFERROR(IFERROR(VLOOKUP(B2485&amp;C2485&amp;Q2485,'New Weekly Paste'!A:M,8,0),VLOOKUP(B2485&amp;C2485&amp;Q2485,'New Weekly Paste'!B:O,10,0)),0)</f>
        <v>97.82</v>
      </c>
      <c r="K2485" s="259">
        <f>IFERROR(IFERROR(VLOOKUP(B2485&amp;I2485&amp;Q2485,'New Weekly Paste'!A:M,8,0),VLOOKUP(B2485&amp;I2485&amp;Q2485,'New Weekly Paste'!B:O,10,0)),0)</f>
        <v>145.66</v>
      </c>
      <c r="L2485" s="239">
        <f t="shared" si="25"/>
        <v>0</v>
      </c>
      <c r="M2485" s="36" t="str">
        <f t="shared" si="3"/>
        <v>Regular Season</v>
      </c>
      <c r="N2485" s="239" t="str">
        <f t="shared" si="26"/>
        <v>Salty</v>
      </c>
      <c r="O2485" s="6">
        <f>VLOOKUP(D2485,'Mapped Opponent'!$G$4:$H$22,2,0)</f>
        <v>5</v>
      </c>
      <c r="P2485" s="6"/>
      <c r="Q2485" s="6" t="str">
        <f t="shared" si="4"/>
        <v>Week 5</v>
      </c>
      <c r="R2485" s="6" t="str">
        <f t="shared" si="5"/>
        <v>2023Week 5</v>
      </c>
      <c r="S2485" s="6">
        <f>IFERROR(__xludf.DUMMYFUNCTION("rank(J2485,FILTER(J:J,R:R=R2485))"),7.0)</f>
        <v>7</v>
      </c>
      <c r="T2485" s="6">
        <f t="shared" si="6"/>
        <v>5</v>
      </c>
      <c r="U2485" s="6">
        <f t="shared" si="7"/>
        <v>7</v>
      </c>
      <c r="V2485" s="42">
        <f>averageif(AllData!A:A,B2485,AllData!R:R)/vlookup(B2485,AllData!A:O,15,0)</f>
        <v>93.35904762</v>
      </c>
      <c r="W2485" s="6"/>
    </row>
    <row r="2486" ht="14.25" customHeight="1">
      <c r="A2486" s="6" t="str">
        <f t="shared" si="28"/>
        <v>2023Hudspeath6</v>
      </c>
      <c r="B2486" s="59">
        <v>2023.0</v>
      </c>
      <c r="C2486" s="13" t="s">
        <v>39</v>
      </c>
      <c r="D2486" s="13" t="s">
        <v>142</v>
      </c>
      <c r="E2486" s="34"/>
      <c r="F2486" s="6"/>
      <c r="H2486" s="6"/>
      <c r="I2486" s="35" t="str">
        <f>IFERROR(IFERROR(IFERROR(VLOOKUP(B2486&amp;C2486&amp;Q2486,'New Weekly Paste'!A:M,10,0),VLOOKUP(B2486&amp;C2486&amp;Q2486,'New Weekly Paste'!B:O,6,0)),""),"")</f>
        <v>Pierson</v>
      </c>
      <c r="J2486" s="259">
        <f>IFERROR(IFERROR(VLOOKUP(B2486&amp;C2486&amp;Q2486,'New Weekly Paste'!A:M,8,0),VLOOKUP(B2486&amp;C2486&amp;Q2486,'New Weekly Paste'!B:O,10,0)),0)</f>
        <v>85.74</v>
      </c>
      <c r="K2486" s="259">
        <f>IFERROR(IFERROR(VLOOKUP(B2486&amp;I2486&amp;Q2486,'New Weekly Paste'!A:M,8,0),VLOOKUP(B2486&amp;I2486&amp;Q2486,'New Weekly Paste'!B:O,10,0)),0)</f>
        <v>87.6</v>
      </c>
      <c r="L2486" s="239">
        <f t="shared" si="25"/>
        <v>0</v>
      </c>
      <c r="M2486" s="36" t="str">
        <f t="shared" si="3"/>
        <v>Regular Season</v>
      </c>
      <c r="N2486" s="239" t="str">
        <f t="shared" si="26"/>
        <v>Pierson</v>
      </c>
      <c r="O2486" s="6">
        <f>VLOOKUP(D2486,'Mapped Opponent'!$G$4:$H$22,2,0)</f>
        <v>6</v>
      </c>
      <c r="P2486" s="6"/>
      <c r="Q2486" s="6" t="str">
        <f t="shared" si="4"/>
        <v>Week 6</v>
      </c>
      <c r="R2486" s="6" t="str">
        <f t="shared" si="5"/>
        <v>2023Week 6</v>
      </c>
      <c r="S2486" s="6">
        <f>IFERROR(__xludf.DUMMYFUNCTION("rank(J2486,FILTER(J:J,R:R=R2486))"),7.0)</f>
        <v>7</v>
      </c>
      <c r="T2486" s="6">
        <f t="shared" si="6"/>
        <v>5</v>
      </c>
      <c r="U2486" s="6">
        <f t="shared" si="7"/>
        <v>7</v>
      </c>
      <c r="V2486" s="42">
        <f>averageif(AllData!A:A,B2486,AllData!R:R)/vlookup(B2486,AllData!A:O,15,0)</f>
        <v>93.35904762</v>
      </c>
      <c r="W2486" s="6"/>
    </row>
    <row r="2487" ht="14.25" customHeight="1">
      <c r="A2487" s="6" t="str">
        <f t="shared" si="28"/>
        <v>2023Salty6</v>
      </c>
      <c r="B2487" s="59">
        <v>2023.0</v>
      </c>
      <c r="C2487" s="13" t="s">
        <v>76</v>
      </c>
      <c r="D2487" s="13" t="s">
        <v>142</v>
      </c>
      <c r="E2487" s="34"/>
      <c r="F2487" s="6"/>
      <c r="H2487" s="6"/>
      <c r="I2487" s="35" t="str">
        <f>IFERROR(IFERROR(IFERROR(VLOOKUP(B2487&amp;C2487&amp;Q2487,'New Weekly Paste'!A:M,10,0),VLOOKUP(B2487&amp;C2487&amp;Q2487,'New Weekly Paste'!B:O,6,0)),""),"")</f>
        <v>Ewert</v>
      </c>
      <c r="J2487" s="259">
        <f>IFERROR(IFERROR(VLOOKUP(B2487&amp;C2487&amp;Q2487,'New Weekly Paste'!A:M,8,0),VLOOKUP(B2487&amp;C2487&amp;Q2487,'New Weekly Paste'!B:O,10,0)),0)</f>
        <v>101.06</v>
      </c>
      <c r="K2487" s="259">
        <f>IFERROR(IFERROR(VLOOKUP(B2487&amp;I2487&amp;Q2487,'New Weekly Paste'!A:M,8,0),VLOOKUP(B2487&amp;I2487&amp;Q2487,'New Weekly Paste'!B:O,10,0)),0)</f>
        <v>88.54</v>
      </c>
      <c r="L2487" s="239">
        <f t="shared" si="25"/>
        <v>1</v>
      </c>
      <c r="M2487" s="36" t="str">
        <f t="shared" si="3"/>
        <v>Regular Season</v>
      </c>
      <c r="N2487" s="239" t="str">
        <f t="shared" si="26"/>
        <v>Ewert</v>
      </c>
      <c r="O2487" s="6">
        <f>VLOOKUP(D2487,'Mapped Opponent'!$G$4:$H$22,2,0)</f>
        <v>6</v>
      </c>
      <c r="P2487" s="6"/>
      <c r="Q2487" s="6" t="str">
        <f t="shared" si="4"/>
        <v>Week 6</v>
      </c>
      <c r="R2487" s="6" t="str">
        <f t="shared" si="5"/>
        <v>2023Week 6</v>
      </c>
      <c r="S2487" s="6">
        <f>IFERROR(__xludf.DUMMYFUNCTION("rank(J2487,FILTER(J:J,R:R=R2487))"),1.0)</f>
        <v>1</v>
      </c>
      <c r="T2487" s="6">
        <f t="shared" si="6"/>
        <v>11</v>
      </c>
      <c r="U2487" s="6">
        <f t="shared" si="7"/>
        <v>1</v>
      </c>
      <c r="V2487" s="42">
        <f>averageif(AllData!A:A,B2487,AllData!R:R)/vlookup(B2487,AllData!A:O,15,0)</f>
        <v>93.35904762</v>
      </c>
      <c r="W2487" s="6"/>
    </row>
    <row r="2488" ht="14.25" customHeight="1">
      <c r="A2488" s="6" t="str">
        <f t="shared" si="28"/>
        <v>2023Ewert6</v>
      </c>
      <c r="B2488" s="59">
        <v>2023.0</v>
      </c>
      <c r="C2488" s="13" t="s">
        <v>108</v>
      </c>
      <c r="D2488" s="13" t="s">
        <v>142</v>
      </c>
      <c r="E2488" s="34"/>
      <c r="F2488" s="6"/>
      <c r="H2488" s="6"/>
      <c r="I2488" s="35" t="str">
        <f>IFERROR(IFERROR(IFERROR(VLOOKUP(B2488&amp;C2488&amp;Q2488,'New Weekly Paste'!A:M,10,0),VLOOKUP(B2488&amp;C2488&amp;Q2488,'New Weekly Paste'!B:O,6,0)),""),"")</f>
        <v>Salty</v>
      </c>
      <c r="J2488" s="259">
        <f>IFERROR(IFERROR(VLOOKUP(B2488&amp;C2488&amp;Q2488,'New Weekly Paste'!A:M,8,0),VLOOKUP(B2488&amp;C2488&amp;Q2488,'New Weekly Paste'!B:O,10,0)),0)</f>
        <v>88.54</v>
      </c>
      <c r="K2488" s="259">
        <f>IFERROR(IFERROR(VLOOKUP(B2488&amp;I2488&amp;Q2488,'New Weekly Paste'!A:M,8,0),VLOOKUP(B2488&amp;I2488&amp;Q2488,'New Weekly Paste'!B:O,10,0)),0)</f>
        <v>101.06</v>
      </c>
      <c r="L2488" s="239">
        <f t="shared" si="25"/>
        <v>0</v>
      </c>
      <c r="M2488" s="36" t="str">
        <f t="shared" si="3"/>
        <v>Regular Season</v>
      </c>
      <c r="N2488" s="239" t="str">
        <f t="shared" si="26"/>
        <v>Salty</v>
      </c>
      <c r="O2488" s="6">
        <f>VLOOKUP(D2488,'Mapped Opponent'!$G$4:$H$22,2,0)</f>
        <v>6</v>
      </c>
      <c r="P2488" s="6"/>
      <c r="Q2488" s="6" t="str">
        <f t="shared" si="4"/>
        <v>Week 6</v>
      </c>
      <c r="R2488" s="6" t="str">
        <f t="shared" si="5"/>
        <v>2023Week 6</v>
      </c>
      <c r="S2488" s="6">
        <f>IFERROR(__xludf.DUMMYFUNCTION("rank(J2488,FILTER(J:J,R:R=R2488))"),3.0)</f>
        <v>3</v>
      </c>
      <c r="T2488" s="6">
        <f t="shared" si="6"/>
        <v>9</v>
      </c>
      <c r="U2488" s="6">
        <f t="shared" si="7"/>
        <v>3</v>
      </c>
      <c r="V2488" s="42">
        <f>averageif(AllData!A:A,B2488,AllData!R:R)/vlookup(B2488,AllData!A:O,15,0)</f>
        <v>93.35904762</v>
      </c>
      <c r="W2488" s="6"/>
    </row>
    <row r="2489" ht="14.25" customHeight="1">
      <c r="A2489" s="6" t="str">
        <f t="shared" si="28"/>
        <v>2023Shep6</v>
      </c>
      <c r="B2489" s="59">
        <v>2023.0</v>
      </c>
      <c r="C2489" s="13" t="s">
        <v>89</v>
      </c>
      <c r="D2489" s="13" t="s">
        <v>142</v>
      </c>
      <c r="E2489" s="34"/>
      <c r="F2489" s="6"/>
      <c r="H2489" s="6"/>
      <c r="I2489" s="35" t="str">
        <f>IFERROR(IFERROR(IFERROR(VLOOKUP(B2489&amp;C2489&amp;Q2489,'New Weekly Paste'!A:M,10,0),VLOOKUP(B2489&amp;C2489&amp;Q2489,'New Weekly Paste'!B:O,6,0)),""),"")</f>
        <v>KnardDawg</v>
      </c>
      <c r="J2489" s="259">
        <f>IFERROR(IFERROR(VLOOKUP(B2489&amp;C2489&amp;Q2489,'New Weekly Paste'!A:M,8,0),VLOOKUP(B2489&amp;C2489&amp;Q2489,'New Weekly Paste'!B:O,10,0)),0)</f>
        <v>77.24</v>
      </c>
      <c r="K2489" s="259">
        <f>IFERROR(IFERROR(VLOOKUP(B2489&amp;I2489&amp;Q2489,'New Weekly Paste'!A:M,8,0),VLOOKUP(B2489&amp;I2489&amp;Q2489,'New Weekly Paste'!B:O,10,0)),0)</f>
        <v>72.2</v>
      </c>
      <c r="L2489" s="239">
        <f t="shared" si="25"/>
        <v>1</v>
      </c>
      <c r="M2489" s="36" t="str">
        <f t="shared" si="3"/>
        <v>Regular Season</v>
      </c>
      <c r="N2489" s="239" t="str">
        <f t="shared" si="26"/>
        <v>KnardDawg</v>
      </c>
      <c r="O2489" s="6">
        <f>VLOOKUP(D2489,'Mapped Opponent'!$G$4:$H$22,2,0)</f>
        <v>6</v>
      </c>
      <c r="P2489" s="6"/>
      <c r="Q2489" s="6" t="str">
        <f t="shared" si="4"/>
        <v>Week 6</v>
      </c>
      <c r="R2489" s="6" t="str">
        <f t="shared" si="5"/>
        <v>2023Week 6</v>
      </c>
      <c r="S2489" s="6">
        <f>IFERROR(__xludf.DUMMYFUNCTION("rank(J2489,FILTER(J:J,R:R=R2489))"),9.0)</f>
        <v>9</v>
      </c>
      <c r="T2489" s="6">
        <f t="shared" si="6"/>
        <v>3</v>
      </c>
      <c r="U2489" s="6">
        <f t="shared" si="7"/>
        <v>9</v>
      </c>
      <c r="V2489" s="42">
        <f>averageif(AllData!A:A,B2489,AllData!R:R)/vlookup(B2489,AllData!A:O,15,0)</f>
        <v>93.35904762</v>
      </c>
      <c r="W2489" s="6"/>
    </row>
    <row r="2490" ht="14.25" customHeight="1">
      <c r="A2490" s="6" t="str">
        <f t="shared" si="28"/>
        <v>2023Riley6</v>
      </c>
      <c r="B2490" s="59">
        <v>2023.0</v>
      </c>
      <c r="C2490" s="13" t="s">
        <v>67</v>
      </c>
      <c r="D2490" s="13" t="s">
        <v>142</v>
      </c>
      <c r="E2490" s="34"/>
      <c r="F2490" s="6"/>
      <c r="H2490" s="6"/>
      <c r="I2490" s="35" t="str">
        <f>IFERROR(IFERROR(IFERROR(VLOOKUP(B2490&amp;C2490&amp;Q2490,'New Weekly Paste'!A:M,10,0),VLOOKUP(B2490&amp;C2490&amp;Q2490,'New Weekly Paste'!B:O,6,0)),""),"")</f>
        <v>Rooney/Jackson</v>
      </c>
      <c r="J2490" s="259">
        <f>IFERROR(IFERROR(VLOOKUP(B2490&amp;C2490&amp;Q2490,'New Weekly Paste'!A:M,8,0),VLOOKUP(B2490&amp;C2490&amp;Q2490,'New Weekly Paste'!B:O,10,0)),0)</f>
        <v>83</v>
      </c>
      <c r="K2490" s="259">
        <f>IFERROR(IFERROR(VLOOKUP(B2490&amp;I2490&amp;Q2490,'New Weekly Paste'!A:M,8,0),VLOOKUP(B2490&amp;I2490&amp;Q2490,'New Weekly Paste'!B:O,10,0)),0)</f>
        <v>86.02</v>
      </c>
      <c r="L2490" s="239">
        <f t="shared" si="25"/>
        <v>0</v>
      </c>
      <c r="M2490" s="36" t="str">
        <f t="shared" si="3"/>
        <v>Regular Season</v>
      </c>
      <c r="N2490" s="239" t="str">
        <f t="shared" si="26"/>
        <v>Rooney/Jackson</v>
      </c>
      <c r="O2490" s="6">
        <f>VLOOKUP(D2490,'Mapped Opponent'!$G$4:$H$22,2,0)</f>
        <v>6</v>
      </c>
      <c r="P2490" s="6"/>
      <c r="Q2490" s="6" t="str">
        <f t="shared" si="4"/>
        <v>Week 6</v>
      </c>
      <c r="R2490" s="6" t="str">
        <f t="shared" si="5"/>
        <v>2023Week 6</v>
      </c>
      <c r="S2490" s="6">
        <f>IFERROR(__xludf.DUMMYFUNCTION("rank(J2490,FILTER(J:J,R:R=R2490))"),8.0)</f>
        <v>8</v>
      </c>
      <c r="T2490" s="6">
        <f t="shared" si="6"/>
        <v>4</v>
      </c>
      <c r="U2490" s="6">
        <f t="shared" si="7"/>
        <v>8</v>
      </c>
      <c r="V2490" s="42">
        <f>averageif(AllData!A:A,B2490,AllData!R:R)/vlookup(B2490,AllData!A:O,15,0)</f>
        <v>93.35904762</v>
      </c>
      <c r="W2490" s="6"/>
    </row>
    <row r="2491" ht="14.25" customHeight="1">
      <c r="A2491" s="6" t="str">
        <f t="shared" si="28"/>
        <v>2023Rooney/Jackson6</v>
      </c>
      <c r="B2491" s="59">
        <v>2023.0</v>
      </c>
      <c r="C2491" s="13" t="s">
        <v>57</v>
      </c>
      <c r="D2491" s="13" t="s">
        <v>142</v>
      </c>
      <c r="E2491" s="34"/>
      <c r="F2491" s="6"/>
      <c r="H2491" s="6"/>
      <c r="I2491" s="35" t="str">
        <f>IFERROR(IFERROR(IFERROR(VLOOKUP(B2491&amp;C2491&amp;Q2491,'New Weekly Paste'!A:M,10,0),VLOOKUP(B2491&amp;C2491&amp;Q2491,'New Weekly Paste'!B:O,6,0)),""),"")</f>
        <v>Riley</v>
      </c>
      <c r="J2491" s="259">
        <f>IFERROR(IFERROR(VLOOKUP(B2491&amp;C2491&amp;Q2491,'New Weekly Paste'!A:M,8,0),VLOOKUP(B2491&amp;C2491&amp;Q2491,'New Weekly Paste'!B:O,10,0)),0)</f>
        <v>86.02</v>
      </c>
      <c r="K2491" s="259">
        <f>IFERROR(IFERROR(VLOOKUP(B2491&amp;I2491&amp;Q2491,'New Weekly Paste'!A:M,8,0),VLOOKUP(B2491&amp;I2491&amp;Q2491,'New Weekly Paste'!B:O,10,0)),0)</f>
        <v>83</v>
      </c>
      <c r="L2491" s="239">
        <f t="shared" si="25"/>
        <v>1</v>
      </c>
      <c r="M2491" s="36" t="str">
        <f t="shared" si="3"/>
        <v>Regular Season</v>
      </c>
      <c r="N2491" s="239" t="str">
        <f t="shared" si="26"/>
        <v>Riley</v>
      </c>
      <c r="O2491" s="6">
        <f>VLOOKUP(D2491,'Mapped Opponent'!$G$4:$H$22,2,0)</f>
        <v>6</v>
      </c>
      <c r="P2491" s="6"/>
      <c r="Q2491" s="6" t="str">
        <f t="shared" si="4"/>
        <v>Week 6</v>
      </c>
      <c r="R2491" s="6" t="str">
        <f t="shared" si="5"/>
        <v>2023Week 6</v>
      </c>
      <c r="S2491" s="6">
        <f>IFERROR(__xludf.DUMMYFUNCTION("rank(J2491,FILTER(J:J,R:R=R2491))"),6.0)</f>
        <v>6</v>
      </c>
      <c r="T2491" s="6">
        <f t="shared" si="6"/>
        <v>6</v>
      </c>
      <c r="U2491" s="6">
        <f t="shared" si="7"/>
        <v>6</v>
      </c>
      <c r="V2491" s="42">
        <f>averageif(AllData!A:A,B2491,AllData!R:R)/vlookup(B2491,AllData!A:O,15,0)</f>
        <v>93.35904762</v>
      </c>
      <c r="W2491" s="6"/>
    </row>
    <row r="2492" ht="14.25" customHeight="1">
      <c r="A2492" s="6" t="str">
        <f t="shared" si="28"/>
        <v>2023Buser6</v>
      </c>
      <c r="B2492" s="59">
        <v>2023.0</v>
      </c>
      <c r="C2492" s="13" t="s">
        <v>47</v>
      </c>
      <c r="D2492" s="13" t="s">
        <v>142</v>
      </c>
      <c r="E2492" s="34"/>
      <c r="F2492" s="6"/>
      <c r="H2492" s="6"/>
      <c r="I2492" s="35" t="str">
        <f>IFERROR(IFERROR(IFERROR(VLOOKUP(B2492&amp;C2492&amp;Q2492,'New Weekly Paste'!A:M,10,0),VLOOKUP(B2492&amp;C2492&amp;Q2492,'New Weekly Paste'!B:O,6,0)),""),"")</f>
        <v>T-How</v>
      </c>
      <c r="J2492" s="259">
        <f>IFERROR(IFERROR(VLOOKUP(B2492&amp;C2492&amp;Q2492,'New Weekly Paste'!A:M,8,0),VLOOKUP(B2492&amp;C2492&amp;Q2492,'New Weekly Paste'!B:O,10,0)),0)</f>
        <v>93.78</v>
      </c>
      <c r="K2492" s="259">
        <f>IFERROR(IFERROR(VLOOKUP(B2492&amp;I2492&amp;Q2492,'New Weekly Paste'!A:M,8,0),VLOOKUP(B2492&amp;I2492&amp;Q2492,'New Weekly Paste'!B:O,10,0)),0)</f>
        <v>86.28</v>
      </c>
      <c r="L2492" s="239">
        <f t="shared" si="25"/>
        <v>1</v>
      </c>
      <c r="M2492" s="36" t="str">
        <f t="shared" si="3"/>
        <v>Regular Season</v>
      </c>
      <c r="N2492" s="239" t="str">
        <f t="shared" si="26"/>
        <v>T-How</v>
      </c>
      <c r="O2492" s="6">
        <f>VLOOKUP(D2492,'Mapped Opponent'!$G$4:$H$22,2,0)</f>
        <v>6</v>
      </c>
      <c r="P2492" s="6"/>
      <c r="Q2492" s="6" t="str">
        <f t="shared" si="4"/>
        <v>Week 6</v>
      </c>
      <c r="R2492" s="6" t="str">
        <f t="shared" si="5"/>
        <v>2023Week 6</v>
      </c>
      <c r="S2492" s="6">
        <f>IFERROR(__xludf.DUMMYFUNCTION("rank(J2492,FILTER(J:J,R:R=R2492))"),2.0)</f>
        <v>2</v>
      </c>
      <c r="T2492" s="6">
        <f t="shared" si="6"/>
        <v>10</v>
      </c>
      <c r="U2492" s="6">
        <f t="shared" si="7"/>
        <v>2</v>
      </c>
      <c r="V2492" s="42">
        <f>averageif(AllData!A:A,B2492,AllData!R:R)/vlookup(B2492,AllData!A:O,15,0)</f>
        <v>93.35904762</v>
      </c>
      <c r="W2492" s="6"/>
    </row>
    <row r="2493" ht="14.25" customHeight="1">
      <c r="A2493" s="6" t="str">
        <f t="shared" si="28"/>
        <v>2023Pierson6</v>
      </c>
      <c r="B2493" s="59">
        <v>2023.0</v>
      </c>
      <c r="C2493" s="13" t="s">
        <v>92</v>
      </c>
      <c r="D2493" s="13" t="s">
        <v>142</v>
      </c>
      <c r="E2493" s="34"/>
      <c r="F2493" s="6"/>
      <c r="H2493" s="6"/>
      <c r="I2493" s="35" t="str">
        <f>IFERROR(IFERROR(IFERROR(VLOOKUP(B2493&amp;C2493&amp;Q2493,'New Weekly Paste'!A:M,10,0),VLOOKUP(B2493&amp;C2493&amp;Q2493,'New Weekly Paste'!B:O,6,0)),""),"")</f>
        <v>Hudspeath</v>
      </c>
      <c r="J2493" s="259">
        <f>IFERROR(IFERROR(VLOOKUP(B2493&amp;C2493&amp;Q2493,'New Weekly Paste'!A:M,8,0),VLOOKUP(B2493&amp;C2493&amp;Q2493,'New Weekly Paste'!B:O,10,0)),0)</f>
        <v>87.6</v>
      </c>
      <c r="K2493" s="259">
        <f>IFERROR(IFERROR(VLOOKUP(B2493&amp;I2493&amp;Q2493,'New Weekly Paste'!A:M,8,0),VLOOKUP(B2493&amp;I2493&amp;Q2493,'New Weekly Paste'!B:O,10,0)),0)</f>
        <v>85.74</v>
      </c>
      <c r="L2493" s="239">
        <f t="shared" si="25"/>
        <v>1</v>
      </c>
      <c r="M2493" s="36" t="str">
        <f t="shared" si="3"/>
        <v>Regular Season</v>
      </c>
      <c r="N2493" s="239" t="str">
        <f t="shared" si="26"/>
        <v>Hudspeath</v>
      </c>
      <c r="O2493" s="6">
        <f>VLOOKUP(D2493,'Mapped Opponent'!$G$4:$H$22,2,0)</f>
        <v>6</v>
      </c>
      <c r="P2493" s="6"/>
      <c r="Q2493" s="6" t="str">
        <f t="shared" si="4"/>
        <v>Week 6</v>
      </c>
      <c r="R2493" s="6" t="str">
        <f t="shared" si="5"/>
        <v>2023Week 6</v>
      </c>
      <c r="S2493" s="6">
        <f>IFERROR(__xludf.DUMMYFUNCTION("rank(J2493,FILTER(J:J,R:R=R2493))"),4.0)</f>
        <v>4</v>
      </c>
      <c r="T2493" s="6">
        <f t="shared" si="6"/>
        <v>8</v>
      </c>
      <c r="U2493" s="6">
        <f t="shared" si="7"/>
        <v>4</v>
      </c>
      <c r="V2493" s="42">
        <f>averageif(AllData!A:A,B2493,AllData!R:R)/vlookup(B2493,AllData!A:O,15,0)</f>
        <v>93.35904762</v>
      </c>
      <c r="W2493" s="6"/>
    </row>
    <row r="2494" ht="14.25" customHeight="1">
      <c r="A2494" s="6" t="str">
        <f t="shared" si="28"/>
        <v>2023Cock6</v>
      </c>
      <c r="B2494" s="59">
        <v>2023.0</v>
      </c>
      <c r="C2494" s="13" t="s">
        <v>72</v>
      </c>
      <c r="D2494" s="13" t="s">
        <v>142</v>
      </c>
      <c r="E2494" s="34"/>
      <c r="F2494" s="6"/>
      <c r="H2494" s="6"/>
      <c r="I2494" s="35" t="str">
        <f>IFERROR(IFERROR(IFERROR(VLOOKUP(B2494&amp;C2494&amp;Q2494,'New Weekly Paste'!A:M,10,0),VLOOKUP(B2494&amp;C2494&amp;Q2494,'New Weekly Paste'!B:O,6,0)),""),"")</f>
        <v>Tayski</v>
      </c>
      <c r="J2494" s="259">
        <f>IFERROR(IFERROR(VLOOKUP(B2494&amp;C2494&amp;Q2494,'New Weekly Paste'!A:M,8,0),VLOOKUP(B2494&amp;C2494&amp;Q2494,'New Weekly Paste'!B:O,10,0)),0)</f>
        <v>62.24</v>
      </c>
      <c r="K2494" s="259">
        <f>IFERROR(IFERROR(VLOOKUP(B2494&amp;I2494&amp;Q2494,'New Weekly Paste'!A:M,8,0),VLOOKUP(B2494&amp;I2494&amp;Q2494,'New Weekly Paste'!B:O,10,0)),0)</f>
        <v>74.02</v>
      </c>
      <c r="L2494" s="239">
        <f t="shared" si="25"/>
        <v>0</v>
      </c>
      <c r="M2494" s="36" t="str">
        <f t="shared" si="3"/>
        <v>Regular Season</v>
      </c>
      <c r="N2494" s="239" t="str">
        <f t="shared" si="26"/>
        <v>Tayski</v>
      </c>
      <c r="O2494" s="6">
        <f>VLOOKUP(D2494,'Mapped Opponent'!$G$4:$H$22,2,0)</f>
        <v>6</v>
      </c>
      <c r="P2494" s="6"/>
      <c r="Q2494" s="6" t="str">
        <f t="shared" si="4"/>
        <v>Week 6</v>
      </c>
      <c r="R2494" s="6" t="str">
        <f t="shared" si="5"/>
        <v>2023Week 6</v>
      </c>
      <c r="S2494" s="6">
        <f>IFERROR(__xludf.DUMMYFUNCTION("rank(J2494,FILTER(J:J,R:R=R2494))"),12.0)</f>
        <v>12</v>
      </c>
      <c r="T2494" s="6">
        <f t="shared" si="6"/>
        <v>0</v>
      </c>
      <c r="U2494" s="6">
        <f t="shared" si="7"/>
        <v>12</v>
      </c>
      <c r="V2494" s="42">
        <f>averageif(AllData!A:A,B2494,AllData!R:R)/vlookup(B2494,AllData!A:O,15,0)</f>
        <v>93.35904762</v>
      </c>
      <c r="W2494" s="6"/>
    </row>
    <row r="2495" ht="14.25" customHeight="1">
      <c r="A2495" s="6" t="str">
        <f t="shared" si="28"/>
        <v>2023Tayski6</v>
      </c>
      <c r="B2495" s="59">
        <v>2023.0</v>
      </c>
      <c r="C2495" s="13" t="s">
        <v>52</v>
      </c>
      <c r="D2495" s="13" t="s">
        <v>142</v>
      </c>
      <c r="E2495" s="34"/>
      <c r="F2495" s="6"/>
      <c r="H2495" s="6"/>
      <c r="I2495" s="35" t="str">
        <f>IFERROR(IFERROR(IFERROR(VLOOKUP(B2495&amp;C2495&amp;Q2495,'New Weekly Paste'!A:M,10,0),VLOOKUP(B2495&amp;C2495&amp;Q2495,'New Weekly Paste'!B:O,6,0)),""),"")</f>
        <v>Cock</v>
      </c>
      <c r="J2495" s="259">
        <f>IFERROR(IFERROR(VLOOKUP(B2495&amp;C2495&amp;Q2495,'New Weekly Paste'!A:M,8,0),VLOOKUP(B2495&amp;C2495&amp;Q2495,'New Weekly Paste'!B:O,10,0)),0)</f>
        <v>74.02</v>
      </c>
      <c r="K2495" s="259">
        <f>IFERROR(IFERROR(VLOOKUP(B2495&amp;I2495&amp;Q2495,'New Weekly Paste'!A:M,8,0),VLOOKUP(B2495&amp;I2495&amp;Q2495,'New Weekly Paste'!B:O,10,0)),0)</f>
        <v>62.24</v>
      </c>
      <c r="L2495" s="239">
        <f t="shared" si="25"/>
        <v>1</v>
      </c>
      <c r="M2495" s="36" t="str">
        <f t="shared" si="3"/>
        <v>Regular Season</v>
      </c>
      <c r="N2495" s="239" t="str">
        <f t="shared" si="26"/>
        <v>Cock</v>
      </c>
      <c r="O2495" s="6">
        <f>VLOOKUP(D2495,'Mapped Opponent'!$G$4:$H$22,2,0)</f>
        <v>6</v>
      </c>
      <c r="P2495" s="6"/>
      <c r="Q2495" s="6" t="str">
        <f t="shared" si="4"/>
        <v>Week 6</v>
      </c>
      <c r="R2495" s="6" t="str">
        <f t="shared" si="5"/>
        <v>2023Week 6</v>
      </c>
      <c r="S2495" s="6">
        <f>IFERROR(__xludf.DUMMYFUNCTION("rank(J2495,FILTER(J:J,R:R=R2495))"),10.0)</f>
        <v>10</v>
      </c>
      <c r="T2495" s="6">
        <f t="shared" si="6"/>
        <v>2</v>
      </c>
      <c r="U2495" s="6">
        <f t="shared" si="7"/>
        <v>10</v>
      </c>
      <c r="V2495" s="42">
        <f>averageif(AllData!A:A,B2495,AllData!R:R)/vlookup(B2495,AllData!A:O,15,0)</f>
        <v>93.35904762</v>
      </c>
      <c r="W2495" s="6"/>
    </row>
    <row r="2496" ht="14.25" customHeight="1">
      <c r="A2496" s="6" t="str">
        <f t="shared" si="28"/>
        <v>2023KnardDawg6</v>
      </c>
      <c r="B2496" s="59">
        <v>2023.0</v>
      </c>
      <c r="C2496" s="13" t="s">
        <v>86</v>
      </c>
      <c r="D2496" s="13" t="s">
        <v>142</v>
      </c>
      <c r="E2496" s="34"/>
      <c r="F2496" s="6"/>
      <c r="H2496" s="6"/>
      <c r="I2496" s="35" t="str">
        <f>IFERROR(IFERROR(IFERROR(VLOOKUP(B2496&amp;C2496&amp;Q2496,'New Weekly Paste'!A:M,10,0),VLOOKUP(B2496&amp;C2496&amp;Q2496,'New Weekly Paste'!B:O,6,0)),""),"")</f>
        <v>Shep</v>
      </c>
      <c r="J2496" s="259">
        <f>IFERROR(IFERROR(VLOOKUP(B2496&amp;C2496&amp;Q2496,'New Weekly Paste'!A:M,8,0),VLOOKUP(B2496&amp;C2496&amp;Q2496,'New Weekly Paste'!B:O,10,0)),0)</f>
        <v>72.2</v>
      </c>
      <c r="K2496" s="259">
        <f>IFERROR(IFERROR(VLOOKUP(B2496&amp;I2496&amp;Q2496,'New Weekly Paste'!A:M,8,0),VLOOKUP(B2496&amp;I2496&amp;Q2496,'New Weekly Paste'!B:O,10,0)),0)</f>
        <v>77.24</v>
      </c>
      <c r="L2496" s="239">
        <f t="shared" si="25"/>
        <v>0</v>
      </c>
      <c r="M2496" s="36" t="str">
        <f t="shared" si="3"/>
        <v>Regular Season</v>
      </c>
      <c r="N2496" s="239" t="str">
        <f t="shared" si="26"/>
        <v>Shep</v>
      </c>
      <c r="O2496" s="6">
        <f>VLOOKUP(D2496,'Mapped Opponent'!$G$4:$H$22,2,0)</f>
        <v>6</v>
      </c>
      <c r="P2496" s="6"/>
      <c r="Q2496" s="6" t="str">
        <f t="shared" si="4"/>
        <v>Week 6</v>
      </c>
      <c r="R2496" s="6" t="str">
        <f t="shared" si="5"/>
        <v>2023Week 6</v>
      </c>
      <c r="S2496" s="6">
        <f>IFERROR(__xludf.DUMMYFUNCTION("rank(J2496,FILTER(J:J,R:R=R2496))"),11.0)</f>
        <v>11</v>
      </c>
      <c r="T2496" s="6">
        <f t="shared" si="6"/>
        <v>1</v>
      </c>
      <c r="U2496" s="6">
        <f t="shared" si="7"/>
        <v>11</v>
      </c>
      <c r="V2496" s="42">
        <f>averageif(AllData!A:A,B2496,AllData!R:R)/vlookup(B2496,AllData!A:O,15,0)</f>
        <v>93.35904762</v>
      </c>
      <c r="W2496" s="6"/>
    </row>
    <row r="2497" ht="14.25" customHeight="1">
      <c r="A2497" s="6" t="str">
        <f t="shared" si="28"/>
        <v>2023T-How6</v>
      </c>
      <c r="B2497" s="59">
        <v>2023.0</v>
      </c>
      <c r="C2497" s="13" t="s">
        <v>82</v>
      </c>
      <c r="D2497" s="13" t="s">
        <v>142</v>
      </c>
      <c r="E2497" s="34"/>
      <c r="F2497" s="6"/>
      <c r="H2497" s="6"/>
      <c r="I2497" s="35" t="str">
        <f>IFERROR(IFERROR(IFERROR(VLOOKUP(B2497&amp;C2497&amp;Q2497,'New Weekly Paste'!A:M,10,0),VLOOKUP(B2497&amp;C2497&amp;Q2497,'New Weekly Paste'!B:O,6,0)),""),"")</f>
        <v>Buser</v>
      </c>
      <c r="J2497" s="259">
        <f>IFERROR(IFERROR(VLOOKUP(B2497&amp;C2497&amp;Q2497,'New Weekly Paste'!A:M,8,0),VLOOKUP(B2497&amp;C2497&amp;Q2497,'New Weekly Paste'!B:O,10,0)),0)</f>
        <v>86.28</v>
      </c>
      <c r="K2497" s="259">
        <f>IFERROR(IFERROR(VLOOKUP(B2497&amp;I2497&amp;Q2497,'New Weekly Paste'!A:M,8,0),VLOOKUP(B2497&amp;I2497&amp;Q2497,'New Weekly Paste'!B:O,10,0)),0)</f>
        <v>93.78</v>
      </c>
      <c r="L2497" s="239">
        <f t="shared" si="25"/>
        <v>0</v>
      </c>
      <c r="M2497" s="36" t="str">
        <f t="shared" si="3"/>
        <v>Regular Season</v>
      </c>
      <c r="N2497" s="239" t="str">
        <f t="shared" si="26"/>
        <v>Buser</v>
      </c>
      <c r="O2497" s="6">
        <f>VLOOKUP(D2497,'Mapped Opponent'!$G$4:$H$22,2,0)</f>
        <v>6</v>
      </c>
      <c r="P2497" s="6"/>
      <c r="Q2497" s="6" t="str">
        <f t="shared" si="4"/>
        <v>Week 6</v>
      </c>
      <c r="R2497" s="6" t="str">
        <f t="shared" si="5"/>
        <v>2023Week 6</v>
      </c>
      <c r="S2497" s="6">
        <f>IFERROR(__xludf.DUMMYFUNCTION("rank(J2497,FILTER(J:J,R:R=R2497))"),5.0)</f>
        <v>5</v>
      </c>
      <c r="T2497" s="6">
        <f t="shared" si="6"/>
        <v>7</v>
      </c>
      <c r="U2497" s="6">
        <f t="shared" si="7"/>
        <v>5</v>
      </c>
      <c r="V2497" s="42">
        <f>averageif(AllData!A:A,B2497,AllData!R:R)/vlookup(B2497,AllData!A:O,15,0)</f>
        <v>93.35904762</v>
      </c>
      <c r="W2497" s="6"/>
    </row>
    <row r="2498" ht="14.25" customHeight="1">
      <c r="A2498" s="6" t="str">
        <f t="shared" si="28"/>
        <v>2023Hudspeath7</v>
      </c>
      <c r="B2498" s="59">
        <v>2023.0</v>
      </c>
      <c r="C2498" s="13" t="s">
        <v>39</v>
      </c>
      <c r="D2498" s="13" t="s">
        <v>143</v>
      </c>
      <c r="E2498" s="34"/>
      <c r="F2498" s="6"/>
      <c r="H2498" s="6"/>
      <c r="I2498" s="35" t="str">
        <f>IFERROR(IFERROR(IFERROR(VLOOKUP(B2498&amp;C2498&amp;Q2498,'New Weekly Paste'!A:M,10,0),VLOOKUP(B2498&amp;C2498&amp;Q2498,'New Weekly Paste'!B:O,6,0)),""),"")</f>
        <v>Rooney/Jackson</v>
      </c>
      <c r="J2498" s="259">
        <f>IFERROR(IFERROR(VLOOKUP(B2498&amp;C2498&amp;Q2498,'New Weekly Paste'!A:M,8,0),VLOOKUP(B2498&amp;C2498&amp;Q2498,'New Weekly Paste'!B:O,10,0)),0)</f>
        <v>115.76</v>
      </c>
      <c r="K2498" s="259">
        <f>IFERROR(IFERROR(VLOOKUP(B2498&amp;I2498&amp;Q2498,'New Weekly Paste'!A:M,8,0),VLOOKUP(B2498&amp;I2498&amp;Q2498,'New Weekly Paste'!B:O,10,0)),0)</f>
        <v>96.88</v>
      </c>
      <c r="L2498" s="239">
        <f t="shared" si="25"/>
        <v>1</v>
      </c>
      <c r="M2498" s="36" t="str">
        <f t="shared" si="3"/>
        <v>Regular Season</v>
      </c>
      <c r="N2498" s="239" t="str">
        <f t="shared" si="26"/>
        <v>Rooney/Jackson</v>
      </c>
      <c r="O2498" s="6">
        <f>VLOOKUP(D2498,'Mapped Opponent'!$G$4:$H$22,2,0)</f>
        <v>7</v>
      </c>
      <c r="P2498" s="6"/>
      <c r="Q2498" s="6" t="str">
        <f t="shared" si="4"/>
        <v>Week 7</v>
      </c>
      <c r="R2498" s="6" t="str">
        <f t="shared" si="5"/>
        <v>2023Week 7</v>
      </c>
      <c r="S2498" s="6">
        <f>IFERROR(__xludf.DUMMYFUNCTION("rank(J2498,FILTER(J:J,R:R=R2498))"),1.0)</f>
        <v>1</v>
      </c>
      <c r="T2498" s="6">
        <f t="shared" si="6"/>
        <v>11</v>
      </c>
      <c r="U2498" s="6">
        <f t="shared" si="7"/>
        <v>1</v>
      </c>
      <c r="V2498" s="42">
        <f>averageif(AllData!A:A,B2498,AllData!R:R)/vlookup(B2498,AllData!A:O,15,0)</f>
        <v>93.35904762</v>
      </c>
      <c r="W2498" s="6"/>
    </row>
    <row r="2499" ht="14.25" customHeight="1">
      <c r="A2499" s="6" t="str">
        <f t="shared" si="28"/>
        <v>2023Salty7</v>
      </c>
      <c r="B2499" s="59">
        <v>2023.0</v>
      </c>
      <c r="C2499" s="13" t="s">
        <v>76</v>
      </c>
      <c r="D2499" s="13" t="s">
        <v>143</v>
      </c>
      <c r="E2499" s="34"/>
      <c r="F2499" s="6"/>
      <c r="H2499" s="6"/>
      <c r="I2499" s="35" t="str">
        <f>IFERROR(IFERROR(IFERROR(VLOOKUP(B2499&amp;C2499&amp;Q2499,'New Weekly Paste'!A:M,10,0),VLOOKUP(B2499&amp;C2499&amp;Q2499,'New Weekly Paste'!B:O,6,0)),""),"")</f>
        <v>Cock</v>
      </c>
      <c r="J2499" s="259">
        <f>IFERROR(IFERROR(VLOOKUP(B2499&amp;C2499&amp;Q2499,'New Weekly Paste'!A:M,8,0),VLOOKUP(B2499&amp;C2499&amp;Q2499,'New Weekly Paste'!B:O,10,0)),0)</f>
        <v>111.3</v>
      </c>
      <c r="K2499" s="259">
        <f>IFERROR(IFERROR(VLOOKUP(B2499&amp;I2499&amp;Q2499,'New Weekly Paste'!A:M,8,0),VLOOKUP(B2499&amp;I2499&amp;Q2499,'New Weekly Paste'!B:O,10,0)),0)</f>
        <v>78.86</v>
      </c>
      <c r="L2499" s="239">
        <f t="shared" si="25"/>
        <v>1</v>
      </c>
      <c r="M2499" s="36" t="str">
        <f t="shared" si="3"/>
        <v>Regular Season</v>
      </c>
      <c r="N2499" s="239" t="str">
        <f t="shared" si="26"/>
        <v>Cock</v>
      </c>
      <c r="O2499" s="6">
        <f>VLOOKUP(D2499,'Mapped Opponent'!$G$4:$H$22,2,0)</f>
        <v>7</v>
      </c>
      <c r="P2499" s="6"/>
      <c r="Q2499" s="6" t="str">
        <f t="shared" si="4"/>
        <v>Week 7</v>
      </c>
      <c r="R2499" s="6" t="str">
        <f t="shared" si="5"/>
        <v>2023Week 7</v>
      </c>
      <c r="S2499" s="6">
        <f>IFERROR(__xludf.DUMMYFUNCTION("rank(J2499,FILTER(J:J,R:R=R2499))"),2.0)</f>
        <v>2</v>
      </c>
      <c r="T2499" s="6">
        <f t="shared" si="6"/>
        <v>10</v>
      </c>
      <c r="U2499" s="6">
        <f t="shared" si="7"/>
        <v>2</v>
      </c>
      <c r="V2499" s="42">
        <f>averageif(AllData!A:A,B2499,AllData!R:R)/vlookup(B2499,AllData!A:O,15,0)</f>
        <v>93.35904762</v>
      </c>
      <c r="W2499" s="6"/>
    </row>
    <row r="2500" ht="14.25" customHeight="1">
      <c r="A2500" s="6" t="str">
        <f t="shared" si="28"/>
        <v>2023Ewert7</v>
      </c>
      <c r="B2500" s="59">
        <v>2023.0</v>
      </c>
      <c r="C2500" s="13" t="s">
        <v>108</v>
      </c>
      <c r="D2500" s="13" t="s">
        <v>143</v>
      </c>
      <c r="E2500" s="34"/>
      <c r="F2500" s="6"/>
      <c r="H2500" s="6"/>
      <c r="I2500" s="35" t="str">
        <f>IFERROR(IFERROR(IFERROR(VLOOKUP(B2500&amp;C2500&amp;Q2500,'New Weekly Paste'!A:M,10,0),VLOOKUP(B2500&amp;C2500&amp;Q2500,'New Weekly Paste'!B:O,6,0)),""),"")</f>
        <v>T-How</v>
      </c>
      <c r="J2500" s="259">
        <f>IFERROR(IFERROR(VLOOKUP(B2500&amp;C2500&amp;Q2500,'New Weekly Paste'!A:M,8,0),VLOOKUP(B2500&amp;C2500&amp;Q2500,'New Weekly Paste'!B:O,10,0)),0)</f>
        <v>85.36</v>
      </c>
      <c r="K2500" s="259">
        <f>IFERROR(IFERROR(VLOOKUP(B2500&amp;I2500&amp;Q2500,'New Weekly Paste'!A:M,8,0),VLOOKUP(B2500&amp;I2500&amp;Q2500,'New Weekly Paste'!B:O,10,0)),0)</f>
        <v>97.76</v>
      </c>
      <c r="L2500" s="239">
        <f t="shared" si="25"/>
        <v>0</v>
      </c>
      <c r="M2500" s="36" t="str">
        <f t="shared" si="3"/>
        <v>Regular Season</v>
      </c>
      <c r="N2500" s="239" t="str">
        <f t="shared" si="26"/>
        <v>T-How</v>
      </c>
      <c r="O2500" s="6">
        <f>VLOOKUP(D2500,'Mapped Opponent'!$G$4:$H$22,2,0)</f>
        <v>7</v>
      </c>
      <c r="P2500" s="6"/>
      <c r="Q2500" s="6" t="str">
        <f t="shared" si="4"/>
        <v>Week 7</v>
      </c>
      <c r="R2500" s="6" t="str">
        <f t="shared" si="5"/>
        <v>2023Week 7</v>
      </c>
      <c r="S2500" s="6">
        <f>IFERROR(__xludf.DUMMYFUNCTION("rank(J2500,FILTER(J:J,R:R=R2500))"),6.0)</f>
        <v>6</v>
      </c>
      <c r="T2500" s="6">
        <f t="shared" si="6"/>
        <v>6</v>
      </c>
      <c r="U2500" s="6">
        <f t="shared" si="7"/>
        <v>6</v>
      </c>
      <c r="V2500" s="42">
        <f>averageif(AllData!A:A,B2500,AllData!R:R)/vlookup(B2500,AllData!A:O,15,0)</f>
        <v>93.35904762</v>
      </c>
      <c r="W2500" s="6"/>
    </row>
    <row r="2501" ht="14.25" customHeight="1">
      <c r="A2501" s="6" t="str">
        <f t="shared" si="28"/>
        <v>2023Shep7</v>
      </c>
      <c r="B2501" s="59">
        <v>2023.0</v>
      </c>
      <c r="C2501" s="13" t="s">
        <v>89</v>
      </c>
      <c r="D2501" s="13" t="s">
        <v>143</v>
      </c>
      <c r="E2501" s="34"/>
      <c r="F2501" s="6"/>
      <c r="H2501" s="6"/>
      <c r="I2501" s="35" t="str">
        <f>IFERROR(IFERROR(IFERROR(VLOOKUP(B2501&amp;C2501&amp;Q2501,'New Weekly Paste'!A:M,10,0),VLOOKUP(B2501&amp;C2501&amp;Q2501,'New Weekly Paste'!B:O,6,0)),""),"")</f>
        <v>Riley</v>
      </c>
      <c r="J2501" s="259">
        <f>IFERROR(IFERROR(VLOOKUP(B2501&amp;C2501&amp;Q2501,'New Weekly Paste'!A:M,8,0),VLOOKUP(B2501&amp;C2501&amp;Q2501,'New Weekly Paste'!B:O,10,0)),0)</f>
        <v>75.24</v>
      </c>
      <c r="K2501" s="259">
        <f>IFERROR(IFERROR(VLOOKUP(B2501&amp;I2501&amp;Q2501,'New Weekly Paste'!A:M,8,0),VLOOKUP(B2501&amp;I2501&amp;Q2501,'New Weekly Paste'!B:O,10,0)),0)</f>
        <v>90.4</v>
      </c>
      <c r="L2501" s="239">
        <f t="shared" si="25"/>
        <v>0</v>
      </c>
      <c r="M2501" s="36" t="str">
        <f t="shared" si="3"/>
        <v>Regular Season</v>
      </c>
      <c r="N2501" s="239" t="str">
        <f t="shared" si="26"/>
        <v>Riley</v>
      </c>
      <c r="O2501" s="6">
        <f>VLOOKUP(D2501,'Mapped Opponent'!$G$4:$H$22,2,0)</f>
        <v>7</v>
      </c>
      <c r="P2501" s="6"/>
      <c r="Q2501" s="6" t="str">
        <f t="shared" si="4"/>
        <v>Week 7</v>
      </c>
      <c r="R2501" s="6" t="str">
        <f t="shared" si="5"/>
        <v>2023Week 7</v>
      </c>
      <c r="S2501" s="6">
        <f>IFERROR(__xludf.DUMMYFUNCTION("rank(J2501,FILTER(J:J,R:R=R2501))"),11.0)</f>
        <v>11</v>
      </c>
      <c r="T2501" s="6">
        <f t="shared" si="6"/>
        <v>1</v>
      </c>
      <c r="U2501" s="6">
        <f t="shared" si="7"/>
        <v>11</v>
      </c>
      <c r="V2501" s="42">
        <f>averageif(AllData!A:A,B2501,AllData!R:R)/vlookup(B2501,AllData!A:O,15,0)</f>
        <v>93.35904762</v>
      </c>
      <c r="W2501" s="6"/>
    </row>
    <row r="2502" ht="14.25" customHeight="1">
      <c r="A2502" s="6" t="str">
        <f t="shared" si="28"/>
        <v>2023Riley7</v>
      </c>
      <c r="B2502" s="59">
        <v>2023.0</v>
      </c>
      <c r="C2502" s="13" t="s">
        <v>67</v>
      </c>
      <c r="D2502" s="13" t="s">
        <v>143</v>
      </c>
      <c r="E2502" s="34"/>
      <c r="F2502" s="6"/>
      <c r="H2502" s="6"/>
      <c r="I2502" s="35" t="str">
        <f>IFERROR(IFERROR(IFERROR(VLOOKUP(B2502&amp;C2502&amp;Q2502,'New Weekly Paste'!A:M,10,0),VLOOKUP(B2502&amp;C2502&amp;Q2502,'New Weekly Paste'!B:O,6,0)),""),"")</f>
        <v>Shep</v>
      </c>
      <c r="J2502" s="259">
        <f>IFERROR(IFERROR(VLOOKUP(B2502&amp;C2502&amp;Q2502,'New Weekly Paste'!A:M,8,0),VLOOKUP(B2502&amp;C2502&amp;Q2502,'New Weekly Paste'!B:O,10,0)),0)</f>
        <v>90.4</v>
      </c>
      <c r="K2502" s="259">
        <f>IFERROR(IFERROR(VLOOKUP(B2502&amp;I2502&amp;Q2502,'New Weekly Paste'!A:M,8,0),VLOOKUP(B2502&amp;I2502&amp;Q2502,'New Weekly Paste'!B:O,10,0)),0)</f>
        <v>75.24</v>
      </c>
      <c r="L2502" s="239">
        <f t="shared" si="25"/>
        <v>1</v>
      </c>
      <c r="M2502" s="36" t="str">
        <f t="shared" si="3"/>
        <v>Regular Season</v>
      </c>
      <c r="N2502" s="239" t="str">
        <f t="shared" si="26"/>
        <v>Shep</v>
      </c>
      <c r="O2502" s="6">
        <f>VLOOKUP(D2502,'Mapped Opponent'!$G$4:$H$22,2,0)</f>
        <v>7</v>
      </c>
      <c r="P2502" s="6"/>
      <c r="Q2502" s="6" t="str">
        <f t="shared" si="4"/>
        <v>Week 7</v>
      </c>
      <c r="R2502" s="6" t="str">
        <f t="shared" si="5"/>
        <v>2023Week 7</v>
      </c>
      <c r="S2502" s="6">
        <f>IFERROR(__xludf.DUMMYFUNCTION("rank(J2502,FILTER(J:J,R:R=R2502))"),5.0)</f>
        <v>5</v>
      </c>
      <c r="T2502" s="6">
        <f t="shared" si="6"/>
        <v>7</v>
      </c>
      <c r="U2502" s="6">
        <f t="shared" si="7"/>
        <v>5</v>
      </c>
      <c r="V2502" s="42">
        <f>averageif(AllData!A:A,B2502,AllData!R:R)/vlookup(B2502,AllData!A:O,15,0)</f>
        <v>93.35904762</v>
      </c>
      <c r="W2502" s="6"/>
    </row>
    <row r="2503" ht="14.25" customHeight="1">
      <c r="A2503" s="6" t="str">
        <f t="shared" si="28"/>
        <v>2023Rooney/Jackson7</v>
      </c>
      <c r="B2503" s="59">
        <v>2023.0</v>
      </c>
      <c r="C2503" s="13" t="s">
        <v>57</v>
      </c>
      <c r="D2503" s="13" t="s">
        <v>143</v>
      </c>
      <c r="E2503" s="34"/>
      <c r="F2503" s="6"/>
      <c r="H2503" s="6"/>
      <c r="I2503" s="35" t="str">
        <f>IFERROR(IFERROR(IFERROR(VLOOKUP(B2503&amp;C2503&amp;Q2503,'New Weekly Paste'!A:M,10,0),VLOOKUP(B2503&amp;C2503&amp;Q2503,'New Weekly Paste'!B:O,6,0)),""),"")</f>
        <v>Hudspeath</v>
      </c>
      <c r="J2503" s="259">
        <f>IFERROR(IFERROR(VLOOKUP(B2503&amp;C2503&amp;Q2503,'New Weekly Paste'!A:M,8,0),VLOOKUP(B2503&amp;C2503&amp;Q2503,'New Weekly Paste'!B:O,10,0)),0)</f>
        <v>96.88</v>
      </c>
      <c r="K2503" s="259">
        <f>IFERROR(IFERROR(VLOOKUP(B2503&amp;I2503&amp;Q2503,'New Weekly Paste'!A:M,8,0),VLOOKUP(B2503&amp;I2503&amp;Q2503,'New Weekly Paste'!B:O,10,0)),0)</f>
        <v>115.76</v>
      </c>
      <c r="L2503" s="239">
        <f t="shared" si="25"/>
        <v>0</v>
      </c>
      <c r="M2503" s="36" t="str">
        <f t="shared" si="3"/>
        <v>Regular Season</v>
      </c>
      <c r="N2503" s="239" t="str">
        <f t="shared" si="26"/>
        <v>Hudspeath</v>
      </c>
      <c r="O2503" s="6">
        <f>VLOOKUP(D2503,'Mapped Opponent'!$G$4:$H$22,2,0)</f>
        <v>7</v>
      </c>
      <c r="P2503" s="6"/>
      <c r="Q2503" s="6" t="str">
        <f t="shared" si="4"/>
        <v>Week 7</v>
      </c>
      <c r="R2503" s="6" t="str">
        <f t="shared" si="5"/>
        <v>2023Week 7</v>
      </c>
      <c r="S2503" s="6">
        <f>IFERROR(__xludf.DUMMYFUNCTION("rank(J2503,FILTER(J:J,R:R=R2503))"),4.0)</f>
        <v>4</v>
      </c>
      <c r="T2503" s="6">
        <f t="shared" si="6"/>
        <v>8</v>
      </c>
      <c r="U2503" s="6">
        <f t="shared" si="7"/>
        <v>4</v>
      </c>
      <c r="V2503" s="42">
        <f>averageif(AllData!A:A,B2503,AllData!R:R)/vlookup(B2503,AllData!A:O,15,0)</f>
        <v>93.35904762</v>
      </c>
      <c r="W2503" s="6"/>
    </row>
    <row r="2504" ht="14.25" customHeight="1">
      <c r="A2504" s="6" t="str">
        <f t="shared" si="28"/>
        <v>2023Buser7</v>
      </c>
      <c r="B2504" s="59">
        <v>2023.0</v>
      </c>
      <c r="C2504" s="13" t="s">
        <v>47</v>
      </c>
      <c r="D2504" s="13" t="s">
        <v>143</v>
      </c>
      <c r="E2504" s="34"/>
      <c r="F2504" s="6"/>
      <c r="H2504" s="6"/>
      <c r="I2504" s="35" t="str">
        <f>IFERROR(IFERROR(IFERROR(VLOOKUP(B2504&amp;C2504&amp;Q2504,'New Weekly Paste'!A:M,10,0),VLOOKUP(B2504&amp;C2504&amp;Q2504,'New Weekly Paste'!B:O,6,0)),""),"")</f>
        <v>KnardDawg</v>
      </c>
      <c r="J2504" s="259">
        <f>IFERROR(IFERROR(VLOOKUP(B2504&amp;C2504&amp;Q2504,'New Weekly Paste'!A:M,8,0),VLOOKUP(B2504&amp;C2504&amp;Q2504,'New Weekly Paste'!B:O,10,0)),0)</f>
        <v>84.14</v>
      </c>
      <c r="K2504" s="259">
        <f>IFERROR(IFERROR(VLOOKUP(B2504&amp;I2504&amp;Q2504,'New Weekly Paste'!A:M,8,0),VLOOKUP(B2504&amp;I2504&amp;Q2504,'New Weekly Paste'!B:O,10,0)),0)</f>
        <v>65.48</v>
      </c>
      <c r="L2504" s="239">
        <f t="shared" si="25"/>
        <v>1</v>
      </c>
      <c r="M2504" s="36" t="str">
        <f t="shared" si="3"/>
        <v>Regular Season</v>
      </c>
      <c r="N2504" s="239" t="str">
        <f t="shared" si="26"/>
        <v>KnardDawg</v>
      </c>
      <c r="O2504" s="6">
        <f>VLOOKUP(D2504,'Mapped Opponent'!$G$4:$H$22,2,0)</f>
        <v>7</v>
      </c>
      <c r="P2504" s="6"/>
      <c r="Q2504" s="6" t="str">
        <f t="shared" si="4"/>
        <v>Week 7</v>
      </c>
      <c r="R2504" s="6" t="str">
        <f t="shared" si="5"/>
        <v>2023Week 7</v>
      </c>
      <c r="S2504" s="6">
        <f>IFERROR(__xludf.DUMMYFUNCTION("rank(J2504,FILTER(J:J,R:R=R2504))"),7.0)</f>
        <v>7</v>
      </c>
      <c r="T2504" s="6">
        <f t="shared" si="6"/>
        <v>5</v>
      </c>
      <c r="U2504" s="6">
        <f t="shared" si="7"/>
        <v>7</v>
      </c>
      <c r="V2504" s="42">
        <f>averageif(AllData!A:A,B2504,AllData!R:R)/vlookup(B2504,AllData!A:O,15,0)</f>
        <v>93.35904762</v>
      </c>
      <c r="W2504" s="6"/>
    </row>
    <row r="2505" ht="14.25" customHeight="1">
      <c r="A2505" s="6" t="str">
        <f t="shared" si="28"/>
        <v>2023Pierson7</v>
      </c>
      <c r="B2505" s="59">
        <v>2023.0</v>
      </c>
      <c r="C2505" s="13" t="s">
        <v>92</v>
      </c>
      <c r="D2505" s="13" t="s">
        <v>143</v>
      </c>
      <c r="E2505" s="34"/>
      <c r="F2505" s="6"/>
      <c r="H2505" s="6"/>
      <c r="I2505" s="35" t="str">
        <f>IFERROR(IFERROR(IFERROR(VLOOKUP(B2505&amp;C2505&amp;Q2505,'New Weekly Paste'!A:M,10,0),VLOOKUP(B2505&amp;C2505&amp;Q2505,'New Weekly Paste'!B:O,6,0)),""),"")</f>
        <v>Tayski</v>
      </c>
      <c r="J2505" s="259">
        <f>IFERROR(IFERROR(VLOOKUP(B2505&amp;C2505&amp;Q2505,'New Weekly Paste'!A:M,8,0),VLOOKUP(B2505&amp;C2505&amp;Q2505,'New Weekly Paste'!B:O,10,0)),0)</f>
        <v>81.96</v>
      </c>
      <c r="K2505" s="259">
        <f>IFERROR(IFERROR(VLOOKUP(B2505&amp;I2505&amp;Q2505,'New Weekly Paste'!A:M,8,0),VLOOKUP(B2505&amp;I2505&amp;Q2505,'New Weekly Paste'!B:O,10,0)),0)</f>
        <v>77.96</v>
      </c>
      <c r="L2505" s="239">
        <f t="shared" si="25"/>
        <v>1</v>
      </c>
      <c r="M2505" s="36" t="str">
        <f t="shared" si="3"/>
        <v>Regular Season</v>
      </c>
      <c r="N2505" s="239" t="str">
        <f t="shared" si="26"/>
        <v>Tayski</v>
      </c>
      <c r="O2505" s="6">
        <f>VLOOKUP(D2505,'Mapped Opponent'!$G$4:$H$22,2,0)</f>
        <v>7</v>
      </c>
      <c r="P2505" s="6"/>
      <c r="Q2505" s="6" t="str">
        <f t="shared" si="4"/>
        <v>Week 7</v>
      </c>
      <c r="R2505" s="6" t="str">
        <f t="shared" si="5"/>
        <v>2023Week 7</v>
      </c>
      <c r="S2505" s="6">
        <f>IFERROR(__xludf.DUMMYFUNCTION("rank(J2505,FILTER(J:J,R:R=R2505))"),8.0)</f>
        <v>8</v>
      </c>
      <c r="T2505" s="6">
        <f t="shared" si="6"/>
        <v>4</v>
      </c>
      <c r="U2505" s="6">
        <f t="shared" si="7"/>
        <v>8</v>
      </c>
      <c r="V2505" s="42">
        <f>averageif(AllData!A:A,B2505,AllData!R:R)/vlookup(B2505,AllData!A:O,15,0)</f>
        <v>93.35904762</v>
      </c>
      <c r="W2505" s="6"/>
    </row>
    <row r="2506" ht="14.25" customHeight="1">
      <c r="A2506" s="6" t="str">
        <f t="shared" si="28"/>
        <v>2023Cock7</v>
      </c>
      <c r="B2506" s="59">
        <v>2023.0</v>
      </c>
      <c r="C2506" s="13" t="s">
        <v>72</v>
      </c>
      <c r="D2506" s="13" t="s">
        <v>143</v>
      </c>
      <c r="E2506" s="34"/>
      <c r="F2506" s="6"/>
      <c r="H2506" s="6"/>
      <c r="I2506" s="35" t="str">
        <f>IFERROR(IFERROR(IFERROR(VLOOKUP(B2506&amp;C2506&amp;Q2506,'New Weekly Paste'!A:M,10,0),VLOOKUP(B2506&amp;C2506&amp;Q2506,'New Weekly Paste'!B:O,6,0)),""),"")</f>
        <v>Salty</v>
      </c>
      <c r="J2506" s="259">
        <f>IFERROR(IFERROR(VLOOKUP(B2506&amp;C2506&amp;Q2506,'New Weekly Paste'!A:M,8,0),VLOOKUP(B2506&amp;C2506&amp;Q2506,'New Weekly Paste'!B:O,10,0)),0)</f>
        <v>78.86</v>
      </c>
      <c r="K2506" s="259">
        <f>IFERROR(IFERROR(VLOOKUP(B2506&amp;I2506&amp;Q2506,'New Weekly Paste'!A:M,8,0),VLOOKUP(B2506&amp;I2506&amp;Q2506,'New Weekly Paste'!B:O,10,0)),0)</f>
        <v>111.3</v>
      </c>
      <c r="L2506" s="239">
        <f t="shared" si="25"/>
        <v>0</v>
      </c>
      <c r="M2506" s="36" t="str">
        <f t="shared" si="3"/>
        <v>Regular Season</v>
      </c>
      <c r="N2506" s="239" t="str">
        <f t="shared" si="26"/>
        <v>Salty</v>
      </c>
      <c r="O2506" s="6">
        <f>VLOOKUP(D2506,'Mapped Opponent'!$G$4:$H$22,2,0)</f>
        <v>7</v>
      </c>
      <c r="P2506" s="6"/>
      <c r="Q2506" s="6" t="str">
        <f t="shared" si="4"/>
        <v>Week 7</v>
      </c>
      <c r="R2506" s="6" t="str">
        <f t="shared" si="5"/>
        <v>2023Week 7</v>
      </c>
      <c r="S2506" s="6">
        <f>IFERROR(__xludf.DUMMYFUNCTION("rank(J2506,FILTER(J:J,R:R=R2506))"),9.0)</f>
        <v>9</v>
      </c>
      <c r="T2506" s="6">
        <f t="shared" si="6"/>
        <v>3</v>
      </c>
      <c r="U2506" s="6">
        <f t="shared" si="7"/>
        <v>9</v>
      </c>
      <c r="V2506" s="42">
        <f>averageif(AllData!A:A,B2506,AllData!R:R)/vlookup(B2506,AllData!A:O,15,0)</f>
        <v>93.35904762</v>
      </c>
      <c r="W2506" s="6"/>
    </row>
    <row r="2507" ht="14.25" customHeight="1">
      <c r="A2507" s="6" t="str">
        <f t="shared" si="28"/>
        <v>2023Tayski7</v>
      </c>
      <c r="B2507" s="59">
        <v>2023.0</v>
      </c>
      <c r="C2507" s="13" t="s">
        <v>52</v>
      </c>
      <c r="D2507" s="13" t="s">
        <v>143</v>
      </c>
      <c r="E2507" s="34"/>
      <c r="F2507" s="6"/>
      <c r="H2507" s="6"/>
      <c r="I2507" s="35" t="str">
        <f>IFERROR(IFERROR(IFERROR(VLOOKUP(B2507&amp;C2507&amp;Q2507,'New Weekly Paste'!A:M,10,0),VLOOKUP(B2507&amp;C2507&amp;Q2507,'New Weekly Paste'!B:O,6,0)),""),"")</f>
        <v>Pierson</v>
      </c>
      <c r="J2507" s="259">
        <f>IFERROR(IFERROR(VLOOKUP(B2507&amp;C2507&amp;Q2507,'New Weekly Paste'!A:M,8,0),VLOOKUP(B2507&amp;C2507&amp;Q2507,'New Weekly Paste'!B:O,10,0)),0)</f>
        <v>77.96</v>
      </c>
      <c r="K2507" s="259">
        <f>IFERROR(IFERROR(VLOOKUP(B2507&amp;I2507&amp;Q2507,'New Weekly Paste'!A:M,8,0),VLOOKUP(B2507&amp;I2507&amp;Q2507,'New Weekly Paste'!B:O,10,0)),0)</f>
        <v>81.96</v>
      </c>
      <c r="L2507" s="239">
        <f t="shared" si="25"/>
        <v>0</v>
      </c>
      <c r="M2507" s="36" t="str">
        <f t="shared" si="3"/>
        <v>Regular Season</v>
      </c>
      <c r="N2507" s="239" t="str">
        <f t="shared" si="26"/>
        <v>Pierson</v>
      </c>
      <c r="O2507" s="6">
        <f>VLOOKUP(D2507,'Mapped Opponent'!$G$4:$H$22,2,0)</f>
        <v>7</v>
      </c>
      <c r="P2507" s="6"/>
      <c r="Q2507" s="6" t="str">
        <f t="shared" si="4"/>
        <v>Week 7</v>
      </c>
      <c r="R2507" s="6" t="str">
        <f t="shared" si="5"/>
        <v>2023Week 7</v>
      </c>
      <c r="S2507" s="6">
        <f>IFERROR(__xludf.DUMMYFUNCTION("rank(J2507,FILTER(J:J,R:R=R2507))"),10.0)</f>
        <v>10</v>
      </c>
      <c r="T2507" s="6">
        <f t="shared" si="6"/>
        <v>2</v>
      </c>
      <c r="U2507" s="6">
        <f t="shared" si="7"/>
        <v>10</v>
      </c>
      <c r="V2507" s="42">
        <f>averageif(AllData!A:A,B2507,AllData!R:R)/vlookup(B2507,AllData!A:O,15,0)</f>
        <v>93.35904762</v>
      </c>
      <c r="W2507" s="6"/>
    </row>
    <row r="2508" ht="14.25" customHeight="1">
      <c r="A2508" s="6" t="str">
        <f t="shared" si="28"/>
        <v>2023KnardDawg7</v>
      </c>
      <c r="B2508" s="59">
        <v>2023.0</v>
      </c>
      <c r="C2508" s="13" t="s">
        <v>86</v>
      </c>
      <c r="D2508" s="13" t="s">
        <v>143</v>
      </c>
      <c r="E2508" s="34"/>
      <c r="F2508" s="6"/>
      <c r="H2508" s="6"/>
      <c r="I2508" s="35" t="str">
        <f>IFERROR(IFERROR(IFERROR(VLOOKUP(B2508&amp;C2508&amp;Q2508,'New Weekly Paste'!A:M,10,0),VLOOKUP(B2508&amp;C2508&amp;Q2508,'New Weekly Paste'!B:O,6,0)),""),"")</f>
        <v>Buser</v>
      </c>
      <c r="J2508" s="259">
        <f>IFERROR(IFERROR(VLOOKUP(B2508&amp;C2508&amp;Q2508,'New Weekly Paste'!A:M,8,0),VLOOKUP(B2508&amp;C2508&amp;Q2508,'New Weekly Paste'!B:O,10,0)),0)</f>
        <v>65.48</v>
      </c>
      <c r="K2508" s="259">
        <f>IFERROR(IFERROR(VLOOKUP(B2508&amp;I2508&amp;Q2508,'New Weekly Paste'!A:M,8,0),VLOOKUP(B2508&amp;I2508&amp;Q2508,'New Weekly Paste'!B:O,10,0)),0)</f>
        <v>84.14</v>
      </c>
      <c r="L2508" s="239">
        <f t="shared" si="25"/>
        <v>0</v>
      </c>
      <c r="M2508" s="36" t="str">
        <f t="shared" si="3"/>
        <v>Regular Season</v>
      </c>
      <c r="N2508" s="239" t="str">
        <f t="shared" si="26"/>
        <v>Buser</v>
      </c>
      <c r="O2508" s="6">
        <f>VLOOKUP(D2508,'Mapped Opponent'!$G$4:$H$22,2,0)</f>
        <v>7</v>
      </c>
      <c r="P2508" s="6"/>
      <c r="Q2508" s="6" t="str">
        <f t="shared" si="4"/>
        <v>Week 7</v>
      </c>
      <c r="R2508" s="6" t="str">
        <f t="shared" si="5"/>
        <v>2023Week 7</v>
      </c>
      <c r="S2508" s="6">
        <f>IFERROR(__xludf.DUMMYFUNCTION("rank(J2508,FILTER(J:J,R:R=R2508))"),12.0)</f>
        <v>12</v>
      </c>
      <c r="T2508" s="6">
        <f t="shared" si="6"/>
        <v>0</v>
      </c>
      <c r="U2508" s="6">
        <f t="shared" si="7"/>
        <v>12</v>
      </c>
      <c r="V2508" s="42">
        <f>averageif(AllData!A:A,B2508,AllData!R:R)/vlookup(B2508,AllData!A:O,15,0)</f>
        <v>93.35904762</v>
      </c>
      <c r="W2508" s="6"/>
    </row>
    <row r="2509" ht="14.25" customHeight="1">
      <c r="A2509" s="6" t="str">
        <f t="shared" si="28"/>
        <v>2023T-How7</v>
      </c>
      <c r="B2509" s="59">
        <v>2023.0</v>
      </c>
      <c r="C2509" s="13" t="s">
        <v>82</v>
      </c>
      <c r="D2509" s="13" t="s">
        <v>143</v>
      </c>
      <c r="E2509" s="34"/>
      <c r="F2509" s="6"/>
      <c r="H2509" s="6"/>
      <c r="I2509" s="35" t="str">
        <f>IFERROR(IFERROR(IFERROR(VLOOKUP(B2509&amp;C2509&amp;Q2509,'New Weekly Paste'!A:M,10,0),VLOOKUP(B2509&amp;C2509&amp;Q2509,'New Weekly Paste'!B:O,6,0)),""),"")</f>
        <v>Ewert</v>
      </c>
      <c r="J2509" s="259">
        <f>IFERROR(IFERROR(VLOOKUP(B2509&amp;C2509&amp;Q2509,'New Weekly Paste'!A:M,8,0),VLOOKUP(B2509&amp;C2509&amp;Q2509,'New Weekly Paste'!B:O,10,0)),0)</f>
        <v>97.76</v>
      </c>
      <c r="K2509" s="259">
        <f>IFERROR(IFERROR(VLOOKUP(B2509&amp;I2509&amp;Q2509,'New Weekly Paste'!A:M,8,0),VLOOKUP(B2509&amp;I2509&amp;Q2509,'New Weekly Paste'!B:O,10,0)),0)</f>
        <v>85.36</v>
      </c>
      <c r="L2509" s="239">
        <f t="shared" si="25"/>
        <v>1</v>
      </c>
      <c r="M2509" s="36" t="str">
        <f t="shared" si="3"/>
        <v>Regular Season</v>
      </c>
      <c r="N2509" s="239" t="str">
        <f t="shared" si="26"/>
        <v>Ewert</v>
      </c>
      <c r="O2509" s="6">
        <f>VLOOKUP(D2509,'Mapped Opponent'!$G$4:$H$22,2,0)</f>
        <v>7</v>
      </c>
      <c r="P2509" s="6"/>
      <c r="Q2509" s="6" t="str">
        <f t="shared" si="4"/>
        <v>Week 7</v>
      </c>
      <c r="R2509" s="6" t="str">
        <f t="shared" si="5"/>
        <v>2023Week 7</v>
      </c>
      <c r="S2509" s="6">
        <f>IFERROR(__xludf.DUMMYFUNCTION("rank(J2509,FILTER(J:J,R:R=R2509))"),3.0)</f>
        <v>3</v>
      </c>
      <c r="T2509" s="6">
        <f t="shared" si="6"/>
        <v>9</v>
      </c>
      <c r="U2509" s="6">
        <f t="shared" si="7"/>
        <v>3</v>
      </c>
      <c r="V2509" s="42">
        <f>averageif(AllData!A:A,B2509,AllData!R:R)/vlookup(B2509,AllData!A:O,15,0)</f>
        <v>93.35904762</v>
      </c>
      <c r="W2509" s="6"/>
    </row>
    <row r="2510" ht="14.25" customHeight="1">
      <c r="A2510" s="6" t="str">
        <f t="shared" si="28"/>
        <v>2023Hudspeath8</v>
      </c>
      <c r="B2510" s="59">
        <v>2023.0</v>
      </c>
      <c r="C2510" s="13" t="s">
        <v>39</v>
      </c>
      <c r="D2510" s="13" t="s">
        <v>145</v>
      </c>
      <c r="E2510" s="34"/>
      <c r="F2510" s="6"/>
      <c r="H2510" s="6"/>
      <c r="I2510" s="35" t="str">
        <f>IFERROR(IFERROR(IFERROR(VLOOKUP(B2510&amp;C2510&amp;Q2510,'New Weekly Paste'!A:M,10,0),VLOOKUP(B2510&amp;C2510&amp;Q2510,'New Weekly Paste'!B:O,6,0)),""),"")</f>
        <v>Shep</v>
      </c>
      <c r="J2510" s="259">
        <f>IFERROR(IFERROR(VLOOKUP(B2510&amp;C2510&amp;Q2510,'New Weekly Paste'!A:M,8,0),VLOOKUP(B2510&amp;C2510&amp;Q2510,'New Weekly Paste'!B:O,10,0)),0)</f>
        <v>116.46</v>
      </c>
      <c r="K2510" s="259">
        <f>IFERROR(IFERROR(VLOOKUP(B2510&amp;I2510&amp;Q2510,'New Weekly Paste'!A:M,8,0),VLOOKUP(B2510&amp;I2510&amp;Q2510,'New Weekly Paste'!B:O,10,0)),0)</f>
        <v>91.08</v>
      </c>
      <c r="L2510" s="239">
        <f t="shared" si="25"/>
        <v>1</v>
      </c>
      <c r="M2510" s="36" t="str">
        <f t="shared" si="3"/>
        <v>Regular Season</v>
      </c>
      <c r="N2510" s="239" t="str">
        <f t="shared" si="26"/>
        <v>Shep</v>
      </c>
      <c r="O2510" s="6">
        <f>VLOOKUP(D2510,'Mapped Opponent'!$G$4:$H$22,2,0)</f>
        <v>8</v>
      </c>
      <c r="P2510" s="6"/>
      <c r="Q2510" s="6" t="str">
        <f t="shared" si="4"/>
        <v>Week 8</v>
      </c>
      <c r="R2510" s="6" t="str">
        <f t="shared" si="5"/>
        <v>2023Week 8</v>
      </c>
      <c r="S2510" s="6">
        <f>IFERROR(__xludf.DUMMYFUNCTION("rank(J2510,FILTER(J:J,R:R=R2510))"),2.0)</f>
        <v>2</v>
      </c>
      <c r="T2510" s="6">
        <f t="shared" si="6"/>
        <v>10</v>
      </c>
      <c r="U2510" s="6">
        <f t="shared" si="7"/>
        <v>2</v>
      </c>
      <c r="V2510" s="42">
        <f>averageif(AllData!A:A,B2510,AllData!R:R)/vlookup(B2510,AllData!A:O,15,0)</f>
        <v>93.35904762</v>
      </c>
      <c r="W2510" s="6"/>
    </row>
    <row r="2511" ht="14.25" customHeight="1">
      <c r="A2511" s="6" t="str">
        <f t="shared" si="28"/>
        <v>2023Salty8</v>
      </c>
      <c r="B2511" s="59">
        <v>2023.0</v>
      </c>
      <c r="C2511" s="13" t="s">
        <v>76</v>
      </c>
      <c r="D2511" s="13" t="s">
        <v>145</v>
      </c>
      <c r="E2511" s="34"/>
      <c r="F2511" s="6"/>
      <c r="H2511" s="6"/>
      <c r="I2511" s="35" t="str">
        <f>IFERROR(IFERROR(IFERROR(VLOOKUP(B2511&amp;C2511&amp;Q2511,'New Weekly Paste'!A:M,10,0),VLOOKUP(B2511&amp;C2511&amp;Q2511,'New Weekly Paste'!B:O,6,0)),""),"")</f>
        <v>Pierson</v>
      </c>
      <c r="J2511" s="259">
        <f>IFERROR(IFERROR(VLOOKUP(B2511&amp;C2511&amp;Q2511,'New Weekly Paste'!A:M,8,0),VLOOKUP(B2511&amp;C2511&amp;Q2511,'New Weekly Paste'!B:O,10,0)),0)</f>
        <v>104.26</v>
      </c>
      <c r="K2511" s="259">
        <f>IFERROR(IFERROR(VLOOKUP(B2511&amp;I2511&amp;Q2511,'New Weekly Paste'!A:M,8,0),VLOOKUP(B2511&amp;I2511&amp;Q2511,'New Weekly Paste'!B:O,10,0)),0)</f>
        <v>85.36</v>
      </c>
      <c r="L2511" s="239">
        <f t="shared" si="25"/>
        <v>1</v>
      </c>
      <c r="M2511" s="36" t="str">
        <f t="shared" si="3"/>
        <v>Regular Season</v>
      </c>
      <c r="N2511" s="239" t="str">
        <f t="shared" si="26"/>
        <v>Pierson</v>
      </c>
      <c r="O2511" s="6">
        <f>VLOOKUP(D2511,'Mapped Opponent'!$G$4:$H$22,2,0)</f>
        <v>8</v>
      </c>
      <c r="P2511" s="6"/>
      <c r="Q2511" s="6" t="str">
        <f t="shared" si="4"/>
        <v>Week 8</v>
      </c>
      <c r="R2511" s="6" t="str">
        <f t="shared" si="5"/>
        <v>2023Week 8</v>
      </c>
      <c r="S2511" s="6">
        <f>IFERROR(__xludf.DUMMYFUNCTION("rank(J2511,FILTER(J:J,R:R=R2511))"),4.0)</f>
        <v>4</v>
      </c>
      <c r="T2511" s="6">
        <f t="shared" si="6"/>
        <v>8</v>
      </c>
      <c r="U2511" s="6">
        <f t="shared" si="7"/>
        <v>4</v>
      </c>
      <c r="V2511" s="42">
        <f>averageif(AllData!A:A,B2511,AllData!R:R)/vlookup(B2511,AllData!A:O,15,0)</f>
        <v>93.35904762</v>
      </c>
      <c r="W2511" s="6"/>
    </row>
    <row r="2512" ht="14.25" customHeight="1">
      <c r="A2512" s="6" t="str">
        <f t="shared" si="28"/>
        <v>2023Ewert8</v>
      </c>
      <c r="B2512" s="59">
        <v>2023.0</v>
      </c>
      <c r="C2512" s="13" t="s">
        <v>108</v>
      </c>
      <c r="D2512" s="13" t="s">
        <v>145</v>
      </c>
      <c r="E2512" s="34"/>
      <c r="F2512" s="6"/>
      <c r="H2512" s="6"/>
      <c r="I2512" s="35" t="str">
        <f>IFERROR(IFERROR(IFERROR(VLOOKUP(B2512&amp;C2512&amp;Q2512,'New Weekly Paste'!A:M,10,0),VLOOKUP(B2512&amp;C2512&amp;Q2512,'New Weekly Paste'!B:O,6,0)),""),"")</f>
        <v>Buser</v>
      </c>
      <c r="J2512" s="259">
        <f>IFERROR(IFERROR(VLOOKUP(B2512&amp;C2512&amp;Q2512,'New Weekly Paste'!A:M,8,0),VLOOKUP(B2512&amp;C2512&amp;Q2512,'New Weekly Paste'!B:O,10,0)),0)</f>
        <v>95.98</v>
      </c>
      <c r="K2512" s="259">
        <f>IFERROR(IFERROR(VLOOKUP(B2512&amp;I2512&amp;Q2512,'New Weekly Paste'!A:M,8,0),VLOOKUP(B2512&amp;I2512&amp;Q2512,'New Weekly Paste'!B:O,10,0)),0)</f>
        <v>89.72</v>
      </c>
      <c r="L2512" s="239">
        <f t="shared" si="25"/>
        <v>1</v>
      </c>
      <c r="M2512" s="36" t="str">
        <f t="shared" si="3"/>
        <v>Regular Season</v>
      </c>
      <c r="N2512" s="239" t="str">
        <f t="shared" si="26"/>
        <v>Buser</v>
      </c>
      <c r="O2512" s="6">
        <f>VLOOKUP(D2512,'Mapped Opponent'!$G$4:$H$22,2,0)</f>
        <v>8</v>
      </c>
      <c r="P2512" s="6"/>
      <c r="Q2512" s="6" t="str">
        <f t="shared" si="4"/>
        <v>Week 8</v>
      </c>
      <c r="R2512" s="6" t="str">
        <f t="shared" si="5"/>
        <v>2023Week 8</v>
      </c>
      <c r="S2512" s="6">
        <f>IFERROR(__xludf.DUMMYFUNCTION("rank(J2512,FILTER(J:J,R:R=R2512))"),5.0)</f>
        <v>5</v>
      </c>
      <c r="T2512" s="6">
        <f t="shared" si="6"/>
        <v>7</v>
      </c>
      <c r="U2512" s="6">
        <f t="shared" si="7"/>
        <v>5</v>
      </c>
      <c r="V2512" s="42">
        <f>averageif(AllData!A:A,B2512,AllData!R:R)/vlookup(B2512,AllData!A:O,15,0)</f>
        <v>93.35904762</v>
      </c>
      <c r="W2512" s="6"/>
    </row>
    <row r="2513" ht="14.25" customHeight="1">
      <c r="A2513" s="6" t="str">
        <f t="shared" si="28"/>
        <v>2023Shep8</v>
      </c>
      <c r="B2513" s="59">
        <v>2023.0</v>
      </c>
      <c r="C2513" s="13" t="s">
        <v>89</v>
      </c>
      <c r="D2513" s="13" t="s">
        <v>145</v>
      </c>
      <c r="E2513" s="34"/>
      <c r="F2513" s="6"/>
      <c r="H2513" s="6"/>
      <c r="I2513" s="35" t="str">
        <f>IFERROR(IFERROR(IFERROR(VLOOKUP(B2513&amp;C2513&amp;Q2513,'New Weekly Paste'!A:M,10,0),VLOOKUP(B2513&amp;C2513&amp;Q2513,'New Weekly Paste'!B:O,6,0)),""),"")</f>
        <v>Hudspeath</v>
      </c>
      <c r="J2513" s="259">
        <f>IFERROR(IFERROR(VLOOKUP(B2513&amp;C2513&amp;Q2513,'New Weekly Paste'!A:M,8,0),VLOOKUP(B2513&amp;C2513&amp;Q2513,'New Weekly Paste'!B:O,10,0)),0)</f>
        <v>91.08</v>
      </c>
      <c r="K2513" s="259">
        <f>IFERROR(IFERROR(VLOOKUP(B2513&amp;I2513&amp;Q2513,'New Weekly Paste'!A:M,8,0),VLOOKUP(B2513&amp;I2513&amp;Q2513,'New Weekly Paste'!B:O,10,0)),0)</f>
        <v>116.46</v>
      </c>
      <c r="L2513" s="239">
        <f t="shared" si="25"/>
        <v>0</v>
      </c>
      <c r="M2513" s="36" t="str">
        <f t="shared" si="3"/>
        <v>Regular Season</v>
      </c>
      <c r="N2513" s="239" t="str">
        <f t="shared" si="26"/>
        <v>Hudspeath</v>
      </c>
      <c r="O2513" s="6">
        <f>VLOOKUP(D2513,'Mapped Opponent'!$G$4:$H$22,2,0)</f>
        <v>8</v>
      </c>
      <c r="P2513" s="6"/>
      <c r="Q2513" s="6" t="str">
        <f t="shared" si="4"/>
        <v>Week 8</v>
      </c>
      <c r="R2513" s="6" t="str">
        <f t="shared" si="5"/>
        <v>2023Week 8</v>
      </c>
      <c r="S2513" s="6">
        <f>IFERROR(__xludf.DUMMYFUNCTION("rank(J2513,FILTER(J:J,R:R=R2513))"),8.0)</f>
        <v>8</v>
      </c>
      <c r="T2513" s="6">
        <f t="shared" si="6"/>
        <v>4</v>
      </c>
      <c r="U2513" s="6">
        <f t="shared" si="7"/>
        <v>8</v>
      </c>
      <c r="V2513" s="42">
        <f>averageif(AllData!A:A,B2513,AllData!R:R)/vlookup(B2513,AllData!A:O,15,0)</f>
        <v>93.35904762</v>
      </c>
      <c r="W2513" s="6"/>
    </row>
    <row r="2514" ht="14.25" customHeight="1">
      <c r="A2514" s="6" t="str">
        <f t="shared" si="28"/>
        <v>2023Riley8</v>
      </c>
      <c r="B2514" s="59">
        <v>2023.0</v>
      </c>
      <c r="C2514" s="13" t="s">
        <v>67</v>
      </c>
      <c r="D2514" s="13" t="s">
        <v>145</v>
      </c>
      <c r="E2514" s="34"/>
      <c r="F2514" s="6"/>
      <c r="H2514" s="6"/>
      <c r="I2514" s="35" t="str">
        <f>IFERROR(IFERROR(IFERROR(VLOOKUP(B2514&amp;C2514&amp;Q2514,'New Weekly Paste'!A:M,10,0),VLOOKUP(B2514&amp;C2514&amp;Q2514,'New Weekly Paste'!B:O,6,0)),""),"")</f>
        <v>KnardDawg</v>
      </c>
      <c r="J2514" s="259">
        <f>IFERROR(IFERROR(VLOOKUP(B2514&amp;C2514&amp;Q2514,'New Weekly Paste'!A:M,8,0),VLOOKUP(B2514&amp;C2514&amp;Q2514,'New Weekly Paste'!B:O,10,0)),0)</f>
        <v>107.96</v>
      </c>
      <c r="K2514" s="259">
        <f>IFERROR(IFERROR(VLOOKUP(B2514&amp;I2514&amp;Q2514,'New Weekly Paste'!A:M,8,0),VLOOKUP(B2514&amp;I2514&amp;Q2514,'New Weekly Paste'!B:O,10,0)),0)</f>
        <v>93.4</v>
      </c>
      <c r="L2514" s="239">
        <f t="shared" si="25"/>
        <v>1</v>
      </c>
      <c r="M2514" s="36" t="str">
        <f t="shared" si="3"/>
        <v>Regular Season</v>
      </c>
      <c r="N2514" s="239" t="str">
        <f t="shared" si="26"/>
        <v>KnardDawg</v>
      </c>
      <c r="O2514" s="6">
        <f>VLOOKUP(D2514,'Mapped Opponent'!$G$4:$H$22,2,0)</f>
        <v>8</v>
      </c>
      <c r="P2514" s="6"/>
      <c r="Q2514" s="6" t="str">
        <f t="shared" si="4"/>
        <v>Week 8</v>
      </c>
      <c r="R2514" s="6" t="str">
        <f t="shared" si="5"/>
        <v>2023Week 8</v>
      </c>
      <c r="S2514" s="6">
        <f>IFERROR(__xludf.DUMMYFUNCTION("rank(J2514,FILTER(J:J,R:R=R2514))"),3.0)</f>
        <v>3</v>
      </c>
      <c r="T2514" s="6">
        <f t="shared" si="6"/>
        <v>9</v>
      </c>
      <c r="U2514" s="6">
        <f t="shared" si="7"/>
        <v>3</v>
      </c>
      <c r="V2514" s="42">
        <f>averageif(AllData!A:A,B2514,AllData!R:R)/vlookup(B2514,AllData!A:O,15,0)</f>
        <v>93.35904762</v>
      </c>
      <c r="W2514" s="6"/>
    </row>
    <row r="2515" ht="14.25" customHeight="1">
      <c r="A2515" s="6" t="str">
        <f t="shared" si="28"/>
        <v>2023Rooney/Jackson8</v>
      </c>
      <c r="B2515" s="59">
        <v>2023.0</v>
      </c>
      <c r="C2515" s="13" t="s">
        <v>57</v>
      </c>
      <c r="D2515" s="13" t="s">
        <v>145</v>
      </c>
      <c r="E2515" s="34"/>
      <c r="F2515" s="6"/>
      <c r="H2515" s="6"/>
      <c r="I2515" s="35" t="str">
        <f>IFERROR(IFERROR(IFERROR(VLOOKUP(B2515&amp;C2515&amp;Q2515,'New Weekly Paste'!A:M,10,0),VLOOKUP(B2515&amp;C2515&amp;Q2515,'New Weekly Paste'!B:O,6,0)),""),"")</f>
        <v>Tayski</v>
      </c>
      <c r="J2515" s="259">
        <f>IFERROR(IFERROR(VLOOKUP(B2515&amp;C2515&amp;Q2515,'New Weekly Paste'!A:M,8,0),VLOOKUP(B2515&amp;C2515&amp;Q2515,'New Weekly Paste'!B:O,10,0)),0)</f>
        <v>82.68</v>
      </c>
      <c r="K2515" s="259">
        <f>IFERROR(IFERROR(VLOOKUP(B2515&amp;I2515&amp;Q2515,'New Weekly Paste'!A:M,8,0),VLOOKUP(B2515&amp;I2515&amp;Q2515,'New Weekly Paste'!B:O,10,0)),0)</f>
        <v>91.8</v>
      </c>
      <c r="L2515" s="239">
        <f t="shared" si="25"/>
        <v>0</v>
      </c>
      <c r="M2515" s="36" t="str">
        <f t="shared" si="3"/>
        <v>Regular Season</v>
      </c>
      <c r="N2515" s="239" t="str">
        <f t="shared" si="26"/>
        <v>Tayski</v>
      </c>
      <c r="O2515" s="6">
        <f>VLOOKUP(D2515,'Mapped Opponent'!$G$4:$H$22,2,0)</f>
        <v>8</v>
      </c>
      <c r="P2515" s="6"/>
      <c r="Q2515" s="6" t="str">
        <f t="shared" si="4"/>
        <v>Week 8</v>
      </c>
      <c r="R2515" s="6" t="str">
        <f t="shared" si="5"/>
        <v>2023Week 8</v>
      </c>
      <c r="S2515" s="6">
        <f>IFERROR(__xludf.DUMMYFUNCTION("rank(J2515,FILTER(J:J,R:R=R2515))"),12.0)</f>
        <v>12</v>
      </c>
      <c r="T2515" s="6">
        <f t="shared" si="6"/>
        <v>0</v>
      </c>
      <c r="U2515" s="6">
        <f t="shared" si="7"/>
        <v>12</v>
      </c>
      <c r="V2515" s="42">
        <f>averageif(AllData!A:A,B2515,AllData!R:R)/vlookup(B2515,AllData!A:O,15,0)</f>
        <v>93.35904762</v>
      </c>
      <c r="W2515" s="6"/>
    </row>
    <row r="2516" ht="14.25" customHeight="1">
      <c r="A2516" s="6" t="str">
        <f t="shared" si="28"/>
        <v>2023Buser8</v>
      </c>
      <c r="B2516" s="59">
        <v>2023.0</v>
      </c>
      <c r="C2516" s="13" t="s">
        <v>47</v>
      </c>
      <c r="D2516" s="13" t="s">
        <v>145</v>
      </c>
      <c r="E2516" s="34"/>
      <c r="F2516" s="6"/>
      <c r="H2516" s="6"/>
      <c r="I2516" s="35" t="str">
        <f>IFERROR(IFERROR(IFERROR(VLOOKUP(B2516&amp;C2516&amp;Q2516,'New Weekly Paste'!A:M,10,0),VLOOKUP(B2516&amp;C2516&amp;Q2516,'New Weekly Paste'!B:O,6,0)),""),"")</f>
        <v>Ewert</v>
      </c>
      <c r="J2516" s="259">
        <f>IFERROR(IFERROR(VLOOKUP(B2516&amp;C2516&amp;Q2516,'New Weekly Paste'!A:M,8,0),VLOOKUP(B2516&amp;C2516&amp;Q2516,'New Weekly Paste'!B:O,10,0)),0)</f>
        <v>89.72</v>
      </c>
      <c r="K2516" s="259">
        <f>IFERROR(IFERROR(VLOOKUP(B2516&amp;I2516&amp;Q2516,'New Weekly Paste'!A:M,8,0),VLOOKUP(B2516&amp;I2516&amp;Q2516,'New Weekly Paste'!B:O,10,0)),0)</f>
        <v>95.98</v>
      </c>
      <c r="L2516" s="239">
        <f t="shared" si="25"/>
        <v>0</v>
      </c>
      <c r="M2516" s="36" t="str">
        <f t="shared" si="3"/>
        <v>Regular Season</v>
      </c>
      <c r="N2516" s="239" t="str">
        <f t="shared" si="26"/>
        <v>Ewert</v>
      </c>
      <c r="O2516" s="6">
        <f>VLOOKUP(D2516,'Mapped Opponent'!$G$4:$H$22,2,0)</f>
        <v>8</v>
      </c>
      <c r="P2516" s="6"/>
      <c r="Q2516" s="6" t="str">
        <f t="shared" si="4"/>
        <v>Week 8</v>
      </c>
      <c r="R2516" s="6" t="str">
        <f t="shared" si="5"/>
        <v>2023Week 8</v>
      </c>
      <c r="S2516" s="6">
        <f>IFERROR(__xludf.DUMMYFUNCTION("rank(J2516,FILTER(J:J,R:R=R2516))"),9.0)</f>
        <v>9</v>
      </c>
      <c r="T2516" s="6">
        <f t="shared" si="6"/>
        <v>3</v>
      </c>
      <c r="U2516" s="6">
        <f t="shared" si="7"/>
        <v>9</v>
      </c>
      <c r="V2516" s="42">
        <f>averageif(AllData!A:A,B2516,AllData!R:R)/vlookup(B2516,AllData!A:O,15,0)</f>
        <v>93.35904762</v>
      </c>
      <c r="W2516" s="6"/>
    </row>
    <row r="2517" ht="14.25" customHeight="1">
      <c r="A2517" s="6" t="str">
        <f t="shared" si="28"/>
        <v>2023Pierson8</v>
      </c>
      <c r="B2517" s="59">
        <v>2023.0</v>
      </c>
      <c r="C2517" s="13" t="s">
        <v>92</v>
      </c>
      <c r="D2517" s="13" t="s">
        <v>145</v>
      </c>
      <c r="E2517" s="34"/>
      <c r="F2517" s="6"/>
      <c r="H2517" s="6"/>
      <c r="I2517" s="35" t="str">
        <f>IFERROR(IFERROR(IFERROR(VLOOKUP(B2517&amp;C2517&amp;Q2517,'New Weekly Paste'!A:M,10,0),VLOOKUP(B2517&amp;C2517&amp;Q2517,'New Weekly Paste'!B:O,6,0)),""),"")</f>
        <v>Salty</v>
      </c>
      <c r="J2517" s="259">
        <f>IFERROR(IFERROR(VLOOKUP(B2517&amp;C2517&amp;Q2517,'New Weekly Paste'!A:M,8,0),VLOOKUP(B2517&amp;C2517&amp;Q2517,'New Weekly Paste'!B:O,10,0)),0)</f>
        <v>85.36</v>
      </c>
      <c r="K2517" s="259">
        <f>IFERROR(IFERROR(VLOOKUP(B2517&amp;I2517&amp;Q2517,'New Weekly Paste'!A:M,8,0),VLOOKUP(B2517&amp;I2517&amp;Q2517,'New Weekly Paste'!B:O,10,0)),0)</f>
        <v>104.26</v>
      </c>
      <c r="L2517" s="239">
        <f t="shared" si="25"/>
        <v>0</v>
      </c>
      <c r="M2517" s="36" t="str">
        <f t="shared" si="3"/>
        <v>Regular Season</v>
      </c>
      <c r="N2517" s="239" t="str">
        <f t="shared" si="26"/>
        <v>Salty</v>
      </c>
      <c r="O2517" s="6">
        <f>VLOOKUP(D2517,'Mapped Opponent'!$G$4:$H$22,2,0)</f>
        <v>8</v>
      </c>
      <c r="P2517" s="6"/>
      <c r="Q2517" s="6" t="str">
        <f t="shared" si="4"/>
        <v>Week 8</v>
      </c>
      <c r="R2517" s="6" t="str">
        <f t="shared" si="5"/>
        <v>2023Week 8</v>
      </c>
      <c r="S2517" s="6">
        <f>IFERROR(__xludf.DUMMYFUNCTION("rank(J2517,FILTER(J:J,R:R=R2517))"),10.0)</f>
        <v>10</v>
      </c>
      <c r="T2517" s="6">
        <f t="shared" si="6"/>
        <v>2</v>
      </c>
      <c r="U2517" s="6">
        <f t="shared" si="7"/>
        <v>10</v>
      </c>
      <c r="V2517" s="42">
        <f>averageif(AllData!A:A,B2517,AllData!R:R)/vlookup(B2517,AllData!A:O,15,0)</f>
        <v>93.35904762</v>
      </c>
      <c r="W2517" s="6"/>
    </row>
    <row r="2518" ht="14.25" customHeight="1">
      <c r="A2518" s="6" t="str">
        <f t="shared" si="28"/>
        <v>2023Cock8</v>
      </c>
      <c r="B2518" s="59">
        <v>2023.0</v>
      </c>
      <c r="C2518" s="13" t="s">
        <v>72</v>
      </c>
      <c r="D2518" s="13" t="s">
        <v>145</v>
      </c>
      <c r="E2518" s="34"/>
      <c r="F2518" s="6"/>
      <c r="H2518" s="6"/>
      <c r="I2518" s="35" t="str">
        <f>IFERROR(IFERROR(IFERROR(VLOOKUP(B2518&amp;C2518&amp;Q2518,'New Weekly Paste'!A:M,10,0),VLOOKUP(B2518&amp;C2518&amp;Q2518,'New Weekly Paste'!B:O,6,0)),""),"")</f>
        <v>T-How</v>
      </c>
      <c r="J2518" s="259">
        <f>IFERROR(IFERROR(VLOOKUP(B2518&amp;C2518&amp;Q2518,'New Weekly Paste'!A:M,8,0),VLOOKUP(B2518&amp;C2518&amp;Q2518,'New Weekly Paste'!B:O,10,0)),0)</f>
        <v>83.4</v>
      </c>
      <c r="K2518" s="259">
        <f>IFERROR(IFERROR(VLOOKUP(B2518&amp;I2518&amp;Q2518,'New Weekly Paste'!A:M,8,0),VLOOKUP(B2518&amp;I2518&amp;Q2518,'New Weekly Paste'!B:O,10,0)),0)</f>
        <v>116.82</v>
      </c>
      <c r="L2518" s="239">
        <f t="shared" si="25"/>
        <v>0</v>
      </c>
      <c r="M2518" s="36" t="str">
        <f t="shared" si="3"/>
        <v>Regular Season</v>
      </c>
      <c r="N2518" s="239" t="str">
        <f t="shared" si="26"/>
        <v>T-How</v>
      </c>
      <c r="O2518" s="6">
        <f>VLOOKUP(D2518,'Mapped Opponent'!$G$4:$H$22,2,0)</f>
        <v>8</v>
      </c>
      <c r="P2518" s="6"/>
      <c r="Q2518" s="6" t="str">
        <f t="shared" si="4"/>
        <v>Week 8</v>
      </c>
      <c r="R2518" s="6" t="str">
        <f t="shared" si="5"/>
        <v>2023Week 8</v>
      </c>
      <c r="S2518" s="6">
        <f>IFERROR(__xludf.DUMMYFUNCTION("rank(J2518,FILTER(J:J,R:R=R2518))"),11.0)</f>
        <v>11</v>
      </c>
      <c r="T2518" s="6">
        <f t="shared" si="6"/>
        <v>1</v>
      </c>
      <c r="U2518" s="6">
        <f t="shared" si="7"/>
        <v>11</v>
      </c>
      <c r="V2518" s="42">
        <f>averageif(AllData!A:A,B2518,AllData!R:R)/vlookup(B2518,AllData!A:O,15,0)</f>
        <v>93.35904762</v>
      </c>
      <c r="W2518" s="6"/>
    </row>
    <row r="2519" ht="14.25" customHeight="1">
      <c r="A2519" s="6" t="str">
        <f t="shared" si="28"/>
        <v>2023Tayski8</v>
      </c>
      <c r="B2519" s="59">
        <v>2023.0</v>
      </c>
      <c r="C2519" s="13" t="s">
        <v>52</v>
      </c>
      <c r="D2519" s="13" t="s">
        <v>145</v>
      </c>
      <c r="E2519" s="34"/>
      <c r="F2519" s="6"/>
      <c r="H2519" s="6"/>
      <c r="I2519" s="35" t="str">
        <f>IFERROR(IFERROR(IFERROR(VLOOKUP(B2519&amp;C2519&amp;Q2519,'New Weekly Paste'!A:M,10,0),VLOOKUP(B2519&amp;C2519&amp;Q2519,'New Weekly Paste'!B:O,6,0)),""),"")</f>
        <v>Rooney/Jackson</v>
      </c>
      <c r="J2519" s="259">
        <f>IFERROR(IFERROR(VLOOKUP(B2519&amp;C2519&amp;Q2519,'New Weekly Paste'!A:M,8,0),VLOOKUP(B2519&amp;C2519&amp;Q2519,'New Weekly Paste'!B:O,10,0)),0)</f>
        <v>91.8</v>
      </c>
      <c r="K2519" s="259">
        <f>IFERROR(IFERROR(VLOOKUP(B2519&amp;I2519&amp;Q2519,'New Weekly Paste'!A:M,8,0),VLOOKUP(B2519&amp;I2519&amp;Q2519,'New Weekly Paste'!B:O,10,0)),0)</f>
        <v>82.68</v>
      </c>
      <c r="L2519" s="239">
        <f t="shared" si="25"/>
        <v>1</v>
      </c>
      <c r="M2519" s="36" t="str">
        <f t="shared" si="3"/>
        <v>Regular Season</v>
      </c>
      <c r="N2519" s="239" t="str">
        <f t="shared" si="26"/>
        <v>Rooney/Jackson</v>
      </c>
      <c r="O2519" s="6">
        <f>VLOOKUP(D2519,'Mapped Opponent'!$G$4:$H$22,2,0)</f>
        <v>8</v>
      </c>
      <c r="P2519" s="6"/>
      <c r="Q2519" s="6" t="str">
        <f t="shared" si="4"/>
        <v>Week 8</v>
      </c>
      <c r="R2519" s="6" t="str">
        <f t="shared" si="5"/>
        <v>2023Week 8</v>
      </c>
      <c r="S2519" s="6">
        <f>IFERROR(__xludf.DUMMYFUNCTION("rank(J2519,FILTER(J:J,R:R=R2519))"),7.0)</f>
        <v>7</v>
      </c>
      <c r="T2519" s="6">
        <f t="shared" si="6"/>
        <v>5</v>
      </c>
      <c r="U2519" s="6">
        <f t="shared" si="7"/>
        <v>7</v>
      </c>
      <c r="V2519" s="42">
        <f>averageif(AllData!A:A,B2519,AllData!R:R)/vlookup(B2519,AllData!A:O,15,0)</f>
        <v>93.35904762</v>
      </c>
      <c r="W2519" s="6"/>
    </row>
    <row r="2520" ht="14.25" customHeight="1">
      <c r="A2520" s="6" t="str">
        <f t="shared" si="28"/>
        <v>2023KnardDawg8</v>
      </c>
      <c r="B2520" s="59">
        <v>2023.0</v>
      </c>
      <c r="C2520" s="13" t="s">
        <v>86</v>
      </c>
      <c r="D2520" s="13" t="s">
        <v>145</v>
      </c>
      <c r="E2520" s="34"/>
      <c r="F2520" s="6"/>
      <c r="H2520" s="6"/>
      <c r="I2520" s="35" t="str">
        <f>IFERROR(IFERROR(IFERROR(VLOOKUP(B2520&amp;C2520&amp;Q2520,'New Weekly Paste'!A:M,10,0),VLOOKUP(B2520&amp;C2520&amp;Q2520,'New Weekly Paste'!B:O,6,0)),""),"")</f>
        <v>Riley</v>
      </c>
      <c r="J2520" s="259">
        <f>IFERROR(IFERROR(VLOOKUP(B2520&amp;C2520&amp;Q2520,'New Weekly Paste'!A:M,8,0),VLOOKUP(B2520&amp;C2520&amp;Q2520,'New Weekly Paste'!B:O,10,0)),0)</f>
        <v>93.4</v>
      </c>
      <c r="K2520" s="259">
        <f>IFERROR(IFERROR(VLOOKUP(B2520&amp;I2520&amp;Q2520,'New Weekly Paste'!A:M,8,0),VLOOKUP(B2520&amp;I2520&amp;Q2520,'New Weekly Paste'!B:O,10,0)),0)</f>
        <v>107.96</v>
      </c>
      <c r="L2520" s="239">
        <f t="shared" si="25"/>
        <v>0</v>
      </c>
      <c r="M2520" s="36" t="str">
        <f t="shared" si="3"/>
        <v>Regular Season</v>
      </c>
      <c r="N2520" s="239" t="str">
        <f t="shared" si="26"/>
        <v>Riley</v>
      </c>
      <c r="O2520" s="6">
        <f>VLOOKUP(D2520,'Mapped Opponent'!$G$4:$H$22,2,0)</f>
        <v>8</v>
      </c>
      <c r="P2520" s="6"/>
      <c r="Q2520" s="6" t="str">
        <f t="shared" si="4"/>
        <v>Week 8</v>
      </c>
      <c r="R2520" s="6" t="str">
        <f t="shared" si="5"/>
        <v>2023Week 8</v>
      </c>
      <c r="S2520" s="6">
        <f>IFERROR(__xludf.DUMMYFUNCTION("rank(J2520,FILTER(J:J,R:R=R2520))"),6.0)</f>
        <v>6</v>
      </c>
      <c r="T2520" s="6">
        <f t="shared" si="6"/>
        <v>6</v>
      </c>
      <c r="U2520" s="6">
        <f t="shared" si="7"/>
        <v>6</v>
      </c>
      <c r="V2520" s="42">
        <f>averageif(AllData!A:A,B2520,AllData!R:R)/vlookup(B2520,AllData!A:O,15,0)</f>
        <v>93.35904762</v>
      </c>
      <c r="W2520" s="6"/>
    </row>
    <row r="2521" ht="14.25" customHeight="1">
      <c r="A2521" s="6" t="str">
        <f t="shared" si="28"/>
        <v>2023T-How8</v>
      </c>
      <c r="B2521" s="59">
        <v>2023.0</v>
      </c>
      <c r="C2521" s="13" t="s">
        <v>82</v>
      </c>
      <c r="D2521" s="13" t="s">
        <v>145</v>
      </c>
      <c r="E2521" s="34"/>
      <c r="F2521" s="6"/>
      <c r="H2521" s="6"/>
      <c r="I2521" s="35" t="str">
        <f>IFERROR(IFERROR(IFERROR(VLOOKUP(B2521&amp;C2521&amp;Q2521,'New Weekly Paste'!A:M,10,0),VLOOKUP(B2521&amp;C2521&amp;Q2521,'New Weekly Paste'!B:O,6,0)),""),"")</f>
        <v>Cock</v>
      </c>
      <c r="J2521" s="259">
        <f>IFERROR(IFERROR(VLOOKUP(B2521&amp;C2521&amp;Q2521,'New Weekly Paste'!A:M,8,0),VLOOKUP(B2521&amp;C2521&amp;Q2521,'New Weekly Paste'!B:O,10,0)),0)</f>
        <v>116.82</v>
      </c>
      <c r="K2521" s="259">
        <f>IFERROR(IFERROR(VLOOKUP(B2521&amp;I2521&amp;Q2521,'New Weekly Paste'!A:M,8,0),VLOOKUP(B2521&amp;I2521&amp;Q2521,'New Weekly Paste'!B:O,10,0)),0)</f>
        <v>83.4</v>
      </c>
      <c r="L2521" s="239">
        <f t="shared" si="25"/>
        <v>1</v>
      </c>
      <c r="M2521" s="36" t="str">
        <f t="shared" si="3"/>
        <v>Regular Season</v>
      </c>
      <c r="N2521" s="239" t="str">
        <f t="shared" si="26"/>
        <v>Cock</v>
      </c>
      <c r="O2521" s="6">
        <f>VLOOKUP(D2521,'Mapped Opponent'!$G$4:$H$22,2,0)</f>
        <v>8</v>
      </c>
      <c r="P2521" s="6"/>
      <c r="Q2521" s="6" t="str">
        <f t="shared" si="4"/>
        <v>Week 8</v>
      </c>
      <c r="R2521" s="6" t="str">
        <f t="shared" si="5"/>
        <v>2023Week 8</v>
      </c>
      <c r="S2521" s="6">
        <f>IFERROR(__xludf.DUMMYFUNCTION("rank(J2521,FILTER(J:J,R:R=R2521))"),1.0)</f>
        <v>1</v>
      </c>
      <c r="T2521" s="6">
        <f t="shared" si="6"/>
        <v>11</v>
      </c>
      <c r="U2521" s="6">
        <f t="shared" si="7"/>
        <v>1</v>
      </c>
      <c r="V2521" s="42">
        <f>averageif(AllData!A:A,B2521,AllData!R:R)/vlookup(B2521,AllData!A:O,15,0)</f>
        <v>93.35904762</v>
      </c>
      <c r="W2521" s="6"/>
    </row>
    <row r="2522" ht="14.25" customHeight="1">
      <c r="A2522" s="6" t="str">
        <f t="shared" si="28"/>
        <v>2023Hudspeath9</v>
      </c>
      <c r="B2522" s="59">
        <v>2023.0</v>
      </c>
      <c r="C2522" s="13" t="s">
        <v>39</v>
      </c>
      <c r="D2522" s="13" t="s">
        <v>147</v>
      </c>
      <c r="E2522" s="34"/>
      <c r="F2522" s="6"/>
      <c r="H2522" s="6"/>
      <c r="I2522" s="35" t="str">
        <f>IFERROR(IFERROR(IFERROR(VLOOKUP(B2522&amp;C2522&amp;Q2522,'New Weekly Paste'!A:M,10,0),VLOOKUP(B2522&amp;C2522&amp;Q2522,'New Weekly Paste'!B:O,6,0)),""),"")</f>
        <v>KnardDawg</v>
      </c>
      <c r="J2522" s="259">
        <f>IFERROR(IFERROR(VLOOKUP(B2522&amp;C2522&amp;Q2522,'New Weekly Paste'!A:M,8,0),VLOOKUP(B2522&amp;C2522&amp;Q2522,'New Weekly Paste'!B:O,10,0)),0)</f>
        <v>88.26</v>
      </c>
      <c r="K2522" s="259">
        <f>IFERROR(IFERROR(VLOOKUP(B2522&amp;I2522&amp;Q2522,'New Weekly Paste'!A:M,8,0),VLOOKUP(B2522&amp;I2522&amp;Q2522,'New Weekly Paste'!B:O,10,0)),0)</f>
        <v>70.38</v>
      </c>
      <c r="L2522" s="239">
        <f t="shared" si="25"/>
        <v>1</v>
      </c>
      <c r="M2522" s="36" t="str">
        <f t="shared" si="3"/>
        <v>Regular Season</v>
      </c>
      <c r="N2522" s="239" t="str">
        <f t="shared" si="26"/>
        <v>KnardDawg</v>
      </c>
      <c r="O2522" s="6">
        <f>VLOOKUP(D2522,'Mapped Opponent'!$G$4:$H$22,2,0)</f>
        <v>9</v>
      </c>
      <c r="P2522" s="6"/>
      <c r="Q2522" s="6" t="str">
        <f t="shared" si="4"/>
        <v>Week 9</v>
      </c>
      <c r="R2522" s="6" t="str">
        <f t="shared" si="5"/>
        <v>2023Week 9</v>
      </c>
      <c r="S2522" s="6">
        <f>IFERROR(__xludf.DUMMYFUNCTION("rank(J2522,FILTER(J:J,R:R=R2522))"),4.0)</f>
        <v>4</v>
      </c>
      <c r="T2522" s="6">
        <f t="shared" si="6"/>
        <v>8</v>
      </c>
      <c r="U2522" s="6">
        <f t="shared" si="7"/>
        <v>4</v>
      </c>
      <c r="V2522" s="42">
        <f>averageif(AllData!A:A,B2522,AllData!R:R)/vlookup(B2522,AllData!A:O,15,0)</f>
        <v>93.35904762</v>
      </c>
      <c r="W2522" s="6"/>
    </row>
    <row r="2523" ht="14.25" customHeight="1">
      <c r="A2523" s="6" t="str">
        <f t="shared" si="28"/>
        <v>2023Salty9</v>
      </c>
      <c r="B2523" s="59">
        <v>2023.0</v>
      </c>
      <c r="C2523" s="13" t="s">
        <v>76</v>
      </c>
      <c r="D2523" s="13" t="s">
        <v>147</v>
      </c>
      <c r="E2523" s="34"/>
      <c r="F2523" s="6"/>
      <c r="H2523" s="6"/>
      <c r="I2523" s="35" t="str">
        <f>IFERROR(IFERROR(IFERROR(VLOOKUP(B2523&amp;C2523&amp;Q2523,'New Weekly Paste'!A:M,10,0),VLOOKUP(B2523&amp;C2523&amp;Q2523,'New Weekly Paste'!B:O,6,0)),""),"")</f>
        <v>Rooney/Jackson</v>
      </c>
      <c r="J2523" s="259">
        <f>IFERROR(IFERROR(VLOOKUP(B2523&amp;C2523&amp;Q2523,'New Weekly Paste'!A:M,8,0),VLOOKUP(B2523&amp;C2523&amp;Q2523,'New Weekly Paste'!B:O,10,0)),0)</f>
        <v>82.62</v>
      </c>
      <c r="K2523" s="259">
        <f>IFERROR(IFERROR(VLOOKUP(B2523&amp;I2523&amp;Q2523,'New Weekly Paste'!A:M,8,0),VLOOKUP(B2523&amp;I2523&amp;Q2523,'New Weekly Paste'!B:O,10,0)),0)</f>
        <v>82.28</v>
      </c>
      <c r="L2523" s="239">
        <f t="shared" si="25"/>
        <v>1</v>
      </c>
      <c r="M2523" s="36" t="str">
        <f t="shared" si="3"/>
        <v>Regular Season</v>
      </c>
      <c r="N2523" s="239" t="str">
        <f t="shared" si="26"/>
        <v>Rooney/Jackson</v>
      </c>
      <c r="O2523" s="6">
        <f>VLOOKUP(D2523,'Mapped Opponent'!$G$4:$H$22,2,0)</f>
        <v>9</v>
      </c>
      <c r="P2523" s="6"/>
      <c r="Q2523" s="6" t="str">
        <f t="shared" si="4"/>
        <v>Week 9</v>
      </c>
      <c r="R2523" s="6" t="str">
        <f t="shared" si="5"/>
        <v>2023Week 9</v>
      </c>
      <c r="S2523" s="6">
        <f>IFERROR(__xludf.DUMMYFUNCTION("rank(J2523,FILTER(J:J,R:R=R2523))"),7.0)</f>
        <v>7</v>
      </c>
      <c r="T2523" s="6">
        <f t="shared" si="6"/>
        <v>5</v>
      </c>
      <c r="U2523" s="6">
        <f t="shared" si="7"/>
        <v>7</v>
      </c>
      <c r="V2523" s="42">
        <f>averageif(AllData!A:A,B2523,AllData!R:R)/vlookup(B2523,AllData!A:O,15,0)</f>
        <v>93.35904762</v>
      </c>
      <c r="W2523" s="6"/>
    </row>
    <row r="2524" ht="14.25" customHeight="1">
      <c r="A2524" s="6" t="str">
        <f t="shared" si="28"/>
        <v>2023Ewert9</v>
      </c>
      <c r="B2524" s="59">
        <v>2023.0</v>
      </c>
      <c r="C2524" s="13" t="s">
        <v>108</v>
      </c>
      <c r="D2524" s="13" t="s">
        <v>147</v>
      </c>
      <c r="E2524" s="34"/>
      <c r="F2524" s="6"/>
      <c r="H2524" s="6"/>
      <c r="I2524" s="35" t="str">
        <f>IFERROR(IFERROR(IFERROR(VLOOKUP(B2524&amp;C2524&amp;Q2524,'New Weekly Paste'!A:M,10,0),VLOOKUP(B2524&amp;C2524&amp;Q2524,'New Weekly Paste'!B:O,6,0)),""),"")</f>
        <v>Cock</v>
      </c>
      <c r="J2524" s="259">
        <f>IFERROR(IFERROR(VLOOKUP(B2524&amp;C2524&amp;Q2524,'New Weekly Paste'!A:M,8,0),VLOOKUP(B2524&amp;C2524&amp;Q2524,'New Weekly Paste'!B:O,10,0)),0)</f>
        <v>112.84</v>
      </c>
      <c r="K2524" s="259">
        <f>IFERROR(IFERROR(VLOOKUP(B2524&amp;I2524&amp;Q2524,'New Weekly Paste'!A:M,8,0),VLOOKUP(B2524&amp;I2524&amp;Q2524,'New Weekly Paste'!B:O,10,0)),0)</f>
        <v>80.5</v>
      </c>
      <c r="L2524" s="239">
        <f t="shared" si="25"/>
        <v>1</v>
      </c>
      <c r="M2524" s="36" t="str">
        <f t="shared" si="3"/>
        <v>Regular Season</v>
      </c>
      <c r="N2524" s="239" t="str">
        <f t="shared" si="26"/>
        <v>Cock</v>
      </c>
      <c r="O2524" s="6">
        <f>VLOOKUP(D2524,'Mapped Opponent'!$G$4:$H$22,2,0)</f>
        <v>9</v>
      </c>
      <c r="P2524" s="6"/>
      <c r="Q2524" s="6" t="str">
        <f t="shared" si="4"/>
        <v>Week 9</v>
      </c>
      <c r="R2524" s="6" t="str">
        <f t="shared" si="5"/>
        <v>2023Week 9</v>
      </c>
      <c r="S2524" s="6">
        <f>IFERROR(__xludf.DUMMYFUNCTION("rank(J2524,FILTER(J:J,R:R=R2524))"),2.0)</f>
        <v>2</v>
      </c>
      <c r="T2524" s="6">
        <f t="shared" si="6"/>
        <v>10</v>
      </c>
      <c r="U2524" s="6">
        <f t="shared" si="7"/>
        <v>2</v>
      </c>
      <c r="V2524" s="42">
        <f>averageif(AllData!A:A,B2524,AllData!R:R)/vlookup(B2524,AllData!A:O,15,0)</f>
        <v>93.35904762</v>
      </c>
      <c r="W2524" s="6"/>
    </row>
    <row r="2525" ht="14.25" customHeight="1">
      <c r="A2525" s="6" t="str">
        <f t="shared" si="28"/>
        <v>2023Shep9</v>
      </c>
      <c r="B2525" s="59">
        <v>2023.0</v>
      </c>
      <c r="C2525" s="13" t="s">
        <v>89</v>
      </c>
      <c r="D2525" s="13" t="s">
        <v>147</v>
      </c>
      <c r="E2525" s="34"/>
      <c r="F2525" s="6"/>
      <c r="H2525" s="6"/>
      <c r="I2525" s="35" t="str">
        <f>IFERROR(IFERROR(IFERROR(VLOOKUP(B2525&amp;C2525&amp;Q2525,'New Weekly Paste'!A:M,10,0),VLOOKUP(B2525&amp;C2525&amp;Q2525,'New Weekly Paste'!B:O,6,0)),""),"")</f>
        <v>Tayski</v>
      </c>
      <c r="J2525" s="259">
        <f>IFERROR(IFERROR(VLOOKUP(B2525&amp;C2525&amp;Q2525,'New Weekly Paste'!A:M,8,0),VLOOKUP(B2525&amp;C2525&amp;Q2525,'New Weekly Paste'!B:O,10,0)),0)</f>
        <v>83.52</v>
      </c>
      <c r="K2525" s="259">
        <f>IFERROR(IFERROR(VLOOKUP(B2525&amp;I2525&amp;Q2525,'New Weekly Paste'!A:M,8,0),VLOOKUP(B2525&amp;I2525&amp;Q2525,'New Weekly Paste'!B:O,10,0)),0)</f>
        <v>114.5</v>
      </c>
      <c r="L2525" s="239">
        <f t="shared" si="25"/>
        <v>0</v>
      </c>
      <c r="M2525" s="36" t="str">
        <f t="shared" si="3"/>
        <v>Regular Season</v>
      </c>
      <c r="N2525" s="239" t="str">
        <f t="shared" si="26"/>
        <v>Tayski</v>
      </c>
      <c r="O2525" s="6">
        <f>VLOOKUP(D2525,'Mapped Opponent'!$G$4:$H$22,2,0)</f>
        <v>9</v>
      </c>
      <c r="P2525" s="6"/>
      <c r="Q2525" s="6" t="str">
        <f t="shared" si="4"/>
        <v>Week 9</v>
      </c>
      <c r="R2525" s="6" t="str">
        <f t="shared" si="5"/>
        <v>2023Week 9</v>
      </c>
      <c r="S2525" s="6">
        <f>IFERROR(__xludf.DUMMYFUNCTION("rank(J2525,FILTER(J:J,R:R=R2525))"),6.0)</f>
        <v>6</v>
      </c>
      <c r="T2525" s="6">
        <f t="shared" si="6"/>
        <v>6</v>
      </c>
      <c r="U2525" s="6">
        <f t="shared" si="7"/>
        <v>6</v>
      </c>
      <c r="V2525" s="42">
        <f>averageif(AllData!A:A,B2525,AllData!R:R)/vlookup(B2525,AllData!A:O,15,0)</f>
        <v>93.35904762</v>
      </c>
      <c r="W2525" s="6"/>
    </row>
    <row r="2526" ht="14.25" customHeight="1">
      <c r="A2526" s="6" t="str">
        <f t="shared" si="28"/>
        <v>2023Riley9</v>
      </c>
      <c r="B2526" s="59">
        <v>2023.0</v>
      </c>
      <c r="C2526" s="13" t="s">
        <v>67</v>
      </c>
      <c r="D2526" s="13" t="s">
        <v>147</v>
      </c>
      <c r="E2526" s="34"/>
      <c r="F2526" s="6"/>
      <c r="H2526" s="6"/>
      <c r="I2526" s="35" t="str">
        <f>IFERROR(IFERROR(IFERROR(VLOOKUP(B2526&amp;C2526&amp;Q2526,'New Weekly Paste'!A:M,10,0),VLOOKUP(B2526&amp;C2526&amp;Q2526,'New Weekly Paste'!B:O,6,0)),""),"")</f>
        <v>Buser</v>
      </c>
      <c r="J2526" s="259">
        <f>IFERROR(IFERROR(VLOOKUP(B2526&amp;C2526&amp;Q2526,'New Weekly Paste'!A:M,8,0),VLOOKUP(B2526&amp;C2526&amp;Q2526,'New Weekly Paste'!B:O,10,0)),0)</f>
        <v>88.22</v>
      </c>
      <c r="K2526" s="259">
        <f>IFERROR(IFERROR(VLOOKUP(B2526&amp;I2526&amp;Q2526,'New Weekly Paste'!A:M,8,0),VLOOKUP(B2526&amp;I2526&amp;Q2526,'New Weekly Paste'!B:O,10,0)),0)</f>
        <v>64.22</v>
      </c>
      <c r="L2526" s="239">
        <f t="shared" si="25"/>
        <v>1</v>
      </c>
      <c r="M2526" s="36" t="str">
        <f t="shared" si="3"/>
        <v>Regular Season</v>
      </c>
      <c r="N2526" s="239" t="str">
        <f t="shared" si="26"/>
        <v>Buser</v>
      </c>
      <c r="O2526" s="6">
        <f>VLOOKUP(D2526,'Mapped Opponent'!$G$4:$H$22,2,0)</f>
        <v>9</v>
      </c>
      <c r="P2526" s="6"/>
      <c r="Q2526" s="6" t="str">
        <f t="shared" si="4"/>
        <v>Week 9</v>
      </c>
      <c r="R2526" s="6" t="str">
        <f t="shared" si="5"/>
        <v>2023Week 9</v>
      </c>
      <c r="S2526" s="6">
        <f>IFERROR(__xludf.DUMMYFUNCTION("rank(J2526,FILTER(J:J,R:R=R2526))"),5.0)</f>
        <v>5</v>
      </c>
      <c r="T2526" s="6">
        <f t="shared" si="6"/>
        <v>7</v>
      </c>
      <c r="U2526" s="6">
        <f t="shared" si="7"/>
        <v>5</v>
      </c>
      <c r="V2526" s="42">
        <f>averageif(AllData!A:A,B2526,AllData!R:R)/vlookup(B2526,AllData!A:O,15,0)</f>
        <v>93.35904762</v>
      </c>
      <c r="W2526" s="6"/>
    </row>
    <row r="2527" ht="14.25" customHeight="1">
      <c r="A2527" s="6" t="str">
        <f t="shared" si="28"/>
        <v>2023Rooney/Jackson9</v>
      </c>
      <c r="B2527" s="59">
        <v>2023.0</v>
      </c>
      <c r="C2527" s="13" t="s">
        <v>57</v>
      </c>
      <c r="D2527" s="13" t="s">
        <v>147</v>
      </c>
      <c r="E2527" s="34"/>
      <c r="F2527" s="6"/>
      <c r="H2527" s="6"/>
      <c r="I2527" s="35" t="str">
        <f>IFERROR(IFERROR(IFERROR(VLOOKUP(B2527&amp;C2527&amp;Q2527,'New Weekly Paste'!A:M,10,0),VLOOKUP(B2527&amp;C2527&amp;Q2527,'New Weekly Paste'!B:O,6,0)),""),"")</f>
        <v>Salty</v>
      </c>
      <c r="J2527" s="259">
        <f>IFERROR(IFERROR(VLOOKUP(B2527&amp;C2527&amp;Q2527,'New Weekly Paste'!A:M,8,0),VLOOKUP(B2527&amp;C2527&amp;Q2527,'New Weekly Paste'!B:O,10,0)),0)</f>
        <v>82.28</v>
      </c>
      <c r="K2527" s="259">
        <f>IFERROR(IFERROR(VLOOKUP(B2527&amp;I2527&amp;Q2527,'New Weekly Paste'!A:M,8,0),VLOOKUP(B2527&amp;I2527&amp;Q2527,'New Weekly Paste'!B:O,10,0)),0)</f>
        <v>82.62</v>
      </c>
      <c r="L2527" s="239">
        <f t="shared" si="25"/>
        <v>0</v>
      </c>
      <c r="M2527" s="36" t="str">
        <f t="shared" si="3"/>
        <v>Regular Season</v>
      </c>
      <c r="N2527" s="239" t="str">
        <f t="shared" si="26"/>
        <v>Salty</v>
      </c>
      <c r="O2527" s="6">
        <f>VLOOKUP(D2527,'Mapped Opponent'!$G$4:$H$22,2,0)</f>
        <v>9</v>
      </c>
      <c r="P2527" s="6"/>
      <c r="Q2527" s="6" t="str">
        <f t="shared" si="4"/>
        <v>Week 9</v>
      </c>
      <c r="R2527" s="6" t="str">
        <f t="shared" si="5"/>
        <v>2023Week 9</v>
      </c>
      <c r="S2527" s="6">
        <f>IFERROR(__xludf.DUMMYFUNCTION("rank(J2527,FILTER(J:J,R:R=R2527))"),8.0)</f>
        <v>8</v>
      </c>
      <c r="T2527" s="6">
        <f t="shared" si="6"/>
        <v>4</v>
      </c>
      <c r="U2527" s="6">
        <f t="shared" si="7"/>
        <v>8</v>
      </c>
      <c r="V2527" s="42">
        <f>averageif(AllData!A:A,B2527,AllData!R:R)/vlookup(B2527,AllData!A:O,15,0)</f>
        <v>93.35904762</v>
      </c>
      <c r="W2527" s="6"/>
    </row>
    <row r="2528" ht="14.25" customHeight="1">
      <c r="A2528" s="6" t="str">
        <f t="shared" si="28"/>
        <v>2023Buser9</v>
      </c>
      <c r="B2528" s="59">
        <v>2023.0</v>
      </c>
      <c r="C2528" s="13" t="s">
        <v>47</v>
      </c>
      <c r="D2528" s="13" t="s">
        <v>147</v>
      </c>
      <c r="E2528" s="34"/>
      <c r="F2528" s="6"/>
      <c r="H2528" s="6"/>
      <c r="I2528" s="35" t="str">
        <f>IFERROR(IFERROR(IFERROR(VLOOKUP(B2528&amp;C2528&amp;Q2528,'New Weekly Paste'!A:M,10,0),VLOOKUP(B2528&amp;C2528&amp;Q2528,'New Weekly Paste'!B:O,6,0)),""),"")</f>
        <v>Riley</v>
      </c>
      <c r="J2528" s="259">
        <f>IFERROR(IFERROR(VLOOKUP(B2528&amp;C2528&amp;Q2528,'New Weekly Paste'!A:M,8,0),VLOOKUP(B2528&amp;C2528&amp;Q2528,'New Weekly Paste'!B:O,10,0)),0)</f>
        <v>64.22</v>
      </c>
      <c r="K2528" s="259">
        <f>IFERROR(IFERROR(VLOOKUP(B2528&amp;I2528&amp;Q2528,'New Weekly Paste'!A:M,8,0),VLOOKUP(B2528&amp;I2528&amp;Q2528,'New Weekly Paste'!B:O,10,0)),0)</f>
        <v>88.22</v>
      </c>
      <c r="L2528" s="239">
        <f t="shared" si="25"/>
        <v>0</v>
      </c>
      <c r="M2528" s="36" t="str">
        <f t="shared" si="3"/>
        <v>Regular Season</v>
      </c>
      <c r="N2528" s="239" t="str">
        <f t="shared" si="26"/>
        <v>Riley</v>
      </c>
      <c r="O2528" s="6">
        <f>VLOOKUP(D2528,'Mapped Opponent'!$G$4:$H$22,2,0)</f>
        <v>9</v>
      </c>
      <c r="P2528" s="6"/>
      <c r="Q2528" s="6" t="str">
        <f t="shared" si="4"/>
        <v>Week 9</v>
      </c>
      <c r="R2528" s="6" t="str">
        <f t="shared" si="5"/>
        <v>2023Week 9</v>
      </c>
      <c r="S2528" s="6">
        <f>IFERROR(__xludf.DUMMYFUNCTION("rank(J2528,FILTER(J:J,R:R=R2528))"),11.0)</f>
        <v>11</v>
      </c>
      <c r="T2528" s="6">
        <f t="shared" si="6"/>
        <v>1</v>
      </c>
      <c r="U2528" s="6">
        <f t="shared" si="7"/>
        <v>11</v>
      </c>
      <c r="V2528" s="42">
        <f>averageif(AllData!A:A,B2528,AllData!R:R)/vlookup(B2528,AllData!A:O,15,0)</f>
        <v>93.35904762</v>
      </c>
      <c r="W2528" s="6"/>
    </row>
    <row r="2529" ht="14.25" customHeight="1">
      <c r="A2529" s="6" t="str">
        <f t="shared" si="28"/>
        <v>2023Pierson9</v>
      </c>
      <c r="B2529" s="59">
        <v>2023.0</v>
      </c>
      <c r="C2529" s="13" t="s">
        <v>92</v>
      </c>
      <c r="D2529" s="13" t="s">
        <v>147</v>
      </c>
      <c r="E2529" s="34"/>
      <c r="F2529" s="6"/>
      <c r="H2529" s="6"/>
      <c r="I2529" s="35" t="str">
        <f>IFERROR(IFERROR(IFERROR(VLOOKUP(B2529&amp;C2529&amp;Q2529,'New Weekly Paste'!A:M,10,0),VLOOKUP(B2529&amp;C2529&amp;Q2529,'New Weekly Paste'!B:O,6,0)),""),"")</f>
        <v>T-How</v>
      </c>
      <c r="J2529" s="259">
        <f>IFERROR(IFERROR(VLOOKUP(B2529&amp;C2529&amp;Q2529,'New Weekly Paste'!A:M,8,0),VLOOKUP(B2529&amp;C2529&amp;Q2529,'New Weekly Paste'!B:O,10,0)),0)</f>
        <v>107.18</v>
      </c>
      <c r="K2529" s="259">
        <f>IFERROR(IFERROR(VLOOKUP(B2529&amp;I2529&amp;Q2529,'New Weekly Paste'!A:M,8,0),VLOOKUP(B2529&amp;I2529&amp;Q2529,'New Weekly Paste'!B:O,10,0)),0)</f>
        <v>53.64</v>
      </c>
      <c r="L2529" s="239">
        <f t="shared" si="25"/>
        <v>1</v>
      </c>
      <c r="M2529" s="36" t="str">
        <f t="shared" si="3"/>
        <v>Regular Season</v>
      </c>
      <c r="N2529" s="239" t="str">
        <f t="shared" si="26"/>
        <v>T-How</v>
      </c>
      <c r="O2529" s="6">
        <f>VLOOKUP(D2529,'Mapped Opponent'!$G$4:$H$22,2,0)</f>
        <v>9</v>
      </c>
      <c r="P2529" s="6"/>
      <c r="Q2529" s="6" t="str">
        <f t="shared" si="4"/>
        <v>Week 9</v>
      </c>
      <c r="R2529" s="6" t="str">
        <f t="shared" si="5"/>
        <v>2023Week 9</v>
      </c>
      <c r="S2529" s="6">
        <f>IFERROR(__xludf.DUMMYFUNCTION("rank(J2529,FILTER(J:J,R:R=R2529))"),3.0)</f>
        <v>3</v>
      </c>
      <c r="T2529" s="6">
        <f t="shared" si="6"/>
        <v>9</v>
      </c>
      <c r="U2529" s="6">
        <f t="shared" si="7"/>
        <v>3</v>
      </c>
      <c r="V2529" s="42">
        <f>averageif(AllData!A:A,B2529,AllData!R:R)/vlookup(B2529,AllData!A:O,15,0)</f>
        <v>93.35904762</v>
      </c>
      <c r="W2529" s="6"/>
    </row>
    <row r="2530" ht="14.25" customHeight="1">
      <c r="A2530" s="6" t="str">
        <f t="shared" si="28"/>
        <v>2023Cock9</v>
      </c>
      <c r="B2530" s="59">
        <v>2023.0</v>
      </c>
      <c r="C2530" s="13" t="s">
        <v>72</v>
      </c>
      <c r="D2530" s="13" t="s">
        <v>147</v>
      </c>
      <c r="E2530" s="34"/>
      <c r="F2530" s="6"/>
      <c r="H2530" s="6"/>
      <c r="I2530" s="35" t="str">
        <f>IFERROR(IFERROR(IFERROR(VLOOKUP(B2530&amp;C2530&amp;Q2530,'New Weekly Paste'!A:M,10,0),VLOOKUP(B2530&amp;C2530&amp;Q2530,'New Weekly Paste'!B:O,6,0)),""),"")</f>
        <v>Ewert</v>
      </c>
      <c r="J2530" s="259">
        <f>IFERROR(IFERROR(VLOOKUP(B2530&amp;C2530&amp;Q2530,'New Weekly Paste'!A:M,8,0),VLOOKUP(B2530&amp;C2530&amp;Q2530,'New Weekly Paste'!B:O,10,0)),0)</f>
        <v>80.5</v>
      </c>
      <c r="K2530" s="259">
        <f>IFERROR(IFERROR(VLOOKUP(B2530&amp;I2530&amp;Q2530,'New Weekly Paste'!A:M,8,0),VLOOKUP(B2530&amp;I2530&amp;Q2530,'New Weekly Paste'!B:O,10,0)),0)</f>
        <v>112.84</v>
      </c>
      <c r="L2530" s="239">
        <f t="shared" si="25"/>
        <v>0</v>
      </c>
      <c r="M2530" s="36" t="str">
        <f t="shared" si="3"/>
        <v>Regular Season</v>
      </c>
      <c r="N2530" s="239" t="str">
        <f t="shared" si="26"/>
        <v>Ewert</v>
      </c>
      <c r="O2530" s="6">
        <f>VLOOKUP(D2530,'Mapped Opponent'!$G$4:$H$22,2,0)</f>
        <v>9</v>
      </c>
      <c r="P2530" s="6"/>
      <c r="Q2530" s="6" t="str">
        <f t="shared" si="4"/>
        <v>Week 9</v>
      </c>
      <c r="R2530" s="6" t="str">
        <f t="shared" si="5"/>
        <v>2023Week 9</v>
      </c>
      <c r="S2530" s="6">
        <f>IFERROR(__xludf.DUMMYFUNCTION("rank(J2530,FILTER(J:J,R:R=R2530))"),9.0)</f>
        <v>9</v>
      </c>
      <c r="T2530" s="6">
        <f t="shared" si="6"/>
        <v>3</v>
      </c>
      <c r="U2530" s="6">
        <f t="shared" si="7"/>
        <v>9</v>
      </c>
      <c r="V2530" s="42">
        <f>averageif(AllData!A:A,B2530,AllData!R:R)/vlookup(B2530,AllData!A:O,15,0)</f>
        <v>93.35904762</v>
      </c>
      <c r="W2530" s="6"/>
    </row>
    <row r="2531" ht="14.25" customHeight="1">
      <c r="A2531" s="6" t="str">
        <f t="shared" si="28"/>
        <v>2023Tayski9</v>
      </c>
      <c r="B2531" s="59">
        <v>2023.0</v>
      </c>
      <c r="C2531" s="13" t="s">
        <v>52</v>
      </c>
      <c r="D2531" s="13" t="s">
        <v>147</v>
      </c>
      <c r="E2531" s="34"/>
      <c r="F2531" s="6"/>
      <c r="H2531" s="6"/>
      <c r="I2531" s="35" t="str">
        <f>IFERROR(IFERROR(IFERROR(VLOOKUP(B2531&amp;C2531&amp;Q2531,'New Weekly Paste'!A:M,10,0),VLOOKUP(B2531&amp;C2531&amp;Q2531,'New Weekly Paste'!B:O,6,0)),""),"")</f>
        <v>Shep</v>
      </c>
      <c r="J2531" s="259">
        <f>IFERROR(IFERROR(VLOOKUP(B2531&amp;C2531&amp;Q2531,'New Weekly Paste'!A:M,8,0),VLOOKUP(B2531&amp;C2531&amp;Q2531,'New Weekly Paste'!B:O,10,0)),0)</f>
        <v>114.5</v>
      </c>
      <c r="K2531" s="259">
        <f>IFERROR(IFERROR(VLOOKUP(B2531&amp;I2531&amp;Q2531,'New Weekly Paste'!A:M,8,0),VLOOKUP(B2531&amp;I2531&amp;Q2531,'New Weekly Paste'!B:O,10,0)),0)</f>
        <v>83.52</v>
      </c>
      <c r="L2531" s="239">
        <f t="shared" si="25"/>
        <v>1</v>
      </c>
      <c r="M2531" s="36" t="str">
        <f t="shared" si="3"/>
        <v>Regular Season</v>
      </c>
      <c r="N2531" s="239" t="str">
        <f t="shared" si="26"/>
        <v>Shep</v>
      </c>
      <c r="O2531" s="6">
        <f>VLOOKUP(D2531,'Mapped Opponent'!$G$4:$H$22,2,0)</f>
        <v>9</v>
      </c>
      <c r="P2531" s="6"/>
      <c r="Q2531" s="6" t="str">
        <f t="shared" si="4"/>
        <v>Week 9</v>
      </c>
      <c r="R2531" s="6" t="str">
        <f t="shared" si="5"/>
        <v>2023Week 9</v>
      </c>
      <c r="S2531" s="6">
        <f>IFERROR(__xludf.DUMMYFUNCTION("rank(J2531,FILTER(J:J,R:R=R2531))"),1.0)</f>
        <v>1</v>
      </c>
      <c r="T2531" s="6">
        <f t="shared" si="6"/>
        <v>11</v>
      </c>
      <c r="U2531" s="6">
        <f t="shared" si="7"/>
        <v>1</v>
      </c>
      <c r="V2531" s="42">
        <f>averageif(AllData!A:A,B2531,AllData!R:R)/vlookup(B2531,AllData!A:O,15,0)</f>
        <v>93.35904762</v>
      </c>
      <c r="W2531" s="6"/>
    </row>
    <row r="2532" ht="14.25" customHeight="1">
      <c r="A2532" s="6" t="str">
        <f t="shared" si="28"/>
        <v>2023KnardDawg9</v>
      </c>
      <c r="B2532" s="59">
        <v>2023.0</v>
      </c>
      <c r="C2532" s="13" t="s">
        <v>86</v>
      </c>
      <c r="D2532" s="13" t="s">
        <v>147</v>
      </c>
      <c r="E2532" s="34"/>
      <c r="F2532" s="6"/>
      <c r="H2532" s="6"/>
      <c r="I2532" s="35" t="str">
        <f>IFERROR(IFERROR(IFERROR(VLOOKUP(B2532&amp;C2532&amp;Q2532,'New Weekly Paste'!A:M,10,0),VLOOKUP(B2532&amp;C2532&amp;Q2532,'New Weekly Paste'!B:O,6,0)),""),"")</f>
        <v>Hudspeath</v>
      </c>
      <c r="J2532" s="259">
        <f>IFERROR(IFERROR(VLOOKUP(B2532&amp;C2532&amp;Q2532,'New Weekly Paste'!A:M,8,0),VLOOKUP(B2532&amp;C2532&amp;Q2532,'New Weekly Paste'!B:O,10,0)),0)</f>
        <v>70.38</v>
      </c>
      <c r="K2532" s="259">
        <f>IFERROR(IFERROR(VLOOKUP(B2532&amp;I2532&amp;Q2532,'New Weekly Paste'!A:M,8,0),VLOOKUP(B2532&amp;I2532&amp;Q2532,'New Weekly Paste'!B:O,10,0)),0)</f>
        <v>88.26</v>
      </c>
      <c r="L2532" s="239">
        <f t="shared" si="25"/>
        <v>0</v>
      </c>
      <c r="M2532" s="36" t="str">
        <f t="shared" si="3"/>
        <v>Regular Season</v>
      </c>
      <c r="N2532" s="239" t="str">
        <f t="shared" si="26"/>
        <v>Hudspeath</v>
      </c>
      <c r="O2532" s="6">
        <f>VLOOKUP(D2532,'Mapped Opponent'!$G$4:$H$22,2,0)</f>
        <v>9</v>
      </c>
      <c r="P2532" s="6"/>
      <c r="Q2532" s="6" t="str">
        <f t="shared" si="4"/>
        <v>Week 9</v>
      </c>
      <c r="R2532" s="6" t="str">
        <f t="shared" si="5"/>
        <v>2023Week 9</v>
      </c>
      <c r="S2532" s="6">
        <f>IFERROR(__xludf.DUMMYFUNCTION("rank(J2532,FILTER(J:J,R:R=R2532))"),10.0)</f>
        <v>10</v>
      </c>
      <c r="T2532" s="6">
        <f t="shared" si="6"/>
        <v>2</v>
      </c>
      <c r="U2532" s="6">
        <f t="shared" si="7"/>
        <v>10</v>
      </c>
      <c r="V2532" s="42">
        <f>averageif(AllData!A:A,B2532,AllData!R:R)/vlookup(B2532,AllData!A:O,15,0)</f>
        <v>93.35904762</v>
      </c>
      <c r="W2532" s="6"/>
    </row>
    <row r="2533" ht="14.25" customHeight="1">
      <c r="A2533" s="6" t="str">
        <f t="shared" si="28"/>
        <v>2023T-How9</v>
      </c>
      <c r="B2533" s="59">
        <v>2023.0</v>
      </c>
      <c r="C2533" s="13" t="s">
        <v>82</v>
      </c>
      <c r="D2533" s="13" t="s">
        <v>147</v>
      </c>
      <c r="E2533" s="34"/>
      <c r="F2533" s="6"/>
      <c r="H2533" s="6"/>
      <c r="I2533" s="35" t="str">
        <f>IFERROR(IFERROR(IFERROR(VLOOKUP(B2533&amp;C2533&amp;Q2533,'New Weekly Paste'!A:M,10,0),VLOOKUP(B2533&amp;C2533&amp;Q2533,'New Weekly Paste'!B:O,6,0)),""),"")</f>
        <v>Pierson</v>
      </c>
      <c r="J2533" s="259">
        <f>IFERROR(IFERROR(VLOOKUP(B2533&amp;C2533&amp;Q2533,'New Weekly Paste'!A:M,8,0),VLOOKUP(B2533&amp;C2533&amp;Q2533,'New Weekly Paste'!B:O,10,0)),0)</f>
        <v>53.64</v>
      </c>
      <c r="K2533" s="259">
        <f>IFERROR(IFERROR(VLOOKUP(B2533&amp;I2533&amp;Q2533,'New Weekly Paste'!A:M,8,0),VLOOKUP(B2533&amp;I2533&amp;Q2533,'New Weekly Paste'!B:O,10,0)),0)</f>
        <v>107.18</v>
      </c>
      <c r="L2533" s="239">
        <f t="shared" si="25"/>
        <v>0</v>
      </c>
      <c r="M2533" s="36" t="str">
        <f t="shared" si="3"/>
        <v>Regular Season</v>
      </c>
      <c r="N2533" s="239" t="str">
        <f t="shared" si="26"/>
        <v>Pierson</v>
      </c>
      <c r="O2533" s="6">
        <f>VLOOKUP(D2533,'Mapped Opponent'!$G$4:$H$22,2,0)</f>
        <v>9</v>
      </c>
      <c r="P2533" s="6"/>
      <c r="Q2533" s="6" t="str">
        <f t="shared" si="4"/>
        <v>Week 9</v>
      </c>
      <c r="R2533" s="6" t="str">
        <f t="shared" si="5"/>
        <v>2023Week 9</v>
      </c>
      <c r="S2533" s="6">
        <f>IFERROR(__xludf.DUMMYFUNCTION("rank(J2533,FILTER(J:J,R:R=R2533))"),12.0)</f>
        <v>12</v>
      </c>
      <c r="T2533" s="6">
        <f t="shared" si="6"/>
        <v>0</v>
      </c>
      <c r="U2533" s="6">
        <f t="shared" si="7"/>
        <v>12</v>
      </c>
      <c r="V2533" s="42">
        <f>averageif(AllData!A:A,B2533,AllData!R:R)/vlookup(B2533,AllData!A:O,15,0)</f>
        <v>93.35904762</v>
      </c>
      <c r="W2533" s="6"/>
    </row>
    <row r="2534" ht="14.25" customHeight="1">
      <c r="A2534" s="6" t="str">
        <f t="shared" si="28"/>
        <v>2024Hudspeath15</v>
      </c>
      <c r="B2534" s="59">
        <v>2024.0</v>
      </c>
      <c r="C2534" s="13" t="s">
        <v>39</v>
      </c>
      <c r="D2534" s="13" t="s">
        <v>112</v>
      </c>
      <c r="E2534" s="34"/>
      <c r="F2534" s="6"/>
      <c r="H2534" s="6"/>
      <c r="I2534" s="35" t="str">
        <f>IFERROR(IFERROR(IFERROR(VLOOKUP(B2534&amp;C2534&amp;Q2534,'New Weekly Paste'!A:M,10,0),VLOOKUP(B2534&amp;C2534&amp;Q2534,'New Weekly Paste'!B:O,6,0)),""),"")</f>
        <v>Shep</v>
      </c>
      <c r="J2534" s="259">
        <f>IFERROR(IFERROR(VLOOKUP(B2534&amp;C2534&amp;Q2534,'New Weekly Paste'!A:M,8,0),VLOOKUP(B2534&amp;C2534&amp;Q2534,'New Weekly Paste'!B:O,10,0)),0)</f>
        <v>81.62</v>
      </c>
      <c r="K2534" s="259">
        <f>IFERROR(IFERROR(VLOOKUP(B2534&amp;I2534&amp;Q2534,'New Weekly Paste'!A:M,8,0),VLOOKUP(B2534&amp;I2534&amp;Q2534,'New Weekly Paste'!B:O,10,0)),0)</f>
        <v>75.06</v>
      </c>
      <c r="L2534" s="239">
        <f t="shared" si="25"/>
        <v>1</v>
      </c>
      <c r="M2534" s="36" t="str">
        <f t="shared" si="3"/>
        <v>Playoffs</v>
      </c>
      <c r="N2534" s="239" t="str">
        <f t="shared" si="26"/>
        <v>Shep</v>
      </c>
      <c r="O2534" s="6">
        <f>VLOOKUP(D2534,'Mapped Opponent'!$G$4:$H$22,2,0)</f>
        <v>15</v>
      </c>
      <c r="P2534" s="6"/>
      <c r="Q2534" s="6" t="str">
        <f t="shared" si="4"/>
        <v>Week 15</v>
      </c>
      <c r="R2534" s="6" t="str">
        <f t="shared" si="5"/>
        <v>2024Round 1</v>
      </c>
      <c r="S2534" s="6">
        <f>IFERROR(__xludf.DUMMYFUNCTION("rank(J2534,FILTER(J:J,R:R=R2534))"),6.0)</f>
        <v>6</v>
      </c>
      <c r="T2534" s="6">
        <f t="shared" si="6"/>
        <v>6</v>
      </c>
      <c r="U2534" s="6">
        <f t="shared" si="7"/>
        <v>6</v>
      </c>
      <c r="V2534" s="42">
        <f>averageif(AllData!A:A,B2534,AllData!R:R)/vlookup(B2534,AllData!A:O,15,0)</f>
        <v>94.42488095</v>
      </c>
      <c r="W2534" s="6"/>
    </row>
    <row r="2535" ht="14.25" customHeight="1">
      <c r="A2535" s="6" t="str">
        <f t="shared" si="28"/>
        <v>2024Salty15</v>
      </c>
      <c r="B2535" s="59">
        <v>2024.0</v>
      </c>
      <c r="C2535" s="13" t="s">
        <v>76</v>
      </c>
      <c r="D2535" s="13" t="s">
        <v>112</v>
      </c>
      <c r="E2535" s="34"/>
      <c r="F2535" s="6"/>
      <c r="H2535" s="6"/>
      <c r="I2535" s="35" t="str">
        <f>IFERROR(IFERROR(IFERROR(VLOOKUP(B2535&amp;C2535&amp;Q2535,'New Weekly Paste'!A:M,10,0),VLOOKUP(B2535&amp;C2535&amp;Q2535,'New Weekly Paste'!B:O,6,0)),""),"")</f>
        <v>T-How</v>
      </c>
      <c r="J2535" s="259">
        <f>IFERROR(IFERROR(VLOOKUP(B2535&amp;C2535&amp;Q2535,'New Weekly Paste'!A:M,8,0),VLOOKUP(B2535&amp;C2535&amp;Q2535,'New Weekly Paste'!B:O,10,0)),0)</f>
        <v>0</v>
      </c>
      <c r="K2535" s="259">
        <f>IFERROR(IFERROR(VLOOKUP(B2535&amp;I2535&amp;Q2535,'New Weekly Paste'!A:M,8,0),VLOOKUP(B2535&amp;I2535&amp;Q2535,'New Weekly Paste'!B:O,10,0)),0)</f>
        <v>0</v>
      </c>
      <c r="L2535" s="239">
        <f t="shared" si="25"/>
        <v>0</v>
      </c>
      <c r="M2535" s="36" t="str">
        <f t="shared" si="3"/>
        <v>Playoffs</v>
      </c>
      <c r="N2535" s="239" t="str">
        <f t="shared" si="26"/>
        <v>T-How</v>
      </c>
      <c r="O2535" s="6">
        <f>VLOOKUP(D2535,'Mapped Opponent'!$G$4:$H$22,2,0)</f>
        <v>15</v>
      </c>
      <c r="P2535" s="6"/>
      <c r="Q2535" s="6" t="str">
        <f t="shared" si="4"/>
        <v>Week 15</v>
      </c>
      <c r="R2535" s="6" t="str">
        <f t="shared" si="5"/>
        <v>2024Round 1</v>
      </c>
      <c r="S2535" s="6">
        <f>IFERROR(__xludf.DUMMYFUNCTION("rank(J2535,FILTER(J:J,R:R=R2535))"),10.0)</f>
        <v>10</v>
      </c>
      <c r="T2535" s="6">
        <f t="shared" si="6"/>
        <v>2</v>
      </c>
      <c r="U2535" s="6">
        <f t="shared" si="7"/>
        <v>10</v>
      </c>
      <c r="V2535" s="42">
        <f>averageif(AllData!A:A,B2535,AllData!R:R)/vlookup(B2535,AllData!A:O,15,0)</f>
        <v>94.42488095</v>
      </c>
      <c r="W2535" s="6"/>
    </row>
    <row r="2536" ht="14.25" customHeight="1">
      <c r="A2536" s="6" t="str">
        <f t="shared" si="28"/>
        <v>2024Ewert15</v>
      </c>
      <c r="B2536" s="59">
        <v>2024.0</v>
      </c>
      <c r="C2536" s="13" t="s">
        <v>108</v>
      </c>
      <c r="D2536" s="13" t="s">
        <v>112</v>
      </c>
      <c r="E2536" s="34"/>
      <c r="F2536" s="6"/>
      <c r="H2536" s="6"/>
      <c r="I2536" s="35" t="str">
        <f>IFERROR(IFERROR(IFERROR(VLOOKUP(B2536&amp;C2536&amp;Q2536,'New Weekly Paste'!A:M,10,0),VLOOKUP(B2536&amp;C2536&amp;Q2536,'New Weekly Paste'!B:O,6,0)),""),"")</f>
        <v>KnardDawg</v>
      </c>
      <c r="J2536" s="259">
        <f>IFERROR(IFERROR(VLOOKUP(B2536&amp;C2536&amp;Q2536,'New Weekly Paste'!A:M,8,0),VLOOKUP(B2536&amp;C2536&amp;Q2536,'New Weekly Paste'!B:O,10,0)),0)</f>
        <v>98.7</v>
      </c>
      <c r="K2536" s="259">
        <f>IFERROR(IFERROR(VLOOKUP(B2536&amp;I2536&amp;Q2536,'New Weekly Paste'!A:M,8,0),VLOOKUP(B2536&amp;I2536&amp;Q2536,'New Weekly Paste'!B:O,10,0)),0)</f>
        <v>84.74</v>
      </c>
      <c r="L2536" s="239">
        <f t="shared" si="25"/>
        <v>1</v>
      </c>
      <c r="M2536" s="36" t="str">
        <f t="shared" si="3"/>
        <v>Playoffs</v>
      </c>
      <c r="N2536" s="239" t="str">
        <f t="shared" si="26"/>
        <v>KnardDawg</v>
      </c>
      <c r="O2536" s="6">
        <f>VLOOKUP(D2536,'Mapped Opponent'!$G$4:$H$22,2,0)</f>
        <v>15</v>
      </c>
      <c r="P2536" s="6"/>
      <c r="Q2536" s="6" t="str">
        <f t="shared" si="4"/>
        <v>Week 15</v>
      </c>
      <c r="R2536" s="6" t="str">
        <f t="shared" si="5"/>
        <v>2024Round 1</v>
      </c>
      <c r="S2536" s="6">
        <f>IFERROR(__xludf.DUMMYFUNCTION("rank(J2536,FILTER(J:J,R:R=R2536))"),2.0)</f>
        <v>2</v>
      </c>
      <c r="T2536" s="6">
        <f t="shared" si="6"/>
        <v>10</v>
      </c>
      <c r="U2536" s="6">
        <f t="shared" si="7"/>
        <v>2</v>
      </c>
      <c r="V2536" s="42">
        <f>averageif(AllData!A:A,B2536,AllData!R:R)/vlookup(B2536,AllData!A:O,15,0)</f>
        <v>94.42488095</v>
      </c>
      <c r="W2536" s="6"/>
    </row>
    <row r="2537" ht="14.25" customHeight="1">
      <c r="A2537" s="6" t="str">
        <f t="shared" si="28"/>
        <v>2024Shep15</v>
      </c>
      <c r="B2537" s="59">
        <v>2024.0</v>
      </c>
      <c r="C2537" s="13" t="s">
        <v>89</v>
      </c>
      <c r="D2537" s="13" t="s">
        <v>112</v>
      </c>
      <c r="E2537" s="34"/>
      <c r="F2537" s="6"/>
      <c r="H2537" s="6"/>
      <c r="I2537" s="35" t="str">
        <f>IFERROR(IFERROR(IFERROR(VLOOKUP(B2537&amp;C2537&amp;Q2537,'New Weekly Paste'!A:M,10,0),VLOOKUP(B2537&amp;C2537&amp;Q2537,'New Weekly Paste'!B:O,6,0)),""),"")</f>
        <v>Hudspeath</v>
      </c>
      <c r="J2537" s="259">
        <f>IFERROR(IFERROR(VLOOKUP(B2537&amp;C2537&amp;Q2537,'New Weekly Paste'!A:M,8,0),VLOOKUP(B2537&amp;C2537&amp;Q2537,'New Weekly Paste'!B:O,10,0)),0)</f>
        <v>75.06</v>
      </c>
      <c r="K2537" s="259">
        <f>IFERROR(IFERROR(VLOOKUP(B2537&amp;I2537&amp;Q2537,'New Weekly Paste'!A:M,8,0),VLOOKUP(B2537&amp;I2537&amp;Q2537,'New Weekly Paste'!B:O,10,0)),0)</f>
        <v>81.62</v>
      </c>
      <c r="L2537" s="239">
        <f t="shared" si="25"/>
        <v>0</v>
      </c>
      <c r="M2537" s="36" t="str">
        <f t="shared" si="3"/>
        <v>Playoffs</v>
      </c>
      <c r="N2537" s="239" t="str">
        <f t="shared" si="26"/>
        <v>Hudspeath</v>
      </c>
      <c r="O2537" s="6">
        <f>VLOOKUP(D2537,'Mapped Opponent'!$G$4:$H$22,2,0)</f>
        <v>15</v>
      </c>
      <c r="P2537" s="6"/>
      <c r="Q2537" s="6" t="str">
        <f t="shared" si="4"/>
        <v>Week 15</v>
      </c>
      <c r="R2537" s="6" t="str">
        <f t="shared" si="5"/>
        <v>2024Round 1</v>
      </c>
      <c r="S2537" s="6">
        <f>IFERROR(__xludf.DUMMYFUNCTION("rank(J2537,FILTER(J:J,R:R=R2537))"),7.0)</f>
        <v>7</v>
      </c>
      <c r="T2537" s="6">
        <f t="shared" si="6"/>
        <v>5</v>
      </c>
      <c r="U2537" s="6">
        <f t="shared" si="7"/>
        <v>7</v>
      </c>
      <c r="V2537" s="42">
        <f>averageif(AllData!A:A,B2537,AllData!R:R)/vlookup(B2537,AllData!A:O,15,0)</f>
        <v>94.42488095</v>
      </c>
      <c r="W2537" s="6"/>
    </row>
    <row r="2538" ht="14.25" customHeight="1">
      <c r="A2538" s="6" t="str">
        <f t="shared" si="28"/>
        <v>2024Riley15</v>
      </c>
      <c r="B2538" s="59">
        <v>2024.0</v>
      </c>
      <c r="C2538" s="13" t="s">
        <v>67</v>
      </c>
      <c r="D2538" s="13" t="s">
        <v>112</v>
      </c>
      <c r="E2538" s="34"/>
      <c r="F2538" s="6"/>
      <c r="H2538" s="6"/>
      <c r="I2538" s="35" t="str">
        <f>IFERROR(IFERROR(IFERROR(VLOOKUP(B2538&amp;C2538&amp;Q2538,'New Weekly Paste'!A:M,10,0),VLOOKUP(B2538&amp;C2538&amp;Q2538,'New Weekly Paste'!B:O,6,0)),""),"")</f>
        <v>Rooney/Jackson</v>
      </c>
      <c r="J2538" s="259">
        <f>IFERROR(IFERROR(VLOOKUP(B2538&amp;C2538&amp;Q2538,'New Weekly Paste'!A:M,8,0),VLOOKUP(B2538&amp;C2538&amp;Q2538,'New Weekly Paste'!B:O,10,0)),0)</f>
        <v>0</v>
      </c>
      <c r="K2538" s="259">
        <f>IFERROR(IFERROR(VLOOKUP(B2538&amp;I2538&amp;Q2538,'New Weekly Paste'!A:M,8,0),VLOOKUP(B2538&amp;I2538&amp;Q2538,'New Weekly Paste'!B:O,10,0)),0)</f>
        <v>111.74</v>
      </c>
      <c r="L2538" s="239">
        <f t="shared" si="25"/>
        <v>0</v>
      </c>
      <c r="M2538" s="36" t="str">
        <f t="shared" si="3"/>
        <v>Playoffs</v>
      </c>
      <c r="N2538" s="239" t="str">
        <f t="shared" si="26"/>
        <v>Rooney/Jackson</v>
      </c>
      <c r="O2538" s="6">
        <f>VLOOKUP(D2538,'Mapped Opponent'!$G$4:$H$22,2,0)</f>
        <v>15</v>
      </c>
      <c r="P2538" s="6"/>
      <c r="Q2538" s="6" t="str">
        <f t="shared" si="4"/>
        <v>Week 15</v>
      </c>
      <c r="R2538" s="6" t="str">
        <f t="shared" si="5"/>
        <v>2024Round 1</v>
      </c>
      <c r="S2538" s="6">
        <f>IFERROR(__xludf.DUMMYFUNCTION("rank(J2538,FILTER(J:J,R:R=R2538))"),10.0)</f>
        <v>10</v>
      </c>
      <c r="T2538" s="6">
        <f t="shared" si="6"/>
        <v>2</v>
      </c>
      <c r="U2538" s="6">
        <f t="shared" si="7"/>
        <v>10</v>
      </c>
      <c r="V2538" s="42">
        <f>averageif(AllData!A:A,B2538,AllData!R:R)/vlookup(B2538,AllData!A:O,15,0)</f>
        <v>94.42488095</v>
      </c>
      <c r="W2538" s="6"/>
    </row>
    <row r="2539" ht="14.25" customHeight="1">
      <c r="A2539" s="6" t="str">
        <f t="shared" si="28"/>
        <v>2024Rooney/Jackson15</v>
      </c>
      <c r="B2539" s="59">
        <v>2024.0</v>
      </c>
      <c r="C2539" s="13" t="s">
        <v>57</v>
      </c>
      <c r="D2539" s="13" t="s">
        <v>112</v>
      </c>
      <c r="E2539" s="34"/>
      <c r="F2539" s="6"/>
      <c r="H2539" s="6"/>
      <c r="I2539" s="35" t="str">
        <f>IFERROR(IFERROR(IFERROR(VLOOKUP(B2539&amp;C2539&amp;Q2539,'New Weekly Paste'!A:M,10,0),VLOOKUP(B2539&amp;C2539&amp;Q2539,'New Weekly Paste'!B:O,6,0)),""),"")</f>
        <v>Buser</v>
      </c>
      <c r="J2539" s="259">
        <f>IFERROR(IFERROR(VLOOKUP(B2539&amp;C2539&amp;Q2539,'New Weekly Paste'!A:M,8,0),VLOOKUP(B2539&amp;C2539&amp;Q2539,'New Weekly Paste'!B:O,10,0)),0)</f>
        <v>111.74</v>
      </c>
      <c r="K2539" s="259">
        <f>IFERROR(IFERROR(VLOOKUP(B2539&amp;I2539&amp;Q2539,'New Weekly Paste'!A:M,8,0),VLOOKUP(B2539&amp;I2539&amp;Q2539,'New Weekly Paste'!B:O,10,0)),0)</f>
        <v>96.28</v>
      </c>
      <c r="L2539" s="239">
        <f t="shared" si="25"/>
        <v>1</v>
      </c>
      <c r="M2539" s="36" t="str">
        <f t="shared" si="3"/>
        <v>Playoffs</v>
      </c>
      <c r="N2539" s="239" t="str">
        <f t="shared" si="26"/>
        <v>Buser</v>
      </c>
      <c r="O2539" s="6">
        <f>VLOOKUP(D2539,'Mapped Opponent'!$G$4:$H$22,2,0)</f>
        <v>15</v>
      </c>
      <c r="P2539" s="6"/>
      <c r="Q2539" s="6" t="str">
        <f t="shared" si="4"/>
        <v>Week 15</v>
      </c>
      <c r="R2539" s="6" t="str">
        <f t="shared" si="5"/>
        <v>2024Round 1</v>
      </c>
      <c r="S2539" s="6">
        <f>IFERROR(__xludf.DUMMYFUNCTION("rank(J2539,FILTER(J:J,R:R=R2539))"),1.0)</f>
        <v>1</v>
      </c>
      <c r="T2539" s="6">
        <f t="shared" si="6"/>
        <v>11</v>
      </c>
      <c r="U2539" s="6">
        <f t="shared" si="7"/>
        <v>1</v>
      </c>
      <c r="V2539" s="42">
        <f>averageif(AllData!A:A,B2539,AllData!R:R)/vlookup(B2539,AllData!A:O,15,0)</f>
        <v>94.42488095</v>
      </c>
      <c r="W2539" s="6"/>
    </row>
    <row r="2540" ht="14.25" customHeight="1">
      <c r="A2540" s="6" t="str">
        <f t="shared" si="28"/>
        <v>2024Buser15</v>
      </c>
      <c r="B2540" s="59">
        <v>2024.0</v>
      </c>
      <c r="C2540" s="13" t="s">
        <v>47</v>
      </c>
      <c r="D2540" s="13" t="s">
        <v>112</v>
      </c>
      <c r="E2540" s="34"/>
      <c r="F2540" s="6"/>
      <c r="H2540" s="6"/>
      <c r="I2540" s="35" t="str">
        <f>IFERROR(IFERROR(IFERROR(VLOOKUP(B2540&amp;C2540&amp;Q2540,'New Weekly Paste'!A:M,10,0),VLOOKUP(B2540&amp;C2540&amp;Q2540,'New Weekly Paste'!B:O,6,0)),""),"")</f>
        <v>Rooney/Jackson</v>
      </c>
      <c r="J2540" s="259">
        <f>IFERROR(IFERROR(VLOOKUP(B2540&amp;C2540&amp;Q2540,'New Weekly Paste'!A:M,8,0),VLOOKUP(B2540&amp;C2540&amp;Q2540,'New Weekly Paste'!B:O,10,0)),0)</f>
        <v>96.28</v>
      </c>
      <c r="K2540" s="259">
        <f>IFERROR(IFERROR(VLOOKUP(B2540&amp;I2540&amp;Q2540,'New Weekly Paste'!A:M,8,0),VLOOKUP(B2540&amp;I2540&amp;Q2540,'New Weekly Paste'!B:O,10,0)),0)</f>
        <v>111.74</v>
      </c>
      <c r="L2540" s="239">
        <f t="shared" si="25"/>
        <v>0</v>
      </c>
      <c r="M2540" s="36" t="str">
        <f t="shared" si="3"/>
        <v>Playoffs</v>
      </c>
      <c r="N2540" s="239" t="str">
        <f t="shared" si="26"/>
        <v>Rooney/Jackson</v>
      </c>
      <c r="O2540" s="6">
        <f>VLOOKUP(D2540,'Mapped Opponent'!$G$4:$H$22,2,0)</f>
        <v>15</v>
      </c>
      <c r="P2540" s="6"/>
      <c r="Q2540" s="6" t="str">
        <f t="shared" si="4"/>
        <v>Week 15</v>
      </c>
      <c r="R2540" s="6" t="str">
        <f t="shared" si="5"/>
        <v>2024Round 1</v>
      </c>
      <c r="S2540" s="6">
        <f>IFERROR(__xludf.DUMMYFUNCTION("rank(J2540,FILTER(J:J,R:R=R2540))"),3.0)</f>
        <v>3</v>
      </c>
      <c r="T2540" s="6">
        <f t="shared" si="6"/>
        <v>9</v>
      </c>
      <c r="U2540" s="6">
        <f t="shared" si="7"/>
        <v>3</v>
      </c>
      <c r="V2540" s="42">
        <f>averageif(AllData!A:A,B2540,AllData!R:R)/vlookup(B2540,AllData!A:O,15,0)</f>
        <v>94.42488095</v>
      </c>
      <c r="W2540" s="6"/>
    </row>
    <row r="2541" ht="14.25" customHeight="1">
      <c r="A2541" s="6" t="str">
        <f t="shared" si="28"/>
        <v>2024Pierson15</v>
      </c>
      <c r="B2541" s="59">
        <v>2024.0</v>
      </c>
      <c r="C2541" s="13" t="s">
        <v>92</v>
      </c>
      <c r="D2541" s="13" t="s">
        <v>112</v>
      </c>
      <c r="E2541" s="34"/>
      <c r="F2541" s="6"/>
      <c r="H2541" s="6"/>
      <c r="I2541" s="35" t="str">
        <f>IFERROR(IFERROR(IFERROR(VLOOKUP(B2541&amp;C2541&amp;Q2541,'New Weekly Paste'!A:M,10,0),VLOOKUP(B2541&amp;C2541&amp;Q2541,'New Weekly Paste'!B:O,6,0)),""),"")</f>
        <v>Cock</v>
      </c>
      <c r="J2541" s="259">
        <f>IFERROR(IFERROR(VLOOKUP(B2541&amp;C2541&amp;Q2541,'New Weekly Paste'!A:M,8,0),VLOOKUP(B2541&amp;C2541&amp;Q2541,'New Weekly Paste'!B:O,10,0)),0)</f>
        <v>64.04</v>
      </c>
      <c r="K2541" s="259">
        <f>IFERROR(IFERROR(VLOOKUP(B2541&amp;I2541&amp;Q2541,'New Weekly Paste'!A:M,8,0),VLOOKUP(B2541&amp;I2541&amp;Q2541,'New Weekly Paste'!B:O,10,0)),0)</f>
        <v>59.98</v>
      </c>
      <c r="L2541" s="239">
        <f t="shared" si="25"/>
        <v>1</v>
      </c>
      <c r="M2541" s="36" t="str">
        <f t="shared" si="3"/>
        <v>Playoffs</v>
      </c>
      <c r="N2541" s="239" t="str">
        <f t="shared" si="26"/>
        <v>Cock</v>
      </c>
      <c r="O2541" s="6">
        <f>VLOOKUP(D2541,'Mapped Opponent'!$G$4:$H$22,2,0)</f>
        <v>15</v>
      </c>
      <c r="P2541" s="6"/>
      <c r="Q2541" s="6" t="str">
        <f t="shared" si="4"/>
        <v>Week 15</v>
      </c>
      <c r="R2541" s="6" t="str">
        <f t="shared" si="5"/>
        <v>2024Round 1</v>
      </c>
      <c r="S2541" s="6">
        <f>IFERROR(__xludf.DUMMYFUNCTION("rank(J2541,FILTER(J:J,R:R=R2541))"),8.0)</f>
        <v>8</v>
      </c>
      <c r="T2541" s="6">
        <f t="shared" si="6"/>
        <v>4</v>
      </c>
      <c r="U2541" s="6">
        <f t="shared" si="7"/>
        <v>8</v>
      </c>
      <c r="V2541" s="42">
        <f>averageif(AllData!A:A,B2541,AllData!R:R)/vlookup(B2541,AllData!A:O,15,0)</f>
        <v>94.42488095</v>
      </c>
      <c r="W2541" s="6"/>
    </row>
    <row r="2542" ht="14.25" customHeight="1">
      <c r="A2542" s="6" t="str">
        <f t="shared" si="28"/>
        <v>2024Cock15</v>
      </c>
      <c r="B2542" s="59">
        <v>2024.0</v>
      </c>
      <c r="C2542" s="13" t="s">
        <v>72</v>
      </c>
      <c r="D2542" s="13" t="s">
        <v>112</v>
      </c>
      <c r="E2542" s="34"/>
      <c r="F2542" s="6"/>
      <c r="H2542" s="6"/>
      <c r="I2542" s="35" t="str">
        <f>IFERROR(IFERROR(IFERROR(VLOOKUP(B2542&amp;C2542&amp;Q2542,'New Weekly Paste'!A:M,10,0),VLOOKUP(B2542&amp;C2542&amp;Q2542,'New Weekly Paste'!B:O,6,0)),""),"")</f>
        <v>Pierson</v>
      </c>
      <c r="J2542" s="259">
        <f>IFERROR(IFERROR(VLOOKUP(B2542&amp;C2542&amp;Q2542,'New Weekly Paste'!A:M,8,0),VLOOKUP(B2542&amp;C2542&amp;Q2542,'New Weekly Paste'!B:O,10,0)),0)</f>
        <v>59.98</v>
      </c>
      <c r="K2542" s="259">
        <f>IFERROR(IFERROR(VLOOKUP(B2542&amp;I2542&amp;Q2542,'New Weekly Paste'!A:M,8,0),VLOOKUP(B2542&amp;I2542&amp;Q2542,'New Weekly Paste'!B:O,10,0)),0)</f>
        <v>64.04</v>
      </c>
      <c r="L2542" s="239">
        <f t="shared" si="25"/>
        <v>0</v>
      </c>
      <c r="M2542" s="36" t="str">
        <f t="shared" si="3"/>
        <v>Playoffs</v>
      </c>
      <c r="N2542" s="239" t="str">
        <f t="shared" si="26"/>
        <v>Pierson</v>
      </c>
      <c r="O2542" s="6">
        <f>VLOOKUP(D2542,'Mapped Opponent'!$G$4:$H$22,2,0)</f>
        <v>15</v>
      </c>
      <c r="P2542" s="6"/>
      <c r="Q2542" s="6" t="str">
        <f t="shared" si="4"/>
        <v>Week 15</v>
      </c>
      <c r="R2542" s="6" t="str">
        <f t="shared" si="5"/>
        <v>2024Round 1</v>
      </c>
      <c r="S2542" s="6">
        <f>IFERROR(__xludf.DUMMYFUNCTION("rank(J2542,FILTER(J:J,R:R=R2542))"),9.0)</f>
        <v>9</v>
      </c>
      <c r="T2542" s="6">
        <f t="shared" si="6"/>
        <v>3</v>
      </c>
      <c r="U2542" s="6">
        <f t="shared" si="7"/>
        <v>9</v>
      </c>
      <c r="V2542" s="42">
        <f>averageif(AllData!A:A,B2542,AllData!R:R)/vlookup(B2542,AllData!A:O,15,0)</f>
        <v>94.42488095</v>
      </c>
      <c r="W2542" s="6"/>
    </row>
    <row r="2543" ht="14.25" customHeight="1">
      <c r="A2543" s="6" t="str">
        <f t="shared" si="28"/>
        <v>2024Tayski15</v>
      </c>
      <c r="B2543" s="59">
        <v>2024.0</v>
      </c>
      <c r="C2543" s="13" t="s">
        <v>52</v>
      </c>
      <c r="D2543" s="13" t="s">
        <v>112</v>
      </c>
      <c r="E2543" s="34"/>
      <c r="F2543" s="6"/>
      <c r="H2543" s="6"/>
      <c r="I2543" s="35" t="str">
        <f>IFERROR(IFERROR(IFERROR(VLOOKUP(B2543&amp;C2543&amp;Q2543,'New Weekly Paste'!A:M,10,0),VLOOKUP(B2543&amp;C2543&amp;Q2543,'New Weekly Paste'!B:O,6,0)),""),"")</f>
        <v>Salty</v>
      </c>
      <c r="J2543" s="259">
        <f>IFERROR(IFERROR(VLOOKUP(B2543&amp;C2543&amp;Q2543,'New Weekly Paste'!A:M,8,0),VLOOKUP(B2543&amp;C2543&amp;Q2543,'New Weekly Paste'!B:O,10,0)),0)</f>
        <v>86.08</v>
      </c>
      <c r="K2543" s="259">
        <f>IFERROR(IFERROR(VLOOKUP(B2543&amp;I2543&amp;Q2543,'New Weekly Paste'!A:M,8,0),VLOOKUP(B2543&amp;I2543&amp;Q2543,'New Weekly Paste'!B:O,10,0)),0)</f>
        <v>0</v>
      </c>
      <c r="L2543" s="239">
        <f t="shared" si="25"/>
        <v>1</v>
      </c>
      <c r="M2543" s="36" t="str">
        <f t="shared" si="3"/>
        <v>Playoffs</v>
      </c>
      <c r="N2543" s="239" t="str">
        <f t="shared" si="26"/>
        <v>Salty</v>
      </c>
      <c r="O2543" s="6">
        <f>VLOOKUP(D2543,'Mapped Opponent'!$G$4:$H$22,2,0)</f>
        <v>15</v>
      </c>
      <c r="P2543" s="6"/>
      <c r="Q2543" s="6" t="str">
        <f t="shared" si="4"/>
        <v>Week 15</v>
      </c>
      <c r="R2543" s="6" t="str">
        <f t="shared" si="5"/>
        <v>2024Round 1</v>
      </c>
      <c r="S2543" s="6">
        <f>IFERROR(__xludf.DUMMYFUNCTION("rank(J2543,FILTER(J:J,R:R=R2543))"),4.0)</f>
        <v>4</v>
      </c>
      <c r="T2543" s="6">
        <f t="shared" si="6"/>
        <v>8</v>
      </c>
      <c r="U2543" s="6">
        <f t="shared" si="7"/>
        <v>4</v>
      </c>
      <c r="V2543" s="42">
        <f>averageif(AllData!A:A,B2543,AllData!R:R)/vlookup(B2543,AllData!A:O,15,0)</f>
        <v>94.42488095</v>
      </c>
      <c r="W2543" s="6"/>
    </row>
    <row r="2544" ht="14.25" customHeight="1">
      <c r="A2544" s="6" t="str">
        <f t="shared" si="28"/>
        <v>2024KnardDawg15</v>
      </c>
      <c r="B2544" s="59">
        <v>2024.0</v>
      </c>
      <c r="C2544" s="13" t="s">
        <v>86</v>
      </c>
      <c r="D2544" s="13" t="s">
        <v>112</v>
      </c>
      <c r="E2544" s="34"/>
      <c r="F2544" s="6"/>
      <c r="H2544" s="6"/>
      <c r="I2544" s="35" t="str">
        <f>IFERROR(IFERROR(IFERROR(VLOOKUP(B2544&amp;C2544&amp;Q2544,'New Weekly Paste'!A:M,10,0),VLOOKUP(B2544&amp;C2544&amp;Q2544,'New Weekly Paste'!B:O,6,0)),""),"")</f>
        <v>Ewert</v>
      </c>
      <c r="J2544" s="259">
        <f>IFERROR(IFERROR(VLOOKUP(B2544&amp;C2544&amp;Q2544,'New Weekly Paste'!A:M,8,0),VLOOKUP(B2544&amp;C2544&amp;Q2544,'New Weekly Paste'!B:O,10,0)),0)</f>
        <v>84.74</v>
      </c>
      <c r="K2544" s="259">
        <f>IFERROR(IFERROR(VLOOKUP(B2544&amp;I2544&amp;Q2544,'New Weekly Paste'!A:M,8,0),VLOOKUP(B2544&amp;I2544&amp;Q2544,'New Weekly Paste'!B:O,10,0)),0)</f>
        <v>98.7</v>
      </c>
      <c r="L2544" s="239">
        <f t="shared" si="25"/>
        <v>0</v>
      </c>
      <c r="M2544" s="36" t="str">
        <f t="shared" si="3"/>
        <v>Playoffs</v>
      </c>
      <c r="N2544" s="239" t="str">
        <f t="shared" si="26"/>
        <v>Ewert</v>
      </c>
      <c r="O2544" s="6">
        <f>VLOOKUP(D2544,'Mapped Opponent'!$G$4:$H$22,2,0)</f>
        <v>15</v>
      </c>
      <c r="P2544" s="6"/>
      <c r="Q2544" s="6" t="str">
        <f t="shared" si="4"/>
        <v>Week 15</v>
      </c>
      <c r="R2544" s="6" t="str">
        <f t="shared" si="5"/>
        <v>2024Round 1</v>
      </c>
      <c r="S2544" s="6">
        <f>IFERROR(__xludf.DUMMYFUNCTION("rank(J2544,FILTER(J:J,R:R=R2544))"),5.0)</f>
        <v>5</v>
      </c>
      <c r="T2544" s="6">
        <f t="shared" si="6"/>
        <v>7</v>
      </c>
      <c r="U2544" s="6">
        <f t="shared" si="7"/>
        <v>5</v>
      </c>
      <c r="V2544" s="42">
        <f>averageif(AllData!A:A,B2544,AllData!R:R)/vlookup(B2544,AllData!A:O,15,0)</f>
        <v>94.42488095</v>
      </c>
      <c r="W2544" s="6"/>
    </row>
    <row r="2545" ht="14.25" customHeight="1">
      <c r="A2545" s="6" t="str">
        <f t="shared" si="28"/>
        <v>2024T-How15</v>
      </c>
      <c r="B2545" s="59">
        <v>2024.0</v>
      </c>
      <c r="C2545" s="13" t="s">
        <v>82</v>
      </c>
      <c r="D2545" s="13" t="s">
        <v>112</v>
      </c>
      <c r="E2545" s="34"/>
      <c r="F2545" s="6"/>
      <c r="H2545" s="6"/>
      <c r="I2545" s="35" t="str">
        <f>IFERROR(IFERROR(IFERROR(VLOOKUP(B2545&amp;C2545&amp;Q2545,'New Weekly Paste'!A:M,10,0),VLOOKUP(B2545&amp;C2545&amp;Q2545,'New Weekly Paste'!B:O,6,0)),""),"")</f>
        <v>Salty</v>
      </c>
      <c r="J2545" s="259">
        <f>IFERROR(IFERROR(VLOOKUP(B2545&amp;C2545&amp;Q2545,'New Weekly Paste'!A:M,8,0),VLOOKUP(B2545&amp;C2545&amp;Q2545,'New Weekly Paste'!B:O,10,0)),0)</f>
        <v>0</v>
      </c>
      <c r="K2545" s="259">
        <f>IFERROR(IFERROR(VLOOKUP(B2545&amp;I2545&amp;Q2545,'New Weekly Paste'!A:M,8,0),VLOOKUP(B2545&amp;I2545&amp;Q2545,'New Weekly Paste'!B:O,10,0)),0)</f>
        <v>0</v>
      </c>
      <c r="L2545" s="239">
        <f t="shared" si="25"/>
        <v>0</v>
      </c>
      <c r="M2545" s="36" t="str">
        <f t="shared" si="3"/>
        <v>Playoffs</v>
      </c>
      <c r="N2545" s="239" t="str">
        <f t="shared" si="26"/>
        <v>Salty</v>
      </c>
      <c r="O2545" s="6">
        <f>VLOOKUP(D2545,'Mapped Opponent'!$G$4:$H$22,2,0)</f>
        <v>15</v>
      </c>
      <c r="P2545" s="6"/>
      <c r="Q2545" s="6" t="str">
        <f t="shared" si="4"/>
        <v>Week 15</v>
      </c>
      <c r="R2545" s="6" t="str">
        <f t="shared" si="5"/>
        <v>2024Round 1</v>
      </c>
      <c r="S2545" s="6">
        <f>IFERROR(__xludf.DUMMYFUNCTION("rank(J2545,FILTER(J:J,R:R=R2545))"),10.0)</f>
        <v>10</v>
      </c>
      <c r="T2545" s="6">
        <f t="shared" si="6"/>
        <v>2</v>
      </c>
      <c r="U2545" s="6">
        <f t="shared" si="7"/>
        <v>10</v>
      </c>
      <c r="V2545" s="42">
        <f>averageif(AllData!A:A,B2545,AllData!R:R)/vlookup(B2545,AllData!A:O,15,0)</f>
        <v>94.42488095</v>
      </c>
      <c r="W2545" s="6"/>
    </row>
    <row r="2546" ht="14.25" customHeight="1">
      <c r="A2546" s="6" t="str">
        <f t="shared" si="28"/>
        <v>2024Hudspeath16</v>
      </c>
      <c r="B2546" s="59">
        <v>2024.0</v>
      </c>
      <c r="C2546" s="13" t="s">
        <v>39</v>
      </c>
      <c r="D2546" s="13" t="s">
        <v>153</v>
      </c>
      <c r="E2546" s="34"/>
      <c r="F2546" s="6"/>
      <c r="H2546" s="6"/>
      <c r="I2546" s="35" t="str">
        <f>IFERROR(IFERROR(IFERROR(VLOOKUP(B2546&amp;C2546&amp;Q2546,'New Weekly Paste'!A:M,10,0),VLOOKUP(B2546&amp;C2546&amp;Q2546,'New Weekly Paste'!B:O,6,0)),""),"")</f>
        <v>Ewert</v>
      </c>
      <c r="J2546" s="259">
        <f>IFERROR(IFERROR(VLOOKUP(B2546&amp;C2546&amp;Q2546,'New Weekly Paste'!A:M,8,0),VLOOKUP(B2546&amp;C2546&amp;Q2546,'New Weekly Paste'!B:O,10,0)),0)</f>
        <v>68.52</v>
      </c>
      <c r="K2546" s="259">
        <f>IFERROR(IFERROR(VLOOKUP(B2546&amp;I2546&amp;Q2546,'New Weekly Paste'!A:M,8,0),VLOOKUP(B2546&amp;I2546&amp;Q2546,'New Weekly Paste'!B:O,10,0)),0)</f>
        <v>134.16</v>
      </c>
      <c r="L2546" s="239">
        <f t="shared" si="25"/>
        <v>0</v>
      </c>
      <c r="M2546" s="36" t="str">
        <f t="shared" si="3"/>
        <v>Playoffs</v>
      </c>
      <c r="N2546" s="239" t="str">
        <f t="shared" si="26"/>
        <v>Ewert</v>
      </c>
      <c r="O2546" s="6">
        <f>VLOOKUP(D2546,'Mapped Opponent'!$G$4:$H$22,2,0)</f>
        <v>16</v>
      </c>
      <c r="P2546" s="6"/>
      <c r="Q2546" s="6" t="str">
        <f t="shared" si="4"/>
        <v>Week 16</v>
      </c>
      <c r="R2546" s="6" t="str">
        <f t="shared" si="5"/>
        <v>2024Round 2</v>
      </c>
      <c r="S2546" s="6">
        <f>IFERROR(__xludf.DUMMYFUNCTION("rank(J2546,FILTER(J:J,R:R=R2546))"),12.0)</f>
        <v>12</v>
      </c>
      <c r="T2546" s="6">
        <f t="shared" si="6"/>
        <v>0</v>
      </c>
      <c r="U2546" s="6">
        <f t="shared" si="7"/>
        <v>12</v>
      </c>
      <c r="V2546" s="42">
        <f>averageif(AllData!A:A,B2546,AllData!R:R)/vlookup(B2546,AllData!A:O,15,0)</f>
        <v>94.42488095</v>
      </c>
      <c r="W2546" s="6"/>
    </row>
    <row r="2547" ht="14.25" customHeight="1">
      <c r="A2547" s="6" t="str">
        <f t="shared" si="28"/>
        <v>2024Salty16</v>
      </c>
      <c r="B2547" s="59">
        <v>2024.0</v>
      </c>
      <c r="C2547" s="13" t="s">
        <v>76</v>
      </c>
      <c r="D2547" s="13" t="s">
        <v>153</v>
      </c>
      <c r="E2547" s="34"/>
      <c r="F2547" s="6"/>
      <c r="H2547" s="6"/>
      <c r="I2547" s="35" t="str">
        <f>IFERROR(IFERROR(IFERROR(VLOOKUP(B2547&amp;C2547&amp;Q2547,'New Weekly Paste'!A:M,10,0),VLOOKUP(B2547&amp;C2547&amp;Q2547,'New Weekly Paste'!B:O,6,0)),""),"")</f>
        <v>T-How</v>
      </c>
      <c r="J2547" s="259">
        <f>IFERROR(IFERROR(VLOOKUP(B2547&amp;C2547&amp;Q2547,'New Weekly Paste'!A:M,8,0),VLOOKUP(B2547&amp;C2547&amp;Q2547,'New Weekly Paste'!B:O,10,0)),0)</f>
        <v>71.48</v>
      </c>
      <c r="K2547" s="259">
        <f>IFERROR(IFERROR(VLOOKUP(B2547&amp;I2547&amp;Q2547,'New Weekly Paste'!A:M,8,0),VLOOKUP(B2547&amp;I2547&amp;Q2547,'New Weekly Paste'!B:O,10,0)),0)</f>
        <v>77.94</v>
      </c>
      <c r="L2547" s="239">
        <f t="shared" si="25"/>
        <v>0</v>
      </c>
      <c r="M2547" s="36" t="str">
        <f t="shared" si="3"/>
        <v>Playoffs</v>
      </c>
      <c r="N2547" s="239" t="str">
        <f t="shared" si="26"/>
        <v>T-How</v>
      </c>
      <c r="O2547" s="6">
        <f>VLOOKUP(D2547,'Mapped Opponent'!$G$4:$H$22,2,0)</f>
        <v>16</v>
      </c>
      <c r="P2547" s="6"/>
      <c r="Q2547" s="6" t="str">
        <f t="shared" si="4"/>
        <v>Week 16</v>
      </c>
      <c r="R2547" s="6" t="str">
        <f t="shared" si="5"/>
        <v>2024Round 2</v>
      </c>
      <c r="S2547" s="6">
        <f>IFERROR(__xludf.DUMMYFUNCTION("rank(J2547,FILTER(J:J,R:R=R2547))"),11.0)</f>
        <v>11</v>
      </c>
      <c r="T2547" s="6">
        <f t="shared" si="6"/>
        <v>1</v>
      </c>
      <c r="U2547" s="6">
        <f t="shared" si="7"/>
        <v>11</v>
      </c>
      <c r="V2547" s="42">
        <f>averageif(AllData!A:A,B2547,AllData!R:R)/vlookup(B2547,AllData!A:O,15,0)</f>
        <v>94.42488095</v>
      </c>
      <c r="W2547" s="6"/>
    </row>
    <row r="2548" ht="14.25" customHeight="1">
      <c r="A2548" s="6" t="str">
        <f t="shared" si="28"/>
        <v>2024Ewert16</v>
      </c>
      <c r="B2548" s="59">
        <v>2024.0</v>
      </c>
      <c r="C2548" s="13" t="s">
        <v>108</v>
      </c>
      <c r="D2548" s="13" t="s">
        <v>153</v>
      </c>
      <c r="E2548" s="34"/>
      <c r="F2548" s="6"/>
      <c r="H2548" s="6"/>
      <c r="I2548" s="35" t="str">
        <f>IFERROR(IFERROR(IFERROR(VLOOKUP(B2548&amp;C2548&amp;Q2548,'New Weekly Paste'!A:M,10,0),VLOOKUP(B2548&amp;C2548&amp;Q2548,'New Weekly Paste'!B:O,6,0)),""),"")</f>
        <v>Hudspeath</v>
      </c>
      <c r="J2548" s="259">
        <f>IFERROR(IFERROR(VLOOKUP(B2548&amp;C2548&amp;Q2548,'New Weekly Paste'!A:M,8,0),VLOOKUP(B2548&amp;C2548&amp;Q2548,'New Weekly Paste'!B:O,10,0)),0)</f>
        <v>134.16</v>
      </c>
      <c r="K2548" s="259">
        <f>IFERROR(IFERROR(VLOOKUP(B2548&amp;I2548&amp;Q2548,'New Weekly Paste'!A:M,8,0),VLOOKUP(B2548&amp;I2548&amp;Q2548,'New Weekly Paste'!B:O,10,0)),0)</f>
        <v>68.52</v>
      </c>
      <c r="L2548" s="239">
        <f t="shared" si="25"/>
        <v>1</v>
      </c>
      <c r="M2548" s="36" t="str">
        <f t="shared" si="3"/>
        <v>Playoffs</v>
      </c>
      <c r="N2548" s="239" t="str">
        <f t="shared" si="26"/>
        <v>Hudspeath</v>
      </c>
      <c r="O2548" s="6">
        <f>VLOOKUP(D2548,'Mapped Opponent'!$G$4:$H$22,2,0)</f>
        <v>16</v>
      </c>
      <c r="P2548" s="6"/>
      <c r="Q2548" s="6" t="str">
        <f t="shared" si="4"/>
        <v>Week 16</v>
      </c>
      <c r="R2548" s="6" t="str">
        <f t="shared" si="5"/>
        <v>2024Round 2</v>
      </c>
      <c r="S2548" s="6">
        <f>IFERROR(__xludf.DUMMYFUNCTION("rank(J2548,FILTER(J:J,R:R=R2548))"),2.0)</f>
        <v>2</v>
      </c>
      <c r="T2548" s="6">
        <f t="shared" si="6"/>
        <v>10</v>
      </c>
      <c r="U2548" s="6">
        <f t="shared" si="7"/>
        <v>2</v>
      </c>
      <c r="V2548" s="42">
        <f>averageif(AllData!A:A,B2548,AllData!R:R)/vlookup(B2548,AllData!A:O,15,0)</f>
        <v>94.42488095</v>
      </c>
      <c r="W2548" s="6"/>
    </row>
    <row r="2549" ht="14.25" customHeight="1">
      <c r="A2549" s="6" t="str">
        <f t="shared" si="28"/>
        <v>2024Shep16</v>
      </c>
      <c r="B2549" s="59">
        <v>2024.0</v>
      </c>
      <c r="C2549" s="13" t="s">
        <v>89</v>
      </c>
      <c r="D2549" s="13" t="s">
        <v>153</v>
      </c>
      <c r="E2549" s="34"/>
      <c r="F2549" s="6"/>
      <c r="H2549" s="6"/>
      <c r="I2549" s="35" t="str">
        <f>IFERROR(IFERROR(IFERROR(VLOOKUP(B2549&amp;C2549&amp;Q2549,'New Weekly Paste'!A:M,10,0),VLOOKUP(B2549&amp;C2549&amp;Q2549,'New Weekly Paste'!B:O,6,0)),""),"")</f>
        <v>Cock</v>
      </c>
      <c r="J2549" s="259">
        <f>IFERROR(IFERROR(VLOOKUP(B2549&amp;C2549&amp;Q2549,'New Weekly Paste'!A:M,8,0),VLOOKUP(B2549&amp;C2549&amp;Q2549,'New Weekly Paste'!B:O,10,0)),0)</f>
        <v>78.96</v>
      </c>
      <c r="K2549" s="259">
        <f>IFERROR(IFERROR(VLOOKUP(B2549&amp;I2549&amp;Q2549,'New Weekly Paste'!A:M,8,0),VLOOKUP(B2549&amp;I2549&amp;Q2549,'New Weekly Paste'!B:O,10,0)),0)</f>
        <v>97.82</v>
      </c>
      <c r="L2549" s="239">
        <f t="shared" si="25"/>
        <v>0</v>
      </c>
      <c r="M2549" s="36" t="str">
        <f t="shared" si="3"/>
        <v>Playoffs</v>
      </c>
      <c r="N2549" s="239" t="str">
        <f t="shared" si="26"/>
        <v>Cock</v>
      </c>
      <c r="O2549" s="6">
        <f>VLOOKUP(D2549,'Mapped Opponent'!$G$4:$H$22,2,0)</f>
        <v>16</v>
      </c>
      <c r="P2549" s="6"/>
      <c r="Q2549" s="6" t="str">
        <f t="shared" si="4"/>
        <v>Week 16</v>
      </c>
      <c r="R2549" s="6" t="str">
        <f t="shared" si="5"/>
        <v>2024Round 2</v>
      </c>
      <c r="S2549" s="6">
        <f>IFERROR(__xludf.DUMMYFUNCTION("rank(J2549,FILTER(J:J,R:R=R2549))"),9.0)</f>
        <v>9</v>
      </c>
      <c r="T2549" s="6">
        <f t="shared" si="6"/>
        <v>3</v>
      </c>
      <c r="U2549" s="6">
        <f t="shared" si="7"/>
        <v>9</v>
      </c>
      <c r="V2549" s="42">
        <f>averageif(AllData!A:A,B2549,AllData!R:R)/vlookup(B2549,AllData!A:O,15,0)</f>
        <v>94.42488095</v>
      </c>
      <c r="W2549" s="6"/>
    </row>
    <row r="2550" ht="14.25" customHeight="1">
      <c r="A2550" s="6" t="str">
        <f t="shared" si="28"/>
        <v>2024Riley16</v>
      </c>
      <c r="B2550" s="59">
        <v>2024.0</v>
      </c>
      <c r="C2550" s="13" t="s">
        <v>67</v>
      </c>
      <c r="D2550" s="13" t="s">
        <v>153</v>
      </c>
      <c r="E2550" s="34"/>
      <c r="F2550" s="6"/>
      <c r="H2550" s="6"/>
      <c r="I2550" s="35" t="str">
        <f>IFERROR(IFERROR(IFERROR(VLOOKUP(B2550&amp;C2550&amp;Q2550,'New Weekly Paste'!A:M,10,0),VLOOKUP(B2550&amp;C2550&amp;Q2550,'New Weekly Paste'!B:O,6,0)),""),"")</f>
        <v>Rooney/Jackson</v>
      </c>
      <c r="J2550" s="259">
        <f>IFERROR(IFERROR(VLOOKUP(B2550&amp;C2550&amp;Q2550,'New Weekly Paste'!A:M,8,0),VLOOKUP(B2550&amp;C2550&amp;Q2550,'New Weekly Paste'!B:O,10,0)),0)</f>
        <v>115.68</v>
      </c>
      <c r="K2550" s="259">
        <f>IFERROR(IFERROR(VLOOKUP(B2550&amp;I2550&amp;Q2550,'New Weekly Paste'!A:M,8,0),VLOOKUP(B2550&amp;I2550&amp;Q2550,'New Weekly Paste'!B:O,10,0)),0)</f>
        <v>126.02</v>
      </c>
      <c r="L2550" s="239">
        <f t="shared" si="25"/>
        <v>0</v>
      </c>
      <c r="M2550" s="36" t="str">
        <f t="shared" si="3"/>
        <v>Playoffs</v>
      </c>
      <c r="N2550" s="239" t="str">
        <f t="shared" si="26"/>
        <v>Rooney/Jackson</v>
      </c>
      <c r="O2550" s="6">
        <f>VLOOKUP(D2550,'Mapped Opponent'!$G$4:$H$22,2,0)</f>
        <v>16</v>
      </c>
      <c r="P2550" s="6"/>
      <c r="Q2550" s="6" t="str">
        <f t="shared" si="4"/>
        <v>Week 16</v>
      </c>
      <c r="R2550" s="6" t="str">
        <f t="shared" si="5"/>
        <v>2024Round 2</v>
      </c>
      <c r="S2550" s="6">
        <f>IFERROR(__xludf.DUMMYFUNCTION("rank(J2550,FILTER(J:J,R:R=R2550))"),5.0)</f>
        <v>5</v>
      </c>
      <c r="T2550" s="6">
        <f t="shared" si="6"/>
        <v>7</v>
      </c>
      <c r="U2550" s="6">
        <f t="shared" si="7"/>
        <v>5</v>
      </c>
      <c r="V2550" s="42">
        <f>averageif(AllData!A:A,B2550,AllData!R:R)/vlookup(B2550,AllData!A:O,15,0)</f>
        <v>94.42488095</v>
      </c>
      <c r="W2550" s="6"/>
    </row>
    <row r="2551" ht="14.25" customHeight="1">
      <c r="A2551" s="6" t="str">
        <f t="shared" si="28"/>
        <v>2024Rooney/Jackson16</v>
      </c>
      <c r="B2551" s="59">
        <v>2024.0</v>
      </c>
      <c r="C2551" s="13" t="s">
        <v>57</v>
      </c>
      <c r="D2551" s="13" t="s">
        <v>153</v>
      </c>
      <c r="E2551" s="34"/>
      <c r="F2551" s="6"/>
      <c r="H2551" s="6"/>
      <c r="I2551" s="35" t="str">
        <f>IFERROR(IFERROR(IFERROR(VLOOKUP(B2551&amp;C2551&amp;Q2551,'New Weekly Paste'!A:M,10,0),VLOOKUP(B2551&amp;C2551&amp;Q2551,'New Weekly Paste'!B:O,6,0)),""),"")</f>
        <v>Riley</v>
      </c>
      <c r="J2551" s="259">
        <f>IFERROR(IFERROR(VLOOKUP(B2551&amp;C2551&amp;Q2551,'New Weekly Paste'!A:M,8,0),VLOOKUP(B2551&amp;C2551&amp;Q2551,'New Weekly Paste'!B:O,10,0)),0)</f>
        <v>126.02</v>
      </c>
      <c r="K2551" s="259">
        <f>IFERROR(IFERROR(VLOOKUP(B2551&amp;I2551&amp;Q2551,'New Weekly Paste'!A:M,8,0),VLOOKUP(B2551&amp;I2551&amp;Q2551,'New Weekly Paste'!B:O,10,0)),0)</f>
        <v>115.68</v>
      </c>
      <c r="L2551" s="239">
        <f t="shared" si="25"/>
        <v>1</v>
      </c>
      <c r="M2551" s="36" t="str">
        <f t="shared" si="3"/>
        <v>Playoffs</v>
      </c>
      <c r="N2551" s="239" t="str">
        <f t="shared" si="26"/>
        <v>Riley</v>
      </c>
      <c r="O2551" s="6">
        <f>VLOOKUP(D2551,'Mapped Opponent'!$G$4:$H$22,2,0)</f>
        <v>16</v>
      </c>
      <c r="P2551" s="6"/>
      <c r="Q2551" s="6" t="str">
        <f t="shared" si="4"/>
        <v>Week 16</v>
      </c>
      <c r="R2551" s="6" t="str">
        <f t="shared" si="5"/>
        <v>2024Round 2</v>
      </c>
      <c r="S2551" s="6">
        <f>IFERROR(__xludf.DUMMYFUNCTION("rank(J2551,FILTER(J:J,R:R=R2551))"),4.0)</f>
        <v>4</v>
      </c>
      <c r="T2551" s="6">
        <f t="shared" si="6"/>
        <v>8</v>
      </c>
      <c r="U2551" s="6">
        <f t="shared" si="7"/>
        <v>4</v>
      </c>
      <c r="V2551" s="42">
        <f>averageif(AllData!A:A,B2551,AllData!R:R)/vlookup(B2551,AllData!A:O,15,0)</f>
        <v>94.42488095</v>
      </c>
      <c r="W2551" s="6"/>
    </row>
    <row r="2552" ht="14.25" customHeight="1">
      <c r="A2552" s="6" t="str">
        <f t="shared" si="28"/>
        <v>2024Buser16</v>
      </c>
      <c r="B2552" s="59">
        <v>2024.0</v>
      </c>
      <c r="C2552" s="13" t="s">
        <v>47</v>
      </c>
      <c r="D2552" s="13" t="s">
        <v>153</v>
      </c>
      <c r="E2552" s="34"/>
      <c r="F2552" s="6"/>
      <c r="H2552" s="6"/>
      <c r="I2552" s="35" t="str">
        <f>IFERROR(IFERROR(IFERROR(VLOOKUP(B2552&amp;C2552&amp;Q2552,'New Weekly Paste'!A:M,10,0),VLOOKUP(B2552&amp;C2552&amp;Q2552,'New Weekly Paste'!B:O,6,0)),""),"")</f>
        <v>Tayski</v>
      </c>
      <c r="J2552" s="259">
        <f>IFERROR(IFERROR(VLOOKUP(B2552&amp;C2552&amp;Q2552,'New Weekly Paste'!A:M,8,0),VLOOKUP(B2552&amp;C2552&amp;Q2552,'New Weekly Paste'!B:O,10,0)),0)</f>
        <v>135.84</v>
      </c>
      <c r="K2552" s="259">
        <f>IFERROR(IFERROR(VLOOKUP(B2552&amp;I2552&amp;Q2552,'New Weekly Paste'!A:M,8,0),VLOOKUP(B2552&amp;I2552&amp;Q2552,'New Weekly Paste'!B:O,10,0)),0)</f>
        <v>111.16</v>
      </c>
      <c r="L2552" s="239">
        <f t="shared" si="25"/>
        <v>1</v>
      </c>
      <c r="M2552" s="36" t="str">
        <f t="shared" si="3"/>
        <v>Playoffs</v>
      </c>
      <c r="N2552" s="239" t="str">
        <f t="shared" si="26"/>
        <v>Tayski</v>
      </c>
      <c r="O2552" s="6">
        <f>VLOOKUP(D2552,'Mapped Opponent'!$G$4:$H$22,2,0)</f>
        <v>16</v>
      </c>
      <c r="P2552" s="6"/>
      <c r="Q2552" s="6" t="str">
        <f t="shared" si="4"/>
        <v>Week 16</v>
      </c>
      <c r="R2552" s="6" t="str">
        <f t="shared" si="5"/>
        <v>2024Round 2</v>
      </c>
      <c r="S2552" s="6">
        <f>IFERROR(__xludf.DUMMYFUNCTION("rank(J2552,FILTER(J:J,R:R=R2552))"),1.0)</f>
        <v>1</v>
      </c>
      <c r="T2552" s="6">
        <f t="shared" si="6"/>
        <v>11</v>
      </c>
      <c r="U2552" s="6">
        <f t="shared" si="7"/>
        <v>1</v>
      </c>
      <c r="V2552" s="42">
        <f>averageif(AllData!A:A,B2552,AllData!R:R)/vlookup(B2552,AllData!A:O,15,0)</f>
        <v>94.42488095</v>
      </c>
      <c r="W2552" s="6"/>
    </row>
    <row r="2553" ht="14.25" customHeight="1">
      <c r="A2553" s="6" t="str">
        <f t="shared" si="28"/>
        <v>2024Pierson16</v>
      </c>
      <c r="B2553" s="59">
        <v>2024.0</v>
      </c>
      <c r="C2553" s="13" t="s">
        <v>92</v>
      </c>
      <c r="D2553" s="13" t="s">
        <v>153</v>
      </c>
      <c r="E2553" s="34"/>
      <c r="F2553" s="6"/>
      <c r="H2553" s="6"/>
      <c r="I2553" s="35" t="str">
        <f>IFERROR(IFERROR(IFERROR(VLOOKUP(B2553&amp;C2553&amp;Q2553,'New Weekly Paste'!A:M,10,0),VLOOKUP(B2553&amp;C2553&amp;Q2553,'New Weekly Paste'!B:O,6,0)),""),"")</f>
        <v>KnardDawg</v>
      </c>
      <c r="J2553" s="259">
        <f>IFERROR(IFERROR(VLOOKUP(B2553&amp;C2553&amp;Q2553,'New Weekly Paste'!A:M,8,0),VLOOKUP(B2553&amp;C2553&amp;Q2553,'New Weekly Paste'!B:O,10,0)),0)</f>
        <v>89.48</v>
      </c>
      <c r="K2553" s="259">
        <f>IFERROR(IFERROR(VLOOKUP(B2553&amp;I2553&amp;Q2553,'New Weekly Paste'!A:M,8,0),VLOOKUP(B2553&amp;I2553&amp;Q2553,'New Weekly Paste'!B:O,10,0)),0)</f>
        <v>126.26</v>
      </c>
      <c r="L2553" s="239">
        <f t="shared" si="25"/>
        <v>0</v>
      </c>
      <c r="M2553" s="36" t="str">
        <f t="shared" si="3"/>
        <v>Playoffs</v>
      </c>
      <c r="N2553" s="239" t="str">
        <f t="shared" si="26"/>
        <v>KnardDawg</v>
      </c>
      <c r="O2553" s="6">
        <f>VLOOKUP(D2553,'Mapped Opponent'!$G$4:$H$22,2,0)</f>
        <v>16</v>
      </c>
      <c r="P2553" s="6"/>
      <c r="Q2553" s="6" t="str">
        <f t="shared" si="4"/>
        <v>Week 16</v>
      </c>
      <c r="R2553" s="6" t="str">
        <f t="shared" si="5"/>
        <v>2024Round 2</v>
      </c>
      <c r="S2553" s="6">
        <f>IFERROR(__xludf.DUMMYFUNCTION("rank(J2553,FILTER(J:J,R:R=R2553))"),8.0)</f>
        <v>8</v>
      </c>
      <c r="T2553" s="6">
        <f t="shared" si="6"/>
        <v>4</v>
      </c>
      <c r="U2553" s="6">
        <f t="shared" si="7"/>
        <v>8</v>
      </c>
      <c r="V2553" s="42">
        <f>averageif(AllData!A:A,B2553,AllData!R:R)/vlookup(B2553,AllData!A:O,15,0)</f>
        <v>94.42488095</v>
      </c>
      <c r="W2553" s="6"/>
    </row>
    <row r="2554" ht="14.25" customHeight="1">
      <c r="A2554" s="6" t="str">
        <f t="shared" si="28"/>
        <v>2024Cock16</v>
      </c>
      <c r="B2554" s="59">
        <v>2024.0</v>
      </c>
      <c r="C2554" s="13" t="s">
        <v>72</v>
      </c>
      <c r="D2554" s="13" t="s">
        <v>153</v>
      </c>
      <c r="E2554" s="34"/>
      <c r="F2554" s="6"/>
      <c r="H2554" s="6"/>
      <c r="I2554" s="35" t="str">
        <f>IFERROR(IFERROR(IFERROR(VLOOKUP(B2554&amp;C2554&amp;Q2554,'New Weekly Paste'!A:M,10,0),VLOOKUP(B2554&amp;C2554&amp;Q2554,'New Weekly Paste'!B:O,6,0)),""),"")</f>
        <v>Shep</v>
      </c>
      <c r="J2554" s="259">
        <f>IFERROR(IFERROR(VLOOKUP(B2554&amp;C2554&amp;Q2554,'New Weekly Paste'!A:M,8,0),VLOOKUP(B2554&amp;C2554&amp;Q2554,'New Weekly Paste'!B:O,10,0)),0)</f>
        <v>97.82</v>
      </c>
      <c r="K2554" s="259">
        <f>IFERROR(IFERROR(VLOOKUP(B2554&amp;I2554&amp;Q2554,'New Weekly Paste'!A:M,8,0),VLOOKUP(B2554&amp;I2554&amp;Q2554,'New Weekly Paste'!B:O,10,0)),0)</f>
        <v>78.96</v>
      </c>
      <c r="L2554" s="239">
        <f t="shared" si="25"/>
        <v>1</v>
      </c>
      <c r="M2554" s="36" t="str">
        <f t="shared" si="3"/>
        <v>Playoffs</v>
      </c>
      <c r="N2554" s="239" t="str">
        <f t="shared" si="26"/>
        <v>Shep</v>
      </c>
      <c r="O2554" s="6">
        <f>VLOOKUP(D2554,'Mapped Opponent'!$G$4:$H$22,2,0)</f>
        <v>16</v>
      </c>
      <c r="P2554" s="6"/>
      <c r="Q2554" s="6" t="str">
        <f t="shared" si="4"/>
        <v>Week 16</v>
      </c>
      <c r="R2554" s="6" t="str">
        <f t="shared" si="5"/>
        <v>2024Round 2</v>
      </c>
      <c r="S2554" s="6">
        <f>IFERROR(__xludf.DUMMYFUNCTION("rank(J2554,FILTER(J:J,R:R=R2554))"),7.0)</f>
        <v>7</v>
      </c>
      <c r="T2554" s="6">
        <f t="shared" si="6"/>
        <v>5</v>
      </c>
      <c r="U2554" s="6">
        <f t="shared" si="7"/>
        <v>7</v>
      </c>
      <c r="V2554" s="42">
        <f>averageif(AllData!A:A,B2554,AllData!R:R)/vlookup(B2554,AllData!A:O,15,0)</f>
        <v>94.42488095</v>
      </c>
      <c r="W2554" s="6"/>
    </row>
    <row r="2555" ht="14.25" customHeight="1">
      <c r="A2555" s="6" t="str">
        <f t="shared" si="28"/>
        <v>2024Tayski16</v>
      </c>
      <c r="B2555" s="59">
        <v>2024.0</v>
      </c>
      <c r="C2555" s="13" t="s">
        <v>52</v>
      </c>
      <c r="D2555" s="13" t="s">
        <v>153</v>
      </c>
      <c r="E2555" s="34"/>
      <c r="F2555" s="6"/>
      <c r="H2555" s="6"/>
      <c r="I2555" s="35" t="str">
        <f>IFERROR(IFERROR(IFERROR(VLOOKUP(B2555&amp;C2555&amp;Q2555,'New Weekly Paste'!A:M,10,0),VLOOKUP(B2555&amp;C2555&amp;Q2555,'New Weekly Paste'!B:O,6,0)),""),"")</f>
        <v>Buser</v>
      </c>
      <c r="J2555" s="259">
        <f>IFERROR(IFERROR(VLOOKUP(B2555&amp;C2555&amp;Q2555,'New Weekly Paste'!A:M,8,0),VLOOKUP(B2555&amp;C2555&amp;Q2555,'New Weekly Paste'!B:O,10,0)),0)</f>
        <v>111.16</v>
      </c>
      <c r="K2555" s="259">
        <f>IFERROR(IFERROR(VLOOKUP(B2555&amp;I2555&amp;Q2555,'New Weekly Paste'!A:M,8,0),VLOOKUP(B2555&amp;I2555&amp;Q2555,'New Weekly Paste'!B:O,10,0)),0)</f>
        <v>135.84</v>
      </c>
      <c r="L2555" s="239">
        <f t="shared" si="25"/>
        <v>0</v>
      </c>
      <c r="M2555" s="36" t="str">
        <f t="shared" si="3"/>
        <v>Playoffs</v>
      </c>
      <c r="N2555" s="239" t="str">
        <f t="shared" si="26"/>
        <v>Buser</v>
      </c>
      <c r="O2555" s="6">
        <f>VLOOKUP(D2555,'Mapped Opponent'!$G$4:$H$22,2,0)</f>
        <v>16</v>
      </c>
      <c r="P2555" s="6"/>
      <c r="Q2555" s="6" t="str">
        <f t="shared" si="4"/>
        <v>Week 16</v>
      </c>
      <c r="R2555" s="6" t="str">
        <f t="shared" si="5"/>
        <v>2024Round 2</v>
      </c>
      <c r="S2555" s="6">
        <f>IFERROR(__xludf.DUMMYFUNCTION("rank(J2555,FILTER(J:J,R:R=R2555))"),6.0)</f>
        <v>6</v>
      </c>
      <c r="T2555" s="6">
        <f t="shared" si="6"/>
        <v>6</v>
      </c>
      <c r="U2555" s="6">
        <f t="shared" si="7"/>
        <v>6</v>
      </c>
      <c r="V2555" s="42">
        <f>averageif(AllData!A:A,B2555,AllData!R:R)/vlookup(B2555,AllData!A:O,15,0)</f>
        <v>94.42488095</v>
      </c>
      <c r="W2555" s="6"/>
    </row>
    <row r="2556" ht="14.25" customHeight="1">
      <c r="A2556" s="6" t="str">
        <f t="shared" si="28"/>
        <v>2024KnardDawg16</v>
      </c>
      <c r="B2556" s="59">
        <v>2024.0</v>
      </c>
      <c r="C2556" s="13" t="s">
        <v>86</v>
      </c>
      <c r="D2556" s="13" t="s">
        <v>153</v>
      </c>
      <c r="E2556" s="34"/>
      <c r="F2556" s="6"/>
      <c r="H2556" s="6"/>
      <c r="I2556" s="35" t="str">
        <f>IFERROR(IFERROR(IFERROR(VLOOKUP(B2556&amp;C2556&amp;Q2556,'New Weekly Paste'!A:M,10,0),VLOOKUP(B2556&amp;C2556&amp;Q2556,'New Weekly Paste'!B:O,6,0)),""),"")</f>
        <v>Pierson</v>
      </c>
      <c r="J2556" s="259">
        <f>IFERROR(IFERROR(VLOOKUP(B2556&amp;C2556&amp;Q2556,'New Weekly Paste'!A:M,8,0),VLOOKUP(B2556&amp;C2556&amp;Q2556,'New Weekly Paste'!B:O,10,0)),0)</f>
        <v>126.26</v>
      </c>
      <c r="K2556" s="259">
        <f>IFERROR(IFERROR(VLOOKUP(B2556&amp;I2556&amp;Q2556,'New Weekly Paste'!A:M,8,0),VLOOKUP(B2556&amp;I2556&amp;Q2556,'New Weekly Paste'!B:O,10,0)),0)</f>
        <v>89.48</v>
      </c>
      <c r="L2556" s="239">
        <f t="shared" si="25"/>
        <v>1</v>
      </c>
      <c r="M2556" s="36" t="str">
        <f t="shared" si="3"/>
        <v>Playoffs</v>
      </c>
      <c r="N2556" s="239" t="str">
        <f t="shared" si="26"/>
        <v>Pierson</v>
      </c>
      <c r="O2556" s="6">
        <f>VLOOKUP(D2556,'Mapped Opponent'!$G$4:$H$22,2,0)</f>
        <v>16</v>
      </c>
      <c r="P2556" s="6"/>
      <c r="Q2556" s="6" t="str">
        <f t="shared" si="4"/>
        <v>Week 16</v>
      </c>
      <c r="R2556" s="6" t="str">
        <f t="shared" si="5"/>
        <v>2024Round 2</v>
      </c>
      <c r="S2556" s="6">
        <f>IFERROR(__xludf.DUMMYFUNCTION("rank(J2556,FILTER(J:J,R:R=R2556))"),3.0)</f>
        <v>3</v>
      </c>
      <c r="T2556" s="6">
        <f t="shared" si="6"/>
        <v>9</v>
      </c>
      <c r="U2556" s="6">
        <f t="shared" si="7"/>
        <v>3</v>
      </c>
      <c r="V2556" s="42">
        <f>averageif(AllData!A:A,B2556,AllData!R:R)/vlookup(B2556,AllData!A:O,15,0)</f>
        <v>94.42488095</v>
      </c>
      <c r="W2556" s="6"/>
    </row>
    <row r="2557" ht="14.25" customHeight="1">
      <c r="A2557" s="6" t="str">
        <f t="shared" si="28"/>
        <v>2024T-How16</v>
      </c>
      <c r="B2557" s="59">
        <v>2024.0</v>
      </c>
      <c r="C2557" s="13" t="s">
        <v>82</v>
      </c>
      <c r="D2557" s="13" t="s">
        <v>153</v>
      </c>
      <c r="E2557" s="34"/>
      <c r="F2557" s="6"/>
      <c r="H2557" s="6"/>
      <c r="I2557" s="35" t="str">
        <f>IFERROR(IFERROR(IFERROR(VLOOKUP(B2557&amp;C2557&amp;Q2557,'New Weekly Paste'!A:M,10,0),VLOOKUP(B2557&amp;C2557&amp;Q2557,'New Weekly Paste'!B:O,6,0)),""),"")</f>
        <v>Salty</v>
      </c>
      <c r="J2557" s="259">
        <f>IFERROR(IFERROR(VLOOKUP(B2557&amp;C2557&amp;Q2557,'New Weekly Paste'!A:M,8,0),VLOOKUP(B2557&amp;C2557&amp;Q2557,'New Weekly Paste'!B:O,10,0)),0)</f>
        <v>77.94</v>
      </c>
      <c r="K2557" s="259">
        <f>IFERROR(IFERROR(VLOOKUP(B2557&amp;I2557&amp;Q2557,'New Weekly Paste'!A:M,8,0),VLOOKUP(B2557&amp;I2557&amp;Q2557,'New Weekly Paste'!B:O,10,0)),0)</f>
        <v>71.48</v>
      </c>
      <c r="L2557" s="239">
        <f t="shared" si="25"/>
        <v>1</v>
      </c>
      <c r="M2557" s="36" t="str">
        <f t="shared" si="3"/>
        <v>Playoffs</v>
      </c>
      <c r="N2557" s="239" t="str">
        <f t="shared" si="26"/>
        <v>Salty</v>
      </c>
      <c r="O2557" s="6">
        <f>VLOOKUP(D2557,'Mapped Opponent'!$G$4:$H$22,2,0)</f>
        <v>16</v>
      </c>
      <c r="P2557" s="6"/>
      <c r="Q2557" s="6" t="str">
        <f t="shared" si="4"/>
        <v>Week 16</v>
      </c>
      <c r="R2557" s="6" t="str">
        <f t="shared" si="5"/>
        <v>2024Round 2</v>
      </c>
      <c r="S2557" s="6">
        <f>IFERROR(__xludf.DUMMYFUNCTION("rank(J2557,FILTER(J:J,R:R=R2557))"),10.0)</f>
        <v>10</v>
      </c>
      <c r="T2557" s="6">
        <f t="shared" si="6"/>
        <v>2</v>
      </c>
      <c r="U2557" s="6">
        <f t="shared" si="7"/>
        <v>10</v>
      </c>
      <c r="V2557" s="42">
        <f>averageif(AllData!A:A,B2557,AllData!R:R)/vlookup(B2557,AllData!A:O,15,0)</f>
        <v>94.42488095</v>
      </c>
      <c r="W2557" s="6"/>
    </row>
    <row r="2558" ht="14.25" customHeight="1">
      <c r="A2558" s="6" t="str">
        <f t="shared" si="28"/>
        <v>2024Hudspeath17</v>
      </c>
      <c r="B2558" s="59">
        <v>2024.0</v>
      </c>
      <c r="C2558" s="13" t="s">
        <v>39</v>
      </c>
      <c r="D2558" s="13" t="s">
        <v>154</v>
      </c>
      <c r="E2558" s="34"/>
      <c r="F2558" s="6"/>
      <c r="H2558" s="6"/>
      <c r="I2558" s="35" t="str">
        <f>IFERROR(IFERROR(IFERROR(VLOOKUP(B2558&amp;C2558&amp;Q2558,'New Weekly Paste'!A:M,10,0),VLOOKUP(B2558&amp;C2558&amp;Q2558,'New Weekly Paste'!B:O,6,0)),""),"")</f>
        <v>Cock</v>
      </c>
      <c r="J2558" s="259">
        <f>IFERROR(IFERROR(VLOOKUP(B2558&amp;C2558&amp;Q2558,'New Weekly Paste'!A:M,8,0),VLOOKUP(B2558&amp;C2558&amp;Q2558,'New Weekly Paste'!B:O,10,0)),0)</f>
        <v>109.76</v>
      </c>
      <c r="K2558" s="259">
        <f>IFERROR(IFERROR(VLOOKUP(B2558&amp;I2558&amp;Q2558,'New Weekly Paste'!A:M,8,0),VLOOKUP(B2558&amp;I2558&amp;Q2558,'New Weekly Paste'!B:O,10,0)),0)</f>
        <v>86.48</v>
      </c>
      <c r="L2558" s="239">
        <f t="shared" si="25"/>
        <v>1</v>
      </c>
      <c r="M2558" s="36" t="str">
        <f t="shared" si="3"/>
        <v>Playoffs</v>
      </c>
      <c r="N2558" s="239" t="str">
        <f t="shared" si="26"/>
        <v>Cock</v>
      </c>
      <c r="O2558" s="6">
        <f>VLOOKUP(D2558,'Mapped Opponent'!$G$4:$H$22,2,0)</f>
        <v>17</v>
      </c>
      <c r="P2558" s="6"/>
      <c r="Q2558" s="6" t="str">
        <f t="shared" si="4"/>
        <v>Week 17</v>
      </c>
      <c r="R2558" s="6" t="str">
        <f t="shared" si="5"/>
        <v>2024Round 3</v>
      </c>
      <c r="S2558" s="6">
        <f>IFERROR(__xludf.DUMMYFUNCTION("rank(J2558,FILTER(J:J,R:R=R2558))"),5.0)</f>
        <v>5</v>
      </c>
      <c r="T2558" s="6">
        <f t="shared" si="6"/>
        <v>7</v>
      </c>
      <c r="U2558" s="6">
        <f t="shared" si="7"/>
        <v>5</v>
      </c>
      <c r="V2558" s="42">
        <f>averageif(AllData!A:A,B2558,AllData!R:R)/vlookup(B2558,AllData!A:O,15,0)</f>
        <v>94.42488095</v>
      </c>
      <c r="W2558" s="6"/>
    </row>
    <row r="2559" ht="14.25" customHeight="1">
      <c r="A2559" s="6" t="str">
        <f t="shared" si="28"/>
        <v>2024Salty17</v>
      </c>
      <c r="B2559" s="59">
        <v>2024.0</v>
      </c>
      <c r="C2559" s="13" t="s">
        <v>76</v>
      </c>
      <c r="D2559" s="13" t="s">
        <v>154</v>
      </c>
      <c r="E2559" s="34"/>
      <c r="F2559" s="6"/>
      <c r="H2559" s="6"/>
      <c r="I2559" s="35" t="str">
        <f>IFERROR(IFERROR(IFERROR(VLOOKUP(B2559&amp;C2559&amp;Q2559,'New Weekly Paste'!A:M,10,0),VLOOKUP(B2559&amp;C2559&amp;Q2559,'New Weekly Paste'!B:O,6,0)),""),"")</f>
        <v>Riley</v>
      </c>
      <c r="J2559" s="259">
        <f>IFERROR(IFERROR(VLOOKUP(B2559&amp;C2559&amp;Q2559,'New Weekly Paste'!A:M,8,0),VLOOKUP(B2559&amp;C2559&amp;Q2559,'New Weekly Paste'!B:O,10,0)),0)</f>
        <v>118.62</v>
      </c>
      <c r="K2559" s="259">
        <f>IFERROR(IFERROR(VLOOKUP(B2559&amp;I2559&amp;Q2559,'New Weekly Paste'!A:M,8,0),VLOOKUP(B2559&amp;I2559&amp;Q2559,'New Weekly Paste'!B:O,10,0)),0)</f>
        <v>90.84</v>
      </c>
      <c r="L2559" s="239">
        <f t="shared" si="25"/>
        <v>1</v>
      </c>
      <c r="M2559" s="36" t="str">
        <f t="shared" si="3"/>
        <v>Playoffs</v>
      </c>
      <c r="N2559" s="239" t="str">
        <f t="shared" si="26"/>
        <v>Riley</v>
      </c>
      <c r="O2559" s="6">
        <f>VLOOKUP(D2559,'Mapped Opponent'!$G$4:$H$22,2,0)</f>
        <v>17</v>
      </c>
      <c r="P2559" s="6"/>
      <c r="Q2559" s="6" t="str">
        <f t="shared" si="4"/>
        <v>Week 17</v>
      </c>
      <c r="R2559" s="6" t="str">
        <f t="shared" si="5"/>
        <v>2024Round 3</v>
      </c>
      <c r="S2559" s="6">
        <f>IFERROR(__xludf.DUMMYFUNCTION("rank(J2559,FILTER(J:J,R:R=R2559))"),3.0)</f>
        <v>3</v>
      </c>
      <c r="T2559" s="6">
        <f t="shared" si="6"/>
        <v>9</v>
      </c>
      <c r="U2559" s="6">
        <f t="shared" si="7"/>
        <v>3</v>
      </c>
      <c r="V2559" s="42">
        <f>averageif(AllData!A:A,B2559,AllData!R:R)/vlookup(B2559,AllData!A:O,15,0)</f>
        <v>94.42488095</v>
      </c>
      <c r="W2559" s="6"/>
    </row>
    <row r="2560" ht="14.25" customHeight="1">
      <c r="A2560" s="6" t="str">
        <f t="shared" si="28"/>
        <v>2024Ewert17</v>
      </c>
      <c r="B2560" s="59">
        <v>2024.0</v>
      </c>
      <c r="C2560" s="13" t="s">
        <v>108</v>
      </c>
      <c r="D2560" s="13" t="s">
        <v>154</v>
      </c>
      <c r="E2560" s="34"/>
      <c r="F2560" s="6"/>
      <c r="H2560" s="6"/>
      <c r="I2560" s="35" t="str">
        <f>IFERROR(IFERROR(IFERROR(VLOOKUP(B2560&amp;C2560&amp;Q2560,'New Weekly Paste'!A:M,10,0),VLOOKUP(B2560&amp;C2560&amp;Q2560,'New Weekly Paste'!B:O,6,0)),""),"")</f>
        <v>KnardDawg</v>
      </c>
      <c r="J2560" s="259">
        <f>IFERROR(IFERROR(VLOOKUP(B2560&amp;C2560&amp;Q2560,'New Weekly Paste'!A:M,8,0),VLOOKUP(B2560&amp;C2560&amp;Q2560,'New Weekly Paste'!B:O,10,0)),0)</f>
        <v>133.84</v>
      </c>
      <c r="K2560" s="259">
        <f>IFERROR(IFERROR(VLOOKUP(B2560&amp;I2560&amp;Q2560,'New Weekly Paste'!A:M,8,0),VLOOKUP(B2560&amp;I2560&amp;Q2560,'New Weekly Paste'!B:O,10,0)),0)</f>
        <v>77.78</v>
      </c>
      <c r="L2560" s="239">
        <f t="shared" si="25"/>
        <v>1</v>
      </c>
      <c r="M2560" s="36" t="str">
        <f t="shared" si="3"/>
        <v>Playoffs</v>
      </c>
      <c r="N2560" s="239" t="str">
        <f t="shared" si="26"/>
        <v>KnardDawg</v>
      </c>
      <c r="O2560" s="6">
        <f>VLOOKUP(D2560,'Mapped Opponent'!$G$4:$H$22,2,0)</f>
        <v>17</v>
      </c>
      <c r="P2560" s="6"/>
      <c r="Q2560" s="6" t="str">
        <f t="shared" si="4"/>
        <v>Week 17</v>
      </c>
      <c r="R2560" s="6" t="str">
        <f t="shared" si="5"/>
        <v>2024Round 3</v>
      </c>
      <c r="S2560" s="6">
        <f>IFERROR(__xludf.DUMMYFUNCTION("rank(J2560,FILTER(J:J,R:R=R2560))"),2.0)</f>
        <v>2</v>
      </c>
      <c r="T2560" s="6">
        <f t="shared" si="6"/>
        <v>10</v>
      </c>
      <c r="U2560" s="6">
        <f t="shared" si="7"/>
        <v>2</v>
      </c>
      <c r="V2560" s="42">
        <f>averageif(AllData!A:A,B2560,AllData!R:R)/vlookup(B2560,AllData!A:O,15,0)</f>
        <v>94.42488095</v>
      </c>
      <c r="W2560" s="6"/>
    </row>
    <row r="2561" ht="14.25" customHeight="1">
      <c r="A2561" s="6" t="str">
        <f t="shared" si="28"/>
        <v>2024Shep17</v>
      </c>
      <c r="B2561" s="59">
        <v>2024.0</v>
      </c>
      <c r="C2561" s="13" t="s">
        <v>89</v>
      </c>
      <c r="D2561" s="13" t="s">
        <v>154</v>
      </c>
      <c r="E2561" s="34"/>
      <c r="F2561" s="6"/>
      <c r="H2561" s="6"/>
      <c r="I2561" s="35" t="str">
        <f>IFERROR(IFERROR(IFERROR(VLOOKUP(B2561&amp;C2561&amp;Q2561,'New Weekly Paste'!A:M,10,0),VLOOKUP(B2561&amp;C2561&amp;Q2561,'New Weekly Paste'!B:O,6,0)),""),"")</f>
        <v>Pierson</v>
      </c>
      <c r="J2561" s="259">
        <f>IFERROR(IFERROR(VLOOKUP(B2561&amp;C2561&amp;Q2561,'New Weekly Paste'!A:M,8,0),VLOOKUP(B2561&amp;C2561&amp;Q2561,'New Weekly Paste'!B:O,10,0)),0)</f>
        <v>59.1</v>
      </c>
      <c r="K2561" s="259">
        <f>IFERROR(IFERROR(VLOOKUP(B2561&amp;I2561&amp;Q2561,'New Weekly Paste'!A:M,8,0),VLOOKUP(B2561&amp;I2561&amp;Q2561,'New Weekly Paste'!B:O,10,0)),0)</f>
        <v>68.28</v>
      </c>
      <c r="L2561" s="239">
        <f t="shared" si="25"/>
        <v>0</v>
      </c>
      <c r="M2561" s="36" t="str">
        <f t="shared" si="3"/>
        <v>Playoffs</v>
      </c>
      <c r="N2561" s="239" t="str">
        <f t="shared" si="26"/>
        <v>Pierson</v>
      </c>
      <c r="O2561" s="6">
        <f>VLOOKUP(D2561,'Mapped Opponent'!$G$4:$H$22,2,0)</f>
        <v>17</v>
      </c>
      <c r="P2561" s="6"/>
      <c r="Q2561" s="6" t="str">
        <f t="shared" si="4"/>
        <v>Week 17</v>
      </c>
      <c r="R2561" s="6" t="str">
        <f t="shared" si="5"/>
        <v>2024Round 3</v>
      </c>
      <c r="S2561" s="6">
        <f>IFERROR(__xludf.DUMMYFUNCTION("rank(J2561,FILTER(J:J,R:R=R2561))"),12.0)</f>
        <v>12</v>
      </c>
      <c r="T2561" s="6">
        <f t="shared" si="6"/>
        <v>0</v>
      </c>
      <c r="U2561" s="6">
        <f t="shared" si="7"/>
        <v>12</v>
      </c>
      <c r="V2561" s="42">
        <f>averageif(AllData!A:A,B2561,AllData!R:R)/vlookup(B2561,AllData!A:O,15,0)</f>
        <v>94.42488095</v>
      </c>
      <c r="W2561" s="6"/>
    </row>
    <row r="2562" ht="14.25" customHeight="1">
      <c r="A2562" s="6" t="str">
        <f t="shared" si="28"/>
        <v>2024Riley17</v>
      </c>
      <c r="B2562" s="59">
        <v>2024.0</v>
      </c>
      <c r="C2562" s="13" t="s">
        <v>67</v>
      </c>
      <c r="D2562" s="13" t="s">
        <v>154</v>
      </c>
      <c r="E2562" s="34"/>
      <c r="F2562" s="6"/>
      <c r="H2562" s="6"/>
      <c r="I2562" s="35" t="str">
        <f>IFERROR(IFERROR(IFERROR(VLOOKUP(B2562&amp;C2562&amp;Q2562,'New Weekly Paste'!A:M,10,0),VLOOKUP(B2562&amp;C2562&amp;Q2562,'New Weekly Paste'!B:O,6,0)),""),"")</f>
        <v>Salty</v>
      </c>
      <c r="J2562" s="259">
        <f>IFERROR(IFERROR(VLOOKUP(B2562&amp;C2562&amp;Q2562,'New Weekly Paste'!A:M,8,0),VLOOKUP(B2562&amp;C2562&amp;Q2562,'New Weekly Paste'!B:O,10,0)),0)</f>
        <v>90.84</v>
      </c>
      <c r="K2562" s="259">
        <f>IFERROR(IFERROR(VLOOKUP(B2562&amp;I2562&amp;Q2562,'New Weekly Paste'!A:M,8,0),VLOOKUP(B2562&amp;I2562&amp;Q2562,'New Weekly Paste'!B:O,10,0)),0)</f>
        <v>118.62</v>
      </c>
      <c r="L2562" s="239">
        <f t="shared" si="25"/>
        <v>0</v>
      </c>
      <c r="M2562" s="36" t="str">
        <f t="shared" si="3"/>
        <v>Playoffs</v>
      </c>
      <c r="N2562" s="239" t="str">
        <f t="shared" si="26"/>
        <v>Salty</v>
      </c>
      <c r="O2562" s="6">
        <f>VLOOKUP(D2562,'Mapped Opponent'!$G$4:$H$22,2,0)</f>
        <v>17</v>
      </c>
      <c r="P2562" s="6"/>
      <c r="Q2562" s="6" t="str">
        <f t="shared" si="4"/>
        <v>Week 17</v>
      </c>
      <c r="R2562" s="6" t="str">
        <f t="shared" si="5"/>
        <v>2024Round 3</v>
      </c>
      <c r="S2562" s="6">
        <f>IFERROR(__xludf.DUMMYFUNCTION("rank(J2562,FILTER(J:J,R:R=R2562))"),7.0)</f>
        <v>7</v>
      </c>
      <c r="T2562" s="6">
        <f t="shared" si="6"/>
        <v>5</v>
      </c>
      <c r="U2562" s="6">
        <f t="shared" si="7"/>
        <v>7</v>
      </c>
      <c r="V2562" s="42">
        <f>averageif(AllData!A:A,B2562,AllData!R:R)/vlookup(B2562,AllData!A:O,15,0)</f>
        <v>94.42488095</v>
      </c>
      <c r="W2562" s="6"/>
    </row>
    <row r="2563" ht="14.25" customHeight="1">
      <c r="A2563" s="6" t="str">
        <f t="shared" si="28"/>
        <v>2024Rooney/Jackson17</v>
      </c>
      <c r="B2563" s="59">
        <v>2024.0</v>
      </c>
      <c r="C2563" s="13" t="s">
        <v>57</v>
      </c>
      <c r="D2563" s="13" t="s">
        <v>154</v>
      </c>
      <c r="E2563" s="34"/>
      <c r="F2563" s="6"/>
      <c r="H2563" s="6"/>
      <c r="I2563" s="35" t="str">
        <f>IFERROR(IFERROR(IFERROR(VLOOKUP(B2563&amp;C2563&amp;Q2563,'New Weekly Paste'!A:M,10,0),VLOOKUP(B2563&amp;C2563&amp;Q2563,'New Weekly Paste'!B:O,6,0)),""),"")</f>
        <v>T-How</v>
      </c>
      <c r="J2563" s="259">
        <f>IFERROR(IFERROR(VLOOKUP(B2563&amp;C2563&amp;Q2563,'New Weekly Paste'!A:M,8,0),VLOOKUP(B2563&amp;C2563&amp;Q2563,'New Weekly Paste'!B:O,10,0)),0)</f>
        <v>135.28</v>
      </c>
      <c r="K2563" s="259">
        <f>IFERROR(IFERROR(VLOOKUP(B2563&amp;I2563&amp;Q2563,'New Weekly Paste'!A:M,8,0),VLOOKUP(B2563&amp;I2563&amp;Q2563,'New Weekly Paste'!B:O,10,0)),0)</f>
        <v>113.38</v>
      </c>
      <c r="L2563" s="239">
        <f t="shared" si="25"/>
        <v>1</v>
      </c>
      <c r="M2563" s="36" t="str">
        <f t="shared" si="3"/>
        <v>Playoffs</v>
      </c>
      <c r="N2563" s="239" t="str">
        <f t="shared" si="26"/>
        <v>T-How</v>
      </c>
      <c r="O2563" s="6">
        <f>VLOOKUP(D2563,'Mapped Opponent'!$G$4:$H$22,2,0)</f>
        <v>17</v>
      </c>
      <c r="P2563" s="6"/>
      <c r="Q2563" s="6" t="str">
        <f t="shared" si="4"/>
        <v>Week 17</v>
      </c>
      <c r="R2563" s="6" t="str">
        <f t="shared" si="5"/>
        <v>2024Round 3</v>
      </c>
      <c r="S2563" s="6">
        <f>IFERROR(__xludf.DUMMYFUNCTION("rank(J2563,FILTER(J:J,R:R=R2563))"),1.0)</f>
        <v>1</v>
      </c>
      <c r="T2563" s="6">
        <f t="shared" si="6"/>
        <v>11</v>
      </c>
      <c r="U2563" s="6">
        <f t="shared" si="7"/>
        <v>1</v>
      </c>
      <c r="V2563" s="42">
        <f>averageif(AllData!A:A,B2563,AllData!R:R)/vlookup(B2563,AllData!A:O,15,0)</f>
        <v>94.42488095</v>
      </c>
      <c r="W2563" s="6"/>
    </row>
    <row r="2564" ht="14.25" customHeight="1">
      <c r="A2564" s="6" t="str">
        <f t="shared" si="28"/>
        <v>2024Buser17</v>
      </c>
      <c r="B2564" s="59">
        <v>2024.0</v>
      </c>
      <c r="C2564" s="13" t="s">
        <v>47</v>
      </c>
      <c r="D2564" s="13" t="s">
        <v>154</v>
      </c>
      <c r="E2564" s="34"/>
      <c r="F2564" s="6"/>
      <c r="H2564" s="6"/>
      <c r="I2564" s="35" t="str">
        <f>IFERROR(IFERROR(IFERROR(VLOOKUP(B2564&amp;C2564&amp;Q2564,'New Weekly Paste'!A:M,10,0),VLOOKUP(B2564&amp;C2564&amp;Q2564,'New Weekly Paste'!B:O,6,0)),""),"")</f>
        <v>Tayski</v>
      </c>
      <c r="J2564" s="259">
        <f>IFERROR(IFERROR(VLOOKUP(B2564&amp;C2564&amp;Q2564,'New Weekly Paste'!A:M,8,0),VLOOKUP(B2564&amp;C2564&amp;Q2564,'New Weekly Paste'!B:O,10,0)),0)</f>
        <v>105.1</v>
      </c>
      <c r="K2564" s="259">
        <f>IFERROR(IFERROR(VLOOKUP(B2564&amp;I2564&amp;Q2564,'New Weekly Paste'!A:M,8,0),VLOOKUP(B2564&amp;I2564&amp;Q2564,'New Weekly Paste'!B:O,10,0)),0)</f>
        <v>69.38</v>
      </c>
      <c r="L2564" s="239">
        <f t="shared" si="25"/>
        <v>1</v>
      </c>
      <c r="M2564" s="36" t="str">
        <f t="shared" si="3"/>
        <v>Playoffs</v>
      </c>
      <c r="N2564" s="239" t="str">
        <f t="shared" si="26"/>
        <v>Tayski</v>
      </c>
      <c r="O2564" s="6">
        <f>VLOOKUP(D2564,'Mapped Opponent'!$G$4:$H$22,2,0)</f>
        <v>17</v>
      </c>
      <c r="P2564" s="6"/>
      <c r="Q2564" s="6" t="str">
        <f t="shared" si="4"/>
        <v>Week 17</v>
      </c>
      <c r="R2564" s="6" t="str">
        <f t="shared" si="5"/>
        <v>2024Round 3</v>
      </c>
      <c r="S2564" s="6">
        <f>IFERROR(__xludf.DUMMYFUNCTION("rank(J2564,FILTER(J:J,R:R=R2564))"),6.0)</f>
        <v>6</v>
      </c>
      <c r="T2564" s="6">
        <f t="shared" si="6"/>
        <v>6</v>
      </c>
      <c r="U2564" s="6">
        <f t="shared" si="7"/>
        <v>6</v>
      </c>
      <c r="V2564" s="42">
        <f>averageif(AllData!A:A,B2564,AllData!R:R)/vlookup(B2564,AllData!A:O,15,0)</f>
        <v>94.42488095</v>
      </c>
      <c r="W2564" s="6"/>
    </row>
    <row r="2565" ht="14.25" customHeight="1">
      <c r="A2565" s="6" t="str">
        <f t="shared" si="28"/>
        <v>2024Pierson17</v>
      </c>
      <c r="B2565" s="59">
        <v>2024.0</v>
      </c>
      <c r="C2565" s="13" t="s">
        <v>92</v>
      </c>
      <c r="D2565" s="13" t="s">
        <v>154</v>
      </c>
      <c r="E2565" s="34"/>
      <c r="F2565" s="6"/>
      <c r="H2565" s="6"/>
      <c r="I2565" s="35" t="str">
        <f>IFERROR(IFERROR(IFERROR(VLOOKUP(B2565&amp;C2565&amp;Q2565,'New Weekly Paste'!A:M,10,0),VLOOKUP(B2565&amp;C2565&amp;Q2565,'New Weekly Paste'!B:O,6,0)),""),"")</f>
        <v>Shep</v>
      </c>
      <c r="J2565" s="259">
        <f>IFERROR(IFERROR(VLOOKUP(B2565&amp;C2565&amp;Q2565,'New Weekly Paste'!A:M,8,0),VLOOKUP(B2565&amp;C2565&amp;Q2565,'New Weekly Paste'!B:O,10,0)),0)</f>
        <v>68.28</v>
      </c>
      <c r="K2565" s="259">
        <f>IFERROR(IFERROR(VLOOKUP(B2565&amp;I2565&amp;Q2565,'New Weekly Paste'!A:M,8,0),VLOOKUP(B2565&amp;I2565&amp;Q2565,'New Weekly Paste'!B:O,10,0)),0)</f>
        <v>59.1</v>
      </c>
      <c r="L2565" s="239">
        <f t="shared" si="25"/>
        <v>1</v>
      </c>
      <c r="M2565" s="36" t="str">
        <f t="shared" si="3"/>
        <v>Playoffs</v>
      </c>
      <c r="N2565" s="239" t="str">
        <f t="shared" si="26"/>
        <v>Shep</v>
      </c>
      <c r="O2565" s="6">
        <f>VLOOKUP(D2565,'Mapped Opponent'!$G$4:$H$22,2,0)</f>
        <v>17</v>
      </c>
      <c r="P2565" s="6"/>
      <c r="Q2565" s="6" t="str">
        <f t="shared" si="4"/>
        <v>Week 17</v>
      </c>
      <c r="R2565" s="6" t="str">
        <f t="shared" si="5"/>
        <v>2024Round 3</v>
      </c>
      <c r="S2565" s="6">
        <f>IFERROR(__xludf.DUMMYFUNCTION("rank(J2565,FILTER(J:J,R:R=R2565))"),11.0)</f>
        <v>11</v>
      </c>
      <c r="T2565" s="6">
        <f t="shared" si="6"/>
        <v>1</v>
      </c>
      <c r="U2565" s="6">
        <f t="shared" si="7"/>
        <v>11</v>
      </c>
      <c r="V2565" s="42">
        <f>averageif(AllData!A:A,B2565,AllData!R:R)/vlookup(B2565,AllData!A:O,15,0)</f>
        <v>94.42488095</v>
      </c>
      <c r="W2565" s="6"/>
    </row>
    <row r="2566" ht="14.25" customHeight="1">
      <c r="A2566" s="6" t="str">
        <f t="shared" si="28"/>
        <v>2024Cock17</v>
      </c>
      <c r="B2566" s="59">
        <v>2024.0</v>
      </c>
      <c r="C2566" s="13" t="s">
        <v>72</v>
      </c>
      <c r="D2566" s="13" t="s">
        <v>154</v>
      </c>
      <c r="E2566" s="34"/>
      <c r="F2566" s="6"/>
      <c r="H2566" s="6"/>
      <c r="I2566" s="35" t="str">
        <f>IFERROR(IFERROR(IFERROR(VLOOKUP(B2566&amp;C2566&amp;Q2566,'New Weekly Paste'!A:M,10,0),VLOOKUP(B2566&amp;C2566&amp;Q2566,'New Weekly Paste'!B:O,6,0)),""),"")</f>
        <v>Hudspeath</v>
      </c>
      <c r="J2566" s="259">
        <f>IFERROR(IFERROR(VLOOKUP(B2566&amp;C2566&amp;Q2566,'New Weekly Paste'!A:M,8,0),VLOOKUP(B2566&amp;C2566&amp;Q2566,'New Weekly Paste'!B:O,10,0)),0)</f>
        <v>86.48</v>
      </c>
      <c r="K2566" s="259">
        <f>IFERROR(IFERROR(VLOOKUP(B2566&amp;I2566&amp;Q2566,'New Weekly Paste'!A:M,8,0),VLOOKUP(B2566&amp;I2566&amp;Q2566,'New Weekly Paste'!B:O,10,0)),0)</f>
        <v>109.76</v>
      </c>
      <c r="L2566" s="239">
        <f t="shared" si="25"/>
        <v>0</v>
      </c>
      <c r="M2566" s="36" t="str">
        <f t="shared" si="3"/>
        <v>Playoffs</v>
      </c>
      <c r="N2566" s="239" t="str">
        <f t="shared" si="26"/>
        <v>Hudspeath</v>
      </c>
      <c r="O2566" s="6">
        <f>VLOOKUP(D2566,'Mapped Opponent'!$G$4:$H$22,2,0)</f>
        <v>17</v>
      </c>
      <c r="P2566" s="6"/>
      <c r="Q2566" s="6" t="str">
        <f t="shared" si="4"/>
        <v>Week 17</v>
      </c>
      <c r="R2566" s="6" t="str">
        <f t="shared" si="5"/>
        <v>2024Round 3</v>
      </c>
      <c r="S2566" s="6">
        <f>IFERROR(__xludf.DUMMYFUNCTION("rank(J2566,FILTER(J:J,R:R=R2566))"),8.0)</f>
        <v>8</v>
      </c>
      <c r="T2566" s="6">
        <f t="shared" si="6"/>
        <v>4</v>
      </c>
      <c r="U2566" s="6">
        <f t="shared" si="7"/>
        <v>8</v>
      </c>
      <c r="V2566" s="42">
        <f>averageif(AllData!A:A,B2566,AllData!R:R)/vlookup(B2566,AllData!A:O,15,0)</f>
        <v>94.42488095</v>
      </c>
      <c r="W2566" s="6"/>
    </row>
    <row r="2567" ht="14.25" customHeight="1">
      <c r="A2567" s="6" t="str">
        <f t="shared" si="28"/>
        <v>2024Tayski17</v>
      </c>
      <c r="B2567" s="59">
        <v>2024.0</v>
      </c>
      <c r="C2567" s="13" t="s">
        <v>52</v>
      </c>
      <c r="D2567" s="13" t="s">
        <v>154</v>
      </c>
      <c r="E2567" s="34"/>
      <c r="F2567" s="6"/>
      <c r="H2567" s="6"/>
      <c r="I2567" s="35" t="str">
        <f>IFERROR(IFERROR(IFERROR(VLOOKUP(B2567&amp;C2567&amp;Q2567,'New Weekly Paste'!A:M,10,0),VLOOKUP(B2567&amp;C2567&amp;Q2567,'New Weekly Paste'!B:O,6,0)),""),"")</f>
        <v>Buser</v>
      </c>
      <c r="J2567" s="259">
        <f>IFERROR(IFERROR(VLOOKUP(B2567&amp;C2567&amp;Q2567,'New Weekly Paste'!A:M,8,0),VLOOKUP(B2567&amp;C2567&amp;Q2567,'New Weekly Paste'!B:O,10,0)),0)</f>
        <v>69.38</v>
      </c>
      <c r="K2567" s="259">
        <f>IFERROR(IFERROR(VLOOKUP(B2567&amp;I2567&amp;Q2567,'New Weekly Paste'!A:M,8,0),VLOOKUP(B2567&amp;I2567&amp;Q2567,'New Weekly Paste'!B:O,10,0)),0)</f>
        <v>105.1</v>
      </c>
      <c r="L2567" s="239">
        <f t="shared" si="25"/>
        <v>0</v>
      </c>
      <c r="M2567" s="36" t="str">
        <f t="shared" si="3"/>
        <v>Playoffs</v>
      </c>
      <c r="N2567" s="239" t="str">
        <f t="shared" si="26"/>
        <v>Buser</v>
      </c>
      <c r="O2567" s="6">
        <f>VLOOKUP(D2567,'Mapped Opponent'!$G$4:$H$22,2,0)</f>
        <v>17</v>
      </c>
      <c r="P2567" s="6"/>
      <c r="Q2567" s="6" t="str">
        <f t="shared" si="4"/>
        <v>Week 17</v>
      </c>
      <c r="R2567" s="6" t="str">
        <f t="shared" si="5"/>
        <v>2024Round 3</v>
      </c>
      <c r="S2567" s="6">
        <f>IFERROR(__xludf.DUMMYFUNCTION("rank(J2567,FILTER(J:J,R:R=R2567))"),10.0)</f>
        <v>10</v>
      </c>
      <c r="T2567" s="6">
        <f t="shared" si="6"/>
        <v>2</v>
      </c>
      <c r="U2567" s="6">
        <f t="shared" si="7"/>
        <v>10</v>
      </c>
      <c r="V2567" s="42">
        <f>averageif(AllData!A:A,B2567,AllData!R:R)/vlookup(B2567,AllData!A:O,15,0)</f>
        <v>94.42488095</v>
      </c>
      <c r="W2567" s="6"/>
    </row>
    <row r="2568" ht="14.25" customHeight="1">
      <c r="A2568" s="6" t="str">
        <f t="shared" si="28"/>
        <v>2024KnardDawg17</v>
      </c>
      <c r="B2568" s="59">
        <v>2024.0</v>
      </c>
      <c r="C2568" s="13" t="s">
        <v>86</v>
      </c>
      <c r="D2568" s="13" t="s">
        <v>154</v>
      </c>
      <c r="E2568" s="34"/>
      <c r="F2568" s="6"/>
      <c r="H2568" s="6"/>
      <c r="I2568" s="35" t="str">
        <f>IFERROR(IFERROR(IFERROR(VLOOKUP(B2568&amp;C2568&amp;Q2568,'New Weekly Paste'!A:M,10,0),VLOOKUP(B2568&amp;C2568&amp;Q2568,'New Weekly Paste'!B:O,6,0)),""),"")</f>
        <v>Ewert</v>
      </c>
      <c r="J2568" s="259">
        <f>IFERROR(IFERROR(VLOOKUP(B2568&amp;C2568&amp;Q2568,'New Weekly Paste'!A:M,8,0),VLOOKUP(B2568&amp;C2568&amp;Q2568,'New Weekly Paste'!B:O,10,0)),0)</f>
        <v>77.78</v>
      </c>
      <c r="K2568" s="259">
        <f>IFERROR(IFERROR(VLOOKUP(B2568&amp;I2568&amp;Q2568,'New Weekly Paste'!A:M,8,0),VLOOKUP(B2568&amp;I2568&amp;Q2568,'New Weekly Paste'!B:O,10,0)),0)</f>
        <v>133.84</v>
      </c>
      <c r="L2568" s="239">
        <f t="shared" si="25"/>
        <v>0</v>
      </c>
      <c r="M2568" s="36" t="str">
        <f t="shared" si="3"/>
        <v>Playoffs</v>
      </c>
      <c r="N2568" s="239" t="str">
        <f t="shared" si="26"/>
        <v>Ewert</v>
      </c>
      <c r="O2568" s="6">
        <f>VLOOKUP(D2568,'Mapped Opponent'!$G$4:$H$22,2,0)</f>
        <v>17</v>
      </c>
      <c r="P2568" s="6"/>
      <c r="Q2568" s="6" t="str">
        <f t="shared" si="4"/>
        <v>Week 17</v>
      </c>
      <c r="R2568" s="6" t="str">
        <f t="shared" si="5"/>
        <v>2024Round 3</v>
      </c>
      <c r="S2568" s="6">
        <f>IFERROR(__xludf.DUMMYFUNCTION("rank(J2568,FILTER(J:J,R:R=R2568))"),9.0)</f>
        <v>9</v>
      </c>
      <c r="T2568" s="6">
        <f t="shared" si="6"/>
        <v>3</v>
      </c>
      <c r="U2568" s="6">
        <f t="shared" si="7"/>
        <v>9</v>
      </c>
      <c r="V2568" s="42">
        <f>averageif(AllData!A:A,B2568,AllData!R:R)/vlookup(B2568,AllData!A:O,15,0)</f>
        <v>94.42488095</v>
      </c>
      <c r="W2568" s="6"/>
    </row>
    <row r="2569" ht="14.25" customHeight="1">
      <c r="A2569" s="6" t="str">
        <f t="shared" si="28"/>
        <v>2024T-How17</v>
      </c>
      <c r="B2569" s="59">
        <v>2024.0</v>
      </c>
      <c r="C2569" s="13" t="s">
        <v>82</v>
      </c>
      <c r="D2569" s="13" t="s">
        <v>154</v>
      </c>
      <c r="E2569" s="34"/>
      <c r="F2569" s="6"/>
      <c r="H2569" s="6"/>
      <c r="I2569" s="35" t="str">
        <f>IFERROR(IFERROR(IFERROR(VLOOKUP(B2569&amp;C2569&amp;Q2569,'New Weekly Paste'!A:M,10,0),VLOOKUP(B2569&amp;C2569&amp;Q2569,'New Weekly Paste'!B:O,6,0)),""),"")</f>
        <v>Rooney/Jackson</v>
      </c>
      <c r="J2569" s="259">
        <f>IFERROR(IFERROR(VLOOKUP(B2569&amp;C2569&amp;Q2569,'New Weekly Paste'!A:M,8,0),VLOOKUP(B2569&amp;C2569&amp;Q2569,'New Weekly Paste'!B:O,10,0)),0)</f>
        <v>113.38</v>
      </c>
      <c r="K2569" s="259">
        <f>IFERROR(IFERROR(VLOOKUP(B2569&amp;I2569&amp;Q2569,'New Weekly Paste'!A:M,8,0),VLOOKUP(B2569&amp;I2569&amp;Q2569,'New Weekly Paste'!B:O,10,0)),0)</f>
        <v>135.28</v>
      </c>
      <c r="L2569" s="239">
        <f t="shared" si="25"/>
        <v>0</v>
      </c>
      <c r="M2569" s="36" t="str">
        <f t="shared" si="3"/>
        <v>Playoffs</v>
      </c>
      <c r="N2569" s="239" t="str">
        <f t="shared" si="26"/>
        <v>Rooney/Jackson</v>
      </c>
      <c r="O2569" s="6">
        <f>VLOOKUP(D2569,'Mapped Opponent'!$G$4:$H$22,2,0)</f>
        <v>17</v>
      </c>
      <c r="P2569" s="6"/>
      <c r="Q2569" s="6" t="str">
        <f t="shared" si="4"/>
        <v>Week 17</v>
      </c>
      <c r="R2569" s="6" t="str">
        <f t="shared" si="5"/>
        <v>2024Round 3</v>
      </c>
      <c r="S2569" s="6">
        <f>IFERROR(__xludf.DUMMYFUNCTION("rank(J2569,FILTER(J:J,R:R=R2569))"),4.0)</f>
        <v>4</v>
      </c>
      <c r="T2569" s="6">
        <f t="shared" si="6"/>
        <v>8</v>
      </c>
      <c r="U2569" s="6">
        <f t="shared" si="7"/>
        <v>4</v>
      </c>
      <c r="V2569" s="42">
        <f>averageif(AllData!A:A,B2569,AllData!R:R)/vlookup(B2569,AllData!A:O,15,0)</f>
        <v>94.42488095</v>
      </c>
      <c r="W2569" s="6"/>
    </row>
    <row r="2570" ht="14.25" customHeight="1">
      <c r="A2570" s="6" t="str">
        <f t="shared" si="28"/>
        <v>2024Hudspeath1</v>
      </c>
      <c r="B2570" s="59">
        <v>2024.0</v>
      </c>
      <c r="C2570" s="13" t="s">
        <v>39</v>
      </c>
      <c r="D2570" s="13" t="s">
        <v>129</v>
      </c>
      <c r="E2570" s="34"/>
      <c r="F2570" s="6"/>
      <c r="H2570" s="6"/>
      <c r="I2570" s="35" t="str">
        <f>IFERROR(IFERROR(IFERROR(VLOOKUP(B2570&amp;C2570&amp;Q2570,'New Weekly Paste'!A:M,10,0),VLOOKUP(B2570&amp;C2570&amp;Q2570,'New Weekly Paste'!B:O,6,0)),""),"")</f>
        <v>Rooney/Jackson</v>
      </c>
      <c r="J2570" s="259">
        <f>IFERROR(IFERROR(VLOOKUP(B2570&amp;C2570&amp;Q2570,'New Weekly Paste'!A:M,8,0),VLOOKUP(B2570&amp;C2570&amp;Q2570,'New Weekly Paste'!B:O,10,0)),0)</f>
        <v>114.86</v>
      </c>
      <c r="K2570" s="259">
        <f>IFERROR(IFERROR(VLOOKUP(B2570&amp;I2570&amp;Q2570,'New Weekly Paste'!A:M,8,0),VLOOKUP(B2570&amp;I2570&amp;Q2570,'New Weekly Paste'!B:O,10,0)),0)</f>
        <v>86.94</v>
      </c>
      <c r="L2570" s="239">
        <f t="shared" si="25"/>
        <v>1</v>
      </c>
      <c r="M2570" s="36" t="str">
        <f t="shared" si="3"/>
        <v>Regular Season</v>
      </c>
      <c r="N2570" s="239" t="str">
        <f t="shared" si="26"/>
        <v>Rooney/Jackson</v>
      </c>
      <c r="O2570" s="6">
        <f>VLOOKUP(D2570,'Mapped Opponent'!$G$4:$H$22,2,0)</f>
        <v>1</v>
      </c>
      <c r="P2570" s="6"/>
      <c r="Q2570" s="6" t="str">
        <f t="shared" si="4"/>
        <v>Week 1</v>
      </c>
      <c r="R2570" s="6" t="str">
        <f t="shared" si="5"/>
        <v>2024Week 1</v>
      </c>
      <c r="S2570" s="6">
        <f>IFERROR(__xludf.DUMMYFUNCTION("rank(J2570,FILTER(J:J,R:R=R2570))"),2.0)</f>
        <v>2</v>
      </c>
      <c r="T2570" s="6">
        <f t="shared" si="6"/>
        <v>10</v>
      </c>
      <c r="U2570" s="6">
        <f t="shared" si="7"/>
        <v>2</v>
      </c>
      <c r="V2570" s="42">
        <f>averageif(AllData!A:A,B2570,AllData!R:R)/vlookup(B2570,AllData!A:O,15,0)</f>
        <v>94.42488095</v>
      </c>
      <c r="W2570" s="6"/>
    </row>
    <row r="2571" ht="14.25" customHeight="1">
      <c r="A2571" s="6" t="str">
        <f t="shared" si="28"/>
        <v>2024Salty1</v>
      </c>
      <c r="B2571" s="59">
        <v>2024.0</v>
      </c>
      <c r="C2571" s="13" t="s">
        <v>76</v>
      </c>
      <c r="D2571" s="13" t="s">
        <v>129</v>
      </c>
      <c r="E2571" s="34"/>
      <c r="F2571" s="6"/>
      <c r="H2571" s="6"/>
      <c r="I2571" s="35" t="str">
        <f>IFERROR(IFERROR(IFERROR(VLOOKUP(B2571&amp;C2571&amp;Q2571,'New Weekly Paste'!A:M,10,0),VLOOKUP(B2571&amp;C2571&amp;Q2571,'New Weekly Paste'!B:O,6,0)),""),"")</f>
        <v>Tayski</v>
      </c>
      <c r="J2571" s="259">
        <f>IFERROR(IFERROR(VLOOKUP(B2571&amp;C2571&amp;Q2571,'New Weekly Paste'!A:M,8,0),VLOOKUP(B2571&amp;C2571&amp;Q2571,'New Weekly Paste'!B:O,10,0)),0)</f>
        <v>87.52</v>
      </c>
      <c r="K2571" s="259">
        <f>IFERROR(IFERROR(VLOOKUP(B2571&amp;I2571&amp;Q2571,'New Weekly Paste'!A:M,8,0),VLOOKUP(B2571&amp;I2571&amp;Q2571,'New Weekly Paste'!B:O,10,0)),0)</f>
        <v>120.28</v>
      </c>
      <c r="L2571" s="239">
        <f t="shared" si="25"/>
        <v>0</v>
      </c>
      <c r="M2571" s="36" t="str">
        <f t="shared" si="3"/>
        <v>Regular Season</v>
      </c>
      <c r="N2571" s="239" t="str">
        <f t="shared" si="26"/>
        <v>Tayski</v>
      </c>
      <c r="O2571" s="6">
        <f>VLOOKUP(D2571,'Mapped Opponent'!$G$4:$H$22,2,0)</f>
        <v>1</v>
      </c>
      <c r="P2571" s="6"/>
      <c r="Q2571" s="6" t="str">
        <f t="shared" si="4"/>
        <v>Week 1</v>
      </c>
      <c r="R2571" s="6" t="str">
        <f t="shared" si="5"/>
        <v>2024Week 1</v>
      </c>
      <c r="S2571" s="6">
        <f>IFERROR(__xludf.DUMMYFUNCTION("rank(J2571,FILTER(J:J,R:R=R2571))"),4.0)</f>
        <v>4</v>
      </c>
      <c r="T2571" s="6">
        <f t="shared" si="6"/>
        <v>8</v>
      </c>
      <c r="U2571" s="6">
        <f t="shared" si="7"/>
        <v>4</v>
      </c>
      <c r="V2571" s="42">
        <f>averageif(AllData!A:A,B2571,AllData!R:R)/vlookup(B2571,AllData!A:O,15,0)</f>
        <v>94.42488095</v>
      </c>
      <c r="W2571" s="6"/>
    </row>
    <row r="2572" ht="14.25" customHeight="1">
      <c r="A2572" s="6" t="str">
        <f t="shared" si="28"/>
        <v>2024Ewert1</v>
      </c>
      <c r="B2572" s="59">
        <v>2024.0</v>
      </c>
      <c r="C2572" s="13" t="s">
        <v>108</v>
      </c>
      <c r="D2572" s="13" t="s">
        <v>129</v>
      </c>
      <c r="E2572" s="34"/>
      <c r="F2572" s="6"/>
      <c r="H2572" s="6"/>
      <c r="I2572" s="35" t="str">
        <f>IFERROR(IFERROR(IFERROR(VLOOKUP(B2572&amp;C2572&amp;Q2572,'New Weekly Paste'!A:M,10,0),VLOOKUP(B2572&amp;C2572&amp;Q2572,'New Weekly Paste'!B:O,6,0)),""),"")</f>
        <v>KnardDawg</v>
      </c>
      <c r="J2572" s="259">
        <f>IFERROR(IFERROR(VLOOKUP(B2572&amp;C2572&amp;Q2572,'New Weekly Paste'!A:M,8,0),VLOOKUP(B2572&amp;C2572&amp;Q2572,'New Weekly Paste'!B:O,10,0)),0)</f>
        <v>81.08</v>
      </c>
      <c r="K2572" s="259">
        <f>IFERROR(IFERROR(VLOOKUP(B2572&amp;I2572&amp;Q2572,'New Weekly Paste'!A:M,8,0),VLOOKUP(B2572&amp;I2572&amp;Q2572,'New Weekly Paste'!B:O,10,0)),0)</f>
        <v>84.32</v>
      </c>
      <c r="L2572" s="239">
        <f t="shared" si="25"/>
        <v>0</v>
      </c>
      <c r="M2572" s="36" t="str">
        <f t="shared" si="3"/>
        <v>Regular Season</v>
      </c>
      <c r="N2572" s="239" t="str">
        <f t="shared" si="26"/>
        <v>KnardDawg</v>
      </c>
      <c r="O2572" s="6">
        <f>VLOOKUP(D2572,'Mapped Opponent'!$G$4:$H$22,2,0)</f>
        <v>1</v>
      </c>
      <c r="P2572" s="6"/>
      <c r="Q2572" s="6" t="str">
        <f t="shared" si="4"/>
        <v>Week 1</v>
      </c>
      <c r="R2572" s="6" t="str">
        <f t="shared" si="5"/>
        <v>2024Week 1</v>
      </c>
      <c r="S2572" s="6">
        <f>IFERROR(__xludf.DUMMYFUNCTION("rank(J2572,FILTER(J:J,R:R=R2572))"),10.0)</f>
        <v>10</v>
      </c>
      <c r="T2572" s="6">
        <f t="shared" si="6"/>
        <v>2</v>
      </c>
      <c r="U2572" s="6">
        <f t="shared" si="7"/>
        <v>10</v>
      </c>
      <c r="V2572" s="42">
        <f>averageif(AllData!A:A,B2572,AllData!R:R)/vlookup(B2572,AllData!A:O,15,0)</f>
        <v>94.42488095</v>
      </c>
      <c r="W2572" s="6"/>
    </row>
    <row r="2573" ht="14.25" customHeight="1">
      <c r="A2573" s="6" t="str">
        <f t="shared" si="28"/>
        <v>2024Shep1</v>
      </c>
      <c r="B2573" s="59">
        <v>2024.0</v>
      </c>
      <c r="C2573" s="13" t="s">
        <v>89</v>
      </c>
      <c r="D2573" s="13" t="s">
        <v>129</v>
      </c>
      <c r="E2573" s="34"/>
      <c r="F2573" s="6"/>
      <c r="H2573" s="6"/>
      <c r="I2573" s="35" t="str">
        <f>IFERROR(IFERROR(IFERROR(VLOOKUP(B2573&amp;C2573&amp;Q2573,'New Weekly Paste'!A:M,10,0),VLOOKUP(B2573&amp;C2573&amp;Q2573,'New Weekly Paste'!B:O,6,0)),""),"")</f>
        <v>Riley</v>
      </c>
      <c r="J2573" s="259">
        <f>IFERROR(IFERROR(VLOOKUP(B2573&amp;C2573&amp;Q2573,'New Weekly Paste'!A:M,8,0),VLOOKUP(B2573&amp;C2573&amp;Q2573,'New Weekly Paste'!B:O,10,0)),0)</f>
        <v>82.66</v>
      </c>
      <c r="K2573" s="259">
        <f>IFERROR(IFERROR(VLOOKUP(B2573&amp;I2573&amp;Q2573,'New Weekly Paste'!A:M,8,0),VLOOKUP(B2573&amp;I2573&amp;Q2573,'New Weekly Paste'!B:O,10,0)),0)</f>
        <v>87.08</v>
      </c>
      <c r="L2573" s="239">
        <f t="shared" si="25"/>
        <v>0</v>
      </c>
      <c r="M2573" s="36" t="str">
        <f t="shared" si="3"/>
        <v>Regular Season</v>
      </c>
      <c r="N2573" s="239" t="str">
        <f t="shared" si="26"/>
        <v>Riley</v>
      </c>
      <c r="O2573" s="6">
        <f>VLOOKUP(D2573,'Mapped Opponent'!$G$4:$H$22,2,0)</f>
        <v>1</v>
      </c>
      <c r="P2573" s="6"/>
      <c r="Q2573" s="6" t="str">
        <f t="shared" si="4"/>
        <v>Week 1</v>
      </c>
      <c r="R2573" s="6" t="str">
        <f t="shared" si="5"/>
        <v>2024Week 1</v>
      </c>
      <c r="S2573" s="6">
        <f>IFERROR(__xludf.DUMMYFUNCTION("rank(J2573,FILTER(J:J,R:R=R2573))"),8.0)</f>
        <v>8</v>
      </c>
      <c r="T2573" s="6">
        <f t="shared" si="6"/>
        <v>4</v>
      </c>
      <c r="U2573" s="6">
        <f t="shared" si="7"/>
        <v>8</v>
      </c>
      <c r="V2573" s="42">
        <f>averageif(AllData!A:A,B2573,AllData!R:R)/vlookup(B2573,AllData!A:O,15,0)</f>
        <v>94.42488095</v>
      </c>
      <c r="W2573" s="6"/>
    </row>
    <row r="2574" ht="14.25" customHeight="1">
      <c r="A2574" s="6" t="str">
        <f t="shared" si="28"/>
        <v>2024Riley1</v>
      </c>
      <c r="B2574" s="59">
        <v>2024.0</v>
      </c>
      <c r="C2574" s="13" t="s">
        <v>67</v>
      </c>
      <c r="D2574" s="13" t="s">
        <v>129</v>
      </c>
      <c r="E2574" s="34"/>
      <c r="F2574" s="6"/>
      <c r="H2574" s="6"/>
      <c r="I2574" s="35" t="str">
        <f>IFERROR(IFERROR(IFERROR(VLOOKUP(B2574&amp;C2574&amp;Q2574,'New Weekly Paste'!A:M,10,0),VLOOKUP(B2574&amp;C2574&amp;Q2574,'New Weekly Paste'!B:O,6,0)),""),"")</f>
        <v>Shep</v>
      </c>
      <c r="J2574" s="259">
        <f>IFERROR(IFERROR(VLOOKUP(B2574&amp;C2574&amp;Q2574,'New Weekly Paste'!A:M,8,0),VLOOKUP(B2574&amp;C2574&amp;Q2574,'New Weekly Paste'!B:O,10,0)),0)</f>
        <v>87.08</v>
      </c>
      <c r="K2574" s="259">
        <f>IFERROR(IFERROR(VLOOKUP(B2574&amp;I2574&amp;Q2574,'New Weekly Paste'!A:M,8,0),VLOOKUP(B2574&amp;I2574&amp;Q2574,'New Weekly Paste'!B:O,10,0)),0)</f>
        <v>82.66</v>
      </c>
      <c r="L2574" s="239">
        <f t="shared" si="25"/>
        <v>1</v>
      </c>
      <c r="M2574" s="36" t="str">
        <f t="shared" si="3"/>
        <v>Regular Season</v>
      </c>
      <c r="N2574" s="239" t="str">
        <f t="shared" si="26"/>
        <v>Shep</v>
      </c>
      <c r="O2574" s="6">
        <f>VLOOKUP(D2574,'Mapped Opponent'!$G$4:$H$22,2,0)</f>
        <v>1</v>
      </c>
      <c r="P2574" s="6"/>
      <c r="Q2574" s="6" t="str">
        <f t="shared" si="4"/>
        <v>Week 1</v>
      </c>
      <c r="R2574" s="6" t="str">
        <f t="shared" si="5"/>
        <v>2024Week 1</v>
      </c>
      <c r="S2574" s="6">
        <f>IFERROR(__xludf.DUMMYFUNCTION("rank(J2574,FILTER(J:J,R:R=R2574))"),5.0)</f>
        <v>5</v>
      </c>
      <c r="T2574" s="6">
        <f t="shared" si="6"/>
        <v>7</v>
      </c>
      <c r="U2574" s="6">
        <f t="shared" si="7"/>
        <v>5</v>
      </c>
      <c r="V2574" s="42">
        <f>averageif(AllData!A:A,B2574,AllData!R:R)/vlookup(B2574,AllData!A:O,15,0)</f>
        <v>94.42488095</v>
      </c>
      <c r="W2574" s="6"/>
    </row>
    <row r="2575" ht="14.25" customHeight="1">
      <c r="A2575" s="6" t="str">
        <f t="shared" si="28"/>
        <v>2024Rooney/Jackson1</v>
      </c>
      <c r="B2575" s="59">
        <v>2024.0</v>
      </c>
      <c r="C2575" s="13" t="s">
        <v>57</v>
      </c>
      <c r="D2575" s="13" t="s">
        <v>129</v>
      </c>
      <c r="E2575" s="34"/>
      <c r="F2575" s="6"/>
      <c r="H2575" s="6"/>
      <c r="I2575" s="35" t="str">
        <f>IFERROR(IFERROR(IFERROR(VLOOKUP(B2575&amp;C2575&amp;Q2575,'New Weekly Paste'!A:M,10,0),VLOOKUP(B2575&amp;C2575&amp;Q2575,'New Weekly Paste'!B:O,6,0)),""),"")</f>
        <v>Hudspeath</v>
      </c>
      <c r="J2575" s="259">
        <f>IFERROR(IFERROR(VLOOKUP(B2575&amp;C2575&amp;Q2575,'New Weekly Paste'!A:M,8,0),VLOOKUP(B2575&amp;C2575&amp;Q2575,'New Weekly Paste'!B:O,10,0)),0)</f>
        <v>86.94</v>
      </c>
      <c r="K2575" s="259">
        <f>IFERROR(IFERROR(VLOOKUP(B2575&amp;I2575&amp;Q2575,'New Weekly Paste'!A:M,8,0),VLOOKUP(B2575&amp;I2575&amp;Q2575,'New Weekly Paste'!B:O,10,0)),0)</f>
        <v>114.86</v>
      </c>
      <c r="L2575" s="239">
        <f t="shared" si="25"/>
        <v>0</v>
      </c>
      <c r="M2575" s="36" t="str">
        <f t="shared" si="3"/>
        <v>Regular Season</v>
      </c>
      <c r="N2575" s="239" t="str">
        <f t="shared" si="26"/>
        <v>Hudspeath</v>
      </c>
      <c r="O2575" s="6">
        <f>VLOOKUP(D2575,'Mapped Opponent'!$G$4:$H$22,2,0)</f>
        <v>1</v>
      </c>
      <c r="P2575" s="6"/>
      <c r="Q2575" s="6" t="str">
        <f t="shared" si="4"/>
        <v>Week 1</v>
      </c>
      <c r="R2575" s="6" t="str">
        <f t="shared" si="5"/>
        <v>2024Week 1</v>
      </c>
      <c r="S2575" s="6">
        <f>IFERROR(__xludf.DUMMYFUNCTION("rank(J2575,FILTER(J:J,R:R=R2575))"),6.0)</f>
        <v>6</v>
      </c>
      <c r="T2575" s="6">
        <f t="shared" si="6"/>
        <v>6</v>
      </c>
      <c r="U2575" s="6">
        <f t="shared" si="7"/>
        <v>6</v>
      </c>
      <c r="V2575" s="42">
        <f>averageif(AllData!A:A,B2575,AllData!R:R)/vlookup(B2575,AllData!A:O,15,0)</f>
        <v>94.42488095</v>
      </c>
      <c r="W2575" s="6"/>
    </row>
    <row r="2576" ht="14.25" customHeight="1">
      <c r="A2576" s="6" t="str">
        <f t="shared" si="28"/>
        <v>2024Buser1</v>
      </c>
      <c r="B2576" s="59">
        <v>2024.0</v>
      </c>
      <c r="C2576" s="13" t="s">
        <v>47</v>
      </c>
      <c r="D2576" s="13" t="s">
        <v>129</v>
      </c>
      <c r="E2576" s="34"/>
      <c r="F2576" s="6"/>
      <c r="H2576" s="6"/>
      <c r="I2576" s="35" t="str">
        <f>IFERROR(IFERROR(IFERROR(VLOOKUP(B2576&amp;C2576&amp;Q2576,'New Weekly Paste'!A:M,10,0),VLOOKUP(B2576&amp;C2576&amp;Q2576,'New Weekly Paste'!B:O,6,0)),""),"")</f>
        <v>Pierson</v>
      </c>
      <c r="J2576" s="259">
        <f>IFERROR(IFERROR(VLOOKUP(B2576&amp;C2576&amp;Q2576,'New Weekly Paste'!A:M,8,0),VLOOKUP(B2576&amp;C2576&amp;Q2576,'New Weekly Paste'!B:O,10,0)),0)</f>
        <v>101.7</v>
      </c>
      <c r="K2576" s="259">
        <f>IFERROR(IFERROR(VLOOKUP(B2576&amp;I2576&amp;Q2576,'New Weekly Paste'!A:M,8,0),VLOOKUP(B2576&amp;I2576&amp;Q2576,'New Weekly Paste'!B:O,10,0)),0)</f>
        <v>81.22</v>
      </c>
      <c r="L2576" s="239">
        <f t="shared" si="25"/>
        <v>1</v>
      </c>
      <c r="M2576" s="36" t="str">
        <f t="shared" si="3"/>
        <v>Regular Season</v>
      </c>
      <c r="N2576" s="239" t="str">
        <f t="shared" si="26"/>
        <v>Pierson</v>
      </c>
      <c r="O2576" s="6">
        <f>VLOOKUP(D2576,'Mapped Opponent'!$G$4:$H$22,2,0)</f>
        <v>1</v>
      </c>
      <c r="P2576" s="6"/>
      <c r="Q2576" s="6" t="str">
        <f t="shared" si="4"/>
        <v>Week 1</v>
      </c>
      <c r="R2576" s="6" t="str">
        <f t="shared" si="5"/>
        <v>2024Week 1</v>
      </c>
      <c r="S2576" s="6">
        <f>IFERROR(__xludf.DUMMYFUNCTION("rank(J2576,FILTER(J:J,R:R=R2576))"),3.0)</f>
        <v>3</v>
      </c>
      <c r="T2576" s="6">
        <f t="shared" si="6"/>
        <v>9</v>
      </c>
      <c r="U2576" s="6">
        <f t="shared" si="7"/>
        <v>3</v>
      </c>
      <c r="V2576" s="42">
        <f>averageif(AllData!A:A,B2576,AllData!R:R)/vlookup(B2576,AllData!A:O,15,0)</f>
        <v>94.42488095</v>
      </c>
      <c r="W2576" s="6"/>
    </row>
    <row r="2577" ht="14.25" customHeight="1">
      <c r="A2577" s="6" t="str">
        <f t="shared" si="28"/>
        <v>2024Pierson1</v>
      </c>
      <c r="B2577" s="59">
        <v>2024.0</v>
      </c>
      <c r="C2577" s="13" t="s">
        <v>92</v>
      </c>
      <c r="D2577" s="13" t="s">
        <v>129</v>
      </c>
      <c r="E2577" s="34"/>
      <c r="F2577" s="6"/>
      <c r="H2577" s="6"/>
      <c r="I2577" s="35" t="str">
        <f>IFERROR(IFERROR(IFERROR(VLOOKUP(B2577&amp;C2577&amp;Q2577,'New Weekly Paste'!A:M,10,0),VLOOKUP(B2577&amp;C2577&amp;Q2577,'New Weekly Paste'!B:O,6,0)),""),"")</f>
        <v>Buser</v>
      </c>
      <c r="J2577" s="259">
        <f>IFERROR(IFERROR(VLOOKUP(B2577&amp;C2577&amp;Q2577,'New Weekly Paste'!A:M,8,0),VLOOKUP(B2577&amp;C2577&amp;Q2577,'New Weekly Paste'!B:O,10,0)),0)</f>
        <v>81.22</v>
      </c>
      <c r="K2577" s="259">
        <f>IFERROR(IFERROR(VLOOKUP(B2577&amp;I2577&amp;Q2577,'New Weekly Paste'!A:M,8,0),VLOOKUP(B2577&amp;I2577&amp;Q2577,'New Weekly Paste'!B:O,10,0)),0)</f>
        <v>101.7</v>
      </c>
      <c r="L2577" s="239">
        <f t="shared" si="25"/>
        <v>0</v>
      </c>
      <c r="M2577" s="36" t="str">
        <f t="shared" si="3"/>
        <v>Regular Season</v>
      </c>
      <c r="N2577" s="239" t="str">
        <f t="shared" si="26"/>
        <v>Buser</v>
      </c>
      <c r="O2577" s="6">
        <f>VLOOKUP(D2577,'Mapped Opponent'!$G$4:$H$22,2,0)</f>
        <v>1</v>
      </c>
      <c r="P2577" s="6"/>
      <c r="Q2577" s="6" t="str">
        <f t="shared" si="4"/>
        <v>Week 1</v>
      </c>
      <c r="R2577" s="6" t="str">
        <f t="shared" si="5"/>
        <v>2024Week 1</v>
      </c>
      <c r="S2577" s="6">
        <f>IFERROR(__xludf.DUMMYFUNCTION("rank(J2577,FILTER(J:J,R:R=R2577))"),9.0)</f>
        <v>9</v>
      </c>
      <c r="T2577" s="6">
        <f t="shared" si="6"/>
        <v>3</v>
      </c>
      <c r="U2577" s="6">
        <f t="shared" si="7"/>
        <v>9</v>
      </c>
      <c r="V2577" s="42">
        <f>averageif(AllData!A:A,B2577,AllData!R:R)/vlookup(B2577,AllData!A:O,15,0)</f>
        <v>94.42488095</v>
      </c>
      <c r="W2577" s="6"/>
    </row>
    <row r="2578" ht="14.25" customHeight="1">
      <c r="A2578" s="6" t="str">
        <f t="shared" si="28"/>
        <v>2024Cock1</v>
      </c>
      <c r="B2578" s="59">
        <v>2024.0</v>
      </c>
      <c r="C2578" s="13" t="s">
        <v>72</v>
      </c>
      <c r="D2578" s="13" t="s">
        <v>129</v>
      </c>
      <c r="E2578" s="34"/>
      <c r="F2578" s="6"/>
      <c r="H2578" s="6"/>
      <c r="I2578" s="35" t="str">
        <f>IFERROR(IFERROR(IFERROR(VLOOKUP(B2578&amp;C2578&amp;Q2578,'New Weekly Paste'!A:M,10,0),VLOOKUP(B2578&amp;C2578&amp;Q2578,'New Weekly Paste'!B:O,6,0)),""),"")</f>
        <v>T-How</v>
      </c>
      <c r="J2578" s="259">
        <f>IFERROR(IFERROR(VLOOKUP(B2578&amp;C2578&amp;Q2578,'New Weekly Paste'!A:M,8,0),VLOOKUP(B2578&amp;C2578&amp;Q2578,'New Weekly Paste'!B:O,10,0)),0)</f>
        <v>70.84</v>
      </c>
      <c r="K2578" s="259">
        <f>IFERROR(IFERROR(VLOOKUP(B2578&amp;I2578&amp;Q2578,'New Weekly Paste'!A:M,8,0),VLOOKUP(B2578&amp;I2578&amp;Q2578,'New Weekly Paste'!B:O,10,0)),0)</f>
        <v>73.82</v>
      </c>
      <c r="L2578" s="239">
        <f t="shared" si="25"/>
        <v>0</v>
      </c>
      <c r="M2578" s="36" t="str">
        <f t="shared" si="3"/>
        <v>Regular Season</v>
      </c>
      <c r="N2578" s="239" t="str">
        <f t="shared" si="26"/>
        <v>T-How</v>
      </c>
      <c r="O2578" s="6">
        <f>VLOOKUP(D2578,'Mapped Opponent'!$G$4:$H$22,2,0)</f>
        <v>1</v>
      </c>
      <c r="P2578" s="6"/>
      <c r="Q2578" s="6" t="str">
        <f t="shared" si="4"/>
        <v>Week 1</v>
      </c>
      <c r="R2578" s="6" t="str">
        <f t="shared" si="5"/>
        <v>2024Week 1</v>
      </c>
      <c r="S2578" s="6">
        <f>IFERROR(__xludf.DUMMYFUNCTION("rank(J2578,FILTER(J:J,R:R=R2578))"),12.0)</f>
        <v>12</v>
      </c>
      <c r="T2578" s="6">
        <f t="shared" si="6"/>
        <v>0</v>
      </c>
      <c r="U2578" s="6">
        <f t="shared" si="7"/>
        <v>12</v>
      </c>
      <c r="V2578" s="42">
        <f>averageif(AllData!A:A,B2578,AllData!R:R)/vlookup(B2578,AllData!A:O,15,0)</f>
        <v>94.42488095</v>
      </c>
      <c r="W2578" s="6"/>
    </row>
    <row r="2579" ht="14.25" customHeight="1">
      <c r="A2579" s="6" t="str">
        <f t="shared" si="28"/>
        <v>2024Tayski1</v>
      </c>
      <c r="B2579" s="59">
        <v>2024.0</v>
      </c>
      <c r="C2579" s="13" t="s">
        <v>52</v>
      </c>
      <c r="D2579" s="13" t="s">
        <v>129</v>
      </c>
      <c r="E2579" s="34"/>
      <c r="F2579" s="6"/>
      <c r="H2579" s="6"/>
      <c r="I2579" s="35" t="str">
        <f>IFERROR(IFERROR(IFERROR(VLOOKUP(B2579&amp;C2579&amp;Q2579,'New Weekly Paste'!A:M,10,0),VLOOKUP(B2579&amp;C2579&amp;Q2579,'New Weekly Paste'!B:O,6,0)),""),"")</f>
        <v>Salty</v>
      </c>
      <c r="J2579" s="259">
        <f>IFERROR(IFERROR(VLOOKUP(B2579&amp;C2579&amp;Q2579,'New Weekly Paste'!A:M,8,0),VLOOKUP(B2579&amp;C2579&amp;Q2579,'New Weekly Paste'!B:O,10,0)),0)</f>
        <v>120.28</v>
      </c>
      <c r="K2579" s="259">
        <f>IFERROR(IFERROR(VLOOKUP(B2579&amp;I2579&amp;Q2579,'New Weekly Paste'!A:M,8,0),VLOOKUP(B2579&amp;I2579&amp;Q2579,'New Weekly Paste'!B:O,10,0)),0)</f>
        <v>87.52</v>
      </c>
      <c r="L2579" s="239">
        <f t="shared" si="25"/>
        <v>1</v>
      </c>
      <c r="M2579" s="36" t="str">
        <f t="shared" si="3"/>
        <v>Regular Season</v>
      </c>
      <c r="N2579" s="239" t="str">
        <f t="shared" si="26"/>
        <v>Salty</v>
      </c>
      <c r="O2579" s="6">
        <f>VLOOKUP(D2579,'Mapped Opponent'!$G$4:$H$22,2,0)</f>
        <v>1</v>
      </c>
      <c r="P2579" s="6"/>
      <c r="Q2579" s="6" t="str">
        <f t="shared" si="4"/>
        <v>Week 1</v>
      </c>
      <c r="R2579" s="6" t="str">
        <f t="shared" si="5"/>
        <v>2024Week 1</v>
      </c>
      <c r="S2579" s="6">
        <f>IFERROR(__xludf.DUMMYFUNCTION("rank(J2579,FILTER(J:J,R:R=R2579))"),1.0)</f>
        <v>1</v>
      </c>
      <c r="T2579" s="6">
        <f t="shared" si="6"/>
        <v>11</v>
      </c>
      <c r="U2579" s="6">
        <f t="shared" si="7"/>
        <v>1</v>
      </c>
      <c r="V2579" s="42">
        <f>averageif(AllData!A:A,B2579,AllData!R:R)/vlookup(B2579,AllData!A:O,15,0)</f>
        <v>94.42488095</v>
      </c>
      <c r="W2579" s="6"/>
    </row>
    <row r="2580" ht="14.25" customHeight="1">
      <c r="A2580" s="6" t="str">
        <f t="shared" si="28"/>
        <v>2024KnardDawg1</v>
      </c>
      <c r="B2580" s="59">
        <v>2024.0</v>
      </c>
      <c r="C2580" s="13" t="s">
        <v>86</v>
      </c>
      <c r="D2580" s="13" t="s">
        <v>129</v>
      </c>
      <c r="E2580" s="34"/>
      <c r="F2580" s="6"/>
      <c r="H2580" s="6"/>
      <c r="I2580" s="35" t="str">
        <f>IFERROR(IFERROR(IFERROR(VLOOKUP(B2580&amp;C2580&amp;Q2580,'New Weekly Paste'!A:M,10,0),VLOOKUP(B2580&amp;C2580&amp;Q2580,'New Weekly Paste'!B:O,6,0)),""),"")</f>
        <v>Ewert</v>
      </c>
      <c r="J2580" s="259">
        <f>IFERROR(IFERROR(VLOOKUP(B2580&amp;C2580&amp;Q2580,'New Weekly Paste'!A:M,8,0),VLOOKUP(B2580&amp;C2580&amp;Q2580,'New Weekly Paste'!B:O,10,0)),0)</f>
        <v>84.32</v>
      </c>
      <c r="K2580" s="259">
        <f>IFERROR(IFERROR(VLOOKUP(B2580&amp;I2580&amp;Q2580,'New Weekly Paste'!A:M,8,0),VLOOKUP(B2580&amp;I2580&amp;Q2580,'New Weekly Paste'!B:O,10,0)),0)</f>
        <v>81.08</v>
      </c>
      <c r="L2580" s="239">
        <f t="shared" si="25"/>
        <v>1</v>
      </c>
      <c r="M2580" s="36" t="str">
        <f t="shared" si="3"/>
        <v>Regular Season</v>
      </c>
      <c r="N2580" s="239" t="str">
        <f t="shared" si="26"/>
        <v>Ewert</v>
      </c>
      <c r="O2580" s="6">
        <f>VLOOKUP(D2580,'Mapped Opponent'!$G$4:$H$22,2,0)</f>
        <v>1</v>
      </c>
      <c r="P2580" s="6"/>
      <c r="Q2580" s="6" t="str">
        <f t="shared" si="4"/>
        <v>Week 1</v>
      </c>
      <c r="R2580" s="6" t="str">
        <f t="shared" si="5"/>
        <v>2024Week 1</v>
      </c>
      <c r="S2580" s="6">
        <f>IFERROR(__xludf.DUMMYFUNCTION("rank(J2580,FILTER(J:J,R:R=R2580))"),7.0)</f>
        <v>7</v>
      </c>
      <c r="T2580" s="6">
        <f t="shared" si="6"/>
        <v>5</v>
      </c>
      <c r="U2580" s="6">
        <f t="shared" si="7"/>
        <v>7</v>
      </c>
      <c r="V2580" s="42">
        <f>averageif(AllData!A:A,B2580,AllData!R:R)/vlookup(B2580,AllData!A:O,15,0)</f>
        <v>94.42488095</v>
      </c>
      <c r="W2580" s="6"/>
    </row>
    <row r="2581" ht="14.25" customHeight="1">
      <c r="A2581" s="6" t="str">
        <f t="shared" si="28"/>
        <v>2024T-How1</v>
      </c>
      <c r="B2581" s="59">
        <v>2024.0</v>
      </c>
      <c r="C2581" s="13" t="s">
        <v>82</v>
      </c>
      <c r="D2581" s="13" t="s">
        <v>129</v>
      </c>
      <c r="E2581" s="34"/>
      <c r="F2581" s="6"/>
      <c r="H2581" s="6"/>
      <c r="I2581" s="35" t="str">
        <f>IFERROR(IFERROR(IFERROR(VLOOKUP(B2581&amp;C2581&amp;Q2581,'New Weekly Paste'!A:M,10,0),VLOOKUP(B2581&amp;C2581&amp;Q2581,'New Weekly Paste'!B:O,6,0)),""),"")</f>
        <v>Cock</v>
      </c>
      <c r="J2581" s="259">
        <f>IFERROR(IFERROR(VLOOKUP(B2581&amp;C2581&amp;Q2581,'New Weekly Paste'!A:M,8,0),VLOOKUP(B2581&amp;C2581&amp;Q2581,'New Weekly Paste'!B:O,10,0)),0)</f>
        <v>73.82</v>
      </c>
      <c r="K2581" s="259">
        <f>IFERROR(IFERROR(VLOOKUP(B2581&amp;I2581&amp;Q2581,'New Weekly Paste'!A:M,8,0),VLOOKUP(B2581&amp;I2581&amp;Q2581,'New Weekly Paste'!B:O,10,0)),0)</f>
        <v>70.84</v>
      </c>
      <c r="L2581" s="239">
        <f t="shared" si="25"/>
        <v>1</v>
      </c>
      <c r="M2581" s="36" t="str">
        <f t="shared" si="3"/>
        <v>Regular Season</v>
      </c>
      <c r="N2581" s="239" t="str">
        <f t="shared" si="26"/>
        <v>Cock</v>
      </c>
      <c r="O2581" s="6">
        <f>VLOOKUP(D2581,'Mapped Opponent'!$G$4:$H$22,2,0)</f>
        <v>1</v>
      </c>
      <c r="P2581" s="6"/>
      <c r="Q2581" s="6" t="str">
        <f t="shared" si="4"/>
        <v>Week 1</v>
      </c>
      <c r="R2581" s="6" t="str">
        <f t="shared" si="5"/>
        <v>2024Week 1</v>
      </c>
      <c r="S2581" s="6">
        <f>IFERROR(__xludf.DUMMYFUNCTION("rank(J2581,FILTER(J:J,R:R=R2581))"),11.0)</f>
        <v>11</v>
      </c>
      <c r="T2581" s="6">
        <f t="shared" si="6"/>
        <v>1</v>
      </c>
      <c r="U2581" s="6">
        <f t="shared" si="7"/>
        <v>11</v>
      </c>
      <c r="V2581" s="42">
        <f>averageif(AllData!A:A,B2581,AllData!R:R)/vlookup(B2581,AllData!A:O,15,0)</f>
        <v>94.42488095</v>
      </c>
      <c r="W2581" s="6"/>
    </row>
    <row r="2582" ht="14.25" customHeight="1">
      <c r="A2582" s="6" t="str">
        <f t="shared" si="28"/>
        <v>2024Hudspeath10</v>
      </c>
      <c r="B2582" s="59">
        <v>2024.0</v>
      </c>
      <c r="C2582" s="13" t="s">
        <v>39</v>
      </c>
      <c r="D2582" s="13" t="s">
        <v>149</v>
      </c>
      <c r="E2582" s="34"/>
      <c r="F2582" s="6"/>
      <c r="H2582" s="6"/>
      <c r="I2582" s="35" t="str">
        <f>IFERROR(IFERROR(IFERROR(VLOOKUP(B2582&amp;C2582&amp;Q2582,'New Weekly Paste'!A:M,10,0),VLOOKUP(B2582&amp;C2582&amp;Q2582,'New Weekly Paste'!B:O,6,0)),""),"")</f>
        <v>Tayski</v>
      </c>
      <c r="J2582" s="259">
        <f>IFERROR(IFERROR(VLOOKUP(B2582&amp;C2582&amp;Q2582,'New Weekly Paste'!A:M,8,0),VLOOKUP(B2582&amp;C2582&amp;Q2582,'New Weekly Paste'!B:O,10,0)),0)</f>
        <v>64.14</v>
      </c>
      <c r="K2582" s="259">
        <f>IFERROR(IFERROR(VLOOKUP(B2582&amp;I2582&amp;Q2582,'New Weekly Paste'!A:M,8,0),VLOOKUP(B2582&amp;I2582&amp;Q2582,'New Weekly Paste'!B:O,10,0)),0)</f>
        <v>88.9</v>
      </c>
      <c r="L2582" s="239">
        <f t="shared" si="25"/>
        <v>0</v>
      </c>
      <c r="M2582" s="36" t="str">
        <f t="shared" si="3"/>
        <v>Regular Season</v>
      </c>
      <c r="N2582" s="239" t="str">
        <f t="shared" si="26"/>
        <v>Tayski</v>
      </c>
      <c r="O2582" s="6">
        <f>VLOOKUP(D2582,'Mapped Opponent'!$G$4:$H$22,2,0)</f>
        <v>10</v>
      </c>
      <c r="P2582" s="6"/>
      <c r="Q2582" s="6" t="str">
        <f t="shared" si="4"/>
        <v>Week 10</v>
      </c>
      <c r="R2582" s="6" t="str">
        <f t="shared" si="5"/>
        <v>2024Week 10</v>
      </c>
      <c r="S2582" s="6">
        <f>IFERROR(__xludf.DUMMYFUNCTION("rank(J2582,FILTER(J:J,R:R=R2582))"),11.0)</f>
        <v>11</v>
      </c>
      <c r="T2582" s="6">
        <f t="shared" si="6"/>
        <v>1</v>
      </c>
      <c r="U2582" s="6">
        <f t="shared" si="7"/>
        <v>11</v>
      </c>
      <c r="V2582" s="42">
        <f>averageif(AllData!A:A,B2582,AllData!R:R)/vlookup(B2582,AllData!A:O,15,0)</f>
        <v>94.42488095</v>
      </c>
      <c r="W2582" s="6"/>
    </row>
    <row r="2583" ht="14.25" customHeight="1">
      <c r="A2583" s="6" t="str">
        <f t="shared" si="28"/>
        <v>2024Salty10</v>
      </c>
      <c r="B2583" s="59">
        <v>2024.0</v>
      </c>
      <c r="C2583" s="13" t="s">
        <v>76</v>
      </c>
      <c r="D2583" s="13" t="s">
        <v>149</v>
      </c>
      <c r="E2583" s="34"/>
      <c r="F2583" s="6"/>
      <c r="H2583" s="6"/>
      <c r="I2583" s="35" t="str">
        <f>IFERROR(IFERROR(IFERROR(VLOOKUP(B2583&amp;C2583&amp;Q2583,'New Weekly Paste'!A:M,10,0),VLOOKUP(B2583&amp;C2583&amp;Q2583,'New Weekly Paste'!B:O,6,0)),""),"")</f>
        <v>Pierson</v>
      </c>
      <c r="J2583" s="259">
        <f>IFERROR(IFERROR(VLOOKUP(B2583&amp;C2583&amp;Q2583,'New Weekly Paste'!A:M,8,0),VLOOKUP(B2583&amp;C2583&amp;Q2583,'New Weekly Paste'!B:O,10,0)),0)</f>
        <v>87.5</v>
      </c>
      <c r="K2583" s="259">
        <f>IFERROR(IFERROR(VLOOKUP(B2583&amp;I2583&amp;Q2583,'New Weekly Paste'!A:M,8,0),VLOOKUP(B2583&amp;I2583&amp;Q2583,'New Weekly Paste'!B:O,10,0)),0)</f>
        <v>106.22</v>
      </c>
      <c r="L2583" s="239">
        <f t="shared" si="25"/>
        <v>0</v>
      </c>
      <c r="M2583" s="36" t="str">
        <f t="shared" si="3"/>
        <v>Regular Season</v>
      </c>
      <c r="N2583" s="239" t="str">
        <f t="shared" si="26"/>
        <v>Pierson</v>
      </c>
      <c r="O2583" s="6">
        <f>VLOOKUP(D2583,'Mapped Opponent'!$G$4:$H$22,2,0)</f>
        <v>10</v>
      </c>
      <c r="P2583" s="6"/>
      <c r="Q2583" s="6" t="str">
        <f t="shared" si="4"/>
        <v>Week 10</v>
      </c>
      <c r="R2583" s="6" t="str">
        <f t="shared" si="5"/>
        <v>2024Week 10</v>
      </c>
      <c r="S2583" s="6">
        <f>IFERROR(__xludf.DUMMYFUNCTION("rank(J2583,FILTER(J:J,R:R=R2583))"),6.0)</f>
        <v>6</v>
      </c>
      <c r="T2583" s="6">
        <f t="shared" si="6"/>
        <v>6</v>
      </c>
      <c r="U2583" s="6">
        <f t="shared" si="7"/>
        <v>6</v>
      </c>
      <c r="V2583" s="42">
        <f>averageif(AllData!A:A,B2583,AllData!R:R)/vlookup(B2583,AllData!A:O,15,0)</f>
        <v>94.42488095</v>
      </c>
      <c r="W2583" s="6"/>
    </row>
    <row r="2584" ht="14.25" customHeight="1">
      <c r="A2584" s="6" t="str">
        <f t="shared" si="28"/>
        <v>2024Ewert10</v>
      </c>
      <c r="B2584" s="59">
        <v>2024.0</v>
      </c>
      <c r="C2584" s="13" t="s">
        <v>108</v>
      </c>
      <c r="D2584" s="13" t="s">
        <v>149</v>
      </c>
      <c r="E2584" s="34"/>
      <c r="F2584" s="6"/>
      <c r="H2584" s="6"/>
      <c r="I2584" s="35" t="str">
        <f>IFERROR(IFERROR(IFERROR(VLOOKUP(B2584&amp;C2584&amp;Q2584,'New Weekly Paste'!A:M,10,0),VLOOKUP(B2584&amp;C2584&amp;Q2584,'New Weekly Paste'!B:O,6,0)),""),"")</f>
        <v>Rooney/Jackson</v>
      </c>
      <c r="J2584" s="259">
        <f>IFERROR(IFERROR(VLOOKUP(B2584&amp;C2584&amp;Q2584,'New Weekly Paste'!A:M,8,0),VLOOKUP(B2584&amp;C2584&amp;Q2584,'New Weekly Paste'!B:O,10,0)),0)</f>
        <v>86.76</v>
      </c>
      <c r="K2584" s="259">
        <f>IFERROR(IFERROR(VLOOKUP(B2584&amp;I2584&amp;Q2584,'New Weekly Paste'!A:M,8,0),VLOOKUP(B2584&amp;I2584&amp;Q2584,'New Weekly Paste'!B:O,10,0)),0)</f>
        <v>70.38</v>
      </c>
      <c r="L2584" s="239">
        <f t="shared" si="25"/>
        <v>1</v>
      </c>
      <c r="M2584" s="36" t="str">
        <f t="shared" si="3"/>
        <v>Regular Season</v>
      </c>
      <c r="N2584" s="239" t="str">
        <f t="shared" si="26"/>
        <v>Rooney/Jackson</v>
      </c>
      <c r="O2584" s="6">
        <f>VLOOKUP(D2584,'Mapped Opponent'!$G$4:$H$22,2,0)</f>
        <v>10</v>
      </c>
      <c r="P2584" s="6"/>
      <c r="Q2584" s="6" t="str">
        <f t="shared" si="4"/>
        <v>Week 10</v>
      </c>
      <c r="R2584" s="6" t="str">
        <f t="shared" si="5"/>
        <v>2024Week 10</v>
      </c>
      <c r="S2584" s="6">
        <f>IFERROR(__xludf.DUMMYFUNCTION("rank(J2584,FILTER(J:J,R:R=R2584))"),7.0)</f>
        <v>7</v>
      </c>
      <c r="T2584" s="6">
        <f t="shared" si="6"/>
        <v>5</v>
      </c>
      <c r="U2584" s="6">
        <f t="shared" si="7"/>
        <v>7</v>
      </c>
      <c r="V2584" s="42">
        <f>averageif(AllData!A:A,B2584,AllData!R:R)/vlookup(B2584,AllData!A:O,15,0)</f>
        <v>94.42488095</v>
      </c>
      <c r="W2584" s="6"/>
    </row>
    <row r="2585" ht="14.25" customHeight="1">
      <c r="A2585" s="6" t="str">
        <f t="shared" si="28"/>
        <v>2024Shep10</v>
      </c>
      <c r="B2585" s="59">
        <v>2024.0</v>
      </c>
      <c r="C2585" s="13" t="s">
        <v>89</v>
      </c>
      <c r="D2585" s="13" t="s">
        <v>149</v>
      </c>
      <c r="E2585" s="34"/>
      <c r="F2585" s="6"/>
      <c r="H2585" s="6"/>
      <c r="I2585" s="35" t="str">
        <f>IFERROR(IFERROR(IFERROR(VLOOKUP(B2585&amp;C2585&amp;Q2585,'New Weekly Paste'!A:M,10,0),VLOOKUP(B2585&amp;C2585&amp;Q2585,'New Weekly Paste'!B:O,6,0)),""),"")</f>
        <v>KnardDawg</v>
      </c>
      <c r="J2585" s="259">
        <f>IFERROR(IFERROR(VLOOKUP(B2585&amp;C2585&amp;Q2585,'New Weekly Paste'!A:M,8,0),VLOOKUP(B2585&amp;C2585&amp;Q2585,'New Weekly Paste'!B:O,10,0)),0)</f>
        <v>76.28</v>
      </c>
      <c r="K2585" s="259">
        <f>IFERROR(IFERROR(VLOOKUP(B2585&amp;I2585&amp;Q2585,'New Weekly Paste'!A:M,8,0),VLOOKUP(B2585&amp;I2585&amp;Q2585,'New Weekly Paste'!B:O,10,0)),0)</f>
        <v>51.94</v>
      </c>
      <c r="L2585" s="239">
        <f t="shared" si="25"/>
        <v>1</v>
      </c>
      <c r="M2585" s="36" t="str">
        <f t="shared" si="3"/>
        <v>Regular Season</v>
      </c>
      <c r="N2585" s="239" t="str">
        <f t="shared" si="26"/>
        <v>KnardDawg</v>
      </c>
      <c r="O2585" s="6">
        <f>VLOOKUP(D2585,'Mapped Opponent'!$G$4:$H$22,2,0)</f>
        <v>10</v>
      </c>
      <c r="P2585" s="6"/>
      <c r="Q2585" s="6" t="str">
        <f t="shared" si="4"/>
        <v>Week 10</v>
      </c>
      <c r="R2585" s="6" t="str">
        <f t="shared" si="5"/>
        <v>2024Week 10</v>
      </c>
      <c r="S2585" s="6">
        <f>IFERROR(__xludf.DUMMYFUNCTION("rank(J2585,FILTER(J:J,R:R=R2585))"),9.0)</f>
        <v>9</v>
      </c>
      <c r="T2585" s="6">
        <f t="shared" si="6"/>
        <v>3</v>
      </c>
      <c r="U2585" s="6">
        <f t="shared" si="7"/>
        <v>9</v>
      </c>
      <c r="V2585" s="42">
        <f>averageif(AllData!A:A,B2585,AllData!R:R)/vlookup(B2585,AllData!A:O,15,0)</f>
        <v>94.42488095</v>
      </c>
      <c r="W2585" s="6"/>
    </row>
    <row r="2586" ht="14.25" customHeight="1">
      <c r="A2586" s="6" t="str">
        <f t="shared" si="28"/>
        <v>2024Riley10</v>
      </c>
      <c r="B2586" s="59">
        <v>2024.0</v>
      </c>
      <c r="C2586" s="13" t="s">
        <v>67</v>
      </c>
      <c r="D2586" s="13" t="s">
        <v>149</v>
      </c>
      <c r="E2586" s="34"/>
      <c r="F2586" s="6"/>
      <c r="H2586" s="6"/>
      <c r="I2586" s="35" t="str">
        <f>IFERROR(IFERROR(IFERROR(VLOOKUP(B2586&amp;C2586&amp;Q2586,'New Weekly Paste'!A:M,10,0),VLOOKUP(B2586&amp;C2586&amp;Q2586,'New Weekly Paste'!B:O,6,0)),""),"")</f>
        <v>Cock</v>
      </c>
      <c r="J2586" s="259">
        <f>IFERROR(IFERROR(VLOOKUP(B2586&amp;C2586&amp;Q2586,'New Weekly Paste'!A:M,8,0),VLOOKUP(B2586&amp;C2586&amp;Q2586,'New Weekly Paste'!B:O,10,0)),0)</f>
        <v>142.84</v>
      </c>
      <c r="K2586" s="259">
        <f>IFERROR(IFERROR(VLOOKUP(B2586&amp;I2586&amp;Q2586,'New Weekly Paste'!A:M,8,0),VLOOKUP(B2586&amp;I2586&amp;Q2586,'New Weekly Paste'!B:O,10,0)),0)</f>
        <v>78.42</v>
      </c>
      <c r="L2586" s="239">
        <f t="shared" si="25"/>
        <v>1</v>
      </c>
      <c r="M2586" s="36" t="str">
        <f t="shared" si="3"/>
        <v>Regular Season</v>
      </c>
      <c r="N2586" s="239" t="str">
        <f t="shared" si="26"/>
        <v>Cock</v>
      </c>
      <c r="O2586" s="6">
        <f>VLOOKUP(D2586,'Mapped Opponent'!$G$4:$H$22,2,0)</f>
        <v>10</v>
      </c>
      <c r="P2586" s="6"/>
      <c r="Q2586" s="6" t="str">
        <f t="shared" si="4"/>
        <v>Week 10</v>
      </c>
      <c r="R2586" s="6" t="str">
        <f t="shared" si="5"/>
        <v>2024Week 10</v>
      </c>
      <c r="S2586" s="6">
        <f>IFERROR(__xludf.DUMMYFUNCTION("rank(J2586,FILTER(J:J,R:R=R2586))"),1.0)</f>
        <v>1</v>
      </c>
      <c r="T2586" s="6">
        <f t="shared" si="6"/>
        <v>11</v>
      </c>
      <c r="U2586" s="6">
        <f t="shared" si="7"/>
        <v>1</v>
      </c>
      <c r="V2586" s="42">
        <f>averageif(AllData!A:A,B2586,AllData!R:R)/vlookup(B2586,AllData!A:O,15,0)</f>
        <v>94.42488095</v>
      </c>
      <c r="W2586" s="6"/>
    </row>
    <row r="2587" ht="14.25" customHeight="1">
      <c r="A2587" s="6" t="str">
        <f t="shared" si="28"/>
        <v>2024Rooney/Jackson10</v>
      </c>
      <c r="B2587" s="59">
        <v>2024.0</v>
      </c>
      <c r="C2587" s="13" t="s">
        <v>57</v>
      </c>
      <c r="D2587" s="13" t="s">
        <v>149</v>
      </c>
      <c r="E2587" s="34"/>
      <c r="F2587" s="6"/>
      <c r="H2587" s="6"/>
      <c r="I2587" s="35" t="str">
        <f>IFERROR(IFERROR(IFERROR(VLOOKUP(B2587&amp;C2587&amp;Q2587,'New Weekly Paste'!A:M,10,0),VLOOKUP(B2587&amp;C2587&amp;Q2587,'New Weekly Paste'!B:O,6,0)),""),"")</f>
        <v>Ewert</v>
      </c>
      <c r="J2587" s="259">
        <f>IFERROR(IFERROR(VLOOKUP(B2587&amp;C2587&amp;Q2587,'New Weekly Paste'!A:M,8,0),VLOOKUP(B2587&amp;C2587&amp;Q2587,'New Weekly Paste'!B:O,10,0)),0)</f>
        <v>70.38</v>
      </c>
      <c r="K2587" s="259">
        <f>IFERROR(IFERROR(VLOOKUP(B2587&amp;I2587&amp;Q2587,'New Weekly Paste'!A:M,8,0),VLOOKUP(B2587&amp;I2587&amp;Q2587,'New Weekly Paste'!B:O,10,0)),0)</f>
        <v>86.76</v>
      </c>
      <c r="L2587" s="239">
        <f t="shared" si="25"/>
        <v>0</v>
      </c>
      <c r="M2587" s="36" t="str">
        <f t="shared" si="3"/>
        <v>Regular Season</v>
      </c>
      <c r="N2587" s="239" t="str">
        <f t="shared" si="26"/>
        <v>Ewert</v>
      </c>
      <c r="O2587" s="6">
        <f>VLOOKUP(D2587,'Mapped Opponent'!$G$4:$H$22,2,0)</f>
        <v>10</v>
      </c>
      <c r="P2587" s="6"/>
      <c r="Q2587" s="6" t="str">
        <f t="shared" si="4"/>
        <v>Week 10</v>
      </c>
      <c r="R2587" s="6" t="str">
        <f t="shared" si="5"/>
        <v>2024Week 10</v>
      </c>
      <c r="S2587" s="6">
        <f>IFERROR(__xludf.DUMMYFUNCTION("rank(J2587,FILTER(J:J,R:R=R2587))"),10.0)</f>
        <v>10</v>
      </c>
      <c r="T2587" s="6">
        <f t="shared" si="6"/>
        <v>2</v>
      </c>
      <c r="U2587" s="6">
        <f t="shared" si="7"/>
        <v>10</v>
      </c>
      <c r="V2587" s="42">
        <f>averageif(AllData!A:A,B2587,AllData!R:R)/vlookup(B2587,AllData!A:O,15,0)</f>
        <v>94.42488095</v>
      </c>
      <c r="W2587" s="6"/>
    </row>
    <row r="2588" ht="14.25" customHeight="1">
      <c r="A2588" s="6" t="str">
        <f t="shared" si="28"/>
        <v>2024Buser10</v>
      </c>
      <c r="B2588" s="59">
        <v>2024.0</v>
      </c>
      <c r="C2588" s="13" t="s">
        <v>47</v>
      </c>
      <c r="D2588" s="13" t="s">
        <v>149</v>
      </c>
      <c r="E2588" s="34"/>
      <c r="F2588" s="6"/>
      <c r="H2588" s="6"/>
      <c r="I2588" s="35" t="str">
        <f>IFERROR(IFERROR(IFERROR(VLOOKUP(B2588&amp;C2588&amp;Q2588,'New Weekly Paste'!A:M,10,0),VLOOKUP(B2588&amp;C2588&amp;Q2588,'New Weekly Paste'!B:O,6,0)),""),"")</f>
        <v>T-How</v>
      </c>
      <c r="J2588" s="259">
        <f>IFERROR(IFERROR(VLOOKUP(B2588&amp;C2588&amp;Q2588,'New Weekly Paste'!A:M,8,0),VLOOKUP(B2588&amp;C2588&amp;Q2588,'New Weekly Paste'!B:O,10,0)),0)</f>
        <v>100.54</v>
      </c>
      <c r="K2588" s="259">
        <f>IFERROR(IFERROR(VLOOKUP(B2588&amp;I2588&amp;Q2588,'New Weekly Paste'!A:M,8,0),VLOOKUP(B2588&amp;I2588&amp;Q2588,'New Weekly Paste'!B:O,10,0)),0)</f>
        <v>100.48</v>
      </c>
      <c r="L2588" s="239">
        <f t="shared" si="25"/>
        <v>1</v>
      </c>
      <c r="M2588" s="36" t="str">
        <f t="shared" si="3"/>
        <v>Regular Season</v>
      </c>
      <c r="N2588" s="239" t="str">
        <f t="shared" si="26"/>
        <v>T-How</v>
      </c>
      <c r="O2588" s="6">
        <f>VLOOKUP(D2588,'Mapped Opponent'!$G$4:$H$22,2,0)</f>
        <v>10</v>
      </c>
      <c r="P2588" s="6"/>
      <c r="Q2588" s="6" t="str">
        <f t="shared" si="4"/>
        <v>Week 10</v>
      </c>
      <c r="R2588" s="6" t="str">
        <f t="shared" si="5"/>
        <v>2024Week 10</v>
      </c>
      <c r="S2588" s="6">
        <f>IFERROR(__xludf.DUMMYFUNCTION("rank(J2588,FILTER(J:J,R:R=R2588))"),3.0)</f>
        <v>3</v>
      </c>
      <c r="T2588" s="6">
        <f t="shared" si="6"/>
        <v>9</v>
      </c>
      <c r="U2588" s="6">
        <f t="shared" si="7"/>
        <v>3</v>
      </c>
      <c r="V2588" s="42">
        <f>averageif(AllData!A:A,B2588,AllData!R:R)/vlookup(B2588,AllData!A:O,15,0)</f>
        <v>94.42488095</v>
      </c>
      <c r="W2588" s="6"/>
    </row>
    <row r="2589" ht="14.25" customHeight="1">
      <c r="A2589" s="6" t="str">
        <f t="shared" si="28"/>
        <v>2024Pierson10</v>
      </c>
      <c r="B2589" s="59">
        <v>2024.0</v>
      </c>
      <c r="C2589" s="13" t="s">
        <v>92</v>
      </c>
      <c r="D2589" s="13" t="s">
        <v>149</v>
      </c>
      <c r="E2589" s="34"/>
      <c r="F2589" s="6"/>
      <c r="H2589" s="6"/>
      <c r="I2589" s="35" t="str">
        <f>IFERROR(IFERROR(IFERROR(VLOOKUP(B2589&amp;C2589&amp;Q2589,'New Weekly Paste'!A:M,10,0),VLOOKUP(B2589&amp;C2589&amp;Q2589,'New Weekly Paste'!B:O,6,0)),""),"")</f>
        <v>Salty</v>
      </c>
      <c r="J2589" s="259">
        <f>IFERROR(IFERROR(VLOOKUP(B2589&amp;C2589&amp;Q2589,'New Weekly Paste'!A:M,8,0),VLOOKUP(B2589&amp;C2589&amp;Q2589,'New Weekly Paste'!B:O,10,0)),0)</f>
        <v>106.22</v>
      </c>
      <c r="K2589" s="259">
        <f>IFERROR(IFERROR(VLOOKUP(B2589&amp;I2589&amp;Q2589,'New Weekly Paste'!A:M,8,0),VLOOKUP(B2589&amp;I2589&amp;Q2589,'New Weekly Paste'!B:O,10,0)),0)</f>
        <v>87.5</v>
      </c>
      <c r="L2589" s="239">
        <f t="shared" si="25"/>
        <v>1</v>
      </c>
      <c r="M2589" s="36" t="str">
        <f t="shared" si="3"/>
        <v>Regular Season</v>
      </c>
      <c r="N2589" s="239" t="str">
        <f t="shared" si="26"/>
        <v>Salty</v>
      </c>
      <c r="O2589" s="6">
        <f>VLOOKUP(D2589,'Mapped Opponent'!$G$4:$H$22,2,0)</f>
        <v>10</v>
      </c>
      <c r="P2589" s="6"/>
      <c r="Q2589" s="6" t="str">
        <f t="shared" si="4"/>
        <v>Week 10</v>
      </c>
      <c r="R2589" s="6" t="str">
        <f t="shared" si="5"/>
        <v>2024Week 10</v>
      </c>
      <c r="S2589" s="6">
        <f>IFERROR(__xludf.DUMMYFUNCTION("rank(J2589,FILTER(J:J,R:R=R2589))"),2.0)</f>
        <v>2</v>
      </c>
      <c r="T2589" s="6">
        <f t="shared" si="6"/>
        <v>10</v>
      </c>
      <c r="U2589" s="6">
        <f t="shared" si="7"/>
        <v>2</v>
      </c>
      <c r="V2589" s="42">
        <f>averageif(AllData!A:A,B2589,AllData!R:R)/vlookup(B2589,AllData!A:O,15,0)</f>
        <v>94.42488095</v>
      </c>
      <c r="W2589" s="6"/>
    </row>
    <row r="2590" ht="14.25" customHeight="1">
      <c r="A2590" s="6" t="str">
        <f t="shared" si="28"/>
        <v>2024Cock10</v>
      </c>
      <c r="B2590" s="59">
        <v>2024.0</v>
      </c>
      <c r="C2590" s="13" t="s">
        <v>72</v>
      </c>
      <c r="D2590" s="13" t="s">
        <v>149</v>
      </c>
      <c r="E2590" s="34"/>
      <c r="F2590" s="6"/>
      <c r="H2590" s="6"/>
      <c r="I2590" s="35" t="str">
        <f>IFERROR(IFERROR(IFERROR(VLOOKUP(B2590&amp;C2590&amp;Q2590,'New Weekly Paste'!A:M,10,0),VLOOKUP(B2590&amp;C2590&amp;Q2590,'New Weekly Paste'!B:O,6,0)),""),"")</f>
        <v>Riley</v>
      </c>
      <c r="J2590" s="259">
        <f>IFERROR(IFERROR(VLOOKUP(B2590&amp;C2590&amp;Q2590,'New Weekly Paste'!A:M,8,0),VLOOKUP(B2590&amp;C2590&amp;Q2590,'New Weekly Paste'!B:O,10,0)),0)</f>
        <v>78.42</v>
      </c>
      <c r="K2590" s="259">
        <f>IFERROR(IFERROR(VLOOKUP(B2590&amp;I2590&amp;Q2590,'New Weekly Paste'!A:M,8,0),VLOOKUP(B2590&amp;I2590&amp;Q2590,'New Weekly Paste'!B:O,10,0)),0)</f>
        <v>142.84</v>
      </c>
      <c r="L2590" s="239">
        <f t="shared" si="25"/>
        <v>0</v>
      </c>
      <c r="M2590" s="36" t="str">
        <f t="shared" si="3"/>
        <v>Regular Season</v>
      </c>
      <c r="N2590" s="239" t="str">
        <f t="shared" si="26"/>
        <v>Riley</v>
      </c>
      <c r="O2590" s="6">
        <f>VLOOKUP(D2590,'Mapped Opponent'!$G$4:$H$22,2,0)</f>
        <v>10</v>
      </c>
      <c r="P2590" s="6"/>
      <c r="Q2590" s="6" t="str">
        <f t="shared" si="4"/>
        <v>Week 10</v>
      </c>
      <c r="R2590" s="6" t="str">
        <f t="shared" si="5"/>
        <v>2024Week 10</v>
      </c>
      <c r="S2590" s="6">
        <f>IFERROR(__xludf.DUMMYFUNCTION("rank(J2590,FILTER(J:J,R:R=R2590))"),8.0)</f>
        <v>8</v>
      </c>
      <c r="T2590" s="6">
        <f t="shared" si="6"/>
        <v>4</v>
      </c>
      <c r="U2590" s="6">
        <f t="shared" si="7"/>
        <v>8</v>
      </c>
      <c r="V2590" s="42">
        <f>averageif(AllData!A:A,B2590,AllData!R:R)/vlookup(B2590,AllData!A:O,15,0)</f>
        <v>94.42488095</v>
      </c>
      <c r="W2590" s="6"/>
    </row>
    <row r="2591" ht="14.25" customHeight="1">
      <c r="A2591" s="6" t="str">
        <f t="shared" si="28"/>
        <v>2024Tayski10</v>
      </c>
      <c r="B2591" s="59">
        <v>2024.0</v>
      </c>
      <c r="C2591" s="13" t="s">
        <v>52</v>
      </c>
      <c r="D2591" s="13" t="s">
        <v>149</v>
      </c>
      <c r="E2591" s="34"/>
      <c r="F2591" s="6"/>
      <c r="H2591" s="6"/>
      <c r="I2591" s="35" t="str">
        <f>IFERROR(IFERROR(IFERROR(VLOOKUP(B2591&amp;C2591&amp;Q2591,'New Weekly Paste'!A:M,10,0),VLOOKUP(B2591&amp;C2591&amp;Q2591,'New Weekly Paste'!B:O,6,0)),""),"")</f>
        <v>Hudspeath</v>
      </c>
      <c r="J2591" s="259">
        <f>IFERROR(IFERROR(VLOOKUP(B2591&amp;C2591&amp;Q2591,'New Weekly Paste'!A:M,8,0),VLOOKUP(B2591&amp;C2591&amp;Q2591,'New Weekly Paste'!B:O,10,0)),0)</f>
        <v>88.9</v>
      </c>
      <c r="K2591" s="259">
        <f>IFERROR(IFERROR(VLOOKUP(B2591&amp;I2591&amp;Q2591,'New Weekly Paste'!A:M,8,0),VLOOKUP(B2591&amp;I2591&amp;Q2591,'New Weekly Paste'!B:O,10,0)),0)</f>
        <v>64.14</v>
      </c>
      <c r="L2591" s="239">
        <f t="shared" si="25"/>
        <v>1</v>
      </c>
      <c r="M2591" s="36" t="str">
        <f t="shared" si="3"/>
        <v>Regular Season</v>
      </c>
      <c r="N2591" s="239" t="str">
        <f t="shared" si="26"/>
        <v>Hudspeath</v>
      </c>
      <c r="O2591" s="6">
        <f>VLOOKUP(D2591,'Mapped Opponent'!$G$4:$H$22,2,0)</f>
        <v>10</v>
      </c>
      <c r="P2591" s="6"/>
      <c r="Q2591" s="6" t="str">
        <f t="shared" si="4"/>
        <v>Week 10</v>
      </c>
      <c r="R2591" s="6" t="str">
        <f t="shared" si="5"/>
        <v>2024Week 10</v>
      </c>
      <c r="S2591" s="6">
        <f>IFERROR(__xludf.DUMMYFUNCTION("rank(J2591,FILTER(J:J,R:R=R2591))"),5.0)</f>
        <v>5</v>
      </c>
      <c r="T2591" s="6">
        <f t="shared" si="6"/>
        <v>7</v>
      </c>
      <c r="U2591" s="6">
        <f t="shared" si="7"/>
        <v>5</v>
      </c>
      <c r="V2591" s="42">
        <f>averageif(AllData!A:A,B2591,AllData!R:R)/vlookup(B2591,AllData!A:O,15,0)</f>
        <v>94.42488095</v>
      </c>
      <c r="W2591" s="6"/>
    </row>
    <row r="2592" ht="14.25" customHeight="1">
      <c r="A2592" s="6" t="str">
        <f t="shared" si="28"/>
        <v>2024KnardDawg10</v>
      </c>
      <c r="B2592" s="59">
        <v>2024.0</v>
      </c>
      <c r="C2592" s="13" t="s">
        <v>86</v>
      </c>
      <c r="D2592" s="13" t="s">
        <v>149</v>
      </c>
      <c r="E2592" s="34"/>
      <c r="F2592" s="6"/>
      <c r="H2592" s="6"/>
      <c r="I2592" s="35" t="str">
        <f>IFERROR(IFERROR(IFERROR(VLOOKUP(B2592&amp;C2592&amp;Q2592,'New Weekly Paste'!A:M,10,0),VLOOKUP(B2592&amp;C2592&amp;Q2592,'New Weekly Paste'!B:O,6,0)),""),"")</f>
        <v>Shep</v>
      </c>
      <c r="J2592" s="259">
        <f>IFERROR(IFERROR(VLOOKUP(B2592&amp;C2592&amp;Q2592,'New Weekly Paste'!A:M,8,0),VLOOKUP(B2592&amp;C2592&amp;Q2592,'New Weekly Paste'!B:O,10,0)),0)</f>
        <v>51.94</v>
      </c>
      <c r="K2592" s="259">
        <f>IFERROR(IFERROR(VLOOKUP(B2592&amp;I2592&amp;Q2592,'New Weekly Paste'!A:M,8,0),VLOOKUP(B2592&amp;I2592&amp;Q2592,'New Weekly Paste'!B:O,10,0)),0)</f>
        <v>76.28</v>
      </c>
      <c r="L2592" s="239">
        <f t="shared" si="25"/>
        <v>0</v>
      </c>
      <c r="M2592" s="36" t="str">
        <f t="shared" si="3"/>
        <v>Regular Season</v>
      </c>
      <c r="N2592" s="239" t="str">
        <f t="shared" si="26"/>
        <v>Shep</v>
      </c>
      <c r="O2592" s="6">
        <f>VLOOKUP(D2592,'Mapped Opponent'!$G$4:$H$22,2,0)</f>
        <v>10</v>
      </c>
      <c r="P2592" s="6"/>
      <c r="Q2592" s="6" t="str">
        <f t="shared" si="4"/>
        <v>Week 10</v>
      </c>
      <c r="R2592" s="6" t="str">
        <f t="shared" si="5"/>
        <v>2024Week 10</v>
      </c>
      <c r="S2592" s="6">
        <f>IFERROR(__xludf.DUMMYFUNCTION("rank(J2592,FILTER(J:J,R:R=R2592))"),12.0)</f>
        <v>12</v>
      </c>
      <c r="T2592" s="6">
        <f t="shared" si="6"/>
        <v>0</v>
      </c>
      <c r="U2592" s="6">
        <f t="shared" si="7"/>
        <v>12</v>
      </c>
      <c r="V2592" s="42">
        <f>averageif(AllData!A:A,B2592,AllData!R:R)/vlookup(B2592,AllData!A:O,15,0)</f>
        <v>94.42488095</v>
      </c>
      <c r="W2592" s="6"/>
    </row>
    <row r="2593" ht="14.25" customHeight="1">
      <c r="A2593" s="6" t="str">
        <f t="shared" si="28"/>
        <v>2024T-How10</v>
      </c>
      <c r="B2593" s="59">
        <v>2024.0</v>
      </c>
      <c r="C2593" s="13" t="s">
        <v>82</v>
      </c>
      <c r="D2593" s="13" t="s">
        <v>149</v>
      </c>
      <c r="E2593" s="34"/>
      <c r="F2593" s="6"/>
      <c r="H2593" s="6"/>
      <c r="I2593" s="35" t="str">
        <f>IFERROR(IFERROR(IFERROR(VLOOKUP(B2593&amp;C2593&amp;Q2593,'New Weekly Paste'!A:M,10,0),VLOOKUP(B2593&amp;C2593&amp;Q2593,'New Weekly Paste'!B:O,6,0)),""),"")</f>
        <v>Buser</v>
      </c>
      <c r="J2593" s="259">
        <f>IFERROR(IFERROR(VLOOKUP(B2593&amp;C2593&amp;Q2593,'New Weekly Paste'!A:M,8,0),VLOOKUP(B2593&amp;C2593&amp;Q2593,'New Weekly Paste'!B:O,10,0)),0)</f>
        <v>100.48</v>
      </c>
      <c r="K2593" s="259">
        <f>IFERROR(IFERROR(VLOOKUP(B2593&amp;I2593&amp;Q2593,'New Weekly Paste'!A:M,8,0),VLOOKUP(B2593&amp;I2593&amp;Q2593,'New Weekly Paste'!B:O,10,0)),0)</f>
        <v>100.54</v>
      </c>
      <c r="L2593" s="239">
        <f t="shared" si="25"/>
        <v>0</v>
      </c>
      <c r="M2593" s="36" t="str">
        <f t="shared" si="3"/>
        <v>Regular Season</v>
      </c>
      <c r="N2593" s="239" t="str">
        <f t="shared" si="26"/>
        <v>Buser</v>
      </c>
      <c r="O2593" s="6">
        <f>VLOOKUP(D2593,'Mapped Opponent'!$G$4:$H$22,2,0)</f>
        <v>10</v>
      </c>
      <c r="P2593" s="6"/>
      <c r="Q2593" s="6" t="str">
        <f t="shared" si="4"/>
        <v>Week 10</v>
      </c>
      <c r="R2593" s="6" t="str">
        <f t="shared" si="5"/>
        <v>2024Week 10</v>
      </c>
      <c r="S2593" s="6">
        <f>IFERROR(__xludf.DUMMYFUNCTION("rank(J2593,FILTER(J:J,R:R=R2593))"),4.0)</f>
        <v>4</v>
      </c>
      <c r="T2593" s="6">
        <f t="shared" si="6"/>
        <v>8</v>
      </c>
      <c r="U2593" s="6">
        <f t="shared" si="7"/>
        <v>4</v>
      </c>
      <c r="V2593" s="42">
        <f>averageif(AllData!A:A,B2593,AllData!R:R)/vlookup(B2593,AllData!A:O,15,0)</f>
        <v>94.42488095</v>
      </c>
      <c r="W2593" s="6"/>
    </row>
    <row r="2594" ht="14.25" customHeight="1">
      <c r="A2594" s="6" t="str">
        <f t="shared" si="28"/>
        <v>2024Hudspeath11</v>
      </c>
      <c r="B2594" s="59">
        <v>2024.0</v>
      </c>
      <c r="C2594" s="13" t="s">
        <v>39</v>
      </c>
      <c r="D2594" s="13" t="s">
        <v>150</v>
      </c>
      <c r="E2594" s="34"/>
      <c r="F2594" s="6"/>
      <c r="H2594" s="6"/>
      <c r="I2594" s="35" t="str">
        <f>IFERROR(IFERROR(IFERROR(VLOOKUP(B2594&amp;C2594&amp;Q2594,'New Weekly Paste'!A:M,10,0),VLOOKUP(B2594&amp;C2594&amp;Q2594,'New Weekly Paste'!B:O,6,0)),""),"")</f>
        <v>Ewert</v>
      </c>
      <c r="J2594" s="259">
        <f>IFERROR(IFERROR(VLOOKUP(B2594&amp;C2594&amp;Q2594,'New Weekly Paste'!A:M,8,0),VLOOKUP(B2594&amp;C2594&amp;Q2594,'New Weekly Paste'!B:O,10,0)),0)</f>
        <v>72.8</v>
      </c>
      <c r="K2594" s="259">
        <f>IFERROR(IFERROR(VLOOKUP(B2594&amp;I2594&amp;Q2594,'New Weekly Paste'!A:M,8,0),VLOOKUP(B2594&amp;I2594&amp;Q2594,'New Weekly Paste'!B:O,10,0)),0)</f>
        <v>90.08</v>
      </c>
      <c r="L2594" s="239">
        <f t="shared" si="25"/>
        <v>0</v>
      </c>
      <c r="M2594" s="36" t="str">
        <f t="shared" si="3"/>
        <v>Regular Season</v>
      </c>
      <c r="N2594" s="239" t="str">
        <f t="shared" si="26"/>
        <v>Ewert</v>
      </c>
      <c r="O2594" s="6">
        <f>VLOOKUP(D2594,'Mapped Opponent'!$G$4:$H$22,2,0)</f>
        <v>11</v>
      </c>
      <c r="P2594" s="6"/>
      <c r="Q2594" s="6" t="str">
        <f t="shared" si="4"/>
        <v>Week 11</v>
      </c>
      <c r="R2594" s="6" t="str">
        <f t="shared" si="5"/>
        <v>2024Week 11</v>
      </c>
      <c r="S2594" s="6">
        <f>IFERROR(__xludf.DUMMYFUNCTION("rank(J2594,FILTER(J:J,R:R=R2594))"),10.0)</f>
        <v>10</v>
      </c>
      <c r="T2594" s="6">
        <f t="shared" si="6"/>
        <v>2</v>
      </c>
      <c r="U2594" s="6">
        <f t="shared" si="7"/>
        <v>10</v>
      </c>
      <c r="V2594" s="42">
        <f>averageif(AllData!A:A,B2594,AllData!R:R)/vlookup(B2594,AllData!A:O,15,0)</f>
        <v>94.42488095</v>
      </c>
      <c r="W2594" s="6"/>
    </row>
    <row r="2595" ht="14.25" customHeight="1">
      <c r="A2595" s="6" t="str">
        <f t="shared" si="28"/>
        <v>2024Salty11</v>
      </c>
      <c r="B2595" s="59">
        <v>2024.0</v>
      </c>
      <c r="C2595" s="13" t="s">
        <v>76</v>
      </c>
      <c r="D2595" s="13" t="s">
        <v>150</v>
      </c>
      <c r="E2595" s="34"/>
      <c r="F2595" s="6"/>
      <c r="H2595" s="6"/>
      <c r="I2595" s="35" t="str">
        <f>IFERROR(IFERROR(IFERROR(VLOOKUP(B2595&amp;C2595&amp;Q2595,'New Weekly Paste'!A:M,10,0),VLOOKUP(B2595&amp;C2595&amp;Q2595,'New Weekly Paste'!B:O,6,0)),""),"")</f>
        <v>Shep</v>
      </c>
      <c r="J2595" s="259">
        <f>IFERROR(IFERROR(VLOOKUP(B2595&amp;C2595&amp;Q2595,'New Weekly Paste'!A:M,8,0),VLOOKUP(B2595&amp;C2595&amp;Q2595,'New Weekly Paste'!B:O,10,0)),0)</f>
        <v>108.18</v>
      </c>
      <c r="K2595" s="259">
        <f>IFERROR(IFERROR(VLOOKUP(B2595&amp;I2595&amp;Q2595,'New Weekly Paste'!A:M,8,0),VLOOKUP(B2595&amp;I2595&amp;Q2595,'New Weekly Paste'!B:O,10,0)),0)</f>
        <v>127.8</v>
      </c>
      <c r="L2595" s="239">
        <f t="shared" si="25"/>
        <v>0</v>
      </c>
      <c r="M2595" s="36" t="str">
        <f t="shared" si="3"/>
        <v>Regular Season</v>
      </c>
      <c r="N2595" s="239" t="str">
        <f t="shared" si="26"/>
        <v>Shep</v>
      </c>
      <c r="O2595" s="6">
        <f>VLOOKUP(D2595,'Mapped Opponent'!$G$4:$H$22,2,0)</f>
        <v>11</v>
      </c>
      <c r="P2595" s="6"/>
      <c r="Q2595" s="6" t="str">
        <f t="shared" si="4"/>
        <v>Week 11</v>
      </c>
      <c r="R2595" s="6" t="str">
        <f t="shared" si="5"/>
        <v>2024Week 11</v>
      </c>
      <c r="S2595" s="6">
        <f>IFERROR(__xludf.DUMMYFUNCTION("rank(J2595,FILTER(J:J,R:R=R2595))"),6.0)</f>
        <v>6</v>
      </c>
      <c r="T2595" s="6">
        <f t="shared" si="6"/>
        <v>6</v>
      </c>
      <c r="U2595" s="6">
        <f t="shared" si="7"/>
        <v>6</v>
      </c>
      <c r="V2595" s="42">
        <f>averageif(AllData!A:A,B2595,AllData!R:R)/vlookup(B2595,AllData!A:O,15,0)</f>
        <v>94.42488095</v>
      </c>
      <c r="W2595" s="6"/>
    </row>
    <row r="2596" ht="14.25" customHeight="1">
      <c r="A2596" s="6" t="str">
        <f t="shared" si="28"/>
        <v>2024Ewert11</v>
      </c>
      <c r="B2596" s="59">
        <v>2024.0</v>
      </c>
      <c r="C2596" s="13" t="s">
        <v>108</v>
      </c>
      <c r="D2596" s="13" t="s">
        <v>150</v>
      </c>
      <c r="E2596" s="34"/>
      <c r="F2596" s="6"/>
      <c r="H2596" s="6"/>
      <c r="I2596" s="35" t="str">
        <f>IFERROR(IFERROR(IFERROR(VLOOKUP(B2596&amp;C2596&amp;Q2596,'New Weekly Paste'!A:M,10,0),VLOOKUP(B2596&amp;C2596&amp;Q2596,'New Weekly Paste'!B:O,6,0)),""),"")</f>
        <v>Hudspeath</v>
      </c>
      <c r="J2596" s="259">
        <f>IFERROR(IFERROR(VLOOKUP(B2596&amp;C2596&amp;Q2596,'New Weekly Paste'!A:M,8,0),VLOOKUP(B2596&amp;C2596&amp;Q2596,'New Weekly Paste'!B:O,10,0)),0)</f>
        <v>90.08</v>
      </c>
      <c r="K2596" s="259">
        <f>IFERROR(IFERROR(VLOOKUP(B2596&amp;I2596&amp;Q2596,'New Weekly Paste'!A:M,8,0),VLOOKUP(B2596&amp;I2596&amp;Q2596,'New Weekly Paste'!B:O,10,0)),0)</f>
        <v>72.8</v>
      </c>
      <c r="L2596" s="239">
        <f t="shared" si="25"/>
        <v>1</v>
      </c>
      <c r="M2596" s="36" t="str">
        <f t="shared" si="3"/>
        <v>Regular Season</v>
      </c>
      <c r="N2596" s="239" t="str">
        <f t="shared" si="26"/>
        <v>Hudspeath</v>
      </c>
      <c r="O2596" s="6">
        <f>VLOOKUP(D2596,'Mapped Opponent'!$G$4:$H$22,2,0)</f>
        <v>11</v>
      </c>
      <c r="P2596" s="6"/>
      <c r="Q2596" s="6" t="str">
        <f t="shared" si="4"/>
        <v>Week 11</v>
      </c>
      <c r="R2596" s="6" t="str">
        <f t="shared" si="5"/>
        <v>2024Week 11</v>
      </c>
      <c r="S2596" s="6">
        <f>IFERROR(__xludf.DUMMYFUNCTION("rank(J2596,FILTER(J:J,R:R=R2596))"),8.0)</f>
        <v>8</v>
      </c>
      <c r="T2596" s="6">
        <f t="shared" si="6"/>
        <v>4</v>
      </c>
      <c r="U2596" s="6">
        <f t="shared" si="7"/>
        <v>8</v>
      </c>
      <c r="V2596" s="42">
        <f>averageif(AllData!A:A,B2596,AllData!R:R)/vlookup(B2596,AllData!A:O,15,0)</f>
        <v>94.42488095</v>
      </c>
      <c r="W2596" s="6"/>
    </row>
    <row r="2597" ht="14.25" customHeight="1">
      <c r="A2597" s="6" t="str">
        <f t="shared" si="28"/>
        <v>2024Shep11</v>
      </c>
      <c r="B2597" s="59">
        <v>2024.0</v>
      </c>
      <c r="C2597" s="13" t="s">
        <v>89</v>
      </c>
      <c r="D2597" s="13" t="s">
        <v>150</v>
      </c>
      <c r="E2597" s="34"/>
      <c r="F2597" s="6"/>
      <c r="H2597" s="6"/>
      <c r="I2597" s="35" t="str">
        <f>IFERROR(IFERROR(IFERROR(VLOOKUP(B2597&amp;C2597&amp;Q2597,'New Weekly Paste'!A:M,10,0),VLOOKUP(B2597&amp;C2597&amp;Q2597,'New Weekly Paste'!B:O,6,0)),""),"")</f>
        <v>Salty</v>
      </c>
      <c r="J2597" s="259">
        <f>IFERROR(IFERROR(VLOOKUP(B2597&amp;C2597&amp;Q2597,'New Weekly Paste'!A:M,8,0),VLOOKUP(B2597&amp;C2597&amp;Q2597,'New Weekly Paste'!B:O,10,0)),0)</f>
        <v>127.8</v>
      </c>
      <c r="K2597" s="259">
        <f>IFERROR(IFERROR(VLOOKUP(B2597&amp;I2597&amp;Q2597,'New Weekly Paste'!A:M,8,0),VLOOKUP(B2597&amp;I2597&amp;Q2597,'New Weekly Paste'!B:O,10,0)),0)</f>
        <v>108.18</v>
      </c>
      <c r="L2597" s="239">
        <f t="shared" si="25"/>
        <v>1</v>
      </c>
      <c r="M2597" s="36" t="str">
        <f t="shared" si="3"/>
        <v>Regular Season</v>
      </c>
      <c r="N2597" s="239" t="str">
        <f t="shared" si="26"/>
        <v>Salty</v>
      </c>
      <c r="O2597" s="6">
        <f>VLOOKUP(D2597,'Mapped Opponent'!$G$4:$H$22,2,0)</f>
        <v>11</v>
      </c>
      <c r="P2597" s="6"/>
      <c r="Q2597" s="6" t="str">
        <f t="shared" si="4"/>
        <v>Week 11</v>
      </c>
      <c r="R2597" s="6" t="str">
        <f t="shared" si="5"/>
        <v>2024Week 11</v>
      </c>
      <c r="S2597" s="6">
        <f>IFERROR(__xludf.DUMMYFUNCTION("rank(J2597,FILTER(J:J,R:R=R2597))"),1.0)</f>
        <v>1</v>
      </c>
      <c r="T2597" s="6">
        <f t="shared" si="6"/>
        <v>11</v>
      </c>
      <c r="U2597" s="6">
        <f t="shared" si="7"/>
        <v>1</v>
      </c>
      <c r="V2597" s="42">
        <f>averageif(AllData!A:A,B2597,AllData!R:R)/vlookup(B2597,AllData!A:O,15,0)</f>
        <v>94.42488095</v>
      </c>
      <c r="W2597" s="6"/>
    </row>
    <row r="2598" ht="14.25" customHeight="1">
      <c r="A2598" s="6" t="str">
        <f t="shared" si="28"/>
        <v>2024Riley11</v>
      </c>
      <c r="B2598" s="59">
        <v>2024.0</v>
      </c>
      <c r="C2598" s="13" t="s">
        <v>67</v>
      </c>
      <c r="D2598" s="13" t="s">
        <v>150</v>
      </c>
      <c r="E2598" s="34"/>
      <c r="F2598" s="6"/>
      <c r="H2598" s="6"/>
      <c r="I2598" s="35" t="str">
        <f>IFERROR(IFERROR(IFERROR(VLOOKUP(B2598&amp;C2598&amp;Q2598,'New Weekly Paste'!A:M,10,0),VLOOKUP(B2598&amp;C2598&amp;Q2598,'New Weekly Paste'!B:O,6,0)),""),"")</f>
        <v>Pierson</v>
      </c>
      <c r="J2598" s="259">
        <f>IFERROR(IFERROR(VLOOKUP(B2598&amp;C2598&amp;Q2598,'New Weekly Paste'!A:M,8,0),VLOOKUP(B2598&amp;C2598&amp;Q2598,'New Weekly Paste'!B:O,10,0)),0)</f>
        <v>94.48</v>
      </c>
      <c r="K2598" s="259">
        <f>IFERROR(IFERROR(VLOOKUP(B2598&amp;I2598&amp;Q2598,'New Weekly Paste'!A:M,8,0),VLOOKUP(B2598&amp;I2598&amp;Q2598,'New Weekly Paste'!B:O,10,0)),0)</f>
        <v>88.84</v>
      </c>
      <c r="L2598" s="239">
        <f t="shared" si="25"/>
        <v>1</v>
      </c>
      <c r="M2598" s="36" t="str">
        <f t="shared" si="3"/>
        <v>Regular Season</v>
      </c>
      <c r="N2598" s="239" t="str">
        <f t="shared" si="26"/>
        <v>Pierson</v>
      </c>
      <c r="O2598" s="6">
        <f>VLOOKUP(D2598,'Mapped Opponent'!$G$4:$H$22,2,0)</f>
        <v>11</v>
      </c>
      <c r="P2598" s="6"/>
      <c r="Q2598" s="6" t="str">
        <f t="shared" si="4"/>
        <v>Week 11</v>
      </c>
      <c r="R2598" s="6" t="str">
        <f t="shared" si="5"/>
        <v>2024Week 11</v>
      </c>
      <c r="S2598" s="6">
        <f>IFERROR(__xludf.DUMMYFUNCTION("rank(J2598,FILTER(J:J,R:R=R2598))"),7.0)</f>
        <v>7</v>
      </c>
      <c r="T2598" s="6">
        <f t="shared" si="6"/>
        <v>5</v>
      </c>
      <c r="U2598" s="6">
        <f t="shared" si="7"/>
        <v>7</v>
      </c>
      <c r="V2598" s="42">
        <f>averageif(AllData!A:A,B2598,AllData!R:R)/vlookup(B2598,AllData!A:O,15,0)</f>
        <v>94.42488095</v>
      </c>
      <c r="W2598" s="6"/>
    </row>
    <row r="2599" ht="14.25" customHeight="1">
      <c r="A2599" s="6" t="str">
        <f t="shared" si="28"/>
        <v>2024Rooney/Jackson11</v>
      </c>
      <c r="B2599" s="59">
        <v>2024.0</v>
      </c>
      <c r="C2599" s="13" t="s">
        <v>57</v>
      </c>
      <c r="D2599" s="13" t="s">
        <v>150</v>
      </c>
      <c r="E2599" s="34"/>
      <c r="F2599" s="6"/>
      <c r="H2599" s="6"/>
      <c r="I2599" s="35" t="str">
        <f>IFERROR(IFERROR(IFERROR(VLOOKUP(B2599&amp;C2599&amp;Q2599,'New Weekly Paste'!A:M,10,0),VLOOKUP(B2599&amp;C2599&amp;Q2599,'New Weekly Paste'!B:O,6,0)),""),"")</f>
        <v>T-How</v>
      </c>
      <c r="J2599" s="259">
        <f>IFERROR(IFERROR(VLOOKUP(B2599&amp;C2599&amp;Q2599,'New Weekly Paste'!A:M,8,0),VLOOKUP(B2599&amp;C2599&amp;Q2599,'New Weekly Paste'!B:O,10,0)),0)</f>
        <v>60.34</v>
      </c>
      <c r="K2599" s="259">
        <f>IFERROR(IFERROR(VLOOKUP(B2599&amp;I2599&amp;Q2599,'New Weekly Paste'!A:M,8,0),VLOOKUP(B2599&amp;I2599&amp;Q2599,'New Weekly Paste'!B:O,10,0)),0)</f>
        <v>108.24</v>
      </c>
      <c r="L2599" s="239">
        <f t="shared" si="25"/>
        <v>0</v>
      </c>
      <c r="M2599" s="36" t="str">
        <f t="shared" si="3"/>
        <v>Regular Season</v>
      </c>
      <c r="N2599" s="239" t="str">
        <f t="shared" si="26"/>
        <v>T-How</v>
      </c>
      <c r="O2599" s="6">
        <f>VLOOKUP(D2599,'Mapped Opponent'!$G$4:$H$22,2,0)</f>
        <v>11</v>
      </c>
      <c r="P2599" s="6"/>
      <c r="Q2599" s="6" t="str">
        <f t="shared" si="4"/>
        <v>Week 11</v>
      </c>
      <c r="R2599" s="6" t="str">
        <f t="shared" si="5"/>
        <v>2024Week 11</v>
      </c>
      <c r="S2599" s="6">
        <f>IFERROR(__xludf.DUMMYFUNCTION("rank(J2599,FILTER(J:J,R:R=R2599))"),12.0)</f>
        <v>12</v>
      </c>
      <c r="T2599" s="6">
        <f t="shared" si="6"/>
        <v>0</v>
      </c>
      <c r="U2599" s="6">
        <f t="shared" si="7"/>
        <v>12</v>
      </c>
      <c r="V2599" s="42">
        <f>averageif(AllData!A:A,B2599,AllData!R:R)/vlookup(B2599,AllData!A:O,15,0)</f>
        <v>94.42488095</v>
      </c>
      <c r="W2599" s="6"/>
    </row>
    <row r="2600" ht="14.25" customHeight="1">
      <c r="A2600" s="6" t="str">
        <f t="shared" si="28"/>
        <v>2024Buser11</v>
      </c>
      <c r="B2600" s="59">
        <v>2024.0</v>
      </c>
      <c r="C2600" s="13" t="s">
        <v>47</v>
      </c>
      <c r="D2600" s="13" t="s">
        <v>150</v>
      </c>
      <c r="E2600" s="34"/>
      <c r="F2600" s="6"/>
      <c r="H2600" s="6"/>
      <c r="I2600" s="35" t="str">
        <f>IFERROR(IFERROR(IFERROR(VLOOKUP(B2600&amp;C2600&amp;Q2600,'New Weekly Paste'!A:M,10,0),VLOOKUP(B2600&amp;C2600&amp;Q2600,'New Weekly Paste'!B:O,6,0)),""),"")</f>
        <v>Cock</v>
      </c>
      <c r="J2600" s="259">
        <f>IFERROR(IFERROR(VLOOKUP(B2600&amp;C2600&amp;Q2600,'New Weekly Paste'!A:M,8,0),VLOOKUP(B2600&amp;C2600&amp;Q2600,'New Weekly Paste'!B:O,10,0)),0)</f>
        <v>108.54</v>
      </c>
      <c r="K2600" s="259">
        <f>IFERROR(IFERROR(VLOOKUP(B2600&amp;I2600&amp;Q2600,'New Weekly Paste'!A:M,8,0),VLOOKUP(B2600&amp;I2600&amp;Q2600,'New Weekly Paste'!B:O,10,0)),0)</f>
        <v>64.16</v>
      </c>
      <c r="L2600" s="239">
        <f t="shared" si="25"/>
        <v>1</v>
      </c>
      <c r="M2600" s="36" t="str">
        <f t="shared" si="3"/>
        <v>Regular Season</v>
      </c>
      <c r="N2600" s="239" t="str">
        <f t="shared" si="26"/>
        <v>Cock</v>
      </c>
      <c r="O2600" s="6">
        <f>VLOOKUP(D2600,'Mapped Opponent'!$G$4:$H$22,2,0)</f>
        <v>11</v>
      </c>
      <c r="P2600" s="6"/>
      <c r="Q2600" s="6" t="str">
        <f t="shared" si="4"/>
        <v>Week 11</v>
      </c>
      <c r="R2600" s="6" t="str">
        <f t="shared" si="5"/>
        <v>2024Week 11</v>
      </c>
      <c r="S2600" s="6">
        <f>IFERROR(__xludf.DUMMYFUNCTION("rank(J2600,FILTER(J:J,R:R=R2600))"),4.0)</f>
        <v>4</v>
      </c>
      <c r="T2600" s="6">
        <f t="shared" si="6"/>
        <v>8</v>
      </c>
      <c r="U2600" s="6">
        <f t="shared" si="7"/>
        <v>4</v>
      </c>
      <c r="V2600" s="42">
        <f>averageif(AllData!A:A,B2600,AllData!R:R)/vlookup(B2600,AllData!A:O,15,0)</f>
        <v>94.42488095</v>
      </c>
      <c r="W2600" s="6"/>
    </row>
    <row r="2601" ht="14.25" customHeight="1">
      <c r="A2601" s="6" t="str">
        <f t="shared" si="28"/>
        <v>2024Pierson11</v>
      </c>
      <c r="B2601" s="59">
        <v>2024.0</v>
      </c>
      <c r="C2601" s="13" t="s">
        <v>92</v>
      </c>
      <c r="D2601" s="13" t="s">
        <v>150</v>
      </c>
      <c r="E2601" s="34"/>
      <c r="F2601" s="6"/>
      <c r="H2601" s="6"/>
      <c r="I2601" s="35" t="str">
        <f>IFERROR(IFERROR(IFERROR(VLOOKUP(B2601&amp;C2601&amp;Q2601,'New Weekly Paste'!A:M,10,0),VLOOKUP(B2601&amp;C2601&amp;Q2601,'New Weekly Paste'!B:O,6,0)),""),"")</f>
        <v>Riley</v>
      </c>
      <c r="J2601" s="259">
        <f>IFERROR(IFERROR(VLOOKUP(B2601&amp;C2601&amp;Q2601,'New Weekly Paste'!A:M,8,0),VLOOKUP(B2601&amp;C2601&amp;Q2601,'New Weekly Paste'!B:O,10,0)),0)</f>
        <v>88.84</v>
      </c>
      <c r="K2601" s="259">
        <f>IFERROR(IFERROR(VLOOKUP(B2601&amp;I2601&amp;Q2601,'New Weekly Paste'!A:M,8,0),VLOOKUP(B2601&amp;I2601&amp;Q2601,'New Weekly Paste'!B:O,10,0)),0)</f>
        <v>94.48</v>
      </c>
      <c r="L2601" s="239">
        <f t="shared" si="25"/>
        <v>0</v>
      </c>
      <c r="M2601" s="36" t="str">
        <f t="shared" si="3"/>
        <v>Regular Season</v>
      </c>
      <c r="N2601" s="239" t="str">
        <f t="shared" si="26"/>
        <v>Riley</v>
      </c>
      <c r="O2601" s="6">
        <f>VLOOKUP(D2601,'Mapped Opponent'!$G$4:$H$22,2,0)</f>
        <v>11</v>
      </c>
      <c r="P2601" s="6"/>
      <c r="Q2601" s="6" t="str">
        <f t="shared" si="4"/>
        <v>Week 11</v>
      </c>
      <c r="R2601" s="6" t="str">
        <f t="shared" si="5"/>
        <v>2024Week 11</v>
      </c>
      <c r="S2601" s="6">
        <f>IFERROR(__xludf.DUMMYFUNCTION("rank(J2601,FILTER(J:J,R:R=R2601))"),9.0)</f>
        <v>9</v>
      </c>
      <c r="T2601" s="6">
        <f t="shared" si="6"/>
        <v>3</v>
      </c>
      <c r="U2601" s="6">
        <f t="shared" si="7"/>
        <v>9</v>
      </c>
      <c r="V2601" s="42">
        <f>averageif(AllData!A:A,B2601,AllData!R:R)/vlookup(B2601,AllData!A:O,15,0)</f>
        <v>94.42488095</v>
      </c>
      <c r="W2601" s="6"/>
    </row>
    <row r="2602" ht="14.25" customHeight="1">
      <c r="A2602" s="6" t="str">
        <f t="shared" si="28"/>
        <v>2024Cock11</v>
      </c>
      <c r="B2602" s="59">
        <v>2024.0</v>
      </c>
      <c r="C2602" s="13" t="s">
        <v>72</v>
      </c>
      <c r="D2602" s="13" t="s">
        <v>150</v>
      </c>
      <c r="E2602" s="34"/>
      <c r="F2602" s="6"/>
      <c r="H2602" s="6"/>
      <c r="I2602" s="35" t="str">
        <f>IFERROR(IFERROR(IFERROR(VLOOKUP(B2602&amp;C2602&amp;Q2602,'New Weekly Paste'!A:M,10,0),VLOOKUP(B2602&amp;C2602&amp;Q2602,'New Weekly Paste'!B:O,6,0)),""),"")</f>
        <v>Buser</v>
      </c>
      <c r="J2602" s="259">
        <f>IFERROR(IFERROR(VLOOKUP(B2602&amp;C2602&amp;Q2602,'New Weekly Paste'!A:M,8,0),VLOOKUP(B2602&amp;C2602&amp;Q2602,'New Weekly Paste'!B:O,10,0)),0)</f>
        <v>64.16</v>
      </c>
      <c r="K2602" s="259">
        <f>IFERROR(IFERROR(VLOOKUP(B2602&amp;I2602&amp;Q2602,'New Weekly Paste'!A:M,8,0),VLOOKUP(B2602&amp;I2602&amp;Q2602,'New Weekly Paste'!B:O,10,0)),0)</f>
        <v>108.54</v>
      </c>
      <c r="L2602" s="239">
        <f t="shared" si="25"/>
        <v>0</v>
      </c>
      <c r="M2602" s="36" t="str">
        <f t="shared" si="3"/>
        <v>Regular Season</v>
      </c>
      <c r="N2602" s="239" t="str">
        <f t="shared" si="26"/>
        <v>Buser</v>
      </c>
      <c r="O2602" s="6">
        <f>VLOOKUP(D2602,'Mapped Opponent'!$G$4:$H$22,2,0)</f>
        <v>11</v>
      </c>
      <c r="P2602" s="6"/>
      <c r="Q2602" s="6" t="str">
        <f t="shared" si="4"/>
        <v>Week 11</v>
      </c>
      <c r="R2602" s="6" t="str">
        <f t="shared" si="5"/>
        <v>2024Week 11</v>
      </c>
      <c r="S2602" s="6">
        <f>IFERROR(__xludf.DUMMYFUNCTION("rank(J2602,FILTER(J:J,R:R=R2602))"),11.0)</f>
        <v>11</v>
      </c>
      <c r="T2602" s="6">
        <f t="shared" si="6"/>
        <v>1</v>
      </c>
      <c r="U2602" s="6">
        <f t="shared" si="7"/>
        <v>11</v>
      </c>
      <c r="V2602" s="42">
        <f>averageif(AllData!A:A,B2602,AllData!R:R)/vlookup(B2602,AllData!A:O,15,0)</f>
        <v>94.42488095</v>
      </c>
      <c r="W2602" s="6"/>
    </row>
    <row r="2603" ht="14.25" customHeight="1">
      <c r="A2603" s="6" t="str">
        <f t="shared" si="28"/>
        <v>2024Tayski11</v>
      </c>
      <c r="B2603" s="59">
        <v>2024.0</v>
      </c>
      <c r="C2603" s="13" t="s">
        <v>52</v>
      </c>
      <c r="D2603" s="13" t="s">
        <v>150</v>
      </c>
      <c r="E2603" s="34"/>
      <c r="F2603" s="6"/>
      <c r="H2603" s="6"/>
      <c r="I2603" s="35" t="str">
        <f>IFERROR(IFERROR(IFERROR(VLOOKUP(B2603&amp;C2603&amp;Q2603,'New Weekly Paste'!A:M,10,0),VLOOKUP(B2603&amp;C2603&amp;Q2603,'New Weekly Paste'!B:O,6,0)),""),"")</f>
        <v>KnardDawg</v>
      </c>
      <c r="J2603" s="259">
        <f>IFERROR(IFERROR(VLOOKUP(B2603&amp;C2603&amp;Q2603,'New Weekly Paste'!A:M,8,0),VLOOKUP(B2603&amp;C2603&amp;Q2603,'New Weekly Paste'!B:O,10,0)),0)</f>
        <v>120.48</v>
      </c>
      <c r="K2603" s="259">
        <f>IFERROR(IFERROR(VLOOKUP(B2603&amp;I2603&amp;Q2603,'New Weekly Paste'!A:M,8,0),VLOOKUP(B2603&amp;I2603&amp;Q2603,'New Weekly Paste'!B:O,10,0)),0)</f>
        <v>116.82</v>
      </c>
      <c r="L2603" s="239">
        <f t="shared" si="25"/>
        <v>1</v>
      </c>
      <c r="M2603" s="36" t="str">
        <f t="shared" si="3"/>
        <v>Regular Season</v>
      </c>
      <c r="N2603" s="239" t="str">
        <f t="shared" si="26"/>
        <v>KnardDawg</v>
      </c>
      <c r="O2603" s="6">
        <f>VLOOKUP(D2603,'Mapped Opponent'!$G$4:$H$22,2,0)</f>
        <v>11</v>
      </c>
      <c r="P2603" s="6"/>
      <c r="Q2603" s="6" t="str">
        <f t="shared" si="4"/>
        <v>Week 11</v>
      </c>
      <c r="R2603" s="6" t="str">
        <f t="shared" si="5"/>
        <v>2024Week 11</v>
      </c>
      <c r="S2603" s="6">
        <f>IFERROR(__xludf.DUMMYFUNCTION("rank(J2603,FILTER(J:J,R:R=R2603))"),2.0)</f>
        <v>2</v>
      </c>
      <c r="T2603" s="6">
        <f t="shared" si="6"/>
        <v>10</v>
      </c>
      <c r="U2603" s="6">
        <f t="shared" si="7"/>
        <v>2</v>
      </c>
      <c r="V2603" s="42">
        <f>averageif(AllData!A:A,B2603,AllData!R:R)/vlookup(B2603,AllData!A:O,15,0)</f>
        <v>94.42488095</v>
      </c>
      <c r="W2603" s="6"/>
    </row>
    <row r="2604" ht="14.25" customHeight="1">
      <c r="A2604" s="6" t="str">
        <f t="shared" si="28"/>
        <v>2024KnardDawg11</v>
      </c>
      <c r="B2604" s="59">
        <v>2024.0</v>
      </c>
      <c r="C2604" s="13" t="s">
        <v>86</v>
      </c>
      <c r="D2604" s="13" t="s">
        <v>150</v>
      </c>
      <c r="E2604" s="34"/>
      <c r="F2604" s="6"/>
      <c r="H2604" s="6"/>
      <c r="I2604" s="35" t="str">
        <f>IFERROR(IFERROR(IFERROR(VLOOKUP(B2604&amp;C2604&amp;Q2604,'New Weekly Paste'!A:M,10,0),VLOOKUP(B2604&amp;C2604&amp;Q2604,'New Weekly Paste'!B:O,6,0)),""),"")</f>
        <v>Tayski</v>
      </c>
      <c r="J2604" s="259">
        <f>IFERROR(IFERROR(VLOOKUP(B2604&amp;C2604&amp;Q2604,'New Weekly Paste'!A:M,8,0),VLOOKUP(B2604&amp;C2604&amp;Q2604,'New Weekly Paste'!B:O,10,0)),0)</f>
        <v>116.82</v>
      </c>
      <c r="K2604" s="259">
        <f>IFERROR(IFERROR(VLOOKUP(B2604&amp;I2604&amp;Q2604,'New Weekly Paste'!A:M,8,0),VLOOKUP(B2604&amp;I2604&amp;Q2604,'New Weekly Paste'!B:O,10,0)),0)</f>
        <v>120.48</v>
      </c>
      <c r="L2604" s="239">
        <f t="shared" si="25"/>
        <v>0</v>
      </c>
      <c r="M2604" s="36" t="str">
        <f t="shared" si="3"/>
        <v>Regular Season</v>
      </c>
      <c r="N2604" s="239" t="str">
        <f t="shared" si="26"/>
        <v>Tayski</v>
      </c>
      <c r="O2604" s="6">
        <f>VLOOKUP(D2604,'Mapped Opponent'!$G$4:$H$22,2,0)</f>
        <v>11</v>
      </c>
      <c r="P2604" s="6"/>
      <c r="Q2604" s="6" t="str">
        <f t="shared" si="4"/>
        <v>Week 11</v>
      </c>
      <c r="R2604" s="6" t="str">
        <f t="shared" si="5"/>
        <v>2024Week 11</v>
      </c>
      <c r="S2604" s="6">
        <f>IFERROR(__xludf.DUMMYFUNCTION("rank(J2604,FILTER(J:J,R:R=R2604))"),3.0)</f>
        <v>3</v>
      </c>
      <c r="T2604" s="6">
        <f t="shared" si="6"/>
        <v>9</v>
      </c>
      <c r="U2604" s="6">
        <f t="shared" si="7"/>
        <v>3</v>
      </c>
      <c r="V2604" s="42">
        <f>averageif(AllData!A:A,B2604,AllData!R:R)/vlookup(B2604,AllData!A:O,15,0)</f>
        <v>94.42488095</v>
      </c>
      <c r="W2604" s="6"/>
    </row>
    <row r="2605" ht="14.25" customHeight="1">
      <c r="A2605" s="6" t="str">
        <f t="shared" si="28"/>
        <v>2024T-How11</v>
      </c>
      <c r="B2605" s="59">
        <v>2024.0</v>
      </c>
      <c r="C2605" s="13" t="s">
        <v>82</v>
      </c>
      <c r="D2605" s="13" t="s">
        <v>150</v>
      </c>
      <c r="E2605" s="34"/>
      <c r="F2605" s="6"/>
      <c r="H2605" s="6"/>
      <c r="I2605" s="35" t="str">
        <f>IFERROR(IFERROR(IFERROR(VLOOKUP(B2605&amp;C2605&amp;Q2605,'New Weekly Paste'!A:M,10,0),VLOOKUP(B2605&amp;C2605&amp;Q2605,'New Weekly Paste'!B:O,6,0)),""),"")</f>
        <v>Rooney/Jackson</v>
      </c>
      <c r="J2605" s="259">
        <f>IFERROR(IFERROR(VLOOKUP(B2605&amp;C2605&amp;Q2605,'New Weekly Paste'!A:M,8,0),VLOOKUP(B2605&amp;C2605&amp;Q2605,'New Weekly Paste'!B:O,10,0)),0)</f>
        <v>108.24</v>
      </c>
      <c r="K2605" s="259">
        <f>IFERROR(IFERROR(VLOOKUP(B2605&amp;I2605&amp;Q2605,'New Weekly Paste'!A:M,8,0),VLOOKUP(B2605&amp;I2605&amp;Q2605,'New Weekly Paste'!B:O,10,0)),0)</f>
        <v>60.34</v>
      </c>
      <c r="L2605" s="239">
        <f t="shared" si="25"/>
        <v>1</v>
      </c>
      <c r="M2605" s="36" t="str">
        <f t="shared" si="3"/>
        <v>Regular Season</v>
      </c>
      <c r="N2605" s="239" t="str">
        <f t="shared" si="26"/>
        <v>Rooney/Jackson</v>
      </c>
      <c r="O2605" s="6">
        <f>VLOOKUP(D2605,'Mapped Opponent'!$G$4:$H$22,2,0)</f>
        <v>11</v>
      </c>
      <c r="P2605" s="6"/>
      <c r="Q2605" s="6" t="str">
        <f t="shared" si="4"/>
        <v>Week 11</v>
      </c>
      <c r="R2605" s="6" t="str">
        <f t="shared" si="5"/>
        <v>2024Week 11</v>
      </c>
      <c r="S2605" s="6">
        <f>IFERROR(__xludf.DUMMYFUNCTION("rank(J2605,FILTER(J:J,R:R=R2605))"),5.0)</f>
        <v>5</v>
      </c>
      <c r="T2605" s="6">
        <f t="shared" si="6"/>
        <v>7</v>
      </c>
      <c r="U2605" s="6">
        <f t="shared" si="7"/>
        <v>5</v>
      </c>
      <c r="V2605" s="42">
        <f>averageif(AllData!A:A,B2605,AllData!R:R)/vlookup(B2605,AllData!A:O,15,0)</f>
        <v>94.42488095</v>
      </c>
      <c r="W2605" s="6"/>
    </row>
    <row r="2606" ht="14.25" customHeight="1">
      <c r="A2606" s="6" t="str">
        <f t="shared" si="28"/>
        <v>2024Hudspeath12</v>
      </c>
      <c r="B2606" s="59">
        <v>2024.0</v>
      </c>
      <c r="C2606" s="13" t="s">
        <v>39</v>
      </c>
      <c r="D2606" s="13" t="s">
        <v>151</v>
      </c>
      <c r="E2606" s="34"/>
      <c r="F2606" s="6"/>
      <c r="H2606" s="6"/>
      <c r="I2606" s="35" t="str">
        <f>IFERROR(IFERROR(IFERROR(VLOOKUP(B2606&amp;C2606&amp;Q2606,'New Weekly Paste'!A:M,10,0),VLOOKUP(B2606&amp;C2606&amp;Q2606,'New Weekly Paste'!B:O,6,0)),""),"")</f>
        <v>Rooney/Jackson</v>
      </c>
      <c r="J2606" s="259">
        <f>IFERROR(IFERROR(VLOOKUP(B2606&amp;C2606&amp;Q2606,'New Weekly Paste'!A:M,8,0),VLOOKUP(B2606&amp;C2606&amp;Q2606,'New Weekly Paste'!B:O,10,0)),0)</f>
        <v>61.96</v>
      </c>
      <c r="K2606" s="259">
        <f>IFERROR(IFERROR(VLOOKUP(B2606&amp;I2606&amp;Q2606,'New Weekly Paste'!A:M,8,0),VLOOKUP(B2606&amp;I2606&amp;Q2606,'New Weekly Paste'!B:O,10,0)),0)</f>
        <v>122.1</v>
      </c>
      <c r="L2606" s="239">
        <f t="shared" si="25"/>
        <v>0</v>
      </c>
      <c r="M2606" s="36" t="str">
        <f t="shared" si="3"/>
        <v>Regular Season</v>
      </c>
      <c r="N2606" s="239" t="str">
        <f t="shared" si="26"/>
        <v>Rooney/Jackson</v>
      </c>
      <c r="O2606" s="6">
        <f>VLOOKUP(D2606,'Mapped Opponent'!$G$4:$H$22,2,0)</f>
        <v>12</v>
      </c>
      <c r="P2606" s="6"/>
      <c r="Q2606" s="6" t="str">
        <f t="shared" si="4"/>
        <v>Week 12</v>
      </c>
      <c r="R2606" s="6" t="str">
        <f t="shared" si="5"/>
        <v>2024Week 12</v>
      </c>
      <c r="S2606" s="6">
        <f>IFERROR(__xludf.DUMMYFUNCTION("rank(J2606,FILTER(J:J,R:R=R2606))"),11.0)</f>
        <v>11</v>
      </c>
      <c r="T2606" s="6">
        <f t="shared" si="6"/>
        <v>1</v>
      </c>
      <c r="U2606" s="6">
        <f t="shared" si="7"/>
        <v>11</v>
      </c>
      <c r="V2606" s="42">
        <f>averageif(AllData!A:A,B2606,AllData!R:R)/vlookup(B2606,AllData!A:O,15,0)</f>
        <v>94.42488095</v>
      </c>
      <c r="W2606" s="6"/>
    </row>
    <row r="2607" ht="14.25" customHeight="1">
      <c r="A2607" s="6" t="str">
        <f t="shared" si="28"/>
        <v>2024Salty12</v>
      </c>
      <c r="B2607" s="59">
        <v>2024.0</v>
      </c>
      <c r="C2607" s="13" t="s">
        <v>76</v>
      </c>
      <c r="D2607" s="13" t="s">
        <v>151</v>
      </c>
      <c r="E2607" s="34"/>
      <c r="F2607" s="6"/>
      <c r="H2607" s="6"/>
      <c r="I2607" s="35" t="str">
        <f>IFERROR(IFERROR(IFERROR(VLOOKUP(B2607&amp;C2607&amp;Q2607,'New Weekly Paste'!A:M,10,0),VLOOKUP(B2607&amp;C2607&amp;Q2607,'New Weekly Paste'!B:O,6,0)),""),"")</f>
        <v>Tayski</v>
      </c>
      <c r="J2607" s="259">
        <f>IFERROR(IFERROR(VLOOKUP(B2607&amp;C2607&amp;Q2607,'New Weekly Paste'!A:M,8,0),VLOOKUP(B2607&amp;C2607&amp;Q2607,'New Weekly Paste'!B:O,10,0)),0)</f>
        <v>96.88</v>
      </c>
      <c r="K2607" s="259">
        <f>IFERROR(IFERROR(VLOOKUP(B2607&amp;I2607&amp;Q2607,'New Weekly Paste'!A:M,8,0),VLOOKUP(B2607&amp;I2607&amp;Q2607,'New Weekly Paste'!B:O,10,0)),0)</f>
        <v>53.26</v>
      </c>
      <c r="L2607" s="239">
        <f t="shared" si="25"/>
        <v>1</v>
      </c>
      <c r="M2607" s="36" t="str">
        <f t="shared" si="3"/>
        <v>Regular Season</v>
      </c>
      <c r="N2607" s="239" t="str">
        <f t="shared" si="26"/>
        <v>Tayski</v>
      </c>
      <c r="O2607" s="6">
        <f>VLOOKUP(D2607,'Mapped Opponent'!$G$4:$H$22,2,0)</f>
        <v>12</v>
      </c>
      <c r="P2607" s="6"/>
      <c r="Q2607" s="6" t="str">
        <f t="shared" si="4"/>
        <v>Week 12</v>
      </c>
      <c r="R2607" s="6" t="str">
        <f t="shared" si="5"/>
        <v>2024Week 12</v>
      </c>
      <c r="S2607" s="6">
        <f>IFERROR(__xludf.DUMMYFUNCTION("rank(J2607,FILTER(J:J,R:R=R2607))"),5.0)</f>
        <v>5</v>
      </c>
      <c r="T2607" s="6">
        <f t="shared" si="6"/>
        <v>7</v>
      </c>
      <c r="U2607" s="6">
        <f t="shared" si="7"/>
        <v>5</v>
      </c>
      <c r="V2607" s="42">
        <f>averageif(AllData!A:A,B2607,AllData!R:R)/vlookup(B2607,AllData!A:O,15,0)</f>
        <v>94.42488095</v>
      </c>
      <c r="W2607" s="6"/>
    </row>
    <row r="2608" ht="14.25" customHeight="1">
      <c r="A2608" s="6" t="str">
        <f t="shared" si="28"/>
        <v>2024Ewert12</v>
      </c>
      <c r="B2608" s="59">
        <v>2024.0</v>
      </c>
      <c r="C2608" s="13" t="s">
        <v>108</v>
      </c>
      <c r="D2608" s="13" t="s">
        <v>151</v>
      </c>
      <c r="E2608" s="34"/>
      <c r="F2608" s="6"/>
      <c r="H2608" s="6"/>
      <c r="I2608" s="35" t="str">
        <f>IFERROR(IFERROR(IFERROR(VLOOKUP(B2608&amp;C2608&amp;Q2608,'New Weekly Paste'!A:M,10,0),VLOOKUP(B2608&amp;C2608&amp;Q2608,'New Weekly Paste'!B:O,6,0)),""),"")</f>
        <v>KnardDawg</v>
      </c>
      <c r="J2608" s="259">
        <f>IFERROR(IFERROR(VLOOKUP(B2608&amp;C2608&amp;Q2608,'New Weekly Paste'!A:M,8,0),VLOOKUP(B2608&amp;C2608&amp;Q2608,'New Weekly Paste'!B:O,10,0)),0)</f>
        <v>82.12</v>
      </c>
      <c r="K2608" s="259">
        <f>IFERROR(IFERROR(VLOOKUP(B2608&amp;I2608&amp;Q2608,'New Weekly Paste'!A:M,8,0),VLOOKUP(B2608&amp;I2608&amp;Q2608,'New Weekly Paste'!B:O,10,0)),0)</f>
        <v>133.2</v>
      </c>
      <c r="L2608" s="239">
        <f t="shared" si="25"/>
        <v>0</v>
      </c>
      <c r="M2608" s="36" t="str">
        <f t="shared" si="3"/>
        <v>Regular Season</v>
      </c>
      <c r="N2608" s="239" t="str">
        <f t="shared" si="26"/>
        <v>KnardDawg</v>
      </c>
      <c r="O2608" s="6">
        <f>VLOOKUP(D2608,'Mapped Opponent'!$G$4:$H$22,2,0)</f>
        <v>12</v>
      </c>
      <c r="P2608" s="6"/>
      <c r="Q2608" s="6" t="str">
        <f t="shared" si="4"/>
        <v>Week 12</v>
      </c>
      <c r="R2608" s="6" t="str">
        <f t="shared" si="5"/>
        <v>2024Week 12</v>
      </c>
      <c r="S2608" s="6">
        <f>IFERROR(__xludf.DUMMYFUNCTION("rank(J2608,FILTER(J:J,R:R=R2608))"),9.0)</f>
        <v>9</v>
      </c>
      <c r="T2608" s="6">
        <f t="shared" si="6"/>
        <v>3</v>
      </c>
      <c r="U2608" s="6">
        <f t="shared" si="7"/>
        <v>9</v>
      </c>
      <c r="V2608" s="42">
        <f>averageif(AllData!A:A,B2608,AllData!R:R)/vlookup(B2608,AllData!A:O,15,0)</f>
        <v>94.42488095</v>
      </c>
      <c r="W2608" s="6"/>
    </row>
    <row r="2609" ht="14.25" customHeight="1">
      <c r="A2609" s="6" t="str">
        <f t="shared" si="28"/>
        <v>2024Shep12</v>
      </c>
      <c r="B2609" s="59">
        <v>2024.0</v>
      </c>
      <c r="C2609" s="13" t="s">
        <v>89</v>
      </c>
      <c r="D2609" s="13" t="s">
        <v>151</v>
      </c>
      <c r="E2609" s="34"/>
      <c r="F2609" s="6"/>
      <c r="H2609" s="6"/>
      <c r="I2609" s="35" t="str">
        <f>IFERROR(IFERROR(IFERROR(VLOOKUP(B2609&amp;C2609&amp;Q2609,'New Weekly Paste'!A:M,10,0),VLOOKUP(B2609&amp;C2609&amp;Q2609,'New Weekly Paste'!B:O,6,0)),""),"")</f>
        <v>Riley</v>
      </c>
      <c r="J2609" s="259">
        <f>IFERROR(IFERROR(VLOOKUP(B2609&amp;C2609&amp;Q2609,'New Weekly Paste'!A:M,8,0),VLOOKUP(B2609&amp;C2609&amp;Q2609,'New Weekly Paste'!B:O,10,0)),0)</f>
        <v>85.38</v>
      </c>
      <c r="K2609" s="259">
        <f>IFERROR(IFERROR(VLOOKUP(B2609&amp;I2609&amp;Q2609,'New Weekly Paste'!A:M,8,0),VLOOKUP(B2609&amp;I2609&amp;Q2609,'New Weekly Paste'!B:O,10,0)),0)</f>
        <v>72</v>
      </c>
      <c r="L2609" s="239">
        <f t="shared" si="25"/>
        <v>1</v>
      </c>
      <c r="M2609" s="36" t="str">
        <f t="shared" si="3"/>
        <v>Regular Season</v>
      </c>
      <c r="N2609" s="239" t="str">
        <f t="shared" si="26"/>
        <v>Riley</v>
      </c>
      <c r="O2609" s="6">
        <f>VLOOKUP(D2609,'Mapped Opponent'!$G$4:$H$22,2,0)</f>
        <v>12</v>
      </c>
      <c r="P2609" s="6"/>
      <c r="Q2609" s="6" t="str">
        <f t="shared" si="4"/>
        <v>Week 12</v>
      </c>
      <c r="R2609" s="6" t="str">
        <f t="shared" si="5"/>
        <v>2024Week 12</v>
      </c>
      <c r="S2609" s="6">
        <f>IFERROR(__xludf.DUMMYFUNCTION("rank(J2609,FILTER(J:J,R:R=R2609))"),8.0)</f>
        <v>8</v>
      </c>
      <c r="T2609" s="6">
        <f t="shared" si="6"/>
        <v>4</v>
      </c>
      <c r="U2609" s="6">
        <f t="shared" si="7"/>
        <v>8</v>
      </c>
      <c r="V2609" s="42">
        <f>averageif(AllData!A:A,B2609,AllData!R:R)/vlookup(B2609,AllData!A:O,15,0)</f>
        <v>94.42488095</v>
      </c>
      <c r="W2609" s="6"/>
    </row>
    <row r="2610" ht="14.25" customHeight="1">
      <c r="A2610" s="6" t="str">
        <f t="shared" si="28"/>
        <v>2024Riley12</v>
      </c>
      <c r="B2610" s="59">
        <v>2024.0</v>
      </c>
      <c r="C2610" s="13" t="s">
        <v>67</v>
      </c>
      <c r="D2610" s="13" t="s">
        <v>151</v>
      </c>
      <c r="E2610" s="34"/>
      <c r="F2610" s="6"/>
      <c r="H2610" s="6"/>
      <c r="I2610" s="35" t="str">
        <f>IFERROR(IFERROR(IFERROR(VLOOKUP(B2610&amp;C2610&amp;Q2610,'New Weekly Paste'!A:M,10,0),VLOOKUP(B2610&amp;C2610&amp;Q2610,'New Weekly Paste'!B:O,6,0)),""),"")</f>
        <v>Shep</v>
      </c>
      <c r="J2610" s="259">
        <f>IFERROR(IFERROR(VLOOKUP(B2610&amp;C2610&amp;Q2610,'New Weekly Paste'!A:M,8,0),VLOOKUP(B2610&amp;C2610&amp;Q2610,'New Weekly Paste'!B:O,10,0)),0)</f>
        <v>72</v>
      </c>
      <c r="K2610" s="259">
        <f>IFERROR(IFERROR(VLOOKUP(B2610&amp;I2610&amp;Q2610,'New Weekly Paste'!A:M,8,0),VLOOKUP(B2610&amp;I2610&amp;Q2610,'New Weekly Paste'!B:O,10,0)),0)</f>
        <v>85.38</v>
      </c>
      <c r="L2610" s="239">
        <f t="shared" si="25"/>
        <v>0</v>
      </c>
      <c r="M2610" s="36" t="str">
        <f t="shared" si="3"/>
        <v>Regular Season</v>
      </c>
      <c r="N2610" s="239" t="str">
        <f t="shared" si="26"/>
        <v>Shep</v>
      </c>
      <c r="O2610" s="6">
        <f>VLOOKUP(D2610,'Mapped Opponent'!$G$4:$H$22,2,0)</f>
        <v>12</v>
      </c>
      <c r="P2610" s="6"/>
      <c r="Q2610" s="6" t="str">
        <f t="shared" si="4"/>
        <v>Week 12</v>
      </c>
      <c r="R2610" s="6" t="str">
        <f t="shared" si="5"/>
        <v>2024Week 12</v>
      </c>
      <c r="S2610" s="6">
        <f>IFERROR(__xludf.DUMMYFUNCTION("rank(J2610,FILTER(J:J,R:R=R2610))"),10.0)</f>
        <v>10</v>
      </c>
      <c r="T2610" s="6">
        <f t="shared" si="6"/>
        <v>2</v>
      </c>
      <c r="U2610" s="6">
        <f t="shared" si="7"/>
        <v>10</v>
      </c>
      <c r="V2610" s="42">
        <f>averageif(AllData!A:A,B2610,AllData!R:R)/vlookup(B2610,AllData!A:O,15,0)</f>
        <v>94.42488095</v>
      </c>
      <c r="W2610" s="6"/>
    </row>
    <row r="2611" ht="14.25" customHeight="1">
      <c r="A2611" s="6" t="str">
        <f t="shared" si="28"/>
        <v>2024Rooney/Jackson12</v>
      </c>
      <c r="B2611" s="59">
        <v>2024.0</v>
      </c>
      <c r="C2611" s="13" t="s">
        <v>57</v>
      </c>
      <c r="D2611" s="13" t="s">
        <v>151</v>
      </c>
      <c r="E2611" s="34"/>
      <c r="F2611" s="6"/>
      <c r="H2611" s="6"/>
      <c r="I2611" s="35" t="str">
        <f>IFERROR(IFERROR(IFERROR(VLOOKUP(B2611&amp;C2611&amp;Q2611,'New Weekly Paste'!A:M,10,0),VLOOKUP(B2611&amp;C2611&amp;Q2611,'New Weekly Paste'!B:O,6,0)),""),"")</f>
        <v>Hudspeath</v>
      </c>
      <c r="J2611" s="259">
        <f>IFERROR(IFERROR(VLOOKUP(B2611&amp;C2611&amp;Q2611,'New Weekly Paste'!A:M,8,0),VLOOKUP(B2611&amp;C2611&amp;Q2611,'New Weekly Paste'!B:O,10,0)),0)</f>
        <v>122.1</v>
      </c>
      <c r="K2611" s="259">
        <f>IFERROR(IFERROR(VLOOKUP(B2611&amp;I2611&amp;Q2611,'New Weekly Paste'!A:M,8,0),VLOOKUP(B2611&amp;I2611&amp;Q2611,'New Weekly Paste'!B:O,10,0)),0)</f>
        <v>61.96</v>
      </c>
      <c r="L2611" s="239">
        <f t="shared" si="25"/>
        <v>1</v>
      </c>
      <c r="M2611" s="36" t="str">
        <f t="shared" si="3"/>
        <v>Regular Season</v>
      </c>
      <c r="N2611" s="239" t="str">
        <f t="shared" si="26"/>
        <v>Hudspeath</v>
      </c>
      <c r="O2611" s="6">
        <f>VLOOKUP(D2611,'Mapped Opponent'!$G$4:$H$22,2,0)</f>
        <v>12</v>
      </c>
      <c r="P2611" s="6"/>
      <c r="Q2611" s="6" t="str">
        <f t="shared" si="4"/>
        <v>Week 12</v>
      </c>
      <c r="R2611" s="6" t="str">
        <f t="shared" si="5"/>
        <v>2024Week 12</v>
      </c>
      <c r="S2611" s="6">
        <f>IFERROR(__xludf.DUMMYFUNCTION("rank(J2611,FILTER(J:J,R:R=R2611))"),2.0)</f>
        <v>2</v>
      </c>
      <c r="T2611" s="6">
        <f t="shared" si="6"/>
        <v>10</v>
      </c>
      <c r="U2611" s="6">
        <f t="shared" si="7"/>
        <v>2</v>
      </c>
      <c r="V2611" s="42">
        <f>averageif(AllData!A:A,B2611,AllData!R:R)/vlookup(B2611,AllData!A:O,15,0)</f>
        <v>94.42488095</v>
      </c>
      <c r="W2611" s="6"/>
    </row>
    <row r="2612" ht="14.25" customHeight="1">
      <c r="A2612" s="6" t="str">
        <f t="shared" si="28"/>
        <v>2024Buser12</v>
      </c>
      <c r="B2612" s="59">
        <v>2024.0</v>
      </c>
      <c r="C2612" s="13" t="s">
        <v>47</v>
      </c>
      <c r="D2612" s="13" t="s">
        <v>151</v>
      </c>
      <c r="E2612" s="34"/>
      <c r="F2612" s="6"/>
      <c r="H2612" s="6"/>
      <c r="I2612" s="35" t="str">
        <f>IFERROR(IFERROR(IFERROR(VLOOKUP(B2612&amp;C2612&amp;Q2612,'New Weekly Paste'!A:M,10,0),VLOOKUP(B2612&amp;C2612&amp;Q2612,'New Weekly Paste'!B:O,6,0)),""),"")</f>
        <v>Pierson</v>
      </c>
      <c r="J2612" s="259">
        <f>IFERROR(IFERROR(VLOOKUP(B2612&amp;C2612&amp;Q2612,'New Weekly Paste'!A:M,8,0),VLOOKUP(B2612&amp;C2612&amp;Q2612,'New Weekly Paste'!B:O,10,0)),0)</f>
        <v>98.58</v>
      </c>
      <c r="K2612" s="259">
        <f>IFERROR(IFERROR(VLOOKUP(B2612&amp;I2612&amp;Q2612,'New Weekly Paste'!A:M,8,0),VLOOKUP(B2612&amp;I2612&amp;Q2612,'New Weekly Paste'!B:O,10,0)),0)</f>
        <v>96.78</v>
      </c>
      <c r="L2612" s="239">
        <f t="shared" si="25"/>
        <v>1</v>
      </c>
      <c r="M2612" s="36" t="str">
        <f t="shared" si="3"/>
        <v>Regular Season</v>
      </c>
      <c r="N2612" s="239" t="str">
        <f t="shared" si="26"/>
        <v>Pierson</v>
      </c>
      <c r="O2612" s="6">
        <f>VLOOKUP(D2612,'Mapped Opponent'!$G$4:$H$22,2,0)</f>
        <v>12</v>
      </c>
      <c r="P2612" s="6"/>
      <c r="Q2612" s="6" t="str">
        <f t="shared" si="4"/>
        <v>Week 12</v>
      </c>
      <c r="R2612" s="6" t="str">
        <f t="shared" si="5"/>
        <v>2024Week 12</v>
      </c>
      <c r="S2612" s="6">
        <f>IFERROR(__xludf.DUMMYFUNCTION("rank(J2612,FILTER(J:J,R:R=R2612))"),4.0)</f>
        <v>4</v>
      </c>
      <c r="T2612" s="6">
        <f t="shared" si="6"/>
        <v>8</v>
      </c>
      <c r="U2612" s="6">
        <f t="shared" si="7"/>
        <v>4</v>
      </c>
      <c r="V2612" s="42">
        <f>averageif(AllData!A:A,B2612,AllData!R:R)/vlookup(B2612,AllData!A:O,15,0)</f>
        <v>94.42488095</v>
      </c>
      <c r="W2612" s="6"/>
    </row>
    <row r="2613" ht="14.25" customHeight="1">
      <c r="A2613" s="6" t="str">
        <f t="shared" si="28"/>
        <v>2024Pierson12</v>
      </c>
      <c r="B2613" s="59">
        <v>2024.0</v>
      </c>
      <c r="C2613" s="13" t="s">
        <v>92</v>
      </c>
      <c r="D2613" s="13" t="s">
        <v>151</v>
      </c>
      <c r="E2613" s="34"/>
      <c r="F2613" s="6"/>
      <c r="H2613" s="6"/>
      <c r="I2613" s="35" t="str">
        <f>IFERROR(IFERROR(IFERROR(VLOOKUP(B2613&amp;C2613&amp;Q2613,'New Weekly Paste'!A:M,10,0),VLOOKUP(B2613&amp;C2613&amp;Q2613,'New Weekly Paste'!B:O,6,0)),""),"")</f>
        <v>Buser</v>
      </c>
      <c r="J2613" s="259">
        <f>IFERROR(IFERROR(VLOOKUP(B2613&amp;C2613&amp;Q2613,'New Weekly Paste'!A:M,8,0),VLOOKUP(B2613&amp;C2613&amp;Q2613,'New Weekly Paste'!B:O,10,0)),0)</f>
        <v>96.78</v>
      </c>
      <c r="K2613" s="259">
        <f>IFERROR(IFERROR(VLOOKUP(B2613&amp;I2613&amp;Q2613,'New Weekly Paste'!A:M,8,0),VLOOKUP(B2613&amp;I2613&amp;Q2613,'New Weekly Paste'!B:O,10,0)),0)</f>
        <v>98.58</v>
      </c>
      <c r="L2613" s="239">
        <f t="shared" si="25"/>
        <v>0</v>
      </c>
      <c r="M2613" s="36" t="str">
        <f t="shared" si="3"/>
        <v>Regular Season</v>
      </c>
      <c r="N2613" s="239" t="str">
        <f t="shared" si="26"/>
        <v>Buser</v>
      </c>
      <c r="O2613" s="6">
        <f>VLOOKUP(D2613,'Mapped Opponent'!$G$4:$H$22,2,0)</f>
        <v>12</v>
      </c>
      <c r="P2613" s="6"/>
      <c r="Q2613" s="6" t="str">
        <f t="shared" si="4"/>
        <v>Week 12</v>
      </c>
      <c r="R2613" s="6" t="str">
        <f t="shared" si="5"/>
        <v>2024Week 12</v>
      </c>
      <c r="S2613" s="6">
        <f>IFERROR(__xludf.DUMMYFUNCTION("rank(J2613,FILTER(J:J,R:R=R2613))"),6.0)</f>
        <v>6</v>
      </c>
      <c r="T2613" s="6">
        <f t="shared" si="6"/>
        <v>6</v>
      </c>
      <c r="U2613" s="6">
        <f t="shared" si="7"/>
        <v>6</v>
      </c>
      <c r="V2613" s="42">
        <f>averageif(AllData!A:A,B2613,AllData!R:R)/vlookup(B2613,AllData!A:O,15,0)</f>
        <v>94.42488095</v>
      </c>
      <c r="W2613" s="6"/>
    </row>
    <row r="2614" ht="14.25" customHeight="1">
      <c r="A2614" s="6" t="str">
        <f t="shared" si="28"/>
        <v>2024Cock12</v>
      </c>
      <c r="B2614" s="59">
        <v>2024.0</v>
      </c>
      <c r="C2614" s="13" t="s">
        <v>72</v>
      </c>
      <c r="D2614" s="13" t="s">
        <v>151</v>
      </c>
      <c r="E2614" s="34"/>
      <c r="F2614" s="6"/>
      <c r="H2614" s="6"/>
      <c r="I2614" s="35" t="str">
        <f>IFERROR(IFERROR(IFERROR(VLOOKUP(B2614&amp;C2614&amp;Q2614,'New Weekly Paste'!A:M,10,0),VLOOKUP(B2614&amp;C2614&amp;Q2614,'New Weekly Paste'!B:O,6,0)),""),"")</f>
        <v>T-How</v>
      </c>
      <c r="J2614" s="259">
        <f>IFERROR(IFERROR(VLOOKUP(B2614&amp;C2614&amp;Q2614,'New Weekly Paste'!A:M,8,0),VLOOKUP(B2614&amp;C2614&amp;Q2614,'New Weekly Paste'!B:O,10,0)),0)</f>
        <v>94.52</v>
      </c>
      <c r="K2614" s="259">
        <f>IFERROR(IFERROR(VLOOKUP(B2614&amp;I2614&amp;Q2614,'New Weekly Paste'!A:M,8,0),VLOOKUP(B2614&amp;I2614&amp;Q2614,'New Weekly Paste'!B:O,10,0)),0)</f>
        <v>101.36</v>
      </c>
      <c r="L2614" s="239">
        <f t="shared" si="25"/>
        <v>0</v>
      </c>
      <c r="M2614" s="36" t="str">
        <f t="shared" si="3"/>
        <v>Regular Season</v>
      </c>
      <c r="N2614" s="239" t="str">
        <f t="shared" si="26"/>
        <v>T-How</v>
      </c>
      <c r="O2614" s="6">
        <f>VLOOKUP(D2614,'Mapped Opponent'!$G$4:$H$22,2,0)</f>
        <v>12</v>
      </c>
      <c r="P2614" s="6"/>
      <c r="Q2614" s="6" t="str">
        <f t="shared" si="4"/>
        <v>Week 12</v>
      </c>
      <c r="R2614" s="6" t="str">
        <f t="shared" si="5"/>
        <v>2024Week 12</v>
      </c>
      <c r="S2614" s="6">
        <f>IFERROR(__xludf.DUMMYFUNCTION("rank(J2614,FILTER(J:J,R:R=R2614))"),7.0)</f>
        <v>7</v>
      </c>
      <c r="T2614" s="6">
        <f t="shared" si="6"/>
        <v>5</v>
      </c>
      <c r="U2614" s="6">
        <f t="shared" si="7"/>
        <v>7</v>
      </c>
      <c r="V2614" s="42">
        <f>averageif(AllData!A:A,B2614,AllData!R:R)/vlookup(B2614,AllData!A:O,15,0)</f>
        <v>94.42488095</v>
      </c>
      <c r="W2614" s="6"/>
    </row>
    <row r="2615" ht="14.25" customHeight="1">
      <c r="A2615" s="6" t="str">
        <f t="shared" si="28"/>
        <v>2024Tayski12</v>
      </c>
      <c r="B2615" s="59">
        <v>2024.0</v>
      </c>
      <c r="C2615" s="13" t="s">
        <v>52</v>
      </c>
      <c r="D2615" s="13" t="s">
        <v>151</v>
      </c>
      <c r="E2615" s="34"/>
      <c r="F2615" s="6"/>
      <c r="H2615" s="6"/>
      <c r="I2615" s="35" t="str">
        <f>IFERROR(IFERROR(IFERROR(VLOOKUP(B2615&amp;C2615&amp;Q2615,'New Weekly Paste'!A:M,10,0),VLOOKUP(B2615&amp;C2615&amp;Q2615,'New Weekly Paste'!B:O,6,0)),""),"")</f>
        <v>Salty</v>
      </c>
      <c r="J2615" s="259">
        <f>IFERROR(IFERROR(VLOOKUP(B2615&amp;C2615&amp;Q2615,'New Weekly Paste'!A:M,8,0),VLOOKUP(B2615&amp;C2615&amp;Q2615,'New Weekly Paste'!B:O,10,0)),0)</f>
        <v>53.26</v>
      </c>
      <c r="K2615" s="259">
        <f>IFERROR(IFERROR(VLOOKUP(B2615&amp;I2615&amp;Q2615,'New Weekly Paste'!A:M,8,0),VLOOKUP(B2615&amp;I2615&amp;Q2615,'New Weekly Paste'!B:O,10,0)),0)</f>
        <v>96.88</v>
      </c>
      <c r="L2615" s="239">
        <f t="shared" si="25"/>
        <v>0</v>
      </c>
      <c r="M2615" s="36" t="str">
        <f t="shared" si="3"/>
        <v>Regular Season</v>
      </c>
      <c r="N2615" s="239" t="str">
        <f t="shared" si="26"/>
        <v>Salty</v>
      </c>
      <c r="O2615" s="6">
        <f>VLOOKUP(D2615,'Mapped Opponent'!$G$4:$H$22,2,0)</f>
        <v>12</v>
      </c>
      <c r="P2615" s="6"/>
      <c r="Q2615" s="6" t="str">
        <f t="shared" si="4"/>
        <v>Week 12</v>
      </c>
      <c r="R2615" s="6" t="str">
        <f t="shared" si="5"/>
        <v>2024Week 12</v>
      </c>
      <c r="S2615" s="6">
        <f>IFERROR(__xludf.DUMMYFUNCTION("rank(J2615,FILTER(J:J,R:R=R2615))"),12.0)</f>
        <v>12</v>
      </c>
      <c r="T2615" s="6">
        <f t="shared" si="6"/>
        <v>0</v>
      </c>
      <c r="U2615" s="6">
        <f t="shared" si="7"/>
        <v>12</v>
      </c>
      <c r="V2615" s="42">
        <f>averageif(AllData!A:A,B2615,AllData!R:R)/vlookup(B2615,AllData!A:O,15,0)</f>
        <v>94.42488095</v>
      </c>
      <c r="W2615" s="6"/>
    </row>
    <row r="2616" ht="14.25" customHeight="1">
      <c r="A2616" s="6" t="str">
        <f t="shared" si="28"/>
        <v>2024KnardDawg12</v>
      </c>
      <c r="B2616" s="59">
        <v>2024.0</v>
      </c>
      <c r="C2616" s="13" t="s">
        <v>86</v>
      </c>
      <c r="D2616" s="13" t="s">
        <v>151</v>
      </c>
      <c r="E2616" s="34"/>
      <c r="F2616" s="6"/>
      <c r="H2616" s="6"/>
      <c r="I2616" s="35" t="str">
        <f>IFERROR(IFERROR(IFERROR(VLOOKUP(B2616&amp;C2616&amp;Q2616,'New Weekly Paste'!A:M,10,0),VLOOKUP(B2616&amp;C2616&amp;Q2616,'New Weekly Paste'!B:O,6,0)),""),"")</f>
        <v>Ewert</v>
      </c>
      <c r="J2616" s="259">
        <f>IFERROR(IFERROR(VLOOKUP(B2616&amp;C2616&amp;Q2616,'New Weekly Paste'!A:M,8,0),VLOOKUP(B2616&amp;C2616&amp;Q2616,'New Weekly Paste'!B:O,10,0)),0)</f>
        <v>133.2</v>
      </c>
      <c r="K2616" s="259">
        <f>IFERROR(IFERROR(VLOOKUP(B2616&amp;I2616&amp;Q2616,'New Weekly Paste'!A:M,8,0),VLOOKUP(B2616&amp;I2616&amp;Q2616,'New Weekly Paste'!B:O,10,0)),0)</f>
        <v>82.12</v>
      </c>
      <c r="L2616" s="239">
        <f t="shared" si="25"/>
        <v>1</v>
      </c>
      <c r="M2616" s="36" t="str">
        <f t="shared" si="3"/>
        <v>Regular Season</v>
      </c>
      <c r="N2616" s="239" t="str">
        <f t="shared" si="26"/>
        <v>Ewert</v>
      </c>
      <c r="O2616" s="6">
        <f>VLOOKUP(D2616,'Mapped Opponent'!$G$4:$H$22,2,0)</f>
        <v>12</v>
      </c>
      <c r="P2616" s="6"/>
      <c r="Q2616" s="6" t="str">
        <f t="shared" si="4"/>
        <v>Week 12</v>
      </c>
      <c r="R2616" s="6" t="str">
        <f t="shared" si="5"/>
        <v>2024Week 12</v>
      </c>
      <c r="S2616" s="6">
        <f>IFERROR(__xludf.DUMMYFUNCTION("rank(J2616,FILTER(J:J,R:R=R2616))"),1.0)</f>
        <v>1</v>
      </c>
      <c r="T2616" s="6">
        <f t="shared" si="6"/>
        <v>11</v>
      </c>
      <c r="U2616" s="6">
        <f t="shared" si="7"/>
        <v>1</v>
      </c>
      <c r="V2616" s="42">
        <f>averageif(AllData!A:A,B2616,AllData!R:R)/vlookup(B2616,AllData!A:O,15,0)</f>
        <v>94.42488095</v>
      </c>
      <c r="W2616" s="6"/>
    </row>
    <row r="2617" ht="14.25" customHeight="1">
      <c r="A2617" s="6" t="str">
        <f t="shared" si="28"/>
        <v>2024T-How12</v>
      </c>
      <c r="B2617" s="59">
        <v>2024.0</v>
      </c>
      <c r="C2617" s="13" t="s">
        <v>82</v>
      </c>
      <c r="D2617" s="13" t="s">
        <v>151</v>
      </c>
      <c r="E2617" s="34"/>
      <c r="F2617" s="6"/>
      <c r="H2617" s="6"/>
      <c r="I2617" s="35" t="str">
        <f>IFERROR(IFERROR(IFERROR(VLOOKUP(B2617&amp;C2617&amp;Q2617,'New Weekly Paste'!A:M,10,0),VLOOKUP(B2617&amp;C2617&amp;Q2617,'New Weekly Paste'!B:O,6,0)),""),"")</f>
        <v>Cock</v>
      </c>
      <c r="J2617" s="259">
        <f>IFERROR(IFERROR(VLOOKUP(B2617&amp;C2617&amp;Q2617,'New Weekly Paste'!A:M,8,0),VLOOKUP(B2617&amp;C2617&amp;Q2617,'New Weekly Paste'!B:O,10,0)),0)</f>
        <v>101.36</v>
      </c>
      <c r="K2617" s="259">
        <f>IFERROR(IFERROR(VLOOKUP(B2617&amp;I2617&amp;Q2617,'New Weekly Paste'!A:M,8,0),VLOOKUP(B2617&amp;I2617&amp;Q2617,'New Weekly Paste'!B:O,10,0)),0)</f>
        <v>94.52</v>
      </c>
      <c r="L2617" s="239">
        <f t="shared" si="25"/>
        <v>1</v>
      </c>
      <c r="M2617" s="36" t="str">
        <f t="shared" si="3"/>
        <v>Regular Season</v>
      </c>
      <c r="N2617" s="239" t="str">
        <f t="shared" si="26"/>
        <v>Cock</v>
      </c>
      <c r="O2617" s="6">
        <f>VLOOKUP(D2617,'Mapped Opponent'!$G$4:$H$22,2,0)</f>
        <v>12</v>
      </c>
      <c r="P2617" s="6"/>
      <c r="Q2617" s="6" t="str">
        <f t="shared" si="4"/>
        <v>Week 12</v>
      </c>
      <c r="R2617" s="6" t="str">
        <f t="shared" si="5"/>
        <v>2024Week 12</v>
      </c>
      <c r="S2617" s="6">
        <f>IFERROR(__xludf.DUMMYFUNCTION("rank(J2617,FILTER(J:J,R:R=R2617))"),3.0)</f>
        <v>3</v>
      </c>
      <c r="T2617" s="6">
        <f t="shared" si="6"/>
        <v>9</v>
      </c>
      <c r="U2617" s="6">
        <f t="shared" si="7"/>
        <v>3</v>
      </c>
      <c r="V2617" s="42">
        <f>averageif(AllData!A:A,B2617,AllData!R:R)/vlookup(B2617,AllData!A:O,15,0)</f>
        <v>94.42488095</v>
      </c>
      <c r="W2617" s="6"/>
    </row>
    <row r="2618" ht="14.25" customHeight="1">
      <c r="A2618" s="6" t="str">
        <f t="shared" si="28"/>
        <v>2024Hudspeath13</v>
      </c>
      <c r="B2618" s="59">
        <v>2024.0</v>
      </c>
      <c r="C2618" s="13" t="s">
        <v>39</v>
      </c>
      <c r="D2618" s="13" t="s">
        <v>152</v>
      </c>
      <c r="E2618" s="34"/>
      <c r="F2618" s="6"/>
      <c r="H2618" s="6"/>
      <c r="I2618" s="35" t="str">
        <f>IFERROR(IFERROR(IFERROR(VLOOKUP(B2618&amp;C2618&amp;Q2618,'New Weekly Paste'!A:M,10,0),VLOOKUP(B2618&amp;C2618&amp;Q2618,'New Weekly Paste'!B:O,6,0)),""),"")</f>
        <v>KnardDawg</v>
      </c>
      <c r="J2618" s="259">
        <f>IFERROR(IFERROR(VLOOKUP(B2618&amp;C2618&amp;Q2618,'New Weekly Paste'!A:M,8,0),VLOOKUP(B2618&amp;C2618&amp;Q2618,'New Weekly Paste'!B:O,10,0)),0)</f>
        <v>78.6</v>
      </c>
      <c r="K2618" s="259">
        <f>IFERROR(IFERROR(VLOOKUP(B2618&amp;I2618&amp;Q2618,'New Weekly Paste'!A:M,8,0),VLOOKUP(B2618&amp;I2618&amp;Q2618,'New Weekly Paste'!B:O,10,0)),0)</f>
        <v>140.04</v>
      </c>
      <c r="L2618" s="239">
        <f t="shared" si="25"/>
        <v>0</v>
      </c>
      <c r="M2618" s="36" t="str">
        <f t="shared" si="3"/>
        <v>Regular Season</v>
      </c>
      <c r="N2618" s="239" t="str">
        <f t="shared" si="26"/>
        <v>KnardDawg</v>
      </c>
      <c r="O2618" s="6">
        <f>VLOOKUP(D2618,'Mapped Opponent'!$G$4:$H$22,2,0)</f>
        <v>13</v>
      </c>
      <c r="P2618" s="6"/>
      <c r="Q2618" s="6" t="str">
        <f t="shared" si="4"/>
        <v>Week 13</v>
      </c>
      <c r="R2618" s="6" t="str">
        <f t="shared" si="5"/>
        <v>2024Week 13</v>
      </c>
      <c r="S2618" s="6">
        <f>IFERROR(__xludf.DUMMYFUNCTION("rank(J2618,FILTER(J:J,R:R=R2618))"),10.0)</f>
        <v>10</v>
      </c>
      <c r="T2618" s="6">
        <f t="shared" si="6"/>
        <v>2</v>
      </c>
      <c r="U2618" s="6">
        <f t="shared" si="7"/>
        <v>10</v>
      </c>
      <c r="V2618" s="42">
        <f>averageif(AllData!A:A,B2618,AllData!R:R)/vlookup(B2618,AllData!A:O,15,0)</f>
        <v>94.42488095</v>
      </c>
      <c r="W2618" s="6"/>
    </row>
    <row r="2619" ht="14.25" customHeight="1">
      <c r="A2619" s="6" t="str">
        <f t="shared" si="28"/>
        <v>2024Salty13</v>
      </c>
      <c r="B2619" s="59">
        <v>2024.0</v>
      </c>
      <c r="C2619" s="13" t="s">
        <v>76</v>
      </c>
      <c r="D2619" s="13" t="s">
        <v>152</v>
      </c>
      <c r="E2619" s="34"/>
      <c r="F2619" s="6"/>
      <c r="H2619" s="6"/>
      <c r="I2619" s="35" t="str">
        <f>IFERROR(IFERROR(IFERROR(VLOOKUP(B2619&amp;C2619&amp;Q2619,'New Weekly Paste'!A:M,10,0),VLOOKUP(B2619&amp;C2619&amp;Q2619,'New Weekly Paste'!B:O,6,0)),""),"")</f>
        <v>Ewert</v>
      </c>
      <c r="J2619" s="259">
        <f>IFERROR(IFERROR(VLOOKUP(B2619&amp;C2619&amp;Q2619,'New Weekly Paste'!A:M,8,0),VLOOKUP(B2619&amp;C2619&amp;Q2619,'New Weekly Paste'!B:O,10,0)),0)</f>
        <v>111.68</v>
      </c>
      <c r="K2619" s="259">
        <f>IFERROR(IFERROR(VLOOKUP(B2619&amp;I2619&amp;Q2619,'New Weekly Paste'!A:M,8,0),VLOOKUP(B2619&amp;I2619&amp;Q2619,'New Weekly Paste'!B:O,10,0)),0)</f>
        <v>93.18</v>
      </c>
      <c r="L2619" s="239">
        <f t="shared" si="25"/>
        <v>1</v>
      </c>
      <c r="M2619" s="36" t="str">
        <f t="shared" si="3"/>
        <v>Regular Season</v>
      </c>
      <c r="N2619" s="239" t="str">
        <f t="shared" si="26"/>
        <v>Ewert</v>
      </c>
      <c r="O2619" s="6">
        <f>VLOOKUP(D2619,'Mapped Opponent'!$G$4:$H$22,2,0)</f>
        <v>13</v>
      </c>
      <c r="P2619" s="6"/>
      <c r="Q2619" s="6" t="str">
        <f t="shared" si="4"/>
        <v>Week 13</v>
      </c>
      <c r="R2619" s="6" t="str">
        <f t="shared" si="5"/>
        <v>2024Week 13</v>
      </c>
      <c r="S2619" s="6">
        <f>IFERROR(__xludf.DUMMYFUNCTION("rank(J2619,FILTER(J:J,R:R=R2619))"),4.0)</f>
        <v>4</v>
      </c>
      <c r="T2619" s="6">
        <f t="shared" si="6"/>
        <v>8</v>
      </c>
      <c r="U2619" s="6">
        <f t="shared" si="7"/>
        <v>4</v>
      </c>
      <c r="V2619" s="42">
        <f>averageif(AllData!A:A,B2619,AllData!R:R)/vlookup(B2619,AllData!A:O,15,0)</f>
        <v>94.42488095</v>
      </c>
      <c r="W2619" s="6"/>
    </row>
    <row r="2620" ht="14.25" customHeight="1">
      <c r="A2620" s="6" t="str">
        <f t="shared" si="28"/>
        <v>2024Ewert13</v>
      </c>
      <c r="B2620" s="59">
        <v>2024.0</v>
      </c>
      <c r="C2620" s="13" t="s">
        <v>108</v>
      </c>
      <c r="D2620" s="13" t="s">
        <v>152</v>
      </c>
      <c r="E2620" s="34"/>
      <c r="F2620" s="6"/>
      <c r="H2620" s="6"/>
      <c r="I2620" s="35" t="str">
        <f>IFERROR(IFERROR(IFERROR(VLOOKUP(B2620&amp;C2620&amp;Q2620,'New Weekly Paste'!A:M,10,0),VLOOKUP(B2620&amp;C2620&amp;Q2620,'New Weekly Paste'!B:O,6,0)),""),"")</f>
        <v>Salty</v>
      </c>
      <c r="J2620" s="259">
        <f>IFERROR(IFERROR(VLOOKUP(B2620&amp;C2620&amp;Q2620,'New Weekly Paste'!A:M,8,0),VLOOKUP(B2620&amp;C2620&amp;Q2620,'New Weekly Paste'!B:O,10,0)),0)</f>
        <v>93.18</v>
      </c>
      <c r="K2620" s="259">
        <f>IFERROR(IFERROR(VLOOKUP(B2620&amp;I2620&amp;Q2620,'New Weekly Paste'!A:M,8,0),VLOOKUP(B2620&amp;I2620&amp;Q2620,'New Weekly Paste'!B:O,10,0)),0)</f>
        <v>111.68</v>
      </c>
      <c r="L2620" s="239">
        <f t="shared" si="25"/>
        <v>0</v>
      </c>
      <c r="M2620" s="36" t="str">
        <f t="shared" si="3"/>
        <v>Regular Season</v>
      </c>
      <c r="N2620" s="239" t="str">
        <f t="shared" si="26"/>
        <v>Salty</v>
      </c>
      <c r="O2620" s="6">
        <f>VLOOKUP(D2620,'Mapped Opponent'!$G$4:$H$22,2,0)</f>
        <v>13</v>
      </c>
      <c r="P2620" s="6"/>
      <c r="Q2620" s="6" t="str">
        <f t="shared" si="4"/>
        <v>Week 13</v>
      </c>
      <c r="R2620" s="6" t="str">
        <f t="shared" si="5"/>
        <v>2024Week 13</v>
      </c>
      <c r="S2620" s="6">
        <f>IFERROR(__xludf.DUMMYFUNCTION("rank(J2620,FILTER(J:J,R:R=R2620))"),7.0)</f>
        <v>7</v>
      </c>
      <c r="T2620" s="6">
        <f t="shared" si="6"/>
        <v>5</v>
      </c>
      <c r="U2620" s="6">
        <f t="shared" si="7"/>
        <v>7</v>
      </c>
      <c r="V2620" s="42">
        <f>averageif(AllData!A:A,B2620,AllData!R:R)/vlookup(B2620,AllData!A:O,15,0)</f>
        <v>94.42488095</v>
      </c>
      <c r="W2620" s="6"/>
    </row>
    <row r="2621" ht="14.25" customHeight="1">
      <c r="A2621" s="6" t="str">
        <f t="shared" si="28"/>
        <v>2024Shep13</v>
      </c>
      <c r="B2621" s="59">
        <v>2024.0</v>
      </c>
      <c r="C2621" s="13" t="s">
        <v>89</v>
      </c>
      <c r="D2621" s="13" t="s">
        <v>152</v>
      </c>
      <c r="E2621" s="34"/>
      <c r="F2621" s="6"/>
      <c r="H2621" s="6"/>
      <c r="I2621" s="35" t="str">
        <f>IFERROR(IFERROR(IFERROR(VLOOKUP(B2621&amp;C2621&amp;Q2621,'New Weekly Paste'!A:M,10,0),VLOOKUP(B2621&amp;C2621&amp;Q2621,'New Weekly Paste'!B:O,6,0)),""),"")</f>
        <v>Buser</v>
      </c>
      <c r="J2621" s="259">
        <f>IFERROR(IFERROR(VLOOKUP(B2621&amp;C2621&amp;Q2621,'New Weekly Paste'!A:M,8,0),VLOOKUP(B2621&amp;C2621&amp;Q2621,'New Weekly Paste'!B:O,10,0)),0)</f>
        <v>50.78</v>
      </c>
      <c r="K2621" s="259">
        <f>IFERROR(IFERROR(VLOOKUP(B2621&amp;I2621&amp;Q2621,'New Weekly Paste'!A:M,8,0),VLOOKUP(B2621&amp;I2621&amp;Q2621,'New Weekly Paste'!B:O,10,0)),0)</f>
        <v>111.26</v>
      </c>
      <c r="L2621" s="239">
        <f t="shared" si="25"/>
        <v>0</v>
      </c>
      <c r="M2621" s="36" t="str">
        <f t="shared" si="3"/>
        <v>Regular Season</v>
      </c>
      <c r="N2621" s="239" t="str">
        <f t="shared" si="26"/>
        <v>Buser</v>
      </c>
      <c r="O2621" s="6">
        <f>VLOOKUP(D2621,'Mapped Opponent'!$G$4:$H$22,2,0)</f>
        <v>13</v>
      </c>
      <c r="P2621" s="6"/>
      <c r="Q2621" s="6" t="str">
        <f t="shared" si="4"/>
        <v>Week 13</v>
      </c>
      <c r="R2621" s="6" t="str">
        <f t="shared" si="5"/>
        <v>2024Week 13</v>
      </c>
      <c r="S2621" s="6">
        <f>IFERROR(__xludf.DUMMYFUNCTION("rank(J2621,FILTER(J:J,R:R=R2621))"),11.0)</f>
        <v>11</v>
      </c>
      <c r="T2621" s="6">
        <f t="shared" si="6"/>
        <v>1</v>
      </c>
      <c r="U2621" s="6">
        <f t="shared" si="7"/>
        <v>11</v>
      </c>
      <c r="V2621" s="42">
        <f>averageif(AllData!A:A,B2621,AllData!R:R)/vlookup(B2621,AllData!A:O,15,0)</f>
        <v>94.42488095</v>
      </c>
      <c r="W2621" s="6"/>
    </row>
    <row r="2622" ht="14.25" customHeight="1">
      <c r="A2622" s="6" t="str">
        <f t="shared" si="28"/>
        <v>2024Riley13</v>
      </c>
      <c r="B2622" s="59">
        <v>2024.0</v>
      </c>
      <c r="C2622" s="13" t="s">
        <v>67</v>
      </c>
      <c r="D2622" s="13" t="s">
        <v>152</v>
      </c>
      <c r="E2622" s="34"/>
      <c r="F2622" s="6"/>
      <c r="H2622" s="6"/>
      <c r="I2622" s="35" t="str">
        <f>IFERROR(IFERROR(IFERROR(VLOOKUP(B2622&amp;C2622&amp;Q2622,'New Weekly Paste'!A:M,10,0),VLOOKUP(B2622&amp;C2622&amp;Q2622,'New Weekly Paste'!B:O,6,0)),""),"")</f>
        <v>Tayski</v>
      </c>
      <c r="J2622" s="259">
        <f>IFERROR(IFERROR(VLOOKUP(B2622&amp;C2622&amp;Q2622,'New Weekly Paste'!A:M,8,0),VLOOKUP(B2622&amp;C2622&amp;Q2622,'New Weekly Paste'!B:O,10,0)),0)</f>
        <v>133.7</v>
      </c>
      <c r="K2622" s="259">
        <f>IFERROR(IFERROR(VLOOKUP(B2622&amp;I2622&amp;Q2622,'New Weekly Paste'!A:M,8,0),VLOOKUP(B2622&amp;I2622&amp;Q2622,'New Weekly Paste'!B:O,10,0)),0)</f>
        <v>110.12</v>
      </c>
      <c r="L2622" s="239">
        <f t="shared" si="25"/>
        <v>1</v>
      </c>
      <c r="M2622" s="36" t="str">
        <f t="shared" si="3"/>
        <v>Regular Season</v>
      </c>
      <c r="N2622" s="239" t="str">
        <f t="shared" si="26"/>
        <v>Tayski</v>
      </c>
      <c r="O2622" s="6">
        <f>VLOOKUP(D2622,'Mapped Opponent'!$G$4:$H$22,2,0)</f>
        <v>13</v>
      </c>
      <c r="P2622" s="6"/>
      <c r="Q2622" s="6" t="str">
        <f t="shared" si="4"/>
        <v>Week 13</v>
      </c>
      <c r="R2622" s="6" t="str">
        <f t="shared" si="5"/>
        <v>2024Week 13</v>
      </c>
      <c r="S2622" s="6">
        <f>IFERROR(__xludf.DUMMYFUNCTION("rank(J2622,FILTER(J:J,R:R=R2622))"),3.0)</f>
        <v>3</v>
      </c>
      <c r="T2622" s="6">
        <f t="shared" si="6"/>
        <v>9</v>
      </c>
      <c r="U2622" s="6">
        <f t="shared" si="7"/>
        <v>3</v>
      </c>
      <c r="V2622" s="42">
        <f>averageif(AllData!A:A,B2622,AllData!R:R)/vlookup(B2622,AllData!A:O,15,0)</f>
        <v>94.42488095</v>
      </c>
      <c r="W2622" s="6"/>
    </row>
    <row r="2623" ht="14.25" customHeight="1">
      <c r="A2623" s="6" t="str">
        <f t="shared" si="28"/>
        <v>2024Rooney/Jackson13</v>
      </c>
      <c r="B2623" s="59">
        <v>2024.0</v>
      </c>
      <c r="C2623" s="13" t="s">
        <v>57</v>
      </c>
      <c r="D2623" s="13" t="s">
        <v>152</v>
      </c>
      <c r="E2623" s="34"/>
      <c r="F2623" s="6"/>
      <c r="H2623" s="6"/>
      <c r="I2623" s="35" t="str">
        <f>IFERROR(IFERROR(IFERROR(VLOOKUP(B2623&amp;C2623&amp;Q2623,'New Weekly Paste'!A:M,10,0),VLOOKUP(B2623&amp;C2623&amp;Q2623,'New Weekly Paste'!B:O,6,0)),""),"")</f>
        <v>Cock</v>
      </c>
      <c r="J2623" s="259">
        <f>IFERROR(IFERROR(VLOOKUP(B2623&amp;C2623&amp;Q2623,'New Weekly Paste'!A:M,8,0),VLOOKUP(B2623&amp;C2623&amp;Q2623,'New Weekly Paste'!B:O,10,0)),0)</f>
        <v>81.14</v>
      </c>
      <c r="K2623" s="259">
        <f>IFERROR(IFERROR(VLOOKUP(B2623&amp;I2623&amp;Q2623,'New Weekly Paste'!A:M,8,0),VLOOKUP(B2623&amp;I2623&amp;Q2623,'New Weekly Paste'!B:O,10,0)),0)</f>
        <v>36.86</v>
      </c>
      <c r="L2623" s="239">
        <f t="shared" si="25"/>
        <v>1</v>
      </c>
      <c r="M2623" s="36" t="str">
        <f t="shared" si="3"/>
        <v>Regular Season</v>
      </c>
      <c r="N2623" s="239" t="str">
        <f t="shared" si="26"/>
        <v>Cock</v>
      </c>
      <c r="O2623" s="6">
        <f>VLOOKUP(D2623,'Mapped Opponent'!$G$4:$H$22,2,0)</f>
        <v>13</v>
      </c>
      <c r="P2623" s="6"/>
      <c r="Q2623" s="6" t="str">
        <f t="shared" si="4"/>
        <v>Week 13</v>
      </c>
      <c r="R2623" s="6" t="str">
        <f t="shared" si="5"/>
        <v>2024Week 13</v>
      </c>
      <c r="S2623" s="6">
        <f>IFERROR(__xludf.DUMMYFUNCTION("rank(J2623,FILTER(J:J,R:R=R2623))"),9.0)</f>
        <v>9</v>
      </c>
      <c r="T2623" s="6">
        <f t="shared" si="6"/>
        <v>3</v>
      </c>
      <c r="U2623" s="6">
        <f t="shared" si="7"/>
        <v>9</v>
      </c>
      <c r="V2623" s="42">
        <f>averageif(AllData!A:A,B2623,AllData!R:R)/vlookup(B2623,AllData!A:O,15,0)</f>
        <v>94.42488095</v>
      </c>
      <c r="W2623" s="6"/>
    </row>
    <row r="2624" ht="14.25" customHeight="1">
      <c r="A2624" s="6" t="str">
        <f t="shared" si="28"/>
        <v>2024Buser13</v>
      </c>
      <c r="B2624" s="59">
        <v>2024.0</v>
      </c>
      <c r="C2624" s="13" t="s">
        <v>47</v>
      </c>
      <c r="D2624" s="13" t="s">
        <v>152</v>
      </c>
      <c r="E2624" s="34"/>
      <c r="F2624" s="6"/>
      <c r="H2624" s="6"/>
      <c r="I2624" s="35" t="str">
        <f>IFERROR(IFERROR(IFERROR(VLOOKUP(B2624&amp;C2624&amp;Q2624,'New Weekly Paste'!A:M,10,0),VLOOKUP(B2624&amp;C2624&amp;Q2624,'New Weekly Paste'!B:O,6,0)),""),"")</f>
        <v>Shep</v>
      </c>
      <c r="J2624" s="259">
        <f>IFERROR(IFERROR(VLOOKUP(B2624&amp;C2624&amp;Q2624,'New Weekly Paste'!A:M,8,0),VLOOKUP(B2624&amp;C2624&amp;Q2624,'New Weekly Paste'!B:O,10,0)),0)</f>
        <v>111.26</v>
      </c>
      <c r="K2624" s="259">
        <f>IFERROR(IFERROR(VLOOKUP(B2624&amp;I2624&amp;Q2624,'New Weekly Paste'!A:M,8,0),VLOOKUP(B2624&amp;I2624&amp;Q2624,'New Weekly Paste'!B:O,10,0)),0)</f>
        <v>50.78</v>
      </c>
      <c r="L2624" s="239">
        <f t="shared" si="25"/>
        <v>1</v>
      </c>
      <c r="M2624" s="36" t="str">
        <f t="shared" si="3"/>
        <v>Regular Season</v>
      </c>
      <c r="N2624" s="239" t="str">
        <f t="shared" si="26"/>
        <v>Shep</v>
      </c>
      <c r="O2624" s="6">
        <f>VLOOKUP(D2624,'Mapped Opponent'!$G$4:$H$22,2,0)</f>
        <v>13</v>
      </c>
      <c r="P2624" s="6"/>
      <c r="Q2624" s="6" t="str">
        <f t="shared" si="4"/>
        <v>Week 13</v>
      </c>
      <c r="R2624" s="6" t="str">
        <f t="shared" si="5"/>
        <v>2024Week 13</v>
      </c>
      <c r="S2624" s="6">
        <f>IFERROR(__xludf.DUMMYFUNCTION("rank(J2624,FILTER(J:J,R:R=R2624))"),5.0)</f>
        <v>5</v>
      </c>
      <c r="T2624" s="6">
        <f t="shared" si="6"/>
        <v>7</v>
      </c>
      <c r="U2624" s="6">
        <f t="shared" si="7"/>
        <v>5</v>
      </c>
      <c r="V2624" s="42">
        <f>averageif(AllData!A:A,B2624,AllData!R:R)/vlookup(B2624,AllData!A:O,15,0)</f>
        <v>94.42488095</v>
      </c>
      <c r="W2624" s="6"/>
    </row>
    <row r="2625" ht="14.25" customHeight="1">
      <c r="A2625" s="6" t="str">
        <f t="shared" si="28"/>
        <v>2024Pierson13</v>
      </c>
      <c r="B2625" s="59">
        <v>2024.0</v>
      </c>
      <c r="C2625" s="13" t="s">
        <v>92</v>
      </c>
      <c r="D2625" s="13" t="s">
        <v>152</v>
      </c>
      <c r="E2625" s="34"/>
      <c r="F2625" s="6"/>
      <c r="H2625" s="6"/>
      <c r="I2625" s="35" t="str">
        <f>IFERROR(IFERROR(IFERROR(VLOOKUP(B2625&amp;C2625&amp;Q2625,'New Weekly Paste'!A:M,10,0),VLOOKUP(B2625&amp;C2625&amp;Q2625,'New Weekly Paste'!B:O,6,0)),""),"")</f>
        <v>T-How</v>
      </c>
      <c r="J2625" s="259">
        <f>IFERROR(IFERROR(VLOOKUP(B2625&amp;C2625&amp;Q2625,'New Weekly Paste'!A:M,8,0),VLOOKUP(B2625&amp;C2625&amp;Q2625,'New Weekly Paste'!B:O,10,0)),0)</f>
        <v>90.06</v>
      </c>
      <c r="K2625" s="259">
        <f>IFERROR(IFERROR(VLOOKUP(B2625&amp;I2625&amp;Q2625,'New Weekly Paste'!A:M,8,0),VLOOKUP(B2625&amp;I2625&amp;Q2625,'New Weekly Paste'!B:O,10,0)),0)</f>
        <v>136.32</v>
      </c>
      <c r="L2625" s="239">
        <f t="shared" si="25"/>
        <v>0</v>
      </c>
      <c r="M2625" s="36" t="str">
        <f t="shared" si="3"/>
        <v>Regular Season</v>
      </c>
      <c r="N2625" s="239" t="str">
        <f t="shared" si="26"/>
        <v>T-How</v>
      </c>
      <c r="O2625" s="6">
        <f>VLOOKUP(D2625,'Mapped Opponent'!$G$4:$H$22,2,0)</f>
        <v>13</v>
      </c>
      <c r="P2625" s="6"/>
      <c r="Q2625" s="6" t="str">
        <f t="shared" si="4"/>
        <v>Week 13</v>
      </c>
      <c r="R2625" s="6" t="str">
        <f t="shared" si="5"/>
        <v>2024Week 13</v>
      </c>
      <c r="S2625" s="6">
        <f>IFERROR(__xludf.DUMMYFUNCTION("rank(J2625,FILTER(J:J,R:R=R2625))"),8.0)</f>
        <v>8</v>
      </c>
      <c r="T2625" s="6">
        <f t="shared" si="6"/>
        <v>4</v>
      </c>
      <c r="U2625" s="6">
        <f t="shared" si="7"/>
        <v>8</v>
      </c>
      <c r="V2625" s="42">
        <f>averageif(AllData!A:A,B2625,AllData!R:R)/vlookup(B2625,AllData!A:O,15,0)</f>
        <v>94.42488095</v>
      </c>
      <c r="W2625" s="6"/>
    </row>
    <row r="2626" ht="14.25" customHeight="1">
      <c r="A2626" s="6" t="str">
        <f t="shared" si="28"/>
        <v>2024Cock13</v>
      </c>
      <c r="B2626" s="59">
        <v>2024.0</v>
      </c>
      <c r="C2626" s="13" t="s">
        <v>72</v>
      </c>
      <c r="D2626" s="13" t="s">
        <v>152</v>
      </c>
      <c r="E2626" s="34"/>
      <c r="F2626" s="6"/>
      <c r="H2626" s="6"/>
      <c r="I2626" s="35" t="str">
        <f>IFERROR(IFERROR(IFERROR(VLOOKUP(B2626&amp;C2626&amp;Q2626,'New Weekly Paste'!A:M,10,0),VLOOKUP(B2626&amp;C2626&amp;Q2626,'New Weekly Paste'!B:O,6,0)),""),"")</f>
        <v>Rooney/Jackson</v>
      </c>
      <c r="J2626" s="259">
        <f>IFERROR(IFERROR(VLOOKUP(B2626&amp;C2626&amp;Q2626,'New Weekly Paste'!A:M,8,0),VLOOKUP(B2626&amp;C2626&amp;Q2626,'New Weekly Paste'!B:O,10,0)),0)</f>
        <v>36.86</v>
      </c>
      <c r="K2626" s="259">
        <f>IFERROR(IFERROR(VLOOKUP(B2626&amp;I2626&amp;Q2626,'New Weekly Paste'!A:M,8,0),VLOOKUP(B2626&amp;I2626&amp;Q2626,'New Weekly Paste'!B:O,10,0)),0)</f>
        <v>81.14</v>
      </c>
      <c r="L2626" s="239">
        <f t="shared" si="25"/>
        <v>0</v>
      </c>
      <c r="M2626" s="36" t="str">
        <f t="shared" si="3"/>
        <v>Regular Season</v>
      </c>
      <c r="N2626" s="239" t="str">
        <f t="shared" si="26"/>
        <v>Rooney/Jackson</v>
      </c>
      <c r="O2626" s="6">
        <f>VLOOKUP(D2626,'Mapped Opponent'!$G$4:$H$22,2,0)</f>
        <v>13</v>
      </c>
      <c r="P2626" s="6"/>
      <c r="Q2626" s="6" t="str">
        <f t="shared" si="4"/>
        <v>Week 13</v>
      </c>
      <c r="R2626" s="6" t="str">
        <f t="shared" si="5"/>
        <v>2024Week 13</v>
      </c>
      <c r="S2626" s="6">
        <f>IFERROR(__xludf.DUMMYFUNCTION("rank(J2626,FILTER(J:J,R:R=R2626))"),12.0)</f>
        <v>12</v>
      </c>
      <c r="T2626" s="6">
        <f t="shared" si="6"/>
        <v>0</v>
      </c>
      <c r="U2626" s="6">
        <f t="shared" si="7"/>
        <v>12</v>
      </c>
      <c r="V2626" s="42">
        <f>averageif(AllData!A:A,B2626,AllData!R:R)/vlookup(B2626,AllData!A:O,15,0)</f>
        <v>94.42488095</v>
      </c>
      <c r="W2626" s="6"/>
    </row>
    <row r="2627" ht="14.25" customHeight="1">
      <c r="A2627" s="6" t="str">
        <f t="shared" si="28"/>
        <v>2024Tayski13</v>
      </c>
      <c r="B2627" s="59">
        <v>2024.0</v>
      </c>
      <c r="C2627" s="13" t="s">
        <v>52</v>
      </c>
      <c r="D2627" s="13" t="s">
        <v>152</v>
      </c>
      <c r="E2627" s="34"/>
      <c r="F2627" s="6"/>
      <c r="H2627" s="6"/>
      <c r="I2627" s="35" t="str">
        <f>IFERROR(IFERROR(IFERROR(VLOOKUP(B2627&amp;C2627&amp;Q2627,'New Weekly Paste'!A:M,10,0),VLOOKUP(B2627&amp;C2627&amp;Q2627,'New Weekly Paste'!B:O,6,0)),""),"")</f>
        <v>Riley</v>
      </c>
      <c r="J2627" s="259">
        <f>IFERROR(IFERROR(VLOOKUP(B2627&amp;C2627&amp;Q2627,'New Weekly Paste'!A:M,8,0),VLOOKUP(B2627&amp;C2627&amp;Q2627,'New Weekly Paste'!B:O,10,0)),0)</f>
        <v>110.12</v>
      </c>
      <c r="K2627" s="259">
        <f>IFERROR(IFERROR(VLOOKUP(B2627&amp;I2627&amp;Q2627,'New Weekly Paste'!A:M,8,0),VLOOKUP(B2627&amp;I2627&amp;Q2627,'New Weekly Paste'!B:O,10,0)),0)</f>
        <v>133.7</v>
      </c>
      <c r="L2627" s="239">
        <f t="shared" si="25"/>
        <v>0</v>
      </c>
      <c r="M2627" s="36" t="str">
        <f t="shared" si="3"/>
        <v>Regular Season</v>
      </c>
      <c r="N2627" s="239" t="str">
        <f t="shared" si="26"/>
        <v>Riley</v>
      </c>
      <c r="O2627" s="6">
        <f>VLOOKUP(D2627,'Mapped Opponent'!$G$4:$H$22,2,0)</f>
        <v>13</v>
      </c>
      <c r="P2627" s="6"/>
      <c r="Q2627" s="6" t="str">
        <f t="shared" si="4"/>
        <v>Week 13</v>
      </c>
      <c r="R2627" s="6" t="str">
        <f t="shared" si="5"/>
        <v>2024Week 13</v>
      </c>
      <c r="S2627" s="6">
        <f>IFERROR(__xludf.DUMMYFUNCTION("rank(J2627,FILTER(J:J,R:R=R2627))"),6.0)</f>
        <v>6</v>
      </c>
      <c r="T2627" s="6">
        <f t="shared" si="6"/>
        <v>6</v>
      </c>
      <c r="U2627" s="6">
        <f t="shared" si="7"/>
        <v>6</v>
      </c>
      <c r="V2627" s="42">
        <f>averageif(AllData!A:A,B2627,AllData!R:R)/vlookup(B2627,AllData!A:O,15,0)</f>
        <v>94.42488095</v>
      </c>
      <c r="W2627" s="6"/>
    </row>
    <row r="2628" ht="14.25" customHeight="1">
      <c r="A2628" s="6" t="str">
        <f t="shared" si="28"/>
        <v>2024KnardDawg13</v>
      </c>
      <c r="B2628" s="59">
        <v>2024.0</v>
      </c>
      <c r="C2628" s="13" t="s">
        <v>86</v>
      </c>
      <c r="D2628" s="13" t="s">
        <v>152</v>
      </c>
      <c r="E2628" s="34"/>
      <c r="F2628" s="6"/>
      <c r="H2628" s="6"/>
      <c r="I2628" s="35" t="str">
        <f>IFERROR(IFERROR(IFERROR(VLOOKUP(B2628&amp;C2628&amp;Q2628,'New Weekly Paste'!A:M,10,0),VLOOKUP(B2628&amp;C2628&amp;Q2628,'New Weekly Paste'!B:O,6,0)),""),"")</f>
        <v>Hudspeath</v>
      </c>
      <c r="J2628" s="259">
        <f>IFERROR(IFERROR(VLOOKUP(B2628&amp;C2628&amp;Q2628,'New Weekly Paste'!A:M,8,0),VLOOKUP(B2628&amp;C2628&amp;Q2628,'New Weekly Paste'!B:O,10,0)),0)</f>
        <v>140.04</v>
      </c>
      <c r="K2628" s="259">
        <f>IFERROR(IFERROR(VLOOKUP(B2628&amp;I2628&amp;Q2628,'New Weekly Paste'!A:M,8,0),VLOOKUP(B2628&amp;I2628&amp;Q2628,'New Weekly Paste'!B:O,10,0)),0)</f>
        <v>78.6</v>
      </c>
      <c r="L2628" s="239">
        <f t="shared" si="25"/>
        <v>1</v>
      </c>
      <c r="M2628" s="36" t="str">
        <f t="shared" si="3"/>
        <v>Regular Season</v>
      </c>
      <c r="N2628" s="239" t="str">
        <f t="shared" si="26"/>
        <v>Hudspeath</v>
      </c>
      <c r="O2628" s="6">
        <f>VLOOKUP(D2628,'Mapped Opponent'!$G$4:$H$22,2,0)</f>
        <v>13</v>
      </c>
      <c r="P2628" s="6"/>
      <c r="Q2628" s="6" t="str">
        <f t="shared" si="4"/>
        <v>Week 13</v>
      </c>
      <c r="R2628" s="6" t="str">
        <f t="shared" si="5"/>
        <v>2024Week 13</v>
      </c>
      <c r="S2628" s="6">
        <f>IFERROR(__xludf.DUMMYFUNCTION("rank(J2628,FILTER(J:J,R:R=R2628))"),1.0)</f>
        <v>1</v>
      </c>
      <c r="T2628" s="6">
        <f t="shared" si="6"/>
        <v>11</v>
      </c>
      <c r="U2628" s="6">
        <f t="shared" si="7"/>
        <v>1</v>
      </c>
      <c r="V2628" s="42">
        <f>averageif(AllData!A:A,B2628,AllData!R:R)/vlookup(B2628,AllData!A:O,15,0)</f>
        <v>94.42488095</v>
      </c>
      <c r="W2628" s="6"/>
    </row>
    <row r="2629" ht="14.25" customHeight="1">
      <c r="A2629" s="6" t="str">
        <f t="shared" si="28"/>
        <v>2024T-How13</v>
      </c>
      <c r="B2629" s="59">
        <v>2024.0</v>
      </c>
      <c r="C2629" s="13" t="s">
        <v>82</v>
      </c>
      <c r="D2629" s="13" t="s">
        <v>152</v>
      </c>
      <c r="E2629" s="34"/>
      <c r="F2629" s="6"/>
      <c r="H2629" s="6"/>
      <c r="I2629" s="35" t="str">
        <f>IFERROR(IFERROR(IFERROR(VLOOKUP(B2629&amp;C2629&amp;Q2629,'New Weekly Paste'!A:M,10,0),VLOOKUP(B2629&amp;C2629&amp;Q2629,'New Weekly Paste'!B:O,6,0)),""),"")</f>
        <v>Pierson</v>
      </c>
      <c r="J2629" s="259">
        <f>IFERROR(IFERROR(VLOOKUP(B2629&amp;C2629&amp;Q2629,'New Weekly Paste'!A:M,8,0),VLOOKUP(B2629&amp;C2629&amp;Q2629,'New Weekly Paste'!B:O,10,0)),0)</f>
        <v>136.32</v>
      </c>
      <c r="K2629" s="259">
        <f>IFERROR(IFERROR(VLOOKUP(B2629&amp;I2629&amp;Q2629,'New Weekly Paste'!A:M,8,0),VLOOKUP(B2629&amp;I2629&amp;Q2629,'New Weekly Paste'!B:O,10,0)),0)</f>
        <v>90.06</v>
      </c>
      <c r="L2629" s="239">
        <f t="shared" si="25"/>
        <v>1</v>
      </c>
      <c r="M2629" s="36" t="str">
        <f t="shared" si="3"/>
        <v>Regular Season</v>
      </c>
      <c r="N2629" s="239" t="str">
        <f t="shared" si="26"/>
        <v>Pierson</v>
      </c>
      <c r="O2629" s="6">
        <f>VLOOKUP(D2629,'Mapped Opponent'!$G$4:$H$22,2,0)</f>
        <v>13</v>
      </c>
      <c r="P2629" s="6"/>
      <c r="Q2629" s="6" t="str">
        <f t="shared" si="4"/>
        <v>Week 13</v>
      </c>
      <c r="R2629" s="6" t="str">
        <f t="shared" si="5"/>
        <v>2024Week 13</v>
      </c>
      <c r="S2629" s="6">
        <f>IFERROR(__xludf.DUMMYFUNCTION("rank(J2629,FILTER(J:J,R:R=R2629))"),2.0)</f>
        <v>2</v>
      </c>
      <c r="T2629" s="6">
        <f t="shared" si="6"/>
        <v>10</v>
      </c>
      <c r="U2629" s="6">
        <f t="shared" si="7"/>
        <v>2</v>
      </c>
      <c r="V2629" s="42">
        <f>averageif(AllData!A:A,B2629,AllData!R:R)/vlookup(B2629,AllData!A:O,15,0)</f>
        <v>94.42488095</v>
      </c>
      <c r="W2629" s="6"/>
    </row>
    <row r="2630" ht="14.25" customHeight="1">
      <c r="A2630" s="6" t="str">
        <f t="shared" si="28"/>
        <v>2024Hudspeath14</v>
      </c>
      <c r="B2630" s="59">
        <v>2024.0</v>
      </c>
      <c r="C2630" s="13" t="s">
        <v>39</v>
      </c>
      <c r="D2630" s="13" t="s">
        <v>156</v>
      </c>
      <c r="E2630" s="34"/>
      <c r="F2630" s="6"/>
      <c r="H2630" s="6"/>
      <c r="I2630" s="35" t="str">
        <f>IFERROR(IFERROR(IFERROR(VLOOKUP(B2630&amp;C2630&amp;Q2630,'New Weekly Paste'!A:M,10,0),VLOOKUP(B2630&amp;C2630&amp;Q2630,'New Weekly Paste'!B:O,6,0)),""),"")</f>
        <v>Salty</v>
      </c>
      <c r="J2630" s="259">
        <f>IFERROR(IFERROR(VLOOKUP(B2630&amp;C2630&amp;Q2630,'New Weekly Paste'!A:M,8,0),VLOOKUP(B2630&amp;C2630&amp;Q2630,'New Weekly Paste'!B:O,10,0)),0)</f>
        <v>100.8</v>
      </c>
      <c r="K2630" s="259">
        <f>IFERROR(IFERROR(VLOOKUP(B2630&amp;I2630&amp;Q2630,'New Weekly Paste'!A:M,8,0),VLOOKUP(B2630&amp;I2630&amp;Q2630,'New Weekly Paste'!B:O,10,0)),0)</f>
        <v>108.32</v>
      </c>
      <c r="L2630" s="239">
        <f t="shared" si="25"/>
        <v>0</v>
      </c>
      <c r="M2630" s="36" t="str">
        <f t="shared" si="3"/>
        <v>Regular Season</v>
      </c>
      <c r="N2630" s="239" t="str">
        <f t="shared" si="26"/>
        <v>Salty</v>
      </c>
      <c r="O2630" s="6">
        <f>VLOOKUP(D2630,'Mapped Opponent'!$G$4:$H$22,2,0)</f>
        <v>14</v>
      </c>
      <c r="P2630" s="6"/>
      <c r="Q2630" s="6" t="str">
        <f t="shared" si="4"/>
        <v>Week 14</v>
      </c>
      <c r="R2630" s="6" t="str">
        <f t="shared" si="5"/>
        <v>2024Week 14</v>
      </c>
      <c r="S2630" s="6">
        <f>IFERROR(__xludf.DUMMYFUNCTION("rank(J2630,FILTER(J:J,R:R=R2630))"),7.0)</f>
        <v>7</v>
      </c>
      <c r="T2630" s="6">
        <f t="shared" si="6"/>
        <v>5</v>
      </c>
      <c r="U2630" s="6">
        <f t="shared" si="7"/>
        <v>7</v>
      </c>
      <c r="V2630" s="42">
        <f>averageif(AllData!A:A,B2630,AllData!R:R)/vlookup(B2630,AllData!A:O,15,0)</f>
        <v>94.42488095</v>
      </c>
      <c r="W2630" s="6"/>
    </row>
    <row r="2631" ht="14.25" customHeight="1">
      <c r="A2631" s="6" t="str">
        <f t="shared" si="28"/>
        <v>2024Salty14</v>
      </c>
      <c r="B2631" s="59">
        <v>2024.0</v>
      </c>
      <c r="C2631" s="13" t="s">
        <v>76</v>
      </c>
      <c r="D2631" s="13" t="s">
        <v>156</v>
      </c>
      <c r="E2631" s="34"/>
      <c r="F2631" s="6"/>
      <c r="H2631" s="6"/>
      <c r="I2631" s="35" t="str">
        <f>IFERROR(IFERROR(IFERROR(VLOOKUP(B2631&amp;C2631&amp;Q2631,'New Weekly Paste'!A:M,10,0),VLOOKUP(B2631&amp;C2631&amp;Q2631,'New Weekly Paste'!B:O,6,0)),""),"")</f>
        <v>Hudspeath</v>
      </c>
      <c r="J2631" s="259">
        <f>IFERROR(IFERROR(VLOOKUP(B2631&amp;C2631&amp;Q2631,'New Weekly Paste'!A:M,8,0),VLOOKUP(B2631&amp;C2631&amp;Q2631,'New Weekly Paste'!B:O,10,0)),0)</f>
        <v>108.32</v>
      </c>
      <c r="K2631" s="259">
        <f>IFERROR(IFERROR(VLOOKUP(B2631&amp;I2631&amp;Q2631,'New Weekly Paste'!A:M,8,0),VLOOKUP(B2631&amp;I2631&amp;Q2631,'New Weekly Paste'!B:O,10,0)),0)</f>
        <v>100.8</v>
      </c>
      <c r="L2631" s="239">
        <f t="shared" si="25"/>
        <v>1</v>
      </c>
      <c r="M2631" s="36" t="str">
        <f t="shared" si="3"/>
        <v>Regular Season</v>
      </c>
      <c r="N2631" s="239" t="str">
        <f t="shared" si="26"/>
        <v>Hudspeath</v>
      </c>
      <c r="O2631" s="6">
        <f>VLOOKUP(D2631,'Mapped Opponent'!$G$4:$H$22,2,0)</f>
        <v>14</v>
      </c>
      <c r="P2631" s="6"/>
      <c r="Q2631" s="6" t="str">
        <f t="shared" si="4"/>
        <v>Week 14</v>
      </c>
      <c r="R2631" s="6" t="str">
        <f t="shared" si="5"/>
        <v>2024Week 14</v>
      </c>
      <c r="S2631" s="6">
        <f>IFERROR(__xludf.DUMMYFUNCTION("rank(J2631,FILTER(J:J,R:R=R2631))"),4.0)</f>
        <v>4</v>
      </c>
      <c r="T2631" s="6">
        <f t="shared" si="6"/>
        <v>8</v>
      </c>
      <c r="U2631" s="6">
        <f t="shared" si="7"/>
        <v>4</v>
      </c>
      <c r="V2631" s="42">
        <f>averageif(AllData!A:A,B2631,AllData!R:R)/vlookup(B2631,AllData!A:O,15,0)</f>
        <v>94.42488095</v>
      </c>
      <c r="W2631" s="6"/>
    </row>
    <row r="2632" ht="14.25" customHeight="1">
      <c r="A2632" s="6" t="str">
        <f t="shared" si="28"/>
        <v>2024Ewert14</v>
      </c>
      <c r="B2632" s="59">
        <v>2024.0</v>
      </c>
      <c r="C2632" s="13" t="s">
        <v>108</v>
      </c>
      <c r="D2632" s="13" t="s">
        <v>156</v>
      </c>
      <c r="E2632" s="34"/>
      <c r="F2632" s="6"/>
      <c r="H2632" s="6"/>
      <c r="I2632" s="35" t="str">
        <f>IFERROR(IFERROR(IFERROR(VLOOKUP(B2632&amp;C2632&amp;Q2632,'New Weekly Paste'!A:M,10,0),VLOOKUP(B2632&amp;C2632&amp;Q2632,'New Weekly Paste'!B:O,6,0)),""),"")</f>
        <v>Riley</v>
      </c>
      <c r="J2632" s="259">
        <f>IFERROR(IFERROR(VLOOKUP(B2632&amp;C2632&amp;Q2632,'New Weekly Paste'!A:M,8,0),VLOOKUP(B2632&amp;C2632&amp;Q2632,'New Weekly Paste'!B:O,10,0)),0)</f>
        <v>79.62</v>
      </c>
      <c r="K2632" s="259">
        <f>IFERROR(IFERROR(VLOOKUP(B2632&amp;I2632&amp;Q2632,'New Weekly Paste'!A:M,8,0),VLOOKUP(B2632&amp;I2632&amp;Q2632,'New Weekly Paste'!B:O,10,0)),0)</f>
        <v>133.26</v>
      </c>
      <c r="L2632" s="239">
        <f t="shared" si="25"/>
        <v>0</v>
      </c>
      <c r="M2632" s="36" t="str">
        <f t="shared" si="3"/>
        <v>Regular Season</v>
      </c>
      <c r="N2632" s="239" t="str">
        <f t="shared" si="26"/>
        <v>Riley</v>
      </c>
      <c r="O2632" s="6">
        <f>VLOOKUP(D2632,'Mapped Opponent'!$G$4:$H$22,2,0)</f>
        <v>14</v>
      </c>
      <c r="P2632" s="6"/>
      <c r="Q2632" s="6" t="str">
        <f t="shared" si="4"/>
        <v>Week 14</v>
      </c>
      <c r="R2632" s="6" t="str">
        <f t="shared" si="5"/>
        <v>2024Week 14</v>
      </c>
      <c r="S2632" s="6">
        <f>IFERROR(__xludf.DUMMYFUNCTION("rank(J2632,FILTER(J:J,R:R=R2632))"),10.0)</f>
        <v>10</v>
      </c>
      <c r="T2632" s="6">
        <f t="shared" si="6"/>
        <v>2</v>
      </c>
      <c r="U2632" s="6">
        <f t="shared" si="7"/>
        <v>10</v>
      </c>
      <c r="V2632" s="42">
        <f>averageif(AllData!A:A,B2632,AllData!R:R)/vlookup(B2632,AllData!A:O,15,0)</f>
        <v>94.42488095</v>
      </c>
      <c r="W2632" s="6"/>
    </row>
    <row r="2633" ht="14.25" customHeight="1">
      <c r="A2633" s="6" t="str">
        <f t="shared" si="28"/>
        <v>2024Shep14</v>
      </c>
      <c r="B2633" s="59">
        <v>2024.0</v>
      </c>
      <c r="C2633" s="13" t="s">
        <v>89</v>
      </c>
      <c r="D2633" s="13" t="s">
        <v>156</v>
      </c>
      <c r="E2633" s="34"/>
      <c r="F2633" s="6"/>
      <c r="H2633" s="6"/>
      <c r="I2633" s="35" t="str">
        <f>IFERROR(IFERROR(IFERROR(VLOOKUP(B2633&amp;C2633&amp;Q2633,'New Weekly Paste'!A:M,10,0),VLOOKUP(B2633&amp;C2633&amp;Q2633,'New Weekly Paste'!B:O,6,0)),""),"")</f>
        <v>T-How</v>
      </c>
      <c r="J2633" s="259">
        <f>IFERROR(IFERROR(VLOOKUP(B2633&amp;C2633&amp;Q2633,'New Weekly Paste'!A:M,8,0),VLOOKUP(B2633&amp;C2633&amp;Q2633,'New Weekly Paste'!B:O,10,0)),0)</f>
        <v>94.62</v>
      </c>
      <c r="K2633" s="259">
        <f>IFERROR(IFERROR(VLOOKUP(B2633&amp;I2633&amp;Q2633,'New Weekly Paste'!A:M,8,0),VLOOKUP(B2633&amp;I2633&amp;Q2633,'New Weekly Paste'!B:O,10,0)),0)</f>
        <v>79.22</v>
      </c>
      <c r="L2633" s="239">
        <f t="shared" si="25"/>
        <v>1</v>
      </c>
      <c r="M2633" s="36" t="str">
        <f t="shared" si="3"/>
        <v>Regular Season</v>
      </c>
      <c r="N2633" s="239" t="str">
        <f t="shared" si="26"/>
        <v>T-How</v>
      </c>
      <c r="O2633" s="6">
        <f>VLOOKUP(D2633,'Mapped Opponent'!$G$4:$H$22,2,0)</f>
        <v>14</v>
      </c>
      <c r="P2633" s="6"/>
      <c r="Q2633" s="6" t="str">
        <f t="shared" si="4"/>
        <v>Week 14</v>
      </c>
      <c r="R2633" s="6" t="str">
        <f t="shared" si="5"/>
        <v>2024Week 14</v>
      </c>
      <c r="S2633" s="6">
        <f>IFERROR(__xludf.DUMMYFUNCTION("rank(J2633,FILTER(J:J,R:R=R2633))"),8.0)</f>
        <v>8</v>
      </c>
      <c r="T2633" s="6">
        <f t="shared" si="6"/>
        <v>4</v>
      </c>
      <c r="U2633" s="6">
        <f t="shared" si="7"/>
        <v>8</v>
      </c>
      <c r="V2633" s="42">
        <f>averageif(AllData!A:A,B2633,AllData!R:R)/vlookup(B2633,AllData!A:O,15,0)</f>
        <v>94.42488095</v>
      </c>
      <c r="W2633" s="6"/>
    </row>
    <row r="2634" ht="14.25" customHeight="1">
      <c r="A2634" s="6" t="str">
        <f t="shared" si="28"/>
        <v>2024Riley14</v>
      </c>
      <c r="B2634" s="59">
        <v>2024.0</v>
      </c>
      <c r="C2634" s="13" t="s">
        <v>67</v>
      </c>
      <c r="D2634" s="13" t="s">
        <v>156</v>
      </c>
      <c r="E2634" s="34"/>
      <c r="F2634" s="6"/>
      <c r="H2634" s="6"/>
      <c r="I2634" s="35" t="str">
        <f>IFERROR(IFERROR(IFERROR(VLOOKUP(B2634&amp;C2634&amp;Q2634,'New Weekly Paste'!A:M,10,0),VLOOKUP(B2634&amp;C2634&amp;Q2634,'New Weekly Paste'!B:O,6,0)),""),"")</f>
        <v>Ewert</v>
      </c>
      <c r="J2634" s="259">
        <f>IFERROR(IFERROR(VLOOKUP(B2634&amp;C2634&amp;Q2634,'New Weekly Paste'!A:M,8,0),VLOOKUP(B2634&amp;C2634&amp;Q2634,'New Weekly Paste'!B:O,10,0)),0)</f>
        <v>133.26</v>
      </c>
      <c r="K2634" s="259">
        <f>IFERROR(IFERROR(VLOOKUP(B2634&amp;I2634&amp;Q2634,'New Weekly Paste'!A:M,8,0),VLOOKUP(B2634&amp;I2634&amp;Q2634,'New Weekly Paste'!B:O,10,0)),0)</f>
        <v>79.62</v>
      </c>
      <c r="L2634" s="239">
        <f t="shared" si="25"/>
        <v>1</v>
      </c>
      <c r="M2634" s="36" t="str">
        <f t="shared" si="3"/>
        <v>Regular Season</v>
      </c>
      <c r="N2634" s="239" t="str">
        <f t="shared" si="26"/>
        <v>Ewert</v>
      </c>
      <c r="O2634" s="6">
        <f>VLOOKUP(D2634,'Mapped Opponent'!$G$4:$H$22,2,0)</f>
        <v>14</v>
      </c>
      <c r="P2634" s="6"/>
      <c r="Q2634" s="6" t="str">
        <f t="shared" si="4"/>
        <v>Week 14</v>
      </c>
      <c r="R2634" s="6" t="str">
        <f t="shared" si="5"/>
        <v>2024Week 14</v>
      </c>
      <c r="S2634" s="6">
        <f>IFERROR(__xludf.DUMMYFUNCTION("rank(J2634,FILTER(J:J,R:R=R2634))"),1.0)</f>
        <v>1</v>
      </c>
      <c r="T2634" s="6">
        <f t="shared" si="6"/>
        <v>11</v>
      </c>
      <c r="U2634" s="6">
        <f t="shared" si="7"/>
        <v>1</v>
      </c>
      <c r="V2634" s="42">
        <f>averageif(AllData!A:A,B2634,AllData!R:R)/vlookup(B2634,AllData!A:O,15,0)</f>
        <v>94.42488095</v>
      </c>
      <c r="W2634" s="6"/>
    </row>
    <row r="2635" ht="14.25" customHeight="1">
      <c r="A2635" s="6" t="str">
        <f t="shared" si="28"/>
        <v>2024Rooney/Jackson14</v>
      </c>
      <c r="B2635" s="59">
        <v>2024.0</v>
      </c>
      <c r="C2635" s="13" t="s">
        <v>57</v>
      </c>
      <c r="D2635" s="13" t="s">
        <v>156</v>
      </c>
      <c r="E2635" s="34"/>
      <c r="F2635" s="6"/>
      <c r="H2635" s="6"/>
      <c r="I2635" s="35" t="str">
        <f>IFERROR(IFERROR(IFERROR(VLOOKUP(B2635&amp;C2635&amp;Q2635,'New Weekly Paste'!A:M,10,0),VLOOKUP(B2635&amp;C2635&amp;Q2635,'New Weekly Paste'!B:O,6,0)),""),"")</f>
        <v>KnardDawg</v>
      </c>
      <c r="J2635" s="259">
        <f>IFERROR(IFERROR(VLOOKUP(B2635&amp;C2635&amp;Q2635,'New Weekly Paste'!A:M,8,0),VLOOKUP(B2635&amp;C2635&amp;Q2635,'New Weekly Paste'!B:O,10,0)),0)</f>
        <v>107.5</v>
      </c>
      <c r="K2635" s="259">
        <f>IFERROR(IFERROR(VLOOKUP(B2635&amp;I2635&amp;Q2635,'New Weekly Paste'!A:M,8,0),VLOOKUP(B2635&amp;I2635&amp;Q2635,'New Weekly Paste'!B:O,10,0)),0)</f>
        <v>72.26</v>
      </c>
      <c r="L2635" s="239">
        <f t="shared" si="25"/>
        <v>1</v>
      </c>
      <c r="M2635" s="36" t="str">
        <f t="shared" si="3"/>
        <v>Regular Season</v>
      </c>
      <c r="N2635" s="239" t="str">
        <f t="shared" si="26"/>
        <v>KnardDawg</v>
      </c>
      <c r="O2635" s="6">
        <f>VLOOKUP(D2635,'Mapped Opponent'!$G$4:$H$22,2,0)</f>
        <v>14</v>
      </c>
      <c r="P2635" s="6"/>
      <c r="Q2635" s="6" t="str">
        <f t="shared" si="4"/>
        <v>Week 14</v>
      </c>
      <c r="R2635" s="6" t="str">
        <f t="shared" si="5"/>
        <v>2024Week 14</v>
      </c>
      <c r="S2635" s="6">
        <f>IFERROR(__xludf.DUMMYFUNCTION("rank(J2635,FILTER(J:J,R:R=R2635))"),5.0)</f>
        <v>5</v>
      </c>
      <c r="T2635" s="6">
        <f t="shared" si="6"/>
        <v>7</v>
      </c>
      <c r="U2635" s="6">
        <f t="shared" si="7"/>
        <v>5</v>
      </c>
      <c r="V2635" s="42">
        <f>averageif(AllData!A:A,B2635,AllData!R:R)/vlookup(B2635,AllData!A:O,15,0)</f>
        <v>94.42488095</v>
      </c>
      <c r="W2635" s="6"/>
    </row>
    <row r="2636" ht="14.25" customHeight="1">
      <c r="A2636" s="6" t="str">
        <f t="shared" si="28"/>
        <v>2024Buser14</v>
      </c>
      <c r="B2636" s="59">
        <v>2024.0</v>
      </c>
      <c r="C2636" s="13" t="s">
        <v>47</v>
      </c>
      <c r="D2636" s="13" t="s">
        <v>156</v>
      </c>
      <c r="E2636" s="34"/>
      <c r="F2636" s="6"/>
      <c r="H2636" s="6"/>
      <c r="I2636" s="35" t="str">
        <f>IFERROR(IFERROR(IFERROR(VLOOKUP(B2636&amp;C2636&amp;Q2636,'New Weekly Paste'!A:M,10,0),VLOOKUP(B2636&amp;C2636&amp;Q2636,'New Weekly Paste'!B:O,6,0)),""),"")</f>
        <v>Tayski</v>
      </c>
      <c r="J2636" s="259">
        <f>IFERROR(IFERROR(VLOOKUP(B2636&amp;C2636&amp;Q2636,'New Weekly Paste'!A:M,8,0),VLOOKUP(B2636&amp;C2636&amp;Q2636,'New Weekly Paste'!B:O,10,0)),0)</f>
        <v>118.64</v>
      </c>
      <c r="K2636" s="259">
        <f>IFERROR(IFERROR(VLOOKUP(B2636&amp;I2636&amp;Q2636,'New Weekly Paste'!A:M,8,0),VLOOKUP(B2636&amp;I2636&amp;Q2636,'New Weekly Paste'!B:O,10,0)),0)</f>
        <v>118.68</v>
      </c>
      <c r="L2636" s="239">
        <f t="shared" si="25"/>
        <v>0</v>
      </c>
      <c r="M2636" s="36" t="str">
        <f t="shared" si="3"/>
        <v>Regular Season</v>
      </c>
      <c r="N2636" s="239" t="str">
        <f t="shared" si="26"/>
        <v>Tayski</v>
      </c>
      <c r="O2636" s="6">
        <f>VLOOKUP(D2636,'Mapped Opponent'!$G$4:$H$22,2,0)</f>
        <v>14</v>
      </c>
      <c r="P2636" s="6"/>
      <c r="Q2636" s="6" t="str">
        <f t="shared" si="4"/>
        <v>Week 14</v>
      </c>
      <c r="R2636" s="6" t="str">
        <f t="shared" si="5"/>
        <v>2024Week 14</v>
      </c>
      <c r="S2636" s="6">
        <f>IFERROR(__xludf.DUMMYFUNCTION("rank(J2636,FILTER(J:J,R:R=R2636))"),3.0)</f>
        <v>3</v>
      </c>
      <c r="T2636" s="6">
        <f t="shared" si="6"/>
        <v>9</v>
      </c>
      <c r="U2636" s="6">
        <f t="shared" si="7"/>
        <v>3</v>
      </c>
      <c r="V2636" s="42">
        <f>averageif(AllData!A:A,B2636,AllData!R:R)/vlookup(B2636,AllData!A:O,15,0)</f>
        <v>94.42488095</v>
      </c>
      <c r="W2636" s="6"/>
    </row>
    <row r="2637" ht="14.25" customHeight="1">
      <c r="A2637" s="6" t="str">
        <f t="shared" si="28"/>
        <v>2024Pierson14</v>
      </c>
      <c r="B2637" s="59">
        <v>2024.0</v>
      </c>
      <c r="C2637" s="13" t="s">
        <v>92</v>
      </c>
      <c r="D2637" s="13" t="s">
        <v>156</v>
      </c>
      <c r="E2637" s="34"/>
      <c r="F2637" s="6"/>
      <c r="H2637" s="6"/>
      <c r="I2637" s="35" t="str">
        <f>IFERROR(IFERROR(IFERROR(VLOOKUP(B2637&amp;C2637&amp;Q2637,'New Weekly Paste'!A:M,10,0),VLOOKUP(B2637&amp;C2637&amp;Q2637,'New Weekly Paste'!B:O,6,0)),""),"")</f>
        <v>Cock</v>
      </c>
      <c r="J2637" s="259">
        <f>IFERROR(IFERROR(VLOOKUP(B2637&amp;C2637&amp;Q2637,'New Weekly Paste'!A:M,8,0),VLOOKUP(B2637&amp;C2637&amp;Q2637,'New Weekly Paste'!B:O,10,0)),0)</f>
        <v>101.56</v>
      </c>
      <c r="K2637" s="259">
        <f>IFERROR(IFERROR(VLOOKUP(B2637&amp;I2637&amp;Q2637,'New Weekly Paste'!A:M,8,0),VLOOKUP(B2637&amp;I2637&amp;Q2637,'New Weekly Paste'!B:O,10,0)),0)</f>
        <v>86.3</v>
      </c>
      <c r="L2637" s="239">
        <f t="shared" si="25"/>
        <v>1</v>
      </c>
      <c r="M2637" s="36" t="str">
        <f t="shared" si="3"/>
        <v>Regular Season</v>
      </c>
      <c r="N2637" s="239" t="str">
        <f t="shared" si="26"/>
        <v>Cock</v>
      </c>
      <c r="O2637" s="6">
        <f>VLOOKUP(D2637,'Mapped Opponent'!$G$4:$H$22,2,0)</f>
        <v>14</v>
      </c>
      <c r="P2637" s="6"/>
      <c r="Q2637" s="6" t="str">
        <f t="shared" si="4"/>
        <v>Week 14</v>
      </c>
      <c r="R2637" s="6" t="str">
        <f t="shared" si="5"/>
        <v>2024Week 14</v>
      </c>
      <c r="S2637" s="6">
        <f>IFERROR(__xludf.DUMMYFUNCTION("rank(J2637,FILTER(J:J,R:R=R2637))"),6.0)</f>
        <v>6</v>
      </c>
      <c r="T2637" s="6">
        <f t="shared" si="6"/>
        <v>6</v>
      </c>
      <c r="U2637" s="6">
        <f t="shared" si="7"/>
        <v>6</v>
      </c>
      <c r="V2637" s="42">
        <f>averageif(AllData!A:A,B2637,AllData!R:R)/vlookup(B2637,AllData!A:O,15,0)</f>
        <v>94.42488095</v>
      </c>
      <c r="W2637" s="6"/>
    </row>
    <row r="2638" ht="14.25" customHeight="1">
      <c r="A2638" s="6" t="str">
        <f t="shared" si="28"/>
        <v>2024Cock14</v>
      </c>
      <c r="B2638" s="59">
        <v>2024.0</v>
      </c>
      <c r="C2638" s="13" t="s">
        <v>72</v>
      </c>
      <c r="D2638" s="13" t="s">
        <v>156</v>
      </c>
      <c r="E2638" s="34"/>
      <c r="F2638" s="6"/>
      <c r="H2638" s="6"/>
      <c r="I2638" s="35" t="str">
        <f>IFERROR(IFERROR(IFERROR(VLOOKUP(B2638&amp;C2638&amp;Q2638,'New Weekly Paste'!A:M,10,0),VLOOKUP(B2638&amp;C2638&amp;Q2638,'New Weekly Paste'!B:O,6,0)),""),"")</f>
        <v>Pierson</v>
      </c>
      <c r="J2638" s="259">
        <f>IFERROR(IFERROR(VLOOKUP(B2638&amp;C2638&amp;Q2638,'New Weekly Paste'!A:M,8,0),VLOOKUP(B2638&amp;C2638&amp;Q2638,'New Weekly Paste'!B:O,10,0)),0)</f>
        <v>86.3</v>
      </c>
      <c r="K2638" s="259">
        <f>IFERROR(IFERROR(VLOOKUP(B2638&amp;I2638&amp;Q2638,'New Weekly Paste'!A:M,8,0),VLOOKUP(B2638&amp;I2638&amp;Q2638,'New Weekly Paste'!B:O,10,0)),0)</f>
        <v>101.56</v>
      </c>
      <c r="L2638" s="239">
        <f t="shared" si="25"/>
        <v>0</v>
      </c>
      <c r="M2638" s="36" t="str">
        <f t="shared" si="3"/>
        <v>Regular Season</v>
      </c>
      <c r="N2638" s="239" t="str">
        <f t="shared" si="26"/>
        <v>Pierson</v>
      </c>
      <c r="O2638" s="6">
        <f>VLOOKUP(D2638,'Mapped Opponent'!$G$4:$H$22,2,0)</f>
        <v>14</v>
      </c>
      <c r="P2638" s="6"/>
      <c r="Q2638" s="6" t="str">
        <f t="shared" si="4"/>
        <v>Week 14</v>
      </c>
      <c r="R2638" s="6" t="str">
        <f t="shared" si="5"/>
        <v>2024Week 14</v>
      </c>
      <c r="S2638" s="6">
        <f>IFERROR(__xludf.DUMMYFUNCTION("rank(J2638,FILTER(J:J,R:R=R2638))"),9.0)</f>
        <v>9</v>
      </c>
      <c r="T2638" s="6">
        <f t="shared" si="6"/>
        <v>3</v>
      </c>
      <c r="U2638" s="6">
        <f t="shared" si="7"/>
        <v>9</v>
      </c>
      <c r="V2638" s="42">
        <f>averageif(AllData!A:A,B2638,AllData!R:R)/vlookup(B2638,AllData!A:O,15,0)</f>
        <v>94.42488095</v>
      </c>
      <c r="W2638" s="6"/>
    </row>
    <row r="2639" ht="14.25" customHeight="1">
      <c r="A2639" s="6" t="str">
        <f t="shared" si="28"/>
        <v>2024Tayski14</v>
      </c>
      <c r="B2639" s="59">
        <v>2024.0</v>
      </c>
      <c r="C2639" s="13" t="s">
        <v>52</v>
      </c>
      <c r="D2639" s="13" t="s">
        <v>156</v>
      </c>
      <c r="E2639" s="34"/>
      <c r="F2639" s="6"/>
      <c r="H2639" s="6"/>
      <c r="I2639" s="35" t="str">
        <f>IFERROR(IFERROR(IFERROR(VLOOKUP(B2639&amp;C2639&amp;Q2639,'New Weekly Paste'!A:M,10,0),VLOOKUP(B2639&amp;C2639&amp;Q2639,'New Weekly Paste'!B:O,6,0)),""),"")</f>
        <v>Buser</v>
      </c>
      <c r="J2639" s="259">
        <f>IFERROR(IFERROR(VLOOKUP(B2639&amp;C2639&amp;Q2639,'New Weekly Paste'!A:M,8,0),VLOOKUP(B2639&amp;C2639&amp;Q2639,'New Weekly Paste'!B:O,10,0)),0)</f>
        <v>118.68</v>
      </c>
      <c r="K2639" s="259">
        <f>IFERROR(IFERROR(VLOOKUP(B2639&amp;I2639&amp;Q2639,'New Weekly Paste'!A:M,8,0),VLOOKUP(B2639&amp;I2639&amp;Q2639,'New Weekly Paste'!B:O,10,0)),0)</f>
        <v>118.64</v>
      </c>
      <c r="L2639" s="239">
        <f t="shared" si="25"/>
        <v>1</v>
      </c>
      <c r="M2639" s="36" t="str">
        <f t="shared" si="3"/>
        <v>Regular Season</v>
      </c>
      <c r="N2639" s="239" t="str">
        <f t="shared" si="26"/>
        <v>Buser</v>
      </c>
      <c r="O2639" s="6">
        <f>VLOOKUP(D2639,'Mapped Opponent'!$G$4:$H$22,2,0)</f>
        <v>14</v>
      </c>
      <c r="P2639" s="6"/>
      <c r="Q2639" s="6" t="str">
        <f t="shared" si="4"/>
        <v>Week 14</v>
      </c>
      <c r="R2639" s="6" t="str">
        <f t="shared" si="5"/>
        <v>2024Week 14</v>
      </c>
      <c r="S2639" s="6">
        <f>IFERROR(__xludf.DUMMYFUNCTION("rank(J2639,FILTER(J:J,R:R=R2639))"),2.0)</f>
        <v>2</v>
      </c>
      <c r="T2639" s="6">
        <f t="shared" si="6"/>
        <v>10</v>
      </c>
      <c r="U2639" s="6">
        <f t="shared" si="7"/>
        <v>2</v>
      </c>
      <c r="V2639" s="42">
        <f>averageif(AllData!A:A,B2639,AllData!R:R)/vlookup(B2639,AllData!A:O,15,0)</f>
        <v>94.42488095</v>
      </c>
      <c r="W2639" s="6"/>
    </row>
    <row r="2640" ht="14.25" customHeight="1">
      <c r="A2640" s="6" t="str">
        <f t="shared" si="28"/>
        <v>2024KnardDawg14</v>
      </c>
      <c r="B2640" s="59">
        <v>2024.0</v>
      </c>
      <c r="C2640" s="13" t="s">
        <v>86</v>
      </c>
      <c r="D2640" s="13" t="s">
        <v>156</v>
      </c>
      <c r="E2640" s="34"/>
      <c r="F2640" s="6"/>
      <c r="H2640" s="6"/>
      <c r="I2640" s="35" t="str">
        <f>IFERROR(IFERROR(IFERROR(VLOOKUP(B2640&amp;C2640&amp;Q2640,'New Weekly Paste'!A:M,10,0),VLOOKUP(B2640&amp;C2640&amp;Q2640,'New Weekly Paste'!B:O,6,0)),""),"")</f>
        <v>Rooney/Jackson</v>
      </c>
      <c r="J2640" s="259">
        <f>IFERROR(IFERROR(VLOOKUP(B2640&amp;C2640&amp;Q2640,'New Weekly Paste'!A:M,8,0),VLOOKUP(B2640&amp;C2640&amp;Q2640,'New Weekly Paste'!B:O,10,0)),0)</f>
        <v>72.26</v>
      </c>
      <c r="K2640" s="259">
        <f>IFERROR(IFERROR(VLOOKUP(B2640&amp;I2640&amp;Q2640,'New Weekly Paste'!A:M,8,0),VLOOKUP(B2640&amp;I2640&amp;Q2640,'New Weekly Paste'!B:O,10,0)),0)</f>
        <v>107.5</v>
      </c>
      <c r="L2640" s="239">
        <f t="shared" si="25"/>
        <v>0</v>
      </c>
      <c r="M2640" s="36" t="str">
        <f t="shared" si="3"/>
        <v>Regular Season</v>
      </c>
      <c r="N2640" s="239" t="str">
        <f t="shared" si="26"/>
        <v>Rooney/Jackson</v>
      </c>
      <c r="O2640" s="6">
        <f>VLOOKUP(D2640,'Mapped Opponent'!$G$4:$H$22,2,0)</f>
        <v>14</v>
      </c>
      <c r="P2640" s="6"/>
      <c r="Q2640" s="6" t="str">
        <f t="shared" si="4"/>
        <v>Week 14</v>
      </c>
      <c r="R2640" s="6" t="str">
        <f t="shared" si="5"/>
        <v>2024Week 14</v>
      </c>
      <c r="S2640" s="6">
        <f>IFERROR(__xludf.DUMMYFUNCTION("rank(J2640,FILTER(J:J,R:R=R2640))"),12.0)</f>
        <v>12</v>
      </c>
      <c r="T2640" s="6">
        <f t="shared" si="6"/>
        <v>0</v>
      </c>
      <c r="U2640" s="6">
        <f t="shared" si="7"/>
        <v>12</v>
      </c>
      <c r="V2640" s="42">
        <f>averageif(AllData!A:A,B2640,AllData!R:R)/vlookup(B2640,AllData!A:O,15,0)</f>
        <v>94.42488095</v>
      </c>
      <c r="W2640" s="6"/>
    </row>
    <row r="2641" ht="14.25" customHeight="1">
      <c r="A2641" s="6" t="str">
        <f t="shared" si="28"/>
        <v>2024T-How14</v>
      </c>
      <c r="B2641" s="59">
        <v>2024.0</v>
      </c>
      <c r="C2641" s="13" t="s">
        <v>82</v>
      </c>
      <c r="D2641" s="13" t="s">
        <v>156</v>
      </c>
      <c r="E2641" s="34"/>
      <c r="F2641" s="6"/>
      <c r="H2641" s="6"/>
      <c r="I2641" s="35" t="str">
        <f>IFERROR(IFERROR(IFERROR(VLOOKUP(B2641&amp;C2641&amp;Q2641,'New Weekly Paste'!A:M,10,0),VLOOKUP(B2641&amp;C2641&amp;Q2641,'New Weekly Paste'!B:O,6,0)),""),"")</f>
        <v>Shep</v>
      </c>
      <c r="J2641" s="259">
        <f>IFERROR(IFERROR(VLOOKUP(B2641&amp;C2641&amp;Q2641,'New Weekly Paste'!A:M,8,0),VLOOKUP(B2641&amp;C2641&amp;Q2641,'New Weekly Paste'!B:O,10,0)),0)</f>
        <v>79.22</v>
      </c>
      <c r="K2641" s="259">
        <f>IFERROR(IFERROR(VLOOKUP(B2641&amp;I2641&amp;Q2641,'New Weekly Paste'!A:M,8,0),VLOOKUP(B2641&amp;I2641&amp;Q2641,'New Weekly Paste'!B:O,10,0)),0)</f>
        <v>94.62</v>
      </c>
      <c r="L2641" s="239">
        <f t="shared" si="25"/>
        <v>0</v>
      </c>
      <c r="M2641" s="36" t="str">
        <f t="shared" si="3"/>
        <v>Regular Season</v>
      </c>
      <c r="N2641" s="239" t="str">
        <f t="shared" si="26"/>
        <v>Shep</v>
      </c>
      <c r="O2641" s="6">
        <f>VLOOKUP(D2641,'Mapped Opponent'!$G$4:$H$22,2,0)</f>
        <v>14</v>
      </c>
      <c r="P2641" s="6"/>
      <c r="Q2641" s="6" t="str">
        <f t="shared" si="4"/>
        <v>Week 14</v>
      </c>
      <c r="R2641" s="6" t="str">
        <f t="shared" si="5"/>
        <v>2024Week 14</v>
      </c>
      <c r="S2641" s="6">
        <f>IFERROR(__xludf.DUMMYFUNCTION("rank(J2641,FILTER(J:J,R:R=R2641))"),11.0)</f>
        <v>11</v>
      </c>
      <c r="T2641" s="6">
        <f t="shared" si="6"/>
        <v>1</v>
      </c>
      <c r="U2641" s="6">
        <f t="shared" si="7"/>
        <v>11</v>
      </c>
      <c r="V2641" s="42">
        <f>averageif(AllData!A:A,B2641,AllData!R:R)/vlookup(B2641,AllData!A:O,15,0)</f>
        <v>94.42488095</v>
      </c>
      <c r="W2641" s="6"/>
    </row>
    <row r="2642" ht="14.25" customHeight="1">
      <c r="A2642" s="6" t="str">
        <f t="shared" si="28"/>
        <v>2024Hudspeath2</v>
      </c>
      <c r="B2642" s="59">
        <v>2024.0</v>
      </c>
      <c r="C2642" s="13" t="s">
        <v>39</v>
      </c>
      <c r="D2642" s="13" t="s">
        <v>131</v>
      </c>
      <c r="E2642" s="34"/>
      <c r="F2642" s="6"/>
      <c r="H2642" s="6"/>
      <c r="I2642" s="35" t="str">
        <f>IFERROR(IFERROR(IFERROR(VLOOKUP(B2642&amp;C2642&amp;Q2642,'New Weekly Paste'!A:M,10,0),VLOOKUP(B2642&amp;C2642&amp;Q2642,'New Weekly Paste'!B:O,6,0)),""),"")</f>
        <v>KnardDawg</v>
      </c>
      <c r="J2642" s="259">
        <f>IFERROR(IFERROR(VLOOKUP(B2642&amp;C2642&amp;Q2642,'New Weekly Paste'!A:M,8,0),VLOOKUP(B2642&amp;C2642&amp;Q2642,'New Weekly Paste'!B:O,10,0)),0)</f>
        <v>58.58</v>
      </c>
      <c r="K2642" s="259">
        <f>IFERROR(IFERROR(VLOOKUP(B2642&amp;I2642&amp;Q2642,'New Weekly Paste'!A:M,8,0),VLOOKUP(B2642&amp;I2642&amp;Q2642,'New Weekly Paste'!B:O,10,0)),0)</f>
        <v>102.38</v>
      </c>
      <c r="L2642" s="239">
        <f t="shared" si="25"/>
        <v>0</v>
      </c>
      <c r="M2642" s="36" t="str">
        <f t="shared" si="3"/>
        <v>Regular Season</v>
      </c>
      <c r="N2642" s="239" t="str">
        <f t="shared" si="26"/>
        <v>KnardDawg</v>
      </c>
      <c r="O2642" s="6">
        <f>VLOOKUP(D2642,'Mapped Opponent'!$G$4:$H$22,2,0)</f>
        <v>2</v>
      </c>
      <c r="P2642" s="6"/>
      <c r="Q2642" s="6" t="str">
        <f t="shared" si="4"/>
        <v>Week 2</v>
      </c>
      <c r="R2642" s="6" t="str">
        <f t="shared" si="5"/>
        <v>2024Week 2</v>
      </c>
      <c r="S2642" s="6">
        <f>IFERROR(__xludf.DUMMYFUNCTION("rank(J2642,FILTER(J:J,R:R=R2642))"),12.0)</f>
        <v>12</v>
      </c>
      <c r="T2642" s="6">
        <f t="shared" si="6"/>
        <v>0</v>
      </c>
      <c r="U2642" s="6">
        <f t="shared" si="7"/>
        <v>12</v>
      </c>
      <c r="V2642" s="42">
        <f>averageif(AllData!A:A,B2642,AllData!R:R)/vlookup(B2642,AllData!A:O,15,0)</f>
        <v>94.42488095</v>
      </c>
      <c r="W2642" s="6"/>
    </row>
    <row r="2643" ht="14.25" customHeight="1">
      <c r="A2643" s="6" t="str">
        <f t="shared" si="28"/>
        <v>2024Salty2</v>
      </c>
      <c r="B2643" s="59">
        <v>2024.0</v>
      </c>
      <c r="C2643" s="13" t="s">
        <v>76</v>
      </c>
      <c r="D2643" s="13" t="s">
        <v>131</v>
      </c>
      <c r="E2643" s="34"/>
      <c r="F2643" s="6"/>
      <c r="H2643" s="6"/>
      <c r="I2643" s="35" t="str">
        <f>IFERROR(IFERROR(IFERROR(VLOOKUP(B2643&amp;C2643&amp;Q2643,'New Weekly Paste'!A:M,10,0),VLOOKUP(B2643&amp;C2643&amp;Q2643,'New Weekly Paste'!B:O,6,0)),""),"")</f>
        <v>Ewert</v>
      </c>
      <c r="J2643" s="259">
        <f>IFERROR(IFERROR(VLOOKUP(B2643&amp;C2643&amp;Q2643,'New Weekly Paste'!A:M,8,0),VLOOKUP(B2643&amp;C2643&amp;Q2643,'New Weekly Paste'!B:O,10,0)),0)</f>
        <v>133.68</v>
      </c>
      <c r="K2643" s="259">
        <f>IFERROR(IFERROR(VLOOKUP(B2643&amp;I2643&amp;Q2643,'New Weekly Paste'!A:M,8,0),VLOOKUP(B2643&amp;I2643&amp;Q2643,'New Weekly Paste'!B:O,10,0)),0)</f>
        <v>103.36</v>
      </c>
      <c r="L2643" s="239">
        <f t="shared" si="25"/>
        <v>1</v>
      </c>
      <c r="M2643" s="36" t="str">
        <f t="shared" si="3"/>
        <v>Regular Season</v>
      </c>
      <c r="N2643" s="239" t="str">
        <f t="shared" si="26"/>
        <v>Ewert</v>
      </c>
      <c r="O2643" s="6">
        <f>VLOOKUP(D2643,'Mapped Opponent'!$G$4:$H$22,2,0)</f>
        <v>2</v>
      </c>
      <c r="P2643" s="6"/>
      <c r="Q2643" s="6" t="str">
        <f t="shared" si="4"/>
        <v>Week 2</v>
      </c>
      <c r="R2643" s="6" t="str">
        <f t="shared" si="5"/>
        <v>2024Week 2</v>
      </c>
      <c r="S2643" s="6">
        <f>IFERROR(__xludf.DUMMYFUNCTION("rank(J2643,FILTER(J:J,R:R=R2643))"),1.0)</f>
        <v>1</v>
      </c>
      <c r="T2643" s="6">
        <f t="shared" si="6"/>
        <v>11</v>
      </c>
      <c r="U2643" s="6">
        <f t="shared" si="7"/>
        <v>1</v>
      </c>
      <c r="V2643" s="42">
        <f>averageif(AllData!A:A,B2643,AllData!R:R)/vlookup(B2643,AllData!A:O,15,0)</f>
        <v>94.42488095</v>
      </c>
      <c r="W2643" s="6"/>
    </row>
    <row r="2644" ht="14.25" customHeight="1">
      <c r="A2644" s="6" t="str">
        <f t="shared" si="28"/>
        <v>2024Ewert2</v>
      </c>
      <c r="B2644" s="59">
        <v>2024.0</v>
      </c>
      <c r="C2644" s="13" t="s">
        <v>108</v>
      </c>
      <c r="D2644" s="13" t="s">
        <v>131</v>
      </c>
      <c r="E2644" s="34"/>
      <c r="F2644" s="6"/>
      <c r="H2644" s="6"/>
      <c r="I2644" s="35" t="str">
        <f>IFERROR(IFERROR(IFERROR(VLOOKUP(B2644&amp;C2644&amp;Q2644,'New Weekly Paste'!A:M,10,0),VLOOKUP(B2644&amp;C2644&amp;Q2644,'New Weekly Paste'!B:O,6,0)),""),"")</f>
        <v>Salty</v>
      </c>
      <c r="J2644" s="259">
        <f>IFERROR(IFERROR(VLOOKUP(B2644&amp;C2644&amp;Q2644,'New Weekly Paste'!A:M,8,0),VLOOKUP(B2644&amp;C2644&amp;Q2644,'New Weekly Paste'!B:O,10,0)),0)</f>
        <v>103.36</v>
      </c>
      <c r="K2644" s="259">
        <f>IFERROR(IFERROR(VLOOKUP(B2644&amp;I2644&amp;Q2644,'New Weekly Paste'!A:M,8,0),VLOOKUP(B2644&amp;I2644&amp;Q2644,'New Weekly Paste'!B:O,10,0)),0)</f>
        <v>133.68</v>
      </c>
      <c r="L2644" s="239">
        <f t="shared" si="25"/>
        <v>0</v>
      </c>
      <c r="M2644" s="36" t="str">
        <f t="shared" si="3"/>
        <v>Regular Season</v>
      </c>
      <c r="N2644" s="239" t="str">
        <f t="shared" si="26"/>
        <v>Salty</v>
      </c>
      <c r="O2644" s="6">
        <f>VLOOKUP(D2644,'Mapped Opponent'!$G$4:$H$22,2,0)</f>
        <v>2</v>
      </c>
      <c r="P2644" s="6"/>
      <c r="Q2644" s="6" t="str">
        <f t="shared" si="4"/>
        <v>Week 2</v>
      </c>
      <c r="R2644" s="6" t="str">
        <f t="shared" si="5"/>
        <v>2024Week 2</v>
      </c>
      <c r="S2644" s="6">
        <f>IFERROR(__xludf.DUMMYFUNCTION("rank(J2644,FILTER(J:J,R:R=R2644))"),3.0)</f>
        <v>3</v>
      </c>
      <c r="T2644" s="6">
        <f t="shared" si="6"/>
        <v>9</v>
      </c>
      <c r="U2644" s="6">
        <f t="shared" si="7"/>
        <v>3</v>
      </c>
      <c r="V2644" s="42">
        <f>averageif(AllData!A:A,B2644,AllData!R:R)/vlookup(B2644,AllData!A:O,15,0)</f>
        <v>94.42488095</v>
      </c>
      <c r="W2644" s="6"/>
    </row>
    <row r="2645" ht="14.25" customHeight="1">
      <c r="A2645" s="6" t="str">
        <f t="shared" si="28"/>
        <v>2024Shep2</v>
      </c>
      <c r="B2645" s="59">
        <v>2024.0</v>
      </c>
      <c r="C2645" s="13" t="s">
        <v>89</v>
      </c>
      <c r="D2645" s="13" t="s">
        <v>131</v>
      </c>
      <c r="E2645" s="34"/>
      <c r="F2645" s="6"/>
      <c r="H2645" s="6"/>
      <c r="I2645" s="35" t="str">
        <f>IFERROR(IFERROR(IFERROR(VLOOKUP(B2645&amp;C2645&amp;Q2645,'New Weekly Paste'!A:M,10,0),VLOOKUP(B2645&amp;C2645&amp;Q2645,'New Weekly Paste'!B:O,6,0)),""),"")</f>
        <v>Buser</v>
      </c>
      <c r="J2645" s="259">
        <f>IFERROR(IFERROR(VLOOKUP(B2645&amp;C2645&amp;Q2645,'New Weekly Paste'!A:M,8,0),VLOOKUP(B2645&amp;C2645&amp;Q2645,'New Weekly Paste'!B:O,10,0)),0)</f>
        <v>75.2</v>
      </c>
      <c r="K2645" s="259">
        <f>IFERROR(IFERROR(VLOOKUP(B2645&amp;I2645&amp;Q2645,'New Weekly Paste'!A:M,8,0),VLOOKUP(B2645&amp;I2645&amp;Q2645,'New Weekly Paste'!B:O,10,0)),0)</f>
        <v>101.72</v>
      </c>
      <c r="L2645" s="239">
        <f t="shared" si="25"/>
        <v>0</v>
      </c>
      <c r="M2645" s="36" t="str">
        <f t="shared" si="3"/>
        <v>Regular Season</v>
      </c>
      <c r="N2645" s="239" t="str">
        <f t="shared" si="26"/>
        <v>Buser</v>
      </c>
      <c r="O2645" s="6">
        <f>VLOOKUP(D2645,'Mapped Opponent'!$G$4:$H$22,2,0)</f>
        <v>2</v>
      </c>
      <c r="P2645" s="6"/>
      <c r="Q2645" s="6" t="str">
        <f t="shared" si="4"/>
        <v>Week 2</v>
      </c>
      <c r="R2645" s="6" t="str">
        <f t="shared" si="5"/>
        <v>2024Week 2</v>
      </c>
      <c r="S2645" s="6">
        <f>IFERROR(__xludf.DUMMYFUNCTION("rank(J2645,FILTER(J:J,R:R=R2645))"),10.0)</f>
        <v>10</v>
      </c>
      <c r="T2645" s="6">
        <f t="shared" si="6"/>
        <v>2</v>
      </c>
      <c r="U2645" s="6">
        <f t="shared" si="7"/>
        <v>10</v>
      </c>
      <c r="V2645" s="42">
        <f>averageif(AllData!A:A,B2645,AllData!R:R)/vlookup(B2645,AllData!A:O,15,0)</f>
        <v>94.42488095</v>
      </c>
      <c r="W2645" s="6"/>
    </row>
    <row r="2646" ht="14.25" customHeight="1">
      <c r="A2646" s="6" t="str">
        <f t="shared" si="28"/>
        <v>2024Riley2</v>
      </c>
      <c r="B2646" s="59">
        <v>2024.0</v>
      </c>
      <c r="C2646" s="13" t="s">
        <v>67</v>
      </c>
      <c r="D2646" s="13" t="s">
        <v>131</v>
      </c>
      <c r="E2646" s="34"/>
      <c r="F2646" s="6"/>
      <c r="H2646" s="6"/>
      <c r="I2646" s="35" t="str">
        <f>IFERROR(IFERROR(IFERROR(VLOOKUP(B2646&amp;C2646&amp;Q2646,'New Weekly Paste'!A:M,10,0),VLOOKUP(B2646&amp;C2646&amp;Q2646,'New Weekly Paste'!B:O,6,0)),""),"")</f>
        <v>Tayski</v>
      </c>
      <c r="J2646" s="259">
        <f>IFERROR(IFERROR(VLOOKUP(B2646&amp;C2646&amp;Q2646,'New Weekly Paste'!A:M,8,0),VLOOKUP(B2646&amp;C2646&amp;Q2646,'New Weekly Paste'!B:O,10,0)),0)</f>
        <v>125.24</v>
      </c>
      <c r="K2646" s="259">
        <f>IFERROR(IFERROR(VLOOKUP(B2646&amp;I2646&amp;Q2646,'New Weekly Paste'!A:M,8,0),VLOOKUP(B2646&amp;I2646&amp;Q2646,'New Weekly Paste'!B:O,10,0)),0)</f>
        <v>62.46</v>
      </c>
      <c r="L2646" s="239">
        <f t="shared" si="25"/>
        <v>1</v>
      </c>
      <c r="M2646" s="36" t="str">
        <f t="shared" si="3"/>
        <v>Regular Season</v>
      </c>
      <c r="N2646" s="239" t="str">
        <f t="shared" si="26"/>
        <v>Tayski</v>
      </c>
      <c r="O2646" s="6">
        <f>VLOOKUP(D2646,'Mapped Opponent'!$G$4:$H$22,2,0)</f>
        <v>2</v>
      </c>
      <c r="P2646" s="6"/>
      <c r="Q2646" s="6" t="str">
        <f t="shared" si="4"/>
        <v>Week 2</v>
      </c>
      <c r="R2646" s="6" t="str">
        <f t="shared" si="5"/>
        <v>2024Week 2</v>
      </c>
      <c r="S2646" s="6">
        <f>IFERROR(__xludf.DUMMYFUNCTION("rank(J2646,FILTER(J:J,R:R=R2646))"),2.0)</f>
        <v>2</v>
      </c>
      <c r="T2646" s="6">
        <f t="shared" si="6"/>
        <v>10</v>
      </c>
      <c r="U2646" s="6">
        <f t="shared" si="7"/>
        <v>2</v>
      </c>
      <c r="V2646" s="42">
        <f>averageif(AllData!A:A,B2646,AllData!R:R)/vlookup(B2646,AllData!A:O,15,0)</f>
        <v>94.42488095</v>
      </c>
      <c r="W2646" s="6"/>
    </row>
    <row r="2647" ht="14.25" customHeight="1">
      <c r="A2647" s="6" t="str">
        <f t="shared" si="28"/>
        <v>2024Rooney/Jackson2</v>
      </c>
      <c r="B2647" s="59">
        <v>2024.0</v>
      </c>
      <c r="C2647" s="13" t="s">
        <v>57</v>
      </c>
      <c r="D2647" s="13" t="s">
        <v>131</v>
      </c>
      <c r="E2647" s="34"/>
      <c r="F2647" s="6"/>
      <c r="H2647" s="6"/>
      <c r="I2647" s="35" t="str">
        <f>IFERROR(IFERROR(IFERROR(VLOOKUP(B2647&amp;C2647&amp;Q2647,'New Weekly Paste'!A:M,10,0),VLOOKUP(B2647&amp;C2647&amp;Q2647,'New Weekly Paste'!B:O,6,0)),""),"")</f>
        <v>Cock</v>
      </c>
      <c r="J2647" s="259">
        <f>IFERROR(IFERROR(VLOOKUP(B2647&amp;C2647&amp;Q2647,'New Weekly Paste'!A:M,8,0),VLOOKUP(B2647&amp;C2647&amp;Q2647,'New Weekly Paste'!B:O,10,0)),0)</f>
        <v>81.94</v>
      </c>
      <c r="K2647" s="259">
        <f>IFERROR(IFERROR(VLOOKUP(B2647&amp;I2647&amp;Q2647,'New Weekly Paste'!A:M,8,0),VLOOKUP(B2647&amp;I2647&amp;Q2647,'New Weekly Paste'!B:O,10,0)),0)</f>
        <v>88.96</v>
      </c>
      <c r="L2647" s="239">
        <f t="shared" si="25"/>
        <v>0</v>
      </c>
      <c r="M2647" s="36" t="str">
        <f t="shared" si="3"/>
        <v>Regular Season</v>
      </c>
      <c r="N2647" s="239" t="str">
        <f t="shared" si="26"/>
        <v>Cock</v>
      </c>
      <c r="O2647" s="6">
        <f>VLOOKUP(D2647,'Mapped Opponent'!$G$4:$H$22,2,0)</f>
        <v>2</v>
      </c>
      <c r="P2647" s="6"/>
      <c r="Q2647" s="6" t="str">
        <f t="shared" si="4"/>
        <v>Week 2</v>
      </c>
      <c r="R2647" s="6" t="str">
        <f t="shared" si="5"/>
        <v>2024Week 2</v>
      </c>
      <c r="S2647" s="6">
        <f>IFERROR(__xludf.DUMMYFUNCTION("rank(J2647,FILTER(J:J,R:R=R2647))"),9.0)</f>
        <v>9</v>
      </c>
      <c r="T2647" s="6">
        <f t="shared" si="6"/>
        <v>3</v>
      </c>
      <c r="U2647" s="6">
        <f t="shared" si="7"/>
        <v>9</v>
      </c>
      <c r="V2647" s="42">
        <f>averageif(AllData!A:A,B2647,AllData!R:R)/vlookup(B2647,AllData!A:O,15,0)</f>
        <v>94.42488095</v>
      </c>
      <c r="W2647" s="6"/>
    </row>
    <row r="2648" ht="14.25" customHeight="1">
      <c r="A2648" s="6" t="str">
        <f t="shared" si="28"/>
        <v>2024Buser2</v>
      </c>
      <c r="B2648" s="59">
        <v>2024.0</v>
      </c>
      <c r="C2648" s="13" t="s">
        <v>47</v>
      </c>
      <c r="D2648" s="13" t="s">
        <v>131</v>
      </c>
      <c r="E2648" s="34"/>
      <c r="F2648" s="6"/>
      <c r="H2648" s="6"/>
      <c r="I2648" s="35" t="str">
        <f>IFERROR(IFERROR(IFERROR(VLOOKUP(B2648&amp;C2648&amp;Q2648,'New Weekly Paste'!A:M,10,0),VLOOKUP(B2648&amp;C2648&amp;Q2648,'New Weekly Paste'!B:O,6,0)),""),"")</f>
        <v>Shep</v>
      </c>
      <c r="J2648" s="259">
        <f>IFERROR(IFERROR(VLOOKUP(B2648&amp;C2648&amp;Q2648,'New Weekly Paste'!A:M,8,0),VLOOKUP(B2648&amp;C2648&amp;Q2648,'New Weekly Paste'!B:O,10,0)),0)</f>
        <v>101.72</v>
      </c>
      <c r="K2648" s="259">
        <f>IFERROR(IFERROR(VLOOKUP(B2648&amp;I2648&amp;Q2648,'New Weekly Paste'!A:M,8,0),VLOOKUP(B2648&amp;I2648&amp;Q2648,'New Weekly Paste'!B:O,10,0)),0)</f>
        <v>75.2</v>
      </c>
      <c r="L2648" s="239">
        <f t="shared" si="25"/>
        <v>1</v>
      </c>
      <c r="M2648" s="36" t="str">
        <f t="shared" si="3"/>
        <v>Regular Season</v>
      </c>
      <c r="N2648" s="239" t="str">
        <f t="shared" si="26"/>
        <v>Shep</v>
      </c>
      <c r="O2648" s="6">
        <f>VLOOKUP(D2648,'Mapped Opponent'!$G$4:$H$22,2,0)</f>
        <v>2</v>
      </c>
      <c r="P2648" s="6"/>
      <c r="Q2648" s="6" t="str">
        <f t="shared" si="4"/>
        <v>Week 2</v>
      </c>
      <c r="R2648" s="6" t="str">
        <f t="shared" si="5"/>
        <v>2024Week 2</v>
      </c>
      <c r="S2648" s="6">
        <f>IFERROR(__xludf.DUMMYFUNCTION("rank(J2648,FILTER(J:J,R:R=R2648))"),5.0)</f>
        <v>5</v>
      </c>
      <c r="T2648" s="6">
        <f t="shared" si="6"/>
        <v>7</v>
      </c>
      <c r="U2648" s="6">
        <f t="shared" si="7"/>
        <v>5</v>
      </c>
      <c r="V2648" s="42">
        <f>averageif(AllData!A:A,B2648,AllData!R:R)/vlookup(B2648,AllData!A:O,15,0)</f>
        <v>94.42488095</v>
      </c>
      <c r="W2648" s="6"/>
    </row>
    <row r="2649" ht="14.25" customHeight="1">
      <c r="A2649" s="6" t="str">
        <f t="shared" si="28"/>
        <v>2024Pierson2</v>
      </c>
      <c r="B2649" s="59">
        <v>2024.0</v>
      </c>
      <c r="C2649" s="13" t="s">
        <v>92</v>
      </c>
      <c r="D2649" s="13" t="s">
        <v>131</v>
      </c>
      <c r="E2649" s="34"/>
      <c r="F2649" s="6"/>
      <c r="H2649" s="6"/>
      <c r="I2649" s="35" t="str">
        <f>IFERROR(IFERROR(IFERROR(VLOOKUP(B2649&amp;C2649&amp;Q2649,'New Weekly Paste'!A:M,10,0),VLOOKUP(B2649&amp;C2649&amp;Q2649,'New Weekly Paste'!B:O,6,0)),""),"")</f>
        <v>T-How</v>
      </c>
      <c r="J2649" s="259">
        <f>IFERROR(IFERROR(VLOOKUP(B2649&amp;C2649&amp;Q2649,'New Weekly Paste'!A:M,8,0),VLOOKUP(B2649&amp;C2649&amp;Q2649,'New Weekly Paste'!B:O,10,0)),0)</f>
        <v>85.1</v>
      </c>
      <c r="K2649" s="259">
        <f>IFERROR(IFERROR(VLOOKUP(B2649&amp;I2649&amp;Q2649,'New Weekly Paste'!A:M,8,0),VLOOKUP(B2649&amp;I2649&amp;Q2649,'New Weekly Paste'!B:O,10,0)),0)</f>
        <v>100.52</v>
      </c>
      <c r="L2649" s="239">
        <f t="shared" si="25"/>
        <v>0</v>
      </c>
      <c r="M2649" s="36" t="str">
        <f t="shared" si="3"/>
        <v>Regular Season</v>
      </c>
      <c r="N2649" s="239" t="str">
        <f t="shared" si="26"/>
        <v>T-How</v>
      </c>
      <c r="O2649" s="6">
        <f>VLOOKUP(D2649,'Mapped Opponent'!$G$4:$H$22,2,0)</f>
        <v>2</v>
      </c>
      <c r="P2649" s="6"/>
      <c r="Q2649" s="6" t="str">
        <f t="shared" si="4"/>
        <v>Week 2</v>
      </c>
      <c r="R2649" s="6" t="str">
        <f t="shared" si="5"/>
        <v>2024Week 2</v>
      </c>
      <c r="S2649" s="6">
        <f>IFERROR(__xludf.DUMMYFUNCTION("rank(J2649,FILTER(J:J,R:R=R2649))"),8.0)</f>
        <v>8</v>
      </c>
      <c r="T2649" s="6">
        <f t="shared" si="6"/>
        <v>4</v>
      </c>
      <c r="U2649" s="6">
        <f t="shared" si="7"/>
        <v>8</v>
      </c>
      <c r="V2649" s="42">
        <f>averageif(AllData!A:A,B2649,AllData!R:R)/vlookup(B2649,AllData!A:O,15,0)</f>
        <v>94.42488095</v>
      </c>
      <c r="W2649" s="6"/>
    </row>
    <row r="2650" ht="14.25" customHeight="1">
      <c r="A2650" s="6" t="str">
        <f t="shared" si="28"/>
        <v>2024Cock2</v>
      </c>
      <c r="B2650" s="59">
        <v>2024.0</v>
      </c>
      <c r="C2650" s="13" t="s">
        <v>72</v>
      </c>
      <c r="D2650" s="13" t="s">
        <v>131</v>
      </c>
      <c r="E2650" s="34"/>
      <c r="F2650" s="6"/>
      <c r="H2650" s="6"/>
      <c r="I2650" s="35" t="str">
        <f>IFERROR(IFERROR(IFERROR(VLOOKUP(B2650&amp;C2650&amp;Q2650,'New Weekly Paste'!A:M,10,0),VLOOKUP(B2650&amp;C2650&amp;Q2650,'New Weekly Paste'!B:O,6,0)),""),"")</f>
        <v>Rooney/Jackson</v>
      </c>
      <c r="J2650" s="259">
        <f>IFERROR(IFERROR(VLOOKUP(B2650&amp;C2650&amp;Q2650,'New Weekly Paste'!A:M,8,0),VLOOKUP(B2650&amp;C2650&amp;Q2650,'New Weekly Paste'!B:O,10,0)),0)</f>
        <v>88.96</v>
      </c>
      <c r="K2650" s="259">
        <f>IFERROR(IFERROR(VLOOKUP(B2650&amp;I2650&amp;Q2650,'New Weekly Paste'!A:M,8,0),VLOOKUP(B2650&amp;I2650&amp;Q2650,'New Weekly Paste'!B:O,10,0)),0)</f>
        <v>81.94</v>
      </c>
      <c r="L2650" s="239">
        <f t="shared" si="25"/>
        <v>1</v>
      </c>
      <c r="M2650" s="36" t="str">
        <f t="shared" si="3"/>
        <v>Regular Season</v>
      </c>
      <c r="N2650" s="239" t="str">
        <f t="shared" si="26"/>
        <v>Rooney/Jackson</v>
      </c>
      <c r="O2650" s="6">
        <f>VLOOKUP(D2650,'Mapped Opponent'!$G$4:$H$22,2,0)</f>
        <v>2</v>
      </c>
      <c r="P2650" s="6"/>
      <c r="Q2650" s="6" t="str">
        <f t="shared" si="4"/>
        <v>Week 2</v>
      </c>
      <c r="R2650" s="6" t="str">
        <f t="shared" si="5"/>
        <v>2024Week 2</v>
      </c>
      <c r="S2650" s="6">
        <f>IFERROR(__xludf.DUMMYFUNCTION("rank(J2650,FILTER(J:J,R:R=R2650))"),7.0)</f>
        <v>7</v>
      </c>
      <c r="T2650" s="6">
        <f t="shared" si="6"/>
        <v>5</v>
      </c>
      <c r="U2650" s="6">
        <f t="shared" si="7"/>
        <v>7</v>
      </c>
      <c r="V2650" s="42">
        <f>averageif(AllData!A:A,B2650,AllData!R:R)/vlookup(B2650,AllData!A:O,15,0)</f>
        <v>94.42488095</v>
      </c>
      <c r="W2650" s="6"/>
    </row>
    <row r="2651" ht="14.25" customHeight="1">
      <c r="A2651" s="6" t="str">
        <f t="shared" si="28"/>
        <v>2024Tayski2</v>
      </c>
      <c r="B2651" s="59">
        <v>2024.0</v>
      </c>
      <c r="C2651" s="13" t="s">
        <v>52</v>
      </c>
      <c r="D2651" s="13" t="s">
        <v>131</v>
      </c>
      <c r="E2651" s="34"/>
      <c r="F2651" s="6"/>
      <c r="H2651" s="6"/>
      <c r="I2651" s="35" t="str">
        <f>IFERROR(IFERROR(IFERROR(VLOOKUP(B2651&amp;C2651&amp;Q2651,'New Weekly Paste'!A:M,10,0),VLOOKUP(B2651&amp;C2651&amp;Q2651,'New Weekly Paste'!B:O,6,0)),""),"")</f>
        <v>Riley</v>
      </c>
      <c r="J2651" s="259">
        <f>IFERROR(IFERROR(VLOOKUP(B2651&amp;C2651&amp;Q2651,'New Weekly Paste'!A:M,8,0),VLOOKUP(B2651&amp;C2651&amp;Q2651,'New Weekly Paste'!B:O,10,0)),0)</f>
        <v>62.46</v>
      </c>
      <c r="K2651" s="259">
        <f>IFERROR(IFERROR(VLOOKUP(B2651&amp;I2651&amp;Q2651,'New Weekly Paste'!A:M,8,0),VLOOKUP(B2651&amp;I2651&amp;Q2651,'New Weekly Paste'!B:O,10,0)),0)</f>
        <v>125.24</v>
      </c>
      <c r="L2651" s="239">
        <f t="shared" si="25"/>
        <v>0</v>
      </c>
      <c r="M2651" s="36" t="str">
        <f t="shared" si="3"/>
        <v>Regular Season</v>
      </c>
      <c r="N2651" s="239" t="str">
        <f t="shared" si="26"/>
        <v>Riley</v>
      </c>
      <c r="O2651" s="6">
        <f>VLOOKUP(D2651,'Mapped Opponent'!$G$4:$H$22,2,0)</f>
        <v>2</v>
      </c>
      <c r="P2651" s="6"/>
      <c r="Q2651" s="6" t="str">
        <f t="shared" si="4"/>
        <v>Week 2</v>
      </c>
      <c r="R2651" s="6" t="str">
        <f t="shared" si="5"/>
        <v>2024Week 2</v>
      </c>
      <c r="S2651" s="6">
        <f>IFERROR(__xludf.DUMMYFUNCTION("rank(J2651,FILTER(J:J,R:R=R2651))"),11.0)</f>
        <v>11</v>
      </c>
      <c r="T2651" s="6">
        <f t="shared" si="6"/>
        <v>1</v>
      </c>
      <c r="U2651" s="6">
        <f t="shared" si="7"/>
        <v>11</v>
      </c>
      <c r="V2651" s="42">
        <f>averageif(AllData!A:A,B2651,AllData!R:R)/vlookup(B2651,AllData!A:O,15,0)</f>
        <v>94.42488095</v>
      </c>
      <c r="W2651" s="6"/>
    </row>
    <row r="2652" ht="14.25" customHeight="1">
      <c r="A2652" s="6" t="str">
        <f t="shared" si="28"/>
        <v>2024KnardDawg2</v>
      </c>
      <c r="B2652" s="59">
        <v>2024.0</v>
      </c>
      <c r="C2652" s="13" t="s">
        <v>86</v>
      </c>
      <c r="D2652" s="13" t="s">
        <v>131</v>
      </c>
      <c r="E2652" s="34"/>
      <c r="F2652" s="6"/>
      <c r="H2652" s="6"/>
      <c r="I2652" s="35" t="str">
        <f>IFERROR(IFERROR(IFERROR(VLOOKUP(B2652&amp;C2652&amp;Q2652,'New Weekly Paste'!A:M,10,0),VLOOKUP(B2652&amp;C2652&amp;Q2652,'New Weekly Paste'!B:O,6,0)),""),"")</f>
        <v>Hudspeath</v>
      </c>
      <c r="J2652" s="259">
        <f>IFERROR(IFERROR(VLOOKUP(B2652&amp;C2652&amp;Q2652,'New Weekly Paste'!A:M,8,0),VLOOKUP(B2652&amp;C2652&amp;Q2652,'New Weekly Paste'!B:O,10,0)),0)</f>
        <v>102.38</v>
      </c>
      <c r="K2652" s="259">
        <f>IFERROR(IFERROR(VLOOKUP(B2652&amp;I2652&amp;Q2652,'New Weekly Paste'!A:M,8,0),VLOOKUP(B2652&amp;I2652&amp;Q2652,'New Weekly Paste'!B:O,10,0)),0)</f>
        <v>58.58</v>
      </c>
      <c r="L2652" s="239">
        <f t="shared" si="25"/>
        <v>1</v>
      </c>
      <c r="M2652" s="36" t="str">
        <f t="shared" si="3"/>
        <v>Regular Season</v>
      </c>
      <c r="N2652" s="239" t="str">
        <f t="shared" si="26"/>
        <v>Hudspeath</v>
      </c>
      <c r="O2652" s="6">
        <f>VLOOKUP(D2652,'Mapped Opponent'!$G$4:$H$22,2,0)</f>
        <v>2</v>
      </c>
      <c r="P2652" s="6"/>
      <c r="Q2652" s="6" t="str">
        <f t="shared" si="4"/>
        <v>Week 2</v>
      </c>
      <c r="R2652" s="6" t="str">
        <f t="shared" si="5"/>
        <v>2024Week 2</v>
      </c>
      <c r="S2652" s="6">
        <f>IFERROR(__xludf.DUMMYFUNCTION("rank(J2652,FILTER(J:J,R:R=R2652))"),4.0)</f>
        <v>4</v>
      </c>
      <c r="T2652" s="6">
        <f t="shared" si="6"/>
        <v>8</v>
      </c>
      <c r="U2652" s="6">
        <f t="shared" si="7"/>
        <v>4</v>
      </c>
      <c r="V2652" s="42">
        <f>averageif(AllData!A:A,B2652,AllData!R:R)/vlookup(B2652,AllData!A:O,15,0)</f>
        <v>94.42488095</v>
      </c>
      <c r="W2652" s="6"/>
    </row>
    <row r="2653" ht="14.25" customHeight="1">
      <c r="A2653" s="6" t="str">
        <f t="shared" si="28"/>
        <v>2024T-How2</v>
      </c>
      <c r="B2653" s="59">
        <v>2024.0</v>
      </c>
      <c r="C2653" s="13" t="s">
        <v>82</v>
      </c>
      <c r="D2653" s="13" t="s">
        <v>131</v>
      </c>
      <c r="E2653" s="34"/>
      <c r="F2653" s="6"/>
      <c r="H2653" s="6"/>
      <c r="I2653" s="35" t="str">
        <f>IFERROR(IFERROR(IFERROR(VLOOKUP(B2653&amp;C2653&amp;Q2653,'New Weekly Paste'!A:M,10,0),VLOOKUP(B2653&amp;C2653&amp;Q2653,'New Weekly Paste'!B:O,6,0)),""),"")</f>
        <v>Pierson</v>
      </c>
      <c r="J2653" s="259">
        <f>IFERROR(IFERROR(VLOOKUP(B2653&amp;C2653&amp;Q2653,'New Weekly Paste'!A:M,8,0),VLOOKUP(B2653&amp;C2653&amp;Q2653,'New Weekly Paste'!B:O,10,0)),0)</f>
        <v>100.52</v>
      </c>
      <c r="K2653" s="259">
        <f>IFERROR(IFERROR(VLOOKUP(B2653&amp;I2653&amp;Q2653,'New Weekly Paste'!A:M,8,0),VLOOKUP(B2653&amp;I2653&amp;Q2653,'New Weekly Paste'!B:O,10,0)),0)</f>
        <v>85.1</v>
      </c>
      <c r="L2653" s="239">
        <f t="shared" si="25"/>
        <v>1</v>
      </c>
      <c r="M2653" s="36" t="str">
        <f t="shared" si="3"/>
        <v>Regular Season</v>
      </c>
      <c r="N2653" s="239" t="str">
        <f t="shared" si="26"/>
        <v>Pierson</v>
      </c>
      <c r="O2653" s="6">
        <f>VLOOKUP(D2653,'Mapped Opponent'!$G$4:$H$22,2,0)</f>
        <v>2</v>
      </c>
      <c r="P2653" s="6"/>
      <c r="Q2653" s="6" t="str">
        <f t="shared" si="4"/>
        <v>Week 2</v>
      </c>
      <c r="R2653" s="6" t="str">
        <f t="shared" si="5"/>
        <v>2024Week 2</v>
      </c>
      <c r="S2653" s="6">
        <f>IFERROR(__xludf.DUMMYFUNCTION("rank(J2653,FILTER(J:J,R:R=R2653))"),6.0)</f>
        <v>6</v>
      </c>
      <c r="T2653" s="6">
        <f t="shared" si="6"/>
        <v>6</v>
      </c>
      <c r="U2653" s="6">
        <f t="shared" si="7"/>
        <v>6</v>
      </c>
      <c r="V2653" s="42">
        <f>averageif(AllData!A:A,B2653,AllData!R:R)/vlookup(B2653,AllData!A:O,15,0)</f>
        <v>94.42488095</v>
      </c>
      <c r="W2653" s="6"/>
    </row>
    <row r="2654" ht="14.25" customHeight="1">
      <c r="A2654" s="6" t="str">
        <f t="shared" si="28"/>
        <v>2024Hudspeath3</v>
      </c>
      <c r="B2654" s="59">
        <v>2024.0</v>
      </c>
      <c r="C2654" s="13" t="s">
        <v>39</v>
      </c>
      <c r="D2654" s="13" t="s">
        <v>135</v>
      </c>
      <c r="E2654" s="34"/>
      <c r="F2654" s="6"/>
      <c r="H2654" s="6"/>
      <c r="I2654" s="35" t="str">
        <f>IFERROR(IFERROR(IFERROR(VLOOKUP(B2654&amp;C2654&amp;Q2654,'New Weekly Paste'!A:M,10,0),VLOOKUP(B2654&amp;C2654&amp;Q2654,'New Weekly Paste'!B:O,6,0)),""),"")</f>
        <v>Salty</v>
      </c>
      <c r="J2654" s="259">
        <f>IFERROR(IFERROR(VLOOKUP(B2654&amp;C2654&amp;Q2654,'New Weekly Paste'!A:M,8,0),VLOOKUP(B2654&amp;C2654&amp;Q2654,'New Weekly Paste'!B:O,10,0)),0)</f>
        <v>57.14</v>
      </c>
      <c r="K2654" s="259">
        <f>IFERROR(IFERROR(VLOOKUP(B2654&amp;I2654&amp;Q2654,'New Weekly Paste'!A:M,8,0),VLOOKUP(B2654&amp;I2654&amp;Q2654,'New Weekly Paste'!B:O,10,0)),0)</f>
        <v>111.38</v>
      </c>
      <c r="L2654" s="239">
        <f t="shared" si="25"/>
        <v>0</v>
      </c>
      <c r="M2654" s="36" t="str">
        <f t="shared" si="3"/>
        <v>Regular Season</v>
      </c>
      <c r="N2654" s="239" t="str">
        <f t="shared" si="26"/>
        <v>Salty</v>
      </c>
      <c r="O2654" s="6">
        <f>VLOOKUP(D2654,'Mapped Opponent'!$G$4:$H$22,2,0)</f>
        <v>3</v>
      </c>
      <c r="P2654" s="6"/>
      <c r="Q2654" s="6" t="str">
        <f t="shared" si="4"/>
        <v>Week 3</v>
      </c>
      <c r="R2654" s="6" t="str">
        <f t="shared" si="5"/>
        <v>2024Week 3</v>
      </c>
      <c r="S2654" s="6">
        <f>IFERROR(__xludf.DUMMYFUNCTION("rank(J2654,FILTER(J:J,R:R=R2654))"),12.0)</f>
        <v>12</v>
      </c>
      <c r="T2654" s="6">
        <f t="shared" si="6"/>
        <v>0</v>
      </c>
      <c r="U2654" s="6">
        <f t="shared" si="7"/>
        <v>12</v>
      </c>
      <c r="V2654" s="42">
        <f>averageif(AllData!A:A,B2654,AllData!R:R)/vlookup(B2654,AllData!A:O,15,0)</f>
        <v>94.42488095</v>
      </c>
      <c r="W2654" s="6"/>
    </row>
    <row r="2655" ht="14.25" customHeight="1">
      <c r="A2655" s="6" t="str">
        <f t="shared" si="28"/>
        <v>2024Salty3</v>
      </c>
      <c r="B2655" s="59">
        <v>2024.0</v>
      </c>
      <c r="C2655" s="13" t="s">
        <v>76</v>
      </c>
      <c r="D2655" s="13" t="s">
        <v>135</v>
      </c>
      <c r="E2655" s="34"/>
      <c r="F2655" s="6"/>
      <c r="H2655" s="6"/>
      <c r="I2655" s="35" t="str">
        <f>IFERROR(IFERROR(IFERROR(VLOOKUP(B2655&amp;C2655&amp;Q2655,'New Weekly Paste'!A:M,10,0),VLOOKUP(B2655&amp;C2655&amp;Q2655,'New Weekly Paste'!B:O,6,0)),""),"")</f>
        <v>Hudspeath</v>
      </c>
      <c r="J2655" s="259">
        <f>IFERROR(IFERROR(VLOOKUP(B2655&amp;C2655&amp;Q2655,'New Weekly Paste'!A:M,8,0),VLOOKUP(B2655&amp;C2655&amp;Q2655,'New Weekly Paste'!B:O,10,0)),0)</f>
        <v>111.38</v>
      </c>
      <c r="K2655" s="259">
        <f>IFERROR(IFERROR(VLOOKUP(B2655&amp;I2655&amp;Q2655,'New Weekly Paste'!A:M,8,0),VLOOKUP(B2655&amp;I2655&amp;Q2655,'New Weekly Paste'!B:O,10,0)),0)</f>
        <v>57.14</v>
      </c>
      <c r="L2655" s="239">
        <f t="shared" si="25"/>
        <v>1</v>
      </c>
      <c r="M2655" s="36" t="str">
        <f t="shared" si="3"/>
        <v>Regular Season</v>
      </c>
      <c r="N2655" s="239" t="str">
        <f t="shared" si="26"/>
        <v>Hudspeath</v>
      </c>
      <c r="O2655" s="6">
        <f>VLOOKUP(D2655,'Mapped Opponent'!$G$4:$H$22,2,0)</f>
        <v>3</v>
      </c>
      <c r="P2655" s="6"/>
      <c r="Q2655" s="6" t="str">
        <f t="shared" si="4"/>
        <v>Week 3</v>
      </c>
      <c r="R2655" s="6" t="str">
        <f t="shared" si="5"/>
        <v>2024Week 3</v>
      </c>
      <c r="S2655" s="6">
        <f>IFERROR(__xludf.DUMMYFUNCTION("rank(J2655,FILTER(J:J,R:R=R2655))"),1.0)</f>
        <v>1</v>
      </c>
      <c r="T2655" s="6">
        <f t="shared" si="6"/>
        <v>11</v>
      </c>
      <c r="U2655" s="6">
        <f t="shared" si="7"/>
        <v>1</v>
      </c>
      <c r="V2655" s="42">
        <f>averageif(AllData!A:A,B2655,AllData!R:R)/vlookup(B2655,AllData!A:O,15,0)</f>
        <v>94.42488095</v>
      </c>
      <c r="W2655" s="6"/>
    </row>
    <row r="2656" ht="14.25" customHeight="1">
      <c r="A2656" s="6" t="str">
        <f t="shared" si="28"/>
        <v>2024Ewert3</v>
      </c>
      <c r="B2656" s="59">
        <v>2024.0</v>
      </c>
      <c r="C2656" s="13" t="s">
        <v>108</v>
      </c>
      <c r="D2656" s="13" t="s">
        <v>135</v>
      </c>
      <c r="E2656" s="34"/>
      <c r="F2656" s="6"/>
      <c r="H2656" s="6"/>
      <c r="I2656" s="35" t="str">
        <f>IFERROR(IFERROR(IFERROR(VLOOKUP(B2656&amp;C2656&amp;Q2656,'New Weekly Paste'!A:M,10,0),VLOOKUP(B2656&amp;C2656&amp;Q2656,'New Weekly Paste'!B:O,6,0)),""),"")</f>
        <v>Riley</v>
      </c>
      <c r="J2656" s="259">
        <f>IFERROR(IFERROR(VLOOKUP(B2656&amp;C2656&amp;Q2656,'New Weekly Paste'!A:M,8,0),VLOOKUP(B2656&amp;C2656&amp;Q2656,'New Weekly Paste'!B:O,10,0)),0)</f>
        <v>92.48</v>
      </c>
      <c r="K2656" s="259">
        <f>IFERROR(IFERROR(VLOOKUP(B2656&amp;I2656&amp;Q2656,'New Weekly Paste'!A:M,8,0),VLOOKUP(B2656&amp;I2656&amp;Q2656,'New Weekly Paste'!B:O,10,0)),0)</f>
        <v>67.48</v>
      </c>
      <c r="L2656" s="239">
        <f t="shared" si="25"/>
        <v>1</v>
      </c>
      <c r="M2656" s="36" t="str">
        <f t="shared" si="3"/>
        <v>Regular Season</v>
      </c>
      <c r="N2656" s="239" t="str">
        <f t="shared" si="26"/>
        <v>Riley</v>
      </c>
      <c r="O2656" s="6">
        <f>VLOOKUP(D2656,'Mapped Opponent'!$G$4:$H$22,2,0)</f>
        <v>3</v>
      </c>
      <c r="P2656" s="6"/>
      <c r="Q2656" s="6" t="str">
        <f t="shared" si="4"/>
        <v>Week 3</v>
      </c>
      <c r="R2656" s="6" t="str">
        <f t="shared" si="5"/>
        <v>2024Week 3</v>
      </c>
      <c r="S2656" s="6">
        <f>IFERROR(__xludf.DUMMYFUNCTION("rank(J2656,FILTER(J:J,R:R=R2656))"),6.0)</f>
        <v>6</v>
      </c>
      <c r="T2656" s="6">
        <f t="shared" si="6"/>
        <v>6</v>
      </c>
      <c r="U2656" s="6">
        <f t="shared" si="7"/>
        <v>6</v>
      </c>
      <c r="V2656" s="42">
        <f>averageif(AllData!A:A,B2656,AllData!R:R)/vlookup(B2656,AllData!A:O,15,0)</f>
        <v>94.42488095</v>
      </c>
      <c r="W2656" s="6"/>
    </row>
    <row r="2657" ht="14.25" customHeight="1">
      <c r="A2657" s="6" t="str">
        <f t="shared" si="28"/>
        <v>2024Shep3</v>
      </c>
      <c r="B2657" s="59">
        <v>2024.0</v>
      </c>
      <c r="C2657" s="13" t="s">
        <v>89</v>
      </c>
      <c r="D2657" s="13" t="s">
        <v>135</v>
      </c>
      <c r="E2657" s="34"/>
      <c r="F2657" s="6"/>
      <c r="H2657" s="6"/>
      <c r="I2657" s="35" t="str">
        <f>IFERROR(IFERROR(IFERROR(VLOOKUP(B2657&amp;C2657&amp;Q2657,'New Weekly Paste'!A:M,10,0),VLOOKUP(B2657&amp;C2657&amp;Q2657,'New Weekly Paste'!B:O,6,0)),""),"")</f>
        <v>T-How</v>
      </c>
      <c r="J2657" s="259">
        <f>IFERROR(IFERROR(VLOOKUP(B2657&amp;C2657&amp;Q2657,'New Weekly Paste'!A:M,8,0),VLOOKUP(B2657&amp;C2657&amp;Q2657,'New Weekly Paste'!B:O,10,0)),0)</f>
        <v>77</v>
      </c>
      <c r="K2657" s="259">
        <f>IFERROR(IFERROR(VLOOKUP(B2657&amp;I2657&amp;Q2657,'New Weekly Paste'!A:M,8,0),VLOOKUP(B2657&amp;I2657&amp;Q2657,'New Weekly Paste'!B:O,10,0)),0)</f>
        <v>88.74</v>
      </c>
      <c r="L2657" s="239">
        <f t="shared" si="25"/>
        <v>0</v>
      </c>
      <c r="M2657" s="36" t="str">
        <f t="shared" si="3"/>
        <v>Regular Season</v>
      </c>
      <c r="N2657" s="239" t="str">
        <f t="shared" si="26"/>
        <v>T-How</v>
      </c>
      <c r="O2657" s="6">
        <f>VLOOKUP(D2657,'Mapped Opponent'!$G$4:$H$22,2,0)</f>
        <v>3</v>
      </c>
      <c r="P2657" s="6"/>
      <c r="Q2657" s="6" t="str">
        <f t="shared" si="4"/>
        <v>Week 3</v>
      </c>
      <c r="R2657" s="6" t="str">
        <f t="shared" si="5"/>
        <v>2024Week 3</v>
      </c>
      <c r="S2657" s="6">
        <f>IFERROR(__xludf.DUMMYFUNCTION("rank(J2657,FILTER(J:J,R:R=R2657))"),10.0)</f>
        <v>10</v>
      </c>
      <c r="T2657" s="6">
        <f t="shared" si="6"/>
        <v>2</v>
      </c>
      <c r="U2657" s="6">
        <f t="shared" si="7"/>
        <v>10</v>
      </c>
      <c r="V2657" s="42">
        <f>averageif(AllData!A:A,B2657,AllData!R:R)/vlookup(B2657,AllData!A:O,15,0)</f>
        <v>94.42488095</v>
      </c>
      <c r="W2657" s="6"/>
    </row>
    <row r="2658" ht="14.25" customHeight="1">
      <c r="A2658" s="6" t="str">
        <f t="shared" si="28"/>
        <v>2024Riley3</v>
      </c>
      <c r="B2658" s="59">
        <v>2024.0</v>
      </c>
      <c r="C2658" s="13" t="s">
        <v>67</v>
      </c>
      <c r="D2658" s="13" t="s">
        <v>135</v>
      </c>
      <c r="E2658" s="34"/>
      <c r="F2658" s="6"/>
      <c r="H2658" s="6"/>
      <c r="I2658" s="35" t="str">
        <f>IFERROR(IFERROR(IFERROR(VLOOKUP(B2658&amp;C2658&amp;Q2658,'New Weekly Paste'!A:M,10,0),VLOOKUP(B2658&amp;C2658&amp;Q2658,'New Weekly Paste'!B:O,6,0)),""),"")</f>
        <v>Ewert</v>
      </c>
      <c r="J2658" s="259">
        <f>IFERROR(IFERROR(VLOOKUP(B2658&amp;C2658&amp;Q2658,'New Weekly Paste'!A:M,8,0),VLOOKUP(B2658&amp;C2658&amp;Q2658,'New Weekly Paste'!B:O,10,0)),0)</f>
        <v>67.48</v>
      </c>
      <c r="K2658" s="259">
        <f>IFERROR(IFERROR(VLOOKUP(B2658&amp;I2658&amp;Q2658,'New Weekly Paste'!A:M,8,0),VLOOKUP(B2658&amp;I2658&amp;Q2658,'New Weekly Paste'!B:O,10,0)),0)</f>
        <v>92.48</v>
      </c>
      <c r="L2658" s="239">
        <f t="shared" si="25"/>
        <v>0</v>
      </c>
      <c r="M2658" s="36" t="str">
        <f t="shared" si="3"/>
        <v>Regular Season</v>
      </c>
      <c r="N2658" s="239" t="str">
        <f t="shared" si="26"/>
        <v>Ewert</v>
      </c>
      <c r="O2658" s="6">
        <f>VLOOKUP(D2658,'Mapped Opponent'!$G$4:$H$22,2,0)</f>
        <v>3</v>
      </c>
      <c r="P2658" s="6"/>
      <c r="Q2658" s="6" t="str">
        <f t="shared" si="4"/>
        <v>Week 3</v>
      </c>
      <c r="R2658" s="6" t="str">
        <f t="shared" si="5"/>
        <v>2024Week 3</v>
      </c>
      <c r="S2658" s="6">
        <f>IFERROR(__xludf.DUMMYFUNCTION("rank(J2658,FILTER(J:J,R:R=R2658))"),11.0)</f>
        <v>11</v>
      </c>
      <c r="T2658" s="6">
        <f t="shared" si="6"/>
        <v>1</v>
      </c>
      <c r="U2658" s="6">
        <f t="shared" si="7"/>
        <v>11</v>
      </c>
      <c r="V2658" s="42">
        <f>averageif(AllData!A:A,B2658,AllData!R:R)/vlookup(B2658,AllData!A:O,15,0)</f>
        <v>94.42488095</v>
      </c>
      <c r="W2658" s="6"/>
    </row>
    <row r="2659" ht="14.25" customHeight="1">
      <c r="A2659" s="6" t="str">
        <f t="shared" si="28"/>
        <v>2024Rooney/Jackson3</v>
      </c>
      <c r="B2659" s="59">
        <v>2024.0</v>
      </c>
      <c r="C2659" s="13" t="s">
        <v>57</v>
      </c>
      <c r="D2659" s="13" t="s">
        <v>135</v>
      </c>
      <c r="E2659" s="34"/>
      <c r="F2659" s="6"/>
      <c r="H2659" s="6"/>
      <c r="I2659" s="35" t="str">
        <f>IFERROR(IFERROR(IFERROR(VLOOKUP(B2659&amp;C2659&amp;Q2659,'New Weekly Paste'!A:M,10,0),VLOOKUP(B2659&amp;C2659&amp;Q2659,'New Weekly Paste'!B:O,6,0)),""),"")</f>
        <v>KnardDawg</v>
      </c>
      <c r="J2659" s="259">
        <f>IFERROR(IFERROR(VLOOKUP(B2659&amp;C2659&amp;Q2659,'New Weekly Paste'!A:M,8,0),VLOOKUP(B2659&amp;C2659&amp;Q2659,'New Weekly Paste'!B:O,10,0)),0)</f>
        <v>93.78</v>
      </c>
      <c r="K2659" s="259">
        <f>IFERROR(IFERROR(VLOOKUP(B2659&amp;I2659&amp;Q2659,'New Weekly Paste'!A:M,8,0),VLOOKUP(B2659&amp;I2659&amp;Q2659,'New Weekly Paste'!B:O,10,0)),0)</f>
        <v>84.86</v>
      </c>
      <c r="L2659" s="239">
        <f t="shared" si="25"/>
        <v>1</v>
      </c>
      <c r="M2659" s="36" t="str">
        <f t="shared" si="3"/>
        <v>Regular Season</v>
      </c>
      <c r="N2659" s="239" t="str">
        <f t="shared" si="26"/>
        <v>KnardDawg</v>
      </c>
      <c r="O2659" s="6">
        <f>VLOOKUP(D2659,'Mapped Opponent'!$G$4:$H$22,2,0)</f>
        <v>3</v>
      </c>
      <c r="P2659" s="6"/>
      <c r="Q2659" s="6" t="str">
        <f t="shared" si="4"/>
        <v>Week 3</v>
      </c>
      <c r="R2659" s="6" t="str">
        <f t="shared" si="5"/>
        <v>2024Week 3</v>
      </c>
      <c r="S2659" s="6">
        <f>IFERROR(__xludf.DUMMYFUNCTION("rank(J2659,FILTER(J:J,R:R=R2659))"),5.0)</f>
        <v>5</v>
      </c>
      <c r="T2659" s="6">
        <f t="shared" si="6"/>
        <v>7</v>
      </c>
      <c r="U2659" s="6">
        <f t="shared" si="7"/>
        <v>5</v>
      </c>
      <c r="V2659" s="42">
        <f>averageif(AllData!A:A,B2659,AllData!R:R)/vlookup(B2659,AllData!A:O,15,0)</f>
        <v>94.42488095</v>
      </c>
      <c r="W2659" s="6"/>
    </row>
    <row r="2660" ht="14.25" customHeight="1">
      <c r="A2660" s="6" t="str">
        <f t="shared" si="28"/>
        <v>2024Buser3</v>
      </c>
      <c r="B2660" s="59">
        <v>2024.0</v>
      </c>
      <c r="C2660" s="13" t="s">
        <v>47</v>
      </c>
      <c r="D2660" s="13" t="s">
        <v>135</v>
      </c>
      <c r="E2660" s="34"/>
      <c r="F2660" s="6"/>
      <c r="H2660" s="6"/>
      <c r="I2660" s="35" t="str">
        <f>IFERROR(IFERROR(IFERROR(VLOOKUP(B2660&amp;C2660&amp;Q2660,'New Weekly Paste'!A:M,10,0),VLOOKUP(B2660&amp;C2660&amp;Q2660,'New Weekly Paste'!B:O,6,0)),""),"")</f>
        <v>Tayski</v>
      </c>
      <c r="J2660" s="259">
        <f>IFERROR(IFERROR(VLOOKUP(B2660&amp;C2660&amp;Q2660,'New Weekly Paste'!A:M,8,0),VLOOKUP(B2660&amp;C2660&amp;Q2660,'New Weekly Paste'!B:O,10,0)),0)</f>
        <v>84.36</v>
      </c>
      <c r="K2660" s="259">
        <f>IFERROR(IFERROR(VLOOKUP(B2660&amp;I2660&amp;Q2660,'New Weekly Paste'!A:M,8,0),VLOOKUP(B2660&amp;I2660&amp;Q2660,'New Weekly Paste'!B:O,10,0)),0)</f>
        <v>94.32</v>
      </c>
      <c r="L2660" s="239">
        <f t="shared" si="25"/>
        <v>0</v>
      </c>
      <c r="M2660" s="36" t="str">
        <f t="shared" si="3"/>
        <v>Regular Season</v>
      </c>
      <c r="N2660" s="239" t="str">
        <f t="shared" si="26"/>
        <v>Tayski</v>
      </c>
      <c r="O2660" s="6">
        <f>VLOOKUP(D2660,'Mapped Opponent'!$G$4:$H$22,2,0)</f>
        <v>3</v>
      </c>
      <c r="P2660" s="6"/>
      <c r="Q2660" s="6" t="str">
        <f t="shared" si="4"/>
        <v>Week 3</v>
      </c>
      <c r="R2660" s="6" t="str">
        <f t="shared" si="5"/>
        <v>2024Week 3</v>
      </c>
      <c r="S2660" s="6">
        <f>IFERROR(__xludf.DUMMYFUNCTION("rank(J2660,FILTER(J:J,R:R=R2660))"),9.0)</f>
        <v>9</v>
      </c>
      <c r="T2660" s="6">
        <f t="shared" si="6"/>
        <v>3</v>
      </c>
      <c r="U2660" s="6">
        <f t="shared" si="7"/>
        <v>9</v>
      </c>
      <c r="V2660" s="42">
        <f>averageif(AllData!A:A,B2660,AllData!R:R)/vlookup(B2660,AllData!A:O,15,0)</f>
        <v>94.42488095</v>
      </c>
      <c r="W2660" s="6"/>
    </row>
    <row r="2661" ht="14.25" customHeight="1">
      <c r="A2661" s="6" t="str">
        <f t="shared" si="28"/>
        <v>2024Pierson3</v>
      </c>
      <c r="B2661" s="59">
        <v>2024.0</v>
      </c>
      <c r="C2661" s="13" t="s">
        <v>92</v>
      </c>
      <c r="D2661" s="13" t="s">
        <v>135</v>
      </c>
      <c r="E2661" s="34"/>
      <c r="F2661" s="6"/>
      <c r="H2661" s="6"/>
      <c r="I2661" s="35" t="str">
        <f>IFERROR(IFERROR(IFERROR(VLOOKUP(B2661&amp;C2661&amp;Q2661,'New Weekly Paste'!A:M,10,0),VLOOKUP(B2661&amp;C2661&amp;Q2661,'New Weekly Paste'!B:O,6,0)),""),"")</f>
        <v>Cock</v>
      </c>
      <c r="J2661" s="259">
        <f>IFERROR(IFERROR(VLOOKUP(B2661&amp;C2661&amp;Q2661,'New Weekly Paste'!A:M,8,0),VLOOKUP(B2661&amp;C2661&amp;Q2661,'New Weekly Paste'!B:O,10,0)),0)</f>
        <v>110.56</v>
      </c>
      <c r="K2661" s="259">
        <f>IFERROR(IFERROR(VLOOKUP(B2661&amp;I2661&amp;Q2661,'New Weekly Paste'!A:M,8,0),VLOOKUP(B2661&amp;I2661&amp;Q2661,'New Weekly Paste'!B:O,10,0)),0)</f>
        <v>107.18</v>
      </c>
      <c r="L2661" s="239">
        <f t="shared" si="25"/>
        <v>1</v>
      </c>
      <c r="M2661" s="36" t="str">
        <f t="shared" si="3"/>
        <v>Regular Season</v>
      </c>
      <c r="N2661" s="239" t="str">
        <f t="shared" si="26"/>
        <v>Cock</v>
      </c>
      <c r="O2661" s="6">
        <f>VLOOKUP(D2661,'Mapped Opponent'!$G$4:$H$22,2,0)</f>
        <v>3</v>
      </c>
      <c r="P2661" s="6"/>
      <c r="Q2661" s="6" t="str">
        <f t="shared" si="4"/>
        <v>Week 3</v>
      </c>
      <c r="R2661" s="6" t="str">
        <f t="shared" si="5"/>
        <v>2024Week 3</v>
      </c>
      <c r="S2661" s="6">
        <f>IFERROR(__xludf.DUMMYFUNCTION("rank(J2661,FILTER(J:J,R:R=R2661))"),2.0)</f>
        <v>2</v>
      </c>
      <c r="T2661" s="6">
        <f t="shared" si="6"/>
        <v>10</v>
      </c>
      <c r="U2661" s="6">
        <f t="shared" si="7"/>
        <v>2</v>
      </c>
      <c r="V2661" s="42">
        <f>averageif(AllData!A:A,B2661,AllData!R:R)/vlookup(B2661,AllData!A:O,15,0)</f>
        <v>94.42488095</v>
      </c>
      <c r="W2661" s="6"/>
    </row>
    <row r="2662" ht="14.25" customHeight="1">
      <c r="A2662" s="6" t="str">
        <f t="shared" si="28"/>
        <v>2024Cock3</v>
      </c>
      <c r="B2662" s="59">
        <v>2024.0</v>
      </c>
      <c r="C2662" s="13" t="s">
        <v>72</v>
      </c>
      <c r="D2662" s="13" t="s">
        <v>135</v>
      </c>
      <c r="E2662" s="34"/>
      <c r="F2662" s="6"/>
      <c r="H2662" s="6"/>
      <c r="I2662" s="35" t="str">
        <f>IFERROR(IFERROR(IFERROR(VLOOKUP(B2662&amp;C2662&amp;Q2662,'New Weekly Paste'!A:M,10,0),VLOOKUP(B2662&amp;C2662&amp;Q2662,'New Weekly Paste'!B:O,6,0)),""),"")</f>
        <v>Pierson</v>
      </c>
      <c r="J2662" s="259">
        <f>IFERROR(IFERROR(VLOOKUP(B2662&amp;C2662&amp;Q2662,'New Weekly Paste'!A:M,8,0),VLOOKUP(B2662&amp;C2662&amp;Q2662,'New Weekly Paste'!B:O,10,0)),0)</f>
        <v>107.18</v>
      </c>
      <c r="K2662" s="259">
        <f>IFERROR(IFERROR(VLOOKUP(B2662&amp;I2662&amp;Q2662,'New Weekly Paste'!A:M,8,0),VLOOKUP(B2662&amp;I2662&amp;Q2662,'New Weekly Paste'!B:O,10,0)),0)</f>
        <v>110.56</v>
      </c>
      <c r="L2662" s="239">
        <f t="shared" si="25"/>
        <v>0</v>
      </c>
      <c r="M2662" s="36" t="str">
        <f t="shared" si="3"/>
        <v>Regular Season</v>
      </c>
      <c r="N2662" s="239" t="str">
        <f t="shared" si="26"/>
        <v>Pierson</v>
      </c>
      <c r="O2662" s="6">
        <f>VLOOKUP(D2662,'Mapped Opponent'!$G$4:$H$22,2,0)</f>
        <v>3</v>
      </c>
      <c r="P2662" s="6"/>
      <c r="Q2662" s="6" t="str">
        <f t="shared" si="4"/>
        <v>Week 3</v>
      </c>
      <c r="R2662" s="6" t="str">
        <f t="shared" si="5"/>
        <v>2024Week 3</v>
      </c>
      <c r="S2662" s="6">
        <f>IFERROR(__xludf.DUMMYFUNCTION("rank(J2662,FILTER(J:J,R:R=R2662))"),3.0)</f>
        <v>3</v>
      </c>
      <c r="T2662" s="6">
        <f t="shared" si="6"/>
        <v>9</v>
      </c>
      <c r="U2662" s="6">
        <f t="shared" si="7"/>
        <v>3</v>
      </c>
      <c r="V2662" s="42">
        <f>averageif(AllData!A:A,B2662,AllData!R:R)/vlookup(B2662,AllData!A:O,15,0)</f>
        <v>94.42488095</v>
      </c>
      <c r="W2662" s="6"/>
    </row>
    <row r="2663" ht="14.25" customHeight="1">
      <c r="A2663" s="6" t="str">
        <f t="shared" si="28"/>
        <v>2024Tayski3</v>
      </c>
      <c r="B2663" s="59">
        <v>2024.0</v>
      </c>
      <c r="C2663" s="13" t="s">
        <v>52</v>
      </c>
      <c r="D2663" s="13" t="s">
        <v>135</v>
      </c>
      <c r="E2663" s="34"/>
      <c r="F2663" s="6"/>
      <c r="H2663" s="6"/>
      <c r="I2663" s="35" t="str">
        <f>IFERROR(IFERROR(IFERROR(VLOOKUP(B2663&amp;C2663&amp;Q2663,'New Weekly Paste'!A:M,10,0),VLOOKUP(B2663&amp;C2663&amp;Q2663,'New Weekly Paste'!B:O,6,0)),""),"")</f>
        <v>Buser</v>
      </c>
      <c r="J2663" s="259">
        <f>IFERROR(IFERROR(VLOOKUP(B2663&amp;C2663&amp;Q2663,'New Weekly Paste'!A:M,8,0),VLOOKUP(B2663&amp;C2663&amp;Q2663,'New Weekly Paste'!B:O,10,0)),0)</f>
        <v>94.32</v>
      </c>
      <c r="K2663" s="259">
        <f>IFERROR(IFERROR(VLOOKUP(B2663&amp;I2663&amp;Q2663,'New Weekly Paste'!A:M,8,0),VLOOKUP(B2663&amp;I2663&amp;Q2663,'New Weekly Paste'!B:O,10,0)),0)</f>
        <v>84.36</v>
      </c>
      <c r="L2663" s="239">
        <f t="shared" si="25"/>
        <v>1</v>
      </c>
      <c r="M2663" s="36" t="str">
        <f t="shared" si="3"/>
        <v>Regular Season</v>
      </c>
      <c r="N2663" s="239" t="str">
        <f t="shared" si="26"/>
        <v>Buser</v>
      </c>
      <c r="O2663" s="6">
        <f>VLOOKUP(D2663,'Mapped Opponent'!$G$4:$H$22,2,0)</f>
        <v>3</v>
      </c>
      <c r="P2663" s="6"/>
      <c r="Q2663" s="6" t="str">
        <f t="shared" si="4"/>
        <v>Week 3</v>
      </c>
      <c r="R2663" s="6" t="str">
        <f t="shared" si="5"/>
        <v>2024Week 3</v>
      </c>
      <c r="S2663" s="6">
        <f>IFERROR(__xludf.DUMMYFUNCTION("rank(J2663,FILTER(J:J,R:R=R2663))"),4.0)</f>
        <v>4</v>
      </c>
      <c r="T2663" s="6">
        <f t="shared" si="6"/>
        <v>8</v>
      </c>
      <c r="U2663" s="6">
        <f t="shared" si="7"/>
        <v>4</v>
      </c>
      <c r="V2663" s="42">
        <f>averageif(AllData!A:A,B2663,AllData!R:R)/vlookup(B2663,AllData!A:O,15,0)</f>
        <v>94.42488095</v>
      </c>
      <c r="W2663" s="6"/>
    </row>
    <row r="2664" ht="14.25" customHeight="1">
      <c r="A2664" s="6" t="str">
        <f t="shared" si="28"/>
        <v>2024KnardDawg3</v>
      </c>
      <c r="B2664" s="59">
        <v>2024.0</v>
      </c>
      <c r="C2664" s="13" t="s">
        <v>86</v>
      </c>
      <c r="D2664" s="13" t="s">
        <v>135</v>
      </c>
      <c r="E2664" s="34"/>
      <c r="F2664" s="6"/>
      <c r="H2664" s="6"/>
      <c r="I2664" s="35" t="str">
        <f>IFERROR(IFERROR(IFERROR(VLOOKUP(B2664&amp;C2664&amp;Q2664,'New Weekly Paste'!A:M,10,0),VLOOKUP(B2664&amp;C2664&amp;Q2664,'New Weekly Paste'!B:O,6,0)),""),"")</f>
        <v>Rooney/Jackson</v>
      </c>
      <c r="J2664" s="259">
        <f>IFERROR(IFERROR(VLOOKUP(B2664&amp;C2664&amp;Q2664,'New Weekly Paste'!A:M,8,0),VLOOKUP(B2664&amp;C2664&amp;Q2664,'New Weekly Paste'!B:O,10,0)),0)</f>
        <v>84.86</v>
      </c>
      <c r="K2664" s="259">
        <f>IFERROR(IFERROR(VLOOKUP(B2664&amp;I2664&amp;Q2664,'New Weekly Paste'!A:M,8,0),VLOOKUP(B2664&amp;I2664&amp;Q2664,'New Weekly Paste'!B:O,10,0)),0)</f>
        <v>93.78</v>
      </c>
      <c r="L2664" s="239">
        <f t="shared" si="25"/>
        <v>0</v>
      </c>
      <c r="M2664" s="36" t="str">
        <f t="shared" si="3"/>
        <v>Regular Season</v>
      </c>
      <c r="N2664" s="239" t="str">
        <f t="shared" si="26"/>
        <v>Rooney/Jackson</v>
      </c>
      <c r="O2664" s="6">
        <f>VLOOKUP(D2664,'Mapped Opponent'!$G$4:$H$22,2,0)</f>
        <v>3</v>
      </c>
      <c r="P2664" s="6"/>
      <c r="Q2664" s="6" t="str">
        <f t="shared" si="4"/>
        <v>Week 3</v>
      </c>
      <c r="R2664" s="6" t="str">
        <f t="shared" si="5"/>
        <v>2024Week 3</v>
      </c>
      <c r="S2664" s="6">
        <f>IFERROR(__xludf.DUMMYFUNCTION("rank(J2664,FILTER(J:J,R:R=R2664))"),8.0)</f>
        <v>8</v>
      </c>
      <c r="T2664" s="6">
        <f t="shared" si="6"/>
        <v>4</v>
      </c>
      <c r="U2664" s="6">
        <f t="shared" si="7"/>
        <v>8</v>
      </c>
      <c r="V2664" s="42">
        <f>averageif(AllData!A:A,B2664,AllData!R:R)/vlookup(B2664,AllData!A:O,15,0)</f>
        <v>94.42488095</v>
      </c>
      <c r="W2664" s="6"/>
    </row>
    <row r="2665" ht="14.25" customHeight="1">
      <c r="A2665" s="6" t="str">
        <f t="shared" si="28"/>
        <v>2024T-How3</v>
      </c>
      <c r="B2665" s="59">
        <v>2024.0</v>
      </c>
      <c r="C2665" s="13" t="s">
        <v>82</v>
      </c>
      <c r="D2665" s="13" t="s">
        <v>135</v>
      </c>
      <c r="E2665" s="34"/>
      <c r="F2665" s="6"/>
      <c r="H2665" s="6"/>
      <c r="I2665" s="35" t="str">
        <f>IFERROR(IFERROR(IFERROR(VLOOKUP(B2665&amp;C2665&amp;Q2665,'New Weekly Paste'!A:M,10,0),VLOOKUP(B2665&amp;C2665&amp;Q2665,'New Weekly Paste'!B:O,6,0)),""),"")</f>
        <v>Shep</v>
      </c>
      <c r="J2665" s="259">
        <f>IFERROR(IFERROR(VLOOKUP(B2665&amp;C2665&amp;Q2665,'New Weekly Paste'!A:M,8,0),VLOOKUP(B2665&amp;C2665&amp;Q2665,'New Weekly Paste'!B:O,10,0)),0)</f>
        <v>88.74</v>
      </c>
      <c r="K2665" s="259">
        <f>IFERROR(IFERROR(VLOOKUP(B2665&amp;I2665&amp;Q2665,'New Weekly Paste'!A:M,8,0),VLOOKUP(B2665&amp;I2665&amp;Q2665,'New Weekly Paste'!B:O,10,0)),0)</f>
        <v>77</v>
      </c>
      <c r="L2665" s="239">
        <f t="shared" si="25"/>
        <v>1</v>
      </c>
      <c r="M2665" s="36" t="str">
        <f t="shared" si="3"/>
        <v>Regular Season</v>
      </c>
      <c r="N2665" s="239" t="str">
        <f t="shared" si="26"/>
        <v>Shep</v>
      </c>
      <c r="O2665" s="6">
        <f>VLOOKUP(D2665,'Mapped Opponent'!$G$4:$H$22,2,0)</f>
        <v>3</v>
      </c>
      <c r="P2665" s="6"/>
      <c r="Q2665" s="6" t="str">
        <f t="shared" si="4"/>
        <v>Week 3</v>
      </c>
      <c r="R2665" s="6" t="str">
        <f t="shared" si="5"/>
        <v>2024Week 3</v>
      </c>
      <c r="S2665" s="6">
        <f>IFERROR(__xludf.DUMMYFUNCTION("rank(J2665,FILTER(J:J,R:R=R2665))"),7.0)</f>
        <v>7</v>
      </c>
      <c r="T2665" s="6">
        <f t="shared" si="6"/>
        <v>5</v>
      </c>
      <c r="U2665" s="6">
        <f t="shared" si="7"/>
        <v>7</v>
      </c>
      <c r="V2665" s="42">
        <f>averageif(AllData!A:A,B2665,AllData!R:R)/vlookup(B2665,AllData!A:O,15,0)</f>
        <v>94.42488095</v>
      </c>
      <c r="W2665" s="6"/>
    </row>
    <row r="2666" ht="14.25" customHeight="1">
      <c r="A2666" s="6" t="str">
        <f t="shared" si="28"/>
        <v>2024Hudspeath4</v>
      </c>
      <c r="B2666" s="59">
        <v>2024.0</v>
      </c>
      <c r="C2666" s="13" t="s">
        <v>39</v>
      </c>
      <c r="D2666" s="13" t="s">
        <v>138</v>
      </c>
      <c r="E2666" s="34"/>
      <c r="F2666" s="6"/>
      <c r="H2666" s="6"/>
      <c r="I2666" s="35" t="str">
        <f>IFERROR(IFERROR(IFERROR(VLOOKUP(B2666&amp;C2666&amp;Q2666,'New Weekly Paste'!A:M,10,0),VLOOKUP(B2666&amp;C2666&amp;Q2666,'New Weekly Paste'!B:O,6,0)),""),"")</f>
        <v>Riley</v>
      </c>
      <c r="J2666" s="259">
        <f>IFERROR(IFERROR(VLOOKUP(B2666&amp;C2666&amp;Q2666,'New Weekly Paste'!A:M,8,0),VLOOKUP(B2666&amp;C2666&amp;Q2666,'New Weekly Paste'!B:O,10,0)),0)</f>
        <v>87.98</v>
      </c>
      <c r="K2666" s="259">
        <f>IFERROR(IFERROR(VLOOKUP(B2666&amp;I2666&amp;Q2666,'New Weekly Paste'!A:M,8,0),VLOOKUP(B2666&amp;I2666&amp;Q2666,'New Weekly Paste'!B:O,10,0)),0)</f>
        <v>75.58</v>
      </c>
      <c r="L2666" s="239">
        <f t="shared" si="25"/>
        <v>1</v>
      </c>
      <c r="M2666" s="36" t="str">
        <f t="shared" si="3"/>
        <v>Regular Season</v>
      </c>
      <c r="N2666" s="239" t="str">
        <f t="shared" si="26"/>
        <v>Riley</v>
      </c>
      <c r="O2666" s="6">
        <f>VLOOKUP(D2666,'Mapped Opponent'!$G$4:$H$22,2,0)</f>
        <v>4</v>
      </c>
      <c r="P2666" s="6"/>
      <c r="Q2666" s="6" t="str">
        <f t="shared" si="4"/>
        <v>Week 4</v>
      </c>
      <c r="R2666" s="6" t="str">
        <f t="shared" si="5"/>
        <v>2024Week 4</v>
      </c>
      <c r="S2666" s="6">
        <f>IFERROR(__xludf.DUMMYFUNCTION("rank(J2666,FILTER(J:J,R:R=R2666))"),5.0)</f>
        <v>5</v>
      </c>
      <c r="T2666" s="6">
        <f t="shared" si="6"/>
        <v>7</v>
      </c>
      <c r="U2666" s="6">
        <f t="shared" si="7"/>
        <v>5</v>
      </c>
      <c r="V2666" s="42">
        <f>averageif(AllData!A:A,B2666,AllData!R:R)/vlookup(B2666,AllData!A:O,15,0)</f>
        <v>94.42488095</v>
      </c>
      <c r="W2666" s="6"/>
    </row>
    <row r="2667" ht="14.25" customHeight="1">
      <c r="A2667" s="6" t="str">
        <f t="shared" si="28"/>
        <v>2024Salty4</v>
      </c>
      <c r="B2667" s="59">
        <v>2024.0</v>
      </c>
      <c r="C2667" s="13" t="s">
        <v>76</v>
      </c>
      <c r="D2667" s="13" t="s">
        <v>138</v>
      </c>
      <c r="E2667" s="34"/>
      <c r="F2667" s="6"/>
      <c r="H2667" s="6"/>
      <c r="I2667" s="35" t="str">
        <f>IFERROR(IFERROR(IFERROR(VLOOKUP(B2667&amp;C2667&amp;Q2667,'New Weekly Paste'!A:M,10,0),VLOOKUP(B2667&amp;C2667&amp;Q2667,'New Weekly Paste'!B:O,6,0)),""),"")</f>
        <v>KnardDawg</v>
      </c>
      <c r="J2667" s="259">
        <f>IFERROR(IFERROR(VLOOKUP(B2667&amp;C2667&amp;Q2667,'New Weekly Paste'!A:M,8,0),VLOOKUP(B2667&amp;C2667&amp;Q2667,'New Weekly Paste'!B:O,10,0)),0)</f>
        <v>83.32</v>
      </c>
      <c r="K2667" s="259">
        <f>IFERROR(IFERROR(VLOOKUP(B2667&amp;I2667&amp;Q2667,'New Weekly Paste'!A:M,8,0),VLOOKUP(B2667&amp;I2667&amp;Q2667,'New Weekly Paste'!B:O,10,0)),0)</f>
        <v>72.38</v>
      </c>
      <c r="L2667" s="239">
        <f t="shared" si="25"/>
        <v>1</v>
      </c>
      <c r="M2667" s="36" t="str">
        <f t="shared" si="3"/>
        <v>Regular Season</v>
      </c>
      <c r="N2667" s="239" t="str">
        <f t="shared" si="26"/>
        <v>KnardDawg</v>
      </c>
      <c r="O2667" s="6">
        <f>VLOOKUP(D2667,'Mapped Opponent'!$G$4:$H$22,2,0)</f>
        <v>4</v>
      </c>
      <c r="P2667" s="6"/>
      <c r="Q2667" s="6" t="str">
        <f t="shared" si="4"/>
        <v>Week 4</v>
      </c>
      <c r="R2667" s="6" t="str">
        <f t="shared" si="5"/>
        <v>2024Week 4</v>
      </c>
      <c r="S2667" s="6">
        <f>IFERROR(__xludf.DUMMYFUNCTION("rank(J2667,FILTER(J:J,R:R=R2667))"),7.0)</f>
        <v>7</v>
      </c>
      <c r="T2667" s="6">
        <f t="shared" si="6"/>
        <v>5</v>
      </c>
      <c r="U2667" s="6">
        <f t="shared" si="7"/>
        <v>7</v>
      </c>
      <c r="V2667" s="42">
        <f>averageif(AllData!A:A,B2667,AllData!R:R)/vlookup(B2667,AllData!A:O,15,0)</f>
        <v>94.42488095</v>
      </c>
      <c r="W2667" s="6"/>
    </row>
    <row r="2668" ht="14.25" customHeight="1">
      <c r="A2668" s="6" t="str">
        <f t="shared" si="28"/>
        <v>2024Ewert4</v>
      </c>
      <c r="B2668" s="59">
        <v>2024.0</v>
      </c>
      <c r="C2668" s="13" t="s">
        <v>108</v>
      </c>
      <c r="D2668" s="13" t="s">
        <v>138</v>
      </c>
      <c r="E2668" s="34"/>
      <c r="F2668" s="6"/>
      <c r="H2668" s="6"/>
      <c r="I2668" s="35" t="str">
        <f>IFERROR(IFERROR(IFERROR(VLOOKUP(B2668&amp;C2668&amp;Q2668,'New Weekly Paste'!A:M,10,0),VLOOKUP(B2668&amp;C2668&amp;Q2668,'New Weekly Paste'!B:O,6,0)),""),"")</f>
        <v>Buser</v>
      </c>
      <c r="J2668" s="259">
        <f>IFERROR(IFERROR(VLOOKUP(B2668&amp;C2668&amp;Q2668,'New Weekly Paste'!A:M,8,0),VLOOKUP(B2668&amp;C2668&amp;Q2668,'New Weekly Paste'!B:O,10,0)),0)</f>
        <v>131.1</v>
      </c>
      <c r="K2668" s="259">
        <f>IFERROR(IFERROR(VLOOKUP(B2668&amp;I2668&amp;Q2668,'New Weekly Paste'!A:M,8,0),VLOOKUP(B2668&amp;I2668&amp;Q2668,'New Weekly Paste'!B:O,10,0)),0)</f>
        <v>80.04</v>
      </c>
      <c r="L2668" s="239">
        <f t="shared" si="25"/>
        <v>1</v>
      </c>
      <c r="M2668" s="36" t="str">
        <f t="shared" si="3"/>
        <v>Regular Season</v>
      </c>
      <c r="N2668" s="239" t="str">
        <f t="shared" si="26"/>
        <v>Buser</v>
      </c>
      <c r="O2668" s="6">
        <f>VLOOKUP(D2668,'Mapped Opponent'!$G$4:$H$22,2,0)</f>
        <v>4</v>
      </c>
      <c r="P2668" s="6"/>
      <c r="Q2668" s="6" t="str">
        <f t="shared" si="4"/>
        <v>Week 4</v>
      </c>
      <c r="R2668" s="6" t="str">
        <f t="shared" si="5"/>
        <v>2024Week 4</v>
      </c>
      <c r="S2668" s="6">
        <f>IFERROR(__xludf.DUMMYFUNCTION("rank(J2668,FILTER(J:J,R:R=R2668))"),1.0)</f>
        <v>1</v>
      </c>
      <c r="T2668" s="6">
        <f t="shared" si="6"/>
        <v>11</v>
      </c>
      <c r="U2668" s="6">
        <f t="shared" si="7"/>
        <v>1</v>
      </c>
      <c r="V2668" s="42">
        <f>averageif(AllData!A:A,B2668,AllData!R:R)/vlookup(B2668,AllData!A:O,15,0)</f>
        <v>94.42488095</v>
      </c>
      <c r="W2668" s="6"/>
    </row>
    <row r="2669" ht="14.25" customHeight="1">
      <c r="A2669" s="6" t="str">
        <f t="shared" si="28"/>
        <v>2024Shep4</v>
      </c>
      <c r="B2669" s="59">
        <v>2024.0</v>
      </c>
      <c r="C2669" s="13" t="s">
        <v>89</v>
      </c>
      <c r="D2669" s="13" t="s">
        <v>138</v>
      </c>
      <c r="E2669" s="34"/>
      <c r="F2669" s="6"/>
      <c r="H2669" s="6"/>
      <c r="I2669" s="35" t="str">
        <f>IFERROR(IFERROR(IFERROR(VLOOKUP(B2669&amp;C2669&amp;Q2669,'New Weekly Paste'!A:M,10,0),VLOOKUP(B2669&amp;C2669&amp;Q2669,'New Weekly Paste'!B:O,6,0)),""),"")</f>
        <v>Cock</v>
      </c>
      <c r="J2669" s="259">
        <f>IFERROR(IFERROR(VLOOKUP(B2669&amp;C2669&amp;Q2669,'New Weekly Paste'!A:M,8,0),VLOOKUP(B2669&amp;C2669&amp;Q2669,'New Weekly Paste'!B:O,10,0)),0)</f>
        <v>100.9</v>
      </c>
      <c r="K2669" s="259">
        <f>IFERROR(IFERROR(VLOOKUP(B2669&amp;I2669&amp;Q2669,'New Weekly Paste'!A:M,8,0),VLOOKUP(B2669&amp;I2669&amp;Q2669,'New Weekly Paste'!B:O,10,0)),0)</f>
        <v>78.22</v>
      </c>
      <c r="L2669" s="239">
        <f t="shared" si="25"/>
        <v>1</v>
      </c>
      <c r="M2669" s="36" t="str">
        <f t="shared" si="3"/>
        <v>Regular Season</v>
      </c>
      <c r="N2669" s="239" t="str">
        <f t="shared" si="26"/>
        <v>Cock</v>
      </c>
      <c r="O2669" s="6">
        <f>VLOOKUP(D2669,'Mapped Opponent'!$G$4:$H$22,2,0)</f>
        <v>4</v>
      </c>
      <c r="P2669" s="6"/>
      <c r="Q2669" s="6" t="str">
        <f t="shared" si="4"/>
        <v>Week 4</v>
      </c>
      <c r="R2669" s="6" t="str">
        <f t="shared" si="5"/>
        <v>2024Week 4</v>
      </c>
      <c r="S2669" s="6">
        <f>IFERROR(__xludf.DUMMYFUNCTION("rank(J2669,FILTER(J:J,R:R=R2669))"),3.0)</f>
        <v>3</v>
      </c>
      <c r="T2669" s="6">
        <f t="shared" si="6"/>
        <v>9</v>
      </c>
      <c r="U2669" s="6">
        <f t="shared" si="7"/>
        <v>3</v>
      </c>
      <c r="V2669" s="42">
        <f>averageif(AllData!A:A,B2669,AllData!R:R)/vlookup(B2669,AllData!A:O,15,0)</f>
        <v>94.42488095</v>
      </c>
      <c r="W2669" s="6"/>
    </row>
    <row r="2670" ht="14.25" customHeight="1">
      <c r="A2670" s="6" t="str">
        <f t="shared" si="28"/>
        <v>2024Riley4</v>
      </c>
      <c r="B2670" s="59">
        <v>2024.0</v>
      </c>
      <c r="C2670" s="13" t="s">
        <v>67</v>
      </c>
      <c r="D2670" s="13" t="s">
        <v>138</v>
      </c>
      <c r="E2670" s="34"/>
      <c r="F2670" s="6"/>
      <c r="H2670" s="6"/>
      <c r="I2670" s="35" t="str">
        <f>IFERROR(IFERROR(IFERROR(VLOOKUP(B2670&amp;C2670&amp;Q2670,'New Weekly Paste'!A:M,10,0),VLOOKUP(B2670&amp;C2670&amp;Q2670,'New Weekly Paste'!B:O,6,0)),""),"")</f>
        <v>Hudspeath</v>
      </c>
      <c r="J2670" s="259">
        <f>IFERROR(IFERROR(VLOOKUP(B2670&amp;C2670&amp;Q2670,'New Weekly Paste'!A:M,8,0),VLOOKUP(B2670&amp;C2670&amp;Q2670,'New Weekly Paste'!B:O,10,0)),0)</f>
        <v>75.58</v>
      </c>
      <c r="K2670" s="259">
        <f>IFERROR(IFERROR(VLOOKUP(B2670&amp;I2670&amp;Q2670,'New Weekly Paste'!A:M,8,0),VLOOKUP(B2670&amp;I2670&amp;Q2670,'New Weekly Paste'!B:O,10,0)),0)</f>
        <v>87.98</v>
      </c>
      <c r="L2670" s="239">
        <f t="shared" si="25"/>
        <v>0</v>
      </c>
      <c r="M2670" s="36" t="str">
        <f t="shared" si="3"/>
        <v>Regular Season</v>
      </c>
      <c r="N2670" s="239" t="str">
        <f t="shared" si="26"/>
        <v>Hudspeath</v>
      </c>
      <c r="O2670" s="6">
        <f>VLOOKUP(D2670,'Mapped Opponent'!$G$4:$H$22,2,0)</f>
        <v>4</v>
      </c>
      <c r="P2670" s="6"/>
      <c r="Q2670" s="6" t="str">
        <f t="shared" si="4"/>
        <v>Week 4</v>
      </c>
      <c r="R2670" s="6" t="str">
        <f t="shared" si="5"/>
        <v>2024Week 4</v>
      </c>
      <c r="S2670" s="6">
        <f>IFERROR(__xludf.DUMMYFUNCTION("rank(J2670,FILTER(J:J,R:R=R2670))"),11.0)</f>
        <v>11</v>
      </c>
      <c r="T2670" s="6">
        <f t="shared" si="6"/>
        <v>1</v>
      </c>
      <c r="U2670" s="6">
        <f t="shared" si="7"/>
        <v>11</v>
      </c>
      <c r="V2670" s="42">
        <f>averageif(AllData!A:A,B2670,AllData!R:R)/vlookup(B2670,AllData!A:O,15,0)</f>
        <v>94.42488095</v>
      </c>
      <c r="W2670" s="6"/>
    </row>
    <row r="2671" ht="14.25" customHeight="1">
      <c r="A2671" s="6" t="str">
        <f t="shared" si="28"/>
        <v>2024Rooney/Jackson4</v>
      </c>
      <c r="B2671" s="59">
        <v>2024.0</v>
      </c>
      <c r="C2671" s="13" t="s">
        <v>57</v>
      </c>
      <c r="D2671" s="13" t="s">
        <v>138</v>
      </c>
      <c r="E2671" s="34"/>
      <c r="F2671" s="6"/>
      <c r="H2671" s="6"/>
      <c r="I2671" s="35" t="str">
        <f>IFERROR(IFERROR(IFERROR(VLOOKUP(B2671&amp;C2671&amp;Q2671,'New Weekly Paste'!A:M,10,0),VLOOKUP(B2671&amp;C2671&amp;Q2671,'New Weekly Paste'!B:O,6,0)),""),"")</f>
        <v>Pierson</v>
      </c>
      <c r="J2671" s="259">
        <f>IFERROR(IFERROR(VLOOKUP(B2671&amp;C2671&amp;Q2671,'New Weekly Paste'!A:M,8,0),VLOOKUP(B2671&amp;C2671&amp;Q2671,'New Weekly Paste'!B:O,10,0)),0)</f>
        <v>129.02</v>
      </c>
      <c r="K2671" s="259">
        <f>IFERROR(IFERROR(VLOOKUP(B2671&amp;I2671&amp;Q2671,'New Weekly Paste'!A:M,8,0),VLOOKUP(B2671&amp;I2671&amp;Q2671,'New Weekly Paste'!B:O,10,0)),0)</f>
        <v>87.48</v>
      </c>
      <c r="L2671" s="239">
        <f t="shared" si="25"/>
        <v>1</v>
      </c>
      <c r="M2671" s="36" t="str">
        <f t="shared" si="3"/>
        <v>Regular Season</v>
      </c>
      <c r="N2671" s="239" t="str">
        <f t="shared" si="26"/>
        <v>Pierson</v>
      </c>
      <c r="O2671" s="6">
        <f>VLOOKUP(D2671,'Mapped Opponent'!$G$4:$H$22,2,0)</f>
        <v>4</v>
      </c>
      <c r="P2671" s="6"/>
      <c r="Q2671" s="6" t="str">
        <f t="shared" si="4"/>
        <v>Week 4</v>
      </c>
      <c r="R2671" s="6" t="str">
        <f t="shared" si="5"/>
        <v>2024Week 4</v>
      </c>
      <c r="S2671" s="6">
        <f>IFERROR(__xludf.DUMMYFUNCTION("rank(J2671,FILTER(J:J,R:R=R2671))"),2.0)</f>
        <v>2</v>
      </c>
      <c r="T2671" s="6">
        <f t="shared" si="6"/>
        <v>10</v>
      </c>
      <c r="U2671" s="6">
        <f t="shared" si="7"/>
        <v>2</v>
      </c>
      <c r="V2671" s="42">
        <f>averageif(AllData!A:A,B2671,AllData!R:R)/vlookup(B2671,AllData!A:O,15,0)</f>
        <v>94.42488095</v>
      </c>
      <c r="W2671" s="6"/>
    </row>
    <row r="2672" ht="14.25" customHeight="1">
      <c r="A2672" s="6" t="str">
        <f t="shared" si="28"/>
        <v>2024Buser4</v>
      </c>
      <c r="B2672" s="59">
        <v>2024.0</v>
      </c>
      <c r="C2672" s="13" t="s">
        <v>47</v>
      </c>
      <c r="D2672" s="13" t="s">
        <v>138</v>
      </c>
      <c r="E2672" s="34"/>
      <c r="F2672" s="6"/>
      <c r="H2672" s="6"/>
      <c r="I2672" s="35" t="str">
        <f>IFERROR(IFERROR(IFERROR(VLOOKUP(B2672&amp;C2672&amp;Q2672,'New Weekly Paste'!A:M,10,0),VLOOKUP(B2672&amp;C2672&amp;Q2672,'New Weekly Paste'!B:O,6,0)),""),"")</f>
        <v>Ewert</v>
      </c>
      <c r="J2672" s="259">
        <f>IFERROR(IFERROR(VLOOKUP(B2672&amp;C2672&amp;Q2672,'New Weekly Paste'!A:M,8,0),VLOOKUP(B2672&amp;C2672&amp;Q2672,'New Weekly Paste'!B:O,10,0)),0)</f>
        <v>80.04</v>
      </c>
      <c r="K2672" s="259">
        <f>IFERROR(IFERROR(VLOOKUP(B2672&amp;I2672&amp;Q2672,'New Weekly Paste'!A:M,8,0),VLOOKUP(B2672&amp;I2672&amp;Q2672,'New Weekly Paste'!B:O,10,0)),0)</f>
        <v>131.1</v>
      </c>
      <c r="L2672" s="239">
        <f t="shared" si="25"/>
        <v>0</v>
      </c>
      <c r="M2672" s="36" t="str">
        <f t="shared" si="3"/>
        <v>Regular Season</v>
      </c>
      <c r="N2672" s="239" t="str">
        <f t="shared" si="26"/>
        <v>Ewert</v>
      </c>
      <c r="O2672" s="6">
        <f>VLOOKUP(D2672,'Mapped Opponent'!$G$4:$H$22,2,0)</f>
        <v>4</v>
      </c>
      <c r="P2672" s="6"/>
      <c r="Q2672" s="6" t="str">
        <f t="shared" si="4"/>
        <v>Week 4</v>
      </c>
      <c r="R2672" s="6" t="str">
        <f t="shared" si="5"/>
        <v>2024Week 4</v>
      </c>
      <c r="S2672" s="6">
        <f>IFERROR(__xludf.DUMMYFUNCTION("rank(J2672,FILTER(J:J,R:R=R2672))"),8.0)</f>
        <v>8</v>
      </c>
      <c r="T2672" s="6">
        <f t="shared" si="6"/>
        <v>4</v>
      </c>
      <c r="U2672" s="6">
        <f t="shared" si="7"/>
        <v>8</v>
      </c>
      <c r="V2672" s="42">
        <f>averageif(AllData!A:A,B2672,AllData!R:R)/vlookup(B2672,AllData!A:O,15,0)</f>
        <v>94.42488095</v>
      </c>
      <c r="W2672" s="6"/>
    </row>
    <row r="2673" ht="14.25" customHeight="1">
      <c r="A2673" s="6" t="str">
        <f t="shared" si="28"/>
        <v>2024Pierson4</v>
      </c>
      <c r="B2673" s="59">
        <v>2024.0</v>
      </c>
      <c r="C2673" s="13" t="s">
        <v>92</v>
      </c>
      <c r="D2673" s="13" t="s">
        <v>138</v>
      </c>
      <c r="E2673" s="34"/>
      <c r="F2673" s="6"/>
      <c r="H2673" s="6"/>
      <c r="I2673" s="35" t="str">
        <f>IFERROR(IFERROR(IFERROR(VLOOKUP(B2673&amp;C2673&amp;Q2673,'New Weekly Paste'!A:M,10,0),VLOOKUP(B2673&amp;C2673&amp;Q2673,'New Weekly Paste'!B:O,6,0)),""),"")</f>
        <v>Rooney/Jackson</v>
      </c>
      <c r="J2673" s="259">
        <f>IFERROR(IFERROR(VLOOKUP(B2673&amp;C2673&amp;Q2673,'New Weekly Paste'!A:M,8,0),VLOOKUP(B2673&amp;C2673&amp;Q2673,'New Weekly Paste'!B:O,10,0)),0)</f>
        <v>87.48</v>
      </c>
      <c r="K2673" s="259">
        <f>IFERROR(IFERROR(VLOOKUP(B2673&amp;I2673&amp;Q2673,'New Weekly Paste'!A:M,8,0),VLOOKUP(B2673&amp;I2673&amp;Q2673,'New Weekly Paste'!B:O,10,0)),0)</f>
        <v>129.02</v>
      </c>
      <c r="L2673" s="239">
        <f t="shared" si="25"/>
        <v>0</v>
      </c>
      <c r="M2673" s="36" t="str">
        <f t="shared" si="3"/>
        <v>Regular Season</v>
      </c>
      <c r="N2673" s="239" t="str">
        <f t="shared" si="26"/>
        <v>Rooney/Jackson</v>
      </c>
      <c r="O2673" s="6">
        <f>VLOOKUP(D2673,'Mapped Opponent'!$G$4:$H$22,2,0)</f>
        <v>4</v>
      </c>
      <c r="P2673" s="6"/>
      <c r="Q2673" s="6" t="str">
        <f t="shared" si="4"/>
        <v>Week 4</v>
      </c>
      <c r="R2673" s="6" t="str">
        <f t="shared" si="5"/>
        <v>2024Week 4</v>
      </c>
      <c r="S2673" s="6">
        <f>IFERROR(__xludf.DUMMYFUNCTION("rank(J2673,FILTER(J:J,R:R=R2673))"),6.0)</f>
        <v>6</v>
      </c>
      <c r="T2673" s="6">
        <f t="shared" si="6"/>
        <v>6</v>
      </c>
      <c r="U2673" s="6">
        <f t="shared" si="7"/>
        <v>6</v>
      </c>
      <c r="V2673" s="42">
        <f>averageif(AllData!A:A,B2673,AllData!R:R)/vlookup(B2673,AllData!A:O,15,0)</f>
        <v>94.42488095</v>
      </c>
      <c r="W2673" s="6"/>
    </row>
    <row r="2674" ht="14.25" customHeight="1">
      <c r="A2674" s="6" t="str">
        <f t="shared" si="28"/>
        <v>2024Cock4</v>
      </c>
      <c r="B2674" s="59">
        <v>2024.0</v>
      </c>
      <c r="C2674" s="13" t="s">
        <v>72</v>
      </c>
      <c r="D2674" s="13" t="s">
        <v>138</v>
      </c>
      <c r="E2674" s="34"/>
      <c r="F2674" s="6"/>
      <c r="H2674" s="6"/>
      <c r="I2674" s="35" t="str">
        <f>IFERROR(IFERROR(IFERROR(VLOOKUP(B2674&amp;C2674&amp;Q2674,'New Weekly Paste'!A:M,10,0),VLOOKUP(B2674&amp;C2674&amp;Q2674,'New Weekly Paste'!B:O,6,0)),""),"")</f>
        <v>Shep</v>
      </c>
      <c r="J2674" s="259">
        <f>IFERROR(IFERROR(VLOOKUP(B2674&amp;C2674&amp;Q2674,'New Weekly Paste'!A:M,8,0),VLOOKUP(B2674&amp;C2674&amp;Q2674,'New Weekly Paste'!B:O,10,0)),0)</f>
        <v>78.22</v>
      </c>
      <c r="K2674" s="259">
        <f>IFERROR(IFERROR(VLOOKUP(B2674&amp;I2674&amp;Q2674,'New Weekly Paste'!A:M,8,0),VLOOKUP(B2674&amp;I2674&amp;Q2674,'New Weekly Paste'!B:O,10,0)),0)</f>
        <v>100.9</v>
      </c>
      <c r="L2674" s="239">
        <f t="shared" si="25"/>
        <v>0</v>
      </c>
      <c r="M2674" s="36" t="str">
        <f t="shared" si="3"/>
        <v>Regular Season</v>
      </c>
      <c r="N2674" s="239" t="str">
        <f t="shared" si="26"/>
        <v>Shep</v>
      </c>
      <c r="O2674" s="6">
        <f>VLOOKUP(D2674,'Mapped Opponent'!$G$4:$H$22,2,0)</f>
        <v>4</v>
      </c>
      <c r="P2674" s="6"/>
      <c r="Q2674" s="6" t="str">
        <f t="shared" si="4"/>
        <v>Week 4</v>
      </c>
      <c r="R2674" s="6" t="str">
        <f t="shared" si="5"/>
        <v>2024Week 4</v>
      </c>
      <c r="S2674" s="6">
        <f>IFERROR(__xludf.DUMMYFUNCTION("rank(J2674,FILTER(J:J,R:R=R2674))"),9.0)</f>
        <v>9</v>
      </c>
      <c r="T2674" s="6">
        <f t="shared" si="6"/>
        <v>3</v>
      </c>
      <c r="U2674" s="6">
        <f t="shared" si="7"/>
        <v>9</v>
      </c>
      <c r="V2674" s="42">
        <f>averageif(AllData!A:A,B2674,AllData!R:R)/vlookup(B2674,AllData!A:O,15,0)</f>
        <v>94.42488095</v>
      </c>
      <c r="W2674" s="6"/>
    </row>
    <row r="2675" ht="14.25" customHeight="1">
      <c r="A2675" s="6" t="str">
        <f t="shared" si="28"/>
        <v>2024Tayski4</v>
      </c>
      <c r="B2675" s="59">
        <v>2024.0</v>
      </c>
      <c r="C2675" s="13" t="s">
        <v>52</v>
      </c>
      <c r="D2675" s="13" t="s">
        <v>138</v>
      </c>
      <c r="E2675" s="34"/>
      <c r="F2675" s="6"/>
      <c r="H2675" s="6"/>
      <c r="I2675" s="35" t="str">
        <f>IFERROR(IFERROR(IFERROR(VLOOKUP(B2675&amp;C2675&amp;Q2675,'New Weekly Paste'!A:M,10,0),VLOOKUP(B2675&amp;C2675&amp;Q2675,'New Weekly Paste'!B:O,6,0)),""),"")</f>
        <v>T-How</v>
      </c>
      <c r="J2675" s="259">
        <f>IFERROR(IFERROR(VLOOKUP(B2675&amp;C2675&amp;Q2675,'New Weekly Paste'!A:M,8,0),VLOOKUP(B2675&amp;C2675&amp;Q2675,'New Weekly Paste'!B:O,10,0)),0)</f>
        <v>76.3</v>
      </c>
      <c r="K2675" s="259">
        <f>IFERROR(IFERROR(VLOOKUP(B2675&amp;I2675&amp;Q2675,'New Weekly Paste'!A:M,8,0),VLOOKUP(B2675&amp;I2675&amp;Q2675,'New Weekly Paste'!B:O,10,0)),0)</f>
        <v>91.02</v>
      </c>
      <c r="L2675" s="239">
        <f t="shared" si="25"/>
        <v>0</v>
      </c>
      <c r="M2675" s="36" t="str">
        <f t="shared" si="3"/>
        <v>Regular Season</v>
      </c>
      <c r="N2675" s="239" t="str">
        <f t="shared" si="26"/>
        <v>T-How</v>
      </c>
      <c r="O2675" s="6">
        <f>VLOOKUP(D2675,'Mapped Opponent'!$G$4:$H$22,2,0)</f>
        <v>4</v>
      </c>
      <c r="P2675" s="6"/>
      <c r="Q2675" s="6" t="str">
        <f t="shared" si="4"/>
        <v>Week 4</v>
      </c>
      <c r="R2675" s="6" t="str">
        <f t="shared" si="5"/>
        <v>2024Week 4</v>
      </c>
      <c r="S2675" s="6">
        <f>IFERROR(__xludf.DUMMYFUNCTION("rank(J2675,FILTER(J:J,R:R=R2675))"),10.0)</f>
        <v>10</v>
      </c>
      <c r="T2675" s="6">
        <f t="shared" si="6"/>
        <v>2</v>
      </c>
      <c r="U2675" s="6">
        <f t="shared" si="7"/>
        <v>10</v>
      </c>
      <c r="V2675" s="42">
        <f>averageif(AllData!A:A,B2675,AllData!R:R)/vlookup(B2675,AllData!A:O,15,0)</f>
        <v>94.42488095</v>
      </c>
      <c r="W2675" s="6"/>
    </row>
    <row r="2676" ht="14.25" customHeight="1">
      <c r="A2676" s="6" t="str">
        <f t="shared" si="28"/>
        <v>2024KnardDawg4</v>
      </c>
      <c r="B2676" s="59">
        <v>2024.0</v>
      </c>
      <c r="C2676" s="13" t="s">
        <v>86</v>
      </c>
      <c r="D2676" s="13" t="s">
        <v>138</v>
      </c>
      <c r="E2676" s="34"/>
      <c r="F2676" s="6"/>
      <c r="H2676" s="6"/>
      <c r="I2676" s="35" t="str">
        <f>IFERROR(IFERROR(IFERROR(VLOOKUP(B2676&amp;C2676&amp;Q2676,'New Weekly Paste'!A:M,10,0),VLOOKUP(B2676&amp;C2676&amp;Q2676,'New Weekly Paste'!B:O,6,0)),""),"")</f>
        <v>Salty</v>
      </c>
      <c r="J2676" s="259">
        <f>IFERROR(IFERROR(VLOOKUP(B2676&amp;C2676&amp;Q2676,'New Weekly Paste'!A:M,8,0),VLOOKUP(B2676&amp;C2676&amp;Q2676,'New Weekly Paste'!B:O,10,0)),0)</f>
        <v>72.38</v>
      </c>
      <c r="K2676" s="259">
        <f>IFERROR(IFERROR(VLOOKUP(B2676&amp;I2676&amp;Q2676,'New Weekly Paste'!A:M,8,0),VLOOKUP(B2676&amp;I2676&amp;Q2676,'New Weekly Paste'!B:O,10,0)),0)</f>
        <v>83.32</v>
      </c>
      <c r="L2676" s="239">
        <f t="shared" si="25"/>
        <v>0</v>
      </c>
      <c r="M2676" s="36" t="str">
        <f t="shared" si="3"/>
        <v>Regular Season</v>
      </c>
      <c r="N2676" s="239" t="str">
        <f t="shared" si="26"/>
        <v>Salty</v>
      </c>
      <c r="O2676" s="6">
        <f>VLOOKUP(D2676,'Mapped Opponent'!$G$4:$H$22,2,0)</f>
        <v>4</v>
      </c>
      <c r="P2676" s="6"/>
      <c r="Q2676" s="6" t="str">
        <f t="shared" si="4"/>
        <v>Week 4</v>
      </c>
      <c r="R2676" s="6" t="str">
        <f t="shared" si="5"/>
        <v>2024Week 4</v>
      </c>
      <c r="S2676" s="6">
        <f>IFERROR(__xludf.DUMMYFUNCTION("rank(J2676,FILTER(J:J,R:R=R2676))"),12.0)</f>
        <v>12</v>
      </c>
      <c r="T2676" s="6">
        <f t="shared" si="6"/>
        <v>0</v>
      </c>
      <c r="U2676" s="6">
        <f t="shared" si="7"/>
        <v>12</v>
      </c>
      <c r="V2676" s="42">
        <f>averageif(AllData!A:A,B2676,AllData!R:R)/vlookup(B2676,AllData!A:O,15,0)</f>
        <v>94.42488095</v>
      </c>
      <c r="W2676" s="6"/>
    </row>
    <row r="2677" ht="14.25" customHeight="1">
      <c r="A2677" s="6" t="str">
        <f t="shared" si="28"/>
        <v>2024T-How4</v>
      </c>
      <c r="B2677" s="59">
        <v>2024.0</v>
      </c>
      <c r="C2677" s="13" t="s">
        <v>82</v>
      </c>
      <c r="D2677" s="13" t="s">
        <v>138</v>
      </c>
      <c r="E2677" s="34"/>
      <c r="F2677" s="6"/>
      <c r="H2677" s="6"/>
      <c r="I2677" s="35" t="str">
        <f>IFERROR(IFERROR(IFERROR(VLOOKUP(B2677&amp;C2677&amp;Q2677,'New Weekly Paste'!A:M,10,0),VLOOKUP(B2677&amp;C2677&amp;Q2677,'New Weekly Paste'!B:O,6,0)),""),"")</f>
        <v>Tayski</v>
      </c>
      <c r="J2677" s="259">
        <f>IFERROR(IFERROR(VLOOKUP(B2677&amp;C2677&amp;Q2677,'New Weekly Paste'!A:M,8,0),VLOOKUP(B2677&amp;C2677&amp;Q2677,'New Weekly Paste'!B:O,10,0)),0)</f>
        <v>91.02</v>
      </c>
      <c r="K2677" s="259">
        <f>IFERROR(IFERROR(VLOOKUP(B2677&amp;I2677&amp;Q2677,'New Weekly Paste'!A:M,8,0),VLOOKUP(B2677&amp;I2677&amp;Q2677,'New Weekly Paste'!B:O,10,0)),0)</f>
        <v>76.3</v>
      </c>
      <c r="L2677" s="239">
        <f t="shared" si="25"/>
        <v>1</v>
      </c>
      <c r="M2677" s="36" t="str">
        <f t="shared" si="3"/>
        <v>Regular Season</v>
      </c>
      <c r="N2677" s="239" t="str">
        <f t="shared" si="26"/>
        <v>Tayski</v>
      </c>
      <c r="O2677" s="6">
        <f>VLOOKUP(D2677,'Mapped Opponent'!$G$4:$H$22,2,0)</f>
        <v>4</v>
      </c>
      <c r="P2677" s="6"/>
      <c r="Q2677" s="6" t="str">
        <f t="shared" si="4"/>
        <v>Week 4</v>
      </c>
      <c r="R2677" s="6" t="str">
        <f t="shared" si="5"/>
        <v>2024Week 4</v>
      </c>
      <c r="S2677" s="6">
        <f>IFERROR(__xludf.DUMMYFUNCTION("rank(J2677,FILTER(J:J,R:R=R2677))"),4.0)</f>
        <v>4</v>
      </c>
      <c r="T2677" s="6">
        <f t="shared" si="6"/>
        <v>8</v>
      </c>
      <c r="U2677" s="6">
        <f t="shared" si="7"/>
        <v>4</v>
      </c>
      <c r="V2677" s="42">
        <f>averageif(AllData!A:A,B2677,AllData!R:R)/vlookup(B2677,AllData!A:O,15,0)</f>
        <v>94.42488095</v>
      </c>
      <c r="W2677" s="6"/>
    </row>
    <row r="2678" ht="14.25" customHeight="1">
      <c r="A2678" s="6" t="str">
        <f t="shared" si="28"/>
        <v>2024Hudspeath5</v>
      </c>
      <c r="B2678" s="59">
        <v>2024.0</v>
      </c>
      <c r="C2678" s="13" t="s">
        <v>39</v>
      </c>
      <c r="D2678" s="13" t="s">
        <v>141</v>
      </c>
      <c r="E2678" s="34"/>
      <c r="F2678" s="6"/>
      <c r="H2678" s="6"/>
      <c r="I2678" s="35" t="str">
        <f>IFERROR(IFERROR(IFERROR(VLOOKUP(B2678&amp;C2678&amp;Q2678,'New Weekly Paste'!A:M,10,0),VLOOKUP(B2678&amp;C2678&amp;Q2678,'New Weekly Paste'!B:O,6,0)),""),"")</f>
        <v>Buser</v>
      </c>
      <c r="J2678" s="259">
        <f>IFERROR(IFERROR(VLOOKUP(B2678&amp;C2678&amp;Q2678,'New Weekly Paste'!A:M,8,0),VLOOKUP(B2678&amp;C2678&amp;Q2678,'New Weekly Paste'!B:O,10,0)),0)</f>
        <v>94.54</v>
      </c>
      <c r="K2678" s="259">
        <f>IFERROR(IFERROR(VLOOKUP(B2678&amp;I2678&amp;Q2678,'New Weekly Paste'!A:M,8,0),VLOOKUP(B2678&amp;I2678&amp;Q2678,'New Weekly Paste'!B:O,10,0)),0)</f>
        <v>99.86</v>
      </c>
      <c r="L2678" s="239">
        <f t="shared" si="25"/>
        <v>0</v>
      </c>
      <c r="M2678" s="36" t="str">
        <f t="shared" si="3"/>
        <v>Regular Season</v>
      </c>
      <c r="N2678" s="239" t="str">
        <f t="shared" si="26"/>
        <v>Buser</v>
      </c>
      <c r="O2678" s="6">
        <f>VLOOKUP(D2678,'Mapped Opponent'!$G$4:$H$22,2,0)</f>
        <v>5</v>
      </c>
      <c r="P2678" s="6"/>
      <c r="Q2678" s="6" t="str">
        <f t="shared" si="4"/>
        <v>Week 5</v>
      </c>
      <c r="R2678" s="6" t="str">
        <f t="shared" si="5"/>
        <v>2024Week 5</v>
      </c>
      <c r="S2678" s="6">
        <f>IFERROR(__xludf.DUMMYFUNCTION("rank(J2678,FILTER(J:J,R:R=R2678))"),7.0)</f>
        <v>7</v>
      </c>
      <c r="T2678" s="6">
        <f t="shared" si="6"/>
        <v>5</v>
      </c>
      <c r="U2678" s="6">
        <f t="shared" si="7"/>
        <v>7</v>
      </c>
      <c r="V2678" s="42">
        <f>averageif(AllData!A:A,B2678,AllData!R:R)/vlookup(B2678,AllData!A:O,15,0)</f>
        <v>94.42488095</v>
      </c>
      <c r="W2678" s="6"/>
    </row>
    <row r="2679" ht="14.25" customHeight="1">
      <c r="A2679" s="6" t="str">
        <f t="shared" si="28"/>
        <v>2024Salty5</v>
      </c>
      <c r="B2679" s="59">
        <v>2024.0</v>
      </c>
      <c r="C2679" s="13" t="s">
        <v>76</v>
      </c>
      <c r="D2679" s="13" t="s">
        <v>141</v>
      </c>
      <c r="E2679" s="34"/>
      <c r="F2679" s="6"/>
      <c r="H2679" s="6"/>
      <c r="I2679" s="35" t="str">
        <f>IFERROR(IFERROR(IFERROR(VLOOKUP(B2679&amp;C2679&amp;Q2679,'New Weekly Paste'!A:M,10,0),VLOOKUP(B2679&amp;C2679&amp;Q2679,'New Weekly Paste'!B:O,6,0)),""),"")</f>
        <v>Rooney/Jackson</v>
      </c>
      <c r="J2679" s="259">
        <f>IFERROR(IFERROR(VLOOKUP(B2679&amp;C2679&amp;Q2679,'New Weekly Paste'!A:M,8,0),VLOOKUP(B2679&amp;C2679&amp;Q2679,'New Weekly Paste'!B:O,10,0)),0)</f>
        <v>99.62</v>
      </c>
      <c r="K2679" s="259">
        <f>IFERROR(IFERROR(VLOOKUP(B2679&amp;I2679&amp;Q2679,'New Weekly Paste'!A:M,8,0),VLOOKUP(B2679&amp;I2679&amp;Q2679,'New Weekly Paste'!B:O,10,0)),0)</f>
        <v>97.32</v>
      </c>
      <c r="L2679" s="239">
        <f t="shared" si="25"/>
        <v>1</v>
      </c>
      <c r="M2679" s="36" t="str">
        <f t="shared" si="3"/>
        <v>Regular Season</v>
      </c>
      <c r="N2679" s="239" t="str">
        <f t="shared" si="26"/>
        <v>Rooney/Jackson</v>
      </c>
      <c r="O2679" s="6">
        <f>VLOOKUP(D2679,'Mapped Opponent'!$G$4:$H$22,2,0)</f>
        <v>5</v>
      </c>
      <c r="P2679" s="6"/>
      <c r="Q2679" s="6" t="str">
        <f t="shared" si="4"/>
        <v>Week 5</v>
      </c>
      <c r="R2679" s="6" t="str">
        <f t="shared" si="5"/>
        <v>2024Week 5</v>
      </c>
      <c r="S2679" s="6">
        <f>IFERROR(__xludf.DUMMYFUNCTION("rank(J2679,FILTER(J:J,R:R=R2679))"),5.0)</f>
        <v>5</v>
      </c>
      <c r="T2679" s="6">
        <f t="shared" si="6"/>
        <v>7</v>
      </c>
      <c r="U2679" s="6">
        <f t="shared" si="7"/>
        <v>5</v>
      </c>
      <c r="V2679" s="42">
        <f>averageif(AllData!A:A,B2679,AllData!R:R)/vlookup(B2679,AllData!A:O,15,0)</f>
        <v>94.42488095</v>
      </c>
      <c r="W2679" s="6"/>
    </row>
    <row r="2680" ht="14.25" customHeight="1">
      <c r="A2680" s="6" t="str">
        <f t="shared" si="28"/>
        <v>2024Ewert5</v>
      </c>
      <c r="B2680" s="59">
        <v>2024.0</v>
      </c>
      <c r="C2680" s="13" t="s">
        <v>108</v>
      </c>
      <c r="D2680" s="13" t="s">
        <v>141</v>
      </c>
      <c r="E2680" s="34"/>
      <c r="F2680" s="6"/>
      <c r="H2680" s="6"/>
      <c r="I2680" s="35" t="str">
        <f>IFERROR(IFERROR(IFERROR(VLOOKUP(B2680&amp;C2680&amp;Q2680,'New Weekly Paste'!A:M,10,0),VLOOKUP(B2680&amp;C2680&amp;Q2680,'New Weekly Paste'!B:O,6,0)),""),"")</f>
        <v>T-How</v>
      </c>
      <c r="J2680" s="259">
        <f>IFERROR(IFERROR(VLOOKUP(B2680&amp;C2680&amp;Q2680,'New Weekly Paste'!A:M,8,0),VLOOKUP(B2680&amp;C2680&amp;Q2680,'New Weekly Paste'!B:O,10,0)),0)</f>
        <v>101.16</v>
      </c>
      <c r="K2680" s="259">
        <f>IFERROR(IFERROR(VLOOKUP(B2680&amp;I2680&amp;Q2680,'New Weekly Paste'!A:M,8,0),VLOOKUP(B2680&amp;I2680&amp;Q2680,'New Weekly Paste'!B:O,10,0)),0)</f>
        <v>91.7</v>
      </c>
      <c r="L2680" s="239">
        <f t="shared" si="25"/>
        <v>1</v>
      </c>
      <c r="M2680" s="36" t="str">
        <f t="shared" si="3"/>
        <v>Regular Season</v>
      </c>
      <c r="N2680" s="239" t="str">
        <f t="shared" si="26"/>
        <v>T-How</v>
      </c>
      <c r="O2680" s="6">
        <f>VLOOKUP(D2680,'Mapped Opponent'!$G$4:$H$22,2,0)</f>
        <v>5</v>
      </c>
      <c r="P2680" s="6"/>
      <c r="Q2680" s="6" t="str">
        <f t="shared" si="4"/>
        <v>Week 5</v>
      </c>
      <c r="R2680" s="6" t="str">
        <f t="shared" si="5"/>
        <v>2024Week 5</v>
      </c>
      <c r="S2680" s="6">
        <f>IFERROR(__xludf.DUMMYFUNCTION("rank(J2680,FILTER(J:J,R:R=R2680))"),3.0)</f>
        <v>3</v>
      </c>
      <c r="T2680" s="6">
        <f t="shared" si="6"/>
        <v>9</v>
      </c>
      <c r="U2680" s="6">
        <f t="shared" si="7"/>
        <v>3</v>
      </c>
      <c r="V2680" s="42">
        <f>averageif(AllData!A:A,B2680,AllData!R:R)/vlookup(B2680,AllData!A:O,15,0)</f>
        <v>94.42488095</v>
      </c>
      <c r="W2680" s="6"/>
    </row>
    <row r="2681" ht="14.25" customHeight="1">
      <c r="A2681" s="6" t="str">
        <f t="shared" si="28"/>
        <v>2024Shep5</v>
      </c>
      <c r="B2681" s="59">
        <v>2024.0</v>
      </c>
      <c r="C2681" s="13" t="s">
        <v>89</v>
      </c>
      <c r="D2681" s="13" t="s">
        <v>141</v>
      </c>
      <c r="E2681" s="34"/>
      <c r="F2681" s="6"/>
      <c r="H2681" s="6"/>
      <c r="I2681" s="35" t="str">
        <f>IFERROR(IFERROR(IFERROR(VLOOKUP(B2681&amp;C2681&amp;Q2681,'New Weekly Paste'!A:M,10,0),VLOOKUP(B2681&amp;C2681&amp;Q2681,'New Weekly Paste'!B:O,6,0)),""),"")</f>
        <v>Pierson</v>
      </c>
      <c r="J2681" s="259">
        <f>IFERROR(IFERROR(VLOOKUP(B2681&amp;C2681&amp;Q2681,'New Weekly Paste'!A:M,8,0),VLOOKUP(B2681&amp;C2681&amp;Q2681,'New Weekly Paste'!B:O,10,0)),0)</f>
        <v>80.64</v>
      </c>
      <c r="K2681" s="259">
        <f>IFERROR(IFERROR(VLOOKUP(B2681&amp;I2681&amp;Q2681,'New Weekly Paste'!A:M,8,0),VLOOKUP(B2681&amp;I2681&amp;Q2681,'New Weekly Paste'!B:O,10,0)),0)</f>
        <v>92.78</v>
      </c>
      <c r="L2681" s="239">
        <f t="shared" si="25"/>
        <v>0</v>
      </c>
      <c r="M2681" s="36" t="str">
        <f t="shared" si="3"/>
        <v>Regular Season</v>
      </c>
      <c r="N2681" s="239" t="str">
        <f t="shared" si="26"/>
        <v>Pierson</v>
      </c>
      <c r="O2681" s="6">
        <f>VLOOKUP(D2681,'Mapped Opponent'!$G$4:$H$22,2,0)</f>
        <v>5</v>
      </c>
      <c r="P2681" s="6"/>
      <c r="Q2681" s="6" t="str">
        <f t="shared" si="4"/>
        <v>Week 5</v>
      </c>
      <c r="R2681" s="6" t="str">
        <f t="shared" si="5"/>
        <v>2024Week 5</v>
      </c>
      <c r="S2681" s="6">
        <f>IFERROR(__xludf.DUMMYFUNCTION("rank(J2681,FILTER(J:J,R:R=R2681))"),11.0)</f>
        <v>11</v>
      </c>
      <c r="T2681" s="6">
        <f t="shared" si="6"/>
        <v>1</v>
      </c>
      <c r="U2681" s="6">
        <f t="shared" si="7"/>
        <v>11</v>
      </c>
      <c r="V2681" s="42">
        <f>averageif(AllData!A:A,B2681,AllData!R:R)/vlookup(B2681,AllData!A:O,15,0)</f>
        <v>94.42488095</v>
      </c>
      <c r="W2681" s="6"/>
    </row>
    <row r="2682" ht="14.25" customHeight="1">
      <c r="A2682" s="6" t="str">
        <f t="shared" si="28"/>
        <v>2024Riley5</v>
      </c>
      <c r="B2682" s="59">
        <v>2024.0</v>
      </c>
      <c r="C2682" s="13" t="s">
        <v>67</v>
      </c>
      <c r="D2682" s="13" t="s">
        <v>141</v>
      </c>
      <c r="E2682" s="34"/>
      <c r="F2682" s="6"/>
      <c r="H2682" s="6"/>
      <c r="I2682" s="35" t="str">
        <f>IFERROR(IFERROR(IFERROR(VLOOKUP(B2682&amp;C2682&amp;Q2682,'New Weekly Paste'!A:M,10,0),VLOOKUP(B2682&amp;C2682&amp;Q2682,'New Weekly Paste'!B:O,6,0)),""),"")</f>
        <v>KnardDawg</v>
      </c>
      <c r="J2682" s="259">
        <f>IFERROR(IFERROR(VLOOKUP(B2682&amp;C2682&amp;Q2682,'New Weekly Paste'!A:M,8,0),VLOOKUP(B2682&amp;C2682&amp;Q2682,'New Weekly Paste'!B:O,10,0)),0)</f>
        <v>142.4</v>
      </c>
      <c r="K2682" s="259">
        <f>IFERROR(IFERROR(VLOOKUP(B2682&amp;I2682&amp;Q2682,'New Weekly Paste'!A:M,8,0),VLOOKUP(B2682&amp;I2682&amp;Q2682,'New Weekly Paste'!B:O,10,0)),0)</f>
        <v>112.36</v>
      </c>
      <c r="L2682" s="239">
        <f t="shared" si="25"/>
        <v>1</v>
      </c>
      <c r="M2682" s="36" t="str">
        <f t="shared" si="3"/>
        <v>Regular Season</v>
      </c>
      <c r="N2682" s="239" t="str">
        <f t="shared" si="26"/>
        <v>KnardDawg</v>
      </c>
      <c r="O2682" s="6">
        <f>VLOOKUP(D2682,'Mapped Opponent'!$G$4:$H$22,2,0)</f>
        <v>5</v>
      </c>
      <c r="P2682" s="6"/>
      <c r="Q2682" s="6" t="str">
        <f t="shared" si="4"/>
        <v>Week 5</v>
      </c>
      <c r="R2682" s="6" t="str">
        <f t="shared" si="5"/>
        <v>2024Week 5</v>
      </c>
      <c r="S2682" s="6">
        <f>IFERROR(__xludf.DUMMYFUNCTION("rank(J2682,FILTER(J:J,R:R=R2682))"),1.0)</f>
        <v>1</v>
      </c>
      <c r="T2682" s="6">
        <f t="shared" si="6"/>
        <v>11</v>
      </c>
      <c r="U2682" s="6">
        <f t="shared" si="7"/>
        <v>1</v>
      </c>
      <c r="V2682" s="42">
        <f>averageif(AllData!A:A,B2682,AllData!R:R)/vlookup(B2682,AllData!A:O,15,0)</f>
        <v>94.42488095</v>
      </c>
      <c r="W2682" s="6"/>
    </row>
    <row r="2683" ht="14.25" customHeight="1">
      <c r="A2683" s="6" t="str">
        <f t="shared" si="28"/>
        <v>2024Rooney/Jackson5</v>
      </c>
      <c r="B2683" s="59">
        <v>2024.0</v>
      </c>
      <c r="C2683" s="13" t="s">
        <v>57</v>
      </c>
      <c r="D2683" s="13" t="s">
        <v>141</v>
      </c>
      <c r="E2683" s="34"/>
      <c r="F2683" s="6"/>
      <c r="H2683" s="6"/>
      <c r="I2683" s="35" t="str">
        <f>IFERROR(IFERROR(IFERROR(VLOOKUP(B2683&amp;C2683&amp;Q2683,'New Weekly Paste'!A:M,10,0),VLOOKUP(B2683&amp;C2683&amp;Q2683,'New Weekly Paste'!B:O,6,0)),""),"")</f>
        <v>Salty</v>
      </c>
      <c r="J2683" s="259">
        <f>IFERROR(IFERROR(VLOOKUP(B2683&amp;C2683&amp;Q2683,'New Weekly Paste'!A:M,8,0),VLOOKUP(B2683&amp;C2683&amp;Q2683,'New Weekly Paste'!B:O,10,0)),0)</f>
        <v>97.32</v>
      </c>
      <c r="K2683" s="259">
        <f>IFERROR(IFERROR(VLOOKUP(B2683&amp;I2683&amp;Q2683,'New Weekly Paste'!A:M,8,0),VLOOKUP(B2683&amp;I2683&amp;Q2683,'New Weekly Paste'!B:O,10,0)),0)</f>
        <v>99.62</v>
      </c>
      <c r="L2683" s="239">
        <f t="shared" si="25"/>
        <v>0</v>
      </c>
      <c r="M2683" s="36" t="str">
        <f t="shared" si="3"/>
        <v>Regular Season</v>
      </c>
      <c r="N2683" s="239" t="str">
        <f t="shared" si="26"/>
        <v>Salty</v>
      </c>
      <c r="O2683" s="6">
        <f>VLOOKUP(D2683,'Mapped Opponent'!$G$4:$H$22,2,0)</f>
        <v>5</v>
      </c>
      <c r="P2683" s="6"/>
      <c r="Q2683" s="6" t="str">
        <f t="shared" si="4"/>
        <v>Week 5</v>
      </c>
      <c r="R2683" s="6" t="str">
        <f t="shared" si="5"/>
        <v>2024Week 5</v>
      </c>
      <c r="S2683" s="6">
        <f>IFERROR(__xludf.DUMMYFUNCTION("rank(J2683,FILTER(J:J,R:R=R2683))"),6.0)</f>
        <v>6</v>
      </c>
      <c r="T2683" s="6">
        <f t="shared" si="6"/>
        <v>6</v>
      </c>
      <c r="U2683" s="6">
        <f t="shared" si="7"/>
        <v>6</v>
      </c>
      <c r="V2683" s="42">
        <f>averageif(AllData!A:A,B2683,AllData!R:R)/vlookup(B2683,AllData!A:O,15,0)</f>
        <v>94.42488095</v>
      </c>
      <c r="W2683" s="6"/>
    </row>
    <row r="2684" ht="14.25" customHeight="1">
      <c r="A2684" s="6" t="str">
        <f t="shared" si="28"/>
        <v>2024Buser5</v>
      </c>
      <c r="B2684" s="59">
        <v>2024.0</v>
      </c>
      <c r="C2684" s="13" t="s">
        <v>47</v>
      </c>
      <c r="D2684" s="13" t="s">
        <v>141</v>
      </c>
      <c r="E2684" s="34"/>
      <c r="F2684" s="6"/>
      <c r="H2684" s="6"/>
      <c r="I2684" s="35" t="str">
        <f>IFERROR(IFERROR(IFERROR(VLOOKUP(B2684&amp;C2684&amp;Q2684,'New Weekly Paste'!A:M,10,0),VLOOKUP(B2684&amp;C2684&amp;Q2684,'New Weekly Paste'!B:O,6,0)),""),"")</f>
        <v>Hudspeath</v>
      </c>
      <c r="J2684" s="259">
        <f>IFERROR(IFERROR(VLOOKUP(B2684&amp;C2684&amp;Q2684,'New Weekly Paste'!A:M,8,0),VLOOKUP(B2684&amp;C2684&amp;Q2684,'New Weekly Paste'!B:O,10,0)),0)</f>
        <v>99.86</v>
      </c>
      <c r="K2684" s="259">
        <f>IFERROR(IFERROR(VLOOKUP(B2684&amp;I2684&amp;Q2684,'New Weekly Paste'!A:M,8,0),VLOOKUP(B2684&amp;I2684&amp;Q2684,'New Weekly Paste'!B:O,10,0)),0)</f>
        <v>94.54</v>
      </c>
      <c r="L2684" s="239">
        <f t="shared" si="25"/>
        <v>1</v>
      </c>
      <c r="M2684" s="36" t="str">
        <f t="shared" si="3"/>
        <v>Regular Season</v>
      </c>
      <c r="N2684" s="239" t="str">
        <f t="shared" si="26"/>
        <v>Hudspeath</v>
      </c>
      <c r="O2684" s="6">
        <f>VLOOKUP(D2684,'Mapped Opponent'!$G$4:$H$22,2,0)</f>
        <v>5</v>
      </c>
      <c r="P2684" s="6"/>
      <c r="Q2684" s="6" t="str">
        <f t="shared" si="4"/>
        <v>Week 5</v>
      </c>
      <c r="R2684" s="6" t="str">
        <f t="shared" si="5"/>
        <v>2024Week 5</v>
      </c>
      <c r="S2684" s="6">
        <f>IFERROR(__xludf.DUMMYFUNCTION("rank(J2684,FILTER(J:J,R:R=R2684))"),4.0)</f>
        <v>4</v>
      </c>
      <c r="T2684" s="6">
        <f t="shared" si="6"/>
        <v>8</v>
      </c>
      <c r="U2684" s="6">
        <f t="shared" si="7"/>
        <v>4</v>
      </c>
      <c r="V2684" s="42">
        <f>averageif(AllData!A:A,B2684,AllData!R:R)/vlookup(B2684,AllData!A:O,15,0)</f>
        <v>94.42488095</v>
      </c>
      <c r="W2684" s="6"/>
    </row>
    <row r="2685" ht="14.25" customHeight="1">
      <c r="A2685" s="6" t="str">
        <f t="shared" si="28"/>
        <v>2024Pierson5</v>
      </c>
      <c r="B2685" s="59">
        <v>2024.0</v>
      </c>
      <c r="C2685" s="13" t="s">
        <v>92</v>
      </c>
      <c r="D2685" s="13" t="s">
        <v>141</v>
      </c>
      <c r="E2685" s="34"/>
      <c r="F2685" s="6"/>
      <c r="H2685" s="6"/>
      <c r="I2685" s="35" t="str">
        <f>IFERROR(IFERROR(IFERROR(VLOOKUP(B2685&amp;C2685&amp;Q2685,'New Weekly Paste'!A:M,10,0),VLOOKUP(B2685&amp;C2685&amp;Q2685,'New Weekly Paste'!B:O,6,0)),""),"")</f>
        <v>Shep</v>
      </c>
      <c r="J2685" s="259">
        <f>IFERROR(IFERROR(VLOOKUP(B2685&amp;C2685&amp;Q2685,'New Weekly Paste'!A:M,8,0),VLOOKUP(B2685&amp;C2685&amp;Q2685,'New Weekly Paste'!B:O,10,0)),0)</f>
        <v>92.78</v>
      </c>
      <c r="K2685" s="259">
        <f>IFERROR(IFERROR(VLOOKUP(B2685&amp;I2685&amp;Q2685,'New Weekly Paste'!A:M,8,0),VLOOKUP(B2685&amp;I2685&amp;Q2685,'New Weekly Paste'!B:O,10,0)),0)</f>
        <v>80.64</v>
      </c>
      <c r="L2685" s="239">
        <f t="shared" si="25"/>
        <v>1</v>
      </c>
      <c r="M2685" s="36" t="str">
        <f t="shared" si="3"/>
        <v>Regular Season</v>
      </c>
      <c r="N2685" s="239" t="str">
        <f t="shared" si="26"/>
        <v>Shep</v>
      </c>
      <c r="O2685" s="6">
        <f>VLOOKUP(D2685,'Mapped Opponent'!$G$4:$H$22,2,0)</f>
        <v>5</v>
      </c>
      <c r="P2685" s="6"/>
      <c r="Q2685" s="6" t="str">
        <f t="shared" si="4"/>
        <v>Week 5</v>
      </c>
      <c r="R2685" s="6" t="str">
        <f t="shared" si="5"/>
        <v>2024Week 5</v>
      </c>
      <c r="S2685" s="6">
        <f>IFERROR(__xludf.DUMMYFUNCTION("rank(J2685,FILTER(J:J,R:R=R2685))"),8.0)</f>
        <v>8</v>
      </c>
      <c r="T2685" s="6">
        <f t="shared" si="6"/>
        <v>4</v>
      </c>
      <c r="U2685" s="6">
        <f t="shared" si="7"/>
        <v>8</v>
      </c>
      <c r="V2685" s="42">
        <f>averageif(AllData!A:A,B2685,AllData!R:R)/vlookup(B2685,AllData!A:O,15,0)</f>
        <v>94.42488095</v>
      </c>
      <c r="W2685" s="6"/>
    </row>
    <row r="2686" ht="14.25" customHeight="1">
      <c r="A2686" s="6" t="str">
        <f t="shared" si="28"/>
        <v>2024Cock5</v>
      </c>
      <c r="B2686" s="59">
        <v>2024.0</v>
      </c>
      <c r="C2686" s="13" t="s">
        <v>72</v>
      </c>
      <c r="D2686" s="13" t="s">
        <v>141</v>
      </c>
      <c r="E2686" s="34"/>
      <c r="F2686" s="6"/>
      <c r="H2686" s="6"/>
      <c r="I2686" s="35" t="str">
        <f>IFERROR(IFERROR(IFERROR(VLOOKUP(B2686&amp;C2686&amp;Q2686,'New Weekly Paste'!A:M,10,0),VLOOKUP(B2686&amp;C2686&amp;Q2686,'New Weekly Paste'!B:O,6,0)),""),"")</f>
        <v>Tayski</v>
      </c>
      <c r="J2686" s="259">
        <f>IFERROR(IFERROR(VLOOKUP(B2686&amp;C2686&amp;Q2686,'New Weekly Paste'!A:M,8,0),VLOOKUP(B2686&amp;C2686&amp;Q2686,'New Weekly Paste'!B:O,10,0)),0)</f>
        <v>56.96</v>
      </c>
      <c r="K2686" s="259">
        <f>IFERROR(IFERROR(VLOOKUP(B2686&amp;I2686&amp;Q2686,'New Weekly Paste'!A:M,8,0),VLOOKUP(B2686&amp;I2686&amp;Q2686,'New Weekly Paste'!B:O,10,0)),0)</f>
        <v>82.14</v>
      </c>
      <c r="L2686" s="239">
        <f t="shared" si="25"/>
        <v>0</v>
      </c>
      <c r="M2686" s="36" t="str">
        <f t="shared" si="3"/>
        <v>Regular Season</v>
      </c>
      <c r="N2686" s="239" t="str">
        <f t="shared" si="26"/>
        <v>Tayski</v>
      </c>
      <c r="O2686" s="6">
        <f>VLOOKUP(D2686,'Mapped Opponent'!$G$4:$H$22,2,0)</f>
        <v>5</v>
      </c>
      <c r="P2686" s="6"/>
      <c r="Q2686" s="6" t="str">
        <f t="shared" si="4"/>
        <v>Week 5</v>
      </c>
      <c r="R2686" s="6" t="str">
        <f t="shared" si="5"/>
        <v>2024Week 5</v>
      </c>
      <c r="S2686" s="6">
        <f>IFERROR(__xludf.DUMMYFUNCTION("rank(J2686,FILTER(J:J,R:R=R2686))"),12.0)</f>
        <v>12</v>
      </c>
      <c r="T2686" s="6">
        <f t="shared" si="6"/>
        <v>0</v>
      </c>
      <c r="U2686" s="6">
        <f t="shared" si="7"/>
        <v>12</v>
      </c>
      <c r="V2686" s="42">
        <f>averageif(AllData!A:A,B2686,AllData!R:R)/vlookup(B2686,AllData!A:O,15,0)</f>
        <v>94.42488095</v>
      </c>
      <c r="W2686" s="6"/>
    </row>
    <row r="2687" ht="14.25" customHeight="1">
      <c r="A2687" s="6" t="str">
        <f t="shared" si="28"/>
        <v>2024Tayski5</v>
      </c>
      <c r="B2687" s="59">
        <v>2024.0</v>
      </c>
      <c r="C2687" s="13" t="s">
        <v>52</v>
      </c>
      <c r="D2687" s="13" t="s">
        <v>141</v>
      </c>
      <c r="E2687" s="34"/>
      <c r="F2687" s="6"/>
      <c r="H2687" s="6"/>
      <c r="I2687" s="35" t="str">
        <f>IFERROR(IFERROR(IFERROR(VLOOKUP(B2687&amp;C2687&amp;Q2687,'New Weekly Paste'!A:M,10,0),VLOOKUP(B2687&amp;C2687&amp;Q2687,'New Weekly Paste'!B:O,6,0)),""),"")</f>
        <v>Cock</v>
      </c>
      <c r="J2687" s="259">
        <f>IFERROR(IFERROR(VLOOKUP(B2687&amp;C2687&amp;Q2687,'New Weekly Paste'!A:M,8,0),VLOOKUP(B2687&amp;C2687&amp;Q2687,'New Weekly Paste'!B:O,10,0)),0)</f>
        <v>82.14</v>
      </c>
      <c r="K2687" s="259">
        <f>IFERROR(IFERROR(VLOOKUP(B2687&amp;I2687&amp;Q2687,'New Weekly Paste'!A:M,8,0),VLOOKUP(B2687&amp;I2687&amp;Q2687,'New Weekly Paste'!B:O,10,0)),0)</f>
        <v>56.96</v>
      </c>
      <c r="L2687" s="239">
        <f t="shared" si="25"/>
        <v>1</v>
      </c>
      <c r="M2687" s="36" t="str">
        <f t="shared" si="3"/>
        <v>Regular Season</v>
      </c>
      <c r="N2687" s="239" t="str">
        <f t="shared" si="26"/>
        <v>Cock</v>
      </c>
      <c r="O2687" s="6">
        <f>VLOOKUP(D2687,'Mapped Opponent'!$G$4:$H$22,2,0)</f>
        <v>5</v>
      </c>
      <c r="P2687" s="6"/>
      <c r="Q2687" s="6" t="str">
        <f t="shared" si="4"/>
        <v>Week 5</v>
      </c>
      <c r="R2687" s="6" t="str">
        <f t="shared" si="5"/>
        <v>2024Week 5</v>
      </c>
      <c r="S2687" s="6">
        <f>IFERROR(__xludf.DUMMYFUNCTION("rank(J2687,FILTER(J:J,R:R=R2687))"),10.0)</f>
        <v>10</v>
      </c>
      <c r="T2687" s="6">
        <f t="shared" si="6"/>
        <v>2</v>
      </c>
      <c r="U2687" s="6">
        <f t="shared" si="7"/>
        <v>10</v>
      </c>
      <c r="V2687" s="42">
        <f>averageif(AllData!A:A,B2687,AllData!R:R)/vlookup(B2687,AllData!A:O,15,0)</f>
        <v>94.42488095</v>
      </c>
      <c r="W2687" s="6"/>
    </row>
    <row r="2688" ht="14.25" customHeight="1">
      <c r="A2688" s="6" t="str">
        <f t="shared" si="28"/>
        <v>2024KnardDawg5</v>
      </c>
      <c r="B2688" s="59">
        <v>2024.0</v>
      </c>
      <c r="C2688" s="13" t="s">
        <v>86</v>
      </c>
      <c r="D2688" s="13" t="s">
        <v>141</v>
      </c>
      <c r="E2688" s="34"/>
      <c r="F2688" s="6"/>
      <c r="H2688" s="6"/>
      <c r="I2688" s="35" t="str">
        <f>IFERROR(IFERROR(IFERROR(VLOOKUP(B2688&amp;C2688&amp;Q2688,'New Weekly Paste'!A:M,10,0),VLOOKUP(B2688&amp;C2688&amp;Q2688,'New Weekly Paste'!B:O,6,0)),""),"")</f>
        <v>Riley</v>
      </c>
      <c r="J2688" s="259">
        <f>IFERROR(IFERROR(VLOOKUP(B2688&amp;C2688&amp;Q2688,'New Weekly Paste'!A:M,8,0),VLOOKUP(B2688&amp;C2688&amp;Q2688,'New Weekly Paste'!B:O,10,0)),0)</f>
        <v>112.36</v>
      </c>
      <c r="K2688" s="259">
        <f>IFERROR(IFERROR(VLOOKUP(B2688&amp;I2688&amp;Q2688,'New Weekly Paste'!A:M,8,0),VLOOKUP(B2688&amp;I2688&amp;Q2688,'New Weekly Paste'!B:O,10,0)),0)</f>
        <v>142.4</v>
      </c>
      <c r="L2688" s="239">
        <f t="shared" si="25"/>
        <v>0</v>
      </c>
      <c r="M2688" s="36" t="str">
        <f t="shared" si="3"/>
        <v>Regular Season</v>
      </c>
      <c r="N2688" s="239" t="str">
        <f t="shared" si="26"/>
        <v>Riley</v>
      </c>
      <c r="O2688" s="6">
        <f>VLOOKUP(D2688,'Mapped Opponent'!$G$4:$H$22,2,0)</f>
        <v>5</v>
      </c>
      <c r="P2688" s="6"/>
      <c r="Q2688" s="6" t="str">
        <f t="shared" si="4"/>
        <v>Week 5</v>
      </c>
      <c r="R2688" s="6" t="str">
        <f t="shared" si="5"/>
        <v>2024Week 5</v>
      </c>
      <c r="S2688" s="6">
        <f>IFERROR(__xludf.DUMMYFUNCTION("rank(J2688,FILTER(J:J,R:R=R2688))"),2.0)</f>
        <v>2</v>
      </c>
      <c r="T2688" s="6">
        <f t="shared" si="6"/>
        <v>10</v>
      </c>
      <c r="U2688" s="6">
        <f t="shared" si="7"/>
        <v>2</v>
      </c>
      <c r="V2688" s="42">
        <f>averageif(AllData!A:A,B2688,AllData!R:R)/vlookup(B2688,AllData!A:O,15,0)</f>
        <v>94.42488095</v>
      </c>
      <c r="W2688" s="6"/>
    </row>
    <row r="2689" ht="14.25" customHeight="1">
      <c r="A2689" s="6" t="str">
        <f t="shared" si="28"/>
        <v>2024T-How5</v>
      </c>
      <c r="B2689" s="59">
        <v>2024.0</v>
      </c>
      <c r="C2689" s="13" t="s">
        <v>82</v>
      </c>
      <c r="D2689" s="13" t="s">
        <v>141</v>
      </c>
      <c r="E2689" s="34"/>
      <c r="F2689" s="6"/>
      <c r="H2689" s="6"/>
      <c r="I2689" s="35" t="str">
        <f>IFERROR(IFERROR(IFERROR(VLOOKUP(B2689&amp;C2689&amp;Q2689,'New Weekly Paste'!A:M,10,0),VLOOKUP(B2689&amp;C2689&amp;Q2689,'New Weekly Paste'!B:O,6,0)),""),"")</f>
        <v>Ewert</v>
      </c>
      <c r="J2689" s="259">
        <f>IFERROR(IFERROR(VLOOKUP(B2689&amp;C2689&amp;Q2689,'New Weekly Paste'!A:M,8,0),VLOOKUP(B2689&amp;C2689&amp;Q2689,'New Weekly Paste'!B:O,10,0)),0)</f>
        <v>91.7</v>
      </c>
      <c r="K2689" s="259">
        <f>IFERROR(IFERROR(VLOOKUP(B2689&amp;I2689&amp;Q2689,'New Weekly Paste'!A:M,8,0),VLOOKUP(B2689&amp;I2689&amp;Q2689,'New Weekly Paste'!B:O,10,0)),0)</f>
        <v>101.16</v>
      </c>
      <c r="L2689" s="239">
        <f t="shared" si="25"/>
        <v>0</v>
      </c>
      <c r="M2689" s="36" t="str">
        <f t="shared" si="3"/>
        <v>Regular Season</v>
      </c>
      <c r="N2689" s="239" t="str">
        <f t="shared" si="26"/>
        <v>Ewert</v>
      </c>
      <c r="O2689" s="6">
        <f>VLOOKUP(D2689,'Mapped Opponent'!$G$4:$H$22,2,0)</f>
        <v>5</v>
      </c>
      <c r="P2689" s="6"/>
      <c r="Q2689" s="6" t="str">
        <f t="shared" si="4"/>
        <v>Week 5</v>
      </c>
      <c r="R2689" s="6" t="str">
        <f t="shared" si="5"/>
        <v>2024Week 5</v>
      </c>
      <c r="S2689" s="6">
        <f>IFERROR(__xludf.DUMMYFUNCTION("rank(J2689,FILTER(J:J,R:R=R2689))"),9.0)</f>
        <v>9</v>
      </c>
      <c r="T2689" s="6">
        <f t="shared" si="6"/>
        <v>3</v>
      </c>
      <c r="U2689" s="6">
        <f t="shared" si="7"/>
        <v>9</v>
      </c>
      <c r="V2689" s="42">
        <f>averageif(AllData!A:A,B2689,AllData!R:R)/vlookup(B2689,AllData!A:O,15,0)</f>
        <v>94.42488095</v>
      </c>
      <c r="W2689" s="6"/>
    </row>
    <row r="2690" ht="14.25" customHeight="1">
      <c r="A2690" s="6" t="str">
        <f t="shared" si="28"/>
        <v>2024Hudspeath6</v>
      </c>
      <c r="B2690" s="59">
        <v>2024.0</v>
      </c>
      <c r="C2690" s="13" t="s">
        <v>39</v>
      </c>
      <c r="D2690" s="13" t="s">
        <v>142</v>
      </c>
      <c r="E2690" s="34"/>
      <c r="F2690" s="6"/>
      <c r="H2690" s="6"/>
      <c r="I2690" s="35" t="str">
        <f>IFERROR(IFERROR(IFERROR(VLOOKUP(B2690&amp;C2690&amp;Q2690,'New Weekly Paste'!A:M,10,0),VLOOKUP(B2690&amp;C2690&amp;Q2690,'New Weekly Paste'!B:O,6,0)),""),"")</f>
        <v>T-How</v>
      </c>
      <c r="J2690" s="259">
        <f>IFERROR(IFERROR(VLOOKUP(B2690&amp;C2690&amp;Q2690,'New Weekly Paste'!A:M,8,0),VLOOKUP(B2690&amp;C2690&amp;Q2690,'New Weekly Paste'!B:O,10,0)),0)</f>
        <v>66.7</v>
      </c>
      <c r="K2690" s="259">
        <f>IFERROR(IFERROR(VLOOKUP(B2690&amp;I2690&amp;Q2690,'New Weekly Paste'!A:M,8,0),VLOOKUP(B2690&amp;I2690&amp;Q2690,'New Weekly Paste'!B:O,10,0)),0)</f>
        <v>136.26</v>
      </c>
      <c r="L2690" s="239">
        <f t="shared" si="25"/>
        <v>0</v>
      </c>
      <c r="M2690" s="36" t="str">
        <f t="shared" si="3"/>
        <v>Regular Season</v>
      </c>
      <c r="N2690" s="239" t="str">
        <f t="shared" si="26"/>
        <v>T-How</v>
      </c>
      <c r="O2690" s="6">
        <f>VLOOKUP(D2690,'Mapped Opponent'!$G$4:$H$22,2,0)</f>
        <v>6</v>
      </c>
      <c r="P2690" s="6"/>
      <c r="Q2690" s="6" t="str">
        <f t="shared" si="4"/>
        <v>Week 6</v>
      </c>
      <c r="R2690" s="6" t="str">
        <f t="shared" si="5"/>
        <v>2024Week 6</v>
      </c>
      <c r="S2690" s="6">
        <f>IFERROR(__xludf.DUMMYFUNCTION("rank(J2690,FILTER(J:J,R:R=R2690))"),12.0)</f>
        <v>12</v>
      </c>
      <c r="T2690" s="6">
        <f t="shared" si="6"/>
        <v>0</v>
      </c>
      <c r="U2690" s="6">
        <f t="shared" si="7"/>
        <v>12</v>
      </c>
      <c r="V2690" s="42">
        <f>averageif(AllData!A:A,B2690,AllData!R:R)/vlookup(B2690,AllData!A:O,15,0)</f>
        <v>94.42488095</v>
      </c>
      <c r="W2690" s="6"/>
    </row>
    <row r="2691" ht="14.25" customHeight="1">
      <c r="A2691" s="6" t="str">
        <f t="shared" si="28"/>
        <v>2024Salty6</v>
      </c>
      <c r="B2691" s="59">
        <v>2024.0</v>
      </c>
      <c r="C2691" s="13" t="s">
        <v>76</v>
      </c>
      <c r="D2691" s="13" t="s">
        <v>142</v>
      </c>
      <c r="E2691" s="34"/>
      <c r="F2691" s="6"/>
      <c r="H2691" s="6"/>
      <c r="I2691" s="35" t="str">
        <f>IFERROR(IFERROR(IFERROR(VLOOKUP(B2691&amp;C2691&amp;Q2691,'New Weekly Paste'!A:M,10,0),VLOOKUP(B2691&amp;C2691&amp;Q2691,'New Weekly Paste'!B:O,6,0)),""),"")</f>
        <v>Riley</v>
      </c>
      <c r="J2691" s="259">
        <f>IFERROR(IFERROR(VLOOKUP(B2691&amp;C2691&amp;Q2691,'New Weekly Paste'!A:M,8,0),VLOOKUP(B2691&amp;C2691&amp;Q2691,'New Weekly Paste'!B:O,10,0)),0)</f>
        <v>79.52</v>
      </c>
      <c r="K2691" s="259">
        <f>IFERROR(IFERROR(VLOOKUP(B2691&amp;I2691&amp;Q2691,'New Weekly Paste'!A:M,8,0),VLOOKUP(B2691&amp;I2691&amp;Q2691,'New Weekly Paste'!B:O,10,0)),0)</f>
        <v>92.36</v>
      </c>
      <c r="L2691" s="239">
        <f t="shared" si="25"/>
        <v>0</v>
      </c>
      <c r="M2691" s="36" t="str">
        <f t="shared" si="3"/>
        <v>Regular Season</v>
      </c>
      <c r="N2691" s="239" t="str">
        <f t="shared" si="26"/>
        <v>Riley</v>
      </c>
      <c r="O2691" s="6">
        <f>VLOOKUP(D2691,'Mapped Opponent'!$G$4:$H$22,2,0)</f>
        <v>6</v>
      </c>
      <c r="P2691" s="6"/>
      <c r="Q2691" s="6" t="str">
        <f t="shared" si="4"/>
        <v>Week 6</v>
      </c>
      <c r="R2691" s="6" t="str">
        <f t="shared" si="5"/>
        <v>2024Week 6</v>
      </c>
      <c r="S2691" s="6">
        <f>IFERROR(__xludf.DUMMYFUNCTION("rank(J2691,FILTER(J:J,R:R=R2691))"),10.0)</f>
        <v>10</v>
      </c>
      <c r="T2691" s="6">
        <f t="shared" si="6"/>
        <v>2</v>
      </c>
      <c r="U2691" s="6">
        <f t="shared" si="7"/>
        <v>10</v>
      </c>
      <c r="V2691" s="42">
        <f>averageif(AllData!A:A,B2691,AllData!R:R)/vlookup(B2691,AllData!A:O,15,0)</f>
        <v>94.42488095</v>
      </c>
      <c r="W2691" s="6"/>
    </row>
    <row r="2692" ht="14.25" customHeight="1">
      <c r="A2692" s="6" t="str">
        <f t="shared" si="28"/>
        <v>2024Ewert6</v>
      </c>
      <c r="B2692" s="59">
        <v>2024.0</v>
      </c>
      <c r="C2692" s="13" t="s">
        <v>108</v>
      </c>
      <c r="D2692" s="13" t="s">
        <v>142</v>
      </c>
      <c r="E2692" s="34"/>
      <c r="F2692" s="6"/>
      <c r="H2692" s="6"/>
      <c r="I2692" s="35" t="str">
        <f>IFERROR(IFERROR(IFERROR(VLOOKUP(B2692&amp;C2692&amp;Q2692,'New Weekly Paste'!A:M,10,0),VLOOKUP(B2692&amp;C2692&amp;Q2692,'New Weekly Paste'!B:O,6,0)),""),"")</f>
        <v>Cock</v>
      </c>
      <c r="J2692" s="259">
        <f>IFERROR(IFERROR(VLOOKUP(B2692&amp;C2692&amp;Q2692,'New Weekly Paste'!A:M,8,0),VLOOKUP(B2692&amp;C2692&amp;Q2692,'New Weekly Paste'!B:O,10,0)),0)</f>
        <v>84.98</v>
      </c>
      <c r="K2692" s="259">
        <f>IFERROR(IFERROR(VLOOKUP(B2692&amp;I2692&amp;Q2692,'New Weekly Paste'!A:M,8,0),VLOOKUP(B2692&amp;I2692&amp;Q2692,'New Weekly Paste'!B:O,10,0)),0)</f>
        <v>128.3</v>
      </c>
      <c r="L2692" s="239">
        <f t="shared" si="25"/>
        <v>0</v>
      </c>
      <c r="M2692" s="36" t="str">
        <f t="shared" si="3"/>
        <v>Regular Season</v>
      </c>
      <c r="N2692" s="239" t="str">
        <f t="shared" si="26"/>
        <v>Cock</v>
      </c>
      <c r="O2692" s="6">
        <f>VLOOKUP(D2692,'Mapped Opponent'!$G$4:$H$22,2,0)</f>
        <v>6</v>
      </c>
      <c r="P2692" s="6"/>
      <c r="Q2692" s="6" t="str">
        <f t="shared" si="4"/>
        <v>Week 6</v>
      </c>
      <c r="R2692" s="6" t="str">
        <f t="shared" si="5"/>
        <v>2024Week 6</v>
      </c>
      <c r="S2692" s="6">
        <f>IFERROR(__xludf.DUMMYFUNCTION("rank(J2692,FILTER(J:J,R:R=R2692))"),9.0)</f>
        <v>9</v>
      </c>
      <c r="T2692" s="6">
        <f t="shared" si="6"/>
        <v>3</v>
      </c>
      <c r="U2692" s="6">
        <f t="shared" si="7"/>
        <v>9</v>
      </c>
      <c r="V2692" s="42">
        <f>averageif(AllData!A:A,B2692,AllData!R:R)/vlookup(B2692,AllData!A:O,15,0)</f>
        <v>94.42488095</v>
      </c>
      <c r="W2692" s="6"/>
    </row>
    <row r="2693" ht="14.25" customHeight="1">
      <c r="A2693" s="6" t="str">
        <f t="shared" si="28"/>
        <v>2024Shep6</v>
      </c>
      <c r="B2693" s="59">
        <v>2024.0</v>
      </c>
      <c r="C2693" s="13" t="s">
        <v>89</v>
      </c>
      <c r="D2693" s="13" t="s">
        <v>142</v>
      </c>
      <c r="E2693" s="34"/>
      <c r="F2693" s="6"/>
      <c r="H2693" s="6"/>
      <c r="I2693" s="35" t="str">
        <f>IFERROR(IFERROR(IFERROR(VLOOKUP(B2693&amp;C2693&amp;Q2693,'New Weekly Paste'!A:M,10,0),VLOOKUP(B2693&amp;C2693&amp;Q2693,'New Weekly Paste'!B:O,6,0)),""),"")</f>
        <v>Rooney/Jackson</v>
      </c>
      <c r="J2693" s="259">
        <f>IFERROR(IFERROR(VLOOKUP(B2693&amp;C2693&amp;Q2693,'New Weekly Paste'!A:M,8,0),VLOOKUP(B2693&amp;C2693&amp;Q2693,'New Weekly Paste'!B:O,10,0)),0)</f>
        <v>99.78</v>
      </c>
      <c r="K2693" s="259">
        <f>IFERROR(IFERROR(VLOOKUP(B2693&amp;I2693&amp;Q2693,'New Weekly Paste'!A:M,8,0),VLOOKUP(B2693&amp;I2693&amp;Q2693,'New Weekly Paste'!B:O,10,0)),0)</f>
        <v>90.16</v>
      </c>
      <c r="L2693" s="239">
        <f t="shared" si="25"/>
        <v>1</v>
      </c>
      <c r="M2693" s="36" t="str">
        <f t="shared" si="3"/>
        <v>Regular Season</v>
      </c>
      <c r="N2693" s="239" t="str">
        <f t="shared" si="26"/>
        <v>Rooney/Jackson</v>
      </c>
      <c r="O2693" s="6">
        <f>VLOOKUP(D2693,'Mapped Opponent'!$G$4:$H$22,2,0)</f>
        <v>6</v>
      </c>
      <c r="P2693" s="6"/>
      <c r="Q2693" s="6" t="str">
        <f t="shared" si="4"/>
        <v>Week 6</v>
      </c>
      <c r="R2693" s="6" t="str">
        <f t="shared" si="5"/>
        <v>2024Week 6</v>
      </c>
      <c r="S2693" s="6">
        <f>IFERROR(__xludf.DUMMYFUNCTION("rank(J2693,FILTER(J:J,R:R=R2693))"),5.0)</f>
        <v>5</v>
      </c>
      <c r="T2693" s="6">
        <f t="shared" si="6"/>
        <v>7</v>
      </c>
      <c r="U2693" s="6">
        <f t="shared" si="7"/>
        <v>5</v>
      </c>
      <c r="V2693" s="42">
        <f>averageif(AllData!A:A,B2693,AllData!R:R)/vlookup(B2693,AllData!A:O,15,0)</f>
        <v>94.42488095</v>
      </c>
      <c r="W2693" s="6"/>
    </row>
    <row r="2694" ht="14.25" customHeight="1">
      <c r="A2694" s="6" t="str">
        <f t="shared" si="28"/>
        <v>2024Riley6</v>
      </c>
      <c r="B2694" s="59">
        <v>2024.0</v>
      </c>
      <c r="C2694" s="13" t="s">
        <v>67</v>
      </c>
      <c r="D2694" s="13" t="s">
        <v>142</v>
      </c>
      <c r="E2694" s="34"/>
      <c r="F2694" s="6"/>
      <c r="H2694" s="6"/>
      <c r="I2694" s="35" t="str">
        <f>IFERROR(IFERROR(IFERROR(VLOOKUP(B2694&amp;C2694&amp;Q2694,'New Weekly Paste'!A:M,10,0),VLOOKUP(B2694&amp;C2694&amp;Q2694,'New Weekly Paste'!B:O,6,0)),""),"")</f>
        <v>Salty</v>
      </c>
      <c r="J2694" s="259">
        <f>IFERROR(IFERROR(VLOOKUP(B2694&amp;C2694&amp;Q2694,'New Weekly Paste'!A:M,8,0),VLOOKUP(B2694&amp;C2694&amp;Q2694,'New Weekly Paste'!B:O,10,0)),0)</f>
        <v>92.36</v>
      </c>
      <c r="K2694" s="259">
        <f>IFERROR(IFERROR(VLOOKUP(B2694&amp;I2694&amp;Q2694,'New Weekly Paste'!A:M,8,0),VLOOKUP(B2694&amp;I2694&amp;Q2694,'New Weekly Paste'!B:O,10,0)),0)</f>
        <v>79.52</v>
      </c>
      <c r="L2694" s="239">
        <f t="shared" si="25"/>
        <v>1</v>
      </c>
      <c r="M2694" s="36" t="str">
        <f t="shared" si="3"/>
        <v>Regular Season</v>
      </c>
      <c r="N2694" s="239" t="str">
        <f t="shared" si="26"/>
        <v>Salty</v>
      </c>
      <c r="O2694" s="6">
        <f>VLOOKUP(D2694,'Mapped Opponent'!$G$4:$H$22,2,0)</f>
        <v>6</v>
      </c>
      <c r="P2694" s="6"/>
      <c r="Q2694" s="6" t="str">
        <f t="shared" si="4"/>
        <v>Week 6</v>
      </c>
      <c r="R2694" s="6" t="str">
        <f t="shared" si="5"/>
        <v>2024Week 6</v>
      </c>
      <c r="S2694" s="6">
        <f>IFERROR(__xludf.DUMMYFUNCTION("rank(J2694,FILTER(J:J,R:R=R2694))"),7.0)</f>
        <v>7</v>
      </c>
      <c r="T2694" s="6">
        <f t="shared" si="6"/>
        <v>5</v>
      </c>
      <c r="U2694" s="6">
        <f t="shared" si="7"/>
        <v>7</v>
      </c>
      <c r="V2694" s="42">
        <f>averageif(AllData!A:A,B2694,AllData!R:R)/vlookup(B2694,AllData!A:O,15,0)</f>
        <v>94.42488095</v>
      </c>
      <c r="W2694" s="6"/>
    </row>
    <row r="2695" ht="14.25" customHeight="1">
      <c r="A2695" s="6" t="str">
        <f t="shared" si="28"/>
        <v>2024Rooney/Jackson6</v>
      </c>
      <c r="B2695" s="59">
        <v>2024.0</v>
      </c>
      <c r="C2695" s="13" t="s">
        <v>57</v>
      </c>
      <c r="D2695" s="13" t="s">
        <v>142</v>
      </c>
      <c r="E2695" s="34"/>
      <c r="F2695" s="6"/>
      <c r="H2695" s="6"/>
      <c r="I2695" s="35" t="str">
        <f>IFERROR(IFERROR(IFERROR(VLOOKUP(B2695&amp;C2695&amp;Q2695,'New Weekly Paste'!A:M,10,0),VLOOKUP(B2695&amp;C2695&amp;Q2695,'New Weekly Paste'!B:O,6,0)),""),"")</f>
        <v>Shep</v>
      </c>
      <c r="J2695" s="259">
        <f>IFERROR(IFERROR(VLOOKUP(B2695&amp;C2695&amp;Q2695,'New Weekly Paste'!A:M,8,0),VLOOKUP(B2695&amp;C2695&amp;Q2695,'New Weekly Paste'!B:O,10,0)),0)</f>
        <v>90.16</v>
      </c>
      <c r="K2695" s="259">
        <f>IFERROR(IFERROR(VLOOKUP(B2695&amp;I2695&amp;Q2695,'New Weekly Paste'!A:M,8,0),VLOOKUP(B2695&amp;I2695&amp;Q2695,'New Weekly Paste'!B:O,10,0)),0)</f>
        <v>99.78</v>
      </c>
      <c r="L2695" s="239">
        <f t="shared" si="25"/>
        <v>0</v>
      </c>
      <c r="M2695" s="36" t="str">
        <f t="shared" si="3"/>
        <v>Regular Season</v>
      </c>
      <c r="N2695" s="239" t="str">
        <f t="shared" si="26"/>
        <v>Shep</v>
      </c>
      <c r="O2695" s="6">
        <f>VLOOKUP(D2695,'Mapped Opponent'!$G$4:$H$22,2,0)</f>
        <v>6</v>
      </c>
      <c r="P2695" s="6"/>
      <c r="Q2695" s="6" t="str">
        <f t="shared" si="4"/>
        <v>Week 6</v>
      </c>
      <c r="R2695" s="6" t="str">
        <f t="shared" si="5"/>
        <v>2024Week 6</v>
      </c>
      <c r="S2695" s="6">
        <f>IFERROR(__xludf.DUMMYFUNCTION("rank(J2695,FILTER(J:J,R:R=R2695))"),8.0)</f>
        <v>8</v>
      </c>
      <c r="T2695" s="6">
        <f t="shared" si="6"/>
        <v>4</v>
      </c>
      <c r="U2695" s="6">
        <f t="shared" si="7"/>
        <v>8</v>
      </c>
      <c r="V2695" s="42">
        <f>averageif(AllData!A:A,B2695,AllData!R:R)/vlookup(B2695,AllData!A:O,15,0)</f>
        <v>94.42488095</v>
      </c>
      <c r="W2695" s="6"/>
    </row>
    <row r="2696" ht="14.25" customHeight="1">
      <c r="A2696" s="6" t="str">
        <f t="shared" si="28"/>
        <v>2024Buser6</v>
      </c>
      <c r="B2696" s="59">
        <v>2024.0</v>
      </c>
      <c r="C2696" s="13" t="s">
        <v>47</v>
      </c>
      <c r="D2696" s="13" t="s">
        <v>142</v>
      </c>
      <c r="E2696" s="34"/>
      <c r="F2696" s="6"/>
      <c r="H2696" s="6"/>
      <c r="I2696" s="35" t="str">
        <f>IFERROR(IFERROR(IFERROR(VLOOKUP(B2696&amp;C2696&amp;Q2696,'New Weekly Paste'!A:M,10,0),VLOOKUP(B2696&amp;C2696&amp;Q2696,'New Weekly Paste'!B:O,6,0)),""),"")</f>
        <v>KnardDawg</v>
      </c>
      <c r="J2696" s="259">
        <f>IFERROR(IFERROR(VLOOKUP(B2696&amp;C2696&amp;Q2696,'New Weekly Paste'!A:M,8,0),VLOOKUP(B2696&amp;C2696&amp;Q2696,'New Weekly Paste'!B:O,10,0)),0)</f>
        <v>103.22</v>
      </c>
      <c r="K2696" s="259">
        <f>IFERROR(IFERROR(VLOOKUP(B2696&amp;I2696&amp;Q2696,'New Weekly Paste'!A:M,8,0),VLOOKUP(B2696&amp;I2696&amp;Q2696,'New Weekly Paste'!B:O,10,0)),0)</f>
        <v>78.54</v>
      </c>
      <c r="L2696" s="239">
        <f t="shared" si="25"/>
        <v>1</v>
      </c>
      <c r="M2696" s="36" t="str">
        <f t="shared" si="3"/>
        <v>Regular Season</v>
      </c>
      <c r="N2696" s="239" t="str">
        <f t="shared" si="26"/>
        <v>KnardDawg</v>
      </c>
      <c r="O2696" s="6">
        <f>VLOOKUP(D2696,'Mapped Opponent'!$G$4:$H$22,2,0)</f>
        <v>6</v>
      </c>
      <c r="P2696" s="6"/>
      <c r="Q2696" s="6" t="str">
        <f t="shared" si="4"/>
        <v>Week 6</v>
      </c>
      <c r="R2696" s="6" t="str">
        <f t="shared" si="5"/>
        <v>2024Week 6</v>
      </c>
      <c r="S2696" s="6">
        <f>IFERROR(__xludf.DUMMYFUNCTION("rank(J2696,FILTER(J:J,R:R=R2696))"),4.0)</f>
        <v>4</v>
      </c>
      <c r="T2696" s="6">
        <f t="shared" si="6"/>
        <v>8</v>
      </c>
      <c r="U2696" s="6">
        <f t="shared" si="7"/>
        <v>4</v>
      </c>
      <c r="V2696" s="42">
        <f>averageif(AllData!A:A,B2696,AllData!R:R)/vlookup(B2696,AllData!A:O,15,0)</f>
        <v>94.42488095</v>
      </c>
      <c r="W2696" s="6"/>
    </row>
    <row r="2697" ht="14.25" customHeight="1">
      <c r="A2697" s="6" t="str">
        <f t="shared" si="28"/>
        <v>2024Pierson6</v>
      </c>
      <c r="B2697" s="59">
        <v>2024.0</v>
      </c>
      <c r="C2697" s="13" t="s">
        <v>92</v>
      </c>
      <c r="D2697" s="13" t="s">
        <v>142</v>
      </c>
      <c r="E2697" s="34"/>
      <c r="F2697" s="6"/>
      <c r="H2697" s="6"/>
      <c r="I2697" s="35" t="str">
        <f>IFERROR(IFERROR(IFERROR(VLOOKUP(B2697&amp;C2697&amp;Q2697,'New Weekly Paste'!A:M,10,0),VLOOKUP(B2697&amp;C2697&amp;Q2697,'New Weekly Paste'!B:O,6,0)),""),"")</f>
        <v>Tayski</v>
      </c>
      <c r="J2697" s="259">
        <f>IFERROR(IFERROR(VLOOKUP(B2697&amp;C2697&amp;Q2697,'New Weekly Paste'!A:M,8,0),VLOOKUP(B2697&amp;C2697&amp;Q2697,'New Weekly Paste'!B:O,10,0)),0)</f>
        <v>94.82</v>
      </c>
      <c r="K2697" s="259">
        <f>IFERROR(IFERROR(VLOOKUP(B2697&amp;I2697&amp;Q2697,'New Weekly Paste'!A:M,8,0),VLOOKUP(B2697&amp;I2697&amp;Q2697,'New Weekly Paste'!B:O,10,0)),0)</f>
        <v>123.4</v>
      </c>
      <c r="L2697" s="239">
        <f t="shared" si="25"/>
        <v>0</v>
      </c>
      <c r="M2697" s="36" t="str">
        <f t="shared" si="3"/>
        <v>Regular Season</v>
      </c>
      <c r="N2697" s="239" t="str">
        <f t="shared" si="26"/>
        <v>Tayski</v>
      </c>
      <c r="O2697" s="6">
        <f>VLOOKUP(D2697,'Mapped Opponent'!$G$4:$H$22,2,0)</f>
        <v>6</v>
      </c>
      <c r="P2697" s="6"/>
      <c r="Q2697" s="6" t="str">
        <f t="shared" si="4"/>
        <v>Week 6</v>
      </c>
      <c r="R2697" s="6" t="str">
        <f t="shared" si="5"/>
        <v>2024Week 6</v>
      </c>
      <c r="S2697" s="6">
        <f>IFERROR(__xludf.DUMMYFUNCTION("rank(J2697,FILTER(J:J,R:R=R2697))"),6.0)</f>
        <v>6</v>
      </c>
      <c r="T2697" s="6">
        <f t="shared" si="6"/>
        <v>6</v>
      </c>
      <c r="U2697" s="6">
        <f t="shared" si="7"/>
        <v>6</v>
      </c>
      <c r="V2697" s="42">
        <f>averageif(AllData!A:A,B2697,AllData!R:R)/vlookup(B2697,AllData!A:O,15,0)</f>
        <v>94.42488095</v>
      </c>
      <c r="W2697" s="6"/>
    </row>
    <row r="2698" ht="14.25" customHeight="1">
      <c r="A2698" s="6" t="str">
        <f t="shared" si="28"/>
        <v>2024Cock6</v>
      </c>
      <c r="B2698" s="59">
        <v>2024.0</v>
      </c>
      <c r="C2698" s="13" t="s">
        <v>72</v>
      </c>
      <c r="D2698" s="13" t="s">
        <v>142</v>
      </c>
      <c r="E2698" s="34"/>
      <c r="F2698" s="6"/>
      <c r="H2698" s="6"/>
      <c r="I2698" s="35" t="str">
        <f>IFERROR(IFERROR(IFERROR(VLOOKUP(B2698&amp;C2698&amp;Q2698,'New Weekly Paste'!A:M,10,0),VLOOKUP(B2698&amp;C2698&amp;Q2698,'New Weekly Paste'!B:O,6,0)),""),"")</f>
        <v>Ewert</v>
      </c>
      <c r="J2698" s="259">
        <f>IFERROR(IFERROR(VLOOKUP(B2698&amp;C2698&amp;Q2698,'New Weekly Paste'!A:M,8,0),VLOOKUP(B2698&amp;C2698&amp;Q2698,'New Weekly Paste'!B:O,10,0)),0)</f>
        <v>128.3</v>
      </c>
      <c r="K2698" s="259">
        <f>IFERROR(IFERROR(VLOOKUP(B2698&amp;I2698&amp;Q2698,'New Weekly Paste'!A:M,8,0),VLOOKUP(B2698&amp;I2698&amp;Q2698,'New Weekly Paste'!B:O,10,0)),0)</f>
        <v>84.98</v>
      </c>
      <c r="L2698" s="239">
        <f t="shared" si="25"/>
        <v>1</v>
      </c>
      <c r="M2698" s="36" t="str">
        <f t="shared" si="3"/>
        <v>Regular Season</v>
      </c>
      <c r="N2698" s="239" t="str">
        <f t="shared" si="26"/>
        <v>Ewert</v>
      </c>
      <c r="O2698" s="6">
        <f>VLOOKUP(D2698,'Mapped Opponent'!$G$4:$H$22,2,0)</f>
        <v>6</v>
      </c>
      <c r="P2698" s="6"/>
      <c r="Q2698" s="6" t="str">
        <f t="shared" si="4"/>
        <v>Week 6</v>
      </c>
      <c r="R2698" s="6" t="str">
        <f t="shared" si="5"/>
        <v>2024Week 6</v>
      </c>
      <c r="S2698" s="6">
        <f>IFERROR(__xludf.DUMMYFUNCTION("rank(J2698,FILTER(J:J,R:R=R2698))"),2.0)</f>
        <v>2</v>
      </c>
      <c r="T2698" s="6">
        <f t="shared" si="6"/>
        <v>10</v>
      </c>
      <c r="U2698" s="6">
        <f t="shared" si="7"/>
        <v>2</v>
      </c>
      <c r="V2698" s="42">
        <f>averageif(AllData!A:A,B2698,AllData!R:R)/vlookup(B2698,AllData!A:O,15,0)</f>
        <v>94.42488095</v>
      </c>
      <c r="W2698" s="6"/>
    </row>
    <row r="2699" ht="14.25" customHeight="1">
      <c r="A2699" s="6" t="str">
        <f t="shared" si="28"/>
        <v>2024Tayski6</v>
      </c>
      <c r="B2699" s="59">
        <v>2024.0</v>
      </c>
      <c r="C2699" s="13" t="s">
        <v>52</v>
      </c>
      <c r="D2699" s="13" t="s">
        <v>142</v>
      </c>
      <c r="E2699" s="34"/>
      <c r="F2699" s="6"/>
      <c r="H2699" s="6"/>
      <c r="I2699" s="35" t="str">
        <f>IFERROR(IFERROR(IFERROR(VLOOKUP(B2699&amp;C2699&amp;Q2699,'New Weekly Paste'!A:M,10,0),VLOOKUP(B2699&amp;C2699&amp;Q2699,'New Weekly Paste'!B:O,6,0)),""),"")</f>
        <v>Pierson</v>
      </c>
      <c r="J2699" s="259">
        <f>IFERROR(IFERROR(VLOOKUP(B2699&amp;C2699&amp;Q2699,'New Weekly Paste'!A:M,8,0),VLOOKUP(B2699&amp;C2699&amp;Q2699,'New Weekly Paste'!B:O,10,0)),0)</f>
        <v>123.4</v>
      </c>
      <c r="K2699" s="259">
        <f>IFERROR(IFERROR(VLOOKUP(B2699&amp;I2699&amp;Q2699,'New Weekly Paste'!A:M,8,0),VLOOKUP(B2699&amp;I2699&amp;Q2699,'New Weekly Paste'!B:O,10,0)),0)</f>
        <v>94.82</v>
      </c>
      <c r="L2699" s="239">
        <f t="shared" si="25"/>
        <v>1</v>
      </c>
      <c r="M2699" s="36" t="str">
        <f t="shared" si="3"/>
        <v>Regular Season</v>
      </c>
      <c r="N2699" s="239" t="str">
        <f t="shared" si="26"/>
        <v>Pierson</v>
      </c>
      <c r="O2699" s="6">
        <f>VLOOKUP(D2699,'Mapped Opponent'!$G$4:$H$22,2,0)</f>
        <v>6</v>
      </c>
      <c r="P2699" s="6"/>
      <c r="Q2699" s="6" t="str">
        <f t="shared" si="4"/>
        <v>Week 6</v>
      </c>
      <c r="R2699" s="6" t="str">
        <f t="shared" si="5"/>
        <v>2024Week 6</v>
      </c>
      <c r="S2699" s="6">
        <f>IFERROR(__xludf.DUMMYFUNCTION("rank(J2699,FILTER(J:J,R:R=R2699))"),3.0)</f>
        <v>3</v>
      </c>
      <c r="T2699" s="6">
        <f t="shared" si="6"/>
        <v>9</v>
      </c>
      <c r="U2699" s="6">
        <f t="shared" si="7"/>
        <v>3</v>
      </c>
      <c r="V2699" s="42">
        <f>averageif(AllData!A:A,B2699,AllData!R:R)/vlookup(B2699,AllData!A:O,15,0)</f>
        <v>94.42488095</v>
      </c>
      <c r="W2699" s="6"/>
    </row>
    <row r="2700" ht="14.25" customHeight="1">
      <c r="A2700" s="6" t="str">
        <f t="shared" si="28"/>
        <v>2024KnardDawg6</v>
      </c>
      <c r="B2700" s="59">
        <v>2024.0</v>
      </c>
      <c r="C2700" s="13" t="s">
        <v>86</v>
      </c>
      <c r="D2700" s="13" t="s">
        <v>142</v>
      </c>
      <c r="E2700" s="34"/>
      <c r="F2700" s="6"/>
      <c r="H2700" s="6"/>
      <c r="I2700" s="35" t="str">
        <f>IFERROR(IFERROR(IFERROR(VLOOKUP(B2700&amp;C2700&amp;Q2700,'New Weekly Paste'!A:M,10,0),VLOOKUP(B2700&amp;C2700&amp;Q2700,'New Weekly Paste'!B:O,6,0)),""),"")</f>
        <v>Buser</v>
      </c>
      <c r="J2700" s="259">
        <f>IFERROR(IFERROR(VLOOKUP(B2700&amp;C2700&amp;Q2700,'New Weekly Paste'!A:M,8,0),VLOOKUP(B2700&amp;C2700&amp;Q2700,'New Weekly Paste'!B:O,10,0)),0)</f>
        <v>78.54</v>
      </c>
      <c r="K2700" s="259">
        <f>IFERROR(IFERROR(VLOOKUP(B2700&amp;I2700&amp;Q2700,'New Weekly Paste'!A:M,8,0),VLOOKUP(B2700&amp;I2700&amp;Q2700,'New Weekly Paste'!B:O,10,0)),0)</f>
        <v>103.22</v>
      </c>
      <c r="L2700" s="239">
        <f t="shared" si="25"/>
        <v>0</v>
      </c>
      <c r="M2700" s="36" t="str">
        <f t="shared" si="3"/>
        <v>Regular Season</v>
      </c>
      <c r="N2700" s="239" t="str">
        <f t="shared" si="26"/>
        <v>Buser</v>
      </c>
      <c r="O2700" s="6">
        <f>VLOOKUP(D2700,'Mapped Opponent'!$G$4:$H$22,2,0)</f>
        <v>6</v>
      </c>
      <c r="P2700" s="6"/>
      <c r="Q2700" s="6" t="str">
        <f t="shared" si="4"/>
        <v>Week 6</v>
      </c>
      <c r="R2700" s="6" t="str">
        <f t="shared" si="5"/>
        <v>2024Week 6</v>
      </c>
      <c r="S2700" s="6">
        <f>IFERROR(__xludf.DUMMYFUNCTION("rank(J2700,FILTER(J:J,R:R=R2700))"),11.0)</f>
        <v>11</v>
      </c>
      <c r="T2700" s="6">
        <f t="shared" si="6"/>
        <v>1</v>
      </c>
      <c r="U2700" s="6">
        <f t="shared" si="7"/>
        <v>11</v>
      </c>
      <c r="V2700" s="42">
        <f>averageif(AllData!A:A,B2700,AllData!R:R)/vlookup(B2700,AllData!A:O,15,0)</f>
        <v>94.42488095</v>
      </c>
      <c r="W2700" s="6"/>
    </row>
    <row r="2701" ht="14.25" customHeight="1">
      <c r="A2701" s="6" t="str">
        <f t="shared" si="28"/>
        <v>2024T-How6</v>
      </c>
      <c r="B2701" s="59">
        <v>2024.0</v>
      </c>
      <c r="C2701" s="13" t="s">
        <v>82</v>
      </c>
      <c r="D2701" s="13" t="s">
        <v>142</v>
      </c>
      <c r="E2701" s="34"/>
      <c r="F2701" s="6"/>
      <c r="H2701" s="6"/>
      <c r="I2701" s="35" t="str">
        <f>IFERROR(IFERROR(IFERROR(VLOOKUP(B2701&amp;C2701&amp;Q2701,'New Weekly Paste'!A:M,10,0),VLOOKUP(B2701&amp;C2701&amp;Q2701,'New Weekly Paste'!B:O,6,0)),""),"")</f>
        <v>Hudspeath</v>
      </c>
      <c r="J2701" s="259">
        <f>IFERROR(IFERROR(VLOOKUP(B2701&amp;C2701&amp;Q2701,'New Weekly Paste'!A:M,8,0),VLOOKUP(B2701&amp;C2701&amp;Q2701,'New Weekly Paste'!B:O,10,0)),0)</f>
        <v>136.26</v>
      </c>
      <c r="K2701" s="259">
        <f>IFERROR(IFERROR(VLOOKUP(B2701&amp;I2701&amp;Q2701,'New Weekly Paste'!A:M,8,0),VLOOKUP(B2701&amp;I2701&amp;Q2701,'New Weekly Paste'!B:O,10,0)),0)</f>
        <v>66.7</v>
      </c>
      <c r="L2701" s="239">
        <f t="shared" si="25"/>
        <v>1</v>
      </c>
      <c r="M2701" s="36" t="str">
        <f t="shared" si="3"/>
        <v>Regular Season</v>
      </c>
      <c r="N2701" s="239" t="str">
        <f t="shared" si="26"/>
        <v>Hudspeath</v>
      </c>
      <c r="O2701" s="6">
        <f>VLOOKUP(D2701,'Mapped Opponent'!$G$4:$H$22,2,0)</f>
        <v>6</v>
      </c>
      <c r="P2701" s="6"/>
      <c r="Q2701" s="6" t="str">
        <f t="shared" si="4"/>
        <v>Week 6</v>
      </c>
      <c r="R2701" s="6" t="str">
        <f t="shared" si="5"/>
        <v>2024Week 6</v>
      </c>
      <c r="S2701" s="6">
        <f>IFERROR(__xludf.DUMMYFUNCTION("rank(J2701,FILTER(J:J,R:R=R2701))"),1.0)</f>
        <v>1</v>
      </c>
      <c r="T2701" s="6">
        <f t="shared" si="6"/>
        <v>11</v>
      </c>
      <c r="U2701" s="6">
        <f t="shared" si="7"/>
        <v>1</v>
      </c>
      <c r="V2701" s="42">
        <f>averageif(AllData!A:A,B2701,AllData!R:R)/vlookup(B2701,AllData!A:O,15,0)</f>
        <v>94.42488095</v>
      </c>
      <c r="W2701" s="6"/>
    </row>
    <row r="2702" ht="14.25" customHeight="1">
      <c r="A2702" s="6" t="str">
        <f t="shared" si="28"/>
        <v>2024Hudspeath7</v>
      </c>
      <c r="B2702" s="59">
        <v>2024.0</v>
      </c>
      <c r="C2702" s="13" t="s">
        <v>39</v>
      </c>
      <c r="D2702" s="13" t="s">
        <v>143</v>
      </c>
      <c r="E2702" s="34"/>
      <c r="F2702" s="6"/>
      <c r="H2702" s="6"/>
      <c r="I2702" s="35" t="str">
        <f>IFERROR(IFERROR(IFERROR(VLOOKUP(B2702&amp;C2702&amp;Q2702,'New Weekly Paste'!A:M,10,0),VLOOKUP(B2702&amp;C2702&amp;Q2702,'New Weekly Paste'!B:O,6,0)),""),"")</f>
        <v>Cock</v>
      </c>
      <c r="J2702" s="259">
        <f>IFERROR(IFERROR(VLOOKUP(B2702&amp;C2702&amp;Q2702,'New Weekly Paste'!A:M,8,0),VLOOKUP(B2702&amp;C2702&amp;Q2702,'New Weekly Paste'!B:O,10,0)),0)</f>
        <v>87</v>
      </c>
      <c r="K2702" s="259">
        <f>IFERROR(IFERROR(VLOOKUP(B2702&amp;I2702&amp;Q2702,'New Weekly Paste'!A:M,8,0),VLOOKUP(B2702&amp;I2702&amp;Q2702,'New Weekly Paste'!B:O,10,0)),0)</f>
        <v>64.68</v>
      </c>
      <c r="L2702" s="239">
        <f t="shared" si="25"/>
        <v>1</v>
      </c>
      <c r="M2702" s="36" t="str">
        <f t="shared" si="3"/>
        <v>Regular Season</v>
      </c>
      <c r="N2702" s="239" t="str">
        <f t="shared" si="26"/>
        <v>Cock</v>
      </c>
      <c r="O2702" s="6">
        <f>VLOOKUP(D2702,'Mapped Opponent'!$G$4:$H$22,2,0)</f>
        <v>7</v>
      </c>
      <c r="P2702" s="6"/>
      <c r="Q2702" s="6" t="str">
        <f t="shared" si="4"/>
        <v>Week 7</v>
      </c>
      <c r="R2702" s="6" t="str">
        <f t="shared" si="5"/>
        <v>2024Week 7</v>
      </c>
      <c r="S2702" s="6">
        <f>IFERROR(__xludf.DUMMYFUNCTION("rank(J2702,FILTER(J:J,R:R=R2702))"),10.0)</f>
        <v>10</v>
      </c>
      <c r="T2702" s="6">
        <f t="shared" si="6"/>
        <v>2</v>
      </c>
      <c r="U2702" s="6">
        <f t="shared" si="7"/>
        <v>10</v>
      </c>
      <c r="V2702" s="42">
        <f>averageif(AllData!A:A,B2702,AllData!R:R)/vlookup(B2702,AllData!A:O,15,0)</f>
        <v>94.42488095</v>
      </c>
      <c r="W2702" s="6"/>
    </row>
    <row r="2703" ht="14.25" customHeight="1">
      <c r="A2703" s="6" t="str">
        <f t="shared" si="28"/>
        <v>2024Salty7</v>
      </c>
      <c r="B2703" s="59">
        <v>2024.0</v>
      </c>
      <c r="C2703" s="13" t="s">
        <v>76</v>
      </c>
      <c r="D2703" s="13" t="s">
        <v>143</v>
      </c>
      <c r="E2703" s="34"/>
      <c r="F2703" s="6"/>
      <c r="H2703" s="6"/>
      <c r="I2703" s="35" t="str">
        <f>IFERROR(IFERROR(IFERROR(VLOOKUP(B2703&amp;C2703&amp;Q2703,'New Weekly Paste'!A:M,10,0),VLOOKUP(B2703&amp;C2703&amp;Q2703,'New Weekly Paste'!B:O,6,0)),""),"")</f>
        <v>Buser</v>
      </c>
      <c r="J2703" s="259">
        <f>IFERROR(IFERROR(VLOOKUP(B2703&amp;C2703&amp;Q2703,'New Weekly Paste'!A:M,8,0),VLOOKUP(B2703&amp;C2703&amp;Q2703,'New Weekly Paste'!B:O,10,0)),0)</f>
        <v>104.84</v>
      </c>
      <c r="K2703" s="259">
        <f>IFERROR(IFERROR(VLOOKUP(B2703&amp;I2703&amp;Q2703,'New Weekly Paste'!A:M,8,0),VLOOKUP(B2703&amp;I2703&amp;Q2703,'New Weekly Paste'!B:O,10,0)),0)</f>
        <v>94.5</v>
      </c>
      <c r="L2703" s="239">
        <f t="shared" si="25"/>
        <v>1</v>
      </c>
      <c r="M2703" s="36" t="str">
        <f t="shared" si="3"/>
        <v>Regular Season</v>
      </c>
      <c r="N2703" s="239" t="str">
        <f t="shared" si="26"/>
        <v>Buser</v>
      </c>
      <c r="O2703" s="6">
        <f>VLOOKUP(D2703,'Mapped Opponent'!$G$4:$H$22,2,0)</f>
        <v>7</v>
      </c>
      <c r="P2703" s="6"/>
      <c r="Q2703" s="6" t="str">
        <f t="shared" si="4"/>
        <v>Week 7</v>
      </c>
      <c r="R2703" s="6" t="str">
        <f t="shared" si="5"/>
        <v>2024Week 7</v>
      </c>
      <c r="S2703" s="6">
        <f>IFERROR(__xludf.DUMMYFUNCTION("rank(J2703,FILTER(J:J,R:R=R2703))"),2.0)</f>
        <v>2</v>
      </c>
      <c r="T2703" s="6">
        <f t="shared" si="6"/>
        <v>10</v>
      </c>
      <c r="U2703" s="6">
        <f t="shared" si="7"/>
        <v>2</v>
      </c>
      <c r="V2703" s="42">
        <f>averageif(AllData!A:A,B2703,AllData!R:R)/vlookup(B2703,AllData!A:O,15,0)</f>
        <v>94.42488095</v>
      </c>
      <c r="W2703" s="6"/>
    </row>
    <row r="2704" ht="14.25" customHeight="1">
      <c r="A2704" s="6" t="str">
        <f t="shared" si="28"/>
        <v>2024Ewert7</v>
      </c>
      <c r="B2704" s="59">
        <v>2024.0</v>
      </c>
      <c r="C2704" s="13" t="s">
        <v>108</v>
      </c>
      <c r="D2704" s="13" t="s">
        <v>143</v>
      </c>
      <c r="E2704" s="34"/>
      <c r="F2704" s="6"/>
      <c r="H2704" s="6"/>
      <c r="I2704" s="35" t="str">
        <f>IFERROR(IFERROR(IFERROR(VLOOKUP(B2704&amp;C2704&amp;Q2704,'New Weekly Paste'!A:M,10,0),VLOOKUP(B2704&amp;C2704&amp;Q2704,'New Weekly Paste'!B:O,6,0)),""),"")</f>
        <v>Pierson</v>
      </c>
      <c r="J2704" s="259">
        <f>IFERROR(IFERROR(VLOOKUP(B2704&amp;C2704&amp;Q2704,'New Weekly Paste'!A:M,8,0),VLOOKUP(B2704&amp;C2704&amp;Q2704,'New Weekly Paste'!B:O,10,0)),0)</f>
        <v>96.38</v>
      </c>
      <c r="K2704" s="259">
        <f>IFERROR(IFERROR(VLOOKUP(B2704&amp;I2704&amp;Q2704,'New Weekly Paste'!A:M,8,0),VLOOKUP(B2704&amp;I2704&amp;Q2704,'New Weekly Paste'!B:O,10,0)),0)</f>
        <v>94.24</v>
      </c>
      <c r="L2704" s="239">
        <f t="shared" si="25"/>
        <v>1</v>
      </c>
      <c r="M2704" s="36" t="str">
        <f t="shared" si="3"/>
        <v>Regular Season</v>
      </c>
      <c r="N2704" s="239" t="str">
        <f t="shared" si="26"/>
        <v>Pierson</v>
      </c>
      <c r="O2704" s="6">
        <f>VLOOKUP(D2704,'Mapped Opponent'!$G$4:$H$22,2,0)</f>
        <v>7</v>
      </c>
      <c r="P2704" s="6"/>
      <c r="Q2704" s="6" t="str">
        <f t="shared" si="4"/>
        <v>Week 7</v>
      </c>
      <c r="R2704" s="6" t="str">
        <f t="shared" si="5"/>
        <v>2024Week 7</v>
      </c>
      <c r="S2704" s="6">
        <f>IFERROR(__xludf.DUMMYFUNCTION("rank(J2704,FILTER(J:J,R:R=R2704))"),3.0)</f>
        <v>3</v>
      </c>
      <c r="T2704" s="6">
        <f t="shared" si="6"/>
        <v>9</v>
      </c>
      <c r="U2704" s="6">
        <f t="shared" si="7"/>
        <v>3</v>
      </c>
      <c r="V2704" s="42">
        <f>averageif(AllData!A:A,B2704,AllData!R:R)/vlookup(B2704,AllData!A:O,15,0)</f>
        <v>94.42488095</v>
      </c>
      <c r="W2704" s="6"/>
    </row>
    <row r="2705" ht="14.25" customHeight="1">
      <c r="A2705" s="6" t="str">
        <f t="shared" si="28"/>
        <v>2024Shep7</v>
      </c>
      <c r="B2705" s="59">
        <v>2024.0</v>
      </c>
      <c r="C2705" s="13" t="s">
        <v>89</v>
      </c>
      <c r="D2705" s="13" t="s">
        <v>143</v>
      </c>
      <c r="E2705" s="34"/>
      <c r="F2705" s="6"/>
      <c r="H2705" s="6"/>
      <c r="I2705" s="35" t="str">
        <f>IFERROR(IFERROR(IFERROR(VLOOKUP(B2705&amp;C2705&amp;Q2705,'New Weekly Paste'!A:M,10,0),VLOOKUP(B2705&amp;C2705&amp;Q2705,'New Weekly Paste'!B:O,6,0)),""),"")</f>
        <v>Tayski</v>
      </c>
      <c r="J2705" s="259">
        <f>IFERROR(IFERROR(VLOOKUP(B2705&amp;C2705&amp;Q2705,'New Weekly Paste'!A:M,8,0),VLOOKUP(B2705&amp;C2705&amp;Q2705,'New Weekly Paste'!B:O,10,0)),0)</f>
        <v>93.94</v>
      </c>
      <c r="K2705" s="259">
        <f>IFERROR(IFERROR(VLOOKUP(B2705&amp;I2705&amp;Q2705,'New Weekly Paste'!A:M,8,0),VLOOKUP(B2705&amp;I2705&amp;Q2705,'New Weekly Paste'!B:O,10,0)),0)</f>
        <v>107.42</v>
      </c>
      <c r="L2705" s="239">
        <f t="shared" si="25"/>
        <v>0</v>
      </c>
      <c r="M2705" s="36" t="str">
        <f t="shared" si="3"/>
        <v>Regular Season</v>
      </c>
      <c r="N2705" s="239" t="str">
        <f t="shared" si="26"/>
        <v>Tayski</v>
      </c>
      <c r="O2705" s="6">
        <f>VLOOKUP(D2705,'Mapped Opponent'!$G$4:$H$22,2,0)</f>
        <v>7</v>
      </c>
      <c r="P2705" s="6"/>
      <c r="Q2705" s="6" t="str">
        <f t="shared" si="4"/>
        <v>Week 7</v>
      </c>
      <c r="R2705" s="6" t="str">
        <f t="shared" si="5"/>
        <v>2024Week 7</v>
      </c>
      <c r="S2705" s="6">
        <f>IFERROR(__xludf.DUMMYFUNCTION("rank(J2705,FILTER(J:J,R:R=R2705))"),7.0)</f>
        <v>7</v>
      </c>
      <c r="T2705" s="6">
        <f t="shared" si="6"/>
        <v>5</v>
      </c>
      <c r="U2705" s="6">
        <f t="shared" si="7"/>
        <v>7</v>
      </c>
      <c r="V2705" s="42">
        <f>averageif(AllData!A:A,B2705,AllData!R:R)/vlookup(B2705,AllData!A:O,15,0)</f>
        <v>94.42488095</v>
      </c>
      <c r="W2705" s="6"/>
    </row>
    <row r="2706" ht="14.25" customHeight="1">
      <c r="A2706" s="6" t="str">
        <f t="shared" si="28"/>
        <v>2024Riley7</v>
      </c>
      <c r="B2706" s="59">
        <v>2024.0</v>
      </c>
      <c r="C2706" s="13" t="s">
        <v>67</v>
      </c>
      <c r="D2706" s="13" t="s">
        <v>143</v>
      </c>
      <c r="E2706" s="34"/>
      <c r="F2706" s="6"/>
      <c r="H2706" s="6"/>
      <c r="I2706" s="35" t="str">
        <f>IFERROR(IFERROR(IFERROR(VLOOKUP(B2706&amp;C2706&amp;Q2706,'New Weekly Paste'!A:M,10,0),VLOOKUP(B2706&amp;C2706&amp;Q2706,'New Weekly Paste'!B:O,6,0)),""),"")</f>
        <v>Rooney/Jackson</v>
      </c>
      <c r="J2706" s="259">
        <f>IFERROR(IFERROR(VLOOKUP(B2706&amp;C2706&amp;Q2706,'New Weekly Paste'!A:M,8,0),VLOOKUP(B2706&amp;C2706&amp;Q2706,'New Weekly Paste'!B:O,10,0)),0)</f>
        <v>95.2</v>
      </c>
      <c r="K2706" s="259">
        <f>IFERROR(IFERROR(VLOOKUP(B2706&amp;I2706&amp;Q2706,'New Weekly Paste'!A:M,8,0),VLOOKUP(B2706&amp;I2706&amp;Q2706,'New Weekly Paste'!B:O,10,0)),0)</f>
        <v>92.04</v>
      </c>
      <c r="L2706" s="239">
        <f t="shared" si="25"/>
        <v>1</v>
      </c>
      <c r="M2706" s="36" t="str">
        <f t="shared" si="3"/>
        <v>Regular Season</v>
      </c>
      <c r="N2706" s="239" t="str">
        <f t="shared" si="26"/>
        <v>Rooney/Jackson</v>
      </c>
      <c r="O2706" s="6">
        <f>VLOOKUP(D2706,'Mapped Opponent'!$G$4:$H$22,2,0)</f>
        <v>7</v>
      </c>
      <c r="P2706" s="6"/>
      <c r="Q2706" s="6" t="str">
        <f t="shared" si="4"/>
        <v>Week 7</v>
      </c>
      <c r="R2706" s="6" t="str">
        <f t="shared" si="5"/>
        <v>2024Week 7</v>
      </c>
      <c r="S2706" s="6">
        <f>IFERROR(__xludf.DUMMYFUNCTION("rank(J2706,FILTER(J:J,R:R=R2706))"),4.0)</f>
        <v>4</v>
      </c>
      <c r="T2706" s="6">
        <f t="shared" si="6"/>
        <v>8</v>
      </c>
      <c r="U2706" s="6">
        <f t="shared" si="7"/>
        <v>4</v>
      </c>
      <c r="V2706" s="42">
        <f>averageif(AllData!A:A,B2706,AllData!R:R)/vlookup(B2706,AllData!A:O,15,0)</f>
        <v>94.42488095</v>
      </c>
      <c r="W2706" s="6"/>
    </row>
    <row r="2707" ht="14.25" customHeight="1">
      <c r="A2707" s="6" t="str">
        <f t="shared" si="28"/>
        <v>2024Rooney/Jackson7</v>
      </c>
      <c r="B2707" s="59">
        <v>2024.0</v>
      </c>
      <c r="C2707" s="13" t="s">
        <v>57</v>
      </c>
      <c r="D2707" s="13" t="s">
        <v>143</v>
      </c>
      <c r="E2707" s="34"/>
      <c r="F2707" s="6"/>
      <c r="H2707" s="6"/>
      <c r="I2707" s="35" t="str">
        <f>IFERROR(IFERROR(IFERROR(VLOOKUP(B2707&amp;C2707&amp;Q2707,'New Weekly Paste'!A:M,10,0),VLOOKUP(B2707&amp;C2707&amp;Q2707,'New Weekly Paste'!B:O,6,0)),""),"")</f>
        <v>Riley</v>
      </c>
      <c r="J2707" s="259">
        <f>IFERROR(IFERROR(VLOOKUP(B2707&amp;C2707&amp;Q2707,'New Weekly Paste'!A:M,8,0),VLOOKUP(B2707&amp;C2707&amp;Q2707,'New Weekly Paste'!B:O,10,0)),0)</f>
        <v>92.04</v>
      </c>
      <c r="K2707" s="259">
        <f>IFERROR(IFERROR(VLOOKUP(B2707&amp;I2707&amp;Q2707,'New Weekly Paste'!A:M,8,0),VLOOKUP(B2707&amp;I2707&amp;Q2707,'New Weekly Paste'!B:O,10,0)),0)</f>
        <v>95.2</v>
      </c>
      <c r="L2707" s="239">
        <f t="shared" si="25"/>
        <v>0</v>
      </c>
      <c r="M2707" s="36" t="str">
        <f t="shared" si="3"/>
        <v>Regular Season</v>
      </c>
      <c r="N2707" s="239" t="str">
        <f t="shared" si="26"/>
        <v>Riley</v>
      </c>
      <c r="O2707" s="6">
        <f>VLOOKUP(D2707,'Mapped Opponent'!$G$4:$H$22,2,0)</f>
        <v>7</v>
      </c>
      <c r="P2707" s="6"/>
      <c r="Q2707" s="6" t="str">
        <f t="shared" si="4"/>
        <v>Week 7</v>
      </c>
      <c r="R2707" s="6" t="str">
        <f t="shared" si="5"/>
        <v>2024Week 7</v>
      </c>
      <c r="S2707" s="6">
        <f>IFERROR(__xludf.DUMMYFUNCTION("rank(J2707,FILTER(J:J,R:R=R2707))"),9.0)</f>
        <v>9</v>
      </c>
      <c r="T2707" s="6">
        <f t="shared" si="6"/>
        <v>3</v>
      </c>
      <c r="U2707" s="6">
        <f t="shared" si="7"/>
        <v>9</v>
      </c>
      <c r="V2707" s="42">
        <f>averageif(AllData!A:A,B2707,AllData!R:R)/vlookup(B2707,AllData!A:O,15,0)</f>
        <v>94.42488095</v>
      </c>
      <c r="W2707" s="6"/>
    </row>
    <row r="2708" ht="14.25" customHeight="1">
      <c r="A2708" s="6" t="str">
        <f t="shared" si="28"/>
        <v>2024Buser7</v>
      </c>
      <c r="B2708" s="59">
        <v>2024.0</v>
      </c>
      <c r="C2708" s="13" t="s">
        <v>47</v>
      </c>
      <c r="D2708" s="13" t="s">
        <v>143</v>
      </c>
      <c r="E2708" s="34"/>
      <c r="F2708" s="6"/>
      <c r="H2708" s="6"/>
      <c r="I2708" s="35" t="str">
        <f>IFERROR(IFERROR(IFERROR(VLOOKUP(B2708&amp;C2708&amp;Q2708,'New Weekly Paste'!A:M,10,0),VLOOKUP(B2708&amp;C2708&amp;Q2708,'New Weekly Paste'!B:O,6,0)),""),"")</f>
        <v>Salty</v>
      </c>
      <c r="J2708" s="259">
        <f>IFERROR(IFERROR(VLOOKUP(B2708&amp;C2708&amp;Q2708,'New Weekly Paste'!A:M,8,0),VLOOKUP(B2708&amp;C2708&amp;Q2708,'New Weekly Paste'!B:O,10,0)),0)</f>
        <v>94.5</v>
      </c>
      <c r="K2708" s="259">
        <f>IFERROR(IFERROR(VLOOKUP(B2708&amp;I2708&amp;Q2708,'New Weekly Paste'!A:M,8,0),VLOOKUP(B2708&amp;I2708&amp;Q2708,'New Weekly Paste'!B:O,10,0)),0)</f>
        <v>104.84</v>
      </c>
      <c r="L2708" s="239">
        <f t="shared" si="25"/>
        <v>0</v>
      </c>
      <c r="M2708" s="36" t="str">
        <f t="shared" si="3"/>
        <v>Regular Season</v>
      </c>
      <c r="N2708" s="239" t="str">
        <f t="shared" si="26"/>
        <v>Salty</v>
      </c>
      <c r="O2708" s="6">
        <f>VLOOKUP(D2708,'Mapped Opponent'!$G$4:$H$22,2,0)</f>
        <v>7</v>
      </c>
      <c r="P2708" s="6"/>
      <c r="Q2708" s="6" t="str">
        <f t="shared" si="4"/>
        <v>Week 7</v>
      </c>
      <c r="R2708" s="6" t="str">
        <f t="shared" si="5"/>
        <v>2024Week 7</v>
      </c>
      <c r="S2708" s="6">
        <f>IFERROR(__xludf.DUMMYFUNCTION("rank(J2708,FILTER(J:J,R:R=R2708))"),5.0)</f>
        <v>5</v>
      </c>
      <c r="T2708" s="6">
        <f t="shared" si="6"/>
        <v>7</v>
      </c>
      <c r="U2708" s="6">
        <f t="shared" si="7"/>
        <v>5</v>
      </c>
      <c r="V2708" s="42">
        <f>averageif(AllData!A:A,B2708,AllData!R:R)/vlookup(B2708,AllData!A:O,15,0)</f>
        <v>94.42488095</v>
      </c>
      <c r="W2708" s="6"/>
    </row>
    <row r="2709" ht="14.25" customHeight="1">
      <c r="A2709" s="6" t="str">
        <f t="shared" si="28"/>
        <v>2024Pierson7</v>
      </c>
      <c r="B2709" s="59">
        <v>2024.0</v>
      </c>
      <c r="C2709" s="13" t="s">
        <v>92</v>
      </c>
      <c r="D2709" s="13" t="s">
        <v>143</v>
      </c>
      <c r="E2709" s="34"/>
      <c r="F2709" s="6"/>
      <c r="H2709" s="6"/>
      <c r="I2709" s="35" t="str">
        <f>IFERROR(IFERROR(IFERROR(VLOOKUP(B2709&amp;C2709&amp;Q2709,'New Weekly Paste'!A:M,10,0),VLOOKUP(B2709&amp;C2709&amp;Q2709,'New Weekly Paste'!B:O,6,0)),""),"")</f>
        <v>Ewert</v>
      </c>
      <c r="J2709" s="259">
        <f>IFERROR(IFERROR(VLOOKUP(B2709&amp;C2709&amp;Q2709,'New Weekly Paste'!A:M,8,0),VLOOKUP(B2709&amp;C2709&amp;Q2709,'New Weekly Paste'!B:O,10,0)),0)</f>
        <v>94.24</v>
      </c>
      <c r="K2709" s="259">
        <f>IFERROR(IFERROR(VLOOKUP(B2709&amp;I2709&amp;Q2709,'New Weekly Paste'!A:M,8,0),VLOOKUP(B2709&amp;I2709&amp;Q2709,'New Weekly Paste'!B:O,10,0)),0)</f>
        <v>96.38</v>
      </c>
      <c r="L2709" s="239">
        <f t="shared" si="25"/>
        <v>0</v>
      </c>
      <c r="M2709" s="36" t="str">
        <f t="shared" si="3"/>
        <v>Regular Season</v>
      </c>
      <c r="N2709" s="239" t="str">
        <f t="shared" si="26"/>
        <v>Ewert</v>
      </c>
      <c r="O2709" s="6">
        <f>VLOOKUP(D2709,'Mapped Opponent'!$G$4:$H$22,2,0)</f>
        <v>7</v>
      </c>
      <c r="P2709" s="6"/>
      <c r="Q2709" s="6" t="str">
        <f t="shared" si="4"/>
        <v>Week 7</v>
      </c>
      <c r="R2709" s="6" t="str">
        <f t="shared" si="5"/>
        <v>2024Week 7</v>
      </c>
      <c r="S2709" s="6">
        <f>IFERROR(__xludf.DUMMYFUNCTION("rank(J2709,FILTER(J:J,R:R=R2709))"),6.0)</f>
        <v>6</v>
      </c>
      <c r="T2709" s="6">
        <f t="shared" si="6"/>
        <v>6</v>
      </c>
      <c r="U2709" s="6">
        <f t="shared" si="7"/>
        <v>6</v>
      </c>
      <c r="V2709" s="42">
        <f>averageif(AllData!A:A,B2709,AllData!R:R)/vlookup(B2709,AllData!A:O,15,0)</f>
        <v>94.42488095</v>
      </c>
      <c r="W2709" s="6"/>
    </row>
    <row r="2710" ht="14.25" customHeight="1">
      <c r="A2710" s="6" t="str">
        <f t="shared" si="28"/>
        <v>2024Cock7</v>
      </c>
      <c r="B2710" s="59">
        <v>2024.0</v>
      </c>
      <c r="C2710" s="13" t="s">
        <v>72</v>
      </c>
      <c r="D2710" s="13" t="s">
        <v>143</v>
      </c>
      <c r="E2710" s="34"/>
      <c r="F2710" s="6"/>
      <c r="H2710" s="6"/>
      <c r="I2710" s="35" t="str">
        <f>IFERROR(IFERROR(IFERROR(VLOOKUP(B2710&amp;C2710&amp;Q2710,'New Weekly Paste'!A:M,10,0),VLOOKUP(B2710&amp;C2710&amp;Q2710,'New Weekly Paste'!B:O,6,0)),""),"")</f>
        <v>Hudspeath</v>
      </c>
      <c r="J2710" s="259">
        <f>IFERROR(IFERROR(VLOOKUP(B2710&amp;C2710&amp;Q2710,'New Weekly Paste'!A:M,8,0),VLOOKUP(B2710&amp;C2710&amp;Q2710,'New Weekly Paste'!B:O,10,0)),0)</f>
        <v>64.68</v>
      </c>
      <c r="K2710" s="259">
        <f>IFERROR(IFERROR(VLOOKUP(B2710&amp;I2710&amp;Q2710,'New Weekly Paste'!A:M,8,0),VLOOKUP(B2710&amp;I2710&amp;Q2710,'New Weekly Paste'!B:O,10,0)),0)</f>
        <v>87</v>
      </c>
      <c r="L2710" s="239">
        <f t="shared" si="25"/>
        <v>0</v>
      </c>
      <c r="M2710" s="36" t="str">
        <f t="shared" si="3"/>
        <v>Regular Season</v>
      </c>
      <c r="N2710" s="239" t="str">
        <f t="shared" si="26"/>
        <v>Hudspeath</v>
      </c>
      <c r="O2710" s="6">
        <f>VLOOKUP(D2710,'Mapped Opponent'!$G$4:$H$22,2,0)</f>
        <v>7</v>
      </c>
      <c r="P2710" s="6"/>
      <c r="Q2710" s="6" t="str">
        <f t="shared" si="4"/>
        <v>Week 7</v>
      </c>
      <c r="R2710" s="6" t="str">
        <f t="shared" si="5"/>
        <v>2024Week 7</v>
      </c>
      <c r="S2710" s="6">
        <f>IFERROR(__xludf.DUMMYFUNCTION("rank(J2710,FILTER(J:J,R:R=R2710))"),12.0)</f>
        <v>12</v>
      </c>
      <c r="T2710" s="6">
        <f t="shared" si="6"/>
        <v>0</v>
      </c>
      <c r="U2710" s="6">
        <f t="shared" si="7"/>
        <v>12</v>
      </c>
      <c r="V2710" s="42">
        <f>averageif(AllData!A:A,B2710,AllData!R:R)/vlookup(B2710,AllData!A:O,15,0)</f>
        <v>94.42488095</v>
      </c>
      <c r="W2710" s="6"/>
    </row>
    <row r="2711" ht="14.25" customHeight="1">
      <c r="A2711" s="6" t="str">
        <f t="shared" si="28"/>
        <v>2024Tayski7</v>
      </c>
      <c r="B2711" s="59">
        <v>2024.0</v>
      </c>
      <c r="C2711" s="13" t="s">
        <v>52</v>
      </c>
      <c r="D2711" s="13" t="s">
        <v>143</v>
      </c>
      <c r="E2711" s="34"/>
      <c r="F2711" s="6"/>
      <c r="H2711" s="6"/>
      <c r="I2711" s="35" t="str">
        <f>IFERROR(IFERROR(IFERROR(VLOOKUP(B2711&amp;C2711&amp;Q2711,'New Weekly Paste'!A:M,10,0),VLOOKUP(B2711&amp;C2711&amp;Q2711,'New Weekly Paste'!B:O,6,0)),""),"")</f>
        <v>Shep</v>
      </c>
      <c r="J2711" s="259">
        <f>IFERROR(IFERROR(VLOOKUP(B2711&amp;C2711&amp;Q2711,'New Weekly Paste'!A:M,8,0),VLOOKUP(B2711&amp;C2711&amp;Q2711,'New Weekly Paste'!B:O,10,0)),0)</f>
        <v>107.42</v>
      </c>
      <c r="K2711" s="259">
        <f>IFERROR(IFERROR(VLOOKUP(B2711&amp;I2711&amp;Q2711,'New Weekly Paste'!A:M,8,0),VLOOKUP(B2711&amp;I2711&amp;Q2711,'New Weekly Paste'!B:O,10,0)),0)</f>
        <v>93.94</v>
      </c>
      <c r="L2711" s="239">
        <f t="shared" si="25"/>
        <v>1</v>
      </c>
      <c r="M2711" s="36" t="str">
        <f t="shared" si="3"/>
        <v>Regular Season</v>
      </c>
      <c r="N2711" s="239" t="str">
        <f t="shared" si="26"/>
        <v>Shep</v>
      </c>
      <c r="O2711" s="6">
        <f>VLOOKUP(D2711,'Mapped Opponent'!$G$4:$H$22,2,0)</f>
        <v>7</v>
      </c>
      <c r="P2711" s="6"/>
      <c r="Q2711" s="6" t="str">
        <f t="shared" si="4"/>
        <v>Week 7</v>
      </c>
      <c r="R2711" s="6" t="str">
        <f t="shared" si="5"/>
        <v>2024Week 7</v>
      </c>
      <c r="S2711" s="6">
        <f>IFERROR(__xludf.DUMMYFUNCTION("rank(J2711,FILTER(J:J,R:R=R2711))"),1.0)</f>
        <v>1</v>
      </c>
      <c r="T2711" s="6">
        <f t="shared" si="6"/>
        <v>11</v>
      </c>
      <c r="U2711" s="6">
        <f t="shared" si="7"/>
        <v>1</v>
      </c>
      <c r="V2711" s="42">
        <f>averageif(AllData!A:A,B2711,AllData!R:R)/vlookup(B2711,AllData!A:O,15,0)</f>
        <v>94.42488095</v>
      </c>
      <c r="W2711" s="6"/>
    </row>
    <row r="2712" ht="14.25" customHeight="1">
      <c r="A2712" s="6" t="str">
        <f t="shared" si="28"/>
        <v>2024KnardDawg7</v>
      </c>
      <c r="B2712" s="59">
        <v>2024.0</v>
      </c>
      <c r="C2712" s="13" t="s">
        <v>86</v>
      </c>
      <c r="D2712" s="13" t="s">
        <v>143</v>
      </c>
      <c r="E2712" s="34"/>
      <c r="F2712" s="6"/>
      <c r="H2712" s="6"/>
      <c r="I2712" s="35" t="str">
        <f>IFERROR(IFERROR(IFERROR(VLOOKUP(B2712&amp;C2712&amp;Q2712,'New Weekly Paste'!A:M,10,0),VLOOKUP(B2712&amp;C2712&amp;Q2712,'New Weekly Paste'!B:O,6,0)),""),"")</f>
        <v>T-How</v>
      </c>
      <c r="J2712" s="259">
        <f>IFERROR(IFERROR(VLOOKUP(B2712&amp;C2712&amp;Q2712,'New Weekly Paste'!A:M,8,0),VLOOKUP(B2712&amp;C2712&amp;Q2712,'New Weekly Paste'!B:O,10,0)),0)</f>
        <v>92.08</v>
      </c>
      <c r="K2712" s="259">
        <f>IFERROR(IFERROR(VLOOKUP(B2712&amp;I2712&amp;Q2712,'New Weekly Paste'!A:M,8,0),VLOOKUP(B2712&amp;I2712&amp;Q2712,'New Weekly Paste'!B:O,10,0)),0)</f>
        <v>86.76</v>
      </c>
      <c r="L2712" s="239">
        <f t="shared" si="25"/>
        <v>1</v>
      </c>
      <c r="M2712" s="36" t="str">
        <f t="shared" si="3"/>
        <v>Regular Season</v>
      </c>
      <c r="N2712" s="239" t="str">
        <f t="shared" si="26"/>
        <v>T-How</v>
      </c>
      <c r="O2712" s="6">
        <f>VLOOKUP(D2712,'Mapped Opponent'!$G$4:$H$22,2,0)</f>
        <v>7</v>
      </c>
      <c r="P2712" s="6"/>
      <c r="Q2712" s="6" t="str">
        <f t="shared" si="4"/>
        <v>Week 7</v>
      </c>
      <c r="R2712" s="6" t="str">
        <f t="shared" si="5"/>
        <v>2024Week 7</v>
      </c>
      <c r="S2712" s="6">
        <f>IFERROR(__xludf.DUMMYFUNCTION("rank(J2712,FILTER(J:J,R:R=R2712))"),8.0)</f>
        <v>8</v>
      </c>
      <c r="T2712" s="6">
        <f t="shared" si="6"/>
        <v>4</v>
      </c>
      <c r="U2712" s="6">
        <f t="shared" si="7"/>
        <v>8</v>
      </c>
      <c r="V2712" s="42">
        <f>averageif(AllData!A:A,B2712,AllData!R:R)/vlookup(B2712,AllData!A:O,15,0)</f>
        <v>94.42488095</v>
      </c>
      <c r="W2712" s="6"/>
    </row>
    <row r="2713" ht="14.25" customHeight="1">
      <c r="A2713" s="6" t="str">
        <f t="shared" si="28"/>
        <v>2024T-How7</v>
      </c>
      <c r="B2713" s="59">
        <v>2024.0</v>
      </c>
      <c r="C2713" s="13" t="s">
        <v>82</v>
      </c>
      <c r="D2713" s="13" t="s">
        <v>143</v>
      </c>
      <c r="E2713" s="34"/>
      <c r="F2713" s="6"/>
      <c r="H2713" s="6"/>
      <c r="I2713" s="35" t="str">
        <f>IFERROR(IFERROR(IFERROR(VLOOKUP(B2713&amp;C2713&amp;Q2713,'New Weekly Paste'!A:M,10,0),VLOOKUP(B2713&amp;C2713&amp;Q2713,'New Weekly Paste'!B:O,6,0)),""),"")</f>
        <v>KnardDawg</v>
      </c>
      <c r="J2713" s="259">
        <f>IFERROR(IFERROR(VLOOKUP(B2713&amp;C2713&amp;Q2713,'New Weekly Paste'!A:M,8,0),VLOOKUP(B2713&amp;C2713&amp;Q2713,'New Weekly Paste'!B:O,10,0)),0)</f>
        <v>86.76</v>
      </c>
      <c r="K2713" s="259">
        <f>IFERROR(IFERROR(VLOOKUP(B2713&amp;I2713&amp;Q2713,'New Weekly Paste'!A:M,8,0),VLOOKUP(B2713&amp;I2713&amp;Q2713,'New Weekly Paste'!B:O,10,0)),0)</f>
        <v>92.08</v>
      </c>
      <c r="L2713" s="239">
        <f t="shared" si="25"/>
        <v>0</v>
      </c>
      <c r="M2713" s="36" t="str">
        <f t="shared" si="3"/>
        <v>Regular Season</v>
      </c>
      <c r="N2713" s="239" t="str">
        <f t="shared" si="26"/>
        <v>KnardDawg</v>
      </c>
      <c r="O2713" s="6">
        <f>VLOOKUP(D2713,'Mapped Opponent'!$G$4:$H$22,2,0)</f>
        <v>7</v>
      </c>
      <c r="P2713" s="6"/>
      <c r="Q2713" s="6" t="str">
        <f t="shared" si="4"/>
        <v>Week 7</v>
      </c>
      <c r="R2713" s="6" t="str">
        <f t="shared" si="5"/>
        <v>2024Week 7</v>
      </c>
      <c r="S2713" s="6">
        <f>IFERROR(__xludf.DUMMYFUNCTION("rank(J2713,FILTER(J:J,R:R=R2713))"),11.0)</f>
        <v>11</v>
      </c>
      <c r="T2713" s="6">
        <f t="shared" si="6"/>
        <v>1</v>
      </c>
      <c r="U2713" s="6">
        <f t="shared" si="7"/>
        <v>11</v>
      </c>
      <c r="V2713" s="42">
        <f>averageif(AllData!A:A,B2713,AllData!R:R)/vlookup(B2713,AllData!A:O,15,0)</f>
        <v>94.42488095</v>
      </c>
      <c r="W2713" s="6"/>
    </row>
    <row r="2714" ht="14.25" customHeight="1">
      <c r="A2714" s="6" t="str">
        <f t="shared" si="28"/>
        <v>2024Hudspeath8</v>
      </c>
      <c r="B2714" s="59">
        <v>2024.0</v>
      </c>
      <c r="C2714" s="13" t="s">
        <v>39</v>
      </c>
      <c r="D2714" s="13" t="s">
        <v>145</v>
      </c>
      <c r="E2714" s="34"/>
      <c r="F2714" s="6"/>
      <c r="H2714" s="6"/>
      <c r="I2714" s="35" t="str">
        <f>IFERROR(IFERROR(IFERROR(VLOOKUP(B2714&amp;C2714&amp;Q2714,'New Weekly Paste'!A:M,10,0),VLOOKUP(B2714&amp;C2714&amp;Q2714,'New Weekly Paste'!B:O,6,0)),""),"")</f>
        <v>Pierson</v>
      </c>
      <c r="J2714" s="259">
        <f>IFERROR(IFERROR(VLOOKUP(B2714&amp;C2714&amp;Q2714,'New Weekly Paste'!A:M,8,0),VLOOKUP(B2714&amp;C2714&amp;Q2714,'New Weekly Paste'!B:O,10,0)),0)</f>
        <v>120.2</v>
      </c>
      <c r="K2714" s="259">
        <f>IFERROR(IFERROR(VLOOKUP(B2714&amp;I2714&amp;Q2714,'New Weekly Paste'!A:M,8,0),VLOOKUP(B2714&amp;I2714&amp;Q2714,'New Weekly Paste'!B:O,10,0)),0)</f>
        <v>118.86</v>
      </c>
      <c r="L2714" s="239">
        <f t="shared" si="25"/>
        <v>1</v>
      </c>
      <c r="M2714" s="36" t="str">
        <f t="shared" si="3"/>
        <v>Regular Season</v>
      </c>
      <c r="N2714" s="239" t="str">
        <f t="shared" si="26"/>
        <v>Pierson</v>
      </c>
      <c r="O2714" s="6">
        <f>VLOOKUP(D2714,'Mapped Opponent'!$G$4:$H$22,2,0)</f>
        <v>8</v>
      </c>
      <c r="P2714" s="6"/>
      <c r="Q2714" s="6" t="str">
        <f t="shared" si="4"/>
        <v>Week 8</v>
      </c>
      <c r="R2714" s="6" t="str">
        <f t="shared" si="5"/>
        <v>2024Week 8</v>
      </c>
      <c r="S2714" s="6">
        <f>IFERROR(__xludf.DUMMYFUNCTION("rank(J2714,FILTER(J:J,R:R=R2714))"),3.0)</f>
        <v>3</v>
      </c>
      <c r="T2714" s="6">
        <f t="shared" si="6"/>
        <v>9</v>
      </c>
      <c r="U2714" s="6">
        <f t="shared" si="7"/>
        <v>3</v>
      </c>
      <c r="V2714" s="42">
        <f>averageif(AllData!A:A,B2714,AllData!R:R)/vlookup(B2714,AllData!A:O,15,0)</f>
        <v>94.42488095</v>
      </c>
      <c r="W2714" s="6"/>
    </row>
    <row r="2715" ht="14.25" customHeight="1">
      <c r="A2715" s="6" t="str">
        <f t="shared" si="28"/>
        <v>2024Salty8</v>
      </c>
      <c r="B2715" s="59">
        <v>2024.0</v>
      </c>
      <c r="C2715" s="13" t="s">
        <v>76</v>
      </c>
      <c r="D2715" s="13" t="s">
        <v>145</v>
      </c>
      <c r="E2715" s="34"/>
      <c r="F2715" s="6"/>
      <c r="H2715" s="6"/>
      <c r="I2715" s="35" t="str">
        <f>IFERROR(IFERROR(IFERROR(VLOOKUP(B2715&amp;C2715&amp;Q2715,'New Weekly Paste'!A:M,10,0),VLOOKUP(B2715&amp;C2715&amp;Q2715,'New Weekly Paste'!B:O,6,0)),""),"")</f>
        <v>T-How</v>
      </c>
      <c r="J2715" s="259">
        <f>IFERROR(IFERROR(VLOOKUP(B2715&amp;C2715&amp;Q2715,'New Weekly Paste'!A:M,8,0),VLOOKUP(B2715&amp;C2715&amp;Q2715,'New Weekly Paste'!B:O,10,0)),0)</f>
        <v>85.88</v>
      </c>
      <c r="K2715" s="259">
        <f>IFERROR(IFERROR(VLOOKUP(B2715&amp;I2715&amp;Q2715,'New Weekly Paste'!A:M,8,0),VLOOKUP(B2715&amp;I2715&amp;Q2715,'New Weekly Paste'!B:O,10,0)),0)</f>
        <v>121.06</v>
      </c>
      <c r="L2715" s="239">
        <f t="shared" si="25"/>
        <v>0</v>
      </c>
      <c r="M2715" s="36" t="str">
        <f t="shared" si="3"/>
        <v>Regular Season</v>
      </c>
      <c r="N2715" s="239" t="str">
        <f t="shared" si="26"/>
        <v>T-How</v>
      </c>
      <c r="O2715" s="6">
        <f>VLOOKUP(D2715,'Mapped Opponent'!$G$4:$H$22,2,0)</f>
        <v>8</v>
      </c>
      <c r="P2715" s="6"/>
      <c r="Q2715" s="6" t="str">
        <f t="shared" si="4"/>
        <v>Week 8</v>
      </c>
      <c r="R2715" s="6" t="str">
        <f t="shared" si="5"/>
        <v>2024Week 8</v>
      </c>
      <c r="S2715" s="6">
        <f>IFERROR(__xludf.DUMMYFUNCTION("rank(J2715,FILTER(J:J,R:R=R2715))"),9.0)</f>
        <v>9</v>
      </c>
      <c r="T2715" s="6">
        <f t="shared" si="6"/>
        <v>3</v>
      </c>
      <c r="U2715" s="6">
        <f t="shared" si="7"/>
        <v>9</v>
      </c>
      <c r="V2715" s="42">
        <f>averageif(AllData!A:A,B2715,AllData!R:R)/vlookup(B2715,AllData!A:O,15,0)</f>
        <v>94.42488095</v>
      </c>
      <c r="W2715" s="6"/>
    </row>
    <row r="2716" ht="14.25" customHeight="1">
      <c r="A2716" s="6" t="str">
        <f t="shared" si="28"/>
        <v>2024Ewert8</v>
      </c>
      <c r="B2716" s="59">
        <v>2024.0</v>
      </c>
      <c r="C2716" s="13" t="s">
        <v>108</v>
      </c>
      <c r="D2716" s="13" t="s">
        <v>145</v>
      </c>
      <c r="E2716" s="34"/>
      <c r="F2716" s="6"/>
      <c r="H2716" s="6"/>
      <c r="I2716" s="35" t="str">
        <f>IFERROR(IFERROR(IFERROR(VLOOKUP(B2716&amp;C2716&amp;Q2716,'New Weekly Paste'!A:M,10,0),VLOOKUP(B2716&amp;C2716&amp;Q2716,'New Weekly Paste'!B:O,6,0)),""),"")</f>
        <v>Shep</v>
      </c>
      <c r="J2716" s="259">
        <f>IFERROR(IFERROR(VLOOKUP(B2716&amp;C2716&amp;Q2716,'New Weekly Paste'!A:M,8,0),VLOOKUP(B2716&amp;C2716&amp;Q2716,'New Weekly Paste'!B:O,10,0)),0)</f>
        <v>84.78</v>
      </c>
      <c r="K2716" s="259">
        <f>IFERROR(IFERROR(VLOOKUP(B2716&amp;I2716&amp;Q2716,'New Weekly Paste'!A:M,8,0),VLOOKUP(B2716&amp;I2716&amp;Q2716,'New Weekly Paste'!B:O,10,0)),0)</f>
        <v>72.3</v>
      </c>
      <c r="L2716" s="239">
        <f t="shared" si="25"/>
        <v>1</v>
      </c>
      <c r="M2716" s="36" t="str">
        <f t="shared" si="3"/>
        <v>Regular Season</v>
      </c>
      <c r="N2716" s="239" t="str">
        <f t="shared" si="26"/>
        <v>Shep</v>
      </c>
      <c r="O2716" s="6">
        <f>VLOOKUP(D2716,'Mapped Opponent'!$G$4:$H$22,2,0)</f>
        <v>8</v>
      </c>
      <c r="P2716" s="6"/>
      <c r="Q2716" s="6" t="str">
        <f t="shared" si="4"/>
        <v>Week 8</v>
      </c>
      <c r="R2716" s="6" t="str">
        <f t="shared" si="5"/>
        <v>2024Week 8</v>
      </c>
      <c r="S2716" s="6">
        <f>IFERROR(__xludf.DUMMYFUNCTION("rank(J2716,FILTER(J:J,R:R=R2716))"),10.0)</f>
        <v>10</v>
      </c>
      <c r="T2716" s="6">
        <f t="shared" si="6"/>
        <v>2</v>
      </c>
      <c r="U2716" s="6">
        <f t="shared" si="7"/>
        <v>10</v>
      </c>
      <c r="V2716" s="42">
        <f>averageif(AllData!A:A,B2716,AllData!R:R)/vlookup(B2716,AllData!A:O,15,0)</f>
        <v>94.42488095</v>
      </c>
      <c r="W2716" s="6"/>
    </row>
    <row r="2717" ht="14.25" customHeight="1">
      <c r="A2717" s="6" t="str">
        <f t="shared" si="28"/>
        <v>2024Shep8</v>
      </c>
      <c r="B2717" s="59">
        <v>2024.0</v>
      </c>
      <c r="C2717" s="13" t="s">
        <v>89</v>
      </c>
      <c r="D2717" s="13" t="s">
        <v>145</v>
      </c>
      <c r="E2717" s="34"/>
      <c r="F2717" s="6"/>
      <c r="H2717" s="6"/>
      <c r="I2717" s="35" t="str">
        <f>IFERROR(IFERROR(IFERROR(VLOOKUP(B2717&amp;C2717&amp;Q2717,'New Weekly Paste'!A:M,10,0),VLOOKUP(B2717&amp;C2717&amp;Q2717,'New Weekly Paste'!B:O,6,0)),""),"")</f>
        <v>Ewert</v>
      </c>
      <c r="J2717" s="259">
        <f>IFERROR(IFERROR(VLOOKUP(B2717&amp;C2717&amp;Q2717,'New Weekly Paste'!A:M,8,0),VLOOKUP(B2717&amp;C2717&amp;Q2717,'New Weekly Paste'!B:O,10,0)),0)</f>
        <v>72.3</v>
      </c>
      <c r="K2717" s="259">
        <f>IFERROR(IFERROR(VLOOKUP(B2717&amp;I2717&amp;Q2717,'New Weekly Paste'!A:M,8,0),VLOOKUP(B2717&amp;I2717&amp;Q2717,'New Weekly Paste'!B:O,10,0)),0)</f>
        <v>84.78</v>
      </c>
      <c r="L2717" s="239">
        <f t="shared" si="25"/>
        <v>0</v>
      </c>
      <c r="M2717" s="36" t="str">
        <f t="shared" si="3"/>
        <v>Regular Season</v>
      </c>
      <c r="N2717" s="239" t="str">
        <f t="shared" si="26"/>
        <v>Ewert</v>
      </c>
      <c r="O2717" s="6">
        <f>VLOOKUP(D2717,'Mapped Opponent'!$G$4:$H$22,2,0)</f>
        <v>8</v>
      </c>
      <c r="P2717" s="6"/>
      <c r="Q2717" s="6" t="str">
        <f t="shared" si="4"/>
        <v>Week 8</v>
      </c>
      <c r="R2717" s="6" t="str">
        <f t="shared" si="5"/>
        <v>2024Week 8</v>
      </c>
      <c r="S2717" s="6">
        <f>IFERROR(__xludf.DUMMYFUNCTION("rank(J2717,FILTER(J:J,R:R=R2717))"),12.0)</f>
        <v>12</v>
      </c>
      <c r="T2717" s="6">
        <f t="shared" si="6"/>
        <v>0</v>
      </c>
      <c r="U2717" s="6">
        <f t="shared" si="7"/>
        <v>12</v>
      </c>
      <c r="V2717" s="42">
        <f>averageif(AllData!A:A,B2717,AllData!R:R)/vlookup(B2717,AllData!A:O,15,0)</f>
        <v>94.42488095</v>
      </c>
      <c r="W2717" s="6"/>
    </row>
    <row r="2718" ht="14.25" customHeight="1">
      <c r="A2718" s="6" t="str">
        <f t="shared" si="28"/>
        <v>2024Riley8</v>
      </c>
      <c r="B2718" s="59">
        <v>2024.0</v>
      </c>
      <c r="C2718" s="13" t="s">
        <v>67</v>
      </c>
      <c r="D2718" s="13" t="s">
        <v>145</v>
      </c>
      <c r="E2718" s="34"/>
      <c r="F2718" s="6"/>
      <c r="H2718" s="6"/>
      <c r="I2718" s="35" t="str">
        <f>IFERROR(IFERROR(IFERROR(VLOOKUP(B2718&amp;C2718&amp;Q2718,'New Weekly Paste'!A:M,10,0),VLOOKUP(B2718&amp;C2718&amp;Q2718,'New Weekly Paste'!B:O,6,0)),""),"")</f>
        <v>Buser</v>
      </c>
      <c r="J2718" s="259">
        <f>IFERROR(IFERROR(VLOOKUP(B2718&amp;C2718&amp;Q2718,'New Weekly Paste'!A:M,8,0),VLOOKUP(B2718&amp;C2718&amp;Q2718,'New Weekly Paste'!B:O,10,0)),0)</f>
        <v>118.38</v>
      </c>
      <c r="K2718" s="259">
        <f>IFERROR(IFERROR(VLOOKUP(B2718&amp;I2718&amp;Q2718,'New Weekly Paste'!A:M,8,0),VLOOKUP(B2718&amp;I2718&amp;Q2718,'New Weekly Paste'!B:O,10,0)),0)</f>
        <v>121.24</v>
      </c>
      <c r="L2718" s="239">
        <f t="shared" si="25"/>
        <v>0</v>
      </c>
      <c r="M2718" s="36" t="str">
        <f t="shared" si="3"/>
        <v>Regular Season</v>
      </c>
      <c r="N2718" s="239" t="str">
        <f t="shared" si="26"/>
        <v>Buser</v>
      </c>
      <c r="O2718" s="6">
        <f>VLOOKUP(D2718,'Mapped Opponent'!$G$4:$H$22,2,0)</f>
        <v>8</v>
      </c>
      <c r="P2718" s="6"/>
      <c r="Q2718" s="6" t="str">
        <f t="shared" si="4"/>
        <v>Week 8</v>
      </c>
      <c r="R2718" s="6" t="str">
        <f t="shared" si="5"/>
        <v>2024Week 8</v>
      </c>
      <c r="S2718" s="6">
        <f>IFERROR(__xludf.DUMMYFUNCTION("rank(J2718,FILTER(J:J,R:R=R2718))"),5.0)</f>
        <v>5</v>
      </c>
      <c r="T2718" s="6">
        <f t="shared" si="6"/>
        <v>7</v>
      </c>
      <c r="U2718" s="6">
        <f t="shared" si="7"/>
        <v>5</v>
      </c>
      <c r="V2718" s="42">
        <f>averageif(AllData!A:A,B2718,AllData!R:R)/vlookup(B2718,AllData!A:O,15,0)</f>
        <v>94.42488095</v>
      </c>
      <c r="W2718" s="6"/>
    </row>
    <row r="2719" ht="14.25" customHeight="1">
      <c r="A2719" s="6" t="str">
        <f t="shared" si="28"/>
        <v>2024Rooney/Jackson8</v>
      </c>
      <c r="B2719" s="59">
        <v>2024.0</v>
      </c>
      <c r="C2719" s="13" t="s">
        <v>57</v>
      </c>
      <c r="D2719" s="13" t="s">
        <v>145</v>
      </c>
      <c r="E2719" s="34"/>
      <c r="F2719" s="6"/>
      <c r="H2719" s="6"/>
      <c r="I2719" s="35" t="str">
        <f>IFERROR(IFERROR(IFERROR(VLOOKUP(B2719&amp;C2719&amp;Q2719,'New Weekly Paste'!A:M,10,0),VLOOKUP(B2719&amp;C2719&amp;Q2719,'New Weekly Paste'!B:O,6,0)),""),"")</f>
        <v>Tayski</v>
      </c>
      <c r="J2719" s="259">
        <f>IFERROR(IFERROR(VLOOKUP(B2719&amp;C2719&amp;Q2719,'New Weekly Paste'!A:M,8,0),VLOOKUP(B2719&amp;C2719&amp;Q2719,'New Weekly Paste'!B:O,10,0)),0)</f>
        <v>106.64</v>
      </c>
      <c r="K2719" s="259">
        <f>IFERROR(IFERROR(VLOOKUP(B2719&amp;I2719&amp;Q2719,'New Weekly Paste'!A:M,8,0),VLOOKUP(B2719&amp;I2719&amp;Q2719,'New Weekly Paste'!B:O,10,0)),0)</f>
        <v>103.12</v>
      </c>
      <c r="L2719" s="239">
        <f t="shared" si="25"/>
        <v>1</v>
      </c>
      <c r="M2719" s="36" t="str">
        <f t="shared" si="3"/>
        <v>Regular Season</v>
      </c>
      <c r="N2719" s="239" t="str">
        <f t="shared" si="26"/>
        <v>Tayski</v>
      </c>
      <c r="O2719" s="6">
        <f>VLOOKUP(D2719,'Mapped Opponent'!$G$4:$H$22,2,0)</f>
        <v>8</v>
      </c>
      <c r="P2719" s="6"/>
      <c r="Q2719" s="6" t="str">
        <f t="shared" si="4"/>
        <v>Week 8</v>
      </c>
      <c r="R2719" s="6" t="str">
        <f t="shared" si="5"/>
        <v>2024Week 8</v>
      </c>
      <c r="S2719" s="6">
        <f>IFERROR(__xludf.DUMMYFUNCTION("rank(J2719,FILTER(J:J,R:R=R2719))"),7.0)</f>
        <v>7</v>
      </c>
      <c r="T2719" s="6">
        <f t="shared" si="6"/>
        <v>5</v>
      </c>
      <c r="U2719" s="6">
        <f t="shared" si="7"/>
        <v>7</v>
      </c>
      <c r="V2719" s="42">
        <f>averageif(AllData!A:A,B2719,AllData!R:R)/vlookup(B2719,AllData!A:O,15,0)</f>
        <v>94.42488095</v>
      </c>
      <c r="W2719" s="6"/>
    </row>
    <row r="2720" ht="14.25" customHeight="1">
      <c r="A2720" s="6" t="str">
        <f t="shared" si="28"/>
        <v>2024Buser8</v>
      </c>
      <c r="B2720" s="59">
        <v>2024.0</v>
      </c>
      <c r="C2720" s="13" t="s">
        <v>47</v>
      </c>
      <c r="D2720" s="13" t="s">
        <v>145</v>
      </c>
      <c r="E2720" s="34"/>
      <c r="F2720" s="6"/>
      <c r="H2720" s="6"/>
      <c r="I2720" s="35" t="str">
        <f>IFERROR(IFERROR(IFERROR(VLOOKUP(B2720&amp;C2720&amp;Q2720,'New Weekly Paste'!A:M,10,0),VLOOKUP(B2720&amp;C2720&amp;Q2720,'New Weekly Paste'!B:O,6,0)),""),"")</f>
        <v>Riley</v>
      </c>
      <c r="J2720" s="259">
        <f>IFERROR(IFERROR(VLOOKUP(B2720&amp;C2720&amp;Q2720,'New Weekly Paste'!A:M,8,0),VLOOKUP(B2720&amp;C2720&amp;Q2720,'New Weekly Paste'!B:O,10,0)),0)</f>
        <v>121.24</v>
      </c>
      <c r="K2720" s="259">
        <f>IFERROR(IFERROR(VLOOKUP(B2720&amp;I2720&amp;Q2720,'New Weekly Paste'!A:M,8,0),VLOOKUP(B2720&amp;I2720&amp;Q2720,'New Weekly Paste'!B:O,10,0)),0)</f>
        <v>118.38</v>
      </c>
      <c r="L2720" s="239">
        <f t="shared" si="25"/>
        <v>1</v>
      </c>
      <c r="M2720" s="36" t="str">
        <f t="shared" si="3"/>
        <v>Regular Season</v>
      </c>
      <c r="N2720" s="239" t="str">
        <f t="shared" si="26"/>
        <v>Riley</v>
      </c>
      <c r="O2720" s="6">
        <f>VLOOKUP(D2720,'Mapped Opponent'!$G$4:$H$22,2,0)</f>
        <v>8</v>
      </c>
      <c r="P2720" s="6"/>
      <c r="Q2720" s="6" t="str">
        <f t="shared" si="4"/>
        <v>Week 8</v>
      </c>
      <c r="R2720" s="6" t="str">
        <f t="shared" si="5"/>
        <v>2024Week 8</v>
      </c>
      <c r="S2720" s="6">
        <f>IFERROR(__xludf.DUMMYFUNCTION("rank(J2720,FILTER(J:J,R:R=R2720))"),1.0)</f>
        <v>1</v>
      </c>
      <c r="T2720" s="6">
        <f t="shared" si="6"/>
        <v>11</v>
      </c>
      <c r="U2720" s="6">
        <f t="shared" si="7"/>
        <v>1</v>
      </c>
      <c r="V2720" s="42">
        <f>averageif(AllData!A:A,B2720,AllData!R:R)/vlookup(B2720,AllData!A:O,15,0)</f>
        <v>94.42488095</v>
      </c>
      <c r="W2720" s="6"/>
    </row>
    <row r="2721" ht="14.25" customHeight="1">
      <c r="A2721" s="6" t="str">
        <f t="shared" si="28"/>
        <v>2024Pierson8</v>
      </c>
      <c r="B2721" s="59">
        <v>2024.0</v>
      </c>
      <c r="C2721" s="13" t="s">
        <v>92</v>
      </c>
      <c r="D2721" s="13" t="s">
        <v>145</v>
      </c>
      <c r="E2721" s="34"/>
      <c r="F2721" s="6"/>
      <c r="H2721" s="6"/>
      <c r="I2721" s="35" t="str">
        <f>IFERROR(IFERROR(IFERROR(VLOOKUP(B2721&amp;C2721&amp;Q2721,'New Weekly Paste'!A:M,10,0),VLOOKUP(B2721&amp;C2721&amp;Q2721,'New Weekly Paste'!B:O,6,0)),""),"")</f>
        <v>Hudspeath</v>
      </c>
      <c r="J2721" s="259">
        <f>IFERROR(IFERROR(VLOOKUP(B2721&amp;C2721&amp;Q2721,'New Weekly Paste'!A:M,8,0),VLOOKUP(B2721&amp;C2721&amp;Q2721,'New Weekly Paste'!B:O,10,0)),0)</f>
        <v>118.86</v>
      </c>
      <c r="K2721" s="259">
        <f>IFERROR(IFERROR(VLOOKUP(B2721&amp;I2721&amp;Q2721,'New Weekly Paste'!A:M,8,0),VLOOKUP(B2721&amp;I2721&amp;Q2721,'New Weekly Paste'!B:O,10,0)),0)</f>
        <v>120.2</v>
      </c>
      <c r="L2721" s="239">
        <f t="shared" si="25"/>
        <v>0</v>
      </c>
      <c r="M2721" s="36" t="str">
        <f t="shared" si="3"/>
        <v>Regular Season</v>
      </c>
      <c r="N2721" s="239" t="str">
        <f t="shared" si="26"/>
        <v>Hudspeath</v>
      </c>
      <c r="O2721" s="6">
        <f>VLOOKUP(D2721,'Mapped Opponent'!$G$4:$H$22,2,0)</f>
        <v>8</v>
      </c>
      <c r="P2721" s="6"/>
      <c r="Q2721" s="6" t="str">
        <f t="shared" si="4"/>
        <v>Week 8</v>
      </c>
      <c r="R2721" s="6" t="str">
        <f t="shared" si="5"/>
        <v>2024Week 8</v>
      </c>
      <c r="S2721" s="6">
        <f>IFERROR(__xludf.DUMMYFUNCTION("rank(J2721,FILTER(J:J,R:R=R2721))"),4.0)</f>
        <v>4</v>
      </c>
      <c r="T2721" s="6">
        <f t="shared" si="6"/>
        <v>8</v>
      </c>
      <c r="U2721" s="6">
        <f t="shared" si="7"/>
        <v>4</v>
      </c>
      <c r="V2721" s="42">
        <f>averageif(AllData!A:A,B2721,AllData!R:R)/vlookup(B2721,AllData!A:O,15,0)</f>
        <v>94.42488095</v>
      </c>
      <c r="W2721" s="6"/>
    </row>
    <row r="2722" ht="14.25" customHeight="1">
      <c r="A2722" s="6" t="str">
        <f t="shared" si="28"/>
        <v>2024Cock8</v>
      </c>
      <c r="B2722" s="59">
        <v>2024.0</v>
      </c>
      <c r="C2722" s="13" t="s">
        <v>72</v>
      </c>
      <c r="D2722" s="13" t="s">
        <v>145</v>
      </c>
      <c r="E2722" s="34"/>
      <c r="F2722" s="6"/>
      <c r="H2722" s="6"/>
      <c r="I2722" s="35" t="str">
        <f>IFERROR(IFERROR(IFERROR(VLOOKUP(B2722&amp;C2722&amp;Q2722,'New Weekly Paste'!A:M,10,0),VLOOKUP(B2722&amp;C2722&amp;Q2722,'New Weekly Paste'!B:O,6,0)),""),"")</f>
        <v>KnardDawg</v>
      </c>
      <c r="J2722" s="259">
        <f>IFERROR(IFERROR(VLOOKUP(B2722&amp;C2722&amp;Q2722,'New Weekly Paste'!A:M,8,0),VLOOKUP(B2722&amp;C2722&amp;Q2722,'New Weekly Paste'!B:O,10,0)),0)</f>
        <v>117</v>
      </c>
      <c r="K2722" s="259">
        <f>IFERROR(IFERROR(VLOOKUP(B2722&amp;I2722&amp;Q2722,'New Weekly Paste'!A:M,8,0),VLOOKUP(B2722&amp;I2722&amp;Q2722,'New Weekly Paste'!B:O,10,0)),0)</f>
        <v>73.14</v>
      </c>
      <c r="L2722" s="239">
        <f t="shared" si="25"/>
        <v>1</v>
      </c>
      <c r="M2722" s="36" t="str">
        <f t="shared" si="3"/>
        <v>Regular Season</v>
      </c>
      <c r="N2722" s="239" t="str">
        <f t="shared" si="26"/>
        <v>KnardDawg</v>
      </c>
      <c r="O2722" s="6">
        <f>VLOOKUP(D2722,'Mapped Opponent'!$G$4:$H$22,2,0)</f>
        <v>8</v>
      </c>
      <c r="P2722" s="6"/>
      <c r="Q2722" s="6" t="str">
        <f t="shared" si="4"/>
        <v>Week 8</v>
      </c>
      <c r="R2722" s="6" t="str">
        <f t="shared" si="5"/>
        <v>2024Week 8</v>
      </c>
      <c r="S2722" s="6">
        <f>IFERROR(__xludf.DUMMYFUNCTION("rank(J2722,FILTER(J:J,R:R=R2722))"),6.0)</f>
        <v>6</v>
      </c>
      <c r="T2722" s="6">
        <f t="shared" si="6"/>
        <v>6</v>
      </c>
      <c r="U2722" s="6">
        <f t="shared" si="7"/>
        <v>6</v>
      </c>
      <c r="V2722" s="42">
        <f>averageif(AllData!A:A,B2722,AllData!R:R)/vlookup(B2722,AllData!A:O,15,0)</f>
        <v>94.42488095</v>
      </c>
      <c r="W2722" s="6"/>
    </row>
    <row r="2723" ht="14.25" customHeight="1">
      <c r="A2723" s="6" t="str">
        <f t="shared" si="28"/>
        <v>2024Tayski8</v>
      </c>
      <c r="B2723" s="59">
        <v>2024.0</v>
      </c>
      <c r="C2723" s="13" t="s">
        <v>52</v>
      </c>
      <c r="D2723" s="13" t="s">
        <v>145</v>
      </c>
      <c r="E2723" s="34"/>
      <c r="F2723" s="6"/>
      <c r="H2723" s="6"/>
      <c r="I2723" s="35" t="str">
        <f>IFERROR(IFERROR(IFERROR(VLOOKUP(B2723&amp;C2723&amp;Q2723,'New Weekly Paste'!A:M,10,0),VLOOKUP(B2723&amp;C2723&amp;Q2723,'New Weekly Paste'!B:O,6,0)),""),"")</f>
        <v>Rooney/Jackson</v>
      </c>
      <c r="J2723" s="259">
        <f>IFERROR(IFERROR(VLOOKUP(B2723&amp;C2723&amp;Q2723,'New Weekly Paste'!A:M,8,0),VLOOKUP(B2723&amp;C2723&amp;Q2723,'New Weekly Paste'!B:O,10,0)),0)</f>
        <v>103.12</v>
      </c>
      <c r="K2723" s="259">
        <f>IFERROR(IFERROR(VLOOKUP(B2723&amp;I2723&amp;Q2723,'New Weekly Paste'!A:M,8,0),VLOOKUP(B2723&amp;I2723&amp;Q2723,'New Weekly Paste'!B:O,10,0)),0)</f>
        <v>106.64</v>
      </c>
      <c r="L2723" s="239">
        <f t="shared" si="25"/>
        <v>0</v>
      </c>
      <c r="M2723" s="36" t="str">
        <f t="shared" si="3"/>
        <v>Regular Season</v>
      </c>
      <c r="N2723" s="239" t="str">
        <f t="shared" si="26"/>
        <v>Rooney/Jackson</v>
      </c>
      <c r="O2723" s="6">
        <f>VLOOKUP(D2723,'Mapped Opponent'!$G$4:$H$22,2,0)</f>
        <v>8</v>
      </c>
      <c r="P2723" s="6"/>
      <c r="Q2723" s="6" t="str">
        <f t="shared" si="4"/>
        <v>Week 8</v>
      </c>
      <c r="R2723" s="6" t="str">
        <f t="shared" si="5"/>
        <v>2024Week 8</v>
      </c>
      <c r="S2723" s="6">
        <f>IFERROR(__xludf.DUMMYFUNCTION("rank(J2723,FILTER(J:J,R:R=R2723))"),8.0)</f>
        <v>8</v>
      </c>
      <c r="T2723" s="6">
        <f t="shared" si="6"/>
        <v>4</v>
      </c>
      <c r="U2723" s="6">
        <f t="shared" si="7"/>
        <v>8</v>
      </c>
      <c r="V2723" s="42">
        <f>averageif(AllData!A:A,B2723,AllData!R:R)/vlookup(B2723,AllData!A:O,15,0)</f>
        <v>94.42488095</v>
      </c>
      <c r="W2723" s="6"/>
    </row>
    <row r="2724" ht="14.25" customHeight="1">
      <c r="A2724" s="6" t="str">
        <f t="shared" si="28"/>
        <v>2024KnardDawg8</v>
      </c>
      <c r="B2724" s="59">
        <v>2024.0</v>
      </c>
      <c r="C2724" s="13" t="s">
        <v>86</v>
      </c>
      <c r="D2724" s="13" t="s">
        <v>145</v>
      </c>
      <c r="E2724" s="34"/>
      <c r="F2724" s="6"/>
      <c r="H2724" s="6"/>
      <c r="I2724" s="35" t="str">
        <f>IFERROR(IFERROR(IFERROR(VLOOKUP(B2724&amp;C2724&amp;Q2724,'New Weekly Paste'!A:M,10,0),VLOOKUP(B2724&amp;C2724&amp;Q2724,'New Weekly Paste'!B:O,6,0)),""),"")</f>
        <v>Cock</v>
      </c>
      <c r="J2724" s="259">
        <f>IFERROR(IFERROR(VLOOKUP(B2724&amp;C2724&amp;Q2724,'New Weekly Paste'!A:M,8,0),VLOOKUP(B2724&amp;C2724&amp;Q2724,'New Weekly Paste'!B:O,10,0)),0)</f>
        <v>73.14</v>
      </c>
      <c r="K2724" s="259">
        <f>IFERROR(IFERROR(VLOOKUP(B2724&amp;I2724&amp;Q2724,'New Weekly Paste'!A:M,8,0),VLOOKUP(B2724&amp;I2724&amp;Q2724,'New Weekly Paste'!B:O,10,0)),0)</f>
        <v>117</v>
      </c>
      <c r="L2724" s="239">
        <f t="shared" si="25"/>
        <v>0</v>
      </c>
      <c r="M2724" s="36" t="str">
        <f t="shared" si="3"/>
        <v>Regular Season</v>
      </c>
      <c r="N2724" s="239" t="str">
        <f t="shared" si="26"/>
        <v>Cock</v>
      </c>
      <c r="O2724" s="6">
        <f>VLOOKUP(D2724,'Mapped Opponent'!$G$4:$H$22,2,0)</f>
        <v>8</v>
      </c>
      <c r="P2724" s="6"/>
      <c r="Q2724" s="6" t="str">
        <f t="shared" si="4"/>
        <v>Week 8</v>
      </c>
      <c r="R2724" s="6" t="str">
        <f t="shared" si="5"/>
        <v>2024Week 8</v>
      </c>
      <c r="S2724" s="6">
        <f>IFERROR(__xludf.DUMMYFUNCTION("rank(J2724,FILTER(J:J,R:R=R2724))"),11.0)</f>
        <v>11</v>
      </c>
      <c r="T2724" s="6">
        <f t="shared" si="6"/>
        <v>1</v>
      </c>
      <c r="U2724" s="6">
        <f t="shared" si="7"/>
        <v>11</v>
      </c>
      <c r="V2724" s="42">
        <f>averageif(AllData!A:A,B2724,AllData!R:R)/vlookup(B2724,AllData!A:O,15,0)</f>
        <v>94.42488095</v>
      </c>
      <c r="W2724" s="6"/>
    </row>
    <row r="2725" ht="14.25" customHeight="1">
      <c r="A2725" s="6" t="str">
        <f t="shared" si="28"/>
        <v>2024T-How8</v>
      </c>
      <c r="B2725" s="59">
        <v>2024.0</v>
      </c>
      <c r="C2725" s="13" t="s">
        <v>82</v>
      </c>
      <c r="D2725" s="13" t="s">
        <v>145</v>
      </c>
      <c r="E2725" s="34"/>
      <c r="F2725" s="6"/>
      <c r="H2725" s="6"/>
      <c r="I2725" s="35" t="str">
        <f>IFERROR(IFERROR(IFERROR(VLOOKUP(B2725&amp;C2725&amp;Q2725,'New Weekly Paste'!A:M,10,0),VLOOKUP(B2725&amp;C2725&amp;Q2725,'New Weekly Paste'!B:O,6,0)),""),"")</f>
        <v>Salty</v>
      </c>
      <c r="J2725" s="259">
        <f>IFERROR(IFERROR(VLOOKUP(B2725&amp;C2725&amp;Q2725,'New Weekly Paste'!A:M,8,0),VLOOKUP(B2725&amp;C2725&amp;Q2725,'New Weekly Paste'!B:O,10,0)),0)</f>
        <v>121.06</v>
      </c>
      <c r="K2725" s="259">
        <f>IFERROR(IFERROR(VLOOKUP(B2725&amp;I2725&amp;Q2725,'New Weekly Paste'!A:M,8,0),VLOOKUP(B2725&amp;I2725&amp;Q2725,'New Weekly Paste'!B:O,10,0)),0)</f>
        <v>85.88</v>
      </c>
      <c r="L2725" s="239">
        <f t="shared" si="25"/>
        <v>1</v>
      </c>
      <c r="M2725" s="36" t="str">
        <f t="shared" si="3"/>
        <v>Regular Season</v>
      </c>
      <c r="N2725" s="239" t="str">
        <f t="shared" si="26"/>
        <v>Salty</v>
      </c>
      <c r="O2725" s="6">
        <f>VLOOKUP(D2725,'Mapped Opponent'!$G$4:$H$22,2,0)</f>
        <v>8</v>
      </c>
      <c r="P2725" s="6"/>
      <c r="Q2725" s="6" t="str">
        <f t="shared" si="4"/>
        <v>Week 8</v>
      </c>
      <c r="R2725" s="6" t="str">
        <f t="shared" si="5"/>
        <v>2024Week 8</v>
      </c>
      <c r="S2725" s="6">
        <f>IFERROR(__xludf.DUMMYFUNCTION("rank(J2725,FILTER(J:J,R:R=R2725))"),2.0)</f>
        <v>2</v>
      </c>
      <c r="T2725" s="6">
        <f t="shared" si="6"/>
        <v>10</v>
      </c>
      <c r="U2725" s="6">
        <f t="shared" si="7"/>
        <v>2</v>
      </c>
      <c r="V2725" s="42">
        <f>averageif(AllData!A:A,B2725,AllData!R:R)/vlookup(B2725,AllData!A:O,15,0)</f>
        <v>94.42488095</v>
      </c>
      <c r="W2725" s="6"/>
    </row>
    <row r="2726" ht="14.25" customHeight="1">
      <c r="A2726" s="6" t="str">
        <f t="shared" si="28"/>
        <v>2024Hudspeath9</v>
      </c>
      <c r="B2726" s="59">
        <v>2024.0</v>
      </c>
      <c r="C2726" s="13" t="s">
        <v>39</v>
      </c>
      <c r="D2726" s="13" t="s">
        <v>147</v>
      </c>
      <c r="E2726" s="34"/>
      <c r="F2726" s="6"/>
      <c r="H2726" s="6"/>
      <c r="I2726" s="35" t="str">
        <f>IFERROR(IFERROR(IFERROR(VLOOKUP(B2726&amp;C2726&amp;Q2726,'New Weekly Paste'!A:M,10,0),VLOOKUP(B2726&amp;C2726&amp;Q2726,'New Weekly Paste'!B:O,6,0)),""),"")</f>
        <v>Shep</v>
      </c>
      <c r="J2726" s="259">
        <f>IFERROR(IFERROR(VLOOKUP(B2726&amp;C2726&amp;Q2726,'New Weekly Paste'!A:M,8,0),VLOOKUP(B2726&amp;C2726&amp;Q2726,'New Weekly Paste'!B:O,10,0)),0)</f>
        <v>107.2</v>
      </c>
      <c r="K2726" s="259">
        <f>IFERROR(IFERROR(VLOOKUP(B2726&amp;I2726&amp;Q2726,'New Weekly Paste'!A:M,8,0),VLOOKUP(B2726&amp;I2726&amp;Q2726,'New Weekly Paste'!B:O,10,0)),0)</f>
        <v>78.74</v>
      </c>
      <c r="L2726" s="239">
        <f t="shared" si="25"/>
        <v>1</v>
      </c>
      <c r="M2726" s="36" t="str">
        <f t="shared" si="3"/>
        <v>Regular Season</v>
      </c>
      <c r="N2726" s="239" t="str">
        <f t="shared" si="26"/>
        <v>Shep</v>
      </c>
      <c r="O2726" s="6">
        <f>VLOOKUP(D2726,'Mapped Opponent'!$G$4:$H$22,2,0)</f>
        <v>9</v>
      </c>
      <c r="P2726" s="6"/>
      <c r="Q2726" s="6" t="str">
        <f t="shared" si="4"/>
        <v>Week 9</v>
      </c>
      <c r="R2726" s="6" t="str">
        <f t="shared" si="5"/>
        <v>2024Week 9</v>
      </c>
      <c r="S2726" s="6">
        <f>IFERROR(__xludf.DUMMYFUNCTION("rank(J2726,FILTER(J:J,R:R=R2726))"),2.0)</f>
        <v>2</v>
      </c>
      <c r="T2726" s="6">
        <f t="shared" si="6"/>
        <v>10</v>
      </c>
      <c r="U2726" s="6">
        <f t="shared" si="7"/>
        <v>2</v>
      </c>
      <c r="V2726" s="42">
        <f>averageif(AllData!A:A,B2726,AllData!R:R)/vlookup(B2726,AllData!A:O,15,0)</f>
        <v>94.42488095</v>
      </c>
      <c r="W2726" s="6"/>
    </row>
    <row r="2727" ht="14.25" customHeight="1">
      <c r="A2727" s="6" t="str">
        <f t="shared" si="28"/>
        <v>2024Salty9</v>
      </c>
      <c r="B2727" s="59">
        <v>2024.0</v>
      </c>
      <c r="C2727" s="13" t="s">
        <v>76</v>
      </c>
      <c r="D2727" s="13" t="s">
        <v>147</v>
      </c>
      <c r="E2727" s="34"/>
      <c r="F2727" s="6"/>
      <c r="H2727" s="6"/>
      <c r="I2727" s="35" t="str">
        <f>IFERROR(IFERROR(IFERROR(VLOOKUP(B2727&amp;C2727&amp;Q2727,'New Weekly Paste'!A:M,10,0),VLOOKUP(B2727&amp;C2727&amp;Q2727,'New Weekly Paste'!B:O,6,0)),""),"")</f>
        <v>Cock</v>
      </c>
      <c r="J2727" s="259">
        <f>IFERROR(IFERROR(VLOOKUP(B2727&amp;C2727&amp;Q2727,'New Weekly Paste'!A:M,8,0),VLOOKUP(B2727&amp;C2727&amp;Q2727,'New Weekly Paste'!B:O,10,0)),0)</f>
        <v>106</v>
      </c>
      <c r="K2727" s="259">
        <f>IFERROR(IFERROR(VLOOKUP(B2727&amp;I2727&amp;Q2727,'New Weekly Paste'!A:M,8,0),VLOOKUP(B2727&amp;I2727&amp;Q2727,'New Weekly Paste'!B:O,10,0)),0)</f>
        <v>65.82</v>
      </c>
      <c r="L2727" s="239">
        <f t="shared" si="25"/>
        <v>1</v>
      </c>
      <c r="M2727" s="36" t="str">
        <f t="shared" si="3"/>
        <v>Regular Season</v>
      </c>
      <c r="N2727" s="239" t="str">
        <f t="shared" si="26"/>
        <v>Cock</v>
      </c>
      <c r="O2727" s="6">
        <f>VLOOKUP(D2727,'Mapped Opponent'!$G$4:$H$22,2,0)</f>
        <v>9</v>
      </c>
      <c r="P2727" s="6"/>
      <c r="Q2727" s="6" t="str">
        <f t="shared" si="4"/>
        <v>Week 9</v>
      </c>
      <c r="R2727" s="6" t="str">
        <f t="shared" si="5"/>
        <v>2024Week 9</v>
      </c>
      <c r="S2727" s="6">
        <f>IFERROR(__xludf.DUMMYFUNCTION("rank(J2727,FILTER(J:J,R:R=R2727))"),3.0)</f>
        <v>3</v>
      </c>
      <c r="T2727" s="6">
        <f t="shared" si="6"/>
        <v>9</v>
      </c>
      <c r="U2727" s="6">
        <f t="shared" si="7"/>
        <v>3</v>
      </c>
      <c r="V2727" s="42">
        <f>averageif(AllData!A:A,B2727,AllData!R:R)/vlookup(B2727,AllData!A:O,15,0)</f>
        <v>94.42488095</v>
      </c>
      <c r="W2727" s="6"/>
    </row>
    <row r="2728" ht="14.25" customHeight="1">
      <c r="A2728" s="6" t="str">
        <f t="shared" si="28"/>
        <v>2024Ewert9</v>
      </c>
      <c r="B2728" s="59">
        <v>2024.0</v>
      </c>
      <c r="C2728" s="13" t="s">
        <v>108</v>
      </c>
      <c r="D2728" s="13" t="s">
        <v>147</v>
      </c>
      <c r="E2728" s="34"/>
      <c r="F2728" s="6"/>
      <c r="H2728" s="6"/>
      <c r="I2728" s="35" t="str">
        <f>IFERROR(IFERROR(IFERROR(VLOOKUP(B2728&amp;C2728&amp;Q2728,'New Weekly Paste'!A:M,10,0),VLOOKUP(B2728&amp;C2728&amp;Q2728,'New Weekly Paste'!B:O,6,0)),""),"")</f>
        <v>Tayski</v>
      </c>
      <c r="J2728" s="259">
        <f>IFERROR(IFERROR(VLOOKUP(B2728&amp;C2728&amp;Q2728,'New Weekly Paste'!A:M,8,0),VLOOKUP(B2728&amp;C2728&amp;Q2728,'New Weekly Paste'!B:O,10,0)),0)</f>
        <v>99.16</v>
      </c>
      <c r="K2728" s="259">
        <f>IFERROR(IFERROR(VLOOKUP(B2728&amp;I2728&amp;Q2728,'New Weekly Paste'!A:M,8,0),VLOOKUP(B2728&amp;I2728&amp;Q2728,'New Weekly Paste'!B:O,10,0)),0)</f>
        <v>101.4</v>
      </c>
      <c r="L2728" s="239">
        <f t="shared" si="25"/>
        <v>0</v>
      </c>
      <c r="M2728" s="36" t="str">
        <f t="shared" si="3"/>
        <v>Regular Season</v>
      </c>
      <c r="N2728" s="239" t="str">
        <f t="shared" si="26"/>
        <v>Tayski</v>
      </c>
      <c r="O2728" s="6">
        <f>VLOOKUP(D2728,'Mapped Opponent'!$G$4:$H$22,2,0)</f>
        <v>9</v>
      </c>
      <c r="P2728" s="6"/>
      <c r="Q2728" s="6" t="str">
        <f t="shared" si="4"/>
        <v>Week 9</v>
      </c>
      <c r="R2728" s="6" t="str">
        <f t="shared" si="5"/>
        <v>2024Week 9</v>
      </c>
      <c r="S2728" s="6">
        <f>IFERROR(__xludf.DUMMYFUNCTION("rank(J2728,FILTER(J:J,R:R=R2728))"),7.0)</f>
        <v>7</v>
      </c>
      <c r="T2728" s="6">
        <f t="shared" si="6"/>
        <v>5</v>
      </c>
      <c r="U2728" s="6">
        <f t="shared" si="7"/>
        <v>7</v>
      </c>
      <c r="V2728" s="42">
        <f>averageif(AllData!A:A,B2728,AllData!R:R)/vlookup(B2728,AllData!A:O,15,0)</f>
        <v>94.42488095</v>
      </c>
      <c r="W2728" s="6"/>
    </row>
    <row r="2729" ht="14.25" customHeight="1">
      <c r="A2729" s="6" t="str">
        <f t="shared" si="28"/>
        <v>2024Shep9</v>
      </c>
      <c r="B2729" s="59">
        <v>2024.0</v>
      </c>
      <c r="C2729" s="13" t="s">
        <v>89</v>
      </c>
      <c r="D2729" s="13" t="s">
        <v>147</v>
      </c>
      <c r="E2729" s="34"/>
      <c r="F2729" s="6"/>
      <c r="H2729" s="6"/>
      <c r="I2729" s="35" t="str">
        <f>IFERROR(IFERROR(IFERROR(VLOOKUP(B2729&amp;C2729&amp;Q2729,'New Weekly Paste'!A:M,10,0),VLOOKUP(B2729&amp;C2729&amp;Q2729,'New Weekly Paste'!B:O,6,0)),""),"")</f>
        <v>Hudspeath</v>
      </c>
      <c r="J2729" s="259">
        <f>IFERROR(IFERROR(VLOOKUP(B2729&amp;C2729&amp;Q2729,'New Weekly Paste'!A:M,8,0),VLOOKUP(B2729&amp;C2729&amp;Q2729,'New Weekly Paste'!B:O,10,0)),0)</f>
        <v>78.74</v>
      </c>
      <c r="K2729" s="259">
        <f>IFERROR(IFERROR(VLOOKUP(B2729&amp;I2729&amp;Q2729,'New Weekly Paste'!A:M,8,0),VLOOKUP(B2729&amp;I2729&amp;Q2729,'New Weekly Paste'!B:O,10,0)),0)</f>
        <v>107.2</v>
      </c>
      <c r="L2729" s="239">
        <f t="shared" si="25"/>
        <v>0</v>
      </c>
      <c r="M2729" s="36" t="str">
        <f t="shared" si="3"/>
        <v>Regular Season</v>
      </c>
      <c r="N2729" s="239" t="str">
        <f t="shared" si="26"/>
        <v>Hudspeath</v>
      </c>
      <c r="O2729" s="6">
        <f>VLOOKUP(D2729,'Mapped Opponent'!$G$4:$H$22,2,0)</f>
        <v>9</v>
      </c>
      <c r="P2729" s="6"/>
      <c r="Q2729" s="6" t="str">
        <f t="shared" si="4"/>
        <v>Week 9</v>
      </c>
      <c r="R2729" s="6" t="str">
        <f t="shared" si="5"/>
        <v>2024Week 9</v>
      </c>
      <c r="S2729" s="6">
        <f>IFERROR(__xludf.DUMMYFUNCTION("rank(J2729,FILTER(J:J,R:R=R2729))"),10.0)</f>
        <v>10</v>
      </c>
      <c r="T2729" s="6">
        <f t="shared" si="6"/>
        <v>2</v>
      </c>
      <c r="U2729" s="6">
        <f t="shared" si="7"/>
        <v>10</v>
      </c>
      <c r="V2729" s="42">
        <f>averageif(AllData!A:A,B2729,AllData!R:R)/vlookup(B2729,AllData!A:O,15,0)</f>
        <v>94.42488095</v>
      </c>
      <c r="W2729" s="6"/>
    </row>
    <row r="2730" ht="14.25" customHeight="1">
      <c r="A2730" s="6" t="str">
        <f t="shared" si="28"/>
        <v>2024Riley9</v>
      </c>
      <c r="B2730" s="59">
        <v>2024.0</v>
      </c>
      <c r="C2730" s="13" t="s">
        <v>67</v>
      </c>
      <c r="D2730" s="13" t="s">
        <v>147</v>
      </c>
      <c r="E2730" s="34"/>
      <c r="F2730" s="6"/>
      <c r="H2730" s="6"/>
      <c r="I2730" s="35" t="str">
        <f>IFERROR(IFERROR(IFERROR(VLOOKUP(B2730&amp;C2730&amp;Q2730,'New Weekly Paste'!A:M,10,0),VLOOKUP(B2730&amp;C2730&amp;Q2730,'New Weekly Paste'!B:O,6,0)),""),"")</f>
        <v>T-How</v>
      </c>
      <c r="J2730" s="259">
        <f>IFERROR(IFERROR(VLOOKUP(B2730&amp;C2730&amp;Q2730,'New Weekly Paste'!A:M,8,0),VLOOKUP(B2730&amp;C2730&amp;Q2730,'New Weekly Paste'!B:O,10,0)),0)</f>
        <v>74.46</v>
      </c>
      <c r="K2730" s="259">
        <f>IFERROR(IFERROR(VLOOKUP(B2730&amp;I2730&amp;Q2730,'New Weekly Paste'!A:M,8,0),VLOOKUP(B2730&amp;I2730&amp;Q2730,'New Weekly Paste'!B:O,10,0)),0)</f>
        <v>91.6</v>
      </c>
      <c r="L2730" s="239">
        <f t="shared" si="25"/>
        <v>0</v>
      </c>
      <c r="M2730" s="36" t="str">
        <f t="shared" si="3"/>
        <v>Regular Season</v>
      </c>
      <c r="N2730" s="239" t="str">
        <f t="shared" si="26"/>
        <v>T-How</v>
      </c>
      <c r="O2730" s="6">
        <f>VLOOKUP(D2730,'Mapped Opponent'!$G$4:$H$22,2,0)</f>
        <v>9</v>
      </c>
      <c r="P2730" s="6"/>
      <c r="Q2730" s="6" t="str">
        <f t="shared" si="4"/>
        <v>Week 9</v>
      </c>
      <c r="R2730" s="6" t="str">
        <f t="shared" si="5"/>
        <v>2024Week 9</v>
      </c>
      <c r="S2730" s="6">
        <f>IFERROR(__xludf.DUMMYFUNCTION("rank(J2730,FILTER(J:J,R:R=R2730))"),11.0)</f>
        <v>11</v>
      </c>
      <c r="T2730" s="6">
        <f t="shared" si="6"/>
        <v>1</v>
      </c>
      <c r="U2730" s="6">
        <f t="shared" si="7"/>
        <v>11</v>
      </c>
      <c r="V2730" s="42">
        <f>averageif(AllData!A:A,B2730,AllData!R:R)/vlookup(B2730,AllData!A:O,15,0)</f>
        <v>94.42488095</v>
      </c>
      <c r="W2730" s="6"/>
    </row>
    <row r="2731" ht="14.25" customHeight="1">
      <c r="A2731" s="6" t="str">
        <f t="shared" si="28"/>
        <v>2024Rooney/Jackson9</v>
      </c>
      <c r="B2731" s="59">
        <v>2024.0</v>
      </c>
      <c r="C2731" s="13" t="s">
        <v>57</v>
      </c>
      <c r="D2731" s="13" t="s">
        <v>147</v>
      </c>
      <c r="E2731" s="34"/>
      <c r="F2731" s="6"/>
      <c r="H2731" s="6"/>
      <c r="I2731" s="35" t="str">
        <f>IFERROR(IFERROR(IFERROR(VLOOKUP(B2731&amp;C2731&amp;Q2731,'New Weekly Paste'!A:M,10,0),VLOOKUP(B2731&amp;C2731&amp;Q2731,'New Weekly Paste'!B:O,6,0)),""),"")</f>
        <v>Buser</v>
      </c>
      <c r="J2731" s="259">
        <f>IFERROR(IFERROR(VLOOKUP(B2731&amp;C2731&amp;Q2731,'New Weekly Paste'!A:M,8,0),VLOOKUP(B2731&amp;C2731&amp;Q2731,'New Weekly Paste'!B:O,10,0)),0)</f>
        <v>101.66</v>
      </c>
      <c r="K2731" s="259">
        <f>IFERROR(IFERROR(VLOOKUP(B2731&amp;I2731&amp;Q2731,'New Weekly Paste'!A:M,8,0),VLOOKUP(B2731&amp;I2731&amp;Q2731,'New Weekly Paste'!B:O,10,0)),0)</f>
        <v>87.32</v>
      </c>
      <c r="L2731" s="239">
        <f t="shared" si="25"/>
        <v>1</v>
      </c>
      <c r="M2731" s="36" t="str">
        <f t="shared" si="3"/>
        <v>Regular Season</v>
      </c>
      <c r="N2731" s="239" t="str">
        <f t="shared" si="26"/>
        <v>Buser</v>
      </c>
      <c r="O2731" s="6">
        <f>VLOOKUP(D2731,'Mapped Opponent'!$G$4:$H$22,2,0)</f>
        <v>9</v>
      </c>
      <c r="P2731" s="6"/>
      <c r="Q2731" s="6" t="str">
        <f t="shared" si="4"/>
        <v>Week 9</v>
      </c>
      <c r="R2731" s="6" t="str">
        <f t="shared" si="5"/>
        <v>2024Week 9</v>
      </c>
      <c r="S2731" s="6">
        <f>IFERROR(__xludf.DUMMYFUNCTION("rank(J2731,FILTER(J:J,R:R=R2731))"),4.0)</f>
        <v>4</v>
      </c>
      <c r="T2731" s="6">
        <f t="shared" si="6"/>
        <v>8</v>
      </c>
      <c r="U2731" s="6">
        <f t="shared" si="7"/>
        <v>4</v>
      </c>
      <c r="V2731" s="42">
        <f>averageif(AllData!A:A,B2731,AllData!R:R)/vlookup(B2731,AllData!A:O,15,0)</f>
        <v>94.42488095</v>
      </c>
      <c r="W2731" s="6"/>
    </row>
    <row r="2732" ht="14.25" customHeight="1">
      <c r="A2732" s="6" t="str">
        <f t="shared" si="28"/>
        <v>2024Buser9</v>
      </c>
      <c r="B2732" s="59">
        <v>2024.0</v>
      </c>
      <c r="C2732" s="13" t="s">
        <v>47</v>
      </c>
      <c r="D2732" s="13" t="s">
        <v>147</v>
      </c>
      <c r="E2732" s="34"/>
      <c r="F2732" s="6"/>
      <c r="H2732" s="6"/>
      <c r="I2732" s="35" t="str">
        <f>IFERROR(IFERROR(IFERROR(VLOOKUP(B2732&amp;C2732&amp;Q2732,'New Weekly Paste'!A:M,10,0),VLOOKUP(B2732&amp;C2732&amp;Q2732,'New Weekly Paste'!B:O,6,0)),""),"")</f>
        <v>Rooney/Jackson</v>
      </c>
      <c r="J2732" s="259">
        <f>IFERROR(IFERROR(VLOOKUP(B2732&amp;C2732&amp;Q2732,'New Weekly Paste'!A:M,8,0),VLOOKUP(B2732&amp;C2732&amp;Q2732,'New Weekly Paste'!B:O,10,0)),0)</f>
        <v>87.32</v>
      </c>
      <c r="K2732" s="259">
        <f>IFERROR(IFERROR(VLOOKUP(B2732&amp;I2732&amp;Q2732,'New Weekly Paste'!A:M,8,0),VLOOKUP(B2732&amp;I2732&amp;Q2732,'New Weekly Paste'!B:O,10,0)),0)</f>
        <v>101.66</v>
      </c>
      <c r="L2732" s="239">
        <f t="shared" si="25"/>
        <v>0</v>
      </c>
      <c r="M2732" s="36" t="str">
        <f t="shared" si="3"/>
        <v>Regular Season</v>
      </c>
      <c r="N2732" s="239" t="str">
        <f t="shared" si="26"/>
        <v>Rooney/Jackson</v>
      </c>
      <c r="O2732" s="6">
        <f>VLOOKUP(D2732,'Mapped Opponent'!$G$4:$H$22,2,0)</f>
        <v>9</v>
      </c>
      <c r="P2732" s="6"/>
      <c r="Q2732" s="6" t="str">
        <f t="shared" si="4"/>
        <v>Week 9</v>
      </c>
      <c r="R2732" s="6" t="str">
        <f t="shared" si="5"/>
        <v>2024Week 9</v>
      </c>
      <c r="S2732" s="6">
        <f>IFERROR(__xludf.DUMMYFUNCTION("rank(J2732,FILTER(J:J,R:R=R2732))"),9.0)</f>
        <v>9</v>
      </c>
      <c r="T2732" s="6">
        <f t="shared" si="6"/>
        <v>3</v>
      </c>
      <c r="U2732" s="6">
        <f t="shared" si="7"/>
        <v>9</v>
      </c>
      <c r="V2732" s="42">
        <f>averageif(AllData!A:A,B2732,AllData!R:R)/vlookup(B2732,AllData!A:O,15,0)</f>
        <v>94.42488095</v>
      </c>
      <c r="W2732" s="6"/>
    </row>
    <row r="2733" ht="14.25" customHeight="1">
      <c r="A2733" s="6" t="str">
        <f t="shared" si="28"/>
        <v>2024Pierson9</v>
      </c>
      <c r="B2733" s="59">
        <v>2024.0</v>
      </c>
      <c r="C2733" s="13" t="s">
        <v>92</v>
      </c>
      <c r="D2733" s="13" t="s">
        <v>147</v>
      </c>
      <c r="E2733" s="34"/>
      <c r="F2733" s="6"/>
      <c r="H2733" s="6"/>
      <c r="I2733" s="35" t="str">
        <f>IFERROR(IFERROR(IFERROR(VLOOKUP(B2733&amp;C2733&amp;Q2733,'New Weekly Paste'!A:M,10,0),VLOOKUP(B2733&amp;C2733&amp;Q2733,'New Weekly Paste'!B:O,6,0)),""),"")</f>
        <v>KnardDawg</v>
      </c>
      <c r="J2733" s="259">
        <f>IFERROR(IFERROR(VLOOKUP(B2733&amp;C2733&amp;Q2733,'New Weekly Paste'!A:M,8,0),VLOOKUP(B2733&amp;C2733&amp;Q2733,'New Weekly Paste'!B:O,10,0)),0)</f>
        <v>101.64</v>
      </c>
      <c r="K2733" s="259">
        <f>IFERROR(IFERROR(VLOOKUP(B2733&amp;I2733&amp;Q2733,'New Weekly Paste'!A:M,8,0),VLOOKUP(B2733&amp;I2733&amp;Q2733,'New Weekly Paste'!B:O,10,0)),0)</f>
        <v>125.28</v>
      </c>
      <c r="L2733" s="239">
        <f t="shared" si="25"/>
        <v>0</v>
      </c>
      <c r="M2733" s="36" t="str">
        <f t="shared" si="3"/>
        <v>Regular Season</v>
      </c>
      <c r="N2733" s="239" t="str">
        <f t="shared" si="26"/>
        <v>KnardDawg</v>
      </c>
      <c r="O2733" s="6">
        <f>VLOOKUP(D2733,'Mapped Opponent'!$G$4:$H$22,2,0)</f>
        <v>9</v>
      </c>
      <c r="P2733" s="6"/>
      <c r="Q2733" s="6" t="str">
        <f t="shared" si="4"/>
        <v>Week 9</v>
      </c>
      <c r="R2733" s="6" t="str">
        <f t="shared" si="5"/>
        <v>2024Week 9</v>
      </c>
      <c r="S2733" s="6">
        <f>IFERROR(__xludf.DUMMYFUNCTION("rank(J2733,FILTER(J:J,R:R=R2733))"),5.0)</f>
        <v>5</v>
      </c>
      <c r="T2733" s="6">
        <f t="shared" si="6"/>
        <v>7</v>
      </c>
      <c r="U2733" s="6">
        <f t="shared" si="7"/>
        <v>5</v>
      </c>
      <c r="V2733" s="42">
        <f>averageif(AllData!A:A,B2733,AllData!R:R)/vlookup(B2733,AllData!A:O,15,0)</f>
        <v>94.42488095</v>
      </c>
      <c r="W2733" s="6"/>
    </row>
    <row r="2734" ht="14.25" customHeight="1">
      <c r="A2734" s="6" t="str">
        <f t="shared" si="28"/>
        <v>2024Cock9</v>
      </c>
      <c r="B2734" s="59">
        <v>2024.0</v>
      </c>
      <c r="C2734" s="13" t="s">
        <v>72</v>
      </c>
      <c r="D2734" s="13" t="s">
        <v>147</v>
      </c>
      <c r="E2734" s="34"/>
      <c r="F2734" s="6"/>
      <c r="H2734" s="6"/>
      <c r="I2734" s="35" t="str">
        <f>IFERROR(IFERROR(IFERROR(VLOOKUP(B2734&amp;C2734&amp;Q2734,'New Weekly Paste'!A:M,10,0),VLOOKUP(B2734&amp;C2734&amp;Q2734,'New Weekly Paste'!B:O,6,0)),""),"")</f>
        <v>Salty</v>
      </c>
      <c r="J2734" s="259">
        <f>IFERROR(IFERROR(VLOOKUP(B2734&amp;C2734&amp;Q2734,'New Weekly Paste'!A:M,8,0),VLOOKUP(B2734&amp;C2734&amp;Q2734,'New Weekly Paste'!B:O,10,0)),0)</f>
        <v>65.82</v>
      </c>
      <c r="K2734" s="259">
        <f>IFERROR(IFERROR(VLOOKUP(B2734&amp;I2734&amp;Q2734,'New Weekly Paste'!A:M,8,0),VLOOKUP(B2734&amp;I2734&amp;Q2734,'New Weekly Paste'!B:O,10,0)),0)</f>
        <v>106</v>
      </c>
      <c r="L2734" s="239">
        <f t="shared" si="25"/>
        <v>0</v>
      </c>
      <c r="M2734" s="36" t="str">
        <f t="shared" si="3"/>
        <v>Regular Season</v>
      </c>
      <c r="N2734" s="239" t="str">
        <f t="shared" si="26"/>
        <v>Salty</v>
      </c>
      <c r="O2734" s="6">
        <f>VLOOKUP(D2734,'Mapped Opponent'!$G$4:$H$22,2,0)</f>
        <v>9</v>
      </c>
      <c r="P2734" s="6"/>
      <c r="Q2734" s="6" t="str">
        <f t="shared" si="4"/>
        <v>Week 9</v>
      </c>
      <c r="R2734" s="6" t="str">
        <f t="shared" si="5"/>
        <v>2024Week 9</v>
      </c>
      <c r="S2734" s="6">
        <f>IFERROR(__xludf.DUMMYFUNCTION("rank(J2734,FILTER(J:J,R:R=R2734))"),12.0)</f>
        <v>12</v>
      </c>
      <c r="T2734" s="6">
        <f t="shared" si="6"/>
        <v>0</v>
      </c>
      <c r="U2734" s="6">
        <f t="shared" si="7"/>
        <v>12</v>
      </c>
      <c r="V2734" s="42">
        <f>averageif(AllData!A:A,B2734,AllData!R:R)/vlookup(B2734,AllData!A:O,15,0)</f>
        <v>94.42488095</v>
      </c>
      <c r="W2734" s="6"/>
    </row>
    <row r="2735" ht="14.25" customHeight="1">
      <c r="A2735" s="6" t="str">
        <f t="shared" si="28"/>
        <v>2024Tayski9</v>
      </c>
      <c r="B2735" s="59">
        <v>2024.0</v>
      </c>
      <c r="C2735" s="13" t="s">
        <v>52</v>
      </c>
      <c r="D2735" s="13" t="s">
        <v>147</v>
      </c>
      <c r="E2735" s="34"/>
      <c r="F2735" s="6"/>
      <c r="H2735" s="6"/>
      <c r="I2735" s="35" t="str">
        <f>IFERROR(IFERROR(IFERROR(VLOOKUP(B2735&amp;C2735&amp;Q2735,'New Weekly Paste'!A:M,10,0),VLOOKUP(B2735&amp;C2735&amp;Q2735,'New Weekly Paste'!B:O,6,0)),""),"")</f>
        <v>Ewert</v>
      </c>
      <c r="J2735" s="259">
        <f>IFERROR(IFERROR(VLOOKUP(B2735&amp;C2735&amp;Q2735,'New Weekly Paste'!A:M,8,0),VLOOKUP(B2735&amp;C2735&amp;Q2735,'New Weekly Paste'!B:O,10,0)),0)</f>
        <v>101.4</v>
      </c>
      <c r="K2735" s="259">
        <f>IFERROR(IFERROR(VLOOKUP(B2735&amp;I2735&amp;Q2735,'New Weekly Paste'!A:M,8,0),VLOOKUP(B2735&amp;I2735&amp;Q2735,'New Weekly Paste'!B:O,10,0)),0)</f>
        <v>99.16</v>
      </c>
      <c r="L2735" s="239">
        <f t="shared" si="25"/>
        <v>1</v>
      </c>
      <c r="M2735" s="36" t="str">
        <f t="shared" si="3"/>
        <v>Regular Season</v>
      </c>
      <c r="N2735" s="239" t="str">
        <f t="shared" si="26"/>
        <v>Ewert</v>
      </c>
      <c r="O2735" s="6">
        <f>VLOOKUP(D2735,'Mapped Opponent'!$G$4:$H$22,2,0)</f>
        <v>9</v>
      </c>
      <c r="P2735" s="6"/>
      <c r="Q2735" s="6" t="str">
        <f t="shared" si="4"/>
        <v>Week 9</v>
      </c>
      <c r="R2735" s="6" t="str">
        <f t="shared" si="5"/>
        <v>2024Week 9</v>
      </c>
      <c r="S2735" s="6">
        <f>IFERROR(__xludf.DUMMYFUNCTION("rank(J2735,FILTER(J:J,R:R=R2735))"),6.0)</f>
        <v>6</v>
      </c>
      <c r="T2735" s="6">
        <f t="shared" si="6"/>
        <v>6</v>
      </c>
      <c r="U2735" s="6">
        <f t="shared" si="7"/>
        <v>6</v>
      </c>
      <c r="V2735" s="42">
        <f>averageif(AllData!A:A,B2735,AllData!R:R)/vlookup(B2735,AllData!A:O,15,0)</f>
        <v>94.42488095</v>
      </c>
      <c r="W2735" s="6"/>
    </row>
    <row r="2736" ht="14.25" customHeight="1">
      <c r="A2736" s="6" t="str">
        <f t="shared" si="28"/>
        <v>2024KnardDawg9</v>
      </c>
      <c r="B2736" s="59">
        <v>2024.0</v>
      </c>
      <c r="C2736" s="13" t="s">
        <v>86</v>
      </c>
      <c r="D2736" s="13" t="s">
        <v>147</v>
      </c>
      <c r="E2736" s="34"/>
      <c r="F2736" s="6"/>
      <c r="H2736" s="6"/>
      <c r="I2736" s="35" t="str">
        <f>IFERROR(IFERROR(IFERROR(VLOOKUP(B2736&amp;C2736&amp;Q2736,'New Weekly Paste'!A:M,10,0),VLOOKUP(B2736&amp;C2736&amp;Q2736,'New Weekly Paste'!B:O,6,0)),""),"")</f>
        <v>Pierson</v>
      </c>
      <c r="J2736" s="259">
        <f>IFERROR(IFERROR(VLOOKUP(B2736&amp;C2736&amp;Q2736,'New Weekly Paste'!A:M,8,0),VLOOKUP(B2736&amp;C2736&amp;Q2736,'New Weekly Paste'!B:O,10,0)),0)</f>
        <v>125.28</v>
      </c>
      <c r="K2736" s="259">
        <f>IFERROR(IFERROR(VLOOKUP(B2736&amp;I2736&amp;Q2736,'New Weekly Paste'!A:M,8,0),VLOOKUP(B2736&amp;I2736&amp;Q2736,'New Weekly Paste'!B:O,10,0)),0)</f>
        <v>101.64</v>
      </c>
      <c r="L2736" s="239">
        <f t="shared" si="25"/>
        <v>1</v>
      </c>
      <c r="M2736" s="36" t="str">
        <f t="shared" si="3"/>
        <v>Regular Season</v>
      </c>
      <c r="N2736" s="239" t="str">
        <f t="shared" si="26"/>
        <v>Pierson</v>
      </c>
      <c r="O2736" s="6">
        <f>VLOOKUP(D2736,'Mapped Opponent'!$G$4:$H$22,2,0)</f>
        <v>9</v>
      </c>
      <c r="P2736" s="6"/>
      <c r="Q2736" s="6" t="str">
        <f t="shared" si="4"/>
        <v>Week 9</v>
      </c>
      <c r="R2736" s="6" t="str">
        <f t="shared" si="5"/>
        <v>2024Week 9</v>
      </c>
      <c r="S2736" s="6">
        <f>IFERROR(__xludf.DUMMYFUNCTION("rank(J2736,FILTER(J:J,R:R=R2736))"),1.0)</f>
        <v>1</v>
      </c>
      <c r="T2736" s="6">
        <f t="shared" si="6"/>
        <v>11</v>
      </c>
      <c r="U2736" s="6">
        <f t="shared" si="7"/>
        <v>1</v>
      </c>
      <c r="V2736" s="42">
        <f>averageif(AllData!A:A,B2736,AllData!R:R)/vlookup(B2736,AllData!A:O,15,0)</f>
        <v>94.42488095</v>
      </c>
      <c r="W2736" s="6"/>
    </row>
    <row r="2737" ht="14.25" customHeight="1">
      <c r="A2737" s="6" t="str">
        <f t="shared" si="28"/>
        <v>2024T-How9</v>
      </c>
      <c r="B2737" s="59">
        <v>2024.0</v>
      </c>
      <c r="C2737" s="13" t="s">
        <v>82</v>
      </c>
      <c r="D2737" s="13" t="s">
        <v>147</v>
      </c>
      <c r="E2737" s="34"/>
      <c r="F2737" s="6"/>
      <c r="H2737" s="6"/>
      <c r="I2737" s="35" t="str">
        <f>IFERROR(IFERROR(IFERROR(VLOOKUP(B2737&amp;C2737&amp;Q2737,'New Weekly Paste'!A:M,10,0),VLOOKUP(B2737&amp;C2737&amp;Q2737,'New Weekly Paste'!B:O,6,0)),""),"")</f>
        <v>Riley</v>
      </c>
      <c r="J2737" s="259">
        <f>IFERROR(IFERROR(VLOOKUP(B2737&amp;C2737&amp;Q2737,'New Weekly Paste'!A:M,8,0),VLOOKUP(B2737&amp;C2737&amp;Q2737,'New Weekly Paste'!B:O,10,0)),0)</f>
        <v>91.6</v>
      </c>
      <c r="K2737" s="259">
        <f>IFERROR(IFERROR(VLOOKUP(B2737&amp;I2737&amp;Q2737,'New Weekly Paste'!A:M,8,0),VLOOKUP(B2737&amp;I2737&amp;Q2737,'New Weekly Paste'!B:O,10,0)),0)</f>
        <v>74.46</v>
      </c>
      <c r="L2737" s="239">
        <f t="shared" si="25"/>
        <v>1</v>
      </c>
      <c r="M2737" s="36" t="str">
        <f t="shared" si="3"/>
        <v>Regular Season</v>
      </c>
      <c r="N2737" s="239" t="str">
        <f t="shared" si="26"/>
        <v>Riley</v>
      </c>
      <c r="O2737" s="6">
        <f>VLOOKUP(D2737,'Mapped Opponent'!$G$4:$H$22,2,0)</f>
        <v>9</v>
      </c>
      <c r="P2737" s="6"/>
      <c r="Q2737" s="6" t="str">
        <f t="shared" si="4"/>
        <v>Week 9</v>
      </c>
      <c r="R2737" s="6" t="str">
        <f t="shared" si="5"/>
        <v>2024Week 9</v>
      </c>
      <c r="S2737" s="6">
        <f>IFERROR(__xludf.DUMMYFUNCTION("rank(J2737,FILTER(J:J,R:R=R2737))"),8.0)</f>
        <v>8</v>
      </c>
      <c r="T2737" s="6">
        <f t="shared" si="6"/>
        <v>4</v>
      </c>
      <c r="U2737" s="6">
        <f t="shared" si="7"/>
        <v>8</v>
      </c>
      <c r="V2737" s="42">
        <f>averageif(AllData!A:A,B2737,AllData!R:R)/vlookup(B2737,AllData!A:O,15,0)</f>
        <v>94.42488095</v>
      </c>
      <c r="W2737" s="6"/>
    </row>
    <row r="2738" ht="14.25" customHeight="1">
      <c r="A2738" s="6"/>
      <c r="B2738" s="59"/>
      <c r="C2738" s="13"/>
      <c r="D2738" s="13"/>
      <c r="E2738" s="34"/>
      <c r="F2738" s="6"/>
      <c r="H2738" s="6"/>
      <c r="I2738" s="35" t="str">
        <f>IFERROR(IFERROR(IFERROR(VLOOKUP(B2738&amp;C2738&amp;Q2738,'New Weekly Paste'!A:M,10,0),VLOOKUP(B2738&amp;C2738&amp;Q2738,'New Weekly Paste'!B:O,6,0)),""),"")</f>
        <v/>
      </c>
      <c r="J2738" s="239">
        <f>IFERROR(IFERROR(VLOOKUP(B2738&amp;C2738&amp;Q2738,'New Weekly Paste'!A:M,8,0),VLOOKUP(B2738&amp;C2738&amp;Q2738,'New Weekly Paste'!B:O,10,0)),0)</f>
        <v>0</v>
      </c>
      <c r="K2738" s="239">
        <f>IFERROR(IFERROR(VLOOKUP(B2738&amp;I2738&amp;Q2738,'New Weekly Paste'!A:M,8,0),VLOOKUP(B2738&amp;I2738&amp;Q2738,'New Weekly Paste'!B:O,10,0)),0)</f>
        <v>0</v>
      </c>
      <c r="L2738" s="239">
        <f t="shared" si="25"/>
        <v>0</v>
      </c>
      <c r="M2738" s="36" t="str">
        <f t="shared" si="3"/>
        <v>Regular Season</v>
      </c>
      <c r="N2738" s="239" t="str">
        <f t="shared" si="26"/>
        <v/>
      </c>
      <c r="O2738" s="6" t="str">
        <f>VLOOKUP(D2738,'Mapped Opponent'!$G$4:$H$22,2,0)</f>
        <v>#N/A</v>
      </c>
      <c r="P2738" s="6"/>
      <c r="Q2738" s="6" t="str">
        <f t="shared" si="4"/>
        <v>#N/A</v>
      </c>
      <c r="R2738" s="6" t="str">
        <f t="shared" si="5"/>
        <v/>
      </c>
      <c r="S2738" s="6">
        <f>IFERROR(__xludf.DUMMYFUNCTION("rank(J2738,FILTER(J:J,R:R=R2738))"),1.0)</f>
        <v>1</v>
      </c>
      <c r="T2738" s="6">
        <f t="shared" si="6"/>
        <v>11</v>
      </c>
      <c r="U2738" s="6">
        <f t="shared" si="7"/>
        <v>1</v>
      </c>
      <c r="V2738" s="42" t="str">
        <f>averageif(AllData!A:A,B2738,AllData!R:R)/vlookup(B2738,AllData!A:O,15,0)</f>
        <v>#DIV/0!</v>
      </c>
      <c r="W2738" s="6"/>
    </row>
    <row r="2739" ht="14.25" customHeight="1">
      <c r="A2739" s="6" t="str">
        <f t="shared" ref="A2739:A3146" si="29">B2739&amp;C2739&amp;$O2739</f>
        <v>2025Hudspeath15</v>
      </c>
      <c r="B2739" s="59">
        <v>2025.0</v>
      </c>
      <c r="C2739" s="13" t="s">
        <v>39</v>
      </c>
      <c r="D2739" s="13" t="s">
        <v>112</v>
      </c>
      <c r="E2739" s="34"/>
      <c r="F2739" s="6"/>
      <c r="H2739" s="6"/>
      <c r="I2739" s="35" t="str">
        <f>IFERROR(IFERROR(IFERROR(VLOOKUP(B2739&amp;C2739&amp;Q2739,'New Weekly Paste'!A:M,10,0),VLOOKUP(B2739&amp;C2739&amp;Q2739,'New Weekly Paste'!B:O,6,0)),""),"")</f>
        <v/>
      </c>
      <c r="J2739" s="239">
        <f>IFERROR(IFERROR(VLOOKUP(B2739&amp;C2739&amp;Q2739,'New Weekly Paste'!A:M,8,0),VLOOKUP(B2739&amp;C2739&amp;Q2739,'New Weekly Paste'!B:O,10,0)),0)</f>
        <v>0</v>
      </c>
      <c r="K2739" s="239">
        <f>IFERROR(IFERROR(VLOOKUP(B2739&amp;I2739&amp;Q2739,'New Weekly Paste'!A:M,8,0),VLOOKUP(B2739&amp;I2739&amp;Q2739,'New Weekly Paste'!B:O,10,0)),0)</f>
        <v>0</v>
      </c>
      <c r="L2739" s="239">
        <f t="shared" si="25"/>
        <v>0</v>
      </c>
      <c r="M2739" s="36" t="str">
        <f t="shared" si="3"/>
        <v>Playoffs</v>
      </c>
      <c r="N2739" s="239" t="str">
        <f t="shared" si="26"/>
        <v/>
      </c>
      <c r="O2739" s="6">
        <f>VLOOKUP(D2739,'Mapped Opponent'!$G$4:$H$22,2,0)</f>
        <v>15</v>
      </c>
      <c r="P2739" s="6"/>
      <c r="Q2739" s="6" t="str">
        <f t="shared" si="4"/>
        <v>Week 15</v>
      </c>
      <c r="R2739" s="6" t="str">
        <f t="shared" si="5"/>
        <v>2025Round 1</v>
      </c>
      <c r="S2739" s="6">
        <f>IFERROR(__xludf.DUMMYFUNCTION("rank(J2739,FILTER(J:J,R:R=R2739))"),11.0)</f>
        <v>11</v>
      </c>
      <c r="T2739" s="6">
        <f t="shared" si="6"/>
        <v>1</v>
      </c>
      <c r="U2739" s="6">
        <f t="shared" si="7"/>
        <v>11</v>
      </c>
      <c r="V2739" s="42">
        <f>averageif(AllData!A:A,B2739,AllData!R:R)/vlookup(B2739,AllData!A:O,15,0)</f>
        <v>104.9271429</v>
      </c>
      <c r="W2739" s="6"/>
    </row>
    <row r="2740" ht="14.25" customHeight="1">
      <c r="A2740" s="6" t="str">
        <f t="shared" si="29"/>
        <v>2025Salty15</v>
      </c>
      <c r="B2740" s="59">
        <v>2025.0</v>
      </c>
      <c r="C2740" s="13" t="s">
        <v>76</v>
      </c>
      <c r="D2740" s="13" t="s">
        <v>112</v>
      </c>
      <c r="E2740" s="34"/>
      <c r="F2740" s="6"/>
      <c r="H2740" s="6"/>
      <c r="I2740" s="35" t="str">
        <f>IFERROR(IFERROR(IFERROR(VLOOKUP(B2740&amp;C2740&amp;Q2740,'New Weekly Paste'!A:M,10,0),VLOOKUP(B2740&amp;C2740&amp;Q2740,'New Weekly Paste'!B:O,6,0)),""),"")</f>
        <v>T-How</v>
      </c>
      <c r="J2740" s="259">
        <f>IFERROR(IFERROR(VLOOKUP(B2740&amp;C2740&amp;Q2740,'New Weekly Paste'!A:M,8,0),VLOOKUP(B2740&amp;C2740&amp;Q2740,'New Weekly Paste'!B:O,10,0)),0)</f>
        <v>112.7</v>
      </c>
      <c r="K2740" s="259">
        <f>IFERROR(IFERROR(VLOOKUP(B2740&amp;I2740&amp;Q2740,'New Weekly Paste'!A:M,8,0),VLOOKUP(B2740&amp;I2740&amp;Q2740,'New Weekly Paste'!B:O,10,0)),0)</f>
        <v>118.82</v>
      </c>
      <c r="L2740" s="239">
        <f t="shared" si="25"/>
        <v>0</v>
      </c>
      <c r="M2740" s="36" t="str">
        <f t="shared" si="3"/>
        <v>Playoffs</v>
      </c>
      <c r="N2740" s="239" t="str">
        <f t="shared" si="26"/>
        <v>T-How</v>
      </c>
      <c r="O2740" s="6">
        <f>VLOOKUP(D2740,'Mapped Opponent'!$G$4:$H$22,2,0)</f>
        <v>15</v>
      </c>
      <c r="P2740" s="6"/>
      <c r="Q2740" s="6" t="str">
        <f t="shared" si="4"/>
        <v>Week 15</v>
      </c>
      <c r="R2740" s="6" t="str">
        <f t="shared" si="5"/>
        <v>2025Round 1</v>
      </c>
      <c r="S2740" s="6">
        <f>IFERROR(__xludf.DUMMYFUNCTION("rank(J2740,FILTER(J:J,R:R=R2740))"),5.0)</f>
        <v>5</v>
      </c>
      <c r="T2740" s="6">
        <f t="shared" si="6"/>
        <v>7</v>
      </c>
      <c r="U2740" s="6">
        <f t="shared" si="7"/>
        <v>5</v>
      </c>
      <c r="V2740" s="42">
        <f>averageif(AllData!A:A,B2740,AllData!R:R)/vlookup(B2740,AllData!A:O,15,0)</f>
        <v>104.9271429</v>
      </c>
      <c r="W2740" s="6"/>
    </row>
    <row r="2741" ht="14.25" customHeight="1">
      <c r="A2741" s="6" t="str">
        <f t="shared" si="29"/>
        <v>2025Ewert15</v>
      </c>
      <c r="B2741" s="59">
        <v>2025.0</v>
      </c>
      <c r="C2741" s="13" t="s">
        <v>108</v>
      </c>
      <c r="D2741" s="13" t="s">
        <v>112</v>
      </c>
      <c r="E2741" s="34"/>
      <c r="F2741" s="6"/>
      <c r="H2741" s="6"/>
      <c r="I2741" s="35" t="str">
        <f>IFERROR(IFERROR(IFERROR(VLOOKUP(B2741&amp;C2741&amp;Q2741,'New Weekly Paste'!A:M,10,0),VLOOKUP(B2741&amp;C2741&amp;Q2741,'New Weekly Paste'!B:O,6,0)),""),"")</f>
        <v>Shep</v>
      </c>
      <c r="J2741" s="259">
        <f>IFERROR(IFERROR(VLOOKUP(B2741&amp;C2741&amp;Q2741,'New Weekly Paste'!A:M,8,0),VLOOKUP(B2741&amp;C2741&amp;Q2741,'New Weekly Paste'!B:O,10,0)),0)</f>
        <v>128.38</v>
      </c>
      <c r="K2741" s="259">
        <f>IFERROR(IFERROR(VLOOKUP(B2741&amp;I2741&amp;Q2741,'New Weekly Paste'!A:M,8,0),VLOOKUP(B2741&amp;I2741&amp;Q2741,'New Weekly Paste'!B:O,10,0)),0)</f>
        <v>97.68</v>
      </c>
      <c r="L2741" s="239">
        <f t="shared" si="25"/>
        <v>1</v>
      </c>
      <c r="M2741" s="36" t="str">
        <f t="shared" si="3"/>
        <v>Playoffs</v>
      </c>
      <c r="N2741" s="239" t="str">
        <f t="shared" si="26"/>
        <v>Shep</v>
      </c>
      <c r="O2741" s="6">
        <f>VLOOKUP(D2741,'Mapped Opponent'!$G$4:$H$22,2,0)</f>
        <v>15</v>
      </c>
      <c r="P2741" s="6"/>
      <c r="Q2741" s="6" t="str">
        <f t="shared" si="4"/>
        <v>Week 15</v>
      </c>
      <c r="R2741" s="6" t="str">
        <f t="shared" si="5"/>
        <v>2025Round 1</v>
      </c>
      <c r="S2741" s="6">
        <f>IFERROR(__xludf.DUMMYFUNCTION("rank(J2741,FILTER(J:J,R:R=R2741))"),3.0)</f>
        <v>3</v>
      </c>
      <c r="T2741" s="6">
        <f t="shared" si="6"/>
        <v>9</v>
      </c>
      <c r="U2741" s="6">
        <f t="shared" si="7"/>
        <v>3</v>
      </c>
      <c r="V2741" s="42">
        <f>averageif(AllData!A:A,B2741,AllData!R:R)/vlookup(B2741,AllData!A:O,15,0)</f>
        <v>104.9271429</v>
      </c>
      <c r="W2741" s="6"/>
    </row>
    <row r="2742" ht="14.25" customHeight="1">
      <c r="A2742" s="6" t="str">
        <f t="shared" si="29"/>
        <v>2025Shep15</v>
      </c>
      <c r="B2742" s="59">
        <v>2025.0</v>
      </c>
      <c r="C2742" s="13" t="s">
        <v>89</v>
      </c>
      <c r="D2742" s="13" t="s">
        <v>112</v>
      </c>
      <c r="E2742" s="34"/>
      <c r="F2742" s="6"/>
      <c r="H2742" s="6"/>
      <c r="I2742" s="35" t="str">
        <f>IFERROR(IFERROR(IFERROR(VLOOKUP(B2742&amp;C2742&amp;Q2742,'New Weekly Paste'!A:M,10,0),VLOOKUP(B2742&amp;C2742&amp;Q2742,'New Weekly Paste'!B:O,6,0)),""),"")</f>
        <v>Ewert</v>
      </c>
      <c r="J2742" s="259">
        <f>IFERROR(IFERROR(VLOOKUP(B2742&amp;C2742&amp;Q2742,'New Weekly Paste'!A:M,8,0),VLOOKUP(B2742&amp;C2742&amp;Q2742,'New Weekly Paste'!B:O,10,0)),0)</f>
        <v>97.68</v>
      </c>
      <c r="K2742" s="259">
        <f>IFERROR(IFERROR(VLOOKUP(B2742&amp;I2742&amp;Q2742,'New Weekly Paste'!A:M,8,0),VLOOKUP(B2742&amp;I2742&amp;Q2742,'New Weekly Paste'!B:O,10,0)),0)</f>
        <v>128.38</v>
      </c>
      <c r="L2742" s="239">
        <f t="shared" si="25"/>
        <v>0</v>
      </c>
      <c r="M2742" s="36" t="str">
        <f t="shared" si="3"/>
        <v>Playoffs</v>
      </c>
      <c r="N2742" s="239" t="str">
        <f t="shared" si="26"/>
        <v>Ewert</v>
      </c>
      <c r="O2742" s="6">
        <f>VLOOKUP(D2742,'Mapped Opponent'!$G$4:$H$22,2,0)</f>
        <v>15</v>
      </c>
      <c r="P2742" s="6"/>
      <c r="Q2742" s="6" t="str">
        <f t="shared" si="4"/>
        <v>Week 15</v>
      </c>
      <c r="R2742" s="6" t="str">
        <f t="shared" si="5"/>
        <v>2025Round 1</v>
      </c>
      <c r="S2742" s="6">
        <f>IFERROR(__xludf.DUMMYFUNCTION("rank(J2742,FILTER(J:J,R:R=R2742))"),8.0)</f>
        <v>8</v>
      </c>
      <c r="T2742" s="6">
        <f t="shared" si="6"/>
        <v>4</v>
      </c>
      <c r="U2742" s="6">
        <f t="shared" si="7"/>
        <v>8</v>
      </c>
      <c r="V2742" s="42">
        <f>averageif(AllData!A:A,B2742,AllData!R:R)/vlookup(B2742,AllData!A:O,15,0)</f>
        <v>104.9271429</v>
      </c>
      <c r="W2742" s="6"/>
    </row>
    <row r="2743" ht="14.25" customHeight="1">
      <c r="A2743" s="6" t="str">
        <f t="shared" si="29"/>
        <v>2025Riley15</v>
      </c>
      <c r="B2743" s="59">
        <v>2025.0</v>
      </c>
      <c r="C2743" s="13" t="s">
        <v>67</v>
      </c>
      <c r="D2743" s="13" t="s">
        <v>112</v>
      </c>
      <c r="E2743" s="34"/>
      <c r="F2743" s="6"/>
      <c r="H2743" s="6"/>
      <c r="I2743" s="35" t="str">
        <f>IFERROR(IFERROR(IFERROR(VLOOKUP(B2743&amp;C2743&amp;Q2743,'New Weekly Paste'!A:M,10,0),VLOOKUP(B2743&amp;C2743&amp;Q2743,'New Weekly Paste'!B:O,6,0)),""),"")</f>
        <v>Tayski</v>
      </c>
      <c r="J2743" s="259">
        <f>IFERROR(IFERROR(VLOOKUP(B2743&amp;C2743&amp;Q2743,'New Weekly Paste'!A:M,8,0),VLOOKUP(B2743&amp;C2743&amp;Q2743,'New Weekly Paste'!B:O,10,0)),0)</f>
        <v>98.7</v>
      </c>
      <c r="K2743" s="259">
        <f>IFERROR(IFERROR(VLOOKUP(B2743&amp;I2743&amp;Q2743,'New Weekly Paste'!A:M,8,0),VLOOKUP(B2743&amp;I2743&amp;Q2743,'New Weekly Paste'!B:O,10,0)),0)</f>
        <v>65.74</v>
      </c>
      <c r="L2743" s="239">
        <f t="shared" si="25"/>
        <v>1</v>
      </c>
      <c r="M2743" s="36" t="str">
        <f t="shared" si="3"/>
        <v>Playoffs</v>
      </c>
      <c r="N2743" s="239" t="str">
        <f t="shared" si="26"/>
        <v>Tayski</v>
      </c>
      <c r="O2743" s="6">
        <f>VLOOKUP(D2743,'Mapped Opponent'!$G$4:$H$22,2,0)</f>
        <v>15</v>
      </c>
      <c r="P2743" s="6"/>
      <c r="Q2743" s="6" t="str">
        <f t="shared" si="4"/>
        <v>Week 15</v>
      </c>
      <c r="R2743" s="6" t="str">
        <f t="shared" si="5"/>
        <v>2025Round 1</v>
      </c>
      <c r="S2743" s="6">
        <f>IFERROR(__xludf.DUMMYFUNCTION("rank(J2743,FILTER(J:J,R:R=R2743))"),7.0)</f>
        <v>7</v>
      </c>
      <c r="T2743" s="6">
        <f t="shared" si="6"/>
        <v>5</v>
      </c>
      <c r="U2743" s="6">
        <f t="shared" si="7"/>
        <v>7</v>
      </c>
      <c r="V2743" s="42">
        <f>averageif(AllData!A:A,B2743,AllData!R:R)/vlookup(B2743,AllData!A:O,15,0)</f>
        <v>104.9271429</v>
      </c>
      <c r="W2743" s="6"/>
    </row>
    <row r="2744" ht="14.25" customHeight="1">
      <c r="A2744" s="6" t="str">
        <f t="shared" si="29"/>
        <v>2025Rooney/Jackson15</v>
      </c>
      <c r="B2744" s="59">
        <v>2025.0</v>
      </c>
      <c r="C2744" s="13" t="s">
        <v>57</v>
      </c>
      <c r="D2744" s="13" t="s">
        <v>112</v>
      </c>
      <c r="E2744" s="34"/>
      <c r="F2744" s="6"/>
      <c r="H2744" s="6"/>
      <c r="I2744" s="35" t="str">
        <f>IFERROR(IFERROR(IFERROR(VLOOKUP(B2744&amp;C2744&amp;Q2744,'New Weekly Paste'!A:M,10,0),VLOOKUP(B2744&amp;C2744&amp;Q2744,'New Weekly Paste'!B:O,6,0)),""),"")</f>
        <v>Cock</v>
      </c>
      <c r="J2744" s="259">
        <f>IFERROR(IFERROR(VLOOKUP(B2744&amp;C2744&amp;Q2744,'New Weekly Paste'!A:M,8,0),VLOOKUP(B2744&amp;C2744&amp;Q2744,'New Weekly Paste'!B:O,10,0)),0)</f>
        <v>157.3</v>
      </c>
      <c r="K2744" s="259">
        <f>IFERROR(IFERROR(VLOOKUP(B2744&amp;I2744&amp;Q2744,'New Weekly Paste'!A:M,8,0),VLOOKUP(B2744&amp;I2744&amp;Q2744,'New Weekly Paste'!B:O,10,0)),0)</f>
        <v>96.1</v>
      </c>
      <c r="L2744" s="239">
        <f t="shared" si="25"/>
        <v>1</v>
      </c>
      <c r="M2744" s="36" t="str">
        <f t="shared" si="3"/>
        <v>Playoffs</v>
      </c>
      <c r="N2744" s="239" t="str">
        <f t="shared" si="26"/>
        <v>Cock</v>
      </c>
      <c r="O2744" s="6">
        <f>VLOOKUP(D2744,'Mapped Opponent'!$G$4:$H$22,2,0)</f>
        <v>15</v>
      </c>
      <c r="P2744" s="6"/>
      <c r="Q2744" s="6" t="str">
        <f t="shared" si="4"/>
        <v>Week 15</v>
      </c>
      <c r="R2744" s="6" t="str">
        <f t="shared" si="5"/>
        <v>2025Round 1</v>
      </c>
      <c r="S2744" s="6">
        <f>IFERROR(__xludf.DUMMYFUNCTION("rank(J2744,FILTER(J:J,R:R=R2744))"),1.0)</f>
        <v>1</v>
      </c>
      <c r="T2744" s="6">
        <f t="shared" si="6"/>
        <v>11</v>
      </c>
      <c r="U2744" s="6">
        <f t="shared" si="7"/>
        <v>1</v>
      </c>
      <c r="V2744" s="42">
        <f>averageif(AllData!A:A,B2744,AllData!R:R)/vlookup(B2744,AllData!A:O,15,0)</f>
        <v>104.9271429</v>
      </c>
      <c r="W2744" s="6"/>
    </row>
    <row r="2745" ht="14.25" customHeight="1">
      <c r="A2745" s="6" t="str">
        <f t="shared" si="29"/>
        <v>2025Buser15</v>
      </c>
      <c r="B2745" s="59">
        <v>2025.0</v>
      </c>
      <c r="C2745" s="13" t="s">
        <v>47</v>
      </c>
      <c r="D2745" s="13" t="s">
        <v>112</v>
      </c>
      <c r="E2745" s="34"/>
      <c r="F2745" s="6"/>
      <c r="H2745" s="6"/>
      <c r="I2745" s="35" t="str">
        <f>IFERROR(IFERROR(IFERROR(VLOOKUP(B2745&amp;C2745&amp;Q2745,'New Weekly Paste'!A:M,10,0),VLOOKUP(B2745&amp;C2745&amp;Q2745,'New Weekly Paste'!B:O,6,0)),""),"")</f>
        <v/>
      </c>
      <c r="J2745" s="239">
        <f>IFERROR(IFERROR(VLOOKUP(B2745&amp;C2745&amp;Q2745,'New Weekly Paste'!A:M,8,0),VLOOKUP(B2745&amp;C2745&amp;Q2745,'New Weekly Paste'!B:O,10,0)),0)</f>
        <v>0</v>
      </c>
      <c r="K2745" s="239">
        <f>IFERROR(IFERROR(VLOOKUP(B2745&amp;I2745&amp;Q2745,'New Weekly Paste'!A:M,8,0),VLOOKUP(B2745&amp;I2745&amp;Q2745,'New Weekly Paste'!B:O,10,0)),0)</f>
        <v>0</v>
      </c>
      <c r="L2745" s="239">
        <f t="shared" si="25"/>
        <v>0</v>
      </c>
      <c r="M2745" s="36" t="str">
        <f t="shared" si="3"/>
        <v>Playoffs</v>
      </c>
      <c r="N2745" s="239" t="str">
        <f t="shared" si="26"/>
        <v/>
      </c>
      <c r="O2745" s="6">
        <f>VLOOKUP(D2745,'Mapped Opponent'!$G$4:$H$22,2,0)</f>
        <v>15</v>
      </c>
      <c r="P2745" s="6"/>
      <c r="Q2745" s="6" t="str">
        <f t="shared" si="4"/>
        <v>Week 15</v>
      </c>
      <c r="R2745" s="6" t="str">
        <f t="shared" si="5"/>
        <v>2025Round 1</v>
      </c>
      <c r="S2745" s="6">
        <f>IFERROR(__xludf.DUMMYFUNCTION("rank(J2745,FILTER(J:J,R:R=R2745))"),11.0)</f>
        <v>11</v>
      </c>
      <c r="T2745" s="6">
        <f t="shared" si="6"/>
        <v>1</v>
      </c>
      <c r="U2745" s="6">
        <f t="shared" si="7"/>
        <v>11</v>
      </c>
      <c r="V2745" s="42">
        <f>averageif(AllData!A:A,B2745,AllData!R:R)/vlookup(B2745,AllData!A:O,15,0)</f>
        <v>104.9271429</v>
      </c>
      <c r="W2745" s="6"/>
    </row>
    <row r="2746" ht="14.25" customHeight="1">
      <c r="A2746" s="6" t="str">
        <f t="shared" si="29"/>
        <v>2025Pierson15</v>
      </c>
      <c r="B2746" s="59">
        <v>2025.0</v>
      </c>
      <c r="C2746" s="13" t="s">
        <v>92</v>
      </c>
      <c r="D2746" s="13" t="s">
        <v>112</v>
      </c>
      <c r="E2746" s="34"/>
      <c r="F2746" s="6"/>
      <c r="H2746" s="6"/>
      <c r="I2746" s="35" t="str">
        <f>IFERROR(IFERROR(IFERROR(VLOOKUP(B2746&amp;C2746&amp;Q2746,'New Weekly Paste'!A:M,10,0),VLOOKUP(B2746&amp;C2746&amp;Q2746,'New Weekly Paste'!B:O,6,0)),""),"")</f>
        <v>KnardDawg</v>
      </c>
      <c r="J2746" s="259">
        <f>IFERROR(IFERROR(VLOOKUP(B2746&amp;C2746&amp;Q2746,'New Weekly Paste'!A:M,8,0),VLOOKUP(B2746&amp;C2746&amp;Q2746,'New Weekly Paste'!B:O,10,0)),0)</f>
        <v>132.74</v>
      </c>
      <c r="K2746" s="259">
        <f>IFERROR(IFERROR(VLOOKUP(B2746&amp;I2746&amp;Q2746,'New Weekly Paste'!A:M,8,0),VLOOKUP(B2746&amp;I2746&amp;Q2746,'New Weekly Paste'!B:O,10,0)),0)</f>
        <v>109.62</v>
      </c>
      <c r="L2746" s="239">
        <f t="shared" si="25"/>
        <v>1</v>
      </c>
      <c r="M2746" s="36" t="str">
        <f t="shared" si="3"/>
        <v>Playoffs</v>
      </c>
      <c r="N2746" s="239" t="str">
        <f t="shared" si="26"/>
        <v>KnardDawg</v>
      </c>
      <c r="O2746" s="6">
        <f>VLOOKUP(D2746,'Mapped Opponent'!$G$4:$H$22,2,0)</f>
        <v>15</v>
      </c>
      <c r="P2746" s="6"/>
      <c r="Q2746" s="6" t="str">
        <f t="shared" si="4"/>
        <v>Week 15</v>
      </c>
      <c r="R2746" s="6" t="str">
        <f t="shared" si="5"/>
        <v>2025Round 1</v>
      </c>
      <c r="S2746" s="6">
        <f>IFERROR(__xludf.DUMMYFUNCTION("rank(J2746,FILTER(J:J,R:R=R2746))"),2.0)</f>
        <v>2</v>
      </c>
      <c r="T2746" s="6">
        <f t="shared" si="6"/>
        <v>10</v>
      </c>
      <c r="U2746" s="6">
        <f t="shared" si="7"/>
        <v>2</v>
      </c>
      <c r="V2746" s="42">
        <f>averageif(AllData!A:A,B2746,AllData!R:R)/vlookup(B2746,AllData!A:O,15,0)</f>
        <v>104.9271429</v>
      </c>
      <c r="W2746" s="6"/>
    </row>
    <row r="2747" ht="14.25" customHeight="1">
      <c r="A2747" s="6" t="str">
        <f t="shared" si="29"/>
        <v>2025Cock15</v>
      </c>
      <c r="B2747" s="59">
        <v>2025.0</v>
      </c>
      <c r="C2747" s="13" t="s">
        <v>72</v>
      </c>
      <c r="D2747" s="13" t="s">
        <v>112</v>
      </c>
      <c r="E2747" s="34"/>
      <c r="F2747" s="6"/>
      <c r="H2747" s="6"/>
      <c r="I2747" s="35" t="str">
        <f>IFERROR(IFERROR(IFERROR(VLOOKUP(B2747&amp;C2747&amp;Q2747,'New Weekly Paste'!A:M,10,0),VLOOKUP(B2747&amp;C2747&amp;Q2747,'New Weekly Paste'!B:O,6,0)),""),"")</f>
        <v>Rooney/Jackson</v>
      </c>
      <c r="J2747" s="259">
        <f>IFERROR(IFERROR(VLOOKUP(B2747&amp;C2747&amp;Q2747,'New Weekly Paste'!A:M,8,0),VLOOKUP(B2747&amp;C2747&amp;Q2747,'New Weekly Paste'!B:O,10,0)),0)</f>
        <v>96.1</v>
      </c>
      <c r="K2747" s="259">
        <f>IFERROR(IFERROR(VLOOKUP(B2747&amp;I2747&amp;Q2747,'New Weekly Paste'!A:M,8,0),VLOOKUP(B2747&amp;I2747&amp;Q2747,'New Weekly Paste'!B:O,10,0)),0)</f>
        <v>157.3</v>
      </c>
      <c r="L2747" s="239">
        <f t="shared" si="25"/>
        <v>0</v>
      </c>
      <c r="M2747" s="36" t="str">
        <f t="shared" si="3"/>
        <v>Playoffs</v>
      </c>
      <c r="N2747" s="239" t="str">
        <f t="shared" si="26"/>
        <v>Rooney/Jackson</v>
      </c>
      <c r="O2747" s="6">
        <f>VLOOKUP(D2747,'Mapped Opponent'!$G$4:$H$22,2,0)</f>
        <v>15</v>
      </c>
      <c r="P2747" s="6"/>
      <c r="Q2747" s="6" t="str">
        <f t="shared" si="4"/>
        <v>Week 15</v>
      </c>
      <c r="R2747" s="6" t="str">
        <f t="shared" si="5"/>
        <v>2025Round 1</v>
      </c>
      <c r="S2747" s="6">
        <f>IFERROR(__xludf.DUMMYFUNCTION("rank(J2747,FILTER(J:J,R:R=R2747))"),9.0)</f>
        <v>9</v>
      </c>
      <c r="T2747" s="6">
        <f t="shared" si="6"/>
        <v>3</v>
      </c>
      <c r="U2747" s="6">
        <f t="shared" si="7"/>
        <v>9</v>
      </c>
      <c r="V2747" s="42">
        <f>averageif(AllData!A:A,B2747,AllData!R:R)/vlookup(B2747,AllData!A:O,15,0)</f>
        <v>104.9271429</v>
      </c>
      <c r="W2747" s="6"/>
    </row>
    <row r="2748" ht="14.25" customHeight="1">
      <c r="A2748" s="6" t="str">
        <f t="shared" si="29"/>
        <v>2025Tayski15</v>
      </c>
      <c r="B2748" s="59">
        <v>2025.0</v>
      </c>
      <c r="C2748" s="13" t="s">
        <v>52</v>
      </c>
      <c r="D2748" s="13" t="s">
        <v>112</v>
      </c>
      <c r="E2748" s="34"/>
      <c r="F2748" s="6"/>
      <c r="H2748" s="6"/>
      <c r="I2748" s="35" t="str">
        <f>IFERROR(IFERROR(IFERROR(VLOOKUP(B2748&amp;C2748&amp;Q2748,'New Weekly Paste'!A:M,10,0),VLOOKUP(B2748&amp;C2748&amp;Q2748,'New Weekly Paste'!B:O,6,0)),""),"")</f>
        <v>Riley</v>
      </c>
      <c r="J2748" s="259">
        <f>IFERROR(IFERROR(VLOOKUP(B2748&amp;C2748&amp;Q2748,'New Weekly Paste'!A:M,8,0),VLOOKUP(B2748&amp;C2748&amp;Q2748,'New Weekly Paste'!B:O,10,0)),0)</f>
        <v>65.74</v>
      </c>
      <c r="K2748" s="259">
        <f>IFERROR(IFERROR(VLOOKUP(B2748&amp;I2748&amp;Q2748,'New Weekly Paste'!A:M,8,0),VLOOKUP(B2748&amp;I2748&amp;Q2748,'New Weekly Paste'!B:O,10,0)),0)</f>
        <v>98.7</v>
      </c>
      <c r="L2748" s="239">
        <f t="shared" si="25"/>
        <v>0</v>
      </c>
      <c r="M2748" s="36" t="str">
        <f t="shared" si="3"/>
        <v>Playoffs</v>
      </c>
      <c r="N2748" s="239" t="str">
        <f t="shared" si="26"/>
        <v>Riley</v>
      </c>
      <c r="O2748" s="6">
        <f>VLOOKUP(D2748,'Mapped Opponent'!$G$4:$H$22,2,0)</f>
        <v>15</v>
      </c>
      <c r="P2748" s="6"/>
      <c r="Q2748" s="6" t="str">
        <f t="shared" si="4"/>
        <v>Week 15</v>
      </c>
      <c r="R2748" s="6" t="str">
        <f t="shared" si="5"/>
        <v>2025Round 1</v>
      </c>
      <c r="S2748" s="6">
        <f>IFERROR(__xludf.DUMMYFUNCTION("rank(J2748,FILTER(J:J,R:R=R2748))"),10.0)</f>
        <v>10</v>
      </c>
      <c r="T2748" s="6">
        <f t="shared" si="6"/>
        <v>2</v>
      </c>
      <c r="U2748" s="6">
        <f t="shared" si="7"/>
        <v>10</v>
      </c>
      <c r="V2748" s="42">
        <f>averageif(AllData!A:A,B2748,AllData!R:R)/vlookup(B2748,AllData!A:O,15,0)</f>
        <v>104.9271429</v>
      </c>
      <c r="W2748" s="6"/>
    </row>
    <row r="2749" ht="14.25" customHeight="1">
      <c r="A2749" s="6" t="str">
        <f t="shared" si="29"/>
        <v>2025KnardDawg15</v>
      </c>
      <c r="B2749" s="59">
        <v>2025.0</v>
      </c>
      <c r="C2749" s="13" t="s">
        <v>86</v>
      </c>
      <c r="D2749" s="13" t="s">
        <v>112</v>
      </c>
      <c r="E2749" s="34"/>
      <c r="F2749" s="6"/>
      <c r="H2749" s="6"/>
      <c r="I2749" s="35" t="str">
        <f>IFERROR(IFERROR(IFERROR(VLOOKUP(B2749&amp;C2749&amp;Q2749,'New Weekly Paste'!A:M,10,0),VLOOKUP(B2749&amp;C2749&amp;Q2749,'New Weekly Paste'!B:O,6,0)),""),"")</f>
        <v>Pierson</v>
      </c>
      <c r="J2749" s="259">
        <f>IFERROR(IFERROR(VLOOKUP(B2749&amp;C2749&amp;Q2749,'New Weekly Paste'!A:M,8,0),VLOOKUP(B2749&amp;C2749&amp;Q2749,'New Weekly Paste'!B:O,10,0)),0)</f>
        <v>109.62</v>
      </c>
      <c r="K2749" s="259">
        <f>IFERROR(IFERROR(VLOOKUP(B2749&amp;I2749&amp;Q2749,'New Weekly Paste'!A:M,8,0),VLOOKUP(B2749&amp;I2749&amp;Q2749,'New Weekly Paste'!B:O,10,0)),0)</f>
        <v>132.74</v>
      </c>
      <c r="L2749" s="239">
        <f t="shared" si="25"/>
        <v>0</v>
      </c>
      <c r="M2749" s="36" t="str">
        <f t="shared" si="3"/>
        <v>Playoffs</v>
      </c>
      <c r="N2749" s="239" t="str">
        <f t="shared" si="26"/>
        <v>Pierson</v>
      </c>
      <c r="O2749" s="6">
        <f>VLOOKUP(D2749,'Mapped Opponent'!$G$4:$H$22,2,0)</f>
        <v>15</v>
      </c>
      <c r="P2749" s="6"/>
      <c r="Q2749" s="6" t="str">
        <f t="shared" si="4"/>
        <v>Week 15</v>
      </c>
      <c r="R2749" s="6" t="str">
        <f t="shared" si="5"/>
        <v>2025Round 1</v>
      </c>
      <c r="S2749" s="6">
        <f>IFERROR(__xludf.DUMMYFUNCTION("rank(J2749,FILTER(J:J,R:R=R2749))"),6.0)</f>
        <v>6</v>
      </c>
      <c r="T2749" s="6">
        <f t="shared" si="6"/>
        <v>6</v>
      </c>
      <c r="U2749" s="6">
        <f t="shared" si="7"/>
        <v>6</v>
      </c>
      <c r="V2749" s="42">
        <f>averageif(AllData!A:A,B2749,AllData!R:R)/vlookup(B2749,AllData!A:O,15,0)</f>
        <v>104.9271429</v>
      </c>
      <c r="W2749" s="6"/>
    </row>
    <row r="2750" ht="14.25" customHeight="1">
      <c r="A2750" s="6" t="str">
        <f t="shared" si="29"/>
        <v>2025T-How15</v>
      </c>
      <c r="B2750" s="59">
        <v>2025.0</v>
      </c>
      <c r="C2750" s="13" t="s">
        <v>82</v>
      </c>
      <c r="D2750" s="13" t="s">
        <v>112</v>
      </c>
      <c r="E2750" s="34"/>
      <c r="F2750" s="6"/>
      <c r="H2750" s="6"/>
      <c r="I2750" s="35" t="str">
        <f>IFERROR(IFERROR(IFERROR(VLOOKUP(B2750&amp;C2750&amp;Q2750,'New Weekly Paste'!A:M,10,0),VLOOKUP(B2750&amp;C2750&amp;Q2750,'New Weekly Paste'!B:O,6,0)),""),"")</f>
        <v>Salty</v>
      </c>
      <c r="J2750" s="259">
        <f>IFERROR(IFERROR(VLOOKUP(B2750&amp;C2750&amp;Q2750,'New Weekly Paste'!A:M,8,0),VLOOKUP(B2750&amp;C2750&amp;Q2750,'New Weekly Paste'!B:O,10,0)),0)</f>
        <v>118.82</v>
      </c>
      <c r="K2750" s="259">
        <f>IFERROR(IFERROR(VLOOKUP(B2750&amp;I2750&amp;Q2750,'New Weekly Paste'!A:M,8,0),VLOOKUP(B2750&amp;I2750&amp;Q2750,'New Weekly Paste'!B:O,10,0)),0)</f>
        <v>112.7</v>
      </c>
      <c r="L2750" s="239">
        <f t="shared" si="25"/>
        <v>1</v>
      </c>
      <c r="M2750" s="36" t="str">
        <f t="shared" si="3"/>
        <v>Playoffs</v>
      </c>
      <c r="N2750" s="239" t="str">
        <f t="shared" si="26"/>
        <v>Salty</v>
      </c>
      <c r="O2750" s="6">
        <f>VLOOKUP(D2750,'Mapped Opponent'!$G$4:$H$22,2,0)</f>
        <v>15</v>
      </c>
      <c r="P2750" s="6"/>
      <c r="Q2750" s="6" t="str">
        <f t="shared" si="4"/>
        <v>Week 15</v>
      </c>
      <c r="R2750" s="6" t="str">
        <f t="shared" si="5"/>
        <v>2025Round 1</v>
      </c>
      <c r="S2750" s="6">
        <f>IFERROR(__xludf.DUMMYFUNCTION("rank(J2750,FILTER(J:J,R:R=R2750))"),4.0)</f>
        <v>4</v>
      </c>
      <c r="T2750" s="6">
        <f t="shared" si="6"/>
        <v>8</v>
      </c>
      <c r="U2750" s="6">
        <f t="shared" si="7"/>
        <v>4</v>
      </c>
      <c r="V2750" s="42">
        <f>averageif(AllData!A:A,B2750,AllData!R:R)/vlookup(B2750,AllData!A:O,15,0)</f>
        <v>104.9271429</v>
      </c>
      <c r="W2750" s="6"/>
    </row>
    <row r="2751" ht="14.25" customHeight="1">
      <c r="A2751" s="6" t="str">
        <f t="shared" si="29"/>
        <v>2025Hudspeath16</v>
      </c>
      <c r="B2751" s="59">
        <v>2025.0</v>
      </c>
      <c r="C2751" s="13" t="s">
        <v>39</v>
      </c>
      <c r="D2751" s="13" t="s">
        <v>153</v>
      </c>
      <c r="E2751" s="34"/>
      <c r="F2751" s="6"/>
      <c r="H2751" s="6"/>
      <c r="I2751" s="35" t="str">
        <f>IFERROR(IFERROR(IFERROR(VLOOKUP(B2751&amp;C2751&amp;Q2751,'New Weekly Paste'!A:M,10,0),VLOOKUP(B2751&amp;C2751&amp;Q2751,'New Weekly Paste'!B:O,6,0)),""),"")</f>
        <v>Ewert</v>
      </c>
      <c r="J2751" s="259">
        <f>IFERROR(IFERROR(VLOOKUP(B2751&amp;C2751&amp;Q2751,'New Weekly Paste'!A:M,8,0),VLOOKUP(B2751&amp;C2751&amp;Q2751,'New Weekly Paste'!B:O,10,0)),0)</f>
        <v>119.56</v>
      </c>
      <c r="K2751" s="259">
        <f>IFERROR(IFERROR(VLOOKUP(B2751&amp;I2751&amp;Q2751,'New Weekly Paste'!A:M,8,0),VLOOKUP(B2751&amp;I2751&amp;Q2751,'New Weekly Paste'!B:O,10,0)),0)</f>
        <v>86.3</v>
      </c>
      <c r="L2751" s="239">
        <f t="shared" si="25"/>
        <v>1</v>
      </c>
      <c r="M2751" s="36" t="str">
        <f t="shared" si="3"/>
        <v>Playoffs</v>
      </c>
      <c r="N2751" s="239" t="str">
        <f t="shared" si="26"/>
        <v>Ewert</v>
      </c>
      <c r="O2751" s="6">
        <f>VLOOKUP(D2751,'Mapped Opponent'!$G$4:$H$22,2,0)</f>
        <v>16</v>
      </c>
      <c r="P2751" s="6"/>
      <c r="Q2751" s="6" t="str">
        <f t="shared" si="4"/>
        <v>Week 16</v>
      </c>
      <c r="R2751" s="6" t="str">
        <f t="shared" si="5"/>
        <v>2025Round 2</v>
      </c>
      <c r="S2751" s="6">
        <f>IFERROR(__xludf.DUMMYFUNCTION("rank(J2751,FILTER(J:J,R:R=R2751))"),3.0)</f>
        <v>3</v>
      </c>
      <c r="T2751" s="6">
        <f t="shared" si="6"/>
        <v>9</v>
      </c>
      <c r="U2751" s="6">
        <f t="shared" si="7"/>
        <v>3</v>
      </c>
      <c r="V2751" s="42">
        <f>averageif(AllData!A:A,B2751,AllData!R:R)/vlookup(B2751,AllData!A:O,15,0)</f>
        <v>104.9271429</v>
      </c>
      <c r="W2751" s="6"/>
    </row>
    <row r="2752" ht="14.25" customHeight="1">
      <c r="A2752" s="6" t="str">
        <f t="shared" si="29"/>
        <v>2025Salty16</v>
      </c>
      <c r="B2752" s="59">
        <v>2025.0</v>
      </c>
      <c r="C2752" s="13" t="s">
        <v>76</v>
      </c>
      <c r="D2752" s="13" t="s">
        <v>153</v>
      </c>
      <c r="E2752" s="34"/>
      <c r="F2752" s="6"/>
      <c r="H2752" s="6"/>
      <c r="I2752" s="35" t="str">
        <f>IFERROR(IFERROR(IFERROR(VLOOKUP(B2752&amp;C2752&amp;Q2752,'New Weekly Paste'!A:M,10,0),VLOOKUP(B2752&amp;C2752&amp;Q2752,'New Weekly Paste'!B:O,6,0)),""),"")</f>
        <v>Riley</v>
      </c>
      <c r="J2752" s="259">
        <f>IFERROR(IFERROR(VLOOKUP(B2752&amp;C2752&amp;Q2752,'New Weekly Paste'!A:M,8,0),VLOOKUP(B2752&amp;C2752&amp;Q2752,'New Weekly Paste'!B:O,10,0)),0)</f>
        <v>102.74</v>
      </c>
      <c r="K2752" s="259">
        <f>IFERROR(IFERROR(VLOOKUP(B2752&amp;I2752&amp;Q2752,'New Weekly Paste'!A:M,8,0),VLOOKUP(B2752&amp;I2752&amp;Q2752,'New Weekly Paste'!B:O,10,0)),0)</f>
        <v>143.9</v>
      </c>
      <c r="L2752" s="239">
        <f t="shared" si="25"/>
        <v>0</v>
      </c>
      <c r="M2752" s="36" t="str">
        <f t="shared" si="3"/>
        <v>Playoffs</v>
      </c>
      <c r="N2752" s="239" t="str">
        <f t="shared" si="26"/>
        <v>Riley</v>
      </c>
      <c r="O2752" s="6">
        <f>VLOOKUP(D2752,'Mapped Opponent'!$G$4:$H$22,2,0)</f>
        <v>16</v>
      </c>
      <c r="P2752" s="6"/>
      <c r="Q2752" s="6" t="str">
        <f t="shared" si="4"/>
        <v>Week 16</v>
      </c>
      <c r="R2752" s="6" t="str">
        <f t="shared" si="5"/>
        <v>2025Round 2</v>
      </c>
      <c r="S2752" s="6">
        <f>IFERROR(__xludf.DUMMYFUNCTION("rank(J2752,FILTER(J:J,R:R=R2752))"),6.0)</f>
        <v>6</v>
      </c>
      <c r="T2752" s="6">
        <f t="shared" si="6"/>
        <v>6</v>
      </c>
      <c r="U2752" s="6">
        <f t="shared" si="7"/>
        <v>6</v>
      </c>
      <c r="V2752" s="42">
        <f>averageif(AllData!A:A,B2752,AllData!R:R)/vlookup(B2752,AllData!A:O,15,0)</f>
        <v>104.9271429</v>
      </c>
      <c r="W2752" s="6"/>
    </row>
    <row r="2753" ht="14.25" customHeight="1">
      <c r="A2753" s="6" t="str">
        <f t="shared" si="29"/>
        <v>2025Ewert16</v>
      </c>
      <c r="B2753" s="59">
        <v>2025.0</v>
      </c>
      <c r="C2753" s="13" t="s">
        <v>108</v>
      </c>
      <c r="D2753" s="13" t="s">
        <v>153</v>
      </c>
      <c r="E2753" s="34"/>
      <c r="F2753" s="6"/>
      <c r="H2753" s="6"/>
      <c r="I2753" s="35" t="str">
        <f>IFERROR(IFERROR(IFERROR(VLOOKUP(B2753&amp;C2753&amp;Q2753,'New Weekly Paste'!A:M,10,0),VLOOKUP(B2753&amp;C2753&amp;Q2753,'New Weekly Paste'!B:O,6,0)),""),"")</f>
        <v>Hudspeath</v>
      </c>
      <c r="J2753" s="259">
        <f>IFERROR(IFERROR(VLOOKUP(B2753&amp;C2753&amp;Q2753,'New Weekly Paste'!A:M,8,0),VLOOKUP(B2753&amp;C2753&amp;Q2753,'New Weekly Paste'!B:O,10,0)),0)</f>
        <v>86.3</v>
      </c>
      <c r="K2753" s="259">
        <f>IFERROR(IFERROR(VLOOKUP(B2753&amp;I2753&amp;Q2753,'New Weekly Paste'!A:M,8,0),VLOOKUP(B2753&amp;I2753&amp;Q2753,'New Weekly Paste'!B:O,10,0)),0)</f>
        <v>119.56</v>
      </c>
      <c r="L2753" s="239">
        <f t="shared" si="25"/>
        <v>0</v>
      </c>
      <c r="M2753" s="36" t="str">
        <f t="shared" si="3"/>
        <v>Playoffs</v>
      </c>
      <c r="N2753" s="239" t="str">
        <f t="shared" si="26"/>
        <v>Hudspeath</v>
      </c>
      <c r="O2753" s="6">
        <f>VLOOKUP(D2753,'Mapped Opponent'!$G$4:$H$22,2,0)</f>
        <v>16</v>
      </c>
      <c r="P2753" s="6"/>
      <c r="Q2753" s="6" t="str">
        <f t="shared" si="4"/>
        <v>Week 16</v>
      </c>
      <c r="R2753" s="6" t="str">
        <f t="shared" si="5"/>
        <v>2025Round 2</v>
      </c>
      <c r="S2753" s="6">
        <f>IFERROR(__xludf.DUMMYFUNCTION("rank(J2753,FILTER(J:J,R:R=R2753))"),11.0)</f>
        <v>11</v>
      </c>
      <c r="T2753" s="6">
        <f t="shared" si="6"/>
        <v>1</v>
      </c>
      <c r="U2753" s="6">
        <f t="shared" si="7"/>
        <v>11</v>
      </c>
      <c r="V2753" s="42">
        <f>averageif(AllData!A:A,B2753,AllData!R:R)/vlookup(B2753,AllData!A:O,15,0)</f>
        <v>104.9271429</v>
      </c>
      <c r="W2753" s="6"/>
    </row>
    <row r="2754" ht="14.25" customHeight="1">
      <c r="A2754" s="6" t="str">
        <f t="shared" si="29"/>
        <v>2025Shep16</v>
      </c>
      <c r="B2754" s="59">
        <v>2025.0</v>
      </c>
      <c r="C2754" s="13" t="s">
        <v>89</v>
      </c>
      <c r="D2754" s="13" t="s">
        <v>153</v>
      </c>
      <c r="E2754" s="34"/>
      <c r="F2754" s="6"/>
      <c r="H2754" s="6"/>
      <c r="I2754" s="35" t="str">
        <f>IFERROR(IFERROR(IFERROR(VLOOKUP(B2754&amp;C2754&amp;Q2754,'New Weekly Paste'!A:M,10,0),VLOOKUP(B2754&amp;C2754&amp;Q2754,'New Weekly Paste'!B:O,6,0)),""),"")</f>
        <v>Cock</v>
      </c>
      <c r="J2754" s="259">
        <f>IFERROR(IFERROR(VLOOKUP(B2754&amp;C2754&amp;Q2754,'New Weekly Paste'!A:M,8,0),VLOOKUP(B2754&amp;C2754&amp;Q2754,'New Weekly Paste'!B:O,10,0)),0)</f>
        <v>109.8</v>
      </c>
      <c r="K2754" s="259">
        <f>IFERROR(IFERROR(VLOOKUP(B2754&amp;I2754&amp;Q2754,'New Weekly Paste'!A:M,8,0),VLOOKUP(B2754&amp;I2754&amp;Q2754,'New Weekly Paste'!B:O,10,0)),0)</f>
        <v>90.7</v>
      </c>
      <c r="L2754" s="239">
        <f t="shared" si="25"/>
        <v>1</v>
      </c>
      <c r="M2754" s="36" t="str">
        <f t="shared" si="3"/>
        <v>Playoffs</v>
      </c>
      <c r="N2754" s="239" t="str">
        <f t="shared" si="26"/>
        <v>Cock</v>
      </c>
      <c r="O2754" s="6">
        <f>VLOOKUP(D2754,'Mapped Opponent'!$G$4:$H$22,2,0)</f>
        <v>16</v>
      </c>
      <c r="P2754" s="6"/>
      <c r="Q2754" s="6" t="str">
        <f t="shared" si="4"/>
        <v>Week 16</v>
      </c>
      <c r="R2754" s="6" t="str">
        <f t="shared" si="5"/>
        <v>2025Round 2</v>
      </c>
      <c r="S2754" s="6">
        <f>IFERROR(__xludf.DUMMYFUNCTION("rank(J2754,FILTER(J:J,R:R=R2754))"),4.0)</f>
        <v>4</v>
      </c>
      <c r="T2754" s="6">
        <f t="shared" si="6"/>
        <v>8</v>
      </c>
      <c r="U2754" s="6">
        <f t="shared" si="7"/>
        <v>4</v>
      </c>
      <c r="V2754" s="42">
        <f>averageif(AllData!A:A,B2754,AllData!R:R)/vlookup(B2754,AllData!A:O,15,0)</f>
        <v>104.9271429</v>
      </c>
      <c r="W2754" s="6"/>
    </row>
    <row r="2755" ht="14.25" customHeight="1">
      <c r="A2755" s="6" t="str">
        <f t="shared" si="29"/>
        <v>2025Riley16</v>
      </c>
      <c r="B2755" s="59">
        <v>2025.0</v>
      </c>
      <c r="C2755" s="13" t="s">
        <v>67</v>
      </c>
      <c r="D2755" s="13" t="s">
        <v>153</v>
      </c>
      <c r="E2755" s="34"/>
      <c r="F2755" s="6"/>
      <c r="H2755" s="6"/>
      <c r="I2755" s="35" t="str">
        <f>IFERROR(IFERROR(IFERROR(VLOOKUP(B2755&amp;C2755&amp;Q2755,'New Weekly Paste'!A:M,10,0),VLOOKUP(B2755&amp;C2755&amp;Q2755,'New Weekly Paste'!B:O,6,0)),""),"")</f>
        <v>Salty</v>
      </c>
      <c r="J2755" s="259">
        <f>IFERROR(IFERROR(VLOOKUP(B2755&amp;C2755&amp;Q2755,'New Weekly Paste'!A:M,8,0),VLOOKUP(B2755&amp;C2755&amp;Q2755,'New Weekly Paste'!B:O,10,0)),0)</f>
        <v>143.9</v>
      </c>
      <c r="K2755" s="259">
        <f>IFERROR(IFERROR(VLOOKUP(B2755&amp;I2755&amp;Q2755,'New Weekly Paste'!A:M,8,0),VLOOKUP(B2755&amp;I2755&amp;Q2755,'New Weekly Paste'!B:O,10,0)),0)</f>
        <v>102.74</v>
      </c>
      <c r="L2755" s="239">
        <f t="shared" si="25"/>
        <v>1</v>
      </c>
      <c r="M2755" s="36" t="str">
        <f t="shared" si="3"/>
        <v>Playoffs</v>
      </c>
      <c r="N2755" s="239" t="str">
        <f t="shared" si="26"/>
        <v>Salty</v>
      </c>
      <c r="O2755" s="6">
        <f>VLOOKUP(D2755,'Mapped Opponent'!$G$4:$H$22,2,0)</f>
        <v>16</v>
      </c>
      <c r="P2755" s="6"/>
      <c r="Q2755" s="6" t="str">
        <f t="shared" si="4"/>
        <v>Week 16</v>
      </c>
      <c r="R2755" s="6" t="str">
        <f t="shared" si="5"/>
        <v>2025Round 2</v>
      </c>
      <c r="S2755" s="6">
        <f>IFERROR(__xludf.DUMMYFUNCTION("rank(J2755,FILTER(J:J,R:R=R2755))"),2.0)</f>
        <v>2</v>
      </c>
      <c r="T2755" s="6">
        <f t="shared" si="6"/>
        <v>10</v>
      </c>
      <c r="U2755" s="6">
        <f t="shared" si="7"/>
        <v>2</v>
      </c>
      <c r="V2755" s="42">
        <f>averageif(AllData!A:A,B2755,AllData!R:R)/vlookup(B2755,AllData!A:O,15,0)</f>
        <v>104.9271429</v>
      </c>
      <c r="W2755" s="6"/>
    </row>
    <row r="2756" ht="14.25" customHeight="1">
      <c r="A2756" s="6" t="str">
        <f t="shared" si="29"/>
        <v>2025Rooney/Jackson16</v>
      </c>
      <c r="B2756" s="59">
        <v>2025.0</v>
      </c>
      <c r="C2756" s="13" t="s">
        <v>57</v>
      </c>
      <c r="D2756" s="13" t="s">
        <v>153</v>
      </c>
      <c r="E2756" s="34"/>
      <c r="F2756" s="6"/>
      <c r="H2756" s="6"/>
      <c r="I2756" s="35" t="str">
        <f>IFERROR(IFERROR(IFERROR(VLOOKUP(B2756&amp;C2756&amp;Q2756,'New Weekly Paste'!A:M,10,0),VLOOKUP(B2756&amp;C2756&amp;Q2756,'New Weekly Paste'!B:O,6,0)),""),"")</f>
        <v>Buser</v>
      </c>
      <c r="J2756" s="259">
        <f>IFERROR(IFERROR(VLOOKUP(B2756&amp;C2756&amp;Q2756,'New Weekly Paste'!A:M,8,0),VLOOKUP(B2756&amp;C2756&amp;Q2756,'New Weekly Paste'!B:O,10,0)),0)</f>
        <v>159</v>
      </c>
      <c r="K2756" s="259">
        <f>IFERROR(IFERROR(VLOOKUP(B2756&amp;I2756&amp;Q2756,'New Weekly Paste'!A:M,8,0),VLOOKUP(B2756&amp;I2756&amp;Q2756,'New Weekly Paste'!B:O,10,0)),0)</f>
        <v>100.72</v>
      </c>
      <c r="L2756" s="239">
        <f t="shared" si="25"/>
        <v>1</v>
      </c>
      <c r="M2756" s="36" t="str">
        <f t="shared" si="3"/>
        <v>Playoffs</v>
      </c>
      <c r="N2756" s="239" t="str">
        <f t="shared" si="26"/>
        <v>Buser</v>
      </c>
      <c r="O2756" s="6">
        <f>VLOOKUP(D2756,'Mapped Opponent'!$G$4:$H$22,2,0)</f>
        <v>16</v>
      </c>
      <c r="P2756" s="6"/>
      <c r="Q2756" s="6" t="str">
        <f t="shared" si="4"/>
        <v>Week 16</v>
      </c>
      <c r="R2756" s="6" t="str">
        <f t="shared" si="5"/>
        <v>2025Round 2</v>
      </c>
      <c r="S2756" s="6">
        <f>IFERROR(__xludf.DUMMYFUNCTION("rank(J2756,FILTER(J:J,R:R=R2756))"),1.0)</f>
        <v>1</v>
      </c>
      <c r="T2756" s="6">
        <f t="shared" si="6"/>
        <v>11</v>
      </c>
      <c r="U2756" s="6">
        <f t="shared" si="7"/>
        <v>1</v>
      </c>
      <c r="V2756" s="42">
        <f>averageif(AllData!A:A,B2756,AllData!R:R)/vlookup(B2756,AllData!A:O,15,0)</f>
        <v>104.9271429</v>
      </c>
      <c r="W2756" s="6"/>
    </row>
    <row r="2757" ht="14.25" customHeight="1">
      <c r="A2757" s="6" t="str">
        <f t="shared" si="29"/>
        <v>2025Buser16</v>
      </c>
      <c r="B2757" s="59">
        <v>2025.0</v>
      </c>
      <c r="C2757" s="13" t="s">
        <v>47</v>
      </c>
      <c r="D2757" s="13" t="s">
        <v>153</v>
      </c>
      <c r="E2757" s="34"/>
      <c r="F2757" s="6"/>
      <c r="H2757" s="6"/>
      <c r="I2757" s="35" t="str">
        <f>IFERROR(IFERROR(IFERROR(VLOOKUP(B2757&amp;C2757&amp;Q2757,'New Weekly Paste'!A:M,10,0),VLOOKUP(B2757&amp;C2757&amp;Q2757,'New Weekly Paste'!B:O,6,0)),""),"")</f>
        <v>Rooney/Jackson</v>
      </c>
      <c r="J2757" s="259">
        <f>IFERROR(IFERROR(VLOOKUP(B2757&amp;C2757&amp;Q2757,'New Weekly Paste'!A:M,8,0),VLOOKUP(B2757&amp;C2757&amp;Q2757,'New Weekly Paste'!B:O,10,0)),0)</f>
        <v>100.72</v>
      </c>
      <c r="K2757" s="259">
        <f>IFERROR(IFERROR(VLOOKUP(B2757&amp;I2757&amp;Q2757,'New Weekly Paste'!A:M,8,0),VLOOKUP(B2757&amp;I2757&amp;Q2757,'New Weekly Paste'!B:O,10,0)),0)</f>
        <v>159</v>
      </c>
      <c r="L2757" s="239">
        <f t="shared" si="25"/>
        <v>0</v>
      </c>
      <c r="M2757" s="36" t="str">
        <f t="shared" si="3"/>
        <v>Playoffs</v>
      </c>
      <c r="N2757" s="239" t="str">
        <f t="shared" si="26"/>
        <v>Rooney/Jackson</v>
      </c>
      <c r="O2757" s="6">
        <f>VLOOKUP(D2757,'Mapped Opponent'!$G$4:$H$22,2,0)</f>
        <v>16</v>
      </c>
      <c r="P2757" s="6"/>
      <c r="Q2757" s="6" t="str">
        <f t="shared" si="4"/>
        <v>Week 16</v>
      </c>
      <c r="R2757" s="6" t="str">
        <f t="shared" si="5"/>
        <v>2025Round 2</v>
      </c>
      <c r="S2757" s="6">
        <f>IFERROR(__xludf.DUMMYFUNCTION("rank(J2757,FILTER(J:J,R:R=R2757))"),7.0)</f>
        <v>7</v>
      </c>
      <c r="T2757" s="6">
        <f t="shared" si="6"/>
        <v>5</v>
      </c>
      <c r="U2757" s="6">
        <f t="shared" si="7"/>
        <v>7</v>
      </c>
      <c r="V2757" s="42">
        <f>averageif(AllData!A:A,B2757,AllData!R:R)/vlookup(B2757,AllData!A:O,15,0)</f>
        <v>104.9271429</v>
      </c>
      <c r="W2757" s="6"/>
    </row>
    <row r="2758" ht="14.25" customHeight="1">
      <c r="A2758" s="6" t="str">
        <f t="shared" si="29"/>
        <v>2025Pierson16</v>
      </c>
      <c r="B2758" s="59">
        <v>2025.0</v>
      </c>
      <c r="C2758" s="13" t="s">
        <v>92</v>
      </c>
      <c r="D2758" s="13" t="s">
        <v>153</v>
      </c>
      <c r="E2758" s="34"/>
      <c r="F2758" s="6"/>
      <c r="H2758" s="6"/>
      <c r="I2758" s="35" t="str">
        <f>IFERROR(IFERROR(IFERROR(VLOOKUP(B2758&amp;C2758&amp;Q2758,'New Weekly Paste'!A:M,10,0),VLOOKUP(B2758&amp;C2758&amp;Q2758,'New Weekly Paste'!B:O,6,0)),""),"")</f>
        <v>T-How</v>
      </c>
      <c r="J2758" s="259">
        <f>IFERROR(IFERROR(VLOOKUP(B2758&amp;C2758&amp;Q2758,'New Weekly Paste'!A:M,8,0),VLOOKUP(B2758&amp;C2758&amp;Q2758,'New Weekly Paste'!B:O,10,0)),0)</f>
        <v>93.82</v>
      </c>
      <c r="K2758" s="259">
        <f>IFERROR(IFERROR(VLOOKUP(B2758&amp;I2758&amp;Q2758,'New Weekly Paste'!A:M,8,0),VLOOKUP(B2758&amp;I2758&amp;Q2758,'New Weekly Paste'!B:O,10,0)),0)</f>
        <v>86.7</v>
      </c>
      <c r="L2758" s="239">
        <f t="shared" si="25"/>
        <v>1</v>
      </c>
      <c r="M2758" s="36" t="str">
        <f t="shared" si="3"/>
        <v>Playoffs</v>
      </c>
      <c r="N2758" s="239" t="str">
        <f t="shared" si="26"/>
        <v>T-How</v>
      </c>
      <c r="O2758" s="6">
        <f>VLOOKUP(D2758,'Mapped Opponent'!$G$4:$H$22,2,0)</f>
        <v>16</v>
      </c>
      <c r="P2758" s="6"/>
      <c r="Q2758" s="6" t="str">
        <f t="shared" si="4"/>
        <v>Week 16</v>
      </c>
      <c r="R2758" s="6" t="str">
        <f t="shared" si="5"/>
        <v>2025Round 2</v>
      </c>
      <c r="S2758" s="6">
        <f>IFERROR(__xludf.DUMMYFUNCTION("rank(J2758,FILTER(J:J,R:R=R2758))"),8.0)</f>
        <v>8</v>
      </c>
      <c r="T2758" s="6">
        <f t="shared" si="6"/>
        <v>4</v>
      </c>
      <c r="U2758" s="6">
        <f t="shared" si="7"/>
        <v>8</v>
      </c>
      <c r="V2758" s="42">
        <f>averageif(AllData!A:A,B2758,AllData!R:R)/vlookup(B2758,AllData!A:O,15,0)</f>
        <v>104.9271429</v>
      </c>
      <c r="W2758" s="6"/>
    </row>
    <row r="2759" ht="14.25" customHeight="1">
      <c r="A2759" s="6" t="str">
        <f t="shared" si="29"/>
        <v>2025Cock16</v>
      </c>
      <c r="B2759" s="59">
        <v>2025.0</v>
      </c>
      <c r="C2759" s="13" t="s">
        <v>72</v>
      </c>
      <c r="D2759" s="13" t="s">
        <v>153</v>
      </c>
      <c r="E2759" s="34"/>
      <c r="F2759" s="6"/>
      <c r="H2759" s="6"/>
      <c r="I2759" s="35" t="str">
        <f>IFERROR(IFERROR(IFERROR(VLOOKUP(B2759&amp;C2759&amp;Q2759,'New Weekly Paste'!A:M,10,0),VLOOKUP(B2759&amp;C2759&amp;Q2759,'New Weekly Paste'!B:O,6,0)),""),"")</f>
        <v>Shep</v>
      </c>
      <c r="J2759" s="259">
        <f>IFERROR(IFERROR(VLOOKUP(B2759&amp;C2759&amp;Q2759,'New Weekly Paste'!A:M,8,0),VLOOKUP(B2759&amp;C2759&amp;Q2759,'New Weekly Paste'!B:O,10,0)),0)</f>
        <v>90.7</v>
      </c>
      <c r="K2759" s="259">
        <f>IFERROR(IFERROR(VLOOKUP(B2759&amp;I2759&amp;Q2759,'New Weekly Paste'!A:M,8,0),VLOOKUP(B2759&amp;I2759&amp;Q2759,'New Weekly Paste'!B:O,10,0)),0)</f>
        <v>109.8</v>
      </c>
      <c r="L2759" s="239">
        <f t="shared" si="25"/>
        <v>0</v>
      </c>
      <c r="M2759" s="36" t="str">
        <f t="shared" si="3"/>
        <v>Playoffs</v>
      </c>
      <c r="N2759" s="239" t="str">
        <f t="shared" si="26"/>
        <v>Shep</v>
      </c>
      <c r="O2759" s="6">
        <f>VLOOKUP(D2759,'Mapped Opponent'!$G$4:$H$22,2,0)</f>
        <v>16</v>
      </c>
      <c r="P2759" s="6"/>
      <c r="Q2759" s="6" t="str">
        <f t="shared" si="4"/>
        <v>Week 16</v>
      </c>
      <c r="R2759" s="6" t="str">
        <f t="shared" si="5"/>
        <v>2025Round 2</v>
      </c>
      <c r="S2759" s="6">
        <f>IFERROR(__xludf.DUMMYFUNCTION("rank(J2759,FILTER(J:J,R:R=R2759))"),9.0)</f>
        <v>9</v>
      </c>
      <c r="T2759" s="6">
        <f t="shared" si="6"/>
        <v>3</v>
      </c>
      <c r="U2759" s="6">
        <f t="shared" si="7"/>
        <v>9</v>
      </c>
      <c r="V2759" s="42">
        <f>averageif(AllData!A:A,B2759,AllData!R:R)/vlookup(B2759,AllData!A:O,15,0)</f>
        <v>104.9271429</v>
      </c>
      <c r="W2759" s="6"/>
    </row>
    <row r="2760" ht="14.25" customHeight="1">
      <c r="A2760" s="6" t="str">
        <f t="shared" si="29"/>
        <v>2025Tayski16</v>
      </c>
      <c r="B2760" s="59">
        <v>2025.0</v>
      </c>
      <c r="C2760" s="13" t="s">
        <v>52</v>
      </c>
      <c r="D2760" s="13" t="s">
        <v>153</v>
      </c>
      <c r="E2760" s="34"/>
      <c r="F2760" s="6"/>
      <c r="H2760" s="6"/>
      <c r="I2760" s="35" t="str">
        <f>IFERROR(IFERROR(IFERROR(VLOOKUP(B2760&amp;C2760&amp;Q2760,'New Weekly Paste'!A:M,10,0),VLOOKUP(B2760&amp;C2760&amp;Q2760,'New Weekly Paste'!B:O,6,0)),""),"")</f>
        <v>KnardDawg</v>
      </c>
      <c r="J2760" s="259">
        <f>IFERROR(IFERROR(VLOOKUP(B2760&amp;C2760&amp;Q2760,'New Weekly Paste'!A:M,8,0),VLOOKUP(B2760&amp;C2760&amp;Q2760,'New Weekly Paste'!B:O,10,0)),0)</f>
        <v>52.3</v>
      </c>
      <c r="K2760" s="259">
        <f>IFERROR(IFERROR(VLOOKUP(B2760&amp;I2760&amp;Q2760,'New Weekly Paste'!A:M,8,0),VLOOKUP(B2760&amp;I2760&amp;Q2760,'New Weekly Paste'!B:O,10,0)),0)</f>
        <v>104.06</v>
      </c>
      <c r="L2760" s="239">
        <f t="shared" si="25"/>
        <v>0</v>
      </c>
      <c r="M2760" s="36" t="str">
        <f t="shared" si="3"/>
        <v>Playoffs</v>
      </c>
      <c r="N2760" s="239" t="str">
        <f t="shared" si="26"/>
        <v>KnardDawg</v>
      </c>
      <c r="O2760" s="6">
        <f>VLOOKUP(D2760,'Mapped Opponent'!$G$4:$H$22,2,0)</f>
        <v>16</v>
      </c>
      <c r="P2760" s="6"/>
      <c r="Q2760" s="6" t="str">
        <f t="shared" si="4"/>
        <v>Week 16</v>
      </c>
      <c r="R2760" s="6" t="str">
        <f t="shared" si="5"/>
        <v>2025Round 2</v>
      </c>
      <c r="S2760" s="6">
        <f>IFERROR(__xludf.DUMMYFUNCTION("rank(J2760,FILTER(J:J,R:R=R2760))"),12.0)</f>
        <v>12</v>
      </c>
      <c r="T2760" s="6">
        <f t="shared" si="6"/>
        <v>0</v>
      </c>
      <c r="U2760" s="6">
        <f t="shared" si="7"/>
        <v>12</v>
      </c>
      <c r="V2760" s="42">
        <f>averageif(AllData!A:A,B2760,AllData!R:R)/vlookup(B2760,AllData!A:O,15,0)</f>
        <v>104.9271429</v>
      </c>
      <c r="W2760" s="6"/>
    </row>
    <row r="2761" ht="14.25" customHeight="1">
      <c r="A2761" s="6" t="str">
        <f t="shared" si="29"/>
        <v>2025KnardDawg16</v>
      </c>
      <c r="B2761" s="59">
        <v>2025.0</v>
      </c>
      <c r="C2761" s="13" t="s">
        <v>86</v>
      </c>
      <c r="D2761" s="13" t="s">
        <v>153</v>
      </c>
      <c r="E2761" s="34"/>
      <c r="F2761" s="6"/>
      <c r="H2761" s="6"/>
      <c r="I2761" s="35" t="str">
        <f>IFERROR(IFERROR(IFERROR(VLOOKUP(B2761&amp;C2761&amp;Q2761,'New Weekly Paste'!A:M,10,0),VLOOKUP(B2761&amp;C2761&amp;Q2761,'New Weekly Paste'!B:O,6,0)),""),"")</f>
        <v>Tayski</v>
      </c>
      <c r="J2761" s="259">
        <f>IFERROR(IFERROR(VLOOKUP(B2761&amp;C2761&amp;Q2761,'New Weekly Paste'!A:M,8,0),VLOOKUP(B2761&amp;C2761&amp;Q2761,'New Weekly Paste'!B:O,10,0)),0)</f>
        <v>104.06</v>
      </c>
      <c r="K2761" s="259">
        <f>IFERROR(IFERROR(VLOOKUP(B2761&amp;I2761&amp;Q2761,'New Weekly Paste'!A:M,8,0),VLOOKUP(B2761&amp;I2761&amp;Q2761,'New Weekly Paste'!B:O,10,0)),0)</f>
        <v>52.3</v>
      </c>
      <c r="L2761" s="239">
        <f t="shared" si="25"/>
        <v>1</v>
      </c>
      <c r="M2761" s="36" t="str">
        <f t="shared" si="3"/>
        <v>Playoffs</v>
      </c>
      <c r="N2761" s="239" t="str">
        <f t="shared" si="26"/>
        <v>Tayski</v>
      </c>
      <c r="O2761" s="6">
        <f>VLOOKUP(D2761,'Mapped Opponent'!$G$4:$H$22,2,0)</f>
        <v>16</v>
      </c>
      <c r="P2761" s="6"/>
      <c r="Q2761" s="6" t="str">
        <f t="shared" si="4"/>
        <v>Week 16</v>
      </c>
      <c r="R2761" s="6" t="str">
        <f t="shared" si="5"/>
        <v>2025Round 2</v>
      </c>
      <c r="S2761" s="6">
        <f>IFERROR(__xludf.DUMMYFUNCTION("rank(J2761,FILTER(J:J,R:R=R2761))"),5.0)</f>
        <v>5</v>
      </c>
      <c r="T2761" s="6">
        <f t="shared" si="6"/>
        <v>7</v>
      </c>
      <c r="U2761" s="6">
        <f t="shared" si="7"/>
        <v>5</v>
      </c>
      <c r="V2761" s="42">
        <f>averageif(AllData!A:A,B2761,AllData!R:R)/vlookup(B2761,AllData!A:O,15,0)</f>
        <v>104.9271429</v>
      </c>
      <c r="W2761" s="6"/>
    </row>
    <row r="2762" ht="14.25" customHeight="1">
      <c r="A2762" s="6" t="str">
        <f t="shared" si="29"/>
        <v>2025T-How16</v>
      </c>
      <c r="B2762" s="59">
        <v>2025.0</v>
      </c>
      <c r="C2762" s="13" t="s">
        <v>82</v>
      </c>
      <c r="D2762" s="13" t="s">
        <v>153</v>
      </c>
      <c r="E2762" s="34"/>
      <c r="F2762" s="6"/>
      <c r="H2762" s="6"/>
      <c r="I2762" s="35" t="str">
        <f>IFERROR(IFERROR(IFERROR(VLOOKUP(B2762&amp;C2762&amp;Q2762,'New Weekly Paste'!A:M,10,0),VLOOKUP(B2762&amp;C2762&amp;Q2762,'New Weekly Paste'!B:O,6,0)),""),"")</f>
        <v>Pierson</v>
      </c>
      <c r="J2762" s="259">
        <f>IFERROR(IFERROR(VLOOKUP(B2762&amp;C2762&amp;Q2762,'New Weekly Paste'!A:M,8,0),VLOOKUP(B2762&amp;C2762&amp;Q2762,'New Weekly Paste'!B:O,10,0)),0)</f>
        <v>86.7</v>
      </c>
      <c r="K2762" s="259">
        <f>IFERROR(IFERROR(VLOOKUP(B2762&amp;I2762&amp;Q2762,'New Weekly Paste'!A:M,8,0),VLOOKUP(B2762&amp;I2762&amp;Q2762,'New Weekly Paste'!B:O,10,0)),0)</f>
        <v>93.82</v>
      </c>
      <c r="L2762" s="239">
        <f t="shared" si="25"/>
        <v>0</v>
      </c>
      <c r="M2762" s="36" t="str">
        <f t="shared" si="3"/>
        <v>Playoffs</v>
      </c>
      <c r="N2762" s="239" t="str">
        <f t="shared" si="26"/>
        <v>Pierson</v>
      </c>
      <c r="O2762" s="6">
        <f>VLOOKUP(D2762,'Mapped Opponent'!$G$4:$H$22,2,0)</f>
        <v>16</v>
      </c>
      <c r="P2762" s="6"/>
      <c r="Q2762" s="6" t="str">
        <f t="shared" si="4"/>
        <v>Week 16</v>
      </c>
      <c r="R2762" s="6" t="str">
        <f t="shared" si="5"/>
        <v>2025Round 2</v>
      </c>
      <c r="S2762" s="6">
        <f>IFERROR(__xludf.DUMMYFUNCTION("rank(J2762,FILTER(J:J,R:R=R2762))"),10.0)</f>
        <v>10</v>
      </c>
      <c r="T2762" s="6">
        <f t="shared" si="6"/>
        <v>2</v>
      </c>
      <c r="U2762" s="6">
        <f t="shared" si="7"/>
        <v>10</v>
      </c>
      <c r="V2762" s="42">
        <f>averageif(AllData!A:A,B2762,AllData!R:R)/vlookup(B2762,AllData!A:O,15,0)</f>
        <v>104.9271429</v>
      </c>
      <c r="W2762" s="6"/>
    </row>
    <row r="2763" ht="14.25" customHeight="1">
      <c r="A2763" s="6" t="str">
        <f t="shared" si="29"/>
        <v>2025Hudspeath17</v>
      </c>
      <c r="B2763" s="59">
        <v>2025.0</v>
      </c>
      <c r="C2763" s="13" t="s">
        <v>39</v>
      </c>
      <c r="D2763" s="13" t="s">
        <v>154</v>
      </c>
      <c r="E2763" s="34"/>
      <c r="F2763" s="6"/>
      <c r="H2763" s="6"/>
      <c r="I2763" s="35" t="str">
        <f>IFERROR(IFERROR(IFERROR(VLOOKUP(B2763&amp;C2763&amp;Q2763,'New Weekly Paste'!A:M,10,0),VLOOKUP(B2763&amp;C2763&amp;Q2763,'New Weekly Paste'!B:O,6,0)),""),"")</f>
        <v>Rooney/Jackson</v>
      </c>
      <c r="J2763" s="259">
        <f>IFERROR(IFERROR(VLOOKUP(B2763&amp;C2763&amp;Q2763,'New Weekly Paste'!A:M,8,0),VLOOKUP(B2763&amp;C2763&amp;Q2763,'New Weekly Paste'!B:O,10,0)),0)</f>
        <v>123</v>
      </c>
      <c r="K2763" s="259">
        <f>IFERROR(IFERROR(VLOOKUP(B2763&amp;I2763&amp;Q2763,'New Weekly Paste'!A:M,8,0),VLOOKUP(B2763&amp;I2763&amp;Q2763,'New Weekly Paste'!B:O,10,0)),0)</f>
        <v>122.34</v>
      </c>
      <c r="L2763" s="239">
        <f t="shared" si="25"/>
        <v>1</v>
      </c>
      <c r="M2763" s="36" t="str">
        <f t="shared" si="3"/>
        <v>Playoffs</v>
      </c>
      <c r="N2763" s="239" t="str">
        <f t="shared" si="26"/>
        <v>Rooney/Jackson</v>
      </c>
      <c r="O2763" s="6">
        <f>VLOOKUP(D2763,'Mapped Opponent'!$G$4:$H$22,2,0)</f>
        <v>17</v>
      </c>
      <c r="P2763" s="6"/>
      <c r="Q2763" s="6" t="str">
        <f t="shared" si="4"/>
        <v>Week 17</v>
      </c>
      <c r="R2763" s="6" t="str">
        <f t="shared" si="5"/>
        <v>2025Round 3</v>
      </c>
      <c r="S2763" s="6">
        <f>IFERROR(__xludf.DUMMYFUNCTION("rank(J2763,FILTER(J:J,R:R=R2763))"),2.0)</f>
        <v>2</v>
      </c>
      <c r="T2763" s="6">
        <f t="shared" si="6"/>
        <v>10</v>
      </c>
      <c r="U2763" s="6">
        <f t="shared" si="7"/>
        <v>2</v>
      </c>
      <c r="V2763" s="42">
        <f>averageif(AllData!A:A,B2763,AllData!R:R)/vlookup(B2763,AllData!A:O,15,0)</f>
        <v>104.9271429</v>
      </c>
      <c r="W2763" s="6"/>
    </row>
    <row r="2764" ht="14.25" customHeight="1">
      <c r="A2764" s="6" t="str">
        <f t="shared" si="29"/>
        <v>2025Salty17</v>
      </c>
      <c r="B2764" s="59">
        <v>2025.0</v>
      </c>
      <c r="C2764" s="13" t="s">
        <v>76</v>
      </c>
      <c r="D2764" s="13" t="s">
        <v>154</v>
      </c>
      <c r="E2764" s="34"/>
      <c r="F2764" s="6"/>
      <c r="H2764" s="6"/>
      <c r="I2764" s="35" t="str">
        <f>IFERROR(IFERROR(IFERROR(VLOOKUP(B2764&amp;C2764&amp;Q2764,'New Weekly Paste'!A:M,10,0),VLOOKUP(B2764&amp;C2764&amp;Q2764,'New Weekly Paste'!B:O,6,0)),""),"")</f>
        <v>Tayski</v>
      </c>
      <c r="J2764" s="259">
        <f>IFERROR(IFERROR(VLOOKUP(B2764&amp;C2764&amp;Q2764,'New Weekly Paste'!A:M,8,0),VLOOKUP(B2764&amp;C2764&amp;Q2764,'New Weekly Paste'!B:O,10,0)),0)</f>
        <v>66.7</v>
      </c>
      <c r="K2764" s="259">
        <f>IFERROR(IFERROR(VLOOKUP(B2764&amp;I2764&amp;Q2764,'New Weekly Paste'!A:M,8,0),VLOOKUP(B2764&amp;I2764&amp;Q2764,'New Weekly Paste'!B:O,10,0)),0)</f>
        <v>45.1</v>
      </c>
      <c r="L2764" s="239">
        <f t="shared" si="25"/>
        <v>1</v>
      </c>
      <c r="M2764" s="36" t="str">
        <f t="shared" si="3"/>
        <v>Playoffs</v>
      </c>
      <c r="N2764" s="239" t="str">
        <f t="shared" si="26"/>
        <v>Tayski</v>
      </c>
      <c r="O2764" s="6">
        <f>VLOOKUP(D2764,'Mapped Opponent'!$G$4:$H$22,2,0)</f>
        <v>17</v>
      </c>
      <c r="P2764" s="6"/>
      <c r="Q2764" s="6" t="str">
        <f t="shared" si="4"/>
        <v>Week 17</v>
      </c>
      <c r="R2764" s="6" t="str">
        <f t="shared" si="5"/>
        <v>2025Round 3</v>
      </c>
      <c r="S2764" s="6">
        <f>IFERROR(__xludf.DUMMYFUNCTION("rank(J2764,FILTER(J:J,R:R=R2764))"),11.0)</f>
        <v>11</v>
      </c>
      <c r="T2764" s="6">
        <f t="shared" si="6"/>
        <v>1</v>
      </c>
      <c r="U2764" s="6">
        <f t="shared" si="7"/>
        <v>11</v>
      </c>
      <c r="V2764" s="42">
        <f>averageif(AllData!A:A,B2764,AllData!R:R)/vlookup(B2764,AllData!A:O,15,0)</f>
        <v>104.9271429</v>
      </c>
      <c r="W2764" s="6"/>
    </row>
    <row r="2765" ht="14.25" customHeight="1">
      <c r="A2765" s="6" t="str">
        <f t="shared" si="29"/>
        <v>2025Ewert17</v>
      </c>
      <c r="B2765" s="59">
        <v>2025.0</v>
      </c>
      <c r="C2765" s="13" t="s">
        <v>108</v>
      </c>
      <c r="D2765" s="13" t="s">
        <v>154</v>
      </c>
      <c r="E2765" s="34"/>
      <c r="F2765" s="6"/>
      <c r="H2765" s="6"/>
      <c r="I2765" s="35" t="str">
        <f>IFERROR(IFERROR(IFERROR(VLOOKUP(B2765&amp;C2765&amp;Q2765,'New Weekly Paste'!A:M,10,0),VLOOKUP(B2765&amp;C2765&amp;Q2765,'New Weekly Paste'!B:O,6,0)),""),"")</f>
        <v>Buser</v>
      </c>
      <c r="J2765" s="259">
        <f>IFERROR(IFERROR(VLOOKUP(B2765&amp;C2765&amp;Q2765,'New Weekly Paste'!A:M,8,0),VLOOKUP(B2765&amp;C2765&amp;Q2765,'New Weekly Paste'!B:O,10,0)),0)</f>
        <v>101.8</v>
      </c>
      <c r="K2765" s="259">
        <f>IFERROR(IFERROR(VLOOKUP(B2765&amp;I2765&amp;Q2765,'New Weekly Paste'!A:M,8,0),VLOOKUP(B2765&amp;I2765&amp;Q2765,'New Weekly Paste'!B:O,10,0)),0)</f>
        <v>112.38</v>
      </c>
      <c r="L2765" s="239">
        <f t="shared" si="25"/>
        <v>0</v>
      </c>
      <c r="M2765" s="36" t="str">
        <f t="shared" si="3"/>
        <v>Playoffs</v>
      </c>
      <c r="N2765" s="239" t="str">
        <f t="shared" si="26"/>
        <v>Buser</v>
      </c>
      <c r="O2765" s="6">
        <f>VLOOKUP(D2765,'Mapped Opponent'!$G$4:$H$22,2,0)</f>
        <v>17</v>
      </c>
      <c r="P2765" s="6"/>
      <c r="Q2765" s="6" t="str">
        <f t="shared" si="4"/>
        <v>Week 17</v>
      </c>
      <c r="R2765" s="6" t="str">
        <f t="shared" si="5"/>
        <v>2025Round 3</v>
      </c>
      <c r="S2765" s="6">
        <f>IFERROR(__xludf.DUMMYFUNCTION("rank(J2765,FILTER(J:J,R:R=R2765))"),8.0)</f>
        <v>8</v>
      </c>
      <c r="T2765" s="6">
        <f t="shared" si="6"/>
        <v>4</v>
      </c>
      <c r="U2765" s="6">
        <f t="shared" si="7"/>
        <v>8</v>
      </c>
      <c r="V2765" s="42">
        <f>averageif(AllData!A:A,B2765,AllData!R:R)/vlookup(B2765,AllData!A:O,15,0)</f>
        <v>104.9271429</v>
      </c>
      <c r="W2765" s="6"/>
    </row>
    <row r="2766" ht="14.25" customHeight="1">
      <c r="A2766" s="6" t="str">
        <f t="shared" si="29"/>
        <v>2025Shep17</v>
      </c>
      <c r="B2766" s="59">
        <v>2025.0</v>
      </c>
      <c r="C2766" s="13" t="s">
        <v>89</v>
      </c>
      <c r="D2766" s="13" t="s">
        <v>154</v>
      </c>
      <c r="E2766" s="34"/>
      <c r="F2766" s="6"/>
      <c r="H2766" s="6"/>
      <c r="I2766" s="35" t="str">
        <f>IFERROR(IFERROR(IFERROR(VLOOKUP(B2766&amp;C2766&amp;Q2766,'New Weekly Paste'!A:M,10,0),VLOOKUP(B2766&amp;C2766&amp;Q2766,'New Weekly Paste'!B:O,6,0)),""),"")</f>
        <v>Cock</v>
      </c>
      <c r="J2766" s="259">
        <f>IFERROR(IFERROR(VLOOKUP(B2766&amp;C2766&amp;Q2766,'New Weekly Paste'!A:M,8,0),VLOOKUP(B2766&amp;C2766&amp;Q2766,'New Weekly Paste'!B:O,10,0)),0)</f>
        <v>102.24</v>
      </c>
      <c r="K2766" s="259">
        <f>IFERROR(IFERROR(VLOOKUP(B2766&amp;I2766&amp;Q2766,'New Weekly Paste'!A:M,8,0),VLOOKUP(B2766&amp;I2766&amp;Q2766,'New Weekly Paste'!B:O,10,0)),0)</f>
        <v>73.1</v>
      </c>
      <c r="L2766" s="239">
        <f t="shared" si="25"/>
        <v>1</v>
      </c>
      <c r="M2766" s="36" t="str">
        <f t="shared" si="3"/>
        <v>Playoffs</v>
      </c>
      <c r="N2766" s="239" t="str">
        <f t="shared" si="26"/>
        <v>Cock</v>
      </c>
      <c r="O2766" s="6">
        <f>VLOOKUP(D2766,'Mapped Opponent'!$G$4:$H$22,2,0)</f>
        <v>17</v>
      </c>
      <c r="P2766" s="6"/>
      <c r="Q2766" s="6" t="str">
        <f t="shared" si="4"/>
        <v>Week 17</v>
      </c>
      <c r="R2766" s="6" t="str">
        <f t="shared" si="5"/>
        <v>2025Round 3</v>
      </c>
      <c r="S2766" s="6">
        <f>IFERROR(__xludf.DUMMYFUNCTION("rank(J2766,FILTER(J:J,R:R=R2766))"),7.0)</f>
        <v>7</v>
      </c>
      <c r="T2766" s="6">
        <f t="shared" si="6"/>
        <v>5</v>
      </c>
      <c r="U2766" s="6">
        <f t="shared" si="7"/>
        <v>7</v>
      </c>
      <c r="V2766" s="42">
        <f>averageif(AllData!A:A,B2766,AllData!R:R)/vlookup(B2766,AllData!A:O,15,0)</f>
        <v>104.9271429</v>
      </c>
      <c r="W2766" s="6"/>
    </row>
    <row r="2767" ht="14.25" customHeight="1">
      <c r="A2767" s="6" t="str">
        <f t="shared" si="29"/>
        <v>2025Riley17</v>
      </c>
      <c r="B2767" s="59">
        <v>2025.0</v>
      </c>
      <c r="C2767" s="13" t="s">
        <v>67</v>
      </c>
      <c r="D2767" s="13" t="s">
        <v>154</v>
      </c>
      <c r="E2767" s="34"/>
      <c r="F2767" s="6"/>
      <c r="H2767" s="6"/>
      <c r="I2767" s="35" t="str">
        <f>IFERROR(IFERROR(IFERROR(VLOOKUP(B2767&amp;C2767&amp;Q2767,'New Weekly Paste'!A:M,10,0),VLOOKUP(B2767&amp;C2767&amp;Q2767,'New Weekly Paste'!B:O,6,0)),""),"")</f>
        <v>Pierson</v>
      </c>
      <c r="J2767" s="259">
        <f>IFERROR(IFERROR(VLOOKUP(B2767&amp;C2767&amp;Q2767,'New Weekly Paste'!A:M,8,0),VLOOKUP(B2767&amp;C2767&amp;Q2767,'New Weekly Paste'!B:O,10,0)),0)</f>
        <v>114.02</v>
      </c>
      <c r="K2767" s="259">
        <f>IFERROR(IFERROR(VLOOKUP(B2767&amp;I2767&amp;Q2767,'New Weekly Paste'!A:M,8,0),VLOOKUP(B2767&amp;I2767&amp;Q2767,'New Weekly Paste'!B:O,10,0)),0)</f>
        <v>134.18</v>
      </c>
      <c r="L2767" s="239">
        <f t="shared" si="25"/>
        <v>0</v>
      </c>
      <c r="M2767" s="36" t="str">
        <f t="shared" si="3"/>
        <v>Playoffs</v>
      </c>
      <c r="N2767" s="239" t="str">
        <f t="shared" si="26"/>
        <v>Pierson</v>
      </c>
      <c r="O2767" s="6">
        <f>VLOOKUP(D2767,'Mapped Opponent'!$G$4:$H$22,2,0)</f>
        <v>17</v>
      </c>
      <c r="P2767" s="6"/>
      <c r="Q2767" s="6" t="str">
        <f t="shared" si="4"/>
        <v>Week 17</v>
      </c>
      <c r="R2767" s="6" t="str">
        <f t="shared" si="5"/>
        <v>2025Round 3</v>
      </c>
      <c r="S2767" s="6">
        <f>IFERROR(__xludf.DUMMYFUNCTION("rank(J2767,FILTER(J:J,R:R=R2767))"),4.0)</f>
        <v>4</v>
      </c>
      <c r="T2767" s="6">
        <f t="shared" si="6"/>
        <v>8</v>
      </c>
      <c r="U2767" s="6">
        <f t="shared" si="7"/>
        <v>4</v>
      </c>
      <c r="V2767" s="42">
        <f>averageif(AllData!A:A,B2767,AllData!R:R)/vlookup(B2767,AllData!A:O,15,0)</f>
        <v>104.9271429</v>
      </c>
      <c r="W2767" s="6"/>
    </row>
    <row r="2768" ht="14.25" customHeight="1">
      <c r="A2768" s="6" t="str">
        <f t="shared" si="29"/>
        <v>2025Rooney/Jackson17</v>
      </c>
      <c r="B2768" s="59">
        <v>2025.0</v>
      </c>
      <c r="C2768" s="13" t="s">
        <v>57</v>
      </c>
      <c r="D2768" s="13" t="s">
        <v>154</v>
      </c>
      <c r="E2768" s="34"/>
      <c r="F2768" s="6"/>
      <c r="H2768" s="6"/>
      <c r="I2768" s="35" t="str">
        <f>IFERROR(IFERROR(IFERROR(VLOOKUP(B2768&amp;C2768&amp;Q2768,'New Weekly Paste'!A:M,10,0),VLOOKUP(B2768&amp;C2768&amp;Q2768,'New Weekly Paste'!B:O,6,0)),""),"")</f>
        <v>Hudspeath</v>
      </c>
      <c r="J2768" s="259">
        <f>IFERROR(IFERROR(VLOOKUP(B2768&amp;C2768&amp;Q2768,'New Weekly Paste'!A:M,8,0),VLOOKUP(B2768&amp;C2768&amp;Q2768,'New Weekly Paste'!B:O,10,0)),0)</f>
        <v>122.34</v>
      </c>
      <c r="K2768" s="259">
        <f>IFERROR(IFERROR(VLOOKUP(B2768&amp;I2768&amp;Q2768,'New Weekly Paste'!A:M,8,0),VLOOKUP(B2768&amp;I2768&amp;Q2768,'New Weekly Paste'!B:O,10,0)),0)</f>
        <v>123</v>
      </c>
      <c r="L2768" s="239">
        <f t="shared" si="25"/>
        <v>0</v>
      </c>
      <c r="M2768" s="36" t="str">
        <f t="shared" si="3"/>
        <v>Playoffs</v>
      </c>
      <c r="N2768" s="239" t="str">
        <f t="shared" si="26"/>
        <v>Hudspeath</v>
      </c>
      <c r="O2768" s="6">
        <f>VLOOKUP(D2768,'Mapped Opponent'!$G$4:$H$22,2,0)</f>
        <v>17</v>
      </c>
      <c r="P2768" s="6"/>
      <c r="Q2768" s="6" t="str">
        <f t="shared" si="4"/>
        <v>Week 17</v>
      </c>
      <c r="R2768" s="6" t="str">
        <f t="shared" si="5"/>
        <v>2025Round 3</v>
      </c>
      <c r="S2768" s="6">
        <f>IFERROR(__xludf.DUMMYFUNCTION("rank(J2768,FILTER(J:J,R:R=R2768))"),3.0)</f>
        <v>3</v>
      </c>
      <c r="T2768" s="6">
        <f t="shared" si="6"/>
        <v>9</v>
      </c>
      <c r="U2768" s="6">
        <f t="shared" si="7"/>
        <v>3</v>
      </c>
      <c r="V2768" s="42">
        <f>averageif(AllData!A:A,B2768,AllData!R:R)/vlookup(B2768,AllData!A:O,15,0)</f>
        <v>104.9271429</v>
      </c>
      <c r="W2768" s="6"/>
    </row>
    <row r="2769" ht="14.25" customHeight="1">
      <c r="A2769" s="6" t="str">
        <f t="shared" si="29"/>
        <v>2025Buser17</v>
      </c>
      <c r="B2769" s="59">
        <v>2025.0</v>
      </c>
      <c r="C2769" s="13" t="s">
        <v>47</v>
      </c>
      <c r="D2769" s="13" t="s">
        <v>154</v>
      </c>
      <c r="E2769" s="34"/>
      <c r="F2769" s="6"/>
      <c r="H2769" s="6"/>
      <c r="I2769" s="35" t="str">
        <f>IFERROR(IFERROR(IFERROR(VLOOKUP(B2769&amp;C2769&amp;Q2769,'New Weekly Paste'!A:M,10,0),VLOOKUP(B2769&amp;C2769&amp;Q2769,'New Weekly Paste'!B:O,6,0)),""),"")</f>
        <v>Ewert</v>
      </c>
      <c r="J2769" s="259">
        <f>IFERROR(IFERROR(VLOOKUP(B2769&amp;C2769&amp;Q2769,'New Weekly Paste'!A:M,8,0),VLOOKUP(B2769&amp;C2769&amp;Q2769,'New Weekly Paste'!B:O,10,0)),0)</f>
        <v>112.38</v>
      </c>
      <c r="K2769" s="259">
        <f>IFERROR(IFERROR(VLOOKUP(B2769&amp;I2769&amp;Q2769,'New Weekly Paste'!A:M,8,0),VLOOKUP(B2769&amp;I2769&amp;Q2769,'New Weekly Paste'!B:O,10,0)),0)</f>
        <v>101.8</v>
      </c>
      <c r="L2769" s="239">
        <f t="shared" si="25"/>
        <v>1</v>
      </c>
      <c r="M2769" s="36" t="str">
        <f t="shared" si="3"/>
        <v>Playoffs</v>
      </c>
      <c r="N2769" s="239" t="str">
        <f t="shared" si="26"/>
        <v>Ewert</v>
      </c>
      <c r="O2769" s="6">
        <f>VLOOKUP(D2769,'Mapped Opponent'!$G$4:$H$22,2,0)</f>
        <v>17</v>
      </c>
      <c r="P2769" s="6"/>
      <c r="Q2769" s="6" t="str">
        <f t="shared" si="4"/>
        <v>Week 17</v>
      </c>
      <c r="R2769" s="6" t="str">
        <f t="shared" si="5"/>
        <v>2025Round 3</v>
      </c>
      <c r="S2769" s="6">
        <f>IFERROR(__xludf.DUMMYFUNCTION("rank(J2769,FILTER(J:J,R:R=R2769))"),5.0)</f>
        <v>5</v>
      </c>
      <c r="T2769" s="6">
        <f t="shared" si="6"/>
        <v>7</v>
      </c>
      <c r="U2769" s="6">
        <f t="shared" si="7"/>
        <v>5</v>
      </c>
      <c r="V2769" s="42">
        <f>averageif(AllData!A:A,B2769,AllData!R:R)/vlookup(B2769,AllData!A:O,15,0)</f>
        <v>104.9271429</v>
      </c>
      <c r="W2769" s="6"/>
    </row>
    <row r="2770" ht="14.25" customHeight="1">
      <c r="A2770" s="6" t="str">
        <f t="shared" si="29"/>
        <v>2025Pierson17</v>
      </c>
      <c r="B2770" s="59">
        <v>2025.0</v>
      </c>
      <c r="C2770" s="13" t="s">
        <v>92</v>
      </c>
      <c r="D2770" s="13" t="s">
        <v>154</v>
      </c>
      <c r="E2770" s="34"/>
      <c r="F2770" s="6"/>
      <c r="H2770" s="6"/>
      <c r="I2770" s="35" t="str">
        <f>IFERROR(IFERROR(IFERROR(VLOOKUP(B2770&amp;C2770&amp;Q2770,'New Weekly Paste'!A:M,10,0),VLOOKUP(B2770&amp;C2770&amp;Q2770,'New Weekly Paste'!B:O,6,0)),""),"")</f>
        <v>Riley</v>
      </c>
      <c r="J2770" s="259">
        <f>IFERROR(IFERROR(VLOOKUP(B2770&amp;C2770&amp;Q2770,'New Weekly Paste'!A:M,8,0),VLOOKUP(B2770&amp;C2770&amp;Q2770,'New Weekly Paste'!B:O,10,0)),0)</f>
        <v>134.18</v>
      </c>
      <c r="K2770" s="259">
        <f>IFERROR(IFERROR(VLOOKUP(B2770&amp;I2770&amp;Q2770,'New Weekly Paste'!A:M,8,0),VLOOKUP(B2770&amp;I2770&amp;Q2770,'New Weekly Paste'!B:O,10,0)),0)</f>
        <v>114.02</v>
      </c>
      <c r="L2770" s="239">
        <f t="shared" si="25"/>
        <v>1</v>
      </c>
      <c r="M2770" s="36" t="str">
        <f t="shared" si="3"/>
        <v>Playoffs</v>
      </c>
      <c r="N2770" s="239" t="str">
        <f t="shared" si="26"/>
        <v>Riley</v>
      </c>
      <c r="O2770" s="6">
        <f>VLOOKUP(D2770,'Mapped Opponent'!$G$4:$H$22,2,0)</f>
        <v>17</v>
      </c>
      <c r="P2770" s="6"/>
      <c r="Q2770" s="6" t="str">
        <f t="shared" si="4"/>
        <v>Week 17</v>
      </c>
      <c r="R2770" s="6" t="str">
        <f t="shared" si="5"/>
        <v>2025Round 3</v>
      </c>
      <c r="S2770" s="6">
        <f>IFERROR(__xludf.DUMMYFUNCTION("rank(J2770,FILTER(J:J,R:R=R2770))"),1.0)</f>
        <v>1</v>
      </c>
      <c r="T2770" s="6">
        <f t="shared" si="6"/>
        <v>11</v>
      </c>
      <c r="U2770" s="6">
        <f t="shared" si="7"/>
        <v>1</v>
      </c>
      <c r="V2770" s="42">
        <f>averageif(AllData!A:A,B2770,AllData!R:R)/vlookup(B2770,AllData!A:O,15,0)</f>
        <v>104.9271429</v>
      </c>
      <c r="W2770" s="6"/>
    </row>
    <row r="2771" ht="14.25" customHeight="1">
      <c r="A2771" s="6" t="str">
        <f t="shared" si="29"/>
        <v>2025Cock17</v>
      </c>
      <c r="B2771" s="59">
        <v>2025.0</v>
      </c>
      <c r="C2771" s="13" t="s">
        <v>72</v>
      </c>
      <c r="D2771" s="13" t="s">
        <v>154</v>
      </c>
      <c r="E2771" s="34"/>
      <c r="F2771" s="6"/>
      <c r="H2771" s="6"/>
      <c r="I2771" s="35" t="str">
        <f>IFERROR(IFERROR(IFERROR(VLOOKUP(B2771&amp;C2771&amp;Q2771,'New Weekly Paste'!A:M,10,0),VLOOKUP(B2771&amp;C2771&amp;Q2771,'New Weekly Paste'!B:O,6,0)),""),"")</f>
        <v>Shep</v>
      </c>
      <c r="J2771" s="259">
        <f>IFERROR(IFERROR(VLOOKUP(B2771&amp;C2771&amp;Q2771,'New Weekly Paste'!A:M,8,0),VLOOKUP(B2771&amp;C2771&amp;Q2771,'New Weekly Paste'!B:O,10,0)),0)</f>
        <v>73.1</v>
      </c>
      <c r="K2771" s="259">
        <f>IFERROR(IFERROR(VLOOKUP(B2771&amp;I2771&amp;Q2771,'New Weekly Paste'!A:M,8,0),VLOOKUP(B2771&amp;I2771&amp;Q2771,'New Weekly Paste'!B:O,10,0)),0)</f>
        <v>102.24</v>
      </c>
      <c r="L2771" s="239">
        <f t="shared" si="25"/>
        <v>0</v>
      </c>
      <c r="M2771" s="36" t="str">
        <f t="shared" si="3"/>
        <v>Playoffs</v>
      </c>
      <c r="N2771" s="239" t="str">
        <f t="shared" si="26"/>
        <v>Shep</v>
      </c>
      <c r="O2771" s="6">
        <f>VLOOKUP(D2771,'Mapped Opponent'!$G$4:$H$22,2,0)</f>
        <v>17</v>
      </c>
      <c r="P2771" s="6"/>
      <c r="Q2771" s="6" t="str">
        <f t="shared" si="4"/>
        <v>Week 17</v>
      </c>
      <c r="R2771" s="6" t="str">
        <f t="shared" si="5"/>
        <v>2025Round 3</v>
      </c>
      <c r="S2771" s="6">
        <f>IFERROR(__xludf.DUMMYFUNCTION("rank(J2771,FILTER(J:J,R:R=R2771))"),9.0)</f>
        <v>9</v>
      </c>
      <c r="T2771" s="6">
        <f t="shared" si="6"/>
        <v>3</v>
      </c>
      <c r="U2771" s="6">
        <f t="shared" si="7"/>
        <v>9</v>
      </c>
      <c r="V2771" s="42">
        <f>averageif(AllData!A:A,B2771,AllData!R:R)/vlookup(B2771,AllData!A:O,15,0)</f>
        <v>104.9271429</v>
      </c>
      <c r="W2771" s="6"/>
    </row>
    <row r="2772" ht="14.25" customHeight="1">
      <c r="A2772" s="6" t="str">
        <f t="shared" si="29"/>
        <v>2025Tayski17</v>
      </c>
      <c r="B2772" s="59">
        <v>2025.0</v>
      </c>
      <c r="C2772" s="13" t="s">
        <v>52</v>
      </c>
      <c r="D2772" s="13" t="s">
        <v>154</v>
      </c>
      <c r="E2772" s="34"/>
      <c r="F2772" s="6"/>
      <c r="H2772" s="6"/>
      <c r="I2772" s="35" t="str">
        <f>IFERROR(IFERROR(IFERROR(VLOOKUP(B2772&amp;C2772&amp;Q2772,'New Weekly Paste'!A:M,10,0),VLOOKUP(B2772&amp;C2772&amp;Q2772,'New Weekly Paste'!B:O,6,0)),""),"")</f>
        <v>Salty</v>
      </c>
      <c r="J2772" s="259">
        <f>IFERROR(IFERROR(VLOOKUP(B2772&amp;C2772&amp;Q2772,'New Weekly Paste'!A:M,8,0),VLOOKUP(B2772&amp;C2772&amp;Q2772,'New Weekly Paste'!B:O,10,0)),0)</f>
        <v>45.1</v>
      </c>
      <c r="K2772" s="259">
        <f>IFERROR(IFERROR(VLOOKUP(B2772&amp;I2772&amp;Q2772,'New Weekly Paste'!A:M,8,0),VLOOKUP(B2772&amp;I2772&amp;Q2772,'New Weekly Paste'!B:O,10,0)),0)</f>
        <v>66.7</v>
      </c>
      <c r="L2772" s="239">
        <f t="shared" si="25"/>
        <v>0</v>
      </c>
      <c r="M2772" s="36" t="str">
        <f t="shared" si="3"/>
        <v>Playoffs</v>
      </c>
      <c r="N2772" s="239" t="str">
        <f t="shared" si="26"/>
        <v>Salty</v>
      </c>
      <c r="O2772" s="6">
        <f>VLOOKUP(D2772,'Mapped Opponent'!$G$4:$H$22,2,0)</f>
        <v>17</v>
      </c>
      <c r="P2772" s="6"/>
      <c r="Q2772" s="6" t="str">
        <f t="shared" si="4"/>
        <v>Week 17</v>
      </c>
      <c r="R2772" s="6" t="str">
        <f t="shared" si="5"/>
        <v>2025Round 3</v>
      </c>
      <c r="S2772" s="6">
        <f>IFERROR(__xludf.DUMMYFUNCTION("rank(J2772,FILTER(J:J,R:R=R2772))"),12.0)</f>
        <v>12</v>
      </c>
      <c r="T2772" s="6">
        <f t="shared" si="6"/>
        <v>0</v>
      </c>
      <c r="U2772" s="6">
        <f t="shared" si="7"/>
        <v>12</v>
      </c>
      <c r="V2772" s="42">
        <f>averageif(AllData!A:A,B2772,AllData!R:R)/vlookup(B2772,AllData!A:O,15,0)</f>
        <v>104.9271429</v>
      </c>
      <c r="W2772" s="6"/>
    </row>
    <row r="2773" ht="14.25" customHeight="1">
      <c r="A2773" s="6" t="str">
        <f t="shared" si="29"/>
        <v>2025KnardDawg17</v>
      </c>
      <c r="B2773" s="59">
        <v>2025.0</v>
      </c>
      <c r="C2773" s="13" t="s">
        <v>86</v>
      </c>
      <c r="D2773" s="13" t="s">
        <v>154</v>
      </c>
      <c r="E2773" s="34"/>
      <c r="F2773" s="6"/>
      <c r="H2773" s="6"/>
      <c r="I2773" s="35" t="str">
        <f>IFERROR(IFERROR(IFERROR(VLOOKUP(B2773&amp;C2773&amp;Q2773,'New Weekly Paste'!A:M,10,0),VLOOKUP(B2773&amp;C2773&amp;Q2773,'New Weekly Paste'!B:O,6,0)),""),"")</f>
        <v>T-How</v>
      </c>
      <c r="J2773" s="259">
        <f>IFERROR(IFERROR(VLOOKUP(B2773&amp;C2773&amp;Q2773,'New Weekly Paste'!A:M,8,0),VLOOKUP(B2773&amp;C2773&amp;Q2773,'New Weekly Paste'!B:O,10,0)),0)</f>
        <v>70.48</v>
      </c>
      <c r="K2773" s="259">
        <f>IFERROR(IFERROR(VLOOKUP(B2773&amp;I2773&amp;Q2773,'New Weekly Paste'!A:M,8,0),VLOOKUP(B2773&amp;I2773&amp;Q2773,'New Weekly Paste'!B:O,10,0)),0)</f>
        <v>104.78</v>
      </c>
      <c r="L2773" s="239">
        <f t="shared" si="25"/>
        <v>0</v>
      </c>
      <c r="M2773" s="36" t="str">
        <f t="shared" si="3"/>
        <v>Playoffs</v>
      </c>
      <c r="N2773" s="239" t="str">
        <f t="shared" si="26"/>
        <v>T-How</v>
      </c>
      <c r="O2773" s="6">
        <f>VLOOKUP(D2773,'Mapped Opponent'!$G$4:$H$22,2,0)</f>
        <v>17</v>
      </c>
      <c r="P2773" s="6"/>
      <c r="Q2773" s="6" t="str">
        <f t="shared" si="4"/>
        <v>Week 17</v>
      </c>
      <c r="R2773" s="6" t="str">
        <f t="shared" si="5"/>
        <v>2025Round 3</v>
      </c>
      <c r="S2773" s="6">
        <f>IFERROR(__xludf.DUMMYFUNCTION("rank(J2773,FILTER(J:J,R:R=R2773))"),10.0)</f>
        <v>10</v>
      </c>
      <c r="T2773" s="6">
        <f t="shared" si="6"/>
        <v>2</v>
      </c>
      <c r="U2773" s="6">
        <f t="shared" si="7"/>
        <v>10</v>
      </c>
      <c r="V2773" s="42">
        <f>averageif(AllData!A:A,B2773,AllData!R:R)/vlookup(B2773,AllData!A:O,15,0)</f>
        <v>104.9271429</v>
      </c>
      <c r="W2773" s="6"/>
    </row>
    <row r="2774" ht="14.25" customHeight="1">
      <c r="A2774" s="6" t="str">
        <f t="shared" si="29"/>
        <v>2025T-How17</v>
      </c>
      <c r="B2774" s="59">
        <v>2025.0</v>
      </c>
      <c r="C2774" s="13" t="s">
        <v>82</v>
      </c>
      <c r="D2774" s="13" t="s">
        <v>154</v>
      </c>
      <c r="E2774" s="34"/>
      <c r="F2774" s="6"/>
      <c r="H2774" s="6"/>
      <c r="I2774" s="35" t="str">
        <f>IFERROR(IFERROR(IFERROR(VLOOKUP(B2774&amp;C2774&amp;Q2774,'New Weekly Paste'!A:M,10,0),VLOOKUP(B2774&amp;C2774&amp;Q2774,'New Weekly Paste'!B:O,6,0)),""),"")</f>
        <v>KnardDawg</v>
      </c>
      <c r="J2774" s="259">
        <f>IFERROR(IFERROR(VLOOKUP(B2774&amp;C2774&amp;Q2774,'New Weekly Paste'!A:M,8,0),VLOOKUP(B2774&amp;C2774&amp;Q2774,'New Weekly Paste'!B:O,10,0)),0)</f>
        <v>104.78</v>
      </c>
      <c r="K2774" s="259">
        <f>IFERROR(IFERROR(VLOOKUP(B2774&amp;I2774&amp;Q2774,'New Weekly Paste'!A:M,8,0),VLOOKUP(B2774&amp;I2774&amp;Q2774,'New Weekly Paste'!B:O,10,0)),0)</f>
        <v>70.48</v>
      </c>
      <c r="L2774" s="239">
        <f t="shared" si="25"/>
        <v>1</v>
      </c>
      <c r="M2774" s="36" t="str">
        <f t="shared" si="3"/>
        <v>Playoffs</v>
      </c>
      <c r="N2774" s="239" t="str">
        <f t="shared" si="26"/>
        <v>KnardDawg</v>
      </c>
      <c r="O2774" s="6">
        <f>VLOOKUP(D2774,'Mapped Opponent'!$G$4:$H$22,2,0)</f>
        <v>17</v>
      </c>
      <c r="P2774" s="6"/>
      <c r="Q2774" s="6" t="str">
        <f t="shared" si="4"/>
        <v>Week 17</v>
      </c>
      <c r="R2774" s="6" t="str">
        <f t="shared" si="5"/>
        <v>2025Round 3</v>
      </c>
      <c r="S2774" s="6">
        <f>IFERROR(__xludf.DUMMYFUNCTION("rank(J2774,FILTER(J:J,R:R=R2774))"),6.0)</f>
        <v>6</v>
      </c>
      <c r="T2774" s="6">
        <f t="shared" si="6"/>
        <v>6</v>
      </c>
      <c r="U2774" s="6">
        <f t="shared" si="7"/>
        <v>6</v>
      </c>
      <c r="V2774" s="42">
        <f>averageif(AllData!A:A,B2774,AllData!R:R)/vlookup(B2774,AllData!A:O,15,0)</f>
        <v>104.9271429</v>
      </c>
      <c r="W2774" s="6"/>
    </row>
    <row r="2775" ht="14.25" customHeight="1">
      <c r="A2775" s="6" t="str">
        <f t="shared" si="29"/>
        <v>2025Hudspeath1</v>
      </c>
      <c r="B2775" s="59">
        <v>2025.0</v>
      </c>
      <c r="C2775" s="13" t="s">
        <v>39</v>
      </c>
      <c r="D2775" s="13" t="s">
        <v>129</v>
      </c>
      <c r="E2775" s="34"/>
      <c r="F2775" s="6"/>
      <c r="H2775" s="6"/>
      <c r="I2775" s="35" t="str">
        <f>IFERROR(IFERROR(IFERROR(VLOOKUP(B2775&amp;C2775&amp;Q2775,'New Weekly Paste'!A:M,10,0),VLOOKUP(B2775&amp;C2775&amp;Q2775,'New Weekly Paste'!B:O,6,0)),""),"")</f>
        <v>Riley</v>
      </c>
      <c r="J2775" s="259">
        <f>IFERROR(IFERROR(VLOOKUP(B2775&amp;C2775&amp;Q2775,'New Weekly Paste'!A:M,8,0),VLOOKUP(B2775&amp;C2775&amp;Q2775,'New Weekly Paste'!B:O,10,0)),0)</f>
        <v>91.92</v>
      </c>
      <c r="K2775" s="259">
        <f>IFERROR(IFERROR(VLOOKUP(B2775&amp;I2775&amp;Q2775,'New Weekly Paste'!A:M,8,0),VLOOKUP(B2775&amp;I2775&amp;Q2775,'New Weekly Paste'!B:O,10,0)),0)</f>
        <v>87.72</v>
      </c>
      <c r="L2775" s="239">
        <f t="shared" si="25"/>
        <v>1</v>
      </c>
      <c r="M2775" s="36" t="str">
        <f t="shared" si="3"/>
        <v>Regular Season</v>
      </c>
      <c r="N2775" s="239" t="str">
        <f t="shared" si="26"/>
        <v>Riley</v>
      </c>
      <c r="O2775" s="6">
        <f>VLOOKUP(D2775,'Mapped Opponent'!$G$4:$H$22,2,0)</f>
        <v>1</v>
      </c>
      <c r="P2775" s="6"/>
      <c r="Q2775" s="6" t="str">
        <f t="shared" si="4"/>
        <v>Week 1</v>
      </c>
      <c r="R2775" s="6" t="str">
        <f t="shared" si="5"/>
        <v>2025Week 1</v>
      </c>
      <c r="S2775" s="6">
        <f>IFERROR(__xludf.DUMMYFUNCTION("rank(J2775,FILTER(J:J,R:R=R2775))"),9.0)</f>
        <v>9</v>
      </c>
      <c r="T2775" s="6">
        <f t="shared" si="6"/>
        <v>3</v>
      </c>
      <c r="U2775" s="6">
        <f t="shared" si="7"/>
        <v>9</v>
      </c>
      <c r="V2775" s="42">
        <f>averageif(AllData!A:A,B2775,AllData!R:R)/vlookup(B2775,AllData!A:O,15,0)</f>
        <v>104.9271429</v>
      </c>
      <c r="W2775" s="6"/>
    </row>
    <row r="2776" ht="14.25" customHeight="1">
      <c r="A2776" s="6" t="str">
        <f t="shared" si="29"/>
        <v>2025Salty1</v>
      </c>
      <c r="B2776" s="59">
        <v>2025.0</v>
      </c>
      <c r="C2776" s="13" t="s">
        <v>76</v>
      </c>
      <c r="D2776" s="13" t="s">
        <v>129</v>
      </c>
      <c r="E2776" s="34"/>
      <c r="F2776" s="6"/>
      <c r="H2776" s="6"/>
      <c r="I2776" s="35" t="str">
        <f>IFERROR(IFERROR(IFERROR(VLOOKUP(B2776&amp;C2776&amp;Q2776,'New Weekly Paste'!A:M,10,0),VLOOKUP(B2776&amp;C2776&amp;Q2776,'New Weekly Paste'!B:O,6,0)),""),"")</f>
        <v>Ewert</v>
      </c>
      <c r="J2776" s="259">
        <f>IFERROR(IFERROR(VLOOKUP(B2776&amp;C2776&amp;Q2776,'New Weekly Paste'!A:M,8,0),VLOOKUP(B2776&amp;C2776&amp;Q2776,'New Weekly Paste'!B:O,10,0)),0)</f>
        <v>106.86</v>
      </c>
      <c r="K2776" s="259">
        <f>IFERROR(IFERROR(VLOOKUP(B2776&amp;I2776&amp;Q2776,'New Weekly Paste'!A:M,8,0),VLOOKUP(B2776&amp;I2776&amp;Q2776,'New Weekly Paste'!B:O,10,0)),0)</f>
        <v>87.44</v>
      </c>
      <c r="L2776" s="239">
        <f t="shared" si="25"/>
        <v>1</v>
      </c>
      <c r="M2776" s="36" t="str">
        <f t="shared" si="3"/>
        <v>Regular Season</v>
      </c>
      <c r="N2776" s="239" t="str">
        <f t="shared" si="26"/>
        <v>Ewert</v>
      </c>
      <c r="O2776" s="6">
        <f>VLOOKUP(D2776,'Mapped Opponent'!$G$4:$H$22,2,0)</f>
        <v>1</v>
      </c>
      <c r="P2776" s="6"/>
      <c r="Q2776" s="6" t="str">
        <f t="shared" si="4"/>
        <v>Week 1</v>
      </c>
      <c r="R2776" s="6" t="str">
        <f t="shared" si="5"/>
        <v>2025Week 1</v>
      </c>
      <c r="S2776" s="6">
        <f>IFERROR(__xludf.DUMMYFUNCTION("rank(J2776,FILTER(J:J,R:R=R2776))"),4.0)</f>
        <v>4</v>
      </c>
      <c r="T2776" s="6">
        <f t="shared" si="6"/>
        <v>8</v>
      </c>
      <c r="U2776" s="6">
        <f t="shared" si="7"/>
        <v>4</v>
      </c>
      <c r="V2776" s="42">
        <f>averageif(AllData!A:A,B2776,AllData!R:R)/vlookup(B2776,AllData!A:O,15,0)</f>
        <v>104.9271429</v>
      </c>
      <c r="W2776" s="6"/>
    </row>
    <row r="2777" ht="14.25" customHeight="1">
      <c r="A2777" s="6" t="str">
        <f t="shared" si="29"/>
        <v>2025Ewert1</v>
      </c>
      <c r="B2777" s="59">
        <v>2025.0</v>
      </c>
      <c r="C2777" s="13" t="s">
        <v>108</v>
      </c>
      <c r="D2777" s="13" t="s">
        <v>129</v>
      </c>
      <c r="E2777" s="34"/>
      <c r="F2777" s="6"/>
      <c r="H2777" s="6"/>
      <c r="I2777" s="35" t="str">
        <f>IFERROR(IFERROR(IFERROR(VLOOKUP(B2777&amp;C2777&amp;Q2777,'New Weekly Paste'!A:M,10,0),VLOOKUP(B2777&amp;C2777&amp;Q2777,'New Weekly Paste'!B:O,6,0)),""),"")</f>
        <v>Salty</v>
      </c>
      <c r="J2777" s="259">
        <f>IFERROR(IFERROR(VLOOKUP(B2777&amp;C2777&amp;Q2777,'New Weekly Paste'!A:M,8,0),VLOOKUP(B2777&amp;C2777&amp;Q2777,'New Weekly Paste'!B:O,10,0)),0)</f>
        <v>87.44</v>
      </c>
      <c r="K2777" s="259">
        <f>IFERROR(IFERROR(VLOOKUP(B2777&amp;I2777&amp;Q2777,'New Weekly Paste'!A:M,8,0),VLOOKUP(B2777&amp;I2777&amp;Q2777,'New Weekly Paste'!B:O,10,0)),0)</f>
        <v>106.86</v>
      </c>
      <c r="L2777" s="239">
        <f t="shared" si="25"/>
        <v>0</v>
      </c>
      <c r="M2777" s="36" t="str">
        <f t="shared" si="3"/>
        <v>Regular Season</v>
      </c>
      <c r="N2777" s="239" t="str">
        <f t="shared" si="26"/>
        <v>Salty</v>
      </c>
      <c r="O2777" s="6">
        <f>VLOOKUP(D2777,'Mapped Opponent'!$G$4:$H$22,2,0)</f>
        <v>1</v>
      </c>
      <c r="P2777" s="6"/>
      <c r="Q2777" s="6" t="str">
        <f t="shared" si="4"/>
        <v>Week 1</v>
      </c>
      <c r="R2777" s="6" t="str">
        <f t="shared" si="5"/>
        <v>2025Week 1</v>
      </c>
      <c r="S2777" s="6">
        <f>IFERROR(__xludf.DUMMYFUNCTION("rank(J2777,FILTER(J:J,R:R=R2777))"),11.0)</f>
        <v>11</v>
      </c>
      <c r="T2777" s="6">
        <f t="shared" si="6"/>
        <v>1</v>
      </c>
      <c r="U2777" s="6">
        <f t="shared" si="7"/>
        <v>11</v>
      </c>
      <c r="V2777" s="42">
        <f>averageif(AllData!A:A,B2777,AllData!R:R)/vlookup(B2777,AllData!A:O,15,0)</f>
        <v>104.9271429</v>
      </c>
      <c r="W2777" s="6"/>
    </row>
    <row r="2778" ht="14.25" customHeight="1">
      <c r="A2778" s="6" t="str">
        <f t="shared" si="29"/>
        <v>2025Shep1</v>
      </c>
      <c r="B2778" s="59">
        <v>2025.0</v>
      </c>
      <c r="C2778" s="13" t="s">
        <v>89</v>
      </c>
      <c r="D2778" s="13" t="s">
        <v>129</v>
      </c>
      <c r="E2778" s="34"/>
      <c r="F2778" s="6"/>
      <c r="H2778" s="6"/>
      <c r="I2778" s="35" t="str">
        <f>IFERROR(IFERROR(IFERROR(VLOOKUP(B2778&amp;C2778&amp;Q2778,'New Weekly Paste'!A:M,10,0),VLOOKUP(B2778&amp;C2778&amp;Q2778,'New Weekly Paste'!B:O,6,0)),""),"")</f>
        <v>Tayski</v>
      </c>
      <c r="J2778" s="259">
        <f>IFERROR(IFERROR(VLOOKUP(B2778&amp;C2778&amp;Q2778,'New Weekly Paste'!A:M,8,0),VLOOKUP(B2778&amp;C2778&amp;Q2778,'New Weekly Paste'!B:O,10,0)),0)</f>
        <v>99.28</v>
      </c>
      <c r="K2778" s="259">
        <f>IFERROR(IFERROR(VLOOKUP(B2778&amp;I2778&amp;Q2778,'New Weekly Paste'!A:M,8,0),VLOOKUP(B2778&amp;I2778&amp;Q2778,'New Weekly Paste'!B:O,10,0)),0)</f>
        <v>109.76</v>
      </c>
      <c r="L2778" s="239">
        <f t="shared" si="25"/>
        <v>0</v>
      </c>
      <c r="M2778" s="36" t="str">
        <f t="shared" si="3"/>
        <v>Regular Season</v>
      </c>
      <c r="N2778" s="239" t="str">
        <f t="shared" si="26"/>
        <v>Tayski</v>
      </c>
      <c r="O2778" s="6">
        <f>VLOOKUP(D2778,'Mapped Opponent'!$G$4:$H$22,2,0)</f>
        <v>1</v>
      </c>
      <c r="P2778" s="6"/>
      <c r="Q2778" s="6" t="str">
        <f t="shared" si="4"/>
        <v>Week 1</v>
      </c>
      <c r="R2778" s="6" t="str">
        <f t="shared" si="5"/>
        <v>2025Week 1</v>
      </c>
      <c r="S2778" s="6">
        <f>IFERROR(__xludf.DUMMYFUNCTION("rank(J2778,FILTER(J:J,R:R=R2778))"),6.0)</f>
        <v>6</v>
      </c>
      <c r="T2778" s="6">
        <f t="shared" si="6"/>
        <v>6</v>
      </c>
      <c r="U2778" s="6">
        <f t="shared" si="7"/>
        <v>6</v>
      </c>
      <c r="V2778" s="42">
        <f>averageif(AllData!A:A,B2778,AllData!R:R)/vlookup(B2778,AllData!A:O,15,0)</f>
        <v>104.9271429</v>
      </c>
      <c r="W2778" s="6"/>
    </row>
    <row r="2779" ht="14.25" customHeight="1">
      <c r="A2779" s="6" t="str">
        <f t="shared" si="29"/>
        <v>2025Riley1</v>
      </c>
      <c r="B2779" s="59">
        <v>2025.0</v>
      </c>
      <c r="C2779" s="13" t="s">
        <v>67</v>
      </c>
      <c r="D2779" s="13" t="s">
        <v>129</v>
      </c>
      <c r="E2779" s="34"/>
      <c r="F2779" s="6"/>
      <c r="H2779" s="6"/>
      <c r="I2779" s="35" t="str">
        <f>IFERROR(IFERROR(IFERROR(VLOOKUP(B2779&amp;C2779&amp;Q2779,'New Weekly Paste'!A:M,10,0),VLOOKUP(B2779&amp;C2779&amp;Q2779,'New Weekly Paste'!B:O,6,0)),""),"")</f>
        <v>Hudspeath</v>
      </c>
      <c r="J2779" s="259">
        <f>IFERROR(IFERROR(VLOOKUP(B2779&amp;C2779&amp;Q2779,'New Weekly Paste'!A:M,8,0),VLOOKUP(B2779&amp;C2779&amp;Q2779,'New Weekly Paste'!B:O,10,0)),0)</f>
        <v>87.72</v>
      </c>
      <c r="K2779" s="259">
        <f>IFERROR(IFERROR(VLOOKUP(B2779&amp;I2779&amp;Q2779,'New Weekly Paste'!A:M,8,0),VLOOKUP(B2779&amp;I2779&amp;Q2779,'New Weekly Paste'!B:O,10,0)),0)</f>
        <v>91.92</v>
      </c>
      <c r="L2779" s="239">
        <f t="shared" si="25"/>
        <v>0</v>
      </c>
      <c r="M2779" s="36" t="str">
        <f t="shared" si="3"/>
        <v>Regular Season</v>
      </c>
      <c r="N2779" s="239" t="str">
        <f t="shared" si="26"/>
        <v>Hudspeath</v>
      </c>
      <c r="O2779" s="6">
        <f>VLOOKUP(D2779,'Mapped Opponent'!$G$4:$H$22,2,0)</f>
        <v>1</v>
      </c>
      <c r="P2779" s="6"/>
      <c r="Q2779" s="6" t="str">
        <f t="shared" si="4"/>
        <v>Week 1</v>
      </c>
      <c r="R2779" s="6" t="str">
        <f t="shared" si="5"/>
        <v>2025Week 1</v>
      </c>
      <c r="S2779" s="6">
        <f>IFERROR(__xludf.DUMMYFUNCTION("rank(J2779,FILTER(J:J,R:R=R2779))"),10.0)</f>
        <v>10</v>
      </c>
      <c r="T2779" s="6">
        <f t="shared" si="6"/>
        <v>2</v>
      </c>
      <c r="U2779" s="6">
        <f t="shared" si="7"/>
        <v>10</v>
      </c>
      <c r="V2779" s="42">
        <f>averageif(AllData!A:A,B2779,AllData!R:R)/vlookup(B2779,AllData!A:O,15,0)</f>
        <v>104.9271429</v>
      </c>
      <c r="W2779" s="6"/>
    </row>
    <row r="2780" ht="14.25" customHeight="1">
      <c r="A2780" s="6" t="str">
        <f t="shared" si="29"/>
        <v>2025Rooney/Jackson1</v>
      </c>
      <c r="B2780" s="59">
        <v>2025.0</v>
      </c>
      <c r="C2780" s="13" t="s">
        <v>57</v>
      </c>
      <c r="D2780" s="13" t="s">
        <v>129</v>
      </c>
      <c r="E2780" s="34"/>
      <c r="F2780" s="6"/>
      <c r="H2780" s="6"/>
      <c r="I2780" s="35" t="str">
        <f>IFERROR(IFERROR(IFERROR(VLOOKUP(B2780&amp;C2780&amp;Q2780,'New Weekly Paste'!A:M,10,0),VLOOKUP(B2780&amp;C2780&amp;Q2780,'New Weekly Paste'!B:O,6,0)),""),"")</f>
        <v>Cock</v>
      </c>
      <c r="J2780" s="259">
        <f>IFERROR(IFERROR(VLOOKUP(B2780&amp;C2780&amp;Q2780,'New Weekly Paste'!A:M,8,0),VLOOKUP(B2780&amp;C2780&amp;Q2780,'New Weekly Paste'!B:O,10,0)),0)</f>
        <v>79.58</v>
      </c>
      <c r="K2780" s="259">
        <f>IFERROR(IFERROR(VLOOKUP(B2780&amp;I2780&amp;Q2780,'New Weekly Paste'!A:M,8,0),VLOOKUP(B2780&amp;I2780&amp;Q2780,'New Weekly Paste'!B:O,10,0)),0)</f>
        <v>101.72</v>
      </c>
      <c r="L2780" s="239">
        <f t="shared" si="25"/>
        <v>0</v>
      </c>
      <c r="M2780" s="36" t="str">
        <f t="shared" si="3"/>
        <v>Regular Season</v>
      </c>
      <c r="N2780" s="239" t="str">
        <f t="shared" si="26"/>
        <v>Cock</v>
      </c>
      <c r="O2780" s="6">
        <f>VLOOKUP(D2780,'Mapped Opponent'!$G$4:$H$22,2,0)</f>
        <v>1</v>
      </c>
      <c r="P2780" s="6"/>
      <c r="Q2780" s="6" t="str">
        <f t="shared" si="4"/>
        <v>Week 1</v>
      </c>
      <c r="R2780" s="6" t="str">
        <f t="shared" si="5"/>
        <v>2025Week 1</v>
      </c>
      <c r="S2780" s="6">
        <f>IFERROR(__xludf.DUMMYFUNCTION("rank(J2780,FILTER(J:J,R:R=R2780))"),12.0)</f>
        <v>12</v>
      </c>
      <c r="T2780" s="6">
        <f t="shared" si="6"/>
        <v>0</v>
      </c>
      <c r="U2780" s="6">
        <f t="shared" si="7"/>
        <v>12</v>
      </c>
      <c r="V2780" s="42">
        <f>averageif(AllData!A:A,B2780,AllData!R:R)/vlookup(B2780,AllData!A:O,15,0)</f>
        <v>104.9271429</v>
      </c>
      <c r="W2780" s="6"/>
    </row>
    <row r="2781" ht="14.25" customHeight="1">
      <c r="A2781" s="6" t="str">
        <f t="shared" si="29"/>
        <v>2025Buser1</v>
      </c>
      <c r="B2781" s="59">
        <v>2025.0</v>
      </c>
      <c r="C2781" s="13" t="s">
        <v>47</v>
      </c>
      <c r="D2781" s="13" t="s">
        <v>129</v>
      </c>
      <c r="E2781" s="34"/>
      <c r="F2781" s="6"/>
      <c r="H2781" s="6"/>
      <c r="I2781" s="35" t="str">
        <f>IFERROR(IFERROR(IFERROR(VLOOKUP(B2781&amp;C2781&amp;Q2781,'New Weekly Paste'!A:M,10,0),VLOOKUP(B2781&amp;C2781&amp;Q2781,'New Weekly Paste'!B:O,6,0)),""),"")</f>
        <v>T-How</v>
      </c>
      <c r="J2781" s="259">
        <f>IFERROR(IFERROR(VLOOKUP(B2781&amp;C2781&amp;Q2781,'New Weekly Paste'!A:M,8,0),VLOOKUP(B2781&amp;C2781&amp;Q2781,'New Weekly Paste'!B:O,10,0)),0)</f>
        <v>93.52</v>
      </c>
      <c r="K2781" s="259">
        <f>IFERROR(IFERROR(VLOOKUP(B2781&amp;I2781&amp;Q2781,'New Weekly Paste'!A:M,8,0),VLOOKUP(B2781&amp;I2781&amp;Q2781,'New Weekly Paste'!B:O,10,0)),0)</f>
        <v>111.52</v>
      </c>
      <c r="L2781" s="239">
        <f t="shared" si="25"/>
        <v>0</v>
      </c>
      <c r="M2781" s="36" t="str">
        <f t="shared" si="3"/>
        <v>Regular Season</v>
      </c>
      <c r="N2781" s="239" t="str">
        <f t="shared" si="26"/>
        <v>T-How</v>
      </c>
      <c r="O2781" s="6">
        <f>VLOOKUP(D2781,'Mapped Opponent'!$G$4:$H$22,2,0)</f>
        <v>1</v>
      </c>
      <c r="P2781" s="6"/>
      <c r="Q2781" s="6" t="str">
        <f t="shared" si="4"/>
        <v>Week 1</v>
      </c>
      <c r="R2781" s="6" t="str">
        <f t="shared" si="5"/>
        <v>2025Week 1</v>
      </c>
      <c r="S2781" s="6">
        <f>IFERROR(__xludf.DUMMYFUNCTION("rank(J2781,FILTER(J:J,R:R=R2781))"),8.0)</f>
        <v>8</v>
      </c>
      <c r="T2781" s="6">
        <f t="shared" si="6"/>
        <v>4</v>
      </c>
      <c r="U2781" s="6">
        <f t="shared" si="7"/>
        <v>8</v>
      </c>
      <c r="V2781" s="42">
        <f>averageif(AllData!A:A,B2781,AllData!R:R)/vlookup(B2781,AllData!A:O,15,0)</f>
        <v>104.9271429</v>
      </c>
      <c r="W2781" s="6"/>
    </row>
    <row r="2782" ht="14.25" customHeight="1">
      <c r="A2782" s="6" t="str">
        <f t="shared" si="29"/>
        <v>2025Pierson1</v>
      </c>
      <c r="B2782" s="59">
        <v>2025.0</v>
      </c>
      <c r="C2782" s="13" t="s">
        <v>92</v>
      </c>
      <c r="D2782" s="13" t="s">
        <v>129</v>
      </c>
      <c r="E2782" s="34"/>
      <c r="F2782" s="6"/>
      <c r="H2782" s="6"/>
      <c r="I2782" s="35" t="str">
        <f>IFERROR(IFERROR(IFERROR(VLOOKUP(B2782&amp;C2782&amp;Q2782,'New Weekly Paste'!A:M,10,0),VLOOKUP(B2782&amp;C2782&amp;Q2782,'New Weekly Paste'!B:O,6,0)),""),"")</f>
        <v>KnardDawg</v>
      </c>
      <c r="J2782" s="259">
        <f>IFERROR(IFERROR(VLOOKUP(B2782&amp;C2782&amp;Q2782,'New Weekly Paste'!A:M,8,0),VLOOKUP(B2782&amp;C2782&amp;Q2782,'New Weekly Paste'!B:O,10,0)),0)</f>
        <v>97.08</v>
      </c>
      <c r="K2782" s="259">
        <f>IFERROR(IFERROR(VLOOKUP(B2782&amp;I2782&amp;Q2782,'New Weekly Paste'!A:M,8,0),VLOOKUP(B2782&amp;I2782&amp;Q2782,'New Weekly Paste'!B:O,10,0)),0)</f>
        <v>115.22</v>
      </c>
      <c r="L2782" s="239">
        <f t="shared" si="25"/>
        <v>0</v>
      </c>
      <c r="M2782" s="36" t="str">
        <f t="shared" si="3"/>
        <v>Regular Season</v>
      </c>
      <c r="N2782" s="239" t="str">
        <f t="shared" si="26"/>
        <v>KnardDawg</v>
      </c>
      <c r="O2782" s="6">
        <f>VLOOKUP(D2782,'Mapped Opponent'!$G$4:$H$22,2,0)</f>
        <v>1</v>
      </c>
      <c r="P2782" s="6"/>
      <c r="Q2782" s="6" t="str">
        <f t="shared" si="4"/>
        <v>Week 1</v>
      </c>
      <c r="R2782" s="6" t="str">
        <f t="shared" si="5"/>
        <v>2025Week 1</v>
      </c>
      <c r="S2782" s="6">
        <f>IFERROR(__xludf.DUMMYFUNCTION("rank(J2782,FILTER(J:J,R:R=R2782))"),7.0)</f>
        <v>7</v>
      </c>
      <c r="T2782" s="6">
        <f t="shared" si="6"/>
        <v>5</v>
      </c>
      <c r="U2782" s="6">
        <f t="shared" si="7"/>
        <v>7</v>
      </c>
      <c r="V2782" s="42">
        <f>averageif(AllData!A:A,B2782,AllData!R:R)/vlookup(B2782,AllData!A:O,15,0)</f>
        <v>104.9271429</v>
      </c>
      <c r="W2782" s="6"/>
    </row>
    <row r="2783" ht="14.25" customHeight="1">
      <c r="A2783" s="6" t="str">
        <f t="shared" si="29"/>
        <v>2025Cock1</v>
      </c>
      <c r="B2783" s="59">
        <v>2025.0</v>
      </c>
      <c r="C2783" s="13" t="s">
        <v>72</v>
      </c>
      <c r="D2783" s="13" t="s">
        <v>129</v>
      </c>
      <c r="E2783" s="34"/>
      <c r="F2783" s="6"/>
      <c r="H2783" s="6"/>
      <c r="I2783" s="35" t="str">
        <f>IFERROR(IFERROR(IFERROR(VLOOKUP(B2783&amp;C2783&amp;Q2783,'New Weekly Paste'!A:M,10,0),VLOOKUP(B2783&amp;C2783&amp;Q2783,'New Weekly Paste'!B:O,6,0)),""),"")</f>
        <v>Rooney/Jackson</v>
      </c>
      <c r="J2783" s="259">
        <f>IFERROR(IFERROR(VLOOKUP(B2783&amp;C2783&amp;Q2783,'New Weekly Paste'!A:M,8,0),VLOOKUP(B2783&amp;C2783&amp;Q2783,'New Weekly Paste'!B:O,10,0)),0)</f>
        <v>101.72</v>
      </c>
      <c r="K2783" s="259">
        <f>IFERROR(IFERROR(VLOOKUP(B2783&amp;I2783&amp;Q2783,'New Weekly Paste'!A:M,8,0),VLOOKUP(B2783&amp;I2783&amp;Q2783,'New Weekly Paste'!B:O,10,0)),0)</f>
        <v>79.58</v>
      </c>
      <c r="L2783" s="239">
        <f t="shared" si="25"/>
        <v>1</v>
      </c>
      <c r="M2783" s="36" t="str">
        <f t="shared" si="3"/>
        <v>Regular Season</v>
      </c>
      <c r="N2783" s="239" t="str">
        <f t="shared" si="26"/>
        <v>Rooney/Jackson</v>
      </c>
      <c r="O2783" s="6">
        <f>VLOOKUP(D2783,'Mapped Opponent'!$G$4:$H$22,2,0)</f>
        <v>1</v>
      </c>
      <c r="P2783" s="6"/>
      <c r="Q2783" s="6" t="str">
        <f t="shared" si="4"/>
        <v>Week 1</v>
      </c>
      <c r="R2783" s="6" t="str">
        <f t="shared" si="5"/>
        <v>2025Week 1</v>
      </c>
      <c r="S2783" s="6">
        <f>IFERROR(__xludf.DUMMYFUNCTION("rank(J2783,FILTER(J:J,R:R=R2783))"),5.0)</f>
        <v>5</v>
      </c>
      <c r="T2783" s="6">
        <f t="shared" si="6"/>
        <v>7</v>
      </c>
      <c r="U2783" s="6">
        <f t="shared" si="7"/>
        <v>5</v>
      </c>
      <c r="V2783" s="42">
        <f>averageif(AllData!A:A,B2783,AllData!R:R)/vlookup(B2783,AllData!A:O,15,0)</f>
        <v>104.9271429</v>
      </c>
      <c r="W2783" s="6"/>
    </row>
    <row r="2784" ht="14.25" customHeight="1">
      <c r="A2784" s="6" t="str">
        <f t="shared" si="29"/>
        <v>2025Tayski1</v>
      </c>
      <c r="B2784" s="59">
        <v>2025.0</v>
      </c>
      <c r="C2784" s="13" t="s">
        <v>52</v>
      </c>
      <c r="D2784" s="13" t="s">
        <v>129</v>
      </c>
      <c r="E2784" s="34"/>
      <c r="F2784" s="6"/>
      <c r="H2784" s="6"/>
      <c r="I2784" s="35" t="str">
        <f>IFERROR(IFERROR(IFERROR(VLOOKUP(B2784&amp;C2784&amp;Q2784,'New Weekly Paste'!A:M,10,0),VLOOKUP(B2784&amp;C2784&amp;Q2784,'New Weekly Paste'!B:O,6,0)),""),"")</f>
        <v>Shep</v>
      </c>
      <c r="J2784" s="259">
        <f>IFERROR(IFERROR(VLOOKUP(B2784&amp;C2784&amp;Q2784,'New Weekly Paste'!A:M,8,0),VLOOKUP(B2784&amp;C2784&amp;Q2784,'New Weekly Paste'!B:O,10,0)),0)</f>
        <v>109.76</v>
      </c>
      <c r="K2784" s="259">
        <f>IFERROR(IFERROR(VLOOKUP(B2784&amp;I2784&amp;Q2784,'New Weekly Paste'!A:M,8,0),VLOOKUP(B2784&amp;I2784&amp;Q2784,'New Weekly Paste'!B:O,10,0)),0)</f>
        <v>99.28</v>
      </c>
      <c r="L2784" s="239">
        <f t="shared" si="25"/>
        <v>1</v>
      </c>
      <c r="M2784" s="36" t="str">
        <f t="shared" si="3"/>
        <v>Regular Season</v>
      </c>
      <c r="N2784" s="239" t="str">
        <f t="shared" si="26"/>
        <v>Shep</v>
      </c>
      <c r="O2784" s="6">
        <f>VLOOKUP(D2784,'Mapped Opponent'!$G$4:$H$22,2,0)</f>
        <v>1</v>
      </c>
      <c r="P2784" s="6"/>
      <c r="Q2784" s="6" t="str">
        <f t="shared" si="4"/>
        <v>Week 1</v>
      </c>
      <c r="R2784" s="6" t="str">
        <f t="shared" si="5"/>
        <v>2025Week 1</v>
      </c>
      <c r="S2784" s="6">
        <f>IFERROR(__xludf.DUMMYFUNCTION("rank(J2784,FILTER(J:J,R:R=R2784))"),3.0)</f>
        <v>3</v>
      </c>
      <c r="T2784" s="6">
        <f t="shared" si="6"/>
        <v>9</v>
      </c>
      <c r="U2784" s="6">
        <f t="shared" si="7"/>
        <v>3</v>
      </c>
      <c r="V2784" s="42">
        <f>averageif(AllData!A:A,B2784,AllData!R:R)/vlookup(B2784,AllData!A:O,15,0)</f>
        <v>104.9271429</v>
      </c>
      <c r="W2784" s="6"/>
    </row>
    <row r="2785" ht="14.25" customHeight="1">
      <c r="A2785" s="6" t="str">
        <f t="shared" si="29"/>
        <v>2025KnardDawg1</v>
      </c>
      <c r="B2785" s="59">
        <v>2025.0</v>
      </c>
      <c r="C2785" s="13" t="s">
        <v>86</v>
      </c>
      <c r="D2785" s="13" t="s">
        <v>129</v>
      </c>
      <c r="E2785" s="34"/>
      <c r="F2785" s="6"/>
      <c r="H2785" s="6"/>
      <c r="I2785" s="35" t="str">
        <f>IFERROR(IFERROR(IFERROR(VLOOKUP(B2785&amp;C2785&amp;Q2785,'New Weekly Paste'!A:M,10,0),VLOOKUP(B2785&amp;C2785&amp;Q2785,'New Weekly Paste'!B:O,6,0)),""),"")</f>
        <v>Pierson</v>
      </c>
      <c r="J2785" s="259">
        <f>IFERROR(IFERROR(VLOOKUP(B2785&amp;C2785&amp;Q2785,'New Weekly Paste'!A:M,8,0),VLOOKUP(B2785&amp;C2785&amp;Q2785,'New Weekly Paste'!B:O,10,0)),0)</f>
        <v>115.22</v>
      </c>
      <c r="K2785" s="259">
        <f>IFERROR(IFERROR(VLOOKUP(B2785&amp;I2785&amp;Q2785,'New Weekly Paste'!A:M,8,0),VLOOKUP(B2785&amp;I2785&amp;Q2785,'New Weekly Paste'!B:O,10,0)),0)</f>
        <v>97.08</v>
      </c>
      <c r="L2785" s="239">
        <f t="shared" si="25"/>
        <v>1</v>
      </c>
      <c r="M2785" s="36" t="str">
        <f t="shared" si="3"/>
        <v>Regular Season</v>
      </c>
      <c r="N2785" s="239" t="str">
        <f t="shared" si="26"/>
        <v>Pierson</v>
      </c>
      <c r="O2785" s="6">
        <f>VLOOKUP(D2785,'Mapped Opponent'!$G$4:$H$22,2,0)</f>
        <v>1</v>
      </c>
      <c r="P2785" s="6"/>
      <c r="Q2785" s="6" t="str">
        <f t="shared" si="4"/>
        <v>Week 1</v>
      </c>
      <c r="R2785" s="6" t="str">
        <f t="shared" si="5"/>
        <v>2025Week 1</v>
      </c>
      <c r="S2785" s="6">
        <f>IFERROR(__xludf.DUMMYFUNCTION("rank(J2785,FILTER(J:J,R:R=R2785))"),1.0)</f>
        <v>1</v>
      </c>
      <c r="T2785" s="6">
        <f t="shared" si="6"/>
        <v>11</v>
      </c>
      <c r="U2785" s="6">
        <f t="shared" si="7"/>
        <v>1</v>
      </c>
      <c r="V2785" s="42">
        <f>averageif(AllData!A:A,B2785,AllData!R:R)/vlookup(B2785,AllData!A:O,15,0)</f>
        <v>104.9271429</v>
      </c>
      <c r="W2785" s="6"/>
    </row>
    <row r="2786" ht="14.25" customHeight="1">
      <c r="A2786" s="6" t="str">
        <f t="shared" si="29"/>
        <v>2025T-How1</v>
      </c>
      <c r="B2786" s="59">
        <v>2025.0</v>
      </c>
      <c r="C2786" s="13" t="s">
        <v>82</v>
      </c>
      <c r="D2786" s="13" t="s">
        <v>129</v>
      </c>
      <c r="E2786" s="34"/>
      <c r="F2786" s="6"/>
      <c r="H2786" s="6"/>
      <c r="I2786" s="35" t="str">
        <f>IFERROR(IFERROR(IFERROR(VLOOKUP(B2786&amp;C2786&amp;Q2786,'New Weekly Paste'!A:M,10,0),VLOOKUP(B2786&amp;C2786&amp;Q2786,'New Weekly Paste'!B:O,6,0)),""),"")</f>
        <v>Buser</v>
      </c>
      <c r="J2786" s="259">
        <f>IFERROR(IFERROR(VLOOKUP(B2786&amp;C2786&amp;Q2786,'New Weekly Paste'!A:M,8,0),VLOOKUP(B2786&amp;C2786&amp;Q2786,'New Weekly Paste'!B:O,10,0)),0)</f>
        <v>111.52</v>
      </c>
      <c r="K2786" s="259">
        <f>IFERROR(IFERROR(VLOOKUP(B2786&amp;I2786&amp;Q2786,'New Weekly Paste'!A:M,8,0),VLOOKUP(B2786&amp;I2786&amp;Q2786,'New Weekly Paste'!B:O,10,0)),0)</f>
        <v>93.52</v>
      </c>
      <c r="L2786" s="239">
        <f t="shared" si="25"/>
        <v>1</v>
      </c>
      <c r="M2786" s="36" t="str">
        <f t="shared" si="3"/>
        <v>Regular Season</v>
      </c>
      <c r="N2786" s="239" t="str">
        <f t="shared" si="26"/>
        <v>Buser</v>
      </c>
      <c r="O2786" s="6">
        <f>VLOOKUP(D2786,'Mapped Opponent'!$G$4:$H$22,2,0)</f>
        <v>1</v>
      </c>
      <c r="P2786" s="6"/>
      <c r="Q2786" s="6" t="str">
        <f t="shared" si="4"/>
        <v>Week 1</v>
      </c>
      <c r="R2786" s="6" t="str">
        <f t="shared" si="5"/>
        <v>2025Week 1</v>
      </c>
      <c r="S2786" s="6">
        <f>IFERROR(__xludf.DUMMYFUNCTION("rank(J2786,FILTER(J:J,R:R=R2786))"),2.0)</f>
        <v>2</v>
      </c>
      <c r="T2786" s="6">
        <f t="shared" si="6"/>
        <v>10</v>
      </c>
      <c r="U2786" s="6">
        <f t="shared" si="7"/>
        <v>2</v>
      </c>
      <c r="V2786" s="42">
        <f>averageif(AllData!A:A,B2786,AllData!R:R)/vlookup(B2786,AllData!A:O,15,0)</f>
        <v>104.9271429</v>
      </c>
      <c r="W2786" s="6"/>
    </row>
    <row r="2787" ht="14.25" customHeight="1">
      <c r="A2787" s="6" t="str">
        <f t="shared" si="29"/>
        <v>2025Hudspeath10</v>
      </c>
      <c r="B2787" s="59">
        <v>2025.0</v>
      </c>
      <c r="C2787" s="13" t="s">
        <v>39</v>
      </c>
      <c r="D2787" s="13" t="s">
        <v>149</v>
      </c>
      <c r="E2787" s="34"/>
      <c r="F2787" s="6"/>
      <c r="H2787" s="6"/>
      <c r="I2787" s="35" t="str">
        <f>IFERROR(IFERROR(IFERROR(VLOOKUP(B2787&amp;C2787&amp;Q2787,'New Weekly Paste'!A:M,10,0),VLOOKUP(B2787&amp;C2787&amp;Q2787,'New Weekly Paste'!B:O,6,0)),""),"")</f>
        <v>Buser</v>
      </c>
      <c r="J2787" s="259">
        <f>IFERROR(IFERROR(VLOOKUP(B2787&amp;C2787&amp;Q2787,'New Weekly Paste'!A:M,8,0),VLOOKUP(B2787&amp;C2787&amp;Q2787,'New Weekly Paste'!B:O,10,0)),0)</f>
        <v>104.3</v>
      </c>
      <c r="K2787" s="259">
        <f>IFERROR(IFERROR(VLOOKUP(B2787&amp;I2787&amp;Q2787,'New Weekly Paste'!A:M,8,0),VLOOKUP(B2787&amp;I2787&amp;Q2787,'New Weekly Paste'!B:O,10,0)),0)</f>
        <v>109.72</v>
      </c>
      <c r="L2787" s="239">
        <f t="shared" si="25"/>
        <v>0</v>
      </c>
      <c r="M2787" s="36" t="str">
        <f t="shared" si="3"/>
        <v>Regular Season</v>
      </c>
      <c r="N2787" s="239" t="str">
        <f t="shared" si="26"/>
        <v>Buser</v>
      </c>
      <c r="O2787" s="6">
        <f>VLOOKUP(D2787,'Mapped Opponent'!$G$4:$H$22,2,0)</f>
        <v>10</v>
      </c>
      <c r="P2787" s="6"/>
      <c r="Q2787" s="6" t="str">
        <f t="shared" si="4"/>
        <v>Week 10</v>
      </c>
      <c r="R2787" s="6" t="str">
        <f t="shared" si="5"/>
        <v>2025Week 10</v>
      </c>
      <c r="S2787" s="6">
        <f>IFERROR(__xludf.DUMMYFUNCTION("rank(J2787,FILTER(J:J,R:R=R2787))"),7.0)</f>
        <v>7</v>
      </c>
      <c r="T2787" s="6">
        <f t="shared" si="6"/>
        <v>5</v>
      </c>
      <c r="U2787" s="6">
        <f t="shared" si="7"/>
        <v>7</v>
      </c>
      <c r="V2787" s="42">
        <f>averageif(AllData!A:A,B2787,AllData!R:R)/vlookup(B2787,AllData!A:O,15,0)</f>
        <v>104.9271429</v>
      </c>
      <c r="W2787" s="6"/>
    </row>
    <row r="2788" ht="14.25" customHeight="1">
      <c r="A2788" s="6" t="str">
        <f t="shared" si="29"/>
        <v>2025Salty10</v>
      </c>
      <c r="B2788" s="59">
        <v>2025.0</v>
      </c>
      <c r="C2788" s="13" t="s">
        <v>76</v>
      </c>
      <c r="D2788" s="13" t="s">
        <v>149</v>
      </c>
      <c r="E2788" s="34"/>
      <c r="F2788" s="6"/>
      <c r="H2788" s="6"/>
      <c r="I2788" s="35" t="str">
        <f>IFERROR(IFERROR(IFERROR(VLOOKUP(B2788&amp;C2788&amp;Q2788,'New Weekly Paste'!A:M,10,0),VLOOKUP(B2788&amp;C2788&amp;Q2788,'New Weekly Paste'!B:O,6,0)),""),"")</f>
        <v>Pierson</v>
      </c>
      <c r="J2788" s="259">
        <f>IFERROR(IFERROR(VLOOKUP(B2788&amp;C2788&amp;Q2788,'New Weekly Paste'!A:M,8,0),VLOOKUP(B2788&amp;C2788&amp;Q2788,'New Weekly Paste'!B:O,10,0)),0)</f>
        <v>132.54</v>
      </c>
      <c r="K2788" s="259">
        <f>IFERROR(IFERROR(VLOOKUP(B2788&amp;I2788&amp;Q2788,'New Weekly Paste'!A:M,8,0),VLOOKUP(B2788&amp;I2788&amp;Q2788,'New Weekly Paste'!B:O,10,0)),0)</f>
        <v>129.48</v>
      </c>
      <c r="L2788" s="239">
        <f t="shared" si="25"/>
        <v>1</v>
      </c>
      <c r="M2788" s="36" t="str">
        <f t="shared" si="3"/>
        <v>Regular Season</v>
      </c>
      <c r="N2788" s="239" t="str">
        <f t="shared" si="26"/>
        <v>Pierson</v>
      </c>
      <c r="O2788" s="6">
        <f>VLOOKUP(D2788,'Mapped Opponent'!$G$4:$H$22,2,0)</f>
        <v>10</v>
      </c>
      <c r="P2788" s="6"/>
      <c r="Q2788" s="6" t="str">
        <f t="shared" si="4"/>
        <v>Week 10</v>
      </c>
      <c r="R2788" s="6" t="str">
        <f t="shared" si="5"/>
        <v>2025Week 10</v>
      </c>
      <c r="S2788" s="6">
        <f>IFERROR(__xludf.DUMMYFUNCTION("rank(J2788,FILTER(J:J,R:R=R2788))"),2.0)</f>
        <v>2</v>
      </c>
      <c r="T2788" s="6">
        <f t="shared" si="6"/>
        <v>10</v>
      </c>
      <c r="U2788" s="6">
        <f t="shared" si="7"/>
        <v>2</v>
      </c>
      <c r="V2788" s="42">
        <f>averageif(AllData!A:A,B2788,AllData!R:R)/vlookup(B2788,AllData!A:O,15,0)</f>
        <v>104.9271429</v>
      </c>
      <c r="W2788" s="6"/>
    </row>
    <row r="2789" ht="14.25" customHeight="1">
      <c r="A2789" s="6" t="str">
        <f t="shared" si="29"/>
        <v>2025Ewert10</v>
      </c>
      <c r="B2789" s="59">
        <v>2025.0</v>
      </c>
      <c r="C2789" s="13" t="s">
        <v>108</v>
      </c>
      <c r="D2789" s="13" t="s">
        <v>149</v>
      </c>
      <c r="E2789" s="34"/>
      <c r="F2789" s="6"/>
      <c r="H2789" s="6"/>
      <c r="I2789" s="35" t="str">
        <f>IFERROR(IFERROR(IFERROR(VLOOKUP(B2789&amp;C2789&amp;Q2789,'New Weekly Paste'!A:M,10,0),VLOOKUP(B2789&amp;C2789&amp;Q2789,'New Weekly Paste'!B:O,6,0)),""),"")</f>
        <v>Tayski</v>
      </c>
      <c r="J2789" s="259">
        <f>IFERROR(IFERROR(VLOOKUP(B2789&amp;C2789&amp;Q2789,'New Weekly Paste'!A:M,8,0),VLOOKUP(B2789&amp;C2789&amp;Q2789,'New Weekly Paste'!B:O,10,0)),0)</f>
        <v>80.8</v>
      </c>
      <c r="K2789" s="259">
        <f>IFERROR(IFERROR(VLOOKUP(B2789&amp;I2789&amp;Q2789,'New Weekly Paste'!A:M,8,0),VLOOKUP(B2789&amp;I2789&amp;Q2789,'New Weekly Paste'!B:O,10,0)),0)</f>
        <v>79.52</v>
      </c>
      <c r="L2789" s="239">
        <f t="shared" si="25"/>
        <v>1</v>
      </c>
      <c r="M2789" s="36" t="str">
        <f t="shared" si="3"/>
        <v>Regular Season</v>
      </c>
      <c r="N2789" s="239" t="str">
        <f t="shared" si="26"/>
        <v>Tayski</v>
      </c>
      <c r="O2789" s="6">
        <f>VLOOKUP(D2789,'Mapped Opponent'!$G$4:$H$22,2,0)</f>
        <v>10</v>
      </c>
      <c r="P2789" s="6"/>
      <c r="Q2789" s="6" t="str">
        <f t="shared" si="4"/>
        <v>Week 10</v>
      </c>
      <c r="R2789" s="6" t="str">
        <f t="shared" si="5"/>
        <v>2025Week 10</v>
      </c>
      <c r="S2789" s="6">
        <f>IFERROR(__xludf.DUMMYFUNCTION("rank(J2789,FILTER(J:J,R:R=R2789))"),11.0)</f>
        <v>11</v>
      </c>
      <c r="T2789" s="6">
        <f t="shared" si="6"/>
        <v>1</v>
      </c>
      <c r="U2789" s="6">
        <f t="shared" si="7"/>
        <v>11</v>
      </c>
      <c r="V2789" s="42">
        <f>averageif(AllData!A:A,B2789,AllData!R:R)/vlookup(B2789,AllData!A:O,15,0)</f>
        <v>104.9271429</v>
      </c>
      <c r="W2789" s="6"/>
    </row>
    <row r="2790" ht="14.25" customHeight="1">
      <c r="A2790" s="6" t="str">
        <f t="shared" si="29"/>
        <v>2025Shep10</v>
      </c>
      <c r="B2790" s="59">
        <v>2025.0</v>
      </c>
      <c r="C2790" s="13" t="s">
        <v>89</v>
      </c>
      <c r="D2790" s="13" t="s">
        <v>149</v>
      </c>
      <c r="E2790" s="34"/>
      <c r="F2790" s="6"/>
      <c r="H2790" s="6"/>
      <c r="I2790" s="35" t="str">
        <f>IFERROR(IFERROR(IFERROR(VLOOKUP(B2790&amp;C2790&amp;Q2790,'New Weekly Paste'!A:M,10,0),VLOOKUP(B2790&amp;C2790&amp;Q2790,'New Weekly Paste'!B:O,6,0)),""),"")</f>
        <v>Riley</v>
      </c>
      <c r="J2790" s="259">
        <f>IFERROR(IFERROR(VLOOKUP(B2790&amp;C2790&amp;Q2790,'New Weekly Paste'!A:M,8,0),VLOOKUP(B2790&amp;C2790&amp;Q2790,'New Weekly Paste'!B:O,10,0)),0)</f>
        <v>117.62</v>
      </c>
      <c r="K2790" s="259">
        <f>IFERROR(IFERROR(VLOOKUP(B2790&amp;I2790&amp;Q2790,'New Weekly Paste'!A:M,8,0),VLOOKUP(B2790&amp;I2790&amp;Q2790,'New Weekly Paste'!B:O,10,0)),0)</f>
        <v>87.8</v>
      </c>
      <c r="L2790" s="239">
        <f t="shared" si="25"/>
        <v>1</v>
      </c>
      <c r="M2790" s="36" t="str">
        <f t="shared" si="3"/>
        <v>Regular Season</v>
      </c>
      <c r="N2790" s="239" t="str">
        <f t="shared" si="26"/>
        <v>Riley</v>
      </c>
      <c r="O2790" s="6">
        <f>VLOOKUP(D2790,'Mapped Opponent'!$G$4:$H$22,2,0)</f>
        <v>10</v>
      </c>
      <c r="P2790" s="6"/>
      <c r="Q2790" s="6" t="str">
        <f t="shared" si="4"/>
        <v>Week 10</v>
      </c>
      <c r="R2790" s="6" t="str">
        <f t="shared" si="5"/>
        <v>2025Week 10</v>
      </c>
      <c r="S2790" s="6">
        <f>IFERROR(__xludf.DUMMYFUNCTION("rank(J2790,FILTER(J:J,R:R=R2790))"),4.0)</f>
        <v>4</v>
      </c>
      <c r="T2790" s="6">
        <f t="shared" si="6"/>
        <v>8</v>
      </c>
      <c r="U2790" s="6">
        <f t="shared" si="7"/>
        <v>4</v>
      </c>
      <c r="V2790" s="42">
        <f>averageif(AllData!A:A,B2790,AllData!R:R)/vlookup(B2790,AllData!A:O,15,0)</f>
        <v>104.9271429</v>
      </c>
      <c r="W2790" s="6"/>
    </row>
    <row r="2791" ht="14.25" customHeight="1">
      <c r="A2791" s="6" t="str">
        <f t="shared" si="29"/>
        <v>2025Riley10</v>
      </c>
      <c r="B2791" s="59">
        <v>2025.0</v>
      </c>
      <c r="C2791" s="13" t="s">
        <v>67</v>
      </c>
      <c r="D2791" s="13" t="s">
        <v>149</v>
      </c>
      <c r="E2791" s="34"/>
      <c r="F2791" s="6"/>
      <c r="H2791" s="6"/>
      <c r="I2791" s="35" t="str">
        <f>IFERROR(IFERROR(IFERROR(VLOOKUP(B2791&amp;C2791&amp;Q2791,'New Weekly Paste'!A:M,10,0),VLOOKUP(B2791&amp;C2791&amp;Q2791,'New Weekly Paste'!B:O,6,0)),""),"")</f>
        <v>Shep</v>
      </c>
      <c r="J2791" s="259">
        <f>IFERROR(IFERROR(VLOOKUP(B2791&amp;C2791&amp;Q2791,'New Weekly Paste'!A:M,8,0),VLOOKUP(B2791&amp;C2791&amp;Q2791,'New Weekly Paste'!B:O,10,0)),0)</f>
        <v>87.8</v>
      </c>
      <c r="K2791" s="259">
        <f>IFERROR(IFERROR(VLOOKUP(B2791&amp;I2791&amp;Q2791,'New Weekly Paste'!A:M,8,0),VLOOKUP(B2791&amp;I2791&amp;Q2791,'New Weekly Paste'!B:O,10,0)),0)</f>
        <v>117.62</v>
      </c>
      <c r="L2791" s="239">
        <f t="shared" si="25"/>
        <v>0</v>
      </c>
      <c r="M2791" s="36" t="str">
        <f t="shared" si="3"/>
        <v>Regular Season</v>
      </c>
      <c r="N2791" s="239" t="str">
        <f t="shared" si="26"/>
        <v>Shep</v>
      </c>
      <c r="O2791" s="6">
        <f>VLOOKUP(D2791,'Mapped Opponent'!$G$4:$H$22,2,0)</f>
        <v>10</v>
      </c>
      <c r="P2791" s="6"/>
      <c r="Q2791" s="6" t="str">
        <f t="shared" si="4"/>
        <v>Week 10</v>
      </c>
      <c r="R2791" s="6" t="str">
        <f t="shared" si="5"/>
        <v>2025Week 10</v>
      </c>
      <c r="S2791" s="6">
        <f>IFERROR(__xludf.DUMMYFUNCTION("rank(J2791,FILTER(J:J,R:R=R2791))"),10.0)</f>
        <v>10</v>
      </c>
      <c r="T2791" s="6">
        <f t="shared" si="6"/>
        <v>2</v>
      </c>
      <c r="U2791" s="6">
        <f t="shared" si="7"/>
        <v>10</v>
      </c>
      <c r="V2791" s="42">
        <f>averageif(AllData!A:A,B2791,AllData!R:R)/vlookup(B2791,AllData!A:O,15,0)</f>
        <v>104.9271429</v>
      </c>
      <c r="W2791" s="6"/>
    </row>
    <row r="2792" ht="14.25" customHeight="1">
      <c r="A2792" s="6" t="str">
        <f t="shared" si="29"/>
        <v>2025Rooney/Jackson10</v>
      </c>
      <c r="B2792" s="59">
        <v>2025.0</v>
      </c>
      <c r="C2792" s="13" t="s">
        <v>57</v>
      </c>
      <c r="D2792" s="13" t="s">
        <v>149</v>
      </c>
      <c r="E2792" s="34"/>
      <c r="F2792" s="6"/>
      <c r="H2792" s="6"/>
      <c r="I2792" s="35" t="str">
        <f>IFERROR(IFERROR(IFERROR(VLOOKUP(B2792&amp;C2792&amp;Q2792,'New Weekly Paste'!A:M,10,0),VLOOKUP(B2792&amp;C2792&amp;Q2792,'New Weekly Paste'!B:O,6,0)),""),"")</f>
        <v>KnardDawg</v>
      </c>
      <c r="J2792" s="259">
        <f>IFERROR(IFERROR(VLOOKUP(B2792&amp;C2792&amp;Q2792,'New Weekly Paste'!A:M,8,0),VLOOKUP(B2792&amp;C2792&amp;Q2792,'New Weekly Paste'!B:O,10,0)),0)</f>
        <v>136.4</v>
      </c>
      <c r="K2792" s="259">
        <f>IFERROR(IFERROR(VLOOKUP(B2792&amp;I2792&amp;Q2792,'New Weekly Paste'!A:M,8,0),VLOOKUP(B2792&amp;I2792&amp;Q2792,'New Weekly Paste'!B:O,10,0)),0)</f>
        <v>91.2</v>
      </c>
      <c r="L2792" s="239">
        <f t="shared" si="25"/>
        <v>1</v>
      </c>
      <c r="M2792" s="36" t="str">
        <f t="shared" si="3"/>
        <v>Regular Season</v>
      </c>
      <c r="N2792" s="239" t="str">
        <f t="shared" si="26"/>
        <v>KnardDawg</v>
      </c>
      <c r="O2792" s="6">
        <f>VLOOKUP(D2792,'Mapped Opponent'!$G$4:$H$22,2,0)</f>
        <v>10</v>
      </c>
      <c r="P2792" s="6"/>
      <c r="Q2792" s="6" t="str">
        <f t="shared" si="4"/>
        <v>Week 10</v>
      </c>
      <c r="R2792" s="6" t="str">
        <f t="shared" si="5"/>
        <v>2025Week 10</v>
      </c>
      <c r="S2792" s="6">
        <f>IFERROR(__xludf.DUMMYFUNCTION("rank(J2792,FILTER(J:J,R:R=R2792))"),1.0)</f>
        <v>1</v>
      </c>
      <c r="T2792" s="6">
        <f t="shared" si="6"/>
        <v>11</v>
      </c>
      <c r="U2792" s="6">
        <f t="shared" si="7"/>
        <v>1</v>
      </c>
      <c r="V2792" s="42">
        <f>averageif(AllData!A:A,B2792,AllData!R:R)/vlookup(B2792,AllData!A:O,15,0)</f>
        <v>104.9271429</v>
      </c>
      <c r="W2792" s="6"/>
    </row>
    <row r="2793" ht="14.25" customHeight="1">
      <c r="A2793" s="6" t="str">
        <f t="shared" si="29"/>
        <v>2025Buser10</v>
      </c>
      <c r="B2793" s="59">
        <v>2025.0</v>
      </c>
      <c r="C2793" s="13" t="s">
        <v>47</v>
      </c>
      <c r="D2793" s="13" t="s">
        <v>149</v>
      </c>
      <c r="E2793" s="34"/>
      <c r="F2793" s="6"/>
      <c r="H2793" s="6"/>
      <c r="I2793" s="35" t="str">
        <f>IFERROR(IFERROR(IFERROR(VLOOKUP(B2793&amp;C2793&amp;Q2793,'New Weekly Paste'!A:M,10,0),VLOOKUP(B2793&amp;C2793&amp;Q2793,'New Weekly Paste'!B:O,6,0)),""),"")</f>
        <v>Hudspeath</v>
      </c>
      <c r="J2793" s="259">
        <f>IFERROR(IFERROR(VLOOKUP(B2793&amp;C2793&amp;Q2793,'New Weekly Paste'!A:M,8,0),VLOOKUP(B2793&amp;C2793&amp;Q2793,'New Weekly Paste'!B:O,10,0)),0)</f>
        <v>109.72</v>
      </c>
      <c r="K2793" s="259">
        <f>IFERROR(IFERROR(VLOOKUP(B2793&amp;I2793&amp;Q2793,'New Weekly Paste'!A:M,8,0),VLOOKUP(B2793&amp;I2793&amp;Q2793,'New Weekly Paste'!B:O,10,0)),0)</f>
        <v>104.3</v>
      </c>
      <c r="L2793" s="239">
        <f t="shared" si="25"/>
        <v>1</v>
      </c>
      <c r="M2793" s="36" t="str">
        <f t="shared" si="3"/>
        <v>Regular Season</v>
      </c>
      <c r="N2793" s="239" t="str">
        <f t="shared" si="26"/>
        <v>Hudspeath</v>
      </c>
      <c r="O2793" s="6">
        <f>VLOOKUP(D2793,'Mapped Opponent'!$G$4:$H$22,2,0)</f>
        <v>10</v>
      </c>
      <c r="P2793" s="6"/>
      <c r="Q2793" s="6" t="str">
        <f t="shared" si="4"/>
        <v>Week 10</v>
      </c>
      <c r="R2793" s="6" t="str">
        <f t="shared" si="5"/>
        <v>2025Week 10</v>
      </c>
      <c r="S2793" s="6">
        <f>IFERROR(__xludf.DUMMYFUNCTION("rank(J2793,FILTER(J:J,R:R=R2793))"),5.0)</f>
        <v>5</v>
      </c>
      <c r="T2793" s="6">
        <f t="shared" si="6"/>
        <v>7</v>
      </c>
      <c r="U2793" s="6">
        <f t="shared" si="7"/>
        <v>5</v>
      </c>
      <c r="V2793" s="42">
        <f>averageif(AllData!A:A,B2793,AllData!R:R)/vlookup(B2793,AllData!A:O,15,0)</f>
        <v>104.9271429</v>
      </c>
      <c r="W2793" s="6"/>
    </row>
    <row r="2794" ht="14.25" customHeight="1">
      <c r="A2794" s="6" t="str">
        <f t="shared" si="29"/>
        <v>2025Pierson10</v>
      </c>
      <c r="B2794" s="59">
        <v>2025.0</v>
      </c>
      <c r="C2794" s="13" t="s">
        <v>92</v>
      </c>
      <c r="D2794" s="13" t="s">
        <v>149</v>
      </c>
      <c r="E2794" s="34"/>
      <c r="F2794" s="6"/>
      <c r="H2794" s="6"/>
      <c r="I2794" s="35" t="str">
        <f>IFERROR(IFERROR(IFERROR(VLOOKUP(B2794&amp;C2794&amp;Q2794,'New Weekly Paste'!A:M,10,0),VLOOKUP(B2794&amp;C2794&amp;Q2794,'New Weekly Paste'!B:O,6,0)),""),"")</f>
        <v>Salty</v>
      </c>
      <c r="J2794" s="259">
        <f>IFERROR(IFERROR(VLOOKUP(B2794&amp;C2794&amp;Q2794,'New Weekly Paste'!A:M,8,0),VLOOKUP(B2794&amp;C2794&amp;Q2794,'New Weekly Paste'!B:O,10,0)),0)</f>
        <v>129.48</v>
      </c>
      <c r="K2794" s="259">
        <f>IFERROR(IFERROR(VLOOKUP(B2794&amp;I2794&amp;Q2794,'New Weekly Paste'!A:M,8,0),VLOOKUP(B2794&amp;I2794&amp;Q2794,'New Weekly Paste'!B:O,10,0)),0)</f>
        <v>132.54</v>
      </c>
      <c r="L2794" s="239">
        <f t="shared" si="25"/>
        <v>0</v>
      </c>
      <c r="M2794" s="36" t="str">
        <f t="shared" si="3"/>
        <v>Regular Season</v>
      </c>
      <c r="N2794" s="239" t="str">
        <f t="shared" si="26"/>
        <v>Salty</v>
      </c>
      <c r="O2794" s="6">
        <f>VLOOKUP(D2794,'Mapped Opponent'!$G$4:$H$22,2,0)</f>
        <v>10</v>
      </c>
      <c r="P2794" s="6"/>
      <c r="Q2794" s="6" t="str">
        <f t="shared" si="4"/>
        <v>Week 10</v>
      </c>
      <c r="R2794" s="6" t="str">
        <f t="shared" si="5"/>
        <v>2025Week 10</v>
      </c>
      <c r="S2794" s="6">
        <f>IFERROR(__xludf.DUMMYFUNCTION("rank(J2794,FILTER(J:J,R:R=R2794))"),3.0)</f>
        <v>3</v>
      </c>
      <c r="T2794" s="6">
        <f t="shared" si="6"/>
        <v>9</v>
      </c>
      <c r="U2794" s="6">
        <f t="shared" si="7"/>
        <v>3</v>
      </c>
      <c r="V2794" s="42">
        <f>averageif(AllData!A:A,B2794,AllData!R:R)/vlookup(B2794,AllData!A:O,15,0)</f>
        <v>104.9271429</v>
      </c>
      <c r="W2794" s="6"/>
    </row>
    <row r="2795" ht="14.25" customHeight="1">
      <c r="A2795" s="6" t="str">
        <f t="shared" si="29"/>
        <v>2025Cock10</v>
      </c>
      <c r="B2795" s="59">
        <v>2025.0</v>
      </c>
      <c r="C2795" s="13" t="s">
        <v>72</v>
      </c>
      <c r="D2795" s="13" t="s">
        <v>149</v>
      </c>
      <c r="E2795" s="34"/>
      <c r="F2795" s="6"/>
      <c r="H2795" s="6"/>
      <c r="I2795" s="35" t="str">
        <f>IFERROR(IFERROR(IFERROR(VLOOKUP(B2795&amp;C2795&amp;Q2795,'New Weekly Paste'!A:M,10,0),VLOOKUP(B2795&amp;C2795&amp;Q2795,'New Weekly Paste'!B:O,6,0)),""),"")</f>
        <v>T-How</v>
      </c>
      <c r="J2795" s="259">
        <f>IFERROR(IFERROR(VLOOKUP(B2795&amp;C2795&amp;Q2795,'New Weekly Paste'!A:M,8,0),VLOOKUP(B2795&amp;C2795&amp;Q2795,'New Weekly Paste'!B:O,10,0)),0)</f>
        <v>101.42</v>
      </c>
      <c r="K2795" s="259">
        <f>IFERROR(IFERROR(VLOOKUP(B2795&amp;I2795&amp;Q2795,'New Weekly Paste'!A:M,8,0),VLOOKUP(B2795&amp;I2795&amp;Q2795,'New Weekly Paste'!B:O,10,0)),0)</f>
        <v>107.44</v>
      </c>
      <c r="L2795" s="239">
        <f t="shared" si="25"/>
        <v>0</v>
      </c>
      <c r="M2795" s="36" t="str">
        <f t="shared" si="3"/>
        <v>Regular Season</v>
      </c>
      <c r="N2795" s="239" t="str">
        <f t="shared" si="26"/>
        <v>T-How</v>
      </c>
      <c r="O2795" s="6">
        <f>VLOOKUP(D2795,'Mapped Opponent'!$G$4:$H$22,2,0)</f>
        <v>10</v>
      </c>
      <c r="P2795" s="6"/>
      <c r="Q2795" s="6" t="str">
        <f t="shared" si="4"/>
        <v>Week 10</v>
      </c>
      <c r="R2795" s="6" t="str">
        <f t="shared" si="5"/>
        <v>2025Week 10</v>
      </c>
      <c r="S2795" s="6">
        <f>IFERROR(__xludf.DUMMYFUNCTION("rank(J2795,FILTER(J:J,R:R=R2795))"),8.0)</f>
        <v>8</v>
      </c>
      <c r="T2795" s="6">
        <f t="shared" si="6"/>
        <v>4</v>
      </c>
      <c r="U2795" s="6">
        <f t="shared" si="7"/>
        <v>8</v>
      </c>
      <c r="V2795" s="42">
        <f>averageif(AllData!A:A,B2795,AllData!R:R)/vlookup(B2795,AllData!A:O,15,0)</f>
        <v>104.9271429</v>
      </c>
      <c r="W2795" s="6"/>
    </row>
    <row r="2796" ht="14.25" customHeight="1">
      <c r="A2796" s="6" t="str">
        <f t="shared" si="29"/>
        <v>2025Tayski10</v>
      </c>
      <c r="B2796" s="59">
        <v>2025.0</v>
      </c>
      <c r="C2796" s="13" t="s">
        <v>52</v>
      </c>
      <c r="D2796" s="13" t="s">
        <v>149</v>
      </c>
      <c r="E2796" s="34"/>
      <c r="F2796" s="6"/>
      <c r="H2796" s="6"/>
      <c r="I2796" s="35" t="str">
        <f>IFERROR(IFERROR(IFERROR(VLOOKUP(B2796&amp;C2796&amp;Q2796,'New Weekly Paste'!A:M,10,0),VLOOKUP(B2796&amp;C2796&amp;Q2796,'New Weekly Paste'!B:O,6,0)),""),"")</f>
        <v>Ewert</v>
      </c>
      <c r="J2796" s="259">
        <f>IFERROR(IFERROR(VLOOKUP(B2796&amp;C2796&amp;Q2796,'New Weekly Paste'!A:M,8,0),VLOOKUP(B2796&amp;C2796&amp;Q2796,'New Weekly Paste'!B:O,10,0)),0)</f>
        <v>79.52</v>
      </c>
      <c r="K2796" s="259">
        <f>IFERROR(IFERROR(VLOOKUP(B2796&amp;I2796&amp;Q2796,'New Weekly Paste'!A:M,8,0),VLOOKUP(B2796&amp;I2796&amp;Q2796,'New Weekly Paste'!B:O,10,0)),0)</f>
        <v>80.8</v>
      </c>
      <c r="L2796" s="239">
        <f t="shared" si="25"/>
        <v>0</v>
      </c>
      <c r="M2796" s="36" t="str">
        <f t="shared" si="3"/>
        <v>Regular Season</v>
      </c>
      <c r="N2796" s="239" t="str">
        <f t="shared" si="26"/>
        <v>Ewert</v>
      </c>
      <c r="O2796" s="6">
        <f>VLOOKUP(D2796,'Mapped Opponent'!$G$4:$H$22,2,0)</f>
        <v>10</v>
      </c>
      <c r="P2796" s="6"/>
      <c r="Q2796" s="6" t="str">
        <f t="shared" si="4"/>
        <v>Week 10</v>
      </c>
      <c r="R2796" s="6" t="str">
        <f t="shared" si="5"/>
        <v>2025Week 10</v>
      </c>
      <c r="S2796" s="6">
        <f>IFERROR(__xludf.DUMMYFUNCTION("rank(J2796,FILTER(J:J,R:R=R2796))"),12.0)</f>
        <v>12</v>
      </c>
      <c r="T2796" s="6">
        <f t="shared" si="6"/>
        <v>0</v>
      </c>
      <c r="U2796" s="6">
        <f t="shared" si="7"/>
        <v>12</v>
      </c>
      <c r="V2796" s="42">
        <f>averageif(AllData!A:A,B2796,AllData!R:R)/vlookup(B2796,AllData!A:O,15,0)</f>
        <v>104.9271429</v>
      </c>
      <c r="W2796" s="6"/>
    </row>
    <row r="2797" ht="14.25" customHeight="1">
      <c r="A2797" s="6" t="str">
        <f t="shared" si="29"/>
        <v>2025KnardDawg10</v>
      </c>
      <c r="B2797" s="59">
        <v>2025.0</v>
      </c>
      <c r="C2797" s="13" t="s">
        <v>86</v>
      </c>
      <c r="D2797" s="13" t="s">
        <v>149</v>
      </c>
      <c r="E2797" s="34"/>
      <c r="F2797" s="6"/>
      <c r="H2797" s="6"/>
      <c r="I2797" s="35" t="str">
        <f>IFERROR(IFERROR(IFERROR(VLOOKUP(B2797&amp;C2797&amp;Q2797,'New Weekly Paste'!A:M,10,0),VLOOKUP(B2797&amp;C2797&amp;Q2797,'New Weekly Paste'!B:O,6,0)),""),"")</f>
        <v>Rooney/Jackson</v>
      </c>
      <c r="J2797" s="259">
        <f>IFERROR(IFERROR(VLOOKUP(B2797&amp;C2797&amp;Q2797,'New Weekly Paste'!A:M,8,0),VLOOKUP(B2797&amp;C2797&amp;Q2797,'New Weekly Paste'!B:O,10,0)),0)</f>
        <v>91.2</v>
      </c>
      <c r="K2797" s="259">
        <f>IFERROR(IFERROR(VLOOKUP(B2797&amp;I2797&amp;Q2797,'New Weekly Paste'!A:M,8,0),VLOOKUP(B2797&amp;I2797&amp;Q2797,'New Weekly Paste'!B:O,10,0)),0)</f>
        <v>136.4</v>
      </c>
      <c r="L2797" s="239">
        <f t="shared" si="25"/>
        <v>0</v>
      </c>
      <c r="M2797" s="36" t="str">
        <f t="shared" si="3"/>
        <v>Regular Season</v>
      </c>
      <c r="N2797" s="239" t="str">
        <f t="shared" si="26"/>
        <v>Rooney/Jackson</v>
      </c>
      <c r="O2797" s="6">
        <f>VLOOKUP(D2797,'Mapped Opponent'!$G$4:$H$22,2,0)</f>
        <v>10</v>
      </c>
      <c r="P2797" s="6"/>
      <c r="Q2797" s="6" t="str">
        <f t="shared" si="4"/>
        <v>Week 10</v>
      </c>
      <c r="R2797" s="6" t="str">
        <f t="shared" si="5"/>
        <v>2025Week 10</v>
      </c>
      <c r="S2797" s="6">
        <f>IFERROR(__xludf.DUMMYFUNCTION("rank(J2797,FILTER(J:J,R:R=R2797))"),9.0)</f>
        <v>9</v>
      </c>
      <c r="T2797" s="6">
        <f t="shared" si="6"/>
        <v>3</v>
      </c>
      <c r="U2797" s="6">
        <f t="shared" si="7"/>
        <v>9</v>
      </c>
      <c r="V2797" s="42">
        <f>averageif(AllData!A:A,B2797,AllData!R:R)/vlookup(B2797,AllData!A:O,15,0)</f>
        <v>104.9271429</v>
      </c>
      <c r="W2797" s="6"/>
    </row>
    <row r="2798" ht="14.25" customHeight="1">
      <c r="A2798" s="6" t="str">
        <f t="shared" si="29"/>
        <v>2025T-How10</v>
      </c>
      <c r="B2798" s="59">
        <v>2025.0</v>
      </c>
      <c r="C2798" s="13" t="s">
        <v>82</v>
      </c>
      <c r="D2798" s="13" t="s">
        <v>149</v>
      </c>
      <c r="E2798" s="34"/>
      <c r="F2798" s="6"/>
      <c r="H2798" s="6"/>
      <c r="I2798" s="35" t="str">
        <f>IFERROR(IFERROR(IFERROR(VLOOKUP(B2798&amp;C2798&amp;Q2798,'New Weekly Paste'!A:M,10,0),VLOOKUP(B2798&amp;C2798&amp;Q2798,'New Weekly Paste'!B:O,6,0)),""),"")</f>
        <v>Cock</v>
      </c>
      <c r="J2798" s="259">
        <f>IFERROR(IFERROR(VLOOKUP(B2798&amp;C2798&amp;Q2798,'New Weekly Paste'!A:M,8,0),VLOOKUP(B2798&amp;C2798&amp;Q2798,'New Weekly Paste'!B:O,10,0)),0)</f>
        <v>107.44</v>
      </c>
      <c r="K2798" s="259">
        <f>IFERROR(IFERROR(VLOOKUP(B2798&amp;I2798&amp;Q2798,'New Weekly Paste'!A:M,8,0),VLOOKUP(B2798&amp;I2798&amp;Q2798,'New Weekly Paste'!B:O,10,0)),0)</f>
        <v>101.42</v>
      </c>
      <c r="L2798" s="239">
        <f t="shared" si="25"/>
        <v>1</v>
      </c>
      <c r="M2798" s="36" t="str">
        <f t="shared" si="3"/>
        <v>Regular Season</v>
      </c>
      <c r="N2798" s="239" t="str">
        <f t="shared" si="26"/>
        <v>Cock</v>
      </c>
      <c r="O2798" s="6">
        <f>VLOOKUP(D2798,'Mapped Opponent'!$G$4:$H$22,2,0)</f>
        <v>10</v>
      </c>
      <c r="P2798" s="6"/>
      <c r="Q2798" s="6" t="str">
        <f t="shared" si="4"/>
        <v>Week 10</v>
      </c>
      <c r="R2798" s="6" t="str">
        <f t="shared" si="5"/>
        <v>2025Week 10</v>
      </c>
      <c r="S2798" s="6">
        <f>IFERROR(__xludf.DUMMYFUNCTION("rank(J2798,FILTER(J:J,R:R=R2798))"),6.0)</f>
        <v>6</v>
      </c>
      <c r="T2798" s="6">
        <f t="shared" si="6"/>
        <v>6</v>
      </c>
      <c r="U2798" s="6">
        <f t="shared" si="7"/>
        <v>6</v>
      </c>
      <c r="V2798" s="42">
        <f>averageif(AllData!A:A,B2798,AllData!R:R)/vlookup(B2798,AllData!A:O,15,0)</f>
        <v>104.9271429</v>
      </c>
      <c r="W2798" s="6"/>
    </row>
    <row r="2799" ht="14.25" customHeight="1">
      <c r="A2799" s="6" t="str">
        <f t="shared" si="29"/>
        <v>2025Hudspeath11</v>
      </c>
      <c r="B2799" s="59">
        <v>2025.0</v>
      </c>
      <c r="C2799" s="13" t="s">
        <v>39</v>
      </c>
      <c r="D2799" s="13" t="s">
        <v>150</v>
      </c>
      <c r="E2799" s="34"/>
      <c r="F2799" s="6"/>
      <c r="H2799" s="6"/>
      <c r="I2799" s="35" t="str">
        <f>IFERROR(IFERROR(IFERROR(VLOOKUP(B2799&amp;C2799&amp;Q2799,'New Weekly Paste'!A:M,10,0),VLOOKUP(B2799&amp;C2799&amp;Q2799,'New Weekly Paste'!B:O,6,0)),""),"")</f>
        <v>Ewert</v>
      </c>
      <c r="J2799" s="259">
        <f>IFERROR(IFERROR(VLOOKUP(B2799&amp;C2799&amp;Q2799,'New Weekly Paste'!A:M,8,0),VLOOKUP(B2799&amp;C2799&amp;Q2799,'New Weekly Paste'!B:O,10,0)),0)</f>
        <v>89.24</v>
      </c>
      <c r="K2799" s="259">
        <f>IFERROR(IFERROR(VLOOKUP(B2799&amp;I2799&amp;Q2799,'New Weekly Paste'!A:M,8,0),VLOOKUP(B2799&amp;I2799&amp;Q2799,'New Weekly Paste'!B:O,10,0)),0)</f>
        <v>88.82</v>
      </c>
      <c r="L2799" s="239">
        <f t="shared" si="25"/>
        <v>1</v>
      </c>
      <c r="M2799" s="36" t="str">
        <f t="shared" si="3"/>
        <v>Regular Season</v>
      </c>
      <c r="N2799" s="239" t="str">
        <f t="shared" si="26"/>
        <v>Ewert</v>
      </c>
      <c r="O2799" s="6">
        <f>VLOOKUP(D2799,'Mapped Opponent'!$G$4:$H$22,2,0)</f>
        <v>11</v>
      </c>
      <c r="P2799" s="6"/>
      <c r="Q2799" s="6" t="str">
        <f t="shared" si="4"/>
        <v>Week 11</v>
      </c>
      <c r="R2799" s="6" t="str">
        <f t="shared" si="5"/>
        <v>2025Week 11</v>
      </c>
      <c r="S2799" s="6">
        <f>IFERROR(__xludf.DUMMYFUNCTION("rank(J2799,FILTER(J:J,R:R=R2799))"),8.0)</f>
        <v>8</v>
      </c>
      <c r="T2799" s="6">
        <f t="shared" si="6"/>
        <v>4</v>
      </c>
      <c r="U2799" s="6">
        <f t="shared" si="7"/>
        <v>8</v>
      </c>
      <c r="V2799" s="42">
        <f>averageif(AllData!A:A,B2799,AllData!R:R)/vlookup(B2799,AllData!A:O,15,0)</f>
        <v>104.9271429</v>
      </c>
      <c r="W2799" s="6"/>
    </row>
    <row r="2800" ht="14.25" customHeight="1">
      <c r="A2800" s="6" t="str">
        <f t="shared" si="29"/>
        <v>2025Salty11</v>
      </c>
      <c r="B2800" s="59">
        <v>2025.0</v>
      </c>
      <c r="C2800" s="13" t="s">
        <v>76</v>
      </c>
      <c r="D2800" s="13" t="s">
        <v>150</v>
      </c>
      <c r="E2800" s="34"/>
      <c r="F2800" s="6"/>
      <c r="H2800" s="6"/>
      <c r="I2800" s="35" t="str">
        <f>IFERROR(IFERROR(IFERROR(VLOOKUP(B2800&amp;C2800&amp;Q2800,'New Weekly Paste'!A:M,10,0),VLOOKUP(B2800&amp;C2800&amp;Q2800,'New Weekly Paste'!B:O,6,0)),""),"")</f>
        <v>Buser</v>
      </c>
      <c r="J2800" s="259">
        <f>IFERROR(IFERROR(VLOOKUP(B2800&amp;C2800&amp;Q2800,'New Weekly Paste'!A:M,8,0),VLOOKUP(B2800&amp;C2800&amp;Q2800,'New Weekly Paste'!B:O,10,0)),0)</f>
        <v>88.52</v>
      </c>
      <c r="K2800" s="259">
        <f>IFERROR(IFERROR(VLOOKUP(B2800&amp;I2800&amp;Q2800,'New Weekly Paste'!A:M,8,0),VLOOKUP(B2800&amp;I2800&amp;Q2800,'New Weekly Paste'!B:O,10,0)),0)</f>
        <v>126.52</v>
      </c>
      <c r="L2800" s="239">
        <f t="shared" si="25"/>
        <v>0</v>
      </c>
      <c r="M2800" s="36" t="str">
        <f t="shared" si="3"/>
        <v>Regular Season</v>
      </c>
      <c r="N2800" s="239" t="str">
        <f t="shared" si="26"/>
        <v>Buser</v>
      </c>
      <c r="O2800" s="6">
        <f>VLOOKUP(D2800,'Mapped Opponent'!$G$4:$H$22,2,0)</f>
        <v>11</v>
      </c>
      <c r="P2800" s="6"/>
      <c r="Q2800" s="6" t="str">
        <f t="shared" si="4"/>
        <v>Week 11</v>
      </c>
      <c r="R2800" s="6" t="str">
        <f t="shared" si="5"/>
        <v>2025Week 11</v>
      </c>
      <c r="S2800" s="6">
        <f>IFERROR(__xludf.DUMMYFUNCTION("rank(J2800,FILTER(J:J,R:R=R2800))"),10.0)</f>
        <v>10</v>
      </c>
      <c r="T2800" s="6">
        <f t="shared" si="6"/>
        <v>2</v>
      </c>
      <c r="U2800" s="6">
        <f t="shared" si="7"/>
        <v>10</v>
      </c>
      <c r="V2800" s="42">
        <f>averageif(AllData!A:A,B2800,AllData!R:R)/vlookup(B2800,AllData!A:O,15,0)</f>
        <v>104.9271429</v>
      </c>
      <c r="W2800" s="6"/>
    </row>
    <row r="2801" ht="14.25" customHeight="1">
      <c r="A2801" s="6" t="str">
        <f t="shared" si="29"/>
        <v>2025Ewert11</v>
      </c>
      <c r="B2801" s="59">
        <v>2025.0</v>
      </c>
      <c r="C2801" s="13" t="s">
        <v>108</v>
      </c>
      <c r="D2801" s="13" t="s">
        <v>150</v>
      </c>
      <c r="E2801" s="34"/>
      <c r="F2801" s="6"/>
      <c r="H2801" s="6"/>
      <c r="I2801" s="35" t="str">
        <f>IFERROR(IFERROR(IFERROR(VLOOKUP(B2801&amp;C2801&amp;Q2801,'New Weekly Paste'!A:M,10,0),VLOOKUP(B2801&amp;C2801&amp;Q2801,'New Weekly Paste'!B:O,6,0)),""),"")</f>
        <v>Hudspeath</v>
      </c>
      <c r="J2801" s="259">
        <f>IFERROR(IFERROR(VLOOKUP(B2801&amp;C2801&amp;Q2801,'New Weekly Paste'!A:M,8,0),VLOOKUP(B2801&amp;C2801&amp;Q2801,'New Weekly Paste'!B:O,10,0)),0)</f>
        <v>88.82</v>
      </c>
      <c r="K2801" s="259">
        <f>IFERROR(IFERROR(VLOOKUP(B2801&amp;I2801&amp;Q2801,'New Weekly Paste'!A:M,8,0),VLOOKUP(B2801&amp;I2801&amp;Q2801,'New Weekly Paste'!B:O,10,0)),0)</f>
        <v>89.24</v>
      </c>
      <c r="L2801" s="239">
        <f t="shared" si="25"/>
        <v>0</v>
      </c>
      <c r="M2801" s="36" t="str">
        <f t="shared" si="3"/>
        <v>Regular Season</v>
      </c>
      <c r="N2801" s="239" t="str">
        <f t="shared" si="26"/>
        <v>Hudspeath</v>
      </c>
      <c r="O2801" s="6">
        <f>VLOOKUP(D2801,'Mapped Opponent'!$G$4:$H$22,2,0)</f>
        <v>11</v>
      </c>
      <c r="P2801" s="6"/>
      <c r="Q2801" s="6" t="str">
        <f t="shared" si="4"/>
        <v>Week 11</v>
      </c>
      <c r="R2801" s="6" t="str">
        <f t="shared" si="5"/>
        <v>2025Week 11</v>
      </c>
      <c r="S2801" s="6">
        <f>IFERROR(__xludf.DUMMYFUNCTION("rank(J2801,FILTER(J:J,R:R=R2801))"),9.0)</f>
        <v>9</v>
      </c>
      <c r="T2801" s="6">
        <f t="shared" si="6"/>
        <v>3</v>
      </c>
      <c r="U2801" s="6">
        <f t="shared" si="7"/>
        <v>9</v>
      </c>
      <c r="V2801" s="42">
        <f>averageif(AllData!A:A,B2801,AllData!R:R)/vlookup(B2801,AllData!A:O,15,0)</f>
        <v>104.9271429</v>
      </c>
      <c r="W2801" s="6"/>
    </row>
    <row r="2802" ht="14.25" customHeight="1">
      <c r="A2802" s="6" t="str">
        <f t="shared" si="29"/>
        <v>2025Shep11</v>
      </c>
      <c r="B2802" s="59">
        <v>2025.0</v>
      </c>
      <c r="C2802" s="13" t="s">
        <v>89</v>
      </c>
      <c r="D2802" s="13" t="s">
        <v>150</v>
      </c>
      <c r="E2802" s="34"/>
      <c r="F2802" s="6"/>
      <c r="H2802" s="6"/>
      <c r="I2802" s="35" t="str">
        <f>IFERROR(IFERROR(IFERROR(VLOOKUP(B2802&amp;C2802&amp;Q2802,'New Weekly Paste'!A:M,10,0),VLOOKUP(B2802&amp;C2802&amp;Q2802,'New Weekly Paste'!B:O,6,0)),""),"")</f>
        <v>Rooney/Jackson</v>
      </c>
      <c r="J2802" s="259">
        <f>IFERROR(IFERROR(VLOOKUP(B2802&amp;C2802&amp;Q2802,'New Weekly Paste'!A:M,8,0),VLOOKUP(B2802&amp;C2802&amp;Q2802,'New Weekly Paste'!B:O,10,0)),0)</f>
        <v>126.22</v>
      </c>
      <c r="K2802" s="259">
        <f>IFERROR(IFERROR(VLOOKUP(B2802&amp;I2802&amp;Q2802,'New Weekly Paste'!A:M,8,0),VLOOKUP(B2802&amp;I2802&amp;Q2802,'New Weekly Paste'!B:O,10,0)),0)</f>
        <v>99.64</v>
      </c>
      <c r="L2802" s="239">
        <f t="shared" si="25"/>
        <v>1</v>
      </c>
      <c r="M2802" s="36" t="str">
        <f t="shared" si="3"/>
        <v>Regular Season</v>
      </c>
      <c r="N2802" s="239" t="str">
        <f t="shared" si="26"/>
        <v>Rooney/Jackson</v>
      </c>
      <c r="O2802" s="6">
        <f>VLOOKUP(D2802,'Mapped Opponent'!$G$4:$H$22,2,0)</f>
        <v>11</v>
      </c>
      <c r="P2802" s="6"/>
      <c r="Q2802" s="6" t="str">
        <f t="shared" si="4"/>
        <v>Week 11</v>
      </c>
      <c r="R2802" s="6" t="str">
        <f t="shared" si="5"/>
        <v>2025Week 11</v>
      </c>
      <c r="S2802" s="6">
        <f>IFERROR(__xludf.DUMMYFUNCTION("rank(J2802,FILTER(J:J,R:R=R2802))"),2.0)</f>
        <v>2</v>
      </c>
      <c r="T2802" s="6">
        <f t="shared" si="6"/>
        <v>10</v>
      </c>
      <c r="U2802" s="6">
        <f t="shared" si="7"/>
        <v>2</v>
      </c>
      <c r="V2802" s="42">
        <f>averageif(AllData!A:A,B2802,AllData!R:R)/vlookup(B2802,AllData!A:O,15,0)</f>
        <v>104.9271429</v>
      </c>
      <c r="W2802" s="6"/>
    </row>
    <row r="2803" ht="14.25" customHeight="1">
      <c r="A2803" s="6" t="str">
        <f t="shared" si="29"/>
        <v>2025Riley11</v>
      </c>
      <c r="B2803" s="59">
        <v>2025.0</v>
      </c>
      <c r="C2803" s="13" t="s">
        <v>67</v>
      </c>
      <c r="D2803" s="13" t="s">
        <v>150</v>
      </c>
      <c r="E2803" s="34"/>
      <c r="F2803" s="6"/>
      <c r="H2803" s="6"/>
      <c r="I2803" s="35" t="str">
        <f>IFERROR(IFERROR(IFERROR(VLOOKUP(B2803&amp;C2803&amp;Q2803,'New Weekly Paste'!A:M,10,0),VLOOKUP(B2803&amp;C2803&amp;Q2803,'New Weekly Paste'!B:O,6,0)),""),"")</f>
        <v>Tayski</v>
      </c>
      <c r="J2803" s="259">
        <f>IFERROR(IFERROR(VLOOKUP(B2803&amp;C2803&amp;Q2803,'New Weekly Paste'!A:M,8,0),VLOOKUP(B2803&amp;C2803&amp;Q2803,'New Weekly Paste'!B:O,10,0)),0)</f>
        <v>74.74</v>
      </c>
      <c r="K2803" s="259">
        <f>IFERROR(IFERROR(VLOOKUP(B2803&amp;I2803&amp;Q2803,'New Weekly Paste'!A:M,8,0),VLOOKUP(B2803&amp;I2803&amp;Q2803,'New Weekly Paste'!B:O,10,0)),0)</f>
        <v>77.3</v>
      </c>
      <c r="L2803" s="239">
        <f t="shared" si="25"/>
        <v>0</v>
      </c>
      <c r="M2803" s="36" t="str">
        <f t="shared" si="3"/>
        <v>Regular Season</v>
      </c>
      <c r="N2803" s="239" t="str">
        <f t="shared" si="26"/>
        <v>Tayski</v>
      </c>
      <c r="O2803" s="6">
        <f>VLOOKUP(D2803,'Mapped Opponent'!$G$4:$H$22,2,0)</f>
        <v>11</v>
      </c>
      <c r="P2803" s="6"/>
      <c r="Q2803" s="6" t="str">
        <f t="shared" si="4"/>
        <v>Week 11</v>
      </c>
      <c r="R2803" s="6" t="str">
        <f t="shared" si="5"/>
        <v>2025Week 11</v>
      </c>
      <c r="S2803" s="6">
        <f>IFERROR(__xludf.DUMMYFUNCTION("rank(J2803,FILTER(J:J,R:R=R2803))"),12.0)</f>
        <v>12</v>
      </c>
      <c r="T2803" s="6">
        <f t="shared" si="6"/>
        <v>0</v>
      </c>
      <c r="U2803" s="6">
        <f t="shared" si="7"/>
        <v>12</v>
      </c>
      <c r="V2803" s="42">
        <f>averageif(AllData!A:A,B2803,AllData!R:R)/vlookup(B2803,AllData!A:O,15,0)</f>
        <v>104.9271429</v>
      </c>
      <c r="W2803" s="6"/>
    </row>
    <row r="2804" ht="14.25" customHeight="1">
      <c r="A2804" s="6" t="str">
        <f t="shared" si="29"/>
        <v>2025Rooney/Jackson11</v>
      </c>
      <c r="B2804" s="59">
        <v>2025.0</v>
      </c>
      <c r="C2804" s="13" t="s">
        <v>57</v>
      </c>
      <c r="D2804" s="13" t="s">
        <v>150</v>
      </c>
      <c r="E2804" s="34"/>
      <c r="F2804" s="6"/>
      <c r="H2804" s="6"/>
      <c r="I2804" s="35" t="str">
        <f>IFERROR(IFERROR(IFERROR(VLOOKUP(B2804&amp;C2804&amp;Q2804,'New Weekly Paste'!A:M,10,0),VLOOKUP(B2804&amp;C2804&amp;Q2804,'New Weekly Paste'!B:O,6,0)),""),"")</f>
        <v>Shep</v>
      </c>
      <c r="J2804" s="259">
        <f>IFERROR(IFERROR(VLOOKUP(B2804&amp;C2804&amp;Q2804,'New Weekly Paste'!A:M,8,0),VLOOKUP(B2804&amp;C2804&amp;Q2804,'New Weekly Paste'!B:O,10,0)),0)</f>
        <v>99.64</v>
      </c>
      <c r="K2804" s="259">
        <f>IFERROR(IFERROR(VLOOKUP(B2804&amp;I2804&amp;Q2804,'New Weekly Paste'!A:M,8,0),VLOOKUP(B2804&amp;I2804&amp;Q2804,'New Weekly Paste'!B:O,10,0)),0)</f>
        <v>126.22</v>
      </c>
      <c r="L2804" s="239">
        <f t="shared" si="25"/>
        <v>0</v>
      </c>
      <c r="M2804" s="36" t="str">
        <f t="shared" si="3"/>
        <v>Regular Season</v>
      </c>
      <c r="N2804" s="239" t="str">
        <f t="shared" si="26"/>
        <v>Shep</v>
      </c>
      <c r="O2804" s="6">
        <f>VLOOKUP(D2804,'Mapped Opponent'!$G$4:$H$22,2,0)</f>
        <v>11</v>
      </c>
      <c r="P2804" s="6"/>
      <c r="Q2804" s="6" t="str">
        <f t="shared" si="4"/>
        <v>Week 11</v>
      </c>
      <c r="R2804" s="6" t="str">
        <f t="shared" si="5"/>
        <v>2025Week 11</v>
      </c>
      <c r="S2804" s="6">
        <f>IFERROR(__xludf.DUMMYFUNCTION("rank(J2804,FILTER(J:J,R:R=R2804))"),5.0)</f>
        <v>5</v>
      </c>
      <c r="T2804" s="6">
        <f t="shared" si="6"/>
        <v>7</v>
      </c>
      <c r="U2804" s="6">
        <f t="shared" si="7"/>
        <v>5</v>
      </c>
      <c r="V2804" s="42">
        <f>averageif(AllData!A:A,B2804,AllData!R:R)/vlookup(B2804,AllData!A:O,15,0)</f>
        <v>104.9271429</v>
      </c>
      <c r="W2804" s="6"/>
    </row>
    <row r="2805" ht="14.25" customHeight="1">
      <c r="A2805" s="6" t="str">
        <f t="shared" si="29"/>
        <v>2025Buser11</v>
      </c>
      <c r="B2805" s="59">
        <v>2025.0</v>
      </c>
      <c r="C2805" s="13" t="s">
        <v>47</v>
      </c>
      <c r="D2805" s="13" t="s">
        <v>150</v>
      </c>
      <c r="E2805" s="34"/>
      <c r="F2805" s="6"/>
      <c r="H2805" s="6"/>
      <c r="I2805" s="35" t="str">
        <f>IFERROR(IFERROR(IFERROR(VLOOKUP(B2805&amp;C2805&amp;Q2805,'New Weekly Paste'!A:M,10,0),VLOOKUP(B2805&amp;C2805&amp;Q2805,'New Weekly Paste'!B:O,6,0)),""),"")</f>
        <v>Salty</v>
      </c>
      <c r="J2805" s="259">
        <f>IFERROR(IFERROR(VLOOKUP(B2805&amp;C2805&amp;Q2805,'New Weekly Paste'!A:M,8,0),VLOOKUP(B2805&amp;C2805&amp;Q2805,'New Weekly Paste'!B:O,10,0)),0)</f>
        <v>126.52</v>
      </c>
      <c r="K2805" s="259">
        <f>IFERROR(IFERROR(VLOOKUP(B2805&amp;I2805&amp;Q2805,'New Weekly Paste'!A:M,8,0),VLOOKUP(B2805&amp;I2805&amp;Q2805,'New Weekly Paste'!B:O,10,0)),0)</f>
        <v>88.52</v>
      </c>
      <c r="L2805" s="239">
        <f t="shared" si="25"/>
        <v>1</v>
      </c>
      <c r="M2805" s="36" t="str">
        <f t="shared" si="3"/>
        <v>Regular Season</v>
      </c>
      <c r="N2805" s="239" t="str">
        <f t="shared" si="26"/>
        <v>Salty</v>
      </c>
      <c r="O2805" s="6">
        <f>VLOOKUP(D2805,'Mapped Opponent'!$G$4:$H$22,2,0)</f>
        <v>11</v>
      </c>
      <c r="P2805" s="6"/>
      <c r="Q2805" s="6" t="str">
        <f t="shared" si="4"/>
        <v>Week 11</v>
      </c>
      <c r="R2805" s="6" t="str">
        <f t="shared" si="5"/>
        <v>2025Week 11</v>
      </c>
      <c r="S2805" s="6">
        <f>IFERROR(__xludf.DUMMYFUNCTION("rank(J2805,FILTER(J:J,R:R=R2805))"),1.0)</f>
        <v>1</v>
      </c>
      <c r="T2805" s="6">
        <f t="shared" si="6"/>
        <v>11</v>
      </c>
      <c r="U2805" s="6">
        <f t="shared" si="7"/>
        <v>1</v>
      </c>
      <c r="V2805" s="42">
        <f>averageif(AllData!A:A,B2805,AllData!R:R)/vlookup(B2805,AllData!A:O,15,0)</f>
        <v>104.9271429</v>
      </c>
      <c r="W2805" s="6"/>
    </row>
    <row r="2806" ht="14.25" customHeight="1">
      <c r="A2806" s="6" t="str">
        <f t="shared" si="29"/>
        <v>2025Pierson11</v>
      </c>
      <c r="B2806" s="59">
        <v>2025.0</v>
      </c>
      <c r="C2806" s="13" t="s">
        <v>92</v>
      </c>
      <c r="D2806" s="13" t="s">
        <v>150</v>
      </c>
      <c r="E2806" s="34"/>
      <c r="F2806" s="6"/>
      <c r="H2806" s="6"/>
      <c r="I2806" s="35" t="str">
        <f>IFERROR(IFERROR(IFERROR(VLOOKUP(B2806&amp;C2806&amp;Q2806,'New Weekly Paste'!A:M,10,0),VLOOKUP(B2806&amp;C2806&amp;Q2806,'New Weekly Paste'!B:O,6,0)),""),"")</f>
        <v>T-How</v>
      </c>
      <c r="J2806" s="259">
        <f>IFERROR(IFERROR(VLOOKUP(B2806&amp;C2806&amp;Q2806,'New Weekly Paste'!A:M,8,0),VLOOKUP(B2806&amp;C2806&amp;Q2806,'New Weekly Paste'!B:O,10,0)),0)</f>
        <v>108.34</v>
      </c>
      <c r="K2806" s="259">
        <f>IFERROR(IFERROR(VLOOKUP(B2806&amp;I2806&amp;Q2806,'New Weekly Paste'!A:M,8,0),VLOOKUP(B2806&amp;I2806&amp;Q2806,'New Weekly Paste'!B:O,10,0)),0)</f>
        <v>120.78</v>
      </c>
      <c r="L2806" s="239">
        <f t="shared" si="25"/>
        <v>0</v>
      </c>
      <c r="M2806" s="36" t="str">
        <f t="shared" si="3"/>
        <v>Regular Season</v>
      </c>
      <c r="N2806" s="239" t="str">
        <f t="shared" si="26"/>
        <v>T-How</v>
      </c>
      <c r="O2806" s="6">
        <f>VLOOKUP(D2806,'Mapped Opponent'!$G$4:$H$22,2,0)</f>
        <v>11</v>
      </c>
      <c r="P2806" s="6"/>
      <c r="Q2806" s="6" t="str">
        <f t="shared" si="4"/>
        <v>Week 11</v>
      </c>
      <c r="R2806" s="6" t="str">
        <f t="shared" si="5"/>
        <v>2025Week 11</v>
      </c>
      <c r="S2806" s="6">
        <f>IFERROR(__xludf.DUMMYFUNCTION("rank(J2806,FILTER(J:J,R:R=R2806))"),4.0)</f>
        <v>4</v>
      </c>
      <c r="T2806" s="6">
        <f t="shared" si="6"/>
        <v>8</v>
      </c>
      <c r="U2806" s="6">
        <f t="shared" si="7"/>
        <v>4</v>
      </c>
      <c r="V2806" s="42">
        <f>averageif(AllData!A:A,B2806,AllData!R:R)/vlookup(B2806,AllData!A:O,15,0)</f>
        <v>104.9271429</v>
      </c>
      <c r="W2806" s="6"/>
    </row>
    <row r="2807" ht="14.25" customHeight="1">
      <c r="A2807" s="6" t="str">
        <f t="shared" si="29"/>
        <v>2025Cock11</v>
      </c>
      <c r="B2807" s="59">
        <v>2025.0</v>
      </c>
      <c r="C2807" s="13" t="s">
        <v>72</v>
      </c>
      <c r="D2807" s="13" t="s">
        <v>150</v>
      </c>
      <c r="E2807" s="34"/>
      <c r="F2807" s="6"/>
      <c r="H2807" s="6"/>
      <c r="I2807" s="35" t="str">
        <f>IFERROR(IFERROR(IFERROR(VLOOKUP(B2807&amp;C2807&amp;Q2807,'New Weekly Paste'!A:M,10,0),VLOOKUP(B2807&amp;C2807&amp;Q2807,'New Weekly Paste'!B:O,6,0)),""),"")</f>
        <v>KnardDawg</v>
      </c>
      <c r="J2807" s="259">
        <f>IFERROR(IFERROR(VLOOKUP(B2807&amp;C2807&amp;Q2807,'New Weekly Paste'!A:M,8,0),VLOOKUP(B2807&amp;C2807&amp;Q2807,'New Weekly Paste'!B:O,10,0)),0)</f>
        <v>93.1</v>
      </c>
      <c r="K2807" s="259">
        <f>IFERROR(IFERROR(VLOOKUP(B2807&amp;I2807&amp;Q2807,'New Weekly Paste'!A:M,8,0),VLOOKUP(B2807&amp;I2807&amp;Q2807,'New Weekly Paste'!B:O,10,0)),0)</f>
        <v>92.5</v>
      </c>
      <c r="L2807" s="239">
        <f t="shared" si="25"/>
        <v>1</v>
      </c>
      <c r="M2807" s="36" t="str">
        <f t="shared" si="3"/>
        <v>Regular Season</v>
      </c>
      <c r="N2807" s="239" t="str">
        <f t="shared" si="26"/>
        <v>KnardDawg</v>
      </c>
      <c r="O2807" s="6">
        <f>VLOOKUP(D2807,'Mapped Opponent'!$G$4:$H$22,2,0)</f>
        <v>11</v>
      </c>
      <c r="P2807" s="6"/>
      <c r="Q2807" s="6" t="str">
        <f t="shared" si="4"/>
        <v>Week 11</v>
      </c>
      <c r="R2807" s="6" t="str">
        <f t="shared" si="5"/>
        <v>2025Week 11</v>
      </c>
      <c r="S2807" s="6">
        <f>IFERROR(__xludf.DUMMYFUNCTION("rank(J2807,FILTER(J:J,R:R=R2807))"),6.0)</f>
        <v>6</v>
      </c>
      <c r="T2807" s="6">
        <f t="shared" si="6"/>
        <v>6</v>
      </c>
      <c r="U2807" s="6">
        <f t="shared" si="7"/>
        <v>6</v>
      </c>
      <c r="V2807" s="42">
        <f>averageif(AllData!A:A,B2807,AllData!R:R)/vlookup(B2807,AllData!A:O,15,0)</f>
        <v>104.9271429</v>
      </c>
      <c r="W2807" s="6"/>
    </row>
    <row r="2808" ht="14.25" customHeight="1">
      <c r="A2808" s="6" t="str">
        <f t="shared" si="29"/>
        <v>2025Tayski11</v>
      </c>
      <c r="B2808" s="59">
        <v>2025.0</v>
      </c>
      <c r="C2808" s="13" t="s">
        <v>52</v>
      </c>
      <c r="D2808" s="13" t="s">
        <v>150</v>
      </c>
      <c r="E2808" s="34"/>
      <c r="F2808" s="6"/>
      <c r="H2808" s="6"/>
      <c r="I2808" s="35" t="str">
        <f>IFERROR(IFERROR(IFERROR(VLOOKUP(B2808&amp;C2808&amp;Q2808,'New Weekly Paste'!A:M,10,0),VLOOKUP(B2808&amp;C2808&amp;Q2808,'New Weekly Paste'!B:O,6,0)),""),"")</f>
        <v>Riley</v>
      </c>
      <c r="J2808" s="259">
        <f>IFERROR(IFERROR(VLOOKUP(B2808&amp;C2808&amp;Q2808,'New Weekly Paste'!A:M,8,0),VLOOKUP(B2808&amp;C2808&amp;Q2808,'New Weekly Paste'!B:O,10,0)),0)</f>
        <v>77.3</v>
      </c>
      <c r="K2808" s="259">
        <f>IFERROR(IFERROR(VLOOKUP(B2808&amp;I2808&amp;Q2808,'New Weekly Paste'!A:M,8,0),VLOOKUP(B2808&amp;I2808&amp;Q2808,'New Weekly Paste'!B:O,10,0)),0)</f>
        <v>74.74</v>
      </c>
      <c r="L2808" s="239">
        <f t="shared" si="25"/>
        <v>1</v>
      </c>
      <c r="M2808" s="36" t="str">
        <f t="shared" si="3"/>
        <v>Regular Season</v>
      </c>
      <c r="N2808" s="239" t="str">
        <f t="shared" si="26"/>
        <v>Riley</v>
      </c>
      <c r="O2808" s="6">
        <f>VLOOKUP(D2808,'Mapped Opponent'!$G$4:$H$22,2,0)</f>
        <v>11</v>
      </c>
      <c r="P2808" s="6"/>
      <c r="Q2808" s="6" t="str">
        <f t="shared" si="4"/>
        <v>Week 11</v>
      </c>
      <c r="R2808" s="6" t="str">
        <f t="shared" si="5"/>
        <v>2025Week 11</v>
      </c>
      <c r="S2808" s="6">
        <f>IFERROR(__xludf.DUMMYFUNCTION("rank(J2808,FILTER(J:J,R:R=R2808))"),11.0)</f>
        <v>11</v>
      </c>
      <c r="T2808" s="6">
        <f t="shared" si="6"/>
        <v>1</v>
      </c>
      <c r="U2808" s="6">
        <f t="shared" si="7"/>
        <v>11</v>
      </c>
      <c r="V2808" s="42">
        <f>averageif(AllData!A:A,B2808,AllData!R:R)/vlookup(B2808,AllData!A:O,15,0)</f>
        <v>104.9271429</v>
      </c>
      <c r="W2808" s="6"/>
    </row>
    <row r="2809" ht="14.25" customHeight="1">
      <c r="A2809" s="6" t="str">
        <f t="shared" si="29"/>
        <v>2025KnardDawg11</v>
      </c>
      <c r="B2809" s="59">
        <v>2025.0</v>
      </c>
      <c r="C2809" s="13" t="s">
        <v>86</v>
      </c>
      <c r="D2809" s="13" t="s">
        <v>150</v>
      </c>
      <c r="E2809" s="34"/>
      <c r="F2809" s="6"/>
      <c r="H2809" s="6"/>
      <c r="I2809" s="35" t="str">
        <f>IFERROR(IFERROR(IFERROR(VLOOKUP(B2809&amp;C2809&amp;Q2809,'New Weekly Paste'!A:M,10,0),VLOOKUP(B2809&amp;C2809&amp;Q2809,'New Weekly Paste'!B:O,6,0)),""),"")</f>
        <v>Cock</v>
      </c>
      <c r="J2809" s="259">
        <f>IFERROR(IFERROR(VLOOKUP(B2809&amp;C2809&amp;Q2809,'New Weekly Paste'!A:M,8,0),VLOOKUP(B2809&amp;C2809&amp;Q2809,'New Weekly Paste'!B:O,10,0)),0)</f>
        <v>92.5</v>
      </c>
      <c r="K2809" s="259">
        <f>IFERROR(IFERROR(VLOOKUP(B2809&amp;I2809&amp;Q2809,'New Weekly Paste'!A:M,8,0),VLOOKUP(B2809&amp;I2809&amp;Q2809,'New Weekly Paste'!B:O,10,0)),0)</f>
        <v>93.1</v>
      </c>
      <c r="L2809" s="239">
        <f t="shared" si="25"/>
        <v>0</v>
      </c>
      <c r="M2809" s="36" t="str">
        <f t="shared" si="3"/>
        <v>Regular Season</v>
      </c>
      <c r="N2809" s="239" t="str">
        <f t="shared" si="26"/>
        <v>Cock</v>
      </c>
      <c r="O2809" s="6">
        <f>VLOOKUP(D2809,'Mapped Opponent'!$G$4:$H$22,2,0)</f>
        <v>11</v>
      </c>
      <c r="P2809" s="6"/>
      <c r="Q2809" s="6" t="str">
        <f t="shared" si="4"/>
        <v>Week 11</v>
      </c>
      <c r="R2809" s="6" t="str">
        <f t="shared" si="5"/>
        <v>2025Week 11</v>
      </c>
      <c r="S2809" s="6">
        <f>IFERROR(__xludf.DUMMYFUNCTION("rank(J2809,FILTER(J:J,R:R=R2809))"),7.0)</f>
        <v>7</v>
      </c>
      <c r="T2809" s="6">
        <f t="shared" si="6"/>
        <v>5</v>
      </c>
      <c r="U2809" s="6">
        <f t="shared" si="7"/>
        <v>7</v>
      </c>
      <c r="V2809" s="42">
        <f>averageif(AllData!A:A,B2809,AllData!R:R)/vlookup(B2809,AllData!A:O,15,0)</f>
        <v>104.9271429</v>
      </c>
      <c r="W2809" s="6"/>
    </row>
    <row r="2810" ht="14.25" customHeight="1">
      <c r="A2810" s="6" t="str">
        <f t="shared" si="29"/>
        <v>2025T-How11</v>
      </c>
      <c r="B2810" s="59">
        <v>2025.0</v>
      </c>
      <c r="C2810" s="13" t="s">
        <v>82</v>
      </c>
      <c r="D2810" s="13" t="s">
        <v>150</v>
      </c>
      <c r="E2810" s="34"/>
      <c r="F2810" s="6"/>
      <c r="H2810" s="6"/>
      <c r="I2810" s="35" t="str">
        <f>IFERROR(IFERROR(IFERROR(VLOOKUP(B2810&amp;C2810&amp;Q2810,'New Weekly Paste'!A:M,10,0),VLOOKUP(B2810&amp;C2810&amp;Q2810,'New Weekly Paste'!B:O,6,0)),""),"")</f>
        <v>Pierson</v>
      </c>
      <c r="J2810" s="259">
        <f>IFERROR(IFERROR(VLOOKUP(B2810&amp;C2810&amp;Q2810,'New Weekly Paste'!A:M,8,0),VLOOKUP(B2810&amp;C2810&amp;Q2810,'New Weekly Paste'!B:O,10,0)),0)</f>
        <v>120.78</v>
      </c>
      <c r="K2810" s="259">
        <f>IFERROR(IFERROR(VLOOKUP(B2810&amp;I2810&amp;Q2810,'New Weekly Paste'!A:M,8,0),VLOOKUP(B2810&amp;I2810&amp;Q2810,'New Weekly Paste'!B:O,10,0)),0)</f>
        <v>108.34</v>
      </c>
      <c r="L2810" s="239">
        <f t="shared" si="25"/>
        <v>1</v>
      </c>
      <c r="M2810" s="36" t="str">
        <f t="shared" si="3"/>
        <v>Regular Season</v>
      </c>
      <c r="N2810" s="239" t="str">
        <f t="shared" si="26"/>
        <v>Pierson</v>
      </c>
      <c r="O2810" s="6">
        <f>VLOOKUP(D2810,'Mapped Opponent'!$G$4:$H$22,2,0)</f>
        <v>11</v>
      </c>
      <c r="P2810" s="6"/>
      <c r="Q2810" s="6" t="str">
        <f t="shared" si="4"/>
        <v>Week 11</v>
      </c>
      <c r="R2810" s="6" t="str">
        <f t="shared" si="5"/>
        <v>2025Week 11</v>
      </c>
      <c r="S2810" s="6">
        <f>IFERROR(__xludf.DUMMYFUNCTION("rank(J2810,FILTER(J:J,R:R=R2810))"),3.0)</f>
        <v>3</v>
      </c>
      <c r="T2810" s="6">
        <f t="shared" si="6"/>
        <v>9</v>
      </c>
      <c r="U2810" s="6">
        <f t="shared" si="7"/>
        <v>3</v>
      </c>
      <c r="V2810" s="42">
        <f>averageif(AllData!A:A,B2810,AllData!R:R)/vlookup(B2810,AllData!A:O,15,0)</f>
        <v>104.9271429</v>
      </c>
      <c r="W2810" s="6"/>
    </row>
    <row r="2811" ht="14.25" customHeight="1">
      <c r="A2811" s="6" t="str">
        <f t="shared" si="29"/>
        <v>2025Hudspeath12</v>
      </c>
      <c r="B2811" s="59">
        <v>2025.0</v>
      </c>
      <c r="C2811" s="13" t="s">
        <v>39</v>
      </c>
      <c r="D2811" s="13" t="s">
        <v>151</v>
      </c>
      <c r="E2811" s="34"/>
      <c r="F2811" s="6"/>
      <c r="H2811" s="6"/>
      <c r="I2811" s="35" t="str">
        <f>IFERROR(IFERROR(IFERROR(VLOOKUP(B2811&amp;C2811&amp;Q2811,'New Weekly Paste'!A:M,10,0),VLOOKUP(B2811&amp;C2811&amp;Q2811,'New Weekly Paste'!B:O,6,0)),""),"")</f>
        <v>Riley</v>
      </c>
      <c r="J2811" s="259">
        <f>IFERROR(IFERROR(VLOOKUP(B2811&amp;C2811&amp;Q2811,'New Weekly Paste'!A:M,8,0),VLOOKUP(B2811&amp;C2811&amp;Q2811,'New Weekly Paste'!B:O,10,0)),0)</f>
        <v>107.54</v>
      </c>
      <c r="K2811" s="259">
        <f>IFERROR(IFERROR(VLOOKUP(B2811&amp;I2811&amp;Q2811,'New Weekly Paste'!A:M,8,0),VLOOKUP(B2811&amp;I2811&amp;Q2811,'New Weekly Paste'!B:O,10,0)),0)</f>
        <v>87.42</v>
      </c>
      <c r="L2811" s="239">
        <f t="shared" si="25"/>
        <v>1</v>
      </c>
      <c r="M2811" s="36" t="str">
        <f t="shared" si="3"/>
        <v>Regular Season</v>
      </c>
      <c r="N2811" s="239" t="str">
        <f t="shared" si="26"/>
        <v>Riley</v>
      </c>
      <c r="O2811" s="6">
        <f>VLOOKUP(D2811,'Mapped Opponent'!$G$4:$H$22,2,0)</f>
        <v>12</v>
      </c>
      <c r="P2811" s="6"/>
      <c r="Q2811" s="6" t="str">
        <f t="shared" si="4"/>
        <v>Week 12</v>
      </c>
      <c r="R2811" s="6" t="str">
        <f t="shared" si="5"/>
        <v>2025Week 12</v>
      </c>
      <c r="S2811" s="6">
        <f>IFERROR(__xludf.DUMMYFUNCTION("rank(J2811,FILTER(J:J,R:R=R2811))"),4.0)</f>
        <v>4</v>
      </c>
      <c r="T2811" s="6">
        <f t="shared" si="6"/>
        <v>8</v>
      </c>
      <c r="U2811" s="6">
        <f t="shared" si="7"/>
        <v>4</v>
      </c>
      <c r="V2811" s="42">
        <f>averageif(AllData!A:A,B2811,AllData!R:R)/vlookup(B2811,AllData!A:O,15,0)</f>
        <v>104.9271429</v>
      </c>
      <c r="W2811" s="6"/>
    </row>
    <row r="2812" ht="14.25" customHeight="1">
      <c r="A2812" s="6" t="str">
        <f t="shared" si="29"/>
        <v>2025Salty12</v>
      </c>
      <c r="B2812" s="59">
        <v>2025.0</v>
      </c>
      <c r="C2812" s="13" t="s">
        <v>76</v>
      </c>
      <c r="D2812" s="13" t="s">
        <v>151</v>
      </c>
      <c r="E2812" s="34"/>
      <c r="F2812" s="6"/>
      <c r="H2812" s="6"/>
      <c r="I2812" s="35" t="str">
        <f>IFERROR(IFERROR(IFERROR(VLOOKUP(B2812&amp;C2812&amp;Q2812,'New Weekly Paste'!A:M,10,0),VLOOKUP(B2812&amp;C2812&amp;Q2812,'New Weekly Paste'!B:O,6,0)),""),"")</f>
        <v>Ewert</v>
      </c>
      <c r="J2812" s="259">
        <f>IFERROR(IFERROR(VLOOKUP(B2812&amp;C2812&amp;Q2812,'New Weekly Paste'!A:M,8,0),VLOOKUP(B2812&amp;C2812&amp;Q2812,'New Weekly Paste'!B:O,10,0)),0)</f>
        <v>102.52</v>
      </c>
      <c r="K2812" s="259">
        <f>IFERROR(IFERROR(VLOOKUP(B2812&amp;I2812&amp;Q2812,'New Weekly Paste'!A:M,8,0),VLOOKUP(B2812&amp;I2812&amp;Q2812,'New Weekly Paste'!B:O,10,0)),0)</f>
        <v>168.46</v>
      </c>
      <c r="L2812" s="239">
        <f t="shared" si="25"/>
        <v>0</v>
      </c>
      <c r="M2812" s="36" t="str">
        <f t="shared" si="3"/>
        <v>Regular Season</v>
      </c>
      <c r="N2812" s="239" t="str">
        <f t="shared" si="26"/>
        <v>Ewert</v>
      </c>
      <c r="O2812" s="6">
        <f>VLOOKUP(D2812,'Mapped Opponent'!$G$4:$H$22,2,0)</f>
        <v>12</v>
      </c>
      <c r="P2812" s="6"/>
      <c r="Q2812" s="6" t="str">
        <f t="shared" si="4"/>
        <v>Week 12</v>
      </c>
      <c r="R2812" s="6" t="str">
        <f t="shared" si="5"/>
        <v>2025Week 12</v>
      </c>
      <c r="S2812" s="6">
        <f>IFERROR(__xludf.DUMMYFUNCTION("rank(J2812,FILTER(J:J,R:R=R2812))"),7.0)</f>
        <v>7</v>
      </c>
      <c r="T2812" s="6">
        <f t="shared" si="6"/>
        <v>5</v>
      </c>
      <c r="U2812" s="6">
        <f t="shared" si="7"/>
        <v>7</v>
      </c>
      <c r="V2812" s="42">
        <f>averageif(AllData!A:A,B2812,AllData!R:R)/vlookup(B2812,AllData!A:O,15,0)</f>
        <v>104.9271429</v>
      </c>
      <c r="W2812" s="6"/>
    </row>
    <row r="2813" ht="14.25" customHeight="1">
      <c r="A2813" s="6" t="str">
        <f t="shared" si="29"/>
        <v>2025Ewert12</v>
      </c>
      <c r="B2813" s="59">
        <v>2025.0</v>
      </c>
      <c r="C2813" s="13" t="s">
        <v>108</v>
      </c>
      <c r="D2813" s="13" t="s">
        <v>151</v>
      </c>
      <c r="E2813" s="34"/>
      <c r="F2813" s="6"/>
      <c r="H2813" s="6"/>
      <c r="I2813" s="35" t="str">
        <f>IFERROR(IFERROR(IFERROR(VLOOKUP(B2813&amp;C2813&amp;Q2813,'New Weekly Paste'!A:M,10,0),VLOOKUP(B2813&amp;C2813&amp;Q2813,'New Weekly Paste'!B:O,6,0)),""),"")</f>
        <v>Salty</v>
      </c>
      <c r="J2813" s="259">
        <f>IFERROR(IFERROR(VLOOKUP(B2813&amp;C2813&amp;Q2813,'New Weekly Paste'!A:M,8,0),VLOOKUP(B2813&amp;C2813&amp;Q2813,'New Weekly Paste'!B:O,10,0)),0)</f>
        <v>168.46</v>
      </c>
      <c r="K2813" s="259">
        <f>IFERROR(IFERROR(VLOOKUP(B2813&amp;I2813&amp;Q2813,'New Weekly Paste'!A:M,8,0),VLOOKUP(B2813&amp;I2813&amp;Q2813,'New Weekly Paste'!B:O,10,0)),0)</f>
        <v>102.52</v>
      </c>
      <c r="L2813" s="239">
        <f t="shared" si="25"/>
        <v>1</v>
      </c>
      <c r="M2813" s="36" t="str">
        <f t="shared" si="3"/>
        <v>Regular Season</v>
      </c>
      <c r="N2813" s="239" t="str">
        <f t="shared" si="26"/>
        <v>Salty</v>
      </c>
      <c r="O2813" s="6">
        <f>VLOOKUP(D2813,'Mapped Opponent'!$G$4:$H$22,2,0)</f>
        <v>12</v>
      </c>
      <c r="P2813" s="6"/>
      <c r="Q2813" s="6" t="str">
        <f t="shared" si="4"/>
        <v>Week 12</v>
      </c>
      <c r="R2813" s="6" t="str">
        <f t="shared" si="5"/>
        <v>2025Week 12</v>
      </c>
      <c r="S2813" s="6">
        <f>IFERROR(__xludf.DUMMYFUNCTION("rank(J2813,FILTER(J:J,R:R=R2813))"),1.0)</f>
        <v>1</v>
      </c>
      <c r="T2813" s="6">
        <f t="shared" si="6"/>
        <v>11</v>
      </c>
      <c r="U2813" s="6">
        <f t="shared" si="7"/>
        <v>1</v>
      </c>
      <c r="V2813" s="42">
        <f>averageif(AllData!A:A,B2813,AllData!R:R)/vlookup(B2813,AllData!A:O,15,0)</f>
        <v>104.9271429</v>
      </c>
      <c r="W2813" s="6"/>
    </row>
    <row r="2814" ht="14.25" customHeight="1">
      <c r="A2814" s="6" t="str">
        <f t="shared" si="29"/>
        <v>2025Shep12</v>
      </c>
      <c r="B2814" s="59">
        <v>2025.0</v>
      </c>
      <c r="C2814" s="13" t="s">
        <v>89</v>
      </c>
      <c r="D2814" s="13" t="s">
        <v>151</v>
      </c>
      <c r="E2814" s="34"/>
      <c r="F2814" s="6"/>
      <c r="H2814" s="6"/>
      <c r="I2814" s="35" t="str">
        <f>IFERROR(IFERROR(IFERROR(VLOOKUP(B2814&amp;C2814&amp;Q2814,'New Weekly Paste'!A:M,10,0),VLOOKUP(B2814&amp;C2814&amp;Q2814,'New Weekly Paste'!B:O,6,0)),""),"")</f>
        <v>Tayski</v>
      </c>
      <c r="J2814" s="259">
        <f>IFERROR(IFERROR(VLOOKUP(B2814&amp;C2814&amp;Q2814,'New Weekly Paste'!A:M,8,0),VLOOKUP(B2814&amp;C2814&amp;Q2814,'New Weekly Paste'!B:O,10,0)),0)</f>
        <v>92.34</v>
      </c>
      <c r="K2814" s="259">
        <f>IFERROR(IFERROR(VLOOKUP(B2814&amp;I2814&amp;Q2814,'New Weekly Paste'!A:M,8,0),VLOOKUP(B2814&amp;I2814&amp;Q2814,'New Weekly Paste'!B:O,10,0)),0)</f>
        <v>86.78</v>
      </c>
      <c r="L2814" s="239">
        <f t="shared" si="25"/>
        <v>1</v>
      </c>
      <c r="M2814" s="36" t="str">
        <f t="shared" si="3"/>
        <v>Regular Season</v>
      </c>
      <c r="N2814" s="239" t="str">
        <f t="shared" si="26"/>
        <v>Tayski</v>
      </c>
      <c r="O2814" s="6">
        <f>VLOOKUP(D2814,'Mapped Opponent'!$G$4:$H$22,2,0)</f>
        <v>12</v>
      </c>
      <c r="P2814" s="6"/>
      <c r="Q2814" s="6" t="str">
        <f t="shared" si="4"/>
        <v>Week 12</v>
      </c>
      <c r="R2814" s="6" t="str">
        <f t="shared" si="5"/>
        <v>2025Week 12</v>
      </c>
      <c r="S2814" s="6">
        <f>IFERROR(__xludf.DUMMYFUNCTION("rank(J2814,FILTER(J:J,R:R=R2814))"),8.0)</f>
        <v>8</v>
      </c>
      <c r="T2814" s="6">
        <f t="shared" si="6"/>
        <v>4</v>
      </c>
      <c r="U2814" s="6">
        <f t="shared" si="7"/>
        <v>8</v>
      </c>
      <c r="V2814" s="42">
        <f>averageif(AllData!A:A,B2814,AllData!R:R)/vlookup(B2814,AllData!A:O,15,0)</f>
        <v>104.9271429</v>
      </c>
      <c r="W2814" s="6"/>
    </row>
    <row r="2815" ht="14.25" customHeight="1">
      <c r="A2815" s="6" t="str">
        <f t="shared" si="29"/>
        <v>2025Riley12</v>
      </c>
      <c r="B2815" s="59">
        <v>2025.0</v>
      </c>
      <c r="C2815" s="13" t="s">
        <v>67</v>
      </c>
      <c r="D2815" s="13" t="s">
        <v>151</v>
      </c>
      <c r="E2815" s="34"/>
      <c r="F2815" s="6"/>
      <c r="H2815" s="6"/>
      <c r="I2815" s="35" t="str">
        <f>IFERROR(IFERROR(IFERROR(VLOOKUP(B2815&amp;C2815&amp;Q2815,'New Weekly Paste'!A:M,10,0),VLOOKUP(B2815&amp;C2815&amp;Q2815,'New Weekly Paste'!B:O,6,0)),""),"")</f>
        <v>Hudspeath</v>
      </c>
      <c r="J2815" s="259">
        <f>IFERROR(IFERROR(VLOOKUP(B2815&amp;C2815&amp;Q2815,'New Weekly Paste'!A:M,8,0),VLOOKUP(B2815&amp;C2815&amp;Q2815,'New Weekly Paste'!B:O,10,0)),0)</f>
        <v>87.42</v>
      </c>
      <c r="K2815" s="259">
        <f>IFERROR(IFERROR(VLOOKUP(B2815&amp;I2815&amp;Q2815,'New Weekly Paste'!A:M,8,0),VLOOKUP(B2815&amp;I2815&amp;Q2815,'New Weekly Paste'!B:O,10,0)),0)</f>
        <v>107.54</v>
      </c>
      <c r="L2815" s="239">
        <f t="shared" si="25"/>
        <v>0</v>
      </c>
      <c r="M2815" s="36" t="str">
        <f t="shared" si="3"/>
        <v>Regular Season</v>
      </c>
      <c r="N2815" s="239" t="str">
        <f t="shared" si="26"/>
        <v>Hudspeath</v>
      </c>
      <c r="O2815" s="6">
        <f>VLOOKUP(D2815,'Mapped Opponent'!$G$4:$H$22,2,0)</f>
        <v>12</v>
      </c>
      <c r="P2815" s="6"/>
      <c r="Q2815" s="6" t="str">
        <f t="shared" si="4"/>
        <v>Week 12</v>
      </c>
      <c r="R2815" s="6" t="str">
        <f t="shared" si="5"/>
        <v>2025Week 12</v>
      </c>
      <c r="S2815" s="6">
        <f>IFERROR(__xludf.DUMMYFUNCTION("rank(J2815,FILTER(J:J,R:R=R2815))"),10.0)</f>
        <v>10</v>
      </c>
      <c r="T2815" s="6">
        <f t="shared" si="6"/>
        <v>2</v>
      </c>
      <c r="U2815" s="6">
        <f t="shared" si="7"/>
        <v>10</v>
      </c>
      <c r="V2815" s="42">
        <f>averageif(AllData!A:A,B2815,AllData!R:R)/vlookup(B2815,AllData!A:O,15,0)</f>
        <v>104.9271429</v>
      </c>
      <c r="W2815" s="6"/>
    </row>
    <row r="2816" ht="14.25" customHeight="1">
      <c r="A2816" s="6" t="str">
        <f t="shared" si="29"/>
        <v>2025Rooney/Jackson12</v>
      </c>
      <c r="B2816" s="59">
        <v>2025.0</v>
      </c>
      <c r="C2816" s="13" t="s">
        <v>57</v>
      </c>
      <c r="D2816" s="13" t="s">
        <v>151</v>
      </c>
      <c r="E2816" s="34"/>
      <c r="F2816" s="6"/>
      <c r="H2816" s="6"/>
      <c r="I2816" s="35" t="str">
        <f>IFERROR(IFERROR(IFERROR(VLOOKUP(B2816&amp;C2816&amp;Q2816,'New Weekly Paste'!A:M,10,0),VLOOKUP(B2816&amp;C2816&amp;Q2816,'New Weekly Paste'!B:O,6,0)),""),"")</f>
        <v>Cock</v>
      </c>
      <c r="J2816" s="259">
        <f>IFERROR(IFERROR(VLOOKUP(B2816&amp;C2816&amp;Q2816,'New Weekly Paste'!A:M,8,0),VLOOKUP(B2816&amp;C2816&amp;Q2816,'New Weekly Paste'!B:O,10,0)),0)</f>
        <v>60.76</v>
      </c>
      <c r="K2816" s="259">
        <f>IFERROR(IFERROR(VLOOKUP(B2816&amp;I2816&amp;Q2816,'New Weekly Paste'!A:M,8,0),VLOOKUP(B2816&amp;I2816&amp;Q2816,'New Weekly Paste'!B:O,10,0)),0)</f>
        <v>142.96</v>
      </c>
      <c r="L2816" s="239">
        <f t="shared" si="25"/>
        <v>0</v>
      </c>
      <c r="M2816" s="36" t="str">
        <f t="shared" si="3"/>
        <v>Regular Season</v>
      </c>
      <c r="N2816" s="239" t="str">
        <f t="shared" si="26"/>
        <v>Cock</v>
      </c>
      <c r="O2816" s="6">
        <f>VLOOKUP(D2816,'Mapped Opponent'!$G$4:$H$22,2,0)</f>
        <v>12</v>
      </c>
      <c r="P2816" s="6"/>
      <c r="Q2816" s="6" t="str">
        <f t="shared" si="4"/>
        <v>Week 12</v>
      </c>
      <c r="R2816" s="6" t="str">
        <f t="shared" si="5"/>
        <v>2025Week 12</v>
      </c>
      <c r="S2816" s="6">
        <f>IFERROR(__xludf.DUMMYFUNCTION("rank(J2816,FILTER(J:J,R:R=R2816))"),12.0)</f>
        <v>12</v>
      </c>
      <c r="T2816" s="6">
        <f t="shared" si="6"/>
        <v>0</v>
      </c>
      <c r="U2816" s="6">
        <f t="shared" si="7"/>
        <v>12</v>
      </c>
      <c r="V2816" s="42">
        <f>averageif(AllData!A:A,B2816,AllData!R:R)/vlookup(B2816,AllData!A:O,15,0)</f>
        <v>104.9271429</v>
      </c>
      <c r="W2816" s="6"/>
    </row>
    <row r="2817" ht="14.25" customHeight="1">
      <c r="A2817" s="6" t="str">
        <f t="shared" si="29"/>
        <v>2025Buser12</v>
      </c>
      <c r="B2817" s="59">
        <v>2025.0</v>
      </c>
      <c r="C2817" s="13" t="s">
        <v>47</v>
      </c>
      <c r="D2817" s="13" t="s">
        <v>151</v>
      </c>
      <c r="E2817" s="34"/>
      <c r="F2817" s="6"/>
      <c r="H2817" s="6"/>
      <c r="I2817" s="35" t="str">
        <f>IFERROR(IFERROR(IFERROR(VLOOKUP(B2817&amp;C2817&amp;Q2817,'New Weekly Paste'!A:M,10,0),VLOOKUP(B2817&amp;C2817&amp;Q2817,'New Weekly Paste'!B:O,6,0)),""),"")</f>
        <v>T-How</v>
      </c>
      <c r="J2817" s="259">
        <f>IFERROR(IFERROR(VLOOKUP(B2817&amp;C2817&amp;Q2817,'New Weekly Paste'!A:M,8,0),VLOOKUP(B2817&amp;C2817&amp;Q2817,'New Weekly Paste'!B:O,10,0)),0)</f>
        <v>140.66</v>
      </c>
      <c r="K2817" s="259">
        <f>IFERROR(IFERROR(VLOOKUP(B2817&amp;I2817&amp;Q2817,'New Weekly Paste'!A:M,8,0),VLOOKUP(B2817&amp;I2817&amp;Q2817,'New Weekly Paste'!B:O,10,0)),0)</f>
        <v>103.02</v>
      </c>
      <c r="L2817" s="239">
        <f t="shared" si="25"/>
        <v>1</v>
      </c>
      <c r="M2817" s="36" t="str">
        <f t="shared" si="3"/>
        <v>Regular Season</v>
      </c>
      <c r="N2817" s="239" t="str">
        <f t="shared" si="26"/>
        <v>T-How</v>
      </c>
      <c r="O2817" s="6">
        <f>VLOOKUP(D2817,'Mapped Opponent'!$G$4:$H$22,2,0)</f>
        <v>12</v>
      </c>
      <c r="P2817" s="6"/>
      <c r="Q2817" s="6" t="str">
        <f t="shared" si="4"/>
        <v>Week 12</v>
      </c>
      <c r="R2817" s="6" t="str">
        <f t="shared" si="5"/>
        <v>2025Week 12</v>
      </c>
      <c r="S2817" s="6">
        <f>IFERROR(__xludf.DUMMYFUNCTION("rank(J2817,FILTER(J:J,R:R=R2817))"),3.0)</f>
        <v>3</v>
      </c>
      <c r="T2817" s="6">
        <f t="shared" si="6"/>
        <v>9</v>
      </c>
      <c r="U2817" s="6">
        <f t="shared" si="7"/>
        <v>3</v>
      </c>
      <c r="V2817" s="42">
        <f>averageif(AllData!A:A,B2817,AllData!R:R)/vlookup(B2817,AllData!A:O,15,0)</f>
        <v>104.9271429</v>
      </c>
      <c r="W2817" s="6"/>
    </row>
    <row r="2818" ht="14.25" customHeight="1">
      <c r="A2818" s="6" t="str">
        <f t="shared" si="29"/>
        <v>2025Pierson12</v>
      </c>
      <c r="B2818" s="59">
        <v>2025.0</v>
      </c>
      <c r="C2818" s="13" t="s">
        <v>92</v>
      </c>
      <c r="D2818" s="13" t="s">
        <v>151</v>
      </c>
      <c r="E2818" s="34"/>
      <c r="F2818" s="6"/>
      <c r="H2818" s="6"/>
      <c r="I2818" s="35" t="str">
        <f>IFERROR(IFERROR(IFERROR(VLOOKUP(B2818&amp;C2818&amp;Q2818,'New Weekly Paste'!A:M,10,0),VLOOKUP(B2818&amp;C2818&amp;Q2818,'New Weekly Paste'!B:O,6,0)),""),"")</f>
        <v>KnardDawg</v>
      </c>
      <c r="J2818" s="259">
        <f>IFERROR(IFERROR(VLOOKUP(B2818&amp;C2818&amp;Q2818,'New Weekly Paste'!A:M,8,0),VLOOKUP(B2818&amp;C2818&amp;Q2818,'New Weekly Paste'!B:O,10,0)),0)</f>
        <v>89.08</v>
      </c>
      <c r="K2818" s="259">
        <f>IFERROR(IFERROR(VLOOKUP(B2818&amp;I2818&amp;Q2818,'New Weekly Paste'!A:M,8,0),VLOOKUP(B2818&amp;I2818&amp;Q2818,'New Weekly Paste'!B:O,10,0)),0)</f>
        <v>105.26</v>
      </c>
      <c r="L2818" s="239">
        <f t="shared" si="25"/>
        <v>0</v>
      </c>
      <c r="M2818" s="36" t="str">
        <f t="shared" si="3"/>
        <v>Regular Season</v>
      </c>
      <c r="N2818" s="239" t="str">
        <f t="shared" si="26"/>
        <v>KnardDawg</v>
      </c>
      <c r="O2818" s="6">
        <f>VLOOKUP(D2818,'Mapped Opponent'!$G$4:$H$22,2,0)</f>
        <v>12</v>
      </c>
      <c r="P2818" s="6"/>
      <c r="Q2818" s="6" t="str">
        <f t="shared" si="4"/>
        <v>Week 12</v>
      </c>
      <c r="R2818" s="6" t="str">
        <f t="shared" si="5"/>
        <v>2025Week 12</v>
      </c>
      <c r="S2818" s="6">
        <f>IFERROR(__xludf.DUMMYFUNCTION("rank(J2818,FILTER(J:J,R:R=R2818))"),9.0)</f>
        <v>9</v>
      </c>
      <c r="T2818" s="6">
        <f t="shared" si="6"/>
        <v>3</v>
      </c>
      <c r="U2818" s="6">
        <f t="shared" si="7"/>
        <v>9</v>
      </c>
      <c r="V2818" s="42">
        <f>averageif(AllData!A:A,B2818,AllData!R:R)/vlookup(B2818,AllData!A:O,15,0)</f>
        <v>104.9271429</v>
      </c>
      <c r="W2818" s="6"/>
    </row>
    <row r="2819" ht="14.25" customHeight="1">
      <c r="A2819" s="6" t="str">
        <f t="shared" si="29"/>
        <v>2025Cock12</v>
      </c>
      <c r="B2819" s="59">
        <v>2025.0</v>
      </c>
      <c r="C2819" s="13" t="s">
        <v>72</v>
      </c>
      <c r="D2819" s="13" t="s">
        <v>151</v>
      </c>
      <c r="E2819" s="34"/>
      <c r="F2819" s="6"/>
      <c r="H2819" s="6"/>
      <c r="I2819" s="35" t="str">
        <f>IFERROR(IFERROR(IFERROR(VLOOKUP(B2819&amp;C2819&amp;Q2819,'New Weekly Paste'!A:M,10,0),VLOOKUP(B2819&amp;C2819&amp;Q2819,'New Weekly Paste'!B:O,6,0)),""),"")</f>
        <v>Rooney/Jackson</v>
      </c>
      <c r="J2819" s="259">
        <f>IFERROR(IFERROR(VLOOKUP(B2819&amp;C2819&amp;Q2819,'New Weekly Paste'!A:M,8,0),VLOOKUP(B2819&amp;C2819&amp;Q2819,'New Weekly Paste'!B:O,10,0)),0)</f>
        <v>142.96</v>
      </c>
      <c r="K2819" s="259">
        <f>IFERROR(IFERROR(VLOOKUP(B2819&amp;I2819&amp;Q2819,'New Weekly Paste'!A:M,8,0),VLOOKUP(B2819&amp;I2819&amp;Q2819,'New Weekly Paste'!B:O,10,0)),0)</f>
        <v>60.76</v>
      </c>
      <c r="L2819" s="239">
        <f t="shared" si="25"/>
        <v>1</v>
      </c>
      <c r="M2819" s="36" t="str">
        <f t="shared" si="3"/>
        <v>Regular Season</v>
      </c>
      <c r="N2819" s="239" t="str">
        <f t="shared" si="26"/>
        <v>Rooney/Jackson</v>
      </c>
      <c r="O2819" s="6">
        <f>VLOOKUP(D2819,'Mapped Opponent'!$G$4:$H$22,2,0)</f>
        <v>12</v>
      </c>
      <c r="P2819" s="6"/>
      <c r="Q2819" s="6" t="str">
        <f t="shared" si="4"/>
        <v>Week 12</v>
      </c>
      <c r="R2819" s="6" t="str">
        <f t="shared" si="5"/>
        <v>2025Week 12</v>
      </c>
      <c r="S2819" s="6">
        <f>IFERROR(__xludf.DUMMYFUNCTION("rank(J2819,FILTER(J:J,R:R=R2819))"),2.0)</f>
        <v>2</v>
      </c>
      <c r="T2819" s="6">
        <f t="shared" si="6"/>
        <v>10</v>
      </c>
      <c r="U2819" s="6">
        <f t="shared" si="7"/>
        <v>2</v>
      </c>
      <c r="V2819" s="42">
        <f>averageif(AllData!A:A,B2819,AllData!R:R)/vlookup(B2819,AllData!A:O,15,0)</f>
        <v>104.9271429</v>
      </c>
      <c r="W2819" s="6"/>
    </row>
    <row r="2820" ht="14.25" customHeight="1">
      <c r="A2820" s="6" t="str">
        <f t="shared" si="29"/>
        <v>2025Tayski12</v>
      </c>
      <c r="B2820" s="59">
        <v>2025.0</v>
      </c>
      <c r="C2820" s="13" t="s">
        <v>52</v>
      </c>
      <c r="D2820" s="13" t="s">
        <v>151</v>
      </c>
      <c r="E2820" s="34"/>
      <c r="F2820" s="6"/>
      <c r="H2820" s="6"/>
      <c r="I2820" s="35" t="str">
        <f>IFERROR(IFERROR(IFERROR(VLOOKUP(B2820&amp;C2820&amp;Q2820,'New Weekly Paste'!A:M,10,0),VLOOKUP(B2820&amp;C2820&amp;Q2820,'New Weekly Paste'!B:O,6,0)),""),"")</f>
        <v>Shep</v>
      </c>
      <c r="J2820" s="259">
        <f>IFERROR(IFERROR(VLOOKUP(B2820&amp;C2820&amp;Q2820,'New Weekly Paste'!A:M,8,0),VLOOKUP(B2820&amp;C2820&amp;Q2820,'New Weekly Paste'!B:O,10,0)),0)</f>
        <v>86.78</v>
      </c>
      <c r="K2820" s="259">
        <f>IFERROR(IFERROR(VLOOKUP(B2820&amp;I2820&amp;Q2820,'New Weekly Paste'!A:M,8,0),VLOOKUP(B2820&amp;I2820&amp;Q2820,'New Weekly Paste'!B:O,10,0)),0)</f>
        <v>92.34</v>
      </c>
      <c r="L2820" s="239">
        <f t="shared" si="25"/>
        <v>0</v>
      </c>
      <c r="M2820" s="36" t="str">
        <f t="shared" si="3"/>
        <v>Regular Season</v>
      </c>
      <c r="N2820" s="239" t="str">
        <f t="shared" si="26"/>
        <v>Shep</v>
      </c>
      <c r="O2820" s="6">
        <f>VLOOKUP(D2820,'Mapped Opponent'!$G$4:$H$22,2,0)</f>
        <v>12</v>
      </c>
      <c r="P2820" s="6"/>
      <c r="Q2820" s="6" t="str">
        <f t="shared" si="4"/>
        <v>Week 12</v>
      </c>
      <c r="R2820" s="6" t="str">
        <f t="shared" si="5"/>
        <v>2025Week 12</v>
      </c>
      <c r="S2820" s="6">
        <f>IFERROR(__xludf.DUMMYFUNCTION("rank(J2820,FILTER(J:J,R:R=R2820))"),11.0)</f>
        <v>11</v>
      </c>
      <c r="T2820" s="6">
        <f t="shared" si="6"/>
        <v>1</v>
      </c>
      <c r="U2820" s="6">
        <f t="shared" si="7"/>
        <v>11</v>
      </c>
      <c r="V2820" s="42">
        <f>averageif(AllData!A:A,B2820,AllData!R:R)/vlookup(B2820,AllData!A:O,15,0)</f>
        <v>104.9271429</v>
      </c>
      <c r="W2820" s="6"/>
    </row>
    <row r="2821" ht="14.25" customHeight="1">
      <c r="A2821" s="6" t="str">
        <f t="shared" si="29"/>
        <v>2025KnardDawg12</v>
      </c>
      <c r="B2821" s="59">
        <v>2025.0</v>
      </c>
      <c r="C2821" s="13" t="s">
        <v>86</v>
      </c>
      <c r="D2821" s="13" t="s">
        <v>151</v>
      </c>
      <c r="E2821" s="34"/>
      <c r="F2821" s="6"/>
      <c r="H2821" s="6"/>
      <c r="I2821" s="35" t="str">
        <f>IFERROR(IFERROR(IFERROR(VLOOKUP(B2821&amp;C2821&amp;Q2821,'New Weekly Paste'!A:M,10,0),VLOOKUP(B2821&amp;C2821&amp;Q2821,'New Weekly Paste'!B:O,6,0)),""),"")</f>
        <v>Pierson</v>
      </c>
      <c r="J2821" s="259">
        <f>IFERROR(IFERROR(VLOOKUP(B2821&amp;C2821&amp;Q2821,'New Weekly Paste'!A:M,8,0),VLOOKUP(B2821&amp;C2821&amp;Q2821,'New Weekly Paste'!B:O,10,0)),0)</f>
        <v>105.26</v>
      </c>
      <c r="K2821" s="259">
        <f>IFERROR(IFERROR(VLOOKUP(B2821&amp;I2821&amp;Q2821,'New Weekly Paste'!A:M,8,0),VLOOKUP(B2821&amp;I2821&amp;Q2821,'New Weekly Paste'!B:O,10,0)),0)</f>
        <v>89.08</v>
      </c>
      <c r="L2821" s="239">
        <f t="shared" si="25"/>
        <v>1</v>
      </c>
      <c r="M2821" s="36" t="str">
        <f t="shared" si="3"/>
        <v>Regular Season</v>
      </c>
      <c r="N2821" s="239" t="str">
        <f t="shared" si="26"/>
        <v>Pierson</v>
      </c>
      <c r="O2821" s="6">
        <f>VLOOKUP(D2821,'Mapped Opponent'!$G$4:$H$22,2,0)</f>
        <v>12</v>
      </c>
      <c r="P2821" s="6"/>
      <c r="Q2821" s="6" t="str">
        <f t="shared" si="4"/>
        <v>Week 12</v>
      </c>
      <c r="R2821" s="6" t="str">
        <f t="shared" si="5"/>
        <v>2025Week 12</v>
      </c>
      <c r="S2821" s="6">
        <f>IFERROR(__xludf.DUMMYFUNCTION("rank(J2821,FILTER(J:J,R:R=R2821))"),5.0)</f>
        <v>5</v>
      </c>
      <c r="T2821" s="6">
        <f t="shared" si="6"/>
        <v>7</v>
      </c>
      <c r="U2821" s="6">
        <f t="shared" si="7"/>
        <v>5</v>
      </c>
      <c r="V2821" s="42">
        <f>averageif(AllData!A:A,B2821,AllData!R:R)/vlookup(B2821,AllData!A:O,15,0)</f>
        <v>104.9271429</v>
      </c>
      <c r="W2821" s="6"/>
    </row>
    <row r="2822" ht="14.25" customHeight="1">
      <c r="A2822" s="6" t="str">
        <f t="shared" si="29"/>
        <v>2025T-How12</v>
      </c>
      <c r="B2822" s="59">
        <v>2025.0</v>
      </c>
      <c r="C2822" s="13" t="s">
        <v>82</v>
      </c>
      <c r="D2822" s="13" t="s">
        <v>151</v>
      </c>
      <c r="E2822" s="34"/>
      <c r="F2822" s="6"/>
      <c r="H2822" s="6"/>
      <c r="I2822" s="35" t="str">
        <f>IFERROR(IFERROR(IFERROR(VLOOKUP(B2822&amp;C2822&amp;Q2822,'New Weekly Paste'!A:M,10,0),VLOOKUP(B2822&amp;C2822&amp;Q2822,'New Weekly Paste'!B:O,6,0)),""),"")</f>
        <v>Buser</v>
      </c>
      <c r="J2822" s="259">
        <f>IFERROR(IFERROR(VLOOKUP(B2822&amp;C2822&amp;Q2822,'New Weekly Paste'!A:M,8,0),VLOOKUP(B2822&amp;C2822&amp;Q2822,'New Weekly Paste'!B:O,10,0)),0)</f>
        <v>103.02</v>
      </c>
      <c r="K2822" s="259">
        <f>IFERROR(IFERROR(VLOOKUP(B2822&amp;I2822&amp;Q2822,'New Weekly Paste'!A:M,8,0),VLOOKUP(B2822&amp;I2822&amp;Q2822,'New Weekly Paste'!B:O,10,0)),0)</f>
        <v>140.66</v>
      </c>
      <c r="L2822" s="239">
        <f t="shared" si="25"/>
        <v>0</v>
      </c>
      <c r="M2822" s="36" t="str">
        <f t="shared" si="3"/>
        <v>Regular Season</v>
      </c>
      <c r="N2822" s="239" t="str">
        <f t="shared" si="26"/>
        <v>Buser</v>
      </c>
      <c r="O2822" s="6">
        <f>VLOOKUP(D2822,'Mapped Opponent'!$G$4:$H$22,2,0)</f>
        <v>12</v>
      </c>
      <c r="P2822" s="6"/>
      <c r="Q2822" s="6" t="str">
        <f t="shared" si="4"/>
        <v>Week 12</v>
      </c>
      <c r="R2822" s="6" t="str">
        <f t="shared" si="5"/>
        <v>2025Week 12</v>
      </c>
      <c r="S2822" s="6">
        <f>IFERROR(__xludf.DUMMYFUNCTION("rank(J2822,FILTER(J:J,R:R=R2822))"),6.0)</f>
        <v>6</v>
      </c>
      <c r="T2822" s="6">
        <f t="shared" si="6"/>
        <v>6</v>
      </c>
      <c r="U2822" s="6">
        <f t="shared" si="7"/>
        <v>6</v>
      </c>
      <c r="V2822" s="42">
        <f>averageif(AllData!A:A,B2822,AllData!R:R)/vlookup(B2822,AllData!A:O,15,0)</f>
        <v>104.9271429</v>
      </c>
      <c r="W2822" s="6"/>
    </row>
    <row r="2823" ht="14.25" customHeight="1">
      <c r="A2823" s="6" t="str">
        <f t="shared" si="29"/>
        <v>2025Hudspeath13</v>
      </c>
      <c r="B2823" s="59">
        <v>2025.0</v>
      </c>
      <c r="C2823" s="13" t="s">
        <v>39</v>
      </c>
      <c r="D2823" s="13" t="s">
        <v>152</v>
      </c>
      <c r="E2823" s="34"/>
      <c r="F2823" s="6"/>
      <c r="H2823" s="6"/>
      <c r="I2823" s="35" t="str">
        <f>IFERROR(IFERROR(IFERROR(VLOOKUP(B2823&amp;C2823&amp;Q2823,'New Weekly Paste'!A:M,10,0),VLOOKUP(B2823&amp;C2823&amp;Q2823,'New Weekly Paste'!B:O,6,0)),""),"")</f>
        <v>Tayski</v>
      </c>
      <c r="J2823" s="259">
        <f>IFERROR(IFERROR(VLOOKUP(B2823&amp;C2823&amp;Q2823,'New Weekly Paste'!A:M,8,0),VLOOKUP(B2823&amp;C2823&amp;Q2823,'New Weekly Paste'!B:O,10,0)),0)</f>
        <v>112.74</v>
      </c>
      <c r="K2823" s="259">
        <f>IFERROR(IFERROR(VLOOKUP(B2823&amp;I2823&amp;Q2823,'New Weekly Paste'!A:M,8,0),VLOOKUP(B2823&amp;I2823&amp;Q2823,'New Weekly Paste'!B:O,10,0)),0)</f>
        <v>102.04</v>
      </c>
      <c r="L2823" s="239">
        <f t="shared" si="25"/>
        <v>1</v>
      </c>
      <c r="M2823" s="36" t="str">
        <f t="shared" si="3"/>
        <v>Regular Season</v>
      </c>
      <c r="N2823" s="239" t="str">
        <f t="shared" si="26"/>
        <v>Tayski</v>
      </c>
      <c r="O2823" s="6">
        <f>VLOOKUP(D2823,'Mapped Opponent'!$G$4:$H$22,2,0)</f>
        <v>13</v>
      </c>
      <c r="P2823" s="6"/>
      <c r="Q2823" s="6" t="str">
        <f t="shared" si="4"/>
        <v>Week 13</v>
      </c>
      <c r="R2823" s="6" t="str">
        <f t="shared" si="5"/>
        <v>2025Week 13</v>
      </c>
      <c r="S2823" s="6">
        <f>IFERROR(__xludf.DUMMYFUNCTION("rank(J2823,FILTER(J:J,R:R=R2823))"),4.0)</f>
        <v>4</v>
      </c>
      <c r="T2823" s="6">
        <f t="shared" si="6"/>
        <v>8</v>
      </c>
      <c r="U2823" s="6">
        <f t="shared" si="7"/>
        <v>4</v>
      </c>
      <c r="V2823" s="42">
        <f>averageif(AllData!A:A,B2823,AllData!R:R)/vlookup(B2823,AllData!A:O,15,0)</f>
        <v>104.9271429</v>
      </c>
      <c r="W2823" s="6"/>
    </row>
    <row r="2824" ht="14.25" customHeight="1">
      <c r="A2824" s="6" t="str">
        <f t="shared" si="29"/>
        <v>2025Salty13</v>
      </c>
      <c r="B2824" s="59">
        <v>2025.0</v>
      </c>
      <c r="C2824" s="13" t="s">
        <v>76</v>
      </c>
      <c r="D2824" s="13" t="s">
        <v>152</v>
      </c>
      <c r="E2824" s="34"/>
      <c r="F2824" s="6"/>
      <c r="H2824" s="6"/>
      <c r="I2824" s="35" t="str">
        <f>IFERROR(IFERROR(IFERROR(VLOOKUP(B2824&amp;C2824&amp;Q2824,'New Weekly Paste'!A:M,10,0),VLOOKUP(B2824&amp;C2824&amp;Q2824,'New Weekly Paste'!B:O,6,0)),""),"")</f>
        <v>Riley</v>
      </c>
      <c r="J2824" s="259">
        <f>IFERROR(IFERROR(VLOOKUP(B2824&amp;C2824&amp;Q2824,'New Weekly Paste'!A:M,8,0),VLOOKUP(B2824&amp;C2824&amp;Q2824,'New Weekly Paste'!B:O,10,0)),0)</f>
        <v>83.34</v>
      </c>
      <c r="K2824" s="259">
        <f>IFERROR(IFERROR(VLOOKUP(B2824&amp;I2824&amp;Q2824,'New Weekly Paste'!A:M,8,0),VLOOKUP(B2824&amp;I2824&amp;Q2824,'New Weekly Paste'!B:O,10,0)),0)</f>
        <v>106.14</v>
      </c>
      <c r="L2824" s="239">
        <f t="shared" si="25"/>
        <v>0</v>
      </c>
      <c r="M2824" s="36" t="str">
        <f t="shared" si="3"/>
        <v>Regular Season</v>
      </c>
      <c r="N2824" s="239" t="str">
        <f t="shared" si="26"/>
        <v>Riley</v>
      </c>
      <c r="O2824" s="6">
        <f>VLOOKUP(D2824,'Mapped Opponent'!$G$4:$H$22,2,0)</f>
        <v>13</v>
      </c>
      <c r="P2824" s="6"/>
      <c r="Q2824" s="6" t="str">
        <f t="shared" si="4"/>
        <v>Week 13</v>
      </c>
      <c r="R2824" s="6" t="str">
        <f t="shared" si="5"/>
        <v>2025Week 13</v>
      </c>
      <c r="S2824" s="6">
        <f>IFERROR(__xludf.DUMMYFUNCTION("rank(J2824,FILTER(J:J,R:R=R2824))"),8.0)</f>
        <v>8</v>
      </c>
      <c r="T2824" s="6">
        <f t="shared" si="6"/>
        <v>4</v>
      </c>
      <c r="U2824" s="6">
        <f t="shared" si="7"/>
        <v>8</v>
      </c>
      <c r="V2824" s="42">
        <f>averageif(AllData!A:A,B2824,AllData!R:R)/vlookup(B2824,AllData!A:O,15,0)</f>
        <v>104.9271429</v>
      </c>
      <c r="W2824" s="6"/>
    </row>
    <row r="2825" ht="14.25" customHeight="1">
      <c r="A2825" s="6" t="str">
        <f t="shared" si="29"/>
        <v>2025Ewert13</v>
      </c>
      <c r="B2825" s="59">
        <v>2025.0</v>
      </c>
      <c r="C2825" s="13" t="s">
        <v>108</v>
      </c>
      <c r="D2825" s="13" t="s">
        <v>152</v>
      </c>
      <c r="E2825" s="34"/>
      <c r="F2825" s="6"/>
      <c r="H2825" s="6"/>
      <c r="I2825" s="35" t="str">
        <f>IFERROR(IFERROR(IFERROR(VLOOKUP(B2825&amp;C2825&amp;Q2825,'New Weekly Paste'!A:M,10,0),VLOOKUP(B2825&amp;C2825&amp;Q2825,'New Weekly Paste'!B:O,6,0)),""),"")</f>
        <v>T-How</v>
      </c>
      <c r="J2825" s="259">
        <f>IFERROR(IFERROR(VLOOKUP(B2825&amp;C2825&amp;Q2825,'New Weekly Paste'!A:M,8,0),VLOOKUP(B2825&amp;C2825&amp;Q2825,'New Weekly Paste'!B:O,10,0)),0)</f>
        <v>67.26</v>
      </c>
      <c r="K2825" s="259">
        <f>IFERROR(IFERROR(VLOOKUP(B2825&amp;I2825&amp;Q2825,'New Weekly Paste'!A:M,8,0),VLOOKUP(B2825&amp;I2825&amp;Q2825,'New Weekly Paste'!B:O,10,0)),0)</f>
        <v>81.22</v>
      </c>
      <c r="L2825" s="239">
        <f t="shared" si="25"/>
        <v>0</v>
      </c>
      <c r="M2825" s="36" t="str">
        <f t="shared" si="3"/>
        <v>Regular Season</v>
      </c>
      <c r="N2825" s="239" t="str">
        <f t="shared" si="26"/>
        <v>T-How</v>
      </c>
      <c r="O2825" s="6">
        <f>VLOOKUP(D2825,'Mapped Opponent'!$G$4:$H$22,2,0)</f>
        <v>13</v>
      </c>
      <c r="P2825" s="6"/>
      <c r="Q2825" s="6" t="str">
        <f t="shared" si="4"/>
        <v>Week 13</v>
      </c>
      <c r="R2825" s="6" t="str">
        <f t="shared" si="5"/>
        <v>2025Week 13</v>
      </c>
      <c r="S2825" s="6">
        <f>IFERROR(__xludf.DUMMYFUNCTION("rank(J2825,FILTER(J:J,R:R=R2825))"),12.0)</f>
        <v>12</v>
      </c>
      <c r="T2825" s="6">
        <f t="shared" si="6"/>
        <v>0</v>
      </c>
      <c r="U2825" s="6">
        <f t="shared" si="7"/>
        <v>12</v>
      </c>
      <c r="V2825" s="42">
        <f>averageif(AllData!A:A,B2825,AllData!R:R)/vlookup(B2825,AllData!A:O,15,0)</f>
        <v>104.9271429</v>
      </c>
      <c r="W2825" s="6"/>
    </row>
    <row r="2826" ht="14.25" customHeight="1">
      <c r="A2826" s="6" t="str">
        <f t="shared" si="29"/>
        <v>2025Shep13</v>
      </c>
      <c r="B2826" s="59">
        <v>2025.0</v>
      </c>
      <c r="C2826" s="13" t="s">
        <v>89</v>
      </c>
      <c r="D2826" s="13" t="s">
        <v>152</v>
      </c>
      <c r="E2826" s="34"/>
      <c r="F2826" s="6"/>
      <c r="H2826" s="6"/>
      <c r="I2826" s="35" t="str">
        <f>IFERROR(IFERROR(IFERROR(VLOOKUP(B2826&amp;C2826&amp;Q2826,'New Weekly Paste'!A:M,10,0),VLOOKUP(B2826&amp;C2826&amp;Q2826,'New Weekly Paste'!B:O,6,0)),""),"")</f>
        <v>Cock</v>
      </c>
      <c r="J2826" s="259">
        <f>IFERROR(IFERROR(VLOOKUP(B2826&amp;C2826&amp;Q2826,'New Weekly Paste'!A:M,8,0),VLOOKUP(B2826&amp;C2826&amp;Q2826,'New Weekly Paste'!B:O,10,0)),0)</f>
        <v>74.12</v>
      </c>
      <c r="K2826" s="259">
        <f>IFERROR(IFERROR(VLOOKUP(B2826&amp;I2826&amp;Q2826,'New Weekly Paste'!A:M,8,0),VLOOKUP(B2826&amp;I2826&amp;Q2826,'New Weekly Paste'!B:O,10,0)),0)</f>
        <v>97.1</v>
      </c>
      <c r="L2826" s="239">
        <f t="shared" si="25"/>
        <v>0</v>
      </c>
      <c r="M2826" s="36" t="str">
        <f t="shared" si="3"/>
        <v>Regular Season</v>
      </c>
      <c r="N2826" s="239" t="str">
        <f t="shared" si="26"/>
        <v>Cock</v>
      </c>
      <c r="O2826" s="6">
        <f>VLOOKUP(D2826,'Mapped Opponent'!$G$4:$H$22,2,0)</f>
        <v>13</v>
      </c>
      <c r="P2826" s="6"/>
      <c r="Q2826" s="6" t="str">
        <f t="shared" si="4"/>
        <v>Week 13</v>
      </c>
      <c r="R2826" s="6" t="str">
        <f t="shared" si="5"/>
        <v>2025Week 13</v>
      </c>
      <c r="S2826" s="6">
        <f>IFERROR(__xludf.DUMMYFUNCTION("rank(J2826,FILTER(J:J,R:R=R2826))"),11.0)</f>
        <v>11</v>
      </c>
      <c r="T2826" s="6">
        <f t="shared" si="6"/>
        <v>1</v>
      </c>
      <c r="U2826" s="6">
        <f t="shared" si="7"/>
        <v>11</v>
      </c>
      <c r="V2826" s="42">
        <f>averageif(AllData!A:A,B2826,AllData!R:R)/vlookup(B2826,AllData!A:O,15,0)</f>
        <v>104.9271429</v>
      </c>
      <c r="W2826" s="6"/>
    </row>
    <row r="2827" ht="14.25" customHeight="1">
      <c r="A2827" s="6" t="str">
        <f t="shared" si="29"/>
        <v>2025Riley13</v>
      </c>
      <c r="B2827" s="59">
        <v>2025.0</v>
      </c>
      <c r="C2827" s="13" t="s">
        <v>67</v>
      </c>
      <c r="D2827" s="13" t="s">
        <v>152</v>
      </c>
      <c r="E2827" s="34"/>
      <c r="F2827" s="6"/>
      <c r="H2827" s="6"/>
      <c r="I2827" s="35" t="str">
        <f>IFERROR(IFERROR(IFERROR(VLOOKUP(B2827&amp;C2827&amp;Q2827,'New Weekly Paste'!A:M,10,0),VLOOKUP(B2827&amp;C2827&amp;Q2827,'New Weekly Paste'!B:O,6,0)),""),"")</f>
        <v>Salty</v>
      </c>
      <c r="J2827" s="259">
        <f>IFERROR(IFERROR(VLOOKUP(B2827&amp;C2827&amp;Q2827,'New Weekly Paste'!A:M,8,0),VLOOKUP(B2827&amp;C2827&amp;Q2827,'New Weekly Paste'!B:O,10,0)),0)</f>
        <v>106.14</v>
      </c>
      <c r="K2827" s="259">
        <f>IFERROR(IFERROR(VLOOKUP(B2827&amp;I2827&amp;Q2827,'New Weekly Paste'!A:M,8,0),VLOOKUP(B2827&amp;I2827&amp;Q2827,'New Weekly Paste'!B:O,10,0)),0)</f>
        <v>83.34</v>
      </c>
      <c r="L2827" s="239">
        <f t="shared" si="25"/>
        <v>1</v>
      </c>
      <c r="M2827" s="36" t="str">
        <f t="shared" si="3"/>
        <v>Regular Season</v>
      </c>
      <c r="N2827" s="239" t="str">
        <f t="shared" si="26"/>
        <v>Salty</v>
      </c>
      <c r="O2827" s="6">
        <f>VLOOKUP(D2827,'Mapped Opponent'!$G$4:$H$22,2,0)</f>
        <v>13</v>
      </c>
      <c r="P2827" s="6"/>
      <c r="Q2827" s="6" t="str">
        <f t="shared" si="4"/>
        <v>Week 13</v>
      </c>
      <c r="R2827" s="6" t="str">
        <f t="shared" si="5"/>
        <v>2025Week 13</v>
      </c>
      <c r="S2827" s="6">
        <f>IFERROR(__xludf.DUMMYFUNCTION("rank(J2827,FILTER(J:J,R:R=R2827))"),5.0)</f>
        <v>5</v>
      </c>
      <c r="T2827" s="6">
        <f t="shared" si="6"/>
        <v>7</v>
      </c>
      <c r="U2827" s="6">
        <f t="shared" si="7"/>
        <v>5</v>
      </c>
      <c r="V2827" s="42">
        <f>averageif(AllData!A:A,B2827,AllData!R:R)/vlookup(B2827,AllData!A:O,15,0)</f>
        <v>104.9271429</v>
      </c>
      <c r="W2827" s="6"/>
    </row>
    <row r="2828" ht="14.25" customHeight="1">
      <c r="A2828" s="6" t="str">
        <f t="shared" si="29"/>
        <v>2025Rooney/Jackson13</v>
      </c>
      <c r="B2828" s="59">
        <v>2025.0</v>
      </c>
      <c r="C2828" s="13" t="s">
        <v>57</v>
      </c>
      <c r="D2828" s="13" t="s">
        <v>152</v>
      </c>
      <c r="E2828" s="34"/>
      <c r="F2828" s="6"/>
      <c r="H2828" s="6"/>
      <c r="I2828" s="35" t="str">
        <f>IFERROR(IFERROR(IFERROR(VLOOKUP(B2828&amp;C2828&amp;Q2828,'New Weekly Paste'!A:M,10,0),VLOOKUP(B2828&amp;C2828&amp;Q2828,'New Weekly Paste'!B:O,6,0)),""),"")</f>
        <v>Pierson</v>
      </c>
      <c r="J2828" s="259">
        <f>IFERROR(IFERROR(VLOOKUP(B2828&amp;C2828&amp;Q2828,'New Weekly Paste'!A:M,8,0),VLOOKUP(B2828&amp;C2828&amp;Q2828,'New Weekly Paste'!B:O,10,0)),0)</f>
        <v>135.58</v>
      </c>
      <c r="K2828" s="259">
        <f>IFERROR(IFERROR(VLOOKUP(B2828&amp;I2828&amp;Q2828,'New Weekly Paste'!A:M,8,0),VLOOKUP(B2828&amp;I2828&amp;Q2828,'New Weekly Paste'!B:O,10,0)),0)</f>
        <v>131.74</v>
      </c>
      <c r="L2828" s="239">
        <f t="shared" si="25"/>
        <v>1</v>
      </c>
      <c r="M2828" s="36" t="str">
        <f t="shared" si="3"/>
        <v>Regular Season</v>
      </c>
      <c r="N2828" s="239" t="str">
        <f t="shared" si="26"/>
        <v>Pierson</v>
      </c>
      <c r="O2828" s="6">
        <f>VLOOKUP(D2828,'Mapped Opponent'!$G$4:$H$22,2,0)</f>
        <v>13</v>
      </c>
      <c r="P2828" s="6"/>
      <c r="Q2828" s="6" t="str">
        <f t="shared" si="4"/>
        <v>Week 13</v>
      </c>
      <c r="R2828" s="6" t="str">
        <f t="shared" si="5"/>
        <v>2025Week 13</v>
      </c>
      <c r="S2828" s="6">
        <f>IFERROR(__xludf.DUMMYFUNCTION("rank(J2828,FILTER(J:J,R:R=R2828))"),2.0)</f>
        <v>2</v>
      </c>
      <c r="T2828" s="6">
        <f t="shared" si="6"/>
        <v>10</v>
      </c>
      <c r="U2828" s="6">
        <f t="shared" si="7"/>
        <v>2</v>
      </c>
      <c r="V2828" s="42">
        <f>averageif(AllData!A:A,B2828,AllData!R:R)/vlookup(B2828,AllData!A:O,15,0)</f>
        <v>104.9271429</v>
      </c>
      <c r="W2828" s="6"/>
    </row>
    <row r="2829" ht="14.25" customHeight="1">
      <c r="A2829" s="6" t="str">
        <f t="shared" si="29"/>
        <v>2025Buser13</v>
      </c>
      <c r="B2829" s="59">
        <v>2025.0</v>
      </c>
      <c r="C2829" s="13" t="s">
        <v>47</v>
      </c>
      <c r="D2829" s="13" t="s">
        <v>152</v>
      </c>
      <c r="E2829" s="34"/>
      <c r="F2829" s="6"/>
      <c r="H2829" s="6"/>
      <c r="I2829" s="35" t="str">
        <f>IFERROR(IFERROR(IFERROR(VLOOKUP(B2829&amp;C2829&amp;Q2829,'New Weekly Paste'!A:M,10,0),VLOOKUP(B2829&amp;C2829&amp;Q2829,'New Weekly Paste'!B:O,6,0)),""),"")</f>
        <v>KnardDawg</v>
      </c>
      <c r="J2829" s="259">
        <f>IFERROR(IFERROR(VLOOKUP(B2829&amp;C2829&amp;Q2829,'New Weekly Paste'!A:M,8,0),VLOOKUP(B2829&amp;C2829&amp;Q2829,'New Weekly Paste'!B:O,10,0)),0)</f>
        <v>140</v>
      </c>
      <c r="K2829" s="259">
        <f>IFERROR(IFERROR(VLOOKUP(B2829&amp;I2829&amp;Q2829,'New Weekly Paste'!A:M,8,0),VLOOKUP(B2829&amp;I2829&amp;Q2829,'New Weekly Paste'!B:O,10,0)),0)</f>
        <v>74.14</v>
      </c>
      <c r="L2829" s="239">
        <f t="shared" si="25"/>
        <v>1</v>
      </c>
      <c r="M2829" s="36" t="str">
        <f t="shared" si="3"/>
        <v>Regular Season</v>
      </c>
      <c r="N2829" s="239" t="str">
        <f t="shared" si="26"/>
        <v>KnardDawg</v>
      </c>
      <c r="O2829" s="6">
        <f>VLOOKUP(D2829,'Mapped Opponent'!$G$4:$H$22,2,0)</f>
        <v>13</v>
      </c>
      <c r="P2829" s="6"/>
      <c r="Q2829" s="6" t="str">
        <f t="shared" si="4"/>
        <v>Week 13</v>
      </c>
      <c r="R2829" s="6" t="str">
        <f t="shared" si="5"/>
        <v>2025Week 13</v>
      </c>
      <c r="S2829" s="6">
        <f>IFERROR(__xludf.DUMMYFUNCTION("rank(J2829,FILTER(J:J,R:R=R2829))"),1.0)</f>
        <v>1</v>
      </c>
      <c r="T2829" s="6">
        <f t="shared" si="6"/>
        <v>11</v>
      </c>
      <c r="U2829" s="6">
        <f t="shared" si="7"/>
        <v>1</v>
      </c>
      <c r="V2829" s="42">
        <f>averageif(AllData!A:A,B2829,AllData!R:R)/vlookup(B2829,AllData!A:O,15,0)</f>
        <v>104.9271429</v>
      </c>
      <c r="W2829" s="6"/>
    </row>
    <row r="2830" ht="14.25" customHeight="1">
      <c r="A2830" s="6" t="str">
        <f t="shared" si="29"/>
        <v>2025Pierson13</v>
      </c>
      <c r="B2830" s="59">
        <v>2025.0</v>
      </c>
      <c r="C2830" s="13" t="s">
        <v>92</v>
      </c>
      <c r="D2830" s="13" t="s">
        <v>152</v>
      </c>
      <c r="E2830" s="34"/>
      <c r="F2830" s="6"/>
      <c r="H2830" s="6"/>
      <c r="I2830" s="35" t="str">
        <f>IFERROR(IFERROR(IFERROR(VLOOKUP(B2830&amp;C2830&amp;Q2830,'New Weekly Paste'!A:M,10,0),VLOOKUP(B2830&amp;C2830&amp;Q2830,'New Weekly Paste'!B:O,6,0)),""),"")</f>
        <v>Rooney/Jackson</v>
      </c>
      <c r="J2830" s="259">
        <f>IFERROR(IFERROR(VLOOKUP(B2830&amp;C2830&amp;Q2830,'New Weekly Paste'!A:M,8,0),VLOOKUP(B2830&amp;C2830&amp;Q2830,'New Weekly Paste'!B:O,10,0)),0)</f>
        <v>131.74</v>
      </c>
      <c r="K2830" s="259">
        <f>IFERROR(IFERROR(VLOOKUP(B2830&amp;I2830&amp;Q2830,'New Weekly Paste'!A:M,8,0),VLOOKUP(B2830&amp;I2830&amp;Q2830,'New Weekly Paste'!B:O,10,0)),0)</f>
        <v>135.58</v>
      </c>
      <c r="L2830" s="239">
        <f t="shared" si="25"/>
        <v>0</v>
      </c>
      <c r="M2830" s="36" t="str">
        <f t="shared" si="3"/>
        <v>Regular Season</v>
      </c>
      <c r="N2830" s="239" t="str">
        <f t="shared" si="26"/>
        <v>Rooney/Jackson</v>
      </c>
      <c r="O2830" s="6">
        <f>VLOOKUP(D2830,'Mapped Opponent'!$G$4:$H$22,2,0)</f>
        <v>13</v>
      </c>
      <c r="P2830" s="6"/>
      <c r="Q2830" s="6" t="str">
        <f t="shared" si="4"/>
        <v>Week 13</v>
      </c>
      <c r="R2830" s="6" t="str">
        <f t="shared" si="5"/>
        <v>2025Week 13</v>
      </c>
      <c r="S2830" s="6">
        <f>IFERROR(__xludf.DUMMYFUNCTION("rank(J2830,FILTER(J:J,R:R=R2830))"),3.0)</f>
        <v>3</v>
      </c>
      <c r="T2830" s="6">
        <f t="shared" si="6"/>
        <v>9</v>
      </c>
      <c r="U2830" s="6">
        <f t="shared" si="7"/>
        <v>3</v>
      </c>
      <c r="V2830" s="42">
        <f>averageif(AllData!A:A,B2830,AllData!R:R)/vlookup(B2830,AllData!A:O,15,0)</f>
        <v>104.9271429</v>
      </c>
      <c r="W2830" s="6"/>
    </row>
    <row r="2831" ht="14.25" customHeight="1">
      <c r="A2831" s="6" t="str">
        <f t="shared" si="29"/>
        <v>2025Cock13</v>
      </c>
      <c r="B2831" s="59">
        <v>2025.0</v>
      </c>
      <c r="C2831" s="13" t="s">
        <v>72</v>
      </c>
      <c r="D2831" s="13" t="s">
        <v>152</v>
      </c>
      <c r="E2831" s="34"/>
      <c r="F2831" s="6"/>
      <c r="H2831" s="6"/>
      <c r="I2831" s="35" t="str">
        <f>IFERROR(IFERROR(IFERROR(VLOOKUP(B2831&amp;C2831&amp;Q2831,'New Weekly Paste'!A:M,10,0),VLOOKUP(B2831&amp;C2831&amp;Q2831,'New Weekly Paste'!B:O,6,0)),""),"")</f>
        <v>Shep</v>
      </c>
      <c r="J2831" s="259">
        <f>IFERROR(IFERROR(VLOOKUP(B2831&amp;C2831&amp;Q2831,'New Weekly Paste'!A:M,8,0),VLOOKUP(B2831&amp;C2831&amp;Q2831,'New Weekly Paste'!B:O,10,0)),0)</f>
        <v>97.1</v>
      </c>
      <c r="K2831" s="259">
        <f>IFERROR(IFERROR(VLOOKUP(B2831&amp;I2831&amp;Q2831,'New Weekly Paste'!A:M,8,0),VLOOKUP(B2831&amp;I2831&amp;Q2831,'New Weekly Paste'!B:O,10,0)),0)</f>
        <v>74.12</v>
      </c>
      <c r="L2831" s="239">
        <f t="shared" si="25"/>
        <v>1</v>
      </c>
      <c r="M2831" s="36" t="str">
        <f t="shared" si="3"/>
        <v>Regular Season</v>
      </c>
      <c r="N2831" s="239" t="str">
        <f t="shared" si="26"/>
        <v>Shep</v>
      </c>
      <c r="O2831" s="6">
        <f>VLOOKUP(D2831,'Mapped Opponent'!$G$4:$H$22,2,0)</f>
        <v>13</v>
      </c>
      <c r="P2831" s="6"/>
      <c r="Q2831" s="6" t="str">
        <f t="shared" si="4"/>
        <v>Week 13</v>
      </c>
      <c r="R2831" s="6" t="str">
        <f t="shared" si="5"/>
        <v>2025Week 13</v>
      </c>
      <c r="S2831" s="6">
        <f>IFERROR(__xludf.DUMMYFUNCTION("rank(J2831,FILTER(J:J,R:R=R2831))"),7.0)</f>
        <v>7</v>
      </c>
      <c r="T2831" s="6">
        <f t="shared" si="6"/>
        <v>5</v>
      </c>
      <c r="U2831" s="6">
        <f t="shared" si="7"/>
        <v>7</v>
      </c>
      <c r="V2831" s="42">
        <f>averageif(AllData!A:A,B2831,AllData!R:R)/vlookup(B2831,AllData!A:O,15,0)</f>
        <v>104.9271429</v>
      </c>
      <c r="W2831" s="6"/>
    </row>
    <row r="2832" ht="14.25" customHeight="1">
      <c r="A2832" s="6" t="str">
        <f t="shared" si="29"/>
        <v>2025Tayski13</v>
      </c>
      <c r="B2832" s="59">
        <v>2025.0</v>
      </c>
      <c r="C2832" s="13" t="s">
        <v>52</v>
      </c>
      <c r="D2832" s="13" t="s">
        <v>152</v>
      </c>
      <c r="E2832" s="34"/>
      <c r="F2832" s="6"/>
      <c r="H2832" s="6"/>
      <c r="I2832" s="35" t="str">
        <f>IFERROR(IFERROR(IFERROR(VLOOKUP(B2832&amp;C2832&amp;Q2832,'New Weekly Paste'!A:M,10,0),VLOOKUP(B2832&amp;C2832&amp;Q2832,'New Weekly Paste'!B:O,6,0)),""),"")</f>
        <v>Hudspeath</v>
      </c>
      <c r="J2832" s="259">
        <f>IFERROR(IFERROR(VLOOKUP(B2832&amp;C2832&amp;Q2832,'New Weekly Paste'!A:M,8,0),VLOOKUP(B2832&amp;C2832&amp;Q2832,'New Weekly Paste'!B:O,10,0)),0)</f>
        <v>102.04</v>
      </c>
      <c r="K2832" s="259">
        <f>IFERROR(IFERROR(VLOOKUP(B2832&amp;I2832&amp;Q2832,'New Weekly Paste'!A:M,8,0),VLOOKUP(B2832&amp;I2832&amp;Q2832,'New Weekly Paste'!B:O,10,0)),0)</f>
        <v>112.74</v>
      </c>
      <c r="L2832" s="239">
        <f t="shared" si="25"/>
        <v>0</v>
      </c>
      <c r="M2832" s="36" t="str">
        <f t="shared" si="3"/>
        <v>Regular Season</v>
      </c>
      <c r="N2832" s="239" t="str">
        <f t="shared" si="26"/>
        <v>Hudspeath</v>
      </c>
      <c r="O2832" s="6">
        <f>VLOOKUP(D2832,'Mapped Opponent'!$G$4:$H$22,2,0)</f>
        <v>13</v>
      </c>
      <c r="P2832" s="6"/>
      <c r="Q2832" s="6" t="str">
        <f t="shared" si="4"/>
        <v>Week 13</v>
      </c>
      <c r="R2832" s="6" t="str">
        <f t="shared" si="5"/>
        <v>2025Week 13</v>
      </c>
      <c r="S2832" s="6">
        <f>IFERROR(__xludf.DUMMYFUNCTION("rank(J2832,FILTER(J:J,R:R=R2832))"),6.0)</f>
        <v>6</v>
      </c>
      <c r="T2832" s="6">
        <f t="shared" si="6"/>
        <v>6</v>
      </c>
      <c r="U2832" s="6">
        <f t="shared" si="7"/>
        <v>6</v>
      </c>
      <c r="V2832" s="42">
        <f>averageif(AllData!A:A,B2832,AllData!R:R)/vlookup(B2832,AllData!A:O,15,0)</f>
        <v>104.9271429</v>
      </c>
      <c r="W2832" s="6"/>
    </row>
    <row r="2833" ht="14.25" customHeight="1">
      <c r="A2833" s="6" t="str">
        <f t="shared" si="29"/>
        <v>2025KnardDawg13</v>
      </c>
      <c r="B2833" s="59">
        <v>2025.0</v>
      </c>
      <c r="C2833" s="13" t="s">
        <v>86</v>
      </c>
      <c r="D2833" s="13" t="s">
        <v>152</v>
      </c>
      <c r="E2833" s="34"/>
      <c r="F2833" s="6"/>
      <c r="H2833" s="6"/>
      <c r="I2833" s="35" t="str">
        <f>IFERROR(IFERROR(IFERROR(VLOOKUP(B2833&amp;C2833&amp;Q2833,'New Weekly Paste'!A:M,10,0),VLOOKUP(B2833&amp;C2833&amp;Q2833,'New Weekly Paste'!B:O,6,0)),""),"")</f>
        <v>Buser</v>
      </c>
      <c r="J2833" s="259">
        <f>IFERROR(IFERROR(VLOOKUP(B2833&amp;C2833&amp;Q2833,'New Weekly Paste'!A:M,8,0),VLOOKUP(B2833&amp;C2833&amp;Q2833,'New Weekly Paste'!B:O,10,0)),0)</f>
        <v>74.14</v>
      </c>
      <c r="K2833" s="259">
        <f>IFERROR(IFERROR(VLOOKUP(B2833&amp;I2833&amp;Q2833,'New Weekly Paste'!A:M,8,0),VLOOKUP(B2833&amp;I2833&amp;Q2833,'New Weekly Paste'!B:O,10,0)),0)</f>
        <v>140</v>
      </c>
      <c r="L2833" s="239">
        <f t="shared" si="25"/>
        <v>0</v>
      </c>
      <c r="M2833" s="36" t="str">
        <f t="shared" si="3"/>
        <v>Regular Season</v>
      </c>
      <c r="N2833" s="239" t="str">
        <f t="shared" si="26"/>
        <v>Buser</v>
      </c>
      <c r="O2833" s="6">
        <f>VLOOKUP(D2833,'Mapped Opponent'!$G$4:$H$22,2,0)</f>
        <v>13</v>
      </c>
      <c r="P2833" s="6"/>
      <c r="Q2833" s="6" t="str">
        <f t="shared" si="4"/>
        <v>Week 13</v>
      </c>
      <c r="R2833" s="6" t="str">
        <f t="shared" si="5"/>
        <v>2025Week 13</v>
      </c>
      <c r="S2833" s="6">
        <f>IFERROR(__xludf.DUMMYFUNCTION("rank(J2833,FILTER(J:J,R:R=R2833))"),10.0)</f>
        <v>10</v>
      </c>
      <c r="T2833" s="6">
        <f t="shared" si="6"/>
        <v>2</v>
      </c>
      <c r="U2833" s="6">
        <f t="shared" si="7"/>
        <v>10</v>
      </c>
      <c r="V2833" s="42">
        <f>averageif(AllData!A:A,B2833,AllData!R:R)/vlookup(B2833,AllData!A:O,15,0)</f>
        <v>104.9271429</v>
      </c>
      <c r="W2833" s="6"/>
    </row>
    <row r="2834" ht="14.25" customHeight="1">
      <c r="A2834" s="6" t="str">
        <f t="shared" si="29"/>
        <v>2025T-How13</v>
      </c>
      <c r="B2834" s="59">
        <v>2025.0</v>
      </c>
      <c r="C2834" s="13" t="s">
        <v>82</v>
      </c>
      <c r="D2834" s="13" t="s">
        <v>152</v>
      </c>
      <c r="E2834" s="34"/>
      <c r="F2834" s="6"/>
      <c r="H2834" s="6"/>
      <c r="I2834" s="35" t="str">
        <f>IFERROR(IFERROR(IFERROR(VLOOKUP(B2834&amp;C2834&amp;Q2834,'New Weekly Paste'!A:M,10,0),VLOOKUP(B2834&amp;C2834&amp;Q2834,'New Weekly Paste'!B:O,6,0)),""),"")</f>
        <v>Ewert</v>
      </c>
      <c r="J2834" s="259">
        <f>IFERROR(IFERROR(VLOOKUP(B2834&amp;C2834&amp;Q2834,'New Weekly Paste'!A:M,8,0),VLOOKUP(B2834&amp;C2834&amp;Q2834,'New Weekly Paste'!B:O,10,0)),0)</f>
        <v>81.22</v>
      </c>
      <c r="K2834" s="259">
        <f>IFERROR(IFERROR(VLOOKUP(B2834&amp;I2834&amp;Q2834,'New Weekly Paste'!A:M,8,0),VLOOKUP(B2834&amp;I2834&amp;Q2834,'New Weekly Paste'!B:O,10,0)),0)</f>
        <v>67.26</v>
      </c>
      <c r="L2834" s="239">
        <f t="shared" si="25"/>
        <v>1</v>
      </c>
      <c r="M2834" s="36" t="str">
        <f t="shared" si="3"/>
        <v>Regular Season</v>
      </c>
      <c r="N2834" s="239" t="str">
        <f t="shared" si="26"/>
        <v>Ewert</v>
      </c>
      <c r="O2834" s="6">
        <f>VLOOKUP(D2834,'Mapped Opponent'!$G$4:$H$22,2,0)</f>
        <v>13</v>
      </c>
      <c r="P2834" s="6"/>
      <c r="Q2834" s="6" t="str">
        <f t="shared" si="4"/>
        <v>Week 13</v>
      </c>
      <c r="R2834" s="6" t="str">
        <f t="shared" si="5"/>
        <v>2025Week 13</v>
      </c>
      <c r="S2834" s="6">
        <f>IFERROR(__xludf.DUMMYFUNCTION("rank(J2834,FILTER(J:J,R:R=R2834))"),9.0)</f>
        <v>9</v>
      </c>
      <c r="T2834" s="6">
        <f t="shared" si="6"/>
        <v>3</v>
      </c>
      <c r="U2834" s="6">
        <f t="shared" si="7"/>
        <v>9</v>
      </c>
      <c r="V2834" s="42">
        <f>averageif(AllData!A:A,B2834,AllData!R:R)/vlookup(B2834,AllData!A:O,15,0)</f>
        <v>104.9271429</v>
      </c>
      <c r="W2834" s="6"/>
    </row>
    <row r="2835" ht="14.25" customHeight="1">
      <c r="A2835" s="6" t="str">
        <f t="shared" si="29"/>
        <v>2025Hudspeath14</v>
      </c>
      <c r="B2835" s="59">
        <v>2025.0</v>
      </c>
      <c r="C2835" s="13" t="s">
        <v>39</v>
      </c>
      <c r="D2835" s="13" t="s">
        <v>156</v>
      </c>
      <c r="E2835" s="34"/>
      <c r="F2835" s="6"/>
      <c r="H2835" s="6"/>
      <c r="I2835" s="35" t="str">
        <f>IFERROR(IFERROR(IFERROR(VLOOKUP(B2835&amp;C2835&amp;Q2835,'New Weekly Paste'!A:M,10,0),VLOOKUP(B2835&amp;C2835&amp;Q2835,'New Weekly Paste'!B:O,6,0)),""),"")</f>
        <v>Shep</v>
      </c>
      <c r="J2835" s="259">
        <f>IFERROR(IFERROR(VLOOKUP(B2835&amp;C2835&amp;Q2835,'New Weekly Paste'!A:M,8,0),VLOOKUP(B2835&amp;C2835&amp;Q2835,'New Weekly Paste'!B:O,10,0)),0)</f>
        <v>106.26</v>
      </c>
      <c r="K2835" s="259">
        <f>IFERROR(IFERROR(VLOOKUP(B2835&amp;I2835&amp;Q2835,'New Weekly Paste'!A:M,8,0),VLOOKUP(B2835&amp;I2835&amp;Q2835,'New Weekly Paste'!B:O,10,0)),0)</f>
        <v>97.58</v>
      </c>
      <c r="L2835" s="239">
        <f t="shared" si="25"/>
        <v>1</v>
      </c>
      <c r="M2835" s="36" t="str">
        <f t="shared" si="3"/>
        <v>Regular Season</v>
      </c>
      <c r="N2835" s="239" t="str">
        <f t="shared" si="26"/>
        <v>Shep</v>
      </c>
      <c r="O2835" s="6">
        <f>VLOOKUP(D2835,'Mapped Opponent'!$G$4:$H$22,2,0)</f>
        <v>14</v>
      </c>
      <c r="P2835" s="6"/>
      <c r="Q2835" s="6" t="str">
        <f t="shared" si="4"/>
        <v>Week 14</v>
      </c>
      <c r="R2835" s="6" t="str">
        <f t="shared" si="5"/>
        <v>2025Week 14</v>
      </c>
      <c r="S2835" s="6">
        <f>IFERROR(__xludf.DUMMYFUNCTION("rank(J2835,FILTER(J:J,R:R=R2835))"),5.0)</f>
        <v>5</v>
      </c>
      <c r="T2835" s="6">
        <f t="shared" si="6"/>
        <v>7</v>
      </c>
      <c r="U2835" s="6">
        <f t="shared" si="7"/>
        <v>5</v>
      </c>
      <c r="V2835" s="42">
        <f>averageif(AllData!A:A,B2835,AllData!R:R)/vlookup(B2835,AllData!A:O,15,0)</f>
        <v>104.9271429</v>
      </c>
      <c r="W2835" s="6"/>
    </row>
    <row r="2836" ht="14.25" customHeight="1">
      <c r="A2836" s="6" t="str">
        <f t="shared" si="29"/>
        <v>2025Salty14</v>
      </c>
      <c r="B2836" s="59">
        <v>2025.0</v>
      </c>
      <c r="C2836" s="13" t="s">
        <v>76</v>
      </c>
      <c r="D2836" s="13" t="s">
        <v>156</v>
      </c>
      <c r="E2836" s="34"/>
      <c r="F2836" s="6"/>
      <c r="H2836" s="6"/>
      <c r="I2836" s="35" t="str">
        <f>IFERROR(IFERROR(IFERROR(VLOOKUP(B2836&amp;C2836&amp;Q2836,'New Weekly Paste'!A:M,10,0),VLOOKUP(B2836&amp;C2836&amp;Q2836,'New Weekly Paste'!B:O,6,0)),""),"")</f>
        <v>Tayski</v>
      </c>
      <c r="J2836" s="259">
        <f>IFERROR(IFERROR(VLOOKUP(B2836&amp;C2836&amp;Q2836,'New Weekly Paste'!A:M,8,0),VLOOKUP(B2836&amp;C2836&amp;Q2836,'New Weekly Paste'!B:O,10,0)),0)</f>
        <v>114.66</v>
      </c>
      <c r="K2836" s="259">
        <f>IFERROR(IFERROR(VLOOKUP(B2836&amp;I2836&amp;Q2836,'New Weekly Paste'!A:M,8,0),VLOOKUP(B2836&amp;I2836&amp;Q2836,'New Weekly Paste'!B:O,10,0)),0)</f>
        <v>53.82</v>
      </c>
      <c r="L2836" s="239">
        <f t="shared" si="25"/>
        <v>1</v>
      </c>
      <c r="M2836" s="36" t="str">
        <f t="shared" si="3"/>
        <v>Regular Season</v>
      </c>
      <c r="N2836" s="239" t="str">
        <f t="shared" si="26"/>
        <v>Tayski</v>
      </c>
      <c r="O2836" s="6">
        <f>VLOOKUP(D2836,'Mapped Opponent'!$G$4:$H$22,2,0)</f>
        <v>14</v>
      </c>
      <c r="P2836" s="6"/>
      <c r="Q2836" s="6" t="str">
        <f t="shared" si="4"/>
        <v>Week 14</v>
      </c>
      <c r="R2836" s="6" t="str">
        <f t="shared" si="5"/>
        <v>2025Week 14</v>
      </c>
      <c r="S2836" s="6">
        <f>IFERROR(__xludf.DUMMYFUNCTION("rank(J2836,FILTER(J:J,R:R=R2836))"),3.0)</f>
        <v>3</v>
      </c>
      <c r="T2836" s="6">
        <f t="shared" si="6"/>
        <v>9</v>
      </c>
      <c r="U2836" s="6">
        <f t="shared" si="7"/>
        <v>3</v>
      </c>
      <c r="V2836" s="42">
        <f>averageif(AllData!A:A,B2836,AllData!R:R)/vlookup(B2836,AllData!A:O,15,0)</f>
        <v>104.9271429</v>
      </c>
      <c r="W2836" s="6"/>
    </row>
    <row r="2837" ht="14.25" customHeight="1">
      <c r="A2837" s="6" t="str">
        <f t="shared" si="29"/>
        <v>2025Ewert14</v>
      </c>
      <c r="B2837" s="59">
        <v>2025.0</v>
      </c>
      <c r="C2837" s="13" t="s">
        <v>108</v>
      </c>
      <c r="D2837" s="13" t="s">
        <v>156</v>
      </c>
      <c r="E2837" s="34"/>
      <c r="F2837" s="6"/>
      <c r="H2837" s="6"/>
      <c r="I2837" s="35" t="str">
        <f>IFERROR(IFERROR(IFERROR(VLOOKUP(B2837&amp;C2837&amp;Q2837,'New Weekly Paste'!A:M,10,0),VLOOKUP(B2837&amp;C2837&amp;Q2837,'New Weekly Paste'!B:O,6,0)),""),"")</f>
        <v>KnardDawg</v>
      </c>
      <c r="J2837" s="259">
        <f>IFERROR(IFERROR(VLOOKUP(B2837&amp;C2837&amp;Q2837,'New Weekly Paste'!A:M,8,0),VLOOKUP(B2837&amp;C2837&amp;Q2837,'New Weekly Paste'!B:O,10,0)),0)</f>
        <v>106.74</v>
      </c>
      <c r="K2837" s="259">
        <f>IFERROR(IFERROR(VLOOKUP(B2837&amp;I2837&amp;Q2837,'New Weekly Paste'!A:M,8,0),VLOOKUP(B2837&amp;I2837&amp;Q2837,'New Weekly Paste'!B:O,10,0)),0)</f>
        <v>97.96</v>
      </c>
      <c r="L2837" s="239">
        <f t="shared" si="25"/>
        <v>1</v>
      </c>
      <c r="M2837" s="36" t="str">
        <f t="shared" si="3"/>
        <v>Regular Season</v>
      </c>
      <c r="N2837" s="239" t="str">
        <f t="shared" si="26"/>
        <v>KnardDawg</v>
      </c>
      <c r="O2837" s="6">
        <f>VLOOKUP(D2837,'Mapped Opponent'!$G$4:$H$22,2,0)</f>
        <v>14</v>
      </c>
      <c r="P2837" s="6"/>
      <c r="Q2837" s="6" t="str">
        <f t="shared" si="4"/>
        <v>Week 14</v>
      </c>
      <c r="R2837" s="6" t="str">
        <f t="shared" si="5"/>
        <v>2025Week 14</v>
      </c>
      <c r="S2837" s="6">
        <f>IFERROR(__xludf.DUMMYFUNCTION("rank(J2837,FILTER(J:J,R:R=R2837))"),4.0)</f>
        <v>4</v>
      </c>
      <c r="T2837" s="6">
        <f t="shared" si="6"/>
        <v>8</v>
      </c>
      <c r="U2837" s="6">
        <f t="shared" si="7"/>
        <v>4</v>
      </c>
      <c r="V2837" s="42">
        <f>averageif(AllData!A:A,B2837,AllData!R:R)/vlookup(B2837,AllData!A:O,15,0)</f>
        <v>104.9271429</v>
      </c>
      <c r="W2837" s="6"/>
    </row>
    <row r="2838" ht="14.25" customHeight="1">
      <c r="A2838" s="6" t="str">
        <f t="shared" si="29"/>
        <v>2025Shep14</v>
      </c>
      <c r="B2838" s="59">
        <v>2025.0</v>
      </c>
      <c r="C2838" s="13" t="s">
        <v>89</v>
      </c>
      <c r="D2838" s="13" t="s">
        <v>156</v>
      </c>
      <c r="E2838" s="34"/>
      <c r="F2838" s="6"/>
      <c r="H2838" s="6"/>
      <c r="I2838" s="35" t="str">
        <f>IFERROR(IFERROR(IFERROR(VLOOKUP(B2838&amp;C2838&amp;Q2838,'New Weekly Paste'!A:M,10,0),VLOOKUP(B2838&amp;C2838&amp;Q2838,'New Weekly Paste'!B:O,6,0)),""),"")</f>
        <v>Hudspeath</v>
      </c>
      <c r="J2838" s="259">
        <f>IFERROR(IFERROR(VLOOKUP(B2838&amp;C2838&amp;Q2838,'New Weekly Paste'!A:M,8,0),VLOOKUP(B2838&amp;C2838&amp;Q2838,'New Weekly Paste'!B:O,10,0)),0)</f>
        <v>97.58</v>
      </c>
      <c r="K2838" s="259">
        <f>IFERROR(IFERROR(VLOOKUP(B2838&amp;I2838&amp;Q2838,'New Weekly Paste'!A:M,8,0),VLOOKUP(B2838&amp;I2838&amp;Q2838,'New Weekly Paste'!B:O,10,0)),0)</f>
        <v>106.26</v>
      </c>
      <c r="L2838" s="239">
        <f t="shared" si="25"/>
        <v>0</v>
      </c>
      <c r="M2838" s="36" t="str">
        <f t="shared" si="3"/>
        <v>Regular Season</v>
      </c>
      <c r="N2838" s="239" t="str">
        <f t="shared" si="26"/>
        <v>Hudspeath</v>
      </c>
      <c r="O2838" s="6">
        <f>VLOOKUP(D2838,'Mapped Opponent'!$G$4:$H$22,2,0)</f>
        <v>14</v>
      </c>
      <c r="P2838" s="6"/>
      <c r="Q2838" s="6" t="str">
        <f t="shared" si="4"/>
        <v>Week 14</v>
      </c>
      <c r="R2838" s="6" t="str">
        <f t="shared" si="5"/>
        <v>2025Week 14</v>
      </c>
      <c r="S2838" s="6">
        <f>IFERROR(__xludf.DUMMYFUNCTION("rank(J2838,FILTER(J:J,R:R=R2838))"),7.0)</f>
        <v>7</v>
      </c>
      <c r="T2838" s="6">
        <f t="shared" si="6"/>
        <v>5</v>
      </c>
      <c r="U2838" s="6">
        <f t="shared" si="7"/>
        <v>7</v>
      </c>
      <c r="V2838" s="42">
        <f>averageif(AllData!A:A,B2838,AllData!R:R)/vlookup(B2838,AllData!A:O,15,0)</f>
        <v>104.9271429</v>
      </c>
      <c r="W2838" s="6"/>
    </row>
    <row r="2839" ht="14.25" customHeight="1">
      <c r="A2839" s="6" t="str">
        <f t="shared" si="29"/>
        <v>2025Riley14</v>
      </c>
      <c r="B2839" s="59">
        <v>2025.0</v>
      </c>
      <c r="C2839" s="13" t="s">
        <v>67</v>
      </c>
      <c r="D2839" s="13" t="s">
        <v>156</v>
      </c>
      <c r="E2839" s="34"/>
      <c r="F2839" s="6"/>
      <c r="H2839" s="6"/>
      <c r="I2839" s="35" t="str">
        <f>IFERROR(IFERROR(IFERROR(VLOOKUP(B2839&amp;C2839&amp;Q2839,'New Weekly Paste'!A:M,10,0),VLOOKUP(B2839&amp;C2839&amp;Q2839,'New Weekly Paste'!B:O,6,0)),""),"")</f>
        <v>T-How</v>
      </c>
      <c r="J2839" s="259">
        <f>IFERROR(IFERROR(VLOOKUP(B2839&amp;C2839&amp;Q2839,'New Weekly Paste'!A:M,8,0),VLOOKUP(B2839&amp;C2839&amp;Q2839,'New Weekly Paste'!B:O,10,0)),0)</f>
        <v>88.86</v>
      </c>
      <c r="K2839" s="259">
        <f>IFERROR(IFERROR(VLOOKUP(B2839&amp;I2839&amp;Q2839,'New Weekly Paste'!A:M,8,0),VLOOKUP(B2839&amp;I2839&amp;Q2839,'New Weekly Paste'!B:O,10,0)),0)</f>
        <v>127.34</v>
      </c>
      <c r="L2839" s="239">
        <f t="shared" si="25"/>
        <v>0</v>
      </c>
      <c r="M2839" s="36" t="str">
        <f t="shared" si="3"/>
        <v>Regular Season</v>
      </c>
      <c r="N2839" s="239" t="str">
        <f t="shared" si="26"/>
        <v>T-How</v>
      </c>
      <c r="O2839" s="6">
        <f>VLOOKUP(D2839,'Mapped Opponent'!$G$4:$H$22,2,0)</f>
        <v>14</v>
      </c>
      <c r="P2839" s="6"/>
      <c r="Q2839" s="6" t="str">
        <f t="shared" si="4"/>
        <v>Week 14</v>
      </c>
      <c r="R2839" s="6" t="str">
        <f t="shared" si="5"/>
        <v>2025Week 14</v>
      </c>
      <c r="S2839" s="6">
        <f>IFERROR(__xludf.DUMMYFUNCTION("rank(J2839,FILTER(J:J,R:R=R2839))"),8.0)</f>
        <v>8</v>
      </c>
      <c r="T2839" s="6">
        <f t="shared" si="6"/>
        <v>4</v>
      </c>
      <c r="U2839" s="6">
        <f t="shared" si="7"/>
        <v>8</v>
      </c>
      <c r="V2839" s="42">
        <f>averageif(AllData!A:A,B2839,AllData!R:R)/vlookup(B2839,AllData!A:O,15,0)</f>
        <v>104.9271429</v>
      </c>
      <c r="W2839" s="6"/>
    </row>
    <row r="2840" ht="14.25" customHeight="1">
      <c r="A2840" s="6" t="str">
        <f t="shared" si="29"/>
        <v>2025Rooney/Jackson14</v>
      </c>
      <c r="B2840" s="59">
        <v>2025.0</v>
      </c>
      <c r="C2840" s="13" t="s">
        <v>57</v>
      </c>
      <c r="D2840" s="13" t="s">
        <v>156</v>
      </c>
      <c r="E2840" s="34"/>
      <c r="F2840" s="6"/>
      <c r="H2840" s="6"/>
      <c r="I2840" s="35" t="str">
        <f>IFERROR(IFERROR(IFERROR(VLOOKUP(B2840&amp;C2840&amp;Q2840,'New Weekly Paste'!A:M,10,0),VLOOKUP(B2840&amp;C2840&amp;Q2840,'New Weekly Paste'!B:O,6,0)),""),"")</f>
        <v>Buser</v>
      </c>
      <c r="J2840" s="259">
        <f>IFERROR(IFERROR(VLOOKUP(B2840&amp;C2840&amp;Q2840,'New Weekly Paste'!A:M,8,0),VLOOKUP(B2840&amp;C2840&amp;Q2840,'New Weekly Paste'!B:O,10,0)),0)</f>
        <v>148.96</v>
      </c>
      <c r="K2840" s="259">
        <f>IFERROR(IFERROR(VLOOKUP(B2840&amp;I2840&amp;Q2840,'New Weekly Paste'!A:M,8,0),VLOOKUP(B2840&amp;I2840&amp;Q2840,'New Weekly Paste'!B:O,10,0)),0)</f>
        <v>67.54</v>
      </c>
      <c r="L2840" s="239">
        <f t="shared" si="25"/>
        <v>1</v>
      </c>
      <c r="M2840" s="36" t="str">
        <f t="shared" si="3"/>
        <v>Regular Season</v>
      </c>
      <c r="N2840" s="239" t="str">
        <f t="shared" si="26"/>
        <v>Buser</v>
      </c>
      <c r="O2840" s="6">
        <f>VLOOKUP(D2840,'Mapped Opponent'!$G$4:$H$22,2,0)</f>
        <v>14</v>
      </c>
      <c r="P2840" s="6"/>
      <c r="Q2840" s="6" t="str">
        <f t="shared" si="4"/>
        <v>Week 14</v>
      </c>
      <c r="R2840" s="6" t="str">
        <f t="shared" si="5"/>
        <v>2025Week 14</v>
      </c>
      <c r="S2840" s="6">
        <f>IFERROR(__xludf.DUMMYFUNCTION("rank(J2840,FILTER(J:J,R:R=R2840))"),1.0)</f>
        <v>1</v>
      </c>
      <c r="T2840" s="6">
        <f t="shared" si="6"/>
        <v>11</v>
      </c>
      <c r="U2840" s="6">
        <f t="shared" si="7"/>
        <v>1</v>
      </c>
      <c r="V2840" s="42">
        <f>averageif(AllData!A:A,B2840,AllData!R:R)/vlookup(B2840,AllData!A:O,15,0)</f>
        <v>104.9271429</v>
      </c>
      <c r="W2840" s="6"/>
    </row>
    <row r="2841" ht="14.25" customHeight="1">
      <c r="A2841" s="6" t="str">
        <f t="shared" si="29"/>
        <v>2025Buser14</v>
      </c>
      <c r="B2841" s="59">
        <v>2025.0</v>
      </c>
      <c r="C2841" s="13" t="s">
        <v>47</v>
      </c>
      <c r="D2841" s="13" t="s">
        <v>156</v>
      </c>
      <c r="E2841" s="34"/>
      <c r="F2841" s="6"/>
      <c r="H2841" s="6"/>
      <c r="I2841" s="35" t="str">
        <f>IFERROR(IFERROR(IFERROR(VLOOKUP(B2841&amp;C2841&amp;Q2841,'New Weekly Paste'!A:M,10,0),VLOOKUP(B2841&amp;C2841&amp;Q2841,'New Weekly Paste'!B:O,6,0)),""),"")</f>
        <v>Rooney/Jackson</v>
      </c>
      <c r="J2841" s="259">
        <f>IFERROR(IFERROR(VLOOKUP(B2841&amp;C2841&amp;Q2841,'New Weekly Paste'!A:M,8,0),VLOOKUP(B2841&amp;C2841&amp;Q2841,'New Weekly Paste'!B:O,10,0)),0)</f>
        <v>67.54</v>
      </c>
      <c r="K2841" s="259">
        <f>IFERROR(IFERROR(VLOOKUP(B2841&amp;I2841&amp;Q2841,'New Weekly Paste'!A:M,8,0),VLOOKUP(B2841&amp;I2841&amp;Q2841,'New Weekly Paste'!B:O,10,0)),0)</f>
        <v>148.96</v>
      </c>
      <c r="L2841" s="239">
        <f t="shared" si="25"/>
        <v>0</v>
      </c>
      <c r="M2841" s="36" t="str">
        <f t="shared" si="3"/>
        <v>Regular Season</v>
      </c>
      <c r="N2841" s="239" t="str">
        <f t="shared" si="26"/>
        <v>Rooney/Jackson</v>
      </c>
      <c r="O2841" s="6">
        <f>VLOOKUP(D2841,'Mapped Opponent'!$G$4:$H$22,2,0)</f>
        <v>14</v>
      </c>
      <c r="P2841" s="6"/>
      <c r="Q2841" s="6" t="str">
        <f t="shared" si="4"/>
        <v>Week 14</v>
      </c>
      <c r="R2841" s="6" t="str">
        <f t="shared" si="5"/>
        <v>2025Week 14</v>
      </c>
      <c r="S2841" s="6">
        <f>IFERROR(__xludf.DUMMYFUNCTION("rank(J2841,FILTER(J:J,R:R=R2841))"),11.0)</f>
        <v>11</v>
      </c>
      <c r="T2841" s="6">
        <f t="shared" si="6"/>
        <v>1</v>
      </c>
      <c r="U2841" s="6">
        <f t="shared" si="7"/>
        <v>11</v>
      </c>
      <c r="V2841" s="42">
        <f>averageif(AllData!A:A,B2841,AllData!R:R)/vlookup(B2841,AllData!A:O,15,0)</f>
        <v>104.9271429</v>
      </c>
      <c r="W2841" s="6"/>
    </row>
    <row r="2842" ht="14.25" customHeight="1">
      <c r="A2842" s="6" t="str">
        <f t="shared" si="29"/>
        <v>2025Pierson14</v>
      </c>
      <c r="B2842" s="59">
        <v>2025.0</v>
      </c>
      <c r="C2842" s="13" t="s">
        <v>92</v>
      </c>
      <c r="D2842" s="13" t="s">
        <v>156</v>
      </c>
      <c r="E2842" s="34"/>
      <c r="F2842" s="6"/>
      <c r="H2842" s="6"/>
      <c r="I2842" s="35" t="str">
        <f>IFERROR(IFERROR(IFERROR(VLOOKUP(B2842&amp;C2842&amp;Q2842,'New Weekly Paste'!A:M,10,0),VLOOKUP(B2842&amp;C2842&amp;Q2842,'New Weekly Paste'!B:O,6,0)),""),"")</f>
        <v>Cock</v>
      </c>
      <c r="J2842" s="259">
        <f>IFERROR(IFERROR(VLOOKUP(B2842&amp;C2842&amp;Q2842,'New Weekly Paste'!A:M,8,0),VLOOKUP(B2842&amp;C2842&amp;Q2842,'New Weekly Paste'!B:O,10,0)),0)</f>
        <v>78.7</v>
      </c>
      <c r="K2842" s="259">
        <f>IFERROR(IFERROR(VLOOKUP(B2842&amp;I2842&amp;Q2842,'New Weekly Paste'!A:M,8,0),VLOOKUP(B2842&amp;I2842&amp;Q2842,'New Weekly Paste'!B:O,10,0)),0)</f>
        <v>76</v>
      </c>
      <c r="L2842" s="239">
        <f t="shared" si="25"/>
        <v>1</v>
      </c>
      <c r="M2842" s="36" t="str">
        <f t="shared" si="3"/>
        <v>Regular Season</v>
      </c>
      <c r="N2842" s="239" t="str">
        <f t="shared" si="26"/>
        <v>Cock</v>
      </c>
      <c r="O2842" s="6">
        <f>VLOOKUP(D2842,'Mapped Opponent'!$G$4:$H$22,2,0)</f>
        <v>14</v>
      </c>
      <c r="P2842" s="6"/>
      <c r="Q2842" s="6" t="str">
        <f t="shared" si="4"/>
        <v>Week 14</v>
      </c>
      <c r="R2842" s="6" t="str">
        <f t="shared" si="5"/>
        <v>2025Week 14</v>
      </c>
      <c r="S2842" s="6">
        <f>IFERROR(__xludf.DUMMYFUNCTION("rank(J2842,FILTER(J:J,R:R=R2842))"),9.0)</f>
        <v>9</v>
      </c>
      <c r="T2842" s="6">
        <f t="shared" si="6"/>
        <v>3</v>
      </c>
      <c r="U2842" s="6">
        <f t="shared" si="7"/>
        <v>9</v>
      </c>
      <c r="V2842" s="42">
        <f>averageif(AllData!A:A,B2842,AllData!R:R)/vlookup(B2842,AllData!A:O,15,0)</f>
        <v>104.9271429</v>
      </c>
      <c r="W2842" s="6"/>
    </row>
    <row r="2843" ht="14.25" customHeight="1">
      <c r="A2843" s="6" t="str">
        <f t="shared" si="29"/>
        <v>2025Cock14</v>
      </c>
      <c r="B2843" s="59">
        <v>2025.0</v>
      </c>
      <c r="C2843" s="13" t="s">
        <v>72</v>
      </c>
      <c r="D2843" s="13" t="s">
        <v>156</v>
      </c>
      <c r="E2843" s="34"/>
      <c r="F2843" s="6"/>
      <c r="H2843" s="6"/>
      <c r="I2843" s="35" t="str">
        <f>IFERROR(IFERROR(IFERROR(VLOOKUP(B2843&amp;C2843&amp;Q2843,'New Weekly Paste'!A:M,10,0),VLOOKUP(B2843&amp;C2843&amp;Q2843,'New Weekly Paste'!B:O,6,0)),""),"")</f>
        <v>Pierson</v>
      </c>
      <c r="J2843" s="259">
        <f>IFERROR(IFERROR(VLOOKUP(B2843&amp;C2843&amp;Q2843,'New Weekly Paste'!A:M,8,0),VLOOKUP(B2843&amp;C2843&amp;Q2843,'New Weekly Paste'!B:O,10,0)),0)</f>
        <v>76</v>
      </c>
      <c r="K2843" s="259">
        <f>IFERROR(IFERROR(VLOOKUP(B2843&amp;I2843&amp;Q2843,'New Weekly Paste'!A:M,8,0),VLOOKUP(B2843&amp;I2843&amp;Q2843,'New Weekly Paste'!B:O,10,0)),0)</f>
        <v>78.7</v>
      </c>
      <c r="L2843" s="239">
        <f t="shared" si="25"/>
        <v>0</v>
      </c>
      <c r="M2843" s="36" t="str">
        <f t="shared" si="3"/>
        <v>Regular Season</v>
      </c>
      <c r="N2843" s="239" t="str">
        <f t="shared" si="26"/>
        <v>Pierson</v>
      </c>
      <c r="O2843" s="6">
        <f>VLOOKUP(D2843,'Mapped Opponent'!$G$4:$H$22,2,0)</f>
        <v>14</v>
      </c>
      <c r="P2843" s="6"/>
      <c r="Q2843" s="6" t="str">
        <f t="shared" si="4"/>
        <v>Week 14</v>
      </c>
      <c r="R2843" s="6" t="str">
        <f t="shared" si="5"/>
        <v>2025Week 14</v>
      </c>
      <c r="S2843" s="6">
        <f>IFERROR(__xludf.DUMMYFUNCTION("rank(J2843,FILTER(J:J,R:R=R2843))"),10.0)</f>
        <v>10</v>
      </c>
      <c r="T2843" s="6">
        <f t="shared" si="6"/>
        <v>2</v>
      </c>
      <c r="U2843" s="6">
        <f t="shared" si="7"/>
        <v>10</v>
      </c>
      <c r="V2843" s="42">
        <f>averageif(AllData!A:A,B2843,AllData!R:R)/vlookup(B2843,AllData!A:O,15,0)</f>
        <v>104.9271429</v>
      </c>
      <c r="W2843" s="6"/>
    </row>
    <row r="2844" ht="14.25" customHeight="1">
      <c r="A2844" s="6" t="str">
        <f t="shared" si="29"/>
        <v>2025Tayski14</v>
      </c>
      <c r="B2844" s="59">
        <v>2025.0</v>
      </c>
      <c r="C2844" s="13" t="s">
        <v>52</v>
      </c>
      <c r="D2844" s="13" t="s">
        <v>156</v>
      </c>
      <c r="E2844" s="34"/>
      <c r="F2844" s="6"/>
      <c r="H2844" s="6"/>
      <c r="I2844" s="35" t="str">
        <f>IFERROR(IFERROR(IFERROR(VLOOKUP(B2844&amp;C2844&amp;Q2844,'New Weekly Paste'!A:M,10,0),VLOOKUP(B2844&amp;C2844&amp;Q2844,'New Weekly Paste'!B:O,6,0)),""),"")</f>
        <v>Salty</v>
      </c>
      <c r="J2844" s="259">
        <f>IFERROR(IFERROR(VLOOKUP(B2844&amp;C2844&amp;Q2844,'New Weekly Paste'!A:M,8,0),VLOOKUP(B2844&amp;C2844&amp;Q2844,'New Weekly Paste'!B:O,10,0)),0)</f>
        <v>53.82</v>
      </c>
      <c r="K2844" s="259">
        <f>IFERROR(IFERROR(VLOOKUP(B2844&amp;I2844&amp;Q2844,'New Weekly Paste'!A:M,8,0),VLOOKUP(B2844&amp;I2844&amp;Q2844,'New Weekly Paste'!B:O,10,0)),0)</f>
        <v>114.66</v>
      </c>
      <c r="L2844" s="239">
        <f t="shared" si="25"/>
        <v>0</v>
      </c>
      <c r="M2844" s="36" t="str">
        <f t="shared" si="3"/>
        <v>Regular Season</v>
      </c>
      <c r="N2844" s="239" t="str">
        <f t="shared" si="26"/>
        <v>Salty</v>
      </c>
      <c r="O2844" s="6">
        <f>VLOOKUP(D2844,'Mapped Opponent'!$G$4:$H$22,2,0)</f>
        <v>14</v>
      </c>
      <c r="P2844" s="6"/>
      <c r="Q2844" s="6" t="str">
        <f t="shared" si="4"/>
        <v>Week 14</v>
      </c>
      <c r="R2844" s="6" t="str">
        <f t="shared" si="5"/>
        <v>2025Week 14</v>
      </c>
      <c r="S2844" s="6">
        <f>IFERROR(__xludf.DUMMYFUNCTION("rank(J2844,FILTER(J:J,R:R=R2844))"),12.0)</f>
        <v>12</v>
      </c>
      <c r="T2844" s="6">
        <f t="shared" si="6"/>
        <v>0</v>
      </c>
      <c r="U2844" s="6">
        <f t="shared" si="7"/>
        <v>12</v>
      </c>
      <c r="V2844" s="42">
        <f>averageif(AllData!A:A,B2844,AllData!R:R)/vlookup(B2844,AllData!A:O,15,0)</f>
        <v>104.9271429</v>
      </c>
      <c r="W2844" s="6"/>
    </row>
    <row r="2845" ht="14.25" customHeight="1">
      <c r="A2845" s="6" t="str">
        <f t="shared" si="29"/>
        <v>2025KnardDawg14</v>
      </c>
      <c r="B2845" s="59">
        <v>2025.0</v>
      </c>
      <c r="C2845" s="13" t="s">
        <v>86</v>
      </c>
      <c r="D2845" s="13" t="s">
        <v>156</v>
      </c>
      <c r="E2845" s="34"/>
      <c r="F2845" s="6"/>
      <c r="H2845" s="6"/>
      <c r="I2845" s="35" t="str">
        <f>IFERROR(IFERROR(IFERROR(VLOOKUP(B2845&amp;C2845&amp;Q2845,'New Weekly Paste'!A:M,10,0),VLOOKUP(B2845&amp;C2845&amp;Q2845,'New Weekly Paste'!B:O,6,0)),""),"")</f>
        <v>Ewert</v>
      </c>
      <c r="J2845" s="259">
        <f>IFERROR(IFERROR(VLOOKUP(B2845&amp;C2845&amp;Q2845,'New Weekly Paste'!A:M,8,0),VLOOKUP(B2845&amp;C2845&amp;Q2845,'New Weekly Paste'!B:O,10,0)),0)</f>
        <v>97.96</v>
      </c>
      <c r="K2845" s="259">
        <f>IFERROR(IFERROR(VLOOKUP(B2845&amp;I2845&amp;Q2845,'New Weekly Paste'!A:M,8,0),VLOOKUP(B2845&amp;I2845&amp;Q2845,'New Weekly Paste'!B:O,10,0)),0)</f>
        <v>106.74</v>
      </c>
      <c r="L2845" s="239">
        <f t="shared" si="25"/>
        <v>0</v>
      </c>
      <c r="M2845" s="36" t="str">
        <f t="shared" si="3"/>
        <v>Regular Season</v>
      </c>
      <c r="N2845" s="239" t="str">
        <f t="shared" si="26"/>
        <v>Ewert</v>
      </c>
      <c r="O2845" s="6">
        <f>VLOOKUP(D2845,'Mapped Opponent'!$G$4:$H$22,2,0)</f>
        <v>14</v>
      </c>
      <c r="P2845" s="6"/>
      <c r="Q2845" s="6" t="str">
        <f t="shared" si="4"/>
        <v>Week 14</v>
      </c>
      <c r="R2845" s="6" t="str">
        <f t="shared" si="5"/>
        <v>2025Week 14</v>
      </c>
      <c r="S2845" s="6">
        <f>IFERROR(__xludf.DUMMYFUNCTION("rank(J2845,FILTER(J:J,R:R=R2845))"),6.0)</f>
        <v>6</v>
      </c>
      <c r="T2845" s="6">
        <f t="shared" si="6"/>
        <v>6</v>
      </c>
      <c r="U2845" s="6">
        <f t="shared" si="7"/>
        <v>6</v>
      </c>
      <c r="V2845" s="42">
        <f>averageif(AllData!A:A,B2845,AllData!R:R)/vlookup(B2845,AllData!A:O,15,0)</f>
        <v>104.9271429</v>
      </c>
      <c r="W2845" s="6"/>
    </row>
    <row r="2846" ht="14.25" customHeight="1">
      <c r="A2846" s="6" t="str">
        <f t="shared" si="29"/>
        <v>2025T-How14</v>
      </c>
      <c r="B2846" s="59">
        <v>2025.0</v>
      </c>
      <c r="C2846" s="13" t="s">
        <v>82</v>
      </c>
      <c r="D2846" s="13" t="s">
        <v>156</v>
      </c>
      <c r="E2846" s="34"/>
      <c r="F2846" s="6"/>
      <c r="H2846" s="6"/>
      <c r="I2846" s="35" t="str">
        <f>IFERROR(IFERROR(IFERROR(VLOOKUP(B2846&amp;C2846&amp;Q2846,'New Weekly Paste'!A:M,10,0),VLOOKUP(B2846&amp;C2846&amp;Q2846,'New Weekly Paste'!B:O,6,0)),""),"")</f>
        <v>Riley</v>
      </c>
      <c r="J2846" s="259">
        <f>IFERROR(IFERROR(VLOOKUP(B2846&amp;C2846&amp;Q2846,'New Weekly Paste'!A:M,8,0),VLOOKUP(B2846&amp;C2846&amp;Q2846,'New Weekly Paste'!B:O,10,0)),0)</f>
        <v>127.34</v>
      </c>
      <c r="K2846" s="259">
        <f>IFERROR(IFERROR(VLOOKUP(B2846&amp;I2846&amp;Q2846,'New Weekly Paste'!A:M,8,0),VLOOKUP(B2846&amp;I2846&amp;Q2846,'New Weekly Paste'!B:O,10,0)),0)</f>
        <v>88.86</v>
      </c>
      <c r="L2846" s="239">
        <f t="shared" si="25"/>
        <v>1</v>
      </c>
      <c r="M2846" s="36" t="str">
        <f t="shared" si="3"/>
        <v>Regular Season</v>
      </c>
      <c r="N2846" s="239" t="str">
        <f t="shared" si="26"/>
        <v>Riley</v>
      </c>
      <c r="O2846" s="6">
        <f>VLOOKUP(D2846,'Mapped Opponent'!$G$4:$H$22,2,0)</f>
        <v>14</v>
      </c>
      <c r="P2846" s="6"/>
      <c r="Q2846" s="6" t="str">
        <f t="shared" si="4"/>
        <v>Week 14</v>
      </c>
      <c r="R2846" s="6" t="str">
        <f t="shared" si="5"/>
        <v>2025Week 14</v>
      </c>
      <c r="S2846" s="6">
        <f>IFERROR(__xludf.DUMMYFUNCTION("rank(J2846,FILTER(J:J,R:R=R2846))"),2.0)</f>
        <v>2</v>
      </c>
      <c r="T2846" s="6">
        <f t="shared" si="6"/>
        <v>10</v>
      </c>
      <c r="U2846" s="6">
        <f t="shared" si="7"/>
        <v>2</v>
      </c>
      <c r="V2846" s="42">
        <f>averageif(AllData!A:A,B2846,AllData!R:R)/vlookup(B2846,AllData!A:O,15,0)</f>
        <v>104.9271429</v>
      </c>
      <c r="W2846" s="6"/>
    </row>
    <row r="2847" ht="14.25" customHeight="1">
      <c r="A2847" s="6" t="str">
        <f t="shared" si="29"/>
        <v>2025Hudspeath2</v>
      </c>
      <c r="B2847" s="59">
        <v>2025.0</v>
      </c>
      <c r="C2847" s="13" t="s">
        <v>39</v>
      </c>
      <c r="D2847" s="13" t="s">
        <v>131</v>
      </c>
      <c r="E2847" s="34"/>
      <c r="F2847" s="6"/>
      <c r="H2847" s="6"/>
      <c r="I2847" s="35" t="str">
        <f>IFERROR(IFERROR(IFERROR(VLOOKUP(B2847&amp;C2847&amp;Q2847,'New Weekly Paste'!A:M,10,0),VLOOKUP(B2847&amp;C2847&amp;Q2847,'New Weekly Paste'!B:O,6,0)),""),"")</f>
        <v>Tayski</v>
      </c>
      <c r="J2847" s="259">
        <f>IFERROR(IFERROR(VLOOKUP(B2847&amp;C2847&amp;Q2847,'New Weekly Paste'!A:M,8,0),VLOOKUP(B2847&amp;C2847&amp;Q2847,'New Weekly Paste'!B:O,10,0)),0)</f>
        <v>147.44</v>
      </c>
      <c r="K2847" s="259">
        <f>IFERROR(IFERROR(VLOOKUP(B2847&amp;I2847&amp;Q2847,'New Weekly Paste'!A:M,8,0),VLOOKUP(B2847&amp;I2847&amp;Q2847,'New Weekly Paste'!B:O,10,0)),0)</f>
        <v>94.72</v>
      </c>
      <c r="L2847" s="239">
        <f t="shared" si="25"/>
        <v>1</v>
      </c>
      <c r="M2847" s="36" t="str">
        <f t="shared" si="3"/>
        <v>Regular Season</v>
      </c>
      <c r="N2847" s="239" t="str">
        <f t="shared" si="26"/>
        <v>Tayski</v>
      </c>
      <c r="O2847" s="6">
        <f>VLOOKUP(D2847,'Mapped Opponent'!$G$4:$H$22,2,0)</f>
        <v>2</v>
      </c>
      <c r="P2847" s="6"/>
      <c r="Q2847" s="6" t="str">
        <f t="shared" si="4"/>
        <v>Week 2</v>
      </c>
      <c r="R2847" s="6" t="str">
        <f t="shared" si="5"/>
        <v>2025Week 2</v>
      </c>
      <c r="S2847" s="6">
        <f>IFERROR(__xludf.DUMMYFUNCTION("rank(J2847,FILTER(J:J,R:R=R2847))"),1.0)</f>
        <v>1</v>
      </c>
      <c r="T2847" s="6">
        <f t="shared" si="6"/>
        <v>11</v>
      </c>
      <c r="U2847" s="6">
        <f t="shared" si="7"/>
        <v>1</v>
      </c>
      <c r="V2847" s="42">
        <f>averageif(AllData!A:A,B2847,AllData!R:R)/vlookup(B2847,AllData!A:O,15,0)</f>
        <v>104.9271429</v>
      </c>
      <c r="W2847" s="6"/>
    </row>
    <row r="2848" ht="14.25" customHeight="1">
      <c r="A2848" s="6" t="str">
        <f t="shared" si="29"/>
        <v>2025Salty2</v>
      </c>
      <c r="B2848" s="59">
        <v>2025.0</v>
      </c>
      <c r="C2848" s="13" t="s">
        <v>76</v>
      </c>
      <c r="D2848" s="13" t="s">
        <v>131</v>
      </c>
      <c r="E2848" s="34"/>
      <c r="F2848" s="6"/>
      <c r="H2848" s="6"/>
      <c r="I2848" s="35" t="str">
        <f>IFERROR(IFERROR(IFERROR(VLOOKUP(B2848&amp;C2848&amp;Q2848,'New Weekly Paste'!A:M,10,0),VLOOKUP(B2848&amp;C2848&amp;Q2848,'New Weekly Paste'!B:O,6,0)),""),"")</f>
        <v>Riley</v>
      </c>
      <c r="J2848" s="259">
        <f>IFERROR(IFERROR(VLOOKUP(B2848&amp;C2848&amp;Q2848,'New Weekly Paste'!A:M,8,0),VLOOKUP(B2848&amp;C2848&amp;Q2848,'New Weekly Paste'!B:O,10,0)),0)</f>
        <v>77.7</v>
      </c>
      <c r="K2848" s="259">
        <f>IFERROR(IFERROR(VLOOKUP(B2848&amp;I2848&amp;Q2848,'New Weekly Paste'!A:M,8,0),VLOOKUP(B2848&amp;I2848&amp;Q2848,'New Weekly Paste'!B:O,10,0)),0)</f>
        <v>103.58</v>
      </c>
      <c r="L2848" s="239">
        <f t="shared" si="25"/>
        <v>0</v>
      </c>
      <c r="M2848" s="36" t="str">
        <f t="shared" si="3"/>
        <v>Regular Season</v>
      </c>
      <c r="N2848" s="239" t="str">
        <f t="shared" si="26"/>
        <v>Riley</v>
      </c>
      <c r="O2848" s="6">
        <f>VLOOKUP(D2848,'Mapped Opponent'!$G$4:$H$22,2,0)</f>
        <v>2</v>
      </c>
      <c r="P2848" s="6"/>
      <c r="Q2848" s="6" t="str">
        <f t="shared" si="4"/>
        <v>Week 2</v>
      </c>
      <c r="R2848" s="6" t="str">
        <f t="shared" si="5"/>
        <v>2025Week 2</v>
      </c>
      <c r="S2848" s="6">
        <f>IFERROR(__xludf.DUMMYFUNCTION("rank(J2848,FILTER(J:J,R:R=R2848))"),12.0)</f>
        <v>12</v>
      </c>
      <c r="T2848" s="6">
        <f t="shared" si="6"/>
        <v>0</v>
      </c>
      <c r="U2848" s="6">
        <f t="shared" si="7"/>
        <v>12</v>
      </c>
      <c r="V2848" s="42">
        <f>averageif(AllData!A:A,B2848,AllData!R:R)/vlookup(B2848,AllData!A:O,15,0)</f>
        <v>104.9271429</v>
      </c>
      <c r="W2848" s="6"/>
    </row>
    <row r="2849" ht="14.25" customHeight="1">
      <c r="A2849" s="6" t="str">
        <f t="shared" si="29"/>
        <v>2025Ewert2</v>
      </c>
      <c r="B2849" s="59">
        <v>2025.0</v>
      </c>
      <c r="C2849" s="13" t="s">
        <v>108</v>
      </c>
      <c r="D2849" s="13" t="s">
        <v>131</v>
      </c>
      <c r="E2849" s="34"/>
      <c r="F2849" s="6"/>
      <c r="H2849" s="6"/>
      <c r="I2849" s="35" t="str">
        <f>IFERROR(IFERROR(IFERROR(VLOOKUP(B2849&amp;C2849&amp;Q2849,'New Weekly Paste'!A:M,10,0),VLOOKUP(B2849&amp;C2849&amp;Q2849,'New Weekly Paste'!B:O,6,0)),""),"")</f>
        <v>T-How</v>
      </c>
      <c r="J2849" s="259">
        <f>IFERROR(IFERROR(VLOOKUP(B2849&amp;C2849&amp;Q2849,'New Weekly Paste'!A:M,8,0),VLOOKUP(B2849&amp;C2849&amp;Q2849,'New Weekly Paste'!B:O,10,0)),0)</f>
        <v>116.14</v>
      </c>
      <c r="K2849" s="259">
        <f>IFERROR(IFERROR(VLOOKUP(B2849&amp;I2849&amp;Q2849,'New Weekly Paste'!A:M,8,0),VLOOKUP(B2849&amp;I2849&amp;Q2849,'New Weekly Paste'!B:O,10,0)),0)</f>
        <v>90.1</v>
      </c>
      <c r="L2849" s="239">
        <f t="shared" si="25"/>
        <v>1</v>
      </c>
      <c r="M2849" s="36" t="str">
        <f t="shared" si="3"/>
        <v>Regular Season</v>
      </c>
      <c r="N2849" s="239" t="str">
        <f t="shared" si="26"/>
        <v>T-How</v>
      </c>
      <c r="O2849" s="6">
        <f>VLOOKUP(D2849,'Mapped Opponent'!$G$4:$H$22,2,0)</f>
        <v>2</v>
      </c>
      <c r="P2849" s="6"/>
      <c r="Q2849" s="6" t="str">
        <f t="shared" si="4"/>
        <v>Week 2</v>
      </c>
      <c r="R2849" s="6" t="str">
        <f t="shared" si="5"/>
        <v>2025Week 2</v>
      </c>
      <c r="S2849" s="6">
        <f>IFERROR(__xludf.DUMMYFUNCTION("rank(J2849,FILTER(J:J,R:R=R2849))"),5.0)</f>
        <v>5</v>
      </c>
      <c r="T2849" s="6">
        <f t="shared" si="6"/>
        <v>7</v>
      </c>
      <c r="U2849" s="6">
        <f t="shared" si="7"/>
        <v>5</v>
      </c>
      <c r="V2849" s="42">
        <f>averageif(AllData!A:A,B2849,AllData!R:R)/vlookup(B2849,AllData!A:O,15,0)</f>
        <v>104.9271429</v>
      </c>
      <c r="W2849" s="6"/>
    </row>
    <row r="2850" ht="14.25" customHeight="1">
      <c r="A2850" s="6" t="str">
        <f t="shared" si="29"/>
        <v>2025Shep2</v>
      </c>
      <c r="B2850" s="59">
        <v>2025.0</v>
      </c>
      <c r="C2850" s="13" t="s">
        <v>89</v>
      </c>
      <c r="D2850" s="13" t="s">
        <v>131</v>
      </c>
      <c r="E2850" s="34"/>
      <c r="F2850" s="6"/>
      <c r="H2850" s="6"/>
      <c r="I2850" s="35" t="str">
        <f>IFERROR(IFERROR(IFERROR(VLOOKUP(B2850&amp;C2850&amp;Q2850,'New Weekly Paste'!A:M,10,0),VLOOKUP(B2850&amp;C2850&amp;Q2850,'New Weekly Paste'!B:O,6,0)),""),"")</f>
        <v>Cock</v>
      </c>
      <c r="J2850" s="259">
        <f>IFERROR(IFERROR(VLOOKUP(B2850&amp;C2850&amp;Q2850,'New Weekly Paste'!A:M,8,0),VLOOKUP(B2850&amp;C2850&amp;Q2850,'New Weekly Paste'!B:O,10,0)),0)</f>
        <v>124.7</v>
      </c>
      <c r="K2850" s="259">
        <f>IFERROR(IFERROR(VLOOKUP(B2850&amp;I2850&amp;Q2850,'New Weekly Paste'!A:M,8,0),VLOOKUP(B2850&amp;I2850&amp;Q2850,'New Weekly Paste'!B:O,10,0)),0)</f>
        <v>116.88</v>
      </c>
      <c r="L2850" s="239">
        <f t="shared" si="25"/>
        <v>1</v>
      </c>
      <c r="M2850" s="36" t="str">
        <f t="shared" si="3"/>
        <v>Regular Season</v>
      </c>
      <c r="N2850" s="239" t="str">
        <f t="shared" si="26"/>
        <v>Cock</v>
      </c>
      <c r="O2850" s="6">
        <f>VLOOKUP(D2850,'Mapped Opponent'!$G$4:$H$22,2,0)</f>
        <v>2</v>
      </c>
      <c r="P2850" s="6"/>
      <c r="Q2850" s="6" t="str">
        <f t="shared" si="4"/>
        <v>Week 2</v>
      </c>
      <c r="R2850" s="6" t="str">
        <f t="shared" si="5"/>
        <v>2025Week 2</v>
      </c>
      <c r="S2850" s="6">
        <f>IFERROR(__xludf.DUMMYFUNCTION("rank(J2850,FILTER(J:J,R:R=R2850))"),3.0)</f>
        <v>3</v>
      </c>
      <c r="T2850" s="6">
        <f t="shared" si="6"/>
        <v>9</v>
      </c>
      <c r="U2850" s="6">
        <f t="shared" si="7"/>
        <v>3</v>
      </c>
      <c r="V2850" s="42">
        <f>averageif(AllData!A:A,B2850,AllData!R:R)/vlookup(B2850,AllData!A:O,15,0)</f>
        <v>104.9271429</v>
      </c>
      <c r="W2850" s="6"/>
    </row>
    <row r="2851" ht="14.25" customHeight="1">
      <c r="A2851" s="6" t="str">
        <f t="shared" si="29"/>
        <v>2025Riley2</v>
      </c>
      <c r="B2851" s="59">
        <v>2025.0</v>
      </c>
      <c r="C2851" s="13" t="s">
        <v>67</v>
      </c>
      <c r="D2851" s="13" t="s">
        <v>131</v>
      </c>
      <c r="E2851" s="34"/>
      <c r="F2851" s="6"/>
      <c r="H2851" s="6"/>
      <c r="I2851" s="35" t="str">
        <f>IFERROR(IFERROR(IFERROR(VLOOKUP(B2851&amp;C2851&amp;Q2851,'New Weekly Paste'!A:M,10,0),VLOOKUP(B2851&amp;C2851&amp;Q2851,'New Weekly Paste'!B:O,6,0)),""),"")</f>
        <v>Salty</v>
      </c>
      <c r="J2851" s="259">
        <f>IFERROR(IFERROR(VLOOKUP(B2851&amp;C2851&amp;Q2851,'New Weekly Paste'!A:M,8,0),VLOOKUP(B2851&amp;C2851&amp;Q2851,'New Weekly Paste'!B:O,10,0)),0)</f>
        <v>103.58</v>
      </c>
      <c r="K2851" s="259">
        <f>IFERROR(IFERROR(VLOOKUP(B2851&amp;I2851&amp;Q2851,'New Weekly Paste'!A:M,8,0),VLOOKUP(B2851&amp;I2851&amp;Q2851,'New Weekly Paste'!B:O,10,0)),0)</f>
        <v>77.7</v>
      </c>
      <c r="L2851" s="239">
        <f t="shared" si="25"/>
        <v>1</v>
      </c>
      <c r="M2851" s="36" t="str">
        <f t="shared" si="3"/>
        <v>Regular Season</v>
      </c>
      <c r="N2851" s="239" t="str">
        <f t="shared" si="26"/>
        <v>Salty</v>
      </c>
      <c r="O2851" s="6">
        <f>VLOOKUP(D2851,'Mapped Opponent'!$G$4:$H$22,2,0)</f>
        <v>2</v>
      </c>
      <c r="P2851" s="6"/>
      <c r="Q2851" s="6" t="str">
        <f t="shared" si="4"/>
        <v>Week 2</v>
      </c>
      <c r="R2851" s="6" t="str">
        <f t="shared" si="5"/>
        <v>2025Week 2</v>
      </c>
      <c r="S2851" s="6">
        <f>IFERROR(__xludf.DUMMYFUNCTION("rank(J2851,FILTER(J:J,R:R=R2851))"),7.0)</f>
        <v>7</v>
      </c>
      <c r="T2851" s="6">
        <f t="shared" si="6"/>
        <v>5</v>
      </c>
      <c r="U2851" s="6">
        <f t="shared" si="7"/>
        <v>7</v>
      </c>
      <c r="V2851" s="42">
        <f>averageif(AllData!A:A,B2851,AllData!R:R)/vlookup(B2851,AllData!A:O,15,0)</f>
        <v>104.9271429</v>
      </c>
      <c r="W2851" s="6"/>
    </row>
    <row r="2852" ht="14.25" customHeight="1">
      <c r="A2852" s="6" t="str">
        <f t="shared" si="29"/>
        <v>2025Rooney/Jackson2</v>
      </c>
      <c r="B2852" s="59">
        <v>2025.0</v>
      </c>
      <c r="C2852" s="13" t="s">
        <v>57</v>
      </c>
      <c r="D2852" s="13" t="s">
        <v>131</v>
      </c>
      <c r="E2852" s="34"/>
      <c r="F2852" s="6"/>
      <c r="H2852" s="6"/>
      <c r="I2852" s="35" t="str">
        <f>IFERROR(IFERROR(IFERROR(VLOOKUP(B2852&amp;C2852&amp;Q2852,'New Weekly Paste'!A:M,10,0),VLOOKUP(B2852&amp;C2852&amp;Q2852,'New Weekly Paste'!B:O,6,0)),""),"")</f>
        <v>Pierson</v>
      </c>
      <c r="J2852" s="259">
        <f>IFERROR(IFERROR(VLOOKUP(B2852&amp;C2852&amp;Q2852,'New Weekly Paste'!A:M,8,0),VLOOKUP(B2852&amp;C2852&amp;Q2852,'New Weekly Paste'!B:O,10,0)),0)</f>
        <v>126.54</v>
      </c>
      <c r="K2852" s="259">
        <f>IFERROR(IFERROR(VLOOKUP(B2852&amp;I2852&amp;Q2852,'New Weekly Paste'!A:M,8,0),VLOOKUP(B2852&amp;I2852&amp;Q2852,'New Weekly Paste'!B:O,10,0)),0)</f>
        <v>115.54</v>
      </c>
      <c r="L2852" s="239">
        <f t="shared" si="25"/>
        <v>1</v>
      </c>
      <c r="M2852" s="36" t="str">
        <f t="shared" si="3"/>
        <v>Regular Season</v>
      </c>
      <c r="N2852" s="239" t="str">
        <f t="shared" si="26"/>
        <v>Pierson</v>
      </c>
      <c r="O2852" s="6">
        <f>VLOOKUP(D2852,'Mapped Opponent'!$G$4:$H$22,2,0)</f>
        <v>2</v>
      </c>
      <c r="P2852" s="6"/>
      <c r="Q2852" s="6" t="str">
        <f t="shared" si="4"/>
        <v>Week 2</v>
      </c>
      <c r="R2852" s="6" t="str">
        <f t="shared" si="5"/>
        <v>2025Week 2</v>
      </c>
      <c r="S2852" s="6">
        <f>IFERROR(__xludf.DUMMYFUNCTION("rank(J2852,FILTER(J:J,R:R=R2852))"),2.0)</f>
        <v>2</v>
      </c>
      <c r="T2852" s="6">
        <f t="shared" si="6"/>
        <v>10</v>
      </c>
      <c r="U2852" s="6">
        <f t="shared" si="7"/>
        <v>2</v>
      </c>
      <c r="V2852" s="42">
        <f>averageif(AllData!A:A,B2852,AllData!R:R)/vlookup(B2852,AllData!A:O,15,0)</f>
        <v>104.9271429</v>
      </c>
      <c r="W2852" s="6"/>
    </row>
    <row r="2853" ht="14.25" customHeight="1">
      <c r="A2853" s="6" t="str">
        <f t="shared" si="29"/>
        <v>2025Buser2</v>
      </c>
      <c r="B2853" s="59">
        <v>2025.0</v>
      </c>
      <c r="C2853" s="13" t="s">
        <v>47</v>
      </c>
      <c r="D2853" s="13" t="s">
        <v>131</v>
      </c>
      <c r="E2853" s="34"/>
      <c r="F2853" s="6"/>
      <c r="H2853" s="6"/>
      <c r="I2853" s="35" t="str">
        <f>IFERROR(IFERROR(IFERROR(VLOOKUP(B2853&amp;C2853&amp;Q2853,'New Weekly Paste'!A:M,10,0),VLOOKUP(B2853&amp;C2853&amp;Q2853,'New Weekly Paste'!B:O,6,0)),""),"")</f>
        <v>KnardDawg</v>
      </c>
      <c r="J2853" s="259">
        <f>IFERROR(IFERROR(VLOOKUP(B2853&amp;C2853&amp;Q2853,'New Weekly Paste'!A:M,8,0),VLOOKUP(B2853&amp;C2853&amp;Q2853,'New Weekly Paste'!B:O,10,0)),0)</f>
        <v>85.1</v>
      </c>
      <c r="K2853" s="259">
        <f>IFERROR(IFERROR(VLOOKUP(B2853&amp;I2853&amp;Q2853,'New Weekly Paste'!A:M,8,0),VLOOKUP(B2853&amp;I2853&amp;Q2853,'New Weekly Paste'!B:O,10,0)),0)</f>
        <v>86.48</v>
      </c>
      <c r="L2853" s="239">
        <f t="shared" si="25"/>
        <v>0</v>
      </c>
      <c r="M2853" s="36" t="str">
        <f t="shared" si="3"/>
        <v>Regular Season</v>
      </c>
      <c r="N2853" s="239" t="str">
        <f t="shared" si="26"/>
        <v>KnardDawg</v>
      </c>
      <c r="O2853" s="6">
        <f>VLOOKUP(D2853,'Mapped Opponent'!$G$4:$H$22,2,0)</f>
        <v>2</v>
      </c>
      <c r="P2853" s="6"/>
      <c r="Q2853" s="6" t="str">
        <f t="shared" si="4"/>
        <v>Week 2</v>
      </c>
      <c r="R2853" s="6" t="str">
        <f t="shared" si="5"/>
        <v>2025Week 2</v>
      </c>
      <c r="S2853" s="6">
        <f>IFERROR(__xludf.DUMMYFUNCTION("rank(J2853,FILTER(J:J,R:R=R2853))"),11.0)</f>
        <v>11</v>
      </c>
      <c r="T2853" s="6">
        <f t="shared" si="6"/>
        <v>1</v>
      </c>
      <c r="U2853" s="6">
        <f t="shared" si="7"/>
        <v>11</v>
      </c>
      <c r="V2853" s="42">
        <f>averageif(AllData!A:A,B2853,AllData!R:R)/vlookup(B2853,AllData!A:O,15,0)</f>
        <v>104.9271429</v>
      </c>
      <c r="W2853" s="6"/>
    </row>
    <row r="2854" ht="14.25" customHeight="1">
      <c r="A2854" s="6" t="str">
        <f t="shared" si="29"/>
        <v>2025Pierson2</v>
      </c>
      <c r="B2854" s="59">
        <v>2025.0</v>
      </c>
      <c r="C2854" s="13" t="s">
        <v>92</v>
      </c>
      <c r="D2854" s="13" t="s">
        <v>131</v>
      </c>
      <c r="E2854" s="34"/>
      <c r="F2854" s="6"/>
      <c r="H2854" s="6"/>
      <c r="I2854" s="35" t="str">
        <f>IFERROR(IFERROR(IFERROR(VLOOKUP(B2854&amp;C2854&amp;Q2854,'New Weekly Paste'!A:M,10,0),VLOOKUP(B2854&amp;C2854&amp;Q2854,'New Weekly Paste'!B:O,6,0)),""),"")</f>
        <v>Rooney/Jackson</v>
      </c>
      <c r="J2854" s="259">
        <f>IFERROR(IFERROR(VLOOKUP(B2854&amp;C2854&amp;Q2854,'New Weekly Paste'!A:M,8,0),VLOOKUP(B2854&amp;C2854&amp;Q2854,'New Weekly Paste'!B:O,10,0)),0)</f>
        <v>115.54</v>
      </c>
      <c r="K2854" s="259">
        <f>IFERROR(IFERROR(VLOOKUP(B2854&amp;I2854&amp;Q2854,'New Weekly Paste'!A:M,8,0),VLOOKUP(B2854&amp;I2854&amp;Q2854,'New Weekly Paste'!B:O,10,0)),0)</f>
        <v>126.54</v>
      </c>
      <c r="L2854" s="239">
        <f t="shared" si="25"/>
        <v>0</v>
      </c>
      <c r="M2854" s="36" t="str">
        <f t="shared" si="3"/>
        <v>Regular Season</v>
      </c>
      <c r="N2854" s="239" t="str">
        <f t="shared" si="26"/>
        <v>Rooney/Jackson</v>
      </c>
      <c r="O2854" s="6">
        <f>VLOOKUP(D2854,'Mapped Opponent'!$G$4:$H$22,2,0)</f>
        <v>2</v>
      </c>
      <c r="P2854" s="6"/>
      <c r="Q2854" s="6" t="str">
        <f t="shared" si="4"/>
        <v>Week 2</v>
      </c>
      <c r="R2854" s="6" t="str">
        <f t="shared" si="5"/>
        <v>2025Week 2</v>
      </c>
      <c r="S2854" s="6">
        <f>IFERROR(__xludf.DUMMYFUNCTION("rank(J2854,FILTER(J:J,R:R=R2854))"),6.0)</f>
        <v>6</v>
      </c>
      <c r="T2854" s="6">
        <f t="shared" si="6"/>
        <v>6</v>
      </c>
      <c r="U2854" s="6">
        <f t="shared" si="7"/>
        <v>6</v>
      </c>
      <c r="V2854" s="42">
        <f>averageif(AllData!A:A,B2854,AllData!R:R)/vlookup(B2854,AllData!A:O,15,0)</f>
        <v>104.9271429</v>
      </c>
      <c r="W2854" s="6"/>
    </row>
    <row r="2855" ht="14.25" customHeight="1">
      <c r="A2855" s="6" t="str">
        <f t="shared" si="29"/>
        <v>2025Cock2</v>
      </c>
      <c r="B2855" s="59">
        <v>2025.0</v>
      </c>
      <c r="C2855" s="13" t="s">
        <v>72</v>
      </c>
      <c r="D2855" s="13" t="s">
        <v>131</v>
      </c>
      <c r="E2855" s="34"/>
      <c r="F2855" s="6"/>
      <c r="H2855" s="6"/>
      <c r="I2855" s="35" t="str">
        <f>IFERROR(IFERROR(IFERROR(VLOOKUP(B2855&amp;C2855&amp;Q2855,'New Weekly Paste'!A:M,10,0),VLOOKUP(B2855&amp;C2855&amp;Q2855,'New Weekly Paste'!B:O,6,0)),""),"")</f>
        <v>Shep</v>
      </c>
      <c r="J2855" s="259">
        <f>IFERROR(IFERROR(VLOOKUP(B2855&amp;C2855&amp;Q2855,'New Weekly Paste'!A:M,8,0),VLOOKUP(B2855&amp;C2855&amp;Q2855,'New Weekly Paste'!B:O,10,0)),0)</f>
        <v>116.88</v>
      </c>
      <c r="K2855" s="259">
        <f>IFERROR(IFERROR(VLOOKUP(B2855&amp;I2855&amp;Q2855,'New Weekly Paste'!A:M,8,0),VLOOKUP(B2855&amp;I2855&amp;Q2855,'New Weekly Paste'!B:O,10,0)),0)</f>
        <v>124.7</v>
      </c>
      <c r="L2855" s="239">
        <f t="shared" si="25"/>
        <v>0</v>
      </c>
      <c r="M2855" s="36" t="str">
        <f t="shared" si="3"/>
        <v>Regular Season</v>
      </c>
      <c r="N2855" s="239" t="str">
        <f t="shared" si="26"/>
        <v>Shep</v>
      </c>
      <c r="O2855" s="6">
        <f>VLOOKUP(D2855,'Mapped Opponent'!$G$4:$H$22,2,0)</f>
        <v>2</v>
      </c>
      <c r="P2855" s="6"/>
      <c r="Q2855" s="6" t="str">
        <f t="shared" si="4"/>
        <v>Week 2</v>
      </c>
      <c r="R2855" s="6" t="str">
        <f t="shared" si="5"/>
        <v>2025Week 2</v>
      </c>
      <c r="S2855" s="6">
        <f>IFERROR(__xludf.DUMMYFUNCTION("rank(J2855,FILTER(J:J,R:R=R2855))"),4.0)</f>
        <v>4</v>
      </c>
      <c r="T2855" s="6">
        <f t="shared" si="6"/>
        <v>8</v>
      </c>
      <c r="U2855" s="6">
        <f t="shared" si="7"/>
        <v>4</v>
      </c>
      <c r="V2855" s="42">
        <f>averageif(AllData!A:A,B2855,AllData!R:R)/vlookup(B2855,AllData!A:O,15,0)</f>
        <v>104.9271429</v>
      </c>
      <c r="W2855" s="6"/>
    </row>
    <row r="2856" ht="14.25" customHeight="1">
      <c r="A2856" s="6" t="str">
        <f t="shared" si="29"/>
        <v>2025Tayski2</v>
      </c>
      <c r="B2856" s="59">
        <v>2025.0</v>
      </c>
      <c r="C2856" s="13" t="s">
        <v>52</v>
      </c>
      <c r="D2856" s="13" t="s">
        <v>131</v>
      </c>
      <c r="E2856" s="34"/>
      <c r="F2856" s="6"/>
      <c r="H2856" s="6"/>
      <c r="I2856" s="35" t="str">
        <f>IFERROR(IFERROR(IFERROR(VLOOKUP(B2856&amp;C2856&amp;Q2856,'New Weekly Paste'!A:M,10,0),VLOOKUP(B2856&amp;C2856&amp;Q2856,'New Weekly Paste'!B:O,6,0)),""),"")</f>
        <v>Hudspeath</v>
      </c>
      <c r="J2856" s="259">
        <f>IFERROR(IFERROR(VLOOKUP(B2856&amp;C2856&amp;Q2856,'New Weekly Paste'!A:M,8,0),VLOOKUP(B2856&amp;C2856&amp;Q2856,'New Weekly Paste'!B:O,10,0)),0)</f>
        <v>94.72</v>
      </c>
      <c r="K2856" s="259">
        <f>IFERROR(IFERROR(VLOOKUP(B2856&amp;I2856&amp;Q2856,'New Weekly Paste'!A:M,8,0),VLOOKUP(B2856&amp;I2856&amp;Q2856,'New Weekly Paste'!B:O,10,0)),0)</f>
        <v>147.44</v>
      </c>
      <c r="L2856" s="239">
        <f t="shared" si="25"/>
        <v>0</v>
      </c>
      <c r="M2856" s="36" t="str">
        <f t="shared" si="3"/>
        <v>Regular Season</v>
      </c>
      <c r="N2856" s="239" t="str">
        <f t="shared" si="26"/>
        <v>Hudspeath</v>
      </c>
      <c r="O2856" s="6">
        <f>VLOOKUP(D2856,'Mapped Opponent'!$G$4:$H$22,2,0)</f>
        <v>2</v>
      </c>
      <c r="P2856" s="6"/>
      <c r="Q2856" s="6" t="str">
        <f t="shared" si="4"/>
        <v>Week 2</v>
      </c>
      <c r="R2856" s="6" t="str">
        <f t="shared" si="5"/>
        <v>2025Week 2</v>
      </c>
      <c r="S2856" s="6">
        <f>IFERROR(__xludf.DUMMYFUNCTION("rank(J2856,FILTER(J:J,R:R=R2856))"),8.0)</f>
        <v>8</v>
      </c>
      <c r="T2856" s="6">
        <f t="shared" si="6"/>
        <v>4</v>
      </c>
      <c r="U2856" s="6">
        <f t="shared" si="7"/>
        <v>8</v>
      </c>
      <c r="V2856" s="42">
        <f>averageif(AllData!A:A,B2856,AllData!R:R)/vlookup(B2856,AllData!A:O,15,0)</f>
        <v>104.9271429</v>
      </c>
      <c r="W2856" s="6"/>
    </row>
    <row r="2857" ht="14.25" customHeight="1">
      <c r="A2857" s="6" t="str">
        <f t="shared" si="29"/>
        <v>2025KnardDawg2</v>
      </c>
      <c r="B2857" s="59">
        <v>2025.0</v>
      </c>
      <c r="C2857" s="13" t="s">
        <v>86</v>
      </c>
      <c r="D2857" s="13" t="s">
        <v>131</v>
      </c>
      <c r="E2857" s="34"/>
      <c r="F2857" s="6"/>
      <c r="H2857" s="6"/>
      <c r="I2857" s="35" t="str">
        <f>IFERROR(IFERROR(IFERROR(VLOOKUP(B2857&amp;C2857&amp;Q2857,'New Weekly Paste'!A:M,10,0),VLOOKUP(B2857&amp;C2857&amp;Q2857,'New Weekly Paste'!B:O,6,0)),""),"")</f>
        <v>Buser</v>
      </c>
      <c r="J2857" s="259">
        <f>IFERROR(IFERROR(VLOOKUP(B2857&amp;C2857&amp;Q2857,'New Weekly Paste'!A:M,8,0),VLOOKUP(B2857&amp;C2857&amp;Q2857,'New Weekly Paste'!B:O,10,0)),0)</f>
        <v>86.48</v>
      </c>
      <c r="K2857" s="259">
        <f>IFERROR(IFERROR(VLOOKUP(B2857&amp;I2857&amp;Q2857,'New Weekly Paste'!A:M,8,0),VLOOKUP(B2857&amp;I2857&amp;Q2857,'New Weekly Paste'!B:O,10,0)),0)</f>
        <v>85.1</v>
      </c>
      <c r="L2857" s="239">
        <f t="shared" si="25"/>
        <v>1</v>
      </c>
      <c r="M2857" s="36" t="str">
        <f t="shared" si="3"/>
        <v>Regular Season</v>
      </c>
      <c r="N2857" s="239" t="str">
        <f t="shared" si="26"/>
        <v>Buser</v>
      </c>
      <c r="O2857" s="6">
        <f>VLOOKUP(D2857,'Mapped Opponent'!$G$4:$H$22,2,0)</f>
        <v>2</v>
      </c>
      <c r="P2857" s="6"/>
      <c r="Q2857" s="6" t="str">
        <f t="shared" si="4"/>
        <v>Week 2</v>
      </c>
      <c r="R2857" s="6" t="str">
        <f t="shared" si="5"/>
        <v>2025Week 2</v>
      </c>
      <c r="S2857" s="6">
        <f>IFERROR(__xludf.DUMMYFUNCTION("rank(J2857,FILTER(J:J,R:R=R2857))"),10.0)</f>
        <v>10</v>
      </c>
      <c r="T2857" s="6">
        <f t="shared" si="6"/>
        <v>2</v>
      </c>
      <c r="U2857" s="6">
        <f t="shared" si="7"/>
        <v>10</v>
      </c>
      <c r="V2857" s="42">
        <f>averageif(AllData!A:A,B2857,AllData!R:R)/vlookup(B2857,AllData!A:O,15,0)</f>
        <v>104.9271429</v>
      </c>
      <c r="W2857" s="6"/>
    </row>
    <row r="2858" ht="14.25" customHeight="1">
      <c r="A2858" s="6" t="str">
        <f t="shared" si="29"/>
        <v>2025T-How2</v>
      </c>
      <c r="B2858" s="59">
        <v>2025.0</v>
      </c>
      <c r="C2858" s="13" t="s">
        <v>82</v>
      </c>
      <c r="D2858" s="13" t="s">
        <v>131</v>
      </c>
      <c r="E2858" s="34"/>
      <c r="F2858" s="6"/>
      <c r="H2858" s="6"/>
      <c r="I2858" s="35" t="str">
        <f>IFERROR(IFERROR(IFERROR(VLOOKUP(B2858&amp;C2858&amp;Q2858,'New Weekly Paste'!A:M,10,0),VLOOKUP(B2858&amp;C2858&amp;Q2858,'New Weekly Paste'!B:O,6,0)),""),"")</f>
        <v>Ewert</v>
      </c>
      <c r="J2858" s="259">
        <f>IFERROR(IFERROR(VLOOKUP(B2858&amp;C2858&amp;Q2858,'New Weekly Paste'!A:M,8,0),VLOOKUP(B2858&amp;C2858&amp;Q2858,'New Weekly Paste'!B:O,10,0)),0)</f>
        <v>90.1</v>
      </c>
      <c r="K2858" s="259">
        <f>IFERROR(IFERROR(VLOOKUP(B2858&amp;I2858&amp;Q2858,'New Weekly Paste'!A:M,8,0),VLOOKUP(B2858&amp;I2858&amp;Q2858,'New Weekly Paste'!B:O,10,0)),0)</f>
        <v>116.14</v>
      </c>
      <c r="L2858" s="239">
        <f t="shared" si="25"/>
        <v>0</v>
      </c>
      <c r="M2858" s="36" t="str">
        <f t="shared" si="3"/>
        <v>Regular Season</v>
      </c>
      <c r="N2858" s="239" t="str">
        <f t="shared" si="26"/>
        <v>Ewert</v>
      </c>
      <c r="O2858" s="6">
        <f>VLOOKUP(D2858,'Mapped Opponent'!$G$4:$H$22,2,0)</f>
        <v>2</v>
      </c>
      <c r="P2858" s="6"/>
      <c r="Q2858" s="6" t="str">
        <f t="shared" si="4"/>
        <v>Week 2</v>
      </c>
      <c r="R2858" s="6" t="str">
        <f t="shared" si="5"/>
        <v>2025Week 2</v>
      </c>
      <c r="S2858" s="6">
        <f>IFERROR(__xludf.DUMMYFUNCTION("rank(J2858,FILTER(J:J,R:R=R2858))"),9.0)</f>
        <v>9</v>
      </c>
      <c r="T2858" s="6">
        <f t="shared" si="6"/>
        <v>3</v>
      </c>
      <c r="U2858" s="6">
        <f t="shared" si="7"/>
        <v>9</v>
      </c>
      <c r="V2858" s="42">
        <f>averageif(AllData!A:A,B2858,AllData!R:R)/vlookup(B2858,AllData!A:O,15,0)</f>
        <v>104.9271429</v>
      </c>
      <c r="W2858" s="6"/>
    </row>
    <row r="2859" ht="14.25" customHeight="1">
      <c r="A2859" s="6" t="str">
        <f t="shared" si="29"/>
        <v>2025Hudspeath3</v>
      </c>
      <c r="B2859" s="59">
        <v>2025.0</v>
      </c>
      <c r="C2859" s="13" t="s">
        <v>39</v>
      </c>
      <c r="D2859" s="13" t="s">
        <v>135</v>
      </c>
      <c r="E2859" s="34"/>
      <c r="F2859" s="6"/>
      <c r="H2859" s="6"/>
      <c r="I2859" s="35" t="str">
        <f>IFERROR(IFERROR(IFERROR(VLOOKUP(B2859&amp;C2859&amp;Q2859,'New Weekly Paste'!A:M,10,0),VLOOKUP(B2859&amp;C2859&amp;Q2859,'New Weekly Paste'!B:O,6,0)),""),"")</f>
        <v>Shep</v>
      </c>
      <c r="J2859" s="259">
        <f>IFERROR(IFERROR(VLOOKUP(B2859&amp;C2859&amp;Q2859,'New Weekly Paste'!A:M,8,0),VLOOKUP(B2859&amp;C2859&amp;Q2859,'New Weekly Paste'!B:O,10,0)),0)</f>
        <v>115.22</v>
      </c>
      <c r="K2859" s="259">
        <f>IFERROR(IFERROR(VLOOKUP(B2859&amp;I2859&amp;Q2859,'New Weekly Paste'!A:M,8,0),VLOOKUP(B2859&amp;I2859&amp;Q2859,'New Weekly Paste'!B:O,10,0)),0)</f>
        <v>100.52</v>
      </c>
      <c r="L2859" s="239">
        <f t="shared" si="25"/>
        <v>1</v>
      </c>
      <c r="M2859" s="36" t="str">
        <f t="shared" si="3"/>
        <v>Regular Season</v>
      </c>
      <c r="N2859" s="239" t="str">
        <f t="shared" si="26"/>
        <v>Shep</v>
      </c>
      <c r="O2859" s="6">
        <f>VLOOKUP(D2859,'Mapped Opponent'!$G$4:$H$22,2,0)</f>
        <v>3</v>
      </c>
      <c r="P2859" s="6"/>
      <c r="Q2859" s="6" t="str">
        <f t="shared" si="4"/>
        <v>Week 3</v>
      </c>
      <c r="R2859" s="6" t="str">
        <f t="shared" si="5"/>
        <v>2025Week 3</v>
      </c>
      <c r="S2859" s="6">
        <f>IFERROR(__xludf.DUMMYFUNCTION("rank(J2859,FILTER(J:J,R:R=R2859))"),4.0)</f>
        <v>4</v>
      </c>
      <c r="T2859" s="6">
        <f t="shared" si="6"/>
        <v>8</v>
      </c>
      <c r="U2859" s="6">
        <f t="shared" si="7"/>
        <v>4</v>
      </c>
      <c r="V2859" s="42">
        <f>averageif(AllData!A:A,B2859,AllData!R:R)/vlookup(B2859,AllData!A:O,15,0)</f>
        <v>104.9271429</v>
      </c>
      <c r="W2859" s="6"/>
    </row>
    <row r="2860" ht="14.25" customHeight="1">
      <c r="A2860" s="6" t="str">
        <f t="shared" si="29"/>
        <v>2025Salty3</v>
      </c>
      <c r="B2860" s="59">
        <v>2025.0</v>
      </c>
      <c r="C2860" s="13" t="s">
        <v>76</v>
      </c>
      <c r="D2860" s="13" t="s">
        <v>135</v>
      </c>
      <c r="E2860" s="34"/>
      <c r="F2860" s="6"/>
      <c r="H2860" s="6"/>
      <c r="I2860" s="35" t="str">
        <f>IFERROR(IFERROR(IFERROR(VLOOKUP(B2860&amp;C2860&amp;Q2860,'New Weekly Paste'!A:M,10,0),VLOOKUP(B2860&amp;C2860&amp;Q2860,'New Weekly Paste'!B:O,6,0)),""),"")</f>
        <v>Tayski</v>
      </c>
      <c r="J2860" s="259">
        <f>IFERROR(IFERROR(VLOOKUP(B2860&amp;C2860&amp;Q2860,'New Weekly Paste'!A:M,8,0),VLOOKUP(B2860&amp;C2860&amp;Q2860,'New Weekly Paste'!B:O,10,0)),0)</f>
        <v>106.12</v>
      </c>
      <c r="K2860" s="259">
        <f>IFERROR(IFERROR(VLOOKUP(B2860&amp;I2860&amp;Q2860,'New Weekly Paste'!A:M,8,0),VLOOKUP(B2860&amp;I2860&amp;Q2860,'New Weekly Paste'!B:O,10,0)),0)</f>
        <v>70.42</v>
      </c>
      <c r="L2860" s="239">
        <f t="shared" si="25"/>
        <v>1</v>
      </c>
      <c r="M2860" s="36" t="str">
        <f t="shared" si="3"/>
        <v>Regular Season</v>
      </c>
      <c r="N2860" s="239" t="str">
        <f t="shared" si="26"/>
        <v>Tayski</v>
      </c>
      <c r="O2860" s="6">
        <f>VLOOKUP(D2860,'Mapped Opponent'!$G$4:$H$22,2,0)</f>
        <v>3</v>
      </c>
      <c r="P2860" s="6"/>
      <c r="Q2860" s="6" t="str">
        <f t="shared" si="4"/>
        <v>Week 3</v>
      </c>
      <c r="R2860" s="6" t="str">
        <f t="shared" si="5"/>
        <v>2025Week 3</v>
      </c>
      <c r="S2860" s="6">
        <f>IFERROR(__xludf.DUMMYFUNCTION("rank(J2860,FILTER(J:J,R:R=R2860))"),6.0)</f>
        <v>6</v>
      </c>
      <c r="T2860" s="6">
        <f t="shared" si="6"/>
        <v>6</v>
      </c>
      <c r="U2860" s="6">
        <f t="shared" si="7"/>
        <v>6</v>
      </c>
      <c r="V2860" s="42">
        <f>averageif(AllData!A:A,B2860,AllData!R:R)/vlookup(B2860,AllData!A:O,15,0)</f>
        <v>104.9271429</v>
      </c>
      <c r="W2860" s="6"/>
    </row>
    <row r="2861" ht="14.25" customHeight="1">
      <c r="A2861" s="6" t="str">
        <f t="shared" si="29"/>
        <v>2025Ewert3</v>
      </c>
      <c r="B2861" s="59">
        <v>2025.0</v>
      </c>
      <c r="C2861" s="13" t="s">
        <v>108</v>
      </c>
      <c r="D2861" s="13" t="s">
        <v>135</v>
      </c>
      <c r="E2861" s="34"/>
      <c r="F2861" s="6"/>
      <c r="H2861" s="6"/>
      <c r="I2861" s="35" t="str">
        <f>IFERROR(IFERROR(IFERROR(VLOOKUP(B2861&amp;C2861&amp;Q2861,'New Weekly Paste'!A:M,10,0),VLOOKUP(B2861&amp;C2861&amp;Q2861,'New Weekly Paste'!B:O,6,0)),""),"")</f>
        <v>KnardDawg</v>
      </c>
      <c r="J2861" s="259">
        <f>IFERROR(IFERROR(VLOOKUP(B2861&amp;C2861&amp;Q2861,'New Weekly Paste'!A:M,8,0),VLOOKUP(B2861&amp;C2861&amp;Q2861,'New Weekly Paste'!B:O,10,0)),0)</f>
        <v>109.02</v>
      </c>
      <c r="K2861" s="259">
        <f>IFERROR(IFERROR(VLOOKUP(B2861&amp;I2861&amp;Q2861,'New Weekly Paste'!A:M,8,0),VLOOKUP(B2861&amp;I2861&amp;Q2861,'New Weekly Paste'!B:O,10,0)),0)</f>
        <v>86.68</v>
      </c>
      <c r="L2861" s="239">
        <f t="shared" si="25"/>
        <v>1</v>
      </c>
      <c r="M2861" s="36" t="str">
        <f t="shared" si="3"/>
        <v>Regular Season</v>
      </c>
      <c r="N2861" s="239" t="str">
        <f t="shared" si="26"/>
        <v>KnardDawg</v>
      </c>
      <c r="O2861" s="6">
        <f>VLOOKUP(D2861,'Mapped Opponent'!$G$4:$H$22,2,0)</f>
        <v>3</v>
      </c>
      <c r="P2861" s="6"/>
      <c r="Q2861" s="6" t="str">
        <f t="shared" si="4"/>
        <v>Week 3</v>
      </c>
      <c r="R2861" s="6" t="str">
        <f t="shared" si="5"/>
        <v>2025Week 3</v>
      </c>
      <c r="S2861" s="6">
        <f>IFERROR(__xludf.DUMMYFUNCTION("rank(J2861,FILTER(J:J,R:R=R2861))"),5.0)</f>
        <v>5</v>
      </c>
      <c r="T2861" s="6">
        <f t="shared" si="6"/>
        <v>7</v>
      </c>
      <c r="U2861" s="6">
        <f t="shared" si="7"/>
        <v>5</v>
      </c>
      <c r="V2861" s="42">
        <f>averageif(AllData!A:A,B2861,AllData!R:R)/vlookup(B2861,AllData!A:O,15,0)</f>
        <v>104.9271429</v>
      </c>
      <c r="W2861" s="6"/>
    </row>
    <row r="2862" ht="14.25" customHeight="1">
      <c r="A2862" s="6" t="str">
        <f t="shared" si="29"/>
        <v>2025Shep3</v>
      </c>
      <c r="B2862" s="59">
        <v>2025.0</v>
      </c>
      <c r="C2862" s="13" t="s">
        <v>89</v>
      </c>
      <c r="D2862" s="13" t="s">
        <v>135</v>
      </c>
      <c r="E2862" s="34"/>
      <c r="F2862" s="6"/>
      <c r="H2862" s="6"/>
      <c r="I2862" s="35" t="str">
        <f>IFERROR(IFERROR(IFERROR(VLOOKUP(B2862&amp;C2862&amp;Q2862,'New Weekly Paste'!A:M,10,0),VLOOKUP(B2862&amp;C2862&amp;Q2862,'New Weekly Paste'!B:O,6,0)),""),"")</f>
        <v>Hudspeath</v>
      </c>
      <c r="J2862" s="259">
        <f>IFERROR(IFERROR(VLOOKUP(B2862&amp;C2862&amp;Q2862,'New Weekly Paste'!A:M,8,0),VLOOKUP(B2862&amp;C2862&amp;Q2862,'New Weekly Paste'!B:O,10,0)),0)</f>
        <v>100.52</v>
      </c>
      <c r="K2862" s="259">
        <f>IFERROR(IFERROR(VLOOKUP(B2862&amp;I2862&amp;Q2862,'New Weekly Paste'!A:M,8,0),VLOOKUP(B2862&amp;I2862&amp;Q2862,'New Weekly Paste'!B:O,10,0)),0)</f>
        <v>115.22</v>
      </c>
      <c r="L2862" s="239">
        <f t="shared" si="25"/>
        <v>0</v>
      </c>
      <c r="M2862" s="36" t="str">
        <f t="shared" si="3"/>
        <v>Regular Season</v>
      </c>
      <c r="N2862" s="239" t="str">
        <f t="shared" si="26"/>
        <v>Hudspeath</v>
      </c>
      <c r="O2862" s="6">
        <f>VLOOKUP(D2862,'Mapped Opponent'!$G$4:$H$22,2,0)</f>
        <v>3</v>
      </c>
      <c r="P2862" s="6"/>
      <c r="Q2862" s="6" t="str">
        <f t="shared" si="4"/>
        <v>Week 3</v>
      </c>
      <c r="R2862" s="6" t="str">
        <f t="shared" si="5"/>
        <v>2025Week 3</v>
      </c>
      <c r="S2862" s="6">
        <f>IFERROR(__xludf.DUMMYFUNCTION("rank(J2862,FILTER(J:J,R:R=R2862))"),8.0)</f>
        <v>8</v>
      </c>
      <c r="T2862" s="6">
        <f t="shared" si="6"/>
        <v>4</v>
      </c>
      <c r="U2862" s="6">
        <f t="shared" si="7"/>
        <v>8</v>
      </c>
      <c r="V2862" s="42">
        <f>averageif(AllData!A:A,B2862,AllData!R:R)/vlookup(B2862,AllData!A:O,15,0)</f>
        <v>104.9271429</v>
      </c>
      <c r="W2862" s="6"/>
    </row>
    <row r="2863" ht="14.25" customHeight="1">
      <c r="A2863" s="6" t="str">
        <f t="shared" si="29"/>
        <v>2025Riley3</v>
      </c>
      <c r="B2863" s="59">
        <v>2025.0</v>
      </c>
      <c r="C2863" s="13" t="s">
        <v>67</v>
      </c>
      <c r="D2863" s="13" t="s">
        <v>135</v>
      </c>
      <c r="E2863" s="34"/>
      <c r="F2863" s="6"/>
      <c r="H2863" s="6"/>
      <c r="I2863" s="35" t="str">
        <f>IFERROR(IFERROR(IFERROR(VLOOKUP(B2863&amp;C2863&amp;Q2863,'New Weekly Paste'!A:M,10,0),VLOOKUP(B2863&amp;C2863&amp;Q2863,'New Weekly Paste'!B:O,6,0)),""),"")</f>
        <v>T-How</v>
      </c>
      <c r="J2863" s="259">
        <f>IFERROR(IFERROR(VLOOKUP(B2863&amp;C2863&amp;Q2863,'New Weekly Paste'!A:M,8,0),VLOOKUP(B2863&amp;C2863&amp;Q2863,'New Weekly Paste'!B:O,10,0)),0)</f>
        <v>83.4</v>
      </c>
      <c r="K2863" s="259">
        <f>IFERROR(IFERROR(VLOOKUP(B2863&amp;I2863&amp;Q2863,'New Weekly Paste'!A:M,8,0),VLOOKUP(B2863&amp;I2863&amp;Q2863,'New Weekly Paste'!B:O,10,0)),0)</f>
        <v>84.88</v>
      </c>
      <c r="L2863" s="239">
        <f t="shared" si="25"/>
        <v>0</v>
      </c>
      <c r="M2863" s="36" t="str">
        <f t="shared" si="3"/>
        <v>Regular Season</v>
      </c>
      <c r="N2863" s="239" t="str">
        <f t="shared" si="26"/>
        <v>T-How</v>
      </c>
      <c r="O2863" s="6">
        <f>VLOOKUP(D2863,'Mapped Opponent'!$G$4:$H$22,2,0)</f>
        <v>3</v>
      </c>
      <c r="P2863" s="6"/>
      <c r="Q2863" s="6" t="str">
        <f t="shared" si="4"/>
        <v>Week 3</v>
      </c>
      <c r="R2863" s="6" t="str">
        <f t="shared" si="5"/>
        <v>2025Week 3</v>
      </c>
      <c r="S2863" s="6">
        <f>IFERROR(__xludf.DUMMYFUNCTION("rank(J2863,FILTER(J:J,R:R=R2863))"),11.0)</f>
        <v>11</v>
      </c>
      <c r="T2863" s="6">
        <f t="shared" si="6"/>
        <v>1</v>
      </c>
      <c r="U2863" s="6">
        <f t="shared" si="7"/>
        <v>11</v>
      </c>
      <c r="V2863" s="42">
        <f>averageif(AllData!A:A,B2863,AllData!R:R)/vlookup(B2863,AllData!A:O,15,0)</f>
        <v>104.9271429</v>
      </c>
      <c r="W2863" s="6"/>
    </row>
    <row r="2864" ht="14.25" customHeight="1">
      <c r="A2864" s="6" t="str">
        <f t="shared" si="29"/>
        <v>2025Rooney/Jackson3</v>
      </c>
      <c r="B2864" s="59">
        <v>2025.0</v>
      </c>
      <c r="C2864" s="13" t="s">
        <v>57</v>
      </c>
      <c r="D2864" s="13" t="s">
        <v>135</v>
      </c>
      <c r="E2864" s="34"/>
      <c r="F2864" s="6"/>
      <c r="H2864" s="6"/>
      <c r="I2864" s="35" t="str">
        <f>IFERROR(IFERROR(IFERROR(VLOOKUP(B2864&amp;C2864&amp;Q2864,'New Weekly Paste'!A:M,10,0),VLOOKUP(B2864&amp;C2864&amp;Q2864,'New Weekly Paste'!B:O,6,0)),""),"")</f>
        <v>Buser</v>
      </c>
      <c r="J2864" s="259">
        <f>IFERROR(IFERROR(VLOOKUP(B2864&amp;C2864&amp;Q2864,'New Weekly Paste'!A:M,8,0),VLOOKUP(B2864&amp;C2864&amp;Q2864,'New Weekly Paste'!B:O,10,0)),0)</f>
        <v>122.04</v>
      </c>
      <c r="K2864" s="259">
        <f>IFERROR(IFERROR(VLOOKUP(B2864&amp;I2864&amp;Q2864,'New Weekly Paste'!A:M,8,0),VLOOKUP(B2864&amp;I2864&amp;Q2864,'New Weekly Paste'!B:O,10,0)),0)</f>
        <v>143.56</v>
      </c>
      <c r="L2864" s="239">
        <f t="shared" si="25"/>
        <v>0</v>
      </c>
      <c r="M2864" s="36" t="str">
        <f t="shared" si="3"/>
        <v>Regular Season</v>
      </c>
      <c r="N2864" s="239" t="str">
        <f t="shared" si="26"/>
        <v>Buser</v>
      </c>
      <c r="O2864" s="6">
        <f>VLOOKUP(D2864,'Mapped Opponent'!$G$4:$H$22,2,0)</f>
        <v>3</v>
      </c>
      <c r="P2864" s="6"/>
      <c r="Q2864" s="6" t="str">
        <f t="shared" si="4"/>
        <v>Week 3</v>
      </c>
      <c r="R2864" s="6" t="str">
        <f t="shared" si="5"/>
        <v>2025Week 3</v>
      </c>
      <c r="S2864" s="6">
        <f>IFERROR(__xludf.DUMMYFUNCTION("rank(J2864,FILTER(J:J,R:R=R2864))"),3.0)</f>
        <v>3</v>
      </c>
      <c r="T2864" s="6">
        <f t="shared" si="6"/>
        <v>9</v>
      </c>
      <c r="U2864" s="6">
        <f t="shared" si="7"/>
        <v>3</v>
      </c>
      <c r="V2864" s="42">
        <f>averageif(AllData!A:A,B2864,AllData!R:R)/vlookup(B2864,AllData!A:O,15,0)</f>
        <v>104.9271429</v>
      </c>
      <c r="W2864" s="6"/>
    </row>
    <row r="2865" ht="14.25" customHeight="1">
      <c r="A2865" s="6" t="str">
        <f t="shared" si="29"/>
        <v>2025Buser3</v>
      </c>
      <c r="B2865" s="59">
        <v>2025.0</v>
      </c>
      <c r="C2865" s="13" t="s">
        <v>47</v>
      </c>
      <c r="D2865" s="13" t="s">
        <v>135</v>
      </c>
      <c r="E2865" s="34"/>
      <c r="F2865" s="6"/>
      <c r="H2865" s="6"/>
      <c r="I2865" s="35" t="str">
        <f>IFERROR(IFERROR(IFERROR(VLOOKUP(B2865&amp;C2865&amp;Q2865,'New Weekly Paste'!A:M,10,0),VLOOKUP(B2865&amp;C2865&amp;Q2865,'New Weekly Paste'!B:O,6,0)),""),"")</f>
        <v>Rooney/Jackson</v>
      </c>
      <c r="J2865" s="259">
        <f>IFERROR(IFERROR(VLOOKUP(B2865&amp;C2865&amp;Q2865,'New Weekly Paste'!A:M,8,0),VLOOKUP(B2865&amp;C2865&amp;Q2865,'New Weekly Paste'!B:O,10,0)),0)</f>
        <v>143.56</v>
      </c>
      <c r="K2865" s="259">
        <f>IFERROR(IFERROR(VLOOKUP(B2865&amp;I2865&amp;Q2865,'New Weekly Paste'!A:M,8,0),VLOOKUP(B2865&amp;I2865&amp;Q2865,'New Weekly Paste'!B:O,10,0)),0)</f>
        <v>122.04</v>
      </c>
      <c r="L2865" s="239">
        <f t="shared" si="25"/>
        <v>1</v>
      </c>
      <c r="M2865" s="36" t="str">
        <f t="shared" si="3"/>
        <v>Regular Season</v>
      </c>
      <c r="N2865" s="239" t="str">
        <f t="shared" si="26"/>
        <v>Rooney/Jackson</v>
      </c>
      <c r="O2865" s="6">
        <f>VLOOKUP(D2865,'Mapped Opponent'!$G$4:$H$22,2,0)</f>
        <v>3</v>
      </c>
      <c r="P2865" s="6"/>
      <c r="Q2865" s="6" t="str">
        <f t="shared" si="4"/>
        <v>Week 3</v>
      </c>
      <c r="R2865" s="6" t="str">
        <f t="shared" si="5"/>
        <v>2025Week 3</v>
      </c>
      <c r="S2865" s="6">
        <f>IFERROR(__xludf.DUMMYFUNCTION("rank(J2865,FILTER(J:J,R:R=R2865))"),1.0)</f>
        <v>1</v>
      </c>
      <c r="T2865" s="6">
        <f t="shared" si="6"/>
        <v>11</v>
      </c>
      <c r="U2865" s="6">
        <f t="shared" si="7"/>
        <v>1</v>
      </c>
      <c r="V2865" s="42">
        <f>averageif(AllData!A:A,B2865,AllData!R:R)/vlookup(B2865,AllData!A:O,15,0)</f>
        <v>104.9271429</v>
      </c>
      <c r="W2865" s="6"/>
    </row>
    <row r="2866" ht="14.25" customHeight="1">
      <c r="A2866" s="6" t="str">
        <f t="shared" si="29"/>
        <v>2025Pierson3</v>
      </c>
      <c r="B2866" s="59">
        <v>2025.0</v>
      </c>
      <c r="C2866" s="13" t="s">
        <v>92</v>
      </c>
      <c r="D2866" s="13" t="s">
        <v>135</v>
      </c>
      <c r="E2866" s="34"/>
      <c r="F2866" s="6"/>
      <c r="H2866" s="6"/>
      <c r="I2866" s="35" t="str">
        <f>IFERROR(IFERROR(IFERROR(VLOOKUP(B2866&amp;C2866&amp;Q2866,'New Weekly Paste'!A:M,10,0),VLOOKUP(B2866&amp;C2866&amp;Q2866,'New Weekly Paste'!B:O,6,0)),""),"")</f>
        <v>Cock</v>
      </c>
      <c r="J2866" s="259">
        <f>IFERROR(IFERROR(VLOOKUP(B2866&amp;C2866&amp;Q2866,'New Weekly Paste'!A:M,8,0),VLOOKUP(B2866&amp;C2866&amp;Q2866,'New Weekly Paste'!B:O,10,0)),0)</f>
        <v>123.44</v>
      </c>
      <c r="K2866" s="259">
        <f>IFERROR(IFERROR(VLOOKUP(B2866&amp;I2866&amp;Q2866,'New Weekly Paste'!A:M,8,0),VLOOKUP(B2866&amp;I2866&amp;Q2866,'New Weekly Paste'!B:O,10,0)),0)</f>
        <v>101.96</v>
      </c>
      <c r="L2866" s="239">
        <f t="shared" si="25"/>
        <v>1</v>
      </c>
      <c r="M2866" s="36" t="str">
        <f t="shared" si="3"/>
        <v>Regular Season</v>
      </c>
      <c r="N2866" s="239" t="str">
        <f t="shared" si="26"/>
        <v>Cock</v>
      </c>
      <c r="O2866" s="6">
        <f>VLOOKUP(D2866,'Mapped Opponent'!$G$4:$H$22,2,0)</f>
        <v>3</v>
      </c>
      <c r="P2866" s="6"/>
      <c r="Q2866" s="6" t="str">
        <f t="shared" si="4"/>
        <v>Week 3</v>
      </c>
      <c r="R2866" s="6" t="str">
        <f t="shared" si="5"/>
        <v>2025Week 3</v>
      </c>
      <c r="S2866" s="6">
        <f>IFERROR(__xludf.DUMMYFUNCTION("rank(J2866,FILTER(J:J,R:R=R2866))"),2.0)</f>
        <v>2</v>
      </c>
      <c r="T2866" s="6">
        <f t="shared" si="6"/>
        <v>10</v>
      </c>
      <c r="U2866" s="6">
        <f t="shared" si="7"/>
        <v>2</v>
      </c>
      <c r="V2866" s="42">
        <f>averageif(AllData!A:A,B2866,AllData!R:R)/vlookup(B2866,AllData!A:O,15,0)</f>
        <v>104.9271429</v>
      </c>
      <c r="W2866" s="6"/>
    </row>
    <row r="2867" ht="14.25" customHeight="1">
      <c r="A2867" s="6" t="str">
        <f t="shared" si="29"/>
        <v>2025Cock3</v>
      </c>
      <c r="B2867" s="59">
        <v>2025.0</v>
      </c>
      <c r="C2867" s="13" t="s">
        <v>72</v>
      </c>
      <c r="D2867" s="13" t="s">
        <v>135</v>
      </c>
      <c r="E2867" s="34"/>
      <c r="F2867" s="6"/>
      <c r="H2867" s="6"/>
      <c r="I2867" s="35" t="str">
        <f>IFERROR(IFERROR(IFERROR(VLOOKUP(B2867&amp;C2867&amp;Q2867,'New Weekly Paste'!A:M,10,0),VLOOKUP(B2867&amp;C2867&amp;Q2867,'New Weekly Paste'!B:O,6,0)),""),"")</f>
        <v>Pierson</v>
      </c>
      <c r="J2867" s="259">
        <f>IFERROR(IFERROR(VLOOKUP(B2867&amp;C2867&amp;Q2867,'New Weekly Paste'!A:M,8,0),VLOOKUP(B2867&amp;C2867&amp;Q2867,'New Weekly Paste'!B:O,10,0)),0)</f>
        <v>101.96</v>
      </c>
      <c r="K2867" s="259">
        <f>IFERROR(IFERROR(VLOOKUP(B2867&amp;I2867&amp;Q2867,'New Weekly Paste'!A:M,8,0),VLOOKUP(B2867&amp;I2867&amp;Q2867,'New Weekly Paste'!B:O,10,0)),0)</f>
        <v>123.44</v>
      </c>
      <c r="L2867" s="239">
        <f t="shared" si="25"/>
        <v>0</v>
      </c>
      <c r="M2867" s="36" t="str">
        <f t="shared" si="3"/>
        <v>Regular Season</v>
      </c>
      <c r="N2867" s="239" t="str">
        <f t="shared" si="26"/>
        <v>Pierson</v>
      </c>
      <c r="O2867" s="6">
        <f>VLOOKUP(D2867,'Mapped Opponent'!$G$4:$H$22,2,0)</f>
        <v>3</v>
      </c>
      <c r="P2867" s="6"/>
      <c r="Q2867" s="6" t="str">
        <f t="shared" si="4"/>
        <v>Week 3</v>
      </c>
      <c r="R2867" s="6" t="str">
        <f t="shared" si="5"/>
        <v>2025Week 3</v>
      </c>
      <c r="S2867" s="6">
        <f>IFERROR(__xludf.DUMMYFUNCTION("rank(J2867,FILTER(J:J,R:R=R2867))"),7.0)</f>
        <v>7</v>
      </c>
      <c r="T2867" s="6">
        <f t="shared" si="6"/>
        <v>5</v>
      </c>
      <c r="U2867" s="6">
        <f t="shared" si="7"/>
        <v>7</v>
      </c>
      <c r="V2867" s="42">
        <f>averageif(AllData!A:A,B2867,AllData!R:R)/vlookup(B2867,AllData!A:O,15,0)</f>
        <v>104.9271429</v>
      </c>
      <c r="W2867" s="6"/>
    </row>
    <row r="2868" ht="14.25" customHeight="1">
      <c r="A2868" s="6" t="str">
        <f t="shared" si="29"/>
        <v>2025Tayski3</v>
      </c>
      <c r="B2868" s="59">
        <v>2025.0</v>
      </c>
      <c r="C2868" s="13" t="s">
        <v>52</v>
      </c>
      <c r="D2868" s="13" t="s">
        <v>135</v>
      </c>
      <c r="E2868" s="34"/>
      <c r="F2868" s="6"/>
      <c r="H2868" s="6"/>
      <c r="I2868" s="35" t="str">
        <f>IFERROR(IFERROR(IFERROR(VLOOKUP(B2868&amp;C2868&amp;Q2868,'New Weekly Paste'!A:M,10,0),VLOOKUP(B2868&amp;C2868&amp;Q2868,'New Weekly Paste'!B:O,6,0)),""),"")</f>
        <v>Salty</v>
      </c>
      <c r="J2868" s="259">
        <f>IFERROR(IFERROR(VLOOKUP(B2868&amp;C2868&amp;Q2868,'New Weekly Paste'!A:M,8,0),VLOOKUP(B2868&amp;C2868&amp;Q2868,'New Weekly Paste'!B:O,10,0)),0)</f>
        <v>70.42</v>
      </c>
      <c r="K2868" s="259">
        <f>IFERROR(IFERROR(VLOOKUP(B2868&amp;I2868&amp;Q2868,'New Weekly Paste'!A:M,8,0),VLOOKUP(B2868&amp;I2868&amp;Q2868,'New Weekly Paste'!B:O,10,0)),0)</f>
        <v>106.12</v>
      </c>
      <c r="L2868" s="239">
        <f t="shared" si="25"/>
        <v>0</v>
      </c>
      <c r="M2868" s="36" t="str">
        <f t="shared" si="3"/>
        <v>Regular Season</v>
      </c>
      <c r="N2868" s="239" t="str">
        <f t="shared" si="26"/>
        <v>Salty</v>
      </c>
      <c r="O2868" s="6">
        <f>VLOOKUP(D2868,'Mapped Opponent'!$G$4:$H$22,2,0)</f>
        <v>3</v>
      </c>
      <c r="P2868" s="6"/>
      <c r="Q2868" s="6" t="str">
        <f t="shared" si="4"/>
        <v>Week 3</v>
      </c>
      <c r="R2868" s="6" t="str">
        <f t="shared" si="5"/>
        <v>2025Week 3</v>
      </c>
      <c r="S2868" s="6">
        <f>IFERROR(__xludf.DUMMYFUNCTION("rank(J2868,FILTER(J:J,R:R=R2868))"),12.0)</f>
        <v>12</v>
      </c>
      <c r="T2868" s="6">
        <f t="shared" si="6"/>
        <v>0</v>
      </c>
      <c r="U2868" s="6">
        <f t="shared" si="7"/>
        <v>12</v>
      </c>
      <c r="V2868" s="42">
        <f>averageif(AllData!A:A,B2868,AllData!R:R)/vlookup(B2868,AllData!A:O,15,0)</f>
        <v>104.9271429</v>
      </c>
      <c r="W2868" s="6"/>
    </row>
    <row r="2869" ht="14.25" customHeight="1">
      <c r="A2869" s="6" t="str">
        <f t="shared" si="29"/>
        <v>2025KnardDawg3</v>
      </c>
      <c r="B2869" s="59">
        <v>2025.0</v>
      </c>
      <c r="C2869" s="13" t="s">
        <v>86</v>
      </c>
      <c r="D2869" s="13" t="s">
        <v>135</v>
      </c>
      <c r="E2869" s="34"/>
      <c r="F2869" s="6"/>
      <c r="H2869" s="6"/>
      <c r="I2869" s="35" t="str">
        <f>IFERROR(IFERROR(IFERROR(VLOOKUP(B2869&amp;C2869&amp;Q2869,'New Weekly Paste'!A:M,10,0),VLOOKUP(B2869&amp;C2869&amp;Q2869,'New Weekly Paste'!B:O,6,0)),""),"")</f>
        <v>Ewert</v>
      </c>
      <c r="J2869" s="259">
        <f>IFERROR(IFERROR(VLOOKUP(B2869&amp;C2869&amp;Q2869,'New Weekly Paste'!A:M,8,0),VLOOKUP(B2869&amp;C2869&amp;Q2869,'New Weekly Paste'!B:O,10,0)),0)</f>
        <v>86.68</v>
      </c>
      <c r="K2869" s="259">
        <f>IFERROR(IFERROR(VLOOKUP(B2869&amp;I2869&amp;Q2869,'New Weekly Paste'!A:M,8,0),VLOOKUP(B2869&amp;I2869&amp;Q2869,'New Weekly Paste'!B:O,10,0)),0)</f>
        <v>109.02</v>
      </c>
      <c r="L2869" s="239">
        <f t="shared" si="25"/>
        <v>0</v>
      </c>
      <c r="M2869" s="36" t="str">
        <f t="shared" si="3"/>
        <v>Regular Season</v>
      </c>
      <c r="N2869" s="239" t="str">
        <f t="shared" si="26"/>
        <v>Ewert</v>
      </c>
      <c r="O2869" s="6">
        <f>VLOOKUP(D2869,'Mapped Opponent'!$G$4:$H$22,2,0)</f>
        <v>3</v>
      </c>
      <c r="P2869" s="6"/>
      <c r="Q2869" s="6" t="str">
        <f t="shared" si="4"/>
        <v>Week 3</v>
      </c>
      <c r="R2869" s="6" t="str">
        <f t="shared" si="5"/>
        <v>2025Week 3</v>
      </c>
      <c r="S2869" s="6">
        <f>IFERROR(__xludf.DUMMYFUNCTION("rank(J2869,FILTER(J:J,R:R=R2869))"),9.0)</f>
        <v>9</v>
      </c>
      <c r="T2869" s="6">
        <f t="shared" si="6"/>
        <v>3</v>
      </c>
      <c r="U2869" s="6">
        <f t="shared" si="7"/>
        <v>9</v>
      </c>
      <c r="V2869" s="42">
        <f>averageif(AllData!A:A,B2869,AllData!R:R)/vlookup(B2869,AllData!A:O,15,0)</f>
        <v>104.9271429</v>
      </c>
      <c r="W2869" s="6"/>
    </row>
    <row r="2870" ht="14.25" customHeight="1">
      <c r="A2870" s="6" t="str">
        <f t="shared" si="29"/>
        <v>2025T-How3</v>
      </c>
      <c r="B2870" s="59">
        <v>2025.0</v>
      </c>
      <c r="C2870" s="13" t="s">
        <v>82</v>
      </c>
      <c r="D2870" s="13" t="s">
        <v>135</v>
      </c>
      <c r="E2870" s="34"/>
      <c r="F2870" s="6"/>
      <c r="H2870" s="6"/>
      <c r="I2870" s="35" t="str">
        <f>IFERROR(IFERROR(IFERROR(VLOOKUP(B2870&amp;C2870&amp;Q2870,'New Weekly Paste'!A:M,10,0),VLOOKUP(B2870&amp;C2870&amp;Q2870,'New Weekly Paste'!B:O,6,0)),""),"")</f>
        <v>Riley</v>
      </c>
      <c r="J2870" s="259">
        <f>IFERROR(IFERROR(VLOOKUP(B2870&amp;C2870&amp;Q2870,'New Weekly Paste'!A:M,8,0),VLOOKUP(B2870&amp;C2870&amp;Q2870,'New Weekly Paste'!B:O,10,0)),0)</f>
        <v>84.88</v>
      </c>
      <c r="K2870" s="259">
        <f>IFERROR(IFERROR(VLOOKUP(B2870&amp;I2870&amp;Q2870,'New Weekly Paste'!A:M,8,0),VLOOKUP(B2870&amp;I2870&amp;Q2870,'New Weekly Paste'!B:O,10,0)),0)</f>
        <v>83.4</v>
      </c>
      <c r="L2870" s="239">
        <f t="shared" si="25"/>
        <v>1</v>
      </c>
      <c r="M2870" s="36" t="str">
        <f t="shared" si="3"/>
        <v>Regular Season</v>
      </c>
      <c r="N2870" s="239" t="str">
        <f t="shared" si="26"/>
        <v>Riley</v>
      </c>
      <c r="O2870" s="6">
        <f>VLOOKUP(D2870,'Mapped Opponent'!$G$4:$H$22,2,0)</f>
        <v>3</v>
      </c>
      <c r="P2870" s="6"/>
      <c r="Q2870" s="6" t="str">
        <f t="shared" si="4"/>
        <v>Week 3</v>
      </c>
      <c r="R2870" s="6" t="str">
        <f t="shared" si="5"/>
        <v>2025Week 3</v>
      </c>
      <c r="S2870" s="6">
        <f>IFERROR(__xludf.DUMMYFUNCTION("rank(J2870,FILTER(J:J,R:R=R2870))"),10.0)</f>
        <v>10</v>
      </c>
      <c r="T2870" s="6">
        <f t="shared" si="6"/>
        <v>2</v>
      </c>
      <c r="U2870" s="6">
        <f t="shared" si="7"/>
        <v>10</v>
      </c>
      <c r="V2870" s="42">
        <f>averageif(AllData!A:A,B2870,AllData!R:R)/vlookup(B2870,AllData!A:O,15,0)</f>
        <v>104.9271429</v>
      </c>
      <c r="W2870" s="6"/>
    </row>
    <row r="2871" ht="14.25" customHeight="1">
      <c r="A2871" s="6" t="str">
        <f t="shared" si="29"/>
        <v>2025Hudspeath4</v>
      </c>
      <c r="B2871" s="59">
        <v>2025.0</v>
      </c>
      <c r="C2871" s="13" t="s">
        <v>39</v>
      </c>
      <c r="D2871" s="13" t="s">
        <v>138</v>
      </c>
      <c r="E2871" s="34"/>
      <c r="F2871" s="6"/>
      <c r="H2871" s="6"/>
      <c r="I2871" s="35" t="str">
        <f>IFERROR(IFERROR(IFERROR(VLOOKUP(B2871&amp;C2871&amp;Q2871,'New Weekly Paste'!A:M,10,0),VLOOKUP(B2871&amp;C2871&amp;Q2871,'New Weekly Paste'!B:O,6,0)),""),"")</f>
        <v>Salty</v>
      </c>
      <c r="J2871" s="259">
        <f>IFERROR(IFERROR(VLOOKUP(B2871&amp;C2871&amp;Q2871,'New Weekly Paste'!A:M,8,0),VLOOKUP(B2871&amp;C2871&amp;Q2871,'New Weekly Paste'!B:O,10,0)),0)</f>
        <v>112.48</v>
      </c>
      <c r="K2871" s="259">
        <f>IFERROR(IFERROR(VLOOKUP(B2871&amp;I2871&amp;Q2871,'New Weekly Paste'!A:M,8,0),VLOOKUP(B2871&amp;I2871&amp;Q2871,'New Weekly Paste'!B:O,10,0)),0)</f>
        <v>81.28</v>
      </c>
      <c r="L2871" s="239">
        <f t="shared" si="25"/>
        <v>1</v>
      </c>
      <c r="M2871" s="36" t="str">
        <f t="shared" si="3"/>
        <v>Regular Season</v>
      </c>
      <c r="N2871" s="239" t="str">
        <f t="shared" si="26"/>
        <v>Salty</v>
      </c>
      <c r="O2871" s="6">
        <f>VLOOKUP(D2871,'Mapped Opponent'!$G$4:$H$22,2,0)</f>
        <v>4</v>
      </c>
      <c r="P2871" s="6"/>
      <c r="Q2871" s="6" t="str">
        <f t="shared" si="4"/>
        <v>Week 4</v>
      </c>
      <c r="R2871" s="6" t="str">
        <f t="shared" si="5"/>
        <v>2025Week 4</v>
      </c>
      <c r="S2871" s="6">
        <f>IFERROR(__xludf.DUMMYFUNCTION("rank(J2871,FILTER(J:J,R:R=R2871))"),7.0)</f>
        <v>7</v>
      </c>
      <c r="T2871" s="6">
        <f t="shared" si="6"/>
        <v>5</v>
      </c>
      <c r="U2871" s="6">
        <f t="shared" si="7"/>
        <v>7</v>
      </c>
      <c r="V2871" s="42">
        <f>averageif(AllData!A:A,B2871,AllData!R:R)/vlookup(B2871,AllData!A:O,15,0)</f>
        <v>104.9271429</v>
      </c>
      <c r="W2871" s="6"/>
    </row>
    <row r="2872" ht="14.25" customHeight="1">
      <c r="A2872" s="6" t="str">
        <f t="shared" si="29"/>
        <v>2025Salty4</v>
      </c>
      <c r="B2872" s="59">
        <v>2025.0</v>
      </c>
      <c r="C2872" s="13" t="s">
        <v>76</v>
      </c>
      <c r="D2872" s="13" t="s">
        <v>138</v>
      </c>
      <c r="E2872" s="34"/>
      <c r="F2872" s="6"/>
      <c r="H2872" s="6"/>
      <c r="I2872" s="35" t="str">
        <f>IFERROR(IFERROR(IFERROR(VLOOKUP(B2872&amp;C2872&amp;Q2872,'New Weekly Paste'!A:M,10,0),VLOOKUP(B2872&amp;C2872&amp;Q2872,'New Weekly Paste'!B:O,6,0)),""),"")</f>
        <v>Hudspeath</v>
      </c>
      <c r="J2872" s="259">
        <f>IFERROR(IFERROR(VLOOKUP(B2872&amp;C2872&amp;Q2872,'New Weekly Paste'!A:M,8,0),VLOOKUP(B2872&amp;C2872&amp;Q2872,'New Weekly Paste'!B:O,10,0)),0)</f>
        <v>81.28</v>
      </c>
      <c r="K2872" s="259">
        <f>IFERROR(IFERROR(VLOOKUP(B2872&amp;I2872&amp;Q2872,'New Weekly Paste'!A:M,8,0),VLOOKUP(B2872&amp;I2872&amp;Q2872,'New Weekly Paste'!B:O,10,0)),0)</f>
        <v>112.48</v>
      </c>
      <c r="L2872" s="239">
        <f t="shared" si="25"/>
        <v>0</v>
      </c>
      <c r="M2872" s="36" t="str">
        <f t="shared" si="3"/>
        <v>Regular Season</v>
      </c>
      <c r="N2872" s="239" t="str">
        <f t="shared" si="26"/>
        <v>Hudspeath</v>
      </c>
      <c r="O2872" s="6">
        <f>VLOOKUP(D2872,'Mapped Opponent'!$G$4:$H$22,2,0)</f>
        <v>4</v>
      </c>
      <c r="P2872" s="6"/>
      <c r="Q2872" s="6" t="str">
        <f t="shared" si="4"/>
        <v>Week 4</v>
      </c>
      <c r="R2872" s="6" t="str">
        <f t="shared" si="5"/>
        <v>2025Week 4</v>
      </c>
      <c r="S2872" s="6">
        <f>IFERROR(__xludf.DUMMYFUNCTION("rank(J2872,FILTER(J:J,R:R=R2872))"),12.0)</f>
        <v>12</v>
      </c>
      <c r="T2872" s="6">
        <f t="shared" si="6"/>
        <v>0</v>
      </c>
      <c r="U2872" s="6">
        <f t="shared" si="7"/>
        <v>12</v>
      </c>
      <c r="V2872" s="42">
        <f>averageif(AllData!A:A,B2872,AllData!R:R)/vlookup(B2872,AllData!A:O,15,0)</f>
        <v>104.9271429</v>
      </c>
      <c r="W2872" s="6"/>
    </row>
    <row r="2873" ht="14.25" customHeight="1">
      <c r="A2873" s="6" t="str">
        <f t="shared" si="29"/>
        <v>2025Ewert4</v>
      </c>
      <c r="B2873" s="59">
        <v>2025.0</v>
      </c>
      <c r="C2873" s="13" t="s">
        <v>108</v>
      </c>
      <c r="D2873" s="13" t="s">
        <v>138</v>
      </c>
      <c r="E2873" s="34"/>
      <c r="F2873" s="6"/>
      <c r="H2873" s="6"/>
      <c r="I2873" s="35" t="str">
        <f>IFERROR(IFERROR(IFERROR(VLOOKUP(B2873&amp;C2873&amp;Q2873,'New Weekly Paste'!A:M,10,0),VLOOKUP(B2873&amp;C2873&amp;Q2873,'New Weekly Paste'!B:O,6,0)),""),"")</f>
        <v>Rooney/Jackson</v>
      </c>
      <c r="J2873" s="259">
        <f>IFERROR(IFERROR(VLOOKUP(B2873&amp;C2873&amp;Q2873,'New Weekly Paste'!A:M,8,0),VLOOKUP(B2873&amp;C2873&amp;Q2873,'New Weekly Paste'!B:O,10,0)),0)</f>
        <v>150.18</v>
      </c>
      <c r="K2873" s="259">
        <f>IFERROR(IFERROR(VLOOKUP(B2873&amp;I2873&amp;Q2873,'New Weekly Paste'!A:M,8,0),VLOOKUP(B2873&amp;I2873&amp;Q2873,'New Weekly Paste'!B:O,10,0)),0)</f>
        <v>113.12</v>
      </c>
      <c r="L2873" s="239">
        <f t="shared" si="25"/>
        <v>1</v>
      </c>
      <c r="M2873" s="36" t="str">
        <f t="shared" si="3"/>
        <v>Regular Season</v>
      </c>
      <c r="N2873" s="239" t="str">
        <f t="shared" si="26"/>
        <v>Rooney/Jackson</v>
      </c>
      <c r="O2873" s="6">
        <f>VLOOKUP(D2873,'Mapped Opponent'!$G$4:$H$22,2,0)</f>
        <v>4</v>
      </c>
      <c r="P2873" s="6"/>
      <c r="Q2873" s="6" t="str">
        <f t="shared" si="4"/>
        <v>Week 4</v>
      </c>
      <c r="R2873" s="6" t="str">
        <f t="shared" si="5"/>
        <v>2025Week 4</v>
      </c>
      <c r="S2873" s="6">
        <f>IFERROR(__xludf.DUMMYFUNCTION("rank(J2873,FILTER(J:J,R:R=R2873))"),1.0)</f>
        <v>1</v>
      </c>
      <c r="T2873" s="6">
        <f t="shared" si="6"/>
        <v>11</v>
      </c>
      <c r="U2873" s="6">
        <f t="shared" si="7"/>
        <v>1</v>
      </c>
      <c r="V2873" s="42">
        <f>averageif(AllData!A:A,B2873,AllData!R:R)/vlookup(B2873,AllData!A:O,15,0)</f>
        <v>104.9271429</v>
      </c>
      <c r="W2873" s="6"/>
    </row>
    <row r="2874" ht="14.25" customHeight="1">
      <c r="A2874" s="6" t="str">
        <f t="shared" si="29"/>
        <v>2025Shep4</v>
      </c>
      <c r="B2874" s="59">
        <v>2025.0</v>
      </c>
      <c r="C2874" s="13" t="s">
        <v>89</v>
      </c>
      <c r="D2874" s="13" t="s">
        <v>138</v>
      </c>
      <c r="E2874" s="34"/>
      <c r="F2874" s="6"/>
      <c r="H2874" s="6"/>
      <c r="I2874" s="35" t="str">
        <f>IFERROR(IFERROR(IFERROR(VLOOKUP(B2874&amp;C2874&amp;Q2874,'New Weekly Paste'!A:M,10,0),VLOOKUP(B2874&amp;C2874&amp;Q2874,'New Weekly Paste'!B:O,6,0)),""),"")</f>
        <v>Pierson</v>
      </c>
      <c r="J2874" s="259">
        <f>IFERROR(IFERROR(VLOOKUP(B2874&amp;C2874&amp;Q2874,'New Weekly Paste'!A:M,8,0),VLOOKUP(B2874&amp;C2874&amp;Q2874,'New Weekly Paste'!B:O,10,0)),0)</f>
        <v>135.36</v>
      </c>
      <c r="K2874" s="259">
        <f>IFERROR(IFERROR(VLOOKUP(B2874&amp;I2874&amp;Q2874,'New Weekly Paste'!A:M,8,0),VLOOKUP(B2874&amp;I2874&amp;Q2874,'New Weekly Paste'!B:O,10,0)),0)</f>
        <v>111.6</v>
      </c>
      <c r="L2874" s="239">
        <f t="shared" si="25"/>
        <v>1</v>
      </c>
      <c r="M2874" s="36" t="str">
        <f t="shared" si="3"/>
        <v>Regular Season</v>
      </c>
      <c r="N2874" s="239" t="str">
        <f t="shared" si="26"/>
        <v>Pierson</v>
      </c>
      <c r="O2874" s="6">
        <f>VLOOKUP(D2874,'Mapped Opponent'!$G$4:$H$22,2,0)</f>
        <v>4</v>
      </c>
      <c r="P2874" s="6"/>
      <c r="Q2874" s="6" t="str">
        <f t="shared" si="4"/>
        <v>Week 4</v>
      </c>
      <c r="R2874" s="6" t="str">
        <f t="shared" si="5"/>
        <v>2025Week 4</v>
      </c>
      <c r="S2874" s="6">
        <f>IFERROR(__xludf.DUMMYFUNCTION("rank(J2874,FILTER(J:J,R:R=R2874))"),2.0)</f>
        <v>2</v>
      </c>
      <c r="T2874" s="6">
        <f t="shared" si="6"/>
        <v>10</v>
      </c>
      <c r="U2874" s="6">
        <f t="shared" si="7"/>
        <v>2</v>
      </c>
      <c r="V2874" s="42">
        <f>averageif(AllData!A:A,B2874,AllData!R:R)/vlookup(B2874,AllData!A:O,15,0)</f>
        <v>104.9271429</v>
      </c>
      <c r="W2874" s="6"/>
    </row>
    <row r="2875" ht="14.25" customHeight="1">
      <c r="A2875" s="6" t="str">
        <f t="shared" si="29"/>
        <v>2025Riley4</v>
      </c>
      <c r="B2875" s="59">
        <v>2025.0</v>
      </c>
      <c r="C2875" s="13" t="s">
        <v>67</v>
      </c>
      <c r="D2875" s="13" t="s">
        <v>138</v>
      </c>
      <c r="E2875" s="34"/>
      <c r="F2875" s="6"/>
      <c r="H2875" s="6"/>
      <c r="I2875" s="35" t="str">
        <f>IFERROR(IFERROR(IFERROR(VLOOKUP(B2875&amp;C2875&amp;Q2875,'New Weekly Paste'!A:M,10,0),VLOOKUP(B2875&amp;C2875&amp;Q2875,'New Weekly Paste'!B:O,6,0)),""),"")</f>
        <v>KnardDawg</v>
      </c>
      <c r="J2875" s="259">
        <f>IFERROR(IFERROR(VLOOKUP(B2875&amp;C2875&amp;Q2875,'New Weekly Paste'!A:M,8,0),VLOOKUP(B2875&amp;C2875&amp;Q2875,'New Weekly Paste'!B:O,10,0)),0)</f>
        <v>85.52</v>
      </c>
      <c r="K2875" s="259">
        <f>IFERROR(IFERROR(VLOOKUP(B2875&amp;I2875&amp;Q2875,'New Weekly Paste'!A:M,8,0),VLOOKUP(B2875&amp;I2875&amp;Q2875,'New Weekly Paste'!B:O,10,0)),0)</f>
        <v>133.54</v>
      </c>
      <c r="L2875" s="239">
        <f t="shared" si="25"/>
        <v>0</v>
      </c>
      <c r="M2875" s="36" t="str">
        <f t="shared" si="3"/>
        <v>Regular Season</v>
      </c>
      <c r="N2875" s="239" t="str">
        <f t="shared" si="26"/>
        <v>KnardDawg</v>
      </c>
      <c r="O2875" s="6">
        <f>VLOOKUP(D2875,'Mapped Opponent'!$G$4:$H$22,2,0)</f>
        <v>4</v>
      </c>
      <c r="P2875" s="6"/>
      <c r="Q2875" s="6" t="str">
        <f t="shared" si="4"/>
        <v>Week 4</v>
      </c>
      <c r="R2875" s="6" t="str">
        <f t="shared" si="5"/>
        <v>2025Week 4</v>
      </c>
      <c r="S2875" s="6">
        <f>IFERROR(__xludf.DUMMYFUNCTION("rank(J2875,FILTER(J:J,R:R=R2875))"),11.0)</f>
        <v>11</v>
      </c>
      <c r="T2875" s="6">
        <f t="shared" si="6"/>
        <v>1</v>
      </c>
      <c r="U2875" s="6">
        <f t="shared" si="7"/>
        <v>11</v>
      </c>
      <c r="V2875" s="42">
        <f>averageif(AllData!A:A,B2875,AllData!R:R)/vlookup(B2875,AllData!A:O,15,0)</f>
        <v>104.9271429</v>
      </c>
      <c r="W2875" s="6"/>
    </row>
    <row r="2876" ht="14.25" customHeight="1">
      <c r="A2876" s="6" t="str">
        <f t="shared" si="29"/>
        <v>2025Rooney/Jackson4</v>
      </c>
      <c r="B2876" s="59">
        <v>2025.0</v>
      </c>
      <c r="C2876" s="13" t="s">
        <v>57</v>
      </c>
      <c r="D2876" s="13" t="s">
        <v>138</v>
      </c>
      <c r="E2876" s="34"/>
      <c r="F2876" s="6"/>
      <c r="H2876" s="6"/>
      <c r="I2876" s="35" t="str">
        <f>IFERROR(IFERROR(IFERROR(VLOOKUP(B2876&amp;C2876&amp;Q2876,'New Weekly Paste'!A:M,10,0),VLOOKUP(B2876&amp;C2876&amp;Q2876,'New Weekly Paste'!B:O,6,0)),""),"")</f>
        <v>Ewert</v>
      </c>
      <c r="J2876" s="259">
        <f>IFERROR(IFERROR(VLOOKUP(B2876&amp;C2876&amp;Q2876,'New Weekly Paste'!A:M,8,0),VLOOKUP(B2876&amp;C2876&amp;Q2876,'New Weekly Paste'!B:O,10,0)),0)</f>
        <v>113.12</v>
      </c>
      <c r="K2876" s="259">
        <f>IFERROR(IFERROR(VLOOKUP(B2876&amp;I2876&amp;Q2876,'New Weekly Paste'!A:M,8,0),VLOOKUP(B2876&amp;I2876&amp;Q2876,'New Weekly Paste'!B:O,10,0)),0)</f>
        <v>150.18</v>
      </c>
      <c r="L2876" s="239">
        <f t="shared" si="25"/>
        <v>0</v>
      </c>
      <c r="M2876" s="36" t="str">
        <f t="shared" si="3"/>
        <v>Regular Season</v>
      </c>
      <c r="N2876" s="239" t="str">
        <f t="shared" si="26"/>
        <v>Ewert</v>
      </c>
      <c r="O2876" s="6">
        <f>VLOOKUP(D2876,'Mapped Opponent'!$G$4:$H$22,2,0)</f>
        <v>4</v>
      </c>
      <c r="P2876" s="6"/>
      <c r="Q2876" s="6" t="str">
        <f t="shared" si="4"/>
        <v>Week 4</v>
      </c>
      <c r="R2876" s="6" t="str">
        <f t="shared" si="5"/>
        <v>2025Week 4</v>
      </c>
      <c r="S2876" s="6">
        <f>IFERROR(__xludf.DUMMYFUNCTION("rank(J2876,FILTER(J:J,R:R=R2876))"),6.0)</f>
        <v>6</v>
      </c>
      <c r="T2876" s="6">
        <f t="shared" si="6"/>
        <v>6</v>
      </c>
      <c r="U2876" s="6">
        <f t="shared" si="7"/>
        <v>6</v>
      </c>
      <c r="V2876" s="42">
        <f>averageif(AllData!A:A,B2876,AllData!R:R)/vlookup(B2876,AllData!A:O,15,0)</f>
        <v>104.9271429</v>
      </c>
      <c r="W2876" s="6"/>
    </row>
    <row r="2877" ht="14.25" customHeight="1">
      <c r="A2877" s="6" t="str">
        <f t="shared" si="29"/>
        <v>2025Buser4</v>
      </c>
      <c r="B2877" s="59">
        <v>2025.0</v>
      </c>
      <c r="C2877" s="13" t="s">
        <v>47</v>
      </c>
      <c r="D2877" s="13" t="s">
        <v>138</v>
      </c>
      <c r="E2877" s="34"/>
      <c r="F2877" s="6"/>
      <c r="H2877" s="6"/>
      <c r="I2877" s="35" t="str">
        <f>IFERROR(IFERROR(IFERROR(VLOOKUP(B2877&amp;C2877&amp;Q2877,'New Weekly Paste'!A:M,10,0),VLOOKUP(B2877&amp;C2877&amp;Q2877,'New Weekly Paste'!B:O,6,0)),""),"")</f>
        <v>Cock</v>
      </c>
      <c r="J2877" s="259">
        <f>IFERROR(IFERROR(VLOOKUP(B2877&amp;C2877&amp;Q2877,'New Weekly Paste'!A:M,8,0),VLOOKUP(B2877&amp;C2877&amp;Q2877,'New Weekly Paste'!B:O,10,0)),0)</f>
        <v>111.2</v>
      </c>
      <c r="K2877" s="259">
        <f>IFERROR(IFERROR(VLOOKUP(B2877&amp;I2877&amp;Q2877,'New Weekly Paste'!A:M,8,0),VLOOKUP(B2877&amp;I2877&amp;Q2877,'New Weekly Paste'!B:O,10,0)),0)</f>
        <v>124.7</v>
      </c>
      <c r="L2877" s="239">
        <f t="shared" si="25"/>
        <v>0</v>
      </c>
      <c r="M2877" s="36" t="str">
        <f t="shared" si="3"/>
        <v>Regular Season</v>
      </c>
      <c r="N2877" s="239" t="str">
        <f t="shared" si="26"/>
        <v>Cock</v>
      </c>
      <c r="O2877" s="6">
        <f>VLOOKUP(D2877,'Mapped Opponent'!$G$4:$H$22,2,0)</f>
        <v>4</v>
      </c>
      <c r="P2877" s="6"/>
      <c r="Q2877" s="6" t="str">
        <f t="shared" si="4"/>
        <v>Week 4</v>
      </c>
      <c r="R2877" s="6" t="str">
        <f t="shared" si="5"/>
        <v>2025Week 4</v>
      </c>
      <c r="S2877" s="6">
        <f>IFERROR(__xludf.DUMMYFUNCTION("rank(J2877,FILTER(J:J,R:R=R2877))"),9.0)</f>
        <v>9</v>
      </c>
      <c r="T2877" s="6">
        <f t="shared" si="6"/>
        <v>3</v>
      </c>
      <c r="U2877" s="6">
        <f t="shared" si="7"/>
        <v>9</v>
      </c>
      <c r="V2877" s="42">
        <f>averageif(AllData!A:A,B2877,AllData!R:R)/vlookup(B2877,AllData!A:O,15,0)</f>
        <v>104.9271429</v>
      </c>
      <c r="W2877" s="6"/>
    </row>
    <row r="2878" ht="14.25" customHeight="1">
      <c r="A2878" s="6" t="str">
        <f t="shared" si="29"/>
        <v>2025Pierson4</v>
      </c>
      <c r="B2878" s="59">
        <v>2025.0</v>
      </c>
      <c r="C2878" s="13" t="s">
        <v>92</v>
      </c>
      <c r="D2878" s="13" t="s">
        <v>138</v>
      </c>
      <c r="E2878" s="34"/>
      <c r="F2878" s="6"/>
      <c r="H2878" s="6"/>
      <c r="I2878" s="35" t="str">
        <f>IFERROR(IFERROR(IFERROR(VLOOKUP(B2878&amp;C2878&amp;Q2878,'New Weekly Paste'!A:M,10,0),VLOOKUP(B2878&amp;C2878&amp;Q2878,'New Weekly Paste'!B:O,6,0)),""),"")</f>
        <v>Shep</v>
      </c>
      <c r="J2878" s="259">
        <f>IFERROR(IFERROR(VLOOKUP(B2878&amp;C2878&amp;Q2878,'New Weekly Paste'!A:M,8,0),VLOOKUP(B2878&amp;C2878&amp;Q2878,'New Weekly Paste'!B:O,10,0)),0)</f>
        <v>111.6</v>
      </c>
      <c r="K2878" s="259">
        <f>IFERROR(IFERROR(VLOOKUP(B2878&amp;I2878&amp;Q2878,'New Weekly Paste'!A:M,8,0),VLOOKUP(B2878&amp;I2878&amp;Q2878,'New Weekly Paste'!B:O,10,0)),0)</f>
        <v>135.36</v>
      </c>
      <c r="L2878" s="239">
        <f t="shared" si="25"/>
        <v>0</v>
      </c>
      <c r="M2878" s="36" t="str">
        <f t="shared" si="3"/>
        <v>Regular Season</v>
      </c>
      <c r="N2878" s="239" t="str">
        <f t="shared" si="26"/>
        <v>Shep</v>
      </c>
      <c r="O2878" s="6">
        <f>VLOOKUP(D2878,'Mapped Opponent'!$G$4:$H$22,2,0)</f>
        <v>4</v>
      </c>
      <c r="P2878" s="6"/>
      <c r="Q2878" s="6" t="str">
        <f t="shared" si="4"/>
        <v>Week 4</v>
      </c>
      <c r="R2878" s="6" t="str">
        <f t="shared" si="5"/>
        <v>2025Week 4</v>
      </c>
      <c r="S2878" s="6">
        <f>IFERROR(__xludf.DUMMYFUNCTION("rank(J2878,FILTER(J:J,R:R=R2878))"),8.0)</f>
        <v>8</v>
      </c>
      <c r="T2878" s="6">
        <f t="shared" si="6"/>
        <v>4</v>
      </c>
      <c r="U2878" s="6">
        <f t="shared" si="7"/>
        <v>8</v>
      </c>
      <c r="V2878" s="42">
        <f>averageif(AllData!A:A,B2878,AllData!R:R)/vlookup(B2878,AllData!A:O,15,0)</f>
        <v>104.9271429</v>
      </c>
      <c r="W2878" s="6"/>
    </row>
    <row r="2879" ht="14.25" customHeight="1">
      <c r="A2879" s="6" t="str">
        <f t="shared" si="29"/>
        <v>2025Cock4</v>
      </c>
      <c r="B2879" s="59">
        <v>2025.0</v>
      </c>
      <c r="C2879" s="13" t="s">
        <v>72</v>
      </c>
      <c r="D2879" s="13" t="s">
        <v>138</v>
      </c>
      <c r="E2879" s="34"/>
      <c r="F2879" s="6"/>
      <c r="H2879" s="6"/>
      <c r="I2879" s="35" t="str">
        <f>IFERROR(IFERROR(IFERROR(VLOOKUP(B2879&amp;C2879&amp;Q2879,'New Weekly Paste'!A:M,10,0),VLOOKUP(B2879&amp;C2879&amp;Q2879,'New Weekly Paste'!B:O,6,0)),""),"")</f>
        <v>Buser</v>
      </c>
      <c r="J2879" s="259">
        <f>IFERROR(IFERROR(VLOOKUP(B2879&amp;C2879&amp;Q2879,'New Weekly Paste'!A:M,8,0),VLOOKUP(B2879&amp;C2879&amp;Q2879,'New Weekly Paste'!B:O,10,0)),0)</f>
        <v>124.7</v>
      </c>
      <c r="K2879" s="259">
        <f>IFERROR(IFERROR(VLOOKUP(B2879&amp;I2879&amp;Q2879,'New Weekly Paste'!A:M,8,0),VLOOKUP(B2879&amp;I2879&amp;Q2879,'New Weekly Paste'!B:O,10,0)),0)</f>
        <v>111.2</v>
      </c>
      <c r="L2879" s="239">
        <f t="shared" si="25"/>
        <v>1</v>
      </c>
      <c r="M2879" s="36" t="str">
        <f t="shared" si="3"/>
        <v>Regular Season</v>
      </c>
      <c r="N2879" s="239" t="str">
        <f t="shared" si="26"/>
        <v>Buser</v>
      </c>
      <c r="O2879" s="6">
        <f>VLOOKUP(D2879,'Mapped Opponent'!$G$4:$H$22,2,0)</f>
        <v>4</v>
      </c>
      <c r="P2879" s="6"/>
      <c r="Q2879" s="6" t="str">
        <f t="shared" si="4"/>
        <v>Week 4</v>
      </c>
      <c r="R2879" s="6" t="str">
        <f t="shared" si="5"/>
        <v>2025Week 4</v>
      </c>
      <c r="S2879" s="6">
        <f>IFERROR(__xludf.DUMMYFUNCTION("rank(J2879,FILTER(J:J,R:R=R2879))"),4.0)</f>
        <v>4</v>
      </c>
      <c r="T2879" s="6">
        <f t="shared" si="6"/>
        <v>8</v>
      </c>
      <c r="U2879" s="6">
        <f t="shared" si="7"/>
        <v>4</v>
      </c>
      <c r="V2879" s="42">
        <f>averageif(AllData!A:A,B2879,AllData!R:R)/vlookup(B2879,AllData!A:O,15,0)</f>
        <v>104.9271429</v>
      </c>
      <c r="W2879" s="6"/>
    </row>
    <row r="2880" ht="14.25" customHeight="1">
      <c r="A2880" s="6" t="str">
        <f t="shared" si="29"/>
        <v>2025Tayski4</v>
      </c>
      <c r="B2880" s="59">
        <v>2025.0</v>
      </c>
      <c r="C2880" s="13" t="s">
        <v>52</v>
      </c>
      <c r="D2880" s="13" t="s">
        <v>138</v>
      </c>
      <c r="E2880" s="34"/>
      <c r="F2880" s="6"/>
      <c r="H2880" s="6"/>
      <c r="I2880" s="35" t="str">
        <f>IFERROR(IFERROR(IFERROR(VLOOKUP(B2880&amp;C2880&amp;Q2880,'New Weekly Paste'!A:M,10,0),VLOOKUP(B2880&amp;C2880&amp;Q2880,'New Weekly Paste'!B:O,6,0)),""),"")</f>
        <v>T-How</v>
      </c>
      <c r="J2880" s="259">
        <f>IFERROR(IFERROR(VLOOKUP(B2880&amp;C2880&amp;Q2880,'New Weekly Paste'!A:M,8,0),VLOOKUP(B2880&amp;C2880&amp;Q2880,'New Weekly Paste'!B:O,10,0)),0)</f>
        <v>97.26</v>
      </c>
      <c r="K2880" s="259">
        <f>IFERROR(IFERROR(VLOOKUP(B2880&amp;I2880&amp;Q2880,'New Weekly Paste'!A:M,8,0),VLOOKUP(B2880&amp;I2880&amp;Q2880,'New Weekly Paste'!B:O,10,0)),0)</f>
        <v>120.94</v>
      </c>
      <c r="L2880" s="239">
        <f t="shared" si="25"/>
        <v>0</v>
      </c>
      <c r="M2880" s="36" t="str">
        <f t="shared" si="3"/>
        <v>Regular Season</v>
      </c>
      <c r="N2880" s="239" t="str">
        <f t="shared" si="26"/>
        <v>T-How</v>
      </c>
      <c r="O2880" s="6">
        <f>VLOOKUP(D2880,'Mapped Opponent'!$G$4:$H$22,2,0)</f>
        <v>4</v>
      </c>
      <c r="P2880" s="6"/>
      <c r="Q2880" s="6" t="str">
        <f t="shared" si="4"/>
        <v>Week 4</v>
      </c>
      <c r="R2880" s="6" t="str">
        <f t="shared" si="5"/>
        <v>2025Week 4</v>
      </c>
      <c r="S2880" s="6">
        <f>IFERROR(__xludf.DUMMYFUNCTION("rank(J2880,FILTER(J:J,R:R=R2880))"),10.0)</f>
        <v>10</v>
      </c>
      <c r="T2880" s="6">
        <f t="shared" si="6"/>
        <v>2</v>
      </c>
      <c r="U2880" s="6">
        <f t="shared" si="7"/>
        <v>10</v>
      </c>
      <c r="V2880" s="42">
        <f>averageif(AllData!A:A,B2880,AllData!R:R)/vlookup(B2880,AllData!A:O,15,0)</f>
        <v>104.9271429</v>
      </c>
      <c r="W2880" s="6"/>
    </row>
    <row r="2881" ht="14.25" customHeight="1">
      <c r="A2881" s="6" t="str">
        <f t="shared" si="29"/>
        <v>2025KnardDawg4</v>
      </c>
      <c r="B2881" s="59">
        <v>2025.0</v>
      </c>
      <c r="C2881" s="13" t="s">
        <v>86</v>
      </c>
      <c r="D2881" s="13" t="s">
        <v>138</v>
      </c>
      <c r="E2881" s="34"/>
      <c r="F2881" s="6"/>
      <c r="H2881" s="6"/>
      <c r="I2881" s="35" t="str">
        <f>IFERROR(IFERROR(IFERROR(VLOOKUP(B2881&amp;C2881&amp;Q2881,'New Weekly Paste'!A:M,10,0),VLOOKUP(B2881&amp;C2881&amp;Q2881,'New Weekly Paste'!B:O,6,0)),""),"")</f>
        <v>Riley</v>
      </c>
      <c r="J2881" s="259">
        <f>IFERROR(IFERROR(VLOOKUP(B2881&amp;C2881&amp;Q2881,'New Weekly Paste'!A:M,8,0),VLOOKUP(B2881&amp;C2881&amp;Q2881,'New Weekly Paste'!B:O,10,0)),0)</f>
        <v>133.54</v>
      </c>
      <c r="K2881" s="259">
        <f>IFERROR(IFERROR(VLOOKUP(B2881&amp;I2881&amp;Q2881,'New Weekly Paste'!A:M,8,0),VLOOKUP(B2881&amp;I2881&amp;Q2881,'New Weekly Paste'!B:O,10,0)),0)</f>
        <v>85.52</v>
      </c>
      <c r="L2881" s="239">
        <f t="shared" si="25"/>
        <v>1</v>
      </c>
      <c r="M2881" s="36" t="str">
        <f t="shared" si="3"/>
        <v>Regular Season</v>
      </c>
      <c r="N2881" s="239" t="str">
        <f t="shared" si="26"/>
        <v>Riley</v>
      </c>
      <c r="O2881" s="6">
        <f>VLOOKUP(D2881,'Mapped Opponent'!$G$4:$H$22,2,0)</f>
        <v>4</v>
      </c>
      <c r="P2881" s="6"/>
      <c r="Q2881" s="6" t="str">
        <f t="shared" si="4"/>
        <v>Week 4</v>
      </c>
      <c r="R2881" s="6" t="str">
        <f t="shared" si="5"/>
        <v>2025Week 4</v>
      </c>
      <c r="S2881" s="6">
        <f>IFERROR(__xludf.DUMMYFUNCTION("rank(J2881,FILTER(J:J,R:R=R2881))"),3.0)</f>
        <v>3</v>
      </c>
      <c r="T2881" s="6">
        <f t="shared" si="6"/>
        <v>9</v>
      </c>
      <c r="U2881" s="6">
        <f t="shared" si="7"/>
        <v>3</v>
      </c>
      <c r="V2881" s="42">
        <f>averageif(AllData!A:A,B2881,AllData!R:R)/vlookup(B2881,AllData!A:O,15,0)</f>
        <v>104.9271429</v>
      </c>
      <c r="W2881" s="6"/>
    </row>
    <row r="2882" ht="14.25" customHeight="1">
      <c r="A2882" s="6" t="str">
        <f t="shared" si="29"/>
        <v>2025T-How4</v>
      </c>
      <c r="B2882" s="59">
        <v>2025.0</v>
      </c>
      <c r="C2882" s="13" t="s">
        <v>82</v>
      </c>
      <c r="D2882" s="13" t="s">
        <v>138</v>
      </c>
      <c r="E2882" s="34"/>
      <c r="F2882" s="6"/>
      <c r="H2882" s="6"/>
      <c r="I2882" s="35" t="str">
        <f>IFERROR(IFERROR(IFERROR(VLOOKUP(B2882&amp;C2882&amp;Q2882,'New Weekly Paste'!A:M,10,0),VLOOKUP(B2882&amp;C2882&amp;Q2882,'New Weekly Paste'!B:O,6,0)),""),"")</f>
        <v>Tayski</v>
      </c>
      <c r="J2882" s="259">
        <f>IFERROR(IFERROR(VLOOKUP(B2882&amp;C2882&amp;Q2882,'New Weekly Paste'!A:M,8,0),VLOOKUP(B2882&amp;C2882&amp;Q2882,'New Weekly Paste'!B:O,10,0)),0)</f>
        <v>120.94</v>
      </c>
      <c r="K2882" s="259">
        <f>IFERROR(IFERROR(VLOOKUP(B2882&amp;I2882&amp;Q2882,'New Weekly Paste'!A:M,8,0),VLOOKUP(B2882&amp;I2882&amp;Q2882,'New Weekly Paste'!B:O,10,0)),0)</f>
        <v>97.26</v>
      </c>
      <c r="L2882" s="239">
        <f t="shared" si="25"/>
        <v>1</v>
      </c>
      <c r="M2882" s="36" t="str">
        <f t="shared" si="3"/>
        <v>Regular Season</v>
      </c>
      <c r="N2882" s="239" t="str">
        <f t="shared" si="26"/>
        <v>Tayski</v>
      </c>
      <c r="O2882" s="6">
        <f>VLOOKUP(D2882,'Mapped Opponent'!$G$4:$H$22,2,0)</f>
        <v>4</v>
      </c>
      <c r="P2882" s="6"/>
      <c r="Q2882" s="6" t="str">
        <f t="shared" si="4"/>
        <v>Week 4</v>
      </c>
      <c r="R2882" s="6" t="str">
        <f t="shared" si="5"/>
        <v>2025Week 4</v>
      </c>
      <c r="S2882" s="6">
        <f>IFERROR(__xludf.DUMMYFUNCTION("rank(J2882,FILTER(J:J,R:R=R2882))"),5.0)</f>
        <v>5</v>
      </c>
      <c r="T2882" s="6">
        <f t="shared" si="6"/>
        <v>7</v>
      </c>
      <c r="U2882" s="6">
        <f t="shared" si="7"/>
        <v>5</v>
      </c>
      <c r="V2882" s="42">
        <f>averageif(AllData!A:A,B2882,AllData!R:R)/vlookup(B2882,AllData!A:O,15,0)</f>
        <v>104.9271429</v>
      </c>
      <c r="W2882" s="6"/>
    </row>
    <row r="2883" ht="14.25" customHeight="1">
      <c r="A2883" s="6" t="str">
        <f t="shared" si="29"/>
        <v>2025Hudspeath5</v>
      </c>
      <c r="B2883" s="59">
        <v>2025.0</v>
      </c>
      <c r="C2883" s="13" t="s">
        <v>39</v>
      </c>
      <c r="D2883" s="13" t="s">
        <v>141</v>
      </c>
      <c r="E2883" s="34"/>
      <c r="F2883" s="6"/>
      <c r="H2883" s="6"/>
      <c r="I2883" s="35" t="str">
        <f>IFERROR(IFERROR(IFERROR(VLOOKUP(B2883&amp;C2883&amp;Q2883,'New Weekly Paste'!A:M,10,0),VLOOKUP(B2883&amp;C2883&amp;Q2883,'New Weekly Paste'!B:O,6,0)),""),"")</f>
        <v>T-How</v>
      </c>
      <c r="J2883" s="259">
        <f>IFERROR(IFERROR(VLOOKUP(B2883&amp;C2883&amp;Q2883,'New Weekly Paste'!A:M,8,0),VLOOKUP(B2883&amp;C2883&amp;Q2883,'New Weekly Paste'!B:O,10,0)),0)</f>
        <v>125.88</v>
      </c>
      <c r="K2883" s="259">
        <f>IFERROR(IFERROR(VLOOKUP(B2883&amp;I2883&amp;Q2883,'New Weekly Paste'!A:M,8,0),VLOOKUP(B2883&amp;I2883&amp;Q2883,'New Weekly Paste'!B:O,10,0)),0)</f>
        <v>107.04</v>
      </c>
      <c r="L2883" s="239">
        <f t="shared" si="25"/>
        <v>1</v>
      </c>
      <c r="M2883" s="36" t="str">
        <f t="shared" si="3"/>
        <v>Regular Season</v>
      </c>
      <c r="N2883" s="239" t="str">
        <f t="shared" si="26"/>
        <v>T-How</v>
      </c>
      <c r="O2883" s="6">
        <f>VLOOKUP(D2883,'Mapped Opponent'!$G$4:$H$22,2,0)</f>
        <v>5</v>
      </c>
      <c r="P2883" s="6"/>
      <c r="Q2883" s="6" t="str">
        <f t="shared" si="4"/>
        <v>Week 5</v>
      </c>
      <c r="R2883" s="6" t="str">
        <f t="shared" si="5"/>
        <v>2025Week 5</v>
      </c>
      <c r="S2883" s="6">
        <f>IFERROR(__xludf.DUMMYFUNCTION("rank(J2883,FILTER(J:J,R:R=R2883))"),3.0)</f>
        <v>3</v>
      </c>
      <c r="T2883" s="6">
        <f t="shared" si="6"/>
        <v>9</v>
      </c>
      <c r="U2883" s="6">
        <f t="shared" si="7"/>
        <v>3</v>
      </c>
      <c r="V2883" s="42">
        <f>averageif(AllData!A:A,B2883,AllData!R:R)/vlookup(B2883,AllData!A:O,15,0)</f>
        <v>104.9271429</v>
      </c>
      <c r="W2883" s="6"/>
    </row>
    <row r="2884" ht="14.25" customHeight="1">
      <c r="A2884" s="6" t="str">
        <f t="shared" si="29"/>
        <v>2025Salty5</v>
      </c>
      <c r="B2884" s="59">
        <v>2025.0</v>
      </c>
      <c r="C2884" s="13" t="s">
        <v>76</v>
      </c>
      <c r="D2884" s="13" t="s">
        <v>141</v>
      </c>
      <c r="E2884" s="34"/>
      <c r="F2884" s="6"/>
      <c r="H2884" s="6"/>
      <c r="I2884" s="35" t="str">
        <f>IFERROR(IFERROR(IFERROR(VLOOKUP(B2884&amp;C2884&amp;Q2884,'New Weekly Paste'!A:M,10,0),VLOOKUP(B2884&amp;C2884&amp;Q2884,'New Weekly Paste'!B:O,6,0)),""),"")</f>
        <v>Shep</v>
      </c>
      <c r="J2884" s="259">
        <f>IFERROR(IFERROR(VLOOKUP(B2884&amp;C2884&amp;Q2884,'New Weekly Paste'!A:M,8,0),VLOOKUP(B2884&amp;C2884&amp;Q2884,'New Weekly Paste'!B:O,10,0)),0)</f>
        <v>111.98</v>
      </c>
      <c r="K2884" s="259">
        <f>IFERROR(IFERROR(VLOOKUP(B2884&amp;I2884&amp;Q2884,'New Weekly Paste'!A:M,8,0),VLOOKUP(B2884&amp;I2884&amp;Q2884,'New Weekly Paste'!B:O,10,0)),0)</f>
        <v>137.46</v>
      </c>
      <c r="L2884" s="239">
        <f t="shared" si="25"/>
        <v>0</v>
      </c>
      <c r="M2884" s="36" t="str">
        <f t="shared" si="3"/>
        <v>Regular Season</v>
      </c>
      <c r="N2884" s="239" t="str">
        <f t="shared" si="26"/>
        <v>Shep</v>
      </c>
      <c r="O2884" s="6">
        <f>VLOOKUP(D2884,'Mapped Opponent'!$G$4:$H$22,2,0)</f>
        <v>5</v>
      </c>
      <c r="P2884" s="6"/>
      <c r="Q2884" s="6" t="str">
        <f t="shared" si="4"/>
        <v>Week 5</v>
      </c>
      <c r="R2884" s="6" t="str">
        <f t="shared" si="5"/>
        <v>2025Week 5</v>
      </c>
      <c r="S2884" s="6">
        <f>IFERROR(__xludf.DUMMYFUNCTION("rank(J2884,FILTER(J:J,R:R=R2884))"),5.0)</f>
        <v>5</v>
      </c>
      <c r="T2884" s="6">
        <f t="shared" si="6"/>
        <v>7</v>
      </c>
      <c r="U2884" s="6">
        <f t="shared" si="7"/>
        <v>5</v>
      </c>
      <c r="V2884" s="42">
        <f>averageif(AllData!A:A,B2884,AllData!R:R)/vlookup(B2884,AllData!A:O,15,0)</f>
        <v>104.9271429</v>
      </c>
      <c r="W2884" s="6"/>
    </row>
    <row r="2885" ht="14.25" customHeight="1">
      <c r="A2885" s="6" t="str">
        <f t="shared" si="29"/>
        <v>2025Ewert5</v>
      </c>
      <c r="B2885" s="59">
        <v>2025.0</v>
      </c>
      <c r="C2885" s="13" t="s">
        <v>108</v>
      </c>
      <c r="D2885" s="13" t="s">
        <v>141</v>
      </c>
      <c r="E2885" s="34"/>
      <c r="F2885" s="6"/>
      <c r="H2885" s="6"/>
      <c r="I2885" s="35" t="str">
        <f>IFERROR(IFERROR(IFERROR(VLOOKUP(B2885&amp;C2885&amp;Q2885,'New Weekly Paste'!A:M,10,0),VLOOKUP(B2885&amp;C2885&amp;Q2885,'New Weekly Paste'!B:O,6,0)),""),"")</f>
        <v>Cock</v>
      </c>
      <c r="J2885" s="259">
        <f>IFERROR(IFERROR(VLOOKUP(B2885&amp;C2885&amp;Q2885,'New Weekly Paste'!A:M,8,0),VLOOKUP(B2885&amp;C2885&amp;Q2885,'New Weekly Paste'!B:O,10,0)),0)</f>
        <v>99.28</v>
      </c>
      <c r="K2885" s="259">
        <f>IFERROR(IFERROR(VLOOKUP(B2885&amp;I2885&amp;Q2885,'New Weekly Paste'!A:M,8,0),VLOOKUP(B2885&amp;I2885&amp;Q2885,'New Weekly Paste'!B:O,10,0)),0)</f>
        <v>120.72</v>
      </c>
      <c r="L2885" s="239">
        <f t="shared" si="25"/>
        <v>0</v>
      </c>
      <c r="M2885" s="36" t="str">
        <f t="shared" si="3"/>
        <v>Regular Season</v>
      </c>
      <c r="N2885" s="239" t="str">
        <f t="shared" si="26"/>
        <v>Cock</v>
      </c>
      <c r="O2885" s="6">
        <f>VLOOKUP(D2885,'Mapped Opponent'!$G$4:$H$22,2,0)</f>
        <v>5</v>
      </c>
      <c r="P2885" s="6"/>
      <c r="Q2885" s="6" t="str">
        <f t="shared" si="4"/>
        <v>Week 5</v>
      </c>
      <c r="R2885" s="6" t="str">
        <f t="shared" si="5"/>
        <v>2025Week 5</v>
      </c>
      <c r="S2885" s="6">
        <f>IFERROR(__xludf.DUMMYFUNCTION("rank(J2885,FILTER(J:J,R:R=R2885))"),9.0)</f>
        <v>9</v>
      </c>
      <c r="T2885" s="6">
        <f t="shared" si="6"/>
        <v>3</v>
      </c>
      <c r="U2885" s="6">
        <f t="shared" si="7"/>
        <v>9</v>
      </c>
      <c r="V2885" s="42">
        <f>averageif(AllData!A:A,B2885,AllData!R:R)/vlookup(B2885,AllData!A:O,15,0)</f>
        <v>104.9271429</v>
      </c>
      <c r="W2885" s="6"/>
    </row>
    <row r="2886" ht="14.25" customHeight="1">
      <c r="A2886" s="6" t="str">
        <f t="shared" si="29"/>
        <v>2025Shep5</v>
      </c>
      <c r="B2886" s="59">
        <v>2025.0</v>
      </c>
      <c r="C2886" s="13" t="s">
        <v>89</v>
      </c>
      <c r="D2886" s="13" t="s">
        <v>141</v>
      </c>
      <c r="E2886" s="34"/>
      <c r="F2886" s="6"/>
      <c r="H2886" s="6"/>
      <c r="I2886" s="35" t="str">
        <f>IFERROR(IFERROR(IFERROR(VLOOKUP(B2886&amp;C2886&amp;Q2886,'New Weekly Paste'!A:M,10,0),VLOOKUP(B2886&amp;C2886&amp;Q2886,'New Weekly Paste'!B:O,6,0)),""),"")</f>
        <v>Salty</v>
      </c>
      <c r="J2886" s="259">
        <f>IFERROR(IFERROR(VLOOKUP(B2886&amp;C2886&amp;Q2886,'New Weekly Paste'!A:M,8,0),VLOOKUP(B2886&amp;C2886&amp;Q2886,'New Weekly Paste'!B:O,10,0)),0)</f>
        <v>137.46</v>
      </c>
      <c r="K2886" s="259">
        <f>IFERROR(IFERROR(VLOOKUP(B2886&amp;I2886&amp;Q2886,'New Weekly Paste'!A:M,8,0),VLOOKUP(B2886&amp;I2886&amp;Q2886,'New Weekly Paste'!B:O,10,0)),0)</f>
        <v>111.98</v>
      </c>
      <c r="L2886" s="239">
        <f t="shared" si="25"/>
        <v>1</v>
      </c>
      <c r="M2886" s="36" t="str">
        <f t="shared" si="3"/>
        <v>Regular Season</v>
      </c>
      <c r="N2886" s="239" t="str">
        <f t="shared" si="26"/>
        <v>Salty</v>
      </c>
      <c r="O2886" s="6">
        <f>VLOOKUP(D2886,'Mapped Opponent'!$G$4:$H$22,2,0)</f>
        <v>5</v>
      </c>
      <c r="P2886" s="6"/>
      <c r="Q2886" s="6" t="str">
        <f t="shared" si="4"/>
        <v>Week 5</v>
      </c>
      <c r="R2886" s="6" t="str">
        <f t="shared" si="5"/>
        <v>2025Week 5</v>
      </c>
      <c r="S2886" s="6">
        <f>IFERROR(__xludf.DUMMYFUNCTION("rank(J2886,FILTER(J:J,R:R=R2886))"),1.0)</f>
        <v>1</v>
      </c>
      <c r="T2886" s="6">
        <f t="shared" si="6"/>
        <v>11</v>
      </c>
      <c r="U2886" s="6">
        <f t="shared" si="7"/>
        <v>1</v>
      </c>
      <c r="V2886" s="42">
        <f>averageif(AllData!A:A,B2886,AllData!R:R)/vlookup(B2886,AllData!A:O,15,0)</f>
        <v>104.9271429</v>
      </c>
      <c r="W2886" s="6"/>
    </row>
    <row r="2887" ht="14.25" customHeight="1">
      <c r="A2887" s="6" t="str">
        <f t="shared" si="29"/>
        <v>2025Riley5</v>
      </c>
      <c r="B2887" s="59">
        <v>2025.0</v>
      </c>
      <c r="C2887" s="13" t="s">
        <v>67</v>
      </c>
      <c r="D2887" s="13" t="s">
        <v>141</v>
      </c>
      <c r="E2887" s="34"/>
      <c r="F2887" s="6"/>
      <c r="H2887" s="6"/>
      <c r="I2887" s="35" t="str">
        <f>IFERROR(IFERROR(IFERROR(VLOOKUP(B2887&amp;C2887&amp;Q2887,'New Weekly Paste'!A:M,10,0),VLOOKUP(B2887&amp;C2887&amp;Q2887,'New Weekly Paste'!B:O,6,0)),""),"")</f>
        <v>Rooney/Jackson</v>
      </c>
      <c r="J2887" s="259">
        <f>IFERROR(IFERROR(VLOOKUP(B2887&amp;C2887&amp;Q2887,'New Weekly Paste'!A:M,8,0),VLOOKUP(B2887&amp;C2887&amp;Q2887,'New Weekly Paste'!B:O,10,0)),0)</f>
        <v>110.34</v>
      </c>
      <c r="K2887" s="259">
        <f>IFERROR(IFERROR(VLOOKUP(B2887&amp;I2887&amp;Q2887,'New Weekly Paste'!A:M,8,0),VLOOKUP(B2887&amp;I2887&amp;Q2887,'New Weekly Paste'!B:O,10,0)),0)</f>
        <v>98.24</v>
      </c>
      <c r="L2887" s="239">
        <f t="shared" si="25"/>
        <v>1</v>
      </c>
      <c r="M2887" s="36" t="str">
        <f t="shared" si="3"/>
        <v>Regular Season</v>
      </c>
      <c r="N2887" s="239" t="str">
        <f t="shared" si="26"/>
        <v>Rooney/Jackson</v>
      </c>
      <c r="O2887" s="6">
        <f>VLOOKUP(D2887,'Mapped Opponent'!$G$4:$H$22,2,0)</f>
        <v>5</v>
      </c>
      <c r="P2887" s="6"/>
      <c r="Q2887" s="6" t="str">
        <f t="shared" si="4"/>
        <v>Week 5</v>
      </c>
      <c r="R2887" s="6" t="str">
        <f t="shared" si="5"/>
        <v>2025Week 5</v>
      </c>
      <c r="S2887" s="6">
        <f>IFERROR(__xludf.DUMMYFUNCTION("rank(J2887,FILTER(J:J,R:R=R2887))"),6.0)</f>
        <v>6</v>
      </c>
      <c r="T2887" s="6">
        <f t="shared" si="6"/>
        <v>6</v>
      </c>
      <c r="U2887" s="6">
        <f t="shared" si="7"/>
        <v>6</v>
      </c>
      <c r="V2887" s="42">
        <f>averageif(AllData!A:A,B2887,AllData!R:R)/vlookup(B2887,AllData!A:O,15,0)</f>
        <v>104.9271429</v>
      </c>
      <c r="W2887" s="6"/>
    </row>
    <row r="2888" ht="14.25" customHeight="1">
      <c r="A2888" s="6" t="str">
        <f t="shared" si="29"/>
        <v>2025Rooney/Jackson5</v>
      </c>
      <c r="B2888" s="59">
        <v>2025.0</v>
      </c>
      <c r="C2888" s="13" t="s">
        <v>57</v>
      </c>
      <c r="D2888" s="13" t="s">
        <v>141</v>
      </c>
      <c r="E2888" s="34"/>
      <c r="F2888" s="6"/>
      <c r="H2888" s="6"/>
      <c r="I2888" s="35" t="str">
        <f>IFERROR(IFERROR(IFERROR(VLOOKUP(B2888&amp;C2888&amp;Q2888,'New Weekly Paste'!A:M,10,0),VLOOKUP(B2888&amp;C2888&amp;Q2888,'New Weekly Paste'!B:O,6,0)),""),"")</f>
        <v>Riley</v>
      </c>
      <c r="J2888" s="259">
        <f>IFERROR(IFERROR(VLOOKUP(B2888&amp;C2888&amp;Q2888,'New Weekly Paste'!A:M,8,0),VLOOKUP(B2888&amp;C2888&amp;Q2888,'New Weekly Paste'!B:O,10,0)),0)</f>
        <v>98.24</v>
      </c>
      <c r="K2888" s="259">
        <f>IFERROR(IFERROR(VLOOKUP(B2888&amp;I2888&amp;Q2888,'New Weekly Paste'!A:M,8,0),VLOOKUP(B2888&amp;I2888&amp;Q2888,'New Weekly Paste'!B:O,10,0)),0)</f>
        <v>110.34</v>
      </c>
      <c r="L2888" s="239">
        <f t="shared" si="25"/>
        <v>0</v>
      </c>
      <c r="M2888" s="36" t="str">
        <f t="shared" si="3"/>
        <v>Regular Season</v>
      </c>
      <c r="N2888" s="239" t="str">
        <f t="shared" si="26"/>
        <v>Riley</v>
      </c>
      <c r="O2888" s="6">
        <f>VLOOKUP(D2888,'Mapped Opponent'!$G$4:$H$22,2,0)</f>
        <v>5</v>
      </c>
      <c r="P2888" s="6"/>
      <c r="Q2888" s="6" t="str">
        <f t="shared" si="4"/>
        <v>Week 5</v>
      </c>
      <c r="R2888" s="6" t="str">
        <f t="shared" si="5"/>
        <v>2025Week 5</v>
      </c>
      <c r="S2888" s="6">
        <f>IFERROR(__xludf.DUMMYFUNCTION("rank(J2888,FILTER(J:J,R:R=R2888))"),10.0)</f>
        <v>10</v>
      </c>
      <c r="T2888" s="6">
        <f t="shared" si="6"/>
        <v>2</v>
      </c>
      <c r="U2888" s="6">
        <f t="shared" si="7"/>
        <v>10</v>
      </c>
      <c r="V2888" s="42">
        <f>averageif(AllData!A:A,B2888,AllData!R:R)/vlookup(B2888,AllData!A:O,15,0)</f>
        <v>104.9271429</v>
      </c>
      <c r="W2888" s="6"/>
    </row>
    <row r="2889" ht="14.25" customHeight="1">
      <c r="A2889" s="6" t="str">
        <f t="shared" si="29"/>
        <v>2025Buser5</v>
      </c>
      <c r="B2889" s="59">
        <v>2025.0</v>
      </c>
      <c r="C2889" s="13" t="s">
        <v>47</v>
      </c>
      <c r="D2889" s="13" t="s">
        <v>141</v>
      </c>
      <c r="E2889" s="34"/>
      <c r="F2889" s="6"/>
      <c r="H2889" s="6"/>
      <c r="I2889" s="35" t="str">
        <f>IFERROR(IFERROR(IFERROR(VLOOKUP(B2889&amp;C2889&amp;Q2889,'New Weekly Paste'!A:M,10,0),VLOOKUP(B2889&amp;C2889&amp;Q2889,'New Weekly Paste'!B:O,6,0)),""),"")</f>
        <v>Pierson</v>
      </c>
      <c r="J2889" s="259">
        <f>IFERROR(IFERROR(VLOOKUP(B2889&amp;C2889&amp;Q2889,'New Weekly Paste'!A:M,8,0),VLOOKUP(B2889&amp;C2889&amp;Q2889,'New Weekly Paste'!B:O,10,0)),0)</f>
        <v>107.7</v>
      </c>
      <c r="K2889" s="259">
        <f>IFERROR(IFERROR(VLOOKUP(B2889&amp;I2889&amp;Q2889,'New Weekly Paste'!A:M,8,0),VLOOKUP(B2889&amp;I2889&amp;Q2889,'New Weekly Paste'!B:O,10,0)),0)</f>
        <v>80.8</v>
      </c>
      <c r="L2889" s="239">
        <f t="shared" si="25"/>
        <v>1</v>
      </c>
      <c r="M2889" s="36" t="str">
        <f t="shared" si="3"/>
        <v>Regular Season</v>
      </c>
      <c r="N2889" s="239" t="str">
        <f t="shared" si="26"/>
        <v>Pierson</v>
      </c>
      <c r="O2889" s="6">
        <f>VLOOKUP(D2889,'Mapped Opponent'!$G$4:$H$22,2,0)</f>
        <v>5</v>
      </c>
      <c r="P2889" s="6"/>
      <c r="Q2889" s="6" t="str">
        <f t="shared" si="4"/>
        <v>Week 5</v>
      </c>
      <c r="R2889" s="6" t="str">
        <f t="shared" si="5"/>
        <v>2025Week 5</v>
      </c>
      <c r="S2889" s="6">
        <f>IFERROR(__xludf.DUMMYFUNCTION("rank(J2889,FILTER(J:J,R:R=R2889))"),7.0)</f>
        <v>7</v>
      </c>
      <c r="T2889" s="6">
        <f t="shared" si="6"/>
        <v>5</v>
      </c>
      <c r="U2889" s="6">
        <f t="shared" si="7"/>
        <v>7</v>
      </c>
      <c r="V2889" s="42">
        <f>averageif(AllData!A:A,B2889,AllData!R:R)/vlookup(B2889,AllData!A:O,15,0)</f>
        <v>104.9271429</v>
      </c>
      <c r="W2889" s="6"/>
    </row>
    <row r="2890" ht="14.25" customHeight="1">
      <c r="A2890" s="6" t="str">
        <f t="shared" si="29"/>
        <v>2025Pierson5</v>
      </c>
      <c r="B2890" s="59">
        <v>2025.0</v>
      </c>
      <c r="C2890" s="13" t="s">
        <v>92</v>
      </c>
      <c r="D2890" s="13" t="s">
        <v>141</v>
      </c>
      <c r="E2890" s="34"/>
      <c r="F2890" s="6"/>
      <c r="H2890" s="6"/>
      <c r="I2890" s="35" t="str">
        <f>IFERROR(IFERROR(IFERROR(VLOOKUP(B2890&amp;C2890&amp;Q2890,'New Weekly Paste'!A:M,10,0),VLOOKUP(B2890&amp;C2890&amp;Q2890,'New Weekly Paste'!B:O,6,0)),""),"")</f>
        <v>Buser</v>
      </c>
      <c r="J2890" s="259">
        <f>IFERROR(IFERROR(VLOOKUP(B2890&amp;C2890&amp;Q2890,'New Weekly Paste'!A:M,8,0),VLOOKUP(B2890&amp;C2890&amp;Q2890,'New Weekly Paste'!B:O,10,0)),0)</f>
        <v>80.8</v>
      </c>
      <c r="K2890" s="259">
        <f>IFERROR(IFERROR(VLOOKUP(B2890&amp;I2890&amp;Q2890,'New Weekly Paste'!A:M,8,0),VLOOKUP(B2890&amp;I2890&amp;Q2890,'New Weekly Paste'!B:O,10,0)),0)</f>
        <v>107.7</v>
      </c>
      <c r="L2890" s="239">
        <f t="shared" si="25"/>
        <v>0</v>
      </c>
      <c r="M2890" s="36" t="str">
        <f t="shared" si="3"/>
        <v>Regular Season</v>
      </c>
      <c r="N2890" s="239" t="str">
        <f t="shared" si="26"/>
        <v>Buser</v>
      </c>
      <c r="O2890" s="6">
        <f>VLOOKUP(D2890,'Mapped Opponent'!$G$4:$H$22,2,0)</f>
        <v>5</v>
      </c>
      <c r="P2890" s="6"/>
      <c r="Q2890" s="6" t="str">
        <f t="shared" si="4"/>
        <v>Week 5</v>
      </c>
      <c r="R2890" s="6" t="str">
        <f t="shared" si="5"/>
        <v>2025Week 5</v>
      </c>
      <c r="S2890" s="6">
        <f>IFERROR(__xludf.DUMMYFUNCTION("rank(J2890,FILTER(J:J,R:R=R2890))"),12.0)</f>
        <v>12</v>
      </c>
      <c r="T2890" s="6">
        <f t="shared" si="6"/>
        <v>0</v>
      </c>
      <c r="U2890" s="6">
        <f t="shared" si="7"/>
        <v>12</v>
      </c>
      <c r="V2890" s="42">
        <f>averageif(AllData!A:A,B2890,AllData!R:R)/vlookup(B2890,AllData!A:O,15,0)</f>
        <v>104.9271429</v>
      </c>
      <c r="W2890" s="6"/>
    </row>
    <row r="2891" ht="14.25" customHeight="1">
      <c r="A2891" s="6" t="str">
        <f t="shared" si="29"/>
        <v>2025Cock5</v>
      </c>
      <c r="B2891" s="59">
        <v>2025.0</v>
      </c>
      <c r="C2891" s="13" t="s">
        <v>72</v>
      </c>
      <c r="D2891" s="13" t="s">
        <v>141</v>
      </c>
      <c r="E2891" s="34"/>
      <c r="F2891" s="6"/>
      <c r="H2891" s="6"/>
      <c r="I2891" s="35" t="str">
        <f>IFERROR(IFERROR(IFERROR(VLOOKUP(B2891&amp;C2891&amp;Q2891,'New Weekly Paste'!A:M,10,0),VLOOKUP(B2891&amp;C2891&amp;Q2891,'New Weekly Paste'!B:O,6,0)),""),"")</f>
        <v>Ewert</v>
      </c>
      <c r="J2891" s="259">
        <f>IFERROR(IFERROR(VLOOKUP(B2891&amp;C2891&amp;Q2891,'New Weekly Paste'!A:M,8,0),VLOOKUP(B2891&amp;C2891&amp;Q2891,'New Weekly Paste'!B:O,10,0)),0)</f>
        <v>120.72</v>
      </c>
      <c r="K2891" s="259">
        <f>IFERROR(IFERROR(VLOOKUP(B2891&amp;I2891&amp;Q2891,'New Weekly Paste'!A:M,8,0),VLOOKUP(B2891&amp;I2891&amp;Q2891,'New Weekly Paste'!B:O,10,0)),0)</f>
        <v>99.28</v>
      </c>
      <c r="L2891" s="239">
        <f t="shared" si="25"/>
        <v>1</v>
      </c>
      <c r="M2891" s="36" t="str">
        <f t="shared" si="3"/>
        <v>Regular Season</v>
      </c>
      <c r="N2891" s="239" t="str">
        <f t="shared" si="26"/>
        <v>Ewert</v>
      </c>
      <c r="O2891" s="6">
        <f>VLOOKUP(D2891,'Mapped Opponent'!$G$4:$H$22,2,0)</f>
        <v>5</v>
      </c>
      <c r="P2891" s="6"/>
      <c r="Q2891" s="6" t="str">
        <f t="shared" si="4"/>
        <v>Week 5</v>
      </c>
      <c r="R2891" s="6" t="str">
        <f t="shared" si="5"/>
        <v>2025Week 5</v>
      </c>
      <c r="S2891" s="6">
        <f>IFERROR(__xludf.DUMMYFUNCTION("rank(J2891,FILTER(J:J,R:R=R2891))"),4.0)</f>
        <v>4</v>
      </c>
      <c r="T2891" s="6">
        <f t="shared" si="6"/>
        <v>8</v>
      </c>
      <c r="U2891" s="6">
        <f t="shared" si="7"/>
        <v>4</v>
      </c>
      <c r="V2891" s="42">
        <f>averageif(AllData!A:A,B2891,AllData!R:R)/vlookup(B2891,AllData!A:O,15,0)</f>
        <v>104.9271429</v>
      </c>
      <c r="W2891" s="6"/>
    </row>
    <row r="2892" ht="14.25" customHeight="1">
      <c r="A2892" s="6" t="str">
        <f t="shared" si="29"/>
        <v>2025Tayski5</v>
      </c>
      <c r="B2892" s="59">
        <v>2025.0</v>
      </c>
      <c r="C2892" s="13" t="s">
        <v>52</v>
      </c>
      <c r="D2892" s="13" t="s">
        <v>141</v>
      </c>
      <c r="E2892" s="34"/>
      <c r="F2892" s="6"/>
      <c r="H2892" s="6"/>
      <c r="I2892" s="35" t="str">
        <f>IFERROR(IFERROR(IFERROR(VLOOKUP(B2892&amp;C2892&amp;Q2892,'New Weekly Paste'!A:M,10,0),VLOOKUP(B2892&amp;C2892&amp;Q2892,'New Weekly Paste'!B:O,6,0)),""),"")</f>
        <v>KnardDawg</v>
      </c>
      <c r="J2892" s="259">
        <f>IFERROR(IFERROR(VLOOKUP(B2892&amp;C2892&amp;Q2892,'New Weekly Paste'!A:M,8,0),VLOOKUP(B2892&amp;C2892&amp;Q2892,'New Weekly Paste'!B:O,10,0)),0)</f>
        <v>81.52</v>
      </c>
      <c r="K2892" s="259">
        <f>IFERROR(IFERROR(VLOOKUP(B2892&amp;I2892&amp;Q2892,'New Weekly Paste'!A:M,8,0),VLOOKUP(B2892&amp;I2892&amp;Q2892,'New Weekly Paste'!B:O,10,0)),0)</f>
        <v>134.12</v>
      </c>
      <c r="L2892" s="239">
        <f t="shared" si="25"/>
        <v>0</v>
      </c>
      <c r="M2892" s="36" t="str">
        <f t="shared" si="3"/>
        <v>Regular Season</v>
      </c>
      <c r="N2892" s="239" t="str">
        <f t="shared" si="26"/>
        <v>KnardDawg</v>
      </c>
      <c r="O2892" s="6">
        <f>VLOOKUP(D2892,'Mapped Opponent'!$G$4:$H$22,2,0)</f>
        <v>5</v>
      </c>
      <c r="P2892" s="6"/>
      <c r="Q2892" s="6" t="str">
        <f t="shared" si="4"/>
        <v>Week 5</v>
      </c>
      <c r="R2892" s="6" t="str">
        <f t="shared" si="5"/>
        <v>2025Week 5</v>
      </c>
      <c r="S2892" s="6">
        <f>IFERROR(__xludf.DUMMYFUNCTION("rank(J2892,FILTER(J:J,R:R=R2892))"),11.0)</f>
        <v>11</v>
      </c>
      <c r="T2892" s="6">
        <f t="shared" si="6"/>
        <v>1</v>
      </c>
      <c r="U2892" s="6">
        <f t="shared" si="7"/>
        <v>11</v>
      </c>
      <c r="V2892" s="42">
        <f>averageif(AllData!A:A,B2892,AllData!R:R)/vlookup(B2892,AllData!A:O,15,0)</f>
        <v>104.9271429</v>
      </c>
      <c r="W2892" s="6"/>
    </row>
    <row r="2893" ht="14.25" customHeight="1">
      <c r="A2893" s="6" t="str">
        <f t="shared" si="29"/>
        <v>2025KnardDawg5</v>
      </c>
      <c r="B2893" s="59">
        <v>2025.0</v>
      </c>
      <c r="C2893" s="13" t="s">
        <v>86</v>
      </c>
      <c r="D2893" s="13" t="s">
        <v>141</v>
      </c>
      <c r="E2893" s="34"/>
      <c r="F2893" s="6"/>
      <c r="H2893" s="6"/>
      <c r="I2893" s="35" t="str">
        <f>IFERROR(IFERROR(IFERROR(VLOOKUP(B2893&amp;C2893&amp;Q2893,'New Weekly Paste'!A:M,10,0),VLOOKUP(B2893&amp;C2893&amp;Q2893,'New Weekly Paste'!B:O,6,0)),""),"")</f>
        <v>Tayski</v>
      </c>
      <c r="J2893" s="259">
        <f>IFERROR(IFERROR(VLOOKUP(B2893&amp;C2893&amp;Q2893,'New Weekly Paste'!A:M,8,0),VLOOKUP(B2893&amp;C2893&amp;Q2893,'New Weekly Paste'!B:O,10,0)),0)</f>
        <v>134.12</v>
      </c>
      <c r="K2893" s="259">
        <f>IFERROR(IFERROR(VLOOKUP(B2893&amp;I2893&amp;Q2893,'New Weekly Paste'!A:M,8,0),VLOOKUP(B2893&amp;I2893&amp;Q2893,'New Weekly Paste'!B:O,10,0)),0)</f>
        <v>81.52</v>
      </c>
      <c r="L2893" s="239">
        <f t="shared" si="25"/>
        <v>1</v>
      </c>
      <c r="M2893" s="36" t="str">
        <f t="shared" si="3"/>
        <v>Regular Season</v>
      </c>
      <c r="N2893" s="239" t="str">
        <f t="shared" si="26"/>
        <v>Tayski</v>
      </c>
      <c r="O2893" s="6">
        <f>VLOOKUP(D2893,'Mapped Opponent'!$G$4:$H$22,2,0)</f>
        <v>5</v>
      </c>
      <c r="P2893" s="6"/>
      <c r="Q2893" s="6" t="str">
        <f t="shared" si="4"/>
        <v>Week 5</v>
      </c>
      <c r="R2893" s="6" t="str">
        <f t="shared" si="5"/>
        <v>2025Week 5</v>
      </c>
      <c r="S2893" s="6">
        <f>IFERROR(__xludf.DUMMYFUNCTION("rank(J2893,FILTER(J:J,R:R=R2893))"),2.0)</f>
        <v>2</v>
      </c>
      <c r="T2893" s="6">
        <f t="shared" si="6"/>
        <v>10</v>
      </c>
      <c r="U2893" s="6">
        <f t="shared" si="7"/>
        <v>2</v>
      </c>
      <c r="V2893" s="42">
        <f>averageif(AllData!A:A,B2893,AllData!R:R)/vlookup(B2893,AllData!A:O,15,0)</f>
        <v>104.9271429</v>
      </c>
      <c r="W2893" s="6"/>
    </row>
    <row r="2894" ht="14.25" customHeight="1">
      <c r="A2894" s="6" t="str">
        <f t="shared" si="29"/>
        <v>2025T-How5</v>
      </c>
      <c r="B2894" s="59">
        <v>2025.0</v>
      </c>
      <c r="C2894" s="13" t="s">
        <v>82</v>
      </c>
      <c r="D2894" s="13" t="s">
        <v>141</v>
      </c>
      <c r="E2894" s="34"/>
      <c r="F2894" s="6"/>
      <c r="H2894" s="6"/>
      <c r="I2894" s="35" t="str">
        <f>IFERROR(IFERROR(IFERROR(VLOOKUP(B2894&amp;C2894&amp;Q2894,'New Weekly Paste'!A:M,10,0),VLOOKUP(B2894&amp;C2894&amp;Q2894,'New Weekly Paste'!B:O,6,0)),""),"")</f>
        <v>Hudspeath</v>
      </c>
      <c r="J2894" s="259">
        <f>IFERROR(IFERROR(VLOOKUP(B2894&amp;C2894&amp;Q2894,'New Weekly Paste'!A:M,8,0),VLOOKUP(B2894&amp;C2894&amp;Q2894,'New Weekly Paste'!B:O,10,0)),0)</f>
        <v>107.04</v>
      </c>
      <c r="K2894" s="259">
        <f>IFERROR(IFERROR(VLOOKUP(B2894&amp;I2894&amp;Q2894,'New Weekly Paste'!A:M,8,0),VLOOKUP(B2894&amp;I2894&amp;Q2894,'New Weekly Paste'!B:O,10,0)),0)</f>
        <v>125.88</v>
      </c>
      <c r="L2894" s="239">
        <f t="shared" si="25"/>
        <v>0</v>
      </c>
      <c r="M2894" s="36" t="str">
        <f t="shared" si="3"/>
        <v>Regular Season</v>
      </c>
      <c r="N2894" s="239" t="str">
        <f t="shared" si="26"/>
        <v>Hudspeath</v>
      </c>
      <c r="O2894" s="6">
        <f>VLOOKUP(D2894,'Mapped Opponent'!$G$4:$H$22,2,0)</f>
        <v>5</v>
      </c>
      <c r="P2894" s="6"/>
      <c r="Q2894" s="6" t="str">
        <f t="shared" si="4"/>
        <v>Week 5</v>
      </c>
      <c r="R2894" s="6" t="str">
        <f t="shared" si="5"/>
        <v>2025Week 5</v>
      </c>
      <c r="S2894" s="6">
        <f>IFERROR(__xludf.DUMMYFUNCTION("rank(J2894,FILTER(J:J,R:R=R2894))"),8.0)</f>
        <v>8</v>
      </c>
      <c r="T2894" s="6">
        <f t="shared" si="6"/>
        <v>4</v>
      </c>
      <c r="U2894" s="6">
        <f t="shared" si="7"/>
        <v>8</v>
      </c>
      <c r="V2894" s="42">
        <f>averageif(AllData!A:A,B2894,AllData!R:R)/vlookup(B2894,AllData!A:O,15,0)</f>
        <v>104.9271429</v>
      </c>
      <c r="W2894" s="6"/>
    </row>
    <row r="2895" ht="14.25" customHeight="1">
      <c r="A2895" s="6" t="str">
        <f t="shared" si="29"/>
        <v>2025Hudspeath6</v>
      </c>
      <c r="B2895" s="59">
        <v>2025.0</v>
      </c>
      <c r="C2895" s="13" t="s">
        <v>39</v>
      </c>
      <c r="D2895" s="13" t="s">
        <v>142</v>
      </c>
      <c r="E2895" s="34"/>
      <c r="F2895" s="6"/>
      <c r="H2895" s="6"/>
      <c r="I2895" s="35" t="str">
        <f>IFERROR(IFERROR(IFERROR(VLOOKUP(B2895&amp;C2895&amp;Q2895,'New Weekly Paste'!A:M,10,0),VLOOKUP(B2895&amp;C2895&amp;Q2895,'New Weekly Paste'!B:O,6,0)),""),"")</f>
        <v>KnardDawg</v>
      </c>
      <c r="J2895" s="259">
        <f>IFERROR(IFERROR(VLOOKUP(B2895&amp;C2895&amp;Q2895,'New Weekly Paste'!A:M,8,0),VLOOKUP(B2895&amp;C2895&amp;Q2895,'New Weekly Paste'!B:O,10,0)),0)</f>
        <v>74.86</v>
      </c>
      <c r="K2895" s="259">
        <f>IFERROR(IFERROR(VLOOKUP(B2895&amp;I2895&amp;Q2895,'New Weekly Paste'!A:M,8,0),VLOOKUP(B2895&amp;I2895&amp;Q2895,'New Weekly Paste'!B:O,10,0)),0)</f>
        <v>98.1</v>
      </c>
      <c r="L2895" s="239">
        <f t="shared" si="25"/>
        <v>0</v>
      </c>
      <c r="M2895" s="36" t="str">
        <f t="shared" si="3"/>
        <v>Regular Season</v>
      </c>
      <c r="N2895" s="239" t="str">
        <f t="shared" si="26"/>
        <v>KnardDawg</v>
      </c>
      <c r="O2895" s="6">
        <f>VLOOKUP(D2895,'Mapped Opponent'!$G$4:$H$22,2,0)</f>
        <v>6</v>
      </c>
      <c r="P2895" s="6"/>
      <c r="Q2895" s="6" t="str">
        <f t="shared" si="4"/>
        <v>Week 6</v>
      </c>
      <c r="R2895" s="6" t="str">
        <f t="shared" si="5"/>
        <v>2025Week 6</v>
      </c>
      <c r="S2895" s="6">
        <f>IFERROR(__xludf.DUMMYFUNCTION("rank(J2895,FILTER(J:J,R:R=R2895))"),11.0)</f>
        <v>11</v>
      </c>
      <c r="T2895" s="6">
        <f t="shared" si="6"/>
        <v>1</v>
      </c>
      <c r="U2895" s="6">
        <f t="shared" si="7"/>
        <v>11</v>
      </c>
      <c r="V2895" s="42">
        <f>averageif(AllData!A:A,B2895,AllData!R:R)/vlookup(B2895,AllData!A:O,15,0)</f>
        <v>104.9271429</v>
      </c>
      <c r="W2895" s="6"/>
    </row>
    <row r="2896" ht="14.25" customHeight="1">
      <c r="A2896" s="6" t="str">
        <f t="shared" si="29"/>
        <v>2025Salty6</v>
      </c>
      <c r="B2896" s="59">
        <v>2025.0</v>
      </c>
      <c r="C2896" s="13" t="s">
        <v>76</v>
      </c>
      <c r="D2896" s="13" t="s">
        <v>142</v>
      </c>
      <c r="E2896" s="34"/>
      <c r="F2896" s="6"/>
      <c r="H2896" s="6"/>
      <c r="I2896" s="35" t="str">
        <f>IFERROR(IFERROR(IFERROR(VLOOKUP(B2896&amp;C2896&amp;Q2896,'New Weekly Paste'!A:M,10,0),VLOOKUP(B2896&amp;C2896&amp;Q2896,'New Weekly Paste'!B:O,6,0)),""),"")</f>
        <v>T-How</v>
      </c>
      <c r="J2896" s="259">
        <f>IFERROR(IFERROR(VLOOKUP(B2896&amp;C2896&amp;Q2896,'New Weekly Paste'!A:M,8,0),VLOOKUP(B2896&amp;C2896&amp;Q2896,'New Weekly Paste'!B:O,10,0)),0)</f>
        <v>108.24</v>
      </c>
      <c r="K2896" s="259">
        <f>IFERROR(IFERROR(VLOOKUP(B2896&amp;I2896&amp;Q2896,'New Weekly Paste'!A:M,8,0),VLOOKUP(B2896&amp;I2896&amp;Q2896,'New Weekly Paste'!B:O,10,0)),0)</f>
        <v>108</v>
      </c>
      <c r="L2896" s="239">
        <f t="shared" si="25"/>
        <v>1</v>
      </c>
      <c r="M2896" s="36" t="str">
        <f t="shared" si="3"/>
        <v>Regular Season</v>
      </c>
      <c r="N2896" s="239" t="str">
        <f t="shared" si="26"/>
        <v>T-How</v>
      </c>
      <c r="O2896" s="6">
        <f>VLOOKUP(D2896,'Mapped Opponent'!$G$4:$H$22,2,0)</f>
        <v>6</v>
      </c>
      <c r="P2896" s="6"/>
      <c r="Q2896" s="6" t="str">
        <f t="shared" si="4"/>
        <v>Week 6</v>
      </c>
      <c r="R2896" s="6" t="str">
        <f t="shared" si="5"/>
        <v>2025Week 6</v>
      </c>
      <c r="S2896" s="6">
        <f>IFERROR(__xludf.DUMMYFUNCTION("rank(J2896,FILTER(J:J,R:R=R2896))"),5.0)</f>
        <v>5</v>
      </c>
      <c r="T2896" s="6">
        <f t="shared" si="6"/>
        <v>7</v>
      </c>
      <c r="U2896" s="6">
        <f t="shared" si="7"/>
        <v>5</v>
      </c>
      <c r="V2896" s="42">
        <f>averageif(AllData!A:A,B2896,AllData!R:R)/vlookup(B2896,AllData!A:O,15,0)</f>
        <v>104.9271429</v>
      </c>
      <c r="W2896" s="6"/>
    </row>
    <row r="2897" ht="14.25" customHeight="1">
      <c r="A2897" s="6" t="str">
        <f t="shared" si="29"/>
        <v>2025Ewert6</v>
      </c>
      <c r="B2897" s="59">
        <v>2025.0</v>
      </c>
      <c r="C2897" s="13" t="s">
        <v>108</v>
      </c>
      <c r="D2897" s="13" t="s">
        <v>142</v>
      </c>
      <c r="E2897" s="34"/>
      <c r="F2897" s="6"/>
      <c r="H2897" s="6"/>
      <c r="I2897" s="35" t="str">
        <f>IFERROR(IFERROR(IFERROR(VLOOKUP(B2897&amp;C2897&amp;Q2897,'New Weekly Paste'!A:M,10,0),VLOOKUP(B2897&amp;C2897&amp;Q2897,'New Weekly Paste'!B:O,6,0)),""),"")</f>
        <v>Pierson</v>
      </c>
      <c r="J2897" s="259">
        <f>IFERROR(IFERROR(VLOOKUP(B2897&amp;C2897&amp;Q2897,'New Weekly Paste'!A:M,8,0),VLOOKUP(B2897&amp;C2897&amp;Q2897,'New Weekly Paste'!B:O,10,0)),0)</f>
        <v>109.18</v>
      </c>
      <c r="K2897" s="259">
        <f>IFERROR(IFERROR(VLOOKUP(B2897&amp;I2897&amp;Q2897,'New Weekly Paste'!A:M,8,0),VLOOKUP(B2897&amp;I2897&amp;Q2897,'New Weekly Paste'!B:O,10,0)),0)</f>
        <v>134.92</v>
      </c>
      <c r="L2897" s="239">
        <f t="shared" si="25"/>
        <v>0</v>
      </c>
      <c r="M2897" s="36" t="str">
        <f t="shared" si="3"/>
        <v>Regular Season</v>
      </c>
      <c r="N2897" s="239" t="str">
        <f t="shared" si="26"/>
        <v>Pierson</v>
      </c>
      <c r="O2897" s="6">
        <f>VLOOKUP(D2897,'Mapped Opponent'!$G$4:$H$22,2,0)</f>
        <v>6</v>
      </c>
      <c r="P2897" s="6"/>
      <c r="Q2897" s="6" t="str">
        <f t="shared" si="4"/>
        <v>Week 6</v>
      </c>
      <c r="R2897" s="6" t="str">
        <f t="shared" si="5"/>
        <v>2025Week 6</v>
      </c>
      <c r="S2897" s="6">
        <f>IFERROR(__xludf.DUMMYFUNCTION("rank(J2897,FILTER(J:J,R:R=R2897))"),4.0)</f>
        <v>4</v>
      </c>
      <c r="T2897" s="6">
        <f t="shared" si="6"/>
        <v>8</v>
      </c>
      <c r="U2897" s="6">
        <f t="shared" si="7"/>
        <v>4</v>
      </c>
      <c r="V2897" s="42">
        <f>averageif(AllData!A:A,B2897,AllData!R:R)/vlookup(B2897,AllData!A:O,15,0)</f>
        <v>104.9271429</v>
      </c>
      <c r="W2897" s="6"/>
    </row>
    <row r="2898" ht="14.25" customHeight="1">
      <c r="A2898" s="6" t="str">
        <f t="shared" si="29"/>
        <v>2025Shep6</v>
      </c>
      <c r="B2898" s="59">
        <v>2025.0</v>
      </c>
      <c r="C2898" s="13" t="s">
        <v>89</v>
      </c>
      <c r="D2898" s="13" t="s">
        <v>142</v>
      </c>
      <c r="E2898" s="34"/>
      <c r="F2898" s="6"/>
      <c r="H2898" s="6"/>
      <c r="I2898" s="35" t="str">
        <f>IFERROR(IFERROR(IFERROR(VLOOKUP(B2898&amp;C2898&amp;Q2898,'New Weekly Paste'!A:M,10,0),VLOOKUP(B2898&amp;C2898&amp;Q2898,'New Weekly Paste'!B:O,6,0)),""),"")</f>
        <v>Buser</v>
      </c>
      <c r="J2898" s="259">
        <f>IFERROR(IFERROR(VLOOKUP(B2898&amp;C2898&amp;Q2898,'New Weekly Paste'!A:M,8,0),VLOOKUP(B2898&amp;C2898&amp;Q2898,'New Weekly Paste'!B:O,10,0)),0)</f>
        <v>90.24</v>
      </c>
      <c r="K2898" s="259">
        <f>IFERROR(IFERROR(VLOOKUP(B2898&amp;I2898&amp;Q2898,'New Weekly Paste'!A:M,8,0),VLOOKUP(B2898&amp;I2898&amp;Q2898,'New Weekly Paste'!B:O,10,0)),0)</f>
        <v>135.54</v>
      </c>
      <c r="L2898" s="239">
        <f t="shared" si="25"/>
        <v>0</v>
      </c>
      <c r="M2898" s="36" t="str">
        <f t="shared" si="3"/>
        <v>Regular Season</v>
      </c>
      <c r="N2898" s="239" t="str">
        <f t="shared" si="26"/>
        <v>Buser</v>
      </c>
      <c r="O2898" s="6">
        <f>VLOOKUP(D2898,'Mapped Opponent'!$G$4:$H$22,2,0)</f>
        <v>6</v>
      </c>
      <c r="P2898" s="6"/>
      <c r="Q2898" s="6" t="str">
        <f t="shared" si="4"/>
        <v>Week 6</v>
      </c>
      <c r="R2898" s="6" t="str">
        <f t="shared" si="5"/>
        <v>2025Week 6</v>
      </c>
      <c r="S2898" s="6">
        <f>IFERROR(__xludf.DUMMYFUNCTION("rank(J2898,FILTER(J:J,R:R=R2898))"),10.0)</f>
        <v>10</v>
      </c>
      <c r="T2898" s="6">
        <f t="shared" si="6"/>
        <v>2</v>
      </c>
      <c r="U2898" s="6">
        <f t="shared" si="7"/>
        <v>10</v>
      </c>
      <c r="V2898" s="42">
        <f>averageif(AllData!A:A,B2898,AllData!R:R)/vlookup(B2898,AllData!A:O,15,0)</f>
        <v>104.9271429</v>
      </c>
      <c r="W2898" s="6"/>
    </row>
    <row r="2899" ht="14.25" customHeight="1">
      <c r="A2899" s="6" t="str">
        <f t="shared" si="29"/>
        <v>2025Riley6</v>
      </c>
      <c r="B2899" s="59">
        <v>2025.0</v>
      </c>
      <c r="C2899" s="13" t="s">
        <v>67</v>
      </c>
      <c r="D2899" s="13" t="s">
        <v>142</v>
      </c>
      <c r="E2899" s="34"/>
      <c r="F2899" s="6"/>
      <c r="H2899" s="6"/>
      <c r="I2899" s="35" t="str">
        <f>IFERROR(IFERROR(IFERROR(VLOOKUP(B2899&amp;C2899&amp;Q2899,'New Weekly Paste'!A:M,10,0),VLOOKUP(B2899&amp;C2899&amp;Q2899,'New Weekly Paste'!B:O,6,0)),""),"")</f>
        <v>Cock</v>
      </c>
      <c r="J2899" s="259">
        <f>IFERROR(IFERROR(VLOOKUP(B2899&amp;C2899&amp;Q2899,'New Weekly Paste'!A:M,8,0),VLOOKUP(B2899&amp;C2899&amp;Q2899,'New Weekly Paste'!B:O,10,0)),0)</f>
        <v>74.06</v>
      </c>
      <c r="K2899" s="259">
        <f>IFERROR(IFERROR(VLOOKUP(B2899&amp;I2899&amp;Q2899,'New Weekly Paste'!A:M,8,0),VLOOKUP(B2899&amp;I2899&amp;Q2899,'New Weekly Paste'!B:O,10,0)),0)</f>
        <v>99.38</v>
      </c>
      <c r="L2899" s="239">
        <f t="shared" si="25"/>
        <v>0</v>
      </c>
      <c r="M2899" s="36" t="str">
        <f t="shared" si="3"/>
        <v>Regular Season</v>
      </c>
      <c r="N2899" s="239" t="str">
        <f t="shared" si="26"/>
        <v>Cock</v>
      </c>
      <c r="O2899" s="6">
        <f>VLOOKUP(D2899,'Mapped Opponent'!$G$4:$H$22,2,0)</f>
        <v>6</v>
      </c>
      <c r="P2899" s="6"/>
      <c r="Q2899" s="6" t="str">
        <f t="shared" si="4"/>
        <v>Week 6</v>
      </c>
      <c r="R2899" s="6" t="str">
        <f t="shared" si="5"/>
        <v>2025Week 6</v>
      </c>
      <c r="S2899" s="6">
        <f>IFERROR(__xludf.DUMMYFUNCTION("rank(J2899,FILTER(J:J,R:R=R2899))"),12.0)</f>
        <v>12</v>
      </c>
      <c r="T2899" s="6">
        <f t="shared" si="6"/>
        <v>0</v>
      </c>
      <c r="U2899" s="6">
        <f t="shared" si="7"/>
        <v>12</v>
      </c>
      <c r="V2899" s="42">
        <f>averageif(AllData!A:A,B2899,AllData!R:R)/vlookup(B2899,AllData!A:O,15,0)</f>
        <v>104.9271429</v>
      </c>
      <c r="W2899" s="6"/>
    </row>
    <row r="2900" ht="14.25" customHeight="1">
      <c r="A2900" s="6" t="str">
        <f t="shared" si="29"/>
        <v>2025Rooney/Jackson6</v>
      </c>
      <c r="B2900" s="59">
        <v>2025.0</v>
      </c>
      <c r="C2900" s="13" t="s">
        <v>57</v>
      </c>
      <c r="D2900" s="13" t="s">
        <v>142</v>
      </c>
      <c r="E2900" s="34"/>
      <c r="F2900" s="6"/>
      <c r="H2900" s="6"/>
      <c r="I2900" s="35" t="str">
        <f>IFERROR(IFERROR(IFERROR(VLOOKUP(B2900&amp;C2900&amp;Q2900,'New Weekly Paste'!A:M,10,0),VLOOKUP(B2900&amp;C2900&amp;Q2900,'New Weekly Paste'!B:O,6,0)),""),"")</f>
        <v>Tayski</v>
      </c>
      <c r="J2900" s="259">
        <f>IFERROR(IFERROR(VLOOKUP(B2900&amp;C2900&amp;Q2900,'New Weekly Paste'!A:M,8,0),VLOOKUP(B2900&amp;C2900&amp;Q2900,'New Weekly Paste'!B:O,10,0)),0)</f>
        <v>113.86</v>
      </c>
      <c r="K2900" s="259">
        <f>IFERROR(IFERROR(VLOOKUP(B2900&amp;I2900&amp;Q2900,'New Weekly Paste'!A:M,8,0),VLOOKUP(B2900&amp;I2900&amp;Q2900,'New Weekly Paste'!B:O,10,0)),0)</f>
        <v>101.74</v>
      </c>
      <c r="L2900" s="239">
        <f t="shared" si="25"/>
        <v>1</v>
      </c>
      <c r="M2900" s="36" t="str">
        <f t="shared" si="3"/>
        <v>Regular Season</v>
      </c>
      <c r="N2900" s="239" t="str">
        <f t="shared" si="26"/>
        <v>Tayski</v>
      </c>
      <c r="O2900" s="6">
        <f>VLOOKUP(D2900,'Mapped Opponent'!$G$4:$H$22,2,0)</f>
        <v>6</v>
      </c>
      <c r="P2900" s="6"/>
      <c r="Q2900" s="6" t="str">
        <f t="shared" si="4"/>
        <v>Week 6</v>
      </c>
      <c r="R2900" s="6" t="str">
        <f t="shared" si="5"/>
        <v>2025Week 6</v>
      </c>
      <c r="S2900" s="6">
        <f>IFERROR(__xludf.DUMMYFUNCTION("rank(J2900,FILTER(J:J,R:R=R2900))"),3.0)</f>
        <v>3</v>
      </c>
      <c r="T2900" s="6">
        <f t="shared" si="6"/>
        <v>9</v>
      </c>
      <c r="U2900" s="6">
        <f t="shared" si="7"/>
        <v>3</v>
      </c>
      <c r="V2900" s="42">
        <f>averageif(AllData!A:A,B2900,AllData!R:R)/vlookup(B2900,AllData!A:O,15,0)</f>
        <v>104.9271429</v>
      </c>
      <c r="W2900" s="6"/>
    </row>
    <row r="2901" ht="14.25" customHeight="1">
      <c r="A2901" s="6" t="str">
        <f t="shared" si="29"/>
        <v>2025Buser6</v>
      </c>
      <c r="B2901" s="59">
        <v>2025.0</v>
      </c>
      <c r="C2901" s="13" t="s">
        <v>47</v>
      </c>
      <c r="D2901" s="13" t="s">
        <v>142</v>
      </c>
      <c r="E2901" s="34"/>
      <c r="F2901" s="6"/>
      <c r="H2901" s="6"/>
      <c r="I2901" s="35" t="str">
        <f>IFERROR(IFERROR(IFERROR(VLOOKUP(B2901&amp;C2901&amp;Q2901,'New Weekly Paste'!A:M,10,0),VLOOKUP(B2901&amp;C2901&amp;Q2901,'New Weekly Paste'!B:O,6,0)),""),"")</f>
        <v>Shep</v>
      </c>
      <c r="J2901" s="259">
        <f>IFERROR(IFERROR(VLOOKUP(B2901&amp;C2901&amp;Q2901,'New Weekly Paste'!A:M,8,0),VLOOKUP(B2901&amp;C2901&amp;Q2901,'New Weekly Paste'!B:O,10,0)),0)</f>
        <v>135.54</v>
      </c>
      <c r="K2901" s="259">
        <f>IFERROR(IFERROR(VLOOKUP(B2901&amp;I2901&amp;Q2901,'New Weekly Paste'!A:M,8,0),VLOOKUP(B2901&amp;I2901&amp;Q2901,'New Weekly Paste'!B:O,10,0)),0)</f>
        <v>90.24</v>
      </c>
      <c r="L2901" s="239">
        <f t="shared" si="25"/>
        <v>1</v>
      </c>
      <c r="M2901" s="36" t="str">
        <f t="shared" si="3"/>
        <v>Regular Season</v>
      </c>
      <c r="N2901" s="239" t="str">
        <f t="shared" si="26"/>
        <v>Shep</v>
      </c>
      <c r="O2901" s="6">
        <f>VLOOKUP(D2901,'Mapped Opponent'!$G$4:$H$22,2,0)</f>
        <v>6</v>
      </c>
      <c r="P2901" s="6"/>
      <c r="Q2901" s="6" t="str">
        <f t="shared" si="4"/>
        <v>Week 6</v>
      </c>
      <c r="R2901" s="6" t="str">
        <f t="shared" si="5"/>
        <v>2025Week 6</v>
      </c>
      <c r="S2901" s="6">
        <f>IFERROR(__xludf.DUMMYFUNCTION("rank(J2901,FILTER(J:J,R:R=R2901))"),1.0)</f>
        <v>1</v>
      </c>
      <c r="T2901" s="6">
        <f t="shared" si="6"/>
        <v>11</v>
      </c>
      <c r="U2901" s="6">
        <f t="shared" si="7"/>
        <v>1</v>
      </c>
      <c r="V2901" s="42">
        <f>averageif(AllData!A:A,B2901,AllData!R:R)/vlookup(B2901,AllData!A:O,15,0)</f>
        <v>104.9271429</v>
      </c>
      <c r="W2901" s="6"/>
    </row>
    <row r="2902" ht="14.25" customHeight="1">
      <c r="A2902" s="6" t="str">
        <f t="shared" si="29"/>
        <v>2025Pierson6</v>
      </c>
      <c r="B2902" s="59">
        <v>2025.0</v>
      </c>
      <c r="C2902" s="13" t="s">
        <v>92</v>
      </c>
      <c r="D2902" s="13" t="s">
        <v>142</v>
      </c>
      <c r="E2902" s="34"/>
      <c r="F2902" s="6"/>
      <c r="H2902" s="6"/>
      <c r="I2902" s="35" t="str">
        <f>IFERROR(IFERROR(IFERROR(VLOOKUP(B2902&amp;C2902&amp;Q2902,'New Weekly Paste'!A:M,10,0),VLOOKUP(B2902&amp;C2902&amp;Q2902,'New Weekly Paste'!B:O,6,0)),""),"")</f>
        <v>Ewert</v>
      </c>
      <c r="J2902" s="259">
        <f>IFERROR(IFERROR(VLOOKUP(B2902&amp;C2902&amp;Q2902,'New Weekly Paste'!A:M,8,0),VLOOKUP(B2902&amp;C2902&amp;Q2902,'New Weekly Paste'!B:O,10,0)),0)</f>
        <v>134.92</v>
      </c>
      <c r="K2902" s="259">
        <f>IFERROR(IFERROR(VLOOKUP(B2902&amp;I2902&amp;Q2902,'New Weekly Paste'!A:M,8,0),VLOOKUP(B2902&amp;I2902&amp;Q2902,'New Weekly Paste'!B:O,10,0)),0)</f>
        <v>109.18</v>
      </c>
      <c r="L2902" s="239">
        <f t="shared" si="25"/>
        <v>1</v>
      </c>
      <c r="M2902" s="36" t="str">
        <f t="shared" si="3"/>
        <v>Regular Season</v>
      </c>
      <c r="N2902" s="239" t="str">
        <f t="shared" si="26"/>
        <v>Ewert</v>
      </c>
      <c r="O2902" s="6">
        <f>VLOOKUP(D2902,'Mapped Opponent'!$G$4:$H$22,2,0)</f>
        <v>6</v>
      </c>
      <c r="P2902" s="6"/>
      <c r="Q2902" s="6" t="str">
        <f t="shared" si="4"/>
        <v>Week 6</v>
      </c>
      <c r="R2902" s="6" t="str">
        <f t="shared" si="5"/>
        <v>2025Week 6</v>
      </c>
      <c r="S2902" s="6">
        <f>IFERROR(__xludf.DUMMYFUNCTION("rank(J2902,FILTER(J:J,R:R=R2902))"),2.0)</f>
        <v>2</v>
      </c>
      <c r="T2902" s="6">
        <f t="shared" si="6"/>
        <v>10</v>
      </c>
      <c r="U2902" s="6">
        <f t="shared" si="7"/>
        <v>2</v>
      </c>
      <c r="V2902" s="42">
        <f>averageif(AllData!A:A,B2902,AllData!R:R)/vlookup(B2902,AllData!A:O,15,0)</f>
        <v>104.9271429</v>
      </c>
      <c r="W2902" s="6"/>
    </row>
    <row r="2903" ht="14.25" customHeight="1">
      <c r="A2903" s="6" t="str">
        <f t="shared" si="29"/>
        <v>2025Cock6</v>
      </c>
      <c r="B2903" s="59">
        <v>2025.0</v>
      </c>
      <c r="C2903" s="13" t="s">
        <v>72</v>
      </c>
      <c r="D2903" s="13" t="s">
        <v>142</v>
      </c>
      <c r="E2903" s="34"/>
      <c r="F2903" s="6"/>
      <c r="H2903" s="6"/>
      <c r="I2903" s="35" t="str">
        <f>IFERROR(IFERROR(IFERROR(VLOOKUP(B2903&amp;C2903&amp;Q2903,'New Weekly Paste'!A:M,10,0),VLOOKUP(B2903&amp;C2903&amp;Q2903,'New Weekly Paste'!B:O,6,0)),""),"")</f>
        <v>Riley</v>
      </c>
      <c r="J2903" s="259">
        <f>IFERROR(IFERROR(VLOOKUP(B2903&amp;C2903&amp;Q2903,'New Weekly Paste'!A:M,8,0),VLOOKUP(B2903&amp;C2903&amp;Q2903,'New Weekly Paste'!B:O,10,0)),0)</f>
        <v>99.38</v>
      </c>
      <c r="K2903" s="259">
        <f>IFERROR(IFERROR(VLOOKUP(B2903&amp;I2903&amp;Q2903,'New Weekly Paste'!A:M,8,0),VLOOKUP(B2903&amp;I2903&amp;Q2903,'New Weekly Paste'!B:O,10,0)),0)</f>
        <v>74.06</v>
      </c>
      <c r="L2903" s="239">
        <f t="shared" si="25"/>
        <v>1</v>
      </c>
      <c r="M2903" s="36" t="str">
        <f t="shared" si="3"/>
        <v>Regular Season</v>
      </c>
      <c r="N2903" s="239" t="str">
        <f t="shared" si="26"/>
        <v>Riley</v>
      </c>
      <c r="O2903" s="6">
        <f>VLOOKUP(D2903,'Mapped Opponent'!$G$4:$H$22,2,0)</f>
        <v>6</v>
      </c>
      <c r="P2903" s="6"/>
      <c r="Q2903" s="6" t="str">
        <f t="shared" si="4"/>
        <v>Week 6</v>
      </c>
      <c r="R2903" s="6" t="str">
        <f t="shared" si="5"/>
        <v>2025Week 6</v>
      </c>
      <c r="S2903" s="6">
        <f>IFERROR(__xludf.DUMMYFUNCTION("rank(J2903,FILTER(J:J,R:R=R2903))"),8.0)</f>
        <v>8</v>
      </c>
      <c r="T2903" s="6">
        <f t="shared" si="6"/>
        <v>4</v>
      </c>
      <c r="U2903" s="6">
        <f t="shared" si="7"/>
        <v>8</v>
      </c>
      <c r="V2903" s="42">
        <f>averageif(AllData!A:A,B2903,AllData!R:R)/vlookup(B2903,AllData!A:O,15,0)</f>
        <v>104.9271429</v>
      </c>
      <c r="W2903" s="6"/>
    </row>
    <row r="2904" ht="14.25" customHeight="1">
      <c r="A2904" s="6" t="str">
        <f t="shared" si="29"/>
        <v>2025Tayski6</v>
      </c>
      <c r="B2904" s="59">
        <v>2025.0</v>
      </c>
      <c r="C2904" s="13" t="s">
        <v>52</v>
      </c>
      <c r="D2904" s="13" t="s">
        <v>142</v>
      </c>
      <c r="E2904" s="34"/>
      <c r="F2904" s="6"/>
      <c r="H2904" s="6"/>
      <c r="I2904" s="35" t="str">
        <f>IFERROR(IFERROR(IFERROR(VLOOKUP(B2904&amp;C2904&amp;Q2904,'New Weekly Paste'!A:M,10,0),VLOOKUP(B2904&amp;C2904&amp;Q2904,'New Weekly Paste'!B:O,6,0)),""),"")</f>
        <v>Rooney/Jackson</v>
      </c>
      <c r="J2904" s="259">
        <f>IFERROR(IFERROR(VLOOKUP(B2904&amp;C2904&amp;Q2904,'New Weekly Paste'!A:M,8,0),VLOOKUP(B2904&amp;C2904&amp;Q2904,'New Weekly Paste'!B:O,10,0)),0)</f>
        <v>101.74</v>
      </c>
      <c r="K2904" s="259">
        <f>IFERROR(IFERROR(VLOOKUP(B2904&amp;I2904&amp;Q2904,'New Weekly Paste'!A:M,8,0),VLOOKUP(B2904&amp;I2904&amp;Q2904,'New Weekly Paste'!B:O,10,0)),0)</f>
        <v>113.86</v>
      </c>
      <c r="L2904" s="239">
        <f t="shared" si="25"/>
        <v>0</v>
      </c>
      <c r="M2904" s="36" t="str">
        <f t="shared" si="3"/>
        <v>Regular Season</v>
      </c>
      <c r="N2904" s="239" t="str">
        <f t="shared" si="26"/>
        <v>Rooney/Jackson</v>
      </c>
      <c r="O2904" s="6">
        <f>VLOOKUP(D2904,'Mapped Opponent'!$G$4:$H$22,2,0)</f>
        <v>6</v>
      </c>
      <c r="P2904" s="6"/>
      <c r="Q2904" s="6" t="str">
        <f t="shared" si="4"/>
        <v>Week 6</v>
      </c>
      <c r="R2904" s="6" t="str">
        <f t="shared" si="5"/>
        <v>2025Week 6</v>
      </c>
      <c r="S2904" s="6">
        <f>IFERROR(__xludf.DUMMYFUNCTION("rank(J2904,FILTER(J:J,R:R=R2904))"),7.0)</f>
        <v>7</v>
      </c>
      <c r="T2904" s="6">
        <f t="shared" si="6"/>
        <v>5</v>
      </c>
      <c r="U2904" s="6">
        <f t="shared" si="7"/>
        <v>7</v>
      </c>
      <c r="V2904" s="42">
        <f>averageif(AllData!A:A,B2904,AllData!R:R)/vlookup(B2904,AllData!A:O,15,0)</f>
        <v>104.9271429</v>
      </c>
      <c r="W2904" s="6"/>
    </row>
    <row r="2905" ht="14.25" customHeight="1">
      <c r="A2905" s="6" t="str">
        <f t="shared" si="29"/>
        <v>2025KnardDawg6</v>
      </c>
      <c r="B2905" s="59">
        <v>2025.0</v>
      </c>
      <c r="C2905" s="13" t="s">
        <v>86</v>
      </c>
      <c r="D2905" s="13" t="s">
        <v>142</v>
      </c>
      <c r="E2905" s="34"/>
      <c r="F2905" s="6"/>
      <c r="H2905" s="6"/>
      <c r="I2905" s="35" t="str">
        <f>IFERROR(IFERROR(IFERROR(VLOOKUP(B2905&amp;C2905&amp;Q2905,'New Weekly Paste'!A:M,10,0),VLOOKUP(B2905&amp;C2905&amp;Q2905,'New Weekly Paste'!B:O,6,0)),""),"")</f>
        <v>Hudspeath</v>
      </c>
      <c r="J2905" s="259">
        <f>IFERROR(IFERROR(VLOOKUP(B2905&amp;C2905&amp;Q2905,'New Weekly Paste'!A:M,8,0),VLOOKUP(B2905&amp;C2905&amp;Q2905,'New Weekly Paste'!B:O,10,0)),0)</f>
        <v>98.1</v>
      </c>
      <c r="K2905" s="259">
        <f>IFERROR(IFERROR(VLOOKUP(B2905&amp;I2905&amp;Q2905,'New Weekly Paste'!A:M,8,0),VLOOKUP(B2905&amp;I2905&amp;Q2905,'New Weekly Paste'!B:O,10,0)),0)</f>
        <v>74.86</v>
      </c>
      <c r="L2905" s="239">
        <f t="shared" si="25"/>
        <v>1</v>
      </c>
      <c r="M2905" s="36" t="str">
        <f t="shared" si="3"/>
        <v>Regular Season</v>
      </c>
      <c r="N2905" s="239" t="str">
        <f t="shared" si="26"/>
        <v>Hudspeath</v>
      </c>
      <c r="O2905" s="6">
        <f>VLOOKUP(D2905,'Mapped Opponent'!$G$4:$H$22,2,0)</f>
        <v>6</v>
      </c>
      <c r="P2905" s="6"/>
      <c r="Q2905" s="6" t="str">
        <f t="shared" si="4"/>
        <v>Week 6</v>
      </c>
      <c r="R2905" s="6" t="str">
        <f t="shared" si="5"/>
        <v>2025Week 6</v>
      </c>
      <c r="S2905" s="6">
        <f>IFERROR(__xludf.DUMMYFUNCTION("rank(J2905,FILTER(J:J,R:R=R2905))"),9.0)</f>
        <v>9</v>
      </c>
      <c r="T2905" s="6">
        <f t="shared" si="6"/>
        <v>3</v>
      </c>
      <c r="U2905" s="6">
        <f t="shared" si="7"/>
        <v>9</v>
      </c>
      <c r="V2905" s="42">
        <f>averageif(AllData!A:A,B2905,AllData!R:R)/vlookup(B2905,AllData!A:O,15,0)</f>
        <v>104.9271429</v>
      </c>
      <c r="W2905" s="6"/>
    </row>
    <row r="2906" ht="14.25" customHeight="1">
      <c r="A2906" s="6" t="str">
        <f t="shared" si="29"/>
        <v>2025T-How6</v>
      </c>
      <c r="B2906" s="59">
        <v>2025.0</v>
      </c>
      <c r="C2906" s="13" t="s">
        <v>82</v>
      </c>
      <c r="D2906" s="13" t="s">
        <v>142</v>
      </c>
      <c r="E2906" s="34"/>
      <c r="F2906" s="6"/>
      <c r="H2906" s="6"/>
      <c r="I2906" s="35" t="str">
        <f>IFERROR(IFERROR(IFERROR(VLOOKUP(B2906&amp;C2906&amp;Q2906,'New Weekly Paste'!A:M,10,0),VLOOKUP(B2906&amp;C2906&amp;Q2906,'New Weekly Paste'!B:O,6,0)),""),"")</f>
        <v>Salty</v>
      </c>
      <c r="J2906" s="259">
        <f>IFERROR(IFERROR(VLOOKUP(B2906&amp;C2906&amp;Q2906,'New Weekly Paste'!A:M,8,0),VLOOKUP(B2906&amp;C2906&amp;Q2906,'New Weekly Paste'!B:O,10,0)),0)</f>
        <v>108</v>
      </c>
      <c r="K2906" s="259">
        <f>IFERROR(IFERROR(VLOOKUP(B2906&amp;I2906&amp;Q2906,'New Weekly Paste'!A:M,8,0),VLOOKUP(B2906&amp;I2906&amp;Q2906,'New Weekly Paste'!B:O,10,0)),0)</f>
        <v>108.24</v>
      </c>
      <c r="L2906" s="239">
        <f t="shared" si="25"/>
        <v>0</v>
      </c>
      <c r="M2906" s="36" t="str">
        <f t="shared" si="3"/>
        <v>Regular Season</v>
      </c>
      <c r="N2906" s="239" t="str">
        <f t="shared" si="26"/>
        <v>Salty</v>
      </c>
      <c r="O2906" s="6">
        <f>VLOOKUP(D2906,'Mapped Opponent'!$G$4:$H$22,2,0)</f>
        <v>6</v>
      </c>
      <c r="P2906" s="6"/>
      <c r="Q2906" s="6" t="str">
        <f t="shared" si="4"/>
        <v>Week 6</v>
      </c>
      <c r="R2906" s="6" t="str">
        <f t="shared" si="5"/>
        <v>2025Week 6</v>
      </c>
      <c r="S2906" s="6">
        <f>IFERROR(__xludf.DUMMYFUNCTION("rank(J2906,FILTER(J:J,R:R=R2906))"),6.0)</f>
        <v>6</v>
      </c>
      <c r="T2906" s="6">
        <f t="shared" si="6"/>
        <v>6</v>
      </c>
      <c r="U2906" s="6">
        <f t="shared" si="7"/>
        <v>6</v>
      </c>
      <c r="V2906" s="42">
        <f>averageif(AllData!A:A,B2906,AllData!R:R)/vlookup(B2906,AllData!A:O,15,0)</f>
        <v>104.9271429</v>
      </c>
      <c r="W2906" s="6"/>
    </row>
    <row r="2907" ht="14.25" customHeight="1">
      <c r="A2907" s="6" t="str">
        <f t="shared" si="29"/>
        <v>2025Hudspeath7</v>
      </c>
      <c r="B2907" s="59">
        <v>2025.0</v>
      </c>
      <c r="C2907" s="13" t="s">
        <v>39</v>
      </c>
      <c r="D2907" s="13" t="s">
        <v>143</v>
      </c>
      <c r="E2907" s="34"/>
      <c r="F2907" s="6"/>
      <c r="H2907" s="6"/>
      <c r="I2907" s="35" t="str">
        <f>IFERROR(IFERROR(IFERROR(VLOOKUP(B2907&amp;C2907&amp;Q2907,'New Weekly Paste'!A:M,10,0),VLOOKUP(B2907&amp;C2907&amp;Q2907,'New Weekly Paste'!B:O,6,0)),""),"")</f>
        <v>Rooney/Jackson</v>
      </c>
      <c r="J2907" s="259">
        <f>IFERROR(IFERROR(VLOOKUP(B2907&amp;C2907&amp;Q2907,'New Weekly Paste'!A:M,8,0),VLOOKUP(B2907&amp;C2907&amp;Q2907,'New Weekly Paste'!B:O,10,0)),0)</f>
        <v>113.82</v>
      </c>
      <c r="K2907" s="259">
        <f>IFERROR(IFERROR(VLOOKUP(B2907&amp;I2907&amp;Q2907,'New Weekly Paste'!A:M,8,0),VLOOKUP(B2907&amp;I2907&amp;Q2907,'New Weekly Paste'!B:O,10,0)),0)</f>
        <v>69.28</v>
      </c>
      <c r="L2907" s="239">
        <f t="shared" si="25"/>
        <v>1</v>
      </c>
      <c r="M2907" s="36" t="str">
        <f t="shared" si="3"/>
        <v>Regular Season</v>
      </c>
      <c r="N2907" s="239" t="str">
        <f t="shared" si="26"/>
        <v>Rooney/Jackson</v>
      </c>
      <c r="O2907" s="6">
        <f>VLOOKUP(D2907,'Mapped Opponent'!$G$4:$H$22,2,0)</f>
        <v>7</v>
      </c>
      <c r="P2907" s="6"/>
      <c r="Q2907" s="6" t="str">
        <f t="shared" si="4"/>
        <v>Week 7</v>
      </c>
      <c r="R2907" s="6" t="str">
        <f t="shared" si="5"/>
        <v>2025Week 7</v>
      </c>
      <c r="S2907" s="6">
        <f>IFERROR(__xludf.DUMMYFUNCTION("rank(J2907,FILTER(J:J,R:R=R2907))"),3.0)</f>
        <v>3</v>
      </c>
      <c r="T2907" s="6">
        <f t="shared" si="6"/>
        <v>9</v>
      </c>
      <c r="U2907" s="6">
        <f t="shared" si="7"/>
        <v>3</v>
      </c>
      <c r="V2907" s="42">
        <f>averageif(AllData!A:A,B2907,AllData!R:R)/vlookup(B2907,AllData!A:O,15,0)</f>
        <v>104.9271429</v>
      </c>
      <c r="W2907" s="6"/>
    </row>
    <row r="2908" ht="14.25" customHeight="1">
      <c r="A2908" s="6" t="str">
        <f t="shared" si="29"/>
        <v>2025Salty7</v>
      </c>
      <c r="B2908" s="59">
        <v>2025.0</v>
      </c>
      <c r="C2908" s="13" t="s">
        <v>76</v>
      </c>
      <c r="D2908" s="13" t="s">
        <v>143</v>
      </c>
      <c r="E2908" s="34"/>
      <c r="F2908" s="6"/>
      <c r="H2908" s="6"/>
      <c r="I2908" s="35" t="str">
        <f>IFERROR(IFERROR(IFERROR(VLOOKUP(B2908&amp;C2908&amp;Q2908,'New Weekly Paste'!A:M,10,0),VLOOKUP(B2908&amp;C2908&amp;Q2908,'New Weekly Paste'!B:O,6,0)),""),"")</f>
        <v>KnardDawg</v>
      </c>
      <c r="J2908" s="259">
        <f>IFERROR(IFERROR(VLOOKUP(B2908&amp;C2908&amp;Q2908,'New Weekly Paste'!A:M,8,0),VLOOKUP(B2908&amp;C2908&amp;Q2908,'New Weekly Paste'!B:O,10,0)),0)</f>
        <v>108.78</v>
      </c>
      <c r="K2908" s="259">
        <f>IFERROR(IFERROR(VLOOKUP(B2908&amp;I2908&amp;Q2908,'New Weekly Paste'!A:M,8,0),VLOOKUP(B2908&amp;I2908&amp;Q2908,'New Weekly Paste'!B:O,10,0)),0)</f>
        <v>83.54</v>
      </c>
      <c r="L2908" s="239">
        <f t="shared" si="25"/>
        <v>1</v>
      </c>
      <c r="M2908" s="36" t="str">
        <f t="shared" si="3"/>
        <v>Regular Season</v>
      </c>
      <c r="N2908" s="239" t="str">
        <f t="shared" si="26"/>
        <v>KnardDawg</v>
      </c>
      <c r="O2908" s="6">
        <f>VLOOKUP(D2908,'Mapped Opponent'!$G$4:$H$22,2,0)</f>
        <v>7</v>
      </c>
      <c r="P2908" s="6"/>
      <c r="Q2908" s="6" t="str">
        <f t="shared" si="4"/>
        <v>Week 7</v>
      </c>
      <c r="R2908" s="6" t="str">
        <f t="shared" si="5"/>
        <v>2025Week 7</v>
      </c>
      <c r="S2908" s="6">
        <f>IFERROR(__xludf.DUMMYFUNCTION("rank(J2908,FILTER(J:J,R:R=R2908))"),6.0)</f>
        <v>6</v>
      </c>
      <c r="T2908" s="6">
        <f t="shared" si="6"/>
        <v>6</v>
      </c>
      <c r="U2908" s="6">
        <f t="shared" si="7"/>
        <v>6</v>
      </c>
      <c r="V2908" s="42">
        <f>averageif(AllData!A:A,B2908,AllData!R:R)/vlookup(B2908,AllData!A:O,15,0)</f>
        <v>104.9271429</v>
      </c>
      <c r="W2908" s="6"/>
    </row>
    <row r="2909" ht="14.25" customHeight="1">
      <c r="A2909" s="6" t="str">
        <f t="shared" si="29"/>
        <v>2025Ewert7</v>
      </c>
      <c r="B2909" s="59">
        <v>2025.0</v>
      </c>
      <c r="C2909" s="13" t="s">
        <v>108</v>
      </c>
      <c r="D2909" s="13" t="s">
        <v>143</v>
      </c>
      <c r="E2909" s="34"/>
      <c r="F2909" s="6"/>
      <c r="H2909" s="6"/>
      <c r="I2909" s="35" t="str">
        <f>IFERROR(IFERROR(IFERROR(VLOOKUP(B2909&amp;C2909&amp;Q2909,'New Weekly Paste'!A:M,10,0),VLOOKUP(B2909&amp;C2909&amp;Q2909,'New Weekly Paste'!B:O,6,0)),""),"")</f>
        <v>Buser</v>
      </c>
      <c r="J2909" s="259">
        <f>IFERROR(IFERROR(VLOOKUP(B2909&amp;C2909&amp;Q2909,'New Weekly Paste'!A:M,8,0),VLOOKUP(B2909&amp;C2909&amp;Q2909,'New Weekly Paste'!B:O,10,0)),0)</f>
        <v>103.98</v>
      </c>
      <c r="K2909" s="259">
        <f>IFERROR(IFERROR(VLOOKUP(B2909&amp;I2909&amp;Q2909,'New Weekly Paste'!A:M,8,0),VLOOKUP(B2909&amp;I2909&amp;Q2909,'New Weekly Paste'!B:O,10,0)),0)</f>
        <v>139.96</v>
      </c>
      <c r="L2909" s="239">
        <f t="shared" si="25"/>
        <v>0</v>
      </c>
      <c r="M2909" s="36" t="str">
        <f t="shared" si="3"/>
        <v>Regular Season</v>
      </c>
      <c r="N2909" s="239" t="str">
        <f t="shared" si="26"/>
        <v>Buser</v>
      </c>
      <c r="O2909" s="6">
        <f>VLOOKUP(D2909,'Mapped Opponent'!$G$4:$H$22,2,0)</f>
        <v>7</v>
      </c>
      <c r="P2909" s="6"/>
      <c r="Q2909" s="6" t="str">
        <f t="shared" si="4"/>
        <v>Week 7</v>
      </c>
      <c r="R2909" s="6" t="str">
        <f t="shared" si="5"/>
        <v>2025Week 7</v>
      </c>
      <c r="S2909" s="6">
        <f>IFERROR(__xludf.DUMMYFUNCTION("rank(J2909,FILTER(J:J,R:R=R2909))"),7.0)</f>
        <v>7</v>
      </c>
      <c r="T2909" s="6">
        <f t="shared" si="6"/>
        <v>5</v>
      </c>
      <c r="U2909" s="6">
        <f t="shared" si="7"/>
        <v>7</v>
      </c>
      <c r="V2909" s="42">
        <f>averageif(AllData!A:A,B2909,AllData!R:R)/vlookup(B2909,AllData!A:O,15,0)</f>
        <v>104.9271429</v>
      </c>
      <c r="W2909" s="6"/>
    </row>
    <row r="2910" ht="14.25" customHeight="1">
      <c r="A2910" s="6" t="str">
        <f t="shared" si="29"/>
        <v>2025Shep7</v>
      </c>
      <c r="B2910" s="59">
        <v>2025.0</v>
      </c>
      <c r="C2910" s="13" t="s">
        <v>89</v>
      </c>
      <c r="D2910" s="13" t="s">
        <v>143</v>
      </c>
      <c r="E2910" s="34"/>
      <c r="F2910" s="6"/>
      <c r="H2910" s="6"/>
      <c r="I2910" s="35" t="str">
        <f>IFERROR(IFERROR(IFERROR(VLOOKUP(B2910&amp;C2910&amp;Q2910,'New Weekly Paste'!A:M,10,0),VLOOKUP(B2910&amp;C2910&amp;Q2910,'New Weekly Paste'!B:O,6,0)),""),"")</f>
        <v>T-How</v>
      </c>
      <c r="J2910" s="259">
        <f>IFERROR(IFERROR(VLOOKUP(B2910&amp;C2910&amp;Q2910,'New Weekly Paste'!A:M,8,0),VLOOKUP(B2910&amp;C2910&amp;Q2910,'New Weekly Paste'!B:O,10,0)),0)</f>
        <v>94.92</v>
      </c>
      <c r="K2910" s="259">
        <f>IFERROR(IFERROR(VLOOKUP(B2910&amp;I2910&amp;Q2910,'New Weekly Paste'!A:M,8,0),VLOOKUP(B2910&amp;I2910&amp;Q2910,'New Weekly Paste'!B:O,10,0)),0)</f>
        <v>74.08</v>
      </c>
      <c r="L2910" s="239">
        <f t="shared" si="25"/>
        <v>1</v>
      </c>
      <c r="M2910" s="36" t="str">
        <f t="shared" si="3"/>
        <v>Regular Season</v>
      </c>
      <c r="N2910" s="239" t="str">
        <f t="shared" si="26"/>
        <v>T-How</v>
      </c>
      <c r="O2910" s="6">
        <f>VLOOKUP(D2910,'Mapped Opponent'!$G$4:$H$22,2,0)</f>
        <v>7</v>
      </c>
      <c r="P2910" s="6"/>
      <c r="Q2910" s="6" t="str">
        <f t="shared" si="4"/>
        <v>Week 7</v>
      </c>
      <c r="R2910" s="6" t="str">
        <f t="shared" si="5"/>
        <v>2025Week 7</v>
      </c>
      <c r="S2910" s="6">
        <f>IFERROR(__xludf.DUMMYFUNCTION("rank(J2910,FILTER(J:J,R:R=R2910))"),8.0)</f>
        <v>8</v>
      </c>
      <c r="T2910" s="6">
        <f t="shared" si="6"/>
        <v>4</v>
      </c>
      <c r="U2910" s="6">
        <f t="shared" si="7"/>
        <v>8</v>
      </c>
      <c r="V2910" s="42">
        <f>averageif(AllData!A:A,B2910,AllData!R:R)/vlookup(B2910,AllData!A:O,15,0)</f>
        <v>104.9271429</v>
      </c>
      <c r="W2910" s="6"/>
    </row>
    <row r="2911" ht="14.25" customHeight="1">
      <c r="A2911" s="6" t="str">
        <f t="shared" si="29"/>
        <v>2025Riley7</v>
      </c>
      <c r="B2911" s="59">
        <v>2025.0</v>
      </c>
      <c r="C2911" s="13" t="s">
        <v>67</v>
      </c>
      <c r="D2911" s="13" t="s">
        <v>143</v>
      </c>
      <c r="E2911" s="34"/>
      <c r="F2911" s="6"/>
      <c r="H2911" s="6"/>
      <c r="I2911" s="35" t="str">
        <f>IFERROR(IFERROR(IFERROR(VLOOKUP(B2911&amp;C2911&amp;Q2911,'New Weekly Paste'!A:M,10,0),VLOOKUP(B2911&amp;C2911&amp;Q2911,'New Weekly Paste'!B:O,6,0)),""),"")</f>
        <v>Pierson</v>
      </c>
      <c r="J2911" s="259">
        <f>IFERROR(IFERROR(VLOOKUP(B2911&amp;C2911&amp;Q2911,'New Weekly Paste'!A:M,8,0),VLOOKUP(B2911&amp;C2911&amp;Q2911,'New Weekly Paste'!B:O,10,0)),0)</f>
        <v>110.7</v>
      </c>
      <c r="K2911" s="259">
        <f>IFERROR(IFERROR(VLOOKUP(B2911&amp;I2911&amp;Q2911,'New Weekly Paste'!A:M,8,0),VLOOKUP(B2911&amp;I2911&amp;Q2911,'New Weekly Paste'!B:O,10,0)),0)</f>
        <v>111.54</v>
      </c>
      <c r="L2911" s="239">
        <f t="shared" si="25"/>
        <v>0</v>
      </c>
      <c r="M2911" s="36" t="str">
        <f t="shared" si="3"/>
        <v>Regular Season</v>
      </c>
      <c r="N2911" s="239" t="str">
        <f t="shared" si="26"/>
        <v>Pierson</v>
      </c>
      <c r="O2911" s="6">
        <f>VLOOKUP(D2911,'Mapped Opponent'!$G$4:$H$22,2,0)</f>
        <v>7</v>
      </c>
      <c r="P2911" s="6"/>
      <c r="Q2911" s="6" t="str">
        <f t="shared" si="4"/>
        <v>Week 7</v>
      </c>
      <c r="R2911" s="6" t="str">
        <f t="shared" si="5"/>
        <v>2025Week 7</v>
      </c>
      <c r="S2911" s="6">
        <f>IFERROR(__xludf.DUMMYFUNCTION("rank(J2911,FILTER(J:J,R:R=R2911))"),5.0)</f>
        <v>5</v>
      </c>
      <c r="T2911" s="6">
        <f t="shared" si="6"/>
        <v>7</v>
      </c>
      <c r="U2911" s="6">
        <f t="shared" si="7"/>
        <v>5</v>
      </c>
      <c r="V2911" s="42">
        <f>averageif(AllData!A:A,B2911,AllData!R:R)/vlookup(B2911,AllData!A:O,15,0)</f>
        <v>104.9271429</v>
      </c>
      <c r="W2911" s="6"/>
    </row>
    <row r="2912" ht="14.25" customHeight="1">
      <c r="A2912" s="6" t="str">
        <f t="shared" si="29"/>
        <v>2025Rooney/Jackson7</v>
      </c>
      <c r="B2912" s="59">
        <v>2025.0</v>
      </c>
      <c r="C2912" s="13" t="s">
        <v>57</v>
      </c>
      <c r="D2912" s="13" t="s">
        <v>143</v>
      </c>
      <c r="E2912" s="34"/>
      <c r="F2912" s="6"/>
      <c r="H2912" s="6"/>
      <c r="I2912" s="35" t="str">
        <f>IFERROR(IFERROR(IFERROR(VLOOKUP(B2912&amp;C2912&amp;Q2912,'New Weekly Paste'!A:M,10,0),VLOOKUP(B2912&amp;C2912&amp;Q2912,'New Weekly Paste'!B:O,6,0)),""),"")</f>
        <v>Hudspeath</v>
      </c>
      <c r="J2912" s="259">
        <f>IFERROR(IFERROR(VLOOKUP(B2912&amp;C2912&amp;Q2912,'New Weekly Paste'!A:M,8,0),VLOOKUP(B2912&amp;C2912&amp;Q2912,'New Weekly Paste'!B:O,10,0)),0)</f>
        <v>69.28</v>
      </c>
      <c r="K2912" s="259">
        <f>IFERROR(IFERROR(VLOOKUP(B2912&amp;I2912&amp;Q2912,'New Weekly Paste'!A:M,8,0),VLOOKUP(B2912&amp;I2912&amp;Q2912,'New Weekly Paste'!B:O,10,0)),0)</f>
        <v>113.82</v>
      </c>
      <c r="L2912" s="239">
        <f t="shared" si="25"/>
        <v>0</v>
      </c>
      <c r="M2912" s="36" t="str">
        <f t="shared" si="3"/>
        <v>Regular Season</v>
      </c>
      <c r="N2912" s="239" t="str">
        <f t="shared" si="26"/>
        <v>Hudspeath</v>
      </c>
      <c r="O2912" s="6">
        <f>VLOOKUP(D2912,'Mapped Opponent'!$G$4:$H$22,2,0)</f>
        <v>7</v>
      </c>
      <c r="P2912" s="6"/>
      <c r="Q2912" s="6" t="str">
        <f t="shared" si="4"/>
        <v>Week 7</v>
      </c>
      <c r="R2912" s="6" t="str">
        <f t="shared" si="5"/>
        <v>2025Week 7</v>
      </c>
      <c r="S2912" s="6">
        <f>IFERROR(__xludf.DUMMYFUNCTION("rank(J2912,FILTER(J:J,R:R=R2912))"),12.0)</f>
        <v>12</v>
      </c>
      <c r="T2912" s="6">
        <f t="shared" si="6"/>
        <v>0</v>
      </c>
      <c r="U2912" s="6">
        <f t="shared" si="7"/>
        <v>12</v>
      </c>
      <c r="V2912" s="42">
        <f>averageif(AllData!A:A,B2912,AllData!R:R)/vlookup(B2912,AllData!A:O,15,0)</f>
        <v>104.9271429</v>
      </c>
      <c r="W2912" s="6"/>
    </row>
    <row r="2913" ht="14.25" customHeight="1">
      <c r="A2913" s="6" t="str">
        <f t="shared" si="29"/>
        <v>2025Buser7</v>
      </c>
      <c r="B2913" s="59">
        <v>2025.0</v>
      </c>
      <c r="C2913" s="13" t="s">
        <v>47</v>
      </c>
      <c r="D2913" s="13" t="s">
        <v>143</v>
      </c>
      <c r="E2913" s="34"/>
      <c r="F2913" s="6"/>
      <c r="H2913" s="6"/>
      <c r="I2913" s="35" t="str">
        <f>IFERROR(IFERROR(IFERROR(VLOOKUP(B2913&amp;C2913&amp;Q2913,'New Weekly Paste'!A:M,10,0),VLOOKUP(B2913&amp;C2913&amp;Q2913,'New Weekly Paste'!B:O,6,0)),""),"")</f>
        <v>Ewert</v>
      </c>
      <c r="J2913" s="259">
        <f>IFERROR(IFERROR(VLOOKUP(B2913&amp;C2913&amp;Q2913,'New Weekly Paste'!A:M,8,0),VLOOKUP(B2913&amp;C2913&amp;Q2913,'New Weekly Paste'!B:O,10,0)),0)</f>
        <v>139.96</v>
      </c>
      <c r="K2913" s="259">
        <f>IFERROR(IFERROR(VLOOKUP(B2913&amp;I2913&amp;Q2913,'New Weekly Paste'!A:M,8,0),VLOOKUP(B2913&amp;I2913&amp;Q2913,'New Weekly Paste'!B:O,10,0)),0)</f>
        <v>103.98</v>
      </c>
      <c r="L2913" s="239">
        <f t="shared" si="25"/>
        <v>1</v>
      </c>
      <c r="M2913" s="36" t="str">
        <f t="shared" si="3"/>
        <v>Regular Season</v>
      </c>
      <c r="N2913" s="239" t="str">
        <f t="shared" si="26"/>
        <v>Ewert</v>
      </c>
      <c r="O2913" s="6">
        <f>VLOOKUP(D2913,'Mapped Opponent'!$G$4:$H$22,2,0)</f>
        <v>7</v>
      </c>
      <c r="P2913" s="6"/>
      <c r="Q2913" s="6" t="str">
        <f t="shared" si="4"/>
        <v>Week 7</v>
      </c>
      <c r="R2913" s="6" t="str">
        <f t="shared" si="5"/>
        <v>2025Week 7</v>
      </c>
      <c r="S2913" s="6">
        <f>IFERROR(__xludf.DUMMYFUNCTION("rank(J2913,FILTER(J:J,R:R=R2913))"),2.0)</f>
        <v>2</v>
      </c>
      <c r="T2913" s="6">
        <f t="shared" si="6"/>
        <v>10</v>
      </c>
      <c r="U2913" s="6">
        <f t="shared" si="7"/>
        <v>2</v>
      </c>
      <c r="V2913" s="42">
        <f>averageif(AllData!A:A,B2913,AllData!R:R)/vlookup(B2913,AllData!A:O,15,0)</f>
        <v>104.9271429</v>
      </c>
      <c r="W2913" s="6"/>
    </row>
    <row r="2914" ht="14.25" customHeight="1">
      <c r="A2914" s="6" t="str">
        <f t="shared" si="29"/>
        <v>2025Pierson7</v>
      </c>
      <c r="B2914" s="59">
        <v>2025.0</v>
      </c>
      <c r="C2914" s="13" t="s">
        <v>92</v>
      </c>
      <c r="D2914" s="13" t="s">
        <v>143</v>
      </c>
      <c r="E2914" s="34"/>
      <c r="F2914" s="6"/>
      <c r="H2914" s="6"/>
      <c r="I2914" s="35" t="str">
        <f>IFERROR(IFERROR(IFERROR(VLOOKUP(B2914&amp;C2914&amp;Q2914,'New Weekly Paste'!A:M,10,0),VLOOKUP(B2914&amp;C2914&amp;Q2914,'New Weekly Paste'!B:O,6,0)),""),"")</f>
        <v>Riley</v>
      </c>
      <c r="J2914" s="259">
        <f>IFERROR(IFERROR(VLOOKUP(B2914&amp;C2914&amp;Q2914,'New Weekly Paste'!A:M,8,0),VLOOKUP(B2914&amp;C2914&amp;Q2914,'New Weekly Paste'!B:O,10,0)),0)</f>
        <v>111.54</v>
      </c>
      <c r="K2914" s="259">
        <f>IFERROR(IFERROR(VLOOKUP(B2914&amp;I2914&amp;Q2914,'New Weekly Paste'!A:M,8,0),VLOOKUP(B2914&amp;I2914&amp;Q2914,'New Weekly Paste'!B:O,10,0)),0)</f>
        <v>110.7</v>
      </c>
      <c r="L2914" s="239">
        <f t="shared" si="25"/>
        <v>1</v>
      </c>
      <c r="M2914" s="36" t="str">
        <f t="shared" si="3"/>
        <v>Regular Season</v>
      </c>
      <c r="N2914" s="239" t="str">
        <f t="shared" si="26"/>
        <v>Riley</v>
      </c>
      <c r="O2914" s="6">
        <f>VLOOKUP(D2914,'Mapped Opponent'!$G$4:$H$22,2,0)</f>
        <v>7</v>
      </c>
      <c r="P2914" s="6"/>
      <c r="Q2914" s="6" t="str">
        <f t="shared" si="4"/>
        <v>Week 7</v>
      </c>
      <c r="R2914" s="6" t="str">
        <f t="shared" si="5"/>
        <v>2025Week 7</v>
      </c>
      <c r="S2914" s="6">
        <f>IFERROR(__xludf.DUMMYFUNCTION("rank(J2914,FILTER(J:J,R:R=R2914))"),4.0)</f>
        <v>4</v>
      </c>
      <c r="T2914" s="6">
        <f t="shared" si="6"/>
        <v>8</v>
      </c>
      <c r="U2914" s="6">
        <f t="shared" si="7"/>
        <v>4</v>
      </c>
      <c r="V2914" s="42">
        <f>averageif(AllData!A:A,B2914,AllData!R:R)/vlookup(B2914,AllData!A:O,15,0)</f>
        <v>104.9271429</v>
      </c>
      <c r="W2914" s="6"/>
    </row>
    <row r="2915" ht="14.25" customHeight="1">
      <c r="A2915" s="6" t="str">
        <f t="shared" si="29"/>
        <v>2025Cock7</v>
      </c>
      <c r="B2915" s="59">
        <v>2025.0</v>
      </c>
      <c r="C2915" s="13" t="s">
        <v>72</v>
      </c>
      <c r="D2915" s="13" t="s">
        <v>143</v>
      </c>
      <c r="E2915" s="34"/>
      <c r="F2915" s="6"/>
      <c r="H2915" s="6"/>
      <c r="I2915" s="35" t="str">
        <f>IFERROR(IFERROR(IFERROR(VLOOKUP(B2915&amp;C2915&amp;Q2915,'New Weekly Paste'!A:M,10,0),VLOOKUP(B2915&amp;C2915&amp;Q2915,'New Weekly Paste'!B:O,6,0)),""),"")</f>
        <v>Tayski</v>
      </c>
      <c r="J2915" s="259">
        <f>IFERROR(IFERROR(VLOOKUP(B2915&amp;C2915&amp;Q2915,'New Weekly Paste'!A:M,8,0),VLOOKUP(B2915&amp;C2915&amp;Q2915,'New Weekly Paste'!B:O,10,0)),0)</f>
        <v>171.24</v>
      </c>
      <c r="K2915" s="259">
        <f>IFERROR(IFERROR(VLOOKUP(B2915&amp;I2915&amp;Q2915,'New Weekly Paste'!A:M,8,0),VLOOKUP(B2915&amp;I2915&amp;Q2915,'New Weekly Paste'!B:O,10,0)),0)</f>
        <v>90.34</v>
      </c>
      <c r="L2915" s="239">
        <f t="shared" si="25"/>
        <v>1</v>
      </c>
      <c r="M2915" s="36" t="str">
        <f t="shared" si="3"/>
        <v>Regular Season</v>
      </c>
      <c r="N2915" s="239" t="str">
        <f t="shared" si="26"/>
        <v>Tayski</v>
      </c>
      <c r="O2915" s="6">
        <f>VLOOKUP(D2915,'Mapped Opponent'!$G$4:$H$22,2,0)</f>
        <v>7</v>
      </c>
      <c r="P2915" s="6"/>
      <c r="Q2915" s="6" t="str">
        <f t="shared" si="4"/>
        <v>Week 7</v>
      </c>
      <c r="R2915" s="6" t="str">
        <f t="shared" si="5"/>
        <v>2025Week 7</v>
      </c>
      <c r="S2915" s="6">
        <f>IFERROR(__xludf.DUMMYFUNCTION("rank(J2915,FILTER(J:J,R:R=R2915))"),1.0)</f>
        <v>1</v>
      </c>
      <c r="T2915" s="6">
        <f t="shared" si="6"/>
        <v>11</v>
      </c>
      <c r="U2915" s="6">
        <f t="shared" si="7"/>
        <v>1</v>
      </c>
      <c r="V2915" s="42">
        <f>averageif(AllData!A:A,B2915,AllData!R:R)/vlookup(B2915,AllData!A:O,15,0)</f>
        <v>104.9271429</v>
      </c>
      <c r="W2915" s="6"/>
    </row>
    <row r="2916" ht="14.25" customHeight="1">
      <c r="A2916" s="6" t="str">
        <f t="shared" si="29"/>
        <v>2025Tayski7</v>
      </c>
      <c r="B2916" s="59">
        <v>2025.0</v>
      </c>
      <c r="C2916" s="13" t="s">
        <v>52</v>
      </c>
      <c r="D2916" s="13" t="s">
        <v>143</v>
      </c>
      <c r="E2916" s="34"/>
      <c r="F2916" s="6"/>
      <c r="H2916" s="6"/>
      <c r="I2916" s="35" t="str">
        <f>IFERROR(IFERROR(IFERROR(VLOOKUP(B2916&amp;C2916&amp;Q2916,'New Weekly Paste'!A:M,10,0),VLOOKUP(B2916&amp;C2916&amp;Q2916,'New Weekly Paste'!B:O,6,0)),""),"")</f>
        <v>Cock</v>
      </c>
      <c r="J2916" s="259">
        <f>IFERROR(IFERROR(VLOOKUP(B2916&amp;C2916&amp;Q2916,'New Weekly Paste'!A:M,8,0),VLOOKUP(B2916&amp;C2916&amp;Q2916,'New Weekly Paste'!B:O,10,0)),0)</f>
        <v>90.34</v>
      </c>
      <c r="K2916" s="259">
        <f>IFERROR(IFERROR(VLOOKUP(B2916&amp;I2916&amp;Q2916,'New Weekly Paste'!A:M,8,0),VLOOKUP(B2916&amp;I2916&amp;Q2916,'New Weekly Paste'!B:O,10,0)),0)</f>
        <v>171.24</v>
      </c>
      <c r="L2916" s="239">
        <f t="shared" si="25"/>
        <v>0</v>
      </c>
      <c r="M2916" s="36" t="str">
        <f t="shared" si="3"/>
        <v>Regular Season</v>
      </c>
      <c r="N2916" s="239" t="str">
        <f t="shared" si="26"/>
        <v>Cock</v>
      </c>
      <c r="O2916" s="6">
        <f>VLOOKUP(D2916,'Mapped Opponent'!$G$4:$H$22,2,0)</f>
        <v>7</v>
      </c>
      <c r="P2916" s="6"/>
      <c r="Q2916" s="6" t="str">
        <f t="shared" si="4"/>
        <v>Week 7</v>
      </c>
      <c r="R2916" s="6" t="str">
        <f t="shared" si="5"/>
        <v>2025Week 7</v>
      </c>
      <c r="S2916" s="6">
        <f>IFERROR(__xludf.DUMMYFUNCTION("rank(J2916,FILTER(J:J,R:R=R2916))"),9.0)</f>
        <v>9</v>
      </c>
      <c r="T2916" s="6">
        <f t="shared" si="6"/>
        <v>3</v>
      </c>
      <c r="U2916" s="6">
        <f t="shared" si="7"/>
        <v>9</v>
      </c>
      <c r="V2916" s="42">
        <f>averageif(AllData!A:A,B2916,AllData!R:R)/vlookup(B2916,AllData!A:O,15,0)</f>
        <v>104.9271429</v>
      </c>
      <c r="W2916" s="6"/>
    </row>
    <row r="2917" ht="14.25" customHeight="1">
      <c r="A2917" s="6" t="str">
        <f t="shared" si="29"/>
        <v>2025KnardDawg7</v>
      </c>
      <c r="B2917" s="59">
        <v>2025.0</v>
      </c>
      <c r="C2917" s="13" t="s">
        <v>86</v>
      </c>
      <c r="D2917" s="13" t="s">
        <v>143</v>
      </c>
      <c r="E2917" s="34"/>
      <c r="F2917" s="6"/>
      <c r="H2917" s="6"/>
      <c r="I2917" s="35" t="str">
        <f>IFERROR(IFERROR(IFERROR(VLOOKUP(B2917&amp;C2917&amp;Q2917,'New Weekly Paste'!A:M,10,0),VLOOKUP(B2917&amp;C2917&amp;Q2917,'New Weekly Paste'!B:O,6,0)),""),"")</f>
        <v>Salty</v>
      </c>
      <c r="J2917" s="259">
        <f>IFERROR(IFERROR(VLOOKUP(B2917&amp;C2917&amp;Q2917,'New Weekly Paste'!A:M,8,0),VLOOKUP(B2917&amp;C2917&amp;Q2917,'New Weekly Paste'!B:O,10,0)),0)</f>
        <v>83.54</v>
      </c>
      <c r="K2917" s="259">
        <f>IFERROR(IFERROR(VLOOKUP(B2917&amp;I2917&amp;Q2917,'New Weekly Paste'!A:M,8,0),VLOOKUP(B2917&amp;I2917&amp;Q2917,'New Weekly Paste'!B:O,10,0)),0)</f>
        <v>108.78</v>
      </c>
      <c r="L2917" s="239">
        <f t="shared" si="25"/>
        <v>0</v>
      </c>
      <c r="M2917" s="36" t="str">
        <f t="shared" si="3"/>
        <v>Regular Season</v>
      </c>
      <c r="N2917" s="239" t="str">
        <f t="shared" si="26"/>
        <v>Salty</v>
      </c>
      <c r="O2917" s="6">
        <f>VLOOKUP(D2917,'Mapped Opponent'!$G$4:$H$22,2,0)</f>
        <v>7</v>
      </c>
      <c r="P2917" s="6"/>
      <c r="Q2917" s="6" t="str">
        <f t="shared" si="4"/>
        <v>Week 7</v>
      </c>
      <c r="R2917" s="6" t="str">
        <f t="shared" si="5"/>
        <v>2025Week 7</v>
      </c>
      <c r="S2917" s="6">
        <f>IFERROR(__xludf.DUMMYFUNCTION("rank(J2917,FILTER(J:J,R:R=R2917))"),10.0)</f>
        <v>10</v>
      </c>
      <c r="T2917" s="6">
        <f t="shared" si="6"/>
        <v>2</v>
      </c>
      <c r="U2917" s="6">
        <f t="shared" si="7"/>
        <v>10</v>
      </c>
      <c r="V2917" s="42">
        <f>averageif(AllData!A:A,B2917,AllData!R:R)/vlookup(B2917,AllData!A:O,15,0)</f>
        <v>104.9271429</v>
      </c>
      <c r="W2917" s="6"/>
    </row>
    <row r="2918" ht="14.25" customHeight="1">
      <c r="A2918" s="6" t="str">
        <f t="shared" si="29"/>
        <v>2025T-How7</v>
      </c>
      <c r="B2918" s="59">
        <v>2025.0</v>
      </c>
      <c r="C2918" s="13" t="s">
        <v>82</v>
      </c>
      <c r="D2918" s="13" t="s">
        <v>143</v>
      </c>
      <c r="E2918" s="34"/>
      <c r="F2918" s="6"/>
      <c r="H2918" s="6"/>
      <c r="I2918" s="35" t="str">
        <f>IFERROR(IFERROR(IFERROR(VLOOKUP(B2918&amp;C2918&amp;Q2918,'New Weekly Paste'!A:M,10,0),VLOOKUP(B2918&amp;C2918&amp;Q2918,'New Weekly Paste'!B:O,6,0)),""),"")</f>
        <v>Shep</v>
      </c>
      <c r="J2918" s="259">
        <f>IFERROR(IFERROR(VLOOKUP(B2918&amp;C2918&amp;Q2918,'New Weekly Paste'!A:M,8,0),VLOOKUP(B2918&amp;C2918&amp;Q2918,'New Weekly Paste'!B:O,10,0)),0)</f>
        <v>74.08</v>
      </c>
      <c r="K2918" s="259">
        <f>IFERROR(IFERROR(VLOOKUP(B2918&amp;I2918&amp;Q2918,'New Weekly Paste'!A:M,8,0),VLOOKUP(B2918&amp;I2918&amp;Q2918,'New Weekly Paste'!B:O,10,0)),0)</f>
        <v>94.92</v>
      </c>
      <c r="L2918" s="239">
        <f t="shared" si="25"/>
        <v>0</v>
      </c>
      <c r="M2918" s="36" t="str">
        <f t="shared" si="3"/>
        <v>Regular Season</v>
      </c>
      <c r="N2918" s="239" t="str">
        <f t="shared" si="26"/>
        <v>Shep</v>
      </c>
      <c r="O2918" s="6">
        <f>VLOOKUP(D2918,'Mapped Opponent'!$G$4:$H$22,2,0)</f>
        <v>7</v>
      </c>
      <c r="P2918" s="6"/>
      <c r="Q2918" s="6" t="str">
        <f t="shared" si="4"/>
        <v>Week 7</v>
      </c>
      <c r="R2918" s="6" t="str">
        <f t="shared" si="5"/>
        <v>2025Week 7</v>
      </c>
      <c r="S2918" s="6">
        <f>IFERROR(__xludf.DUMMYFUNCTION("rank(J2918,FILTER(J:J,R:R=R2918))"),11.0)</f>
        <v>11</v>
      </c>
      <c r="T2918" s="6">
        <f t="shared" si="6"/>
        <v>1</v>
      </c>
      <c r="U2918" s="6">
        <f t="shared" si="7"/>
        <v>11</v>
      </c>
      <c r="V2918" s="42">
        <f>averageif(AllData!A:A,B2918,AllData!R:R)/vlookup(B2918,AllData!A:O,15,0)</f>
        <v>104.9271429</v>
      </c>
      <c r="W2918" s="6"/>
    </row>
    <row r="2919" ht="14.25" customHeight="1">
      <c r="A2919" s="6" t="str">
        <f t="shared" si="29"/>
        <v>2025Hudspeath8</v>
      </c>
      <c r="B2919" s="59">
        <v>2025.0</v>
      </c>
      <c r="C2919" s="13" t="s">
        <v>39</v>
      </c>
      <c r="D2919" s="13" t="s">
        <v>145</v>
      </c>
      <c r="E2919" s="34"/>
      <c r="F2919" s="6"/>
      <c r="H2919" s="6"/>
      <c r="I2919" s="35" t="str">
        <f>IFERROR(IFERROR(IFERROR(VLOOKUP(B2919&amp;C2919&amp;Q2919,'New Weekly Paste'!A:M,10,0),VLOOKUP(B2919&amp;C2919&amp;Q2919,'New Weekly Paste'!B:O,6,0)),""),"")</f>
        <v>Cock</v>
      </c>
      <c r="J2919" s="259">
        <f>IFERROR(IFERROR(VLOOKUP(B2919&amp;C2919&amp;Q2919,'New Weekly Paste'!A:M,8,0),VLOOKUP(B2919&amp;C2919&amp;Q2919,'New Weekly Paste'!B:O,10,0)),0)</f>
        <v>140.98</v>
      </c>
      <c r="K2919" s="259">
        <f>IFERROR(IFERROR(VLOOKUP(B2919&amp;I2919&amp;Q2919,'New Weekly Paste'!A:M,8,0),VLOOKUP(B2919&amp;I2919&amp;Q2919,'New Weekly Paste'!B:O,10,0)),0)</f>
        <v>100.96</v>
      </c>
      <c r="L2919" s="239">
        <f t="shared" si="25"/>
        <v>1</v>
      </c>
      <c r="M2919" s="36" t="str">
        <f t="shared" si="3"/>
        <v>Regular Season</v>
      </c>
      <c r="N2919" s="239" t="str">
        <f t="shared" si="26"/>
        <v>Cock</v>
      </c>
      <c r="O2919" s="6">
        <f>VLOOKUP(D2919,'Mapped Opponent'!$G$4:$H$22,2,0)</f>
        <v>8</v>
      </c>
      <c r="P2919" s="6"/>
      <c r="Q2919" s="6" t="str">
        <f t="shared" si="4"/>
        <v>Week 8</v>
      </c>
      <c r="R2919" s="6" t="str">
        <f t="shared" si="5"/>
        <v>2025Week 8</v>
      </c>
      <c r="S2919" s="6">
        <f>IFERROR(__xludf.DUMMYFUNCTION("rank(J2919,FILTER(J:J,R:R=R2919))"),2.0)</f>
        <v>2</v>
      </c>
      <c r="T2919" s="6">
        <f t="shared" si="6"/>
        <v>10</v>
      </c>
      <c r="U2919" s="6">
        <f t="shared" si="7"/>
        <v>2</v>
      </c>
      <c r="V2919" s="42">
        <f>averageif(AllData!A:A,B2919,AllData!R:R)/vlookup(B2919,AllData!A:O,15,0)</f>
        <v>104.9271429</v>
      </c>
      <c r="W2919" s="6"/>
    </row>
    <row r="2920" ht="14.25" customHeight="1">
      <c r="A2920" s="6" t="str">
        <f t="shared" si="29"/>
        <v>2025Salty8</v>
      </c>
      <c r="B2920" s="59">
        <v>2025.0</v>
      </c>
      <c r="C2920" s="13" t="s">
        <v>76</v>
      </c>
      <c r="D2920" s="13" t="s">
        <v>145</v>
      </c>
      <c r="E2920" s="34"/>
      <c r="F2920" s="6"/>
      <c r="H2920" s="6"/>
      <c r="I2920" s="35" t="str">
        <f>IFERROR(IFERROR(IFERROR(VLOOKUP(B2920&amp;C2920&amp;Q2920,'New Weekly Paste'!A:M,10,0),VLOOKUP(B2920&amp;C2920&amp;Q2920,'New Weekly Paste'!B:O,6,0)),""),"")</f>
        <v>Rooney/Jackson</v>
      </c>
      <c r="J2920" s="259">
        <f>IFERROR(IFERROR(VLOOKUP(B2920&amp;C2920&amp;Q2920,'New Weekly Paste'!A:M,8,0),VLOOKUP(B2920&amp;C2920&amp;Q2920,'New Weekly Paste'!B:O,10,0)),0)</f>
        <v>90.76</v>
      </c>
      <c r="K2920" s="259">
        <f>IFERROR(IFERROR(VLOOKUP(B2920&amp;I2920&amp;Q2920,'New Weekly Paste'!A:M,8,0),VLOOKUP(B2920&amp;I2920&amp;Q2920,'New Weekly Paste'!B:O,10,0)),0)</f>
        <v>144.78</v>
      </c>
      <c r="L2920" s="239">
        <f t="shared" si="25"/>
        <v>0</v>
      </c>
      <c r="M2920" s="36" t="str">
        <f t="shared" si="3"/>
        <v>Regular Season</v>
      </c>
      <c r="N2920" s="239" t="str">
        <f t="shared" si="26"/>
        <v>Rooney/Jackson</v>
      </c>
      <c r="O2920" s="6">
        <f>VLOOKUP(D2920,'Mapped Opponent'!$G$4:$H$22,2,0)</f>
        <v>8</v>
      </c>
      <c r="P2920" s="6"/>
      <c r="Q2920" s="6" t="str">
        <f t="shared" si="4"/>
        <v>Week 8</v>
      </c>
      <c r="R2920" s="6" t="str">
        <f t="shared" si="5"/>
        <v>2025Week 8</v>
      </c>
      <c r="S2920" s="6">
        <f>IFERROR(__xludf.DUMMYFUNCTION("rank(J2920,FILTER(J:J,R:R=R2920))"),9.0)</f>
        <v>9</v>
      </c>
      <c r="T2920" s="6">
        <f t="shared" si="6"/>
        <v>3</v>
      </c>
      <c r="U2920" s="6">
        <f t="shared" si="7"/>
        <v>9</v>
      </c>
      <c r="V2920" s="42">
        <f>averageif(AllData!A:A,B2920,AllData!R:R)/vlookup(B2920,AllData!A:O,15,0)</f>
        <v>104.9271429</v>
      </c>
      <c r="W2920" s="6"/>
    </row>
    <row r="2921" ht="14.25" customHeight="1">
      <c r="A2921" s="6" t="str">
        <f t="shared" si="29"/>
        <v>2025Ewert8</v>
      </c>
      <c r="B2921" s="59">
        <v>2025.0</v>
      </c>
      <c r="C2921" s="13" t="s">
        <v>108</v>
      </c>
      <c r="D2921" s="13" t="s">
        <v>145</v>
      </c>
      <c r="E2921" s="34"/>
      <c r="F2921" s="6"/>
      <c r="H2921" s="6"/>
      <c r="I2921" s="35" t="str">
        <f>IFERROR(IFERROR(IFERROR(VLOOKUP(B2921&amp;C2921&amp;Q2921,'New Weekly Paste'!A:M,10,0),VLOOKUP(B2921&amp;C2921&amp;Q2921,'New Weekly Paste'!B:O,6,0)),""),"")</f>
        <v>Shep</v>
      </c>
      <c r="J2921" s="259">
        <f>IFERROR(IFERROR(VLOOKUP(B2921&amp;C2921&amp;Q2921,'New Weekly Paste'!A:M,8,0),VLOOKUP(B2921&amp;C2921&amp;Q2921,'New Weekly Paste'!B:O,10,0)),0)</f>
        <v>111.18</v>
      </c>
      <c r="K2921" s="259">
        <f>IFERROR(IFERROR(VLOOKUP(B2921&amp;I2921&amp;Q2921,'New Weekly Paste'!A:M,8,0),VLOOKUP(B2921&amp;I2921&amp;Q2921,'New Weekly Paste'!B:O,10,0)),0)</f>
        <v>77.88</v>
      </c>
      <c r="L2921" s="239">
        <f t="shared" si="25"/>
        <v>1</v>
      </c>
      <c r="M2921" s="36" t="str">
        <f t="shared" si="3"/>
        <v>Regular Season</v>
      </c>
      <c r="N2921" s="239" t="str">
        <f t="shared" si="26"/>
        <v>Shep</v>
      </c>
      <c r="O2921" s="6">
        <f>VLOOKUP(D2921,'Mapped Opponent'!$G$4:$H$22,2,0)</f>
        <v>8</v>
      </c>
      <c r="P2921" s="6"/>
      <c r="Q2921" s="6" t="str">
        <f t="shared" si="4"/>
        <v>Week 8</v>
      </c>
      <c r="R2921" s="6" t="str">
        <f t="shared" si="5"/>
        <v>2025Week 8</v>
      </c>
      <c r="S2921" s="6">
        <f>IFERROR(__xludf.DUMMYFUNCTION("rank(J2921,FILTER(J:J,R:R=R2921))"),5.0)</f>
        <v>5</v>
      </c>
      <c r="T2921" s="6">
        <f t="shared" si="6"/>
        <v>7</v>
      </c>
      <c r="U2921" s="6">
        <f t="shared" si="7"/>
        <v>5</v>
      </c>
      <c r="V2921" s="42">
        <f>averageif(AllData!A:A,B2921,AllData!R:R)/vlookup(B2921,AllData!A:O,15,0)</f>
        <v>104.9271429</v>
      </c>
      <c r="W2921" s="6"/>
    </row>
    <row r="2922" ht="14.25" customHeight="1">
      <c r="A2922" s="6" t="str">
        <f t="shared" si="29"/>
        <v>2025Shep8</v>
      </c>
      <c r="B2922" s="59">
        <v>2025.0</v>
      </c>
      <c r="C2922" s="13" t="s">
        <v>89</v>
      </c>
      <c r="D2922" s="13" t="s">
        <v>145</v>
      </c>
      <c r="E2922" s="34"/>
      <c r="F2922" s="6"/>
      <c r="H2922" s="6"/>
      <c r="I2922" s="35" t="str">
        <f>IFERROR(IFERROR(IFERROR(VLOOKUP(B2922&amp;C2922&amp;Q2922,'New Weekly Paste'!A:M,10,0),VLOOKUP(B2922&amp;C2922&amp;Q2922,'New Weekly Paste'!B:O,6,0)),""),"")</f>
        <v>Ewert</v>
      </c>
      <c r="J2922" s="259">
        <f>IFERROR(IFERROR(VLOOKUP(B2922&amp;C2922&amp;Q2922,'New Weekly Paste'!A:M,8,0),VLOOKUP(B2922&amp;C2922&amp;Q2922,'New Weekly Paste'!B:O,10,0)),0)</f>
        <v>77.88</v>
      </c>
      <c r="K2922" s="259">
        <f>IFERROR(IFERROR(VLOOKUP(B2922&amp;I2922&amp;Q2922,'New Weekly Paste'!A:M,8,0),VLOOKUP(B2922&amp;I2922&amp;Q2922,'New Weekly Paste'!B:O,10,0)),0)</f>
        <v>111.18</v>
      </c>
      <c r="L2922" s="239">
        <f t="shared" si="25"/>
        <v>0</v>
      </c>
      <c r="M2922" s="36" t="str">
        <f t="shared" si="3"/>
        <v>Regular Season</v>
      </c>
      <c r="N2922" s="239" t="str">
        <f t="shared" si="26"/>
        <v>Ewert</v>
      </c>
      <c r="O2922" s="6">
        <f>VLOOKUP(D2922,'Mapped Opponent'!$G$4:$H$22,2,0)</f>
        <v>8</v>
      </c>
      <c r="P2922" s="6"/>
      <c r="Q2922" s="6" t="str">
        <f t="shared" si="4"/>
        <v>Week 8</v>
      </c>
      <c r="R2922" s="6" t="str">
        <f t="shared" si="5"/>
        <v>2025Week 8</v>
      </c>
      <c r="S2922" s="6">
        <f>IFERROR(__xludf.DUMMYFUNCTION("rank(J2922,FILTER(J:J,R:R=R2922))"),11.0)</f>
        <v>11</v>
      </c>
      <c r="T2922" s="6">
        <f t="shared" si="6"/>
        <v>1</v>
      </c>
      <c r="U2922" s="6">
        <f t="shared" si="7"/>
        <v>11</v>
      </c>
      <c r="V2922" s="42">
        <f>averageif(AllData!A:A,B2922,AllData!R:R)/vlookup(B2922,AllData!A:O,15,0)</f>
        <v>104.9271429</v>
      </c>
      <c r="W2922" s="6"/>
    </row>
    <row r="2923" ht="14.25" customHeight="1">
      <c r="A2923" s="6" t="str">
        <f t="shared" si="29"/>
        <v>2025Riley8</v>
      </c>
      <c r="B2923" s="59">
        <v>2025.0</v>
      </c>
      <c r="C2923" s="13" t="s">
        <v>67</v>
      </c>
      <c r="D2923" s="13" t="s">
        <v>145</v>
      </c>
      <c r="E2923" s="34"/>
      <c r="F2923" s="6"/>
      <c r="H2923" s="6"/>
      <c r="I2923" s="35" t="str">
        <f>IFERROR(IFERROR(IFERROR(VLOOKUP(B2923&amp;C2923&amp;Q2923,'New Weekly Paste'!A:M,10,0),VLOOKUP(B2923&amp;C2923&amp;Q2923,'New Weekly Paste'!B:O,6,0)),""),"")</f>
        <v>Buser</v>
      </c>
      <c r="J2923" s="259">
        <f>IFERROR(IFERROR(VLOOKUP(B2923&amp;C2923&amp;Q2923,'New Weekly Paste'!A:M,8,0),VLOOKUP(B2923&amp;C2923&amp;Q2923,'New Weekly Paste'!B:O,10,0)),0)</f>
        <v>138.48</v>
      </c>
      <c r="K2923" s="259">
        <f>IFERROR(IFERROR(VLOOKUP(B2923&amp;I2923&amp;Q2923,'New Weekly Paste'!A:M,8,0),VLOOKUP(B2923&amp;I2923&amp;Q2923,'New Weekly Paste'!B:O,10,0)),0)</f>
        <v>108.08</v>
      </c>
      <c r="L2923" s="239">
        <f t="shared" si="25"/>
        <v>1</v>
      </c>
      <c r="M2923" s="36" t="str">
        <f t="shared" si="3"/>
        <v>Regular Season</v>
      </c>
      <c r="N2923" s="239" t="str">
        <f t="shared" si="26"/>
        <v>Buser</v>
      </c>
      <c r="O2923" s="6">
        <f>VLOOKUP(D2923,'Mapped Opponent'!$G$4:$H$22,2,0)</f>
        <v>8</v>
      </c>
      <c r="P2923" s="6"/>
      <c r="Q2923" s="6" t="str">
        <f t="shared" si="4"/>
        <v>Week 8</v>
      </c>
      <c r="R2923" s="6" t="str">
        <f t="shared" si="5"/>
        <v>2025Week 8</v>
      </c>
      <c r="S2923" s="6">
        <f>IFERROR(__xludf.DUMMYFUNCTION("rank(J2923,FILTER(J:J,R:R=R2923))"),3.0)</f>
        <v>3</v>
      </c>
      <c r="T2923" s="6">
        <f t="shared" si="6"/>
        <v>9</v>
      </c>
      <c r="U2923" s="6">
        <f t="shared" si="7"/>
        <v>3</v>
      </c>
      <c r="V2923" s="42">
        <f>averageif(AllData!A:A,B2923,AllData!R:R)/vlookup(B2923,AllData!A:O,15,0)</f>
        <v>104.9271429</v>
      </c>
      <c r="W2923" s="6"/>
    </row>
    <row r="2924" ht="14.25" customHeight="1">
      <c r="A2924" s="6" t="str">
        <f t="shared" si="29"/>
        <v>2025Rooney/Jackson8</v>
      </c>
      <c r="B2924" s="59">
        <v>2025.0</v>
      </c>
      <c r="C2924" s="13" t="s">
        <v>57</v>
      </c>
      <c r="D2924" s="13" t="s">
        <v>145</v>
      </c>
      <c r="E2924" s="34"/>
      <c r="F2924" s="6"/>
      <c r="H2924" s="6"/>
      <c r="I2924" s="35" t="str">
        <f>IFERROR(IFERROR(IFERROR(VLOOKUP(B2924&amp;C2924&amp;Q2924,'New Weekly Paste'!A:M,10,0),VLOOKUP(B2924&amp;C2924&amp;Q2924,'New Weekly Paste'!B:O,6,0)),""),"")</f>
        <v>Salty</v>
      </c>
      <c r="J2924" s="259">
        <f>IFERROR(IFERROR(VLOOKUP(B2924&amp;C2924&amp;Q2924,'New Weekly Paste'!A:M,8,0),VLOOKUP(B2924&amp;C2924&amp;Q2924,'New Weekly Paste'!B:O,10,0)),0)</f>
        <v>144.78</v>
      </c>
      <c r="K2924" s="259">
        <f>IFERROR(IFERROR(VLOOKUP(B2924&amp;I2924&amp;Q2924,'New Weekly Paste'!A:M,8,0),VLOOKUP(B2924&amp;I2924&amp;Q2924,'New Weekly Paste'!B:O,10,0)),0)</f>
        <v>90.76</v>
      </c>
      <c r="L2924" s="239">
        <f t="shared" si="25"/>
        <v>1</v>
      </c>
      <c r="M2924" s="36" t="str">
        <f t="shared" si="3"/>
        <v>Regular Season</v>
      </c>
      <c r="N2924" s="239" t="str">
        <f t="shared" si="26"/>
        <v>Salty</v>
      </c>
      <c r="O2924" s="6">
        <f>VLOOKUP(D2924,'Mapped Opponent'!$G$4:$H$22,2,0)</f>
        <v>8</v>
      </c>
      <c r="P2924" s="6"/>
      <c r="Q2924" s="6" t="str">
        <f t="shared" si="4"/>
        <v>Week 8</v>
      </c>
      <c r="R2924" s="6" t="str">
        <f t="shared" si="5"/>
        <v>2025Week 8</v>
      </c>
      <c r="S2924" s="6">
        <f>IFERROR(__xludf.DUMMYFUNCTION("rank(J2924,FILTER(J:J,R:R=R2924))"),1.0)</f>
        <v>1</v>
      </c>
      <c r="T2924" s="6">
        <f t="shared" si="6"/>
        <v>11</v>
      </c>
      <c r="U2924" s="6">
        <f t="shared" si="7"/>
        <v>1</v>
      </c>
      <c r="V2924" s="42">
        <f>averageif(AllData!A:A,B2924,AllData!R:R)/vlookup(B2924,AllData!A:O,15,0)</f>
        <v>104.9271429</v>
      </c>
      <c r="W2924" s="6"/>
    </row>
    <row r="2925" ht="14.25" customHeight="1">
      <c r="A2925" s="6" t="str">
        <f t="shared" si="29"/>
        <v>2025Buser8</v>
      </c>
      <c r="B2925" s="59">
        <v>2025.0</v>
      </c>
      <c r="C2925" s="13" t="s">
        <v>47</v>
      </c>
      <c r="D2925" s="13" t="s">
        <v>145</v>
      </c>
      <c r="E2925" s="34"/>
      <c r="F2925" s="6"/>
      <c r="H2925" s="6"/>
      <c r="I2925" s="35" t="str">
        <f>IFERROR(IFERROR(IFERROR(VLOOKUP(B2925&amp;C2925&amp;Q2925,'New Weekly Paste'!A:M,10,0),VLOOKUP(B2925&amp;C2925&amp;Q2925,'New Weekly Paste'!B:O,6,0)),""),"")</f>
        <v>Riley</v>
      </c>
      <c r="J2925" s="259">
        <f>IFERROR(IFERROR(VLOOKUP(B2925&amp;C2925&amp;Q2925,'New Weekly Paste'!A:M,8,0),VLOOKUP(B2925&amp;C2925&amp;Q2925,'New Weekly Paste'!B:O,10,0)),0)</f>
        <v>108.08</v>
      </c>
      <c r="K2925" s="259">
        <f>IFERROR(IFERROR(VLOOKUP(B2925&amp;I2925&amp;Q2925,'New Weekly Paste'!A:M,8,0),VLOOKUP(B2925&amp;I2925&amp;Q2925,'New Weekly Paste'!B:O,10,0)),0)</f>
        <v>138.48</v>
      </c>
      <c r="L2925" s="239">
        <f t="shared" si="25"/>
        <v>0</v>
      </c>
      <c r="M2925" s="36" t="str">
        <f t="shared" si="3"/>
        <v>Regular Season</v>
      </c>
      <c r="N2925" s="239" t="str">
        <f t="shared" si="26"/>
        <v>Riley</v>
      </c>
      <c r="O2925" s="6">
        <f>VLOOKUP(D2925,'Mapped Opponent'!$G$4:$H$22,2,0)</f>
        <v>8</v>
      </c>
      <c r="P2925" s="6"/>
      <c r="Q2925" s="6" t="str">
        <f t="shared" si="4"/>
        <v>Week 8</v>
      </c>
      <c r="R2925" s="6" t="str">
        <f t="shared" si="5"/>
        <v>2025Week 8</v>
      </c>
      <c r="S2925" s="6">
        <f>IFERROR(__xludf.DUMMYFUNCTION("rank(J2925,FILTER(J:J,R:R=R2925))"),6.0)</f>
        <v>6</v>
      </c>
      <c r="T2925" s="6">
        <f t="shared" si="6"/>
        <v>6</v>
      </c>
      <c r="U2925" s="6">
        <f t="shared" si="7"/>
        <v>6</v>
      </c>
      <c r="V2925" s="42">
        <f>averageif(AllData!A:A,B2925,AllData!R:R)/vlookup(B2925,AllData!A:O,15,0)</f>
        <v>104.9271429</v>
      </c>
      <c r="W2925" s="6"/>
    </row>
    <row r="2926" ht="14.25" customHeight="1">
      <c r="A2926" s="6" t="str">
        <f t="shared" si="29"/>
        <v>2025Pierson8</v>
      </c>
      <c r="B2926" s="59">
        <v>2025.0</v>
      </c>
      <c r="C2926" s="13" t="s">
        <v>92</v>
      </c>
      <c r="D2926" s="13" t="s">
        <v>145</v>
      </c>
      <c r="E2926" s="34"/>
      <c r="F2926" s="6"/>
      <c r="H2926" s="6"/>
      <c r="I2926" s="35" t="str">
        <f>IFERROR(IFERROR(IFERROR(VLOOKUP(B2926&amp;C2926&amp;Q2926,'New Weekly Paste'!A:M,10,0),VLOOKUP(B2926&amp;C2926&amp;Q2926,'New Weekly Paste'!B:O,6,0)),""),"")</f>
        <v>Tayski</v>
      </c>
      <c r="J2926" s="259">
        <f>IFERROR(IFERROR(VLOOKUP(B2926&amp;C2926&amp;Q2926,'New Weekly Paste'!A:M,8,0),VLOOKUP(B2926&amp;C2926&amp;Q2926,'New Weekly Paste'!B:O,10,0)),0)</f>
        <v>89.46</v>
      </c>
      <c r="K2926" s="259">
        <f>IFERROR(IFERROR(VLOOKUP(B2926&amp;I2926&amp;Q2926,'New Weekly Paste'!A:M,8,0),VLOOKUP(B2926&amp;I2926&amp;Q2926,'New Weekly Paste'!B:O,10,0)),0)</f>
        <v>50.52</v>
      </c>
      <c r="L2926" s="239">
        <f t="shared" si="25"/>
        <v>1</v>
      </c>
      <c r="M2926" s="36" t="str">
        <f t="shared" si="3"/>
        <v>Regular Season</v>
      </c>
      <c r="N2926" s="239" t="str">
        <f t="shared" si="26"/>
        <v>Tayski</v>
      </c>
      <c r="O2926" s="6">
        <f>VLOOKUP(D2926,'Mapped Opponent'!$G$4:$H$22,2,0)</f>
        <v>8</v>
      </c>
      <c r="P2926" s="6"/>
      <c r="Q2926" s="6" t="str">
        <f t="shared" si="4"/>
        <v>Week 8</v>
      </c>
      <c r="R2926" s="6" t="str">
        <f t="shared" si="5"/>
        <v>2025Week 8</v>
      </c>
      <c r="S2926" s="6">
        <f>IFERROR(__xludf.DUMMYFUNCTION("rank(J2926,FILTER(J:J,R:R=R2926))"),10.0)</f>
        <v>10</v>
      </c>
      <c r="T2926" s="6">
        <f t="shared" si="6"/>
        <v>2</v>
      </c>
      <c r="U2926" s="6">
        <f t="shared" si="7"/>
        <v>10</v>
      </c>
      <c r="V2926" s="42">
        <f>averageif(AllData!A:A,B2926,AllData!R:R)/vlookup(B2926,AllData!A:O,15,0)</f>
        <v>104.9271429</v>
      </c>
      <c r="W2926" s="6"/>
    </row>
    <row r="2927" ht="14.25" customHeight="1">
      <c r="A2927" s="6" t="str">
        <f t="shared" si="29"/>
        <v>2025Cock8</v>
      </c>
      <c r="B2927" s="59">
        <v>2025.0</v>
      </c>
      <c r="C2927" s="13" t="s">
        <v>72</v>
      </c>
      <c r="D2927" s="13" t="s">
        <v>145</v>
      </c>
      <c r="E2927" s="34"/>
      <c r="F2927" s="6"/>
      <c r="H2927" s="6"/>
      <c r="I2927" s="35" t="str">
        <f>IFERROR(IFERROR(IFERROR(VLOOKUP(B2927&amp;C2927&amp;Q2927,'New Weekly Paste'!A:M,10,0),VLOOKUP(B2927&amp;C2927&amp;Q2927,'New Weekly Paste'!B:O,6,0)),""),"")</f>
        <v>Hudspeath</v>
      </c>
      <c r="J2927" s="259">
        <f>IFERROR(IFERROR(VLOOKUP(B2927&amp;C2927&amp;Q2927,'New Weekly Paste'!A:M,8,0),VLOOKUP(B2927&amp;C2927&amp;Q2927,'New Weekly Paste'!B:O,10,0)),0)</f>
        <v>100.96</v>
      </c>
      <c r="K2927" s="259">
        <f>IFERROR(IFERROR(VLOOKUP(B2927&amp;I2927&amp;Q2927,'New Weekly Paste'!A:M,8,0),VLOOKUP(B2927&amp;I2927&amp;Q2927,'New Weekly Paste'!B:O,10,0)),0)</f>
        <v>140.98</v>
      </c>
      <c r="L2927" s="239">
        <f t="shared" si="25"/>
        <v>0</v>
      </c>
      <c r="M2927" s="36" t="str">
        <f t="shared" si="3"/>
        <v>Regular Season</v>
      </c>
      <c r="N2927" s="239" t="str">
        <f t="shared" si="26"/>
        <v>Hudspeath</v>
      </c>
      <c r="O2927" s="6">
        <f>VLOOKUP(D2927,'Mapped Opponent'!$G$4:$H$22,2,0)</f>
        <v>8</v>
      </c>
      <c r="P2927" s="6"/>
      <c r="Q2927" s="6" t="str">
        <f t="shared" si="4"/>
        <v>Week 8</v>
      </c>
      <c r="R2927" s="6" t="str">
        <f t="shared" si="5"/>
        <v>2025Week 8</v>
      </c>
      <c r="S2927" s="6">
        <f>IFERROR(__xludf.DUMMYFUNCTION("rank(J2927,FILTER(J:J,R:R=R2927))"),8.0)</f>
        <v>8</v>
      </c>
      <c r="T2927" s="6">
        <f t="shared" si="6"/>
        <v>4</v>
      </c>
      <c r="U2927" s="6">
        <f t="shared" si="7"/>
        <v>8</v>
      </c>
      <c r="V2927" s="42">
        <f>averageif(AllData!A:A,B2927,AllData!R:R)/vlookup(B2927,AllData!A:O,15,0)</f>
        <v>104.9271429</v>
      </c>
      <c r="W2927" s="6"/>
    </row>
    <row r="2928" ht="14.25" customHeight="1">
      <c r="A2928" s="6" t="str">
        <f t="shared" si="29"/>
        <v>2025Tayski8</v>
      </c>
      <c r="B2928" s="59">
        <v>2025.0</v>
      </c>
      <c r="C2928" s="13" t="s">
        <v>52</v>
      </c>
      <c r="D2928" s="13" t="s">
        <v>145</v>
      </c>
      <c r="E2928" s="34"/>
      <c r="F2928" s="6"/>
      <c r="H2928" s="6"/>
      <c r="I2928" s="35" t="str">
        <f>IFERROR(IFERROR(IFERROR(VLOOKUP(B2928&amp;C2928&amp;Q2928,'New Weekly Paste'!A:M,10,0),VLOOKUP(B2928&amp;C2928&amp;Q2928,'New Weekly Paste'!B:O,6,0)),""),"")</f>
        <v>Pierson</v>
      </c>
      <c r="J2928" s="259">
        <f>IFERROR(IFERROR(VLOOKUP(B2928&amp;C2928&amp;Q2928,'New Weekly Paste'!A:M,8,0),VLOOKUP(B2928&amp;C2928&amp;Q2928,'New Weekly Paste'!B:O,10,0)),0)</f>
        <v>50.52</v>
      </c>
      <c r="K2928" s="259">
        <f>IFERROR(IFERROR(VLOOKUP(B2928&amp;I2928&amp;Q2928,'New Weekly Paste'!A:M,8,0),VLOOKUP(B2928&amp;I2928&amp;Q2928,'New Weekly Paste'!B:O,10,0)),0)</f>
        <v>89.46</v>
      </c>
      <c r="L2928" s="239">
        <f t="shared" si="25"/>
        <v>0</v>
      </c>
      <c r="M2928" s="36" t="str">
        <f t="shared" si="3"/>
        <v>Regular Season</v>
      </c>
      <c r="N2928" s="239" t="str">
        <f t="shared" si="26"/>
        <v>Pierson</v>
      </c>
      <c r="O2928" s="6">
        <f>VLOOKUP(D2928,'Mapped Opponent'!$G$4:$H$22,2,0)</f>
        <v>8</v>
      </c>
      <c r="P2928" s="6"/>
      <c r="Q2928" s="6" t="str">
        <f t="shared" si="4"/>
        <v>Week 8</v>
      </c>
      <c r="R2928" s="6" t="str">
        <f t="shared" si="5"/>
        <v>2025Week 8</v>
      </c>
      <c r="S2928" s="6">
        <f>IFERROR(__xludf.DUMMYFUNCTION("rank(J2928,FILTER(J:J,R:R=R2928))"),12.0)</f>
        <v>12</v>
      </c>
      <c r="T2928" s="6">
        <f t="shared" si="6"/>
        <v>0</v>
      </c>
      <c r="U2928" s="6">
        <f t="shared" si="7"/>
        <v>12</v>
      </c>
      <c r="V2928" s="42">
        <f>averageif(AllData!A:A,B2928,AllData!R:R)/vlookup(B2928,AllData!A:O,15,0)</f>
        <v>104.9271429</v>
      </c>
      <c r="W2928" s="6"/>
    </row>
    <row r="2929" ht="14.25" customHeight="1">
      <c r="A2929" s="6" t="str">
        <f t="shared" si="29"/>
        <v>2025KnardDawg8</v>
      </c>
      <c r="B2929" s="59">
        <v>2025.0</v>
      </c>
      <c r="C2929" s="13" t="s">
        <v>86</v>
      </c>
      <c r="D2929" s="13" t="s">
        <v>145</v>
      </c>
      <c r="E2929" s="34"/>
      <c r="F2929" s="6"/>
      <c r="H2929" s="6"/>
      <c r="I2929" s="35" t="str">
        <f>IFERROR(IFERROR(IFERROR(VLOOKUP(B2929&amp;C2929&amp;Q2929,'New Weekly Paste'!A:M,10,0),VLOOKUP(B2929&amp;C2929&amp;Q2929,'New Weekly Paste'!B:O,6,0)),""),"")</f>
        <v>T-How</v>
      </c>
      <c r="J2929" s="259">
        <f>IFERROR(IFERROR(VLOOKUP(B2929&amp;C2929&amp;Q2929,'New Weekly Paste'!A:M,8,0),VLOOKUP(B2929&amp;C2929&amp;Q2929,'New Weekly Paste'!B:O,10,0)),0)</f>
        <v>127.02</v>
      </c>
      <c r="K2929" s="259">
        <f>IFERROR(IFERROR(VLOOKUP(B2929&amp;I2929&amp;Q2929,'New Weekly Paste'!A:M,8,0),VLOOKUP(B2929&amp;I2929&amp;Q2929,'New Weekly Paste'!B:O,10,0)),0)</f>
        <v>103.32</v>
      </c>
      <c r="L2929" s="239">
        <f t="shared" si="25"/>
        <v>1</v>
      </c>
      <c r="M2929" s="36" t="str">
        <f t="shared" si="3"/>
        <v>Regular Season</v>
      </c>
      <c r="N2929" s="239" t="str">
        <f t="shared" si="26"/>
        <v>T-How</v>
      </c>
      <c r="O2929" s="6">
        <f>VLOOKUP(D2929,'Mapped Opponent'!$G$4:$H$22,2,0)</f>
        <v>8</v>
      </c>
      <c r="P2929" s="6"/>
      <c r="Q2929" s="6" t="str">
        <f t="shared" si="4"/>
        <v>Week 8</v>
      </c>
      <c r="R2929" s="6" t="str">
        <f t="shared" si="5"/>
        <v>2025Week 8</v>
      </c>
      <c r="S2929" s="6">
        <f>IFERROR(__xludf.DUMMYFUNCTION("rank(J2929,FILTER(J:J,R:R=R2929))"),4.0)</f>
        <v>4</v>
      </c>
      <c r="T2929" s="6">
        <f t="shared" si="6"/>
        <v>8</v>
      </c>
      <c r="U2929" s="6">
        <f t="shared" si="7"/>
        <v>4</v>
      </c>
      <c r="V2929" s="42">
        <f>averageif(AllData!A:A,B2929,AllData!R:R)/vlookup(B2929,AllData!A:O,15,0)</f>
        <v>104.9271429</v>
      </c>
      <c r="W2929" s="6"/>
    </row>
    <row r="2930" ht="14.25" customHeight="1">
      <c r="A2930" s="6" t="str">
        <f t="shared" si="29"/>
        <v>2025T-How8</v>
      </c>
      <c r="B2930" s="59">
        <v>2025.0</v>
      </c>
      <c r="C2930" s="13" t="s">
        <v>82</v>
      </c>
      <c r="D2930" s="13" t="s">
        <v>145</v>
      </c>
      <c r="E2930" s="34"/>
      <c r="F2930" s="6"/>
      <c r="H2930" s="6"/>
      <c r="I2930" s="35" t="str">
        <f>IFERROR(IFERROR(IFERROR(VLOOKUP(B2930&amp;C2930&amp;Q2930,'New Weekly Paste'!A:M,10,0),VLOOKUP(B2930&amp;C2930&amp;Q2930,'New Weekly Paste'!B:O,6,0)),""),"")</f>
        <v>KnardDawg</v>
      </c>
      <c r="J2930" s="259">
        <f>IFERROR(IFERROR(VLOOKUP(B2930&amp;C2930&amp;Q2930,'New Weekly Paste'!A:M,8,0),VLOOKUP(B2930&amp;C2930&amp;Q2930,'New Weekly Paste'!B:O,10,0)),0)</f>
        <v>103.32</v>
      </c>
      <c r="K2930" s="259">
        <f>IFERROR(IFERROR(VLOOKUP(B2930&amp;I2930&amp;Q2930,'New Weekly Paste'!A:M,8,0),VLOOKUP(B2930&amp;I2930&amp;Q2930,'New Weekly Paste'!B:O,10,0)),0)</f>
        <v>127.02</v>
      </c>
      <c r="L2930" s="239">
        <f t="shared" si="25"/>
        <v>0</v>
      </c>
      <c r="M2930" s="36" t="str">
        <f t="shared" si="3"/>
        <v>Regular Season</v>
      </c>
      <c r="N2930" s="239" t="str">
        <f t="shared" si="26"/>
        <v>KnardDawg</v>
      </c>
      <c r="O2930" s="6">
        <f>VLOOKUP(D2930,'Mapped Opponent'!$G$4:$H$22,2,0)</f>
        <v>8</v>
      </c>
      <c r="P2930" s="6"/>
      <c r="Q2930" s="6" t="str">
        <f t="shared" si="4"/>
        <v>Week 8</v>
      </c>
      <c r="R2930" s="6" t="str">
        <f t="shared" si="5"/>
        <v>2025Week 8</v>
      </c>
      <c r="S2930" s="6">
        <f>IFERROR(__xludf.DUMMYFUNCTION("rank(J2930,FILTER(J:J,R:R=R2930))"),7.0)</f>
        <v>7</v>
      </c>
      <c r="T2930" s="6">
        <f t="shared" si="6"/>
        <v>5</v>
      </c>
      <c r="U2930" s="6">
        <f t="shared" si="7"/>
        <v>7</v>
      </c>
      <c r="V2930" s="42">
        <f>averageif(AllData!A:A,B2930,AllData!R:R)/vlookup(B2930,AllData!A:O,15,0)</f>
        <v>104.9271429</v>
      </c>
      <c r="W2930" s="6"/>
    </row>
    <row r="2931" ht="14.25" customHeight="1">
      <c r="A2931" s="6" t="str">
        <f t="shared" si="29"/>
        <v>2025Hudspeath9</v>
      </c>
      <c r="B2931" s="59">
        <v>2025.0</v>
      </c>
      <c r="C2931" s="13" t="s">
        <v>39</v>
      </c>
      <c r="D2931" s="13" t="s">
        <v>147</v>
      </c>
      <c r="E2931" s="34"/>
      <c r="F2931" s="6"/>
      <c r="H2931" s="6"/>
      <c r="I2931" s="35" t="str">
        <f>IFERROR(IFERROR(IFERROR(VLOOKUP(B2931&amp;C2931&amp;Q2931,'New Weekly Paste'!A:M,10,0),VLOOKUP(B2931&amp;C2931&amp;Q2931,'New Weekly Paste'!B:O,6,0)),""),"")</f>
        <v>Pierson</v>
      </c>
      <c r="J2931" s="259">
        <f>IFERROR(IFERROR(VLOOKUP(B2931&amp;C2931&amp;Q2931,'New Weekly Paste'!A:M,8,0),VLOOKUP(B2931&amp;C2931&amp;Q2931,'New Weekly Paste'!B:O,10,0)),0)</f>
        <v>106.58</v>
      </c>
      <c r="K2931" s="259">
        <f>IFERROR(IFERROR(VLOOKUP(B2931&amp;I2931&amp;Q2931,'New Weekly Paste'!A:M,8,0),VLOOKUP(B2931&amp;I2931&amp;Q2931,'New Weekly Paste'!B:O,10,0)),0)</f>
        <v>84.4</v>
      </c>
      <c r="L2931" s="239">
        <f t="shared" si="25"/>
        <v>1</v>
      </c>
      <c r="M2931" s="36" t="str">
        <f t="shared" si="3"/>
        <v>Regular Season</v>
      </c>
      <c r="N2931" s="239" t="str">
        <f t="shared" si="26"/>
        <v>Pierson</v>
      </c>
      <c r="O2931" s="6">
        <f>VLOOKUP(D2931,'Mapped Opponent'!$G$4:$H$22,2,0)</f>
        <v>9</v>
      </c>
      <c r="P2931" s="6"/>
      <c r="Q2931" s="6" t="str">
        <f t="shared" si="4"/>
        <v>Week 9</v>
      </c>
      <c r="R2931" s="6" t="str">
        <f t="shared" si="5"/>
        <v>2025Week 9</v>
      </c>
      <c r="S2931" s="6">
        <f>IFERROR(__xludf.DUMMYFUNCTION("rank(J2931,FILTER(J:J,R:R=R2931))"),6.0)</f>
        <v>6</v>
      </c>
      <c r="T2931" s="6">
        <f t="shared" si="6"/>
        <v>6</v>
      </c>
      <c r="U2931" s="6">
        <f t="shared" si="7"/>
        <v>6</v>
      </c>
      <c r="V2931" s="42">
        <f>averageif(AllData!A:A,B2931,AllData!R:R)/vlookup(B2931,AllData!A:O,15,0)</f>
        <v>104.9271429</v>
      </c>
      <c r="W2931" s="6"/>
    </row>
    <row r="2932" ht="14.25" customHeight="1">
      <c r="A2932" s="6" t="str">
        <f t="shared" si="29"/>
        <v>2025Salty9</v>
      </c>
      <c r="B2932" s="59">
        <v>2025.0</v>
      </c>
      <c r="C2932" s="13" t="s">
        <v>76</v>
      </c>
      <c r="D2932" s="13" t="s">
        <v>147</v>
      </c>
      <c r="E2932" s="34"/>
      <c r="F2932" s="6"/>
      <c r="H2932" s="6"/>
      <c r="I2932" s="35" t="str">
        <f>IFERROR(IFERROR(IFERROR(VLOOKUP(B2932&amp;C2932&amp;Q2932,'New Weekly Paste'!A:M,10,0),VLOOKUP(B2932&amp;C2932&amp;Q2932,'New Weekly Paste'!B:O,6,0)),""),"")</f>
        <v>Cock</v>
      </c>
      <c r="J2932" s="259">
        <f>IFERROR(IFERROR(VLOOKUP(B2932&amp;C2932&amp;Q2932,'New Weekly Paste'!A:M,8,0),VLOOKUP(B2932&amp;C2932&amp;Q2932,'New Weekly Paste'!B:O,10,0)),0)</f>
        <v>124.06</v>
      </c>
      <c r="K2932" s="259">
        <f>IFERROR(IFERROR(VLOOKUP(B2932&amp;I2932&amp;Q2932,'New Weekly Paste'!A:M,8,0),VLOOKUP(B2932&amp;I2932&amp;Q2932,'New Weekly Paste'!B:O,10,0)),0)</f>
        <v>94.04</v>
      </c>
      <c r="L2932" s="239">
        <f t="shared" si="25"/>
        <v>1</v>
      </c>
      <c r="M2932" s="36" t="str">
        <f t="shared" si="3"/>
        <v>Regular Season</v>
      </c>
      <c r="N2932" s="239" t="str">
        <f t="shared" si="26"/>
        <v>Cock</v>
      </c>
      <c r="O2932" s="6">
        <f>VLOOKUP(D2932,'Mapped Opponent'!$G$4:$H$22,2,0)</f>
        <v>9</v>
      </c>
      <c r="P2932" s="6"/>
      <c r="Q2932" s="6" t="str">
        <f t="shared" si="4"/>
        <v>Week 9</v>
      </c>
      <c r="R2932" s="6" t="str">
        <f t="shared" si="5"/>
        <v>2025Week 9</v>
      </c>
      <c r="S2932" s="6">
        <f>IFERROR(__xludf.DUMMYFUNCTION("rank(J2932,FILTER(J:J,R:R=R2932))"),3.0)</f>
        <v>3</v>
      </c>
      <c r="T2932" s="6">
        <f t="shared" si="6"/>
        <v>9</v>
      </c>
      <c r="U2932" s="6">
        <f t="shared" si="7"/>
        <v>3</v>
      </c>
      <c r="V2932" s="42">
        <f>averageif(AllData!A:A,B2932,AllData!R:R)/vlookup(B2932,AllData!A:O,15,0)</f>
        <v>104.9271429</v>
      </c>
      <c r="W2932" s="6"/>
    </row>
    <row r="2933" ht="14.25" customHeight="1">
      <c r="A2933" s="6" t="str">
        <f t="shared" si="29"/>
        <v>2025Ewert9</v>
      </c>
      <c r="B2933" s="59">
        <v>2025.0</v>
      </c>
      <c r="C2933" s="13" t="s">
        <v>108</v>
      </c>
      <c r="D2933" s="13" t="s">
        <v>147</v>
      </c>
      <c r="E2933" s="34"/>
      <c r="F2933" s="6"/>
      <c r="H2933" s="6"/>
      <c r="I2933" s="35" t="str">
        <f>IFERROR(IFERROR(IFERROR(VLOOKUP(B2933&amp;C2933&amp;Q2933,'New Weekly Paste'!A:M,10,0),VLOOKUP(B2933&amp;C2933&amp;Q2933,'New Weekly Paste'!B:O,6,0)),""),"")</f>
        <v>Riley</v>
      </c>
      <c r="J2933" s="259">
        <f>IFERROR(IFERROR(VLOOKUP(B2933&amp;C2933&amp;Q2933,'New Weekly Paste'!A:M,8,0),VLOOKUP(B2933&amp;C2933&amp;Q2933,'New Weekly Paste'!B:O,10,0)),0)</f>
        <v>112.6</v>
      </c>
      <c r="K2933" s="259">
        <f>IFERROR(IFERROR(VLOOKUP(B2933&amp;I2933&amp;Q2933,'New Weekly Paste'!A:M,8,0),VLOOKUP(B2933&amp;I2933&amp;Q2933,'New Weekly Paste'!B:O,10,0)),0)</f>
        <v>97.5</v>
      </c>
      <c r="L2933" s="239">
        <f t="shared" si="25"/>
        <v>1</v>
      </c>
      <c r="M2933" s="36" t="str">
        <f t="shared" si="3"/>
        <v>Regular Season</v>
      </c>
      <c r="N2933" s="239" t="str">
        <f t="shared" si="26"/>
        <v>Riley</v>
      </c>
      <c r="O2933" s="6">
        <f>VLOOKUP(D2933,'Mapped Opponent'!$G$4:$H$22,2,0)</f>
        <v>9</v>
      </c>
      <c r="P2933" s="6"/>
      <c r="Q2933" s="6" t="str">
        <f t="shared" si="4"/>
        <v>Week 9</v>
      </c>
      <c r="R2933" s="6" t="str">
        <f t="shared" si="5"/>
        <v>2025Week 9</v>
      </c>
      <c r="S2933" s="6">
        <f>IFERROR(__xludf.DUMMYFUNCTION("rank(J2933,FILTER(J:J,R:R=R2933))"),5.0)</f>
        <v>5</v>
      </c>
      <c r="T2933" s="6">
        <f t="shared" si="6"/>
        <v>7</v>
      </c>
      <c r="U2933" s="6">
        <f t="shared" si="7"/>
        <v>5</v>
      </c>
      <c r="V2933" s="42">
        <f>averageif(AllData!A:A,B2933,AllData!R:R)/vlookup(B2933,AllData!A:O,15,0)</f>
        <v>104.9271429</v>
      </c>
      <c r="W2933" s="6"/>
    </row>
    <row r="2934" ht="14.25" customHeight="1">
      <c r="A2934" s="6" t="str">
        <f t="shared" si="29"/>
        <v>2025Shep9</v>
      </c>
      <c r="B2934" s="59">
        <v>2025.0</v>
      </c>
      <c r="C2934" s="13" t="s">
        <v>89</v>
      </c>
      <c r="D2934" s="13" t="s">
        <v>147</v>
      </c>
      <c r="E2934" s="34"/>
      <c r="F2934" s="6"/>
      <c r="H2934" s="6"/>
      <c r="I2934" s="35" t="str">
        <f>IFERROR(IFERROR(IFERROR(VLOOKUP(B2934&amp;C2934&amp;Q2934,'New Weekly Paste'!A:M,10,0),VLOOKUP(B2934&amp;C2934&amp;Q2934,'New Weekly Paste'!B:O,6,0)),""),"")</f>
        <v>KnardDawg</v>
      </c>
      <c r="J2934" s="259">
        <f>IFERROR(IFERROR(VLOOKUP(B2934&amp;C2934&amp;Q2934,'New Weekly Paste'!A:M,8,0),VLOOKUP(B2934&amp;C2934&amp;Q2934,'New Weekly Paste'!B:O,10,0)),0)</f>
        <v>121.6</v>
      </c>
      <c r="K2934" s="259">
        <f>IFERROR(IFERROR(VLOOKUP(B2934&amp;I2934&amp;Q2934,'New Weekly Paste'!A:M,8,0),VLOOKUP(B2934&amp;I2934&amp;Q2934,'New Weekly Paste'!B:O,10,0)),0)</f>
        <v>101.1</v>
      </c>
      <c r="L2934" s="239">
        <f t="shared" si="25"/>
        <v>1</v>
      </c>
      <c r="M2934" s="36" t="str">
        <f t="shared" si="3"/>
        <v>Regular Season</v>
      </c>
      <c r="N2934" s="239" t="str">
        <f t="shared" si="26"/>
        <v>KnardDawg</v>
      </c>
      <c r="O2934" s="6">
        <f>VLOOKUP(D2934,'Mapped Opponent'!$G$4:$H$22,2,0)</f>
        <v>9</v>
      </c>
      <c r="P2934" s="6"/>
      <c r="Q2934" s="6" t="str">
        <f t="shared" si="4"/>
        <v>Week 9</v>
      </c>
      <c r="R2934" s="6" t="str">
        <f t="shared" si="5"/>
        <v>2025Week 9</v>
      </c>
      <c r="S2934" s="6">
        <f>IFERROR(__xludf.DUMMYFUNCTION("rank(J2934,FILTER(J:J,R:R=R2934))"),4.0)</f>
        <v>4</v>
      </c>
      <c r="T2934" s="6">
        <f t="shared" si="6"/>
        <v>8</v>
      </c>
      <c r="U2934" s="6">
        <f t="shared" si="7"/>
        <v>4</v>
      </c>
      <c r="V2934" s="42">
        <f>averageif(AllData!A:A,B2934,AllData!R:R)/vlookup(B2934,AllData!A:O,15,0)</f>
        <v>104.9271429</v>
      </c>
      <c r="W2934" s="6"/>
    </row>
    <row r="2935" ht="14.25" customHeight="1">
      <c r="A2935" s="6" t="str">
        <f t="shared" si="29"/>
        <v>2025Riley9</v>
      </c>
      <c r="B2935" s="59">
        <v>2025.0</v>
      </c>
      <c r="C2935" s="13" t="s">
        <v>67</v>
      </c>
      <c r="D2935" s="13" t="s">
        <v>147</v>
      </c>
      <c r="E2935" s="34"/>
      <c r="F2935" s="6"/>
      <c r="H2935" s="6"/>
      <c r="I2935" s="35" t="str">
        <f>IFERROR(IFERROR(IFERROR(VLOOKUP(B2935&amp;C2935&amp;Q2935,'New Weekly Paste'!A:M,10,0),VLOOKUP(B2935&amp;C2935&amp;Q2935,'New Weekly Paste'!B:O,6,0)),""),"")</f>
        <v>Ewert</v>
      </c>
      <c r="J2935" s="259">
        <f>IFERROR(IFERROR(VLOOKUP(B2935&amp;C2935&amp;Q2935,'New Weekly Paste'!A:M,8,0),VLOOKUP(B2935&amp;C2935&amp;Q2935,'New Weekly Paste'!B:O,10,0)),0)</f>
        <v>97.5</v>
      </c>
      <c r="K2935" s="259">
        <f>IFERROR(IFERROR(VLOOKUP(B2935&amp;I2935&amp;Q2935,'New Weekly Paste'!A:M,8,0),VLOOKUP(B2935&amp;I2935&amp;Q2935,'New Weekly Paste'!B:O,10,0)),0)</f>
        <v>112.6</v>
      </c>
      <c r="L2935" s="239">
        <f t="shared" si="25"/>
        <v>0</v>
      </c>
      <c r="M2935" s="36" t="str">
        <f t="shared" si="3"/>
        <v>Regular Season</v>
      </c>
      <c r="N2935" s="239" t="str">
        <f t="shared" si="26"/>
        <v>Ewert</v>
      </c>
      <c r="O2935" s="6">
        <f>VLOOKUP(D2935,'Mapped Opponent'!$G$4:$H$22,2,0)</f>
        <v>9</v>
      </c>
      <c r="P2935" s="6"/>
      <c r="Q2935" s="6" t="str">
        <f t="shared" si="4"/>
        <v>Week 9</v>
      </c>
      <c r="R2935" s="6" t="str">
        <f t="shared" si="5"/>
        <v>2025Week 9</v>
      </c>
      <c r="S2935" s="6">
        <f>IFERROR(__xludf.DUMMYFUNCTION("rank(J2935,FILTER(J:J,R:R=R2935))"),10.0)</f>
        <v>10</v>
      </c>
      <c r="T2935" s="6">
        <f t="shared" si="6"/>
        <v>2</v>
      </c>
      <c r="U2935" s="6">
        <f t="shared" si="7"/>
        <v>10</v>
      </c>
      <c r="V2935" s="42">
        <f>averageif(AllData!A:A,B2935,AllData!R:R)/vlookup(B2935,AllData!A:O,15,0)</f>
        <v>104.9271429</v>
      </c>
      <c r="W2935" s="6"/>
    </row>
    <row r="2936" ht="14.25" customHeight="1">
      <c r="A2936" s="6" t="str">
        <f t="shared" si="29"/>
        <v>2025Rooney/Jackson9</v>
      </c>
      <c r="B2936" s="59">
        <v>2025.0</v>
      </c>
      <c r="C2936" s="13" t="s">
        <v>57</v>
      </c>
      <c r="D2936" s="13" t="s">
        <v>147</v>
      </c>
      <c r="E2936" s="34"/>
      <c r="F2936" s="6"/>
      <c r="H2936" s="6"/>
      <c r="I2936" s="35" t="str">
        <f>IFERROR(IFERROR(IFERROR(VLOOKUP(B2936&amp;C2936&amp;Q2936,'New Weekly Paste'!A:M,10,0),VLOOKUP(B2936&amp;C2936&amp;Q2936,'New Weekly Paste'!B:O,6,0)),""),"")</f>
        <v>T-How</v>
      </c>
      <c r="J2936" s="259">
        <f>IFERROR(IFERROR(VLOOKUP(B2936&amp;C2936&amp;Q2936,'New Weekly Paste'!A:M,8,0),VLOOKUP(B2936&amp;C2936&amp;Q2936,'New Weekly Paste'!B:O,10,0)),0)</f>
        <v>104.06</v>
      </c>
      <c r="K2936" s="259">
        <f>IFERROR(IFERROR(VLOOKUP(B2936&amp;I2936&amp;Q2936,'New Weekly Paste'!A:M,8,0),VLOOKUP(B2936&amp;I2936&amp;Q2936,'New Weekly Paste'!B:O,10,0)),0)</f>
        <v>101.32</v>
      </c>
      <c r="L2936" s="239">
        <f t="shared" si="25"/>
        <v>1</v>
      </c>
      <c r="M2936" s="36" t="str">
        <f t="shared" si="3"/>
        <v>Regular Season</v>
      </c>
      <c r="N2936" s="239" t="str">
        <f t="shared" si="26"/>
        <v>T-How</v>
      </c>
      <c r="O2936" s="6">
        <f>VLOOKUP(D2936,'Mapped Opponent'!$G$4:$H$22,2,0)</f>
        <v>9</v>
      </c>
      <c r="P2936" s="6"/>
      <c r="Q2936" s="6" t="str">
        <f t="shared" si="4"/>
        <v>Week 9</v>
      </c>
      <c r="R2936" s="6" t="str">
        <f t="shared" si="5"/>
        <v>2025Week 9</v>
      </c>
      <c r="S2936" s="6">
        <f>IFERROR(__xludf.DUMMYFUNCTION("rank(J2936,FILTER(J:J,R:R=R2936))"),7.0)</f>
        <v>7</v>
      </c>
      <c r="T2936" s="6">
        <f t="shared" si="6"/>
        <v>5</v>
      </c>
      <c r="U2936" s="6">
        <f t="shared" si="7"/>
        <v>7</v>
      </c>
      <c r="V2936" s="42">
        <f>averageif(AllData!A:A,B2936,AllData!R:R)/vlookup(B2936,AllData!A:O,15,0)</f>
        <v>104.9271429</v>
      </c>
      <c r="W2936" s="6"/>
    </row>
    <row r="2937" ht="14.25" customHeight="1">
      <c r="A2937" s="6" t="str">
        <f t="shared" si="29"/>
        <v>2025Buser9</v>
      </c>
      <c r="B2937" s="59">
        <v>2025.0</v>
      </c>
      <c r="C2937" s="13" t="s">
        <v>47</v>
      </c>
      <c r="D2937" s="13" t="s">
        <v>147</v>
      </c>
      <c r="E2937" s="34"/>
      <c r="F2937" s="6"/>
      <c r="H2937" s="6"/>
      <c r="I2937" s="35" t="str">
        <f>IFERROR(IFERROR(IFERROR(VLOOKUP(B2937&amp;C2937&amp;Q2937,'New Weekly Paste'!A:M,10,0),VLOOKUP(B2937&amp;C2937&amp;Q2937,'New Weekly Paste'!B:O,6,0)),""),"")</f>
        <v>Tayski</v>
      </c>
      <c r="J2937" s="259">
        <f>IFERROR(IFERROR(VLOOKUP(B2937&amp;C2937&amp;Q2937,'New Weekly Paste'!A:M,8,0),VLOOKUP(B2937&amp;C2937&amp;Q2937,'New Weekly Paste'!B:O,10,0)),0)</f>
        <v>124.4</v>
      </c>
      <c r="K2937" s="259">
        <f>IFERROR(IFERROR(VLOOKUP(B2937&amp;I2937&amp;Q2937,'New Weekly Paste'!A:M,8,0),VLOOKUP(B2937&amp;I2937&amp;Q2937,'New Weekly Paste'!B:O,10,0)),0)</f>
        <v>125.72</v>
      </c>
      <c r="L2937" s="239">
        <f t="shared" si="25"/>
        <v>0</v>
      </c>
      <c r="M2937" s="36" t="str">
        <f t="shared" si="3"/>
        <v>Regular Season</v>
      </c>
      <c r="N2937" s="239" t="str">
        <f t="shared" si="26"/>
        <v>Tayski</v>
      </c>
      <c r="O2937" s="6">
        <f>VLOOKUP(D2937,'Mapped Opponent'!$G$4:$H$22,2,0)</f>
        <v>9</v>
      </c>
      <c r="P2937" s="6"/>
      <c r="Q2937" s="6" t="str">
        <f t="shared" si="4"/>
        <v>Week 9</v>
      </c>
      <c r="R2937" s="6" t="str">
        <f t="shared" si="5"/>
        <v>2025Week 9</v>
      </c>
      <c r="S2937" s="6">
        <f>IFERROR(__xludf.DUMMYFUNCTION("rank(J2937,FILTER(J:J,R:R=R2937))"),2.0)</f>
        <v>2</v>
      </c>
      <c r="T2937" s="6">
        <f t="shared" si="6"/>
        <v>10</v>
      </c>
      <c r="U2937" s="6">
        <f t="shared" si="7"/>
        <v>2</v>
      </c>
      <c r="V2937" s="42">
        <f>averageif(AllData!A:A,B2937,AllData!R:R)/vlookup(B2937,AllData!A:O,15,0)</f>
        <v>104.9271429</v>
      </c>
      <c r="W2937" s="6"/>
    </row>
    <row r="2938" ht="14.25" customHeight="1">
      <c r="A2938" s="6" t="str">
        <f t="shared" si="29"/>
        <v>2025Pierson9</v>
      </c>
      <c r="B2938" s="59">
        <v>2025.0</v>
      </c>
      <c r="C2938" s="13" t="s">
        <v>92</v>
      </c>
      <c r="D2938" s="13" t="s">
        <v>147</v>
      </c>
      <c r="E2938" s="34"/>
      <c r="F2938" s="6"/>
      <c r="H2938" s="6"/>
      <c r="I2938" s="35" t="str">
        <f>IFERROR(IFERROR(IFERROR(VLOOKUP(B2938&amp;C2938&amp;Q2938,'New Weekly Paste'!A:M,10,0),VLOOKUP(B2938&amp;C2938&amp;Q2938,'New Weekly Paste'!B:O,6,0)),""),"")</f>
        <v>Hudspeath</v>
      </c>
      <c r="J2938" s="259">
        <f>IFERROR(IFERROR(VLOOKUP(B2938&amp;C2938&amp;Q2938,'New Weekly Paste'!A:M,8,0),VLOOKUP(B2938&amp;C2938&amp;Q2938,'New Weekly Paste'!B:O,10,0)),0)</f>
        <v>84.4</v>
      </c>
      <c r="K2938" s="259">
        <f>IFERROR(IFERROR(VLOOKUP(B2938&amp;I2938&amp;Q2938,'New Weekly Paste'!A:M,8,0),VLOOKUP(B2938&amp;I2938&amp;Q2938,'New Weekly Paste'!B:O,10,0)),0)</f>
        <v>106.58</v>
      </c>
      <c r="L2938" s="239">
        <f t="shared" si="25"/>
        <v>0</v>
      </c>
      <c r="M2938" s="36" t="str">
        <f t="shared" si="3"/>
        <v>Regular Season</v>
      </c>
      <c r="N2938" s="239" t="str">
        <f t="shared" si="26"/>
        <v>Hudspeath</v>
      </c>
      <c r="O2938" s="6">
        <f>VLOOKUP(D2938,'Mapped Opponent'!$G$4:$H$22,2,0)</f>
        <v>9</v>
      </c>
      <c r="P2938" s="6"/>
      <c r="Q2938" s="6" t="str">
        <f t="shared" si="4"/>
        <v>Week 9</v>
      </c>
      <c r="R2938" s="6" t="str">
        <f t="shared" si="5"/>
        <v>2025Week 9</v>
      </c>
      <c r="S2938" s="6">
        <f>IFERROR(__xludf.DUMMYFUNCTION("rank(J2938,FILTER(J:J,R:R=R2938))"),12.0)</f>
        <v>12</v>
      </c>
      <c r="T2938" s="6">
        <f t="shared" si="6"/>
        <v>0</v>
      </c>
      <c r="U2938" s="6">
        <f t="shared" si="7"/>
        <v>12</v>
      </c>
      <c r="V2938" s="42">
        <f>averageif(AllData!A:A,B2938,AllData!R:R)/vlookup(B2938,AllData!A:O,15,0)</f>
        <v>104.9271429</v>
      </c>
      <c r="W2938" s="6"/>
    </row>
    <row r="2939" ht="14.25" customHeight="1">
      <c r="A2939" s="6" t="str">
        <f t="shared" si="29"/>
        <v>2025Cock9</v>
      </c>
      <c r="B2939" s="59">
        <v>2025.0</v>
      </c>
      <c r="C2939" s="13" t="s">
        <v>72</v>
      </c>
      <c r="D2939" s="13" t="s">
        <v>147</v>
      </c>
      <c r="E2939" s="34"/>
      <c r="F2939" s="6"/>
      <c r="H2939" s="6"/>
      <c r="I2939" s="35" t="str">
        <f>IFERROR(IFERROR(IFERROR(VLOOKUP(B2939&amp;C2939&amp;Q2939,'New Weekly Paste'!A:M,10,0),VLOOKUP(B2939&amp;C2939&amp;Q2939,'New Weekly Paste'!B:O,6,0)),""),"")</f>
        <v>Salty</v>
      </c>
      <c r="J2939" s="259">
        <f>IFERROR(IFERROR(VLOOKUP(B2939&amp;C2939&amp;Q2939,'New Weekly Paste'!A:M,8,0),VLOOKUP(B2939&amp;C2939&amp;Q2939,'New Weekly Paste'!B:O,10,0)),0)</f>
        <v>94.04</v>
      </c>
      <c r="K2939" s="259">
        <f>IFERROR(IFERROR(VLOOKUP(B2939&amp;I2939&amp;Q2939,'New Weekly Paste'!A:M,8,0),VLOOKUP(B2939&amp;I2939&amp;Q2939,'New Weekly Paste'!B:O,10,0)),0)</f>
        <v>124.06</v>
      </c>
      <c r="L2939" s="239">
        <f t="shared" si="25"/>
        <v>0</v>
      </c>
      <c r="M2939" s="36" t="str">
        <f t="shared" si="3"/>
        <v>Regular Season</v>
      </c>
      <c r="N2939" s="239" t="str">
        <f t="shared" si="26"/>
        <v>Salty</v>
      </c>
      <c r="O2939" s="6">
        <f>VLOOKUP(D2939,'Mapped Opponent'!$G$4:$H$22,2,0)</f>
        <v>9</v>
      </c>
      <c r="P2939" s="6"/>
      <c r="Q2939" s="6" t="str">
        <f t="shared" si="4"/>
        <v>Week 9</v>
      </c>
      <c r="R2939" s="6" t="str">
        <f t="shared" si="5"/>
        <v>2025Week 9</v>
      </c>
      <c r="S2939" s="6">
        <f>IFERROR(__xludf.DUMMYFUNCTION("rank(J2939,FILTER(J:J,R:R=R2939))"),11.0)</f>
        <v>11</v>
      </c>
      <c r="T2939" s="6">
        <f t="shared" si="6"/>
        <v>1</v>
      </c>
      <c r="U2939" s="6">
        <f t="shared" si="7"/>
        <v>11</v>
      </c>
      <c r="V2939" s="42">
        <f>averageif(AllData!A:A,B2939,AllData!R:R)/vlookup(B2939,AllData!A:O,15,0)</f>
        <v>104.9271429</v>
      </c>
      <c r="W2939" s="6"/>
    </row>
    <row r="2940" ht="14.25" customHeight="1">
      <c r="A2940" s="6" t="str">
        <f t="shared" si="29"/>
        <v>2025Tayski9</v>
      </c>
      <c r="B2940" s="59">
        <v>2025.0</v>
      </c>
      <c r="C2940" s="13" t="s">
        <v>52</v>
      </c>
      <c r="D2940" s="13" t="s">
        <v>147</v>
      </c>
      <c r="E2940" s="34"/>
      <c r="F2940" s="6"/>
      <c r="H2940" s="6"/>
      <c r="I2940" s="35" t="str">
        <f>IFERROR(IFERROR(IFERROR(VLOOKUP(B2940&amp;C2940&amp;Q2940,'New Weekly Paste'!A:M,10,0),VLOOKUP(B2940&amp;C2940&amp;Q2940,'New Weekly Paste'!B:O,6,0)),""),"")</f>
        <v>Buser</v>
      </c>
      <c r="J2940" s="259">
        <f>IFERROR(IFERROR(VLOOKUP(B2940&amp;C2940&amp;Q2940,'New Weekly Paste'!A:M,8,0),VLOOKUP(B2940&amp;C2940&amp;Q2940,'New Weekly Paste'!B:O,10,0)),0)</f>
        <v>125.72</v>
      </c>
      <c r="K2940" s="259">
        <f>IFERROR(IFERROR(VLOOKUP(B2940&amp;I2940&amp;Q2940,'New Weekly Paste'!A:M,8,0),VLOOKUP(B2940&amp;I2940&amp;Q2940,'New Weekly Paste'!B:O,10,0)),0)</f>
        <v>124.4</v>
      </c>
      <c r="L2940" s="239">
        <f t="shared" si="25"/>
        <v>1</v>
      </c>
      <c r="M2940" s="36" t="str">
        <f t="shared" si="3"/>
        <v>Regular Season</v>
      </c>
      <c r="N2940" s="239" t="str">
        <f t="shared" si="26"/>
        <v>Buser</v>
      </c>
      <c r="O2940" s="6">
        <f>VLOOKUP(D2940,'Mapped Opponent'!$G$4:$H$22,2,0)</f>
        <v>9</v>
      </c>
      <c r="P2940" s="6"/>
      <c r="Q2940" s="6" t="str">
        <f t="shared" si="4"/>
        <v>Week 9</v>
      </c>
      <c r="R2940" s="6" t="str">
        <f t="shared" si="5"/>
        <v>2025Week 9</v>
      </c>
      <c r="S2940" s="6">
        <f>IFERROR(__xludf.DUMMYFUNCTION("rank(J2940,FILTER(J:J,R:R=R2940))"),1.0)</f>
        <v>1</v>
      </c>
      <c r="T2940" s="6">
        <f t="shared" si="6"/>
        <v>11</v>
      </c>
      <c r="U2940" s="6">
        <f t="shared" si="7"/>
        <v>1</v>
      </c>
      <c r="V2940" s="42">
        <f>averageif(AllData!A:A,B2940,AllData!R:R)/vlookup(B2940,AllData!A:O,15,0)</f>
        <v>104.9271429</v>
      </c>
      <c r="W2940" s="6"/>
    </row>
    <row r="2941" ht="14.25" customHeight="1">
      <c r="A2941" s="6" t="str">
        <f t="shared" si="29"/>
        <v>2025KnardDawg9</v>
      </c>
      <c r="B2941" s="59">
        <v>2025.0</v>
      </c>
      <c r="C2941" s="13" t="s">
        <v>86</v>
      </c>
      <c r="D2941" s="13" t="s">
        <v>147</v>
      </c>
      <c r="E2941" s="34"/>
      <c r="F2941" s="6"/>
      <c r="H2941" s="6"/>
      <c r="I2941" s="35" t="str">
        <f>IFERROR(IFERROR(IFERROR(VLOOKUP(B2941&amp;C2941&amp;Q2941,'New Weekly Paste'!A:M,10,0),VLOOKUP(B2941&amp;C2941&amp;Q2941,'New Weekly Paste'!B:O,6,0)),""),"")</f>
        <v>Shep</v>
      </c>
      <c r="J2941" s="259">
        <f>IFERROR(IFERROR(VLOOKUP(B2941&amp;C2941&amp;Q2941,'New Weekly Paste'!A:M,8,0),VLOOKUP(B2941&amp;C2941&amp;Q2941,'New Weekly Paste'!B:O,10,0)),0)</f>
        <v>101.1</v>
      </c>
      <c r="K2941" s="259">
        <f>IFERROR(IFERROR(VLOOKUP(B2941&amp;I2941&amp;Q2941,'New Weekly Paste'!A:M,8,0),VLOOKUP(B2941&amp;I2941&amp;Q2941,'New Weekly Paste'!B:O,10,0)),0)</f>
        <v>121.6</v>
      </c>
      <c r="L2941" s="239">
        <f t="shared" si="25"/>
        <v>0</v>
      </c>
      <c r="M2941" s="36" t="str">
        <f t="shared" si="3"/>
        <v>Regular Season</v>
      </c>
      <c r="N2941" s="239" t="str">
        <f t="shared" si="26"/>
        <v>Shep</v>
      </c>
      <c r="O2941" s="6">
        <f>VLOOKUP(D2941,'Mapped Opponent'!$G$4:$H$22,2,0)</f>
        <v>9</v>
      </c>
      <c r="P2941" s="6"/>
      <c r="Q2941" s="6" t="str">
        <f t="shared" si="4"/>
        <v>Week 9</v>
      </c>
      <c r="R2941" s="6" t="str">
        <f t="shared" si="5"/>
        <v>2025Week 9</v>
      </c>
      <c r="S2941" s="6">
        <f>IFERROR(__xludf.DUMMYFUNCTION("rank(J2941,FILTER(J:J,R:R=R2941))"),9.0)</f>
        <v>9</v>
      </c>
      <c r="T2941" s="6">
        <f t="shared" si="6"/>
        <v>3</v>
      </c>
      <c r="U2941" s="6">
        <f t="shared" si="7"/>
        <v>9</v>
      </c>
      <c r="V2941" s="42">
        <f>averageif(AllData!A:A,B2941,AllData!R:R)/vlookup(B2941,AllData!A:O,15,0)</f>
        <v>104.9271429</v>
      </c>
      <c r="W2941" s="6"/>
    </row>
    <row r="2942" ht="14.25" customHeight="1">
      <c r="A2942" s="6" t="str">
        <f t="shared" si="29"/>
        <v>2025T-How9</v>
      </c>
      <c r="B2942" s="59">
        <v>2025.0</v>
      </c>
      <c r="C2942" s="13" t="s">
        <v>82</v>
      </c>
      <c r="D2942" s="13" t="s">
        <v>147</v>
      </c>
      <c r="E2942" s="34"/>
      <c r="F2942" s="6"/>
      <c r="H2942" s="6"/>
      <c r="I2942" s="35" t="str">
        <f>IFERROR(IFERROR(IFERROR(VLOOKUP(B2942&amp;C2942&amp;Q2942,'New Weekly Paste'!A:M,10,0),VLOOKUP(B2942&amp;C2942&amp;Q2942,'New Weekly Paste'!B:O,6,0)),""),"")</f>
        <v>Rooney/Jackson</v>
      </c>
      <c r="J2942" s="259">
        <f>IFERROR(IFERROR(VLOOKUP(B2942&amp;C2942&amp;Q2942,'New Weekly Paste'!A:M,8,0),VLOOKUP(B2942&amp;C2942&amp;Q2942,'New Weekly Paste'!B:O,10,0)),0)</f>
        <v>101.32</v>
      </c>
      <c r="K2942" s="259">
        <f>IFERROR(IFERROR(VLOOKUP(B2942&amp;I2942&amp;Q2942,'New Weekly Paste'!A:M,8,0),VLOOKUP(B2942&amp;I2942&amp;Q2942,'New Weekly Paste'!B:O,10,0)),0)</f>
        <v>104.06</v>
      </c>
      <c r="L2942" s="239">
        <f t="shared" si="25"/>
        <v>0</v>
      </c>
      <c r="M2942" s="36" t="str">
        <f t="shared" si="3"/>
        <v>Regular Season</v>
      </c>
      <c r="N2942" s="239" t="str">
        <f t="shared" si="26"/>
        <v>Rooney/Jackson</v>
      </c>
      <c r="O2942" s="6">
        <f>VLOOKUP(D2942,'Mapped Opponent'!$G$4:$H$22,2,0)</f>
        <v>9</v>
      </c>
      <c r="P2942" s="6"/>
      <c r="Q2942" s="6" t="str">
        <f t="shared" si="4"/>
        <v>Week 9</v>
      </c>
      <c r="R2942" s="6" t="str">
        <f t="shared" si="5"/>
        <v>2025Week 9</v>
      </c>
      <c r="S2942" s="6">
        <f>IFERROR(__xludf.DUMMYFUNCTION("rank(J2942,FILTER(J:J,R:R=R2942))"),8.0)</f>
        <v>8</v>
      </c>
      <c r="T2942" s="6">
        <f t="shared" si="6"/>
        <v>4</v>
      </c>
      <c r="U2942" s="6">
        <f t="shared" si="7"/>
        <v>8</v>
      </c>
      <c r="V2942" s="42">
        <f>averageif(AllData!A:A,B2942,AllData!R:R)/vlookup(B2942,AllData!A:O,15,0)</f>
        <v>104.9271429</v>
      </c>
      <c r="W2942" s="6"/>
    </row>
    <row r="2943" ht="14.25" customHeight="1">
      <c r="A2943" s="6" t="str">
        <f t="shared" si="29"/>
        <v>2026Hudspeath15</v>
      </c>
      <c r="B2943" s="59">
        <v>2026.0</v>
      </c>
      <c r="C2943" s="13" t="s">
        <v>39</v>
      </c>
      <c r="D2943" s="13" t="s">
        <v>112</v>
      </c>
      <c r="E2943" s="34"/>
      <c r="F2943" s="6"/>
      <c r="H2943" s="6"/>
      <c r="I2943" s="35" t="str">
        <f>IFERROR(IFERROR(IFERROR(VLOOKUP(B2943&amp;C2943&amp;Q2943,'New Weekly Paste'!A:M,10,0),VLOOKUP(B2943&amp;C2943&amp;Q2943,'New Weekly Paste'!B:O,6,0)),""),"")</f>
        <v/>
      </c>
      <c r="J2943" s="239">
        <f>IFERROR(IFERROR(VLOOKUP(B2943&amp;C2943&amp;Q2943,'New Weekly Paste'!A:M,8,0),VLOOKUP(B2943&amp;C2943&amp;Q2943,'New Weekly Paste'!B:O,10,0)),0)</f>
        <v>0</v>
      </c>
      <c r="K2943" s="239">
        <f>IFERROR(IFERROR(VLOOKUP(B2943&amp;I2943&amp;Q2943,'New Weekly Paste'!A:M,8,0),VLOOKUP(B2943&amp;I2943&amp;Q2943,'New Weekly Paste'!B:O,10,0)),0)</f>
        <v>0</v>
      </c>
      <c r="L2943" s="239">
        <f t="shared" si="25"/>
        <v>0</v>
      </c>
      <c r="M2943" s="36" t="str">
        <f t="shared" si="3"/>
        <v>Playoffs</v>
      </c>
      <c r="N2943" s="239" t="str">
        <f t="shared" si="26"/>
        <v/>
      </c>
      <c r="O2943" s="6">
        <f>VLOOKUP(D2943,'Mapped Opponent'!$G$4:$H$22,2,0)</f>
        <v>15</v>
      </c>
      <c r="P2943" s="6"/>
      <c r="Q2943" s="6" t="str">
        <f t="shared" si="4"/>
        <v>Week 15</v>
      </c>
      <c r="R2943" s="6" t="str">
        <f t="shared" si="5"/>
        <v>2026Round 1</v>
      </c>
      <c r="S2943" s="6">
        <f>IFERROR(__xludf.DUMMYFUNCTION("rank(J2943,FILTER(J:J,R:R=R2943))"),1.0)</f>
        <v>1</v>
      </c>
      <c r="T2943" s="6">
        <f t="shared" si="6"/>
        <v>11</v>
      </c>
      <c r="U2943" s="6">
        <f t="shared" si="7"/>
        <v>1</v>
      </c>
      <c r="V2943" s="42">
        <f>averageif(AllData!A:A,B2943,AllData!R:R)/vlookup(B2943,AllData!A:O,15,0)</f>
        <v>90.45916667</v>
      </c>
      <c r="W2943" s="6"/>
    </row>
    <row r="2944" ht="14.25" customHeight="1">
      <c r="A2944" s="6" t="str">
        <f t="shared" si="29"/>
        <v>2026Salty15</v>
      </c>
      <c r="B2944" s="59">
        <v>2026.0</v>
      </c>
      <c r="C2944" s="13" t="s">
        <v>76</v>
      </c>
      <c r="D2944" s="13" t="s">
        <v>112</v>
      </c>
      <c r="E2944" s="34"/>
      <c r="F2944" s="6"/>
      <c r="H2944" s="6"/>
      <c r="I2944" s="35" t="str">
        <f>IFERROR(IFERROR(IFERROR(VLOOKUP(B2944&amp;C2944&amp;Q2944,'New Weekly Paste'!A:M,10,0),VLOOKUP(B2944&amp;C2944&amp;Q2944,'New Weekly Paste'!B:O,6,0)),""),"")</f>
        <v/>
      </c>
      <c r="J2944" s="239">
        <f>IFERROR(IFERROR(VLOOKUP(B2944&amp;C2944&amp;Q2944,'New Weekly Paste'!A:M,8,0),VLOOKUP(B2944&amp;C2944&amp;Q2944,'New Weekly Paste'!B:O,10,0)),0)</f>
        <v>0</v>
      </c>
      <c r="K2944" s="239">
        <f>IFERROR(IFERROR(VLOOKUP(B2944&amp;I2944&amp;Q2944,'New Weekly Paste'!A:M,8,0),VLOOKUP(B2944&amp;I2944&amp;Q2944,'New Weekly Paste'!B:O,10,0)),0)</f>
        <v>0</v>
      </c>
      <c r="L2944" s="239">
        <f t="shared" si="25"/>
        <v>0</v>
      </c>
      <c r="M2944" s="36" t="str">
        <f t="shared" si="3"/>
        <v>Playoffs</v>
      </c>
      <c r="N2944" s="239" t="str">
        <f t="shared" si="26"/>
        <v/>
      </c>
      <c r="O2944" s="6">
        <f>VLOOKUP(D2944,'Mapped Opponent'!$G$4:$H$22,2,0)</f>
        <v>15</v>
      </c>
      <c r="P2944" s="6"/>
      <c r="Q2944" s="6" t="str">
        <f t="shared" si="4"/>
        <v>Week 15</v>
      </c>
      <c r="R2944" s="6" t="str">
        <f t="shared" si="5"/>
        <v>2026Round 1</v>
      </c>
      <c r="S2944" s="6">
        <f>IFERROR(__xludf.DUMMYFUNCTION("rank(J2944,FILTER(J:J,R:R=R2944))"),1.0)</f>
        <v>1</v>
      </c>
      <c r="T2944" s="6">
        <f t="shared" si="6"/>
        <v>11</v>
      </c>
      <c r="U2944" s="6">
        <f t="shared" si="7"/>
        <v>1</v>
      </c>
      <c r="V2944" s="42">
        <f>averageif(AllData!A:A,B2944,AllData!R:R)/vlookup(B2944,AllData!A:O,15,0)</f>
        <v>90.45916667</v>
      </c>
      <c r="W2944" s="6"/>
    </row>
    <row r="2945" ht="14.25" customHeight="1">
      <c r="A2945" s="6" t="str">
        <f t="shared" si="29"/>
        <v>2026Ewert15</v>
      </c>
      <c r="B2945" s="59">
        <v>2026.0</v>
      </c>
      <c r="C2945" s="13" t="s">
        <v>108</v>
      </c>
      <c r="D2945" s="13" t="s">
        <v>112</v>
      </c>
      <c r="E2945" s="34"/>
      <c r="F2945" s="6"/>
      <c r="H2945" s="6"/>
      <c r="I2945" s="35" t="str">
        <f>IFERROR(IFERROR(IFERROR(VLOOKUP(B2945&amp;C2945&amp;Q2945,'New Weekly Paste'!A:M,10,0),VLOOKUP(B2945&amp;C2945&amp;Q2945,'New Weekly Paste'!B:O,6,0)),""),"")</f>
        <v/>
      </c>
      <c r="J2945" s="239">
        <f>IFERROR(IFERROR(VLOOKUP(B2945&amp;C2945&amp;Q2945,'New Weekly Paste'!A:M,8,0),VLOOKUP(B2945&amp;C2945&amp;Q2945,'New Weekly Paste'!B:O,10,0)),0)</f>
        <v>0</v>
      </c>
      <c r="K2945" s="239">
        <f>IFERROR(IFERROR(VLOOKUP(B2945&amp;I2945&amp;Q2945,'New Weekly Paste'!A:M,8,0),VLOOKUP(B2945&amp;I2945&amp;Q2945,'New Weekly Paste'!B:O,10,0)),0)</f>
        <v>0</v>
      </c>
      <c r="L2945" s="239">
        <f t="shared" si="25"/>
        <v>0</v>
      </c>
      <c r="M2945" s="36" t="str">
        <f t="shared" si="3"/>
        <v>Playoffs</v>
      </c>
      <c r="N2945" s="239" t="str">
        <f t="shared" si="26"/>
        <v/>
      </c>
      <c r="O2945" s="6">
        <f>VLOOKUP(D2945,'Mapped Opponent'!$G$4:$H$22,2,0)</f>
        <v>15</v>
      </c>
      <c r="P2945" s="6"/>
      <c r="Q2945" s="6" t="str">
        <f t="shared" si="4"/>
        <v>Week 15</v>
      </c>
      <c r="R2945" s="6" t="str">
        <f t="shared" si="5"/>
        <v>2026Round 1</v>
      </c>
      <c r="S2945" s="6">
        <f>IFERROR(__xludf.DUMMYFUNCTION("rank(J2945,FILTER(J:J,R:R=R2945))"),1.0)</f>
        <v>1</v>
      </c>
      <c r="T2945" s="6">
        <f t="shared" si="6"/>
        <v>11</v>
      </c>
      <c r="U2945" s="6">
        <f t="shared" si="7"/>
        <v>1</v>
      </c>
      <c r="V2945" s="42">
        <f>averageif(AllData!A:A,B2945,AllData!R:R)/vlookup(B2945,AllData!A:O,15,0)</f>
        <v>90.45916667</v>
      </c>
      <c r="W2945" s="6"/>
    </row>
    <row r="2946" ht="14.25" customHeight="1">
      <c r="A2946" s="6" t="str">
        <f t="shared" si="29"/>
        <v>2026Shep15</v>
      </c>
      <c r="B2946" s="59">
        <v>2026.0</v>
      </c>
      <c r="C2946" s="13" t="s">
        <v>89</v>
      </c>
      <c r="D2946" s="13" t="s">
        <v>112</v>
      </c>
      <c r="E2946" s="34"/>
      <c r="F2946" s="6"/>
      <c r="H2946" s="6"/>
      <c r="I2946" s="35" t="str">
        <f>IFERROR(IFERROR(IFERROR(VLOOKUP(B2946&amp;C2946&amp;Q2946,'New Weekly Paste'!A:M,10,0),VLOOKUP(B2946&amp;C2946&amp;Q2946,'New Weekly Paste'!B:O,6,0)),""),"")</f>
        <v/>
      </c>
      <c r="J2946" s="239">
        <f>IFERROR(IFERROR(VLOOKUP(B2946&amp;C2946&amp;Q2946,'New Weekly Paste'!A:M,8,0),VLOOKUP(B2946&amp;C2946&amp;Q2946,'New Weekly Paste'!B:O,10,0)),0)</f>
        <v>0</v>
      </c>
      <c r="K2946" s="239">
        <f>IFERROR(IFERROR(VLOOKUP(B2946&amp;I2946&amp;Q2946,'New Weekly Paste'!A:M,8,0),VLOOKUP(B2946&amp;I2946&amp;Q2946,'New Weekly Paste'!B:O,10,0)),0)</f>
        <v>0</v>
      </c>
      <c r="L2946" s="239">
        <f t="shared" si="25"/>
        <v>0</v>
      </c>
      <c r="M2946" s="36" t="str">
        <f t="shared" si="3"/>
        <v>Playoffs</v>
      </c>
      <c r="N2946" s="239" t="str">
        <f t="shared" si="26"/>
        <v/>
      </c>
      <c r="O2946" s="6">
        <f>VLOOKUP(D2946,'Mapped Opponent'!$G$4:$H$22,2,0)</f>
        <v>15</v>
      </c>
      <c r="P2946" s="6"/>
      <c r="Q2946" s="6" t="str">
        <f t="shared" si="4"/>
        <v>Week 15</v>
      </c>
      <c r="R2946" s="6" t="str">
        <f t="shared" si="5"/>
        <v>2026Round 1</v>
      </c>
      <c r="S2946" s="6">
        <f>IFERROR(__xludf.DUMMYFUNCTION("rank(J2946,FILTER(J:J,R:R=R2946))"),1.0)</f>
        <v>1</v>
      </c>
      <c r="T2946" s="6">
        <f t="shared" si="6"/>
        <v>11</v>
      </c>
      <c r="U2946" s="6">
        <f t="shared" si="7"/>
        <v>1</v>
      </c>
      <c r="V2946" s="42">
        <f>averageif(AllData!A:A,B2946,AllData!R:R)/vlookup(B2946,AllData!A:O,15,0)</f>
        <v>90.45916667</v>
      </c>
      <c r="W2946" s="6"/>
    </row>
    <row r="2947" ht="14.25" customHeight="1">
      <c r="A2947" s="6" t="str">
        <f t="shared" si="29"/>
        <v>2026Riley15</v>
      </c>
      <c r="B2947" s="59">
        <v>2026.0</v>
      </c>
      <c r="C2947" s="13" t="s">
        <v>67</v>
      </c>
      <c r="D2947" s="13" t="s">
        <v>112</v>
      </c>
      <c r="E2947" s="34"/>
      <c r="F2947" s="6"/>
      <c r="H2947" s="6"/>
      <c r="I2947" s="35" t="str">
        <f>IFERROR(IFERROR(IFERROR(VLOOKUP(B2947&amp;C2947&amp;Q2947,'New Weekly Paste'!A:M,10,0),VLOOKUP(B2947&amp;C2947&amp;Q2947,'New Weekly Paste'!B:O,6,0)),""),"")</f>
        <v/>
      </c>
      <c r="J2947" s="239">
        <f>IFERROR(IFERROR(VLOOKUP(B2947&amp;C2947&amp;Q2947,'New Weekly Paste'!A:M,8,0),VLOOKUP(B2947&amp;C2947&amp;Q2947,'New Weekly Paste'!B:O,10,0)),0)</f>
        <v>0</v>
      </c>
      <c r="K2947" s="239">
        <f>IFERROR(IFERROR(VLOOKUP(B2947&amp;I2947&amp;Q2947,'New Weekly Paste'!A:M,8,0),VLOOKUP(B2947&amp;I2947&amp;Q2947,'New Weekly Paste'!B:O,10,0)),0)</f>
        <v>0</v>
      </c>
      <c r="L2947" s="239">
        <f t="shared" si="25"/>
        <v>0</v>
      </c>
      <c r="M2947" s="36" t="str">
        <f t="shared" si="3"/>
        <v>Playoffs</v>
      </c>
      <c r="N2947" s="239" t="str">
        <f t="shared" si="26"/>
        <v/>
      </c>
      <c r="O2947" s="6">
        <f>VLOOKUP(D2947,'Mapped Opponent'!$G$4:$H$22,2,0)</f>
        <v>15</v>
      </c>
      <c r="P2947" s="6"/>
      <c r="Q2947" s="6" t="str">
        <f t="shared" si="4"/>
        <v>Week 15</v>
      </c>
      <c r="R2947" s="6" t="str">
        <f t="shared" si="5"/>
        <v>2026Round 1</v>
      </c>
      <c r="S2947" s="6">
        <f>IFERROR(__xludf.DUMMYFUNCTION("rank(J2947,FILTER(J:J,R:R=R2947))"),1.0)</f>
        <v>1</v>
      </c>
      <c r="T2947" s="6">
        <f t="shared" si="6"/>
        <v>11</v>
      </c>
      <c r="U2947" s="6">
        <f t="shared" si="7"/>
        <v>1</v>
      </c>
      <c r="V2947" s="42">
        <f>averageif(AllData!A:A,B2947,AllData!R:R)/vlookup(B2947,AllData!A:O,15,0)</f>
        <v>90.45916667</v>
      </c>
      <c r="W2947" s="6"/>
    </row>
    <row r="2948" ht="14.25" customHeight="1">
      <c r="A2948" s="6" t="str">
        <f t="shared" si="29"/>
        <v>2026Rooney/Jackson15</v>
      </c>
      <c r="B2948" s="59">
        <v>2026.0</v>
      </c>
      <c r="C2948" s="13" t="s">
        <v>57</v>
      </c>
      <c r="D2948" s="13" t="s">
        <v>112</v>
      </c>
      <c r="E2948" s="34"/>
      <c r="F2948" s="6"/>
      <c r="H2948" s="6"/>
      <c r="I2948" s="35" t="str">
        <f>IFERROR(IFERROR(IFERROR(VLOOKUP(B2948&amp;C2948&amp;Q2948,'New Weekly Paste'!A:M,10,0),VLOOKUP(B2948&amp;C2948&amp;Q2948,'New Weekly Paste'!B:O,6,0)),""),"")</f>
        <v/>
      </c>
      <c r="J2948" s="239">
        <f>IFERROR(IFERROR(VLOOKUP(B2948&amp;C2948&amp;Q2948,'New Weekly Paste'!A:M,8,0),VLOOKUP(B2948&amp;C2948&amp;Q2948,'New Weekly Paste'!B:O,10,0)),0)</f>
        <v>0</v>
      </c>
      <c r="K2948" s="239">
        <f>IFERROR(IFERROR(VLOOKUP(B2948&amp;I2948&amp;Q2948,'New Weekly Paste'!A:M,8,0),VLOOKUP(B2948&amp;I2948&amp;Q2948,'New Weekly Paste'!B:O,10,0)),0)</f>
        <v>0</v>
      </c>
      <c r="L2948" s="239">
        <f t="shared" si="25"/>
        <v>0</v>
      </c>
      <c r="M2948" s="36" t="str">
        <f t="shared" si="3"/>
        <v>Playoffs</v>
      </c>
      <c r="N2948" s="239" t="str">
        <f t="shared" si="26"/>
        <v/>
      </c>
      <c r="O2948" s="6">
        <f>VLOOKUP(D2948,'Mapped Opponent'!$G$4:$H$22,2,0)</f>
        <v>15</v>
      </c>
      <c r="P2948" s="6"/>
      <c r="Q2948" s="6" t="str">
        <f t="shared" si="4"/>
        <v>Week 15</v>
      </c>
      <c r="R2948" s="6" t="str">
        <f t="shared" si="5"/>
        <v>2026Round 1</v>
      </c>
      <c r="S2948" s="6">
        <f>IFERROR(__xludf.DUMMYFUNCTION("rank(J2948,FILTER(J:J,R:R=R2948))"),1.0)</f>
        <v>1</v>
      </c>
      <c r="T2948" s="6">
        <f t="shared" si="6"/>
        <v>11</v>
      </c>
      <c r="U2948" s="6">
        <f t="shared" si="7"/>
        <v>1</v>
      </c>
      <c r="V2948" s="42">
        <f>averageif(AllData!A:A,B2948,AllData!R:R)/vlookup(B2948,AllData!A:O,15,0)</f>
        <v>90.45916667</v>
      </c>
      <c r="W2948" s="6"/>
    </row>
    <row r="2949" ht="14.25" customHeight="1">
      <c r="A2949" s="6" t="str">
        <f t="shared" si="29"/>
        <v>2026Buser15</v>
      </c>
      <c r="B2949" s="59">
        <v>2026.0</v>
      </c>
      <c r="C2949" s="13" t="s">
        <v>47</v>
      </c>
      <c r="D2949" s="13" t="s">
        <v>112</v>
      </c>
      <c r="E2949" s="34"/>
      <c r="F2949" s="6"/>
      <c r="H2949" s="6"/>
      <c r="I2949" s="35" t="str">
        <f>IFERROR(IFERROR(IFERROR(VLOOKUP(B2949&amp;C2949&amp;Q2949,'New Weekly Paste'!A:M,10,0),VLOOKUP(B2949&amp;C2949&amp;Q2949,'New Weekly Paste'!B:O,6,0)),""),"")</f>
        <v/>
      </c>
      <c r="J2949" s="239">
        <f>IFERROR(IFERROR(VLOOKUP(B2949&amp;C2949&amp;Q2949,'New Weekly Paste'!A:M,8,0),VLOOKUP(B2949&amp;C2949&amp;Q2949,'New Weekly Paste'!B:O,10,0)),0)</f>
        <v>0</v>
      </c>
      <c r="K2949" s="239">
        <f>IFERROR(IFERROR(VLOOKUP(B2949&amp;I2949&amp;Q2949,'New Weekly Paste'!A:M,8,0),VLOOKUP(B2949&amp;I2949&amp;Q2949,'New Weekly Paste'!B:O,10,0)),0)</f>
        <v>0</v>
      </c>
      <c r="L2949" s="239">
        <f t="shared" si="25"/>
        <v>0</v>
      </c>
      <c r="M2949" s="36" t="str">
        <f t="shared" si="3"/>
        <v>Playoffs</v>
      </c>
      <c r="N2949" s="239" t="str">
        <f t="shared" si="26"/>
        <v/>
      </c>
      <c r="O2949" s="6">
        <f>VLOOKUP(D2949,'Mapped Opponent'!$G$4:$H$22,2,0)</f>
        <v>15</v>
      </c>
      <c r="P2949" s="6"/>
      <c r="Q2949" s="6" t="str">
        <f t="shared" si="4"/>
        <v>Week 15</v>
      </c>
      <c r="R2949" s="6" t="str">
        <f t="shared" si="5"/>
        <v>2026Round 1</v>
      </c>
      <c r="S2949" s="6">
        <f>IFERROR(__xludf.DUMMYFUNCTION("rank(J2949,FILTER(J:J,R:R=R2949))"),1.0)</f>
        <v>1</v>
      </c>
      <c r="T2949" s="6">
        <f t="shared" si="6"/>
        <v>11</v>
      </c>
      <c r="U2949" s="6">
        <f t="shared" si="7"/>
        <v>1</v>
      </c>
      <c r="V2949" s="42">
        <f>averageif(AllData!A:A,B2949,AllData!R:R)/vlookup(B2949,AllData!A:O,15,0)</f>
        <v>90.45916667</v>
      </c>
      <c r="W2949" s="6"/>
    </row>
    <row r="2950" ht="14.25" customHeight="1">
      <c r="A2950" s="6" t="str">
        <f t="shared" si="29"/>
        <v>2026Pierson15</v>
      </c>
      <c r="B2950" s="59">
        <v>2026.0</v>
      </c>
      <c r="C2950" s="13" t="s">
        <v>92</v>
      </c>
      <c r="D2950" s="13" t="s">
        <v>112</v>
      </c>
      <c r="E2950" s="34"/>
      <c r="F2950" s="6"/>
      <c r="H2950" s="6"/>
      <c r="I2950" s="35" t="str">
        <f>IFERROR(IFERROR(IFERROR(VLOOKUP(B2950&amp;C2950&amp;Q2950,'New Weekly Paste'!A:M,10,0),VLOOKUP(B2950&amp;C2950&amp;Q2950,'New Weekly Paste'!B:O,6,0)),""),"")</f>
        <v/>
      </c>
      <c r="J2950" s="239">
        <f>IFERROR(IFERROR(VLOOKUP(B2950&amp;C2950&amp;Q2950,'New Weekly Paste'!A:M,8,0),VLOOKUP(B2950&amp;C2950&amp;Q2950,'New Weekly Paste'!B:O,10,0)),0)</f>
        <v>0</v>
      </c>
      <c r="K2950" s="239">
        <f>IFERROR(IFERROR(VLOOKUP(B2950&amp;I2950&amp;Q2950,'New Weekly Paste'!A:M,8,0),VLOOKUP(B2950&amp;I2950&amp;Q2950,'New Weekly Paste'!B:O,10,0)),0)</f>
        <v>0</v>
      </c>
      <c r="L2950" s="239">
        <f t="shared" si="25"/>
        <v>0</v>
      </c>
      <c r="M2950" s="36" t="str">
        <f t="shared" si="3"/>
        <v>Playoffs</v>
      </c>
      <c r="N2950" s="239" t="str">
        <f t="shared" si="26"/>
        <v/>
      </c>
      <c r="O2950" s="6">
        <f>VLOOKUP(D2950,'Mapped Opponent'!$G$4:$H$22,2,0)</f>
        <v>15</v>
      </c>
      <c r="P2950" s="6"/>
      <c r="Q2950" s="6" t="str">
        <f t="shared" si="4"/>
        <v>Week 15</v>
      </c>
      <c r="R2950" s="6" t="str">
        <f t="shared" si="5"/>
        <v>2026Round 1</v>
      </c>
      <c r="S2950" s="6">
        <f>IFERROR(__xludf.DUMMYFUNCTION("rank(J2950,FILTER(J:J,R:R=R2950))"),1.0)</f>
        <v>1</v>
      </c>
      <c r="T2950" s="6">
        <f t="shared" si="6"/>
        <v>11</v>
      </c>
      <c r="U2950" s="6">
        <f t="shared" si="7"/>
        <v>1</v>
      </c>
      <c r="V2950" s="42">
        <f>averageif(AllData!A:A,B2950,AllData!R:R)/vlookup(B2950,AllData!A:O,15,0)</f>
        <v>90.45916667</v>
      </c>
      <c r="W2950" s="6"/>
    </row>
    <row r="2951" ht="14.25" customHeight="1">
      <c r="A2951" s="6" t="str">
        <f t="shared" si="29"/>
        <v>2026Cock15</v>
      </c>
      <c r="B2951" s="59">
        <v>2026.0</v>
      </c>
      <c r="C2951" s="13" t="s">
        <v>72</v>
      </c>
      <c r="D2951" s="13" t="s">
        <v>112</v>
      </c>
      <c r="E2951" s="34"/>
      <c r="F2951" s="6"/>
      <c r="H2951" s="6"/>
      <c r="I2951" s="35" t="str">
        <f>IFERROR(IFERROR(IFERROR(VLOOKUP(B2951&amp;C2951&amp;Q2951,'New Weekly Paste'!A:M,10,0),VLOOKUP(B2951&amp;C2951&amp;Q2951,'New Weekly Paste'!B:O,6,0)),""),"")</f>
        <v/>
      </c>
      <c r="J2951" s="239">
        <f>IFERROR(IFERROR(VLOOKUP(B2951&amp;C2951&amp;Q2951,'New Weekly Paste'!A:M,8,0),VLOOKUP(B2951&amp;C2951&amp;Q2951,'New Weekly Paste'!B:O,10,0)),0)</f>
        <v>0</v>
      </c>
      <c r="K2951" s="239">
        <f>IFERROR(IFERROR(VLOOKUP(B2951&amp;I2951&amp;Q2951,'New Weekly Paste'!A:M,8,0),VLOOKUP(B2951&amp;I2951&amp;Q2951,'New Weekly Paste'!B:O,10,0)),0)</f>
        <v>0</v>
      </c>
      <c r="L2951" s="239">
        <f t="shared" si="25"/>
        <v>0</v>
      </c>
      <c r="M2951" s="36" t="str">
        <f t="shared" si="3"/>
        <v>Playoffs</v>
      </c>
      <c r="N2951" s="239" t="str">
        <f t="shared" si="26"/>
        <v/>
      </c>
      <c r="O2951" s="6">
        <f>VLOOKUP(D2951,'Mapped Opponent'!$G$4:$H$22,2,0)</f>
        <v>15</v>
      </c>
      <c r="P2951" s="6"/>
      <c r="Q2951" s="6" t="str">
        <f t="shared" si="4"/>
        <v>Week 15</v>
      </c>
      <c r="R2951" s="6" t="str">
        <f t="shared" si="5"/>
        <v>2026Round 1</v>
      </c>
      <c r="S2951" s="6">
        <f>IFERROR(__xludf.DUMMYFUNCTION("rank(J2951,FILTER(J:J,R:R=R2951))"),1.0)</f>
        <v>1</v>
      </c>
      <c r="T2951" s="6">
        <f t="shared" si="6"/>
        <v>11</v>
      </c>
      <c r="U2951" s="6">
        <f t="shared" si="7"/>
        <v>1</v>
      </c>
      <c r="V2951" s="42">
        <f>averageif(AllData!A:A,B2951,AllData!R:R)/vlookup(B2951,AllData!A:O,15,0)</f>
        <v>90.45916667</v>
      </c>
      <c r="W2951" s="6"/>
    </row>
    <row r="2952" ht="14.25" customHeight="1">
      <c r="A2952" s="6" t="str">
        <f t="shared" si="29"/>
        <v>2026Tayski15</v>
      </c>
      <c r="B2952" s="59">
        <v>2026.0</v>
      </c>
      <c r="C2952" s="13" t="s">
        <v>52</v>
      </c>
      <c r="D2952" s="13" t="s">
        <v>112</v>
      </c>
      <c r="E2952" s="34"/>
      <c r="F2952" s="6"/>
      <c r="H2952" s="6"/>
      <c r="I2952" s="35" t="str">
        <f>IFERROR(IFERROR(IFERROR(VLOOKUP(B2952&amp;C2952&amp;Q2952,'New Weekly Paste'!A:M,10,0),VLOOKUP(B2952&amp;C2952&amp;Q2952,'New Weekly Paste'!B:O,6,0)),""),"")</f>
        <v/>
      </c>
      <c r="J2952" s="239">
        <f>IFERROR(IFERROR(VLOOKUP(B2952&amp;C2952&amp;Q2952,'New Weekly Paste'!A:M,8,0),VLOOKUP(B2952&amp;C2952&amp;Q2952,'New Weekly Paste'!B:O,10,0)),0)</f>
        <v>0</v>
      </c>
      <c r="K2952" s="239">
        <f>IFERROR(IFERROR(VLOOKUP(B2952&amp;I2952&amp;Q2952,'New Weekly Paste'!A:M,8,0),VLOOKUP(B2952&amp;I2952&amp;Q2952,'New Weekly Paste'!B:O,10,0)),0)</f>
        <v>0</v>
      </c>
      <c r="L2952" s="239">
        <f t="shared" si="25"/>
        <v>0</v>
      </c>
      <c r="M2952" s="36" t="str">
        <f t="shared" si="3"/>
        <v>Playoffs</v>
      </c>
      <c r="N2952" s="239" t="str">
        <f t="shared" si="26"/>
        <v/>
      </c>
      <c r="O2952" s="6">
        <f>VLOOKUP(D2952,'Mapped Opponent'!$G$4:$H$22,2,0)</f>
        <v>15</v>
      </c>
      <c r="P2952" s="6"/>
      <c r="Q2952" s="6" t="str">
        <f t="shared" si="4"/>
        <v>Week 15</v>
      </c>
      <c r="R2952" s="6" t="str">
        <f t="shared" si="5"/>
        <v>2026Round 1</v>
      </c>
      <c r="S2952" s="6">
        <f>IFERROR(__xludf.DUMMYFUNCTION("rank(J2952,FILTER(J:J,R:R=R2952))"),1.0)</f>
        <v>1</v>
      </c>
      <c r="T2952" s="6">
        <f t="shared" si="6"/>
        <v>11</v>
      </c>
      <c r="U2952" s="6">
        <f t="shared" si="7"/>
        <v>1</v>
      </c>
      <c r="V2952" s="42">
        <f>averageif(AllData!A:A,B2952,AllData!R:R)/vlookup(B2952,AllData!A:O,15,0)</f>
        <v>90.45916667</v>
      </c>
      <c r="W2952" s="6"/>
    </row>
    <row r="2953" ht="14.25" customHeight="1">
      <c r="A2953" s="6" t="str">
        <f t="shared" si="29"/>
        <v>2026KnardDawg15</v>
      </c>
      <c r="B2953" s="59">
        <v>2026.0</v>
      </c>
      <c r="C2953" s="13" t="s">
        <v>86</v>
      </c>
      <c r="D2953" s="13" t="s">
        <v>112</v>
      </c>
      <c r="E2953" s="34"/>
      <c r="F2953" s="6"/>
      <c r="H2953" s="6"/>
      <c r="I2953" s="35" t="str">
        <f>IFERROR(IFERROR(IFERROR(VLOOKUP(B2953&amp;C2953&amp;Q2953,'New Weekly Paste'!A:M,10,0),VLOOKUP(B2953&amp;C2953&amp;Q2953,'New Weekly Paste'!B:O,6,0)),""),"")</f>
        <v/>
      </c>
      <c r="J2953" s="239">
        <f>IFERROR(IFERROR(VLOOKUP(B2953&amp;C2953&amp;Q2953,'New Weekly Paste'!A:M,8,0),VLOOKUP(B2953&amp;C2953&amp;Q2953,'New Weekly Paste'!B:O,10,0)),0)</f>
        <v>0</v>
      </c>
      <c r="K2953" s="239">
        <f>IFERROR(IFERROR(VLOOKUP(B2953&amp;I2953&amp;Q2953,'New Weekly Paste'!A:M,8,0),VLOOKUP(B2953&amp;I2953&amp;Q2953,'New Weekly Paste'!B:O,10,0)),0)</f>
        <v>0</v>
      </c>
      <c r="L2953" s="239">
        <f t="shared" si="25"/>
        <v>0</v>
      </c>
      <c r="M2953" s="36" t="str">
        <f t="shared" si="3"/>
        <v>Playoffs</v>
      </c>
      <c r="N2953" s="239" t="str">
        <f t="shared" si="26"/>
        <v/>
      </c>
      <c r="O2953" s="6">
        <f>VLOOKUP(D2953,'Mapped Opponent'!$G$4:$H$22,2,0)</f>
        <v>15</v>
      </c>
      <c r="P2953" s="6"/>
      <c r="Q2953" s="6" t="str">
        <f t="shared" si="4"/>
        <v>Week 15</v>
      </c>
      <c r="R2953" s="6" t="str">
        <f t="shared" si="5"/>
        <v>2026Round 1</v>
      </c>
      <c r="S2953" s="6">
        <f>IFERROR(__xludf.DUMMYFUNCTION("rank(J2953,FILTER(J:J,R:R=R2953))"),1.0)</f>
        <v>1</v>
      </c>
      <c r="T2953" s="6">
        <f t="shared" si="6"/>
        <v>11</v>
      </c>
      <c r="U2953" s="6">
        <f t="shared" si="7"/>
        <v>1</v>
      </c>
      <c r="V2953" s="42">
        <f>averageif(AllData!A:A,B2953,AllData!R:R)/vlookup(B2953,AllData!A:O,15,0)</f>
        <v>90.45916667</v>
      </c>
      <c r="W2953" s="6"/>
    </row>
    <row r="2954" ht="14.25" customHeight="1">
      <c r="A2954" s="6" t="str">
        <f t="shared" si="29"/>
        <v>2026T-How15</v>
      </c>
      <c r="B2954" s="59">
        <v>2026.0</v>
      </c>
      <c r="C2954" s="13" t="s">
        <v>82</v>
      </c>
      <c r="D2954" s="13" t="s">
        <v>112</v>
      </c>
      <c r="E2954" s="34"/>
      <c r="F2954" s="6"/>
      <c r="H2954" s="6"/>
      <c r="I2954" s="35" t="str">
        <f>IFERROR(IFERROR(IFERROR(VLOOKUP(B2954&amp;C2954&amp;Q2954,'New Weekly Paste'!A:M,10,0),VLOOKUP(B2954&amp;C2954&amp;Q2954,'New Weekly Paste'!B:O,6,0)),""),"")</f>
        <v/>
      </c>
      <c r="J2954" s="239">
        <f>IFERROR(IFERROR(VLOOKUP(B2954&amp;C2954&amp;Q2954,'New Weekly Paste'!A:M,8,0),VLOOKUP(B2954&amp;C2954&amp;Q2954,'New Weekly Paste'!B:O,10,0)),0)</f>
        <v>0</v>
      </c>
      <c r="K2954" s="239">
        <f>IFERROR(IFERROR(VLOOKUP(B2954&amp;I2954&amp;Q2954,'New Weekly Paste'!A:M,8,0),VLOOKUP(B2954&amp;I2954&amp;Q2954,'New Weekly Paste'!B:O,10,0)),0)</f>
        <v>0</v>
      </c>
      <c r="L2954" s="239">
        <f t="shared" si="25"/>
        <v>0</v>
      </c>
      <c r="M2954" s="36" t="str">
        <f t="shared" si="3"/>
        <v>Playoffs</v>
      </c>
      <c r="N2954" s="239" t="str">
        <f t="shared" si="26"/>
        <v/>
      </c>
      <c r="O2954" s="6">
        <f>VLOOKUP(D2954,'Mapped Opponent'!$G$4:$H$22,2,0)</f>
        <v>15</v>
      </c>
      <c r="P2954" s="6"/>
      <c r="Q2954" s="6" t="str">
        <f t="shared" si="4"/>
        <v>Week 15</v>
      </c>
      <c r="R2954" s="6" t="str">
        <f t="shared" si="5"/>
        <v>2026Round 1</v>
      </c>
      <c r="S2954" s="6">
        <f>IFERROR(__xludf.DUMMYFUNCTION("rank(J2954,FILTER(J:J,R:R=R2954))"),1.0)</f>
        <v>1</v>
      </c>
      <c r="T2954" s="6">
        <f t="shared" si="6"/>
        <v>11</v>
      </c>
      <c r="U2954" s="6">
        <f t="shared" si="7"/>
        <v>1</v>
      </c>
      <c r="V2954" s="42">
        <f>averageif(AllData!A:A,B2954,AllData!R:R)/vlookup(B2954,AllData!A:O,15,0)</f>
        <v>90.45916667</v>
      </c>
      <c r="W2954" s="6"/>
    </row>
    <row r="2955" ht="14.25" customHeight="1">
      <c r="A2955" s="6" t="str">
        <f t="shared" si="29"/>
        <v>2026Hudspeath16</v>
      </c>
      <c r="B2955" s="59">
        <v>2026.0</v>
      </c>
      <c r="C2955" s="13" t="s">
        <v>39</v>
      </c>
      <c r="D2955" s="13" t="s">
        <v>153</v>
      </c>
      <c r="E2955" s="34"/>
      <c r="F2955" s="6"/>
      <c r="H2955" s="6"/>
      <c r="I2955" s="35" t="str">
        <f>IFERROR(IFERROR(IFERROR(VLOOKUP(B2955&amp;C2955&amp;Q2955,'New Weekly Paste'!A:M,10,0),VLOOKUP(B2955&amp;C2955&amp;Q2955,'New Weekly Paste'!B:O,6,0)),""),"")</f>
        <v/>
      </c>
      <c r="J2955" s="239">
        <f>IFERROR(IFERROR(VLOOKUP(B2955&amp;C2955&amp;Q2955,'New Weekly Paste'!A:M,8,0),VLOOKUP(B2955&amp;C2955&amp;Q2955,'New Weekly Paste'!B:O,10,0)),0)</f>
        <v>0</v>
      </c>
      <c r="K2955" s="239">
        <f>IFERROR(IFERROR(VLOOKUP(B2955&amp;I2955&amp;Q2955,'New Weekly Paste'!A:M,8,0),VLOOKUP(B2955&amp;I2955&amp;Q2955,'New Weekly Paste'!B:O,10,0)),0)</f>
        <v>0</v>
      </c>
      <c r="L2955" s="239">
        <f t="shared" si="25"/>
        <v>0</v>
      </c>
      <c r="M2955" s="36" t="str">
        <f t="shared" si="3"/>
        <v>Playoffs</v>
      </c>
      <c r="N2955" s="239" t="str">
        <f t="shared" si="26"/>
        <v/>
      </c>
      <c r="O2955" s="6">
        <f>VLOOKUP(D2955,'Mapped Opponent'!$G$4:$H$22,2,0)</f>
        <v>16</v>
      </c>
      <c r="P2955" s="6"/>
      <c r="Q2955" s="6" t="str">
        <f t="shared" si="4"/>
        <v>Week 16</v>
      </c>
      <c r="R2955" s="6" t="str">
        <f t="shared" si="5"/>
        <v>2026Round 2</v>
      </c>
      <c r="S2955" s="6">
        <f>IFERROR(__xludf.DUMMYFUNCTION("rank(J2955,FILTER(J:J,R:R=R2955))"),1.0)</f>
        <v>1</v>
      </c>
      <c r="T2955" s="6">
        <f t="shared" si="6"/>
        <v>11</v>
      </c>
      <c r="U2955" s="6">
        <f t="shared" si="7"/>
        <v>1</v>
      </c>
      <c r="V2955" s="42">
        <f>averageif(AllData!A:A,B2955,AllData!R:R)/vlookup(B2955,AllData!A:O,15,0)</f>
        <v>90.45916667</v>
      </c>
      <c r="W2955" s="6"/>
    </row>
    <row r="2956" ht="14.25" customHeight="1">
      <c r="A2956" s="6" t="str">
        <f t="shared" si="29"/>
        <v>2026Salty16</v>
      </c>
      <c r="B2956" s="59">
        <v>2026.0</v>
      </c>
      <c r="C2956" s="13" t="s">
        <v>76</v>
      </c>
      <c r="D2956" s="13" t="s">
        <v>153</v>
      </c>
      <c r="E2956" s="34"/>
      <c r="F2956" s="6"/>
      <c r="H2956" s="6"/>
      <c r="I2956" s="35" t="str">
        <f>IFERROR(IFERROR(IFERROR(VLOOKUP(B2956&amp;C2956&amp;Q2956,'New Weekly Paste'!A:M,10,0),VLOOKUP(B2956&amp;C2956&amp;Q2956,'New Weekly Paste'!B:O,6,0)),""),"")</f>
        <v/>
      </c>
      <c r="J2956" s="239">
        <f>IFERROR(IFERROR(VLOOKUP(B2956&amp;C2956&amp;Q2956,'New Weekly Paste'!A:M,8,0),VLOOKUP(B2956&amp;C2956&amp;Q2956,'New Weekly Paste'!B:O,10,0)),0)</f>
        <v>0</v>
      </c>
      <c r="K2956" s="239">
        <f>IFERROR(IFERROR(VLOOKUP(B2956&amp;I2956&amp;Q2956,'New Weekly Paste'!A:M,8,0),VLOOKUP(B2956&amp;I2956&amp;Q2956,'New Weekly Paste'!B:O,10,0)),0)</f>
        <v>0</v>
      </c>
      <c r="L2956" s="239">
        <f t="shared" si="25"/>
        <v>0</v>
      </c>
      <c r="M2956" s="36" t="str">
        <f t="shared" si="3"/>
        <v>Playoffs</v>
      </c>
      <c r="N2956" s="239" t="str">
        <f t="shared" si="26"/>
        <v/>
      </c>
      <c r="O2956" s="6">
        <f>VLOOKUP(D2956,'Mapped Opponent'!$G$4:$H$22,2,0)</f>
        <v>16</v>
      </c>
      <c r="P2956" s="6"/>
      <c r="Q2956" s="6" t="str">
        <f t="shared" si="4"/>
        <v>Week 16</v>
      </c>
      <c r="R2956" s="6" t="str">
        <f t="shared" si="5"/>
        <v>2026Round 2</v>
      </c>
      <c r="S2956" s="6">
        <f>IFERROR(__xludf.DUMMYFUNCTION("rank(J2956,FILTER(J:J,R:R=R2956))"),1.0)</f>
        <v>1</v>
      </c>
      <c r="T2956" s="6">
        <f t="shared" si="6"/>
        <v>11</v>
      </c>
      <c r="U2956" s="6">
        <f t="shared" si="7"/>
        <v>1</v>
      </c>
      <c r="V2956" s="42">
        <f>averageif(AllData!A:A,B2956,AllData!R:R)/vlookup(B2956,AllData!A:O,15,0)</f>
        <v>90.45916667</v>
      </c>
      <c r="W2956" s="6"/>
    </row>
    <row r="2957" ht="14.25" customHeight="1">
      <c r="A2957" s="6" t="str">
        <f t="shared" si="29"/>
        <v>2026Ewert16</v>
      </c>
      <c r="B2957" s="59">
        <v>2026.0</v>
      </c>
      <c r="C2957" s="13" t="s">
        <v>108</v>
      </c>
      <c r="D2957" s="13" t="s">
        <v>153</v>
      </c>
      <c r="E2957" s="34"/>
      <c r="F2957" s="6"/>
      <c r="H2957" s="6"/>
      <c r="I2957" s="35" t="str">
        <f>IFERROR(IFERROR(IFERROR(VLOOKUP(B2957&amp;C2957&amp;Q2957,'New Weekly Paste'!A:M,10,0),VLOOKUP(B2957&amp;C2957&amp;Q2957,'New Weekly Paste'!B:O,6,0)),""),"")</f>
        <v/>
      </c>
      <c r="J2957" s="239">
        <f>IFERROR(IFERROR(VLOOKUP(B2957&amp;C2957&amp;Q2957,'New Weekly Paste'!A:M,8,0),VLOOKUP(B2957&amp;C2957&amp;Q2957,'New Weekly Paste'!B:O,10,0)),0)</f>
        <v>0</v>
      </c>
      <c r="K2957" s="239">
        <f>IFERROR(IFERROR(VLOOKUP(B2957&amp;I2957&amp;Q2957,'New Weekly Paste'!A:M,8,0),VLOOKUP(B2957&amp;I2957&amp;Q2957,'New Weekly Paste'!B:O,10,0)),0)</f>
        <v>0</v>
      </c>
      <c r="L2957" s="239">
        <f t="shared" si="25"/>
        <v>0</v>
      </c>
      <c r="M2957" s="36" t="str">
        <f t="shared" si="3"/>
        <v>Playoffs</v>
      </c>
      <c r="N2957" s="239" t="str">
        <f t="shared" si="26"/>
        <v/>
      </c>
      <c r="O2957" s="6">
        <f>VLOOKUP(D2957,'Mapped Opponent'!$G$4:$H$22,2,0)</f>
        <v>16</v>
      </c>
      <c r="P2957" s="6"/>
      <c r="Q2957" s="6" t="str">
        <f t="shared" si="4"/>
        <v>Week 16</v>
      </c>
      <c r="R2957" s="6" t="str">
        <f t="shared" si="5"/>
        <v>2026Round 2</v>
      </c>
      <c r="S2957" s="6">
        <f>IFERROR(__xludf.DUMMYFUNCTION("rank(J2957,FILTER(J:J,R:R=R2957))"),1.0)</f>
        <v>1</v>
      </c>
      <c r="T2957" s="6">
        <f t="shared" si="6"/>
        <v>11</v>
      </c>
      <c r="U2957" s="6">
        <f t="shared" si="7"/>
        <v>1</v>
      </c>
      <c r="V2957" s="42">
        <f>averageif(AllData!A:A,B2957,AllData!R:R)/vlookup(B2957,AllData!A:O,15,0)</f>
        <v>90.45916667</v>
      </c>
      <c r="W2957" s="6"/>
    </row>
    <row r="2958" ht="14.25" customHeight="1">
      <c r="A2958" s="6" t="str">
        <f t="shared" si="29"/>
        <v>2026Shep16</v>
      </c>
      <c r="B2958" s="59">
        <v>2026.0</v>
      </c>
      <c r="C2958" s="13" t="s">
        <v>89</v>
      </c>
      <c r="D2958" s="13" t="s">
        <v>153</v>
      </c>
      <c r="E2958" s="34"/>
      <c r="F2958" s="6"/>
      <c r="H2958" s="6"/>
      <c r="I2958" s="35" t="str">
        <f>IFERROR(IFERROR(IFERROR(VLOOKUP(B2958&amp;C2958&amp;Q2958,'New Weekly Paste'!A:M,10,0),VLOOKUP(B2958&amp;C2958&amp;Q2958,'New Weekly Paste'!B:O,6,0)),""),"")</f>
        <v/>
      </c>
      <c r="J2958" s="239">
        <f>IFERROR(IFERROR(VLOOKUP(B2958&amp;C2958&amp;Q2958,'New Weekly Paste'!A:M,8,0),VLOOKUP(B2958&amp;C2958&amp;Q2958,'New Weekly Paste'!B:O,10,0)),0)</f>
        <v>0</v>
      </c>
      <c r="K2958" s="239">
        <f>IFERROR(IFERROR(VLOOKUP(B2958&amp;I2958&amp;Q2958,'New Weekly Paste'!A:M,8,0),VLOOKUP(B2958&amp;I2958&amp;Q2958,'New Weekly Paste'!B:O,10,0)),0)</f>
        <v>0</v>
      </c>
      <c r="L2958" s="239">
        <f t="shared" si="25"/>
        <v>0</v>
      </c>
      <c r="M2958" s="36" t="str">
        <f t="shared" si="3"/>
        <v>Playoffs</v>
      </c>
      <c r="N2958" s="239" t="str">
        <f t="shared" si="26"/>
        <v/>
      </c>
      <c r="O2958" s="6">
        <f>VLOOKUP(D2958,'Mapped Opponent'!$G$4:$H$22,2,0)</f>
        <v>16</v>
      </c>
      <c r="P2958" s="6"/>
      <c r="Q2958" s="6" t="str">
        <f t="shared" si="4"/>
        <v>Week 16</v>
      </c>
      <c r="R2958" s="6" t="str">
        <f t="shared" si="5"/>
        <v>2026Round 2</v>
      </c>
      <c r="S2958" s="6">
        <f>IFERROR(__xludf.DUMMYFUNCTION("rank(J2958,FILTER(J:J,R:R=R2958))"),1.0)</f>
        <v>1</v>
      </c>
      <c r="T2958" s="6">
        <f t="shared" si="6"/>
        <v>11</v>
      </c>
      <c r="U2958" s="6">
        <f t="shared" si="7"/>
        <v>1</v>
      </c>
      <c r="V2958" s="42">
        <f>averageif(AllData!A:A,B2958,AllData!R:R)/vlookup(B2958,AllData!A:O,15,0)</f>
        <v>90.45916667</v>
      </c>
      <c r="W2958" s="6"/>
    </row>
    <row r="2959" ht="14.25" customHeight="1">
      <c r="A2959" s="6" t="str">
        <f t="shared" si="29"/>
        <v>2026Riley16</v>
      </c>
      <c r="B2959" s="59">
        <v>2026.0</v>
      </c>
      <c r="C2959" s="13" t="s">
        <v>67</v>
      </c>
      <c r="D2959" s="13" t="s">
        <v>153</v>
      </c>
      <c r="E2959" s="34"/>
      <c r="F2959" s="6"/>
      <c r="H2959" s="6"/>
      <c r="I2959" s="35" t="str">
        <f>IFERROR(IFERROR(IFERROR(VLOOKUP(B2959&amp;C2959&amp;Q2959,'New Weekly Paste'!A:M,10,0),VLOOKUP(B2959&amp;C2959&amp;Q2959,'New Weekly Paste'!B:O,6,0)),""),"")</f>
        <v/>
      </c>
      <c r="J2959" s="239">
        <f>IFERROR(IFERROR(VLOOKUP(B2959&amp;C2959&amp;Q2959,'New Weekly Paste'!A:M,8,0),VLOOKUP(B2959&amp;C2959&amp;Q2959,'New Weekly Paste'!B:O,10,0)),0)</f>
        <v>0</v>
      </c>
      <c r="K2959" s="239">
        <f>IFERROR(IFERROR(VLOOKUP(B2959&amp;I2959&amp;Q2959,'New Weekly Paste'!A:M,8,0),VLOOKUP(B2959&amp;I2959&amp;Q2959,'New Weekly Paste'!B:O,10,0)),0)</f>
        <v>0</v>
      </c>
      <c r="L2959" s="239">
        <f t="shared" si="25"/>
        <v>0</v>
      </c>
      <c r="M2959" s="36" t="str">
        <f t="shared" si="3"/>
        <v>Playoffs</v>
      </c>
      <c r="N2959" s="239" t="str">
        <f t="shared" si="26"/>
        <v/>
      </c>
      <c r="O2959" s="6">
        <f>VLOOKUP(D2959,'Mapped Opponent'!$G$4:$H$22,2,0)</f>
        <v>16</v>
      </c>
      <c r="P2959" s="6"/>
      <c r="Q2959" s="6" t="str">
        <f t="shared" si="4"/>
        <v>Week 16</v>
      </c>
      <c r="R2959" s="6" t="str">
        <f t="shared" si="5"/>
        <v>2026Round 2</v>
      </c>
      <c r="S2959" s="6">
        <f>IFERROR(__xludf.DUMMYFUNCTION("rank(J2959,FILTER(J:J,R:R=R2959))"),1.0)</f>
        <v>1</v>
      </c>
      <c r="T2959" s="6">
        <f t="shared" si="6"/>
        <v>11</v>
      </c>
      <c r="U2959" s="6">
        <f t="shared" si="7"/>
        <v>1</v>
      </c>
      <c r="V2959" s="42">
        <f>averageif(AllData!A:A,B2959,AllData!R:R)/vlookup(B2959,AllData!A:O,15,0)</f>
        <v>90.45916667</v>
      </c>
      <c r="W2959" s="6"/>
    </row>
    <row r="2960" ht="14.25" customHeight="1">
      <c r="A2960" s="6" t="str">
        <f t="shared" si="29"/>
        <v>2026Rooney/Jackson16</v>
      </c>
      <c r="B2960" s="59">
        <v>2026.0</v>
      </c>
      <c r="C2960" s="13" t="s">
        <v>57</v>
      </c>
      <c r="D2960" s="13" t="s">
        <v>153</v>
      </c>
      <c r="E2960" s="34"/>
      <c r="F2960" s="6"/>
      <c r="H2960" s="6"/>
      <c r="I2960" s="35" t="str">
        <f>IFERROR(IFERROR(IFERROR(VLOOKUP(B2960&amp;C2960&amp;Q2960,'New Weekly Paste'!A:M,10,0),VLOOKUP(B2960&amp;C2960&amp;Q2960,'New Weekly Paste'!B:O,6,0)),""),"")</f>
        <v/>
      </c>
      <c r="J2960" s="239">
        <f>IFERROR(IFERROR(VLOOKUP(B2960&amp;C2960&amp;Q2960,'New Weekly Paste'!A:M,8,0),VLOOKUP(B2960&amp;C2960&amp;Q2960,'New Weekly Paste'!B:O,10,0)),0)</f>
        <v>0</v>
      </c>
      <c r="K2960" s="239">
        <f>IFERROR(IFERROR(VLOOKUP(B2960&amp;I2960&amp;Q2960,'New Weekly Paste'!A:M,8,0),VLOOKUP(B2960&amp;I2960&amp;Q2960,'New Weekly Paste'!B:O,10,0)),0)</f>
        <v>0</v>
      </c>
      <c r="L2960" s="239">
        <f t="shared" si="25"/>
        <v>0</v>
      </c>
      <c r="M2960" s="36" t="str">
        <f t="shared" si="3"/>
        <v>Playoffs</v>
      </c>
      <c r="N2960" s="239" t="str">
        <f t="shared" si="26"/>
        <v/>
      </c>
      <c r="O2960" s="6">
        <f>VLOOKUP(D2960,'Mapped Opponent'!$G$4:$H$22,2,0)</f>
        <v>16</v>
      </c>
      <c r="P2960" s="6"/>
      <c r="Q2960" s="6" t="str">
        <f t="shared" si="4"/>
        <v>Week 16</v>
      </c>
      <c r="R2960" s="6" t="str">
        <f t="shared" si="5"/>
        <v>2026Round 2</v>
      </c>
      <c r="S2960" s="6">
        <f>IFERROR(__xludf.DUMMYFUNCTION("rank(J2960,FILTER(J:J,R:R=R2960))"),1.0)</f>
        <v>1</v>
      </c>
      <c r="T2960" s="6">
        <f t="shared" si="6"/>
        <v>11</v>
      </c>
      <c r="U2960" s="6">
        <f t="shared" si="7"/>
        <v>1</v>
      </c>
      <c r="V2960" s="42">
        <f>averageif(AllData!A:A,B2960,AllData!R:R)/vlookup(B2960,AllData!A:O,15,0)</f>
        <v>90.45916667</v>
      </c>
      <c r="W2960" s="6"/>
    </row>
    <row r="2961" ht="14.25" customHeight="1">
      <c r="A2961" s="6" t="str">
        <f t="shared" si="29"/>
        <v>2026Buser16</v>
      </c>
      <c r="B2961" s="59">
        <v>2026.0</v>
      </c>
      <c r="C2961" s="13" t="s">
        <v>47</v>
      </c>
      <c r="D2961" s="13" t="s">
        <v>153</v>
      </c>
      <c r="E2961" s="34"/>
      <c r="F2961" s="6"/>
      <c r="H2961" s="6"/>
      <c r="I2961" s="35" t="str">
        <f>IFERROR(IFERROR(IFERROR(VLOOKUP(B2961&amp;C2961&amp;Q2961,'New Weekly Paste'!A:M,10,0),VLOOKUP(B2961&amp;C2961&amp;Q2961,'New Weekly Paste'!B:O,6,0)),""),"")</f>
        <v/>
      </c>
      <c r="J2961" s="239">
        <f>IFERROR(IFERROR(VLOOKUP(B2961&amp;C2961&amp;Q2961,'New Weekly Paste'!A:M,8,0),VLOOKUP(B2961&amp;C2961&amp;Q2961,'New Weekly Paste'!B:O,10,0)),0)</f>
        <v>0</v>
      </c>
      <c r="K2961" s="239">
        <f>IFERROR(IFERROR(VLOOKUP(B2961&amp;I2961&amp;Q2961,'New Weekly Paste'!A:M,8,0),VLOOKUP(B2961&amp;I2961&amp;Q2961,'New Weekly Paste'!B:O,10,0)),0)</f>
        <v>0</v>
      </c>
      <c r="L2961" s="239">
        <f t="shared" si="25"/>
        <v>0</v>
      </c>
      <c r="M2961" s="36" t="str">
        <f t="shared" si="3"/>
        <v>Playoffs</v>
      </c>
      <c r="N2961" s="239" t="str">
        <f t="shared" si="26"/>
        <v/>
      </c>
      <c r="O2961" s="6">
        <f>VLOOKUP(D2961,'Mapped Opponent'!$G$4:$H$22,2,0)</f>
        <v>16</v>
      </c>
      <c r="P2961" s="6"/>
      <c r="Q2961" s="6" t="str">
        <f t="shared" si="4"/>
        <v>Week 16</v>
      </c>
      <c r="R2961" s="6" t="str">
        <f t="shared" si="5"/>
        <v>2026Round 2</v>
      </c>
      <c r="S2961" s="6">
        <f>IFERROR(__xludf.DUMMYFUNCTION("rank(J2961,FILTER(J:J,R:R=R2961))"),1.0)</f>
        <v>1</v>
      </c>
      <c r="T2961" s="6">
        <f t="shared" si="6"/>
        <v>11</v>
      </c>
      <c r="U2961" s="6">
        <f t="shared" si="7"/>
        <v>1</v>
      </c>
      <c r="V2961" s="42">
        <f>averageif(AllData!A:A,B2961,AllData!R:R)/vlookup(B2961,AllData!A:O,15,0)</f>
        <v>90.45916667</v>
      </c>
      <c r="W2961" s="6"/>
    </row>
    <row r="2962" ht="14.25" customHeight="1">
      <c r="A2962" s="6" t="str">
        <f t="shared" si="29"/>
        <v>2026Pierson16</v>
      </c>
      <c r="B2962" s="59">
        <v>2026.0</v>
      </c>
      <c r="C2962" s="13" t="s">
        <v>92</v>
      </c>
      <c r="D2962" s="13" t="s">
        <v>153</v>
      </c>
      <c r="E2962" s="34"/>
      <c r="F2962" s="6"/>
      <c r="H2962" s="6"/>
      <c r="I2962" s="35" t="str">
        <f>IFERROR(IFERROR(IFERROR(VLOOKUP(B2962&amp;C2962&amp;Q2962,'New Weekly Paste'!A:M,10,0),VLOOKUP(B2962&amp;C2962&amp;Q2962,'New Weekly Paste'!B:O,6,0)),""),"")</f>
        <v/>
      </c>
      <c r="J2962" s="239">
        <f>IFERROR(IFERROR(VLOOKUP(B2962&amp;C2962&amp;Q2962,'New Weekly Paste'!A:M,8,0),VLOOKUP(B2962&amp;C2962&amp;Q2962,'New Weekly Paste'!B:O,10,0)),0)</f>
        <v>0</v>
      </c>
      <c r="K2962" s="239">
        <f>IFERROR(IFERROR(VLOOKUP(B2962&amp;I2962&amp;Q2962,'New Weekly Paste'!A:M,8,0),VLOOKUP(B2962&amp;I2962&amp;Q2962,'New Weekly Paste'!B:O,10,0)),0)</f>
        <v>0</v>
      </c>
      <c r="L2962" s="239">
        <f t="shared" si="25"/>
        <v>0</v>
      </c>
      <c r="M2962" s="36" t="str">
        <f t="shared" si="3"/>
        <v>Playoffs</v>
      </c>
      <c r="N2962" s="239" t="str">
        <f t="shared" si="26"/>
        <v/>
      </c>
      <c r="O2962" s="6">
        <f>VLOOKUP(D2962,'Mapped Opponent'!$G$4:$H$22,2,0)</f>
        <v>16</v>
      </c>
      <c r="P2962" s="6"/>
      <c r="Q2962" s="6" t="str">
        <f t="shared" si="4"/>
        <v>Week 16</v>
      </c>
      <c r="R2962" s="6" t="str">
        <f t="shared" si="5"/>
        <v>2026Round 2</v>
      </c>
      <c r="S2962" s="6">
        <f>IFERROR(__xludf.DUMMYFUNCTION("rank(J2962,FILTER(J:J,R:R=R2962))"),1.0)</f>
        <v>1</v>
      </c>
      <c r="T2962" s="6">
        <f t="shared" si="6"/>
        <v>11</v>
      </c>
      <c r="U2962" s="6">
        <f t="shared" si="7"/>
        <v>1</v>
      </c>
      <c r="V2962" s="42">
        <f>averageif(AllData!A:A,B2962,AllData!R:R)/vlookup(B2962,AllData!A:O,15,0)</f>
        <v>90.45916667</v>
      </c>
      <c r="W2962" s="6"/>
    </row>
    <row r="2963" ht="14.25" customHeight="1">
      <c r="A2963" s="6" t="str">
        <f t="shared" si="29"/>
        <v>2026Cock16</v>
      </c>
      <c r="B2963" s="59">
        <v>2026.0</v>
      </c>
      <c r="C2963" s="13" t="s">
        <v>72</v>
      </c>
      <c r="D2963" s="13" t="s">
        <v>153</v>
      </c>
      <c r="E2963" s="34"/>
      <c r="F2963" s="6"/>
      <c r="H2963" s="6"/>
      <c r="I2963" s="35" t="str">
        <f>IFERROR(IFERROR(IFERROR(VLOOKUP(B2963&amp;C2963&amp;Q2963,'New Weekly Paste'!A:M,10,0),VLOOKUP(B2963&amp;C2963&amp;Q2963,'New Weekly Paste'!B:O,6,0)),""),"")</f>
        <v/>
      </c>
      <c r="J2963" s="239">
        <f>IFERROR(IFERROR(VLOOKUP(B2963&amp;C2963&amp;Q2963,'New Weekly Paste'!A:M,8,0),VLOOKUP(B2963&amp;C2963&amp;Q2963,'New Weekly Paste'!B:O,10,0)),0)</f>
        <v>0</v>
      </c>
      <c r="K2963" s="239">
        <f>IFERROR(IFERROR(VLOOKUP(B2963&amp;I2963&amp;Q2963,'New Weekly Paste'!A:M,8,0),VLOOKUP(B2963&amp;I2963&amp;Q2963,'New Weekly Paste'!B:O,10,0)),0)</f>
        <v>0</v>
      </c>
      <c r="L2963" s="239">
        <f t="shared" si="25"/>
        <v>0</v>
      </c>
      <c r="M2963" s="36" t="str">
        <f t="shared" si="3"/>
        <v>Playoffs</v>
      </c>
      <c r="N2963" s="239" t="str">
        <f t="shared" si="26"/>
        <v/>
      </c>
      <c r="O2963" s="6">
        <f>VLOOKUP(D2963,'Mapped Opponent'!$G$4:$H$22,2,0)</f>
        <v>16</v>
      </c>
      <c r="P2963" s="6"/>
      <c r="Q2963" s="6" t="str">
        <f t="shared" si="4"/>
        <v>Week 16</v>
      </c>
      <c r="R2963" s="6" t="str">
        <f t="shared" si="5"/>
        <v>2026Round 2</v>
      </c>
      <c r="S2963" s="6">
        <f>IFERROR(__xludf.DUMMYFUNCTION("rank(J2963,FILTER(J:J,R:R=R2963))"),1.0)</f>
        <v>1</v>
      </c>
      <c r="T2963" s="6">
        <f t="shared" si="6"/>
        <v>11</v>
      </c>
      <c r="U2963" s="6">
        <f t="shared" si="7"/>
        <v>1</v>
      </c>
      <c r="V2963" s="42">
        <f>averageif(AllData!A:A,B2963,AllData!R:R)/vlookup(B2963,AllData!A:O,15,0)</f>
        <v>90.45916667</v>
      </c>
      <c r="W2963" s="6"/>
    </row>
    <row r="2964" ht="14.25" customHeight="1">
      <c r="A2964" s="6" t="str">
        <f t="shared" si="29"/>
        <v>2026Tayski16</v>
      </c>
      <c r="B2964" s="59">
        <v>2026.0</v>
      </c>
      <c r="C2964" s="13" t="s">
        <v>52</v>
      </c>
      <c r="D2964" s="13" t="s">
        <v>153</v>
      </c>
      <c r="E2964" s="34"/>
      <c r="F2964" s="6"/>
      <c r="H2964" s="6"/>
      <c r="I2964" s="35" t="str">
        <f>IFERROR(IFERROR(IFERROR(VLOOKUP(B2964&amp;C2964&amp;Q2964,'New Weekly Paste'!A:M,10,0),VLOOKUP(B2964&amp;C2964&amp;Q2964,'New Weekly Paste'!B:O,6,0)),""),"")</f>
        <v/>
      </c>
      <c r="J2964" s="239">
        <f>IFERROR(IFERROR(VLOOKUP(B2964&amp;C2964&amp;Q2964,'New Weekly Paste'!A:M,8,0),VLOOKUP(B2964&amp;C2964&amp;Q2964,'New Weekly Paste'!B:O,10,0)),0)</f>
        <v>0</v>
      </c>
      <c r="K2964" s="239">
        <f>IFERROR(IFERROR(VLOOKUP(B2964&amp;I2964&amp;Q2964,'New Weekly Paste'!A:M,8,0),VLOOKUP(B2964&amp;I2964&amp;Q2964,'New Weekly Paste'!B:O,10,0)),0)</f>
        <v>0</v>
      </c>
      <c r="L2964" s="239">
        <f t="shared" si="25"/>
        <v>0</v>
      </c>
      <c r="M2964" s="36" t="str">
        <f t="shared" si="3"/>
        <v>Playoffs</v>
      </c>
      <c r="N2964" s="239" t="str">
        <f t="shared" si="26"/>
        <v/>
      </c>
      <c r="O2964" s="6">
        <f>VLOOKUP(D2964,'Mapped Opponent'!$G$4:$H$22,2,0)</f>
        <v>16</v>
      </c>
      <c r="P2964" s="6"/>
      <c r="Q2964" s="6" t="str">
        <f t="shared" si="4"/>
        <v>Week 16</v>
      </c>
      <c r="R2964" s="6" t="str">
        <f t="shared" si="5"/>
        <v>2026Round 2</v>
      </c>
      <c r="S2964" s="6">
        <f>IFERROR(__xludf.DUMMYFUNCTION("rank(J2964,FILTER(J:J,R:R=R2964))"),1.0)</f>
        <v>1</v>
      </c>
      <c r="T2964" s="6">
        <f t="shared" si="6"/>
        <v>11</v>
      </c>
      <c r="U2964" s="6">
        <f t="shared" si="7"/>
        <v>1</v>
      </c>
      <c r="V2964" s="42">
        <f>averageif(AllData!A:A,B2964,AllData!R:R)/vlookup(B2964,AllData!A:O,15,0)</f>
        <v>90.45916667</v>
      </c>
      <c r="W2964" s="6"/>
    </row>
    <row r="2965" ht="14.25" customHeight="1">
      <c r="A2965" s="6" t="str">
        <f t="shared" si="29"/>
        <v>2026KnardDawg16</v>
      </c>
      <c r="B2965" s="59">
        <v>2026.0</v>
      </c>
      <c r="C2965" s="13" t="s">
        <v>86</v>
      </c>
      <c r="D2965" s="13" t="s">
        <v>153</v>
      </c>
      <c r="E2965" s="34"/>
      <c r="F2965" s="6"/>
      <c r="H2965" s="6"/>
      <c r="I2965" s="35" t="str">
        <f>IFERROR(IFERROR(IFERROR(VLOOKUP(B2965&amp;C2965&amp;Q2965,'New Weekly Paste'!A:M,10,0),VLOOKUP(B2965&amp;C2965&amp;Q2965,'New Weekly Paste'!B:O,6,0)),""),"")</f>
        <v/>
      </c>
      <c r="J2965" s="239">
        <f>IFERROR(IFERROR(VLOOKUP(B2965&amp;C2965&amp;Q2965,'New Weekly Paste'!A:M,8,0),VLOOKUP(B2965&amp;C2965&amp;Q2965,'New Weekly Paste'!B:O,10,0)),0)</f>
        <v>0</v>
      </c>
      <c r="K2965" s="239">
        <f>IFERROR(IFERROR(VLOOKUP(B2965&amp;I2965&amp;Q2965,'New Weekly Paste'!A:M,8,0),VLOOKUP(B2965&amp;I2965&amp;Q2965,'New Weekly Paste'!B:O,10,0)),0)</f>
        <v>0</v>
      </c>
      <c r="L2965" s="239">
        <f t="shared" si="25"/>
        <v>0</v>
      </c>
      <c r="M2965" s="36" t="str">
        <f t="shared" si="3"/>
        <v>Playoffs</v>
      </c>
      <c r="N2965" s="239" t="str">
        <f t="shared" si="26"/>
        <v/>
      </c>
      <c r="O2965" s="6">
        <f>VLOOKUP(D2965,'Mapped Opponent'!$G$4:$H$22,2,0)</f>
        <v>16</v>
      </c>
      <c r="P2965" s="6"/>
      <c r="Q2965" s="6" t="str">
        <f t="shared" si="4"/>
        <v>Week 16</v>
      </c>
      <c r="R2965" s="6" t="str">
        <f t="shared" si="5"/>
        <v>2026Round 2</v>
      </c>
      <c r="S2965" s="6">
        <f>IFERROR(__xludf.DUMMYFUNCTION("rank(J2965,FILTER(J:J,R:R=R2965))"),1.0)</f>
        <v>1</v>
      </c>
      <c r="T2965" s="6">
        <f t="shared" si="6"/>
        <v>11</v>
      </c>
      <c r="U2965" s="6">
        <f t="shared" si="7"/>
        <v>1</v>
      </c>
      <c r="V2965" s="42">
        <f>averageif(AllData!A:A,B2965,AllData!R:R)/vlookup(B2965,AllData!A:O,15,0)</f>
        <v>90.45916667</v>
      </c>
      <c r="W2965" s="6"/>
    </row>
    <row r="2966" ht="14.25" customHeight="1">
      <c r="A2966" s="6" t="str">
        <f t="shared" si="29"/>
        <v>2026T-How16</v>
      </c>
      <c r="B2966" s="59">
        <v>2026.0</v>
      </c>
      <c r="C2966" s="13" t="s">
        <v>82</v>
      </c>
      <c r="D2966" s="13" t="s">
        <v>153</v>
      </c>
      <c r="E2966" s="34"/>
      <c r="F2966" s="6"/>
      <c r="H2966" s="6"/>
      <c r="I2966" s="35" t="str">
        <f>IFERROR(IFERROR(IFERROR(VLOOKUP(B2966&amp;C2966&amp;Q2966,'New Weekly Paste'!A:M,10,0),VLOOKUP(B2966&amp;C2966&amp;Q2966,'New Weekly Paste'!B:O,6,0)),""),"")</f>
        <v/>
      </c>
      <c r="J2966" s="239">
        <f>IFERROR(IFERROR(VLOOKUP(B2966&amp;C2966&amp;Q2966,'New Weekly Paste'!A:M,8,0),VLOOKUP(B2966&amp;C2966&amp;Q2966,'New Weekly Paste'!B:O,10,0)),0)</f>
        <v>0</v>
      </c>
      <c r="K2966" s="239">
        <f>IFERROR(IFERROR(VLOOKUP(B2966&amp;I2966&amp;Q2966,'New Weekly Paste'!A:M,8,0),VLOOKUP(B2966&amp;I2966&amp;Q2966,'New Weekly Paste'!B:O,10,0)),0)</f>
        <v>0</v>
      </c>
      <c r="L2966" s="239">
        <f t="shared" si="25"/>
        <v>0</v>
      </c>
      <c r="M2966" s="36" t="str">
        <f t="shared" si="3"/>
        <v>Playoffs</v>
      </c>
      <c r="N2966" s="239" t="str">
        <f t="shared" si="26"/>
        <v/>
      </c>
      <c r="O2966" s="6">
        <f>VLOOKUP(D2966,'Mapped Opponent'!$G$4:$H$22,2,0)</f>
        <v>16</v>
      </c>
      <c r="P2966" s="6"/>
      <c r="Q2966" s="6" t="str">
        <f t="shared" si="4"/>
        <v>Week 16</v>
      </c>
      <c r="R2966" s="6" t="str">
        <f t="shared" si="5"/>
        <v>2026Round 2</v>
      </c>
      <c r="S2966" s="6">
        <f>IFERROR(__xludf.DUMMYFUNCTION("rank(J2966,FILTER(J:J,R:R=R2966))"),1.0)</f>
        <v>1</v>
      </c>
      <c r="T2966" s="6">
        <f t="shared" si="6"/>
        <v>11</v>
      </c>
      <c r="U2966" s="6">
        <f t="shared" si="7"/>
        <v>1</v>
      </c>
      <c r="V2966" s="42">
        <f>averageif(AllData!A:A,B2966,AllData!R:R)/vlookup(B2966,AllData!A:O,15,0)</f>
        <v>90.45916667</v>
      </c>
      <c r="W2966" s="6"/>
    </row>
    <row r="2967" ht="14.25" customHeight="1">
      <c r="A2967" s="6" t="str">
        <f t="shared" si="29"/>
        <v>2026Hudspeath17</v>
      </c>
      <c r="B2967" s="59">
        <v>2026.0</v>
      </c>
      <c r="C2967" s="13" t="s">
        <v>39</v>
      </c>
      <c r="D2967" s="13" t="s">
        <v>154</v>
      </c>
      <c r="E2967" s="34"/>
      <c r="F2967" s="6"/>
      <c r="H2967" s="6"/>
      <c r="I2967" s="35" t="str">
        <f>IFERROR(IFERROR(IFERROR(VLOOKUP(B2967&amp;C2967&amp;Q2967,'New Weekly Paste'!A:M,10,0),VLOOKUP(B2967&amp;C2967&amp;Q2967,'New Weekly Paste'!B:O,6,0)),""),"")</f>
        <v/>
      </c>
      <c r="J2967" s="239">
        <f>IFERROR(IFERROR(VLOOKUP(B2967&amp;C2967&amp;Q2967,'New Weekly Paste'!A:M,8,0),VLOOKUP(B2967&amp;C2967&amp;Q2967,'New Weekly Paste'!B:O,10,0)),0)</f>
        <v>0</v>
      </c>
      <c r="K2967" s="239">
        <f>IFERROR(IFERROR(VLOOKUP(B2967&amp;I2967&amp;Q2967,'New Weekly Paste'!A:M,8,0),VLOOKUP(B2967&amp;I2967&amp;Q2967,'New Weekly Paste'!B:O,10,0)),0)</f>
        <v>0</v>
      </c>
      <c r="L2967" s="239">
        <f t="shared" si="25"/>
        <v>0</v>
      </c>
      <c r="M2967" s="36" t="str">
        <f t="shared" si="3"/>
        <v>Playoffs</v>
      </c>
      <c r="N2967" s="239" t="str">
        <f t="shared" si="26"/>
        <v/>
      </c>
      <c r="O2967" s="6">
        <f>VLOOKUP(D2967,'Mapped Opponent'!$G$4:$H$22,2,0)</f>
        <v>17</v>
      </c>
      <c r="P2967" s="6"/>
      <c r="Q2967" s="6" t="str">
        <f t="shared" si="4"/>
        <v>Week 17</v>
      </c>
      <c r="R2967" s="6" t="str">
        <f t="shared" si="5"/>
        <v>2026Round 3</v>
      </c>
      <c r="S2967" s="6">
        <f>IFERROR(__xludf.DUMMYFUNCTION("rank(J2967,FILTER(J:J,R:R=R2967))"),1.0)</f>
        <v>1</v>
      </c>
      <c r="T2967" s="6">
        <f t="shared" si="6"/>
        <v>11</v>
      </c>
      <c r="U2967" s="6">
        <f t="shared" si="7"/>
        <v>1</v>
      </c>
      <c r="V2967" s="42">
        <f>averageif(AllData!A:A,B2967,AllData!R:R)/vlookup(B2967,AllData!A:O,15,0)</f>
        <v>90.45916667</v>
      </c>
      <c r="W2967" s="6"/>
    </row>
    <row r="2968" ht="14.25" customHeight="1">
      <c r="A2968" s="6" t="str">
        <f t="shared" si="29"/>
        <v>2026Salty17</v>
      </c>
      <c r="B2968" s="59">
        <v>2026.0</v>
      </c>
      <c r="C2968" s="13" t="s">
        <v>76</v>
      </c>
      <c r="D2968" s="13" t="s">
        <v>154</v>
      </c>
      <c r="E2968" s="34"/>
      <c r="F2968" s="6"/>
      <c r="H2968" s="6"/>
      <c r="I2968" s="35" t="str">
        <f>IFERROR(IFERROR(IFERROR(VLOOKUP(B2968&amp;C2968&amp;Q2968,'New Weekly Paste'!A:M,10,0),VLOOKUP(B2968&amp;C2968&amp;Q2968,'New Weekly Paste'!B:O,6,0)),""),"")</f>
        <v/>
      </c>
      <c r="J2968" s="239">
        <f>IFERROR(IFERROR(VLOOKUP(B2968&amp;C2968&amp;Q2968,'New Weekly Paste'!A:M,8,0),VLOOKUP(B2968&amp;C2968&amp;Q2968,'New Weekly Paste'!B:O,10,0)),0)</f>
        <v>0</v>
      </c>
      <c r="K2968" s="239">
        <f>IFERROR(IFERROR(VLOOKUP(B2968&amp;I2968&amp;Q2968,'New Weekly Paste'!A:M,8,0),VLOOKUP(B2968&amp;I2968&amp;Q2968,'New Weekly Paste'!B:O,10,0)),0)</f>
        <v>0</v>
      </c>
      <c r="L2968" s="239">
        <f t="shared" si="25"/>
        <v>0</v>
      </c>
      <c r="M2968" s="36" t="str">
        <f t="shared" si="3"/>
        <v>Playoffs</v>
      </c>
      <c r="N2968" s="239" t="str">
        <f t="shared" si="26"/>
        <v/>
      </c>
      <c r="O2968" s="6">
        <f>VLOOKUP(D2968,'Mapped Opponent'!$G$4:$H$22,2,0)</f>
        <v>17</v>
      </c>
      <c r="P2968" s="6"/>
      <c r="Q2968" s="6" t="str">
        <f t="shared" si="4"/>
        <v>Week 17</v>
      </c>
      <c r="R2968" s="6" t="str">
        <f t="shared" si="5"/>
        <v>2026Round 3</v>
      </c>
      <c r="S2968" s="6">
        <f>IFERROR(__xludf.DUMMYFUNCTION("rank(J2968,FILTER(J:J,R:R=R2968))"),1.0)</f>
        <v>1</v>
      </c>
      <c r="T2968" s="6">
        <f t="shared" si="6"/>
        <v>11</v>
      </c>
      <c r="U2968" s="6">
        <f t="shared" si="7"/>
        <v>1</v>
      </c>
      <c r="V2968" s="42">
        <f>averageif(AllData!A:A,B2968,AllData!R:R)/vlookup(B2968,AllData!A:O,15,0)</f>
        <v>90.45916667</v>
      </c>
      <c r="W2968" s="6"/>
    </row>
    <row r="2969" ht="14.25" customHeight="1">
      <c r="A2969" s="6" t="str">
        <f t="shared" si="29"/>
        <v>2026Ewert17</v>
      </c>
      <c r="B2969" s="59">
        <v>2026.0</v>
      </c>
      <c r="C2969" s="13" t="s">
        <v>108</v>
      </c>
      <c r="D2969" s="13" t="s">
        <v>154</v>
      </c>
      <c r="E2969" s="34"/>
      <c r="F2969" s="6"/>
      <c r="H2969" s="6"/>
      <c r="I2969" s="35" t="str">
        <f>IFERROR(IFERROR(IFERROR(VLOOKUP(B2969&amp;C2969&amp;Q2969,'New Weekly Paste'!A:M,10,0),VLOOKUP(B2969&amp;C2969&amp;Q2969,'New Weekly Paste'!B:O,6,0)),""),"")</f>
        <v/>
      </c>
      <c r="J2969" s="239">
        <f>IFERROR(IFERROR(VLOOKUP(B2969&amp;C2969&amp;Q2969,'New Weekly Paste'!A:M,8,0),VLOOKUP(B2969&amp;C2969&amp;Q2969,'New Weekly Paste'!B:O,10,0)),0)</f>
        <v>0</v>
      </c>
      <c r="K2969" s="239">
        <f>IFERROR(IFERROR(VLOOKUP(B2969&amp;I2969&amp;Q2969,'New Weekly Paste'!A:M,8,0),VLOOKUP(B2969&amp;I2969&amp;Q2969,'New Weekly Paste'!B:O,10,0)),0)</f>
        <v>0</v>
      </c>
      <c r="L2969" s="239">
        <f t="shared" si="25"/>
        <v>0</v>
      </c>
      <c r="M2969" s="36" t="str">
        <f t="shared" si="3"/>
        <v>Playoffs</v>
      </c>
      <c r="N2969" s="239" t="str">
        <f t="shared" si="26"/>
        <v/>
      </c>
      <c r="O2969" s="6">
        <f>VLOOKUP(D2969,'Mapped Opponent'!$G$4:$H$22,2,0)</f>
        <v>17</v>
      </c>
      <c r="P2969" s="6"/>
      <c r="Q2969" s="6" t="str">
        <f t="shared" si="4"/>
        <v>Week 17</v>
      </c>
      <c r="R2969" s="6" t="str">
        <f t="shared" si="5"/>
        <v>2026Round 3</v>
      </c>
      <c r="S2969" s="6">
        <f>IFERROR(__xludf.DUMMYFUNCTION("rank(J2969,FILTER(J:J,R:R=R2969))"),1.0)</f>
        <v>1</v>
      </c>
      <c r="T2969" s="6">
        <f t="shared" si="6"/>
        <v>11</v>
      </c>
      <c r="U2969" s="6">
        <f t="shared" si="7"/>
        <v>1</v>
      </c>
      <c r="V2969" s="42">
        <f>averageif(AllData!A:A,B2969,AllData!R:R)/vlookup(B2969,AllData!A:O,15,0)</f>
        <v>90.45916667</v>
      </c>
      <c r="W2969" s="6"/>
    </row>
    <row r="2970" ht="14.25" customHeight="1">
      <c r="A2970" s="6" t="str">
        <f t="shared" si="29"/>
        <v>2026Shep17</v>
      </c>
      <c r="B2970" s="59">
        <v>2026.0</v>
      </c>
      <c r="C2970" s="13" t="s">
        <v>89</v>
      </c>
      <c r="D2970" s="13" t="s">
        <v>154</v>
      </c>
      <c r="E2970" s="34"/>
      <c r="F2970" s="6"/>
      <c r="H2970" s="6"/>
      <c r="I2970" s="35" t="str">
        <f>IFERROR(IFERROR(IFERROR(VLOOKUP(B2970&amp;C2970&amp;Q2970,'New Weekly Paste'!A:M,10,0),VLOOKUP(B2970&amp;C2970&amp;Q2970,'New Weekly Paste'!B:O,6,0)),""),"")</f>
        <v/>
      </c>
      <c r="J2970" s="239">
        <f>IFERROR(IFERROR(VLOOKUP(B2970&amp;C2970&amp;Q2970,'New Weekly Paste'!A:M,8,0),VLOOKUP(B2970&amp;C2970&amp;Q2970,'New Weekly Paste'!B:O,10,0)),0)</f>
        <v>0</v>
      </c>
      <c r="K2970" s="239">
        <f>IFERROR(IFERROR(VLOOKUP(B2970&amp;I2970&amp;Q2970,'New Weekly Paste'!A:M,8,0),VLOOKUP(B2970&amp;I2970&amp;Q2970,'New Weekly Paste'!B:O,10,0)),0)</f>
        <v>0</v>
      </c>
      <c r="L2970" s="239">
        <f t="shared" si="25"/>
        <v>0</v>
      </c>
      <c r="M2970" s="36" t="str">
        <f t="shared" si="3"/>
        <v>Playoffs</v>
      </c>
      <c r="N2970" s="239" t="str">
        <f t="shared" si="26"/>
        <v/>
      </c>
      <c r="O2970" s="6">
        <f>VLOOKUP(D2970,'Mapped Opponent'!$G$4:$H$22,2,0)</f>
        <v>17</v>
      </c>
      <c r="P2970" s="6"/>
      <c r="Q2970" s="6" t="str">
        <f t="shared" si="4"/>
        <v>Week 17</v>
      </c>
      <c r="R2970" s="6" t="str">
        <f t="shared" si="5"/>
        <v>2026Round 3</v>
      </c>
      <c r="S2970" s="6">
        <f>IFERROR(__xludf.DUMMYFUNCTION("rank(J2970,FILTER(J:J,R:R=R2970))"),1.0)</f>
        <v>1</v>
      </c>
      <c r="T2970" s="6">
        <f t="shared" si="6"/>
        <v>11</v>
      </c>
      <c r="U2970" s="6">
        <f t="shared" si="7"/>
        <v>1</v>
      </c>
      <c r="V2970" s="42">
        <f>averageif(AllData!A:A,B2970,AllData!R:R)/vlookup(B2970,AllData!A:O,15,0)</f>
        <v>90.45916667</v>
      </c>
      <c r="W2970" s="6"/>
    </row>
    <row r="2971" ht="14.25" customHeight="1">
      <c r="A2971" s="6" t="str">
        <f t="shared" si="29"/>
        <v>2026Riley17</v>
      </c>
      <c r="B2971" s="59">
        <v>2026.0</v>
      </c>
      <c r="C2971" s="13" t="s">
        <v>67</v>
      </c>
      <c r="D2971" s="13" t="s">
        <v>154</v>
      </c>
      <c r="E2971" s="34"/>
      <c r="F2971" s="6"/>
      <c r="H2971" s="6"/>
      <c r="I2971" s="35" t="str">
        <f>IFERROR(IFERROR(IFERROR(VLOOKUP(B2971&amp;C2971&amp;Q2971,'New Weekly Paste'!A:M,10,0),VLOOKUP(B2971&amp;C2971&amp;Q2971,'New Weekly Paste'!B:O,6,0)),""),"")</f>
        <v/>
      </c>
      <c r="J2971" s="239">
        <f>IFERROR(IFERROR(VLOOKUP(B2971&amp;C2971&amp;Q2971,'New Weekly Paste'!A:M,8,0),VLOOKUP(B2971&amp;C2971&amp;Q2971,'New Weekly Paste'!B:O,10,0)),0)</f>
        <v>0</v>
      </c>
      <c r="K2971" s="239">
        <f>IFERROR(IFERROR(VLOOKUP(B2971&amp;I2971&amp;Q2971,'New Weekly Paste'!A:M,8,0),VLOOKUP(B2971&amp;I2971&amp;Q2971,'New Weekly Paste'!B:O,10,0)),0)</f>
        <v>0</v>
      </c>
      <c r="L2971" s="239">
        <f t="shared" si="25"/>
        <v>0</v>
      </c>
      <c r="M2971" s="36" t="str">
        <f t="shared" si="3"/>
        <v>Playoffs</v>
      </c>
      <c r="N2971" s="239" t="str">
        <f t="shared" si="26"/>
        <v/>
      </c>
      <c r="O2971" s="6">
        <f>VLOOKUP(D2971,'Mapped Opponent'!$G$4:$H$22,2,0)</f>
        <v>17</v>
      </c>
      <c r="P2971" s="6"/>
      <c r="Q2971" s="6" t="str">
        <f t="shared" si="4"/>
        <v>Week 17</v>
      </c>
      <c r="R2971" s="6" t="str">
        <f t="shared" si="5"/>
        <v>2026Round 3</v>
      </c>
      <c r="S2971" s="6">
        <f>IFERROR(__xludf.DUMMYFUNCTION("rank(J2971,FILTER(J:J,R:R=R2971))"),1.0)</f>
        <v>1</v>
      </c>
      <c r="T2971" s="6">
        <f t="shared" si="6"/>
        <v>11</v>
      </c>
      <c r="U2971" s="6">
        <f t="shared" si="7"/>
        <v>1</v>
      </c>
      <c r="V2971" s="42">
        <f>averageif(AllData!A:A,B2971,AllData!R:R)/vlookup(B2971,AllData!A:O,15,0)</f>
        <v>90.45916667</v>
      </c>
      <c r="W2971" s="6"/>
    </row>
    <row r="2972" ht="14.25" customHeight="1">
      <c r="A2972" s="6" t="str">
        <f t="shared" si="29"/>
        <v>2026Rooney/Jackson17</v>
      </c>
      <c r="B2972" s="59">
        <v>2026.0</v>
      </c>
      <c r="C2972" s="13" t="s">
        <v>57</v>
      </c>
      <c r="D2972" s="13" t="s">
        <v>154</v>
      </c>
      <c r="E2972" s="34"/>
      <c r="F2972" s="6"/>
      <c r="H2972" s="6"/>
      <c r="I2972" s="35" t="str">
        <f>IFERROR(IFERROR(IFERROR(VLOOKUP(B2972&amp;C2972&amp;Q2972,'New Weekly Paste'!A:M,10,0),VLOOKUP(B2972&amp;C2972&amp;Q2972,'New Weekly Paste'!B:O,6,0)),""),"")</f>
        <v/>
      </c>
      <c r="J2972" s="239">
        <f>IFERROR(IFERROR(VLOOKUP(B2972&amp;C2972&amp;Q2972,'New Weekly Paste'!A:M,8,0),VLOOKUP(B2972&amp;C2972&amp;Q2972,'New Weekly Paste'!B:O,10,0)),0)</f>
        <v>0</v>
      </c>
      <c r="K2972" s="239">
        <f>IFERROR(IFERROR(VLOOKUP(B2972&amp;I2972&amp;Q2972,'New Weekly Paste'!A:M,8,0),VLOOKUP(B2972&amp;I2972&amp;Q2972,'New Weekly Paste'!B:O,10,0)),0)</f>
        <v>0</v>
      </c>
      <c r="L2972" s="239">
        <f t="shared" si="25"/>
        <v>0</v>
      </c>
      <c r="M2972" s="36" t="str">
        <f t="shared" si="3"/>
        <v>Playoffs</v>
      </c>
      <c r="N2972" s="239" t="str">
        <f t="shared" si="26"/>
        <v/>
      </c>
      <c r="O2972" s="6">
        <f>VLOOKUP(D2972,'Mapped Opponent'!$G$4:$H$22,2,0)</f>
        <v>17</v>
      </c>
      <c r="P2972" s="6"/>
      <c r="Q2972" s="6" t="str">
        <f t="shared" si="4"/>
        <v>Week 17</v>
      </c>
      <c r="R2972" s="6" t="str">
        <f t="shared" si="5"/>
        <v>2026Round 3</v>
      </c>
      <c r="S2972" s="6">
        <f>IFERROR(__xludf.DUMMYFUNCTION("rank(J2972,FILTER(J:J,R:R=R2972))"),1.0)</f>
        <v>1</v>
      </c>
      <c r="T2972" s="6">
        <f t="shared" si="6"/>
        <v>11</v>
      </c>
      <c r="U2972" s="6">
        <f t="shared" si="7"/>
        <v>1</v>
      </c>
      <c r="V2972" s="42">
        <f>averageif(AllData!A:A,B2972,AllData!R:R)/vlookup(B2972,AllData!A:O,15,0)</f>
        <v>90.45916667</v>
      </c>
      <c r="W2972" s="6"/>
    </row>
    <row r="2973" ht="14.25" customHeight="1">
      <c r="A2973" s="6" t="str">
        <f t="shared" si="29"/>
        <v>2026Buser17</v>
      </c>
      <c r="B2973" s="59">
        <v>2026.0</v>
      </c>
      <c r="C2973" s="13" t="s">
        <v>47</v>
      </c>
      <c r="D2973" s="13" t="s">
        <v>154</v>
      </c>
      <c r="E2973" s="34"/>
      <c r="F2973" s="6"/>
      <c r="H2973" s="6"/>
      <c r="I2973" s="35" t="str">
        <f>IFERROR(IFERROR(IFERROR(VLOOKUP(B2973&amp;C2973&amp;Q2973,'New Weekly Paste'!A:M,10,0),VLOOKUP(B2973&amp;C2973&amp;Q2973,'New Weekly Paste'!B:O,6,0)),""),"")</f>
        <v/>
      </c>
      <c r="J2973" s="239">
        <f>IFERROR(IFERROR(VLOOKUP(B2973&amp;C2973&amp;Q2973,'New Weekly Paste'!A:M,8,0),VLOOKUP(B2973&amp;C2973&amp;Q2973,'New Weekly Paste'!B:O,10,0)),0)</f>
        <v>0</v>
      </c>
      <c r="K2973" s="239">
        <f>IFERROR(IFERROR(VLOOKUP(B2973&amp;I2973&amp;Q2973,'New Weekly Paste'!A:M,8,0),VLOOKUP(B2973&amp;I2973&amp;Q2973,'New Weekly Paste'!B:O,10,0)),0)</f>
        <v>0</v>
      </c>
      <c r="L2973" s="239">
        <f t="shared" si="25"/>
        <v>0</v>
      </c>
      <c r="M2973" s="36" t="str">
        <f t="shared" si="3"/>
        <v>Playoffs</v>
      </c>
      <c r="N2973" s="239" t="str">
        <f t="shared" si="26"/>
        <v/>
      </c>
      <c r="O2973" s="6">
        <f>VLOOKUP(D2973,'Mapped Opponent'!$G$4:$H$22,2,0)</f>
        <v>17</v>
      </c>
      <c r="P2973" s="6"/>
      <c r="Q2973" s="6" t="str">
        <f t="shared" si="4"/>
        <v>Week 17</v>
      </c>
      <c r="R2973" s="6" t="str">
        <f t="shared" si="5"/>
        <v>2026Round 3</v>
      </c>
      <c r="S2973" s="6">
        <f>IFERROR(__xludf.DUMMYFUNCTION("rank(J2973,FILTER(J:J,R:R=R2973))"),1.0)</f>
        <v>1</v>
      </c>
      <c r="T2973" s="6">
        <f t="shared" si="6"/>
        <v>11</v>
      </c>
      <c r="U2973" s="6">
        <f t="shared" si="7"/>
        <v>1</v>
      </c>
      <c r="V2973" s="42">
        <f>averageif(AllData!A:A,B2973,AllData!R:R)/vlookup(B2973,AllData!A:O,15,0)</f>
        <v>90.45916667</v>
      </c>
      <c r="W2973" s="6"/>
    </row>
    <row r="2974" ht="14.25" customHeight="1">
      <c r="A2974" s="6" t="str">
        <f t="shared" si="29"/>
        <v>2026Pierson17</v>
      </c>
      <c r="B2974" s="59">
        <v>2026.0</v>
      </c>
      <c r="C2974" s="13" t="s">
        <v>92</v>
      </c>
      <c r="D2974" s="13" t="s">
        <v>154</v>
      </c>
      <c r="E2974" s="34"/>
      <c r="F2974" s="6"/>
      <c r="H2974" s="6"/>
      <c r="I2974" s="35" t="str">
        <f>IFERROR(IFERROR(IFERROR(VLOOKUP(B2974&amp;C2974&amp;Q2974,'New Weekly Paste'!A:M,10,0),VLOOKUP(B2974&amp;C2974&amp;Q2974,'New Weekly Paste'!B:O,6,0)),""),"")</f>
        <v/>
      </c>
      <c r="J2974" s="239">
        <f>IFERROR(IFERROR(VLOOKUP(B2974&amp;C2974&amp;Q2974,'New Weekly Paste'!A:M,8,0),VLOOKUP(B2974&amp;C2974&amp;Q2974,'New Weekly Paste'!B:O,10,0)),0)</f>
        <v>0</v>
      </c>
      <c r="K2974" s="239">
        <f>IFERROR(IFERROR(VLOOKUP(B2974&amp;I2974&amp;Q2974,'New Weekly Paste'!A:M,8,0),VLOOKUP(B2974&amp;I2974&amp;Q2974,'New Weekly Paste'!B:O,10,0)),0)</f>
        <v>0</v>
      </c>
      <c r="L2974" s="239">
        <f t="shared" si="25"/>
        <v>0</v>
      </c>
      <c r="M2974" s="36" t="str">
        <f t="shared" si="3"/>
        <v>Playoffs</v>
      </c>
      <c r="N2974" s="239" t="str">
        <f t="shared" si="26"/>
        <v/>
      </c>
      <c r="O2974" s="6">
        <f>VLOOKUP(D2974,'Mapped Opponent'!$G$4:$H$22,2,0)</f>
        <v>17</v>
      </c>
      <c r="P2974" s="6"/>
      <c r="Q2974" s="6" t="str">
        <f t="shared" si="4"/>
        <v>Week 17</v>
      </c>
      <c r="R2974" s="6" t="str">
        <f t="shared" si="5"/>
        <v>2026Round 3</v>
      </c>
      <c r="S2974" s="6">
        <f>IFERROR(__xludf.DUMMYFUNCTION("rank(J2974,FILTER(J:J,R:R=R2974))"),1.0)</f>
        <v>1</v>
      </c>
      <c r="T2974" s="6">
        <f t="shared" si="6"/>
        <v>11</v>
      </c>
      <c r="U2974" s="6">
        <f t="shared" si="7"/>
        <v>1</v>
      </c>
      <c r="V2974" s="42">
        <f>averageif(AllData!A:A,B2974,AllData!R:R)/vlookup(B2974,AllData!A:O,15,0)</f>
        <v>90.45916667</v>
      </c>
      <c r="W2974" s="6"/>
    </row>
    <row r="2975" ht="14.25" customHeight="1">
      <c r="A2975" s="6" t="str">
        <f t="shared" si="29"/>
        <v>2026Cock17</v>
      </c>
      <c r="B2975" s="59">
        <v>2026.0</v>
      </c>
      <c r="C2975" s="13" t="s">
        <v>72</v>
      </c>
      <c r="D2975" s="13" t="s">
        <v>154</v>
      </c>
      <c r="E2975" s="34"/>
      <c r="F2975" s="6"/>
      <c r="H2975" s="6"/>
      <c r="I2975" s="35" t="str">
        <f>IFERROR(IFERROR(IFERROR(VLOOKUP(B2975&amp;C2975&amp;Q2975,'New Weekly Paste'!A:M,10,0),VLOOKUP(B2975&amp;C2975&amp;Q2975,'New Weekly Paste'!B:O,6,0)),""),"")</f>
        <v/>
      </c>
      <c r="J2975" s="239">
        <f>IFERROR(IFERROR(VLOOKUP(B2975&amp;C2975&amp;Q2975,'New Weekly Paste'!A:M,8,0),VLOOKUP(B2975&amp;C2975&amp;Q2975,'New Weekly Paste'!B:O,10,0)),0)</f>
        <v>0</v>
      </c>
      <c r="K2975" s="239">
        <f>IFERROR(IFERROR(VLOOKUP(B2975&amp;I2975&amp;Q2975,'New Weekly Paste'!A:M,8,0),VLOOKUP(B2975&amp;I2975&amp;Q2975,'New Weekly Paste'!B:O,10,0)),0)</f>
        <v>0</v>
      </c>
      <c r="L2975" s="239">
        <f t="shared" si="25"/>
        <v>0</v>
      </c>
      <c r="M2975" s="36" t="str">
        <f t="shared" si="3"/>
        <v>Playoffs</v>
      </c>
      <c r="N2975" s="239" t="str">
        <f t="shared" si="26"/>
        <v/>
      </c>
      <c r="O2975" s="6">
        <f>VLOOKUP(D2975,'Mapped Opponent'!$G$4:$H$22,2,0)</f>
        <v>17</v>
      </c>
      <c r="P2975" s="6"/>
      <c r="Q2975" s="6" t="str">
        <f t="shared" si="4"/>
        <v>Week 17</v>
      </c>
      <c r="R2975" s="6" t="str">
        <f t="shared" si="5"/>
        <v>2026Round 3</v>
      </c>
      <c r="S2975" s="6">
        <f>IFERROR(__xludf.DUMMYFUNCTION("rank(J2975,FILTER(J:J,R:R=R2975))"),1.0)</f>
        <v>1</v>
      </c>
      <c r="T2975" s="6">
        <f t="shared" si="6"/>
        <v>11</v>
      </c>
      <c r="U2975" s="6">
        <f t="shared" si="7"/>
        <v>1</v>
      </c>
      <c r="V2975" s="42">
        <f>averageif(AllData!A:A,B2975,AllData!R:R)/vlookup(B2975,AllData!A:O,15,0)</f>
        <v>90.45916667</v>
      </c>
      <c r="W2975" s="6"/>
    </row>
    <row r="2976" ht="14.25" customHeight="1">
      <c r="A2976" s="6" t="str">
        <f t="shared" si="29"/>
        <v>2026Tayski17</v>
      </c>
      <c r="B2976" s="59">
        <v>2026.0</v>
      </c>
      <c r="C2976" s="13" t="s">
        <v>52</v>
      </c>
      <c r="D2976" s="13" t="s">
        <v>154</v>
      </c>
      <c r="E2976" s="34"/>
      <c r="F2976" s="6"/>
      <c r="H2976" s="6"/>
      <c r="I2976" s="35" t="str">
        <f>IFERROR(IFERROR(IFERROR(VLOOKUP(B2976&amp;C2976&amp;Q2976,'New Weekly Paste'!A:M,10,0),VLOOKUP(B2976&amp;C2976&amp;Q2976,'New Weekly Paste'!B:O,6,0)),""),"")</f>
        <v/>
      </c>
      <c r="J2976" s="239">
        <f>IFERROR(IFERROR(VLOOKUP(B2976&amp;C2976&amp;Q2976,'New Weekly Paste'!A:M,8,0),VLOOKUP(B2976&amp;C2976&amp;Q2976,'New Weekly Paste'!B:O,10,0)),0)</f>
        <v>0</v>
      </c>
      <c r="K2976" s="239">
        <f>IFERROR(IFERROR(VLOOKUP(B2976&amp;I2976&amp;Q2976,'New Weekly Paste'!A:M,8,0),VLOOKUP(B2976&amp;I2976&amp;Q2976,'New Weekly Paste'!B:O,10,0)),0)</f>
        <v>0</v>
      </c>
      <c r="L2976" s="239">
        <f t="shared" si="25"/>
        <v>0</v>
      </c>
      <c r="M2976" s="36" t="str">
        <f t="shared" si="3"/>
        <v>Playoffs</v>
      </c>
      <c r="N2976" s="239" t="str">
        <f t="shared" si="26"/>
        <v/>
      </c>
      <c r="O2976" s="6">
        <f>VLOOKUP(D2976,'Mapped Opponent'!$G$4:$H$22,2,0)</f>
        <v>17</v>
      </c>
      <c r="P2976" s="6"/>
      <c r="Q2976" s="6" t="str">
        <f t="shared" si="4"/>
        <v>Week 17</v>
      </c>
      <c r="R2976" s="6" t="str">
        <f t="shared" si="5"/>
        <v>2026Round 3</v>
      </c>
      <c r="S2976" s="6">
        <f>IFERROR(__xludf.DUMMYFUNCTION("rank(J2976,FILTER(J:J,R:R=R2976))"),1.0)</f>
        <v>1</v>
      </c>
      <c r="T2976" s="6">
        <f t="shared" si="6"/>
        <v>11</v>
      </c>
      <c r="U2976" s="6">
        <f t="shared" si="7"/>
        <v>1</v>
      </c>
      <c r="V2976" s="42">
        <f>averageif(AllData!A:A,B2976,AllData!R:R)/vlookup(B2976,AllData!A:O,15,0)</f>
        <v>90.45916667</v>
      </c>
      <c r="W2976" s="6"/>
    </row>
    <row r="2977" ht="14.25" customHeight="1">
      <c r="A2977" s="6" t="str">
        <f t="shared" si="29"/>
        <v>2026KnardDawg17</v>
      </c>
      <c r="B2977" s="59">
        <v>2026.0</v>
      </c>
      <c r="C2977" s="13" t="s">
        <v>86</v>
      </c>
      <c r="D2977" s="13" t="s">
        <v>154</v>
      </c>
      <c r="E2977" s="34"/>
      <c r="F2977" s="6"/>
      <c r="H2977" s="6"/>
      <c r="I2977" s="35" t="str">
        <f>IFERROR(IFERROR(IFERROR(VLOOKUP(B2977&amp;C2977&amp;Q2977,'New Weekly Paste'!A:M,10,0),VLOOKUP(B2977&amp;C2977&amp;Q2977,'New Weekly Paste'!B:O,6,0)),""),"")</f>
        <v/>
      </c>
      <c r="J2977" s="239">
        <f>IFERROR(IFERROR(VLOOKUP(B2977&amp;C2977&amp;Q2977,'New Weekly Paste'!A:M,8,0),VLOOKUP(B2977&amp;C2977&amp;Q2977,'New Weekly Paste'!B:O,10,0)),0)</f>
        <v>0</v>
      </c>
      <c r="K2977" s="239">
        <f>IFERROR(IFERROR(VLOOKUP(B2977&amp;I2977&amp;Q2977,'New Weekly Paste'!A:M,8,0),VLOOKUP(B2977&amp;I2977&amp;Q2977,'New Weekly Paste'!B:O,10,0)),0)</f>
        <v>0</v>
      </c>
      <c r="L2977" s="239">
        <f t="shared" si="25"/>
        <v>0</v>
      </c>
      <c r="M2977" s="36" t="str">
        <f t="shared" si="3"/>
        <v>Playoffs</v>
      </c>
      <c r="N2977" s="239" t="str">
        <f t="shared" si="26"/>
        <v/>
      </c>
      <c r="O2977" s="6">
        <f>VLOOKUP(D2977,'Mapped Opponent'!$G$4:$H$22,2,0)</f>
        <v>17</v>
      </c>
      <c r="P2977" s="6"/>
      <c r="Q2977" s="6" t="str">
        <f t="shared" si="4"/>
        <v>Week 17</v>
      </c>
      <c r="R2977" s="6" t="str">
        <f t="shared" si="5"/>
        <v>2026Round 3</v>
      </c>
      <c r="S2977" s="6">
        <f>IFERROR(__xludf.DUMMYFUNCTION("rank(J2977,FILTER(J:J,R:R=R2977))"),1.0)</f>
        <v>1</v>
      </c>
      <c r="T2977" s="6">
        <f t="shared" si="6"/>
        <v>11</v>
      </c>
      <c r="U2977" s="6">
        <f t="shared" si="7"/>
        <v>1</v>
      </c>
      <c r="V2977" s="42">
        <f>averageif(AllData!A:A,B2977,AllData!R:R)/vlookup(B2977,AllData!A:O,15,0)</f>
        <v>90.45916667</v>
      </c>
      <c r="W2977" s="6"/>
    </row>
    <row r="2978" ht="14.25" customHeight="1">
      <c r="A2978" s="6" t="str">
        <f t="shared" si="29"/>
        <v>2026T-How17</v>
      </c>
      <c r="B2978" s="59">
        <v>2026.0</v>
      </c>
      <c r="C2978" s="13" t="s">
        <v>82</v>
      </c>
      <c r="D2978" s="13" t="s">
        <v>154</v>
      </c>
      <c r="E2978" s="34"/>
      <c r="F2978" s="6"/>
      <c r="H2978" s="6"/>
      <c r="I2978" s="35" t="str">
        <f>IFERROR(IFERROR(IFERROR(VLOOKUP(B2978&amp;C2978&amp;Q2978,'New Weekly Paste'!A:M,10,0),VLOOKUP(B2978&amp;C2978&amp;Q2978,'New Weekly Paste'!B:O,6,0)),""),"")</f>
        <v/>
      </c>
      <c r="J2978" s="239">
        <f>IFERROR(IFERROR(VLOOKUP(B2978&amp;C2978&amp;Q2978,'New Weekly Paste'!A:M,8,0),VLOOKUP(B2978&amp;C2978&amp;Q2978,'New Weekly Paste'!B:O,10,0)),0)</f>
        <v>0</v>
      </c>
      <c r="K2978" s="239">
        <f>IFERROR(IFERROR(VLOOKUP(B2978&amp;I2978&amp;Q2978,'New Weekly Paste'!A:M,8,0),VLOOKUP(B2978&amp;I2978&amp;Q2978,'New Weekly Paste'!B:O,10,0)),0)</f>
        <v>0</v>
      </c>
      <c r="L2978" s="239">
        <f t="shared" si="25"/>
        <v>0</v>
      </c>
      <c r="M2978" s="36" t="str">
        <f t="shared" si="3"/>
        <v>Playoffs</v>
      </c>
      <c r="N2978" s="239" t="str">
        <f t="shared" si="26"/>
        <v/>
      </c>
      <c r="O2978" s="6">
        <f>VLOOKUP(D2978,'Mapped Opponent'!$G$4:$H$22,2,0)</f>
        <v>17</v>
      </c>
      <c r="P2978" s="6"/>
      <c r="Q2978" s="6" t="str">
        <f t="shared" si="4"/>
        <v>Week 17</v>
      </c>
      <c r="R2978" s="6" t="str">
        <f t="shared" si="5"/>
        <v>2026Round 3</v>
      </c>
      <c r="S2978" s="6">
        <f>IFERROR(__xludf.DUMMYFUNCTION("rank(J2978,FILTER(J:J,R:R=R2978))"),1.0)</f>
        <v>1</v>
      </c>
      <c r="T2978" s="6">
        <f t="shared" si="6"/>
        <v>11</v>
      </c>
      <c r="U2978" s="6">
        <f t="shared" si="7"/>
        <v>1</v>
      </c>
      <c r="V2978" s="42">
        <f>averageif(AllData!A:A,B2978,AllData!R:R)/vlookup(B2978,AllData!A:O,15,0)</f>
        <v>90.45916667</v>
      </c>
      <c r="W2978" s="6"/>
    </row>
    <row r="2979" ht="14.25" customHeight="1">
      <c r="A2979" s="6" t="str">
        <f t="shared" si="29"/>
        <v>2026Hudspeath1</v>
      </c>
      <c r="B2979" s="59">
        <v>2026.0</v>
      </c>
      <c r="C2979" s="13" t="s">
        <v>39</v>
      </c>
      <c r="D2979" s="13" t="s">
        <v>129</v>
      </c>
      <c r="E2979" s="34"/>
      <c r="F2979" s="6"/>
      <c r="H2979" s="6"/>
      <c r="I2979" s="35" t="str">
        <f>IFERROR(IFERROR(IFERROR(VLOOKUP(B2979&amp;C2979&amp;Q2979,'New Weekly Paste'!A:M,10,0),VLOOKUP(B2979&amp;C2979&amp;Q2979,'New Weekly Paste'!B:O,6,0)),""),"")</f>
        <v>Rooney/Jackson</v>
      </c>
      <c r="J2979" s="259">
        <f>IFERROR(IFERROR(VLOOKUP(B2979&amp;C2979&amp;Q2979,'New Weekly Paste'!A:M,8,0),VLOOKUP(B2979&amp;C2979&amp;Q2979,'New Weekly Paste'!B:O,10,0)),0)</f>
        <v>143.06</v>
      </c>
      <c r="K2979" s="259">
        <f>IFERROR(IFERROR(VLOOKUP(B2979&amp;I2979&amp;Q2979,'New Weekly Paste'!A:M,8,0),VLOOKUP(B2979&amp;I2979&amp;Q2979,'New Weekly Paste'!B:O,10,0)),0)</f>
        <v>157.46</v>
      </c>
      <c r="L2979" s="239">
        <f t="shared" si="25"/>
        <v>0</v>
      </c>
      <c r="M2979" s="36" t="str">
        <f t="shared" si="3"/>
        <v>Regular Season</v>
      </c>
      <c r="N2979" s="239" t="str">
        <f t="shared" si="26"/>
        <v>Rooney/Jackson</v>
      </c>
      <c r="O2979" s="6">
        <f>VLOOKUP(D2979,'Mapped Opponent'!$G$4:$H$22,2,0)</f>
        <v>1</v>
      </c>
      <c r="P2979" s="6"/>
      <c r="Q2979" s="6" t="str">
        <f t="shared" si="4"/>
        <v>Week 1</v>
      </c>
      <c r="R2979" s="6" t="str">
        <f t="shared" si="5"/>
        <v>2026Week 1</v>
      </c>
      <c r="S2979" s="6">
        <f>IFERROR(__xludf.DUMMYFUNCTION("rank(J2979,FILTER(J:J,R:R=R2979))"),2.0)</f>
        <v>2</v>
      </c>
      <c r="T2979" s="6">
        <f t="shared" si="6"/>
        <v>10</v>
      </c>
      <c r="U2979" s="6">
        <f t="shared" si="7"/>
        <v>2</v>
      </c>
      <c r="V2979" s="42">
        <f>averageif(AllData!A:A,B2979,AllData!R:R)/vlookup(B2979,AllData!A:O,15,0)</f>
        <v>90.45916667</v>
      </c>
      <c r="W2979" s="6"/>
    </row>
    <row r="2980" ht="14.25" customHeight="1">
      <c r="A2980" s="6" t="str">
        <f t="shared" si="29"/>
        <v>2026Salty1</v>
      </c>
      <c r="B2980" s="59">
        <v>2026.0</v>
      </c>
      <c r="C2980" s="13" t="s">
        <v>76</v>
      </c>
      <c r="D2980" s="13" t="s">
        <v>129</v>
      </c>
      <c r="E2980" s="34"/>
      <c r="F2980" s="6"/>
      <c r="H2980" s="6"/>
      <c r="I2980" s="35" t="str">
        <f>IFERROR(IFERROR(IFERROR(VLOOKUP(B2980&amp;C2980&amp;Q2980,'New Weekly Paste'!A:M,10,0),VLOOKUP(B2980&amp;C2980&amp;Q2980,'New Weekly Paste'!B:O,6,0)),""),"")</f>
        <v>Cock</v>
      </c>
      <c r="J2980" s="259">
        <f>IFERROR(IFERROR(VLOOKUP(B2980&amp;C2980&amp;Q2980,'New Weekly Paste'!A:M,8,0),VLOOKUP(B2980&amp;C2980&amp;Q2980,'New Weekly Paste'!B:O,10,0)),0)</f>
        <v>97.64</v>
      </c>
      <c r="K2980" s="259">
        <f>IFERROR(IFERROR(VLOOKUP(B2980&amp;I2980&amp;Q2980,'New Weekly Paste'!A:M,8,0),VLOOKUP(B2980&amp;I2980&amp;Q2980,'New Weekly Paste'!B:O,10,0)),0)</f>
        <v>92.12</v>
      </c>
      <c r="L2980" s="239">
        <f t="shared" si="25"/>
        <v>1</v>
      </c>
      <c r="M2980" s="36" t="str">
        <f t="shared" si="3"/>
        <v>Regular Season</v>
      </c>
      <c r="N2980" s="239" t="str">
        <f t="shared" si="26"/>
        <v>Cock</v>
      </c>
      <c r="O2980" s="6">
        <f>VLOOKUP(D2980,'Mapped Opponent'!$G$4:$H$22,2,0)</f>
        <v>1</v>
      </c>
      <c r="P2980" s="6"/>
      <c r="Q2980" s="6" t="str">
        <f t="shared" si="4"/>
        <v>Week 1</v>
      </c>
      <c r="R2980" s="6" t="str">
        <f t="shared" si="5"/>
        <v>2026Week 1</v>
      </c>
      <c r="S2980" s="6">
        <f>IFERROR(__xludf.DUMMYFUNCTION("rank(J2980,FILTER(J:J,R:R=R2980))"),9.0)</f>
        <v>9</v>
      </c>
      <c r="T2980" s="6">
        <f t="shared" si="6"/>
        <v>3</v>
      </c>
      <c r="U2980" s="6">
        <f t="shared" si="7"/>
        <v>9</v>
      </c>
      <c r="V2980" s="42">
        <f>averageif(AllData!A:A,B2980,AllData!R:R)/vlookup(B2980,AllData!A:O,15,0)</f>
        <v>90.45916667</v>
      </c>
      <c r="W2980" s="6"/>
    </row>
    <row r="2981" ht="14.25" customHeight="1">
      <c r="A2981" s="6" t="str">
        <f t="shared" si="29"/>
        <v>2026Ewert1</v>
      </c>
      <c r="B2981" s="59">
        <v>2026.0</v>
      </c>
      <c r="C2981" s="13" t="s">
        <v>108</v>
      </c>
      <c r="D2981" s="13" t="s">
        <v>129</v>
      </c>
      <c r="E2981" s="34"/>
      <c r="F2981" s="6"/>
      <c r="H2981" s="6"/>
      <c r="I2981" s="35" t="str">
        <f>IFERROR(IFERROR(IFERROR(VLOOKUP(B2981&amp;C2981&amp;Q2981,'New Weekly Paste'!A:M,10,0),VLOOKUP(B2981&amp;C2981&amp;Q2981,'New Weekly Paste'!B:O,6,0)),""),"")</f>
        <v>KnardDawg</v>
      </c>
      <c r="J2981" s="259">
        <f>IFERROR(IFERROR(VLOOKUP(B2981&amp;C2981&amp;Q2981,'New Weekly Paste'!A:M,8,0),VLOOKUP(B2981&amp;C2981&amp;Q2981,'New Weekly Paste'!B:O,10,0)),0)</f>
        <v>117.2</v>
      </c>
      <c r="K2981" s="259">
        <f>IFERROR(IFERROR(VLOOKUP(B2981&amp;I2981&amp;Q2981,'New Weekly Paste'!A:M,8,0),VLOOKUP(B2981&amp;I2981&amp;Q2981,'New Weekly Paste'!B:O,10,0)),0)</f>
        <v>110.06</v>
      </c>
      <c r="L2981" s="239">
        <f t="shared" si="25"/>
        <v>1</v>
      </c>
      <c r="M2981" s="36" t="str">
        <f t="shared" si="3"/>
        <v>Regular Season</v>
      </c>
      <c r="N2981" s="239" t="str">
        <f t="shared" si="26"/>
        <v>KnardDawg</v>
      </c>
      <c r="O2981" s="6">
        <f>VLOOKUP(D2981,'Mapped Opponent'!$G$4:$H$22,2,0)</f>
        <v>1</v>
      </c>
      <c r="P2981" s="6"/>
      <c r="Q2981" s="6" t="str">
        <f t="shared" si="4"/>
        <v>Week 1</v>
      </c>
      <c r="R2981" s="6" t="str">
        <f t="shared" si="5"/>
        <v>2026Week 1</v>
      </c>
      <c r="S2981" s="6">
        <f>IFERROR(__xludf.DUMMYFUNCTION("rank(J2981,FILTER(J:J,R:R=R2981))"),5.0)</f>
        <v>5</v>
      </c>
      <c r="T2981" s="6">
        <f t="shared" si="6"/>
        <v>7</v>
      </c>
      <c r="U2981" s="6">
        <f t="shared" si="7"/>
        <v>5</v>
      </c>
      <c r="V2981" s="42">
        <f>averageif(AllData!A:A,B2981,AllData!R:R)/vlookup(B2981,AllData!A:O,15,0)</f>
        <v>90.45916667</v>
      </c>
      <c r="W2981" s="6"/>
    </row>
    <row r="2982" ht="14.25" customHeight="1">
      <c r="A2982" s="6" t="str">
        <f t="shared" si="29"/>
        <v>2026Shep1</v>
      </c>
      <c r="B2982" s="59">
        <v>2026.0</v>
      </c>
      <c r="C2982" s="13" t="s">
        <v>89</v>
      </c>
      <c r="D2982" s="13" t="s">
        <v>129</v>
      </c>
      <c r="E2982" s="34"/>
      <c r="F2982" s="6"/>
      <c r="H2982" s="6"/>
      <c r="I2982" s="35" t="str">
        <f>IFERROR(IFERROR(IFERROR(VLOOKUP(B2982&amp;C2982&amp;Q2982,'New Weekly Paste'!A:M,10,0),VLOOKUP(B2982&amp;C2982&amp;Q2982,'New Weekly Paste'!B:O,6,0)),""),"")</f>
        <v>Buser</v>
      </c>
      <c r="J2982" s="259">
        <f>IFERROR(IFERROR(VLOOKUP(B2982&amp;C2982&amp;Q2982,'New Weekly Paste'!A:M,8,0),VLOOKUP(B2982&amp;C2982&amp;Q2982,'New Weekly Paste'!B:O,10,0)),0)</f>
        <v>121.1</v>
      </c>
      <c r="K2982" s="259">
        <f>IFERROR(IFERROR(VLOOKUP(B2982&amp;I2982&amp;Q2982,'New Weekly Paste'!A:M,8,0),VLOOKUP(B2982&amp;I2982&amp;Q2982,'New Weekly Paste'!B:O,10,0)),0)</f>
        <v>125.26</v>
      </c>
      <c r="L2982" s="239">
        <f t="shared" si="25"/>
        <v>0</v>
      </c>
      <c r="M2982" s="36" t="str">
        <f t="shared" si="3"/>
        <v>Regular Season</v>
      </c>
      <c r="N2982" s="239" t="str">
        <f t="shared" si="26"/>
        <v>Buser</v>
      </c>
      <c r="O2982" s="6">
        <f>VLOOKUP(D2982,'Mapped Opponent'!$G$4:$H$22,2,0)</f>
        <v>1</v>
      </c>
      <c r="P2982" s="6"/>
      <c r="Q2982" s="6" t="str">
        <f t="shared" si="4"/>
        <v>Week 1</v>
      </c>
      <c r="R2982" s="6" t="str">
        <f t="shared" si="5"/>
        <v>2026Week 1</v>
      </c>
      <c r="S2982" s="6">
        <f>IFERROR(__xludf.DUMMYFUNCTION("rank(J2982,FILTER(J:J,R:R=R2982))"),4.0)</f>
        <v>4</v>
      </c>
      <c r="T2982" s="6">
        <f t="shared" si="6"/>
        <v>8</v>
      </c>
      <c r="U2982" s="6">
        <f t="shared" si="7"/>
        <v>4</v>
      </c>
      <c r="V2982" s="42">
        <f>averageif(AllData!A:A,B2982,AllData!R:R)/vlookup(B2982,AllData!A:O,15,0)</f>
        <v>90.45916667</v>
      </c>
      <c r="W2982" s="6"/>
    </row>
    <row r="2983" ht="14.25" customHeight="1">
      <c r="A2983" s="6" t="str">
        <f t="shared" si="29"/>
        <v>2026Riley1</v>
      </c>
      <c r="B2983" s="59">
        <v>2026.0</v>
      </c>
      <c r="C2983" s="13" t="s">
        <v>67</v>
      </c>
      <c r="D2983" s="13" t="s">
        <v>129</v>
      </c>
      <c r="E2983" s="34"/>
      <c r="F2983" s="6"/>
      <c r="H2983" s="6"/>
      <c r="I2983" s="35" t="str">
        <f>IFERROR(IFERROR(IFERROR(VLOOKUP(B2983&amp;C2983&amp;Q2983,'New Weekly Paste'!A:M,10,0),VLOOKUP(B2983&amp;C2983&amp;Q2983,'New Weekly Paste'!B:O,6,0)),""),"")</f>
        <v>Pierson</v>
      </c>
      <c r="J2983" s="259">
        <f>IFERROR(IFERROR(VLOOKUP(B2983&amp;C2983&amp;Q2983,'New Weekly Paste'!A:M,8,0),VLOOKUP(B2983&amp;C2983&amp;Q2983,'New Weekly Paste'!B:O,10,0)),0)</f>
        <v>116.02</v>
      </c>
      <c r="K2983" s="259">
        <f>IFERROR(IFERROR(VLOOKUP(B2983&amp;I2983&amp;Q2983,'New Weekly Paste'!A:M,8,0),VLOOKUP(B2983&amp;I2983&amp;Q2983,'New Weekly Paste'!B:O,10,0)),0)</f>
        <v>103.9</v>
      </c>
      <c r="L2983" s="239">
        <f t="shared" si="25"/>
        <v>1</v>
      </c>
      <c r="M2983" s="36" t="str">
        <f t="shared" si="3"/>
        <v>Regular Season</v>
      </c>
      <c r="N2983" s="239" t="str">
        <f t="shared" si="26"/>
        <v>Pierson</v>
      </c>
      <c r="O2983" s="6">
        <f>VLOOKUP(D2983,'Mapped Opponent'!$G$4:$H$22,2,0)</f>
        <v>1</v>
      </c>
      <c r="P2983" s="6"/>
      <c r="Q2983" s="6" t="str">
        <f t="shared" si="4"/>
        <v>Week 1</v>
      </c>
      <c r="R2983" s="6" t="str">
        <f t="shared" si="5"/>
        <v>2026Week 1</v>
      </c>
      <c r="S2983" s="6">
        <f>IFERROR(__xludf.DUMMYFUNCTION("rank(J2983,FILTER(J:J,R:R=R2983))"),6.0)</f>
        <v>6</v>
      </c>
      <c r="T2983" s="6">
        <f t="shared" si="6"/>
        <v>6</v>
      </c>
      <c r="U2983" s="6">
        <f t="shared" si="7"/>
        <v>6</v>
      </c>
      <c r="V2983" s="42">
        <f>averageif(AllData!A:A,B2983,AllData!R:R)/vlookup(B2983,AllData!A:O,15,0)</f>
        <v>90.45916667</v>
      </c>
      <c r="W2983" s="6"/>
    </row>
    <row r="2984" ht="14.25" customHeight="1">
      <c r="A2984" s="6" t="str">
        <f t="shared" si="29"/>
        <v>2026Rooney/Jackson1</v>
      </c>
      <c r="B2984" s="59">
        <v>2026.0</v>
      </c>
      <c r="C2984" s="13" t="s">
        <v>57</v>
      </c>
      <c r="D2984" s="13" t="s">
        <v>129</v>
      </c>
      <c r="E2984" s="34"/>
      <c r="F2984" s="6"/>
      <c r="H2984" s="6"/>
      <c r="I2984" s="35" t="str">
        <f>IFERROR(IFERROR(IFERROR(VLOOKUP(B2984&amp;C2984&amp;Q2984,'New Weekly Paste'!A:M,10,0),VLOOKUP(B2984&amp;C2984&amp;Q2984,'New Weekly Paste'!B:O,6,0)),""),"")</f>
        <v>Hudspeath</v>
      </c>
      <c r="J2984" s="259">
        <f>IFERROR(IFERROR(VLOOKUP(B2984&amp;C2984&amp;Q2984,'New Weekly Paste'!A:M,8,0),VLOOKUP(B2984&amp;C2984&amp;Q2984,'New Weekly Paste'!B:O,10,0)),0)</f>
        <v>157.46</v>
      </c>
      <c r="K2984" s="259">
        <f>IFERROR(IFERROR(VLOOKUP(B2984&amp;I2984&amp;Q2984,'New Weekly Paste'!A:M,8,0),VLOOKUP(B2984&amp;I2984&amp;Q2984,'New Weekly Paste'!B:O,10,0)),0)</f>
        <v>143.06</v>
      </c>
      <c r="L2984" s="239">
        <f t="shared" si="25"/>
        <v>1</v>
      </c>
      <c r="M2984" s="36" t="str">
        <f t="shared" si="3"/>
        <v>Regular Season</v>
      </c>
      <c r="N2984" s="239" t="str">
        <f t="shared" si="26"/>
        <v>Hudspeath</v>
      </c>
      <c r="O2984" s="6">
        <f>VLOOKUP(D2984,'Mapped Opponent'!$G$4:$H$22,2,0)</f>
        <v>1</v>
      </c>
      <c r="P2984" s="6"/>
      <c r="Q2984" s="6" t="str">
        <f t="shared" si="4"/>
        <v>Week 1</v>
      </c>
      <c r="R2984" s="6" t="str">
        <f t="shared" si="5"/>
        <v>2026Week 1</v>
      </c>
      <c r="S2984" s="6">
        <f>IFERROR(__xludf.DUMMYFUNCTION("rank(J2984,FILTER(J:J,R:R=R2984))"),1.0)</f>
        <v>1</v>
      </c>
      <c r="T2984" s="6">
        <f t="shared" si="6"/>
        <v>11</v>
      </c>
      <c r="U2984" s="6">
        <f t="shared" si="7"/>
        <v>1</v>
      </c>
      <c r="V2984" s="42">
        <f>averageif(AllData!A:A,B2984,AllData!R:R)/vlookup(B2984,AllData!A:O,15,0)</f>
        <v>90.45916667</v>
      </c>
      <c r="W2984" s="6"/>
    </row>
    <row r="2985" ht="14.25" customHeight="1">
      <c r="A2985" s="6" t="str">
        <f t="shared" si="29"/>
        <v>2026Buser1</v>
      </c>
      <c r="B2985" s="59">
        <v>2026.0</v>
      </c>
      <c r="C2985" s="13" t="s">
        <v>47</v>
      </c>
      <c r="D2985" s="13" t="s">
        <v>129</v>
      </c>
      <c r="E2985" s="34"/>
      <c r="F2985" s="6"/>
      <c r="H2985" s="6"/>
      <c r="I2985" s="35" t="str">
        <f>IFERROR(IFERROR(IFERROR(VLOOKUP(B2985&amp;C2985&amp;Q2985,'New Weekly Paste'!A:M,10,0),VLOOKUP(B2985&amp;C2985&amp;Q2985,'New Weekly Paste'!B:O,6,0)),""),"")</f>
        <v>Shep</v>
      </c>
      <c r="J2985" s="259">
        <f>IFERROR(IFERROR(VLOOKUP(B2985&amp;C2985&amp;Q2985,'New Weekly Paste'!A:M,8,0),VLOOKUP(B2985&amp;C2985&amp;Q2985,'New Weekly Paste'!B:O,10,0)),0)</f>
        <v>125.26</v>
      </c>
      <c r="K2985" s="259">
        <f>IFERROR(IFERROR(VLOOKUP(B2985&amp;I2985&amp;Q2985,'New Weekly Paste'!A:M,8,0),VLOOKUP(B2985&amp;I2985&amp;Q2985,'New Weekly Paste'!B:O,10,0)),0)</f>
        <v>121.1</v>
      </c>
      <c r="L2985" s="239">
        <f t="shared" si="25"/>
        <v>1</v>
      </c>
      <c r="M2985" s="36" t="str">
        <f t="shared" si="3"/>
        <v>Regular Season</v>
      </c>
      <c r="N2985" s="239" t="str">
        <f t="shared" si="26"/>
        <v>Shep</v>
      </c>
      <c r="O2985" s="6">
        <f>VLOOKUP(D2985,'Mapped Opponent'!$G$4:$H$22,2,0)</f>
        <v>1</v>
      </c>
      <c r="P2985" s="6"/>
      <c r="Q2985" s="6" t="str">
        <f t="shared" si="4"/>
        <v>Week 1</v>
      </c>
      <c r="R2985" s="6" t="str">
        <f t="shared" si="5"/>
        <v>2026Week 1</v>
      </c>
      <c r="S2985" s="6">
        <f>IFERROR(__xludf.DUMMYFUNCTION("rank(J2985,FILTER(J:J,R:R=R2985))"),3.0)</f>
        <v>3</v>
      </c>
      <c r="T2985" s="6">
        <f t="shared" si="6"/>
        <v>9</v>
      </c>
      <c r="U2985" s="6">
        <f t="shared" si="7"/>
        <v>3</v>
      </c>
      <c r="V2985" s="42">
        <f>averageif(AllData!A:A,B2985,AllData!R:R)/vlookup(B2985,AllData!A:O,15,0)</f>
        <v>90.45916667</v>
      </c>
      <c r="W2985" s="6"/>
    </row>
    <row r="2986" ht="14.25" customHeight="1">
      <c r="A2986" s="6" t="str">
        <f t="shared" si="29"/>
        <v>2026Pierson1</v>
      </c>
      <c r="B2986" s="59">
        <v>2026.0</v>
      </c>
      <c r="C2986" s="13" t="s">
        <v>92</v>
      </c>
      <c r="D2986" s="13" t="s">
        <v>129</v>
      </c>
      <c r="E2986" s="34"/>
      <c r="F2986" s="6"/>
      <c r="H2986" s="6"/>
      <c r="I2986" s="35" t="str">
        <f>IFERROR(IFERROR(IFERROR(VLOOKUP(B2986&amp;C2986&amp;Q2986,'New Weekly Paste'!A:M,10,0),VLOOKUP(B2986&amp;C2986&amp;Q2986,'New Weekly Paste'!B:O,6,0)),""),"")</f>
        <v>Riley</v>
      </c>
      <c r="J2986" s="259">
        <f>IFERROR(IFERROR(VLOOKUP(B2986&amp;C2986&amp;Q2986,'New Weekly Paste'!A:M,8,0),VLOOKUP(B2986&amp;C2986&amp;Q2986,'New Weekly Paste'!B:O,10,0)),0)</f>
        <v>103.9</v>
      </c>
      <c r="K2986" s="259">
        <f>IFERROR(IFERROR(VLOOKUP(B2986&amp;I2986&amp;Q2986,'New Weekly Paste'!A:M,8,0),VLOOKUP(B2986&amp;I2986&amp;Q2986,'New Weekly Paste'!B:O,10,0)),0)</f>
        <v>116.02</v>
      </c>
      <c r="L2986" s="239">
        <f t="shared" si="25"/>
        <v>0</v>
      </c>
      <c r="M2986" s="36" t="str">
        <f t="shared" si="3"/>
        <v>Regular Season</v>
      </c>
      <c r="N2986" s="239" t="str">
        <f t="shared" si="26"/>
        <v>Riley</v>
      </c>
      <c r="O2986" s="6">
        <f>VLOOKUP(D2986,'Mapped Opponent'!$G$4:$H$22,2,0)</f>
        <v>1</v>
      </c>
      <c r="P2986" s="6"/>
      <c r="Q2986" s="6" t="str">
        <f t="shared" si="4"/>
        <v>Week 1</v>
      </c>
      <c r="R2986" s="6" t="str">
        <f t="shared" si="5"/>
        <v>2026Week 1</v>
      </c>
      <c r="S2986" s="6">
        <f>IFERROR(__xludf.DUMMYFUNCTION("rank(J2986,FILTER(J:J,R:R=R2986))"),8.0)</f>
        <v>8</v>
      </c>
      <c r="T2986" s="6">
        <f t="shared" si="6"/>
        <v>4</v>
      </c>
      <c r="U2986" s="6">
        <f t="shared" si="7"/>
        <v>8</v>
      </c>
      <c r="V2986" s="42">
        <f>averageif(AllData!A:A,B2986,AllData!R:R)/vlookup(B2986,AllData!A:O,15,0)</f>
        <v>90.45916667</v>
      </c>
      <c r="W2986" s="6"/>
    </row>
    <row r="2987" ht="14.25" customHeight="1">
      <c r="A2987" s="6" t="str">
        <f t="shared" si="29"/>
        <v>2026Cock1</v>
      </c>
      <c r="B2987" s="59">
        <v>2026.0</v>
      </c>
      <c r="C2987" s="13" t="s">
        <v>72</v>
      </c>
      <c r="D2987" s="13" t="s">
        <v>129</v>
      </c>
      <c r="E2987" s="34"/>
      <c r="F2987" s="6"/>
      <c r="H2987" s="6"/>
      <c r="I2987" s="35" t="str">
        <f>IFERROR(IFERROR(IFERROR(VLOOKUP(B2987&amp;C2987&amp;Q2987,'New Weekly Paste'!A:M,10,0),VLOOKUP(B2987&amp;C2987&amp;Q2987,'New Weekly Paste'!B:O,6,0)),""),"")</f>
        <v>Salty</v>
      </c>
      <c r="J2987" s="259">
        <f>IFERROR(IFERROR(VLOOKUP(B2987&amp;C2987&amp;Q2987,'New Weekly Paste'!A:M,8,0),VLOOKUP(B2987&amp;C2987&amp;Q2987,'New Weekly Paste'!B:O,10,0)),0)</f>
        <v>92.12</v>
      </c>
      <c r="K2987" s="259">
        <f>IFERROR(IFERROR(VLOOKUP(B2987&amp;I2987&amp;Q2987,'New Weekly Paste'!A:M,8,0),VLOOKUP(B2987&amp;I2987&amp;Q2987,'New Weekly Paste'!B:O,10,0)),0)</f>
        <v>97.64</v>
      </c>
      <c r="L2987" s="239">
        <f t="shared" si="25"/>
        <v>0</v>
      </c>
      <c r="M2987" s="36" t="str">
        <f t="shared" si="3"/>
        <v>Regular Season</v>
      </c>
      <c r="N2987" s="239" t="str">
        <f t="shared" si="26"/>
        <v>Salty</v>
      </c>
      <c r="O2987" s="6">
        <f>VLOOKUP(D2987,'Mapped Opponent'!$G$4:$H$22,2,0)</f>
        <v>1</v>
      </c>
      <c r="P2987" s="6"/>
      <c r="Q2987" s="6" t="str">
        <f t="shared" si="4"/>
        <v>Week 1</v>
      </c>
      <c r="R2987" s="6" t="str">
        <f t="shared" si="5"/>
        <v>2026Week 1</v>
      </c>
      <c r="S2987" s="6">
        <f>IFERROR(__xludf.DUMMYFUNCTION("rank(J2987,FILTER(J:J,R:R=R2987))"),11.0)</f>
        <v>11</v>
      </c>
      <c r="T2987" s="6">
        <f t="shared" si="6"/>
        <v>1</v>
      </c>
      <c r="U2987" s="6">
        <f t="shared" si="7"/>
        <v>11</v>
      </c>
      <c r="V2987" s="42">
        <f>averageif(AllData!A:A,B2987,AllData!R:R)/vlookup(B2987,AllData!A:O,15,0)</f>
        <v>90.45916667</v>
      </c>
      <c r="W2987" s="6"/>
    </row>
    <row r="2988" ht="14.25" customHeight="1">
      <c r="A2988" s="6" t="str">
        <f t="shared" si="29"/>
        <v>2026Tayski1</v>
      </c>
      <c r="B2988" s="59">
        <v>2026.0</v>
      </c>
      <c r="C2988" s="13" t="s">
        <v>52</v>
      </c>
      <c r="D2988" s="13" t="s">
        <v>129</v>
      </c>
      <c r="E2988" s="34"/>
      <c r="F2988" s="6"/>
      <c r="H2988" s="6"/>
      <c r="I2988" s="35" t="str">
        <f>IFERROR(IFERROR(IFERROR(VLOOKUP(B2988&amp;C2988&amp;Q2988,'New Weekly Paste'!A:M,10,0),VLOOKUP(B2988&amp;C2988&amp;Q2988,'New Weekly Paste'!B:O,6,0)),""),"")</f>
        <v>T-How</v>
      </c>
      <c r="J2988" s="259">
        <f>IFERROR(IFERROR(VLOOKUP(B2988&amp;C2988&amp;Q2988,'New Weekly Paste'!A:M,8,0),VLOOKUP(B2988&amp;C2988&amp;Q2988,'New Weekly Paste'!B:O,10,0)),0)</f>
        <v>83.86</v>
      </c>
      <c r="K2988" s="259">
        <f>IFERROR(IFERROR(VLOOKUP(B2988&amp;I2988&amp;Q2988,'New Weekly Paste'!A:M,8,0),VLOOKUP(B2988&amp;I2988&amp;Q2988,'New Weekly Paste'!B:O,10,0)),0)</f>
        <v>94.6</v>
      </c>
      <c r="L2988" s="239">
        <f t="shared" si="25"/>
        <v>0</v>
      </c>
      <c r="M2988" s="36" t="str">
        <f t="shared" si="3"/>
        <v>Regular Season</v>
      </c>
      <c r="N2988" s="239" t="str">
        <f t="shared" si="26"/>
        <v>T-How</v>
      </c>
      <c r="O2988" s="6">
        <f>VLOOKUP(D2988,'Mapped Opponent'!$G$4:$H$22,2,0)</f>
        <v>1</v>
      </c>
      <c r="P2988" s="6"/>
      <c r="Q2988" s="6" t="str">
        <f t="shared" si="4"/>
        <v>Week 1</v>
      </c>
      <c r="R2988" s="6" t="str">
        <f t="shared" si="5"/>
        <v>2026Week 1</v>
      </c>
      <c r="S2988" s="6">
        <f>IFERROR(__xludf.DUMMYFUNCTION("rank(J2988,FILTER(J:J,R:R=R2988))"),12.0)</f>
        <v>12</v>
      </c>
      <c r="T2988" s="6">
        <f t="shared" si="6"/>
        <v>0</v>
      </c>
      <c r="U2988" s="6">
        <f t="shared" si="7"/>
        <v>12</v>
      </c>
      <c r="V2988" s="42">
        <f>averageif(AllData!A:A,B2988,AllData!R:R)/vlookup(B2988,AllData!A:O,15,0)</f>
        <v>90.45916667</v>
      </c>
      <c r="W2988" s="6"/>
    </row>
    <row r="2989" ht="14.25" customHeight="1">
      <c r="A2989" s="6" t="str">
        <f t="shared" si="29"/>
        <v>2026KnardDawg1</v>
      </c>
      <c r="B2989" s="59">
        <v>2026.0</v>
      </c>
      <c r="C2989" s="13" t="s">
        <v>86</v>
      </c>
      <c r="D2989" s="13" t="s">
        <v>129</v>
      </c>
      <c r="E2989" s="34"/>
      <c r="F2989" s="6"/>
      <c r="H2989" s="6"/>
      <c r="I2989" s="35" t="str">
        <f>IFERROR(IFERROR(IFERROR(VLOOKUP(B2989&amp;C2989&amp;Q2989,'New Weekly Paste'!A:M,10,0),VLOOKUP(B2989&amp;C2989&amp;Q2989,'New Weekly Paste'!B:O,6,0)),""),"")</f>
        <v>Ewert</v>
      </c>
      <c r="J2989" s="259">
        <f>IFERROR(IFERROR(VLOOKUP(B2989&amp;C2989&amp;Q2989,'New Weekly Paste'!A:M,8,0),VLOOKUP(B2989&amp;C2989&amp;Q2989,'New Weekly Paste'!B:O,10,0)),0)</f>
        <v>110.06</v>
      </c>
      <c r="K2989" s="259">
        <f>IFERROR(IFERROR(VLOOKUP(B2989&amp;I2989&amp;Q2989,'New Weekly Paste'!A:M,8,0),VLOOKUP(B2989&amp;I2989&amp;Q2989,'New Weekly Paste'!B:O,10,0)),0)</f>
        <v>117.2</v>
      </c>
      <c r="L2989" s="239">
        <f t="shared" si="25"/>
        <v>0</v>
      </c>
      <c r="M2989" s="36" t="str">
        <f t="shared" si="3"/>
        <v>Regular Season</v>
      </c>
      <c r="N2989" s="239" t="str">
        <f t="shared" si="26"/>
        <v>Ewert</v>
      </c>
      <c r="O2989" s="6">
        <f>VLOOKUP(D2989,'Mapped Opponent'!$G$4:$H$22,2,0)</f>
        <v>1</v>
      </c>
      <c r="P2989" s="6"/>
      <c r="Q2989" s="6" t="str">
        <f t="shared" si="4"/>
        <v>Week 1</v>
      </c>
      <c r="R2989" s="6" t="str">
        <f t="shared" si="5"/>
        <v>2026Week 1</v>
      </c>
      <c r="S2989" s="6">
        <f>IFERROR(__xludf.DUMMYFUNCTION("rank(J2989,FILTER(J:J,R:R=R2989))"),7.0)</f>
        <v>7</v>
      </c>
      <c r="T2989" s="6">
        <f t="shared" si="6"/>
        <v>5</v>
      </c>
      <c r="U2989" s="6">
        <f t="shared" si="7"/>
        <v>7</v>
      </c>
      <c r="V2989" s="42">
        <f>averageif(AllData!A:A,B2989,AllData!R:R)/vlookup(B2989,AllData!A:O,15,0)</f>
        <v>90.45916667</v>
      </c>
      <c r="W2989" s="6"/>
    </row>
    <row r="2990" ht="14.25" customHeight="1">
      <c r="A2990" s="6" t="str">
        <f t="shared" si="29"/>
        <v>2026T-How1</v>
      </c>
      <c r="B2990" s="59">
        <v>2026.0</v>
      </c>
      <c r="C2990" s="13" t="s">
        <v>82</v>
      </c>
      <c r="D2990" s="13" t="s">
        <v>129</v>
      </c>
      <c r="E2990" s="34"/>
      <c r="F2990" s="6"/>
      <c r="H2990" s="6"/>
      <c r="I2990" s="35" t="str">
        <f>IFERROR(IFERROR(IFERROR(VLOOKUP(B2990&amp;C2990&amp;Q2990,'New Weekly Paste'!A:M,10,0),VLOOKUP(B2990&amp;C2990&amp;Q2990,'New Weekly Paste'!B:O,6,0)),""),"")</f>
        <v>Tayski</v>
      </c>
      <c r="J2990" s="259">
        <f>IFERROR(IFERROR(VLOOKUP(B2990&amp;C2990&amp;Q2990,'New Weekly Paste'!A:M,8,0),VLOOKUP(B2990&amp;C2990&amp;Q2990,'New Weekly Paste'!B:O,10,0)),0)</f>
        <v>94.6</v>
      </c>
      <c r="K2990" s="259">
        <f>IFERROR(IFERROR(VLOOKUP(B2990&amp;I2990&amp;Q2990,'New Weekly Paste'!A:M,8,0),VLOOKUP(B2990&amp;I2990&amp;Q2990,'New Weekly Paste'!B:O,10,0)),0)</f>
        <v>83.86</v>
      </c>
      <c r="L2990" s="239">
        <f t="shared" si="25"/>
        <v>1</v>
      </c>
      <c r="M2990" s="36" t="str">
        <f t="shared" si="3"/>
        <v>Regular Season</v>
      </c>
      <c r="N2990" s="239" t="str">
        <f t="shared" si="26"/>
        <v>Tayski</v>
      </c>
      <c r="O2990" s="6">
        <f>VLOOKUP(D2990,'Mapped Opponent'!$G$4:$H$22,2,0)</f>
        <v>1</v>
      </c>
      <c r="P2990" s="6"/>
      <c r="Q2990" s="6" t="str">
        <f t="shared" si="4"/>
        <v>Week 1</v>
      </c>
      <c r="R2990" s="6" t="str">
        <f t="shared" si="5"/>
        <v>2026Week 1</v>
      </c>
      <c r="S2990" s="6">
        <f>IFERROR(__xludf.DUMMYFUNCTION("rank(J2990,FILTER(J:J,R:R=R2990))"),10.0)</f>
        <v>10</v>
      </c>
      <c r="T2990" s="6">
        <f t="shared" si="6"/>
        <v>2</v>
      </c>
      <c r="U2990" s="6">
        <f t="shared" si="7"/>
        <v>10</v>
      </c>
      <c r="V2990" s="42">
        <f>averageif(AllData!A:A,B2990,AllData!R:R)/vlookup(B2990,AllData!A:O,15,0)</f>
        <v>90.45916667</v>
      </c>
      <c r="W2990" s="6"/>
    </row>
    <row r="2991" ht="14.25" customHeight="1">
      <c r="A2991" s="6" t="str">
        <f t="shared" si="29"/>
        <v>2026Hudspeath10</v>
      </c>
      <c r="B2991" s="59">
        <v>2026.0</v>
      </c>
      <c r="C2991" s="13" t="s">
        <v>39</v>
      </c>
      <c r="D2991" s="13" t="s">
        <v>149</v>
      </c>
      <c r="E2991" s="34"/>
      <c r="F2991" s="6"/>
      <c r="H2991" s="6"/>
      <c r="I2991" s="35" t="str">
        <f>IFERROR(IFERROR(IFERROR(VLOOKUP(B2991&amp;C2991&amp;Q2991,'New Weekly Paste'!A:M,10,0),VLOOKUP(B2991&amp;C2991&amp;Q2991,'New Weekly Paste'!B:O,6,0)),""),"")</f>
        <v>Cock</v>
      </c>
      <c r="J2991" s="239" t="str">
        <f>IFERROR(IFERROR(VLOOKUP(B2991&amp;C2991&amp;Q2991,'New Weekly Paste'!A:M,8,0),VLOOKUP(B2991&amp;C2991&amp;Q2991,'New Weekly Paste'!B:O,10,0)),0)</f>
        <v/>
      </c>
      <c r="K2991" s="239" t="str">
        <f>IFERROR(IFERROR(VLOOKUP(B2991&amp;I2991&amp;Q2991,'New Weekly Paste'!A:M,8,0),VLOOKUP(B2991&amp;I2991&amp;Q2991,'New Weekly Paste'!B:O,10,0)),0)</f>
        <v/>
      </c>
      <c r="L2991" s="239">
        <f t="shared" si="25"/>
        <v>0</v>
      </c>
      <c r="M2991" s="36" t="str">
        <f t="shared" si="3"/>
        <v>Regular Season</v>
      </c>
      <c r="N2991" s="239" t="str">
        <f t="shared" si="26"/>
        <v>Cock</v>
      </c>
      <c r="O2991" s="6">
        <f>VLOOKUP(D2991,'Mapped Opponent'!$G$4:$H$22,2,0)</f>
        <v>10</v>
      </c>
      <c r="P2991" s="6"/>
      <c r="Q2991" s="6" t="str">
        <f t="shared" si="4"/>
        <v>Week 10</v>
      </c>
      <c r="R2991" s="6" t="str">
        <f t="shared" si="5"/>
        <v>2026Week 10</v>
      </c>
      <c r="S2991" s="6" t="str">
        <f>IFERROR(__xludf.DUMMYFUNCTION("rank(J2991,FILTER(J:J,R:R=R2991))"),"#N/A")</f>
        <v>#N/A</v>
      </c>
      <c r="T2991" s="6">
        <f t="shared" si="6"/>
        <v>0</v>
      </c>
      <c r="U2991" s="6">
        <f t="shared" si="7"/>
        <v>12</v>
      </c>
      <c r="V2991" s="42">
        <f>averageif(AllData!A:A,B2991,AllData!R:R)/vlookup(B2991,AllData!A:O,15,0)</f>
        <v>90.45916667</v>
      </c>
      <c r="W2991" s="6"/>
    </row>
    <row r="2992" ht="14.25" customHeight="1">
      <c r="A2992" s="6" t="str">
        <f t="shared" si="29"/>
        <v>2026Salty10</v>
      </c>
      <c r="B2992" s="59">
        <v>2026.0</v>
      </c>
      <c r="C2992" s="13" t="s">
        <v>76</v>
      </c>
      <c r="D2992" s="13" t="s">
        <v>149</v>
      </c>
      <c r="E2992" s="34"/>
      <c r="F2992" s="6"/>
      <c r="H2992" s="6"/>
      <c r="I2992" s="35" t="str">
        <f>IFERROR(IFERROR(IFERROR(VLOOKUP(B2992&amp;C2992&amp;Q2992,'New Weekly Paste'!A:M,10,0),VLOOKUP(B2992&amp;C2992&amp;Q2992,'New Weekly Paste'!B:O,6,0)),""),"")</f>
        <v>Tayski</v>
      </c>
      <c r="J2992" s="239" t="str">
        <f>IFERROR(IFERROR(VLOOKUP(B2992&amp;C2992&amp;Q2992,'New Weekly Paste'!A:M,8,0),VLOOKUP(B2992&amp;C2992&amp;Q2992,'New Weekly Paste'!B:O,10,0)),0)</f>
        <v/>
      </c>
      <c r="K2992" s="239" t="str">
        <f>IFERROR(IFERROR(VLOOKUP(B2992&amp;I2992&amp;Q2992,'New Weekly Paste'!A:M,8,0),VLOOKUP(B2992&amp;I2992&amp;Q2992,'New Weekly Paste'!B:O,10,0)),0)</f>
        <v/>
      </c>
      <c r="L2992" s="239">
        <f t="shared" si="25"/>
        <v>0</v>
      </c>
      <c r="M2992" s="36" t="str">
        <f t="shared" si="3"/>
        <v>Regular Season</v>
      </c>
      <c r="N2992" s="239" t="str">
        <f t="shared" si="26"/>
        <v>Tayski</v>
      </c>
      <c r="O2992" s="6">
        <f>VLOOKUP(D2992,'Mapped Opponent'!$G$4:$H$22,2,0)</f>
        <v>10</v>
      </c>
      <c r="P2992" s="6"/>
      <c r="Q2992" s="6" t="str">
        <f t="shared" si="4"/>
        <v>Week 10</v>
      </c>
      <c r="R2992" s="6" t="str">
        <f t="shared" si="5"/>
        <v>2026Week 10</v>
      </c>
      <c r="S2992" s="6" t="str">
        <f>IFERROR(__xludf.DUMMYFUNCTION("rank(J2992,FILTER(J:J,R:R=R2992))"),"#N/A")</f>
        <v>#N/A</v>
      </c>
      <c r="T2992" s="6">
        <f t="shared" si="6"/>
        <v>0</v>
      </c>
      <c r="U2992" s="6">
        <f t="shared" si="7"/>
        <v>12</v>
      </c>
      <c r="V2992" s="42">
        <f>averageif(AllData!A:A,B2992,AllData!R:R)/vlookup(B2992,AllData!A:O,15,0)</f>
        <v>90.45916667</v>
      </c>
      <c r="W2992" s="6"/>
    </row>
    <row r="2993" ht="14.25" customHeight="1">
      <c r="A2993" s="6" t="str">
        <f t="shared" si="29"/>
        <v>2026Ewert10</v>
      </c>
      <c r="B2993" s="59">
        <v>2026.0</v>
      </c>
      <c r="C2993" s="13" t="s">
        <v>108</v>
      </c>
      <c r="D2993" s="13" t="s">
        <v>149</v>
      </c>
      <c r="E2993" s="34"/>
      <c r="F2993" s="6"/>
      <c r="H2993" s="6"/>
      <c r="I2993" s="35" t="str">
        <f>IFERROR(IFERROR(IFERROR(VLOOKUP(B2993&amp;C2993&amp;Q2993,'New Weekly Paste'!A:M,10,0),VLOOKUP(B2993&amp;C2993&amp;Q2993,'New Weekly Paste'!B:O,6,0)),""),"")</f>
        <v>T-How</v>
      </c>
      <c r="J2993" s="239" t="str">
        <f>IFERROR(IFERROR(VLOOKUP(B2993&amp;C2993&amp;Q2993,'New Weekly Paste'!A:M,8,0),VLOOKUP(B2993&amp;C2993&amp;Q2993,'New Weekly Paste'!B:O,10,0)),0)</f>
        <v/>
      </c>
      <c r="K2993" s="239" t="str">
        <f>IFERROR(IFERROR(VLOOKUP(B2993&amp;I2993&amp;Q2993,'New Weekly Paste'!A:M,8,0),VLOOKUP(B2993&amp;I2993&amp;Q2993,'New Weekly Paste'!B:O,10,0)),0)</f>
        <v/>
      </c>
      <c r="L2993" s="239">
        <f t="shared" si="25"/>
        <v>0</v>
      </c>
      <c r="M2993" s="36" t="str">
        <f t="shared" si="3"/>
        <v>Regular Season</v>
      </c>
      <c r="N2993" s="239" t="str">
        <f t="shared" si="26"/>
        <v>T-How</v>
      </c>
      <c r="O2993" s="6">
        <f>VLOOKUP(D2993,'Mapped Opponent'!$G$4:$H$22,2,0)</f>
        <v>10</v>
      </c>
      <c r="P2993" s="6"/>
      <c r="Q2993" s="6" t="str">
        <f t="shared" si="4"/>
        <v>Week 10</v>
      </c>
      <c r="R2993" s="6" t="str">
        <f t="shared" si="5"/>
        <v>2026Week 10</v>
      </c>
      <c r="S2993" s="6" t="str">
        <f>IFERROR(__xludf.DUMMYFUNCTION("rank(J2993,FILTER(J:J,R:R=R2993))"),"#N/A")</f>
        <v>#N/A</v>
      </c>
      <c r="T2993" s="6">
        <f t="shared" si="6"/>
        <v>0</v>
      </c>
      <c r="U2993" s="6">
        <f t="shared" si="7"/>
        <v>12</v>
      </c>
      <c r="V2993" s="42">
        <f>averageif(AllData!A:A,B2993,AllData!R:R)/vlookup(B2993,AllData!A:O,15,0)</f>
        <v>90.45916667</v>
      </c>
      <c r="W2993" s="6"/>
    </row>
    <row r="2994" ht="14.25" customHeight="1">
      <c r="A2994" s="6" t="str">
        <f t="shared" si="29"/>
        <v>2026Shep10</v>
      </c>
      <c r="B2994" s="59">
        <v>2026.0</v>
      </c>
      <c r="C2994" s="13" t="s">
        <v>89</v>
      </c>
      <c r="D2994" s="13" t="s">
        <v>149</v>
      </c>
      <c r="E2994" s="34"/>
      <c r="F2994" s="6"/>
      <c r="H2994" s="6"/>
      <c r="I2994" s="35" t="str">
        <f>IFERROR(IFERROR(IFERROR(VLOOKUP(B2994&amp;C2994&amp;Q2994,'New Weekly Paste'!A:M,10,0),VLOOKUP(B2994&amp;C2994&amp;Q2994,'New Weekly Paste'!B:O,6,0)),""),"")</f>
        <v>Rooney/Jackson</v>
      </c>
      <c r="J2994" s="239" t="str">
        <f>IFERROR(IFERROR(VLOOKUP(B2994&amp;C2994&amp;Q2994,'New Weekly Paste'!A:M,8,0),VLOOKUP(B2994&amp;C2994&amp;Q2994,'New Weekly Paste'!B:O,10,0)),0)</f>
        <v/>
      </c>
      <c r="K2994" s="239" t="str">
        <f>IFERROR(IFERROR(VLOOKUP(B2994&amp;I2994&amp;Q2994,'New Weekly Paste'!A:M,8,0),VLOOKUP(B2994&amp;I2994&amp;Q2994,'New Weekly Paste'!B:O,10,0)),0)</f>
        <v/>
      </c>
      <c r="L2994" s="239">
        <f t="shared" si="25"/>
        <v>0</v>
      </c>
      <c r="M2994" s="36" t="str">
        <f t="shared" si="3"/>
        <v>Regular Season</v>
      </c>
      <c r="N2994" s="239" t="str">
        <f t="shared" si="26"/>
        <v>Rooney/Jackson</v>
      </c>
      <c r="O2994" s="6">
        <f>VLOOKUP(D2994,'Mapped Opponent'!$G$4:$H$22,2,0)</f>
        <v>10</v>
      </c>
      <c r="P2994" s="6"/>
      <c r="Q2994" s="6" t="str">
        <f t="shared" si="4"/>
        <v>Week 10</v>
      </c>
      <c r="R2994" s="6" t="str">
        <f t="shared" si="5"/>
        <v>2026Week 10</v>
      </c>
      <c r="S2994" s="6" t="str">
        <f>IFERROR(__xludf.DUMMYFUNCTION("rank(J2994,FILTER(J:J,R:R=R2994))"),"#N/A")</f>
        <v>#N/A</v>
      </c>
      <c r="T2994" s="6">
        <f t="shared" si="6"/>
        <v>0</v>
      </c>
      <c r="U2994" s="6">
        <f t="shared" si="7"/>
        <v>12</v>
      </c>
      <c r="V2994" s="42">
        <f>averageif(AllData!A:A,B2994,AllData!R:R)/vlookup(B2994,AllData!A:O,15,0)</f>
        <v>90.45916667</v>
      </c>
      <c r="W2994" s="6"/>
    </row>
    <row r="2995" ht="14.25" customHeight="1">
      <c r="A2995" s="6" t="str">
        <f t="shared" si="29"/>
        <v>2026Riley10</v>
      </c>
      <c r="B2995" s="59">
        <v>2026.0</v>
      </c>
      <c r="C2995" s="13" t="s">
        <v>67</v>
      </c>
      <c r="D2995" s="13" t="s">
        <v>149</v>
      </c>
      <c r="E2995" s="34"/>
      <c r="F2995" s="6"/>
      <c r="H2995" s="6"/>
      <c r="I2995" s="35" t="str">
        <f>IFERROR(IFERROR(IFERROR(VLOOKUP(B2995&amp;C2995&amp;Q2995,'New Weekly Paste'!A:M,10,0),VLOOKUP(B2995&amp;C2995&amp;Q2995,'New Weekly Paste'!B:O,6,0)),""),"")</f>
        <v>KnardDawg</v>
      </c>
      <c r="J2995" s="239" t="str">
        <f>IFERROR(IFERROR(VLOOKUP(B2995&amp;C2995&amp;Q2995,'New Weekly Paste'!A:M,8,0),VLOOKUP(B2995&amp;C2995&amp;Q2995,'New Weekly Paste'!B:O,10,0)),0)</f>
        <v/>
      </c>
      <c r="K2995" s="239" t="str">
        <f>IFERROR(IFERROR(VLOOKUP(B2995&amp;I2995&amp;Q2995,'New Weekly Paste'!A:M,8,0),VLOOKUP(B2995&amp;I2995&amp;Q2995,'New Weekly Paste'!B:O,10,0)),0)</f>
        <v/>
      </c>
      <c r="L2995" s="239">
        <f t="shared" si="25"/>
        <v>0</v>
      </c>
      <c r="M2995" s="36" t="str">
        <f t="shared" si="3"/>
        <v>Regular Season</v>
      </c>
      <c r="N2995" s="239" t="str">
        <f t="shared" si="26"/>
        <v>KnardDawg</v>
      </c>
      <c r="O2995" s="6">
        <f>VLOOKUP(D2995,'Mapped Opponent'!$G$4:$H$22,2,0)</f>
        <v>10</v>
      </c>
      <c r="P2995" s="6"/>
      <c r="Q2995" s="6" t="str">
        <f t="shared" si="4"/>
        <v>Week 10</v>
      </c>
      <c r="R2995" s="6" t="str">
        <f t="shared" si="5"/>
        <v>2026Week 10</v>
      </c>
      <c r="S2995" s="6" t="str">
        <f>IFERROR(__xludf.DUMMYFUNCTION("rank(J2995,FILTER(J:J,R:R=R2995))"),"#N/A")</f>
        <v>#N/A</v>
      </c>
      <c r="T2995" s="6">
        <f t="shared" si="6"/>
        <v>0</v>
      </c>
      <c r="U2995" s="6">
        <f t="shared" si="7"/>
        <v>12</v>
      </c>
      <c r="V2995" s="42">
        <f>averageif(AllData!A:A,B2995,AllData!R:R)/vlookup(B2995,AllData!A:O,15,0)</f>
        <v>90.45916667</v>
      </c>
      <c r="W2995" s="6"/>
    </row>
    <row r="2996" ht="14.25" customHeight="1">
      <c r="A2996" s="6" t="str">
        <f t="shared" si="29"/>
        <v>2026Rooney/Jackson10</v>
      </c>
      <c r="B2996" s="59">
        <v>2026.0</v>
      </c>
      <c r="C2996" s="13" t="s">
        <v>57</v>
      </c>
      <c r="D2996" s="13" t="s">
        <v>149</v>
      </c>
      <c r="E2996" s="34"/>
      <c r="F2996" s="6"/>
      <c r="H2996" s="6"/>
      <c r="I2996" s="35" t="str">
        <f>IFERROR(IFERROR(IFERROR(VLOOKUP(B2996&amp;C2996&amp;Q2996,'New Weekly Paste'!A:M,10,0),VLOOKUP(B2996&amp;C2996&amp;Q2996,'New Weekly Paste'!B:O,6,0)),""),"")</f>
        <v>Shep</v>
      </c>
      <c r="J2996" s="239" t="str">
        <f>IFERROR(IFERROR(VLOOKUP(B2996&amp;C2996&amp;Q2996,'New Weekly Paste'!A:M,8,0),VLOOKUP(B2996&amp;C2996&amp;Q2996,'New Weekly Paste'!B:O,10,0)),0)</f>
        <v/>
      </c>
      <c r="K2996" s="239" t="str">
        <f>IFERROR(IFERROR(VLOOKUP(B2996&amp;I2996&amp;Q2996,'New Weekly Paste'!A:M,8,0),VLOOKUP(B2996&amp;I2996&amp;Q2996,'New Weekly Paste'!B:O,10,0)),0)</f>
        <v/>
      </c>
      <c r="L2996" s="239">
        <f t="shared" si="25"/>
        <v>0</v>
      </c>
      <c r="M2996" s="36" t="str">
        <f t="shared" si="3"/>
        <v>Regular Season</v>
      </c>
      <c r="N2996" s="239" t="str">
        <f t="shared" si="26"/>
        <v>Shep</v>
      </c>
      <c r="O2996" s="6">
        <f>VLOOKUP(D2996,'Mapped Opponent'!$G$4:$H$22,2,0)</f>
        <v>10</v>
      </c>
      <c r="P2996" s="6"/>
      <c r="Q2996" s="6" t="str">
        <f t="shared" si="4"/>
        <v>Week 10</v>
      </c>
      <c r="R2996" s="6" t="str">
        <f t="shared" si="5"/>
        <v>2026Week 10</v>
      </c>
      <c r="S2996" s="6" t="str">
        <f>IFERROR(__xludf.DUMMYFUNCTION("rank(J2996,FILTER(J:J,R:R=R2996))"),"#N/A")</f>
        <v>#N/A</v>
      </c>
      <c r="T2996" s="6">
        <f t="shared" si="6"/>
        <v>0</v>
      </c>
      <c r="U2996" s="6">
        <f t="shared" si="7"/>
        <v>12</v>
      </c>
      <c r="V2996" s="42">
        <f>averageif(AllData!A:A,B2996,AllData!R:R)/vlookup(B2996,AllData!A:O,15,0)</f>
        <v>90.45916667</v>
      </c>
      <c r="W2996" s="6"/>
    </row>
    <row r="2997" ht="14.25" customHeight="1">
      <c r="A2997" s="6" t="str">
        <f t="shared" si="29"/>
        <v>2026Buser10</v>
      </c>
      <c r="B2997" s="59">
        <v>2026.0</v>
      </c>
      <c r="C2997" s="13" t="s">
        <v>47</v>
      </c>
      <c r="D2997" s="13" t="s">
        <v>149</v>
      </c>
      <c r="E2997" s="34"/>
      <c r="F2997" s="6"/>
      <c r="H2997" s="6"/>
      <c r="I2997" s="35" t="str">
        <f>IFERROR(IFERROR(IFERROR(VLOOKUP(B2997&amp;C2997&amp;Q2997,'New Weekly Paste'!A:M,10,0),VLOOKUP(B2997&amp;C2997&amp;Q2997,'New Weekly Paste'!B:O,6,0)),""),"")</f>
        <v>Pierson</v>
      </c>
      <c r="J2997" s="239" t="str">
        <f>IFERROR(IFERROR(VLOOKUP(B2997&amp;C2997&amp;Q2997,'New Weekly Paste'!A:M,8,0),VLOOKUP(B2997&amp;C2997&amp;Q2997,'New Weekly Paste'!B:O,10,0)),0)</f>
        <v/>
      </c>
      <c r="K2997" s="239" t="str">
        <f>IFERROR(IFERROR(VLOOKUP(B2997&amp;I2997&amp;Q2997,'New Weekly Paste'!A:M,8,0),VLOOKUP(B2997&amp;I2997&amp;Q2997,'New Weekly Paste'!B:O,10,0)),0)</f>
        <v/>
      </c>
      <c r="L2997" s="239">
        <f t="shared" si="25"/>
        <v>0</v>
      </c>
      <c r="M2997" s="36" t="str">
        <f t="shared" si="3"/>
        <v>Regular Season</v>
      </c>
      <c r="N2997" s="239" t="str">
        <f t="shared" si="26"/>
        <v>Pierson</v>
      </c>
      <c r="O2997" s="6">
        <f>VLOOKUP(D2997,'Mapped Opponent'!$G$4:$H$22,2,0)</f>
        <v>10</v>
      </c>
      <c r="P2997" s="6"/>
      <c r="Q2997" s="6" t="str">
        <f t="shared" si="4"/>
        <v>Week 10</v>
      </c>
      <c r="R2997" s="6" t="str">
        <f t="shared" si="5"/>
        <v>2026Week 10</v>
      </c>
      <c r="S2997" s="6" t="str">
        <f>IFERROR(__xludf.DUMMYFUNCTION("rank(J2997,FILTER(J:J,R:R=R2997))"),"#N/A")</f>
        <v>#N/A</v>
      </c>
      <c r="T2997" s="6">
        <f t="shared" si="6"/>
        <v>0</v>
      </c>
      <c r="U2997" s="6">
        <f t="shared" si="7"/>
        <v>12</v>
      </c>
      <c r="V2997" s="42">
        <f>averageif(AllData!A:A,B2997,AllData!R:R)/vlookup(B2997,AllData!A:O,15,0)</f>
        <v>90.45916667</v>
      </c>
      <c r="W2997" s="6"/>
    </row>
    <row r="2998" ht="14.25" customHeight="1">
      <c r="A2998" s="6" t="str">
        <f t="shared" si="29"/>
        <v>2026Pierson10</v>
      </c>
      <c r="B2998" s="59">
        <v>2026.0</v>
      </c>
      <c r="C2998" s="13" t="s">
        <v>92</v>
      </c>
      <c r="D2998" s="13" t="s">
        <v>149</v>
      </c>
      <c r="E2998" s="34"/>
      <c r="F2998" s="6"/>
      <c r="H2998" s="6"/>
      <c r="I2998" s="35" t="str">
        <f>IFERROR(IFERROR(IFERROR(VLOOKUP(B2998&amp;C2998&amp;Q2998,'New Weekly Paste'!A:M,10,0),VLOOKUP(B2998&amp;C2998&amp;Q2998,'New Weekly Paste'!B:O,6,0)),""),"")</f>
        <v>Buser</v>
      </c>
      <c r="J2998" s="239" t="str">
        <f>IFERROR(IFERROR(VLOOKUP(B2998&amp;C2998&amp;Q2998,'New Weekly Paste'!A:M,8,0),VLOOKUP(B2998&amp;C2998&amp;Q2998,'New Weekly Paste'!B:O,10,0)),0)</f>
        <v/>
      </c>
      <c r="K2998" s="239" t="str">
        <f>IFERROR(IFERROR(VLOOKUP(B2998&amp;I2998&amp;Q2998,'New Weekly Paste'!A:M,8,0),VLOOKUP(B2998&amp;I2998&amp;Q2998,'New Weekly Paste'!B:O,10,0)),0)</f>
        <v/>
      </c>
      <c r="L2998" s="239">
        <f t="shared" si="25"/>
        <v>0</v>
      </c>
      <c r="M2998" s="36" t="str">
        <f t="shared" si="3"/>
        <v>Regular Season</v>
      </c>
      <c r="N2998" s="239" t="str">
        <f t="shared" si="26"/>
        <v>Buser</v>
      </c>
      <c r="O2998" s="6">
        <f>VLOOKUP(D2998,'Mapped Opponent'!$G$4:$H$22,2,0)</f>
        <v>10</v>
      </c>
      <c r="P2998" s="6"/>
      <c r="Q2998" s="6" t="str">
        <f t="shared" si="4"/>
        <v>Week 10</v>
      </c>
      <c r="R2998" s="6" t="str">
        <f t="shared" si="5"/>
        <v>2026Week 10</v>
      </c>
      <c r="S2998" s="6" t="str">
        <f>IFERROR(__xludf.DUMMYFUNCTION("rank(J2998,FILTER(J:J,R:R=R2998))"),"#N/A")</f>
        <v>#N/A</v>
      </c>
      <c r="T2998" s="6">
        <f t="shared" si="6"/>
        <v>0</v>
      </c>
      <c r="U2998" s="6">
        <f t="shared" si="7"/>
        <v>12</v>
      </c>
      <c r="V2998" s="42">
        <f>averageif(AllData!A:A,B2998,AllData!R:R)/vlookup(B2998,AllData!A:O,15,0)</f>
        <v>90.45916667</v>
      </c>
      <c r="W2998" s="6"/>
    </row>
    <row r="2999" ht="14.25" customHeight="1">
      <c r="A2999" s="6" t="str">
        <f t="shared" si="29"/>
        <v>2026Cock10</v>
      </c>
      <c r="B2999" s="59">
        <v>2026.0</v>
      </c>
      <c r="C2999" s="13" t="s">
        <v>72</v>
      </c>
      <c r="D2999" s="13" t="s">
        <v>149</v>
      </c>
      <c r="E2999" s="34"/>
      <c r="F2999" s="6"/>
      <c r="H2999" s="6"/>
      <c r="I2999" s="35" t="str">
        <f>IFERROR(IFERROR(IFERROR(VLOOKUP(B2999&amp;C2999&amp;Q2999,'New Weekly Paste'!A:M,10,0),VLOOKUP(B2999&amp;C2999&amp;Q2999,'New Weekly Paste'!B:O,6,0)),""),"")</f>
        <v>Hudspeath</v>
      </c>
      <c r="J2999" s="239" t="str">
        <f>IFERROR(IFERROR(VLOOKUP(B2999&amp;C2999&amp;Q2999,'New Weekly Paste'!A:M,8,0),VLOOKUP(B2999&amp;C2999&amp;Q2999,'New Weekly Paste'!B:O,10,0)),0)</f>
        <v/>
      </c>
      <c r="K2999" s="239" t="str">
        <f>IFERROR(IFERROR(VLOOKUP(B2999&amp;I2999&amp;Q2999,'New Weekly Paste'!A:M,8,0),VLOOKUP(B2999&amp;I2999&amp;Q2999,'New Weekly Paste'!B:O,10,0)),0)</f>
        <v/>
      </c>
      <c r="L2999" s="239">
        <f t="shared" si="25"/>
        <v>0</v>
      </c>
      <c r="M2999" s="36" t="str">
        <f t="shared" si="3"/>
        <v>Regular Season</v>
      </c>
      <c r="N2999" s="239" t="str">
        <f t="shared" si="26"/>
        <v>Hudspeath</v>
      </c>
      <c r="O2999" s="6">
        <f>VLOOKUP(D2999,'Mapped Opponent'!$G$4:$H$22,2,0)</f>
        <v>10</v>
      </c>
      <c r="P2999" s="6"/>
      <c r="Q2999" s="6" t="str">
        <f t="shared" si="4"/>
        <v>Week 10</v>
      </c>
      <c r="R2999" s="6" t="str">
        <f t="shared" si="5"/>
        <v>2026Week 10</v>
      </c>
      <c r="S2999" s="6" t="str">
        <f>IFERROR(__xludf.DUMMYFUNCTION("rank(J2999,FILTER(J:J,R:R=R2999))"),"#N/A")</f>
        <v>#N/A</v>
      </c>
      <c r="T2999" s="6">
        <f t="shared" si="6"/>
        <v>0</v>
      </c>
      <c r="U2999" s="6">
        <f t="shared" si="7"/>
        <v>12</v>
      </c>
      <c r="V2999" s="42">
        <f>averageif(AllData!A:A,B2999,AllData!R:R)/vlookup(B2999,AllData!A:O,15,0)</f>
        <v>90.45916667</v>
      </c>
      <c r="W2999" s="6"/>
    </row>
    <row r="3000" ht="14.25" customHeight="1">
      <c r="A3000" s="6" t="str">
        <f t="shared" si="29"/>
        <v>2026Tayski10</v>
      </c>
      <c r="B3000" s="59">
        <v>2026.0</v>
      </c>
      <c r="C3000" s="13" t="s">
        <v>52</v>
      </c>
      <c r="D3000" s="13" t="s">
        <v>149</v>
      </c>
      <c r="E3000" s="34"/>
      <c r="F3000" s="6"/>
      <c r="H3000" s="6"/>
      <c r="I3000" s="35" t="str">
        <f>IFERROR(IFERROR(IFERROR(VLOOKUP(B3000&amp;C3000&amp;Q3000,'New Weekly Paste'!A:M,10,0),VLOOKUP(B3000&amp;C3000&amp;Q3000,'New Weekly Paste'!B:O,6,0)),""),"")</f>
        <v>Salty</v>
      </c>
      <c r="J3000" s="239" t="str">
        <f>IFERROR(IFERROR(VLOOKUP(B3000&amp;C3000&amp;Q3000,'New Weekly Paste'!A:M,8,0),VLOOKUP(B3000&amp;C3000&amp;Q3000,'New Weekly Paste'!B:O,10,0)),0)</f>
        <v/>
      </c>
      <c r="K3000" s="239" t="str">
        <f>IFERROR(IFERROR(VLOOKUP(B3000&amp;I3000&amp;Q3000,'New Weekly Paste'!A:M,8,0),VLOOKUP(B3000&amp;I3000&amp;Q3000,'New Weekly Paste'!B:O,10,0)),0)</f>
        <v/>
      </c>
      <c r="L3000" s="239">
        <f t="shared" si="25"/>
        <v>0</v>
      </c>
      <c r="M3000" s="36" t="str">
        <f t="shared" si="3"/>
        <v>Regular Season</v>
      </c>
      <c r="N3000" s="239" t="str">
        <f t="shared" si="26"/>
        <v>Salty</v>
      </c>
      <c r="O3000" s="6">
        <f>VLOOKUP(D3000,'Mapped Opponent'!$G$4:$H$22,2,0)</f>
        <v>10</v>
      </c>
      <c r="P3000" s="6"/>
      <c r="Q3000" s="6" t="str">
        <f t="shared" si="4"/>
        <v>Week 10</v>
      </c>
      <c r="R3000" s="6" t="str">
        <f t="shared" si="5"/>
        <v>2026Week 10</v>
      </c>
      <c r="S3000" s="6" t="str">
        <f>IFERROR(__xludf.DUMMYFUNCTION("rank(J3000,FILTER(J:J,R:R=R3000))"),"#N/A")</f>
        <v>#N/A</v>
      </c>
      <c r="T3000" s="6">
        <f t="shared" si="6"/>
        <v>0</v>
      </c>
      <c r="U3000" s="6">
        <f t="shared" si="7"/>
        <v>12</v>
      </c>
      <c r="V3000" s="42">
        <f>averageif(AllData!A:A,B3000,AllData!R:R)/vlookup(B3000,AllData!A:O,15,0)</f>
        <v>90.45916667</v>
      </c>
      <c r="W3000" s="6"/>
    </row>
    <row r="3001" ht="14.25" customHeight="1">
      <c r="A3001" s="6" t="str">
        <f t="shared" si="29"/>
        <v>2026KnardDawg10</v>
      </c>
      <c r="B3001" s="59">
        <v>2026.0</v>
      </c>
      <c r="C3001" s="13" t="s">
        <v>86</v>
      </c>
      <c r="D3001" s="13" t="s">
        <v>149</v>
      </c>
      <c r="E3001" s="34"/>
      <c r="F3001" s="6"/>
      <c r="H3001" s="6"/>
      <c r="I3001" s="35" t="str">
        <f>IFERROR(IFERROR(IFERROR(VLOOKUP(B3001&amp;C3001&amp;Q3001,'New Weekly Paste'!A:M,10,0),VLOOKUP(B3001&amp;C3001&amp;Q3001,'New Weekly Paste'!B:O,6,0)),""),"")</f>
        <v>Riley</v>
      </c>
      <c r="J3001" s="239" t="str">
        <f>IFERROR(IFERROR(VLOOKUP(B3001&amp;C3001&amp;Q3001,'New Weekly Paste'!A:M,8,0),VLOOKUP(B3001&amp;C3001&amp;Q3001,'New Weekly Paste'!B:O,10,0)),0)</f>
        <v/>
      </c>
      <c r="K3001" s="239" t="str">
        <f>IFERROR(IFERROR(VLOOKUP(B3001&amp;I3001&amp;Q3001,'New Weekly Paste'!A:M,8,0),VLOOKUP(B3001&amp;I3001&amp;Q3001,'New Weekly Paste'!B:O,10,0)),0)</f>
        <v/>
      </c>
      <c r="L3001" s="239">
        <f t="shared" si="25"/>
        <v>0</v>
      </c>
      <c r="M3001" s="36" t="str">
        <f t="shared" si="3"/>
        <v>Regular Season</v>
      </c>
      <c r="N3001" s="239" t="str">
        <f t="shared" si="26"/>
        <v>Riley</v>
      </c>
      <c r="O3001" s="6">
        <f>VLOOKUP(D3001,'Mapped Opponent'!$G$4:$H$22,2,0)</f>
        <v>10</v>
      </c>
      <c r="P3001" s="6"/>
      <c r="Q3001" s="6" t="str">
        <f t="shared" si="4"/>
        <v>Week 10</v>
      </c>
      <c r="R3001" s="6" t="str">
        <f t="shared" si="5"/>
        <v>2026Week 10</v>
      </c>
      <c r="S3001" s="6" t="str">
        <f>IFERROR(__xludf.DUMMYFUNCTION("rank(J3001,FILTER(J:J,R:R=R3001))"),"#N/A")</f>
        <v>#N/A</v>
      </c>
      <c r="T3001" s="6">
        <f t="shared" si="6"/>
        <v>0</v>
      </c>
      <c r="U3001" s="6">
        <f t="shared" si="7"/>
        <v>12</v>
      </c>
      <c r="V3001" s="42">
        <f>averageif(AllData!A:A,B3001,AllData!R:R)/vlookup(B3001,AllData!A:O,15,0)</f>
        <v>90.45916667</v>
      </c>
      <c r="W3001" s="6"/>
    </row>
    <row r="3002" ht="14.25" customHeight="1">
      <c r="A3002" s="6" t="str">
        <f t="shared" si="29"/>
        <v>2026T-How10</v>
      </c>
      <c r="B3002" s="59">
        <v>2026.0</v>
      </c>
      <c r="C3002" s="13" t="s">
        <v>82</v>
      </c>
      <c r="D3002" s="13" t="s">
        <v>149</v>
      </c>
      <c r="E3002" s="34"/>
      <c r="F3002" s="6"/>
      <c r="H3002" s="6"/>
      <c r="I3002" s="35" t="str">
        <f>IFERROR(IFERROR(IFERROR(VLOOKUP(B3002&amp;C3002&amp;Q3002,'New Weekly Paste'!A:M,10,0),VLOOKUP(B3002&amp;C3002&amp;Q3002,'New Weekly Paste'!B:O,6,0)),""),"")</f>
        <v>Ewert</v>
      </c>
      <c r="J3002" s="239" t="str">
        <f>IFERROR(IFERROR(VLOOKUP(B3002&amp;C3002&amp;Q3002,'New Weekly Paste'!A:M,8,0),VLOOKUP(B3002&amp;C3002&amp;Q3002,'New Weekly Paste'!B:O,10,0)),0)</f>
        <v/>
      </c>
      <c r="K3002" s="239" t="str">
        <f>IFERROR(IFERROR(VLOOKUP(B3002&amp;I3002&amp;Q3002,'New Weekly Paste'!A:M,8,0),VLOOKUP(B3002&amp;I3002&amp;Q3002,'New Weekly Paste'!B:O,10,0)),0)</f>
        <v/>
      </c>
      <c r="L3002" s="239">
        <f t="shared" si="25"/>
        <v>0</v>
      </c>
      <c r="M3002" s="36" t="str">
        <f t="shared" si="3"/>
        <v>Regular Season</v>
      </c>
      <c r="N3002" s="239" t="str">
        <f t="shared" si="26"/>
        <v>Ewert</v>
      </c>
      <c r="O3002" s="6">
        <f>VLOOKUP(D3002,'Mapped Opponent'!$G$4:$H$22,2,0)</f>
        <v>10</v>
      </c>
      <c r="P3002" s="6"/>
      <c r="Q3002" s="6" t="str">
        <f t="shared" si="4"/>
        <v>Week 10</v>
      </c>
      <c r="R3002" s="6" t="str">
        <f t="shared" si="5"/>
        <v>2026Week 10</v>
      </c>
      <c r="S3002" s="6" t="str">
        <f>IFERROR(__xludf.DUMMYFUNCTION("rank(J3002,FILTER(J:J,R:R=R3002))"),"#N/A")</f>
        <v>#N/A</v>
      </c>
      <c r="T3002" s="6">
        <f t="shared" si="6"/>
        <v>0</v>
      </c>
      <c r="U3002" s="6">
        <f t="shared" si="7"/>
        <v>12</v>
      </c>
      <c r="V3002" s="42">
        <f>averageif(AllData!A:A,B3002,AllData!R:R)/vlookup(B3002,AllData!A:O,15,0)</f>
        <v>90.45916667</v>
      </c>
      <c r="W3002" s="6"/>
    </row>
    <row r="3003" ht="14.25" customHeight="1">
      <c r="A3003" s="6" t="str">
        <f t="shared" si="29"/>
        <v>2026Hudspeath11</v>
      </c>
      <c r="B3003" s="59">
        <v>2026.0</v>
      </c>
      <c r="C3003" s="13" t="s">
        <v>39</v>
      </c>
      <c r="D3003" s="13" t="s">
        <v>150</v>
      </c>
      <c r="E3003" s="34"/>
      <c r="F3003" s="6"/>
      <c r="H3003" s="6"/>
      <c r="I3003" s="35" t="str">
        <f>IFERROR(IFERROR(IFERROR(VLOOKUP(B3003&amp;C3003&amp;Q3003,'New Weekly Paste'!A:M,10,0),VLOOKUP(B3003&amp;C3003&amp;Q3003,'New Weekly Paste'!B:O,6,0)),""),"")</f>
        <v>T-How</v>
      </c>
      <c r="J3003" s="239" t="str">
        <f>IFERROR(IFERROR(VLOOKUP(B3003&amp;C3003&amp;Q3003,'New Weekly Paste'!A:M,8,0),VLOOKUP(B3003&amp;C3003&amp;Q3003,'New Weekly Paste'!B:O,10,0)),0)</f>
        <v/>
      </c>
      <c r="K3003" s="239" t="str">
        <f>IFERROR(IFERROR(VLOOKUP(B3003&amp;I3003&amp;Q3003,'New Weekly Paste'!A:M,8,0),VLOOKUP(B3003&amp;I3003&amp;Q3003,'New Weekly Paste'!B:O,10,0)),0)</f>
        <v/>
      </c>
      <c r="L3003" s="239">
        <f t="shared" si="25"/>
        <v>0</v>
      </c>
      <c r="M3003" s="36" t="str">
        <f t="shared" si="3"/>
        <v>Regular Season</v>
      </c>
      <c r="N3003" s="239" t="str">
        <f t="shared" si="26"/>
        <v>T-How</v>
      </c>
      <c r="O3003" s="6">
        <f>VLOOKUP(D3003,'Mapped Opponent'!$G$4:$H$22,2,0)</f>
        <v>11</v>
      </c>
      <c r="P3003" s="6"/>
      <c r="Q3003" s="6" t="str">
        <f t="shared" si="4"/>
        <v>Week 11</v>
      </c>
      <c r="R3003" s="6" t="str">
        <f t="shared" si="5"/>
        <v>2026Week 11</v>
      </c>
      <c r="S3003" s="6" t="str">
        <f>IFERROR(__xludf.DUMMYFUNCTION("rank(J3003,FILTER(J:J,R:R=R3003))"),"#N/A")</f>
        <v>#N/A</v>
      </c>
      <c r="T3003" s="6">
        <f t="shared" si="6"/>
        <v>0</v>
      </c>
      <c r="U3003" s="6">
        <f t="shared" si="7"/>
        <v>12</v>
      </c>
      <c r="V3003" s="42">
        <f>averageif(AllData!A:A,B3003,AllData!R:R)/vlookup(B3003,AllData!A:O,15,0)</f>
        <v>90.45916667</v>
      </c>
      <c r="W3003" s="6"/>
    </row>
    <row r="3004" ht="14.25" customHeight="1">
      <c r="A3004" s="6" t="str">
        <f t="shared" si="29"/>
        <v>2026Salty11</v>
      </c>
      <c r="B3004" s="59">
        <v>2026.0</v>
      </c>
      <c r="C3004" s="13" t="s">
        <v>76</v>
      </c>
      <c r="D3004" s="13" t="s">
        <v>150</v>
      </c>
      <c r="E3004" s="34"/>
      <c r="F3004" s="6"/>
      <c r="H3004" s="6"/>
      <c r="I3004" s="35" t="str">
        <f>IFERROR(IFERROR(IFERROR(VLOOKUP(B3004&amp;C3004&amp;Q3004,'New Weekly Paste'!A:M,10,0),VLOOKUP(B3004&amp;C3004&amp;Q3004,'New Weekly Paste'!B:O,6,0)),""),"")</f>
        <v>Pierson</v>
      </c>
      <c r="J3004" s="239" t="str">
        <f>IFERROR(IFERROR(VLOOKUP(B3004&amp;C3004&amp;Q3004,'New Weekly Paste'!A:M,8,0),VLOOKUP(B3004&amp;C3004&amp;Q3004,'New Weekly Paste'!B:O,10,0)),0)</f>
        <v/>
      </c>
      <c r="K3004" s="239" t="str">
        <f>IFERROR(IFERROR(VLOOKUP(B3004&amp;I3004&amp;Q3004,'New Weekly Paste'!A:M,8,0),VLOOKUP(B3004&amp;I3004&amp;Q3004,'New Weekly Paste'!B:O,10,0)),0)</f>
        <v/>
      </c>
      <c r="L3004" s="239">
        <f t="shared" si="25"/>
        <v>0</v>
      </c>
      <c r="M3004" s="36" t="str">
        <f t="shared" si="3"/>
        <v>Regular Season</v>
      </c>
      <c r="N3004" s="239" t="str">
        <f t="shared" si="26"/>
        <v>Pierson</v>
      </c>
      <c r="O3004" s="6">
        <f>VLOOKUP(D3004,'Mapped Opponent'!$G$4:$H$22,2,0)</f>
        <v>11</v>
      </c>
      <c r="P3004" s="6"/>
      <c r="Q3004" s="6" t="str">
        <f t="shared" si="4"/>
        <v>Week 11</v>
      </c>
      <c r="R3004" s="6" t="str">
        <f t="shared" si="5"/>
        <v>2026Week 11</v>
      </c>
      <c r="S3004" s="6" t="str">
        <f>IFERROR(__xludf.DUMMYFUNCTION("rank(J3004,FILTER(J:J,R:R=R3004))"),"#N/A")</f>
        <v>#N/A</v>
      </c>
      <c r="T3004" s="6">
        <f t="shared" si="6"/>
        <v>0</v>
      </c>
      <c r="U3004" s="6">
        <f t="shared" si="7"/>
        <v>12</v>
      </c>
      <c r="V3004" s="42">
        <f>averageif(AllData!A:A,B3004,AllData!R:R)/vlookup(B3004,AllData!A:O,15,0)</f>
        <v>90.45916667</v>
      </c>
      <c r="W3004" s="6"/>
    </row>
    <row r="3005" ht="14.25" customHeight="1">
      <c r="A3005" s="6" t="str">
        <f t="shared" si="29"/>
        <v>2026Ewert11</v>
      </c>
      <c r="B3005" s="59">
        <v>2026.0</v>
      </c>
      <c r="C3005" s="13" t="s">
        <v>108</v>
      </c>
      <c r="D3005" s="13" t="s">
        <v>150</v>
      </c>
      <c r="E3005" s="34"/>
      <c r="F3005" s="6"/>
      <c r="H3005" s="6"/>
      <c r="I3005" s="35" t="str">
        <f>IFERROR(IFERROR(IFERROR(VLOOKUP(B3005&amp;C3005&amp;Q3005,'New Weekly Paste'!A:M,10,0),VLOOKUP(B3005&amp;C3005&amp;Q3005,'New Weekly Paste'!B:O,6,0)),""),"")</f>
        <v>Rooney/Jackson</v>
      </c>
      <c r="J3005" s="239" t="str">
        <f>IFERROR(IFERROR(VLOOKUP(B3005&amp;C3005&amp;Q3005,'New Weekly Paste'!A:M,8,0),VLOOKUP(B3005&amp;C3005&amp;Q3005,'New Weekly Paste'!B:O,10,0)),0)</f>
        <v/>
      </c>
      <c r="K3005" s="239" t="str">
        <f>IFERROR(IFERROR(VLOOKUP(B3005&amp;I3005&amp;Q3005,'New Weekly Paste'!A:M,8,0),VLOOKUP(B3005&amp;I3005&amp;Q3005,'New Weekly Paste'!B:O,10,0)),0)</f>
        <v/>
      </c>
      <c r="L3005" s="239">
        <f t="shared" si="25"/>
        <v>0</v>
      </c>
      <c r="M3005" s="36" t="str">
        <f t="shared" si="3"/>
        <v>Regular Season</v>
      </c>
      <c r="N3005" s="239" t="str">
        <f t="shared" si="26"/>
        <v>Rooney/Jackson</v>
      </c>
      <c r="O3005" s="6">
        <f>VLOOKUP(D3005,'Mapped Opponent'!$G$4:$H$22,2,0)</f>
        <v>11</v>
      </c>
      <c r="P3005" s="6"/>
      <c r="Q3005" s="6" t="str">
        <f t="shared" si="4"/>
        <v>Week 11</v>
      </c>
      <c r="R3005" s="6" t="str">
        <f t="shared" si="5"/>
        <v>2026Week 11</v>
      </c>
      <c r="S3005" s="6" t="str">
        <f>IFERROR(__xludf.DUMMYFUNCTION("rank(J3005,FILTER(J:J,R:R=R3005))"),"#N/A")</f>
        <v>#N/A</v>
      </c>
      <c r="T3005" s="6">
        <f t="shared" si="6"/>
        <v>0</v>
      </c>
      <c r="U3005" s="6">
        <f t="shared" si="7"/>
        <v>12</v>
      </c>
      <c r="V3005" s="42">
        <f>averageif(AllData!A:A,B3005,AllData!R:R)/vlookup(B3005,AllData!A:O,15,0)</f>
        <v>90.45916667</v>
      </c>
      <c r="W3005" s="6"/>
    </row>
    <row r="3006" ht="14.25" customHeight="1">
      <c r="A3006" s="6" t="str">
        <f t="shared" si="29"/>
        <v>2026Shep11</v>
      </c>
      <c r="B3006" s="59">
        <v>2026.0</v>
      </c>
      <c r="C3006" s="13" t="s">
        <v>89</v>
      </c>
      <c r="D3006" s="13" t="s">
        <v>150</v>
      </c>
      <c r="E3006" s="34"/>
      <c r="F3006" s="6"/>
      <c r="H3006" s="6"/>
      <c r="I3006" s="35" t="str">
        <f>IFERROR(IFERROR(IFERROR(VLOOKUP(B3006&amp;C3006&amp;Q3006,'New Weekly Paste'!A:M,10,0),VLOOKUP(B3006&amp;C3006&amp;Q3006,'New Weekly Paste'!B:O,6,0)),""),"")</f>
        <v>KnardDawg</v>
      </c>
      <c r="J3006" s="239" t="str">
        <f>IFERROR(IFERROR(VLOOKUP(B3006&amp;C3006&amp;Q3006,'New Weekly Paste'!A:M,8,0),VLOOKUP(B3006&amp;C3006&amp;Q3006,'New Weekly Paste'!B:O,10,0)),0)</f>
        <v/>
      </c>
      <c r="K3006" s="239" t="str">
        <f>IFERROR(IFERROR(VLOOKUP(B3006&amp;I3006&amp;Q3006,'New Weekly Paste'!A:M,8,0),VLOOKUP(B3006&amp;I3006&amp;Q3006,'New Weekly Paste'!B:O,10,0)),0)</f>
        <v/>
      </c>
      <c r="L3006" s="239">
        <f t="shared" si="25"/>
        <v>0</v>
      </c>
      <c r="M3006" s="36" t="str">
        <f t="shared" si="3"/>
        <v>Regular Season</v>
      </c>
      <c r="N3006" s="239" t="str">
        <f t="shared" si="26"/>
        <v>KnardDawg</v>
      </c>
      <c r="O3006" s="6">
        <f>VLOOKUP(D3006,'Mapped Opponent'!$G$4:$H$22,2,0)</f>
        <v>11</v>
      </c>
      <c r="P3006" s="6"/>
      <c r="Q3006" s="6" t="str">
        <f t="shared" si="4"/>
        <v>Week 11</v>
      </c>
      <c r="R3006" s="6" t="str">
        <f t="shared" si="5"/>
        <v>2026Week 11</v>
      </c>
      <c r="S3006" s="6" t="str">
        <f>IFERROR(__xludf.DUMMYFUNCTION("rank(J3006,FILTER(J:J,R:R=R3006))"),"#N/A")</f>
        <v>#N/A</v>
      </c>
      <c r="T3006" s="6">
        <f t="shared" si="6"/>
        <v>0</v>
      </c>
      <c r="U3006" s="6">
        <f t="shared" si="7"/>
        <v>12</v>
      </c>
      <c r="V3006" s="42">
        <f>averageif(AllData!A:A,B3006,AllData!R:R)/vlookup(B3006,AllData!A:O,15,0)</f>
        <v>90.45916667</v>
      </c>
      <c r="W3006" s="6"/>
    </row>
    <row r="3007" ht="14.25" customHeight="1">
      <c r="A3007" s="6" t="str">
        <f t="shared" si="29"/>
        <v>2026Riley11</v>
      </c>
      <c r="B3007" s="59">
        <v>2026.0</v>
      </c>
      <c r="C3007" s="13" t="s">
        <v>67</v>
      </c>
      <c r="D3007" s="13" t="s">
        <v>150</v>
      </c>
      <c r="E3007" s="34"/>
      <c r="F3007" s="6"/>
      <c r="H3007" s="6"/>
      <c r="I3007" s="35" t="str">
        <f>IFERROR(IFERROR(IFERROR(VLOOKUP(B3007&amp;C3007&amp;Q3007,'New Weekly Paste'!A:M,10,0),VLOOKUP(B3007&amp;C3007&amp;Q3007,'New Weekly Paste'!B:O,6,0)),""),"")</f>
        <v>Buser</v>
      </c>
      <c r="J3007" s="239" t="str">
        <f>IFERROR(IFERROR(VLOOKUP(B3007&amp;C3007&amp;Q3007,'New Weekly Paste'!A:M,8,0),VLOOKUP(B3007&amp;C3007&amp;Q3007,'New Weekly Paste'!B:O,10,0)),0)</f>
        <v/>
      </c>
      <c r="K3007" s="239" t="str">
        <f>IFERROR(IFERROR(VLOOKUP(B3007&amp;I3007&amp;Q3007,'New Weekly Paste'!A:M,8,0),VLOOKUP(B3007&amp;I3007&amp;Q3007,'New Weekly Paste'!B:O,10,0)),0)</f>
        <v/>
      </c>
      <c r="L3007" s="239">
        <f t="shared" si="25"/>
        <v>0</v>
      </c>
      <c r="M3007" s="36" t="str">
        <f t="shared" si="3"/>
        <v>Regular Season</v>
      </c>
      <c r="N3007" s="239" t="str">
        <f t="shared" si="26"/>
        <v>Buser</v>
      </c>
      <c r="O3007" s="6">
        <f>VLOOKUP(D3007,'Mapped Opponent'!$G$4:$H$22,2,0)</f>
        <v>11</v>
      </c>
      <c r="P3007" s="6"/>
      <c r="Q3007" s="6" t="str">
        <f t="shared" si="4"/>
        <v>Week 11</v>
      </c>
      <c r="R3007" s="6" t="str">
        <f t="shared" si="5"/>
        <v>2026Week 11</v>
      </c>
      <c r="S3007" s="6" t="str">
        <f>IFERROR(__xludf.DUMMYFUNCTION("rank(J3007,FILTER(J:J,R:R=R3007))"),"#N/A")</f>
        <v>#N/A</v>
      </c>
      <c r="T3007" s="6">
        <f t="shared" si="6"/>
        <v>0</v>
      </c>
      <c r="U3007" s="6">
        <f t="shared" si="7"/>
        <v>12</v>
      </c>
      <c r="V3007" s="42">
        <f>averageif(AllData!A:A,B3007,AllData!R:R)/vlookup(B3007,AllData!A:O,15,0)</f>
        <v>90.45916667</v>
      </c>
      <c r="W3007" s="6"/>
    </row>
    <row r="3008" ht="14.25" customHeight="1">
      <c r="A3008" s="6" t="str">
        <f t="shared" si="29"/>
        <v>2026Rooney/Jackson11</v>
      </c>
      <c r="B3008" s="59">
        <v>2026.0</v>
      </c>
      <c r="C3008" s="13" t="s">
        <v>57</v>
      </c>
      <c r="D3008" s="13" t="s">
        <v>150</v>
      </c>
      <c r="E3008" s="34"/>
      <c r="F3008" s="6"/>
      <c r="H3008" s="6"/>
      <c r="I3008" s="35" t="str">
        <f>IFERROR(IFERROR(IFERROR(VLOOKUP(B3008&amp;C3008&amp;Q3008,'New Weekly Paste'!A:M,10,0),VLOOKUP(B3008&amp;C3008&amp;Q3008,'New Weekly Paste'!B:O,6,0)),""),"")</f>
        <v>Ewert</v>
      </c>
      <c r="J3008" s="239" t="str">
        <f>IFERROR(IFERROR(VLOOKUP(B3008&amp;C3008&amp;Q3008,'New Weekly Paste'!A:M,8,0),VLOOKUP(B3008&amp;C3008&amp;Q3008,'New Weekly Paste'!B:O,10,0)),0)</f>
        <v/>
      </c>
      <c r="K3008" s="239" t="str">
        <f>IFERROR(IFERROR(VLOOKUP(B3008&amp;I3008&amp;Q3008,'New Weekly Paste'!A:M,8,0),VLOOKUP(B3008&amp;I3008&amp;Q3008,'New Weekly Paste'!B:O,10,0)),0)</f>
        <v/>
      </c>
      <c r="L3008" s="239">
        <f t="shared" si="25"/>
        <v>0</v>
      </c>
      <c r="M3008" s="36" t="str">
        <f t="shared" si="3"/>
        <v>Regular Season</v>
      </c>
      <c r="N3008" s="239" t="str">
        <f t="shared" si="26"/>
        <v>Ewert</v>
      </c>
      <c r="O3008" s="6">
        <f>VLOOKUP(D3008,'Mapped Opponent'!$G$4:$H$22,2,0)</f>
        <v>11</v>
      </c>
      <c r="P3008" s="6"/>
      <c r="Q3008" s="6" t="str">
        <f t="shared" si="4"/>
        <v>Week 11</v>
      </c>
      <c r="R3008" s="6" t="str">
        <f t="shared" si="5"/>
        <v>2026Week 11</v>
      </c>
      <c r="S3008" s="6" t="str">
        <f>IFERROR(__xludf.DUMMYFUNCTION("rank(J3008,FILTER(J:J,R:R=R3008))"),"#N/A")</f>
        <v>#N/A</v>
      </c>
      <c r="T3008" s="6">
        <f t="shared" si="6"/>
        <v>0</v>
      </c>
      <c r="U3008" s="6">
        <f t="shared" si="7"/>
        <v>12</v>
      </c>
      <c r="V3008" s="42">
        <f>averageif(AllData!A:A,B3008,AllData!R:R)/vlookup(B3008,AllData!A:O,15,0)</f>
        <v>90.45916667</v>
      </c>
      <c r="W3008" s="6"/>
    </row>
    <row r="3009" ht="14.25" customHeight="1">
      <c r="A3009" s="6" t="str">
        <f t="shared" si="29"/>
        <v>2026Buser11</v>
      </c>
      <c r="B3009" s="59">
        <v>2026.0</v>
      </c>
      <c r="C3009" s="13" t="s">
        <v>47</v>
      </c>
      <c r="D3009" s="13" t="s">
        <v>150</v>
      </c>
      <c r="E3009" s="34"/>
      <c r="F3009" s="6"/>
      <c r="H3009" s="6"/>
      <c r="I3009" s="35" t="str">
        <f>IFERROR(IFERROR(IFERROR(VLOOKUP(B3009&amp;C3009&amp;Q3009,'New Weekly Paste'!A:M,10,0),VLOOKUP(B3009&amp;C3009&amp;Q3009,'New Weekly Paste'!B:O,6,0)),""),"")</f>
        <v>Riley</v>
      </c>
      <c r="J3009" s="239" t="str">
        <f>IFERROR(IFERROR(VLOOKUP(B3009&amp;C3009&amp;Q3009,'New Weekly Paste'!A:M,8,0),VLOOKUP(B3009&amp;C3009&amp;Q3009,'New Weekly Paste'!B:O,10,0)),0)</f>
        <v/>
      </c>
      <c r="K3009" s="239" t="str">
        <f>IFERROR(IFERROR(VLOOKUP(B3009&amp;I3009&amp;Q3009,'New Weekly Paste'!A:M,8,0),VLOOKUP(B3009&amp;I3009&amp;Q3009,'New Weekly Paste'!B:O,10,0)),0)</f>
        <v/>
      </c>
      <c r="L3009" s="239">
        <f t="shared" si="25"/>
        <v>0</v>
      </c>
      <c r="M3009" s="36" t="str">
        <f t="shared" si="3"/>
        <v>Regular Season</v>
      </c>
      <c r="N3009" s="239" t="str">
        <f t="shared" si="26"/>
        <v>Riley</v>
      </c>
      <c r="O3009" s="6">
        <f>VLOOKUP(D3009,'Mapped Opponent'!$G$4:$H$22,2,0)</f>
        <v>11</v>
      </c>
      <c r="P3009" s="6"/>
      <c r="Q3009" s="6" t="str">
        <f t="shared" si="4"/>
        <v>Week 11</v>
      </c>
      <c r="R3009" s="6" t="str">
        <f t="shared" si="5"/>
        <v>2026Week 11</v>
      </c>
      <c r="S3009" s="6" t="str">
        <f>IFERROR(__xludf.DUMMYFUNCTION("rank(J3009,FILTER(J:J,R:R=R3009))"),"#N/A")</f>
        <v>#N/A</v>
      </c>
      <c r="T3009" s="6">
        <f t="shared" si="6"/>
        <v>0</v>
      </c>
      <c r="U3009" s="6">
        <f t="shared" si="7"/>
        <v>12</v>
      </c>
      <c r="V3009" s="42">
        <f>averageif(AllData!A:A,B3009,AllData!R:R)/vlookup(B3009,AllData!A:O,15,0)</f>
        <v>90.45916667</v>
      </c>
      <c r="W3009" s="6"/>
    </row>
    <row r="3010" ht="14.25" customHeight="1">
      <c r="A3010" s="6" t="str">
        <f t="shared" si="29"/>
        <v>2026Pierson11</v>
      </c>
      <c r="B3010" s="59">
        <v>2026.0</v>
      </c>
      <c r="C3010" s="13" t="s">
        <v>92</v>
      </c>
      <c r="D3010" s="13" t="s">
        <v>150</v>
      </c>
      <c r="E3010" s="34"/>
      <c r="F3010" s="6"/>
      <c r="H3010" s="6"/>
      <c r="I3010" s="35" t="str">
        <f>IFERROR(IFERROR(IFERROR(VLOOKUP(B3010&amp;C3010&amp;Q3010,'New Weekly Paste'!A:M,10,0),VLOOKUP(B3010&amp;C3010&amp;Q3010,'New Weekly Paste'!B:O,6,0)),""),"")</f>
        <v>Salty</v>
      </c>
      <c r="J3010" s="239" t="str">
        <f>IFERROR(IFERROR(VLOOKUP(B3010&amp;C3010&amp;Q3010,'New Weekly Paste'!A:M,8,0),VLOOKUP(B3010&amp;C3010&amp;Q3010,'New Weekly Paste'!B:O,10,0)),0)</f>
        <v/>
      </c>
      <c r="K3010" s="239" t="str">
        <f>IFERROR(IFERROR(VLOOKUP(B3010&amp;I3010&amp;Q3010,'New Weekly Paste'!A:M,8,0),VLOOKUP(B3010&amp;I3010&amp;Q3010,'New Weekly Paste'!B:O,10,0)),0)</f>
        <v/>
      </c>
      <c r="L3010" s="239">
        <f t="shared" si="25"/>
        <v>0</v>
      </c>
      <c r="M3010" s="36" t="str">
        <f t="shared" si="3"/>
        <v>Regular Season</v>
      </c>
      <c r="N3010" s="239" t="str">
        <f t="shared" si="26"/>
        <v>Salty</v>
      </c>
      <c r="O3010" s="6">
        <f>VLOOKUP(D3010,'Mapped Opponent'!$G$4:$H$22,2,0)</f>
        <v>11</v>
      </c>
      <c r="P3010" s="6"/>
      <c r="Q3010" s="6" t="str">
        <f t="shared" si="4"/>
        <v>Week 11</v>
      </c>
      <c r="R3010" s="6" t="str">
        <f t="shared" si="5"/>
        <v>2026Week 11</v>
      </c>
      <c r="S3010" s="6" t="str">
        <f>IFERROR(__xludf.DUMMYFUNCTION("rank(J3010,FILTER(J:J,R:R=R3010))"),"#N/A")</f>
        <v>#N/A</v>
      </c>
      <c r="T3010" s="6">
        <f t="shared" si="6"/>
        <v>0</v>
      </c>
      <c r="U3010" s="6">
        <f t="shared" si="7"/>
        <v>12</v>
      </c>
      <c r="V3010" s="42">
        <f>averageif(AllData!A:A,B3010,AllData!R:R)/vlookup(B3010,AllData!A:O,15,0)</f>
        <v>90.45916667</v>
      </c>
      <c r="W3010" s="6"/>
    </row>
    <row r="3011" ht="14.25" customHeight="1">
      <c r="A3011" s="6" t="str">
        <f t="shared" si="29"/>
        <v>2026Cock11</v>
      </c>
      <c r="B3011" s="59">
        <v>2026.0</v>
      </c>
      <c r="C3011" s="13" t="s">
        <v>72</v>
      </c>
      <c r="D3011" s="13" t="s">
        <v>150</v>
      </c>
      <c r="E3011" s="34"/>
      <c r="F3011" s="6"/>
      <c r="H3011" s="6"/>
      <c r="I3011" s="35" t="str">
        <f>IFERROR(IFERROR(IFERROR(VLOOKUP(B3011&amp;C3011&amp;Q3011,'New Weekly Paste'!A:M,10,0),VLOOKUP(B3011&amp;C3011&amp;Q3011,'New Weekly Paste'!B:O,6,0)),""),"")</f>
        <v>Tayski</v>
      </c>
      <c r="J3011" s="239" t="str">
        <f>IFERROR(IFERROR(VLOOKUP(B3011&amp;C3011&amp;Q3011,'New Weekly Paste'!A:M,8,0),VLOOKUP(B3011&amp;C3011&amp;Q3011,'New Weekly Paste'!B:O,10,0)),0)</f>
        <v/>
      </c>
      <c r="K3011" s="239" t="str">
        <f>IFERROR(IFERROR(VLOOKUP(B3011&amp;I3011&amp;Q3011,'New Weekly Paste'!A:M,8,0),VLOOKUP(B3011&amp;I3011&amp;Q3011,'New Weekly Paste'!B:O,10,0)),0)</f>
        <v/>
      </c>
      <c r="L3011" s="239">
        <f t="shared" si="25"/>
        <v>0</v>
      </c>
      <c r="M3011" s="36" t="str">
        <f t="shared" si="3"/>
        <v>Regular Season</v>
      </c>
      <c r="N3011" s="239" t="str">
        <f t="shared" si="26"/>
        <v>Tayski</v>
      </c>
      <c r="O3011" s="6">
        <f>VLOOKUP(D3011,'Mapped Opponent'!$G$4:$H$22,2,0)</f>
        <v>11</v>
      </c>
      <c r="P3011" s="6"/>
      <c r="Q3011" s="6" t="str">
        <f t="shared" si="4"/>
        <v>Week 11</v>
      </c>
      <c r="R3011" s="6" t="str">
        <f t="shared" si="5"/>
        <v>2026Week 11</v>
      </c>
      <c r="S3011" s="6" t="str">
        <f>IFERROR(__xludf.DUMMYFUNCTION("rank(J3011,FILTER(J:J,R:R=R3011))"),"#N/A")</f>
        <v>#N/A</v>
      </c>
      <c r="T3011" s="6">
        <f t="shared" si="6"/>
        <v>0</v>
      </c>
      <c r="U3011" s="6">
        <f t="shared" si="7"/>
        <v>12</v>
      </c>
      <c r="V3011" s="42">
        <f>averageif(AllData!A:A,B3011,AllData!R:R)/vlookup(B3011,AllData!A:O,15,0)</f>
        <v>90.45916667</v>
      </c>
      <c r="W3011" s="6"/>
    </row>
    <row r="3012" ht="14.25" customHeight="1">
      <c r="A3012" s="6" t="str">
        <f t="shared" si="29"/>
        <v>2026Tayski11</v>
      </c>
      <c r="B3012" s="59">
        <v>2026.0</v>
      </c>
      <c r="C3012" s="13" t="s">
        <v>52</v>
      </c>
      <c r="D3012" s="13" t="s">
        <v>150</v>
      </c>
      <c r="E3012" s="34"/>
      <c r="F3012" s="6"/>
      <c r="H3012" s="6"/>
      <c r="I3012" s="35" t="str">
        <f>IFERROR(IFERROR(IFERROR(VLOOKUP(B3012&amp;C3012&amp;Q3012,'New Weekly Paste'!A:M,10,0),VLOOKUP(B3012&amp;C3012&amp;Q3012,'New Weekly Paste'!B:O,6,0)),""),"")</f>
        <v>Cock</v>
      </c>
      <c r="J3012" s="239" t="str">
        <f>IFERROR(IFERROR(VLOOKUP(B3012&amp;C3012&amp;Q3012,'New Weekly Paste'!A:M,8,0),VLOOKUP(B3012&amp;C3012&amp;Q3012,'New Weekly Paste'!B:O,10,0)),0)</f>
        <v/>
      </c>
      <c r="K3012" s="239" t="str">
        <f>IFERROR(IFERROR(VLOOKUP(B3012&amp;I3012&amp;Q3012,'New Weekly Paste'!A:M,8,0),VLOOKUP(B3012&amp;I3012&amp;Q3012,'New Weekly Paste'!B:O,10,0)),0)</f>
        <v/>
      </c>
      <c r="L3012" s="239">
        <f t="shared" si="25"/>
        <v>0</v>
      </c>
      <c r="M3012" s="36" t="str">
        <f t="shared" si="3"/>
        <v>Regular Season</v>
      </c>
      <c r="N3012" s="239" t="str">
        <f t="shared" si="26"/>
        <v>Cock</v>
      </c>
      <c r="O3012" s="6">
        <f>VLOOKUP(D3012,'Mapped Opponent'!$G$4:$H$22,2,0)</f>
        <v>11</v>
      </c>
      <c r="P3012" s="6"/>
      <c r="Q3012" s="6" t="str">
        <f t="shared" si="4"/>
        <v>Week 11</v>
      </c>
      <c r="R3012" s="6" t="str">
        <f t="shared" si="5"/>
        <v>2026Week 11</v>
      </c>
      <c r="S3012" s="6" t="str">
        <f>IFERROR(__xludf.DUMMYFUNCTION("rank(J3012,FILTER(J:J,R:R=R3012))"),"#N/A")</f>
        <v>#N/A</v>
      </c>
      <c r="T3012" s="6">
        <f t="shared" si="6"/>
        <v>0</v>
      </c>
      <c r="U3012" s="6">
        <f t="shared" si="7"/>
        <v>12</v>
      </c>
      <c r="V3012" s="42">
        <f>averageif(AllData!A:A,B3012,AllData!R:R)/vlookup(B3012,AllData!A:O,15,0)</f>
        <v>90.45916667</v>
      </c>
      <c r="W3012" s="6"/>
    </row>
    <row r="3013" ht="14.25" customHeight="1">
      <c r="A3013" s="6" t="str">
        <f t="shared" si="29"/>
        <v>2026KnardDawg11</v>
      </c>
      <c r="B3013" s="59">
        <v>2026.0</v>
      </c>
      <c r="C3013" s="13" t="s">
        <v>86</v>
      </c>
      <c r="D3013" s="13" t="s">
        <v>150</v>
      </c>
      <c r="E3013" s="34"/>
      <c r="F3013" s="6"/>
      <c r="H3013" s="6"/>
      <c r="I3013" s="35" t="str">
        <f>IFERROR(IFERROR(IFERROR(VLOOKUP(B3013&amp;C3013&amp;Q3013,'New Weekly Paste'!A:M,10,0),VLOOKUP(B3013&amp;C3013&amp;Q3013,'New Weekly Paste'!B:O,6,0)),""),"")</f>
        <v>Shep</v>
      </c>
      <c r="J3013" s="239" t="str">
        <f>IFERROR(IFERROR(VLOOKUP(B3013&amp;C3013&amp;Q3013,'New Weekly Paste'!A:M,8,0),VLOOKUP(B3013&amp;C3013&amp;Q3013,'New Weekly Paste'!B:O,10,0)),0)</f>
        <v/>
      </c>
      <c r="K3013" s="239" t="str">
        <f>IFERROR(IFERROR(VLOOKUP(B3013&amp;I3013&amp;Q3013,'New Weekly Paste'!A:M,8,0),VLOOKUP(B3013&amp;I3013&amp;Q3013,'New Weekly Paste'!B:O,10,0)),0)</f>
        <v/>
      </c>
      <c r="L3013" s="239">
        <f t="shared" si="25"/>
        <v>0</v>
      </c>
      <c r="M3013" s="36" t="str">
        <f t="shared" si="3"/>
        <v>Regular Season</v>
      </c>
      <c r="N3013" s="239" t="str">
        <f t="shared" si="26"/>
        <v>Shep</v>
      </c>
      <c r="O3013" s="6">
        <f>VLOOKUP(D3013,'Mapped Opponent'!$G$4:$H$22,2,0)</f>
        <v>11</v>
      </c>
      <c r="P3013" s="6"/>
      <c r="Q3013" s="6" t="str">
        <f t="shared" si="4"/>
        <v>Week 11</v>
      </c>
      <c r="R3013" s="6" t="str">
        <f t="shared" si="5"/>
        <v>2026Week 11</v>
      </c>
      <c r="S3013" s="6" t="str">
        <f>IFERROR(__xludf.DUMMYFUNCTION("rank(J3013,FILTER(J:J,R:R=R3013))"),"#N/A")</f>
        <v>#N/A</v>
      </c>
      <c r="T3013" s="6">
        <f t="shared" si="6"/>
        <v>0</v>
      </c>
      <c r="U3013" s="6">
        <f t="shared" si="7"/>
        <v>12</v>
      </c>
      <c r="V3013" s="42">
        <f>averageif(AllData!A:A,B3013,AllData!R:R)/vlookup(B3013,AllData!A:O,15,0)</f>
        <v>90.45916667</v>
      </c>
      <c r="W3013" s="6"/>
    </row>
    <row r="3014" ht="14.25" customHeight="1">
      <c r="A3014" s="6" t="str">
        <f t="shared" si="29"/>
        <v>2026T-How11</v>
      </c>
      <c r="B3014" s="59">
        <v>2026.0</v>
      </c>
      <c r="C3014" s="13" t="s">
        <v>82</v>
      </c>
      <c r="D3014" s="13" t="s">
        <v>150</v>
      </c>
      <c r="E3014" s="34"/>
      <c r="F3014" s="6"/>
      <c r="H3014" s="6"/>
      <c r="I3014" s="35" t="str">
        <f>IFERROR(IFERROR(IFERROR(VLOOKUP(B3014&amp;C3014&amp;Q3014,'New Weekly Paste'!A:M,10,0),VLOOKUP(B3014&amp;C3014&amp;Q3014,'New Weekly Paste'!B:O,6,0)),""),"")</f>
        <v>Hudspeath</v>
      </c>
      <c r="J3014" s="239" t="str">
        <f>IFERROR(IFERROR(VLOOKUP(B3014&amp;C3014&amp;Q3014,'New Weekly Paste'!A:M,8,0),VLOOKUP(B3014&amp;C3014&amp;Q3014,'New Weekly Paste'!B:O,10,0)),0)</f>
        <v/>
      </c>
      <c r="K3014" s="239" t="str">
        <f>IFERROR(IFERROR(VLOOKUP(B3014&amp;I3014&amp;Q3014,'New Weekly Paste'!A:M,8,0),VLOOKUP(B3014&amp;I3014&amp;Q3014,'New Weekly Paste'!B:O,10,0)),0)</f>
        <v/>
      </c>
      <c r="L3014" s="239">
        <f t="shared" si="25"/>
        <v>0</v>
      </c>
      <c r="M3014" s="36" t="str">
        <f t="shared" si="3"/>
        <v>Regular Season</v>
      </c>
      <c r="N3014" s="239" t="str">
        <f t="shared" si="26"/>
        <v>Hudspeath</v>
      </c>
      <c r="O3014" s="6">
        <f>VLOOKUP(D3014,'Mapped Opponent'!$G$4:$H$22,2,0)</f>
        <v>11</v>
      </c>
      <c r="P3014" s="6"/>
      <c r="Q3014" s="6" t="str">
        <f t="shared" si="4"/>
        <v>Week 11</v>
      </c>
      <c r="R3014" s="6" t="str">
        <f t="shared" si="5"/>
        <v>2026Week 11</v>
      </c>
      <c r="S3014" s="6" t="str">
        <f>IFERROR(__xludf.DUMMYFUNCTION("rank(J3014,FILTER(J:J,R:R=R3014))"),"#N/A")</f>
        <v>#N/A</v>
      </c>
      <c r="T3014" s="6">
        <f t="shared" si="6"/>
        <v>0</v>
      </c>
      <c r="U3014" s="6">
        <f t="shared" si="7"/>
        <v>12</v>
      </c>
      <c r="V3014" s="42">
        <f>averageif(AllData!A:A,B3014,AllData!R:R)/vlookup(B3014,AllData!A:O,15,0)</f>
        <v>90.45916667</v>
      </c>
      <c r="W3014" s="6"/>
    </row>
    <row r="3015" ht="14.25" customHeight="1">
      <c r="A3015" s="6" t="str">
        <f t="shared" si="29"/>
        <v>2026Hudspeath12</v>
      </c>
      <c r="B3015" s="59">
        <v>2026.0</v>
      </c>
      <c r="C3015" s="13" t="s">
        <v>39</v>
      </c>
      <c r="D3015" s="13" t="s">
        <v>151</v>
      </c>
      <c r="E3015" s="34"/>
      <c r="F3015" s="6"/>
      <c r="H3015" s="6"/>
      <c r="I3015" s="35" t="str">
        <f>IFERROR(IFERROR(IFERROR(VLOOKUP(B3015&amp;C3015&amp;Q3015,'New Weekly Paste'!A:M,10,0),VLOOKUP(B3015&amp;C3015&amp;Q3015,'New Weekly Paste'!B:O,6,0)),""),"")</f>
        <v>Rooney/Jackson</v>
      </c>
      <c r="J3015" s="239" t="str">
        <f>IFERROR(IFERROR(VLOOKUP(B3015&amp;C3015&amp;Q3015,'New Weekly Paste'!A:M,8,0),VLOOKUP(B3015&amp;C3015&amp;Q3015,'New Weekly Paste'!B:O,10,0)),0)</f>
        <v/>
      </c>
      <c r="K3015" s="239" t="str">
        <f>IFERROR(IFERROR(VLOOKUP(B3015&amp;I3015&amp;Q3015,'New Weekly Paste'!A:M,8,0),VLOOKUP(B3015&amp;I3015&amp;Q3015,'New Weekly Paste'!B:O,10,0)),0)</f>
        <v/>
      </c>
      <c r="L3015" s="239">
        <f t="shared" si="25"/>
        <v>0</v>
      </c>
      <c r="M3015" s="36" t="str">
        <f t="shared" si="3"/>
        <v>Regular Season</v>
      </c>
      <c r="N3015" s="239" t="str">
        <f t="shared" si="26"/>
        <v>Rooney/Jackson</v>
      </c>
      <c r="O3015" s="6">
        <f>VLOOKUP(D3015,'Mapped Opponent'!$G$4:$H$22,2,0)</f>
        <v>12</v>
      </c>
      <c r="P3015" s="6"/>
      <c r="Q3015" s="6" t="str">
        <f t="shared" si="4"/>
        <v>Week 12</v>
      </c>
      <c r="R3015" s="6" t="str">
        <f t="shared" si="5"/>
        <v>2026Week 12</v>
      </c>
      <c r="S3015" s="6" t="str">
        <f>IFERROR(__xludf.DUMMYFUNCTION("rank(J3015,FILTER(J:J,R:R=R3015))"),"#N/A")</f>
        <v>#N/A</v>
      </c>
      <c r="T3015" s="6">
        <f t="shared" si="6"/>
        <v>0</v>
      </c>
      <c r="U3015" s="6">
        <f t="shared" si="7"/>
        <v>12</v>
      </c>
      <c r="V3015" s="42">
        <f>averageif(AllData!A:A,B3015,AllData!R:R)/vlookup(B3015,AllData!A:O,15,0)</f>
        <v>90.45916667</v>
      </c>
      <c r="W3015" s="6"/>
    </row>
    <row r="3016" ht="14.25" customHeight="1">
      <c r="A3016" s="6" t="str">
        <f t="shared" si="29"/>
        <v>2026Salty12</v>
      </c>
      <c r="B3016" s="59">
        <v>2026.0</v>
      </c>
      <c r="C3016" s="13" t="s">
        <v>76</v>
      </c>
      <c r="D3016" s="13" t="s">
        <v>151</v>
      </c>
      <c r="E3016" s="34"/>
      <c r="F3016" s="6"/>
      <c r="H3016" s="6"/>
      <c r="I3016" s="35" t="str">
        <f>IFERROR(IFERROR(IFERROR(VLOOKUP(B3016&amp;C3016&amp;Q3016,'New Weekly Paste'!A:M,10,0),VLOOKUP(B3016&amp;C3016&amp;Q3016,'New Weekly Paste'!B:O,6,0)),""),"")</f>
        <v>Cock</v>
      </c>
      <c r="J3016" s="239" t="str">
        <f>IFERROR(IFERROR(VLOOKUP(B3016&amp;C3016&amp;Q3016,'New Weekly Paste'!A:M,8,0),VLOOKUP(B3016&amp;C3016&amp;Q3016,'New Weekly Paste'!B:O,10,0)),0)</f>
        <v/>
      </c>
      <c r="K3016" s="239" t="str">
        <f>IFERROR(IFERROR(VLOOKUP(B3016&amp;I3016&amp;Q3016,'New Weekly Paste'!A:M,8,0),VLOOKUP(B3016&amp;I3016&amp;Q3016,'New Weekly Paste'!B:O,10,0)),0)</f>
        <v/>
      </c>
      <c r="L3016" s="239">
        <f t="shared" si="25"/>
        <v>0</v>
      </c>
      <c r="M3016" s="36" t="str">
        <f t="shared" si="3"/>
        <v>Regular Season</v>
      </c>
      <c r="N3016" s="239" t="str">
        <f t="shared" si="26"/>
        <v>Cock</v>
      </c>
      <c r="O3016" s="6">
        <f>VLOOKUP(D3016,'Mapped Opponent'!$G$4:$H$22,2,0)</f>
        <v>12</v>
      </c>
      <c r="P3016" s="6"/>
      <c r="Q3016" s="6" t="str">
        <f t="shared" si="4"/>
        <v>Week 12</v>
      </c>
      <c r="R3016" s="6" t="str">
        <f t="shared" si="5"/>
        <v>2026Week 12</v>
      </c>
      <c r="S3016" s="6" t="str">
        <f>IFERROR(__xludf.DUMMYFUNCTION("rank(J3016,FILTER(J:J,R:R=R3016))"),"#N/A")</f>
        <v>#N/A</v>
      </c>
      <c r="T3016" s="6">
        <f t="shared" si="6"/>
        <v>0</v>
      </c>
      <c r="U3016" s="6">
        <f t="shared" si="7"/>
        <v>12</v>
      </c>
      <c r="V3016" s="42">
        <f>averageif(AllData!A:A,B3016,AllData!R:R)/vlookup(B3016,AllData!A:O,15,0)</f>
        <v>90.45916667</v>
      </c>
      <c r="W3016" s="6"/>
    </row>
    <row r="3017" ht="14.25" customHeight="1">
      <c r="A3017" s="6" t="str">
        <f t="shared" si="29"/>
        <v>2026Ewert12</v>
      </c>
      <c r="B3017" s="59">
        <v>2026.0</v>
      </c>
      <c r="C3017" s="13" t="s">
        <v>108</v>
      </c>
      <c r="D3017" s="13" t="s">
        <v>151</v>
      </c>
      <c r="E3017" s="34"/>
      <c r="F3017" s="6"/>
      <c r="H3017" s="6"/>
      <c r="I3017" s="35" t="str">
        <f>IFERROR(IFERROR(IFERROR(VLOOKUP(B3017&amp;C3017&amp;Q3017,'New Weekly Paste'!A:M,10,0),VLOOKUP(B3017&amp;C3017&amp;Q3017,'New Weekly Paste'!B:O,6,0)),""),"")</f>
        <v>Rooney/Jackson</v>
      </c>
      <c r="J3017" s="239" t="str">
        <f>IFERROR(IFERROR(VLOOKUP(B3017&amp;C3017&amp;Q3017,'New Weekly Paste'!A:M,8,0),VLOOKUP(B3017&amp;C3017&amp;Q3017,'New Weekly Paste'!B:O,10,0)),0)</f>
        <v/>
      </c>
      <c r="K3017" s="239" t="str">
        <f>IFERROR(IFERROR(VLOOKUP(B3017&amp;I3017&amp;Q3017,'New Weekly Paste'!A:M,8,0),VLOOKUP(B3017&amp;I3017&amp;Q3017,'New Weekly Paste'!B:O,10,0)),0)</f>
        <v/>
      </c>
      <c r="L3017" s="239">
        <f t="shared" si="25"/>
        <v>0</v>
      </c>
      <c r="M3017" s="36" t="str">
        <f t="shared" si="3"/>
        <v>Regular Season</v>
      </c>
      <c r="N3017" s="239" t="str">
        <f t="shared" si="26"/>
        <v>Rooney/Jackson</v>
      </c>
      <c r="O3017" s="6">
        <f>VLOOKUP(D3017,'Mapped Opponent'!$G$4:$H$22,2,0)</f>
        <v>12</v>
      </c>
      <c r="P3017" s="6"/>
      <c r="Q3017" s="6" t="str">
        <f t="shared" si="4"/>
        <v>Week 12</v>
      </c>
      <c r="R3017" s="6" t="str">
        <f t="shared" si="5"/>
        <v>2026Week 12</v>
      </c>
      <c r="S3017" s="6" t="str">
        <f>IFERROR(__xludf.DUMMYFUNCTION("rank(J3017,FILTER(J:J,R:R=R3017))"),"#N/A")</f>
        <v>#N/A</v>
      </c>
      <c r="T3017" s="6">
        <f t="shared" si="6"/>
        <v>0</v>
      </c>
      <c r="U3017" s="6">
        <f t="shared" si="7"/>
        <v>12</v>
      </c>
      <c r="V3017" s="42">
        <f>averageif(AllData!A:A,B3017,AllData!R:R)/vlookup(B3017,AllData!A:O,15,0)</f>
        <v>90.45916667</v>
      </c>
      <c r="W3017" s="6"/>
    </row>
    <row r="3018" ht="14.25" customHeight="1">
      <c r="A3018" s="6" t="str">
        <f t="shared" si="29"/>
        <v>2026Shep12</v>
      </c>
      <c r="B3018" s="59">
        <v>2026.0</v>
      </c>
      <c r="C3018" s="13" t="s">
        <v>89</v>
      </c>
      <c r="D3018" s="13" t="s">
        <v>151</v>
      </c>
      <c r="E3018" s="34"/>
      <c r="F3018" s="6"/>
      <c r="H3018" s="6"/>
      <c r="I3018" s="35" t="str">
        <f>IFERROR(IFERROR(IFERROR(VLOOKUP(B3018&amp;C3018&amp;Q3018,'New Weekly Paste'!A:M,10,0),VLOOKUP(B3018&amp;C3018&amp;Q3018,'New Weekly Paste'!B:O,6,0)),""),"")</f>
        <v>Buser</v>
      </c>
      <c r="J3018" s="239" t="str">
        <f>IFERROR(IFERROR(VLOOKUP(B3018&amp;C3018&amp;Q3018,'New Weekly Paste'!A:M,8,0),VLOOKUP(B3018&amp;C3018&amp;Q3018,'New Weekly Paste'!B:O,10,0)),0)</f>
        <v/>
      </c>
      <c r="K3018" s="239" t="str">
        <f>IFERROR(IFERROR(VLOOKUP(B3018&amp;I3018&amp;Q3018,'New Weekly Paste'!A:M,8,0),VLOOKUP(B3018&amp;I3018&amp;Q3018,'New Weekly Paste'!B:O,10,0)),0)</f>
        <v/>
      </c>
      <c r="L3018" s="239">
        <f t="shared" si="25"/>
        <v>0</v>
      </c>
      <c r="M3018" s="36" t="str">
        <f t="shared" si="3"/>
        <v>Regular Season</v>
      </c>
      <c r="N3018" s="239" t="str">
        <f t="shared" si="26"/>
        <v>Buser</v>
      </c>
      <c r="O3018" s="6">
        <f>VLOOKUP(D3018,'Mapped Opponent'!$G$4:$H$22,2,0)</f>
        <v>12</v>
      </c>
      <c r="P3018" s="6"/>
      <c r="Q3018" s="6" t="str">
        <f t="shared" si="4"/>
        <v>Week 12</v>
      </c>
      <c r="R3018" s="6" t="str">
        <f t="shared" si="5"/>
        <v>2026Week 12</v>
      </c>
      <c r="S3018" s="6" t="str">
        <f>IFERROR(__xludf.DUMMYFUNCTION("rank(J3018,FILTER(J:J,R:R=R3018))"),"#N/A")</f>
        <v>#N/A</v>
      </c>
      <c r="T3018" s="6">
        <f t="shared" si="6"/>
        <v>0</v>
      </c>
      <c r="U3018" s="6">
        <f t="shared" si="7"/>
        <v>12</v>
      </c>
      <c r="V3018" s="42">
        <f>averageif(AllData!A:A,B3018,AllData!R:R)/vlookup(B3018,AllData!A:O,15,0)</f>
        <v>90.45916667</v>
      </c>
      <c r="W3018" s="6"/>
    </row>
    <row r="3019" ht="14.25" customHeight="1">
      <c r="A3019" s="6" t="str">
        <f t="shared" si="29"/>
        <v>2026Riley12</v>
      </c>
      <c r="B3019" s="59">
        <v>2026.0</v>
      </c>
      <c r="C3019" s="13" t="s">
        <v>67</v>
      </c>
      <c r="D3019" s="13" t="s">
        <v>151</v>
      </c>
      <c r="E3019" s="34"/>
      <c r="F3019" s="6"/>
      <c r="H3019" s="6"/>
      <c r="I3019" s="35" t="str">
        <f>IFERROR(IFERROR(IFERROR(VLOOKUP(B3019&amp;C3019&amp;Q3019,'New Weekly Paste'!A:M,10,0),VLOOKUP(B3019&amp;C3019&amp;Q3019,'New Weekly Paste'!B:O,6,0)),""),"")</f>
        <v>Pierson</v>
      </c>
      <c r="J3019" s="239" t="str">
        <f>IFERROR(IFERROR(VLOOKUP(B3019&amp;C3019&amp;Q3019,'New Weekly Paste'!A:M,8,0),VLOOKUP(B3019&amp;C3019&amp;Q3019,'New Weekly Paste'!B:O,10,0)),0)</f>
        <v/>
      </c>
      <c r="K3019" s="239" t="str">
        <f>IFERROR(IFERROR(VLOOKUP(B3019&amp;I3019&amp;Q3019,'New Weekly Paste'!A:M,8,0),VLOOKUP(B3019&amp;I3019&amp;Q3019,'New Weekly Paste'!B:O,10,0)),0)</f>
        <v/>
      </c>
      <c r="L3019" s="239">
        <f t="shared" si="25"/>
        <v>0</v>
      </c>
      <c r="M3019" s="36" t="str">
        <f t="shared" si="3"/>
        <v>Regular Season</v>
      </c>
      <c r="N3019" s="239" t="str">
        <f t="shared" si="26"/>
        <v>Pierson</v>
      </c>
      <c r="O3019" s="6">
        <f>VLOOKUP(D3019,'Mapped Opponent'!$G$4:$H$22,2,0)</f>
        <v>12</v>
      </c>
      <c r="P3019" s="6"/>
      <c r="Q3019" s="6" t="str">
        <f t="shared" si="4"/>
        <v>Week 12</v>
      </c>
      <c r="R3019" s="6" t="str">
        <f t="shared" si="5"/>
        <v>2026Week 12</v>
      </c>
      <c r="S3019" s="6" t="str">
        <f>IFERROR(__xludf.DUMMYFUNCTION("rank(J3019,FILTER(J:J,R:R=R3019))"),"#N/A")</f>
        <v>#N/A</v>
      </c>
      <c r="T3019" s="6">
        <f t="shared" si="6"/>
        <v>0</v>
      </c>
      <c r="U3019" s="6">
        <f t="shared" si="7"/>
        <v>12</v>
      </c>
      <c r="V3019" s="42">
        <f>averageif(AllData!A:A,B3019,AllData!R:R)/vlookup(B3019,AllData!A:O,15,0)</f>
        <v>90.45916667</v>
      </c>
      <c r="W3019" s="6"/>
    </row>
    <row r="3020" ht="14.25" customHeight="1">
      <c r="A3020" s="6" t="str">
        <f t="shared" si="29"/>
        <v>2026Rooney/Jackson12</v>
      </c>
      <c r="B3020" s="59">
        <v>2026.0</v>
      </c>
      <c r="C3020" s="13" t="s">
        <v>57</v>
      </c>
      <c r="D3020" s="13" t="s">
        <v>151</v>
      </c>
      <c r="E3020" s="34"/>
      <c r="F3020" s="6"/>
      <c r="H3020" s="6"/>
      <c r="I3020" s="35" t="str">
        <f>IFERROR(IFERROR(IFERROR(VLOOKUP(B3020&amp;C3020&amp;Q3020,'New Weekly Paste'!A:M,10,0),VLOOKUP(B3020&amp;C3020&amp;Q3020,'New Weekly Paste'!B:O,6,0)),""),"")</f>
        <v>Hudspeath</v>
      </c>
      <c r="J3020" s="239" t="str">
        <f>IFERROR(IFERROR(VLOOKUP(B3020&amp;C3020&amp;Q3020,'New Weekly Paste'!A:M,8,0),VLOOKUP(B3020&amp;C3020&amp;Q3020,'New Weekly Paste'!B:O,10,0)),0)</f>
        <v/>
      </c>
      <c r="K3020" s="239" t="str">
        <f>IFERROR(IFERROR(VLOOKUP(B3020&amp;I3020&amp;Q3020,'New Weekly Paste'!A:M,8,0),VLOOKUP(B3020&amp;I3020&amp;Q3020,'New Weekly Paste'!B:O,10,0)),0)</f>
        <v/>
      </c>
      <c r="L3020" s="239">
        <f t="shared" si="25"/>
        <v>0</v>
      </c>
      <c r="M3020" s="36" t="str">
        <f t="shared" si="3"/>
        <v>Regular Season</v>
      </c>
      <c r="N3020" s="239" t="str">
        <f t="shared" si="26"/>
        <v>Hudspeath</v>
      </c>
      <c r="O3020" s="6">
        <f>VLOOKUP(D3020,'Mapped Opponent'!$G$4:$H$22,2,0)</f>
        <v>12</v>
      </c>
      <c r="P3020" s="6"/>
      <c r="Q3020" s="6" t="str">
        <f t="shared" si="4"/>
        <v>Week 12</v>
      </c>
      <c r="R3020" s="6" t="str">
        <f t="shared" si="5"/>
        <v>2026Week 12</v>
      </c>
      <c r="S3020" s="6" t="str">
        <f>IFERROR(__xludf.DUMMYFUNCTION("rank(J3020,FILTER(J:J,R:R=R3020))"),"#N/A")</f>
        <v>#N/A</v>
      </c>
      <c r="T3020" s="6">
        <f t="shared" si="6"/>
        <v>0</v>
      </c>
      <c r="U3020" s="6">
        <f t="shared" si="7"/>
        <v>12</v>
      </c>
      <c r="V3020" s="42">
        <f>averageif(AllData!A:A,B3020,AllData!R:R)/vlookup(B3020,AllData!A:O,15,0)</f>
        <v>90.45916667</v>
      </c>
      <c r="W3020" s="6"/>
    </row>
    <row r="3021" ht="14.25" customHeight="1">
      <c r="A3021" s="6" t="str">
        <f t="shared" si="29"/>
        <v>2026Buser12</v>
      </c>
      <c r="B3021" s="59">
        <v>2026.0</v>
      </c>
      <c r="C3021" s="13" t="s">
        <v>47</v>
      </c>
      <c r="D3021" s="13" t="s">
        <v>151</v>
      </c>
      <c r="E3021" s="34"/>
      <c r="F3021" s="6"/>
      <c r="H3021" s="6"/>
      <c r="I3021" s="35" t="str">
        <f>IFERROR(IFERROR(IFERROR(VLOOKUP(B3021&amp;C3021&amp;Q3021,'New Weekly Paste'!A:M,10,0),VLOOKUP(B3021&amp;C3021&amp;Q3021,'New Weekly Paste'!B:O,6,0)),""),"")</f>
        <v>Shep</v>
      </c>
      <c r="J3021" s="239" t="str">
        <f>IFERROR(IFERROR(VLOOKUP(B3021&amp;C3021&amp;Q3021,'New Weekly Paste'!A:M,8,0),VLOOKUP(B3021&amp;C3021&amp;Q3021,'New Weekly Paste'!B:O,10,0)),0)</f>
        <v/>
      </c>
      <c r="K3021" s="239" t="str">
        <f>IFERROR(IFERROR(VLOOKUP(B3021&amp;I3021&amp;Q3021,'New Weekly Paste'!A:M,8,0),VLOOKUP(B3021&amp;I3021&amp;Q3021,'New Weekly Paste'!B:O,10,0)),0)</f>
        <v/>
      </c>
      <c r="L3021" s="239">
        <f t="shared" si="25"/>
        <v>0</v>
      </c>
      <c r="M3021" s="36" t="str">
        <f t="shared" si="3"/>
        <v>Regular Season</v>
      </c>
      <c r="N3021" s="239" t="str">
        <f t="shared" si="26"/>
        <v>Shep</v>
      </c>
      <c r="O3021" s="6">
        <f>VLOOKUP(D3021,'Mapped Opponent'!$G$4:$H$22,2,0)</f>
        <v>12</v>
      </c>
      <c r="P3021" s="6"/>
      <c r="Q3021" s="6" t="str">
        <f t="shared" si="4"/>
        <v>Week 12</v>
      </c>
      <c r="R3021" s="6" t="str">
        <f t="shared" si="5"/>
        <v>2026Week 12</v>
      </c>
      <c r="S3021" s="6" t="str">
        <f>IFERROR(__xludf.DUMMYFUNCTION("rank(J3021,FILTER(J:J,R:R=R3021))"),"#N/A")</f>
        <v>#N/A</v>
      </c>
      <c r="T3021" s="6">
        <f t="shared" si="6"/>
        <v>0</v>
      </c>
      <c r="U3021" s="6">
        <f t="shared" si="7"/>
        <v>12</v>
      </c>
      <c r="V3021" s="42">
        <f>averageif(AllData!A:A,B3021,AllData!R:R)/vlookup(B3021,AllData!A:O,15,0)</f>
        <v>90.45916667</v>
      </c>
      <c r="W3021" s="6"/>
    </row>
    <row r="3022" ht="14.25" customHeight="1">
      <c r="A3022" s="6" t="str">
        <f t="shared" si="29"/>
        <v>2026Pierson12</v>
      </c>
      <c r="B3022" s="59">
        <v>2026.0</v>
      </c>
      <c r="C3022" s="13" t="s">
        <v>92</v>
      </c>
      <c r="D3022" s="13" t="s">
        <v>151</v>
      </c>
      <c r="E3022" s="34"/>
      <c r="F3022" s="6"/>
      <c r="H3022" s="6"/>
      <c r="I3022" s="35" t="str">
        <f>IFERROR(IFERROR(IFERROR(VLOOKUP(B3022&amp;C3022&amp;Q3022,'New Weekly Paste'!A:M,10,0),VLOOKUP(B3022&amp;C3022&amp;Q3022,'New Weekly Paste'!B:O,6,0)),""),"")</f>
        <v>Riley</v>
      </c>
      <c r="J3022" s="239" t="str">
        <f>IFERROR(IFERROR(VLOOKUP(B3022&amp;C3022&amp;Q3022,'New Weekly Paste'!A:M,8,0),VLOOKUP(B3022&amp;C3022&amp;Q3022,'New Weekly Paste'!B:O,10,0)),0)</f>
        <v/>
      </c>
      <c r="K3022" s="239" t="str">
        <f>IFERROR(IFERROR(VLOOKUP(B3022&amp;I3022&amp;Q3022,'New Weekly Paste'!A:M,8,0),VLOOKUP(B3022&amp;I3022&amp;Q3022,'New Weekly Paste'!B:O,10,0)),0)</f>
        <v/>
      </c>
      <c r="L3022" s="239">
        <f t="shared" si="25"/>
        <v>0</v>
      </c>
      <c r="M3022" s="36" t="str">
        <f t="shared" si="3"/>
        <v>Regular Season</v>
      </c>
      <c r="N3022" s="239" t="str">
        <f t="shared" si="26"/>
        <v>Riley</v>
      </c>
      <c r="O3022" s="6">
        <f>VLOOKUP(D3022,'Mapped Opponent'!$G$4:$H$22,2,0)</f>
        <v>12</v>
      </c>
      <c r="P3022" s="6"/>
      <c r="Q3022" s="6" t="str">
        <f t="shared" si="4"/>
        <v>Week 12</v>
      </c>
      <c r="R3022" s="6" t="str">
        <f t="shared" si="5"/>
        <v>2026Week 12</v>
      </c>
      <c r="S3022" s="6" t="str">
        <f>IFERROR(__xludf.DUMMYFUNCTION("rank(J3022,FILTER(J:J,R:R=R3022))"),"#N/A")</f>
        <v>#N/A</v>
      </c>
      <c r="T3022" s="6">
        <f t="shared" si="6"/>
        <v>0</v>
      </c>
      <c r="U3022" s="6">
        <f t="shared" si="7"/>
        <v>12</v>
      </c>
      <c r="V3022" s="42">
        <f>averageif(AllData!A:A,B3022,AllData!R:R)/vlookup(B3022,AllData!A:O,15,0)</f>
        <v>90.45916667</v>
      </c>
      <c r="W3022" s="6"/>
    </row>
    <row r="3023" ht="14.25" customHeight="1">
      <c r="A3023" s="6" t="str">
        <f t="shared" si="29"/>
        <v>2026Cock12</v>
      </c>
      <c r="B3023" s="59">
        <v>2026.0</v>
      </c>
      <c r="C3023" s="13" t="s">
        <v>72</v>
      </c>
      <c r="D3023" s="13" t="s">
        <v>151</v>
      </c>
      <c r="E3023" s="34"/>
      <c r="F3023" s="6"/>
      <c r="H3023" s="6"/>
      <c r="I3023" s="35" t="str">
        <f>IFERROR(IFERROR(IFERROR(VLOOKUP(B3023&amp;C3023&amp;Q3023,'New Weekly Paste'!A:M,10,0),VLOOKUP(B3023&amp;C3023&amp;Q3023,'New Weekly Paste'!B:O,6,0)),""),"")</f>
        <v>Salty</v>
      </c>
      <c r="J3023" s="239" t="str">
        <f>IFERROR(IFERROR(VLOOKUP(B3023&amp;C3023&amp;Q3023,'New Weekly Paste'!A:M,8,0),VLOOKUP(B3023&amp;C3023&amp;Q3023,'New Weekly Paste'!B:O,10,0)),0)</f>
        <v/>
      </c>
      <c r="K3023" s="239" t="str">
        <f>IFERROR(IFERROR(VLOOKUP(B3023&amp;I3023&amp;Q3023,'New Weekly Paste'!A:M,8,0),VLOOKUP(B3023&amp;I3023&amp;Q3023,'New Weekly Paste'!B:O,10,0)),0)</f>
        <v/>
      </c>
      <c r="L3023" s="239">
        <f t="shared" si="25"/>
        <v>0</v>
      </c>
      <c r="M3023" s="36" t="str">
        <f t="shared" si="3"/>
        <v>Regular Season</v>
      </c>
      <c r="N3023" s="239" t="str">
        <f t="shared" si="26"/>
        <v>Salty</v>
      </c>
      <c r="O3023" s="6">
        <f>VLOOKUP(D3023,'Mapped Opponent'!$G$4:$H$22,2,0)</f>
        <v>12</v>
      </c>
      <c r="P3023" s="6"/>
      <c r="Q3023" s="6" t="str">
        <f t="shared" si="4"/>
        <v>Week 12</v>
      </c>
      <c r="R3023" s="6" t="str">
        <f t="shared" si="5"/>
        <v>2026Week 12</v>
      </c>
      <c r="S3023" s="6" t="str">
        <f>IFERROR(__xludf.DUMMYFUNCTION("rank(J3023,FILTER(J:J,R:R=R3023))"),"#N/A")</f>
        <v>#N/A</v>
      </c>
      <c r="T3023" s="6">
        <f t="shared" si="6"/>
        <v>0</v>
      </c>
      <c r="U3023" s="6">
        <f t="shared" si="7"/>
        <v>12</v>
      </c>
      <c r="V3023" s="42">
        <f>averageif(AllData!A:A,B3023,AllData!R:R)/vlookup(B3023,AllData!A:O,15,0)</f>
        <v>90.45916667</v>
      </c>
      <c r="W3023" s="6"/>
    </row>
    <row r="3024" ht="14.25" customHeight="1">
      <c r="A3024" s="6" t="str">
        <f t="shared" si="29"/>
        <v>2026Tayski12</v>
      </c>
      <c r="B3024" s="59">
        <v>2026.0</v>
      </c>
      <c r="C3024" s="13" t="s">
        <v>52</v>
      </c>
      <c r="D3024" s="13" t="s">
        <v>151</v>
      </c>
      <c r="E3024" s="34"/>
      <c r="F3024" s="6"/>
      <c r="H3024" s="6"/>
      <c r="I3024" s="35" t="str">
        <f>IFERROR(IFERROR(IFERROR(VLOOKUP(B3024&amp;C3024&amp;Q3024,'New Weekly Paste'!A:M,10,0),VLOOKUP(B3024&amp;C3024&amp;Q3024,'New Weekly Paste'!B:O,6,0)),""),"")</f>
        <v>T-How</v>
      </c>
      <c r="J3024" s="239" t="str">
        <f>IFERROR(IFERROR(VLOOKUP(B3024&amp;C3024&amp;Q3024,'New Weekly Paste'!A:M,8,0),VLOOKUP(B3024&amp;C3024&amp;Q3024,'New Weekly Paste'!B:O,10,0)),0)</f>
        <v/>
      </c>
      <c r="K3024" s="239" t="str">
        <f>IFERROR(IFERROR(VLOOKUP(B3024&amp;I3024&amp;Q3024,'New Weekly Paste'!A:M,8,0),VLOOKUP(B3024&amp;I3024&amp;Q3024,'New Weekly Paste'!B:O,10,0)),0)</f>
        <v/>
      </c>
      <c r="L3024" s="239">
        <f t="shared" si="25"/>
        <v>0</v>
      </c>
      <c r="M3024" s="36" t="str">
        <f t="shared" si="3"/>
        <v>Regular Season</v>
      </c>
      <c r="N3024" s="239" t="str">
        <f t="shared" si="26"/>
        <v>T-How</v>
      </c>
      <c r="O3024" s="6">
        <f>VLOOKUP(D3024,'Mapped Opponent'!$G$4:$H$22,2,0)</f>
        <v>12</v>
      </c>
      <c r="P3024" s="6"/>
      <c r="Q3024" s="6" t="str">
        <f t="shared" si="4"/>
        <v>Week 12</v>
      </c>
      <c r="R3024" s="6" t="str">
        <f t="shared" si="5"/>
        <v>2026Week 12</v>
      </c>
      <c r="S3024" s="6" t="str">
        <f>IFERROR(__xludf.DUMMYFUNCTION("rank(J3024,FILTER(J:J,R:R=R3024))"),"#N/A")</f>
        <v>#N/A</v>
      </c>
      <c r="T3024" s="6">
        <f t="shared" si="6"/>
        <v>0</v>
      </c>
      <c r="U3024" s="6">
        <f t="shared" si="7"/>
        <v>12</v>
      </c>
      <c r="V3024" s="42">
        <f>averageif(AllData!A:A,B3024,AllData!R:R)/vlookup(B3024,AllData!A:O,15,0)</f>
        <v>90.45916667</v>
      </c>
      <c r="W3024" s="6"/>
    </row>
    <row r="3025" ht="14.25" customHeight="1">
      <c r="A3025" s="6" t="str">
        <f t="shared" si="29"/>
        <v>2026KnardDawg12</v>
      </c>
      <c r="B3025" s="59">
        <v>2026.0</v>
      </c>
      <c r="C3025" s="13" t="s">
        <v>86</v>
      </c>
      <c r="D3025" s="13" t="s">
        <v>151</v>
      </c>
      <c r="E3025" s="34"/>
      <c r="F3025" s="6"/>
      <c r="H3025" s="6"/>
      <c r="I3025" s="35" t="str">
        <f>IFERROR(IFERROR(IFERROR(VLOOKUP(B3025&amp;C3025&amp;Q3025,'New Weekly Paste'!A:M,10,0),VLOOKUP(B3025&amp;C3025&amp;Q3025,'New Weekly Paste'!B:O,6,0)),""),"")</f>
        <v>Ewert</v>
      </c>
      <c r="J3025" s="239" t="str">
        <f>IFERROR(IFERROR(VLOOKUP(B3025&amp;C3025&amp;Q3025,'New Weekly Paste'!A:M,8,0),VLOOKUP(B3025&amp;C3025&amp;Q3025,'New Weekly Paste'!B:O,10,0)),0)</f>
        <v/>
      </c>
      <c r="K3025" s="239" t="str">
        <f>IFERROR(IFERROR(VLOOKUP(B3025&amp;I3025&amp;Q3025,'New Weekly Paste'!A:M,8,0),VLOOKUP(B3025&amp;I3025&amp;Q3025,'New Weekly Paste'!B:O,10,0)),0)</f>
        <v/>
      </c>
      <c r="L3025" s="239">
        <f t="shared" si="25"/>
        <v>0</v>
      </c>
      <c r="M3025" s="36" t="str">
        <f t="shared" si="3"/>
        <v>Regular Season</v>
      </c>
      <c r="N3025" s="239" t="str">
        <f t="shared" si="26"/>
        <v>Ewert</v>
      </c>
      <c r="O3025" s="6">
        <f>VLOOKUP(D3025,'Mapped Opponent'!$G$4:$H$22,2,0)</f>
        <v>12</v>
      </c>
      <c r="P3025" s="6"/>
      <c r="Q3025" s="6" t="str">
        <f t="shared" si="4"/>
        <v>Week 12</v>
      </c>
      <c r="R3025" s="6" t="str">
        <f t="shared" si="5"/>
        <v>2026Week 12</v>
      </c>
      <c r="S3025" s="6" t="str">
        <f>IFERROR(__xludf.DUMMYFUNCTION("rank(J3025,FILTER(J:J,R:R=R3025))"),"#N/A")</f>
        <v>#N/A</v>
      </c>
      <c r="T3025" s="6">
        <f t="shared" si="6"/>
        <v>0</v>
      </c>
      <c r="U3025" s="6">
        <f t="shared" si="7"/>
        <v>12</v>
      </c>
      <c r="V3025" s="42">
        <f>averageif(AllData!A:A,B3025,AllData!R:R)/vlookup(B3025,AllData!A:O,15,0)</f>
        <v>90.45916667</v>
      </c>
      <c r="W3025" s="6"/>
    </row>
    <row r="3026" ht="14.25" customHeight="1">
      <c r="A3026" s="6" t="str">
        <f t="shared" si="29"/>
        <v>2026T-How12</v>
      </c>
      <c r="B3026" s="59">
        <v>2026.0</v>
      </c>
      <c r="C3026" s="13" t="s">
        <v>82</v>
      </c>
      <c r="D3026" s="13" t="s">
        <v>151</v>
      </c>
      <c r="E3026" s="34"/>
      <c r="F3026" s="6"/>
      <c r="H3026" s="6"/>
      <c r="I3026" s="35" t="str">
        <f>IFERROR(IFERROR(IFERROR(VLOOKUP(B3026&amp;C3026&amp;Q3026,'New Weekly Paste'!A:M,10,0),VLOOKUP(B3026&amp;C3026&amp;Q3026,'New Weekly Paste'!B:O,6,0)),""),"")</f>
        <v>Tayski</v>
      </c>
      <c r="J3026" s="239" t="str">
        <f>IFERROR(IFERROR(VLOOKUP(B3026&amp;C3026&amp;Q3026,'New Weekly Paste'!A:M,8,0),VLOOKUP(B3026&amp;C3026&amp;Q3026,'New Weekly Paste'!B:O,10,0)),0)</f>
        <v/>
      </c>
      <c r="K3026" s="239" t="str">
        <f>IFERROR(IFERROR(VLOOKUP(B3026&amp;I3026&amp;Q3026,'New Weekly Paste'!A:M,8,0),VLOOKUP(B3026&amp;I3026&amp;Q3026,'New Weekly Paste'!B:O,10,0)),0)</f>
        <v/>
      </c>
      <c r="L3026" s="239">
        <f t="shared" si="25"/>
        <v>0</v>
      </c>
      <c r="M3026" s="36" t="str">
        <f t="shared" si="3"/>
        <v>Regular Season</v>
      </c>
      <c r="N3026" s="239" t="str">
        <f t="shared" si="26"/>
        <v>Tayski</v>
      </c>
      <c r="O3026" s="6">
        <f>VLOOKUP(D3026,'Mapped Opponent'!$G$4:$H$22,2,0)</f>
        <v>12</v>
      </c>
      <c r="P3026" s="6"/>
      <c r="Q3026" s="6" t="str">
        <f t="shared" si="4"/>
        <v>Week 12</v>
      </c>
      <c r="R3026" s="6" t="str">
        <f t="shared" si="5"/>
        <v>2026Week 12</v>
      </c>
      <c r="S3026" s="6" t="str">
        <f>IFERROR(__xludf.DUMMYFUNCTION("rank(J3026,FILTER(J:J,R:R=R3026))"),"#N/A")</f>
        <v>#N/A</v>
      </c>
      <c r="T3026" s="6">
        <f t="shared" si="6"/>
        <v>0</v>
      </c>
      <c r="U3026" s="6">
        <f t="shared" si="7"/>
        <v>12</v>
      </c>
      <c r="V3026" s="42">
        <f>averageif(AllData!A:A,B3026,AllData!R:R)/vlookup(B3026,AllData!A:O,15,0)</f>
        <v>90.45916667</v>
      </c>
      <c r="W3026" s="6"/>
    </row>
    <row r="3027" ht="14.25" customHeight="1">
      <c r="A3027" s="6" t="str">
        <f t="shared" si="29"/>
        <v>2026Hudspeath13</v>
      </c>
      <c r="B3027" s="59">
        <v>2026.0</v>
      </c>
      <c r="C3027" s="13" t="s">
        <v>39</v>
      </c>
      <c r="D3027" s="13" t="s">
        <v>152</v>
      </c>
      <c r="E3027" s="34"/>
      <c r="F3027" s="6"/>
      <c r="H3027" s="6"/>
      <c r="I3027" s="35" t="str">
        <f>IFERROR(IFERROR(IFERROR(VLOOKUP(B3027&amp;C3027&amp;Q3027,'New Weekly Paste'!A:M,10,0),VLOOKUP(B3027&amp;C3027&amp;Q3027,'New Weekly Paste'!B:O,6,0)),""),"")</f>
        <v>KnardDawg</v>
      </c>
      <c r="J3027" s="239" t="str">
        <f>IFERROR(IFERROR(VLOOKUP(B3027&amp;C3027&amp;Q3027,'New Weekly Paste'!A:M,8,0),VLOOKUP(B3027&amp;C3027&amp;Q3027,'New Weekly Paste'!B:O,10,0)),0)</f>
        <v/>
      </c>
      <c r="K3027" s="239" t="str">
        <f>IFERROR(IFERROR(VLOOKUP(B3027&amp;I3027&amp;Q3027,'New Weekly Paste'!A:M,8,0),VLOOKUP(B3027&amp;I3027&amp;Q3027,'New Weekly Paste'!B:O,10,0)),0)</f>
        <v/>
      </c>
      <c r="L3027" s="239">
        <f t="shared" si="25"/>
        <v>0</v>
      </c>
      <c r="M3027" s="36" t="str">
        <f t="shared" si="3"/>
        <v>Regular Season</v>
      </c>
      <c r="N3027" s="239" t="str">
        <f t="shared" si="26"/>
        <v>KnardDawg</v>
      </c>
      <c r="O3027" s="6">
        <f>VLOOKUP(D3027,'Mapped Opponent'!$G$4:$H$22,2,0)</f>
        <v>13</v>
      </c>
      <c r="P3027" s="6"/>
      <c r="Q3027" s="6" t="str">
        <f t="shared" si="4"/>
        <v>Week 13</v>
      </c>
      <c r="R3027" s="6" t="str">
        <f t="shared" si="5"/>
        <v>2026Week 13</v>
      </c>
      <c r="S3027" s="6" t="str">
        <f>IFERROR(__xludf.DUMMYFUNCTION("rank(J3027,FILTER(J:J,R:R=R3027))"),"#N/A")</f>
        <v>#N/A</v>
      </c>
      <c r="T3027" s="6">
        <f t="shared" si="6"/>
        <v>0</v>
      </c>
      <c r="U3027" s="6">
        <f t="shared" si="7"/>
        <v>12</v>
      </c>
      <c r="V3027" s="42">
        <f>averageif(AllData!A:A,B3027,AllData!R:R)/vlookup(B3027,AllData!A:O,15,0)</f>
        <v>90.45916667</v>
      </c>
      <c r="W3027" s="6"/>
    </row>
    <row r="3028" ht="14.25" customHeight="1">
      <c r="A3028" s="6" t="str">
        <f t="shared" si="29"/>
        <v>2026Salty13</v>
      </c>
      <c r="B3028" s="59">
        <v>2026.0</v>
      </c>
      <c r="C3028" s="13" t="s">
        <v>76</v>
      </c>
      <c r="D3028" s="13" t="s">
        <v>152</v>
      </c>
      <c r="E3028" s="34"/>
      <c r="F3028" s="6"/>
      <c r="H3028" s="6"/>
      <c r="I3028" s="35" t="str">
        <f>IFERROR(IFERROR(IFERROR(VLOOKUP(B3028&amp;C3028&amp;Q3028,'New Weekly Paste'!A:M,10,0),VLOOKUP(B3028&amp;C3028&amp;Q3028,'New Weekly Paste'!B:O,6,0)),""),"")</f>
        <v>T-How</v>
      </c>
      <c r="J3028" s="239" t="str">
        <f>IFERROR(IFERROR(VLOOKUP(B3028&amp;C3028&amp;Q3028,'New Weekly Paste'!A:M,8,0),VLOOKUP(B3028&amp;C3028&amp;Q3028,'New Weekly Paste'!B:O,10,0)),0)</f>
        <v/>
      </c>
      <c r="K3028" s="239" t="str">
        <f>IFERROR(IFERROR(VLOOKUP(B3028&amp;I3028&amp;Q3028,'New Weekly Paste'!A:M,8,0),VLOOKUP(B3028&amp;I3028&amp;Q3028,'New Weekly Paste'!B:O,10,0)),0)</f>
        <v/>
      </c>
      <c r="L3028" s="239">
        <f t="shared" si="25"/>
        <v>0</v>
      </c>
      <c r="M3028" s="36" t="str">
        <f t="shared" si="3"/>
        <v>Regular Season</v>
      </c>
      <c r="N3028" s="239" t="str">
        <f t="shared" si="26"/>
        <v>T-How</v>
      </c>
      <c r="O3028" s="6">
        <f>VLOOKUP(D3028,'Mapped Opponent'!$G$4:$H$22,2,0)</f>
        <v>13</v>
      </c>
      <c r="P3028" s="6"/>
      <c r="Q3028" s="6" t="str">
        <f t="shared" si="4"/>
        <v>Week 13</v>
      </c>
      <c r="R3028" s="6" t="str">
        <f t="shared" si="5"/>
        <v>2026Week 13</v>
      </c>
      <c r="S3028" s="6" t="str">
        <f>IFERROR(__xludf.DUMMYFUNCTION("rank(J3028,FILTER(J:J,R:R=R3028))"),"#N/A")</f>
        <v>#N/A</v>
      </c>
      <c r="T3028" s="6">
        <f t="shared" si="6"/>
        <v>0</v>
      </c>
      <c r="U3028" s="6">
        <f t="shared" si="7"/>
        <v>12</v>
      </c>
      <c r="V3028" s="42">
        <f>averageif(AllData!A:A,B3028,AllData!R:R)/vlookup(B3028,AllData!A:O,15,0)</f>
        <v>90.45916667</v>
      </c>
      <c r="W3028" s="6"/>
    </row>
    <row r="3029" ht="14.25" customHeight="1">
      <c r="A3029" s="6" t="str">
        <f t="shared" si="29"/>
        <v>2026Ewert13</v>
      </c>
      <c r="B3029" s="59">
        <v>2026.0</v>
      </c>
      <c r="C3029" s="13" t="s">
        <v>108</v>
      </c>
      <c r="D3029" s="13" t="s">
        <v>152</v>
      </c>
      <c r="E3029" s="34"/>
      <c r="F3029" s="6"/>
      <c r="H3029" s="6"/>
      <c r="I3029" s="35" t="str">
        <f>IFERROR(IFERROR(IFERROR(VLOOKUP(B3029&amp;C3029&amp;Q3029,'New Weekly Paste'!A:M,10,0),VLOOKUP(B3029&amp;C3029&amp;Q3029,'New Weekly Paste'!B:O,6,0)),""),"")</f>
        <v>Buser</v>
      </c>
      <c r="J3029" s="239" t="str">
        <f>IFERROR(IFERROR(VLOOKUP(B3029&amp;C3029&amp;Q3029,'New Weekly Paste'!A:M,8,0),VLOOKUP(B3029&amp;C3029&amp;Q3029,'New Weekly Paste'!B:O,10,0)),0)</f>
        <v/>
      </c>
      <c r="K3029" s="239" t="str">
        <f>IFERROR(IFERROR(VLOOKUP(B3029&amp;I3029&amp;Q3029,'New Weekly Paste'!A:M,8,0),VLOOKUP(B3029&amp;I3029&amp;Q3029,'New Weekly Paste'!B:O,10,0)),0)</f>
        <v/>
      </c>
      <c r="L3029" s="239">
        <f t="shared" si="25"/>
        <v>0</v>
      </c>
      <c r="M3029" s="36" t="str">
        <f t="shared" si="3"/>
        <v>Regular Season</v>
      </c>
      <c r="N3029" s="239" t="str">
        <f t="shared" si="26"/>
        <v>Buser</v>
      </c>
      <c r="O3029" s="6">
        <f>VLOOKUP(D3029,'Mapped Opponent'!$G$4:$H$22,2,0)</f>
        <v>13</v>
      </c>
      <c r="P3029" s="6"/>
      <c r="Q3029" s="6" t="str">
        <f t="shared" si="4"/>
        <v>Week 13</v>
      </c>
      <c r="R3029" s="6" t="str">
        <f t="shared" si="5"/>
        <v>2026Week 13</v>
      </c>
      <c r="S3029" s="6" t="str">
        <f>IFERROR(__xludf.DUMMYFUNCTION("rank(J3029,FILTER(J:J,R:R=R3029))"),"#N/A")</f>
        <v>#N/A</v>
      </c>
      <c r="T3029" s="6">
        <f t="shared" si="6"/>
        <v>0</v>
      </c>
      <c r="U3029" s="6">
        <f t="shared" si="7"/>
        <v>12</v>
      </c>
      <c r="V3029" s="42">
        <f>averageif(AllData!A:A,B3029,AllData!R:R)/vlookup(B3029,AllData!A:O,15,0)</f>
        <v>90.45916667</v>
      </c>
      <c r="W3029" s="6"/>
    </row>
    <row r="3030" ht="14.25" customHeight="1">
      <c r="A3030" s="6" t="str">
        <f t="shared" si="29"/>
        <v>2026Shep13</v>
      </c>
      <c r="B3030" s="59">
        <v>2026.0</v>
      </c>
      <c r="C3030" s="13" t="s">
        <v>89</v>
      </c>
      <c r="D3030" s="13" t="s">
        <v>152</v>
      </c>
      <c r="E3030" s="34"/>
      <c r="F3030" s="6"/>
      <c r="H3030" s="6"/>
      <c r="I3030" s="35" t="str">
        <f>IFERROR(IFERROR(IFERROR(VLOOKUP(B3030&amp;C3030&amp;Q3030,'New Weekly Paste'!A:M,10,0),VLOOKUP(B3030&amp;C3030&amp;Q3030,'New Weekly Paste'!B:O,6,0)),""),"")</f>
        <v>Riley</v>
      </c>
      <c r="J3030" s="239" t="str">
        <f>IFERROR(IFERROR(VLOOKUP(B3030&amp;C3030&amp;Q3030,'New Weekly Paste'!A:M,8,0),VLOOKUP(B3030&amp;C3030&amp;Q3030,'New Weekly Paste'!B:O,10,0)),0)</f>
        <v/>
      </c>
      <c r="K3030" s="239" t="str">
        <f>IFERROR(IFERROR(VLOOKUP(B3030&amp;I3030&amp;Q3030,'New Weekly Paste'!A:M,8,0),VLOOKUP(B3030&amp;I3030&amp;Q3030,'New Weekly Paste'!B:O,10,0)),0)</f>
        <v/>
      </c>
      <c r="L3030" s="239">
        <f t="shared" si="25"/>
        <v>0</v>
      </c>
      <c r="M3030" s="36" t="str">
        <f t="shared" si="3"/>
        <v>Regular Season</v>
      </c>
      <c r="N3030" s="239" t="str">
        <f t="shared" si="26"/>
        <v>Riley</v>
      </c>
      <c r="O3030" s="6">
        <f>VLOOKUP(D3030,'Mapped Opponent'!$G$4:$H$22,2,0)</f>
        <v>13</v>
      </c>
      <c r="P3030" s="6"/>
      <c r="Q3030" s="6" t="str">
        <f t="shared" si="4"/>
        <v>Week 13</v>
      </c>
      <c r="R3030" s="6" t="str">
        <f t="shared" si="5"/>
        <v>2026Week 13</v>
      </c>
      <c r="S3030" s="6" t="str">
        <f>IFERROR(__xludf.DUMMYFUNCTION("rank(J3030,FILTER(J:J,R:R=R3030))"),"#N/A")</f>
        <v>#N/A</v>
      </c>
      <c r="T3030" s="6">
        <f t="shared" si="6"/>
        <v>0</v>
      </c>
      <c r="U3030" s="6">
        <f t="shared" si="7"/>
        <v>12</v>
      </c>
      <c r="V3030" s="42">
        <f>averageif(AllData!A:A,B3030,AllData!R:R)/vlookup(B3030,AllData!A:O,15,0)</f>
        <v>90.45916667</v>
      </c>
      <c r="W3030" s="6"/>
    </row>
    <row r="3031" ht="14.25" customHeight="1">
      <c r="A3031" s="6" t="str">
        <f t="shared" si="29"/>
        <v>2026Riley13</v>
      </c>
      <c r="B3031" s="59">
        <v>2026.0</v>
      </c>
      <c r="C3031" s="13" t="s">
        <v>67</v>
      </c>
      <c r="D3031" s="13" t="s">
        <v>152</v>
      </c>
      <c r="E3031" s="34"/>
      <c r="F3031" s="6"/>
      <c r="H3031" s="6"/>
      <c r="I3031" s="35" t="str">
        <f>IFERROR(IFERROR(IFERROR(VLOOKUP(B3031&amp;C3031&amp;Q3031,'New Weekly Paste'!A:M,10,0),VLOOKUP(B3031&amp;C3031&amp;Q3031,'New Weekly Paste'!B:O,6,0)),""),"")</f>
        <v>Shep</v>
      </c>
      <c r="J3031" s="239" t="str">
        <f>IFERROR(IFERROR(VLOOKUP(B3031&amp;C3031&amp;Q3031,'New Weekly Paste'!A:M,8,0),VLOOKUP(B3031&amp;C3031&amp;Q3031,'New Weekly Paste'!B:O,10,0)),0)</f>
        <v/>
      </c>
      <c r="K3031" s="239" t="str">
        <f>IFERROR(IFERROR(VLOOKUP(B3031&amp;I3031&amp;Q3031,'New Weekly Paste'!A:M,8,0),VLOOKUP(B3031&amp;I3031&amp;Q3031,'New Weekly Paste'!B:O,10,0)),0)</f>
        <v/>
      </c>
      <c r="L3031" s="239">
        <f t="shared" si="25"/>
        <v>0</v>
      </c>
      <c r="M3031" s="36" t="str">
        <f t="shared" si="3"/>
        <v>Regular Season</v>
      </c>
      <c r="N3031" s="239" t="str">
        <f t="shared" si="26"/>
        <v>Shep</v>
      </c>
      <c r="O3031" s="6">
        <f>VLOOKUP(D3031,'Mapped Opponent'!$G$4:$H$22,2,0)</f>
        <v>13</v>
      </c>
      <c r="P3031" s="6"/>
      <c r="Q3031" s="6" t="str">
        <f t="shared" si="4"/>
        <v>Week 13</v>
      </c>
      <c r="R3031" s="6" t="str">
        <f t="shared" si="5"/>
        <v>2026Week 13</v>
      </c>
      <c r="S3031" s="6" t="str">
        <f>IFERROR(__xludf.DUMMYFUNCTION("rank(J3031,FILTER(J:J,R:R=R3031))"),"#N/A")</f>
        <v>#N/A</v>
      </c>
      <c r="T3031" s="6">
        <f t="shared" si="6"/>
        <v>0</v>
      </c>
      <c r="U3031" s="6">
        <f t="shared" si="7"/>
        <v>12</v>
      </c>
      <c r="V3031" s="42">
        <f>averageif(AllData!A:A,B3031,AllData!R:R)/vlookup(B3031,AllData!A:O,15,0)</f>
        <v>90.45916667</v>
      </c>
      <c r="W3031" s="6"/>
    </row>
    <row r="3032" ht="14.25" customHeight="1">
      <c r="A3032" s="6" t="str">
        <f t="shared" si="29"/>
        <v>2026Rooney/Jackson13</v>
      </c>
      <c r="B3032" s="59">
        <v>2026.0</v>
      </c>
      <c r="C3032" s="13" t="s">
        <v>57</v>
      </c>
      <c r="D3032" s="13" t="s">
        <v>152</v>
      </c>
      <c r="E3032" s="34"/>
      <c r="F3032" s="6"/>
      <c r="H3032" s="6"/>
      <c r="I3032" s="35" t="str">
        <f>IFERROR(IFERROR(IFERROR(VLOOKUP(B3032&amp;C3032&amp;Q3032,'New Weekly Paste'!A:M,10,0),VLOOKUP(B3032&amp;C3032&amp;Q3032,'New Weekly Paste'!B:O,6,0)),""),"")</f>
        <v>Tayski</v>
      </c>
      <c r="J3032" s="239" t="str">
        <f>IFERROR(IFERROR(VLOOKUP(B3032&amp;C3032&amp;Q3032,'New Weekly Paste'!A:M,8,0),VLOOKUP(B3032&amp;C3032&amp;Q3032,'New Weekly Paste'!B:O,10,0)),0)</f>
        <v/>
      </c>
      <c r="K3032" s="239" t="str">
        <f>IFERROR(IFERROR(VLOOKUP(B3032&amp;I3032&amp;Q3032,'New Weekly Paste'!A:M,8,0),VLOOKUP(B3032&amp;I3032&amp;Q3032,'New Weekly Paste'!B:O,10,0)),0)</f>
        <v/>
      </c>
      <c r="L3032" s="239">
        <f t="shared" si="25"/>
        <v>0</v>
      </c>
      <c r="M3032" s="36" t="str">
        <f t="shared" si="3"/>
        <v>Regular Season</v>
      </c>
      <c r="N3032" s="239" t="str">
        <f t="shared" si="26"/>
        <v>Tayski</v>
      </c>
      <c r="O3032" s="6">
        <f>VLOOKUP(D3032,'Mapped Opponent'!$G$4:$H$22,2,0)</f>
        <v>13</v>
      </c>
      <c r="P3032" s="6"/>
      <c r="Q3032" s="6" t="str">
        <f t="shared" si="4"/>
        <v>Week 13</v>
      </c>
      <c r="R3032" s="6" t="str">
        <f t="shared" si="5"/>
        <v>2026Week 13</v>
      </c>
      <c r="S3032" s="6" t="str">
        <f>IFERROR(__xludf.DUMMYFUNCTION("rank(J3032,FILTER(J:J,R:R=R3032))"),"#N/A")</f>
        <v>#N/A</v>
      </c>
      <c r="T3032" s="6">
        <f t="shared" si="6"/>
        <v>0</v>
      </c>
      <c r="U3032" s="6">
        <f t="shared" si="7"/>
        <v>12</v>
      </c>
      <c r="V3032" s="42">
        <f>averageif(AllData!A:A,B3032,AllData!R:R)/vlookup(B3032,AllData!A:O,15,0)</f>
        <v>90.45916667</v>
      </c>
      <c r="W3032" s="6"/>
    </row>
    <row r="3033" ht="14.25" customHeight="1">
      <c r="A3033" s="6" t="str">
        <f t="shared" si="29"/>
        <v>2026Buser13</v>
      </c>
      <c r="B3033" s="59">
        <v>2026.0</v>
      </c>
      <c r="C3033" s="13" t="s">
        <v>47</v>
      </c>
      <c r="D3033" s="13" t="s">
        <v>152</v>
      </c>
      <c r="E3033" s="34"/>
      <c r="F3033" s="6"/>
      <c r="H3033" s="6"/>
      <c r="I3033" s="35" t="str">
        <f>IFERROR(IFERROR(IFERROR(VLOOKUP(B3033&amp;C3033&amp;Q3033,'New Weekly Paste'!A:M,10,0),VLOOKUP(B3033&amp;C3033&amp;Q3033,'New Weekly Paste'!B:O,6,0)),""),"")</f>
        <v>Ewert</v>
      </c>
      <c r="J3033" s="239" t="str">
        <f>IFERROR(IFERROR(VLOOKUP(B3033&amp;C3033&amp;Q3033,'New Weekly Paste'!A:M,8,0),VLOOKUP(B3033&amp;C3033&amp;Q3033,'New Weekly Paste'!B:O,10,0)),0)</f>
        <v/>
      </c>
      <c r="K3033" s="239" t="str">
        <f>IFERROR(IFERROR(VLOOKUP(B3033&amp;I3033&amp;Q3033,'New Weekly Paste'!A:M,8,0),VLOOKUP(B3033&amp;I3033&amp;Q3033,'New Weekly Paste'!B:O,10,0)),0)</f>
        <v/>
      </c>
      <c r="L3033" s="239">
        <f t="shared" si="25"/>
        <v>0</v>
      </c>
      <c r="M3033" s="36" t="str">
        <f t="shared" si="3"/>
        <v>Regular Season</v>
      </c>
      <c r="N3033" s="239" t="str">
        <f t="shared" si="26"/>
        <v>Ewert</v>
      </c>
      <c r="O3033" s="6">
        <f>VLOOKUP(D3033,'Mapped Opponent'!$G$4:$H$22,2,0)</f>
        <v>13</v>
      </c>
      <c r="P3033" s="6"/>
      <c r="Q3033" s="6" t="str">
        <f t="shared" si="4"/>
        <v>Week 13</v>
      </c>
      <c r="R3033" s="6" t="str">
        <f t="shared" si="5"/>
        <v>2026Week 13</v>
      </c>
      <c r="S3033" s="6" t="str">
        <f>IFERROR(__xludf.DUMMYFUNCTION("rank(J3033,FILTER(J:J,R:R=R3033))"),"#N/A")</f>
        <v>#N/A</v>
      </c>
      <c r="T3033" s="6">
        <f t="shared" si="6"/>
        <v>0</v>
      </c>
      <c r="U3033" s="6">
        <f t="shared" si="7"/>
        <v>12</v>
      </c>
      <c r="V3033" s="42">
        <f>averageif(AllData!A:A,B3033,AllData!R:R)/vlookup(B3033,AllData!A:O,15,0)</f>
        <v>90.45916667</v>
      </c>
      <c r="W3033" s="6"/>
    </row>
    <row r="3034" ht="14.25" customHeight="1">
      <c r="A3034" s="6" t="str">
        <f t="shared" si="29"/>
        <v>2026Pierson13</v>
      </c>
      <c r="B3034" s="59">
        <v>2026.0</v>
      </c>
      <c r="C3034" s="13" t="s">
        <v>92</v>
      </c>
      <c r="D3034" s="13" t="s">
        <v>152</v>
      </c>
      <c r="E3034" s="34"/>
      <c r="F3034" s="6"/>
      <c r="H3034" s="6"/>
      <c r="I3034" s="35" t="str">
        <f>IFERROR(IFERROR(IFERROR(VLOOKUP(B3034&amp;C3034&amp;Q3034,'New Weekly Paste'!A:M,10,0),VLOOKUP(B3034&amp;C3034&amp;Q3034,'New Weekly Paste'!B:O,6,0)),""),"")</f>
        <v>Cock</v>
      </c>
      <c r="J3034" s="239" t="str">
        <f>IFERROR(IFERROR(VLOOKUP(B3034&amp;C3034&amp;Q3034,'New Weekly Paste'!A:M,8,0),VLOOKUP(B3034&amp;C3034&amp;Q3034,'New Weekly Paste'!B:O,10,0)),0)</f>
        <v/>
      </c>
      <c r="K3034" s="239" t="str">
        <f>IFERROR(IFERROR(VLOOKUP(B3034&amp;I3034&amp;Q3034,'New Weekly Paste'!A:M,8,0),VLOOKUP(B3034&amp;I3034&amp;Q3034,'New Weekly Paste'!B:O,10,0)),0)</f>
        <v/>
      </c>
      <c r="L3034" s="239">
        <f t="shared" si="25"/>
        <v>0</v>
      </c>
      <c r="M3034" s="36" t="str">
        <f t="shared" si="3"/>
        <v>Regular Season</v>
      </c>
      <c r="N3034" s="239" t="str">
        <f t="shared" si="26"/>
        <v>Cock</v>
      </c>
      <c r="O3034" s="6">
        <f>VLOOKUP(D3034,'Mapped Opponent'!$G$4:$H$22,2,0)</f>
        <v>13</v>
      </c>
      <c r="P3034" s="6"/>
      <c r="Q3034" s="6" t="str">
        <f t="shared" si="4"/>
        <v>Week 13</v>
      </c>
      <c r="R3034" s="6" t="str">
        <f t="shared" si="5"/>
        <v>2026Week 13</v>
      </c>
      <c r="S3034" s="6" t="str">
        <f>IFERROR(__xludf.DUMMYFUNCTION("rank(J3034,FILTER(J:J,R:R=R3034))"),"#N/A")</f>
        <v>#N/A</v>
      </c>
      <c r="T3034" s="6">
        <f t="shared" si="6"/>
        <v>0</v>
      </c>
      <c r="U3034" s="6">
        <f t="shared" si="7"/>
        <v>12</v>
      </c>
      <c r="V3034" s="42">
        <f>averageif(AllData!A:A,B3034,AllData!R:R)/vlookup(B3034,AllData!A:O,15,0)</f>
        <v>90.45916667</v>
      </c>
      <c r="W3034" s="6"/>
    </row>
    <row r="3035" ht="14.25" customHeight="1">
      <c r="A3035" s="6" t="str">
        <f t="shared" si="29"/>
        <v>2026Cock13</v>
      </c>
      <c r="B3035" s="59">
        <v>2026.0</v>
      </c>
      <c r="C3035" s="13" t="s">
        <v>72</v>
      </c>
      <c r="D3035" s="13" t="s">
        <v>152</v>
      </c>
      <c r="E3035" s="34"/>
      <c r="F3035" s="6"/>
      <c r="H3035" s="6"/>
      <c r="I3035" s="35" t="str">
        <f>IFERROR(IFERROR(IFERROR(VLOOKUP(B3035&amp;C3035&amp;Q3035,'New Weekly Paste'!A:M,10,0),VLOOKUP(B3035&amp;C3035&amp;Q3035,'New Weekly Paste'!B:O,6,0)),""),"")</f>
        <v>Pierson</v>
      </c>
      <c r="J3035" s="239" t="str">
        <f>IFERROR(IFERROR(VLOOKUP(B3035&amp;C3035&amp;Q3035,'New Weekly Paste'!A:M,8,0),VLOOKUP(B3035&amp;C3035&amp;Q3035,'New Weekly Paste'!B:O,10,0)),0)</f>
        <v/>
      </c>
      <c r="K3035" s="239" t="str">
        <f>IFERROR(IFERROR(VLOOKUP(B3035&amp;I3035&amp;Q3035,'New Weekly Paste'!A:M,8,0),VLOOKUP(B3035&amp;I3035&amp;Q3035,'New Weekly Paste'!B:O,10,0)),0)</f>
        <v/>
      </c>
      <c r="L3035" s="239">
        <f t="shared" si="25"/>
        <v>0</v>
      </c>
      <c r="M3035" s="36" t="str">
        <f t="shared" si="3"/>
        <v>Regular Season</v>
      </c>
      <c r="N3035" s="239" t="str">
        <f t="shared" si="26"/>
        <v>Pierson</v>
      </c>
      <c r="O3035" s="6">
        <f>VLOOKUP(D3035,'Mapped Opponent'!$G$4:$H$22,2,0)</f>
        <v>13</v>
      </c>
      <c r="P3035" s="6"/>
      <c r="Q3035" s="6" t="str">
        <f t="shared" si="4"/>
        <v>Week 13</v>
      </c>
      <c r="R3035" s="6" t="str">
        <f t="shared" si="5"/>
        <v>2026Week 13</v>
      </c>
      <c r="S3035" s="6" t="str">
        <f>IFERROR(__xludf.DUMMYFUNCTION("rank(J3035,FILTER(J:J,R:R=R3035))"),"#N/A")</f>
        <v>#N/A</v>
      </c>
      <c r="T3035" s="6">
        <f t="shared" si="6"/>
        <v>0</v>
      </c>
      <c r="U3035" s="6">
        <f t="shared" si="7"/>
        <v>12</v>
      </c>
      <c r="V3035" s="42">
        <f>averageif(AllData!A:A,B3035,AllData!R:R)/vlookup(B3035,AllData!A:O,15,0)</f>
        <v>90.45916667</v>
      </c>
      <c r="W3035" s="6"/>
    </row>
    <row r="3036" ht="14.25" customHeight="1">
      <c r="A3036" s="6" t="str">
        <f t="shared" si="29"/>
        <v>2026Tayski13</v>
      </c>
      <c r="B3036" s="59">
        <v>2026.0</v>
      </c>
      <c r="C3036" s="13" t="s">
        <v>52</v>
      </c>
      <c r="D3036" s="13" t="s">
        <v>152</v>
      </c>
      <c r="E3036" s="34"/>
      <c r="F3036" s="6"/>
      <c r="H3036" s="6"/>
      <c r="I3036" s="35" t="str">
        <f>IFERROR(IFERROR(IFERROR(VLOOKUP(B3036&amp;C3036&amp;Q3036,'New Weekly Paste'!A:M,10,0),VLOOKUP(B3036&amp;C3036&amp;Q3036,'New Weekly Paste'!B:O,6,0)),""),"")</f>
        <v>Rooney/Jackson</v>
      </c>
      <c r="J3036" s="239" t="str">
        <f>IFERROR(IFERROR(VLOOKUP(B3036&amp;C3036&amp;Q3036,'New Weekly Paste'!A:M,8,0),VLOOKUP(B3036&amp;C3036&amp;Q3036,'New Weekly Paste'!B:O,10,0)),0)</f>
        <v/>
      </c>
      <c r="K3036" s="239" t="str">
        <f>IFERROR(IFERROR(VLOOKUP(B3036&amp;I3036&amp;Q3036,'New Weekly Paste'!A:M,8,0),VLOOKUP(B3036&amp;I3036&amp;Q3036,'New Weekly Paste'!B:O,10,0)),0)</f>
        <v/>
      </c>
      <c r="L3036" s="239">
        <f t="shared" si="25"/>
        <v>0</v>
      </c>
      <c r="M3036" s="36" t="str">
        <f t="shared" si="3"/>
        <v>Regular Season</v>
      </c>
      <c r="N3036" s="239" t="str">
        <f t="shared" si="26"/>
        <v>Rooney/Jackson</v>
      </c>
      <c r="O3036" s="6">
        <f>VLOOKUP(D3036,'Mapped Opponent'!$G$4:$H$22,2,0)</f>
        <v>13</v>
      </c>
      <c r="P3036" s="6"/>
      <c r="Q3036" s="6" t="str">
        <f t="shared" si="4"/>
        <v>Week 13</v>
      </c>
      <c r="R3036" s="6" t="str">
        <f t="shared" si="5"/>
        <v>2026Week 13</v>
      </c>
      <c r="S3036" s="6" t="str">
        <f>IFERROR(__xludf.DUMMYFUNCTION("rank(J3036,FILTER(J:J,R:R=R3036))"),"#N/A")</f>
        <v>#N/A</v>
      </c>
      <c r="T3036" s="6">
        <f t="shared" si="6"/>
        <v>0</v>
      </c>
      <c r="U3036" s="6">
        <f t="shared" si="7"/>
        <v>12</v>
      </c>
      <c r="V3036" s="42">
        <f>averageif(AllData!A:A,B3036,AllData!R:R)/vlookup(B3036,AllData!A:O,15,0)</f>
        <v>90.45916667</v>
      </c>
      <c r="W3036" s="6"/>
    </row>
    <row r="3037" ht="14.25" customHeight="1">
      <c r="A3037" s="6" t="str">
        <f t="shared" si="29"/>
        <v>2026KnardDawg13</v>
      </c>
      <c r="B3037" s="59">
        <v>2026.0</v>
      </c>
      <c r="C3037" s="13" t="s">
        <v>86</v>
      </c>
      <c r="D3037" s="13" t="s">
        <v>152</v>
      </c>
      <c r="E3037" s="34"/>
      <c r="F3037" s="6"/>
      <c r="H3037" s="6"/>
      <c r="I3037" s="35" t="str">
        <f>IFERROR(IFERROR(IFERROR(VLOOKUP(B3037&amp;C3037&amp;Q3037,'New Weekly Paste'!A:M,10,0),VLOOKUP(B3037&amp;C3037&amp;Q3037,'New Weekly Paste'!B:O,6,0)),""),"")</f>
        <v>Ewert</v>
      </c>
      <c r="J3037" s="239" t="str">
        <f>IFERROR(IFERROR(VLOOKUP(B3037&amp;C3037&amp;Q3037,'New Weekly Paste'!A:M,8,0),VLOOKUP(B3037&amp;C3037&amp;Q3037,'New Weekly Paste'!B:O,10,0)),0)</f>
        <v/>
      </c>
      <c r="K3037" s="239" t="str">
        <f>IFERROR(IFERROR(VLOOKUP(B3037&amp;I3037&amp;Q3037,'New Weekly Paste'!A:M,8,0),VLOOKUP(B3037&amp;I3037&amp;Q3037,'New Weekly Paste'!B:O,10,0)),0)</f>
        <v/>
      </c>
      <c r="L3037" s="239">
        <f t="shared" si="25"/>
        <v>0</v>
      </c>
      <c r="M3037" s="36" t="str">
        <f t="shared" si="3"/>
        <v>Regular Season</v>
      </c>
      <c r="N3037" s="239" t="str">
        <f t="shared" si="26"/>
        <v>Ewert</v>
      </c>
      <c r="O3037" s="6">
        <f>VLOOKUP(D3037,'Mapped Opponent'!$G$4:$H$22,2,0)</f>
        <v>13</v>
      </c>
      <c r="P3037" s="6"/>
      <c r="Q3037" s="6" t="str">
        <f t="shared" si="4"/>
        <v>Week 13</v>
      </c>
      <c r="R3037" s="6" t="str">
        <f t="shared" si="5"/>
        <v>2026Week 13</v>
      </c>
      <c r="S3037" s="6" t="str">
        <f>IFERROR(__xludf.DUMMYFUNCTION("rank(J3037,FILTER(J:J,R:R=R3037))"),"#N/A")</f>
        <v>#N/A</v>
      </c>
      <c r="T3037" s="6">
        <f t="shared" si="6"/>
        <v>0</v>
      </c>
      <c r="U3037" s="6">
        <f t="shared" si="7"/>
        <v>12</v>
      </c>
      <c r="V3037" s="42">
        <f>averageif(AllData!A:A,B3037,AllData!R:R)/vlookup(B3037,AllData!A:O,15,0)</f>
        <v>90.45916667</v>
      </c>
      <c r="W3037" s="6"/>
    </row>
    <row r="3038" ht="14.25" customHeight="1">
      <c r="A3038" s="6" t="str">
        <f t="shared" si="29"/>
        <v>2026T-How13</v>
      </c>
      <c r="B3038" s="59">
        <v>2026.0</v>
      </c>
      <c r="C3038" s="13" t="s">
        <v>82</v>
      </c>
      <c r="D3038" s="13" t="s">
        <v>152</v>
      </c>
      <c r="E3038" s="34"/>
      <c r="F3038" s="6"/>
      <c r="H3038" s="6"/>
      <c r="I3038" s="35" t="str">
        <f>IFERROR(IFERROR(IFERROR(VLOOKUP(B3038&amp;C3038&amp;Q3038,'New Weekly Paste'!A:M,10,0),VLOOKUP(B3038&amp;C3038&amp;Q3038,'New Weekly Paste'!B:O,6,0)),""),"")</f>
        <v>Salty</v>
      </c>
      <c r="J3038" s="239" t="str">
        <f>IFERROR(IFERROR(VLOOKUP(B3038&amp;C3038&amp;Q3038,'New Weekly Paste'!A:M,8,0),VLOOKUP(B3038&amp;C3038&amp;Q3038,'New Weekly Paste'!B:O,10,0)),0)</f>
        <v/>
      </c>
      <c r="K3038" s="239" t="str">
        <f>IFERROR(IFERROR(VLOOKUP(B3038&amp;I3038&amp;Q3038,'New Weekly Paste'!A:M,8,0),VLOOKUP(B3038&amp;I3038&amp;Q3038,'New Weekly Paste'!B:O,10,0)),0)</f>
        <v/>
      </c>
      <c r="L3038" s="239">
        <f t="shared" si="25"/>
        <v>0</v>
      </c>
      <c r="M3038" s="36" t="str">
        <f t="shared" si="3"/>
        <v>Regular Season</v>
      </c>
      <c r="N3038" s="239" t="str">
        <f t="shared" si="26"/>
        <v>Salty</v>
      </c>
      <c r="O3038" s="6">
        <f>VLOOKUP(D3038,'Mapped Opponent'!$G$4:$H$22,2,0)</f>
        <v>13</v>
      </c>
      <c r="P3038" s="6"/>
      <c r="Q3038" s="6" t="str">
        <f t="shared" si="4"/>
        <v>Week 13</v>
      </c>
      <c r="R3038" s="6" t="str">
        <f t="shared" si="5"/>
        <v>2026Week 13</v>
      </c>
      <c r="S3038" s="6" t="str">
        <f>IFERROR(__xludf.DUMMYFUNCTION("rank(J3038,FILTER(J:J,R:R=R3038))"),"#N/A")</f>
        <v>#N/A</v>
      </c>
      <c r="T3038" s="6">
        <f t="shared" si="6"/>
        <v>0</v>
      </c>
      <c r="U3038" s="6">
        <f t="shared" si="7"/>
        <v>12</v>
      </c>
      <c r="V3038" s="42">
        <f>averageif(AllData!A:A,B3038,AllData!R:R)/vlookup(B3038,AllData!A:O,15,0)</f>
        <v>90.45916667</v>
      </c>
      <c r="W3038" s="6"/>
    </row>
    <row r="3039" ht="14.25" customHeight="1">
      <c r="A3039" s="6" t="str">
        <f t="shared" si="29"/>
        <v>2026Hudspeath14</v>
      </c>
      <c r="B3039" s="59">
        <v>2026.0</v>
      </c>
      <c r="C3039" s="13" t="s">
        <v>39</v>
      </c>
      <c r="D3039" s="13" t="s">
        <v>156</v>
      </c>
      <c r="E3039" s="34"/>
      <c r="F3039" s="6"/>
      <c r="H3039" s="6"/>
      <c r="I3039" s="35" t="str">
        <f>IFERROR(IFERROR(IFERROR(VLOOKUP(B3039&amp;C3039&amp;Q3039,'New Weekly Paste'!A:M,10,0),VLOOKUP(B3039&amp;C3039&amp;Q3039,'New Weekly Paste'!B:O,6,0)),""),"")</f>
        <v>Buser</v>
      </c>
      <c r="J3039" s="239" t="str">
        <f>IFERROR(IFERROR(VLOOKUP(B3039&amp;C3039&amp;Q3039,'New Weekly Paste'!A:M,8,0),VLOOKUP(B3039&amp;C3039&amp;Q3039,'New Weekly Paste'!B:O,10,0)),0)</f>
        <v/>
      </c>
      <c r="K3039" s="239" t="str">
        <f>IFERROR(IFERROR(VLOOKUP(B3039&amp;I3039&amp;Q3039,'New Weekly Paste'!A:M,8,0),VLOOKUP(B3039&amp;I3039&amp;Q3039,'New Weekly Paste'!B:O,10,0)),0)</f>
        <v/>
      </c>
      <c r="L3039" s="239">
        <f t="shared" si="25"/>
        <v>0</v>
      </c>
      <c r="M3039" s="36" t="str">
        <f t="shared" si="3"/>
        <v>Regular Season</v>
      </c>
      <c r="N3039" s="239" t="str">
        <f t="shared" si="26"/>
        <v>Buser</v>
      </c>
      <c r="O3039" s="6">
        <f>VLOOKUP(D3039,'Mapped Opponent'!$G$4:$H$22,2,0)</f>
        <v>14</v>
      </c>
      <c r="P3039" s="6"/>
      <c r="Q3039" s="6" t="str">
        <f t="shared" si="4"/>
        <v>Week 14</v>
      </c>
      <c r="R3039" s="6" t="str">
        <f t="shared" si="5"/>
        <v>2026Week 14</v>
      </c>
      <c r="S3039" s="6" t="str">
        <f>IFERROR(__xludf.DUMMYFUNCTION("rank(J3039,FILTER(J:J,R:R=R3039))"),"#N/A")</f>
        <v>#N/A</v>
      </c>
      <c r="T3039" s="6">
        <f t="shared" si="6"/>
        <v>0</v>
      </c>
      <c r="U3039" s="6">
        <f t="shared" si="7"/>
        <v>12</v>
      </c>
      <c r="V3039" s="42">
        <f>averageif(AllData!A:A,B3039,AllData!R:R)/vlookup(B3039,AllData!A:O,15,0)</f>
        <v>90.45916667</v>
      </c>
      <c r="W3039" s="6"/>
    </row>
    <row r="3040" ht="14.25" customHeight="1">
      <c r="A3040" s="6" t="str">
        <f t="shared" si="29"/>
        <v>2026Salty14</v>
      </c>
      <c r="B3040" s="59">
        <v>2026.0</v>
      </c>
      <c r="C3040" s="13" t="s">
        <v>76</v>
      </c>
      <c r="D3040" s="13" t="s">
        <v>156</v>
      </c>
      <c r="E3040" s="34"/>
      <c r="F3040" s="6"/>
      <c r="H3040" s="6"/>
      <c r="I3040" s="35" t="str">
        <f>IFERROR(IFERROR(IFERROR(VLOOKUP(B3040&amp;C3040&amp;Q3040,'New Weekly Paste'!A:M,10,0),VLOOKUP(B3040&amp;C3040&amp;Q3040,'New Weekly Paste'!B:O,6,0)),""),"")</f>
        <v>Rooney/Jackson</v>
      </c>
      <c r="J3040" s="239" t="str">
        <f>IFERROR(IFERROR(VLOOKUP(B3040&amp;C3040&amp;Q3040,'New Weekly Paste'!A:M,8,0),VLOOKUP(B3040&amp;C3040&amp;Q3040,'New Weekly Paste'!B:O,10,0)),0)</f>
        <v/>
      </c>
      <c r="K3040" s="239" t="str">
        <f>IFERROR(IFERROR(VLOOKUP(B3040&amp;I3040&amp;Q3040,'New Weekly Paste'!A:M,8,0),VLOOKUP(B3040&amp;I3040&amp;Q3040,'New Weekly Paste'!B:O,10,0)),0)</f>
        <v/>
      </c>
      <c r="L3040" s="239">
        <f t="shared" si="25"/>
        <v>0</v>
      </c>
      <c r="M3040" s="36" t="str">
        <f t="shared" si="3"/>
        <v>Regular Season</v>
      </c>
      <c r="N3040" s="239" t="str">
        <f t="shared" si="26"/>
        <v>Rooney/Jackson</v>
      </c>
      <c r="O3040" s="6">
        <f>VLOOKUP(D3040,'Mapped Opponent'!$G$4:$H$22,2,0)</f>
        <v>14</v>
      </c>
      <c r="P3040" s="6"/>
      <c r="Q3040" s="6" t="str">
        <f t="shared" si="4"/>
        <v>Week 14</v>
      </c>
      <c r="R3040" s="6" t="str">
        <f t="shared" si="5"/>
        <v>2026Week 14</v>
      </c>
      <c r="S3040" s="6" t="str">
        <f>IFERROR(__xludf.DUMMYFUNCTION("rank(J3040,FILTER(J:J,R:R=R3040))"),"#N/A")</f>
        <v>#N/A</v>
      </c>
      <c r="T3040" s="6">
        <f t="shared" si="6"/>
        <v>0</v>
      </c>
      <c r="U3040" s="6">
        <f t="shared" si="7"/>
        <v>12</v>
      </c>
      <c r="V3040" s="42">
        <f>averageif(AllData!A:A,B3040,AllData!R:R)/vlookup(B3040,AllData!A:O,15,0)</f>
        <v>90.45916667</v>
      </c>
      <c r="W3040" s="6"/>
    </row>
    <row r="3041" ht="14.25" customHeight="1">
      <c r="A3041" s="6" t="str">
        <f t="shared" si="29"/>
        <v>2026Ewert14</v>
      </c>
      <c r="B3041" s="59">
        <v>2026.0</v>
      </c>
      <c r="C3041" s="13" t="s">
        <v>108</v>
      </c>
      <c r="D3041" s="13" t="s">
        <v>156</v>
      </c>
      <c r="E3041" s="34"/>
      <c r="F3041" s="6"/>
      <c r="H3041" s="6"/>
      <c r="I3041" s="35" t="str">
        <f>IFERROR(IFERROR(IFERROR(VLOOKUP(B3041&amp;C3041&amp;Q3041,'New Weekly Paste'!A:M,10,0),VLOOKUP(B3041&amp;C3041&amp;Q3041,'New Weekly Paste'!B:O,6,0)),""),"")</f>
        <v>Buser</v>
      </c>
      <c r="J3041" s="239" t="str">
        <f>IFERROR(IFERROR(VLOOKUP(B3041&amp;C3041&amp;Q3041,'New Weekly Paste'!A:M,8,0),VLOOKUP(B3041&amp;C3041&amp;Q3041,'New Weekly Paste'!B:O,10,0)),0)</f>
        <v/>
      </c>
      <c r="K3041" s="239" t="str">
        <f>IFERROR(IFERROR(VLOOKUP(B3041&amp;I3041&amp;Q3041,'New Weekly Paste'!A:M,8,0),VLOOKUP(B3041&amp;I3041&amp;Q3041,'New Weekly Paste'!B:O,10,0)),0)</f>
        <v/>
      </c>
      <c r="L3041" s="239">
        <f t="shared" si="25"/>
        <v>0</v>
      </c>
      <c r="M3041" s="36" t="str">
        <f t="shared" si="3"/>
        <v>Regular Season</v>
      </c>
      <c r="N3041" s="239" t="str">
        <f t="shared" si="26"/>
        <v>Buser</v>
      </c>
      <c r="O3041" s="6">
        <f>VLOOKUP(D3041,'Mapped Opponent'!$G$4:$H$22,2,0)</f>
        <v>14</v>
      </c>
      <c r="P3041" s="6"/>
      <c r="Q3041" s="6" t="str">
        <f t="shared" si="4"/>
        <v>Week 14</v>
      </c>
      <c r="R3041" s="6" t="str">
        <f t="shared" si="5"/>
        <v>2026Week 14</v>
      </c>
      <c r="S3041" s="6" t="str">
        <f>IFERROR(__xludf.DUMMYFUNCTION("rank(J3041,FILTER(J:J,R:R=R3041))"),"#N/A")</f>
        <v>#N/A</v>
      </c>
      <c r="T3041" s="6">
        <f t="shared" si="6"/>
        <v>0</v>
      </c>
      <c r="U3041" s="6">
        <f t="shared" si="7"/>
        <v>12</v>
      </c>
      <c r="V3041" s="42">
        <f>averageif(AllData!A:A,B3041,AllData!R:R)/vlookup(B3041,AllData!A:O,15,0)</f>
        <v>90.45916667</v>
      </c>
      <c r="W3041" s="6"/>
    </row>
    <row r="3042" ht="14.25" customHeight="1">
      <c r="A3042" s="6" t="str">
        <f t="shared" si="29"/>
        <v>2026Shep14</v>
      </c>
      <c r="B3042" s="59">
        <v>2026.0</v>
      </c>
      <c r="C3042" s="13" t="s">
        <v>89</v>
      </c>
      <c r="D3042" s="13" t="s">
        <v>156</v>
      </c>
      <c r="E3042" s="34"/>
      <c r="F3042" s="6"/>
      <c r="H3042" s="6"/>
      <c r="I3042" s="35" t="str">
        <f>IFERROR(IFERROR(IFERROR(VLOOKUP(B3042&amp;C3042&amp;Q3042,'New Weekly Paste'!A:M,10,0),VLOOKUP(B3042&amp;C3042&amp;Q3042,'New Weekly Paste'!B:O,6,0)),""),"")</f>
        <v>Pierson</v>
      </c>
      <c r="J3042" s="239" t="str">
        <f>IFERROR(IFERROR(VLOOKUP(B3042&amp;C3042&amp;Q3042,'New Weekly Paste'!A:M,8,0),VLOOKUP(B3042&amp;C3042&amp;Q3042,'New Weekly Paste'!B:O,10,0)),0)</f>
        <v/>
      </c>
      <c r="K3042" s="239" t="str">
        <f>IFERROR(IFERROR(VLOOKUP(B3042&amp;I3042&amp;Q3042,'New Weekly Paste'!A:M,8,0),VLOOKUP(B3042&amp;I3042&amp;Q3042,'New Weekly Paste'!B:O,10,0)),0)</f>
        <v/>
      </c>
      <c r="L3042" s="239">
        <f t="shared" si="25"/>
        <v>0</v>
      </c>
      <c r="M3042" s="36" t="str">
        <f t="shared" si="3"/>
        <v>Regular Season</v>
      </c>
      <c r="N3042" s="239" t="str">
        <f t="shared" si="26"/>
        <v>Pierson</v>
      </c>
      <c r="O3042" s="6">
        <f>VLOOKUP(D3042,'Mapped Opponent'!$G$4:$H$22,2,0)</f>
        <v>14</v>
      </c>
      <c r="P3042" s="6"/>
      <c r="Q3042" s="6" t="str">
        <f t="shared" si="4"/>
        <v>Week 14</v>
      </c>
      <c r="R3042" s="6" t="str">
        <f t="shared" si="5"/>
        <v>2026Week 14</v>
      </c>
      <c r="S3042" s="6" t="str">
        <f>IFERROR(__xludf.DUMMYFUNCTION("rank(J3042,FILTER(J:J,R:R=R3042))"),"#N/A")</f>
        <v>#N/A</v>
      </c>
      <c r="T3042" s="6">
        <f t="shared" si="6"/>
        <v>0</v>
      </c>
      <c r="U3042" s="6">
        <f t="shared" si="7"/>
        <v>12</v>
      </c>
      <c r="V3042" s="42">
        <f>averageif(AllData!A:A,B3042,AllData!R:R)/vlookup(B3042,AllData!A:O,15,0)</f>
        <v>90.45916667</v>
      </c>
      <c r="W3042" s="6"/>
    </row>
    <row r="3043" ht="14.25" customHeight="1">
      <c r="A3043" s="6" t="str">
        <f t="shared" si="29"/>
        <v>2026Riley14</v>
      </c>
      <c r="B3043" s="59">
        <v>2026.0</v>
      </c>
      <c r="C3043" s="13" t="s">
        <v>67</v>
      </c>
      <c r="D3043" s="13" t="s">
        <v>156</v>
      </c>
      <c r="E3043" s="34"/>
      <c r="F3043" s="6"/>
      <c r="H3043" s="6"/>
      <c r="I3043" s="35" t="str">
        <f>IFERROR(IFERROR(IFERROR(VLOOKUP(B3043&amp;C3043&amp;Q3043,'New Weekly Paste'!A:M,10,0),VLOOKUP(B3043&amp;C3043&amp;Q3043,'New Weekly Paste'!B:O,6,0)),""),"")</f>
        <v>Ewert</v>
      </c>
      <c r="J3043" s="239" t="str">
        <f>IFERROR(IFERROR(VLOOKUP(B3043&amp;C3043&amp;Q3043,'New Weekly Paste'!A:M,8,0),VLOOKUP(B3043&amp;C3043&amp;Q3043,'New Weekly Paste'!B:O,10,0)),0)</f>
        <v/>
      </c>
      <c r="K3043" s="239" t="str">
        <f>IFERROR(IFERROR(VLOOKUP(B3043&amp;I3043&amp;Q3043,'New Weekly Paste'!A:M,8,0),VLOOKUP(B3043&amp;I3043&amp;Q3043,'New Weekly Paste'!B:O,10,0)),0)</f>
        <v/>
      </c>
      <c r="L3043" s="239">
        <f t="shared" si="25"/>
        <v>0</v>
      </c>
      <c r="M3043" s="36" t="str">
        <f t="shared" si="3"/>
        <v>Regular Season</v>
      </c>
      <c r="N3043" s="239" t="str">
        <f t="shared" si="26"/>
        <v>Ewert</v>
      </c>
      <c r="O3043" s="6">
        <f>VLOOKUP(D3043,'Mapped Opponent'!$G$4:$H$22,2,0)</f>
        <v>14</v>
      </c>
      <c r="P3043" s="6"/>
      <c r="Q3043" s="6" t="str">
        <f t="shared" si="4"/>
        <v>Week 14</v>
      </c>
      <c r="R3043" s="6" t="str">
        <f t="shared" si="5"/>
        <v>2026Week 14</v>
      </c>
      <c r="S3043" s="6" t="str">
        <f>IFERROR(__xludf.DUMMYFUNCTION("rank(J3043,FILTER(J:J,R:R=R3043))"),"#N/A")</f>
        <v>#N/A</v>
      </c>
      <c r="T3043" s="6">
        <f t="shared" si="6"/>
        <v>0</v>
      </c>
      <c r="U3043" s="6">
        <f t="shared" si="7"/>
        <v>12</v>
      </c>
      <c r="V3043" s="42">
        <f>averageif(AllData!A:A,B3043,AllData!R:R)/vlookup(B3043,AllData!A:O,15,0)</f>
        <v>90.45916667</v>
      </c>
      <c r="W3043" s="6"/>
    </row>
    <row r="3044" ht="14.25" customHeight="1">
      <c r="A3044" s="6" t="str">
        <f t="shared" si="29"/>
        <v>2026Rooney/Jackson14</v>
      </c>
      <c r="B3044" s="59">
        <v>2026.0</v>
      </c>
      <c r="C3044" s="13" t="s">
        <v>57</v>
      </c>
      <c r="D3044" s="13" t="s">
        <v>156</v>
      </c>
      <c r="E3044" s="34"/>
      <c r="F3044" s="6"/>
      <c r="H3044" s="6"/>
      <c r="I3044" s="35" t="str">
        <f>IFERROR(IFERROR(IFERROR(VLOOKUP(B3044&amp;C3044&amp;Q3044,'New Weekly Paste'!A:M,10,0),VLOOKUP(B3044&amp;C3044&amp;Q3044,'New Weekly Paste'!B:O,6,0)),""),"")</f>
        <v>Tayski</v>
      </c>
      <c r="J3044" s="239" t="str">
        <f>IFERROR(IFERROR(VLOOKUP(B3044&amp;C3044&amp;Q3044,'New Weekly Paste'!A:M,8,0),VLOOKUP(B3044&amp;C3044&amp;Q3044,'New Weekly Paste'!B:O,10,0)),0)</f>
        <v/>
      </c>
      <c r="K3044" s="239" t="str">
        <f>IFERROR(IFERROR(VLOOKUP(B3044&amp;I3044&amp;Q3044,'New Weekly Paste'!A:M,8,0),VLOOKUP(B3044&amp;I3044&amp;Q3044,'New Weekly Paste'!B:O,10,0)),0)</f>
        <v/>
      </c>
      <c r="L3044" s="239">
        <f t="shared" si="25"/>
        <v>0</v>
      </c>
      <c r="M3044" s="36" t="str">
        <f t="shared" si="3"/>
        <v>Regular Season</v>
      </c>
      <c r="N3044" s="239" t="str">
        <f t="shared" si="26"/>
        <v>Tayski</v>
      </c>
      <c r="O3044" s="6">
        <f>VLOOKUP(D3044,'Mapped Opponent'!$G$4:$H$22,2,0)</f>
        <v>14</v>
      </c>
      <c r="P3044" s="6"/>
      <c r="Q3044" s="6" t="str">
        <f t="shared" si="4"/>
        <v>Week 14</v>
      </c>
      <c r="R3044" s="6" t="str">
        <f t="shared" si="5"/>
        <v>2026Week 14</v>
      </c>
      <c r="S3044" s="6" t="str">
        <f>IFERROR(__xludf.DUMMYFUNCTION("rank(J3044,FILTER(J:J,R:R=R3044))"),"#N/A")</f>
        <v>#N/A</v>
      </c>
      <c r="T3044" s="6">
        <f t="shared" si="6"/>
        <v>0</v>
      </c>
      <c r="U3044" s="6">
        <f t="shared" si="7"/>
        <v>12</v>
      </c>
      <c r="V3044" s="42">
        <f>averageif(AllData!A:A,B3044,AllData!R:R)/vlookup(B3044,AllData!A:O,15,0)</f>
        <v>90.45916667</v>
      </c>
      <c r="W3044" s="6"/>
    </row>
    <row r="3045" ht="14.25" customHeight="1">
      <c r="A3045" s="6" t="str">
        <f t="shared" si="29"/>
        <v>2026Buser14</v>
      </c>
      <c r="B3045" s="59">
        <v>2026.0</v>
      </c>
      <c r="C3045" s="13" t="s">
        <v>47</v>
      </c>
      <c r="D3045" s="13" t="s">
        <v>156</v>
      </c>
      <c r="E3045" s="34"/>
      <c r="F3045" s="6"/>
      <c r="H3045" s="6"/>
      <c r="I3045" s="35" t="str">
        <f>IFERROR(IFERROR(IFERROR(VLOOKUP(B3045&amp;C3045&amp;Q3045,'New Weekly Paste'!A:M,10,0),VLOOKUP(B3045&amp;C3045&amp;Q3045,'New Weekly Paste'!B:O,6,0)),""),"")</f>
        <v>Hudspeath</v>
      </c>
      <c r="J3045" s="239" t="str">
        <f>IFERROR(IFERROR(VLOOKUP(B3045&amp;C3045&amp;Q3045,'New Weekly Paste'!A:M,8,0),VLOOKUP(B3045&amp;C3045&amp;Q3045,'New Weekly Paste'!B:O,10,0)),0)</f>
        <v/>
      </c>
      <c r="K3045" s="239" t="str">
        <f>IFERROR(IFERROR(VLOOKUP(B3045&amp;I3045&amp;Q3045,'New Weekly Paste'!A:M,8,0),VLOOKUP(B3045&amp;I3045&amp;Q3045,'New Weekly Paste'!B:O,10,0)),0)</f>
        <v/>
      </c>
      <c r="L3045" s="239">
        <f t="shared" si="25"/>
        <v>0</v>
      </c>
      <c r="M3045" s="36" t="str">
        <f t="shared" si="3"/>
        <v>Regular Season</v>
      </c>
      <c r="N3045" s="239" t="str">
        <f t="shared" si="26"/>
        <v>Hudspeath</v>
      </c>
      <c r="O3045" s="6">
        <f>VLOOKUP(D3045,'Mapped Opponent'!$G$4:$H$22,2,0)</f>
        <v>14</v>
      </c>
      <c r="P3045" s="6"/>
      <c r="Q3045" s="6" t="str">
        <f t="shared" si="4"/>
        <v>Week 14</v>
      </c>
      <c r="R3045" s="6" t="str">
        <f t="shared" si="5"/>
        <v>2026Week 14</v>
      </c>
      <c r="S3045" s="6" t="str">
        <f>IFERROR(__xludf.DUMMYFUNCTION("rank(J3045,FILTER(J:J,R:R=R3045))"),"#N/A")</f>
        <v>#N/A</v>
      </c>
      <c r="T3045" s="6">
        <f t="shared" si="6"/>
        <v>0</v>
      </c>
      <c r="U3045" s="6">
        <f t="shared" si="7"/>
        <v>12</v>
      </c>
      <c r="V3045" s="42">
        <f>averageif(AllData!A:A,B3045,AllData!R:R)/vlookup(B3045,AllData!A:O,15,0)</f>
        <v>90.45916667</v>
      </c>
      <c r="W3045" s="6"/>
    </row>
    <row r="3046" ht="14.25" customHeight="1">
      <c r="A3046" s="6" t="str">
        <f t="shared" si="29"/>
        <v>2026Pierson14</v>
      </c>
      <c r="B3046" s="59">
        <v>2026.0</v>
      </c>
      <c r="C3046" s="13" t="s">
        <v>92</v>
      </c>
      <c r="D3046" s="13" t="s">
        <v>156</v>
      </c>
      <c r="E3046" s="34"/>
      <c r="F3046" s="6"/>
      <c r="H3046" s="6"/>
      <c r="I3046" s="35" t="str">
        <f>IFERROR(IFERROR(IFERROR(VLOOKUP(B3046&amp;C3046&amp;Q3046,'New Weekly Paste'!A:M,10,0),VLOOKUP(B3046&amp;C3046&amp;Q3046,'New Weekly Paste'!B:O,6,0)),""),"")</f>
        <v>Shep</v>
      </c>
      <c r="J3046" s="239" t="str">
        <f>IFERROR(IFERROR(VLOOKUP(B3046&amp;C3046&amp;Q3046,'New Weekly Paste'!A:M,8,0),VLOOKUP(B3046&amp;C3046&amp;Q3046,'New Weekly Paste'!B:O,10,0)),0)</f>
        <v/>
      </c>
      <c r="K3046" s="239" t="str">
        <f>IFERROR(IFERROR(VLOOKUP(B3046&amp;I3046&amp;Q3046,'New Weekly Paste'!A:M,8,0),VLOOKUP(B3046&amp;I3046&amp;Q3046,'New Weekly Paste'!B:O,10,0)),0)</f>
        <v/>
      </c>
      <c r="L3046" s="239">
        <f t="shared" si="25"/>
        <v>0</v>
      </c>
      <c r="M3046" s="36" t="str">
        <f t="shared" si="3"/>
        <v>Regular Season</v>
      </c>
      <c r="N3046" s="239" t="str">
        <f t="shared" si="26"/>
        <v>Shep</v>
      </c>
      <c r="O3046" s="6">
        <f>VLOOKUP(D3046,'Mapped Opponent'!$G$4:$H$22,2,0)</f>
        <v>14</v>
      </c>
      <c r="P3046" s="6"/>
      <c r="Q3046" s="6" t="str">
        <f t="shared" si="4"/>
        <v>Week 14</v>
      </c>
      <c r="R3046" s="6" t="str">
        <f t="shared" si="5"/>
        <v>2026Week 14</v>
      </c>
      <c r="S3046" s="6" t="str">
        <f>IFERROR(__xludf.DUMMYFUNCTION("rank(J3046,FILTER(J:J,R:R=R3046))"),"#N/A")</f>
        <v>#N/A</v>
      </c>
      <c r="T3046" s="6">
        <f t="shared" si="6"/>
        <v>0</v>
      </c>
      <c r="U3046" s="6">
        <f t="shared" si="7"/>
        <v>12</v>
      </c>
      <c r="V3046" s="42">
        <f>averageif(AllData!A:A,B3046,AllData!R:R)/vlookup(B3046,AllData!A:O,15,0)</f>
        <v>90.45916667</v>
      </c>
      <c r="W3046" s="6"/>
    </row>
    <row r="3047" ht="14.25" customHeight="1">
      <c r="A3047" s="6" t="str">
        <f t="shared" si="29"/>
        <v>2026Cock14</v>
      </c>
      <c r="B3047" s="59">
        <v>2026.0</v>
      </c>
      <c r="C3047" s="13" t="s">
        <v>72</v>
      </c>
      <c r="D3047" s="13" t="s">
        <v>156</v>
      </c>
      <c r="E3047" s="34"/>
      <c r="F3047" s="6"/>
      <c r="H3047" s="6"/>
      <c r="I3047" s="35" t="str">
        <f>IFERROR(IFERROR(IFERROR(VLOOKUP(B3047&amp;C3047&amp;Q3047,'New Weekly Paste'!A:M,10,0),VLOOKUP(B3047&amp;C3047&amp;Q3047,'New Weekly Paste'!B:O,6,0)),""),"")</f>
        <v>T-How</v>
      </c>
      <c r="J3047" s="239" t="str">
        <f>IFERROR(IFERROR(VLOOKUP(B3047&amp;C3047&amp;Q3047,'New Weekly Paste'!A:M,8,0),VLOOKUP(B3047&amp;C3047&amp;Q3047,'New Weekly Paste'!B:O,10,0)),0)</f>
        <v/>
      </c>
      <c r="K3047" s="239" t="str">
        <f>IFERROR(IFERROR(VLOOKUP(B3047&amp;I3047&amp;Q3047,'New Weekly Paste'!A:M,8,0),VLOOKUP(B3047&amp;I3047&amp;Q3047,'New Weekly Paste'!B:O,10,0)),0)</f>
        <v/>
      </c>
      <c r="L3047" s="239">
        <f t="shared" si="25"/>
        <v>0</v>
      </c>
      <c r="M3047" s="36" t="str">
        <f t="shared" si="3"/>
        <v>Regular Season</v>
      </c>
      <c r="N3047" s="239" t="str">
        <f t="shared" si="26"/>
        <v>T-How</v>
      </c>
      <c r="O3047" s="6">
        <f>VLOOKUP(D3047,'Mapped Opponent'!$G$4:$H$22,2,0)</f>
        <v>14</v>
      </c>
      <c r="P3047" s="6"/>
      <c r="Q3047" s="6" t="str">
        <f t="shared" si="4"/>
        <v>Week 14</v>
      </c>
      <c r="R3047" s="6" t="str">
        <f t="shared" si="5"/>
        <v>2026Week 14</v>
      </c>
      <c r="S3047" s="6" t="str">
        <f>IFERROR(__xludf.DUMMYFUNCTION("rank(J3047,FILTER(J:J,R:R=R3047))"),"#N/A")</f>
        <v>#N/A</v>
      </c>
      <c r="T3047" s="6">
        <f t="shared" si="6"/>
        <v>0</v>
      </c>
      <c r="U3047" s="6">
        <f t="shared" si="7"/>
        <v>12</v>
      </c>
      <c r="V3047" s="42">
        <f>averageif(AllData!A:A,B3047,AllData!R:R)/vlookup(B3047,AllData!A:O,15,0)</f>
        <v>90.45916667</v>
      </c>
      <c r="W3047" s="6"/>
    </row>
    <row r="3048" ht="14.25" customHeight="1">
      <c r="A3048" s="6" t="str">
        <f t="shared" si="29"/>
        <v>2026Tayski14</v>
      </c>
      <c r="B3048" s="59">
        <v>2026.0</v>
      </c>
      <c r="C3048" s="13" t="s">
        <v>52</v>
      </c>
      <c r="D3048" s="13" t="s">
        <v>156</v>
      </c>
      <c r="E3048" s="34"/>
      <c r="F3048" s="6"/>
      <c r="H3048" s="6"/>
      <c r="I3048" s="35" t="str">
        <f>IFERROR(IFERROR(IFERROR(VLOOKUP(B3048&amp;C3048&amp;Q3048,'New Weekly Paste'!A:M,10,0),VLOOKUP(B3048&amp;C3048&amp;Q3048,'New Weekly Paste'!B:O,6,0)),""),"")</f>
        <v>KnardDawg</v>
      </c>
      <c r="J3048" s="239" t="str">
        <f>IFERROR(IFERROR(VLOOKUP(B3048&amp;C3048&amp;Q3048,'New Weekly Paste'!A:M,8,0),VLOOKUP(B3048&amp;C3048&amp;Q3048,'New Weekly Paste'!B:O,10,0)),0)</f>
        <v/>
      </c>
      <c r="K3048" s="239" t="str">
        <f>IFERROR(IFERROR(VLOOKUP(B3048&amp;I3048&amp;Q3048,'New Weekly Paste'!A:M,8,0),VLOOKUP(B3048&amp;I3048&amp;Q3048,'New Weekly Paste'!B:O,10,0)),0)</f>
        <v/>
      </c>
      <c r="L3048" s="239">
        <f t="shared" si="25"/>
        <v>0</v>
      </c>
      <c r="M3048" s="36" t="str">
        <f t="shared" si="3"/>
        <v>Regular Season</v>
      </c>
      <c r="N3048" s="239" t="str">
        <f t="shared" si="26"/>
        <v>KnardDawg</v>
      </c>
      <c r="O3048" s="6">
        <f>VLOOKUP(D3048,'Mapped Opponent'!$G$4:$H$22,2,0)</f>
        <v>14</v>
      </c>
      <c r="P3048" s="6"/>
      <c r="Q3048" s="6" t="str">
        <f t="shared" si="4"/>
        <v>Week 14</v>
      </c>
      <c r="R3048" s="6" t="str">
        <f t="shared" si="5"/>
        <v>2026Week 14</v>
      </c>
      <c r="S3048" s="6" t="str">
        <f>IFERROR(__xludf.DUMMYFUNCTION("rank(J3048,FILTER(J:J,R:R=R3048))"),"#N/A")</f>
        <v>#N/A</v>
      </c>
      <c r="T3048" s="6">
        <f t="shared" si="6"/>
        <v>0</v>
      </c>
      <c r="U3048" s="6">
        <f t="shared" si="7"/>
        <v>12</v>
      </c>
      <c r="V3048" s="42">
        <f>averageif(AllData!A:A,B3048,AllData!R:R)/vlookup(B3048,AllData!A:O,15,0)</f>
        <v>90.45916667</v>
      </c>
      <c r="W3048" s="6"/>
    </row>
    <row r="3049" ht="14.25" customHeight="1">
      <c r="A3049" s="6" t="str">
        <f t="shared" si="29"/>
        <v>2026KnardDawg14</v>
      </c>
      <c r="B3049" s="59">
        <v>2026.0</v>
      </c>
      <c r="C3049" s="13" t="s">
        <v>86</v>
      </c>
      <c r="D3049" s="13" t="s">
        <v>156</v>
      </c>
      <c r="E3049" s="34"/>
      <c r="F3049" s="6"/>
      <c r="H3049" s="6"/>
      <c r="I3049" s="35" t="str">
        <f>IFERROR(IFERROR(IFERROR(VLOOKUP(B3049&amp;C3049&amp;Q3049,'New Weekly Paste'!A:M,10,0),VLOOKUP(B3049&amp;C3049&amp;Q3049,'New Weekly Paste'!B:O,6,0)),""),"")</f>
        <v>Tayski</v>
      </c>
      <c r="J3049" s="239" t="str">
        <f>IFERROR(IFERROR(VLOOKUP(B3049&amp;C3049&amp;Q3049,'New Weekly Paste'!A:M,8,0),VLOOKUP(B3049&amp;C3049&amp;Q3049,'New Weekly Paste'!B:O,10,0)),0)</f>
        <v/>
      </c>
      <c r="K3049" s="239" t="str">
        <f>IFERROR(IFERROR(VLOOKUP(B3049&amp;I3049&amp;Q3049,'New Weekly Paste'!A:M,8,0),VLOOKUP(B3049&amp;I3049&amp;Q3049,'New Weekly Paste'!B:O,10,0)),0)</f>
        <v/>
      </c>
      <c r="L3049" s="239">
        <f t="shared" si="25"/>
        <v>0</v>
      </c>
      <c r="M3049" s="36" t="str">
        <f t="shared" si="3"/>
        <v>Regular Season</v>
      </c>
      <c r="N3049" s="239" t="str">
        <f t="shared" si="26"/>
        <v>Tayski</v>
      </c>
      <c r="O3049" s="6">
        <f>VLOOKUP(D3049,'Mapped Opponent'!$G$4:$H$22,2,0)</f>
        <v>14</v>
      </c>
      <c r="P3049" s="6"/>
      <c r="Q3049" s="6" t="str">
        <f t="shared" si="4"/>
        <v>Week 14</v>
      </c>
      <c r="R3049" s="6" t="str">
        <f t="shared" si="5"/>
        <v>2026Week 14</v>
      </c>
      <c r="S3049" s="6" t="str">
        <f>IFERROR(__xludf.DUMMYFUNCTION("rank(J3049,FILTER(J:J,R:R=R3049))"),"#N/A")</f>
        <v>#N/A</v>
      </c>
      <c r="T3049" s="6">
        <f t="shared" si="6"/>
        <v>0</v>
      </c>
      <c r="U3049" s="6">
        <f t="shared" si="7"/>
        <v>12</v>
      </c>
      <c r="V3049" s="42">
        <f>averageif(AllData!A:A,B3049,AllData!R:R)/vlookup(B3049,AllData!A:O,15,0)</f>
        <v>90.45916667</v>
      </c>
      <c r="W3049" s="6"/>
    </row>
    <row r="3050" ht="14.25" customHeight="1">
      <c r="A3050" s="6" t="str">
        <f t="shared" si="29"/>
        <v>2026T-How14</v>
      </c>
      <c r="B3050" s="59">
        <v>2026.0</v>
      </c>
      <c r="C3050" s="13" t="s">
        <v>82</v>
      </c>
      <c r="D3050" s="13" t="s">
        <v>156</v>
      </c>
      <c r="E3050" s="34"/>
      <c r="F3050" s="6"/>
      <c r="H3050" s="6"/>
      <c r="I3050" s="35" t="str">
        <f>IFERROR(IFERROR(IFERROR(VLOOKUP(B3050&amp;C3050&amp;Q3050,'New Weekly Paste'!A:M,10,0),VLOOKUP(B3050&amp;C3050&amp;Q3050,'New Weekly Paste'!B:O,6,0)),""),"")</f>
        <v>Cock</v>
      </c>
      <c r="J3050" s="239" t="str">
        <f>IFERROR(IFERROR(VLOOKUP(B3050&amp;C3050&amp;Q3050,'New Weekly Paste'!A:M,8,0),VLOOKUP(B3050&amp;C3050&amp;Q3050,'New Weekly Paste'!B:O,10,0)),0)</f>
        <v/>
      </c>
      <c r="K3050" s="239" t="str">
        <f>IFERROR(IFERROR(VLOOKUP(B3050&amp;I3050&amp;Q3050,'New Weekly Paste'!A:M,8,0),VLOOKUP(B3050&amp;I3050&amp;Q3050,'New Weekly Paste'!B:O,10,0)),0)</f>
        <v/>
      </c>
      <c r="L3050" s="239">
        <f t="shared" si="25"/>
        <v>0</v>
      </c>
      <c r="M3050" s="36" t="str">
        <f t="shared" si="3"/>
        <v>Regular Season</v>
      </c>
      <c r="N3050" s="239" t="str">
        <f t="shared" si="26"/>
        <v>Cock</v>
      </c>
      <c r="O3050" s="6">
        <f>VLOOKUP(D3050,'Mapped Opponent'!$G$4:$H$22,2,0)</f>
        <v>14</v>
      </c>
      <c r="P3050" s="6"/>
      <c r="Q3050" s="6" t="str">
        <f t="shared" si="4"/>
        <v>Week 14</v>
      </c>
      <c r="R3050" s="6" t="str">
        <f t="shared" si="5"/>
        <v>2026Week 14</v>
      </c>
      <c r="S3050" s="6" t="str">
        <f>IFERROR(__xludf.DUMMYFUNCTION("rank(J3050,FILTER(J:J,R:R=R3050))"),"#N/A")</f>
        <v>#N/A</v>
      </c>
      <c r="T3050" s="6">
        <f t="shared" si="6"/>
        <v>0</v>
      </c>
      <c r="U3050" s="6">
        <f t="shared" si="7"/>
        <v>12</v>
      </c>
      <c r="V3050" s="42">
        <f>averageif(AllData!A:A,B3050,AllData!R:R)/vlookup(B3050,AllData!A:O,15,0)</f>
        <v>90.45916667</v>
      </c>
      <c r="W3050" s="6"/>
    </row>
    <row r="3051" ht="14.25" customHeight="1">
      <c r="A3051" s="6" t="str">
        <f t="shared" si="29"/>
        <v>2026Hudspeath2</v>
      </c>
      <c r="B3051" s="59">
        <v>2026.0</v>
      </c>
      <c r="C3051" s="13" t="s">
        <v>39</v>
      </c>
      <c r="D3051" s="13" t="s">
        <v>131</v>
      </c>
      <c r="E3051" s="34"/>
      <c r="F3051" s="6"/>
      <c r="H3051" s="6"/>
      <c r="I3051" s="35" t="str">
        <f>IFERROR(IFERROR(IFERROR(VLOOKUP(B3051&amp;C3051&amp;Q3051,'New Weekly Paste'!A:M,10,0),VLOOKUP(B3051&amp;C3051&amp;Q3051,'New Weekly Paste'!B:O,6,0)),""),"")</f>
        <v>KnardDawg</v>
      </c>
      <c r="J3051" s="259">
        <f>IFERROR(IFERROR(VLOOKUP(B3051&amp;C3051&amp;Q3051,'New Weekly Paste'!A:M,8,0),VLOOKUP(B3051&amp;C3051&amp;Q3051,'New Weekly Paste'!B:O,10,0)),0)</f>
        <v>124.68</v>
      </c>
      <c r="K3051" s="259">
        <f>IFERROR(IFERROR(VLOOKUP(B3051&amp;I3051&amp;Q3051,'New Weekly Paste'!A:M,8,0),VLOOKUP(B3051&amp;I3051&amp;Q3051,'New Weekly Paste'!B:O,10,0)),0)</f>
        <v>101.92</v>
      </c>
      <c r="L3051" s="239">
        <f t="shared" si="25"/>
        <v>1</v>
      </c>
      <c r="M3051" s="36" t="str">
        <f t="shared" si="3"/>
        <v>Regular Season</v>
      </c>
      <c r="N3051" s="239" t="str">
        <f t="shared" si="26"/>
        <v>KnardDawg</v>
      </c>
      <c r="O3051" s="6">
        <f>VLOOKUP(D3051,'Mapped Opponent'!$G$4:$H$22,2,0)</f>
        <v>2</v>
      </c>
      <c r="P3051" s="6"/>
      <c r="Q3051" s="6" t="str">
        <f t="shared" si="4"/>
        <v>Week 2</v>
      </c>
      <c r="R3051" s="6" t="str">
        <f t="shared" si="5"/>
        <v>2026Week 2</v>
      </c>
      <c r="S3051" s="6">
        <f>IFERROR(__xludf.DUMMYFUNCTION("rank(J3051,FILTER(J:J,R:R=R3051))"),3.0)</f>
        <v>3</v>
      </c>
      <c r="T3051" s="6">
        <f t="shared" si="6"/>
        <v>9</v>
      </c>
      <c r="U3051" s="6">
        <f t="shared" si="7"/>
        <v>3</v>
      </c>
      <c r="V3051" s="42">
        <f>averageif(AllData!A:A,B3051,AllData!R:R)/vlookup(B3051,AllData!A:O,15,0)</f>
        <v>90.45916667</v>
      </c>
      <c r="W3051" s="6"/>
    </row>
    <row r="3052" ht="14.25" customHeight="1">
      <c r="A3052" s="6" t="str">
        <f t="shared" si="29"/>
        <v>2026Salty2</v>
      </c>
      <c r="B3052" s="59">
        <v>2026.0</v>
      </c>
      <c r="C3052" s="13" t="s">
        <v>76</v>
      </c>
      <c r="D3052" s="13" t="s">
        <v>131</v>
      </c>
      <c r="E3052" s="34"/>
      <c r="F3052" s="6"/>
      <c r="H3052" s="6"/>
      <c r="I3052" s="35" t="str">
        <f>IFERROR(IFERROR(IFERROR(VLOOKUP(B3052&amp;C3052&amp;Q3052,'New Weekly Paste'!A:M,10,0),VLOOKUP(B3052&amp;C3052&amp;Q3052,'New Weekly Paste'!B:O,6,0)),""),"")</f>
        <v>T-How</v>
      </c>
      <c r="J3052" s="259">
        <f>IFERROR(IFERROR(VLOOKUP(B3052&amp;C3052&amp;Q3052,'New Weekly Paste'!A:M,8,0),VLOOKUP(B3052&amp;C3052&amp;Q3052,'New Weekly Paste'!B:O,10,0)),0)</f>
        <v>87.94</v>
      </c>
      <c r="K3052" s="259">
        <f>IFERROR(IFERROR(VLOOKUP(B3052&amp;I3052&amp;Q3052,'New Weekly Paste'!A:M,8,0),VLOOKUP(B3052&amp;I3052&amp;Q3052,'New Weekly Paste'!B:O,10,0)),0)</f>
        <v>105.26</v>
      </c>
      <c r="L3052" s="239">
        <f t="shared" si="25"/>
        <v>0</v>
      </c>
      <c r="M3052" s="36" t="str">
        <f t="shared" si="3"/>
        <v>Regular Season</v>
      </c>
      <c r="N3052" s="239" t="str">
        <f t="shared" si="26"/>
        <v>T-How</v>
      </c>
      <c r="O3052" s="6">
        <f>VLOOKUP(D3052,'Mapped Opponent'!$G$4:$H$22,2,0)</f>
        <v>2</v>
      </c>
      <c r="P3052" s="6"/>
      <c r="Q3052" s="6" t="str">
        <f t="shared" si="4"/>
        <v>Week 2</v>
      </c>
      <c r="R3052" s="6" t="str">
        <f t="shared" si="5"/>
        <v>2026Week 2</v>
      </c>
      <c r="S3052" s="6">
        <f>IFERROR(__xludf.DUMMYFUNCTION("rank(J3052,FILTER(J:J,R:R=R3052))"),8.0)</f>
        <v>8</v>
      </c>
      <c r="T3052" s="6">
        <f t="shared" si="6"/>
        <v>4</v>
      </c>
      <c r="U3052" s="6">
        <f t="shared" si="7"/>
        <v>8</v>
      </c>
      <c r="V3052" s="42">
        <f>averageif(AllData!A:A,B3052,AllData!R:R)/vlookup(B3052,AllData!A:O,15,0)</f>
        <v>90.45916667</v>
      </c>
      <c r="W3052" s="6"/>
    </row>
    <row r="3053" ht="14.25" customHeight="1">
      <c r="A3053" s="6" t="str">
        <f t="shared" si="29"/>
        <v>2026Ewert2</v>
      </c>
      <c r="B3053" s="59">
        <v>2026.0</v>
      </c>
      <c r="C3053" s="13" t="s">
        <v>108</v>
      </c>
      <c r="D3053" s="13" t="s">
        <v>131</v>
      </c>
      <c r="E3053" s="34"/>
      <c r="F3053" s="6"/>
      <c r="H3053" s="6"/>
      <c r="I3053" s="35" t="str">
        <f>IFERROR(IFERROR(IFERROR(VLOOKUP(B3053&amp;C3053&amp;Q3053,'New Weekly Paste'!A:M,10,0),VLOOKUP(B3053&amp;C3053&amp;Q3053,'New Weekly Paste'!B:O,6,0)),""),"")</f>
        <v>Buser</v>
      </c>
      <c r="J3053" s="259">
        <f>IFERROR(IFERROR(VLOOKUP(B3053&amp;C3053&amp;Q3053,'New Weekly Paste'!A:M,8,0),VLOOKUP(B3053&amp;C3053&amp;Q3053,'New Weekly Paste'!B:O,10,0)),0)</f>
        <v>107.86</v>
      </c>
      <c r="K3053" s="259">
        <f>IFERROR(IFERROR(VLOOKUP(B3053&amp;I3053&amp;Q3053,'New Weekly Paste'!A:M,8,0),VLOOKUP(B3053&amp;I3053&amp;Q3053,'New Weekly Paste'!B:O,10,0)),0)</f>
        <v>120.92</v>
      </c>
      <c r="L3053" s="239">
        <f t="shared" si="25"/>
        <v>0</v>
      </c>
      <c r="M3053" s="36" t="str">
        <f t="shared" si="3"/>
        <v>Regular Season</v>
      </c>
      <c r="N3053" s="239" t="str">
        <f t="shared" si="26"/>
        <v>Buser</v>
      </c>
      <c r="O3053" s="6">
        <f>VLOOKUP(D3053,'Mapped Opponent'!$G$4:$H$22,2,0)</f>
        <v>2</v>
      </c>
      <c r="P3053" s="6"/>
      <c r="Q3053" s="6" t="str">
        <f t="shared" si="4"/>
        <v>Week 2</v>
      </c>
      <c r="R3053" s="6" t="str">
        <f t="shared" si="5"/>
        <v>2026Week 2</v>
      </c>
      <c r="S3053" s="6">
        <f>IFERROR(__xludf.DUMMYFUNCTION("rank(J3053,FILTER(J:J,R:R=R3053))"),5.0)</f>
        <v>5</v>
      </c>
      <c r="T3053" s="6">
        <f t="shared" si="6"/>
        <v>7</v>
      </c>
      <c r="U3053" s="6">
        <f t="shared" si="7"/>
        <v>5</v>
      </c>
      <c r="V3053" s="42">
        <f>averageif(AllData!A:A,B3053,AllData!R:R)/vlookup(B3053,AllData!A:O,15,0)</f>
        <v>90.45916667</v>
      </c>
      <c r="W3053" s="6"/>
    </row>
    <row r="3054" ht="14.25" customHeight="1">
      <c r="A3054" s="6" t="str">
        <f t="shared" si="29"/>
        <v>2026Shep2</v>
      </c>
      <c r="B3054" s="59">
        <v>2026.0</v>
      </c>
      <c r="C3054" s="13" t="s">
        <v>89</v>
      </c>
      <c r="D3054" s="13" t="s">
        <v>131</v>
      </c>
      <c r="E3054" s="34"/>
      <c r="F3054" s="6"/>
      <c r="H3054" s="6"/>
      <c r="I3054" s="35" t="str">
        <f>IFERROR(IFERROR(IFERROR(VLOOKUP(B3054&amp;C3054&amp;Q3054,'New Weekly Paste'!A:M,10,0),VLOOKUP(B3054&amp;C3054&amp;Q3054,'New Weekly Paste'!B:O,6,0)),""),"")</f>
        <v>Riley</v>
      </c>
      <c r="J3054" s="259">
        <f>IFERROR(IFERROR(VLOOKUP(B3054&amp;C3054&amp;Q3054,'New Weekly Paste'!A:M,8,0),VLOOKUP(B3054&amp;C3054&amp;Q3054,'New Weekly Paste'!B:O,10,0)),0)</f>
        <v>143.98</v>
      </c>
      <c r="K3054" s="259">
        <f>IFERROR(IFERROR(VLOOKUP(B3054&amp;I3054&amp;Q3054,'New Weekly Paste'!A:M,8,0),VLOOKUP(B3054&amp;I3054&amp;Q3054,'New Weekly Paste'!B:O,10,0)),0)</f>
        <v>57.82</v>
      </c>
      <c r="L3054" s="239">
        <f t="shared" si="25"/>
        <v>1</v>
      </c>
      <c r="M3054" s="36" t="str">
        <f t="shared" si="3"/>
        <v>Regular Season</v>
      </c>
      <c r="N3054" s="239" t="str">
        <f t="shared" si="26"/>
        <v>Riley</v>
      </c>
      <c r="O3054" s="6">
        <f>VLOOKUP(D3054,'Mapped Opponent'!$G$4:$H$22,2,0)</f>
        <v>2</v>
      </c>
      <c r="P3054" s="6"/>
      <c r="Q3054" s="6" t="str">
        <f t="shared" si="4"/>
        <v>Week 2</v>
      </c>
      <c r="R3054" s="6" t="str">
        <f t="shared" si="5"/>
        <v>2026Week 2</v>
      </c>
      <c r="S3054" s="6">
        <f>IFERROR(__xludf.DUMMYFUNCTION("rank(J3054,FILTER(J:J,R:R=R3054))"),2.0)</f>
        <v>2</v>
      </c>
      <c r="T3054" s="6">
        <f t="shared" si="6"/>
        <v>10</v>
      </c>
      <c r="U3054" s="6">
        <f t="shared" si="7"/>
        <v>2</v>
      </c>
      <c r="V3054" s="42">
        <f>averageif(AllData!A:A,B3054,AllData!R:R)/vlookup(B3054,AllData!A:O,15,0)</f>
        <v>90.45916667</v>
      </c>
      <c r="W3054" s="6"/>
    </row>
    <row r="3055" ht="14.25" customHeight="1">
      <c r="A3055" s="6" t="str">
        <f t="shared" si="29"/>
        <v>2026Riley2</v>
      </c>
      <c r="B3055" s="59">
        <v>2026.0</v>
      </c>
      <c r="C3055" s="13" t="s">
        <v>67</v>
      </c>
      <c r="D3055" s="13" t="s">
        <v>131</v>
      </c>
      <c r="E3055" s="34"/>
      <c r="F3055" s="6"/>
      <c r="H3055" s="6"/>
      <c r="I3055" s="35" t="str">
        <f>IFERROR(IFERROR(IFERROR(VLOOKUP(B3055&amp;C3055&amp;Q3055,'New Weekly Paste'!A:M,10,0),VLOOKUP(B3055&amp;C3055&amp;Q3055,'New Weekly Paste'!B:O,6,0)),""),"")</f>
        <v>Shep</v>
      </c>
      <c r="J3055" s="259">
        <f>IFERROR(IFERROR(VLOOKUP(B3055&amp;C3055&amp;Q3055,'New Weekly Paste'!A:M,8,0),VLOOKUP(B3055&amp;C3055&amp;Q3055,'New Weekly Paste'!B:O,10,0)),0)</f>
        <v>57.82</v>
      </c>
      <c r="K3055" s="259">
        <f>IFERROR(IFERROR(VLOOKUP(B3055&amp;I3055&amp;Q3055,'New Weekly Paste'!A:M,8,0),VLOOKUP(B3055&amp;I3055&amp;Q3055,'New Weekly Paste'!B:O,10,0)),0)</f>
        <v>143.98</v>
      </c>
      <c r="L3055" s="239">
        <f t="shared" si="25"/>
        <v>0</v>
      </c>
      <c r="M3055" s="36" t="str">
        <f t="shared" si="3"/>
        <v>Regular Season</v>
      </c>
      <c r="N3055" s="239" t="str">
        <f t="shared" si="26"/>
        <v>Shep</v>
      </c>
      <c r="O3055" s="6">
        <f>VLOOKUP(D3055,'Mapped Opponent'!$G$4:$H$22,2,0)</f>
        <v>2</v>
      </c>
      <c r="P3055" s="6"/>
      <c r="Q3055" s="6" t="str">
        <f t="shared" si="4"/>
        <v>Week 2</v>
      </c>
      <c r="R3055" s="6" t="str">
        <f t="shared" si="5"/>
        <v>2026Week 2</v>
      </c>
      <c r="S3055" s="6">
        <f>IFERROR(__xludf.DUMMYFUNCTION("rank(J3055,FILTER(J:J,R:R=R3055))"),12.0)</f>
        <v>12</v>
      </c>
      <c r="T3055" s="6">
        <f t="shared" si="6"/>
        <v>0</v>
      </c>
      <c r="U3055" s="6">
        <f t="shared" si="7"/>
        <v>12</v>
      </c>
      <c r="V3055" s="42">
        <f>averageif(AllData!A:A,B3055,AllData!R:R)/vlookup(B3055,AllData!A:O,15,0)</f>
        <v>90.45916667</v>
      </c>
      <c r="W3055" s="6"/>
    </row>
    <row r="3056" ht="14.25" customHeight="1">
      <c r="A3056" s="6" t="str">
        <f t="shared" si="29"/>
        <v>2026Rooney/Jackson2</v>
      </c>
      <c r="B3056" s="59">
        <v>2026.0</v>
      </c>
      <c r="C3056" s="13" t="s">
        <v>57</v>
      </c>
      <c r="D3056" s="13" t="s">
        <v>131</v>
      </c>
      <c r="E3056" s="34"/>
      <c r="F3056" s="6"/>
      <c r="H3056" s="6"/>
      <c r="I3056" s="35" t="str">
        <f>IFERROR(IFERROR(IFERROR(VLOOKUP(B3056&amp;C3056&amp;Q3056,'New Weekly Paste'!A:M,10,0),VLOOKUP(B3056&amp;C3056&amp;Q3056,'New Weekly Paste'!B:O,6,0)),""),"")</f>
        <v>Tayski</v>
      </c>
      <c r="J3056" s="259">
        <f>IFERROR(IFERROR(VLOOKUP(B3056&amp;C3056&amp;Q3056,'New Weekly Paste'!A:M,8,0),VLOOKUP(B3056&amp;C3056&amp;Q3056,'New Weekly Paste'!B:O,10,0)),0)</f>
        <v>77.1</v>
      </c>
      <c r="K3056" s="259">
        <f>IFERROR(IFERROR(VLOOKUP(B3056&amp;I3056&amp;Q3056,'New Weekly Paste'!A:M,8,0),VLOOKUP(B3056&amp;I3056&amp;Q3056,'New Weekly Paste'!B:O,10,0)),0)</f>
        <v>145.88</v>
      </c>
      <c r="L3056" s="239">
        <f t="shared" si="25"/>
        <v>0</v>
      </c>
      <c r="M3056" s="36" t="str">
        <f t="shared" si="3"/>
        <v>Regular Season</v>
      </c>
      <c r="N3056" s="239" t="str">
        <f t="shared" si="26"/>
        <v>Tayski</v>
      </c>
      <c r="O3056" s="6">
        <f>VLOOKUP(D3056,'Mapped Opponent'!$G$4:$H$22,2,0)</f>
        <v>2</v>
      </c>
      <c r="P3056" s="6"/>
      <c r="Q3056" s="6" t="str">
        <f t="shared" si="4"/>
        <v>Week 2</v>
      </c>
      <c r="R3056" s="6" t="str">
        <f t="shared" si="5"/>
        <v>2026Week 2</v>
      </c>
      <c r="S3056" s="6">
        <f>IFERROR(__xludf.DUMMYFUNCTION("rank(J3056,FILTER(J:J,R:R=R3056))"),10.0)</f>
        <v>10</v>
      </c>
      <c r="T3056" s="6">
        <f t="shared" si="6"/>
        <v>2</v>
      </c>
      <c r="U3056" s="6">
        <f t="shared" si="7"/>
        <v>10</v>
      </c>
      <c r="V3056" s="42">
        <f>averageif(AllData!A:A,B3056,AllData!R:R)/vlookup(B3056,AllData!A:O,15,0)</f>
        <v>90.45916667</v>
      </c>
      <c r="W3056" s="6"/>
    </row>
    <row r="3057" ht="14.25" customHeight="1">
      <c r="A3057" s="6" t="str">
        <f t="shared" si="29"/>
        <v>2026Buser2</v>
      </c>
      <c r="B3057" s="59">
        <v>2026.0</v>
      </c>
      <c r="C3057" s="13" t="s">
        <v>47</v>
      </c>
      <c r="D3057" s="13" t="s">
        <v>131</v>
      </c>
      <c r="E3057" s="34"/>
      <c r="F3057" s="6"/>
      <c r="H3057" s="6"/>
      <c r="I3057" s="35" t="str">
        <f>IFERROR(IFERROR(IFERROR(VLOOKUP(B3057&amp;C3057&amp;Q3057,'New Weekly Paste'!A:M,10,0),VLOOKUP(B3057&amp;C3057&amp;Q3057,'New Weekly Paste'!B:O,6,0)),""),"")</f>
        <v>Ewert</v>
      </c>
      <c r="J3057" s="259">
        <f>IFERROR(IFERROR(VLOOKUP(B3057&amp;C3057&amp;Q3057,'New Weekly Paste'!A:M,8,0),VLOOKUP(B3057&amp;C3057&amp;Q3057,'New Weekly Paste'!B:O,10,0)),0)</f>
        <v>120.92</v>
      </c>
      <c r="K3057" s="259">
        <f>IFERROR(IFERROR(VLOOKUP(B3057&amp;I3057&amp;Q3057,'New Weekly Paste'!A:M,8,0),VLOOKUP(B3057&amp;I3057&amp;Q3057,'New Weekly Paste'!B:O,10,0)),0)</f>
        <v>107.86</v>
      </c>
      <c r="L3057" s="239">
        <f t="shared" si="25"/>
        <v>1</v>
      </c>
      <c r="M3057" s="36" t="str">
        <f t="shared" si="3"/>
        <v>Regular Season</v>
      </c>
      <c r="N3057" s="239" t="str">
        <f t="shared" si="26"/>
        <v>Ewert</v>
      </c>
      <c r="O3057" s="6">
        <f>VLOOKUP(D3057,'Mapped Opponent'!$G$4:$H$22,2,0)</f>
        <v>2</v>
      </c>
      <c r="P3057" s="6"/>
      <c r="Q3057" s="6" t="str">
        <f t="shared" si="4"/>
        <v>Week 2</v>
      </c>
      <c r="R3057" s="6" t="str">
        <f t="shared" si="5"/>
        <v>2026Week 2</v>
      </c>
      <c r="S3057" s="6">
        <f>IFERROR(__xludf.DUMMYFUNCTION("rank(J3057,FILTER(J:J,R:R=R3057))"),4.0)</f>
        <v>4</v>
      </c>
      <c r="T3057" s="6">
        <f t="shared" si="6"/>
        <v>8</v>
      </c>
      <c r="U3057" s="6">
        <f t="shared" si="7"/>
        <v>4</v>
      </c>
      <c r="V3057" s="42">
        <f>averageif(AllData!A:A,B3057,AllData!R:R)/vlookup(B3057,AllData!A:O,15,0)</f>
        <v>90.45916667</v>
      </c>
      <c r="W3057" s="6"/>
    </row>
    <row r="3058" ht="14.25" customHeight="1">
      <c r="A3058" s="6" t="str">
        <f t="shared" si="29"/>
        <v>2026Pierson2</v>
      </c>
      <c r="B3058" s="59">
        <v>2026.0</v>
      </c>
      <c r="C3058" s="13" t="s">
        <v>92</v>
      </c>
      <c r="D3058" s="13" t="s">
        <v>131</v>
      </c>
      <c r="E3058" s="34"/>
      <c r="F3058" s="6"/>
      <c r="H3058" s="6"/>
      <c r="I3058" s="35" t="str">
        <f>IFERROR(IFERROR(IFERROR(VLOOKUP(B3058&amp;C3058&amp;Q3058,'New Weekly Paste'!A:M,10,0),VLOOKUP(B3058&amp;C3058&amp;Q3058,'New Weekly Paste'!B:O,6,0)),""),"")</f>
        <v>Cock</v>
      </c>
      <c r="J3058" s="259">
        <f>IFERROR(IFERROR(VLOOKUP(B3058&amp;C3058&amp;Q3058,'New Weekly Paste'!A:M,8,0),VLOOKUP(B3058&amp;C3058&amp;Q3058,'New Weekly Paste'!B:O,10,0)),0)</f>
        <v>80</v>
      </c>
      <c r="K3058" s="259">
        <f>IFERROR(IFERROR(VLOOKUP(B3058&amp;I3058&amp;Q3058,'New Weekly Paste'!A:M,8,0),VLOOKUP(B3058&amp;I3058&amp;Q3058,'New Weekly Paste'!B:O,10,0)),0)</f>
        <v>65.66</v>
      </c>
      <c r="L3058" s="239">
        <f t="shared" si="25"/>
        <v>1</v>
      </c>
      <c r="M3058" s="36" t="str">
        <f t="shared" si="3"/>
        <v>Regular Season</v>
      </c>
      <c r="N3058" s="239" t="str">
        <f t="shared" si="26"/>
        <v>Cock</v>
      </c>
      <c r="O3058" s="6">
        <f>VLOOKUP(D3058,'Mapped Opponent'!$G$4:$H$22,2,0)</f>
        <v>2</v>
      </c>
      <c r="P3058" s="6"/>
      <c r="Q3058" s="6" t="str">
        <f t="shared" si="4"/>
        <v>Week 2</v>
      </c>
      <c r="R3058" s="6" t="str">
        <f t="shared" si="5"/>
        <v>2026Week 2</v>
      </c>
      <c r="S3058" s="6">
        <f>IFERROR(__xludf.DUMMYFUNCTION("rank(J3058,FILTER(J:J,R:R=R3058))"),9.0)</f>
        <v>9</v>
      </c>
      <c r="T3058" s="6">
        <f t="shared" si="6"/>
        <v>3</v>
      </c>
      <c r="U3058" s="6">
        <f t="shared" si="7"/>
        <v>9</v>
      </c>
      <c r="V3058" s="42">
        <f>averageif(AllData!A:A,B3058,AllData!R:R)/vlookup(B3058,AllData!A:O,15,0)</f>
        <v>90.45916667</v>
      </c>
      <c r="W3058" s="6"/>
    </row>
    <row r="3059" ht="14.25" customHeight="1">
      <c r="A3059" s="6" t="str">
        <f t="shared" si="29"/>
        <v>2026Cock2</v>
      </c>
      <c r="B3059" s="59">
        <v>2026.0</v>
      </c>
      <c r="C3059" s="13" t="s">
        <v>72</v>
      </c>
      <c r="D3059" s="13" t="s">
        <v>131</v>
      </c>
      <c r="E3059" s="34"/>
      <c r="F3059" s="6"/>
      <c r="H3059" s="6"/>
      <c r="I3059" s="35" t="str">
        <f>IFERROR(IFERROR(IFERROR(VLOOKUP(B3059&amp;C3059&amp;Q3059,'New Weekly Paste'!A:M,10,0),VLOOKUP(B3059&amp;C3059&amp;Q3059,'New Weekly Paste'!B:O,6,0)),""),"")</f>
        <v>Pierson</v>
      </c>
      <c r="J3059" s="259">
        <f>IFERROR(IFERROR(VLOOKUP(B3059&amp;C3059&amp;Q3059,'New Weekly Paste'!A:M,8,0),VLOOKUP(B3059&amp;C3059&amp;Q3059,'New Weekly Paste'!B:O,10,0)),0)</f>
        <v>65.66</v>
      </c>
      <c r="K3059" s="259">
        <f>IFERROR(IFERROR(VLOOKUP(B3059&amp;I3059&amp;Q3059,'New Weekly Paste'!A:M,8,0),VLOOKUP(B3059&amp;I3059&amp;Q3059,'New Weekly Paste'!B:O,10,0)),0)</f>
        <v>80</v>
      </c>
      <c r="L3059" s="239">
        <f t="shared" si="25"/>
        <v>0</v>
      </c>
      <c r="M3059" s="36" t="str">
        <f t="shared" si="3"/>
        <v>Regular Season</v>
      </c>
      <c r="N3059" s="239" t="str">
        <f t="shared" si="26"/>
        <v>Pierson</v>
      </c>
      <c r="O3059" s="6">
        <f>VLOOKUP(D3059,'Mapped Opponent'!$G$4:$H$22,2,0)</f>
        <v>2</v>
      </c>
      <c r="P3059" s="6"/>
      <c r="Q3059" s="6" t="str">
        <f t="shared" si="4"/>
        <v>Week 2</v>
      </c>
      <c r="R3059" s="6" t="str">
        <f t="shared" si="5"/>
        <v>2026Week 2</v>
      </c>
      <c r="S3059" s="6">
        <f>IFERROR(__xludf.DUMMYFUNCTION("rank(J3059,FILTER(J:J,R:R=R3059))"),11.0)</f>
        <v>11</v>
      </c>
      <c r="T3059" s="6">
        <f t="shared" si="6"/>
        <v>1</v>
      </c>
      <c r="U3059" s="6">
        <f t="shared" si="7"/>
        <v>11</v>
      </c>
      <c r="V3059" s="42">
        <f>averageif(AllData!A:A,B3059,AllData!R:R)/vlookup(B3059,AllData!A:O,15,0)</f>
        <v>90.45916667</v>
      </c>
      <c r="W3059" s="6"/>
    </row>
    <row r="3060" ht="14.25" customHeight="1">
      <c r="A3060" s="6" t="str">
        <f t="shared" si="29"/>
        <v>2026Tayski2</v>
      </c>
      <c r="B3060" s="59">
        <v>2026.0</v>
      </c>
      <c r="C3060" s="13" t="s">
        <v>52</v>
      </c>
      <c r="D3060" s="13" t="s">
        <v>131</v>
      </c>
      <c r="E3060" s="34"/>
      <c r="F3060" s="6"/>
      <c r="H3060" s="6"/>
      <c r="I3060" s="35" t="str">
        <f>IFERROR(IFERROR(IFERROR(VLOOKUP(B3060&amp;C3060&amp;Q3060,'New Weekly Paste'!A:M,10,0),VLOOKUP(B3060&amp;C3060&amp;Q3060,'New Weekly Paste'!B:O,6,0)),""),"")</f>
        <v>Rooney/Jackson</v>
      </c>
      <c r="J3060" s="259">
        <f>IFERROR(IFERROR(VLOOKUP(B3060&amp;C3060&amp;Q3060,'New Weekly Paste'!A:M,8,0),VLOOKUP(B3060&amp;C3060&amp;Q3060,'New Weekly Paste'!B:O,10,0)),0)</f>
        <v>145.88</v>
      </c>
      <c r="K3060" s="259">
        <f>IFERROR(IFERROR(VLOOKUP(B3060&amp;I3060&amp;Q3060,'New Weekly Paste'!A:M,8,0),VLOOKUP(B3060&amp;I3060&amp;Q3060,'New Weekly Paste'!B:O,10,0)),0)</f>
        <v>77.1</v>
      </c>
      <c r="L3060" s="239">
        <f t="shared" si="25"/>
        <v>1</v>
      </c>
      <c r="M3060" s="36" t="str">
        <f t="shared" si="3"/>
        <v>Regular Season</v>
      </c>
      <c r="N3060" s="239" t="str">
        <f t="shared" si="26"/>
        <v>Rooney/Jackson</v>
      </c>
      <c r="O3060" s="6">
        <f>VLOOKUP(D3060,'Mapped Opponent'!$G$4:$H$22,2,0)</f>
        <v>2</v>
      </c>
      <c r="P3060" s="6"/>
      <c r="Q3060" s="6" t="str">
        <f t="shared" si="4"/>
        <v>Week 2</v>
      </c>
      <c r="R3060" s="6" t="str">
        <f t="shared" si="5"/>
        <v>2026Week 2</v>
      </c>
      <c r="S3060" s="6">
        <f>IFERROR(__xludf.DUMMYFUNCTION("rank(J3060,FILTER(J:J,R:R=R3060))"),1.0)</f>
        <v>1</v>
      </c>
      <c r="T3060" s="6">
        <f t="shared" si="6"/>
        <v>11</v>
      </c>
      <c r="U3060" s="6">
        <f t="shared" si="7"/>
        <v>1</v>
      </c>
      <c r="V3060" s="42">
        <f>averageif(AllData!A:A,B3060,AllData!R:R)/vlookup(B3060,AllData!A:O,15,0)</f>
        <v>90.45916667</v>
      </c>
      <c r="W3060" s="6"/>
    </row>
    <row r="3061" ht="14.25" customHeight="1">
      <c r="A3061" s="6" t="str">
        <f t="shared" si="29"/>
        <v>2026KnardDawg2</v>
      </c>
      <c r="B3061" s="59">
        <v>2026.0</v>
      </c>
      <c r="C3061" s="13" t="s">
        <v>86</v>
      </c>
      <c r="D3061" s="13" t="s">
        <v>131</v>
      </c>
      <c r="E3061" s="34"/>
      <c r="F3061" s="6"/>
      <c r="H3061" s="6"/>
      <c r="I3061" s="35" t="str">
        <f>IFERROR(IFERROR(IFERROR(VLOOKUP(B3061&amp;C3061&amp;Q3061,'New Weekly Paste'!A:M,10,0),VLOOKUP(B3061&amp;C3061&amp;Q3061,'New Weekly Paste'!B:O,6,0)),""),"")</f>
        <v>Hudspeath</v>
      </c>
      <c r="J3061" s="259">
        <f>IFERROR(IFERROR(VLOOKUP(B3061&amp;C3061&amp;Q3061,'New Weekly Paste'!A:M,8,0),VLOOKUP(B3061&amp;C3061&amp;Q3061,'New Weekly Paste'!B:O,10,0)),0)</f>
        <v>101.92</v>
      </c>
      <c r="K3061" s="259">
        <f>IFERROR(IFERROR(VLOOKUP(B3061&amp;I3061&amp;Q3061,'New Weekly Paste'!A:M,8,0),VLOOKUP(B3061&amp;I3061&amp;Q3061,'New Weekly Paste'!B:O,10,0)),0)</f>
        <v>124.68</v>
      </c>
      <c r="L3061" s="239">
        <f t="shared" si="25"/>
        <v>0</v>
      </c>
      <c r="M3061" s="36" t="str">
        <f t="shared" si="3"/>
        <v>Regular Season</v>
      </c>
      <c r="N3061" s="239" t="str">
        <f t="shared" si="26"/>
        <v>Hudspeath</v>
      </c>
      <c r="O3061" s="6">
        <f>VLOOKUP(D3061,'Mapped Opponent'!$G$4:$H$22,2,0)</f>
        <v>2</v>
      </c>
      <c r="P3061" s="6"/>
      <c r="Q3061" s="6" t="str">
        <f t="shared" si="4"/>
        <v>Week 2</v>
      </c>
      <c r="R3061" s="6" t="str">
        <f t="shared" si="5"/>
        <v>2026Week 2</v>
      </c>
      <c r="S3061" s="6">
        <f>IFERROR(__xludf.DUMMYFUNCTION("rank(J3061,FILTER(J:J,R:R=R3061))"),7.0)</f>
        <v>7</v>
      </c>
      <c r="T3061" s="6">
        <f t="shared" si="6"/>
        <v>5</v>
      </c>
      <c r="U3061" s="6">
        <f t="shared" si="7"/>
        <v>7</v>
      </c>
      <c r="V3061" s="42">
        <f>averageif(AllData!A:A,B3061,AllData!R:R)/vlookup(B3061,AllData!A:O,15,0)</f>
        <v>90.45916667</v>
      </c>
      <c r="W3061" s="6"/>
    </row>
    <row r="3062" ht="14.25" customHeight="1">
      <c r="A3062" s="6" t="str">
        <f t="shared" si="29"/>
        <v>2026T-How2</v>
      </c>
      <c r="B3062" s="59">
        <v>2026.0</v>
      </c>
      <c r="C3062" s="13" t="s">
        <v>82</v>
      </c>
      <c r="D3062" s="13" t="s">
        <v>131</v>
      </c>
      <c r="E3062" s="34"/>
      <c r="F3062" s="6"/>
      <c r="H3062" s="6"/>
      <c r="I3062" s="35" t="str">
        <f>IFERROR(IFERROR(IFERROR(VLOOKUP(B3062&amp;C3062&amp;Q3062,'New Weekly Paste'!A:M,10,0),VLOOKUP(B3062&amp;C3062&amp;Q3062,'New Weekly Paste'!B:O,6,0)),""),"")</f>
        <v>Salty</v>
      </c>
      <c r="J3062" s="259">
        <f>IFERROR(IFERROR(VLOOKUP(B3062&amp;C3062&amp;Q3062,'New Weekly Paste'!A:M,8,0),VLOOKUP(B3062&amp;C3062&amp;Q3062,'New Weekly Paste'!B:O,10,0)),0)</f>
        <v>105.26</v>
      </c>
      <c r="K3062" s="259">
        <f>IFERROR(IFERROR(VLOOKUP(B3062&amp;I3062&amp;Q3062,'New Weekly Paste'!A:M,8,0),VLOOKUP(B3062&amp;I3062&amp;Q3062,'New Weekly Paste'!B:O,10,0)),0)</f>
        <v>87.94</v>
      </c>
      <c r="L3062" s="239">
        <f t="shared" si="25"/>
        <v>1</v>
      </c>
      <c r="M3062" s="36" t="str">
        <f t="shared" si="3"/>
        <v>Regular Season</v>
      </c>
      <c r="N3062" s="239" t="str">
        <f t="shared" si="26"/>
        <v>Salty</v>
      </c>
      <c r="O3062" s="6">
        <f>VLOOKUP(D3062,'Mapped Opponent'!$G$4:$H$22,2,0)</f>
        <v>2</v>
      </c>
      <c r="P3062" s="6"/>
      <c r="Q3062" s="6" t="str">
        <f t="shared" si="4"/>
        <v>Week 2</v>
      </c>
      <c r="R3062" s="6" t="str">
        <f t="shared" si="5"/>
        <v>2026Week 2</v>
      </c>
      <c r="S3062" s="6">
        <f>IFERROR(__xludf.DUMMYFUNCTION("rank(J3062,FILTER(J:J,R:R=R3062))"),6.0)</f>
        <v>6</v>
      </c>
      <c r="T3062" s="6">
        <f t="shared" si="6"/>
        <v>6</v>
      </c>
      <c r="U3062" s="6">
        <f t="shared" si="7"/>
        <v>6</v>
      </c>
      <c r="V3062" s="42">
        <f>averageif(AllData!A:A,B3062,AllData!R:R)/vlookup(B3062,AllData!A:O,15,0)</f>
        <v>90.45916667</v>
      </c>
      <c r="W3062" s="6"/>
    </row>
    <row r="3063" ht="14.25" customHeight="1">
      <c r="A3063" s="6" t="str">
        <f t="shared" si="29"/>
        <v>2026Hudspeath3</v>
      </c>
      <c r="B3063" s="59">
        <v>2026.0</v>
      </c>
      <c r="C3063" s="13" t="s">
        <v>39</v>
      </c>
      <c r="D3063" s="13" t="s">
        <v>135</v>
      </c>
      <c r="E3063" s="34"/>
      <c r="F3063" s="6"/>
      <c r="H3063" s="6"/>
      <c r="I3063" s="35" t="str">
        <f>IFERROR(IFERROR(IFERROR(VLOOKUP(B3063&amp;C3063&amp;Q3063,'New Weekly Paste'!A:M,10,0),VLOOKUP(B3063&amp;C3063&amp;Q3063,'New Weekly Paste'!B:O,6,0)),""),"")</f>
        <v>Buser</v>
      </c>
      <c r="J3063" s="259">
        <f>IFERROR(IFERROR(VLOOKUP(B3063&amp;C3063&amp;Q3063,'New Weekly Paste'!A:M,8,0),VLOOKUP(B3063&amp;C3063&amp;Q3063,'New Weekly Paste'!B:O,10,0)),0)</f>
        <v>119.48</v>
      </c>
      <c r="K3063" s="259">
        <f>IFERROR(IFERROR(VLOOKUP(B3063&amp;I3063&amp;Q3063,'New Weekly Paste'!A:M,8,0),VLOOKUP(B3063&amp;I3063&amp;Q3063,'New Weekly Paste'!B:O,10,0)),0)</f>
        <v>82.26</v>
      </c>
      <c r="L3063" s="239">
        <f t="shared" si="25"/>
        <v>1</v>
      </c>
      <c r="M3063" s="36" t="str">
        <f t="shared" si="3"/>
        <v>Regular Season</v>
      </c>
      <c r="N3063" s="239" t="str">
        <f t="shared" si="26"/>
        <v>Buser</v>
      </c>
      <c r="O3063" s="6">
        <f>VLOOKUP(D3063,'Mapped Opponent'!$G$4:$H$22,2,0)</f>
        <v>3</v>
      </c>
      <c r="P3063" s="6"/>
      <c r="Q3063" s="6" t="str">
        <f t="shared" si="4"/>
        <v>Week 3</v>
      </c>
      <c r="R3063" s="6" t="str">
        <f t="shared" si="5"/>
        <v>2026Week 3</v>
      </c>
      <c r="S3063" s="6">
        <f>IFERROR(__xludf.DUMMYFUNCTION("rank(J3063,FILTER(J:J,R:R=R3063))"),3.0)</f>
        <v>3</v>
      </c>
      <c r="T3063" s="6">
        <f t="shared" si="6"/>
        <v>9</v>
      </c>
      <c r="U3063" s="6">
        <f t="shared" si="7"/>
        <v>3</v>
      </c>
      <c r="V3063" s="42">
        <f>averageif(AllData!A:A,B3063,AllData!R:R)/vlookup(B3063,AllData!A:O,15,0)</f>
        <v>90.45916667</v>
      </c>
      <c r="W3063" s="6"/>
    </row>
    <row r="3064" ht="14.25" customHeight="1">
      <c r="A3064" s="6" t="str">
        <f t="shared" si="29"/>
        <v>2026Salty3</v>
      </c>
      <c r="B3064" s="59">
        <v>2026.0</v>
      </c>
      <c r="C3064" s="13" t="s">
        <v>76</v>
      </c>
      <c r="D3064" s="13" t="s">
        <v>135</v>
      </c>
      <c r="E3064" s="34"/>
      <c r="F3064" s="6"/>
      <c r="H3064" s="6"/>
      <c r="I3064" s="35" t="str">
        <f>IFERROR(IFERROR(IFERROR(VLOOKUP(B3064&amp;C3064&amp;Q3064,'New Weekly Paste'!A:M,10,0),VLOOKUP(B3064&amp;C3064&amp;Q3064,'New Weekly Paste'!B:O,6,0)),""),"")</f>
        <v>Rooney/Jackson</v>
      </c>
      <c r="J3064" s="259">
        <f>IFERROR(IFERROR(VLOOKUP(B3064&amp;C3064&amp;Q3064,'New Weekly Paste'!A:M,8,0),VLOOKUP(B3064&amp;C3064&amp;Q3064,'New Weekly Paste'!B:O,10,0)),0)</f>
        <v>100.48</v>
      </c>
      <c r="K3064" s="259">
        <f>IFERROR(IFERROR(VLOOKUP(B3064&amp;I3064&amp;Q3064,'New Weekly Paste'!A:M,8,0),VLOOKUP(B3064&amp;I3064&amp;Q3064,'New Weekly Paste'!B:O,10,0)),0)</f>
        <v>114.04</v>
      </c>
      <c r="L3064" s="239">
        <f t="shared" si="25"/>
        <v>0</v>
      </c>
      <c r="M3064" s="36" t="str">
        <f t="shared" si="3"/>
        <v>Regular Season</v>
      </c>
      <c r="N3064" s="239" t="str">
        <f t="shared" si="26"/>
        <v>Rooney/Jackson</v>
      </c>
      <c r="O3064" s="6">
        <f>VLOOKUP(D3064,'Mapped Opponent'!$G$4:$H$22,2,0)</f>
        <v>3</v>
      </c>
      <c r="P3064" s="6"/>
      <c r="Q3064" s="6" t="str">
        <f t="shared" si="4"/>
        <v>Week 3</v>
      </c>
      <c r="R3064" s="6" t="str">
        <f t="shared" si="5"/>
        <v>2026Week 3</v>
      </c>
      <c r="S3064" s="6">
        <f>IFERROR(__xludf.DUMMYFUNCTION("rank(J3064,FILTER(J:J,R:R=R3064))"),8.0)</f>
        <v>8</v>
      </c>
      <c r="T3064" s="6">
        <f t="shared" si="6"/>
        <v>4</v>
      </c>
      <c r="U3064" s="6">
        <f t="shared" si="7"/>
        <v>8</v>
      </c>
      <c r="V3064" s="42">
        <f>averageif(AllData!A:A,B3064,AllData!R:R)/vlookup(B3064,AllData!A:O,15,0)</f>
        <v>90.45916667</v>
      </c>
      <c r="W3064" s="6"/>
    </row>
    <row r="3065" ht="14.25" customHeight="1">
      <c r="A3065" s="6" t="str">
        <f t="shared" si="29"/>
        <v>2026Ewert3</v>
      </c>
      <c r="B3065" s="59">
        <v>2026.0</v>
      </c>
      <c r="C3065" s="13" t="s">
        <v>108</v>
      </c>
      <c r="D3065" s="13" t="s">
        <v>135</v>
      </c>
      <c r="E3065" s="34"/>
      <c r="F3065" s="6"/>
      <c r="H3065" s="6"/>
      <c r="I3065" s="35" t="str">
        <f>IFERROR(IFERROR(IFERROR(VLOOKUP(B3065&amp;C3065&amp;Q3065,'New Weekly Paste'!A:M,10,0),VLOOKUP(B3065&amp;C3065&amp;Q3065,'New Weekly Paste'!B:O,6,0)),""),"")</f>
        <v>Riley</v>
      </c>
      <c r="J3065" s="259">
        <f>IFERROR(IFERROR(VLOOKUP(B3065&amp;C3065&amp;Q3065,'New Weekly Paste'!A:M,8,0),VLOOKUP(B3065&amp;C3065&amp;Q3065,'New Weekly Paste'!B:O,10,0)),0)</f>
        <v>91.8</v>
      </c>
      <c r="K3065" s="259">
        <f>IFERROR(IFERROR(VLOOKUP(B3065&amp;I3065&amp;Q3065,'New Weekly Paste'!A:M,8,0),VLOOKUP(B3065&amp;I3065&amp;Q3065,'New Weekly Paste'!B:O,10,0)),0)</f>
        <v>100.94</v>
      </c>
      <c r="L3065" s="239">
        <f t="shared" si="25"/>
        <v>0</v>
      </c>
      <c r="M3065" s="36" t="str">
        <f t="shared" si="3"/>
        <v>Regular Season</v>
      </c>
      <c r="N3065" s="239" t="str">
        <f t="shared" si="26"/>
        <v>Riley</v>
      </c>
      <c r="O3065" s="6">
        <f>VLOOKUP(D3065,'Mapped Opponent'!$G$4:$H$22,2,0)</f>
        <v>3</v>
      </c>
      <c r="P3065" s="6"/>
      <c r="Q3065" s="6" t="str">
        <f t="shared" si="4"/>
        <v>Week 3</v>
      </c>
      <c r="R3065" s="6" t="str">
        <f t="shared" si="5"/>
        <v>2026Week 3</v>
      </c>
      <c r="S3065" s="6">
        <f>IFERROR(__xludf.DUMMYFUNCTION("rank(J3065,FILTER(J:J,R:R=R3065))"),9.0)</f>
        <v>9</v>
      </c>
      <c r="T3065" s="6">
        <f t="shared" si="6"/>
        <v>3</v>
      </c>
      <c r="U3065" s="6">
        <f t="shared" si="7"/>
        <v>9</v>
      </c>
      <c r="V3065" s="42">
        <f>averageif(AllData!A:A,B3065,AllData!R:R)/vlookup(B3065,AllData!A:O,15,0)</f>
        <v>90.45916667</v>
      </c>
      <c r="W3065" s="6"/>
    </row>
    <row r="3066" ht="14.25" customHeight="1">
      <c r="A3066" s="6" t="str">
        <f t="shared" si="29"/>
        <v>2026Shep3</v>
      </c>
      <c r="B3066" s="59">
        <v>2026.0</v>
      </c>
      <c r="C3066" s="13" t="s">
        <v>89</v>
      </c>
      <c r="D3066" s="13" t="s">
        <v>135</v>
      </c>
      <c r="E3066" s="34"/>
      <c r="F3066" s="6"/>
      <c r="H3066" s="6"/>
      <c r="I3066" s="35" t="str">
        <f>IFERROR(IFERROR(IFERROR(VLOOKUP(B3066&amp;C3066&amp;Q3066,'New Weekly Paste'!A:M,10,0),VLOOKUP(B3066&amp;C3066&amp;Q3066,'New Weekly Paste'!B:O,6,0)),""),"")</f>
        <v>Pierson</v>
      </c>
      <c r="J3066" s="259">
        <f>IFERROR(IFERROR(VLOOKUP(B3066&amp;C3066&amp;Q3066,'New Weekly Paste'!A:M,8,0),VLOOKUP(B3066&amp;C3066&amp;Q3066,'New Weekly Paste'!B:O,10,0)),0)</f>
        <v>127.2</v>
      </c>
      <c r="K3066" s="259">
        <f>IFERROR(IFERROR(VLOOKUP(B3066&amp;I3066&amp;Q3066,'New Weekly Paste'!A:M,8,0),VLOOKUP(B3066&amp;I3066&amp;Q3066,'New Weekly Paste'!B:O,10,0)),0)</f>
        <v>139.74</v>
      </c>
      <c r="L3066" s="239">
        <f t="shared" si="25"/>
        <v>0</v>
      </c>
      <c r="M3066" s="36" t="str">
        <f t="shared" si="3"/>
        <v>Regular Season</v>
      </c>
      <c r="N3066" s="239" t="str">
        <f t="shared" si="26"/>
        <v>Pierson</v>
      </c>
      <c r="O3066" s="6">
        <f>VLOOKUP(D3066,'Mapped Opponent'!$G$4:$H$22,2,0)</f>
        <v>3</v>
      </c>
      <c r="P3066" s="6"/>
      <c r="Q3066" s="6" t="str">
        <f t="shared" si="4"/>
        <v>Week 3</v>
      </c>
      <c r="R3066" s="6" t="str">
        <f t="shared" si="5"/>
        <v>2026Week 3</v>
      </c>
      <c r="S3066" s="6">
        <f>IFERROR(__xludf.DUMMYFUNCTION("rank(J3066,FILTER(J:J,R:R=R3066))"),2.0)</f>
        <v>2</v>
      </c>
      <c r="T3066" s="6">
        <f t="shared" si="6"/>
        <v>10</v>
      </c>
      <c r="U3066" s="6">
        <f t="shared" si="7"/>
        <v>2</v>
      </c>
      <c r="V3066" s="42">
        <f>averageif(AllData!A:A,B3066,AllData!R:R)/vlookup(B3066,AllData!A:O,15,0)</f>
        <v>90.45916667</v>
      </c>
      <c r="W3066" s="6"/>
    </row>
    <row r="3067" ht="14.25" customHeight="1">
      <c r="A3067" s="6" t="str">
        <f t="shared" si="29"/>
        <v>2026Riley3</v>
      </c>
      <c r="B3067" s="59">
        <v>2026.0</v>
      </c>
      <c r="C3067" s="13" t="s">
        <v>67</v>
      </c>
      <c r="D3067" s="13" t="s">
        <v>135</v>
      </c>
      <c r="E3067" s="34"/>
      <c r="F3067" s="6"/>
      <c r="H3067" s="6"/>
      <c r="I3067" s="35" t="str">
        <f>IFERROR(IFERROR(IFERROR(VLOOKUP(B3067&amp;C3067&amp;Q3067,'New Weekly Paste'!A:M,10,0),VLOOKUP(B3067&amp;C3067&amp;Q3067,'New Weekly Paste'!B:O,6,0)),""),"")</f>
        <v>Ewert</v>
      </c>
      <c r="J3067" s="259">
        <f>IFERROR(IFERROR(VLOOKUP(B3067&amp;C3067&amp;Q3067,'New Weekly Paste'!A:M,8,0),VLOOKUP(B3067&amp;C3067&amp;Q3067,'New Weekly Paste'!B:O,10,0)),0)</f>
        <v>100.94</v>
      </c>
      <c r="K3067" s="259">
        <f>IFERROR(IFERROR(VLOOKUP(B3067&amp;I3067&amp;Q3067,'New Weekly Paste'!A:M,8,0),VLOOKUP(B3067&amp;I3067&amp;Q3067,'New Weekly Paste'!B:O,10,0)),0)</f>
        <v>91.8</v>
      </c>
      <c r="L3067" s="239">
        <f t="shared" si="25"/>
        <v>1</v>
      </c>
      <c r="M3067" s="36" t="str">
        <f t="shared" si="3"/>
        <v>Regular Season</v>
      </c>
      <c r="N3067" s="239" t="str">
        <f t="shared" si="26"/>
        <v>Ewert</v>
      </c>
      <c r="O3067" s="6">
        <f>VLOOKUP(D3067,'Mapped Opponent'!$G$4:$H$22,2,0)</f>
        <v>3</v>
      </c>
      <c r="P3067" s="6"/>
      <c r="Q3067" s="6" t="str">
        <f t="shared" si="4"/>
        <v>Week 3</v>
      </c>
      <c r="R3067" s="6" t="str">
        <f t="shared" si="5"/>
        <v>2026Week 3</v>
      </c>
      <c r="S3067" s="6">
        <f>IFERROR(__xludf.DUMMYFUNCTION("rank(J3067,FILTER(J:J,R:R=R3067))"),7.0)</f>
        <v>7</v>
      </c>
      <c r="T3067" s="6">
        <f t="shared" si="6"/>
        <v>5</v>
      </c>
      <c r="U3067" s="6">
        <f t="shared" si="7"/>
        <v>7</v>
      </c>
      <c r="V3067" s="42">
        <f>averageif(AllData!A:A,B3067,AllData!R:R)/vlookup(B3067,AllData!A:O,15,0)</f>
        <v>90.45916667</v>
      </c>
      <c r="W3067" s="6"/>
    </row>
    <row r="3068" ht="14.25" customHeight="1">
      <c r="A3068" s="6" t="str">
        <f t="shared" si="29"/>
        <v>2026Rooney/Jackson3</v>
      </c>
      <c r="B3068" s="59">
        <v>2026.0</v>
      </c>
      <c r="C3068" s="13" t="s">
        <v>57</v>
      </c>
      <c r="D3068" s="13" t="s">
        <v>135</v>
      </c>
      <c r="E3068" s="34"/>
      <c r="F3068" s="6"/>
      <c r="H3068" s="6"/>
      <c r="I3068" s="35" t="str">
        <f>IFERROR(IFERROR(IFERROR(VLOOKUP(B3068&amp;C3068&amp;Q3068,'New Weekly Paste'!A:M,10,0),VLOOKUP(B3068&amp;C3068&amp;Q3068,'New Weekly Paste'!B:O,6,0)),""),"")</f>
        <v>Salty</v>
      </c>
      <c r="J3068" s="259">
        <f>IFERROR(IFERROR(VLOOKUP(B3068&amp;C3068&amp;Q3068,'New Weekly Paste'!A:M,8,0),VLOOKUP(B3068&amp;C3068&amp;Q3068,'New Weekly Paste'!B:O,10,0)),0)</f>
        <v>114.04</v>
      </c>
      <c r="K3068" s="259">
        <f>IFERROR(IFERROR(VLOOKUP(B3068&amp;I3068&amp;Q3068,'New Weekly Paste'!A:M,8,0),VLOOKUP(B3068&amp;I3068&amp;Q3068,'New Weekly Paste'!B:O,10,0)),0)</f>
        <v>100.48</v>
      </c>
      <c r="L3068" s="239">
        <f t="shared" si="25"/>
        <v>1</v>
      </c>
      <c r="M3068" s="36" t="str">
        <f t="shared" si="3"/>
        <v>Regular Season</v>
      </c>
      <c r="N3068" s="239" t="str">
        <f t="shared" si="26"/>
        <v>Salty</v>
      </c>
      <c r="O3068" s="6">
        <f>VLOOKUP(D3068,'Mapped Opponent'!$G$4:$H$22,2,0)</f>
        <v>3</v>
      </c>
      <c r="P3068" s="6"/>
      <c r="Q3068" s="6" t="str">
        <f t="shared" si="4"/>
        <v>Week 3</v>
      </c>
      <c r="R3068" s="6" t="str">
        <f t="shared" si="5"/>
        <v>2026Week 3</v>
      </c>
      <c r="S3068" s="6">
        <f>IFERROR(__xludf.DUMMYFUNCTION("rank(J3068,FILTER(J:J,R:R=R3068))"),5.0)</f>
        <v>5</v>
      </c>
      <c r="T3068" s="6">
        <f t="shared" si="6"/>
        <v>7</v>
      </c>
      <c r="U3068" s="6">
        <f t="shared" si="7"/>
        <v>5</v>
      </c>
      <c r="V3068" s="42">
        <f>averageif(AllData!A:A,B3068,AllData!R:R)/vlookup(B3068,AllData!A:O,15,0)</f>
        <v>90.45916667</v>
      </c>
      <c r="W3068" s="6"/>
    </row>
    <row r="3069" ht="14.25" customHeight="1">
      <c r="A3069" s="6" t="str">
        <f t="shared" si="29"/>
        <v>2026Buser3</v>
      </c>
      <c r="B3069" s="59">
        <v>2026.0</v>
      </c>
      <c r="C3069" s="13" t="s">
        <v>47</v>
      </c>
      <c r="D3069" s="13" t="s">
        <v>135</v>
      </c>
      <c r="E3069" s="34"/>
      <c r="F3069" s="6"/>
      <c r="H3069" s="6"/>
      <c r="I3069" s="35" t="str">
        <f>IFERROR(IFERROR(IFERROR(VLOOKUP(B3069&amp;C3069&amp;Q3069,'New Weekly Paste'!A:M,10,0),VLOOKUP(B3069&amp;C3069&amp;Q3069,'New Weekly Paste'!B:O,6,0)),""),"")</f>
        <v>Hudspeath</v>
      </c>
      <c r="J3069" s="259">
        <f>IFERROR(IFERROR(VLOOKUP(B3069&amp;C3069&amp;Q3069,'New Weekly Paste'!A:M,8,0),VLOOKUP(B3069&amp;C3069&amp;Q3069,'New Weekly Paste'!B:O,10,0)),0)</f>
        <v>82.26</v>
      </c>
      <c r="K3069" s="259">
        <f>IFERROR(IFERROR(VLOOKUP(B3069&amp;I3069&amp;Q3069,'New Weekly Paste'!A:M,8,0),VLOOKUP(B3069&amp;I3069&amp;Q3069,'New Weekly Paste'!B:O,10,0)),0)</f>
        <v>119.48</v>
      </c>
      <c r="L3069" s="239">
        <f t="shared" si="25"/>
        <v>0</v>
      </c>
      <c r="M3069" s="36" t="str">
        <f t="shared" si="3"/>
        <v>Regular Season</v>
      </c>
      <c r="N3069" s="239" t="str">
        <f t="shared" si="26"/>
        <v>Hudspeath</v>
      </c>
      <c r="O3069" s="6">
        <f>VLOOKUP(D3069,'Mapped Opponent'!$G$4:$H$22,2,0)</f>
        <v>3</v>
      </c>
      <c r="P3069" s="6"/>
      <c r="Q3069" s="6" t="str">
        <f t="shared" si="4"/>
        <v>Week 3</v>
      </c>
      <c r="R3069" s="6" t="str">
        <f t="shared" si="5"/>
        <v>2026Week 3</v>
      </c>
      <c r="S3069" s="6">
        <f>IFERROR(__xludf.DUMMYFUNCTION("rank(J3069,FILTER(J:J,R:R=R3069))"),11.0)</f>
        <v>11</v>
      </c>
      <c r="T3069" s="6">
        <f t="shared" si="6"/>
        <v>1</v>
      </c>
      <c r="U3069" s="6">
        <f t="shared" si="7"/>
        <v>11</v>
      </c>
      <c r="V3069" s="42">
        <f>averageif(AllData!A:A,B3069,AllData!R:R)/vlookup(B3069,AllData!A:O,15,0)</f>
        <v>90.45916667</v>
      </c>
      <c r="W3069" s="6"/>
    </row>
    <row r="3070" ht="14.25" customHeight="1">
      <c r="A3070" s="6" t="str">
        <f t="shared" si="29"/>
        <v>2026Pierson3</v>
      </c>
      <c r="B3070" s="59">
        <v>2026.0</v>
      </c>
      <c r="C3070" s="13" t="s">
        <v>92</v>
      </c>
      <c r="D3070" s="13" t="s">
        <v>135</v>
      </c>
      <c r="E3070" s="34"/>
      <c r="F3070" s="6"/>
      <c r="H3070" s="6"/>
      <c r="I3070" s="35" t="str">
        <f>IFERROR(IFERROR(IFERROR(VLOOKUP(B3070&amp;C3070&amp;Q3070,'New Weekly Paste'!A:M,10,0),VLOOKUP(B3070&amp;C3070&amp;Q3070,'New Weekly Paste'!B:O,6,0)),""),"")</f>
        <v>Shep</v>
      </c>
      <c r="J3070" s="259">
        <f>IFERROR(IFERROR(VLOOKUP(B3070&amp;C3070&amp;Q3070,'New Weekly Paste'!A:M,8,0),VLOOKUP(B3070&amp;C3070&amp;Q3070,'New Weekly Paste'!B:O,10,0)),0)</f>
        <v>139.74</v>
      </c>
      <c r="K3070" s="259">
        <f>IFERROR(IFERROR(VLOOKUP(B3070&amp;I3070&amp;Q3070,'New Weekly Paste'!A:M,8,0),VLOOKUP(B3070&amp;I3070&amp;Q3070,'New Weekly Paste'!B:O,10,0)),0)</f>
        <v>127.2</v>
      </c>
      <c r="L3070" s="239">
        <f t="shared" si="25"/>
        <v>1</v>
      </c>
      <c r="M3070" s="36" t="str">
        <f t="shared" si="3"/>
        <v>Regular Season</v>
      </c>
      <c r="N3070" s="239" t="str">
        <f t="shared" si="26"/>
        <v>Shep</v>
      </c>
      <c r="O3070" s="6">
        <f>VLOOKUP(D3070,'Mapped Opponent'!$G$4:$H$22,2,0)</f>
        <v>3</v>
      </c>
      <c r="P3070" s="6"/>
      <c r="Q3070" s="6" t="str">
        <f t="shared" si="4"/>
        <v>Week 3</v>
      </c>
      <c r="R3070" s="6" t="str">
        <f t="shared" si="5"/>
        <v>2026Week 3</v>
      </c>
      <c r="S3070" s="6">
        <f>IFERROR(__xludf.DUMMYFUNCTION("rank(J3070,FILTER(J:J,R:R=R3070))"),1.0)</f>
        <v>1</v>
      </c>
      <c r="T3070" s="6">
        <f t="shared" si="6"/>
        <v>11</v>
      </c>
      <c r="U3070" s="6">
        <f t="shared" si="7"/>
        <v>1</v>
      </c>
      <c r="V3070" s="42">
        <f>averageif(AllData!A:A,B3070,AllData!R:R)/vlookup(B3070,AllData!A:O,15,0)</f>
        <v>90.45916667</v>
      </c>
      <c r="W3070" s="6"/>
    </row>
    <row r="3071" ht="14.25" customHeight="1">
      <c r="A3071" s="6" t="str">
        <f t="shared" si="29"/>
        <v>2026Cock3</v>
      </c>
      <c r="B3071" s="59">
        <v>2026.0</v>
      </c>
      <c r="C3071" s="13" t="s">
        <v>72</v>
      </c>
      <c r="D3071" s="13" t="s">
        <v>135</v>
      </c>
      <c r="E3071" s="34"/>
      <c r="F3071" s="6"/>
      <c r="H3071" s="6"/>
      <c r="I3071" s="35" t="str">
        <f>IFERROR(IFERROR(IFERROR(VLOOKUP(B3071&amp;C3071&amp;Q3071,'New Weekly Paste'!A:M,10,0),VLOOKUP(B3071&amp;C3071&amp;Q3071,'New Weekly Paste'!B:O,6,0)),""),"")</f>
        <v>T-How</v>
      </c>
      <c r="J3071" s="259">
        <f>IFERROR(IFERROR(VLOOKUP(B3071&amp;C3071&amp;Q3071,'New Weekly Paste'!A:M,8,0),VLOOKUP(B3071&amp;C3071&amp;Q3071,'New Weekly Paste'!B:O,10,0)),0)</f>
        <v>87.12</v>
      </c>
      <c r="K3071" s="259">
        <f>IFERROR(IFERROR(VLOOKUP(B3071&amp;I3071&amp;Q3071,'New Weekly Paste'!A:M,8,0),VLOOKUP(B3071&amp;I3071&amp;Q3071,'New Weekly Paste'!B:O,10,0)),0)</f>
        <v>107.84</v>
      </c>
      <c r="L3071" s="239">
        <f t="shared" si="25"/>
        <v>0</v>
      </c>
      <c r="M3071" s="36" t="str">
        <f t="shared" si="3"/>
        <v>Regular Season</v>
      </c>
      <c r="N3071" s="239" t="str">
        <f t="shared" si="26"/>
        <v>T-How</v>
      </c>
      <c r="O3071" s="6">
        <f>VLOOKUP(D3071,'Mapped Opponent'!$G$4:$H$22,2,0)</f>
        <v>3</v>
      </c>
      <c r="P3071" s="6"/>
      <c r="Q3071" s="6" t="str">
        <f t="shared" si="4"/>
        <v>Week 3</v>
      </c>
      <c r="R3071" s="6" t="str">
        <f t="shared" si="5"/>
        <v>2026Week 3</v>
      </c>
      <c r="S3071" s="6">
        <f>IFERROR(__xludf.DUMMYFUNCTION("rank(J3071,FILTER(J:J,R:R=R3071))"),10.0)</f>
        <v>10</v>
      </c>
      <c r="T3071" s="6">
        <f t="shared" si="6"/>
        <v>2</v>
      </c>
      <c r="U3071" s="6">
        <f t="shared" si="7"/>
        <v>10</v>
      </c>
      <c r="V3071" s="42">
        <f>averageif(AllData!A:A,B3071,AllData!R:R)/vlookup(B3071,AllData!A:O,15,0)</f>
        <v>90.45916667</v>
      </c>
      <c r="W3071" s="6"/>
    </row>
    <row r="3072" ht="14.25" customHeight="1">
      <c r="A3072" s="6" t="str">
        <f t="shared" si="29"/>
        <v>2026Tayski3</v>
      </c>
      <c r="B3072" s="59">
        <v>2026.0</v>
      </c>
      <c r="C3072" s="13" t="s">
        <v>52</v>
      </c>
      <c r="D3072" s="13" t="s">
        <v>135</v>
      </c>
      <c r="E3072" s="34"/>
      <c r="F3072" s="6"/>
      <c r="H3072" s="6"/>
      <c r="I3072" s="35" t="str">
        <f>IFERROR(IFERROR(IFERROR(VLOOKUP(B3072&amp;C3072&amp;Q3072,'New Weekly Paste'!A:M,10,0),VLOOKUP(B3072&amp;C3072&amp;Q3072,'New Weekly Paste'!B:O,6,0)),""),"")</f>
        <v>KnardDawg</v>
      </c>
      <c r="J3072" s="259">
        <f>IFERROR(IFERROR(VLOOKUP(B3072&amp;C3072&amp;Q3072,'New Weekly Paste'!A:M,8,0),VLOOKUP(B3072&amp;C3072&amp;Q3072,'New Weekly Paste'!B:O,10,0)),0)</f>
        <v>114.54</v>
      </c>
      <c r="K3072" s="259">
        <f>IFERROR(IFERROR(VLOOKUP(B3072&amp;I3072&amp;Q3072,'New Weekly Paste'!A:M,8,0),VLOOKUP(B3072&amp;I3072&amp;Q3072,'New Weekly Paste'!B:O,10,0)),0)</f>
        <v>77.88</v>
      </c>
      <c r="L3072" s="239">
        <f t="shared" si="25"/>
        <v>1</v>
      </c>
      <c r="M3072" s="36" t="str">
        <f t="shared" si="3"/>
        <v>Regular Season</v>
      </c>
      <c r="N3072" s="239" t="str">
        <f t="shared" si="26"/>
        <v>KnardDawg</v>
      </c>
      <c r="O3072" s="6">
        <f>VLOOKUP(D3072,'Mapped Opponent'!$G$4:$H$22,2,0)</f>
        <v>3</v>
      </c>
      <c r="P3072" s="6"/>
      <c r="Q3072" s="6" t="str">
        <f t="shared" si="4"/>
        <v>Week 3</v>
      </c>
      <c r="R3072" s="6" t="str">
        <f t="shared" si="5"/>
        <v>2026Week 3</v>
      </c>
      <c r="S3072" s="6">
        <f>IFERROR(__xludf.DUMMYFUNCTION("rank(J3072,FILTER(J:J,R:R=R3072))"),4.0)</f>
        <v>4</v>
      </c>
      <c r="T3072" s="6">
        <f t="shared" si="6"/>
        <v>8</v>
      </c>
      <c r="U3072" s="6">
        <f t="shared" si="7"/>
        <v>4</v>
      </c>
      <c r="V3072" s="42">
        <f>averageif(AllData!A:A,B3072,AllData!R:R)/vlookup(B3072,AllData!A:O,15,0)</f>
        <v>90.45916667</v>
      </c>
      <c r="W3072" s="6"/>
    </row>
    <row r="3073" ht="14.25" customHeight="1">
      <c r="A3073" s="6" t="str">
        <f t="shared" si="29"/>
        <v>2026KnardDawg3</v>
      </c>
      <c r="B3073" s="59">
        <v>2026.0</v>
      </c>
      <c r="C3073" s="13" t="s">
        <v>86</v>
      </c>
      <c r="D3073" s="13" t="s">
        <v>135</v>
      </c>
      <c r="E3073" s="34"/>
      <c r="F3073" s="6"/>
      <c r="H3073" s="6"/>
      <c r="I3073" s="35" t="str">
        <f>IFERROR(IFERROR(IFERROR(VLOOKUP(B3073&amp;C3073&amp;Q3073,'New Weekly Paste'!A:M,10,0),VLOOKUP(B3073&amp;C3073&amp;Q3073,'New Weekly Paste'!B:O,6,0)),""),"")</f>
        <v>Tayski</v>
      </c>
      <c r="J3073" s="259">
        <f>IFERROR(IFERROR(VLOOKUP(B3073&amp;C3073&amp;Q3073,'New Weekly Paste'!A:M,8,0),VLOOKUP(B3073&amp;C3073&amp;Q3073,'New Weekly Paste'!B:O,10,0)),0)</f>
        <v>77.88</v>
      </c>
      <c r="K3073" s="259">
        <f>IFERROR(IFERROR(VLOOKUP(B3073&amp;I3073&amp;Q3073,'New Weekly Paste'!A:M,8,0),VLOOKUP(B3073&amp;I3073&amp;Q3073,'New Weekly Paste'!B:O,10,0)),0)</f>
        <v>114.54</v>
      </c>
      <c r="L3073" s="239">
        <f t="shared" si="25"/>
        <v>0</v>
      </c>
      <c r="M3073" s="36" t="str">
        <f t="shared" si="3"/>
        <v>Regular Season</v>
      </c>
      <c r="N3073" s="239" t="str">
        <f t="shared" si="26"/>
        <v>Tayski</v>
      </c>
      <c r="O3073" s="6">
        <f>VLOOKUP(D3073,'Mapped Opponent'!$G$4:$H$22,2,0)</f>
        <v>3</v>
      </c>
      <c r="P3073" s="6"/>
      <c r="Q3073" s="6" t="str">
        <f t="shared" si="4"/>
        <v>Week 3</v>
      </c>
      <c r="R3073" s="6" t="str">
        <f t="shared" si="5"/>
        <v>2026Week 3</v>
      </c>
      <c r="S3073" s="6">
        <f>IFERROR(__xludf.DUMMYFUNCTION("rank(J3073,FILTER(J:J,R:R=R3073))"),12.0)</f>
        <v>12</v>
      </c>
      <c r="T3073" s="6">
        <f t="shared" si="6"/>
        <v>0</v>
      </c>
      <c r="U3073" s="6">
        <f t="shared" si="7"/>
        <v>12</v>
      </c>
      <c r="V3073" s="42">
        <f>averageif(AllData!A:A,B3073,AllData!R:R)/vlookup(B3073,AllData!A:O,15,0)</f>
        <v>90.45916667</v>
      </c>
      <c r="W3073" s="6"/>
    </row>
    <row r="3074" ht="14.25" customHeight="1">
      <c r="A3074" s="6" t="str">
        <f t="shared" si="29"/>
        <v>2026T-How3</v>
      </c>
      <c r="B3074" s="59">
        <v>2026.0</v>
      </c>
      <c r="C3074" s="13" t="s">
        <v>82</v>
      </c>
      <c r="D3074" s="13" t="s">
        <v>135</v>
      </c>
      <c r="E3074" s="34"/>
      <c r="F3074" s="6"/>
      <c r="H3074" s="6"/>
      <c r="I3074" s="35" t="str">
        <f>IFERROR(IFERROR(IFERROR(VLOOKUP(B3074&amp;C3074&amp;Q3074,'New Weekly Paste'!A:M,10,0),VLOOKUP(B3074&amp;C3074&amp;Q3074,'New Weekly Paste'!B:O,6,0)),""),"")</f>
        <v>Cock</v>
      </c>
      <c r="J3074" s="259">
        <f>IFERROR(IFERROR(VLOOKUP(B3074&amp;C3074&amp;Q3074,'New Weekly Paste'!A:M,8,0),VLOOKUP(B3074&amp;C3074&amp;Q3074,'New Weekly Paste'!B:O,10,0)),0)</f>
        <v>107.84</v>
      </c>
      <c r="K3074" s="259">
        <f>IFERROR(IFERROR(VLOOKUP(B3074&amp;I3074&amp;Q3074,'New Weekly Paste'!A:M,8,0),VLOOKUP(B3074&amp;I3074&amp;Q3074,'New Weekly Paste'!B:O,10,0)),0)</f>
        <v>87.12</v>
      </c>
      <c r="L3074" s="239">
        <f t="shared" si="25"/>
        <v>1</v>
      </c>
      <c r="M3074" s="36" t="str">
        <f t="shared" si="3"/>
        <v>Regular Season</v>
      </c>
      <c r="N3074" s="239" t="str">
        <f t="shared" si="26"/>
        <v>Cock</v>
      </c>
      <c r="O3074" s="6">
        <f>VLOOKUP(D3074,'Mapped Opponent'!$G$4:$H$22,2,0)</f>
        <v>3</v>
      </c>
      <c r="P3074" s="6"/>
      <c r="Q3074" s="6" t="str">
        <f t="shared" si="4"/>
        <v>Week 3</v>
      </c>
      <c r="R3074" s="6" t="str">
        <f t="shared" si="5"/>
        <v>2026Week 3</v>
      </c>
      <c r="S3074" s="6">
        <f>IFERROR(__xludf.DUMMYFUNCTION("rank(J3074,FILTER(J:J,R:R=R3074))"),6.0)</f>
        <v>6</v>
      </c>
      <c r="T3074" s="6">
        <f t="shared" si="6"/>
        <v>6</v>
      </c>
      <c r="U3074" s="6">
        <f t="shared" si="7"/>
        <v>6</v>
      </c>
      <c r="V3074" s="42">
        <f>averageif(AllData!A:A,B3074,AllData!R:R)/vlookup(B3074,AllData!A:O,15,0)</f>
        <v>90.45916667</v>
      </c>
      <c r="W3074" s="6"/>
    </row>
    <row r="3075" ht="14.25" customHeight="1">
      <c r="A3075" s="6" t="str">
        <f t="shared" si="29"/>
        <v>2026Hudspeath4</v>
      </c>
      <c r="B3075" s="59">
        <v>2026.0</v>
      </c>
      <c r="C3075" s="13" t="s">
        <v>39</v>
      </c>
      <c r="D3075" s="13" t="s">
        <v>138</v>
      </c>
      <c r="E3075" s="34"/>
      <c r="F3075" s="6"/>
      <c r="H3075" s="6"/>
      <c r="I3075" s="35" t="str">
        <f>IFERROR(IFERROR(IFERROR(VLOOKUP(B3075&amp;C3075&amp;Q3075,'New Weekly Paste'!A:M,10,0),VLOOKUP(B3075&amp;C3075&amp;Q3075,'New Weekly Paste'!B:O,6,0)),""),"")</f>
        <v>Riley</v>
      </c>
      <c r="J3075" s="259">
        <f>IFERROR(IFERROR(VLOOKUP(B3075&amp;C3075&amp;Q3075,'New Weekly Paste'!A:M,8,0),VLOOKUP(B3075&amp;C3075&amp;Q3075,'New Weekly Paste'!B:O,10,0)),0)</f>
        <v>122.02</v>
      </c>
      <c r="K3075" s="259">
        <f>IFERROR(IFERROR(VLOOKUP(B3075&amp;I3075&amp;Q3075,'New Weekly Paste'!A:M,8,0),VLOOKUP(B3075&amp;I3075&amp;Q3075,'New Weekly Paste'!B:O,10,0)),0)</f>
        <v>114.12</v>
      </c>
      <c r="L3075" s="239">
        <f t="shared" si="25"/>
        <v>1</v>
      </c>
      <c r="M3075" s="36" t="str">
        <f t="shared" si="3"/>
        <v>Regular Season</v>
      </c>
      <c r="N3075" s="239" t="str">
        <f t="shared" si="26"/>
        <v>Riley</v>
      </c>
      <c r="O3075" s="6">
        <f>VLOOKUP(D3075,'Mapped Opponent'!$G$4:$H$22,2,0)</f>
        <v>4</v>
      </c>
      <c r="P3075" s="6"/>
      <c r="Q3075" s="6" t="str">
        <f t="shared" si="4"/>
        <v>Week 4</v>
      </c>
      <c r="R3075" s="6" t="str">
        <f t="shared" si="5"/>
        <v>2026Week 4</v>
      </c>
      <c r="S3075" s="6">
        <f>IFERROR(__xludf.DUMMYFUNCTION("rank(J3075,FILTER(J:J,R:R=R3075))"),4.0)</f>
        <v>4</v>
      </c>
      <c r="T3075" s="6">
        <f t="shared" si="6"/>
        <v>8</v>
      </c>
      <c r="U3075" s="6">
        <f t="shared" si="7"/>
        <v>4</v>
      </c>
      <c r="V3075" s="42">
        <f>averageif(AllData!A:A,B3075,AllData!R:R)/vlookup(B3075,AllData!A:O,15,0)</f>
        <v>90.45916667</v>
      </c>
      <c r="W3075" s="6"/>
    </row>
    <row r="3076" ht="14.25" customHeight="1">
      <c r="A3076" s="6" t="str">
        <f t="shared" si="29"/>
        <v>2026Salty4</v>
      </c>
      <c r="B3076" s="59">
        <v>2026.0</v>
      </c>
      <c r="C3076" s="13" t="s">
        <v>76</v>
      </c>
      <c r="D3076" s="13" t="s">
        <v>138</v>
      </c>
      <c r="E3076" s="34"/>
      <c r="F3076" s="6"/>
      <c r="H3076" s="6"/>
      <c r="I3076" s="35" t="str">
        <f>IFERROR(IFERROR(IFERROR(VLOOKUP(B3076&amp;C3076&amp;Q3076,'New Weekly Paste'!A:M,10,0),VLOOKUP(B3076&amp;C3076&amp;Q3076,'New Weekly Paste'!B:O,6,0)),""),"")</f>
        <v>KnardDawg</v>
      </c>
      <c r="J3076" s="259">
        <f>IFERROR(IFERROR(VLOOKUP(B3076&amp;C3076&amp;Q3076,'New Weekly Paste'!A:M,8,0),VLOOKUP(B3076&amp;C3076&amp;Q3076,'New Weekly Paste'!B:O,10,0)),0)</f>
        <v>141.58</v>
      </c>
      <c r="K3076" s="259">
        <f>IFERROR(IFERROR(VLOOKUP(B3076&amp;I3076&amp;Q3076,'New Weekly Paste'!A:M,8,0),VLOOKUP(B3076&amp;I3076&amp;Q3076,'New Weekly Paste'!B:O,10,0)),0)</f>
        <v>79.12</v>
      </c>
      <c r="L3076" s="239">
        <f t="shared" si="25"/>
        <v>1</v>
      </c>
      <c r="M3076" s="36" t="str">
        <f t="shared" si="3"/>
        <v>Regular Season</v>
      </c>
      <c r="N3076" s="239" t="str">
        <f t="shared" si="26"/>
        <v>KnardDawg</v>
      </c>
      <c r="O3076" s="6">
        <f>VLOOKUP(D3076,'Mapped Opponent'!$G$4:$H$22,2,0)</f>
        <v>4</v>
      </c>
      <c r="P3076" s="6"/>
      <c r="Q3076" s="6" t="str">
        <f t="shared" si="4"/>
        <v>Week 4</v>
      </c>
      <c r="R3076" s="6" t="str">
        <f t="shared" si="5"/>
        <v>2026Week 4</v>
      </c>
      <c r="S3076" s="6">
        <f>IFERROR(__xludf.DUMMYFUNCTION("rank(J3076,FILTER(J:J,R:R=R3076))"),1.0)</f>
        <v>1</v>
      </c>
      <c r="T3076" s="6">
        <f t="shared" si="6"/>
        <v>11</v>
      </c>
      <c r="U3076" s="6">
        <f t="shared" si="7"/>
        <v>1</v>
      </c>
      <c r="V3076" s="42">
        <f>averageif(AllData!A:A,B3076,AllData!R:R)/vlookup(B3076,AllData!A:O,15,0)</f>
        <v>90.45916667</v>
      </c>
      <c r="W3076" s="6"/>
    </row>
    <row r="3077" ht="14.25" customHeight="1">
      <c r="A3077" s="6" t="str">
        <f t="shared" si="29"/>
        <v>2026Ewert4</v>
      </c>
      <c r="B3077" s="59">
        <v>2026.0</v>
      </c>
      <c r="C3077" s="13" t="s">
        <v>108</v>
      </c>
      <c r="D3077" s="13" t="s">
        <v>138</v>
      </c>
      <c r="E3077" s="34"/>
      <c r="F3077" s="6"/>
      <c r="H3077" s="6"/>
      <c r="I3077" s="35" t="str">
        <f>IFERROR(IFERROR(IFERROR(VLOOKUP(B3077&amp;C3077&amp;Q3077,'New Weekly Paste'!A:M,10,0),VLOOKUP(B3077&amp;C3077&amp;Q3077,'New Weekly Paste'!B:O,6,0)),""),"")</f>
        <v>Shep</v>
      </c>
      <c r="J3077" s="259">
        <f>IFERROR(IFERROR(VLOOKUP(B3077&amp;C3077&amp;Q3077,'New Weekly Paste'!A:M,8,0),VLOOKUP(B3077&amp;C3077&amp;Q3077,'New Weekly Paste'!B:O,10,0)),0)</f>
        <v>55.24</v>
      </c>
      <c r="K3077" s="259">
        <f>IFERROR(IFERROR(VLOOKUP(B3077&amp;I3077&amp;Q3077,'New Weekly Paste'!A:M,8,0),VLOOKUP(B3077&amp;I3077&amp;Q3077,'New Weekly Paste'!B:O,10,0)),0)</f>
        <v>112.2</v>
      </c>
      <c r="L3077" s="239">
        <f t="shared" si="25"/>
        <v>0</v>
      </c>
      <c r="M3077" s="36" t="str">
        <f t="shared" si="3"/>
        <v>Regular Season</v>
      </c>
      <c r="N3077" s="239" t="str">
        <f t="shared" si="26"/>
        <v>Shep</v>
      </c>
      <c r="O3077" s="6">
        <f>VLOOKUP(D3077,'Mapped Opponent'!$G$4:$H$22,2,0)</f>
        <v>4</v>
      </c>
      <c r="P3077" s="6"/>
      <c r="Q3077" s="6" t="str">
        <f t="shared" si="4"/>
        <v>Week 4</v>
      </c>
      <c r="R3077" s="6" t="str">
        <f t="shared" si="5"/>
        <v>2026Week 4</v>
      </c>
      <c r="S3077" s="6">
        <f>IFERROR(__xludf.DUMMYFUNCTION("rank(J3077,FILTER(J:J,R:R=R3077))"),12.0)</f>
        <v>12</v>
      </c>
      <c r="T3077" s="6">
        <f t="shared" si="6"/>
        <v>0</v>
      </c>
      <c r="U3077" s="6">
        <f t="shared" si="7"/>
        <v>12</v>
      </c>
      <c r="V3077" s="42">
        <f>averageif(AllData!A:A,B3077,AllData!R:R)/vlookup(B3077,AllData!A:O,15,0)</f>
        <v>90.45916667</v>
      </c>
      <c r="W3077" s="6"/>
    </row>
    <row r="3078" ht="14.25" customHeight="1">
      <c r="A3078" s="6" t="str">
        <f t="shared" si="29"/>
        <v>2026Shep4</v>
      </c>
      <c r="B3078" s="59">
        <v>2026.0</v>
      </c>
      <c r="C3078" s="13" t="s">
        <v>89</v>
      </c>
      <c r="D3078" s="13" t="s">
        <v>138</v>
      </c>
      <c r="E3078" s="34"/>
      <c r="F3078" s="6"/>
      <c r="H3078" s="6"/>
      <c r="I3078" s="35" t="str">
        <f>IFERROR(IFERROR(IFERROR(VLOOKUP(B3078&amp;C3078&amp;Q3078,'New Weekly Paste'!A:M,10,0),VLOOKUP(B3078&amp;C3078&amp;Q3078,'New Weekly Paste'!B:O,6,0)),""),"")</f>
        <v>Ewert</v>
      </c>
      <c r="J3078" s="259">
        <f>IFERROR(IFERROR(VLOOKUP(B3078&amp;C3078&amp;Q3078,'New Weekly Paste'!A:M,8,0),VLOOKUP(B3078&amp;C3078&amp;Q3078,'New Weekly Paste'!B:O,10,0)),0)</f>
        <v>112.2</v>
      </c>
      <c r="K3078" s="259">
        <f>IFERROR(IFERROR(VLOOKUP(B3078&amp;I3078&amp;Q3078,'New Weekly Paste'!A:M,8,0),VLOOKUP(B3078&amp;I3078&amp;Q3078,'New Weekly Paste'!B:O,10,0)),0)</f>
        <v>55.24</v>
      </c>
      <c r="L3078" s="239">
        <f t="shared" si="25"/>
        <v>1</v>
      </c>
      <c r="M3078" s="36" t="str">
        <f t="shared" si="3"/>
        <v>Regular Season</v>
      </c>
      <c r="N3078" s="239" t="str">
        <f t="shared" si="26"/>
        <v>Ewert</v>
      </c>
      <c r="O3078" s="6">
        <f>VLOOKUP(D3078,'Mapped Opponent'!$G$4:$H$22,2,0)</f>
        <v>4</v>
      </c>
      <c r="P3078" s="6"/>
      <c r="Q3078" s="6" t="str">
        <f t="shared" si="4"/>
        <v>Week 4</v>
      </c>
      <c r="R3078" s="6" t="str">
        <f t="shared" si="5"/>
        <v>2026Week 4</v>
      </c>
      <c r="S3078" s="6">
        <f>IFERROR(__xludf.DUMMYFUNCTION("rank(J3078,FILTER(J:J,R:R=R3078))"),8.0)</f>
        <v>8</v>
      </c>
      <c r="T3078" s="6">
        <f t="shared" si="6"/>
        <v>4</v>
      </c>
      <c r="U3078" s="6">
        <f t="shared" si="7"/>
        <v>8</v>
      </c>
      <c r="V3078" s="42">
        <f>averageif(AllData!A:A,B3078,AllData!R:R)/vlookup(B3078,AllData!A:O,15,0)</f>
        <v>90.45916667</v>
      </c>
      <c r="W3078" s="6"/>
    </row>
    <row r="3079" ht="14.25" customHeight="1">
      <c r="A3079" s="6" t="str">
        <f t="shared" si="29"/>
        <v>2026Riley4</v>
      </c>
      <c r="B3079" s="59">
        <v>2026.0</v>
      </c>
      <c r="C3079" s="13" t="s">
        <v>67</v>
      </c>
      <c r="D3079" s="13" t="s">
        <v>138</v>
      </c>
      <c r="E3079" s="34"/>
      <c r="F3079" s="6"/>
      <c r="H3079" s="6"/>
      <c r="I3079" s="35" t="str">
        <f>IFERROR(IFERROR(IFERROR(VLOOKUP(B3079&amp;C3079&amp;Q3079,'New Weekly Paste'!A:M,10,0),VLOOKUP(B3079&amp;C3079&amp;Q3079,'New Weekly Paste'!B:O,6,0)),""),"")</f>
        <v>Hudspeath</v>
      </c>
      <c r="J3079" s="259">
        <f>IFERROR(IFERROR(VLOOKUP(B3079&amp;C3079&amp;Q3079,'New Weekly Paste'!A:M,8,0),VLOOKUP(B3079&amp;C3079&amp;Q3079,'New Weekly Paste'!B:O,10,0)),0)</f>
        <v>114.12</v>
      </c>
      <c r="K3079" s="259">
        <f>IFERROR(IFERROR(VLOOKUP(B3079&amp;I3079&amp;Q3079,'New Weekly Paste'!A:M,8,0),VLOOKUP(B3079&amp;I3079&amp;Q3079,'New Weekly Paste'!B:O,10,0)),0)</f>
        <v>122.02</v>
      </c>
      <c r="L3079" s="239">
        <f t="shared" si="25"/>
        <v>0</v>
      </c>
      <c r="M3079" s="36" t="str">
        <f t="shared" si="3"/>
        <v>Regular Season</v>
      </c>
      <c r="N3079" s="239" t="str">
        <f t="shared" si="26"/>
        <v>Hudspeath</v>
      </c>
      <c r="O3079" s="6">
        <f>VLOOKUP(D3079,'Mapped Opponent'!$G$4:$H$22,2,0)</f>
        <v>4</v>
      </c>
      <c r="P3079" s="6"/>
      <c r="Q3079" s="6" t="str">
        <f t="shared" si="4"/>
        <v>Week 4</v>
      </c>
      <c r="R3079" s="6" t="str">
        <f t="shared" si="5"/>
        <v>2026Week 4</v>
      </c>
      <c r="S3079" s="6">
        <f>IFERROR(__xludf.DUMMYFUNCTION("rank(J3079,FILTER(J:J,R:R=R3079))"),6.0)</f>
        <v>6</v>
      </c>
      <c r="T3079" s="6">
        <f t="shared" si="6"/>
        <v>6</v>
      </c>
      <c r="U3079" s="6">
        <f t="shared" si="7"/>
        <v>6</v>
      </c>
      <c r="V3079" s="42">
        <f>averageif(AllData!A:A,B3079,AllData!R:R)/vlookup(B3079,AllData!A:O,15,0)</f>
        <v>90.45916667</v>
      </c>
      <c r="W3079" s="6"/>
    </row>
    <row r="3080" ht="14.25" customHeight="1">
      <c r="A3080" s="6" t="str">
        <f t="shared" si="29"/>
        <v>2026Rooney/Jackson4</v>
      </c>
      <c r="B3080" s="59">
        <v>2026.0</v>
      </c>
      <c r="C3080" s="13" t="s">
        <v>57</v>
      </c>
      <c r="D3080" s="13" t="s">
        <v>138</v>
      </c>
      <c r="E3080" s="34"/>
      <c r="F3080" s="6"/>
      <c r="H3080" s="6"/>
      <c r="I3080" s="35" t="str">
        <f>IFERROR(IFERROR(IFERROR(VLOOKUP(B3080&amp;C3080&amp;Q3080,'New Weekly Paste'!A:M,10,0),VLOOKUP(B3080&amp;C3080&amp;Q3080,'New Weekly Paste'!B:O,6,0)),""),"")</f>
        <v>Cock</v>
      </c>
      <c r="J3080" s="259">
        <f>IFERROR(IFERROR(VLOOKUP(B3080&amp;C3080&amp;Q3080,'New Weekly Paste'!A:M,8,0),VLOOKUP(B3080&amp;C3080&amp;Q3080,'New Weekly Paste'!B:O,10,0)),0)</f>
        <v>133.18</v>
      </c>
      <c r="K3080" s="259">
        <f>IFERROR(IFERROR(VLOOKUP(B3080&amp;I3080&amp;Q3080,'New Weekly Paste'!A:M,8,0),VLOOKUP(B3080&amp;I3080&amp;Q3080,'New Weekly Paste'!B:O,10,0)),0)</f>
        <v>113.02</v>
      </c>
      <c r="L3080" s="239">
        <f t="shared" si="25"/>
        <v>1</v>
      </c>
      <c r="M3080" s="36" t="str">
        <f t="shared" si="3"/>
        <v>Regular Season</v>
      </c>
      <c r="N3080" s="239" t="str">
        <f t="shared" si="26"/>
        <v>Cock</v>
      </c>
      <c r="O3080" s="6">
        <f>VLOOKUP(D3080,'Mapped Opponent'!$G$4:$H$22,2,0)</f>
        <v>4</v>
      </c>
      <c r="P3080" s="6"/>
      <c r="Q3080" s="6" t="str">
        <f t="shared" si="4"/>
        <v>Week 4</v>
      </c>
      <c r="R3080" s="6" t="str">
        <f t="shared" si="5"/>
        <v>2026Week 4</v>
      </c>
      <c r="S3080" s="6">
        <f>IFERROR(__xludf.DUMMYFUNCTION("rank(J3080,FILTER(J:J,R:R=R3080))"),2.0)</f>
        <v>2</v>
      </c>
      <c r="T3080" s="6">
        <f t="shared" si="6"/>
        <v>10</v>
      </c>
      <c r="U3080" s="6">
        <f t="shared" si="7"/>
        <v>2</v>
      </c>
      <c r="V3080" s="42">
        <f>averageif(AllData!A:A,B3080,AllData!R:R)/vlookup(B3080,AllData!A:O,15,0)</f>
        <v>90.45916667</v>
      </c>
      <c r="W3080" s="6"/>
    </row>
    <row r="3081" ht="14.25" customHeight="1">
      <c r="A3081" s="6" t="str">
        <f t="shared" si="29"/>
        <v>2026Buser4</v>
      </c>
      <c r="B3081" s="59">
        <v>2026.0</v>
      </c>
      <c r="C3081" s="13" t="s">
        <v>47</v>
      </c>
      <c r="D3081" s="13" t="s">
        <v>138</v>
      </c>
      <c r="E3081" s="34"/>
      <c r="F3081" s="6"/>
      <c r="H3081" s="6"/>
      <c r="I3081" s="35" t="str">
        <f>IFERROR(IFERROR(IFERROR(VLOOKUP(B3081&amp;C3081&amp;Q3081,'New Weekly Paste'!A:M,10,0),VLOOKUP(B3081&amp;C3081&amp;Q3081,'New Weekly Paste'!B:O,6,0)),""),"")</f>
        <v>Tayski</v>
      </c>
      <c r="J3081" s="259">
        <f>IFERROR(IFERROR(VLOOKUP(B3081&amp;C3081&amp;Q3081,'New Weekly Paste'!A:M,8,0),VLOOKUP(B3081&amp;C3081&amp;Q3081,'New Weekly Paste'!B:O,10,0)),0)</f>
        <v>118.32</v>
      </c>
      <c r="K3081" s="259">
        <f>IFERROR(IFERROR(VLOOKUP(B3081&amp;I3081&amp;Q3081,'New Weekly Paste'!A:M,8,0),VLOOKUP(B3081&amp;I3081&amp;Q3081,'New Weekly Paste'!B:O,10,0)),0)</f>
        <v>65.18</v>
      </c>
      <c r="L3081" s="239">
        <f t="shared" si="25"/>
        <v>1</v>
      </c>
      <c r="M3081" s="36" t="str">
        <f t="shared" si="3"/>
        <v>Regular Season</v>
      </c>
      <c r="N3081" s="239" t="str">
        <f t="shared" si="26"/>
        <v>Tayski</v>
      </c>
      <c r="O3081" s="6">
        <f>VLOOKUP(D3081,'Mapped Opponent'!$G$4:$H$22,2,0)</f>
        <v>4</v>
      </c>
      <c r="P3081" s="6"/>
      <c r="Q3081" s="6" t="str">
        <f t="shared" si="4"/>
        <v>Week 4</v>
      </c>
      <c r="R3081" s="6" t="str">
        <f t="shared" si="5"/>
        <v>2026Week 4</v>
      </c>
      <c r="S3081" s="6">
        <f>IFERROR(__xludf.DUMMYFUNCTION("rank(J3081,FILTER(J:J,R:R=R3081))"),5.0)</f>
        <v>5</v>
      </c>
      <c r="T3081" s="6">
        <f t="shared" si="6"/>
        <v>7</v>
      </c>
      <c r="U3081" s="6">
        <f t="shared" si="7"/>
        <v>5</v>
      </c>
      <c r="V3081" s="42">
        <f>averageif(AllData!A:A,B3081,AllData!R:R)/vlookup(B3081,AllData!A:O,15,0)</f>
        <v>90.45916667</v>
      </c>
      <c r="W3081" s="6"/>
    </row>
    <row r="3082" ht="14.25" customHeight="1">
      <c r="A3082" s="6" t="str">
        <f t="shared" si="29"/>
        <v>2026Pierson4</v>
      </c>
      <c r="B3082" s="59">
        <v>2026.0</v>
      </c>
      <c r="C3082" s="13" t="s">
        <v>92</v>
      </c>
      <c r="D3082" s="13" t="s">
        <v>138</v>
      </c>
      <c r="E3082" s="34"/>
      <c r="F3082" s="6"/>
      <c r="H3082" s="6"/>
      <c r="I3082" s="35" t="str">
        <f>IFERROR(IFERROR(IFERROR(VLOOKUP(B3082&amp;C3082&amp;Q3082,'New Weekly Paste'!A:M,10,0),VLOOKUP(B3082&amp;C3082&amp;Q3082,'New Weekly Paste'!B:O,6,0)),""),"")</f>
        <v>T-How</v>
      </c>
      <c r="J3082" s="259">
        <f>IFERROR(IFERROR(VLOOKUP(B3082&amp;C3082&amp;Q3082,'New Weekly Paste'!A:M,8,0),VLOOKUP(B3082&amp;C3082&amp;Q3082,'New Weekly Paste'!B:O,10,0)),0)</f>
        <v>122.76</v>
      </c>
      <c r="K3082" s="259">
        <f>IFERROR(IFERROR(VLOOKUP(B3082&amp;I3082&amp;Q3082,'New Weekly Paste'!A:M,8,0),VLOOKUP(B3082&amp;I3082&amp;Q3082,'New Weekly Paste'!B:O,10,0)),0)</f>
        <v>97.58</v>
      </c>
      <c r="L3082" s="239">
        <f t="shared" si="25"/>
        <v>1</v>
      </c>
      <c r="M3082" s="36" t="str">
        <f t="shared" si="3"/>
        <v>Regular Season</v>
      </c>
      <c r="N3082" s="239" t="str">
        <f t="shared" si="26"/>
        <v>T-How</v>
      </c>
      <c r="O3082" s="6">
        <f>VLOOKUP(D3082,'Mapped Opponent'!$G$4:$H$22,2,0)</f>
        <v>4</v>
      </c>
      <c r="P3082" s="6"/>
      <c r="Q3082" s="6" t="str">
        <f t="shared" si="4"/>
        <v>Week 4</v>
      </c>
      <c r="R3082" s="6" t="str">
        <f t="shared" si="5"/>
        <v>2026Week 4</v>
      </c>
      <c r="S3082" s="6">
        <f>IFERROR(__xludf.DUMMYFUNCTION("rank(J3082,FILTER(J:J,R:R=R3082))"),3.0)</f>
        <v>3</v>
      </c>
      <c r="T3082" s="6">
        <f t="shared" si="6"/>
        <v>9</v>
      </c>
      <c r="U3082" s="6">
        <f t="shared" si="7"/>
        <v>3</v>
      </c>
      <c r="V3082" s="42">
        <f>averageif(AllData!A:A,B3082,AllData!R:R)/vlookup(B3082,AllData!A:O,15,0)</f>
        <v>90.45916667</v>
      </c>
      <c r="W3082" s="6"/>
    </row>
    <row r="3083" ht="14.25" customHeight="1">
      <c r="A3083" s="6" t="str">
        <f t="shared" si="29"/>
        <v>2026Cock4</v>
      </c>
      <c r="B3083" s="59">
        <v>2026.0</v>
      </c>
      <c r="C3083" s="13" t="s">
        <v>72</v>
      </c>
      <c r="D3083" s="13" t="s">
        <v>138</v>
      </c>
      <c r="E3083" s="34"/>
      <c r="F3083" s="6"/>
      <c r="H3083" s="6"/>
      <c r="I3083" s="35" t="str">
        <f>IFERROR(IFERROR(IFERROR(VLOOKUP(B3083&amp;C3083&amp;Q3083,'New Weekly Paste'!A:M,10,0),VLOOKUP(B3083&amp;C3083&amp;Q3083,'New Weekly Paste'!B:O,6,0)),""),"")</f>
        <v>Rooney/Jackson</v>
      </c>
      <c r="J3083" s="259">
        <f>IFERROR(IFERROR(VLOOKUP(B3083&amp;C3083&amp;Q3083,'New Weekly Paste'!A:M,8,0),VLOOKUP(B3083&amp;C3083&amp;Q3083,'New Weekly Paste'!B:O,10,0)),0)</f>
        <v>113.02</v>
      </c>
      <c r="K3083" s="259">
        <f>IFERROR(IFERROR(VLOOKUP(B3083&amp;I3083&amp;Q3083,'New Weekly Paste'!A:M,8,0),VLOOKUP(B3083&amp;I3083&amp;Q3083,'New Weekly Paste'!B:O,10,0)),0)</f>
        <v>133.18</v>
      </c>
      <c r="L3083" s="239">
        <f t="shared" si="25"/>
        <v>0</v>
      </c>
      <c r="M3083" s="36" t="str">
        <f t="shared" si="3"/>
        <v>Regular Season</v>
      </c>
      <c r="N3083" s="239" t="str">
        <f t="shared" si="26"/>
        <v>Rooney/Jackson</v>
      </c>
      <c r="O3083" s="6">
        <f>VLOOKUP(D3083,'Mapped Opponent'!$G$4:$H$22,2,0)</f>
        <v>4</v>
      </c>
      <c r="P3083" s="6"/>
      <c r="Q3083" s="6" t="str">
        <f t="shared" si="4"/>
        <v>Week 4</v>
      </c>
      <c r="R3083" s="6" t="str">
        <f t="shared" si="5"/>
        <v>2026Week 4</v>
      </c>
      <c r="S3083" s="6">
        <f>IFERROR(__xludf.DUMMYFUNCTION("rank(J3083,FILTER(J:J,R:R=R3083))"),7.0)</f>
        <v>7</v>
      </c>
      <c r="T3083" s="6">
        <f t="shared" si="6"/>
        <v>5</v>
      </c>
      <c r="U3083" s="6">
        <f t="shared" si="7"/>
        <v>7</v>
      </c>
      <c r="V3083" s="42">
        <f>averageif(AllData!A:A,B3083,AllData!R:R)/vlookup(B3083,AllData!A:O,15,0)</f>
        <v>90.45916667</v>
      </c>
      <c r="W3083" s="6"/>
    </row>
    <row r="3084" ht="14.25" customHeight="1">
      <c r="A3084" s="6" t="str">
        <f t="shared" si="29"/>
        <v>2026Tayski4</v>
      </c>
      <c r="B3084" s="59">
        <v>2026.0</v>
      </c>
      <c r="C3084" s="13" t="s">
        <v>52</v>
      </c>
      <c r="D3084" s="13" t="s">
        <v>138</v>
      </c>
      <c r="E3084" s="34"/>
      <c r="F3084" s="6"/>
      <c r="H3084" s="6"/>
      <c r="I3084" s="35" t="str">
        <f>IFERROR(IFERROR(IFERROR(VLOOKUP(B3084&amp;C3084&amp;Q3084,'New Weekly Paste'!A:M,10,0),VLOOKUP(B3084&amp;C3084&amp;Q3084,'New Weekly Paste'!B:O,6,0)),""),"")</f>
        <v>Buser</v>
      </c>
      <c r="J3084" s="259">
        <f>IFERROR(IFERROR(VLOOKUP(B3084&amp;C3084&amp;Q3084,'New Weekly Paste'!A:M,8,0),VLOOKUP(B3084&amp;C3084&amp;Q3084,'New Weekly Paste'!B:O,10,0)),0)</f>
        <v>65.18</v>
      </c>
      <c r="K3084" s="259">
        <f>IFERROR(IFERROR(VLOOKUP(B3084&amp;I3084&amp;Q3084,'New Weekly Paste'!A:M,8,0),VLOOKUP(B3084&amp;I3084&amp;Q3084,'New Weekly Paste'!B:O,10,0)),0)</f>
        <v>118.32</v>
      </c>
      <c r="L3084" s="239">
        <f t="shared" si="25"/>
        <v>0</v>
      </c>
      <c r="M3084" s="36" t="str">
        <f t="shared" si="3"/>
        <v>Regular Season</v>
      </c>
      <c r="N3084" s="239" t="str">
        <f t="shared" si="26"/>
        <v>Buser</v>
      </c>
      <c r="O3084" s="6">
        <f>VLOOKUP(D3084,'Mapped Opponent'!$G$4:$H$22,2,0)</f>
        <v>4</v>
      </c>
      <c r="P3084" s="6"/>
      <c r="Q3084" s="6" t="str">
        <f t="shared" si="4"/>
        <v>Week 4</v>
      </c>
      <c r="R3084" s="6" t="str">
        <f t="shared" si="5"/>
        <v>2026Week 4</v>
      </c>
      <c r="S3084" s="6">
        <f>IFERROR(__xludf.DUMMYFUNCTION("rank(J3084,FILTER(J:J,R:R=R3084))"),11.0)</f>
        <v>11</v>
      </c>
      <c r="T3084" s="6">
        <f t="shared" si="6"/>
        <v>1</v>
      </c>
      <c r="U3084" s="6">
        <f t="shared" si="7"/>
        <v>11</v>
      </c>
      <c r="V3084" s="42">
        <f>averageif(AllData!A:A,B3084,AllData!R:R)/vlookup(B3084,AllData!A:O,15,0)</f>
        <v>90.45916667</v>
      </c>
      <c r="W3084" s="6"/>
    </row>
    <row r="3085" ht="14.25" customHeight="1">
      <c r="A3085" s="6" t="str">
        <f t="shared" si="29"/>
        <v>2026KnardDawg4</v>
      </c>
      <c r="B3085" s="59">
        <v>2026.0</v>
      </c>
      <c r="C3085" s="13" t="s">
        <v>86</v>
      </c>
      <c r="D3085" s="13" t="s">
        <v>138</v>
      </c>
      <c r="E3085" s="34"/>
      <c r="F3085" s="6"/>
      <c r="H3085" s="6"/>
      <c r="I3085" s="35" t="str">
        <f>IFERROR(IFERROR(IFERROR(VLOOKUP(B3085&amp;C3085&amp;Q3085,'New Weekly Paste'!A:M,10,0),VLOOKUP(B3085&amp;C3085&amp;Q3085,'New Weekly Paste'!B:O,6,0)),""),"")</f>
        <v>Salty</v>
      </c>
      <c r="J3085" s="259">
        <f>IFERROR(IFERROR(VLOOKUP(B3085&amp;C3085&amp;Q3085,'New Weekly Paste'!A:M,8,0),VLOOKUP(B3085&amp;C3085&amp;Q3085,'New Weekly Paste'!B:O,10,0)),0)</f>
        <v>79.12</v>
      </c>
      <c r="K3085" s="259">
        <f>IFERROR(IFERROR(VLOOKUP(B3085&amp;I3085&amp;Q3085,'New Weekly Paste'!A:M,8,0),VLOOKUP(B3085&amp;I3085&amp;Q3085,'New Weekly Paste'!B:O,10,0)),0)</f>
        <v>141.58</v>
      </c>
      <c r="L3085" s="239">
        <f t="shared" si="25"/>
        <v>0</v>
      </c>
      <c r="M3085" s="36" t="str">
        <f t="shared" si="3"/>
        <v>Regular Season</v>
      </c>
      <c r="N3085" s="239" t="str">
        <f t="shared" si="26"/>
        <v>Salty</v>
      </c>
      <c r="O3085" s="6">
        <f>VLOOKUP(D3085,'Mapped Opponent'!$G$4:$H$22,2,0)</f>
        <v>4</v>
      </c>
      <c r="P3085" s="6"/>
      <c r="Q3085" s="6" t="str">
        <f t="shared" si="4"/>
        <v>Week 4</v>
      </c>
      <c r="R3085" s="6" t="str">
        <f t="shared" si="5"/>
        <v>2026Week 4</v>
      </c>
      <c r="S3085" s="6">
        <f>IFERROR(__xludf.DUMMYFUNCTION("rank(J3085,FILTER(J:J,R:R=R3085))"),10.0)</f>
        <v>10</v>
      </c>
      <c r="T3085" s="6">
        <f t="shared" si="6"/>
        <v>2</v>
      </c>
      <c r="U3085" s="6">
        <f t="shared" si="7"/>
        <v>10</v>
      </c>
      <c r="V3085" s="42">
        <f>averageif(AllData!A:A,B3085,AllData!R:R)/vlookup(B3085,AllData!A:O,15,0)</f>
        <v>90.45916667</v>
      </c>
      <c r="W3085" s="6"/>
    </row>
    <row r="3086" ht="14.25" customHeight="1">
      <c r="A3086" s="6" t="str">
        <f t="shared" si="29"/>
        <v>2026T-How4</v>
      </c>
      <c r="B3086" s="59">
        <v>2026.0</v>
      </c>
      <c r="C3086" s="13" t="s">
        <v>82</v>
      </c>
      <c r="D3086" s="13" t="s">
        <v>138</v>
      </c>
      <c r="E3086" s="34"/>
      <c r="F3086" s="6"/>
      <c r="H3086" s="6"/>
      <c r="I3086" s="35" t="str">
        <f>IFERROR(IFERROR(IFERROR(VLOOKUP(B3086&amp;C3086&amp;Q3086,'New Weekly Paste'!A:M,10,0),VLOOKUP(B3086&amp;C3086&amp;Q3086,'New Weekly Paste'!B:O,6,0)),""),"")</f>
        <v>Pierson</v>
      </c>
      <c r="J3086" s="259">
        <f>IFERROR(IFERROR(VLOOKUP(B3086&amp;C3086&amp;Q3086,'New Weekly Paste'!A:M,8,0),VLOOKUP(B3086&amp;C3086&amp;Q3086,'New Weekly Paste'!B:O,10,0)),0)</f>
        <v>97.58</v>
      </c>
      <c r="K3086" s="259">
        <f>IFERROR(IFERROR(VLOOKUP(B3086&amp;I3086&amp;Q3086,'New Weekly Paste'!A:M,8,0),VLOOKUP(B3086&amp;I3086&amp;Q3086,'New Weekly Paste'!B:O,10,0)),0)</f>
        <v>122.76</v>
      </c>
      <c r="L3086" s="239">
        <f t="shared" si="25"/>
        <v>0</v>
      </c>
      <c r="M3086" s="36" t="str">
        <f t="shared" si="3"/>
        <v>Regular Season</v>
      </c>
      <c r="N3086" s="239" t="str">
        <f t="shared" si="26"/>
        <v>Pierson</v>
      </c>
      <c r="O3086" s="6">
        <f>VLOOKUP(D3086,'Mapped Opponent'!$G$4:$H$22,2,0)</f>
        <v>4</v>
      </c>
      <c r="P3086" s="6"/>
      <c r="Q3086" s="6" t="str">
        <f t="shared" si="4"/>
        <v>Week 4</v>
      </c>
      <c r="R3086" s="6" t="str">
        <f t="shared" si="5"/>
        <v>2026Week 4</v>
      </c>
      <c r="S3086" s="6">
        <f>IFERROR(__xludf.DUMMYFUNCTION("rank(J3086,FILTER(J:J,R:R=R3086))"),9.0)</f>
        <v>9</v>
      </c>
      <c r="T3086" s="6">
        <f t="shared" si="6"/>
        <v>3</v>
      </c>
      <c r="U3086" s="6">
        <f t="shared" si="7"/>
        <v>9</v>
      </c>
      <c r="V3086" s="42">
        <f>averageif(AllData!A:A,B3086,AllData!R:R)/vlookup(B3086,AllData!A:O,15,0)</f>
        <v>90.45916667</v>
      </c>
      <c r="W3086" s="6"/>
    </row>
    <row r="3087" ht="14.25" customHeight="1">
      <c r="A3087" s="6" t="str">
        <f t="shared" si="29"/>
        <v>2026Hudspeath5</v>
      </c>
      <c r="B3087" s="59">
        <v>2026.0</v>
      </c>
      <c r="C3087" s="13" t="s">
        <v>39</v>
      </c>
      <c r="D3087" s="13" t="s">
        <v>141</v>
      </c>
      <c r="E3087" s="34"/>
      <c r="F3087" s="6"/>
      <c r="H3087" s="6"/>
      <c r="I3087" s="35" t="str">
        <f>IFERROR(IFERROR(IFERROR(VLOOKUP(B3087&amp;C3087&amp;Q3087,'New Weekly Paste'!A:M,10,0),VLOOKUP(B3087&amp;C3087&amp;Q3087,'New Weekly Paste'!B:O,6,0)),""),"")</f>
        <v>Shep</v>
      </c>
      <c r="J3087" s="259">
        <f>IFERROR(IFERROR(VLOOKUP(B3087&amp;C3087&amp;Q3087,'New Weekly Paste'!A:M,8,0),VLOOKUP(B3087&amp;C3087&amp;Q3087,'New Weekly Paste'!B:O,10,0)),0)</f>
        <v>120</v>
      </c>
      <c r="K3087" s="259">
        <f>IFERROR(IFERROR(VLOOKUP(B3087&amp;I3087&amp;Q3087,'New Weekly Paste'!A:M,8,0),VLOOKUP(B3087&amp;I3087&amp;Q3087,'New Weekly Paste'!B:O,10,0)),0)</f>
        <v>118.32</v>
      </c>
      <c r="L3087" s="239">
        <f t="shared" si="25"/>
        <v>1</v>
      </c>
      <c r="M3087" s="36" t="str">
        <f t="shared" si="3"/>
        <v>Regular Season</v>
      </c>
      <c r="N3087" s="239" t="str">
        <f t="shared" si="26"/>
        <v>Shep</v>
      </c>
      <c r="O3087" s="6">
        <f>VLOOKUP(D3087,'Mapped Opponent'!$G$4:$H$22,2,0)</f>
        <v>5</v>
      </c>
      <c r="P3087" s="6"/>
      <c r="Q3087" s="6" t="str">
        <f t="shared" si="4"/>
        <v>Week 5</v>
      </c>
      <c r="R3087" s="6" t="str">
        <f t="shared" si="5"/>
        <v>2026Week 5</v>
      </c>
      <c r="S3087" s="6">
        <f>IFERROR(__xludf.DUMMYFUNCTION("rank(J3087,FILTER(J:J,R:R=R3087))"),5.0)</f>
        <v>5</v>
      </c>
      <c r="T3087" s="6">
        <f t="shared" si="6"/>
        <v>7</v>
      </c>
      <c r="U3087" s="6">
        <f t="shared" si="7"/>
        <v>5</v>
      </c>
      <c r="V3087" s="42">
        <f>averageif(AllData!A:A,B3087,AllData!R:R)/vlookup(B3087,AllData!A:O,15,0)</f>
        <v>90.45916667</v>
      </c>
      <c r="W3087" s="6"/>
    </row>
    <row r="3088" ht="14.25" customHeight="1">
      <c r="A3088" s="6" t="str">
        <f t="shared" si="29"/>
        <v>2026Salty5</v>
      </c>
      <c r="B3088" s="59">
        <v>2026.0</v>
      </c>
      <c r="C3088" s="13" t="s">
        <v>76</v>
      </c>
      <c r="D3088" s="13" t="s">
        <v>141</v>
      </c>
      <c r="E3088" s="34"/>
      <c r="F3088" s="6"/>
      <c r="H3088" s="6"/>
      <c r="I3088" s="35" t="str">
        <f>IFERROR(IFERROR(IFERROR(VLOOKUP(B3088&amp;C3088&amp;Q3088,'New Weekly Paste'!A:M,10,0),VLOOKUP(B3088&amp;C3088&amp;Q3088,'New Weekly Paste'!B:O,6,0)),""),"")</f>
        <v>Buser</v>
      </c>
      <c r="J3088" s="259">
        <f>IFERROR(IFERROR(VLOOKUP(B3088&amp;C3088&amp;Q3088,'New Weekly Paste'!A:M,8,0),VLOOKUP(B3088&amp;C3088&amp;Q3088,'New Weekly Paste'!B:O,10,0)),0)</f>
        <v>117.86</v>
      </c>
      <c r="K3088" s="259">
        <f>IFERROR(IFERROR(VLOOKUP(B3088&amp;I3088&amp;Q3088,'New Weekly Paste'!A:M,8,0),VLOOKUP(B3088&amp;I3088&amp;Q3088,'New Weekly Paste'!B:O,10,0)),0)</f>
        <v>97.5</v>
      </c>
      <c r="L3088" s="239">
        <f t="shared" si="25"/>
        <v>1</v>
      </c>
      <c r="M3088" s="36" t="str">
        <f t="shared" si="3"/>
        <v>Regular Season</v>
      </c>
      <c r="N3088" s="239" t="str">
        <f t="shared" si="26"/>
        <v>Buser</v>
      </c>
      <c r="O3088" s="6">
        <f>VLOOKUP(D3088,'Mapped Opponent'!$G$4:$H$22,2,0)</f>
        <v>5</v>
      </c>
      <c r="P3088" s="6"/>
      <c r="Q3088" s="6" t="str">
        <f t="shared" si="4"/>
        <v>Week 5</v>
      </c>
      <c r="R3088" s="6" t="str">
        <f t="shared" si="5"/>
        <v>2026Week 5</v>
      </c>
      <c r="S3088" s="6">
        <f>IFERROR(__xludf.DUMMYFUNCTION("rank(J3088,FILTER(J:J,R:R=R3088))"),7.0)</f>
        <v>7</v>
      </c>
      <c r="T3088" s="6">
        <f t="shared" si="6"/>
        <v>5</v>
      </c>
      <c r="U3088" s="6">
        <f t="shared" si="7"/>
        <v>7</v>
      </c>
      <c r="V3088" s="42">
        <f>averageif(AllData!A:A,B3088,AllData!R:R)/vlookup(B3088,AllData!A:O,15,0)</f>
        <v>90.45916667</v>
      </c>
      <c r="W3088" s="6"/>
    </row>
    <row r="3089" ht="14.25" customHeight="1">
      <c r="A3089" s="6" t="str">
        <f t="shared" si="29"/>
        <v>2026Ewert5</v>
      </c>
      <c r="B3089" s="59">
        <v>2026.0</v>
      </c>
      <c r="C3089" s="13" t="s">
        <v>108</v>
      </c>
      <c r="D3089" s="13" t="s">
        <v>141</v>
      </c>
      <c r="E3089" s="34"/>
      <c r="F3089" s="6"/>
      <c r="H3089" s="6"/>
      <c r="I3089" s="35" t="str">
        <f>IFERROR(IFERROR(IFERROR(VLOOKUP(B3089&amp;C3089&amp;Q3089,'New Weekly Paste'!A:M,10,0),VLOOKUP(B3089&amp;C3089&amp;Q3089,'New Weekly Paste'!B:O,6,0)),""),"")</f>
        <v>Pierson</v>
      </c>
      <c r="J3089" s="259">
        <f>IFERROR(IFERROR(VLOOKUP(B3089&amp;C3089&amp;Q3089,'New Weekly Paste'!A:M,8,0),VLOOKUP(B3089&amp;C3089&amp;Q3089,'New Weekly Paste'!B:O,10,0)),0)</f>
        <v>103.54</v>
      </c>
      <c r="K3089" s="259">
        <f>IFERROR(IFERROR(VLOOKUP(B3089&amp;I3089&amp;Q3089,'New Weekly Paste'!A:M,8,0),VLOOKUP(B3089&amp;I3089&amp;Q3089,'New Weekly Paste'!B:O,10,0)),0)</f>
        <v>134.66</v>
      </c>
      <c r="L3089" s="239">
        <f t="shared" si="25"/>
        <v>0</v>
      </c>
      <c r="M3089" s="36" t="str">
        <f t="shared" si="3"/>
        <v>Regular Season</v>
      </c>
      <c r="N3089" s="239" t="str">
        <f t="shared" si="26"/>
        <v>Pierson</v>
      </c>
      <c r="O3089" s="6">
        <f>VLOOKUP(D3089,'Mapped Opponent'!$G$4:$H$22,2,0)</f>
        <v>5</v>
      </c>
      <c r="P3089" s="6"/>
      <c r="Q3089" s="6" t="str">
        <f t="shared" si="4"/>
        <v>Week 5</v>
      </c>
      <c r="R3089" s="6" t="str">
        <f t="shared" si="5"/>
        <v>2026Week 5</v>
      </c>
      <c r="S3089" s="6">
        <f>IFERROR(__xludf.DUMMYFUNCTION("rank(J3089,FILTER(J:J,R:R=R3089))"),9.0)</f>
        <v>9</v>
      </c>
      <c r="T3089" s="6">
        <f t="shared" si="6"/>
        <v>3</v>
      </c>
      <c r="U3089" s="6">
        <f t="shared" si="7"/>
        <v>9</v>
      </c>
      <c r="V3089" s="42">
        <f>averageif(AllData!A:A,B3089,AllData!R:R)/vlookup(B3089,AllData!A:O,15,0)</f>
        <v>90.45916667</v>
      </c>
      <c r="W3089" s="6"/>
    </row>
    <row r="3090" ht="14.25" customHeight="1">
      <c r="A3090" s="6" t="str">
        <f t="shared" si="29"/>
        <v>2026Shep5</v>
      </c>
      <c r="B3090" s="59">
        <v>2026.0</v>
      </c>
      <c r="C3090" s="13" t="s">
        <v>89</v>
      </c>
      <c r="D3090" s="13" t="s">
        <v>141</v>
      </c>
      <c r="E3090" s="34"/>
      <c r="F3090" s="6"/>
      <c r="H3090" s="6"/>
      <c r="I3090" s="35" t="str">
        <f>IFERROR(IFERROR(IFERROR(VLOOKUP(B3090&amp;C3090&amp;Q3090,'New Weekly Paste'!A:M,10,0),VLOOKUP(B3090&amp;C3090&amp;Q3090,'New Weekly Paste'!B:O,6,0)),""),"")</f>
        <v>Hudspeath</v>
      </c>
      <c r="J3090" s="259">
        <f>IFERROR(IFERROR(VLOOKUP(B3090&amp;C3090&amp;Q3090,'New Weekly Paste'!A:M,8,0),VLOOKUP(B3090&amp;C3090&amp;Q3090,'New Weekly Paste'!B:O,10,0)),0)</f>
        <v>118.32</v>
      </c>
      <c r="K3090" s="259">
        <f>IFERROR(IFERROR(VLOOKUP(B3090&amp;I3090&amp;Q3090,'New Weekly Paste'!A:M,8,0),VLOOKUP(B3090&amp;I3090&amp;Q3090,'New Weekly Paste'!B:O,10,0)),0)</f>
        <v>120</v>
      </c>
      <c r="L3090" s="239">
        <f t="shared" si="25"/>
        <v>0</v>
      </c>
      <c r="M3090" s="36" t="str">
        <f t="shared" si="3"/>
        <v>Regular Season</v>
      </c>
      <c r="N3090" s="239" t="str">
        <f t="shared" si="26"/>
        <v>Hudspeath</v>
      </c>
      <c r="O3090" s="6">
        <f>VLOOKUP(D3090,'Mapped Opponent'!$G$4:$H$22,2,0)</f>
        <v>5</v>
      </c>
      <c r="P3090" s="6"/>
      <c r="Q3090" s="6" t="str">
        <f t="shared" si="4"/>
        <v>Week 5</v>
      </c>
      <c r="R3090" s="6" t="str">
        <f t="shared" si="5"/>
        <v>2026Week 5</v>
      </c>
      <c r="S3090" s="6">
        <f>IFERROR(__xludf.DUMMYFUNCTION("rank(J3090,FILTER(J:J,R:R=R3090))"),6.0)</f>
        <v>6</v>
      </c>
      <c r="T3090" s="6">
        <f t="shared" si="6"/>
        <v>6</v>
      </c>
      <c r="U3090" s="6">
        <f t="shared" si="7"/>
        <v>6</v>
      </c>
      <c r="V3090" s="42">
        <f>averageif(AllData!A:A,B3090,AllData!R:R)/vlookup(B3090,AllData!A:O,15,0)</f>
        <v>90.45916667</v>
      </c>
      <c r="W3090" s="6"/>
    </row>
    <row r="3091" ht="14.25" customHeight="1">
      <c r="A3091" s="6" t="str">
        <f t="shared" si="29"/>
        <v>2026Riley5</v>
      </c>
      <c r="B3091" s="59">
        <v>2026.0</v>
      </c>
      <c r="C3091" s="13" t="s">
        <v>67</v>
      </c>
      <c r="D3091" s="13" t="s">
        <v>141</v>
      </c>
      <c r="E3091" s="34"/>
      <c r="F3091" s="6"/>
      <c r="H3091" s="6"/>
      <c r="I3091" s="35" t="str">
        <f>IFERROR(IFERROR(IFERROR(VLOOKUP(B3091&amp;C3091&amp;Q3091,'New Weekly Paste'!A:M,10,0),VLOOKUP(B3091&amp;C3091&amp;Q3091,'New Weekly Paste'!B:O,6,0)),""),"")</f>
        <v>Tayski</v>
      </c>
      <c r="J3091" s="259">
        <f>IFERROR(IFERROR(VLOOKUP(B3091&amp;C3091&amp;Q3091,'New Weekly Paste'!A:M,8,0),VLOOKUP(B3091&amp;C3091&amp;Q3091,'New Weekly Paste'!B:O,10,0)),0)</f>
        <v>131.52</v>
      </c>
      <c r="K3091" s="259">
        <f>IFERROR(IFERROR(VLOOKUP(B3091&amp;I3091&amp;Q3091,'New Weekly Paste'!A:M,8,0),VLOOKUP(B3091&amp;I3091&amp;Q3091,'New Weekly Paste'!B:O,10,0)),0)</f>
        <v>123.76</v>
      </c>
      <c r="L3091" s="239">
        <f t="shared" si="25"/>
        <v>1</v>
      </c>
      <c r="M3091" s="36" t="str">
        <f t="shared" si="3"/>
        <v>Regular Season</v>
      </c>
      <c r="N3091" s="239" t="str">
        <f t="shared" si="26"/>
        <v>Tayski</v>
      </c>
      <c r="O3091" s="6">
        <f>VLOOKUP(D3091,'Mapped Opponent'!$G$4:$H$22,2,0)</f>
        <v>5</v>
      </c>
      <c r="P3091" s="6"/>
      <c r="Q3091" s="6" t="str">
        <f t="shared" si="4"/>
        <v>Week 5</v>
      </c>
      <c r="R3091" s="6" t="str">
        <f t="shared" si="5"/>
        <v>2026Week 5</v>
      </c>
      <c r="S3091" s="6">
        <f>IFERROR(__xludf.DUMMYFUNCTION("rank(J3091,FILTER(J:J,R:R=R3091))"),3.0)</f>
        <v>3</v>
      </c>
      <c r="T3091" s="6">
        <f t="shared" si="6"/>
        <v>9</v>
      </c>
      <c r="U3091" s="6">
        <f t="shared" si="7"/>
        <v>3</v>
      </c>
      <c r="V3091" s="42">
        <f>averageif(AllData!A:A,B3091,AllData!R:R)/vlookup(B3091,AllData!A:O,15,0)</f>
        <v>90.45916667</v>
      </c>
      <c r="W3091" s="6"/>
    </row>
    <row r="3092" ht="14.25" customHeight="1">
      <c r="A3092" s="6" t="str">
        <f t="shared" si="29"/>
        <v>2026Rooney/Jackson5</v>
      </c>
      <c r="B3092" s="59">
        <v>2026.0</v>
      </c>
      <c r="C3092" s="13" t="s">
        <v>57</v>
      </c>
      <c r="D3092" s="13" t="s">
        <v>141</v>
      </c>
      <c r="E3092" s="34"/>
      <c r="F3092" s="6"/>
      <c r="H3092" s="6"/>
      <c r="I3092" s="35" t="str">
        <f>IFERROR(IFERROR(IFERROR(VLOOKUP(B3092&amp;C3092&amp;Q3092,'New Weekly Paste'!A:M,10,0),VLOOKUP(B3092&amp;C3092&amp;Q3092,'New Weekly Paste'!B:O,6,0)),""),"")</f>
        <v>T-How</v>
      </c>
      <c r="J3092" s="259">
        <f>IFERROR(IFERROR(VLOOKUP(B3092&amp;C3092&amp;Q3092,'New Weekly Paste'!A:M,8,0),VLOOKUP(B3092&amp;C3092&amp;Q3092,'New Weekly Paste'!B:O,10,0)),0)</f>
        <v>167.08</v>
      </c>
      <c r="K3092" s="259">
        <f>IFERROR(IFERROR(VLOOKUP(B3092&amp;I3092&amp;Q3092,'New Weekly Paste'!A:M,8,0),VLOOKUP(B3092&amp;I3092&amp;Q3092,'New Weekly Paste'!B:O,10,0)),0)</f>
        <v>114.44</v>
      </c>
      <c r="L3092" s="239">
        <f t="shared" si="25"/>
        <v>1</v>
      </c>
      <c r="M3092" s="36" t="str">
        <f t="shared" si="3"/>
        <v>Regular Season</v>
      </c>
      <c r="N3092" s="239" t="str">
        <f t="shared" si="26"/>
        <v>T-How</v>
      </c>
      <c r="O3092" s="6">
        <f>VLOOKUP(D3092,'Mapped Opponent'!$G$4:$H$22,2,0)</f>
        <v>5</v>
      </c>
      <c r="P3092" s="6"/>
      <c r="Q3092" s="6" t="str">
        <f t="shared" si="4"/>
        <v>Week 5</v>
      </c>
      <c r="R3092" s="6" t="str">
        <f t="shared" si="5"/>
        <v>2026Week 5</v>
      </c>
      <c r="S3092" s="6">
        <f>IFERROR(__xludf.DUMMYFUNCTION("rank(J3092,FILTER(J:J,R:R=R3092))"),1.0)</f>
        <v>1</v>
      </c>
      <c r="T3092" s="6">
        <f t="shared" si="6"/>
        <v>11</v>
      </c>
      <c r="U3092" s="6">
        <f t="shared" si="7"/>
        <v>1</v>
      </c>
      <c r="V3092" s="42">
        <f>averageif(AllData!A:A,B3092,AllData!R:R)/vlookup(B3092,AllData!A:O,15,0)</f>
        <v>90.45916667</v>
      </c>
      <c r="W3092" s="6"/>
    </row>
    <row r="3093" ht="14.25" customHeight="1">
      <c r="A3093" s="6" t="str">
        <f t="shared" si="29"/>
        <v>2026Buser5</v>
      </c>
      <c r="B3093" s="59">
        <v>2026.0</v>
      </c>
      <c r="C3093" s="13" t="s">
        <v>47</v>
      </c>
      <c r="D3093" s="13" t="s">
        <v>141</v>
      </c>
      <c r="E3093" s="34"/>
      <c r="F3093" s="6"/>
      <c r="H3093" s="6"/>
      <c r="I3093" s="35" t="str">
        <f>IFERROR(IFERROR(IFERROR(VLOOKUP(B3093&amp;C3093&amp;Q3093,'New Weekly Paste'!A:M,10,0),VLOOKUP(B3093&amp;C3093&amp;Q3093,'New Weekly Paste'!B:O,6,0)),""),"")</f>
        <v>Salty</v>
      </c>
      <c r="J3093" s="259">
        <f>IFERROR(IFERROR(VLOOKUP(B3093&amp;C3093&amp;Q3093,'New Weekly Paste'!A:M,8,0),VLOOKUP(B3093&amp;C3093&amp;Q3093,'New Weekly Paste'!B:O,10,0)),0)</f>
        <v>97.5</v>
      </c>
      <c r="K3093" s="259">
        <f>IFERROR(IFERROR(VLOOKUP(B3093&amp;I3093&amp;Q3093,'New Weekly Paste'!A:M,8,0),VLOOKUP(B3093&amp;I3093&amp;Q3093,'New Weekly Paste'!B:O,10,0)),0)</f>
        <v>117.86</v>
      </c>
      <c r="L3093" s="239">
        <f t="shared" si="25"/>
        <v>0</v>
      </c>
      <c r="M3093" s="36" t="str">
        <f t="shared" si="3"/>
        <v>Regular Season</v>
      </c>
      <c r="N3093" s="239" t="str">
        <f t="shared" si="26"/>
        <v>Salty</v>
      </c>
      <c r="O3093" s="6">
        <f>VLOOKUP(D3093,'Mapped Opponent'!$G$4:$H$22,2,0)</f>
        <v>5</v>
      </c>
      <c r="P3093" s="6"/>
      <c r="Q3093" s="6" t="str">
        <f t="shared" si="4"/>
        <v>Week 5</v>
      </c>
      <c r="R3093" s="6" t="str">
        <f t="shared" si="5"/>
        <v>2026Week 5</v>
      </c>
      <c r="S3093" s="6">
        <f>IFERROR(__xludf.DUMMYFUNCTION("rank(J3093,FILTER(J:J,R:R=R3093))"),10.0)</f>
        <v>10</v>
      </c>
      <c r="T3093" s="6">
        <f t="shared" si="6"/>
        <v>2</v>
      </c>
      <c r="U3093" s="6">
        <f t="shared" si="7"/>
        <v>10</v>
      </c>
      <c r="V3093" s="42">
        <f>averageif(AllData!A:A,B3093,AllData!R:R)/vlookup(B3093,AllData!A:O,15,0)</f>
        <v>90.45916667</v>
      </c>
      <c r="W3093" s="6"/>
    </row>
    <row r="3094" ht="14.25" customHeight="1">
      <c r="A3094" s="6" t="str">
        <f t="shared" si="29"/>
        <v>2026Pierson5</v>
      </c>
      <c r="B3094" s="59">
        <v>2026.0</v>
      </c>
      <c r="C3094" s="13" t="s">
        <v>92</v>
      </c>
      <c r="D3094" s="13" t="s">
        <v>141</v>
      </c>
      <c r="E3094" s="34"/>
      <c r="F3094" s="6"/>
      <c r="H3094" s="6"/>
      <c r="I3094" s="35" t="str">
        <f>IFERROR(IFERROR(IFERROR(VLOOKUP(B3094&amp;C3094&amp;Q3094,'New Weekly Paste'!A:M,10,0),VLOOKUP(B3094&amp;C3094&amp;Q3094,'New Weekly Paste'!B:O,6,0)),""),"")</f>
        <v>Ewert</v>
      </c>
      <c r="J3094" s="259">
        <f>IFERROR(IFERROR(VLOOKUP(B3094&amp;C3094&amp;Q3094,'New Weekly Paste'!A:M,8,0),VLOOKUP(B3094&amp;C3094&amp;Q3094,'New Weekly Paste'!B:O,10,0)),0)</f>
        <v>134.66</v>
      </c>
      <c r="K3094" s="259">
        <f>IFERROR(IFERROR(VLOOKUP(B3094&amp;I3094&amp;Q3094,'New Weekly Paste'!A:M,8,0),VLOOKUP(B3094&amp;I3094&amp;Q3094,'New Weekly Paste'!B:O,10,0)),0)</f>
        <v>103.54</v>
      </c>
      <c r="L3094" s="239">
        <f t="shared" si="25"/>
        <v>1</v>
      </c>
      <c r="M3094" s="36" t="str">
        <f t="shared" si="3"/>
        <v>Regular Season</v>
      </c>
      <c r="N3094" s="239" t="str">
        <f t="shared" si="26"/>
        <v>Ewert</v>
      </c>
      <c r="O3094" s="6">
        <f>VLOOKUP(D3094,'Mapped Opponent'!$G$4:$H$22,2,0)</f>
        <v>5</v>
      </c>
      <c r="P3094" s="6"/>
      <c r="Q3094" s="6" t="str">
        <f t="shared" si="4"/>
        <v>Week 5</v>
      </c>
      <c r="R3094" s="6" t="str">
        <f t="shared" si="5"/>
        <v>2026Week 5</v>
      </c>
      <c r="S3094" s="6">
        <f>IFERROR(__xludf.DUMMYFUNCTION("rank(J3094,FILTER(J:J,R:R=R3094))"),2.0)</f>
        <v>2</v>
      </c>
      <c r="T3094" s="6">
        <f t="shared" si="6"/>
        <v>10</v>
      </c>
      <c r="U3094" s="6">
        <f t="shared" si="7"/>
        <v>2</v>
      </c>
      <c r="V3094" s="42">
        <f>averageif(AllData!A:A,B3094,AllData!R:R)/vlookup(B3094,AllData!A:O,15,0)</f>
        <v>90.45916667</v>
      </c>
      <c r="W3094" s="6"/>
    </row>
    <row r="3095" ht="14.25" customHeight="1">
      <c r="A3095" s="6" t="str">
        <f t="shared" si="29"/>
        <v>2026Cock5</v>
      </c>
      <c r="B3095" s="59">
        <v>2026.0</v>
      </c>
      <c r="C3095" s="13" t="s">
        <v>72</v>
      </c>
      <c r="D3095" s="13" t="s">
        <v>141</v>
      </c>
      <c r="E3095" s="34"/>
      <c r="F3095" s="6"/>
      <c r="H3095" s="6"/>
      <c r="I3095" s="35" t="str">
        <f>IFERROR(IFERROR(IFERROR(VLOOKUP(B3095&amp;C3095&amp;Q3095,'New Weekly Paste'!A:M,10,0),VLOOKUP(B3095&amp;C3095&amp;Q3095,'New Weekly Paste'!B:O,6,0)),""),"")</f>
        <v>KnardDawg</v>
      </c>
      <c r="J3095" s="259">
        <f>IFERROR(IFERROR(VLOOKUP(B3095&amp;C3095&amp;Q3095,'New Weekly Paste'!A:M,8,0),VLOOKUP(B3095&amp;C3095&amp;Q3095,'New Weekly Paste'!B:O,10,0)),0)</f>
        <v>91.18</v>
      </c>
      <c r="K3095" s="259">
        <f>IFERROR(IFERROR(VLOOKUP(B3095&amp;I3095&amp;Q3095,'New Weekly Paste'!A:M,8,0),VLOOKUP(B3095&amp;I3095&amp;Q3095,'New Weekly Paste'!B:O,10,0)),0)</f>
        <v>74.26</v>
      </c>
      <c r="L3095" s="239">
        <f t="shared" si="25"/>
        <v>1</v>
      </c>
      <c r="M3095" s="36" t="str">
        <f t="shared" si="3"/>
        <v>Regular Season</v>
      </c>
      <c r="N3095" s="239" t="str">
        <f t="shared" si="26"/>
        <v>KnardDawg</v>
      </c>
      <c r="O3095" s="6">
        <f>VLOOKUP(D3095,'Mapped Opponent'!$G$4:$H$22,2,0)</f>
        <v>5</v>
      </c>
      <c r="P3095" s="6"/>
      <c r="Q3095" s="6" t="str">
        <f t="shared" si="4"/>
        <v>Week 5</v>
      </c>
      <c r="R3095" s="6" t="str">
        <f t="shared" si="5"/>
        <v>2026Week 5</v>
      </c>
      <c r="S3095" s="6">
        <f>IFERROR(__xludf.DUMMYFUNCTION("rank(J3095,FILTER(J:J,R:R=R3095))"),11.0)</f>
        <v>11</v>
      </c>
      <c r="T3095" s="6">
        <f t="shared" si="6"/>
        <v>1</v>
      </c>
      <c r="U3095" s="6">
        <f t="shared" si="7"/>
        <v>11</v>
      </c>
      <c r="V3095" s="42">
        <f>averageif(AllData!A:A,B3095,AllData!R:R)/vlookup(B3095,AllData!A:O,15,0)</f>
        <v>90.45916667</v>
      </c>
      <c r="W3095" s="6"/>
    </row>
    <row r="3096" ht="14.25" customHeight="1">
      <c r="A3096" s="6" t="str">
        <f t="shared" si="29"/>
        <v>2026Tayski5</v>
      </c>
      <c r="B3096" s="59">
        <v>2026.0</v>
      </c>
      <c r="C3096" s="13" t="s">
        <v>52</v>
      </c>
      <c r="D3096" s="13" t="s">
        <v>141</v>
      </c>
      <c r="E3096" s="34"/>
      <c r="F3096" s="6"/>
      <c r="H3096" s="6"/>
      <c r="I3096" s="35" t="str">
        <f>IFERROR(IFERROR(IFERROR(VLOOKUP(B3096&amp;C3096&amp;Q3096,'New Weekly Paste'!A:M,10,0),VLOOKUP(B3096&amp;C3096&amp;Q3096,'New Weekly Paste'!B:O,6,0)),""),"")</f>
        <v>Riley</v>
      </c>
      <c r="J3096" s="259">
        <f>IFERROR(IFERROR(VLOOKUP(B3096&amp;C3096&amp;Q3096,'New Weekly Paste'!A:M,8,0),VLOOKUP(B3096&amp;C3096&amp;Q3096,'New Weekly Paste'!B:O,10,0)),0)</f>
        <v>123.76</v>
      </c>
      <c r="K3096" s="259">
        <f>IFERROR(IFERROR(VLOOKUP(B3096&amp;I3096&amp;Q3096,'New Weekly Paste'!A:M,8,0),VLOOKUP(B3096&amp;I3096&amp;Q3096,'New Weekly Paste'!B:O,10,0)),0)</f>
        <v>131.52</v>
      </c>
      <c r="L3096" s="239">
        <f t="shared" si="25"/>
        <v>0</v>
      </c>
      <c r="M3096" s="36" t="str">
        <f t="shared" si="3"/>
        <v>Regular Season</v>
      </c>
      <c r="N3096" s="239" t="str">
        <f t="shared" si="26"/>
        <v>Riley</v>
      </c>
      <c r="O3096" s="6">
        <f>VLOOKUP(D3096,'Mapped Opponent'!$G$4:$H$22,2,0)</f>
        <v>5</v>
      </c>
      <c r="P3096" s="6"/>
      <c r="Q3096" s="6" t="str">
        <f t="shared" si="4"/>
        <v>Week 5</v>
      </c>
      <c r="R3096" s="6" t="str">
        <f t="shared" si="5"/>
        <v>2026Week 5</v>
      </c>
      <c r="S3096" s="6">
        <f>IFERROR(__xludf.DUMMYFUNCTION("rank(J3096,FILTER(J:J,R:R=R3096))"),4.0)</f>
        <v>4</v>
      </c>
      <c r="T3096" s="6">
        <f t="shared" si="6"/>
        <v>8</v>
      </c>
      <c r="U3096" s="6">
        <f t="shared" si="7"/>
        <v>4</v>
      </c>
      <c r="V3096" s="42">
        <f>averageif(AllData!A:A,B3096,AllData!R:R)/vlookup(B3096,AllData!A:O,15,0)</f>
        <v>90.45916667</v>
      </c>
      <c r="W3096" s="6"/>
    </row>
    <row r="3097" ht="14.25" customHeight="1">
      <c r="A3097" s="6" t="str">
        <f t="shared" si="29"/>
        <v>2026KnardDawg5</v>
      </c>
      <c r="B3097" s="59">
        <v>2026.0</v>
      </c>
      <c r="C3097" s="13" t="s">
        <v>86</v>
      </c>
      <c r="D3097" s="13" t="s">
        <v>141</v>
      </c>
      <c r="E3097" s="34"/>
      <c r="F3097" s="6"/>
      <c r="H3097" s="6"/>
      <c r="I3097" s="35" t="str">
        <f>IFERROR(IFERROR(IFERROR(VLOOKUP(B3097&amp;C3097&amp;Q3097,'New Weekly Paste'!A:M,10,0),VLOOKUP(B3097&amp;C3097&amp;Q3097,'New Weekly Paste'!B:O,6,0)),""),"")</f>
        <v>Cock</v>
      </c>
      <c r="J3097" s="259">
        <f>IFERROR(IFERROR(VLOOKUP(B3097&amp;C3097&amp;Q3097,'New Weekly Paste'!A:M,8,0),VLOOKUP(B3097&amp;C3097&amp;Q3097,'New Weekly Paste'!B:O,10,0)),0)</f>
        <v>74.26</v>
      </c>
      <c r="K3097" s="259">
        <f>IFERROR(IFERROR(VLOOKUP(B3097&amp;I3097&amp;Q3097,'New Weekly Paste'!A:M,8,0),VLOOKUP(B3097&amp;I3097&amp;Q3097,'New Weekly Paste'!B:O,10,0)),0)</f>
        <v>91.18</v>
      </c>
      <c r="L3097" s="239">
        <f t="shared" si="25"/>
        <v>0</v>
      </c>
      <c r="M3097" s="36" t="str">
        <f t="shared" si="3"/>
        <v>Regular Season</v>
      </c>
      <c r="N3097" s="239" t="str">
        <f t="shared" si="26"/>
        <v>Cock</v>
      </c>
      <c r="O3097" s="6">
        <f>VLOOKUP(D3097,'Mapped Opponent'!$G$4:$H$22,2,0)</f>
        <v>5</v>
      </c>
      <c r="P3097" s="6"/>
      <c r="Q3097" s="6" t="str">
        <f t="shared" si="4"/>
        <v>Week 5</v>
      </c>
      <c r="R3097" s="6" t="str">
        <f t="shared" si="5"/>
        <v>2026Week 5</v>
      </c>
      <c r="S3097" s="6">
        <f>IFERROR(__xludf.DUMMYFUNCTION("rank(J3097,FILTER(J:J,R:R=R3097))"),12.0)</f>
        <v>12</v>
      </c>
      <c r="T3097" s="6">
        <f t="shared" si="6"/>
        <v>0</v>
      </c>
      <c r="U3097" s="6">
        <f t="shared" si="7"/>
        <v>12</v>
      </c>
      <c r="V3097" s="42">
        <f>averageif(AllData!A:A,B3097,AllData!R:R)/vlookup(B3097,AllData!A:O,15,0)</f>
        <v>90.45916667</v>
      </c>
      <c r="W3097" s="6"/>
    </row>
    <row r="3098" ht="14.25" customHeight="1">
      <c r="A3098" s="6" t="str">
        <f t="shared" si="29"/>
        <v>2026T-How5</v>
      </c>
      <c r="B3098" s="59">
        <v>2026.0</v>
      </c>
      <c r="C3098" s="13" t="s">
        <v>82</v>
      </c>
      <c r="D3098" s="13" t="s">
        <v>141</v>
      </c>
      <c r="E3098" s="34"/>
      <c r="F3098" s="6"/>
      <c r="H3098" s="6"/>
      <c r="I3098" s="35" t="str">
        <f>IFERROR(IFERROR(IFERROR(VLOOKUP(B3098&amp;C3098&amp;Q3098,'New Weekly Paste'!A:M,10,0),VLOOKUP(B3098&amp;C3098&amp;Q3098,'New Weekly Paste'!B:O,6,0)),""),"")</f>
        <v>Rooney/Jackson</v>
      </c>
      <c r="J3098" s="259">
        <f>IFERROR(IFERROR(VLOOKUP(B3098&amp;C3098&amp;Q3098,'New Weekly Paste'!A:M,8,0),VLOOKUP(B3098&amp;C3098&amp;Q3098,'New Weekly Paste'!B:O,10,0)),0)</f>
        <v>114.44</v>
      </c>
      <c r="K3098" s="259">
        <f>IFERROR(IFERROR(VLOOKUP(B3098&amp;I3098&amp;Q3098,'New Weekly Paste'!A:M,8,0),VLOOKUP(B3098&amp;I3098&amp;Q3098,'New Weekly Paste'!B:O,10,0)),0)</f>
        <v>167.08</v>
      </c>
      <c r="L3098" s="239">
        <f t="shared" si="25"/>
        <v>0</v>
      </c>
      <c r="M3098" s="36" t="str">
        <f t="shared" si="3"/>
        <v>Regular Season</v>
      </c>
      <c r="N3098" s="239" t="str">
        <f t="shared" si="26"/>
        <v>Rooney/Jackson</v>
      </c>
      <c r="O3098" s="6">
        <f>VLOOKUP(D3098,'Mapped Opponent'!$G$4:$H$22,2,0)</f>
        <v>5</v>
      </c>
      <c r="P3098" s="6"/>
      <c r="Q3098" s="6" t="str">
        <f t="shared" si="4"/>
        <v>Week 5</v>
      </c>
      <c r="R3098" s="6" t="str">
        <f t="shared" si="5"/>
        <v>2026Week 5</v>
      </c>
      <c r="S3098" s="6">
        <f>IFERROR(__xludf.DUMMYFUNCTION("rank(J3098,FILTER(J:J,R:R=R3098))"),8.0)</f>
        <v>8</v>
      </c>
      <c r="T3098" s="6">
        <f t="shared" si="6"/>
        <v>4</v>
      </c>
      <c r="U3098" s="6">
        <f t="shared" si="7"/>
        <v>8</v>
      </c>
      <c r="V3098" s="42">
        <f>averageif(AllData!A:A,B3098,AllData!R:R)/vlookup(B3098,AllData!A:O,15,0)</f>
        <v>90.45916667</v>
      </c>
      <c r="W3098" s="6"/>
    </row>
    <row r="3099" ht="14.25" customHeight="1">
      <c r="A3099" s="6" t="str">
        <f t="shared" si="29"/>
        <v>2026Hudspeath6</v>
      </c>
      <c r="B3099" s="59">
        <v>2026.0</v>
      </c>
      <c r="C3099" s="13" t="s">
        <v>39</v>
      </c>
      <c r="D3099" s="13" t="s">
        <v>142</v>
      </c>
      <c r="E3099" s="34"/>
      <c r="F3099" s="6"/>
      <c r="H3099" s="6"/>
      <c r="I3099" s="35" t="str">
        <f>IFERROR(IFERROR(IFERROR(VLOOKUP(B3099&amp;C3099&amp;Q3099,'New Weekly Paste'!A:M,10,0),VLOOKUP(B3099&amp;C3099&amp;Q3099,'New Weekly Paste'!B:O,6,0)),""),"")</f>
        <v>Ewert</v>
      </c>
      <c r="J3099" s="259">
        <f>IFERROR(IFERROR(VLOOKUP(B3099&amp;C3099&amp;Q3099,'New Weekly Paste'!A:M,8,0),VLOOKUP(B3099&amp;C3099&amp;Q3099,'New Weekly Paste'!B:O,10,0)),0)</f>
        <v>0</v>
      </c>
      <c r="K3099" s="259">
        <f>IFERROR(IFERROR(VLOOKUP(B3099&amp;I3099&amp;Q3099,'New Weekly Paste'!A:M,8,0),VLOOKUP(B3099&amp;I3099&amp;Q3099,'New Weekly Paste'!B:O,10,0)),0)</f>
        <v>0</v>
      </c>
      <c r="L3099" s="239">
        <f t="shared" si="25"/>
        <v>0</v>
      </c>
      <c r="M3099" s="36" t="str">
        <f t="shared" si="3"/>
        <v>Regular Season</v>
      </c>
      <c r="N3099" s="239" t="str">
        <f t="shared" si="26"/>
        <v>Ewert</v>
      </c>
      <c r="O3099" s="6">
        <f>VLOOKUP(D3099,'Mapped Opponent'!$G$4:$H$22,2,0)</f>
        <v>6</v>
      </c>
      <c r="P3099" s="6"/>
      <c r="Q3099" s="6" t="str">
        <f t="shared" si="4"/>
        <v>Week 6</v>
      </c>
      <c r="R3099" s="6" t="str">
        <f t="shared" si="5"/>
        <v>2026Week 6</v>
      </c>
      <c r="S3099" s="6">
        <f>IFERROR(__xludf.DUMMYFUNCTION("rank(J3099,FILTER(J:J,R:R=R3099))"),1.0)</f>
        <v>1</v>
      </c>
      <c r="T3099" s="6">
        <f t="shared" si="6"/>
        <v>11</v>
      </c>
      <c r="U3099" s="6">
        <f t="shared" si="7"/>
        <v>1</v>
      </c>
      <c r="V3099" s="42">
        <f>averageif(AllData!A:A,B3099,AllData!R:R)/vlookup(B3099,AllData!A:O,15,0)</f>
        <v>90.45916667</v>
      </c>
      <c r="W3099" s="6"/>
    </row>
    <row r="3100" ht="14.25" customHeight="1">
      <c r="A3100" s="6" t="str">
        <f t="shared" si="29"/>
        <v>2026Salty6</v>
      </c>
      <c r="B3100" s="59">
        <v>2026.0</v>
      </c>
      <c r="C3100" s="13" t="s">
        <v>76</v>
      </c>
      <c r="D3100" s="13" t="s">
        <v>142</v>
      </c>
      <c r="E3100" s="34"/>
      <c r="F3100" s="6"/>
      <c r="H3100" s="6"/>
      <c r="I3100" s="35" t="str">
        <f>IFERROR(IFERROR(IFERROR(VLOOKUP(B3100&amp;C3100&amp;Q3100,'New Weekly Paste'!A:M,10,0),VLOOKUP(B3100&amp;C3100&amp;Q3100,'New Weekly Paste'!B:O,6,0)),""),"")</f>
        <v>Riley</v>
      </c>
      <c r="J3100" s="259">
        <f>IFERROR(IFERROR(VLOOKUP(B3100&amp;C3100&amp;Q3100,'New Weekly Paste'!A:M,8,0),VLOOKUP(B3100&amp;C3100&amp;Q3100,'New Weekly Paste'!B:O,10,0)),0)</f>
        <v>0</v>
      </c>
      <c r="K3100" s="259">
        <f>IFERROR(IFERROR(VLOOKUP(B3100&amp;I3100&amp;Q3100,'New Weekly Paste'!A:M,8,0),VLOOKUP(B3100&amp;I3100&amp;Q3100,'New Weekly Paste'!B:O,10,0)),0)</f>
        <v>0</v>
      </c>
      <c r="L3100" s="239">
        <f t="shared" si="25"/>
        <v>0</v>
      </c>
      <c r="M3100" s="36" t="str">
        <f t="shared" si="3"/>
        <v>Regular Season</v>
      </c>
      <c r="N3100" s="239" t="str">
        <f t="shared" si="26"/>
        <v>Riley</v>
      </c>
      <c r="O3100" s="6">
        <f>VLOOKUP(D3100,'Mapped Opponent'!$G$4:$H$22,2,0)</f>
        <v>6</v>
      </c>
      <c r="P3100" s="6"/>
      <c r="Q3100" s="6" t="str">
        <f t="shared" si="4"/>
        <v>Week 6</v>
      </c>
      <c r="R3100" s="6" t="str">
        <f t="shared" si="5"/>
        <v>2026Week 6</v>
      </c>
      <c r="S3100" s="6">
        <f>IFERROR(__xludf.DUMMYFUNCTION("rank(J3100,FILTER(J:J,R:R=R3100))"),1.0)</f>
        <v>1</v>
      </c>
      <c r="T3100" s="6">
        <f t="shared" si="6"/>
        <v>11</v>
      </c>
      <c r="U3100" s="6">
        <f t="shared" si="7"/>
        <v>1</v>
      </c>
      <c r="V3100" s="42">
        <f>averageif(AllData!A:A,B3100,AllData!R:R)/vlookup(B3100,AllData!A:O,15,0)</f>
        <v>90.45916667</v>
      </c>
      <c r="W3100" s="6"/>
    </row>
    <row r="3101" ht="14.25" customHeight="1">
      <c r="A3101" s="6" t="str">
        <f t="shared" si="29"/>
        <v>2026Ewert6</v>
      </c>
      <c r="B3101" s="59">
        <v>2026.0</v>
      </c>
      <c r="C3101" s="13" t="s">
        <v>108</v>
      </c>
      <c r="D3101" s="13" t="s">
        <v>142</v>
      </c>
      <c r="E3101" s="34"/>
      <c r="F3101" s="6"/>
      <c r="H3101" s="6"/>
      <c r="I3101" s="35" t="str">
        <f>IFERROR(IFERROR(IFERROR(VLOOKUP(B3101&amp;C3101&amp;Q3101,'New Weekly Paste'!A:M,10,0),VLOOKUP(B3101&amp;C3101&amp;Q3101,'New Weekly Paste'!B:O,6,0)),""),"")</f>
        <v>Hudspeath</v>
      </c>
      <c r="J3101" s="259">
        <f>IFERROR(IFERROR(VLOOKUP(B3101&amp;C3101&amp;Q3101,'New Weekly Paste'!A:M,8,0),VLOOKUP(B3101&amp;C3101&amp;Q3101,'New Weekly Paste'!B:O,10,0)),0)</f>
        <v>0</v>
      </c>
      <c r="K3101" s="259">
        <f>IFERROR(IFERROR(VLOOKUP(B3101&amp;I3101&amp;Q3101,'New Weekly Paste'!A:M,8,0),VLOOKUP(B3101&amp;I3101&amp;Q3101,'New Weekly Paste'!B:O,10,0)),0)</f>
        <v>0</v>
      </c>
      <c r="L3101" s="239">
        <f t="shared" si="25"/>
        <v>0</v>
      </c>
      <c r="M3101" s="36" t="str">
        <f t="shared" si="3"/>
        <v>Regular Season</v>
      </c>
      <c r="N3101" s="239" t="str">
        <f t="shared" si="26"/>
        <v>Hudspeath</v>
      </c>
      <c r="O3101" s="6">
        <f>VLOOKUP(D3101,'Mapped Opponent'!$G$4:$H$22,2,0)</f>
        <v>6</v>
      </c>
      <c r="P3101" s="6"/>
      <c r="Q3101" s="6" t="str">
        <f t="shared" si="4"/>
        <v>Week 6</v>
      </c>
      <c r="R3101" s="6" t="str">
        <f t="shared" si="5"/>
        <v>2026Week 6</v>
      </c>
      <c r="S3101" s="6">
        <f>IFERROR(__xludf.DUMMYFUNCTION("rank(J3101,FILTER(J:J,R:R=R3101))"),1.0)</f>
        <v>1</v>
      </c>
      <c r="T3101" s="6">
        <f t="shared" si="6"/>
        <v>11</v>
      </c>
      <c r="U3101" s="6">
        <f t="shared" si="7"/>
        <v>1</v>
      </c>
      <c r="V3101" s="42">
        <f>averageif(AllData!A:A,B3101,AllData!R:R)/vlookup(B3101,AllData!A:O,15,0)</f>
        <v>90.45916667</v>
      </c>
      <c r="W3101" s="6"/>
    </row>
    <row r="3102" ht="14.25" customHeight="1">
      <c r="A3102" s="6" t="str">
        <f t="shared" si="29"/>
        <v>2026Shep6</v>
      </c>
      <c r="B3102" s="59">
        <v>2026.0</v>
      </c>
      <c r="C3102" s="13" t="s">
        <v>89</v>
      </c>
      <c r="D3102" s="13" t="s">
        <v>142</v>
      </c>
      <c r="E3102" s="34"/>
      <c r="F3102" s="6"/>
      <c r="H3102" s="6"/>
      <c r="I3102" s="35" t="str">
        <f>IFERROR(IFERROR(IFERROR(VLOOKUP(B3102&amp;C3102&amp;Q3102,'New Weekly Paste'!A:M,10,0),VLOOKUP(B3102&amp;C3102&amp;Q3102,'New Weekly Paste'!B:O,6,0)),""),"")</f>
        <v>Tayski</v>
      </c>
      <c r="J3102" s="259">
        <f>IFERROR(IFERROR(VLOOKUP(B3102&amp;C3102&amp;Q3102,'New Weekly Paste'!A:M,8,0),VLOOKUP(B3102&amp;C3102&amp;Q3102,'New Weekly Paste'!B:O,10,0)),0)</f>
        <v>0</v>
      </c>
      <c r="K3102" s="259">
        <f>IFERROR(IFERROR(VLOOKUP(B3102&amp;I3102&amp;Q3102,'New Weekly Paste'!A:M,8,0),VLOOKUP(B3102&amp;I3102&amp;Q3102,'New Weekly Paste'!B:O,10,0)),0)</f>
        <v>0</v>
      </c>
      <c r="L3102" s="239">
        <f t="shared" si="25"/>
        <v>0</v>
      </c>
      <c r="M3102" s="36" t="str">
        <f t="shared" si="3"/>
        <v>Regular Season</v>
      </c>
      <c r="N3102" s="239" t="str">
        <f t="shared" si="26"/>
        <v>Tayski</v>
      </c>
      <c r="O3102" s="6">
        <f>VLOOKUP(D3102,'Mapped Opponent'!$G$4:$H$22,2,0)</f>
        <v>6</v>
      </c>
      <c r="P3102" s="6"/>
      <c r="Q3102" s="6" t="str">
        <f t="shared" si="4"/>
        <v>Week 6</v>
      </c>
      <c r="R3102" s="6" t="str">
        <f t="shared" si="5"/>
        <v>2026Week 6</v>
      </c>
      <c r="S3102" s="6">
        <f>IFERROR(__xludf.DUMMYFUNCTION("rank(J3102,FILTER(J:J,R:R=R3102))"),1.0)</f>
        <v>1</v>
      </c>
      <c r="T3102" s="6">
        <f t="shared" si="6"/>
        <v>11</v>
      </c>
      <c r="U3102" s="6">
        <f t="shared" si="7"/>
        <v>1</v>
      </c>
      <c r="V3102" s="42">
        <f>averageif(AllData!A:A,B3102,AllData!R:R)/vlookup(B3102,AllData!A:O,15,0)</f>
        <v>90.45916667</v>
      </c>
      <c r="W3102" s="6"/>
    </row>
    <row r="3103" ht="14.25" customHeight="1">
      <c r="A3103" s="6" t="str">
        <f t="shared" si="29"/>
        <v>2026Riley6</v>
      </c>
      <c r="B3103" s="59">
        <v>2026.0</v>
      </c>
      <c r="C3103" s="13" t="s">
        <v>67</v>
      </c>
      <c r="D3103" s="13" t="s">
        <v>142</v>
      </c>
      <c r="E3103" s="34"/>
      <c r="F3103" s="6"/>
      <c r="H3103" s="6"/>
      <c r="I3103" s="35" t="str">
        <f>IFERROR(IFERROR(IFERROR(VLOOKUP(B3103&amp;C3103&amp;Q3103,'New Weekly Paste'!A:M,10,0),VLOOKUP(B3103&amp;C3103&amp;Q3103,'New Weekly Paste'!B:O,6,0)),""),"")</f>
        <v>Salty</v>
      </c>
      <c r="J3103" s="259">
        <f>IFERROR(IFERROR(VLOOKUP(B3103&amp;C3103&amp;Q3103,'New Weekly Paste'!A:M,8,0),VLOOKUP(B3103&amp;C3103&amp;Q3103,'New Weekly Paste'!B:O,10,0)),0)</f>
        <v>0</v>
      </c>
      <c r="K3103" s="259">
        <f>IFERROR(IFERROR(VLOOKUP(B3103&amp;I3103&amp;Q3103,'New Weekly Paste'!A:M,8,0),VLOOKUP(B3103&amp;I3103&amp;Q3103,'New Weekly Paste'!B:O,10,0)),0)</f>
        <v>0</v>
      </c>
      <c r="L3103" s="239">
        <f t="shared" si="25"/>
        <v>0</v>
      </c>
      <c r="M3103" s="36" t="str">
        <f t="shared" si="3"/>
        <v>Regular Season</v>
      </c>
      <c r="N3103" s="239" t="str">
        <f t="shared" si="26"/>
        <v>Salty</v>
      </c>
      <c r="O3103" s="6">
        <f>VLOOKUP(D3103,'Mapped Opponent'!$G$4:$H$22,2,0)</f>
        <v>6</v>
      </c>
      <c r="P3103" s="6"/>
      <c r="Q3103" s="6" t="str">
        <f t="shared" si="4"/>
        <v>Week 6</v>
      </c>
      <c r="R3103" s="6" t="str">
        <f t="shared" si="5"/>
        <v>2026Week 6</v>
      </c>
      <c r="S3103" s="6">
        <f>IFERROR(__xludf.DUMMYFUNCTION("rank(J3103,FILTER(J:J,R:R=R3103))"),1.0)</f>
        <v>1</v>
      </c>
      <c r="T3103" s="6">
        <f t="shared" si="6"/>
        <v>11</v>
      </c>
      <c r="U3103" s="6">
        <f t="shared" si="7"/>
        <v>1</v>
      </c>
      <c r="V3103" s="42">
        <f>averageif(AllData!A:A,B3103,AllData!R:R)/vlookup(B3103,AllData!A:O,15,0)</f>
        <v>90.45916667</v>
      </c>
      <c r="W3103" s="6"/>
    </row>
    <row r="3104" ht="14.25" customHeight="1">
      <c r="A3104" s="6" t="str">
        <f t="shared" si="29"/>
        <v>2026Rooney/Jackson6</v>
      </c>
      <c r="B3104" s="59">
        <v>2026.0</v>
      </c>
      <c r="C3104" s="13" t="s">
        <v>57</v>
      </c>
      <c r="D3104" s="13" t="s">
        <v>142</v>
      </c>
      <c r="E3104" s="34"/>
      <c r="F3104" s="6"/>
      <c r="H3104" s="6"/>
      <c r="I3104" s="35" t="str">
        <f>IFERROR(IFERROR(IFERROR(VLOOKUP(B3104&amp;C3104&amp;Q3104,'New Weekly Paste'!A:M,10,0),VLOOKUP(B3104&amp;C3104&amp;Q3104,'New Weekly Paste'!B:O,6,0)),""),"")</f>
        <v>Pierson</v>
      </c>
      <c r="J3104" s="259">
        <f>IFERROR(IFERROR(VLOOKUP(B3104&amp;C3104&amp;Q3104,'New Weekly Paste'!A:M,8,0),VLOOKUP(B3104&amp;C3104&amp;Q3104,'New Weekly Paste'!B:O,10,0)),0)</f>
        <v>0</v>
      </c>
      <c r="K3104" s="259">
        <f>IFERROR(IFERROR(VLOOKUP(B3104&amp;I3104&amp;Q3104,'New Weekly Paste'!A:M,8,0),VLOOKUP(B3104&amp;I3104&amp;Q3104,'New Weekly Paste'!B:O,10,0)),0)</f>
        <v>0</v>
      </c>
      <c r="L3104" s="239">
        <f t="shared" si="25"/>
        <v>0</v>
      </c>
      <c r="M3104" s="36" t="str">
        <f t="shared" si="3"/>
        <v>Regular Season</v>
      </c>
      <c r="N3104" s="239" t="str">
        <f t="shared" si="26"/>
        <v>Pierson</v>
      </c>
      <c r="O3104" s="6">
        <f>VLOOKUP(D3104,'Mapped Opponent'!$G$4:$H$22,2,0)</f>
        <v>6</v>
      </c>
      <c r="P3104" s="6"/>
      <c r="Q3104" s="6" t="str">
        <f t="shared" si="4"/>
        <v>Week 6</v>
      </c>
      <c r="R3104" s="6" t="str">
        <f t="shared" si="5"/>
        <v>2026Week 6</v>
      </c>
      <c r="S3104" s="6">
        <f>IFERROR(__xludf.DUMMYFUNCTION("rank(J3104,FILTER(J:J,R:R=R3104))"),1.0)</f>
        <v>1</v>
      </c>
      <c r="T3104" s="6">
        <f t="shared" si="6"/>
        <v>11</v>
      </c>
      <c r="U3104" s="6">
        <f t="shared" si="7"/>
        <v>1</v>
      </c>
      <c r="V3104" s="42">
        <f>averageif(AllData!A:A,B3104,AllData!R:R)/vlookup(B3104,AllData!A:O,15,0)</f>
        <v>90.45916667</v>
      </c>
      <c r="W3104" s="6"/>
    </row>
    <row r="3105" ht="14.25" customHeight="1">
      <c r="A3105" s="6" t="str">
        <f t="shared" si="29"/>
        <v>2026Buser6</v>
      </c>
      <c r="B3105" s="59">
        <v>2026.0</v>
      </c>
      <c r="C3105" s="13" t="s">
        <v>47</v>
      </c>
      <c r="D3105" s="13" t="s">
        <v>142</v>
      </c>
      <c r="E3105" s="34"/>
      <c r="F3105" s="6"/>
      <c r="H3105" s="6"/>
      <c r="I3105" s="35" t="str">
        <f>IFERROR(IFERROR(IFERROR(VLOOKUP(B3105&amp;C3105&amp;Q3105,'New Weekly Paste'!A:M,10,0),VLOOKUP(B3105&amp;C3105&amp;Q3105,'New Weekly Paste'!B:O,6,0)),""),"")</f>
        <v>Cock</v>
      </c>
      <c r="J3105" s="259">
        <f>IFERROR(IFERROR(VLOOKUP(B3105&amp;C3105&amp;Q3105,'New Weekly Paste'!A:M,8,0),VLOOKUP(B3105&amp;C3105&amp;Q3105,'New Weekly Paste'!B:O,10,0)),0)</f>
        <v>0</v>
      </c>
      <c r="K3105" s="259">
        <f>IFERROR(IFERROR(VLOOKUP(B3105&amp;I3105&amp;Q3105,'New Weekly Paste'!A:M,8,0),VLOOKUP(B3105&amp;I3105&amp;Q3105,'New Weekly Paste'!B:O,10,0)),0)</f>
        <v>0</v>
      </c>
      <c r="L3105" s="239">
        <f t="shared" si="25"/>
        <v>0</v>
      </c>
      <c r="M3105" s="36" t="str">
        <f t="shared" si="3"/>
        <v>Regular Season</v>
      </c>
      <c r="N3105" s="239" t="str">
        <f t="shared" si="26"/>
        <v>Cock</v>
      </c>
      <c r="O3105" s="6">
        <f>VLOOKUP(D3105,'Mapped Opponent'!$G$4:$H$22,2,0)</f>
        <v>6</v>
      </c>
      <c r="P3105" s="6"/>
      <c r="Q3105" s="6" t="str">
        <f t="shared" si="4"/>
        <v>Week 6</v>
      </c>
      <c r="R3105" s="6" t="str">
        <f t="shared" si="5"/>
        <v>2026Week 6</v>
      </c>
      <c r="S3105" s="6">
        <f>IFERROR(__xludf.DUMMYFUNCTION("rank(J3105,FILTER(J:J,R:R=R3105))"),1.0)</f>
        <v>1</v>
      </c>
      <c r="T3105" s="6">
        <f t="shared" si="6"/>
        <v>11</v>
      </c>
      <c r="U3105" s="6">
        <f t="shared" si="7"/>
        <v>1</v>
      </c>
      <c r="V3105" s="42">
        <f>averageif(AllData!A:A,B3105,AllData!R:R)/vlookup(B3105,AllData!A:O,15,0)</f>
        <v>90.45916667</v>
      </c>
      <c r="W3105" s="6"/>
    </row>
    <row r="3106" ht="14.25" customHeight="1">
      <c r="A3106" s="6" t="str">
        <f t="shared" si="29"/>
        <v>2026Pierson6</v>
      </c>
      <c r="B3106" s="59">
        <v>2026.0</v>
      </c>
      <c r="C3106" s="13" t="s">
        <v>92</v>
      </c>
      <c r="D3106" s="13" t="s">
        <v>142</v>
      </c>
      <c r="E3106" s="34"/>
      <c r="F3106" s="6"/>
      <c r="H3106" s="6"/>
      <c r="I3106" s="35" t="str">
        <f>IFERROR(IFERROR(IFERROR(VLOOKUP(B3106&amp;C3106&amp;Q3106,'New Weekly Paste'!A:M,10,0),VLOOKUP(B3106&amp;C3106&amp;Q3106,'New Weekly Paste'!B:O,6,0)),""),"")</f>
        <v>Rooney/Jackson</v>
      </c>
      <c r="J3106" s="259">
        <f>IFERROR(IFERROR(VLOOKUP(B3106&amp;C3106&amp;Q3106,'New Weekly Paste'!A:M,8,0),VLOOKUP(B3106&amp;C3106&amp;Q3106,'New Weekly Paste'!B:O,10,0)),0)</f>
        <v>0</v>
      </c>
      <c r="K3106" s="259">
        <f>IFERROR(IFERROR(VLOOKUP(B3106&amp;I3106&amp;Q3106,'New Weekly Paste'!A:M,8,0),VLOOKUP(B3106&amp;I3106&amp;Q3106,'New Weekly Paste'!B:O,10,0)),0)</f>
        <v>0</v>
      </c>
      <c r="L3106" s="239">
        <f t="shared" si="25"/>
        <v>0</v>
      </c>
      <c r="M3106" s="36" t="str">
        <f t="shared" si="3"/>
        <v>Regular Season</v>
      </c>
      <c r="N3106" s="239" t="str">
        <f t="shared" si="26"/>
        <v>Rooney/Jackson</v>
      </c>
      <c r="O3106" s="6">
        <f>VLOOKUP(D3106,'Mapped Opponent'!$G$4:$H$22,2,0)</f>
        <v>6</v>
      </c>
      <c r="P3106" s="6"/>
      <c r="Q3106" s="6" t="str">
        <f t="shared" si="4"/>
        <v>Week 6</v>
      </c>
      <c r="R3106" s="6" t="str">
        <f t="shared" si="5"/>
        <v>2026Week 6</v>
      </c>
      <c r="S3106" s="6">
        <f>IFERROR(__xludf.DUMMYFUNCTION("rank(J3106,FILTER(J:J,R:R=R3106))"),1.0)</f>
        <v>1</v>
      </c>
      <c r="T3106" s="6">
        <f t="shared" si="6"/>
        <v>11</v>
      </c>
      <c r="U3106" s="6">
        <f t="shared" si="7"/>
        <v>1</v>
      </c>
      <c r="V3106" s="42">
        <f>averageif(AllData!A:A,B3106,AllData!R:R)/vlookup(B3106,AllData!A:O,15,0)</f>
        <v>90.45916667</v>
      </c>
      <c r="W3106" s="6"/>
    </row>
    <row r="3107" ht="14.25" customHeight="1">
      <c r="A3107" s="6" t="str">
        <f t="shared" si="29"/>
        <v>2026Cock6</v>
      </c>
      <c r="B3107" s="59">
        <v>2026.0</v>
      </c>
      <c r="C3107" s="13" t="s">
        <v>72</v>
      </c>
      <c r="D3107" s="13" t="s">
        <v>142</v>
      </c>
      <c r="E3107" s="34"/>
      <c r="F3107" s="6"/>
      <c r="H3107" s="6"/>
      <c r="I3107" s="35" t="str">
        <f>IFERROR(IFERROR(IFERROR(VLOOKUP(B3107&amp;C3107&amp;Q3107,'New Weekly Paste'!A:M,10,0),VLOOKUP(B3107&amp;C3107&amp;Q3107,'New Weekly Paste'!B:O,6,0)),""),"")</f>
        <v>Buser</v>
      </c>
      <c r="J3107" s="259">
        <f>IFERROR(IFERROR(VLOOKUP(B3107&amp;C3107&amp;Q3107,'New Weekly Paste'!A:M,8,0),VLOOKUP(B3107&amp;C3107&amp;Q3107,'New Weekly Paste'!B:O,10,0)),0)</f>
        <v>0</v>
      </c>
      <c r="K3107" s="259">
        <f>IFERROR(IFERROR(VLOOKUP(B3107&amp;I3107&amp;Q3107,'New Weekly Paste'!A:M,8,0),VLOOKUP(B3107&amp;I3107&amp;Q3107,'New Weekly Paste'!B:O,10,0)),0)</f>
        <v>0</v>
      </c>
      <c r="L3107" s="239">
        <f t="shared" si="25"/>
        <v>0</v>
      </c>
      <c r="M3107" s="36" t="str">
        <f t="shared" si="3"/>
        <v>Regular Season</v>
      </c>
      <c r="N3107" s="239" t="str">
        <f t="shared" si="26"/>
        <v>Buser</v>
      </c>
      <c r="O3107" s="6">
        <f>VLOOKUP(D3107,'Mapped Opponent'!$G$4:$H$22,2,0)</f>
        <v>6</v>
      </c>
      <c r="P3107" s="6"/>
      <c r="Q3107" s="6" t="str">
        <f t="shared" si="4"/>
        <v>Week 6</v>
      </c>
      <c r="R3107" s="6" t="str">
        <f t="shared" si="5"/>
        <v>2026Week 6</v>
      </c>
      <c r="S3107" s="6">
        <f>IFERROR(__xludf.DUMMYFUNCTION("rank(J3107,FILTER(J:J,R:R=R3107))"),1.0)</f>
        <v>1</v>
      </c>
      <c r="T3107" s="6">
        <f t="shared" si="6"/>
        <v>11</v>
      </c>
      <c r="U3107" s="6">
        <f t="shared" si="7"/>
        <v>1</v>
      </c>
      <c r="V3107" s="42">
        <f>averageif(AllData!A:A,B3107,AllData!R:R)/vlookup(B3107,AllData!A:O,15,0)</f>
        <v>90.45916667</v>
      </c>
      <c r="W3107" s="6"/>
    </row>
    <row r="3108" ht="14.25" customHeight="1">
      <c r="A3108" s="6" t="str">
        <f t="shared" si="29"/>
        <v>2026Tayski6</v>
      </c>
      <c r="B3108" s="59">
        <v>2026.0</v>
      </c>
      <c r="C3108" s="13" t="s">
        <v>52</v>
      </c>
      <c r="D3108" s="13" t="s">
        <v>142</v>
      </c>
      <c r="E3108" s="34"/>
      <c r="F3108" s="6"/>
      <c r="H3108" s="6"/>
      <c r="I3108" s="35" t="str">
        <f>IFERROR(IFERROR(IFERROR(VLOOKUP(B3108&amp;C3108&amp;Q3108,'New Weekly Paste'!A:M,10,0),VLOOKUP(B3108&amp;C3108&amp;Q3108,'New Weekly Paste'!B:O,6,0)),""),"")</f>
        <v>Shep</v>
      </c>
      <c r="J3108" s="259">
        <f>IFERROR(IFERROR(VLOOKUP(B3108&amp;C3108&amp;Q3108,'New Weekly Paste'!A:M,8,0),VLOOKUP(B3108&amp;C3108&amp;Q3108,'New Weekly Paste'!B:O,10,0)),0)</f>
        <v>0</v>
      </c>
      <c r="K3108" s="259">
        <f>IFERROR(IFERROR(VLOOKUP(B3108&amp;I3108&amp;Q3108,'New Weekly Paste'!A:M,8,0),VLOOKUP(B3108&amp;I3108&amp;Q3108,'New Weekly Paste'!B:O,10,0)),0)</f>
        <v>0</v>
      </c>
      <c r="L3108" s="239">
        <f t="shared" si="25"/>
        <v>0</v>
      </c>
      <c r="M3108" s="36" t="str">
        <f t="shared" si="3"/>
        <v>Regular Season</v>
      </c>
      <c r="N3108" s="239" t="str">
        <f t="shared" si="26"/>
        <v>Shep</v>
      </c>
      <c r="O3108" s="6">
        <f>VLOOKUP(D3108,'Mapped Opponent'!$G$4:$H$22,2,0)</f>
        <v>6</v>
      </c>
      <c r="P3108" s="6"/>
      <c r="Q3108" s="6" t="str">
        <f t="shared" si="4"/>
        <v>Week 6</v>
      </c>
      <c r="R3108" s="6" t="str">
        <f t="shared" si="5"/>
        <v>2026Week 6</v>
      </c>
      <c r="S3108" s="6">
        <f>IFERROR(__xludf.DUMMYFUNCTION("rank(J3108,FILTER(J:J,R:R=R3108))"),1.0)</f>
        <v>1</v>
      </c>
      <c r="T3108" s="6">
        <f t="shared" si="6"/>
        <v>11</v>
      </c>
      <c r="U3108" s="6">
        <f t="shared" si="7"/>
        <v>1</v>
      </c>
      <c r="V3108" s="42">
        <f>averageif(AllData!A:A,B3108,AllData!R:R)/vlookup(B3108,AllData!A:O,15,0)</f>
        <v>90.45916667</v>
      </c>
      <c r="W3108" s="6"/>
    </row>
    <row r="3109" ht="14.25" customHeight="1">
      <c r="A3109" s="6" t="str">
        <f t="shared" si="29"/>
        <v>2026KnardDawg6</v>
      </c>
      <c r="B3109" s="59">
        <v>2026.0</v>
      </c>
      <c r="C3109" s="13" t="s">
        <v>86</v>
      </c>
      <c r="D3109" s="13" t="s">
        <v>142</v>
      </c>
      <c r="E3109" s="34"/>
      <c r="F3109" s="6"/>
      <c r="H3109" s="6"/>
      <c r="I3109" s="35" t="str">
        <f>IFERROR(IFERROR(IFERROR(VLOOKUP(B3109&amp;C3109&amp;Q3109,'New Weekly Paste'!A:M,10,0),VLOOKUP(B3109&amp;C3109&amp;Q3109,'New Weekly Paste'!B:O,6,0)),""),"")</f>
        <v>T-How</v>
      </c>
      <c r="J3109" s="259">
        <f>IFERROR(IFERROR(VLOOKUP(B3109&amp;C3109&amp;Q3109,'New Weekly Paste'!A:M,8,0),VLOOKUP(B3109&amp;C3109&amp;Q3109,'New Weekly Paste'!B:O,10,0)),0)</f>
        <v>0</v>
      </c>
      <c r="K3109" s="259">
        <f>IFERROR(IFERROR(VLOOKUP(B3109&amp;I3109&amp;Q3109,'New Weekly Paste'!A:M,8,0),VLOOKUP(B3109&amp;I3109&amp;Q3109,'New Weekly Paste'!B:O,10,0)),0)</f>
        <v>0</v>
      </c>
      <c r="L3109" s="239">
        <f t="shared" si="25"/>
        <v>0</v>
      </c>
      <c r="M3109" s="36" t="str">
        <f t="shared" si="3"/>
        <v>Regular Season</v>
      </c>
      <c r="N3109" s="239" t="str">
        <f t="shared" si="26"/>
        <v>T-How</v>
      </c>
      <c r="O3109" s="6">
        <f>VLOOKUP(D3109,'Mapped Opponent'!$G$4:$H$22,2,0)</f>
        <v>6</v>
      </c>
      <c r="P3109" s="6"/>
      <c r="Q3109" s="6" t="str">
        <f t="shared" si="4"/>
        <v>Week 6</v>
      </c>
      <c r="R3109" s="6" t="str">
        <f t="shared" si="5"/>
        <v>2026Week 6</v>
      </c>
      <c r="S3109" s="6">
        <f>IFERROR(__xludf.DUMMYFUNCTION("rank(J3109,FILTER(J:J,R:R=R3109))"),1.0)</f>
        <v>1</v>
      </c>
      <c r="T3109" s="6">
        <f t="shared" si="6"/>
        <v>11</v>
      </c>
      <c r="U3109" s="6">
        <f t="shared" si="7"/>
        <v>1</v>
      </c>
      <c r="V3109" s="42">
        <f>averageif(AllData!A:A,B3109,AllData!R:R)/vlookup(B3109,AllData!A:O,15,0)</f>
        <v>90.45916667</v>
      </c>
      <c r="W3109" s="6"/>
    </row>
    <row r="3110" ht="14.25" customHeight="1">
      <c r="A3110" s="6" t="str">
        <f t="shared" si="29"/>
        <v>2026T-How6</v>
      </c>
      <c r="B3110" s="59">
        <v>2026.0</v>
      </c>
      <c r="C3110" s="13" t="s">
        <v>82</v>
      </c>
      <c r="D3110" s="13" t="s">
        <v>142</v>
      </c>
      <c r="E3110" s="34"/>
      <c r="F3110" s="6"/>
      <c r="H3110" s="6"/>
      <c r="I3110" s="35" t="str">
        <f>IFERROR(IFERROR(IFERROR(VLOOKUP(B3110&amp;C3110&amp;Q3110,'New Weekly Paste'!A:M,10,0),VLOOKUP(B3110&amp;C3110&amp;Q3110,'New Weekly Paste'!B:O,6,0)),""),"")</f>
        <v>KnardDawg</v>
      </c>
      <c r="J3110" s="259">
        <f>IFERROR(IFERROR(VLOOKUP(B3110&amp;C3110&amp;Q3110,'New Weekly Paste'!A:M,8,0),VLOOKUP(B3110&amp;C3110&amp;Q3110,'New Weekly Paste'!B:O,10,0)),0)</f>
        <v>0</v>
      </c>
      <c r="K3110" s="259">
        <f>IFERROR(IFERROR(VLOOKUP(B3110&amp;I3110&amp;Q3110,'New Weekly Paste'!A:M,8,0),VLOOKUP(B3110&amp;I3110&amp;Q3110,'New Weekly Paste'!B:O,10,0)),0)</f>
        <v>0</v>
      </c>
      <c r="L3110" s="239">
        <f t="shared" si="25"/>
        <v>0</v>
      </c>
      <c r="M3110" s="36" t="str">
        <f t="shared" si="3"/>
        <v>Regular Season</v>
      </c>
      <c r="N3110" s="239" t="str">
        <f t="shared" si="26"/>
        <v>KnardDawg</v>
      </c>
      <c r="O3110" s="6">
        <f>VLOOKUP(D3110,'Mapped Opponent'!$G$4:$H$22,2,0)</f>
        <v>6</v>
      </c>
      <c r="P3110" s="6"/>
      <c r="Q3110" s="6" t="str">
        <f t="shared" si="4"/>
        <v>Week 6</v>
      </c>
      <c r="R3110" s="6" t="str">
        <f t="shared" si="5"/>
        <v>2026Week 6</v>
      </c>
      <c r="S3110" s="6">
        <f>IFERROR(__xludf.DUMMYFUNCTION("rank(J3110,FILTER(J:J,R:R=R3110))"),1.0)</f>
        <v>1</v>
      </c>
      <c r="T3110" s="6">
        <f t="shared" si="6"/>
        <v>11</v>
      </c>
      <c r="U3110" s="6">
        <f t="shared" si="7"/>
        <v>1</v>
      </c>
      <c r="V3110" s="42">
        <f>averageif(AllData!A:A,B3110,AllData!R:R)/vlookup(B3110,AllData!A:O,15,0)</f>
        <v>90.45916667</v>
      </c>
      <c r="W3110" s="6"/>
    </row>
    <row r="3111" ht="14.25" customHeight="1">
      <c r="A3111" s="6" t="str">
        <f t="shared" si="29"/>
        <v>2026Hudspeath7</v>
      </c>
      <c r="B3111" s="59">
        <v>2026.0</v>
      </c>
      <c r="C3111" s="13" t="s">
        <v>39</v>
      </c>
      <c r="D3111" s="13" t="s">
        <v>143</v>
      </c>
      <c r="E3111" s="34"/>
      <c r="F3111" s="6"/>
      <c r="H3111" s="6"/>
      <c r="I3111" s="35" t="str">
        <f>IFERROR(IFERROR(IFERROR(VLOOKUP(B3111&amp;C3111&amp;Q3111,'New Weekly Paste'!A:M,10,0),VLOOKUP(B3111&amp;C3111&amp;Q3111,'New Weekly Paste'!B:O,6,0)),""),"")</f>
        <v>Pierson</v>
      </c>
      <c r="J3111" s="239" t="str">
        <f>IFERROR(IFERROR(VLOOKUP(B3111&amp;C3111&amp;Q3111,'New Weekly Paste'!A:M,8,0),VLOOKUP(B3111&amp;C3111&amp;Q3111,'New Weekly Paste'!B:O,10,0)),0)</f>
        <v/>
      </c>
      <c r="K3111" s="239" t="str">
        <f>IFERROR(IFERROR(VLOOKUP(B3111&amp;I3111&amp;Q3111,'New Weekly Paste'!A:M,8,0),VLOOKUP(B3111&amp;I3111&amp;Q3111,'New Weekly Paste'!B:O,10,0)),0)</f>
        <v/>
      </c>
      <c r="L3111" s="239">
        <f t="shared" si="25"/>
        <v>0</v>
      </c>
      <c r="M3111" s="36" t="str">
        <f t="shared" si="3"/>
        <v>Regular Season</v>
      </c>
      <c r="N3111" s="239" t="str">
        <f t="shared" si="26"/>
        <v>Pierson</v>
      </c>
      <c r="O3111" s="6">
        <f>VLOOKUP(D3111,'Mapped Opponent'!$G$4:$H$22,2,0)</f>
        <v>7</v>
      </c>
      <c r="P3111" s="6"/>
      <c r="Q3111" s="6" t="str">
        <f t="shared" si="4"/>
        <v>Week 7</v>
      </c>
      <c r="R3111" s="6" t="str">
        <f t="shared" si="5"/>
        <v>2026Week 7</v>
      </c>
      <c r="S3111" s="6" t="str">
        <f>IFERROR(__xludf.DUMMYFUNCTION("rank(J3111,FILTER(J:J,R:R=R3111))"),"#N/A")</f>
        <v>#N/A</v>
      </c>
      <c r="T3111" s="6">
        <f t="shared" si="6"/>
        <v>0</v>
      </c>
      <c r="U3111" s="6">
        <f t="shared" si="7"/>
        <v>12</v>
      </c>
      <c r="V3111" s="42">
        <f>averageif(AllData!A:A,B3111,AllData!R:R)/vlookup(B3111,AllData!A:O,15,0)</f>
        <v>90.45916667</v>
      </c>
      <c r="W3111" s="6"/>
    </row>
    <row r="3112" ht="14.25" customHeight="1">
      <c r="A3112" s="6" t="str">
        <f t="shared" si="29"/>
        <v>2026Salty7</v>
      </c>
      <c r="B3112" s="59">
        <v>2026.0</v>
      </c>
      <c r="C3112" s="13" t="s">
        <v>76</v>
      </c>
      <c r="D3112" s="13" t="s">
        <v>143</v>
      </c>
      <c r="E3112" s="34"/>
      <c r="F3112" s="6"/>
      <c r="H3112" s="6"/>
      <c r="I3112" s="35" t="str">
        <f>IFERROR(IFERROR(IFERROR(VLOOKUP(B3112&amp;C3112&amp;Q3112,'New Weekly Paste'!A:M,10,0),VLOOKUP(B3112&amp;C3112&amp;Q3112,'New Weekly Paste'!B:O,6,0)),""),"")</f>
        <v>Shep</v>
      </c>
      <c r="J3112" s="239" t="str">
        <f>IFERROR(IFERROR(VLOOKUP(B3112&amp;C3112&amp;Q3112,'New Weekly Paste'!A:M,8,0),VLOOKUP(B3112&amp;C3112&amp;Q3112,'New Weekly Paste'!B:O,10,0)),0)</f>
        <v/>
      </c>
      <c r="K3112" s="239" t="str">
        <f>IFERROR(IFERROR(VLOOKUP(B3112&amp;I3112&amp;Q3112,'New Weekly Paste'!A:M,8,0),VLOOKUP(B3112&amp;I3112&amp;Q3112,'New Weekly Paste'!B:O,10,0)),0)</f>
        <v/>
      </c>
      <c r="L3112" s="239">
        <f t="shared" si="25"/>
        <v>0</v>
      </c>
      <c r="M3112" s="36" t="str">
        <f t="shared" si="3"/>
        <v>Regular Season</v>
      </c>
      <c r="N3112" s="239" t="str">
        <f t="shared" si="26"/>
        <v>Shep</v>
      </c>
      <c r="O3112" s="6">
        <f>VLOOKUP(D3112,'Mapped Opponent'!$G$4:$H$22,2,0)</f>
        <v>7</v>
      </c>
      <c r="P3112" s="6"/>
      <c r="Q3112" s="6" t="str">
        <f t="shared" si="4"/>
        <v>Week 7</v>
      </c>
      <c r="R3112" s="6" t="str">
        <f t="shared" si="5"/>
        <v>2026Week 7</v>
      </c>
      <c r="S3112" s="6" t="str">
        <f>IFERROR(__xludf.DUMMYFUNCTION("rank(J3112,FILTER(J:J,R:R=R3112))"),"#N/A")</f>
        <v>#N/A</v>
      </c>
      <c r="T3112" s="6">
        <f t="shared" si="6"/>
        <v>0</v>
      </c>
      <c r="U3112" s="6">
        <f t="shared" si="7"/>
        <v>12</v>
      </c>
      <c r="V3112" s="42">
        <f>averageif(AllData!A:A,B3112,AllData!R:R)/vlookup(B3112,AllData!A:O,15,0)</f>
        <v>90.45916667</v>
      </c>
      <c r="W3112" s="6"/>
    </row>
    <row r="3113" ht="14.25" customHeight="1">
      <c r="A3113" s="6" t="str">
        <f t="shared" si="29"/>
        <v>2026Ewert7</v>
      </c>
      <c r="B3113" s="59">
        <v>2026.0</v>
      </c>
      <c r="C3113" s="13" t="s">
        <v>108</v>
      </c>
      <c r="D3113" s="13" t="s">
        <v>143</v>
      </c>
      <c r="E3113" s="34"/>
      <c r="F3113" s="6"/>
      <c r="H3113" s="6"/>
      <c r="I3113" s="35" t="str">
        <f>IFERROR(IFERROR(IFERROR(VLOOKUP(B3113&amp;C3113&amp;Q3113,'New Weekly Paste'!A:M,10,0),VLOOKUP(B3113&amp;C3113&amp;Q3113,'New Weekly Paste'!B:O,6,0)),""),"")</f>
        <v>Tayski</v>
      </c>
      <c r="J3113" s="239" t="str">
        <f>IFERROR(IFERROR(VLOOKUP(B3113&amp;C3113&amp;Q3113,'New Weekly Paste'!A:M,8,0),VLOOKUP(B3113&amp;C3113&amp;Q3113,'New Weekly Paste'!B:O,10,0)),0)</f>
        <v/>
      </c>
      <c r="K3113" s="239" t="str">
        <f>IFERROR(IFERROR(VLOOKUP(B3113&amp;I3113&amp;Q3113,'New Weekly Paste'!A:M,8,0),VLOOKUP(B3113&amp;I3113&amp;Q3113,'New Weekly Paste'!B:O,10,0)),0)</f>
        <v/>
      </c>
      <c r="L3113" s="239">
        <f t="shared" si="25"/>
        <v>0</v>
      </c>
      <c r="M3113" s="36" t="str">
        <f t="shared" si="3"/>
        <v>Regular Season</v>
      </c>
      <c r="N3113" s="239" t="str">
        <f t="shared" si="26"/>
        <v>Tayski</v>
      </c>
      <c r="O3113" s="6">
        <f>VLOOKUP(D3113,'Mapped Opponent'!$G$4:$H$22,2,0)</f>
        <v>7</v>
      </c>
      <c r="P3113" s="6"/>
      <c r="Q3113" s="6" t="str">
        <f t="shared" si="4"/>
        <v>Week 7</v>
      </c>
      <c r="R3113" s="6" t="str">
        <f t="shared" si="5"/>
        <v>2026Week 7</v>
      </c>
      <c r="S3113" s="6" t="str">
        <f>IFERROR(__xludf.DUMMYFUNCTION("rank(J3113,FILTER(J:J,R:R=R3113))"),"#N/A")</f>
        <v>#N/A</v>
      </c>
      <c r="T3113" s="6">
        <f t="shared" si="6"/>
        <v>0</v>
      </c>
      <c r="U3113" s="6">
        <f t="shared" si="7"/>
        <v>12</v>
      </c>
      <c r="V3113" s="42">
        <f>averageif(AllData!A:A,B3113,AllData!R:R)/vlookup(B3113,AllData!A:O,15,0)</f>
        <v>90.45916667</v>
      </c>
      <c r="W3113" s="6"/>
    </row>
    <row r="3114" ht="14.25" customHeight="1">
      <c r="A3114" s="6" t="str">
        <f t="shared" si="29"/>
        <v>2026Shep7</v>
      </c>
      <c r="B3114" s="59">
        <v>2026.0</v>
      </c>
      <c r="C3114" s="13" t="s">
        <v>89</v>
      </c>
      <c r="D3114" s="13" t="s">
        <v>143</v>
      </c>
      <c r="E3114" s="34"/>
      <c r="F3114" s="6"/>
      <c r="H3114" s="6"/>
      <c r="I3114" s="35" t="str">
        <f>IFERROR(IFERROR(IFERROR(VLOOKUP(B3114&amp;C3114&amp;Q3114,'New Weekly Paste'!A:M,10,0),VLOOKUP(B3114&amp;C3114&amp;Q3114,'New Weekly Paste'!B:O,6,0)),""),"")</f>
        <v>Salty</v>
      </c>
      <c r="J3114" s="239" t="str">
        <f>IFERROR(IFERROR(VLOOKUP(B3114&amp;C3114&amp;Q3114,'New Weekly Paste'!A:M,8,0),VLOOKUP(B3114&amp;C3114&amp;Q3114,'New Weekly Paste'!B:O,10,0)),0)</f>
        <v/>
      </c>
      <c r="K3114" s="239" t="str">
        <f>IFERROR(IFERROR(VLOOKUP(B3114&amp;I3114&amp;Q3114,'New Weekly Paste'!A:M,8,0),VLOOKUP(B3114&amp;I3114&amp;Q3114,'New Weekly Paste'!B:O,10,0)),0)</f>
        <v/>
      </c>
      <c r="L3114" s="239">
        <f t="shared" si="25"/>
        <v>0</v>
      </c>
      <c r="M3114" s="36" t="str">
        <f t="shared" si="3"/>
        <v>Regular Season</v>
      </c>
      <c r="N3114" s="239" t="str">
        <f t="shared" si="26"/>
        <v>Salty</v>
      </c>
      <c r="O3114" s="6">
        <f>VLOOKUP(D3114,'Mapped Opponent'!$G$4:$H$22,2,0)</f>
        <v>7</v>
      </c>
      <c r="P3114" s="6"/>
      <c r="Q3114" s="6" t="str">
        <f t="shared" si="4"/>
        <v>Week 7</v>
      </c>
      <c r="R3114" s="6" t="str">
        <f t="shared" si="5"/>
        <v>2026Week 7</v>
      </c>
      <c r="S3114" s="6" t="str">
        <f>IFERROR(__xludf.DUMMYFUNCTION("rank(J3114,FILTER(J:J,R:R=R3114))"),"#N/A")</f>
        <v>#N/A</v>
      </c>
      <c r="T3114" s="6">
        <f t="shared" si="6"/>
        <v>0</v>
      </c>
      <c r="U3114" s="6">
        <f t="shared" si="7"/>
        <v>12</v>
      </c>
      <c r="V3114" s="42">
        <f>averageif(AllData!A:A,B3114,AllData!R:R)/vlookup(B3114,AllData!A:O,15,0)</f>
        <v>90.45916667</v>
      </c>
      <c r="W3114" s="6"/>
    </row>
    <row r="3115" ht="14.25" customHeight="1">
      <c r="A3115" s="6" t="str">
        <f t="shared" si="29"/>
        <v>2026Riley7</v>
      </c>
      <c r="B3115" s="59">
        <v>2026.0</v>
      </c>
      <c r="C3115" s="13" t="s">
        <v>67</v>
      </c>
      <c r="D3115" s="13" t="s">
        <v>143</v>
      </c>
      <c r="E3115" s="34"/>
      <c r="F3115" s="6"/>
      <c r="H3115" s="6"/>
      <c r="I3115" s="35" t="str">
        <f>IFERROR(IFERROR(IFERROR(VLOOKUP(B3115&amp;C3115&amp;Q3115,'New Weekly Paste'!A:M,10,0),VLOOKUP(B3115&amp;C3115&amp;Q3115,'New Weekly Paste'!B:O,6,0)),""),"")</f>
        <v>Cock</v>
      </c>
      <c r="J3115" s="239" t="str">
        <f>IFERROR(IFERROR(VLOOKUP(B3115&amp;C3115&amp;Q3115,'New Weekly Paste'!A:M,8,0),VLOOKUP(B3115&amp;C3115&amp;Q3115,'New Weekly Paste'!B:O,10,0)),0)</f>
        <v/>
      </c>
      <c r="K3115" s="239" t="str">
        <f>IFERROR(IFERROR(VLOOKUP(B3115&amp;I3115&amp;Q3115,'New Weekly Paste'!A:M,8,0),VLOOKUP(B3115&amp;I3115&amp;Q3115,'New Weekly Paste'!B:O,10,0)),0)</f>
        <v/>
      </c>
      <c r="L3115" s="239">
        <f t="shared" si="25"/>
        <v>0</v>
      </c>
      <c r="M3115" s="36" t="str">
        <f t="shared" si="3"/>
        <v>Regular Season</v>
      </c>
      <c r="N3115" s="239" t="str">
        <f t="shared" si="26"/>
        <v>Cock</v>
      </c>
      <c r="O3115" s="6">
        <f>VLOOKUP(D3115,'Mapped Opponent'!$G$4:$H$22,2,0)</f>
        <v>7</v>
      </c>
      <c r="P3115" s="6"/>
      <c r="Q3115" s="6" t="str">
        <f t="shared" si="4"/>
        <v>Week 7</v>
      </c>
      <c r="R3115" s="6" t="str">
        <f t="shared" si="5"/>
        <v>2026Week 7</v>
      </c>
      <c r="S3115" s="6" t="str">
        <f>IFERROR(__xludf.DUMMYFUNCTION("rank(J3115,FILTER(J:J,R:R=R3115))"),"#N/A")</f>
        <v>#N/A</v>
      </c>
      <c r="T3115" s="6">
        <f t="shared" si="6"/>
        <v>0</v>
      </c>
      <c r="U3115" s="6">
        <f t="shared" si="7"/>
        <v>12</v>
      </c>
      <c r="V3115" s="42">
        <f>averageif(AllData!A:A,B3115,AllData!R:R)/vlookup(B3115,AllData!A:O,15,0)</f>
        <v>90.45916667</v>
      </c>
      <c r="W3115" s="6"/>
    </row>
    <row r="3116" ht="14.25" customHeight="1">
      <c r="A3116" s="6" t="str">
        <f t="shared" si="29"/>
        <v>2026Rooney/Jackson7</v>
      </c>
      <c r="B3116" s="59">
        <v>2026.0</v>
      </c>
      <c r="C3116" s="13" t="s">
        <v>57</v>
      </c>
      <c r="D3116" s="13" t="s">
        <v>143</v>
      </c>
      <c r="E3116" s="34"/>
      <c r="F3116" s="6"/>
      <c r="H3116" s="6"/>
      <c r="I3116" s="35" t="str">
        <f>IFERROR(IFERROR(IFERROR(VLOOKUP(B3116&amp;C3116&amp;Q3116,'New Weekly Paste'!A:M,10,0),VLOOKUP(B3116&amp;C3116&amp;Q3116,'New Weekly Paste'!B:O,6,0)),""),"")</f>
        <v>KnardDawg</v>
      </c>
      <c r="J3116" s="239" t="str">
        <f>IFERROR(IFERROR(VLOOKUP(B3116&amp;C3116&amp;Q3116,'New Weekly Paste'!A:M,8,0),VLOOKUP(B3116&amp;C3116&amp;Q3116,'New Weekly Paste'!B:O,10,0)),0)</f>
        <v/>
      </c>
      <c r="K3116" s="239" t="str">
        <f>IFERROR(IFERROR(VLOOKUP(B3116&amp;I3116&amp;Q3116,'New Weekly Paste'!A:M,8,0),VLOOKUP(B3116&amp;I3116&amp;Q3116,'New Weekly Paste'!B:O,10,0)),0)</f>
        <v/>
      </c>
      <c r="L3116" s="239">
        <f t="shared" si="25"/>
        <v>0</v>
      </c>
      <c r="M3116" s="36" t="str">
        <f t="shared" si="3"/>
        <v>Regular Season</v>
      </c>
      <c r="N3116" s="239" t="str">
        <f t="shared" si="26"/>
        <v>KnardDawg</v>
      </c>
      <c r="O3116" s="6">
        <f>VLOOKUP(D3116,'Mapped Opponent'!$G$4:$H$22,2,0)</f>
        <v>7</v>
      </c>
      <c r="P3116" s="6"/>
      <c r="Q3116" s="6" t="str">
        <f t="shared" si="4"/>
        <v>Week 7</v>
      </c>
      <c r="R3116" s="6" t="str">
        <f t="shared" si="5"/>
        <v>2026Week 7</v>
      </c>
      <c r="S3116" s="6" t="str">
        <f>IFERROR(__xludf.DUMMYFUNCTION("rank(J3116,FILTER(J:J,R:R=R3116))"),"#N/A")</f>
        <v>#N/A</v>
      </c>
      <c r="T3116" s="6">
        <f t="shared" si="6"/>
        <v>0</v>
      </c>
      <c r="U3116" s="6">
        <f t="shared" si="7"/>
        <v>12</v>
      </c>
      <c r="V3116" s="42">
        <f>averageif(AllData!A:A,B3116,AllData!R:R)/vlookup(B3116,AllData!A:O,15,0)</f>
        <v>90.45916667</v>
      </c>
      <c r="W3116" s="6"/>
    </row>
    <row r="3117" ht="14.25" customHeight="1">
      <c r="A3117" s="6" t="str">
        <f t="shared" si="29"/>
        <v>2026Buser7</v>
      </c>
      <c r="B3117" s="59">
        <v>2026.0</v>
      </c>
      <c r="C3117" s="13" t="s">
        <v>47</v>
      </c>
      <c r="D3117" s="13" t="s">
        <v>143</v>
      </c>
      <c r="E3117" s="34"/>
      <c r="F3117" s="6"/>
      <c r="H3117" s="6"/>
      <c r="I3117" s="35" t="str">
        <f>IFERROR(IFERROR(IFERROR(VLOOKUP(B3117&amp;C3117&amp;Q3117,'New Weekly Paste'!A:M,10,0),VLOOKUP(B3117&amp;C3117&amp;Q3117,'New Weekly Paste'!B:O,6,0)),""),"")</f>
        <v>T-How</v>
      </c>
      <c r="J3117" s="239" t="str">
        <f>IFERROR(IFERROR(VLOOKUP(B3117&amp;C3117&amp;Q3117,'New Weekly Paste'!A:M,8,0),VLOOKUP(B3117&amp;C3117&amp;Q3117,'New Weekly Paste'!B:O,10,0)),0)</f>
        <v/>
      </c>
      <c r="K3117" s="239" t="str">
        <f>IFERROR(IFERROR(VLOOKUP(B3117&amp;I3117&amp;Q3117,'New Weekly Paste'!A:M,8,0),VLOOKUP(B3117&amp;I3117&amp;Q3117,'New Weekly Paste'!B:O,10,0)),0)</f>
        <v/>
      </c>
      <c r="L3117" s="239">
        <f t="shared" si="25"/>
        <v>0</v>
      </c>
      <c r="M3117" s="36" t="str">
        <f t="shared" si="3"/>
        <v>Regular Season</v>
      </c>
      <c r="N3117" s="239" t="str">
        <f t="shared" si="26"/>
        <v>T-How</v>
      </c>
      <c r="O3117" s="6">
        <f>VLOOKUP(D3117,'Mapped Opponent'!$G$4:$H$22,2,0)</f>
        <v>7</v>
      </c>
      <c r="P3117" s="6"/>
      <c r="Q3117" s="6" t="str">
        <f t="shared" si="4"/>
        <v>Week 7</v>
      </c>
      <c r="R3117" s="6" t="str">
        <f t="shared" si="5"/>
        <v>2026Week 7</v>
      </c>
      <c r="S3117" s="6" t="str">
        <f>IFERROR(__xludf.DUMMYFUNCTION("rank(J3117,FILTER(J:J,R:R=R3117))"),"#N/A")</f>
        <v>#N/A</v>
      </c>
      <c r="T3117" s="6">
        <f t="shared" si="6"/>
        <v>0</v>
      </c>
      <c r="U3117" s="6">
        <f t="shared" si="7"/>
        <v>12</v>
      </c>
      <c r="V3117" s="42">
        <f>averageif(AllData!A:A,B3117,AllData!R:R)/vlookup(B3117,AllData!A:O,15,0)</f>
        <v>90.45916667</v>
      </c>
      <c r="W3117" s="6"/>
    </row>
    <row r="3118" ht="14.25" customHeight="1">
      <c r="A3118" s="6" t="str">
        <f t="shared" si="29"/>
        <v>2026Pierson7</v>
      </c>
      <c r="B3118" s="59">
        <v>2026.0</v>
      </c>
      <c r="C3118" s="13" t="s">
        <v>92</v>
      </c>
      <c r="D3118" s="13" t="s">
        <v>143</v>
      </c>
      <c r="E3118" s="34"/>
      <c r="F3118" s="6"/>
      <c r="H3118" s="6"/>
      <c r="I3118" s="35" t="str">
        <f>IFERROR(IFERROR(IFERROR(VLOOKUP(B3118&amp;C3118&amp;Q3118,'New Weekly Paste'!A:M,10,0),VLOOKUP(B3118&amp;C3118&amp;Q3118,'New Weekly Paste'!B:O,6,0)),""),"")</f>
        <v>Hudspeath</v>
      </c>
      <c r="J3118" s="239" t="str">
        <f>IFERROR(IFERROR(VLOOKUP(B3118&amp;C3118&amp;Q3118,'New Weekly Paste'!A:M,8,0),VLOOKUP(B3118&amp;C3118&amp;Q3118,'New Weekly Paste'!B:O,10,0)),0)</f>
        <v/>
      </c>
      <c r="K3118" s="239" t="str">
        <f>IFERROR(IFERROR(VLOOKUP(B3118&amp;I3118&amp;Q3118,'New Weekly Paste'!A:M,8,0),VLOOKUP(B3118&amp;I3118&amp;Q3118,'New Weekly Paste'!B:O,10,0)),0)</f>
        <v/>
      </c>
      <c r="L3118" s="239">
        <f t="shared" si="25"/>
        <v>0</v>
      </c>
      <c r="M3118" s="36" t="str">
        <f t="shared" si="3"/>
        <v>Regular Season</v>
      </c>
      <c r="N3118" s="239" t="str">
        <f t="shared" si="26"/>
        <v>Hudspeath</v>
      </c>
      <c r="O3118" s="6">
        <f>VLOOKUP(D3118,'Mapped Opponent'!$G$4:$H$22,2,0)</f>
        <v>7</v>
      </c>
      <c r="P3118" s="6"/>
      <c r="Q3118" s="6" t="str">
        <f t="shared" si="4"/>
        <v>Week 7</v>
      </c>
      <c r="R3118" s="6" t="str">
        <f t="shared" si="5"/>
        <v>2026Week 7</v>
      </c>
      <c r="S3118" s="6" t="str">
        <f>IFERROR(__xludf.DUMMYFUNCTION("rank(J3118,FILTER(J:J,R:R=R3118))"),"#N/A")</f>
        <v>#N/A</v>
      </c>
      <c r="T3118" s="6">
        <f t="shared" si="6"/>
        <v>0</v>
      </c>
      <c r="U3118" s="6">
        <f t="shared" si="7"/>
        <v>12</v>
      </c>
      <c r="V3118" s="42">
        <f>averageif(AllData!A:A,B3118,AllData!R:R)/vlookup(B3118,AllData!A:O,15,0)</f>
        <v>90.45916667</v>
      </c>
      <c r="W3118" s="6"/>
    </row>
    <row r="3119" ht="14.25" customHeight="1">
      <c r="A3119" s="6" t="str">
        <f t="shared" si="29"/>
        <v>2026Cock7</v>
      </c>
      <c r="B3119" s="59">
        <v>2026.0</v>
      </c>
      <c r="C3119" s="13" t="s">
        <v>72</v>
      </c>
      <c r="D3119" s="13" t="s">
        <v>143</v>
      </c>
      <c r="E3119" s="34"/>
      <c r="F3119" s="6"/>
      <c r="H3119" s="6"/>
      <c r="I3119" s="35" t="str">
        <f>IFERROR(IFERROR(IFERROR(VLOOKUP(B3119&amp;C3119&amp;Q3119,'New Weekly Paste'!A:M,10,0),VLOOKUP(B3119&amp;C3119&amp;Q3119,'New Weekly Paste'!B:O,6,0)),""),"")</f>
        <v>Riley</v>
      </c>
      <c r="J3119" s="239" t="str">
        <f>IFERROR(IFERROR(VLOOKUP(B3119&amp;C3119&amp;Q3119,'New Weekly Paste'!A:M,8,0),VLOOKUP(B3119&amp;C3119&amp;Q3119,'New Weekly Paste'!B:O,10,0)),0)</f>
        <v/>
      </c>
      <c r="K3119" s="239" t="str">
        <f>IFERROR(IFERROR(VLOOKUP(B3119&amp;I3119&amp;Q3119,'New Weekly Paste'!A:M,8,0),VLOOKUP(B3119&amp;I3119&amp;Q3119,'New Weekly Paste'!B:O,10,0)),0)</f>
        <v/>
      </c>
      <c r="L3119" s="239">
        <f t="shared" si="25"/>
        <v>0</v>
      </c>
      <c r="M3119" s="36" t="str">
        <f t="shared" si="3"/>
        <v>Regular Season</v>
      </c>
      <c r="N3119" s="239" t="str">
        <f t="shared" si="26"/>
        <v>Riley</v>
      </c>
      <c r="O3119" s="6">
        <f>VLOOKUP(D3119,'Mapped Opponent'!$G$4:$H$22,2,0)</f>
        <v>7</v>
      </c>
      <c r="P3119" s="6"/>
      <c r="Q3119" s="6" t="str">
        <f t="shared" si="4"/>
        <v>Week 7</v>
      </c>
      <c r="R3119" s="6" t="str">
        <f t="shared" si="5"/>
        <v>2026Week 7</v>
      </c>
      <c r="S3119" s="6" t="str">
        <f>IFERROR(__xludf.DUMMYFUNCTION("rank(J3119,FILTER(J:J,R:R=R3119))"),"#N/A")</f>
        <v>#N/A</v>
      </c>
      <c r="T3119" s="6">
        <f t="shared" si="6"/>
        <v>0</v>
      </c>
      <c r="U3119" s="6">
        <f t="shared" si="7"/>
        <v>12</v>
      </c>
      <c r="V3119" s="42">
        <f>averageif(AllData!A:A,B3119,AllData!R:R)/vlookup(B3119,AllData!A:O,15,0)</f>
        <v>90.45916667</v>
      </c>
      <c r="W3119" s="6"/>
    </row>
    <row r="3120" ht="14.25" customHeight="1">
      <c r="A3120" s="6" t="str">
        <f t="shared" si="29"/>
        <v>2026Tayski7</v>
      </c>
      <c r="B3120" s="59">
        <v>2026.0</v>
      </c>
      <c r="C3120" s="13" t="s">
        <v>52</v>
      </c>
      <c r="D3120" s="13" t="s">
        <v>143</v>
      </c>
      <c r="E3120" s="34"/>
      <c r="F3120" s="6"/>
      <c r="H3120" s="6"/>
      <c r="I3120" s="35" t="str">
        <f>IFERROR(IFERROR(IFERROR(VLOOKUP(B3120&amp;C3120&amp;Q3120,'New Weekly Paste'!A:M,10,0),VLOOKUP(B3120&amp;C3120&amp;Q3120,'New Weekly Paste'!B:O,6,0)),""),"")</f>
        <v>Ewert</v>
      </c>
      <c r="J3120" s="239" t="str">
        <f>IFERROR(IFERROR(VLOOKUP(B3120&amp;C3120&amp;Q3120,'New Weekly Paste'!A:M,8,0),VLOOKUP(B3120&amp;C3120&amp;Q3120,'New Weekly Paste'!B:O,10,0)),0)</f>
        <v/>
      </c>
      <c r="K3120" s="239" t="str">
        <f>IFERROR(IFERROR(VLOOKUP(B3120&amp;I3120&amp;Q3120,'New Weekly Paste'!A:M,8,0),VLOOKUP(B3120&amp;I3120&amp;Q3120,'New Weekly Paste'!B:O,10,0)),0)</f>
        <v/>
      </c>
      <c r="L3120" s="239">
        <f t="shared" si="25"/>
        <v>0</v>
      </c>
      <c r="M3120" s="36" t="str">
        <f t="shared" si="3"/>
        <v>Regular Season</v>
      </c>
      <c r="N3120" s="239" t="str">
        <f t="shared" si="26"/>
        <v>Ewert</v>
      </c>
      <c r="O3120" s="6">
        <f>VLOOKUP(D3120,'Mapped Opponent'!$G$4:$H$22,2,0)</f>
        <v>7</v>
      </c>
      <c r="P3120" s="6"/>
      <c r="Q3120" s="6" t="str">
        <f t="shared" si="4"/>
        <v>Week 7</v>
      </c>
      <c r="R3120" s="6" t="str">
        <f t="shared" si="5"/>
        <v>2026Week 7</v>
      </c>
      <c r="S3120" s="6" t="str">
        <f>IFERROR(__xludf.DUMMYFUNCTION("rank(J3120,FILTER(J:J,R:R=R3120))"),"#N/A")</f>
        <v>#N/A</v>
      </c>
      <c r="T3120" s="6">
        <f t="shared" si="6"/>
        <v>0</v>
      </c>
      <c r="U3120" s="6">
        <f t="shared" si="7"/>
        <v>12</v>
      </c>
      <c r="V3120" s="42">
        <f>averageif(AllData!A:A,B3120,AllData!R:R)/vlookup(B3120,AllData!A:O,15,0)</f>
        <v>90.45916667</v>
      </c>
      <c r="W3120" s="6"/>
    </row>
    <row r="3121" ht="14.25" customHeight="1">
      <c r="A3121" s="6" t="str">
        <f t="shared" si="29"/>
        <v>2026KnardDawg7</v>
      </c>
      <c r="B3121" s="59">
        <v>2026.0</v>
      </c>
      <c r="C3121" s="13" t="s">
        <v>86</v>
      </c>
      <c r="D3121" s="13" t="s">
        <v>143</v>
      </c>
      <c r="E3121" s="34"/>
      <c r="F3121" s="6"/>
      <c r="H3121" s="6"/>
      <c r="I3121" s="35" t="str">
        <f>IFERROR(IFERROR(IFERROR(VLOOKUP(B3121&amp;C3121&amp;Q3121,'New Weekly Paste'!A:M,10,0),VLOOKUP(B3121&amp;C3121&amp;Q3121,'New Weekly Paste'!B:O,6,0)),""),"")</f>
        <v>Rooney/Jackson</v>
      </c>
      <c r="J3121" s="239" t="str">
        <f>IFERROR(IFERROR(VLOOKUP(B3121&amp;C3121&amp;Q3121,'New Weekly Paste'!A:M,8,0),VLOOKUP(B3121&amp;C3121&amp;Q3121,'New Weekly Paste'!B:O,10,0)),0)</f>
        <v/>
      </c>
      <c r="K3121" s="239" t="str">
        <f>IFERROR(IFERROR(VLOOKUP(B3121&amp;I3121&amp;Q3121,'New Weekly Paste'!A:M,8,0),VLOOKUP(B3121&amp;I3121&amp;Q3121,'New Weekly Paste'!B:O,10,0)),0)</f>
        <v/>
      </c>
      <c r="L3121" s="239">
        <f t="shared" si="25"/>
        <v>0</v>
      </c>
      <c r="M3121" s="36" t="str">
        <f t="shared" si="3"/>
        <v>Regular Season</v>
      </c>
      <c r="N3121" s="239" t="str">
        <f t="shared" si="26"/>
        <v>Rooney/Jackson</v>
      </c>
      <c r="O3121" s="6">
        <f>VLOOKUP(D3121,'Mapped Opponent'!$G$4:$H$22,2,0)</f>
        <v>7</v>
      </c>
      <c r="P3121" s="6"/>
      <c r="Q3121" s="6" t="str">
        <f t="shared" si="4"/>
        <v>Week 7</v>
      </c>
      <c r="R3121" s="6" t="str">
        <f t="shared" si="5"/>
        <v>2026Week 7</v>
      </c>
      <c r="S3121" s="6" t="str">
        <f>IFERROR(__xludf.DUMMYFUNCTION("rank(J3121,FILTER(J:J,R:R=R3121))"),"#N/A")</f>
        <v>#N/A</v>
      </c>
      <c r="T3121" s="6">
        <f t="shared" si="6"/>
        <v>0</v>
      </c>
      <c r="U3121" s="6">
        <f t="shared" si="7"/>
        <v>12</v>
      </c>
      <c r="V3121" s="42">
        <f>averageif(AllData!A:A,B3121,AllData!R:R)/vlookup(B3121,AllData!A:O,15,0)</f>
        <v>90.45916667</v>
      </c>
      <c r="W3121" s="6"/>
    </row>
    <row r="3122" ht="14.25" customHeight="1">
      <c r="A3122" s="6" t="str">
        <f t="shared" si="29"/>
        <v>2026T-How7</v>
      </c>
      <c r="B3122" s="59">
        <v>2026.0</v>
      </c>
      <c r="C3122" s="13" t="s">
        <v>82</v>
      </c>
      <c r="D3122" s="13" t="s">
        <v>143</v>
      </c>
      <c r="E3122" s="34"/>
      <c r="F3122" s="6"/>
      <c r="H3122" s="6"/>
      <c r="I3122" s="35" t="str">
        <f>IFERROR(IFERROR(IFERROR(VLOOKUP(B3122&amp;C3122&amp;Q3122,'New Weekly Paste'!A:M,10,0),VLOOKUP(B3122&amp;C3122&amp;Q3122,'New Weekly Paste'!B:O,6,0)),""),"")</f>
        <v>Buser</v>
      </c>
      <c r="J3122" s="239" t="str">
        <f>IFERROR(IFERROR(VLOOKUP(B3122&amp;C3122&amp;Q3122,'New Weekly Paste'!A:M,8,0),VLOOKUP(B3122&amp;C3122&amp;Q3122,'New Weekly Paste'!B:O,10,0)),0)</f>
        <v/>
      </c>
      <c r="K3122" s="239" t="str">
        <f>IFERROR(IFERROR(VLOOKUP(B3122&amp;I3122&amp;Q3122,'New Weekly Paste'!A:M,8,0),VLOOKUP(B3122&amp;I3122&amp;Q3122,'New Weekly Paste'!B:O,10,0)),0)</f>
        <v/>
      </c>
      <c r="L3122" s="239">
        <f t="shared" si="25"/>
        <v>0</v>
      </c>
      <c r="M3122" s="36" t="str">
        <f t="shared" si="3"/>
        <v>Regular Season</v>
      </c>
      <c r="N3122" s="239" t="str">
        <f t="shared" si="26"/>
        <v>Buser</v>
      </c>
      <c r="O3122" s="6">
        <f>VLOOKUP(D3122,'Mapped Opponent'!$G$4:$H$22,2,0)</f>
        <v>7</v>
      </c>
      <c r="P3122" s="6"/>
      <c r="Q3122" s="6" t="str">
        <f t="shared" si="4"/>
        <v>Week 7</v>
      </c>
      <c r="R3122" s="6" t="str">
        <f t="shared" si="5"/>
        <v>2026Week 7</v>
      </c>
      <c r="S3122" s="6" t="str">
        <f>IFERROR(__xludf.DUMMYFUNCTION("rank(J3122,FILTER(J:J,R:R=R3122))"),"#N/A")</f>
        <v>#N/A</v>
      </c>
      <c r="T3122" s="6">
        <f t="shared" si="6"/>
        <v>0</v>
      </c>
      <c r="U3122" s="6">
        <f t="shared" si="7"/>
        <v>12</v>
      </c>
      <c r="V3122" s="42">
        <f>averageif(AllData!A:A,B3122,AllData!R:R)/vlookup(B3122,AllData!A:O,15,0)</f>
        <v>90.45916667</v>
      </c>
      <c r="W3122" s="6"/>
    </row>
    <row r="3123" ht="14.25" customHeight="1">
      <c r="A3123" s="6" t="str">
        <f t="shared" si="29"/>
        <v>2026Hudspeath8</v>
      </c>
      <c r="B3123" s="59">
        <v>2026.0</v>
      </c>
      <c r="C3123" s="13" t="s">
        <v>39</v>
      </c>
      <c r="D3123" s="13" t="s">
        <v>145</v>
      </c>
      <c r="E3123" s="34"/>
      <c r="F3123" s="6"/>
      <c r="H3123" s="6"/>
      <c r="I3123" s="35" t="str">
        <f>IFERROR(IFERROR(IFERROR(VLOOKUP(B3123&amp;C3123&amp;Q3123,'New Weekly Paste'!A:M,10,0),VLOOKUP(B3123&amp;C3123&amp;Q3123,'New Weekly Paste'!B:O,6,0)),""),"")</f>
        <v>Tayski</v>
      </c>
      <c r="J3123" s="239" t="str">
        <f>IFERROR(IFERROR(VLOOKUP(B3123&amp;C3123&amp;Q3123,'New Weekly Paste'!A:M,8,0),VLOOKUP(B3123&amp;C3123&amp;Q3123,'New Weekly Paste'!B:O,10,0)),0)</f>
        <v/>
      </c>
      <c r="K3123" s="239" t="str">
        <f>IFERROR(IFERROR(VLOOKUP(B3123&amp;I3123&amp;Q3123,'New Weekly Paste'!A:M,8,0),VLOOKUP(B3123&amp;I3123&amp;Q3123,'New Weekly Paste'!B:O,10,0)),0)</f>
        <v/>
      </c>
      <c r="L3123" s="239">
        <f t="shared" si="25"/>
        <v>0</v>
      </c>
      <c r="M3123" s="36" t="str">
        <f t="shared" si="3"/>
        <v>Regular Season</v>
      </c>
      <c r="N3123" s="239" t="str">
        <f t="shared" si="26"/>
        <v>Tayski</v>
      </c>
      <c r="O3123" s="6">
        <f>VLOOKUP(D3123,'Mapped Opponent'!$G$4:$H$22,2,0)</f>
        <v>8</v>
      </c>
      <c r="P3123" s="6"/>
      <c r="Q3123" s="6" t="str">
        <f t="shared" si="4"/>
        <v>Week 8</v>
      </c>
      <c r="R3123" s="6" t="str">
        <f t="shared" si="5"/>
        <v>2026Week 8</v>
      </c>
      <c r="S3123" s="6" t="str">
        <f>IFERROR(__xludf.DUMMYFUNCTION("rank(J3123,FILTER(J:J,R:R=R3123))"),"#N/A")</f>
        <v>#N/A</v>
      </c>
      <c r="T3123" s="6">
        <f t="shared" si="6"/>
        <v>0</v>
      </c>
      <c r="U3123" s="6">
        <f t="shared" si="7"/>
        <v>12</v>
      </c>
      <c r="V3123" s="42">
        <f>averageif(AllData!A:A,B3123,AllData!R:R)/vlookup(B3123,AllData!A:O,15,0)</f>
        <v>90.45916667</v>
      </c>
      <c r="W3123" s="6"/>
    </row>
    <row r="3124" ht="14.25" customHeight="1">
      <c r="A3124" s="6" t="str">
        <f t="shared" si="29"/>
        <v>2026Salty8</v>
      </c>
      <c r="B3124" s="59">
        <v>2026.0</v>
      </c>
      <c r="C3124" s="13" t="s">
        <v>76</v>
      </c>
      <c r="D3124" s="13" t="s">
        <v>145</v>
      </c>
      <c r="E3124" s="34"/>
      <c r="F3124" s="6"/>
      <c r="H3124" s="6"/>
      <c r="I3124" s="35" t="str">
        <f>IFERROR(IFERROR(IFERROR(VLOOKUP(B3124&amp;C3124&amp;Q3124,'New Weekly Paste'!A:M,10,0),VLOOKUP(B3124&amp;C3124&amp;Q3124,'New Weekly Paste'!B:O,6,0)),""),"")</f>
        <v>Ewert</v>
      </c>
      <c r="J3124" s="239" t="str">
        <f>IFERROR(IFERROR(VLOOKUP(B3124&amp;C3124&amp;Q3124,'New Weekly Paste'!A:M,8,0),VLOOKUP(B3124&amp;C3124&amp;Q3124,'New Weekly Paste'!B:O,10,0)),0)</f>
        <v/>
      </c>
      <c r="K3124" s="239" t="str">
        <f>IFERROR(IFERROR(VLOOKUP(B3124&amp;I3124&amp;Q3124,'New Weekly Paste'!A:M,8,0),VLOOKUP(B3124&amp;I3124&amp;Q3124,'New Weekly Paste'!B:O,10,0)),0)</f>
        <v/>
      </c>
      <c r="L3124" s="239">
        <f t="shared" si="25"/>
        <v>0</v>
      </c>
      <c r="M3124" s="36" t="str">
        <f t="shared" si="3"/>
        <v>Regular Season</v>
      </c>
      <c r="N3124" s="239" t="str">
        <f t="shared" si="26"/>
        <v>Ewert</v>
      </c>
      <c r="O3124" s="6">
        <f>VLOOKUP(D3124,'Mapped Opponent'!$G$4:$H$22,2,0)</f>
        <v>8</v>
      </c>
      <c r="P3124" s="6"/>
      <c r="Q3124" s="6" t="str">
        <f t="shared" si="4"/>
        <v>Week 8</v>
      </c>
      <c r="R3124" s="6" t="str">
        <f t="shared" si="5"/>
        <v>2026Week 8</v>
      </c>
      <c r="S3124" s="6" t="str">
        <f>IFERROR(__xludf.DUMMYFUNCTION("rank(J3124,FILTER(J:J,R:R=R3124))"),"#N/A")</f>
        <v>#N/A</v>
      </c>
      <c r="T3124" s="6">
        <f t="shared" si="6"/>
        <v>0</v>
      </c>
      <c r="U3124" s="6">
        <f t="shared" si="7"/>
        <v>12</v>
      </c>
      <c r="V3124" s="42">
        <f>averageif(AllData!A:A,B3124,AllData!R:R)/vlookup(B3124,AllData!A:O,15,0)</f>
        <v>90.45916667</v>
      </c>
      <c r="W3124" s="6"/>
    </row>
    <row r="3125" ht="14.25" customHeight="1">
      <c r="A3125" s="6" t="str">
        <f t="shared" si="29"/>
        <v>2026Ewert8</v>
      </c>
      <c r="B3125" s="59">
        <v>2026.0</v>
      </c>
      <c r="C3125" s="13" t="s">
        <v>108</v>
      </c>
      <c r="D3125" s="13" t="s">
        <v>145</v>
      </c>
      <c r="E3125" s="34"/>
      <c r="F3125" s="6"/>
      <c r="H3125" s="6"/>
      <c r="I3125" s="35" t="str">
        <f>IFERROR(IFERROR(IFERROR(VLOOKUP(B3125&amp;C3125&amp;Q3125,'New Weekly Paste'!A:M,10,0),VLOOKUP(B3125&amp;C3125&amp;Q3125,'New Weekly Paste'!B:O,6,0)),""),"")</f>
        <v>Salty</v>
      </c>
      <c r="J3125" s="239" t="str">
        <f>IFERROR(IFERROR(VLOOKUP(B3125&amp;C3125&amp;Q3125,'New Weekly Paste'!A:M,8,0),VLOOKUP(B3125&amp;C3125&amp;Q3125,'New Weekly Paste'!B:O,10,0)),0)</f>
        <v/>
      </c>
      <c r="K3125" s="239" t="str">
        <f>IFERROR(IFERROR(VLOOKUP(B3125&amp;I3125&amp;Q3125,'New Weekly Paste'!A:M,8,0),VLOOKUP(B3125&amp;I3125&amp;Q3125,'New Weekly Paste'!B:O,10,0)),0)</f>
        <v/>
      </c>
      <c r="L3125" s="239">
        <f t="shared" si="25"/>
        <v>0</v>
      </c>
      <c r="M3125" s="36" t="str">
        <f t="shared" si="3"/>
        <v>Regular Season</v>
      </c>
      <c r="N3125" s="239" t="str">
        <f t="shared" si="26"/>
        <v>Salty</v>
      </c>
      <c r="O3125" s="6">
        <f>VLOOKUP(D3125,'Mapped Opponent'!$G$4:$H$22,2,0)</f>
        <v>8</v>
      </c>
      <c r="P3125" s="6"/>
      <c r="Q3125" s="6" t="str">
        <f t="shared" si="4"/>
        <v>Week 8</v>
      </c>
      <c r="R3125" s="6" t="str">
        <f t="shared" si="5"/>
        <v>2026Week 8</v>
      </c>
      <c r="S3125" s="6" t="str">
        <f>IFERROR(__xludf.DUMMYFUNCTION("rank(J3125,FILTER(J:J,R:R=R3125))"),"#N/A")</f>
        <v>#N/A</v>
      </c>
      <c r="T3125" s="6">
        <f t="shared" si="6"/>
        <v>0</v>
      </c>
      <c r="U3125" s="6">
        <f t="shared" si="7"/>
        <v>12</v>
      </c>
      <c r="V3125" s="42">
        <f>averageif(AllData!A:A,B3125,AllData!R:R)/vlookup(B3125,AllData!A:O,15,0)</f>
        <v>90.45916667</v>
      </c>
      <c r="W3125" s="6"/>
    </row>
    <row r="3126" ht="14.25" customHeight="1">
      <c r="A3126" s="6" t="str">
        <f t="shared" si="29"/>
        <v>2026Shep8</v>
      </c>
      <c r="B3126" s="59">
        <v>2026.0</v>
      </c>
      <c r="C3126" s="13" t="s">
        <v>89</v>
      </c>
      <c r="D3126" s="13" t="s">
        <v>145</v>
      </c>
      <c r="E3126" s="34"/>
      <c r="F3126" s="6"/>
      <c r="H3126" s="6"/>
      <c r="I3126" s="35" t="str">
        <f>IFERROR(IFERROR(IFERROR(VLOOKUP(B3126&amp;C3126&amp;Q3126,'New Weekly Paste'!A:M,10,0),VLOOKUP(B3126&amp;C3126&amp;Q3126,'New Weekly Paste'!B:O,6,0)),""),"")</f>
        <v>Cock</v>
      </c>
      <c r="J3126" s="239" t="str">
        <f>IFERROR(IFERROR(VLOOKUP(B3126&amp;C3126&amp;Q3126,'New Weekly Paste'!A:M,8,0),VLOOKUP(B3126&amp;C3126&amp;Q3126,'New Weekly Paste'!B:O,10,0)),0)</f>
        <v/>
      </c>
      <c r="K3126" s="239" t="str">
        <f>IFERROR(IFERROR(VLOOKUP(B3126&amp;I3126&amp;Q3126,'New Weekly Paste'!A:M,8,0),VLOOKUP(B3126&amp;I3126&amp;Q3126,'New Weekly Paste'!B:O,10,0)),0)</f>
        <v/>
      </c>
      <c r="L3126" s="239">
        <f t="shared" si="25"/>
        <v>0</v>
      </c>
      <c r="M3126" s="36" t="str">
        <f t="shared" si="3"/>
        <v>Regular Season</v>
      </c>
      <c r="N3126" s="239" t="str">
        <f t="shared" si="26"/>
        <v>Cock</v>
      </c>
      <c r="O3126" s="6">
        <f>VLOOKUP(D3126,'Mapped Opponent'!$G$4:$H$22,2,0)</f>
        <v>8</v>
      </c>
      <c r="P3126" s="6"/>
      <c r="Q3126" s="6" t="str">
        <f t="shared" si="4"/>
        <v>Week 8</v>
      </c>
      <c r="R3126" s="6" t="str">
        <f t="shared" si="5"/>
        <v>2026Week 8</v>
      </c>
      <c r="S3126" s="6" t="str">
        <f>IFERROR(__xludf.DUMMYFUNCTION("rank(J3126,FILTER(J:J,R:R=R3126))"),"#N/A")</f>
        <v>#N/A</v>
      </c>
      <c r="T3126" s="6">
        <f t="shared" si="6"/>
        <v>0</v>
      </c>
      <c r="U3126" s="6">
        <f t="shared" si="7"/>
        <v>12</v>
      </c>
      <c r="V3126" s="42">
        <f>averageif(AllData!A:A,B3126,AllData!R:R)/vlookup(B3126,AllData!A:O,15,0)</f>
        <v>90.45916667</v>
      </c>
      <c r="W3126" s="6"/>
    </row>
    <row r="3127" ht="14.25" customHeight="1">
      <c r="A3127" s="6" t="str">
        <f t="shared" si="29"/>
        <v>2026Riley8</v>
      </c>
      <c r="B3127" s="59">
        <v>2026.0</v>
      </c>
      <c r="C3127" s="13" t="s">
        <v>67</v>
      </c>
      <c r="D3127" s="13" t="s">
        <v>145</v>
      </c>
      <c r="E3127" s="34"/>
      <c r="F3127" s="6"/>
      <c r="H3127" s="6"/>
      <c r="I3127" s="35" t="str">
        <f>IFERROR(IFERROR(IFERROR(VLOOKUP(B3127&amp;C3127&amp;Q3127,'New Weekly Paste'!A:M,10,0),VLOOKUP(B3127&amp;C3127&amp;Q3127,'New Weekly Paste'!B:O,6,0)),""),"")</f>
        <v>T-How</v>
      </c>
      <c r="J3127" s="239" t="str">
        <f>IFERROR(IFERROR(VLOOKUP(B3127&amp;C3127&amp;Q3127,'New Weekly Paste'!A:M,8,0),VLOOKUP(B3127&amp;C3127&amp;Q3127,'New Weekly Paste'!B:O,10,0)),0)</f>
        <v/>
      </c>
      <c r="K3127" s="239" t="str">
        <f>IFERROR(IFERROR(VLOOKUP(B3127&amp;I3127&amp;Q3127,'New Weekly Paste'!A:M,8,0),VLOOKUP(B3127&amp;I3127&amp;Q3127,'New Weekly Paste'!B:O,10,0)),0)</f>
        <v/>
      </c>
      <c r="L3127" s="239">
        <f t="shared" si="25"/>
        <v>0</v>
      </c>
      <c r="M3127" s="36" t="str">
        <f t="shared" si="3"/>
        <v>Regular Season</v>
      </c>
      <c r="N3127" s="239" t="str">
        <f t="shared" si="26"/>
        <v>T-How</v>
      </c>
      <c r="O3127" s="6">
        <f>VLOOKUP(D3127,'Mapped Opponent'!$G$4:$H$22,2,0)</f>
        <v>8</v>
      </c>
      <c r="P3127" s="6"/>
      <c r="Q3127" s="6" t="str">
        <f t="shared" si="4"/>
        <v>Week 8</v>
      </c>
      <c r="R3127" s="6" t="str">
        <f t="shared" si="5"/>
        <v>2026Week 8</v>
      </c>
      <c r="S3127" s="6" t="str">
        <f>IFERROR(__xludf.DUMMYFUNCTION("rank(J3127,FILTER(J:J,R:R=R3127))"),"#N/A")</f>
        <v>#N/A</v>
      </c>
      <c r="T3127" s="6">
        <f t="shared" si="6"/>
        <v>0</v>
      </c>
      <c r="U3127" s="6">
        <f t="shared" si="7"/>
        <v>12</v>
      </c>
      <c r="V3127" s="42">
        <f>averageif(AllData!A:A,B3127,AllData!R:R)/vlookup(B3127,AllData!A:O,15,0)</f>
        <v>90.45916667</v>
      </c>
      <c r="W3127" s="6"/>
    </row>
    <row r="3128" ht="14.25" customHeight="1">
      <c r="A3128" s="6" t="str">
        <f t="shared" si="29"/>
        <v>2026Rooney/Jackson8</v>
      </c>
      <c r="B3128" s="59">
        <v>2026.0</v>
      </c>
      <c r="C3128" s="13" t="s">
        <v>57</v>
      </c>
      <c r="D3128" s="13" t="s">
        <v>145</v>
      </c>
      <c r="E3128" s="34"/>
      <c r="F3128" s="6"/>
      <c r="H3128" s="6"/>
      <c r="I3128" s="35" t="str">
        <f>IFERROR(IFERROR(IFERROR(VLOOKUP(B3128&amp;C3128&amp;Q3128,'New Weekly Paste'!A:M,10,0),VLOOKUP(B3128&amp;C3128&amp;Q3128,'New Weekly Paste'!B:O,6,0)),""),"")</f>
        <v>Buser</v>
      </c>
      <c r="J3128" s="239" t="str">
        <f>IFERROR(IFERROR(VLOOKUP(B3128&amp;C3128&amp;Q3128,'New Weekly Paste'!A:M,8,0),VLOOKUP(B3128&amp;C3128&amp;Q3128,'New Weekly Paste'!B:O,10,0)),0)</f>
        <v/>
      </c>
      <c r="K3128" s="239" t="str">
        <f>IFERROR(IFERROR(VLOOKUP(B3128&amp;I3128&amp;Q3128,'New Weekly Paste'!A:M,8,0),VLOOKUP(B3128&amp;I3128&amp;Q3128,'New Weekly Paste'!B:O,10,0)),0)</f>
        <v/>
      </c>
      <c r="L3128" s="239">
        <f t="shared" si="25"/>
        <v>0</v>
      </c>
      <c r="M3128" s="36" t="str">
        <f t="shared" si="3"/>
        <v>Regular Season</v>
      </c>
      <c r="N3128" s="239" t="str">
        <f t="shared" si="26"/>
        <v>Buser</v>
      </c>
      <c r="O3128" s="6">
        <f>VLOOKUP(D3128,'Mapped Opponent'!$G$4:$H$22,2,0)</f>
        <v>8</v>
      </c>
      <c r="P3128" s="6"/>
      <c r="Q3128" s="6" t="str">
        <f t="shared" si="4"/>
        <v>Week 8</v>
      </c>
      <c r="R3128" s="6" t="str">
        <f t="shared" si="5"/>
        <v>2026Week 8</v>
      </c>
      <c r="S3128" s="6" t="str">
        <f>IFERROR(__xludf.DUMMYFUNCTION("rank(J3128,FILTER(J:J,R:R=R3128))"),"#N/A")</f>
        <v>#N/A</v>
      </c>
      <c r="T3128" s="6">
        <f t="shared" si="6"/>
        <v>0</v>
      </c>
      <c r="U3128" s="6">
        <f t="shared" si="7"/>
        <v>12</v>
      </c>
      <c r="V3128" s="42">
        <f>averageif(AllData!A:A,B3128,AllData!R:R)/vlookup(B3128,AllData!A:O,15,0)</f>
        <v>90.45916667</v>
      </c>
      <c r="W3128" s="6"/>
    </row>
    <row r="3129" ht="14.25" customHeight="1">
      <c r="A3129" s="6" t="str">
        <f t="shared" si="29"/>
        <v>2026Buser8</v>
      </c>
      <c r="B3129" s="59">
        <v>2026.0</v>
      </c>
      <c r="C3129" s="13" t="s">
        <v>47</v>
      </c>
      <c r="D3129" s="13" t="s">
        <v>145</v>
      </c>
      <c r="E3129" s="34"/>
      <c r="F3129" s="6"/>
      <c r="H3129" s="6"/>
      <c r="I3129" s="35" t="str">
        <f>IFERROR(IFERROR(IFERROR(VLOOKUP(B3129&amp;C3129&amp;Q3129,'New Weekly Paste'!A:M,10,0),VLOOKUP(B3129&amp;C3129&amp;Q3129,'New Weekly Paste'!B:O,6,0)),""),"")</f>
        <v>Rooney/Jackson</v>
      </c>
      <c r="J3129" s="239" t="str">
        <f>IFERROR(IFERROR(VLOOKUP(B3129&amp;C3129&amp;Q3129,'New Weekly Paste'!A:M,8,0),VLOOKUP(B3129&amp;C3129&amp;Q3129,'New Weekly Paste'!B:O,10,0)),0)</f>
        <v/>
      </c>
      <c r="K3129" s="239" t="str">
        <f>IFERROR(IFERROR(VLOOKUP(B3129&amp;I3129&amp;Q3129,'New Weekly Paste'!A:M,8,0),VLOOKUP(B3129&amp;I3129&amp;Q3129,'New Weekly Paste'!B:O,10,0)),0)</f>
        <v/>
      </c>
      <c r="L3129" s="239">
        <f t="shared" si="25"/>
        <v>0</v>
      </c>
      <c r="M3129" s="36" t="str">
        <f t="shared" si="3"/>
        <v>Regular Season</v>
      </c>
      <c r="N3129" s="239" t="str">
        <f t="shared" si="26"/>
        <v>Rooney/Jackson</v>
      </c>
      <c r="O3129" s="6">
        <f>VLOOKUP(D3129,'Mapped Opponent'!$G$4:$H$22,2,0)</f>
        <v>8</v>
      </c>
      <c r="P3129" s="6"/>
      <c r="Q3129" s="6" t="str">
        <f t="shared" si="4"/>
        <v>Week 8</v>
      </c>
      <c r="R3129" s="6" t="str">
        <f t="shared" si="5"/>
        <v>2026Week 8</v>
      </c>
      <c r="S3129" s="6" t="str">
        <f>IFERROR(__xludf.DUMMYFUNCTION("rank(J3129,FILTER(J:J,R:R=R3129))"),"#N/A")</f>
        <v>#N/A</v>
      </c>
      <c r="T3129" s="6">
        <f t="shared" si="6"/>
        <v>0</v>
      </c>
      <c r="U3129" s="6">
        <f t="shared" si="7"/>
        <v>12</v>
      </c>
      <c r="V3129" s="42">
        <f>averageif(AllData!A:A,B3129,AllData!R:R)/vlookup(B3129,AllData!A:O,15,0)</f>
        <v>90.45916667</v>
      </c>
      <c r="W3129" s="6"/>
    </row>
    <row r="3130" ht="14.25" customHeight="1">
      <c r="A3130" s="6" t="str">
        <f t="shared" si="29"/>
        <v>2026Pierson8</v>
      </c>
      <c r="B3130" s="59">
        <v>2026.0</v>
      </c>
      <c r="C3130" s="13" t="s">
        <v>92</v>
      </c>
      <c r="D3130" s="13" t="s">
        <v>145</v>
      </c>
      <c r="E3130" s="34"/>
      <c r="F3130" s="6"/>
      <c r="H3130" s="6"/>
      <c r="I3130" s="35" t="str">
        <f>IFERROR(IFERROR(IFERROR(VLOOKUP(B3130&amp;C3130&amp;Q3130,'New Weekly Paste'!A:M,10,0),VLOOKUP(B3130&amp;C3130&amp;Q3130,'New Weekly Paste'!B:O,6,0)),""),"")</f>
        <v>KnardDawg</v>
      </c>
      <c r="J3130" s="239" t="str">
        <f>IFERROR(IFERROR(VLOOKUP(B3130&amp;C3130&amp;Q3130,'New Weekly Paste'!A:M,8,0),VLOOKUP(B3130&amp;C3130&amp;Q3130,'New Weekly Paste'!B:O,10,0)),0)</f>
        <v/>
      </c>
      <c r="K3130" s="239" t="str">
        <f>IFERROR(IFERROR(VLOOKUP(B3130&amp;I3130&amp;Q3130,'New Weekly Paste'!A:M,8,0),VLOOKUP(B3130&amp;I3130&amp;Q3130,'New Weekly Paste'!B:O,10,0)),0)</f>
        <v/>
      </c>
      <c r="L3130" s="239">
        <f t="shared" si="25"/>
        <v>0</v>
      </c>
      <c r="M3130" s="36" t="str">
        <f t="shared" si="3"/>
        <v>Regular Season</v>
      </c>
      <c r="N3130" s="239" t="str">
        <f t="shared" si="26"/>
        <v>KnardDawg</v>
      </c>
      <c r="O3130" s="6">
        <f>VLOOKUP(D3130,'Mapped Opponent'!$G$4:$H$22,2,0)</f>
        <v>8</v>
      </c>
      <c r="P3130" s="6"/>
      <c r="Q3130" s="6" t="str">
        <f t="shared" si="4"/>
        <v>Week 8</v>
      </c>
      <c r="R3130" s="6" t="str">
        <f t="shared" si="5"/>
        <v>2026Week 8</v>
      </c>
      <c r="S3130" s="6" t="str">
        <f>IFERROR(__xludf.DUMMYFUNCTION("rank(J3130,FILTER(J:J,R:R=R3130))"),"#N/A")</f>
        <v>#N/A</v>
      </c>
      <c r="T3130" s="6">
        <f t="shared" si="6"/>
        <v>0</v>
      </c>
      <c r="U3130" s="6">
        <f t="shared" si="7"/>
        <v>12</v>
      </c>
      <c r="V3130" s="42">
        <f>averageif(AllData!A:A,B3130,AllData!R:R)/vlookup(B3130,AllData!A:O,15,0)</f>
        <v>90.45916667</v>
      </c>
      <c r="W3130" s="6"/>
    </row>
    <row r="3131" ht="14.25" customHeight="1">
      <c r="A3131" s="6" t="str">
        <f t="shared" si="29"/>
        <v>2026Cock8</v>
      </c>
      <c r="B3131" s="59">
        <v>2026.0</v>
      </c>
      <c r="C3131" s="13" t="s">
        <v>72</v>
      </c>
      <c r="D3131" s="13" t="s">
        <v>145</v>
      </c>
      <c r="E3131" s="34"/>
      <c r="F3131" s="6"/>
      <c r="H3131" s="6"/>
      <c r="I3131" s="35" t="str">
        <f>IFERROR(IFERROR(IFERROR(VLOOKUP(B3131&amp;C3131&amp;Q3131,'New Weekly Paste'!A:M,10,0),VLOOKUP(B3131&amp;C3131&amp;Q3131,'New Weekly Paste'!B:O,6,0)),""),"")</f>
        <v>Shep</v>
      </c>
      <c r="J3131" s="239" t="str">
        <f>IFERROR(IFERROR(VLOOKUP(B3131&amp;C3131&amp;Q3131,'New Weekly Paste'!A:M,8,0),VLOOKUP(B3131&amp;C3131&amp;Q3131,'New Weekly Paste'!B:O,10,0)),0)</f>
        <v/>
      </c>
      <c r="K3131" s="239" t="str">
        <f>IFERROR(IFERROR(VLOOKUP(B3131&amp;I3131&amp;Q3131,'New Weekly Paste'!A:M,8,0),VLOOKUP(B3131&amp;I3131&amp;Q3131,'New Weekly Paste'!B:O,10,0)),0)</f>
        <v/>
      </c>
      <c r="L3131" s="239">
        <f t="shared" si="25"/>
        <v>0</v>
      </c>
      <c r="M3131" s="36" t="str">
        <f t="shared" si="3"/>
        <v>Regular Season</v>
      </c>
      <c r="N3131" s="239" t="str">
        <f t="shared" si="26"/>
        <v>Shep</v>
      </c>
      <c r="O3131" s="6">
        <f>VLOOKUP(D3131,'Mapped Opponent'!$G$4:$H$22,2,0)</f>
        <v>8</v>
      </c>
      <c r="P3131" s="6"/>
      <c r="Q3131" s="6" t="str">
        <f t="shared" si="4"/>
        <v>Week 8</v>
      </c>
      <c r="R3131" s="6" t="str">
        <f t="shared" si="5"/>
        <v>2026Week 8</v>
      </c>
      <c r="S3131" s="6" t="str">
        <f>IFERROR(__xludf.DUMMYFUNCTION("rank(J3131,FILTER(J:J,R:R=R3131))"),"#N/A")</f>
        <v>#N/A</v>
      </c>
      <c r="T3131" s="6">
        <f t="shared" si="6"/>
        <v>0</v>
      </c>
      <c r="U3131" s="6">
        <f t="shared" si="7"/>
        <v>12</v>
      </c>
      <c r="V3131" s="42">
        <f>averageif(AllData!A:A,B3131,AllData!R:R)/vlookup(B3131,AllData!A:O,15,0)</f>
        <v>90.45916667</v>
      </c>
      <c r="W3131" s="6"/>
    </row>
    <row r="3132" ht="14.25" customHeight="1">
      <c r="A3132" s="6" t="str">
        <f t="shared" si="29"/>
        <v>2026Tayski8</v>
      </c>
      <c r="B3132" s="59">
        <v>2026.0</v>
      </c>
      <c r="C3132" s="13" t="s">
        <v>52</v>
      </c>
      <c r="D3132" s="13" t="s">
        <v>145</v>
      </c>
      <c r="E3132" s="34"/>
      <c r="F3132" s="6"/>
      <c r="H3132" s="6"/>
      <c r="I3132" s="35" t="str">
        <f>IFERROR(IFERROR(IFERROR(VLOOKUP(B3132&amp;C3132&amp;Q3132,'New Weekly Paste'!A:M,10,0),VLOOKUP(B3132&amp;C3132&amp;Q3132,'New Weekly Paste'!B:O,6,0)),""),"")</f>
        <v>Hudspeath</v>
      </c>
      <c r="J3132" s="239" t="str">
        <f>IFERROR(IFERROR(VLOOKUP(B3132&amp;C3132&amp;Q3132,'New Weekly Paste'!A:M,8,0),VLOOKUP(B3132&amp;C3132&amp;Q3132,'New Weekly Paste'!B:O,10,0)),0)</f>
        <v/>
      </c>
      <c r="K3132" s="239" t="str">
        <f>IFERROR(IFERROR(VLOOKUP(B3132&amp;I3132&amp;Q3132,'New Weekly Paste'!A:M,8,0),VLOOKUP(B3132&amp;I3132&amp;Q3132,'New Weekly Paste'!B:O,10,0)),0)</f>
        <v/>
      </c>
      <c r="L3132" s="239">
        <f t="shared" si="25"/>
        <v>0</v>
      </c>
      <c r="M3132" s="36" t="str">
        <f t="shared" si="3"/>
        <v>Regular Season</v>
      </c>
      <c r="N3132" s="239" t="str">
        <f t="shared" si="26"/>
        <v>Hudspeath</v>
      </c>
      <c r="O3132" s="6">
        <f>VLOOKUP(D3132,'Mapped Opponent'!$G$4:$H$22,2,0)</f>
        <v>8</v>
      </c>
      <c r="P3132" s="6"/>
      <c r="Q3132" s="6" t="str">
        <f t="shared" si="4"/>
        <v>Week 8</v>
      </c>
      <c r="R3132" s="6" t="str">
        <f t="shared" si="5"/>
        <v>2026Week 8</v>
      </c>
      <c r="S3132" s="6" t="str">
        <f>IFERROR(__xludf.DUMMYFUNCTION("rank(J3132,FILTER(J:J,R:R=R3132))"),"#N/A")</f>
        <v>#N/A</v>
      </c>
      <c r="T3132" s="6">
        <f t="shared" si="6"/>
        <v>0</v>
      </c>
      <c r="U3132" s="6">
        <f t="shared" si="7"/>
        <v>12</v>
      </c>
      <c r="V3132" s="42">
        <f>averageif(AllData!A:A,B3132,AllData!R:R)/vlookup(B3132,AllData!A:O,15,0)</f>
        <v>90.45916667</v>
      </c>
      <c r="W3132" s="6"/>
    </row>
    <row r="3133" ht="14.25" customHeight="1">
      <c r="A3133" s="6" t="str">
        <f t="shared" si="29"/>
        <v>2026KnardDawg8</v>
      </c>
      <c r="B3133" s="59">
        <v>2026.0</v>
      </c>
      <c r="C3133" s="13" t="s">
        <v>86</v>
      </c>
      <c r="D3133" s="13" t="s">
        <v>145</v>
      </c>
      <c r="E3133" s="34"/>
      <c r="F3133" s="6"/>
      <c r="H3133" s="6"/>
      <c r="I3133" s="35" t="str">
        <f>IFERROR(IFERROR(IFERROR(VLOOKUP(B3133&amp;C3133&amp;Q3133,'New Weekly Paste'!A:M,10,0),VLOOKUP(B3133&amp;C3133&amp;Q3133,'New Weekly Paste'!B:O,6,0)),""),"")</f>
        <v>Pierson</v>
      </c>
      <c r="J3133" s="239" t="str">
        <f>IFERROR(IFERROR(VLOOKUP(B3133&amp;C3133&amp;Q3133,'New Weekly Paste'!A:M,8,0),VLOOKUP(B3133&amp;C3133&amp;Q3133,'New Weekly Paste'!B:O,10,0)),0)</f>
        <v/>
      </c>
      <c r="K3133" s="239" t="str">
        <f>IFERROR(IFERROR(VLOOKUP(B3133&amp;I3133&amp;Q3133,'New Weekly Paste'!A:M,8,0),VLOOKUP(B3133&amp;I3133&amp;Q3133,'New Weekly Paste'!B:O,10,0)),0)</f>
        <v/>
      </c>
      <c r="L3133" s="239">
        <f t="shared" si="25"/>
        <v>0</v>
      </c>
      <c r="M3133" s="36" t="str">
        <f t="shared" si="3"/>
        <v>Regular Season</v>
      </c>
      <c r="N3133" s="239" t="str">
        <f t="shared" si="26"/>
        <v>Pierson</v>
      </c>
      <c r="O3133" s="6">
        <f>VLOOKUP(D3133,'Mapped Opponent'!$G$4:$H$22,2,0)</f>
        <v>8</v>
      </c>
      <c r="P3133" s="6"/>
      <c r="Q3133" s="6" t="str">
        <f t="shared" si="4"/>
        <v>Week 8</v>
      </c>
      <c r="R3133" s="6" t="str">
        <f t="shared" si="5"/>
        <v>2026Week 8</v>
      </c>
      <c r="S3133" s="6" t="str">
        <f>IFERROR(__xludf.DUMMYFUNCTION("rank(J3133,FILTER(J:J,R:R=R3133))"),"#N/A")</f>
        <v>#N/A</v>
      </c>
      <c r="T3133" s="6">
        <f t="shared" si="6"/>
        <v>0</v>
      </c>
      <c r="U3133" s="6">
        <f t="shared" si="7"/>
        <v>12</v>
      </c>
      <c r="V3133" s="42">
        <f>averageif(AllData!A:A,B3133,AllData!R:R)/vlookup(B3133,AllData!A:O,15,0)</f>
        <v>90.45916667</v>
      </c>
      <c r="W3133" s="6"/>
    </row>
    <row r="3134" ht="14.25" customHeight="1">
      <c r="A3134" s="6" t="str">
        <f t="shared" si="29"/>
        <v>2026T-How8</v>
      </c>
      <c r="B3134" s="59">
        <v>2026.0</v>
      </c>
      <c r="C3134" s="13" t="s">
        <v>82</v>
      </c>
      <c r="D3134" s="13" t="s">
        <v>145</v>
      </c>
      <c r="E3134" s="34"/>
      <c r="F3134" s="6"/>
      <c r="H3134" s="6"/>
      <c r="I3134" s="35" t="str">
        <f>IFERROR(IFERROR(IFERROR(VLOOKUP(B3134&amp;C3134&amp;Q3134,'New Weekly Paste'!A:M,10,0),VLOOKUP(B3134&amp;C3134&amp;Q3134,'New Weekly Paste'!B:O,6,0)),""),"")</f>
        <v>Riley</v>
      </c>
      <c r="J3134" s="239" t="str">
        <f>IFERROR(IFERROR(VLOOKUP(B3134&amp;C3134&amp;Q3134,'New Weekly Paste'!A:M,8,0),VLOOKUP(B3134&amp;C3134&amp;Q3134,'New Weekly Paste'!B:O,10,0)),0)</f>
        <v/>
      </c>
      <c r="K3134" s="239" t="str">
        <f>IFERROR(IFERROR(VLOOKUP(B3134&amp;I3134&amp;Q3134,'New Weekly Paste'!A:M,8,0),VLOOKUP(B3134&amp;I3134&amp;Q3134,'New Weekly Paste'!B:O,10,0)),0)</f>
        <v/>
      </c>
      <c r="L3134" s="239">
        <f t="shared" si="25"/>
        <v>0</v>
      </c>
      <c r="M3134" s="36" t="str">
        <f t="shared" si="3"/>
        <v>Regular Season</v>
      </c>
      <c r="N3134" s="239" t="str">
        <f t="shared" si="26"/>
        <v>Riley</v>
      </c>
      <c r="O3134" s="6">
        <f>VLOOKUP(D3134,'Mapped Opponent'!$G$4:$H$22,2,0)</f>
        <v>8</v>
      </c>
      <c r="P3134" s="6"/>
      <c r="Q3134" s="6" t="str">
        <f t="shared" si="4"/>
        <v>Week 8</v>
      </c>
      <c r="R3134" s="6" t="str">
        <f t="shared" si="5"/>
        <v>2026Week 8</v>
      </c>
      <c r="S3134" s="6" t="str">
        <f>IFERROR(__xludf.DUMMYFUNCTION("rank(J3134,FILTER(J:J,R:R=R3134))"),"#N/A")</f>
        <v>#N/A</v>
      </c>
      <c r="T3134" s="6">
        <f t="shared" si="6"/>
        <v>0</v>
      </c>
      <c r="U3134" s="6">
        <f t="shared" si="7"/>
        <v>12</v>
      </c>
      <c r="V3134" s="42">
        <f>averageif(AllData!A:A,B3134,AllData!R:R)/vlookup(B3134,AllData!A:O,15,0)</f>
        <v>90.45916667</v>
      </c>
      <c r="W3134" s="6"/>
    </row>
    <row r="3135" ht="14.25" customHeight="1">
      <c r="A3135" s="6" t="str">
        <f t="shared" si="29"/>
        <v>2026Hudspeath9</v>
      </c>
      <c r="B3135" s="59">
        <v>2026.0</v>
      </c>
      <c r="C3135" s="13" t="s">
        <v>39</v>
      </c>
      <c r="D3135" s="13" t="s">
        <v>147</v>
      </c>
      <c r="E3135" s="34"/>
      <c r="F3135" s="6"/>
      <c r="H3135" s="6"/>
      <c r="I3135" s="35" t="str">
        <f>IFERROR(IFERROR(IFERROR(VLOOKUP(B3135&amp;C3135&amp;Q3135,'New Weekly Paste'!A:M,10,0),VLOOKUP(B3135&amp;C3135&amp;Q3135,'New Weekly Paste'!B:O,6,0)),""),"")</f>
        <v>Salty</v>
      </c>
      <c r="J3135" s="239" t="str">
        <f>IFERROR(IFERROR(VLOOKUP(B3135&amp;C3135&amp;Q3135,'New Weekly Paste'!A:M,8,0),VLOOKUP(B3135&amp;C3135&amp;Q3135,'New Weekly Paste'!B:O,10,0)),0)</f>
        <v/>
      </c>
      <c r="K3135" s="239" t="str">
        <f>IFERROR(IFERROR(VLOOKUP(B3135&amp;I3135&amp;Q3135,'New Weekly Paste'!A:M,8,0),VLOOKUP(B3135&amp;I3135&amp;Q3135,'New Weekly Paste'!B:O,10,0)),0)</f>
        <v/>
      </c>
      <c r="L3135" s="239">
        <f t="shared" si="25"/>
        <v>0</v>
      </c>
      <c r="M3135" s="36" t="str">
        <f t="shared" si="3"/>
        <v>Regular Season</v>
      </c>
      <c r="N3135" s="239" t="str">
        <f t="shared" si="26"/>
        <v>Salty</v>
      </c>
      <c r="O3135" s="6">
        <f>VLOOKUP(D3135,'Mapped Opponent'!$G$4:$H$22,2,0)</f>
        <v>9</v>
      </c>
      <c r="P3135" s="6"/>
      <c r="Q3135" s="6" t="str">
        <f t="shared" si="4"/>
        <v>Week 9</v>
      </c>
      <c r="R3135" s="6" t="str">
        <f t="shared" si="5"/>
        <v>2026Week 9</v>
      </c>
      <c r="S3135" s="6" t="str">
        <f>IFERROR(__xludf.DUMMYFUNCTION("rank(J3135,FILTER(J:J,R:R=R3135))"),"#N/A")</f>
        <v>#N/A</v>
      </c>
      <c r="T3135" s="6">
        <f t="shared" si="6"/>
        <v>0</v>
      </c>
      <c r="U3135" s="6">
        <f t="shared" si="7"/>
        <v>12</v>
      </c>
      <c r="V3135" s="42">
        <f>averageif(AllData!A:A,B3135,AllData!R:R)/vlookup(B3135,AllData!A:O,15,0)</f>
        <v>90.45916667</v>
      </c>
      <c r="W3135" s="6"/>
    </row>
    <row r="3136" ht="14.25" customHeight="1">
      <c r="A3136" s="6" t="str">
        <f t="shared" si="29"/>
        <v>2026Salty9</v>
      </c>
      <c r="B3136" s="59">
        <v>2026.0</v>
      </c>
      <c r="C3136" s="13" t="s">
        <v>76</v>
      </c>
      <c r="D3136" s="13" t="s">
        <v>147</v>
      </c>
      <c r="E3136" s="34"/>
      <c r="F3136" s="6"/>
      <c r="H3136" s="6"/>
      <c r="I3136" s="35" t="str">
        <f>IFERROR(IFERROR(IFERROR(VLOOKUP(B3136&amp;C3136&amp;Q3136,'New Weekly Paste'!A:M,10,0),VLOOKUP(B3136&amp;C3136&amp;Q3136,'New Weekly Paste'!B:O,6,0)),""),"")</f>
        <v>Hudspeath</v>
      </c>
      <c r="J3136" s="239" t="str">
        <f>IFERROR(IFERROR(VLOOKUP(B3136&amp;C3136&amp;Q3136,'New Weekly Paste'!A:M,8,0),VLOOKUP(B3136&amp;C3136&amp;Q3136,'New Weekly Paste'!B:O,10,0)),0)</f>
        <v/>
      </c>
      <c r="K3136" s="239" t="str">
        <f>IFERROR(IFERROR(VLOOKUP(B3136&amp;I3136&amp;Q3136,'New Weekly Paste'!A:M,8,0),VLOOKUP(B3136&amp;I3136&amp;Q3136,'New Weekly Paste'!B:O,10,0)),0)</f>
        <v/>
      </c>
      <c r="L3136" s="239">
        <f t="shared" si="25"/>
        <v>0</v>
      </c>
      <c r="M3136" s="36" t="str">
        <f t="shared" si="3"/>
        <v>Regular Season</v>
      </c>
      <c r="N3136" s="239" t="str">
        <f t="shared" si="26"/>
        <v>Hudspeath</v>
      </c>
      <c r="O3136" s="6">
        <f>VLOOKUP(D3136,'Mapped Opponent'!$G$4:$H$22,2,0)</f>
        <v>9</v>
      </c>
      <c r="P3136" s="6"/>
      <c r="Q3136" s="6" t="str">
        <f t="shared" si="4"/>
        <v>Week 9</v>
      </c>
      <c r="R3136" s="6" t="str">
        <f t="shared" si="5"/>
        <v>2026Week 9</v>
      </c>
      <c r="S3136" s="6" t="str">
        <f>IFERROR(__xludf.DUMMYFUNCTION("rank(J3136,FILTER(J:J,R:R=R3136))"),"#N/A")</f>
        <v>#N/A</v>
      </c>
      <c r="T3136" s="6">
        <f t="shared" si="6"/>
        <v>0</v>
      </c>
      <c r="U3136" s="6">
        <f t="shared" si="7"/>
        <v>12</v>
      </c>
      <c r="V3136" s="42">
        <f>averageif(AllData!A:A,B3136,AllData!R:R)/vlookup(B3136,AllData!A:O,15,0)</f>
        <v>90.45916667</v>
      </c>
      <c r="W3136" s="6"/>
    </row>
    <row r="3137" ht="14.25" customHeight="1">
      <c r="A3137" s="6" t="str">
        <f t="shared" si="29"/>
        <v>2026Ewert9</v>
      </c>
      <c r="B3137" s="59">
        <v>2026.0</v>
      </c>
      <c r="C3137" s="13" t="s">
        <v>108</v>
      </c>
      <c r="D3137" s="13" t="s">
        <v>147</v>
      </c>
      <c r="E3137" s="34"/>
      <c r="F3137" s="6"/>
      <c r="H3137" s="6"/>
      <c r="I3137" s="35" t="str">
        <f>IFERROR(IFERROR(IFERROR(VLOOKUP(B3137&amp;C3137&amp;Q3137,'New Weekly Paste'!A:M,10,0),VLOOKUP(B3137&amp;C3137&amp;Q3137,'New Weekly Paste'!B:O,6,0)),""),"")</f>
        <v>Cock</v>
      </c>
      <c r="J3137" s="239" t="str">
        <f>IFERROR(IFERROR(VLOOKUP(B3137&amp;C3137&amp;Q3137,'New Weekly Paste'!A:M,8,0),VLOOKUP(B3137&amp;C3137&amp;Q3137,'New Weekly Paste'!B:O,10,0)),0)</f>
        <v/>
      </c>
      <c r="K3137" s="239" t="str">
        <f>IFERROR(IFERROR(VLOOKUP(B3137&amp;I3137&amp;Q3137,'New Weekly Paste'!A:M,8,0),VLOOKUP(B3137&amp;I3137&amp;Q3137,'New Weekly Paste'!B:O,10,0)),0)</f>
        <v/>
      </c>
      <c r="L3137" s="239">
        <f t="shared" si="25"/>
        <v>0</v>
      </c>
      <c r="M3137" s="36" t="str">
        <f t="shared" si="3"/>
        <v>Regular Season</v>
      </c>
      <c r="N3137" s="239" t="str">
        <f t="shared" si="26"/>
        <v>Cock</v>
      </c>
      <c r="O3137" s="6">
        <f>VLOOKUP(D3137,'Mapped Opponent'!$G$4:$H$22,2,0)</f>
        <v>9</v>
      </c>
      <c r="P3137" s="6"/>
      <c r="Q3137" s="6" t="str">
        <f t="shared" si="4"/>
        <v>Week 9</v>
      </c>
      <c r="R3137" s="6" t="str">
        <f t="shared" si="5"/>
        <v>2026Week 9</v>
      </c>
      <c r="S3137" s="6" t="str">
        <f>IFERROR(__xludf.DUMMYFUNCTION("rank(J3137,FILTER(J:J,R:R=R3137))"),"#N/A")</f>
        <v>#N/A</v>
      </c>
      <c r="T3137" s="6">
        <f t="shared" si="6"/>
        <v>0</v>
      </c>
      <c r="U3137" s="6">
        <f t="shared" si="7"/>
        <v>12</v>
      </c>
      <c r="V3137" s="42">
        <f>averageif(AllData!A:A,B3137,AllData!R:R)/vlookup(B3137,AllData!A:O,15,0)</f>
        <v>90.45916667</v>
      </c>
      <c r="W3137" s="6"/>
    </row>
    <row r="3138" ht="14.25" customHeight="1">
      <c r="A3138" s="6" t="str">
        <f t="shared" si="29"/>
        <v>2026Shep9</v>
      </c>
      <c r="B3138" s="59">
        <v>2026.0</v>
      </c>
      <c r="C3138" s="13" t="s">
        <v>89</v>
      </c>
      <c r="D3138" s="13" t="s">
        <v>147</v>
      </c>
      <c r="E3138" s="34"/>
      <c r="F3138" s="6"/>
      <c r="H3138" s="6"/>
      <c r="I3138" s="35" t="str">
        <f>IFERROR(IFERROR(IFERROR(VLOOKUP(B3138&amp;C3138&amp;Q3138,'New Weekly Paste'!A:M,10,0),VLOOKUP(B3138&amp;C3138&amp;Q3138,'New Weekly Paste'!B:O,6,0)),""),"")</f>
        <v>T-How</v>
      </c>
      <c r="J3138" s="239" t="str">
        <f>IFERROR(IFERROR(VLOOKUP(B3138&amp;C3138&amp;Q3138,'New Weekly Paste'!A:M,8,0),VLOOKUP(B3138&amp;C3138&amp;Q3138,'New Weekly Paste'!B:O,10,0)),0)</f>
        <v/>
      </c>
      <c r="K3138" s="239" t="str">
        <f>IFERROR(IFERROR(VLOOKUP(B3138&amp;I3138&amp;Q3138,'New Weekly Paste'!A:M,8,0),VLOOKUP(B3138&amp;I3138&amp;Q3138,'New Weekly Paste'!B:O,10,0)),0)</f>
        <v/>
      </c>
      <c r="L3138" s="239">
        <f t="shared" si="25"/>
        <v>0</v>
      </c>
      <c r="M3138" s="36" t="str">
        <f t="shared" si="3"/>
        <v>Regular Season</v>
      </c>
      <c r="N3138" s="239" t="str">
        <f t="shared" si="26"/>
        <v>T-How</v>
      </c>
      <c r="O3138" s="6">
        <f>VLOOKUP(D3138,'Mapped Opponent'!$G$4:$H$22,2,0)</f>
        <v>9</v>
      </c>
      <c r="P3138" s="6"/>
      <c r="Q3138" s="6" t="str">
        <f t="shared" si="4"/>
        <v>Week 9</v>
      </c>
      <c r="R3138" s="6" t="str">
        <f t="shared" si="5"/>
        <v>2026Week 9</v>
      </c>
      <c r="S3138" s="6" t="str">
        <f>IFERROR(__xludf.DUMMYFUNCTION("rank(J3138,FILTER(J:J,R:R=R3138))"),"#N/A")</f>
        <v>#N/A</v>
      </c>
      <c r="T3138" s="6">
        <f t="shared" si="6"/>
        <v>0</v>
      </c>
      <c r="U3138" s="6">
        <f t="shared" si="7"/>
        <v>12</v>
      </c>
      <c r="V3138" s="42">
        <f>averageif(AllData!A:A,B3138,AllData!R:R)/vlookup(B3138,AllData!A:O,15,0)</f>
        <v>90.45916667</v>
      </c>
      <c r="W3138" s="6"/>
    </row>
    <row r="3139" ht="14.25" customHeight="1">
      <c r="A3139" s="6" t="str">
        <f t="shared" si="29"/>
        <v>2026Riley9</v>
      </c>
      <c r="B3139" s="59">
        <v>2026.0</v>
      </c>
      <c r="C3139" s="13" t="s">
        <v>67</v>
      </c>
      <c r="D3139" s="13" t="s">
        <v>147</v>
      </c>
      <c r="E3139" s="34"/>
      <c r="F3139" s="6"/>
      <c r="H3139" s="6"/>
      <c r="I3139" s="35" t="str">
        <f>IFERROR(IFERROR(IFERROR(VLOOKUP(B3139&amp;C3139&amp;Q3139,'New Weekly Paste'!A:M,10,0),VLOOKUP(B3139&amp;C3139&amp;Q3139,'New Weekly Paste'!B:O,6,0)),""),"")</f>
        <v>Rooney/Jackson</v>
      </c>
      <c r="J3139" s="239" t="str">
        <f>IFERROR(IFERROR(VLOOKUP(B3139&amp;C3139&amp;Q3139,'New Weekly Paste'!A:M,8,0),VLOOKUP(B3139&amp;C3139&amp;Q3139,'New Weekly Paste'!B:O,10,0)),0)</f>
        <v/>
      </c>
      <c r="K3139" s="239" t="str">
        <f>IFERROR(IFERROR(VLOOKUP(B3139&amp;I3139&amp;Q3139,'New Weekly Paste'!A:M,8,0),VLOOKUP(B3139&amp;I3139&amp;Q3139,'New Weekly Paste'!B:O,10,0)),0)</f>
        <v/>
      </c>
      <c r="L3139" s="239">
        <f t="shared" si="25"/>
        <v>0</v>
      </c>
      <c r="M3139" s="36" t="str">
        <f t="shared" si="3"/>
        <v>Regular Season</v>
      </c>
      <c r="N3139" s="239" t="str">
        <f t="shared" si="26"/>
        <v>Rooney/Jackson</v>
      </c>
      <c r="O3139" s="6">
        <f>VLOOKUP(D3139,'Mapped Opponent'!$G$4:$H$22,2,0)</f>
        <v>9</v>
      </c>
      <c r="P3139" s="6"/>
      <c r="Q3139" s="6" t="str">
        <f t="shared" si="4"/>
        <v>Week 9</v>
      </c>
      <c r="R3139" s="6" t="str">
        <f t="shared" si="5"/>
        <v>2026Week 9</v>
      </c>
      <c r="S3139" s="6" t="str">
        <f>IFERROR(__xludf.DUMMYFUNCTION("rank(J3139,FILTER(J:J,R:R=R3139))"),"#N/A")</f>
        <v>#N/A</v>
      </c>
      <c r="T3139" s="6">
        <f t="shared" si="6"/>
        <v>0</v>
      </c>
      <c r="U3139" s="6">
        <f t="shared" si="7"/>
        <v>12</v>
      </c>
      <c r="V3139" s="42">
        <f>averageif(AllData!A:A,B3139,AllData!R:R)/vlookup(B3139,AllData!A:O,15,0)</f>
        <v>90.45916667</v>
      </c>
      <c r="W3139" s="6"/>
    </row>
    <row r="3140" ht="14.25" customHeight="1">
      <c r="A3140" s="6" t="str">
        <f t="shared" si="29"/>
        <v>2026Rooney/Jackson9</v>
      </c>
      <c r="B3140" s="59">
        <v>2026.0</v>
      </c>
      <c r="C3140" s="13" t="s">
        <v>57</v>
      </c>
      <c r="D3140" s="13" t="s">
        <v>147</v>
      </c>
      <c r="E3140" s="34"/>
      <c r="F3140" s="6"/>
      <c r="H3140" s="6"/>
      <c r="I3140" s="35" t="str">
        <f>IFERROR(IFERROR(IFERROR(VLOOKUP(B3140&amp;C3140&amp;Q3140,'New Weekly Paste'!A:M,10,0),VLOOKUP(B3140&amp;C3140&amp;Q3140,'New Weekly Paste'!B:O,6,0)),""),"")</f>
        <v>Riley</v>
      </c>
      <c r="J3140" s="239" t="str">
        <f>IFERROR(IFERROR(VLOOKUP(B3140&amp;C3140&amp;Q3140,'New Weekly Paste'!A:M,8,0),VLOOKUP(B3140&amp;C3140&amp;Q3140,'New Weekly Paste'!B:O,10,0)),0)</f>
        <v/>
      </c>
      <c r="K3140" s="239" t="str">
        <f>IFERROR(IFERROR(VLOOKUP(B3140&amp;I3140&amp;Q3140,'New Weekly Paste'!A:M,8,0),VLOOKUP(B3140&amp;I3140&amp;Q3140,'New Weekly Paste'!B:O,10,0)),0)</f>
        <v/>
      </c>
      <c r="L3140" s="239">
        <f t="shared" si="25"/>
        <v>0</v>
      </c>
      <c r="M3140" s="36" t="str">
        <f t="shared" si="3"/>
        <v>Regular Season</v>
      </c>
      <c r="N3140" s="239" t="str">
        <f t="shared" si="26"/>
        <v>Riley</v>
      </c>
      <c r="O3140" s="6">
        <f>VLOOKUP(D3140,'Mapped Opponent'!$G$4:$H$22,2,0)</f>
        <v>9</v>
      </c>
      <c r="P3140" s="6"/>
      <c r="Q3140" s="6" t="str">
        <f t="shared" si="4"/>
        <v>Week 9</v>
      </c>
      <c r="R3140" s="6" t="str">
        <f t="shared" si="5"/>
        <v>2026Week 9</v>
      </c>
      <c r="S3140" s="6" t="str">
        <f>IFERROR(__xludf.DUMMYFUNCTION("rank(J3140,FILTER(J:J,R:R=R3140))"),"#N/A")</f>
        <v>#N/A</v>
      </c>
      <c r="T3140" s="6">
        <f t="shared" si="6"/>
        <v>0</v>
      </c>
      <c r="U3140" s="6">
        <f t="shared" si="7"/>
        <v>12</v>
      </c>
      <c r="V3140" s="42">
        <f>averageif(AllData!A:A,B3140,AllData!R:R)/vlookup(B3140,AllData!A:O,15,0)</f>
        <v>90.45916667</v>
      </c>
      <c r="W3140" s="6"/>
    </row>
    <row r="3141" ht="14.25" customHeight="1">
      <c r="A3141" s="6" t="str">
        <f t="shared" si="29"/>
        <v>2026Buser9</v>
      </c>
      <c r="B3141" s="59">
        <v>2026.0</v>
      </c>
      <c r="C3141" s="13" t="s">
        <v>47</v>
      </c>
      <c r="D3141" s="13" t="s">
        <v>147</v>
      </c>
      <c r="E3141" s="34"/>
      <c r="F3141" s="6"/>
      <c r="H3141" s="6"/>
      <c r="I3141" s="35" t="str">
        <f>IFERROR(IFERROR(IFERROR(VLOOKUP(B3141&amp;C3141&amp;Q3141,'New Weekly Paste'!A:M,10,0),VLOOKUP(B3141&amp;C3141&amp;Q3141,'New Weekly Paste'!B:O,6,0)),""),"")</f>
        <v>KnardDawg</v>
      </c>
      <c r="J3141" s="239" t="str">
        <f>IFERROR(IFERROR(VLOOKUP(B3141&amp;C3141&amp;Q3141,'New Weekly Paste'!A:M,8,0),VLOOKUP(B3141&amp;C3141&amp;Q3141,'New Weekly Paste'!B:O,10,0)),0)</f>
        <v/>
      </c>
      <c r="K3141" s="239" t="str">
        <f>IFERROR(IFERROR(VLOOKUP(B3141&amp;I3141&amp;Q3141,'New Weekly Paste'!A:M,8,0),VLOOKUP(B3141&amp;I3141&amp;Q3141,'New Weekly Paste'!B:O,10,0)),0)</f>
        <v/>
      </c>
      <c r="L3141" s="239">
        <f t="shared" si="25"/>
        <v>0</v>
      </c>
      <c r="M3141" s="36" t="str">
        <f t="shared" si="3"/>
        <v>Regular Season</v>
      </c>
      <c r="N3141" s="239" t="str">
        <f t="shared" si="26"/>
        <v>KnardDawg</v>
      </c>
      <c r="O3141" s="6">
        <f>VLOOKUP(D3141,'Mapped Opponent'!$G$4:$H$22,2,0)</f>
        <v>9</v>
      </c>
      <c r="P3141" s="6"/>
      <c r="Q3141" s="6" t="str">
        <f t="shared" si="4"/>
        <v>Week 9</v>
      </c>
      <c r="R3141" s="6" t="str">
        <f t="shared" si="5"/>
        <v>2026Week 9</v>
      </c>
      <c r="S3141" s="6" t="str">
        <f>IFERROR(__xludf.DUMMYFUNCTION("rank(J3141,FILTER(J:J,R:R=R3141))"),"#N/A")</f>
        <v>#N/A</v>
      </c>
      <c r="T3141" s="6">
        <f t="shared" si="6"/>
        <v>0</v>
      </c>
      <c r="U3141" s="6">
        <f t="shared" si="7"/>
        <v>12</v>
      </c>
      <c r="V3141" s="42">
        <f>averageif(AllData!A:A,B3141,AllData!R:R)/vlookup(B3141,AllData!A:O,15,0)</f>
        <v>90.45916667</v>
      </c>
      <c r="W3141" s="6"/>
    </row>
    <row r="3142" ht="14.25" customHeight="1">
      <c r="A3142" s="6" t="str">
        <f t="shared" si="29"/>
        <v>2026Pierson9</v>
      </c>
      <c r="B3142" s="59">
        <v>2026.0</v>
      </c>
      <c r="C3142" s="13" t="s">
        <v>92</v>
      </c>
      <c r="D3142" s="13" t="s">
        <v>147</v>
      </c>
      <c r="E3142" s="34"/>
      <c r="F3142" s="6"/>
      <c r="H3142" s="6"/>
      <c r="I3142" s="35" t="str">
        <f>IFERROR(IFERROR(IFERROR(VLOOKUP(B3142&amp;C3142&amp;Q3142,'New Weekly Paste'!A:M,10,0),VLOOKUP(B3142&amp;C3142&amp;Q3142,'New Weekly Paste'!B:O,6,0)),""),"")</f>
        <v>Tayski</v>
      </c>
      <c r="J3142" s="239" t="str">
        <f>IFERROR(IFERROR(VLOOKUP(B3142&amp;C3142&amp;Q3142,'New Weekly Paste'!A:M,8,0),VLOOKUP(B3142&amp;C3142&amp;Q3142,'New Weekly Paste'!B:O,10,0)),0)</f>
        <v/>
      </c>
      <c r="K3142" s="239" t="str">
        <f>IFERROR(IFERROR(VLOOKUP(B3142&amp;I3142&amp;Q3142,'New Weekly Paste'!A:M,8,0),VLOOKUP(B3142&amp;I3142&amp;Q3142,'New Weekly Paste'!B:O,10,0)),0)</f>
        <v/>
      </c>
      <c r="L3142" s="239">
        <f t="shared" si="25"/>
        <v>0</v>
      </c>
      <c r="M3142" s="36" t="str">
        <f t="shared" si="3"/>
        <v>Regular Season</v>
      </c>
      <c r="N3142" s="239" t="str">
        <f t="shared" si="26"/>
        <v>Tayski</v>
      </c>
      <c r="O3142" s="6">
        <f>VLOOKUP(D3142,'Mapped Opponent'!$G$4:$H$22,2,0)</f>
        <v>9</v>
      </c>
      <c r="P3142" s="6"/>
      <c r="Q3142" s="6" t="str">
        <f t="shared" si="4"/>
        <v>Week 9</v>
      </c>
      <c r="R3142" s="6" t="str">
        <f t="shared" si="5"/>
        <v>2026Week 9</v>
      </c>
      <c r="S3142" s="6" t="str">
        <f>IFERROR(__xludf.DUMMYFUNCTION("rank(J3142,FILTER(J:J,R:R=R3142))"),"#N/A")</f>
        <v>#N/A</v>
      </c>
      <c r="T3142" s="6">
        <f t="shared" si="6"/>
        <v>0</v>
      </c>
      <c r="U3142" s="6">
        <f t="shared" si="7"/>
        <v>12</v>
      </c>
      <c r="V3142" s="42">
        <f>averageif(AllData!A:A,B3142,AllData!R:R)/vlookup(B3142,AllData!A:O,15,0)</f>
        <v>90.45916667</v>
      </c>
      <c r="W3142" s="6"/>
    </row>
    <row r="3143" ht="14.25" customHeight="1">
      <c r="A3143" s="6" t="str">
        <f t="shared" si="29"/>
        <v>2026Cock9</v>
      </c>
      <c r="B3143" s="59">
        <v>2026.0</v>
      </c>
      <c r="C3143" s="13" t="s">
        <v>72</v>
      </c>
      <c r="D3143" s="13" t="s">
        <v>147</v>
      </c>
      <c r="E3143" s="34"/>
      <c r="F3143" s="6"/>
      <c r="H3143" s="6"/>
      <c r="I3143" s="35" t="str">
        <f>IFERROR(IFERROR(IFERROR(VLOOKUP(B3143&amp;C3143&amp;Q3143,'New Weekly Paste'!A:M,10,0),VLOOKUP(B3143&amp;C3143&amp;Q3143,'New Weekly Paste'!B:O,6,0)),""),"")</f>
        <v>Ewert</v>
      </c>
      <c r="J3143" s="239" t="str">
        <f>IFERROR(IFERROR(VLOOKUP(B3143&amp;C3143&amp;Q3143,'New Weekly Paste'!A:M,8,0),VLOOKUP(B3143&amp;C3143&amp;Q3143,'New Weekly Paste'!B:O,10,0)),0)</f>
        <v/>
      </c>
      <c r="K3143" s="239" t="str">
        <f>IFERROR(IFERROR(VLOOKUP(B3143&amp;I3143&amp;Q3143,'New Weekly Paste'!A:M,8,0),VLOOKUP(B3143&amp;I3143&amp;Q3143,'New Weekly Paste'!B:O,10,0)),0)</f>
        <v/>
      </c>
      <c r="L3143" s="239">
        <f t="shared" si="25"/>
        <v>0</v>
      </c>
      <c r="M3143" s="36" t="str">
        <f t="shared" si="3"/>
        <v>Regular Season</v>
      </c>
      <c r="N3143" s="239" t="str">
        <f t="shared" si="26"/>
        <v>Ewert</v>
      </c>
      <c r="O3143" s="6">
        <f>VLOOKUP(D3143,'Mapped Opponent'!$G$4:$H$22,2,0)</f>
        <v>9</v>
      </c>
      <c r="P3143" s="6"/>
      <c r="Q3143" s="6" t="str">
        <f t="shared" si="4"/>
        <v>Week 9</v>
      </c>
      <c r="R3143" s="6" t="str">
        <f t="shared" si="5"/>
        <v>2026Week 9</v>
      </c>
      <c r="S3143" s="6" t="str">
        <f>IFERROR(__xludf.DUMMYFUNCTION("rank(J3143,FILTER(J:J,R:R=R3143))"),"#N/A")</f>
        <v>#N/A</v>
      </c>
      <c r="T3143" s="6">
        <f t="shared" si="6"/>
        <v>0</v>
      </c>
      <c r="U3143" s="6">
        <f t="shared" si="7"/>
        <v>12</v>
      </c>
      <c r="V3143" s="42">
        <f>averageif(AllData!A:A,B3143,AllData!R:R)/vlookup(B3143,AllData!A:O,15,0)</f>
        <v>90.45916667</v>
      </c>
      <c r="W3143" s="6"/>
    </row>
    <row r="3144" ht="14.25" customHeight="1">
      <c r="A3144" s="6" t="str">
        <f t="shared" si="29"/>
        <v>2026Tayski9</v>
      </c>
      <c r="B3144" s="59">
        <v>2026.0</v>
      </c>
      <c r="C3144" s="13" t="s">
        <v>52</v>
      </c>
      <c r="D3144" s="13" t="s">
        <v>147</v>
      </c>
      <c r="E3144" s="34"/>
      <c r="F3144" s="6"/>
      <c r="H3144" s="6"/>
      <c r="I3144" s="35" t="str">
        <f>IFERROR(IFERROR(IFERROR(VLOOKUP(B3144&amp;C3144&amp;Q3144,'New Weekly Paste'!A:M,10,0),VLOOKUP(B3144&amp;C3144&amp;Q3144,'New Weekly Paste'!B:O,6,0)),""),"")</f>
        <v>Pierson</v>
      </c>
      <c r="J3144" s="239" t="str">
        <f>IFERROR(IFERROR(VLOOKUP(B3144&amp;C3144&amp;Q3144,'New Weekly Paste'!A:M,8,0),VLOOKUP(B3144&amp;C3144&amp;Q3144,'New Weekly Paste'!B:O,10,0)),0)</f>
        <v/>
      </c>
      <c r="K3144" s="239" t="str">
        <f>IFERROR(IFERROR(VLOOKUP(B3144&amp;I3144&amp;Q3144,'New Weekly Paste'!A:M,8,0),VLOOKUP(B3144&amp;I3144&amp;Q3144,'New Weekly Paste'!B:O,10,0)),0)</f>
        <v/>
      </c>
      <c r="L3144" s="239">
        <f t="shared" si="25"/>
        <v>0</v>
      </c>
      <c r="M3144" s="36" t="str">
        <f t="shared" si="3"/>
        <v>Regular Season</v>
      </c>
      <c r="N3144" s="239" t="str">
        <f t="shared" si="26"/>
        <v>Pierson</v>
      </c>
      <c r="O3144" s="6">
        <f>VLOOKUP(D3144,'Mapped Opponent'!$G$4:$H$22,2,0)</f>
        <v>9</v>
      </c>
      <c r="P3144" s="6"/>
      <c r="Q3144" s="6" t="str">
        <f t="shared" si="4"/>
        <v>Week 9</v>
      </c>
      <c r="R3144" s="6" t="str">
        <f t="shared" si="5"/>
        <v>2026Week 9</v>
      </c>
      <c r="S3144" s="6" t="str">
        <f>IFERROR(__xludf.DUMMYFUNCTION("rank(J3144,FILTER(J:J,R:R=R3144))"),"#N/A")</f>
        <v>#N/A</v>
      </c>
      <c r="T3144" s="6">
        <f t="shared" si="6"/>
        <v>0</v>
      </c>
      <c r="U3144" s="6">
        <f t="shared" si="7"/>
        <v>12</v>
      </c>
      <c r="V3144" s="42">
        <f>averageif(AllData!A:A,B3144,AllData!R:R)/vlookup(B3144,AllData!A:O,15,0)</f>
        <v>90.45916667</v>
      </c>
      <c r="W3144" s="6"/>
    </row>
    <row r="3145" ht="14.25" customHeight="1">
      <c r="A3145" s="6" t="str">
        <f t="shared" si="29"/>
        <v>2026KnardDawg9</v>
      </c>
      <c r="B3145" s="59">
        <v>2026.0</v>
      </c>
      <c r="C3145" s="13" t="s">
        <v>86</v>
      </c>
      <c r="D3145" s="13" t="s">
        <v>147</v>
      </c>
      <c r="E3145" s="34"/>
      <c r="F3145" s="6"/>
      <c r="H3145" s="6"/>
      <c r="I3145" s="35" t="str">
        <f>IFERROR(IFERROR(IFERROR(VLOOKUP(B3145&amp;C3145&amp;Q3145,'New Weekly Paste'!A:M,10,0),VLOOKUP(B3145&amp;C3145&amp;Q3145,'New Weekly Paste'!B:O,6,0)),""),"")</f>
        <v>Buser</v>
      </c>
      <c r="J3145" s="239" t="str">
        <f>IFERROR(IFERROR(VLOOKUP(B3145&amp;C3145&amp;Q3145,'New Weekly Paste'!A:M,8,0),VLOOKUP(B3145&amp;C3145&amp;Q3145,'New Weekly Paste'!B:O,10,0)),0)</f>
        <v/>
      </c>
      <c r="K3145" s="239" t="str">
        <f>IFERROR(IFERROR(VLOOKUP(B3145&amp;I3145&amp;Q3145,'New Weekly Paste'!A:M,8,0),VLOOKUP(B3145&amp;I3145&amp;Q3145,'New Weekly Paste'!B:O,10,0)),0)</f>
        <v/>
      </c>
      <c r="L3145" s="239">
        <f t="shared" si="25"/>
        <v>0</v>
      </c>
      <c r="M3145" s="36" t="str">
        <f t="shared" si="3"/>
        <v>Regular Season</v>
      </c>
      <c r="N3145" s="239" t="str">
        <f t="shared" si="26"/>
        <v>Buser</v>
      </c>
      <c r="O3145" s="6">
        <f>VLOOKUP(D3145,'Mapped Opponent'!$G$4:$H$22,2,0)</f>
        <v>9</v>
      </c>
      <c r="P3145" s="6"/>
      <c r="Q3145" s="6" t="str">
        <f t="shared" si="4"/>
        <v>Week 9</v>
      </c>
      <c r="R3145" s="6" t="str">
        <f t="shared" si="5"/>
        <v>2026Week 9</v>
      </c>
      <c r="S3145" s="6" t="str">
        <f>IFERROR(__xludf.DUMMYFUNCTION("rank(J3145,FILTER(J:J,R:R=R3145))"),"#N/A")</f>
        <v>#N/A</v>
      </c>
      <c r="T3145" s="6">
        <f t="shared" si="6"/>
        <v>0</v>
      </c>
      <c r="U3145" s="6">
        <f t="shared" si="7"/>
        <v>12</v>
      </c>
      <c r="V3145" s="42">
        <f>averageif(AllData!A:A,B3145,AllData!R:R)/vlookup(B3145,AllData!A:O,15,0)</f>
        <v>90.45916667</v>
      </c>
      <c r="W3145" s="6"/>
    </row>
    <row r="3146" ht="14.25" customHeight="1">
      <c r="A3146" s="6" t="str">
        <f t="shared" si="29"/>
        <v>2026T-How9</v>
      </c>
      <c r="B3146" s="59">
        <v>2026.0</v>
      </c>
      <c r="C3146" s="13" t="s">
        <v>82</v>
      </c>
      <c r="D3146" s="13" t="s">
        <v>147</v>
      </c>
      <c r="E3146" s="34"/>
      <c r="F3146" s="6"/>
      <c r="H3146" s="6"/>
      <c r="I3146" s="35" t="str">
        <f>IFERROR(IFERROR(IFERROR(VLOOKUP(B3146&amp;C3146&amp;Q3146,'New Weekly Paste'!A:M,10,0),VLOOKUP(B3146&amp;C3146&amp;Q3146,'New Weekly Paste'!B:O,6,0)),""),"")</f>
        <v>Shep</v>
      </c>
      <c r="J3146" s="239" t="str">
        <f>IFERROR(IFERROR(VLOOKUP(B3146&amp;C3146&amp;Q3146,'New Weekly Paste'!A:M,8,0),VLOOKUP(B3146&amp;C3146&amp;Q3146,'New Weekly Paste'!B:O,10,0)),0)</f>
        <v/>
      </c>
      <c r="K3146" s="239" t="str">
        <f>IFERROR(IFERROR(VLOOKUP(B3146&amp;I3146&amp;Q3146,'New Weekly Paste'!A:M,8,0),VLOOKUP(B3146&amp;I3146&amp;Q3146,'New Weekly Paste'!B:O,10,0)),0)</f>
        <v/>
      </c>
      <c r="L3146" s="239">
        <f t="shared" si="25"/>
        <v>0</v>
      </c>
      <c r="M3146" s="36" t="str">
        <f t="shared" si="3"/>
        <v>Regular Season</v>
      </c>
      <c r="N3146" s="239" t="str">
        <f t="shared" si="26"/>
        <v>Shep</v>
      </c>
      <c r="O3146" s="6">
        <f>VLOOKUP(D3146,'Mapped Opponent'!$G$4:$H$22,2,0)</f>
        <v>9</v>
      </c>
      <c r="P3146" s="6"/>
      <c r="Q3146" s="6" t="str">
        <f t="shared" si="4"/>
        <v>Week 9</v>
      </c>
      <c r="R3146" s="6" t="str">
        <f t="shared" si="5"/>
        <v>2026Week 9</v>
      </c>
      <c r="S3146" s="6" t="str">
        <f>IFERROR(__xludf.DUMMYFUNCTION("rank(J3146,FILTER(J:J,R:R=R3146))"),"#N/A")</f>
        <v>#N/A</v>
      </c>
      <c r="T3146" s="6">
        <f t="shared" si="6"/>
        <v>0</v>
      </c>
      <c r="U3146" s="6">
        <f t="shared" si="7"/>
        <v>12</v>
      </c>
      <c r="V3146" s="42">
        <f>averageif(AllData!A:A,B3146,AllData!R:R)/vlookup(B3146,AllData!A:O,15,0)</f>
        <v>90.45916667</v>
      </c>
      <c r="W3146" s="6"/>
    </row>
    <row r="3147" ht="14.25" customHeight="1">
      <c r="A3147" s="6"/>
      <c r="B3147" s="59"/>
      <c r="C3147" s="13"/>
      <c r="D3147" s="13"/>
      <c r="E3147" s="34"/>
      <c r="F3147" s="6"/>
      <c r="H3147" s="6"/>
      <c r="I3147" s="35"/>
      <c r="J3147" s="239"/>
      <c r="K3147" s="239"/>
      <c r="L3147" s="239"/>
      <c r="M3147" s="239"/>
      <c r="N3147" s="239"/>
      <c r="O3147" s="6"/>
      <c r="P3147" s="6"/>
      <c r="Q3147" s="6"/>
      <c r="R3147" s="6"/>
      <c r="S3147" s="6"/>
      <c r="T3147" s="6"/>
      <c r="U3147" s="6"/>
      <c r="V3147" s="6"/>
      <c r="W3147" s="6"/>
    </row>
    <row r="3148" ht="14.25" customHeight="1">
      <c r="A3148" s="6"/>
      <c r="B3148" s="59"/>
      <c r="C3148" s="13"/>
      <c r="D3148" s="13"/>
      <c r="E3148" s="34"/>
      <c r="F3148" s="6"/>
      <c r="H3148" s="6"/>
      <c r="I3148" s="35"/>
      <c r="J3148" s="239"/>
      <c r="K3148" s="239"/>
      <c r="L3148" s="239"/>
      <c r="M3148" s="239"/>
      <c r="N3148" s="239"/>
      <c r="O3148" s="6"/>
      <c r="P3148" s="6"/>
      <c r="Q3148" s="6"/>
      <c r="R3148" s="6"/>
      <c r="S3148" s="6"/>
      <c r="T3148" s="6"/>
      <c r="U3148" s="6"/>
      <c r="V3148" s="6"/>
      <c r="W3148" s="6"/>
    </row>
    <row r="3149" ht="14.25" customHeight="1">
      <c r="A3149" s="6"/>
      <c r="B3149" s="59"/>
      <c r="C3149" s="13"/>
      <c r="D3149" s="13"/>
      <c r="E3149" s="34"/>
      <c r="F3149" s="6"/>
      <c r="H3149" s="6"/>
      <c r="I3149" s="35"/>
      <c r="J3149" s="239"/>
      <c r="K3149" s="239"/>
      <c r="L3149" s="239"/>
      <c r="M3149" s="239"/>
      <c r="N3149" s="239"/>
      <c r="O3149" s="6"/>
      <c r="P3149" s="6"/>
      <c r="Q3149" s="6"/>
      <c r="R3149" s="6"/>
      <c r="S3149" s="6"/>
      <c r="T3149" s="6"/>
      <c r="U3149" s="6"/>
      <c r="V3149" s="6"/>
      <c r="W3149" s="6"/>
    </row>
    <row r="3150" ht="14.25" customHeight="1">
      <c r="A3150" s="6"/>
      <c r="B3150" s="59"/>
      <c r="C3150" s="13"/>
      <c r="D3150" s="13"/>
      <c r="E3150" s="34"/>
      <c r="F3150" s="6"/>
      <c r="H3150" s="6"/>
      <c r="I3150" s="35"/>
      <c r="J3150" s="239"/>
      <c r="K3150" s="239"/>
      <c r="L3150" s="239"/>
      <c r="M3150" s="239"/>
      <c r="N3150" s="239"/>
      <c r="O3150" s="6"/>
      <c r="P3150" s="6"/>
      <c r="Q3150" s="6"/>
      <c r="R3150" s="6"/>
      <c r="S3150" s="6"/>
      <c r="T3150" s="6"/>
      <c r="U3150" s="6"/>
      <c r="V3150" s="6"/>
      <c r="W3150" s="6"/>
    </row>
    <row r="3151" ht="14.25" customHeight="1">
      <c r="A3151" s="6"/>
      <c r="B3151" s="59"/>
      <c r="C3151" s="13"/>
      <c r="D3151" s="13"/>
      <c r="E3151" s="34"/>
      <c r="F3151" s="6"/>
      <c r="H3151" s="6"/>
      <c r="I3151" s="35"/>
      <c r="J3151" s="239"/>
      <c r="K3151" s="239"/>
      <c r="L3151" s="239"/>
      <c r="M3151" s="239"/>
      <c r="N3151" s="239"/>
      <c r="O3151" s="6"/>
      <c r="P3151" s="6"/>
      <c r="Q3151" s="6"/>
      <c r="R3151" s="6"/>
      <c r="S3151" s="6"/>
      <c r="T3151" s="6"/>
      <c r="U3151" s="6"/>
      <c r="V3151" s="6"/>
      <c r="W3151" s="6"/>
    </row>
    <row r="3152" ht="14.25" customHeight="1">
      <c r="A3152" s="6"/>
      <c r="B3152" s="59"/>
      <c r="C3152" s="13"/>
      <c r="D3152" s="13"/>
      <c r="E3152" s="34"/>
      <c r="F3152" s="6"/>
      <c r="H3152" s="6"/>
      <c r="I3152" s="35"/>
      <c r="J3152" s="239"/>
      <c r="K3152" s="239"/>
      <c r="L3152" s="239"/>
      <c r="M3152" s="239"/>
      <c r="N3152" s="239"/>
      <c r="O3152" s="6"/>
      <c r="P3152" s="6"/>
      <c r="Q3152" s="6"/>
      <c r="R3152" s="6"/>
      <c r="S3152" s="6"/>
      <c r="T3152" s="6"/>
      <c r="U3152" s="6"/>
      <c r="V3152" s="6"/>
      <c r="W3152" s="6"/>
    </row>
    <row r="3153" ht="14.25" customHeight="1">
      <c r="A3153" s="6"/>
      <c r="B3153" s="59"/>
      <c r="C3153" s="13"/>
      <c r="D3153" s="13"/>
      <c r="E3153" s="34"/>
      <c r="F3153" s="6"/>
      <c r="H3153" s="6"/>
      <c r="I3153" s="35"/>
      <c r="J3153" s="239"/>
      <c r="K3153" s="239"/>
      <c r="L3153" s="239"/>
      <c r="M3153" s="239"/>
      <c r="N3153" s="239"/>
      <c r="O3153" s="6"/>
      <c r="P3153" s="6"/>
      <c r="Q3153" s="6"/>
      <c r="R3153" s="6"/>
      <c r="S3153" s="6"/>
      <c r="T3153" s="6"/>
      <c r="U3153" s="6"/>
      <c r="V3153" s="6"/>
      <c r="W3153" s="6"/>
    </row>
    <row r="3154" ht="14.25" customHeight="1">
      <c r="A3154" s="6"/>
      <c r="B3154" s="59"/>
      <c r="C3154" s="13"/>
      <c r="D3154" s="13"/>
      <c r="E3154" s="34"/>
      <c r="F3154" s="6"/>
      <c r="H3154" s="6"/>
      <c r="I3154" s="35"/>
      <c r="J3154" s="239"/>
      <c r="K3154" s="239"/>
      <c r="L3154" s="239"/>
      <c r="M3154" s="239"/>
      <c r="N3154" s="239"/>
      <c r="O3154" s="6"/>
      <c r="P3154" s="6"/>
      <c r="Q3154" s="6"/>
      <c r="R3154" s="6"/>
      <c r="S3154" s="6"/>
      <c r="T3154" s="6"/>
      <c r="U3154" s="6"/>
      <c r="V3154" s="6"/>
      <c r="W3154" s="6"/>
    </row>
    <row r="3155" ht="14.25" customHeight="1">
      <c r="A3155" s="6"/>
      <c r="B3155" s="59"/>
      <c r="C3155" s="13"/>
      <c r="D3155" s="13"/>
      <c r="E3155" s="34"/>
      <c r="F3155" s="6"/>
      <c r="H3155" s="6"/>
      <c r="I3155" s="35"/>
      <c r="J3155" s="239"/>
      <c r="K3155" s="239"/>
      <c r="L3155" s="239"/>
      <c r="M3155" s="239"/>
      <c r="N3155" s="239"/>
      <c r="O3155" s="6"/>
      <c r="P3155" s="6"/>
      <c r="Q3155" s="6"/>
      <c r="R3155" s="6"/>
      <c r="S3155" s="6"/>
      <c r="T3155" s="6"/>
      <c r="U3155" s="6"/>
      <c r="V3155" s="6"/>
      <c r="W3155" s="6"/>
    </row>
    <row r="3156" ht="14.25" customHeight="1">
      <c r="A3156" s="6"/>
      <c r="B3156" s="59"/>
      <c r="C3156" s="13"/>
      <c r="D3156" s="13"/>
      <c r="E3156" s="34"/>
      <c r="F3156" s="6"/>
      <c r="H3156" s="6"/>
      <c r="I3156" s="35"/>
      <c r="J3156" s="239"/>
      <c r="K3156" s="239"/>
      <c r="L3156" s="239"/>
      <c r="M3156" s="239"/>
      <c r="N3156" s="239"/>
      <c r="O3156" s="6"/>
      <c r="P3156" s="6"/>
      <c r="Q3156" s="6"/>
      <c r="R3156" s="6"/>
      <c r="S3156" s="6"/>
      <c r="T3156" s="6"/>
      <c r="U3156" s="6"/>
      <c r="V3156" s="6"/>
      <c r="W3156" s="6"/>
    </row>
    <row r="3157" ht="14.25" customHeight="1">
      <c r="A3157" s="6"/>
      <c r="B3157" s="59"/>
      <c r="C3157" s="13"/>
      <c r="D3157" s="13"/>
      <c r="E3157" s="34"/>
      <c r="F3157" s="6"/>
      <c r="H3157" s="6"/>
      <c r="I3157" s="35"/>
      <c r="J3157" s="239"/>
      <c r="K3157" s="239"/>
      <c r="L3157" s="239"/>
      <c r="M3157" s="239"/>
      <c r="N3157" s="239"/>
      <c r="O3157" s="6"/>
      <c r="P3157" s="6"/>
      <c r="Q3157" s="6"/>
      <c r="R3157" s="6"/>
      <c r="S3157" s="6"/>
      <c r="T3157" s="6"/>
      <c r="U3157" s="6"/>
      <c r="V3157" s="6"/>
      <c r="W3157" s="6"/>
    </row>
    <row r="3158" ht="14.25" customHeight="1">
      <c r="A3158" s="6"/>
      <c r="B3158" s="59"/>
      <c r="C3158" s="13"/>
      <c r="D3158" s="13"/>
      <c r="E3158" s="34"/>
      <c r="F3158" s="6"/>
      <c r="H3158" s="6"/>
      <c r="I3158" s="35"/>
      <c r="J3158" s="239"/>
      <c r="K3158" s="239"/>
      <c r="L3158" s="239"/>
      <c r="M3158" s="239"/>
      <c r="N3158" s="239"/>
      <c r="O3158" s="6"/>
      <c r="P3158" s="6"/>
      <c r="Q3158" s="6"/>
      <c r="R3158" s="6"/>
      <c r="S3158" s="6"/>
      <c r="T3158" s="6"/>
      <c r="U3158" s="6"/>
      <c r="V3158" s="6"/>
      <c r="W3158" s="6"/>
    </row>
    <row r="3159" ht="14.25" customHeight="1">
      <c r="A3159" s="6"/>
      <c r="B3159" s="59"/>
      <c r="C3159" s="13"/>
      <c r="D3159" s="13"/>
      <c r="E3159" s="34"/>
      <c r="F3159" s="6"/>
      <c r="H3159" s="6"/>
      <c r="I3159" s="35"/>
      <c r="J3159" s="239"/>
      <c r="K3159" s="239"/>
      <c r="L3159" s="239"/>
      <c r="M3159" s="239"/>
      <c r="N3159" s="239"/>
      <c r="O3159" s="6"/>
      <c r="P3159" s="6"/>
      <c r="Q3159" s="6"/>
      <c r="R3159" s="6"/>
      <c r="S3159" s="6"/>
      <c r="T3159" s="6"/>
      <c r="U3159" s="6"/>
      <c r="V3159" s="6"/>
      <c r="W3159" s="6"/>
    </row>
    <row r="3160" ht="14.25" customHeight="1">
      <c r="A3160" s="6"/>
      <c r="B3160" s="59"/>
      <c r="C3160" s="13"/>
      <c r="D3160" s="13"/>
      <c r="E3160" s="34"/>
      <c r="F3160" s="6"/>
      <c r="H3160" s="6"/>
      <c r="I3160" s="35"/>
      <c r="J3160" s="239"/>
      <c r="K3160" s="239"/>
      <c r="L3160" s="239"/>
      <c r="M3160" s="239"/>
      <c r="N3160" s="239"/>
      <c r="O3160" s="6"/>
      <c r="P3160" s="6"/>
      <c r="Q3160" s="6"/>
      <c r="R3160" s="6"/>
      <c r="S3160" s="6"/>
      <c r="T3160" s="6"/>
      <c r="U3160" s="6"/>
      <c r="V3160" s="6"/>
      <c r="W3160" s="6"/>
    </row>
    <row r="3161" ht="14.25" customHeight="1">
      <c r="A3161" s="6"/>
      <c r="B3161" s="59"/>
      <c r="C3161" s="13"/>
      <c r="D3161" s="13"/>
      <c r="E3161" s="34"/>
      <c r="F3161" s="6"/>
      <c r="H3161" s="6"/>
      <c r="I3161" s="35"/>
      <c r="J3161" s="239"/>
      <c r="K3161" s="239"/>
      <c r="L3161" s="239"/>
      <c r="M3161" s="239"/>
      <c r="N3161" s="239"/>
      <c r="O3161" s="6"/>
      <c r="P3161" s="6"/>
      <c r="Q3161" s="6"/>
      <c r="R3161" s="6"/>
      <c r="S3161" s="6"/>
      <c r="T3161" s="6"/>
      <c r="U3161" s="6"/>
      <c r="V3161" s="6"/>
      <c r="W3161" s="6"/>
    </row>
    <row r="3162" ht="14.25" customHeight="1">
      <c r="A3162" s="6"/>
      <c r="B3162" s="59"/>
      <c r="C3162" s="13"/>
      <c r="D3162" s="13"/>
      <c r="E3162" s="34"/>
      <c r="F3162" s="6"/>
      <c r="H3162" s="6"/>
      <c r="I3162" s="35"/>
      <c r="J3162" s="239"/>
      <c r="K3162" s="239"/>
      <c r="L3162" s="239"/>
      <c r="M3162" s="239"/>
      <c r="N3162" s="239"/>
      <c r="O3162" s="6"/>
      <c r="P3162" s="6"/>
      <c r="Q3162" s="6"/>
      <c r="R3162" s="6"/>
      <c r="S3162" s="6"/>
      <c r="T3162" s="6"/>
      <c r="U3162" s="6"/>
      <c r="V3162" s="6"/>
      <c r="W3162" s="6"/>
    </row>
    <row r="3163" ht="14.25" customHeight="1">
      <c r="A3163" s="6"/>
      <c r="B3163" s="59"/>
      <c r="C3163" s="13"/>
      <c r="D3163" s="13"/>
      <c r="E3163" s="34"/>
      <c r="F3163" s="6"/>
      <c r="H3163" s="6"/>
      <c r="I3163" s="35"/>
      <c r="J3163" s="239"/>
      <c r="K3163" s="239"/>
      <c r="L3163" s="239"/>
      <c r="M3163" s="239"/>
      <c r="N3163" s="239"/>
      <c r="O3163" s="6"/>
      <c r="P3163" s="6"/>
      <c r="Q3163" s="6"/>
      <c r="R3163" s="6"/>
      <c r="S3163" s="6"/>
      <c r="T3163" s="6"/>
      <c r="U3163" s="6"/>
      <c r="V3163" s="6"/>
      <c r="W3163" s="6"/>
    </row>
    <row r="3164" ht="14.25" customHeight="1">
      <c r="A3164" s="6"/>
      <c r="B3164" s="59"/>
      <c r="C3164" s="13"/>
      <c r="D3164" s="13"/>
      <c r="E3164" s="34"/>
      <c r="F3164" s="6"/>
      <c r="H3164" s="6"/>
      <c r="I3164" s="35"/>
      <c r="J3164" s="239"/>
      <c r="K3164" s="239"/>
      <c r="L3164" s="239"/>
      <c r="M3164" s="239"/>
      <c r="N3164" s="239"/>
      <c r="O3164" s="6"/>
      <c r="P3164" s="6"/>
      <c r="Q3164" s="6"/>
      <c r="R3164" s="6"/>
      <c r="S3164" s="6"/>
      <c r="T3164" s="6"/>
      <c r="U3164" s="6"/>
      <c r="V3164" s="6"/>
      <c r="W3164" s="6"/>
    </row>
    <row r="3165" ht="14.25" customHeight="1">
      <c r="A3165" s="6"/>
      <c r="B3165" s="59"/>
      <c r="C3165" s="13"/>
      <c r="D3165" s="13"/>
      <c r="E3165" s="34"/>
      <c r="F3165" s="6"/>
      <c r="H3165" s="6"/>
      <c r="I3165" s="35"/>
      <c r="J3165" s="239"/>
      <c r="K3165" s="239"/>
      <c r="L3165" s="239"/>
      <c r="M3165" s="239"/>
      <c r="N3165" s="239"/>
      <c r="O3165" s="6"/>
      <c r="P3165" s="6"/>
      <c r="Q3165" s="6"/>
      <c r="R3165" s="6"/>
      <c r="S3165" s="6"/>
      <c r="T3165" s="6"/>
      <c r="U3165" s="6"/>
      <c r="V3165" s="6"/>
      <c r="W3165" s="6"/>
    </row>
    <row r="3166" ht="14.25" customHeight="1">
      <c r="A3166" s="6"/>
      <c r="B3166" s="59"/>
      <c r="C3166" s="13"/>
      <c r="D3166" s="13"/>
      <c r="E3166" s="34"/>
      <c r="F3166" s="6"/>
      <c r="H3166" s="6"/>
      <c r="I3166" s="35"/>
      <c r="J3166" s="239"/>
      <c r="K3166" s="239"/>
      <c r="L3166" s="239"/>
      <c r="M3166" s="239"/>
      <c r="N3166" s="239"/>
      <c r="O3166" s="6"/>
      <c r="P3166" s="6"/>
      <c r="Q3166" s="6"/>
      <c r="R3166" s="6"/>
      <c r="S3166" s="6"/>
      <c r="T3166" s="6"/>
      <c r="U3166" s="6"/>
      <c r="V3166" s="6"/>
      <c r="W3166" s="6"/>
    </row>
    <row r="3167" ht="14.25" customHeight="1">
      <c r="A3167" s="6"/>
      <c r="B3167" s="59"/>
      <c r="C3167" s="13"/>
      <c r="D3167" s="13"/>
      <c r="E3167" s="34"/>
      <c r="F3167" s="6"/>
      <c r="H3167" s="6"/>
      <c r="I3167" s="35"/>
      <c r="J3167" s="239"/>
      <c r="K3167" s="239"/>
      <c r="L3167" s="239"/>
      <c r="M3167" s="239"/>
      <c r="N3167" s="239"/>
      <c r="O3167" s="6"/>
      <c r="P3167" s="6"/>
      <c r="Q3167" s="6"/>
      <c r="R3167" s="6"/>
      <c r="S3167" s="6"/>
      <c r="T3167" s="6"/>
      <c r="U3167" s="6"/>
      <c r="V3167" s="6"/>
      <c r="W3167" s="6"/>
    </row>
    <row r="3168" ht="14.25" customHeight="1">
      <c r="A3168" s="6"/>
      <c r="B3168" s="59"/>
      <c r="C3168" s="13"/>
      <c r="D3168" s="13"/>
      <c r="E3168" s="34"/>
      <c r="F3168" s="6"/>
      <c r="H3168" s="6"/>
      <c r="I3168" s="35"/>
      <c r="J3168" s="239"/>
      <c r="K3168" s="239"/>
      <c r="L3168" s="239"/>
      <c r="M3168" s="239"/>
      <c r="N3168" s="239"/>
      <c r="O3168" s="6"/>
      <c r="P3168" s="6"/>
      <c r="Q3168" s="6"/>
      <c r="R3168" s="6"/>
      <c r="S3168" s="6"/>
      <c r="T3168" s="6"/>
      <c r="U3168" s="6"/>
      <c r="V3168" s="6"/>
      <c r="W3168" s="6"/>
    </row>
    <row r="3169" ht="14.25" customHeight="1">
      <c r="A3169" s="6"/>
      <c r="B3169" s="59"/>
      <c r="C3169" s="13"/>
      <c r="D3169" s="13"/>
      <c r="E3169" s="34"/>
      <c r="F3169" s="6"/>
      <c r="H3169" s="6"/>
      <c r="I3169" s="35"/>
      <c r="J3169" s="239"/>
      <c r="K3169" s="239"/>
      <c r="L3169" s="239"/>
      <c r="M3169" s="239"/>
      <c r="N3169" s="239"/>
      <c r="O3169" s="6"/>
      <c r="P3169" s="6"/>
      <c r="Q3169" s="6"/>
      <c r="R3169" s="6"/>
      <c r="S3169" s="6"/>
      <c r="T3169" s="6"/>
      <c r="U3169" s="6"/>
      <c r="V3169" s="6"/>
      <c r="W3169" s="6"/>
    </row>
    <row r="3170" ht="14.25" customHeight="1">
      <c r="A3170" s="6"/>
      <c r="B3170" s="59"/>
      <c r="C3170" s="13"/>
      <c r="D3170" s="13"/>
      <c r="E3170" s="34"/>
      <c r="F3170" s="6"/>
      <c r="H3170" s="6"/>
      <c r="I3170" s="35"/>
      <c r="J3170" s="239"/>
      <c r="K3170" s="239"/>
      <c r="L3170" s="239"/>
      <c r="M3170" s="239"/>
      <c r="N3170" s="239"/>
      <c r="O3170" s="6"/>
      <c r="P3170" s="6"/>
      <c r="Q3170" s="6"/>
      <c r="R3170" s="6"/>
      <c r="S3170" s="6"/>
      <c r="T3170" s="6"/>
      <c r="U3170" s="6"/>
      <c r="V3170" s="6"/>
      <c r="W3170" s="6"/>
    </row>
    <row r="3171" ht="14.25" customHeight="1">
      <c r="A3171" s="6"/>
      <c r="B3171" s="59"/>
      <c r="C3171" s="13"/>
      <c r="D3171" s="13"/>
      <c r="E3171" s="34"/>
      <c r="F3171" s="6"/>
      <c r="H3171" s="6"/>
      <c r="I3171" s="35"/>
      <c r="J3171" s="239"/>
      <c r="K3171" s="239"/>
      <c r="L3171" s="239"/>
      <c r="M3171" s="239"/>
      <c r="N3171" s="239"/>
      <c r="O3171" s="6"/>
      <c r="P3171" s="6"/>
      <c r="Q3171" s="6"/>
      <c r="R3171" s="6"/>
      <c r="S3171" s="6"/>
      <c r="T3171" s="6"/>
      <c r="U3171" s="6"/>
      <c r="V3171" s="6"/>
      <c r="W3171" s="6"/>
    </row>
    <row r="3172" ht="14.25" customHeight="1">
      <c r="A3172" s="6"/>
      <c r="B3172" s="59"/>
      <c r="C3172" s="13"/>
      <c r="D3172" s="13"/>
      <c r="E3172" s="34"/>
      <c r="F3172" s="6"/>
      <c r="H3172" s="6"/>
      <c r="I3172" s="35"/>
      <c r="J3172" s="239"/>
      <c r="K3172" s="239"/>
      <c r="L3172" s="239"/>
      <c r="M3172" s="239"/>
      <c r="N3172" s="239"/>
      <c r="O3172" s="6"/>
      <c r="P3172" s="6"/>
      <c r="Q3172" s="6"/>
      <c r="R3172" s="6"/>
      <c r="S3172" s="6"/>
      <c r="T3172" s="6"/>
      <c r="U3172" s="6"/>
      <c r="V3172" s="6"/>
      <c r="W3172" s="6"/>
    </row>
    <row r="3173" ht="14.25" customHeight="1">
      <c r="A3173" s="6"/>
      <c r="B3173" s="59"/>
      <c r="C3173" s="13"/>
      <c r="D3173" s="13"/>
      <c r="E3173" s="34"/>
      <c r="F3173" s="6"/>
      <c r="H3173" s="6"/>
      <c r="I3173" s="35"/>
      <c r="J3173" s="239"/>
      <c r="K3173" s="239"/>
      <c r="L3173" s="239"/>
      <c r="M3173" s="239"/>
      <c r="N3173" s="239"/>
      <c r="O3173" s="6"/>
      <c r="P3173" s="6"/>
      <c r="Q3173" s="6"/>
      <c r="R3173" s="6"/>
      <c r="S3173" s="6"/>
      <c r="T3173" s="6"/>
      <c r="U3173" s="6"/>
      <c r="V3173" s="6"/>
      <c r="W3173" s="6"/>
    </row>
    <row r="3174" ht="14.25" customHeight="1">
      <c r="A3174" s="6"/>
      <c r="B3174" s="59"/>
      <c r="C3174" s="13"/>
      <c r="D3174" s="13"/>
      <c r="E3174" s="34"/>
      <c r="F3174" s="6"/>
      <c r="H3174" s="6"/>
      <c r="I3174" s="35"/>
      <c r="J3174" s="239"/>
      <c r="K3174" s="239"/>
      <c r="L3174" s="239"/>
      <c r="M3174" s="239"/>
      <c r="N3174" s="239"/>
      <c r="O3174" s="6"/>
      <c r="P3174" s="6"/>
      <c r="Q3174" s="6"/>
      <c r="R3174" s="6"/>
      <c r="S3174" s="6"/>
      <c r="T3174" s="6"/>
      <c r="U3174" s="6"/>
      <c r="V3174" s="6"/>
      <c r="W3174" s="6"/>
    </row>
    <row r="3175" ht="14.25" customHeight="1">
      <c r="A3175" s="6"/>
      <c r="B3175" s="59"/>
      <c r="C3175" s="13"/>
      <c r="D3175" s="13"/>
      <c r="E3175" s="34"/>
      <c r="F3175" s="6"/>
      <c r="H3175" s="6"/>
      <c r="I3175" s="35"/>
      <c r="J3175" s="239"/>
      <c r="K3175" s="239"/>
      <c r="L3175" s="239"/>
      <c r="M3175" s="239"/>
      <c r="N3175" s="239"/>
      <c r="O3175" s="6"/>
      <c r="P3175" s="6"/>
      <c r="Q3175" s="6"/>
      <c r="R3175" s="6"/>
      <c r="S3175" s="6"/>
      <c r="T3175" s="6"/>
      <c r="U3175" s="6"/>
      <c r="V3175" s="6"/>
      <c r="W3175" s="6"/>
    </row>
    <row r="3176" ht="14.25" customHeight="1">
      <c r="A3176" s="6"/>
      <c r="B3176" s="59"/>
      <c r="C3176" s="13"/>
      <c r="D3176" s="13"/>
      <c r="E3176" s="34"/>
      <c r="F3176" s="6"/>
      <c r="H3176" s="6"/>
      <c r="I3176" s="35"/>
      <c r="J3176" s="239"/>
      <c r="K3176" s="239"/>
      <c r="L3176" s="239"/>
      <c r="M3176" s="239"/>
      <c r="N3176" s="239"/>
      <c r="O3176" s="6"/>
      <c r="P3176" s="6"/>
      <c r="Q3176" s="6"/>
      <c r="R3176" s="6"/>
      <c r="S3176" s="6"/>
      <c r="T3176" s="6"/>
      <c r="U3176" s="6"/>
      <c r="V3176" s="6"/>
      <c r="W3176" s="6"/>
    </row>
    <row r="3177" ht="14.25" customHeight="1">
      <c r="A3177" s="6"/>
      <c r="B3177" s="59"/>
      <c r="C3177" s="13"/>
      <c r="D3177" s="13"/>
      <c r="E3177" s="34"/>
      <c r="F3177" s="6"/>
      <c r="H3177" s="6"/>
      <c r="I3177" s="35"/>
      <c r="J3177" s="239"/>
      <c r="K3177" s="239"/>
      <c r="L3177" s="239"/>
      <c r="M3177" s="239"/>
      <c r="N3177" s="239"/>
      <c r="O3177" s="6"/>
      <c r="P3177" s="6"/>
      <c r="Q3177" s="6"/>
      <c r="R3177" s="6"/>
      <c r="S3177" s="6"/>
      <c r="T3177" s="6"/>
      <c r="U3177" s="6"/>
      <c r="V3177" s="6"/>
      <c r="W3177" s="6"/>
    </row>
    <row r="3178" ht="14.25" customHeight="1">
      <c r="A3178" s="6"/>
      <c r="B3178" s="59"/>
      <c r="C3178" s="13"/>
      <c r="D3178" s="13"/>
      <c r="E3178" s="34"/>
      <c r="F3178" s="6"/>
      <c r="H3178" s="6"/>
      <c r="I3178" s="35"/>
      <c r="J3178" s="239"/>
      <c r="K3178" s="239"/>
      <c r="L3178" s="239"/>
      <c r="M3178" s="239"/>
      <c r="N3178" s="239"/>
      <c r="O3178" s="6"/>
      <c r="P3178" s="6"/>
      <c r="Q3178" s="6"/>
      <c r="R3178" s="6"/>
      <c r="S3178" s="6"/>
      <c r="T3178" s="6"/>
      <c r="U3178" s="6"/>
      <c r="V3178" s="6"/>
      <c r="W3178" s="6"/>
    </row>
    <row r="3179" ht="14.25" customHeight="1">
      <c r="A3179" s="6"/>
      <c r="B3179" s="59"/>
      <c r="C3179" s="13"/>
      <c r="D3179" s="13"/>
      <c r="E3179" s="34"/>
      <c r="F3179" s="6"/>
      <c r="H3179" s="6"/>
      <c r="I3179" s="35"/>
      <c r="J3179" s="239"/>
      <c r="K3179" s="239"/>
      <c r="L3179" s="239"/>
      <c r="M3179" s="239"/>
      <c r="N3179" s="239"/>
      <c r="O3179" s="6"/>
      <c r="P3179" s="6"/>
      <c r="Q3179" s="6"/>
      <c r="R3179" s="6"/>
      <c r="S3179" s="6"/>
      <c r="T3179" s="6"/>
      <c r="U3179" s="6"/>
      <c r="V3179" s="6"/>
      <c r="W3179" s="6"/>
    </row>
    <row r="3180" ht="14.25" customHeight="1">
      <c r="A3180" s="6"/>
      <c r="B3180" s="59"/>
      <c r="C3180" s="13"/>
      <c r="D3180" s="13"/>
      <c r="E3180" s="34"/>
      <c r="F3180" s="6"/>
      <c r="H3180" s="6"/>
      <c r="I3180" s="35"/>
      <c r="J3180" s="239"/>
      <c r="K3180" s="239"/>
      <c r="L3180" s="239"/>
      <c r="M3180" s="239"/>
      <c r="N3180" s="239"/>
      <c r="O3180" s="6"/>
      <c r="P3180" s="6"/>
      <c r="Q3180" s="6"/>
      <c r="R3180" s="6"/>
      <c r="S3180" s="6"/>
      <c r="T3180" s="6"/>
      <c r="U3180" s="6"/>
      <c r="V3180" s="6"/>
      <c r="W3180" s="6"/>
    </row>
    <row r="3181" ht="14.25" customHeight="1">
      <c r="A3181" s="6"/>
      <c r="B3181" s="59"/>
      <c r="C3181" s="13"/>
      <c r="D3181" s="13"/>
      <c r="E3181" s="34"/>
      <c r="F3181" s="6"/>
      <c r="H3181" s="6"/>
      <c r="I3181" s="35"/>
      <c r="J3181" s="239"/>
      <c r="K3181" s="239"/>
      <c r="L3181" s="239"/>
      <c r="M3181" s="239"/>
      <c r="N3181" s="239"/>
      <c r="O3181" s="6"/>
      <c r="P3181" s="6"/>
      <c r="Q3181" s="6"/>
      <c r="R3181" s="6"/>
      <c r="S3181" s="6"/>
      <c r="T3181" s="6"/>
      <c r="U3181" s="6"/>
      <c r="V3181" s="6"/>
      <c r="W3181" s="6"/>
    </row>
    <row r="3182" ht="14.25" customHeight="1">
      <c r="A3182" s="6"/>
      <c r="B3182" s="59"/>
      <c r="C3182" s="13"/>
      <c r="D3182" s="13"/>
      <c r="E3182" s="34"/>
      <c r="F3182" s="6"/>
      <c r="H3182" s="6"/>
      <c r="I3182" s="35"/>
      <c r="J3182" s="239"/>
      <c r="K3182" s="239"/>
      <c r="L3182" s="239"/>
      <c r="M3182" s="239"/>
      <c r="N3182" s="239"/>
      <c r="O3182" s="6"/>
      <c r="P3182" s="6"/>
      <c r="Q3182" s="6"/>
      <c r="R3182" s="6"/>
      <c r="S3182" s="6"/>
      <c r="T3182" s="6"/>
      <c r="U3182" s="6"/>
      <c r="V3182" s="6"/>
      <c r="W3182" s="6"/>
    </row>
    <row r="3183" ht="14.25" customHeight="1">
      <c r="A3183" s="6"/>
      <c r="B3183" s="59"/>
      <c r="C3183" s="13"/>
      <c r="D3183" s="13"/>
      <c r="E3183" s="34"/>
      <c r="F3183" s="6"/>
      <c r="H3183" s="6"/>
      <c r="I3183" s="35"/>
      <c r="J3183" s="239"/>
      <c r="K3183" s="239"/>
      <c r="L3183" s="239"/>
      <c r="M3183" s="239"/>
      <c r="N3183" s="239"/>
      <c r="O3183" s="6"/>
      <c r="P3183" s="6"/>
      <c r="Q3183" s="6"/>
      <c r="R3183" s="6"/>
      <c r="S3183" s="6"/>
      <c r="T3183" s="6"/>
      <c r="U3183" s="6"/>
      <c r="V3183" s="6"/>
      <c r="W3183" s="6"/>
    </row>
    <row r="3184" ht="14.25" customHeight="1">
      <c r="A3184" s="6"/>
      <c r="B3184" s="59"/>
      <c r="C3184" s="13"/>
      <c r="D3184" s="13"/>
      <c r="E3184" s="34"/>
      <c r="F3184" s="6"/>
      <c r="H3184" s="6"/>
      <c r="I3184" s="35"/>
      <c r="J3184" s="239"/>
      <c r="K3184" s="239"/>
      <c r="L3184" s="239"/>
      <c r="M3184" s="239"/>
      <c r="N3184" s="239"/>
      <c r="O3184" s="6"/>
      <c r="P3184" s="6"/>
      <c r="Q3184" s="6"/>
      <c r="R3184" s="6"/>
      <c r="S3184" s="6"/>
      <c r="T3184" s="6"/>
      <c r="U3184" s="6"/>
      <c r="V3184" s="6"/>
      <c r="W3184" s="6"/>
    </row>
    <row r="3185" ht="14.25" customHeight="1">
      <c r="A3185" s="6"/>
      <c r="B3185" s="59"/>
      <c r="C3185" s="13"/>
      <c r="D3185" s="13"/>
      <c r="E3185" s="34"/>
      <c r="F3185" s="6"/>
      <c r="H3185" s="6"/>
      <c r="I3185" s="35"/>
      <c r="J3185" s="239"/>
      <c r="K3185" s="239"/>
      <c r="L3185" s="239"/>
      <c r="M3185" s="239"/>
      <c r="N3185" s="239"/>
      <c r="O3185" s="6"/>
      <c r="P3185" s="6"/>
      <c r="Q3185" s="6"/>
      <c r="R3185" s="6"/>
      <c r="S3185" s="6"/>
      <c r="T3185" s="6"/>
      <c r="U3185" s="6"/>
      <c r="V3185" s="6"/>
      <c r="W3185" s="6"/>
    </row>
    <row r="3186" ht="14.25" customHeight="1">
      <c r="A3186" s="6"/>
      <c r="B3186" s="59"/>
      <c r="C3186" s="13"/>
      <c r="D3186" s="13"/>
      <c r="E3186" s="34"/>
      <c r="F3186" s="6"/>
      <c r="H3186" s="6"/>
      <c r="I3186" s="35"/>
      <c r="J3186" s="239"/>
      <c r="K3186" s="239"/>
      <c r="L3186" s="239"/>
      <c r="M3186" s="239"/>
      <c r="N3186" s="239"/>
      <c r="O3186" s="6"/>
      <c r="P3186" s="6"/>
      <c r="Q3186" s="6"/>
      <c r="R3186" s="6"/>
      <c r="S3186" s="6"/>
      <c r="T3186" s="6"/>
      <c r="U3186" s="6"/>
      <c r="V3186" s="6"/>
      <c r="W3186" s="6"/>
    </row>
    <row r="3187" ht="14.25" customHeight="1">
      <c r="A3187" s="6"/>
      <c r="B3187" s="59"/>
      <c r="C3187" s="13"/>
      <c r="D3187" s="13"/>
      <c r="E3187" s="34"/>
      <c r="F3187" s="6"/>
      <c r="H3187" s="6"/>
      <c r="I3187" s="35"/>
      <c r="J3187" s="239"/>
      <c r="K3187" s="239"/>
      <c r="L3187" s="239"/>
      <c r="M3187" s="239"/>
      <c r="N3187" s="239"/>
      <c r="O3187" s="6"/>
      <c r="P3187" s="6"/>
      <c r="Q3187" s="6"/>
      <c r="R3187" s="6"/>
      <c r="S3187" s="6"/>
      <c r="T3187" s="6"/>
      <c r="U3187" s="6"/>
      <c r="V3187" s="6"/>
      <c r="W3187" s="6"/>
    </row>
    <row r="3188" ht="14.25" customHeight="1">
      <c r="A3188" s="6"/>
      <c r="B3188" s="59"/>
      <c r="C3188" s="13"/>
      <c r="D3188" s="13"/>
      <c r="E3188" s="34"/>
      <c r="F3188" s="6"/>
      <c r="H3188" s="6"/>
      <c r="I3188" s="35"/>
      <c r="J3188" s="239"/>
      <c r="K3188" s="239"/>
      <c r="L3188" s="239"/>
      <c r="M3188" s="239"/>
      <c r="N3188" s="239"/>
      <c r="O3188" s="6"/>
      <c r="P3188" s="6"/>
      <c r="Q3188" s="6"/>
      <c r="R3188" s="6"/>
      <c r="S3188" s="6"/>
      <c r="T3188" s="6"/>
      <c r="U3188" s="6"/>
      <c r="V3188" s="6"/>
      <c r="W3188" s="6"/>
    </row>
    <row r="3189" ht="14.25" customHeight="1">
      <c r="A3189" s="6"/>
      <c r="B3189" s="59"/>
      <c r="C3189" s="13"/>
      <c r="D3189" s="13"/>
      <c r="E3189" s="34"/>
      <c r="F3189" s="6"/>
      <c r="H3189" s="6"/>
      <c r="I3189" s="35"/>
      <c r="J3189" s="239"/>
      <c r="K3189" s="239"/>
      <c r="L3189" s="239"/>
      <c r="M3189" s="239"/>
      <c r="N3189" s="239"/>
      <c r="O3189" s="6"/>
      <c r="P3189" s="6"/>
      <c r="Q3189" s="6"/>
      <c r="R3189" s="6"/>
      <c r="S3189" s="6"/>
      <c r="T3189" s="6"/>
      <c r="U3189" s="6"/>
      <c r="V3189" s="6"/>
      <c r="W3189" s="6"/>
    </row>
    <row r="3190" ht="14.25" customHeight="1">
      <c r="A3190" s="6"/>
      <c r="B3190" s="59"/>
      <c r="C3190" s="13"/>
      <c r="D3190" s="13"/>
      <c r="E3190" s="34"/>
      <c r="F3190" s="6"/>
      <c r="H3190" s="6"/>
      <c r="I3190" s="35"/>
      <c r="J3190" s="239"/>
      <c r="K3190" s="239"/>
      <c r="L3190" s="239"/>
      <c r="M3190" s="239"/>
      <c r="N3190" s="239"/>
      <c r="O3190" s="6"/>
      <c r="P3190" s="6"/>
      <c r="Q3190" s="6"/>
      <c r="R3190" s="6"/>
      <c r="S3190" s="6"/>
      <c r="T3190" s="6"/>
      <c r="U3190" s="6"/>
      <c r="V3190" s="6"/>
      <c r="W3190" s="6"/>
    </row>
    <row r="3191" ht="14.25" customHeight="1">
      <c r="A3191" s="6"/>
      <c r="B3191" s="59"/>
      <c r="C3191" s="13"/>
      <c r="D3191" s="13"/>
      <c r="E3191" s="34"/>
      <c r="F3191" s="6"/>
      <c r="H3191" s="6"/>
      <c r="I3191" s="35"/>
      <c r="J3191" s="239"/>
      <c r="K3191" s="239"/>
      <c r="L3191" s="239"/>
      <c r="M3191" s="239"/>
      <c r="N3191" s="239"/>
      <c r="O3191" s="6"/>
      <c r="P3191" s="6"/>
      <c r="Q3191" s="6"/>
      <c r="R3191" s="6"/>
      <c r="S3191" s="6"/>
      <c r="T3191" s="6"/>
      <c r="U3191" s="6"/>
      <c r="V3191" s="6"/>
      <c r="W3191" s="6"/>
    </row>
    <row r="3192" ht="14.25" customHeight="1">
      <c r="A3192" s="6"/>
      <c r="B3192" s="59"/>
      <c r="C3192" s="13"/>
      <c r="D3192" s="13"/>
      <c r="E3192" s="34"/>
      <c r="F3192" s="6"/>
      <c r="H3192" s="6"/>
      <c r="I3192" s="35"/>
      <c r="J3192" s="239"/>
      <c r="K3192" s="239"/>
      <c r="L3192" s="239"/>
      <c r="M3192" s="239"/>
      <c r="N3192" s="239"/>
      <c r="O3192" s="6"/>
      <c r="P3192" s="6"/>
      <c r="Q3192" s="6"/>
      <c r="R3192" s="6"/>
      <c r="S3192" s="6"/>
      <c r="T3192" s="6"/>
      <c r="U3192" s="6"/>
      <c r="V3192" s="6"/>
      <c r="W3192" s="6"/>
    </row>
    <row r="3193" ht="14.25" customHeight="1">
      <c r="A3193" s="6"/>
      <c r="B3193" s="59"/>
      <c r="C3193" s="13"/>
      <c r="D3193" s="13"/>
      <c r="E3193" s="34"/>
      <c r="F3193" s="6"/>
      <c r="H3193" s="6"/>
      <c r="I3193" s="35"/>
      <c r="J3193" s="239"/>
      <c r="K3193" s="239"/>
      <c r="L3193" s="239"/>
      <c r="M3193" s="239"/>
      <c r="N3193" s="239"/>
      <c r="O3193" s="6"/>
      <c r="P3193" s="6"/>
      <c r="Q3193" s="6"/>
      <c r="R3193" s="6"/>
      <c r="S3193" s="6"/>
      <c r="T3193" s="6"/>
      <c r="U3193" s="6"/>
      <c r="V3193" s="6"/>
      <c r="W3193" s="6"/>
    </row>
    <row r="3194" ht="14.25" customHeight="1">
      <c r="A3194" s="6"/>
      <c r="B3194" s="59"/>
      <c r="C3194" s="13"/>
      <c r="D3194" s="13"/>
      <c r="E3194" s="34"/>
      <c r="F3194" s="6"/>
      <c r="H3194" s="6"/>
      <c r="I3194" s="35"/>
      <c r="J3194" s="239"/>
      <c r="K3194" s="239"/>
      <c r="L3194" s="239"/>
      <c r="M3194" s="239"/>
      <c r="N3194" s="239"/>
      <c r="O3194" s="6"/>
      <c r="P3194" s="6"/>
      <c r="Q3194" s="6"/>
      <c r="R3194" s="6"/>
      <c r="S3194" s="6"/>
      <c r="T3194" s="6"/>
      <c r="U3194" s="6"/>
      <c r="V3194" s="6"/>
      <c r="W3194" s="6"/>
    </row>
    <row r="3195" ht="14.25" customHeight="1">
      <c r="A3195" s="6"/>
      <c r="B3195" s="59"/>
      <c r="C3195" s="13"/>
      <c r="D3195" s="13"/>
      <c r="E3195" s="34"/>
      <c r="F3195" s="6"/>
      <c r="H3195" s="6"/>
      <c r="I3195" s="35"/>
      <c r="J3195" s="239"/>
      <c r="K3195" s="239"/>
      <c r="L3195" s="239"/>
      <c r="M3195" s="239"/>
      <c r="N3195" s="239"/>
      <c r="O3195" s="6"/>
      <c r="P3195" s="6"/>
      <c r="Q3195" s="6"/>
      <c r="R3195" s="6"/>
      <c r="S3195" s="6"/>
      <c r="T3195" s="6"/>
      <c r="U3195" s="6"/>
      <c r="V3195" s="6"/>
      <c r="W3195" s="6"/>
    </row>
    <row r="3196" ht="14.25" customHeight="1">
      <c r="A3196" s="6"/>
      <c r="B3196" s="59"/>
      <c r="C3196" s="13"/>
      <c r="D3196" s="13"/>
      <c r="E3196" s="34"/>
      <c r="F3196" s="6"/>
      <c r="H3196" s="6"/>
      <c r="I3196" s="35"/>
      <c r="J3196" s="239"/>
      <c r="K3196" s="239"/>
      <c r="L3196" s="239"/>
      <c r="M3196" s="239"/>
      <c r="N3196" s="239"/>
      <c r="O3196" s="6"/>
      <c r="P3196" s="6"/>
      <c r="Q3196" s="6"/>
      <c r="R3196" s="6"/>
      <c r="S3196" s="6"/>
      <c r="T3196" s="6"/>
      <c r="U3196" s="6"/>
      <c r="V3196" s="6"/>
      <c r="W3196" s="6"/>
    </row>
    <row r="3197" ht="14.25" customHeight="1">
      <c r="A3197" s="6"/>
      <c r="B3197" s="59"/>
      <c r="C3197" s="13"/>
      <c r="D3197" s="13"/>
      <c r="E3197" s="34"/>
      <c r="F3197" s="6"/>
      <c r="H3197" s="6"/>
      <c r="I3197" s="35"/>
      <c r="J3197" s="239"/>
      <c r="K3197" s="239"/>
      <c r="L3197" s="239"/>
      <c r="M3197" s="239"/>
      <c r="N3197" s="239"/>
      <c r="O3197" s="6"/>
      <c r="P3197" s="6"/>
      <c r="Q3197" s="6"/>
      <c r="R3197" s="6"/>
      <c r="S3197" s="6"/>
      <c r="T3197" s="6"/>
      <c r="U3197" s="6"/>
      <c r="V3197" s="6"/>
      <c r="W3197" s="6"/>
    </row>
    <row r="3198" ht="14.25" customHeight="1">
      <c r="A3198" s="6"/>
      <c r="B3198" s="59"/>
      <c r="C3198" s="13"/>
      <c r="D3198" s="13"/>
      <c r="E3198" s="34"/>
      <c r="F3198" s="6"/>
      <c r="H3198" s="6"/>
      <c r="I3198" s="35"/>
      <c r="J3198" s="239"/>
      <c r="K3198" s="239"/>
      <c r="L3198" s="239"/>
      <c r="M3198" s="239"/>
      <c r="N3198" s="239"/>
      <c r="O3198" s="6"/>
      <c r="P3198" s="6"/>
      <c r="Q3198" s="6"/>
      <c r="R3198" s="6"/>
      <c r="S3198" s="6"/>
      <c r="T3198" s="6"/>
      <c r="U3198" s="6"/>
      <c r="V3198" s="6"/>
      <c r="W3198" s="6"/>
    </row>
    <row r="3199" ht="14.25" customHeight="1">
      <c r="A3199" s="6"/>
      <c r="B3199" s="59"/>
      <c r="C3199" s="13"/>
      <c r="D3199" s="13"/>
      <c r="E3199" s="34"/>
      <c r="F3199" s="6"/>
      <c r="H3199" s="6"/>
      <c r="I3199" s="35"/>
      <c r="J3199" s="239"/>
      <c r="K3199" s="239"/>
      <c r="L3199" s="239"/>
      <c r="M3199" s="239"/>
      <c r="N3199" s="239"/>
      <c r="O3199" s="6"/>
      <c r="P3199" s="6"/>
      <c r="Q3199" s="6"/>
      <c r="R3199" s="6"/>
      <c r="S3199" s="6"/>
      <c r="T3199" s="6"/>
      <c r="U3199" s="6"/>
      <c r="V3199" s="6"/>
      <c r="W3199" s="6"/>
    </row>
    <row r="3200" ht="14.25" customHeight="1">
      <c r="A3200" s="6"/>
      <c r="B3200" s="59"/>
      <c r="C3200" s="13"/>
      <c r="D3200" s="13"/>
      <c r="E3200" s="34"/>
      <c r="F3200" s="6"/>
      <c r="H3200" s="6"/>
      <c r="I3200" s="35"/>
      <c r="J3200" s="239"/>
      <c r="K3200" s="239"/>
      <c r="L3200" s="239"/>
      <c r="M3200" s="239"/>
      <c r="N3200" s="239"/>
      <c r="O3200" s="6"/>
      <c r="P3200" s="6"/>
      <c r="Q3200" s="6"/>
      <c r="R3200" s="6"/>
      <c r="S3200" s="6"/>
      <c r="T3200" s="6"/>
      <c r="U3200" s="6"/>
      <c r="V3200" s="6"/>
      <c r="W3200" s="6"/>
    </row>
    <row r="3201" ht="14.25" customHeight="1">
      <c r="A3201" s="6"/>
      <c r="B3201" s="59"/>
      <c r="C3201" s="13"/>
      <c r="D3201" s="13"/>
      <c r="E3201" s="34"/>
      <c r="F3201" s="6"/>
      <c r="H3201" s="6"/>
      <c r="I3201" s="35"/>
      <c r="J3201" s="239"/>
      <c r="K3201" s="239"/>
      <c r="L3201" s="239"/>
      <c r="M3201" s="239"/>
      <c r="N3201" s="239"/>
      <c r="O3201" s="6"/>
      <c r="P3201" s="6"/>
      <c r="Q3201" s="6"/>
      <c r="R3201" s="6"/>
      <c r="S3201" s="6"/>
      <c r="T3201" s="6"/>
      <c r="U3201" s="6"/>
      <c r="V3201" s="6"/>
      <c r="W3201" s="6"/>
    </row>
    <row r="3202" ht="14.25" customHeight="1">
      <c r="A3202" s="6"/>
      <c r="B3202" s="59"/>
      <c r="C3202" s="13"/>
      <c r="D3202" s="13"/>
      <c r="E3202" s="34"/>
      <c r="F3202" s="6"/>
      <c r="H3202" s="6"/>
      <c r="I3202" s="35"/>
      <c r="J3202" s="239"/>
      <c r="K3202" s="239"/>
      <c r="L3202" s="239"/>
      <c r="M3202" s="239"/>
      <c r="N3202" s="239"/>
      <c r="O3202" s="6"/>
      <c r="P3202" s="6"/>
      <c r="Q3202" s="6"/>
      <c r="R3202" s="6"/>
      <c r="S3202" s="6"/>
      <c r="T3202" s="6"/>
      <c r="U3202" s="6"/>
      <c r="V3202" s="6"/>
      <c r="W3202" s="6"/>
    </row>
    <row r="3203" ht="14.25" customHeight="1">
      <c r="A3203" s="6"/>
      <c r="B3203" s="59"/>
      <c r="C3203" s="13"/>
      <c r="D3203" s="13"/>
      <c r="E3203" s="34"/>
      <c r="F3203" s="6"/>
      <c r="H3203" s="6"/>
      <c r="I3203" s="35"/>
      <c r="J3203" s="239"/>
      <c r="K3203" s="239"/>
      <c r="L3203" s="239"/>
      <c r="M3203" s="239"/>
      <c r="N3203" s="239"/>
      <c r="O3203" s="6"/>
      <c r="P3203" s="6"/>
      <c r="Q3203" s="6"/>
      <c r="R3203" s="6"/>
      <c r="S3203" s="6"/>
      <c r="T3203" s="6"/>
      <c r="U3203" s="6"/>
      <c r="V3203" s="6"/>
      <c r="W3203" s="6"/>
    </row>
    <row r="3204" ht="14.25" customHeight="1">
      <c r="A3204" s="6"/>
      <c r="B3204" s="59"/>
      <c r="C3204" s="13"/>
      <c r="D3204" s="13"/>
      <c r="E3204" s="34"/>
      <c r="F3204" s="6"/>
      <c r="H3204" s="6"/>
      <c r="I3204" s="35"/>
      <c r="J3204" s="239"/>
      <c r="K3204" s="239"/>
      <c r="L3204" s="239"/>
      <c r="M3204" s="239"/>
      <c r="N3204" s="239"/>
      <c r="O3204" s="6"/>
      <c r="P3204" s="6"/>
      <c r="Q3204" s="6"/>
      <c r="R3204" s="6"/>
      <c r="S3204" s="6"/>
      <c r="T3204" s="6"/>
      <c r="U3204" s="6"/>
      <c r="V3204" s="6"/>
      <c r="W3204" s="6"/>
    </row>
    <row r="3205" ht="14.25" customHeight="1">
      <c r="A3205" s="6"/>
      <c r="B3205" s="59"/>
      <c r="C3205" s="13"/>
      <c r="D3205" s="13"/>
      <c r="E3205" s="34"/>
      <c r="F3205" s="6"/>
      <c r="H3205" s="6"/>
      <c r="I3205" s="35"/>
      <c r="J3205" s="239"/>
      <c r="K3205" s="239"/>
      <c r="L3205" s="239"/>
      <c r="M3205" s="239"/>
      <c r="N3205" s="239"/>
      <c r="O3205" s="6"/>
      <c r="P3205" s="6"/>
      <c r="Q3205" s="6"/>
      <c r="R3205" s="6"/>
      <c r="S3205" s="6"/>
      <c r="T3205" s="6"/>
      <c r="U3205" s="6"/>
      <c r="V3205" s="6"/>
      <c r="W3205" s="6"/>
    </row>
    <row r="3206" ht="14.25" customHeight="1">
      <c r="A3206" s="6"/>
      <c r="B3206" s="59"/>
      <c r="C3206" s="13"/>
      <c r="D3206" s="13"/>
      <c r="E3206" s="34"/>
      <c r="F3206" s="6"/>
      <c r="H3206" s="6"/>
      <c r="I3206" s="35"/>
      <c r="J3206" s="239"/>
      <c r="K3206" s="239"/>
      <c r="L3206" s="239"/>
      <c r="M3206" s="239"/>
      <c r="N3206" s="239"/>
      <c r="O3206" s="6"/>
      <c r="P3206" s="6"/>
      <c r="Q3206" s="6"/>
      <c r="R3206" s="6"/>
      <c r="S3206" s="6"/>
      <c r="T3206" s="6"/>
      <c r="U3206" s="6"/>
      <c r="V3206" s="6"/>
      <c r="W3206" s="6"/>
    </row>
    <row r="3207" ht="14.25" customHeight="1">
      <c r="A3207" s="6"/>
      <c r="B3207" s="59"/>
      <c r="C3207" s="13"/>
      <c r="D3207" s="13"/>
      <c r="E3207" s="34"/>
      <c r="F3207" s="6"/>
      <c r="H3207" s="6"/>
      <c r="I3207" s="35"/>
      <c r="J3207" s="239"/>
      <c r="K3207" s="239"/>
      <c r="L3207" s="239"/>
      <c r="M3207" s="239"/>
      <c r="N3207" s="239"/>
      <c r="O3207" s="6"/>
      <c r="P3207" s="6"/>
      <c r="Q3207" s="6"/>
      <c r="R3207" s="6"/>
      <c r="S3207" s="6"/>
      <c r="T3207" s="6"/>
      <c r="U3207" s="6"/>
      <c r="V3207" s="6"/>
      <c r="W3207" s="6"/>
    </row>
    <row r="3208" ht="14.25" customHeight="1">
      <c r="A3208" s="6"/>
      <c r="B3208" s="59"/>
      <c r="C3208" s="13"/>
      <c r="D3208" s="13"/>
      <c r="E3208" s="34"/>
      <c r="F3208" s="6"/>
      <c r="H3208" s="6"/>
      <c r="I3208" s="35"/>
      <c r="J3208" s="239"/>
      <c r="K3208" s="239"/>
      <c r="L3208" s="239"/>
      <c r="M3208" s="239"/>
      <c r="N3208" s="239"/>
      <c r="O3208" s="6"/>
      <c r="P3208" s="6"/>
      <c r="Q3208" s="6"/>
      <c r="R3208" s="6"/>
      <c r="S3208" s="6"/>
      <c r="T3208" s="6"/>
      <c r="U3208" s="6"/>
      <c r="V3208" s="6"/>
      <c r="W3208" s="6"/>
    </row>
    <row r="3209" ht="14.25" customHeight="1">
      <c r="A3209" s="6"/>
      <c r="B3209" s="59"/>
      <c r="C3209" s="13"/>
      <c r="D3209" s="13"/>
      <c r="E3209" s="34"/>
      <c r="F3209" s="6"/>
      <c r="H3209" s="6"/>
      <c r="I3209" s="35"/>
      <c r="J3209" s="239"/>
      <c r="K3209" s="239"/>
      <c r="L3209" s="239"/>
      <c r="M3209" s="239"/>
      <c r="N3209" s="239"/>
      <c r="O3209" s="6"/>
      <c r="P3209" s="6"/>
      <c r="Q3209" s="6"/>
      <c r="R3209" s="6"/>
      <c r="S3209" s="6"/>
      <c r="T3209" s="6"/>
      <c r="U3209" s="6"/>
      <c r="V3209" s="6"/>
      <c r="W3209" s="6"/>
    </row>
    <row r="3210" ht="14.25" customHeight="1">
      <c r="A3210" s="6"/>
      <c r="B3210" s="59"/>
      <c r="C3210" s="13"/>
      <c r="D3210" s="13"/>
      <c r="E3210" s="34"/>
      <c r="F3210" s="6"/>
      <c r="H3210" s="6"/>
      <c r="I3210" s="35"/>
      <c r="J3210" s="239"/>
      <c r="K3210" s="239"/>
      <c r="L3210" s="239"/>
      <c r="M3210" s="239"/>
      <c r="N3210" s="239"/>
      <c r="O3210" s="6"/>
      <c r="P3210" s="6"/>
      <c r="Q3210" s="6"/>
      <c r="R3210" s="6"/>
      <c r="S3210" s="6"/>
      <c r="T3210" s="6"/>
      <c r="U3210" s="6"/>
      <c r="V3210" s="6"/>
      <c r="W3210" s="6"/>
    </row>
    <row r="3211" ht="14.25" customHeight="1">
      <c r="A3211" s="6"/>
      <c r="B3211" s="59"/>
      <c r="C3211" s="13"/>
      <c r="D3211" s="13"/>
      <c r="E3211" s="34"/>
      <c r="F3211" s="6"/>
      <c r="H3211" s="6"/>
      <c r="I3211" s="35"/>
      <c r="J3211" s="239"/>
      <c r="K3211" s="239"/>
      <c r="L3211" s="239"/>
      <c r="M3211" s="239"/>
      <c r="N3211" s="239"/>
      <c r="O3211" s="6"/>
      <c r="P3211" s="6"/>
      <c r="Q3211" s="6"/>
      <c r="R3211" s="6"/>
      <c r="S3211" s="6"/>
      <c r="T3211" s="6"/>
      <c r="U3211" s="6"/>
      <c r="V3211" s="6"/>
      <c r="W3211" s="6"/>
    </row>
    <row r="3212" ht="14.25" customHeight="1">
      <c r="A3212" s="6"/>
      <c r="B3212" s="59"/>
      <c r="C3212" s="13"/>
      <c r="D3212" s="13"/>
      <c r="E3212" s="34"/>
      <c r="F3212" s="6"/>
      <c r="H3212" s="6"/>
      <c r="I3212" s="35"/>
      <c r="J3212" s="239"/>
      <c r="K3212" s="239"/>
      <c r="L3212" s="239"/>
      <c r="M3212" s="239"/>
      <c r="N3212" s="239"/>
      <c r="O3212" s="6"/>
      <c r="P3212" s="6"/>
      <c r="Q3212" s="6"/>
      <c r="R3212" s="6"/>
      <c r="S3212" s="6"/>
      <c r="T3212" s="6"/>
      <c r="U3212" s="6"/>
      <c r="V3212" s="6"/>
      <c r="W3212" s="6"/>
    </row>
    <row r="3213" ht="14.25" customHeight="1">
      <c r="A3213" s="6"/>
      <c r="B3213" s="59"/>
      <c r="C3213" s="13"/>
      <c r="D3213" s="13"/>
      <c r="E3213" s="34"/>
      <c r="F3213" s="6"/>
      <c r="H3213" s="6"/>
      <c r="I3213" s="35"/>
      <c r="J3213" s="239"/>
      <c r="K3213" s="239"/>
      <c r="L3213" s="239"/>
      <c r="M3213" s="239"/>
      <c r="N3213" s="239"/>
      <c r="O3213" s="6"/>
      <c r="P3213" s="6"/>
      <c r="Q3213" s="6"/>
      <c r="R3213" s="6"/>
      <c r="S3213" s="6"/>
      <c r="T3213" s="6"/>
      <c r="U3213" s="6"/>
      <c r="V3213" s="6"/>
      <c r="W3213" s="6"/>
    </row>
    <row r="3214" ht="14.25" customHeight="1">
      <c r="A3214" s="6"/>
      <c r="B3214" s="59"/>
      <c r="C3214" s="13"/>
      <c r="D3214" s="13"/>
      <c r="E3214" s="34"/>
      <c r="F3214" s="6"/>
      <c r="H3214" s="6"/>
      <c r="I3214" s="35"/>
      <c r="J3214" s="239"/>
      <c r="K3214" s="239"/>
      <c r="L3214" s="239"/>
      <c r="M3214" s="239"/>
      <c r="N3214" s="239"/>
      <c r="O3214" s="6"/>
      <c r="P3214" s="6"/>
      <c r="Q3214" s="6"/>
      <c r="R3214" s="6"/>
      <c r="S3214" s="6"/>
      <c r="T3214" s="6"/>
      <c r="U3214" s="6"/>
      <c r="V3214" s="6"/>
      <c r="W3214" s="6"/>
    </row>
    <row r="3215" ht="14.25" customHeight="1">
      <c r="A3215" s="6"/>
      <c r="B3215" s="59"/>
      <c r="C3215" s="13"/>
      <c r="D3215" s="13"/>
      <c r="E3215" s="34"/>
      <c r="F3215" s="6"/>
      <c r="H3215" s="6"/>
      <c r="I3215" s="35"/>
      <c r="J3215" s="239"/>
      <c r="K3215" s="239"/>
      <c r="L3215" s="239"/>
      <c r="M3215" s="239"/>
      <c r="N3215" s="239"/>
      <c r="O3215" s="6"/>
      <c r="P3215" s="6"/>
      <c r="Q3215" s="6"/>
      <c r="R3215" s="6"/>
      <c r="S3215" s="6"/>
      <c r="T3215" s="6"/>
      <c r="U3215" s="6"/>
      <c r="V3215" s="6"/>
      <c r="W3215" s="6"/>
    </row>
    <row r="3216" ht="14.25" customHeight="1">
      <c r="A3216" s="6"/>
      <c r="B3216" s="59"/>
      <c r="C3216" s="13"/>
      <c r="D3216" s="13"/>
      <c r="E3216" s="34"/>
      <c r="F3216" s="6"/>
      <c r="H3216" s="6"/>
      <c r="I3216" s="35"/>
      <c r="J3216" s="239"/>
      <c r="K3216" s="239"/>
      <c r="L3216" s="239"/>
      <c r="M3216" s="239"/>
      <c r="N3216" s="239"/>
      <c r="O3216" s="6"/>
      <c r="P3216" s="6"/>
      <c r="Q3216" s="6"/>
      <c r="R3216" s="6"/>
      <c r="S3216" s="6"/>
      <c r="T3216" s="6"/>
      <c r="U3216" s="6"/>
      <c r="V3216" s="6"/>
      <c r="W3216" s="6"/>
    </row>
    <row r="3217" ht="14.25" customHeight="1">
      <c r="A3217" s="6"/>
      <c r="B3217" s="59"/>
      <c r="C3217" s="13"/>
      <c r="D3217" s="13"/>
      <c r="E3217" s="34"/>
      <c r="F3217" s="6"/>
      <c r="H3217" s="6"/>
      <c r="I3217" s="35"/>
      <c r="J3217" s="239"/>
      <c r="K3217" s="239"/>
      <c r="L3217" s="239"/>
      <c r="M3217" s="239"/>
      <c r="N3217" s="239"/>
      <c r="O3217" s="6"/>
      <c r="P3217" s="6"/>
      <c r="Q3217" s="6"/>
      <c r="R3217" s="6"/>
      <c r="S3217" s="6"/>
      <c r="T3217" s="6"/>
      <c r="U3217" s="6"/>
      <c r="V3217" s="6"/>
      <c r="W3217" s="6"/>
    </row>
    <row r="3218" ht="14.25" customHeight="1">
      <c r="A3218" s="6"/>
      <c r="B3218" s="59"/>
      <c r="C3218" s="13"/>
      <c r="D3218" s="13"/>
      <c r="E3218" s="34"/>
      <c r="F3218" s="6"/>
      <c r="H3218" s="6"/>
      <c r="I3218" s="35"/>
      <c r="J3218" s="239"/>
      <c r="K3218" s="239"/>
      <c r="L3218" s="239"/>
      <c r="M3218" s="239"/>
      <c r="N3218" s="239"/>
      <c r="O3218" s="6"/>
      <c r="P3218" s="6"/>
      <c r="Q3218" s="6"/>
      <c r="R3218" s="6"/>
      <c r="S3218" s="6"/>
      <c r="T3218" s="6"/>
      <c r="U3218" s="6"/>
      <c r="V3218" s="6"/>
      <c r="W3218" s="6"/>
    </row>
    <row r="3219" ht="14.25" customHeight="1">
      <c r="A3219" s="6"/>
      <c r="B3219" s="59"/>
      <c r="C3219" s="13"/>
      <c r="D3219" s="13"/>
      <c r="E3219" s="34"/>
      <c r="F3219" s="6"/>
      <c r="H3219" s="6"/>
      <c r="I3219" s="35"/>
      <c r="J3219" s="239"/>
      <c r="K3219" s="239"/>
      <c r="L3219" s="239"/>
      <c r="M3219" s="239"/>
      <c r="N3219" s="239"/>
      <c r="O3219" s="6"/>
      <c r="P3219" s="6"/>
      <c r="Q3219" s="6"/>
      <c r="R3219" s="6"/>
      <c r="S3219" s="6"/>
      <c r="T3219" s="6"/>
      <c r="U3219" s="6"/>
      <c r="V3219" s="6"/>
      <c r="W3219" s="6"/>
    </row>
    <row r="3220" ht="14.25" customHeight="1">
      <c r="A3220" s="6"/>
      <c r="B3220" s="59"/>
      <c r="C3220" s="13"/>
      <c r="D3220" s="13"/>
      <c r="E3220" s="34"/>
      <c r="F3220" s="6"/>
      <c r="H3220" s="6"/>
      <c r="I3220" s="35"/>
      <c r="J3220" s="239"/>
      <c r="K3220" s="239"/>
      <c r="L3220" s="239"/>
      <c r="M3220" s="239"/>
      <c r="N3220" s="239"/>
      <c r="O3220" s="6"/>
      <c r="P3220" s="6"/>
      <c r="Q3220" s="6"/>
      <c r="R3220" s="6"/>
      <c r="S3220" s="6"/>
      <c r="T3220" s="6"/>
      <c r="U3220" s="6"/>
      <c r="V3220" s="6"/>
      <c r="W3220" s="6"/>
    </row>
    <row r="3221" ht="14.25" customHeight="1">
      <c r="A3221" s="6"/>
      <c r="B3221" s="59"/>
      <c r="C3221" s="13"/>
      <c r="D3221" s="13"/>
      <c r="E3221" s="34"/>
      <c r="F3221" s="6"/>
      <c r="H3221" s="6"/>
      <c r="I3221" s="35"/>
      <c r="J3221" s="239"/>
      <c r="K3221" s="239"/>
      <c r="L3221" s="239"/>
      <c r="M3221" s="239"/>
      <c r="N3221" s="239"/>
      <c r="O3221" s="6"/>
      <c r="P3221" s="6"/>
      <c r="Q3221" s="6"/>
      <c r="R3221" s="6"/>
      <c r="S3221" s="6"/>
      <c r="T3221" s="6"/>
      <c r="U3221" s="6"/>
      <c r="V3221" s="6"/>
      <c r="W3221" s="6"/>
    </row>
    <row r="3222" ht="14.25" customHeight="1">
      <c r="A3222" s="6"/>
      <c r="B3222" s="59"/>
      <c r="C3222" s="13"/>
      <c r="D3222" s="13"/>
      <c r="E3222" s="34"/>
      <c r="F3222" s="6"/>
      <c r="H3222" s="6"/>
      <c r="I3222" s="35"/>
      <c r="J3222" s="239"/>
      <c r="K3222" s="239"/>
      <c r="L3222" s="239"/>
      <c r="M3222" s="239"/>
      <c r="N3222" s="239"/>
      <c r="O3222" s="6"/>
      <c r="P3222" s="6"/>
      <c r="Q3222" s="6"/>
      <c r="R3222" s="6"/>
      <c r="S3222" s="6"/>
      <c r="T3222" s="6"/>
      <c r="U3222" s="6"/>
      <c r="V3222" s="6"/>
      <c r="W3222" s="6"/>
    </row>
    <row r="3223" ht="14.25" customHeight="1">
      <c r="A3223" s="6"/>
      <c r="B3223" s="59"/>
      <c r="C3223" s="13"/>
      <c r="D3223" s="13"/>
      <c r="E3223" s="34"/>
      <c r="F3223" s="6"/>
      <c r="H3223" s="6"/>
      <c r="I3223" s="35"/>
      <c r="J3223" s="239"/>
      <c r="K3223" s="239"/>
      <c r="L3223" s="239"/>
      <c r="M3223" s="239"/>
      <c r="N3223" s="239"/>
      <c r="O3223" s="6"/>
      <c r="P3223" s="6"/>
      <c r="Q3223" s="6"/>
      <c r="R3223" s="6"/>
      <c r="S3223" s="6"/>
      <c r="T3223" s="6"/>
      <c r="U3223" s="6"/>
      <c r="V3223" s="6"/>
      <c r="W3223" s="6"/>
    </row>
    <row r="3224" ht="14.25" customHeight="1">
      <c r="A3224" s="6"/>
      <c r="B3224" s="59"/>
      <c r="C3224" s="13"/>
      <c r="D3224" s="13"/>
      <c r="E3224" s="34"/>
      <c r="F3224" s="6"/>
      <c r="H3224" s="6"/>
      <c r="I3224" s="35"/>
      <c r="J3224" s="239"/>
      <c r="K3224" s="239"/>
      <c r="L3224" s="239"/>
      <c r="M3224" s="239"/>
      <c r="N3224" s="239"/>
      <c r="O3224" s="6"/>
      <c r="P3224" s="6"/>
      <c r="Q3224" s="6"/>
      <c r="R3224" s="6"/>
      <c r="S3224" s="6"/>
      <c r="T3224" s="6"/>
      <c r="U3224" s="6"/>
      <c r="V3224" s="6"/>
      <c r="W3224" s="6"/>
    </row>
    <row r="3225" ht="14.25" customHeight="1">
      <c r="A3225" s="6"/>
      <c r="B3225" s="59"/>
      <c r="C3225" s="13"/>
      <c r="D3225" s="13"/>
      <c r="E3225" s="34"/>
      <c r="F3225" s="6"/>
      <c r="H3225" s="6"/>
      <c r="I3225" s="35"/>
      <c r="J3225" s="239"/>
      <c r="K3225" s="239"/>
      <c r="L3225" s="239"/>
      <c r="M3225" s="239"/>
      <c r="N3225" s="239"/>
      <c r="O3225" s="6"/>
      <c r="P3225" s="6"/>
      <c r="Q3225" s="6"/>
      <c r="R3225" s="6"/>
      <c r="S3225" s="6"/>
      <c r="T3225" s="6"/>
      <c r="U3225" s="6"/>
      <c r="V3225" s="6"/>
      <c r="W3225" s="6"/>
    </row>
    <row r="3226" ht="14.25" customHeight="1">
      <c r="A3226" s="6"/>
      <c r="B3226" s="59"/>
      <c r="C3226" s="13"/>
      <c r="D3226" s="13"/>
      <c r="E3226" s="34"/>
      <c r="F3226" s="6"/>
      <c r="H3226" s="6"/>
      <c r="I3226" s="35"/>
      <c r="J3226" s="239"/>
      <c r="K3226" s="239"/>
      <c r="L3226" s="239"/>
      <c r="M3226" s="239"/>
      <c r="N3226" s="239"/>
      <c r="O3226" s="6"/>
      <c r="P3226" s="6"/>
      <c r="Q3226" s="6"/>
      <c r="R3226" s="6"/>
      <c r="S3226" s="6"/>
      <c r="T3226" s="6"/>
      <c r="U3226" s="6"/>
      <c r="V3226" s="6"/>
      <c r="W3226" s="6"/>
    </row>
    <row r="3227" ht="14.25" customHeight="1">
      <c r="A3227" s="6"/>
      <c r="B3227" s="59"/>
      <c r="C3227" s="13"/>
      <c r="D3227" s="13"/>
      <c r="E3227" s="34"/>
      <c r="F3227" s="6"/>
      <c r="H3227" s="6"/>
      <c r="I3227" s="35"/>
      <c r="J3227" s="239"/>
      <c r="K3227" s="239"/>
      <c r="L3227" s="239"/>
      <c r="M3227" s="239"/>
      <c r="N3227" s="239"/>
      <c r="O3227" s="6"/>
      <c r="P3227" s="6"/>
      <c r="Q3227" s="6"/>
      <c r="R3227" s="6"/>
      <c r="S3227" s="6"/>
      <c r="T3227" s="6"/>
      <c r="U3227" s="6"/>
      <c r="V3227" s="6"/>
      <c r="W3227" s="6"/>
    </row>
    <row r="3228" ht="14.25" customHeight="1">
      <c r="A3228" s="6"/>
      <c r="B3228" s="59"/>
      <c r="C3228" s="13"/>
      <c r="D3228" s="13"/>
      <c r="E3228" s="34"/>
      <c r="F3228" s="6"/>
      <c r="H3228" s="6"/>
      <c r="I3228" s="35"/>
      <c r="J3228" s="239"/>
      <c r="K3228" s="239"/>
      <c r="L3228" s="239"/>
      <c r="M3228" s="239"/>
      <c r="N3228" s="239"/>
      <c r="O3228" s="6"/>
      <c r="P3228" s="6"/>
      <c r="Q3228" s="6"/>
      <c r="R3228" s="6"/>
      <c r="S3228" s="6"/>
      <c r="T3228" s="6"/>
      <c r="U3228" s="6"/>
      <c r="V3228" s="6"/>
      <c r="W3228" s="6"/>
    </row>
    <row r="3229" ht="14.25" customHeight="1">
      <c r="A3229" s="6"/>
      <c r="B3229" s="59"/>
      <c r="C3229" s="13"/>
      <c r="D3229" s="13"/>
      <c r="E3229" s="34"/>
      <c r="F3229" s="6"/>
      <c r="H3229" s="6"/>
      <c r="I3229" s="35"/>
      <c r="J3229" s="239"/>
      <c r="K3229" s="239"/>
      <c r="L3229" s="239"/>
      <c r="M3229" s="239"/>
      <c r="N3229" s="239"/>
      <c r="O3229" s="6"/>
      <c r="P3229" s="6"/>
      <c r="Q3229" s="6"/>
      <c r="R3229" s="6"/>
      <c r="S3229" s="6"/>
      <c r="T3229" s="6"/>
      <c r="U3229" s="6"/>
      <c r="V3229" s="6"/>
      <c r="W3229" s="6"/>
    </row>
    <row r="3230" ht="14.25" customHeight="1">
      <c r="A3230" s="6"/>
      <c r="B3230" s="59"/>
      <c r="C3230" s="13"/>
      <c r="D3230" s="13"/>
      <c r="E3230" s="34"/>
      <c r="F3230" s="6"/>
      <c r="H3230" s="6"/>
      <c r="I3230" s="35"/>
      <c r="J3230" s="239"/>
      <c r="K3230" s="239"/>
      <c r="L3230" s="239"/>
      <c r="M3230" s="239"/>
      <c r="N3230" s="239"/>
      <c r="O3230" s="6"/>
      <c r="P3230" s="6"/>
      <c r="Q3230" s="6"/>
      <c r="R3230" s="6"/>
      <c r="S3230" s="6"/>
      <c r="T3230" s="6"/>
      <c r="U3230" s="6"/>
      <c r="V3230" s="6"/>
      <c r="W3230" s="6"/>
    </row>
    <row r="3231" ht="14.25" customHeight="1">
      <c r="A3231" s="6"/>
      <c r="B3231" s="59"/>
      <c r="C3231" s="13"/>
      <c r="D3231" s="13"/>
      <c r="E3231" s="34"/>
      <c r="F3231" s="6"/>
      <c r="H3231" s="6"/>
      <c r="I3231" s="35"/>
      <c r="J3231" s="239"/>
      <c r="K3231" s="239"/>
      <c r="L3231" s="239"/>
      <c r="M3231" s="239"/>
      <c r="N3231" s="239"/>
      <c r="O3231" s="6"/>
      <c r="P3231" s="6"/>
      <c r="Q3231" s="6"/>
      <c r="R3231" s="6"/>
      <c r="S3231" s="6"/>
      <c r="T3231" s="6"/>
      <c r="U3231" s="6"/>
      <c r="V3231" s="6"/>
      <c r="W3231" s="6"/>
    </row>
    <row r="3232" ht="14.25" customHeight="1">
      <c r="A3232" s="6"/>
      <c r="B3232" s="59"/>
      <c r="C3232" s="13"/>
      <c r="D3232" s="13"/>
      <c r="E3232" s="34"/>
      <c r="F3232" s="6"/>
      <c r="H3232" s="6"/>
      <c r="I3232" s="35"/>
      <c r="J3232" s="239"/>
      <c r="K3232" s="239"/>
      <c r="L3232" s="239"/>
      <c r="M3232" s="239"/>
      <c r="N3232" s="239"/>
      <c r="O3232" s="6"/>
      <c r="P3232" s="6"/>
      <c r="Q3232" s="6"/>
      <c r="R3232" s="6"/>
      <c r="S3232" s="6"/>
      <c r="T3232" s="6"/>
      <c r="U3232" s="6"/>
      <c r="V3232" s="6"/>
      <c r="W3232" s="6"/>
    </row>
    <row r="3233" ht="14.25" customHeight="1">
      <c r="A3233" s="6"/>
      <c r="B3233" s="59"/>
      <c r="C3233" s="13"/>
      <c r="D3233" s="13"/>
      <c r="E3233" s="34"/>
      <c r="F3233" s="6"/>
      <c r="H3233" s="6"/>
      <c r="I3233" s="35"/>
      <c r="J3233" s="239"/>
      <c r="K3233" s="239"/>
      <c r="L3233" s="239"/>
      <c r="M3233" s="239"/>
      <c r="N3233" s="239"/>
      <c r="O3233" s="6"/>
      <c r="P3233" s="6"/>
      <c r="Q3233" s="6"/>
      <c r="R3233" s="6"/>
      <c r="S3233" s="6"/>
      <c r="T3233" s="6"/>
      <c r="U3233" s="6"/>
      <c r="V3233" s="6"/>
      <c r="W3233" s="6"/>
    </row>
    <row r="3234" ht="14.25" customHeight="1">
      <c r="A3234" s="6"/>
      <c r="B3234" s="59"/>
      <c r="C3234" s="13"/>
      <c r="D3234" s="13"/>
      <c r="E3234" s="34"/>
      <c r="F3234" s="6"/>
      <c r="H3234" s="6"/>
      <c r="I3234" s="35"/>
      <c r="J3234" s="239"/>
      <c r="K3234" s="239"/>
      <c r="L3234" s="239"/>
      <c r="M3234" s="239"/>
      <c r="N3234" s="239"/>
      <c r="O3234" s="6"/>
      <c r="P3234" s="6"/>
      <c r="Q3234" s="6"/>
      <c r="R3234" s="6"/>
      <c r="S3234" s="6"/>
      <c r="T3234" s="6"/>
      <c r="U3234" s="6"/>
      <c r="V3234" s="6"/>
      <c r="W3234" s="6"/>
    </row>
    <row r="3235" ht="14.25" customHeight="1">
      <c r="A3235" s="6"/>
      <c r="B3235" s="59"/>
      <c r="C3235" s="13"/>
      <c r="D3235" s="13"/>
      <c r="E3235" s="34"/>
      <c r="F3235" s="6"/>
      <c r="H3235" s="6"/>
      <c r="I3235" s="35"/>
      <c r="J3235" s="239"/>
      <c r="K3235" s="239"/>
      <c r="L3235" s="239"/>
      <c r="M3235" s="239"/>
      <c r="N3235" s="239"/>
      <c r="O3235" s="6"/>
      <c r="P3235" s="6"/>
      <c r="Q3235" s="6"/>
      <c r="R3235" s="6"/>
      <c r="S3235" s="6"/>
      <c r="T3235" s="6"/>
      <c r="U3235" s="6"/>
      <c r="V3235" s="6"/>
      <c r="W3235" s="6"/>
    </row>
    <row r="3236" ht="14.25" customHeight="1">
      <c r="A3236" s="6"/>
      <c r="B3236" s="59"/>
      <c r="C3236" s="13"/>
      <c r="D3236" s="13"/>
      <c r="E3236" s="34"/>
      <c r="F3236" s="6"/>
      <c r="H3236" s="6"/>
      <c r="I3236" s="35"/>
      <c r="J3236" s="239"/>
      <c r="K3236" s="239"/>
      <c r="L3236" s="239"/>
      <c r="M3236" s="239"/>
      <c r="N3236" s="239"/>
      <c r="O3236" s="6"/>
      <c r="P3236" s="6"/>
      <c r="Q3236" s="6"/>
      <c r="R3236" s="6"/>
      <c r="S3236" s="6"/>
      <c r="T3236" s="6"/>
      <c r="U3236" s="6"/>
      <c r="V3236" s="6"/>
      <c r="W3236" s="6"/>
    </row>
    <row r="3237" ht="14.25" customHeight="1">
      <c r="A3237" s="6"/>
      <c r="B3237" s="59"/>
      <c r="C3237" s="13"/>
      <c r="D3237" s="13"/>
      <c r="E3237" s="34"/>
      <c r="F3237" s="6"/>
      <c r="H3237" s="6"/>
      <c r="I3237" s="35"/>
      <c r="J3237" s="239"/>
      <c r="K3237" s="239"/>
      <c r="L3237" s="239"/>
      <c r="M3237" s="239"/>
      <c r="N3237" s="239"/>
      <c r="O3237" s="6"/>
      <c r="P3237" s="6"/>
      <c r="Q3237" s="6"/>
      <c r="R3237" s="6"/>
      <c r="S3237" s="6"/>
      <c r="T3237" s="6"/>
      <c r="U3237" s="6"/>
      <c r="V3237" s="6"/>
      <c r="W3237" s="6"/>
    </row>
    <row r="3238" ht="14.25" customHeight="1">
      <c r="A3238" s="6"/>
      <c r="B3238" s="59"/>
      <c r="C3238" s="13"/>
      <c r="D3238" s="13"/>
      <c r="E3238" s="34"/>
      <c r="F3238" s="6"/>
      <c r="H3238" s="6"/>
      <c r="I3238" s="35"/>
      <c r="J3238" s="239"/>
      <c r="K3238" s="239"/>
      <c r="L3238" s="239"/>
      <c r="M3238" s="239"/>
      <c r="N3238" s="239"/>
      <c r="O3238" s="6"/>
      <c r="P3238" s="6"/>
      <c r="Q3238" s="6"/>
      <c r="R3238" s="6"/>
      <c r="S3238" s="6"/>
      <c r="T3238" s="6"/>
      <c r="U3238" s="6"/>
      <c r="V3238" s="6"/>
      <c r="W3238" s="6"/>
    </row>
    <row r="3239" ht="14.25" customHeight="1">
      <c r="A3239" s="6"/>
      <c r="B3239" s="59"/>
      <c r="C3239" s="13"/>
      <c r="D3239" s="13"/>
      <c r="E3239" s="34"/>
      <c r="F3239" s="6"/>
      <c r="H3239" s="6"/>
      <c r="I3239" s="35"/>
      <c r="J3239" s="239"/>
      <c r="K3239" s="239"/>
      <c r="L3239" s="239"/>
      <c r="M3239" s="239"/>
      <c r="N3239" s="239"/>
      <c r="O3239" s="6"/>
      <c r="P3239" s="6"/>
      <c r="Q3239" s="6"/>
      <c r="R3239" s="6"/>
      <c r="S3239" s="6"/>
      <c r="T3239" s="6"/>
      <c r="U3239" s="6"/>
      <c r="V3239" s="6"/>
      <c r="W3239" s="6"/>
    </row>
    <row r="3240" ht="14.25" customHeight="1">
      <c r="A3240" s="6"/>
      <c r="B3240" s="59"/>
      <c r="C3240" s="13"/>
      <c r="D3240" s="13"/>
      <c r="E3240" s="34"/>
      <c r="F3240" s="6"/>
      <c r="H3240" s="6"/>
      <c r="I3240" s="35"/>
      <c r="J3240" s="239"/>
      <c r="K3240" s="239"/>
      <c r="L3240" s="239"/>
      <c r="M3240" s="239"/>
      <c r="N3240" s="239"/>
      <c r="O3240" s="6"/>
      <c r="P3240" s="6"/>
      <c r="Q3240" s="6"/>
      <c r="R3240" s="6"/>
      <c r="S3240" s="6"/>
      <c r="T3240" s="6"/>
      <c r="U3240" s="6"/>
      <c r="V3240" s="6"/>
      <c r="W3240" s="6"/>
    </row>
    <row r="3241" ht="14.25" customHeight="1">
      <c r="A3241" s="6"/>
      <c r="B3241" s="59"/>
      <c r="C3241" s="13"/>
      <c r="D3241" s="13"/>
      <c r="E3241" s="34"/>
      <c r="F3241" s="6"/>
      <c r="H3241" s="6"/>
      <c r="I3241" s="35"/>
      <c r="J3241" s="239"/>
      <c r="K3241" s="239"/>
      <c r="L3241" s="239"/>
      <c r="M3241" s="239"/>
      <c r="N3241" s="239"/>
      <c r="O3241" s="6"/>
      <c r="P3241" s="6"/>
      <c r="Q3241" s="6"/>
      <c r="R3241" s="6"/>
      <c r="S3241" s="6"/>
      <c r="T3241" s="6"/>
      <c r="U3241" s="6"/>
      <c r="V3241" s="6"/>
      <c r="W3241" s="6"/>
    </row>
    <row r="3242" ht="14.25" customHeight="1">
      <c r="A3242" s="6"/>
      <c r="B3242" s="59"/>
      <c r="C3242" s="13"/>
      <c r="D3242" s="13"/>
      <c r="E3242" s="34"/>
      <c r="F3242" s="6"/>
      <c r="H3242" s="6"/>
      <c r="I3242" s="35"/>
      <c r="J3242" s="239"/>
      <c r="K3242" s="239"/>
      <c r="L3242" s="239"/>
      <c r="M3242" s="239"/>
      <c r="N3242" s="239"/>
      <c r="O3242" s="6"/>
      <c r="P3242" s="6"/>
      <c r="Q3242" s="6"/>
      <c r="R3242" s="6"/>
      <c r="S3242" s="6"/>
      <c r="T3242" s="6"/>
      <c r="U3242" s="6"/>
      <c r="V3242" s="6"/>
      <c r="W3242" s="6"/>
    </row>
    <row r="3243" ht="14.25" customHeight="1">
      <c r="A3243" s="6"/>
      <c r="B3243" s="59"/>
      <c r="C3243" s="13"/>
      <c r="D3243" s="13"/>
      <c r="E3243" s="34"/>
      <c r="F3243" s="6"/>
      <c r="H3243" s="6"/>
      <c r="I3243" s="35"/>
      <c r="J3243" s="239"/>
      <c r="K3243" s="239"/>
      <c r="L3243" s="239"/>
      <c r="M3243" s="239"/>
      <c r="N3243" s="239"/>
      <c r="O3243" s="6"/>
      <c r="P3243" s="6"/>
      <c r="Q3243" s="6"/>
      <c r="R3243" s="6"/>
      <c r="S3243" s="6"/>
      <c r="T3243" s="6"/>
      <c r="U3243" s="6"/>
      <c r="V3243" s="6"/>
      <c r="W3243" s="6"/>
    </row>
    <row r="3244" ht="14.25" customHeight="1">
      <c r="A3244" s="6"/>
      <c r="B3244" s="59"/>
      <c r="C3244" s="13"/>
      <c r="D3244" s="13"/>
      <c r="E3244" s="34"/>
      <c r="F3244" s="6"/>
      <c r="H3244" s="6"/>
      <c r="I3244" s="35"/>
      <c r="J3244" s="239"/>
      <c r="K3244" s="239"/>
      <c r="L3244" s="239"/>
      <c r="M3244" s="239"/>
      <c r="N3244" s="239"/>
      <c r="O3244" s="6"/>
      <c r="P3244" s="6"/>
      <c r="Q3244" s="6"/>
      <c r="R3244" s="6"/>
      <c r="S3244" s="6"/>
      <c r="T3244" s="6"/>
      <c r="U3244" s="6"/>
      <c r="V3244" s="6"/>
      <c r="W3244" s="6"/>
    </row>
    <row r="3245" ht="14.25" customHeight="1">
      <c r="A3245" s="6"/>
      <c r="B3245" s="59"/>
      <c r="C3245" s="13"/>
      <c r="D3245" s="13"/>
      <c r="E3245" s="34"/>
      <c r="F3245" s="6"/>
      <c r="H3245" s="6"/>
      <c r="I3245" s="35"/>
      <c r="J3245" s="239"/>
      <c r="K3245" s="239"/>
      <c r="L3245" s="239"/>
      <c r="M3245" s="239"/>
      <c r="N3245" s="239"/>
      <c r="O3245" s="6"/>
      <c r="P3245" s="6"/>
      <c r="Q3245" s="6"/>
      <c r="R3245" s="6"/>
      <c r="S3245" s="6"/>
      <c r="T3245" s="6"/>
      <c r="U3245" s="6"/>
      <c r="V3245" s="6"/>
      <c r="W3245" s="6"/>
    </row>
    <row r="3246" ht="14.25" customHeight="1">
      <c r="A3246" s="6"/>
      <c r="B3246" s="59"/>
      <c r="C3246" s="13"/>
      <c r="D3246" s="13"/>
      <c r="E3246" s="34"/>
      <c r="F3246" s="6"/>
      <c r="H3246" s="6"/>
      <c r="I3246" s="35"/>
      <c r="J3246" s="239"/>
      <c r="K3246" s="239"/>
      <c r="L3246" s="239"/>
      <c r="M3246" s="239"/>
      <c r="N3246" s="239"/>
      <c r="O3246" s="6"/>
      <c r="P3246" s="6"/>
      <c r="Q3246" s="6"/>
      <c r="R3246" s="6"/>
      <c r="S3246" s="6"/>
      <c r="T3246" s="6"/>
      <c r="U3246" s="6"/>
      <c r="V3246" s="6"/>
      <c r="W3246" s="6"/>
    </row>
    <row r="3247" ht="14.25" customHeight="1">
      <c r="A3247" s="6"/>
      <c r="B3247" s="59"/>
      <c r="C3247" s="13"/>
      <c r="D3247" s="13"/>
      <c r="E3247" s="34"/>
      <c r="F3247" s="6"/>
      <c r="H3247" s="6"/>
      <c r="I3247" s="35"/>
      <c r="J3247" s="239"/>
      <c r="K3247" s="239"/>
      <c r="L3247" s="239"/>
      <c r="M3247" s="239"/>
      <c r="N3247" s="239"/>
      <c r="O3247" s="6"/>
      <c r="P3247" s="6"/>
      <c r="Q3247" s="6"/>
      <c r="R3247" s="6"/>
      <c r="S3247" s="6"/>
      <c r="T3247" s="6"/>
      <c r="U3247" s="6"/>
      <c r="V3247" s="6"/>
      <c r="W3247" s="6"/>
    </row>
    <row r="3248" ht="14.25" customHeight="1">
      <c r="A3248" s="6"/>
      <c r="B3248" s="59"/>
      <c r="C3248" s="13"/>
      <c r="D3248" s="13"/>
      <c r="E3248" s="34"/>
      <c r="F3248" s="6"/>
      <c r="H3248" s="6"/>
      <c r="I3248" s="35"/>
      <c r="J3248" s="239"/>
      <c r="K3248" s="239"/>
      <c r="L3248" s="239"/>
      <c r="M3248" s="239"/>
      <c r="N3248" s="239"/>
      <c r="O3248" s="6"/>
      <c r="P3248" s="6"/>
      <c r="Q3248" s="6"/>
      <c r="R3248" s="6"/>
      <c r="S3248" s="6"/>
      <c r="T3248" s="6"/>
      <c r="U3248" s="6"/>
      <c r="V3248" s="6"/>
      <c r="W3248" s="6"/>
    </row>
    <row r="3249" ht="14.25" customHeight="1">
      <c r="A3249" s="6"/>
      <c r="B3249" s="59"/>
      <c r="C3249" s="13"/>
      <c r="D3249" s="13"/>
      <c r="E3249" s="34"/>
      <c r="F3249" s="6"/>
      <c r="H3249" s="6"/>
      <c r="I3249" s="35"/>
      <c r="J3249" s="239"/>
      <c r="K3249" s="239"/>
      <c r="L3249" s="239"/>
      <c r="M3249" s="239"/>
      <c r="N3249" s="239"/>
      <c r="O3249" s="6"/>
      <c r="P3249" s="6"/>
      <c r="Q3249" s="6"/>
      <c r="R3249" s="6"/>
      <c r="S3249" s="6"/>
      <c r="T3249" s="6"/>
      <c r="U3249" s="6"/>
      <c r="V3249" s="6"/>
      <c r="W3249" s="6"/>
    </row>
    <row r="3250" ht="14.25" customHeight="1">
      <c r="A3250" s="6"/>
      <c r="B3250" s="59"/>
      <c r="C3250" s="13"/>
      <c r="D3250" s="13"/>
      <c r="E3250" s="34"/>
      <c r="F3250" s="6"/>
      <c r="H3250" s="6"/>
      <c r="I3250" s="35"/>
      <c r="J3250" s="239"/>
      <c r="K3250" s="239"/>
      <c r="L3250" s="239"/>
      <c r="M3250" s="239"/>
      <c r="N3250" s="239"/>
      <c r="O3250" s="6"/>
      <c r="P3250" s="6"/>
      <c r="Q3250" s="6"/>
      <c r="R3250" s="6"/>
      <c r="S3250" s="6"/>
      <c r="T3250" s="6"/>
      <c r="U3250" s="6"/>
      <c r="V3250" s="6"/>
      <c r="W3250" s="6"/>
    </row>
    <row r="3251" ht="14.25" customHeight="1">
      <c r="A3251" s="6"/>
      <c r="B3251" s="59"/>
      <c r="C3251" s="13"/>
      <c r="D3251" s="13"/>
      <c r="E3251" s="34"/>
      <c r="F3251" s="6"/>
      <c r="H3251" s="6"/>
      <c r="I3251" s="35"/>
      <c r="J3251" s="239"/>
      <c r="K3251" s="239"/>
      <c r="L3251" s="239"/>
      <c r="M3251" s="239"/>
      <c r="N3251" s="239"/>
      <c r="O3251" s="6"/>
      <c r="P3251" s="6"/>
      <c r="Q3251" s="6"/>
      <c r="R3251" s="6"/>
      <c r="S3251" s="6"/>
      <c r="T3251" s="6"/>
      <c r="U3251" s="6"/>
      <c r="V3251" s="6"/>
      <c r="W3251" s="6"/>
    </row>
    <row r="3252" ht="14.25" customHeight="1">
      <c r="A3252" s="6"/>
      <c r="B3252" s="59"/>
      <c r="C3252" s="13"/>
      <c r="D3252" s="13"/>
      <c r="E3252" s="34"/>
      <c r="F3252" s="6"/>
      <c r="H3252" s="6"/>
      <c r="I3252" s="35"/>
      <c r="J3252" s="239"/>
      <c r="K3252" s="239"/>
      <c r="L3252" s="239"/>
      <c r="M3252" s="239"/>
      <c r="N3252" s="239"/>
      <c r="O3252" s="6"/>
      <c r="P3252" s="6"/>
      <c r="Q3252" s="6"/>
      <c r="R3252" s="6"/>
      <c r="S3252" s="6"/>
      <c r="T3252" s="6"/>
      <c r="U3252" s="6"/>
      <c r="V3252" s="6"/>
      <c r="W3252" s="6"/>
    </row>
    <row r="3253" ht="14.25" customHeight="1">
      <c r="A3253" s="6"/>
      <c r="B3253" s="59"/>
      <c r="C3253" s="13"/>
      <c r="D3253" s="13"/>
      <c r="E3253" s="34"/>
      <c r="F3253" s="6"/>
      <c r="H3253" s="6"/>
      <c r="I3253" s="35"/>
      <c r="J3253" s="239"/>
      <c r="K3253" s="239"/>
      <c r="L3253" s="239"/>
      <c r="M3253" s="239"/>
      <c r="N3253" s="239"/>
      <c r="O3253" s="6"/>
      <c r="P3253" s="6"/>
      <c r="Q3253" s="6"/>
      <c r="R3253" s="6"/>
      <c r="S3253" s="6"/>
      <c r="T3253" s="6"/>
      <c r="U3253" s="6"/>
      <c r="V3253" s="6"/>
      <c r="W3253" s="6"/>
    </row>
    <row r="3254" ht="14.25" customHeight="1">
      <c r="A3254" s="6"/>
      <c r="B3254" s="59"/>
      <c r="C3254" s="13"/>
      <c r="D3254" s="13"/>
      <c r="E3254" s="34"/>
      <c r="F3254" s="6"/>
      <c r="H3254" s="6"/>
      <c r="I3254" s="35"/>
      <c r="J3254" s="239"/>
      <c r="K3254" s="239"/>
      <c r="L3254" s="239"/>
      <c r="M3254" s="239"/>
      <c r="N3254" s="239"/>
      <c r="O3254" s="6"/>
      <c r="P3254" s="6"/>
      <c r="Q3254" s="6"/>
      <c r="R3254" s="6"/>
      <c r="S3254" s="6"/>
      <c r="T3254" s="6"/>
      <c r="U3254" s="6"/>
      <c r="V3254" s="6"/>
      <c r="W3254" s="6"/>
    </row>
    <row r="3255" ht="14.25" customHeight="1">
      <c r="A3255" s="6"/>
      <c r="B3255" s="59"/>
      <c r="C3255" s="13"/>
      <c r="D3255" s="13"/>
      <c r="E3255" s="34"/>
      <c r="F3255" s="6"/>
      <c r="H3255" s="6"/>
      <c r="I3255" s="35"/>
      <c r="J3255" s="239"/>
      <c r="K3255" s="239"/>
      <c r="L3255" s="239"/>
      <c r="M3255" s="239"/>
      <c r="N3255" s="239"/>
      <c r="O3255" s="6"/>
      <c r="P3255" s="6"/>
      <c r="Q3255" s="6"/>
      <c r="R3255" s="6"/>
      <c r="S3255" s="6"/>
      <c r="T3255" s="6"/>
      <c r="U3255" s="6"/>
      <c r="V3255" s="6"/>
      <c r="W3255" s="6"/>
    </row>
    <row r="3256" ht="14.25" customHeight="1">
      <c r="A3256" s="6"/>
      <c r="B3256" s="59"/>
      <c r="C3256" s="13"/>
      <c r="D3256" s="13"/>
      <c r="E3256" s="34"/>
      <c r="F3256" s="6"/>
      <c r="H3256" s="6"/>
      <c r="I3256" s="35"/>
      <c r="J3256" s="239"/>
      <c r="K3256" s="239"/>
      <c r="L3256" s="239"/>
      <c r="M3256" s="239"/>
      <c r="N3256" s="239"/>
      <c r="O3256" s="6"/>
      <c r="P3256" s="6"/>
      <c r="Q3256" s="6"/>
      <c r="R3256" s="6"/>
      <c r="S3256" s="6"/>
      <c r="T3256" s="6"/>
      <c r="U3256" s="6"/>
      <c r="V3256" s="6"/>
      <c r="W3256" s="6"/>
    </row>
    <row r="3257" ht="14.25" customHeight="1">
      <c r="A3257" s="6"/>
      <c r="B3257" s="59"/>
      <c r="C3257" s="13"/>
      <c r="D3257" s="13"/>
      <c r="E3257" s="34"/>
      <c r="F3257" s="6"/>
      <c r="H3257" s="6"/>
      <c r="I3257" s="35"/>
      <c r="J3257" s="239"/>
      <c r="K3257" s="239"/>
      <c r="L3257" s="239"/>
      <c r="M3257" s="239"/>
      <c r="N3257" s="239"/>
      <c r="O3257" s="6"/>
      <c r="P3257" s="6"/>
      <c r="Q3257" s="6"/>
      <c r="R3257" s="6"/>
      <c r="S3257" s="6"/>
      <c r="T3257" s="6"/>
      <c r="U3257" s="6"/>
      <c r="V3257" s="6"/>
      <c r="W3257" s="6"/>
    </row>
    <row r="3258" ht="14.25" customHeight="1">
      <c r="A3258" s="6"/>
      <c r="B3258" s="59"/>
      <c r="C3258" s="13"/>
      <c r="D3258" s="13"/>
      <c r="E3258" s="34"/>
      <c r="F3258" s="6"/>
      <c r="H3258" s="6"/>
      <c r="I3258" s="35"/>
      <c r="J3258" s="239"/>
      <c r="K3258" s="239"/>
      <c r="L3258" s="239"/>
      <c r="M3258" s="239"/>
      <c r="N3258" s="239"/>
      <c r="O3258" s="6"/>
      <c r="P3258" s="6"/>
      <c r="Q3258" s="6"/>
      <c r="R3258" s="6"/>
      <c r="S3258" s="6"/>
      <c r="T3258" s="6"/>
      <c r="U3258" s="6"/>
      <c r="V3258" s="6"/>
      <c r="W3258" s="6"/>
    </row>
    <row r="3259" ht="14.25" customHeight="1">
      <c r="A3259" s="6"/>
      <c r="B3259" s="59"/>
      <c r="C3259" s="13"/>
      <c r="D3259" s="13"/>
      <c r="E3259" s="34"/>
      <c r="F3259" s="6"/>
      <c r="H3259" s="6"/>
      <c r="I3259" s="35"/>
      <c r="J3259" s="239"/>
      <c r="K3259" s="239"/>
      <c r="L3259" s="239"/>
      <c r="M3259" s="239"/>
      <c r="N3259" s="239"/>
      <c r="O3259" s="6"/>
      <c r="P3259" s="6"/>
      <c r="Q3259" s="6"/>
      <c r="R3259" s="6"/>
      <c r="S3259" s="6"/>
      <c r="T3259" s="6"/>
      <c r="U3259" s="6"/>
      <c r="V3259" s="6"/>
      <c r="W3259" s="6"/>
    </row>
    <row r="3260" ht="14.25" customHeight="1">
      <c r="A3260" s="6"/>
      <c r="B3260" s="59"/>
      <c r="C3260" s="13"/>
      <c r="D3260" s="13"/>
      <c r="E3260" s="34"/>
      <c r="F3260" s="6"/>
      <c r="H3260" s="6"/>
      <c r="I3260" s="35"/>
      <c r="J3260" s="239"/>
      <c r="K3260" s="239"/>
      <c r="L3260" s="239"/>
      <c r="M3260" s="239"/>
      <c r="N3260" s="239"/>
      <c r="O3260" s="6"/>
      <c r="P3260" s="6"/>
      <c r="Q3260" s="6"/>
      <c r="R3260" s="6"/>
      <c r="S3260" s="6"/>
      <c r="T3260" s="6"/>
      <c r="U3260" s="6"/>
      <c r="V3260" s="6"/>
      <c r="W3260" s="6"/>
    </row>
    <row r="3261" ht="14.25" customHeight="1">
      <c r="A3261" s="6"/>
      <c r="B3261" s="59"/>
      <c r="C3261" s="13"/>
      <c r="D3261" s="13"/>
      <c r="E3261" s="34"/>
      <c r="F3261" s="6"/>
      <c r="H3261" s="6"/>
      <c r="I3261" s="35"/>
      <c r="J3261" s="239"/>
      <c r="K3261" s="239"/>
      <c r="L3261" s="239"/>
      <c r="M3261" s="239"/>
      <c r="N3261" s="239"/>
      <c r="O3261" s="6"/>
      <c r="P3261" s="6"/>
      <c r="Q3261" s="6"/>
      <c r="R3261" s="6"/>
      <c r="S3261" s="6"/>
      <c r="T3261" s="6"/>
      <c r="U3261" s="6"/>
      <c r="V3261" s="6"/>
      <c r="W3261" s="6"/>
    </row>
    <row r="3262" ht="14.25" customHeight="1">
      <c r="A3262" s="6"/>
      <c r="B3262" s="59"/>
      <c r="C3262" s="13"/>
      <c r="D3262" s="13"/>
      <c r="E3262" s="34"/>
      <c r="F3262" s="6"/>
      <c r="H3262" s="6"/>
      <c r="I3262" s="35"/>
      <c r="J3262" s="239"/>
      <c r="K3262" s="239"/>
      <c r="L3262" s="239"/>
      <c r="M3262" s="239"/>
      <c r="N3262" s="239"/>
      <c r="O3262" s="6"/>
      <c r="P3262" s="6"/>
      <c r="Q3262" s="6"/>
      <c r="R3262" s="6"/>
      <c r="S3262" s="6"/>
      <c r="T3262" s="6"/>
      <c r="U3262" s="6"/>
      <c r="V3262" s="6"/>
      <c r="W3262" s="6"/>
    </row>
    <row r="3263" ht="14.25" customHeight="1">
      <c r="A3263" s="6"/>
      <c r="B3263" s="59"/>
      <c r="C3263" s="13"/>
      <c r="D3263" s="13"/>
      <c r="E3263" s="34"/>
      <c r="F3263" s="6"/>
      <c r="H3263" s="6"/>
      <c r="I3263" s="35"/>
      <c r="J3263" s="239"/>
      <c r="K3263" s="239"/>
      <c r="L3263" s="239"/>
      <c r="M3263" s="239"/>
      <c r="N3263" s="239"/>
      <c r="O3263" s="6"/>
      <c r="P3263" s="6"/>
      <c r="Q3263" s="6"/>
      <c r="R3263" s="6"/>
      <c r="S3263" s="6"/>
      <c r="T3263" s="6"/>
      <c r="U3263" s="6"/>
      <c r="V3263" s="6"/>
      <c r="W3263" s="6"/>
    </row>
    <row r="3264" ht="14.25" customHeight="1">
      <c r="A3264" s="6"/>
      <c r="B3264" s="59"/>
      <c r="C3264" s="13"/>
      <c r="D3264" s="13"/>
      <c r="E3264" s="34"/>
      <c r="F3264" s="6"/>
      <c r="H3264" s="6"/>
      <c r="I3264" s="35"/>
      <c r="J3264" s="239"/>
      <c r="K3264" s="239"/>
      <c r="L3264" s="239"/>
      <c r="M3264" s="239"/>
      <c r="N3264" s="239"/>
      <c r="O3264" s="6"/>
      <c r="P3264" s="6"/>
      <c r="Q3264" s="6"/>
      <c r="R3264" s="6"/>
      <c r="S3264" s="6"/>
      <c r="T3264" s="6"/>
      <c r="U3264" s="6"/>
      <c r="V3264" s="6"/>
      <c r="W3264" s="6"/>
    </row>
    <row r="3265" ht="14.25" customHeight="1">
      <c r="A3265" s="6"/>
      <c r="B3265" s="59"/>
      <c r="C3265" s="13"/>
      <c r="D3265" s="13"/>
      <c r="E3265" s="34"/>
      <c r="F3265" s="6"/>
      <c r="H3265" s="6"/>
      <c r="I3265" s="35"/>
      <c r="J3265" s="239"/>
      <c r="K3265" s="239"/>
      <c r="L3265" s="239"/>
      <c r="M3265" s="239"/>
      <c r="N3265" s="239"/>
      <c r="O3265" s="6"/>
      <c r="P3265" s="6"/>
      <c r="Q3265" s="6"/>
      <c r="R3265" s="6"/>
      <c r="S3265" s="6"/>
      <c r="T3265" s="6"/>
      <c r="U3265" s="6"/>
      <c r="V3265" s="6"/>
      <c r="W3265" s="6"/>
    </row>
    <row r="3266" ht="14.25" customHeight="1">
      <c r="A3266" s="6"/>
      <c r="B3266" s="59"/>
      <c r="C3266" s="13"/>
      <c r="D3266" s="13"/>
      <c r="E3266" s="34"/>
      <c r="F3266" s="6"/>
      <c r="H3266" s="6"/>
      <c r="I3266" s="35"/>
      <c r="J3266" s="239"/>
      <c r="K3266" s="239"/>
      <c r="L3266" s="239"/>
      <c r="M3266" s="239"/>
      <c r="N3266" s="239"/>
      <c r="O3266" s="6"/>
      <c r="P3266" s="6"/>
      <c r="Q3266" s="6"/>
      <c r="R3266" s="6"/>
      <c r="S3266" s="6"/>
      <c r="T3266" s="6"/>
      <c r="U3266" s="6"/>
      <c r="V3266" s="6"/>
      <c r="W3266" s="6"/>
    </row>
    <row r="3267" ht="14.25" customHeight="1">
      <c r="A3267" s="6"/>
      <c r="B3267" s="59"/>
      <c r="C3267" s="13"/>
      <c r="D3267" s="13"/>
      <c r="E3267" s="34"/>
      <c r="F3267" s="6"/>
      <c r="H3267" s="6"/>
      <c r="I3267" s="35"/>
      <c r="J3267" s="239"/>
      <c r="K3267" s="239"/>
      <c r="L3267" s="239"/>
      <c r="M3267" s="239"/>
      <c r="N3267" s="239"/>
      <c r="O3267" s="6"/>
      <c r="P3267" s="6"/>
      <c r="Q3267" s="6"/>
      <c r="R3267" s="6"/>
      <c r="S3267" s="6"/>
      <c r="T3267" s="6"/>
      <c r="U3267" s="6"/>
      <c r="V3267" s="6"/>
      <c r="W3267" s="6"/>
    </row>
    <row r="3268" ht="14.25" customHeight="1">
      <c r="A3268" s="6"/>
      <c r="B3268" s="59"/>
      <c r="C3268" s="13"/>
      <c r="D3268" s="13"/>
      <c r="E3268" s="34"/>
      <c r="F3268" s="6"/>
      <c r="H3268" s="6"/>
      <c r="I3268" s="35"/>
      <c r="J3268" s="239"/>
      <c r="K3268" s="239"/>
      <c r="L3268" s="239"/>
      <c r="M3268" s="239"/>
      <c r="N3268" s="239"/>
      <c r="O3268" s="6"/>
      <c r="P3268" s="6"/>
      <c r="Q3268" s="6"/>
      <c r="R3268" s="6"/>
      <c r="S3268" s="6"/>
      <c r="T3268" s="6"/>
      <c r="U3268" s="6"/>
      <c r="V3268" s="6"/>
      <c r="W3268" s="6"/>
    </row>
    <row r="3269" ht="14.25" customHeight="1">
      <c r="A3269" s="6"/>
      <c r="B3269" s="59"/>
      <c r="C3269" s="13"/>
      <c r="D3269" s="13"/>
      <c r="E3269" s="34"/>
      <c r="F3269" s="6"/>
      <c r="H3269" s="6"/>
      <c r="I3269" s="35"/>
      <c r="J3269" s="239"/>
      <c r="K3269" s="239"/>
      <c r="L3269" s="239"/>
      <c r="M3269" s="239"/>
      <c r="N3269" s="239"/>
      <c r="O3269" s="6"/>
      <c r="P3269" s="6"/>
      <c r="Q3269" s="6"/>
      <c r="R3269" s="6"/>
      <c r="S3269" s="6"/>
      <c r="T3269" s="6"/>
      <c r="U3269" s="6"/>
      <c r="V3269" s="6"/>
      <c r="W3269" s="6"/>
    </row>
    <row r="3270" ht="14.25" customHeight="1">
      <c r="A3270" s="6"/>
      <c r="B3270" s="59"/>
      <c r="C3270" s="13"/>
      <c r="D3270" s="13"/>
      <c r="E3270" s="34"/>
      <c r="F3270" s="6"/>
      <c r="H3270" s="6"/>
      <c r="I3270" s="35"/>
      <c r="J3270" s="239"/>
      <c r="K3270" s="239"/>
      <c r="L3270" s="239"/>
      <c r="M3270" s="239"/>
      <c r="N3270" s="239"/>
      <c r="O3270" s="6"/>
      <c r="P3270" s="6"/>
      <c r="Q3270" s="6"/>
      <c r="R3270" s="6"/>
      <c r="S3270" s="6"/>
      <c r="T3270" s="6"/>
      <c r="U3270" s="6"/>
      <c r="V3270" s="6"/>
      <c r="W3270" s="6"/>
    </row>
    <row r="3271" ht="14.25" customHeight="1">
      <c r="A3271" s="6"/>
      <c r="B3271" s="59"/>
      <c r="C3271" s="13"/>
      <c r="D3271" s="13"/>
      <c r="E3271" s="34"/>
      <c r="F3271" s="6"/>
      <c r="H3271" s="6"/>
      <c r="I3271" s="35"/>
      <c r="J3271" s="239"/>
      <c r="K3271" s="239"/>
      <c r="L3271" s="239"/>
      <c r="M3271" s="239"/>
      <c r="N3271" s="239"/>
      <c r="O3271" s="6"/>
      <c r="P3271" s="6"/>
      <c r="Q3271" s="6"/>
      <c r="R3271" s="6"/>
      <c r="S3271" s="6"/>
      <c r="T3271" s="6"/>
      <c r="U3271" s="6"/>
      <c r="V3271" s="6"/>
      <c r="W3271" s="6"/>
    </row>
    <row r="3272" ht="14.25" customHeight="1">
      <c r="A3272" s="6"/>
      <c r="B3272" s="59"/>
      <c r="C3272" s="13"/>
      <c r="D3272" s="13"/>
      <c r="E3272" s="34"/>
      <c r="F3272" s="6"/>
      <c r="H3272" s="6"/>
      <c r="I3272" s="35"/>
      <c r="J3272" s="239"/>
      <c r="K3272" s="239"/>
      <c r="L3272" s="239"/>
      <c r="M3272" s="239"/>
      <c r="N3272" s="239"/>
      <c r="O3272" s="6"/>
      <c r="P3272" s="6"/>
      <c r="Q3272" s="6"/>
      <c r="R3272" s="6"/>
      <c r="S3272" s="6"/>
      <c r="T3272" s="6"/>
      <c r="U3272" s="6"/>
      <c r="V3272" s="6"/>
      <c r="W3272" s="6"/>
    </row>
    <row r="3273" ht="14.25" customHeight="1">
      <c r="A3273" s="6"/>
      <c r="B3273" s="59"/>
      <c r="C3273" s="13"/>
      <c r="D3273" s="13"/>
      <c r="E3273" s="34"/>
      <c r="F3273" s="6"/>
      <c r="H3273" s="6"/>
      <c r="I3273" s="35"/>
      <c r="J3273" s="239"/>
      <c r="K3273" s="239"/>
      <c r="L3273" s="239"/>
      <c r="M3273" s="239"/>
      <c r="N3273" s="239"/>
      <c r="O3273" s="6"/>
      <c r="P3273" s="6"/>
      <c r="Q3273" s="6"/>
      <c r="R3273" s="6"/>
      <c r="S3273" s="6"/>
      <c r="T3273" s="6"/>
      <c r="U3273" s="6"/>
      <c r="V3273" s="6"/>
      <c r="W3273" s="6"/>
    </row>
    <row r="3274" ht="14.25" customHeight="1">
      <c r="A3274" s="6"/>
      <c r="B3274" s="59"/>
      <c r="C3274" s="13"/>
      <c r="D3274" s="13"/>
      <c r="E3274" s="34"/>
      <c r="F3274" s="6"/>
      <c r="H3274" s="6"/>
      <c r="I3274" s="35"/>
      <c r="J3274" s="239"/>
      <c r="K3274" s="239"/>
      <c r="L3274" s="239"/>
      <c r="M3274" s="239"/>
      <c r="N3274" s="239"/>
      <c r="O3274" s="6"/>
      <c r="P3274" s="6"/>
      <c r="Q3274" s="6"/>
      <c r="R3274" s="6"/>
      <c r="S3274" s="6"/>
      <c r="T3274" s="6"/>
      <c r="U3274" s="6"/>
      <c r="V3274" s="6"/>
      <c r="W3274" s="6"/>
    </row>
    <row r="3275" ht="14.25" customHeight="1">
      <c r="A3275" s="6"/>
      <c r="B3275" s="59"/>
      <c r="C3275" s="13"/>
      <c r="D3275" s="13"/>
      <c r="E3275" s="34"/>
      <c r="F3275" s="6"/>
      <c r="H3275" s="6"/>
      <c r="I3275" s="35"/>
      <c r="J3275" s="239"/>
      <c r="K3275" s="239"/>
      <c r="L3275" s="239"/>
      <c r="M3275" s="239"/>
      <c r="N3275" s="239"/>
      <c r="O3275" s="6"/>
      <c r="P3275" s="6"/>
      <c r="Q3275" s="6"/>
      <c r="R3275" s="6"/>
      <c r="S3275" s="6"/>
      <c r="T3275" s="6"/>
      <c r="U3275" s="6"/>
      <c r="V3275" s="6"/>
      <c r="W3275" s="6"/>
    </row>
    <row r="3276" ht="14.25" customHeight="1">
      <c r="A3276" s="6"/>
      <c r="B3276" s="59"/>
      <c r="C3276" s="13"/>
      <c r="D3276" s="13"/>
      <c r="E3276" s="34"/>
      <c r="F3276" s="6"/>
      <c r="H3276" s="6"/>
      <c r="I3276" s="35"/>
      <c r="J3276" s="239"/>
      <c r="K3276" s="239"/>
      <c r="L3276" s="239"/>
      <c r="M3276" s="239"/>
      <c r="N3276" s="239"/>
      <c r="O3276" s="6"/>
      <c r="P3276" s="6"/>
      <c r="Q3276" s="6"/>
      <c r="R3276" s="6"/>
      <c r="S3276" s="6"/>
      <c r="T3276" s="6"/>
      <c r="U3276" s="6"/>
      <c r="V3276" s="6"/>
      <c r="W3276" s="6"/>
    </row>
    <row r="3277" ht="14.25" customHeight="1">
      <c r="A3277" s="6"/>
      <c r="B3277" s="59"/>
      <c r="C3277" s="13"/>
      <c r="D3277" s="13"/>
      <c r="E3277" s="34"/>
      <c r="F3277" s="6"/>
      <c r="H3277" s="6"/>
      <c r="I3277" s="35"/>
      <c r="J3277" s="239"/>
      <c r="K3277" s="239"/>
      <c r="L3277" s="239"/>
      <c r="M3277" s="239"/>
      <c r="N3277" s="239"/>
      <c r="O3277" s="6"/>
      <c r="P3277" s="6"/>
      <c r="Q3277" s="6"/>
      <c r="R3277" s="6"/>
      <c r="S3277" s="6"/>
      <c r="T3277" s="6"/>
      <c r="U3277" s="6"/>
      <c r="V3277" s="6"/>
      <c r="W3277" s="6"/>
    </row>
    <row r="3278" ht="14.25" customHeight="1">
      <c r="A3278" s="6"/>
      <c r="B3278" s="59"/>
      <c r="C3278" s="13"/>
      <c r="D3278" s="13"/>
      <c r="E3278" s="34"/>
      <c r="F3278" s="6"/>
      <c r="H3278" s="6"/>
      <c r="I3278" s="35"/>
      <c r="J3278" s="239"/>
      <c r="K3278" s="239"/>
      <c r="L3278" s="239"/>
      <c r="M3278" s="239"/>
      <c r="N3278" s="239"/>
      <c r="O3278" s="6"/>
      <c r="P3278" s="6"/>
      <c r="Q3278" s="6"/>
      <c r="R3278" s="6"/>
      <c r="S3278" s="6"/>
      <c r="T3278" s="6"/>
      <c r="U3278" s="6"/>
      <c r="V3278" s="6"/>
      <c r="W3278" s="6"/>
    </row>
    <row r="3279" ht="14.25" customHeight="1">
      <c r="A3279" s="6"/>
      <c r="B3279" s="59"/>
      <c r="C3279" s="13"/>
      <c r="D3279" s="13"/>
      <c r="E3279" s="34"/>
      <c r="F3279" s="6"/>
      <c r="H3279" s="6"/>
      <c r="I3279" s="35"/>
      <c r="J3279" s="239"/>
      <c r="K3279" s="239"/>
      <c r="L3279" s="239"/>
      <c r="M3279" s="239"/>
      <c r="N3279" s="239"/>
      <c r="O3279" s="6"/>
      <c r="P3279" s="6"/>
      <c r="Q3279" s="6"/>
      <c r="R3279" s="6"/>
      <c r="S3279" s="6"/>
      <c r="T3279" s="6"/>
      <c r="U3279" s="6"/>
      <c r="V3279" s="6"/>
      <c r="W3279" s="6"/>
    </row>
    <row r="3280" ht="14.25" customHeight="1">
      <c r="A3280" s="6"/>
      <c r="B3280" s="59"/>
      <c r="C3280" s="13"/>
      <c r="D3280" s="13"/>
      <c r="E3280" s="34"/>
      <c r="F3280" s="6"/>
      <c r="H3280" s="6"/>
      <c r="I3280" s="35"/>
      <c r="J3280" s="239"/>
      <c r="K3280" s="239"/>
      <c r="L3280" s="239"/>
      <c r="M3280" s="239"/>
      <c r="N3280" s="239"/>
      <c r="O3280" s="6"/>
      <c r="P3280" s="6"/>
      <c r="Q3280" s="6"/>
      <c r="R3280" s="6"/>
      <c r="S3280" s="6"/>
      <c r="T3280" s="6"/>
      <c r="U3280" s="6"/>
      <c r="V3280" s="6"/>
      <c r="W3280" s="6"/>
    </row>
    <row r="3281" ht="14.25" customHeight="1">
      <c r="A3281" s="6"/>
      <c r="B3281" s="59"/>
      <c r="C3281" s="13"/>
      <c r="D3281" s="13"/>
      <c r="E3281" s="34"/>
      <c r="F3281" s="6"/>
      <c r="H3281" s="6"/>
      <c r="I3281" s="35"/>
      <c r="J3281" s="239"/>
      <c r="K3281" s="239"/>
      <c r="L3281" s="239"/>
      <c r="M3281" s="239"/>
      <c r="N3281" s="239"/>
      <c r="O3281" s="6"/>
      <c r="P3281" s="6"/>
      <c r="Q3281" s="6"/>
      <c r="R3281" s="6"/>
      <c r="S3281" s="6"/>
      <c r="T3281" s="6"/>
      <c r="U3281" s="6"/>
      <c r="V3281" s="6"/>
      <c r="W3281" s="6"/>
    </row>
    <row r="3282" ht="14.25" customHeight="1">
      <c r="A3282" s="6"/>
      <c r="B3282" s="59"/>
      <c r="C3282" s="13"/>
      <c r="D3282" s="13"/>
      <c r="E3282" s="34"/>
      <c r="F3282" s="6"/>
      <c r="H3282" s="6"/>
      <c r="I3282" s="35"/>
      <c r="J3282" s="239"/>
      <c r="K3282" s="239"/>
      <c r="L3282" s="239"/>
      <c r="M3282" s="239"/>
      <c r="N3282" s="239"/>
      <c r="O3282" s="6"/>
      <c r="P3282" s="6"/>
      <c r="Q3282" s="6"/>
      <c r="R3282" s="6"/>
      <c r="S3282" s="6"/>
      <c r="T3282" s="6"/>
      <c r="U3282" s="6"/>
      <c r="V3282" s="6"/>
      <c r="W3282" s="6"/>
    </row>
    <row r="3283" ht="14.25" customHeight="1">
      <c r="A3283" s="6"/>
      <c r="B3283" s="59"/>
      <c r="C3283" s="13"/>
      <c r="D3283" s="13"/>
      <c r="E3283" s="34"/>
      <c r="F3283" s="6"/>
      <c r="H3283" s="6"/>
      <c r="I3283" s="35"/>
      <c r="J3283" s="239"/>
      <c r="K3283" s="239"/>
      <c r="L3283" s="239"/>
      <c r="M3283" s="239"/>
      <c r="N3283" s="239"/>
      <c r="O3283" s="6"/>
      <c r="P3283" s="6"/>
      <c r="Q3283" s="6"/>
      <c r="R3283" s="6"/>
      <c r="S3283" s="6"/>
      <c r="T3283" s="6"/>
      <c r="U3283" s="6"/>
      <c r="V3283" s="6"/>
      <c r="W3283" s="6"/>
    </row>
    <row r="3284" ht="14.25" customHeight="1">
      <c r="A3284" s="6"/>
      <c r="B3284" s="59"/>
      <c r="C3284" s="13"/>
      <c r="D3284" s="13"/>
      <c r="E3284" s="34"/>
      <c r="F3284" s="6"/>
      <c r="H3284" s="6"/>
      <c r="I3284" s="35"/>
      <c r="J3284" s="239"/>
      <c r="K3284" s="239"/>
      <c r="L3284" s="239"/>
      <c r="M3284" s="239"/>
      <c r="N3284" s="239"/>
      <c r="O3284" s="6"/>
      <c r="P3284" s="6"/>
      <c r="Q3284" s="6"/>
      <c r="R3284" s="6"/>
      <c r="S3284" s="6"/>
      <c r="T3284" s="6"/>
      <c r="U3284" s="6"/>
      <c r="V3284" s="6"/>
      <c r="W3284" s="6"/>
    </row>
    <row r="3285" ht="14.25" customHeight="1">
      <c r="A3285" s="6"/>
      <c r="B3285" s="59"/>
      <c r="C3285" s="13"/>
      <c r="D3285" s="13"/>
      <c r="E3285" s="34"/>
      <c r="F3285" s="6"/>
      <c r="H3285" s="6"/>
      <c r="I3285" s="35"/>
      <c r="J3285" s="239"/>
      <c r="K3285" s="239"/>
      <c r="L3285" s="239"/>
      <c r="M3285" s="239"/>
      <c r="N3285" s="239"/>
      <c r="O3285" s="6"/>
      <c r="P3285" s="6"/>
      <c r="Q3285" s="6"/>
      <c r="R3285" s="6"/>
      <c r="S3285" s="6"/>
      <c r="T3285" s="6"/>
      <c r="U3285" s="6"/>
      <c r="V3285" s="6"/>
      <c r="W3285" s="6"/>
    </row>
    <row r="3286" ht="14.25" customHeight="1">
      <c r="A3286" s="6"/>
      <c r="B3286" s="59"/>
      <c r="C3286" s="13"/>
      <c r="D3286" s="13"/>
      <c r="E3286" s="34"/>
      <c r="F3286" s="6"/>
      <c r="H3286" s="6"/>
      <c r="I3286" s="35"/>
      <c r="J3286" s="239"/>
      <c r="K3286" s="239"/>
      <c r="L3286" s="239"/>
      <c r="M3286" s="239"/>
      <c r="N3286" s="239"/>
      <c r="O3286" s="6"/>
      <c r="P3286" s="6"/>
      <c r="Q3286" s="6"/>
      <c r="R3286" s="6"/>
      <c r="S3286" s="6"/>
      <c r="T3286" s="6"/>
      <c r="U3286" s="6"/>
      <c r="V3286" s="6"/>
      <c r="W3286" s="6"/>
    </row>
    <row r="3287" ht="14.25" customHeight="1">
      <c r="A3287" s="6"/>
      <c r="B3287" s="59"/>
      <c r="C3287" s="13"/>
      <c r="D3287" s="13"/>
      <c r="E3287" s="34"/>
      <c r="F3287" s="6"/>
      <c r="H3287" s="6"/>
      <c r="I3287" s="35"/>
      <c r="J3287" s="239"/>
      <c r="K3287" s="239"/>
      <c r="L3287" s="239"/>
      <c r="M3287" s="239"/>
      <c r="N3287" s="239"/>
      <c r="O3287" s="6"/>
      <c r="P3287" s="6"/>
      <c r="Q3287" s="6"/>
      <c r="R3287" s="6"/>
      <c r="S3287" s="6"/>
      <c r="T3287" s="6"/>
      <c r="U3287" s="6"/>
      <c r="V3287" s="6"/>
      <c r="W3287" s="6"/>
    </row>
    <row r="3288" ht="14.25" customHeight="1">
      <c r="A3288" s="6"/>
      <c r="B3288" s="59"/>
      <c r="C3288" s="13"/>
      <c r="D3288" s="13"/>
      <c r="E3288" s="34"/>
      <c r="F3288" s="6"/>
      <c r="H3288" s="6"/>
      <c r="I3288" s="35"/>
      <c r="J3288" s="239"/>
      <c r="K3288" s="239"/>
      <c r="L3288" s="239"/>
      <c r="M3288" s="239"/>
      <c r="N3288" s="239"/>
      <c r="O3288" s="6"/>
      <c r="P3288" s="6"/>
      <c r="Q3288" s="6"/>
      <c r="R3288" s="6"/>
      <c r="S3288" s="6"/>
      <c r="T3288" s="6"/>
      <c r="U3288" s="6"/>
      <c r="V3288" s="6"/>
      <c r="W3288" s="6"/>
    </row>
    <row r="3289" ht="14.25" customHeight="1">
      <c r="A3289" s="6"/>
      <c r="B3289" s="59"/>
      <c r="C3289" s="13"/>
      <c r="D3289" s="13"/>
      <c r="E3289" s="34"/>
      <c r="F3289" s="6"/>
      <c r="H3289" s="6"/>
      <c r="I3289" s="35"/>
      <c r="J3289" s="239"/>
      <c r="K3289" s="239"/>
      <c r="L3289" s="239"/>
      <c r="M3289" s="239"/>
      <c r="N3289" s="239"/>
      <c r="O3289" s="6"/>
      <c r="P3289" s="6"/>
      <c r="Q3289" s="6"/>
      <c r="R3289" s="6"/>
      <c r="S3289" s="6"/>
      <c r="T3289" s="6"/>
      <c r="U3289" s="6"/>
      <c r="V3289" s="6"/>
      <c r="W3289" s="6"/>
    </row>
    <row r="3290" ht="14.25" customHeight="1">
      <c r="A3290" s="6"/>
      <c r="B3290" s="59"/>
      <c r="C3290" s="13"/>
      <c r="D3290" s="13"/>
      <c r="E3290" s="34"/>
      <c r="F3290" s="6"/>
      <c r="H3290" s="6"/>
      <c r="I3290" s="35"/>
      <c r="J3290" s="239"/>
      <c r="K3290" s="239"/>
      <c r="L3290" s="239"/>
      <c r="M3290" s="239"/>
      <c r="N3290" s="239"/>
      <c r="O3290" s="6"/>
      <c r="P3290" s="6"/>
      <c r="Q3290" s="6"/>
      <c r="R3290" s="6"/>
      <c r="S3290" s="6"/>
      <c r="T3290" s="6"/>
      <c r="U3290" s="6"/>
      <c r="V3290" s="6"/>
      <c r="W3290" s="6"/>
    </row>
    <row r="3291" ht="14.25" customHeight="1">
      <c r="A3291" s="6"/>
      <c r="B3291" s="59"/>
      <c r="C3291" s="13"/>
      <c r="D3291" s="13"/>
      <c r="E3291" s="34"/>
      <c r="F3291" s="6"/>
      <c r="H3291" s="6"/>
      <c r="I3291" s="35"/>
      <c r="J3291" s="239"/>
      <c r="K3291" s="239"/>
      <c r="L3291" s="239"/>
      <c r="M3291" s="239"/>
      <c r="N3291" s="239"/>
      <c r="O3291" s="6"/>
      <c r="P3291" s="6"/>
      <c r="Q3291" s="6"/>
      <c r="R3291" s="6"/>
      <c r="S3291" s="6"/>
      <c r="T3291" s="6"/>
      <c r="U3291" s="6"/>
      <c r="V3291" s="6"/>
      <c r="W3291" s="6"/>
    </row>
    <row r="3292" ht="14.25" customHeight="1">
      <c r="A3292" s="6"/>
      <c r="B3292" s="59"/>
      <c r="C3292" s="13"/>
      <c r="D3292" s="13"/>
      <c r="E3292" s="34"/>
      <c r="F3292" s="6"/>
      <c r="H3292" s="6"/>
      <c r="I3292" s="35"/>
      <c r="J3292" s="239"/>
      <c r="K3292" s="239"/>
      <c r="L3292" s="239"/>
      <c r="M3292" s="239"/>
      <c r="N3292" s="239"/>
      <c r="O3292" s="6"/>
      <c r="P3292" s="6"/>
      <c r="Q3292" s="6"/>
      <c r="R3292" s="6"/>
      <c r="S3292" s="6"/>
      <c r="T3292" s="6"/>
      <c r="U3292" s="6"/>
      <c r="V3292" s="6"/>
      <c r="W3292" s="6"/>
    </row>
    <row r="3293" ht="14.25" customHeight="1">
      <c r="A3293" s="6"/>
      <c r="B3293" s="59"/>
      <c r="C3293" s="13"/>
      <c r="D3293" s="13"/>
      <c r="E3293" s="34"/>
      <c r="F3293" s="6"/>
      <c r="H3293" s="6"/>
      <c r="I3293" s="35"/>
      <c r="J3293" s="239"/>
      <c r="K3293" s="239"/>
      <c r="L3293" s="239"/>
      <c r="M3293" s="239"/>
      <c r="N3293" s="239"/>
      <c r="O3293" s="6"/>
      <c r="P3293" s="6"/>
      <c r="Q3293" s="6"/>
      <c r="R3293" s="6"/>
      <c r="S3293" s="6"/>
      <c r="T3293" s="6"/>
      <c r="U3293" s="6"/>
      <c r="V3293" s="6"/>
      <c r="W3293" s="6"/>
    </row>
    <row r="3294" ht="14.25" customHeight="1">
      <c r="A3294" s="6"/>
      <c r="B3294" s="59"/>
      <c r="C3294" s="13"/>
      <c r="D3294" s="13"/>
      <c r="E3294" s="34"/>
      <c r="F3294" s="6"/>
      <c r="H3294" s="6"/>
      <c r="I3294" s="35"/>
      <c r="J3294" s="239"/>
      <c r="K3294" s="239"/>
      <c r="L3294" s="239"/>
      <c r="M3294" s="239"/>
      <c r="N3294" s="239"/>
      <c r="O3294" s="6"/>
      <c r="P3294" s="6"/>
      <c r="Q3294" s="6"/>
      <c r="R3294" s="6"/>
      <c r="S3294" s="6"/>
      <c r="T3294" s="6"/>
      <c r="U3294" s="6"/>
      <c r="V3294" s="6"/>
      <c r="W3294" s="6"/>
    </row>
    <row r="3295" ht="14.25" customHeight="1">
      <c r="A3295" s="6"/>
      <c r="B3295" s="59"/>
      <c r="C3295" s="13"/>
      <c r="D3295" s="13"/>
      <c r="E3295" s="34"/>
      <c r="F3295" s="6"/>
      <c r="H3295" s="6"/>
      <c r="I3295" s="35"/>
      <c r="J3295" s="239"/>
      <c r="K3295" s="239"/>
      <c r="L3295" s="239"/>
      <c r="M3295" s="239"/>
      <c r="N3295" s="239"/>
      <c r="O3295" s="6"/>
      <c r="P3295" s="6"/>
      <c r="Q3295" s="6"/>
      <c r="R3295" s="6"/>
      <c r="S3295" s="6"/>
      <c r="T3295" s="6"/>
      <c r="U3295" s="6"/>
      <c r="V3295" s="6"/>
      <c r="W3295" s="6"/>
    </row>
    <row r="3296" ht="14.25" customHeight="1">
      <c r="A3296" s="6"/>
      <c r="B3296" s="59"/>
      <c r="C3296" s="13"/>
      <c r="D3296" s="13"/>
      <c r="E3296" s="34"/>
      <c r="F3296" s="6"/>
      <c r="H3296" s="6"/>
      <c r="I3296" s="35"/>
      <c r="J3296" s="239"/>
      <c r="K3296" s="239"/>
      <c r="L3296" s="239"/>
      <c r="M3296" s="239"/>
      <c r="N3296" s="239"/>
      <c r="O3296" s="6"/>
      <c r="P3296" s="6"/>
      <c r="Q3296" s="6"/>
      <c r="R3296" s="6"/>
      <c r="S3296" s="6"/>
      <c r="T3296" s="6"/>
      <c r="U3296" s="6"/>
      <c r="V3296" s="6"/>
      <c r="W3296" s="6"/>
    </row>
    <row r="3297" ht="14.25" customHeight="1">
      <c r="A3297" s="6"/>
      <c r="B3297" s="59"/>
      <c r="C3297" s="13"/>
      <c r="D3297" s="13"/>
      <c r="E3297" s="34"/>
      <c r="F3297" s="6"/>
      <c r="H3297" s="6"/>
      <c r="I3297" s="35"/>
      <c r="J3297" s="239"/>
      <c r="K3297" s="239"/>
      <c r="L3297" s="239"/>
      <c r="M3297" s="239"/>
      <c r="N3297" s="239"/>
      <c r="O3297" s="6"/>
      <c r="P3297" s="6"/>
      <c r="Q3297" s="6"/>
      <c r="R3297" s="6"/>
      <c r="S3297" s="6"/>
      <c r="T3297" s="6"/>
      <c r="U3297" s="6"/>
      <c r="V3297" s="6"/>
      <c r="W3297" s="6"/>
    </row>
    <row r="3298" ht="14.25" customHeight="1">
      <c r="A3298" s="6"/>
      <c r="B3298" s="59"/>
      <c r="C3298" s="13"/>
      <c r="D3298" s="13"/>
      <c r="E3298" s="34"/>
      <c r="F3298" s="6"/>
      <c r="H3298" s="6"/>
      <c r="I3298" s="35"/>
      <c r="J3298" s="239"/>
      <c r="K3298" s="239"/>
      <c r="L3298" s="239"/>
      <c r="M3298" s="239"/>
      <c r="N3298" s="239"/>
      <c r="O3298" s="6"/>
      <c r="P3298" s="6"/>
      <c r="Q3298" s="6"/>
      <c r="R3298" s="6"/>
      <c r="S3298" s="6"/>
      <c r="T3298" s="6"/>
      <c r="U3298" s="6"/>
      <c r="V3298" s="6"/>
      <c r="W3298" s="6"/>
    </row>
    <row r="3299" ht="14.25" customHeight="1">
      <c r="A3299" s="6"/>
      <c r="B3299" s="59"/>
      <c r="C3299" s="13"/>
      <c r="D3299" s="13"/>
      <c r="E3299" s="34"/>
      <c r="F3299" s="6"/>
      <c r="H3299" s="6"/>
      <c r="I3299" s="35"/>
      <c r="J3299" s="239"/>
      <c r="K3299" s="239"/>
      <c r="L3299" s="239"/>
      <c r="M3299" s="239"/>
      <c r="N3299" s="239"/>
      <c r="O3299" s="6"/>
      <c r="P3299" s="6"/>
      <c r="Q3299" s="6"/>
      <c r="R3299" s="6"/>
      <c r="S3299" s="6"/>
      <c r="T3299" s="6"/>
      <c r="U3299" s="6"/>
      <c r="V3299" s="6"/>
      <c r="W3299" s="6"/>
    </row>
    <row r="3300" ht="14.25" customHeight="1">
      <c r="A3300" s="6"/>
      <c r="B3300" s="59"/>
      <c r="C3300" s="13"/>
      <c r="D3300" s="13"/>
      <c r="E3300" s="34"/>
      <c r="F3300" s="6"/>
      <c r="H3300" s="6"/>
      <c r="I3300" s="35"/>
      <c r="J3300" s="239"/>
      <c r="K3300" s="239"/>
      <c r="L3300" s="239"/>
      <c r="M3300" s="239"/>
      <c r="N3300" s="239"/>
      <c r="O3300" s="6"/>
      <c r="P3300" s="6"/>
      <c r="Q3300" s="6"/>
      <c r="R3300" s="6"/>
      <c r="S3300" s="6"/>
      <c r="T3300" s="6"/>
      <c r="U3300" s="6"/>
      <c r="V3300" s="6"/>
      <c r="W3300" s="6"/>
    </row>
    <row r="3301" ht="14.25" customHeight="1">
      <c r="A3301" s="6"/>
      <c r="B3301" s="59"/>
      <c r="C3301" s="13"/>
      <c r="D3301" s="13"/>
      <c r="E3301" s="34"/>
      <c r="F3301" s="6"/>
      <c r="H3301" s="6"/>
      <c r="I3301" s="35"/>
      <c r="J3301" s="239"/>
      <c r="K3301" s="239"/>
      <c r="L3301" s="239"/>
      <c r="M3301" s="239"/>
      <c r="N3301" s="239"/>
      <c r="O3301" s="6"/>
      <c r="P3301" s="6"/>
      <c r="Q3301" s="6"/>
      <c r="R3301" s="6"/>
      <c r="S3301" s="6"/>
      <c r="T3301" s="6"/>
      <c r="U3301" s="6"/>
      <c r="V3301" s="6"/>
      <c r="W3301" s="6"/>
    </row>
    <row r="3302" ht="14.25" customHeight="1">
      <c r="A3302" s="6"/>
      <c r="B3302" s="59"/>
      <c r="C3302" s="13"/>
      <c r="D3302" s="13"/>
      <c r="E3302" s="34"/>
      <c r="F3302" s="6"/>
      <c r="H3302" s="6"/>
      <c r="I3302" s="35"/>
      <c r="J3302" s="239"/>
      <c r="K3302" s="239"/>
      <c r="L3302" s="239"/>
      <c r="M3302" s="239"/>
      <c r="N3302" s="239"/>
      <c r="O3302" s="6"/>
      <c r="P3302" s="6"/>
      <c r="Q3302" s="6"/>
      <c r="R3302" s="6"/>
      <c r="S3302" s="6"/>
      <c r="T3302" s="6"/>
      <c r="U3302" s="6"/>
      <c r="V3302" s="6"/>
      <c r="W3302" s="6"/>
    </row>
    <row r="3303" ht="14.25" customHeight="1">
      <c r="A3303" s="6"/>
      <c r="B3303" s="59"/>
      <c r="C3303" s="13"/>
      <c r="D3303" s="13"/>
      <c r="E3303" s="34"/>
      <c r="F3303" s="6"/>
      <c r="H3303" s="6"/>
      <c r="I3303" s="35"/>
      <c r="J3303" s="239"/>
      <c r="K3303" s="239"/>
      <c r="L3303" s="239"/>
      <c r="M3303" s="239"/>
      <c r="N3303" s="239"/>
      <c r="O3303" s="6"/>
      <c r="P3303" s="6"/>
      <c r="Q3303" s="6"/>
      <c r="R3303" s="6"/>
      <c r="S3303" s="6"/>
      <c r="T3303" s="6"/>
      <c r="U3303" s="6"/>
      <c r="V3303" s="6"/>
      <c r="W3303" s="6"/>
    </row>
    <row r="3304" ht="14.25" customHeight="1">
      <c r="A3304" s="6"/>
      <c r="B3304" s="59"/>
      <c r="C3304" s="13"/>
      <c r="D3304" s="13"/>
      <c r="E3304" s="34"/>
      <c r="F3304" s="6"/>
      <c r="H3304" s="6"/>
      <c r="I3304" s="35"/>
      <c r="J3304" s="239"/>
      <c r="K3304" s="239"/>
      <c r="L3304" s="239"/>
      <c r="M3304" s="239"/>
      <c r="N3304" s="239"/>
      <c r="O3304" s="6"/>
      <c r="P3304" s="6"/>
      <c r="Q3304" s="6"/>
      <c r="R3304" s="6"/>
      <c r="S3304" s="6"/>
      <c r="T3304" s="6"/>
      <c r="U3304" s="6"/>
      <c r="V3304" s="6"/>
      <c r="W3304" s="6"/>
    </row>
    <row r="3305" ht="14.25" customHeight="1">
      <c r="A3305" s="6"/>
      <c r="B3305" s="59"/>
      <c r="C3305" s="13"/>
      <c r="D3305" s="13"/>
      <c r="E3305" s="34"/>
      <c r="F3305" s="6"/>
      <c r="H3305" s="6"/>
      <c r="I3305" s="35"/>
      <c r="J3305" s="239"/>
      <c r="K3305" s="239"/>
      <c r="L3305" s="239"/>
      <c r="M3305" s="239"/>
      <c r="N3305" s="239"/>
      <c r="O3305" s="6"/>
      <c r="P3305" s="6"/>
      <c r="Q3305" s="6"/>
      <c r="R3305" s="6"/>
      <c r="S3305" s="6"/>
      <c r="T3305" s="6"/>
      <c r="U3305" s="6"/>
      <c r="V3305" s="6"/>
      <c r="W3305" s="6"/>
    </row>
    <row r="3306" ht="14.25" customHeight="1">
      <c r="A3306" s="6"/>
      <c r="B3306" s="59"/>
      <c r="C3306" s="13"/>
      <c r="D3306" s="13"/>
      <c r="E3306" s="34"/>
      <c r="F3306" s="6"/>
      <c r="H3306" s="6"/>
      <c r="I3306" s="35"/>
      <c r="J3306" s="239"/>
      <c r="K3306" s="239"/>
      <c r="L3306" s="239"/>
      <c r="M3306" s="239"/>
      <c r="N3306" s="239"/>
      <c r="O3306" s="6"/>
      <c r="P3306" s="6"/>
      <c r="Q3306" s="6"/>
      <c r="R3306" s="6"/>
      <c r="S3306" s="6"/>
      <c r="T3306" s="6"/>
      <c r="U3306" s="6"/>
      <c r="V3306" s="6"/>
      <c r="W3306" s="6"/>
    </row>
    <row r="3307" ht="14.25" customHeight="1">
      <c r="A3307" s="6"/>
      <c r="B3307" s="59"/>
      <c r="C3307" s="13"/>
      <c r="D3307" s="13"/>
      <c r="E3307" s="34"/>
      <c r="F3307" s="6"/>
      <c r="H3307" s="6"/>
      <c r="I3307" s="35"/>
      <c r="J3307" s="239"/>
      <c r="K3307" s="239"/>
      <c r="L3307" s="239"/>
      <c r="M3307" s="239"/>
      <c r="N3307" s="239"/>
      <c r="O3307" s="6"/>
      <c r="P3307" s="6"/>
      <c r="Q3307" s="6"/>
      <c r="R3307" s="6"/>
      <c r="S3307" s="6"/>
      <c r="T3307" s="6"/>
      <c r="U3307" s="6"/>
      <c r="V3307" s="6"/>
      <c r="W3307" s="6"/>
    </row>
    <row r="3308" ht="14.25" customHeight="1">
      <c r="A3308" s="6"/>
      <c r="B3308" s="59"/>
      <c r="C3308" s="13"/>
      <c r="D3308" s="13"/>
      <c r="E3308" s="34"/>
      <c r="F3308" s="6"/>
      <c r="H3308" s="6"/>
      <c r="I3308" s="35"/>
      <c r="J3308" s="239"/>
      <c r="K3308" s="239"/>
      <c r="L3308" s="239"/>
      <c r="M3308" s="239"/>
      <c r="N3308" s="239"/>
      <c r="O3308" s="6"/>
      <c r="P3308" s="6"/>
      <c r="Q3308" s="6"/>
      <c r="R3308" s="6"/>
      <c r="S3308" s="6"/>
      <c r="T3308" s="6"/>
      <c r="U3308" s="6"/>
      <c r="V3308" s="6"/>
      <c r="W3308" s="6"/>
    </row>
    <row r="3309" ht="14.25" customHeight="1">
      <c r="A3309" s="6"/>
      <c r="B3309" s="59"/>
      <c r="C3309" s="13"/>
      <c r="D3309" s="13"/>
      <c r="E3309" s="34"/>
      <c r="F3309" s="6"/>
      <c r="H3309" s="6"/>
      <c r="I3309" s="35"/>
      <c r="J3309" s="239"/>
      <c r="K3309" s="239"/>
      <c r="L3309" s="239"/>
      <c r="M3309" s="239"/>
      <c r="N3309" s="239"/>
      <c r="O3309" s="6"/>
      <c r="P3309" s="6"/>
      <c r="Q3309" s="6"/>
      <c r="R3309" s="6"/>
      <c r="S3309" s="6"/>
      <c r="T3309" s="6"/>
      <c r="U3309" s="6"/>
      <c r="V3309" s="6"/>
      <c r="W3309" s="6"/>
    </row>
    <row r="3310" ht="14.25" customHeight="1">
      <c r="A3310" s="6"/>
      <c r="B3310" s="59"/>
      <c r="C3310" s="13"/>
      <c r="D3310" s="13"/>
      <c r="E3310" s="34"/>
      <c r="F3310" s="6"/>
      <c r="H3310" s="6"/>
      <c r="I3310" s="35"/>
      <c r="J3310" s="239"/>
      <c r="K3310" s="239"/>
      <c r="L3310" s="239"/>
      <c r="M3310" s="239"/>
      <c r="N3310" s="239"/>
      <c r="O3310" s="6"/>
      <c r="P3310" s="6"/>
      <c r="Q3310" s="6"/>
      <c r="R3310" s="6"/>
      <c r="S3310" s="6"/>
      <c r="T3310" s="6"/>
      <c r="U3310" s="6"/>
      <c r="V3310" s="6"/>
      <c r="W3310" s="6"/>
    </row>
    <row r="3311" ht="14.25" customHeight="1">
      <c r="A3311" s="6"/>
      <c r="B3311" s="59"/>
      <c r="C3311" s="13"/>
      <c r="D3311" s="13"/>
      <c r="E3311" s="34"/>
      <c r="F3311" s="6"/>
      <c r="H3311" s="6"/>
      <c r="I3311" s="35"/>
      <c r="J3311" s="239"/>
      <c r="K3311" s="239"/>
      <c r="L3311" s="239"/>
      <c r="M3311" s="239"/>
      <c r="N3311" s="239"/>
      <c r="O3311" s="6"/>
      <c r="P3311" s="6"/>
      <c r="Q3311" s="6"/>
      <c r="R3311" s="6"/>
      <c r="S3311" s="6"/>
      <c r="T3311" s="6"/>
      <c r="U3311" s="6"/>
      <c r="V3311" s="6"/>
      <c r="W3311" s="6"/>
    </row>
    <row r="3312" ht="14.25" customHeight="1">
      <c r="A3312" s="6"/>
      <c r="B3312" s="59"/>
      <c r="C3312" s="13"/>
      <c r="D3312" s="13"/>
      <c r="E3312" s="34"/>
      <c r="F3312" s="6"/>
      <c r="H3312" s="6"/>
      <c r="I3312" s="35"/>
      <c r="J3312" s="239"/>
      <c r="K3312" s="239"/>
      <c r="L3312" s="239"/>
      <c r="M3312" s="239"/>
      <c r="N3312" s="239"/>
      <c r="O3312" s="6"/>
      <c r="P3312" s="6"/>
      <c r="Q3312" s="6"/>
      <c r="R3312" s="6"/>
      <c r="S3312" s="6"/>
      <c r="T3312" s="6"/>
      <c r="U3312" s="6"/>
      <c r="V3312" s="6"/>
      <c r="W3312" s="6"/>
    </row>
    <row r="3313" ht="14.25" customHeight="1">
      <c r="A3313" s="6"/>
      <c r="B3313" s="59"/>
      <c r="C3313" s="13"/>
      <c r="D3313" s="13"/>
      <c r="E3313" s="34"/>
      <c r="F3313" s="6"/>
      <c r="H3313" s="6"/>
      <c r="I3313" s="35"/>
      <c r="J3313" s="239"/>
      <c r="K3313" s="239"/>
      <c r="L3313" s="239"/>
      <c r="M3313" s="239"/>
      <c r="N3313" s="239"/>
      <c r="O3313" s="6"/>
      <c r="P3313" s="6"/>
      <c r="Q3313" s="6"/>
      <c r="R3313" s="6"/>
      <c r="S3313" s="6"/>
      <c r="T3313" s="6"/>
      <c r="U3313" s="6"/>
      <c r="V3313" s="6"/>
      <c r="W3313" s="6"/>
    </row>
    <row r="3314" ht="14.25" customHeight="1">
      <c r="A3314" s="6"/>
      <c r="B3314" s="59"/>
      <c r="C3314" s="13"/>
      <c r="D3314" s="13"/>
      <c r="E3314" s="34"/>
      <c r="F3314" s="6"/>
      <c r="H3314" s="6"/>
      <c r="I3314" s="35"/>
      <c r="J3314" s="239"/>
      <c r="K3314" s="239"/>
      <c r="L3314" s="239"/>
      <c r="M3314" s="239"/>
      <c r="N3314" s="239"/>
      <c r="O3314" s="6"/>
      <c r="P3314" s="6"/>
      <c r="Q3314" s="6"/>
      <c r="R3314" s="6"/>
      <c r="S3314" s="6"/>
      <c r="T3314" s="6"/>
      <c r="U3314" s="6"/>
      <c r="V3314" s="6"/>
      <c r="W3314" s="6"/>
    </row>
    <row r="3315" ht="14.25" customHeight="1">
      <c r="A3315" s="6"/>
      <c r="B3315" s="59"/>
      <c r="C3315" s="13"/>
      <c r="D3315" s="13"/>
      <c r="E3315" s="34"/>
      <c r="F3315" s="6"/>
      <c r="H3315" s="6"/>
      <c r="I3315" s="35"/>
      <c r="J3315" s="239"/>
      <c r="K3315" s="239"/>
      <c r="L3315" s="239"/>
      <c r="M3315" s="239"/>
      <c r="N3315" s="239"/>
      <c r="O3315" s="6"/>
      <c r="P3315" s="6"/>
      <c r="Q3315" s="6"/>
      <c r="R3315" s="6"/>
      <c r="S3315" s="6"/>
      <c r="T3315" s="6"/>
      <c r="U3315" s="6"/>
      <c r="V3315" s="6"/>
      <c r="W3315" s="6"/>
    </row>
    <row r="3316" ht="14.25" customHeight="1">
      <c r="A3316" s="6"/>
      <c r="B3316" s="59"/>
      <c r="C3316" s="13"/>
      <c r="D3316" s="13"/>
      <c r="E3316" s="34"/>
      <c r="F3316" s="6"/>
      <c r="H3316" s="6"/>
      <c r="I3316" s="35"/>
      <c r="J3316" s="239"/>
      <c r="K3316" s="239"/>
      <c r="L3316" s="239"/>
      <c r="M3316" s="239"/>
      <c r="N3316" s="239"/>
      <c r="O3316" s="6"/>
      <c r="P3316" s="6"/>
      <c r="Q3316" s="6"/>
      <c r="R3316" s="6"/>
      <c r="S3316" s="6"/>
      <c r="T3316" s="6"/>
      <c r="U3316" s="6"/>
      <c r="V3316" s="6"/>
      <c r="W3316" s="6"/>
    </row>
    <row r="3317" ht="14.25" customHeight="1">
      <c r="A3317" s="6"/>
      <c r="B3317" s="59"/>
      <c r="C3317" s="13"/>
      <c r="D3317" s="13"/>
      <c r="E3317" s="34"/>
      <c r="F3317" s="6"/>
      <c r="H3317" s="6"/>
      <c r="I3317" s="35"/>
      <c r="J3317" s="239"/>
      <c r="K3317" s="239"/>
      <c r="L3317" s="239"/>
      <c r="M3317" s="239"/>
      <c r="N3317" s="239"/>
      <c r="O3317" s="6"/>
      <c r="P3317" s="6"/>
      <c r="Q3317" s="6"/>
      <c r="R3317" s="6"/>
      <c r="S3317" s="6"/>
      <c r="T3317" s="6"/>
      <c r="U3317" s="6"/>
      <c r="V3317" s="6"/>
      <c r="W3317" s="6"/>
    </row>
    <row r="3318" ht="14.25" customHeight="1">
      <c r="A3318" s="6"/>
      <c r="B3318" s="59"/>
      <c r="C3318" s="13"/>
      <c r="D3318" s="13"/>
      <c r="E3318" s="34"/>
      <c r="F3318" s="6"/>
      <c r="H3318" s="6"/>
      <c r="I3318" s="35"/>
      <c r="J3318" s="239"/>
      <c r="K3318" s="239"/>
      <c r="L3318" s="239"/>
      <c r="M3318" s="239"/>
      <c r="N3318" s="239"/>
      <c r="O3318" s="6"/>
      <c r="P3318" s="6"/>
      <c r="Q3318" s="6"/>
      <c r="R3318" s="6"/>
      <c r="S3318" s="6"/>
      <c r="T3318" s="6"/>
      <c r="U3318" s="6"/>
      <c r="V3318" s="6"/>
      <c r="W3318" s="6"/>
    </row>
    <row r="3319" ht="14.25" customHeight="1">
      <c r="A3319" s="6"/>
      <c r="B3319" s="59"/>
      <c r="C3319" s="13"/>
      <c r="D3319" s="13"/>
      <c r="E3319" s="34"/>
      <c r="F3319" s="6"/>
      <c r="H3319" s="6"/>
      <c r="I3319" s="35"/>
      <c r="J3319" s="239"/>
      <c r="K3319" s="239"/>
      <c r="L3319" s="239"/>
      <c r="M3319" s="239"/>
      <c r="N3319" s="239"/>
      <c r="O3319" s="6"/>
      <c r="P3319" s="6"/>
      <c r="Q3319" s="6"/>
      <c r="R3319" s="6"/>
      <c r="S3319" s="6"/>
      <c r="T3319" s="6"/>
      <c r="U3319" s="6"/>
      <c r="V3319" s="6"/>
      <c r="W3319" s="6"/>
    </row>
    <row r="3320" ht="14.25" customHeight="1">
      <c r="A3320" s="6"/>
      <c r="B3320" s="59"/>
      <c r="C3320" s="13"/>
      <c r="D3320" s="13"/>
      <c r="E3320" s="34"/>
      <c r="F3320" s="6"/>
      <c r="H3320" s="6"/>
      <c r="I3320" s="35"/>
      <c r="J3320" s="239"/>
      <c r="K3320" s="239"/>
      <c r="L3320" s="239"/>
      <c r="M3320" s="239"/>
      <c r="N3320" s="239"/>
      <c r="O3320" s="6"/>
      <c r="P3320" s="6"/>
      <c r="Q3320" s="6"/>
      <c r="R3320" s="6"/>
      <c r="S3320" s="6"/>
      <c r="T3320" s="6"/>
      <c r="U3320" s="6"/>
      <c r="V3320" s="6"/>
      <c r="W3320" s="6"/>
    </row>
    <row r="3321" ht="14.25" customHeight="1">
      <c r="A3321" s="6"/>
      <c r="B3321" s="59"/>
      <c r="C3321" s="13"/>
      <c r="D3321" s="13"/>
      <c r="E3321" s="34"/>
      <c r="F3321" s="6"/>
      <c r="H3321" s="6"/>
      <c r="I3321" s="35"/>
      <c r="J3321" s="239"/>
      <c r="K3321" s="239"/>
      <c r="L3321" s="239"/>
      <c r="M3321" s="239"/>
      <c r="N3321" s="239"/>
      <c r="O3321" s="6"/>
      <c r="P3321" s="6"/>
      <c r="Q3321" s="6"/>
      <c r="R3321" s="6"/>
      <c r="S3321" s="6"/>
      <c r="T3321" s="6"/>
      <c r="U3321" s="6"/>
      <c r="V3321" s="6"/>
      <c r="W3321" s="6"/>
    </row>
    <row r="3322" ht="14.25" customHeight="1">
      <c r="A3322" s="6"/>
      <c r="B3322" s="59"/>
      <c r="C3322" s="13"/>
      <c r="D3322" s="13"/>
      <c r="E3322" s="34"/>
      <c r="F3322" s="6"/>
      <c r="H3322" s="6"/>
      <c r="I3322" s="35"/>
      <c r="J3322" s="239"/>
      <c r="K3322" s="239"/>
      <c r="L3322" s="239"/>
      <c r="M3322" s="239"/>
      <c r="N3322" s="239"/>
      <c r="O3322" s="6"/>
      <c r="P3322" s="6"/>
      <c r="Q3322" s="6"/>
      <c r="R3322" s="6"/>
      <c r="S3322" s="6"/>
      <c r="T3322" s="6"/>
      <c r="U3322" s="6"/>
      <c r="V3322" s="6"/>
      <c r="W3322" s="6"/>
    </row>
    <row r="3323" ht="14.25" customHeight="1">
      <c r="A3323" s="6"/>
      <c r="B3323" s="59"/>
      <c r="C3323" s="13"/>
      <c r="D3323" s="13"/>
      <c r="E3323" s="34"/>
      <c r="F3323" s="6"/>
      <c r="H3323" s="6"/>
      <c r="I3323" s="35"/>
      <c r="J3323" s="239"/>
      <c r="K3323" s="239"/>
      <c r="L3323" s="239"/>
      <c r="M3323" s="239"/>
      <c r="N3323" s="239"/>
      <c r="O3323" s="6"/>
      <c r="P3323" s="6"/>
      <c r="Q3323" s="6"/>
      <c r="R3323" s="6"/>
      <c r="S3323" s="6"/>
      <c r="T3323" s="6"/>
      <c r="U3323" s="6"/>
      <c r="V3323" s="6"/>
      <c r="W3323" s="6"/>
    </row>
    <row r="3324" ht="14.25" customHeight="1">
      <c r="A3324" s="6"/>
      <c r="B3324" s="59"/>
      <c r="C3324" s="13"/>
      <c r="D3324" s="13"/>
      <c r="E3324" s="34"/>
      <c r="F3324" s="6"/>
      <c r="H3324" s="6"/>
      <c r="I3324" s="35"/>
      <c r="J3324" s="239"/>
      <c r="K3324" s="239"/>
      <c r="L3324" s="239"/>
      <c r="M3324" s="239"/>
      <c r="N3324" s="239"/>
      <c r="O3324" s="6"/>
      <c r="P3324" s="6"/>
      <c r="Q3324" s="6"/>
      <c r="R3324" s="6"/>
      <c r="S3324" s="6"/>
      <c r="T3324" s="6"/>
      <c r="U3324" s="6"/>
      <c r="V3324" s="6"/>
      <c r="W3324" s="6"/>
    </row>
    <row r="3325" ht="14.25" customHeight="1">
      <c r="A3325" s="6"/>
      <c r="B3325" s="59"/>
      <c r="C3325" s="13"/>
      <c r="D3325" s="13"/>
      <c r="E3325" s="34"/>
      <c r="F3325" s="6"/>
      <c r="H3325" s="6"/>
      <c r="I3325" s="35"/>
      <c r="J3325" s="239"/>
      <c r="K3325" s="239"/>
      <c r="L3325" s="239"/>
      <c r="M3325" s="239"/>
      <c r="N3325" s="239"/>
      <c r="O3325" s="6"/>
      <c r="P3325" s="6"/>
      <c r="Q3325" s="6"/>
      <c r="R3325" s="6"/>
      <c r="S3325" s="6"/>
      <c r="T3325" s="6"/>
      <c r="U3325" s="6"/>
      <c r="V3325" s="6"/>
      <c r="W3325" s="6"/>
    </row>
    <row r="3326" ht="14.25" customHeight="1">
      <c r="A3326" s="6"/>
      <c r="B3326" s="59"/>
      <c r="C3326" s="13"/>
      <c r="D3326" s="13"/>
      <c r="E3326" s="34"/>
      <c r="F3326" s="6"/>
      <c r="H3326" s="6"/>
      <c r="I3326" s="35"/>
      <c r="J3326" s="239"/>
      <c r="K3326" s="239"/>
      <c r="L3326" s="239"/>
      <c r="M3326" s="239"/>
      <c r="N3326" s="239"/>
      <c r="O3326" s="6"/>
      <c r="P3326" s="6"/>
      <c r="Q3326" s="6"/>
      <c r="R3326" s="6"/>
      <c r="S3326" s="6"/>
      <c r="T3326" s="6"/>
      <c r="U3326" s="6"/>
      <c r="V3326" s="6"/>
      <c r="W3326" s="6"/>
    </row>
    <row r="3327" ht="14.25" customHeight="1">
      <c r="A3327" s="6"/>
      <c r="B3327" s="59"/>
      <c r="C3327" s="13"/>
      <c r="D3327" s="13"/>
      <c r="E3327" s="34"/>
      <c r="F3327" s="6"/>
      <c r="H3327" s="6"/>
      <c r="I3327" s="35"/>
      <c r="J3327" s="239"/>
      <c r="K3327" s="239"/>
      <c r="L3327" s="239"/>
      <c r="M3327" s="239"/>
      <c r="N3327" s="239"/>
      <c r="O3327" s="6"/>
      <c r="P3327" s="6"/>
      <c r="Q3327" s="6"/>
      <c r="R3327" s="6"/>
      <c r="S3327" s="6"/>
      <c r="T3327" s="6"/>
      <c r="U3327" s="6"/>
      <c r="V3327" s="6"/>
      <c r="W3327" s="6"/>
    </row>
    <row r="3328" ht="14.25" customHeight="1">
      <c r="A3328" s="6"/>
      <c r="B3328" s="59"/>
      <c r="C3328" s="13"/>
      <c r="D3328" s="13"/>
      <c r="E3328" s="34"/>
      <c r="F3328" s="6"/>
      <c r="H3328" s="6"/>
      <c r="I3328" s="35"/>
      <c r="J3328" s="239"/>
      <c r="K3328" s="239"/>
      <c r="L3328" s="239"/>
      <c r="M3328" s="239"/>
      <c r="N3328" s="239"/>
      <c r="O3328" s="6"/>
      <c r="P3328" s="6"/>
      <c r="Q3328" s="6"/>
      <c r="R3328" s="6"/>
      <c r="S3328" s="6"/>
      <c r="T3328" s="6"/>
      <c r="U3328" s="6"/>
      <c r="V3328" s="6"/>
      <c r="W3328" s="6"/>
    </row>
    <row r="3329" ht="14.25" customHeight="1">
      <c r="A3329" s="6"/>
      <c r="B3329" s="59"/>
      <c r="C3329" s="13"/>
      <c r="D3329" s="13"/>
      <c r="E3329" s="34"/>
      <c r="F3329" s="6"/>
      <c r="H3329" s="6"/>
      <c r="I3329" s="35"/>
      <c r="J3329" s="239"/>
      <c r="K3329" s="239"/>
      <c r="L3329" s="239"/>
      <c r="M3329" s="239"/>
      <c r="N3329" s="239"/>
      <c r="O3329" s="6"/>
      <c r="P3329" s="6"/>
      <c r="Q3329" s="6"/>
      <c r="R3329" s="6"/>
      <c r="S3329" s="6"/>
      <c r="T3329" s="6"/>
      <c r="U3329" s="6"/>
      <c r="V3329" s="6"/>
      <c r="W3329" s="6"/>
    </row>
    <row r="3330" ht="14.25" customHeight="1">
      <c r="A3330" s="6"/>
      <c r="B3330" s="59"/>
      <c r="C3330" s="13"/>
      <c r="D3330" s="13"/>
      <c r="E3330" s="34"/>
      <c r="F3330" s="6"/>
      <c r="H3330" s="6"/>
      <c r="I3330" s="35"/>
      <c r="J3330" s="239"/>
      <c r="K3330" s="239"/>
      <c r="L3330" s="239"/>
      <c r="M3330" s="239"/>
      <c r="N3330" s="239"/>
      <c r="O3330" s="6"/>
      <c r="P3330" s="6"/>
      <c r="Q3330" s="6"/>
      <c r="R3330" s="6"/>
      <c r="S3330" s="6"/>
      <c r="T3330" s="6"/>
      <c r="U3330" s="6"/>
      <c r="V3330" s="6"/>
      <c r="W3330" s="6"/>
    </row>
    <row r="3331" ht="14.25" customHeight="1">
      <c r="A3331" s="6"/>
      <c r="B3331" s="59"/>
      <c r="C3331" s="13"/>
      <c r="D3331" s="13"/>
      <c r="E3331" s="34"/>
      <c r="F3331" s="6"/>
      <c r="H3331" s="6"/>
      <c r="I3331" s="35"/>
      <c r="J3331" s="239"/>
      <c r="K3331" s="239"/>
      <c r="L3331" s="239"/>
      <c r="M3331" s="239"/>
      <c r="N3331" s="239"/>
      <c r="O3331" s="6"/>
      <c r="P3331" s="6"/>
      <c r="Q3331" s="6"/>
      <c r="R3331" s="6"/>
      <c r="S3331" s="6"/>
      <c r="T3331" s="6"/>
      <c r="U3331" s="6"/>
      <c r="V3331" s="6"/>
      <c r="W3331" s="6"/>
    </row>
    <row r="3332" ht="14.25" customHeight="1">
      <c r="A3332" s="6"/>
      <c r="B3332" s="59"/>
      <c r="C3332" s="13"/>
      <c r="D3332" s="13"/>
      <c r="E3332" s="34"/>
      <c r="F3332" s="6"/>
      <c r="H3332" s="6"/>
      <c r="I3332" s="35"/>
      <c r="J3332" s="239"/>
      <c r="K3332" s="239"/>
      <c r="L3332" s="239"/>
      <c r="M3332" s="239"/>
      <c r="N3332" s="239"/>
      <c r="O3332" s="6"/>
      <c r="P3332" s="6"/>
      <c r="Q3332" s="6"/>
      <c r="R3332" s="6"/>
      <c r="S3332" s="6"/>
      <c r="T3332" s="6"/>
      <c r="U3332" s="6"/>
      <c r="V3332" s="6"/>
      <c r="W3332" s="6"/>
    </row>
    <row r="3333" ht="14.25" customHeight="1">
      <c r="A3333" s="6"/>
      <c r="B3333" s="59"/>
      <c r="C3333" s="13"/>
      <c r="D3333" s="13"/>
      <c r="E3333" s="34"/>
      <c r="F3333" s="6"/>
      <c r="H3333" s="6"/>
      <c r="I3333" s="35"/>
      <c r="J3333" s="239"/>
      <c r="K3333" s="239"/>
      <c r="L3333" s="239"/>
      <c r="M3333" s="239"/>
      <c r="N3333" s="239"/>
      <c r="O3333" s="6"/>
      <c r="P3333" s="6"/>
      <c r="Q3333" s="6"/>
      <c r="R3333" s="6"/>
      <c r="S3333" s="6"/>
      <c r="T3333" s="6"/>
      <c r="U3333" s="6"/>
      <c r="V3333" s="6"/>
      <c r="W3333" s="6"/>
    </row>
    <row r="3334" ht="14.25" customHeight="1">
      <c r="A3334" s="6"/>
      <c r="B3334" s="59"/>
      <c r="C3334" s="13"/>
      <c r="D3334" s="13"/>
      <c r="E3334" s="34"/>
      <c r="F3334" s="6"/>
      <c r="H3334" s="6"/>
      <c r="I3334" s="35"/>
      <c r="J3334" s="239"/>
      <c r="K3334" s="239"/>
      <c r="L3334" s="239"/>
      <c r="M3334" s="239"/>
      <c r="N3334" s="239"/>
      <c r="O3334" s="6"/>
      <c r="P3334" s="6"/>
      <c r="Q3334" s="6"/>
      <c r="R3334" s="6"/>
      <c r="S3334" s="6"/>
      <c r="T3334" s="6"/>
      <c r="U3334" s="6"/>
      <c r="V3334" s="6"/>
      <c r="W3334" s="6"/>
    </row>
    <row r="3335" ht="14.25" customHeight="1">
      <c r="A3335" s="6"/>
      <c r="B3335" s="59"/>
      <c r="C3335" s="13"/>
      <c r="D3335" s="13"/>
      <c r="E3335" s="34"/>
      <c r="F3335" s="6"/>
      <c r="H3335" s="6"/>
      <c r="I3335" s="35"/>
      <c r="J3335" s="239"/>
      <c r="K3335" s="239"/>
      <c r="L3335" s="239"/>
      <c r="M3335" s="239"/>
      <c r="N3335" s="239"/>
      <c r="O3335" s="6"/>
      <c r="P3335" s="6"/>
      <c r="Q3335" s="6"/>
      <c r="R3335" s="6"/>
      <c r="S3335" s="6"/>
      <c r="T3335" s="6"/>
      <c r="U3335" s="6"/>
      <c r="V3335" s="6"/>
      <c r="W3335" s="6"/>
    </row>
    <row r="3336" ht="14.25" customHeight="1">
      <c r="A3336" s="6"/>
      <c r="B3336" s="59"/>
      <c r="C3336" s="13"/>
      <c r="D3336" s="13"/>
      <c r="E3336" s="34"/>
      <c r="F3336" s="6"/>
      <c r="H3336" s="6"/>
      <c r="I3336" s="35"/>
      <c r="J3336" s="239"/>
      <c r="K3336" s="239"/>
      <c r="L3336" s="239"/>
      <c r="M3336" s="239"/>
      <c r="N3336" s="239"/>
      <c r="O3336" s="6"/>
      <c r="P3336" s="6"/>
      <c r="Q3336" s="6"/>
      <c r="R3336" s="6"/>
      <c r="S3336" s="6"/>
      <c r="T3336" s="6"/>
      <c r="U3336" s="6"/>
      <c r="V3336" s="6"/>
      <c r="W3336" s="6"/>
    </row>
    <row r="3337" ht="14.25" customHeight="1">
      <c r="A3337" s="6"/>
      <c r="B3337" s="59"/>
      <c r="C3337" s="13"/>
      <c r="D3337" s="13"/>
      <c r="E3337" s="34"/>
      <c r="F3337" s="6"/>
      <c r="H3337" s="6"/>
      <c r="I3337" s="35"/>
      <c r="J3337" s="239"/>
      <c r="K3337" s="239"/>
      <c r="L3337" s="239"/>
      <c r="M3337" s="239"/>
      <c r="N3337" s="239"/>
      <c r="O3337" s="6"/>
      <c r="P3337" s="6"/>
      <c r="Q3337" s="6"/>
      <c r="R3337" s="6"/>
      <c r="S3337" s="6"/>
      <c r="T3337" s="6"/>
      <c r="U3337" s="6"/>
      <c r="V3337" s="6"/>
      <c r="W3337" s="6"/>
    </row>
    <row r="3338" ht="14.25" customHeight="1">
      <c r="A3338" s="6"/>
      <c r="B3338" s="59"/>
      <c r="C3338" s="13"/>
      <c r="D3338" s="13"/>
      <c r="E3338" s="34"/>
      <c r="F3338" s="6"/>
      <c r="H3338" s="6"/>
      <c r="I3338" s="35"/>
      <c r="J3338" s="239"/>
      <c r="K3338" s="239"/>
      <c r="L3338" s="239"/>
      <c r="M3338" s="239"/>
      <c r="N3338" s="239"/>
      <c r="O3338" s="6"/>
      <c r="P3338" s="6"/>
      <c r="Q3338" s="6"/>
      <c r="R3338" s="6"/>
      <c r="S3338" s="6"/>
      <c r="T3338" s="6"/>
      <c r="U3338" s="6"/>
      <c r="V3338" s="6"/>
      <c r="W3338" s="6"/>
    </row>
    <row r="3339" ht="14.25" customHeight="1">
      <c r="A3339" s="6"/>
      <c r="B3339" s="59"/>
      <c r="C3339" s="13"/>
      <c r="D3339" s="13"/>
      <c r="E3339" s="34"/>
      <c r="F3339" s="6"/>
      <c r="H3339" s="6"/>
      <c r="I3339" s="35"/>
      <c r="J3339" s="239"/>
      <c r="K3339" s="239"/>
      <c r="L3339" s="239"/>
      <c r="M3339" s="239"/>
      <c r="N3339" s="239"/>
      <c r="O3339" s="6"/>
      <c r="P3339" s="6"/>
      <c r="Q3339" s="6"/>
      <c r="R3339" s="6"/>
      <c r="S3339" s="6"/>
      <c r="T3339" s="6"/>
      <c r="U3339" s="6"/>
      <c r="V3339" s="6"/>
      <c r="W3339" s="6"/>
    </row>
    <row r="3340" ht="14.25" customHeight="1">
      <c r="A3340" s="6"/>
      <c r="B3340" s="59"/>
      <c r="C3340" s="13"/>
      <c r="D3340" s="13"/>
      <c r="E3340" s="34"/>
      <c r="F3340" s="6"/>
      <c r="H3340" s="6"/>
      <c r="I3340" s="35"/>
      <c r="J3340" s="239"/>
      <c r="K3340" s="239"/>
      <c r="L3340" s="239"/>
      <c r="M3340" s="239"/>
      <c r="N3340" s="239"/>
      <c r="O3340" s="6"/>
      <c r="P3340" s="6"/>
      <c r="Q3340" s="6"/>
      <c r="R3340" s="6"/>
      <c r="S3340" s="6"/>
      <c r="T3340" s="6"/>
      <c r="U3340" s="6"/>
      <c r="V3340" s="6"/>
      <c r="W3340" s="6"/>
    </row>
    <row r="3341" ht="14.25" customHeight="1">
      <c r="A3341" s="6"/>
      <c r="B3341" s="59"/>
      <c r="C3341" s="13"/>
      <c r="D3341" s="13"/>
      <c r="E3341" s="34"/>
      <c r="F3341" s="6"/>
      <c r="H3341" s="6"/>
      <c r="I3341" s="35"/>
      <c r="J3341" s="239"/>
      <c r="K3341" s="239"/>
      <c r="L3341" s="239"/>
      <c r="M3341" s="239"/>
      <c r="N3341" s="239"/>
      <c r="O3341" s="6"/>
      <c r="P3341" s="6"/>
      <c r="Q3341" s="6"/>
      <c r="R3341" s="6"/>
      <c r="S3341" s="6"/>
      <c r="T3341" s="6"/>
      <c r="U3341" s="6"/>
      <c r="V3341" s="6"/>
      <c r="W3341" s="6"/>
    </row>
    <row r="3342" ht="14.25" customHeight="1">
      <c r="A3342" s="6"/>
      <c r="B3342" s="59"/>
      <c r="C3342" s="13"/>
      <c r="D3342" s="13"/>
      <c r="E3342" s="34"/>
      <c r="F3342" s="6"/>
      <c r="H3342" s="6"/>
      <c r="I3342" s="35"/>
      <c r="J3342" s="239"/>
      <c r="K3342" s="239"/>
      <c r="L3342" s="239"/>
      <c r="M3342" s="239"/>
      <c r="N3342" s="239"/>
      <c r="O3342" s="6"/>
      <c r="P3342" s="6"/>
      <c r="Q3342" s="6"/>
      <c r="R3342" s="6"/>
      <c r="S3342" s="6"/>
      <c r="T3342" s="6"/>
      <c r="U3342" s="6"/>
      <c r="V3342" s="6"/>
      <c r="W3342" s="6"/>
    </row>
    <row r="3343" ht="14.25" customHeight="1">
      <c r="A3343" s="6"/>
      <c r="B3343" s="59"/>
      <c r="C3343" s="13"/>
      <c r="D3343" s="13"/>
      <c r="E3343" s="34"/>
      <c r="F3343" s="6"/>
      <c r="H3343" s="6"/>
      <c r="I3343" s="35"/>
      <c r="J3343" s="239"/>
      <c r="K3343" s="239"/>
      <c r="L3343" s="239"/>
      <c r="M3343" s="239"/>
      <c r="N3343" s="239"/>
      <c r="O3343" s="6"/>
      <c r="P3343" s="6"/>
      <c r="Q3343" s="6"/>
      <c r="R3343" s="6"/>
      <c r="S3343" s="6"/>
      <c r="T3343" s="6"/>
      <c r="U3343" s="6"/>
      <c r="V3343" s="6"/>
      <c r="W3343" s="6"/>
    </row>
    <row r="3344" ht="14.25" customHeight="1">
      <c r="A3344" s="6"/>
      <c r="B3344" s="59"/>
      <c r="C3344" s="13"/>
      <c r="D3344" s="13"/>
      <c r="E3344" s="34"/>
      <c r="F3344" s="6"/>
      <c r="H3344" s="6"/>
      <c r="I3344" s="35"/>
      <c r="J3344" s="239"/>
      <c r="K3344" s="239"/>
      <c r="L3344" s="239"/>
      <c r="M3344" s="239"/>
      <c r="N3344" s="239"/>
      <c r="O3344" s="6"/>
      <c r="P3344" s="6"/>
      <c r="Q3344" s="6"/>
      <c r="R3344" s="6"/>
      <c r="S3344" s="6"/>
      <c r="T3344" s="6"/>
      <c r="U3344" s="6"/>
      <c r="V3344" s="6"/>
      <c r="W3344" s="6"/>
    </row>
    <row r="3345" ht="14.25" customHeight="1">
      <c r="A3345" s="6"/>
      <c r="B3345" s="59"/>
      <c r="C3345" s="13"/>
      <c r="D3345" s="13"/>
      <c r="E3345" s="34"/>
      <c r="F3345" s="6"/>
      <c r="H3345" s="6"/>
      <c r="I3345" s="35"/>
      <c r="J3345" s="239"/>
      <c r="K3345" s="239"/>
      <c r="L3345" s="239"/>
      <c r="M3345" s="239"/>
      <c r="N3345" s="239"/>
      <c r="O3345" s="6"/>
      <c r="P3345" s="6"/>
      <c r="Q3345" s="6"/>
      <c r="R3345" s="6"/>
      <c r="S3345" s="6"/>
      <c r="T3345" s="6"/>
      <c r="U3345" s="6"/>
      <c r="V3345" s="6"/>
      <c r="W3345" s="6"/>
    </row>
    <row r="3346" ht="14.25" customHeight="1">
      <c r="A3346" s="6"/>
      <c r="B3346" s="59"/>
      <c r="C3346" s="13"/>
      <c r="D3346" s="13"/>
      <c r="E3346" s="34"/>
      <c r="F3346" s="6"/>
      <c r="H3346" s="6"/>
      <c r="I3346" s="35"/>
      <c r="J3346" s="239"/>
      <c r="K3346" s="239"/>
      <c r="L3346" s="239"/>
      <c r="M3346" s="239"/>
      <c r="N3346" s="239"/>
      <c r="O3346" s="6"/>
      <c r="P3346" s="6"/>
      <c r="Q3346" s="6"/>
      <c r="R3346" s="6"/>
      <c r="S3346" s="6"/>
      <c r="T3346" s="6"/>
      <c r="U3346" s="6"/>
      <c r="V3346" s="6"/>
      <c r="W3346" s="6"/>
    </row>
    <row r="3347" ht="14.25" customHeight="1">
      <c r="A3347" s="6"/>
      <c r="B3347" s="59"/>
      <c r="C3347" s="13"/>
      <c r="D3347" s="13"/>
      <c r="E3347" s="34"/>
      <c r="F3347" s="6"/>
      <c r="H3347" s="6"/>
      <c r="I3347" s="35"/>
      <c r="J3347" s="239"/>
      <c r="K3347" s="239"/>
      <c r="L3347" s="239"/>
      <c r="M3347" s="239"/>
      <c r="N3347" s="239"/>
      <c r="O3347" s="6"/>
      <c r="P3347" s="6"/>
      <c r="Q3347" s="6"/>
      <c r="R3347" s="6"/>
      <c r="S3347" s="6"/>
      <c r="T3347" s="6"/>
      <c r="U3347" s="6"/>
      <c r="V3347" s="6"/>
      <c r="W3347" s="6"/>
    </row>
    <row r="3348" ht="14.25" customHeight="1">
      <c r="A3348" s="6"/>
      <c r="B3348" s="59"/>
      <c r="C3348" s="13"/>
      <c r="D3348" s="13"/>
      <c r="E3348" s="34"/>
      <c r="F3348" s="6"/>
      <c r="H3348" s="6"/>
      <c r="I3348" s="35"/>
      <c r="J3348" s="239"/>
      <c r="K3348" s="239"/>
      <c r="L3348" s="239"/>
      <c r="M3348" s="239"/>
      <c r="N3348" s="239"/>
      <c r="O3348" s="6"/>
      <c r="P3348" s="6"/>
      <c r="Q3348" s="6"/>
      <c r="R3348" s="6"/>
      <c r="S3348" s="6"/>
      <c r="T3348" s="6"/>
      <c r="U3348" s="6"/>
      <c r="V3348" s="6"/>
      <c r="W3348" s="6"/>
    </row>
    <row r="3349" ht="14.25" customHeight="1">
      <c r="A3349" s="6"/>
      <c r="B3349" s="59"/>
      <c r="C3349" s="13"/>
      <c r="D3349" s="13"/>
      <c r="E3349" s="34"/>
      <c r="F3349" s="6"/>
      <c r="H3349" s="6"/>
      <c r="I3349" s="35"/>
      <c r="J3349" s="239"/>
      <c r="K3349" s="239"/>
      <c r="L3349" s="239"/>
      <c r="M3349" s="239"/>
      <c r="N3349" s="239"/>
      <c r="O3349" s="6"/>
      <c r="P3349" s="6"/>
      <c r="Q3349" s="6"/>
      <c r="R3349" s="6"/>
      <c r="S3349" s="6"/>
      <c r="T3349" s="6"/>
      <c r="U3349" s="6"/>
      <c r="V3349" s="6"/>
      <c r="W3349" s="6"/>
    </row>
    <row r="3350" ht="14.25" customHeight="1">
      <c r="A3350" s="6"/>
      <c r="B3350" s="59"/>
      <c r="C3350" s="13"/>
      <c r="D3350" s="13"/>
      <c r="E3350" s="34"/>
      <c r="F3350" s="6"/>
      <c r="H3350" s="6"/>
      <c r="I3350" s="35"/>
      <c r="J3350" s="239"/>
      <c r="K3350" s="239"/>
      <c r="L3350" s="239"/>
      <c r="M3350" s="239"/>
      <c r="N3350" s="239"/>
      <c r="O3350" s="6"/>
      <c r="P3350" s="6"/>
      <c r="Q3350" s="6"/>
      <c r="R3350" s="6"/>
      <c r="S3350" s="6"/>
      <c r="T3350" s="6"/>
      <c r="U3350" s="6"/>
      <c r="V3350" s="6"/>
      <c r="W3350" s="6"/>
    </row>
    <row r="3351" ht="14.25" customHeight="1">
      <c r="A3351" s="6"/>
      <c r="B3351" s="59"/>
      <c r="C3351" s="13"/>
      <c r="D3351" s="13"/>
      <c r="E3351" s="34"/>
      <c r="F3351" s="6"/>
      <c r="H3351" s="6"/>
      <c r="I3351" s="35"/>
      <c r="J3351" s="239"/>
      <c r="K3351" s="239"/>
      <c r="L3351" s="239"/>
      <c r="M3351" s="239"/>
      <c r="N3351" s="239"/>
      <c r="O3351" s="6"/>
      <c r="P3351" s="6"/>
      <c r="Q3351" s="6"/>
      <c r="R3351" s="6"/>
      <c r="S3351" s="6"/>
      <c r="T3351" s="6"/>
      <c r="U3351" s="6"/>
      <c r="V3351" s="6"/>
      <c r="W3351" s="6"/>
    </row>
    <row r="3352" ht="14.25" customHeight="1">
      <c r="A3352" s="6"/>
      <c r="B3352" s="59"/>
      <c r="C3352" s="13"/>
      <c r="D3352" s="13"/>
      <c r="E3352" s="34"/>
      <c r="F3352" s="6"/>
      <c r="H3352" s="6"/>
      <c r="I3352" s="35"/>
      <c r="J3352" s="239"/>
      <c r="K3352" s="239"/>
      <c r="L3352" s="239"/>
      <c r="M3352" s="239"/>
      <c r="N3352" s="239"/>
      <c r="O3352" s="6"/>
      <c r="P3352" s="6"/>
      <c r="Q3352" s="6"/>
      <c r="R3352" s="6"/>
      <c r="S3352" s="6"/>
      <c r="T3352" s="6"/>
      <c r="U3352" s="6"/>
      <c r="V3352" s="6"/>
      <c r="W3352" s="6"/>
    </row>
    <row r="3353" ht="14.25" customHeight="1">
      <c r="A3353" s="6"/>
      <c r="B3353" s="59"/>
      <c r="C3353" s="13"/>
      <c r="D3353" s="13"/>
      <c r="E3353" s="34"/>
      <c r="F3353" s="6"/>
      <c r="H3353" s="6"/>
      <c r="I3353" s="35"/>
      <c r="J3353" s="239"/>
      <c r="K3353" s="239"/>
      <c r="L3353" s="239"/>
      <c r="M3353" s="239"/>
      <c r="N3353" s="239"/>
      <c r="O3353" s="6"/>
      <c r="P3353" s="6"/>
      <c r="Q3353" s="6"/>
      <c r="R3353" s="6"/>
      <c r="S3353" s="6"/>
      <c r="T3353" s="6"/>
      <c r="U3353" s="6"/>
      <c r="V3353" s="6"/>
      <c r="W3353" s="6"/>
    </row>
    <row r="3354" ht="14.25" customHeight="1">
      <c r="A3354" s="6"/>
      <c r="B3354" s="59"/>
      <c r="C3354" s="13"/>
      <c r="D3354" s="13"/>
      <c r="E3354" s="34"/>
      <c r="F3354" s="6"/>
      <c r="H3354" s="6"/>
      <c r="I3354" s="35"/>
      <c r="J3354" s="239"/>
      <c r="K3354" s="239"/>
      <c r="L3354" s="239"/>
      <c r="M3354" s="239"/>
      <c r="N3354" s="239"/>
      <c r="O3354" s="6"/>
      <c r="P3354" s="6"/>
      <c r="Q3354" s="6"/>
      <c r="R3354" s="6"/>
      <c r="S3354" s="6"/>
      <c r="T3354" s="6"/>
      <c r="U3354" s="6"/>
      <c r="V3354" s="6"/>
      <c r="W3354" s="6"/>
    </row>
    <row r="3355" ht="14.25" customHeight="1">
      <c r="A3355" s="6"/>
      <c r="B3355" s="59"/>
      <c r="C3355" s="13"/>
      <c r="D3355" s="13"/>
      <c r="E3355" s="34"/>
      <c r="F3355" s="6"/>
      <c r="H3355" s="6"/>
      <c r="I3355" s="35"/>
      <c r="J3355" s="239"/>
      <c r="K3355" s="239"/>
      <c r="L3355" s="239"/>
      <c r="M3355" s="239"/>
      <c r="N3355" s="239"/>
      <c r="O3355" s="6"/>
      <c r="P3355" s="6"/>
      <c r="Q3355" s="6"/>
      <c r="R3355" s="6"/>
      <c r="S3355" s="6"/>
      <c r="T3355" s="6"/>
      <c r="U3355" s="6"/>
      <c r="V3355" s="6"/>
      <c r="W3355" s="6"/>
    </row>
    <row r="3356" ht="14.25" customHeight="1">
      <c r="A3356" s="6"/>
      <c r="B3356" s="59"/>
      <c r="C3356" s="13"/>
      <c r="D3356" s="13"/>
      <c r="E3356" s="34"/>
      <c r="F3356" s="6"/>
      <c r="H3356" s="6"/>
      <c r="I3356" s="35"/>
      <c r="J3356" s="239"/>
      <c r="K3356" s="239"/>
      <c r="L3356" s="239"/>
      <c r="M3356" s="239"/>
      <c r="N3356" s="239"/>
      <c r="O3356" s="6"/>
      <c r="P3356" s="6"/>
      <c r="Q3356" s="6"/>
      <c r="R3356" s="6"/>
      <c r="S3356" s="6"/>
      <c r="T3356" s="6"/>
      <c r="U3356" s="6"/>
      <c r="V3356" s="6"/>
      <c r="W3356" s="6"/>
    </row>
    <row r="3357" ht="14.25" customHeight="1">
      <c r="A3357" s="6"/>
      <c r="B3357" s="59"/>
      <c r="C3357" s="13"/>
      <c r="D3357" s="13"/>
      <c r="E3357" s="34"/>
      <c r="F3357" s="6"/>
      <c r="H3357" s="6"/>
      <c r="I3357" s="35"/>
      <c r="J3357" s="239"/>
      <c r="K3357" s="239"/>
      <c r="L3357" s="239"/>
      <c r="M3357" s="239"/>
      <c r="N3357" s="239"/>
      <c r="O3357" s="6"/>
      <c r="P3357" s="6"/>
      <c r="Q3357" s="6"/>
      <c r="R3357" s="6"/>
      <c r="S3357" s="6"/>
      <c r="T3357" s="6"/>
      <c r="U3357" s="6"/>
      <c r="V3357" s="6"/>
      <c r="W3357" s="6"/>
    </row>
    <row r="3358" ht="14.25" customHeight="1">
      <c r="A3358" s="6"/>
      <c r="B3358" s="59"/>
      <c r="C3358" s="13"/>
      <c r="D3358" s="13"/>
      <c r="E3358" s="34"/>
      <c r="F3358" s="6"/>
      <c r="H3358" s="6"/>
      <c r="I3358" s="35"/>
      <c r="J3358" s="239"/>
      <c r="K3358" s="239"/>
      <c r="L3358" s="239"/>
      <c r="M3358" s="239"/>
      <c r="N3358" s="239"/>
      <c r="O3358" s="6"/>
      <c r="P3358" s="6"/>
      <c r="Q3358" s="6"/>
      <c r="R3358" s="6"/>
      <c r="S3358" s="6"/>
      <c r="T3358" s="6"/>
      <c r="U3358" s="6"/>
      <c r="V3358" s="6"/>
      <c r="W3358" s="6"/>
    </row>
    <row r="3359" ht="14.25" customHeight="1">
      <c r="A3359" s="6"/>
      <c r="B3359" s="59"/>
      <c r="C3359" s="13"/>
      <c r="D3359" s="13"/>
      <c r="E3359" s="34"/>
      <c r="F3359" s="6"/>
      <c r="H3359" s="6"/>
      <c r="I3359" s="35"/>
      <c r="J3359" s="239"/>
      <c r="K3359" s="239"/>
      <c r="L3359" s="239"/>
      <c r="M3359" s="239"/>
      <c r="N3359" s="239"/>
      <c r="O3359" s="6"/>
      <c r="P3359" s="6"/>
      <c r="Q3359" s="6"/>
      <c r="R3359" s="6"/>
      <c r="S3359" s="6"/>
      <c r="T3359" s="6"/>
      <c r="U3359" s="6"/>
      <c r="V3359" s="6"/>
      <c r="W3359" s="6"/>
    </row>
    <row r="3360" ht="14.25" customHeight="1">
      <c r="A3360" s="6"/>
      <c r="B3360" s="59"/>
      <c r="C3360" s="13"/>
      <c r="D3360" s="13"/>
      <c r="E3360" s="34"/>
      <c r="F3360" s="6"/>
      <c r="H3360" s="6"/>
      <c r="I3360" s="35"/>
      <c r="J3360" s="239"/>
      <c r="K3360" s="239"/>
      <c r="L3360" s="239"/>
      <c r="M3360" s="239"/>
      <c r="N3360" s="239"/>
      <c r="O3360" s="6"/>
      <c r="P3360" s="6"/>
      <c r="Q3360" s="6"/>
      <c r="R3360" s="6"/>
      <c r="S3360" s="6"/>
      <c r="T3360" s="6"/>
      <c r="U3360" s="6"/>
      <c r="V3360" s="6"/>
      <c r="W3360" s="6"/>
    </row>
    <row r="3361" ht="14.25" customHeight="1">
      <c r="A3361" s="6"/>
      <c r="B3361" s="59"/>
      <c r="C3361" s="13"/>
      <c r="D3361" s="13"/>
      <c r="E3361" s="34"/>
      <c r="F3361" s="6"/>
      <c r="H3361" s="6"/>
      <c r="I3361" s="35"/>
      <c r="J3361" s="239"/>
      <c r="K3361" s="239"/>
      <c r="L3361" s="239"/>
      <c r="M3361" s="239"/>
      <c r="N3361" s="239"/>
      <c r="O3361" s="6"/>
      <c r="P3361" s="6"/>
      <c r="Q3361" s="6"/>
      <c r="R3361" s="6"/>
      <c r="S3361" s="6"/>
      <c r="T3361" s="6"/>
      <c r="U3361" s="6"/>
      <c r="V3361" s="6"/>
      <c r="W3361" s="6"/>
    </row>
    <row r="3362" ht="14.25" customHeight="1">
      <c r="A3362" s="6"/>
      <c r="B3362" s="59"/>
      <c r="C3362" s="13"/>
      <c r="D3362" s="13"/>
      <c r="E3362" s="34"/>
      <c r="F3362" s="6"/>
      <c r="H3362" s="6"/>
      <c r="I3362" s="35"/>
      <c r="J3362" s="239"/>
      <c r="K3362" s="239"/>
      <c r="L3362" s="239"/>
      <c r="M3362" s="239"/>
      <c r="N3362" s="239"/>
      <c r="O3362" s="6"/>
      <c r="P3362" s="6"/>
      <c r="Q3362" s="6"/>
      <c r="R3362" s="6"/>
      <c r="S3362" s="6"/>
      <c r="T3362" s="6"/>
      <c r="U3362" s="6"/>
      <c r="V3362" s="6"/>
      <c r="W3362" s="6"/>
    </row>
    <row r="3363" ht="14.25" customHeight="1">
      <c r="A3363" s="6"/>
      <c r="B3363" s="59"/>
      <c r="C3363" s="13"/>
      <c r="D3363" s="13"/>
      <c r="E3363" s="34"/>
      <c r="F3363" s="6"/>
      <c r="H3363" s="6"/>
      <c r="I3363" s="35"/>
      <c r="J3363" s="239"/>
      <c r="K3363" s="239"/>
      <c r="L3363" s="239"/>
      <c r="M3363" s="239"/>
      <c r="N3363" s="239"/>
      <c r="O3363" s="6"/>
      <c r="P3363" s="6"/>
      <c r="Q3363" s="6"/>
      <c r="R3363" s="6"/>
      <c r="S3363" s="6"/>
      <c r="T3363" s="6"/>
      <c r="U3363" s="6"/>
      <c r="V3363" s="6"/>
      <c r="W3363" s="6"/>
    </row>
    <row r="3364" ht="14.25" customHeight="1">
      <c r="A3364" s="6"/>
      <c r="B3364" s="59"/>
      <c r="C3364" s="13"/>
      <c r="D3364" s="13"/>
      <c r="E3364" s="34"/>
      <c r="F3364" s="6"/>
      <c r="H3364" s="6"/>
      <c r="I3364" s="35"/>
      <c r="J3364" s="239"/>
      <c r="K3364" s="239"/>
      <c r="L3364" s="239"/>
      <c r="M3364" s="239"/>
      <c r="N3364" s="239"/>
      <c r="O3364" s="6"/>
      <c r="P3364" s="6"/>
      <c r="Q3364" s="6"/>
      <c r="R3364" s="6"/>
      <c r="S3364" s="6"/>
      <c r="T3364" s="6"/>
      <c r="U3364" s="6"/>
      <c r="V3364" s="6"/>
      <c r="W3364" s="6"/>
    </row>
    <row r="3365" ht="14.25" customHeight="1">
      <c r="A3365" s="6"/>
      <c r="B3365" s="59"/>
      <c r="C3365" s="13"/>
      <c r="D3365" s="13"/>
      <c r="E3365" s="34"/>
      <c r="F3365" s="6"/>
      <c r="H3365" s="6"/>
      <c r="I3365" s="35"/>
      <c r="J3365" s="239"/>
      <c r="K3365" s="239"/>
      <c r="L3365" s="239"/>
      <c r="M3365" s="239"/>
      <c r="N3365" s="239"/>
      <c r="O3365" s="6"/>
      <c r="P3365" s="6"/>
      <c r="Q3365" s="6"/>
      <c r="R3365" s="6"/>
      <c r="S3365" s="6"/>
      <c r="T3365" s="6"/>
      <c r="U3365" s="6"/>
      <c r="V3365" s="6"/>
      <c r="W3365" s="6"/>
    </row>
    <row r="3366" ht="14.25" customHeight="1">
      <c r="A3366" s="6"/>
      <c r="B3366" s="59"/>
      <c r="C3366" s="13"/>
      <c r="D3366" s="13"/>
      <c r="E3366" s="34"/>
      <c r="F3366" s="6"/>
      <c r="H3366" s="6"/>
      <c r="I3366" s="35"/>
      <c r="J3366" s="239"/>
      <c r="K3366" s="239"/>
      <c r="L3366" s="239"/>
      <c r="M3366" s="239"/>
      <c r="N3366" s="239"/>
      <c r="O3366" s="6"/>
      <c r="P3366" s="6"/>
      <c r="Q3366" s="6"/>
      <c r="R3366" s="6"/>
      <c r="S3366" s="6"/>
      <c r="T3366" s="6"/>
      <c r="U3366" s="6"/>
      <c r="V3366" s="6"/>
      <c r="W3366" s="6"/>
    </row>
    <row r="3367" ht="14.25" customHeight="1">
      <c r="A3367" s="6"/>
      <c r="B3367" s="59"/>
      <c r="C3367" s="13"/>
      <c r="D3367" s="13"/>
      <c r="E3367" s="34"/>
      <c r="F3367" s="6"/>
      <c r="H3367" s="6"/>
      <c r="I3367" s="35"/>
      <c r="J3367" s="239"/>
      <c r="K3367" s="239"/>
      <c r="L3367" s="239"/>
      <c r="M3367" s="239"/>
      <c r="N3367" s="239"/>
      <c r="O3367" s="6"/>
      <c r="P3367" s="6"/>
      <c r="Q3367" s="6"/>
      <c r="R3367" s="6"/>
      <c r="S3367" s="6"/>
      <c r="T3367" s="6"/>
      <c r="U3367" s="6"/>
      <c r="V3367" s="6"/>
      <c r="W3367" s="6"/>
    </row>
    <row r="3368" ht="14.25" customHeight="1">
      <c r="A3368" s="6"/>
      <c r="B3368" s="59"/>
      <c r="C3368" s="13"/>
      <c r="D3368" s="13"/>
      <c r="E3368" s="34"/>
      <c r="F3368" s="6"/>
      <c r="H3368" s="6"/>
      <c r="I3368" s="35"/>
      <c r="J3368" s="239"/>
      <c r="K3368" s="239"/>
      <c r="L3368" s="239"/>
      <c r="M3368" s="239"/>
      <c r="N3368" s="239"/>
      <c r="O3368" s="6"/>
      <c r="P3368" s="6"/>
      <c r="Q3368" s="6"/>
      <c r="R3368" s="6"/>
      <c r="S3368" s="6"/>
      <c r="T3368" s="6"/>
      <c r="U3368" s="6"/>
      <c r="V3368" s="6"/>
      <c r="W3368" s="6"/>
    </row>
    <row r="3369" ht="14.25" customHeight="1">
      <c r="A3369" s="6"/>
      <c r="B3369" s="59"/>
      <c r="C3369" s="13"/>
      <c r="D3369" s="13"/>
      <c r="E3369" s="34"/>
      <c r="F3369" s="6"/>
      <c r="H3369" s="6"/>
      <c r="I3369" s="35"/>
      <c r="J3369" s="239"/>
      <c r="K3369" s="239"/>
      <c r="L3369" s="239"/>
      <c r="M3369" s="239"/>
      <c r="N3369" s="239"/>
      <c r="O3369" s="6"/>
      <c r="P3369" s="6"/>
      <c r="Q3369" s="6"/>
      <c r="R3369" s="6"/>
      <c r="S3369" s="6"/>
      <c r="T3369" s="6"/>
      <c r="U3369" s="6"/>
      <c r="V3369" s="6"/>
      <c r="W3369" s="6"/>
    </row>
    <row r="3370" ht="14.25" customHeight="1">
      <c r="A3370" s="6"/>
      <c r="B3370" s="59"/>
      <c r="C3370" s="13"/>
      <c r="D3370" s="13"/>
      <c r="E3370" s="34"/>
      <c r="F3370" s="6"/>
      <c r="H3370" s="6"/>
      <c r="I3370" s="35"/>
      <c r="J3370" s="239"/>
      <c r="K3370" s="239"/>
      <c r="L3370" s="239"/>
      <c r="M3370" s="239"/>
      <c r="N3370" s="239"/>
      <c r="O3370" s="6"/>
      <c r="P3370" s="6"/>
      <c r="Q3370" s="6"/>
      <c r="R3370" s="6"/>
      <c r="S3370" s="6"/>
      <c r="T3370" s="6"/>
      <c r="U3370" s="6"/>
      <c r="V3370" s="6"/>
      <c r="W3370" s="6"/>
    </row>
    <row r="3371" ht="14.25" customHeight="1">
      <c r="A3371" s="6"/>
      <c r="B3371" s="59"/>
      <c r="C3371" s="13"/>
      <c r="D3371" s="13"/>
      <c r="E3371" s="34"/>
      <c r="F3371" s="6"/>
      <c r="H3371" s="6"/>
      <c r="I3371" s="35"/>
      <c r="J3371" s="239"/>
      <c r="K3371" s="239"/>
      <c r="L3371" s="239"/>
      <c r="M3371" s="239"/>
      <c r="N3371" s="239"/>
      <c r="O3371" s="6"/>
      <c r="P3371" s="6"/>
      <c r="Q3371" s="6"/>
      <c r="R3371" s="6"/>
      <c r="S3371" s="6"/>
      <c r="T3371" s="6"/>
      <c r="U3371" s="6"/>
      <c r="V3371" s="6"/>
      <c r="W3371" s="6"/>
    </row>
    <row r="3372" ht="14.25" customHeight="1">
      <c r="A3372" s="6"/>
      <c r="B3372" s="59"/>
      <c r="C3372" s="13"/>
      <c r="D3372" s="13"/>
      <c r="E3372" s="34"/>
      <c r="F3372" s="6"/>
      <c r="H3372" s="6"/>
      <c r="I3372" s="35"/>
      <c r="J3372" s="239"/>
      <c r="K3372" s="239"/>
      <c r="L3372" s="239"/>
      <c r="M3372" s="239"/>
      <c r="N3372" s="239"/>
      <c r="O3372" s="6"/>
      <c r="P3372" s="6"/>
      <c r="Q3372" s="6"/>
      <c r="R3372" s="6"/>
      <c r="S3372" s="6"/>
      <c r="T3372" s="6"/>
      <c r="U3372" s="6"/>
      <c r="V3372" s="6"/>
      <c r="W3372" s="6"/>
    </row>
    <row r="3373" ht="14.25" customHeight="1">
      <c r="A3373" s="6"/>
      <c r="B3373" s="59"/>
      <c r="C3373" s="13"/>
      <c r="D3373" s="13"/>
      <c r="E3373" s="34"/>
      <c r="F3373" s="6"/>
      <c r="H3373" s="6"/>
      <c r="I3373" s="35"/>
      <c r="J3373" s="239"/>
      <c r="K3373" s="239"/>
      <c r="L3373" s="239"/>
      <c r="M3373" s="239"/>
      <c r="N3373" s="239"/>
      <c r="O3373" s="6"/>
      <c r="P3373" s="6"/>
      <c r="Q3373" s="6"/>
      <c r="R3373" s="6"/>
      <c r="S3373" s="6"/>
      <c r="T3373" s="6"/>
      <c r="U3373" s="6"/>
      <c r="V3373" s="6"/>
      <c r="W3373" s="6"/>
    </row>
    <row r="3374" ht="14.25" customHeight="1">
      <c r="A3374" s="6"/>
      <c r="B3374" s="59"/>
      <c r="C3374" s="13"/>
      <c r="D3374" s="13"/>
      <c r="E3374" s="34"/>
      <c r="F3374" s="6"/>
      <c r="H3374" s="6"/>
      <c r="I3374" s="35"/>
      <c r="J3374" s="239"/>
      <c r="K3374" s="239"/>
      <c r="L3374" s="239"/>
      <c r="M3374" s="239"/>
      <c r="N3374" s="239"/>
      <c r="O3374" s="6"/>
      <c r="P3374" s="6"/>
      <c r="Q3374" s="6"/>
      <c r="R3374" s="6"/>
      <c r="S3374" s="6"/>
      <c r="T3374" s="6"/>
      <c r="U3374" s="6"/>
      <c r="V3374" s="6"/>
      <c r="W3374" s="6"/>
    </row>
    <row r="3375" ht="14.25" customHeight="1">
      <c r="A3375" s="6"/>
      <c r="B3375" s="59"/>
      <c r="C3375" s="13"/>
      <c r="D3375" s="13"/>
      <c r="E3375" s="34"/>
      <c r="F3375" s="6"/>
      <c r="H3375" s="6"/>
      <c r="I3375" s="35"/>
      <c r="J3375" s="239"/>
      <c r="K3375" s="239"/>
      <c r="L3375" s="239"/>
      <c r="M3375" s="239"/>
      <c r="N3375" s="239"/>
      <c r="O3375" s="6"/>
      <c r="P3375" s="6"/>
      <c r="Q3375" s="6"/>
      <c r="R3375" s="6"/>
      <c r="S3375" s="6"/>
      <c r="T3375" s="6"/>
      <c r="U3375" s="6"/>
      <c r="V3375" s="6"/>
      <c r="W3375" s="6"/>
    </row>
    <row r="3376" ht="14.25" customHeight="1">
      <c r="A3376" s="6"/>
      <c r="B3376" s="59"/>
      <c r="C3376" s="13"/>
      <c r="D3376" s="13"/>
      <c r="E3376" s="34"/>
      <c r="F3376" s="6"/>
      <c r="H3376" s="6"/>
      <c r="I3376" s="35"/>
      <c r="J3376" s="239"/>
      <c r="K3376" s="239"/>
      <c r="L3376" s="239"/>
      <c r="M3376" s="239"/>
      <c r="N3376" s="239"/>
      <c r="O3376" s="6"/>
      <c r="P3376" s="6"/>
      <c r="Q3376" s="6"/>
      <c r="R3376" s="6"/>
      <c r="S3376" s="6"/>
      <c r="T3376" s="6"/>
      <c r="U3376" s="6"/>
      <c r="V3376" s="6"/>
      <c r="W3376" s="6"/>
    </row>
    <row r="3377" ht="14.25" customHeight="1">
      <c r="A3377" s="6"/>
      <c r="B3377" s="59"/>
      <c r="C3377" s="13"/>
      <c r="D3377" s="13"/>
      <c r="E3377" s="34"/>
      <c r="F3377" s="6"/>
      <c r="H3377" s="6"/>
      <c r="I3377" s="35"/>
      <c r="J3377" s="239"/>
      <c r="K3377" s="239"/>
      <c r="L3377" s="239"/>
      <c r="M3377" s="239"/>
      <c r="N3377" s="239"/>
      <c r="O3377" s="6"/>
      <c r="P3377" s="6"/>
      <c r="Q3377" s="6"/>
      <c r="R3377" s="6"/>
      <c r="S3377" s="6"/>
      <c r="T3377" s="6"/>
      <c r="U3377" s="6"/>
      <c r="V3377" s="6"/>
      <c r="W3377" s="6"/>
    </row>
    <row r="3378" ht="14.25" customHeight="1">
      <c r="A3378" s="6"/>
      <c r="B3378" s="59"/>
      <c r="C3378" s="13"/>
      <c r="D3378" s="13"/>
      <c r="E3378" s="34"/>
      <c r="F3378" s="6"/>
      <c r="H3378" s="6"/>
      <c r="I3378" s="35"/>
      <c r="J3378" s="239"/>
      <c r="K3378" s="239"/>
      <c r="L3378" s="239"/>
      <c r="M3378" s="239"/>
      <c r="N3378" s="239"/>
      <c r="O3378" s="6"/>
      <c r="P3378" s="6"/>
      <c r="Q3378" s="6"/>
      <c r="R3378" s="6"/>
      <c r="S3378" s="6"/>
      <c r="T3378" s="6"/>
      <c r="U3378" s="6"/>
      <c r="V3378" s="6"/>
      <c r="W3378" s="6"/>
    </row>
    <row r="3379" ht="14.25" customHeight="1">
      <c r="A3379" s="6"/>
      <c r="B3379" s="59"/>
      <c r="C3379" s="13"/>
      <c r="D3379" s="13"/>
      <c r="E3379" s="34"/>
      <c r="F3379" s="6"/>
      <c r="H3379" s="6"/>
      <c r="I3379" s="35"/>
      <c r="J3379" s="239"/>
      <c r="K3379" s="239"/>
      <c r="L3379" s="239"/>
      <c r="M3379" s="239"/>
      <c r="N3379" s="239"/>
      <c r="O3379" s="6"/>
      <c r="P3379" s="6"/>
      <c r="Q3379" s="6"/>
      <c r="R3379" s="6"/>
      <c r="S3379" s="6"/>
      <c r="T3379" s="6"/>
      <c r="U3379" s="6"/>
      <c r="V3379" s="6"/>
      <c r="W3379" s="6"/>
    </row>
    <row r="3380" ht="14.25" customHeight="1">
      <c r="A3380" s="6"/>
      <c r="B3380" s="59"/>
      <c r="C3380" s="13"/>
      <c r="D3380" s="13"/>
      <c r="E3380" s="34"/>
      <c r="F3380" s="6"/>
      <c r="H3380" s="6"/>
      <c r="I3380" s="35"/>
      <c r="J3380" s="239"/>
      <c r="K3380" s="239"/>
      <c r="L3380" s="239"/>
      <c r="M3380" s="239"/>
      <c r="N3380" s="239"/>
      <c r="O3380" s="6"/>
      <c r="P3380" s="6"/>
      <c r="Q3380" s="6"/>
      <c r="R3380" s="6"/>
      <c r="S3380" s="6"/>
      <c r="T3380" s="6"/>
      <c r="U3380" s="6"/>
      <c r="V3380" s="6"/>
      <c r="W3380" s="6"/>
    </row>
    <row r="3381" ht="14.25" customHeight="1">
      <c r="A3381" s="6"/>
      <c r="B3381" s="59"/>
      <c r="C3381" s="13"/>
      <c r="D3381" s="13"/>
      <c r="E3381" s="34"/>
      <c r="F3381" s="6"/>
      <c r="H3381" s="6"/>
      <c r="I3381" s="35"/>
      <c r="J3381" s="239"/>
      <c r="K3381" s="239"/>
      <c r="L3381" s="239"/>
      <c r="M3381" s="239"/>
      <c r="N3381" s="239"/>
      <c r="O3381" s="6"/>
      <c r="P3381" s="6"/>
      <c r="Q3381" s="6"/>
      <c r="R3381" s="6"/>
      <c r="S3381" s="6"/>
      <c r="T3381" s="6"/>
      <c r="U3381" s="6"/>
      <c r="V3381" s="6"/>
      <c r="W3381" s="6"/>
    </row>
    <row r="3382" ht="14.25" customHeight="1">
      <c r="A3382" s="6"/>
      <c r="B3382" s="59"/>
      <c r="C3382" s="13"/>
      <c r="D3382" s="13"/>
      <c r="E3382" s="34"/>
      <c r="F3382" s="6"/>
      <c r="H3382" s="6"/>
      <c r="I3382" s="35"/>
      <c r="J3382" s="239"/>
      <c r="K3382" s="239"/>
      <c r="L3382" s="239"/>
      <c r="M3382" s="239"/>
      <c r="N3382" s="239"/>
      <c r="O3382" s="6"/>
      <c r="P3382" s="6"/>
      <c r="Q3382" s="6"/>
      <c r="R3382" s="6"/>
      <c r="S3382" s="6"/>
      <c r="T3382" s="6"/>
      <c r="U3382" s="6"/>
      <c r="V3382" s="6"/>
      <c r="W3382" s="6"/>
    </row>
    <row r="3383" ht="14.25" customHeight="1">
      <c r="A3383" s="6"/>
      <c r="B3383" s="59"/>
      <c r="C3383" s="13"/>
      <c r="D3383" s="13"/>
      <c r="E3383" s="34"/>
      <c r="F3383" s="6"/>
      <c r="H3383" s="6"/>
      <c r="I3383" s="35"/>
      <c r="J3383" s="239"/>
      <c r="K3383" s="239"/>
      <c r="L3383" s="239"/>
      <c r="M3383" s="239"/>
      <c r="N3383" s="239"/>
      <c r="O3383" s="6"/>
      <c r="P3383" s="6"/>
      <c r="Q3383" s="6"/>
      <c r="R3383" s="6"/>
      <c r="S3383" s="6"/>
      <c r="T3383" s="6"/>
      <c r="U3383" s="6"/>
      <c r="V3383" s="6"/>
      <c r="W3383" s="6"/>
    </row>
    <row r="3384" ht="14.25" customHeight="1">
      <c r="A3384" s="6"/>
      <c r="B3384" s="59"/>
      <c r="C3384" s="13"/>
      <c r="D3384" s="13"/>
      <c r="E3384" s="34"/>
      <c r="F3384" s="6"/>
      <c r="H3384" s="6"/>
      <c r="I3384" s="35"/>
      <c r="J3384" s="239"/>
      <c r="K3384" s="239"/>
      <c r="L3384" s="239"/>
      <c r="M3384" s="239"/>
      <c r="N3384" s="239"/>
      <c r="O3384" s="6"/>
      <c r="P3384" s="6"/>
      <c r="Q3384" s="6"/>
      <c r="R3384" s="6"/>
      <c r="S3384" s="6"/>
      <c r="T3384" s="6"/>
      <c r="U3384" s="6"/>
      <c r="V3384" s="6"/>
      <c r="W3384" s="6"/>
    </row>
    <row r="3385" ht="14.25" customHeight="1">
      <c r="A3385" s="6"/>
      <c r="B3385" s="59"/>
      <c r="C3385" s="13"/>
      <c r="D3385" s="13"/>
      <c r="E3385" s="34"/>
      <c r="F3385" s="6"/>
      <c r="H3385" s="6"/>
      <c r="I3385" s="35"/>
      <c r="J3385" s="239"/>
      <c r="K3385" s="239"/>
      <c r="L3385" s="239"/>
      <c r="M3385" s="239"/>
      <c r="N3385" s="239"/>
      <c r="O3385" s="6"/>
      <c r="P3385" s="6"/>
      <c r="Q3385" s="6"/>
      <c r="R3385" s="6"/>
      <c r="S3385" s="6"/>
      <c r="T3385" s="6"/>
      <c r="U3385" s="6"/>
      <c r="V3385" s="6"/>
      <c r="W3385" s="6"/>
    </row>
    <row r="3386" ht="14.25" customHeight="1">
      <c r="A3386" s="6"/>
      <c r="B3386" s="59"/>
      <c r="C3386" s="13"/>
      <c r="D3386" s="13"/>
      <c r="E3386" s="34"/>
      <c r="F3386" s="6"/>
      <c r="H3386" s="6"/>
      <c r="I3386" s="35"/>
      <c r="J3386" s="239"/>
      <c r="K3386" s="239"/>
      <c r="L3386" s="239"/>
      <c r="M3386" s="239"/>
      <c r="N3386" s="239"/>
      <c r="O3386" s="6"/>
      <c r="P3386" s="6"/>
      <c r="Q3386" s="6"/>
      <c r="R3386" s="6"/>
      <c r="S3386" s="6"/>
      <c r="T3386" s="6"/>
      <c r="U3386" s="6"/>
      <c r="V3386" s="6"/>
      <c r="W3386" s="6"/>
    </row>
    <row r="3387" ht="14.25" customHeight="1">
      <c r="A3387" s="6"/>
      <c r="B3387" s="59"/>
      <c r="C3387" s="13"/>
      <c r="D3387" s="13"/>
      <c r="E3387" s="34"/>
      <c r="F3387" s="6"/>
      <c r="H3387" s="6"/>
      <c r="I3387" s="35"/>
      <c r="J3387" s="239"/>
      <c r="K3387" s="239"/>
      <c r="L3387" s="239"/>
      <c r="M3387" s="239"/>
      <c r="N3387" s="239"/>
      <c r="O3387" s="6"/>
      <c r="P3387" s="6"/>
      <c r="Q3387" s="6"/>
      <c r="R3387" s="6"/>
      <c r="S3387" s="6"/>
      <c r="T3387" s="6"/>
      <c r="U3387" s="6"/>
      <c r="V3387" s="6"/>
      <c r="W3387" s="6"/>
    </row>
    <row r="3388" ht="14.25" customHeight="1">
      <c r="A3388" s="6"/>
      <c r="B3388" s="59"/>
      <c r="C3388" s="13"/>
      <c r="D3388" s="13"/>
      <c r="E3388" s="34"/>
      <c r="F3388" s="6"/>
      <c r="H3388" s="6"/>
      <c r="I3388" s="35"/>
      <c r="J3388" s="239"/>
      <c r="K3388" s="239"/>
      <c r="L3388" s="239"/>
      <c r="M3388" s="239"/>
      <c r="N3388" s="239"/>
      <c r="O3388" s="6"/>
      <c r="P3388" s="6"/>
      <c r="Q3388" s="6"/>
      <c r="R3388" s="6"/>
      <c r="S3388" s="6"/>
      <c r="T3388" s="6"/>
      <c r="U3388" s="6"/>
      <c r="V3388" s="6"/>
      <c r="W3388" s="6"/>
    </row>
    <row r="3389" ht="14.25" customHeight="1">
      <c r="A3389" s="6"/>
      <c r="B3389" s="59"/>
      <c r="C3389" s="13"/>
      <c r="D3389" s="13"/>
      <c r="E3389" s="34"/>
      <c r="F3389" s="6"/>
      <c r="H3389" s="6"/>
      <c r="I3389" s="35"/>
      <c r="J3389" s="239"/>
      <c r="K3389" s="239"/>
      <c r="L3389" s="239"/>
      <c r="M3389" s="239"/>
      <c r="N3389" s="239"/>
      <c r="O3389" s="6"/>
      <c r="P3389" s="6"/>
      <c r="Q3389" s="6"/>
      <c r="R3389" s="6"/>
      <c r="S3389" s="6"/>
      <c r="T3389" s="6"/>
      <c r="U3389" s="6"/>
      <c r="V3389" s="6"/>
      <c r="W3389" s="6"/>
    </row>
    <row r="3390" ht="14.25" customHeight="1">
      <c r="A3390" s="6"/>
      <c r="B3390" s="59"/>
      <c r="C3390" s="13"/>
      <c r="D3390" s="13"/>
      <c r="E3390" s="34"/>
      <c r="F3390" s="6"/>
      <c r="H3390" s="6"/>
      <c r="I3390" s="35"/>
      <c r="J3390" s="239"/>
      <c r="K3390" s="239"/>
      <c r="L3390" s="239"/>
      <c r="M3390" s="239"/>
      <c r="N3390" s="239"/>
      <c r="O3390" s="6"/>
      <c r="P3390" s="6"/>
      <c r="Q3390" s="6"/>
      <c r="R3390" s="6"/>
      <c r="S3390" s="6"/>
      <c r="T3390" s="6"/>
      <c r="U3390" s="6"/>
      <c r="V3390" s="6"/>
      <c r="W3390" s="6"/>
    </row>
    <row r="3391" ht="14.25" customHeight="1">
      <c r="A3391" s="6"/>
      <c r="B3391" s="59"/>
      <c r="C3391" s="13"/>
      <c r="D3391" s="13"/>
      <c r="E3391" s="34"/>
      <c r="F3391" s="6"/>
      <c r="H3391" s="6"/>
      <c r="I3391" s="35"/>
      <c r="J3391" s="239"/>
      <c r="K3391" s="239"/>
      <c r="L3391" s="239"/>
      <c r="M3391" s="239"/>
      <c r="N3391" s="239"/>
      <c r="O3391" s="6"/>
      <c r="P3391" s="6"/>
      <c r="Q3391" s="6"/>
      <c r="R3391" s="6"/>
      <c r="S3391" s="6"/>
      <c r="T3391" s="6"/>
      <c r="U3391" s="6"/>
      <c r="V3391" s="6"/>
      <c r="W3391" s="6"/>
    </row>
    <row r="3392" ht="14.25" customHeight="1">
      <c r="A3392" s="6"/>
      <c r="B3392" s="59"/>
      <c r="C3392" s="13"/>
      <c r="D3392" s="13"/>
      <c r="E3392" s="34"/>
      <c r="F3392" s="6"/>
      <c r="H3392" s="6"/>
      <c r="I3392" s="35"/>
      <c r="J3392" s="239"/>
      <c r="K3392" s="239"/>
      <c r="L3392" s="239"/>
      <c r="M3392" s="239"/>
      <c r="N3392" s="239"/>
      <c r="O3392" s="6"/>
      <c r="P3392" s="6"/>
      <c r="Q3392" s="6"/>
      <c r="R3392" s="6"/>
      <c r="S3392" s="6"/>
      <c r="T3392" s="6"/>
      <c r="U3392" s="6"/>
      <c r="V3392" s="6"/>
      <c r="W3392" s="6"/>
    </row>
    <row r="3393" ht="14.25" customHeight="1">
      <c r="A3393" s="6"/>
      <c r="B3393" s="59"/>
      <c r="C3393" s="13"/>
      <c r="D3393" s="13"/>
      <c r="E3393" s="34"/>
      <c r="F3393" s="6"/>
      <c r="H3393" s="6"/>
      <c r="I3393" s="35"/>
      <c r="J3393" s="239"/>
      <c r="K3393" s="239"/>
      <c r="L3393" s="239"/>
      <c r="M3393" s="239"/>
      <c r="N3393" s="239"/>
      <c r="O3393" s="6"/>
      <c r="P3393" s="6"/>
      <c r="Q3393" s="6"/>
      <c r="R3393" s="6"/>
      <c r="S3393" s="6"/>
      <c r="T3393" s="6"/>
      <c r="U3393" s="6"/>
      <c r="V3393" s="6"/>
      <c r="W3393" s="6"/>
    </row>
    <row r="3394" ht="14.25" customHeight="1">
      <c r="A3394" s="6"/>
      <c r="B3394" s="59"/>
      <c r="C3394" s="13"/>
      <c r="D3394" s="13"/>
      <c r="E3394" s="34"/>
      <c r="F3394" s="6"/>
      <c r="H3394" s="6"/>
      <c r="I3394" s="35"/>
      <c r="J3394" s="239"/>
      <c r="K3394" s="239"/>
      <c r="L3394" s="239"/>
      <c r="M3394" s="239"/>
      <c r="N3394" s="239"/>
      <c r="O3394" s="6"/>
      <c r="P3394" s="6"/>
      <c r="Q3394" s="6"/>
      <c r="R3394" s="6"/>
      <c r="S3394" s="6"/>
      <c r="T3394" s="6"/>
      <c r="U3394" s="6"/>
      <c r="V3394" s="6"/>
      <c r="W3394" s="6"/>
    </row>
    <row r="3395" ht="14.25" customHeight="1">
      <c r="A3395" s="6"/>
      <c r="B3395" s="59"/>
      <c r="C3395" s="13"/>
      <c r="D3395" s="13"/>
      <c r="E3395" s="34"/>
      <c r="F3395" s="6"/>
      <c r="H3395" s="6"/>
      <c r="I3395" s="35"/>
      <c r="J3395" s="239"/>
      <c r="K3395" s="239"/>
      <c r="L3395" s="239"/>
      <c r="M3395" s="239"/>
      <c r="N3395" s="239"/>
      <c r="O3395" s="6"/>
      <c r="P3395" s="6"/>
      <c r="Q3395" s="6"/>
      <c r="R3395" s="6"/>
      <c r="S3395" s="6"/>
      <c r="T3395" s="6"/>
      <c r="U3395" s="6"/>
      <c r="V3395" s="6"/>
      <c r="W3395" s="6"/>
    </row>
    <row r="3396" ht="14.25" customHeight="1">
      <c r="A3396" s="6"/>
      <c r="B3396" s="59"/>
      <c r="C3396" s="13"/>
      <c r="D3396" s="13"/>
      <c r="E3396" s="34"/>
      <c r="F3396" s="6"/>
      <c r="H3396" s="6"/>
      <c r="I3396" s="35"/>
      <c r="J3396" s="239"/>
      <c r="K3396" s="239"/>
      <c r="L3396" s="239"/>
      <c r="M3396" s="239"/>
      <c r="N3396" s="239"/>
      <c r="O3396" s="6"/>
      <c r="P3396" s="6"/>
      <c r="Q3396" s="6"/>
      <c r="R3396" s="6"/>
      <c r="S3396" s="6"/>
      <c r="T3396" s="6"/>
      <c r="U3396" s="6"/>
      <c r="V3396" s="6"/>
      <c r="W3396" s="6"/>
    </row>
    <row r="3397" ht="14.25" customHeight="1">
      <c r="A3397" s="6"/>
      <c r="B3397" s="59"/>
      <c r="C3397" s="13"/>
      <c r="D3397" s="13"/>
      <c r="E3397" s="34"/>
      <c r="F3397" s="6"/>
      <c r="H3397" s="6"/>
      <c r="I3397" s="35"/>
      <c r="J3397" s="239"/>
      <c r="K3397" s="239"/>
      <c r="L3397" s="239"/>
      <c r="M3397" s="239"/>
      <c r="N3397" s="239"/>
      <c r="O3397" s="6"/>
      <c r="P3397" s="6"/>
      <c r="Q3397" s="6"/>
      <c r="R3397" s="6"/>
      <c r="S3397" s="6"/>
      <c r="T3397" s="6"/>
      <c r="U3397" s="6"/>
      <c r="V3397" s="6"/>
      <c r="W3397" s="6"/>
    </row>
    <row r="3398" ht="14.25" customHeight="1">
      <c r="A3398" s="6"/>
      <c r="B3398" s="59"/>
      <c r="C3398" s="13"/>
      <c r="D3398" s="13"/>
      <c r="E3398" s="34"/>
      <c r="F3398" s="6"/>
      <c r="H3398" s="6"/>
      <c r="I3398" s="35"/>
      <c r="J3398" s="239"/>
      <c r="K3398" s="239"/>
      <c r="L3398" s="239"/>
      <c r="M3398" s="239"/>
      <c r="N3398" s="239"/>
      <c r="O3398" s="6"/>
      <c r="P3398" s="6"/>
      <c r="Q3398" s="6"/>
      <c r="R3398" s="6"/>
      <c r="S3398" s="6"/>
      <c r="T3398" s="6"/>
      <c r="U3398" s="6"/>
      <c r="V3398" s="6"/>
      <c r="W3398" s="6"/>
    </row>
    <row r="3399" ht="14.25" customHeight="1">
      <c r="A3399" s="6"/>
      <c r="B3399" s="59"/>
      <c r="C3399" s="13"/>
      <c r="D3399" s="13"/>
      <c r="E3399" s="34"/>
      <c r="F3399" s="6"/>
      <c r="H3399" s="6"/>
      <c r="I3399" s="35"/>
      <c r="J3399" s="239"/>
      <c r="K3399" s="239"/>
      <c r="L3399" s="239"/>
      <c r="M3399" s="239"/>
      <c r="N3399" s="239"/>
      <c r="O3399" s="6"/>
      <c r="P3399" s="6"/>
      <c r="Q3399" s="6"/>
      <c r="R3399" s="6"/>
      <c r="S3399" s="6"/>
      <c r="T3399" s="6"/>
      <c r="U3399" s="6"/>
      <c r="V3399" s="6"/>
      <c r="W3399" s="6"/>
    </row>
    <row r="3400" ht="14.25" customHeight="1">
      <c r="A3400" s="6"/>
      <c r="B3400" s="59"/>
      <c r="C3400" s="13"/>
      <c r="D3400" s="13"/>
      <c r="E3400" s="34"/>
      <c r="F3400" s="6"/>
      <c r="H3400" s="6"/>
      <c r="I3400" s="35"/>
      <c r="J3400" s="239"/>
      <c r="K3400" s="239"/>
      <c r="L3400" s="239"/>
      <c r="M3400" s="239"/>
      <c r="N3400" s="239"/>
      <c r="O3400" s="6"/>
      <c r="P3400" s="6"/>
      <c r="Q3400" s="6"/>
      <c r="R3400" s="6"/>
      <c r="S3400" s="6"/>
      <c r="T3400" s="6"/>
      <c r="U3400" s="6"/>
      <c r="V3400" s="6"/>
      <c r="W3400" s="6"/>
    </row>
    <row r="3401" ht="14.25" customHeight="1">
      <c r="A3401" s="6"/>
      <c r="B3401" s="59"/>
      <c r="C3401" s="13"/>
      <c r="D3401" s="13"/>
      <c r="E3401" s="34"/>
      <c r="F3401" s="6"/>
      <c r="H3401" s="6"/>
      <c r="I3401" s="35"/>
      <c r="J3401" s="239"/>
      <c r="K3401" s="239"/>
      <c r="L3401" s="239"/>
      <c r="M3401" s="239"/>
      <c r="N3401" s="239"/>
      <c r="O3401" s="6"/>
      <c r="P3401" s="6"/>
      <c r="Q3401" s="6"/>
      <c r="R3401" s="6"/>
      <c r="S3401" s="6"/>
      <c r="T3401" s="6"/>
      <c r="U3401" s="6"/>
      <c r="V3401" s="6"/>
      <c r="W3401" s="6"/>
    </row>
    <row r="3402" ht="14.25" customHeight="1">
      <c r="A3402" s="6"/>
      <c r="B3402" s="59"/>
      <c r="C3402" s="13"/>
      <c r="D3402" s="13"/>
      <c r="E3402" s="34"/>
      <c r="F3402" s="6"/>
      <c r="H3402" s="6"/>
      <c r="I3402" s="35"/>
      <c r="J3402" s="239"/>
      <c r="K3402" s="239"/>
      <c r="L3402" s="239"/>
      <c r="M3402" s="239"/>
      <c r="N3402" s="239"/>
      <c r="O3402" s="6"/>
      <c r="P3402" s="6"/>
      <c r="Q3402" s="6"/>
      <c r="R3402" s="6"/>
      <c r="S3402" s="6"/>
      <c r="T3402" s="6"/>
      <c r="U3402" s="6"/>
      <c r="V3402" s="6"/>
      <c r="W3402" s="6"/>
    </row>
    <row r="3403" ht="14.25" customHeight="1">
      <c r="A3403" s="6"/>
      <c r="B3403" s="59"/>
      <c r="C3403" s="13"/>
      <c r="D3403" s="13"/>
      <c r="E3403" s="34"/>
      <c r="F3403" s="6"/>
      <c r="H3403" s="6"/>
      <c r="I3403" s="35"/>
      <c r="J3403" s="239"/>
      <c r="K3403" s="239"/>
      <c r="L3403" s="239"/>
      <c r="M3403" s="239"/>
      <c r="N3403" s="239"/>
      <c r="O3403" s="6"/>
      <c r="P3403" s="6"/>
      <c r="Q3403" s="6"/>
      <c r="R3403" s="6"/>
      <c r="S3403" s="6"/>
      <c r="T3403" s="6"/>
      <c r="U3403" s="6"/>
      <c r="V3403" s="6"/>
      <c r="W3403" s="6"/>
    </row>
    <row r="3404" ht="14.25" customHeight="1">
      <c r="A3404" s="6"/>
      <c r="B3404" s="59"/>
      <c r="C3404" s="13"/>
      <c r="D3404" s="13"/>
      <c r="E3404" s="34"/>
      <c r="F3404" s="6"/>
      <c r="H3404" s="6"/>
      <c r="I3404" s="35"/>
      <c r="J3404" s="239"/>
      <c r="K3404" s="239"/>
      <c r="L3404" s="239"/>
      <c r="M3404" s="239"/>
      <c r="N3404" s="239"/>
      <c r="O3404" s="6"/>
      <c r="P3404" s="6"/>
      <c r="Q3404" s="6"/>
      <c r="R3404" s="6"/>
      <c r="S3404" s="6"/>
      <c r="T3404" s="6"/>
      <c r="U3404" s="6"/>
      <c r="V3404" s="6"/>
      <c r="W3404" s="6"/>
    </row>
    <row r="3405" ht="14.25" customHeight="1">
      <c r="A3405" s="6"/>
      <c r="B3405" s="59"/>
      <c r="C3405" s="13"/>
      <c r="D3405" s="13"/>
      <c r="E3405" s="34"/>
      <c r="F3405" s="6"/>
      <c r="H3405" s="6"/>
      <c r="I3405" s="35"/>
      <c r="J3405" s="239"/>
      <c r="K3405" s="239"/>
      <c r="L3405" s="239"/>
      <c r="M3405" s="239"/>
      <c r="N3405" s="239"/>
      <c r="O3405" s="6"/>
      <c r="P3405" s="6"/>
      <c r="Q3405" s="6"/>
      <c r="R3405" s="6"/>
      <c r="S3405" s="6"/>
      <c r="T3405" s="6"/>
      <c r="U3405" s="6"/>
      <c r="V3405" s="6"/>
      <c r="W3405" s="6"/>
    </row>
    <row r="3406" ht="14.25" customHeight="1">
      <c r="A3406" s="6"/>
      <c r="B3406" s="59"/>
      <c r="C3406" s="13"/>
      <c r="D3406" s="13"/>
      <c r="E3406" s="34"/>
      <c r="F3406" s="6"/>
      <c r="H3406" s="6"/>
      <c r="I3406" s="35"/>
      <c r="J3406" s="239"/>
      <c r="K3406" s="239"/>
      <c r="L3406" s="239"/>
      <c r="M3406" s="239"/>
      <c r="N3406" s="239"/>
      <c r="O3406" s="6"/>
      <c r="P3406" s="6"/>
      <c r="Q3406" s="6"/>
      <c r="R3406" s="6"/>
      <c r="S3406" s="6"/>
      <c r="T3406" s="6"/>
      <c r="U3406" s="6"/>
      <c r="V3406" s="6"/>
      <c r="W3406" s="6"/>
    </row>
    <row r="3407" ht="14.25" customHeight="1">
      <c r="A3407" s="6"/>
      <c r="B3407" s="59"/>
      <c r="C3407" s="13"/>
      <c r="D3407" s="13"/>
      <c r="E3407" s="34"/>
      <c r="F3407" s="6"/>
      <c r="H3407" s="6"/>
      <c r="I3407" s="35"/>
      <c r="J3407" s="239"/>
      <c r="K3407" s="239"/>
      <c r="L3407" s="239"/>
      <c r="M3407" s="239"/>
      <c r="N3407" s="239"/>
      <c r="O3407" s="6"/>
      <c r="P3407" s="6"/>
      <c r="Q3407" s="6"/>
      <c r="R3407" s="6"/>
      <c r="S3407" s="6"/>
      <c r="T3407" s="6"/>
      <c r="U3407" s="6"/>
      <c r="V3407" s="6"/>
      <c r="W3407" s="6"/>
    </row>
    <row r="3408" ht="14.25" customHeight="1">
      <c r="A3408" s="6"/>
      <c r="B3408" s="59"/>
      <c r="C3408" s="13"/>
      <c r="D3408" s="13"/>
      <c r="E3408" s="34"/>
      <c r="F3408" s="6"/>
      <c r="H3408" s="6"/>
      <c r="I3408" s="35"/>
      <c r="J3408" s="239"/>
      <c r="K3408" s="239"/>
      <c r="L3408" s="239"/>
      <c r="M3408" s="239"/>
      <c r="N3408" s="239"/>
      <c r="O3408" s="6"/>
      <c r="P3408" s="6"/>
      <c r="Q3408" s="6"/>
      <c r="R3408" s="6"/>
      <c r="S3408" s="6"/>
      <c r="T3408" s="6"/>
      <c r="U3408" s="6"/>
      <c r="V3408" s="6"/>
      <c r="W3408" s="6"/>
    </row>
    <row r="3409" ht="14.25" customHeight="1">
      <c r="A3409" s="6"/>
      <c r="B3409" s="59"/>
      <c r="C3409" s="13"/>
      <c r="D3409" s="13"/>
      <c r="E3409" s="34"/>
      <c r="F3409" s="6"/>
      <c r="H3409" s="6"/>
      <c r="I3409" s="35"/>
      <c r="J3409" s="239"/>
      <c r="K3409" s="239"/>
      <c r="L3409" s="239"/>
      <c r="M3409" s="239"/>
      <c r="N3409" s="239"/>
      <c r="O3409" s="6"/>
      <c r="P3409" s="6"/>
      <c r="Q3409" s="6"/>
      <c r="R3409" s="6"/>
      <c r="S3409" s="6"/>
      <c r="T3409" s="6"/>
      <c r="U3409" s="6"/>
      <c r="V3409" s="6"/>
      <c r="W3409" s="6"/>
    </row>
    <row r="3410" ht="14.25" customHeight="1">
      <c r="A3410" s="6"/>
      <c r="B3410" s="59"/>
      <c r="C3410" s="13"/>
      <c r="D3410" s="13"/>
      <c r="E3410" s="34"/>
      <c r="F3410" s="6"/>
      <c r="H3410" s="6"/>
      <c r="I3410" s="35"/>
      <c r="J3410" s="239"/>
      <c r="K3410" s="239"/>
      <c r="L3410" s="239"/>
      <c r="M3410" s="239"/>
      <c r="N3410" s="239"/>
      <c r="O3410" s="6"/>
      <c r="P3410" s="6"/>
      <c r="Q3410" s="6"/>
      <c r="R3410" s="6"/>
      <c r="S3410" s="6"/>
      <c r="T3410" s="6"/>
      <c r="U3410" s="6"/>
      <c r="V3410" s="6"/>
      <c r="W3410" s="6"/>
    </row>
    <row r="3411" ht="14.25" customHeight="1">
      <c r="A3411" s="6"/>
      <c r="B3411" s="59"/>
      <c r="C3411" s="13"/>
      <c r="D3411" s="13"/>
      <c r="E3411" s="34"/>
      <c r="F3411" s="6"/>
      <c r="H3411" s="6"/>
      <c r="I3411" s="35"/>
      <c r="J3411" s="239"/>
      <c r="K3411" s="239"/>
      <c r="L3411" s="239"/>
      <c r="M3411" s="239"/>
      <c r="N3411" s="239"/>
      <c r="O3411" s="6"/>
      <c r="P3411" s="6"/>
      <c r="Q3411" s="6"/>
      <c r="R3411" s="6"/>
      <c r="S3411" s="6"/>
      <c r="T3411" s="6"/>
      <c r="U3411" s="6"/>
      <c r="V3411" s="6"/>
      <c r="W3411" s="6"/>
    </row>
    <row r="3412" ht="14.25" customHeight="1">
      <c r="A3412" s="6"/>
      <c r="B3412" s="59"/>
      <c r="C3412" s="13"/>
      <c r="D3412" s="13"/>
      <c r="E3412" s="34"/>
      <c r="F3412" s="6"/>
      <c r="H3412" s="6"/>
      <c r="I3412" s="35"/>
      <c r="J3412" s="239"/>
      <c r="K3412" s="239"/>
      <c r="L3412" s="239"/>
      <c r="M3412" s="239"/>
      <c r="N3412" s="239"/>
      <c r="O3412" s="6"/>
      <c r="P3412" s="6"/>
      <c r="Q3412" s="6"/>
      <c r="R3412" s="6"/>
      <c r="S3412" s="6"/>
      <c r="T3412" s="6"/>
      <c r="U3412" s="6"/>
      <c r="V3412" s="6"/>
      <c r="W3412" s="6"/>
    </row>
    <row r="3413" ht="14.25" customHeight="1">
      <c r="A3413" s="6"/>
      <c r="B3413" s="59"/>
      <c r="C3413" s="13"/>
      <c r="D3413" s="13"/>
      <c r="E3413" s="34"/>
      <c r="F3413" s="6"/>
      <c r="H3413" s="6"/>
      <c r="I3413" s="35"/>
      <c r="J3413" s="239"/>
      <c r="K3413" s="239"/>
      <c r="L3413" s="239"/>
      <c r="M3413" s="239"/>
      <c r="N3413" s="239"/>
      <c r="O3413" s="6"/>
      <c r="P3413" s="6"/>
      <c r="Q3413" s="6"/>
      <c r="R3413" s="6"/>
      <c r="S3413" s="6"/>
      <c r="T3413" s="6"/>
      <c r="U3413" s="6"/>
      <c r="V3413" s="6"/>
      <c r="W3413" s="6"/>
    </row>
    <row r="3414" ht="14.25" customHeight="1">
      <c r="A3414" s="6"/>
      <c r="B3414" s="59"/>
      <c r="C3414" s="13"/>
      <c r="D3414" s="13"/>
      <c r="E3414" s="34"/>
      <c r="F3414" s="6"/>
      <c r="H3414" s="6"/>
      <c r="I3414" s="35"/>
      <c r="J3414" s="239"/>
      <c r="K3414" s="239"/>
      <c r="L3414" s="239"/>
      <c r="M3414" s="239"/>
      <c r="N3414" s="239"/>
      <c r="O3414" s="6"/>
      <c r="P3414" s="6"/>
      <c r="Q3414" s="6"/>
      <c r="R3414" s="6"/>
      <c r="S3414" s="6"/>
      <c r="T3414" s="6"/>
      <c r="U3414" s="6"/>
      <c r="V3414" s="6"/>
      <c r="W3414" s="6"/>
    </row>
    <row r="3415" ht="14.25" customHeight="1">
      <c r="A3415" s="6"/>
      <c r="B3415" s="59"/>
      <c r="C3415" s="13"/>
      <c r="D3415" s="13"/>
      <c r="E3415" s="34"/>
      <c r="F3415" s="6"/>
      <c r="H3415" s="6"/>
      <c r="I3415" s="35"/>
      <c r="J3415" s="239"/>
      <c r="K3415" s="239"/>
      <c r="L3415" s="239"/>
      <c r="M3415" s="239"/>
      <c r="N3415" s="239"/>
      <c r="O3415" s="6"/>
      <c r="P3415" s="6"/>
      <c r="Q3415" s="6"/>
      <c r="R3415" s="6"/>
      <c r="S3415" s="6"/>
      <c r="T3415" s="6"/>
      <c r="U3415" s="6"/>
      <c r="V3415" s="6"/>
      <c r="W3415" s="6"/>
    </row>
    <row r="3416" ht="14.25" customHeight="1">
      <c r="A3416" s="6"/>
      <c r="B3416" s="59"/>
      <c r="C3416" s="13"/>
      <c r="D3416" s="13"/>
      <c r="E3416" s="34"/>
      <c r="F3416" s="6"/>
      <c r="H3416" s="6"/>
      <c r="I3416" s="35"/>
      <c r="J3416" s="239"/>
      <c r="K3416" s="239"/>
      <c r="L3416" s="239"/>
      <c r="M3416" s="239"/>
      <c r="N3416" s="239"/>
      <c r="O3416" s="6"/>
      <c r="P3416" s="6"/>
      <c r="Q3416" s="6"/>
      <c r="R3416" s="6"/>
      <c r="S3416" s="6"/>
      <c r="T3416" s="6"/>
      <c r="U3416" s="6"/>
      <c r="V3416" s="6"/>
      <c r="W3416" s="6"/>
    </row>
    <row r="3417" ht="14.25" customHeight="1">
      <c r="A3417" s="6"/>
      <c r="B3417" s="59"/>
      <c r="C3417" s="13"/>
      <c r="D3417" s="13"/>
      <c r="E3417" s="34"/>
      <c r="F3417" s="6"/>
      <c r="H3417" s="6"/>
      <c r="I3417" s="35"/>
      <c r="J3417" s="239"/>
      <c r="K3417" s="239"/>
      <c r="L3417" s="239"/>
      <c r="M3417" s="239"/>
      <c r="N3417" s="239"/>
      <c r="O3417" s="6"/>
      <c r="P3417" s="6"/>
      <c r="Q3417" s="6"/>
      <c r="R3417" s="6"/>
      <c r="S3417" s="6"/>
      <c r="T3417" s="6"/>
      <c r="U3417" s="6"/>
      <c r="V3417" s="6"/>
      <c r="W3417" s="6"/>
    </row>
    <row r="3418" ht="14.25" customHeight="1">
      <c r="A3418" s="6"/>
      <c r="B3418" s="59"/>
      <c r="C3418" s="13"/>
      <c r="D3418" s="13"/>
      <c r="E3418" s="34"/>
      <c r="F3418" s="6"/>
      <c r="H3418" s="6"/>
      <c r="I3418" s="35"/>
      <c r="J3418" s="239"/>
      <c r="K3418" s="239"/>
      <c r="L3418" s="239"/>
      <c r="M3418" s="239"/>
      <c r="N3418" s="239"/>
      <c r="O3418" s="6"/>
      <c r="P3418" s="6"/>
      <c r="Q3418" s="6"/>
      <c r="R3418" s="6"/>
      <c r="S3418" s="6"/>
      <c r="T3418" s="6"/>
      <c r="U3418" s="6"/>
      <c r="V3418" s="6"/>
      <c r="W3418" s="6"/>
    </row>
    <row r="3419" ht="14.25" customHeight="1">
      <c r="A3419" s="6"/>
      <c r="B3419" s="59"/>
      <c r="C3419" s="13"/>
      <c r="D3419" s="13"/>
      <c r="E3419" s="34"/>
      <c r="F3419" s="6"/>
      <c r="H3419" s="6"/>
      <c r="I3419" s="35"/>
      <c r="J3419" s="239"/>
      <c r="K3419" s="239"/>
      <c r="L3419" s="239"/>
      <c r="M3419" s="239"/>
      <c r="N3419" s="239"/>
      <c r="O3419" s="6"/>
      <c r="P3419" s="6"/>
      <c r="Q3419" s="6"/>
      <c r="R3419" s="6"/>
      <c r="S3419" s="6"/>
      <c r="T3419" s="6"/>
      <c r="U3419" s="6"/>
      <c r="V3419" s="6"/>
      <c r="W3419" s="6"/>
    </row>
    <row r="3420" ht="14.25" customHeight="1">
      <c r="A3420" s="6"/>
      <c r="B3420" s="59"/>
      <c r="C3420" s="13"/>
      <c r="D3420" s="13"/>
      <c r="E3420" s="34"/>
      <c r="F3420" s="6"/>
      <c r="H3420" s="6"/>
      <c r="I3420" s="35"/>
      <c r="J3420" s="239"/>
      <c r="K3420" s="239"/>
      <c r="L3420" s="239"/>
      <c r="M3420" s="239"/>
      <c r="N3420" s="239"/>
      <c r="O3420" s="6"/>
      <c r="P3420" s="6"/>
      <c r="Q3420" s="6"/>
      <c r="R3420" s="6"/>
      <c r="S3420" s="6"/>
      <c r="T3420" s="6"/>
      <c r="U3420" s="6"/>
      <c r="V3420" s="6"/>
      <c r="W3420" s="6"/>
    </row>
    <row r="3421" ht="14.25" customHeight="1">
      <c r="A3421" s="6"/>
      <c r="B3421" s="59"/>
      <c r="C3421" s="13"/>
      <c r="D3421" s="13"/>
      <c r="E3421" s="34"/>
      <c r="F3421" s="6"/>
      <c r="H3421" s="6"/>
      <c r="I3421" s="35"/>
      <c r="J3421" s="239"/>
      <c r="K3421" s="239"/>
      <c r="L3421" s="239"/>
      <c r="M3421" s="239"/>
      <c r="N3421" s="239"/>
      <c r="O3421" s="6"/>
      <c r="P3421" s="6"/>
      <c r="Q3421" s="6"/>
      <c r="R3421" s="6"/>
      <c r="S3421" s="6"/>
      <c r="T3421" s="6"/>
      <c r="U3421" s="6"/>
      <c r="V3421" s="6"/>
      <c r="W3421" s="6"/>
    </row>
    <row r="3422" ht="14.25" customHeight="1">
      <c r="A3422" s="6"/>
      <c r="B3422" s="59"/>
      <c r="C3422" s="13"/>
      <c r="D3422" s="13"/>
      <c r="E3422" s="34"/>
      <c r="F3422" s="6"/>
      <c r="H3422" s="6"/>
      <c r="I3422" s="35"/>
      <c r="J3422" s="239"/>
      <c r="K3422" s="239"/>
      <c r="L3422" s="239"/>
      <c r="M3422" s="239"/>
      <c r="N3422" s="239"/>
      <c r="O3422" s="6"/>
      <c r="P3422" s="6"/>
      <c r="Q3422" s="6"/>
      <c r="R3422" s="6"/>
      <c r="S3422" s="6"/>
      <c r="T3422" s="6"/>
      <c r="U3422" s="6"/>
      <c r="V3422" s="6"/>
      <c r="W3422" s="6"/>
    </row>
    <row r="3423" ht="14.25" customHeight="1">
      <c r="A3423" s="6"/>
      <c r="B3423" s="59"/>
      <c r="C3423" s="13"/>
      <c r="D3423" s="13"/>
      <c r="E3423" s="34"/>
      <c r="F3423" s="6"/>
      <c r="H3423" s="6"/>
      <c r="I3423" s="35"/>
      <c r="J3423" s="239"/>
      <c r="K3423" s="239"/>
      <c r="L3423" s="239"/>
      <c r="M3423" s="239"/>
      <c r="N3423" s="239"/>
      <c r="O3423" s="6"/>
      <c r="P3423" s="6"/>
      <c r="Q3423" s="6"/>
      <c r="R3423" s="6"/>
      <c r="S3423" s="6"/>
      <c r="T3423" s="6"/>
      <c r="U3423" s="6"/>
      <c r="V3423" s="6"/>
      <c r="W3423" s="6"/>
    </row>
    <row r="3424" ht="14.25" customHeight="1">
      <c r="A3424" s="6"/>
      <c r="B3424" s="59"/>
      <c r="C3424" s="13"/>
      <c r="D3424" s="13"/>
      <c r="E3424" s="34"/>
      <c r="F3424" s="6"/>
      <c r="H3424" s="6"/>
      <c r="I3424" s="35"/>
      <c r="J3424" s="239"/>
      <c r="K3424" s="239"/>
      <c r="L3424" s="239"/>
      <c r="M3424" s="239"/>
      <c r="N3424" s="239"/>
      <c r="O3424" s="6"/>
      <c r="P3424" s="6"/>
      <c r="Q3424" s="6"/>
      <c r="R3424" s="6"/>
      <c r="S3424" s="6"/>
      <c r="T3424" s="6"/>
      <c r="U3424" s="6"/>
      <c r="V3424" s="6"/>
      <c r="W3424" s="6"/>
    </row>
    <row r="3425" ht="14.25" customHeight="1">
      <c r="A3425" s="6"/>
      <c r="B3425" s="59"/>
      <c r="C3425" s="13"/>
      <c r="D3425" s="13"/>
      <c r="E3425" s="34"/>
      <c r="F3425" s="6"/>
      <c r="H3425" s="6"/>
      <c r="I3425" s="35"/>
      <c r="J3425" s="239"/>
      <c r="K3425" s="239"/>
      <c r="L3425" s="239"/>
      <c r="M3425" s="239"/>
      <c r="N3425" s="239"/>
      <c r="O3425" s="6"/>
      <c r="P3425" s="6"/>
      <c r="Q3425" s="6"/>
      <c r="R3425" s="6"/>
      <c r="S3425" s="6"/>
      <c r="T3425" s="6"/>
      <c r="U3425" s="6"/>
      <c r="V3425" s="6"/>
      <c r="W3425" s="6"/>
    </row>
    <row r="3426" ht="14.25" customHeight="1">
      <c r="A3426" s="6"/>
      <c r="B3426" s="59"/>
      <c r="C3426" s="13"/>
      <c r="D3426" s="13"/>
      <c r="E3426" s="34"/>
      <c r="F3426" s="6"/>
      <c r="H3426" s="6"/>
      <c r="I3426" s="35"/>
      <c r="J3426" s="239"/>
      <c r="K3426" s="239"/>
      <c r="L3426" s="239"/>
      <c r="M3426" s="239"/>
      <c r="N3426" s="239"/>
      <c r="O3426" s="6"/>
      <c r="P3426" s="6"/>
      <c r="Q3426" s="6"/>
      <c r="R3426" s="6"/>
      <c r="S3426" s="6"/>
      <c r="T3426" s="6"/>
      <c r="U3426" s="6"/>
      <c r="V3426" s="6"/>
      <c r="W3426" s="6"/>
    </row>
    <row r="3427" ht="14.25" customHeight="1">
      <c r="A3427" s="6"/>
      <c r="B3427" s="59"/>
      <c r="C3427" s="13"/>
      <c r="D3427" s="13"/>
      <c r="E3427" s="34"/>
      <c r="F3427" s="6"/>
      <c r="H3427" s="6"/>
      <c r="I3427" s="35"/>
      <c r="J3427" s="239"/>
      <c r="K3427" s="239"/>
      <c r="L3427" s="239"/>
      <c r="M3427" s="239"/>
      <c r="N3427" s="239"/>
      <c r="O3427" s="6"/>
      <c r="P3427" s="6"/>
      <c r="Q3427" s="6"/>
      <c r="R3427" s="6"/>
      <c r="S3427" s="6"/>
      <c r="T3427" s="6"/>
      <c r="U3427" s="6"/>
      <c r="V3427" s="6"/>
      <c r="W3427" s="6"/>
    </row>
    <row r="3428" ht="14.25" customHeight="1">
      <c r="A3428" s="6"/>
      <c r="B3428" s="59"/>
      <c r="C3428" s="13"/>
      <c r="D3428" s="13"/>
      <c r="E3428" s="34"/>
      <c r="F3428" s="6"/>
      <c r="H3428" s="6"/>
      <c r="I3428" s="35"/>
      <c r="J3428" s="239"/>
      <c r="K3428" s="239"/>
      <c r="L3428" s="239"/>
      <c r="M3428" s="239"/>
      <c r="N3428" s="239"/>
      <c r="O3428" s="6"/>
      <c r="P3428" s="6"/>
      <c r="Q3428" s="6"/>
      <c r="R3428" s="6"/>
      <c r="S3428" s="6"/>
      <c r="T3428" s="6"/>
      <c r="U3428" s="6"/>
      <c r="V3428" s="6"/>
      <c r="W3428" s="6"/>
    </row>
    <row r="3429" ht="14.25" customHeight="1">
      <c r="A3429" s="6"/>
      <c r="B3429" s="59"/>
      <c r="C3429" s="13"/>
      <c r="D3429" s="13"/>
      <c r="E3429" s="34"/>
      <c r="F3429" s="6"/>
      <c r="H3429" s="6"/>
      <c r="I3429" s="35"/>
      <c r="J3429" s="239"/>
      <c r="K3429" s="239"/>
      <c r="L3429" s="239"/>
      <c r="M3429" s="239"/>
      <c r="N3429" s="239"/>
      <c r="O3429" s="6"/>
      <c r="P3429" s="6"/>
      <c r="Q3429" s="6"/>
      <c r="R3429" s="6"/>
      <c r="S3429" s="6"/>
      <c r="T3429" s="6"/>
      <c r="U3429" s="6"/>
      <c r="V3429" s="6"/>
      <c r="W3429" s="6"/>
    </row>
    <row r="3430" ht="14.25" customHeight="1">
      <c r="A3430" s="6"/>
      <c r="B3430" s="59"/>
      <c r="C3430" s="13"/>
      <c r="D3430" s="13"/>
      <c r="E3430" s="34"/>
      <c r="F3430" s="6"/>
      <c r="H3430" s="6"/>
      <c r="I3430" s="35"/>
      <c r="J3430" s="239"/>
      <c r="K3430" s="239"/>
      <c r="L3430" s="239"/>
      <c r="M3430" s="239"/>
      <c r="N3430" s="239"/>
      <c r="O3430" s="6"/>
      <c r="P3430" s="6"/>
      <c r="Q3430" s="6"/>
      <c r="R3430" s="6"/>
      <c r="S3430" s="6"/>
      <c r="T3430" s="6"/>
      <c r="U3430" s="6"/>
      <c r="V3430" s="6"/>
      <c r="W3430" s="6"/>
    </row>
    <row r="3431" ht="14.25" customHeight="1">
      <c r="A3431" s="6"/>
      <c r="B3431" s="59"/>
      <c r="C3431" s="13"/>
      <c r="D3431" s="13"/>
      <c r="E3431" s="34"/>
      <c r="F3431" s="6"/>
      <c r="H3431" s="6"/>
      <c r="I3431" s="35"/>
      <c r="J3431" s="239"/>
      <c r="K3431" s="239"/>
      <c r="L3431" s="239"/>
      <c r="M3431" s="239"/>
      <c r="N3431" s="239"/>
      <c r="O3431" s="6"/>
      <c r="P3431" s="6"/>
      <c r="Q3431" s="6"/>
      <c r="R3431" s="6"/>
      <c r="S3431" s="6"/>
      <c r="T3431" s="6"/>
      <c r="U3431" s="6"/>
      <c r="V3431" s="6"/>
      <c r="W3431" s="6"/>
    </row>
    <row r="3432" ht="14.25" customHeight="1">
      <c r="A3432" s="6"/>
      <c r="B3432" s="59"/>
      <c r="C3432" s="13"/>
      <c r="D3432" s="13"/>
      <c r="E3432" s="34"/>
      <c r="F3432" s="6"/>
      <c r="H3432" s="6"/>
      <c r="I3432" s="35"/>
      <c r="J3432" s="239"/>
      <c r="K3432" s="239"/>
      <c r="L3432" s="239"/>
      <c r="M3432" s="239"/>
      <c r="N3432" s="239"/>
      <c r="O3432" s="6"/>
      <c r="P3432" s="6"/>
      <c r="Q3432" s="6"/>
      <c r="R3432" s="6"/>
      <c r="S3432" s="6"/>
      <c r="T3432" s="6"/>
      <c r="U3432" s="6"/>
      <c r="V3432" s="6"/>
      <c r="W3432" s="6"/>
    </row>
    <row r="3433" ht="14.25" customHeight="1">
      <c r="A3433" s="6"/>
      <c r="B3433" s="59"/>
      <c r="C3433" s="13"/>
      <c r="D3433" s="13"/>
      <c r="E3433" s="34"/>
      <c r="F3433" s="6"/>
      <c r="H3433" s="6"/>
      <c r="I3433" s="35"/>
      <c r="J3433" s="239"/>
      <c r="K3433" s="239"/>
      <c r="L3433" s="239"/>
      <c r="M3433" s="239"/>
      <c r="N3433" s="239"/>
      <c r="O3433" s="6"/>
      <c r="P3433" s="6"/>
      <c r="Q3433" s="6"/>
      <c r="R3433" s="6"/>
      <c r="S3433" s="6"/>
      <c r="T3433" s="6"/>
      <c r="U3433" s="6"/>
      <c r="V3433" s="6"/>
      <c r="W3433" s="6"/>
    </row>
    <row r="3434" ht="14.25" customHeight="1">
      <c r="A3434" s="6"/>
      <c r="B3434" s="59"/>
      <c r="C3434" s="13"/>
      <c r="D3434" s="13"/>
      <c r="E3434" s="34"/>
      <c r="F3434" s="6"/>
      <c r="H3434" s="6"/>
      <c r="I3434" s="35"/>
      <c r="J3434" s="239"/>
      <c r="K3434" s="239"/>
      <c r="L3434" s="239"/>
      <c r="M3434" s="239"/>
      <c r="N3434" s="239"/>
      <c r="O3434" s="6"/>
      <c r="P3434" s="6"/>
      <c r="Q3434" s="6"/>
      <c r="R3434" s="6"/>
      <c r="S3434" s="6"/>
      <c r="T3434" s="6"/>
      <c r="U3434" s="6"/>
      <c r="V3434" s="6"/>
      <c r="W3434" s="6"/>
    </row>
    <row r="3435" ht="14.25" customHeight="1">
      <c r="A3435" s="6"/>
      <c r="B3435" s="59"/>
      <c r="C3435" s="13"/>
      <c r="D3435" s="13"/>
      <c r="E3435" s="34"/>
      <c r="F3435" s="6"/>
      <c r="H3435" s="6"/>
      <c r="I3435" s="35"/>
      <c r="J3435" s="239"/>
      <c r="K3435" s="239"/>
      <c r="L3435" s="239"/>
      <c r="M3435" s="239"/>
      <c r="N3435" s="239"/>
      <c r="O3435" s="6"/>
      <c r="P3435" s="6"/>
      <c r="Q3435" s="6"/>
      <c r="R3435" s="6"/>
      <c r="S3435" s="6"/>
      <c r="T3435" s="6"/>
      <c r="U3435" s="6"/>
      <c r="V3435" s="6"/>
      <c r="W3435" s="6"/>
    </row>
    <row r="3436" ht="14.25" customHeight="1">
      <c r="A3436" s="6"/>
      <c r="B3436" s="59"/>
      <c r="C3436" s="13"/>
      <c r="D3436" s="13"/>
      <c r="E3436" s="34"/>
      <c r="F3436" s="6"/>
      <c r="H3436" s="6"/>
      <c r="I3436" s="35"/>
      <c r="J3436" s="239"/>
      <c r="K3436" s="239"/>
      <c r="L3436" s="239"/>
      <c r="M3436" s="239"/>
      <c r="N3436" s="239"/>
      <c r="O3436" s="6"/>
      <c r="P3436" s="6"/>
      <c r="Q3436" s="6"/>
      <c r="R3436" s="6"/>
      <c r="S3436" s="6"/>
      <c r="T3436" s="6"/>
      <c r="U3436" s="6"/>
      <c r="V3436" s="6"/>
      <c r="W3436" s="6"/>
    </row>
    <row r="3437" ht="14.25" customHeight="1">
      <c r="A3437" s="6"/>
      <c r="B3437" s="59"/>
      <c r="C3437" s="13"/>
      <c r="D3437" s="13"/>
      <c r="E3437" s="34"/>
      <c r="F3437" s="6"/>
      <c r="H3437" s="6"/>
      <c r="I3437" s="35"/>
      <c r="J3437" s="239"/>
      <c r="K3437" s="239"/>
      <c r="L3437" s="239"/>
      <c r="M3437" s="239"/>
      <c r="N3437" s="239"/>
      <c r="O3437" s="6"/>
      <c r="P3437" s="6"/>
      <c r="Q3437" s="6"/>
      <c r="R3437" s="6"/>
      <c r="S3437" s="6"/>
      <c r="T3437" s="6"/>
      <c r="U3437" s="6"/>
      <c r="V3437" s="6"/>
      <c r="W3437" s="6"/>
    </row>
    <row r="3438" ht="14.25" customHeight="1">
      <c r="A3438" s="6"/>
      <c r="B3438" s="59"/>
      <c r="C3438" s="13"/>
      <c r="D3438" s="13"/>
      <c r="E3438" s="34"/>
      <c r="F3438" s="6"/>
      <c r="H3438" s="6"/>
      <c r="I3438" s="35"/>
      <c r="J3438" s="239"/>
      <c r="K3438" s="239"/>
      <c r="L3438" s="239"/>
      <c r="M3438" s="239"/>
      <c r="N3438" s="239"/>
      <c r="O3438" s="6"/>
      <c r="P3438" s="6"/>
      <c r="Q3438" s="6"/>
      <c r="R3438" s="6"/>
      <c r="S3438" s="6"/>
      <c r="T3438" s="6"/>
      <c r="U3438" s="6"/>
      <c r="V3438" s="6"/>
      <c r="W3438" s="6"/>
    </row>
    <row r="3439" ht="14.25" customHeight="1">
      <c r="A3439" s="6"/>
      <c r="B3439" s="59"/>
      <c r="C3439" s="13"/>
      <c r="D3439" s="13"/>
      <c r="E3439" s="34"/>
      <c r="F3439" s="6"/>
      <c r="H3439" s="6"/>
      <c r="I3439" s="35"/>
      <c r="J3439" s="239"/>
      <c r="K3439" s="239"/>
      <c r="L3439" s="239"/>
      <c r="M3439" s="239"/>
      <c r="N3439" s="239"/>
      <c r="O3439" s="6"/>
      <c r="P3439" s="6"/>
      <c r="Q3439" s="6"/>
      <c r="R3439" s="6"/>
      <c r="S3439" s="6"/>
      <c r="T3439" s="6"/>
      <c r="U3439" s="6"/>
      <c r="V3439" s="6"/>
      <c r="W3439" s="6"/>
    </row>
    <row r="3440" ht="14.25" customHeight="1">
      <c r="A3440" s="6"/>
      <c r="B3440" s="59"/>
      <c r="C3440" s="13"/>
      <c r="D3440" s="13"/>
      <c r="E3440" s="34"/>
      <c r="F3440" s="6"/>
      <c r="H3440" s="6"/>
      <c r="I3440" s="35"/>
      <c r="J3440" s="239"/>
      <c r="K3440" s="239"/>
      <c r="L3440" s="239"/>
      <c r="M3440" s="239"/>
      <c r="N3440" s="239"/>
      <c r="O3440" s="6"/>
      <c r="P3440" s="6"/>
      <c r="Q3440" s="6"/>
      <c r="R3440" s="6"/>
      <c r="S3440" s="6"/>
      <c r="T3440" s="6"/>
      <c r="U3440" s="6"/>
      <c r="V3440" s="6"/>
      <c r="W3440" s="6"/>
    </row>
    <row r="3441" ht="14.25" customHeight="1">
      <c r="A3441" s="6"/>
      <c r="B3441" s="59"/>
      <c r="C3441" s="13"/>
      <c r="D3441" s="13"/>
      <c r="E3441" s="34"/>
      <c r="F3441" s="6"/>
      <c r="H3441" s="6"/>
      <c r="I3441" s="35"/>
      <c r="J3441" s="239"/>
      <c r="K3441" s="239"/>
      <c r="L3441" s="239"/>
      <c r="M3441" s="239"/>
      <c r="N3441" s="239"/>
      <c r="O3441" s="6"/>
      <c r="P3441" s="6"/>
      <c r="Q3441" s="6"/>
      <c r="R3441" s="6"/>
      <c r="S3441" s="6"/>
      <c r="T3441" s="6"/>
      <c r="U3441" s="6"/>
      <c r="V3441" s="6"/>
      <c r="W3441" s="6"/>
    </row>
    <row r="3442" ht="14.25" customHeight="1">
      <c r="A3442" s="6"/>
      <c r="B3442" s="59"/>
      <c r="C3442" s="13"/>
      <c r="D3442" s="13"/>
      <c r="E3442" s="34"/>
      <c r="F3442" s="6"/>
      <c r="H3442" s="6"/>
      <c r="I3442" s="35"/>
      <c r="J3442" s="239"/>
      <c r="K3442" s="239"/>
      <c r="L3442" s="239"/>
      <c r="M3442" s="239"/>
      <c r="N3442" s="239"/>
      <c r="O3442" s="6"/>
      <c r="P3442" s="6"/>
      <c r="Q3442" s="6"/>
      <c r="R3442" s="6"/>
      <c r="S3442" s="6"/>
      <c r="T3442" s="6"/>
      <c r="U3442" s="6"/>
      <c r="V3442" s="6"/>
      <c r="W3442" s="6"/>
    </row>
    <row r="3443" ht="14.25" customHeight="1">
      <c r="A3443" s="6"/>
      <c r="B3443" s="59"/>
      <c r="C3443" s="13"/>
      <c r="D3443" s="13"/>
      <c r="E3443" s="34"/>
      <c r="F3443" s="6"/>
      <c r="H3443" s="6"/>
      <c r="I3443" s="35"/>
      <c r="J3443" s="239"/>
      <c r="K3443" s="239"/>
      <c r="L3443" s="239"/>
      <c r="M3443" s="239"/>
      <c r="N3443" s="239"/>
      <c r="O3443" s="6"/>
      <c r="P3443" s="6"/>
      <c r="Q3443" s="6"/>
      <c r="R3443" s="6"/>
      <c r="S3443" s="6"/>
      <c r="T3443" s="6"/>
      <c r="U3443" s="6"/>
      <c r="V3443" s="6"/>
      <c r="W3443" s="6"/>
    </row>
    <row r="3444" ht="14.25" customHeight="1">
      <c r="A3444" s="6"/>
      <c r="B3444" s="59"/>
      <c r="C3444" s="13"/>
      <c r="D3444" s="13"/>
      <c r="E3444" s="34"/>
      <c r="F3444" s="6"/>
      <c r="H3444" s="6"/>
      <c r="I3444" s="35"/>
      <c r="J3444" s="239"/>
      <c r="K3444" s="239"/>
      <c r="L3444" s="239"/>
      <c r="M3444" s="239"/>
      <c r="N3444" s="239"/>
      <c r="O3444" s="6"/>
      <c r="P3444" s="6"/>
      <c r="Q3444" s="6"/>
      <c r="R3444" s="6"/>
      <c r="S3444" s="6"/>
      <c r="T3444" s="6"/>
      <c r="U3444" s="6"/>
      <c r="V3444" s="6"/>
      <c r="W3444" s="6"/>
    </row>
    <row r="3445" ht="14.25" customHeight="1">
      <c r="A3445" s="6"/>
      <c r="B3445" s="59"/>
      <c r="C3445" s="13"/>
      <c r="D3445" s="13"/>
      <c r="E3445" s="34"/>
      <c r="F3445" s="6"/>
      <c r="H3445" s="6"/>
      <c r="I3445" s="35"/>
      <c r="J3445" s="239"/>
      <c r="K3445" s="239"/>
      <c r="L3445" s="239"/>
      <c r="M3445" s="239"/>
      <c r="N3445" s="239"/>
      <c r="O3445" s="6"/>
      <c r="P3445" s="6"/>
      <c r="Q3445" s="6"/>
      <c r="R3445" s="6"/>
      <c r="S3445" s="6"/>
      <c r="T3445" s="6"/>
      <c r="U3445" s="6"/>
      <c r="V3445" s="6"/>
      <c r="W3445" s="6"/>
    </row>
    <row r="3446" ht="14.25" customHeight="1">
      <c r="A3446" s="6"/>
      <c r="B3446" s="59"/>
      <c r="C3446" s="13"/>
      <c r="D3446" s="13"/>
      <c r="E3446" s="34"/>
      <c r="F3446" s="6"/>
      <c r="H3446" s="6"/>
      <c r="I3446" s="35"/>
      <c r="J3446" s="239"/>
      <c r="K3446" s="239"/>
      <c r="L3446" s="239"/>
      <c r="M3446" s="239"/>
      <c r="N3446" s="239"/>
      <c r="O3446" s="6"/>
      <c r="P3446" s="6"/>
      <c r="Q3446" s="6"/>
      <c r="R3446" s="6"/>
      <c r="S3446" s="6"/>
      <c r="T3446" s="6"/>
      <c r="U3446" s="6"/>
      <c r="V3446" s="6"/>
      <c r="W3446" s="6"/>
    </row>
    <row r="3447" ht="14.25" customHeight="1">
      <c r="A3447" s="6"/>
      <c r="B3447" s="59"/>
      <c r="C3447" s="13"/>
      <c r="D3447" s="13"/>
      <c r="E3447" s="34"/>
      <c r="F3447" s="6"/>
      <c r="H3447" s="6"/>
      <c r="I3447" s="35"/>
      <c r="J3447" s="239"/>
      <c r="K3447" s="239"/>
      <c r="L3447" s="239"/>
      <c r="M3447" s="239"/>
      <c r="N3447" s="239"/>
      <c r="O3447" s="6"/>
      <c r="P3447" s="6"/>
      <c r="Q3447" s="6"/>
      <c r="R3447" s="6"/>
      <c r="S3447" s="6"/>
      <c r="T3447" s="6"/>
      <c r="U3447" s="6"/>
      <c r="V3447" s="6"/>
      <c r="W3447" s="6"/>
    </row>
    <row r="3448" ht="14.25" customHeight="1">
      <c r="A3448" s="6"/>
      <c r="B3448" s="59"/>
      <c r="C3448" s="13"/>
      <c r="D3448" s="13"/>
      <c r="E3448" s="34"/>
      <c r="F3448" s="6"/>
      <c r="H3448" s="6"/>
      <c r="I3448" s="35"/>
      <c r="J3448" s="239"/>
      <c r="K3448" s="239"/>
      <c r="L3448" s="239"/>
      <c r="M3448" s="239"/>
      <c r="N3448" s="239"/>
      <c r="O3448" s="6"/>
      <c r="P3448" s="6"/>
      <c r="Q3448" s="6"/>
      <c r="R3448" s="6"/>
      <c r="S3448" s="6"/>
      <c r="T3448" s="6"/>
      <c r="U3448" s="6"/>
      <c r="V3448" s="6"/>
      <c r="W3448" s="6"/>
    </row>
    <row r="3449" ht="14.25" customHeight="1">
      <c r="A3449" s="6"/>
      <c r="B3449" s="59"/>
      <c r="C3449" s="13"/>
      <c r="D3449" s="13"/>
      <c r="E3449" s="34"/>
      <c r="F3449" s="6"/>
      <c r="H3449" s="6"/>
      <c r="I3449" s="35"/>
      <c r="J3449" s="239"/>
      <c r="K3449" s="239"/>
      <c r="L3449" s="239"/>
      <c r="M3449" s="239"/>
      <c r="N3449" s="239"/>
      <c r="O3449" s="6"/>
      <c r="P3449" s="6"/>
      <c r="Q3449" s="6"/>
      <c r="R3449" s="6"/>
      <c r="S3449" s="6"/>
      <c r="T3449" s="6"/>
      <c r="U3449" s="6"/>
      <c r="V3449" s="6"/>
      <c r="W3449" s="6"/>
    </row>
    <row r="3450" ht="14.25" customHeight="1">
      <c r="A3450" s="6"/>
      <c r="B3450" s="59"/>
      <c r="C3450" s="13"/>
      <c r="D3450" s="13"/>
      <c r="E3450" s="34"/>
      <c r="F3450" s="6"/>
      <c r="H3450" s="6"/>
      <c r="I3450" s="35"/>
      <c r="J3450" s="239"/>
      <c r="K3450" s="239"/>
      <c r="L3450" s="239"/>
      <c r="M3450" s="239"/>
      <c r="N3450" s="239"/>
      <c r="O3450" s="6"/>
      <c r="P3450" s="6"/>
      <c r="Q3450" s="6"/>
      <c r="R3450" s="6"/>
      <c r="S3450" s="6"/>
      <c r="T3450" s="6"/>
      <c r="U3450" s="6"/>
      <c r="V3450" s="6"/>
      <c r="W3450" s="6"/>
    </row>
    <row r="3451" ht="14.25" customHeight="1">
      <c r="A3451" s="6"/>
      <c r="B3451" s="59"/>
      <c r="C3451" s="13"/>
      <c r="D3451" s="13"/>
      <c r="E3451" s="34"/>
      <c r="F3451" s="6"/>
      <c r="H3451" s="6"/>
      <c r="I3451" s="35"/>
      <c r="J3451" s="239"/>
      <c r="K3451" s="239"/>
      <c r="L3451" s="239"/>
      <c r="M3451" s="239"/>
      <c r="N3451" s="239"/>
      <c r="O3451" s="6"/>
      <c r="P3451" s="6"/>
      <c r="Q3451" s="6"/>
      <c r="R3451" s="6"/>
      <c r="S3451" s="6"/>
      <c r="T3451" s="6"/>
      <c r="U3451" s="6"/>
      <c r="V3451" s="6"/>
      <c r="W3451" s="6"/>
    </row>
    <row r="3452" ht="14.25" customHeight="1">
      <c r="A3452" s="6"/>
      <c r="B3452" s="59"/>
      <c r="C3452" s="13"/>
      <c r="D3452" s="13"/>
      <c r="E3452" s="34"/>
      <c r="F3452" s="6"/>
      <c r="H3452" s="6"/>
      <c r="I3452" s="35"/>
      <c r="J3452" s="239"/>
      <c r="K3452" s="239"/>
      <c r="L3452" s="239"/>
      <c r="M3452" s="239"/>
      <c r="N3452" s="239"/>
      <c r="O3452" s="6"/>
      <c r="P3452" s="6"/>
      <c r="Q3452" s="6"/>
      <c r="R3452" s="6"/>
      <c r="S3452" s="6"/>
      <c r="T3452" s="6"/>
      <c r="U3452" s="6"/>
      <c r="V3452" s="6"/>
      <c r="W3452" s="6"/>
    </row>
    <row r="3453" ht="14.25" customHeight="1">
      <c r="A3453" s="6"/>
      <c r="B3453" s="59"/>
      <c r="C3453" s="13"/>
      <c r="D3453" s="13"/>
      <c r="E3453" s="34"/>
      <c r="F3453" s="6"/>
      <c r="H3453" s="6"/>
      <c r="I3453" s="35"/>
      <c r="J3453" s="239"/>
      <c r="K3453" s="239"/>
      <c r="L3453" s="239"/>
      <c r="M3453" s="239"/>
      <c r="N3453" s="239"/>
      <c r="O3453" s="6"/>
      <c r="P3453" s="6"/>
      <c r="Q3453" s="6"/>
      <c r="R3453" s="6"/>
      <c r="S3453" s="6"/>
      <c r="T3453" s="6"/>
      <c r="U3453" s="6"/>
      <c r="V3453" s="6"/>
      <c r="W3453" s="6"/>
    </row>
    <row r="3454" ht="14.25" customHeight="1">
      <c r="A3454" s="6"/>
      <c r="B3454" s="59"/>
      <c r="C3454" s="13"/>
      <c r="D3454" s="13"/>
      <c r="E3454" s="34"/>
      <c r="F3454" s="6"/>
      <c r="H3454" s="6"/>
      <c r="I3454" s="35"/>
      <c r="J3454" s="239"/>
      <c r="K3454" s="239"/>
      <c r="L3454" s="239"/>
      <c r="M3454" s="239"/>
      <c r="N3454" s="239"/>
      <c r="O3454" s="6"/>
      <c r="P3454" s="6"/>
      <c r="Q3454" s="6"/>
      <c r="R3454" s="6"/>
      <c r="S3454" s="6"/>
      <c r="T3454" s="6"/>
      <c r="U3454" s="6"/>
      <c r="V3454" s="6"/>
      <c r="W3454" s="6"/>
    </row>
    <row r="3455" ht="14.25" customHeight="1">
      <c r="A3455" s="6"/>
      <c r="B3455" s="59"/>
      <c r="C3455" s="13"/>
      <c r="D3455" s="13"/>
      <c r="E3455" s="34"/>
      <c r="F3455" s="6"/>
      <c r="H3455" s="6"/>
      <c r="I3455" s="35"/>
      <c r="J3455" s="239"/>
      <c r="K3455" s="239"/>
      <c r="L3455" s="239"/>
      <c r="M3455" s="239"/>
      <c r="N3455" s="239"/>
      <c r="O3455" s="6"/>
      <c r="P3455" s="6"/>
      <c r="Q3455" s="6"/>
      <c r="R3455" s="6"/>
      <c r="S3455" s="6"/>
      <c r="T3455" s="6"/>
      <c r="U3455" s="6"/>
      <c r="V3455" s="6"/>
      <c r="W3455" s="6"/>
    </row>
    <row r="3456" ht="14.25" customHeight="1">
      <c r="A3456" s="6"/>
      <c r="B3456" s="59"/>
      <c r="C3456" s="13"/>
      <c r="D3456" s="13"/>
      <c r="E3456" s="34"/>
      <c r="F3456" s="6"/>
      <c r="H3456" s="6"/>
      <c r="I3456" s="35"/>
      <c r="J3456" s="239"/>
      <c r="K3456" s="239"/>
      <c r="L3456" s="239"/>
      <c r="M3456" s="239"/>
      <c r="N3456" s="239"/>
      <c r="O3456" s="6"/>
      <c r="P3456" s="6"/>
      <c r="Q3456" s="6"/>
      <c r="R3456" s="6"/>
      <c r="S3456" s="6"/>
      <c r="T3456" s="6"/>
      <c r="U3456" s="6"/>
      <c r="V3456" s="6"/>
      <c r="W3456" s="6"/>
    </row>
    <row r="3457" ht="14.25" customHeight="1">
      <c r="A3457" s="6"/>
      <c r="B3457" s="59"/>
      <c r="C3457" s="13"/>
      <c r="D3457" s="13"/>
      <c r="E3457" s="34"/>
      <c r="F3457" s="6"/>
      <c r="H3457" s="6"/>
      <c r="I3457" s="35"/>
      <c r="J3457" s="239"/>
      <c r="K3457" s="239"/>
      <c r="L3457" s="239"/>
      <c r="M3457" s="239"/>
      <c r="N3457" s="239"/>
      <c r="O3457" s="6"/>
      <c r="P3457" s="6"/>
      <c r="Q3457" s="6"/>
      <c r="R3457" s="6"/>
      <c r="S3457" s="6"/>
      <c r="T3457" s="6"/>
      <c r="U3457" s="6"/>
      <c r="V3457" s="6"/>
      <c r="W3457" s="6"/>
    </row>
    <row r="3458" ht="14.25" customHeight="1">
      <c r="A3458" s="6"/>
      <c r="B3458" s="59"/>
      <c r="C3458" s="13"/>
      <c r="D3458" s="13"/>
      <c r="E3458" s="34"/>
      <c r="F3458" s="6"/>
      <c r="H3458" s="6"/>
      <c r="I3458" s="35"/>
      <c r="J3458" s="239"/>
      <c r="K3458" s="239"/>
      <c r="L3458" s="239"/>
      <c r="M3458" s="239"/>
      <c r="N3458" s="239"/>
      <c r="O3458" s="6"/>
      <c r="P3458" s="6"/>
      <c r="Q3458" s="6"/>
      <c r="R3458" s="6"/>
      <c r="S3458" s="6"/>
      <c r="T3458" s="6"/>
      <c r="U3458" s="6"/>
      <c r="V3458" s="6"/>
      <c r="W3458" s="6"/>
    </row>
    <row r="3459" ht="14.25" customHeight="1">
      <c r="A3459" s="6"/>
      <c r="B3459" s="59"/>
      <c r="C3459" s="13"/>
      <c r="D3459" s="13"/>
      <c r="E3459" s="34"/>
      <c r="F3459" s="6"/>
      <c r="H3459" s="6"/>
      <c r="I3459" s="35"/>
      <c r="J3459" s="239"/>
      <c r="K3459" s="239"/>
      <c r="L3459" s="239"/>
      <c r="M3459" s="239"/>
      <c r="N3459" s="239"/>
      <c r="O3459" s="6"/>
      <c r="P3459" s="6"/>
      <c r="Q3459" s="6"/>
      <c r="R3459" s="6"/>
      <c r="S3459" s="6"/>
      <c r="T3459" s="6"/>
      <c r="U3459" s="6"/>
      <c r="V3459" s="6"/>
      <c r="W3459" s="6"/>
    </row>
    <row r="3460" ht="14.25" customHeight="1">
      <c r="A3460" s="6"/>
      <c r="B3460" s="59"/>
      <c r="C3460" s="13"/>
      <c r="D3460" s="13"/>
      <c r="E3460" s="34"/>
      <c r="F3460" s="6"/>
      <c r="H3460" s="6"/>
      <c r="I3460" s="35"/>
      <c r="J3460" s="239"/>
      <c r="K3460" s="239"/>
      <c r="L3460" s="239"/>
      <c r="M3460" s="239"/>
      <c r="N3460" s="239"/>
      <c r="O3460" s="6"/>
      <c r="P3460" s="6"/>
      <c r="Q3460" s="6"/>
      <c r="R3460" s="6"/>
      <c r="S3460" s="6"/>
      <c r="T3460" s="6"/>
      <c r="U3460" s="6"/>
      <c r="V3460" s="6"/>
      <c r="W3460" s="6"/>
    </row>
    <row r="3461" ht="14.25" customHeight="1">
      <c r="A3461" s="6"/>
      <c r="B3461" s="59"/>
      <c r="C3461" s="13"/>
      <c r="D3461" s="13"/>
      <c r="E3461" s="34"/>
      <c r="F3461" s="6"/>
      <c r="H3461" s="6"/>
      <c r="I3461" s="35"/>
      <c r="J3461" s="239"/>
      <c r="K3461" s="239"/>
      <c r="L3461" s="239"/>
      <c r="M3461" s="239"/>
      <c r="N3461" s="239"/>
      <c r="O3461" s="6"/>
      <c r="P3461" s="6"/>
      <c r="Q3461" s="6"/>
      <c r="R3461" s="6"/>
      <c r="S3461" s="6"/>
      <c r="T3461" s="6"/>
      <c r="U3461" s="6"/>
      <c r="V3461" s="6"/>
      <c r="W3461" s="6"/>
    </row>
    <row r="3462" ht="14.25" customHeight="1">
      <c r="A3462" s="6"/>
      <c r="B3462" s="59"/>
      <c r="C3462" s="13"/>
      <c r="D3462" s="13"/>
      <c r="E3462" s="34"/>
      <c r="F3462" s="6"/>
      <c r="H3462" s="6"/>
      <c r="I3462" s="35"/>
      <c r="J3462" s="239"/>
      <c r="K3462" s="239"/>
      <c r="L3462" s="239"/>
      <c r="M3462" s="239"/>
      <c r="N3462" s="239"/>
      <c r="O3462" s="6"/>
      <c r="P3462" s="6"/>
      <c r="Q3462" s="6"/>
      <c r="R3462" s="6"/>
      <c r="S3462" s="6"/>
      <c r="T3462" s="6"/>
      <c r="U3462" s="6"/>
      <c r="V3462" s="6"/>
      <c r="W3462" s="6"/>
    </row>
    <row r="3463" ht="14.25" customHeight="1">
      <c r="A3463" s="6"/>
      <c r="B3463" s="59"/>
      <c r="C3463" s="13"/>
      <c r="D3463" s="13"/>
      <c r="E3463" s="34"/>
      <c r="F3463" s="6"/>
      <c r="H3463" s="6"/>
      <c r="I3463" s="35"/>
      <c r="J3463" s="239"/>
      <c r="K3463" s="239"/>
      <c r="L3463" s="239"/>
      <c r="M3463" s="239"/>
      <c r="N3463" s="239"/>
      <c r="O3463" s="6"/>
      <c r="P3463" s="6"/>
      <c r="Q3463" s="6"/>
      <c r="R3463" s="6"/>
      <c r="S3463" s="6"/>
      <c r="T3463" s="6"/>
      <c r="U3463" s="6"/>
      <c r="V3463" s="6"/>
      <c r="W3463" s="6"/>
    </row>
    <row r="3464" ht="14.25" customHeight="1">
      <c r="A3464" s="6"/>
      <c r="B3464" s="59"/>
      <c r="C3464" s="13"/>
      <c r="D3464" s="13"/>
      <c r="E3464" s="34"/>
      <c r="F3464" s="6"/>
      <c r="H3464" s="6"/>
      <c r="I3464" s="35"/>
      <c r="J3464" s="239"/>
      <c r="K3464" s="239"/>
      <c r="L3464" s="239"/>
      <c r="M3464" s="239"/>
      <c r="N3464" s="239"/>
      <c r="O3464" s="6"/>
      <c r="P3464" s="6"/>
      <c r="Q3464" s="6"/>
      <c r="R3464" s="6"/>
      <c r="S3464" s="6"/>
      <c r="T3464" s="6"/>
      <c r="U3464" s="6"/>
      <c r="V3464" s="6"/>
      <c r="W3464" s="6"/>
    </row>
    <row r="3465" ht="14.25" customHeight="1">
      <c r="A3465" s="6"/>
      <c r="B3465" s="59"/>
      <c r="C3465" s="13"/>
      <c r="D3465" s="13"/>
      <c r="E3465" s="34"/>
      <c r="F3465" s="6"/>
      <c r="H3465" s="6"/>
      <c r="I3465" s="35"/>
      <c r="J3465" s="239"/>
      <c r="K3465" s="239"/>
      <c r="L3465" s="239"/>
      <c r="M3465" s="239"/>
      <c r="N3465" s="239"/>
      <c r="O3465" s="6"/>
      <c r="P3465" s="6"/>
      <c r="Q3465" s="6"/>
      <c r="R3465" s="6"/>
      <c r="S3465" s="6"/>
      <c r="T3465" s="6"/>
      <c r="U3465" s="6"/>
      <c r="V3465" s="6"/>
      <c r="W3465" s="6"/>
    </row>
    <row r="3466" ht="14.25" customHeight="1">
      <c r="A3466" s="6"/>
      <c r="B3466" s="59"/>
      <c r="C3466" s="13"/>
      <c r="D3466" s="13"/>
      <c r="E3466" s="34"/>
      <c r="F3466" s="6"/>
      <c r="H3466" s="6"/>
      <c r="I3466" s="35"/>
      <c r="J3466" s="239"/>
      <c r="K3466" s="239"/>
      <c r="L3466" s="239"/>
      <c r="M3466" s="239"/>
      <c r="N3466" s="239"/>
      <c r="O3466" s="6"/>
      <c r="P3466" s="6"/>
      <c r="Q3466" s="6"/>
      <c r="R3466" s="6"/>
      <c r="S3466" s="6"/>
      <c r="T3466" s="6"/>
      <c r="U3466" s="6"/>
      <c r="V3466" s="6"/>
      <c r="W3466" s="6"/>
    </row>
    <row r="3467" ht="14.25" customHeight="1">
      <c r="A3467" s="6"/>
      <c r="B3467" s="59"/>
      <c r="C3467" s="13"/>
      <c r="D3467" s="13"/>
      <c r="E3467" s="34"/>
      <c r="F3467" s="6"/>
      <c r="H3467" s="6"/>
      <c r="I3467" s="35"/>
      <c r="J3467" s="239"/>
      <c r="K3467" s="239"/>
      <c r="L3467" s="239"/>
      <c r="M3467" s="239"/>
      <c r="N3467" s="239"/>
      <c r="O3467" s="6"/>
      <c r="P3467" s="6"/>
      <c r="Q3467" s="6"/>
      <c r="R3467" s="6"/>
      <c r="S3467" s="6"/>
      <c r="T3467" s="6"/>
      <c r="U3467" s="6"/>
      <c r="V3467" s="6"/>
      <c r="W3467" s="6"/>
    </row>
    <row r="3468" ht="14.25" customHeight="1">
      <c r="A3468" s="6"/>
      <c r="B3468" s="59"/>
      <c r="C3468" s="13"/>
      <c r="D3468" s="13"/>
      <c r="E3468" s="34"/>
      <c r="F3468" s="6"/>
      <c r="H3468" s="6"/>
      <c r="I3468" s="35"/>
      <c r="J3468" s="239"/>
      <c r="K3468" s="239"/>
      <c r="L3468" s="239"/>
      <c r="M3468" s="239"/>
      <c r="N3468" s="239"/>
      <c r="O3468" s="6"/>
      <c r="P3468" s="6"/>
      <c r="Q3468" s="6"/>
      <c r="R3468" s="6"/>
      <c r="S3468" s="6"/>
      <c r="T3468" s="6"/>
      <c r="U3468" s="6"/>
      <c r="V3468" s="6"/>
      <c r="W3468" s="6"/>
    </row>
    <row r="3469" ht="14.25" customHeight="1">
      <c r="A3469" s="6"/>
      <c r="B3469" s="59"/>
      <c r="C3469" s="13"/>
      <c r="D3469" s="13"/>
      <c r="E3469" s="34"/>
      <c r="F3469" s="6"/>
      <c r="H3469" s="6"/>
      <c r="I3469" s="35"/>
      <c r="J3469" s="239"/>
      <c r="K3469" s="239"/>
      <c r="L3469" s="239"/>
      <c r="M3469" s="239"/>
      <c r="N3469" s="239"/>
      <c r="O3469" s="6"/>
      <c r="P3469" s="6"/>
      <c r="Q3469" s="6"/>
      <c r="R3469" s="6"/>
      <c r="S3469" s="6"/>
      <c r="T3469" s="6"/>
      <c r="U3469" s="6"/>
      <c r="V3469" s="6"/>
      <c r="W3469" s="6"/>
    </row>
    <row r="3470" ht="14.25" customHeight="1">
      <c r="A3470" s="6"/>
      <c r="B3470" s="59"/>
      <c r="C3470" s="13"/>
      <c r="D3470" s="13"/>
      <c r="E3470" s="34"/>
      <c r="F3470" s="6"/>
      <c r="H3470" s="6"/>
      <c r="I3470" s="35"/>
      <c r="J3470" s="239"/>
      <c r="K3470" s="239"/>
      <c r="L3470" s="239"/>
      <c r="M3470" s="239"/>
      <c r="N3470" s="239"/>
      <c r="O3470" s="6"/>
      <c r="P3470" s="6"/>
      <c r="Q3470" s="6"/>
      <c r="R3470" s="6"/>
      <c r="S3470" s="6"/>
      <c r="T3470" s="6"/>
      <c r="U3470" s="6"/>
      <c r="V3470" s="6"/>
      <c r="W3470" s="6"/>
    </row>
    <row r="3471" ht="14.25" customHeight="1">
      <c r="A3471" s="6"/>
      <c r="B3471" s="59"/>
      <c r="C3471" s="13"/>
      <c r="D3471" s="13"/>
      <c r="E3471" s="34"/>
      <c r="F3471" s="6"/>
      <c r="H3471" s="6"/>
      <c r="I3471" s="35"/>
      <c r="J3471" s="239"/>
      <c r="K3471" s="239"/>
      <c r="L3471" s="239"/>
      <c r="M3471" s="239"/>
      <c r="N3471" s="239"/>
      <c r="O3471" s="6"/>
      <c r="P3471" s="6"/>
      <c r="Q3471" s="6"/>
      <c r="R3471" s="6"/>
      <c r="S3471" s="6"/>
      <c r="T3471" s="6"/>
      <c r="U3471" s="6"/>
      <c r="V3471" s="6"/>
      <c r="W3471" s="6"/>
    </row>
    <row r="3472" ht="14.25" customHeight="1">
      <c r="A3472" s="6"/>
      <c r="B3472" s="59"/>
      <c r="C3472" s="13"/>
      <c r="D3472" s="13"/>
      <c r="E3472" s="34"/>
      <c r="F3472" s="6"/>
      <c r="H3472" s="6"/>
      <c r="I3472" s="35"/>
      <c r="J3472" s="239"/>
      <c r="K3472" s="239"/>
      <c r="L3472" s="239"/>
      <c r="M3472" s="239"/>
      <c r="N3472" s="239"/>
      <c r="O3472" s="6"/>
      <c r="P3472" s="6"/>
      <c r="Q3472" s="6"/>
      <c r="R3472" s="6"/>
      <c r="S3472" s="6"/>
      <c r="T3472" s="6"/>
      <c r="U3472" s="6"/>
      <c r="V3472" s="6"/>
      <c r="W3472" s="6"/>
    </row>
    <row r="3473" ht="14.25" customHeight="1">
      <c r="A3473" s="6"/>
      <c r="B3473" s="59"/>
      <c r="C3473" s="13"/>
      <c r="D3473" s="13"/>
      <c r="E3473" s="34"/>
      <c r="F3473" s="6"/>
      <c r="H3473" s="6"/>
      <c r="I3473" s="35"/>
      <c r="J3473" s="239"/>
      <c r="K3473" s="239"/>
      <c r="L3473" s="239"/>
      <c r="M3473" s="239"/>
      <c r="N3473" s="239"/>
      <c r="O3473" s="6"/>
      <c r="P3473" s="6"/>
      <c r="Q3473" s="6"/>
      <c r="R3473" s="6"/>
      <c r="S3473" s="6"/>
      <c r="T3473" s="6"/>
      <c r="U3473" s="6"/>
      <c r="V3473" s="6"/>
      <c r="W3473" s="6"/>
    </row>
    <row r="3474" ht="14.25" customHeight="1">
      <c r="A3474" s="6"/>
      <c r="B3474" s="59"/>
      <c r="C3474" s="13"/>
      <c r="D3474" s="13"/>
      <c r="E3474" s="34"/>
      <c r="F3474" s="6"/>
      <c r="H3474" s="6"/>
      <c r="I3474" s="35"/>
      <c r="J3474" s="239"/>
      <c r="K3474" s="239"/>
      <c r="L3474" s="239"/>
      <c r="M3474" s="239"/>
      <c r="N3474" s="239"/>
      <c r="O3474" s="6"/>
      <c r="P3474" s="6"/>
      <c r="Q3474" s="6"/>
      <c r="R3474" s="6"/>
      <c r="S3474" s="6"/>
      <c r="T3474" s="6"/>
      <c r="U3474" s="6"/>
      <c r="V3474" s="6"/>
      <c r="W3474" s="6"/>
    </row>
    <row r="3475" ht="14.25" customHeight="1">
      <c r="A3475" s="6"/>
      <c r="B3475" s="59"/>
      <c r="C3475" s="13"/>
      <c r="D3475" s="13"/>
      <c r="E3475" s="34"/>
      <c r="F3475" s="6"/>
      <c r="H3475" s="6"/>
      <c r="I3475" s="35"/>
      <c r="J3475" s="239"/>
      <c r="K3475" s="239"/>
      <c r="L3475" s="239"/>
      <c r="M3475" s="239"/>
      <c r="N3475" s="239"/>
      <c r="O3475" s="6"/>
      <c r="P3475" s="6"/>
      <c r="Q3475" s="6"/>
      <c r="R3475" s="6"/>
      <c r="S3475" s="6"/>
      <c r="T3475" s="6"/>
      <c r="U3475" s="6"/>
      <c r="V3475" s="6"/>
      <c r="W3475" s="6"/>
    </row>
    <row r="3476" ht="14.25" customHeight="1">
      <c r="A3476" s="6"/>
      <c r="B3476" s="59"/>
      <c r="C3476" s="13"/>
      <c r="D3476" s="13"/>
      <c r="E3476" s="34"/>
      <c r="F3476" s="6"/>
      <c r="H3476" s="6"/>
      <c r="I3476" s="35"/>
      <c r="J3476" s="239"/>
      <c r="K3476" s="239"/>
      <c r="L3476" s="239"/>
      <c r="M3476" s="239"/>
      <c r="N3476" s="239"/>
      <c r="O3476" s="6"/>
      <c r="P3476" s="6"/>
      <c r="Q3476" s="6"/>
      <c r="R3476" s="6"/>
      <c r="S3476" s="6"/>
      <c r="T3476" s="6"/>
      <c r="U3476" s="6"/>
      <c r="V3476" s="6"/>
      <c r="W3476" s="6"/>
    </row>
    <row r="3477" ht="14.25" customHeight="1">
      <c r="A3477" s="6"/>
      <c r="B3477" s="59"/>
      <c r="C3477" s="13"/>
      <c r="D3477" s="13"/>
      <c r="E3477" s="34"/>
      <c r="F3477" s="6"/>
      <c r="H3477" s="6"/>
      <c r="I3477" s="35"/>
      <c r="J3477" s="239"/>
      <c r="K3477" s="239"/>
      <c r="L3477" s="239"/>
      <c r="M3477" s="239"/>
      <c r="N3477" s="239"/>
      <c r="O3477" s="6"/>
      <c r="P3477" s="6"/>
      <c r="Q3477" s="6"/>
      <c r="R3477" s="6"/>
      <c r="S3477" s="6"/>
      <c r="T3477" s="6"/>
      <c r="U3477" s="6"/>
      <c r="V3477" s="6"/>
      <c r="W3477" s="6"/>
    </row>
    <row r="3478" ht="14.25" customHeight="1">
      <c r="A3478" s="6"/>
      <c r="B3478" s="59"/>
      <c r="C3478" s="13"/>
      <c r="D3478" s="13"/>
      <c r="E3478" s="34"/>
      <c r="F3478" s="6"/>
      <c r="H3478" s="6"/>
      <c r="I3478" s="35"/>
      <c r="J3478" s="239"/>
      <c r="K3478" s="239"/>
      <c r="L3478" s="239"/>
      <c r="M3478" s="239"/>
      <c r="N3478" s="239"/>
      <c r="O3478" s="6"/>
      <c r="P3478" s="6"/>
      <c r="Q3478" s="6"/>
      <c r="R3478" s="6"/>
      <c r="S3478" s="6"/>
      <c r="T3478" s="6"/>
      <c r="U3478" s="6"/>
      <c r="V3478" s="6"/>
      <c r="W3478" s="6"/>
    </row>
    <row r="3479" ht="14.25" customHeight="1">
      <c r="A3479" s="6"/>
      <c r="B3479" s="59"/>
      <c r="C3479" s="13"/>
      <c r="D3479" s="13"/>
      <c r="E3479" s="34"/>
      <c r="F3479" s="6"/>
      <c r="H3479" s="6"/>
      <c r="I3479" s="35"/>
      <c r="J3479" s="239"/>
      <c r="K3479" s="239"/>
      <c r="L3479" s="239"/>
      <c r="M3479" s="239"/>
      <c r="N3479" s="239"/>
      <c r="O3479" s="6"/>
      <c r="P3479" s="6"/>
      <c r="Q3479" s="6"/>
      <c r="R3479" s="6"/>
      <c r="S3479" s="6"/>
      <c r="T3479" s="6"/>
      <c r="U3479" s="6"/>
      <c r="V3479" s="6"/>
      <c r="W3479" s="6"/>
    </row>
    <row r="3480" ht="14.25" customHeight="1">
      <c r="A3480" s="6"/>
      <c r="B3480" s="59"/>
      <c r="C3480" s="13"/>
      <c r="D3480" s="13"/>
      <c r="E3480" s="34"/>
      <c r="F3480" s="6"/>
      <c r="H3480" s="6"/>
      <c r="I3480" s="35"/>
      <c r="J3480" s="239"/>
      <c r="K3480" s="239"/>
      <c r="L3480" s="239"/>
      <c r="M3480" s="239"/>
      <c r="N3480" s="239"/>
      <c r="O3480" s="6"/>
      <c r="P3480" s="6"/>
      <c r="Q3480" s="6"/>
      <c r="R3480" s="6"/>
      <c r="S3480" s="6"/>
      <c r="T3480" s="6"/>
      <c r="U3480" s="6"/>
      <c r="V3480" s="6"/>
      <c r="W3480" s="6"/>
    </row>
    <row r="3481" ht="14.25" customHeight="1">
      <c r="A3481" s="6"/>
      <c r="B3481" s="59"/>
      <c r="C3481" s="13"/>
      <c r="D3481" s="13"/>
      <c r="E3481" s="34"/>
      <c r="F3481" s="6"/>
      <c r="H3481" s="6"/>
      <c r="I3481" s="35"/>
      <c r="J3481" s="239"/>
      <c r="K3481" s="239"/>
      <c r="L3481" s="239"/>
      <c r="M3481" s="239"/>
      <c r="N3481" s="239"/>
      <c r="O3481" s="6"/>
      <c r="P3481" s="6"/>
      <c r="Q3481" s="6"/>
      <c r="R3481" s="6"/>
      <c r="S3481" s="6"/>
      <c r="T3481" s="6"/>
      <c r="U3481" s="6"/>
      <c r="V3481" s="6"/>
      <c r="W3481" s="6"/>
    </row>
    <row r="3482" ht="14.25" customHeight="1">
      <c r="A3482" s="6"/>
      <c r="B3482" s="59"/>
      <c r="C3482" s="13"/>
      <c r="D3482" s="13"/>
      <c r="E3482" s="34"/>
      <c r="F3482" s="6"/>
      <c r="H3482" s="6"/>
      <c r="I3482" s="35"/>
      <c r="J3482" s="239"/>
      <c r="K3482" s="239"/>
      <c r="L3482" s="239"/>
      <c r="M3482" s="239"/>
      <c r="N3482" s="239"/>
      <c r="O3482" s="6"/>
      <c r="P3482" s="6"/>
      <c r="Q3482" s="6"/>
      <c r="R3482" s="6"/>
      <c r="S3482" s="6"/>
      <c r="T3482" s="6"/>
      <c r="U3482" s="6"/>
      <c r="V3482" s="6"/>
      <c r="W3482" s="6"/>
    </row>
    <row r="3483" ht="14.25" customHeight="1">
      <c r="A3483" s="6"/>
      <c r="B3483" s="59"/>
      <c r="C3483" s="13"/>
      <c r="D3483" s="13"/>
      <c r="E3483" s="34"/>
      <c r="F3483" s="6"/>
      <c r="H3483" s="6"/>
      <c r="I3483" s="35"/>
      <c r="J3483" s="239"/>
      <c r="K3483" s="239"/>
      <c r="L3483" s="239"/>
      <c r="M3483" s="239"/>
      <c r="N3483" s="239"/>
      <c r="O3483" s="6"/>
      <c r="P3483" s="6"/>
      <c r="Q3483" s="6"/>
      <c r="R3483" s="6"/>
      <c r="S3483" s="6"/>
      <c r="T3483" s="6"/>
      <c r="U3483" s="6"/>
      <c r="V3483" s="6"/>
      <c r="W3483" s="6"/>
    </row>
    <row r="3484" ht="14.25" customHeight="1">
      <c r="A3484" s="6"/>
      <c r="B3484" s="59"/>
      <c r="C3484" s="13"/>
      <c r="D3484" s="13"/>
      <c r="E3484" s="34"/>
      <c r="F3484" s="6"/>
      <c r="H3484" s="6"/>
      <c r="I3484" s="35"/>
      <c r="J3484" s="239"/>
      <c r="K3484" s="239"/>
      <c r="L3484" s="239"/>
      <c r="M3484" s="239"/>
      <c r="N3484" s="239"/>
      <c r="O3484" s="6"/>
      <c r="P3484" s="6"/>
      <c r="Q3484" s="6"/>
      <c r="R3484" s="6"/>
      <c r="S3484" s="6"/>
      <c r="T3484" s="6"/>
      <c r="U3484" s="6"/>
      <c r="V3484" s="6"/>
      <c r="W3484" s="6"/>
    </row>
    <row r="3485" ht="14.25" customHeight="1">
      <c r="A3485" s="6"/>
      <c r="B3485" s="59"/>
      <c r="C3485" s="13"/>
      <c r="D3485" s="13"/>
      <c r="E3485" s="34"/>
      <c r="F3485" s="6"/>
      <c r="H3485" s="6"/>
      <c r="I3485" s="35"/>
      <c r="J3485" s="239"/>
      <c r="K3485" s="239"/>
      <c r="L3485" s="239"/>
      <c r="M3485" s="239"/>
      <c r="N3485" s="239"/>
      <c r="O3485" s="6"/>
      <c r="P3485" s="6"/>
      <c r="Q3485" s="6"/>
      <c r="R3485" s="6"/>
      <c r="S3485" s="6"/>
      <c r="T3485" s="6"/>
      <c r="U3485" s="6"/>
      <c r="V3485" s="6"/>
      <c r="W3485" s="6"/>
    </row>
    <row r="3486" ht="14.25" customHeight="1">
      <c r="A3486" s="6"/>
      <c r="B3486" s="59"/>
      <c r="C3486" s="13"/>
      <c r="D3486" s="13"/>
      <c r="E3486" s="34"/>
      <c r="F3486" s="6"/>
      <c r="H3486" s="6"/>
      <c r="I3486" s="35"/>
      <c r="J3486" s="239"/>
      <c r="K3486" s="239"/>
      <c r="L3486" s="239"/>
      <c r="M3486" s="239"/>
      <c r="N3486" s="239"/>
      <c r="O3486" s="6"/>
      <c r="P3486" s="6"/>
      <c r="Q3486" s="6"/>
      <c r="R3486" s="6"/>
      <c r="S3486" s="6"/>
      <c r="T3486" s="6"/>
      <c r="U3486" s="6"/>
      <c r="V3486" s="6"/>
      <c r="W3486" s="6"/>
    </row>
    <row r="3487" ht="14.25" customHeight="1">
      <c r="A3487" s="6"/>
      <c r="B3487" s="59"/>
      <c r="C3487" s="13"/>
      <c r="D3487" s="13"/>
      <c r="E3487" s="34"/>
      <c r="F3487" s="6"/>
      <c r="H3487" s="6"/>
      <c r="I3487" s="35"/>
      <c r="J3487" s="239"/>
      <c r="K3487" s="239"/>
      <c r="L3487" s="239"/>
      <c r="M3487" s="239"/>
      <c r="N3487" s="239"/>
      <c r="O3487" s="6"/>
      <c r="P3487" s="6"/>
      <c r="Q3487" s="6"/>
      <c r="R3487" s="6"/>
      <c r="S3487" s="6"/>
      <c r="T3487" s="6"/>
      <c r="U3487" s="6"/>
      <c r="V3487" s="6"/>
      <c r="W3487" s="6"/>
    </row>
    <row r="3488" ht="14.25" customHeight="1">
      <c r="A3488" s="6"/>
      <c r="B3488" s="59"/>
      <c r="C3488" s="13"/>
      <c r="D3488" s="13"/>
      <c r="E3488" s="34"/>
      <c r="F3488" s="6"/>
      <c r="H3488" s="6"/>
      <c r="I3488" s="35"/>
      <c r="J3488" s="239"/>
      <c r="K3488" s="239"/>
      <c r="L3488" s="239"/>
      <c r="M3488" s="239"/>
      <c r="N3488" s="239"/>
      <c r="O3488" s="6"/>
      <c r="P3488" s="6"/>
      <c r="Q3488" s="6"/>
      <c r="R3488" s="6"/>
      <c r="S3488" s="6"/>
      <c r="T3488" s="6"/>
      <c r="U3488" s="6"/>
      <c r="V3488" s="6"/>
      <c r="W3488" s="6"/>
    </row>
    <row r="3489" ht="14.25" customHeight="1">
      <c r="A3489" s="6"/>
      <c r="B3489" s="59"/>
      <c r="C3489" s="13"/>
      <c r="D3489" s="13"/>
      <c r="E3489" s="34"/>
      <c r="F3489" s="6"/>
      <c r="H3489" s="6"/>
      <c r="I3489" s="35"/>
      <c r="J3489" s="239"/>
      <c r="K3489" s="239"/>
      <c r="L3489" s="239"/>
      <c r="M3489" s="239"/>
      <c r="N3489" s="239"/>
      <c r="O3489" s="6"/>
      <c r="P3489" s="6"/>
      <c r="Q3489" s="6"/>
      <c r="R3489" s="6"/>
      <c r="S3489" s="6"/>
      <c r="T3489" s="6"/>
      <c r="U3489" s="6"/>
      <c r="V3489" s="6"/>
      <c r="W3489" s="6"/>
    </row>
    <row r="3490" ht="14.25" customHeight="1">
      <c r="A3490" s="6"/>
      <c r="B3490" s="59"/>
      <c r="C3490" s="13"/>
      <c r="D3490" s="13"/>
      <c r="E3490" s="34"/>
      <c r="F3490" s="6"/>
      <c r="H3490" s="6"/>
      <c r="I3490" s="35"/>
      <c r="J3490" s="239"/>
      <c r="K3490" s="239"/>
      <c r="L3490" s="239"/>
      <c r="M3490" s="239"/>
      <c r="N3490" s="239"/>
      <c r="O3490" s="6"/>
      <c r="P3490" s="6"/>
      <c r="Q3490" s="6"/>
      <c r="R3490" s="6"/>
      <c r="S3490" s="6"/>
      <c r="T3490" s="6"/>
      <c r="U3490" s="6"/>
      <c r="V3490" s="6"/>
      <c r="W3490" s="6"/>
    </row>
    <row r="3491" ht="14.25" customHeight="1">
      <c r="A3491" s="6"/>
      <c r="B3491" s="59"/>
      <c r="C3491" s="13"/>
      <c r="D3491" s="13"/>
      <c r="E3491" s="34"/>
      <c r="F3491" s="6"/>
      <c r="H3491" s="6"/>
      <c r="I3491" s="35"/>
      <c r="J3491" s="239"/>
      <c r="K3491" s="239"/>
      <c r="L3491" s="239"/>
      <c r="M3491" s="239"/>
      <c r="N3491" s="239"/>
      <c r="O3491" s="6"/>
      <c r="P3491" s="6"/>
      <c r="Q3491" s="6"/>
      <c r="R3491" s="6"/>
      <c r="S3491" s="6"/>
      <c r="T3491" s="6"/>
      <c r="U3491" s="6"/>
      <c r="V3491" s="6"/>
      <c r="W3491" s="6"/>
    </row>
    <row r="3492" ht="14.25" customHeight="1">
      <c r="A3492" s="6"/>
      <c r="B3492" s="59"/>
      <c r="C3492" s="13"/>
      <c r="D3492" s="13"/>
      <c r="E3492" s="34"/>
      <c r="F3492" s="6"/>
      <c r="H3492" s="6"/>
      <c r="I3492" s="35"/>
      <c r="J3492" s="239"/>
      <c r="K3492" s="239"/>
      <c r="L3492" s="239"/>
      <c r="M3492" s="239"/>
      <c r="N3492" s="239"/>
      <c r="O3492" s="6"/>
      <c r="P3492" s="6"/>
      <c r="Q3492" s="6"/>
      <c r="R3492" s="6"/>
      <c r="S3492" s="6"/>
      <c r="T3492" s="6"/>
      <c r="U3492" s="6"/>
      <c r="V3492" s="6"/>
      <c r="W3492" s="6"/>
    </row>
    <row r="3493" ht="14.25" customHeight="1">
      <c r="A3493" s="6"/>
      <c r="B3493" s="59"/>
      <c r="C3493" s="13"/>
      <c r="D3493" s="13"/>
      <c r="E3493" s="34"/>
      <c r="F3493" s="6"/>
      <c r="H3493" s="6"/>
      <c r="I3493" s="35"/>
      <c r="J3493" s="239"/>
      <c r="K3493" s="239"/>
      <c r="L3493" s="239"/>
      <c r="M3493" s="239"/>
      <c r="N3493" s="239"/>
      <c r="O3493" s="6"/>
      <c r="P3493" s="6"/>
      <c r="Q3493" s="6"/>
      <c r="R3493" s="6"/>
      <c r="S3493" s="6"/>
      <c r="T3493" s="6"/>
      <c r="U3493" s="6"/>
      <c r="V3493" s="6"/>
      <c r="W3493" s="6"/>
    </row>
    <row r="3494" ht="14.25" customHeight="1">
      <c r="A3494" s="6"/>
      <c r="B3494" s="59"/>
      <c r="C3494" s="13"/>
      <c r="D3494" s="13"/>
      <c r="E3494" s="34"/>
      <c r="F3494" s="6"/>
      <c r="H3494" s="6"/>
      <c r="I3494" s="35"/>
      <c r="J3494" s="239"/>
      <c r="K3494" s="239"/>
      <c r="L3494" s="239"/>
      <c r="M3494" s="239"/>
      <c r="N3494" s="239"/>
      <c r="O3494" s="6"/>
      <c r="P3494" s="6"/>
      <c r="Q3494" s="6"/>
      <c r="R3494" s="6"/>
      <c r="S3494" s="6"/>
      <c r="T3494" s="6"/>
      <c r="U3494" s="6"/>
      <c r="V3494" s="6"/>
      <c r="W3494" s="6"/>
    </row>
    <row r="3495" ht="14.25" customHeight="1">
      <c r="A3495" s="6"/>
      <c r="B3495" s="59"/>
      <c r="C3495" s="13"/>
      <c r="D3495" s="13"/>
      <c r="E3495" s="34"/>
      <c r="F3495" s="6"/>
      <c r="H3495" s="6"/>
      <c r="I3495" s="35"/>
      <c r="J3495" s="239"/>
      <c r="K3495" s="239"/>
      <c r="L3495" s="239"/>
      <c r="M3495" s="239"/>
      <c r="N3495" s="239"/>
      <c r="O3495" s="6"/>
      <c r="P3495" s="6"/>
      <c r="Q3495" s="6"/>
      <c r="R3495" s="6"/>
      <c r="S3495" s="6"/>
      <c r="T3495" s="6"/>
      <c r="U3495" s="6"/>
      <c r="V3495" s="6"/>
      <c r="W3495" s="6"/>
    </row>
    <row r="3496" ht="14.25" customHeight="1">
      <c r="A3496" s="6"/>
      <c r="B3496" s="59"/>
      <c r="C3496" s="13"/>
      <c r="D3496" s="13"/>
      <c r="E3496" s="34"/>
      <c r="F3496" s="6"/>
      <c r="H3496" s="6"/>
      <c r="I3496" s="35"/>
      <c r="J3496" s="239"/>
      <c r="K3496" s="239"/>
      <c r="L3496" s="239"/>
      <c r="M3496" s="239"/>
      <c r="N3496" s="239"/>
      <c r="O3496" s="6"/>
      <c r="P3496" s="6"/>
      <c r="Q3496" s="6"/>
      <c r="R3496" s="6"/>
      <c r="S3496" s="6"/>
      <c r="T3496" s="6"/>
      <c r="U3496" s="6"/>
      <c r="V3496" s="6"/>
      <c r="W3496" s="6"/>
    </row>
    <row r="3497" ht="14.25" customHeight="1">
      <c r="A3497" s="6"/>
      <c r="B3497" s="59"/>
      <c r="C3497" s="13"/>
      <c r="D3497" s="13"/>
      <c r="E3497" s="34"/>
      <c r="F3497" s="6"/>
      <c r="H3497" s="6"/>
      <c r="I3497" s="35"/>
      <c r="J3497" s="239"/>
      <c r="K3497" s="239"/>
      <c r="L3497" s="239"/>
      <c r="M3497" s="239"/>
      <c r="N3497" s="239"/>
      <c r="O3497" s="6"/>
      <c r="P3497" s="6"/>
      <c r="Q3497" s="6"/>
      <c r="R3497" s="6"/>
      <c r="S3497" s="6"/>
      <c r="T3497" s="6"/>
      <c r="U3497" s="6"/>
      <c r="V3497" s="6"/>
      <c r="W3497" s="6"/>
    </row>
    <row r="3498" ht="14.25" customHeight="1">
      <c r="A3498" s="6"/>
      <c r="B3498" s="59"/>
      <c r="C3498" s="13"/>
      <c r="D3498" s="13"/>
      <c r="E3498" s="34"/>
      <c r="F3498" s="6"/>
      <c r="H3498" s="6"/>
      <c r="I3498" s="35"/>
      <c r="J3498" s="239"/>
      <c r="K3498" s="239"/>
      <c r="L3498" s="239"/>
      <c r="M3498" s="239"/>
      <c r="N3498" s="239"/>
      <c r="O3498" s="6"/>
      <c r="P3498" s="6"/>
      <c r="Q3498" s="6"/>
      <c r="R3498" s="6"/>
      <c r="S3498" s="6"/>
      <c r="T3498" s="6"/>
      <c r="U3498" s="6"/>
      <c r="V3498" s="6"/>
      <c r="W3498" s="6"/>
    </row>
    <row r="3499" ht="14.25" customHeight="1">
      <c r="A3499" s="6"/>
      <c r="B3499" s="59"/>
      <c r="C3499" s="13"/>
      <c r="D3499" s="13"/>
      <c r="E3499" s="34"/>
      <c r="F3499" s="6"/>
      <c r="H3499" s="6"/>
      <c r="I3499" s="35"/>
      <c r="J3499" s="239"/>
      <c r="K3499" s="239"/>
      <c r="L3499" s="239"/>
      <c r="M3499" s="239"/>
      <c r="N3499" s="239"/>
      <c r="O3499" s="6"/>
      <c r="P3499" s="6"/>
      <c r="Q3499" s="6"/>
      <c r="R3499" s="6"/>
      <c r="S3499" s="6"/>
      <c r="T3499" s="6"/>
      <c r="U3499" s="6"/>
      <c r="V3499" s="6"/>
      <c r="W3499" s="6"/>
    </row>
    <row r="3500" ht="14.25" customHeight="1">
      <c r="A3500" s="6"/>
      <c r="B3500" s="59"/>
      <c r="C3500" s="13"/>
      <c r="D3500" s="13"/>
      <c r="E3500" s="34"/>
      <c r="F3500" s="6"/>
      <c r="H3500" s="6"/>
      <c r="I3500" s="35"/>
      <c r="J3500" s="239"/>
      <c r="K3500" s="239"/>
      <c r="L3500" s="239"/>
      <c r="M3500" s="239"/>
      <c r="N3500" s="239"/>
      <c r="O3500" s="6"/>
      <c r="P3500" s="6"/>
      <c r="Q3500" s="6"/>
      <c r="R3500" s="6"/>
      <c r="S3500" s="6"/>
      <c r="T3500" s="6"/>
      <c r="U3500" s="6"/>
      <c r="V3500" s="6"/>
      <c r="W3500" s="6"/>
    </row>
    <row r="3501" ht="14.25" customHeight="1">
      <c r="A3501" s="6"/>
      <c r="B3501" s="59"/>
      <c r="C3501" s="13"/>
      <c r="D3501" s="13"/>
      <c r="E3501" s="34"/>
      <c r="F3501" s="6"/>
      <c r="H3501" s="6"/>
      <c r="I3501" s="35"/>
      <c r="J3501" s="239"/>
      <c r="K3501" s="239"/>
      <c r="L3501" s="239"/>
      <c r="M3501" s="239"/>
      <c r="N3501" s="239"/>
      <c r="O3501" s="6"/>
      <c r="P3501" s="6"/>
      <c r="Q3501" s="6"/>
      <c r="R3501" s="6"/>
      <c r="S3501" s="6"/>
      <c r="T3501" s="6"/>
      <c r="U3501" s="6"/>
      <c r="V3501" s="6"/>
      <c r="W3501" s="6"/>
    </row>
    <row r="3502" ht="14.25" customHeight="1">
      <c r="A3502" s="6"/>
      <c r="B3502" s="59"/>
      <c r="C3502" s="13"/>
      <c r="D3502" s="13"/>
      <c r="E3502" s="34"/>
      <c r="F3502" s="6"/>
      <c r="H3502" s="6"/>
      <c r="I3502" s="35"/>
      <c r="J3502" s="239"/>
      <c r="K3502" s="239"/>
      <c r="L3502" s="239"/>
      <c r="M3502" s="239"/>
      <c r="N3502" s="239"/>
      <c r="O3502" s="6"/>
      <c r="P3502" s="6"/>
      <c r="Q3502" s="6"/>
      <c r="R3502" s="6"/>
      <c r="S3502" s="6"/>
      <c r="T3502" s="6"/>
      <c r="U3502" s="6"/>
      <c r="V3502" s="6"/>
      <c r="W3502" s="6"/>
    </row>
    <row r="3503" ht="14.25" customHeight="1">
      <c r="A3503" s="6"/>
      <c r="B3503" s="59"/>
      <c r="C3503" s="13"/>
      <c r="D3503" s="13"/>
      <c r="E3503" s="34"/>
      <c r="F3503" s="6"/>
      <c r="H3503" s="6"/>
      <c r="I3503" s="35"/>
      <c r="J3503" s="239"/>
      <c r="K3503" s="239"/>
      <c r="L3503" s="239"/>
      <c r="M3503" s="239"/>
      <c r="N3503" s="239"/>
      <c r="O3503" s="6"/>
      <c r="P3503" s="6"/>
      <c r="Q3503" s="6"/>
      <c r="R3503" s="6"/>
      <c r="S3503" s="6"/>
      <c r="T3503" s="6"/>
      <c r="U3503" s="6"/>
      <c r="V3503" s="6"/>
      <c r="W3503" s="6"/>
    </row>
    <row r="3504" ht="14.25" customHeight="1">
      <c r="A3504" s="6"/>
      <c r="B3504" s="59"/>
      <c r="C3504" s="13"/>
      <c r="D3504" s="13"/>
      <c r="E3504" s="34"/>
      <c r="F3504" s="6"/>
      <c r="H3504" s="6"/>
      <c r="I3504" s="35"/>
      <c r="J3504" s="239"/>
      <c r="K3504" s="239"/>
      <c r="L3504" s="239"/>
      <c r="M3504" s="239"/>
      <c r="N3504" s="239"/>
      <c r="O3504" s="6"/>
      <c r="P3504" s="6"/>
      <c r="Q3504" s="6"/>
      <c r="R3504" s="6"/>
      <c r="S3504" s="6"/>
      <c r="T3504" s="6"/>
      <c r="U3504" s="6"/>
      <c r="V3504" s="6"/>
      <c r="W3504" s="6"/>
    </row>
    <row r="3505" ht="14.25" customHeight="1">
      <c r="A3505" s="6"/>
      <c r="B3505" s="59"/>
      <c r="C3505" s="13"/>
      <c r="D3505" s="13"/>
      <c r="E3505" s="34"/>
      <c r="F3505" s="6"/>
      <c r="H3505" s="6"/>
      <c r="I3505" s="35"/>
      <c r="J3505" s="239"/>
      <c r="K3505" s="239"/>
      <c r="L3505" s="239"/>
      <c r="M3505" s="239"/>
      <c r="N3505" s="239"/>
      <c r="O3505" s="6"/>
      <c r="P3505" s="6"/>
      <c r="Q3505" s="6"/>
      <c r="R3505" s="6"/>
      <c r="S3505" s="6"/>
      <c r="T3505" s="6"/>
      <c r="U3505" s="6"/>
      <c r="V3505" s="6"/>
      <c r="W3505" s="6"/>
    </row>
    <row r="3506" ht="14.25" customHeight="1">
      <c r="A3506" s="6"/>
      <c r="B3506" s="59"/>
      <c r="C3506" s="13"/>
      <c r="D3506" s="13"/>
      <c r="E3506" s="34"/>
      <c r="F3506" s="6"/>
      <c r="H3506" s="6"/>
      <c r="I3506" s="35"/>
      <c r="J3506" s="239"/>
      <c r="K3506" s="239"/>
      <c r="L3506" s="239"/>
      <c r="M3506" s="239"/>
      <c r="N3506" s="239"/>
      <c r="O3506" s="6"/>
      <c r="P3506" s="6"/>
      <c r="Q3506" s="6"/>
      <c r="R3506" s="6"/>
      <c r="S3506" s="6"/>
      <c r="T3506" s="6"/>
      <c r="U3506" s="6"/>
      <c r="V3506" s="6"/>
      <c r="W3506" s="6"/>
    </row>
    <row r="3507" ht="14.25" customHeight="1">
      <c r="A3507" s="6"/>
      <c r="B3507" s="59"/>
      <c r="C3507" s="13"/>
      <c r="D3507" s="13"/>
      <c r="E3507" s="34"/>
      <c r="F3507" s="6"/>
      <c r="H3507" s="6"/>
      <c r="I3507" s="35"/>
      <c r="J3507" s="239"/>
      <c r="K3507" s="239"/>
      <c r="L3507" s="239"/>
      <c r="M3507" s="239"/>
      <c r="N3507" s="239"/>
      <c r="O3507" s="6"/>
      <c r="P3507" s="6"/>
      <c r="Q3507" s="6"/>
      <c r="R3507" s="6"/>
      <c r="S3507" s="6"/>
      <c r="T3507" s="6"/>
      <c r="U3507" s="6"/>
      <c r="V3507" s="6"/>
      <c r="W3507" s="6"/>
    </row>
    <row r="3508" ht="14.25" customHeight="1">
      <c r="A3508" s="6"/>
      <c r="B3508" s="59"/>
      <c r="C3508" s="13"/>
      <c r="D3508" s="13"/>
      <c r="E3508" s="34"/>
      <c r="F3508" s="6"/>
      <c r="H3508" s="6"/>
      <c r="I3508" s="35"/>
      <c r="J3508" s="239"/>
      <c r="K3508" s="239"/>
      <c r="L3508" s="239"/>
      <c r="M3508" s="239"/>
      <c r="N3508" s="239"/>
      <c r="O3508" s="6"/>
      <c r="P3508" s="6"/>
      <c r="Q3508" s="6"/>
      <c r="R3508" s="6"/>
      <c r="S3508" s="6"/>
      <c r="T3508" s="6"/>
      <c r="U3508" s="6"/>
      <c r="V3508" s="6"/>
      <c r="W3508" s="6"/>
    </row>
    <row r="3509" ht="14.25" customHeight="1">
      <c r="A3509" s="6"/>
      <c r="B3509" s="59"/>
      <c r="C3509" s="13"/>
      <c r="D3509" s="13"/>
      <c r="E3509" s="34"/>
      <c r="F3509" s="6"/>
      <c r="H3509" s="6"/>
      <c r="I3509" s="35"/>
      <c r="J3509" s="239"/>
      <c r="K3509" s="239"/>
      <c r="L3509" s="239"/>
      <c r="M3509" s="239"/>
      <c r="N3509" s="239"/>
      <c r="O3509" s="6"/>
      <c r="P3509" s="6"/>
      <c r="Q3509" s="6"/>
      <c r="R3509" s="6"/>
      <c r="S3509" s="6"/>
      <c r="T3509" s="6"/>
      <c r="U3509" s="6"/>
      <c r="V3509" s="6"/>
      <c r="W3509" s="6"/>
    </row>
    <row r="3510" ht="14.25" customHeight="1">
      <c r="A3510" s="6"/>
      <c r="B3510" s="59"/>
      <c r="C3510" s="13"/>
      <c r="D3510" s="13"/>
      <c r="E3510" s="34"/>
      <c r="F3510" s="6"/>
      <c r="H3510" s="6"/>
      <c r="I3510" s="35"/>
      <c r="J3510" s="239"/>
      <c r="K3510" s="239"/>
      <c r="L3510" s="239"/>
      <c r="M3510" s="239"/>
      <c r="N3510" s="239"/>
      <c r="O3510" s="6"/>
      <c r="P3510" s="6"/>
      <c r="Q3510" s="6"/>
      <c r="R3510" s="6"/>
      <c r="S3510" s="6"/>
      <c r="T3510" s="6"/>
      <c r="U3510" s="6"/>
      <c r="V3510" s="6"/>
      <c r="W3510" s="6"/>
    </row>
    <row r="3511" ht="14.25" customHeight="1">
      <c r="A3511" s="6"/>
      <c r="B3511" s="59"/>
      <c r="C3511" s="13"/>
      <c r="D3511" s="13"/>
      <c r="E3511" s="34"/>
      <c r="F3511" s="6"/>
      <c r="H3511" s="6"/>
      <c r="I3511" s="35"/>
      <c r="J3511" s="239"/>
      <c r="K3511" s="239"/>
      <c r="L3511" s="239"/>
      <c r="M3511" s="239"/>
      <c r="N3511" s="239"/>
      <c r="O3511" s="6"/>
      <c r="P3511" s="6"/>
      <c r="Q3511" s="6"/>
      <c r="R3511" s="6"/>
      <c r="S3511" s="6"/>
      <c r="T3511" s="6"/>
      <c r="U3511" s="6"/>
      <c r="V3511" s="6"/>
      <c r="W3511" s="6"/>
    </row>
    <row r="3512" ht="14.25" customHeight="1">
      <c r="A3512" s="6"/>
      <c r="B3512" s="59"/>
      <c r="C3512" s="13"/>
      <c r="D3512" s="13"/>
      <c r="E3512" s="34"/>
      <c r="F3512" s="6"/>
      <c r="H3512" s="6"/>
      <c r="I3512" s="35"/>
      <c r="J3512" s="239"/>
      <c r="K3512" s="239"/>
      <c r="L3512" s="239"/>
      <c r="M3512" s="239"/>
      <c r="N3512" s="239"/>
      <c r="O3512" s="6"/>
      <c r="P3512" s="6"/>
      <c r="Q3512" s="6"/>
      <c r="R3512" s="6"/>
      <c r="S3512" s="6"/>
      <c r="T3512" s="6"/>
      <c r="U3512" s="6"/>
      <c r="V3512" s="6"/>
      <c r="W3512" s="6"/>
    </row>
    <row r="3513" ht="14.25" customHeight="1">
      <c r="A3513" s="6"/>
      <c r="B3513" s="59"/>
      <c r="C3513" s="13"/>
      <c r="D3513" s="13"/>
      <c r="E3513" s="34"/>
      <c r="F3513" s="6"/>
      <c r="H3513" s="6"/>
      <c r="I3513" s="35"/>
      <c r="J3513" s="239"/>
      <c r="K3513" s="239"/>
      <c r="L3513" s="239"/>
      <c r="M3513" s="239"/>
      <c r="N3513" s="239"/>
      <c r="O3513" s="6"/>
      <c r="P3513" s="6"/>
      <c r="Q3513" s="6"/>
      <c r="R3513" s="6"/>
      <c r="S3513" s="6"/>
      <c r="T3513" s="6"/>
      <c r="U3513" s="6"/>
      <c r="V3513" s="6"/>
      <c r="W3513" s="6"/>
    </row>
    <row r="3514" ht="14.25" customHeight="1">
      <c r="A3514" s="6"/>
      <c r="B3514" s="59"/>
      <c r="C3514" s="13"/>
      <c r="D3514" s="13"/>
      <c r="E3514" s="34"/>
      <c r="F3514" s="6"/>
      <c r="H3514" s="6"/>
      <c r="I3514" s="35"/>
      <c r="J3514" s="239"/>
      <c r="K3514" s="239"/>
      <c r="L3514" s="239"/>
      <c r="M3514" s="239"/>
      <c r="N3514" s="239"/>
      <c r="O3514" s="6"/>
      <c r="P3514" s="6"/>
      <c r="Q3514" s="6"/>
      <c r="R3514" s="6"/>
      <c r="S3514" s="6"/>
      <c r="T3514" s="6"/>
      <c r="U3514" s="6"/>
      <c r="V3514" s="6"/>
      <c r="W3514" s="6"/>
    </row>
    <row r="3515" ht="14.25" customHeight="1">
      <c r="A3515" s="6"/>
      <c r="B3515" s="59"/>
      <c r="C3515" s="13"/>
      <c r="D3515" s="13"/>
      <c r="E3515" s="34"/>
      <c r="F3515" s="6"/>
      <c r="H3515" s="6"/>
      <c r="I3515" s="35"/>
      <c r="J3515" s="239"/>
      <c r="K3515" s="239"/>
      <c r="L3515" s="239"/>
      <c r="M3515" s="239"/>
      <c r="N3515" s="239"/>
      <c r="O3515" s="6"/>
      <c r="P3515" s="6"/>
      <c r="Q3515" s="6"/>
      <c r="R3515" s="6"/>
      <c r="S3515" s="6"/>
      <c r="T3515" s="6"/>
      <c r="U3515" s="6"/>
      <c r="V3515" s="6"/>
      <c r="W3515" s="6"/>
    </row>
    <row r="3516" ht="14.25" customHeight="1">
      <c r="A3516" s="6"/>
      <c r="B3516" s="59"/>
      <c r="C3516" s="13"/>
      <c r="D3516" s="13"/>
      <c r="E3516" s="34"/>
      <c r="F3516" s="6"/>
      <c r="H3516" s="6"/>
      <c r="I3516" s="35"/>
      <c r="J3516" s="239"/>
      <c r="K3516" s="239"/>
      <c r="L3516" s="239"/>
      <c r="M3516" s="239"/>
      <c r="N3516" s="239"/>
      <c r="O3516" s="6"/>
      <c r="P3516" s="6"/>
      <c r="Q3516" s="6"/>
      <c r="R3516" s="6"/>
      <c r="S3516" s="6"/>
      <c r="T3516" s="6"/>
      <c r="U3516" s="6"/>
      <c r="V3516" s="6"/>
      <c r="W3516" s="6"/>
    </row>
    <row r="3517" ht="14.25" customHeight="1">
      <c r="A3517" s="6"/>
      <c r="B3517" s="59"/>
      <c r="C3517" s="13"/>
      <c r="D3517" s="13"/>
      <c r="E3517" s="34"/>
      <c r="F3517" s="6"/>
      <c r="H3517" s="6"/>
      <c r="I3517" s="35"/>
      <c r="J3517" s="239"/>
      <c r="K3517" s="239"/>
      <c r="L3517" s="239"/>
      <c r="M3517" s="239"/>
      <c r="N3517" s="239"/>
      <c r="O3517" s="6"/>
      <c r="P3517" s="6"/>
      <c r="Q3517" s="6"/>
      <c r="R3517" s="6"/>
      <c r="S3517" s="6"/>
      <c r="T3517" s="6"/>
      <c r="U3517" s="6"/>
      <c r="V3517" s="6"/>
      <c r="W3517" s="6"/>
    </row>
    <row r="3518" ht="14.25" customHeight="1">
      <c r="A3518" s="6"/>
      <c r="B3518" s="59"/>
      <c r="C3518" s="13"/>
      <c r="D3518" s="13"/>
      <c r="E3518" s="34"/>
      <c r="F3518" s="6"/>
      <c r="H3518" s="6"/>
      <c r="I3518" s="35"/>
      <c r="J3518" s="239"/>
      <c r="K3518" s="239"/>
      <c r="L3518" s="239"/>
      <c r="M3518" s="239"/>
      <c r="N3518" s="239"/>
      <c r="O3518" s="6"/>
      <c r="P3518" s="6"/>
      <c r="Q3518" s="6"/>
      <c r="R3518" s="6"/>
      <c r="S3518" s="6"/>
      <c r="T3518" s="6"/>
      <c r="U3518" s="6"/>
      <c r="V3518" s="6"/>
      <c r="W3518" s="6"/>
    </row>
    <row r="3519" ht="14.25" customHeight="1">
      <c r="A3519" s="6"/>
      <c r="B3519" s="59"/>
      <c r="C3519" s="13"/>
      <c r="D3519" s="13"/>
      <c r="E3519" s="34"/>
      <c r="F3519" s="6"/>
      <c r="H3519" s="6"/>
      <c r="I3519" s="35"/>
      <c r="J3519" s="239"/>
      <c r="K3519" s="239"/>
      <c r="L3519" s="239"/>
      <c r="M3519" s="239"/>
      <c r="N3519" s="239"/>
      <c r="O3519" s="6"/>
      <c r="P3519" s="6"/>
      <c r="Q3519" s="6"/>
      <c r="R3519" s="6"/>
      <c r="S3519" s="6"/>
      <c r="T3519" s="6"/>
      <c r="U3519" s="6"/>
      <c r="V3519" s="6"/>
      <c r="W3519" s="6"/>
    </row>
    <row r="3520" ht="14.25" customHeight="1">
      <c r="A3520" s="6"/>
      <c r="B3520" s="59"/>
      <c r="C3520" s="13"/>
      <c r="D3520" s="13"/>
      <c r="E3520" s="34"/>
      <c r="F3520" s="6"/>
      <c r="H3520" s="6"/>
      <c r="I3520" s="35"/>
      <c r="J3520" s="239"/>
      <c r="K3520" s="239"/>
      <c r="L3520" s="239"/>
      <c r="M3520" s="239"/>
      <c r="N3520" s="239"/>
      <c r="O3520" s="6"/>
      <c r="P3520" s="6"/>
      <c r="Q3520" s="6"/>
      <c r="R3520" s="6"/>
      <c r="S3520" s="6"/>
      <c r="T3520" s="6"/>
      <c r="U3520" s="6"/>
      <c r="V3520" s="6"/>
      <c r="W3520" s="6"/>
    </row>
    <row r="3521" ht="14.25" customHeight="1">
      <c r="A3521" s="6"/>
      <c r="B3521" s="59"/>
      <c r="C3521" s="13"/>
      <c r="D3521" s="13"/>
      <c r="E3521" s="34"/>
      <c r="F3521" s="6"/>
      <c r="H3521" s="6"/>
      <c r="I3521" s="35"/>
      <c r="J3521" s="239"/>
      <c r="K3521" s="239"/>
      <c r="L3521" s="239"/>
      <c r="M3521" s="239"/>
      <c r="N3521" s="239"/>
      <c r="O3521" s="6"/>
      <c r="P3521" s="6"/>
      <c r="Q3521" s="6"/>
      <c r="R3521" s="6"/>
      <c r="S3521" s="6"/>
      <c r="T3521" s="6"/>
      <c r="U3521" s="6"/>
      <c r="V3521" s="6"/>
      <c r="W3521" s="6"/>
    </row>
    <row r="3522" ht="14.25" customHeight="1">
      <c r="A3522" s="6"/>
      <c r="B3522" s="59"/>
      <c r="C3522" s="13"/>
      <c r="D3522" s="13"/>
      <c r="E3522" s="34"/>
      <c r="F3522" s="6"/>
      <c r="H3522" s="6"/>
      <c r="I3522" s="35"/>
      <c r="J3522" s="239"/>
      <c r="K3522" s="239"/>
      <c r="L3522" s="239"/>
      <c r="M3522" s="239"/>
      <c r="N3522" s="239"/>
      <c r="O3522" s="6"/>
      <c r="P3522" s="6"/>
      <c r="Q3522" s="6"/>
      <c r="R3522" s="6"/>
      <c r="S3522" s="6"/>
      <c r="T3522" s="6"/>
      <c r="U3522" s="6"/>
      <c r="V3522" s="6"/>
      <c r="W3522" s="6"/>
    </row>
    <row r="3523" ht="14.25" customHeight="1">
      <c r="A3523" s="6"/>
      <c r="B3523" s="59"/>
      <c r="C3523" s="13"/>
      <c r="D3523" s="13"/>
      <c r="E3523" s="34"/>
      <c r="F3523" s="6"/>
      <c r="H3523" s="6"/>
      <c r="I3523" s="35"/>
      <c r="J3523" s="239"/>
      <c r="K3523" s="239"/>
      <c r="L3523" s="239"/>
      <c r="M3523" s="239"/>
      <c r="N3523" s="239"/>
      <c r="O3523" s="6"/>
      <c r="P3523" s="6"/>
      <c r="Q3523" s="6"/>
      <c r="R3523" s="6"/>
      <c r="S3523" s="6"/>
      <c r="T3523" s="6"/>
      <c r="U3523" s="6"/>
      <c r="V3523" s="6"/>
      <c r="W3523" s="6"/>
    </row>
    <row r="3524" ht="14.25" customHeight="1">
      <c r="A3524" s="6"/>
      <c r="B3524" s="59"/>
      <c r="C3524" s="13"/>
      <c r="D3524" s="13"/>
      <c r="E3524" s="34"/>
      <c r="F3524" s="6"/>
      <c r="H3524" s="6"/>
      <c r="I3524" s="35"/>
      <c r="J3524" s="239"/>
      <c r="K3524" s="239"/>
      <c r="L3524" s="239"/>
      <c r="M3524" s="239"/>
      <c r="N3524" s="239"/>
      <c r="O3524" s="6"/>
      <c r="P3524" s="6"/>
      <c r="Q3524" s="6"/>
      <c r="R3524" s="6"/>
      <c r="S3524" s="6"/>
      <c r="T3524" s="6"/>
      <c r="U3524" s="6"/>
      <c r="V3524" s="6"/>
      <c r="W3524" s="6"/>
    </row>
    <row r="3525" ht="14.25" customHeight="1">
      <c r="A3525" s="6"/>
      <c r="B3525" s="59"/>
      <c r="C3525" s="13"/>
      <c r="D3525" s="13"/>
      <c r="E3525" s="34"/>
      <c r="F3525" s="6"/>
      <c r="H3525" s="6"/>
      <c r="I3525" s="35"/>
      <c r="J3525" s="239"/>
      <c r="K3525" s="239"/>
      <c r="L3525" s="239"/>
      <c r="M3525" s="239"/>
      <c r="N3525" s="239"/>
      <c r="O3525" s="6"/>
      <c r="P3525" s="6"/>
      <c r="Q3525" s="6"/>
      <c r="R3525" s="6"/>
      <c r="S3525" s="6"/>
      <c r="T3525" s="6"/>
      <c r="U3525" s="6"/>
      <c r="V3525" s="6"/>
      <c r="W3525" s="6"/>
    </row>
    <row r="3526" ht="14.25" customHeight="1">
      <c r="A3526" s="6"/>
      <c r="B3526" s="59"/>
      <c r="C3526" s="13"/>
      <c r="D3526" s="13"/>
      <c r="E3526" s="34"/>
      <c r="F3526" s="6"/>
      <c r="H3526" s="6"/>
      <c r="I3526" s="35"/>
      <c r="J3526" s="239"/>
      <c r="K3526" s="239"/>
      <c r="L3526" s="239"/>
      <c r="M3526" s="239"/>
      <c r="N3526" s="239"/>
      <c r="O3526" s="6"/>
      <c r="P3526" s="6"/>
      <c r="Q3526" s="6"/>
      <c r="R3526" s="6"/>
      <c r="S3526" s="6"/>
      <c r="T3526" s="6"/>
      <c r="U3526" s="6"/>
      <c r="V3526" s="6"/>
      <c r="W3526" s="6"/>
    </row>
    <row r="3527" ht="14.25" customHeight="1">
      <c r="A3527" s="6"/>
      <c r="B3527" s="59"/>
      <c r="C3527" s="13"/>
      <c r="D3527" s="13"/>
      <c r="E3527" s="34"/>
      <c r="F3527" s="6"/>
      <c r="H3527" s="6"/>
      <c r="I3527" s="35"/>
      <c r="J3527" s="239"/>
      <c r="K3527" s="239"/>
      <c r="L3527" s="239"/>
      <c r="M3527" s="239"/>
      <c r="N3527" s="239"/>
      <c r="O3527" s="6"/>
      <c r="P3527" s="6"/>
      <c r="Q3527" s="6"/>
      <c r="R3527" s="6"/>
      <c r="S3527" s="6"/>
      <c r="T3527" s="6"/>
      <c r="U3527" s="6"/>
      <c r="V3527" s="6"/>
      <c r="W3527" s="6"/>
    </row>
    <row r="3528" ht="14.25" customHeight="1">
      <c r="A3528" s="6"/>
      <c r="B3528" s="59"/>
      <c r="C3528" s="13"/>
      <c r="D3528" s="13"/>
      <c r="E3528" s="34"/>
      <c r="F3528" s="6"/>
      <c r="H3528" s="6"/>
      <c r="I3528" s="35"/>
      <c r="J3528" s="239"/>
      <c r="K3528" s="239"/>
      <c r="L3528" s="239"/>
      <c r="M3528" s="239"/>
      <c r="N3528" s="239"/>
      <c r="O3528" s="6"/>
      <c r="P3528" s="6"/>
      <c r="Q3528" s="6"/>
      <c r="R3528" s="6"/>
      <c r="S3528" s="6"/>
      <c r="T3528" s="6"/>
      <c r="U3528" s="6"/>
      <c r="V3528" s="6"/>
      <c r="W3528" s="6"/>
    </row>
    <row r="3529" ht="14.25" customHeight="1">
      <c r="A3529" s="6"/>
      <c r="B3529" s="59"/>
      <c r="C3529" s="13"/>
      <c r="D3529" s="13"/>
      <c r="E3529" s="34"/>
      <c r="F3529" s="6"/>
      <c r="H3529" s="6"/>
      <c r="I3529" s="35"/>
      <c r="J3529" s="239"/>
      <c r="K3529" s="239"/>
      <c r="L3529" s="239"/>
      <c r="M3529" s="239"/>
      <c r="N3529" s="239"/>
      <c r="O3529" s="6"/>
      <c r="P3529" s="6"/>
      <c r="Q3529" s="6"/>
      <c r="R3529" s="6"/>
      <c r="S3529" s="6"/>
      <c r="T3529" s="6"/>
      <c r="U3529" s="6"/>
      <c r="V3529" s="6"/>
      <c r="W3529" s="6"/>
    </row>
    <row r="3530" ht="14.25" customHeight="1">
      <c r="A3530" s="6"/>
      <c r="B3530" s="59"/>
      <c r="C3530" s="13"/>
      <c r="D3530" s="13"/>
      <c r="E3530" s="34"/>
      <c r="F3530" s="6"/>
      <c r="H3530" s="6"/>
      <c r="I3530" s="35"/>
      <c r="J3530" s="239"/>
      <c r="K3530" s="239"/>
      <c r="L3530" s="239"/>
      <c r="M3530" s="239"/>
      <c r="N3530" s="239"/>
      <c r="O3530" s="6"/>
      <c r="P3530" s="6"/>
      <c r="Q3530" s="6"/>
      <c r="R3530" s="6"/>
      <c r="S3530" s="6"/>
      <c r="T3530" s="6"/>
      <c r="U3530" s="6"/>
      <c r="V3530" s="6"/>
      <c r="W3530" s="6"/>
    </row>
    <row r="3531" ht="14.25" customHeight="1">
      <c r="A3531" s="6"/>
      <c r="B3531" s="59"/>
      <c r="C3531" s="13"/>
      <c r="D3531" s="13"/>
      <c r="E3531" s="34"/>
      <c r="F3531" s="6"/>
      <c r="H3531" s="6"/>
      <c r="I3531" s="35"/>
      <c r="J3531" s="239"/>
      <c r="K3531" s="239"/>
      <c r="L3531" s="239"/>
      <c r="M3531" s="239"/>
      <c r="N3531" s="239"/>
      <c r="O3531" s="6"/>
      <c r="P3531" s="6"/>
      <c r="Q3531" s="6"/>
      <c r="R3531" s="6"/>
      <c r="S3531" s="6"/>
      <c r="T3531" s="6"/>
      <c r="U3531" s="6"/>
      <c r="V3531" s="6"/>
      <c r="W3531" s="6"/>
    </row>
    <row r="3532" ht="14.25" customHeight="1">
      <c r="A3532" s="6"/>
      <c r="B3532" s="59"/>
      <c r="C3532" s="13"/>
      <c r="D3532" s="13"/>
      <c r="E3532" s="34"/>
      <c r="F3532" s="6"/>
      <c r="H3532" s="6"/>
      <c r="I3532" s="35"/>
      <c r="J3532" s="239"/>
      <c r="K3532" s="239"/>
      <c r="L3532" s="239"/>
      <c r="M3532" s="239"/>
      <c r="N3532" s="239"/>
      <c r="O3532" s="6"/>
      <c r="P3532" s="6"/>
      <c r="Q3532" s="6"/>
      <c r="R3532" s="6"/>
      <c r="S3532" s="6"/>
      <c r="T3532" s="6"/>
      <c r="U3532" s="6"/>
      <c r="V3532" s="6"/>
      <c r="W3532" s="6"/>
    </row>
    <row r="3533" ht="14.25" customHeight="1">
      <c r="A3533" s="6"/>
      <c r="B3533" s="59"/>
      <c r="C3533" s="13"/>
      <c r="D3533" s="13"/>
      <c r="E3533" s="34"/>
      <c r="F3533" s="6"/>
      <c r="H3533" s="6"/>
      <c r="I3533" s="35"/>
      <c r="J3533" s="239"/>
      <c r="K3533" s="239"/>
      <c r="L3533" s="239"/>
      <c r="M3533" s="239"/>
      <c r="N3533" s="239"/>
      <c r="O3533" s="6"/>
      <c r="P3533" s="6"/>
      <c r="Q3533" s="6"/>
      <c r="R3533" s="6"/>
      <c r="S3533" s="6"/>
      <c r="T3533" s="6"/>
      <c r="U3533" s="6"/>
      <c r="V3533" s="6"/>
      <c r="W3533" s="6"/>
    </row>
  </sheetData>
  <autoFilter ref="$A$1:$V$3146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0"/>
  <cols>
    <col customWidth="1" min="1" max="1" width="25.29"/>
    <col customWidth="1" min="2" max="2" width="26.86"/>
    <col customWidth="1" min="3" max="3" width="12.0"/>
    <col customWidth="1" min="4" max="4" width="8.71"/>
    <col customWidth="1" min="5" max="5" width="8.43"/>
    <col customWidth="1" min="6" max="13" width="8.29"/>
    <col customWidth="1" min="14" max="14" width="25.71"/>
  </cols>
  <sheetData>
    <row r="1">
      <c r="A1" s="17" t="s">
        <v>49</v>
      </c>
      <c r="B1" s="17" t="s">
        <v>55</v>
      </c>
      <c r="C1" s="17" t="s">
        <v>53</v>
      </c>
      <c r="D1" s="17" t="s">
        <v>51</v>
      </c>
      <c r="E1" s="17" t="s">
        <v>60</v>
      </c>
      <c r="F1" s="17" t="s">
        <v>63</v>
      </c>
      <c r="G1" s="17" t="s">
        <v>66</v>
      </c>
      <c r="H1" s="20" t="s">
        <v>69</v>
      </c>
      <c r="I1" s="17" t="s">
        <v>70</v>
      </c>
      <c r="J1" s="17" t="s">
        <v>74</v>
      </c>
      <c r="K1" s="20" t="s">
        <v>75</v>
      </c>
      <c r="L1" s="17" t="s">
        <v>78</v>
      </c>
      <c r="M1" s="17" t="s">
        <v>81</v>
      </c>
      <c r="N1" s="22" t="s">
        <v>83</v>
      </c>
      <c r="O1" s="24" t="s">
        <v>88</v>
      </c>
      <c r="P1" s="26" t="s">
        <v>94</v>
      </c>
      <c r="Q1" s="27" t="s">
        <v>94</v>
      </c>
      <c r="R1" s="30" t="s">
        <v>88</v>
      </c>
      <c r="S1" s="30" t="s">
        <v>101</v>
      </c>
      <c r="T1" s="32" t="s">
        <v>103</v>
      </c>
      <c r="U1" s="32" t="s">
        <v>106</v>
      </c>
    </row>
    <row r="2" hidden="1">
      <c r="A2" s="32" t="str">
        <f t="shared" ref="A2:A1347" si="1">D2&amp;G2&amp;C2</f>
        <v>2017TayskiWeek 1</v>
      </c>
      <c r="B2" s="32" t="str">
        <f t="shared" ref="B2:B1347" si="2">D2&amp;J2&amp;C2</f>
        <v>2017ShepWeek 1</v>
      </c>
      <c r="C2" s="32" t="str">
        <f t="shared" ref="C2:C1347" si="3">"Week "&amp;E2</f>
        <v>Week 1</v>
      </c>
      <c r="D2" s="32">
        <v>2017.0</v>
      </c>
      <c r="E2" t="str">
        <f t="shared" ref="E2:E947" si="4">if(left(N1,4)="Play",substitute(right(N1,3),")",""), if(left(N1,3)="NFL",substitute(right(N1,2)," ",""),E1))</f>
        <v>1</v>
      </c>
      <c r="F2" t="str">
        <f t="shared" ref="F2:F1347" si="5">O2</f>
        <v>Taylor Weis</v>
      </c>
      <c r="G2" s="40" t="str">
        <f>VLOOKUP(F2,'Manager Coding'!C:D,2,0)</f>
        <v>Tayski</v>
      </c>
      <c r="H2" s="41">
        <f t="shared" ref="H2:H1347" si="6">P2</f>
        <v>47.74</v>
      </c>
      <c r="I2" t="str">
        <f t="shared" ref="I2:I1347" si="7">R2</f>
        <v>Jordan Shepherd</v>
      </c>
      <c r="J2" t="str">
        <f>VLOOKUP(I2,'Manager Coding'!C:D,2,0)</f>
        <v>Shep</v>
      </c>
      <c r="K2" s="41">
        <f t="shared" ref="K2:K1347" si="8">Q2</f>
        <v>80.22</v>
      </c>
      <c r="L2">
        <f t="shared" ref="L2:L1347" si="9">if(H2&gt;K2,1,0)</f>
        <v>0</v>
      </c>
      <c r="M2">
        <f t="shared" ref="M2:M1347" si="10">if(K2&gt;H2,1,0)</f>
        <v>1</v>
      </c>
      <c r="N2" s="43" t="s">
        <v>127</v>
      </c>
      <c r="O2" s="44" t="s">
        <v>54</v>
      </c>
      <c r="P2" s="45">
        <v>47.74</v>
      </c>
      <c r="Q2" s="46">
        <v>80.22</v>
      </c>
      <c r="R2" s="47" t="s">
        <v>91</v>
      </c>
      <c r="S2" s="43" t="s">
        <v>128</v>
      </c>
      <c r="T2">
        <f t="shared" ref="T2:T642" si="11">IFERROR(abs(H2-K2),0)</f>
        <v>32.48</v>
      </c>
    </row>
    <row r="3" hidden="1">
      <c r="A3" s="32" t="str">
        <f t="shared" si="1"/>
        <v>2017PiersonWeek 1</v>
      </c>
      <c r="B3" s="32" t="str">
        <f t="shared" si="2"/>
        <v>2017SaltyWeek 1</v>
      </c>
      <c r="C3" s="32" t="str">
        <f t="shared" si="3"/>
        <v>Week 1</v>
      </c>
      <c r="D3" s="32">
        <v>2017.0</v>
      </c>
      <c r="E3" t="str">
        <f t="shared" si="4"/>
        <v>1</v>
      </c>
      <c r="F3" t="str">
        <f t="shared" si="5"/>
        <v>Pierson Curtis</v>
      </c>
      <c r="G3" s="40" t="str">
        <f>VLOOKUP(F3,'Manager Coding'!C:D,2,0)</f>
        <v>Pierson</v>
      </c>
      <c r="H3" s="41">
        <f t="shared" si="6"/>
        <v>77.34</v>
      </c>
      <c r="I3" t="str">
        <f t="shared" si="7"/>
        <v>R Saltiel</v>
      </c>
      <c r="J3" t="str">
        <f>VLOOKUP(I3,'Manager Coding'!C:D,2,0)</f>
        <v>Salty</v>
      </c>
      <c r="K3" s="41">
        <f t="shared" si="8"/>
        <v>124.34</v>
      </c>
      <c r="L3">
        <f t="shared" si="9"/>
        <v>0</v>
      </c>
      <c r="M3">
        <f t="shared" si="10"/>
        <v>1</v>
      </c>
      <c r="N3" s="43" t="s">
        <v>144</v>
      </c>
      <c r="O3" s="44" t="s">
        <v>93</v>
      </c>
      <c r="P3" s="45">
        <v>77.34</v>
      </c>
      <c r="Q3" s="46">
        <v>124.34</v>
      </c>
      <c r="R3" s="48" t="s">
        <v>77</v>
      </c>
      <c r="S3" s="43" t="s">
        <v>148</v>
      </c>
      <c r="T3">
        <f t="shared" si="11"/>
        <v>47</v>
      </c>
    </row>
    <row r="4" hidden="1">
      <c r="A4" s="32" t="str">
        <f t="shared" si="1"/>
        <v>2017BuserWeek 1</v>
      </c>
      <c r="B4" s="32" t="str">
        <f t="shared" si="2"/>
        <v>2017FellowsWeek 1</v>
      </c>
      <c r="C4" s="32" t="str">
        <f t="shared" si="3"/>
        <v>Week 1</v>
      </c>
      <c r="D4" s="32">
        <v>2017.0</v>
      </c>
      <c r="E4" t="str">
        <f t="shared" si="4"/>
        <v>1</v>
      </c>
      <c r="F4" t="str">
        <f t="shared" si="5"/>
        <v>Ed Buser</v>
      </c>
      <c r="G4" s="40" t="str">
        <f>VLOOKUP(F4,'Manager Coding'!C:D,2,0)</f>
        <v>Buser</v>
      </c>
      <c r="H4" s="41">
        <f t="shared" si="6"/>
        <v>89.6</v>
      </c>
      <c r="I4" t="str">
        <f t="shared" si="7"/>
        <v>Michael Fellows</v>
      </c>
      <c r="J4" t="str">
        <f>VLOOKUP(I4,'Manager Coding'!C:D,2,0)</f>
        <v>Fellows</v>
      </c>
      <c r="K4" s="41">
        <f t="shared" si="8"/>
        <v>81.98</v>
      </c>
      <c r="L4">
        <f t="shared" si="9"/>
        <v>1</v>
      </c>
      <c r="M4">
        <f t="shared" si="10"/>
        <v>0</v>
      </c>
      <c r="N4" s="43" t="s">
        <v>160</v>
      </c>
      <c r="O4" s="44" t="s">
        <v>50</v>
      </c>
      <c r="P4" s="50">
        <v>89.6</v>
      </c>
      <c r="Q4" s="51">
        <v>81.98</v>
      </c>
      <c r="R4" s="47" t="s">
        <v>80</v>
      </c>
      <c r="S4" s="43" t="s">
        <v>162</v>
      </c>
      <c r="T4">
        <f t="shared" si="11"/>
        <v>7.62</v>
      </c>
    </row>
    <row r="5" hidden="1">
      <c r="A5" s="32" t="str">
        <f t="shared" si="1"/>
        <v>2017Rooney/JacksonWeek 1</v>
      </c>
      <c r="B5" s="32" t="str">
        <f t="shared" si="2"/>
        <v>2017CockWeek 1</v>
      </c>
      <c r="C5" s="32" t="str">
        <f t="shared" si="3"/>
        <v>Week 1</v>
      </c>
      <c r="D5" s="32">
        <v>2017.0</v>
      </c>
      <c r="E5" t="str">
        <f t="shared" si="4"/>
        <v>1</v>
      </c>
      <c r="F5" t="str">
        <f t="shared" si="5"/>
        <v>Stephen Rooney, Jackson Sattell</v>
      </c>
      <c r="G5" s="40" t="str">
        <f>VLOOKUP(F5,'Manager Coding'!C:D,2,0)</f>
        <v>Rooney/Jackson</v>
      </c>
      <c r="H5" s="41">
        <f t="shared" si="6"/>
        <v>94.98</v>
      </c>
      <c r="I5" t="str">
        <f t="shared" si="7"/>
        <v>Jack Babcock, Chris Cochrane</v>
      </c>
      <c r="J5" t="str">
        <f>VLOOKUP(I5,'Manager Coding'!C:D,2,0)</f>
        <v>Cock</v>
      </c>
      <c r="K5" s="41">
        <f t="shared" si="8"/>
        <v>94.54</v>
      </c>
      <c r="L5">
        <f t="shared" si="9"/>
        <v>1</v>
      </c>
      <c r="M5">
        <f t="shared" si="10"/>
        <v>0</v>
      </c>
      <c r="N5" s="43" t="s">
        <v>170</v>
      </c>
      <c r="O5" s="44" t="s">
        <v>58</v>
      </c>
      <c r="P5" s="50">
        <v>94.98</v>
      </c>
      <c r="Q5" s="51">
        <v>94.54</v>
      </c>
      <c r="R5" s="47" t="s">
        <v>73</v>
      </c>
      <c r="S5" s="43" t="s">
        <v>171</v>
      </c>
      <c r="T5">
        <f t="shared" si="11"/>
        <v>0.44</v>
      </c>
    </row>
    <row r="6" hidden="1">
      <c r="A6" s="32" t="str">
        <f t="shared" si="1"/>
        <v>2017HudspeathWeek 1</v>
      </c>
      <c r="B6" s="32" t="str">
        <f t="shared" si="2"/>
        <v>2017KnardDawgWeek 1</v>
      </c>
      <c r="C6" s="32" t="str">
        <f t="shared" si="3"/>
        <v>Week 1</v>
      </c>
      <c r="D6" s="32">
        <v>2017.0</v>
      </c>
      <c r="E6" t="str">
        <f t="shared" si="4"/>
        <v>1</v>
      </c>
      <c r="F6" t="str">
        <f t="shared" si="5"/>
        <v>matt hudspeath</v>
      </c>
      <c r="G6" s="40" t="str">
        <f>VLOOKUP(F6,'Manager Coding'!C:D,2,0)</f>
        <v>Hudspeath</v>
      </c>
      <c r="H6" s="41">
        <f t="shared" si="6"/>
        <v>85.62</v>
      </c>
      <c r="I6" t="str">
        <f t="shared" si="7"/>
        <v>Alex Kinniard, Jack Reilly</v>
      </c>
      <c r="J6" t="str">
        <f>VLOOKUP(I6,'Manager Coding'!C:D,2,0)</f>
        <v>KnardDawg</v>
      </c>
      <c r="K6" s="41">
        <f t="shared" si="8"/>
        <v>108.44</v>
      </c>
      <c r="L6">
        <f t="shared" si="9"/>
        <v>0</v>
      </c>
      <c r="M6">
        <f t="shared" si="10"/>
        <v>1</v>
      </c>
      <c r="N6" s="43" t="s">
        <v>179</v>
      </c>
      <c r="O6" s="44" t="s">
        <v>64</v>
      </c>
      <c r="P6" s="45">
        <v>85.62</v>
      </c>
      <c r="Q6" s="46">
        <v>108.44</v>
      </c>
      <c r="R6" s="47" t="s">
        <v>87</v>
      </c>
      <c r="S6" s="43" t="s">
        <v>180</v>
      </c>
      <c r="T6">
        <f t="shared" si="11"/>
        <v>22.82</v>
      </c>
    </row>
    <row r="7" hidden="1">
      <c r="A7" s="32" t="str">
        <f t="shared" si="1"/>
        <v>2017RileyWeek 1</v>
      </c>
      <c r="B7" s="32" t="str">
        <f t="shared" si="2"/>
        <v>2017T-HowWeek 1</v>
      </c>
      <c r="C7" s="32" t="str">
        <f t="shared" si="3"/>
        <v>Week 1</v>
      </c>
      <c r="D7" s="32">
        <v>2017.0</v>
      </c>
      <c r="E7" t="str">
        <f t="shared" si="4"/>
        <v>1</v>
      </c>
      <c r="F7" t="str">
        <f t="shared" si="5"/>
        <v>Riley McElwain</v>
      </c>
      <c r="G7" s="40" t="str">
        <f>VLOOKUP(F7,'Manager Coding'!C:D,2,0)</f>
        <v>Riley</v>
      </c>
      <c r="H7" s="41">
        <f t="shared" si="6"/>
        <v>60.68</v>
      </c>
      <c r="I7" t="str">
        <f t="shared" si="7"/>
        <v>Tyler Howard</v>
      </c>
      <c r="J7" t="str">
        <f>VLOOKUP(I7,'Manager Coding'!C:D,2,0)</f>
        <v>T-How</v>
      </c>
      <c r="K7" s="41">
        <f t="shared" si="8"/>
        <v>80.7</v>
      </c>
      <c r="L7">
        <f t="shared" si="9"/>
        <v>0</v>
      </c>
      <c r="M7">
        <f t="shared" si="10"/>
        <v>1</v>
      </c>
      <c r="N7" s="43" t="s">
        <v>189</v>
      </c>
      <c r="O7" s="44" t="s">
        <v>68</v>
      </c>
      <c r="P7" s="45">
        <v>60.68</v>
      </c>
      <c r="Q7" s="46">
        <v>80.7</v>
      </c>
      <c r="R7" s="47" t="s">
        <v>85</v>
      </c>
      <c r="S7" s="43" t="s">
        <v>190</v>
      </c>
      <c r="T7">
        <f t="shared" si="11"/>
        <v>20.02</v>
      </c>
    </row>
    <row r="8" hidden="1">
      <c r="A8" s="32" t="str">
        <f t="shared" si="1"/>
        <v>#N/A</v>
      </c>
      <c r="B8" s="32" t="str">
        <f t="shared" si="2"/>
        <v>#N/A</v>
      </c>
      <c r="C8" s="32" t="str">
        <f t="shared" si="3"/>
        <v>Week 1</v>
      </c>
      <c r="D8" s="32">
        <v>2017.0</v>
      </c>
      <c r="E8" t="str">
        <f t="shared" si="4"/>
        <v>1</v>
      </c>
      <c r="F8" t="str">
        <f t="shared" si="5"/>
        <v/>
      </c>
      <c r="G8" s="40" t="str">
        <f>VLOOKUP(F8,'Manager Coding'!C:D,2,0)</f>
        <v>#N/A</v>
      </c>
      <c r="H8" s="41" t="str">
        <f t="shared" si="6"/>
        <v/>
      </c>
      <c r="I8" t="str">
        <f t="shared" si="7"/>
        <v/>
      </c>
      <c r="J8" t="str">
        <f>VLOOKUP(I8,'Manager Coding'!C:D,2,0)</f>
        <v>#N/A</v>
      </c>
      <c r="K8" s="41" t="str">
        <f t="shared" si="8"/>
        <v/>
      </c>
      <c r="L8">
        <f t="shared" si="9"/>
        <v>0</v>
      </c>
      <c r="M8">
        <f t="shared" si="10"/>
        <v>0</v>
      </c>
      <c r="N8" s="53" t="s">
        <v>196</v>
      </c>
      <c r="P8" s="41"/>
      <c r="Q8" s="41"/>
      <c r="T8">
        <f t="shared" si="11"/>
        <v>0</v>
      </c>
    </row>
    <row r="9" hidden="1">
      <c r="A9" s="32" t="str">
        <f t="shared" si="1"/>
        <v>#N/A</v>
      </c>
      <c r="B9" s="32" t="str">
        <f t="shared" si="2"/>
        <v>#N/A</v>
      </c>
      <c r="C9" s="32" t="str">
        <f t="shared" si="3"/>
        <v>Week 2</v>
      </c>
      <c r="D9" s="32">
        <v>2017.0</v>
      </c>
      <c r="E9" t="str">
        <f t="shared" si="4"/>
        <v>2</v>
      </c>
      <c r="F9" t="str">
        <f t="shared" si="5"/>
        <v>TEAM MANAGER(S)</v>
      </c>
      <c r="G9" s="40" t="str">
        <f>VLOOKUP(F9,'Manager Coding'!C:D,2,0)</f>
        <v>#N/A</v>
      </c>
      <c r="H9" s="41" t="str">
        <f t="shared" si="6"/>
        <v>SCORE</v>
      </c>
      <c r="I9" t="str">
        <f t="shared" si="7"/>
        <v>TEAM MANAGER(S)</v>
      </c>
      <c r="J9" t="str">
        <f>VLOOKUP(I9,'Manager Coding'!C:D,2,0)</f>
        <v>#N/A</v>
      </c>
      <c r="K9" s="41" t="str">
        <f t="shared" si="8"/>
        <v>SCORE</v>
      </c>
      <c r="L9">
        <f t="shared" si="9"/>
        <v>0</v>
      </c>
      <c r="M9">
        <f t="shared" si="10"/>
        <v>0</v>
      </c>
      <c r="N9" s="24" t="s">
        <v>197</v>
      </c>
      <c r="O9" s="24" t="s">
        <v>88</v>
      </c>
      <c r="P9" s="26" t="s">
        <v>94</v>
      </c>
      <c r="Q9" s="27" t="s">
        <v>94</v>
      </c>
      <c r="R9" s="30" t="s">
        <v>88</v>
      </c>
      <c r="S9" s="30" t="s">
        <v>101</v>
      </c>
      <c r="T9">
        <f t="shared" si="11"/>
        <v>0</v>
      </c>
    </row>
    <row r="10" hidden="1">
      <c r="A10" s="32" t="str">
        <f t="shared" si="1"/>
        <v>2017PiersonWeek 2</v>
      </c>
      <c r="B10" s="32" t="str">
        <f t="shared" si="2"/>
        <v>2017TayskiWeek 2</v>
      </c>
      <c r="C10" s="32" t="str">
        <f t="shared" si="3"/>
        <v>Week 2</v>
      </c>
      <c r="D10" s="32">
        <v>2017.0</v>
      </c>
      <c r="E10" t="str">
        <f t="shared" si="4"/>
        <v>2</v>
      </c>
      <c r="F10" t="str">
        <f t="shared" si="5"/>
        <v>Pierson Curtis</v>
      </c>
      <c r="G10" s="40" t="str">
        <f>VLOOKUP(F10,'Manager Coding'!C:D,2,0)</f>
        <v>Pierson</v>
      </c>
      <c r="H10" s="41">
        <f t="shared" si="6"/>
        <v>70.42</v>
      </c>
      <c r="I10" t="str">
        <f t="shared" si="7"/>
        <v>Taylor Weis</v>
      </c>
      <c r="J10" t="str">
        <f>VLOOKUP(I10,'Manager Coding'!C:D,2,0)</f>
        <v>Tayski</v>
      </c>
      <c r="K10" s="41">
        <f t="shared" si="8"/>
        <v>108.6</v>
      </c>
      <c r="L10">
        <f t="shared" si="9"/>
        <v>0</v>
      </c>
      <c r="M10">
        <f t="shared" si="10"/>
        <v>1</v>
      </c>
      <c r="N10" s="54" t="s">
        <v>144</v>
      </c>
      <c r="O10" s="55" t="s">
        <v>93</v>
      </c>
      <c r="P10" s="50">
        <v>70.42</v>
      </c>
      <c r="Q10" s="46">
        <v>108.6</v>
      </c>
      <c r="R10" s="48" t="s">
        <v>54</v>
      </c>
      <c r="S10" s="54" t="s">
        <v>127</v>
      </c>
      <c r="T10">
        <f t="shared" si="11"/>
        <v>38.18</v>
      </c>
    </row>
    <row r="11" hidden="1">
      <c r="A11" s="32" t="str">
        <f t="shared" si="1"/>
        <v>2017ShepWeek 2</v>
      </c>
      <c r="B11" s="32" t="str">
        <f t="shared" si="2"/>
        <v>2017BuserWeek 2</v>
      </c>
      <c r="C11" s="32" t="str">
        <f t="shared" si="3"/>
        <v>Week 2</v>
      </c>
      <c r="D11" s="32">
        <v>2017.0</v>
      </c>
      <c r="E11" t="str">
        <f t="shared" si="4"/>
        <v>2</v>
      </c>
      <c r="F11" t="str">
        <f t="shared" si="5"/>
        <v>Jordan Shepherd</v>
      </c>
      <c r="G11" s="40" t="str">
        <f>VLOOKUP(F11,'Manager Coding'!C:D,2,0)</f>
        <v>Shep</v>
      </c>
      <c r="H11" s="41">
        <f t="shared" si="6"/>
        <v>84.32</v>
      </c>
      <c r="I11" t="str">
        <f t="shared" si="7"/>
        <v>Ed Buser</v>
      </c>
      <c r="J11" t="str">
        <f>VLOOKUP(I11,'Manager Coding'!C:D,2,0)</f>
        <v>Buser</v>
      </c>
      <c r="K11" s="41">
        <f t="shared" si="8"/>
        <v>78.76</v>
      </c>
      <c r="L11">
        <f t="shared" si="9"/>
        <v>1</v>
      </c>
      <c r="M11">
        <f t="shared" si="10"/>
        <v>0</v>
      </c>
      <c r="N11" s="54" t="s">
        <v>128</v>
      </c>
      <c r="O11" s="55" t="s">
        <v>91</v>
      </c>
      <c r="P11" s="50">
        <v>84.32</v>
      </c>
      <c r="Q11" s="46">
        <v>78.76</v>
      </c>
      <c r="R11" s="48" t="s">
        <v>50</v>
      </c>
      <c r="S11" s="54" t="s">
        <v>160</v>
      </c>
      <c r="T11">
        <f t="shared" si="11"/>
        <v>5.56</v>
      </c>
    </row>
    <row r="12" hidden="1">
      <c r="A12" s="32" t="str">
        <f t="shared" si="1"/>
        <v>2017SaltyWeek 2</v>
      </c>
      <c r="B12" s="32" t="str">
        <f t="shared" si="2"/>
        <v>2017Rooney/JacksonWeek 2</v>
      </c>
      <c r="C12" s="32" t="str">
        <f t="shared" si="3"/>
        <v>Week 2</v>
      </c>
      <c r="D12" s="32">
        <v>2017.0</v>
      </c>
      <c r="E12" t="str">
        <f t="shared" si="4"/>
        <v>2</v>
      </c>
      <c r="F12" t="str">
        <f t="shared" si="5"/>
        <v>R Saltiel</v>
      </c>
      <c r="G12" s="40" t="str">
        <f>VLOOKUP(F12,'Manager Coding'!C:D,2,0)</f>
        <v>Salty</v>
      </c>
      <c r="H12" s="41">
        <f t="shared" si="6"/>
        <v>112.68</v>
      </c>
      <c r="I12" t="str">
        <f t="shared" si="7"/>
        <v>Stephen Rooney, Jackson Sattell</v>
      </c>
      <c r="J12" t="str">
        <f>VLOOKUP(I12,'Manager Coding'!C:D,2,0)</f>
        <v>Rooney/Jackson</v>
      </c>
      <c r="K12" s="41">
        <f t="shared" si="8"/>
        <v>100.6</v>
      </c>
      <c r="L12">
        <f t="shared" si="9"/>
        <v>1</v>
      </c>
      <c r="M12">
        <f t="shared" si="10"/>
        <v>0</v>
      </c>
      <c r="N12" s="54" t="s">
        <v>148</v>
      </c>
      <c r="O12" s="55" t="s">
        <v>77</v>
      </c>
      <c r="P12" s="50">
        <v>112.68</v>
      </c>
      <c r="Q12" s="46">
        <v>100.6</v>
      </c>
      <c r="R12" s="48" t="s">
        <v>58</v>
      </c>
      <c r="S12" s="54" t="s">
        <v>170</v>
      </c>
      <c r="T12">
        <f t="shared" si="11"/>
        <v>12.08</v>
      </c>
    </row>
    <row r="13" hidden="1">
      <c r="A13" s="32" t="str">
        <f t="shared" si="1"/>
        <v>2017FellowsWeek 2</v>
      </c>
      <c r="B13" s="32" t="str">
        <f t="shared" si="2"/>
        <v>2017HudspeathWeek 2</v>
      </c>
      <c r="C13" s="32" t="str">
        <f t="shared" si="3"/>
        <v>Week 2</v>
      </c>
      <c r="D13" s="32">
        <v>2017.0</v>
      </c>
      <c r="E13" t="str">
        <f t="shared" si="4"/>
        <v>2</v>
      </c>
      <c r="F13" t="str">
        <f t="shared" si="5"/>
        <v>Michael Fellows</v>
      </c>
      <c r="G13" s="40" t="str">
        <f>VLOOKUP(F13,'Manager Coding'!C:D,2,0)</f>
        <v>Fellows</v>
      </c>
      <c r="H13" s="41">
        <f t="shared" si="6"/>
        <v>89.9</v>
      </c>
      <c r="I13" t="str">
        <f t="shared" si="7"/>
        <v>matt hudspeath</v>
      </c>
      <c r="J13" t="str">
        <f>VLOOKUP(I13,'Manager Coding'!C:D,2,0)</f>
        <v>Hudspeath</v>
      </c>
      <c r="K13" s="41">
        <f t="shared" si="8"/>
        <v>90.58</v>
      </c>
      <c r="L13">
        <f t="shared" si="9"/>
        <v>0</v>
      </c>
      <c r="M13">
        <f t="shared" si="10"/>
        <v>1</v>
      </c>
      <c r="N13" s="54" t="s">
        <v>162</v>
      </c>
      <c r="O13" s="55" t="s">
        <v>80</v>
      </c>
      <c r="P13" s="50">
        <v>89.9</v>
      </c>
      <c r="Q13" s="46">
        <v>90.58</v>
      </c>
      <c r="R13" s="48" t="s">
        <v>64</v>
      </c>
      <c r="S13" s="54" t="s">
        <v>179</v>
      </c>
      <c r="T13">
        <f t="shared" si="11"/>
        <v>0.68</v>
      </c>
    </row>
    <row r="14" hidden="1">
      <c r="A14" s="32" t="str">
        <f t="shared" si="1"/>
        <v>2017CockWeek 2</v>
      </c>
      <c r="B14" s="32" t="str">
        <f t="shared" si="2"/>
        <v>2017RileyWeek 2</v>
      </c>
      <c r="C14" s="32" t="str">
        <f t="shared" si="3"/>
        <v>Week 2</v>
      </c>
      <c r="D14" s="32">
        <v>2017.0</v>
      </c>
      <c r="E14" t="str">
        <f t="shared" si="4"/>
        <v>2</v>
      </c>
      <c r="F14" t="str">
        <f t="shared" si="5"/>
        <v>Jack Babcock, Chris Cochrane</v>
      </c>
      <c r="G14" s="40" t="str">
        <f>VLOOKUP(F14,'Manager Coding'!C:D,2,0)</f>
        <v>Cock</v>
      </c>
      <c r="H14" s="41">
        <f t="shared" si="6"/>
        <v>90.04</v>
      </c>
      <c r="I14" t="str">
        <f t="shared" si="7"/>
        <v>Riley McElwain</v>
      </c>
      <c r="J14" t="str">
        <f>VLOOKUP(I14,'Manager Coding'!C:D,2,0)</f>
        <v>Riley</v>
      </c>
      <c r="K14" s="41">
        <f t="shared" si="8"/>
        <v>119.48</v>
      </c>
      <c r="L14">
        <f t="shared" si="9"/>
        <v>0</v>
      </c>
      <c r="M14">
        <f t="shared" si="10"/>
        <v>1</v>
      </c>
      <c r="N14" s="54" t="s">
        <v>171</v>
      </c>
      <c r="O14" s="55" t="s">
        <v>73</v>
      </c>
      <c r="P14" s="50">
        <v>90.04</v>
      </c>
      <c r="Q14" s="46">
        <v>119.48</v>
      </c>
      <c r="R14" s="48" t="s">
        <v>68</v>
      </c>
      <c r="S14" s="54" t="s">
        <v>189</v>
      </c>
      <c r="T14">
        <f t="shared" si="11"/>
        <v>29.44</v>
      </c>
    </row>
    <row r="15" hidden="1">
      <c r="A15" s="32" t="str">
        <f t="shared" si="1"/>
        <v>2017KnardDawgWeek 2</v>
      </c>
      <c r="B15" s="32" t="str">
        <f t="shared" si="2"/>
        <v>2017T-HowWeek 2</v>
      </c>
      <c r="C15" s="32" t="str">
        <f t="shared" si="3"/>
        <v>Week 2</v>
      </c>
      <c r="D15" s="32">
        <v>2017.0</v>
      </c>
      <c r="E15" t="str">
        <f t="shared" si="4"/>
        <v>2</v>
      </c>
      <c r="F15" t="str">
        <f t="shared" si="5"/>
        <v>Alex Kinniard, Jack Reilly</v>
      </c>
      <c r="G15" s="40" t="str">
        <f>VLOOKUP(F15,'Manager Coding'!C:D,2,0)</f>
        <v>KnardDawg</v>
      </c>
      <c r="H15" s="41">
        <f t="shared" si="6"/>
        <v>60.62</v>
      </c>
      <c r="I15" t="str">
        <f t="shared" si="7"/>
        <v>Tyler Howard</v>
      </c>
      <c r="J15" t="str">
        <f>VLOOKUP(I15,'Manager Coding'!C:D,2,0)</f>
        <v>T-How</v>
      </c>
      <c r="K15" s="41">
        <f t="shared" si="8"/>
        <v>68.66</v>
      </c>
      <c r="L15">
        <f t="shared" si="9"/>
        <v>0</v>
      </c>
      <c r="M15">
        <f t="shared" si="10"/>
        <v>1</v>
      </c>
      <c r="N15" s="54" t="s">
        <v>180</v>
      </c>
      <c r="O15" s="55" t="s">
        <v>87</v>
      </c>
      <c r="P15" s="50">
        <v>60.62</v>
      </c>
      <c r="Q15" s="46">
        <v>68.66</v>
      </c>
      <c r="R15" s="48" t="s">
        <v>85</v>
      </c>
      <c r="S15" s="54" t="s">
        <v>190</v>
      </c>
      <c r="T15">
        <f t="shared" si="11"/>
        <v>8.04</v>
      </c>
    </row>
    <row r="16" hidden="1">
      <c r="A16" s="32" t="str">
        <f t="shared" si="1"/>
        <v>#N/A</v>
      </c>
      <c r="B16" s="32" t="str">
        <f t="shared" si="2"/>
        <v>#N/A</v>
      </c>
      <c r="C16" s="32" t="str">
        <f t="shared" si="3"/>
        <v>Week 2</v>
      </c>
      <c r="D16" s="32">
        <v>2017.0</v>
      </c>
      <c r="E16" t="str">
        <f t="shared" si="4"/>
        <v>2</v>
      </c>
      <c r="F16" t="str">
        <f t="shared" si="5"/>
        <v/>
      </c>
      <c r="G16" s="40" t="str">
        <f>VLOOKUP(F16,'Manager Coding'!C:D,2,0)</f>
        <v>#N/A</v>
      </c>
      <c r="H16" s="41" t="str">
        <f t="shared" si="6"/>
        <v/>
      </c>
      <c r="I16" t="str">
        <f t="shared" si="7"/>
        <v/>
      </c>
      <c r="J16" t="str">
        <f>VLOOKUP(I16,'Manager Coding'!C:D,2,0)</f>
        <v>#N/A</v>
      </c>
      <c r="K16" s="41" t="str">
        <f t="shared" si="8"/>
        <v/>
      </c>
      <c r="L16">
        <f t="shared" si="9"/>
        <v>0</v>
      </c>
      <c r="M16">
        <f t="shared" si="10"/>
        <v>0</v>
      </c>
      <c r="N16" s="53" t="s">
        <v>234</v>
      </c>
      <c r="P16" s="41"/>
      <c r="Q16" s="41"/>
      <c r="T16">
        <f t="shared" si="11"/>
        <v>0</v>
      </c>
    </row>
    <row r="17" hidden="1">
      <c r="A17" s="32" t="str">
        <f t="shared" si="1"/>
        <v>#N/A</v>
      </c>
      <c r="B17" s="32" t="str">
        <f t="shared" si="2"/>
        <v>#N/A</v>
      </c>
      <c r="C17" s="32" t="str">
        <f t="shared" si="3"/>
        <v>Week 3</v>
      </c>
      <c r="D17" s="32">
        <v>2017.0</v>
      </c>
      <c r="E17" t="str">
        <f t="shared" si="4"/>
        <v>3</v>
      </c>
      <c r="F17" t="str">
        <f t="shared" si="5"/>
        <v>TEAM MANAGER(S)</v>
      </c>
      <c r="G17" s="40" t="str">
        <f>VLOOKUP(F17,'Manager Coding'!C:D,2,0)</f>
        <v>#N/A</v>
      </c>
      <c r="H17" s="41" t="str">
        <f t="shared" si="6"/>
        <v>SCORE</v>
      </c>
      <c r="I17" t="str">
        <f t="shared" si="7"/>
        <v>TEAM MANAGER(S)</v>
      </c>
      <c r="J17" t="str">
        <f>VLOOKUP(I17,'Manager Coding'!C:D,2,0)</f>
        <v>#N/A</v>
      </c>
      <c r="K17" s="41" t="str">
        <f t="shared" si="8"/>
        <v>SCORE</v>
      </c>
      <c r="L17">
        <f t="shared" si="9"/>
        <v>0</v>
      </c>
      <c r="M17">
        <f t="shared" si="10"/>
        <v>0</v>
      </c>
      <c r="N17" s="24" t="s">
        <v>197</v>
      </c>
      <c r="O17" s="24" t="s">
        <v>88</v>
      </c>
      <c r="P17" s="26" t="s">
        <v>94</v>
      </c>
      <c r="Q17" s="27" t="s">
        <v>94</v>
      </c>
      <c r="R17" s="30" t="s">
        <v>88</v>
      </c>
      <c r="S17" s="30" t="s">
        <v>101</v>
      </c>
      <c r="T17">
        <f t="shared" si="11"/>
        <v>0</v>
      </c>
    </row>
    <row r="18" hidden="1">
      <c r="A18" s="32" t="str">
        <f t="shared" si="1"/>
        <v>2017TayskiWeek 3</v>
      </c>
      <c r="B18" s="32" t="str">
        <f t="shared" si="2"/>
        <v>2017BuserWeek 3</v>
      </c>
      <c r="C18" s="32" t="str">
        <f t="shared" si="3"/>
        <v>Week 3</v>
      </c>
      <c r="D18" s="32">
        <v>2017.0</v>
      </c>
      <c r="E18" t="str">
        <f t="shared" si="4"/>
        <v>3</v>
      </c>
      <c r="F18" t="str">
        <f t="shared" si="5"/>
        <v>Taylor Weis</v>
      </c>
      <c r="G18" s="40" t="str">
        <f>VLOOKUP(F18,'Manager Coding'!C:D,2,0)</f>
        <v>Tayski</v>
      </c>
      <c r="H18" s="41">
        <f t="shared" si="6"/>
        <v>50.7</v>
      </c>
      <c r="I18" t="str">
        <f t="shared" si="7"/>
        <v>Ed Buser</v>
      </c>
      <c r="J18" t="str">
        <f>VLOOKUP(I18,'Manager Coding'!C:D,2,0)</f>
        <v>Buser</v>
      </c>
      <c r="K18" s="41">
        <f t="shared" si="8"/>
        <v>101.34</v>
      </c>
      <c r="L18">
        <f t="shared" si="9"/>
        <v>0</v>
      </c>
      <c r="M18">
        <f t="shared" si="10"/>
        <v>1</v>
      </c>
      <c r="N18" s="54" t="s">
        <v>127</v>
      </c>
      <c r="O18" s="55" t="s">
        <v>54</v>
      </c>
      <c r="P18" s="50">
        <v>50.7</v>
      </c>
      <c r="Q18" s="46">
        <v>101.34</v>
      </c>
      <c r="R18" s="48" t="s">
        <v>50</v>
      </c>
      <c r="S18" s="54" t="s">
        <v>160</v>
      </c>
      <c r="T18">
        <f t="shared" si="11"/>
        <v>50.64</v>
      </c>
    </row>
    <row r="19" hidden="1">
      <c r="A19" s="32" t="str">
        <f t="shared" si="1"/>
        <v>2017Rooney/JacksonWeek 3</v>
      </c>
      <c r="B19" s="32" t="str">
        <f t="shared" si="2"/>
        <v>2017PiersonWeek 3</v>
      </c>
      <c r="C19" s="32" t="str">
        <f t="shared" si="3"/>
        <v>Week 3</v>
      </c>
      <c r="D19" s="32">
        <v>2017.0</v>
      </c>
      <c r="E19" t="str">
        <f t="shared" si="4"/>
        <v>3</v>
      </c>
      <c r="F19" t="str">
        <f t="shared" si="5"/>
        <v>Stephen Rooney, Jackson Sattell</v>
      </c>
      <c r="G19" s="40" t="str">
        <f>VLOOKUP(F19,'Manager Coding'!C:D,2,0)</f>
        <v>Rooney/Jackson</v>
      </c>
      <c r="H19" s="41">
        <f t="shared" si="6"/>
        <v>70.02</v>
      </c>
      <c r="I19" t="str">
        <f t="shared" si="7"/>
        <v>Pierson Curtis</v>
      </c>
      <c r="J19" t="str">
        <f>VLOOKUP(I19,'Manager Coding'!C:D,2,0)</f>
        <v>Pierson</v>
      </c>
      <c r="K19" s="41">
        <f t="shared" si="8"/>
        <v>99.32</v>
      </c>
      <c r="L19">
        <f t="shared" si="9"/>
        <v>0</v>
      </c>
      <c r="M19">
        <f t="shared" si="10"/>
        <v>1</v>
      </c>
      <c r="N19" s="54" t="s">
        <v>170</v>
      </c>
      <c r="O19" s="55" t="s">
        <v>58</v>
      </c>
      <c r="P19" s="50">
        <v>70.02</v>
      </c>
      <c r="Q19" s="46">
        <v>99.32</v>
      </c>
      <c r="R19" s="48" t="s">
        <v>93</v>
      </c>
      <c r="S19" s="54" t="s">
        <v>144</v>
      </c>
      <c r="T19">
        <f t="shared" si="11"/>
        <v>29.3</v>
      </c>
    </row>
    <row r="20" hidden="1">
      <c r="A20" s="32" t="str">
        <f t="shared" si="1"/>
        <v>2017HudspeathWeek 3</v>
      </c>
      <c r="B20" s="32" t="str">
        <f t="shared" si="2"/>
        <v>2017ShepWeek 3</v>
      </c>
      <c r="C20" s="32" t="str">
        <f t="shared" si="3"/>
        <v>Week 3</v>
      </c>
      <c r="D20" s="32">
        <v>2017.0</v>
      </c>
      <c r="E20" t="str">
        <f t="shared" si="4"/>
        <v>3</v>
      </c>
      <c r="F20" t="str">
        <f t="shared" si="5"/>
        <v>matt hudspeath</v>
      </c>
      <c r="G20" s="40" t="str">
        <f>VLOOKUP(F20,'Manager Coding'!C:D,2,0)</f>
        <v>Hudspeath</v>
      </c>
      <c r="H20" s="41">
        <f t="shared" si="6"/>
        <v>90.6</v>
      </c>
      <c r="I20" t="str">
        <f t="shared" si="7"/>
        <v>Jordan Shepherd</v>
      </c>
      <c r="J20" t="str">
        <f>VLOOKUP(I20,'Manager Coding'!C:D,2,0)</f>
        <v>Shep</v>
      </c>
      <c r="K20" s="41">
        <f t="shared" si="8"/>
        <v>68.56</v>
      </c>
      <c r="L20">
        <f t="shared" si="9"/>
        <v>1</v>
      </c>
      <c r="M20">
        <f t="shared" si="10"/>
        <v>0</v>
      </c>
      <c r="N20" s="54" t="s">
        <v>179</v>
      </c>
      <c r="O20" s="55" t="s">
        <v>64</v>
      </c>
      <c r="P20" s="50">
        <v>90.6</v>
      </c>
      <c r="Q20" s="46">
        <v>68.56</v>
      </c>
      <c r="R20" s="48" t="s">
        <v>91</v>
      </c>
      <c r="S20" s="54" t="s">
        <v>128</v>
      </c>
      <c r="T20">
        <f t="shared" si="11"/>
        <v>22.04</v>
      </c>
    </row>
    <row r="21" hidden="1">
      <c r="A21" s="32" t="str">
        <f t="shared" si="1"/>
        <v>2017RileyWeek 3</v>
      </c>
      <c r="B21" s="32" t="str">
        <f t="shared" si="2"/>
        <v>2017SaltyWeek 3</v>
      </c>
      <c r="C21" s="32" t="str">
        <f t="shared" si="3"/>
        <v>Week 3</v>
      </c>
      <c r="D21" s="32">
        <v>2017.0</v>
      </c>
      <c r="E21" t="str">
        <f t="shared" si="4"/>
        <v>3</v>
      </c>
      <c r="F21" t="str">
        <f t="shared" si="5"/>
        <v>Riley McElwain</v>
      </c>
      <c r="G21" s="40" t="str">
        <f>VLOOKUP(F21,'Manager Coding'!C:D,2,0)</f>
        <v>Riley</v>
      </c>
      <c r="H21" s="41">
        <f t="shared" si="6"/>
        <v>114.22</v>
      </c>
      <c r="I21" t="str">
        <f t="shared" si="7"/>
        <v>R Saltiel</v>
      </c>
      <c r="J21" t="str">
        <f>VLOOKUP(I21,'Manager Coding'!C:D,2,0)</f>
        <v>Salty</v>
      </c>
      <c r="K21" s="41">
        <f t="shared" si="8"/>
        <v>107.06</v>
      </c>
      <c r="L21">
        <f t="shared" si="9"/>
        <v>1</v>
      </c>
      <c r="M21">
        <f t="shared" si="10"/>
        <v>0</v>
      </c>
      <c r="N21" s="54" t="s">
        <v>189</v>
      </c>
      <c r="O21" s="55" t="s">
        <v>68</v>
      </c>
      <c r="P21" s="50">
        <v>114.22</v>
      </c>
      <c r="Q21" s="46">
        <v>107.06</v>
      </c>
      <c r="R21" s="48" t="s">
        <v>77</v>
      </c>
      <c r="S21" s="54" t="s">
        <v>148</v>
      </c>
      <c r="T21">
        <f t="shared" si="11"/>
        <v>7.16</v>
      </c>
    </row>
    <row r="22" hidden="1">
      <c r="A22" s="32" t="str">
        <f t="shared" si="1"/>
        <v>2017T-HowWeek 3</v>
      </c>
      <c r="B22" s="32" t="str">
        <f t="shared" si="2"/>
        <v>2017FellowsWeek 3</v>
      </c>
      <c r="C22" s="32" t="str">
        <f t="shared" si="3"/>
        <v>Week 3</v>
      </c>
      <c r="D22" s="32">
        <v>2017.0</v>
      </c>
      <c r="E22" t="str">
        <f t="shared" si="4"/>
        <v>3</v>
      </c>
      <c r="F22" t="str">
        <f t="shared" si="5"/>
        <v>Tyler Howard</v>
      </c>
      <c r="G22" s="40" t="str">
        <f>VLOOKUP(F22,'Manager Coding'!C:D,2,0)</f>
        <v>T-How</v>
      </c>
      <c r="H22" s="41">
        <f t="shared" si="6"/>
        <v>85</v>
      </c>
      <c r="I22" t="str">
        <f t="shared" si="7"/>
        <v>Michael Fellows</v>
      </c>
      <c r="J22" t="str">
        <f>VLOOKUP(I22,'Manager Coding'!C:D,2,0)</f>
        <v>Fellows</v>
      </c>
      <c r="K22" s="41">
        <f t="shared" si="8"/>
        <v>73.66</v>
      </c>
      <c r="L22">
        <f t="shared" si="9"/>
        <v>1</v>
      </c>
      <c r="M22">
        <f t="shared" si="10"/>
        <v>0</v>
      </c>
      <c r="N22" s="54" t="s">
        <v>190</v>
      </c>
      <c r="O22" s="55" t="s">
        <v>85</v>
      </c>
      <c r="P22" s="50">
        <v>85.0</v>
      </c>
      <c r="Q22" s="46">
        <v>73.66</v>
      </c>
      <c r="R22" s="48" t="s">
        <v>80</v>
      </c>
      <c r="S22" s="54" t="s">
        <v>162</v>
      </c>
      <c r="T22">
        <f t="shared" si="11"/>
        <v>11.34</v>
      </c>
    </row>
    <row r="23" hidden="1">
      <c r="A23" s="32" t="str">
        <f t="shared" si="1"/>
        <v>2017KnardDawgWeek 3</v>
      </c>
      <c r="B23" s="32" t="str">
        <f t="shared" si="2"/>
        <v>2017CockWeek 3</v>
      </c>
      <c r="C23" s="32" t="str">
        <f t="shared" si="3"/>
        <v>Week 3</v>
      </c>
      <c r="D23" s="32">
        <v>2017.0</v>
      </c>
      <c r="E23" t="str">
        <f t="shared" si="4"/>
        <v>3</v>
      </c>
      <c r="F23" t="str">
        <f t="shared" si="5"/>
        <v>Alex Kinniard, Jack Reilly</v>
      </c>
      <c r="G23" s="40" t="str">
        <f>VLOOKUP(F23,'Manager Coding'!C:D,2,0)</f>
        <v>KnardDawg</v>
      </c>
      <c r="H23" s="41">
        <f t="shared" si="6"/>
        <v>86.38</v>
      </c>
      <c r="I23" t="str">
        <f t="shared" si="7"/>
        <v>Jack Babcock, Chris Cochrane</v>
      </c>
      <c r="J23" t="str">
        <f>VLOOKUP(I23,'Manager Coding'!C:D,2,0)</f>
        <v>Cock</v>
      </c>
      <c r="K23" s="41">
        <f t="shared" si="8"/>
        <v>110.1</v>
      </c>
      <c r="L23">
        <f t="shared" si="9"/>
        <v>0</v>
      </c>
      <c r="M23">
        <f t="shared" si="10"/>
        <v>1</v>
      </c>
      <c r="N23" s="54" t="s">
        <v>180</v>
      </c>
      <c r="O23" s="55" t="s">
        <v>87</v>
      </c>
      <c r="P23" s="50">
        <v>86.38</v>
      </c>
      <c r="Q23" s="46">
        <v>110.1</v>
      </c>
      <c r="R23" s="48" t="s">
        <v>73</v>
      </c>
      <c r="S23" s="54" t="s">
        <v>171</v>
      </c>
      <c r="T23">
        <f t="shared" si="11"/>
        <v>23.72</v>
      </c>
    </row>
    <row r="24" hidden="1">
      <c r="A24" s="32" t="str">
        <f t="shared" si="1"/>
        <v>#N/A</v>
      </c>
      <c r="B24" s="32" t="str">
        <f t="shared" si="2"/>
        <v>#N/A</v>
      </c>
      <c r="C24" s="32" t="str">
        <f t="shared" si="3"/>
        <v>Week 3</v>
      </c>
      <c r="D24" s="32">
        <v>2017.0</v>
      </c>
      <c r="E24" t="str">
        <f t="shared" si="4"/>
        <v>3</v>
      </c>
      <c r="F24" t="str">
        <f t="shared" si="5"/>
        <v/>
      </c>
      <c r="G24" s="40" t="str">
        <f>VLOOKUP(F24,'Manager Coding'!C:D,2,0)</f>
        <v>#N/A</v>
      </c>
      <c r="H24" s="41" t="str">
        <f t="shared" si="6"/>
        <v/>
      </c>
      <c r="I24" t="str">
        <f t="shared" si="7"/>
        <v/>
      </c>
      <c r="J24" t="str">
        <f>VLOOKUP(I24,'Manager Coding'!C:D,2,0)</f>
        <v>#N/A</v>
      </c>
      <c r="K24" s="41" t="str">
        <f t="shared" si="8"/>
        <v/>
      </c>
      <c r="L24">
        <f t="shared" si="9"/>
        <v>0</v>
      </c>
      <c r="M24">
        <f t="shared" si="10"/>
        <v>0</v>
      </c>
      <c r="N24" s="53" t="s">
        <v>260</v>
      </c>
      <c r="P24" s="41"/>
      <c r="Q24" s="41"/>
      <c r="T24">
        <f t="shared" si="11"/>
        <v>0</v>
      </c>
    </row>
    <row r="25" hidden="1">
      <c r="A25" s="32" t="str">
        <f t="shared" si="1"/>
        <v>#N/A</v>
      </c>
      <c r="B25" s="32" t="str">
        <f t="shared" si="2"/>
        <v>#N/A</v>
      </c>
      <c r="C25" s="32" t="str">
        <f t="shared" si="3"/>
        <v>Week 4</v>
      </c>
      <c r="D25" s="32">
        <v>2017.0</v>
      </c>
      <c r="E25" t="str">
        <f t="shared" si="4"/>
        <v>4</v>
      </c>
      <c r="F25" t="str">
        <f t="shared" si="5"/>
        <v>TEAM MANAGER(S)</v>
      </c>
      <c r="G25" s="40" t="str">
        <f>VLOOKUP(F25,'Manager Coding'!C:D,2,0)</f>
        <v>#N/A</v>
      </c>
      <c r="H25" s="41" t="str">
        <f t="shared" si="6"/>
        <v>SCORE</v>
      </c>
      <c r="I25" t="str">
        <f t="shared" si="7"/>
        <v>TEAM MANAGER(S)</v>
      </c>
      <c r="J25" t="str">
        <f>VLOOKUP(I25,'Manager Coding'!C:D,2,0)</f>
        <v>#N/A</v>
      </c>
      <c r="K25" s="41" t="str">
        <f t="shared" si="8"/>
        <v>SCORE</v>
      </c>
      <c r="L25">
        <f t="shared" si="9"/>
        <v>0</v>
      </c>
      <c r="M25">
        <f t="shared" si="10"/>
        <v>0</v>
      </c>
      <c r="N25" s="24" t="s">
        <v>197</v>
      </c>
      <c r="O25" s="24" t="s">
        <v>88</v>
      </c>
      <c r="P25" s="26" t="s">
        <v>94</v>
      </c>
      <c r="Q25" s="27" t="s">
        <v>94</v>
      </c>
      <c r="R25" s="30" t="s">
        <v>88</v>
      </c>
      <c r="S25" s="30" t="s">
        <v>101</v>
      </c>
      <c r="T25">
        <f t="shared" si="11"/>
        <v>0</v>
      </c>
    </row>
    <row r="26" hidden="1">
      <c r="A26" s="32" t="str">
        <f t="shared" si="1"/>
        <v>2017Rooney/JacksonWeek 4</v>
      </c>
      <c r="B26" s="32" t="str">
        <f t="shared" si="2"/>
        <v>2017TayskiWeek 4</v>
      </c>
      <c r="C26" s="32" t="str">
        <f t="shared" si="3"/>
        <v>Week 4</v>
      </c>
      <c r="D26" s="32">
        <v>2017.0</v>
      </c>
      <c r="E26" t="str">
        <f t="shared" si="4"/>
        <v>4</v>
      </c>
      <c r="F26" t="str">
        <f t="shared" si="5"/>
        <v>Stephen Rooney, Jackson Sattell</v>
      </c>
      <c r="G26" s="40" t="str">
        <f>VLOOKUP(F26,'Manager Coding'!C:D,2,0)</f>
        <v>Rooney/Jackson</v>
      </c>
      <c r="H26" s="41">
        <f t="shared" si="6"/>
        <v>74.12</v>
      </c>
      <c r="I26" t="str">
        <f t="shared" si="7"/>
        <v>Taylor Weis</v>
      </c>
      <c r="J26" t="str">
        <f>VLOOKUP(I26,'Manager Coding'!C:D,2,0)</f>
        <v>Tayski</v>
      </c>
      <c r="K26" s="41">
        <f t="shared" si="8"/>
        <v>65.54</v>
      </c>
      <c r="L26">
        <f t="shared" si="9"/>
        <v>1</v>
      </c>
      <c r="M26">
        <f t="shared" si="10"/>
        <v>0</v>
      </c>
      <c r="N26" s="54" t="s">
        <v>170</v>
      </c>
      <c r="O26" s="55" t="s">
        <v>58</v>
      </c>
      <c r="P26" s="50">
        <v>74.12</v>
      </c>
      <c r="Q26" s="46">
        <v>65.54</v>
      </c>
      <c r="R26" s="48" t="s">
        <v>54</v>
      </c>
      <c r="S26" s="54" t="s">
        <v>127</v>
      </c>
      <c r="T26">
        <f t="shared" si="11"/>
        <v>8.58</v>
      </c>
    </row>
    <row r="27" hidden="1">
      <c r="A27" s="32" t="str">
        <f t="shared" si="1"/>
        <v>2017BuserWeek 4</v>
      </c>
      <c r="B27" s="32" t="str">
        <f t="shared" si="2"/>
        <v>2017HudspeathWeek 4</v>
      </c>
      <c r="C27" s="32" t="str">
        <f t="shared" si="3"/>
        <v>Week 4</v>
      </c>
      <c r="D27" s="32">
        <v>2017.0</v>
      </c>
      <c r="E27" t="str">
        <f t="shared" si="4"/>
        <v>4</v>
      </c>
      <c r="F27" t="str">
        <f t="shared" si="5"/>
        <v>Ed Buser</v>
      </c>
      <c r="G27" s="40" t="str">
        <f>VLOOKUP(F27,'Manager Coding'!C:D,2,0)</f>
        <v>Buser</v>
      </c>
      <c r="H27" s="41">
        <f t="shared" si="6"/>
        <v>62.18</v>
      </c>
      <c r="I27" t="str">
        <f t="shared" si="7"/>
        <v>matt hudspeath</v>
      </c>
      <c r="J27" t="str">
        <f>VLOOKUP(I27,'Manager Coding'!C:D,2,0)</f>
        <v>Hudspeath</v>
      </c>
      <c r="K27" s="41">
        <f t="shared" si="8"/>
        <v>120.58</v>
      </c>
      <c r="L27">
        <f t="shared" si="9"/>
        <v>0</v>
      </c>
      <c r="M27">
        <f t="shared" si="10"/>
        <v>1</v>
      </c>
      <c r="N27" s="54" t="s">
        <v>160</v>
      </c>
      <c r="O27" s="55" t="s">
        <v>50</v>
      </c>
      <c r="P27" s="50">
        <v>62.18</v>
      </c>
      <c r="Q27" s="46">
        <v>120.58</v>
      </c>
      <c r="R27" s="48" t="s">
        <v>64</v>
      </c>
      <c r="S27" s="54" t="s">
        <v>179</v>
      </c>
      <c r="T27">
        <f t="shared" si="11"/>
        <v>58.4</v>
      </c>
    </row>
    <row r="28" hidden="1">
      <c r="A28" s="32" t="str">
        <f t="shared" si="1"/>
        <v>2017PiersonWeek 4</v>
      </c>
      <c r="B28" s="32" t="str">
        <f t="shared" si="2"/>
        <v>2017RileyWeek 4</v>
      </c>
      <c r="C28" s="32" t="str">
        <f t="shared" si="3"/>
        <v>Week 4</v>
      </c>
      <c r="D28" s="32">
        <v>2017.0</v>
      </c>
      <c r="E28" t="str">
        <f t="shared" si="4"/>
        <v>4</v>
      </c>
      <c r="F28" t="str">
        <f t="shared" si="5"/>
        <v>Pierson Curtis</v>
      </c>
      <c r="G28" s="40" t="str">
        <f>VLOOKUP(F28,'Manager Coding'!C:D,2,0)</f>
        <v>Pierson</v>
      </c>
      <c r="H28" s="41">
        <f t="shared" si="6"/>
        <v>136.86</v>
      </c>
      <c r="I28" t="str">
        <f t="shared" si="7"/>
        <v>Riley McElwain</v>
      </c>
      <c r="J28" t="str">
        <f>VLOOKUP(I28,'Manager Coding'!C:D,2,0)</f>
        <v>Riley</v>
      </c>
      <c r="K28" s="41">
        <f t="shared" si="8"/>
        <v>110.58</v>
      </c>
      <c r="L28">
        <f t="shared" si="9"/>
        <v>1</v>
      </c>
      <c r="M28">
        <f t="shared" si="10"/>
        <v>0</v>
      </c>
      <c r="N28" s="54" t="s">
        <v>144</v>
      </c>
      <c r="O28" s="55" t="s">
        <v>93</v>
      </c>
      <c r="P28" s="50">
        <v>136.86</v>
      </c>
      <c r="Q28" s="46">
        <v>110.58</v>
      </c>
      <c r="R28" s="48" t="s">
        <v>68</v>
      </c>
      <c r="S28" s="54" t="s">
        <v>189</v>
      </c>
      <c r="T28">
        <f t="shared" si="11"/>
        <v>26.28</v>
      </c>
    </row>
    <row r="29" hidden="1">
      <c r="A29" s="32" t="str">
        <f t="shared" si="1"/>
        <v>2017ShepWeek 4</v>
      </c>
      <c r="B29" s="32" t="str">
        <f t="shared" si="2"/>
        <v>2017T-HowWeek 4</v>
      </c>
      <c r="C29" s="32" t="str">
        <f t="shared" si="3"/>
        <v>Week 4</v>
      </c>
      <c r="D29" s="32">
        <v>2017.0</v>
      </c>
      <c r="E29" t="str">
        <f t="shared" si="4"/>
        <v>4</v>
      </c>
      <c r="F29" t="str">
        <f t="shared" si="5"/>
        <v>Jordan Shepherd</v>
      </c>
      <c r="G29" s="40" t="str">
        <f>VLOOKUP(F29,'Manager Coding'!C:D,2,0)</f>
        <v>Shep</v>
      </c>
      <c r="H29" s="41">
        <f t="shared" si="6"/>
        <v>103.1</v>
      </c>
      <c r="I29" t="str">
        <f t="shared" si="7"/>
        <v>Tyler Howard</v>
      </c>
      <c r="J29" t="str">
        <f>VLOOKUP(I29,'Manager Coding'!C:D,2,0)</f>
        <v>T-How</v>
      </c>
      <c r="K29" s="41">
        <f t="shared" si="8"/>
        <v>70.5</v>
      </c>
      <c r="L29">
        <f t="shared" si="9"/>
        <v>1</v>
      </c>
      <c r="M29">
        <f t="shared" si="10"/>
        <v>0</v>
      </c>
      <c r="N29" s="54" t="s">
        <v>128</v>
      </c>
      <c r="O29" s="55" t="s">
        <v>91</v>
      </c>
      <c r="P29" s="50">
        <v>103.1</v>
      </c>
      <c r="Q29" s="46">
        <v>70.5</v>
      </c>
      <c r="R29" s="48" t="s">
        <v>85</v>
      </c>
      <c r="S29" s="54" t="s">
        <v>190</v>
      </c>
      <c r="T29">
        <f t="shared" si="11"/>
        <v>32.6</v>
      </c>
    </row>
    <row r="30" hidden="1">
      <c r="A30" s="32" t="str">
        <f t="shared" si="1"/>
        <v>2017SaltyWeek 4</v>
      </c>
      <c r="B30" s="32" t="str">
        <f t="shared" si="2"/>
        <v>2017KnardDawgWeek 4</v>
      </c>
      <c r="C30" s="32" t="str">
        <f t="shared" si="3"/>
        <v>Week 4</v>
      </c>
      <c r="D30" s="32">
        <v>2017.0</v>
      </c>
      <c r="E30" t="str">
        <f t="shared" si="4"/>
        <v>4</v>
      </c>
      <c r="F30" t="str">
        <f t="shared" si="5"/>
        <v>R Saltiel</v>
      </c>
      <c r="G30" s="40" t="str">
        <f>VLOOKUP(F30,'Manager Coding'!C:D,2,0)</f>
        <v>Salty</v>
      </c>
      <c r="H30" s="41">
        <f t="shared" si="6"/>
        <v>51.18</v>
      </c>
      <c r="I30" t="str">
        <f t="shared" si="7"/>
        <v>Alex Kinniard, Jack Reilly</v>
      </c>
      <c r="J30" t="str">
        <f>VLOOKUP(I30,'Manager Coding'!C:D,2,0)</f>
        <v>KnardDawg</v>
      </c>
      <c r="K30" s="41">
        <f t="shared" si="8"/>
        <v>128.64</v>
      </c>
      <c r="L30">
        <f t="shared" si="9"/>
        <v>0</v>
      </c>
      <c r="M30">
        <f t="shared" si="10"/>
        <v>1</v>
      </c>
      <c r="N30" s="54" t="s">
        <v>148</v>
      </c>
      <c r="O30" s="55" t="s">
        <v>77</v>
      </c>
      <c r="P30" s="50">
        <v>51.18</v>
      </c>
      <c r="Q30" s="46">
        <v>128.64</v>
      </c>
      <c r="R30" s="48" t="s">
        <v>87</v>
      </c>
      <c r="S30" s="54" t="s">
        <v>180</v>
      </c>
      <c r="T30">
        <f t="shared" si="11"/>
        <v>77.46</v>
      </c>
    </row>
    <row r="31" hidden="1">
      <c r="A31" s="32" t="str">
        <f t="shared" si="1"/>
        <v>2017FellowsWeek 4</v>
      </c>
      <c r="B31" s="32" t="str">
        <f t="shared" si="2"/>
        <v>2017CockWeek 4</v>
      </c>
      <c r="C31" s="32" t="str">
        <f t="shared" si="3"/>
        <v>Week 4</v>
      </c>
      <c r="D31" s="32">
        <v>2017.0</v>
      </c>
      <c r="E31" t="str">
        <f t="shared" si="4"/>
        <v>4</v>
      </c>
      <c r="F31" t="str">
        <f t="shared" si="5"/>
        <v>Michael Fellows</v>
      </c>
      <c r="G31" s="40" t="str">
        <f>VLOOKUP(F31,'Manager Coding'!C:D,2,0)</f>
        <v>Fellows</v>
      </c>
      <c r="H31" s="41">
        <f t="shared" si="6"/>
        <v>79.88</v>
      </c>
      <c r="I31" t="str">
        <f t="shared" si="7"/>
        <v>Jack Babcock, Chris Cochrane</v>
      </c>
      <c r="J31" t="str">
        <f>VLOOKUP(I31,'Manager Coding'!C:D,2,0)</f>
        <v>Cock</v>
      </c>
      <c r="K31" s="41">
        <f t="shared" si="8"/>
        <v>82.62</v>
      </c>
      <c r="L31">
        <f t="shared" si="9"/>
        <v>0</v>
      </c>
      <c r="M31">
        <f t="shared" si="10"/>
        <v>1</v>
      </c>
      <c r="N31" s="54" t="s">
        <v>162</v>
      </c>
      <c r="O31" s="55" t="s">
        <v>80</v>
      </c>
      <c r="P31" s="50">
        <v>79.88</v>
      </c>
      <c r="Q31" s="46">
        <v>82.62</v>
      </c>
      <c r="R31" s="48" t="s">
        <v>73</v>
      </c>
      <c r="S31" s="54" t="s">
        <v>171</v>
      </c>
      <c r="T31">
        <f t="shared" si="11"/>
        <v>2.74</v>
      </c>
    </row>
    <row r="32" hidden="1">
      <c r="A32" s="32" t="str">
        <f t="shared" si="1"/>
        <v>#N/A</v>
      </c>
      <c r="B32" s="32" t="str">
        <f t="shared" si="2"/>
        <v>#N/A</v>
      </c>
      <c r="C32" s="32" t="str">
        <f t="shared" si="3"/>
        <v>Week 4</v>
      </c>
      <c r="D32" s="32">
        <v>2017.0</v>
      </c>
      <c r="E32" t="str">
        <f t="shared" si="4"/>
        <v>4</v>
      </c>
      <c r="F32" t="str">
        <f t="shared" si="5"/>
        <v/>
      </c>
      <c r="G32" s="40" t="str">
        <f>VLOOKUP(F32,'Manager Coding'!C:D,2,0)</f>
        <v>#N/A</v>
      </c>
      <c r="H32" s="41" t="str">
        <f t="shared" si="6"/>
        <v/>
      </c>
      <c r="I32" t="str">
        <f t="shared" si="7"/>
        <v/>
      </c>
      <c r="J32" t="str">
        <f>VLOOKUP(I32,'Manager Coding'!C:D,2,0)</f>
        <v>#N/A</v>
      </c>
      <c r="K32" s="41" t="str">
        <f t="shared" si="8"/>
        <v/>
      </c>
      <c r="L32">
        <f t="shared" si="9"/>
        <v>0</v>
      </c>
      <c r="M32">
        <f t="shared" si="10"/>
        <v>0</v>
      </c>
      <c r="N32" s="53" t="s">
        <v>291</v>
      </c>
      <c r="P32" s="41"/>
      <c r="Q32" s="41"/>
      <c r="T32">
        <f t="shared" si="11"/>
        <v>0</v>
      </c>
    </row>
    <row r="33" hidden="1">
      <c r="A33" s="32" t="str">
        <f t="shared" si="1"/>
        <v>#N/A</v>
      </c>
      <c r="B33" s="32" t="str">
        <f t="shared" si="2"/>
        <v>#N/A</v>
      </c>
      <c r="C33" s="32" t="str">
        <f t="shared" si="3"/>
        <v>Week 5</v>
      </c>
      <c r="D33" s="32">
        <v>2017.0</v>
      </c>
      <c r="E33" t="str">
        <f t="shared" si="4"/>
        <v>5</v>
      </c>
      <c r="F33" t="str">
        <f t="shared" si="5"/>
        <v>TEAM MANAGER(S)</v>
      </c>
      <c r="G33" s="40" t="str">
        <f>VLOOKUP(F33,'Manager Coding'!C:D,2,0)</f>
        <v>#N/A</v>
      </c>
      <c r="H33" s="41" t="str">
        <f t="shared" si="6"/>
        <v>SCORE</v>
      </c>
      <c r="I33" t="str">
        <f t="shared" si="7"/>
        <v>TEAM MANAGER(S)</v>
      </c>
      <c r="J33" t="str">
        <f>VLOOKUP(I33,'Manager Coding'!C:D,2,0)</f>
        <v>#N/A</v>
      </c>
      <c r="K33" s="41" t="str">
        <f t="shared" si="8"/>
        <v>SCORE</v>
      </c>
      <c r="L33">
        <f t="shared" si="9"/>
        <v>0</v>
      </c>
      <c r="M33">
        <f t="shared" si="10"/>
        <v>0</v>
      </c>
      <c r="N33" s="24" t="s">
        <v>197</v>
      </c>
      <c r="O33" s="24" t="s">
        <v>88</v>
      </c>
      <c r="P33" s="26" t="s">
        <v>94</v>
      </c>
      <c r="Q33" s="27" t="s">
        <v>94</v>
      </c>
      <c r="R33" s="30" t="s">
        <v>88</v>
      </c>
      <c r="S33" s="30" t="s">
        <v>101</v>
      </c>
      <c r="T33">
        <f t="shared" si="11"/>
        <v>0</v>
      </c>
    </row>
    <row r="34" hidden="1">
      <c r="A34" s="32" t="str">
        <f t="shared" si="1"/>
        <v>2017TayskiWeek 5</v>
      </c>
      <c r="B34" s="32" t="str">
        <f t="shared" si="2"/>
        <v>2017HudspeathWeek 5</v>
      </c>
      <c r="C34" s="32" t="str">
        <f t="shared" si="3"/>
        <v>Week 5</v>
      </c>
      <c r="D34" s="32">
        <v>2017.0</v>
      </c>
      <c r="E34" t="str">
        <f t="shared" si="4"/>
        <v>5</v>
      </c>
      <c r="F34" t="str">
        <f t="shared" si="5"/>
        <v>Taylor Weis</v>
      </c>
      <c r="G34" s="40" t="str">
        <f>VLOOKUP(F34,'Manager Coding'!C:D,2,0)</f>
        <v>Tayski</v>
      </c>
      <c r="H34" s="41">
        <f t="shared" si="6"/>
        <v>81.26</v>
      </c>
      <c r="I34" t="str">
        <f t="shared" si="7"/>
        <v>matt hudspeath</v>
      </c>
      <c r="J34" t="str">
        <f>VLOOKUP(I34,'Manager Coding'!C:D,2,0)</f>
        <v>Hudspeath</v>
      </c>
      <c r="K34" s="41">
        <f t="shared" si="8"/>
        <v>81.08</v>
      </c>
      <c r="L34">
        <f t="shared" si="9"/>
        <v>1</v>
      </c>
      <c r="M34">
        <f t="shared" si="10"/>
        <v>0</v>
      </c>
      <c r="N34" s="54" t="s">
        <v>127</v>
      </c>
      <c r="O34" s="55" t="s">
        <v>54</v>
      </c>
      <c r="P34" s="50">
        <v>81.26</v>
      </c>
      <c r="Q34" s="46">
        <v>81.08</v>
      </c>
      <c r="R34" s="48" t="s">
        <v>64</v>
      </c>
      <c r="S34" s="54" t="s">
        <v>179</v>
      </c>
      <c r="T34">
        <f t="shared" si="11"/>
        <v>0.18</v>
      </c>
    </row>
    <row r="35" hidden="1">
      <c r="A35" s="32" t="str">
        <f t="shared" si="1"/>
        <v>2017RileyWeek 5</v>
      </c>
      <c r="B35" s="32" t="str">
        <f t="shared" si="2"/>
        <v>2017Rooney/JacksonWeek 5</v>
      </c>
      <c r="C35" s="32" t="str">
        <f t="shared" si="3"/>
        <v>Week 5</v>
      </c>
      <c r="D35" s="32">
        <v>2017.0</v>
      </c>
      <c r="E35" t="str">
        <f t="shared" si="4"/>
        <v>5</v>
      </c>
      <c r="F35" t="str">
        <f t="shared" si="5"/>
        <v>Riley McElwain</v>
      </c>
      <c r="G35" s="40" t="str">
        <f>VLOOKUP(F35,'Manager Coding'!C:D,2,0)</f>
        <v>Riley</v>
      </c>
      <c r="H35" s="41">
        <f t="shared" si="6"/>
        <v>96.22</v>
      </c>
      <c r="I35" t="str">
        <f t="shared" si="7"/>
        <v>Stephen Rooney, Jackson Sattell</v>
      </c>
      <c r="J35" t="str">
        <f>VLOOKUP(I35,'Manager Coding'!C:D,2,0)</f>
        <v>Rooney/Jackson</v>
      </c>
      <c r="K35" s="41">
        <f t="shared" si="8"/>
        <v>91.36</v>
      </c>
      <c r="L35">
        <f t="shared" si="9"/>
        <v>1</v>
      </c>
      <c r="M35">
        <f t="shared" si="10"/>
        <v>0</v>
      </c>
      <c r="N35" s="54" t="s">
        <v>189</v>
      </c>
      <c r="O35" s="55" t="s">
        <v>68</v>
      </c>
      <c r="P35" s="50">
        <v>96.22</v>
      </c>
      <c r="Q35" s="46">
        <v>91.36</v>
      </c>
      <c r="R35" s="48" t="s">
        <v>58</v>
      </c>
      <c r="S35" s="54" t="s">
        <v>170</v>
      </c>
      <c r="T35">
        <f t="shared" si="11"/>
        <v>4.86</v>
      </c>
    </row>
    <row r="36" hidden="1">
      <c r="A36" s="32" t="str">
        <f t="shared" si="1"/>
        <v>2017T-HowWeek 5</v>
      </c>
      <c r="B36" s="32" t="str">
        <f t="shared" si="2"/>
        <v>2017BuserWeek 5</v>
      </c>
      <c r="C36" s="32" t="str">
        <f t="shared" si="3"/>
        <v>Week 5</v>
      </c>
      <c r="D36" s="32">
        <v>2017.0</v>
      </c>
      <c r="E36" t="str">
        <f t="shared" si="4"/>
        <v>5</v>
      </c>
      <c r="F36" t="str">
        <f t="shared" si="5"/>
        <v>Tyler Howard</v>
      </c>
      <c r="G36" s="40" t="str">
        <f>VLOOKUP(F36,'Manager Coding'!C:D,2,0)</f>
        <v>T-How</v>
      </c>
      <c r="H36" s="41">
        <f t="shared" si="6"/>
        <v>68.2</v>
      </c>
      <c r="I36" t="str">
        <f t="shared" si="7"/>
        <v>Ed Buser</v>
      </c>
      <c r="J36" t="str">
        <f>VLOOKUP(I36,'Manager Coding'!C:D,2,0)</f>
        <v>Buser</v>
      </c>
      <c r="K36" s="41">
        <f t="shared" si="8"/>
        <v>91.16</v>
      </c>
      <c r="L36">
        <f t="shared" si="9"/>
        <v>0</v>
      </c>
      <c r="M36">
        <f t="shared" si="10"/>
        <v>1</v>
      </c>
      <c r="N36" s="54" t="s">
        <v>190</v>
      </c>
      <c r="O36" s="55" t="s">
        <v>85</v>
      </c>
      <c r="P36" s="50">
        <v>68.2</v>
      </c>
      <c r="Q36" s="46">
        <v>91.16</v>
      </c>
      <c r="R36" s="48" t="s">
        <v>50</v>
      </c>
      <c r="S36" s="54" t="s">
        <v>160</v>
      </c>
      <c r="T36">
        <f t="shared" si="11"/>
        <v>22.96</v>
      </c>
    </row>
    <row r="37" hidden="1">
      <c r="A37" s="32" t="str">
        <f t="shared" si="1"/>
        <v>2017KnardDawgWeek 5</v>
      </c>
      <c r="B37" s="32" t="str">
        <f t="shared" si="2"/>
        <v>2017PiersonWeek 5</v>
      </c>
      <c r="C37" s="32" t="str">
        <f t="shared" si="3"/>
        <v>Week 5</v>
      </c>
      <c r="D37" s="32">
        <v>2017.0</v>
      </c>
      <c r="E37" t="str">
        <f t="shared" si="4"/>
        <v>5</v>
      </c>
      <c r="F37" t="str">
        <f t="shared" si="5"/>
        <v>Alex Kinniard, Jack Reilly</v>
      </c>
      <c r="G37" s="40" t="str">
        <f>VLOOKUP(F37,'Manager Coding'!C:D,2,0)</f>
        <v>KnardDawg</v>
      </c>
      <c r="H37" s="41">
        <f t="shared" si="6"/>
        <v>113</v>
      </c>
      <c r="I37" t="str">
        <f t="shared" si="7"/>
        <v>Pierson Curtis</v>
      </c>
      <c r="J37" t="str">
        <f>VLOOKUP(I37,'Manager Coding'!C:D,2,0)</f>
        <v>Pierson</v>
      </c>
      <c r="K37" s="41">
        <f t="shared" si="8"/>
        <v>90.64</v>
      </c>
      <c r="L37">
        <f t="shared" si="9"/>
        <v>1</v>
      </c>
      <c r="M37">
        <f t="shared" si="10"/>
        <v>0</v>
      </c>
      <c r="N37" s="54" t="s">
        <v>180</v>
      </c>
      <c r="O37" s="55" t="s">
        <v>87</v>
      </c>
      <c r="P37" s="50">
        <v>113.0</v>
      </c>
      <c r="Q37" s="46">
        <v>90.64</v>
      </c>
      <c r="R37" s="48" t="s">
        <v>93</v>
      </c>
      <c r="S37" s="54" t="s">
        <v>144</v>
      </c>
      <c r="T37">
        <f t="shared" si="11"/>
        <v>22.36</v>
      </c>
    </row>
    <row r="38" hidden="1">
      <c r="A38" s="32" t="str">
        <f t="shared" si="1"/>
        <v>2017CockWeek 5</v>
      </c>
      <c r="B38" s="32" t="str">
        <f t="shared" si="2"/>
        <v>2017ShepWeek 5</v>
      </c>
      <c r="C38" s="32" t="str">
        <f t="shared" si="3"/>
        <v>Week 5</v>
      </c>
      <c r="D38" s="32">
        <v>2017.0</v>
      </c>
      <c r="E38" t="str">
        <f t="shared" si="4"/>
        <v>5</v>
      </c>
      <c r="F38" t="str">
        <f t="shared" si="5"/>
        <v>Jack Babcock, Chris Cochrane</v>
      </c>
      <c r="G38" s="40" t="str">
        <f>VLOOKUP(F38,'Manager Coding'!C:D,2,0)</f>
        <v>Cock</v>
      </c>
      <c r="H38" s="41">
        <f t="shared" si="6"/>
        <v>81.66</v>
      </c>
      <c r="I38" t="str">
        <f t="shared" si="7"/>
        <v>Jordan Shepherd</v>
      </c>
      <c r="J38" t="str">
        <f>VLOOKUP(I38,'Manager Coding'!C:D,2,0)</f>
        <v>Shep</v>
      </c>
      <c r="K38" s="41">
        <f t="shared" si="8"/>
        <v>71.12</v>
      </c>
      <c r="L38">
        <f t="shared" si="9"/>
        <v>1</v>
      </c>
      <c r="M38">
        <f t="shared" si="10"/>
        <v>0</v>
      </c>
      <c r="N38" s="54" t="s">
        <v>171</v>
      </c>
      <c r="O38" s="55" t="s">
        <v>73</v>
      </c>
      <c r="P38" s="50">
        <v>81.66</v>
      </c>
      <c r="Q38" s="46">
        <v>71.12</v>
      </c>
      <c r="R38" s="48" t="s">
        <v>91</v>
      </c>
      <c r="S38" s="54" t="s">
        <v>128</v>
      </c>
      <c r="T38">
        <f t="shared" si="11"/>
        <v>10.54</v>
      </c>
    </row>
    <row r="39" hidden="1">
      <c r="A39" s="32" t="str">
        <f t="shared" si="1"/>
        <v>2017FellowsWeek 5</v>
      </c>
      <c r="B39" s="32" t="str">
        <f t="shared" si="2"/>
        <v>2017SaltyWeek 5</v>
      </c>
      <c r="C39" s="32" t="str">
        <f t="shared" si="3"/>
        <v>Week 5</v>
      </c>
      <c r="D39" s="32">
        <v>2017.0</v>
      </c>
      <c r="E39" t="str">
        <f t="shared" si="4"/>
        <v>5</v>
      </c>
      <c r="F39" t="str">
        <f t="shared" si="5"/>
        <v>Michael Fellows</v>
      </c>
      <c r="G39" s="40" t="str">
        <f>VLOOKUP(F39,'Manager Coding'!C:D,2,0)</f>
        <v>Fellows</v>
      </c>
      <c r="H39" s="41">
        <f t="shared" si="6"/>
        <v>107.54</v>
      </c>
      <c r="I39" t="str">
        <f t="shared" si="7"/>
        <v>R Saltiel</v>
      </c>
      <c r="J39" t="str">
        <f>VLOOKUP(I39,'Manager Coding'!C:D,2,0)</f>
        <v>Salty</v>
      </c>
      <c r="K39" s="41">
        <f t="shared" si="8"/>
        <v>122.94</v>
      </c>
      <c r="L39">
        <f t="shared" si="9"/>
        <v>0</v>
      </c>
      <c r="M39">
        <f t="shared" si="10"/>
        <v>1</v>
      </c>
      <c r="N39" s="54" t="s">
        <v>162</v>
      </c>
      <c r="O39" s="55" t="s">
        <v>80</v>
      </c>
      <c r="P39" s="50">
        <v>107.54</v>
      </c>
      <c r="Q39" s="46">
        <v>122.94</v>
      </c>
      <c r="R39" s="48" t="s">
        <v>77</v>
      </c>
      <c r="S39" s="54" t="s">
        <v>148</v>
      </c>
      <c r="T39">
        <f t="shared" si="11"/>
        <v>15.4</v>
      </c>
    </row>
    <row r="40" hidden="1">
      <c r="A40" s="32" t="str">
        <f t="shared" si="1"/>
        <v>#N/A</v>
      </c>
      <c r="B40" s="32" t="str">
        <f t="shared" si="2"/>
        <v>#N/A</v>
      </c>
      <c r="C40" s="32" t="str">
        <f t="shared" si="3"/>
        <v>Week 5</v>
      </c>
      <c r="D40" s="32">
        <v>2017.0</v>
      </c>
      <c r="E40" t="str">
        <f t="shared" si="4"/>
        <v>5</v>
      </c>
      <c r="F40" t="str">
        <f t="shared" si="5"/>
        <v/>
      </c>
      <c r="G40" s="40" t="str">
        <f>VLOOKUP(F40,'Manager Coding'!C:D,2,0)</f>
        <v>#N/A</v>
      </c>
      <c r="H40" s="41" t="str">
        <f t="shared" si="6"/>
        <v/>
      </c>
      <c r="I40" t="str">
        <f t="shared" si="7"/>
        <v/>
      </c>
      <c r="J40" t="str">
        <f>VLOOKUP(I40,'Manager Coding'!C:D,2,0)</f>
        <v>#N/A</v>
      </c>
      <c r="K40" s="41" t="str">
        <f t="shared" si="8"/>
        <v/>
      </c>
      <c r="L40">
        <f t="shared" si="9"/>
        <v>0</v>
      </c>
      <c r="M40">
        <f t="shared" si="10"/>
        <v>0</v>
      </c>
      <c r="N40" s="53" t="s">
        <v>321</v>
      </c>
      <c r="P40" s="41"/>
      <c r="Q40" s="41"/>
      <c r="T40">
        <f t="shared" si="11"/>
        <v>0</v>
      </c>
    </row>
    <row r="41" hidden="1">
      <c r="A41" s="32" t="str">
        <f t="shared" si="1"/>
        <v>#N/A</v>
      </c>
      <c r="B41" s="32" t="str">
        <f t="shared" si="2"/>
        <v>#N/A</v>
      </c>
      <c r="C41" s="32" t="str">
        <f t="shared" si="3"/>
        <v>Week 6</v>
      </c>
      <c r="D41" s="32">
        <v>2017.0</v>
      </c>
      <c r="E41" t="str">
        <f t="shared" si="4"/>
        <v>6</v>
      </c>
      <c r="F41" t="str">
        <f t="shared" si="5"/>
        <v>TEAM MANAGER(S)</v>
      </c>
      <c r="G41" s="40" t="str">
        <f>VLOOKUP(F41,'Manager Coding'!C:D,2,0)</f>
        <v>#N/A</v>
      </c>
      <c r="H41" s="41" t="str">
        <f t="shared" si="6"/>
        <v>SCORE</v>
      </c>
      <c r="I41" t="str">
        <f t="shared" si="7"/>
        <v>TEAM MANAGER(S)</v>
      </c>
      <c r="J41" t="str">
        <f>VLOOKUP(I41,'Manager Coding'!C:D,2,0)</f>
        <v>#N/A</v>
      </c>
      <c r="K41" s="41" t="str">
        <f t="shared" si="8"/>
        <v>SCORE</v>
      </c>
      <c r="L41">
        <f t="shared" si="9"/>
        <v>0</v>
      </c>
      <c r="M41">
        <f t="shared" si="10"/>
        <v>0</v>
      </c>
      <c r="N41" s="24" t="s">
        <v>197</v>
      </c>
      <c r="O41" s="24" t="s">
        <v>88</v>
      </c>
      <c r="P41" s="26" t="s">
        <v>94</v>
      </c>
      <c r="Q41" s="27" t="s">
        <v>94</v>
      </c>
      <c r="R41" s="30" t="s">
        <v>88</v>
      </c>
      <c r="S41" s="30" t="s">
        <v>101</v>
      </c>
      <c r="T41">
        <f t="shared" si="11"/>
        <v>0</v>
      </c>
    </row>
    <row r="42" hidden="1">
      <c r="A42" s="32" t="str">
        <f t="shared" si="1"/>
        <v>2017RileyWeek 6</v>
      </c>
      <c r="B42" s="32" t="str">
        <f t="shared" si="2"/>
        <v>2017TayskiWeek 6</v>
      </c>
      <c r="C42" s="32" t="str">
        <f t="shared" si="3"/>
        <v>Week 6</v>
      </c>
      <c r="D42" s="32">
        <v>2017.0</v>
      </c>
      <c r="E42" t="str">
        <f t="shared" si="4"/>
        <v>6</v>
      </c>
      <c r="F42" t="str">
        <f t="shared" si="5"/>
        <v>Riley McElwain</v>
      </c>
      <c r="G42" s="40" t="str">
        <f>VLOOKUP(F42,'Manager Coding'!C:D,2,0)</f>
        <v>Riley</v>
      </c>
      <c r="H42" s="41">
        <f t="shared" si="6"/>
        <v>111.18</v>
      </c>
      <c r="I42" t="str">
        <f t="shared" si="7"/>
        <v>Taylor Weis</v>
      </c>
      <c r="J42" t="str">
        <f>VLOOKUP(I42,'Manager Coding'!C:D,2,0)</f>
        <v>Tayski</v>
      </c>
      <c r="K42" s="41">
        <f t="shared" si="8"/>
        <v>80.14</v>
      </c>
      <c r="L42">
        <f t="shared" si="9"/>
        <v>1</v>
      </c>
      <c r="M42">
        <f t="shared" si="10"/>
        <v>0</v>
      </c>
      <c r="N42" s="54" t="s">
        <v>189</v>
      </c>
      <c r="O42" s="55" t="s">
        <v>68</v>
      </c>
      <c r="P42" s="50">
        <v>111.18</v>
      </c>
      <c r="Q42" s="46">
        <v>80.14</v>
      </c>
      <c r="R42" s="48" t="s">
        <v>54</v>
      </c>
      <c r="S42" s="54" t="s">
        <v>127</v>
      </c>
      <c r="T42">
        <f t="shared" si="11"/>
        <v>31.04</v>
      </c>
    </row>
    <row r="43" hidden="1">
      <c r="A43" s="32" t="str">
        <f t="shared" si="1"/>
        <v>2017HudspeathWeek 6</v>
      </c>
      <c r="B43" s="32" t="str">
        <f t="shared" si="2"/>
        <v>2017T-HowWeek 6</v>
      </c>
      <c r="C43" s="32" t="str">
        <f t="shared" si="3"/>
        <v>Week 6</v>
      </c>
      <c r="D43" s="32">
        <v>2017.0</v>
      </c>
      <c r="E43" t="str">
        <f t="shared" si="4"/>
        <v>6</v>
      </c>
      <c r="F43" t="str">
        <f t="shared" si="5"/>
        <v>matt hudspeath</v>
      </c>
      <c r="G43" s="40" t="str">
        <f>VLOOKUP(F43,'Manager Coding'!C:D,2,0)</f>
        <v>Hudspeath</v>
      </c>
      <c r="H43" s="41">
        <f t="shared" si="6"/>
        <v>63.52</v>
      </c>
      <c r="I43" t="str">
        <f t="shared" si="7"/>
        <v>Tyler Howard</v>
      </c>
      <c r="J43" t="str">
        <f>VLOOKUP(I43,'Manager Coding'!C:D,2,0)</f>
        <v>T-How</v>
      </c>
      <c r="K43" s="41">
        <f t="shared" si="8"/>
        <v>68.9</v>
      </c>
      <c r="L43">
        <f t="shared" si="9"/>
        <v>0</v>
      </c>
      <c r="M43">
        <f t="shared" si="10"/>
        <v>1</v>
      </c>
      <c r="N43" s="54" t="s">
        <v>179</v>
      </c>
      <c r="O43" s="55" t="s">
        <v>64</v>
      </c>
      <c r="P43" s="50">
        <v>63.52</v>
      </c>
      <c r="Q43" s="46">
        <v>68.9</v>
      </c>
      <c r="R43" s="48" t="s">
        <v>85</v>
      </c>
      <c r="S43" s="54" t="s">
        <v>190</v>
      </c>
      <c r="T43">
        <f t="shared" si="11"/>
        <v>5.38</v>
      </c>
    </row>
    <row r="44" hidden="1">
      <c r="A44" s="32" t="str">
        <f t="shared" si="1"/>
        <v>2017Rooney/JacksonWeek 6</v>
      </c>
      <c r="B44" s="32" t="str">
        <f t="shared" si="2"/>
        <v>2017KnardDawgWeek 6</v>
      </c>
      <c r="C44" s="32" t="str">
        <f t="shared" si="3"/>
        <v>Week 6</v>
      </c>
      <c r="D44" s="32">
        <v>2017.0</v>
      </c>
      <c r="E44" t="str">
        <f t="shared" si="4"/>
        <v>6</v>
      </c>
      <c r="F44" t="str">
        <f t="shared" si="5"/>
        <v>Stephen Rooney, Jackson Sattell</v>
      </c>
      <c r="G44" s="40" t="str">
        <f>VLOOKUP(F44,'Manager Coding'!C:D,2,0)</f>
        <v>Rooney/Jackson</v>
      </c>
      <c r="H44" s="41">
        <f t="shared" si="6"/>
        <v>57.64</v>
      </c>
      <c r="I44" t="str">
        <f t="shared" si="7"/>
        <v>Alex Kinniard, Jack Reilly</v>
      </c>
      <c r="J44" t="str">
        <f>VLOOKUP(I44,'Manager Coding'!C:D,2,0)</f>
        <v>KnardDawg</v>
      </c>
      <c r="K44" s="41">
        <f t="shared" si="8"/>
        <v>107.2</v>
      </c>
      <c r="L44">
        <f t="shared" si="9"/>
        <v>0</v>
      </c>
      <c r="M44">
        <f t="shared" si="10"/>
        <v>1</v>
      </c>
      <c r="N44" s="54" t="s">
        <v>170</v>
      </c>
      <c r="O44" s="55" t="s">
        <v>58</v>
      </c>
      <c r="P44" s="50">
        <v>57.64</v>
      </c>
      <c r="Q44" s="46">
        <v>107.2</v>
      </c>
      <c r="R44" s="48" t="s">
        <v>87</v>
      </c>
      <c r="S44" s="54" t="s">
        <v>180</v>
      </c>
      <c r="T44">
        <f t="shared" si="11"/>
        <v>49.56</v>
      </c>
    </row>
    <row r="45" hidden="1">
      <c r="A45" s="32" t="str">
        <f t="shared" si="1"/>
        <v>2017BuserWeek 6</v>
      </c>
      <c r="B45" s="32" t="str">
        <f t="shared" si="2"/>
        <v>2017CockWeek 6</v>
      </c>
      <c r="C45" s="32" t="str">
        <f t="shared" si="3"/>
        <v>Week 6</v>
      </c>
      <c r="D45" s="32">
        <v>2017.0</v>
      </c>
      <c r="E45" t="str">
        <f t="shared" si="4"/>
        <v>6</v>
      </c>
      <c r="F45" t="str">
        <f t="shared" si="5"/>
        <v>Ed Buser</v>
      </c>
      <c r="G45" s="40" t="str">
        <f>VLOOKUP(F45,'Manager Coding'!C:D,2,0)</f>
        <v>Buser</v>
      </c>
      <c r="H45" s="41">
        <f t="shared" si="6"/>
        <v>123.32</v>
      </c>
      <c r="I45" t="str">
        <f t="shared" si="7"/>
        <v>Jack Babcock, Chris Cochrane</v>
      </c>
      <c r="J45" t="str">
        <f>VLOOKUP(I45,'Manager Coding'!C:D,2,0)</f>
        <v>Cock</v>
      </c>
      <c r="K45" s="41">
        <f t="shared" si="8"/>
        <v>84.64</v>
      </c>
      <c r="L45">
        <f t="shared" si="9"/>
        <v>1</v>
      </c>
      <c r="M45">
        <f t="shared" si="10"/>
        <v>0</v>
      </c>
      <c r="N45" s="54" t="s">
        <v>160</v>
      </c>
      <c r="O45" s="55" t="s">
        <v>50</v>
      </c>
      <c r="P45" s="50">
        <v>123.32</v>
      </c>
      <c r="Q45" s="46">
        <v>84.64</v>
      </c>
      <c r="R45" s="48" t="s">
        <v>73</v>
      </c>
      <c r="S45" s="54" t="s">
        <v>171</v>
      </c>
      <c r="T45">
        <f t="shared" si="11"/>
        <v>38.68</v>
      </c>
    </row>
    <row r="46" hidden="1">
      <c r="A46" s="32" t="str">
        <f t="shared" si="1"/>
        <v>2017PiersonWeek 6</v>
      </c>
      <c r="B46" s="32" t="str">
        <f t="shared" si="2"/>
        <v>2017FellowsWeek 6</v>
      </c>
      <c r="C46" s="32" t="str">
        <f t="shared" si="3"/>
        <v>Week 6</v>
      </c>
      <c r="D46" s="32">
        <v>2017.0</v>
      </c>
      <c r="E46" t="str">
        <f t="shared" si="4"/>
        <v>6</v>
      </c>
      <c r="F46" t="str">
        <f t="shared" si="5"/>
        <v>Pierson Curtis</v>
      </c>
      <c r="G46" s="40" t="str">
        <f>VLOOKUP(F46,'Manager Coding'!C:D,2,0)</f>
        <v>Pierson</v>
      </c>
      <c r="H46" s="41">
        <f t="shared" si="6"/>
        <v>89.72</v>
      </c>
      <c r="I46" t="str">
        <f t="shared" si="7"/>
        <v>Michael Fellows</v>
      </c>
      <c r="J46" t="str">
        <f>VLOOKUP(I46,'Manager Coding'!C:D,2,0)</f>
        <v>Fellows</v>
      </c>
      <c r="K46" s="41">
        <f t="shared" si="8"/>
        <v>59</v>
      </c>
      <c r="L46">
        <f t="shared" si="9"/>
        <v>1</v>
      </c>
      <c r="M46">
        <f t="shared" si="10"/>
        <v>0</v>
      </c>
      <c r="N46" s="54" t="s">
        <v>144</v>
      </c>
      <c r="O46" s="55" t="s">
        <v>93</v>
      </c>
      <c r="P46" s="50">
        <v>89.72</v>
      </c>
      <c r="Q46" s="46">
        <v>59.0</v>
      </c>
      <c r="R46" s="48" t="s">
        <v>80</v>
      </c>
      <c r="S46" s="54" t="s">
        <v>162</v>
      </c>
      <c r="T46">
        <f t="shared" si="11"/>
        <v>30.72</v>
      </c>
    </row>
    <row r="47" hidden="1">
      <c r="A47" s="32" t="str">
        <f t="shared" si="1"/>
        <v>2017ShepWeek 6</v>
      </c>
      <c r="B47" s="32" t="str">
        <f t="shared" si="2"/>
        <v>2017SaltyWeek 6</v>
      </c>
      <c r="C47" s="32" t="str">
        <f t="shared" si="3"/>
        <v>Week 6</v>
      </c>
      <c r="D47" s="32">
        <v>2017.0</v>
      </c>
      <c r="E47" t="str">
        <f t="shared" si="4"/>
        <v>6</v>
      </c>
      <c r="F47" t="str">
        <f t="shared" si="5"/>
        <v>Jordan Shepherd</v>
      </c>
      <c r="G47" s="40" t="str">
        <f>VLOOKUP(F47,'Manager Coding'!C:D,2,0)</f>
        <v>Shep</v>
      </c>
      <c r="H47" s="41">
        <f t="shared" si="6"/>
        <v>114.88</v>
      </c>
      <c r="I47" t="str">
        <f t="shared" si="7"/>
        <v>R Saltiel</v>
      </c>
      <c r="J47" t="str">
        <f>VLOOKUP(I47,'Manager Coding'!C:D,2,0)</f>
        <v>Salty</v>
      </c>
      <c r="K47" s="41">
        <f t="shared" si="8"/>
        <v>92.72</v>
      </c>
      <c r="L47">
        <f t="shared" si="9"/>
        <v>1</v>
      </c>
      <c r="M47">
        <f t="shared" si="10"/>
        <v>0</v>
      </c>
      <c r="N47" s="54" t="s">
        <v>128</v>
      </c>
      <c r="O47" s="55" t="s">
        <v>91</v>
      </c>
      <c r="P47" s="50">
        <v>114.88</v>
      </c>
      <c r="Q47" s="46">
        <v>92.72</v>
      </c>
      <c r="R47" s="48" t="s">
        <v>77</v>
      </c>
      <c r="S47" s="54" t="s">
        <v>148</v>
      </c>
      <c r="T47">
        <f t="shared" si="11"/>
        <v>22.16</v>
      </c>
    </row>
    <row r="48" hidden="1">
      <c r="A48" s="32" t="str">
        <f t="shared" si="1"/>
        <v>#N/A</v>
      </c>
      <c r="B48" s="32" t="str">
        <f t="shared" si="2"/>
        <v>#N/A</v>
      </c>
      <c r="C48" s="32" t="str">
        <f t="shared" si="3"/>
        <v>Week 6</v>
      </c>
      <c r="D48" s="32">
        <v>2017.0</v>
      </c>
      <c r="E48" t="str">
        <f t="shared" si="4"/>
        <v>6</v>
      </c>
      <c r="F48" t="str">
        <f t="shared" si="5"/>
        <v/>
      </c>
      <c r="G48" s="40" t="str">
        <f>VLOOKUP(F48,'Manager Coding'!C:D,2,0)</f>
        <v>#N/A</v>
      </c>
      <c r="H48" s="41" t="str">
        <f t="shared" si="6"/>
        <v/>
      </c>
      <c r="I48" t="str">
        <f t="shared" si="7"/>
        <v/>
      </c>
      <c r="J48" t="str">
        <f>VLOOKUP(I48,'Manager Coding'!C:D,2,0)</f>
        <v>#N/A</v>
      </c>
      <c r="K48" s="41" t="str">
        <f t="shared" si="8"/>
        <v/>
      </c>
      <c r="L48">
        <f t="shared" si="9"/>
        <v>0</v>
      </c>
      <c r="M48">
        <f t="shared" si="10"/>
        <v>0</v>
      </c>
      <c r="N48" s="53" t="s">
        <v>340</v>
      </c>
      <c r="P48" s="41"/>
      <c r="Q48" s="41"/>
      <c r="T48">
        <f t="shared" si="11"/>
        <v>0</v>
      </c>
    </row>
    <row r="49" hidden="1">
      <c r="A49" s="32" t="str">
        <f t="shared" si="1"/>
        <v>#N/A</v>
      </c>
      <c r="B49" s="32" t="str">
        <f t="shared" si="2"/>
        <v>#N/A</v>
      </c>
      <c r="C49" s="32" t="str">
        <f t="shared" si="3"/>
        <v>Week 7</v>
      </c>
      <c r="D49" s="32">
        <v>2017.0</v>
      </c>
      <c r="E49" t="str">
        <f t="shared" si="4"/>
        <v>7</v>
      </c>
      <c r="F49" t="str">
        <f t="shared" si="5"/>
        <v>TEAM MANAGER(S)</v>
      </c>
      <c r="G49" s="40" t="str">
        <f>VLOOKUP(F49,'Manager Coding'!C:D,2,0)</f>
        <v>#N/A</v>
      </c>
      <c r="H49" s="41" t="str">
        <f t="shared" si="6"/>
        <v>SCORE</v>
      </c>
      <c r="I49" t="str">
        <f t="shared" si="7"/>
        <v>TEAM MANAGER(S)</v>
      </c>
      <c r="J49" t="str">
        <f>VLOOKUP(I49,'Manager Coding'!C:D,2,0)</f>
        <v>#N/A</v>
      </c>
      <c r="K49" s="41" t="str">
        <f t="shared" si="8"/>
        <v>SCORE</v>
      </c>
      <c r="L49">
        <f t="shared" si="9"/>
        <v>0</v>
      </c>
      <c r="M49">
        <f t="shared" si="10"/>
        <v>0</v>
      </c>
      <c r="N49" s="24" t="s">
        <v>197</v>
      </c>
      <c r="O49" s="24" t="s">
        <v>88</v>
      </c>
      <c r="P49" s="26" t="s">
        <v>94</v>
      </c>
      <c r="Q49" s="27" t="s">
        <v>94</v>
      </c>
      <c r="R49" s="30" t="s">
        <v>88</v>
      </c>
      <c r="S49" s="30" t="s">
        <v>101</v>
      </c>
      <c r="T49">
        <f t="shared" si="11"/>
        <v>0</v>
      </c>
    </row>
    <row r="50" hidden="1">
      <c r="A50" s="32" t="str">
        <f t="shared" si="1"/>
        <v>2017TayskiWeek 7</v>
      </c>
      <c r="B50" s="32" t="str">
        <f t="shared" si="2"/>
        <v>2017T-HowWeek 7</v>
      </c>
      <c r="C50" s="32" t="str">
        <f t="shared" si="3"/>
        <v>Week 7</v>
      </c>
      <c r="D50" s="32">
        <v>2017.0</v>
      </c>
      <c r="E50" t="str">
        <f t="shared" si="4"/>
        <v>7</v>
      </c>
      <c r="F50" t="str">
        <f t="shared" si="5"/>
        <v>Taylor Weis</v>
      </c>
      <c r="G50" s="40" t="str">
        <f>VLOOKUP(F50,'Manager Coding'!C:D,2,0)</f>
        <v>Tayski</v>
      </c>
      <c r="H50" s="41">
        <f t="shared" si="6"/>
        <v>65.22</v>
      </c>
      <c r="I50" t="str">
        <f t="shared" si="7"/>
        <v>Tyler Howard</v>
      </c>
      <c r="J50" t="str">
        <f>VLOOKUP(I50,'Manager Coding'!C:D,2,0)</f>
        <v>T-How</v>
      </c>
      <c r="K50" s="41">
        <f t="shared" si="8"/>
        <v>81.12</v>
      </c>
      <c r="L50">
        <f t="shared" si="9"/>
        <v>0</v>
      </c>
      <c r="M50">
        <f t="shared" si="10"/>
        <v>1</v>
      </c>
      <c r="N50" s="54" t="s">
        <v>127</v>
      </c>
      <c r="O50" s="55" t="s">
        <v>54</v>
      </c>
      <c r="P50" s="50">
        <v>65.22</v>
      </c>
      <c r="Q50" s="46">
        <v>81.12</v>
      </c>
      <c r="R50" s="48" t="s">
        <v>85</v>
      </c>
      <c r="S50" s="54" t="s">
        <v>190</v>
      </c>
      <c r="T50">
        <f t="shared" si="11"/>
        <v>15.9</v>
      </c>
    </row>
    <row r="51" hidden="1">
      <c r="A51" s="32" t="str">
        <f t="shared" si="1"/>
        <v>2017KnardDawgWeek 7</v>
      </c>
      <c r="B51" s="32" t="str">
        <f t="shared" si="2"/>
        <v>2017RileyWeek 7</v>
      </c>
      <c r="C51" s="32" t="str">
        <f t="shared" si="3"/>
        <v>Week 7</v>
      </c>
      <c r="D51" s="32">
        <v>2017.0</v>
      </c>
      <c r="E51" t="str">
        <f t="shared" si="4"/>
        <v>7</v>
      </c>
      <c r="F51" t="str">
        <f t="shared" si="5"/>
        <v>Alex Kinniard, Jack Reilly</v>
      </c>
      <c r="G51" s="40" t="str">
        <f>VLOOKUP(F51,'Manager Coding'!C:D,2,0)</f>
        <v>KnardDawg</v>
      </c>
      <c r="H51" s="41">
        <f t="shared" si="6"/>
        <v>97.04</v>
      </c>
      <c r="I51" t="str">
        <f t="shared" si="7"/>
        <v>Riley McElwain</v>
      </c>
      <c r="J51" t="str">
        <f>VLOOKUP(I51,'Manager Coding'!C:D,2,0)</f>
        <v>Riley</v>
      </c>
      <c r="K51" s="41">
        <f t="shared" si="8"/>
        <v>106.16</v>
      </c>
      <c r="L51">
        <f t="shared" si="9"/>
        <v>0</v>
      </c>
      <c r="M51">
        <f t="shared" si="10"/>
        <v>1</v>
      </c>
      <c r="N51" s="54" t="s">
        <v>180</v>
      </c>
      <c r="O51" s="55" t="s">
        <v>87</v>
      </c>
      <c r="P51" s="50">
        <v>97.04</v>
      </c>
      <c r="Q51" s="46">
        <v>106.16</v>
      </c>
      <c r="R51" s="48" t="s">
        <v>68</v>
      </c>
      <c r="S51" s="54" t="s">
        <v>189</v>
      </c>
      <c r="T51">
        <f t="shared" si="11"/>
        <v>9.12</v>
      </c>
    </row>
    <row r="52" hidden="1">
      <c r="A52" s="32" t="str">
        <f t="shared" si="1"/>
        <v>2017CockWeek 7</v>
      </c>
      <c r="B52" s="32" t="str">
        <f t="shared" si="2"/>
        <v>2017HudspeathWeek 7</v>
      </c>
      <c r="C52" s="32" t="str">
        <f t="shared" si="3"/>
        <v>Week 7</v>
      </c>
      <c r="D52" s="32">
        <v>2017.0</v>
      </c>
      <c r="E52" t="str">
        <f t="shared" si="4"/>
        <v>7</v>
      </c>
      <c r="F52" t="str">
        <f t="shared" si="5"/>
        <v>Jack Babcock, Chris Cochrane</v>
      </c>
      <c r="G52" s="40" t="str">
        <f>VLOOKUP(F52,'Manager Coding'!C:D,2,0)</f>
        <v>Cock</v>
      </c>
      <c r="H52" s="41">
        <f t="shared" si="6"/>
        <v>103.84</v>
      </c>
      <c r="I52" t="str">
        <f t="shared" si="7"/>
        <v>matt hudspeath</v>
      </c>
      <c r="J52" t="str">
        <f>VLOOKUP(I52,'Manager Coding'!C:D,2,0)</f>
        <v>Hudspeath</v>
      </c>
      <c r="K52" s="41">
        <f t="shared" si="8"/>
        <v>100.12</v>
      </c>
      <c r="L52">
        <f t="shared" si="9"/>
        <v>1</v>
      </c>
      <c r="M52">
        <f t="shared" si="10"/>
        <v>0</v>
      </c>
      <c r="N52" s="54" t="s">
        <v>171</v>
      </c>
      <c r="O52" s="55" t="s">
        <v>73</v>
      </c>
      <c r="P52" s="50">
        <v>103.84</v>
      </c>
      <c r="Q52" s="46">
        <v>100.12</v>
      </c>
      <c r="R52" s="48" t="s">
        <v>64</v>
      </c>
      <c r="S52" s="54" t="s">
        <v>179</v>
      </c>
      <c r="T52">
        <f t="shared" si="11"/>
        <v>3.72</v>
      </c>
    </row>
    <row r="53" hidden="1">
      <c r="A53" s="32" t="str">
        <f t="shared" si="1"/>
        <v>2017FellowsWeek 7</v>
      </c>
      <c r="B53" s="32" t="str">
        <f t="shared" si="2"/>
        <v>2017Rooney/JacksonWeek 7</v>
      </c>
      <c r="C53" s="32" t="str">
        <f t="shared" si="3"/>
        <v>Week 7</v>
      </c>
      <c r="D53" s="32">
        <v>2017.0</v>
      </c>
      <c r="E53" t="str">
        <f t="shared" si="4"/>
        <v>7</v>
      </c>
      <c r="F53" t="str">
        <f t="shared" si="5"/>
        <v>Michael Fellows</v>
      </c>
      <c r="G53" s="40" t="str">
        <f>VLOOKUP(F53,'Manager Coding'!C:D,2,0)</f>
        <v>Fellows</v>
      </c>
      <c r="H53" s="41">
        <f t="shared" si="6"/>
        <v>99.98</v>
      </c>
      <c r="I53" t="str">
        <f t="shared" si="7"/>
        <v>Stephen Rooney, Jackson Sattell</v>
      </c>
      <c r="J53" t="str">
        <f>VLOOKUP(I53,'Manager Coding'!C:D,2,0)</f>
        <v>Rooney/Jackson</v>
      </c>
      <c r="K53" s="41">
        <f t="shared" si="8"/>
        <v>96.68</v>
      </c>
      <c r="L53">
        <f t="shared" si="9"/>
        <v>1</v>
      </c>
      <c r="M53">
        <f t="shared" si="10"/>
        <v>0</v>
      </c>
      <c r="N53" s="54" t="s">
        <v>162</v>
      </c>
      <c r="O53" s="55" t="s">
        <v>80</v>
      </c>
      <c r="P53" s="50">
        <v>99.98</v>
      </c>
      <c r="Q53" s="46">
        <v>96.68</v>
      </c>
      <c r="R53" s="48" t="s">
        <v>58</v>
      </c>
      <c r="S53" s="54" t="s">
        <v>170</v>
      </c>
      <c r="T53">
        <f t="shared" si="11"/>
        <v>3.3</v>
      </c>
    </row>
    <row r="54" hidden="1">
      <c r="A54" s="32" t="str">
        <f t="shared" si="1"/>
        <v>2017SaltyWeek 7</v>
      </c>
      <c r="B54" s="32" t="str">
        <f t="shared" si="2"/>
        <v>2017BuserWeek 7</v>
      </c>
      <c r="C54" s="32" t="str">
        <f t="shared" si="3"/>
        <v>Week 7</v>
      </c>
      <c r="D54" s="32">
        <v>2017.0</v>
      </c>
      <c r="E54" t="str">
        <f t="shared" si="4"/>
        <v>7</v>
      </c>
      <c r="F54" t="str">
        <f t="shared" si="5"/>
        <v>R Saltiel</v>
      </c>
      <c r="G54" s="40" t="str">
        <f>VLOOKUP(F54,'Manager Coding'!C:D,2,0)</f>
        <v>Salty</v>
      </c>
      <c r="H54" s="41">
        <f t="shared" si="6"/>
        <v>90.32</v>
      </c>
      <c r="I54" t="str">
        <f t="shared" si="7"/>
        <v>Ed Buser</v>
      </c>
      <c r="J54" t="str">
        <f>VLOOKUP(I54,'Manager Coding'!C:D,2,0)</f>
        <v>Buser</v>
      </c>
      <c r="K54" s="41">
        <f t="shared" si="8"/>
        <v>83.62</v>
      </c>
      <c r="L54">
        <f t="shared" si="9"/>
        <v>1</v>
      </c>
      <c r="M54">
        <f t="shared" si="10"/>
        <v>0</v>
      </c>
      <c r="N54" s="54" t="s">
        <v>148</v>
      </c>
      <c r="O54" s="55" t="s">
        <v>77</v>
      </c>
      <c r="P54" s="50">
        <v>90.32</v>
      </c>
      <c r="Q54" s="46">
        <v>83.62</v>
      </c>
      <c r="R54" s="48" t="s">
        <v>50</v>
      </c>
      <c r="S54" s="54" t="s">
        <v>160</v>
      </c>
      <c r="T54">
        <f t="shared" si="11"/>
        <v>6.7</v>
      </c>
    </row>
    <row r="55" hidden="1">
      <c r="A55" s="32" t="str">
        <f t="shared" si="1"/>
        <v>2017ShepWeek 7</v>
      </c>
      <c r="B55" s="32" t="str">
        <f t="shared" si="2"/>
        <v>2017PiersonWeek 7</v>
      </c>
      <c r="C55" s="32" t="str">
        <f t="shared" si="3"/>
        <v>Week 7</v>
      </c>
      <c r="D55" s="32">
        <v>2017.0</v>
      </c>
      <c r="E55" t="str">
        <f t="shared" si="4"/>
        <v>7</v>
      </c>
      <c r="F55" t="str">
        <f t="shared" si="5"/>
        <v>Jordan Shepherd</v>
      </c>
      <c r="G55" s="40" t="str">
        <f>VLOOKUP(F55,'Manager Coding'!C:D,2,0)</f>
        <v>Shep</v>
      </c>
      <c r="H55" s="41">
        <f t="shared" si="6"/>
        <v>82.96</v>
      </c>
      <c r="I55" t="str">
        <f t="shared" si="7"/>
        <v>Pierson Curtis</v>
      </c>
      <c r="J55" t="str">
        <f>VLOOKUP(I55,'Manager Coding'!C:D,2,0)</f>
        <v>Pierson</v>
      </c>
      <c r="K55" s="41">
        <f t="shared" si="8"/>
        <v>95.08</v>
      </c>
      <c r="L55">
        <f t="shared" si="9"/>
        <v>0</v>
      </c>
      <c r="M55">
        <f t="shared" si="10"/>
        <v>1</v>
      </c>
      <c r="N55" s="54" t="s">
        <v>128</v>
      </c>
      <c r="O55" s="55" t="s">
        <v>91</v>
      </c>
      <c r="P55" s="50">
        <v>82.96</v>
      </c>
      <c r="Q55" s="46">
        <v>95.08</v>
      </c>
      <c r="R55" s="48" t="s">
        <v>93</v>
      </c>
      <c r="S55" s="54" t="s">
        <v>144</v>
      </c>
      <c r="T55">
        <f t="shared" si="11"/>
        <v>12.12</v>
      </c>
    </row>
    <row r="56" hidden="1">
      <c r="A56" s="32" t="str">
        <f t="shared" si="1"/>
        <v>#N/A</v>
      </c>
      <c r="B56" s="32" t="str">
        <f t="shared" si="2"/>
        <v>#N/A</v>
      </c>
      <c r="C56" s="32" t="str">
        <f t="shared" si="3"/>
        <v>Week 7</v>
      </c>
      <c r="D56" s="32">
        <v>2017.0</v>
      </c>
      <c r="E56" t="str">
        <f t="shared" si="4"/>
        <v>7</v>
      </c>
      <c r="F56" t="str">
        <f t="shared" si="5"/>
        <v/>
      </c>
      <c r="G56" s="40" t="str">
        <f>VLOOKUP(F56,'Manager Coding'!C:D,2,0)</f>
        <v>#N/A</v>
      </c>
      <c r="H56" s="41" t="str">
        <f t="shared" si="6"/>
        <v/>
      </c>
      <c r="I56" t="str">
        <f t="shared" si="7"/>
        <v/>
      </c>
      <c r="J56" t="str">
        <f>VLOOKUP(I56,'Manager Coding'!C:D,2,0)</f>
        <v>#N/A</v>
      </c>
      <c r="K56" s="41" t="str">
        <f t="shared" si="8"/>
        <v/>
      </c>
      <c r="L56">
        <f t="shared" si="9"/>
        <v>0</v>
      </c>
      <c r="M56">
        <f t="shared" si="10"/>
        <v>0</v>
      </c>
      <c r="N56" s="53" t="s">
        <v>367</v>
      </c>
      <c r="P56" s="41"/>
      <c r="Q56" s="41"/>
      <c r="T56">
        <f t="shared" si="11"/>
        <v>0</v>
      </c>
    </row>
    <row r="57" hidden="1">
      <c r="A57" s="32" t="str">
        <f t="shared" si="1"/>
        <v>#N/A</v>
      </c>
      <c r="B57" s="32" t="str">
        <f t="shared" si="2"/>
        <v>#N/A</v>
      </c>
      <c r="C57" s="32" t="str">
        <f t="shared" si="3"/>
        <v>Week 8</v>
      </c>
      <c r="D57" s="32">
        <v>2017.0</v>
      </c>
      <c r="E57" t="str">
        <f t="shared" si="4"/>
        <v>8</v>
      </c>
      <c r="F57" t="str">
        <f t="shared" si="5"/>
        <v>TEAM MANAGER(S)</v>
      </c>
      <c r="G57" s="40" t="str">
        <f>VLOOKUP(F57,'Manager Coding'!C:D,2,0)</f>
        <v>#N/A</v>
      </c>
      <c r="H57" s="41" t="str">
        <f t="shared" si="6"/>
        <v>SCORE</v>
      </c>
      <c r="I57" t="str">
        <f t="shared" si="7"/>
        <v>TEAM MANAGER(S)</v>
      </c>
      <c r="J57" t="str">
        <f>VLOOKUP(I57,'Manager Coding'!C:D,2,0)</f>
        <v>#N/A</v>
      </c>
      <c r="K57" s="41" t="str">
        <f t="shared" si="8"/>
        <v>SCORE</v>
      </c>
      <c r="L57">
        <f t="shared" si="9"/>
        <v>0</v>
      </c>
      <c r="M57">
        <f t="shared" si="10"/>
        <v>0</v>
      </c>
      <c r="N57" s="24" t="s">
        <v>197</v>
      </c>
      <c r="O57" s="24" t="s">
        <v>88</v>
      </c>
      <c r="P57" s="26" t="s">
        <v>94</v>
      </c>
      <c r="Q57" s="27" t="s">
        <v>94</v>
      </c>
      <c r="R57" s="30" t="s">
        <v>88</v>
      </c>
      <c r="S57" s="30" t="s">
        <v>101</v>
      </c>
      <c r="T57">
        <f t="shared" si="11"/>
        <v>0</v>
      </c>
    </row>
    <row r="58" hidden="1">
      <c r="A58" s="32" t="str">
        <f t="shared" si="1"/>
        <v>2017KnardDawgWeek 8</v>
      </c>
      <c r="B58" s="32" t="str">
        <f t="shared" si="2"/>
        <v>2017TayskiWeek 8</v>
      </c>
      <c r="C58" s="32" t="str">
        <f t="shared" si="3"/>
        <v>Week 8</v>
      </c>
      <c r="D58" s="32">
        <v>2017.0</v>
      </c>
      <c r="E58" t="str">
        <f t="shared" si="4"/>
        <v>8</v>
      </c>
      <c r="F58" t="str">
        <f t="shared" si="5"/>
        <v>Alex Kinniard, Jack Reilly</v>
      </c>
      <c r="G58" s="40" t="str">
        <f>VLOOKUP(F58,'Manager Coding'!C:D,2,0)</f>
        <v>KnardDawg</v>
      </c>
      <c r="H58" s="41">
        <f t="shared" si="6"/>
        <v>105.96</v>
      </c>
      <c r="I58" t="str">
        <f t="shared" si="7"/>
        <v>Taylor Weis</v>
      </c>
      <c r="J58" t="str">
        <f>VLOOKUP(I58,'Manager Coding'!C:D,2,0)</f>
        <v>Tayski</v>
      </c>
      <c r="K58" s="41">
        <f t="shared" si="8"/>
        <v>59.62</v>
      </c>
      <c r="L58">
        <f t="shared" si="9"/>
        <v>1</v>
      </c>
      <c r="M58">
        <f t="shared" si="10"/>
        <v>0</v>
      </c>
      <c r="N58" s="54" t="s">
        <v>180</v>
      </c>
      <c r="O58" s="55" t="s">
        <v>87</v>
      </c>
      <c r="P58" s="50">
        <v>105.96</v>
      </c>
      <c r="Q58" s="46">
        <v>59.62</v>
      </c>
      <c r="R58" s="48" t="s">
        <v>54</v>
      </c>
      <c r="S58" s="54" t="s">
        <v>127</v>
      </c>
      <c r="T58">
        <f t="shared" si="11"/>
        <v>46.34</v>
      </c>
    </row>
    <row r="59" hidden="1">
      <c r="A59" s="32" t="str">
        <f t="shared" si="1"/>
        <v>2017T-HowWeek 8</v>
      </c>
      <c r="B59" s="32" t="str">
        <f t="shared" si="2"/>
        <v>2017CockWeek 8</v>
      </c>
      <c r="C59" s="32" t="str">
        <f t="shared" si="3"/>
        <v>Week 8</v>
      </c>
      <c r="D59" s="32">
        <v>2017.0</v>
      </c>
      <c r="E59" t="str">
        <f t="shared" si="4"/>
        <v>8</v>
      </c>
      <c r="F59" t="str">
        <f t="shared" si="5"/>
        <v>Tyler Howard</v>
      </c>
      <c r="G59" s="40" t="str">
        <f>VLOOKUP(F59,'Manager Coding'!C:D,2,0)</f>
        <v>T-How</v>
      </c>
      <c r="H59" s="41">
        <f t="shared" si="6"/>
        <v>97.02</v>
      </c>
      <c r="I59" t="str">
        <f t="shared" si="7"/>
        <v>Jack Babcock, Chris Cochrane</v>
      </c>
      <c r="J59" t="str">
        <f>VLOOKUP(I59,'Manager Coding'!C:D,2,0)</f>
        <v>Cock</v>
      </c>
      <c r="K59" s="41">
        <f t="shared" si="8"/>
        <v>106.46</v>
      </c>
      <c r="L59">
        <f t="shared" si="9"/>
        <v>0</v>
      </c>
      <c r="M59">
        <f t="shared" si="10"/>
        <v>1</v>
      </c>
      <c r="N59" s="54" t="s">
        <v>190</v>
      </c>
      <c r="O59" s="55" t="s">
        <v>85</v>
      </c>
      <c r="P59" s="50">
        <v>97.02</v>
      </c>
      <c r="Q59" s="46">
        <v>106.46</v>
      </c>
      <c r="R59" s="48" t="s">
        <v>73</v>
      </c>
      <c r="S59" s="54" t="s">
        <v>171</v>
      </c>
      <c r="T59">
        <f t="shared" si="11"/>
        <v>9.44</v>
      </c>
    </row>
    <row r="60" hidden="1">
      <c r="A60" s="32" t="str">
        <f t="shared" si="1"/>
        <v>2017RileyWeek 8</v>
      </c>
      <c r="B60" s="32" t="str">
        <f t="shared" si="2"/>
        <v>2017FellowsWeek 8</v>
      </c>
      <c r="C60" s="32" t="str">
        <f t="shared" si="3"/>
        <v>Week 8</v>
      </c>
      <c r="D60" s="32">
        <v>2017.0</v>
      </c>
      <c r="E60" t="str">
        <f t="shared" si="4"/>
        <v>8</v>
      </c>
      <c r="F60" t="str">
        <f t="shared" si="5"/>
        <v>Riley McElwain</v>
      </c>
      <c r="G60" s="40" t="str">
        <f>VLOOKUP(F60,'Manager Coding'!C:D,2,0)</f>
        <v>Riley</v>
      </c>
      <c r="H60" s="41">
        <f t="shared" si="6"/>
        <v>88.62</v>
      </c>
      <c r="I60" t="str">
        <f t="shared" si="7"/>
        <v>Michael Fellows</v>
      </c>
      <c r="J60" t="str">
        <f>VLOOKUP(I60,'Manager Coding'!C:D,2,0)</f>
        <v>Fellows</v>
      </c>
      <c r="K60" s="41">
        <f t="shared" si="8"/>
        <v>74.08</v>
      </c>
      <c r="L60">
        <f t="shared" si="9"/>
        <v>1</v>
      </c>
      <c r="M60">
        <f t="shared" si="10"/>
        <v>0</v>
      </c>
      <c r="N60" s="54" t="s">
        <v>189</v>
      </c>
      <c r="O60" s="55" t="s">
        <v>68</v>
      </c>
      <c r="P60" s="50">
        <v>88.62</v>
      </c>
      <c r="Q60" s="46">
        <v>74.08</v>
      </c>
      <c r="R60" s="48" t="s">
        <v>80</v>
      </c>
      <c r="S60" s="54" t="s">
        <v>162</v>
      </c>
      <c r="T60">
        <f t="shared" si="11"/>
        <v>14.54</v>
      </c>
    </row>
    <row r="61" hidden="1">
      <c r="A61" s="32" t="str">
        <f t="shared" si="1"/>
        <v>2017HudspeathWeek 8</v>
      </c>
      <c r="B61" s="32" t="str">
        <f t="shared" si="2"/>
        <v>2017SaltyWeek 8</v>
      </c>
      <c r="C61" s="32" t="str">
        <f t="shared" si="3"/>
        <v>Week 8</v>
      </c>
      <c r="D61" s="32">
        <v>2017.0</v>
      </c>
      <c r="E61" t="str">
        <f t="shared" si="4"/>
        <v>8</v>
      </c>
      <c r="F61" t="str">
        <f t="shared" si="5"/>
        <v>matt hudspeath</v>
      </c>
      <c r="G61" s="40" t="str">
        <f>VLOOKUP(F61,'Manager Coding'!C:D,2,0)</f>
        <v>Hudspeath</v>
      </c>
      <c r="H61" s="41">
        <f t="shared" si="6"/>
        <v>77.38</v>
      </c>
      <c r="I61" t="str">
        <f t="shared" si="7"/>
        <v>R Saltiel</v>
      </c>
      <c r="J61" t="str">
        <f>VLOOKUP(I61,'Manager Coding'!C:D,2,0)</f>
        <v>Salty</v>
      </c>
      <c r="K61" s="41">
        <f t="shared" si="8"/>
        <v>77.22</v>
      </c>
      <c r="L61">
        <f t="shared" si="9"/>
        <v>1</v>
      </c>
      <c r="M61">
        <f t="shared" si="10"/>
        <v>0</v>
      </c>
      <c r="N61" s="54" t="s">
        <v>179</v>
      </c>
      <c r="O61" s="55" t="s">
        <v>64</v>
      </c>
      <c r="P61" s="50">
        <v>77.38</v>
      </c>
      <c r="Q61" s="46">
        <v>77.22</v>
      </c>
      <c r="R61" s="48" t="s">
        <v>77</v>
      </c>
      <c r="S61" s="54" t="s">
        <v>148</v>
      </c>
      <c r="T61">
        <f t="shared" si="11"/>
        <v>0.16</v>
      </c>
    </row>
    <row r="62" hidden="1">
      <c r="A62" s="32" t="str">
        <f t="shared" si="1"/>
        <v>2017Rooney/JacksonWeek 8</v>
      </c>
      <c r="B62" s="32" t="str">
        <f t="shared" si="2"/>
        <v>2017ShepWeek 8</v>
      </c>
      <c r="C62" s="32" t="str">
        <f t="shared" si="3"/>
        <v>Week 8</v>
      </c>
      <c r="D62" s="32">
        <v>2017.0</v>
      </c>
      <c r="E62" t="str">
        <f t="shared" si="4"/>
        <v>8</v>
      </c>
      <c r="F62" t="str">
        <f t="shared" si="5"/>
        <v>Stephen Rooney, Jackson Sattell</v>
      </c>
      <c r="G62" s="40" t="str">
        <f>VLOOKUP(F62,'Manager Coding'!C:D,2,0)</f>
        <v>Rooney/Jackson</v>
      </c>
      <c r="H62" s="41">
        <f t="shared" si="6"/>
        <v>122.82</v>
      </c>
      <c r="I62" t="str">
        <f t="shared" si="7"/>
        <v>Jordan Shepherd</v>
      </c>
      <c r="J62" t="str">
        <f>VLOOKUP(I62,'Manager Coding'!C:D,2,0)</f>
        <v>Shep</v>
      </c>
      <c r="K62" s="41">
        <f t="shared" si="8"/>
        <v>132.78</v>
      </c>
      <c r="L62">
        <f t="shared" si="9"/>
        <v>0</v>
      </c>
      <c r="M62">
        <f t="shared" si="10"/>
        <v>1</v>
      </c>
      <c r="N62" s="54" t="s">
        <v>170</v>
      </c>
      <c r="O62" s="55" t="s">
        <v>58</v>
      </c>
      <c r="P62" s="50">
        <v>122.82</v>
      </c>
      <c r="Q62" s="46">
        <v>132.78</v>
      </c>
      <c r="R62" s="48" t="s">
        <v>91</v>
      </c>
      <c r="S62" s="54" t="s">
        <v>128</v>
      </c>
      <c r="T62">
        <f t="shared" si="11"/>
        <v>9.96</v>
      </c>
    </row>
    <row r="63" hidden="1">
      <c r="A63" s="32" t="str">
        <f t="shared" si="1"/>
        <v>2017BuserWeek 8</v>
      </c>
      <c r="B63" s="32" t="str">
        <f t="shared" si="2"/>
        <v>2017PiersonWeek 8</v>
      </c>
      <c r="C63" s="32" t="str">
        <f t="shared" si="3"/>
        <v>Week 8</v>
      </c>
      <c r="D63" s="32">
        <v>2017.0</v>
      </c>
      <c r="E63" t="str">
        <f t="shared" si="4"/>
        <v>8</v>
      </c>
      <c r="F63" t="str">
        <f t="shared" si="5"/>
        <v>Ed Buser</v>
      </c>
      <c r="G63" s="40" t="str">
        <f>VLOOKUP(F63,'Manager Coding'!C:D,2,0)</f>
        <v>Buser</v>
      </c>
      <c r="H63" s="41">
        <f t="shared" si="6"/>
        <v>84.74</v>
      </c>
      <c r="I63" t="str">
        <f t="shared" si="7"/>
        <v>Pierson Curtis</v>
      </c>
      <c r="J63" t="str">
        <f>VLOOKUP(I63,'Manager Coding'!C:D,2,0)</f>
        <v>Pierson</v>
      </c>
      <c r="K63" s="41">
        <f t="shared" si="8"/>
        <v>81.48</v>
      </c>
      <c r="L63">
        <f t="shared" si="9"/>
        <v>1</v>
      </c>
      <c r="M63">
        <f t="shared" si="10"/>
        <v>0</v>
      </c>
      <c r="N63" s="54" t="s">
        <v>160</v>
      </c>
      <c r="O63" s="55" t="s">
        <v>50</v>
      </c>
      <c r="P63" s="50">
        <v>84.74</v>
      </c>
      <c r="Q63" s="46">
        <v>81.48</v>
      </c>
      <c r="R63" s="48" t="s">
        <v>93</v>
      </c>
      <c r="S63" s="54" t="s">
        <v>144</v>
      </c>
      <c r="T63">
        <f t="shared" si="11"/>
        <v>3.26</v>
      </c>
    </row>
    <row r="64" hidden="1">
      <c r="A64" s="32" t="str">
        <f t="shared" si="1"/>
        <v>#N/A</v>
      </c>
      <c r="B64" s="32" t="str">
        <f t="shared" si="2"/>
        <v>#N/A</v>
      </c>
      <c r="C64" s="32" t="str">
        <f t="shared" si="3"/>
        <v>Week 8</v>
      </c>
      <c r="D64" s="32">
        <v>2017.0</v>
      </c>
      <c r="E64" t="str">
        <f t="shared" si="4"/>
        <v>8</v>
      </c>
      <c r="F64" t="str">
        <f t="shared" si="5"/>
        <v/>
      </c>
      <c r="G64" s="40" t="str">
        <f>VLOOKUP(F64,'Manager Coding'!C:D,2,0)</f>
        <v>#N/A</v>
      </c>
      <c r="H64" s="41" t="str">
        <f t="shared" si="6"/>
        <v/>
      </c>
      <c r="I64" t="str">
        <f t="shared" si="7"/>
        <v/>
      </c>
      <c r="J64" t="str">
        <f>VLOOKUP(I64,'Manager Coding'!C:D,2,0)</f>
        <v>#N/A</v>
      </c>
      <c r="K64" s="41" t="str">
        <f t="shared" si="8"/>
        <v/>
      </c>
      <c r="L64">
        <f t="shared" si="9"/>
        <v>0</v>
      </c>
      <c r="M64">
        <f t="shared" si="10"/>
        <v>0</v>
      </c>
      <c r="N64" s="53" t="s">
        <v>387</v>
      </c>
      <c r="P64" s="41"/>
      <c r="Q64" s="41"/>
      <c r="T64">
        <f t="shared" si="11"/>
        <v>0</v>
      </c>
    </row>
    <row r="65" hidden="1">
      <c r="A65" s="32" t="str">
        <f t="shared" si="1"/>
        <v>#N/A</v>
      </c>
      <c r="B65" s="32" t="str">
        <f t="shared" si="2"/>
        <v>#N/A</v>
      </c>
      <c r="C65" s="32" t="str">
        <f t="shared" si="3"/>
        <v>Week 9</v>
      </c>
      <c r="D65" s="32">
        <v>2017.0</v>
      </c>
      <c r="E65" t="str">
        <f t="shared" si="4"/>
        <v>9</v>
      </c>
      <c r="F65" t="str">
        <f t="shared" si="5"/>
        <v>TEAM MANAGER(S)</v>
      </c>
      <c r="G65" s="40" t="str">
        <f>VLOOKUP(F65,'Manager Coding'!C:D,2,0)</f>
        <v>#N/A</v>
      </c>
      <c r="H65" s="41" t="str">
        <f t="shared" si="6"/>
        <v>SCORE</v>
      </c>
      <c r="I65" t="str">
        <f t="shared" si="7"/>
        <v>TEAM MANAGER(S)</v>
      </c>
      <c r="J65" t="str">
        <f>VLOOKUP(I65,'Manager Coding'!C:D,2,0)</f>
        <v>#N/A</v>
      </c>
      <c r="K65" s="41" t="str">
        <f t="shared" si="8"/>
        <v>SCORE</v>
      </c>
      <c r="L65">
        <f t="shared" si="9"/>
        <v>0</v>
      </c>
      <c r="M65">
        <f t="shared" si="10"/>
        <v>0</v>
      </c>
      <c r="N65" s="24" t="s">
        <v>197</v>
      </c>
      <c r="O65" s="24" t="s">
        <v>88</v>
      </c>
      <c r="P65" s="26" t="s">
        <v>94</v>
      </c>
      <c r="Q65" s="27" t="s">
        <v>94</v>
      </c>
      <c r="R65" s="30" t="s">
        <v>88</v>
      </c>
      <c r="S65" s="30" t="s">
        <v>101</v>
      </c>
      <c r="T65">
        <f t="shared" si="11"/>
        <v>0</v>
      </c>
    </row>
    <row r="66" hidden="1">
      <c r="A66" s="32" t="str">
        <f t="shared" si="1"/>
        <v>2017TayskiWeek 9</v>
      </c>
      <c r="B66" s="32" t="str">
        <f t="shared" si="2"/>
        <v>2017CockWeek 9</v>
      </c>
      <c r="C66" s="32" t="str">
        <f t="shared" si="3"/>
        <v>Week 9</v>
      </c>
      <c r="D66" s="32">
        <v>2017.0</v>
      </c>
      <c r="E66" t="str">
        <f t="shared" si="4"/>
        <v>9</v>
      </c>
      <c r="F66" t="str">
        <f t="shared" si="5"/>
        <v>Taylor Weis</v>
      </c>
      <c r="G66" s="40" t="str">
        <f>VLOOKUP(F66,'Manager Coding'!C:D,2,0)</f>
        <v>Tayski</v>
      </c>
      <c r="H66" s="41">
        <f t="shared" si="6"/>
        <v>113.02</v>
      </c>
      <c r="I66" t="str">
        <f t="shared" si="7"/>
        <v>Jack Babcock, Chris Cochrane</v>
      </c>
      <c r="J66" t="str">
        <f>VLOOKUP(I66,'Manager Coding'!C:D,2,0)</f>
        <v>Cock</v>
      </c>
      <c r="K66" s="41">
        <f t="shared" si="8"/>
        <v>90.02</v>
      </c>
      <c r="L66">
        <f t="shared" si="9"/>
        <v>1</v>
      </c>
      <c r="M66">
        <f t="shared" si="10"/>
        <v>0</v>
      </c>
      <c r="N66" s="54" t="s">
        <v>127</v>
      </c>
      <c r="O66" s="55" t="s">
        <v>54</v>
      </c>
      <c r="P66" s="50">
        <v>113.02</v>
      </c>
      <c r="Q66" s="46">
        <v>90.02</v>
      </c>
      <c r="R66" s="48" t="s">
        <v>73</v>
      </c>
      <c r="S66" s="54" t="s">
        <v>171</v>
      </c>
      <c r="T66">
        <f t="shared" si="11"/>
        <v>23</v>
      </c>
    </row>
    <row r="67" hidden="1">
      <c r="A67" s="32" t="str">
        <f t="shared" si="1"/>
        <v>2017FellowsWeek 9</v>
      </c>
      <c r="B67" s="32" t="str">
        <f t="shared" si="2"/>
        <v>2017KnardDawgWeek 9</v>
      </c>
      <c r="C67" s="32" t="str">
        <f t="shared" si="3"/>
        <v>Week 9</v>
      </c>
      <c r="D67" s="32">
        <v>2017.0</v>
      </c>
      <c r="E67" t="str">
        <f t="shared" si="4"/>
        <v>9</v>
      </c>
      <c r="F67" t="str">
        <f t="shared" si="5"/>
        <v>Michael Fellows</v>
      </c>
      <c r="G67" s="40" t="str">
        <f>VLOOKUP(F67,'Manager Coding'!C:D,2,0)</f>
        <v>Fellows</v>
      </c>
      <c r="H67" s="41">
        <f t="shared" si="6"/>
        <v>72.18</v>
      </c>
      <c r="I67" t="str">
        <f t="shared" si="7"/>
        <v>Alex Kinniard, Jack Reilly</v>
      </c>
      <c r="J67" t="str">
        <f>VLOOKUP(I67,'Manager Coding'!C:D,2,0)</f>
        <v>KnardDawg</v>
      </c>
      <c r="K67" s="41">
        <f t="shared" si="8"/>
        <v>91.28</v>
      </c>
      <c r="L67">
        <f t="shared" si="9"/>
        <v>0</v>
      </c>
      <c r="M67">
        <f t="shared" si="10"/>
        <v>1</v>
      </c>
      <c r="N67" s="54" t="s">
        <v>162</v>
      </c>
      <c r="O67" s="55" t="s">
        <v>80</v>
      </c>
      <c r="P67" s="50">
        <v>72.18</v>
      </c>
      <c r="Q67" s="46">
        <v>91.28</v>
      </c>
      <c r="R67" s="48" t="s">
        <v>87</v>
      </c>
      <c r="S67" s="54" t="s">
        <v>180</v>
      </c>
      <c r="T67">
        <f t="shared" si="11"/>
        <v>19.1</v>
      </c>
    </row>
    <row r="68" hidden="1">
      <c r="A68" s="32" t="str">
        <f t="shared" si="1"/>
        <v>2017SaltyWeek 9</v>
      </c>
      <c r="B68" s="32" t="str">
        <f t="shared" si="2"/>
        <v>2017T-HowWeek 9</v>
      </c>
      <c r="C68" s="32" t="str">
        <f t="shared" si="3"/>
        <v>Week 9</v>
      </c>
      <c r="D68" s="32">
        <v>2017.0</v>
      </c>
      <c r="E68" t="str">
        <f t="shared" si="4"/>
        <v>9</v>
      </c>
      <c r="F68" t="str">
        <f t="shared" si="5"/>
        <v>R Saltiel</v>
      </c>
      <c r="G68" s="40" t="str">
        <f>VLOOKUP(F68,'Manager Coding'!C:D,2,0)</f>
        <v>Salty</v>
      </c>
      <c r="H68" s="41">
        <f t="shared" si="6"/>
        <v>103.96</v>
      </c>
      <c r="I68" t="str">
        <f t="shared" si="7"/>
        <v>Tyler Howard</v>
      </c>
      <c r="J68" t="str">
        <f>VLOOKUP(I68,'Manager Coding'!C:D,2,0)</f>
        <v>T-How</v>
      </c>
      <c r="K68" s="41">
        <f t="shared" si="8"/>
        <v>69.78</v>
      </c>
      <c r="L68">
        <f t="shared" si="9"/>
        <v>1</v>
      </c>
      <c r="M68">
        <f t="shared" si="10"/>
        <v>0</v>
      </c>
      <c r="N68" s="54" t="s">
        <v>148</v>
      </c>
      <c r="O68" s="55" t="s">
        <v>77</v>
      </c>
      <c r="P68" s="50">
        <v>103.96</v>
      </c>
      <c r="Q68" s="46">
        <v>69.78</v>
      </c>
      <c r="R68" s="48" t="s">
        <v>85</v>
      </c>
      <c r="S68" s="54" t="s">
        <v>190</v>
      </c>
      <c r="T68">
        <f t="shared" si="11"/>
        <v>34.18</v>
      </c>
    </row>
    <row r="69" hidden="1">
      <c r="A69" s="32" t="str">
        <f t="shared" si="1"/>
        <v>2017ShepWeek 9</v>
      </c>
      <c r="B69" s="32" t="str">
        <f t="shared" si="2"/>
        <v>2017RileyWeek 9</v>
      </c>
      <c r="C69" s="32" t="str">
        <f t="shared" si="3"/>
        <v>Week 9</v>
      </c>
      <c r="D69" s="32">
        <v>2017.0</v>
      </c>
      <c r="E69" t="str">
        <f t="shared" si="4"/>
        <v>9</v>
      </c>
      <c r="F69" t="str">
        <f t="shared" si="5"/>
        <v>Jordan Shepherd</v>
      </c>
      <c r="G69" s="40" t="str">
        <f>VLOOKUP(F69,'Manager Coding'!C:D,2,0)</f>
        <v>Shep</v>
      </c>
      <c r="H69" s="41">
        <f t="shared" si="6"/>
        <v>83.68</v>
      </c>
      <c r="I69" t="str">
        <f t="shared" si="7"/>
        <v>Riley McElwain</v>
      </c>
      <c r="J69" t="str">
        <f>VLOOKUP(I69,'Manager Coding'!C:D,2,0)</f>
        <v>Riley</v>
      </c>
      <c r="K69" s="41">
        <f t="shared" si="8"/>
        <v>125.14</v>
      </c>
      <c r="L69">
        <f t="shared" si="9"/>
        <v>0</v>
      </c>
      <c r="M69">
        <f t="shared" si="10"/>
        <v>1</v>
      </c>
      <c r="N69" s="54" t="s">
        <v>128</v>
      </c>
      <c r="O69" s="55" t="s">
        <v>91</v>
      </c>
      <c r="P69" s="50">
        <v>83.68</v>
      </c>
      <c r="Q69" s="46">
        <v>125.14</v>
      </c>
      <c r="R69" s="48" t="s">
        <v>68</v>
      </c>
      <c r="S69" s="54" t="s">
        <v>189</v>
      </c>
      <c r="T69">
        <f t="shared" si="11"/>
        <v>41.46</v>
      </c>
    </row>
    <row r="70" hidden="1">
      <c r="A70" s="32" t="str">
        <f t="shared" si="1"/>
        <v>2017PiersonWeek 9</v>
      </c>
      <c r="B70" s="32" t="str">
        <f t="shared" si="2"/>
        <v>2017HudspeathWeek 9</v>
      </c>
      <c r="C70" s="32" t="str">
        <f t="shared" si="3"/>
        <v>Week 9</v>
      </c>
      <c r="D70" s="32">
        <v>2017.0</v>
      </c>
      <c r="E70" t="str">
        <f t="shared" si="4"/>
        <v>9</v>
      </c>
      <c r="F70" t="str">
        <f t="shared" si="5"/>
        <v>Pierson Curtis</v>
      </c>
      <c r="G70" s="40" t="str">
        <f>VLOOKUP(F70,'Manager Coding'!C:D,2,0)</f>
        <v>Pierson</v>
      </c>
      <c r="H70" s="41">
        <f t="shared" si="6"/>
        <v>79.52</v>
      </c>
      <c r="I70" t="str">
        <f t="shared" si="7"/>
        <v>matt hudspeath</v>
      </c>
      <c r="J70" t="str">
        <f>VLOOKUP(I70,'Manager Coding'!C:D,2,0)</f>
        <v>Hudspeath</v>
      </c>
      <c r="K70" s="41">
        <f t="shared" si="8"/>
        <v>88.2</v>
      </c>
      <c r="L70">
        <f t="shared" si="9"/>
        <v>0</v>
      </c>
      <c r="M70">
        <f t="shared" si="10"/>
        <v>1</v>
      </c>
      <c r="N70" s="54" t="s">
        <v>144</v>
      </c>
      <c r="O70" s="55" t="s">
        <v>93</v>
      </c>
      <c r="P70" s="50">
        <v>79.52</v>
      </c>
      <c r="Q70" s="46">
        <v>88.2</v>
      </c>
      <c r="R70" s="48" t="s">
        <v>64</v>
      </c>
      <c r="S70" s="54" t="s">
        <v>179</v>
      </c>
      <c r="T70">
        <f t="shared" si="11"/>
        <v>8.68</v>
      </c>
    </row>
    <row r="71" hidden="1">
      <c r="A71" s="32" t="str">
        <f t="shared" si="1"/>
        <v>2017BuserWeek 9</v>
      </c>
      <c r="B71" s="32" t="str">
        <f t="shared" si="2"/>
        <v>2017Rooney/JacksonWeek 9</v>
      </c>
      <c r="C71" s="32" t="str">
        <f t="shared" si="3"/>
        <v>Week 9</v>
      </c>
      <c r="D71" s="32">
        <v>2017.0</v>
      </c>
      <c r="E71" t="str">
        <f t="shared" si="4"/>
        <v>9</v>
      </c>
      <c r="F71" t="str">
        <f t="shared" si="5"/>
        <v>Ed Buser</v>
      </c>
      <c r="G71" s="40" t="str">
        <f>VLOOKUP(F71,'Manager Coding'!C:D,2,0)</f>
        <v>Buser</v>
      </c>
      <c r="H71" s="41">
        <f t="shared" si="6"/>
        <v>77.56</v>
      </c>
      <c r="I71" t="str">
        <f t="shared" si="7"/>
        <v>Stephen Rooney, Jackson Sattell</v>
      </c>
      <c r="J71" t="str">
        <f>VLOOKUP(I71,'Manager Coding'!C:D,2,0)</f>
        <v>Rooney/Jackson</v>
      </c>
      <c r="K71" s="41">
        <f t="shared" si="8"/>
        <v>44.4</v>
      </c>
      <c r="L71">
        <f t="shared" si="9"/>
        <v>1</v>
      </c>
      <c r="M71">
        <f t="shared" si="10"/>
        <v>0</v>
      </c>
      <c r="N71" s="54" t="s">
        <v>160</v>
      </c>
      <c r="O71" s="55" t="s">
        <v>50</v>
      </c>
      <c r="P71" s="50">
        <v>77.56</v>
      </c>
      <c r="Q71" s="46">
        <v>44.4</v>
      </c>
      <c r="R71" s="48" t="s">
        <v>58</v>
      </c>
      <c r="S71" s="54" t="s">
        <v>170</v>
      </c>
      <c r="T71">
        <f t="shared" si="11"/>
        <v>33.16</v>
      </c>
    </row>
    <row r="72" hidden="1">
      <c r="A72" s="32" t="str">
        <f t="shared" si="1"/>
        <v>#N/A</v>
      </c>
      <c r="B72" s="32" t="str">
        <f t="shared" si="2"/>
        <v>#N/A</v>
      </c>
      <c r="C72" s="32" t="str">
        <f t="shared" si="3"/>
        <v>Week 9</v>
      </c>
      <c r="D72" s="32">
        <v>2017.0</v>
      </c>
      <c r="E72" t="str">
        <f t="shared" si="4"/>
        <v>9</v>
      </c>
      <c r="F72" t="str">
        <f t="shared" si="5"/>
        <v/>
      </c>
      <c r="G72" s="40" t="str">
        <f>VLOOKUP(F72,'Manager Coding'!C:D,2,0)</f>
        <v>#N/A</v>
      </c>
      <c r="H72" s="41" t="str">
        <f t="shared" si="6"/>
        <v/>
      </c>
      <c r="I72" t="str">
        <f t="shared" si="7"/>
        <v/>
      </c>
      <c r="J72" t="str">
        <f>VLOOKUP(I72,'Manager Coding'!C:D,2,0)</f>
        <v>#N/A</v>
      </c>
      <c r="K72" s="41" t="str">
        <f t="shared" si="8"/>
        <v/>
      </c>
      <c r="L72">
        <f t="shared" si="9"/>
        <v>0</v>
      </c>
      <c r="M72">
        <f t="shared" si="10"/>
        <v>0</v>
      </c>
      <c r="N72" s="53" t="s">
        <v>406</v>
      </c>
      <c r="P72" s="41"/>
      <c r="Q72" s="41"/>
      <c r="T72">
        <f t="shared" si="11"/>
        <v>0</v>
      </c>
    </row>
    <row r="73" hidden="1">
      <c r="A73" s="32" t="str">
        <f t="shared" si="1"/>
        <v>#N/A</v>
      </c>
      <c r="B73" s="32" t="str">
        <f t="shared" si="2"/>
        <v>#N/A</v>
      </c>
      <c r="C73" s="32" t="str">
        <f t="shared" si="3"/>
        <v>Week 10</v>
      </c>
      <c r="D73" s="32">
        <v>2017.0</v>
      </c>
      <c r="E73" t="str">
        <f t="shared" si="4"/>
        <v>10</v>
      </c>
      <c r="F73" t="str">
        <f t="shared" si="5"/>
        <v>TEAM MANAGER(S)</v>
      </c>
      <c r="G73" s="40" t="str">
        <f>VLOOKUP(F73,'Manager Coding'!C:D,2,0)</f>
        <v>#N/A</v>
      </c>
      <c r="H73" s="41" t="str">
        <f t="shared" si="6"/>
        <v>SCORE</v>
      </c>
      <c r="I73" t="str">
        <f t="shared" si="7"/>
        <v>TEAM MANAGER(S)</v>
      </c>
      <c r="J73" t="str">
        <f>VLOOKUP(I73,'Manager Coding'!C:D,2,0)</f>
        <v>#N/A</v>
      </c>
      <c r="K73" s="41" t="str">
        <f t="shared" si="8"/>
        <v>SCORE</v>
      </c>
      <c r="L73">
        <f t="shared" si="9"/>
        <v>0</v>
      </c>
      <c r="M73">
        <f t="shared" si="10"/>
        <v>0</v>
      </c>
      <c r="N73" s="24" t="s">
        <v>197</v>
      </c>
      <c r="O73" s="24" t="s">
        <v>88</v>
      </c>
      <c r="P73" s="26" t="s">
        <v>94</v>
      </c>
      <c r="Q73" s="27" t="s">
        <v>94</v>
      </c>
      <c r="R73" s="30" t="s">
        <v>88</v>
      </c>
      <c r="S73" s="30" t="s">
        <v>101</v>
      </c>
      <c r="T73">
        <f t="shared" si="11"/>
        <v>0</v>
      </c>
    </row>
    <row r="74" hidden="1">
      <c r="A74" s="32" t="str">
        <f t="shared" si="1"/>
        <v>2017FellowsWeek 10</v>
      </c>
      <c r="B74" s="32" t="str">
        <f t="shared" si="2"/>
        <v>2017TayskiWeek 10</v>
      </c>
      <c r="C74" s="32" t="str">
        <f t="shared" si="3"/>
        <v>Week 10</v>
      </c>
      <c r="D74" s="32">
        <v>2017.0</v>
      </c>
      <c r="E74" t="str">
        <f t="shared" si="4"/>
        <v>10</v>
      </c>
      <c r="F74" t="str">
        <f t="shared" si="5"/>
        <v>Michael Fellows</v>
      </c>
      <c r="G74" s="40" t="str">
        <f>VLOOKUP(F74,'Manager Coding'!C:D,2,0)</f>
        <v>Fellows</v>
      </c>
      <c r="H74" s="41">
        <f t="shared" si="6"/>
        <v>61.88</v>
      </c>
      <c r="I74" t="str">
        <f t="shared" si="7"/>
        <v>Taylor Weis</v>
      </c>
      <c r="J74" t="str">
        <f>VLOOKUP(I74,'Manager Coding'!C:D,2,0)</f>
        <v>Tayski</v>
      </c>
      <c r="K74" s="41">
        <f t="shared" si="8"/>
        <v>60.46</v>
      </c>
      <c r="L74">
        <f t="shared" si="9"/>
        <v>1</v>
      </c>
      <c r="M74">
        <f t="shared" si="10"/>
        <v>0</v>
      </c>
      <c r="N74" s="54" t="s">
        <v>162</v>
      </c>
      <c r="O74" s="55" t="s">
        <v>80</v>
      </c>
      <c r="P74" s="50">
        <v>61.88</v>
      </c>
      <c r="Q74" s="46">
        <v>60.46</v>
      </c>
      <c r="R74" s="48" t="s">
        <v>54</v>
      </c>
      <c r="S74" s="54" t="s">
        <v>127</v>
      </c>
      <c r="T74">
        <f t="shared" si="11"/>
        <v>1.42</v>
      </c>
    </row>
    <row r="75" hidden="1">
      <c r="A75" s="32" t="str">
        <f t="shared" si="1"/>
        <v>2017CockWeek 10</v>
      </c>
      <c r="B75" s="32" t="str">
        <f t="shared" si="2"/>
        <v>2017SaltyWeek 10</v>
      </c>
      <c r="C75" s="32" t="str">
        <f t="shared" si="3"/>
        <v>Week 10</v>
      </c>
      <c r="D75" s="32">
        <v>2017.0</v>
      </c>
      <c r="E75" t="str">
        <f t="shared" si="4"/>
        <v>10</v>
      </c>
      <c r="F75" t="str">
        <f t="shared" si="5"/>
        <v>Jack Babcock, Chris Cochrane</v>
      </c>
      <c r="G75" s="40" t="str">
        <f>VLOOKUP(F75,'Manager Coding'!C:D,2,0)</f>
        <v>Cock</v>
      </c>
      <c r="H75" s="41">
        <f t="shared" si="6"/>
        <v>99.76</v>
      </c>
      <c r="I75" t="str">
        <f t="shared" si="7"/>
        <v>R Saltiel</v>
      </c>
      <c r="J75" t="str">
        <f>VLOOKUP(I75,'Manager Coding'!C:D,2,0)</f>
        <v>Salty</v>
      </c>
      <c r="K75" s="41">
        <f t="shared" si="8"/>
        <v>72.04</v>
      </c>
      <c r="L75">
        <f t="shared" si="9"/>
        <v>1</v>
      </c>
      <c r="M75">
        <f t="shared" si="10"/>
        <v>0</v>
      </c>
      <c r="N75" s="54" t="s">
        <v>171</v>
      </c>
      <c r="O75" s="55" t="s">
        <v>73</v>
      </c>
      <c r="P75" s="50">
        <v>99.76</v>
      </c>
      <c r="Q75" s="46">
        <v>72.04</v>
      </c>
      <c r="R75" s="48" t="s">
        <v>77</v>
      </c>
      <c r="S75" s="54" t="s">
        <v>148</v>
      </c>
      <c r="T75">
        <f t="shared" si="11"/>
        <v>27.72</v>
      </c>
    </row>
    <row r="76" hidden="1">
      <c r="A76" s="32" t="str">
        <f t="shared" si="1"/>
        <v>2017KnardDawgWeek 10</v>
      </c>
      <c r="B76" s="32" t="str">
        <f t="shared" si="2"/>
        <v>2017ShepWeek 10</v>
      </c>
      <c r="C76" s="32" t="str">
        <f t="shared" si="3"/>
        <v>Week 10</v>
      </c>
      <c r="D76" s="32">
        <v>2017.0</v>
      </c>
      <c r="E76" t="str">
        <f t="shared" si="4"/>
        <v>10</v>
      </c>
      <c r="F76" t="str">
        <f t="shared" si="5"/>
        <v>Alex Kinniard, Jack Reilly</v>
      </c>
      <c r="G76" s="40" t="str">
        <f>VLOOKUP(F76,'Manager Coding'!C:D,2,0)</f>
        <v>KnardDawg</v>
      </c>
      <c r="H76" s="41">
        <f t="shared" si="6"/>
        <v>105.66</v>
      </c>
      <c r="I76" t="str">
        <f t="shared" si="7"/>
        <v>Jordan Shepherd</v>
      </c>
      <c r="J76" t="str">
        <f>VLOOKUP(I76,'Manager Coding'!C:D,2,0)</f>
        <v>Shep</v>
      </c>
      <c r="K76" s="41">
        <f t="shared" si="8"/>
        <v>102.42</v>
      </c>
      <c r="L76">
        <f t="shared" si="9"/>
        <v>1</v>
      </c>
      <c r="M76">
        <f t="shared" si="10"/>
        <v>0</v>
      </c>
      <c r="N76" s="54" t="s">
        <v>180</v>
      </c>
      <c r="O76" s="55" t="s">
        <v>87</v>
      </c>
      <c r="P76" s="50">
        <v>105.66</v>
      </c>
      <c r="Q76" s="46">
        <v>102.42</v>
      </c>
      <c r="R76" s="48" t="s">
        <v>91</v>
      </c>
      <c r="S76" s="54" t="s">
        <v>128</v>
      </c>
      <c r="T76">
        <f t="shared" si="11"/>
        <v>3.24</v>
      </c>
    </row>
    <row r="77" hidden="1">
      <c r="A77" s="32" t="str">
        <f t="shared" si="1"/>
        <v>2017T-HowWeek 10</v>
      </c>
      <c r="B77" s="32" t="str">
        <f t="shared" si="2"/>
        <v>2017PiersonWeek 10</v>
      </c>
      <c r="C77" s="32" t="str">
        <f t="shared" si="3"/>
        <v>Week 10</v>
      </c>
      <c r="D77" s="32">
        <v>2017.0</v>
      </c>
      <c r="E77" t="str">
        <f t="shared" si="4"/>
        <v>10</v>
      </c>
      <c r="F77" t="str">
        <f t="shared" si="5"/>
        <v>Tyler Howard</v>
      </c>
      <c r="G77" s="40" t="str">
        <f>VLOOKUP(F77,'Manager Coding'!C:D,2,0)</f>
        <v>T-How</v>
      </c>
      <c r="H77" s="41">
        <f t="shared" si="6"/>
        <v>93.78</v>
      </c>
      <c r="I77" t="str">
        <f t="shared" si="7"/>
        <v>Pierson Curtis</v>
      </c>
      <c r="J77" t="str">
        <f>VLOOKUP(I77,'Manager Coding'!C:D,2,0)</f>
        <v>Pierson</v>
      </c>
      <c r="K77" s="41">
        <f t="shared" si="8"/>
        <v>102.98</v>
      </c>
      <c r="L77">
        <f t="shared" si="9"/>
        <v>0</v>
      </c>
      <c r="M77">
        <f t="shared" si="10"/>
        <v>1</v>
      </c>
      <c r="N77" s="54" t="s">
        <v>190</v>
      </c>
      <c r="O77" s="55" t="s">
        <v>85</v>
      </c>
      <c r="P77" s="50">
        <v>93.78</v>
      </c>
      <c r="Q77" s="46">
        <v>102.98</v>
      </c>
      <c r="R77" s="48" t="s">
        <v>93</v>
      </c>
      <c r="S77" s="54" t="s">
        <v>144</v>
      </c>
      <c r="T77">
        <f t="shared" si="11"/>
        <v>9.2</v>
      </c>
    </row>
    <row r="78" hidden="1">
      <c r="A78" s="32" t="str">
        <f t="shared" si="1"/>
        <v>2017RileyWeek 10</v>
      </c>
      <c r="B78" s="32" t="str">
        <f t="shared" si="2"/>
        <v>2017BuserWeek 10</v>
      </c>
      <c r="C78" s="32" t="str">
        <f t="shared" si="3"/>
        <v>Week 10</v>
      </c>
      <c r="D78" s="32">
        <v>2017.0</v>
      </c>
      <c r="E78" t="str">
        <f t="shared" si="4"/>
        <v>10</v>
      </c>
      <c r="F78" t="str">
        <f t="shared" si="5"/>
        <v>Riley McElwain</v>
      </c>
      <c r="G78" s="40" t="str">
        <f>VLOOKUP(F78,'Manager Coding'!C:D,2,0)</f>
        <v>Riley</v>
      </c>
      <c r="H78" s="41">
        <f t="shared" si="6"/>
        <v>114.6</v>
      </c>
      <c r="I78" t="str">
        <f t="shared" si="7"/>
        <v>Ed Buser</v>
      </c>
      <c r="J78" t="str">
        <f>VLOOKUP(I78,'Manager Coding'!C:D,2,0)</f>
        <v>Buser</v>
      </c>
      <c r="K78" s="41">
        <f t="shared" si="8"/>
        <v>89.82</v>
      </c>
      <c r="L78">
        <f t="shared" si="9"/>
        <v>1</v>
      </c>
      <c r="M78">
        <f t="shared" si="10"/>
        <v>0</v>
      </c>
      <c r="N78" s="54" t="s">
        <v>189</v>
      </c>
      <c r="O78" s="55" t="s">
        <v>68</v>
      </c>
      <c r="P78" s="50">
        <v>114.6</v>
      </c>
      <c r="Q78" s="46">
        <v>89.82</v>
      </c>
      <c r="R78" s="48" t="s">
        <v>50</v>
      </c>
      <c r="S78" s="54" t="s">
        <v>160</v>
      </c>
      <c r="T78">
        <f t="shared" si="11"/>
        <v>24.78</v>
      </c>
    </row>
    <row r="79" hidden="1">
      <c r="A79" s="32" t="str">
        <f t="shared" si="1"/>
        <v>2017HudspeathWeek 10</v>
      </c>
      <c r="B79" s="32" t="str">
        <f t="shared" si="2"/>
        <v>2017Rooney/JacksonWeek 10</v>
      </c>
      <c r="C79" s="32" t="str">
        <f t="shared" si="3"/>
        <v>Week 10</v>
      </c>
      <c r="D79" s="32">
        <v>2017.0</v>
      </c>
      <c r="E79" t="str">
        <f t="shared" si="4"/>
        <v>10</v>
      </c>
      <c r="F79" t="str">
        <f t="shared" si="5"/>
        <v>matt hudspeath</v>
      </c>
      <c r="G79" s="40" t="str">
        <f>VLOOKUP(F79,'Manager Coding'!C:D,2,0)</f>
        <v>Hudspeath</v>
      </c>
      <c r="H79" s="41">
        <f t="shared" si="6"/>
        <v>55.24</v>
      </c>
      <c r="I79" t="str">
        <f t="shared" si="7"/>
        <v>Stephen Rooney, Jackson Sattell</v>
      </c>
      <c r="J79" t="str">
        <f>VLOOKUP(I79,'Manager Coding'!C:D,2,0)</f>
        <v>Rooney/Jackson</v>
      </c>
      <c r="K79" s="41">
        <f t="shared" si="8"/>
        <v>82.34</v>
      </c>
      <c r="L79">
        <f t="shared" si="9"/>
        <v>0</v>
      </c>
      <c r="M79">
        <f t="shared" si="10"/>
        <v>1</v>
      </c>
      <c r="N79" s="54" t="s">
        <v>179</v>
      </c>
      <c r="O79" s="55" t="s">
        <v>64</v>
      </c>
      <c r="P79" s="50">
        <v>55.24</v>
      </c>
      <c r="Q79" s="46">
        <v>82.34</v>
      </c>
      <c r="R79" s="48" t="s">
        <v>58</v>
      </c>
      <c r="S79" s="54" t="s">
        <v>170</v>
      </c>
      <c r="T79">
        <f t="shared" si="11"/>
        <v>27.1</v>
      </c>
    </row>
    <row r="80" hidden="1">
      <c r="A80" s="32" t="str">
        <f t="shared" si="1"/>
        <v>#N/A</v>
      </c>
      <c r="B80" s="32" t="str">
        <f t="shared" si="2"/>
        <v>#N/A</v>
      </c>
      <c r="C80" s="32" t="str">
        <f t="shared" si="3"/>
        <v>Week 10</v>
      </c>
      <c r="D80" s="32">
        <v>2017.0</v>
      </c>
      <c r="E80" t="str">
        <f t="shared" si="4"/>
        <v>10</v>
      </c>
      <c r="F80" t="str">
        <f t="shared" si="5"/>
        <v/>
      </c>
      <c r="G80" s="40" t="str">
        <f>VLOOKUP(F80,'Manager Coding'!C:D,2,0)</f>
        <v>#N/A</v>
      </c>
      <c r="H80" s="41" t="str">
        <f t="shared" si="6"/>
        <v/>
      </c>
      <c r="I80" t="str">
        <f t="shared" si="7"/>
        <v/>
      </c>
      <c r="J80" t="str">
        <f>VLOOKUP(I80,'Manager Coding'!C:D,2,0)</f>
        <v>#N/A</v>
      </c>
      <c r="K80" s="41" t="str">
        <f t="shared" si="8"/>
        <v/>
      </c>
      <c r="L80">
        <f t="shared" si="9"/>
        <v>0</v>
      </c>
      <c r="M80">
        <f t="shared" si="10"/>
        <v>0</v>
      </c>
      <c r="N80" s="53" t="s">
        <v>430</v>
      </c>
      <c r="P80" s="41"/>
      <c r="Q80" s="41"/>
      <c r="T80">
        <f t="shared" si="11"/>
        <v>0</v>
      </c>
    </row>
    <row r="81" hidden="1">
      <c r="A81" s="32" t="str">
        <f t="shared" si="1"/>
        <v>#N/A</v>
      </c>
      <c r="B81" s="32" t="str">
        <f t="shared" si="2"/>
        <v>#N/A</v>
      </c>
      <c r="C81" s="32" t="str">
        <f t="shared" si="3"/>
        <v>Week 11</v>
      </c>
      <c r="D81" s="32">
        <v>2017.0</v>
      </c>
      <c r="E81" t="str">
        <f t="shared" si="4"/>
        <v>11</v>
      </c>
      <c r="F81" t="str">
        <f t="shared" si="5"/>
        <v>TEAM MANAGER(S)</v>
      </c>
      <c r="G81" s="40" t="str">
        <f>VLOOKUP(F81,'Manager Coding'!C:D,2,0)</f>
        <v>#N/A</v>
      </c>
      <c r="H81" s="41" t="str">
        <f t="shared" si="6"/>
        <v>SCORE</v>
      </c>
      <c r="I81" t="str">
        <f t="shared" si="7"/>
        <v>TEAM MANAGER(S)</v>
      </c>
      <c r="J81" t="str">
        <f>VLOOKUP(I81,'Manager Coding'!C:D,2,0)</f>
        <v>#N/A</v>
      </c>
      <c r="K81" s="41" t="str">
        <f t="shared" si="8"/>
        <v>SCORE</v>
      </c>
      <c r="L81">
        <f t="shared" si="9"/>
        <v>0</v>
      </c>
      <c r="M81">
        <f t="shared" si="10"/>
        <v>0</v>
      </c>
      <c r="N81" s="24" t="s">
        <v>197</v>
      </c>
      <c r="O81" s="24" t="s">
        <v>88</v>
      </c>
      <c r="P81" s="26" t="s">
        <v>94</v>
      </c>
      <c r="Q81" s="27" t="s">
        <v>94</v>
      </c>
      <c r="R81" s="30" t="s">
        <v>88</v>
      </c>
      <c r="S81" s="30" t="s">
        <v>101</v>
      </c>
      <c r="T81">
        <f t="shared" si="11"/>
        <v>0</v>
      </c>
    </row>
    <row r="82" hidden="1">
      <c r="A82" s="32" t="str">
        <f t="shared" si="1"/>
        <v>2017TayskiWeek 11</v>
      </c>
      <c r="B82" s="32" t="str">
        <f t="shared" si="2"/>
        <v>2017SaltyWeek 11</v>
      </c>
      <c r="C82" s="32" t="str">
        <f t="shared" si="3"/>
        <v>Week 11</v>
      </c>
      <c r="D82" s="32">
        <v>2017.0</v>
      </c>
      <c r="E82" t="str">
        <f t="shared" si="4"/>
        <v>11</v>
      </c>
      <c r="F82" t="str">
        <f t="shared" si="5"/>
        <v>Taylor Weis</v>
      </c>
      <c r="G82" s="40" t="str">
        <f>VLOOKUP(F82,'Manager Coding'!C:D,2,0)</f>
        <v>Tayski</v>
      </c>
      <c r="H82" s="41">
        <f t="shared" si="6"/>
        <v>79.74</v>
      </c>
      <c r="I82" t="str">
        <f t="shared" si="7"/>
        <v>R Saltiel</v>
      </c>
      <c r="J82" t="str">
        <f>VLOOKUP(I82,'Manager Coding'!C:D,2,0)</f>
        <v>Salty</v>
      </c>
      <c r="K82" s="41">
        <f t="shared" si="8"/>
        <v>38.4</v>
      </c>
      <c r="L82">
        <f t="shared" si="9"/>
        <v>1</v>
      </c>
      <c r="M82">
        <f t="shared" si="10"/>
        <v>0</v>
      </c>
      <c r="N82" s="54" t="s">
        <v>127</v>
      </c>
      <c r="O82" s="55" t="s">
        <v>54</v>
      </c>
      <c r="P82" s="50">
        <v>79.74</v>
      </c>
      <c r="Q82" s="46">
        <v>38.4</v>
      </c>
      <c r="R82" s="48" t="s">
        <v>77</v>
      </c>
      <c r="S82" s="54" t="s">
        <v>148</v>
      </c>
      <c r="T82">
        <f t="shared" si="11"/>
        <v>41.34</v>
      </c>
    </row>
    <row r="83" hidden="1">
      <c r="A83" s="32" t="str">
        <f t="shared" si="1"/>
        <v>2017ShepWeek 11</v>
      </c>
      <c r="B83" s="32" t="str">
        <f t="shared" si="2"/>
        <v>2017FellowsWeek 11</v>
      </c>
      <c r="C83" s="32" t="str">
        <f t="shared" si="3"/>
        <v>Week 11</v>
      </c>
      <c r="D83" s="32">
        <v>2017.0</v>
      </c>
      <c r="E83" t="str">
        <f t="shared" si="4"/>
        <v>11</v>
      </c>
      <c r="F83" t="str">
        <f t="shared" si="5"/>
        <v>Jordan Shepherd</v>
      </c>
      <c r="G83" s="40" t="str">
        <f>VLOOKUP(F83,'Manager Coding'!C:D,2,0)</f>
        <v>Shep</v>
      </c>
      <c r="H83" s="41">
        <f t="shared" si="6"/>
        <v>83.12</v>
      </c>
      <c r="I83" t="str">
        <f t="shared" si="7"/>
        <v>Michael Fellows</v>
      </c>
      <c r="J83" t="str">
        <f>VLOOKUP(I83,'Manager Coding'!C:D,2,0)</f>
        <v>Fellows</v>
      </c>
      <c r="K83" s="41">
        <f t="shared" si="8"/>
        <v>64.56</v>
      </c>
      <c r="L83">
        <f t="shared" si="9"/>
        <v>1</v>
      </c>
      <c r="M83">
        <f t="shared" si="10"/>
        <v>0</v>
      </c>
      <c r="N83" s="54" t="s">
        <v>128</v>
      </c>
      <c r="O83" s="55" t="s">
        <v>91</v>
      </c>
      <c r="P83" s="50">
        <v>83.12</v>
      </c>
      <c r="Q83" s="46">
        <v>64.56</v>
      </c>
      <c r="R83" s="48" t="s">
        <v>80</v>
      </c>
      <c r="S83" s="54" t="s">
        <v>162</v>
      </c>
      <c r="T83">
        <f t="shared" si="11"/>
        <v>18.56</v>
      </c>
    </row>
    <row r="84" hidden="1">
      <c r="A84" s="32" t="str">
        <f t="shared" si="1"/>
        <v>2017PiersonWeek 11</v>
      </c>
      <c r="B84" s="32" t="str">
        <f t="shared" si="2"/>
        <v>2017CockWeek 11</v>
      </c>
      <c r="C84" s="32" t="str">
        <f t="shared" si="3"/>
        <v>Week 11</v>
      </c>
      <c r="D84" s="32">
        <v>2017.0</v>
      </c>
      <c r="E84" t="str">
        <f t="shared" si="4"/>
        <v>11</v>
      </c>
      <c r="F84" t="str">
        <f t="shared" si="5"/>
        <v>Pierson Curtis</v>
      </c>
      <c r="G84" s="40" t="str">
        <f>VLOOKUP(F84,'Manager Coding'!C:D,2,0)</f>
        <v>Pierson</v>
      </c>
      <c r="H84" s="41">
        <f t="shared" si="6"/>
        <v>72.2</v>
      </c>
      <c r="I84" t="str">
        <f t="shared" si="7"/>
        <v>Jack Babcock, Chris Cochrane</v>
      </c>
      <c r="J84" t="str">
        <f>VLOOKUP(I84,'Manager Coding'!C:D,2,0)</f>
        <v>Cock</v>
      </c>
      <c r="K84" s="41">
        <f t="shared" si="8"/>
        <v>119.5</v>
      </c>
      <c r="L84">
        <f t="shared" si="9"/>
        <v>0</v>
      </c>
      <c r="M84">
        <f t="shared" si="10"/>
        <v>1</v>
      </c>
      <c r="N84" s="54" t="s">
        <v>144</v>
      </c>
      <c r="O84" s="55" t="s">
        <v>93</v>
      </c>
      <c r="P84" s="50">
        <v>72.2</v>
      </c>
      <c r="Q84" s="46">
        <v>119.5</v>
      </c>
      <c r="R84" s="48" t="s">
        <v>73</v>
      </c>
      <c r="S84" s="54" t="s">
        <v>171</v>
      </c>
      <c r="T84">
        <f t="shared" si="11"/>
        <v>47.3</v>
      </c>
    </row>
    <row r="85" hidden="1">
      <c r="A85" s="32" t="str">
        <f t="shared" si="1"/>
        <v>2017BuserWeek 11</v>
      </c>
      <c r="B85" s="32" t="str">
        <f t="shared" si="2"/>
        <v>2017KnardDawgWeek 11</v>
      </c>
      <c r="C85" s="32" t="str">
        <f t="shared" si="3"/>
        <v>Week 11</v>
      </c>
      <c r="D85" s="32">
        <v>2017.0</v>
      </c>
      <c r="E85" t="str">
        <f t="shared" si="4"/>
        <v>11</v>
      </c>
      <c r="F85" t="str">
        <f t="shared" si="5"/>
        <v>Ed Buser</v>
      </c>
      <c r="G85" s="40" t="str">
        <f>VLOOKUP(F85,'Manager Coding'!C:D,2,0)</f>
        <v>Buser</v>
      </c>
      <c r="H85" s="41">
        <f t="shared" si="6"/>
        <v>103.82</v>
      </c>
      <c r="I85" t="str">
        <f t="shared" si="7"/>
        <v>Alex Kinniard, Jack Reilly</v>
      </c>
      <c r="J85" t="str">
        <f>VLOOKUP(I85,'Manager Coding'!C:D,2,0)</f>
        <v>KnardDawg</v>
      </c>
      <c r="K85" s="41">
        <f t="shared" si="8"/>
        <v>114</v>
      </c>
      <c r="L85">
        <f t="shared" si="9"/>
        <v>0</v>
      </c>
      <c r="M85">
        <f t="shared" si="10"/>
        <v>1</v>
      </c>
      <c r="N85" s="54" t="s">
        <v>160</v>
      </c>
      <c r="O85" s="55" t="s">
        <v>50</v>
      </c>
      <c r="P85" s="50">
        <v>103.82</v>
      </c>
      <c r="Q85" s="46">
        <v>114.0</v>
      </c>
      <c r="R85" s="48" t="s">
        <v>87</v>
      </c>
      <c r="S85" s="54" t="s">
        <v>180</v>
      </c>
      <c r="T85">
        <f t="shared" si="11"/>
        <v>10.18</v>
      </c>
    </row>
    <row r="86" hidden="1">
      <c r="A86" s="32" t="str">
        <f t="shared" si="1"/>
        <v>2017Rooney/JacksonWeek 11</v>
      </c>
      <c r="B86" s="32" t="str">
        <f t="shared" si="2"/>
        <v>2017T-HowWeek 11</v>
      </c>
      <c r="C86" s="32" t="str">
        <f t="shared" si="3"/>
        <v>Week 11</v>
      </c>
      <c r="D86" s="32">
        <v>2017.0</v>
      </c>
      <c r="E86" t="str">
        <f t="shared" si="4"/>
        <v>11</v>
      </c>
      <c r="F86" t="str">
        <f t="shared" si="5"/>
        <v>Stephen Rooney, Jackson Sattell</v>
      </c>
      <c r="G86" s="40" t="str">
        <f>VLOOKUP(F86,'Manager Coding'!C:D,2,0)</f>
        <v>Rooney/Jackson</v>
      </c>
      <c r="H86" s="41">
        <f t="shared" si="6"/>
        <v>98.48</v>
      </c>
      <c r="I86" t="str">
        <f t="shared" si="7"/>
        <v>Tyler Howard</v>
      </c>
      <c r="J86" t="str">
        <f>VLOOKUP(I86,'Manager Coding'!C:D,2,0)</f>
        <v>T-How</v>
      </c>
      <c r="K86" s="41">
        <f t="shared" si="8"/>
        <v>99.98</v>
      </c>
      <c r="L86">
        <f t="shared" si="9"/>
        <v>0</v>
      </c>
      <c r="M86">
        <f t="shared" si="10"/>
        <v>1</v>
      </c>
      <c r="N86" s="54" t="s">
        <v>170</v>
      </c>
      <c r="O86" s="55" t="s">
        <v>58</v>
      </c>
      <c r="P86" s="50">
        <v>98.48</v>
      </c>
      <c r="Q86" s="46">
        <v>99.98</v>
      </c>
      <c r="R86" s="48" t="s">
        <v>85</v>
      </c>
      <c r="S86" s="54" t="s">
        <v>190</v>
      </c>
      <c r="T86">
        <f t="shared" si="11"/>
        <v>1.5</v>
      </c>
    </row>
    <row r="87" hidden="1">
      <c r="A87" s="32" t="str">
        <f t="shared" si="1"/>
        <v>2017HudspeathWeek 11</v>
      </c>
      <c r="B87" s="32" t="str">
        <f t="shared" si="2"/>
        <v>2017RileyWeek 11</v>
      </c>
      <c r="C87" s="32" t="str">
        <f t="shared" si="3"/>
        <v>Week 11</v>
      </c>
      <c r="D87" s="32">
        <v>2017.0</v>
      </c>
      <c r="E87" t="str">
        <f t="shared" si="4"/>
        <v>11</v>
      </c>
      <c r="F87" t="str">
        <f t="shared" si="5"/>
        <v>matt hudspeath</v>
      </c>
      <c r="G87" s="40" t="str">
        <f>VLOOKUP(F87,'Manager Coding'!C:D,2,0)</f>
        <v>Hudspeath</v>
      </c>
      <c r="H87" s="41">
        <f t="shared" si="6"/>
        <v>121.74</v>
      </c>
      <c r="I87" t="str">
        <f t="shared" si="7"/>
        <v>Riley McElwain</v>
      </c>
      <c r="J87" t="str">
        <f>VLOOKUP(I87,'Manager Coding'!C:D,2,0)</f>
        <v>Riley</v>
      </c>
      <c r="K87" s="41">
        <f t="shared" si="8"/>
        <v>128.1</v>
      </c>
      <c r="L87">
        <f t="shared" si="9"/>
        <v>0</v>
      </c>
      <c r="M87">
        <f t="shared" si="10"/>
        <v>1</v>
      </c>
      <c r="N87" s="54" t="s">
        <v>179</v>
      </c>
      <c r="O87" s="55" t="s">
        <v>64</v>
      </c>
      <c r="P87" s="50">
        <v>121.74</v>
      </c>
      <c r="Q87" s="46">
        <v>128.1</v>
      </c>
      <c r="R87" s="48" t="s">
        <v>68</v>
      </c>
      <c r="S87" s="54" t="s">
        <v>189</v>
      </c>
      <c r="T87">
        <f t="shared" si="11"/>
        <v>6.36</v>
      </c>
    </row>
    <row r="88" hidden="1">
      <c r="A88" s="32" t="str">
        <f t="shared" si="1"/>
        <v>#N/A</v>
      </c>
      <c r="B88" s="32" t="str">
        <f t="shared" si="2"/>
        <v>#N/A</v>
      </c>
      <c r="C88" s="32" t="str">
        <f t="shared" si="3"/>
        <v>Week 11</v>
      </c>
      <c r="D88" s="32">
        <v>2017.0</v>
      </c>
      <c r="E88" t="str">
        <f t="shared" si="4"/>
        <v>11</v>
      </c>
      <c r="F88" t="str">
        <f t="shared" si="5"/>
        <v/>
      </c>
      <c r="G88" s="40" t="str">
        <f>VLOOKUP(F88,'Manager Coding'!C:D,2,0)</f>
        <v>#N/A</v>
      </c>
      <c r="H88" s="41" t="str">
        <f t="shared" si="6"/>
        <v/>
      </c>
      <c r="I88" t="str">
        <f t="shared" si="7"/>
        <v/>
      </c>
      <c r="J88" t="str">
        <f>VLOOKUP(I88,'Manager Coding'!C:D,2,0)</f>
        <v>#N/A</v>
      </c>
      <c r="K88" s="41" t="str">
        <f t="shared" si="8"/>
        <v/>
      </c>
      <c r="L88">
        <f t="shared" si="9"/>
        <v>0</v>
      </c>
      <c r="M88">
        <f t="shared" si="10"/>
        <v>0</v>
      </c>
      <c r="N88" s="53" t="s">
        <v>455</v>
      </c>
      <c r="P88" s="41"/>
      <c r="Q88" s="41"/>
      <c r="T88">
        <f t="shared" si="11"/>
        <v>0</v>
      </c>
    </row>
    <row r="89" hidden="1">
      <c r="A89" s="32" t="str">
        <f t="shared" si="1"/>
        <v>#N/A</v>
      </c>
      <c r="B89" s="32" t="str">
        <f t="shared" si="2"/>
        <v>#N/A</v>
      </c>
      <c r="C89" s="32" t="str">
        <f t="shared" si="3"/>
        <v>Week 12</v>
      </c>
      <c r="D89" s="32">
        <v>2017.0</v>
      </c>
      <c r="E89" t="str">
        <f t="shared" si="4"/>
        <v>12</v>
      </c>
      <c r="F89" t="str">
        <f t="shared" si="5"/>
        <v>TEAM MANAGER(S)</v>
      </c>
      <c r="G89" s="40" t="str">
        <f>VLOOKUP(F89,'Manager Coding'!C:D,2,0)</f>
        <v>#N/A</v>
      </c>
      <c r="H89" s="41" t="str">
        <f t="shared" si="6"/>
        <v>SCORE</v>
      </c>
      <c r="I89" t="str">
        <f t="shared" si="7"/>
        <v>TEAM MANAGER(S)</v>
      </c>
      <c r="J89" t="str">
        <f>VLOOKUP(I89,'Manager Coding'!C:D,2,0)</f>
        <v>#N/A</v>
      </c>
      <c r="K89" s="41" t="str">
        <f t="shared" si="8"/>
        <v>SCORE</v>
      </c>
      <c r="L89">
        <f t="shared" si="9"/>
        <v>0</v>
      </c>
      <c r="M89">
        <f t="shared" si="10"/>
        <v>0</v>
      </c>
      <c r="N89" s="24" t="s">
        <v>197</v>
      </c>
      <c r="O89" s="24" t="s">
        <v>88</v>
      </c>
      <c r="P89" s="26" t="s">
        <v>94</v>
      </c>
      <c r="Q89" s="27" t="s">
        <v>94</v>
      </c>
      <c r="R89" s="30" t="s">
        <v>88</v>
      </c>
      <c r="S89" s="30" t="s">
        <v>101</v>
      </c>
      <c r="T89">
        <f t="shared" si="11"/>
        <v>0</v>
      </c>
    </row>
    <row r="90" hidden="1">
      <c r="A90" s="32" t="str">
        <f t="shared" si="1"/>
        <v>2017ShepWeek 12</v>
      </c>
      <c r="B90" s="32" t="str">
        <f t="shared" si="2"/>
        <v>2017TayskiWeek 12</v>
      </c>
      <c r="C90" s="32" t="str">
        <f t="shared" si="3"/>
        <v>Week 12</v>
      </c>
      <c r="D90" s="32">
        <v>2017.0</v>
      </c>
      <c r="E90" t="str">
        <f t="shared" si="4"/>
        <v>12</v>
      </c>
      <c r="F90" t="str">
        <f t="shared" si="5"/>
        <v>Jordan Shepherd</v>
      </c>
      <c r="G90" s="40" t="str">
        <f>VLOOKUP(F90,'Manager Coding'!C:D,2,0)</f>
        <v>Shep</v>
      </c>
      <c r="H90" s="41">
        <f t="shared" si="6"/>
        <v>96.62</v>
      </c>
      <c r="I90" t="str">
        <f t="shared" si="7"/>
        <v>Taylor Weis</v>
      </c>
      <c r="J90" t="str">
        <f>VLOOKUP(I90,'Manager Coding'!C:D,2,0)</f>
        <v>Tayski</v>
      </c>
      <c r="K90" s="41">
        <f t="shared" si="8"/>
        <v>48.66</v>
      </c>
      <c r="L90">
        <f t="shared" si="9"/>
        <v>1</v>
      </c>
      <c r="M90">
        <f t="shared" si="10"/>
        <v>0</v>
      </c>
      <c r="N90" s="54" t="s">
        <v>128</v>
      </c>
      <c r="O90" s="55" t="s">
        <v>91</v>
      </c>
      <c r="P90" s="50">
        <v>96.62</v>
      </c>
      <c r="Q90" s="46">
        <v>48.66</v>
      </c>
      <c r="R90" s="48" t="s">
        <v>54</v>
      </c>
      <c r="S90" s="54" t="s">
        <v>127</v>
      </c>
      <c r="T90">
        <f t="shared" si="11"/>
        <v>47.96</v>
      </c>
    </row>
    <row r="91" hidden="1">
      <c r="A91" s="32" t="str">
        <f t="shared" si="1"/>
        <v>2017SaltyWeek 12</v>
      </c>
      <c r="B91" s="32" t="str">
        <f t="shared" si="2"/>
        <v>2017PiersonWeek 12</v>
      </c>
      <c r="C91" s="32" t="str">
        <f t="shared" si="3"/>
        <v>Week 12</v>
      </c>
      <c r="D91" s="32">
        <v>2017.0</v>
      </c>
      <c r="E91" t="str">
        <f t="shared" si="4"/>
        <v>12</v>
      </c>
      <c r="F91" t="str">
        <f t="shared" si="5"/>
        <v>R Saltiel</v>
      </c>
      <c r="G91" s="40" t="str">
        <f>VLOOKUP(F91,'Manager Coding'!C:D,2,0)</f>
        <v>Salty</v>
      </c>
      <c r="H91" s="41">
        <f t="shared" si="6"/>
        <v>113.38</v>
      </c>
      <c r="I91" t="str">
        <f t="shared" si="7"/>
        <v>Pierson Curtis</v>
      </c>
      <c r="J91" t="str">
        <f>VLOOKUP(I91,'Manager Coding'!C:D,2,0)</f>
        <v>Pierson</v>
      </c>
      <c r="K91" s="41">
        <f t="shared" si="8"/>
        <v>80.16</v>
      </c>
      <c r="L91">
        <f t="shared" si="9"/>
        <v>1</v>
      </c>
      <c r="M91">
        <f t="shared" si="10"/>
        <v>0</v>
      </c>
      <c r="N91" s="54" t="s">
        <v>148</v>
      </c>
      <c r="O91" s="55" t="s">
        <v>77</v>
      </c>
      <c r="P91" s="50">
        <v>113.38</v>
      </c>
      <c r="Q91" s="46">
        <v>80.16</v>
      </c>
      <c r="R91" s="48" t="s">
        <v>93</v>
      </c>
      <c r="S91" s="54" t="s">
        <v>144</v>
      </c>
      <c r="T91">
        <f t="shared" si="11"/>
        <v>33.22</v>
      </c>
    </row>
    <row r="92" hidden="1">
      <c r="A92" s="32" t="str">
        <f t="shared" si="1"/>
        <v>2017FellowsWeek 12</v>
      </c>
      <c r="B92" s="32" t="str">
        <f t="shared" si="2"/>
        <v>2017BuserWeek 12</v>
      </c>
      <c r="C92" s="32" t="str">
        <f t="shared" si="3"/>
        <v>Week 12</v>
      </c>
      <c r="D92" s="32">
        <v>2017.0</v>
      </c>
      <c r="E92" t="str">
        <f t="shared" si="4"/>
        <v>12</v>
      </c>
      <c r="F92" t="str">
        <f t="shared" si="5"/>
        <v>Michael Fellows</v>
      </c>
      <c r="G92" s="40" t="str">
        <f>VLOOKUP(F92,'Manager Coding'!C:D,2,0)</f>
        <v>Fellows</v>
      </c>
      <c r="H92" s="41">
        <f t="shared" si="6"/>
        <v>58.02</v>
      </c>
      <c r="I92" t="str">
        <f t="shared" si="7"/>
        <v>Ed Buser</v>
      </c>
      <c r="J92" t="str">
        <f>VLOOKUP(I92,'Manager Coding'!C:D,2,0)</f>
        <v>Buser</v>
      </c>
      <c r="K92" s="41">
        <f t="shared" si="8"/>
        <v>101.58</v>
      </c>
      <c r="L92">
        <f t="shared" si="9"/>
        <v>0</v>
      </c>
      <c r="M92">
        <f t="shared" si="10"/>
        <v>1</v>
      </c>
      <c r="N92" s="54" t="s">
        <v>162</v>
      </c>
      <c r="O92" s="55" t="s">
        <v>80</v>
      </c>
      <c r="P92" s="50">
        <v>58.02</v>
      </c>
      <c r="Q92" s="46">
        <v>101.58</v>
      </c>
      <c r="R92" s="48" t="s">
        <v>50</v>
      </c>
      <c r="S92" s="54" t="s">
        <v>160</v>
      </c>
      <c r="T92">
        <f t="shared" si="11"/>
        <v>43.56</v>
      </c>
    </row>
    <row r="93" hidden="1">
      <c r="A93" s="32" t="str">
        <f t="shared" si="1"/>
        <v>2017CockWeek 12</v>
      </c>
      <c r="B93" s="32" t="str">
        <f t="shared" si="2"/>
        <v>2017Rooney/JacksonWeek 12</v>
      </c>
      <c r="C93" s="32" t="str">
        <f t="shared" si="3"/>
        <v>Week 12</v>
      </c>
      <c r="D93" s="32">
        <v>2017.0</v>
      </c>
      <c r="E93" t="str">
        <f t="shared" si="4"/>
        <v>12</v>
      </c>
      <c r="F93" t="str">
        <f t="shared" si="5"/>
        <v>Jack Babcock, Chris Cochrane</v>
      </c>
      <c r="G93" s="40" t="str">
        <f>VLOOKUP(F93,'Manager Coding'!C:D,2,0)</f>
        <v>Cock</v>
      </c>
      <c r="H93" s="41">
        <f t="shared" si="6"/>
        <v>120.04</v>
      </c>
      <c r="I93" t="str">
        <f t="shared" si="7"/>
        <v>Stephen Rooney, Jackson Sattell</v>
      </c>
      <c r="J93" t="str">
        <f>VLOOKUP(I93,'Manager Coding'!C:D,2,0)</f>
        <v>Rooney/Jackson</v>
      </c>
      <c r="K93" s="41">
        <f t="shared" si="8"/>
        <v>51.22</v>
      </c>
      <c r="L93">
        <f t="shared" si="9"/>
        <v>1</v>
      </c>
      <c r="M93">
        <f t="shared" si="10"/>
        <v>0</v>
      </c>
      <c r="N93" s="54" t="s">
        <v>171</v>
      </c>
      <c r="O93" s="55" t="s">
        <v>73</v>
      </c>
      <c r="P93" s="50">
        <v>120.04</v>
      </c>
      <c r="Q93" s="46">
        <v>51.22</v>
      </c>
      <c r="R93" s="48" t="s">
        <v>58</v>
      </c>
      <c r="S93" s="54" t="s">
        <v>170</v>
      </c>
      <c r="T93">
        <f t="shared" si="11"/>
        <v>68.82</v>
      </c>
    </row>
    <row r="94" hidden="1">
      <c r="A94" s="32" t="str">
        <f t="shared" si="1"/>
        <v>2017KnardDawgWeek 12</v>
      </c>
      <c r="B94" s="32" t="str">
        <f t="shared" si="2"/>
        <v>2017HudspeathWeek 12</v>
      </c>
      <c r="C94" s="32" t="str">
        <f t="shared" si="3"/>
        <v>Week 12</v>
      </c>
      <c r="D94" s="32">
        <v>2017.0</v>
      </c>
      <c r="E94" t="str">
        <f t="shared" si="4"/>
        <v>12</v>
      </c>
      <c r="F94" t="str">
        <f t="shared" si="5"/>
        <v>Alex Kinniard, Jack Reilly</v>
      </c>
      <c r="G94" s="40" t="str">
        <f>VLOOKUP(F94,'Manager Coding'!C:D,2,0)</f>
        <v>KnardDawg</v>
      </c>
      <c r="H94" s="41">
        <f t="shared" si="6"/>
        <v>102.92</v>
      </c>
      <c r="I94" t="str">
        <f t="shared" si="7"/>
        <v>matt hudspeath</v>
      </c>
      <c r="J94" t="str">
        <f>VLOOKUP(I94,'Manager Coding'!C:D,2,0)</f>
        <v>Hudspeath</v>
      </c>
      <c r="K94" s="41">
        <f t="shared" si="8"/>
        <v>109.06</v>
      </c>
      <c r="L94">
        <f t="shared" si="9"/>
        <v>0</v>
      </c>
      <c r="M94">
        <f t="shared" si="10"/>
        <v>1</v>
      </c>
      <c r="N94" s="54" t="s">
        <v>180</v>
      </c>
      <c r="O94" s="55" t="s">
        <v>87</v>
      </c>
      <c r="P94" s="50">
        <v>102.92</v>
      </c>
      <c r="Q94" s="46">
        <v>109.06</v>
      </c>
      <c r="R94" s="48" t="s">
        <v>64</v>
      </c>
      <c r="S94" s="54" t="s">
        <v>179</v>
      </c>
      <c r="T94">
        <f t="shared" si="11"/>
        <v>6.14</v>
      </c>
    </row>
    <row r="95" hidden="1">
      <c r="A95" s="32" t="str">
        <f t="shared" si="1"/>
        <v>2017T-HowWeek 12</v>
      </c>
      <c r="B95" s="32" t="str">
        <f t="shared" si="2"/>
        <v>2017RileyWeek 12</v>
      </c>
      <c r="C95" s="32" t="str">
        <f t="shared" si="3"/>
        <v>Week 12</v>
      </c>
      <c r="D95" s="32">
        <v>2017.0</v>
      </c>
      <c r="E95" t="str">
        <f t="shared" si="4"/>
        <v>12</v>
      </c>
      <c r="F95" t="str">
        <f t="shared" si="5"/>
        <v>Tyler Howard</v>
      </c>
      <c r="G95" s="40" t="str">
        <f>VLOOKUP(F95,'Manager Coding'!C:D,2,0)</f>
        <v>T-How</v>
      </c>
      <c r="H95" s="41">
        <f t="shared" si="6"/>
        <v>103.58</v>
      </c>
      <c r="I95" t="str">
        <f t="shared" si="7"/>
        <v>Riley McElwain</v>
      </c>
      <c r="J95" t="str">
        <f>VLOOKUP(I95,'Manager Coding'!C:D,2,0)</f>
        <v>Riley</v>
      </c>
      <c r="K95" s="41">
        <f t="shared" si="8"/>
        <v>130.98</v>
      </c>
      <c r="L95">
        <f t="shared" si="9"/>
        <v>0</v>
      </c>
      <c r="M95">
        <f t="shared" si="10"/>
        <v>1</v>
      </c>
      <c r="N95" s="54" t="s">
        <v>190</v>
      </c>
      <c r="O95" s="55" t="s">
        <v>85</v>
      </c>
      <c r="P95" s="50">
        <v>103.58</v>
      </c>
      <c r="Q95" s="46">
        <v>130.98</v>
      </c>
      <c r="R95" s="48" t="s">
        <v>68</v>
      </c>
      <c r="S95" s="54" t="s">
        <v>189</v>
      </c>
      <c r="T95">
        <f t="shared" si="11"/>
        <v>27.4</v>
      </c>
    </row>
    <row r="96" hidden="1">
      <c r="A96" s="32" t="str">
        <f t="shared" si="1"/>
        <v>#N/A</v>
      </c>
      <c r="B96" s="32" t="str">
        <f t="shared" si="2"/>
        <v>#N/A</v>
      </c>
      <c r="C96" s="32" t="str">
        <f t="shared" si="3"/>
        <v>Week 12</v>
      </c>
      <c r="D96" s="32">
        <v>2017.0</v>
      </c>
      <c r="E96" t="str">
        <f t="shared" si="4"/>
        <v>12</v>
      </c>
      <c r="F96" t="str">
        <f t="shared" si="5"/>
        <v/>
      </c>
      <c r="G96" s="40" t="str">
        <f>VLOOKUP(F96,'Manager Coding'!C:D,2,0)</f>
        <v>#N/A</v>
      </c>
      <c r="H96" s="41" t="str">
        <f t="shared" si="6"/>
        <v/>
      </c>
      <c r="I96" t="str">
        <f t="shared" si="7"/>
        <v/>
      </c>
      <c r="J96" t="str">
        <f>VLOOKUP(I96,'Manager Coding'!C:D,2,0)</f>
        <v>#N/A</v>
      </c>
      <c r="K96" s="41" t="str">
        <f t="shared" si="8"/>
        <v/>
      </c>
      <c r="L96">
        <f t="shared" si="9"/>
        <v>0</v>
      </c>
      <c r="M96">
        <f t="shared" si="10"/>
        <v>0</v>
      </c>
      <c r="N96" s="53" t="s">
        <v>477</v>
      </c>
      <c r="P96" s="41"/>
      <c r="Q96" s="41"/>
      <c r="T96">
        <f t="shared" si="11"/>
        <v>0</v>
      </c>
    </row>
    <row r="97" hidden="1">
      <c r="A97" s="32" t="str">
        <f t="shared" si="1"/>
        <v>#N/A</v>
      </c>
      <c r="B97" s="32" t="str">
        <f t="shared" si="2"/>
        <v>#N/A</v>
      </c>
      <c r="C97" s="32" t="str">
        <f t="shared" si="3"/>
        <v>Week 13</v>
      </c>
      <c r="D97" s="32">
        <v>2017.0</v>
      </c>
      <c r="E97" t="str">
        <f t="shared" si="4"/>
        <v>13</v>
      </c>
      <c r="F97" t="str">
        <f t="shared" si="5"/>
        <v>TEAM MANAGER(S)</v>
      </c>
      <c r="G97" s="40" t="str">
        <f>VLOOKUP(F97,'Manager Coding'!C:D,2,0)</f>
        <v>#N/A</v>
      </c>
      <c r="H97" s="41" t="str">
        <f t="shared" si="6"/>
        <v>SCORE</v>
      </c>
      <c r="I97" t="str">
        <f t="shared" si="7"/>
        <v>TEAM MANAGER(S)</v>
      </c>
      <c r="J97" t="str">
        <f>VLOOKUP(I97,'Manager Coding'!C:D,2,0)</f>
        <v>#N/A</v>
      </c>
      <c r="K97" s="41" t="str">
        <f t="shared" si="8"/>
        <v>SCORE</v>
      </c>
      <c r="L97">
        <f t="shared" si="9"/>
        <v>0</v>
      </c>
      <c r="M97">
        <f t="shared" si="10"/>
        <v>0</v>
      </c>
      <c r="N97" s="24" t="s">
        <v>197</v>
      </c>
      <c r="O97" s="24" t="s">
        <v>88</v>
      </c>
      <c r="P97" s="26" t="s">
        <v>94</v>
      </c>
      <c r="Q97" s="27" t="s">
        <v>94</v>
      </c>
      <c r="R97" s="30" t="s">
        <v>88</v>
      </c>
      <c r="S97" s="30" t="s">
        <v>101</v>
      </c>
      <c r="T97">
        <f t="shared" si="11"/>
        <v>0</v>
      </c>
    </row>
    <row r="98" hidden="1">
      <c r="A98" s="32" t="str">
        <f t="shared" si="1"/>
        <v>2017TayskiWeek 13</v>
      </c>
      <c r="B98" s="32" t="str">
        <f t="shared" si="2"/>
        <v>2017PiersonWeek 13</v>
      </c>
      <c r="C98" s="32" t="str">
        <f t="shared" si="3"/>
        <v>Week 13</v>
      </c>
      <c r="D98" s="32">
        <v>2017.0</v>
      </c>
      <c r="E98" t="str">
        <f t="shared" si="4"/>
        <v>13</v>
      </c>
      <c r="F98" t="str">
        <f t="shared" si="5"/>
        <v>Taylor Weis</v>
      </c>
      <c r="G98" s="40" t="str">
        <f>VLOOKUP(F98,'Manager Coding'!C:D,2,0)</f>
        <v>Tayski</v>
      </c>
      <c r="H98" s="41">
        <f t="shared" si="6"/>
        <v>72</v>
      </c>
      <c r="I98" t="str">
        <f t="shared" si="7"/>
        <v>Pierson Curtis</v>
      </c>
      <c r="J98" t="str">
        <f>VLOOKUP(I98,'Manager Coding'!C:D,2,0)</f>
        <v>Pierson</v>
      </c>
      <c r="K98" s="41">
        <f t="shared" si="8"/>
        <v>108.44</v>
      </c>
      <c r="L98">
        <f t="shared" si="9"/>
        <v>0</v>
      </c>
      <c r="M98">
        <f t="shared" si="10"/>
        <v>1</v>
      </c>
      <c r="N98" s="54" t="s">
        <v>127</v>
      </c>
      <c r="O98" s="55" t="s">
        <v>54</v>
      </c>
      <c r="P98" s="50">
        <v>72.0</v>
      </c>
      <c r="Q98" s="46">
        <v>108.44</v>
      </c>
      <c r="R98" s="48" t="s">
        <v>93</v>
      </c>
      <c r="S98" s="54" t="s">
        <v>144</v>
      </c>
      <c r="T98">
        <f t="shared" si="11"/>
        <v>36.44</v>
      </c>
    </row>
    <row r="99" hidden="1">
      <c r="A99" s="32" t="str">
        <f t="shared" si="1"/>
        <v>2017BuserWeek 13</v>
      </c>
      <c r="B99" s="32" t="str">
        <f t="shared" si="2"/>
        <v>2017ShepWeek 13</v>
      </c>
      <c r="C99" s="32" t="str">
        <f t="shared" si="3"/>
        <v>Week 13</v>
      </c>
      <c r="D99" s="32">
        <v>2017.0</v>
      </c>
      <c r="E99" t="str">
        <f t="shared" si="4"/>
        <v>13</v>
      </c>
      <c r="F99" t="str">
        <f t="shared" si="5"/>
        <v>Ed Buser</v>
      </c>
      <c r="G99" s="40" t="str">
        <f>VLOOKUP(F99,'Manager Coding'!C:D,2,0)</f>
        <v>Buser</v>
      </c>
      <c r="H99" s="41">
        <f t="shared" si="6"/>
        <v>97.12</v>
      </c>
      <c r="I99" t="str">
        <f t="shared" si="7"/>
        <v>Jordan Shepherd</v>
      </c>
      <c r="J99" t="str">
        <f>VLOOKUP(I99,'Manager Coding'!C:D,2,0)</f>
        <v>Shep</v>
      </c>
      <c r="K99" s="41">
        <f t="shared" si="8"/>
        <v>84.98</v>
      </c>
      <c r="L99">
        <f t="shared" si="9"/>
        <v>1</v>
      </c>
      <c r="M99">
        <f t="shared" si="10"/>
        <v>0</v>
      </c>
      <c r="N99" s="54" t="s">
        <v>160</v>
      </c>
      <c r="O99" s="55" t="s">
        <v>50</v>
      </c>
      <c r="P99" s="50">
        <v>97.12</v>
      </c>
      <c r="Q99" s="46">
        <v>84.98</v>
      </c>
      <c r="R99" s="48" t="s">
        <v>91</v>
      </c>
      <c r="S99" s="54" t="s">
        <v>128</v>
      </c>
      <c r="T99">
        <f t="shared" si="11"/>
        <v>12.14</v>
      </c>
    </row>
    <row r="100" hidden="1">
      <c r="A100" s="32" t="str">
        <f t="shared" si="1"/>
        <v>2017Rooney/JacksonWeek 13</v>
      </c>
      <c r="B100" s="32" t="str">
        <f t="shared" si="2"/>
        <v>2017SaltyWeek 13</v>
      </c>
      <c r="C100" s="32" t="str">
        <f t="shared" si="3"/>
        <v>Week 13</v>
      </c>
      <c r="D100" s="32">
        <v>2017.0</v>
      </c>
      <c r="E100" t="str">
        <f t="shared" si="4"/>
        <v>13</v>
      </c>
      <c r="F100" t="str">
        <f t="shared" si="5"/>
        <v>Stephen Rooney, Jackson Sattell</v>
      </c>
      <c r="G100" s="40" t="str">
        <f>VLOOKUP(F100,'Manager Coding'!C:D,2,0)</f>
        <v>Rooney/Jackson</v>
      </c>
      <c r="H100" s="41">
        <f t="shared" si="6"/>
        <v>90.18</v>
      </c>
      <c r="I100" t="str">
        <f t="shared" si="7"/>
        <v>R Saltiel</v>
      </c>
      <c r="J100" t="str">
        <f>VLOOKUP(I100,'Manager Coding'!C:D,2,0)</f>
        <v>Salty</v>
      </c>
      <c r="K100" s="41">
        <f t="shared" si="8"/>
        <v>126.52</v>
      </c>
      <c r="L100">
        <f t="shared" si="9"/>
        <v>0</v>
      </c>
      <c r="M100">
        <f t="shared" si="10"/>
        <v>1</v>
      </c>
      <c r="N100" s="54" t="s">
        <v>170</v>
      </c>
      <c r="O100" s="55" t="s">
        <v>58</v>
      </c>
      <c r="P100" s="50">
        <v>90.18</v>
      </c>
      <c r="Q100" s="46">
        <v>126.52</v>
      </c>
      <c r="R100" s="48" t="s">
        <v>77</v>
      </c>
      <c r="S100" s="54" t="s">
        <v>148</v>
      </c>
      <c r="T100">
        <f t="shared" si="11"/>
        <v>36.34</v>
      </c>
    </row>
    <row r="101" hidden="1">
      <c r="A101" s="32" t="str">
        <f t="shared" si="1"/>
        <v>2017HudspeathWeek 13</v>
      </c>
      <c r="B101" s="32" t="str">
        <f t="shared" si="2"/>
        <v>2017FellowsWeek 13</v>
      </c>
      <c r="C101" s="32" t="str">
        <f t="shared" si="3"/>
        <v>Week 13</v>
      </c>
      <c r="D101" s="32">
        <v>2017.0</v>
      </c>
      <c r="E101" t="str">
        <f t="shared" si="4"/>
        <v>13</v>
      </c>
      <c r="F101" t="str">
        <f t="shared" si="5"/>
        <v>matt hudspeath</v>
      </c>
      <c r="G101" s="40" t="str">
        <f>VLOOKUP(F101,'Manager Coding'!C:D,2,0)</f>
        <v>Hudspeath</v>
      </c>
      <c r="H101" s="41">
        <f t="shared" si="6"/>
        <v>105.66</v>
      </c>
      <c r="I101" t="str">
        <f t="shared" si="7"/>
        <v>Michael Fellows</v>
      </c>
      <c r="J101" t="str">
        <f>VLOOKUP(I101,'Manager Coding'!C:D,2,0)</f>
        <v>Fellows</v>
      </c>
      <c r="K101" s="41">
        <f t="shared" si="8"/>
        <v>68.4</v>
      </c>
      <c r="L101">
        <f t="shared" si="9"/>
        <v>1</v>
      </c>
      <c r="M101">
        <f t="shared" si="10"/>
        <v>0</v>
      </c>
      <c r="N101" s="54" t="s">
        <v>179</v>
      </c>
      <c r="O101" s="55" t="s">
        <v>64</v>
      </c>
      <c r="P101" s="50">
        <v>105.66</v>
      </c>
      <c r="Q101" s="46">
        <v>68.4</v>
      </c>
      <c r="R101" s="48" t="s">
        <v>80</v>
      </c>
      <c r="S101" s="54" t="s">
        <v>162</v>
      </c>
      <c r="T101">
        <f t="shared" si="11"/>
        <v>37.26</v>
      </c>
    </row>
    <row r="102" hidden="1">
      <c r="A102" s="32" t="str">
        <f t="shared" si="1"/>
        <v>2017RileyWeek 13</v>
      </c>
      <c r="B102" s="32" t="str">
        <f t="shared" si="2"/>
        <v>2017CockWeek 13</v>
      </c>
      <c r="C102" s="32" t="str">
        <f t="shared" si="3"/>
        <v>Week 13</v>
      </c>
      <c r="D102" s="32">
        <v>2017.0</v>
      </c>
      <c r="E102" t="str">
        <f t="shared" si="4"/>
        <v>13</v>
      </c>
      <c r="F102" t="str">
        <f t="shared" si="5"/>
        <v>Riley McElwain</v>
      </c>
      <c r="G102" s="40" t="str">
        <f>VLOOKUP(F102,'Manager Coding'!C:D,2,0)</f>
        <v>Riley</v>
      </c>
      <c r="H102" s="41">
        <f t="shared" si="6"/>
        <v>121.82</v>
      </c>
      <c r="I102" t="str">
        <f t="shared" si="7"/>
        <v>Jack Babcock, Chris Cochrane</v>
      </c>
      <c r="J102" t="str">
        <f>VLOOKUP(I102,'Manager Coding'!C:D,2,0)</f>
        <v>Cock</v>
      </c>
      <c r="K102" s="41">
        <f t="shared" si="8"/>
        <v>92.76</v>
      </c>
      <c r="L102">
        <f t="shared" si="9"/>
        <v>1</v>
      </c>
      <c r="M102">
        <f t="shared" si="10"/>
        <v>0</v>
      </c>
      <c r="N102" s="54" t="s">
        <v>189</v>
      </c>
      <c r="O102" s="55" t="s">
        <v>68</v>
      </c>
      <c r="P102" s="50">
        <v>121.82</v>
      </c>
      <c r="Q102" s="46">
        <v>92.76</v>
      </c>
      <c r="R102" s="48" t="s">
        <v>73</v>
      </c>
      <c r="S102" s="54" t="s">
        <v>171</v>
      </c>
      <c r="T102">
        <f t="shared" si="11"/>
        <v>29.06</v>
      </c>
    </row>
    <row r="103" hidden="1">
      <c r="A103" s="32" t="str">
        <f t="shared" si="1"/>
        <v>2017T-HowWeek 13</v>
      </c>
      <c r="B103" s="32" t="str">
        <f t="shared" si="2"/>
        <v>2017KnardDawgWeek 13</v>
      </c>
      <c r="C103" s="32" t="str">
        <f t="shared" si="3"/>
        <v>Week 13</v>
      </c>
      <c r="D103" s="32">
        <v>2017.0</v>
      </c>
      <c r="E103" t="str">
        <f t="shared" si="4"/>
        <v>13</v>
      </c>
      <c r="F103" t="str">
        <f t="shared" si="5"/>
        <v>Tyler Howard</v>
      </c>
      <c r="G103" s="40" t="str">
        <f>VLOOKUP(F103,'Manager Coding'!C:D,2,0)</f>
        <v>T-How</v>
      </c>
      <c r="H103" s="41">
        <f t="shared" si="6"/>
        <v>74.84</v>
      </c>
      <c r="I103" t="str">
        <f t="shared" si="7"/>
        <v>Alex Kinniard, Jack Reilly</v>
      </c>
      <c r="J103" t="str">
        <f>VLOOKUP(I103,'Manager Coding'!C:D,2,0)</f>
        <v>KnardDawg</v>
      </c>
      <c r="K103" s="41">
        <f t="shared" si="8"/>
        <v>101.72</v>
      </c>
      <c r="L103">
        <f t="shared" si="9"/>
        <v>0</v>
      </c>
      <c r="M103">
        <f t="shared" si="10"/>
        <v>1</v>
      </c>
      <c r="N103" s="54" t="s">
        <v>190</v>
      </c>
      <c r="O103" s="55" t="s">
        <v>85</v>
      </c>
      <c r="P103" s="50">
        <v>74.84</v>
      </c>
      <c r="Q103" s="46">
        <v>101.72</v>
      </c>
      <c r="R103" s="48" t="s">
        <v>87</v>
      </c>
      <c r="S103" s="54" t="s">
        <v>180</v>
      </c>
      <c r="T103">
        <f t="shared" si="11"/>
        <v>26.88</v>
      </c>
    </row>
    <row r="104" hidden="1">
      <c r="A104" s="32" t="str">
        <f t="shared" si="1"/>
        <v>#N/A</v>
      </c>
      <c r="B104" s="32" t="str">
        <f t="shared" si="2"/>
        <v>#N/A</v>
      </c>
      <c r="C104" s="32" t="str">
        <f t="shared" si="3"/>
        <v>Week 13</v>
      </c>
      <c r="D104" s="32">
        <v>2017.0</v>
      </c>
      <c r="E104" t="str">
        <f t="shared" si="4"/>
        <v>13</v>
      </c>
      <c r="F104" t="str">
        <f t="shared" si="5"/>
        <v/>
      </c>
      <c r="G104" s="40" t="str">
        <f>VLOOKUP(F104,'Manager Coding'!C:D,2,0)</f>
        <v>#N/A</v>
      </c>
      <c r="H104" s="41" t="str">
        <f t="shared" si="6"/>
        <v/>
      </c>
      <c r="I104" t="str">
        <f t="shared" si="7"/>
        <v/>
      </c>
      <c r="J104" t="str">
        <f>VLOOKUP(I104,'Manager Coding'!C:D,2,0)</f>
        <v>#N/A</v>
      </c>
      <c r="K104" s="41" t="str">
        <f t="shared" si="8"/>
        <v/>
      </c>
      <c r="L104">
        <f t="shared" si="9"/>
        <v>0</v>
      </c>
      <c r="M104">
        <f t="shared" si="10"/>
        <v>0</v>
      </c>
      <c r="N104" s="53" t="s">
        <v>501</v>
      </c>
      <c r="P104" s="41"/>
      <c r="Q104" s="41"/>
      <c r="T104">
        <f t="shared" si="11"/>
        <v>0</v>
      </c>
    </row>
    <row r="105" hidden="1">
      <c r="A105" s="32" t="str">
        <f t="shared" si="1"/>
        <v>#N/A</v>
      </c>
      <c r="B105" s="32" t="str">
        <f t="shared" si="2"/>
        <v>#N/A</v>
      </c>
      <c r="C105" s="32" t="str">
        <f t="shared" si="3"/>
        <v>Week 14</v>
      </c>
      <c r="D105" s="32">
        <v>2017.0</v>
      </c>
      <c r="E105" t="str">
        <f t="shared" si="4"/>
        <v>14</v>
      </c>
      <c r="F105" t="str">
        <f t="shared" si="5"/>
        <v>TEAM MANAGER(S)</v>
      </c>
      <c r="G105" s="40" t="str">
        <f>VLOOKUP(F105,'Manager Coding'!C:D,2,0)</f>
        <v>#N/A</v>
      </c>
      <c r="H105" s="41" t="str">
        <f t="shared" si="6"/>
        <v>SCORE</v>
      </c>
      <c r="I105" t="str">
        <f t="shared" si="7"/>
        <v>TEAM MANAGER(S)</v>
      </c>
      <c r="J105" t="str">
        <f>VLOOKUP(I105,'Manager Coding'!C:D,2,0)</f>
        <v>#N/A</v>
      </c>
      <c r="K105" s="41" t="str">
        <f t="shared" si="8"/>
        <v>SCORE</v>
      </c>
      <c r="L105">
        <f t="shared" si="9"/>
        <v>0</v>
      </c>
      <c r="M105">
        <f t="shared" si="10"/>
        <v>0</v>
      </c>
      <c r="N105" s="24" t="s">
        <v>197</v>
      </c>
      <c r="O105" s="24" t="s">
        <v>88</v>
      </c>
      <c r="P105" s="26" t="s">
        <v>94</v>
      </c>
      <c r="Q105" s="27" t="s">
        <v>94</v>
      </c>
      <c r="R105" s="30" t="s">
        <v>88</v>
      </c>
      <c r="S105" s="30" t="s">
        <v>101</v>
      </c>
      <c r="T105">
        <f t="shared" si="11"/>
        <v>0</v>
      </c>
    </row>
    <row r="106" hidden="1">
      <c r="A106" s="32" t="str">
        <f t="shared" si="1"/>
        <v>2017SaltyWeek 14</v>
      </c>
      <c r="B106" s="32" t="str">
        <f t="shared" si="2"/>
        <v>2017BuserWeek 14</v>
      </c>
      <c r="C106" s="32" t="str">
        <f t="shared" si="3"/>
        <v>Week 14</v>
      </c>
      <c r="D106" s="32">
        <v>2017.0</v>
      </c>
      <c r="E106" t="str">
        <f t="shared" si="4"/>
        <v>14</v>
      </c>
      <c r="F106" t="str">
        <f t="shared" si="5"/>
        <v>R Saltiel</v>
      </c>
      <c r="G106" s="40" t="str">
        <f>VLOOKUP(F106,'Manager Coding'!C:D,2,0)</f>
        <v>Salty</v>
      </c>
      <c r="H106" s="41">
        <f t="shared" si="6"/>
        <v>68.34</v>
      </c>
      <c r="I106" t="str">
        <f t="shared" si="7"/>
        <v>Ed Buser</v>
      </c>
      <c r="J106" t="str">
        <f>VLOOKUP(I106,'Manager Coding'!C:D,2,0)</f>
        <v>Buser</v>
      </c>
      <c r="K106" s="41">
        <f t="shared" si="8"/>
        <v>111.04</v>
      </c>
      <c r="L106">
        <f t="shared" si="9"/>
        <v>0</v>
      </c>
      <c r="M106">
        <f t="shared" si="10"/>
        <v>1</v>
      </c>
      <c r="N106" s="54" t="s">
        <v>148</v>
      </c>
      <c r="O106" s="55" t="s">
        <v>77</v>
      </c>
      <c r="P106" s="50">
        <v>68.34</v>
      </c>
      <c r="Q106" s="46">
        <v>111.04</v>
      </c>
      <c r="R106" s="48" t="s">
        <v>50</v>
      </c>
      <c r="S106" s="54" t="s">
        <v>160</v>
      </c>
      <c r="T106">
        <f t="shared" si="11"/>
        <v>42.7</v>
      </c>
    </row>
    <row r="107" hidden="1">
      <c r="A107" s="32" t="str">
        <f t="shared" si="1"/>
        <v>2017HudspeathWeek 14</v>
      </c>
      <c r="B107" s="32" t="str">
        <f t="shared" si="2"/>
        <v>2017CockWeek 14</v>
      </c>
      <c r="C107" s="32" t="str">
        <f t="shared" si="3"/>
        <v>Week 14</v>
      </c>
      <c r="D107" s="32">
        <v>2017.0</v>
      </c>
      <c r="E107" t="str">
        <f t="shared" si="4"/>
        <v>14</v>
      </c>
      <c r="F107" t="str">
        <f t="shared" si="5"/>
        <v>matt hudspeath</v>
      </c>
      <c r="G107" s="40" t="str">
        <f>VLOOKUP(F107,'Manager Coding'!C:D,2,0)</f>
        <v>Hudspeath</v>
      </c>
      <c r="H107" s="41">
        <f t="shared" si="6"/>
        <v>92.66</v>
      </c>
      <c r="I107" t="str">
        <f t="shared" si="7"/>
        <v>Jack Babcock, Chris Cochrane</v>
      </c>
      <c r="J107" t="str">
        <f>VLOOKUP(I107,'Manager Coding'!C:D,2,0)</f>
        <v>Cock</v>
      </c>
      <c r="K107" s="41">
        <f t="shared" si="8"/>
        <v>116.34</v>
      </c>
      <c r="L107">
        <f t="shared" si="9"/>
        <v>0</v>
      </c>
      <c r="M107">
        <f t="shared" si="10"/>
        <v>1</v>
      </c>
      <c r="N107" s="54" t="s">
        <v>179</v>
      </c>
      <c r="O107" s="55" t="s">
        <v>64</v>
      </c>
      <c r="P107" s="50">
        <v>92.66</v>
      </c>
      <c r="Q107" s="46">
        <v>116.34</v>
      </c>
      <c r="R107" s="48" t="s">
        <v>73</v>
      </c>
      <c r="S107" s="54" t="s">
        <v>171</v>
      </c>
      <c r="T107">
        <f t="shared" si="11"/>
        <v>23.68</v>
      </c>
    </row>
    <row r="108" hidden="1">
      <c r="A108" s="32" t="str">
        <f t="shared" si="1"/>
        <v>2017PiersonWeek 14</v>
      </c>
      <c r="B108" s="32" t="str">
        <f t="shared" si="2"/>
        <v>2017ShepWeek 14</v>
      </c>
      <c r="C108" s="32" t="str">
        <f t="shared" si="3"/>
        <v>Week 14</v>
      </c>
      <c r="D108" s="32">
        <v>2017.0</v>
      </c>
      <c r="E108" t="str">
        <f t="shared" si="4"/>
        <v>14</v>
      </c>
      <c r="F108" t="str">
        <f t="shared" si="5"/>
        <v>Pierson Curtis</v>
      </c>
      <c r="G108" s="40" t="str">
        <f>VLOOKUP(F108,'Manager Coding'!C:D,2,0)</f>
        <v>Pierson</v>
      </c>
      <c r="H108" s="41">
        <f t="shared" si="6"/>
        <v>95.62</v>
      </c>
      <c r="I108" t="str">
        <f t="shared" si="7"/>
        <v>Jordan Shepherd</v>
      </c>
      <c r="J108" t="str">
        <f>VLOOKUP(I108,'Manager Coding'!C:D,2,0)</f>
        <v>Shep</v>
      </c>
      <c r="K108" s="41">
        <f t="shared" si="8"/>
        <v>96.64</v>
      </c>
      <c r="L108">
        <f t="shared" si="9"/>
        <v>0</v>
      </c>
      <c r="M108">
        <f t="shared" si="10"/>
        <v>1</v>
      </c>
      <c r="N108" s="54" t="s">
        <v>144</v>
      </c>
      <c r="O108" s="55" t="s">
        <v>93</v>
      </c>
      <c r="P108" s="50">
        <v>95.62</v>
      </c>
      <c r="Q108" s="46">
        <v>96.64</v>
      </c>
      <c r="R108" s="48" t="s">
        <v>91</v>
      </c>
      <c r="S108" s="54" t="s">
        <v>128</v>
      </c>
      <c r="T108">
        <f t="shared" si="11"/>
        <v>1.02</v>
      </c>
    </row>
    <row r="109" hidden="1">
      <c r="A109" s="32" t="str">
        <f t="shared" si="1"/>
        <v>2017TayskiWeek 14</v>
      </c>
      <c r="B109" s="32" t="str">
        <f t="shared" si="2"/>
        <v>2017T-HowWeek 14</v>
      </c>
      <c r="C109" s="32" t="str">
        <f t="shared" si="3"/>
        <v>Week 14</v>
      </c>
      <c r="D109" s="32">
        <v>2017.0</v>
      </c>
      <c r="E109" t="str">
        <f t="shared" si="4"/>
        <v>14</v>
      </c>
      <c r="F109" t="str">
        <f t="shared" si="5"/>
        <v>Taylor Weis</v>
      </c>
      <c r="G109" s="40" t="str">
        <f>VLOOKUP(F109,'Manager Coding'!C:D,2,0)</f>
        <v>Tayski</v>
      </c>
      <c r="H109" s="41">
        <f t="shared" si="6"/>
        <v>80.26</v>
      </c>
      <c r="I109" t="str">
        <f t="shared" si="7"/>
        <v>Tyler Howard</v>
      </c>
      <c r="J109" t="str">
        <f>VLOOKUP(I109,'Manager Coding'!C:D,2,0)</f>
        <v>T-How</v>
      </c>
      <c r="K109" s="41">
        <f t="shared" si="8"/>
        <v>92.54</v>
      </c>
      <c r="L109">
        <f t="shared" si="9"/>
        <v>0</v>
      </c>
      <c r="M109">
        <f t="shared" si="10"/>
        <v>1</v>
      </c>
      <c r="N109" s="54" t="s">
        <v>127</v>
      </c>
      <c r="O109" s="55" t="s">
        <v>54</v>
      </c>
      <c r="P109" s="50">
        <v>80.26</v>
      </c>
      <c r="Q109" s="46">
        <v>92.54</v>
      </c>
      <c r="R109" s="48" t="s">
        <v>85</v>
      </c>
      <c r="S109" s="54" t="s">
        <v>190</v>
      </c>
      <c r="T109">
        <f t="shared" si="11"/>
        <v>12.28</v>
      </c>
    </row>
    <row r="110" hidden="1">
      <c r="A110" s="32" t="str">
        <f t="shared" si="1"/>
        <v>2017FellowsWeek 14</v>
      </c>
      <c r="B110" s="32" t="str">
        <f t="shared" si="2"/>
        <v>2017Rooney/JacksonWeek 14</v>
      </c>
      <c r="C110" s="32" t="str">
        <f t="shared" si="3"/>
        <v>Week 14</v>
      </c>
      <c r="D110" s="32">
        <v>2017.0</v>
      </c>
      <c r="E110" t="str">
        <f t="shared" si="4"/>
        <v>14</v>
      </c>
      <c r="F110" t="str">
        <f t="shared" si="5"/>
        <v>Michael Fellows</v>
      </c>
      <c r="G110" s="40" t="str">
        <f>VLOOKUP(F110,'Manager Coding'!C:D,2,0)</f>
        <v>Fellows</v>
      </c>
      <c r="H110" s="41">
        <f t="shared" si="6"/>
        <v>75.4</v>
      </c>
      <c r="I110" t="str">
        <f t="shared" si="7"/>
        <v>Stephen Rooney, Jackson Sattell</v>
      </c>
      <c r="J110" t="str">
        <f>VLOOKUP(I110,'Manager Coding'!C:D,2,0)</f>
        <v>Rooney/Jackson</v>
      </c>
      <c r="K110" s="41">
        <f t="shared" si="8"/>
        <v>74.56</v>
      </c>
      <c r="L110">
        <f t="shared" si="9"/>
        <v>1</v>
      </c>
      <c r="M110">
        <f t="shared" si="10"/>
        <v>0</v>
      </c>
      <c r="N110" s="54" t="s">
        <v>162</v>
      </c>
      <c r="O110" s="55" t="s">
        <v>80</v>
      </c>
      <c r="P110" s="50">
        <v>75.4</v>
      </c>
      <c r="Q110" s="46">
        <v>74.56</v>
      </c>
      <c r="R110" s="48" t="s">
        <v>58</v>
      </c>
      <c r="S110" s="54" t="s">
        <v>170</v>
      </c>
      <c r="T110">
        <f t="shared" si="11"/>
        <v>0.84</v>
      </c>
    </row>
    <row r="111" hidden="1">
      <c r="A111" s="32" t="str">
        <f t="shared" si="1"/>
        <v>#N/A</v>
      </c>
      <c r="B111" s="32" t="str">
        <f t="shared" si="2"/>
        <v>#N/A</v>
      </c>
      <c r="C111" s="32" t="str">
        <f t="shared" si="3"/>
        <v>Week 14</v>
      </c>
      <c r="D111" s="32">
        <v>2017.0</v>
      </c>
      <c r="E111" t="str">
        <f t="shared" si="4"/>
        <v>14</v>
      </c>
      <c r="F111" t="str">
        <f t="shared" si="5"/>
        <v/>
      </c>
      <c r="G111" s="40" t="str">
        <f>VLOOKUP(F111,'Manager Coding'!C:D,2,0)</f>
        <v>#N/A</v>
      </c>
      <c r="H111" s="41" t="str">
        <f t="shared" si="6"/>
        <v/>
      </c>
      <c r="I111" t="str">
        <f t="shared" si="7"/>
        <v/>
      </c>
      <c r="J111" t="str">
        <f>VLOOKUP(I111,'Manager Coding'!C:D,2,0)</f>
        <v>#N/A</v>
      </c>
      <c r="K111" s="41" t="str">
        <f t="shared" si="8"/>
        <v/>
      </c>
      <c r="L111">
        <f t="shared" si="9"/>
        <v>0</v>
      </c>
      <c r="M111">
        <f t="shared" si="10"/>
        <v>0</v>
      </c>
      <c r="N111" s="56" t="s">
        <v>518</v>
      </c>
      <c r="P111" s="41"/>
      <c r="Q111" s="41"/>
      <c r="T111">
        <f t="shared" si="11"/>
        <v>0</v>
      </c>
    </row>
    <row r="112" hidden="1">
      <c r="A112" s="32" t="str">
        <f t="shared" si="1"/>
        <v>#N/A</v>
      </c>
      <c r="B112" s="32" t="str">
        <f t="shared" si="2"/>
        <v>#N/A</v>
      </c>
      <c r="C112" s="32" t="str">
        <f t="shared" si="3"/>
        <v>Week 14</v>
      </c>
      <c r="D112" s="32">
        <v>2017.0</v>
      </c>
      <c r="E112" t="str">
        <f t="shared" si="4"/>
        <v>14</v>
      </c>
      <c r="F112" t="str">
        <f t="shared" si="5"/>
        <v/>
      </c>
      <c r="G112" s="40" t="str">
        <f>VLOOKUP(F112,'Manager Coding'!C:D,2,0)</f>
        <v>#N/A</v>
      </c>
      <c r="H112" s="41" t="str">
        <f t="shared" si="6"/>
        <v/>
      </c>
      <c r="I112" t="str">
        <f t="shared" si="7"/>
        <v/>
      </c>
      <c r="J112" t="str">
        <f>VLOOKUP(I112,'Manager Coding'!C:D,2,0)</f>
        <v>#N/A</v>
      </c>
      <c r="K112" s="41" t="str">
        <f t="shared" si="8"/>
        <v/>
      </c>
      <c r="L112">
        <f t="shared" si="9"/>
        <v>0</v>
      </c>
      <c r="M112">
        <f t="shared" si="10"/>
        <v>0</v>
      </c>
      <c r="N112" s="56" t="s">
        <v>524</v>
      </c>
      <c r="P112" s="41"/>
      <c r="Q112" s="41"/>
      <c r="T112">
        <f t="shared" si="11"/>
        <v>0</v>
      </c>
    </row>
    <row r="113" hidden="1">
      <c r="A113" s="32" t="str">
        <f t="shared" si="1"/>
        <v>#N/A</v>
      </c>
      <c r="B113" s="32" t="str">
        <f t="shared" si="2"/>
        <v>#N/A</v>
      </c>
      <c r="C113" s="32" t="str">
        <f t="shared" si="3"/>
        <v>Week 14</v>
      </c>
      <c r="D113" s="32">
        <v>2017.0</v>
      </c>
      <c r="E113" t="str">
        <f t="shared" si="4"/>
        <v>14</v>
      </c>
      <c r="F113" t="str">
        <f t="shared" si="5"/>
        <v/>
      </c>
      <c r="G113" s="40" t="str">
        <f>VLOOKUP(F113,'Manager Coding'!C:D,2,0)</f>
        <v>#N/A</v>
      </c>
      <c r="H113" s="41" t="str">
        <f t="shared" si="6"/>
        <v/>
      </c>
      <c r="I113" t="str">
        <f t="shared" si="7"/>
        <v/>
      </c>
      <c r="J113" t="str">
        <f>VLOOKUP(I113,'Manager Coding'!C:D,2,0)</f>
        <v>#N/A</v>
      </c>
      <c r="K113" s="41" t="str">
        <f t="shared" si="8"/>
        <v/>
      </c>
      <c r="L113">
        <f t="shared" si="9"/>
        <v>0</v>
      </c>
      <c r="M113">
        <f t="shared" si="10"/>
        <v>0</v>
      </c>
      <c r="N113" s="56" t="s">
        <v>527</v>
      </c>
      <c r="P113" s="41"/>
      <c r="Q113" s="41"/>
      <c r="T113">
        <f t="shared" si="11"/>
        <v>0</v>
      </c>
    </row>
    <row r="114" hidden="1">
      <c r="A114" s="32" t="str">
        <f t="shared" si="1"/>
        <v>#N/A</v>
      </c>
      <c r="B114" s="32" t="str">
        <f t="shared" si="2"/>
        <v>#N/A</v>
      </c>
      <c r="C114" s="32" t="str">
        <f t="shared" si="3"/>
        <v>Week 14</v>
      </c>
      <c r="D114" s="32">
        <v>2017.0</v>
      </c>
      <c r="E114" t="str">
        <f t="shared" si="4"/>
        <v>14</v>
      </c>
      <c r="F114" t="str">
        <f t="shared" si="5"/>
        <v/>
      </c>
      <c r="G114" s="40" t="str">
        <f>VLOOKUP(F114,'Manager Coding'!C:D,2,0)</f>
        <v>#N/A</v>
      </c>
      <c r="H114" s="41" t="str">
        <f t="shared" si="6"/>
        <v/>
      </c>
      <c r="I114" t="str">
        <f t="shared" si="7"/>
        <v/>
      </c>
      <c r="J114" t="str">
        <f>VLOOKUP(I114,'Manager Coding'!C:D,2,0)</f>
        <v>#N/A</v>
      </c>
      <c r="K114" s="41" t="str">
        <f t="shared" si="8"/>
        <v/>
      </c>
      <c r="L114">
        <f t="shared" si="9"/>
        <v>0</v>
      </c>
      <c r="M114">
        <f t="shared" si="10"/>
        <v>0</v>
      </c>
      <c r="N114" s="57" t="s">
        <v>530</v>
      </c>
      <c r="P114" s="41"/>
      <c r="Q114" s="41"/>
      <c r="T114">
        <f t="shared" si="11"/>
        <v>0</v>
      </c>
    </row>
    <row r="115" hidden="1">
      <c r="A115" s="32" t="str">
        <f t="shared" si="1"/>
        <v>#N/A</v>
      </c>
      <c r="B115" s="32" t="str">
        <f t="shared" si="2"/>
        <v>#N/A</v>
      </c>
      <c r="C115" s="32" t="str">
        <f t="shared" si="3"/>
        <v>Week 15</v>
      </c>
      <c r="D115" s="32">
        <v>2017.0</v>
      </c>
      <c r="E115" t="str">
        <f t="shared" si="4"/>
        <v>15</v>
      </c>
      <c r="F115" t="str">
        <f t="shared" si="5"/>
        <v>TEAM MANAGER(S)</v>
      </c>
      <c r="G115" s="40" t="str">
        <f>VLOOKUP(F115,'Manager Coding'!C:D,2,0)</f>
        <v>#N/A</v>
      </c>
      <c r="H115" s="41" t="str">
        <f t="shared" si="6"/>
        <v>SCORE</v>
      </c>
      <c r="I115" t="str">
        <f t="shared" si="7"/>
        <v>TEAM MANAGER(S)</v>
      </c>
      <c r="J115" t="str">
        <f>VLOOKUP(I115,'Manager Coding'!C:D,2,0)</f>
        <v>#N/A</v>
      </c>
      <c r="K115" s="41" t="str">
        <f t="shared" si="8"/>
        <v>SCORE</v>
      </c>
      <c r="L115">
        <f t="shared" si="9"/>
        <v>0</v>
      </c>
      <c r="M115">
        <f t="shared" si="10"/>
        <v>0</v>
      </c>
      <c r="N115" s="24" t="s">
        <v>197</v>
      </c>
      <c r="O115" s="24" t="s">
        <v>88</v>
      </c>
      <c r="P115" s="26" t="s">
        <v>94</v>
      </c>
      <c r="Q115" s="27" t="s">
        <v>94</v>
      </c>
      <c r="R115" s="30" t="s">
        <v>88</v>
      </c>
      <c r="S115" s="30" t="s">
        <v>101</v>
      </c>
      <c r="T115">
        <f t="shared" si="11"/>
        <v>0</v>
      </c>
    </row>
    <row r="116" hidden="1">
      <c r="A116" s="32" t="str">
        <f t="shared" si="1"/>
        <v>2017BuserWeek 15</v>
      </c>
      <c r="B116" s="32" t="str">
        <f t="shared" si="2"/>
        <v>2017RileyWeek 15</v>
      </c>
      <c r="C116" s="32" t="str">
        <f t="shared" si="3"/>
        <v>Week 15</v>
      </c>
      <c r="D116" s="32">
        <v>2017.0</v>
      </c>
      <c r="E116" t="str">
        <f t="shared" si="4"/>
        <v>15</v>
      </c>
      <c r="F116" t="str">
        <f t="shared" si="5"/>
        <v>Ed Buser</v>
      </c>
      <c r="G116" s="40" t="str">
        <f>VLOOKUP(F116,'Manager Coding'!C:D,2,0)</f>
        <v>Buser</v>
      </c>
      <c r="H116" s="41">
        <f t="shared" si="6"/>
        <v>102.84</v>
      </c>
      <c r="I116" t="str">
        <f t="shared" si="7"/>
        <v>Riley McElwain</v>
      </c>
      <c r="J116" t="str">
        <f>VLOOKUP(I116,'Manager Coding'!C:D,2,0)</f>
        <v>Riley</v>
      </c>
      <c r="K116" s="41">
        <f t="shared" si="8"/>
        <v>136.42</v>
      </c>
      <c r="L116">
        <f t="shared" si="9"/>
        <v>0</v>
      </c>
      <c r="M116">
        <f t="shared" si="10"/>
        <v>1</v>
      </c>
      <c r="N116" s="54" t="s">
        <v>160</v>
      </c>
      <c r="O116" s="55" t="s">
        <v>50</v>
      </c>
      <c r="P116" s="50">
        <v>102.84</v>
      </c>
      <c r="Q116" s="46">
        <v>136.42</v>
      </c>
      <c r="R116" s="48" t="s">
        <v>68</v>
      </c>
      <c r="S116" s="54" t="s">
        <v>189</v>
      </c>
      <c r="T116">
        <f t="shared" si="11"/>
        <v>33.58</v>
      </c>
    </row>
    <row r="117" hidden="1">
      <c r="A117" s="32" t="str">
        <f t="shared" si="1"/>
        <v>2017CockWeek 15</v>
      </c>
      <c r="B117" s="32" t="str">
        <f t="shared" si="2"/>
        <v>2017KnardDawgWeek 15</v>
      </c>
      <c r="C117" s="32" t="str">
        <f t="shared" si="3"/>
        <v>Week 15</v>
      </c>
      <c r="D117" s="32">
        <v>2017.0</v>
      </c>
      <c r="E117" t="str">
        <f t="shared" si="4"/>
        <v>15</v>
      </c>
      <c r="F117" t="str">
        <f t="shared" si="5"/>
        <v>Jack Babcock, Chris Cochrane</v>
      </c>
      <c r="G117" s="40" t="str">
        <f>VLOOKUP(F117,'Manager Coding'!C:D,2,0)</f>
        <v>Cock</v>
      </c>
      <c r="H117" s="41">
        <f t="shared" si="6"/>
        <v>66.54</v>
      </c>
      <c r="I117" t="str">
        <f t="shared" si="7"/>
        <v>Alex Kinniard, Jack Reilly</v>
      </c>
      <c r="J117" t="str">
        <f>VLOOKUP(I117,'Manager Coding'!C:D,2,0)</f>
        <v>KnardDawg</v>
      </c>
      <c r="K117" s="41">
        <f t="shared" si="8"/>
        <v>115.78</v>
      </c>
      <c r="L117">
        <f t="shared" si="9"/>
        <v>0</v>
      </c>
      <c r="M117">
        <f t="shared" si="10"/>
        <v>1</v>
      </c>
      <c r="N117" s="54" t="s">
        <v>171</v>
      </c>
      <c r="O117" s="55" t="s">
        <v>73</v>
      </c>
      <c r="P117" s="50">
        <v>66.54</v>
      </c>
      <c r="Q117" s="46">
        <v>115.78</v>
      </c>
      <c r="R117" s="48" t="s">
        <v>87</v>
      </c>
      <c r="S117" s="54" t="s">
        <v>180</v>
      </c>
      <c r="T117">
        <f t="shared" si="11"/>
        <v>49.24</v>
      </c>
    </row>
    <row r="118" hidden="1">
      <c r="A118" s="32" t="str">
        <f t="shared" si="1"/>
        <v>2017HudspeathWeek 15</v>
      </c>
      <c r="B118" s="32" t="str">
        <f t="shared" si="2"/>
        <v>2017SaltyWeek 15</v>
      </c>
      <c r="C118" s="32" t="str">
        <f t="shared" si="3"/>
        <v>Week 15</v>
      </c>
      <c r="D118" s="32">
        <v>2017.0</v>
      </c>
      <c r="E118" t="str">
        <f t="shared" si="4"/>
        <v>15</v>
      </c>
      <c r="F118" t="str">
        <f t="shared" si="5"/>
        <v>matt hudspeath</v>
      </c>
      <c r="G118" s="40" t="str">
        <f>VLOOKUP(F118,'Manager Coding'!C:D,2,0)</f>
        <v>Hudspeath</v>
      </c>
      <c r="H118" s="41">
        <f t="shared" si="6"/>
        <v>86.58</v>
      </c>
      <c r="I118" t="str">
        <f t="shared" si="7"/>
        <v>R Saltiel</v>
      </c>
      <c r="J118" t="str">
        <f>VLOOKUP(I118,'Manager Coding'!C:D,2,0)</f>
        <v>Salty</v>
      </c>
      <c r="K118" s="41">
        <f t="shared" si="8"/>
        <v>107.18</v>
      </c>
      <c r="L118">
        <f t="shared" si="9"/>
        <v>0</v>
      </c>
      <c r="M118">
        <f t="shared" si="10"/>
        <v>1</v>
      </c>
      <c r="N118" s="54" t="s">
        <v>179</v>
      </c>
      <c r="O118" s="55" t="s">
        <v>64</v>
      </c>
      <c r="P118" s="50">
        <v>86.58</v>
      </c>
      <c r="Q118" s="46">
        <v>107.18</v>
      </c>
      <c r="R118" s="48" t="s">
        <v>77</v>
      </c>
      <c r="S118" s="54" t="s">
        <v>148</v>
      </c>
      <c r="T118">
        <f t="shared" si="11"/>
        <v>20.6</v>
      </c>
    </row>
    <row r="119" hidden="1">
      <c r="A119" s="32" t="str">
        <f t="shared" si="1"/>
        <v>2017T-HowWeek 15</v>
      </c>
      <c r="B119" s="32" t="str">
        <f t="shared" si="2"/>
        <v>2017ShepWeek 15</v>
      </c>
      <c r="C119" s="32" t="str">
        <f t="shared" si="3"/>
        <v>Week 15</v>
      </c>
      <c r="D119" s="32">
        <v>2017.0</v>
      </c>
      <c r="E119" t="str">
        <f t="shared" si="4"/>
        <v>15</v>
      </c>
      <c r="F119" t="str">
        <f t="shared" si="5"/>
        <v>Tyler Howard</v>
      </c>
      <c r="G119" s="40" t="str">
        <f>VLOOKUP(F119,'Manager Coding'!C:D,2,0)</f>
        <v>T-How</v>
      </c>
      <c r="H119" s="41">
        <f t="shared" si="6"/>
        <v>92.04</v>
      </c>
      <c r="I119" t="str">
        <f t="shared" si="7"/>
        <v>Jordan Shepherd</v>
      </c>
      <c r="J119" t="str">
        <f>VLOOKUP(I119,'Manager Coding'!C:D,2,0)</f>
        <v>Shep</v>
      </c>
      <c r="K119" s="41">
        <f t="shared" si="8"/>
        <v>64.48</v>
      </c>
      <c r="L119">
        <f t="shared" si="9"/>
        <v>1</v>
      </c>
      <c r="M119">
        <f t="shared" si="10"/>
        <v>0</v>
      </c>
      <c r="N119" s="54" t="s">
        <v>190</v>
      </c>
      <c r="O119" s="55" t="s">
        <v>85</v>
      </c>
      <c r="P119" s="50">
        <v>92.04</v>
      </c>
      <c r="Q119" s="46">
        <v>64.48</v>
      </c>
      <c r="R119" s="48" t="s">
        <v>91</v>
      </c>
      <c r="S119" s="54" t="s">
        <v>128</v>
      </c>
      <c r="T119">
        <f t="shared" si="11"/>
        <v>27.56</v>
      </c>
    </row>
    <row r="120" hidden="1">
      <c r="A120" s="32" t="str">
        <f t="shared" si="1"/>
        <v>2017FellowsWeek 15</v>
      </c>
      <c r="B120" s="32" t="str">
        <f t="shared" si="2"/>
        <v>2017PiersonWeek 15</v>
      </c>
      <c r="C120" s="32" t="str">
        <f t="shared" si="3"/>
        <v>Week 15</v>
      </c>
      <c r="D120" s="32">
        <v>2017.0</v>
      </c>
      <c r="E120" t="str">
        <f t="shared" si="4"/>
        <v>15</v>
      </c>
      <c r="F120" t="str">
        <f t="shared" si="5"/>
        <v>Michael Fellows</v>
      </c>
      <c r="G120" s="40" t="str">
        <f>VLOOKUP(F120,'Manager Coding'!C:D,2,0)</f>
        <v>Fellows</v>
      </c>
      <c r="H120" s="41">
        <f t="shared" si="6"/>
        <v>92.36</v>
      </c>
      <c r="I120" t="str">
        <f t="shared" si="7"/>
        <v>Pierson Curtis</v>
      </c>
      <c r="J120" t="str">
        <f>VLOOKUP(I120,'Manager Coding'!C:D,2,0)</f>
        <v>Pierson</v>
      </c>
      <c r="K120" s="41">
        <f t="shared" si="8"/>
        <v>83.04</v>
      </c>
      <c r="L120">
        <f t="shared" si="9"/>
        <v>1</v>
      </c>
      <c r="M120">
        <f t="shared" si="10"/>
        <v>0</v>
      </c>
      <c r="N120" s="54" t="s">
        <v>162</v>
      </c>
      <c r="O120" s="55" t="s">
        <v>80</v>
      </c>
      <c r="P120" s="50">
        <v>92.36</v>
      </c>
      <c r="Q120" s="46">
        <v>83.04</v>
      </c>
      <c r="R120" s="48" t="s">
        <v>93</v>
      </c>
      <c r="S120" s="54" t="s">
        <v>144</v>
      </c>
      <c r="T120">
        <f t="shared" si="11"/>
        <v>9.32</v>
      </c>
    </row>
    <row r="121" hidden="1">
      <c r="A121" s="32" t="str">
        <f t="shared" si="1"/>
        <v>2017Rooney/JacksonWeek 15</v>
      </c>
      <c r="B121" s="32" t="str">
        <f t="shared" si="2"/>
        <v>2017TayskiWeek 15</v>
      </c>
      <c r="C121" s="32" t="str">
        <f t="shared" si="3"/>
        <v>Week 15</v>
      </c>
      <c r="D121" s="32">
        <v>2017.0</v>
      </c>
      <c r="E121" t="str">
        <f t="shared" si="4"/>
        <v>15</v>
      </c>
      <c r="F121" t="str">
        <f t="shared" si="5"/>
        <v>Stephen Rooney, Jackson Sattell</v>
      </c>
      <c r="G121" s="40" t="str">
        <f>VLOOKUP(F121,'Manager Coding'!C:D,2,0)</f>
        <v>Rooney/Jackson</v>
      </c>
      <c r="H121" s="41">
        <f t="shared" si="6"/>
        <v>105.24</v>
      </c>
      <c r="I121" t="str">
        <f t="shared" si="7"/>
        <v>Taylor Weis</v>
      </c>
      <c r="J121" t="str">
        <f>VLOOKUP(I121,'Manager Coding'!C:D,2,0)</f>
        <v>Tayski</v>
      </c>
      <c r="K121" s="41">
        <f t="shared" si="8"/>
        <v>89.24</v>
      </c>
      <c r="L121">
        <f t="shared" si="9"/>
        <v>1</v>
      </c>
      <c r="M121">
        <f t="shared" si="10"/>
        <v>0</v>
      </c>
      <c r="N121" s="54" t="s">
        <v>170</v>
      </c>
      <c r="O121" s="55" t="s">
        <v>58</v>
      </c>
      <c r="P121" s="50">
        <v>105.24</v>
      </c>
      <c r="Q121" s="46">
        <v>89.24</v>
      </c>
      <c r="R121" s="48" t="s">
        <v>54</v>
      </c>
      <c r="S121" s="54" t="s">
        <v>127</v>
      </c>
      <c r="T121">
        <f t="shared" si="11"/>
        <v>16</v>
      </c>
    </row>
    <row r="122" hidden="1">
      <c r="A122" s="32" t="str">
        <f t="shared" si="1"/>
        <v>#N/A</v>
      </c>
      <c r="B122" s="32" t="str">
        <f t="shared" si="2"/>
        <v>#N/A</v>
      </c>
      <c r="C122" s="32" t="str">
        <f t="shared" si="3"/>
        <v>Week 15</v>
      </c>
      <c r="D122" s="32">
        <v>2017.0</v>
      </c>
      <c r="E122" t="str">
        <f t="shared" si="4"/>
        <v>15</v>
      </c>
      <c r="F122" t="str">
        <f t="shared" si="5"/>
        <v/>
      </c>
      <c r="G122" s="40" t="str">
        <f>VLOOKUP(F122,'Manager Coding'!C:D,2,0)</f>
        <v>#N/A</v>
      </c>
      <c r="H122" s="41" t="str">
        <f t="shared" si="6"/>
        <v/>
      </c>
      <c r="I122" t="str">
        <f t="shared" si="7"/>
        <v/>
      </c>
      <c r="J122" t="str">
        <f>VLOOKUP(I122,'Manager Coding'!C:D,2,0)</f>
        <v>#N/A</v>
      </c>
      <c r="K122" s="41" t="str">
        <f t="shared" si="8"/>
        <v/>
      </c>
      <c r="L122">
        <f t="shared" si="9"/>
        <v>0</v>
      </c>
      <c r="M122">
        <f t="shared" si="10"/>
        <v>0</v>
      </c>
      <c r="N122" s="53" t="s">
        <v>554</v>
      </c>
      <c r="P122" s="41"/>
      <c r="Q122" s="41"/>
      <c r="T122">
        <f t="shared" si="11"/>
        <v>0</v>
      </c>
    </row>
    <row r="123" hidden="1">
      <c r="A123" s="32" t="str">
        <f t="shared" si="1"/>
        <v>#N/A</v>
      </c>
      <c r="B123" s="32" t="str">
        <f t="shared" si="2"/>
        <v>#N/A</v>
      </c>
      <c r="C123" s="32" t="str">
        <f t="shared" si="3"/>
        <v>Week 16</v>
      </c>
      <c r="D123" s="32">
        <v>2017.0</v>
      </c>
      <c r="E123" t="str">
        <f t="shared" si="4"/>
        <v>16</v>
      </c>
      <c r="F123" t="str">
        <f t="shared" si="5"/>
        <v>TEAM MANAGER(S)</v>
      </c>
      <c r="G123" s="40" t="str">
        <f>VLOOKUP(F123,'Manager Coding'!C:D,2,0)</f>
        <v>#N/A</v>
      </c>
      <c r="H123" s="41" t="str">
        <f t="shared" si="6"/>
        <v>SCORE</v>
      </c>
      <c r="I123" t="str">
        <f t="shared" si="7"/>
        <v>TEAM MANAGER(S)</v>
      </c>
      <c r="J123" t="str">
        <f>VLOOKUP(I123,'Manager Coding'!C:D,2,0)</f>
        <v>#N/A</v>
      </c>
      <c r="K123" s="41" t="str">
        <f t="shared" si="8"/>
        <v>SCORE</v>
      </c>
      <c r="L123">
        <f t="shared" si="9"/>
        <v>0</v>
      </c>
      <c r="M123">
        <f t="shared" si="10"/>
        <v>0</v>
      </c>
      <c r="N123" s="24" t="s">
        <v>197</v>
      </c>
      <c r="O123" s="24" t="s">
        <v>88</v>
      </c>
      <c r="P123" s="26" t="s">
        <v>94</v>
      </c>
      <c r="Q123" s="27" t="s">
        <v>94</v>
      </c>
      <c r="R123" s="30" t="s">
        <v>88</v>
      </c>
      <c r="S123" s="30" t="s">
        <v>101</v>
      </c>
      <c r="T123">
        <f t="shared" si="11"/>
        <v>0</v>
      </c>
    </row>
    <row r="124" hidden="1">
      <c r="A124" s="32" t="str">
        <f t="shared" si="1"/>
        <v>2017KnardDawgWeek 16</v>
      </c>
      <c r="B124" s="32" t="str">
        <f t="shared" si="2"/>
        <v>2017RileyWeek 16</v>
      </c>
      <c r="C124" s="32" t="str">
        <f t="shared" si="3"/>
        <v>Week 16</v>
      </c>
      <c r="D124" s="32">
        <v>2017.0</v>
      </c>
      <c r="E124" t="str">
        <f t="shared" si="4"/>
        <v>16</v>
      </c>
      <c r="F124" t="str">
        <f t="shared" si="5"/>
        <v>Alex Kinniard, Jack Reilly</v>
      </c>
      <c r="G124" s="40" t="str">
        <f>VLOOKUP(F124,'Manager Coding'!C:D,2,0)</f>
        <v>KnardDawg</v>
      </c>
      <c r="H124" s="41">
        <f t="shared" si="6"/>
        <v>89.4</v>
      </c>
      <c r="I124" t="str">
        <f t="shared" si="7"/>
        <v>Riley McElwain</v>
      </c>
      <c r="J124" t="str">
        <f>VLOOKUP(I124,'Manager Coding'!C:D,2,0)</f>
        <v>Riley</v>
      </c>
      <c r="K124" s="41">
        <f t="shared" si="8"/>
        <v>76.46</v>
      </c>
      <c r="L124">
        <f t="shared" si="9"/>
        <v>1</v>
      </c>
      <c r="M124">
        <f t="shared" si="10"/>
        <v>0</v>
      </c>
      <c r="N124" s="54" t="s">
        <v>180</v>
      </c>
      <c r="O124" s="55" t="s">
        <v>87</v>
      </c>
      <c r="P124" s="50">
        <v>89.4</v>
      </c>
      <c r="Q124" s="46">
        <v>76.46</v>
      </c>
      <c r="R124" s="48" t="s">
        <v>68</v>
      </c>
      <c r="S124" s="54" t="s">
        <v>189</v>
      </c>
      <c r="T124">
        <f t="shared" si="11"/>
        <v>12.94</v>
      </c>
    </row>
    <row r="125" hidden="1">
      <c r="A125" s="32" t="str">
        <f t="shared" si="1"/>
        <v>2017BuserWeek 16</v>
      </c>
      <c r="B125" s="32" t="str">
        <f t="shared" si="2"/>
        <v>2017CockWeek 16</v>
      </c>
      <c r="C125" s="32" t="str">
        <f t="shared" si="3"/>
        <v>Week 16</v>
      </c>
      <c r="D125" s="32">
        <v>2017.0</v>
      </c>
      <c r="E125" t="str">
        <f t="shared" si="4"/>
        <v>16</v>
      </c>
      <c r="F125" t="str">
        <f t="shared" si="5"/>
        <v>Ed Buser</v>
      </c>
      <c r="G125" s="40" t="str">
        <f>VLOOKUP(F125,'Manager Coding'!C:D,2,0)</f>
        <v>Buser</v>
      </c>
      <c r="H125" s="41">
        <f t="shared" si="6"/>
        <v>81.02</v>
      </c>
      <c r="I125" t="str">
        <f t="shared" si="7"/>
        <v>Jack Babcock, Chris Cochrane</v>
      </c>
      <c r="J125" t="str">
        <f>VLOOKUP(I125,'Manager Coding'!C:D,2,0)</f>
        <v>Cock</v>
      </c>
      <c r="K125" s="41">
        <f t="shared" si="8"/>
        <v>97.9</v>
      </c>
      <c r="L125">
        <f t="shared" si="9"/>
        <v>0</v>
      </c>
      <c r="M125">
        <f t="shared" si="10"/>
        <v>1</v>
      </c>
      <c r="N125" s="54" t="s">
        <v>160</v>
      </c>
      <c r="O125" s="55" t="s">
        <v>50</v>
      </c>
      <c r="P125" s="50">
        <v>81.02</v>
      </c>
      <c r="Q125" s="46">
        <v>97.9</v>
      </c>
      <c r="R125" s="48" t="s">
        <v>73</v>
      </c>
      <c r="S125" s="54" t="s">
        <v>171</v>
      </c>
      <c r="T125">
        <f t="shared" si="11"/>
        <v>16.88</v>
      </c>
    </row>
    <row r="126" hidden="1">
      <c r="A126" s="32" t="str">
        <f t="shared" si="1"/>
        <v>2017HudspeathWeek 16</v>
      </c>
      <c r="B126" s="32" t="str">
        <f t="shared" si="2"/>
        <v>2017SaltyWeek 16</v>
      </c>
      <c r="C126" s="32" t="str">
        <f t="shared" si="3"/>
        <v>Week 16</v>
      </c>
      <c r="D126" s="32">
        <v>2017.0</v>
      </c>
      <c r="E126" t="str">
        <f t="shared" si="4"/>
        <v>16</v>
      </c>
      <c r="F126" t="str">
        <f t="shared" si="5"/>
        <v>matt hudspeath</v>
      </c>
      <c r="G126" s="40" t="str">
        <f>VLOOKUP(F126,'Manager Coding'!C:D,2,0)</f>
        <v>Hudspeath</v>
      </c>
      <c r="H126" s="41">
        <f t="shared" si="6"/>
        <v>105.5</v>
      </c>
      <c r="I126" t="str">
        <f t="shared" si="7"/>
        <v>R Saltiel</v>
      </c>
      <c r="J126" t="str">
        <f>VLOOKUP(I126,'Manager Coding'!C:D,2,0)</f>
        <v>Salty</v>
      </c>
      <c r="K126" s="41">
        <f t="shared" si="8"/>
        <v>94.74</v>
      </c>
      <c r="L126">
        <f t="shared" si="9"/>
        <v>1</v>
      </c>
      <c r="M126">
        <f t="shared" si="10"/>
        <v>0</v>
      </c>
      <c r="N126" s="54" t="s">
        <v>179</v>
      </c>
      <c r="O126" s="55" t="s">
        <v>64</v>
      </c>
      <c r="P126" s="50">
        <v>105.5</v>
      </c>
      <c r="Q126" s="46">
        <v>94.74</v>
      </c>
      <c r="R126" s="48" t="s">
        <v>77</v>
      </c>
      <c r="S126" s="54" t="s">
        <v>148</v>
      </c>
      <c r="T126">
        <f t="shared" si="11"/>
        <v>10.76</v>
      </c>
    </row>
    <row r="127" hidden="1">
      <c r="A127" s="32" t="str">
        <f t="shared" si="1"/>
        <v>2017FellowsWeek 16</v>
      </c>
      <c r="B127" s="32" t="str">
        <f t="shared" si="2"/>
        <v>2017T-HowWeek 16</v>
      </c>
      <c r="C127" s="32" t="str">
        <f t="shared" si="3"/>
        <v>Week 16</v>
      </c>
      <c r="D127" s="32">
        <v>2017.0</v>
      </c>
      <c r="E127" t="str">
        <f t="shared" si="4"/>
        <v>16</v>
      </c>
      <c r="F127" t="str">
        <f t="shared" si="5"/>
        <v>Michael Fellows</v>
      </c>
      <c r="G127" s="40" t="str">
        <f>VLOOKUP(F127,'Manager Coding'!C:D,2,0)</f>
        <v>Fellows</v>
      </c>
      <c r="H127" s="41">
        <f t="shared" si="6"/>
        <v>52.78</v>
      </c>
      <c r="I127" t="str">
        <f t="shared" si="7"/>
        <v>Tyler Howard</v>
      </c>
      <c r="J127" t="str">
        <f>VLOOKUP(I127,'Manager Coding'!C:D,2,0)</f>
        <v>T-How</v>
      </c>
      <c r="K127" s="41">
        <f t="shared" si="8"/>
        <v>77.26</v>
      </c>
      <c r="L127">
        <f t="shared" si="9"/>
        <v>0</v>
      </c>
      <c r="M127">
        <f t="shared" si="10"/>
        <v>1</v>
      </c>
      <c r="N127" s="54" t="s">
        <v>162</v>
      </c>
      <c r="O127" s="55" t="s">
        <v>80</v>
      </c>
      <c r="P127" s="50">
        <v>52.78</v>
      </c>
      <c r="Q127" s="46">
        <v>77.26</v>
      </c>
      <c r="R127" s="48" t="s">
        <v>85</v>
      </c>
      <c r="S127" s="54" t="s">
        <v>190</v>
      </c>
      <c r="T127">
        <f t="shared" si="11"/>
        <v>24.48</v>
      </c>
    </row>
    <row r="128" hidden="1">
      <c r="A128" s="32" t="str">
        <f t="shared" si="1"/>
        <v>2017Rooney/JacksonWeek 16</v>
      </c>
      <c r="B128" s="32" t="str">
        <f t="shared" si="2"/>
        <v>2017ShepWeek 16</v>
      </c>
      <c r="C128" s="32" t="str">
        <f t="shared" si="3"/>
        <v>Week 16</v>
      </c>
      <c r="D128" s="32">
        <v>2017.0</v>
      </c>
      <c r="E128" t="str">
        <f t="shared" si="4"/>
        <v>16</v>
      </c>
      <c r="F128" t="str">
        <f t="shared" si="5"/>
        <v>Stephen Rooney, Jackson Sattell</v>
      </c>
      <c r="G128" s="40" t="str">
        <f>VLOOKUP(F128,'Manager Coding'!C:D,2,0)</f>
        <v>Rooney/Jackson</v>
      </c>
      <c r="H128" s="41">
        <f t="shared" si="6"/>
        <v>89.98</v>
      </c>
      <c r="I128" t="str">
        <f t="shared" si="7"/>
        <v>Jordan Shepherd</v>
      </c>
      <c r="J128" t="str">
        <f>VLOOKUP(I128,'Manager Coding'!C:D,2,0)</f>
        <v>Shep</v>
      </c>
      <c r="K128" s="41">
        <f t="shared" si="8"/>
        <v>78.82</v>
      </c>
      <c r="L128">
        <f t="shared" si="9"/>
        <v>1</v>
      </c>
      <c r="M128">
        <f t="shared" si="10"/>
        <v>0</v>
      </c>
      <c r="N128" s="54" t="s">
        <v>170</v>
      </c>
      <c r="O128" s="55" t="s">
        <v>58</v>
      </c>
      <c r="P128" s="50">
        <v>89.98</v>
      </c>
      <c r="Q128" s="46">
        <v>78.82</v>
      </c>
      <c r="R128" s="48" t="s">
        <v>91</v>
      </c>
      <c r="S128" s="54" t="s">
        <v>128</v>
      </c>
      <c r="T128">
        <f t="shared" si="11"/>
        <v>11.16</v>
      </c>
    </row>
    <row r="129" hidden="1">
      <c r="A129" s="32" t="str">
        <f t="shared" si="1"/>
        <v>2017TayskiWeek 16</v>
      </c>
      <c r="B129" s="32" t="str">
        <f t="shared" si="2"/>
        <v>2017PiersonWeek 16</v>
      </c>
      <c r="C129" s="32" t="str">
        <f t="shared" si="3"/>
        <v>Week 16</v>
      </c>
      <c r="D129" s="32">
        <v>2017.0</v>
      </c>
      <c r="E129" t="str">
        <f t="shared" si="4"/>
        <v>16</v>
      </c>
      <c r="F129" t="str">
        <f t="shared" si="5"/>
        <v>Taylor Weis</v>
      </c>
      <c r="G129" s="40" t="str">
        <f>VLOOKUP(F129,'Manager Coding'!C:D,2,0)</f>
        <v>Tayski</v>
      </c>
      <c r="H129" s="41">
        <f t="shared" si="6"/>
        <v>43.9</v>
      </c>
      <c r="I129" t="str">
        <f t="shared" si="7"/>
        <v>Pierson Curtis</v>
      </c>
      <c r="J129" t="str">
        <f>VLOOKUP(I129,'Manager Coding'!C:D,2,0)</f>
        <v>Pierson</v>
      </c>
      <c r="K129" s="41">
        <f t="shared" si="8"/>
        <v>90.66</v>
      </c>
      <c r="L129">
        <f t="shared" si="9"/>
        <v>0</v>
      </c>
      <c r="M129">
        <f t="shared" si="10"/>
        <v>1</v>
      </c>
      <c r="N129" s="54" t="s">
        <v>127</v>
      </c>
      <c r="O129" s="55" t="s">
        <v>54</v>
      </c>
      <c r="P129" s="50">
        <v>43.9</v>
      </c>
      <c r="Q129" s="46">
        <v>90.66</v>
      </c>
      <c r="R129" s="48" t="s">
        <v>93</v>
      </c>
      <c r="S129" s="54" t="s">
        <v>144</v>
      </c>
      <c r="T129">
        <f t="shared" si="11"/>
        <v>46.76</v>
      </c>
    </row>
    <row r="130" hidden="1">
      <c r="A130" s="32" t="str">
        <f t="shared" si="1"/>
        <v>#N/A</v>
      </c>
      <c r="B130" s="32" t="str">
        <f t="shared" si="2"/>
        <v>#N/A</v>
      </c>
      <c r="C130" s="32" t="str">
        <f t="shared" si="3"/>
        <v>Week 16</v>
      </c>
      <c r="D130" s="32">
        <v>2018.0</v>
      </c>
      <c r="E130" t="str">
        <f t="shared" si="4"/>
        <v>16</v>
      </c>
      <c r="F130" t="str">
        <f t="shared" si="5"/>
        <v>TEAM MANAGER(S)</v>
      </c>
      <c r="G130" s="40" t="str">
        <f>VLOOKUP(F130,'Manager Coding'!C:D,2,0)</f>
        <v>#N/A</v>
      </c>
      <c r="H130" s="41" t="str">
        <f t="shared" si="6"/>
        <v>SCORE</v>
      </c>
      <c r="I130" t="str">
        <f t="shared" si="7"/>
        <v>TEAM MANAGER(S)</v>
      </c>
      <c r="J130" t="str">
        <f>VLOOKUP(I130,'Manager Coding'!C:D,2,0)</f>
        <v>#N/A</v>
      </c>
      <c r="K130" s="41" t="str">
        <f t="shared" si="8"/>
        <v>SCORE</v>
      </c>
      <c r="L130">
        <f t="shared" si="9"/>
        <v>0</v>
      </c>
      <c r="M130">
        <f t="shared" si="10"/>
        <v>0</v>
      </c>
      <c r="N130" s="22" t="s">
        <v>83</v>
      </c>
      <c r="O130" s="24" t="s">
        <v>88</v>
      </c>
      <c r="P130" s="26" t="s">
        <v>94</v>
      </c>
      <c r="Q130" s="27" t="s">
        <v>94</v>
      </c>
      <c r="R130" s="30" t="s">
        <v>88</v>
      </c>
      <c r="S130" s="30" t="s">
        <v>101</v>
      </c>
      <c r="T130">
        <f t="shared" si="11"/>
        <v>0</v>
      </c>
    </row>
    <row r="131" hidden="1">
      <c r="A131" s="32" t="str">
        <f t="shared" si="1"/>
        <v>2018SaltyWeek 1</v>
      </c>
      <c r="B131" s="32" t="str">
        <f t="shared" si="2"/>
        <v>2018KnardDawgWeek 1</v>
      </c>
      <c r="C131" s="32" t="str">
        <f t="shared" si="3"/>
        <v>Week 1</v>
      </c>
      <c r="D131" s="32">
        <v>2018.0</v>
      </c>
      <c r="E131" t="str">
        <f t="shared" si="4"/>
        <v>1</v>
      </c>
      <c r="F131" t="str">
        <f t="shared" si="5"/>
        <v>R Saltiel</v>
      </c>
      <c r="G131" s="40" t="str">
        <f>VLOOKUP(F131,'Manager Coding'!C:D,2,0)</f>
        <v>Salty</v>
      </c>
      <c r="H131" s="41">
        <f t="shared" si="6"/>
        <v>143.46</v>
      </c>
      <c r="I131" t="str">
        <f t="shared" si="7"/>
        <v>Alex Kinniard, Jack Reilly</v>
      </c>
      <c r="J131" t="str">
        <f>VLOOKUP(I131,'Manager Coding'!C:D,2,0)</f>
        <v>KnardDawg</v>
      </c>
      <c r="K131" s="41">
        <f t="shared" si="8"/>
        <v>100.26</v>
      </c>
      <c r="L131">
        <f t="shared" si="9"/>
        <v>1</v>
      </c>
      <c r="M131">
        <f t="shared" si="10"/>
        <v>0</v>
      </c>
      <c r="N131" s="43" t="s">
        <v>584</v>
      </c>
      <c r="O131" s="55" t="s">
        <v>77</v>
      </c>
      <c r="P131" s="50">
        <v>143.46</v>
      </c>
      <c r="Q131" s="51">
        <v>100.26</v>
      </c>
      <c r="R131" s="47" t="s">
        <v>87</v>
      </c>
      <c r="S131" s="43" t="s">
        <v>585</v>
      </c>
      <c r="T131">
        <f t="shared" si="11"/>
        <v>43.2</v>
      </c>
    </row>
    <row r="132" hidden="1">
      <c r="A132" s="32" t="str">
        <f t="shared" si="1"/>
        <v>2018PiersonWeek 1</v>
      </c>
      <c r="B132" s="32" t="str">
        <f t="shared" si="2"/>
        <v>2018HudspeathWeek 1</v>
      </c>
      <c r="C132" s="32" t="str">
        <f t="shared" si="3"/>
        <v>Week 1</v>
      </c>
      <c r="D132" s="32">
        <v>2018.0</v>
      </c>
      <c r="E132" t="str">
        <f t="shared" si="4"/>
        <v>1</v>
      </c>
      <c r="F132" t="str">
        <f t="shared" si="5"/>
        <v>Pierson Curtis</v>
      </c>
      <c r="G132" s="40" t="str">
        <f>VLOOKUP(F132,'Manager Coding'!C:D,2,0)</f>
        <v>Pierson</v>
      </c>
      <c r="H132" s="41">
        <f t="shared" si="6"/>
        <v>92.26</v>
      </c>
      <c r="I132" t="str">
        <f t="shared" si="7"/>
        <v>matt hudspeath</v>
      </c>
      <c r="J132" t="str">
        <f>VLOOKUP(I132,'Manager Coding'!C:D,2,0)</f>
        <v>Hudspeath</v>
      </c>
      <c r="K132" s="41">
        <f t="shared" si="8"/>
        <v>92.9</v>
      </c>
      <c r="L132">
        <f t="shared" si="9"/>
        <v>0</v>
      </c>
      <c r="M132">
        <f t="shared" si="10"/>
        <v>1</v>
      </c>
      <c r="N132" s="43" t="s">
        <v>590</v>
      </c>
      <c r="O132" s="44" t="s">
        <v>93</v>
      </c>
      <c r="P132" s="45">
        <v>92.26</v>
      </c>
      <c r="Q132" s="46">
        <v>92.9</v>
      </c>
      <c r="R132" s="47" t="s">
        <v>64</v>
      </c>
      <c r="S132" s="43" t="s">
        <v>591</v>
      </c>
      <c r="T132">
        <f t="shared" si="11"/>
        <v>0.64</v>
      </c>
    </row>
    <row r="133" hidden="1">
      <c r="A133" s="32" t="str">
        <f t="shared" si="1"/>
        <v>2018TayskiWeek 1</v>
      </c>
      <c r="B133" s="32" t="str">
        <f t="shared" si="2"/>
        <v>2018ShepWeek 1</v>
      </c>
      <c r="C133" s="32" t="str">
        <f t="shared" si="3"/>
        <v>Week 1</v>
      </c>
      <c r="D133" s="32">
        <v>2018.0</v>
      </c>
      <c r="E133" t="str">
        <f t="shared" si="4"/>
        <v>1</v>
      </c>
      <c r="F133" t="str">
        <f t="shared" si="5"/>
        <v>Taylor Weis</v>
      </c>
      <c r="G133" s="40" t="str">
        <f>VLOOKUP(F133,'Manager Coding'!C:D,2,0)</f>
        <v>Tayski</v>
      </c>
      <c r="H133" s="41">
        <f t="shared" si="6"/>
        <v>113.32</v>
      </c>
      <c r="I133" t="str">
        <f t="shared" si="7"/>
        <v>Jordan Shepherd</v>
      </c>
      <c r="J133" t="str">
        <f>VLOOKUP(I133,'Manager Coding'!C:D,2,0)</f>
        <v>Shep</v>
      </c>
      <c r="K133" s="41">
        <f t="shared" si="8"/>
        <v>99.54</v>
      </c>
      <c r="L133">
        <f t="shared" si="9"/>
        <v>1</v>
      </c>
      <c r="M133">
        <f t="shared" si="10"/>
        <v>0</v>
      </c>
      <c r="N133" s="43" t="s">
        <v>594</v>
      </c>
      <c r="O133" s="44" t="s">
        <v>54</v>
      </c>
      <c r="P133" s="50">
        <v>113.32</v>
      </c>
      <c r="Q133" s="51">
        <v>99.54</v>
      </c>
      <c r="R133" s="47" t="s">
        <v>91</v>
      </c>
      <c r="S133" s="43" t="s">
        <v>595</v>
      </c>
      <c r="T133">
        <f t="shared" si="11"/>
        <v>13.78</v>
      </c>
    </row>
    <row r="134" hidden="1">
      <c r="A134" s="32" t="str">
        <f t="shared" si="1"/>
        <v>2018FellowsWeek 1</v>
      </c>
      <c r="B134" s="32" t="str">
        <f t="shared" si="2"/>
        <v>2018CockWeek 1</v>
      </c>
      <c r="C134" s="32" t="str">
        <f t="shared" si="3"/>
        <v>Week 1</v>
      </c>
      <c r="D134" s="32">
        <v>2018.0</v>
      </c>
      <c r="E134" t="str">
        <f t="shared" si="4"/>
        <v>1</v>
      </c>
      <c r="F134" t="str">
        <f t="shared" si="5"/>
        <v>Michael Fellows</v>
      </c>
      <c r="G134" s="40" t="str">
        <f>VLOOKUP(F134,'Manager Coding'!C:D,2,0)</f>
        <v>Fellows</v>
      </c>
      <c r="H134" s="41">
        <f t="shared" si="6"/>
        <v>97.54</v>
      </c>
      <c r="I134" t="str">
        <f t="shared" si="7"/>
        <v>Jack Babcock, Chris Cochrane</v>
      </c>
      <c r="J134" t="str">
        <f>VLOOKUP(I134,'Manager Coding'!C:D,2,0)</f>
        <v>Cock</v>
      </c>
      <c r="K134" s="41">
        <f t="shared" si="8"/>
        <v>91.06</v>
      </c>
      <c r="L134">
        <f t="shared" si="9"/>
        <v>1</v>
      </c>
      <c r="M134">
        <f t="shared" si="10"/>
        <v>0</v>
      </c>
      <c r="N134" s="43" t="s">
        <v>602</v>
      </c>
      <c r="O134" s="44" t="s">
        <v>80</v>
      </c>
      <c r="P134" s="50">
        <v>97.54</v>
      </c>
      <c r="Q134" s="51">
        <v>91.06</v>
      </c>
      <c r="R134" s="47" t="s">
        <v>73</v>
      </c>
      <c r="S134" s="43" t="s">
        <v>603</v>
      </c>
      <c r="T134">
        <f t="shared" si="11"/>
        <v>6.48</v>
      </c>
    </row>
    <row r="135" hidden="1">
      <c r="A135" s="32" t="str">
        <f t="shared" si="1"/>
        <v>2018Rooney/JacksonWeek 1</v>
      </c>
      <c r="B135" s="32" t="str">
        <f t="shared" si="2"/>
        <v>2018T-HowWeek 1</v>
      </c>
      <c r="C135" s="32" t="str">
        <f t="shared" si="3"/>
        <v>Week 1</v>
      </c>
      <c r="D135" s="32">
        <v>2018.0</v>
      </c>
      <c r="E135" t="str">
        <f t="shared" si="4"/>
        <v>1</v>
      </c>
      <c r="F135" t="str">
        <f t="shared" si="5"/>
        <v>Stephen Rooney, Jackson Sattell</v>
      </c>
      <c r="G135" s="40" t="str">
        <f>VLOOKUP(F135,'Manager Coding'!C:D,2,0)</f>
        <v>Rooney/Jackson</v>
      </c>
      <c r="H135" s="41">
        <f t="shared" si="6"/>
        <v>87.32</v>
      </c>
      <c r="I135" t="str">
        <f t="shared" si="7"/>
        <v>Tyler Howard</v>
      </c>
      <c r="J135" t="str">
        <f>VLOOKUP(I135,'Manager Coding'!C:D,2,0)</f>
        <v>T-How</v>
      </c>
      <c r="K135" s="41">
        <f t="shared" si="8"/>
        <v>92.28</v>
      </c>
      <c r="L135">
        <f t="shared" si="9"/>
        <v>0</v>
      </c>
      <c r="M135">
        <f t="shared" si="10"/>
        <v>1</v>
      </c>
      <c r="N135" s="43" t="s">
        <v>605</v>
      </c>
      <c r="O135" s="44" t="s">
        <v>58</v>
      </c>
      <c r="P135" s="45">
        <v>87.32</v>
      </c>
      <c r="Q135" s="46">
        <v>92.28</v>
      </c>
      <c r="R135" s="47" t="s">
        <v>85</v>
      </c>
      <c r="S135" s="43" t="s">
        <v>609</v>
      </c>
      <c r="T135">
        <f t="shared" si="11"/>
        <v>4.96</v>
      </c>
    </row>
    <row r="136" hidden="1">
      <c r="A136" s="32" t="str">
        <f t="shared" si="1"/>
        <v>2018RileyWeek 1</v>
      </c>
      <c r="B136" s="32" t="str">
        <f t="shared" si="2"/>
        <v>2018BuserWeek 1</v>
      </c>
      <c r="C136" s="32" t="str">
        <f t="shared" si="3"/>
        <v>Week 1</v>
      </c>
      <c r="D136" s="32">
        <v>2018.0</v>
      </c>
      <c r="E136" t="str">
        <f t="shared" si="4"/>
        <v>1</v>
      </c>
      <c r="F136" t="str">
        <f t="shared" si="5"/>
        <v>Riley McElwain</v>
      </c>
      <c r="G136" s="40" t="str">
        <f>VLOOKUP(F136,'Manager Coding'!C:D,2,0)</f>
        <v>Riley</v>
      </c>
      <c r="H136" s="41">
        <f t="shared" si="6"/>
        <v>117.34</v>
      </c>
      <c r="I136" t="str">
        <f t="shared" si="7"/>
        <v>Ed Buser</v>
      </c>
      <c r="J136" t="str">
        <f>VLOOKUP(I136,'Manager Coding'!C:D,2,0)</f>
        <v>Buser</v>
      </c>
      <c r="K136" s="41">
        <f t="shared" si="8"/>
        <v>74.84</v>
      </c>
      <c r="L136">
        <f t="shared" si="9"/>
        <v>1</v>
      </c>
      <c r="M136">
        <f t="shared" si="10"/>
        <v>0</v>
      </c>
      <c r="N136" s="43" t="s">
        <v>610</v>
      </c>
      <c r="O136" s="44" t="s">
        <v>68</v>
      </c>
      <c r="P136" s="50">
        <v>117.34</v>
      </c>
      <c r="Q136" s="51">
        <v>74.84</v>
      </c>
      <c r="R136" s="47" t="s">
        <v>50</v>
      </c>
      <c r="S136" s="43" t="s">
        <v>611</v>
      </c>
      <c r="T136">
        <f t="shared" si="11"/>
        <v>42.5</v>
      </c>
    </row>
    <row r="137" hidden="1">
      <c r="A137" s="32" t="str">
        <f t="shared" si="1"/>
        <v>#N/A</v>
      </c>
      <c r="B137" s="32" t="str">
        <f t="shared" si="2"/>
        <v>#N/A</v>
      </c>
      <c r="C137" s="32" t="str">
        <f t="shared" si="3"/>
        <v>Week 1</v>
      </c>
      <c r="D137" s="32">
        <v>2018.0</v>
      </c>
      <c r="E137" t="str">
        <f t="shared" si="4"/>
        <v>1</v>
      </c>
      <c r="F137" t="str">
        <f t="shared" si="5"/>
        <v/>
      </c>
      <c r="G137" s="40" t="str">
        <f>VLOOKUP(F137,'Manager Coding'!C:D,2,0)</f>
        <v>#N/A</v>
      </c>
      <c r="H137" s="41" t="str">
        <f t="shared" si="6"/>
        <v/>
      </c>
      <c r="I137" t="str">
        <f t="shared" si="7"/>
        <v/>
      </c>
      <c r="J137" t="str">
        <f>VLOOKUP(I137,'Manager Coding'!C:D,2,0)</f>
        <v>#N/A</v>
      </c>
      <c r="K137" s="41" t="str">
        <f t="shared" si="8"/>
        <v/>
      </c>
      <c r="L137">
        <f t="shared" si="9"/>
        <v>0</v>
      </c>
      <c r="M137">
        <f t="shared" si="10"/>
        <v>0</v>
      </c>
      <c r="N137" s="53" t="s">
        <v>196</v>
      </c>
      <c r="P137" s="41"/>
      <c r="Q137" s="41"/>
      <c r="T137">
        <f t="shared" si="11"/>
        <v>0</v>
      </c>
    </row>
    <row r="138" hidden="1">
      <c r="A138" s="32" t="str">
        <f t="shared" si="1"/>
        <v>#N/A</v>
      </c>
      <c r="B138" s="32" t="str">
        <f t="shared" si="2"/>
        <v>#N/A</v>
      </c>
      <c r="C138" s="32" t="str">
        <f t="shared" si="3"/>
        <v>Week 2</v>
      </c>
      <c r="D138" s="32">
        <v>2018.0</v>
      </c>
      <c r="E138" t="str">
        <f t="shared" si="4"/>
        <v>2</v>
      </c>
      <c r="F138" t="str">
        <f t="shared" si="5"/>
        <v>TEAM MANAGER(S)</v>
      </c>
      <c r="G138" s="40" t="str">
        <f>VLOOKUP(F138,'Manager Coding'!C:D,2,0)</f>
        <v>#N/A</v>
      </c>
      <c r="H138" s="41" t="str">
        <f t="shared" si="6"/>
        <v>SCORE</v>
      </c>
      <c r="I138" t="str">
        <f t="shared" si="7"/>
        <v>TEAM MANAGER(S)</v>
      </c>
      <c r="J138" t="str">
        <f>VLOOKUP(I138,'Manager Coding'!C:D,2,0)</f>
        <v>#N/A</v>
      </c>
      <c r="K138" s="41" t="str">
        <f t="shared" si="8"/>
        <v>SCORE</v>
      </c>
      <c r="L138">
        <f t="shared" si="9"/>
        <v>0</v>
      </c>
      <c r="M138">
        <f t="shared" si="10"/>
        <v>0</v>
      </c>
      <c r="N138" s="24" t="s">
        <v>197</v>
      </c>
      <c r="O138" s="24" t="s">
        <v>88</v>
      </c>
      <c r="P138" s="26" t="s">
        <v>94</v>
      </c>
      <c r="Q138" s="27" t="s">
        <v>94</v>
      </c>
      <c r="R138" s="30" t="s">
        <v>88</v>
      </c>
      <c r="S138" s="30" t="s">
        <v>101</v>
      </c>
      <c r="T138">
        <f t="shared" si="11"/>
        <v>0</v>
      </c>
    </row>
    <row r="139" hidden="1">
      <c r="A139" s="32" t="str">
        <f t="shared" si="1"/>
        <v>2018PiersonWeek 2</v>
      </c>
      <c r="B139" s="32" t="str">
        <f t="shared" si="2"/>
        <v>2018SaltyWeek 2</v>
      </c>
      <c r="C139" s="32" t="str">
        <f t="shared" si="3"/>
        <v>Week 2</v>
      </c>
      <c r="D139" s="32">
        <v>2018.0</v>
      </c>
      <c r="E139" t="str">
        <f t="shared" si="4"/>
        <v>2</v>
      </c>
      <c r="F139" t="str">
        <f t="shared" si="5"/>
        <v>Pierson Curtis</v>
      </c>
      <c r="G139" s="40" t="str">
        <f>VLOOKUP(F139,'Manager Coding'!C:D,2,0)</f>
        <v>Pierson</v>
      </c>
      <c r="H139" s="41">
        <f t="shared" si="6"/>
        <v>116.74</v>
      </c>
      <c r="I139" t="str">
        <f t="shared" si="7"/>
        <v>R Saltiel</v>
      </c>
      <c r="J139" t="str">
        <f>VLOOKUP(I139,'Manager Coding'!C:D,2,0)</f>
        <v>Salty</v>
      </c>
      <c r="K139" s="41">
        <f t="shared" si="8"/>
        <v>118.26</v>
      </c>
      <c r="L139">
        <f t="shared" si="9"/>
        <v>0</v>
      </c>
      <c r="M139">
        <f t="shared" si="10"/>
        <v>1</v>
      </c>
      <c r="N139" s="54" t="s">
        <v>590</v>
      </c>
      <c r="O139" s="55" t="s">
        <v>93</v>
      </c>
      <c r="P139" s="50">
        <v>116.74</v>
      </c>
      <c r="Q139" s="46">
        <v>118.26</v>
      </c>
      <c r="R139" s="48" t="s">
        <v>77</v>
      </c>
      <c r="S139" s="54" t="s">
        <v>584</v>
      </c>
      <c r="T139">
        <f t="shared" si="11"/>
        <v>1.52</v>
      </c>
    </row>
    <row r="140" hidden="1">
      <c r="A140" s="32" t="str">
        <f t="shared" si="1"/>
        <v>2018KnardDawgWeek 2</v>
      </c>
      <c r="B140" s="32" t="str">
        <f t="shared" si="2"/>
        <v>2018TayskiWeek 2</v>
      </c>
      <c r="C140" s="32" t="str">
        <f t="shared" si="3"/>
        <v>Week 2</v>
      </c>
      <c r="D140" s="32">
        <v>2018.0</v>
      </c>
      <c r="E140" t="str">
        <f t="shared" si="4"/>
        <v>2</v>
      </c>
      <c r="F140" t="str">
        <f t="shared" si="5"/>
        <v>Alex Kinniard, Jack Reilly</v>
      </c>
      <c r="G140" s="40" t="str">
        <f>VLOOKUP(F140,'Manager Coding'!C:D,2,0)</f>
        <v>KnardDawg</v>
      </c>
      <c r="H140" s="41">
        <f t="shared" si="6"/>
        <v>90.82</v>
      </c>
      <c r="I140" t="str">
        <f t="shared" si="7"/>
        <v>Taylor Weis</v>
      </c>
      <c r="J140" t="str">
        <f>VLOOKUP(I140,'Manager Coding'!C:D,2,0)</f>
        <v>Tayski</v>
      </c>
      <c r="K140" s="41">
        <f t="shared" si="8"/>
        <v>120.14</v>
      </c>
      <c r="L140">
        <f t="shared" si="9"/>
        <v>0</v>
      </c>
      <c r="M140">
        <f t="shared" si="10"/>
        <v>1</v>
      </c>
      <c r="N140" s="54" t="s">
        <v>585</v>
      </c>
      <c r="O140" s="55" t="s">
        <v>87</v>
      </c>
      <c r="P140" s="50">
        <v>90.82</v>
      </c>
      <c r="Q140" s="46">
        <v>120.14</v>
      </c>
      <c r="R140" s="48" t="s">
        <v>54</v>
      </c>
      <c r="S140" s="54" t="s">
        <v>594</v>
      </c>
      <c r="T140">
        <f t="shared" si="11"/>
        <v>29.32</v>
      </c>
    </row>
    <row r="141" hidden="1">
      <c r="A141" s="32" t="str">
        <f t="shared" si="1"/>
        <v>2018HudspeathWeek 2</v>
      </c>
      <c r="B141" s="32" t="str">
        <f t="shared" si="2"/>
        <v>2018FellowsWeek 2</v>
      </c>
      <c r="C141" s="32" t="str">
        <f t="shared" si="3"/>
        <v>Week 2</v>
      </c>
      <c r="D141" s="32">
        <v>2018.0</v>
      </c>
      <c r="E141" t="str">
        <f t="shared" si="4"/>
        <v>2</v>
      </c>
      <c r="F141" t="str">
        <f t="shared" si="5"/>
        <v>matt hudspeath</v>
      </c>
      <c r="G141" s="40" t="str">
        <f>VLOOKUP(F141,'Manager Coding'!C:D,2,0)</f>
        <v>Hudspeath</v>
      </c>
      <c r="H141" s="41">
        <f t="shared" si="6"/>
        <v>104.38</v>
      </c>
      <c r="I141" t="str">
        <f t="shared" si="7"/>
        <v>Michael Fellows</v>
      </c>
      <c r="J141" t="str">
        <f>VLOOKUP(I141,'Manager Coding'!C:D,2,0)</f>
        <v>Fellows</v>
      </c>
      <c r="K141" s="41">
        <f t="shared" si="8"/>
        <v>73.2</v>
      </c>
      <c r="L141">
        <f t="shared" si="9"/>
        <v>1</v>
      </c>
      <c r="M141">
        <f t="shared" si="10"/>
        <v>0</v>
      </c>
      <c r="N141" s="54" t="s">
        <v>591</v>
      </c>
      <c r="O141" s="55" t="s">
        <v>64</v>
      </c>
      <c r="P141" s="50">
        <v>104.38</v>
      </c>
      <c r="Q141" s="46">
        <v>73.2</v>
      </c>
      <c r="R141" s="48" t="s">
        <v>80</v>
      </c>
      <c r="S141" s="54" t="s">
        <v>602</v>
      </c>
      <c r="T141">
        <f t="shared" si="11"/>
        <v>31.18</v>
      </c>
    </row>
    <row r="142" hidden="1">
      <c r="A142" s="32" t="str">
        <f t="shared" si="1"/>
        <v>2018ShepWeek 2</v>
      </c>
      <c r="B142" s="32" t="str">
        <f t="shared" si="2"/>
        <v>2018Rooney/JacksonWeek 2</v>
      </c>
      <c r="C142" s="32" t="str">
        <f t="shared" si="3"/>
        <v>Week 2</v>
      </c>
      <c r="D142" s="32">
        <v>2018.0</v>
      </c>
      <c r="E142" t="str">
        <f t="shared" si="4"/>
        <v>2</v>
      </c>
      <c r="F142" t="str">
        <f t="shared" si="5"/>
        <v>Jordan Shepherd</v>
      </c>
      <c r="G142" s="40" t="str">
        <f>VLOOKUP(F142,'Manager Coding'!C:D,2,0)</f>
        <v>Shep</v>
      </c>
      <c r="H142" s="41">
        <f t="shared" si="6"/>
        <v>87.4</v>
      </c>
      <c r="I142" t="str">
        <f t="shared" si="7"/>
        <v>Stephen Rooney, Jackson Sattell</v>
      </c>
      <c r="J142" t="str">
        <f>VLOOKUP(I142,'Manager Coding'!C:D,2,0)</f>
        <v>Rooney/Jackson</v>
      </c>
      <c r="K142" s="41">
        <f t="shared" si="8"/>
        <v>76.96</v>
      </c>
      <c r="L142">
        <f t="shared" si="9"/>
        <v>1</v>
      </c>
      <c r="M142">
        <f t="shared" si="10"/>
        <v>0</v>
      </c>
      <c r="N142" s="54" t="s">
        <v>595</v>
      </c>
      <c r="O142" s="55" t="s">
        <v>91</v>
      </c>
      <c r="P142" s="50">
        <v>87.4</v>
      </c>
      <c r="Q142" s="46">
        <v>76.96</v>
      </c>
      <c r="R142" s="48" t="s">
        <v>58</v>
      </c>
      <c r="S142" s="54" t="s">
        <v>605</v>
      </c>
      <c r="T142">
        <f t="shared" si="11"/>
        <v>10.44</v>
      </c>
    </row>
    <row r="143" hidden="1">
      <c r="A143" s="32" t="str">
        <f t="shared" si="1"/>
        <v>2018CockWeek 2</v>
      </c>
      <c r="B143" s="32" t="str">
        <f t="shared" si="2"/>
        <v>2018RileyWeek 2</v>
      </c>
      <c r="C143" s="32" t="str">
        <f t="shared" si="3"/>
        <v>Week 2</v>
      </c>
      <c r="D143" s="32">
        <v>2018.0</v>
      </c>
      <c r="E143" t="str">
        <f t="shared" si="4"/>
        <v>2</v>
      </c>
      <c r="F143" t="str">
        <f t="shared" si="5"/>
        <v>Jack Babcock, Chris Cochrane</v>
      </c>
      <c r="G143" s="40" t="str">
        <f>VLOOKUP(F143,'Manager Coding'!C:D,2,0)</f>
        <v>Cock</v>
      </c>
      <c r="H143" s="41">
        <f t="shared" si="6"/>
        <v>102.8</v>
      </c>
      <c r="I143" t="str">
        <f t="shared" si="7"/>
        <v>Riley McElwain</v>
      </c>
      <c r="J143" t="str">
        <f>VLOOKUP(I143,'Manager Coding'!C:D,2,0)</f>
        <v>Riley</v>
      </c>
      <c r="K143" s="41">
        <f t="shared" si="8"/>
        <v>123.24</v>
      </c>
      <c r="L143">
        <f t="shared" si="9"/>
        <v>0</v>
      </c>
      <c r="M143">
        <f t="shared" si="10"/>
        <v>1</v>
      </c>
      <c r="N143" s="54" t="s">
        <v>603</v>
      </c>
      <c r="O143" s="55" t="s">
        <v>73</v>
      </c>
      <c r="P143" s="50">
        <v>102.8</v>
      </c>
      <c r="Q143" s="46">
        <v>123.24</v>
      </c>
      <c r="R143" s="48" t="s">
        <v>68</v>
      </c>
      <c r="S143" s="54" t="s">
        <v>610</v>
      </c>
      <c r="T143">
        <f t="shared" si="11"/>
        <v>20.44</v>
      </c>
    </row>
    <row r="144" hidden="1">
      <c r="A144" s="32" t="str">
        <f t="shared" si="1"/>
        <v>2018T-HowWeek 2</v>
      </c>
      <c r="B144" s="32" t="str">
        <f t="shared" si="2"/>
        <v>2018BuserWeek 2</v>
      </c>
      <c r="C144" s="32" t="str">
        <f t="shared" si="3"/>
        <v>Week 2</v>
      </c>
      <c r="D144" s="32">
        <v>2018.0</v>
      </c>
      <c r="E144" t="str">
        <f t="shared" si="4"/>
        <v>2</v>
      </c>
      <c r="F144" t="str">
        <f t="shared" si="5"/>
        <v>Tyler Howard</v>
      </c>
      <c r="G144" s="40" t="str">
        <f>VLOOKUP(F144,'Manager Coding'!C:D,2,0)</f>
        <v>T-How</v>
      </c>
      <c r="H144" s="41">
        <f t="shared" si="6"/>
        <v>90.96</v>
      </c>
      <c r="I144" t="str">
        <f t="shared" si="7"/>
        <v>Ed Buser</v>
      </c>
      <c r="J144" t="str">
        <f>VLOOKUP(I144,'Manager Coding'!C:D,2,0)</f>
        <v>Buser</v>
      </c>
      <c r="K144" s="41">
        <f t="shared" si="8"/>
        <v>65.48</v>
      </c>
      <c r="L144">
        <f t="shared" si="9"/>
        <v>1</v>
      </c>
      <c r="M144">
        <f t="shared" si="10"/>
        <v>0</v>
      </c>
      <c r="N144" s="54" t="s">
        <v>609</v>
      </c>
      <c r="O144" s="55" t="s">
        <v>85</v>
      </c>
      <c r="P144" s="50">
        <v>90.96</v>
      </c>
      <c r="Q144" s="46">
        <v>65.48</v>
      </c>
      <c r="R144" s="48" t="s">
        <v>50</v>
      </c>
      <c r="S144" s="54" t="s">
        <v>611</v>
      </c>
      <c r="T144">
        <f t="shared" si="11"/>
        <v>25.48</v>
      </c>
    </row>
    <row r="145" hidden="1">
      <c r="A145" s="32" t="str">
        <f t="shared" si="1"/>
        <v>#N/A</v>
      </c>
      <c r="B145" s="32" t="str">
        <f t="shared" si="2"/>
        <v>#N/A</v>
      </c>
      <c r="C145" s="32" t="str">
        <f t="shared" si="3"/>
        <v>Week 2</v>
      </c>
      <c r="D145" s="32">
        <v>2018.0</v>
      </c>
      <c r="E145" t="str">
        <f t="shared" si="4"/>
        <v>2</v>
      </c>
      <c r="F145" t="str">
        <f t="shared" si="5"/>
        <v/>
      </c>
      <c r="G145" s="40" t="str">
        <f>VLOOKUP(F145,'Manager Coding'!C:D,2,0)</f>
        <v>#N/A</v>
      </c>
      <c r="H145" s="41" t="str">
        <f t="shared" si="6"/>
        <v/>
      </c>
      <c r="I145" t="str">
        <f t="shared" si="7"/>
        <v/>
      </c>
      <c r="J145" t="str">
        <f>VLOOKUP(I145,'Manager Coding'!C:D,2,0)</f>
        <v>#N/A</v>
      </c>
      <c r="K145" s="41" t="str">
        <f t="shared" si="8"/>
        <v/>
      </c>
      <c r="L145">
        <f t="shared" si="9"/>
        <v>0</v>
      </c>
      <c r="M145">
        <f t="shared" si="10"/>
        <v>0</v>
      </c>
      <c r="N145" s="53" t="s">
        <v>234</v>
      </c>
      <c r="P145" s="41"/>
      <c r="Q145" s="41"/>
      <c r="T145">
        <f t="shared" si="11"/>
        <v>0</v>
      </c>
    </row>
    <row r="146" hidden="1">
      <c r="A146" s="32" t="str">
        <f t="shared" si="1"/>
        <v>#N/A</v>
      </c>
      <c r="B146" s="32" t="str">
        <f t="shared" si="2"/>
        <v>#N/A</v>
      </c>
      <c r="C146" s="32" t="str">
        <f t="shared" si="3"/>
        <v>Week 3</v>
      </c>
      <c r="D146" s="32">
        <v>2018.0</v>
      </c>
      <c r="E146" t="str">
        <f t="shared" si="4"/>
        <v>3</v>
      </c>
      <c r="F146" t="str">
        <f t="shared" si="5"/>
        <v>TEAM MANAGER(S)</v>
      </c>
      <c r="G146" s="40" t="str">
        <f>VLOOKUP(F146,'Manager Coding'!C:D,2,0)</f>
        <v>#N/A</v>
      </c>
      <c r="H146" s="41" t="str">
        <f t="shared" si="6"/>
        <v>SCORE</v>
      </c>
      <c r="I146" t="str">
        <f t="shared" si="7"/>
        <v>TEAM MANAGER(S)</v>
      </c>
      <c r="J146" t="str">
        <f>VLOOKUP(I146,'Manager Coding'!C:D,2,0)</f>
        <v>#N/A</v>
      </c>
      <c r="K146" s="41" t="str">
        <f t="shared" si="8"/>
        <v>SCORE</v>
      </c>
      <c r="L146">
        <f t="shared" si="9"/>
        <v>0</v>
      </c>
      <c r="M146">
        <f t="shared" si="10"/>
        <v>0</v>
      </c>
      <c r="N146" s="24" t="s">
        <v>197</v>
      </c>
      <c r="O146" s="24" t="s">
        <v>88</v>
      </c>
      <c r="P146" s="26" t="s">
        <v>94</v>
      </c>
      <c r="Q146" s="27" t="s">
        <v>94</v>
      </c>
      <c r="R146" s="30" t="s">
        <v>88</v>
      </c>
      <c r="S146" s="30" t="s">
        <v>101</v>
      </c>
      <c r="T146">
        <f t="shared" si="11"/>
        <v>0</v>
      </c>
    </row>
    <row r="147" hidden="1">
      <c r="A147" s="32" t="str">
        <f t="shared" si="1"/>
        <v>2018SaltyWeek 3</v>
      </c>
      <c r="B147" s="32" t="str">
        <f t="shared" si="2"/>
        <v>2018TayskiWeek 3</v>
      </c>
      <c r="C147" s="32" t="str">
        <f t="shared" si="3"/>
        <v>Week 3</v>
      </c>
      <c r="D147" s="32">
        <v>2018.0</v>
      </c>
      <c r="E147" t="str">
        <f t="shared" si="4"/>
        <v>3</v>
      </c>
      <c r="F147" t="str">
        <f t="shared" si="5"/>
        <v>R Saltiel</v>
      </c>
      <c r="G147" s="40" t="str">
        <f>VLOOKUP(F147,'Manager Coding'!C:D,2,0)</f>
        <v>Salty</v>
      </c>
      <c r="H147" s="41">
        <f t="shared" si="6"/>
        <v>70.8</v>
      </c>
      <c r="I147" t="str">
        <f t="shared" si="7"/>
        <v>Taylor Weis</v>
      </c>
      <c r="J147" t="str">
        <f>VLOOKUP(I147,'Manager Coding'!C:D,2,0)</f>
        <v>Tayski</v>
      </c>
      <c r="K147" s="41">
        <f t="shared" si="8"/>
        <v>98.34</v>
      </c>
      <c r="L147">
        <f t="shared" si="9"/>
        <v>0</v>
      </c>
      <c r="M147">
        <f t="shared" si="10"/>
        <v>1</v>
      </c>
      <c r="N147" s="54" t="s">
        <v>584</v>
      </c>
      <c r="O147" s="55" t="s">
        <v>77</v>
      </c>
      <c r="P147" s="50">
        <v>70.8</v>
      </c>
      <c r="Q147" s="46">
        <v>98.34</v>
      </c>
      <c r="R147" s="48" t="s">
        <v>54</v>
      </c>
      <c r="S147" s="54" t="s">
        <v>594</v>
      </c>
      <c r="T147">
        <f t="shared" si="11"/>
        <v>27.54</v>
      </c>
    </row>
    <row r="148" hidden="1">
      <c r="A148" s="32" t="str">
        <f t="shared" si="1"/>
        <v>2018FellowsWeek 3</v>
      </c>
      <c r="B148" s="32" t="str">
        <f t="shared" si="2"/>
        <v>2018PiersonWeek 3</v>
      </c>
      <c r="C148" s="32" t="str">
        <f t="shared" si="3"/>
        <v>Week 3</v>
      </c>
      <c r="D148" s="32">
        <v>2018.0</v>
      </c>
      <c r="E148" t="str">
        <f t="shared" si="4"/>
        <v>3</v>
      </c>
      <c r="F148" t="str">
        <f t="shared" si="5"/>
        <v>Michael Fellows</v>
      </c>
      <c r="G148" s="40" t="str">
        <f>VLOOKUP(F148,'Manager Coding'!C:D,2,0)</f>
        <v>Fellows</v>
      </c>
      <c r="H148" s="41">
        <f t="shared" si="6"/>
        <v>93.5</v>
      </c>
      <c r="I148" t="str">
        <f t="shared" si="7"/>
        <v>Pierson Curtis</v>
      </c>
      <c r="J148" t="str">
        <f>VLOOKUP(I148,'Manager Coding'!C:D,2,0)</f>
        <v>Pierson</v>
      </c>
      <c r="K148" s="41">
        <f t="shared" si="8"/>
        <v>85.54</v>
      </c>
      <c r="L148">
        <f t="shared" si="9"/>
        <v>1</v>
      </c>
      <c r="M148">
        <f t="shared" si="10"/>
        <v>0</v>
      </c>
      <c r="N148" s="54" t="s">
        <v>602</v>
      </c>
      <c r="O148" s="55" t="s">
        <v>80</v>
      </c>
      <c r="P148" s="50">
        <v>93.5</v>
      </c>
      <c r="Q148" s="46">
        <v>85.54</v>
      </c>
      <c r="R148" s="48" t="s">
        <v>93</v>
      </c>
      <c r="S148" s="54" t="s">
        <v>590</v>
      </c>
      <c r="T148">
        <f t="shared" si="11"/>
        <v>7.96</v>
      </c>
    </row>
    <row r="149" hidden="1">
      <c r="A149" s="32" t="str">
        <f t="shared" si="1"/>
        <v>2018Rooney/JacksonWeek 3</v>
      </c>
      <c r="B149" s="32" t="str">
        <f t="shared" si="2"/>
        <v>2018KnardDawgWeek 3</v>
      </c>
      <c r="C149" s="32" t="str">
        <f t="shared" si="3"/>
        <v>Week 3</v>
      </c>
      <c r="D149" s="32">
        <v>2018.0</v>
      </c>
      <c r="E149" t="str">
        <f t="shared" si="4"/>
        <v>3</v>
      </c>
      <c r="F149" t="str">
        <f t="shared" si="5"/>
        <v>Stephen Rooney, Jackson Sattell</v>
      </c>
      <c r="G149" s="40" t="str">
        <f>VLOOKUP(F149,'Manager Coding'!C:D,2,0)</f>
        <v>Rooney/Jackson</v>
      </c>
      <c r="H149" s="41">
        <f t="shared" si="6"/>
        <v>91.76</v>
      </c>
      <c r="I149" t="str">
        <f t="shared" si="7"/>
        <v>Alex Kinniard, Jack Reilly</v>
      </c>
      <c r="J149" t="str">
        <f>VLOOKUP(I149,'Manager Coding'!C:D,2,0)</f>
        <v>KnardDawg</v>
      </c>
      <c r="K149" s="41">
        <f t="shared" si="8"/>
        <v>132.44</v>
      </c>
      <c r="L149">
        <f t="shared" si="9"/>
        <v>0</v>
      </c>
      <c r="M149">
        <f t="shared" si="10"/>
        <v>1</v>
      </c>
      <c r="N149" s="54" t="s">
        <v>605</v>
      </c>
      <c r="O149" s="55" t="s">
        <v>58</v>
      </c>
      <c r="P149" s="50">
        <v>91.76</v>
      </c>
      <c r="Q149" s="46">
        <v>132.44</v>
      </c>
      <c r="R149" s="48" t="s">
        <v>87</v>
      </c>
      <c r="S149" s="54" t="s">
        <v>585</v>
      </c>
      <c r="T149">
        <f t="shared" si="11"/>
        <v>40.68</v>
      </c>
    </row>
    <row r="150" hidden="1">
      <c r="A150" s="32" t="str">
        <f t="shared" si="1"/>
        <v>2018RileyWeek 3</v>
      </c>
      <c r="B150" s="32" t="str">
        <f t="shared" si="2"/>
        <v>2018HudspeathWeek 3</v>
      </c>
      <c r="C150" s="32" t="str">
        <f t="shared" si="3"/>
        <v>Week 3</v>
      </c>
      <c r="D150" s="32">
        <v>2018.0</v>
      </c>
      <c r="E150" t="str">
        <f t="shared" si="4"/>
        <v>3</v>
      </c>
      <c r="F150" t="str">
        <f t="shared" si="5"/>
        <v>Riley McElwain</v>
      </c>
      <c r="G150" s="40" t="str">
        <f>VLOOKUP(F150,'Manager Coding'!C:D,2,0)</f>
        <v>Riley</v>
      </c>
      <c r="H150" s="41">
        <f t="shared" si="6"/>
        <v>87</v>
      </c>
      <c r="I150" t="str">
        <f t="shared" si="7"/>
        <v>matt hudspeath</v>
      </c>
      <c r="J150" t="str">
        <f>VLOOKUP(I150,'Manager Coding'!C:D,2,0)</f>
        <v>Hudspeath</v>
      </c>
      <c r="K150" s="41">
        <f t="shared" si="8"/>
        <v>115.12</v>
      </c>
      <c r="L150">
        <f t="shared" si="9"/>
        <v>0</v>
      </c>
      <c r="M150">
        <f t="shared" si="10"/>
        <v>1</v>
      </c>
      <c r="N150" s="54" t="s">
        <v>610</v>
      </c>
      <c r="O150" s="55" t="s">
        <v>68</v>
      </c>
      <c r="P150" s="50">
        <v>87.0</v>
      </c>
      <c r="Q150" s="46">
        <v>115.12</v>
      </c>
      <c r="R150" s="48" t="s">
        <v>64</v>
      </c>
      <c r="S150" s="54" t="s">
        <v>591</v>
      </c>
      <c r="T150">
        <f t="shared" si="11"/>
        <v>28.12</v>
      </c>
    </row>
    <row r="151" hidden="1">
      <c r="A151" s="32" t="str">
        <f t="shared" si="1"/>
        <v>2018BuserWeek 3</v>
      </c>
      <c r="B151" s="32" t="str">
        <f t="shared" si="2"/>
        <v>2018ShepWeek 3</v>
      </c>
      <c r="C151" s="32" t="str">
        <f t="shared" si="3"/>
        <v>Week 3</v>
      </c>
      <c r="D151" s="32">
        <v>2018.0</v>
      </c>
      <c r="E151" t="str">
        <f t="shared" si="4"/>
        <v>3</v>
      </c>
      <c r="F151" t="str">
        <f t="shared" si="5"/>
        <v>Ed Buser</v>
      </c>
      <c r="G151" s="40" t="str">
        <f>VLOOKUP(F151,'Manager Coding'!C:D,2,0)</f>
        <v>Buser</v>
      </c>
      <c r="H151" s="41">
        <f t="shared" si="6"/>
        <v>68.38</v>
      </c>
      <c r="I151" t="str">
        <f t="shared" si="7"/>
        <v>Jordan Shepherd</v>
      </c>
      <c r="J151" t="str">
        <f>VLOOKUP(I151,'Manager Coding'!C:D,2,0)</f>
        <v>Shep</v>
      </c>
      <c r="K151" s="41">
        <f t="shared" si="8"/>
        <v>94.36</v>
      </c>
      <c r="L151">
        <f t="shared" si="9"/>
        <v>0</v>
      </c>
      <c r="M151">
        <f t="shared" si="10"/>
        <v>1</v>
      </c>
      <c r="N151" s="54" t="s">
        <v>611</v>
      </c>
      <c r="O151" s="55" t="s">
        <v>50</v>
      </c>
      <c r="P151" s="50">
        <v>68.38</v>
      </c>
      <c r="Q151" s="46">
        <v>94.36</v>
      </c>
      <c r="R151" s="48" t="s">
        <v>91</v>
      </c>
      <c r="S151" s="54" t="s">
        <v>595</v>
      </c>
      <c r="T151">
        <f t="shared" si="11"/>
        <v>25.98</v>
      </c>
    </row>
    <row r="152" hidden="1">
      <c r="A152" s="32" t="str">
        <f t="shared" si="1"/>
        <v>2018T-HowWeek 3</v>
      </c>
      <c r="B152" s="32" t="str">
        <f t="shared" si="2"/>
        <v>2018CockWeek 3</v>
      </c>
      <c r="C152" s="32" t="str">
        <f t="shared" si="3"/>
        <v>Week 3</v>
      </c>
      <c r="D152" s="32">
        <v>2018.0</v>
      </c>
      <c r="E152" t="str">
        <f t="shared" si="4"/>
        <v>3</v>
      </c>
      <c r="F152" t="str">
        <f t="shared" si="5"/>
        <v>Tyler Howard</v>
      </c>
      <c r="G152" s="40" t="str">
        <f>VLOOKUP(F152,'Manager Coding'!C:D,2,0)</f>
        <v>T-How</v>
      </c>
      <c r="H152" s="41">
        <f t="shared" si="6"/>
        <v>69.72</v>
      </c>
      <c r="I152" t="str">
        <f t="shared" si="7"/>
        <v>Jack Babcock, Chris Cochrane</v>
      </c>
      <c r="J152" t="str">
        <f>VLOOKUP(I152,'Manager Coding'!C:D,2,0)</f>
        <v>Cock</v>
      </c>
      <c r="K152" s="41">
        <f t="shared" si="8"/>
        <v>64.94</v>
      </c>
      <c r="L152">
        <f t="shared" si="9"/>
        <v>1</v>
      </c>
      <c r="M152">
        <f t="shared" si="10"/>
        <v>0</v>
      </c>
      <c r="N152" s="54" t="s">
        <v>609</v>
      </c>
      <c r="O152" s="55" t="s">
        <v>85</v>
      </c>
      <c r="P152" s="50">
        <v>69.72</v>
      </c>
      <c r="Q152" s="46">
        <v>64.94</v>
      </c>
      <c r="R152" s="48" t="s">
        <v>73</v>
      </c>
      <c r="S152" s="54" t="s">
        <v>603</v>
      </c>
      <c r="T152">
        <f t="shared" si="11"/>
        <v>4.78</v>
      </c>
    </row>
    <row r="153" hidden="1">
      <c r="A153" s="32" t="str">
        <f t="shared" si="1"/>
        <v>#N/A</v>
      </c>
      <c r="B153" s="32" t="str">
        <f t="shared" si="2"/>
        <v>#N/A</v>
      </c>
      <c r="C153" s="32" t="str">
        <f t="shared" si="3"/>
        <v>Week 3</v>
      </c>
      <c r="D153" s="32">
        <v>2018.0</v>
      </c>
      <c r="E153" t="str">
        <f t="shared" si="4"/>
        <v>3</v>
      </c>
      <c r="F153" t="str">
        <f t="shared" si="5"/>
        <v/>
      </c>
      <c r="G153" s="40" t="str">
        <f>VLOOKUP(F153,'Manager Coding'!C:D,2,0)</f>
        <v>#N/A</v>
      </c>
      <c r="H153" s="41" t="str">
        <f t="shared" si="6"/>
        <v/>
      </c>
      <c r="I153" t="str">
        <f t="shared" si="7"/>
        <v/>
      </c>
      <c r="J153" t="str">
        <f>VLOOKUP(I153,'Manager Coding'!C:D,2,0)</f>
        <v>#N/A</v>
      </c>
      <c r="K153" s="41" t="str">
        <f t="shared" si="8"/>
        <v/>
      </c>
      <c r="L153">
        <f t="shared" si="9"/>
        <v>0</v>
      </c>
      <c r="M153">
        <f t="shared" si="10"/>
        <v>0</v>
      </c>
      <c r="N153" s="53" t="s">
        <v>260</v>
      </c>
      <c r="P153" s="41"/>
      <c r="Q153" s="41"/>
      <c r="T153">
        <f t="shared" si="11"/>
        <v>0</v>
      </c>
    </row>
    <row r="154" hidden="1">
      <c r="A154" s="32" t="str">
        <f t="shared" si="1"/>
        <v>#N/A</v>
      </c>
      <c r="B154" s="32" t="str">
        <f t="shared" si="2"/>
        <v>#N/A</v>
      </c>
      <c r="C154" s="32" t="str">
        <f t="shared" si="3"/>
        <v>Week 4</v>
      </c>
      <c r="D154" s="32">
        <v>2018.0</v>
      </c>
      <c r="E154" t="str">
        <f t="shared" si="4"/>
        <v>4</v>
      </c>
      <c r="F154" t="str">
        <f t="shared" si="5"/>
        <v>TEAM MANAGER(S)</v>
      </c>
      <c r="G154" s="40" t="str">
        <f>VLOOKUP(F154,'Manager Coding'!C:D,2,0)</f>
        <v>#N/A</v>
      </c>
      <c r="H154" s="41" t="str">
        <f t="shared" si="6"/>
        <v>SCORE</v>
      </c>
      <c r="I154" t="str">
        <f t="shared" si="7"/>
        <v>TEAM MANAGER(S)</v>
      </c>
      <c r="J154" t="str">
        <f>VLOOKUP(I154,'Manager Coding'!C:D,2,0)</f>
        <v>#N/A</v>
      </c>
      <c r="K154" s="41" t="str">
        <f t="shared" si="8"/>
        <v>SCORE</v>
      </c>
      <c r="L154">
        <f t="shared" si="9"/>
        <v>0</v>
      </c>
      <c r="M154">
        <f t="shared" si="10"/>
        <v>0</v>
      </c>
      <c r="N154" s="24" t="s">
        <v>197</v>
      </c>
      <c r="O154" s="24" t="s">
        <v>88</v>
      </c>
      <c r="P154" s="26" t="s">
        <v>94</v>
      </c>
      <c r="Q154" s="27" t="s">
        <v>94</v>
      </c>
      <c r="R154" s="30" t="s">
        <v>88</v>
      </c>
      <c r="S154" s="30" t="s">
        <v>101</v>
      </c>
      <c r="T154">
        <f t="shared" si="11"/>
        <v>0</v>
      </c>
    </row>
    <row r="155" hidden="1">
      <c r="A155" s="32" t="str">
        <f t="shared" si="1"/>
        <v>2018FellowsWeek 4</v>
      </c>
      <c r="B155" s="32" t="str">
        <f t="shared" si="2"/>
        <v>2018SaltyWeek 4</v>
      </c>
      <c r="C155" s="32" t="str">
        <f t="shared" si="3"/>
        <v>Week 4</v>
      </c>
      <c r="D155" s="32">
        <v>2018.0</v>
      </c>
      <c r="E155" t="str">
        <f t="shared" si="4"/>
        <v>4</v>
      </c>
      <c r="F155" t="str">
        <f t="shared" si="5"/>
        <v>Michael Fellows</v>
      </c>
      <c r="G155" s="40" t="str">
        <f>VLOOKUP(F155,'Manager Coding'!C:D,2,0)</f>
        <v>Fellows</v>
      </c>
      <c r="H155" s="41">
        <f t="shared" si="6"/>
        <v>92.9</v>
      </c>
      <c r="I155" t="str">
        <f t="shared" si="7"/>
        <v>R Saltiel</v>
      </c>
      <c r="J155" t="str">
        <f>VLOOKUP(I155,'Manager Coding'!C:D,2,0)</f>
        <v>Salty</v>
      </c>
      <c r="K155" s="41">
        <f t="shared" si="8"/>
        <v>96.42</v>
      </c>
      <c r="L155">
        <f t="shared" si="9"/>
        <v>0</v>
      </c>
      <c r="M155">
        <f t="shared" si="10"/>
        <v>1</v>
      </c>
      <c r="N155" s="54" t="s">
        <v>602</v>
      </c>
      <c r="O155" s="55" t="s">
        <v>80</v>
      </c>
      <c r="P155" s="50">
        <v>92.9</v>
      </c>
      <c r="Q155" s="46">
        <v>96.42</v>
      </c>
      <c r="R155" s="48" t="s">
        <v>77</v>
      </c>
      <c r="S155" s="54" t="s">
        <v>584</v>
      </c>
      <c r="T155">
        <f t="shared" si="11"/>
        <v>3.52</v>
      </c>
    </row>
    <row r="156" hidden="1">
      <c r="A156" s="32" t="str">
        <f t="shared" si="1"/>
        <v>2018TayskiWeek 4</v>
      </c>
      <c r="B156" s="32" t="str">
        <f t="shared" si="2"/>
        <v>2018Rooney/JacksonWeek 4</v>
      </c>
      <c r="C156" s="32" t="str">
        <f t="shared" si="3"/>
        <v>Week 4</v>
      </c>
      <c r="D156" s="32">
        <v>2018.0</v>
      </c>
      <c r="E156" t="str">
        <f t="shared" si="4"/>
        <v>4</v>
      </c>
      <c r="F156" t="str">
        <f t="shared" si="5"/>
        <v>Taylor Weis</v>
      </c>
      <c r="G156" s="40" t="str">
        <f>VLOOKUP(F156,'Manager Coding'!C:D,2,0)</f>
        <v>Tayski</v>
      </c>
      <c r="H156" s="41">
        <f t="shared" si="6"/>
        <v>109.78</v>
      </c>
      <c r="I156" t="str">
        <f t="shared" si="7"/>
        <v>Stephen Rooney, Jackson Sattell</v>
      </c>
      <c r="J156" t="str">
        <f>VLOOKUP(I156,'Manager Coding'!C:D,2,0)</f>
        <v>Rooney/Jackson</v>
      </c>
      <c r="K156" s="41">
        <f t="shared" si="8"/>
        <v>114.96</v>
      </c>
      <c r="L156">
        <f t="shared" si="9"/>
        <v>0</v>
      </c>
      <c r="M156">
        <f t="shared" si="10"/>
        <v>1</v>
      </c>
      <c r="N156" s="54" t="s">
        <v>594</v>
      </c>
      <c r="O156" s="55" t="s">
        <v>54</v>
      </c>
      <c r="P156" s="50">
        <v>109.78</v>
      </c>
      <c r="Q156" s="46">
        <v>114.96</v>
      </c>
      <c r="R156" s="48" t="s">
        <v>58</v>
      </c>
      <c r="S156" s="54" t="s">
        <v>605</v>
      </c>
      <c r="T156">
        <f t="shared" si="11"/>
        <v>5.18</v>
      </c>
    </row>
    <row r="157" hidden="1">
      <c r="A157" s="32" t="str">
        <f t="shared" si="1"/>
        <v>2018PiersonWeek 4</v>
      </c>
      <c r="B157" s="32" t="str">
        <f t="shared" si="2"/>
        <v>2018RileyWeek 4</v>
      </c>
      <c r="C157" s="32" t="str">
        <f t="shared" si="3"/>
        <v>Week 4</v>
      </c>
      <c r="D157" s="32">
        <v>2018.0</v>
      </c>
      <c r="E157" t="str">
        <f t="shared" si="4"/>
        <v>4</v>
      </c>
      <c r="F157" t="str">
        <f t="shared" si="5"/>
        <v>Pierson Curtis</v>
      </c>
      <c r="G157" s="40" t="str">
        <f>VLOOKUP(F157,'Manager Coding'!C:D,2,0)</f>
        <v>Pierson</v>
      </c>
      <c r="H157" s="41">
        <f t="shared" si="6"/>
        <v>126.1</v>
      </c>
      <c r="I157" t="str">
        <f t="shared" si="7"/>
        <v>Riley McElwain</v>
      </c>
      <c r="J157" t="str">
        <f>VLOOKUP(I157,'Manager Coding'!C:D,2,0)</f>
        <v>Riley</v>
      </c>
      <c r="K157" s="41">
        <f t="shared" si="8"/>
        <v>124.22</v>
      </c>
      <c r="L157">
        <f t="shared" si="9"/>
        <v>1</v>
      </c>
      <c r="M157">
        <f t="shared" si="10"/>
        <v>0</v>
      </c>
      <c r="N157" s="54" t="s">
        <v>590</v>
      </c>
      <c r="O157" s="55" t="s">
        <v>93</v>
      </c>
      <c r="P157" s="50">
        <v>126.1</v>
      </c>
      <c r="Q157" s="46">
        <v>124.22</v>
      </c>
      <c r="R157" s="48" t="s">
        <v>68</v>
      </c>
      <c r="S157" s="54" t="s">
        <v>610</v>
      </c>
      <c r="T157">
        <f t="shared" si="11"/>
        <v>1.88</v>
      </c>
    </row>
    <row r="158" hidden="1">
      <c r="A158" s="32" t="str">
        <f t="shared" si="1"/>
        <v>2018KnardDawgWeek 4</v>
      </c>
      <c r="B158" s="32" t="str">
        <f t="shared" si="2"/>
        <v>2018BuserWeek 4</v>
      </c>
      <c r="C158" s="32" t="str">
        <f t="shared" si="3"/>
        <v>Week 4</v>
      </c>
      <c r="D158" s="32">
        <v>2018.0</v>
      </c>
      <c r="E158" t="str">
        <f t="shared" si="4"/>
        <v>4</v>
      </c>
      <c r="F158" t="str">
        <f t="shared" si="5"/>
        <v>Alex Kinniard, Jack Reilly</v>
      </c>
      <c r="G158" s="40" t="str">
        <f>VLOOKUP(F158,'Manager Coding'!C:D,2,0)</f>
        <v>KnardDawg</v>
      </c>
      <c r="H158" s="41">
        <f t="shared" si="6"/>
        <v>100.28</v>
      </c>
      <c r="I158" t="str">
        <f t="shared" si="7"/>
        <v>Ed Buser</v>
      </c>
      <c r="J158" t="str">
        <f>VLOOKUP(I158,'Manager Coding'!C:D,2,0)</f>
        <v>Buser</v>
      </c>
      <c r="K158" s="41">
        <f t="shared" si="8"/>
        <v>89.38</v>
      </c>
      <c r="L158">
        <f t="shared" si="9"/>
        <v>1</v>
      </c>
      <c r="M158">
        <f t="shared" si="10"/>
        <v>0</v>
      </c>
      <c r="N158" s="54" t="s">
        <v>585</v>
      </c>
      <c r="O158" s="55" t="s">
        <v>87</v>
      </c>
      <c r="P158" s="50">
        <v>100.28</v>
      </c>
      <c r="Q158" s="46">
        <v>89.38</v>
      </c>
      <c r="R158" s="48" t="s">
        <v>50</v>
      </c>
      <c r="S158" s="54" t="s">
        <v>611</v>
      </c>
      <c r="T158">
        <f t="shared" si="11"/>
        <v>10.9</v>
      </c>
    </row>
    <row r="159" hidden="1">
      <c r="A159" s="32" t="str">
        <f t="shared" si="1"/>
        <v>2018HudspeathWeek 4</v>
      </c>
      <c r="B159" s="32" t="str">
        <f t="shared" si="2"/>
        <v>2018T-HowWeek 4</v>
      </c>
      <c r="C159" s="32" t="str">
        <f t="shared" si="3"/>
        <v>Week 4</v>
      </c>
      <c r="D159" s="32">
        <v>2018.0</v>
      </c>
      <c r="E159" t="str">
        <f t="shared" si="4"/>
        <v>4</v>
      </c>
      <c r="F159" t="str">
        <f t="shared" si="5"/>
        <v>matt hudspeath</v>
      </c>
      <c r="G159" s="40" t="str">
        <f>VLOOKUP(F159,'Manager Coding'!C:D,2,0)</f>
        <v>Hudspeath</v>
      </c>
      <c r="H159" s="41">
        <f t="shared" si="6"/>
        <v>84.16</v>
      </c>
      <c r="I159" t="str">
        <f t="shared" si="7"/>
        <v>Tyler Howard</v>
      </c>
      <c r="J159" t="str">
        <f>VLOOKUP(I159,'Manager Coding'!C:D,2,0)</f>
        <v>T-How</v>
      </c>
      <c r="K159" s="41">
        <f t="shared" si="8"/>
        <v>141.36</v>
      </c>
      <c r="L159">
        <f t="shared" si="9"/>
        <v>0</v>
      </c>
      <c r="M159">
        <f t="shared" si="10"/>
        <v>1</v>
      </c>
      <c r="N159" s="54" t="s">
        <v>591</v>
      </c>
      <c r="O159" s="55" t="s">
        <v>64</v>
      </c>
      <c r="P159" s="50">
        <v>84.16</v>
      </c>
      <c r="Q159" s="46">
        <v>141.36</v>
      </c>
      <c r="R159" s="48" t="s">
        <v>85</v>
      </c>
      <c r="S159" s="54" t="s">
        <v>609</v>
      </c>
      <c r="T159">
        <f t="shared" si="11"/>
        <v>57.2</v>
      </c>
    </row>
    <row r="160" hidden="1">
      <c r="A160" s="32" t="str">
        <f t="shared" si="1"/>
        <v>2018ShepWeek 4</v>
      </c>
      <c r="B160" s="32" t="str">
        <f t="shared" si="2"/>
        <v>2018CockWeek 4</v>
      </c>
      <c r="C160" s="32" t="str">
        <f t="shared" si="3"/>
        <v>Week 4</v>
      </c>
      <c r="D160" s="32">
        <v>2018.0</v>
      </c>
      <c r="E160" t="str">
        <f t="shared" si="4"/>
        <v>4</v>
      </c>
      <c r="F160" t="str">
        <f t="shared" si="5"/>
        <v>Jordan Shepherd</v>
      </c>
      <c r="G160" s="40" t="str">
        <f>VLOOKUP(F160,'Manager Coding'!C:D,2,0)</f>
        <v>Shep</v>
      </c>
      <c r="H160" s="41">
        <f t="shared" si="6"/>
        <v>121.56</v>
      </c>
      <c r="I160" t="str">
        <f t="shared" si="7"/>
        <v>Jack Babcock, Chris Cochrane</v>
      </c>
      <c r="J160" t="str">
        <f>VLOOKUP(I160,'Manager Coding'!C:D,2,0)</f>
        <v>Cock</v>
      </c>
      <c r="K160" s="41">
        <f t="shared" si="8"/>
        <v>124.58</v>
      </c>
      <c r="L160">
        <f t="shared" si="9"/>
        <v>0</v>
      </c>
      <c r="M160">
        <f t="shared" si="10"/>
        <v>1</v>
      </c>
      <c r="N160" s="54" t="s">
        <v>595</v>
      </c>
      <c r="O160" s="55" t="s">
        <v>91</v>
      </c>
      <c r="P160" s="50">
        <v>121.56</v>
      </c>
      <c r="Q160" s="46">
        <v>124.58</v>
      </c>
      <c r="R160" s="48" t="s">
        <v>73</v>
      </c>
      <c r="S160" s="54" t="s">
        <v>603</v>
      </c>
      <c r="T160">
        <f t="shared" si="11"/>
        <v>3.02</v>
      </c>
    </row>
    <row r="161" hidden="1">
      <c r="A161" s="32" t="str">
        <f t="shared" si="1"/>
        <v>#N/A</v>
      </c>
      <c r="B161" s="32" t="str">
        <f t="shared" si="2"/>
        <v>#N/A</v>
      </c>
      <c r="C161" s="32" t="str">
        <f t="shared" si="3"/>
        <v>Week 4</v>
      </c>
      <c r="D161" s="32">
        <v>2018.0</v>
      </c>
      <c r="E161" t="str">
        <f t="shared" si="4"/>
        <v>4</v>
      </c>
      <c r="F161" t="str">
        <f t="shared" si="5"/>
        <v/>
      </c>
      <c r="G161" s="40" t="str">
        <f>VLOOKUP(F161,'Manager Coding'!C:D,2,0)</f>
        <v>#N/A</v>
      </c>
      <c r="H161" s="41" t="str">
        <f t="shared" si="6"/>
        <v/>
      </c>
      <c r="I161" t="str">
        <f t="shared" si="7"/>
        <v/>
      </c>
      <c r="J161" t="str">
        <f>VLOOKUP(I161,'Manager Coding'!C:D,2,0)</f>
        <v>#N/A</v>
      </c>
      <c r="K161" s="41" t="str">
        <f t="shared" si="8"/>
        <v/>
      </c>
      <c r="L161">
        <f t="shared" si="9"/>
        <v>0</v>
      </c>
      <c r="M161">
        <f t="shared" si="10"/>
        <v>0</v>
      </c>
      <c r="N161" s="53" t="s">
        <v>291</v>
      </c>
      <c r="P161" s="41"/>
      <c r="Q161" s="41"/>
      <c r="T161">
        <f t="shared" si="11"/>
        <v>0</v>
      </c>
    </row>
    <row r="162" hidden="1">
      <c r="A162" s="32" t="str">
        <f t="shared" si="1"/>
        <v>#N/A</v>
      </c>
      <c r="B162" s="32" t="str">
        <f t="shared" si="2"/>
        <v>#N/A</v>
      </c>
      <c r="C162" s="32" t="str">
        <f t="shared" si="3"/>
        <v>Week 5</v>
      </c>
      <c r="D162" s="32">
        <v>2018.0</v>
      </c>
      <c r="E162" t="str">
        <f t="shared" si="4"/>
        <v>5</v>
      </c>
      <c r="F162" t="str">
        <f t="shared" si="5"/>
        <v>TEAM MANAGER(S)</v>
      </c>
      <c r="G162" s="40" t="str">
        <f>VLOOKUP(F162,'Manager Coding'!C:D,2,0)</f>
        <v>#N/A</v>
      </c>
      <c r="H162" s="41" t="str">
        <f t="shared" si="6"/>
        <v>SCORE</v>
      </c>
      <c r="I162" t="str">
        <f t="shared" si="7"/>
        <v>TEAM MANAGER(S)</v>
      </c>
      <c r="J162" t="str">
        <f>VLOOKUP(I162,'Manager Coding'!C:D,2,0)</f>
        <v>#N/A</v>
      </c>
      <c r="K162" s="41" t="str">
        <f t="shared" si="8"/>
        <v>SCORE</v>
      </c>
      <c r="L162">
        <f t="shared" si="9"/>
        <v>0</v>
      </c>
      <c r="M162">
        <f t="shared" si="10"/>
        <v>0</v>
      </c>
      <c r="N162" s="24" t="s">
        <v>197</v>
      </c>
      <c r="O162" s="24" t="s">
        <v>88</v>
      </c>
      <c r="P162" s="26" t="s">
        <v>94</v>
      </c>
      <c r="Q162" s="27" t="s">
        <v>94</v>
      </c>
      <c r="R162" s="30" t="s">
        <v>88</v>
      </c>
      <c r="S162" s="30" t="s">
        <v>101</v>
      </c>
      <c r="T162">
        <f t="shared" si="11"/>
        <v>0</v>
      </c>
    </row>
    <row r="163" hidden="1">
      <c r="A163" s="32" t="str">
        <f t="shared" si="1"/>
        <v>2018SaltyWeek 5</v>
      </c>
      <c r="B163" s="32" t="str">
        <f t="shared" si="2"/>
        <v>2018Rooney/JacksonWeek 5</v>
      </c>
      <c r="C163" s="32" t="str">
        <f t="shared" si="3"/>
        <v>Week 5</v>
      </c>
      <c r="D163" s="32">
        <v>2018.0</v>
      </c>
      <c r="E163" t="str">
        <f t="shared" si="4"/>
        <v>5</v>
      </c>
      <c r="F163" t="str">
        <f t="shared" si="5"/>
        <v>R Saltiel</v>
      </c>
      <c r="G163" s="40" t="str">
        <f>VLOOKUP(F163,'Manager Coding'!C:D,2,0)</f>
        <v>Salty</v>
      </c>
      <c r="H163" s="41">
        <f t="shared" si="6"/>
        <v>124.44</v>
      </c>
      <c r="I163" t="str">
        <f t="shared" si="7"/>
        <v>Stephen Rooney, Jackson Sattell</v>
      </c>
      <c r="J163" t="str">
        <f>VLOOKUP(I163,'Manager Coding'!C:D,2,0)</f>
        <v>Rooney/Jackson</v>
      </c>
      <c r="K163" s="41">
        <f t="shared" si="8"/>
        <v>90</v>
      </c>
      <c r="L163">
        <f t="shared" si="9"/>
        <v>1</v>
      </c>
      <c r="M163">
        <f t="shared" si="10"/>
        <v>0</v>
      </c>
      <c r="N163" s="54" t="s">
        <v>584</v>
      </c>
      <c r="O163" s="55" t="s">
        <v>77</v>
      </c>
      <c r="P163" s="50">
        <v>124.44</v>
      </c>
      <c r="Q163" s="46">
        <v>90.0</v>
      </c>
      <c r="R163" s="48" t="s">
        <v>58</v>
      </c>
      <c r="S163" s="54" t="s">
        <v>605</v>
      </c>
      <c r="T163">
        <f t="shared" si="11"/>
        <v>34.44</v>
      </c>
    </row>
    <row r="164" hidden="1">
      <c r="A164" s="32" t="str">
        <f t="shared" si="1"/>
        <v>2018RileyWeek 5</v>
      </c>
      <c r="B164" s="32" t="str">
        <f t="shared" si="2"/>
        <v>2018FellowsWeek 5</v>
      </c>
      <c r="C164" s="32" t="str">
        <f t="shared" si="3"/>
        <v>Week 5</v>
      </c>
      <c r="D164" s="32">
        <v>2018.0</v>
      </c>
      <c r="E164" t="str">
        <f t="shared" si="4"/>
        <v>5</v>
      </c>
      <c r="F164" t="str">
        <f t="shared" si="5"/>
        <v>Riley McElwain</v>
      </c>
      <c r="G164" s="40" t="str">
        <f>VLOOKUP(F164,'Manager Coding'!C:D,2,0)</f>
        <v>Riley</v>
      </c>
      <c r="H164" s="41">
        <f t="shared" si="6"/>
        <v>92.58</v>
      </c>
      <c r="I164" t="str">
        <f t="shared" si="7"/>
        <v>Michael Fellows</v>
      </c>
      <c r="J164" t="str">
        <f>VLOOKUP(I164,'Manager Coding'!C:D,2,0)</f>
        <v>Fellows</v>
      </c>
      <c r="K164" s="41">
        <f t="shared" si="8"/>
        <v>80.6</v>
      </c>
      <c r="L164">
        <f t="shared" si="9"/>
        <v>1</v>
      </c>
      <c r="M164">
        <f t="shared" si="10"/>
        <v>0</v>
      </c>
      <c r="N164" s="54" t="s">
        <v>610</v>
      </c>
      <c r="O164" s="55" t="s">
        <v>68</v>
      </c>
      <c r="P164" s="50">
        <v>92.58</v>
      </c>
      <c r="Q164" s="46">
        <v>80.6</v>
      </c>
      <c r="R164" s="48" t="s">
        <v>80</v>
      </c>
      <c r="S164" s="54" t="s">
        <v>602</v>
      </c>
      <c r="T164">
        <f t="shared" si="11"/>
        <v>11.98</v>
      </c>
    </row>
    <row r="165" hidden="1">
      <c r="A165" s="32" t="str">
        <f t="shared" si="1"/>
        <v>2018BuserWeek 5</v>
      </c>
      <c r="B165" s="32" t="str">
        <f t="shared" si="2"/>
        <v>2018TayskiWeek 5</v>
      </c>
      <c r="C165" s="32" t="str">
        <f t="shared" si="3"/>
        <v>Week 5</v>
      </c>
      <c r="D165" s="32">
        <v>2018.0</v>
      </c>
      <c r="E165" t="str">
        <f t="shared" si="4"/>
        <v>5</v>
      </c>
      <c r="F165" t="str">
        <f t="shared" si="5"/>
        <v>Ed Buser</v>
      </c>
      <c r="G165" s="40" t="str">
        <f>VLOOKUP(F165,'Manager Coding'!C:D,2,0)</f>
        <v>Buser</v>
      </c>
      <c r="H165" s="41">
        <f t="shared" si="6"/>
        <v>93.12</v>
      </c>
      <c r="I165" t="str">
        <f t="shared" si="7"/>
        <v>Taylor Weis</v>
      </c>
      <c r="J165" t="str">
        <f>VLOOKUP(I165,'Manager Coding'!C:D,2,0)</f>
        <v>Tayski</v>
      </c>
      <c r="K165" s="41">
        <f t="shared" si="8"/>
        <v>50.06</v>
      </c>
      <c r="L165">
        <f t="shared" si="9"/>
        <v>1</v>
      </c>
      <c r="M165">
        <f t="shared" si="10"/>
        <v>0</v>
      </c>
      <c r="N165" s="54" t="s">
        <v>611</v>
      </c>
      <c r="O165" s="55" t="s">
        <v>50</v>
      </c>
      <c r="P165" s="50">
        <v>93.12</v>
      </c>
      <c r="Q165" s="46">
        <v>50.06</v>
      </c>
      <c r="R165" s="48" t="s">
        <v>54</v>
      </c>
      <c r="S165" s="54" t="s">
        <v>594</v>
      </c>
      <c r="T165">
        <f t="shared" si="11"/>
        <v>43.06</v>
      </c>
    </row>
    <row r="166" hidden="1">
      <c r="A166" s="32" t="str">
        <f t="shared" si="1"/>
        <v>2018T-HowWeek 5</v>
      </c>
      <c r="B166" s="32" t="str">
        <f t="shared" si="2"/>
        <v>2018PiersonWeek 5</v>
      </c>
      <c r="C166" s="32" t="str">
        <f t="shared" si="3"/>
        <v>Week 5</v>
      </c>
      <c r="D166" s="32">
        <v>2018.0</v>
      </c>
      <c r="E166" t="str">
        <f t="shared" si="4"/>
        <v>5</v>
      </c>
      <c r="F166" t="str">
        <f t="shared" si="5"/>
        <v>Tyler Howard</v>
      </c>
      <c r="G166" s="40" t="str">
        <f>VLOOKUP(F166,'Manager Coding'!C:D,2,0)</f>
        <v>T-How</v>
      </c>
      <c r="H166" s="41">
        <f t="shared" si="6"/>
        <v>112.24</v>
      </c>
      <c r="I166" t="str">
        <f t="shared" si="7"/>
        <v>Pierson Curtis</v>
      </c>
      <c r="J166" t="str">
        <f>VLOOKUP(I166,'Manager Coding'!C:D,2,0)</f>
        <v>Pierson</v>
      </c>
      <c r="K166" s="41">
        <f t="shared" si="8"/>
        <v>85.66</v>
      </c>
      <c r="L166">
        <f t="shared" si="9"/>
        <v>1</v>
      </c>
      <c r="M166">
        <f t="shared" si="10"/>
        <v>0</v>
      </c>
      <c r="N166" s="54" t="s">
        <v>609</v>
      </c>
      <c r="O166" s="55" t="s">
        <v>85</v>
      </c>
      <c r="P166" s="50">
        <v>112.24</v>
      </c>
      <c r="Q166" s="46">
        <v>85.66</v>
      </c>
      <c r="R166" s="48" t="s">
        <v>93</v>
      </c>
      <c r="S166" s="54" t="s">
        <v>590</v>
      </c>
      <c r="T166">
        <f t="shared" si="11"/>
        <v>26.58</v>
      </c>
    </row>
    <row r="167" hidden="1">
      <c r="A167" s="32" t="str">
        <f t="shared" si="1"/>
        <v>2018CockWeek 5</v>
      </c>
      <c r="B167" s="32" t="str">
        <f t="shared" si="2"/>
        <v>2018KnardDawgWeek 5</v>
      </c>
      <c r="C167" s="32" t="str">
        <f t="shared" si="3"/>
        <v>Week 5</v>
      </c>
      <c r="D167" s="32">
        <v>2018.0</v>
      </c>
      <c r="E167" t="str">
        <f t="shared" si="4"/>
        <v>5</v>
      </c>
      <c r="F167" t="str">
        <f t="shared" si="5"/>
        <v>Jack Babcock, Chris Cochrane</v>
      </c>
      <c r="G167" s="40" t="str">
        <f>VLOOKUP(F167,'Manager Coding'!C:D,2,0)</f>
        <v>Cock</v>
      </c>
      <c r="H167" s="41">
        <f t="shared" si="6"/>
        <v>99.34</v>
      </c>
      <c r="I167" t="str">
        <f t="shared" si="7"/>
        <v>Alex Kinniard, Jack Reilly</v>
      </c>
      <c r="J167" t="str">
        <f>VLOOKUP(I167,'Manager Coding'!C:D,2,0)</f>
        <v>KnardDawg</v>
      </c>
      <c r="K167" s="41">
        <f t="shared" si="8"/>
        <v>103.22</v>
      </c>
      <c r="L167">
        <f t="shared" si="9"/>
        <v>0</v>
      </c>
      <c r="M167">
        <f t="shared" si="10"/>
        <v>1</v>
      </c>
      <c r="N167" s="54" t="s">
        <v>603</v>
      </c>
      <c r="O167" s="55" t="s">
        <v>73</v>
      </c>
      <c r="P167" s="50">
        <v>99.34</v>
      </c>
      <c r="Q167" s="46">
        <v>103.22</v>
      </c>
      <c r="R167" s="48" t="s">
        <v>87</v>
      </c>
      <c r="S167" s="54" t="s">
        <v>585</v>
      </c>
      <c r="T167">
        <f t="shared" si="11"/>
        <v>3.88</v>
      </c>
    </row>
    <row r="168" hidden="1">
      <c r="A168" s="32" t="str">
        <f t="shared" si="1"/>
        <v>2018ShepWeek 5</v>
      </c>
      <c r="B168" s="32" t="str">
        <f t="shared" si="2"/>
        <v>2018HudspeathWeek 5</v>
      </c>
      <c r="C168" s="32" t="str">
        <f t="shared" si="3"/>
        <v>Week 5</v>
      </c>
      <c r="D168" s="32">
        <v>2018.0</v>
      </c>
      <c r="E168" t="str">
        <f t="shared" si="4"/>
        <v>5</v>
      </c>
      <c r="F168" t="str">
        <f t="shared" si="5"/>
        <v>Jordan Shepherd</v>
      </c>
      <c r="G168" s="40" t="str">
        <f>VLOOKUP(F168,'Manager Coding'!C:D,2,0)</f>
        <v>Shep</v>
      </c>
      <c r="H168" s="41">
        <f t="shared" si="6"/>
        <v>153.28</v>
      </c>
      <c r="I168" t="str">
        <f t="shared" si="7"/>
        <v>matt hudspeath</v>
      </c>
      <c r="J168" t="str">
        <f>VLOOKUP(I168,'Manager Coding'!C:D,2,0)</f>
        <v>Hudspeath</v>
      </c>
      <c r="K168" s="41">
        <f t="shared" si="8"/>
        <v>93.78</v>
      </c>
      <c r="L168">
        <f t="shared" si="9"/>
        <v>1</v>
      </c>
      <c r="M168">
        <f t="shared" si="10"/>
        <v>0</v>
      </c>
      <c r="N168" s="54" t="s">
        <v>595</v>
      </c>
      <c r="O168" s="55" t="s">
        <v>91</v>
      </c>
      <c r="P168" s="50">
        <v>153.28</v>
      </c>
      <c r="Q168" s="46">
        <v>93.78</v>
      </c>
      <c r="R168" s="48" t="s">
        <v>64</v>
      </c>
      <c r="S168" s="54" t="s">
        <v>591</v>
      </c>
      <c r="T168">
        <f t="shared" si="11"/>
        <v>59.5</v>
      </c>
    </row>
    <row r="169" hidden="1">
      <c r="A169" s="32" t="str">
        <f t="shared" si="1"/>
        <v>#N/A</v>
      </c>
      <c r="B169" s="32" t="str">
        <f t="shared" si="2"/>
        <v>#N/A</v>
      </c>
      <c r="C169" s="32" t="str">
        <f t="shared" si="3"/>
        <v>Week 5</v>
      </c>
      <c r="D169" s="32">
        <v>2018.0</v>
      </c>
      <c r="E169" t="str">
        <f t="shared" si="4"/>
        <v>5</v>
      </c>
      <c r="F169" t="str">
        <f t="shared" si="5"/>
        <v/>
      </c>
      <c r="G169" s="40" t="str">
        <f>VLOOKUP(F169,'Manager Coding'!C:D,2,0)</f>
        <v>#N/A</v>
      </c>
      <c r="H169" s="41" t="str">
        <f t="shared" si="6"/>
        <v/>
      </c>
      <c r="I169" t="str">
        <f t="shared" si="7"/>
        <v/>
      </c>
      <c r="J169" t="str">
        <f>VLOOKUP(I169,'Manager Coding'!C:D,2,0)</f>
        <v>#N/A</v>
      </c>
      <c r="K169" s="41" t="str">
        <f t="shared" si="8"/>
        <v/>
      </c>
      <c r="L169">
        <f t="shared" si="9"/>
        <v>0</v>
      </c>
      <c r="M169">
        <f t="shared" si="10"/>
        <v>0</v>
      </c>
      <c r="N169" s="53" t="s">
        <v>321</v>
      </c>
      <c r="P169" s="41"/>
      <c r="Q169" s="41"/>
      <c r="T169">
        <f t="shared" si="11"/>
        <v>0</v>
      </c>
    </row>
    <row r="170" hidden="1">
      <c r="A170" s="32" t="str">
        <f t="shared" si="1"/>
        <v>#N/A</v>
      </c>
      <c r="B170" s="32" t="str">
        <f t="shared" si="2"/>
        <v>#N/A</v>
      </c>
      <c r="C170" s="32" t="str">
        <f t="shared" si="3"/>
        <v>Week 6</v>
      </c>
      <c r="D170" s="32">
        <v>2018.0</v>
      </c>
      <c r="E170" t="str">
        <f t="shared" si="4"/>
        <v>6</v>
      </c>
      <c r="F170" t="str">
        <f t="shared" si="5"/>
        <v>TEAM MANAGER(S)</v>
      </c>
      <c r="G170" s="40" t="str">
        <f>VLOOKUP(F170,'Manager Coding'!C:D,2,0)</f>
        <v>#N/A</v>
      </c>
      <c r="H170" s="41" t="str">
        <f t="shared" si="6"/>
        <v>SCORE</v>
      </c>
      <c r="I170" t="str">
        <f t="shared" si="7"/>
        <v>TEAM MANAGER(S)</v>
      </c>
      <c r="J170" t="str">
        <f>VLOOKUP(I170,'Manager Coding'!C:D,2,0)</f>
        <v>#N/A</v>
      </c>
      <c r="K170" s="41" t="str">
        <f t="shared" si="8"/>
        <v>SCORE</v>
      </c>
      <c r="L170">
        <f t="shared" si="9"/>
        <v>0</v>
      </c>
      <c r="M170">
        <f t="shared" si="10"/>
        <v>0</v>
      </c>
      <c r="N170" s="24" t="s">
        <v>197</v>
      </c>
      <c r="O170" s="24" t="s">
        <v>88</v>
      </c>
      <c r="P170" s="26" t="s">
        <v>94</v>
      </c>
      <c r="Q170" s="27" t="s">
        <v>94</v>
      </c>
      <c r="R170" s="30" t="s">
        <v>88</v>
      </c>
      <c r="S170" s="30" t="s">
        <v>101</v>
      </c>
      <c r="T170">
        <f t="shared" si="11"/>
        <v>0</v>
      </c>
    </row>
    <row r="171" hidden="1">
      <c r="A171" s="32" t="str">
        <f t="shared" si="1"/>
        <v>2018RileyWeek 6</v>
      </c>
      <c r="B171" s="32" t="str">
        <f t="shared" si="2"/>
        <v>2018SaltyWeek 6</v>
      </c>
      <c r="C171" s="32" t="str">
        <f t="shared" si="3"/>
        <v>Week 6</v>
      </c>
      <c r="D171" s="32">
        <v>2018.0</v>
      </c>
      <c r="E171" t="str">
        <f t="shared" si="4"/>
        <v>6</v>
      </c>
      <c r="F171" t="str">
        <f t="shared" si="5"/>
        <v>Riley McElwain</v>
      </c>
      <c r="G171" s="40" t="str">
        <f>VLOOKUP(F171,'Manager Coding'!C:D,2,0)</f>
        <v>Riley</v>
      </c>
      <c r="H171" s="41">
        <f t="shared" si="6"/>
        <v>116.6</v>
      </c>
      <c r="I171" t="str">
        <f t="shared" si="7"/>
        <v>R Saltiel</v>
      </c>
      <c r="J171" t="str">
        <f>VLOOKUP(I171,'Manager Coding'!C:D,2,0)</f>
        <v>Salty</v>
      </c>
      <c r="K171" s="41">
        <f t="shared" si="8"/>
        <v>160.42</v>
      </c>
      <c r="L171">
        <f t="shared" si="9"/>
        <v>0</v>
      </c>
      <c r="M171">
        <f t="shared" si="10"/>
        <v>1</v>
      </c>
      <c r="N171" s="54" t="s">
        <v>610</v>
      </c>
      <c r="O171" s="55" t="s">
        <v>68</v>
      </c>
      <c r="P171" s="50">
        <v>116.6</v>
      </c>
      <c r="Q171" s="46">
        <v>160.42</v>
      </c>
      <c r="R171" s="48" t="s">
        <v>77</v>
      </c>
      <c r="S171" s="54" t="s">
        <v>584</v>
      </c>
      <c r="T171">
        <f t="shared" si="11"/>
        <v>43.82</v>
      </c>
    </row>
    <row r="172" hidden="1">
      <c r="A172" s="32" t="str">
        <f t="shared" si="1"/>
        <v>2018Rooney/JacksonWeek 6</v>
      </c>
      <c r="B172" s="32" t="str">
        <f t="shared" si="2"/>
        <v>2018BuserWeek 6</v>
      </c>
      <c r="C172" s="32" t="str">
        <f t="shared" si="3"/>
        <v>Week 6</v>
      </c>
      <c r="D172" s="32">
        <v>2018.0</v>
      </c>
      <c r="E172" t="str">
        <f t="shared" si="4"/>
        <v>6</v>
      </c>
      <c r="F172" t="str">
        <f t="shared" si="5"/>
        <v>Stephen Rooney, Jackson Sattell</v>
      </c>
      <c r="G172" s="40" t="str">
        <f>VLOOKUP(F172,'Manager Coding'!C:D,2,0)</f>
        <v>Rooney/Jackson</v>
      </c>
      <c r="H172" s="41">
        <f t="shared" si="6"/>
        <v>72.2</v>
      </c>
      <c r="I172" t="str">
        <f t="shared" si="7"/>
        <v>Ed Buser</v>
      </c>
      <c r="J172" t="str">
        <f>VLOOKUP(I172,'Manager Coding'!C:D,2,0)</f>
        <v>Buser</v>
      </c>
      <c r="K172" s="41">
        <f t="shared" si="8"/>
        <v>85.92</v>
      </c>
      <c r="L172">
        <f t="shared" si="9"/>
        <v>0</v>
      </c>
      <c r="M172">
        <f t="shared" si="10"/>
        <v>1</v>
      </c>
      <c r="N172" s="54" t="s">
        <v>605</v>
      </c>
      <c r="O172" s="55" t="s">
        <v>58</v>
      </c>
      <c r="P172" s="50">
        <v>72.2</v>
      </c>
      <c r="Q172" s="46">
        <v>85.92</v>
      </c>
      <c r="R172" s="48" t="s">
        <v>50</v>
      </c>
      <c r="S172" s="54" t="s">
        <v>611</v>
      </c>
      <c r="T172">
        <f t="shared" si="11"/>
        <v>13.72</v>
      </c>
    </row>
    <row r="173" hidden="1">
      <c r="A173" s="32" t="str">
        <f t="shared" si="1"/>
        <v>2018FellowsWeek 6</v>
      </c>
      <c r="B173" s="32" t="str">
        <f t="shared" si="2"/>
        <v>2018T-HowWeek 6</v>
      </c>
      <c r="C173" s="32" t="str">
        <f t="shared" si="3"/>
        <v>Week 6</v>
      </c>
      <c r="D173" s="32">
        <v>2018.0</v>
      </c>
      <c r="E173" t="str">
        <f t="shared" si="4"/>
        <v>6</v>
      </c>
      <c r="F173" t="str">
        <f t="shared" si="5"/>
        <v>Michael Fellows</v>
      </c>
      <c r="G173" s="40" t="str">
        <f>VLOOKUP(F173,'Manager Coding'!C:D,2,0)</f>
        <v>Fellows</v>
      </c>
      <c r="H173" s="41">
        <f t="shared" si="6"/>
        <v>61.98</v>
      </c>
      <c r="I173" t="str">
        <f t="shared" si="7"/>
        <v>Tyler Howard</v>
      </c>
      <c r="J173" t="str">
        <f>VLOOKUP(I173,'Manager Coding'!C:D,2,0)</f>
        <v>T-How</v>
      </c>
      <c r="K173" s="41">
        <f t="shared" si="8"/>
        <v>104.3</v>
      </c>
      <c r="L173">
        <f t="shared" si="9"/>
        <v>0</v>
      </c>
      <c r="M173">
        <f t="shared" si="10"/>
        <v>1</v>
      </c>
      <c r="N173" s="54" t="s">
        <v>602</v>
      </c>
      <c r="O173" s="55" t="s">
        <v>80</v>
      </c>
      <c r="P173" s="50">
        <v>61.98</v>
      </c>
      <c r="Q173" s="46">
        <v>104.3</v>
      </c>
      <c r="R173" s="48" t="s">
        <v>85</v>
      </c>
      <c r="S173" s="54" t="s">
        <v>609</v>
      </c>
      <c r="T173">
        <f t="shared" si="11"/>
        <v>42.32</v>
      </c>
    </row>
    <row r="174" hidden="1">
      <c r="A174" s="32" t="str">
        <f t="shared" si="1"/>
        <v>2018TayskiWeek 6</v>
      </c>
      <c r="B174" s="32" t="str">
        <f t="shared" si="2"/>
        <v>2018CockWeek 6</v>
      </c>
      <c r="C174" s="32" t="str">
        <f t="shared" si="3"/>
        <v>Week 6</v>
      </c>
      <c r="D174" s="32">
        <v>2018.0</v>
      </c>
      <c r="E174" t="str">
        <f t="shared" si="4"/>
        <v>6</v>
      </c>
      <c r="F174" t="str">
        <f t="shared" si="5"/>
        <v>Taylor Weis</v>
      </c>
      <c r="G174" s="40" t="str">
        <f>VLOOKUP(F174,'Manager Coding'!C:D,2,0)</f>
        <v>Tayski</v>
      </c>
      <c r="H174" s="41">
        <f t="shared" si="6"/>
        <v>85.04</v>
      </c>
      <c r="I174" t="str">
        <f t="shared" si="7"/>
        <v>Jack Babcock, Chris Cochrane</v>
      </c>
      <c r="J174" t="str">
        <f>VLOOKUP(I174,'Manager Coding'!C:D,2,0)</f>
        <v>Cock</v>
      </c>
      <c r="K174" s="41">
        <f t="shared" si="8"/>
        <v>97.92</v>
      </c>
      <c r="L174">
        <f t="shared" si="9"/>
        <v>0</v>
      </c>
      <c r="M174">
        <f t="shared" si="10"/>
        <v>1</v>
      </c>
      <c r="N174" s="54" t="s">
        <v>594</v>
      </c>
      <c r="O174" s="55" t="s">
        <v>54</v>
      </c>
      <c r="P174" s="50">
        <v>85.04</v>
      </c>
      <c r="Q174" s="46">
        <v>97.92</v>
      </c>
      <c r="R174" s="48" t="s">
        <v>73</v>
      </c>
      <c r="S174" s="54" t="s">
        <v>603</v>
      </c>
      <c r="T174">
        <f t="shared" si="11"/>
        <v>12.88</v>
      </c>
    </row>
    <row r="175" hidden="1">
      <c r="A175" s="32" t="str">
        <f t="shared" si="1"/>
        <v>2018PiersonWeek 6</v>
      </c>
      <c r="B175" s="32" t="str">
        <f t="shared" si="2"/>
        <v>2018ShepWeek 6</v>
      </c>
      <c r="C175" s="32" t="str">
        <f t="shared" si="3"/>
        <v>Week 6</v>
      </c>
      <c r="D175" s="32">
        <v>2018.0</v>
      </c>
      <c r="E175" t="str">
        <f t="shared" si="4"/>
        <v>6</v>
      </c>
      <c r="F175" t="str">
        <f t="shared" si="5"/>
        <v>Pierson Curtis</v>
      </c>
      <c r="G175" s="40" t="str">
        <f>VLOOKUP(F175,'Manager Coding'!C:D,2,0)</f>
        <v>Pierson</v>
      </c>
      <c r="H175" s="41">
        <f t="shared" si="6"/>
        <v>105.68</v>
      </c>
      <c r="I175" t="str">
        <f t="shared" si="7"/>
        <v>Jordan Shepherd</v>
      </c>
      <c r="J175" t="str">
        <f>VLOOKUP(I175,'Manager Coding'!C:D,2,0)</f>
        <v>Shep</v>
      </c>
      <c r="K175" s="41">
        <f t="shared" si="8"/>
        <v>102.28</v>
      </c>
      <c r="L175">
        <f t="shared" si="9"/>
        <v>1</v>
      </c>
      <c r="M175">
        <f t="shared" si="10"/>
        <v>0</v>
      </c>
      <c r="N175" s="54" t="s">
        <v>590</v>
      </c>
      <c r="O175" s="55" t="s">
        <v>93</v>
      </c>
      <c r="P175" s="50">
        <v>105.68</v>
      </c>
      <c r="Q175" s="46">
        <v>102.28</v>
      </c>
      <c r="R175" s="48" t="s">
        <v>91</v>
      </c>
      <c r="S175" s="54" t="s">
        <v>595</v>
      </c>
      <c r="T175">
        <f t="shared" si="11"/>
        <v>3.4</v>
      </c>
    </row>
    <row r="176" hidden="1">
      <c r="A176" s="32" t="str">
        <f t="shared" si="1"/>
        <v>2018KnardDawgWeek 6</v>
      </c>
      <c r="B176" s="32" t="str">
        <f t="shared" si="2"/>
        <v>2018HudspeathWeek 6</v>
      </c>
      <c r="C176" s="32" t="str">
        <f t="shared" si="3"/>
        <v>Week 6</v>
      </c>
      <c r="D176" s="32">
        <v>2018.0</v>
      </c>
      <c r="E176" t="str">
        <f t="shared" si="4"/>
        <v>6</v>
      </c>
      <c r="F176" t="str">
        <f t="shared" si="5"/>
        <v>Alex Kinniard, Jack Reilly</v>
      </c>
      <c r="G176" s="40" t="str">
        <f>VLOOKUP(F176,'Manager Coding'!C:D,2,0)</f>
        <v>KnardDawg</v>
      </c>
      <c r="H176" s="41">
        <f t="shared" si="6"/>
        <v>100.76</v>
      </c>
      <c r="I176" t="str">
        <f t="shared" si="7"/>
        <v>matt hudspeath</v>
      </c>
      <c r="J176" t="str">
        <f>VLOOKUP(I176,'Manager Coding'!C:D,2,0)</f>
        <v>Hudspeath</v>
      </c>
      <c r="K176" s="41">
        <f t="shared" si="8"/>
        <v>120.1</v>
      </c>
      <c r="L176">
        <f t="shared" si="9"/>
        <v>0</v>
      </c>
      <c r="M176">
        <f t="shared" si="10"/>
        <v>1</v>
      </c>
      <c r="N176" s="54" t="s">
        <v>585</v>
      </c>
      <c r="O176" s="55" t="s">
        <v>87</v>
      </c>
      <c r="P176" s="50">
        <v>100.76</v>
      </c>
      <c r="Q176" s="46">
        <v>120.1</v>
      </c>
      <c r="R176" s="48" t="s">
        <v>64</v>
      </c>
      <c r="S176" s="54" t="s">
        <v>591</v>
      </c>
      <c r="T176">
        <f t="shared" si="11"/>
        <v>19.34</v>
      </c>
    </row>
    <row r="177" hidden="1">
      <c r="A177" s="32" t="str">
        <f t="shared" si="1"/>
        <v>#N/A</v>
      </c>
      <c r="B177" s="32" t="str">
        <f t="shared" si="2"/>
        <v>#N/A</v>
      </c>
      <c r="C177" s="32" t="str">
        <f t="shared" si="3"/>
        <v>Week 6</v>
      </c>
      <c r="D177" s="32">
        <v>2018.0</v>
      </c>
      <c r="E177" t="str">
        <f t="shared" si="4"/>
        <v>6</v>
      </c>
      <c r="F177" t="str">
        <f t="shared" si="5"/>
        <v/>
      </c>
      <c r="G177" s="40" t="str">
        <f>VLOOKUP(F177,'Manager Coding'!C:D,2,0)</f>
        <v>#N/A</v>
      </c>
      <c r="H177" s="41" t="str">
        <f t="shared" si="6"/>
        <v/>
      </c>
      <c r="I177" t="str">
        <f t="shared" si="7"/>
        <v/>
      </c>
      <c r="J177" t="str">
        <f>VLOOKUP(I177,'Manager Coding'!C:D,2,0)</f>
        <v>#N/A</v>
      </c>
      <c r="K177" s="41" t="str">
        <f t="shared" si="8"/>
        <v/>
      </c>
      <c r="L177">
        <f t="shared" si="9"/>
        <v>0</v>
      </c>
      <c r="M177">
        <f t="shared" si="10"/>
        <v>0</v>
      </c>
      <c r="N177" s="53" t="s">
        <v>340</v>
      </c>
      <c r="P177" s="41"/>
      <c r="Q177" s="41"/>
      <c r="T177">
        <f t="shared" si="11"/>
        <v>0</v>
      </c>
    </row>
    <row r="178" hidden="1">
      <c r="A178" s="32" t="str">
        <f t="shared" si="1"/>
        <v>#N/A</v>
      </c>
      <c r="B178" s="32" t="str">
        <f t="shared" si="2"/>
        <v>#N/A</v>
      </c>
      <c r="C178" s="32" t="str">
        <f t="shared" si="3"/>
        <v>Week 7</v>
      </c>
      <c r="D178" s="32">
        <v>2018.0</v>
      </c>
      <c r="E178" t="str">
        <f t="shared" si="4"/>
        <v>7</v>
      </c>
      <c r="F178" t="str">
        <f t="shared" si="5"/>
        <v>TEAM MANAGER(S)</v>
      </c>
      <c r="G178" s="40" t="str">
        <f>VLOOKUP(F178,'Manager Coding'!C:D,2,0)</f>
        <v>#N/A</v>
      </c>
      <c r="H178" s="41" t="str">
        <f t="shared" si="6"/>
        <v>SCORE</v>
      </c>
      <c r="I178" t="str">
        <f t="shared" si="7"/>
        <v>TEAM MANAGER(S)</v>
      </c>
      <c r="J178" t="str">
        <f>VLOOKUP(I178,'Manager Coding'!C:D,2,0)</f>
        <v>#N/A</v>
      </c>
      <c r="K178" s="41" t="str">
        <f t="shared" si="8"/>
        <v>SCORE</v>
      </c>
      <c r="L178">
        <f t="shared" si="9"/>
        <v>0</v>
      </c>
      <c r="M178">
        <f t="shared" si="10"/>
        <v>0</v>
      </c>
      <c r="N178" s="24" t="s">
        <v>197</v>
      </c>
      <c r="O178" s="24" t="s">
        <v>88</v>
      </c>
      <c r="P178" s="26" t="s">
        <v>94</v>
      </c>
      <c r="Q178" s="27" t="s">
        <v>94</v>
      </c>
      <c r="R178" s="30" t="s">
        <v>88</v>
      </c>
      <c r="S178" s="30" t="s">
        <v>101</v>
      </c>
      <c r="T178">
        <f t="shared" si="11"/>
        <v>0</v>
      </c>
    </row>
    <row r="179" hidden="1">
      <c r="A179" s="32" t="str">
        <f t="shared" si="1"/>
        <v>2018SaltyWeek 7</v>
      </c>
      <c r="B179" s="32" t="str">
        <f t="shared" si="2"/>
        <v>2018BuserWeek 7</v>
      </c>
      <c r="C179" s="32" t="str">
        <f t="shared" si="3"/>
        <v>Week 7</v>
      </c>
      <c r="D179" s="32">
        <v>2018.0</v>
      </c>
      <c r="E179" t="str">
        <f t="shared" si="4"/>
        <v>7</v>
      </c>
      <c r="F179" t="str">
        <f t="shared" si="5"/>
        <v>R Saltiel</v>
      </c>
      <c r="G179" s="40" t="str">
        <f>VLOOKUP(F179,'Manager Coding'!C:D,2,0)</f>
        <v>Salty</v>
      </c>
      <c r="H179" s="41">
        <f t="shared" si="6"/>
        <v>130.2</v>
      </c>
      <c r="I179" t="str">
        <f t="shared" si="7"/>
        <v>Ed Buser</v>
      </c>
      <c r="J179" t="str">
        <f>VLOOKUP(I179,'Manager Coding'!C:D,2,0)</f>
        <v>Buser</v>
      </c>
      <c r="K179" s="41">
        <f t="shared" si="8"/>
        <v>99.96</v>
      </c>
      <c r="L179">
        <f t="shared" si="9"/>
        <v>1</v>
      </c>
      <c r="M179">
        <f t="shared" si="10"/>
        <v>0</v>
      </c>
      <c r="N179" s="54" t="s">
        <v>584</v>
      </c>
      <c r="O179" s="55" t="s">
        <v>77</v>
      </c>
      <c r="P179" s="50">
        <v>130.2</v>
      </c>
      <c r="Q179" s="46">
        <v>99.96</v>
      </c>
      <c r="R179" s="48" t="s">
        <v>50</v>
      </c>
      <c r="S179" s="54" t="s">
        <v>611</v>
      </c>
      <c r="T179">
        <f t="shared" si="11"/>
        <v>30.24</v>
      </c>
    </row>
    <row r="180" hidden="1">
      <c r="A180" s="32" t="str">
        <f t="shared" si="1"/>
        <v>2018T-HowWeek 7</v>
      </c>
      <c r="B180" s="32" t="str">
        <f t="shared" si="2"/>
        <v>2018RileyWeek 7</v>
      </c>
      <c r="C180" s="32" t="str">
        <f t="shared" si="3"/>
        <v>Week 7</v>
      </c>
      <c r="D180" s="32">
        <v>2018.0</v>
      </c>
      <c r="E180" t="str">
        <f t="shared" si="4"/>
        <v>7</v>
      </c>
      <c r="F180" t="str">
        <f t="shared" si="5"/>
        <v>Tyler Howard</v>
      </c>
      <c r="G180" s="40" t="str">
        <f>VLOOKUP(F180,'Manager Coding'!C:D,2,0)</f>
        <v>T-How</v>
      </c>
      <c r="H180" s="41">
        <f t="shared" si="6"/>
        <v>137.38</v>
      </c>
      <c r="I180" t="str">
        <f t="shared" si="7"/>
        <v>Riley McElwain</v>
      </c>
      <c r="J180" t="str">
        <f>VLOOKUP(I180,'Manager Coding'!C:D,2,0)</f>
        <v>Riley</v>
      </c>
      <c r="K180" s="41">
        <f t="shared" si="8"/>
        <v>86.02</v>
      </c>
      <c r="L180">
        <f t="shared" si="9"/>
        <v>1</v>
      </c>
      <c r="M180">
        <f t="shared" si="10"/>
        <v>0</v>
      </c>
      <c r="N180" s="54" t="s">
        <v>609</v>
      </c>
      <c r="O180" s="55" t="s">
        <v>85</v>
      </c>
      <c r="P180" s="50">
        <v>137.38</v>
      </c>
      <c r="Q180" s="46">
        <v>86.02</v>
      </c>
      <c r="R180" s="48" t="s">
        <v>68</v>
      </c>
      <c r="S180" s="54" t="s">
        <v>610</v>
      </c>
      <c r="T180">
        <f t="shared" si="11"/>
        <v>51.36</v>
      </c>
    </row>
    <row r="181" hidden="1">
      <c r="A181" s="32" t="str">
        <f t="shared" si="1"/>
        <v>2018CockWeek 7</v>
      </c>
      <c r="B181" s="32" t="str">
        <f t="shared" si="2"/>
        <v>2018Rooney/JacksonWeek 7</v>
      </c>
      <c r="C181" s="32" t="str">
        <f t="shared" si="3"/>
        <v>Week 7</v>
      </c>
      <c r="D181" s="32">
        <v>2018.0</v>
      </c>
      <c r="E181" t="str">
        <f t="shared" si="4"/>
        <v>7</v>
      </c>
      <c r="F181" t="str">
        <f t="shared" si="5"/>
        <v>Jack Babcock, Chris Cochrane</v>
      </c>
      <c r="G181" s="40" t="str">
        <f>VLOOKUP(F181,'Manager Coding'!C:D,2,0)</f>
        <v>Cock</v>
      </c>
      <c r="H181" s="41">
        <f t="shared" si="6"/>
        <v>106.44</v>
      </c>
      <c r="I181" t="str">
        <f t="shared" si="7"/>
        <v>Stephen Rooney, Jackson Sattell</v>
      </c>
      <c r="J181" t="str">
        <f>VLOOKUP(I181,'Manager Coding'!C:D,2,0)</f>
        <v>Rooney/Jackson</v>
      </c>
      <c r="K181" s="41">
        <f t="shared" si="8"/>
        <v>77.66</v>
      </c>
      <c r="L181">
        <f t="shared" si="9"/>
        <v>1</v>
      </c>
      <c r="M181">
        <f t="shared" si="10"/>
        <v>0</v>
      </c>
      <c r="N181" s="54" t="s">
        <v>603</v>
      </c>
      <c r="O181" s="55" t="s">
        <v>73</v>
      </c>
      <c r="P181" s="50">
        <v>106.44</v>
      </c>
      <c r="Q181" s="46">
        <v>77.66</v>
      </c>
      <c r="R181" s="48" t="s">
        <v>58</v>
      </c>
      <c r="S181" s="54" t="s">
        <v>605</v>
      </c>
      <c r="T181">
        <f t="shared" si="11"/>
        <v>28.78</v>
      </c>
    </row>
    <row r="182" hidden="1">
      <c r="A182" s="32" t="str">
        <f t="shared" si="1"/>
        <v>2018ShepWeek 7</v>
      </c>
      <c r="B182" s="32" t="str">
        <f t="shared" si="2"/>
        <v>2018FellowsWeek 7</v>
      </c>
      <c r="C182" s="32" t="str">
        <f t="shared" si="3"/>
        <v>Week 7</v>
      </c>
      <c r="D182" s="32">
        <v>2018.0</v>
      </c>
      <c r="E182" t="str">
        <f t="shared" si="4"/>
        <v>7</v>
      </c>
      <c r="F182" t="str">
        <f t="shared" si="5"/>
        <v>Jordan Shepherd</v>
      </c>
      <c r="G182" s="40" t="str">
        <f>VLOOKUP(F182,'Manager Coding'!C:D,2,0)</f>
        <v>Shep</v>
      </c>
      <c r="H182" s="41">
        <f t="shared" si="6"/>
        <v>94.42</v>
      </c>
      <c r="I182" t="str">
        <f t="shared" si="7"/>
        <v>Michael Fellows</v>
      </c>
      <c r="J182" t="str">
        <f>VLOOKUP(I182,'Manager Coding'!C:D,2,0)</f>
        <v>Fellows</v>
      </c>
      <c r="K182" s="41">
        <f t="shared" si="8"/>
        <v>68.76</v>
      </c>
      <c r="L182">
        <f t="shared" si="9"/>
        <v>1</v>
      </c>
      <c r="M182">
        <f t="shared" si="10"/>
        <v>0</v>
      </c>
      <c r="N182" s="54" t="s">
        <v>595</v>
      </c>
      <c r="O182" s="55" t="s">
        <v>91</v>
      </c>
      <c r="P182" s="50">
        <v>94.42</v>
      </c>
      <c r="Q182" s="46">
        <v>68.76</v>
      </c>
      <c r="R182" s="48" t="s">
        <v>80</v>
      </c>
      <c r="S182" s="54" t="s">
        <v>602</v>
      </c>
      <c r="T182">
        <f t="shared" si="11"/>
        <v>25.66</v>
      </c>
    </row>
    <row r="183" hidden="1">
      <c r="A183" s="32" t="str">
        <f t="shared" si="1"/>
        <v>2018HudspeathWeek 7</v>
      </c>
      <c r="B183" s="32" t="str">
        <f t="shared" si="2"/>
        <v>2018TayskiWeek 7</v>
      </c>
      <c r="C183" s="32" t="str">
        <f t="shared" si="3"/>
        <v>Week 7</v>
      </c>
      <c r="D183" s="32">
        <v>2018.0</v>
      </c>
      <c r="E183" t="str">
        <f t="shared" si="4"/>
        <v>7</v>
      </c>
      <c r="F183" t="str">
        <f t="shared" si="5"/>
        <v>matt hudspeath</v>
      </c>
      <c r="G183" s="40" t="str">
        <f>VLOOKUP(F183,'Manager Coding'!C:D,2,0)</f>
        <v>Hudspeath</v>
      </c>
      <c r="H183" s="41">
        <f t="shared" si="6"/>
        <v>101.22</v>
      </c>
      <c r="I183" t="str">
        <f t="shared" si="7"/>
        <v>Taylor Weis</v>
      </c>
      <c r="J183" t="str">
        <f>VLOOKUP(I183,'Manager Coding'!C:D,2,0)</f>
        <v>Tayski</v>
      </c>
      <c r="K183" s="41">
        <f t="shared" si="8"/>
        <v>99.24</v>
      </c>
      <c r="L183">
        <f t="shared" si="9"/>
        <v>1</v>
      </c>
      <c r="M183">
        <f t="shared" si="10"/>
        <v>0</v>
      </c>
      <c r="N183" s="54" t="s">
        <v>591</v>
      </c>
      <c r="O183" s="55" t="s">
        <v>64</v>
      </c>
      <c r="P183" s="50">
        <v>101.22</v>
      </c>
      <c r="Q183" s="46">
        <v>99.24</v>
      </c>
      <c r="R183" s="48" t="s">
        <v>54</v>
      </c>
      <c r="S183" s="54" t="s">
        <v>594</v>
      </c>
      <c r="T183">
        <f t="shared" si="11"/>
        <v>1.98</v>
      </c>
    </row>
    <row r="184" hidden="1">
      <c r="A184" s="32" t="str">
        <f t="shared" si="1"/>
        <v>2018KnardDawgWeek 7</v>
      </c>
      <c r="B184" s="32" t="str">
        <f t="shared" si="2"/>
        <v>2018PiersonWeek 7</v>
      </c>
      <c r="C184" s="32" t="str">
        <f t="shared" si="3"/>
        <v>Week 7</v>
      </c>
      <c r="D184" s="32">
        <v>2018.0</v>
      </c>
      <c r="E184" t="str">
        <f t="shared" si="4"/>
        <v>7</v>
      </c>
      <c r="F184" t="str">
        <f t="shared" si="5"/>
        <v>Alex Kinniard, Jack Reilly</v>
      </c>
      <c r="G184" s="40" t="str">
        <f>VLOOKUP(F184,'Manager Coding'!C:D,2,0)</f>
        <v>KnardDawg</v>
      </c>
      <c r="H184" s="41">
        <f t="shared" si="6"/>
        <v>76.58</v>
      </c>
      <c r="I184" t="str">
        <f t="shared" si="7"/>
        <v>Pierson Curtis</v>
      </c>
      <c r="J184" t="str">
        <f>VLOOKUP(I184,'Manager Coding'!C:D,2,0)</f>
        <v>Pierson</v>
      </c>
      <c r="K184" s="41">
        <f t="shared" si="8"/>
        <v>118.34</v>
      </c>
      <c r="L184">
        <f t="shared" si="9"/>
        <v>0</v>
      </c>
      <c r="M184">
        <f t="shared" si="10"/>
        <v>1</v>
      </c>
      <c r="N184" s="54" t="s">
        <v>585</v>
      </c>
      <c r="O184" s="55" t="s">
        <v>87</v>
      </c>
      <c r="P184" s="50">
        <v>76.58</v>
      </c>
      <c r="Q184" s="46">
        <v>118.34</v>
      </c>
      <c r="R184" s="48" t="s">
        <v>93</v>
      </c>
      <c r="S184" s="54" t="s">
        <v>590</v>
      </c>
      <c r="T184">
        <f t="shared" si="11"/>
        <v>41.76</v>
      </c>
    </row>
    <row r="185" hidden="1">
      <c r="A185" s="32" t="str">
        <f t="shared" si="1"/>
        <v>#N/A</v>
      </c>
      <c r="B185" s="32" t="str">
        <f t="shared" si="2"/>
        <v>#N/A</v>
      </c>
      <c r="C185" s="32" t="str">
        <f t="shared" si="3"/>
        <v>Week 7</v>
      </c>
      <c r="D185" s="32">
        <v>2018.0</v>
      </c>
      <c r="E185" t="str">
        <f t="shared" si="4"/>
        <v>7</v>
      </c>
      <c r="F185" t="str">
        <f t="shared" si="5"/>
        <v/>
      </c>
      <c r="G185" s="40" t="str">
        <f>VLOOKUP(F185,'Manager Coding'!C:D,2,0)</f>
        <v>#N/A</v>
      </c>
      <c r="H185" s="41" t="str">
        <f t="shared" si="6"/>
        <v/>
      </c>
      <c r="I185" t="str">
        <f t="shared" si="7"/>
        <v/>
      </c>
      <c r="J185" t="str">
        <f>VLOOKUP(I185,'Manager Coding'!C:D,2,0)</f>
        <v>#N/A</v>
      </c>
      <c r="K185" s="41" t="str">
        <f t="shared" si="8"/>
        <v/>
      </c>
      <c r="L185">
        <f t="shared" si="9"/>
        <v>0</v>
      </c>
      <c r="M185">
        <f t="shared" si="10"/>
        <v>0</v>
      </c>
      <c r="N185" s="53" t="s">
        <v>367</v>
      </c>
      <c r="P185" s="41"/>
      <c r="Q185" s="41"/>
      <c r="T185">
        <f t="shared" si="11"/>
        <v>0</v>
      </c>
    </row>
    <row r="186" hidden="1">
      <c r="A186" s="32" t="str">
        <f t="shared" si="1"/>
        <v>#N/A</v>
      </c>
      <c r="B186" s="32" t="str">
        <f t="shared" si="2"/>
        <v>#N/A</v>
      </c>
      <c r="C186" s="32" t="str">
        <f t="shared" si="3"/>
        <v>Week 8</v>
      </c>
      <c r="D186" s="32">
        <v>2018.0</v>
      </c>
      <c r="E186" t="str">
        <f t="shared" si="4"/>
        <v>8</v>
      </c>
      <c r="F186" t="str">
        <f t="shared" si="5"/>
        <v>TEAM MANAGER(S)</v>
      </c>
      <c r="G186" s="40" t="str">
        <f>VLOOKUP(F186,'Manager Coding'!C:D,2,0)</f>
        <v>#N/A</v>
      </c>
      <c r="H186" s="41" t="str">
        <f t="shared" si="6"/>
        <v>SCORE</v>
      </c>
      <c r="I186" t="str">
        <f t="shared" si="7"/>
        <v>TEAM MANAGER(S)</v>
      </c>
      <c r="J186" t="str">
        <f>VLOOKUP(I186,'Manager Coding'!C:D,2,0)</f>
        <v>#N/A</v>
      </c>
      <c r="K186" s="41" t="str">
        <f t="shared" si="8"/>
        <v>SCORE</v>
      </c>
      <c r="L186">
        <f t="shared" si="9"/>
        <v>0</v>
      </c>
      <c r="M186">
        <f t="shared" si="10"/>
        <v>0</v>
      </c>
      <c r="N186" s="24" t="s">
        <v>197</v>
      </c>
      <c r="O186" s="24" t="s">
        <v>88</v>
      </c>
      <c r="P186" s="26" t="s">
        <v>94</v>
      </c>
      <c r="Q186" s="27" t="s">
        <v>94</v>
      </c>
      <c r="R186" s="30" t="s">
        <v>88</v>
      </c>
      <c r="S186" s="30" t="s">
        <v>101</v>
      </c>
      <c r="T186">
        <f t="shared" si="11"/>
        <v>0</v>
      </c>
    </row>
    <row r="187" hidden="1">
      <c r="A187" s="32" t="str">
        <f t="shared" si="1"/>
        <v>2018T-HowWeek 8</v>
      </c>
      <c r="B187" s="32" t="str">
        <f t="shared" si="2"/>
        <v>2018SaltyWeek 8</v>
      </c>
      <c r="C187" s="32" t="str">
        <f t="shared" si="3"/>
        <v>Week 8</v>
      </c>
      <c r="D187" s="32">
        <v>2018.0</v>
      </c>
      <c r="E187" t="str">
        <f t="shared" si="4"/>
        <v>8</v>
      </c>
      <c r="F187" t="str">
        <f t="shared" si="5"/>
        <v>Tyler Howard</v>
      </c>
      <c r="G187" s="40" t="str">
        <f>VLOOKUP(F187,'Manager Coding'!C:D,2,0)</f>
        <v>T-How</v>
      </c>
      <c r="H187" s="41">
        <f t="shared" si="6"/>
        <v>67.36</v>
      </c>
      <c r="I187" t="str">
        <f t="shared" si="7"/>
        <v>R Saltiel</v>
      </c>
      <c r="J187" t="str">
        <f>VLOOKUP(I187,'Manager Coding'!C:D,2,0)</f>
        <v>Salty</v>
      </c>
      <c r="K187" s="41">
        <f t="shared" si="8"/>
        <v>164.04</v>
      </c>
      <c r="L187">
        <f t="shared" si="9"/>
        <v>0</v>
      </c>
      <c r="M187">
        <f t="shared" si="10"/>
        <v>1</v>
      </c>
      <c r="N187" s="54" t="s">
        <v>609</v>
      </c>
      <c r="O187" s="55" t="s">
        <v>85</v>
      </c>
      <c r="P187" s="50">
        <v>67.36</v>
      </c>
      <c r="Q187" s="46">
        <v>164.04</v>
      </c>
      <c r="R187" s="48" t="s">
        <v>77</v>
      </c>
      <c r="S187" s="54" t="s">
        <v>584</v>
      </c>
      <c r="T187">
        <f t="shared" si="11"/>
        <v>96.68</v>
      </c>
    </row>
    <row r="188" hidden="1">
      <c r="A188" s="32" t="str">
        <f t="shared" si="1"/>
        <v>2018BuserWeek 8</v>
      </c>
      <c r="B188" s="32" t="str">
        <f t="shared" si="2"/>
        <v>2018CockWeek 8</v>
      </c>
      <c r="C188" s="32" t="str">
        <f t="shared" si="3"/>
        <v>Week 8</v>
      </c>
      <c r="D188" s="32">
        <v>2018.0</v>
      </c>
      <c r="E188" t="str">
        <f t="shared" si="4"/>
        <v>8</v>
      </c>
      <c r="F188" t="str">
        <f t="shared" si="5"/>
        <v>Ed Buser</v>
      </c>
      <c r="G188" s="40" t="str">
        <f>VLOOKUP(F188,'Manager Coding'!C:D,2,0)</f>
        <v>Buser</v>
      </c>
      <c r="H188" s="41">
        <f t="shared" si="6"/>
        <v>84.66</v>
      </c>
      <c r="I188" t="str">
        <f t="shared" si="7"/>
        <v>Jack Babcock, Chris Cochrane</v>
      </c>
      <c r="J188" t="str">
        <f>VLOOKUP(I188,'Manager Coding'!C:D,2,0)</f>
        <v>Cock</v>
      </c>
      <c r="K188" s="41">
        <f t="shared" si="8"/>
        <v>121.16</v>
      </c>
      <c r="L188">
        <f t="shared" si="9"/>
        <v>0</v>
      </c>
      <c r="M188">
        <f t="shared" si="10"/>
        <v>1</v>
      </c>
      <c r="N188" s="54" t="s">
        <v>611</v>
      </c>
      <c r="O188" s="55" t="s">
        <v>50</v>
      </c>
      <c r="P188" s="50">
        <v>84.66</v>
      </c>
      <c r="Q188" s="46">
        <v>121.16</v>
      </c>
      <c r="R188" s="48" t="s">
        <v>73</v>
      </c>
      <c r="S188" s="54" t="s">
        <v>603</v>
      </c>
      <c r="T188">
        <f t="shared" si="11"/>
        <v>36.5</v>
      </c>
    </row>
    <row r="189" hidden="1">
      <c r="A189" s="32" t="str">
        <f t="shared" si="1"/>
        <v>2018RileyWeek 8</v>
      </c>
      <c r="B189" s="32" t="str">
        <f t="shared" si="2"/>
        <v>2018ShepWeek 8</v>
      </c>
      <c r="C189" s="32" t="str">
        <f t="shared" si="3"/>
        <v>Week 8</v>
      </c>
      <c r="D189" s="32">
        <v>2018.0</v>
      </c>
      <c r="E189" t="str">
        <f t="shared" si="4"/>
        <v>8</v>
      </c>
      <c r="F189" t="str">
        <f t="shared" si="5"/>
        <v>Riley McElwain</v>
      </c>
      <c r="G189" s="40" t="str">
        <f>VLOOKUP(F189,'Manager Coding'!C:D,2,0)</f>
        <v>Riley</v>
      </c>
      <c r="H189" s="41">
        <f t="shared" si="6"/>
        <v>114.94</v>
      </c>
      <c r="I189" t="str">
        <f t="shared" si="7"/>
        <v>Jordan Shepherd</v>
      </c>
      <c r="J189" t="str">
        <f>VLOOKUP(I189,'Manager Coding'!C:D,2,0)</f>
        <v>Shep</v>
      </c>
      <c r="K189" s="41">
        <f t="shared" si="8"/>
        <v>103.22</v>
      </c>
      <c r="L189">
        <f t="shared" si="9"/>
        <v>1</v>
      </c>
      <c r="M189">
        <f t="shared" si="10"/>
        <v>0</v>
      </c>
      <c r="N189" s="54" t="s">
        <v>610</v>
      </c>
      <c r="O189" s="55" t="s">
        <v>68</v>
      </c>
      <c r="P189" s="50">
        <v>114.94</v>
      </c>
      <c r="Q189" s="46">
        <v>103.22</v>
      </c>
      <c r="R189" s="48" t="s">
        <v>91</v>
      </c>
      <c r="S189" s="54" t="s">
        <v>595</v>
      </c>
      <c r="T189">
        <f t="shared" si="11"/>
        <v>11.72</v>
      </c>
    </row>
    <row r="190" hidden="1">
      <c r="A190" s="32" t="str">
        <f t="shared" si="1"/>
        <v>2018Rooney/JacksonWeek 8</v>
      </c>
      <c r="B190" s="32" t="str">
        <f t="shared" si="2"/>
        <v>2018HudspeathWeek 8</v>
      </c>
      <c r="C190" s="32" t="str">
        <f t="shared" si="3"/>
        <v>Week 8</v>
      </c>
      <c r="D190" s="32">
        <v>2018.0</v>
      </c>
      <c r="E190" t="str">
        <f t="shared" si="4"/>
        <v>8</v>
      </c>
      <c r="F190" t="str">
        <f t="shared" si="5"/>
        <v>Stephen Rooney, Jackson Sattell</v>
      </c>
      <c r="G190" s="40" t="str">
        <f>VLOOKUP(F190,'Manager Coding'!C:D,2,0)</f>
        <v>Rooney/Jackson</v>
      </c>
      <c r="H190" s="41">
        <f t="shared" si="6"/>
        <v>90.1</v>
      </c>
      <c r="I190" t="str">
        <f t="shared" si="7"/>
        <v>matt hudspeath</v>
      </c>
      <c r="J190" t="str">
        <f>VLOOKUP(I190,'Manager Coding'!C:D,2,0)</f>
        <v>Hudspeath</v>
      </c>
      <c r="K190" s="41">
        <f t="shared" si="8"/>
        <v>79.94</v>
      </c>
      <c r="L190">
        <f t="shared" si="9"/>
        <v>1</v>
      </c>
      <c r="M190">
        <f t="shared" si="10"/>
        <v>0</v>
      </c>
      <c r="N190" s="54" t="s">
        <v>605</v>
      </c>
      <c r="O190" s="55" t="s">
        <v>58</v>
      </c>
      <c r="P190" s="50">
        <v>90.1</v>
      </c>
      <c r="Q190" s="46">
        <v>79.94</v>
      </c>
      <c r="R190" s="48" t="s">
        <v>64</v>
      </c>
      <c r="S190" s="54" t="s">
        <v>591</v>
      </c>
      <c r="T190">
        <f t="shared" si="11"/>
        <v>10.16</v>
      </c>
    </row>
    <row r="191" hidden="1">
      <c r="A191" s="32" t="str">
        <f t="shared" si="1"/>
        <v>2018FellowsWeek 8</v>
      </c>
      <c r="B191" s="32" t="str">
        <f t="shared" si="2"/>
        <v>2018KnardDawgWeek 8</v>
      </c>
      <c r="C191" s="32" t="str">
        <f t="shared" si="3"/>
        <v>Week 8</v>
      </c>
      <c r="D191" s="32">
        <v>2018.0</v>
      </c>
      <c r="E191" t="str">
        <f t="shared" si="4"/>
        <v>8</v>
      </c>
      <c r="F191" t="str">
        <f t="shared" si="5"/>
        <v>Michael Fellows</v>
      </c>
      <c r="G191" s="40" t="str">
        <f>VLOOKUP(F191,'Manager Coding'!C:D,2,0)</f>
        <v>Fellows</v>
      </c>
      <c r="H191" s="41">
        <f t="shared" si="6"/>
        <v>113.06</v>
      </c>
      <c r="I191" t="str">
        <f t="shared" si="7"/>
        <v>Alex Kinniard, Jack Reilly</v>
      </c>
      <c r="J191" t="str">
        <f>VLOOKUP(I191,'Manager Coding'!C:D,2,0)</f>
        <v>KnardDawg</v>
      </c>
      <c r="K191" s="41">
        <f t="shared" si="8"/>
        <v>101.8</v>
      </c>
      <c r="L191">
        <f t="shared" si="9"/>
        <v>1</v>
      </c>
      <c r="M191">
        <f t="shared" si="10"/>
        <v>0</v>
      </c>
      <c r="N191" s="54" t="s">
        <v>602</v>
      </c>
      <c r="O191" s="55" t="s">
        <v>80</v>
      </c>
      <c r="P191" s="50">
        <v>113.06</v>
      </c>
      <c r="Q191" s="46">
        <v>101.8</v>
      </c>
      <c r="R191" s="48" t="s">
        <v>87</v>
      </c>
      <c r="S191" s="54" t="s">
        <v>585</v>
      </c>
      <c r="T191">
        <f t="shared" si="11"/>
        <v>11.26</v>
      </c>
    </row>
    <row r="192" hidden="1">
      <c r="A192" s="32" t="str">
        <f t="shared" si="1"/>
        <v>2018TayskiWeek 8</v>
      </c>
      <c r="B192" s="32" t="str">
        <f t="shared" si="2"/>
        <v>2018PiersonWeek 8</v>
      </c>
      <c r="C192" s="32" t="str">
        <f t="shared" si="3"/>
        <v>Week 8</v>
      </c>
      <c r="D192" s="32">
        <v>2018.0</v>
      </c>
      <c r="E192" t="str">
        <f t="shared" si="4"/>
        <v>8</v>
      </c>
      <c r="F192" t="str">
        <f t="shared" si="5"/>
        <v>Taylor Weis</v>
      </c>
      <c r="G192" s="40" t="str">
        <f>VLOOKUP(F192,'Manager Coding'!C:D,2,0)</f>
        <v>Tayski</v>
      </c>
      <c r="H192" s="41">
        <f t="shared" si="6"/>
        <v>63.86</v>
      </c>
      <c r="I192" t="str">
        <f t="shared" si="7"/>
        <v>Pierson Curtis</v>
      </c>
      <c r="J192" t="str">
        <f>VLOOKUP(I192,'Manager Coding'!C:D,2,0)</f>
        <v>Pierson</v>
      </c>
      <c r="K192" s="41">
        <f t="shared" si="8"/>
        <v>91.2</v>
      </c>
      <c r="L192">
        <f t="shared" si="9"/>
        <v>0</v>
      </c>
      <c r="M192">
        <f t="shared" si="10"/>
        <v>1</v>
      </c>
      <c r="N192" s="54" t="s">
        <v>594</v>
      </c>
      <c r="O192" s="55" t="s">
        <v>54</v>
      </c>
      <c r="P192" s="50">
        <v>63.86</v>
      </c>
      <c r="Q192" s="46">
        <v>91.2</v>
      </c>
      <c r="R192" s="48" t="s">
        <v>93</v>
      </c>
      <c r="S192" s="54" t="s">
        <v>590</v>
      </c>
      <c r="T192">
        <f t="shared" si="11"/>
        <v>27.34</v>
      </c>
    </row>
    <row r="193" hidden="1">
      <c r="A193" s="32" t="str">
        <f t="shared" si="1"/>
        <v>#N/A</v>
      </c>
      <c r="B193" s="32" t="str">
        <f t="shared" si="2"/>
        <v>#N/A</v>
      </c>
      <c r="C193" s="32" t="str">
        <f t="shared" si="3"/>
        <v>Week 8</v>
      </c>
      <c r="D193" s="32">
        <v>2018.0</v>
      </c>
      <c r="E193" t="str">
        <f t="shared" si="4"/>
        <v>8</v>
      </c>
      <c r="F193" t="str">
        <f t="shared" si="5"/>
        <v/>
      </c>
      <c r="G193" s="40" t="str">
        <f>VLOOKUP(F193,'Manager Coding'!C:D,2,0)</f>
        <v>#N/A</v>
      </c>
      <c r="H193" s="41" t="str">
        <f t="shared" si="6"/>
        <v/>
      </c>
      <c r="I193" t="str">
        <f t="shared" si="7"/>
        <v/>
      </c>
      <c r="J193" t="str">
        <f>VLOOKUP(I193,'Manager Coding'!C:D,2,0)</f>
        <v>#N/A</v>
      </c>
      <c r="K193" s="41" t="str">
        <f t="shared" si="8"/>
        <v/>
      </c>
      <c r="L193">
        <f t="shared" si="9"/>
        <v>0</v>
      </c>
      <c r="M193">
        <f t="shared" si="10"/>
        <v>0</v>
      </c>
      <c r="N193" s="53" t="s">
        <v>387</v>
      </c>
      <c r="P193" s="41"/>
      <c r="Q193" s="41"/>
      <c r="T193">
        <f t="shared" si="11"/>
        <v>0</v>
      </c>
    </row>
    <row r="194" hidden="1">
      <c r="A194" s="32" t="str">
        <f t="shared" si="1"/>
        <v>#N/A</v>
      </c>
      <c r="B194" s="32" t="str">
        <f t="shared" si="2"/>
        <v>#N/A</v>
      </c>
      <c r="C194" s="32" t="str">
        <f t="shared" si="3"/>
        <v>Week 9</v>
      </c>
      <c r="D194" s="32">
        <v>2018.0</v>
      </c>
      <c r="E194" t="str">
        <f t="shared" si="4"/>
        <v>9</v>
      </c>
      <c r="F194" t="str">
        <f t="shared" si="5"/>
        <v>TEAM MANAGER(S)</v>
      </c>
      <c r="G194" s="40" t="str">
        <f>VLOOKUP(F194,'Manager Coding'!C:D,2,0)</f>
        <v>#N/A</v>
      </c>
      <c r="H194" s="41" t="str">
        <f t="shared" si="6"/>
        <v>SCORE</v>
      </c>
      <c r="I194" t="str">
        <f t="shared" si="7"/>
        <v>TEAM MANAGER(S)</v>
      </c>
      <c r="J194" t="str">
        <f>VLOOKUP(I194,'Manager Coding'!C:D,2,0)</f>
        <v>#N/A</v>
      </c>
      <c r="K194" s="41" t="str">
        <f t="shared" si="8"/>
        <v>SCORE</v>
      </c>
      <c r="L194">
        <f t="shared" si="9"/>
        <v>0</v>
      </c>
      <c r="M194">
        <f t="shared" si="10"/>
        <v>0</v>
      </c>
      <c r="N194" s="24" t="s">
        <v>197</v>
      </c>
      <c r="O194" s="24" t="s">
        <v>88</v>
      </c>
      <c r="P194" s="26" t="s">
        <v>94</v>
      </c>
      <c r="Q194" s="27" t="s">
        <v>94</v>
      </c>
      <c r="R194" s="30" t="s">
        <v>88</v>
      </c>
      <c r="S194" s="30" t="s">
        <v>101</v>
      </c>
      <c r="T194">
        <f t="shared" si="11"/>
        <v>0</v>
      </c>
    </row>
    <row r="195" hidden="1">
      <c r="A195" s="32" t="str">
        <f t="shared" si="1"/>
        <v>2018SaltyWeek 9</v>
      </c>
      <c r="B195" s="32" t="str">
        <f t="shared" si="2"/>
        <v>2018CockWeek 9</v>
      </c>
      <c r="C195" s="32" t="str">
        <f t="shared" si="3"/>
        <v>Week 9</v>
      </c>
      <c r="D195" s="32">
        <v>2018.0</v>
      </c>
      <c r="E195" t="str">
        <f t="shared" si="4"/>
        <v>9</v>
      </c>
      <c r="F195" t="str">
        <f t="shared" si="5"/>
        <v>R Saltiel</v>
      </c>
      <c r="G195" s="40" t="str">
        <f>VLOOKUP(F195,'Manager Coding'!C:D,2,0)</f>
        <v>Salty</v>
      </c>
      <c r="H195" s="41">
        <f t="shared" si="6"/>
        <v>132.12</v>
      </c>
      <c r="I195" t="str">
        <f t="shared" si="7"/>
        <v>Jack Babcock, Chris Cochrane</v>
      </c>
      <c r="J195" t="str">
        <f>VLOOKUP(I195,'Manager Coding'!C:D,2,0)</f>
        <v>Cock</v>
      </c>
      <c r="K195" s="41">
        <f t="shared" si="8"/>
        <v>69.26</v>
      </c>
      <c r="L195">
        <f t="shared" si="9"/>
        <v>1</v>
      </c>
      <c r="M195">
        <f t="shared" si="10"/>
        <v>0</v>
      </c>
      <c r="N195" s="54" t="s">
        <v>584</v>
      </c>
      <c r="O195" s="55" t="s">
        <v>77</v>
      </c>
      <c r="P195" s="50">
        <v>132.12</v>
      </c>
      <c r="Q195" s="46">
        <v>69.26</v>
      </c>
      <c r="R195" s="48" t="s">
        <v>73</v>
      </c>
      <c r="S195" s="54" t="s">
        <v>603</v>
      </c>
      <c r="T195">
        <f t="shared" si="11"/>
        <v>62.86</v>
      </c>
    </row>
    <row r="196" hidden="1">
      <c r="A196" s="32" t="str">
        <f t="shared" si="1"/>
        <v>2018ShepWeek 9</v>
      </c>
      <c r="B196" s="32" t="str">
        <f t="shared" si="2"/>
        <v>2018T-HowWeek 9</v>
      </c>
      <c r="C196" s="32" t="str">
        <f t="shared" si="3"/>
        <v>Week 9</v>
      </c>
      <c r="D196" s="32">
        <v>2018.0</v>
      </c>
      <c r="E196" t="str">
        <f t="shared" si="4"/>
        <v>9</v>
      </c>
      <c r="F196" t="str">
        <f t="shared" si="5"/>
        <v>Jordan Shepherd</v>
      </c>
      <c r="G196" s="40" t="str">
        <f>VLOOKUP(F196,'Manager Coding'!C:D,2,0)</f>
        <v>Shep</v>
      </c>
      <c r="H196" s="41">
        <f t="shared" si="6"/>
        <v>96.4</v>
      </c>
      <c r="I196" t="str">
        <f t="shared" si="7"/>
        <v>Tyler Howard</v>
      </c>
      <c r="J196" t="str">
        <f>VLOOKUP(I196,'Manager Coding'!C:D,2,0)</f>
        <v>T-How</v>
      </c>
      <c r="K196" s="41">
        <f t="shared" si="8"/>
        <v>113.76</v>
      </c>
      <c r="L196">
        <f t="shared" si="9"/>
        <v>0</v>
      </c>
      <c r="M196">
        <f t="shared" si="10"/>
        <v>1</v>
      </c>
      <c r="N196" s="54" t="s">
        <v>595</v>
      </c>
      <c r="O196" s="55" t="s">
        <v>91</v>
      </c>
      <c r="P196" s="50">
        <v>96.4</v>
      </c>
      <c r="Q196" s="46">
        <v>113.76</v>
      </c>
      <c r="R196" s="48" t="s">
        <v>85</v>
      </c>
      <c r="S196" s="54" t="s">
        <v>609</v>
      </c>
      <c r="T196">
        <f t="shared" si="11"/>
        <v>17.36</v>
      </c>
    </row>
    <row r="197" hidden="1">
      <c r="A197" s="32" t="str">
        <f t="shared" si="1"/>
        <v>2018HudspeathWeek 9</v>
      </c>
      <c r="B197" s="32" t="str">
        <f t="shared" si="2"/>
        <v>2018BuserWeek 9</v>
      </c>
      <c r="C197" s="32" t="str">
        <f t="shared" si="3"/>
        <v>Week 9</v>
      </c>
      <c r="D197" s="32">
        <v>2018.0</v>
      </c>
      <c r="E197" t="str">
        <f t="shared" si="4"/>
        <v>9</v>
      </c>
      <c r="F197" t="str">
        <f t="shared" si="5"/>
        <v>matt hudspeath</v>
      </c>
      <c r="G197" s="40" t="str">
        <f>VLOOKUP(F197,'Manager Coding'!C:D,2,0)</f>
        <v>Hudspeath</v>
      </c>
      <c r="H197" s="41">
        <f t="shared" si="6"/>
        <v>77.8</v>
      </c>
      <c r="I197" t="str">
        <f t="shared" si="7"/>
        <v>Ed Buser</v>
      </c>
      <c r="J197" t="str">
        <f>VLOOKUP(I197,'Manager Coding'!C:D,2,0)</f>
        <v>Buser</v>
      </c>
      <c r="K197" s="41">
        <f t="shared" si="8"/>
        <v>82.38</v>
      </c>
      <c r="L197">
        <f t="shared" si="9"/>
        <v>0</v>
      </c>
      <c r="M197">
        <f t="shared" si="10"/>
        <v>1</v>
      </c>
      <c r="N197" s="54" t="s">
        <v>591</v>
      </c>
      <c r="O197" s="55" t="s">
        <v>64</v>
      </c>
      <c r="P197" s="50">
        <v>77.8</v>
      </c>
      <c r="Q197" s="46">
        <v>82.38</v>
      </c>
      <c r="R197" s="48" t="s">
        <v>50</v>
      </c>
      <c r="S197" s="54" t="s">
        <v>611</v>
      </c>
      <c r="T197">
        <f t="shared" si="11"/>
        <v>4.58</v>
      </c>
    </row>
    <row r="198" hidden="1">
      <c r="A198" s="32" t="str">
        <f t="shared" si="1"/>
        <v>2018KnardDawgWeek 9</v>
      </c>
      <c r="B198" s="32" t="str">
        <f t="shared" si="2"/>
        <v>2018RileyWeek 9</v>
      </c>
      <c r="C198" s="32" t="str">
        <f t="shared" si="3"/>
        <v>Week 9</v>
      </c>
      <c r="D198" s="32">
        <v>2018.0</v>
      </c>
      <c r="E198" t="str">
        <f t="shared" si="4"/>
        <v>9</v>
      </c>
      <c r="F198" t="str">
        <f t="shared" si="5"/>
        <v>Alex Kinniard, Jack Reilly</v>
      </c>
      <c r="G198" s="40" t="str">
        <f>VLOOKUP(F198,'Manager Coding'!C:D,2,0)</f>
        <v>KnardDawg</v>
      </c>
      <c r="H198" s="41">
        <f t="shared" si="6"/>
        <v>97.14</v>
      </c>
      <c r="I198" t="str">
        <f t="shared" si="7"/>
        <v>Riley McElwain</v>
      </c>
      <c r="J198" t="str">
        <f>VLOOKUP(I198,'Manager Coding'!C:D,2,0)</f>
        <v>Riley</v>
      </c>
      <c r="K198" s="41">
        <f t="shared" si="8"/>
        <v>140.46</v>
      </c>
      <c r="L198">
        <f t="shared" si="9"/>
        <v>0</v>
      </c>
      <c r="M198">
        <f t="shared" si="10"/>
        <v>1</v>
      </c>
      <c r="N198" s="54" t="s">
        <v>585</v>
      </c>
      <c r="O198" s="55" t="s">
        <v>87</v>
      </c>
      <c r="P198" s="50">
        <v>97.14</v>
      </c>
      <c r="Q198" s="46">
        <v>140.46</v>
      </c>
      <c r="R198" s="48" t="s">
        <v>68</v>
      </c>
      <c r="S198" s="54" t="s">
        <v>610</v>
      </c>
      <c r="T198">
        <f t="shared" si="11"/>
        <v>43.32</v>
      </c>
    </row>
    <row r="199" hidden="1">
      <c r="A199" s="32" t="str">
        <f t="shared" si="1"/>
        <v>2018PiersonWeek 9</v>
      </c>
      <c r="B199" s="32" t="str">
        <f t="shared" si="2"/>
        <v>2018Rooney/JacksonWeek 9</v>
      </c>
      <c r="C199" s="32" t="str">
        <f t="shared" si="3"/>
        <v>Week 9</v>
      </c>
      <c r="D199" s="32">
        <v>2018.0</v>
      </c>
      <c r="E199" t="str">
        <f t="shared" si="4"/>
        <v>9</v>
      </c>
      <c r="F199" t="str">
        <f t="shared" si="5"/>
        <v>Pierson Curtis</v>
      </c>
      <c r="G199" s="40" t="str">
        <f>VLOOKUP(F199,'Manager Coding'!C:D,2,0)</f>
        <v>Pierson</v>
      </c>
      <c r="H199" s="41">
        <f t="shared" si="6"/>
        <v>89.52</v>
      </c>
      <c r="I199" t="str">
        <f t="shared" si="7"/>
        <v>Stephen Rooney, Jackson Sattell</v>
      </c>
      <c r="J199" t="str">
        <f>VLOOKUP(I199,'Manager Coding'!C:D,2,0)</f>
        <v>Rooney/Jackson</v>
      </c>
      <c r="K199" s="41">
        <f t="shared" si="8"/>
        <v>97.04</v>
      </c>
      <c r="L199">
        <f t="shared" si="9"/>
        <v>0</v>
      </c>
      <c r="M199">
        <f t="shared" si="10"/>
        <v>1</v>
      </c>
      <c r="N199" s="54" t="s">
        <v>590</v>
      </c>
      <c r="O199" s="55" t="s">
        <v>93</v>
      </c>
      <c r="P199" s="50">
        <v>89.52</v>
      </c>
      <c r="Q199" s="46">
        <v>97.04</v>
      </c>
      <c r="R199" s="48" t="s">
        <v>58</v>
      </c>
      <c r="S199" s="54" t="s">
        <v>605</v>
      </c>
      <c r="T199">
        <f t="shared" si="11"/>
        <v>7.52</v>
      </c>
    </row>
    <row r="200" hidden="1">
      <c r="A200" s="32" t="str">
        <f t="shared" si="1"/>
        <v>2018TayskiWeek 9</v>
      </c>
      <c r="B200" s="32" t="str">
        <f t="shared" si="2"/>
        <v>2018FellowsWeek 9</v>
      </c>
      <c r="C200" s="32" t="str">
        <f t="shared" si="3"/>
        <v>Week 9</v>
      </c>
      <c r="D200" s="32">
        <v>2018.0</v>
      </c>
      <c r="E200" t="str">
        <f t="shared" si="4"/>
        <v>9</v>
      </c>
      <c r="F200" t="str">
        <f t="shared" si="5"/>
        <v>Taylor Weis</v>
      </c>
      <c r="G200" s="40" t="str">
        <f>VLOOKUP(F200,'Manager Coding'!C:D,2,0)</f>
        <v>Tayski</v>
      </c>
      <c r="H200" s="41">
        <f t="shared" si="6"/>
        <v>116.4</v>
      </c>
      <c r="I200" t="str">
        <f t="shared" si="7"/>
        <v>Michael Fellows</v>
      </c>
      <c r="J200" t="str">
        <f>VLOOKUP(I200,'Manager Coding'!C:D,2,0)</f>
        <v>Fellows</v>
      </c>
      <c r="K200" s="41">
        <f t="shared" si="8"/>
        <v>84.3</v>
      </c>
      <c r="L200">
        <f t="shared" si="9"/>
        <v>1</v>
      </c>
      <c r="M200">
        <f t="shared" si="10"/>
        <v>0</v>
      </c>
      <c r="N200" s="54" t="s">
        <v>594</v>
      </c>
      <c r="O200" s="55" t="s">
        <v>54</v>
      </c>
      <c r="P200" s="50">
        <v>116.4</v>
      </c>
      <c r="Q200" s="46">
        <v>84.3</v>
      </c>
      <c r="R200" s="48" t="s">
        <v>80</v>
      </c>
      <c r="S200" s="54" t="s">
        <v>602</v>
      </c>
      <c r="T200">
        <f t="shared" si="11"/>
        <v>32.1</v>
      </c>
    </row>
    <row r="201" hidden="1">
      <c r="A201" s="32" t="str">
        <f t="shared" si="1"/>
        <v>#N/A</v>
      </c>
      <c r="B201" s="32" t="str">
        <f t="shared" si="2"/>
        <v>#N/A</v>
      </c>
      <c r="C201" s="32" t="str">
        <f t="shared" si="3"/>
        <v>Week 9</v>
      </c>
      <c r="D201" s="32">
        <v>2018.0</v>
      </c>
      <c r="E201" t="str">
        <f t="shared" si="4"/>
        <v>9</v>
      </c>
      <c r="F201" t="str">
        <f t="shared" si="5"/>
        <v/>
      </c>
      <c r="G201" s="40" t="str">
        <f>VLOOKUP(F201,'Manager Coding'!C:D,2,0)</f>
        <v>#N/A</v>
      </c>
      <c r="H201" s="41" t="str">
        <f t="shared" si="6"/>
        <v/>
      </c>
      <c r="I201" t="str">
        <f t="shared" si="7"/>
        <v/>
      </c>
      <c r="J201" t="str">
        <f>VLOOKUP(I201,'Manager Coding'!C:D,2,0)</f>
        <v>#N/A</v>
      </c>
      <c r="K201" s="41" t="str">
        <f t="shared" si="8"/>
        <v/>
      </c>
      <c r="L201">
        <f t="shared" si="9"/>
        <v>0</v>
      </c>
      <c r="M201">
        <f t="shared" si="10"/>
        <v>0</v>
      </c>
      <c r="N201" s="53" t="s">
        <v>406</v>
      </c>
      <c r="P201" s="41"/>
      <c r="Q201" s="41"/>
      <c r="T201">
        <f t="shared" si="11"/>
        <v>0</v>
      </c>
    </row>
    <row r="202" hidden="1">
      <c r="A202" s="32" t="str">
        <f t="shared" si="1"/>
        <v>#N/A</v>
      </c>
      <c r="B202" s="32" t="str">
        <f t="shared" si="2"/>
        <v>#N/A</v>
      </c>
      <c r="C202" s="32" t="str">
        <f t="shared" si="3"/>
        <v>Week 10</v>
      </c>
      <c r="D202" s="32">
        <v>2018.0</v>
      </c>
      <c r="E202" t="str">
        <f t="shared" si="4"/>
        <v>10</v>
      </c>
      <c r="F202" t="str">
        <f t="shared" si="5"/>
        <v>TEAM MANAGER(S)</v>
      </c>
      <c r="G202" s="40" t="str">
        <f>VLOOKUP(F202,'Manager Coding'!C:D,2,0)</f>
        <v>#N/A</v>
      </c>
      <c r="H202" s="41" t="str">
        <f t="shared" si="6"/>
        <v>SCORE</v>
      </c>
      <c r="I202" t="str">
        <f t="shared" si="7"/>
        <v>TEAM MANAGER(S)</v>
      </c>
      <c r="J202" t="str">
        <f>VLOOKUP(I202,'Manager Coding'!C:D,2,0)</f>
        <v>#N/A</v>
      </c>
      <c r="K202" s="41" t="str">
        <f t="shared" si="8"/>
        <v>SCORE</v>
      </c>
      <c r="L202">
        <f t="shared" si="9"/>
        <v>0</v>
      </c>
      <c r="M202">
        <f t="shared" si="10"/>
        <v>0</v>
      </c>
      <c r="N202" s="24" t="s">
        <v>197</v>
      </c>
      <c r="O202" s="24" t="s">
        <v>88</v>
      </c>
      <c r="P202" s="26" t="s">
        <v>94</v>
      </c>
      <c r="Q202" s="27" t="s">
        <v>94</v>
      </c>
      <c r="R202" s="30" t="s">
        <v>88</v>
      </c>
      <c r="S202" s="30" t="s">
        <v>101</v>
      </c>
      <c r="T202">
        <f t="shared" si="11"/>
        <v>0</v>
      </c>
    </row>
    <row r="203" hidden="1">
      <c r="A203" s="32" t="str">
        <f t="shared" si="1"/>
        <v>2018ShepWeek 10</v>
      </c>
      <c r="B203" s="32" t="str">
        <f t="shared" si="2"/>
        <v>2018SaltyWeek 10</v>
      </c>
      <c r="C203" s="32" t="str">
        <f t="shared" si="3"/>
        <v>Week 10</v>
      </c>
      <c r="D203" s="32">
        <v>2018.0</v>
      </c>
      <c r="E203" t="str">
        <f t="shared" si="4"/>
        <v>10</v>
      </c>
      <c r="F203" t="str">
        <f t="shared" si="5"/>
        <v>Jordan Shepherd</v>
      </c>
      <c r="G203" s="40" t="str">
        <f>VLOOKUP(F203,'Manager Coding'!C:D,2,0)</f>
        <v>Shep</v>
      </c>
      <c r="H203" s="41">
        <f t="shared" si="6"/>
        <v>107.06</v>
      </c>
      <c r="I203" t="str">
        <f t="shared" si="7"/>
        <v>R Saltiel</v>
      </c>
      <c r="J203" t="str">
        <f>VLOOKUP(I203,'Manager Coding'!C:D,2,0)</f>
        <v>Salty</v>
      </c>
      <c r="K203" s="41">
        <f t="shared" si="8"/>
        <v>106.04</v>
      </c>
      <c r="L203">
        <f t="shared" si="9"/>
        <v>1</v>
      </c>
      <c r="M203">
        <f t="shared" si="10"/>
        <v>0</v>
      </c>
      <c r="N203" s="54" t="s">
        <v>595</v>
      </c>
      <c r="O203" s="55" t="s">
        <v>91</v>
      </c>
      <c r="P203" s="50">
        <v>107.06</v>
      </c>
      <c r="Q203" s="46">
        <v>106.04</v>
      </c>
      <c r="R203" s="48" t="s">
        <v>77</v>
      </c>
      <c r="S203" s="54" t="s">
        <v>584</v>
      </c>
      <c r="T203">
        <f t="shared" si="11"/>
        <v>1.02</v>
      </c>
    </row>
    <row r="204" hidden="1">
      <c r="A204" s="32" t="str">
        <f t="shared" si="1"/>
        <v>2018CockWeek 10</v>
      </c>
      <c r="B204" s="32" t="str">
        <f t="shared" si="2"/>
        <v>2018HudspeathWeek 10</v>
      </c>
      <c r="C204" s="32" t="str">
        <f t="shared" si="3"/>
        <v>Week 10</v>
      </c>
      <c r="D204" s="32">
        <v>2018.0</v>
      </c>
      <c r="E204" t="str">
        <f t="shared" si="4"/>
        <v>10</v>
      </c>
      <c r="F204" t="str">
        <f t="shared" si="5"/>
        <v>Jack Babcock, Chris Cochrane</v>
      </c>
      <c r="G204" s="40" t="str">
        <f>VLOOKUP(F204,'Manager Coding'!C:D,2,0)</f>
        <v>Cock</v>
      </c>
      <c r="H204" s="41">
        <f t="shared" si="6"/>
        <v>95.84</v>
      </c>
      <c r="I204" t="str">
        <f t="shared" si="7"/>
        <v>matt hudspeath</v>
      </c>
      <c r="J204" t="str">
        <f>VLOOKUP(I204,'Manager Coding'!C:D,2,0)</f>
        <v>Hudspeath</v>
      </c>
      <c r="K204" s="41">
        <f t="shared" si="8"/>
        <v>126.52</v>
      </c>
      <c r="L204">
        <f t="shared" si="9"/>
        <v>0</v>
      </c>
      <c r="M204">
        <f t="shared" si="10"/>
        <v>1</v>
      </c>
      <c r="N204" s="54" t="s">
        <v>603</v>
      </c>
      <c r="O204" s="55" t="s">
        <v>73</v>
      </c>
      <c r="P204" s="50">
        <v>95.84</v>
      </c>
      <c r="Q204" s="46">
        <v>126.52</v>
      </c>
      <c r="R204" s="48" t="s">
        <v>64</v>
      </c>
      <c r="S204" s="54" t="s">
        <v>591</v>
      </c>
      <c r="T204">
        <f t="shared" si="11"/>
        <v>30.68</v>
      </c>
    </row>
    <row r="205" hidden="1">
      <c r="A205" s="32" t="str">
        <f t="shared" si="1"/>
        <v>2018T-HowWeek 10</v>
      </c>
      <c r="B205" s="32" t="str">
        <f t="shared" si="2"/>
        <v>2018KnardDawgWeek 10</v>
      </c>
      <c r="C205" s="32" t="str">
        <f t="shared" si="3"/>
        <v>Week 10</v>
      </c>
      <c r="D205" s="32">
        <v>2018.0</v>
      </c>
      <c r="E205" t="str">
        <f t="shared" si="4"/>
        <v>10</v>
      </c>
      <c r="F205" t="str">
        <f t="shared" si="5"/>
        <v>Tyler Howard</v>
      </c>
      <c r="G205" s="40" t="str">
        <f>VLOOKUP(F205,'Manager Coding'!C:D,2,0)</f>
        <v>T-How</v>
      </c>
      <c r="H205" s="41">
        <f t="shared" si="6"/>
        <v>101.16</v>
      </c>
      <c r="I205" t="str">
        <f t="shared" si="7"/>
        <v>Alex Kinniard, Jack Reilly</v>
      </c>
      <c r="J205" t="str">
        <f>VLOOKUP(I205,'Manager Coding'!C:D,2,0)</f>
        <v>KnardDawg</v>
      </c>
      <c r="K205" s="41">
        <f t="shared" si="8"/>
        <v>112.9</v>
      </c>
      <c r="L205">
        <f t="shared" si="9"/>
        <v>0</v>
      </c>
      <c r="M205">
        <f t="shared" si="10"/>
        <v>1</v>
      </c>
      <c r="N205" s="54" t="s">
        <v>609</v>
      </c>
      <c r="O205" s="55" t="s">
        <v>85</v>
      </c>
      <c r="P205" s="50">
        <v>101.16</v>
      </c>
      <c r="Q205" s="46">
        <v>112.9</v>
      </c>
      <c r="R205" s="48" t="s">
        <v>87</v>
      </c>
      <c r="S205" s="54" t="s">
        <v>585</v>
      </c>
      <c r="T205">
        <f t="shared" si="11"/>
        <v>11.74</v>
      </c>
    </row>
    <row r="206" hidden="1">
      <c r="A206" s="32" t="str">
        <f t="shared" si="1"/>
        <v>2018BuserWeek 10</v>
      </c>
      <c r="B206" s="32" t="str">
        <f t="shared" si="2"/>
        <v>2018PiersonWeek 10</v>
      </c>
      <c r="C206" s="32" t="str">
        <f t="shared" si="3"/>
        <v>Week 10</v>
      </c>
      <c r="D206" s="32">
        <v>2018.0</v>
      </c>
      <c r="E206" t="str">
        <f t="shared" si="4"/>
        <v>10</v>
      </c>
      <c r="F206" t="str">
        <f t="shared" si="5"/>
        <v>Ed Buser</v>
      </c>
      <c r="G206" s="40" t="str">
        <f>VLOOKUP(F206,'Manager Coding'!C:D,2,0)</f>
        <v>Buser</v>
      </c>
      <c r="H206" s="41">
        <f t="shared" si="6"/>
        <v>109.42</v>
      </c>
      <c r="I206" t="str">
        <f t="shared" si="7"/>
        <v>Pierson Curtis</v>
      </c>
      <c r="J206" t="str">
        <f>VLOOKUP(I206,'Manager Coding'!C:D,2,0)</f>
        <v>Pierson</v>
      </c>
      <c r="K206" s="41">
        <f t="shared" si="8"/>
        <v>67.92</v>
      </c>
      <c r="L206">
        <f t="shared" si="9"/>
        <v>1</v>
      </c>
      <c r="M206">
        <f t="shared" si="10"/>
        <v>0</v>
      </c>
      <c r="N206" s="54" t="s">
        <v>611</v>
      </c>
      <c r="O206" s="55" t="s">
        <v>50</v>
      </c>
      <c r="P206" s="50">
        <v>109.42</v>
      </c>
      <c r="Q206" s="46">
        <v>67.92</v>
      </c>
      <c r="R206" s="48" t="s">
        <v>93</v>
      </c>
      <c r="S206" s="54" t="s">
        <v>590</v>
      </c>
      <c r="T206">
        <f t="shared" si="11"/>
        <v>41.5</v>
      </c>
    </row>
    <row r="207" hidden="1">
      <c r="A207" s="32" t="str">
        <f t="shared" si="1"/>
        <v>2018RileyWeek 10</v>
      </c>
      <c r="B207" s="32" t="str">
        <f t="shared" si="2"/>
        <v>2018TayskiWeek 10</v>
      </c>
      <c r="C207" s="32" t="str">
        <f t="shared" si="3"/>
        <v>Week 10</v>
      </c>
      <c r="D207" s="32">
        <v>2018.0</v>
      </c>
      <c r="E207" t="str">
        <f t="shared" si="4"/>
        <v>10</v>
      </c>
      <c r="F207" t="str">
        <f t="shared" si="5"/>
        <v>Riley McElwain</v>
      </c>
      <c r="G207" s="40" t="str">
        <f>VLOOKUP(F207,'Manager Coding'!C:D,2,0)</f>
        <v>Riley</v>
      </c>
      <c r="H207" s="41">
        <f t="shared" si="6"/>
        <v>127.96</v>
      </c>
      <c r="I207" t="str">
        <f t="shared" si="7"/>
        <v>Taylor Weis</v>
      </c>
      <c r="J207" t="str">
        <f>VLOOKUP(I207,'Manager Coding'!C:D,2,0)</f>
        <v>Tayski</v>
      </c>
      <c r="K207" s="41">
        <f t="shared" si="8"/>
        <v>115.2</v>
      </c>
      <c r="L207">
        <f t="shared" si="9"/>
        <v>1</v>
      </c>
      <c r="M207">
        <f t="shared" si="10"/>
        <v>0</v>
      </c>
      <c r="N207" s="54" t="s">
        <v>610</v>
      </c>
      <c r="O207" s="55" t="s">
        <v>68</v>
      </c>
      <c r="P207" s="50">
        <v>127.96</v>
      </c>
      <c r="Q207" s="46">
        <v>115.2</v>
      </c>
      <c r="R207" s="48" t="s">
        <v>54</v>
      </c>
      <c r="S207" s="54" t="s">
        <v>594</v>
      </c>
      <c r="T207">
        <f t="shared" si="11"/>
        <v>12.76</v>
      </c>
    </row>
    <row r="208" hidden="1">
      <c r="A208" s="32" t="str">
        <f t="shared" si="1"/>
        <v>2018Rooney/JacksonWeek 10</v>
      </c>
      <c r="B208" s="32" t="str">
        <f t="shared" si="2"/>
        <v>2018FellowsWeek 10</v>
      </c>
      <c r="C208" s="32" t="str">
        <f t="shared" si="3"/>
        <v>Week 10</v>
      </c>
      <c r="D208" s="32">
        <v>2018.0</v>
      </c>
      <c r="E208" t="str">
        <f t="shared" si="4"/>
        <v>10</v>
      </c>
      <c r="F208" t="str">
        <f t="shared" si="5"/>
        <v>Stephen Rooney, Jackson Sattell</v>
      </c>
      <c r="G208" s="40" t="str">
        <f>VLOOKUP(F208,'Manager Coding'!C:D,2,0)</f>
        <v>Rooney/Jackson</v>
      </c>
      <c r="H208" s="41">
        <f t="shared" si="6"/>
        <v>110.1</v>
      </c>
      <c r="I208" t="str">
        <f t="shared" si="7"/>
        <v>Michael Fellows</v>
      </c>
      <c r="J208" t="str">
        <f>VLOOKUP(I208,'Manager Coding'!C:D,2,0)</f>
        <v>Fellows</v>
      </c>
      <c r="K208" s="41">
        <f t="shared" si="8"/>
        <v>87.86</v>
      </c>
      <c r="L208">
        <f t="shared" si="9"/>
        <v>1</v>
      </c>
      <c r="M208">
        <f t="shared" si="10"/>
        <v>0</v>
      </c>
      <c r="N208" s="54" t="s">
        <v>605</v>
      </c>
      <c r="O208" s="55" t="s">
        <v>58</v>
      </c>
      <c r="P208" s="50">
        <v>110.1</v>
      </c>
      <c r="Q208" s="46">
        <v>87.86</v>
      </c>
      <c r="R208" s="48" t="s">
        <v>80</v>
      </c>
      <c r="S208" s="54" t="s">
        <v>602</v>
      </c>
      <c r="T208">
        <f t="shared" si="11"/>
        <v>22.24</v>
      </c>
    </row>
    <row r="209" hidden="1">
      <c r="A209" s="32" t="str">
        <f t="shared" si="1"/>
        <v>#N/A</v>
      </c>
      <c r="B209" s="32" t="str">
        <f t="shared" si="2"/>
        <v>#N/A</v>
      </c>
      <c r="C209" s="32" t="str">
        <f t="shared" si="3"/>
        <v>Week 10</v>
      </c>
      <c r="D209" s="32">
        <v>2018.0</v>
      </c>
      <c r="E209" t="str">
        <f t="shared" si="4"/>
        <v>10</v>
      </c>
      <c r="F209" t="str">
        <f t="shared" si="5"/>
        <v/>
      </c>
      <c r="G209" s="40" t="str">
        <f>VLOOKUP(F209,'Manager Coding'!C:D,2,0)</f>
        <v>#N/A</v>
      </c>
      <c r="H209" s="41" t="str">
        <f t="shared" si="6"/>
        <v/>
      </c>
      <c r="I209" t="str">
        <f t="shared" si="7"/>
        <v/>
      </c>
      <c r="J209" t="str">
        <f>VLOOKUP(I209,'Manager Coding'!C:D,2,0)</f>
        <v>#N/A</v>
      </c>
      <c r="K209" s="41" t="str">
        <f t="shared" si="8"/>
        <v/>
      </c>
      <c r="L209">
        <f t="shared" si="9"/>
        <v>0</v>
      </c>
      <c r="M209">
        <f t="shared" si="10"/>
        <v>0</v>
      </c>
      <c r="N209" s="53" t="s">
        <v>430</v>
      </c>
      <c r="P209" s="41"/>
      <c r="Q209" s="41"/>
      <c r="T209">
        <f t="shared" si="11"/>
        <v>0</v>
      </c>
    </row>
    <row r="210" hidden="1">
      <c r="A210" s="32" t="str">
        <f t="shared" si="1"/>
        <v>#N/A</v>
      </c>
      <c r="B210" s="32" t="str">
        <f t="shared" si="2"/>
        <v>#N/A</v>
      </c>
      <c r="C210" s="32" t="str">
        <f t="shared" si="3"/>
        <v>Week 11</v>
      </c>
      <c r="D210" s="32">
        <v>2018.0</v>
      </c>
      <c r="E210" t="str">
        <f t="shared" si="4"/>
        <v>11</v>
      </c>
      <c r="F210" t="str">
        <f t="shared" si="5"/>
        <v>TEAM MANAGER(S)</v>
      </c>
      <c r="G210" s="40" t="str">
        <f>VLOOKUP(F210,'Manager Coding'!C:D,2,0)</f>
        <v>#N/A</v>
      </c>
      <c r="H210" s="41" t="str">
        <f t="shared" si="6"/>
        <v>SCORE</v>
      </c>
      <c r="I210" t="str">
        <f t="shared" si="7"/>
        <v>TEAM MANAGER(S)</v>
      </c>
      <c r="J210" t="str">
        <f>VLOOKUP(I210,'Manager Coding'!C:D,2,0)</f>
        <v>#N/A</v>
      </c>
      <c r="K210" s="41" t="str">
        <f t="shared" si="8"/>
        <v>SCORE</v>
      </c>
      <c r="L210">
        <f t="shared" si="9"/>
        <v>0</v>
      </c>
      <c r="M210">
        <f t="shared" si="10"/>
        <v>0</v>
      </c>
      <c r="N210" s="24" t="s">
        <v>197</v>
      </c>
      <c r="O210" s="24" t="s">
        <v>88</v>
      </c>
      <c r="P210" s="26" t="s">
        <v>94</v>
      </c>
      <c r="Q210" s="27" t="s">
        <v>94</v>
      </c>
      <c r="R210" s="30" t="s">
        <v>88</v>
      </c>
      <c r="S210" s="30" t="s">
        <v>101</v>
      </c>
      <c r="T210">
        <f t="shared" si="11"/>
        <v>0</v>
      </c>
    </row>
    <row r="211" hidden="1">
      <c r="A211" s="32" t="str">
        <f t="shared" si="1"/>
        <v>2018SaltyWeek 11</v>
      </c>
      <c r="B211" s="32" t="str">
        <f t="shared" si="2"/>
        <v>2018HudspeathWeek 11</v>
      </c>
      <c r="C211" s="32" t="str">
        <f t="shared" si="3"/>
        <v>Week 11</v>
      </c>
      <c r="D211" s="32">
        <v>2018.0</v>
      </c>
      <c r="E211" t="str">
        <f t="shared" si="4"/>
        <v>11</v>
      </c>
      <c r="F211" t="str">
        <f t="shared" si="5"/>
        <v>R Saltiel</v>
      </c>
      <c r="G211" s="40" t="str">
        <f>VLOOKUP(F211,'Manager Coding'!C:D,2,0)</f>
        <v>Salty</v>
      </c>
      <c r="H211" s="41">
        <f t="shared" si="6"/>
        <v>87.14</v>
      </c>
      <c r="I211" t="str">
        <f t="shared" si="7"/>
        <v>matt hudspeath</v>
      </c>
      <c r="J211" t="str">
        <f>VLOOKUP(I211,'Manager Coding'!C:D,2,0)</f>
        <v>Hudspeath</v>
      </c>
      <c r="K211" s="41">
        <f t="shared" si="8"/>
        <v>80.16</v>
      </c>
      <c r="L211">
        <f t="shared" si="9"/>
        <v>1</v>
      </c>
      <c r="M211">
        <f t="shared" si="10"/>
        <v>0</v>
      </c>
      <c r="N211" s="54" t="s">
        <v>584</v>
      </c>
      <c r="O211" s="55" t="s">
        <v>77</v>
      </c>
      <c r="P211" s="50">
        <v>87.14</v>
      </c>
      <c r="Q211" s="46">
        <v>80.16</v>
      </c>
      <c r="R211" s="48" t="s">
        <v>64</v>
      </c>
      <c r="S211" s="54" t="s">
        <v>591</v>
      </c>
      <c r="T211">
        <f t="shared" si="11"/>
        <v>6.98</v>
      </c>
    </row>
    <row r="212" hidden="1">
      <c r="A212" s="32" t="str">
        <f t="shared" si="1"/>
        <v>2018KnardDawgWeek 11</v>
      </c>
      <c r="B212" s="32" t="str">
        <f t="shared" si="2"/>
        <v>2018ShepWeek 11</v>
      </c>
      <c r="C212" s="32" t="str">
        <f t="shared" si="3"/>
        <v>Week 11</v>
      </c>
      <c r="D212" s="32">
        <v>2018.0</v>
      </c>
      <c r="E212" t="str">
        <f t="shared" si="4"/>
        <v>11</v>
      </c>
      <c r="F212" t="str">
        <f t="shared" si="5"/>
        <v>Alex Kinniard, Jack Reilly</v>
      </c>
      <c r="G212" s="40" t="str">
        <f>VLOOKUP(F212,'Manager Coding'!C:D,2,0)</f>
        <v>KnardDawg</v>
      </c>
      <c r="H212" s="41">
        <f t="shared" si="6"/>
        <v>99.52</v>
      </c>
      <c r="I212" t="str">
        <f t="shared" si="7"/>
        <v>Jordan Shepherd</v>
      </c>
      <c r="J212" t="str">
        <f>VLOOKUP(I212,'Manager Coding'!C:D,2,0)</f>
        <v>Shep</v>
      </c>
      <c r="K212" s="41">
        <f t="shared" si="8"/>
        <v>129.22</v>
      </c>
      <c r="L212">
        <f t="shared" si="9"/>
        <v>0</v>
      </c>
      <c r="M212">
        <f t="shared" si="10"/>
        <v>1</v>
      </c>
      <c r="N212" s="54" t="s">
        <v>585</v>
      </c>
      <c r="O212" s="55" t="s">
        <v>87</v>
      </c>
      <c r="P212" s="50">
        <v>99.52</v>
      </c>
      <c r="Q212" s="46">
        <v>129.22</v>
      </c>
      <c r="R212" s="48" t="s">
        <v>91</v>
      </c>
      <c r="S212" s="54" t="s">
        <v>595</v>
      </c>
      <c r="T212">
        <f t="shared" si="11"/>
        <v>29.7</v>
      </c>
    </row>
    <row r="213" hidden="1">
      <c r="A213" s="32" t="str">
        <f t="shared" si="1"/>
        <v>2018PiersonWeek 11</v>
      </c>
      <c r="B213" s="32" t="str">
        <f t="shared" si="2"/>
        <v>2018CockWeek 11</v>
      </c>
      <c r="C213" s="32" t="str">
        <f t="shared" si="3"/>
        <v>Week 11</v>
      </c>
      <c r="D213" s="32">
        <v>2018.0</v>
      </c>
      <c r="E213" t="str">
        <f t="shared" si="4"/>
        <v>11</v>
      </c>
      <c r="F213" t="str">
        <f t="shared" si="5"/>
        <v>Pierson Curtis</v>
      </c>
      <c r="G213" s="40" t="str">
        <f>VLOOKUP(F213,'Manager Coding'!C:D,2,0)</f>
        <v>Pierson</v>
      </c>
      <c r="H213" s="41">
        <f t="shared" si="6"/>
        <v>70.14</v>
      </c>
      <c r="I213" t="str">
        <f t="shared" si="7"/>
        <v>Jack Babcock, Chris Cochrane</v>
      </c>
      <c r="J213" t="str">
        <f>VLOOKUP(I213,'Manager Coding'!C:D,2,0)</f>
        <v>Cock</v>
      </c>
      <c r="K213" s="41">
        <f t="shared" si="8"/>
        <v>116.18</v>
      </c>
      <c r="L213">
        <f t="shared" si="9"/>
        <v>0</v>
      </c>
      <c r="M213">
        <f t="shared" si="10"/>
        <v>1</v>
      </c>
      <c r="N213" s="54" t="s">
        <v>590</v>
      </c>
      <c r="O213" s="55" t="s">
        <v>93</v>
      </c>
      <c r="P213" s="50">
        <v>70.14</v>
      </c>
      <c r="Q213" s="46">
        <v>116.18</v>
      </c>
      <c r="R213" s="48" t="s">
        <v>73</v>
      </c>
      <c r="S213" s="54" t="s">
        <v>603</v>
      </c>
      <c r="T213">
        <f t="shared" si="11"/>
        <v>46.04</v>
      </c>
    </row>
    <row r="214" hidden="1">
      <c r="A214" s="32" t="str">
        <f t="shared" si="1"/>
        <v>2018TayskiWeek 11</v>
      </c>
      <c r="B214" s="32" t="str">
        <f t="shared" si="2"/>
        <v>2018T-HowWeek 11</v>
      </c>
      <c r="C214" s="32" t="str">
        <f t="shared" si="3"/>
        <v>Week 11</v>
      </c>
      <c r="D214" s="32">
        <v>2018.0</v>
      </c>
      <c r="E214" t="str">
        <f t="shared" si="4"/>
        <v>11</v>
      </c>
      <c r="F214" t="str">
        <f t="shared" si="5"/>
        <v>Taylor Weis</v>
      </c>
      <c r="G214" s="40" t="str">
        <f>VLOOKUP(F214,'Manager Coding'!C:D,2,0)</f>
        <v>Tayski</v>
      </c>
      <c r="H214" s="41">
        <f t="shared" si="6"/>
        <v>77.48</v>
      </c>
      <c r="I214" t="str">
        <f t="shared" si="7"/>
        <v>Tyler Howard</v>
      </c>
      <c r="J214" t="str">
        <f>VLOOKUP(I214,'Manager Coding'!C:D,2,0)</f>
        <v>T-How</v>
      </c>
      <c r="K214" s="41">
        <f t="shared" si="8"/>
        <v>76.4</v>
      </c>
      <c r="L214">
        <f t="shared" si="9"/>
        <v>1</v>
      </c>
      <c r="M214">
        <f t="shared" si="10"/>
        <v>0</v>
      </c>
      <c r="N214" s="54" t="s">
        <v>594</v>
      </c>
      <c r="O214" s="55" t="s">
        <v>54</v>
      </c>
      <c r="P214" s="50">
        <v>77.48</v>
      </c>
      <c r="Q214" s="46">
        <v>76.4</v>
      </c>
      <c r="R214" s="48" t="s">
        <v>85</v>
      </c>
      <c r="S214" s="54" t="s">
        <v>609</v>
      </c>
      <c r="T214">
        <f t="shared" si="11"/>
        <v>1.08</v>
      </c>
    </row>
    <row r="215" hidden="1">
      <c r="A215" s="32" t="str">
        <f t="shared" si="1"/>
        <v>2018FellowsWeek 11</v>
      </c>
      <c r="B215" s="32" t="str">
        <f t="shared" si="2"/>
        <v>2018BuserWeek 11</v>
      </c>
      <c r="C215" s="32" t="str">
        <f t="shared" si="3"/>
        <v>Week 11</v>
      </c>
      <c r="D215" s="32">
        <v>2018.0</v>
      </c>
      <c r="E215" t="str">
        <f t="shared" si="4"/>
        <v>11</v>
      </c>
      <c r="F215" t="str">
        <f t="shared" si="5"/>
        <v>Michael Fellows</v>
      </c>
      <c r="G215" s="40" t="str">
        <f>VLOOKUP(F215,'Manager Coding'!C:D,2,0)</f>
        <v>Fellows</v>
      </c>
      <c r="H215" s="41">
        <f t="shared" si="6"/>
        <v>95.42</v>
      </c>
      <c r="I215" t="str">
        <f t="shared" si="7"/>
        <v>Ed Buser</v>
      </c>
      <c r="J215" t="str">
        <f>VLOOKUP(I215,'Manager Coding'!C:D,2,0)</f>
        <v>Buser</v>
      </c>
      <c r="K215" s="41">
        <f t="shared" si="8"/>
        <v>127.18</v>
      </c>
      <c r="L215">
        <f t="shared" si="9"/>
        <v>0</v>
      </c>
      <c r="M215">
        <f t="shared" si="10"/>
        <v>1</v>
      </c>
      <c r="N215" s="54" t="s">
        <v>602</v>
      </c>
      <c r="O215" s="55" t="s">
        <v>80</v>
      </c>
      <c r="P215" s="50">
        <v>95.42</v>
      </c>
      <c r="Q215" s="46">
        <v>127.18</v>
      </c>
      <c r="R215" s="48" t="s">
        <v>50</v>
      </c>
      <c r="S215" s="54" t="s">
        <v>611</v>
      </c>
      <c r="T215">
        <f t="shared" si="11"/>
        <v>31.76</v>
      </c>
    </row>
    <row r="216" hidden="1">
      <c r="A216" s="32" t="str">
        <f t="shared" si="1"/>
        <v>2018Rooney/JacksonWeek 11</v>
      </c>
      <c r="B216" s="32" t="str">
        <f t="shared" si="2"/>
        <v>2018RileyWeek 11</v>
      </c>
      <c r="C216" s="32" t="str">
        <f t="shared" si="3"/>
        <v>Week 11</v>
      </c>
      <c r="D216" s="32">
        <v>2018.0</v>
      </c>
      <c r="E216" t="str">
        <f t="shared" si="4"/>
        <v>11</v>
      </c>
      <c r="F216" t="str">
        <f t="shared" si="5"/>
        <v>Stephen Rooney, Jackson Sattell</v>
      </c>
      <c r="G216" s="40" t="str">
        <f>VLOOKUP(F216,'Manager Coding'!C:D,2,0)</f>
        <v>Rooney/Jackson</v>
      </c>
      <c r="H216" s="41">
        <f t="shared" si="6"/>
        <v>91.12</v>
      </c>
      <c r="I216" t="str">
        <f t="shared" si="7"/>
        <v>Riley McElwain</v>
      </c>
      <c r="J216" t="str">
        <f>VLOOKUP(I216,'Manager Coding'!C:D,2,0)</f>
        <v>Riley</v>
      </c>
      <c r="K216" s="41">
        <f t="shared" si="8"/>
        <v>133.08</v>
      </c>
      <c r="L216">
        <f t="shared" si="9"/>
        <v>0</v>
      </c>
      <c r="M216">
        <f t="shared" si="10"/>
        <v>1</v>
      </c>
      <c r="N216" s="54" t="s">
        <v>605</v>
      </c>
      <c r="O216" s="55" t="s">
        <v>58</v>
      </c>
      <c r="P216" s="50">
        <v>91.12</v>
      </c>
      <c r="Q216" s="46">
        <v>133.08</v>
      </c>
      <c r="R216" s="48" t="s">
        <v>68</v>
      </c>
      <c r="S216" s="54" t="s">
        <v>610</v>
      </c>
      <c r="T216">
        <f t="shared" si="11"/>
        <v>41.96</v>
      </c>
    </row>
    <row r="217" hidden="1">
      <c r="A217" s="32" t="str">
        <f t="shared" si="1"/>
        <v>#N/A</v>
      </c>
      <c r="B217" s="32" t="str">
        <f t="shared" si="2"/>
        <v>#N/A</v>
      </c>
      <c r="C217" s="32" t="str">
        <f t="shared" si="3"/>
        <v>Week 11</v>
      </c>
      <c r="D217" s="32">
        <v>2018.0</v>
      </c>
      <c r="E217" t="str">
        <f t="shared" si="4"/>
        <v>11</v>
      </c>
      <c r="F217" t="str">
        <f t="shared" si="5"/>
        <v/>
      </c>
      <c r="G217" s="40" t="str">
        <f>VLOOKUP(F217,'Manager Coding'!C:D,2,0)</f>
        <v>#N/A</v>
      </c>
      <c r="H217" s="41" t="str">
        <f t="shared" si="6"/>
        <v/>
      </c>
      <c r="I217" t="str">
        <f t="shared" si="7"/>
        <v/>
      </c>
      <c r="J217" t="str">
        <f>VLOOKUP(I217,'Manager Coding'!C:D,2,0)</f>
        <v>#N/A</v>
      </c>
      <c r="K217" s="41" t="str">
        <f t="shared" si="8"/>
        <v/>
      </c>
      <c r="L217">
        <f t="shared" si="9"/>
        <v>0</v>
      </c>
      <c r="M217">
        <f t="shared" si="10"/>
        <v>0</v>
      </c>
      <c r="N217" s="53" t="s">
        <v>455</v>
      </c>
      <c r="P217" s="41"/>
      <c r="Q217" s="41"/>
      <c r="T217">
        <f t="shared" si="11"/>
        <v>0</v>
      </c>
    </row>
    <row r="218" hidden="1">
      <c r="A218" s="32" t="str">
        <f t="shared" si="1"/>
        <v>#N/A</v>
      </c>
      <c r="B218" s="32" t="str">
        <f t="shared" si="2"/>
        <v>#N/A</v>
      </c>
      <c r="C218" s="32" t="str">
        <f t="shared" si="3"/>
        <v>Week 12</v>
      </c>
      <c r="D218" s="32">
        <v>2018.0</v>
      </c>
      <c r="E218" t="str">
        <f t="shared" si="4"/>
        <v>12</v>
      </c>
      <c r="F218" t="str">
        <f t="shared" si="5"/>
        <v>TEAM MANAGER(S)</v>
      </c>
      <c r="G218" s="40" t="str">
        <f>VLOOKUP(F218,'Manager Coding'!C:D,2,0)</f>
        <v>#N/A</v>
      </c>
      <c r="H218" s="41" t="str">
        <f t="shared" si="6"/>
        <v>SCORE</v>
      </c>
      <c r="I218" t="str">
        <f t="shared" si="7"/>
        <v>TEAM MANAGER(S)</v>
      </c>
      <c r="J218" t="str">
        <f>VLOOKUP(I218,'Manager Coding'!C:D,2,0)</f>
        <v>#N/A</v>
      </c>
      <c r="K218" s="41" t="str">
        <f t="shared" si="8"/>
        <v>SCORE</v>
      </c>
      <c r="L218">
        <f t="shared" si="9"/>
        <v>0</v>
      </c>
      <c r="M218">
        <f t="shared" si="10"/>
        <v>0</v>
      </c>
      <c r="N218" s="24" t="s">
        <v>197</v>
      </c>
      <c r="O218" s="24" t="s">
        <v>88</v>
      </c>
      <c r="P218" s="26" t="s">
        <v>94</v>
      </c>
      <c r="Q218" s="27" t="s">
        <v>94</v>
      </c>
      <c r="R218" s="30" t="s">
        <v>88</v>
      </c>
      <c r="S218" s="30" t="s">
        <v>101</v>
      </c>
      <c r="T218">
        <f t="shared" si="11"/>
        <v>0</v>
      </c>
    </row>
    <row r="219" hidden="1">
      <c r="A219" s="32" t="str">
        <f t="shared" si="1"/>
        <v>2018KnardDawgWeek 12</v>
      </c>
      <c r="B219" s="32" t="str">
        <f t="shared" si="2"/>
        <v>2018SaltyWeek 12</v>
      </c>
      <c r="C219" s="32" t="str">
        <f t="shared" si="3"/>
        <v>Week 12</v>
      </c>
      <c r="D219" s="32">
        <v>2018.0</v>
      </c>
      <c r="E219" t="str">
        <f t="shared" si="4"/>
        <v>12</v>
      </c>
      <c r="F219" t="str">
        <f t="shared" si="5"/>
        <v>Alex Kinniard, Jack Reilly</v>
      </c>
      <c r="G219" s="40" t="str">
        <f>VLOOKUP(F219,'Manager Coding'!C:D,2,0)</f>
        <v>KnardDawg</v>
      </c>
      <c r="H219" s="41">
        <f t="shared" si="6"/>
        <v>102.74</v>
      </c>
      <c r="I219" t="str">
        <f t="shared" si="7"/>
        <v>R Saltiel</v>
      </c>
      <c r="J219" t="str">
        <f>VLOOKUP(I219,'Manager Coding'!C:D,2,0)</f>
        <v>Salty</v>
      </c>
      <c r="K219" s="41">
        <f t="shared" si="8"/>
        <v>52.94</v>
      </c>
      <c r="L219">
        <f t="shared" si="9"/>
        <v>1</v>
      </c>
      <c r="M219">
        <f t="shared" si="10"/>
        <v>0</v>
      </c>
      <c r="N219" s="54" t="s">
        <v>585</v>
      </c>
      <c r="O219" s="55" t="s">
        <v>87</v>
      </c>
      <c r="P219" s="50">
        <v>102.74</v>
      </c>
      <c r="Q219" s="46">
        <v>52.94</v>
      </c>
      <c r="R219" s="48" t="s">
        <v>77</v>
      </c>
      <c r="S219" s="54" t="s">
        <v>584</v>
      </c>
      <c r="T219">
        <f t="shared" si="11"/>
        <v>49.8</v>
      </c>
    </row>
    <row r="220" hidden="1">
      <c r="A220" s="32" t="str">
        <f t="shared" si="1"/>
        <v>2018HudspeathWeek 12</v>
      </c>
      <c r="B220" s="32" t="str">
        <f t="shared" si="2"/>
        <v>2018PiersonWeek 12</v>
      </c>
      <c r="C220" s="32" t="str">
        <f t="shared" si="3"/>
        <v>Week 12</v>
      </c>
      <c r="D220" s="32">
        <v>2018.0</v>
      </c>
      <c r="E220" t="str">
        <f t="shared" si="4"/>
        <v>12</v>
      </c>
      <c r="F220" t="str">
        <f t="shared" si="5"/>
        <v>matt hudspeath</v>
      </c>
      <c r="G220" s="40" t="str">
        <f>VLOOKUP(F220,'Manager Coding'!C:D,2,0)</f>
        <v>Hudspeath</v>
      </c>
      <c r="H220" s="41">
        <f t="shared" si="6"/>
        <v>92.58</v>
      </c>
      <c r="I220" t="str">
        <f t="shared" si="7"/>
        <v>Pierson Curtis</v>
      </c>
      <c r="J220" t="str">
        <f>VLOOKUP(I220,'Manager Coding'!C:D,2,0)</f>
        <v>Pierson</v>
      </c>
      <c r="K220" s="41">
        <f t="shared" si="8"/>
        <v>94.66</v>
      </c>
      <c r="L220">
        <f t="shared" si="9"/>
        <v>0</v>
      </c>
      <c r="M220">
        <f t="shared" si="10"/>
        <v>1</v>
      </c>
      <c r="N220" s="54" t="s">
        <v>591</v>
      </c>
      <c r="O220" s="55" t="s">
        <v>64</v>
      </c>
      <c r="P220" s="50">
        <v>92.58</v>
      </c>
      <c r="Q220" s="46">
        <v>94.66</v>
      </c>
      <c r="R220" s="48" t="s">
        <v>93</v>
      </c>
      <c r="S220" s="54" t="s">
        <v>590</v>
      </c>
      <c r="T220">
        <f t="shared" si="11"/>
        <v>2.08</v>
      </c>
    </row>
    <row r="221" hidden="1">
      <c r="A221" s="32" t="str">
        <f t="shared" si="1"/>
        <v>2018ShepWeek 12</v>
      </c>
      <c r="B221" s="32" t="str">
        <f t="shared" si="2"/>
        <v>2018TayskiWeek 12</v>
      </c>
      <c r="C221" s="32" t="str">
        <f t="shared" si="3"/>
        <v>Week 12</v>
      </c>
      <c r="D221" s="32">
        <v>2018.0</v>
      </c>
      <c r="E221" t="str">
        <f t="shared" si="4"/>
        <v>12</v>
      </c>
      <c r="F221" t="str">
        <f t="shared" si="5"/>
        <v>Jordan Shepherd</v>
      </c>
      <c r="G221" s="40" t="str">
        <f>VLOOKUP(F221,'Manager Coding'!C:D,2,0)</f>
        <v>Shep</v>
      </c>
      <c r="H221" s="41">
        <f t="shared" si="6"/>
        <v>150.98</v>
      </c>
      <c r="I221" t="str">
        <f t="shared" si="7"/>
        <v>Taylor Weis</v>
      </c>
      <c r="J221" t="str">
        <f>VLOOKUP(I221,'Manager Coding'!C:D,2,0)</f>
        <v>Tayski</v>
      </c>
      <c r="K221" s="41">
        <f t="shared" si="8"/>
        <v>120.72</v>
      </c>
      <c r="L221">
        <f t="shared" si="9"/>
        <v>1</v>
      </c>
      <c r="M221">
        <f t="shared" si="10"/>
        <v>0</v>
      </c>
      <c r="N221" s="54" t="s">
        <v>595</v>
      </c>
      <c r="O221" s="55" t="s">
        <v>91</v>
      </c>
      <c r="P221" s="50">
        <v>150.98</v>
      </c>
      <c r="Q221" s="46">
        <v>120.72</v>
      </c>
      <c r="R221" s="48" t="s">
        <v>54</v>
      </c>
      <c r="S221" s="54" t="s">
        <v>594</v>
      </c>
      <c r="T221">
        <f t="shared" si="11"/>
        <v>30.26</v>
      </c>
    </row>
    <row r="222" hidden="1">
      <c r="A222" s="32" t="str">
        <f t="shared" si="1"/>
        <v>2018CockWeek 12</v>
      </c>
      <c r="B222" s="32" t="str">
        <f t="shared" si="2"/>
        <v>2018FellowsWeek 12</v>
      </c>
      <c r="C222" s="32" t="str">
        <f t="shared" si="3"/>
        <v>Week 12</v>
      </c>
      <c r="D222" s="32">
        <v>2018.0</v>
      </c>
      <c r="E222" t="str">
        <f t="shared" si="4"/>
        <v>12</v>
      </c>
      <c r="F222" t="str">
        <f t="shared" si="5"/>
        <v>Jack Babcock, Chris Cochrane</v>
      </c>
      <c r="G222" s="40" t="str">
        <f>VLOOKUP(F222,'Manager Coding'!C:D,2,0)</f>
        <v>Cock</v>
      </c>
      <c r="H222" s="41">
        <f t="shared" si="6"/>
        <v>107.78</v>
      </c>
      <c r="I222" t="str">
        <f t="shared" si="7"/>
        <v>Michael Fellows</v>
      </c>
      <c r="J222" t="str">
        <f>VLOOKUP(I222,'Manager Coding'!C:D,2,0)</f>
        <v>Fellows</v>
      </c>
      <c r="K222" s="41">
        <f t="shared" si="8"/>
        <v>101.96</v>
      </c>
      <c r="L222">
        <f t="shared" si="9"/>
        <v>1</v>
      </c>
      <c r="M222">
        <f t="shared" si="10"/>
        <v>0</v>
      </c>
      <c r="N222" s="54" t="s">
        <v>603</v>
      </c>
      <c r="O222" s="55" t="s">
        <v>73</v>
      </c>
      <c r="P222" s="50">
        <v>107.78</v>
      </c>
      <c r="Q222" s="46">
        <v>101.96</v>
      </c>
      <c r="R222" s="48" t="s">
        <v>80</v>
      </c>
      <c r="S222" s="54" t="s">
        <v>602</v>
      </c>
      <c r="T222">
        <f t="shared" si="11"/>
        <v>5.82</v>
      </c>
    </row>
    <row r="223" hidden="1">
      <c r="A223" s="32" t="str">
        <f t="shared" si="1"/>
        <v>2018T-HowWeek 12</v>
      </c>
      <c r="B223" s="32" t="str">
        <f t="shared" si="2"/>
        <v>2018Rooney/JacksonWeek 12</v>
      </c>
      <c r="C223" s="32" t="str">
        <f t="shared" si="3"/>
        <v>Week 12</v>
      </c>
      <c r="D223" s="32">
        <v>2018.0</v>
      </c>
      <c r="E223" t="str">
        <f t="shared" si="4"/>
        <v>12</v>
      </c>
      <c r="F223" t="str">
        <f t="shared" si="5"/>
        <v>Tyler Howard</v>
      </c>
      <c r="G223" s="40" t="str">
        <f>VLOOKUP(F223,'Manager Coding'!C:D,2,0)</f>
        <v>T-How</v>
      </c>
      <c r="H223" s="41">
        <f t="shared" si="6"/>
        <v>123.82</v>
      </c>
      <c r="I223" t="str">
        <f t="shared" si="7"/>
        <v>Stephen Rooney, Jackson Sattell</v>
      </c>
      <c r="J223" t="str">
        <f>VLOOKUP(I223,'Manager Coding'!C:D,2,0)</f>
        <v>Rooney/Jackson</v>
      </c>
      <c r="K223" s="41">
        <f t="shared" si="8"/>
        <v>84.78</v>
      </c>
      <c r="L223">
        <f t="shared" si="9"/>
        <v>1</v>
      </c>
      <c r="M223">
        <f t="shared" si="10"/>
        <v>0</v>
      </c>
      <c r="N223" s="54" t="s">
        <v>609</v>
      </c>
      <c r="O223" s="55" t="s">
        <v>85</v>
      </c>
      <c r="P223" s="50">
        <v>123.82</v>
      </c>
      <c r="Q223" s="46">
        <v>84.78</v>
      </c>
      <c r="R223" s="48" t="s">
        <v>58</v>
      </c>
      <c r="S223" s="54" t="s">
        <v>605</v>
      </c>
      <c r="T223">
        <f t="shared" si="11"/>
        <v>39.04</v>
      </c>
    </row>
    <row r="224" hidden="1">
      <c r="A224" s="32" t="str">
        <f t="shared" si="1"/>
        <v>2018BuserWeek 12</v>
      </c>
      <c r="B224" s="32" t="str">
        <f t="shared" si="2"/>
        <v>2018RileyWeek 12</v>
      </c>
      <c r="C224" s="32" t="str">
        <f t="shared" si="3"/>
        <v>Week 12</v>
      </c>
      <c r="D224" s="32">
        <v>2018.0</v>
      </c>
      <c r="E224" t="str">
        <f t="shared" si="4"/>
        <v>12</v>
      </c>
      <c r="F224" t="str">
        <f t="shared" si="5"/>
        <v>Ed Buser</v>
      </c>
      <c r="G224" s="40" t="str">
        <f>VLOOKUP(F224,'Manager Coding'!C:D,2,0)</f>
        <v>Buser</v>
      </c>
      <c r="H224" s="41">
        <f t="shared" si="6"/>
        <v>109.94</v>
      </c>
      <c r="I224" t="str">
        <f t="shared" si="7"/>
        <v>Riley McElwain</v>
      </c>
      <c r="J224" t="str">
        <f>VLOOKUP(I224,'Manager Coding'!C:D,2,0)</f>
        <v>Riley</v>
      </c>
      <c r="K224" s="41">
        <f t="shared" si="8"/>
        <v>99.32</v>
      </c>
      <c r="L224">
        <f t="shared" si="9"/>
        <v>1</v>
      </c>
      <c r="M224">
        <f t="shared" si="10"/>
        <v>0</v>
      </c>
      <c r="N224" s="54" t="s">
        <v>611</v>
      </c>
      <c r="O224" s="55" t="s">
        <v>50</v>
      </c>
      <c r="P224" s="50">
        <v>109.94</v>
      </c>
      <c r="Q224" s="46">
        <v>99.32</v>
      </c>
      <c r="R224" s="48" t="s">
        <v>68</v>
      </c>
      <c r="S224" s="54" t="s">
        <v>610</v>
      </c>
      <c r="T224">
        <f t="shared" si="11"/>
        <v>10.62</v>
      </c>
    </row>
    <row r="225" hidden="1">
      <c r="A225" s="32" t="str">
        <f t="shared" si="1"/>
        <v>#N/A</v>
      </c>
      <c r="B225" s="32" t="str">
        <f t="shared" si="2"/>
        <v>#N/A</v>
      </c>
      <c r="C225" s="32" t="str">
        <f t="shared" si="3"/>
        <v>Week 12</v>
      </c>
      <c r="D225" s="32">
        <v>2018.0</v>
      </c>
      <c r="E225" t="str">
        <f t="shared" si="4"/>
        <v>12</v>
      </c>
      <c r="F225" t="str">
        <f t="shared" si="5"/>
        <v/>
      </c>
      <c r="G225" s="40" t="str">
        <f>VLOOKUP(F225,'Manager Coding'!C:D,2,0)</f>
        <v>#N/A</v>
      </c>
      <c r="H225" s="41" t="str">
        <f t="shared" si="6"/>
        <v/>
      </c>
      <c r="I225" t="str">
        <f t="shared" si="7"/>
        <v/>
      </c>
      <c r="J225" t="str">
        <f>VLOOKUP(I225,'Manager Coding'!C:D,2,0)</f>
        <v>#N/A</v>
      </c>
      <c r="K225" s="41" t="str">
        <f t="shared" si="8"/>
        <v/>
      </c>
      <c r="L225">
        <f t="shared" si="9"/>
        <v>0</v>
      </c>
      <c r="M225">
        <f t="shared" si="10"/>
        <v>0</v>
      </c>
      <c r="N225" s="53" t="s">
        <v>477</v>
      </c>
      <c r="P225" s="41"/>
      <c r="Q225" s="41"/>
      <c r="T225">
        <f t="shared" si="11"/>
        <v>0</v>
      </c>
    </row>
    <row r="226" hidden="1">
      <c r="A226" s="32" t="str">
        <f t="shared" si="1"/>
        <v>#N/A</v>
      </c>
      <c r="B226" s="32" t="str">
        <f t="shared" si="2"/>
        <v>#N/A</v>
      </c>
      <c r="C226" s="32" t="str">
        <f t="shared" si="3"/>
        <v>Week 13</v>
      </c>
      <c r="D226" s="32">
        <v>2018.0</v>
      </c>
      <c r="E226" t="str">
        <f t="shared" si="4"/>
        <v>13</v>
      </c>
      <c r="F226" t="str">
        <f t="shared" si="5"/>
        <v>TEAM MANAGER(S)</v>
      </c>
      <c r="G226" s="40" t="str">
        <f>VLOOKUP(F226,'Manager Coding'!C:D,2,0)</f>
        <v>#N/A</v>
      </c>
      <c r="H226" s="41" t="str">
        <f t="shared" si="6"/>
        <v>SCORE</v>
      </c>
      <c r="I226" t="str">
        <f t="shared" si="7"/>
        <v>TEAM MANAGER(S)</v>
      </c>
      <c r="J226" t="str">
        <f>VLOOKUP(I226,'Manager Coding'!C:D,2,0)</f>
        <v>#N/A</v>
      </c>
      <c r="K226" s="41" t="str">
        <f t="shared" si="8"/>
        <v>SCORE</v>
      </c>
      <c r="L226">
        <f t="shared" si="9"/>
        <v>0</v>
      </c>
      <c r="M226">
        <f t="shared" si="10"/>
        <v>0</v>
      </c>
      <c r="N226" s="24" t="s">
        <v>197</v>
      </c>
      <c r="O226" s="24" t="s">
        <v>88</v>
      </c>
      <c r="P226" s="26" t="s">
        <v>94</v>
      </c>
      <c r="Q226" s="27" t="s">
        <v>94</v>
      </c>
      <c r="R226" s="30" t="s">
        <v>88</v>
      </c>
      <c r="S226" s="30" t="s">
        <v>101</v>
      </c>
      <c r="T226">
        <f t="shared" si="11"/>
        <v>0</v>
      </c>
    </row>
    <row r="227" hidden="1">
      <c r="A227" s="32" t="str">
        <f t="shared" si="1"/>
        <v>2018SaltyWeek 13</v>
      </c>
      <c r="B227" s="32" t="str">
        <f t="shared" si="2"/>
        <v>2018PiersonWeek 13</v>
      </c>
      <c r="C227" s="32" t="str">
        <f t="shared" si="3"/>
        <v>Week 13</v>
      </c>
      <c r="D227" s="32">
        <v>2018.0</v>
      </c>
      <c r="E227" t="str">
        <f t="shared" si="4"/>
        <v>13</v>
      </c>
      <c r="F227" t="str">
        <f t="shared" si="5"/>
        <v>R Saltiel</v>
      </c>
      <c r="G227" s="40" t="str">
        <f>VLOOKUP(F227,'Manager Coding'!C:D,2,0)</f>
        <v>Salty</v>
      </c>
      <c r="H227" s="41">
        <f t="shared" si="6"/>
        <v>110.64</v>
      </c>
      <c r="I227" t="str">
        <f t="shared" si="7"/>
        <v>Pierson Curtis</v>
      </c>
      <c r="J227" t="str">
        <f>VLOOKUP(I227,'Manager Coding'!C:D,2,0)</f>
        <v>Pierson</v>
      </c>
      <c r="K227" s="41">
        <f t="shared" si="8"/>
        <v>88.5</v>
      </c>
      <c r="L227">
        <f t="shared" si="9"/>
        <v>1</v>
      </c>
      <c r="M227">
        <f t="shared" si="10"/>
        <v>0</v>
      </c>
      <c r="N227" s="54" t="s">
        <v>584</v>
      </c>
      <c r="O227" s="55" t="s">
        <v>77</v>
      </c>
      <c r="P227" s="50">
        <v>110.64</v>
      </c>
      <c r="Q227" s="46">
        <v>88.5</v>
      </c>
      <c r="R227" s="48" t="s">
        <v>93</v>
      </c>
      <c r="S227" s="54" t="s">
        <v>590</v>
      </c>
      <c r="T227">
        <f t="shared" si="11"/>
        <v>22.14</v>
      </c>
    </row>
    <row r="228" hidden="1">
      <c r="A228" s="32" t="str">
        <f t="shared" si="1"/>
        <v>2018TayskiWeek 13</v>
      </c>
      <c r="B228" s="32" t="str">
        <f t="shared" si="2"/>
        <v>2018KnardDawgWeek 13</v>
      </c>
      <c r="C228" s="32" t="str">
        <f t="shared" si="3"/>
        <v>Week 13</v>
      </c>
      <c r="D228" s="32">
        <v>2018.0</v>
      </c>
      <c r="E228" t="str">
        <f t="shared" si="4"/>
        <v>13</v>
      </c>
      <c r="F228" t="str">
        <f t="shared" si="5"/>
        <v>Taylor Weis</v>
      </c>
      <c r="G228" s="40" t="str">
        <f>VLOOKUP(F228,'Manager Coding'!C:D,2,0)</f>
        <v>Tayski</v>
      </c>
      <c r="H228" s="41">
        <f t="shared" si="6"/>
        <v>71.82</v>
      </c>
      <c r="I228" t="str">
        <f t="shared" si="7"/>
        <v>Alex Kinniard, Jack Reilly</v>
      </c>
      <c r="J228" t="str">
        <f>VLOOKUP(I228,'Manager Coding'!C:D,2,0)</f>
        <v>KnardDawg</v>
      </c>
      <c r="K228" s="41">
        <f t="shared" si="8"/>
        <v>87.38</v>
      </c>
      <c r="L228">
        <f t="shared" si="9"/>
        <v>0</v>
      </c>
      <c r="M228">
        <f t="shared" si="10"/>
        <v>1</v>
      </c>
      <c r="N228" s="54" t="s">
        <v>594</v>
      </c>
      <c r="O228" s="55" t="s">
        <v>54</v>
      </c>
      <c r="P228" s="50">
        <v>71.82</v>
      </c>
      <c r="Q228" s="46">
        <v>87.38</v>
      </c>
      <c r="R228" s="48" t="s">
        <v>87</v>
      </c>
      <c r="S228" s="54" t="s">
        <v>585</v>
      </c>
      <c r="T228">
        <f t="shared" si="11"/>
        <v>15.56</v>
      </c>
    </row>
    <row r="229" hidden="1">
      <c r="A229" s="32" t="str">
        <f t="shared" si="1"/>
        <v>2018FellowsWeek 13</v>
      </c>
      <c r="B229" s="32" t="str">
        <f t="shared" si="2"/>
        <v>2018HudspeathWeek 13</v>
      </c>
      <c r="C229" s="32" t="str">
        <f t="shared" si="3"/>
        <v>Week 13</v>
      </c>
      <c r="D229" s="32">
        <v>2018.0</v>
      </c>
      <c r="E229" t="str">
        <f t="shared" si="4"/>
        <v>13</v>
      </c>
      <c r="F229" t="str">
        <f t="shared" si="5"/>
        <v>Michael Fellows</v>
      </c>
      <c r="G229" s="40" t="str">
        <f>VLOOKUP(F229,'Manager Coding'!C:D,2,0)</f>
        <v>Fellows</v>
      </c>
      <c r="H229" s="41">
        <f t="shared" si="6"/>
        <v>70.66</v>
      </c>
      <c r="I229" t="str">
        <f t="shared" si="7"/>
        <v>matt hudspeath</v>
      </c>
      <c r="J229" t="str">
        <f>VLOOKUP(I229,'Manager Coding'!C:D,2,0)</f>
        <v>Hudspeath</v>
      </c>
      <c r="K229" s="41">
        <f t="shared" si="8"/>
        <v>72.2</v>
      </c>
      <c r="L229">
        <f t="shared" si="9"/>
        <v>0</v>
      </c>
      <c r="M229">
        <f t="shared" si="10"/>
        <v>1</v>
      </c>
      <c r="N229" s="54" t="s">
        <v>602</v>
      </c>
      <c r="O229" s="55" t="s">
        <v>80</v>
      </c>
      <c r="P229" s="50">
        <v>70.66</v>
      </c>
      <c r="Q229" s="46">
        <v>72.2</v>
      </c>
      <c r="R229" s="48" t="s">
        <v>64</v>
      </c>
      <c r="S229" s="54" t="s">
        <v>591</v>
      </c>
      <c r="T229">
        <f t="shared" si="11"/>
        <v>1.54</v>
      </c>
    </row>
    <row r="230" hidden="1">
      <c r="A230" s="32" t="str">
        <f t="shared" si="1"/>
        <v>2018Rooney/JacksonWeek 13</v>
      </c>
      <c r="B230" s="32" t="str">
        <f t="shared" si="2"/>
        <v>2018ShepWeek 13</v>
      </c>
      <c r="C230" s="32" t="str">
        <f t="shared" si="3"/>
        <v>Week 13</v>
      </c>
      <c r="D230" s="32">
        <v>2018.0</v>
      </c>
      <c r="E230" t="str">
        <f t="shared" si="4"/>
        <v>13</v>
      </c>
      <c r="F230" t="str">
        <f t="shared" si="5"/>
        <v>Stephen Rooney, Jackson Sattell</v>
      </c>
      <c r="G230" s="40" t="str">
        <f>VLOOKUP(F230,'Manager Coding'!C:D,2,0)</f>
        <v>Rooney/Jackson</v>
      </c>
      <c r="H230" s="41">
        <f t="shared" si="6"/>
        <v>73.28</v>
      </c>
      <c r="I230" t="str">
        <f t="shared" si="7"/>
        <v>Jordan Shepherd</v>
      </c>
      <c r="J230" t="str">
        <f>VLOOKUP(I230,'Manager Coding'!C:D,2,0)</f>
        <v>Shep</v>
      </c>
      <c r="K230" s="41">
        <f t="shared" si="8"/>
        <v>111.6</v>
      </c>
      <c r="L230">
        <f t="shared" si="9"/>
        <v>0</v>
      </c>
      <c r="M230">
        <f t="shared" si="10"/>
        <v>1</v>
      </c>
      <c r="N230" s="54" t="s">
        <v>605</v>
      </c>
      <c r="O230" s="55" t="s">
        <v>58</v>
      </c>
      <c r="P230" s="50">
        <v>73.28</v>
      </c>
      <c r="Q230" s="46">
        <v>111.6</v>
      </c>
      <c r="R230" s="48" t="s">
        <v>91</v>
      </c>
      <c r="S230" s="54" t="s">
        <v>595</v>
      </c>
      <c r="T230">
        <f t="shared" si="11"/>
        <v>38.32</v>
      </c>
    </row>
    <row r="231" hidden="1">
      <c r="A231" s="32" t="str">
        <f t="shared" si="1"/>
        <v>2018RileyWeek 13</v>
      </c>
      <c r="B231" s="32" t="str">
        <f t="shared" si="2"/>
        <v>2018CockWeek 13</v>
      </c>
      <c r="C231" s="32" t="str">
        <f t="shared" si="3"/>
        <v>Week 13</v>
      </c>
      <c r="D231" s="32">
        <v>2018.0</v>
      </c>
      <c r="E231" t="str">
        <f t="shared" si="4"/>
        <v>13</v>
      </c>
      <c r="F231" t="str">
        <f t="shared" si="5"/>
        <v>Riley McElwain</v>
      </c>
      <c r="G231" s="40" t="str">
        <f>VLOOKUP(F231,'Manager Coding'!C:D,2,0)</f>
        <v>Riley</v>
      </c>
      <c r="H231" s="41">
        <f t="shared" si="6"/>
        <v>91.92</v>
      </c>
      <c r="I231" t="str">
        <f t="shared" si="7"/>
        <v>Jack Babcock, Chris Cochrane</v>
      </c>
      <c r="J231" t="str">
        <f>VLOOKUP(I231,'Manager Coding'!C:D,2,0)</f>
        <v>Cock</v>
      </c>
      <c r="K231" s="41">
        <f t="shared" si="8"/>
        <v>106.84</v>
      </c>
      <c r="L231">
        <f t="shared" si="9"/>
        <v>0</v>
      </c>
      <c r="M231">
        <f t="shared" si="10"/>
        <v>1</v>
      </c>
      <c r="N231" s="54" t="s">
        <v>610</v>
      </c>
      <c r="O231" s="55" t="s">
        <v>68</v>
      </c>
      <c r="P231" s="50">
        <v>91.92</v>
      </c>
      <c r="Q231" s="46">
        <v>106.84</v>
      </c>
      <c r="R231" s="48" t="s">
        <v>73</v>
      </c>
      <c r="S231" s="54" t="s">
        <v>603</v>
      </c>
      <c r="T231">
        <f t="shared" si="11"/>
        <v>14.92</v>
      </c>
    </row>
    <row r="232" hidden="1">
      <c r="A232" s="32" t="str">
        <f t="shared" si="1"/>
        <v>2018BuserWeek 13</v>
      </c>
      <c r="B232" s="32" t="str">
        <f t="shared" si="2"/>
        <v>2018T-HowWeek 13</v>
      </c>
      <c r="C232" s="32" t="str">
        <f t="shared" si="3"/>
        <v>Week 13</v>
      </c>
      <c r="D232" s="32">
        <v>2018.0</v>
      </c>
      <c r="E232" t="str">
        <f t="shared" si="4"/>
        <v>13</v>
      </c>
      <c r="F232" t="str">
        <f t="shared" si="5"/>
        <v>Ed Buser</v>
      </c>
      <c r="G232" s="40" t="str">
        <f>VLOOKUP(F232,'Manager Coding'!C:D,2,0)</f>
        <v>Buser</v>
      </c>
      <c r="H232" s="41">
        <f t="shared" si="6"/>
        <v>95.3</v>
      </c>
      <c r="I232" t="str">
        <f t="shared" si="7"/>
        <v>Tyler Howard</v>
      </c>
      <c r="J232" t="str">
        <f>VLOOKUP(I232,'Manager Coding'!C:D,2,0)</f>
        <v>T-How</v>
      </c>
      <c r="K232" s="41">
        <f t="shared" si="8"/>
        <v>83.24</v>
      </c>
      <c r="L232">
        <f t="shared" si="9"/>
        <v>1</v>
      </c>
      <c r="M232">
        <f t="shared" si="10"/>
        <v>0</v>
      </c>
      <c r="N232" s="54" t="s">
        <v>611</v>
      </c>
      <c r="O232" s="55" t="s">
        <v>50</v>
      </c>
      <c r="P232" s="50">
        <v>95.3</v>
      </c>
      <c r="Q232" s="46">
        <v>83.24</v>
      </c>
      <c r="R232" s="48" t="s">
        <v>85</v>
      </c>
      <c r="S232" s="54" t="s">
        <v>609</v>
      </c>
      <c r="T232">
        <f t="shared" si="11"/>
        <v>12.06</v>
      </c>
    </row>
    <row r="233" hidden="1">
      <c r="A233" s="32" t="str">
        <f t="shared" si="1"/>
        <v>#N/A</v>
      </c>
      <c r="B233" s="32" t="str">
        <f t="shared" si="2"/>
        <v>#N/A</v>
      </c>
      <c r="C233" s="32" t="str">
        <f t="shared" si="3"/>
        <v>Week 13</v>
      </c>
      <c r="D233" s="32">
        <v>2018.0</v>
      </c>
      <c r="E233" t="str">
        <f t="shared" si="4"/>
        <v>13</v>
      </c>
      <c r="F233" t="str">
        <f t="shared" si="5"/>
        <v/>
      </c>
      <c r="G233" s="40" t="str">
        <f>VLOOKUP(F233,'Manager Coding'!C:D,2,0)</f>
        <v>#N/A</v>
      </c>
      <c r="H233" s="41" t="str">
        <f t="shared" si="6"/>
        <v/>
      </c>
      <c r="I233" t="str">
        <f t="shared" si="7"/>
        <v/>
      </c>
      <c r="J233" t="str">
        <f>VLOOKUP(I233,'Manager Coding'!C:D,2,0)</f>
        <v>#N/A</v>
      </c>
      <c r="K233" s="41" t="str">
        <f t="shared" si="8"/>
        <v/>
      </c>
      <c r="L233">
        <f t="shared" si="9"/>
        <v>0</v>
      </c>
      <c r="M233">
        <f t="shared" si="10"/>
        <v>0</v>
      </c>
      <c r="N233" s="53" t="s">
        <v>501</v>
      </c>
      <c r="P233" s="41"/>
      <c r="Q233" s="41"/>
      <c r="T233">
        <f t="shared" si="11"/>
        <v>0</v>
      </c>
    </row>
    <row r="234" hidden="1">
      <c r="A234" s="32" t="str">
        <f t="shared" si="1"/>
        <v>#N/A</v>
      </c>
      <c r="B234" s="32" t="str">
        <f t="shared" si="2"/>
        <v>#N/A</v>
      </c>
      <c r="C234" s="32" t="str">
        <f t="shared" si="3"/>
        <v>Week 14</v>
      </c>
      <c r="D234" s="32">
        <v>2018.0</v>
      </c>
      <c r="E234" t="str">
        <f t="shared" si="4"/>
        <v>14</v>
      </c>
      <c r="F234" t="str">
        <f t="shared" si="5"/>
        <v>TEAM MANAGER(S)</v>
      </c>
      <c r="G234" s="40" t="str">
        <f>VLOOKUP(F234,'Manager Coding'!C:D,2,0)</f>
        <v>#N/A</v>
      </c>
      <c r="H234" s="41" t="str">
        <f t="shared" si="6"/>
        <v>SCORE</v>
      </c>
      <c r="I234" t="str">
        <f t="shared" si="7"/>
        <v>TEAM MANAGER(S)</v>
      </c>
      <c r="J234" t="str">
        <f>VLOOKUP(I234,'Manager Coding'!C:D,2,0)</f>
        <v>#N/A</v>
      </c>
      <c r="K234" s="41" t="str">
        <f t="shared" si="8"/>
        <v>SCORE</v>
      </c>
      <c r="L234">
        <f t="shared" si="9"/>
        <v>0</v>
      </c>
      <c r="M234">
        <f t="shared" si="10"/>
        <v>0</v>
      </c>
      <c r="N234" s="24" t="s">
        <v>197</v>
      </c>
      <c r="O234" s="24" t="s">
        <v>88</v>
      </c>
      <c r="P234" s="26" t="s">
        <v>94</v>
      </c>
      <c r="Q234" s="27" t="s">
        <v>94</v>
      </c>
      <c r="R234" s="30" t="s">
        <v>88</v>
      </c>
      <c r="S234" s="30" t="s">
        <v>101</v>
      </c>
      <c r="T234">
        <f t="shared" si="11"/>
        <v>0</v>
      </c>
    </row>
    <row r="235" hidden="1">
      <c r="A235" s="32" t="str">
        <f t="shared" si="1"/>
        <v>2018CockWeek 14</v>
      </c>
      <c r="B235" s="32" t="str">
        <f t="shared" si="2"/>
        <v>2018RileyWeek 14</v>
      </c>
      <c r="C235" s="32" t="str">
        <f t="shared" si="3"/>
        <v>Week 14</v>
      </c>
      <c r="D235" s="32">
        <v>2018.0</v>
      </c>
      <c r="E235" t="str">
        <f t="shared" si="4"/>
        <v>14</v>
      </c>
      <c r="F235" t="str">
        <f t="shared" si="5"/>
        <v>Jack Babcock, Chris Cochrane</v>
      </c>
      <c r="G235" s="40" t="str">
        <f>VLOOKUP(F235,'Manager Coding'!C:D,2,0)</f>
        <v>Cock</v>
      </c>
      <c r="H235" s="41">
        <f t="shared" si="6"/>
        <v>70.22</v>
      </c>
      <c r="I235" t="str">
        <f t="shared" si="7"/>
        <v>Riley McElwain</v>
      </c>
      <c r="J235" t="str">
        <f>VLOOKUP(I235,'Manager Coding'!C:D,2,0)</f>
        <v>Riley</v>
      </c>
      <c r="K235" s="41">
        <f t="shared" si="8"/>
        <v>114.94</v>
      </c>
      <c r="L235">
        <f t="shared" si="9"/>
        <v>0</v>
      </c>
      <c r="M235">
        <f t="shared" si="10"/>
        <v>1</v>
      </c>
      <c r="N235" s="54" t="s">
        <v>603</v>
      </c>
      <c r="O235" s="55" t="s">
        <v>73</v>
      </c>
      <c r="P235" s="50">
        <v>70.22</v>
      </c>
      <c r="Q235" s="46">
        <v>114.94</v>
      </c>
      <c r="R235" s="48" t="s">
        <v>68</v>
      </c>
      <c r="S235" s="54" t="s">
        <v>610</v>
      </c>
      <c r="T235">
        <f t="shared" si="11"/>
        <v>44.72</v>
      </c>
    </row>
    <row r="236" hidden="1">
      <c r="A236" s="32" t="str">
        <f t="shared" si="1"/>
        <v>2018HudspeathWeek 14</v>
      </c>
      <c r="B236" s="32" t="str">
        <f t="shared" si="2"/>
        <v>2018ShepWeek 14</v>
      </c>
      <c r="C236" s="32" t="str">
        <f t="shared" si="3"/>
        <v>Week 14</v>
      </c>
      <c r="D236" s="32">
        <v>2018.0</v>
      </c>
      <c r="E236" t="str">
        <f t="shared" si="4"/>
        <v>14</v>
      </c>
      <c r="F236" t="str">
        <f t="shared" si="5"/>
        <v>matt hudspeath</v>
      </c>
      <c r="G236" s="40" t="str">
        <f>VLOOKUP(F236,'Manager Coding'!C:D,2,0)</f>
        <v>Hudspeath</v>
      </c>
      <c r="H236" s="41">
        <f t="shared" si="6"/>
        <v>76.78</v>
      </c>
      <c r="I236" t="str">
        <f t="shared" si="7"/>
        <v>Jordan Shepherd</v>
      </c>
      <c r="J236" t="str">
        <f>VLOOKUP(I236,'Manager Coding'!C:D,2,0)</f>
        <v>Shep</v>
      </c>
      <c r="K236" s="41">
        <f t="shared" si="8"/>
        <v>130.78</v>
      </c>
      <c r="L236">
        <f t="shared" si="9"/>
        <v>0</v>
      </c>
      <c r="M236">
        <f t="shared" si="10"/>
        <v>1</v>
      </c>
      <c r="N236" s="54" t="s">
        <v>591</v>
      </c>
      <c r="O236" s="55" t="s">
        <v>64</v>
      </c>
      <c r="P236" s="50">
        <v>76.78</v>
      </c>
      <c r="Q236" s="46">
        <v>130.78</v>
      </c>
      <c r="R236" s="48" t="s">
        <v>91</v>
      </c>
      <c r="S236" s="54" t="s">
        <v>595</v>
      </c>
      <c r="T236">
        <f t="shared" si="11"/>
        <v>54</v>
      </c>
    </row>
    <row r="237" hidden="1">
      <c r="A237" s="32" t="str">
        <f t="shared" si="1"/>
        <v>2018KnardDawgWeek 14</v>
      </c>
      <c r="B237" s="32" t="str">
        <f t="shared" si="2"/>
        <v>2018BuserWeek 14</v>
      </c>
      <c r="C237" s="32" t="str">
        <f t="shared" si="3"/>
        <v>Week 14</v>
      </c>
      <c r="D237" s="32">
        <v>2018.0</v>
      </c>
      <c r="E237" t="str">
        <f t="shared" si="4"/>
        <v>14</v>
      </c>
      <c r="F237" t="str">
        <f t="shared" si="5"/>
        <v>Alex Kinniard, Jack Reilly</v>
      </c>
      <c r="G237" s="40" t="str">
        <f>VLOOKUP(F237,'Manager Coding'!C:D,2,0)</f>
        <v>KnardDawg</v>
      </c>
      <c r="H237" s="41">
        <f t="shared" si="6"/>
        <v>72.24</v>
      </c>
      <c r="I237" t="str">
        <f t="shared" si="7"/>
        <v>Ed Buser</v>
      </c>
      <c r="J237" t="str">
        <f>VLOOKUP(I237,'Manager Coding'!C:D,2,0)</f>
        <v>Buser</v>
      </c>
      <c r="K237" s="41">
        <f t="shared" si="8"/>
        <v>86.7</v>
      </c>
      <c r="L237">
        <f t="shared" si="9"/>
        <v>0</v>
      </c>
      <c r="M237">
        <f t="shared" si="10"/>
        <v>1</v>
      </c>
      <c r="N237" s="54" t="s">
        <v>585</v>
      </c>
      <c r="O237" s="55" t="s">
        <v>87</v>
      </c>
      <c r="P237" s="50">
        <v>72.24</v>
      </c>
      <c r="Q237" s="46">
        <v>86.7</v>
      </c>
      <c r="R237" s="48" t="s">
        <v>50</v>
      </c>
      <c r="S237" s="54" t="s">
        <v>611</v>
      </c>
      <c r="T237">
        <f t="shared" si="11"/>
        <v>14.46</v>
      </c>
    </row>
    <row r="238" hidden="1">
      <c r="A238" s="32" t="str">
        <f t="shared" si="1"/>
        <v>2018PiersonWeek 14</v>
      </c>
      <c r="B238" s="32" t="str">
        <f t="shared" si="2"/>
        <v>2018TayskiWeek 14</v>
      </c>
      <c r="C238" s="32" t="str">
        <f t="shared" si="3"/>
        <v>Week 14</v>
      </c>
      <c r="D238" s="32">
        <v>2018.0</v>
      </c>
      <c r="E238" t="str">
        <f t="shared" si="4"/>
        <v>14</v>
      </c>
      <c r="F238" t="str">
        <f t="shared" si="5"/>
        <v>Pierson Curtis</v>
      </c>
      <c r="G238" s="40" t="str">
        <f>VLOOKUP(F238,'Manager Coding'!C:D,2,0)</f>
        <v>Pierson</v>
      </c>
      <c r="H238" s="41">
        <f t="shared" si="6"/>
        <v>53.1</v>
      </c>
      <c r="I238" t="str">
        <f t="shared" si="7"/>
        <v>Taylor Weis</v>
      </c>
      <c r="J238" t="str">
        <f>VLOOKUP(I238,'Manager Coding'!C:D,2,0)</f>
        <v>Tayski</v>
      </c>
      <c r="K238" s="41">
        <f t="shared" si="8"/>
        <v>104.28</v>
      </c>
      <c r="L238">
        <f t="shared" si="9"/>
        <v>0</v>
      </c>
      <c r="M238">
        <f t="shared" si="10"/>
        <v>1</v>
      </c>
      <c r="N238" s="54" t="s">
        <v>590</v>
      </c>
      <c r="O238" s="55" t="s">
        <v>93</v>
      </c>
      <c r="P238" s="50">
        <v>53.1</v>
      </c>
      <c r="Q238" s="46">
        <v>104.28</v>
      </c>
      <c r="R238" s="48" t="s">
        <v>54</v>
      </c>
      <c r="S238" s="54" t="s">
        <v>594</v>
      </c>
      <c r="T238">
        <f t="shared" si="11"/>
        <v>51.18</v>
      </c>
    </row>
    <row r="239" hidden="1">
      <c r="A239" s="32" t="str">
        <f t="shared" si="1"/>
        <v>2018FellowsWeek 14</v>
      </c>
      <c r="B239" s="32" t="str">
        <f t="shared" si="2"/>
        <v>2018Rooney/JacksonWeek 14</v>
      </c>
      <c r="C239" s="32" t="str">
        <f t="shared" si="3"/>
        <v>Week 14</v>
      </c>
      <c r="D239" s="32">
        <v>2018.0</v>
      </c>
      <c r="E239" t="str">
        <f t="shared" si="4"/>
        <v>14</v>
      </c>
      <c r="F239" t="str">
        <f t="shared" si="5"/>
        <v>Michael Fellows</v>
      </c>
      <c r="G239" s="40" t="str">
        <f>VLOOKUP(F239,'Manager Coding'!C:D,2,0)</f>
        <v>Fellows</v>
      </c>
      <c r="H239" s="41">
        <f t="shared" si="6"/>
        <v>151.5</v>
      </c>
      <c r="I239" t="str">
        <f t="shared" si="7"/>
        <v>Stephen Rooney, Jackson Sattell</v>
      </c>
      <c r="J239" t="str">
        <f>VLOOKUP(I239,'Manager Coding'!C:D,2,0)</f>
        <v>Rooney/Jackson</v>
      </c>
      <c r="K239" s="41">
        <f t="shared" si="8"/>
        <v>83.08</v>
      </c>
      <c r="L239">
        <f t="shared" si="9"/>
        <v>1</v>
      </c>
      <c r="M239">
        <f t="shared" si="10"/>
        <v>0</v>
      </c>
      <c r="N239" s="54" t="s">
        <v>602</v>
      </c>
      <c r="O239" s="55" t="s">
        <v>80</v>
      </c>
      <c r="P239" s="50">
        <v>151.5</v>
      </c>
      <c r="Q239" s="46">
        <v>83.08</v>
      </c>
      <c r="R239" s="48" t="s">
        <v>58</v>
      </c>
      <c r="S239" s="54" t="s">
        <v>605</v>
      </c>
      <c r="T239">
        <f t="shared" si="11"/>
        <v>68.42</v>
      </c>
    </row>
    <row r="240" hidden="1">
      <c r="A240" s="32" t="str">
        <f t="shared" si="1"/>
        <v>#N/A</v>
      </c>
      <c r="B240" s="32" t="str">
        <f t="shared" si="2"/>
        <v>#N/A</v>
      </c>
      <c r="C240" s="32" t="str">
        <f t="shared" si="3"/>
        <v>Week 14</v>
      </c>
      <c r="D240" s="32">
        <v>2018.0</v>
      </c>
      <c r="E240" t="str">
        <f t="shared" si="4"/>
        <v>14</v>
      </c>
      <c r="F240" t="str">
        <f t="shared" si="5"/>
        <v/>
      </c>
      <c r="G240" s="40" t="str">
        <f>VLOOKUP(F240,'Manager Coding'!C:D,2,0)</f>
        <v>#N/A</v>
      </c>
      <c r="H240" s="41" t="str">
        <f t="shared" si="6"/>
        <v/>
      </c>
      <c r="I240" t="str">
        <f t="shared" si="7"/>
        <v/>
      </c>
      <c r="J240" t="str">
        <f>VLOOKUP(I240,'Manager Coding'!C:D,2,0)</f>
        <v>#N/A</v>
      </c>
      <c r="K240" s="41" t="str">
        <f t="shared" si="8"/>
        <v/>
      </c>
      <c r="L240">
        <f t="shared" si="9"/>
        <v>0</v>
      </c>
      <c r="M240">
        <f t="shared" si="10"/>
        <v>0</v>
      </c>
      <c r="N240" s="56" t="s">
        <v>518</v>
      </c>
      <c r="P240" s="41"/>
      <c r="Q240" s="41"/>
      <c r="T240">
        <f t="shared" si="11"/>
        <v>0</v>
      </c>
    </row>
    <row r="241" hidden="1">
      <c r="A241" s="32" t="str">
        <f t="shared" si="1"/>
        <v>#N/A</v>
      </c>
      <c r="B241" s="32" t="str">
        <f t="shared" si="2"/>
        <v>#N/A</v>
      </c>
      <c r="C241" s="32" t="str">
        <f t="shared" si="3"/>
        <v>Week 14</v>
      </c>
      <c r="D241" s="32">
        <v>2018.0</v>
      </c>
      <c r="E241" t="str">
        <f t="shared" si="4"/>
        <v>14</v>
      </c>
      <c r="F241" t="str">
        <f t="shared" si="5"/>
        <v/>
      </c>
      <c r="G241" s="40" t="str">
        <f>VLOOKUP(F241,'Manager Coding'!C:D,2,0)</f>
        <v>#N/A</v>
      </c>
      <c r="H241" s="41" t="str">
        <f t="shared" si="6"/>
        <v/>
      </c>
      <c r="I241" t="str">
        <f t="shared" si="7"/>
        <v/>
      </c>
      <c r="J241" t="str">
        <f>VLOOKUP(I241,'Manager Coding'!C:D,2,0)</f>
        <v>#N/A</v>
      </c>
      <c r="K241" s="41" t="str">
        <f t="shared" si="8"/>
        <v/>
      </c>
      <c r="L241">
        <f t="shared" si="9"/>
        <v>0</v>
      </c>
      <c r="M241">
        <f t="shared" si="10"/>
        <v>0</v>
      </c>
      <c r="N241" s="56" t="s">
        <v>860</v>
      </c>
      <c r="P241" s="41"/>
      <c r="Q241" s="41"/>
      <c r="T241">
        <f t="shared" si="11"/>
        <v>0</v>
      </c>
    </row>
    <row r="242" hidden="1">
      <c r="A242" s="32" t="str">
        <f t="shared" si="1"/>
        <v>#N/A</v>
      </c>
      <c r="B242" s="32" t="str">
        <f t="shared" si="2"/>
        <v>#N/A</v>
      </c>
      <c r="C242" s="32" t="str">
        <f t="shared" si="3"/>
        <v>Week 14</v>
      </c>
      <c r="D242" s="32">
        <v>2018.0</v>
      </c>
      <c r="E242" t="str">
        <f t="shared" si="4"/>
        <v>14</v>
      </c>
      <c r="F242" t="str">
        <f t="shared" si="5"/>
        <v/>
      </c>
      <c r="G242" s="40" t="str">
        <f>VLOOKUP(F242,'Manager Coding'!C:D,2,0)</f>
        <v>#N/A</v>
      </c>
      <c r="H242" s="41" t="str">
        <f t="shared" si="6"/>
        <v/>
      </c>
      <c r="I242" t="str">
        <f t="shared" si="7"/>
        <v/>
      </c>
      <c r="J242" t="str">
        <f>VLOOKUP(I242,'Manager Coding'!C:D,2,0)</f>
        <v>#N/A</v>
      </c>
      <c r="K242" s="41" t="str">
        <f t="shared" si="8"/>
        <v/>
      </c>
      <c r="L242">
        <f t="shared" si="9"/>
        <v>0</v>
      </c>
      <c r="M242">
        <f t="shared" si="10"/>
        <v>0</v>
      </c>
      <c r="N242" s="56" t="s">
        <v>866</v>
      </c>
      <c r="P242" s="41"/>
      <c r="Q242" s="41"/>
      <c r="T242">
        <f t="shared" si="11"/>
        <v>0</v>
      </c>
    </row>
    <row r="243" hidden="1">
      <c r="A243" s="32" t="str">
        <f t="shared" si="1"/>
        <v>#N/A</v>
      </c>
      <c r="B243" s="32" t="str">
        <f t="shared" si="2"/>
        <v>#N/A</v>
      </c>
      <c r="C243" s="32" t="str">
        <f t="shared" si="3"/>
        <v>Week 14</v>
      </c>
      <c r="D243" s="32">
        <v>2018.0</v>
      </c>
      <c r="E243" t="str">
        <f t="shared" si="4"/>
        <v>14</v>
      </c>
      <c r="F243" t="str">
        <f t="shared" si="5"/>
        <v/>
      </c>
      <c r="G243" s="40" t="str">
        <f>VLOOKUP(F243,'Manager Coding'!C:D,2,0)</f>
        <v>#N/A</v>
      </c>
      <c r="H243" s="41" t="str">
        <f t="shared" si="6"/>
        <v/>
      </c>
      <c r="I243" t="str">
        <f t="shared" si="7"/>
        <v/>
      </c>
      <c r="J243" t="str">
        <f>VLOOKUP(I243,'Manager Coding'!C:D,2,0)</f>
        <v>#N/A</v>
      </c>
      <c r="K243" s="41" t="str">
        <f t="shared" si="8"/>
        <v/>
      </c>
      <c r="L243">
        <f t="shared" si="9"/>
        <v>0</v>
      </c>
      <c r="M243">
        <f t="shared" si="10"/>
        <v>0</v>
      </c>
      <c r="N243" s="57" t="s">
        <v>530</v>
      </c>
      <c r="P243" s="41"/>
      <c r="Q243" s="41"/>
      <c r="T243">
        <f t="shared" si="11"/>
        <v>0</v>
      </c>
    </row>
    <row r="244" hidden="1">
      <c r="A244" s="32" t="str">
        <f t="shared" si="1"/>
        <v>#N/A</v>
      </c>
      <c r="B244" s="32" t="str">
        <f t="shared" si="2"/>
        <v>#N/A</v>
      </c>
      <c r="C244" s="32" t="str">
        <f t="shared" si="3"/>
        <v>Week 15</v>
      </c>
      <c r="D244" s="32">
        <v>2018.0</v>
      </c>
      <c r="E244" t="str">
        <f t="shared" si="4"/>
        <v>15</v>
      </c>
      <c r="F244" t="str">
        <f t="shared" si="5"/>
        <v>TEAM MANAGER(S)</v>
      </c>
      <c r="G244" s="40" t="str">
        <f>VLOOKUP(F244,'Manager Coding'!C:D,2,0)</f>
        <v>#N/A</v>
      </c>
      <c r="H244" s="41" t="str">
        <f t="shared" si="6"/>
        <v>SCORE</v>
      </c>
      <c r="I244" t="str">
        <f t="shared" si="7"/>
        <v>TEAM MANAGER(S)</v>
      </c>
      <c r="J244" t="str">
        <f>VLOOKUP(I244,'Manager Coding'!C:D,2,0)</f>
        <v>#N/A</v>
      </c>
      <c r="K244" s="41" t="str">
        <f t="shared" si="8"/>
        <v>SCORE</v>
      </c>
      <c r="L244">
        <f t="shared" si="9"/>
        <v>0</v>
      </c>
      <c r="M244">
        <f t="shared" si="10"/>
        <v>0</v>
      </c>
      <c r="N244" s="24" t="s">
        <v>197</v>
      </c>
      <c r="O244" s="24" t="s">
        <v>88</v>
      </c>
      <c r="P244" s="26" t="s">
        <v>94</v>
      </c>
      <c r="Q244" s="27" t="s">
        <v>94</v>
      </c>
      <c r="R244" s="30" t="s">
        <v>88</v>
      </c>
      <c r="S244" s="30" t="s">
        <v>101</v>
      </c>
      <c r="T244">
        <f t="shared" si="11"/>
        <v>0</v>
      </c>
    </row>
    <row r="245" hidden="1">
      <c r="A245" s="32" t="str">
        <f t="shared" si="1"/>
        <v>2018RileyWeek 15</v>
      </c>
      <c r="B245" s="32" t="str">
        <f t="shared" si="2"/>
        <v>2018SaltyWeek 15</v>
      </c>
      <c r="C245" s="32" t="str">
        <f t="shared" si="3"/>
        <v>Week 15</v>
      </c>
      <c r="D245" s="32">
        <v>2018.0</v>
      </c>
      <c r="E245" t="str">
        <f t="shared" si="4"/>
        <v>15</v>
      </c>
      <c r="F245" t="str">
        <f t="shared" si="5"/>
        <v>Riley McElwain</v>
      </c>
      <c r="G245" s="40" t="str">
        <f>VLOOKUP(F245,'Manager Coding'!C:D,2,0)</f>
        <v>Riley</v>
      </c>
      <c r="H245" s="41">
        <f t="shared" si="6"/>
        <v>63.46</v>
      </c>
      <c r="I245" t="str">
        <f t="shared" si="7"/>
        <v>R Saltiel</v>
      </c>
      <c r="J245" t="str">
        <f>VLOOKUP(I245,'Manager Coding'!C:D,2,0)</f>
        <v>Salty</v>
      </c>
      <c r="K245" s="41">
        <f t="shared" si="8"/>
        <v>107.86</v>
      </c>
      <c r="L245">
        <f t="shared" si="9"/>
        <v>0</v>
      </c>
      <c r="M245">
        <f t="shared" si="10"/>
        <v>1</v>
      </c>
      <c r="N245" s="54" t="s">
        <v>610</v>
      </c>
      <c r="O245" s="55" t="s">
        <v>68</v>
      </c>
      <c r="P245" s="50">
        <v>63.46</v>
      </c>
      <c r="Q245" s="46">
        <v>107.86</v>
      </c>
      <c r="R245" s="48" t="s">
        <v>77</v>
      </c>
      <c r="S245" s="54" t="s">
        <v>584</v>
      </c>
      <c r="T245">
        <f t="shared" si="11"/>
        <v>44.4</v>
      </c>
    </row>
    <row r="246" hidden="1">
      <c r="A246" s="32" t="str">
        <f t="shared" si="1"/>
        <v>2018ShepWeek 15</v>
      </c>
      <c r="B246" s="32" t="str">
        <f t="shared" si="2"/>
        <v>2018T-HowWeek 15</v>
      </c>
      <c r="C246" s="32" t="str">
        <f t="shared" si="3"/>
        <v>Week 15</v>
      </c>
      <c r="D246" s="32">
        <v>2018.0</v>
      </c>
      <c r="E246" t="str">
        <f t="shared" si="4"/>
        <v>15</v>
      </c>
      <c r="F246" t="str">
        <f t="shared" si="5"/>
        <v>Jordan Shepherd</v>
      </c>
      <c r="G246" s="40" t="str">
        <f>VLOOKUP(F246,'Manager Coding'!C:D,2,0)</f>
        <v>Shep</v>
      </c>
      <c r="H246" s="41">
        <f t="shared" si="6"/>
        <v>90.72</v>
      </c>
      <c r="I246" t="str">
        <f t="shared" si="7"/>
        <v>Tyler Howard</v>
      </c>
      <c r="J246" t="str">
        <f>VLOOKUP(I246,'Manager Coding'!C:D,2,0)</f>
        <v>T-How</v>
      </c>
      <c r="K246" s="41">
        <f t="shared" si="8"/>
        <v>50.06</v>
      </c>
      <c r="L246">
        <f t="shared" si="9"/>
        <v>1</v>
      </c>
      <c r="M246">
        <f t="shared" si="10"/>
        <v>0</v>
      </c>
      <c r="N246" s="54" t="s">
        <v>595</v>
      </c>
      <c r="O246" s="55" t="s">
        <v>91</v>
      </c>
      <c r="P246" s="50">
        <v>90.72</v>
      </c>
      <c r="Q246" s="46">
        <v>50.06</v>
      </c>
      <c r="R246" s="48" t="s">
        <v>85</v>
      </c>
      <c r="S246" s="54" t="s">
        <v>609</v>
      </c>
      <c r="T246">
        <f t="shared" si="11"/>
        <v>40.66</v>
      </c>
    </row>
    <row r="247" hidden="1">
      <c r="A247" s="32" t="str">
        <f t="shared" si="1"/>
        <v>2018HudspeathWeek 15</v>
      </c>
      <c r="B247" s="32" t="str">
        <f t="shared" si="2"/>
        <v>2018CockWeek 15</v>
      </c>
      <c r="C247" s="32" t="str">
        <f t="shared" si="3"/>
        <v>Week 15</v>
      </c>
      <c r="D247" s="32">
        <v>2018.0</v>
      </c>
      <c r="E247" t="str">
        <f t="shared" si="4"/>
        <v>15</v>
      </c>
      <c r="F247" t="str">
        <f t="shared" si="5"/>
        <v>matt hudspeath</v>
      </c>
      <c r="G247" s="40" t="str">
        <f>VLOOKUP(F247,'Manager Coding'!C:D,2,0)</f>
        <v>Hudspeath</v>
      </c>
      <c r="H247" s="41">
        <f t="shared" si="6"/>
        <v>73.2</v>
      </c>
      <c r="I247" t="str">
        <f t="shared" si="7"/>
        <v>Jack Babcock, Chris Cochrane</v>
      </c>
      <c r="J247" t="str">
        <f>VLOOKUP(I247,'Manager Coding'!C:D,2,0)</f>
        <v>Cock</v>
      </c>
      <c r="K247" s="41">
        <f t="shared" si="8"/>
        <v>101.7</v>
      </c>
      <c r="L247">
        <f t="shared" si="9"/>
        <v>0</v>
      </c>
      <c r="M247">
        <f t="shared" si="10"/>
        <v>1</v>
      </c>
      <c r="N247" s="54" t="s">
        <v>591</v>
      </c>
      <c r="O247" s="55" t="s">
        <v>64</v>
      </c>
      <c r="P247" s="50">
        <v>73.2</v>
      </c>
      <c r="Q247" s="46">
        <v>101.7</v>
      </c>
      <c r="R247" s="48" t="s">
        <v>73</v>
      </c>
      <c r="S247" s="54" t="s">
        <v>603</v>
      </c>
      <c r="T247">
        <f t="shared" si="11"/>
        <v>28.5</v>
      </c>
    </row>
    <row r="248" hidden="1">
      <c r="A248" s="32" t="str">
        <f t="shared" si="1"/>
        <v>2018TayskiWeek 15</v>
      </c>
      <c r="B248" s="32" t="str">
        <f t="shared" si="2"/>
        <v>2018BuserWeek 15</v>
      </c>
      <c r="C248" s="32" t="str">
        <f t="shared" si="3"/>
        <v>Week 15</v>
      </c>
      <c r="D248" s="32">
        <v>2018.0</v>
      </c>
      <c r="E248" t="str">
        <f t="shared" si="4"/>
        <v>15</v>
      </c>
      <c r="F248" t="str">
        <f t="shared" si="5"/>
        <v>Taylor Weis</v>
      </c>
      <c r="G248" s="40" t="str">
        <f>VLOOKUP(F248,'Manager Coding'!C:D,2,0)</f>
        <v>Tayski</v>
      </c>
      <c r="H248" s="41">
        <f t="shared" si="6"/>
        <v>78.68</v>
      </c>
      <c r="I248" t="str">
        <f t="shared" si="7"/>
        <v>Ed Buser</v>
      </c>
      <c r="J248" t="str">
        <f>VLOOKUP(I248,'Manager Coding'!C:D,2,0)</f>
        <v>Buser</v>
      </c>
      <c r="K248" s="41">
        <f t="shared" si="8"/>
        <v>52.44</v>
      </c>
      <c r="L248">
        <f t="shared" si="9"/>
        <v>1</v>
      </c>
      <c r="M248">
        <f t="shared" si="10"/>
        <v>0</v>
      </c>
      <c r="N248" s="54" t="s">
        <v>594</v>
      </c>
      <c r="O248" s="55" t="s">
        <v>54</v>
      </c>
      <c r="P248" s="50">
        <v>78.68</v>
      </c>
      <c r="Q248" s="46">
        <v>52.44</v>
      </c>
      <c r="R248" s="48" t="s">
        <v>50</v>
      </c>
      <c r="S248" s="54" t="s">
        <v>611</v>
      </c>
      <c r="T248">
        <f t="shared" si="11"/>
        <v>26.24</v>
      </c>
    </row>
    <row r="249" hidden="1">
      <c r="A249" s="32" t="str">
        <f t="shared" si="1"/>
        <v>2018FellowsWeek 15</v>
      </c>
      <c r="B249" s="32" t="str">
        <f t="shared" si="2"/>
        <v>2018KnardDawgWeek 15</v>
      </c>
      <c r="C249" s="32" t="str">
        <f t="shared" si="3"/>
        <v>Week 15</v>
      </c>
      <c r="D249" s="32">
        <v>2018.0</v>
      </c>
      <c r="E249" t="str">
        <f t="shared" si="4"/>
        <v>15</v>
      </c>
      <c r="F249" t="str">
        <f t="shared" si="5"/>
        <v>Michael Fellows</v>
      </c>
      <c r="G249" s="40" t="str">
        <f>VLOOKUP(F249,'Manager Coding'!C:D,2,0)</f>
        <v>Fellows</v>
      </c>
      <c r="H249" s="41">
        <f t="shared" si="6"/>
        <v>101.08</v>
      </c>
      <c r="I249" t="str">
        <f t="shared" si="7"/>
        <v>Alex Kinniard, Jack Reilly</v>
      </c>
      <c r="J249" t="str">
        <f>VLOOKUP(I249,'Manager Coding'!C:D,2,0)</f>
        <v>KnardDawg</v>
      </c>
      <c r="K249" s="41">
        <f t="shared" si="8"/>
        <v>69.72</v>
      </c>
      <c r="L249">
        <f t="shared" si="9"/>
        <v>1</v>
      </c>
      <c r="M249">
        <f t="shared" si="10"/>
        <v>0</v>
      </c>
      <c r="N249" s="54" t="s">
        <v>602</v>
      </c>
      <c r="O249" s="55" t="s">
        <v>80</v>
      </c>
      <c r="P249" s="50">
        <v>101.08</v>
      </c>
      <c r="Q249" s="46">
        <v>69.72</v>
      </c>
      <c r="R249" s="48" t="s">
        <v>87</v>
      </c>
      <c r="S249" s="54" t="s">
        <v>585</v>
      </c>
      <c r="T249">
        <f t="shared" si="11"/>
        <v>31.36</v>
      </c>
    </row>
    <row r="250" hidden="1">
      <c r="A250" s="32" t="str">
        <f t="shared" si="1"/>
        <v>2018Rooney/JacksonWeek 15</v>
      </c>
      <c r="B250" s="32" t="str">
        <f t="shared" si="2"/>
        <v>2018PiersonWeek 15</v>
      </c>
      <c r="C250" s="32" t="str">
        <f t="shared" si="3"/>
        <v>Week 15</v>
      </c>
      <c r="D250" s="32">
        <v>2018.0</v>
      </c>
      <c r="E250" t="str">
        <f t="shared" si="4"/>
        <v>15</v>
      </c>
      <c r="F250" t="str">
        <f t="shared" si="5"/>
        <v>Stephen Rooney, Jackson Sattell</v>
      </c>
      <c r="G250" s="40" t="str">
        <f>VLOOKUP(F250,'Manager Coding'!C:D,2,0)</f>
        <v>Rooney/Jackson</v>
      </c>
      <c r="H250" s="41">
        <f t="shared" si="6"/>
        <v>100.76</v>
      </c>
      <c r="I250" t="str">
        <f t="shared" si="7"/>
        <v>Pierson Curtis</v>
      </c>
      <c r="J250" t="str">
        <f>VLOOKUP(I250,'Manager Coding'!C:D,2,0)</f>
        <v>Pierson</v>
      </c>
      <c r="K250" s="41">
        <f t="shared" si="8"/>
        <v>98.82</v>
      </c>
      <c r="L250">
        <f t="shared" si="9"/>
        <v>1</v>
      </c>
      <c r="M250">
        <f t="shared" si="10"/>
        <v>0</v>
      </c>
      <c r="N250" s="54" t="s">
        <v>605</v>
      </c>
      <c r="O250" s="55" t="s">
        <v>58</v>
      </c>
      <c r="P250" s="50">
        <v>100.76</v>
      </c>
      <c r="Q250" s="46">
        <v>98.82</v>
      </c>
      <c r="R250" s="48" t="s">
        <v>93</v>
      </c>
      <c r="S250" s="54" t="s">
        <v>590</v>
      </c>
      <c r="T250">
        <f t="shared" si="11"/>
        <v>1.94</v>
      </c>
    </row>
    <row r="251" hidden="1">
      <c r="A251" s="32" t="str">
        <f t="shared" si="1"/>
        <v>#N/A</v>
      </c>
      <c r="B251" s="32" t="str">
        <f t="shared" si="2"/>
        <v>#N/A</v>
      </c>
      <c r="C251" s="32" t="str">
        <f t="shared" si="3"/>
        <v>Week 15</v>
      </c>
      <c r="D251" s="32">
        <v>2018.0</v>
      </c>
      <c r="E251" t="str">
        <f t="shared" si="4"/>
        <v>15</v>
      </c>
      <c r="F251" t="str">
        <f t="shared" si="5"/>
        <v/>
      </c>
      <c r="G251" s="40" t="str">
        <f>VLOOKUP(F251,'Manager Coding'!C:D,2,0)</f>
        <v>#N/A</v>
      </c>
      <c r="H251" s="41" t="str">
        <f t="shared" si="6"/>
        <v/>
      </c>
      <c r="I251" t="str">
        <f t="shared" si="7"/>
        <v/>
      </c>
      <c r="J251" t="str">
        <f>VLOOKUP(I251,'Manager Coding'!C:D,2,0)</f>
        <v>#N/A</v>
      </c>
      <c r="K251" s="41" t="str">
        <f t="shared" si="8"/>
        <v/>
      </c>
      <c r="L251">
        <f t="shared" si="9"/>
        <v>0</v>
      </c>
      <c r="M251">
        <f t="shared" si="10"/>
        <v>0</v>
      </c>
      <c r="N251" s="53" t="s">
        <v>554</v>
      </c>
      <c r="P251" s="41"/>
      <c r="Q251" s="41"/>
      <c r="T251">
        <f t="shared" si="11"/>
        <v>0</v>
      </c>
    </row>
    <row r="252" hidden="1">
      <c r="A252" s="32" t="str">
        <f t="shared" si="1"/>
        <v>#N/A</v>
      </c>
      <c r="B252" s="32" t="str">
        <f t="shared" si="2"/>
        <v>#N/A</v>
      </c>
      <c r="C252" s="32" t="str">
        <f t="shared" si="3"/>
        <v>Week 16</v>
      </c>
      <c r="D252" s="32">
        <v>2018.0</v>
      </c>
      <c r="E252" t="str">
        <f t="shared" si="4"/>
        <v>16</v>
      </c>
      <c r="F252" t="str">
        <f t="shared" si="5"/>
        <v>TEAM MANAGER(S)</v>
      </c>
      <c r="G252" s="40" t="str">
        <f>VLOOKUP(F252,'Manager Coding'!C:D,2,0)</f>
        <v>#N/A</v>
      </c>
      <c r="H252" s="41" t="str">
        <f t="shared" si="6"/>
        <v>SCORE</v>
      </c>
      <c r="I252" t="str">
        <f t="shared" si="7"/>
        <v>TEAM MANAGER(S)</v>
      </c>
      <c r="J252" t="str">
        <f>VLOOKUP(I252,'Manager Coding'!C:D,2,0)</f>
        <v>#N/A</v>
      </c>
      <c r="K252" s="41" t="str">
        <f t="shared" si="8"/>
        <v>SCORE</v>
      </c>
      <c r="L252">
        <f t="shared" si="9"/>
        <v>0</v>
      </c>
      <c r="M252">
        <f t="shared" si="10"/>
        <v>0</v>
      </c>
      <c r="N252" s="24" t="s">
        <v>197</v>
      </c>
      <c r="O252" s="24" t="s">
        <v>88</v>
      </c>
      <c r="P252" s="26" t="s">
        <v>94</v>
      </c>
      <c r="Q252" s="27" t="s">
        <v>94</v>
      </c>
      <c r="R252" s="30" t="s">
        <v>88</v>
      </c>
      <c r="S252" s="30" t="s">
        <v>101</v>
      </c>
      <c r="T252">
        <f t="shared" si="11"/>
        <v>0</v>
      </c>
    </row>
    <row r="253" hidden="1">
      <c r="A253" s="32" t="str">
        <f t="shared" si="1"/>
        <v>2018ShepWeek 16</v>
      </c>
      <c r="B253" s="32" t="str">
        <f t="shared" si="2"/>
        <v>2018SaltyWeek 16</v>
      </c>
      <c r="C253" s="32" t="str">
        <f t="shared" si="3"/>
        <v>Week 16</v>
      </c>
      <c r="D253" s="32">
        <v>2018.0</v>
      </c>
      <c r="E253" t="str">
        <f t="shared" si="4"/>
        <v>16</v>
      </c>
      <c r="F253" t="str">
        <f t="shared" si="5"/>
        <v>Jordan Shepherd</v>
      </c>
      <c r="G253" s="40" t="str">
        <f>VLOOKUP(F253,'Manager Coding'!C:D,2,0)</f>
        <v>Shep</v>
      </c>
      <c r="H253" s="41">
        <f t="shared" si="6"/>
        <v>128.32</v>
      </c>
      <c r="I253" t="str">
        <f t="shared" si="7"/>
        <v>R Saltiel</v>
      </c>
      <c r="J253" t="str">
        <f>VLOOKUP(I253,'Manager Coding'!C:D,2,0)</f>
        <v>Salty</v>
      </c>
      <c r="K253" s="41">
        <f t="shared" si="8"/>
        <v>89.58</v>
      </c>
      <c r="L253">
        <f t="shared" si="9"/>
        <v>1</v>
      </c>
      <c r="M253">
        <f t="shared" si="10"/>
        <v>0</v>
      </c>
      <c r="N253" s="54" t="s">
        <v>595</v>
      </c>
      <c r="O253" s="55" t="s">
        <v>91</v>
      </c>
      <c r="P253" s="50">
        <v>128.32</v>
      </c>
      <c r="Q253" s="46">
        <v>89.58</v>
      </c>
      <c r="R253" s="48" t="s">
        <v>77</v>
      </c>
      <c r="S253" s="54" t="s">
        <v>584</v>
      </c>
      <c r="T253">
        <f t="shared" si="11"/>
        <v>38.74</v>
      </c>
    </row>
    <row r="254" hidden="1">
      <c r="A254" s="32" t="str">
        <f t="shared" si="1"/>
        <v>2018RileyWeek 16</v>
      </c>
      <c r="B254" s="32" t="str">
        <f t="shared" si="2"/>
        <v>2018T-HowWeek 16</v>
      </c>
      <c r="C254" s="32" t="str">
        <f t="shared" si="3"/>
        <v>Week 16</v>
      </c>
      <c r="D254" s="32">
        <v>2018.0</v>
      </c>
      <c r="E254" t="str">
        <f t="shared" si="4"/>
        <v>16</v>
      </c>
      <c r="F254" t="str">
        <f t="shared" si="5"/>
        <v>Riley McElwain</v>
      </c>
      <c r="G254" s="40" t="str">
        <f>VLOOKUP(F254,'Manager Coding'!C:D,2,0)</f>
        <v>Riley</v>
      </c>
      <c r="H254" s="41">
        <f t="shared" si="6"/>
        <v>160.28</v>
      </c>
      <c r="I254" t="str">
        <f t="shared" si="7"/>
        <v>Tyler Howard</v>
      </c>
      <c r="J254" t="str">
        <f>VLOOKUP(I254,'Manager Coding'!C:D,2,0)</f>
        <v>T-How</v>
      </c>
      <c r="K254" s="41">
        <f t="shared" si="8"/>
        <v>91.64</v>
      </c>
      <c r="L254">
        <f t="shared" si="9"/>
        <v>1</v>
      </c>
      <c r="M254">
        <f t="shared" si="10"/>
        <v>0</v>
      </c>
      <c r="N254" s="54" t="s">
        <v>610</v>
      </c>
      <c r="O254" s="55" t="s">
        <v>68</v>
      </c>
      <c r="P254" s="50">
        <v>160.28</v>
      </c>
      <c r="Q254" s="46">
        <v>91.64</v>
      </c>
      <c r="R254" s="48" t="s">
        <v>85</v>
      </c>
      <c r="S254" s="54" t="s">
        <v>609</v>
      </c>
      <c r="T254">
        <f t="shared" si="11"/>
        <v>68.64</v>
      </c>
    </row>
    <row r="255" hidden="1">
      <c r="A255" s="32" t="str">
        <f t="shared" si="1"/>
        <v>2018HudspeathWeek 16</v>
      </c>
      <c r="B255" s="32" t="str">
        <f t="shared" si="2"/>
        <v>2018CockWeek 16</v>
      </c>
      <c r="C255" s="32" t="str">
        <f t="shared" si="3"/>
        <v>Week 16</v>
      </c>
      <c r="D255" s="32">
        <v>2018.0</v>
      </c>
      <c r="E255" t="str">
        <f t="shared" si="4"/>
        <v>16</v>
      </c>
      <c r="F255" t="str">
        <f t="shared" si="5"/>
        <v>matt hudspeath</v>
      </c>
      <c r="G255" s="40" t="str">
        <f>VLOOKUP(F255,'Manager Coding'!C:D,2,0)</f>
        <v>Hudspeath</v>
      </c>
      <c r="H255" s="41">
        <f t="shared" si="6"/>
        <v>81.6</v>
      </c>
      <c r="I255" t="str">
        <f t="shared" si="7"/>
        <v>Jack Babcock, Chris Cochrane</v>
      </c>
      <c r="J255" t="str">
        <f>VLOOKUP(I255,'Manager Coding'!C:D,2,0)</f>
        <v>Cock</v>
      </c>
      <c r="K255" s="41">
        <f t="shared" si="8"/>
        <v>97.52</v>
      </c>
      <c r="L255">
        <f t="shared" si="9"/>
        <v>0</v>
      </c>
      <c r="M255">
        <f t="shared" si="10"/>
        <v>1</v>
      </c>
      <c r="N255" s="54" t="s">
        <v>591</v>
      </c>
      <c r="O255" s="55" t="s">
        <v>64</v>
      </c>
      <c r="P255" s="50">
        <v>81.6</v>
      </c>
      <c r="Q255" s="46">
        <v>97.52</v>
      </c>
      <c r="R255" s="48" t="s">
        <v>73</v>
      </c>
      <c r="S255" s="54" t="s">
        <v>603</v>
      </c>
      <c r="T255">
        <f t="shared" si="11"/>
        <v>15.92</v>
      </c>
    </row>
    <row r="256" hidden="1">
      <c r="A256" s="32" t="str">
        <f t="shared" si="1"/>
        <v>2018FellowsWeek 16</v>
      </c>
      <c r="B256" s="32" t="str">
        <f t="shared" si="2"/>
        <v>2018TayskiWeek 16</v>
      </c>
      <c r="C256" s="32" t="str">
        <f t="shared" si="3"/>
        <v>Week 16</v>
      </c>
      <c r="D256" s="32">
        <v>2018.0</v>
      </c>
      <c r="E256" t="str">
        <f t="shared" si="4"/>
        <v>16</v>
      </c>
      <c r="F256" t="str">
        <f t="shared" si="5"/>
        <v>Michael Fellows</v>
      </c>
      <c r="G256" s="40" t="str">
        <f>VLOOKUP(F256,'Manager Coding'!C:D,2,0)</f>
        <v>Fellows</v>
      </c>
      <c r="H256" s="41">
        <f t="shared" si="6"/>
        <v>84.16</v>
      </c>
      <c r="I256" t="str">
        <f t="shared" si="7"/>
        <v>Taylor Weis</v>
      </c>
      <c r="J256" t="str">
        <f>VLOOKUP(I256,'Manager Coding'!C:D,2,0)</f>
        <v>Tayski</v>
      </c>
      <c r="K256" s="41">
        <f t="shared" si="8"/>
        <v>82.44</v>
      </c>
      <c r="L256">
        <f t="shared" si="9"/>
        <v>1</v>
      </c>
      <c r="M256">
        <f t="shared" si="10"/>
        <v>0</v>
      </c>
      <c r="N256" s="54" t="s">
        <v>602</v>
      </c>
      <c r="O256" s="55" t="s">
        <v>80</v>
      </c>
      <c r="P256" s="50">
        <v>84.16</v>
      </c>
      <c r="Q256" s="46">
        <v>82.44</v>
      </c>
      <c r="R256" s="48" t="s">
        <v>54</v>
      </c>
      <c r="S256" s="54" t="s">
        <v>594</v>
      </c>
      <c r="T256">
        <f t="shared" si="11"/>
        <v>1.72</v>
      </c>
    </row>
    <row r="257" hidden="1">
      <c r="A257" s="32" t="str">
        <f t="shared" si="1"/>
        <v>2018Rooney/JacksonWeek 16</v>
      </c>
      <c r="B257" s="32" t="str">
        <f t="shared" si="2"/>
        <v>2018BuserWeek 16</v>
      </c>
      <c r="C257" s="32" t="str">
        <f t="shared" si="3"/>
        <v>Week 16</v>
      </c>
      <c r="D257" s="32">
        <v>2018.0</v>
      </c>
      <c r="E257" t="str">
        <f t="shared" si="4"/>
        <v>16</v>
      </c>
      <c r="F257" t="str">
        <f t="shared" si="5"/>
        <v>Stephen Rooney, Jackson Sattell</v>
      </c>
      <c r="G257" s="40" t="str">
        <f>VLOOKUP(F257,'Manager Coding'!C:D,2,0)</f>
        <v>Rooney/Jackson</v>
      </c>
      <c r="H257" s="41">
        <f t="shared" si="6"/>
        <v>97.94</v>
      </c>
      <c r="I257" t="str">
        <f t="shared" si="7"/>
        <v>Ed Buser</v>
      </c>
      <c r="J257" t="str">
        <f>VLOOKUP(I257,'Manager Coding'!C:D,2,0)</f>
        <v>Buser</v>
      </c>
      <c r="K257" s="41">
        <f t="shared" si="8"/>
        <v>79.56</v>
      </c>
      <c r="L257">
        <f t="shared" si="9"/>
        <v>1</v>
      </c>
      <c r="M257">
        <f t="shared" si="10"/>
        <v>0</v>
      </c>
      <c r="N257" s="54" t="s">
        <v>605</v>
      </c>
      <c r="O257" s="55" t="s">
        <v>58</v>
      </c>
      <c r="P257" s="50">
        <v>97.94</v>
      </c>
      <c r="Q257" s="46">
        <v>79.56</v>
      </c>
      <c r="R257" s="48" t="s">
        <v>50</v>
      </c>
      <c r="S257" s="54" t="s">
        <v>611</v>
      </c>
      <c r="T257">
        <f t="shared" si="11"/>
        <v>18.38</v>
      </c>
    </row>
    <row r="258" hidden="1">
      <c r="A258" s="32" t="str">
        <f t="shared" si="1"/>
        <v>2018PiersonWeek 16</v>
      </c>
      <c r="B258" s="32" t="str">
        <f t="shared" si="2"/>
        <v>2018KnardDawgWeek 16</v>
      </c>
      <c r="C258" s="32" t="str">
        <f t="shared" si="3"/>
        <v>Week 16</v>
      </c>
      <c r="D258" s="32">
        <v>2018.0</v>
      </c>
      <c r="E258" t="str">
        <f t="shared" si="4"/>
        <v>16</v>
      </c>
      <c r="F258" t="str">
        <f t="shared" si="5"/>
        <v>Pierson Curtis</v>
      </c>
      <c r="G258" s="40" t="str">
        <f>VLOOKUP(F258,'Manager Coding'!C:D,2,0)</f>
        <v>Pierson</v>
      </c>
      <c r="H258" s="41">
        <f t="shared" si="6"/>
        <v>66.54</v>
      </c>
      <c r="I258" t="str">
        <f t="shared" si="7"/>
        <v>Alex Kinniard, Jack Reilly</v>
      </c>
      <c r="J258" t="str">
        <f>VLOOKUP(I258,'Manager Coding'!C:D,2,0)</f>
        <v>KnardDawg</v>
      </c>
      <c r="K258" s="41">
        <f t="shared" si="8"/>
        <v>111.74</v>
      </c>
      <c r="L258">
        <f t="shared" si="9"/>
        <v>0</v>
      </c>
      <c r="M258">
        <f t="shared" si="10"/>
        <v>1</v>
      </c>
      <c r="N258" s="54" t="s">
        <v>590</v>
      </c>
      <c r="O258" s="55" t="s">
        <v>93</v>
      </c>
      <c r="P258" s="50">
        <v>66.54</v>
      </c>
      <c r="Q258" s="46">
        <v>111.74</v>
      </c>
      <c r="R258" s="48" t="s">
        <v>87</v>
      </c>
      <c r="S258" s="54" t="s">
        <v>585</v>
      </c>
      <c r="T258">
        <f t="shared" si="11"/>
        <v>45.2</v>
      </c>
    </row>
    <row r="259" hidden="1">
      <c r="A259" s="32" t="str">
        <f t="shared" si="1"/>
        <v>#N/A</v>
      </c>
      <c r="B259" s="32" t="str">
        <f t="shared" si="2"/>
        <v>#N/A</v>
      </c>
      <c r="C259" s="32" t="str">
        <f t="shared" si="3"/>
        <v>Week 16</v>
      </c>
      <c r="D259" s="32">
        <v>2019.0</v>
      </c>
      <c r="E259" t="str">
        <f t="shared" si="4"/>
        <v>16</v>
      </c>
      <c r="F259" t="str">
        <f t="shared" si="5"/>
        <v/>
      </c>
      <c r="G259" s="40" t="str">
        <f>VLOOKUP(F259,'Manager Coding'!C:D,2,0)</f>
        <v>#N/A</v>
      </c>
      <c r="H259" s="41" t="str">
        <f t="shared" si="6"/>
        <v/>
      </c>
      <c r="I259" t="str">
        <f t="shared" si="7"/>
        <v/>
      </c>
      <c r="J259" t="str">
        <f>VLOOKUP(I259,'Manager Coding'!C:D,2,0)</f>
        <v>#N/A</v>
      </c>
      <c r="K259" s="41" t="str">
        <f t="shared" si="8"/>
        <v/>
      </c>
      <c r="L259">
        <f t="shared" si="9"/>
        <v>0</v>
      </c>
      <c r="M259">
        <f t="shared" si="10"/>
        <v>0</v>
      </c>
      <c r="N259" s="66" t="s">
        <v>83</v>
      </c>
      <c r="P259" s="41"/>
      <c r="Q259" s="41"/>
      <c r="T259">
        <f t="shared" si="11"/>
        <v>0</v>
      </c>
    </row>
    <row r="260" hidden="1">
      <c r="A260" s="32" t="str">
        <f t="shared" si="1"/>
        <v>#N/A</v>
      </c>
      <c r="B260" s="32" t="str">
        <f t="shared" si="2"/>
        <v>#N/A</v>
      </c>
      <c r="C260" s="32" t="str">
        <f t="shared" si="3"/>
        <v>Week 1</v>
      </c>
      <c r="D260" s="32">
        <v>2019.0</v>
      </c>
      <c r="E260" t="str">
        <f t="shared" si="4"/>
        <v>1</v>
      </c>
      <c r="F260" t="str">
        <f t="shared" si="5"/>
        <v>TEAM MANAGER(S)</v>
      </c>
      <c r="G260" s="40" t="str">
        <f>VLOOKUP(F260,'Manager Coding'!C:D,2,0)</f>
        <v>#N/A</v>
      </c>
      <c r="H260" s="41" t="str">
        <f t="shared" si="6"/>
        <v>SCORE</v>
      </c>
      <c r="I260" t="str">
        <f t="shared" si="7"/>
        <v>TEAM MANAGER(S)</v>
      </c>
      <c r="J260" t="str">
        <f>VLOOKUP(I260,'Manager Coding'!C:D,2,0)</f>
        <v>#N/A</v>
      </c>
      <c r="K260" s="41" t="str">
        <f t="shared" si="8"/>
        <v>SCORE</v>
      </c>
      <c r="L260">
        <f t="shared" si="9"/>
        <v>0</v>
      </c>
      <c r="M260">
        <f t="shared" si="10"/>
        <v>0</v>
      </c>
      <c r="N260" s="24" t="s">
        <v>197</v>
      </c>
      <c r="O260" s="24" t="s">
        <v>88</v>
      </c>
      <c r="P260" s="26" t="s">
        <v>94</v>
      </c>
      <c r="Q260" s="27" t="s">
        <v>94</v>
      </c>
      <c r="R260" s="30" t="s">
        <v>88</v>
      </c>
      <c r="S260" s="30" t="s">
        <v>101</v>
      </c>
      <c r="T260">
        <f t="shared" si="11"/>
        <v>0</v>
      </c>
    </row>
    <row r="261" hidden="1">
      <c r="A261" s="32" t="str">
        <f t="shared" si="1"/>
        <v>2019CockWeek 1</v>
      </c>
      <c r="B261" s="32" t="str">
        <f t="shared" si="2"/>
        <v>2019KnardDawgWeek 1</v>
      </c>
      <c r="C261" s="32" t="str">
        <f t="shared" si="3"/>
        <v>Week 1</v>
      </c>
      <c r="D261" s="32">
        <v>2019.0</v>
      </c>
      <c r="E261" t="str">
        <f t="shared" si="4"/>
        <v>1</v>
      </c>
      <c r="F261" t="str">
        <f t="shared" si="5"/>
        <v>Jack Babcock, Chris Cochrane</v>
      </c>
      <c r="G261" s="40" t="str">
        <f>VLOOKUP(F261,'Manager Coding'!C:D,2,0)</f>
        <v>Cock</v>
      </c>
      <c r="H261" s="41">
        <f t="shared" si="6"/>
        <v>141.84</v>
      </c>
      <c r="I261" t="str">
        <f t="shared" si="7"/>
        <v>Jack Reilly, Alex Kinniard</v>
      </c>
      <c r="J261" t="str">
        <f>VLOOKUP(I261,'Manager Coding'!C:D,2,0)</f>
        <v>KnardDawg</v>
      </c>
      <c r="K261" s="41">
        <f t="shared" si="8"/>
        <v>108.22</v>
      </c>
      <c r="L261">
        <f t="shared" si="9"/>
        <v>1</v>
      </c>
      <c r="M261">
        <f t="shared" si="10"/>
        <v>0</v>
      </c>
      <c r="N261" s="54" t="s">
        <v>910</v>
      </c>
      <c r="O261" s="55" t="s">
        <v>73</v>
      </c>
      <c r="P261" s="67">
        <v>141.84</v>
      </c>
      <c r="Q261" s="68">
        <v>108.22</v>
      </c>
      <c r="R261" s="48" t="s">
        <v>96</v>
      </c>
      <c r="S261" s="54" t="s">
        <v>912</v>
      </c>
      <c r="T261">
        <f t="shared" si="11"/>
        <v>33.62</v>
      </c>
    </row>
    <row r="262" hidden="1">
      <c r="A262" s="32" t="str">
        <f t="shared" si="1"/>
        <v>2019PiersonWeek 1</v>
      </c>
      <c r="B262" s="32" t="str">
        <f t="shared" si="2"/>
        <v>2019RileyWeek 1</v>
      </c>
      <c r="C262" s="32" t="str">
        <f t="shared" si="3"/>
        <v>Week 1</v>
      </c>
      <c r="D262" s="32">
        <v>2019.0</v>
      </c>
      <c r="E262" t="str">
        <f t="shared" si="4"/>
        <v>1</v>
      </c>
      <c r="F262" t="str">
        <f t="shared" si="5"/>
        <v>Pierson Curtis</v>
      </c>
      <c r="G262" s="40" t="str">
        <f>VLOOKUP(F262,'Manager Coding'!C:D,2,0)</f>
        <v>Pierson</v>
      </c>
      <c r="H262" s="41">
        <f t="shared" si="6"/>
        <v>120.66</v>
      </c>
      <c r="I262" t="str">
        <f t="shared" si="7"/>
        <v>Riley McElwain</v>
      </c>
      <c r="J262" t="str">
        <f>VLOOKUP(I262,'Manager Coding'!C:D,2,0)</f>
        <v>Riley</v>
      </c>
      <c r="K262" s="41">
        <f t="shared" si="8"/>
        <v>72.9</v>
      </c>
      <c r="L262">
        <f t="shared" si="9"/>
        <v>1</v>
      </c>
      <c r="M262">
        <f t="shared" si="10"/>
        <v>0</v>
      </c>
      <c r="N262" s="54" t="s">
        <v>914</v>
      </c>
      <c r="O262" s="55" t="s">
        <v>93</v>
      </c>
      <c r="P262" s="67">
        <v>120.66</v>
      </c>
      <c r="Q262" s="68">
        <v>72.9</v>
      </c>
      <c r="R262" s="48" t="s">
        <v>68</v>
      </c>
      <c r="S262" s="54" t="s">
        <v>915</v>
      </c>
      <c r="T262">
        <f t="shared" si="11"/>
        <v>47.76</v>
      </c>
    </row>
    <row r="263" hidden="1">
      <c r="A263" s="32" t="str">
        <f t="shared" si="1"/>
        <v>2019SaltyWeek 1</v>
      </c>
      <c r="B263" s="32" t="str">
        <f t="shared" si="2"/>
        <v>2019HudspeathWeek 1</v>
      </c>
      <c r="C263" s="32" t="str">
        <f t="shared" si="3"/>
        <v>Week 1</v>
      </c>
      <c r="D263" s="32">
        <v>2019.0</v>
      </c>
      <c r="E263" t="str">
        <f t="shared" si="4"/>
        <v>1</v>
      </c>
      <c r="F263" t="str">
        <f t="shared" si="5"/>
        <v>R Saltiel</v>
      </c>
      <c r="G263" s="40" t="str">
        <f>VLOOKUP(F263,'Manager Coding'!C:D,2,0)</f>
        <v>Salty</v>
      </c>
      <c r="H263" s="41">
        <f t="shared" si="6"/>
        <v>99.52</v>
      </c>
      <c r="I263" t="str">
        <f t="shared" si="7"/>
        <v>matt hudspeath</v>
      </c>
      <c r="J263" t="str">
        <f>VLOOKUP(I263,'Manager Coding'!C:D,2,0)</f>
        <v>Hudspeath</v>
      </c>
      <c r="K263" s="41">
        <f t="shared" si="8"/>
        <v>122.2</v>
      </c>
      <c r="L263">
        <f t="shared" si="9"/>
        <v>0</v>
      </c>
      <c r="M263">
        <f t="shared" si="10"/>
        <v>1</v>
      </c>
      <c r="N263" s="54" t="s">
        <v>921</v>
      </c>
      <c r="O263" s="55" t="s">
        <v>77</v>
      </c>
      <c r="P263" s="67">
        <v>99.52</v>
      </c>
      <c r="Q263" s="68">
        <v>122.2</v>
      </c>
      <c r="R263" s="48" t="s">
        <v>64</v>
      </c>
      <c r="S263" s="54" t="s">
        <v>922</v>
      </c>
      <c r="T263">
        <f t="shared" si="11"/>
        <v>22.68</v>
      </c>
    </row>
    <row r="264" hidden="1">
      <c r="A264" s="32" t="str">
        <f t="shared" si="1"/>
        <v>2019ShepWeek 1</v>
      </c>
      <c r="B264" s="32" t="str">
        <f t="shared" si="2"/>
        <v>2019FellowsWeek 1</v>
      </c>
      <c r="C264" s="32" t="str">
        <f t="shared" si="3"/>
        <v>Week 1</v>
      </c>
      <c r="D264" s="32">
        <v>2019.0</v>
      </c>
      <c r="E264" t="str">
        <f t="shared" si="4"/>
        <v>1</v>
      </c>
      <c r="F264" t="str">
        <f t="shared" si="5"/>
        <v>Jordan Shepherd</v>
      </c>
      <c r="G264" s="40" t="str">
        <f>VLOOKUP(F264,'Manager Coding'!C:D,2,0)</f>
        <v>Shep</v>
      </c>
      <c r="H264" s="41">
        <f t="shared" si="6"/>
        <v>72.46</v>
      </c>
      <c r="I264" t="str">
        <f t="shared" si="7"/>
        <v>Michael Fellows</v>
      </c>
      <c r="J264" t="str">
        <f>VLOOKUP(I264,'Manager Coding'!C:D,2,0)</f>
        <v>Fellows</v>
      </c>
      <c r="K264" s="41">
        <f t="shared" si="8"/>
        <v>114.2</v>
      </c>
      <c r="L264">
        <f t="shared" si="9"/>
        <v>0</v>
      </c>
      <c r="M264">
        <f t="shared" si="10"/>
        <v>1</v>
      </c>
      <c r="N264" s="54" t="s">
        <v>923</v>
      </c>
      <c r="O264" s="55" t="s">
        <v>91</v>
      </c>
      <c r="P264" s="67">
        <v>72.46</v>
      </c>
      <c r="Q264" s="68">
        <v>114.2</v>
      </c>
      <c r="R264" s="48" t="s">
        <v>80</v>
      </c>
      <c r="S264" s="54" t="s">
        <v>924</v>
      </c>
      <c r="T264">
        <f t="shared" si="11"/>
        <v>41.74</v>
      </c>
    </row>
    <row r="265" hidden="1">
      <c r="A265" s="32" t="str">
        <f t="shared" si="1"/>
        <v>2019Rooney/JacksonWeek 1</v>
      </c>
      <c r="B265" s="32" t="str">
        <f t="shared" si="2"/>
        <v>2019T-HowWeek 1</v>
      </c>
      <c r="C265" s="32" t="str">
        <f t="shared" si="3"/>
        <v>Week 1</v>
      </c>
      <c r="D265" s="32">
        <v>2019.0</v>
      </c>
      <c r="E265" t="str">
        <f t="shared" si="4"/>
        <v>1</v>
      </c>
      <c r="F265" t="str">
        <f t="shared" si="5"/>
        <v>Stephen Rooney, Jackson Sattell</v>
      </c>
      <c r="G265" s="40" t="str">
        <f>VLOOKUP(F265,'Manager Coding'!C:D,2,0)</f>
        <v>Rooney/Jackson</v>
      </c>
      <c r="H265" s="41">
        <f t="shared" si="6"/>
        <v>97.72</v>
      </c>
      <c r="I265" t="str">
        <f t="shared" si="7"/>
        <v>Tyler Howard</v>
      </c>
      <c r="J265" t="str">
        <f>VLOOKUP(I265,'Manager Coding'!C:D,2,0)</f>
        <v>T-How</v>
      </c>
      <c r="K265" s="41">
        <f t="shared" si="8"/>
        <v>95.94</v>
      </c>
      <c r="L265">
        <f t="shared" si="9"/>
        <v>1</v>
      </c>
      <c r="M265">
        <f t="shared" si="10"/>
        <v>0</v>
      </c>
      <c r="N265" s="54" t="s">
        <v>927</v>
      </c>
      <c r="O265" s="55" t="s">
        <v>58</v>
      </c>
      <c r="P265" s="67">
        <v>97.72</v>
      </c>
      <c r="Q265" s="68">
        <v>95.94</v>
      </c>
      <c r="R265" s="48" t="s">
        <v>85</v>
      </c>
      <c r="S265" s="54" t="s">
        <v>928</v>
      </c>
      <c r="T265">
        <f t="shared" si="11"/>
        <v>1.78</v>
      </c>
    </row>
    <row r="266" hidden="1">
      <c r="A266" s="32" t="str">
        <f t="shared" si="1"/>
        <v>2019BuserWeek 1</v>
      </c>
      <c r="B266" s="32" t="str">
        <f t="shared" si="2"/>
        <v>2019TayskiWeek 1</v>
      </c>
      <c r="C266" s="32" t="str">
        <f t="shared" si="3"/>
        <v>Week 1</v>
      </c>
      <c r="D266" s="32">
        <v>2019.0</v>
      </c>
      <c r="E266" t="str">
        <f t="shared" si="4"/>
        <v>1</v>
      </c>
      <c r="F266" t="str">
        <f t="shared" si="5"/>
        <v>Ed Buser</v>
      </c>
      <c r="G266" s="40" t="str">
        <f>VLOOKUP(F266,'Manager Coding'!C:D,2,0)</f>
        <v>Buser</v>
      </c>
      <c r="H266" s="41">
        <f t="shared" si="6"/>
        <v>133.7</v>
      </c>
      <c r="I266" t="str">
        <f t="shared" si="7"/>
        <v>Taylor Weis</v>
      </c>
      <c r="J266" t="str">
        <f>VLOOKUP(I266,'Manager Coding'!C:D,2,0)</f>
        <v>Tayski</v>
      </c>
      <c r="K266" s="41">
        <f t="shared" si="8"/>
        <v>96.52</v>
      </c>
      <c r="L266">
        <f t="shared" si="9"/>
        <v>1</v>
      </c>
      <c r="M266">
        <f t="shared" si="10"/>
        <v>0</v>
      </c>
      <c r="N266" s="54" t="s">
        <v>929</v>
      </c>
      <c r="O266" s="55" t="s">
        <v>50</v>
      </c>
      <c r="P266" s="67">
        <v>133.7</v>
      </c>
      <c r="Q266" s="68">
        <v>96.52</v>
      </c>
      <c r="R266" s="48" t="s">
        <v>54</v>
      </c>
      <c r="S266" s="54" t="s">
        <v>930</v>
      </c>
      <c r="T266">
        <f t="shared" si="11"/>
        <v>37.18</v>
      </c>
    </row>
    <row r="267" hidden="1">
      <c r="A267" s="32" t="str">
        <f t="shared" si="1"/>
        <v>#N/A</v>
      </c>
      <c r="B267" s="32" t="str">
        <f t="shared" si="2"/>
        <v>#N/A</v>
      </c>
      <c r="C267" s="32" t="str">
        <f t="shared" si="3"/>
        <v>Week 1</v>
      </c>
      <c r="D267" s="32">
        <v>2019.0</v>
      </c>
      <c r="E267" t="str">
        <f t="shared" si="4"/>
        <v>1</v>
      </c>
      <c r="F267" t="str">
        <f t="shared" si="5"/>
        <v/>
      </c>
      <c r="G267" s="40" t="str">
        <f>VLOOKUP(F267,'Manager Coding'!C:D,2,0)</f>
        <v>#N/A</v>
      </c>
      <c r="H267" s="41" t="str">
        <f t="shared" si="6"/>
        <v/>
      </c>
      <c r="I267" t="str">
        <f t="shared" si="7"/>
        <v/>
      </c>
      <c r="J267" t="str">
        <f>VLOOKUP(I267,'Manager Coding'!C:D,2,0)</f>
        <v>#N/A</v>
      </c>
      <c r="K267" s="41" t="str">
        <f t="shared" si="8"/>
        <v/>
      </c>
      <c r="L267">
        <f t="shared" si="9"/>
        <v>0</v>
      </c>
      <c r="M267">
        <f t="shared" si="10"/>
        <v>0</v>
      </c>
      <c r="N267" s="53" t="s">
        <v>196</v>
      </c>
      <c r="P267" s="41"/>
      <c r="Q267" s="41"/>
      <c r="T267">
        <f t="shared" si="11"/>
        <v>0</v>
      </c>
    </row>
    <row r="268" hidden="1">
      <c r="A268" s="32" t="str">
        <f t="shared" si="1"/>
        <v>#N/A</v>
      </c>
      <c r="B268" s="32" t="str">
        <f t="shared" si="2"/>
        <v>#N/A</v>
      </c>
      <c r="C268" s="32" t="str">
        <f t="shared" si="3"/>
        <v>Week 2</v>
      </c>
      <c r="D268" s="32">
        <v>2019.0</v>
      </c>
      <c r="E268" t="str">
        <f t="shared" si="4"/>
        <v>2</v>
      </c>
      <c r="F268" t="str">
        <f t="shared" si="5"/>
        <v>TEAM MANAGER(S)</v>
      </c>
      <c r="G268" s="40" t="str">
        <f>VLOOKUP(F268,'Manager Coding'!C:D,2,0)</f>
        <v>#N/A</v>
      </c>
      <c r="H268" s="41" t="str">
        <f t="shared" si="6"/>
        <v>SCORE</v>
      </c>
      <c r="I268" t="str">
        <f t="shared" si="7"/>
        <v>TEAM MANAGER(S)</v>
      </c>
      <c r="J268" t="str">
        <f>VLOOKUP(I268,'Manager Coding'!C:D,2,0)</f>
        <v>#N/A</v>
      </c>
      <c r="K268" s="41" t="str">
        <f t="shared" si="8"/>
        <v>SCORE</v>
      </c>
      <c r="L268">
        <f t="shared" si="9"/>
        <v>0</v>
      </c>
      <c r="M268">
        <f t="shared" si="10"/>
        <v>0</v>
      </c>
      <c r="N268" s="24" t="s">
        <v>197</v>
      </c>
      <c r="O268" s="24" t="s">
        <v>88</v>
      </c>
      <c r="P268" s="26" t="s">
        <v>94</v>
      </c>
      <c r="Q268" s="27" t="s">
        <v>94</v>
      </c>
      <c r="R268" s="30" t="s">
        <v>88</v>
      </c>
      <c r="S268" s="30" t="s">
        <v>101</v>
      </c>
      <c r="T268">
        <f t="shared" si="11"/>
        <v>0</v>
      </c>
    </row>
    <row r="269" hidden="1">
      <c r="A269" s="32" t="str">
        <f t="shared" si="1"/>
        <v>2019PiersonWeek 2</v>
      </c>
      <c r="B269" s="32" t="str">
        <f t="shared" si="2"/>
        <v>2019CockWeek 2</v>
      </c>
      <c r="C269" s="32" t="str">
        <f t="shared" si="3"/>
        <v>Week 2</v>
      </c>
      <c r="D269" s="32">
        <v>2019.0</v>
      </c>
      <c r="E269" t="str">
        <f t="shared" si="4"/>
        <v>2</v>
      </c>
      <c r="F269" t="str">
        <f t="shared" si="5"/>
        <v>Pierson Curtis</v>
      </c>
      <c r="G269" s="40" t="str">
        <f>VLOOKUP(F269,'Manager Coding'!C:D,2,0)</f>
        <v>Pierson</v>
      </c>
      <c r="H269" s="41">
        <f t="shared" si="6"/>
        <v>131.78</v>
      </c>
      <c r="I269" t="str">
        <f t="shared" si="7"/>
        <v>Jack Babcock, Chris Cochrane</v>
      </c>
      <c r="J269" t="str">
        <f>VLOOKUP(I269,'Manager Coding'!C:D,2,0)</f>
        <v>Cock</v>
      </c>
      <c r="K269" s="41">
        <f t="shared" si="8"/>
        <v>76.46</v>
      </c>
      <c r="L269">
        <f t="shared" si="9"/>
        <v>1</v>
      </c>
      <c r="M269">
        <f t="shared" si="10"/>
        <v>0</v>
      </c>
      <c r="N269" s="54" t="s">
        <v>914</v>
      </c>
      <c r="O269" s="55" t="s">
        <v>93</v>
      </c>
      <c r="P269" s="67">
        <v>131.78</v>
      </c>
      <c r="Q269" s="68">
        <v>76.46</v>
      </c>
      <c r="R269" s="48" t="s">
        <v>73</v>
      </c>
      <c r="S269" s="54" t="s">
        <v>910</v>
      </c>
      <c r="T269">
        <f t="shared" si="11"/>
        <v>55.32</v>
      </c>
    </row>
    <row r="270" hidden="1">
      <c r="A270" s="32" t="str">
        <f t="shared" si="1"/>
        <v>2019KnardDawgWeek 2</v>
      </c>
      <c r="B270" s="32" t="str">
        <f t="shared" si="2"/>
        <v>2019SaltyWeek 2</v>
      </c>
      <c r="C270" s="32" t="str">
        <f t="shared" si="3"/>
        <v>Week 2</v>
      </c>
      <c r="D270" s="32">
        <v>2019.0</v>
      </c>
      <c r="E270" t="str">
        <f t="shared" si="4"/>
        <v>2</v>
      </c>
      <c r="F270" t="str">
        <f t="shared" si="5"/>
        <v>Jack Reilly, Alex Kinniard</v>
      </c>
      <c r="G270" s="40" t="str">
        <f>VLOOKUP(F270,'Manager Coding'!C:D,2,0)</f>
        <v>KnardDawg</v>
      </c>
      <c r="H270" s="41">
        <f t="shared" si="6"/>
        <v>90.72</v>
      </c>
      <c r="I270" t="str">
        <f t="shared" si="7"/>
        <v>R Saltiel</v>
      </c>
      <c r="J270" t="str">
        <f>VLOOKUP(I270,'Manager Coding'!C:D,2,0)</f>
        <v>Salty</v>
      </c>
      <c r="K270" s="41">
        <f t="shared" si="8"/>
        <v>69.36</v>
      </c>
      <c r="L270">
        <f t="shared" si="9"/>
        <v>1</v>
      </c>
      <c r="M270">
        <f t="shared" si="10"/>
        <v>0</v>
      </c>
      <c r="N270" s="54" t="s">
        <v>912</v>
      </c>
      <c r="O270" s="55" t="s">
        <v>96</v>
      </c>
      <c r="P270" s="67">
        <v>90.72</v>
      </c>
      <c r="Q270" s="68">
        <v>69.36</v>
      </c>
      <c r="R270" s="48" t="s">
        <v>77</v>
      </c>
      <c r="S270" s="54" t="s">
        <v>921</v>
      </c>
      <c r="T270">
        <f t="shared" si="11"/>
        <v>21.36</v>
      </c>
    </row>
    <row r="271" hidden="1">
      <c r="A271" s="32" t="str">
        <f t="shared" si="1"/>
        <v>2019RileyWeek 2</v>
      </c>
      <c r="B271" s="32" t="str">
        <f t="shared" si="2"/>
        <v>2019ShepWeek 2</v>
      </c>
      <c r="C271" s="32" t="str">
        <f t="shared" si="3"/>
        <v>Week 2</v>
      </c>
      <c r="D271" s="32">
        <v>2019.0</v>
      </c>
      <c r="E271" t="str">
        <f t="shared" si="4"/>
        <v>2</v>
      </c>
      <c r="F271" t="str">
        <f t="shared" si="5"/>
        <v>Riley McElwain</v>
      </c>
      <c r="G271" s="40" t="str">
        <f>VLOOKUP(F271,'Manager Coding'!C:D,2,0)</f>
        <v>Riley</v>
      </c>
      <c r="H271" s="41">
        <f t="shared" si="6"/>
        <v>117.76</v>
      </c>
      <c r="I271" t="str">
        <f t="shared" si="7"/>
        <v>Jordan Shepherd</v>
      </c>
      <c r="J271" t="str">
        <f>VLOOKUP(I271,'Manager Coding'!C:D,2,0)</f>
        <v>Shep</v>
      </c>
      <c r="K271" s="41">
        <f t="shared" si="8"/>
        <v>107.7</v>
      </c>
      <c r="L271">
        <f t="shared" si="9"/>
        <v>1</v>
      </c>
      <c r="M271">
        <f t="shared" si="10"/>
        <v>0</v>
      </c>
      <c r="N271" s="54" t="s">
        <v>915</v>
      </c>
      <c r="O271" s="55" t="s">
        <v>68</v>
      </c>
      <c r="P271" s="67">
        <v>117.76</v>
      </c>
      <c r="Q271" s="68">
        <v>107.7</v>
      </c>
      <c r="R271" s="48" t="s">
        <v>91</v>
      </c>
      <c r="S271" s="54" t="s">
        <v>923</v>
      </c>
      <c r="T271">
        <f t="shared" si="11"/>
        <v>10.06</v>
      </c>
    </row>
    <row r="272" hidden="1">
      <c r="A272" s="32" t="str">
        <f t="shared" si="1"/>
        <v>2019HudspeathWeek 2</v>
      </c>
      <c r="B272" s="32" t="str">
        <f t="shared" si="2"/>
        <v>2019Rooney/JacksonWeek 2</v>
      </c>
      <c r="C272" s="32" t="str">
        <f t="shared" si="3"/>
        <v>Week 2</v>
      </c>
      <c r="D272" s="32">
        <v>2019.0</v>
      </c>
      <c r="E272" t="str">
        <f t="shared" si="4"/>
        <v>2</v>
      </c>
      <c r="F272" t="str">
        <f t="shared" si="5"/>
        <v>matt hudspeath</v>
      </c>
      <c r="G272" s="40" t="str">
        <f>VLOOKUP(F272,'Manager Coding'!C:D,2,0)</f>
        <v>Hudspeath</v>
      </c>
      <c r="H272" s="41">
        <f t="shared" si="6"/>
        <v>107.64</v>
      </c>
      <c r="I272" t="str">
        <f t="shared" si="7"/>
        <v>Stephen Rooney, Jackson Sattell</v>
      </c>
      <c r="J272" t="str">
        <f>VLOOKUP(I272,'Manager Coding'!C:D,2,0)</f>
        <v>Rooney/Jackson</v>
      </c>
      <c r="K272" s="41">
        <f t="shared" si="8"/>
        <v>80.72</v>
      </c>
      <c r="L272">
        <f t="shared" si="9"/>
        <v>1</v>
      </c>
      <c r="M272">
        <f t="shared" si="10"/>
        <v>0</v>
      </c>
      <c r="N272" s="54" t="s">
        <v>922</v>
      </c>
      <c r="O272" s="55" t="s">
        <v>64</v>
      </c>
      <c r="P272" s="67">
        <v>107.64</v>
      </c>
      <c r="Q272" s="68">
        <v>80.72</v>
      </c>
      <c r="R272" s="48" t="s">
        <v>58</v>
      </c>
      <c r="S272" s="54" t="s">
        <v>927</v>
      </c>
      <c r="T272">
        <f t="shared" si="11"/>
        <v>26.92</v>
      </c>
    </row>
    <row r="273" hidden="1">
      <c r="A273" s="32" t="str">
        <f t="shared" si="1"/>
        <v>2019FellowsWeek 2</v>
      </c>
      <c r="B273" s="32" t="str">
        <f t="shared" si="2"/>
        <v>2019BuserWeek 2</v>
      </c>
      <c r="C273" s="32" t="str">
        <f t="shared" si="3"/>
        <v>Week 2</v>
      </c>
      <c r="D273" s="32">
        <v>2019.0</v>
      </c>
      <c r="E273" t="str">
        <f t="shared" si="4"/>
        <v>2</v>
      </c>
      <c r="F273" t="str">
        <f t="shared" si="5"/>
        <v>Michael Fellows</v>
      </c>
      <c r="G273" s="40" t="str">
        <f>VLOOKUP(F273,'Manager Coding'!C:D,2,0)</f>
        <v>Fellows</v>
      </c>
      <c r="H273" s="41">
        <f t="shared" si="6"/>
        <v>78.76</v>
      </c>
      <c r="I273" t="str">
        <f t="shared" si="7"/>
        <v>Ed Buser</v>
      </c>
      <c r="J273" t="str">
        <f>VLOOKUP(I273,'Manager Coding'!C:D,2,0)</f>
        <v>Buser</v>
      </c>
      <c r="K273" s="41">
        <f t="shared" si="8"/>
        <v>109.4</v>
      </c>
      <c r="L273">
        <f t="shared" si="9"/>
        <v>0</v>
      </c>
      <c r="M273">
        <f t="shared" si="10"/>
        <v>1</v>
      </c>
      <c r="N273" s="54" t="s">
        <v>924</v>
      </c>
      <c r="O273" s="55" t="s">
        <v>80</v>
      </c>
      <c r="P273" s="67">
        <v>78.76</v>
      </c>
      <c r="Q273" s="68">
        <v>109.4</v>
      </c>
      <c r="R273" s="48" t="s">
        <v>50</v>
      </c>
      <c r="S273" s="54" t="s">
        <v>929</v>
      </c>
      <c r="T273">
        <f t="shared" si="11"/>
        <v>30.64</v>
      </c>
    </row>
    <row r="274" hidden="1">
      <c r="A274" s="32" t="str">
        <f t="shared" si="1"/>
        <v>2019T-HowWeek 2</v>
      </c>
      <c r="B274" s="32" t="str">
        <f t="shared" si="2"/>
        <v>2019TayskiWeek 2</v>
      </c>
      <c r="C274" s="32" t="str">
        <f t="shared" si="3"/>
        <v>Week 2</v>
      </c>
      <c r="D274" s="32">
        <v>2019.0</v>
      </c>
      <c r="E274" t="str">
        <f t="shared" si="4"/>
        <v>2</v>
      </c>
      <c r="F274" t="str">
        <f t="shared" si="5"/>
        <v>Tyler Howard</v>
      </c>
      <c r="G274" s="40" t="str">
        <f>VLOOKUP(F274,'Manager Coding'!C:D,2,0)</f>
        <v>T-How</v>
      </c>
      <c r="H274" s="41">
        <f t="shared" si="6"/>
        <v>90.72</v>
      </c>
      <c r="I274" t="str">
        <f t="shared" si="7"/>
        <v>Taylor Weis</v>
      </c>
      <c r="J274" t="str">
        <f>VLOOKUP(I274,'Manager Coding'!C:D,2,0)</f>
        <v>Tayski</v>
      </c>
      <c r="K274" s="41">
        <f t="shared" si="8"/>
        <v>86.56</v>
      </c>
      <c r="L274">
        <f t="shared" si="9"/>
        <v>1</v>
      </c>
      <c r="M274">
        <f t="shared" si="10"/>
        <v>0</v>
      </c>
      <c r="N274" s="54" t="s">
        <v>928</v>
      </c>
      <c r="O274" s="55" t="s">
        <v>85</v>
      </c>
      <c r="P274" s="67">
        <v>90.72</v>
      </c>
      <c r="Q274" s="68">
        <v>86.56</v>
      </c>
      <c r="R274" s="48" t="s">
        <v>54</v>
      </c>
      <c r="S274" s="54" t="s">
        <v>930</v>
      </c>
      <c r="T274">
        <f t="shared" si="11"/>
        <v>4.16</v>
      </c>
    </row>
    <row r="275" hidden="1">
      <c r="A275" s="32" t="str">
        <f t="shared" si="1"/>
        <v>#N/A</v>
      </c>
      <c r="B275" s="32" t="str">
        <f t="shared" si="2"/>
        <v>#N/A</v>
      </c>
      <c r="C275" s="32" t="str">
        <f t="shared" si="3"/>
        <v>Week 2</v>
      </c>
      <c r="D275" s="32">
        <v>2019.0</v>
      </c>
      <c r="E275" t="str">
        <f t="shared" si="4"/>
        <v>2</v>
      </c>
      <c r="F275" t="str">
        <f t="shared" si="5"/>
        <v/>
      </c>
      <c r="G275" s="40" t="str">
        <f>VLOOKUP(F275,'Manager Coding'!C:D,2,0)</f>
        <v>#N/A</v>
      </c>
      <c r="H275" s="41" t="str">
        <f t="shared" si="6"/>
        <v/>
      </c>
      <c r="I275" t="str">
        <f t="shared" si="7"/>
        <v/>
      </c>
      <c r="J275" t="str">
        <f>VLOOKUP(I275,'Manager Coding'!C:D,2,0)</f>
        <v>#N/A</v>
      </c>
      <c r="K275" s="41" t="str">
        <f t="shared" si="8"/>
        <v/>
      </c>
      <c r="L275">
        <f t="shared" si="9"/>
        <v>0</v>
      </c>
      <c r="M275">
        <f t="shared" si="10"/>
        <v>0</v>
      </c>
      <c r="N275" s="53" t="s">
        <v>234</v>
      </c>
      <c r="P275" s="41"/>
      <c r="Q275" s="41"/>
      <c r="T275">
        <f t="shared" si="11"/>
        <v>0</v>
      </c>
    </row>
    <row r="276" hidden="1">
      <c r="A276" s="32" t="str">
        <f t="shared" si="1"/>
        <v>#N/A</v>
      </c>
      <c r="B276" s="32" t="str">
        <f t="shared" si="2"/>
        <v>#N/A</v>
      </c>
      <c r="C276" s="32" t="str">
        <f t="shared" si="3"/>
        <v>Week 3</v>
      </c>
      <c r="D276" s="32">
        <v>2019.0</v>
      </c>
      <c r="E276" t="str">
        <f t="shared" si="4"/>
        <v>3</v>
      </c>
      <c r="F276" t="str">
        <f t="shared" si="5"/>
        <v>TEAM MANAGER(S)</v>
      </c>
      <c r="G276" s="40" t="str">
        <f>VLOOKUP(F276,'Manager Coding'!C:D,2,0)</f>
        <v>#N/A</v>
      </c>
      <c r="H276" s="41" t="str">
        <f t="shared" si="6"/>
        <v>SCORE</v>
      </c>
      <c r="I276" t="str">
        <f t="shared" si="7"/>
        <v>TEAM MANAGER(S)</v>
      </c>
      <c r="J276" t="str">
        <f>VLOOKUP(I276,'Manager Coding'!C:D,2,0)</f>
        <v>#N/A</v>
      </c>
      <c r="K276" s="41" t="str">
        <f t="shared" si="8"/>
        <v>SCORE</v>
      </c>
      <c r="L276">
        <f t="shared" si="9"/>
        <v>0</v>
      </c>
      <c r="M276">
        <f t="shared" si="10"/>
        <v>0</v>
      </c>
      <c r="N276" s="24" t="s">
        <v>197</v>
      </c>
      <c r="O276" s="24" t="s">
        <v>88</v>
      </c>
      <c r="P276" s="26" t="s">
        <v>94</v>
      </c>
      <c r="Q276" s="27" t="s">
        <v>94</v>
      </c>
      <c r="R276" s="30" t="s">
        <v>88</v>
      </c>
      <c r="S276" s="30" t="s">
        <v>101</v>
      </c>
      <c r="T276">
        <f t="shared" si="11"/>
        <v>0</v>
      </c>
    </row>
    <row r="277" hidden="1">
      <c r="A277" s="32" t="str">
        <f t="shared" si="1"/>
        <v>2019CockWeek 3</v>
      </c>
      <c r="B277" s="32" t="str">
        <f t="shared" si="2"/>
        <v>2019SaltyWeek 3</v>
      </c>
      <c r="C277" s="32" t="str">
        <f t="shared" si="3"/>
        <v>Week 3</v>
      </c>
      <c r="D277" s="32">
        <v>2019.0</v>
      </c>
      <c r="E277" t="str">
        <f t="shared" si="4"/>
        <v>3</v>
      </c>
      <c r="F277" t="str">
        <f t="shared" si="5"/>
        <v>Jack Babcock, Chris Cochrane</v>
      </c>
      <c r="G277" s="40" t="str">
        <f>VLOOKUP(F277,'Manager Coding'!C:D,2,0)</f>
        <v>Cock</v>
      </c>
      <c r="H277" s="41">
        <f t="shared" si="6"/>
        <v>92.64</v>
      </c>
      <c r="I277" t="str">
        <f t="shared" si="7"/>
        <v>R Saltiel</v>
      </c>
      <c r="J277" t="str">
        <f>VLOOKUP(I277,'Manager Coding'!C:D,2,0)</f>
        <v>Salty</v>
      </c>
      <c r="K277" s="41">
        <f t="shared" si="8"/>
        <v>56.2</v>
      </c>
      <c r="L277">
        <f t="shared" si="9"/>
        <v>1</v>
      </c>
      <c r="M277">
        <f t="shared" si="10"/>
        <v>0</v>
      </c>
      <c r="N277" s="54" t="s">
        <v>910</v>
      </c>
      <c r="O277" s="55" t="s">
        <v>73</v>
      </c>
      <c r="P277" s="67">
        <v>92.64</v>
      </c>
      <c r="Q277" s="68">
        <v>56.2</v>
      </c>
      <c r="R277" s="48" t="s">
        <v>77</v>
      </c>
      <c r="S277" s="54" t="s">
        <v>921</v>
      </c>
      <c r="T277">
        <f t="shared" si="11"/>
        <v>36.44</v>
      </c>
    </row>
    <row r="278" hidden="1">
      <c r="A278" s="32" t="str">
        <f t="shared" si="1"/>
        <v>2019ShepWeek 3</v>
      </c>
      <c r="B278" s="32" t="str">
        <f t="shared" si="2"/>
        <v>2019PiersonWeek 3</v>
      </c>
      <c r="C278" s="32" t="str">
        <f t="shared" si="3"/>
        <v>Week 3</v>
      </c>
      <c r="D278" s="32">
        <v>2019.0</v>
      </c>
      <c r="E278" t="str">
        <f t="shared" si="4"/>
        <v>3</v>
      </c>
      <c r="F278" t="str">
        <f t="shared" si="5"/>
        <v>Jordan Shepherd</v>
      </c>
      <c r="G278" s="40" t="str">
        <f>VLOOKUP(F278,'Manager Coding'!C:D,2,0)</f>
        <v>Shep</v>
      </c>
      <c r="H278" s="41">
        <f t="shared" si="6"/>
        <v>96.16</v>
      </c>
      <c r="I278" t="str">
        <f t="shared" si="7"/>
        <v>Pierson Curtis</v>
      </c>
      <c r="J278" t="str">
        <f>VLOOKUP(I278,'Manager Coding'!C:D,2,0)</f>
        <v>Pierson</v>
      </c>
      <c r="K278" s="41">
        <f t="shared" si="8"/>
        <v>134.88</v>
      </c>
      <c r="L278">
        <f t="shared" si="9"/>
        <v>0</v>
      </c>
      <c r="M278">
        <f t="shared" si="10"/>
        <v>1</v>
      </c>
      <c r="N278" s="54" t="s">
        <v>923</v>
      </c>
      <c r="O278" s="55" t="s">
        <v>91</v>
      </c>
      <c r="P278" s="67">
        <v>96.16</v>
      </c>
      <c r="Q278" s="68">
        <v>134.88</v>
      </c>
      <c r="R278" s="48" t="s">
        <v>93</v>
      </c>
      <c r="S278" s="54" t="s">
        <v>914</v>
      </c>
      <c r="T278">
        <f t="shared" si="11"/>
        <v>38.72</v>
      </c>
    </row>
    <row r="279" hidden="1">
      <c r="A279" s="32" t="str">
        <f t="shared" si="1"/>
        <v>2019Rooney/JacksonWeek 3</v>
      </c>
      <c r="B279" s="32" t="str">
        <f t="shared" si="2"/>
        <v>2019KnardDawgWeek 3</v>
      </c>
      <c r="C279" s="32" t="str">
        <f t="shared" si="3"/>
        <v>Week 3</v>
      </c>
      <c r="D279" s="32">
        <v>2019.0</v>
      </c>
      <c r="E279" t="str">
        <f t="shared" si="4"/>
        <v>3</v>
      </c>
      <c r="F279" t="str">
        <f t="shared" si="5"/>
        <v>Stephen Rooney, Jackson Sattell</v>
      </c>
      <c r="G279" s="40" t="str">
        <f>VLOOKUP(F279,'Manager Coding'!C:D,2,0)</f>
        <v>Rooney/Jackson</v>
      </c>
      <c r="H279" s="41">
        <f t="shared" si="6"/>
        <v>108.22</v>
      </c>
      <c r="I279" t="str">
        <f t="shared" si="7"/>
        <v>Jack Reilly, Alex Kinniard</v>
      </c>
      <c r="J279" t="str">
        <f>VLOOKUP(I279,'Manager Coding'!C:D,2,0)</f>
        <v>KnardDawg</v>
      </c>
      <c r="K279" s="41">
        <f t="shared" si="8"/>
        <v>144.16</v>
      </c>
      <c r="L279">
        <f t="shared" si="9"/>
        <v>0</v>
      </c>
      <c r="M279">
        <f t="shared" si="10"/>
        <v>1</v>
      </c>
      <c r="N279" s="54" t="s">
        <v>927</v>
      </c>
      <c r="O279" s="55" t="s">
        <v>58</v>
      </c>
      <c r="P279" s="67">
        <v>108.22</v>
      </c>
      <c r="Q279" s="68">
        <v>144.16</v>
      </c>
      <c r="R279" s="48" t="s">
        <v>96</v>
      </c>
      <c r="S279" s="54" t="s">
        <v>912</v>
      </c>
      <c r="T279">
        <f t="shared" si="11"/>
        <v>35.94</v>
      </c>
    </row>
    <row r="280" hidden="1">
      <c r="A280" s="32" t="str">
        <f t="shared" si="1"/>
        <v>2019BuserWeek 3</v>
      </c>
      <c r="B280" s="32" t="str">
        <f t="shared" si="2"/>
        <v>2019RileyWeek 3</v>
      </c>
      <c r="C280" s="32" t="str">
        <f t="shared" si="3"/>
        <v>Week 3</v>
      </c>
      <c r="D280" s="32">
        <v>2019.0</v>
      </c>
      <c r="E280" t="str">
        <f t="shared" si="4"/>
        <v>3</v>
      </c>
      <c r="F280" t="str">
        <f t="shared" si="5"/>
        <v>Ed Buser</v>
      </c>
      <c r="G280" s="40" t="str">
        <f>VLOOKUP(F280,'Manager Coding'!C:D,2,0)</f>
        <v>Buser</v>
      </c>
      <c r="H280" s="41">
        <f t="shared" si="6"/>
        <v>129.14</v>
      </c>
      <c r="I280" t="str">
        <f t="shared" si="7"/>
        <v>Riley McElwain</v>
      </c>
      <c r="J280" t="str">
        <f>VLOOKUP(I280,'Manager Coding'!C:D,2,0)</f>
        <v>Riley</v>
      </c>
      <c r="K280" s="41">
        <f t="shared" si="8"/>
        <v>97.72</v>
      </c>
      <c r="L280">
        <f t="shared" si="9"/>
        <v>1</v>
      </c>
      <c r="M280">
        <f t="shared" si="10"/>
        <v>0</v>
      </c>
      <c r="N280" s="54" t="s">
        <v>929</v>
      </c>
      <c r="O280" s="55" t="s">
        <v>50</v>
      </c>
      <c r="P280" s="67">
        <v>129.14</v>
      </c>
      <c r="Q280" s="68">
        <v>97.72</v>
      </c>
      <c r="R280" s="48" t="s">
        <v>68</v>
      </c>
      <c r="S280" s="54" t="s">
        <v>915</v>
      </c>
      <c r="T280">
        <f t="shared" si="11"/>
        <v>31.42</v>
      </c>
    </row>
    <row r="281" hidden="1">
      <c r="A281" s="32" t="str">
        <f t="shared" si="1"/>
        <v>2019TayskiWeek 3</v>
      </c>
      <c r="B281" s="32" t="str">
        <f t="shared" si="2"/>
        <v>2019HudspeathWeek 3</v>
      </c>
      <c r="C281" s="32" t="str">
        <f t="shared" si="3"/>
        <v>Week 3</v>
      </c>
      <c r="D281" s="32">
        <v>2019.0</v>
      </c>
      <c r="E281" t="str">
        <f t="shared" si="4"/>
        <v>3</v>
      </c>
      <c r="F281" t="str">
        <f t="shared" si="5"/>
        <v>Taylor Weis</v>
      </c>
      <c r="G281" s="40" t="str">
        <f>VLOOKUP(F281,'Manager Coding'!C:D,2,0)</f>
        <v>Tayski</v>
      </c>
      <c r="H281" s="41">
        <f t="shared" si="6"/>
        <v>76.24</v>
      </c>
      <c r="I281" t="str">
        <f t="shared" si="7"/>
        <v>matt hudspeath</v>
      </c>
      <c r="J281" t="str">
        <f>VLOOKUP(I281,'Manager Coding'!C:D,2,0)</f>
        <v>Hudspeath</v>
      </c>
      <c r="K281" s="41">
        <f t="shared" si="8"/>
        <v>61.86</v>
      </c>
      <c r="L281">
        <f t="shared" si="9"/>
        <v>1</v>
      </c>
      <c r="M281">
        <f t="shared" si="10"/>
        <v>0</v>
      </c>
      <c r="N281" s="54" t="s">
        <v>930</v>
      </c>
      <c r="O281" s="55" t="s">
        <v>54</v>
      </c>
      <c r="P281" s="67">
        <v>76.24</v>
      </c>
      <c r="Q281" s="68">
        <v>61.86</v>
      </c>
      <c r="R281" s="48" t="s">
        <v>64</v>
      </c>
      <c r="S281" s="54" t="s">
        <v>922</v>
      </c>
      <c r="T281">
        <f t="shared" si="11"/>
        <v>14.38</v>
      </c>
    </row>
    <row r="282" hidden="1">
      <c r="A282" s="32" t="str">
        <f t="shared" si="1"/>
        <v>2019T-HowWeek 3</v>
      </c>
      <c r="B282" s="32" t="str">
        <f t="shared" si="2"/>
        <v>2019FellowsWeek 3</v>
      </c>
      <c r="C282" s="32" t="str">
        <f t="shared" si="3"/>
        <v>Week 3</v>
      </c>
      <c r="D282" s="32">
        <v>2019.0</v>
      </c>
      <c r="E282" t="str">
        <f t="shared" si="4"/>
        <v>3</v>
      </c>
      <c r="F282" t="str">
        <f t="shared" si="5"/>
        <v>Tyler Howard</v>
      </c>
      <c r="G282" s="40" t="str">
        <f>VLOOKUP(F282,'Manager Coding'!C:D,2,0)</f>
        <v>T-How</v>
      </c>
      <c r="H282" s="41">
        <f t="shared" si="6"/>
        <v>129.92</v>
      </c>
      <c r="I282" t="str">
        <f t="shared" si="7"/>
        <v>Michael Fellows</v>
      </c>
      <c r="J282" t="str">
        <f>VLOOKUP(I282,'Manager Coding'!C:D,2,0)</f>
        <v>Fellows</v>
      </c>
      <c r="K282" s="41">
        <f t="shared" si="8"/>
        <v>89.94</v>
      </c>
      <c r="L282">
        <f t="shared" si="9"/>
        <v>1</v>
      </c>
      <c r="M282">
        <f t="shared" si="10"/>
        <v>0</v>
      </c>
      <c r="N282" s="54" t="s">
        <v>928</v>
      </c>
      <c r="O282" s="55" t="s">
        <v>85</v>
      </c>
      <c r="P282" s="67">
        <v>129.92</v>
      </c>
      <c r="Q282" s="68">
        <v>89.94</v>
      </c>
      <c r="R282" s="48" t="s">
        <v>80</v>
      </c>
      <c r="S282" s="54" t="s">
        <v>924</v>
      </c>
      <c r="T282">
        <f t="shared" si="11"/>
        <v>39.98</v>
      </c>
    </row>
    <row r="283" hidden="1">
      <c r="A283" s="32" t="str">
        <f t="shared" si="1"/>
        <v>#N/A</v>
      </c>
      <c r="B283" s="32" t="str">
        <f t="shared" si="2"/>
        <v>#N/A</v>
      </c>
      <c r="C283" s="32" t="str">
        <f t="shared" si="3"/>
        <v>Week 3</v>
      </c>
      <c r="D283" s="32">
        <v>2019.0</v>
      </c>
      <c r="E283" t="str">
        <f t="shared" si="4"/>
        <v>3</v>
      </c>
      <c r="F283" t="str">
        <f t="shared" si="5"/>
        <v/>
      </c>
      <c r="G283" s="40" t="str">
        <f>VLOOKUP(F283,'Manager Coding'!C:D,2,0)</f>
        <v>#N/A</v>
      </c>
      <c r="H283" s="41" t="str">
        <f t="shared" si="6"/>
        <v/>
      </c>
      <c r="I283" t="str">
        <f t="shared" si="7"/>
        <v/>
      </c>
      <c r="J283" t="str">
        <f>VLOOKUP(I283,'Manager Coding'!C:D,2,0)</f>
        <v>#N/A</v>
      </c>
      <c r="K283" s="41" t="str">
        <f t="shared" si="8"/>
        <v/>
      </c>
      <c r="L283">
        <f t="shared" si="9"/>
        <v>0</v>
      </c>
      <c r="M283">
        <f t="shared" si="10"/>
        <v>0</v>
      </c>
      <c r="N283" s="53" t="s">
        <v>260</v>
      </c>
      <c r="P283" s="41"/>
      <c r="Q283" s="41"/>
      <c r="T283">
        <f t="shared" si="11"/>
        <v>0</v>
      </c>
    </row>
    <row r="284" hidden="1">
      <c r="A284" s="32" t="str">
        <f t="shared" si="1"/>
        <v>#N/A</v>
      </c>
      <c r="B284" s="32" t="str">
        <f t="shared" si="2"/>
        <v>#N/A</v>
      </c>
      <c r="C284" s="32" t="str">
        <f t="shared" si="3"/>
        <v>Week 4</v>
      </c>
      <c r="D284" s="32">
        <v>2019.0</v>
      </c>
      <c r="E284" t="str">
        <f t="shared" si="4"/>
        <v>4</v>
      </c>
      <c r="F284" t="str">
        <f t="shared" si="5"/>
        <v>TEAM MANAGER(S)</v>
      </c>
      <c r="G284" s="40" t="str">
        <f>VLOOKUP(F284,'Manager Coding'!C:D,2,0)</f>
        <v>#N/A</v>
      </c>
      <c r="H284" s="41" t="str">
        <f t="shared" si="6"/>
        <v>SCORE</v>
      </c>
      <c r="I284" t="str">
        <f t="shared" si="7"/>
        <v>TEAM MANAGER(S)</v>
      </c>
      <c r="J284" t="str">
        <f>VLOOKUP(I284,'Manager Coding'!C:D,2,0)</f>
        <v>#N/A</v>
      </c>
      <c r="K284" s="41" t="str">
        <f t="shared" si="8"/>
        <v>SCORE</v>
      </c>
      <c r="L284">
        <f t="shared" si="9"/>
        <v>0</v>
      </c>
      <c r="M284">
        <f t="shared" si="10"/>
        <v>0</v>
      </c>
      <c r="N284" s="24" t="s">
        <v>197</v>
      </c>
      <c r="O284" s="24" t="s">
        <v>88</v>
      </c>
      <c r="P284" s="26" t="s">
        <v>94</v>
      </c>
      <c r="Q284" s="27" t="s">
        <v>94</v>
      </c>
      <c r="R284" s="30" t="s">
        <v>88</v>
      </c>
      <c r="S284" s="30" t="s">
        <v>101</v>
      </c>
      <c r="T284">
        <f t="shared" si="11"/>
        <v>0</v>
      </c>
    </row>
    <row r="285" hidden="1">
      <c r="A285" s="32" t="str">
        <f t="shared" si="1"/>
        <v>2019ShepWeek 4</v>
      </c>
      <c r="B285" s="32" t="str">
        <f t="shared" si="2"/>
        <v>2019CockWeek 4</v>
      </c>
      <c r="C285" s="32" t="str">
        <f t="shared" si="3"/>
        <v>Week 4</v>
      </c>
      <c r="D285" s="32">
        <v>2019.0</v>
      </c>
      <c r="E285" t="str">
        <f t="shared" si="4"/>
        <v>4</v>
      </c>
      <c r="F285" t="str">
        <f t="shared" si="5"/>
        <v>Jordan Shepherd</v>
      </c>
      <c r="G285" s="40" t="str">
        <f>VLOOKUP(F285,'Manager Coding'!C:D,2,0)</f>
        <v>Shep</v>
      </c>
      <c r="H285" s="41">
        <f t="shared" si="6"/>
        <v>84.98</v>
      </c>
      <c r="I285" t="str">
        <f t="shared" si="7"/>
        <v>Jack Babcock, Chris Cochrane</v>
      </c>
      <c r="J285" t="str">
        <f>VLOOKUP(I285,'Manager Coding'!C:D,2,0)</f>
        <v>Cock</v>
      </c>
      <c r="K285" s="41">
        <f t="shared" si="8"/>
        <v>32.8</v>
      </c>
      <c r="L285">
        <f t="shared" si="9"/>
        <v>1</v>
      </c>
      <c r="M285">
        <f t="shared" si="10"/>
        <v>0</v>
      </c>
      <c r="N285" s="54" t="s">
        <v>923</v>
      </c>
      <c r="O285" s="55" t="s">
        <v>91</v>
      </c>
      <c r="P285" s="67">
        <v>84.98</v>
      </c>
      <c r="Q285" s="68">
        <v>32.8</v>
      </c>
      <c r="R285" s="48" t="s">
        <v>73</v>
      </c>
      <c r="S285" s="54" t="s">
        <v>910</v>
      </c>
      <c r="T285">
        <f t="shared" si="11"/>
        <v>52.18</v>
      </c>
    </row>
    <row r="286" hidden="1">
      <c r="A286" s="32" t="str">
        <f t="shared" si="1"/>
        <v>2019SaltyWeek 4</v>
      </c>
      <c r="B286" s="32" t="str">
        <f t="shared" si="2"/>
        <v>2019Rooney/JacksonWeek 4</v>
      </c>
      <c r="C286" s="32" t="str">
        <f t="shared" si="3"/>
        <v>Week 4</v>
      </c>
      <c r="D286" s="32">
        <v>2019.0</v>
      </c>
      <c r="E286" t="str">
        <f t="shared" si="4"/>
        <v>4</v>
      </c>
      <c r="F286" t="str">
        <f t="shared" si="5"/>
        <v>R Saltiel</v>
      </c>
      <c r="G286" s="40" t="str">
        <f>VLOOKUP(F286,'Manager Coding'!C:D,2,0)</f>
        <v>Salty</v>
      </c>
      <c r="H286" s="41">
        <f t="shared" si="6"/>
        <v>120.28</v>
      </c>
      <c r="I286" t="str">
        <f t="shared" si="7"/>
        <v>Stephen Rooney, Jackson Sattell</v>
      </c>
      <c r="J286" t="str">
        <f>VLOOKUP(I286,'Manager Coding'!C:D,2,0)</f>
        <v>Rooney/Jackson</v>
      </c>
      <c r="K286" s="41">
        <f t="shared" si="8"/>
        <v>60.4</v>
      </c>
      <c r="L286">
        <f t="shared" si="9"/>
        <v>1</v>
      </c>
      <c r="M286">
        <f t="shared" si="10"/>
        <v>0</v>
      </c>
      <c r="N286" s="54" t="s">
        <v>921</v>
      </c>
      <c r="O286" s="55" t="s">
        <v>77</v>
      </c>
      <c r="P286" s="67">
        <v>120.28</v>
      </c>
      <c r="Q286" s="68">
        <v>60.4</v>
      </c>
      <c r="R286" s="48" t="s">
        <v>58</v>
      </c>
      <c r="S286" s="54" t="s">
        <v>927</v>
      </c>
      <c r="T286">
        <f t="shared" si="11"/>
        <v>59.88</v>
      </c>
    </row>
    <row r="287" hidden="1">
      <c r="A287" s="32" t="str">
        <f t="shared" si="1"/>
        <v>2019PiersonWeek 4</v>
      </c>
      <c r="B287" s="32" t="str">
        <f t="shared" si="2"/>
        <v>2019BuserWeek 4</v>
      </c>
      <c r="C287" s="32" t="str">
        <f t="shared" si="3"/>
        <v>Week 4</v>
      </c>
      <c r="D287" s="32">
        <v>2019.0</v>
      </c>
      <c r="E287" t="str">
        <f t="shared" si="4"/>
        <v>4</v>
      </c>
      <c r="F287" t="str">
        <f t="shared" si="5"/>
        <v>Pierson Curtis</v>
      </c>
      <c r="G287" s="40" t="str">
        <f>VLOOKUP(F287,'Manager Coding'!C:D,2,0)</f>
        <v>Pierson</v>
      </c>
      <c r="H287" s="41">
        <f t="shared" si="6"/>
        <v>106.38</v>
      </c>
      <c r="I287" t="str">
        <f t="shared" si="7"/>
        <v>Ed Buser</v>
      </c>
      <c r="J287" t="str">
        <f>VLOOKUP(I287,'Manager Coding'!C:D,2,0)</f>
        <v>Buser</v>
      </c>
      <c r="K287" s="41">
        <f t="shared" si="8"/>
        <v>75.8</v>
      </c>
      <c r="L287">
        <f t="shared" si="9"/>
        <v>1</v>
      </c>
      <c r="M287">
        <f t="shared" si="10"/>
        <v>0</v>
      </c>
      <c r="N287" s="54" t="s">
        <v>914</v>
      </c>
      <c r="O287" s="55" t="s">
        <v>93</v>
      </c>
      <c r="P287" s="67">
        <v>106.38</v>
      </c>
      <c r="Q287" s="68">
        <v>75.8</v>
      </c>
      <c r="R287" s="48" t="s">
        <v>50</v>
      </c>
      <c r="S287" s="54" t="s">
        <v>929</v>
      </c>
      <c r="T287">
        <f t="shared" si="11"/>
        <v>30.58</v>
      </c>
    </row>
    <row r="288" hidden="1">
      <c r="A288" s="32" t="str">
        <f t="shared" si="1"/>
        <v>2019KnardDawgWeek 4</v>
      </c>
      <c r="B288" s="32" t="str">
        <f t="shared" si="2"/>
        <v>2019TayskiWeek 4</v>
      </c>
      <c r="C288" s="32" t="str">
        <f t="shared" si="3"/>
        <v>Week 4</v>
      </c>
      <c r="D288" s="32">
        <v>2019.0</v>
      </c>
      <c r="E288" t="str">
        <f t="shared" si="4"/>
        <v>4</v>
      </c>
      <c r="F288" t="str">
        <f t="shared" si="5"/>
        <v>Jack Reilly, Alex Kinniard</v>
      </c>
      <c r="G288" s="40" t="str">
        <f>VLOOKUP(F288,'Manager Coding'!C:D,2,0)</f>
        <v>KnardDawg</v>
      </c>
      <c r="H288" s="41">
        <f t="shared" si="6"/>
        <v>82.1</v>
      </c>
      <c r="I288" t="str">
        <f t="shared" si="7"/>
        <v>Taylor Weis</v>
      </c>
      <c r="J288" t="str">
        <f>VLOOKUP(I288,'Manager Coding'!C:D,2,0)</f>
        <v>Tayski</v>
      </c>
      <c r="K288" s="41">
        <f t="shared" si="8"/>
        <v>104.4</v>
      </c>
      <c r="L288">
        <f t="shared" si="9"/>
        <v>0</v>
      </c>
      <c r="M288">
        <f t="shared" si="10"/>
        <v>1</v>
      </c>
      <c r="N288" s="54" t="s">
        <v>912</v>
      </c>
      <c r="O288" s="55" t="s">
        <v>96</v>
      </c>
      <c r="P288" s="67">
        <v>82.1</v>
      </c>
      <c r="Q288" s="68">
        <v>104.4</v>
      </c>
      <c r="R288" s="48" t="s">
        <v>54</v>
      </c>
      <c r="S288" s="54" t="s">
        <v>930</v>
      </c>
      <c r="T288">
        <f t="shared" si="11"/>
        <v>22.3</v>
      </c>
    </row>
    <row r="289" hidden="1">
      <c r="A289" s="32" t="str">
        <f t="shared" si="1"/>
        <v>2019RileyWeek 4</v>
      </c>
      <c r="B289" s="32" t="str">
        <f t="shared" si="2"/>
        <v>2019T-HowWeek 4</v>
      </c>
      <c r="C289" s="32" t="str">
        <f t="shared" si="3"/>
        <v>Week 4</v>
      </c>
      <c r="D289" s="32">
        <v>2019.0</v>
      </c>
      <c r="E289" t="str">
        <f t="shared" si="4"/>
        <v>4</v>
      </c>
      <c r="F289" t="str">
        <f t="shared" si="5"/>
        <v>Riley McElwain</v>
      </c>
      <c r="G289" s="40" t="str">
        <f>VLOOKUP(F289,'Manager Coding'!C:D,2,0)</f>
        <v>Riley</v>
      </c>
      <c r="H289" s="41">
        <f t="shared" si="6"/>
        <v>70.14</v>
      </c>
      <c r="I289" t="str">
        <f t="shared" si="7"/>
        <v>Tyler Howard</v>
      </c>
      <c r="J289" t="str">
        <f>VLOOKUP(I289,'Manager Coding'!C:D,2,0)</f>
        <v>T-How</v>
      </c>
      <c r="K289" s="41">
        <f t="shared" si="8"/>
        <v>101.28</v>
      </c>
      <c r="L289">
        <f t="shared" si="9"/>
        <v>0</v>
      </c>
      <c r="M289">
        <f t="shared" si="10"/>
        <v>1</v>
      </c>
      <c r="N289" s="54" t="s">
        <v>915</v>
      </c>
      <c r="O289" s="55" t="s">
        <v>68</v>
      </c>
      <c r="P289" s="67">
        <v>70.14</v>
      </c>
      <c r="Q289" s="68">
        <v>101.28</v>
      </c>
      <c r="R289" s="48" t="s">
        <v>85</v>
      </c>
      <c r="S289" s="54" t="s">
        <v>928</v>
      </c>
      <c r="T289">
        <f t="shared" si="11"/>
        <v>31.14</v>
      </c>
    </row>
    <row r="290" hidden="1">
      <c r="A290" s="32" t="str">
        <f t="shared" si="1"/>
        <v>2019HudspeathWeek 4</v>
      </c>
      <c r="B290" s="32" t="str">
        <f t="shared" si="2"/>
        <v>2019FellowsWeek 4</v>
      </c>
      <c r="C290" s="32" t="str">
        <f t="shared" si="3"/>
        <v>Week 4</v>
      </c>
      <c r="D290" s="32">
        <v>2019.0</v>
      </c>
      <c r="E290" t="str">
        <f t="shared" si="4"/>
        <v>4</v>
      </c>
      <c r="F290" t="str">
        <f t="shared" si="5"/>
        <v>matt hudspeath</v>
      </c>
      <c r="G290" s="40" t="str">
        <f>VLOOKUP(F290,'Manager Coding'!C:D,2,0)</f>
        <v>Hudspeath</v>
      </c>
      <c r="H290" s="41">
        <f t="shared" si="6"/>
        <v>139.4</v>
      </c>
      <c r="I290" t="str">
        <f t="shared" si="7"/>
        <v>Michael Fellows</v>
      </c>
      <c r="J290" t="str">
        <f>VLOOKUP(I290,'Manager Coding'!C:D,2,0)</f>
        <v>Fellows</v>
      </c>
      <c r="K290" s="41">
        <f t="shared" si="8"/>
        <v>65.52</v>
      </c>
      <c r="L290">
        <f t="shared" si="9"/>
        <v>1</v>
      </c>
      <c r="M290">
        <f t="shared" si="10"/>
        <v>0</v>
      </c>
      <c r="N290" s="54" t="s">
        <v>922</v>
      </c>
      <c r="O290" s="55" t="s">
        <v>64</v>
      </c>
      <c r="P290" s="67">
        <v>139.4</v>
      </c>
      <c r="Q290" s="68">
        <v>65.52</v>
      </c>
      <c r="R290" s="48" t="s">
        <v>80</v>
      </c>
      <c r="S290" s="54" t="s">
        <v>924</v>
      </c>
      <c r="T290">
        <f t="shared" si="11"/>
        <v>73.88</v>
      </c>
    </row>
    <row r="291" hidden="1">
      <c r="A291" s="32" t="str">
        <f t="shared" si="1"/>
        <v>#N/A</v>
      </c>
      <c r="B291" s="32" t="str">
        <f t="shared" si="2"/>
        <v>#N/A</v>
      </c>
      <c r="C291" s="32" t="str">
        <f t="shared" si="3"/>
        <v>Week 4</v>
      </c>
      <c r="D291" s="32">
        <v>2019.0</v>
      </c>
      <c r="E291" t="str">
        <f t="shared" si="4"/>
        <v>4</v>
      </c>
      <c r="F291" t="str">
        <f t="shared" si="5"/>
        <v/>
      </c>
      <c r="G291" s="40" t="str">
        <f>VLOOKUP(F291,'Manager Coding'!C:D,2,0)</f>
        <v>#N/A</v>
      </c>
      <c r="H291" s="41" t="str">
        <f t="shared" si="6"/>
        <v/>
      </c>
      <c r="I291" t="str">
        <f t="shared" si="7"/>
        <v/>
      </c>
      <c r="J291" t="str">
        <f>VLOOKUP(I291,'Manager Coding'!C:D,2,0)</f>
        <v>#N/A</v>
      </c>
      <c r="K291" s="41" t="str">
        <f t="shared" si="8"/>
        <v/>
      </c>
      <c r="L291">
        <f t="shared" si="9"/>
        <v>0</v>
      </c>
      <c r="M291">
        <f t="shared" si="10"/>
        <v>0</v>
      </c>
      <c r="N291" s="53" t="s">
        <v>291</v>
      </c>
      <c r="P291" s="41"/>
      <c r="Q291" s="41"/>
      <c r="T291">
        <f t="shared" si="11"/>
        <v>0</v>
      </c>
    </row>
    <row r="292" hidden="1">
      <c r="A292" s="32" t="str">
        <f t="shared" si="1"/>
        <v>#N/A</v>
      </c>
      <c r="B292" s="32" t="str">
        <f t="shared" si="2"/>
        <v>#N/A</v>
      </c>
      <c r="C292" s="32" t="str">
        <f t="shared" si="3"/>
        <v>Week 5</v>
      </c>
      <c r="D292" s="32">
        <v>2019.0</v>
      </c>
      <c r="E292" t="str">
        <f t="shared" si="4"/>
        <v>5</v>
      </c>
      <c r="F292" t="str">
        <f t="shared" si="5"/>
        <v>TEAM MANAGER(S)</v>
      </c>
      <c r="G292" s="40" t="str">
        <f>VLOOKUP(F292,'Manager Coding'!C:D,2,0)</f>
        <v>#N/A</v>
      </c>
      <c r="H292" s="41" t="str">
        <f t="shared" si="6"/>
        <v>SCORE</v>
      </c>
      <c r="I292" t="str">
        <f t="shared" si="7"/>
        <v>TEAM MANAGER(S)</v>
      </c>
      <c r="J292" t="str">
        <f>VLOOKUP(I292,'Manager Coding'!C:D,2,0)</f>
        <v>#N/A</v>
      </c>
      <c r="K292" s="41" t="str">
        <f t="shared" si="8"/>
        <v>SCORE</v>
      </c>
      <c r="L292">
        <f t="shared" si="9"/>
        <v>0</v>
      </c>
      <c r="M292">
        <f t="shared" si="10"/>
        <v>0</v>
      </c>
      <c r="N292" s="24" t="s">
        <v>197</v>
      </c>
      <c r="O292" s="24" t="s">
        <v>88</v>
      </c>
      <c r="P292" s="26" t="s">
        <v>94</v>
      </c>
      <c r="Q292" s="27" t="s">
        <v>94</v>
      </c>
      <c r="R292" s="30" t="s">
        <v>88</v>
      </c>
      <c r="S292" s="30" t="s">
        <v>101</v>
      </c>
      <c r="T292">
        <f t="shared" si="11"/>
        <v>0</v>
      </c>
    </row>
    <row r="293" hidden="1">
      <c r="A293" s="32" t="str">
        <f t="shared" si="1"/>
        <v>2019CockWeek 5</v>
      </c>
      <c r="B293" s="32" t="str">
        <f t="shared" si="2"/>
        <v>2019Rooney/JacksonWeek 5</v>
      </c>
      <c r="C293" s="32" t="str">
        <f t="shared" si="3"/>
        <v>Week 5</v>
      </c>
      <c r="D293" s="32">
        <v>2019.0</v>
      </c>
      <c r="E293" t="str">
        <f t="shared" si="4"/>
        <v>5</v>
      </c>
      <c r="F293" t="str">
        <f t="shared" si="5"/>
        <v>Jack Babcock, Chris Cochrane</v>
      </c>
      <c r="G293" s="40" t="str">
        <f>VLOOKUP(F293,'Manager Coding'!C:D,2,0)</f>
        <v>Cock</v>
      </c>
      <c r="H293" s="41">
        <f t="shared" si="6"/>
        <v>89.62</v>
      </c>
      <c r="I293" t="str">
        <f t="shared" si="7"/>
        <v>Stephen Rooney, Jackson Sattell</v>
      </c>
      <c r="J293" t="str">
        <f>VLOOKUP(I293,'Manager Coding'!C:D,2,0)</f>
        <v>Rooney/Jackson</v>
      </c>
      <c r="K293" s="41">
        <f t="shared" si="8"/>
        <v>112.44</v>
      </c>
      <c r="L293">
        <f t="shared" si="9"/>
        <v>0</v>
      </c>
      <c r="M293">
        <f t="shared" si="10"/>
        <v>1</v>
      </c>
      <c r="N293" s="54" t="s">
        <v>910</v>
      </c>
      <c r="O293" s="55" t="s">
        <v>73</v>
      </c>
      <c r="P293" s="67">
        <v>89.62</v>
      </c>
      <c r="Q293" s="68">
        <v>112.44</v>
      </c>
      <c r="R293" s="48" t="s">
        <v>58</v>
      </c>
      <c r="S293" s="54" t="s">
        <v>927</v>
      </c>
      <c r="T293">
        <f t="shared" si="11"/>
        <v>22.82</v>
      </c>
    </row>
    <row r="294" hidden="1">
      <c r="A294" s="32" t="str">
        <f t="shared" si="1"/>
        <v>2019BuserWeek 5</v>
      </c>
      <c r="B294" s="32" t="str">
        <f t="shared" si="2"/>
        <v>2019ShepWeek 5</v>
      </c>
      <c r="C294" s="32" t="str">
        <f t="shared" si="3"/>
        <v>Week 5</v>
      </c>
      <c r="D294" s="32">
        <v>2019.0</v>
      </c>
      <c r="E294" t="str">
        <f t="shared" si="4"/>
        <v>5</v>
      </c>
      <c r="F294" t="str">
        <f t="shared" si="5"/>
        <v>Ed Buser</v>
      </c>
      <c r="G294" s="40" t="str">
        <f>VLOOKUP(F294,'Manager Coding'!C:D,2,0)</f>
        <v>Buser</v>
      </c>
      <c r="H294" s="41">
        <f t="shared" si="6"/>
        <v>82.32</v>
      </c>
      <c r="I294" t="str">
        <f t="shared" si="7"/>
        <v>Jordan Shepherd</v>
      </c>
      <c r="J294" t="str">
        <f>VLOOKUP(I294,'Manager Coding'!C:D,2,0)</f>
        <v>Shep</v>
      </c>
      <c r="K294" s="41">
        <f t="shared" si="8"/>
        <v>93.6</v>
      </c>
      <c r="L294">
        <f t="shared" si="9"/>
        <v>0</v>
      </c>
      <c r="M294">
        <f t="shared" si="10"/>
        <v>1</v>
      </c>
      <c r="N294" s="54" t="s">
        <v>929</v>
      </c>
      <c r="O294" s="55" t="s">
        <v>50</v>
      </c>
      <c r="P294" s="67">
        <v>82.32</v>
      </c>
      <c r="Q294" s="68">
        <v>93.6</v>
      </c>
      <c r="R294" s="48" t="s">
        <v>91</v>
      </c>
      <c r="S294" s="54" t="s">
        <v>923</v>
      </c>
      <c r="T294">
        <f t="shared" si="11"/>
        <v>11.28</v>
      </c>
    </row>
    <row r="295" hidden="1">
      <c r="A295" s="32" t="str">
        <f t="shared" si="1"/>
        <v>2019TayskiWeek 5</v>
      </c>
      <c r="B295" s="32" t="str">
        <f t="shared" si="2"/>
        <v>2019SaltyWeek 5</v>
      </c>
      <c r="C295" s="32" t="str">
        <f t="shared" si="3"/>
        <v>Week 5</v>
      </c>
      <c r="D295" s="32">
        <v>2019.0</v>
      </c>
      <c r="E295" t="str">
        <f t="shared" si="4"/>
        <v>5</v>
      </c>
      <c r="F295" t="str">
        <f t="shared" si="5"/>
        <v>Taylor Weis</v>
      </c>
      <c r="G295" s="40" t="str">
        <f>VLOOKUP(F295,'Manager Coding'!C:D,2,0)</f>
        <v>Tayski</v>
      </c>
      <c r="H295" s="41">
        <f t="shared" si="6"/>
        <v>154.04</v>
      </c>
      <c r="I295" t="str">
        <f t="shared" si="7"/>
        <v>R Saltiel</v>
      </c>
      <c r="J295" t="str">
        <f>VLOOKUP(I295,'Manager Coding'!C:D,2,0)</f>
        <v>Salty</v>
      </c>
      <c r="K295" s="41">
        <f t="shared" si="8"/>
        <v>108.72</v>
      </c>
      <c r="L295">
        <f t="shared" si="9"/>
        <v>1</v>
      </c>
      <c r="M295">
        <f t="shared" si="10"/>
        <v>0</v>
      </c>
      <c r="N295" s="54" t="s">
        <v>930</v>
      </c>
      <c r="O295" s="55" t="s">
        <v>54</v>
      </c>
      <c r="P295" s="67">
        <v>154.04</v>
      </c>
      <c r="Q295" s="68">
        <v>108.72</v>
      </c>
      <c r="R295" s="48" t="s">
        <v>77</v>
      </c>
      <c r="S295" s="54" t="s">
        <v>921</v>
      </c>
      <c r="T295">
        <f t="shared" si="11"/>
        <v>45.32</v>
      </c>
    </row>
    <row r="296" hidden="1">
      <c r="A296" s="32" t="str">
        <f t="shared" si="1"/>
        <v>2019T-HowWeek 5</v>
      </c>
      <c r="B296" s="32" t="str">
        <f t="shared" si="2"/>
        <v>2019PiersonWeek 5</v>
      </c>
      <c r="C296" s="32" t="str">
        <f t="shared" si="3"/>
        <v>Week 5</v>
      </c>
      <c r="D296" s="32">
        <v>2019.0</v>
      </c>
      <c r="E296" t="str">
        <f t="shared" si="4"/>
        <v>5</v>
      </c>
      <c r="F296" t="str">
        <f t="shared" si="5"/>
        <v>Tyler Howard</v>
      </c>
      <c r="G296" s="40" t="str">
        <f>VLOOKUP(F296,'Manager Coding'!C:D,2,0)</f>
        <v>T-How</v>
      </c>
      <c r="H296" s="41">
        <f t="shared" si="6"/>
        <v>127.8</v>
      </c>
      <c r="I296" t="str">
        <f t="shared" si="7"/>
        <v>Pierson Curtis</v>
      </c>
      <c r="J296" t="str">
        <f>VLOOKUP(I296,'Manager Coding'!C:D,2,0)</f>
        <v>Pierson</v>
      </c>
      <c r="K296" s="41">
        <f t="shared" si="8"/>
        <v>111.34</v>
      </c>
      <c r="L296">
        <f t="shared" si="9"/>
        <v>1</v>
      </c>
      <c r="M296">
        <f t="shared" si="10"/>
        <v>0</v>
      </c>
      <c r="N296" s="54" t="s">
        <v>928</v>
      </c>
      <c r="O296" s="55" t="s">
        <v>85</v>
      </c>
      <c r="P296" s="67">
        <v>127.8</v>
      </c>
      <c r="Q296" s="68">
        <v>111.34</v>
      </c>
      <c r="R296" s="48" t="s">
        <v>93</v>
      </c>
      <c r="S296" s="54" t="s">
        <v>914</v>
      </c>
      <c r="T296">
        <f t="shared" si="11"/>
        <v>16.46</v>
      </c>
    </row>
    <row r="297" hidden="1">
      <c r="A297" s="32" t="str">
        <f t="shared" si="1"/>
        <v>2019FellowsWeek 5</v>
      </c>
      <c r="B297" s="32" t="str">
        <f t="shared" si="2"/>
        <v>2019KnardDawgWeek 5</v>
      </c>
      <c r="C297" s="32" t="str">
        <f t="shared" si="3"/>
        <v>Week 5</v>
      </c>
      <c r="D297" s="32">
        <v>2019.0</v>
      </c>
      <c r="E297" t="str">
        <f t="shared" si="4"/>
        <v>5</v>
      </c>
      <c r="F297" t="str">
        <f t="shared" si="5"/>
        <v>Michael Fellows</v>
      </c>
      <c r="G297" s="40" t="str">
        <f>VLOOKUP(F297,'Manager Coding'!C:D,2,0)</f>
        <v>Fellows</v>
      </c>
      <c r="H297" s="41">
        <f t="shared" si="6"/>
        <v>107.12</v>
      </c>
      <c r="I297" t="str">
        <f t="shared" si="7"/>
        <v>Jack Reilly, Alex Kinniard</v>
      </c>
      <c r="J297" t="str">
        <f>VLOOKUP(I297,'Manager Coding'!C:D,2,0)</f>
        <v>KnardDawg</v>
      </c>
      <c r="K297" s="41">
        <f t="shared" si="8"/>
        <v>68.64</v>
      </c>
      <c r="L297">
        <f t="shared" si="9"/>
        <v>1</v>
      </c>
      <c r="M297">
        <f t="shared" si="10"/>
        <v>0</v>
      </c>
      <c r="N297" s="54" t="s">
        <v>924</v>
      </c>
      <c r="O297" s="55" t="s">
        <v>80</v>
      </c>
      <c r="P297" s="67">
        <v>107.12</v>
      </c>
      <c r="Q297" s="68">
        <v>68.64</v>
      </c>
      <c r="R297" s="48" t="s">
        <v>96</v>
      </c>
      <c r="S297" s="54" t="s">
        <v>912</v>
      </c>
      <c r="T297">
        <f t="shared" si="11"/>
        <v>38.48</v>
      </c>
    </row>
    <row r="298" hidden="1">
      <c r="A298" s="32" t="str">
        <f t="shared" si="1"/>
        <v>2019HudspeathWeek 5</v>
      </c>
      <c r="B298" s="32" t="str">
        <f t="shared" si="2"/>
        <v>2019RileyWeek 5</v>
      </c>
      <c r="C298" s="32" t="str">
        <f t="shared" si="3"/>
        <v>Week 5</v>
      </c>
      <c r="D298" s="32">
        <v>2019.0</v>
      </c>
      <c r="E298" t="str">
        <f t="shared" si="4"/>
        <v>5</v>
      </c>
      <c r="F298" t="str">
        <f t="shared" si="5"/>
        <v>matt hudspeath</v>
      </c>
      <c r="G298" s="40" t="str">
        <f>VLOOKUP(F298,'Manager Coding'!C:D,2,0)</f>
        <v>Hudspeath</v>
      </c>
      <c r="H298" s="41">
        <f t="shared" si="6"/>
        <v>94.56</v>
      </c>
      <c r="I298" t="str">
        <f t="shared" si="7"/>
        <v>Riley McElwain</v>
      </c>
      <c r="J298" t="str">
        <f>VLOOKUP(I298,'Manager Coding'!C:D,2,0)</f>
        <v>Riley</v>
      </c>
      <c r="K298" s="41">
        <f t="shared" si="8"/>
        <v>134.14</v>
      </c>
      <c r="L298">
        <f t="shared" si="9"/>
        <v>0</v>
      </c>
      <c r="M298">
        <f t="shared" si="10"/>
        <v>1</v>
      </c>
      <c r="N298" s="54" t="s">
        <v>922</v>
      </c>
      <c r="O298" s="55" t="s">
        <v>64</v>
      </c>
      <c r="P298" s="67">
        <v>94.56</v>
      </c>
      <c r="Q298" s="68">
        <v>134.14</v>
      </c>
      <c r="R298" s="48" t="s">
        <v>68</v>
      </c>
      <c r="S298" s="54" t="s">
        <v>915</v>
      </c>
      <c r="T298">
        <f t="shared" si="11"/>
        <v>39.58</v>
      </c>
    </row>
    <row r="299" hidden="1">
      <c r="A299" s="32" t="str">
        <f t="shared" si="1"/>
        <v>#N/A</v>
      </c>
      <c r="B299" s="32" t="str">
        <f t="shared" si="2"/>
        <v>#N/A</v>
      </c>
      <c r="C299" s="32" t="str">
        <f t="shared" si="3"/>
        <v>Week 5</v>
      </c>
      <c r="D299" s="32">
        <v>2019.0</v>
      </c>
      <c r="E299" t="str">
        <f t="shared" si="4"/>
        <v>5</v>
      </c>
      <c r="F299" t="str">
        <f t="shared" si="5"/>
        <v/>
      </c>
      <c r="G299" s="40" t="str">
        <f>VLOOKUP(F299,'Manager Coding'!C:D,2,0)</f>
        <v>#N/A</v>
      </c>
      <c r="H299" s="41" t="str">
        <f t="shared" si="6"/>
        <v/>
      </c>
      <c r="I299" t="str">
        <f t="shared" si="7"/>
        <v/>
      </c>
      <c r="J299" t="str">
        <f>VLOOKUP(I299,'Manager Coding'!C:D,2,0)</f>
        <v>#N/A</v>
      </c>
      <c r="K299" s="41" t="str">
        <f t="shared" si="8"/>
        <v/>
      </c>
      <c r="L299">
        <f t="shared" si="9"/>
        <v>0</v>
      </c>
      <c r="M299">
        <f t="shared" si="10"/>
        <v>0</v>
      </c>
      <c r="N299" s="53" t="s">
        <v>321</v>
      </c>
      <c r="P299" s="41"/>
      <c r="Q299" s="41"/>
      <c r="T299">
        <f t="shared" si="11"/>
        <v>0</v>
      </c>
    </row>
    <row r="300" hidden="1">
      <c r="A300" s="32" t="str">
        <f t="shared" si="1"/>
        <v>#N/A</v>
      </c>
      <c r="B300" s="32" t="str">
        <f t="shared" si="2"/>
        <v>#N/A</v>
      </c>
      <c r="C300" s="32" t="str">
        <f t="shared" si="3"/>
        <v>Week 6</v>
      </c>
      <c r="D300" s="32">
        <v>2019.0</v>
      </c>
      <c r="E300" t="str">
        <f t="shared" si="4"/>
        <v>6</v>
      </c>
      <c r="F300" t="str">
        <f t="shared" si="5"/>
        <v>TEAM MANAGER(S)</v>
      </c>
      <c r="G300" s="40" t="str">
        <f>VLOOKUP(F300,'Manager Coding'!C:D,2,0)</f>
        <v>#N/A</v>
      </c>
      <c r="H300" s="41" t="str">
        <f t="shared" si="6"/>
        <v>SCORE</v>
      </c>
      <c r="I300" t="str">
        <f t="shared" si="7"/>
        <v>TEAM MANAGER(S)</v>
      </c>
      <c r="J300" t="str">
        <f>VLOOKUP(I300,'Manager Coding'!C:D,2,0)</f>
        <v>#N/A</v>
      </c>
      <c r="K300" s="41" t="str">
        <f t="shared" si="8"/>
        <v>SCORE</v>
      </c>
      <c r="L300">
        <f t="shared" si="9"/>
        <v>0</v>
      </c>
      <c r="M300">
        <f t="shared" si="10"/>
        <v>0</v>
      </c>
      <c r="N300" s="24" t="s">
        <v>197</v>
      </c>
      <c r="O300" s="24" t="s">
        <v>88</v>
      </c>
      <c r="P300" s="26" t="s">
        <v>94</v>
      </c>
      <c r="Q300" s="27" t="s">
        <v>94</v>
      </c>
      <c r="R300" s="30" t="s">
        <v>88</v>
      </c>
      <c r="S300" s="30" t="s">
        <v>101</v>
      </c>
      <c r="T300">
        <f t="shared" si="11"/>
        <v>0</v>
      </c>
    </row>
    <row r="301" hidden="1">
      <c r="A301" s="32" t="str">
        <f t="shared" si="1"/>
        <v>2019BuserWeek 6</v>
      </c>
      <c r="B301" s="32" t="str">
        <f t="shared" si="2"/>
        <v>2019CockWeek 6</v>
      </c>
      <c r="C301" s="32" t="str">
        <f t="shared" si="3"/>
        <v>Week 6</v>
      </c>
      <c r="D301" s="32">
        <v>2019.0</v>
      </c>
      <c r="E301" t="str">
        <f t="shared" si="4"/>
        <v>6</v>
      </c>
      <c r="F301" t="str">
        <f t="shared" si="5"/>
        <v>Ed Buser</v>
      </c>
      <c r="G301" s="40" t="str">
        <f>VLOOKUP(F301,'Manager Coding'!C:D,2,0)</f>
        <v>Buser</v>
      </c>
      <c r="H301" s="41">
        <f t="shared" si="6"/>
        <v>88.4</v>
      </c>
      <c r="I301" t="str">
        <f t="shared" si="7"/>
        <v>Jack Babcock, Chris Cochrane</v>
      </c>
      <c r="J301" t="str">
        <f>VLOOKUP(I301,'Manager Coding'!C:D,2,0)</f>
        <v>Cock</v>
      </c>
      <c r="K301" s="41">
        <f t="shared" si="8"/>
        <v>81.16</v>
      </c>
      <c r="L301">
        <f t="shared" si="9"/>
        <v>1</v>
      </c>
      <c r="M301">
        <f t="shared" si="10"/>
        <v>0</v>
      </c>
      <c r="N301" s="54" t="s">
        <v>929</v>
      </c>
      <c r="O301" s="55" t="s">
        <v>50</v>
      </c>
      <c r="P301" s="67">
        <v>88.4</v>
      </c>
      <c r="Q301" s="68">
        <v>81.16</v>
      </c>
      <c r="R301" s="48" t="s">
        <v>73</v>
      </c>
      <c r="S301" s="54" t="s">
        <v>910</v>
      </c>
      <c r="T301">
        <f t="shared" si="11"/>
        <v>7.24</v>
      </c>
    </row>
    <row r="302" hidden="1">
      <c r="A302" s="32" t="str">
        <f t="shared" si="1"/>
        <v>2019Rooney/JacksonWeek 6</v>
      </c>
      <c r="B302" s="32" t="str">
        <f t="shared" si="2"/>
        <v>2019TayskiWeek 6</v>
      </c>
      <c r="C302" s="32" t="str">
        <f t="shared" si="3"/>
        <v>Week 6</v>
      </c>
      <c r="D302" s="32">
        <v>2019.0</v>
      </c>
      <c r="E302" t="str">
        <f t="shared" si="4"/>
        <v>6</v>
      </c>
      <c r="F302" t="str">
        <f t="shared" si="5"/>
        <v>Stephen Rooney, Jackson Sattell</v>
      </c>
      <c r="G302" s="40" t="str">
        <f>VLOOKUP(F302,'Manager Coding'!C:D,2,0)</f>
        <v>Rooney/Jackson</v>
      </c>
      <c r="H302" s="41">
        <f t="shared" si="6"/>
        <v>67.42</v>
      </c>
      <c r="I302" t="str">
        <f t="shared" si="7"/>
        <v>Taylor Weis</v>
      </c>
      <c r="J302" t="str">
        <f>VLOOKUP(I302,'Manager Coding'!C:D,2,0)</f>
        <v>Tayski</v>
      </c>
      <c r="K302" s="41">
        <f t="shared" si="8"/>
        <v>87</v>
      </c>
      <c r="L302">
        <f t="shared" si="9"/>
        <v>0</v>
      </c>
      <c r="M302">
        <f t="shared" si="10"/>
        <v>1</v>
      </c>
      <c r="N302" s="54" t="s">
        <v>927</v>
      </c>
      <c r="O302" s="55" t="s">
        <v>58</v>
      </c>
      <c r="P302" s="67">
        <v>67.42</v>
      </c>
      <c r="Q302" s="68">
        <v>87.0</v>
      </c>
      <c r="R302" s="48" t="s">
        <v>54</v>
      </c>
      <c r="S302" s="54" t="s">
        <v>930</v>
      </c>
      <c r="T302">
        <f t="shared" si="11"/>
        <v>19.58</v>
      </c>
    </row>
    <row r="303" hidden="1">
      <c r="A303" s="32" t="str">
        <f t="shared" si="1"/>
        <v>2019ShepWeek 6</v>
      </c>
      <c r="B303" s="32" t="str">
        <f t="shared" si="2"/>
        <v>2019T-HowWeek 6</v>
      </c>
      <c r="C303" s="32" t="str">
        <f t="shared" si="3"/>
        <v>Week 6</v>
      </c>
      <c r="D303" s="32">
        <v>2019.0</v>
      </c>
      <c r="E303" t="str">
        <f t="shared" si="4"/>
        <v>6</v>
      </c>
      <c r="F303" t="str">
        <f t="shared" si="5"/>
        <v>Jordan Shepherd</v>
      </c>
      <c r="G303" s="40" t="str">
        <f>VLOOKUP(F303,'Manager Coding'!C:D,2,0)</f>
        <v>Shep</v>
      </c>
      <c r="H303" s="41">
        <f t="shared" si="6"/>
        <v>136.54</v>
      </c>
      <c r="I303" t="str">
        <f t="shared" si="7"/>
        <v>Tyler Howard</v>
      </c>
      <c r="J303" t="str">
        <f>VLOOKUP(I303,'Manager Coding'!C:D,2,0)</f>
        <v>T-How</v>
      </c>
      <c r="K303" s="41">
        <f t="shared" si="8"/>
        <v>58.22</v>
      </c>
      <c r="L303">
        <f t="shared" si="9"/>
        <v>1</v>
      </c>
      <c r="M303">
        <f t="shared" si="10"/>
        <v>0</v>
      </c>
      <c r="N303" s="54" t="s">
        <v>923</v>
      </c>
      <c r="O303" s="55" t="s">
        <v>91</v>
      </c>
      <c r="P303" s="67">
        <v>136.54</v>
      </c>
      <c r="Q303" s="68">
        <v>58.22</v>
      </c>
      <c r="R303" s="48" t="s">
        <v>85</v>
      </c>
      <c r="S303" s="54" t="s">
        <v>928</v>
      </c>
      <c r="T303">
        <f t="shared" si="11"/>
        <v>78.32</v>
      </c>
    </row>
    <row r="304" hidden="1">
      <c r="A304" s="32" t="str">
        <f t="shared" si="1"/>
        <v>2019SaltyWeek 6</v>
      </c>
      <c r="B304" s="32" t="str">
        <f t="shared" si="2"/>
        <v>2019FellowsWeek 6</v>
      </c>
      <c r="C304" s="32" t="str">
        <f t="shared" si="3"/>
        <v>Week 6</v>
      </c>
      <c r="D304" s="32">
        <v>2019.0</v>
      </c>
      <c r="E304" t="str">
        <f t="shared" si="4"/>
        <v>6</v>
      </c>
      <c r="F304" t="str">
        <f t="shared" si="5"/>
        <v>R Saltiel</v>
      </c>
      <c r="G304" s="40" t="str">
        <f>VLOOKUP(F304,'Manager Coding'!C:D,2,0)</f>
        <v>Salty</v>
      </c>
      <c r="H304" s="41">
        <f t="shared" si="6"/>
        <v>84.52</v>
      </c>
      <c r="I304" t="str">
        <f t="shared" si="7"/>
        <v>Michael Fellows</v>
      </c>
      <c r="J304" t="str">
        <f>VLOOKUP(I304,'Manager Coding'!C:D,2,0)</f>
        <v>Fellows</v>
      </c>
      <c r="K304" s="41">
        <f t="shared" si="8"/>
        <v>99.82</v>
      </c>
      <c r="L304">
        <f t="shared" si="9"/>
        <v>0</v>
      </c>
      <c r="M304">
        <f t="shared" si="10"/>
        <v>1</v>
      </c>
      <c r="N304" s="54" t="s">
        <v>921</v>
      </c>
      <c r="O304" s="55" t="s">
        <v>77</v>
      </c>
      <c r="P304" s="67">
        <v>84.52</v>
      </c>
      <c r="Q304" s="68">
        <v>99.82</v>
      </c>
      <c r="R304" s="48" t="s">
        <v>80</v>
      </c>
      <c r="S304" s="54" t="s">
        <v>924</v>
      </c>
      <c r="T304">
        <f t="shared" si="11"/>
        <v>15.3</v>
      </c>
    </row>
    <row r="305" hidden="1">
      <c r="A305" s="32" t="str">
        <f t="shared" si="1"/>
        <v>2019PiersonWeek 6</v>
      </c>
      <c r="B305" s="32" t="str">
        <f t="shared" si="2"/>
        <v>2019HudspeathWeek 6</v>
      </c>
      <c r="C305" s="32" t="str">
        <f t="shared" si="3"/>
        <v>Week 6</v>
      </c>
      <c r="D305" s="32">
        <v>2019.0</v>
      </c>
      <c r="E305" t="str">
        <f t="shared" si="4"/>
        <v>6</v>
      </c>
      <c r="F305" t="str">
        <f t="shared" si="5"/>
        <v>Pierson Curtis</v>
      </c>
      <c r="G305" s="40" t="str">
        <f>VLOOKUP(F305,'Manager Coding'!C:D,2,0)</f>
        <v>Pierson</v>
      </c>
      <c r="H305" s="41">
        <f t="shared" si="6"/>
        <v>110.54</v>
      </c>
      <c r="I305" t="str">
        <f t="shared" si="7"/>
        <v>matt hudspeath</v>
      </c>
      <c r="J305" t="str">
        <f>VLOOKUP(I305,'Manager Coding'!C:D,2,0)</f>
        <v>Hudspeath</v>
      </c>
      <c r="K305" s="41">
        <f t="shared" si="8"/>
        <v>102.7</v>
      </c>
      <c r="L305">
        <f t="shared" si="9"/>
        <v>1</v>
      </c>
      <c r="M305">
        <f t="shared" si="10"/>
        <v>0</v>
      </c>
      <c r="N305" s="54" t="s">
        <v>914</v>
      </c>
      <c r="O305" s="55" t="s">
        <v>93</v>
      </c>
      <c r="P305" s="67">
        <v>110.54</v>
      </c>
      <c r="Q305" s="68">
        <v>102.7</v>
      </c>
      <c r="R305" s="48" t="s">
        <v>64</v>
      </c>
      <c r="S305" s="54" t="s">
        <v>922</v>
      </c>
      <c r="T305">
        <f t="shared" si="11"/>
        <v>7.84</v>
      </c>
    </row>
    <row r="306" hidden="1">
      <c r="A306" s="32" t="str">
        <f t="shared" si="1"/>
        <v>2019KnardDawgWeek 6</v>
      </c>
      <c r="B306" s="32" t="str">
        <f t="shared" si="2"/>
        <v>2019RileyWeek 6</v>
      </c>
      <c r="C306" s="32" t="str">
        <f t="shared" si="3"/>
        <v>Week 6</v>
      </c>
      <c r="D306" s="32">
        <v>2019.0</v>
      </c>
      <c r="E306" t="str">
        <f t="shared" si="4"/>
        <v>6</v>
      </c>
      <c r="F306" t="str">
        <f t="shared" si="5"/>
        <v>Jack Reilly, Alex Kinniard</v>
      </c>
      <c r="G306" s="40" t="str">
        <f>VLOOKUP(F306,'Manager Coding'!C:D,2,0)</f>
        <v>KnardDawg</v>
      </c>
      <c r="H306" s="41">
        <f t="shared" si="6"/>
        <v>126.32</v>
      </c>
      <c r="I306" t="str">
        <f t="shared" si="7"/>
        <v>Riley McElwain</v>
      </c>
      <c r="J306" t="str">
        <f>VLOOKUP(I306,'Manager Coding'!C:D,2,0)</f>
        <v>Riley</v>
      </c>
      <c r="K306" s="41">
        <f t="shared" si="8"/>
        <v>76.7</v>
      </c>
      <c r="L306">
        <f t="shared" si="9"/>
        <v>1</v>
      </c>
      <c r="M306">
        <f t="shared" si="10"/>
        <v>0</v>
      </c>
      <c r="N306" s="54" t="s">
        <v>912</v>
      </c>
      <c r="O306" s="55" t="s">
        <v>96</v>
      </c>
      <c r="P306" s="67">
        <v>126.32</v>
      </c>
      <c r="Q306" s="68">
        <v>76.7</v>
      </c>
      <c r="R306" s="48" t="s">
        <v>68</v>
      </c>
      <c r="S306" s="54" t="s">
        <v>915</v>
      </c>
      <c r="T306">
        <f t="shared" si="11"/>
        <v>49.62</v>
      </c>
    </row>
    <row r="307" hidden="1">
      <c r="A307" s="32" t="str">
        <f t="shared" si="1"/>
        <v>#N/A</v>
      </c>
      <c r="B307" s="32" t="str">
        <f t="shared" si="2"/>
        <v>#N/A</v>
      </c>
      <c r="C307" s="32" t="str">
        <f t="shared" si="3"/>
        <v>Week 6</v>
      </c>
      <c r="D307" s="32">
        <v>2019.0</v>
      </c>
      <c r="E307" t="str">
        <f t="shared" si="4"/>
        <v>6</v>
      </c>
      <c r="F307" t="str">
        <f t="shared" si="5"/>
        <v/>
      </c>
      <c r="G307" s="40" t="str">
        <f>VLOOKUP(F307,'Manager Coding'!C:D,2,0)</f>
        <v>#N/A</v>
      </c>
      <c r="H307" s="41" t="str">
        <f t="shared" si="6"/>
        <v/>
      </c>
      <c r="I307" t="str">
        <f t="shared" si="7"/>
        <v/>
      </c>
      <c r="J307" t="str">
        <f>VLOOKUP(I307,'Manager Coding'!C:D,2,0)</f>
        <v>#N/A</v>
      </c>
      <c r="K307" s="41" t="str">
        <f t="shared" si="8"/>
        <v/>
      </c>
      <c r="L307">
        <f t="shared" si="9"/>
        <v>0</v>
      </c>
      <c r="M307">
        <f t="shared" si="10"/>
        <v>0</v>
      </c>
      <c r="N307" s="53" t="s">
        <v>340</v>
      </c>
      <c r="P307" s="41"/>
      <c r="Q307" s="41"/>
      <c r="T307">
        <f t="shared" si="11"/>
        <v>0</v>
      </c>
    </row>
    <row r="308" hidden="1">
      <c r="A308" s="32" t="str">
        <f t="shared" si="1"/>
        <v>#N/A</v>
      </c>
      <c r="B308" s="32" t="str">
        <f t="shared" si="2"/>
        <v>#N/A</v>
      </c>
      <c r="C308" s="32" t="str">
        <f t="shared" si="3"/>
        <v>Week 7</v>
      </c>
      <c r="D308" s="32">
        <v>2019.0</v>
      </c>
      <c r="E308" t="str">
        <f t="shared" si="4"/>
        <v>7</v>
      </c>
      <c r="F308" t="str">
        <f t="shared" si="5"/>
        <v>TEAM MANAGER(S)</v>
      </c>
      <c r="G308" s="40" t="str">
        <f>VLOOKUP(F308,'Manager Coding'!C:D,2,0)</f>
        <v>#N/A</v>
      </c>
      <c r="H308" s="41" t="str">
        <f t="shared" si="6"/>
        <v>SCORE</v>
      </c>
      <c r="I308" t="str">
        <f t="shared" si="7"/>
        <v>TEAM MANAGER(S)</v>
      </c>
      <c r="J308" t="str">
        <f>VLOOKUP(I308,'Manager Coding'!C:D,2,0)</f>
        <v>#N/A</v>
      </c>
      <c r="K308" s="41" t="str">
        <f t="shared" si="8"/>
        <v>SCORE</v>
      </c>
      <c r="L308">
        <f t="shared" si="9"/>
        <v>0</v>
      </c>
      <c r="M308">
        <f t="shared" si="10"/>
        <v>0</v>
      </c>
      <c r="N308" s="24" t="s">
        <v>197</v>
      </c>
      <c r="O308" s="24" t="s">
        <v>88</v>
      </c>
      <c r="P308" s="26" t="s">
        <v>94</v>
      </c>
      <c r="Q308" s="27" t="s">
        <v>94</v>
      </c>
      <c r="R308" s="30" t="s">
        <v>88</v>
      </c>
      <c r="S308" s="30" t="s">
        <v>101</v>
      </c>
      <c r="T308">
        <f t="shared" si="11"/>
        <v>0</v>
      </c>
    </row>
    <row r="309" hidden="1">
      <c r="A309" s="32" t="str">
        <f t="shared" si="1"/>
        <v>2019CockWeek 7</v>
      </c>
      <c r="B309" s="32" t="str">
        <f t="shared" si="2"/>
        <v>2019TayskiWeek 7</v>
      </c>
      <c r="C309" s="32" t="str">
        <f t="shared" si="3"/>
        <v>Week 7</v>
      </c>
      <c r="D309" s="32">
        <v>2019.0</v>
      </c>
      <c r="E309" t="str">
        <f t="shared" si="4"/>
        <v>7</v>
      </c>
      <c r="F309" t="str">
        <f t="shared" si="5"/>
        <v>Jack Babcock, Chris Cochrane</v>
      </c>
      <c r="G309" s="40" t="str">
        <f>VLOOKUP(F309,'Manager Coding'!C:D,2,0)</f>
        <v>Cock</v>
      </c>
      <c r="H309" s="41">
        <f t="shared" si="6"/>
        <v>98.76</v>
      </c>
      <c r="I309" t="str">
        <f t="shared" si="7"/>
        <v>Taylor Weis</v>
      </c>
      <c r="J309" t="str">
        <f>VLOOKUP(I309,'Manager Coding'!C:D,2,0)</f>
        <v>Tayski</v>
      </c>
      <c r="K309" s="41">
        <f t="shared" si="8"/>
        <v>80.52</v>
      </c>
      <c r="L309">
        <f t="shared" si="9"/>
        <v>1</v>
      </c>
      <c r="M309">
        <f t="shared" si="10"/>
        <v>0</v>
      </c>
      <c r="N309" s="54" t="s">
        <v>910</v>
      </c>
      <c r="O309" s="55" t="s">
        <v>73</v>
      </c>
      <c r="P309" s="67">
        <v>98.76</v>
      </c>
      <c r="Q309" s="68">
        <v>80.52</v>
      </c>
      <c r="R309" s="48" t="s">
        <v>54</v>
      </c>
      <c r="S309" s="54" t="s">
        <v>930</v>
      </c>
      <c r="T309">
        <f t="shared" si="11"/>
        <v>18.24</v>
      </c>
    </row>
    <row r="310" hidden="1">
      <c r="A310" s="32" t="str">
        <f t="shared" si="1"/>
        <v>2019T-HowWeek 7</v>
      </c>
      <c r="B310" s="32" t="str">
        <f t="shared" si="2"/>
        <v>2019BuserWeek 7</v>
      </c>
      <c r="C310" s="32" t="str">
        <f t="shared" si="3"/>
        <v>Week 7</v>
      </c>
      <c r="D310" s="32">
        <v>2019.0</v>
      </c>
      <c r="E310" t="str">
        <f t="shared" si="4"/>
        <v>7</v>
      </c>
      <c r="F310" t="str">
        <f t="shared" si="5"/>
        <v>Tyler Howard</v>
      </c>
      <c r="G310" s="40" t="str">
        <f>VLOOKUP(F310,'Manager Coding'!C:D,2,0)</f>
        <v>T-How</v>
      </c>
      <c r="H310" s="41">
        <f t="shared" si="6"/>
        <v>99.92</v>
      </c>
      <c r="I310" t="str">
        <f t="shared" si="7"/>
        <v>Ed Buser</v>
      </c>
      <c r="J310" t="str">
        <f>VLOOKUP(I310,'Manager Coding'!C:D,2,0)</f>
        <v>Buser</v>
      </c>
      <c r="K310" s="41">
        <f t="shared" si="8"/>
        <v>67.54</v>
      </c>
      <c r="L310">
        <f t="shared" si="9"/>
        <v>1</v>
      </c>
      <c r="M310">
        <f t="shared" si="10"/>
        <v>0</v>
      </c>
      <c r="N310" s="54" t="s">
        <v>928</v>
      </c>
      <c r="O310" s="55" t="s">
        <v>85</v>
      </c>
      <c r="P310" s="67">
        <v>99.92</v>
      </c>
      <c r="Q310" s="68">
        <v>67.54</v>
      </c>
      <c r="R310" s="48" t="s">
        <v>50</v>
      </c>
      <c r="S310" s="54" t="s">
        <v>929</v>
      </c>
      <c r="T310">
        <f t="shared" si="11"/>
        <v>32.38</v>
      </c>
    </row>
    <row r="311" hidden="1">
      <c r="A311" s="32" t="str">
        <f t="shared" si="1"/>
        <v>2019FellowsWeek 7</v>
      </c>
      <c r="B311" s="32" t="str">
        <f t="shared" si="2"/>
        <v>2019Rooney/JacksonWeek 7</v>
      </c>
      <c r="C311" s="32" t="str">
        <f t="shared" si="3"/>
        <v>Week 7</v>
      </c>
      <c r="D311" s="32">
        <v>2019.0</v>
      </c>
      <c r="E311" t="str">
        <f t="shared" si="4"/>
        <v>7</v>
      </c>
      <c r="F311" t="str">
        <f t="shared" si="5"/>
        <v>Michael Fellows</v>
      </c>
      <c r="G311" s="40" t="str">
        <f>VLOOKUP(F311,'Manager Coding'!C:D,2,0)</f>
        <v>Fellows</v>
      </c>
      <c r="H311" s="41">
        <f t="shared" si="6"/>
        <v>63.66</v>
      </c>
      <c r="I311" t="str">
        <f t="shared" si="7"/>
        <v>Stephen Rooney, Jackson Sattell</v>
      </c>
      <c r="J311" t="str">
        <f>VLOOKUP(I311,'Manager Coding'!C:D,2,0)</f>
        <v>Rooney/Jackson</v>
      </c>
      <c r="K311" s="41">
        <f t="shared" si="8"/>
        <v>76.38</v>
      </c>
      <c r="L311">
        <f t="shared" si="9"/>
        <v>0</v>
      </c>
      <c r="M311">
        <f t="shared" si="10"/>
        <v>1</v>
      </c>
      <c r="N311" s="54" t="s">
        <v>924</v>
      </c>
      <c r="O311" s="55" t="s">
        <v>80</v>
      </c>
      <c r="P311" s="67">
        <v>63.66</v>
      </c>
      <c r="Q311" s="68">
        <v>76.38</v>
      </c>
      <c r="R311" s="48" t="s">
        <v>58</v>
      </c>
      <c r="S311" s="54" t="s">
        <v>927</v>
      </c>
      <c r="T311">
        <f t="shared" si="11"/>
        <v>12.72</v>
      </c>
    </row>
    <row r="312" hidden="1">
      <c r="A312" s="32" t="str">
        <f t="shared" si="1"/>
        <v>2019HudspeathWeek 7</v>
      </c>
      <c r="B312" s="32" t="str">
        <f t="shared" si="2"/>
        <v>2019ShepWeek 7</v>
      </c>
      <c r="C312" s="32" t="str">
        <f t="shared" si="3"/>
        <v>Week 7</v>
      </c>
      <c r="D312" s="32">
        <v>2019.0</v>
      </c>
      <c r="E312" t="str">
        <f t="shared" si="4"/>
        <v>7</v>
      </c>
      <c r="F312" t="str">
        <f t="shared" si="5"/>
        <v>matt hudspeath</v>
      </c>
      <c r="G312" s="40" t="str">
        <f>VLOOKUP(F312,'Manager Coding'!C:D,2,0)</f>
        <v>Hudspeath</v>
      </c>
      <c r="H312" s="41">
        <f t="shared" si="6"/>
        <v>83.94</v>
      </c>
      <c r="I312" t="str">
        <f t="shared" si="7"/>
        <v>Jordan Shepherd</v>
      </c>
      <c r="J312" t="str">
        <f>VLOOKUP(I312,'Manager Coding'!C:D,2,0)</f>
        <v>Shep</v>
      </c>
      <c r="K312" s="41">
        <f t="shared" si="8"/>
        <v>47.96</v>
      </c>
      <c r="L312">
        <f t="shared" si="9"/>
        <v>1</v>
      </c>
      <c r="M312">
        <f t="shared" si="10"/>
        <v>0</v>
      </c>
      <c r="N312" s="54" t="s">
        <v>922</v>
      </c>
      <c r="O312" s="55" t="s">
        <v>64</v>
      </c>
      <c r="P312" s="67">
        <v>83.94</v>
      </c>
      <c r="Q312" s="68">
        <v>47.96</v>
      </c>
      <c r="R312" s="48" t="s">
        <v>91</v>
      </c>
      <c r="S312" s="54" t="s">
        <v>923</v>
      </c>
      <c r="T312">
        <f t="shared" si="11"/>
        <v>35.98</v>
      </c>
    </row>
    <row r="313" hidden="1">
      <c r="A313" s="32" t="str">
        <f t="shared" si="1"/>
        <v>2019RileyWeek 7</v>
      </c>
      <c r="B313" s="32" t="str">
        <f t="shared" si="2"/>
        <v>2019SaltyWeek 7</v>
      </c>
      <c r="C313" s="32" t="str">
        <f t="shared" si="3"/>
        <v>Week 7</v>
      </c>
      <c r="D313" s="32">
        <v>2019.0</v>
      </c>
      <c r="E313" t="str">
        <f t="shared" si="4"/>
        <v>7</v>
      </c>
      <c r="F313" t="str">
        <f t="shared" si="5"/>
        <v>Riley McElwain</v>
      </c>
      <c r="G313" s="40" t="str">
        <f>VLOOKUP(F313,'Manager Coding'!C:D,2,0)</f>
        <v>Riley</v>
      </c>
      <c r="H313" s="41">
        <f t="shared" si="6"/>
        <v>61.36</v>
      </c>
      <c r="I313" t="str">
        <f t="shared" si="7"/>
        <v>R Saltiel</v>
      </c>
      <c r="J313" t="str">
        <f>VLOOKUP(I313,'Manager Coding'!C:D,2,0)</f>
        <v>Salty</v>
      </c>
      <c r="K313" s="41">
        <f t="shared" si="8"/>
        <v>109.86</v>
      </c>
      <c r="L313">
        <f t="shared" si="9"/>
        <v>0</v>
      </c>
      <c r="M313">
        <f t="shared" si="10"/>
        <v>1</v>
      </c>
      <c r="N313" s="54" t="s">
        <v>915</v>
      </c>
      <c r="O313" s="55" t="s">
        <v>68</v>
      </c>
      <c r="P313" s="67">
        <v>61.36</v>
      </c>
      <c r="Q313" s="68">
        <v>109.86</v>
      </c>
      <c r="R313" s="48" t="s">
        <v>77</v>
      </c>
      <c r="S313" s="54" t="s">
        <v>921</v>
      </c>
      <c r="T313">
        <f t="shared" si="11"/>
        <v>48.5</v>
      </c>
    </row>
    <row r="314" hidden="1">
      <c r="A314" s="32" t="str">
        <f t="shared" si="1"/>
        <v>2019KnardDawgWeek 7</v>
      </c>
      <c r="B314" s="32" t="str">
        <f t="shared" si="2"/>
        <v>2019PiersonWeek 7</v>
      </c>
      <c r="C314" s="32" t="str">
        <f t="shared" si="3"/>
        <v>Week 7</v>
      </c>
      <c r="D314" s="32">
        <v>2019.0</v>
      </c>
      <c r="E314" t="str">
        <f t="shared" si="4"/>
        <v>7</v>
      </c>
      <c r="F314" t="str">
        <f t="shared" si="5"/>
        <v>Jack Reilly, Alex Kinniard</v>
      </c>
      <c r="G314" s="40" t="str">
        <f>VLOOKUP(F314,'Manager Coding'!C:D,2,0)</f>
        <v>KnardDawg</v>
      </c>
      <c r="H314" s="41">
        <f t="shared" si="6"/>
        <v>84.34</v>
      </c>
      <c r="I314" t="str">
        <f t="shared" si="7"/>
        <v>Pierson Curtis</v>
      </c>
      <c r="J314" t="str">
        <f>VLOOKUP(I314,'Manager Coding'!C:D,2,0)</f>
        <v>Pierson</v>
      </c>
      <c r="K314" s="41">
        <f t="shared" si="8"/>
        <v>94.72</v>
      </c>
      <c r="L314">
        <f t="shared" si="9"/>
        <v>0</v>
      </c>
      <c r="M314">
        <f t="shared" si="10"/>
        <v>1</v>
      </c>
      <c r="N314" s="54" t="s">
        <v>912</v>
      </c>
      <c r="O314" s="55" t="s">
        <v>96</v>
      </c>
      <c r="P314" s="67">
        <v>84.34</v>
      </c>
      <c r="Q314" s="68">
        <v>94.72</v>
      </c>
      <c r="R314" s="48" t="s">
        <v>93</v>
      </c>
      <c r="S314" s="54" t="s">
        <v>914</v>
      </c>
      <c r="T314">
        <f t="shared" si="11"/>
        <v>10.38</v>
      </c>
    </row>
    <row r="315" hidden="1">
      <c r="A315" s="32" t="str">
        <f t="shared" si="1"/>
        <v>#N/A</v>
      </c>
      <c r="B315" s="32" t="str">
        <f t="shared" si="2"/>
        <v>#N/A</v>
      </c>
      <c r="C315" s="32" t="str">
        <f t="shared" si="3"/>
        <v>Week 7</v>
      </c>
      <c r="D315" s="32">
        <v>2019.0</v>
      </c>
      <c r="E315" t="str">
        <f t="shared" si="4"/>
        <v>7</v>
      </c>
      <c r="F315" t="str">
        <f t="shared" si="5"/>
        <v/>
      </c>
      <c r="G315" s="40" t="str">
        <f>VLOOKUP(F315,'Manager Coding'!C:D,2,0)</f>
        <v>#N/A</v>
      </c>
      <c r="H315" s="41" t="str">
        <f t="shared" si="6"/>
        <v/>
      </c>
      <c r="I315" t="str">
        <f t="shared" si="7"/>
        <v/>
      </c>
      <c r="J315" t="str">
        <f>VLOOKUP(I315,'Manager Coding'!C:D,2,0)</f>
        <v>#N/A</v>
      </c>
      <c r="K315" s="41" t="str">
        <f t="shared" si="8"/>
        <v/>
      </c>
      <c r="L315">
        <f t="shared" si="9"/>
        <v>0</v>
      </c>
      <c r="M315">
        <f t="shared" si="10"/>
        <v>0</v>
      </c>
      <c r="N315" s="53" t="s">
        <v>367</v>
      </c>
      <c r="P315" s="41"/>
      <c r="Q315" s="41"/>
      <c r="T315">
        <f t="shared" si="11"/>
        <v>0</v>
      </c>
    </row>
    <row r="316" hidden="1">
      <c r="A316" s="32" t="str">
        <f t="shared" si="1"/>
        <v>#N/A</v>
      </c>
      <c r="B316" s="32" t="str">
        <f t="shared" si="2"/>
        <v>#N/A</v>
      </c>
      <c r="C316" s="32" t="str">
        <f t="shared" si="3"/>
        <v>Week 8</v>
      </c>
      <c r="D316" s="32">
        <v>2019.0</v>
      </c>
      <c r="E316" t="str">
        <f t="shared" si="4"/>
        <v>8</v>
      </c>
      <c r="F316" t="str">
        <f t="shared" si="5"/>
        <v>TEAM MANAGER(S)</v>
      </c>
      <c r="G316" s="40" t="str">
        <f>VLOOKUP(F316,'Manager Coding'!C:D,2,0)</f>
        <v>#N/A</v>
      </c>
      <c r="H316" s="41" t="str">
        <f t="shared" si="6"/>
        <v>SCORE</v>
      </c>
      <c r="I316" t="str">
        <f t="shared" si="7"/>
        <v>TEAM MANAGER(S)</v>
      </c>
      <c r="J316" t="str">
        <f>VLOOKUP(I316,'Manager Coding'!C:D,2,0)</f>
        <v>#N/A</v>
      </c>
      <c r="K316" s="41" t="str">
        <f t="shared" si="8"/>
        <v>SCORE</v>
      </c>
      <c r="L316">
        <f t="shared" si="9"/>
        <v>0</v>
      </c>
      <c r="M316">
        <f t="shared" si="10"/>
        <v>0</v>
      </c>
      <c r="N316" s="24" t="s">
        <v>197</v>
      </c>
      <c r="O316" s="24" t="s">
        <v>88</v>
      </c>
      <c r="P316" s="26" t="s">
        <v>94</v>
      </c>
      <c r="Q316" s="27" t="s">
        <v>94</v>
      </c>
      <c r="R316" s="30" t="s">
        <v>88</v>
      </c>
      <c r="S316" s="30" t="s">
        <v>101</v>
      </c>
      <c r="T316">
        <f t="shared" si="11"/>
        <v>0</v>
      </c>
    </row>
    <row r="317" hidden="1">
      <c r="A317" s="32" t="str">
        <f t="shared" si="1"/>
        <v>2019T-HowWeek 8</v>
      </c>
      <c r="B317" s="32" t="str">
        <f t="shared" si="2"/>
        <v>2019CockWeek 8</v>
      </c>
      <c r="C317" s="32" t="str">
        <f t="shared" si="3"/>
        <v>Week 8</v>
      </c>
      <c r="D317" s="32">
        <v>2019.0</v>
      </c>
      <c r="E317" t="str">
        <f t="shared" si="4"/>
        <v>8</v>
      </c>
      <c r="F317" t="str">
        <f t="shared" si="5"/>
        <v>Tyler Howard</v>
      </c>
      <c r="G317" s="40" t="str">
        <f>VLOOKUP(F317,'Manager Coding'!C:D,2,0)</f>
        <v>T-How</v>
      </c>
      <c r="H317" s="41">
        <f t="shared" si="6"/>
        <v>94.98</v>
      </c>
      <c r="I317" t="str">
        <f t="shared" si="7"/>
        <v>Jack Babcock, Chris Cochrane</v>
      </c>
      <c r="J317" t="str">
        <f>VLOOKUP(I317,'Manager Coding'!C:D,2,0)</f>
        <v>Cock</v>
      </c>
      <c r="K317" s="41">
        <f t="shared" si="8"/>
        <v>84.46</v>
      </c>
      <c r="L317">
        <f t="shared" si="9"/>
        <v>1</v>
      </c>
      <c r="M317">
        <f t="shared" si="10"/>
        <v>0</v>
      </c>
      <c r="N317" s="54" t="s">
        <v>928</v>
      </c>
      <c r="O317" s="55" t="s">
        <v>85</v>
      </c>
      <c r="P317" s="67">
        <v>94.98</v>
      </c>
      <c r="Q317" s="68">
        <v>84.46</v>
      </c>
      <c r="R317" s="48" t="s">
        <v>73</v>
      </c>
      <c r="S317" s="54" t="s">
        <v>910</v>
      </c>
      <c r="T317">
        <f t="shared" si="11"/>
        <v>10.52</v>
      </c>
    </row>
    <row r="318" hidden="1">
      <c r="A318" s="32" t="str">
        <f t="shared" si="1"/>
        <v>2019TayskiWeek 8</v>
      </c>
      <c r="B318" s="32" t="str">
        <f t="shared" si="2"/>
        <v>2019FellowsWeek 8</v>
      </c>
      <c r="C318" s="32" t="str">
        <f t="shared" si="3"/>
        <v>Week 8</v>
      </c>
      <c r="D318" s="32">
        <v>2019.0</v>
      </c>
      <c r="E318" t="str">
        <f t="shared" si="4"/>
        <v>8</v>
      </c>
      <c r="F318" t="str">
        <f t="shared" si="5"/>
        <v>Taylor Weis</v>
      </c>
      <c r="G318" s="40" t="str">
        <f>VLOOKUP(F318,'Manager Coding'!C:D,2,0)</f>
        <v>Tayski</v>
      </c>
      <c r="H318" s="41">
        <f t="shared" si="6"/>
        <v>127.66</v>
      </c>
      <c r="I318" t="str">
        <f t="shared" si="7"/>
        <v>Michael Fellows</v>
      </c>
      <c r="J318" t="str">
        <f>VLOOKUP(I318,'Manager Coding'!C:D,2,0)</f>
        <v>Fellows</v>
      </c>
      <c r="K318" s="41">
        <f t="shared" si="8"/>
        <v>64.36</v>
      </c>
      <c r="L318">
        <f t="shared" si="9"/>
        <v>1</v>
      </c>
      <c r="M318">
        <f t="shared" si="10"/>
        <v>0</v>
      </c>
      <c r="N318" s="54" t="s">
        <v>930</v>
      </c>
      <c r="O318" s="55" t="s">
        <v>54</v>
      </c>
      <c r="P318" s="67">
        <v>127.66</v>
      </c>
      <c r="Q318" s="68">
        <v>64.36</v>
      </c>
      <c r="R318" s="48" t="s">
        <v>80</v>
      </c>
      <c r="S318" s="54" t="s">
        <v>924</v>
      </c>
      <c r="T318">
        <f t="shared" si="11"/>
        <v>63.3</v>
      </c>
    </row>
    <row r="319" hidden="1">
      <c r="A319" s="32" t="str">
        <f t="shared" si="1"/>
        <v>2019BuserWeek 8</v>
      </c>
      <c r="B319" s="32" t="str">
        <f t="shared" si="2"/>
        <v>2019HudspeathWeek 8</v>
      </c>
      <c r="C319" s="32" t="str">
        <f t="shared" si="3"/>
        <v>Week 8</v>
      </c>
      <c r="D319" s="32">
        <v>2019.0</v>
      </c>
      <c r="E319" t="str">
        <f t="shared" si="4"/>
        <v>8</v>
      </c>
      <c r="F319" t="str">
        <f t="shared" si="5"/>
        <v>Ed Buser</v>
      </c>
      <c r="G319" s="40" t="str">
        <f>VLOOKUP(F319,'Manager Coding'!C:D,2,0)</f>
        <v>Buser</v>
      </c>
      <c r="H319" s="41">
        <f t="shared" si="6"/>
        <v>91.78</v>
      </c>
      <c r="I319" t="str">
        <f t="shared" si="7"/>
        <v>matt hudspeath</v>
      </c>
      <c r="J319" t="str">
        <f>VLOOKUP(I319,'Manager Coding'!C:D,2,0)</f>
        <v>Hudspeath</v>
      </c>
      <c r="K319" s="41">
        <f t="shared" si="8"/>
        <v>106.14</v>
      </c>
      <c r="L319">
        <f t="shared" si="9"/>
        <v>0</v>
      </c>
      <c r="M319">
        <f t="shared" si="10"/>
        <v>1</v>
      </c>
      <c r="N319" s="54" t="s">
        <v>929</v>
      </c>
      <c r="O319" s="55" t="s">
        <v>50</v>
      </c>
      <c r="P319" s="67">
        <v>91.78</v>
      </c>
      <c r="Q319" s="68">
        <v>106.14</v>
      </c>
      <c r="R319" s="48" t="s">
        <v>64</v>
      </c>
      <c r="S319" s="54" t="s">
        <v>922</v>
      </c>
      <c r="T319">
        <f t="shared" si="11"/>
        <v>14.36</v>
      </c>
    </row>
    <row r="320" hidden="1">
      <c r="A320" s="32" t="str">
        <f t="shared" si="1"/>
        <v>2019Rooney/JacksonWeek 8</v>
      </c>
      <c r="B320" s="32" t="str">
        <f t="shared" si="2"/>
        <v>2019RileyWeek 8</v>
      </c>
      <c r="C320" s="32" t="str">
        <f t="shared" si="3"/>
        <v>Week 8</v>
      </c>
      <c r="D320" s="32">
        <v>2019.0</v>
      </c>
      <c r="E320" t="str">
        <f t="shared" si="4"/>
        <v>8</v>
      </c>
      <c r="F320" t="str">
        <f t="shared" si="5"/>
        <v>Stephen Rooney, Jackson Sattell</v>
      </c>
      <c r="G320" s="40" t="str">
        <f>VLOOKUP(F320,'Manager Coding'!C:D,2,0)</f>
        <v>Rooney/Jackson</v>
      </c>
      <c r="H320" s="41">
        <f t="shared" si="6"/>
        <v>102.36</v>
      </c>
      <c r="I320" t="str">
        <f t="shared" si="7"/>
        <v>Riley McElwain</v>
      </c>
      <c r="J320" t="str">
        <f>VLOOKUP(I320,'Manager Coding'!C:D,2,0)</f>
        <v>Riley</v>
      </c>
      <c r="K320" s="41">
        <f t="shared" si="8"/>
        <v>112.8</v>
      </c>
      <c r="L320">
        <f t="shared" si="9"/>
        <v>0</v>
      </c>
      <c r="M320">
        <f t="shared" si="10"/>
        <v>1</v>
      </c>
      <c r="N320" s="54" t="s">
        <v>927</v>
      </c>
      <c r="O320" s="55" t="s">
        <v>58</v>
      </c>
      <c r="P320" s="67">
        <v>102.36</v>
      </c>
      <c r="Q320" s="68">
        <v>112.8</v>
      </c>
      <c r="R320" s="48" t="s">
        <v>68</v>
      </c>
      <c r="S320" s="54" t="s">
        <v>915</v>
      </c>
      <c r="T320">
        <f t="shared" si="11"/>
        <v>10.44</v>
      </c>
    </row>
    <row r="321" hidden="1">
      <c r="A321" s="32" t="str">
        <f t="shared" si="1"/>
        <v>2019ShepWeek 8</v>
      </c>
      <c r="B321" s="32" t="str">
        <f t="shared" si="2"/>
        <v>2019KnardDawgWeek 8</v>
      </c>
      <c r="C321" s="32" t="str">
        <f t="shared" si="3"/>
        <v>Week 8</v>
      </c>
      <c r="D321" s="32">
        <v>2019.0</v>
      </c>
      <c r="E321" t="str">
        <f t="shared" si="4"/>
        <v>8</v>
      </c>
      <c r="F321" t="str">
        <f t="shared" si="5"/>
        <v>Jordan Shepherd</v>
      </c>
      <c r="G321" s="40" t="str">
        <f>VLOOKUP(F321,'Manager Coding'!C:D,2,0)</f>
        <v>Shep</v>
      </c>
      <c r="H321" s="41">
        <f t="shared" si="6"/>
        <v>76.78</v>
      </c>
      <c r="I321" t="str">
        <f t="shared" si="7"/>
        <v>Jack Reilly, Alex Kinniard</v>
      </c>
      <c r="J321" t="str">
        <f>VLOOKUP(I321,'Manager Coding'!C:D,2,0)</f>
        <v>KnardDawg</v>
      </c>
      <c r="K321" s="41">
        <f t="shared" si="8"/>
        <v>124.78</v>
      </c>
      <c r="L321">
        <f t="shared" si="9"/>
        <v>0</v>
      </c>
      <c r="M321">
        <f t="shared" si="10"/>
        <v>1</v>
      </c>
      <c r="N321" s="54" t="s">
        <v>923</v>
      </c>
      <c r="O321" s="55" t="s">
        <v>91</v>
      </c>
      <c r="P321" s="67">
        <v>76.78</v>
      </c>
      <c r="Q321" s="68">
        <v>124.78</v>
      </c>
      <c r="R321" s="48" t="s">
        <v>96</v>
      </c>
      <c r="S321" s="54" t="s">
        <v>912</v>
      </c>
      <c r="T321">
        <f t="shared" si="11"/>
        <v>48</v>
      </c>
    </row>
    <row r="322" hidden="1">
      <c r="A322" s="32" t="str">
        <f t="shared" si="1"/>
        <v>2019SaltyWeek 8</v>
      </c>
      <c r="B322" s="32" t="str">
        <f t="shared" si="2"/>
        <v>2019PiersonWeek 8</v>
      </c>
      <c r="C322" s="32" t="str">
        <f t="shared" si="3"/>
        <v>Week 8</v>
      </c>
      <c r="D322" s="32">
        <v>2019.0</v>
      </c>
      <c r="E322" t="str">
        <f t="shared" si="4"/>
        <v>8</v>
      </c>
      <c r="F322" t="str">
        <f t="shared" si="5"/>
        <v>R Saltiel</v>
      </c>
      <c r="G322" s="40" t="str">
        <f>VLOOKUP(F322,'Manager Coding'!C:D,2,0)</f>
        <v>Salty</v>
      </c>
      <c r="H322" s="41">
        <f t="shared" si="6"/>
        <v>97.9</v>
      </c>
      <c r="I322" t="str">
        <f t="shared" si="7"/>
        <v>Pierson Curtis</v>
      </c>
      <c r="J322" t="str">
        <f>VLOOKUP(I322,'Manager Coding'!C:D,2,0)</f>
        <v>Pierson</v>
      </c>
      <c r="K322" s="41">
        <f t="shared" si="8"/>
        <v>109.2</v>
      </c>
      <c r="L322">
        <f t="shared" si="9"/>
        <v>0</v>
      </c>
      <c r="M322">
        <f t="shared" si="10"/>
        <v>1</v>
      </c>
      <c r="N322" s="54" t="s">
        <v>921</v>
      </c>
      <c r="O322" s="55" t="s">
        <v>77</v>
      </c>
      <c r="P322" s="67">
        <v>97.9</v>
      </c>
      <c r="Q322" s="68">
        <v>109.2</v>
      </c>
      <c r="R322" s="48" t="s">
        <v>93</v>
      </c>
      <c r="S322" s="54" t="s">
        <v>914</v>
      </c>
      <c r="T322">
        <f t="shared" si="11"/>
        <v>11.3</v>
      </c>
    </row>
    <row r="323" hidden="1">
      <c r="A323" s="32" t="str">
        <f t="shared" si="1"/>
        <v>#N/A</v>
      </c>
      <c r="B323" s="32" t="str">
        <f t="shared" si="2"/>
        <v>#N/A</v>
      </c>
      <c r="C323" s="32" t="str">
        <f t="shared" si="3"/>
        <v>Week 8</v>
      </c>
      <c r="D323" s="32">
        <v>2019.0</v>
      </c>
      <c r="E323" t="str">
        <f t="shared" si="4"/>
        <v>8</v>
      </c>
      <c r="F323" t="str">
        <f t="shared" si="5"/>
        <v/>
      </c>
      <c r="G323" s="40" t="str">
        <f>VLOOKUP(F323,'Manager Coding'!C:D,2,0)</f>
        <v>#N/A</v>
      </c>
      <c r="H323" s="41" t="str">
        <f t="shared" si="6"/>
        <v/>
      </c>
      <c r="I323" t="str">
        <f t="shared" si="7"/>
        <v/>
      </c>
      <c r="J323" t="str">
        <f>VLOOKUP(I323,'Manager Coding'!C:D,2,0)</f>
        <v>#N/A</v>
      </c>
      <c r="K323" s="41" t="str">
        <f t="shared" si="8"/>
        <v/>
      </c>
      <c r="L323">
        <f t="shared" si="9"/>
        <v>0</v>
      </c>
      <c r="M323">
        <f t="shared" si="10"/>
        <v>0</v>
      </c>
      <c r="N323" s="53" t="s">
        <v>387</v>
      </c>
      <c r="P323" s="41"/>
      <c r="Q323" s="41"/>
      <c r="T323">
        <f t="shared" si="11"/>
        <v>0</v>
      </c>
    </row>
    <row r="324" hidden="1">
      <c r="A324" s="32" t="str">
        <f t="shared" si="1"/>
        <v>#N/A</v>
      </c>
      <c r="B324" s="32" t="str">
        <f t="shared" si="2"/>
        <v>#N/A</v>
      </c>
      <c r="C324" s="32" t="str">
        <f t="shared" si="3"/>
        <v>Week 9</v>
      </c>
      <c r="D324" s="32">
        <v>2019.0</v>
      </c>
      <c r="E324" t="str">
        <f t="shared" si="4"/>
        <v>9</v>
      </c>
      <c r="F324" t="str">
        <f t="shared" si="5"/>
        <v>TEAM MANAGER(S)</v>
      </c>
      <c r="G324" s="40" t="str">
        <f>VLOOKUP(F324,'Manager Coding'!C:D,2,0)</f>
        <v>#N/A</v>
      </c>
      <c r="H324" s="41" t="str">
        <f t="shared" si="6"/>
        <v>SCORE</v>
      </c>
      <c r="I324" t="str">
        <f t="shared" si="7"/>
        <v>TEAM MANAGER(S)</v>
      </c>
      <c r="J324" t="str">
        <f>VLOOKUP(I324,'Manager Coding'!C:D,2,0)</f>
        <v>#N/A</v>
      </c>
      <c r="K324" s="41" t="str">
        <f t="shared" si="8"/>
        <v>SCORE</v>
      </c>
      <c r="L324">
        <f t="shared" si="9"/>
        <v>0</v>
      </c>
      <c r="M324">
        <f t="shared" si="10"/>
        <v>0</v>
      </c>
      <c r="N324" s="24" t="s">
        <v>197</v>
      </c>
      <c r="O324" s="24" t="s">
        <v>88</v>
      </c>
      <c r="P324" s="26" t="s">
        <v>94</v>
      </c>
      <c r="Q324" s="27" t="s">
        <v>94</v>
      </c>
      <c r="R324" s="30" t="s">
        <v>88</v>
      </c>
      <c r="S324" s="30" t="s">
        <v>101</v>
      </c>
      <c r="T324">
        <f t="shared" si="11"/>
        <v>0</v>
      </c>
    </row>
    <row r="325" hidden="1">
      <c r="A325" s="32" t="str">
        <f t="shared" si="1"/>
        <v>2019CockWeek 9</v>
      </c>
      <c r="B325" s="32" t="str">
        <f t="shared" si="2"/>
        <v>2019FellowsWeek 9</v>
      </c>
      <c r="C325" s="32" t="str">
        <f t="shared" si="3"/>
        <v>Week 9</v>
      </c>
      <c r="D325" s="32">
        <v>2019.0</v>
      </c>
      <c r="E325" t="str">
        <f t="shared" si="4"/>
        <v>9</v>
      </c>
      <c r="F325" t="str">
        <f t="shared" si="5"/>
        <v>Jack Babcock, Chris Cochrane</v>
      </c>
      <c r="G325" s="40" t="str">
        <f>VLOOKUP(F325,'Manager Coding'!C:D,2,0)</f>
        <v>Cock</v>
      </c>
      <c r="H325" s="41">
        <f t="shared" si="6"/>
        <v>90</v>
      </c>
      <c r="I325" t="str">
        <f t="shared" si="7"/>
        <v>Michael Fellows</v>
      </c>
      <c r="J325" t="str">
        <f>VLOOKUP(I325,'Manager Coding'!C:D,2,0)</f>
        <v>Fellows</v>
      </c>
      <c r="K325" s="41">
        <f t="shared" si="8"/>
        <v>102.28</v>
      </c>
      <c r="L325">
        <f t="shared" si="9"/>
        <v>0</v>
      </c>
      <c r="M325">
        <f t="shared" si="10"/>
        <v>1</v>
      </c>
      <c r="N325" s="54" t="s">
        <v>910</v>
      </c>
      <c r="O325" s="55" t="s">
        <v>73</v>
      </c>
      <c r="P325" s="67">
        <v>90.0</v>
      </c>
      <c r="Q325" s="68">
        <v>102.28</v>
      </c>
      <c r="R325" s="48" t="s">
        <v>80</v>
      </c>
      <c r="S325" s="54" t="s">
        <v>924</v>
      </c>
      <c r="T325">
        <f t="shared" si="11"/>
        <v>12.28</v>
      </c>
    </row>
    <row r="326" hidden="1">
      <c r="A326" s="32" t="str">
        <f t="shared" si="1"/>
        <v>2019HudspeathWeek 9</v>
      </c>
      <c r="B326" s="32" t="str">
        <f t="shared" si="2"/>
        <v>2019T-HowWeek 9</v>
      </c>
      <c r="C326" s="32" t="str">
        <f t="shared" si="3"/>
        <v>Week 9</v>
      </c>
      <c r="D326" s="32">
        <v>2019.0</v>
      </c>
      <c r="E326" t="str">
        <f t="shared" si="4"/>
        <v>9</v>
      </c>
      <c r="F326" t="str">
        <f t="shared" si="5"/>
        <v>matt hudspeath</v>
      </c>
      <c r="G326" s="40" t="str">
        <f>VLOOKUP(F326,'Manager Coding'!C:D,2,0)</f>
        <v>Hudspeath</v>
      </c>
      <c r="H326" s="41">
        <f t="shared" si="6"/>
        <v>70.7</v>
      </c>
      <c r="I326" t="str">
        <f t="shared" si="7"/>
        <v>Tyler Howard</v>
      </c>
      <c r="J326" t="str">
        <f>VLOOKUP(I326,'Manager Coding'!C:D,2,0)</f>
        <v>T-How</v>
      </c>
      <c r="K326" s="41">
        <f t="shared" si="8"/>
        <v>83.26</v>
      </c>
      <c r="L326">
        <f t="shared" si="9"/>
        <v>0</v>
      </c>
      <c r="M326">
        <f t="shared" si="10"/>
        <v>1</v>
      </c>
      <c r="N326" s="54" t="s">
        <v>922</v>
      </c>
      <c r="O326" s="55" t="s">
        <v>64</v>
      </c>
      <c r="P326" s="67">
        <v>70.7</v>
      </c>
      <c r="Q326" s="68">
        <v>83.26</v>
      </c>
      <c r="R326" s="48" t="s">
        <v>85</v>
      </c>
      <c r="S326" s="54" t="s">
        <v>928</v>
      </c>
      <c r="T326">
        <f t="shared" si="11"/>
        <v>12.56</v>
      </c>
    </row>
    <row r="327" hidden="1">
      <c r="A327" s="32" t="str">
        <f t="shared" si="1"/>
        <v>2019RileyWeek 9</v>
      </c>
      <c r="B327" s="32" t="str">
        <f t="shared" si="2"/>
        <v>2019TayskiWeek 9</v>
      </c>
      <c r="C327" s="32" t="str">
        <f t="shared" si="3"/>
        <v>Week 9</v>
      </c>
      <c r="D327" s="32">
        <v>2019.0</v>
      </c>
      <c r="E327" t="str">
        <f t="shared" si="4"/>
        <v>9</v>
      </c>
      <c r="F327" t="str">
        <f t="shared" si="5"/>
        <v>Riley McElwain</v>
      </c>
      <c r="G327" s="40" t="str">
        <f>VLOOKUP(F327,'Manager Coding'!C:D,2,0)</f>
        <v>Riley</v>
      </c>
      <c r="H327" s="41">
        <f t="shared" si="6"/>
        <v>77.86</v>
      </c>
      <c r="I327" t="str">
        <f t="shared" si="7"/>
        <v>Taylor Weis</v>
      </c>
      <c r="J327" t="str">
        <f>VLOOKUP(I327,'Manager Coding'!C:D,2,0)</f>
        <v>Tayski</v>
      </c>
      <c r="K327" s="41">
        <f t="shared" si="8"/>
        <v>97.14</v>
      </c>
      <c r="L327">
        <f t="shared" si="9"/>
        <v>0</v>
      </c>
      <c r="M327">
        <f t="shared" si="10"/>
        <v>1</v>
      </c>
      <c r="N327" s="54" t="s">
        <v>915</v>
      </c>
      <c r="O327" s="55" t="s">
        <v>68</v>
      </c>
      <c r="P327" s="67">
        <v>77.86</v>
      </c>
      <c r="Q327" s="68">
        <v>97.14</v>
      </c>
      <c r="R327" s="48" t="s">
        <v>54</v>
      </c>
      <c r="S327" s="54" t="s">
        <v>930</v>
      </c>
      <c r="T327">
        <f t="shared" si="11"/>
        <v>19.28</v>
      </c>
    </row>
    <row r="328" hidden="1">
      <c r="A328" s="32" t="str">
        <f t="shared" si="1"/>
        <v>2019KnardDawgWeek 9</v>
      </c>
      <c r="B328" s="32" t="str">
        <f t="shared" si="2"/>
        <v>2019BuserWeek 9</v>
      </c>
      <c r="C328" s="32" t="str">
        <f t="shared" si="3"/>
        <v>Week 9</v>
      </c>
      <c r="D328" s="32">
        <v>2019.0</v>
      </c>
      <c r="E328" t="str">
        <f t="shared" si="4"/>
        <v>9</v>
      </c>
      <c r="F328" t="str">
        <f t="shared" si="5"/>
        <v>Jack Reilly, Alex Kinniard</v>
      </c>
      <c r="G328" s="40" t="str">
        <f>VLOOKUP(F328,'Manager Coding'!C:D,2,0)</f>
        <v>KnardDawg</v>
      </c>
      <c r="H328" s="41">
        <f t="shared" si="6"/>
        <v>111.94</v>
      </c>
      <c r="I328" t="str">
        <f t="shared" si="7"/>
        <v>Ed Buser</v>
      </c>
      <c r="J328" t="str">
        <f>VLOOKUP(I328,'Manager Coding'!C:D,2,0)</f>
        <v>Buser</v>
      </c>
      <c r="K328" s="41">
        <f t="shared" si="8"/>
        <v>125.72</v>
      </c>
      <c r="L328">
        <f t="shared" si="9"/>
        <v>0</v>
      </c>
      <c r="M328">
        <f t="shared" si="10"/>
        <v>1</v>
      </c>
      <c r="N328" s="54" t="s">
        <v>912</v>
      </c>
      <c r="O328" s="55" t="s">
        <v>96</v>
      </c>
      <c r="P328" s="67">
        <v>111.94</v>
      </c>
      <c r="Q328" s="68">
        <v>125.72</v>
      </c>
      <c r="R328" s="48" t="s">
        <v>50</v>
      </c>
      <c r="S328" s="54" t="s">
        <v>929</v>
      </c>
      <c r="T328">
        <f t="shared" si="11"/>
        <v>13.78</v>
      </c>
    </row>
    <row r="329" hidden="1">
      <c r="A329" s="32" t="str">
        <f t="shared" si="1"/>
        <v>2019PiersonWeek 9</v>
      </c>
      <c r="B329" s="32" t="str">
        <f t="shared" si="2"/>
        <v>2019Rooney/JacksonWeek 9</v>
      </c>
      <c r="C329" s="32" t="str">
        <f t="shared" si="3"/>
        <v>Week 9</v>
      </c>
      <c r="D329" s="32">
        <v>2019.0</v>
      </c>
      <c r="E329" t="str">
        <f t="shared" si="4"/>
        <v>9</v>
      </c>
      <c r="F329" t="str">
        <f t="shared" si="5"/>
        <v>Pierson Curtis</v>
      </c>
      <c r="G329" s="40" t="str">
        <f>VLOOKUP(F329,'Manager Coding'!C:D,2,0)</f>
        <v>Pierson</v>
      </c>
      <c r="H329" s="41">
        <f t="shared" si="6"/>
        <v>112.62</v>
      </c>
      <c r="I329" t="str">
        <f t="shared" si="7"/>
        <v>Stephen Rooney, Jackson Sattell</v>
      </c>
      <c r="J329" t="str">
        <f>VLOOKUP(I329,'Manager Coding'!C:D,2,0)</f>
        <v>Rooney/Jackson</v>
      </c>
      <c r="K329" s="41">
        <f t="shared" si="8"/>
        <v>139.3</v>
      </c>
      <c r="L329">
        <f t="shared" si="9"/>
        <v>0</v>
      </c>
      <c r="M329">
        <f t="shared" si="10"/>
        <v>1</v>
      </c>
      <c r="N329" s="54" t="s">
        <v>914</v>
      </c>
      <c r="O329" s="55" t="s">
        <v>93</v>
      </c>
      <c r="P329" s="67">
        <v>112.62</v>
      </c>
      <c r="Q329" s="68">
        <v>139.3</v>
      </c>
      <c r="R329" s="48" t="s">
        <v>58</v>
      </c>
      <c r="S329" s="54" t="s">
        <v>927</v>
      </c>
      <c r="T329">
        <f t="shared" si="11"/>
        <v>26.68</v>
      </c>
    </row>
    <row r="330" hidden="1">
      <c r="A330" s="32" t="str">
        <f t="shared" si="1"/>
        <v>2019SaltyWeek 9</v>
      </c>
      <c r="B330" s="32" t="str">
        <f t="shared" si="2"/>
        <v>2019ShepWeek 9</v>
      </c>
      <c r="C330" s="32" t="str">
        <f t="shared" si="3"/>
        <v>Week 9</v>
      </c>
      <c r="D330" s="32">
        <v>2019.0</v>
      </c>
      <c r="E330" t="str">
        <f t="shared" si="4"/>
        <v>9</v>
      </c>
      <c r="F330" t="str">
        <f t="shared" si="5"/>
        <v>R Saltiel</v>
      </c>
      <c r="G330" s="40" t="str">
        <f>VLOOKUP(F330,'Manager Coding'!C:D,2,0)</f>
        <v>Salty</v>
      </c>
      <c r="H330" s="41">
        <f t="shared" si="6"/>
        <v>69.64</v>
      </c>
      <c r="I330" t="str">
        <f t="shared" si="7"/>
        <v>Jordan Shepherd</v>
      </c>
      <c r="J330" t="str">
        <f>VLOOKUP(I330,'Manager Coding'!C:D,2,0)</f>
        <v>Shep</v>
      </c>
      <c r="K330" s="41">
        <f t="shared" si="8"/>
        <v>51.46</v>
      </c>
      <c r="L330">
        <f t="shared" si="9"/>
        <v>1</v>
      </c>
      <c r="M330">
        <f t="shared" si="10"/>
        <v>0</v>
      </c>
      <c r="N330" s="54" t="s">
        <v>921</v>
      </c>
      <c r="O330" s="55" t="s">
        <v>77</v>
      </c>
      <c r="P330" s="67">
        <v>69.64</v>
      </c>
      <c r="Q330" s="68">
        <v>51.46</v>
      </c>
      <c r="R330" s="48" t="s">
        <v>91</v>
      </c>
      <c r="S330" s="54" t="s">
        <v>923</v>
      </c>
      <c r="T330">
        <f t="shared" si="11"/>
        <v>18.18</v>
      </c>
    </row>
    <row r="331" hidden="1">
      <c r="A331" s="32" t="str">
        <f t="shared" si="1"/>
        <v>#N/A</v>
      </c>
      <c r="B331" s="32" t="str">
        <f t="shared" si="2"/>
        <v>#N/A</v>
      </c>
      <c r="C331" s="32" t="str">
        <f t="shared" si="3"/>
        <v>Week 9</v>
      </c>
      <c r="D331" s="32">
        <v>2019.0</v>
      </c>
      <c r="E331" t="str">
        <f t="shared" si="4"/>
        <v>9</v>
      </c>
      <c r="F331" t="str">
        <f t="shared" si="5"/>
        <v/>
      </c>
      <c r="G331" s="40" t="str">
        <f>VLOOKUP(F331,'Manager Coding'!C:D,2,0)</f>
        <v>#N/A</v>
      </c>
      <c r="H331" s="41" t="str">
        <f t="shared" si="6"/>
        <v/>
      </c>
      <c r="I331" t="str">
        <f t="shared" si="7"/>
        <v/>
      </c>
      <c r="J331" t="str">
        <f>VLOOKUP(I331,'Manager Coding'!C:D,2,0)</f>
        <v>#N/A</v>
      </c>
      <c r="K331" s="41" t="str">
        <f t="shared" si="8"/>
        <v/>
      </c>
      <c r="L331">
        <f t="shared" si="9"/>
        <v>0</v>
      </c>
      <c r="M331">
        <f t="shared" si="10"/>
        <v>0</v>
      </c>
      <c r="N331" s="53" t="s">
        <v>406</v>
      </c>
      <c r="P331" s="41"/>
      <c r="Q331" s="41"/>
      <c r="T331">
        <f t="shared" si="11"/>
        <v>0</v>
      </c>
    </row>
    <row r="332" hidden="1">
      <c r="A332" s="32" t="str">
        <f t="shared" si="1"/>
        <v>#N/A</v>
      </c>
      <c r="B332" s="32" t="str">
        <f t="shared" si="2"/>
        <v>#N/A</v>
      </c>
      <c r="C332" s="32" t="str">
        <f t="shared" si="3"/>
        <v>Week 10</v>
      </c>
      <c r="D332" s="32">
        <v>2019.0</v>
      </c>
      <c r="E332" t="str">
        <f t="shared" si="4"/>
        <v>10</v>
      </c>
      <c r="F332" t="str">
        <f t="shared" si="5"/>
        <v>TEAM MANAGER(S)</v>
      </c>
      <c r="G332" s="40" t="str">
        <f>VLOOKUP(F332,'Manager Coding'!C:D,2,0)</f>
        <v>#N/A</v>
      </c>
      <c r="H332" s="41" t="str">
        <f t="shared" si="6"/>
        <v>SCORE</v>
      </c>
      <c r="I332" t="str">
        <f t="shared" si="7"/>
        <v>TEAM MANAGER(S)</v>
      </c>
      <c r="J332" t="str">
        <f>VLOOKUP(I332,'Manager Coding'!C:D,2,0)</f>
        <v>#N/A</v>
      </c>
      <c r="K332" s="41" t="str">
        <f t="shared" si="8"/>
        <v>SCORE</v>
      </c>
      <c r="L332">
        <f t="shared" si="9"/>
        <v>0</v>
      </c>
      <c r="M332">
        <f t="shared" si="10"/>
        <v>0</v>
      </c>
      <c r="N332" s="24" t="s">
        <v>197</v>
      </c>
      <c r="O332" s="24" t="s">
        <v>88</v>
      </c>
      <c r="P332" s="26" t="s">
        <v>94</v>
      </c>
      <c r="Q332" s="27" t="s">
        <v>94</v>
      </c>
      <c r="R332" s="30" t="s">
        <v>88</v>
      </c>
      <c r="S332" s="30" t="s">
        <v>101</v>
      </c>
      <c r="T332">
        <f t="shared" si="11"/>
        <v>0</v>
      </c>
    </row>
    <row r="333" hidden="1">
      <c r="A333" s="32" t="str">
        <f t="shared" si="1"/>
        <v>2019HudspeathWeek 10</v>
      </c>
      <c r="B333" s="32" t="str">
        <f t="shared" si="2"/>
        <v>2019CockWeek 10</v>
      </c>
      <c r="C333" s="32" t="str">
        <f t="shared" si="3"/>
        <v>Week 10</v>
      </c>
      <c r="D333" s="32">
        <v>2019.0</v>
      </c>
      <c r="E333" t="str">
        <f t="shared" si="4"/>
        <v>10</v>
      </c>
      <c r="F333" t="str">
        <f t="shared" si="5"/>
        <v>matt hudspeath</v>
      </c>
      <c r="G333" s="40" t="str">
        <f>VLOOKUP(F333,'Manager Coding'!C:D,2,0)</f>
        <v>Hudspeath</v>
      </c>
      <c r="H333" s="41">
        <f t="shared" si="6"/>
        <v>73.82</v>
      </c>
      <c r="I333" t="str">
        <f t="shared" si="7"/>
        <v>Jack Babcock, Chris Cochrane</v>
      </c>
      <c r="J333" t="str">
        <f>VLOOKUP(I333,'Manager Coding'!C:D,2,0)</f>
        <v>Cock</v>
      </c>
      <c r="K333" s="41">
        <f t="shared" si="8"/>
        <v>86.7</v>
      </c>
      <c r="L333">
        <f t="shared" si="9"/>
        <v>0</v>
      </c>
      <c r="M333">
        <f t="shared" si="10"/>
        <v>1</v>
      </c>
      <c r="N333" s="54" t="s">
        <v>922</v>
      </c>
      <c r="O333" s="55" t="s">
        <v>64</v>
      </c>
      <c r="P333" s="67">
        <v>73.82</v>
      </c>
      <c r="Q333" s="68">
        <v>86.7</v>
      </c>
      <c r="R333" s="48" t="s">
        <v>73</v>
      </c>
      <c r="S333" s="54" t="s">
        <v>910</v>
      </c>
      <c r="T333">
        <f t="shared" si="11"/>
        <v>12.88</v>
      </c>
    </row>
    <row r="334" hidden="1">
      <c r="A334" s="32" t="str">
        <f t="shared" si="1"/>
        <v>2019FellowsWeek 10</v>
      </c>
      <c r="B334" s="32" t="str">
        <f t="shared" si="2"/>
        <v>2019RileyWeek 10</v>
      </c>
      <c r="C334" s="32" t="str">
        <f t="shared" si="3"/>
        <v>Week 10</v>
      </c>
      <c r="D334" s="32">
        <v>2019.0</v>
      </c>
      <c r="E334" t="str">
        <f t="shared" si="4"/>
        <v>10</v>
      </c>
      <c r="F334" t="str">
        <f t="shared" si="5"/>
        <v>Michael Fellows</v>
      </c>
      <c r="G334" s="40" t="str">
        <f>VLOOKUP(F334,'Manager Coding'!C:D,2,0)</f>
        <v>Fellows</v>
      </c>
      <c r="H334" s="41">
        <f t="shared" si="6"/>
        <v>96.58</v>
      </c>
      <c r="I334" t="str">
        <f t="shared" si="7"/>
        <v>Riley McElwain</v>
      </c>
      <c r="J334" t="str">
        <f>VLOOKUP(I334,'Manager Coding'!C:D,2,0)</f>
        <v>Riley</v>
      </c>
      <c r="K334" s="41">
        <f t="shared" si="8"/>
        <v>124.56</v>
      </c>
      <c r="L334">
        <f t="shared" si="9"/>
        <v>0</v>
      </c>
      <c r="M334">
        <f t="shared" si="10"/>
        <v>1</v>
      </c>
      <c r="N334" s="54" t="s">
        <v>924</v>
      </c>
      <c r="O334" s="55" t="s">
        <v>80</v>
      </c>
      <c r="P334" s="67">
        <v>96.58</v>
      </c>
      <c r="Q334" s="68">
        <v>124.56</v>
      </c>
      <c r="R334" s="48" t="s">
        <v>68</v>
      </c>
      <c r="S334" s="54" t="s">
        <v>915</v>
      </c>
      <c r="T334">
        <f t="shared" si="11"/>
        <v>27.98</v>
      </c>
    </row>
    <row r="335" hidden="1">
      <c r="A335" s="32" t="str">
        <f t="shared" si="1"/>
        <v>2019T-HowWeek 10</v>
      </c>
      <c r="B335" s="32" t="str">
        <f t="shared" si="2"/>
        <v>2019KnardDawgWeek 10</v>
      </c>
      <c r="C335" s="32" t="str">
        <f t="shared" si="3"/>
        <v>Week 10</v>
      </c>
      <c r="D335" s="32">
        <v>2019.0</v>
      </c>
      <c r="E335" t="str">
        <f t="shared" si="4"/>
        <v>10</v>
      </c>
      <c r="F335" t="str">
        <f t="shared" si="5"/>
        <v>Tyler Howard</v>
      </c>
      <c r="G335" s="40" t="str">
        <f>VLOOKUP(F335,'Manager Coding'!C:D,2,0)</f>
        <v>T-How</v>
      </c>
      <c r="H335" s="41">
        <f t="shared" si="6"/>
        <v>73.12</v>
      </c>
      <c r="I335" t="str">
        <f t="shared" si="7"/>
        <v>Jack Reilly, Alex Kinniard</v>
      </c>
      <c r="J335" t="str">
        <f>VLOOKUP(I335,'Manager Coding'!C:D,2,0)</f>
        <v>KnardDawg</v>
      </c>
      <c r="K335" s="41">
        <f t="shared" si="8"/>
        <v>121.74</v>
      </c>
      <c r="L335">
        <f t="shared" si="9"/>
        <v>0</v>
      </c>
      <c r="M335">
        <f t="shared" si="10"/>
        <v>1</v>
      </c>
      <c r="N335" s="54" t="s">
        <v>928</v>
      </c>
      <c r="O335" s="55" t="s">
        <v>85</v>
      </c>
      <c r="P335" s="67">
        <v>73.12</v>
      </c>
      <c r="Q335" s="68">
        <v>121.74</v>
      </c>
      <c r="R335" s="48" t="s">
        <v>96</v>
      </c>
      <c r="S335" s="54" t="s">
        <v>912</v>
      </c>
      <c r="T335">
        <f t="shared" si="11"/>
        <v>48.62</v>
      </c>
    </row>
    <row r="336" hidden="1">
      <c r="A336" s="32" t="str">
        <f t="shared" si="1"/>
        <v>2019TayskiWeek 10</v>
      </c>
      <c r="B336" s="32" t="str">
        <f t="shared" si="2"/>
        <v>2019PiersonWeek 10</v>
      </c>
      <c r="C336" s="32" t="str">
        <f t="shared" si="3"/>
        <v>Week 10</v>
      </c>
      <c r="D336" s="32">
        <v>2019.0</v>
      </c>
      <c r="E336" t="str">
        <f t="shared" si="4"/>
        <v>10</v>
      </c>
      <c r="F336" t="str">
        <f t="shared" si="5"/>
        <v>Taylor Weis</v>
      </c>
      <c r="G336" s="40" t="str">
        <f>VLOOKUP(F336,'Manager Coding'!C:D,2,0)</f>
        <v>Tayski</v>
      </c>
      <c r="H336" s="41">
        <f t="shared" si="6"/>
        <v>71.68</v>
      </c>
      <c r="I336" t="str">
        <f t="shared" si="7"/>
        <v>Pierson Curtis</v>
      </c>
      <c r="J336" t="str">
        <f>VLOOKUP(I336,'Manager Coding'!C:D,2,0)</f>
        <v>Pierson</v>
      </c>
      <c r="K336" s="41">
        <f t="shared" si="8"/>
        <v>116.52</v>
      </c>
      <c r="L336">
        <f t="shared" si="9"/>
        <v>0</v>
      </c>
      <c r="M336">
        <f t="shared" si="10"/>
        <v>1</v>
      </c>
      <c r="N336" s="54" t="s">
        <v>930</v>
      </c>
      <c r="O336" s="55" t="s">
        <v>54</v>
      </c>
      <c r="P336" s="67">
        <v>71.68</v>
      </c>
      <c r="Q336" s="68">
        <v>116.52</v>
      </c>
      <c r="R336" s="48" t="s">
        <v>93</v>
      </c>
      <c r="S336" s="54" t="s">
        <v>914</v>
      </c>
      <c r="T336">
        <f t="shared" si="11"/>
        <v>44.84</v>
      </c>
    </row>
    <row r="337" hidden="1">
      <c r="A337" s="32" t="str">
        <f t="shared" si="1"/>
        <v>2019BuserWeek 10</v>
      </c>
      <c r="B337" s="32" t="str">
        <f t="shared" si="2"/>
        <v>2019SaltyWeek 10</v>
      </c>
      <c r="C337" s="32" t="str">
        <f t="shared" si="3"/>
        <v>Week 10</v>
      </c>
      <c r="D337" s="32">
        <v>2019.0</v>
      </c>
      <c r="E337" t="str">
        <f t="shared" si="4"/>
        <v>10</v>
      </c>
      <c r="F337" t="str">
        <f t="shared" si="5"/>
        <v>Ed Buser</v>
      </c>
      <c r="G337" s="40" t="str">
        <f>VLOOKUP(F337,'Manager Coding'!C:D,2,0)</f>
        <v>Buser</v>
      </c>
      <c r="H337" s="41">
        <f t="shared" si="6"/>
        <v>88.68</v>
      </c>
      <c r="I337" t="str">
        <f t="shared" si="7"/>
        <v>R Saltiel</v>
      </c>
      <c r="J337" t="str">
        <f>VLOOKUP(I337,'Manager Coding'!C:D,2,0)</f>
        <v>Salty</v>
      </c>
      <c r="K337" s="41">
        <f t="shared" si="8"/>
        <v>105.22</v>
      </c>
      <c r="L337">
        <f t="shared" si="9"/>
        <v>0</v>
      </c>
      <c r="M337">
        <f t="shared" si="10"/>
        <v>1</v>
      </c>
      <c r="N337" s="54" t="s">
        <v>929</v>
      </c>
      <c r="O337" s="55" t="s">
        <v>50</v>
      </c>
      <c r="P337" s="67">
        <v>88.68</v>
      </c>
      <c r="Q337" s="68">
        <v>105.22</v>
      </c>
      <c r="R337" s="48" t="s">
        <v>77</v>
      </c>
      <c r="S337" s="54" t="s">
        <v>921</v>
      </c>
      <c r="T337">
        <f t="shared" si="11"/>
        <v>16.54</v>
      </c>
    </row>
    <row r="338" hidden="1">
      <c r="A338" s="32" t="str">
        <f t="shared" si="1"/>
        <v>2019Rooney/JacksonWeek 10</v>
      </c>
      <c r="B338" s="32" t="str">
        <f t="shared" si="2"/>
        <v>2019ShepWeek 10</v>
      </c>
      <c r="C338" s="32" t="str">
        <f t="shared" si="3"/>
        <v>Week 10</v>
      </c>
      <c r="D338" s="32">
        <v>2019.0</v>
      </c>
      <c r="E338" t="str">
        <f t="shared" si="4"/>
        <v>10</v>
      </c>
      <c r="F338" t="str">
        <f t="shared" si="5"/>
        <v>Stephen Rooney, Jackson Sattell</v>
      </c>
      <c r="G338" s="40" t="str">
        <f>VLOOKUP(F338,'Manager Coding'!C:D,2,0)</f>
        <v>Rooney/Jackson</v>
      </c>
      <c r="H338" s="41">
        <f t="shared" si="6"/>
        <v>112.14</v>
      </c>
      <c r="I338" t="str">
        <f t="shared" si="7"/>
        <v>Jordan Shepherd</v>
      </c>
      <c r="J338" t="str">
        <f>VLOOKUP(I338,'Manager Coding'!C:D,2,0)</f>
        <v>Shep</v>
      </c>
      <c r="K338" s="41">
        <f t="shared" si="8"/>
        <v>57.28</v>
      </c>
      <c r="L338">
        <f t="shared" si="9"/>
        <v>1</v>
      </c>
      <c r="M338">
        <f t="shared" si="10"/>
        <v>0</v>
      </c>
      <c r="N338" s="54" t="s">
        <v>927</v>
      </c>
      <c r="O338" s="55" t="s">
        <v>58</v>
      </c>
      <c r="P338" s="67">
        <v>112.14</v>
      </c>
      <c r="Q338" s="68">
        <v>57.28</v>
      </c>
      <c r="R338" s="48" t="s">
        <v>91</v>
      </c>
      <c r="S338" s="54" t="s">
        <v>923</v>
      </c>
      <c r="T338">
        <f t="shared" si="11"/>
        <v>54.86</v>
      </c>
    </row>
    <row r="339" hidden="1">
      <c r="A339" s="32" t="str">
        <f t="shared" si="1"/>
        <v>#N/A</v>
      </c>
      <c r="B339" s="32" t="str">
        <f t="shared" si="2"/>
        <v>#N/A</v>
      </c>
      <c r="C339" s="32" t="str">
        <f t="shared" si="3"/>
        <v>Week 10</v>
      </c>
      <c r="D339" s="32">
        <v>2019.0</v>
      </c>
      <c r="E339" t="str">
        <f t="shared" si="4"/>
        <v>10</v>
      </c>
      <c r="F339" t="str">
        <f t="shared" si="5"/>
        <v/>
      </c>
      <c r="G339" s="40" t="str">
        <f>VLOOKUP(F339,'Manager Coding'!C:D,2,0)</f>
        <v>#N/A</v>
      </c>
      <c r="H339" s="41" t="str">
        <f t="shared" si="6"/>
        <v/>
      </c>
      <c r="I339" t="str">
        <f t="shared" si="7"/>
        <v/>
      </c>
      <c r="J339" t="str">
        <f>VLOOKUP(I339,'Manager Coding'!C:D,2,0)</f>
        <v>#N/A</v>
      </c>
      <c r="K339" s="41" t="str">
        <f t="shared" si="8"/>
        <v/>
      </c>
      <c r="L339">
        <f t="shared" si="9"/>
        <v>0</v>
      </c>
      <c r="M339">
        <f t="shared" si="10"/>
        <v>0</v>
      </c>
      <c r="N339" s="53" t="s">
        <v>430</v>
      </c>
      <c r="P339" s="41"/>
      <c r="Q339" s="41"/>
      <c r="T339">
        <f t="shared" si="11"/>
        <v>0</v>
      </c>
    </row>
    <row r="340" hidden="1">
      <c r="A340" s="32" t="str">
        <f t="shared" si="1"/>
        <v>#N/A</v>
      </c>
      <c r="B340" s="32" t="str">
        <f t="shared" si="2"/>
        <v>#N/A</v>
      </c>
      <c r="C340" s="32" t="str">
        <f t="shared" si="3"/>
        <v>Week 11</v>
      </c>
      <c r="D340" s="32">
        <v>2019.0</v>
      </c>
      <c r="E340" t="str">
        <f t="shared" si="4"/>
        <v>11</v>
      </c>
      <c r="F340" t="str">
        <f t="shared" si="5"/>
        <v>TEAM MANAGER(S)</v>
      </c>
      <c r="G340" s="40" t="str">
        <f>VLOOKUP(F340,'Manager Coding'!C:D,2,0)</f>
        <v>#N/A</v>
      </c>
      <c r="H340" s="41" t="str">
        <f t="shared" si="6"/>
        <v>SCORE</v>
      </c>
      <c r="I340" t="str">
        <f t="shared" si="7"/>
        <v>TEAM MANAGER(S)</v>
      </c>
      <c r="J340" t="str">
        <f>VLOOKUP(I340,'Manager Coding'!C:D,2,0)</f>
        <v>#N/A</v>
      </c>
      <c r="K340" s="41" t="str">
        <f t="shared" si="8"/>
        <v>SCORE</v>
      </c>
      <c r="L340">
        <f t="shared" si="9"/>
        <v>0</v>
      </c>
      <c r="M340">
        <f t="shared" si="10"/>
        <v>0</v>
      </c>
      <c r="N340" s="24" t="s">
        <v>197</v>
      </c>
      <c r="O340" s="24" t="s">
        <v>88</v>
      </c>
      <c r="P340" s="26" t="s">
        <v>94</v>
      </c>
      <c r="Q340" s="27" t="s">
        <v>94</v>
      </c>
      <c r="R340" s="30" t="s">
        <v>88</v>
      </c>
      <c r="S340" s="30" t="s">
        <v>101</v>
      </c>
      <c r="T340">
        <f t="shared" si="11"/>
        <v>0</v>
      </c>
    </row>
    <row r="341" hidden="1">
      <c r="A341" s="32" t="str">
        <f t="shared" si="1"/>
        <v>2019CockWeek 11</v>
      </c>
      <c r="B341" s="32" t="str">
        <f t="shared" si="2"/>
        <v>2019RileyWeek 11</v>
      </c>
      <c r="C341" s="32" t="str">
        <f t="shared" si="3"/>
        <v>Week 11</v>
      </c>
      <c r="D341" s="32">
        <v>2019.0</v>
      </c>
      <c r="E341" t="str">
        <f t="shared" si="4"/>
        <v>11</v>
      </c>
      <c r="F341" t="str">
        <f t="shared" si="5"/>
        <v>Jack Babcock, Chris Cochrane</v>
      </c>
      <c r="G341" s="40" t="str">
        <f>VLOOKUP(F341,'Manager Coding'!C:D,2,0)</f>
        <v>Cock</v>
      </c>
      <c r="H341" s="41">
        <f t="shared" si="6"/>
        <v>94.84</v>
      </c>
      <c r="I341" t="str">
        <f t="shared" si="7"/>
        <v>Riley McElwain</v>
      </c>
      <c r="J341" t="str">
        <f>VLOOKUP(I341,'Manager Coding'!C:D,2,0)</f>
        <v>Riley</v>
      </c>
      <c r="K341" s="41">
        <f t="shared" si="8"/>
        <v>75.3</v>
      </c>
      <c r="L341">
        <f t="shared" si="9"/>
        <v>1</v>
      </c>
      <c r="M341">
        <f t="shared" si="10"/>
        <v>0</v>
      </c>
      <c r="N341" s="54" t="s">
        <v>910</v>
      </c>
      <c r="O341" s="55" t="s">
        <v>73</v>
      </c>
      <c r="P341" s="67">
        <v>94.84</v>
      </c>
      <c r="Q341" s="68">
        <v>75.3</v>
      </c>
      <c r="R341" s="48" t="s">
        <v>68</v>
      </c>
      <c r="S341" s="54" t="s">
        <v>915</v>
      </c>
      <c r="T341">
        <f t="shared" si="11"/>
        <v>19.54</v>
      </c>
    </row>
    <row r="342" hidden="1">
      <c r="A342" s="32" t="str">
        <f t="shared" si="1"/>
        <v>2019KnardDawgWeek 11</v>
      </c>
      <c r="B342" s="32" t="str">
        <f t="shared" si="2"/>
        <v>2019HudspeathWeek 11</v>
      </c>
      <c r="C342" s="32" t="str">
        <f t="shared" si="3"/>
        <v>Week 11</v>
      </c>
      <c r="D342" s="32">
        <v>2019.0</v>
      </c>
      <c r="E342" t="str">
        <f t="shared" si="4"/>
        <v>11</v>
      </c>
      <c r="F342" t="str">
        <f t="shared" si="5"/>
        <v>Jack Reilly, Alex Kinniard</v>
      </c>
      <c r="G342" s="40" t="str">
        <f>VLOOKUP(F342,'Manager Coding'!C:D,2,0)</f>
        <v>KnardDawg</v>
      </c>
      <c r="H342" s="41">
        <f t="shared" si="6"/>
        <v>81.68</v>
      </c>
      <c r="I342" t="str">
        <f t="shared" si="7"/>
        <v>matt hudspeath</v>
      </c>
      <c r="J342" t="str">
        <f>VLOOKUP(I342,'Manager Coding'!C:D,2,0)</f>
        <v>Hudspeath</v>
      </c>
      <c r="K342" s="41">
        <f t="shared" si="8"/>
        <v>96.12</v>
      </c>
      <c r="L342">
        <f t="shared" si="9"/>
        <v>0</v>
      </c>
      <c r="M342">
        <f t="shared" si="10"/>
        <v>1</v>
      </c>
      <c r="N342" s="54" t="s">
        <v>912</v>
      </c>
      <c r="O342" s="55" t="s">
        <v>96</v>
      </c>
      <c r="P342" s="67">
        <v>81.68</v>
      </c>
      <c r="Q342" s="68">
        <v>96.12</v>
      </c>
      <c r="R342" s="48" t="s">
        <v>64</v>
      </c>
      <c r="S342" s="54" t="s">
        <v>922</v>
      </c>
      <c r="T342">
        <f t="shared" si="11"/>
        <v>14.44</v>
      </c>
    </row>
    <row r="343" hidden="1">
      <c r="A343" s="32" t="str">
        <f t="shared" si="1"/>
        <v>2019PiersonWeek 11</v>
      </c>
      <c r="B343" s="32" t="str">
        <f t="shared" si="2"/>
        <v>2019FellowsWeek 11</v>
      </c>
      <c r="C343" s="32" t="str">
        <f t="shared" si="3"/>
        <v>Week 11</v>
      </c>
      <c r="D343" s="32">
        <v>2019.0</v>
      </c>
      <c r="E343" t="str">
        <f t="shared" si="4"/>
        <v>11</v>
      </c>
      <c r="F343" t="str">
        <f t="shared" si="5"/>
        <v>Pierson Curtis</v>
      </c>
      <c r="G343" s="40" t="str">
        <f>VLOOKUP(F343,'Manager Coding'!C:D,2,0)</f>
        <v>Pierson</v>
      </c>
      <c r="H343" s="41">
        <f t="shared" si="6"/>
        <v>119.68</v>
      </c>
      <c r="I343" t="str">
        <f t="shared" si="7"/>
        <v>Michael Fellows</v>
      </c>
      <c r="J343" t="str">
        <f>VLOOKUP(I343,'Manager Coding'!C:D,2,0)</f>
        <v>Fellows</v>
      </c>
      <c r="K343" s="41">
        <f t="shared" si="8"/>
        <v>93.56</v>
      </c>
      <c r="L343">
        <f t="shared" si="9"/>
        <v>1</v>
      </c>
      <c r="M343">
        <f t="shared" si="10"/>
        <v>0</v>
      </c>
      <c r="N343" s="54" t="s">
        <v>914</v>
      </c>
      <c r="O343" s="55" t="s">
        <v>93</v>
      </c>
      <c r="P343" s="67">
        <v>119.68</v>
      </c>
      <c r="Q343" s="68">
        <v>93.56</v>
      </c>
      <c r="R343" s="48" t="s">
        <v>80</v>
      </c>
      <c r="S343" s="54" t="s">
        <v>924</v>
      </c>
      <c r="T343">
        <f t="shared" si="11"/>
        <v>26.12</v>
      </c>
    </row>
    <row r="344" hidden="1">
      <c r="A344" s="32" t="str">
        <f t="shared" si="1"/>
        <v>2019SaltyWeek 11</v>
      </c>
      <c r="B344" s="32" t="str">
        <f t="shared" si="2"/>
        <v>2019T-HowWeek 11</v>
      </c>
      <c r="C344" s="32" t="str">
        <f t="shared" si="3"/>
        <v>Week 11</v>
      </c>
      <c r="D344" s="32">
        <v>2019.0</v>
      </c>
      <c r="E344" t="str">
        <f t="shared" si="4"/>
        <v>11</v>
      </c>
      <c r="F344" t="str">
        <f t="shared" si="5"/>
        <v>R Saltiel</v>
      </c>
      <c r="G344" s="40" t="str">
        <f>VLOOKUP(F344,'Manager Coding'!C:D,2,0)</f>
        <v>Salty</v>
      </c>
      <c r="H344" s="41">
        <f t="shared" si="6"/>
        <v>118.76</v>
      </c>
      <c r="I344" t="str">
        <f t="shared" si="7"/>
        <v>Tyler Howard</v>
      </c>
      <c r="J344" t="str">
        <f>VLOOKUP(I344,'Manager Coding'!C:D,2,0)</f>
        <v>T-How</v>
      </c>
      <c r="K344" s="41">
        <f t="shared" si="8"/>
        <v>55.12</v>
      </c>
      <c r="L344">
        <f t="shared" si="9"/>
        <v>1</v>
      </c>
      <c r="M344">
        <f t="shared" si="10"/>
        <v>0</v>
      </c>
      <c r="N344" s="54" t="s">
        <v>921</v>
      </c>
      <c r="O344" s="55" t="s">
        <v>77</v>
      </c>
      <c r="P344" s="67">
        <v>118.76</v>
      </c>
      <c r="Q344" s="68">
        <v>55.12</v>
      </c>
      <c r="R344" s="48" t="s">
        <v>85</v>
      </c>
      <c r="S344" s="54" t="s">
        <v>928</v>
      </c>
      <c r="T344">
        <f t="shared" si="11"/>
        <v>63.64</v>
      </c>
    </row>
    <row r="345" hidden="1">
      <c r="A345" s="32" t="str">
        <f t="shared" si="1"/>
        <v>2019ShepWeek 11</v>
      </c>
      <c r="B345" s="32" t="str">
        <f t="shared" si="2"/>
        <v>2019TayskiWeek 11</v>
      </c>
      <c r="C345" s="32" t="str">
        <f t="shared" si="3"/>
        <v>Week 11</v>
      </c>
      <c r="D345" s="32">
        <v>2019.0</v>
      </c>
      <c r="E345" t="str">
        <f t="shared" si="4"/>
        <v>11</v>
      </c>
      <c r="F345" t="str">
        <f t="shared" si="5"/>
        <v>Jordan Shepherd</v>
      </c>
      <c r="G345" s="40" t="str">
        <f>VLOOKUP(F345,'Manager Coding'!C:D,2,0)</f>
        <v>Shep</v>
      </c>
      <c r="H345" s="41">
        <f t="shared" si="6"/>
        <v>50.54</v>
      </c>
      <c r="I345" t="str">
        <f t="shared" si="7"/>
        <v>Taylor Weis</v>
      </c>
      <c r="J345" t="str">
        <f>VLOOKUP(I345,'Manager Coding'!C:D,2,0)</f>
        <v>Tayski</v>
      </c>
      <c r="K345" s="41">
        <f t="shared" si="8"/>
        <v>52.66</v>
      </c>
      <c r="L345">
        <f t="shared" si="9"/>
        <v>0</v>
      </c>
      <c r="M345">
        <f t="shared" si="10"/>
        <v>1</v>
      </c>
      <c r="N345" s="54" t="s">
        <v>923</v>
      </c>
      <c r="O345" s="55" t="s">
        <v>91</v>
      </c>
      <c r="P345" s="67">
        <v>50.54</v>
      </c>
      <c r="Q345" s="68">
        <v>52.66</v>
      </c>
      <c r="R345" s="48" t="s">
        <v>54</v>
      </c>
      <c r="S345" s="54" t="s">
        <v>930</v>
      </c>
      <c r="T345">
        <f t="shared" si="11"/>
        <v>2.12</v>
      </c>
    </row>
    <row r="346" hidden="1">
      <c r="A346" s="32" t="str">
        <f t="shared" si="1"/>
        <v>2019Rooney/JacksonWeek 11</v>
      </c>
      <c r="B346" s="32" t="str">
        <f t="shared" si="2"/>
        <v>2019BuserWeek 11</v>
      </c>
      <c r="C346" s="32" t="str">
        <f t="shared" si="3"/>
        <v>Week 11</v>
      </c>
      <c r="D346" s="32">
        <v>2019.0</v>
      </c>
      <c r="E346" t="str">
        <f t="shared" si="4"/>
        <v>11</v>
      </c>
      <c r="F346" t="str">
        <f t="shared" si="5"/>
        <v>Stephen Rooney, Jackson Sattell</v>
      </c>
      <c r="G346" s="40" t="str">
        <f>VLOOKUP(F346,'Manager Coding'!C:D,2,0)</f>
        <v>Rooney/Jackson</v>
      </c>
      <c r="H346" s="41">
        <f t="shared" si="6"/>
        <v>119.84</v>
      </c>
      <c r="I346" t="str">
        <f t="shared" si="7"/>
        <v>Ed Buser</v>
      </c>
      <c r="J346" t="str">
        <f>VLOOKUP(I346,'Manager Coding'!C:D,2,0)</f>
        <v>Buser</v>
      </c>
      <c r="K346" s="41">
        <f t="shared" si="8"/>
        <v>86</v>
      </c>
      <c r="L346">
        <f t="shared" si="9"/>
        <v>1</v>
      </c>
      <c r="M346">
        <f t="shared" si="10"/>
        <v>0</v>
      </c>
      <c r="N346" s="54" t="s">
        <v>927</v>
      </c>
      <c r="O346" s="55" t="s">
        <v>58</v>
      </c>
      <c r="P346" s="67">
        <v>119.84</v>
      </c>
      <c r="Q346" s="68">
        <v>86.0</v>
      </c>
      <c r="R346" s="48" t="s">
        <v>50</v>
      </c>
      <c r="S346" s="54" t="s">
        <v>929</v>
      </c>
      <c r="T346">
        <f t="shared" si="11"/>
        <v>33.84</v>
      </c>
    </row>
    <row r="347" hidden="1">
      <c r="A347" s="32" t="str">
        <f t="shared" si="1"/>
        <v>#N/A</v>
      </c>
      <c r="B347" s="32" t="str">
        <f t="shared" si="2"/>
        <v>#N/A</v>
      </c>
      <c r="C347" s="32" t="str">
        <f t="shared" si="3"/>
        <v>Week 11</v>
      </c>
      <c r="D347" s="32">
        <v>2019.0</v>
      </c>
      <c r="E347" t="str">
        <f t="shared" si="4"/>
        <v>11</v>
      </c>
      <c r="F347" t="str">
        <f t="shared" si="5"/>
        <v/>
      </c>
      <c r="G347" s="40" t="str">
        <f>VLOOKUP(F347,'Manager Coding'!C:D,2,0)</f>
        <v>#N/A</v>
      </c>
      <c r="H347" s="41" t="str">
        <f t="shared" si="6"/>
        <v/>
      </c>
      <c r="I347" t="str">
        <f t="shared" si="7"/>
        <v/>
      </c>
      <c r="J347" t="str">
        <f>VLOOKUP(I347,'Manager Coding'!C:D,2,0)</f>
        <v>#N/A</v>
      </c>
      <c r="K347" s="41" t="str">
        <f t="shared" si="8"/>
        <v/>
      </c>
      <c r="L347">
        <f t="shared" si="9"/>
        <v>0</v>
      </c>
      <c r="M347">
        <f t="shared" si="10"/>
        <v>0</v>
      </c>
      <c r="N347" s="53" t="s">
        <v>455</v>
      </c>
      <c r="P347" s="41"/>
      <c r="Q347" s="41"/>
      <c r="T347">
        <f t="shared" si="11"/>
        <v>0</v>
      </c>
    </row>
    <row r="348" hidden="1">
      <c r="A348" s="32" t="str">
        <f t="shared" si="1"/>
        <v>#N/A</v>
      </c>
      <c r="B348" s="32" t="str">
        <f t="shared" si="2"/>
        <v>#N/A</v>
      </c>
      <c r="C348" s="32" t="str">
        <f t="shared" si="3"/>
        <v>Week 12</v>
      </c>
      <c r="D348" s="32">
        <v>2019.0</v>
      </c>
      <c r="E348" t="str">
        <f t="shared" si="4"/>
        <v>12</v>
      </c>
      <c r="F348" t="str">
        <f t="shared" si="5"/>
        <v>TEAM MANAGER(S)</v>
      </c>
      <c r="G348" s="40" t="str">
        <f>VLOOKUP(F348,'Manager Coding'!C:D,2,0)</f>
        <v>#N/A</v>
      </c>
      <c r="H348" s="41" t="str">
        <f t="shared" si="6"/>
        <v>SCORE</v>
      </c>
      <c r="I348" t="str">
        <f t="shared" si="7"/>
        <v>TEAM MANAGER(S)</v>
      </c>
      <c r="J348" t="str">
        <f>VLOOKUP(I348,'Manager Coding'!C:D,2,0)</f>
        <v>#N/A</v>
      </c>
      <c r="K348" s="41" t="str">
        <f t="shared" si="8"/>
        <v>SCORE</v>
      </c>
      <c r="L348">
        <f t="shared" si="9"/>
        <v>0</v>
      </c>
      <c r="M348">
        <f t="shared" si="10"/>
        <v>0</v>
      </c>
      <c r="N348" s="24" t="s">
        <v>197</v>
      </c>
      <c r="O348" s="24" t="s">
        <v>88</v>
      </c>
      <c r="P348" s="26" t="s">
        <v>94</v>
      </c>
      <c r="Q348" s="27" t="s">
        <v>94</v>
      </c>
      <c r="R348" s="30" t="s">
        <v>88</v>
      </c>
      <c r="S348" s="30" t="s">
        <v>101</v>
      </c>
      <c r="T348">
        <f t="shared" si="11"/>
        <v>0</v>
      </c>
    </row>
    <row r="349" hidden="1">
      <c r="A349" s="32" t="str">
        <f t="shared" si="1"/>
        <v>2019KnardDawgWeek 12</v>
      </c>
      <c r="B349" s="32" t="str">
        <f t="shared" si="2"/>
        <v>2019CockWeek 12</v>
      </c>
      <c r="C349" s="32" t="str">
        <f t="shared" si="3"/>
        <v>Week 12</v>
      </c>
      <c r="D349" s="32">
        <v>2019.0</v>
      </c>
      <c r="E349" t="str">
        <f t="shared" si="4"/>
        <v>12</v>
      </c>
      <c r="F349" t="str">
        <f t="shared" si="5"/>
        <v>Jack Reilly, Alex Kinniard</v>
      </c>
      <c r="G349" s="40" t="str">
        <f>VLOOKUP(F349,'Manager Coding'!C:D,2,0)</f>
        <v>KnardDawg</v>
      </c>
      <c r="H349" s="41">
        <f t="shared" si="6"/>
        <v>61.58</v>
      </c>
      <c r="I349" t="str">
        <f t="shared" si="7"/>
        <v>Jack Babcock, Chris Cochrane</v>
      </c>
      <c r="J349" t="str">
        <f>VLOOKUP(I349,'Manager Coding'!C:D,2,0)</f>
        <v>Cock</v>
      </c>
      <c r="K349" s="41">
        <f t="shared" si="8"/>
        <v>77.6</v>
      </c>
      <c r="L349">
        <f t="shared" si="9"/>
        <v>0</v>
      </c>
      <c r="M349">
        <f t="shared" si="10"/>
        <v>1</v>
      </c>
      <c r="N349" s="54" t="s">
        <v>912</v>
      </c>
      <c r="O349" s="55" t="s">
        <v>96</v>
      </c>
      <c r="P349" s="67">
        <v>61.58</v>
      </c>
      <c r="Q349" s="68">
        <v>77.6</v>
      </c>
      <c r="R349" s="48" t="s">
        <v>73</v>
      </c>
      <c r="S349" s="54" t="s">
        <v>910</v>
      </c>
      <c r="T349">
        <f t="shared" si="11"/>
        <v>16.02</v>
      </c>
    </row>
    <row r="350" hidden="1">
      <c r="A350" s="32" t="str">
        <f t="shared" si="1"/>
        <v>2019RileyWeek 12</v>
      </c>
      <c r="B350" s="32" t="str">
        <f t="shared" si="2"/>
        <v>2019PiersonWeek 12</v>
      </c>
      <c r="C350" s="32" t="str">
        <f t="shared" si="3"/>
        <v>Week 12</v>
      </c>
      <c r="D350" s="32">
        <v>2019.0</v>
      </c>
      <c r="E350" t="str">
        <f t="shared" si="4"/>
        <v>12</v>
      </c>
      <c r="F350" t="str">
        <f t="shared" si="5"/>
        <v>Riley McElwain</v>
      </c>
      <c r="G350" s="40" t="str">
        <f>VLOOKUP(F350,'Manager Coding'!C:D,2,0)</f>
        <v>Riley</v>
      </c>
      <c r="H350" s="41">
        <f t="shared" si="6"/>
        <v>78.7</v>
      </c>
      <c r="I350" t="str">
        <f t="shared" si="7"/>
        <v>Pierson Curtis</v>
      </c>
      <c r="J350" t="str">
        <f>VLOOKUP(I350,'Manager Coding'!C:D,2,0)</f>
        <v>Pierson</v>
      </c>
      <c r="K350" s="41">
        <f t="shared" si="8"/>
        <v>127.86</v>
      </c>
      <c r="L350">
        <f t="shared" si="9"/>
        <v>0</v>
      </c>
      <c r="M350">
        <f t="shared" si="10"/>
        <v>1</v>
      </c>
      <c r="N350" s="54" t="s">
        <v>915</v>
      </c>
      <c r="O350" s="55" t="s">
        <v>68</v>
      </c>
      <c r="P350" s="67">
        <v>78.7</v>
      </c>
      <c r="Q350" s="68">
        <v>127.86</v>
      </c>
      <c r="R350" s="48" t="s">
        <v>93</v>
      </c>
      <c r="S350" s="54" t="s">
        <v>914</v>
      </c>
      <c r="T350">
        <f t="shared" si="11"/>
        <v>49.16</v>
      </c>
    </row>
    <row r="351" hidden="1">
      <c r="A351" s="32" t="str">
        <f t="shared" si="1"/>
        <v>2019HudspeathWeek 12</v>
      </c>
      <c r="B351" s="32" t="str">
        <f t="shared" si="2"/>
        <v>2019SaltyWeek 12</v>
      </c>
      <c r="C351" s="32" t="str">
        <f t="shared" si="3"/>
        <v>Week 12</v>
      </c>
      <c r="D351" s="32">
        <v>2019.0</v>
      </c>
      <c r="E351" t="str">
        <f t="shared" si="4"/>
        <v>12</v>
      </c>
      <c r="F351" t="str">
        <f t="shared" si="5"/>
        <v>matt hudspeath</v>
      </c>
      <c r="G351" s="40" t="str">
        <f>VLOOKUP(F351,'Manager Coding'!C:D,2,0)</f>
        <v>Hudspeath</v>
      </c>
      <c r="H351" s="41">
        <f t="shared" si="6"/>
        <v>98.22</v>
      </c>
      <c r="I351" t="str">
        <f t="shared" si="7"/>
        <v>R Saltiel</v>
      </c>
      <c r="J351" t="str">
        <f>VLOOKUP(I351,'Manager Coding'!C:D,2,0)</f>
        <v>Salty</v>
      </c>
      <c r="K351" s="41">
        <f t="shared" si="8"/>
        <v>79.66</v>
      </c>
      <c r="L351">
        <f t="shared" si="9"/>
        <v>1</v>
      </c>
      <c r="M351">
        <f t="shared" si="10"/>
        <v>0</v>
      </c>
      <c r="N351" s="54" t="s">
        <v>922</v>
      </c>
      <c r="O351" s="55" t="s">
        <v>64</v>
      </c>
      <c r="P351" s="67">
        <v>98.22</v>
      </c>
      <c r="Q351" s="68">
        <v>79.66</v>
      </c>
      <c r="R351" s="48" t="s">
        <v>77</v>
      </c>
      <c r="S351" s="54" t="s">
        <v>921</v>
      </c>
      <c r="T351">
        <f t="shared" si="11"/>
        <v>18.56</v>
      </c>
    </row>
    <row r="352" hidden="1">
      <c r="A352" s="32" t="str">
        <f t="shared" si="1"/>
        <v>2019FellowsWeek 12</v>
      </c>
      <c r="B352" s="32" t="str">
        <f t="shared" si="2"/>
        <v>2019ShepWeek 12</v>
      </c>
      <c r="C352" s="32" t="str">
        <f t="shared" si="3"/>
        <v>Week 12</v>
      </c>
      <c r="D352" s="32">
        <v>2019.0</v>
      </c>
      <c r="E352" t="str">
        <f t="shared" si="4"/>
        <v>12</v>
      </c>
      <c r="F352" t="str">
        <f t="shared" si="5"/>
        <v>Michael Fellows</v>
      </c>
      <c r="G352" s="40" t="str">
        <f>VLOOKUP(F352,'Manager Coding'!C:D,2,0)</f>
        <v>Fellows</v>
      </c>
      <c r="H352" s="41">
        <f t="shared" si="6"/>
        <v>55.28</v>
      </c>
      <c r="I352" t="str">
        <f t="shared" si="7"/>
        <v>Jordan Shepherd</v>
      </c>
      <c r="J352" t="str">
        <f>VLOOKUP(I352,'Manager Coding'!C:D,2,0)</f>
        <v>Shep</v>
      </c>
      <c r="K352" s="41">
        <f t="shared" si="8"/>
        <v>39.44</v>
      </c>
      <c r="L352">
        <f t="shared" si="9"/>
        <v>1</v>
      </c>
      <c r="M352">
        <f t="shared" si="10"/>
        <v>0</v>
      </c>
      <c r="N352" s="54" t="s">
        <v>924</v>
      </c>
      <c r="O352" s="55" t="s">
        <v>80</v>
      </c>
      <c r="P352" s="67">
        <v>55.28</v>
      </c>
      <c r="Q352" s="68">
        <v>39.44</v>
      </c>
      <c r="R352" s="48" t="s">
        <v>91</v>
      </c>
      <c r="S352" s="54" t="s">
        <v>923</v>
      </c>
      <c r="T352">
        <f t="shared" si="11"/>
        <v>15.84</v>
      </c>
    </row>
    <row r="353" hidden="1">
      <c r="A353" s="32" t="str">
        <f t="shared" si="1"/>
        <v>2019T-HowWeek 12</v>
      </c>
      <c r="B353" s="32" t="str">
        <f t="shared" si="2"/>
        <v>2019Rooney/JacksonWeek 12</v>
      </c>
      <c r="C353" s="32" t="str">
        <f t="shared" si="3"/>
        <v>Week 12</v>
      </c>
      <c r="D353" s="32">
        <v>2019.0</v>
      </c>
      <c r="E353" t="str">
        <f t="shared" si="4"/>
        <v>12</v>
      </c>
      <c r="F353" t="str">
        <f t="shared" si="5"/>
        <v>Tyler Howard</v>
      </c>
      <c r="G353" s="40" t="str">
        <f>VLOOKUP(F353,'Manager Coding'!C:D,2,0)</f>
        <v>T-How</v>
      </c>
      <c r="H353" s="41">
        <f t="shared" si="6"/>
        <v>100.48</v>
      </c>
      <c r="I353" t="str">
        <f t="shared" si="7"/>
        <v>Stephen Rooney, Jackson Sattell</v>
      </c>
      <c r="J353" t="str">
        <f>VLOOKUP(I353,'Manager Coding'!C:D,2,0)</f>
        <v>Rooney/Jackson</v>
      </c>
      <c r="K353" s="41">
        <f t="shared" si="8"/>
        <v>106.48</v>
      </c>
      <c r="L353">
        <f t="shared" si="9"/>
        <v>0</v>
      </c>
      <c r="M353">
        <f t="shared" si="10"/>
        <v>1</v>
      </c>
      <c r="N353" s="54" t="s">
        <v>928</v>
      </c>
      <c r="O353" s="55" t="s">
        <v>85</v>
      </c>
      <c r="P353" s="67">
        <v>100.48</v>
      </c>
      <c r="Q353" s="68">
        <v>106.48</v>
      </c>
      <c r="R353" s="48" t="s">
        <v>58</v>
      </c>
      <c r="S353" s="54" t="s">
        <v>927</v>
      </c>
      <c r="T353">
        <f t="shared" si="11"/>
        <v>6</v>
      </c>
    </row>
    <row r="354" hidden="1">
      <c r="A354" s="32" t="str">
        <f t="shared" si="1"/>
        <v>2019TayskiWeek 12</v>
      </c>
      <c r="B354" s="32" t="str">
        <f t="shared" si="2"/>
        <v>2019BuserWeek 12</v>
      </c>
      <c r="C354" s="32" t="str">
        <f t="shared" si="3"/>
        <v>Week 12</v>
      </c>
      <c r="D354" s="32">
        <v>2019.0</v>
      </c>
      <c r="E354" t="str">
        <f t="shared" si="4"/>
        <v>12</v>
      </c>
      <c r="F354" t="str">
        <f t="shared" si="5"/>
        <v>Taylor Weis</v>
      </c>
      <c r="G354" s="40" t="str">
        <f>VLOOKUP(F354,'Manager Coding'!C:D,2,0)</f>
        <v>Tayski</v>
      </c>
      <c r="H354" s="41">
        <f t="shared" si="6"/>
        <v>134.02</v>
      </c>
      <c r="I354" t="str">
        <f t="shared" si="7"/>
        <v>Ed Buser</v>
      </c>
      <c r="J354" t="str">
        <f>VLOOKUP(I354,'Manager Coding'!C:D,2,0)</f>
        <v>Buser</v>
      </c>
      <c r="K354" s="41">
        <f t="shared" si="8"/>
        <v>82.4</v>
      </c>
      <c r="L354">
        <f t="shared" si="9"/>
        <v>1</v>
      </c>
      <c r="M354">
        <f t="shared" si="10"/>
        <v>0</v>
      </c>
      <c r="N354" s="54" t="s">
        <v>930</v>
      </c>
      <c r="O354" s="55" t="s">
        <v>54</v>
      </c>
      <c r="P354" s="67">
        <v>134.02</v>
      </c>
      <c r="Q354" s="68">
        <v>82.4</v>
      </c>
      <c r="R354" s="48" t="s">
        <v>50</v>
      </c>
      <c r="S354" s="54" t="s">
        <v>929</v>
      </c>
      <c r="T354">
        <f t="shared" si="11"/>
        <v>51.62</v>
      </c>
    </row>
    <row r="355" hidden="1">
      <c r="A355" s="32" t="str">
        <f t="shared" si="1"/>
        <v>#N/A</v>
      </c>
      <c r="B355" s="32" t="str">
        <f t="shared" si="2"/>
        <v>#N/A</v>
      </c>
      <c r="C355" s="32" t="str">
        <f t="shared" si="3"/>
        <v>Week 12</v>
      </c>
      <c r="D355" s="32">
        <v>2019.0</v>
      </c>
      <c r="E355" t="str">
        <f t="shared" si="4"/>
        <v>12</v>
      </c>
      <c r="F355" t="str">
        <f t="shared" si="5"/>
        <v/>
      </c>
      <c r="G355" s="40" t="str">
        <f>VLOOKUP(F355,'Manager Coding'!C:D,2,0)</f>
        <v>#N/A</v>
      </c>
      <c r="H355" s="41" t="str">
        <f t="shared" si="6"/>
        <v/>
      </c>
      <c r="I355" t="str">
        <f t="shared" si="7"/>
        <v/>
      </c>
      <c r="J355" t="str">
        <f>VLOOKUP(I355,'Manager Coding'!C:D,2,0)</f>
        <v>#N/A</v>
      </c>
      <c r="K355" s="41" t="str">
        <f t="shared" si="8"/>
        <v/>
      </c>
      <c r="L355">
        <f t="shared" si="9"/>
        <v>0</v>
      </c>
      <c r="M355">
        <f t="shared" si="10"/>
        <v>0</v>
      </c>
      <c r="N355" s="53" t="s">
        <v>477</v>
      </c>
      <c r="P355" s="41"/>
      <c r="Q355" s="41"/>
      <c r="T355">
        <f t="shared" si="11"/>
        <v>0</v>
      </c>
    </row>
    <row r="356" hidden="1">
      <c r="A356" s="32" t="str">
        <f t="shared" si="1"/>
        <v>#N/A</v>
      </c>
      <c r="B356" s="32" t="str">
        <f t="shared" si="2"/>
        <v>#N/A</v>
      </c>
      <c r="C356" s="32" t="str">
        <f t="shared" si="3"/>
        <v>Week 13</v>
      </c>
      <c r="D356" s="32">
        <v>2019.0</v>
      </c>
      <c r="E356" t="str">
        <f t="shared" si="4"/>
        <v>13</v>
      </c>
      <c r="F356" t="str">
        <f t="shared" si="5"/>
        <v>TEAM MANAGER(S)</v>
      </c>
      <c r="G356" s="40" t="str">
        <f>VLOOKUP(F356,'Manager Coding'!C:D,2,0)</f>
        <v>#N/A</v>
      </c>
      <c r="H356" s="41" t="str">
        <f t="shared" si="6"/>
        <v>SCORE</v>
      </c>
      <c r="I356" t="str">
        <f t="shared" si="7"/>
        <v>TEAM MANAGER(S)</v>
      </c>
      <c r="J356" t="str">
        <f>VLOOKUP(I356,'Manager Coding'!C:D,2,0)</f>
        <v>#N/A</v>
      </c>
      <c r="K356" s="41" t="str">
        <f t="shared" si="8"/>
        <v>SCORE</v>
      </c>
      <c r="L356">
        <f t="shared" si="9"/>
        <v>0</v>
      </c>
      <c r="M356">
        <f t="shared" si="10"/>
        <v>0</v>
      </c>
      <c r="N356" s="24" t="s">
        <v>197</v>
      </c>
      <c r="O356" s="24" t="s">
        <v>88</v>
      </c>
      <c r="P356" s="26" t="s">
        <v>94</v>
      </c>
      <c r="Q356" s="27" t="s">
        <v>94</v>
      </c>
      <c r="R356" s="30" t="s">
        <v>88</v>
      </c>
      <c r="S356" s="30" t="s">
        <v>101</v>
      </c>
      <c r="T356">
        <f t="shared" si="11"/>
        <v>0</v>
      </c>
    </row>
    <row r="357" hidden="1">
      <c r="A357" s="32" t="str">
        <f t="shared" si="1"/>
        <v>2019CockWeek 13</v>
      </c>
      <c r="B357" s="32" t="str">
        <f t="shared" si="2"/>
        <v>2019PiersonWeek 13</v>
      </c>
      <c r="C357" s="32" t="str">
        <f t="shared" si="3"/>
        <v>Week 13</v>
      </c>
      <c r="D357" s="32">
        <v>2019.0</v>
      </c>
      <c r="E357" t="str">
        <f t="shared" si="4"/>
        <v>13</v>
      </c>
      <c r="F357" t="str">
        <f t="shared" si="5"/>
        <v>Jack Babcock, Chris Cochrane</v>
      </c>
      <c r="G357" s="40" t="str">
        <f>VLOOKUP(F357,'Manager Coding'!C:D,2,0)</f>
        <v>Cock</v>
      </c>
      <c r="H357" s="41">
        <f t="shared" si="6"/>
        <v>93.8</v>
      </c>
      <c r="I357" t="str">
        <f t="shared" si="7"/>
        <v>Pierson Curtis</v>
      </c>
      <c r="J357" t="str">
        <f>VLOOKUP(I357,'Manager Coding'!C:D,2,0)</f>
        <v>Pierson</v>
      </c>
      <c r="K357" s="41">
        <f t="shared" si="8"/>
        <v>102</v>
      </c>
      <c r="L357">
        <f t="shared" si="9"/>
        <v>0</v>
      </c>
      <c r="M357">
        <f t="shared" si="10"/>
        <v>1</v>
      </c>
      <c r="N357" s="54" t="s">
        <v>910</v>
      </c>
      <c r="O357" s="55" t="s">
        <v>73</v>
      </c>
      <c r="P357" s="67">
        <v>93.8</v>
      </c>
      <c r="Q357" s="68">
        <v>102.0</v>
      </c>
      <c r="R357" s="48" t="s">
        <v>93</v>
      </c>
      <c r="S357" s="54" t="s">
        <v>914</v>
      </c>
      <c r="T357">
        <f t="shared" si="11"/>
        <v>8.2</v>
      </c>
    </row>
    <row r="358" hidden="1">
      <c r="A358" s="32" t="str">
        <f t="shared" si="1"/>
        <v>2019SaltyWeek 13</v>
      </c>
      <c r="B358" s="32" t="str">
        <f t="shared" si="2"/>
        <v>2019KnardDawgWeek 13</v>
      </c>
      <c r="C358" s="32" t="str">
        <f t="shared" si="3"/>
        <v>Week 13</v>
      </c>
      <c r="D358" s="32">
        <v>2019.0</v>
      </c>
      <c r="E358" t="str">
        <f t="shared" si="4"/>
        <v>13</v>
      </c>
      <c r="F358" t="str">
        <f t="shared" si="5"/>
        <v>R Saltiel</v>
      </c>
      <c r="G358" s="40" t="str">
        <f>VLOOKUP(F358,'Manager Coding'!C:D,2,0)</f>
        <v>Salty</v>
      </c>
      <c r="H358" s="41">
        <f t="shared" si="6"/>
        <v>92.12</v>
      </c>
      <c r="I358" t="str">
        <f t="shared" si="7"/>
        <v>Jack Reilly, Alex Kinniard</v>
      </c>
      <c r="J358" t="str">
        <f>VLOOKUP(I358,'Manager Coding'!C:D,2,0)</f>
        <v>KnardDawg</v>
      </c>
      <c r="K358" s="41">
        <f t="shared" si="8"/>
        <v>79.8</v>
      </c>
      <c r="L358">
        <f t="shared" si="9"/>
        <v>1</v>
      </c>
      <c r="M358">
        <f t="shared" si="10"/>
        <v>0</v>
      </c>
      <c r="N358" s="54" t="s">
        <v>921</v>
      </c>
      <c r="O358" s="55" t="s">
        <v>77</v>
      </c>
      <c r="P358" s="67">
        <v>92.12</v>
      </c>
      <c r="Q358" s="68">
        <v>79.8</v>
      </c>
      <c r="R358" s="48" t="s">
        <v>96</v>
      </c>
      <c r="S358" s="54" t="s">
        <v>912</v>
      </c>
      <c r="T358">
        <f t="shared" si="11"/>
        <v>12.32</v>
      </c>
    </row>
    <row r="359" hidden="1">
      <c r="A359" s="32" t="str">
        <f t="shared" si="1"/>
        <v>2019ShepWeek 13</v>
      </c>
      <c r="B359" s="32" t="str">
        <f t="shared" si="2"/>
        <v>2019RileyWeek 13</v>
      </c>
      <c r="C359" s="32" t="str">
        <f t="shared" si="3"/>
        <v>Week 13</v>
      </c>
      <c r="D359" s="32">
        <v>2019.0</v>
      </c>
      <c r="E359" t="str">
        <f t="shared" si="4"/>
        <v>13</v>
      </c>
      <c r="F359" t="str">
        <f t="shared" si="5"/>
        <v>Jordan Shepherd</v>
      </c>
      <c r="G359" s="40" t="str">
        <f>VLOOKUP(F359,'Manager Coding'!C:D,2,0)</f>
        <v>Shep</v>
      </c>
      <c r="H359" s="41">
        <f t="shared" si="6"/>
        <v>54.58</v>
      </c>
      <c r="I359" t="str">
        <f t="shared" si="7"/>
        <v>Riley McElwain</v>
      </c>
      <c r="J359" t="str">
        <f>VLOOKUP(I359,'Manager Coding'!C:D,2,0)</f>
        <v>Riley</v>
      </c>
      <c r="K359" s="41">
        <f t="shared" si="8"/>
        <v>65.22</v>
      </c>
      <c r="L359">
        <f t="shared" si="9"/>
        <v>0</v>
      </c>
      <c r="M359">
        <f t="shared" si="10"/>
        <v>1</v>
      </c>
      <c r="N359" s="54" t="s">
        <v>923</v>
      </c>
      <c r="O359" s="55" t="s">
        <v>91</v>
      </c>
      <c r="P359" s="67">
        <v>54.58</v>
      </c>
      <c r="Q359" s="68">
        <v>65.22</v>
      </c>
      <c r="R359" s="48" t="s">
        <v>68</v>
      </c>
      <c r="S359" s="54" t="s">
        <v>915</v>
      </c>
      <c r="T359">
        <f t="shared" si="11"/>
        <v>10.64</v>
      </c>
    </row>
    <row r="360" hidden="1">
      <c r="A360" s="32" t="str">
        <f t="shared" si="1"/>
        <v>2019Rooney/JacksonWeek 13</v>
      </c>
      <c r="B360" s="32" t="str">
        <f t="shared" si="2"/>
        <v>2019HudspeathWeek 13</v>
      </c>
      <c r="C360" s="32" t="str">
        <f t="shared" si="3"/>
        <v>Week 13</v>
      </c>
      <c r="D360" s="32">
        <v>2019.0</v>
      </c>
      <c r="E360" t="str">
        <f t="shared" si="4"/>
        <v>13</v>
      </c>
      <c r="F360" t="str">
        <f t="shared" si="5"/>
        <v>Stephen Rooney, Jackson Sattell</v>
      </c>
      <c r="G360" s="40" t="str">
        <f>VLOOKUP(F360,'Manager Coding'!C:D,2,0)</f>
        <v>Rooney/Jackson</v>
      </c>
      <c r="H360" s="41">
        <f t="shared" si="6"/>
        <v>87.64</v>
      </c>
      <c r="I360" t="str">
        <f t="shared" si="7"/>
        <v>matt hudspeath</v>
      </c>
      <c r="J360" t="str">
        <f>VLOOKUP(I360,'Manager Coding'!C:D,2,0)</f>
        <v>Hudspeath</v>
      </c>
      <c r="K360" s="41">
        <f t="shared" si="8"/>
        <v>87.82</v>
      </c>
      <c r="L360">
        <f t="shared" si="9"/>
        <v>0</v>
      </c>
      <c r="M360">
        <f t="shared" si="10"/>
        <v>1</v>
      </c>
      <c r="N360" s="54" t="s">
        <v>927</v>
      </c>
      <c r="O360" s="55" t="s">
        <v>58</v>
      </c>
      <c r="P360" s="67">
        <v>87.64</v>
      </c>
      <c r="Q360" s="68">
        <v>87.82</v>
      </c>
      <c r="R360" s="48" t="s">
        <v>64</v>
      </c>
      <c r="S360" s="54" t="s">
        <v>922</v>
      </c>
      <c r="T360">
        <f t="shared" si="11"/>
        <v>0.18</v>
      </c>
    </row>
    <row r="361" hidden="1">
      <c r="A361" s="32" t="str">
        <f t="shared" si="1"/>
        <v>2019BuserWeek 13</v>
      </c>
      <c r="B361" s="32" t="str">
        <f t="shared" si="2"/>
        <v>2019FellowsWeek 13</v>
      </c>
      <c r="C361" s="32" t="str">
        <f t="shared" si="3"/>
        <v>Week 13</v>
      </c>
      <c r="D361" s="32">
        <v>2019.0</v>
      </c>
      <c r="E361" t="str">
        <f t="shared" si="4"/>
        <v>13</v>
      </c>
      <c r="F361" t="str">
        <f t="shared" si="5"/>
        <v>Ed Buser</v>
      </c>
      <c r="G361" s="40" t="str">
        <f>VLOOKUP(F361,'Manager Coding'!C:D,2,0)</f>
        <v>Buser</v>
      </c>
      <c r="H361" s="41">
        <f t="shared" si="6"/>
        <v>94.9</v>
      </c>
      <c r="I361" t="str">
        <f t="shared" si="7"/>
        <v>Michael Fellows</v>
      </c>
      <c r="J361" t="str">
        <f>VLOOKUP(I361,'Manager Coding'!C:D,2,0)</f>
        <v>Fellows</v>
      </c>
      <c r="K361" s="41">
        <f t="shared" si="8"/>
        <v>68.5</v>
      </c>
      <c r="L361">
        <f t="shared" si="9"/>
        <v>1</v>
      </c>
      <c r="M361">
        <f t="shared" si="10"/>
        <v>0</v>
      </c>
      <c r="N361" s="54" t="s">
        <v>929</v>
      </c>
      <c r="O361" s="55" t="s">
        <v>50</v>
      </c>
      <c r="P361" s="67">
        <v>94.9</v>
      </c>
      <c r="Q361" s="68">
        <v>68.5</v>
      </c>
      <c r="R361" s="48" t="s">
        <v>80</v>
      </c>
      <c r="S361" s="54" t="s">
        <v>924</v>
      </c>
      <c r="T361">
        <f t="shared" si="11"/>
        <v>26.4</v>
      </c>
    </row>
    <row r="362" hidden="1">
      <c r="A362" s="32" t="str">
        <f t="shared" si="1"/>
        <v>2019TayskiWeek 13</v>
      </c>
      <c r="B362" s="32" t="str">
        <f t="shared" si="2"/>
        <v>2019T-HowWeek 13</v>
      </c>
      <c r="C362" s="32" t="str">
        <f t="shared" si="3"/>
        <v>Week 13</v>
      </c>
      <c r="D362" s="32">
        <v>2019.0</v>
      </c>
      <c r="E362" t="str">
        <f t="shared" si="4"/>
        <v>13</v>
      </c>
      <c r="F362" t="str">
        <f t="shared" si="5"/>
        <v>Taylor Weis</v>
      </c>
      <c r="G362" s="40" t="str">
        <f>VLOOKUP(F362,'Manager Coding'!C:D,2,0)</f>
        <v>Tayski</v>
      </c>
      <c r="H362" s="41">
        <f t="shared" si="6"/>
        <v>63.78</v>
      </c>
      <c r="I362" t="str">
        <f t="shared" si="7"/>
        <v>Tyler Howard</v>
      </c>
      <c r="J362" t="str">
        <f>VLOOKUP(I362,'Manager Coding'!C:D,2,0)</f>
        <v>T-How</v>
      </c>
      <c r="K362" s="41">
        <f t="shared" si="8"/>
        <v>117.56</v>
      </c>
      <c r="L362">
        <f t="shared" si="9"/>
        <v>0</v>
      </c>
      <c r="M362">
        <f t="shared" si="10"/>
        <v>1</v>
      </c>
      <c r="N362" s="54" t="s">
        <v>930</v>
      </c>
      <c r="O362" s="55" t="s">
        <v>54</v>
      </c>
      <c r="P362" s="67">
        <v>63.78</v>
      </c>
      <c r="Q362" s="68">
        <v>117.56</v>
      </c>
      <c r="R362" s="48" t="s">
        <v>85</v>
      </c>
      <c r="S362" s="54" t="s">
        <v>928</v>
      </c>
      <c r="T362">
        <f t="shared" si="11"/>
        <v>53.78</v>
      </c>
    </row>
    <row r="363" hidden="1">
      <c r="A363" s="32" t="str">
        <f t="shared" si="1"/>
        <v>#N/A</v>
      </c>
      <c r="B363" s="32" t="str">
        <f t="shared" si="2"/>
        <v>#N/A</v>
      </c>
      <c r="C363" s="32" t="str">
        <f t="shared" si="3"/>
        <v>Week 13</v>
      </c>
      <c r="D363" s="32">
        <v>2019.0</v>
      </c>
      <c r="E363" t="str">
        <f t="shared" si="4"/>
        <v>13</v>
      </c>
      <c r="F363" t="str">
        <f t="shared" si="5"/>
        <v/>
      </c>
      <c r="G363" s="40" t="str">
        <f>VLOOKUP(F363,'Manager Coding'!C:D,2,0)</f>
        <v>#N/A</v>
      </c>
      <c r="H363" s="41" t="str">
        <f t="shared" si="6"/>
        <v/>
      </c>
      <c r="I363" t="str">
        <f t="shared" si="7"/>
        <v/>
      </c>
      <c r="J363" t="str">
        <f>VLOOKUP(I363,'Manager Coding'!C:D,2,0)</f>
        <v>#N/A</v>
      </c>
      <c r="K363" s="41" t="str">
        <f t="shared" si="8"/>
        <v/>
      </c>
      <c r="L363">
        <f t="shared" si="9"/>
        <v>0</v>
      </c>
      <c r="M363">
        <f t="shared" si="10"/>
        <v>0</v>
      </c>
      <c r="N363" s="53" t="s">
        <v>501</v>
      </c>
      <c r="P363" s="41"/>
      <c r="Q363" s="41"/>
      <c r="T363">
        <f t="shared" si="11"/>
        <v>0</v>
      </c>
    </row>
    <row r="364" hidden="1">
      <c r="A364" s="32" t="str">
        <f t="shared" si="1"/>
        <v>#N/A</v>
      </c>
      <c r="B364" s="32" t="str">
        <f t="shared" si="2"/>
        <v>#N/A</v>
      </c>
      <c r="C364" s="32" t="str">
        <f t="shared" si="3"/>
        <v>Week 14</v>
      </c>
      <c r="D364" s="32">
        <v>2019.0</v>
      </c>
      <c r="E364" t="str">
        <f t="shared" si="4"/>
        <v>14</v>
      </c>
      <c r="F364" t="str">
        <f t="shared" si="5"/>
        <v>TEAM MANAGER(S)</v>
      </c>
      <c r="G364" s="40" t="str">
        <f>VLOOKUP(F364,'Manager Coding'!C:D,2,0)</f>
        <v>#N/A</v>
      </c>
      <c r="H364" s="41" t="str">
        <f t="shared" si="6"/>
        <v>SCORE</v>
      </c>
      <c r="I364" t="str">
        <f t="shared" si="7"/>
        <v>TEAM MANAGER(S)</v>
      </c>
      <c r="J364" t="str">
        <f>VLOOKUP(I364,'Manager Coding'!C:D,2,0)</f>
        <v>#N/A</v>
      </c>
      <c r="K364" s="41" t="str">
        <f t="shared" si="8"/>
        <v>SCORE</v>
      </c>
      <c r="L364">
        <f t="shared" si="9"/>
        <v>0</v>
      </c>
      <c r="M364">
        <f t="shared" si="10"/>
        <v>0</v>
      </c>
      <c r="N364" s="24" t="s">
        <v>197</v>
      </c>
      <c r="O364" s="24" t="s">
        <v>88</v>
      </c>
      <c r="P364" s="26" t="s">
        <v>94</v>
      </c>
      <c r="Q364" s="27" t="s">
        <v>94</v>
      </c>
      <c r="R364" s="30" t="s">
        <v>88</v>
      </c>
      <c r="S364" s="30" t="s">
        <v>101</v>
      </c>
      <c r="T364">
        <f t="shared" si="11"/>
        <v>0</v>
      </c>
    </row>
    <row r="365" hidden="1">
      <c r="A365" s="32" t="str">
        <f t="shared" si="1"/>
        <v>2019Rooney/JacksonWeek 14</v>
      </c>
      <c r="B365" s="32" t="str">
        <f t="shared" si="2"/>
        <v>2019T-HowWeek 14</v>
      </c>
      <c r="C365" s="32" t="str">
        <f t="shared" si="3"/>
        <v>Week 14</v>
      </c>
      <c r="D365" s="32">
        <v>2019.0</v>
      </c>
      <c r="E365" t="str">
        <f t="shared" si="4"/>
        <v>14</v>
      </c>
      <c r="F365" t="str">
        <f t="shared" si="5"/>
        <v>Stephen Rooney, Jackson Sattell</v>
      </c>
      <c r="G365" s="40" t="str">
        <f>VLOOKUP(F365,'Manager Coding'!C:D,2,0)</f>
        <v>Rooney/Jackson</v>
      </c>
      <c r="H365" s="41">
        <f t="shared" si="6"/>
        <v>119.28</v>
      </c>
      <c r="I365" t="str">
        <f t="shared" si="7"/>
        <v>Tyler Howard</v>
      </c>
      <c r="J365" t="str">
        <f>VLOOKUP(I365,'Manager Coding'!C:D,2,0)</f>
        <v>T-How</v>
      </c>
      <c r="K365" s="41">
        <f t="shared" si="8"/>
        <v>122.32</v>
      </c>
      <c r="L365">
        <f t="shared" si="9"/>
        <v>0</v>
      </c>
      <c r="M365">
        <f t="shared" si="10"/>
        <v>1</v>
      </c>
      <c r="N365" s="54" t="s">
        <v>927</v>
      </c>
      <c r="O365" s="55" t="s">
        <v>58</v>
      </c>
      <c r="P365" s="67">
        <v>119.28</v>
      </c>
      <c r="Q365" s="68">
        <v>122.32</v>
      </c>
      <c r="R365" s="48" t="s">
        <v>85</v>
      </c>
      <c r="S365" s="54" t="s">
        <v>928</v>
      </c>
      <c r="T365">
        <f t="shared" si="11"/>
        <v>3.04</v>
      </c>
    </row>
    <row r="366" hidden="1">
      <c r="A366" s="32" t="str">
        <f t="shared" si="1"/>
        <v>2019BuserWeek 14</v>
      </c>
      <c r="B366" s="32" t="str">
        <f t="shared" si="2"/>
        <v>2019TayskiWeek 14</v>
      </c>
      <c r="C366" s="32" t="str">
        <f t="shared" si="3"/>
        <v>Week 14</v>
      </c>
      <c r="D366" s="32">
        <v>2019.0</v>
      </c>
      <c r="E366" t="str">
        <f t="shared" si="4"/>
        <v>14</v>
      </c>
      <c r="F366" t="str">
        <f t="shared" si="5"/>
        <v>Ed Buser</v>
      </c>
      <c r="G366" s="40" t="str">
        <f>VLOOKUP(F366,'Manager Coding'!C:D,2,0)</f>
        <v>Buser</v>
      </c>
      <c r="H366" s="41">
        <f t="shared" si="6"/>
        <v>80.9</v>
      </c>
      <c r="I366" t="str">
        <f t="shared" si="7"/>
        <v>Taylor Weis</v>
      </c>
      <c r="J366" t="str">
        <f>VLOOKUP(I366,'Manager Coding'!C:D,2,0)</f>
        <v>Tayski</v>
      </c>
      <c r="K366" s="41">
        <f t="shared" si="8"/>
        <v>94.58</v>
      </c>
      <c r="L366">
        <f t="shared" si="9"/>
        <v>0</v>
      </c>
      <c r="M366">
        <f t="shared" si="10"/>
        <v>1</v>
      </c>
      <c r="N366" s="54" t="s">
        <v>929</v>
      </c>
      <c r="O366" s="55" t="s">
        <v>50</v>
      </c>
      <c r="P366" s="67">
        <v>80.9</v>
      </c>
      <c r="Q366" s="68">
        <v>94.58</v>
      </c>
      <c r="R366" s="48" t="s">
        <v>54</v>
      </c>
      <c r="S366" s="54" t="s">
        <v>930</v>
      </c>
      <c r="T366">
        <f t="shared" si="11"/>
        <v>13.68</v>
      </c>
    </row>
    <row r="367" hidden="1">
      <c r="A367" s="32" t="str">
        <f t="shared" si="1"/>
        <v>2019CockWeek 14</v>
      </c>
      <c r="B367" s="32" t="str">
        <f t="shared" si="2"/>
        <v>2019SaltyWeek 14</v>
      </c>
      <c r="C367" s="32" t="str">
        <f t="shared" si="3"/>
        <v>Week 14</v>
      </c>
      <c r="D367" s="32">
        <v>2019.0</v>
      </c>
      <c r="E367" t="str">
        <f t="shared" si="4"/>
        <v>14</v>
      </c>
      <c r="F367" t="str">
        <f t="shared" si="5"/>
        <v>Jack Babcock, Chris Cochrane</v>
      </c>
      <c r="G367" s="40" t="str">
        <f>VLOOKUP(F367,'Manager Coding'!C:D,2,0)</f>
        <v>Cock</v>
      </c>
      <c r="H367" s="41">
        <f t="shared" si="6"/>
        <v>81.46</v>
      </c>
      <c r="I367" t="str">
        <f t="shared" si="7"/>
        <v>R Saltiel</v>
      </c>
      <c r="J367" t="str">
        <f>VLOOKUP(I367,'Manager Coding'!C:D,2,0)</f>
        <v>Salty</v>
      </c>
      <c r="K367" s="41">
        <f t="shared" si="8"/>
        <v>74.4</v>
      </c>
      <c r="L367">
        <f t="shared" si="9"/>
        <v>1</v>
      </c>
      <c r="M367">
        <f t="shared" si="10"/>
        <v>0</v>
      </c>
      <c r="N367" s="54" t="s">
        <v>910</v>
      </c>
      <c r="O367" s="55" t="s">
        <v>73</v>
      </c>
      <c r="P367" s="67">
        <v>81.46</v>
      </c>
      <c r="Q367" s="68">
        <v>74.4</v>
      </c>
      <c r="R367" s="48" t="s">
        <v>77</v>
      </c>
      <c r="S367" s="54" t="s">
        <v>921</v>
      </c>
      <c r="T367">
        <f t="shared" si="11"/>
        <v>7.06</v>
      </c>
    </row>
    <row r="368" hidden="1">
      <c r="A368" s="32" t="str">
        <f t="shared" si="1"/>
        <v>2019RileyWeek 14</v>
      </c>
      <c r="B368" s="32" t="str">
        <f t="shared" si="2"/>
        <v>2019KnardDawgWeek 14</v>
      </c>
      <c r="C368" s="32" t="str">
        <f t="shared" si="3"/>
        <v>Week 14</v>
      </c>
      <c r="D368" s="32">
        <v>2019.0</v>
      </c>
      <c r="E368" t="str">
        <f t="shared" si="4"/>
        <v>14</v>
      </c>
      <c r="F368" t="str">
        <f t="shared" si="5"/>
        <v>Riley McElwain</v>
      </c>
      <c r="G368" s="40" t="str">
        <f>VLOOKUP(F368,'Manager Coding'!C:D,2,0)</f>
        <v>Riley</v>
      </c>
      <c r="H368" s="41">
        <f t="shared" si="6"/>
        <v>93.26</v>
      </c>
      <c r="I368" t="str">
        <f t="shared" si="7"/>
        <v>Jack Reilly, Alex Kinniard</v>
      </c>
      <c r="J368" t="str">
        <f>VLOOKUP(I368,'Manager Coding'!C:D,2,0)</f>
        <v>KnardDawg</v>
      </c>
      <c r="K368" s="41">
        <f t="shared" si="8"/>
        <v>75.52</v>
      </c>
      <c r="L368">
        <f t="shared" si="9"/>
        <v>1</v>
      </c>
      <c r="M368">
        <f t="shared" si="10"/>
        <v>0</v>
      </c>
      <c r="N368" s="54" t="s">
        <v>915</v>
      </c>
      <c r="O368" s="55" t="s">
        <v>68</v>
      </c>
      <c r="P368" s="67">
        <v>93.26</v>
      </c>
      <c r="Q368" s="68">
        <v>75.52</v>
      </c>
      <c r="R368" s="48" t="s">
        <v>96</v>
      </c>
      <c r="S368" s="54" t="s">
        <v>912</v>
      </c>
      <c r="T368">
        <f t="shared" si="11"/>
        <v>17.74</v>
      </c>
    </row>
    <row r="369" hidden="1">
      <c r="A369" s="32" t="str">
        <f t="shared" si="1"/>
        <v>2019ShepWeek 14</v>
      </c>
      <c r="B369" s="32" t="str">
        <f t="shared" si="2"/>
        <v>2019FellowsWeek 14</v>
      </c>
      <c r="C369" s="32" t="str">
        <f t="shared" si="3"/>
        <v>Week 14</v>
      </c>
      <c r="D369" s="32">
        <v>2019.0</v>
      </c>
      <c r="E369" t="str">
        <f t="shared" si="4"/>
        <v>14</v>
      </c>
      <c r="F369" t="str">
        <f t="shared" si="5"/>
        <v>Jordan Shepherd</v>
      </c>
      <c r="G369" s="40" t="str">
        <f>VLOOKUP(F369,'Manager Coding'!C:D,2,0)</f>
        <v>Shep</v>
      </c>
      <c r="H369" s="41">
        <f t="shared" si="6"/>
        <v>36.42</v>
      </c>
      <c r="I369" t="str">
        <f t="shared" si="7"/>
        <v>Michael Fellows</v>
      </c>
      <c r="J369" t="str">
        <f>VLOOKUP(I369,'Manager Coding'!C:D,2,0)</f>
        <v>Fellows</v>
      </c>
      <c r="K369" s="41">
        <f t="shared" si="8"/>
        <v>82.86</v>
      </c>
      <c r="L369">
        <f t="shared" si="9"/>
        <v>0</v>
      </c>
      <c r="M369">
        <f t="shared" si="10"/>
        <v>1</v>
      </c>
      <c r="N369" s="54" t="s">
        <v>923</v>
      </c>
      <c r="O369" s="55" t="s">
        <v>91</v>
      </c>
      <c r="P369" s="67">
        <v>36.42</v>
      </c>
      <c r="Q369" s="68">
        <v>82.86</v>
      </c>
      <c r="R369" s="48" t="s">
        <v>80</v>
      </c>
      <c r="S369" s="54" t="s">
        <v>924</v>
      </c>
      <c r="T369">
        <f t="shared" si="11"/>
        <v>46.44</v>
      </c>
    </row>
    <row r="370" hidden="1">
      <c r="A370" s="32" t="str">
        <f t="shared" si="1"/>
        <v>#N/A</v>
      </c>
      <c r="B370" s="32" t="str">
        <f t="shared" si="2"/>
        <v>#N/A</v>
      </c>
      <c r="C370" s="32" t="str">
        <f t="shared" si="3"/>
        <v>Week 14</v>
      </c>
      <c r="D370" s="32">
        <v>2019.0</v>
      </c>
      <c r="E370" t="str">
        <f t="shared" si="4"/>
        <v>14</v>
      </c>
      <c r="F370" t="str">
        <f t="shared" si="5"/>
        <v/>
      </c>
      <c r="G370" s="40" t="str">
        <f>VLOOKUP(F370,'Manager Coding'!C:D,2,0)</f>
        <v>#N/A</v>
      </c>
      <c r="H370" s="41" t="str">
        <f t="shared" si="6"/>
        <v/>
      </c>
      <c r="I370" t="str">
        <f t="shared" si="7"/>
        <v/>
      </c>
      <c r="J370" t="str">
        <f>VLOOKUP(I370,'Manager Coding'!C:D,2,0)</f>
        <v>#N/A</v>
      </c>
      <c r="K370" s="41" t="str">
        <f t="shared" si="8"/>
        <v/>
      </c>
      <c r="L370">
        <f t="shared" si="9"/>
        <v>0</v>
      </c>
      <c r="M370">
        <f t="shared" si="10"/>
        <v>0</v>
      </c>
      <c r="N370" s="56" t="s">
        <v>518</v>
      </c>
      <c r="P370" s="41"/>
      <c r="Q370" s="41"/>
      <c r="T370">
        <f t="shared" si="11"/>
        <v>0</v>
      </c>
    </row>
    <row r="371" hidden="1">
      <c r="A371" s="32" t="str">
        <f t="shared" si="1"/>
        <v>#N/A</v>
      </c>
      <c r="B371" s="32" t="str">
        <f t="shared" si="2"/>
        <v>#N/A</v>
      </c>
      <c r="C371" s="32" t="str">
        <f t="shared" si="3"/>
        <v>Week 14</v>
      </c>
      <c r="D371" s="32">
        <v>2019.0</v>
      </c>
      <c r="E371" t="str">
        <f t="shared" si="4"/>
        <v>14</v>
      </c>
      <c r="F371" t="str">
        <f t="shared" si="5"/>
        <v/>
      </c>
      <c r="G371" s="40" t="str">
        <f>VLOOKUP(F371,'Manager Coding'!C:D,2,0)</f>
        <v>#N/A</v>
      </c>
      <c r="H371" s="41" t="str">
        <f t="shared" si="6"/>
        <v/>
      </c>
      <c r="I371" t="str">
        <f t="shared" si="7"/>
        <v/>
      </c>
      <c r="J371" t="str">
        <f>VLOOKUP(I371,'Manager Coding'!C:D,2,0)</f>
        <v>#N/A</v>
      </c>
      <c r="K371" s="41" t="str">
        <f t="shared" si="8"/>
        <v/>
      </c>
      <c r="L371">
        <f t="shared" si="9"/>
        <v>0</v>
      </c>
      <c r="M371">
        <f t="shared" si="10"/>
        <v>0</v>
      </c>
      <c r="N371" s="56" t="s">
        <v>1146</v>
      </c>
      <c r="P371" s="41"/>
      <c r="Q371" s="41"/>
      <c r="T371">
        <f t="shared" si="11"/>
        <v>0</v>
      </c>
    </row>
    <row r="372" hidden="1">
      <c r="A372" s="32" t="str">
        <f t="shared" si="1"/>
        <v>#N/A</v>
      </c>
      <c r="B372" s="32" t="str">
        <f t="shared" si="2"/>
        <v>#N/A</v>
      </c>
      <c r="C372" s="32" t="str">
        <f t="shared" si="3"/>
        <v>Week 14</v>
      </c>
      <c r="D372" s="32">
        <v>2019.0</v>
      </c>
      <c r="E372" t="str">
        <f t="shared" si="4"/>
        <v>14</v>
      </c>
      <c r="F372" t="str">
        <f t="shared" si="5"/>
        <v/>
      </c>
      <c r="G372" s="40" t="str">
        <f>VLOOKUP(F372,'Manager Coding'!C:D,2,0)</f>
        <v>#N/A</v>
      </c>
      <c r="H372" s="41" t="str">
        <f t="shared" si="6"/>
        <v/>
      </c>
      <c r="I372" t="str">
        <f t="shared" si="7"/>
        <v/>
      </c>
      <c r="J372" t="str">
        <f>VLOOKUP(I372,'Manager Coding'!C:D,2,0)</f>
        <v>#N/A</v>
      </c>
      <c r="K372" s="41" t="str">
        <f t="shared" si="8"/>
        <v/>
      </c>
      <c r="L372">
        <f t="shared" si="9"/>
        <v>0</v>
      </c>
      <c r="M372">
        <f t="shared" si="10"/>
        <v>0</v>
      </c>
      <c r="N372" s="56" t="s">
        <v>1149</v>
      </c>
      <c r="P372" s="41"/>
      <c r="Q372" s="41"/>
      <c r="T372">
        <f t="shared" si="11"/>
        <v>0</v>
      </c>
    </row>
    <row r="373" hidden="1">
      <c r="A373" s="32" t="str">
        <f t="shared" si="1"/>
        <v>#N/A</v>
      </c>
      <c r="B373" s="32" t="str">
        <f t="shared" si="2"/>
        <v>#N/A</v>
      </c>
      <c r="C373" s="32" t="str">
        <f t="shared" si="3"/>
        <v>Week 14</v>
      </c>
      <c r="D373" s="32">
        <v>2019.0</v>
      </c>
      <c r="E373" t="str">
        <f t="shared" si="4"/>
        <v>14</v>
      </c>
      <c r="F373" t="str">
        <f t="shared" si="5"/>
        <v/>
      </c>
      <c r="G373" s="40" t="str">
        <f>VLOOKUP(F373,'Manager Coding'!C:D,2,0)</f>
        <v>#N/A</v>
      </c>
      <c r="H373" s="41" t="str">
        <f t="shared" si="6"/>
        <v/>
      </c>
      <c r="I373" t="str">
        <f t="shared" si="7"/>
        <v/>
      </c>
      <c r="J373" t="str">
        <f>VLOOKUP(I373,'Manager Coding'!C:D,2,0)</f>
        <v>#N/A</v>
      </c>
      <c r="K373" s="41" t="str">
        <f t="shared" si="8"/>
        <v/>
      </c>
      <c r="L373">
        <f t="shared" si="9"/>
        <v>0</v>
      </c>
      <c r="M373">
        <f t="shared" si="10"/>
        <v>0</v>
      </c>
      <c r="N373" s="57" t="s">
        <v>530</v>
      </c>
      <c r="P373" s="41"/>
      <c r="Q373" s="41"/>
      <c r="T373">
        <f t="shared" si="11"/>
        <v>0</v>
      </c>
    </row>
    <row r="374" hidden="1">
      <c r="A374" s="32" t="str">
        <f t="shared" si="1"/>
        <v>#N/A</v>
      </c>
      <c r="B374" s="32" t="str">
        <f t="shared" si="2"/>
        <v>#N/A</v>
      </c>
      <c r="C374" s="32" t="str">
        <f t="shared" si="3"/>
        <v>Week 15</v>
      </c>
      <c r="D374" s="32">
        <v>2019.0</v>
      </c>
      <c r="E374" t="str">
        <f t="shared" si="4"/>
        <v>15</v>
      </c>
      <c r="F374" t="str">
        <f t="shared" si="5"/>
        <v>TEAM MANAGER(S)</v>
      </c>
      <c r="G374" s="40" t="str">
        <f>VLOOKUP(F374,'Manager Coding'!C:D,2,0)</f>
        <v>#N/A</v>
      </c>
      <c r="H374" s="41" t="str">
        <f t="shared" si="6"/>
        <v>SCORE</v>
      </c>
      <c r="I374" t="str">
        <f t="shared" si="7"/>
        <v>TEAM MANAGER(S)</v>
      </c>
      <c r="J374" t="str">
        <f>VLOOKUP(I374,'Manager Coding'!C:D,2,0)</f>
        <v>#N/A</v>
      </c>
      <c r="K374" s="41" t="str">
        <f t="shared" si="8"/>
        <v>SCORE</v>
      </c>
      <c r="L374">
        <f t="shared" si="9"/>
        <v>0</v>
      </c>
      <c r="M374">
        <f t="shared" si="10"/>
        <v>0</v>
      </c>
      <c r="N374" s="24" t="s">
        <v>197</v>
      </c>
      <c r="O374" s="24" t="s">
        <v>88</v>
      </c>
      <c r="P374" s="26" t="s">
        <v>94</v>
      </c>
      <c r="Q374" s="27" t="s">
        <v>94</v>
      </c>
      <c r="R374" s="30" t="s">
        <v>88</v>
      </c>
      <c r="S374" s="30" t="s">
        <v>101</v>
      </c>
      <c r="T374">
        <f t="shared" si="11"/>
        <v>0</v>
      </c>
    </row>
    <row r="375" hidden="1">
      <c r="A375" s="32" t="str">
        <f t="shared" si="1"/>
        <v>2019T-HowWeek 15</v>
      </c>
      <c r="B375" s="32" t="str">
        <f t="shared" si="2"/>
        <v>2019PiersonWeek 15</v>
      </c>
      <c r="C375" s="32" t="str">
        <f t="shared" si="3"/>
        <v>Week 15</v>
      </c>
      <c r="D375" s="32">
        <v>2019.0</v>
      </c>
      <c r="E375" t="str">
        <f t="shared" si="4"/>
        <v>15</v>
      </c>
      <c r="F375" t="str">
        <f t="shared" si="5"/>
        <v>Tyler Howard</v>
      </c>
      <c r="G375" s="40" t="str">
        <f>VLOOKUP(F375,'Manager Coding'!C:D,2,0)</f>
        <v>T-How</v>
      </c>
      <c r="H375" s="41">
        <f t="shared" si="6"/>
        <v>104.16</v>
      </c>
      <c r="I375" t="str">
        <f t="shared" si="7"/>
        <v>Pierson Curtis</v>
      </c>
      <c r="J375" t="str">
        <f>VLOOKUP(I375,'Manager Coding'!C:D,2,0)</f>
        <v>Pierson</v>
      </c>
      <c r="K375" s="41">
        <f t="shared" si="8"/>
        <v>158.38</v>
      </c>
      <c r="L375">
        <f t="shared" si="9"/>
        <v>0</v>
      </c>
      <c r="M375">
        <f t="shared" si="10"/>
        <v>1</v>
      </c>
      <c r="N375" s="54" t="s">
        <v>928</v>
      </c>
      <c r="O375" s="55" t="s">
        <v>85</v>
      </c>
      <c r="P375" s="67">
        <v>104.16</v>
      </c>
      <c r="Q375" s="68">
        <v>158.38</v>
      </c>
      <c r="R375" s="48" t="s">
        <v>93</v>
      </c>
      <c r="S375" s="54" t="s">
        <v>914</v>
      </c>
      <c r="T375">
        <f t="shared" si="11"/>
        <v>54.22</v>
      </c>
    </row>
    <row r="376" hidden="1">
      <c r="A376" s="32" t="str">
        <f t="shared" si="1"/>
        <v>2019TayskiWeek 15</v>
      </c>
      <c r="B376" s="32" t="str">
        <f t="shared" si="2"/>
        <v>2019HudspeathWeek 15</v>
      </c>
      <c r="C376" s="32" t="str">
        <f t="shared" si="3"/>
        <v>Week 15</v>
      </c>
      <c r="D376" s="32">
        <v>2019.0</v>
      </c>
      <c r="E376" t="str">
        <f t="shared" si="4"/>
        <v>15</v>
      </c>
      <c r="F376" t="str">
        <f t="shared" si="5"/>
        <v>Taylor Weis</v>
      </c>
      <c r="G376" s="40" t="str">
        <f>VLOOKUP(F376,'Manager Coding'!C:D,2,0)</f>
        <v>Tayski</v>
      </c>
      <c r="H376" s="41">
        <f t="shared" si="6"/>
        <v>80.02</v>
      </c>
      <c r="I376" t="str">
        <f t="shared" si="7"/>
        <v>matt hudspeath</v>
      </c>
      <c r="J376" t="str">
        <f>VLOOKUP(I376,'Manager Coding'!C:D,2,0)</f>
        <v>Hudspeath</v>
      </c>
      <c r="K376" s="41">
        <f t="shared" si="8"/>
        <v>128.02</v>
      </c>
      <c r="L376">
        <f t="shared" si="9"/>
        <v>0</v>
      </c>
      <c r="M376">
        <f t="shared" si="10"/>
        <v>1</v>
      </c>
      <c r="N376" s="54" t="s">
        <v>930</v>
      </c>
      <c r="O376" s="55" t="s">
        <v>54</v>
      </c>
      <c r="P376" s="67">
        <v>80.02</v>
      </c>
      <c r="Q376" s="68">
        <v>128.02</v>
      </c>
      <c r="R376" s="48" t="s">
        <v>64</v>
      </c>
      <c r="S376" s="54" t="s">
        <v>922</v>
      </c>
      <c r="T376">
        <f t="shared" si="11"/>
        <v>48</v>
      </c>
    </row>
    <row r="377" hidden="1">
      <c r="A377" s="32" t="str">
        <f t="shared" si="1"/>
        <v>2019BuserWeek 15</v>
      </c>
      <c r="B377" s="32" t="str">
        <f t="shared" si="2"/>
        <v>2019Rooney/JacksonWeek 15</v>
      </c>
      <c r="C377" s="32" t="str">
        <f t="shared" si="3"/>
        <v>Week 15</v>
      </c>
      <c r="D377" s="32">
        <v>2019.0</v>
      </c>
      <c r="E377" t="str">
        <f t="shared" si="4"/>
        <v>15</v>
      </c>
      <c r="F377" t="str">
        <f t="shared" si="5"/>
        <v>Ed Buser</v>
      </c>
      <c r="G377" s="40" t="str">
        <f>VLOOKUP(F377,'Manager Coding'!C:D,2,0)</f>
        <v>Buser</v>
      </c>
      <c r="H377" s="41">
        <f t="shared" si="6"/>
        <v>86.94</v>
      </c>
      <c r="I377" t="str">
        <f t="shared" si="7"/>
        <v>Stephen Rooney, Jackson Sattell</v>
      </c>
      <c r="J377" t="str">
        <f>VLOOKUP(I377,'Manager Coding'!C:D,2,0)</f>
        <v>Rooney/Jackson</v>
      </c>
      <c r="K377" s="41">
        <f t="shared" si="8"/>
        <v>114.58</v>
      </c>
      <c r="L377">
        <f t="shared" si="9"/>
        <v>0</v>
      </c>
      <c r="M377">
        <f t="shared" si="10"/>
        <v>1</v>
      </c>
      <c r="N377" s="54" t="s">
        <v>929</v>
      </c>
      <c r="O377" s="55" t="s">
        <v>50</v>
      </c>
      <c r="P377" s="67">
        <v>86.94</v>
      </c>
      <c r="Q377" s="68">
        <v>114.58</v>
      </c>
      <c r="R377" s="48" t="s">
        <v>58</v>
      </c>
      <c r="S377" s="54" t="s">
        <v>927</v>
      </c>
      <c r="T377">
        <f t="shared" si="11"/>
        <v>27.64</v>
      </c>
    </row>
    <row r="378" hidden="1">
      <c r="A378" s="32" t="str">
        <f t="shared" si="1"/>
        <v>2019RileyWeek 15</v>
      </c>
      <c r="B378" s="32" t="str">
        <f t="shared" si="2"/>
        <v>2019CockWeek 15</v>
      </c>
      <c r="C378" s="32" t="str">
        <f t="shared" si="3"/>
        <v>Week 15</v>
      </c>
      <c r="D378" s="32">
        <v>2019.0</v>
      </c>
      <c r="E378" t="str">
        <f t="shared" si="4"/>
        <v>15</v>
      </c>
      <c r="F378" t="str">
        <f t="shared" si="5"/>
        <v>Riley McElwain</v>
      </c>
      <c r="G378" s="40" t="str">
        <f>VLOOKUP(F378,'Manager Coding'!C:D,2,0)</f>
        <v>Riley</v>
      </c>
      <c r="H378" s="41">
        <f t="shared" si="6"/>
        <v>88.96</v>
      </c>
      <c r="I378" t="str">
        <f t="shared" si="7"/>
        <v>Jack Babcock, Chris Cochrane</v>
      </c>
      <c r="J378" t="str">
        <f>VLOOKUP(I378,'Manager Coding'!C:D,2,0)</f>
        <v>Cock</v>
      </c>
      <c r="K378" s="41">
        <f t="shared" si="8"/>
        <v>55.52</v>
      </c>
      <c r="L378">
        <f t="shared" si="9"/>
        <v>1</v>
      </c>
      <c r="M378">
        <f t="shared" si="10"/>
        <v>0</v>
      </c>
      <c r="N378" s="54" t="s">
        <v>915</v>
      </c>
      <c r="O378" s="55" t="s">
        <v>68</v>
      </c>
      <c r="P378" s="67">
        <v>88.96</v>
      </c>
      <c r="Q378" s="68">
        <v>55.52</v>
      </c>
      <c r="R378" s="48" t="s">
        <v>73</v>
      </c>
      <c r="S378" s="54" t="s">
        <v>910</v>
      </c>
      <c r="T378">
        <f t="shared" si="11"/>
        <v>33.44</v>
      </c>
    </row>
    <row r="379" hidden="1">
      <c r="A379" s="32" t="str">
        <f t="shared" si="1"/>
        <v>2019FellowsWeek 15</v>
      </c>
      <c r="B379" s="32" t="str">
        <f t="shared" si="2"/>
        <v>2019SaltyWeek 15</v>
      </c>
      <c r="C379" s="32" t="str">
        <f t="shared" si="3"/>
        <v>Week 15</v>
      </c>
      <c r="D379" s="32">
        <v>2019.0</v>
      </c>
      <c r="E379" t="str">
        <f t="shared" si="4"/>
        <v>15</v>
      </c>
      <c r="F379" t="str">
        <f t="shared" si="5"/>
        <v>Michael Fellows</v>
      </c>
      <c r="G379" s="40" t="str">
        <f>VLOOKUP(F379,'Manager Coding'!C:D,2,0)</f>
        <v>Fellows</v>
      </c>
      <c r="H379" s="41">
        <f t="shared" si="6"/>
        <v>61.38</v>
      </c>
      <c r="I379" t="str">
        <f t="shared" si="7"/>
        <v>R Saltiel</v>
      </c>
      <c r="J379" t="str">
        <f>VLOOKUP(I379,'Manager Coding'!C:D,2,0)</f>
        <v>Salty</v>
      </c>
      <c r="K379" s="41">
        <f t="shared" si="8"/>
        <v>161.12</v>
      </c>
      <c r="L379">
        <f t="shared" si="9"/>
        <v>0</v>
      </c>
      <c r="M379">
        <f t="shared" si="10"/>
        <v>1</v>
      </c>
      <c r="N379" s="54" t="s">
        <v>924</v>
      </c>
      <c r="O379" s="55" t="s">
        <v>80</v>
      </c>
      <c r="P379" s="67">
        <v>61.38</v>
      </c>
      <c r="Q379" s="68">
        <v>161.12</v>
      </c>
      <c r="R379" s="48" t="s">
        <v>77</v>
      </c>
      <c r="S379" s="54" t="s">
        <v>921</v>
      </c>
      <c r="T379">
        <f t="shared" si="11"/>
        <v>99.74</v>
      </c>
    </row>
    <row r="380" hidden="1">
      <c r="A380" s="32" t="str">
        <f t="shared" si="1"/>
        <v>2019ShepWeek 15</v>
      </c>
      <c r="B380" s="32" t="str">
        <f t="shared" si="2"/>
        <v>2019KnardDawgWeek 15</v>
      </c>
      <c r="C380" s="32" t="str">
        <f t="shared" si="3"/>
        <v>Week 15</v>
      </c>
      <c r="D380" s="32">
        <v>2019.0</v>
      </c>
      <c r="E380" t="str">
        <f t="shared" si="4"/>
        <v>15</v>
      </c>
      <c r="F380" t="str">
        <f t="shared" si="5"/>
        <v>Jordan Shepherd</v>
      </c>
      <c r="G380" s="40" t="str">
        <f>VLOOKUP(F380,'Manager Coding'!C:D,2,0)</f>
        <v>Shep</v>
      </c>
      <c r="H380" s="41">
        <f t="shared" si="6"/>
        <v>75</v>
      </c>
      <c r="I380" t="str">
        <f t="shared" si="7"/>
        <v>Jack Reilly, Alex Kinniard</v>
      </c>
      <c r="J380" t="str">
        <f>VLOOKUP(I380,'Manager Coding'!C:D,2,0)</f>
        <v>KnardDawg</v>
      </c>
      <c r="K380" s="41">
        <f t="shared" si="8"/>
        <v>69.6</v>
      </c>
      <c r="L380">
        <f t="shared" si="9"/>
        <v>1</v>
      </c>
      <c r="M380">
        <f t="shared" si="10"/>
        <v>0</v>
      </c>
      <c r="N380" s="54" t="s">
        <v>923</v>
      </c>
      <c r="O380" s="55" t="s">
        <v>91</v>
      </c>
      <c r="P380" s="67">
        <v>75.0</v>
      </c>
      <c r="Q380" s="68">
        <v>69.6</v>
      </c>
      <c r="R380" s="48" t="s">
        <v>96</v>
      </c>
      <c r="S380" s="54" t="s">
        <v>912</v>
      </c>
      <c r="T380">
        <f t="shared" si="11"/>
        <v>5.4</v>
      </c>
    </row>
    <row r="381" hidden="1">
      <c r="A381" s="32" t="str">
        <f t="shared" si="1"/>
        <v>#N/A</v>
      </c>
      <c r="B381" s="32" t="str">
        <f t="shared" si="2"/>
        <v>#N/A</v>
      </c>
      <c r="C381" s="32" t="str">
        <f t="shared" si="3"/>
        <v>Week 15</v>
      </c>
      <c r="D381" s="32">
        <v>2019.0</v>
      </c>
      <c r="E381" t="str">
        <f t="shared" si="4"/>
        <v>15</v>
      </c>
      <c r="F381" t="str">
        <f t="shared" si="5"/>
        <v/>
      </c>
      <c r="G381" s="40" t="str">
        <f>VLOOKUP(F381,'Manager Coding'!C:D,2,0)</f>
        <v>#N/A</v>
      </c>
      <c r="H381" s="41" t="str">
        <f t="shared" si="6"/>
        <v/>
      </c>
      <c r="I381" t="str">
        <f t="shared" si="7"/>
        <v/>
      </c>
      <c r="J381" t="str">
        <f>VLOOKUP(I381,'Manager Coding'!C:D,2,0)</f>
        <v>#N/A</v>
      </c>
      <c r="K381" s="41" t="str">
        <f t="shared" si="8"/>
        <v/>
      </c>
      <c r="L381">
        <f t="shared" si="9"/>
        <v>0</v>
      </c>
      <c r="M381">
        <f t="shared" si="10"/>
        <v>0</v>
      </c>
      <c r="N381" s="53" t="s">
        <v>554</v>
      </c>
      <c r="P381" s="41"/>
      <c r="Q381" s="41"/>
      <c r="T381">
        <f t="shared" si="11"/>
        <v>0</v>
      </c>
    </row>
    <row r="382" hidden="1">
      <c r="A382" s="32" t="str">
        <f t="shared" si="1"/>
        <v>#N/A</v>
      </c>
      <c r="B382" s="32" t="str">
        <f t="shared" si="2"/>
        <v>#N/A</v>
      </c>
      <c r="C382" s="32" t="str">
        <f t="shared" si="3"/>
        <v>Week 16</v>
      </c>
      <c r="D382" s="32">
        <v>2019.0</v>
      </c>
      <c r="E382" t="str">
        <f t="shared" si="4"/>
        <v>16</v>
      </c>
      <c r="F382" t="str">
        <f t="shared" si="5"/>
        <v>TEAM MANAGER(S)</v>
      </c>
      <c r="G382" s="40" t="str">
        <f>VLOOKUP(F382,'Manager Coding'!C:D,2,0)</f>
        <v>#N/A</v>
      </c>
      <c r="H382" s="41" t="str">
        <f t="shared" si="6"/>
        <v>SCORE</v>
      </c>
      <c r="I382" t="str">
        <f t="shared" si="7"/>
        <v>TEAM MANAGER(S)</v>
      </c>
      <c r="J382" t="str">
        <f>VLOOKUP(I382,'Manager Coding'!C:D,2,0)</f>
        <v>#N/A</v>
      </c>
      <c r="K382" s="41" t="str">
        <f t="shared" si="8"/>
        <v>SCORE</v>
      </c>
      <c r="L382">
        <f t="shared" si="9"/>
        <v>0</v>
      </c>
      <c r="M382">
        <f t="shared" si="10"/>
        <v>0</v>
      </c>
      <c r="N382" s="24" t="s">
        <v>197</v>
      </c>
      <c r="O382" s="24" t="s">
        <v>88</v>
      </c>
      <c r="P382" s="26" t="s">
        <v>94</v>
      </c>
      <c r="Q382" s="27" t="s">
        <v>94</v>
      </c>
      <c r="R382" s="30" t="s">
        <v>88</v>
      </c>
      <c r="S382" s="30" t="s">
        <v>101</v>
      </c>
      <c r="T382">
        <f t="shared" si="11"/>
        <v>0</v>
      </c>
    </row>
    <row r="383" hidden="1">
      <c r="A383" s="32" t="str">
        <f t="shared" si="1"/>
        <v>2019HudspeathWeek 16</v>
      </c>
      <c r="B383" s="32" t="str">
        <f t="shared" si="2"/>
        <v>2019PiersonWeek 16</v>
      </c>
      <c r="C383" s="32" t="str">
        <f t="shared" si="3"/>
        <v>Week 16</v>
      </c>
      <c r="D383" s="32">
        <v>2019.0</v>
      </c>
      <c r="E383" t="str">
        <f t="shared" si="4"/>
        <v>16</v>
      </c>
      <c r="F383" t="str">
        <f t="shared" si="5"/>
        <v>matt hudspeath</v>
      </c>
      <c r="G383" s="40" t="str">
        <f>VLOOKUP(F383,'Manager Coding'!C:D,2,0)</f>
        <v>Hudspeath</v>
      </c>
      <c r="H383" s="41">
        <f t="shared" si="6"/>
        <v>132.6</v>
      </c>
      <c r="I383" t="str">
        <f t="shared" si="7"/>
        <v>Pierson Curtis</v>
      </c>
      <c r="J383" t="str">
        <f>VLOOKUP(I383,'Manager Coding'!C:D,2,0)</f>
        <v>Pierson</v>
      </c>
      <c r="K383" s="41">
        <f t="shared" si="8"/>
        <v>124.02</v>
      </c>
      <c r="L383">
        <f t="shared" si="9"/>
        <v>1</v>
      </c>
      <c r="M383">
        <f t="shared" si="10"/>
        <v>0</v>
      </c>
      <c r="N383" s="54" t="s">
        <v>922</v>
      </c>
      <c r="O383" s="55" t="s">
        <v>64</v>
      </c>
      <c r="P383" s="67">
        <v>132.6</v>
      </c>
      <c r="Q383" s="68">
        <v>124.02</v>
      </c>
      <c r="R383" s="48" t="s">
        <v>93</v>
      </c>
      <c r="S383" s="54" t="s">
        <v>914</v>
      </c>
      <c r="T383">
        <f t="shared" si="11"/>
        <v>8.58</v>
      </c>
    </row>
    <row r="384" hidden="1">
      <c r="A384" s="32" t="str">
        <f t="shared" si="1"/>
        <v>2019T-HowWeek 16</v>
      </c>
      <c r="B384" s="32" t="str">
        <f t="shared" si="2"/>
        <v>2019TayskiWeek 16</v>
      </c>
      <c r="C384" s="32" t="str">
        <f t="shared" si="3"/>
        <v>Week 16</v>
      </c>
      <c r="D384" s="32">
        <v>2019.0</v>
      </c>
      <c r="E384" t="str">
        <f t="shared" si="4"/>
        <v>16</v>
      </c>
      <c r="F384" t="str">
        <f t="shared" si="5"/>
        <v>Tyler Howard</v>
      </c>
      <c r="G384" s="40" t="str">
        <f>VLOOKUP(F384,'Manager Coding'!C:D,2,0)</f>
        <v>T-How</v>
      </c>
      <c r="H384" s="41">
        <f t="shared" si="6"/>
        <v>84.36</v>
      </c>
      <c r="I384" t="str">
        <f t="shared" si="7"/>
        <v>Taylor Weis</v>
      </c>
      <c r="J384" t="str">
        <f>VLOOKUP(I384,'Manager Coding'!C:D,2,0)</f>
        <v>Tayski</v>
      </c>
      <c r="K384" s="41">
        <f t="shared" si="8"/>
        <v>72.26</v>
      </c>
      <c r="L384">
        <f t="shared" si="9"/>
        <v>1</v>
      </c>
      <c r="M384">
        <f t="shared" si="10"/>
        <v>0</v>
      </c>
      <c r="N384" s="54" t="s">
        <v>928</v>
      </c>
      <c r="O384" s="55" t="s">
        <v>85</v>
      </c>
      <c r="P384" s="67">
        <v>84.36</v>
      </c>
      <c r="Q384" s="68">
        <v>72.26</v>
      </c>
      <c r="R384" s="48" t="s">
        <v>54</v>
      </c>
      <c r="S384" s="54" t="s">
        <v>930</v>
      </c>
      <c r="T384">
        <f t="shared" si="11"/>
        <v>12.1</v>
      </c>
    </row>
    <row r="385" hidden="1">
      <c r="A385" s="32" t="str">
        <f t="shared" si="1"/>
        <v>2019BuserWeek 16</v>
      </c>
      <c r="B385" s="32" t="str">
        <f t="shared" si="2"/>
        <v>2019Rooney/JacksonWeek 16</v>
      </c>
      <c r="C385" s="32" t="str">
        <f t="shared" si="3"/>
        <v>Week 16</v>
      </c>
      <c r="D385" s="32">
        <v>2019.0</v>
      </c>
      <c r="E385" t="str">
        <f t="shared" si="4"/>
        <v>16</v>
      </c>
      <c r="F385" t="str">
        <f t="shared" si="5"/>
        <v>Ed Buser</v>
      </c>
      <c r="G385" s="40" t="str">
        <f>VLOOKUP(F385,'Manager Coding'!C:D,2,0)</f>
        <v>Buser</v>
      </c>
      <c r="H385" s="41">
        <f t="shared" si="6"/>
        <v>85.16</v>
      </c>
      <c r="I385" t="str">
        <f t="shared" si="7"/>
        <v>Stephen Rooney, Jackson Sattell</v>
      </c>
      <c r="J385" t="str">
        <f>VLOOKUP(I385,'Manager Coding'!C:D,2,0)</f>
        <v>Rooney/Jackson</v>
      </c>
      <c r="K385" s="41">
        <f t="shared" si="8"/>
        <v>78.42</v>
      </c>
      <c r="L385">
        <f t="shared" si="9"/>
        <v>1</v>
      </c>
      <c r="M385">
        <f t="shared" si="10"/>
        <v>0</v>
      </c>
      <c r="N385" s="54" t="s">
        <v>929</v>
      </c>
      <c r="O385" s="55" t="s">
        <v>50</v>
      </c>
      <c r="P385" s="67">
        <v>85.16</v>
      </c>
      <c r="Q385" s="68">
        <v>78.42</v>
      </c>
      <c r="R385" s="48" t="s">
        <v>58</v>
      </c>
      <c r="S385" s="54" t="s">
        <v>927</v>
      </c>
      <c r="T385">
        <f t="shared" si="11"/>
        <v>6.74</v>
      </c>
    </row>
    <row r="386" hidden="1">
      <c r="A386" s="32" t="str">
        <f t="shared" si="1"/>
        <v>2019RileyWeek 16</v>
      </c>
      <c r="B386" s="32" t="str">
        <f t="shared" si="2"/>
        <v>2019SaltyWeek 16</v>
      </c>
      <c r="C386" s="32" t="str">
        <f t="shared" si="3"/>
        <v>Week 16</v>
      </c>
      <c r="D386" s="32">
        <v>2019.0</v>
      </c>
      <c r="E386" t="str">
        <f t="shared" si="4"/>
        <v>16</v>
      </c>
      <c r="F386" t="str">
        <f t="shared" si="5"/>
        <v>Riley McElwain</v>
      </c>
      <c r="G386" s="40" t="str">
        <f>VLOOKUP(F386,'Manager Coding'!C:D,2,0)</f>
        <v>Riley</v>
      </c>
      <c r="H386" s="41">
        <f t="shared" si="6"/>
        <v>111.22</v>
      </c>
      <c r="I386" t="str">
        <f t="shared" si="7"/>
        <v>R Saltiel</v>
      </c>
      <c r="J386" t="str">
        <f>VLOOKUP(I386,'Manager Coding'!C:D,2,0)</f>
        <v>Salty</v>
      </c>
      <c r="K386" s="41">
        <f t="shared" si="8"/>
        <v>90.64</v>
      </c>
      <c r="L386">
        <f t="shared" si="9"/>
        <v>1</v>
      </c>
      <c r="M386">
        <f t="shared" si="10"/>
        <v>0</v>
      </c>
      <c r="N386" s="54" t="s">
        <v>915</v>
      </c>
      <c r="O386" s="55" t="s">
        <v>68</v>
      </c>
      <c r="P386" s="67">
        <v>111.22</v>
      </c>
      <c r="Q386" s="68">
        <v>90.64</v>
      </c>
      <c r="R386" s="48" t="s">
        <v>77</v>
      </c>
      <c r="S386" s="54" t="s">
        <v>921</v>
      </c>
      <c r="T386">
        <f t="shared" si="11"/>
        <v>20.58</v>
      </c>
    </row>
    <row r="387" hidden="1">
      <c r="A387" s="32" t="str">
        <f t="shared" si="1"/>
        <v>2019ShepWeek 16</v>
      </c>
      <c r="B387" s="32" t="str">
        <f t="shared" si="2"/>
        <v>2019CockWeek 16</v>
      </c>
      <c r="C387" s="32" t="str">
        <f t="shared" si="3"/>
        <v>Week 16</v>
      </c>
      <c r="D387" s="32">
        <v>2019.0</v>
      </c>
      <c r="E387" t="str">
        <f t="shared" si="4"/>
        <v>16</v>
      </c>
      <c r="F387" t="str">
        <f t="shared" si="5"/>
        <v>Jordan Shepherd</v>
      </c>
      <c r="G387" s="40" t="str">
        <f>VLOOKUP(F387,'Manager Coding'!C:D,2,0)</f>
        <v>Shep</v>
      </c>
      <c r="H387" s="41">
        <f t="shared" si="6"/>
        <v>76.86</v>
      </c>
      <c r="I387" t="str">
        <f t="shared" si="7"/>
        <v>Jack Babcock, Chris Cochrane</v>
      </c>
      <c r="J387" t="str">
        <f>VLOOKUP(I387,'Manager Coding'!C:D,2,0)</f>
        <v>Cock</v>
      </c>
      <c r="K387" s="41">
        <f t="shared" si="8"/>
        <v>91.04</v>
      </c>
      <c r="L387">
        <f t="shared" si="9"/>
        <v>0</v>
      </c>
      <c r="M387">
        <f t="shared" si="10"/>
        <v>1</v>
      </c>
      <c r="N387" s="54" t="s">
        <v>923</v>
      </c>
      <c r="O387" s="55" t="s">
        <v>91</v>
      </c>
      <c r="P387" s="67">
        <v>76.86</v>
      </c>
      <c r="Q387" s="68">
        <v>91.04</v>
      </c>
      <c r="R387" s="48" t="s">
        <v>73</v>
      </c>
      <c r="S387" s="54" t="s">
        <v>910</v>
      </c>
      <c r="T387">
        <f t="shared" si="11"/>
        <v>14.18</v>
      </c>
    </row>
    <row r="388" hidden="1">
      <c r="A388" s="32" t="str">
        <f t="shared" si="1"/>
        <v>2019FellowsWeek 16</v>
      </c>
      <c r="B388" s="32" t="str">
        <f t="shared" si="2"/>
        <v>2019KnardDawgWeek 16</v>
      </c>
      <c r="C388" s="32" t="str">
        <f t="shared" si="3"/>
        <v>Week 16</v>
      </c>
      <c r="D388" s="32">
        <v>2019.0</v>
      </c>
      <c r="E388" t="str">
        <f t="shared" si="4"/>
        <v>16</v>
      </c>
      <c r="F388" t="str">
        <f t="shared" si="5"/>
        <v>Michael Fellows</v>
      </c>
      <c r="G388" s="40" t="str">
        <f>VLOOKUP(F388,'Manager Coding'!C:D,2,0)</f>
        <v>Fellows</v>
      </c>
      <c r="H388" s="41">
        <f t="shared" si="6"/>
        <v>70.7</v>
      </c>
      <c r="I388" t="str">
        <f t="shared" si="7"/>
        <v>Jack Reilly, Alex Kinniard</v>
      </c>
      <c r="J388" t="str">
        <f>VLOOKUP(I388,'Manager Coding'!C:D,2,0)</f>
        <v>KnardDawg</v>
      </c>
      <c r="K388" s="41">
        <f t="shared" si="8"/>
        <v>66.84</v>
      </c>
      <c r="L388">
        <f t="shared" si="9"/>
        <v>1</v>
      </c>
      <c r="M388">
        <f t="shared" si="10"/>
        <v>0</v>
      </c>
      <c r="N388" s="54" t="s">
        <v>924</v>
      </c>
      <c r="O388" s="55" t="s">
        <v>80</v>
      </c>
      <c r="P388" s="67">
        <v>70.7</v>
      </c>
      <c r="Q388" s="68">
        <v>66.84</v>
      </c>
      <c r="R388" s="48" t="s">
        <v>96</v>
      </c>
      <c r="S388" s="54" t="s">
        <v>912</v>
      </c>
      <c r="T388">
        <f t="shared" si="11"/>
        <v>3.86</v>
      </c>
    </row>
    <row r="389" hidden="1">
      <c r="A389" s="32" t="str">
        <f t="shared" si="1"/>
        <v>#N/A</v>
      </c>
      <c r="B389" s="32" t="str">
        <f t="shared" si="2"/>
        <v>#N/A</v>
      </c>
      <c r="C389" s="32" t="str">
        <f t="shared" si="3"/>
        <v>Week 16</v>
      </c>
      <c r="D389" s="32">
        <v>2020.0</v>
      </c>
      <c r="E389" t="str">
        <f t="shared" si="4"/>
        <v>16</v>
      </c>
      <c r="F389" t="str">
        <f t="shared" si="5"/>
        <v/>
      </c>
      <c r="G389" s="40" t="str">
        <f>VLOOKUP(F389,'Manager Coding'!C:D,2,0)</f>
        <v>#N/A</v>
      </c>
      <c r="H389" s="41" t="str">
        <f t="shared" si="6"/>
        <v/>
      </c>
      <c r="I389" t="str">
        <f t="shared" si="7"/>
        <v/>
      </c>
      <c r="J389" t="str">
        <f>VLOOKUP(I389,'Manager Coding'!C:D,2,0)</f>
        <v>#N/A</v>
      </c>
      <c r="K389" s="41" t="str">
        <f t="shared" si="8"/>
        <v/>
      </c>
      <c r="L389">
        <f t="shared" si="9"/>
        <v>0</v>
      </c>
      <c r="M389">
        <f t="shared" si="10"/>
        <v>0</v>
      </c>
      <c r="N389" s="66" t="s">
        <v>83</v>
      </c>
      <c r="P389" s="41"/>
      <c r="Q389" s="41"/>
      <c r="T389">
        <f t="shared" si="11"/>
        <v>0</v>
      </c>
    </row>
    <row r="390" hidden="1">
      <c r="A390" s="32" t="str">
        <f t="shared" si="1"/>
        <v>#N/A</v>
      </c>
      <c r="B390" s="32" t="str">
        <f t="shared" si="2"/>
        <v>#N/A</v>
      </c>
      <c r="C390" s="32" t="str">
        <f t="shared" si="3"/>
        <v>Week 1</v>
      </c>
      <c r="D390" s="32">
        <v>2020.0</v>
      </c>
      <c r="E390" t="str">
        <f t="shared" si="4"/>
        <v>1</v>
      </c>
      <c r="F390" t="str">
        <f t="shared" si="5"/>
        <v>TEAM MANAGER(S)</v>
      </c>
      <c r="G390" s="40" t="str">
        <f>VLOOKUP(F390,'Manager Coding'!C:D,2,0)</f>
        <v>#N/A</v>
      </c>
      <c r="H390" s="41" t="str">
        <f t="shared" si="6"/>
        <v>SCORE</v>
      </c>
      <c r="I390" t="str">
        <f t="shared" si="7"/>
        <v>TEAM MANAGER(S)</v>
      </c>
      <c r="J390" t="str">
        <f>VLOOKUP(I390,'Manager Coding'!C:D,2,0)</f>
        <v>#N/A</v>
      </c>
      <c r="K390" s="41" t="str">
        <f t="shared" si="8"/>
        <v>SCORE</v>
      </c>
      <c r="L390">
        <f t="shared" si="9"/>
        <v>0</v>
      </c>
      <c r="M390">
        <f t="shared" si="10"/>
        <v>0</v>
      </c>
      <c r="N390" s="24" t="s">
        <v>197</v>
      </c>
      <c r="O390" s="24" t="s">
        <v>88</v>
      </c>
      <c r="P390" s="26" t="s">
        <v>94</v>
      </c>
      <c r="Q390" s="27" t="s">
        <v>94</v>
      </c>
      <c r="R390" s="30" t="s">
        <v>88</v>
      </c>
      <c r="S390" s="30" t="s">
        <v>101</v>
      </c>
      <c r="T390">
        <f t="shared" si="11"/>
        <v>0</v>
      </c>
    </row>
    <row r="391" hidden="1">
      <c r="A391" s="32" t="str">
        <f t="shared" si="1"/>
        <v>2020CockWeek 1</v>
      </c>
      <c r="B391" s="32" t="str">
        <f t="shared" si="2"/>
        <v>2020RileyWeek 1</v>
      </c>
      <c r="C391" s="32" t="str">
        <f t="shared" si="3"/>
        <v>Week 1</v>
      </c>
      <c r="D391" s="32">
        <v>2020.0</v>
      </c>
      <c r="E391" t="str">
        <f t="shared" si="4"/>
        <v>1</v>
      </c>
      <c r="F391" t="str">
        <f t="shared" si="5"/>
        <v>Jack Babcock, Chris Cochrane</v>
      </c>
      <c r="G391" s="40" t="str">
        <f>VLOOKUP(F391,'Manager Coding'!C:D,2,0)</f>
        <v>Cock</v>
      </c>
      <c r="H391" s="41">
        <f t="shared" si="6"/>
        <v>86.54</v>
      </c>
      <c r="I391" t="str">
        <f t="shared" si="7"/>
        <v>Riley McElwain</v>
      </c>
      <c r="J391" t="str">
        <f>VLOOKUP(I391,'Manager Coding'!C:D,2,0)</f>
        <v>Riley</v>
      </c>
      <c r="K391" s="41">
        <f t="shared" si="8"/>
        <v>141.48</v>
      </c>
      <c r="L391">
        <f t="shared" si="9"/>
        <v>0</v>
      </c>
      <c r="M391">
        <f t="shared" si="10"/>
        <v>1</v>
      </c>
      <c r="N391" s="54" t="s">
        <v>1185</v>
      </c>
      <c r="O391" s="55" t="s">
        <v>73</v>
      </c>
      <c r="P391" s="67">
        <v>86.54</v>
      </c>
      <c r="Q391" s="68">
        <v>141.48</v>
      </c>
      <c r="R391" s="48" t="s">
        <v>68</v>
      </c>
      <c r="S391" s="54" t="s">
        <v>1186</v>
      </c>
      <c r="T391">
        <f t="shared" si="11"/>
        <v>54.94</v>
      </c>
    </row>
    <row r="392" hidden="1">
      <c r="A392" s="32" t="str">
        <f t="shared" si="1"/>
        <v>2020KnardDawgWeek 1</v>
      </c>
      <c r="B392" s="32" t="str">
        <f t="shared" si="2"/>
        <v>2020PiersonWeek 1</v>
      </c>
      <c r="C392" s="32" t="str">
        <f t="shared" si="3"/>
        <v>Week 1</v>
      </c>
      <c r="D392" s="32">
        <v>2020.0</v>
      </c>
      <c r="E392" t="str">
        <f t="shared" si="4"/>
        <v>1</v>
      </c>
      <c r="F392" t="str">
        <f t="shared" si="5"/>
        <v>Alex Kinniard, Jack Reilly</v>
      </c>
      <c r="G392" s="40" t="str">
        <f>VLOOKUP(F392,'Manager Coding'!C:D,2,0)</f>
        <v>KnardDawg</v>
      </c>
      <c r="H392" s="41">
        <f t="shared" si="6"/>
        <v>91.52</v>
      </c>
      <c r="I392" t="str">
        <f t="shared" si="7"/>
        <v>Pierson Curtis</v>
      </c>
      <c r="J392" t="str">
        <f>VLOOKUP(I392,'Manager Coding'!C:D,2,0)</f>
        <v>Pierson</v>
      </c>
      <c r="K392" s="41">
        <f t="shared" si="8"/>
        <v>95.2</v>
      </c>
      <c r="L392">
        <f t="shared" si="9"/>
        <v>0</v>
      </c>
      <c r="M392">
        <f t="shared" si="10"/>
        <v>1</v>
      </c>
      <c r="N392" s="54" t="s">
        <v>1187</v>
      </c>
      <c r="O392" s="55" t="s">
        <v>87</v>
      </c>
      <c r="P392" s="67">
        <v>91.52</v>
      </c>
      <c r="Q392" s="68">
        <v>95.2</v>
      </c>
      <c r="R392" s="48" t="s">
        <v>93</v>
      </c>
      <c r="S392" s="54" t="s">
        <v>1190</v>
      </c>
      <c r="T392">
        <f t="shared" si="11"/>
        <v>3.68</v>
      </c>
    </row>
    <row r="393" hidden="1">
      <c r="A393" s="32" t="str">
        <f t="shared" si="1"/>
        <v>2020FellowsWeek 1</v>
      </c>
      <c r="B393" s="32" t="str">
        <f t="shared" si="2"/>
        <v>2020Rooney/JacksonWeek 1</v>
      </c>
      <c r="C393" s="32" t="str">
        <f t="shared" si="3"/>
        <v>Week 1</v>
      </c>
      <c r="D393" s="32">
        <v>2020.0</v>
      </c>
      <c r="E393" t="str">
        <f t="shared" si="4"/>
        <v>1</v>
      </c>
      <c r="F393" t="str">
        <f t="shared" si="5"/>
        <v>Michael Fellows</v>
      </c>
      <c r="G393" s="40" t="str">
        <f>VLOOKUP(F393,'Manager Coding'!C:D,2,0)</f>
        <v>Fellows</v>
      </c>
      <c r="H393" s="41">
        <f t="shared" si="6"/>
        <v>81.7</v>
      </c>
      <c r="I393" t="str">
        <f t="shared" si="7"/>
        <v>Stephen Rooney, Jackson Sattell</v>
      </c>
      <c r="J393" t="str">
        <f>VLOOKUP(I393,'Manager Coding'!C:D,2,0)</f>
        <v>Rooney/Jackson</v>
      </c>
      <c r="K393" s="41">
        <f t="shared" si="8"/>
        <v>90.98</v>
      </c>
      <c r="L393">
        <f t="shared" si="9"/>
        <v>0</v>
      </c>
      <c r="M393">
        <f t="shared" si="10"/>
        <v>1</v>
      </c>
      <c r="N393" s="54" t="s">
        <v>1191</v>
      </c>
      <c r="O393" s="55" t="s">
        <v>80</v>
      </c>
      <c r="P393" s="67">
        <v>81.7</v>
      </c>
      <c r="Q393" s="68">
        <v>90.98</v>
      </c>
      <c r="R393" s="48" t="s">
        <v>58</v>
      </c>
      <c r="S393" s="54" t="s">
        <v>1192</v>
      </c>
      <c r="T393">
        <f t="shared" si="11"/>
        <v>9.28</v>
      </c>
    </row>
    <row r="394" hidden="1">
      <c r="A394" s="32" t="str">
        <f t="shared" si="1"/>
        <v>2020ShepWeek 1</v>
      </c>
      <c r="B394" s="32" t="str">
        <f t="shared" si="2"/>
        <v>2020TayskiWeek 1</v>
      </c>
      <c r="C394" s="32" t="str">
        <f t="shared" si="3"/>
        <v>Week 1</v>
      </c>
      <c r="D394" s="32">
        <v>2020.0</v>
      </c>
      <c r="E394" t="str">
        <f t="shared" si="4"/>
        <v>1</v>
      </c>
      <c r="F394" t="str">
        <f t="shared" si="5"/>
        <v>Jordan Shepherd</v>
      </c>
      <c r="G394" s="40" t="str">
        <f>VLOOKUP(F394,'Manager Coding'!C:D,2,0)</f>
        <v>Shep</v>
      </c>
      <c r="H394" s="41">
        <f t="shared" si="6"/>
        <v>94</v>
      </c>
      <c r="I394" t="str">
        <f t="shared" si="7"/>
        <v>Taylor Weis</v>
      </c>
      <c r="J394" t="str">
        <f>VLOOKUP(I394,'Manager Coding'!C:D,2,0)</f>
        <v>Tayski</v>
      </c>
      <c r="K394" s="41">
        <f t="shared" si="8"/>
        <v>127.18</v>
      </c>
      <c r="L394">
        <f t="shared" si="9"/>
        <v>0</v>
      </c>
      <c r="M394">
        <f t="shared" si="10"/>
        <v>1</v>
      </c>
      <c r="N394" s="54" t="s">
        <v>1196</v>
      </c>
      <c r="O394" s="55" t="s">
        <v>91</v>
      </c>
      <c r="P394" s="67">
        <v>94.0</v>
      </c>
      <c r="Q394" s="68">
        <v>127.18</v>
      </c>
      <c r="R394" s="48" t="s">
        <v>54</v>
      </c>
      <c r="S394" s="54" t="s">
        <v>1197</v>
      </c>
      <c r="T394">
        <f t="shared" si="11"/>
        <v>33.18</v>
      </c>
    </row>
    <row r="395" hidden="1">
      <c r="A395" s="32" t="str">
        <f t="shared" si="1"/>
        <v>2020SaltyWeek 1</v>
      </c>
      <c r="B395" s="32" t="str">
        <f t="shared" si="2"/>
        <v>2020BuserWeek 1</v>
      </c>
      <c r="C395" s="32" t="str">
        <f t="shared" si="3"/>
        <v>Week 1</v>
      </c>
      <c r="D395" s="32">
        <v>2020.0</v>
      </c>
      <c r="E395" t="str">
        <f t="shared" si="4"/>
        <v>1</v>
      </c>
      <c r="F395" t="str">
        <f t="shared" si="5"/>
        <v>R Saltiel</v>
      </c>
      <c r="G395" s="40" t="str">
        <f>VLOOKUP(F395,'Manager Coding'!C:D,2,0)</f>
        <v>Salty</v>
      </c>
      <c r="H395" s="41">
        <f t="shared" si="6"/>
        <v>111.74</v>
      </c>
      <c r="I395" t="str">
        <f t="shared" si="7"/>
        <v>Ed Buser</v>
      </c>
      <c r="J395" t="str">
        <f>VLOOKUP(I395,'Manager Coding'!C:D,2,0)</f>
        <v>Buser</v>
      </c>
      <c r="K395" s="41">
        <f t="shared" si="8"/>
        <v>81.6</v>
      </c>
      <c r="L395">
        <f t="shared" si="9"/>
        <v>1</v>
      </c>
      <c r="M395">
        <f t="shared" si="10"/>
        <v>0</v>
      </c>
      <c r="N395" s="54" t="s">
        <v>1198</v>
      </c>
      <c r="O395" s="55" t="s">
        <v>77</v>
      </c>
      <c r="P395" s="67">
        <v>111.74</v>
      </c>
      <c r="Q395" s="68">
        <v>81.6</v>
      </c>
      <c r="R395" s="48" t="s">
        <v>50</v>
      </c>
      <c r="S395" s="54" t="s">
        <v>1199</v>
      </c>
      <c r="T395">
        <f t="shared" si="11"/>
        <v>30.14</v>
      </c>
    </row>
    <row r="396" hidden="1">
      <c r="A396" s="32" t="str">
        <f t="shared" si="1"/>
        <v>2020T-HowWeek 1</v>
      </c>
      <c r="B396" s="32" t="str">
        <f t="shared" si="2"/>
        <v>2020HudspeathWeek 1</v>
      </c>
      <c r="C396" s="32" t="str">
        <f t="shared" si="3"/>
        <v>Week 1</v>
      </c>
      <c r="D396" s="32">
        <v>2020.0</v>
      </c>
      <c r="E396" t="str">
        <f t="shared" si="4"/>
        <v>1</v>
      </c>
      <c r="F396" t="str">
        <f t="shared" si="5"/>
        <v>Tyler Howard</v>
      </c>
      <c r="G396" s="40" t="str">
        <f>VLOOKUP(F396,'Manager Coding'!C:D,2,0)</f>
        <v>T-How</v>
      </c>
      <c r="H396" s="41">
        <f t="shared" si="6"/>
        <v>115.4</v>
      </c>
      <c r="I396" t="str">
        <f t="shared" si="7"/>
        <v>matt hudspeath</v>
      </c>
      <c r="J396" t="str">
        <f>VLOOKUP(I396,'Manager Coding'!C:D,2,0)</f>
        <v>Hudspeath</v>
      </c>
      <c r="K396" s="41">
        <f t="shared" si="8"/>
        <v>88.06</v>
      </c>
      <c r="L396">
        <f t="shared" si="9"/>
        <v>1</v>
      </c>
      <c r="M396">
        <f t="shared" si="10"/>
        <v>0</v>
      </c>
      <c r="N396" s="54" t="s">
        <v>1200</v>
      </c>
      <c r="O396" s="55" t="s">
        <v>85</v>
      </c>
      <c r="P396" s="67">
        <v>115.4</v>
      </c>
      <c r="Q396" s="68">
        <v>88.06</v>
      </c>
      <c r="R396" s="48" t="s">
        <v>64</v>
      </c>
      <c r="S396" s="54" t="s">
        <v>1202</v>
      </c>
      <c r="T396">
        <f t="shared" si="11"/>
        <v>27.34</v>
      </c>
    </row>
    <row r="397" hidden="1">
      <c r="A397" s="32" t="str">
        <f t="shared" si="1"/>
        <v>#N/A</v>
      </c>
      <c r="B397" s="32" t="str">
        <f t="shared" si="2"/>
        <v>#N/A</v>
      </c>
      <c r="C397" s="32" t="str">
        <f t="shared" si="3"/>
        <v>Week 1</v>
      </c>
      <c r="D397" s="32">
        <v>2020.0</v>
      </c>
      <c r="E397" t="str">
        <f t="shared" si="4"/>
        <v>1</v>
      </c>
      <c r="F397" t="str">
        <f t="shared" si="5"/>
        <v/>
      </c>
      <c r="G397" s="40" t="str">
        <f>VLOOKUP(F397,'Manager Coding'!C:D,2,0)</f>
        <v>#N/A</v>
      </c>
      <c r="H397" s="41" t="str">
        <f t="shared" si="6"/>
        <v/>
      </c>
      <c r="I397" t="str">
        <f t="shared" si="7"/>
        <v/>
      </c>
      <c r="J397" t="str">
        <f>VLOOKUP(I397,'Manager Coding'!C:D,2,0)</f>
        <v>#N/A</v>
      </c>
      <c r="K397" s="41" t="str">
        <f t="shared" si="8"/>
        <v/>
      </c>
      <c r="L397">
        <f t="shared" si="9"/>
        <v>0</v>
      </c>
      <c r="M397">
        <f t="shared" si="10"/>
        <v>0</v>
      </c>
      <c r="N397" s="53" t="s">
        <v>196</v>
      </c>
      <c r="P397" s="41"/>
      <c r="Q397" s="41"/>
      <c r="T397">
        <f t="shared" si="11"/>
        <v>0</v>
      </c>
    </row>
    <row r="398" hidden="1">
      <c r="A398" s="32" t="str">
        <f t="shared" si="1"/>
        <v>#N/A</v>
      </c>
      <c r="B398" s="32" t="str">
        <f t="shared" si="2"/>
        <v>#N/A</v>
      </c>
      <c r="C398" s="32" t="str">
        <f t="shared" si="3"/>
        <v>Week 2</v>
      </c>
      <c r="D398" s="32">
        <v>2020.0</v>
      </c>
      <c r="E398" t="str">
        <f t="shared" si="4"/>
        <v>2</v>
      </c>
      <c r="F398" t="str">
        <f t="shared" si="5"/>
        <v>TEAM MANAGER(S)</v>
      </c>
      <c r="G398" s="40" t="str">
        <f>VLOOKUP(F398,'Manager Coding'!C:D,2,0)</f>
        <v>#N/A</v>
      </c>
      <c r="H398" s="41" t="str">
        <f t="shared" si="6"/>
        <v>SCORE</v>
      </c>
      <c r="I398" t="str">
        <f t="shared" si="7"/>
        <v>TEAM MANAGER(S)</v>
      </c>
      <c r="J398" t="str">
        <f>VLOOKUP(I398,'Manager Coding'!C:D,2,0)</f>
        <v>#N/A</v>
      </c>
      <c r="K398" s="41" t="str">
        <f t="shared" si="8"/>
        <v>SCORE</v>
      </c>
      <c r="L398">
        <f t="shared" si="9"/>
        <v>0</v>
      </c>
      <c r="M398">
        <f t="shared" si="10"/>
        <v>0</v>
      </c>
      <c r="N398" s="24" t="s">
        <v>197</v>
      </c>
      <c r="O398" s="24" t="s">
        <v>88</v>
      </c>
      <c r="P398" s="26" t="s">
        <v>94</v>
      </c>
      <c r="Q398" s="27" t="s">
        <v>94</v>
      </c>
      <c r="R398" s="30" t="s">
        <v>88</v>
      </c>
      <c r="S398" s="30" t="s">
        <v>101</v>
      </c>
      <c r="T398">
        <f t="shared" si="11"/>
        <v>0</v>
      </c>
    </row>
    <row r="399" hidden="1">
      <c r="A399" s="32" t="str">
        <f t="shared" si="1"/>
        <v>2020KnardDawgWeek 2</v>
      </c>
      <c r="B399" s="32" t="str">
        <f t="shared" si="2"/>
        <v>2020CockWeek 2</v>
      </c>
      <c r="C399" s="32" t="str">
        <f t="shared" si="3"/>
        <v>Week 2</v>
      </c>
      <c r="D399" s="32">
        <v>2020.0</v>
      </c>
      <c r="E399" t="str">
        <f t="shared" si="4"/>
        <v>2</v>
      </c>
      <c r="F399" t="str">
        <f t="shared" si="5"/>
        <v>Alex Kinniard, Jack Reilly</v>
      </c>
      <c r="G399" s="40" t="str">
        <f>VLOOKUP(F399,'Manager Coding'!C:D,2,0)</f>
        <v>KnardDawg</v>
      </c>
      <c r="H399" s="41">
        <f t="shared" si="6"/>
        <v>120.7</v>
      </c>
      <c r="I399" t="str">
        <f t="shared" si="7"/>
        <v>Jack Babcock, Chris Cochrane</v>
      </c>
      <c r="J399" t="str">
        <f>VLOOKUP(I399,'Manager Coding'!C:D,2,0)</f>
        <v>Cock</v>
      </c>
      <c r="K399" s="41">
        <f t="shared" si="8"/>
        <v>120.2</v>
      </c>
      <c r="L399">
        <f t="shared" si="9"/>
        <v>1</v>
      </c>
      <c r="M399">
        <f t="shared" si="10"/>
        <v>0</v>
      </c>
      <c r="N399" s="54" t="s">
        <v>1187</v>
      </c>
      <c r="O399" s="55" t="s">
        <v>87</v>
      </c>
      <c r="P399" s="67">
        <v>120.7</v>
      </c>
      <c r="Q399" s="68">
        <v>120.2</v>
      </c>
      <c r="R399" s="48" t="s">
        <v>73</v>
      </c>
      <c r="S399" s="54" t="s">
        <v>1185</v>
      </c>
      <c r="T399">
        <f t="shared" si="11"/>
        <v>0.5</v>
      </c>
    </row>
    <row r="400" hidden="1">
      <c r="A400" s="32" t="str">
        <f t="shared" si="1"/>
        <v>2020RileyWeek 2</v>
      </c>
      <c r="B400" s="32" t="str">
        <f t="shared" si="2"/>
        <v>2020FellowsWeek 2</v>
      </c>
      <c r="C400" s="32" t="str">
        <f t="shared" si="3"/>
        <v>Week 2</v>
      </c>
      <c r="D400" s="32">
        <v>2020.0</v>
      </c>
      <c r="E400" t="str">
        <f t="shared" si="4"/>
        <v>2</v>
      </c>
      <c r="F400" t="str">
        <f t="shared" si="5"/>
        <v>Riley McElwain</v>
      </c>
      <c r="G400" s="40" t="str">
        <f>VLOOKUP(F400,'Manager Coding'!C:D,2,0)</f>
        <v>Riley</v>
      </c>
      <c r="H400" s="41">
        <f t="shared" si="6"/>
        <v>105.82</v>
      </c>
      <c r="I400" t="str">
        <f t="shared" si="7"/>
        <v>Michael Fellows</v>
      </c>
      <c r="J400" t="str">
        <f>VLOOKUP(I400,'Manager Coding'!C:D,2,0)</f>
        <v>Fellows</v>
      </c>
      <c r="K400" s="41">
        <f t="shared" si="8"/>
        <v>122.88</v>
      </c>
      <c r="L400">
        <f t="shared" si="9"/>
        <v>0</v>
      </c>
      <c r="M400">
        <f t="shared" si="10"/>
        <v>1</v>
      </c>
      <c r="N400" s="54" t="s">
        <v>1186</v>
      </c>
      <c r="O400" s="55" t="s">
        <v>68</v>
      </c>
      <c r="P400" s="67">
        <v>105.82</v>
      </c>
      <c r="Q400" s="68">
        <v>122.88</v>
      </c>
      <c r="R400" s="48" t="s">
        <v>80</v>
      </c>
      <c r="S400" s="54" t="s">
        <v>1191</v>
      </c>
      <c r="T400">
        <f t="shared" si="11"/>
        <v>17.06</v>
      </c>
    </row>
    <row r="401" hidden="1">
      <c r="A401" s="32" t="str">
        <f t="shared" si="1"/>
        <v>2020PiersonWeek 2</v>
      </c>
      <c r="B401" s="32" t="str">
        <f t="shared" si="2"/>
        <v>2020ShepWeek 2</v>
      </c>
      <c r="C401" s="32" t="str">
        <f t="shared" si="3"/>
        <v>Week 2</v>
      </c>
      <c r="D401" s="32">
        <v>2020.0</v>
      </c>
      <c r="E401" t="str">
        <f t="shared" si="4"/>
        <v>2</v>
      </c>
      <c r="F401" t="str">
        <f t="shared" si="5"/>
        <v>Pierson Curtis</v>
      </c>
      <c r="G401" s="40" t="str">
        <f>VLOOKUP(F401,'Manager Coding'!C:D,2,0)</f>
        <v>Pierson</v>
      </c>
      <c r="H401" s="41">
        <f t="shared" si="6"/>
        <v>95.06</v>
      </c>
      <c r="I401" t="str">
        <f t="shared" si="7"/>
        <v>Jordan Shepherd</v>
      </c>
      <c r="J401" t="str">
        <f>VLOOKUP(I401,'Manager Coding'!C:D,2,0)</f>
        <v>Shep</v>
      </c>
      <c r="K401" s="41">
        <f t="shared" si="8"/>
        <v>83.5</v>
      </c>
      <c r="L401">
        <f t="shared" si="9"/>
        <v>1</v>
      </c>
      <c r="M401">
        <f t="shared" si="10"/>
        <v>0</v>
      </c>
      <c r="N401" s="54" t="s">
        <v>1190</v>
      </c>
      <c r="O401" s="55" t="s">
        <v>93</v>
      </c>
      <c r="P401" s="67">
        <v>95.06</v>
      </c>
      <c r="Q401" s="68">
        <v>83.5</v>
      </c>
      <c r="R401" s="48" t="s">
        <v>91</v>
      </c>
      <c r="S401" s="54" t="s">
        <v>1196</v>
      </c>
      <c r="T401">
        <f t="shared" si="11"/>
        <v>11.56</v>
      </c>
    </row>
    <row r="402" hidden="1">
      <c r="A402" s="32" t="str">
        <f t="shared" si="1"/>
        <v>2020Rooney/JacksonWeek 2</v>
      </c>
      <c r="B402" s="32" t="str">
        <f t="shared" si="2"/>
        <v>2020SaltyWeek 2</v>
      </c>
      <c r="C402" s="32" t="str">
        <f t="shared" si="3"/>
        <v>Week 2</v>
      </c>
      <c r="D402" s="32">
        <v>2020.0</v>
      </c>
      <c r="E402" t="str">
        <f t="shared" si="4"/>
        <v>2</v>
      </c>
      <c r="F402" t="str">
        <f t="shared" si="5"/>
        <v>Stephen Rooney, Jackson Sattell</v>
      </c>
      <c r="G402" s="40" t="str">
        <f>VLOOKUP(F402,'Manager Coding'!C:D,2,0)</f>
        <v>Rooney/Jackson</v>
      </c>
      <c r="H402" s="41">
        <f t="shared" si="6"/>
        <v>86.66</v>
      </c>
      <c r="I402" t="str">
        <f t="shared" si="7"/>
        <v>R Saltiel</v>
      </c>
      <c r="J402" t="str">
        <f>VLOOKUP(I402,'Manager Coding'!C:D,2,0)</f>
        <v>Salty</v>
      </c>
      <c r="K402" s="41">
        <f t="shared" si="8"/>
        <v>106.18</v>
      </c>
      <c r="L402">
        <f t="shared" si="9"/>
        <v>0</v>
      </c>
      <c r="M402">
        <f t="shared" si="10"/>
        <v>1</v>
      </c>
      <c r="N402" s="54" t="s">
        <v>1192</v>
      </c>
      <c r="O402" s="55" t="s">
        <v>58</v>
      </c>
      <c r="P402" s="67">
        <v>86.66</v>
      </c>
      <c r="Q402" s="68">
        <v>106.18</v>
      </c>
      <c r="R402" s="48" t="s">
        <v>77</v>
      </c>
      <c r="S402" s="54" t="s">
        <v>1198</v>
      </c>
      <c r="T402">
        <f t="shared" si="11"/>
        <v>19.52</v>
      </c>
    </row>
    <row r="403" hidden="1">
      <c r="A403" s="32" t="str">
        <f t="shared" si="1"/>
        <v>2020TayskiWeek 2</v>
      </c>
      <c r="B403" s="32" t="str">
        <f t="shared" si="2"/>
        <v>2020T-HowWeek 2</v>
      </c>
      <c r="C403" s="32" t="str">
        <f t="shared" si="3"/>
        <v>Week 2</v>
      </c>
      <c r="D403" s="32">
        <v>2020.0</v>
      </c>
      <c r="E403" t="str">
        <f t="shared" si="4"/>
        <v>2</v>
      </c>
      <c r="F403" t="str">
        <f t="shared" si="5"/>
        <v>Taylor Weis</v>
      </c>
      <c r="G403" s="40" t="str">
        <f>VLOOKUP(F403,'Manager Coding'!C:D,2,0)</f>
        <v>Tayski</v>
      </c>
      <c r="H403" s="41">
        <f t="shared" si="6"/>
        <v>150.1</v>
      </c>
      <c r="I403" t="str">
        <f t="shared" si="7"/>
        <v>Tyler Howard</v>
      </c>
      <c r="J403" t="str">
        <f>VLOOKUP(I403,'Manager Coding'!C:D,2,0)</f>
        <v>T-How</v>
      </c>
      <c r="K403" s="41">
        <f t="shared" si="8"/>
        <v>119.62</v>
      </c>
      <c r="L403">
        <f t="shared" si="9"/>
        <v>1</v>
      </c>
      <c r="M403">
        <f t="shared" si="10"/>
        <v>0</v>
      </c>
      <c r="N403" s="54" t="s">
        <v>1197</v>
      </c>
      <c r="O403" s="55" t="s">
        <v>54</v>
      </c>
      <c r="P403" s="67">
        <v>150.1</v>
      </c>
      <c r="Q403" s="68">
        <v>119.62</v>
      </c>
      <c r="R403" s="48" t="s">
        <v>85</v>
      </c>
      <c r="S403" s="54" t="s">
        <v>1200</v>
      </c>
      <c r="T403">
        <f t="shared" si="11"/>
        <v>30.48</v>
      </c>
    </row>
    <row r="404" hidden="1">
      <c r="A404" s="32" t="str">
        <f t="shared" si="1"/>
        <v>2020BuserWeek 2</v>
      </c>
      <c r="B404" s="32" t="str">
        <f t="shared" si="2"/>
        <v>2020HudspeathWeek 2</v>
      </c>
      <c r="C404" s="32" t="str">
        <f t="shared" si="3"/>
        <v>Week 2</v>
      </c>
      <c r="D404" s="32">
        <v>2020.0</v>
      </c>
      <c r="E404" t="str">
        <f t="shared" si="4"/>
        <v>2</v>
      </c>
      <c r="F404" t="str">
        <f t="shared" si="5"/>
        <v>Ed Buser</v>
      </c>
      <c r="G404" s="40" t="str">
        <f>VLOOKUP(F404,'Manager Coding'!C:D,2,0)</f>
        <v>Buser</v>
      </c>
      <c r="H404" s="41">
        <f t="shared" si="6"/>
        <v>123.94</v>
      </c>
      <c r="I404" t="str">
        <f t="shared" si="7"/>
        <v>matt hudspeath</v>
      </c>
      <c r="J404" t="str">
        <f>VLOOKUP(I404,'Manager Coding'!C:D,2,0)</f>
        <v>Hudspeath</v>
      </c>
      <c r="K404" s="41">
        <f t="shared" si="8"/>
        <v>75.18</v>
      </c>
      <c r="L404">
        <f t="shared" si="9"/>
        <v>1</v>
      </c>
      <c r="M404">
        <f t="shared" si="10"/>
        <v>0</v>
      </c>
      <c r="N404" s="54" t="s">
        <v>1199</v>
      </c>
      <c r="O404" s="55" t="s">
        <v>50</v>
      </c>
      <c r="P404" s="67">
        <v>123.94</v>
      </c>
      <c r="Q404" s="68">
        <v>75.18</v>
      </c>
      <c r="R404" s="48" t="s">
        <v>64</v>
      </c>
      <c r="S404" s="54" t="s">
        <v>1202</v>
      </c>
      <c r="T404">
        <f t="shared" si="11"/>
        <v>48.76</v>
      </c>
    </row>
    <row r="405" hidden="1">
      <c r="A405" s="32" t="str">
        <f t="shared" si="1"/>
        <v>#N/A</v>
      </c>
      <c r="B405" s="32" t="str">
        <f t="shared" si="2"/>
        <v>#N/A</v>
      </c>
      <c r="C405" s="32" t="str">
        <f t="shared" si="3"/>
        <v>Week 2</v>
      </c>
      <c r="D405" s="32">
        <v>2020.0</v>
      </c>
      <c r="E405" t="str">
        <f t="shared" si="4"/>
        <v>2</v>
      </c>
      <c r="F405" t="str">
        <f t="shared" si="5"/>
        <v/>
      </c>
      <c r="G405" s="40" t="str">
        <f>VLOOKUP(F405,'Manager Coding'!C:D,2,0)</f>
        <v>#N/A</v>
      </c>
      <c r="H405" s="41" t="str">
        <f t="shared" si="6"/>
        <v/>
      </c>
      <c r="I405" t="str">
        <f t="shared" si="7"/>
        <v/>
      </c>
      <c r="J405" t="str">
        <f>VLOOKUP(I405,'Manager Coding'!C:D,2,0)</f>
        <v>#N/A</v>
      </c>
      <c r="K405" s="41" t="str">
        <f t="shared" si="8"/>
        <v/>
      </c>
      <c r="L405">
        <f t="shared" si="9"/>
        <v>0</v>
      </c>
      <c r="M405">
        <f t="shared" si="10"/>
        <v>0</v>
      </c>
      <c r="N405" s="53" t="s">
        <v>234</v>
      </c>
      <c r="P405" s="41"/>
      <c r="Q405" s="41"/>
      <c r="T405">
        <f t="shared" si="11"/>
        <v>0</v>
      </c>
    </row>
    <row r="406" hidden="1">
      <c r="A406" s="32" t="str">
        <f t="shared" si="1"/>
        <v>#N/A</v>
      </c>
      <c r="B406" s="32" t="str">
        <f t="shared" si="2"/>
        <v>#N/A</v>
      </c>
      <c r="C406" s="32" t="str">
        <f t="shared" si="3"/>
        <v>Week 3</v>
      </c>
      <c r="D406" s="32">
        <v>2020.0</v>
      </c>
      <c r="E406" t="str">
        <f t="shared" si="4"/>
        <v>3</v>
      </c>
      <c r="F406" t="str">
        <f t="shared" si="5"/>
        <v>TEAM MANAGER(S)</v>
      </c>
      <c r="G406" s="40" t="str">
        <f>VLOOKUP(F406,'Manager Coding'!C:D,2,0)</f>
        <v>#N/A</v>
      </c>
      <c r="H406" s="41" t="str">
        <f t="shared" si="6"/>
        <v>SCORE</v>
      </c>
      <c r="I406" t="str">
        <f t="shared" si="7"/>
        <v>TEAM MANAGER(S)</v>
      </c>
      <c r="J406" t="str">
        <f>VLOOKUP(I406,'Manager Coding'!C:D,2,0)</f>
        <v>#N/A</v>
      </c>
      <c r="K406" s="41" t="str">
        <f t="shared" si="8"/>
        <v>SCORE</v>
      </c>
      <c r="L406">
        <f t="shared" si="9"/>
        <v>0</v>
      </c>
      <c r="M406">
        <f t="shared" si="10"/>
        <v>0</v>
      </c>
      <c r="N406" s="24" t="s">
        <v>197</v>
      </c>
      <c r="O406" s="24" t="s">
        <v>88</v>
      </c>
      <c r="P406" s="26" t="s">
        <v>94</v>
      </c>
      <c r="Q406" s="27" t="s">
        <v>94</v>
      </c>
      <c r="R406" s="30" t="s">
        <v>88</v>
      </c>
      <c r="S406" s="30" t="s">
        <v>101</v>
      </c>
      <c r="T406">
        <f t="shared" si="11"/>
        <v>0</v>
      </c>
    </row>
    <row r="407" hidden="1">
      <c r="A407" s="32" t="str">
        <f t="shared" si="1"/>
        <v>2020CockWeek 3</v>
      </c>
      <c r="B407" s="32" t="str">
        <f t="shared" si="2"/>
        <v>2020FellowsWeek 3</v>
      </c>
      <c r="C407" s="32" t="str">
        <f t="shared" si="3"/>
        <v>Week 3</v>
      </c>
      <c r="D407" s="32">
        <v>2020.0</v>
      </c>
      <c r="E407" t="str">
        <f t="shared" si="4"/>
        <v>3</v>
      </c>
      <c r="F407" t="str">
        <f t="shared" si="5"/>
        <v>Jack Babcock, Chris Cochrane</v>
      </c>
      <c r="G407" s="40" t="str">
        <f>VLOOKUP(F407,'Manager Coding'!C:D,2,0)</f>
        <v>Cock</v>
      </c>
      <c r="H407" s="41">
        <f t="shared" si="6"/>
        <v>99.48</v>
      </c>
      <c r="I407" t="str">
        <f t="shared" si="7"/>
        <v>Michael Fellows</v>
      </c>
      <c r="J407" t="str">
        <f>VLOOKUP(I407,'Manager Coding'!C:D,2,0)</f>
        <v>Fellows</v>
      </c>
      <c r="K407" s="41">
        <f t="shared" si="8"/>
        <v>105.48</v>
      </c>
      <c r="L407">
        <f t="shared" si="9"/>
        <v>0</v>
      </c>
      <c r="M407">
        <f t="shared" si="10"/>
        <v>1</v>
      </c>
      <c r="N407" s="54" t="s">
        <v>1185</v>
      </c>
      <c r="O407" s="55" t="s">
        <v>73</v>
      </c>
      <c r="P407" s="67">
        <v>99.48</v>
      </c>
      <c r="Q407" s="68">
        <v>105.48</v>
      </c>
      <c r="R407" s="48" t="s">
        <v>80</v>
      </c>
      <c r="S407" s="54" t="s">
        <v>1191</v>
      </c>
      <c r="T407">
        <f t="shared" si="11"/>
        <v>6</v>
      </c>
    </row>
    <row r="408" hidden="1">
      <c r="A408" s="32" t="str">
        <f t="shared" si="1"/>
        <v>2020ShepWeek 3</v>
      </c>
      <c r="B408" s="32" t="str">
        <f t="shared" si="2"/>
        <v>2020KnardDawgWeek 3</v>
      </c>
      <c r="C408" s="32" t="str">
        <f t="shared" si="3"/>
        <v>Week 3</v>
      </c>
      <c r="D408" s="32">
        <v>2020.0</v>
      </c>
      <c r="E408" t="str">
        <f t="shared" si="4"/>
        <v>3</v>
      </c>
      <c r="F408" t="str">
        <f t="shared" si="5"/>
        <v>Jordan Shepherd</v>
      </c>
      <c r="G408" s="40" t="str">
        <f>VLOOKUP(F408,'Manager Coding'!C:D,2,0)</f>
        <v>Shep</v>
      </c>
      <c r="H408" s="41">
        <f t="shared" si="6"/>
        <v>100.42</v>
      </c>
      <c r="I408" t="str">
        <f t="shared" si="7"/>
        <v>Alex Kinniard, Jack Reilly</v>
      </c>
      <c r="J408" t="str">
        <f>VLOOKUP(I408,'Manager Coding'!C:D,2,0)</f>
        <v>KnardDawg</v>
      </c>
      <c r="K408" s="41">
        <f t="shared" si="8"/>
        <v>118.06</v>
      </c>
      <c r="L408">
        <f t="shared" si="9"/>
        <v>0</v>
      </c>
      <c r="M408">
        <f t="shared" si="10"/>
        <v>1</v>
      </c>
      <c r="N408" s="54" t="s">
        <v>1196</v>
      </c>
      <c r="O408" s="55" t="s">
        <v>91</v>
      </c>
      <c r="P408" s="67">
        <v>100.42</v>
      </c>
      <c r="Q408" s="68">
        <v>118.06</v>
      </c>
      <c r="R408" s="48" t="s">
        <v>87</v>
      </c>
      <c r="S408" s="54" t="s">
        <v>1187</v>
      </c>
      <c r="T408">
        <f t="shared" si="11"/>
        <v>17.64</v>
      </c>
    </row>
    <row r="409" hidden="1">
      <c r="A409" s="32" t="str">
        <f t="shared" si="1"/>
        <v>2020SaltyWeek 3</v>
      </c>
      <c r="B409" s="32" t="str">
        <f t="shared" si="2"/>
        <v>2020RileyWeek 3</v>
      </c>
      <c r="C409" s="32" t="str">
        <f t="shared" si="3"/>
        <v>Week 3</v>
      </c>
      <c r="D409" s="32">
        <v>2020.0</v>
      </c>
      <c r="E409" t="str">
        <f t="shared" si="4"/>
        <v>3</v>
      </c>
      <c r="F409" t="str">
        <f t="shared" si="5"/>
        <v>R Saltiel</v>
      </c>
      <c r="G409" s="40" t="str">
        <f>VLOOKUP(F409,'Manager Coding'!C:D,2,0)</f>
        <v>Salty</v>
      </c>
      <c r="H409" s="41">
        <f t="shared" si="6"/>
        <v>135.1</v>
      </c>
      <c r="I409" t="str">
        <f t="shared" si="7"/>
        <v>Riley McElwain</v>
      </c>
      <c r="J409" t="str">
        <f>VLOOKUP(I409,'Manager Coding'!C:D,2,0)</f>
        <v>Riley</v>
      </c>
      <c r="K409" s="41">
        <f t="shared" si="8"/>
        <v>107.9</v>
      </c>
      <c r="L409">
        <f t="shared" si="9"/>
        <v>1</v>
      </c>
      <c r="M409">
        <f t="shared" si="10"/>
        <v>0</v>
      </c>
      <c r="N409" s="54" t="s">
        <v>1198</v>
      </c>
      <c r="O409" s="55" t="s">
        <v>77</v>
      </c>
      <c r="P409" s="67">
        <v>135.1</v>
      </c>
      <c r="Q409" s="68">
        <v>107.9</v>
      </c>
      <c r="R409" s="48" t="s">
        <v>68</v>
      </c>
      <c r="S409" s="54" t="s">
        <v>1186</v>
      </c>
      <c r="T409">
        <f t="shared" si="11"/>
        <v>27.2</v>
      </c>
    </row>
    <row r="410" hidden="1">
      <c r="A410" s="32" t="str">
        <f t="shared" si="1"/>
        <v>2020T-HowWeek 3</v>
      </c>
      <c r="B410" s="32" t="str">
        <f t="shared" si="2"/>
        <v>2020PiersonWeek 3</v>
      </c>
      <c r="C410" s="32" t="str">
        <f t="shared" si="3"/>
        <v>Week 3</v>
      </c>
      <c r="D410" s="32">
        <v>2020.0</v>
      </c>
      <c r="E410" t="str">
        <f t="shared" si="4"/>
        <v>3</v>
      </c>
      <c r="F410" t="str">
        <f t="shared" si="5"/>
        <v>Tyler Howard</v>
      </c>
      <c r="G410" s="40" t="str">
        <f>VLOOKUP(F410,'Manager Coding'!C:D,2,0)</f>
        <v>T-How</v>
      </c>
      <c r="H410" s="41">
        <f t="shared" si="6"/>
        <v>117.62</v>
      </c>
      <c r="I410" t="str">
        <f t="shared" si="7"/>
        <v>Pierson Curtis</v>
      </c>
      <c r="J410" t="str">
        <f>VLOOKUP(I410,'Manager Coding'!C:D,2,0)</f>
        <v>Pierson</v>
      </c>
      <c r="K410" s="41">
        <f t="shared" si="8"/>
        <v>100.78</v>
      </c>
      <c r="L410">
        <f t="shared" si="9"/>
        <v>1</v>
      </c>
      <c r="M410">
        <f t="shared" si="10"/>
        <v>0</v>
      </c>
      <c r="N410" s="54" t="s">
        <v>1200</v>
      </c>
      <c r="O410" s="55" t="s">
        <v>85</v>
      </c>
      <c r="P410" s="67">
        <v>117.62</v>
      </c>
      <c r="Q410" s="68">
        <v>100.78</v>
      </c>
      <c r="R410" s="48" t="s">
        <v>93</v>
      </c>
      <c r="S410" s="54" t="s">
        <v>1190</v>
      </c>
      <c r="T410">
        <f t="shared" si="11"/>
        <v>16.84</v>
      </c>
    </row>
    <row r="411" hidden="1">
      <c r="A411" s="32" t="str">
        <f t="shared" si="1"/>
        <v>2020HudspeathWeek 3</v>
      </c>
      <c r="B411" s="32" t="str">
        <f t="shared" si="2"/>
        <v>2020Rooney/JacksonWeek 3</v>
      </c>
      <c r="C411" s="32" t="str">
        <f t="shared" si="3"/>
        <v>Week 3</v>
      </c>
      <c r="D411" s="32">
        <v>2020.0</v>
      </c>
      <c r="E411" t="str">
        <f t="shared" si="4"/>
        <v>3</v>
      </c>
      <c r="F411" t="str">
        <f t="shared" si="5"/>
        <v>matt hudspeath</v>
      </c>
      <c r="G411" s="40" t="str">
        <f>VLOOKUP(F411,'Manager Coding'!C:D,2,0)</f>
        <v>Hudspeath</v>
      </c>
      <c r="H411" s="41">
        <f t="shared" si="6"/>
        <v>67.68</v>
      </c>
      <c r="I411" t="str">
        <f t="shared" si="7"/>
        <v>Stephen Rooney, Jackson Sattell</v>
      </c>
      <c r="J411" t="str">
        <f>VLOOKUP(I411,'Manager Coding'!C:D,2,0)</f>
        <v>Rooney/Jackson</v>
      </c>
      <c r="K411" s="41">
        <f t="shared" si="8"/>
        <v>75.1</v>
      </c>
      <c r="L411">
        <f t="shared" si="9"/>
        <v>0</v>
      </c>
      <c r="M411">
        <f t="shared" si="10"/>
        <v>1</v>
      </c>
      <c r="N411" s="54" t="s">
        <v>1202</v>
      </c>
      <c r="O411" s="55" t="s">
        <v>64</v>
      </c>
      <c r="P411" s="67">
        <v>67.68</v>
      </c>
      <c r="Q411" s="68">
        <v>75.1</v>
      </c>
      <c r="R411" s="48" t="s">
        <v>58</v>
      </c>
      <c r="S411" s="54" t="s">
        <v>1192</v>
      </c>
      <c r="T411">
        <f t="shared" si="11"/>
        <v>7.42</v>
      </c>
    </row>
    <row r="412" hidden="1">
      <c r="A412" s="32" t="str">
        <f t="shared" si="1"/>
        <v>2020BuserWeek 3</v>
      </c>
      <c r="B412" s="32" t="str">
        <f t="shared" si="2"/>
        <v>2020TayskiWeek 3</v>
      </c>
      <c r="C412" s="32" t="str">
        <f t="shared" si="3"/>
        <v>Week 3</v>
      </c>
      <c r="D412" s="32">
        <v>2020.0</v>
      </c>
      <c r="E412" t="str">
        <f t="shared" si="4"/>
        <v>3</v>
      </c>
      <c r="F412" t="str">
        <f t="shared" si="5"/>
        <v>Ed Buser</v>
      </c>
      <c r="G412" s="40" t="str">
        <f>VLOOKUP(F412,'Manager Coding'!C:D,2,0)</f>
        <v>Buser</v>
      </c>
      <c r="H412" s="41">
        <f t="shared" si="6"/>
        <v>127</v>
      </c>
      <c r="I412" t="str">
        <f t="shared" si="7"/>
        <v>Taylor Weis</v>
      </c>
      <c r="J412" t="str">
        <f>VLOOKUP(I412,'Manager Coding'!C:D,2,0)</f>
        <v>Tayski</v>
      </c>
      <c r="K412" s="41">
        <f t="shared" si="8"/>
        <v>120.84</v>
      </c>
      <c r="L412">
        <f t="shared" si="9"/>
        <v>1</v>
      </c>
      <c r="M412">
        <f t="shared" si="10"/>
        <v>0</v>
      </c>
      <c r="N412" s="54" t="s">
        <v>1199</v>
      </c>
      <c r="O412" s="55" t="s">
        <v>50</v>
      </c>
      <c r="P412" s="67">
        <v>127.0</v>
      </c>
      <c r="Q412" s="68">
        <v>120.84</v>
      </c>
      <c r="R412" s="48" t="s">
        <v>54</v>
      </c>
      <c r="S412" s="54" t="s">
        <v>1197</v>
      </c>
      <c r="T412">
        <f t="shared" si="11"/>
        <v>6.16</v>
      </c>
    </row>
    <row r="413" hidden="1">
      <c r="A413" s="32" t="str">
        <f t="shared" si="1"/>
        <v>#N/A</v>
      </c>
      <c r="B413" s="32" t="str">
        <f t="shared" si="2"/>
        <v>#N/A</v>
      </c>
      <c r="C413" s="32" t="str">
        <f t="shared" si="3"/>
        <v>Week 3</v>
      </c>
      <c r="D413" s="32">
        <v>2020.0</v>
      </c>
      <c r="E413" t="str">
        <f t="shared" si="4"/>
        <v>3</v>
      </c>
      <c r="F413" t="str">
        <f t="shared" si="5"/>
        <v/>
      </c>
      <c r="G413" s="40" t="str">
        <f>VLOOKUP(F413,'Manager Coding'!C:D,2,0)</f>
        <v>#N/A</v>
      </c>
      <c r="H413" s="41" t="str">
        <f t="shared" si="6"/>
        <v/>
      </c>
      <c r="I413" t="str">
        <f t="shared" si="7"/>
        <v/>
      </c>
      <c r="J413" t="str">
        <f>VLOOKUP(I413,'Manager Coding'!C:D,2,0)</f>
        <v>#N/A</v>
      </c>
      <c r="K413" s="41" t="str">
        <f t="shared" si="8"/>
        <v/>
      </c>
      <c r="L413">
        <f t="shared" si="9"/>
        <v>0</v>
      </c>
      <c r="M413">
        <f t="shared" si="10"/>
        <v>0</v>
      </c>
      <c r="N413" s="53" t="s">
        <v>260</v>
      </c>
      <c r="P413" s="41"/>
      <c r="Q413" s="41"/>
      <c r="T413">
        <f t="shared" si="11"/>
        <v>0</v>
      </c>
    </row>
    <row r="414" hidden="1">
      <c r="A414" s="32" t="str">
        <f t="shared" si="1"/>
        <v>#N/A</v>
      </c>
      <c r="B414" s="32" t="str">
        <f t="shared" si="2"/>
        <v>#N/A</v>
      </c>
      <c r="C414" s="32" t="str">
        <f t="shared" si="3"/>
        <v>Week 4</v>
      </c>
      <c r="D414" s="32">
        <v>2020.0</v>
      </c>
      <c r="E414" t="str">
        <f t="shared" si="4"/>
        <v>4</v>
      </c>
      <c r="F414" t="str">
        <f t="shared" si="5"/>
        <v>TEAM MANAGER(S)</v>
      </c>
      <c r="G414" s="40" t="str">
        <f>VLOOKUP(F414,'Manager Coding'!C:D,2,0)</f>
        <v>#N/A</v>
      </c>
      <c r="H414" s="41" t="str">
        <f t="shared" si="6"/>
        <v>SCORE</v>
      </c>
      <c r="I414" t="str">
        <f t="shared" si="7"/>
        <v>TEAM MANAGER(S)</v>
      </c>
      <c r="J414" t="str">
        <f>VLOOKUP(I414,'Manager Coding'!C:D,2,0)</f>
        <v>#N/A</v>
      </c>
      <c r="K414" s="41" t="str">
        <f t="shared" si="8"/>
        <v>SCORE</v>
      </c>
      <c r="L414">
        <f t="shared" si="9"/>
        <v>0</v>
      </c>
      <c r="M414">
        <f t="shared" si="10"/>
        <v>0</v>
      </c>
      <c r="N414" s="24" t="s">
        <v>197</v>
      </c>
      <c r="O414" s="24" t="s">
        <v>88</v>
      </c>
      <c r="P414" s="26" t="s">
        <v>94</v>
      </c>
      <c r="Q414" s="27" t="s">
        <v>94</v>
      </c>
      <c r="R414" s="30" t="s">
        <v>88</v>
      </c>
      <c r="S414" s="30" t="s">
        <v>101</v>
      </c>
      <c r="T414">
        <f t="shared" si="11"/>
        <v>0</v>
      </c>
    </row>
    <row r="415" hidden="1">
      <c r="A415" s="32" t="str">
        <f t="shared" si="1"/>
        <v>2020ShepWeek 4</v>
      </c>
      <c r="B415" s="32" t="str">
        <f t="shared" si="2"/>
        <v>2020CockWeek 4</v>
      </c>
      <c r="C415" s="32" t="str">
        <f t="shared" si="3"/>
        <v>Week 4</v>
      </c>
      <c r="D415" s="32">
        <v>2020.0</v>
      </c>
      <c r="E415" t="str">
        <f t="shared" si="4"/>
        <v>4</v>
      </c>
      <c r="F415" t="str">
        <f t="shared" si="5"/>
        <v>Jordan Shepherd</v>
      </c>
      <c r="G415" s="40" t="str">
        <f>VLOOKUP(F415,'Manager Coding'!C:D,2,0)</f>
        <v>Shep</v>
      </c>
      <c r="H415" s="41">
        <f t="shared" si="6"/>
        <v>112.08</v>
      </c>
      <c r="I415" t="str">
        <f t="shared" si="7"/>
        <v>Jack Babcock, Chris Cochrane</v>
      </c>
      <c r="J415" t="str">
        <f>VLOOKUP(I415,'Manager Coding'!C:D,2,0)</f>
        <v>Cock</v>
      </c>
      <c r="K415" s="41">
        <f t="shared" si="8"/>
        <v>106.98</v>
      </c>
      <c r="L415">
        <f t="shared" si="9"/>
        <v>1</v>
      </c>
      <c r="M415">
        <f t="shared" si="10"/>
        <v>0</v>
      </c>
      <c r="N415" s="54" t="s">
        <v>1196</v>
      </c>
      <c r="O415" s="55" t="s">
        <v>91</v>
      </c>
      <c r="P415" s="67">
        <v>112.08</v>
      </c>
      <c r="Q415" s="68">
        <v>106.98</v>
      </c>
      <c r="R415" s="48" t="s">
        <v>73</v>
      </c>
      <c r="S415" s="54" t="s">
        <v>1185</v>
      </c>
      <c r="T415">
        <f t="shared" si="11"/>
        <v>5.1</v>
      </c>
    </row>
    <row r="416" hidden="1">
      <c r="A416" s="32" t="str">
        <f t="shared" si="1"/>
        <v>2020FellowsWeek 4</v>
      </c>
      <c r="B416" s="32" t="str">
        <f t="shared" si="2"/>
        <v>2020SaltyWeek 4</v>
      </c>
      <c r="C416" s="32" t="str">
        <f t="shared" si="3"/>
        <v>Week 4</v>
      </c>
      <c r="D416" s="32">
        <v>2020.0</v>
      </c>
      <c r="E416" t="str">
        <f t="shared" si="4"/>
        <v>4</v>
      </c>
      <c r="F416" t="str">
        <f t="shared" si="5"/>
        <v>Michael Fellows</v>
      </c>
      <c r="G416" s="40" t="str">
        <f>VLOOKUP(F416,'Manager Coding'!C:D,2,0)</f>
        <v>Fellows</v>
      </c>
      <c r="H416" s="41">
        <f t="shared" si="6"/>
        <v>95.6</v>
      </c>
      <c r="I416" t="str">
        <f t="shared" si="7"/>
        <v>R Saltiel</v>
      </c>
      <c r="J416" t="str">
        <f>VLOOKUP(I416,'Manager Coding'!C:D,2,0)</f>
        <v>Salty</v>
      </c>
      <c r="K416" s="41">
        <f t="shared" si="8"/>
        <v>88.14</v>
      </c>
      <c r="L416">
        <f t="shared" si="9"/>
        <v>1</v>
      </c>
      <c r="M416">
        <f t="shared" si="10"/>
        <v>0</v>
      </c>
      <c r="N416" s="54" t="s">
        <v>1191</v>
      </c>
      <c r="O416" s="55" t="s">
        <v>80</v>
      </c>
      <c r="P416" s="67">
        <v>95.6</v>
      </c>
      <c r="Q416" s="68">
        <v>88.14</v>
      </c>
      <c r="R416" s="48" t="s">
        <v>77</v>
      </c>
      <c r="S416" s="54" t="s">
        <v>1198</v>
      </c>
      <c r="T416">
        <f t="shared" si="11"/>
        <v>7.46</v>
      </c>
    </row>
    <row r="417" hidden="1">
      <c r="A417" s="32" t="str">
        <f t="shared" si="1"/>
        <v>2020KnardDawgWeek 4</v>
      </c>
      <c r="B417" s="32" t="str">
        <f t="shared" si="2"/>
        <v>2020T-HowWeek 4</v>
      </c>
      <c r="C417" s="32" t="str">
        <f t="shared" si="3"/>
        <v>Week 4</v>
      </c>
      <c r="D417" s="32">
        <v>2020.0</v>
      </c>
      <c r="E417" t="str">
        <f t="shared" si="4"/>
        <v>4</v>
      </c>
      <c r="F417" t="str">
        <f t="shared" si="5"/>
        <v>Alex Kinniard, Jack Reilly</v>
      </c>
      <c r="G417" s="40" t="str">
        <f>VLOOKUP(F417,'Manager Coding'!C:D,2,0)</f>
        <v>KnardDawg</v>
      </c>
      <c r="H417" s="41">
        <f t="shared" si="6"/>
        <v>120.8</v>
      </c>
      <c r="I417" t="str">
        <f t="shared" si="7"/>
        <v>Tyler Howard</v>
      </c>
      <c r="J417" t="str">
        <f>VLOOKUP(I417,'Manager Coding'!C:D,2,0)</f>
        <v>T-How</v>
      </c>
      <c r="K417" s="41">
        <f t="shared" si="8"/>
        <v>70.3</v>
      </c>
      <c r="L417">
        <f t="shared" si="9"/>
        <v>1</v>
      </c>
      <c r="M417">
        <f t="shared" si="10"/>
        <v>0</v>
      </c>
      <c r="N417" s="54" t="s">
        <v>1187</v>
      </c>
      <c r="O417" s="55" t="s">
        <v>87</v>
      </c>
      <c r="P417" s="67">
        <v>120.8</v>
      </c>
      <c r="Q417" s="68">
        <v>70.3</v>
      </c>
      <c r="R417" s="48" t="s">
        <v>85</v>
      </c>
      <c r="S417" s="54" t="s">
        <v>1200</v>
      </c>
      <c r="T417">
        <f t="shared" si="11"/>
        <v>50.5</v>
      </c>
    </row>
    <row r="418" hidden="1">
      <c r="A418" s="32" t="str">
        <f t="shared" si="1"/>
        <v>2020RileyWeek 4</v>
      </c>
      <c r="B418" s="32" t="str">
        <f t="shared" si="2"/>
        <v>2020HudspeathWeek 4</v>
      </c>
      <c r="C418" s="32" t="str">
        <f t="shared" si="3"/>
        <v>Week 4</v>
      </c>
      <c r="D418" s="32">
        <v>2020.0</v>
      </c>
      <c r="E418" t="str">
        <f t="shared" si="4"/>
        <v>4</v>
      </c>
      <c r="F418" t="str">
        <f t="shared" si="5"/>
        <v>Riley McElwain</v>
      </c>
      <c r="G418" s="40" t="str">
        <f>VLOOKUP(F418,'Manager Coding'!C:D,2,0)</f>
        <v>Riley</v>
      </c>
      <c r="H418" s="41">
        <f t="shared" si="6"/>
        <v>77.4</v>
      </c>
      <c r="I418" t="str">
        <f t="shared" si="7"/>
        <v>matt hudspeath</v>
      </c>
      <c r="J418" t="str">
        <f>VLOOKUP(I418,'Manager Coding'!C:D,2,0)</f>
        <v>Hudspeath</v>
      </c>
      <c r="K418" s="41">
        <f t="shared" si="8"/>
        <v>102.94</v>
      </c>
      <c r="L418">
        <f t="shared" si="9"/>
        <v>0</v>
      </c>
      <c r="M418">
        <f t="shared" si="10"/>
        <v>1</v>
      </c>
      <c r="N418" s="54" t="s">
        <v>1186</v>
      </c>
      <c r="O418" s="55" t="s">
        <v>68</v>
      </c>
      <c r="P418" s="67">
        <v>77.4</v>
      </c>
      <c r="Q418" s="68">
        <v>102.94</v>
      </c>
      <c r="R418" s="48" t="s">
        <v>64</v>
      </c>
      <c r="S418" s="54" t="s">
        <v>1202</v>
      </c>
      <c r="T418">
        <f t="shared" si="11"/>
        <v>25.54</v>
      </c>
    </row>
    <row r="419" hidden="1">
      <c r="A419" s="32" t="str">
        <f t="shared" si="1"/>
        <v>2020PiersonWeek 4</v>
      </c>
      <c r="B419" s="32" t="str">
        <f t="shared" si="2"/>
        <v>2020BuserWeek 4</v>
      </c>
      <c r="C419" s="32" t="str">
        <f t="shared" si="3"/>
        <v>Week 4</v>
      </c>
      <c r="D419" s="32">
        <v>2020.0</v>
      </c>
      <c r="E419" t="str">
        <f t="shared" si="4"/>
        <v>4</v>
      </c>
      <c r="F419" t="str">
        <f t="shared" si="5"/>
        <v>Pierson Curtis</v>
      </c>
      <c r="G419" s="40" t="str">
        <f>VLOOKUP(F419,'Manager Coding'!C:D,2,0)</f>
        <v>Pierson</v>
      </c>
      <c r="H419" s="41">
        <f t="shared" si="6"/>
        <v>98.32</v>
      </c>
      <c r="I419" t="str">
        <f t="shared" si="7"/>
        <v>Ed Buser</v>
      </c>
      <c r="J419" t="str">
        <f>VLOOKUP(I419,'Manager Coding'!C:D,2,0)</f>
        <v>Buser</v>
      </c>
      <c r="K419" s="41">
        <f t="shared" si="8"/>
        <v>92.92</v>
      </c>
      <c r="L419">
        <f t="shared" si="9"/>
        <v>1</v>
      </c>
      <c r="M419">
        <f t="shared" si="10"/>
        <v>0</v>
      </c>
      <c r="N419" s="54" t="s">
        <v>1190</v>
      </c>
      <c r="O419" s="55" t="s">
        <v>93</v>
      </c>
      <c r="P419" s="67">
        <v>98.32</v>
      </c>
      <c r="Q419" s="68">
        <v>92.92</v>
      </c>
      <c r="R419" s="48" t="s">
        <v>50</v>
      </c>
      <c r="S419" s="54" t="s">
        <v>1199</v>
      </c>
      <c r="T419">
        <f t="shared" si="11"/>
        <v>5.4</v>
      </c>
    </row>
    <row r="420" hidden="1">
      <c r="A420" s="32" t="str">
        <f t="shared" si="1"/>
        <v>2020Rooney/JacksonWeek 4</v>
      </c>
      <c r="B420" s="32" t="str">
        <f t="shared" si="2"/>
        <v>2020TayskiWeek 4</v>
      </c>
      <c r="C420" s="32" t="str">
        <f t="shared" si="3"/>
        <v>Week 4</v>
      </c>
      <c r="D420" s="32">
        <v>2020.0</v>
      </c>
      <c r="E420" t="str">
        <f t="shared" si="4"/>
        <v>4</v>
      </c>
      <c r="F420" t="str">
        <f t="shared" si="5"/>
        <v>Stephen Rooney, Jackson Sattell</v>
      </c>
      <c r="G420" s="40" t="str">
        <f>VLOOKUP(F420,'Manager Coding'!C:D,2,0)</f>
        <v>Rooney/Jackson</v>
      </c>
      <c r="H420" s="41">
        <f t="shared" si="6"/>
        <v>152.64</v>
      </c>
      <c r="I420" t="str">
        <f t="shared" si="7"/>
        <v>Taylor Weis</v>
      </c>
      <c r="J420" t="str">
        <f>VLOOKUP(I420,'Manager Coding'!C:D,2,0)</f>
        <v>Tayski</v>
      </c>
      <c r="K420" s="41">
        <f t="shared" si="8"/>
        <v>88.42</v>
      </c>
      <c r="L420">
        <f t="shared" si="9"/>
        <v>1</v>
      </c>
      <c r="M420">
        <f t="shared" si="10"/>
        <v>0</v>
      </c>
      <c r="N420" s="54" t="s">
        <v>1192</v>
      </c>
      <c r="O420" s="55" t="s">
        <v>58</v>
      </c>
      <c r="P420" s="67">
        <v>152.64</v>
      </c>
      <c r="Q420" s="68">
        <v>88.42</v>
      </c>
      <c r="R420" s="48" t="s">
        <v>54</v>
      </c>
      <c r="S420" s="54" t="s">
        <v>1197</v>
      </c>
      <c r="T420">
        <f t="shared" si="11"/>
        <v>64.22</v>
      </c>
    </row>
    <row r="421" hidden="1">
      <c r="A421" s="32" t="str">
        <f t="shared" si="1"/>
        <v>#N/A</v>
      </c>
      <c r="B421" s="32" t="str">
        <f t="shared" si="2"/>
        <v>#N/A</v>
      </c>
      <c r="C421" s="32" t="str">
        <f t="shared" si="3"/>
        <v>Week 4</v>
      </c>
      <c r="D421" s="32">
        <v>2020.0</v>
      </c>
      <c r="E421" t="str">
        <f t="shared" si="4"/>
        <v>4</v>
      </c>
      <c r="F421" t="str">
        <f t="shared" si="5"/>
        <v/>
      </c>
      <c r="G421" s="40" t="str">
        <f>VLOOKUP(F421,'Manager Coding'!C:D,2,0)</f>
        <v>#N/A</v>
      </c>
      <c r="H421" s="41" t="str">
        <f t="shared" si="6"/>
        <v/>
      </c>
      <c r="I421" t="str">
        <f t="shared" si="7"/>
        <v/>
      </c>
      <c r="J421" t="str">
        <f>VLOOKUP(I421,'Manager Coding'!C:D,2,0)</f>
        <v>#N/A</v>
      </c>
      <c r="K421" s="41" t="str">
        <f t="shared" si="8"/>
        <v/>
      </c>
      <c r="L421">
        <f t="shared" si="9"/>
        <v>0</v>
      </c>
      <c r="M421">
        <f t="shared" si="10"/>
        <v>0</v>
      </c>
      <c r="N421" s="53" t="s">
        <v>291</v>
      </c>
      <c r="P421" s="41"/>
      <c r="Q421" s="41"/>
      <c r="T421">
        <f t="shared" si="11"/>
        <v>0</v>
      </c>
    </row>
    <row r="422" hidden="1">
      <c r="A422" s="32" t="str">
        <f t="shared" si="1"/>
        <v>#N/A</v>
      </c>
      <c r="B422" s="32" t="str">
        <f t="shared" si="2"/>
        <v>#N/A</v>
      </c>
      <c r="C422" s="32" t="str">
        <f t="shared" si="3"/>
        <v>Week 5</v>
      </c>
      <c r="D422" s="32">
        <v>2020.0</v>
      </c>
      <c r="E422" t="str">
        <f t="shared" si="4"/>
        <v>5</v>
      </c>
      <c r="F422" t="str">
        <f t="shared" si="5"/>
        <v>TEAM MANAGER(S)</v>
      </c>
      <c r="G422" s="40" t="str">
        <f>VLOOKUP(F422,'Manager Coding'!C:D,2,0)</f>
        <v>#N/A</v>
      </c>
      <c r="H422" s="41" t="str">
        <f t="shared" si="6"/>
        <v>SCORE</v>
      </c>
      <c r="I422" t="str">
        <f t="shared" si="7"/>
        <v>TEAM MANAGER(S)</v>
      </c>
      <c r="J422" t="str">
        <f>VLOOKUP(I422,'Manager Coding'!C:D,2,0)</f>
        <v>#N/A</v>
      </c>
      <c r="K422" s="41" t="str">
        <f t="shared" si="8"/>
        <v>SCORE</v>
      </c>
      <c r="L422">
        <f t="shared" si="9"/>
        <v>0</v>
      </c>
      <c r="M422">
        <f t="shared" si="10"/>
        <v>0</v>
      </c>
      <c r="N422" s="24" t="s">
        <v>197</v>
      </c>
      <c r="O422" s="24" t="s">
        <v>88</v>
      </c>
      <c r="P422" s="26" t="s">
        <v>94</v>
      </c>
      <c r="Q422" s="27" t="s">
        <v>94</v>
      </c>
      <c r="R422" s="30" t="s">
        <v>88</v>
      </c>
      <c r="S422" s="30" t="s">
        <v>101</v>
      </c>
      <c r="T422">
        <f t="shared" si="11"/>
        <v>0</v>
      </c>
    </row>
    <row r="423" hidden="1">
      <c r="A423" s="32" t="str">
        <f t="shared" si="1"/>
        <v>2020CockWeek 5</v>
      </c>
      <c r="B423" s="32" t="str">
        <f t="shared" si="2"/>
        <v>2020SaltyWeek 5</v>
      </c>
      <c r="C423" s="32" t="str">
        <f t="shared" si="3"/>
        <v>Week 5</v>
      </c>
      <c r="D423" s="32">
        <v>2020.0</v>
      </c>
      <c r="E423" t="str">
        <f t="shared" si="4"/>
        <v>5</v>
      </c>
      <c r="F423" t="str">
        <f t="shared" si="5"/>
        <v>Jack Babcock, Chris Cochrane</v>
      </c>
      <c r="G423" s="40" t="str">
        <f>VLOOKUP(F423,'Manager Coding'!C:D,2,0)</f>
        <v>Cock</v>
      </c>
      <c r="H423" s="41">
        <f t="shared" si="6"/>
        <v>122.54</v>
      </c>
      <c r="I423" t="str">
        <f t="shared" si="7"/>
        <v>R Saltiel</v>
      </c>
      <c r="J423" t="str">
        <f>VLOOKUP(I423,'Manager Coding'!C:D,2,0)</f>
        <v>Salty</v>
      </c>
      <c r="K423" s="41">
        <f t="shared" si="8"/>
        <v>144.6</v>
      </c>
      <c r="L423">
        <f t="shared" si="9"/>
        <v>0</v>
      </c>
      <c r="M423">
        <f t="shared" si="10"/>
        <v>1</v>
      </c>
      <c r="N423" s="54" t="s">
        <v>1185</v>
      </c>
      <c r="O423" s="55" t="s">
        <v>73</v>
      </c>
      <c r="P423" s="67">
        <v>122.54</v>
      </c>
      <c r="Q423" s="68">
        <v>144.6</v>
      </c>
      <c r="R423" s="48" t="s">
        <v>77</v>
      </c>
      <c r="S423" s="54" t="s">
        <v>1198</v>
      </c>
      <c r="T423">
        <f t="shared" si="11"/>
        <v>22.06</v>
      </c>
    </row>
    <row r="424" hidden="1">
      <c r="A424" s="32" t="str">
        <f t="shared" si="1"/>
        <v>2020T-HowWeek 5</v>
      </c>
      <c r="B424" s="32" t="str">
        <f t="shared" si="2"/>
        <v>2020ShepWeek 5</v>
      </c>
      <c r="C424" s="32" t="str">
        <f t="shared" si="3"/>
        <v>Week 5</v>
      </c>
      <c r="D424" s="32">
        <v>2020.0</v>
      </c>
      <c r="E424" t="str">
        <f t="shared" si="4"/>
        <v>5</v>
      </c>
      <c r="F424" t="str">
        <f t="shared" si="5"/>
        <v>Tyler Howard</v>
      </c>
      <c r="G424" s="40" t="str">
        <f>VLOOKUP(F424,'Manager Coding'!C:D,2,0)</f>
        <v>T-How</v>
      </c>
      <c r="H424" s="41">
        <f t="shared" si="6"/>
        <v>65.24</v>
      </c>
      <c r="I424" t="str">
        <f t="shared" si="7"/>
        <v>Jordan Shepherd</v>
      </c>
      <c r="J424" t="str">
        <f>VLOOKUP(I424,'Manager Coding'!C:D,2,0)</f>
        <v>Shep</v>
      </c>
      <c r="K424" s="41">
        <f t="shared" si="8"/>
        <v>57.92</v>
      </c>
      <c r="L424">
        <f t="shared" si="9"/>
        <v>1</v>
      </c>
      <c r="M424">
        <f t="shared" si="10"/>
        <v>0</v>
      </c>
      <c r="N424" s="54" t="s">
        <v>1200</v>
      </c>
      <c r="O424" s="55" t="s">
        <v>85</v>
      </c>
      <c r="P424" s="67">
        <v>65.24</v>
      </c>
      <c r="Q424" s="68">
        <v>57.92</v>
      </c>
      <c r="R424" s="48" t="s">
        <v>91</v>
      </c>
      <c r="S424" s="54" t="s">
        <v>1196</v>
      </c>
      <c r="T424">
        <f t="shared" si="11"/>
        <v>7.32</v>
      </c>
    </row>
    <row r="425" hidden="1">
      <c r="A425" s="32" t="str">
        <f t="shared" si="1"/>
        <v>2020HudspeathWeek 5</v>
      </c>
      <c r="B425" s="32" t="str">
        <f t="shared" si="2"/>
        <v>2020FellowsWeek 5</v>
      </c>
      <c r="C425" s="32" t="str">
        <f t="shared" si="3"/>
        <v>Week 5</v>
      </c>
      <c r="D425" s="32">
        <v>2020.0</v>
      </c>
      <c r="E425" t="str">
        <f t="shared" si="4"/>
        <v>5</v>
      </c>
      <c r="F425" t="str">
        <f t="shared" si="5"/>
        <v>matt hudspeath</v>
      </c>
      <c r="G425" s="40" t="str">
        <f>VLOOKUP(F425,'Manager Coding'!C:D,2,0)</f>
        <v>Hudspeath</v>
      </c>
      <c r="H425" s="41">
        <f t="shared" si="6"/>
        <v>68.98</v>
      </c>
      <c r="I425" t="str">
        <f t="shared" si="7"/>
        <v>Michael Fellows</v>
      </c>
      <c r="J425" t="str">
        <f>VLOOKUP(I425,'Manager Coding'!C:D,2,0)</f>
        <v>Fellows</v>
      </c>
      <c r="K425" s="41">
        <f t="shared" si="8"/>
        <v>100.36</v>
      </c>
      <c r="L425">
        <f t="shared" si="9"/>
        <v>0</v>
      </c>
      <c r="M425">
        <f t="shared" si="10"/>
        <v>1</v>
      </c>
      <c r="N425" s="54" t="s">
        <v>1202</v>
      </c>
      <c r="O425" s="55" t="s">
        <v>64</v>
      </c>
      <c r="P425" s="67">
        <v>68.98</v>
      </c>
      <c r="Q425" s="68">
        <v>100.36</v>
      </c>
      <c r="R425" s="48" t="s">
        <v>80</v>
      </c>
      <c r="S425" s="54" t="s">
        <v>1191</v>
      </c>
      <c r="T425">
        <f t="shared" si="11"/>
        <v>31.38</v>
      </c>
    </row>
    <row r="426" hidden="1">
      <c r="A426" s="32" t="str">
        <f t="shared" si="1"/>
        <v>2020BuserWeek 5</v>
      </c>
      <c r="B426" s="32" t="str">
        <f t="shared" si="2"/>
        <v>2020KnardDawgWeek 5</v>
      </c>
      <c r="C426" s="32" t="str">
        <f t="shared" si="3"/>
        <v>Week 5</v>
      </c>
      <c r="D426" s="32">
        <v>2020.0</v>
      </c>
      <c r="E426" t="str">
        <f t="shared" si="4"/>
        <v>5</v>
      </c>
      <c r="F426" t="str">
        <f t="shared" si="5"/>
        <v>Ed Buser</v>
      </c>
      <c r="G426" s="40" t="str">
        <f>VLOOKUP(F426,'Manager Coding'!C:D,2,0)</f>
        <v>Buser</v>
      </c>
      <c r="H426" s="41">
        <f t="shared" si="6"/>
        <v>93</v>
      </c>
      <c r="I426" t="str">
        <f t="shared" si="7"/>
        <v>Alex Kinniard, Jack Reilly</v>
      </c>
      <c r="J426" t="str">
        <f>VLOOKUP(I426,'Manager Coding'!C:D,2,0)</f>
        <v>KnardDawg</v>
      </c>
      <c r="K426" s="41">
        <f t="shared" si="8"/>
        <v>85.66</v>
      </c>
      <c r="L426">
        <f t="shared" si="9"/>
        <v>1</v>
      </c>
      <c r="M426">
        <f t="shared" si="10"/>
        <v>0</v>
      </c>
      <c r="N426" s="54" t="s">
        <v>1199</v>
      </c>
      <c r="O426" s="55" t="s">
        <v>50</v>
      </c>
      <c r="P426" s="67">
        <v>93.0</v>
      </c>
      <c r="Q426" s="68">
        <v>85.66</v>
      </c>
      <c r="R426" s="48" t="s">
        <v>87</v>
      </c>
      <c r="S426" s="54" t="s">
        <v>1187</v>
      </c>
      <c r="T426">
        <f t="shared" si="11"/>
        <v>7.34</v>
      </c>
    </row>
    <row r="427" hidden="1">
      <c r="A427" s="32" t="str">
        <f t="shared" si="1"/>
        <v>2020TayskiWeek 5</v>
      </c>
      <c r="B427" s="32" t="str">
        <f t="shared" si="2"/>
        <v>2020RileyWeek 5</v>
      </c>
      <c r="C427" s="32" t="str">
        <f t="shared" si="3"/>
        <v>Week 5</v>
      </c>
      <c r="D427" s="32">
        <v>2020.0</v>
      </c>
      <c r="E427" t="str">
        <f t="shared" si="4"/>
        <v>5</v>
      </c>
      <c r="F427" t="str">
        <f t="shared" si="5"/>
        <v>Taylor Weis</v>
      </c>
      <c r="G427" s="40" t="str">
        <f>VLOOKUP(F427,'Manager Coding'!C:D,2,0)</f>
        <v>Tayski</v>
      </c>
      <c r="H427" s="41">
        <f t="shared" si="6"/>
        <v>86.82</v>
      </c>
      <c r="I427" t="str">
        <f t="shared" si="7"/>
        <v>Riley McElwain</v>
      </c>
      <c r="J427" t="str">
        <f>VLOOKUP(I427,'Manager Coding'!C:D,2,0)</f>
        <v>Riley</v>
      </c>
      <c r="K427" s="41">
        <f t="shared" si="8"/>
        <v>86.58</v>
      </c>
      <c r="L427">
        <f t="shared" si="9"/>
        <v>1</v>
      </c>
      <c r="M427">
        <f t="shared" si="10"/>
        <v>0</v>
      </c>
      <c r="N427" s="54" t="s">
        <v>1197</v>
      </c>
      <c r="O427" s="55" t="s">
        <v>54</v>
      </c>
      <c r="P427" s="67">
        <v>86.82</v>
      </c>
      <c r="Q427" s="68">
        <v>86.58</v>
      </c>
      <c r="R427" s="48" t="s">
        <v>68</v>
      </c>
      <c r="S427" s="54" t="s">
        <v>1186</v>
      </c>
      <c r="T427">
        <f t="shared" si="11"/>
        <v>0.24</v>
      </c>
    </row>
    <row r="428" hidden="1">
      <c r="A428" s="32" t="str">
        <f t="shared" si="1"/>
        <v>2020Rooney/JacksonWeek 5</v>
      </c>
      <c r="B428" s="32" t="str">
        <f t="shared" si="2"/>
        <v>2020PiersonWeek 5</v>
      </c>
      <c r="C428" s="32" t="str">
        <f t="shared" si="3"/>
        <v>Week 5</v>
      </c>
      <c r="D428" s="32">
        <v>2020.0</v>
      </c>
      <c r="E428" t="str">
        <f t="shared" si="4"/>
        <v>5</v>
      </c>
      <c r="F428" t="str">
        <f t="shared" si="5"/>
        <v>Stephen Rooney, Jackson Sattell</v>
      </c>
      <c r="G428" s="40" t="str">
        <f>VLOOKUP(F428,'Manager Coding'!C:D,2,0)</f>
        <v>Rooney/Jackson</v>
      </c>
      <c r="H428" s="41">
        <f t="shared" si="6"/>
        <v>84.66</v>
      </c>
      <c r="I428" t="str">
        <f t="shared" si="7"/>
        <v>Pierson Curtis</v>
      </c>
      <c r="J428" t="str">
        <f>VLOOKUP(I428,'Manager Coding'!C:D,2,0)</f>
        <v>Pierson</v>
      </c>
      <c r="K428" s="41">
        <f t="shared" si="8"/>
        <v>127.1</v>
      </c>
      <c r="L428">
        <f t="shared" si="9"/>
        <v>0</v>
      </c>
      <c r="M428">
        <f t="shared" si="10"/>
        <v>1</v>
      </c>
      <c r="N428" s="54" t="s">
        <v>1192</v>
      </c>
      <c r="O428" s="55" t="s">
        <v>58</v>
      </c>
      <c r="P428" s="67">
        <v>84.66</v>
      </c>
      <c r="Q428" s="68">
        <v>127.1</v>
      </c>
      <c r="R428" s="48" t="s">
        <v>93</v>
      </c>
      <c r="S428" s="54" t="s">
        <v>1190</v>
      </c>
      <c r="T428">
        <f t="shared" si="11"/>
        <v>42.44</v>
      </c>
    </row>
    <row r="429" hidden="1">
      <c r="A429" s="32" t="str">
        <f t="shared" si="1"/>
        <v>#N/A</v>
      </c>
      <c r="B429" s="32" t="str">
        <f t="shared" si="2"/>
        <v>#N/A</v>
      </c>
      <c r="C429" s="32" t="str">
        <f t="shared" si="3"/>
        <v>Week 5</v>
      </c>
      <c r="D429" s="32">
        <v>2020.0</v>
      </c>
      <c r="E429" t="str">
        <f t="shared" si="4"/>
        <v>5</v>
      </c>
      <c r="F429" t="str">
        <f t="shared" si="5"/>
        <v/>
      </c>
      <c r="G429" s="40" t="str">
        <f>VLOOKUP(F429,'Manager Coding'!C:D,2,0)</f>
        <v>#N/A</v>
      </c>
      <c r="H429" s="41" t="str">
        <f t="shared" si="6"/>
        <v/>
      </c>
      <c r="I429" t="str">
        <f t="shared" si="7"/>
        <v/>
      </c>
      <c r="J429" t="str">
        <f>VLOOKUP(I429,'Manager Coding'!C:D,2,0)</f>
        <v>#N/A</v>
      </c>
      <c r="K429" s="41" t="str">
        <f t="shared" si="8"/>
        <v/>
      </c>
      <c r="L429">
        <f t="shared" si="9"/>
        <v>0</v>
      </c>
      <c r="M429">
        <f t="shared" si="10"/>
        <v>0</v>
      </c>
      <c r="N429" s="53" t="s">
        <v>321</v>
      </c>
      <c r="P429" s="41"/>
      <c r="Q429" s="41"/>
      <c r="T429">
        <f t="shared" si="11"/>
        <v>0</v>
      </c>
    </row>
    <row r="430" hidden="1">
      <c r="A430" s="32" t="str">
        <f t="shared" si="1"/>
        <v>#N/A</v>
      </c>
      <c r="B430" s="32" t="str">
        <f t="shared" si="2"/>
        <v>#N/A</v>
      </c>
      <c r="C430" s="32" t="str">
        <f t="shared" si="3"/>
        <v>Week 6</v>
      </c>
      <c r="D430" s="32">
        <v>2020.0</v>
      </c>
      <c r="E430" t="str">
        <f t="shared" si="4"/>
        <v>6</v>
      </c>
      <c r="F430" t="str">
        <f t="shared" si="5"/>
        <v>TEAM MANAGER(S)</v>
      </c>
      <c r="G430" s="40" t="str">
        <f>VLOOKUP(F430,'Manager Coding'!C:D,2,0)</f>
        <v>#N/A</v>
      </c>
      <c r="H430" s="41" t="str">
        <f t="shared" si="6"/>
        <v>SCORE</v>
      </c>
      <c r="I430" t="str">
        <f t="shared" si="7"/>
        <v>TEAM MANAGER(S)</v>
      </c>
      <c r="J430" t="str">
        <f>VLOOKUP(I430,'Manager Coding'!C:D,2,0)</f>
        <v>#N/A</v>
      </c>
      <c r="K430" s="41" t="str">
        <f t="shared" si="8"/>
        <v>SCORE</v>
      </c>
      <c r="L430">
        <f t="shared" si="9"/>
        <v>0</v>
      </c>
      <c r="M430">
        <f t="shared" si="10"/>
        <v>0</v>
      </c>
      <c r="N430" s="24" t="s">
        <v>197</v>
      </c>
      <c r="O430" s="24" t="s">
        <v>88</v>
      </c>
      <c r="P430" s="26" t="s">
        <v>94</v>
      </c>
      <c r="Q430" s="27" t="s">
        <v>94</v>
      </c>
      <c r="R430" s="30" t="s">
        <v>88</v>
      </c>
      <c r="S430" s="30" t="s">
        <v>101</v>
      </c>
      <c r="T430">
        <f t="shared" si="11"/>
        <v>0</v>
      </c>
    </row>
    <row r="431" hidden="1">
      <c r="A431" s="32" t="str">
        <f t="shared" si="1"/>
        <v>2020T-HowWeek 6</v>
      </c>
      <c r="B431" s="32" t="str">
        <f t="shared" si="2"/>
        <v>2020CockWeek 6</v>
      </c>
      <c r="C431" s="32" t="str">
        <f t="shared" si="3"/>
        <v>Week 6</v>
      </c>
      <c r="D431" s="32">
        <v>2020.0</v>
      </c>
      <c r="E431" t="str">
        <f t="shared" si="4"/>
        <v>6</v>
      </c>
      <c r="F431" t="str">
        <f t="shared" si="5"/>
        <v>Tyler Howard</v>
      </c>
      <c r="G431" s="40" t="str">
        <f>VLOOKUP(F431,'Manager Coding'!C:D,2,0)</f>
        <v>T-How</v>
      </c>
      <c r="H431" s="41">
        <f t="shared" si="6"/>
        <v>69.94</v>
      </c>
      <c r="I431" t="str">
        <f t="shared" si="7"/>
        <v>Jack Babcock, Chris Cochrane</v>
      </c>
      <c r="J431" t="str">
        <f>VLOOKUP(I431,'Manager Coding'!C:D,2,0)</f>
        <v>Cock</v>
      </c>
      <c r="K431" s="41">
        <f t="shared" si="8"/>
        <v>96.64</v>
      </c>
      <c r="L431">
        <f t="shared" si="9"/>
        <v>0</v>
      </c>
      <c r="M431">
        <f t="shared" si="10"/>
        <v>1</v>
      </c>
      <c r="N431" s="54" t="s">
        <v>1200</v>
      </c>
      <c r="O431" s="55" t="s">
        <v>85</v>
      </c>
      <c r="P431" s="67">
        <v>69.94</v>
      </c>
      <c r="Q431" s="68">
        <v>96.64</v>
      </c>
      <c r="R431" s="48" t="s">
        <v>73</v>
      </c>
      <c r="S431" s="54" t="s">
        <v>1185</v>
      </c>
      <c r="T431">
        <f t="shared" si="11"/>
        <v>26.7</v>
      </c>
    </row>
    <row r="432" hidden="1">
      <c r="A432" s="32" t="str">
        <f t="shared" si="1"/>
        <v>2020SaltyWeek 6</v>
      </c>
      <c r="B432" s="32" t="str">
        <f t="shared" si="2"/>
        <v>2020HudspeathWeek 6</v>
      </c>
      <c r="C432" s="32" t="str">
        <f t="shared" si="3"/>
        <v>Week 6</v>
      </c>
      <c r="D432" s="32">
        <v>2020.0</v>
      </c>
      <c r="E432" t="str">
        <f t="shared" si="4"/>
        <v>6</v>
      </c>
      <c r="F432" t="str">
        <f t="shared" si="5"/>
        <v>R Saltiel</v>
      </c>
      <c r="G432" s="40" t="str">
        <f>VLOOKUP(F432,'Manager Coding'!C:D,2,0)</f>
        <v>Salty</v>
      </c>
      <c r="H432" s="41">
        <f t="shared" si="6"/>
        <v>66.4</v>
      </c>
      <c r="I432" t="str">
        <f t="shared" si="7"/>
        <v>matt hudspeath</v>
      </c>
      <c r="J432" t="str">
        <f>VLOOKUP(I432,'Manager Coding'!C:D,2,0)</f>
        <v>Hudspeath</v>
      </c>
      <c r="K432" s="41">
        <f t="shared" si="8"/>
        <v>70.28</v>
      </c>
      <c r="L432">
        <f t="shared" si="9"/>
        <v>0</v>
      </c>
      <c r="M432">
        <f t="shared" si="10"/>
        <v>1</v>
      </c>
      <c r="N432" s="54" t="s">
        <v>1198</v>
      </c>
      <c r="O432" s="55" t="s">
        <v>77</v>
      </c>
      <c r="P432" s="67">
        <v>66.4</v>
      </c>
      <c r="Q432" s="68">
        <v>70.28</v>
      </c>
      <c r="R432" s="48" t="s">
        <v>64</v>
      </c>
      <c r="S432" s="54" t="s">
        <v>1202</v>
      </c>
      <c r="T432">
        <f t="shared" si="11"/>
        <v>3.88</v>
      </c>
    </row>
    <row r="433" hidden="1">
      <c r="A433" s="32" t="str">
        <f t="shared" si="1"/>
        <v>2020ShepWeek 6</v>
      </c>
      <c r="B433" s="32" t="str">
        <f t="shared" si="2"/>
        <v>2020BuserWeek 6</v>
      </c>
      <c r="C433" s="32" t="str">
        <f t="shared" si="3"/>
        <v>Week 6</v>
      </c>
      <c r="D433" s="32">
        <v>2020.0</v>
      </c>
      <c r="E433" t="str">
        <f t="shared" si="4"/>
        <v>6</v>
      </c>
      <c r="F433" t="str">
        <f t="shared" si="5"/>
        <v>Jordan Shepherd</v>
      </c>
      <c r="G433" s="40" t="str">
        <f>VLOOKUP(F433,'Manager Coding'!C:D,2,0)</f>
        <v>Shep</v>
      </c>
      <c r="H433" s="41">
        <f t="shared" si="6"/>
        <v>67.8</v>
      </c>
      <c r="I433" t="str">
        <f t="shared" si="7"/>
        <v>Ed Buser</v>
      </c>
      <c r="J433" t="str">
        <f>VLOOKUP(I433,'Manager Coding'!C:D,2,0)</f>
        <v>Buser</v>
      </c>
      <c r="K433" s="41">
        <f t="shared" si="8"/>
        <v>99.02</v>
      </c>
      <c r="L433">
        <f t="shared" si="9"/>
        <v>0</v>
      </c>
      <c r="M433">
        <f t="shared" si="10"/>
        <v>1</v>
      </c>
      <c r="N433" s="54" t="s">
        <v>1196</v>
      </c>
      <c r="O433" s="55" t="s">
        <v>91</v>
      </c>
      <c r="P433" s="67">
        <v>67.8</v>
      </c>
      <c r="Q433" s="68">
        <v>99.02</v>
      </c>
      <c r="R433" s="48" t="s">
        <v>50</v>
      </c>
      <c r="S433" s="54" t="s">
        <v>1199</v>
      </c>
      <c r="T433">
        <f t="shared" si="11"/>
        <v>31.22</v>
      </c>
    </row>
    <row r="434" hidden="1">
      <c r="A434" s="32" t="str">
        <f t="shared" si="1"/>
        <v>2020FellowsWeek 6</v>
      </c>
      <c r="B434" s="32" t="str">
        <f t="shared" si="2"/>
        <v>2020TayskiWeek 6</v>
      </c>
      <c r="C434" s="32" t="str">
        <f t="shared" si="3"/>
        <v>Week 6</v>
      </c>
      <c r="D434" s="32">
        <v>2020.0</v>
      </c>
      <c r="E434" t="str">
        <f t="shared" si="4"/>
        <v>6</v>
      </c>
      <c r="F434" t="str">
        <f t="shared" si="5"/>
        <v>Michael Fellows</v>
      </c>
      <c r="G434" s="40" t="str">
        <f>VLOOKUP(F434,'Manager Coding'!C:D,2,0)</f>
        <v>Fellows</v>
      </c>
      <c r="H434" s="41">
        <f t="shared" si="6"/>
        <v>106.28</v>
      </c>
      <c r="I434" t="str">
        <f t="shared" si="7"/>
        <v>Taylor Weis</v>
      </c>
      <c r="J434" t="str">
        <f>VLOOKUP(I434,'Manager Coding'!C:D,2,0)</f>
        <v>Tayski</v>
      </c>
      <c r="K434" s="41">
        <f t="shared" si="8"/>
        <v>109.08</v>
      </c>
      <c r="L434">
        <f t="shared" si="9"/>
        <v>0</v>
      </c>
      <c r="M434">
        <f t="shared" si="10"/>
        <v>1</v>
      </c>
      <c r="N434" s="54" t="s">
        <v>1191</v>
      </c>
      <c r="O434" s="55" t="s">
        <v>80</v>
      </c>
      <c r="P434" s="67">
        <v>106.28</v>
      </c>
      <c r="Q434" s="68">
        <v>109.08</v>
      </c>
      <c r="R434" s="48" t="s">
        <v>54</v>
      </c>
      <c r="S434" s="54" t="s">
        <v>1197</v>
      </c>
      <c r="T434">
        <f t="shared" si="11"/>
        <v>2.8</v>
      </c>
    </row>
    <row r="435" hidden="1">
      <c r="A435" s="32" t="str">
        <f t="shared" si="1"/>
        <v>2020KnardDawgWeek 6</v>
      </c>
      <c r="B435" s="32" t="str">
        <f t="shared" si="2"/>
        <v>2020Rooney/JacksonWeek 6</v>
      </c>
      <c r="C435" s="32" t="str">
        <f t="shared" si="3"/>
        <v>Week 6</v>
      </c>
      <c r="D435" s="32">
        <v>2020.0</v>
      </c>
      <c r="E435" t="str">
        <f t="shared" si="4"/>
        <v>6</v>
      </c>
      <c r="F435" t="str">
        <f t="shared" si="5"/>
        <v>Alex Kinniard, Jack Reilly</v>
      </c>
      <c r="G435" s="40" t="str">
        <f>VLOOKUP(F435,'Manager Coding'!C:D,2,0)</f>
        <v>KnardDawg</v>
      </c>
      <c r="H435" s="41">
        <f t="shared" si="6"/>
        <v>96.5</v>
      </c>
      <c r="I435" t="str">
        <f t="shared" si="7"/>
        <v>Stephen Rooney, Jackson Sattell</v>
      </c>
      <c r="J435" t="str">
        <f>VLOOKUP(I435,'Manager Coding'!C:D,2,0)</f>
        <v>Rooney/Jackson</v>
      </c>
      <c r="K435" s="41">
        <f t="shared" si="8"/>
        <v>102.22</v>
      </c>
      <c r="L435">
        <f t="shared" si="9"/>
        <v>0</v>
      </c>
      <c r="M435">
        <f t="shared" si="10"/>
        <v>1</v>
      </c>
      <c r="N435" s="54" t="s">
        <v>1187</v>
      </c>
      <c r="O435" s="55" t="s">
        <v>87</v>
      </c>
      <c r="P435" s="67">
        <v>96.5</v>
      </c>
      <c r="Q435" s="68">
        <v>102.22</v>
      </c>
      <c r="R435" s="48" t="s">
        <v>58</v>
      </c>
      <c r="S435" s="54" t="s">
        <v>1192</v>
      </c>
      <c r="T435">
        <f t="shared" si="11"/>
        <v>5.72</v>
      </c>
    </row>
    <row r="436" hidden="1">
      <c r="A436" s="32" t="str">
        <f t="shared" si="1"/>
        <v>2020RileyWeek 6</v>
      </c>
      <c r="B436" s="32" t="str">
        <f t="shared" si="2"/>
        <v>2020PiersonWeek 6</v>
      </c>
      <c r="C436" s="32" t="str">
        <f t="shared" si="3"/>
        <v>Week 6</v>
      </c>
      <c r="D436" s="32">
        <v>2020.0</v>
      </c>
      <c r="E436" t="str">
        <f t="shared" si="4"/>
        <v>6</v>
      </c>
      <c r="F436" t="str">
        <f t="shared" si="5"/>
        <v>Riley McElwain</v>
      </c>
      <c r="G436" s="40" t="str">
        <f>VLOOKUP(F436,'Manager Coding'!C:D,2,0)</f>
        <v>Riley</v>
      </c>
      <c r="H436" s="41">
        <f t="shared" si="6"/>
        <v>88.12</v>
      </c>
      <c r="I436" t="str">
        <f t="shared" si="7"/>
        <v>Pierson Curtis</v>
      </c>
      <c r="J436" t="str">
        <f>VLOOKUP(I436,'Manager Coding'!C:D,2,0)</f>
        <v>Pierson</v>
      </c>
      <c r="K436" s="41">
        <f t="shared" si="8"/>
        <v>125.94</v>
      </c>
      <c r="L436">
        <f t="shared" si="9"/>
        <v>0</v>
      </c>
      <c r="M436">
        <f t="shared" si="10"/>
        <v>1</v>
      </c>
      <c r="N436" s="54" t="s">
        <v>1186</v>
      </c>
      <c r="O436" s="55" t="s">
        <v>68</v>
      </c>
      <c r="P436" s="67">
        <v>88.12</v>
      </c>
      <c r="Q436" s="68">
        <v>125.94</v>
      </c>
      <c r="R436" s="48" t="s">
        <v>93</v>
      </c>
      <c r="S436" s="54" t="s">
        <v>1190</v>
      </c>
      <c r="T436">
        <f t="shared" si="11"/>
        <v>37.82</v>
      </c>
    </row>
    <row r="437" hidden="1">
      <c r="A437" s="32" t="str">
        <f t="shared" si="1"/>
        <v>#N/A</v>
      </c>
      <c r="B437" s="32" t="str">
        <f t="shared" si="2"/>
        <v>#N/A</v>
      </c>
      <c r="C437" s="32" t="str">
        <f t="shared" si="3"/>
        <v>Week 6</v>
      </c>
      <c r="D437" s="32">
        <v>2020.0</v>
      </c>
      <c r="E437" t="str">
        <f t="shared" si="4"/>
        <v>6</v>
      </c>
      <c r="F437" t="str">
        <f t="shared" si="5"/>
        <v/>
      </c>
      <c r="G437" s="40" t="str">
        <f>VLOOKUP(F437,'Manager Coding'!C:D,2,0)</f>
        <v>#N/A</v>
      </c>
      <c r="H437" s="41" t="str">
        <f t="shared" si="6"/>
        <v/>
      </c>
      <c r="I437" t="str">
        <f t="shared" si="7"/>
        <v/>
      </c>
      <c r="J437" t="str">
        <f>VLOOKUP(I437,'Manager Coding'!C:D,2,0)</f>
        <v>#N/A</v>
      </c>
      <c r="K437" s="41" t="str">
        <f t="shared" si="8"/>
        <v/>
      </c>
      <c r="L437">
        <f t="shared" si="9"/>
        <v>0</v>
      </c>
      <c r="M437">
        <f t="shared" si="10"/>
        <v>0</v>
      </c>
      <c r="N437" s="53" t="s">
        <v>340</v>
      </c>
      <c r="P437" s="41"/>
      <c r="Q437" s="41"/>
      <c r="T437">
        <f t="shared" si="11"/>
        <v>0</v>
      </c>
    </row>
    <row r="438" hidden="1">
      <c r="A438" s="32" t="str">
        <f t="shared" si="1"/>
        <v>#N/A</v>
      </c>
      <c r="B438" s="32" t="str">
        <f t="shared" si="2"/>
        <v>#N/A</v>
      </c>
      <c r="C438" s="32" t="str">
        <f t="shared" si="3"/>
        <v>Week 7</v>
      </c>
      <c r="D438" s="32">
        <v>2020.0</v>
      </c>
      <c r="E438" t="str">
        <f t="shared" si="4"/>
        <v>7</v>
      </c>
      <c r="F438" t="str">
        <f t="shared" si="5"/>
        <v>TEAM MANAGER(S)</v>
      </c>
      <c r="G438" s="40" t="str">
        <f>VLOOKUP(F438,'Manager Coding'!C:D,2,0)</f>
        <v>#N/A</v>
      </c>
      <c r="H438" s="41" t="str">
        <f t="shared" si="6"/>
        <v>SCORE</v>
      </c>
      <c r="I438" t="str">
        <f t="shared" si="7"/>
        <v>TEAM MANAGER(S)</v>
      </c>
      <c r="J438" t="str">
        <f>VLOOKUP(I438,'Manager Coding'!C:D,2,0)</f>
        <v>#N/A</v>
      </c>
      <c r="K438" s="41" t="str">
        <f t="shared" si="8"/>
        <v>SCORE</v>
      </c>
      <c r="L438">
        <f t="shared" si="9"/>
        <v>0</v>
      </c>
      <c r="M438">
        <f t="shared" si="10"/>
        <v>0</v>
      </c>
      <c r="N438" s="24" t="s">
        <v>197</v>
      </c>
      <c r="O438" s="24" t="s">
        <v>88</v>
      </c>
      <c r="P438" s="26" t="s">
        <v>94</v>
      </c>
      <c r="Q438" s="27" t="s">
        <v>94</v>
      </c>
      <c r="R438" s="30" t="s">
        <v>88</v>
      </c>
      <c r="S438" s="30" t="s">
        <v>101</v>
      </c>
      <c r="T438">
        <f t="shared" si="11"/>
        <v>0</v>
      </c>
    </row>
    <row r="439" hidden="1">
      <c r="A439" s="32" t="str">
        <f t="shared" si="1"/>
        <v>2020CockWeek 7</v>
      </c>
      <c r="B439" s="32" t="str">
        <f t="shared" si="2"/>
        <v>2020HudspeathWeek 7</v>
      </c>
      <c r="C439" s="32" t="str">
        <f t="shared" si="3"/>
        <v>Week 7</v>
      </c>
      <c r="D439" s="32">
        <v>2020.0</v>
      </c>
      <c r="E439" t="str">
        <f t="shared" si="4"/>
        <v>7</v>
      </c>
      <c r="F439" t="str">
        <f t="shared" si="5"/>
        <v>Jack Babcock, Chris Cochrane</v>
      </c>
      <c r="G439" s="40" t="str">
        <f>VLOOKUP(F439,'Manager Coding'!C:D,2,0)</f>
        <v>Cock</v>
      </c>
      <c r="H439" s="41">
        <f t="shared" si="6"/>
        <v>142.8</v>
      </c>
      <c r="I439" t="str">
        <f t="shared" si="7"/>
        <v>matt hudspeath</v>
      </c>
      <c r="J439" t="str">
        <f>VLOOKUP(I439,'Manager Coding'!C:D,2,0)</f>
        <v>Hudspeath</v>
      </c>
      <c r="K439" s="41">
        <f t="shared" si="8"/>
        <v>67.66</v>
      </c>
      <c r="L439">
        <f t="shared" si="9"/>
        <v>1</v>
      </c>
      <c r="M439">
        <f t="shared" si="10"/>
        <v>0</v>
      </c>
      <c r="N439" s="54" t="s">
        <v>1185</v>
      </c>
      <c r="O439" s="55" t="s">
        <v>73</v>
      </c>
      <c r="P439" s="67">
        <v>142.8</v>
      </c>
      <c r="Q439" s="68">
        <v>67.66</v>
      </c>
      <c r="R439" s="48" t="s">
        <v>64</v>
      </c>
      <c r="S439" s="54" t="s">
        <v>1202</v>
      </c>
      <c r="T439">
        <f t="shared" si="11"/>
        <v>75.14</v>
      </c>
    </row>
    <row r="440" hidden="1">
      <c r="A440" s="32" t="str">
        <f t="shared" si="1"/>
        <v>2020BuserWeek 7</v>
      </c>
      <c r="B440" s="32" t="str">
        <f t="shared" si="2"/>
        <v>2020T-HowWeek 7</v>
      </c>
      <c r="C440" s="32" t="str">
        <f t="shared" si="3"/>
        <v>Week 7</v>
      </c>
      <c r="D440" s="32">
        <v>2020.0</v>
      </c>
      <c r="E440" t="str">
        <f t="shared" si="4"/>
        <v>7</v>
      </c>
      <c r="F440" t="str">
        <f t="shared" si="5"/>
        <v>Ed Buser</v>
      </c>
      <c r="G440" s="40" t="str">
        <f>VLOOKUP(F440,'Manager Coding'!C:D,2,0)</f>
        <v>Buser</v>
      </c>
      <c r="H440" s="41">
        <f t="shared" si="6"/>
        <v>139.4</v>
      </c>
      <c r="I440" t="str">
        <f t="shared" si="7"/>
        <v>Tyler Howard</v>
      </c>
      <c r="J440" t="str">
        <f>VLOOKUP(I440,'Manager Coding'!C:D,2,0)</f>
        <v>T-How</v>
      </c>
      <c r="K440" s="41">
        <f t="shared" si="8"/>
        <v>92.62</v>
      </c>
      <c r="L440">
        <f t="shared" si="9"/>
        <v>1</v>
      </c>
      <c r="M440">
        <f t="shared" si="10"/>
        <v>0</v>
      </c>
      <c r="N440" s="54" t="s">
        <v>1199</v>
      </c>
      <c r="O440" s="55" t="s">
        <v>50</v>
      </c>
      <c r="P440" s="67">
        <v>139.4</v>
      </c>
      <c r="Q440" s="68">
        <v>92.62</v>
      </c>
      <c r="R440" s="48" t="s">
        <v>85</v>
      </c>
      <c r="S440" s="54" t="s">
        <v>1200</v>
      </c>
      <c r="T440">
        <f t="shared" si="11"/>
        <v>46.78</v>
      </c>
    </row>
    <row r="441" hidden="1">
      <c r="A441" s="32" t="str">
        <f t="shared" si="1"/>
        <v>2020TayskiWeek 7</v>
      </c>
      <c r="B441" s="32" t="str">
        <f t="shared" si="2"/>
        <v>2020SaltyWeek 7</v>
      </c>
      <c r="C441" s="32" t="str">
        <f t="shared" si="3"/>
        <v>Week 7</v>
      </c>
      <c r="D441" s="32">
        <v>2020.0</v>
      </c>
      <c r="E441" t="str">
        <f t="shared" si="4"/>
        <v>7</v>
      </c>
      <c r="F441" t="str">
        <f t="shared" si="5"/>
        <v>Taylor Weis</v>
      </c>
      <c r="G441" s="40" t="str">
        <f>VLOOKUP(F441,'Manager Coding'!C:D,2,0)</f>
        <v>Tayski</v>
      </c>
      <c r="H441" s="41">
        <f t="shared" si="6"/>
        <v>90.92</v>
      </c>
      <c r="I441" t="str">
        <f t="shared" si="7"/>
        <v>R Saltiel</v>
      </c>
      <c r="J441" t="str">
        <f>VLOOKUP(I441,'Manager Coding'!C:D,2,0)</f>
        <v>Salty</v>
      </c>
      <c r="K441" s="41">
        <f t="shared" si="8"/>
        <v>61.2</v>
      </c>
      <c r="L441">
        <f t="shared" si="9"/>
        <v>1</v>
      </c>
      <c r="M441">
        <f t="shared" si="10"/>
        <v>0</v>
      </c>
      <c r="N441" s="54" t="s">
        <v>1197</v>
      </c>
      <c r="O441" s="55" t="s">
        <v>54</v>
      </c>
      <c r="P441" s="67">
        <v>90.92</v>
      </c>
      <c r="Q441" s="68">
        <v>61.2</v>
      </c>
      <c r="R441" s="48" t="s">
        <v>77</v>
      </c>
      <c r="S441" s="54" t="s">
        <v>1198</v>
      </c>
      <c r="T441">
        <f t="shared" si="11"/>
        <v>29.72</v>
      </c>
    </row>
    <row r="442" hidden="1">
      <c r="A442" s="32" t="str">
        <f t="shared" si="1"/>
        <v>2020Rooney/JacksonWeek 7</v>
      </c>
      <c r="B442" s="32" t="str">
        <f t="shared" si="2"/>
        <v>2020ShepWeek 7</v>
      </c>
      <c r="C442" s="32" t="str">
        <f t="shared" si="3"/>
        <v>Week 7</v>
      </c>
      <c r="D442" s="32">
        <v>2020.0</v>
      </c>
      <c r="E442" t="str">
        <f t="shared" si="4"/>
        <v>7</v>
      </c>
      <c r="F442" t="str">
        <f t="shared" si="5"/>
        <v>Stephen Rooney, Jackson Sattell</v>
      </c>
      <c r="G442" s="40" t="str">
        <f>VLOOKUP(F442,'Manager Coding'!C:D,2,0)</f>
        <v>Rooney/Jackson</v>
      </c>
      <c r="H442" s="41">
        <f t="shared" si="6"/>
        <v>93.6</v>
      </c>
      <c r="I442" t="str">
        <f t="shared" si="7"/>
        <v>Jordan Shepherd</v>
      </c>
      <c r="J442" t="str">
        <f>VLOOKUP(I442,'Manager Coding'!C:D,2,0)</f>
        <v>Shep</v>
      </c>
      <c r="K442" s="41">
        <f t="shared" si="8"/>
        <v>78.42</v>
      </c>
      <c r="L442">
        <f t="shared" si="9"/>
        <v>1</v>
      </c>
      <c r="M442">
        <f t="shared" si="10"/>
        <v>0</v>
      </c>
      <c r="N442" s="54" t="s">
        <v>1192</v>
      </c>
      <c r="O442" s="55" t="s">
        <v>58</v>
      </c>
      <c r="P442" s="67">
        <v>93.6</v>
      </c>
      <c r="Q442" s="68">
        <v>78.42</v>
      </c>
      <c r="R442" s="48" t="s">
        <v>91</v>
      </c>
      <c r="S442" s="54" t="s">
        <v>1196</v>
      </c>
      <c r="T442">
        <f t="shared" si="11"/>
        <v>15.18</v>
      </c>
    </row>
    <row r="443" hidden="1">
      <c r="A443" s="32" t="str">
        <f t="shared" si="1"/>
        <v>2020PiersonWeek 7</v>
      </c>
      <c r="B443" s="32" t="str">
        <f t="shared" si="2"/>
        <v>2020FellowsWeek 7</v>
      </c>
      <c r="C443" s="32" t="str">
        <f t="shared" si="3"/>
        <v>Week 7</v>
      </c>
      <c r="D443" s="32">
        <v>2020.0</v>
      </c>
      <c r="E443" t="str">
        <f t="shared" si="4"/>
        <v>7</v>
      </c>
      <c r="F443" t="str">
        <f t="shared" si="5"/>
        <v>Pierson Curtis</v>
      </c>
      <c r="G443" s="40" t="str">
        <f>VLOOKUP(F443,'Manager Coding'!C:D,2,0)</f>
        <v>Pierson</v>
      </c>
      <c r="H443" s="41">
        <f t="shared" si="6"/>
        <v>107.36</v>
      </c>
      <c r="I443" t="str">
        <f t="shared" si="7"/>
        <v>Michael Fellows</v>
      </c>
      <c r="J443" t="str">
        <f>VLOOKUP(I443,'Manager Coding'!C:D,2,0)</f>
        <v>Fellows</v>
      </c>
      <c r="K443" s="41">
        <f t="shared" si="8"/>
        <v>44.82</v>
      </c>
      <c r="L443">
        <f t="shared" si="9"/>
        <v>1</v>
      </c>
      <c r="M443">
        <f t="shared" si="10"/>
        <v>0</v>
      </c>
      <c r="N443" s="54" t="s">
        <v>1190</v>
      </c>
      <c r="O443" s="55" t="s">
        <v>93</v>
      </c>
      <c r="P443" s="67">
        <v>107.36</v>
      </c>
      <c r="Q443" s="68">
        <v>44.82</v>
      </c>
      <c r="R443" s="48" t="s">
        <v>80</v>
      </c>
      <c r="S443" s="54" t="s">
        <v>1191</v>
      </c>
      <c r="T443">
        <f t="shared" si="11"/>
        <v>62.54</v>
      </c>
    </row>
    <row r="444" hidden="1">
      <c r="A444" s="32" t="str">
        <f t="shared" si="1"/>
        <v>2020RileyWeek 7</v>
      </c>
      <c r="B444" s="32" t="str">
        <f t="shared" si="2"/>
        <v>2020KnardDawgWeek 7</v>
      </c>
      <c r="C444" s="32" t="str">
        <f t="shared" si="3"/>
        <v>Week 7</v>
      </c>
      <c r="D444" s="32">
        <v>2020.0</v>
      </c>
      <c r="E444" t="str">
        <f t="shared" si="4"/>
        <v>7</v>
      </c>
      <c r="F444" t="str">
        <f t="shared" si="5"/>
        <v>Riley McElwain</v>
      </c>
      <c r="G444" s="40" t="str">
        <f>VLOOKUP(F444,'Manager Coding'!C:D,2,0)</f>
        <v>Riley</v>
      </c>
      <c r="H444" s="41">
        <f t="shared" si="6"/>
        <v>129.32</v>
      </c>
      <c r="I444" t="str">
        <f t="shared" si="7"/>
        <v>Alex Kinniard, Jack Reilly</v>
      </c>
      <c r="J444" t="str">
        <f>VLOOKUP(I444,'Manager Coding'!C:D,2,0)</f>
        <v>KnardDawg</v>
      </c>
      <c r="K444" s="41">
        <f t="shared" si="8"/>
        <v>101.56</v>
      </c>
      <c r="L444">
        <f t="shared" si="9"/>
        <v>1</v>
      </c>
      <c r="M444">
        <f t="shared" si="10"/>
        <v>0</v>
      </c>
      <c r="N444" s="54" t="s">
        <v>1186</v>
      </c>
      <c r="O444" s="55" t="s">
        <v>68</v>
      </c>
      <c r="P444" s="67">
        <v>129.32</v>
      </c>
      <c r="Q444" s="68">
        <v>101.56</v>
      </c>
      <c r="R444" s="48" t="s">
        <v>87</v>
      </c>
      <c r="S444" s="54" t="s">
        <v>1187</v>
      </c>
      <c r="T444">
        <f t="shared" si="11"/>
        <v>27.76</v>
      </c>
    </row>
    <row r="445" hidden="1">
      <c r="A445" s="32" t="str">
        <f t="shared" si="1"/>
        <v>#N/A</v>
      </c>
      <c r="B445" s="32" t="str">
        <f t="shared" si="2"/>
        <v>#N/A</v>
      </c>
      <c r="C445" s="32" t="str">
        <f t="shared" si="3"/>
        <v>Week 7</v>
      </c>
      <c r="D445" s="32">
        <v>2020.0</v>
      </c>
      <c r="E445" t="str">
        <f t="shared" si="4"/>
        <v>7</v>
      </c>
      <c r="F445" t="str">
        <f t="shared" si="5"/>
        <v/>
      </c>
      <c r="G445" s="40" t="str">
        <f>VLOOKUP(F445,'Manager Coding'!C:D,2,0)</f>
        <v>#N/A</v>
      </c>
      <c r="H445" s="41" t="str">
        <f t="shared" si="6"/>
        <v/>
      </c>
      <c r="I445" t="str">
        <f t="shared" si="7"/>
        <v/>
      </c>
      <c r="J445" t="str">
        <f>VLOOKUP(I445,'Manager Coding'!C:D,2,0)</f>
        <v>#N/A</v>
      </c>
      <c r="K445" s="41" t="str">
        <f t="shared" si="8"/>
        <v/>
      </c>
      <c r="L445">
        <f t="shared" si="9"/>
        <v>0</v>
      </c>
      <c r="M445">
        <f t="shared" si="10"/>
        <v>0</v>
      </c>
      <c r="N445" s="53" t="s">
        <v>367</v>
      </c>
      <c r="P445" s="41"/>
      <c r="Q445" s="41"/>
      <c r="T445">
        <f t="shared" si="11"/>
        <v>0</v>
      </c>
    </row>
    <row r="446" hidden="1">
      <c r="A446" s="32" t="str">
        <f t="shared" si="1"/>
        <v>#N/A</v>
      </c>
      <c r="B446" s="32" t="str">
        <f t="shared" si="2"/>
        <v>#N/A</v>
      </c>
      <c r="C446" s="32" t="str">
        <f t="shared" si="3"/>
        <v>Week 8</v>
      </c>
      <c r="D446" s="32">
        <v>2020.0</v>
      </c>
      <c r="E446" t="str">
        <f t="shared" si="4"/>
        <v>8</v>
      </c>
      <c r="F446" t="str">
        <f t="shared" si="5"/>
        <v>TEAM MANAGER(S)</v>
      </c>
      <c r="G446" s="40" t="str">
        <f>VLOOKUP(F446,'Manager Coding'!C:D,2,0)</f>
        <v>#N/A</v>
      </c>
      <c r="H446" s="41" t="str">
        <f t="shared" si="6"/>
        <v>SCORE</v>
      </c>
      <c r="I446" t="str">
        <f t="shared" si="7"/>
        <v>TEAM MANAGER(S)</v>
      </c>
      <c r="J446" t="str">
        <f>VLOOKUP(I446,'Manager Coding'!C:D,2,0)</f>
        <v>#N/A</v>
      </c>
      <c r="K446" s="41" t="str">
        <f t="shared" si="8"/>
        <v>SCORE</v>
      </c>
      <c r="L446">
        <f t="shared" si="9"/>
        <v>0</v>
      </c>
      <c r="M446">
        <f t="shared" si="10"/>
        <v>0</v>
      </c>
      <c r="N446" s="24" t="s">
        <v>197</v>
      </c>
      <c r="O446" s="24" t="s">
        <v>88</v>
      </c>
      <c r="P446" s="26" t="s">
        <v>94</v>
      </c>
      <c r="Q446" s="27" t="s">
        <v>94</v>
      </c>
      <c r="R446" s="30" t="s">
        <v>88</v>
      </c>
      <c r="S446" s="30" t="s">
        <v>101</v>
      </c>
      <c r="T446">
        <f t="shared" si="11"/>
        <v>0</v>
      </c>
    </row>
    <row r="447" hidden="1">
      <c r="A447" s="32" t="str">
        <f t="shared" si="1"/>
        <v>2020BuserWeek 8</v>
      </c>
      <c r="B447" s="32" t="str">
        <f t="shared" si="2"/>
        <v>2020CockWeek 8</v>
      </c>
      <c r="C447" s="32" t="str">
        <f t="shared" si="3"/>
        <v>Week 8</v>
      </c>
      <c r="D447" s="32">
        <v>2020.0</v>
      </c>
      <c r="E447" t="str">
        <f t="shared" si="4"/>
        <v>8</v>
      </c>
      <c r="F447" t="str">
        <f t="shared" si="5"/>
        <v>Ed Buser</v>
      </c>
      <c r="G447" s="40" t="str">
        <f>VLOOKUP(F447,'Manager Coding'!C:D,2,0)</f>
        <v>Buser</v>
      </c>
      <c r="H447" s="41">
        <f t="shared" si="6"/>
        <v>78.52</v>
      </c>
      <c r="I447" t="str">
        <f t="shared" si="7"/>
        <v>Jack Babcock, Chris Cochrane</v>
      </c>
      <c r="J447" t="str">
        <f>VLOOKUP(I447,'Manager Coding'!C:D,2,0)</f>
        <v>Cock</v>
      </c>
      <c r="K447" s="41">
        <f t="shared" si="8"/>
        <v>70.02</v>
      </c>
      <c r="L447">
        <f t="shared" si="9"/>
        <v>1</v>
      </c>
      <c r="M447">
        <f t="shared" si="10"/>
        <v>0</v>
      </c>
      <c r="N447" s="54" t="s">
        <v>1199</v>
      </c>
      <c r="O447" s="55" t="s">
        <v>50</v>
      </c>
      <c r="P447" s="67">
        <v>78.52</v>
      </c>
      <c r="Q447" s="68">
        <v>70.02</v>
      </c>
      <c r="R447" s="48" t="s">
        <v>73</v>
      </c>
      <c r="S447" s="54" t="s">
        <v>1185</v>
      </c>
      <c r="T447">
        <f t="shared" si="11"/>
        <v>8.5</v>
      </c>
    </row>
    <row r="448" hidden="1">
      <c r="A448" s="32" t="str">
        <f t="shared" si="1"/>
        <v>2020HudspeathWeek 8</v>
      </c>
      <c r="B448" s="32" t="str">
        <f t="shared" si="2"/>
        <v>2020TayskiWeek 8</v>
      </c>
      <c r="C448" s="32" t="str">
        <f t="shared" si="3"/>
        <v>Week 8</v>
      </c>
      <c r="D448" s="32">
        <v>2020.0</v>
      </c>
      <c r="E448" t="str">
        <f t="shared" si="4"/>
        <v>8</v>
      </c>
      <c r="F448" t="str">
        <f t="shared" si="5"/>
        <v>matt hudspeath</v>
      </c>
      <c r="G448" s="40" t="str">
        <f>VLOOKUP(F448,'Manager Coding'!C:D,2,0)</f>
        <v>Hudspeath</v>
      </c>
      <c r="H448" s="41">
        <f t="shared" si="6"/>
        <v>54.56</v>
      </c>
      <c r="I448" t="str">
        <f t="shared" si="7"/>
        <v>Taylor Weis</v>
      </c>
      <c r="J448" t="str">
        <f>VLOOKUP(I448,'Manager Coding'!C:D,2,0)</f>
        <v>Tayski</v>
      </c>
      <c r="K448" s="41">
        <f t="shared" si="8"/>
        <v>92.76</v>
      </c>
      <c r="L448">
        <f t="shared" si="9"/>
        <v>0</v>
      </c>
      <c r="M448">
        <f t="shared" si="10"/>
        <v>1</v>
      </c>
      <c r="N448" s="54" t="s">
        <v>1202</v>
      </c>
      <c r="O448" s="55" t="s">
        <v>64</v>
      </c>
      <c r="P448" s="67">
        <v>54.56</v>
      </c>
      <c r="Q448" s="68">
        <v>92.76</v>
      </c>
      <c r="R448" s="48" t="s">
        <v>54</v>
      </c>
      <c r="S448" s="54" t="s">
        <v>1197</v>
      </c>
      <c r="T448">
        <f t="shared" si="11"/>
        <v>38.2</v>
      </c>
    </row>
    <row r="449" hidden="1">
      <c r="A449" s="32" t="str">
        <f t="shared" si="1"/>
        <v>2020T-HowWeek 8</v>
      </c>
      <c r="B449" s="32" t="str">
        <f t="shared" si="2"/>
        <v>2020Rooney/JacksonWeek 8</v>
      </c>
      <c r="C449" s="32" t="str">
        <f t="shared" si="3"/>
        <v>Week 8</v>
      </c>
      <c r="D449" s="32">
        <v>2020.0</v>
      </c>
      <c r="E449" t="str">
        <f t="shared" si="4"/>
        <v>8</v>
      </c>
      <c r="F449" t="str">
        <f t="shared" si="5"/>
        <v>Tyler Howard</v>
      </c>
      <c r="G449" s="40" t="str">
        <f>VLOOKUP(F449,'Manager Coding'!C:D,2,0)</f>
        <v>T-How</v>
      </c>
      <c r="H449" s="41">
        <f t="shared" si="6"/>
        <v>96.16</v>
      </c>
      <c r="I449" t="str">
        <f t="shared" si="7"/>
        <v>Stephen Rooney, Jackson Sattell</v>
      </c>
      <c r="J449" t="str">
        <f>VLOOKUP(I449,'Manager Coding'!C:D,2,0)</f>
        <v>Rooney/Jackson</v>
      </c>
      <c r="K449" s="41">
        <f t="shared" si="8"/>
        <v>82.04</v>
      </c>
      <c r="L449">
        <f t="shared" si="9"/>
        <v>1</v>
      </c>
      <c r="M449">
        <f t="shared" si="10"/>
        <v>0</v>
      </c>
      <c r="N449" s="54" t="s">
        <v>1200</v>
      </c>
      <c r="O449" s="55" t="s">
        <v>85</v>
      </c>
      <c r="P449" s="67">
        <v>96.16</v>
      </c>
      <c r="Q449" s="68">
        <v>82.04</v>
      </c>
      <c r="R449" s="48" t="s">
        <v>58</v>
      </c>
      <c r="S449" s="54" t="s">
        <v>1192</v>
      </c>
      <c r="T449">
        <f t="shared" si="11"/>
        <v>14.12</v>
      </c>
    </row>
    <row r="450" hidden="1">
      <c r="A450" s="32" t="str">
        <f t="shared" si="1"/>
        <v>2020SaltyWeek 8</v>
      </c>
      <c r="B450" s="32" t="str">
        <f t="shared" si="2"/>
        <v>2020PiersonWeek 8</v>
      </c>
      <c r="C450" s="32" t="str">
        <f t="shared" si="3"/>
        <v>Week 8</v>
      </c>
      <c r="D450" s="32">
        <v>2020.0</v>
      </c>
      <c r="E450" t="str">
        <f t="shared" si="4"/>
        <v>8</v>
      </c>
      <c r="F450" t="str">
        <f t="shared" si="5"/>
        <v>R Saltiel</v>
      </c>
      <c r="G450" s="40" t="str">
        <f>VLOOKUP(F450,'Manager Coding'!C:D,2,0)</f>
        <v>Salty</v>
      </c>
      <c r="H450" s="41">
        <f t="shared" si="6"/>
        <v>118.74</v>
      </c>
      <c r="I450" t="str">
        <f t="shared" si="7"/>
        <v>Pierson Curtis</v>
      </c>
      <c r="J450" t="str">
        <f>VLOOKUP(I450,'Manager Coding'!C:D,2,0)</f>
        <v>Pierson</v>
      </c>
      <c r="K450" s="41">
        <f t="shared" si="8"/>
        <v>110.62</v>
      </c>
      <c r="L450">
        <f t="shared" si="9"/>
        <v>1</v>
      </c>
      <c r="M450">
        <f t="shared" si="10"/>
        <v>0</v>
      </c>
      <c r="N450" s="54" t="s">
        <v>1198</v>
      </c>
      <c r="O450" s="55" t="s">
        <v>77</v>
      </c>
      <c r="P450" s="67">
        <v>118.74</v>
      </c>
      <c r="Q450" s="68">
        <v>110.62</v>
      </c>
      <c r="R450" s="48" t="s">
        <v>93</v>
      </c>
      <c r="S450" s="54" t="s">
        <v>1190</v>
      </c>
      <c r="T450">
        <f t="shared" si="11"/>
        <v>8.12</v>
      </c>
    </row>
    <row r="451" hidden="1">
      <c r="A451" s="32" t="str">
        <f t="shared" si="1"/>
        <v>2020ShepWeek 8</v>
      </c>
      <c r="B451" s="32" t="str">
        <f t="shared" si="2"/>
        <v>2020RileyWeek 8</v>
      </c>
      <c r="C451" s="32" t="str">
        <f t="shared" si="3"/>
        <v>Week 8</v>
      </c>
      <c r="D451" s="32">
        <v>2020.0</v>
      </c>
      <c r="E451" t="str">
        <f t="shared" si="4"/>
        <v>8</v>
      </c>
      <c r="F451" t="str">
        <f t="shared" si="5"/>
        <v>Jordan Shepherd</v>
      </c>
      <c r="G451" s="40" t="str">
        <f>VLOOKUP(F451,'Manager Coding'!C:D,2,0)</f>
        <v>Shep</v>
      </c>
      <c r="H451" s="41">
        <f t="shared" si="6"/>
        <v>96.44</v>
      </c>
      <c r="I451" t="str">
        <f t="shared" si="7"/>
        <v>Riley McElwain</v>
      </c>
      <c r="J451" t="str">
        <f>VLOOKUP(I451,'Manager Coding'!C:D,2,0)</f>
        <v>Riley</v>
      </c>
      <c r="K451" s="41">
        <f t="shared" si="8"/>
        <v>72.14</v>
      </c>
      <c r="L451">
        <f t="shared" si="9"/>
        <v>1</v>
      </c>
      <c r="M451">
        <f t="shared" si="10"/>
        <v>0</v>
      </c>
      <c r="N451" s="54" t="s">
        <v>1196</v>
      </c>
      <c r="O451" s="55" t="s">
        <v>91</v>
      </c>
      <c r="P451" s="67">
        <v>96.44</v>
      </c>
      <c r="Q451" s="68">
        <v>72.14</v>
      </c>
      <c r="R451" s="48" t="s">
        <v>68</v>
      </c>
      <c r="S451" s="54" t="s">
        <v>1186</v>
      </c>
      <c r="T451">
        <f t="shared" si="11"/>
        <v>24.3</v>
      </c>
    </row>
    <row r="452" hidden="1">
      <c r="A452" s="32" t="str">
        <f t="shared" si="1"/>
        <v>2020FellowsWeek 8</v>
      </c>
      <c r="B452" s="32" t="str">
        <f t="shared" si="2"/>
        <v>2020KnardDawgWeek 8</v>
      </c>
      <c r="C452" s="32" t="str">
        <f t="shared" si="3"/>
        <v>Week 8</v>
      </c>
      <c r="D452" s="32">
        <v>2020.0</v>
      </c>
      <c r="E452" t="str">
        <f t="shared" si="4"/>
        <v>8</v>
      </c>
      <c r="F452" t="str">
        <f t="shared" si="5"/>
        <v>Michael Fellows</v>
      </c>
      <c r="G452" s="40" t="str">
        <f>VLOOKUP(F452,'Manager Coding'!C:D,2,0)</f>
        <v>Fellows</v>
      </c>
      <c r="H452" s="41">
        <f t="shared" si="6"/>
        <v>79.4</v>
      </c>
      <c r="I452" t="str">
        <f t="shared" si="7"/>
        <v>Alex Kinniard, Jack Reilly</v>
      </c>
      <c r="J452" t="str">
        <f>VLOOKUP(I452,'Manager Coding'!C:D,2,0)</f>
        <v>KnardDawg</v>
      </c>
      <c r="K452" s="41">
        <f t="shared" si="8"/>
        <v>109.78</v>
      </c>
      <c r="L452">
        <f t="shared" si="9"/>
        <v>0</v>
      </c>
      <c r="M452">
        <f t="shared" si="10"/>
        <v>1</v>
      </c>
      <c r="N452" s="54" t="s">
        <v>1191</v>
      </c>
      <c r="O452" s="55" t="s">
        <v>80</v>
      </c>
      <c r="P452" s="67">
        <v>79.4</v>
      </c>
      <c r="Q452" s="68">
        <v>109.78</v>
      </c>
      <c r="R452" s="48" t="s">
        <v>87</v>
      </c>
      <c r="S452" s="54" t="s">
        <v>1187</v>
      </c>
      <c r="T452">
        <f t="shared" si="11"/>
        <v>30.38</v>
      </c>
    </row>
    <row r="453" hidden="1">
      <c r="A453" s="32" t="str">
        <f t="shared" si="1"/>
        <v>#N/A</v>
      </c>
      <c r="B453" s="32" t="str">
        <f t="shared" si="2"/>
        <v>#N/A</v>
      </c>
      <c r="C453" s="32" t="str">
        <f t="shared" si="3"/>
        <v>Week 8</v>
      </c>
      <c r="D453" s="32">
        <v>2020.0</v>
      </c>
      <c r="E453" t="str">
        <f t="shared" si="4"/>
        <v>8</v>
      </c>
      <c r="F453" t="str">
        <f t="shared" si="5"/>
        <v/>
      </c>
      <c r="G453" s="40" t="str">
        <f>VLOOKUP(F453,'Manager Coding'!C:D,2,0)</f>
        <v>#N/A</v>
      </c>
      <c r="H453" s="41" t="str">
        <f t="shared" si="6"/>
        <v/>
      </c>
      <c r="I453" t="str">
        <f t="shared" si="7"/>
        <v/>
      </c>
      <c r="J453" t="str">
        <f>VLOOKUP(I453,'Manager Coding'!C:D,2,0)</f>
        <v>#N/A</v>
      </c>
      <c r="K453" s="41" t="str">
        <f t="shared" si="8"/>
        <v/>
      </c>
      <c r="L453">
        <f t="shared" si="9"/>
        <v>0</v>
      </c>
      <c r="M453">
        <f t="shared" si="10"/>
        <v>0</v>
      </c>
      <c r="N453" s="53" t="s">
        <v>387</v>
      </c>
      <c r="P453" s="41"/>
      <c r="Q453" s="41"/>
      <c r="T453">
        <f t="shared" si="11"/>
        <v>0</v>
      </c>
    </row>
    <row r="454" hidden="1">
      <c r="A454" s="32" t="str">
        <f t="shared" si="1"/>
        <v>#N/A</v>
      </c>
      <c r="B454" s="32" t="str">
        <f t="shared" si="2"/>
        <v>#N/A</v>
      </c>
      <c r="C454" s="32" t="str">
        <f t="shared" si="3"/>
        <v>Week 9</v>
      </c>
      <c r="D454" s="32">
        <v>2020.0</v>
      </c>
      <c r="E454" t="str">
        <f t="shared" si="4"/>
        <v>9</v>
      </c>
      <c r="F454" t="str">
        <f t="shared" si="5"/>
        <v>TEAM MANAGER(S)</v>
      </c>
      <c r="G454" s="40" t="str">
        <f>VLOOKUP(F454,'Manager Coding'!C:D,2,0)</f>
        <v>#N/A</v>
      </c>
      <c r="H454" s="41" t="str">
        <f t="shared" si="6"/>
        <v>SCORE</v>
      </c>
      <c r="I454" t="str">
        <f t="shared" si="7"/>
        <v>TEAM MANAGER(S)</v>
      </c>
      <c r="J454" t="str">
        <f>VLOOKUP(I454,'Manager Coding'!C:D,2,0)</f>
        <v>#N/A</v>
      </c>
      <c r="K454" s="41" t="str">
        <f t="shared" si="8"/>
        <v>SCORE</v>
      </c>
      <c r="L454">
        <f t="shared" si="9"/>
        <v>0</v>
      </c>
      <c r="M454">
        <f t="shared" si="10"/>
        <v>0</v>
      </c>
      <c r="N454" s="24" t="s">
        <v>197</v>
      </c>
      <c r="O454" s="24" t="s">
        <v>88</v>
      </c>
      <c r="P454" s="26" t="s">
        <v>94</v>
      </c>
      <c r="Q454" s="27" t="s">
        <v>94</v>
      </c>
      <c r="R454" s="30" t="s">
        <v>88</v>
      </c>
      <c r="S454" s="30" t="s">
        <v>101</v>
      </c>
      <c r="T454">
        <f t="shared" si="11"/>
        <v>0</v>
      </c>
    </row>
    <row r="455" hidden="1">
      <c r="A455" s="32" t="str">
        <f t="shared" si="1"/>
        <v>2020CockWeek 9</v>
      </c>
      <c r="B455" s="32" t="str">
        <f t="shared" si="2"/>
        <v>2020TayskiWeek 9</v>
      </c>
      <c r="C455" s="32" t="str">
        <f t="shared" si="3"/>
        <v>Week 9</v>
      </c>
      <c r="D455" s="32">
        <v>2020.0</v>
      </c>
      <c r="E455" t="str">
        <f t="shared" si="4"/>
        <v>9</v>
      </c>
      <c r="F455" t="str">
        <f t="shared" si="5"/>
        <v>Jack Babcock, Chris Cochrane</v>
      </c>
      <c r="G455" s="40" t="str">
        <f>VLOOKUP(F455,'Manager Coding'!C:D,2,0)</f>
        <v>Cock</v>
      </c>
      <c r="H455" s="41">
        <f t="shared" si="6"/>
        <v>61.02</v>
      </c>
      <c r="I455" t="str">
        <f t="shared" si="7"/>
        <v>Taylor Weis</v>
      </c>
      <c r="J455" t="str">
        <f>VLOOKUP(I455,'Manager Coding'!C:D,2,0)</f>
        <v>Tayski</v>
      </c>
      <c r="K455" s="41">
        <f t="shared" si="8"/>
        <v>108.4</v>
      </c>
      <c r="L455">
        <f t="shared" si="9"/>
        <v>0</v>
      </c>
      <c r="M455">
        <f t="shared" si="10"/>
        <v>1</v>
      </c>
      <c r="N455" s="54" t="s">
        <v>1185</v>
      </c>
      <c r="O455" s="55" t="s">
        <v>73</v>
      </c>
      <c r="P455" s="67">
        <v>61.02</v>
      </c>
      <c r="Q455" s="68">
        <v>108.4</v>
      </c>
      <c r="R455" s="48" t="s">
        <v>54</v>
      </c>
      <c r="S455" s="54" t="s">
        <v>1197</v>
      </c>
      <c r="T455">
        <f t="shared" si="11"/>
        <v>47.38</v>
      </c>
    </row>
    <row r="456" hidden="1">
      <c r="A456" s="32" t="str">
        <f t="shared" si="1"/>
        <v>2020Rooney/JacksonWeek 9</v>
      </c>
      <c r="B456" s="32" t="str">
        <f t="shared" si="2"/>
        <v>2020BuserWeek 9</v>
      </c>
      <c r="C456" s="32" t="str">
        <f t="shared" si="3"/>
        <v>Week 9</v>
      </c>
      <c r="D456" s="32">
        <v>2020.0</v>
      </c>
      <c r="E456" t="str">
        <f t="shared" si="4"/>
        <v>9</v>
      </c>
      <c r="F456" t="str">
        <f t="shared" si="5"/>
        <v>Stephen Rooney, Jackson Sattell</v>
      </c>
      <c r="G456" s="40" t="str">
        <f>VLOOKUP(F456,'Manager Coding'!C:D,2,0)</f>
        <v>Rooney/Jackson</v>
      </c>
      <c r="H456" s="41">
        <f t="shared" si="6"/>
        <v>71.94</v>
      </c>
      <c r="I456" t="str">
        <f t="shared" si="7"/>
        <v>Ed Buser</v>
      </c>
      <c r="J456" t="str">
        <f>VLOOKUP(I456,'Manager Coding'!C:D,2,0)</f>
        <v>Buser</v>
      </c>
      <c r="K456" s="41">
        <f t="shared" si="8"/>
        <v>74.52</v>
      </c>
      <c r="L456">
        <f t="shared" si="9"/>
        <v>0</v>
      </c>
      <c r="M456">
        <f t="shared" si="10"/>
        <v>1</v>
      </c>
      <c r="N456" s="54" t="s">
        <v>1192</v>
      </c>
      <c r="O456" s="55" t="s">
        <v>58</v>
      </c>
      <c r="P456" s="67">
        <v>71.94</v>
      </c>
      <c r="Q456" s="68">
        <v>74.52</v>
      </c>
      <c r="R456" s="48" t="s">
        <v>50</v>
      </c>
      <c r="S456" s="54" t="s">
        <v>1199</v>
      </c>
      <c r="T456">
        <f t="shared" si="11"/>
        <v>2.58</v>
      </c>
    </row>
    <row r="457" hidden="1">
      <c r="A457" s="32" t="str">
        <f t="shared" si="1"/>
        <v>2020PiersonWeek 9</v>
      </c>
      <c r="B457" s="32" t="str">
        <f t="shared" si="2"/>
        <v>2020HudspeathWeek 9</v>
      </c>
      <c r="C457" s="32" t="str">
        <f t="shared" si="3"/>
        <v>Week 9</v>
      </c>
      <c r="D457" s="32">
        <v>2020.0</v>
      </c>
      <c r="E457" t="str">
        <f t="shared" si="4"/>
        <v>9</v>
      </c>
      <c r="F457" t="str">
        <f t="shared" si="5"/>
        <v>Pierson Curtis</v>
      </c>
      <c r="G457" s="40" t="str">
        <f>VLOOKUP(F457,'Manager Coding'!C:D,2,0)</f>
        <v>Pierson</v>
      </c>
      <c r="H457" s="41">
        <f t="shared" si="6"/>
        <v>93.5</v>
      </c>
      <c r="I457" t="str">
        <f t="shared" si="7"/>
        <v>matt hudspeath</v>
      </c>
      <c r="J457" t="str">
        <f>VLOOKUP(I457,'Manager Coding'!C:D,2,0)</f>
        <v>Hudspeath</v>
      </c>
      <c r="K457" s="41">
        <f t="shared" si="8"/>
        <v>55.16</v>
      </c>
      <c r="L457">
        <f t="shared" si="9"/>
        <v>1</v>
      </c>
      <c r="M457">
        <f t="shared" si="10"/>
        <v>0</v>
      </c>
      <c r="N457" s="54" t="s">
        <v>1190</v>
      </c>
      <c r="O457" s="55" t="s">
        <v>93</v>
      </c>
      <c r="P457" s="67">
        <v>93.5</v>
      </c>
      <c r="Q457" s="68">
        <v>55.16</v>
      </c>
      <c r="R457" s="48" t="s">
        <v>64</v>
      </c>
      <c r="S457" s="54" t="s">
        <v>1202</v>
      </c>
      <c r="T457">
        <f t="shared" si="11"/>
        <v>38.34</v>
      </c>
    </row>
    <row r="458" hidden="1">
      <c r="A458" s="32" t="str">
        <f t="shared" si="1"/>
        <v>2020RileyWeek 9</v>
      </c>
      <c r="B458" s="32" t="str">
        <f t="shared" si="2"/>
        <v>2020T-HowWeek 9</v>
      </c>
      <c r="C458" s="32" t="str">
        <f t="shared" si="3"/>
        <v>Week 9</v>
      </c>
      <c r="D458" s="32">
        <v>2020.0</v>
      </c>
      <c r="E458" t="str">
        <f t="shared" si="4"/>
        <v>9</v>
      </c>
      <c r="F458" t="str">
        <f t="shared" si="5"/>
        <v>Riley McElwain</v>
      </c>
      <c r="G458" s="40" t="str">
        <f>VLOOKUP(F458,'Manager Coding'!C:D,2,0)</f>
        <v>Riley</v>
      </c>
      <c r="H458" s="41">
        <f t="shared" si="6"/>
        <v>104.3</v>
      </c>
      <c r="I458" t="str">
        <f t="shared" si="7"/>
        <v>Tyler Howard</v>
      </c>
      <c r="J458" t="str">
        <f>VLOOKUP(I458,'Manager Coding'!C:D,2,0)</f>
        <v>T-How</v>
      </c>
      <c r="K458" s="41">
        <f t="shared" si="8"/>
        <v>75.66</v>
      </c>
      <c r="L458">
        <f t="shared" si="9"/>
        <v>1</v>
      </c>
      <c r="M458">
        <f t="shared" si="10"/>
        <v>0</v>
      </c>
      <c r="N458" s="54" t="s">
        <v>1186</v>
      </c>
      <c r="O458" s="55" t="s">
        <v>68</v>
      </c>
      <c r="P458" s="67">
        <v>104.3</v>
      </c>
      <c r="Q458" s="68">
        <v>75.66</v>
      </c>
      <c r="R458" s="48" t="s">
        <v>85</v>
      </c>
      <c r="S458" s="54" t="s">
        <v>1200</v>
      </c>
      <c r="T458">
        <f t="shared" si="11"/>
        <v>28.64</v>
      </c>
    </row>
    <row r="459" hidden="1">
      <c r="A459" s="32" t="str">
        <f t="shared" si="1"/>
        <v>2020KnardDawgWeek 9</v>
      </c>
      <c r="B459" s="32" t="str">
        <f t="shared" si="2"/>
        <v>2020SaltyWeek 9</v>
      </c>
      <c r="C459" s="32" t="str">
        <f t="shared" si="3"/>
        <v>Week 9</v>
      </c>
      <c r="D459" s="32">
        <v>2020.0</v>
      </c>
      <c r="E459" t="str">
        <f t="shared" si="4"/>
        <v>9</v>
      </c>
      <c r="F459" t="str">
        <f t="shared" si="5"/>
        <v>Alex Kinniard, Jack Reilly</v>
      </c>
      <c r="G459" s="40" t="str">
        <f>VLOOKUP(F459,'Manager Coding'!C:D,2,0)</f>
        <v>KnardDawg</v>
      </c>
      <c r="H459" s="41">
        <f t="shared" si="6"/>
        <v>113.74</v>
      </c>
      <c r="I459" t="str">
        <f t="shared" si="7"/>
        <v>R Saltiel</v>
      </c>
      <c r="J459" t="str">
        <f>VLOOKUP(I459,'Manager Coding'!C:D,2,0)</f>
        <v>Salty</v>
      </c>
      <c r="K459" s="41">
        <f t="shared" si="8"/>
        <v>112.78</v>
      </c>
      <c r="L459">
        <f t="shared" si="9"/>
        <v>1</v>
      </c>
      <c r="M459">
        <f t="shared" si="10"/>
        <v>0</v>
      </c>
      <c r="N459" s="54" t="s">
        <v>1187</v>
      </c>
      <c r="O459" s="55" t="s">
        <v>87</v>
      </c>
      <c r="P459" s="67">
        <v>113.74</v>
      </c>
      <c r="Q459" s="68">
        <v>112.78</v>
      </c>
      <c r="R459" s="48" t="s">
        <v>77</v>
      </c>
      <c r="S459" s="54" t="s">
        <v>1198</v>
      </c>
      <c r="T459">
        <f t="shared" si="11"/>
        <v>0.96</v>
      </c>
    </row>
    <row r="460" hidden="1">
      <c r="A460" s="32" t="str">
        <f t="shared" si="1"/>
        <v>2020FellowsWeek 9</v>
      </c>
      <c r="B460" s="32" t="str">
        <f t="shared" si="2"/>
        <v>2020ShepWeek 9</v>
      </c>
      <c r="C460" s="32" t="str">
        <f t="shared" si="3"/>
        <v>Week 9</v>
      </c>
      <c r="D460" s="32">
        <v>2020.0</v>
      </c>
      <c r="E460" t="str">
        <f t="shared" si="4"/>
        <v>9</v>
      </c>
      <c r="F460" t="str">
        <f t="shared" si="5"/>
        <v>Michael Fellows</v>
      </c>
      <c r="G460" s="40" t="str">
        <f>VLOOKUP(F460,'Manager Coding'!C:D,2,0)</f>
        <v>Fellows</v>
      </c>
      <c r="H460" s="41">
        <f t="shared" si="6"/>
        <v>104.36</v>
      </c>
      <c r="I460" t="str">
        <f t="shared" si="7"/>
        <v>Jordan Shepherd</v>
      </c>
      <c r="J460" t="str">
        <f>VLOOKUP(I460,'Manager Coding'!C:D,2,0)</f>
        <v>Shep</v>
      </c>
      <c r="K460" s="41">
        <f t="shared" si="8"/>
        <v>93</v>
      </c>
      <c r="L460">
        <f t="shared" si="9"/>
        <v>1</v>
      </c>
      <c r="M460">
        <f t="shared" si="10"/>
        <v>0</v>
      </c>
      <c r="N460" s="54" t="s">
        <v>1191</v>
      </c>
      <c r="O460" s="55" t="s">
        <v>80</v>
      </c>
      <c r="P460" s="67">
        <v>104.36</v>
      </c>
      <c r="Q460" s="68">
        <v>93.0</v>
      </c>
      <c r="R460" s="48" t="s">
        <v>91</v>
      </c>
      <c r="S460" s="54" t="s">
        <v>1196</v>
      </c>
      <c r="T460">
        <f t="shared" si="11"/>
        <v>11.36</v>
      </c>
    </row>
    <row r="461" hidden="1">
      <c r="A461" s="32" t="str">
        <f t="shared" si="1"/>
        <v>#N/A</v>
      </c>
      <c r="B461" s="32" t="str">
        <f t="shared" si="2"/>
        <v>#N/A</v>
      </c>
      <c r="C461" s="32" t="str">
        <f t="shared" si="3"/>
        <v>Week 9</v>
      </c>
      <c r="D461" s="32">
        <v>2020.0</v>
      </c>
      <c r="E461" t="str">
        <f t="shared" si="4"/>
        <v>9</v>
      </c>
      <c r="F461" t="str">
        <f t="shared" si="5"/>
        <v/>
      </c>
      <c r="G461" s="40" t="str">
        <f>VLOOKUP(F461,'Manager Coding'!C:D,2,0)</f>
        <v>#N/A</v>
      </c>
      <c r="H461" s="41" t="str">
        <f t="shared" si="6"/>
        <v/>
      </c>
      <c r="I461" t="str">
        <f t="shared" si="7"/>
        <v/>
      </c>
      <c r="J461" t="str">
        <f>VLOOKUP(I461,'Manager Coding'!C:D,2,0)</f>
        <v>#N/A</v>
      </c>
      <c r="K461" s="41" t="str">
        <f t="shared" si="8"/>
        <v/>
      </c>
      <c r="L461">
        <f t="shared" si="9"/>
        <v>0</v>
      </c>
      <c r="M461">
        <f t="shared" si="10"/>
        <v>0</v>
      </c>
      <c r="N461" s="53" t="s">
        <v>406</v>
      </c>
      <c r="P461" s="41"/>
      <c r="Q461" s="41"/>
      <c r="T461">
        <f t="shared" si="11"/>
        <v>0</v>
      </c>
    </row>
    <row r="462" hidden="1">
      <c r="A462" s="32" t="str">
        <f t="shared" si="1"/>
        <v>#N/A</v>
      </c>
      <c r="B462" s="32" t="str">
        <f t="shared" si="2"/>
        <v>#N/A</v>
      </c>
      <c r="C462" s="32" t="str">
        <f t="shared" si="3"/>
        <v>Week 10</v>
      </c>
      <c r="D462" s="32">
        <v>2020.0</v>
      </c>
      <c r="E462" t="str">
        <f t="shared" si="4"/>
        <v>10</v>
      </c>
      <c r="F462" t="str">
        <f t="shared" si="5"/>
        <v>TEAM MANAGER(S)</v>
      </c>
      <c r="G462" s="40" t="str">
        <f>VLOOKUP(F462,'Manager Coding'!C:D,2,0)</f>
        <v>#N/A</v>
      </c>
      <c r="H462" s="41" t="str">
        <f t="shared" si="6"/>
        <v>SCORE</v>
      </c>
      <c r="I462" t="str">
        <f t="shared" si="7"/>
        <v>TEAM MANAGER(S)</v>
      </c>
      <c r="J462" t="str">
        <f>VLOOKUP(I462,'Manager Coding'!C:D,2,0)</f>
        <v>#N/A</v>
      </c>
      <c r="K462" s="41" t="str">
        <f t="shared" si="8"/>
        <v>SCORE</v>
      </c>
      <c r="L462">
        <f t="shared" si="9"/>
        <v>0</v>
      </c>
      <c r="M462">
        <f t="shared" si="10"/>
        <v>0</v>
      </c>
      <c r="N462" s="24" t="s">
        <v>197</v>
      </c>
      <c r="O462" s="24" t="s">
        <v>88</v>
      </c>
      <c r="P462" s="26" t="s">
        <v>94</v>
      </c>
      <c r="Q462" s="27" t="s">
        <v>94</v>
      </c>
      <c r="R462" s="30" t="s">
        <v>88</v>
      </c>
      <c r="S462" s="30" t="s">
        <v>101</v>
      </c>
      <c r="T462">
        <f t="shared" si="11"/>
        <v>0</v>
      </c>
    </row>
    <row r="463" hidden="1">
      <c r="A463" s="32" t="str">
        <f t="shared" si="1"/>
        <v>2020Rooney/JacksonWeek 10</v>
      </c>
      <c r="B463" s="32" t="str">
        <f t="shared" si="2"/>
        <v>2020CockWeek 10</v>
      </c>
      <c r="C463" s="32" t="str">
        <f t="shared" si="3"/>
        <v>Week 10</v>
      </c>
      <c r="D463" s="32">
        <v>2020.0</v>
      </c>
      <c r="E463" t="str">
        <f t="shared" si="4"/>
        <v>10</v>
      </c>
      <c r="F463" t="str">
        <f t="shared" si="5"/>
        <v>Stephen Rooney, Jackson Sattell</v>
      </c>
      <c r="G463" s="40" t="str">
        <f>VLOOKUP(F463,'Manager Coding'!C:D,2,0)</f>
        <v>Rooney/Jackson</v>
      </c>
      <c r="H463" s="41">
        <f t="shared" si="6"/>
        <v>108.94</v>
      </c>
      <c r="I463" t="str">
        <f t="shared" si="7"/>
        <v>Jack Babcock, Chris Cochrane</v>
      </c>
      <c r="J463" t="str">
        <f>VLOOKUP(I463,'Manager Coding'!C:D,2,0)</f>
        <v>Cock</v>
      </c>
      <c r="K463" s="41">
        <f t="shared" si="8"/>
        <v>99.18</v>
      </c>
      <c r="L463">
        <f t="shared" si="9"/>
        <v>1</v>
      </c>
      <c r="M463">
        <f t="shared" si="10"/>
        <v>0</v>
      </c>
      <c r="N463" s="54" t="s">
        <v>1192</v>
      </c>
      <c r="O463" s="55" t="s">
        <v>58</v>
      </c>
      <c r="P463" s="67">
        <v>108.94</v>
      </c>
      <c r="Q463" s="68">
        <v>99.18</v>
      </c>
      <c r="R463" s="48" t="s">
        <v>73</v>
      </c>
      <c r="S463" s="54" t="s">
        <v>1185</v>
      </c>
      <c r="T463">
        <f t="shared" si="11"/>
        <v>9.76</v>
      </c>
    </row>
    <row r="464" hidden="1">
      <c r="A464" s="32" t="str">
        <f t="shared" si="1"/>
        <v>2020TayskiWeek 10</v>
      </c>
      <c r="B464" s="32" t="str">
        <f t="shared" si="2"/>
        <v>2020PiersonWeek 10</v>
      </c>
      <c r="C464" s="32" t="str">
        <f t="shared" si="3"/>
        <v>Week 10</v>
      </c>
      <c r="D464" s="32">
        <v>2020.0</v>
      </c>
      <c r="E464" t="str">
        <f t="shared" si="4"/>
        <v>10</v>
      </c>
      <c r="F464" t="str">
        <f t="shared" si="5"/>
        <v>Taylor Weis</v>
      </c>
      <c r="G464" s="40" t="str">
        <f>VLOOKUP(F464,'Manager Coding'!C:D,2,0)</f>
        <v>Tayski</v>
      </c>
      <c r="H464" s="41">
        <f t="shared" si="6"/>
        <v>101.76</v>
      </c>
      <c r="I464" t="str">
        <f t="shared" si="7"/>
        <v>Pierson Curtis</v>
      </c>
      <c r="J464" t="str">
        <f>VLOOKUP(I464,'Manager Coding'!C:D,2,0)</f>
        <v>Pierson</v>
      </c>
      <c r="K464" s="41">
        <f t="shared" si="8"/>
        <v>59.66</v>
      </c>
      <c r="L464">
        <f t="shared" si="9"/>
        <v>1</v>
      </c>
      <c r="M464">
        <f t="shared" si="10"/>
        <v>0</v>
      </c>
      <c r="N464" s="54" t="s">
        <v>1197</v>
      </c>
      <c r="O464" s="55" t="s">
        <v>54</v>
      </c>
      <c r="P464" s="67">
        <v>101.76</v>
      </c>
      <c r="Q464" s="68">
        <v>59.66</v>
      </c>
      <c r="R464" s="48" t="s">
        <v>93</v>
      </c>
      <c r="S464" s="54" t="s">
        <v>1190</v>
      </c>
      <c r="T464">
        <f t="shared" si="11"/>
        <v>42.1</v>
      </c>
    </row>
    <row r="465" hidden="1">
      <c r="A465" s="32" t="str">
        <f t="shared" si="1"/>
        <v>2020BuserWeek 10</v>
      </c>
      <c r="B465" s="32" t="str">
        <f t="shared" si="2"/>
        <v>2020RileyWeek 10</v>
      </c>
      <c r="C465" s="32" t="str">
        <f t="shared" si="3"/>
        <v>Week 10</v>
      </c>
      <c r="D465" s="32">
        <v>2020.0</v>
      </c>
      <c r="E465" t="str">
        <f t="shared" si="4"/>
        <v>10</v>
      </c>
      <c r="F465" t="str">
        <f t="shared" si="5"/>
        <v>Ed Buser</v>
      </c>
      <c r="G465" s="40" t="str">
        <f>VLOOKUP(F465,'Manager Coding'!C:D,2,0)</f>
        <v>Buser</v>
      </c>
      <c r="H465" s="41">
        <f t="shared" si="6"/>
        <v>107.7</v>
      </c>
      <c r="I465" t="str">
        <f t="shared" si="7"/>
        <v>Riley McElwain</v>
      </c>
      <c r="J465" t="str">
        <f>VLOOKUP(I465,'Manager Coding'!C:D,2,0)</f>
        <v>Riley</v>
      </c>
      <c r="K465" s="41">
        <f t="shared" si="8"/>
        <v>53.12</v>
      </c>
      <c r="L465">
        <f t="shared" si="9"/>
        <v>1</v>
      </c>
      <c r="M465">
        <f t="shared" si="10"/>
        <v>0</v>
      </c>
      <c r="N465" s="54" t="s">
        <v>1199</v>
      </c>
      <c r="O465" s="55" t="s">
        <v>50</v>
      </c>
      <c r="P465" s="67">
        <v>107.7</v>
      </c>
      <c r="Q465" s="68">
        <v>53.12</v>
      </c>
      <c r="R465" s="48" t="s">
        <v>68</v>
      </c>
      <c r="S465" s="54" t="s">
        <v>1186</v>
      </c>
      <c r="T465">
        <f t="shared" si="11"/>
        <v>54.58</v>
      </c>
    </row>
    <row r="466" hidden="1">
      <c r="A466" s="32" t="str">
        <f t="shared" si="1"/>
        <v>2020HudspeathWeek 10</v>
      </c>
      <c r="B466" s="32" t="str">
        <f t="shared" si="2"/>
        <v>2020KnardDawgWeek 10</v>
      </c>
      <c r="C466" s="32" t="str">
        <f t="shared" si="3"/>
        <v>Week 10</v>
      </c>
      <c r="D466" s="32">
        <v>2020.0</v>
      </c>
      <c r="E466" t="str">
        <f t="shared" si="4"/>
        <v>10</v>
      </c>
      <c r="F466" t="str">
        <f t="shared" si="5"/>
        <v>matt hudspeath</v>
      </c>
      <c r="G466" s="40" t="str">
        <f>VLOOKUP(F466,'Manager Coding'!C:D,2,0)</f>
        <v>Hudspeath</v>
      </c>
      <c r="H466" s="41">
        <f t="shared" si="6"/>
        <v>92.24</v>
      </c>
      <c r="I466" t="str">
        <f t="shared" si="7"/>
        <v>Alex Kinniard, Jack Reilly</v>
      </c>
      <c r="J466" t="str">
        <f>VLOOKUP(I466,'Manager Coding'!C:D,2,0)</f>
        <v>KnardDawg</v>
      </c>
      <c r="K466" s="41">
        <f t="shared" si="8"/>
        <v>111.32</v>
      </c>
      <c r="L466">
        <f t="shared" si="9"/>
        <v>0</v>
      </c>
      <c r="M466">
        <f t="shared" si="10"/>
        <v>1</v>
      </c>
      <c r="N466" s="54" t="s">
        <v>1202</v>
      </c>
      <c r="O466" s="55" t="s">
        <v>64</v>
      </c>
      <c r="P466" s="67">
        <v>92.24</v>
      </c>
      <c r="Q466" s="68">
        <v>111.32</v>
      </c>
      <c r="R466" s="48" t="s">
        <v>87</v>
      </c>
      <c r="S466" s="54" t="s">
        <v>1187</v>
      </c>
      <c r="T466">
        <f t="shared" si="11"/>
        <v>19.08</v>
      </c>
    </row>
    <row r="467" hidden="1">
      <c r="A467" s="32" t="str">
        <f t="shared" si="1"/>
        <v>2020T-HowWeek 10</v>
      </c>
      <c r="B467" s="32" t="str">
        <f t="shared" si="2"/>
        <v>2020FellowsWeek 10</v>
      </c>
      <c r="C467" s="32" t="str">
        <f t="shared" si="3"/>
        <v>Week 10</v>
      </c>
      <c r="D467" s="32">
        <v>2020.0</v>
      </c>
      <c r="E467" t="str">
        <f t="shared" si="4"/>
        <v>10</v>
      </c>
      <c r="F467" t="str">
        <f t="shared" si="5"/>
        <v>Tyler Howard</v>
      </c>
      <c r="G467" s="40" t="str">
        <f>VLOOKUP(F467,'Manager Coding'!C:D,2,0)</f>
        <v>T-How</v>
      </c>
      <c r="H467" s="41">
        <f t="shared" si="6"/>
        <v>51.72</v>
      </c>
      <c r="I467" t="str">
        <f t="shared" si="7"/>
        <v>Michael Fellows</v>
      </c>
      <c r="J467" t="str">
        <f>VLOOKUP(I467,'Manager Coding'!C:D,2,0)</f>
        <v>Fellows</v>
      </c>
      <c r="K467" s="41">
        <f t="shared" si="8"/>
        <v>95.88</v>
      </c>
      <c r="L467">
        <f t="shared" si="9"/>
        <v>0</v>
      </c>
      <c r="M467">
        <f t="shared" si="10"/>
        <v>1</v>
      </c>
      <c r="N467" s="54" t="s">
        <v>1200</v>
      </c>
      <c r="O467" s="55" t="s">
        <v>85</v>
      </c>
      <c r="P467" s="67">
        <v>51.72</v>
      </c>
      <c r="Q467" s="68">
        <v>95.88</v>
      </c>
      <c r="R467" s="48" t="s">
        <v>80</v>
      </c>
      <c r="S467" s="54" t="s">
        <v>1191</v>
      </c>
      <c r="T467">
        <f t="shared" si="11"/>
        <v>44.16</v>
      </c>
    </row>
    <row r="468" hidden="1">
      <c r="A468" s="32" t="str">
        <f t="shared" si="1"/>
        <v>2020SaltyWeek 10</v>
      </c>
      <c r="B468" s="32" t="str">
        <f t="shared" si="2"/>
        <v>2020ShepWeek 10</v>
      </c>
      <c r="C468" s="32" t="str">
        <f t="shared" si="3"/>
        <v>Week 10</v>
      </c>
      <c r="D468" s="32">
        <v>2020.0</v>
      </c>
      <c r="E468" t="str">
        <f t="shared" si="4"/>
        <v>10</v>
      </c>
      <c r="F468" t="str">
        <f t="shared" si="5"/>
        <v>R Saltiel</v>
      </c>
      <c r="G468" s="40" t="str">
        <f>VLOOKUP(F468,'Manager Coding'!C:D,2,0)</f>
        <v>Salty</v>
      </c>
      <c r="H468" s="41">
        <f t="shared" si="6"/>
        <v>67.46</v>
      </c>
      <c r="I468" t="str">
        <f t="shared" si="7"/>
        <v>Jordan Shepherd</v>
      </c>
      <c r="J468" t="str">
        <f>VLOOKUP(I468,'Manager Coding'!C:D,2,0)</f>
        <v>Shep</v>
      </c>
      <c r="K468" s="41">
        <f t="shared" si="8"/>
        <v>94.8</v>
      </c>
      <c r="L468">
        <f t="shared" si="9"/>
        <v>0</v>
      </c>
      <c r="M468">
        <f t="shared" si="10"/>
        <v>1</v>
      </c>
      <c r="N468" s="54" t="s">
        <v>1198</v>
      </c>
      <c r="O468" s="55" t="s">
        <v>77</v>
      </c>
      <c r="P468" s="67">
        <v>67.46</v>
      </c>
      <c r="Q468" s="68">
        <v>94.8</v>
      </c>
      <c r="R468" s="48" t="s">
        <v>91</v>
      </c>
      <c r="S468" s="54" t="s">
        <v>1196</v>
      </c>
      <c r="T468">
        <f t="shared" si="11"/>
        <v>27.34</v>
      </c>
    </row>
    <row r="469" hidden="1">
      <c r="A469" s="32" t="str">
        <f t="shared" si="1"/>
        <v>#N/A</v>
      </c>
      <c r="B469" s="32" t="str">
        <f t="shared" si="2"/>
        <v>#N/A</v>
      </c>
      <c r="C469" s="32" t="str">
        <f t="shared" si="3"/>
        <v>Week 10</v>
      </c>
      <c r="D469" s="32">
        <v>2020.0</v>
      </c>
      <c r="E469" t="str">
        <f t="shared" si="4"/>
        <v>10</v>
      </c>
      <c r="F469" t="str">
        <f t="shared" si="5"/>
        <v/>
      </c>
      <c r="G469" s="40" t="str">
        <f>VLOOKUP(F469,'Manager Coding'!C:D,2,0)</f>
        <v>#N/A</v>
      </c>
      <c r="H469" s="41" t="str">
        <f t="shared" si="6"/>
        <v/>
      </c>
      <c r="I469" t="str">
        <f t="shared" si="7"/>
        <v/>
      </c>
      <c r="J469" t="str">
        <f>VLOOKUP(I469,'Manager Coding'!C:D,2,0)</f>
        <v>#N/A</v>
      </c>
      <c r="K469" s="41" t="str">
        <f t="shared" si="8"/>
        <v/>
      </c>
      <c r="L469">
        <f t="shared" si="9"/>
        <v>0</v>
      </c>
      <c r="M469">
        <f t="shared" si="10"/>
        <v>0</v>
      </c>
      <c r="N469" s="53" t="s">
        <v>430</v>
      </c>
      <c r="P469" s="41"/>
      <c r="Q469" s="41"/>
      <c r="T469">
        <f t="shared" si="11"/>
        <v>0</v>
      </c>
    </row>
    <row r="470" hidden="1">
      <c r="A470" s="32" t="str">
        <f t="shared" si="1"/>
        <v>#N/A</v>
      </c>
      <c r="B470" s="32" t="str">
        <f t="shared" si="2"/>
        <v>#N/A</v>
      </c>
      <c r="C470" s="32" t="str">
        <f t="shared" si="3"/>
        <v>Week 11</v>
      </c>
      <c r="D470" s="32">
        <v>2020.0</v>
      </c>
      <c r="E470" t="str">
        <f t="shared" si="4"/>
        <v>11</v>
      </c>
      <c r="F470" t="str">
        <f t="shared" si="5"/>
        <v>TEAM MANAGER(S)</v>
      </c>
      <c r="G470" s="40" t="str">
        <f>VLOOKUP(F470,'Manager Coding'!C:D,2,0)</f>
        <v>#N/A</v>
      </c>
      <c r="H470" s="41" t="str">
        <f t="shared" si="6"/>
        <v>SCORE</v>
      </c>
      <c r="I470" t="str">
        <f t="shared" si="7"/>
        <v>TEAM MANAGER(S)</v>
      </c>
      <c r="J470" t="str">
        <f>VLOOKUP(I470,'Manager Coding'!C:D,2,0)</f>
        <v>#N/A</v>
      </c>
      <c r="K470" s="41" t="str">
        <f t="shared" si="8"/>
        <v>SCORE</v>
      </c>
      <c r="L470">
        <f t="shared" si="9"/>
        <v>0</v>
      </c>
      <c r="M470">
        <f t="shared" si="10"/>
        <v>0</v>
      </c>
      <c r="N470" s="24" t="s">
        <v>197</v>
      </c>
      <c r="O470" s="24" t="s">
        <v>88</v>
      </c>
      <c r="P470" s="26" t="s">
        <v>94</v>
      </c>
      <c r="Q470" s="27" t="s">
        <v>94</v>
      </c>
      <c r="R470" s="30" t="s">
        <v>88</v>
      </c>
      <c r="S470" s="30" t="s">
        <v>101</v>
      </c>
      <c r="T470">
        <f t="shared" si="11"/>
        <v>0</v>
      </c>
    </row>
    <row r="471" hidden="1">
      <c r="A471" s="32" t="str">
        <f t="shared" si="1"/>
        <v>2020CockWeek 11</v>
      </c>
      <c r="B471" s="32" t="str">
        <f t="shared" si="2"/>
        <v>2020PiersonWeek 11</v>
      </c>
      <c r="C471" s="32" t="str">
        <f t="shared" si="3"/>
        <v>Week 11</v>
      </c>
      <c r="D471" s="32">
        <v>2020.0</v>
      </c>
      <c r="E471" t="str">
        <f t="shared" si="4"/>
        <v>11</v>
      </c>
      <c r="F471" t="str">
        <f t="shared" si="5"/>
        <v>Jack Babcock, Chris Cochrane</v>
      </c>
      <c r="G471" s="40" t="str">
        <f>VLOOKUP(F471,'Manager Coding'!C:D,2,0)</f>
        <v>Cock</v>
      </c>
      <c r="H471" s="41">
        <f t="shared" si="6"/>
        <v>73.66</v>
      </c>
      <c r="I471" t="str">
        <f t="shared" si="7"/>
        <v>Pierson Curtis</v>
      </c>
      <c r="J471" t="str">
        <f>VLOOKUP(I471,'Manager Coding'!C:D,2,0)</f>
        <v>Pierson</v>
      </c>
      <c r="K471" s="41">
        <f t="shared" si="8"/>
        <v>101.9</v>
      </c>
      <c r="L471">
        <f t="shared" si="9"/>
        <v>0</v>
      </c>
      <c r="M471">
        <f t="shared" si="10"/>
        <v>1</v>
      </c>
      <c r="N471" s="54" t="s">
        <v>1185</v>
      </c>
      <c r="O471" s="55" t="s">
        <v>73</v>
      </c>
      <c r="P471" s="67">
        <v>73.66</v>
      </c>
      <c r="Q471" s="68">
        <v>101.9</v>
      </c>
      <c r="R471" s="48" t="s">
        <v>93</v>
      </c>
      <c r="S471" s="54" t="s">
        <v>1190</v>
      </c>
      <c r="T471">
        <f t="shared" si="11"/>
        <v>28.24</v>
      </c>
    </row>
    <row r="472" hidden="1">
      <c r="A472" s="32" t="str">
        <f t="shared" si="1"/>
        <v>2020RileyWeek 11</v>
      </c>
      <c r="B472" s="32" t="str">
        <f t="shared" si="2"/>
        <v>2020Rooney/JacksonWeek 11</v>
      </c>
      <c r="C472" s="32" t="str">
        <f t="shared" si="3"/>
        <v>Week 11</v>
      </c>
      <c r="D472" s="32">
        <v>2020.0</v>
      </c>
      <c r="E472" t="str">
        <f t="shared" si="4"/>
        <v>11</v>
      </c>
      <c r="F472" t="str">
        <f t="shared" si="5"/>
        <v>Riley McElwain</v>
      </c>
      <c r="G472" s="40" t="str">
        <f>VLOOKUP(F472,'Manager Coding'!C:D,2,0)</f>
        <v>Riley</v>
      </c>
      <c r="H472" s="41">
        <f t="shared" si="6"/>
        <v>120.18</v>
      </c>
      <c r="I472" t="str">
        <f t="shared" si="7"/>
        <v>Stephen Rooney, Jackson Sattell</v>
      </c>
      <c r="J472" t="str">
        <f>VLOOKUP(I472,'Manager Coding'!C:D,2,0)</f>
        <v>Rooney/Jackson</v>
      </c>
      <c r="K472" s="41">
        <f t="shared" si="8"/>
        <v>120.58</v>
      </c>
      <c r="L472">
        <f t="shared" si="9"/>
        <v>0</v>
      </c>
      <c r="M472">
        <f t="shared" si="10"/>
        <v>1</v>
      </c>
      <c r="N472" s="54" t="s">
        <v>1186</v>
      </c>
      <c r="O472" s="55" t="s">
        <v>68</v>
      </c>
      <c r="P472" s="67">
        <v>120.18</v>
      </c>
      <c r="Q472" s="68">
        <v>120.58</v>
      </c>
      <c r="R472" s="48" t="s">
        <v>58</v>
      </c>
      <c r="S472" s="54" t="s">
        <v>1192</v>
      </c>
      <c r="T472">
        <f t="shared" si="11"/>
        <v>0.4</v>
      </c>
    </row>
    <row r="473" hidden="1">
      <c r="A473" s="32" t="str">
        <f t="shared" si="1"/>
        <v>2020KnardDawgWeek 11</v>
      </c>
      <c r="B473" s="32" t="str">
        <f t="shared" si="2"/>
        <v>2020TayskiWeek 11</v>
      </c>
      <c r="C473" s="32" t="str">
        <f t="shared" si="3"/>
        <v>Week 11</v>
      </c>
      <c r="D473" s="32">
        <v>2020.0</v>
      </c>
      <c r="E473" t="str">
        <f t="shared" si="4"/>
        <v>11</v>
      </c>
      <c r="F473" t="str">
        <f t="shared" si="5"/>
        <v>Alex Kinniard, Jack Reilly</v>
      </c>
      <c r="G473" s="40" t="str">
        <f>VLOOKUP(F473,'Manager Coding'!C:D,2,0)</f>
        <v>KnardDawg</v>
      </c>
      <c r="H473" s="41">
        <f t="shared" si="6"/>
        <v>103.26</v>
      </c>
      <c r="I473" t="str">
        <f t="shared" si="7"/>
        <v>Taylor Weis</v>
      </c>
      <c r="J473" t="str">
        <f>VLOOKUP(I473,'Manager Coding'!C:D,2,0)</f>
        <v>Tayski</v>
      </c>
      <c r="K473" s="41">
        <f t="shared" si="8"/>
        <v>91.72</v>
      </c>
      <c r="L473">
        <f t="shared" si="9"/>
        <v>1</v>
      </c>
      <c r="M473">
        <f t="shared" si="10"/>
        <v>0</v>
      </c>
      <c r="N473" s="54" t="s">
        <v>1187</v>
      </c>
      <c r="O473" s="55" t="s">
        <v>87</v>
      </c>
      <c r="P473" s="67">
        <v>103.26</v>
      </c>
      <c r="Q473" s="68">
        <v>91.72</v>
      </c>
      <c r="R473" s="48" t="s">
        <v>54</v>
      </c>
      <c r="S473" s="54" t="s">
        <v>1197</v>
      </c>
      <c r="T473">
        <f t="shared" si="11"/>
        <v>11.54</v>
      </c>
    </row>
    <row r="474" hidden="1">
      <c r="A474" s="32" t="str">
        <f t="shared" si="1"/>
        <v>2020FellowsWeek 11</v>
      </c>
      <c r="B474" s="32" t="str">
        <f t="shared" si="2"/>
        <v>2020BuserWeek 11</v>
      </c>
      <c r="C474" s="32" t="str">
        <f t="shared" si="3"/>
        <v>Week 11</v>
      </c>
      <c r="D474" s="32">
        <v>2020.0</v>
      </c>
      <c r="E474" t="str">
        <f t="shared" si="4"/>
        <v>11</v>
      </c>
      <c r="F474" t="str">
        <f t="shared" si="5"/>
        <v>Michael Fellows</v>
      </c>
      <c r="G474" s="40" t="str">
        <f>VLOOKUP(F474,'Manager Coding'!C:D,2,0)</f>
        <v>Fellows</v>
      </c>
      <c r="H474" s="41">
        <f t="shared" si="6"/>
        <v>91.6</v>
      </c>
      <c r="I474" t="str">
        <f t="shared" si="7"/>
        <v>Ed Buser</v>
      </c>
      <c r="J474" t="str">
        <f>VLOOKUP(I474,'Manager Coding'!C:D,2,0)</f>
        <v>Buser</v>
      </c>
      <c r="K474" s="41">
        <f t="shared" si="8"/>
        <v>65.76</v>
      </c>
      <c r="L474">
        <f t="shared" si="9"/>
        <v>1</v>
      </c>
      <c r="M474">
        <f t="shared" si="10"/>
        <v>0</v>
      </c>
      <c r="N474" s="54" t="s">
        <v>1191</v>
      </c>
      <c r="O474" s="55" t="s">
        <v>80</v>
      </c>
      <c r="P474" s="67">
        <v>91.6</v>
      </c>
      <c r="Q474" s="68">
        <v>65.76</v>
      </c>
      <c r="R474" s="48" t="s">
        <v>50</v>
      </c>
      <c r="S474" s="54" t="s">
        <v>1199</v>
      </c>
      <c r="T474">
        <f t="shared" si="11"/>
        <v>25.84</v>
      </c>
    </row>
    <row r="475" hidden="1">
      <c r="A475" s="32" t="str">
        <f t="shared" si="1"/>
        <v>2020ShepWeek 11</v>
      </c>
      <c r="B475" s="32" t="str">
        <f t="shared" si="2"/>
        <v>2020HudspeathWeek 11</v>
      </c>
      <c r="C475" s="32" t="str">
        <f t="shared" si="3"/>
        <v>Week 11</v>
      </c>
      <c r="D475" s="32">
        <v>2020.0</v>
      </c>
      <c r="E475" t="str">
        <f t="shared" si="4"/>
        <v>11</v>
      </c>
      <c r="F475" t="str">
        <f t="shared" si="5"/>
        <v>Jordan Shepherd</v>
      </c>
      <c r="G475" s="40" t="str">
        <f>VLOOKUP(F475,'Manager Coding'!C:D,2,0)</f>
        <v>Shep</v>
      </c>
      <c r="H475" s="41">
        <f t="shared" si="6"/>
        <v>114.84</v>
      </c>
      <c r="I475" t="str">
        <f t="shared" si="7"/>
        <v>matt hudspeath</v>
      </c>
      <c r="J475" t="str">
        <f>VLOOKUP(I475,'Manager Coding'!C:D,2,0)</f>
        <v>Hudspeath</v>
      </c>
      <c r="K475" s="41">
        <f t="shared" si="8"/>
        <v>103.36</v>
      </c>
      <c r="L475">
        <f t="shared" si="9"/>
        <v>1</v>
      </c>
      <c r="M475">
        <f t="shared" si="10"/>
        <v>0</v>
      </c>
      <c r="N475" s="54" t="s">
        <v>1196</v>
      </c>
      <c r="O475" s="55" t="s">
        <v>91</v>
      </c>
      <c r="P475" s="67">
        <v>114.84</v>
      </c>
      <c r="Q475" s="68">
        <v>103.36</v>
      </c>
      <c r="R475" s="48" t="s">
        <v>64</v>
      </c>
      <c r="S475" s="54" t="s">
        <v>1202</v>
      </c>
      <c r="T475">
        <f t="shared" si="11"/>
        <v>11.48</v>
      </c>
    </row>
    <row r="476" hidden="1">
      <c r="A476" s="32" t="str">
        <f t="shared" si="1"/>
        <v>2020SaltyWeek 11</v>
      </c>
      <c r="B476" s="32" t="str">
        <f t="shared" si="2"/>
        <v>2020T-HowWeek 11</v>
      </c>
      <c r="C476" s="32" t="str">
        <f t="shared" si="3"/>
        <v>Week 11</v>
      </c>
      <c r="D476" s="32">
        <v>2020.0</v>
      </c>
      <c r="E476" t="str">
        <f t="shared" si="4"/>
        <v>11</v>
      </c>
      <c r="F476" t="str">
        <f t="shared" si="5"/>
        <v>R Saltiel</v>
      </c>
      <c r="G476" s="40" t="str">
        <f>VLOOKUP(F476,'Manager Coding'!C:D,2,0)</f>
        <v>Salty</v>
      </c>
      <c r="H476" s="41">
        <f t="shared" si="6"/>
        <v>77.62</v>
      </c>
      <c r="I476" t="str">
        <f t="shared" si="7"/>
        <v>Tyler Howard</v>
      </c>
      <c r="J476" t="str">
        <f>VLOOKUP(I476,'Manager Coding'!C:D,2,0)</f>
        <v>T-How</v>
      </c>
      <c r="K476" s="41">
        <f t="shared" si="8"/>
        <v>93.74</v>
      </c>
      <c r="L476">
        <f t="shared" si="9"/>
        <v>0</v>
      </c>
      <c r="M476">
        <f t="shared" si="10"/>
        <v>1</v>
      </c>
      <c r="N476" s="54" t="s">
        <v>1198</v>
      </c>
      <c r="O476" s="55" t="s">
        <v>77</v>
      </c>
      <c r="P476" s="67">
        <v>77.62</v>
      </c>
      <c r="Q476" s="68">
        <v>93.74</v>
      </c>
      <c r="R476" s="48" t="s">
        <v>85</v>
      </c>
      <c r="S476" s="54" t="s">
        <v>1200</v>
      </c>
      <c r="T476">
        <f t="shared" si="11"/>
        <v>16.12</v>
      </c>
    </row>
    <row r="477" hidden="1">
      <c r="A477" s="32" t="str">
        <f t="shared" si="1"/>
        <v>#N/A</v>
      </c>
      <c r="B477" s="32" t="str">
        <f t="shared" si="2"/>
        <v>#N/A</v>
      </c>
      <c r="C477" s="32" t="str">
        <f t="shared" si="3"/>
        <v>Week 11</v>
      </c>
      <c r="D477" s="32">
        <v>2020.0</v>
      </c>
      <c r="E477" t="str">
        <f t="shared" si="4"/>
        <v>11</v>
      </c>
      <c r="F477" t="str">
        <f t="shared" si="5"/>
        <v/>
      </c>
      <c r="G477" s="40" t="str">
        <f>VLOOKUP(F477,'Manager Coding'!C:D,2,0)</f>
        <v>#N/A</v>
      </c>
      <c r="H477" s="41" t="str">
        <f t="shared" si="6"/>
        <v/>
      </c>
      <c r="I477" t="str">
        <f t="shared" si="7"/>
        <v/>
      </c>
      <c r="J477" t="str">
        <f>VLOOKUP(I477,'Manager Coding'!C:D,2,0)</f>
        <v>#N/A</v>
      </c>
      <c r="K477" s="41" t="str">
        <f t="shared" si="8"/>
        <v/>
      </c>
      <c r="L477">
        <f t="shared" si="9"/>
        <v>0</v>
      </c>
      <c r="M477">
        <f t="shared" si="10"/>
        <v>0</v>
      </c>
      <c r="N477" s="53" t="s">
        <v>455</v>
      </c>
      <c r="P477" s="41"/>
      <c r="Q477" s="41"/>
      <c r="T477">
        <f t="shared" si="11"/>
        <v>0</v>
      </c>
    </row>
    <row r="478" hidden="1">
      <c r="A478" s="32" t="str">
        <f t="shared" si="1"/>
        <v>#N/A</v>
      </c>
      <c r="B478" s="32" t="str">
        <f t="shared" si="2"/>
        <v>#N/A</v>
      </c>
      <c r="C478" s="32" t="str">
        <f t="shared" si="3"/>
        <v>Week 12</v>
      </c>
      <c r="D478" s="32">
        <v>2020.0</v>
      </c>
      <c r="E478" t="str">
        <f t="shared" si="4"/>
        <v>12</v>
      </c>
      <c r="F478" t="str">
        <f t="shared" si="5"/>
        <v>TEAM MANAGER(S)</v>
      </c>
      <c r="G478" s="40" t="str">
        <f>VLOOKUP(F478,'Manager Coding'!C:D,2,0)</f>
        <v>#N/A</v>
      </c>
      <c r="H478" s="41" t="str">
        <f t="shared" si="6"/>
        <v>SCORE</v>
      </c>
      <c r="I478" t="str">
        <f t="shared" si="7"/>
        <v>TEAM MANAGER(S)</v>
      </c>
      <c r="J478" t="str">
        <f>VLOOKUP(I478,'Manager Coding'!C:D,2,0)</f>
        <v>#N/A</v>
      </c>
      <c r="K478" s="41" t="str">
        <f t="shared" si="8"/>
        <v>SCORE</v>
      </c>
      <c r="L478">
        <f t="shared" si="9"/>
        <v>0</v>
      </c>
      <c r="M478">
        <f t="shared" si="10"/>
        <v>0</v>
      </c>
      <c r="N478" s="24" t="s">
        <v>197</v>
      </c>
      <c r="O478" s="24" t="s">
        <v>88</v>
      </c>
      <c r="P478" s="26" t="s">
        <v>94</v>
      </c>
      <c r="Q478" s="27" t="s">
        <v>94</v>
      </c>
      <c r="R478" s="30" t="s">
        <v>88</v>
      </c>
      <c r="S478" s="30" t="s">
        <v>101</v>
      </c>
      <c r="T478">
        <f t="shared" si="11"/>
        <v>0</v>
      </c>
    </row>
    <row r="479" hidden="1">
      <c r="A479" s="32" t="str">
        <f t="shared" si="1"/>
        <v>2020RileyWeek 12</v>
      </c>
      <c r="B479" s="32" t="str">
        <f t="shared" si="2"/>
        <v>2020CockWeek 12</v>
      </c>
      <c r="C479" s="32" t="str">
        <f t="shared" si="3"/>
        <v>Week 12</v>
      </c>
      <c r="D479" s="32">
        <v>2020.0</v>
      </c>
      <c r="E479" t="str">
        <f t="shared" si="4"/>
        <v>12</v>
      </c>
      <c r="F479" t="str">
        <f t="shared" si="5"/>
        <v>Riley McElwain</v>
      </c>
      <c r="G479" s="40" t="str">
        <f>VLOOKUP(F479,'Manager Coding'!C:D,2,0)</f>
        <v>Riley</v>
      </c>
      <c r="H479" s="41">
        <f t="shared" si="6"/>
        <v>91.5</v>
      </c>
      <c r="I479" t="str">
        <f t="shared" si="7"/>
        <v>Jack Babcock, Chris Cochrane</v>
      </c>
      <c r="J479" t="str">
        <f>VLOOKUP(I479,'Manager Coding'!C:D,2,0)</f>
        <v>Cock</v>
      </c>
      <c r="K479" s="41">
        <f t="shared" si="8"/>
        <v>67.34</v>
      </c>
      <c r="L479">
        <f t="shared" si="9"/>
        <v>1</v>
      </c>
      <c r="M479">
        <f t="shared" si="10"/>
        <v>0</v>
      </c>
      <c r="N479" s="54" t="s">
        <v>1186</v>
      </c>
      <c r="O479" s="55" t="s">
        <v>68</v>
      </c>
      <c r="P479" s="67">
        <v>91.5</v>
      </c>
      <c r="Q479" s="68">
        <v>67.34</v>
      </c>
      <c r="R479" s="48" t="s">
        <v>73</v>
      </c>
      <c r="S479" s="54" t="s">
        <v>1185</v>
      </c>
      <c r="T479">
        <f t="shared" si="11"/>
        <v>24.16</v>
      </c>
    </row>
    <row r="480" hidden="1">
      <c r="A480" s="32" t="str">
        <f t="shared" si="1"/>
        <v>2020PiersonWeek 12</v>
      </c>
      <c r="B480" s="32" t="str">
        <f t="shared" si="2"/>
        <v>2020KnardDawgWeek 12</v>
      </c>
      <c r="C480" s="32" t="str">
        <f t="shared" si="3"/>
        <v>Week 12</v>
      </c>
      <c r="D480" s="32">
        <v>2020.0</v>
      </c>
      <c r="E480" t="str">
        <f t="shared" si="4"/>
        <v>12</v>
      </c>
      <c r="F480" t="str">
        <f t="shared" si="5"/>
        <v>Pierson Curtis</v>
      </c>
      <c r="G480" s="40" t="str">
        <f>VLOOKUP(F480,'Manager Coding'!C:D,2,0)</f>
        <v>Pierson</v>
      </c>
      <c r="H480" s="41">
        <f t="shared" si="6"/>
        <v>115.2</v>
      </c>
      <c r="I480" t="str">
        <f t="shared" si="7"/>
        <v>Alex Kinniard, Jack Reilly</v>
      </c>
      <c r="J480" t="str">
        <f>VLOOKUP(I480,'Manager Coding'!C:D,2,0)</f>
        <v>KnardDawg</v>
      </c>
      <c r="K480" s="41">
        <f t="shared" si="8"/>
        <v>105.42</v>
      </c>
      <c r="L480">
        <f t="shared" si="9"/>
        <v>1</v>
      </c>
      <c r="M480">
        <f t="shared" si="10"/>
        <v>0</v>
      </c>
      <c r="N480" s="54" t="s">
        <v>1190</v>
      </c>
      <c r="O480" s="55" t="s">
        <v>93</v>
      </c>
      <c r="P480" s="67">
        <v>115.2</v>
      </c>
      <c r="Q480" s="68">
        <v>105.42</v>
      </c>
      <c r="R480" s="48" t="s">
        <v>87</v>
      </c>
      <c r="S480" s="54" t="s">
        <v>1187</v>
      </c>
      <c r="T480">
        <f t="shared" si="11"/>
        <v>9.78</v>
      </c>
    </row>
    <row r="481" hidden="1">
      <c r="A481" s="32" t="str">
        <f t="shared" si="1"/>
        <v>2020Rooney/JacksonWeek 12</v>
      </c>
      <c r="B481" s="32" t="str">
        <f t="shared" si="2"/>
        <v>2020FellowsWeek 12</v>
      </c>
      <c r="C481" s="32" t="str">
        <f t="shared" si="3"/>
        <v>Week 12</v>
      </c>
      <c r="D481" s="32">
        <v>2020.0</v>
      </c>
      <c r="E481" t="str">
        <f t="shared" si="4"/>
        <v>12</v>
      </c>
      <c r="F481" t="str">
        <f t="shared" si="5"/>
        <v>Stephen Rooney, Jackson Sattell</v>
      </c>
      <c r="G481" s="40" t="str">
        <f>VLOOKUP(F481,'Manager Coding'!C:D,2,0)</f>
        <v>Rooney/Jackson</v>
      </c>
      <c r="H481" s="41">
        <f t="shared" si="6"/>
        <v>141.2</v>
      </c>
      <c r="I481" t="str">
        <f t="shared" si="7"/>
        <v>Michael Fellows</v>
      </c>
      <c r="J481" t="str">
        <f>VLOOKUP(I481,'Manager Coding'!C:D,2,0)</f>
        <v>Fellows</v>
      </c>
      <c r="K481" s="41">
        <f t="shared" si="8"/>
        <v>119.86</v>
      </c>
      <c r="L481">
        <f t="shared" si="9"/>
        <v>1</v>
      </c>
      <c r="M481">
        <f t="shared" si="10"/>
        <v>0</v>
      </c>
      <c r="N481" s="54" t="s">
        <v>1192</v>
      </c>
      <c r="O481" s="55" t="s">
        <v>58</v>
      </c>
      <c r="P481" s="67">
        <v>141.2</v>
      </c>
      <c r="Q481" s="68">
        <v>119.86</v>
      </c>
      <c r="R481" s="48" t="s">
        <v>80</v>
      </c>
      <c r="S481" s="54" t="s">
        <v>1191</v>
      </c>
      <c r="T481">
        <f t="shared" si="11"/>
        <v>21.34</v>
      </c>
    </row>
    <row r="482" hidden="1">
      <c r="A482" s="32" t="str">
        <f t="shared" si="1"/>
        <v>2020TayskiWeek 12</v>
      </c>
      <c r="B482" s="32" t="str">
        <f t="shared" si="2"/>
        <v>2020ShepWeek 12</v>
      </c>
      <c r="C482" s="32" t="str">
        <f t="shared" si="3"/>
        <v>Week 12</v>
      </c>
      <c r="D482" s="32">
        <v>2020.0</v>
      </c>
      <c r="E482" t="str">
        <f t="shared" si="4"/>
        <v>12</v>
      </c>
      <c r="F482" t="str">
        <f t="shared" si="5"/>
        <v>Taylor Weis</v>
      </c>
      <c r="G482" s="40" t="str">
        <f>VLOOKUP(F482,'Manager Coding'!C:D,2,0)</f>
        <v>Tayski</v>
      </c>
      <c r="H482" s="41">
        <f t="shared" si="6"/>
        <v>100.78</v>
      </c>
      <c r="I482" t="str">
        <f t="shared" si="7"/>
        <v>Jordan Shepherd</v>
      </c>
      <c r="J482" t="str">
        <f>VLOOKUP(I482,'Manager Coding'!C:D,2,0)</f>
        <v>Shep</v>
      </c>
      <c r="K482" s="41">
        <f t="shared" si="8"/>
        <v>79.54</v>
      </c>
      <c r="L482">
        <f t="shared" si="9"/>
        <v>1</v>
      </c>
      <c r="M482">
        <f t="shared" si="10"/>
        <v>0</v>
      </c>
      <c r="N482" s="54" t="s">
        <v>1197</v>
      </c>
      <c r="O482" s="55" t="s">
        <v>54</v>
      </c>
      <c r="P482" s="67">
        <v>100.78</v>
      </c>
      <c r="Q482" s="68">
        <v>79.54</v>
      </c>
      <c r="R482" s="48" t="s">
        <v>91</v>
      </c>
      <c r="S482" s="54" t="s">
        <v>1196</v>
      </c>
      <c r="T482">
        <f t="shared" si="11"/>
        <v>21.24</v>
      </c>
    </row>
    <row r="483" hidden="1">
      <c r="A483" s="32" t="str">
        <f t="shared" si="1"/>
        <v>2020BuserWeek 12</v>
      </c>
      <c r="B483" s="32" t="str">
        <f t="shared" si="2"/>
        <v>2020SaltyWeek 12</v>
      </c>
      <c r="C483" s="32" t="str">
        <f t="shared" si="3"/>
        <v>Week 12</v>
      </c>
      <c r="D483" s="32">
        <v>2020.0</v>
      </c>
      <c r="E483" t="str">
        <f t="shared" si="4"/>
        <v>12</v>
      </c>
      <c r="F483" t="str">
        <f t="shared" si="5"/>
        <v>Ed Buser</v>
      </c>
      <c r="G483" s="40" t="str">
        <f>VLOOKUP(F483,'Manager Coding'!C:D,2,0)</f>
        <v>Buser</v>
      </c>
      <c r="H483" s="41">
        <f t="shared" si="6"/>
        <v>85.1</v>
      </c>
      <c r="I483" t="str">
        <f t="shared" si="7"/>
        <v>R Saltiel</v>
      </c>
      <c r="J483" t="str">
        <f>VLOOKUP(I483,'Manager Coding'!C:D,2,0)</f>
        <v>Salty</v>
      </c>
      <c r="K483" s="41">
        <f t="shared" si="8"/>
        <v>113.08</v>
      </c>
      <c r="L483">
        <f t="shared" si="9"/>
        <v>0</v>
      </c>
      <c r="M483">
        <f t="shared" si="10"/>
        <v>1</v>
      </c>
      <c r="N483" s="54" t="s">
        <v>1199</v>
      </c>
      <c r="O483" s="55" t="s">
        <v>50</v>
      </c>
      <c r="P483" s="67">
        <v>85.1</v>
      </c>
      <c r="Q483" s="68">
        <v>113.08</v>
      </c>
      <c r="R483" s="48" t="s">
        <v>77</v>
      </c>
      <c r="S483" s="54" t="s">
        <v>1198</v>
      </c>
      <c r="T483">
        <f t="shared" si="11"/>
        <v>27.98</v>
      </c>
    </row>
    <row r="484" hidden="1">
      <c r="A484" s="32" t="str">
        <f t="shared" si="1"/>
        <v>2020HudspeathWeek 12</v>
      </c>
      <c r="B484" s="32" t="str">
        <f t="shared" si="2"/>
        <v>2020T-HowWeek 12</v>
      </c>
      <c r="C484" s="32" t="str">
        <f t="shared" si="3"/>
        <v>Week 12</v>
      </c>
      <c r="D484" s="32">
        <v>2020.0</v>
      </c>
      <c r="E484" t="str">
        <f t="shared" si="4"/>
        <v>12</v>
      </c>
      <c r="F484" t="str">
        <f t="shared" si="5"/>
        <v>matt hudspeath</v>
      </c>
      <c r="G484" s="40" t="str">
        <f>VLOOKUP(F484,'Manager Coding'!C:D,2,0)</f>
        <v>Hudspeath</v>
      </c>
      <c r="H484" s="41">
        <f t="shared" si="6"/>
        <v>89.7</v>
      </c>
      <c r="I484" t="str">
        <f t="shared" si="7"/>
        <v>Tyler Howard</v>
      </c>
      <c r="J484" t="str">
        <f>VLOOKUP(I484,'Manager Coding'!C:D,2,0)</f>
        <v>T-How</v>
      </c>
      <c r="K484" s="41">
        <f t="shared" si="8"/>
        <v>89.04</v>
      </c>
      <c r="L484">
        <f t="shared" si="9"/>
        <v>1</v>
      </c>
      <c r="M484">
        <f t="shared" si="10"/>
        <v>0</v>
      </c>
      <c r="N484" s="54" t="s">
        <v>1202</v>
      </c>
      <c r="O484" s="55" t="s">
        <v>64</v>
      </c>
      <c r="P484" s="67">
        <v>89.7</v>
      </c>
      <c r="Q484" s="68">
        <v>89.04</v>
      </c>
      <c r="R484" s="48" t="s">
        <v>85</v>
      </c>
      <c r="S484" s="54" t="s">
        <v>1200</v>
      </c>
      <c r="T484">
        <f t="shared" si="11"/>
        <v>0.66</v>
      </c>
    </row>
    <row r="485" hidden="1">
      <c r="A485" s="32" t="str">
        <f t="shared" si="1"/>
        <v>#N/A</v>
      </c>
      <c r="B485" s="32" t="str">
        <f t="shared" si="2"/>
        <v>#N/A</v>
      </c>
      <c r="C485" s="32" t="str">
        <f t="shared" si="3"/>
        <v>Week 12</v>
      </c>
      <c r="D485" s="32">
        <v>2020.0</v>
      </c>
      <c r="E485" t="str">
        <f t="shared" si="4"/>
        <v>12</v>
      </c>
      <c r="F485" t="str">
        <f t="shared" si="5"/>
        <v/>
      </c>
      <c r="G485" s="40" t="str">
        <f>VLOOKUP(F485,'Manager Coding'!C:D,2,0)</f>
        <v>#N/A</v>
      </c>
      <c r="H485" s="41" t="str">
        <f t="shared" si="6"/>
        <v/>
      </c>
      <c r="I485" t="str">
        <f t="shared" si="7"/>
        <v/>
      </c>
      <c r="J485" t="str">
        <f>VLOOKUP(I485,'Manager Coding'!C:D,2,0)</f>
        <v>#N/A</v>
      </c>
      <c r="K485" s="41" t="str">
        <f t="shared" si="8"/>
        <v/>
      </c>
      <c r="L485">
        <f t="shared" si="9"/>
        <v>0</v>
      </c>
      <c r="M485">
        <f t="shared" si="10"/>
        <v>0</v>
      </c>
      <c r="N485" s="53" t="s">
        <v>477</v>
      </c>
      <c r="P485" s="41"/>
      <c r="Q485" s="41"/>
      <c r="T485">
        <f t="shared" si="11"/>
        <v>0</v>
      </c>
    </row>
    <row r="486" hidden="1">
      <c r="A486" s="32" t="str">
        <f t="shared" si="1"/>
        <v>#N/A</v>
      </c>
      <c r="B486" s="32" t="str">
        <f t="shared" si="2"/>
        <v>#N/A</v>
      </c>
      <c r="C486" s="32" t="str">
        <f t="shared" si="3"/>
        <v>Week 13</v>
      </c>
      <c r="D486" s="32">
        <v>2020.0</v>
      </c>
      <c r="E486" t="str">
        <f t="shared" si="4"/>
        <v>13</v>
      </c>
      <c r="F486" t="str">
        <f t="shared" si="5"/>
        <v>TEAM MANAGER(S)</v>
      </c>
      <c r="G486" s="40" t="str">
        <f>VLOOKUP(F486,'Manager Coding'!C:D,2,0)</f>
        <v>#N/A</v>
      </c>
      <c r="H486" s="41" t="str">
        <f t="shared" si="6"/>
        <v>SCORE</v>
      </c>
      <c r="I486" t="str">
        <f t="shared" si="7"/>
        <v>TEAM MANAGER(S)</v>
      </c>
      <c r="J486" t="str">
        <f>VLOOKUP(I486,'Manager Coding'!C:D,2,0)</f>
        <v>#N/A</v>
      </c>
      <c r="K486" s="41" t="str">
        <f t="shared" si="8"/>
        <v>SCORE</v>
      </c>
      <c r="L486">
        <f t="shared" si="9"/>
        <v>0</v>
      </c>
      <c r="M486">
        <f t="shared" si="10"/>
        <v>0</v>
      </c>
      <c r="N486" s="24" t="s">
        <v>197</v>
      </c>
      <c r="O486" s="24" t="s">
        <v>88</v>
      </c>
      <c r="P486" s="26" t="s">
        <v>94</v>
      </c>
      <c r="Q486" s="27" t="s">
        <v>94</v>
      </c>
      <c r="R486" s="30" t="s">
        <v>88</v>
      </c>
      <c r="S486" s="30" t="s">
        <v>101</v>
      </c>
      <c r="T486">
        <f t="shared" si="11"/>
        <v>0</v>
      </c>
    </row>
    <row r="487" hidden="1">
      <c r="A487" s="32" t="str">
        <f t="shared" si="1"/>
        <v>2020CockWeek 13</v>
      </c>
      <c r="B487" s="32" t="str">
        <f t="shared" si="2"/>
        <v>2020KnardDawgWeek 13</v>
      </c>
      <c r="C487" s="32" t="str">
        <f t="shared" si="3"/>
        <v>Week 13</v>
      </c>
      <c r="D487" s="32">
        <v>2020.0</v>
      </c>
      <c r="E487" t="str">
        <f t="shared" si="4"/>
        <v>13</v>
      </c>
      <c r="F487" t="str">
        <f t="shared" si="5"/>
        <v>Jack Babcock, Chris Cochrane</v>
      </c>
      <c r="G487" s="40" t="str">
        <f>VLOOKUP(F487,'Manager Coding'!C:D,2,0)</f>
        <v>Cock</v>
      </c>
      <c r="H487" s="41">
        <f t="shared" si="6"/>
        <v>107.76</v>
      </c>
      <c r="I487" t="str">
        <f t="shared" si="7"/>
        <v>Alex Kinniard, Jack Reilly</v>
      </c>
      <c r="J487" t="str">
        <f>VLOOKUP(I487,'Manager Coding'!C:D,2,0)</f>
        <v>KnardDawg</v>
      </c>
      <c r="K487" s="41">
        <f t="shared" si="8"/>
        <v>95.64</v>
      </c>
      <c r="L487">
        <f t="shared" si="9"/>
        <v>1</v>
      </c>
      <c r="M487">
        <f t="shared" si="10"/>
        <v>0</v>
      </c>
      <c r="N487" s="54" t="s">
        <v>1185</v>
      </c>
      <c r="O487" s="55" t="s">
        <v>73</v>
      </c>
      <c r="P487" s="67">
        <v>107.76</v>
      </c>
      <c r="Q487" s="68">
        <v>95.64</v>
      </c>
      <c r="R487" s="48" t="s">
        <v>87</v>
      </c>
      <c r="S487" s="54" t="s">
        <v>1187</v>
      </c>
      <c r="T487">
        <f t="shared" si="11"/>
        <v>12.12</v>
      </c>
    </row>
    <row r="488" hidden="1">
      <c r="A488" s="32" t="str">
        <f t="shared" si="1"/>
        <v>2020FellowsWeek 13</v>
      </c>
      <c r="B488" s="32" t="str">
        <f t="shared" si="2"/>
        <v>2020RileyWeek 13</v>
      </c>
      <c r="C488" s="32" t="str">
        <f t="shared" si="3"/>
        <v>Week 13</v>
      </c>
      <c r="D488" s="32">
        <v>2020.0</v>
      </c>
      <c r="E488" t="str">
        <f t="shared" si="4"/>
        <v>13</v>
      </c>
      <c r="F488" t="str">
        <f t="shared" si="5"/>
        <v>Michael Fellows</v>
      </c>
      <c r="G488" s="40" t="str">
        <f>VLOOKUP(F488,'Manager Coding'!C:D,2,0)</f>
        <v>Fellows</v>
      </c>
      <c r="H488" s="41">
        <f t="shared" si="6"/>
        <v>113.94</v>
      </c>
      <c r="I488" t="str">
        <f t="shared" si="7"/>
        <v>Riley McElwain</v>
      </c>
      <c r="J488" t="str">
        <f>VLOOKUP(I488,'Manager Coding'!C:D,2,0)</f>
        <v>Riley</v>
      </c>
      <c r="K488" s="41">
        <f t="shared" si="8"/>
        <v>91.82</v>
      </c>
      <c r="L488">
        <f t="shared" si="9"/>
        <v>1</v>
      </c>
      <c r="M488">
        <f t="shared" si="10"/>
        <v>0</v>
      </c>
      <c r="N488" s="54" t="s">
        <v>1191</v>
      </c>
      <c r="O488" s="55" t="s">
        <v>80</v>
      </c>
      <c r="P488" s="67">
        <v>113.94</v>
      </c>
      <c r="Q488" s="68">
        <v>91.82</v>
      </c>
      <c r="R488" s="48" t="s">
        <v>68</v>
      </c>
      <c r="S488" s="54" t="s">
        <v>1186</v>
      </c>
      <c r="T488">
        <f t="shared" si="11"/>
        <v>22.12</v>
      </c>
    </row>
    <row r="489" hidden="1">
      <c r="A489" s="32" t="str">
        <f t="shared" si="1"/>
        <v>2020ShepWeek 13</v>
      </c>
      <c r="B489" s="32" t="str">
        <f t="shared" si="2"/>
        <v>2020PiersonWeek 13</v>
      </c>
      <c r="C489" s="32" t="str">
        <f t="shared" si="3"/>
        <v>Week 13</v>
      </c>
      <c r="D489" s="32">
        <v>2020.0</v>
      </c>
      <c r="E489" t="str">
        <f t="shared" si="4"/>
        <v>13</v>
      </c>
      <c r="F489" t="str">
        <f t="shared" si="5"/>
        <v>Jordan Shepherd</v>
      </c>
      <c r="G489" s="40" t="str">
        <f>VLOOKUP(F489,'Manager Coding'!C:D,2,0)</f>
        <v>Shep</v>
      </c>
      <c r="H489" s="41">
        <f t="shared" si="6"/>
        <v>96.34</v>
      </c>
      <c r="I489" t="str">
        <f t="shared" si="7"/>
        <v>Pierson Curtis</v>
      </c>
      <c r="J489" t="str">
        <f>VLOOKUP(I489,'Manager Coding'!C:D,2,0)</f>
        <v>Pierson</v>
      </c>
      <c r="K489" s="41">
        <f t="shared" si="8"/>
        <v>90.18</v>
      </c>
      <c r="L489">
        <f t="shared" si="9"/>
        <v>1</v>
      </c>
      <c r="M489">
        <f t="shared" si="10"/>
        <v>0</v>
      </c>
      <c r="N489" s="54" t="s">
        <v>1196</v>
      </c>
      <c r="O489" s="55" t="s">
        <v>91</v>
      </c>
      <c r="P489" s="67">
        <v>96.34</v>
      </c>
      <c r="Q489" s="68">
        <v>90.18</v>
      </c>
      <c r="R489" s="48" t="s">
        <v>93</v>
      </c>
      <c r="S489" s="54" t="s">
        <v>1190</v>
      </c>
      <c r="T489">
        <f t="shared" si="11"/>
        <v>6.16</v>
      </c>
    </row>
    <row r="490" hidden="1">
      <c r="A490" s="32" t="str">
        <f t="shared" si="1"/>
        <v>2020SaltyWeek 13</v>
      </c>
      <c r="B490" s="32" t="str">
        <f t="shared" si="2"/>
        <v>2020Rooney/JacksonWeek 13</v>
      </c>
      <c r="C490" s="32" t="str">
        <f t="shared" si="3"/>
        <v>Week 13</v>
      </c>
      <c r="D490" s="32">
        <v>2020.0</v>
      </c>
      <c r="E490" t="str">
        <f t="shared" si="4"/>
        <v>13</v>
      </c>
      <c r="F490" t="str">
        <f t="shared" si="5"/>
        <v>R Saltiel</v>
      </c>
      <c r="G490" s="40" t="str">
        <f>VLOOKUP(F490,'Manager Coding'!C:D,2,0)</f>
        <v>Salty</v>
      </c>
      <c r="H490" s="41">
        <f t="shared" si="6"/>
        <v>77.22</v>
      </c>
      <c r="I490" t="str">
        <f t="shared" si="7"/>
        <v>Stephen Rooney, Jackson Sattell</v>
      </c>
      <c r="J490" t="str">
        <f>VLOOKUP(I490,'Manager Coding'!C:D,2,0)</f>
        <v>Rooney/Jackson</v>
      </c>
      <c r="K490" s="41">
        <f t="shared" si="8"/>
        <v>82.7</v>
      </c>
      <c r="L490">
        <f t="shared" si="9"/>
        <v>0</v>
      </c>
      <c r="M490">
        <f t="shared" si="10"/>
        <v>1</v>
      </c>
      <c r="N490" s="54" t="s">
        <v>1198</v>
      </c>
      <c r="O490" s="55" t="s">
        <v>77</v>
      </c>
      <c r="P490" s="67">
        <v>77.22</v>
      </c>
      <c r="Q490" s="68">
        <v>82.7</v>
      </c>
      <c r="R490" s="48" t="s">
        <v>58</v>
      </c>
      <c r="S490" s="54" t="s">
        <v>1192</v>
      </c>
      <c r="T490">
        <f t="shared" si="11"/>
        <v>5.48</v>
      </c>
    </row>
    <row r="491" hidden="1">
      <c r="A491" s="32" t="str">
        <f t="shared" si="1"/>
        <v>2020T-HowWeek 13</v>
      </c>
      <c r="B491" s="32" t="str">
        <f t="shared" si="2"/>
        <v>2020TayskiWeek 13</v>
      </c>
      <c r="C491" s="32" t="str">
        <f t="shared" si="3"/>
        <v>Week 13</v>
      </c>
      <c r="D491" s="32">
        <v>2020.0</v>
      </c>
      <c r="E491" t="str">
        <f t="shared" si="4"/>
        <v>13</v>
      </c>
      <c r="F491" t="str">
        <f t="shared" si="5"/>
        <v>Tyler Howard</v>
      </c>
      <c r="G491" s="40" t="str">
        <f>VLOOKUP(F491,'Manager Coding'!C:D,2,0)</f>
        <v>T-How</v>
      </c>
      <c r="H491" s="41">
        <f t="shared" si="6"/>
        <v>86.96</v>
      </c>
      <c r="I491" t="str">
        <f t="shared" si="7"/>
        <v>Taylor Weis</v>
      </c>
      <c r="J491" t="str">
        <f>VLOOKUP(I491,'Manager Coding'!C:D,2,0)</f>
        <v>Tayski</v>
      </c>
      <c r="K491" s="41">
        <f t="shared" si="8"/>
        <v>95.6</v>
      </c>
      <c r="L491">
        <f t="shared" si="9"/>
        <v>0</v>
      </c>
      <c r="M491">
        <f t="shared" si="10"/>
        <v>1</v>
      </c>
      <c r="N491" s="54" t="s">
        <v>1200</v>
      </c>
      <c r="O491" s="55" t="s">
        <v>85</v>
      </c>
      <c r="P491" s="67">
        <v>86.96</v>
      </c>
      <c r="Q491" s="68">
        <v>95.6</v>
      </c>
      <c r="R491" s="48" t="s">
        <v>54</v>
      </c>
      <c r="S491" s="54" t="s">
        <v>1197</v>
      </c>
      <c r="T491">
        <f t="shared" si="11"/>
        <v>8.64</v>
      </c>
    </row>
    <row r="492" hidden="1">
      <c r="A492" s="32" t="str">
        <f t="shared" si="1"/>
        <v>2020HudspeathWeek 13</v>
      </c>
      <c r="B492" s="32" t="str">
        <f t="shared" si="2"/>
        <v>2020BuserWeek 13</v>
      </c>
      <c r="C492" s="32" t="str">
        <f t="shared" si="3"/>
        <v>Week 13</v>
      </c>
      <c r="D492" s="32">
        <v>2020.0</v>
      </c>
      <c r="E492" t="str">
        <f t="shared" si="4"/>
        <v>13</v>
      </c>
      <c r="F492" t="str">
        <f t="shared" si="5"/>
        <v>matt hudspeath</v>
      </c>
      <c r="G492" s="40" t="str">
        <f>VLOOKUP(F492,'Manager Coding'!C:D,2,0)</f>
        <v>Hudspeath</v>
      </c>
      <c r="H492" s="41">
        <f t="shared" si="6"/>
        <v>90.78</v>
      </c>
      <c r="I492" t="str">
        <f t="shared" si="7"/>
        <v>Ed Buser</v>
      </c>
      <c r="J492" t="str">
        <f>VLOOKUP(I492,'Manager Coding'!C:D,2,0)</f>
        <v>Buser</v>
      </c>
      <c r="K492" s="41">
        <f t="shared" si="8"/>
        <v>41.12</v>
      </c>
      <c r="L492">
        <f t="shared" si="9"/>
        <v>1</v>
      </c>
      <c r="M492">
        <f t="shared" si="10"/>
        <v>0</v>
      </c>
      <c r="N492" s="54" t="s">
        <v>1202</v>
      </c>
      <c r="O492" s="55" t="s">
        <v>64</v>
      </c>
      <c r="P492" s="67">
        <v>90.78</v>
      </c>
      <c r="Q492" s="68">
        <v>41.12</v>
      </c>
      <c r="R492" s="48" t="s">
        <v>50</v>
      </c>
      <c r="S492" s="54" t="s">
        <v>1199</v>
      </c>
      <c r="T492">
        <f t="shared" si="11"/>
        <v>49.66</v>
      </c>
    </row>
    <row r="493" hidden="1">
      <c r="A493" s="32" t="str">
        <f t="shared" si="1"/>
        <v>#N/A</v>
      </c>
      <c r="B493" s="32" t="str">
        <f t="shared" si="2"/>
        <v>#N/A</v>
      </c>
      <c r="C493" s="32" t="str">
        <f t="shared" si="3"/>
        <v>Week 13</v>
      </c>
      <c r="D493" s="32">
        <v>2020.0</v>
      </c>
      <c r="E493" t="str">
        <f t="shared" si="4"/>
        <v>13</v>
      </c>
      <c r="F493" t="str">
        <f t="shared" si="5"/>
        <v/>
      </c>
      <c r="G493" s="40" t="str">
        <f>VLOOKUP(F493,'Manager Coding'!C:D,2,0)</f>
        <v>#N/A</v>
      </c>
      <c r="H493" s="41" t="str">
        <f t="shared" si="6"/>
        <v/>
      </c>
      <c r="I493" t="str">
        <f t="shared" si="7"/>
        <v/>
      </c>
      <c r="J493" t="str">
        <f>VLOOKUP(I493,'Manager Coding'!C:D,2,0)</f>
        <v>#N/A</v>
      </c>
      <c r="K493" s="41" t="str">
        <f t="shared" si="8"/>
        <v/>
      </c>
      <c r="L493">
        <f t="shared" si="9"/>
        <v>0</v>
      </c>
      <c r="M493">
        <f t="shared" si="10"/>
        <v>0</v>
      </c>
      <c r="N493" s="53" t="s">
        <v>501</v>
      </c>
      <c r="P493" s="41"/>
      <c r="Q493" s="41"/>
      <c r="T493">
        <f t="shared" si="11"/>
        <v>0</v>
      </c>
    </row>
    <row r="494" hidden="1">
      <c r="A494" s="32" t="str">
        <f t="shared" si="1"/>
        <v>#N/A</v>
      </c>
      <c r="B494" s="32" t="str">
        <f t="shared" si="2"/>
        <v>#N/A</v>
      </c>
      <c r="C494" s="32" t="str">
        <f t="shared" si="3"/>
        <v>Week 14</v>
      </c>
      <c r="D494" s="32">
        <v>2020.0</v>
      </c>
      <c r="E494" t="str">
        <f t="shared" si="4"/>
        <v>14</v>
      </c>
      <c r="F494" t="str">
        <f t="shared" si="5"/>
        <v>TEAM MANAGER(S)</v>
      </c>
      <c r="G494" s="40" t="str">
        <f>VLOOKUP(F494,'Manager Coding'!C:D,2,0)</f>
        <v>#N/A</v>
      </c>
      <c r="H494" s="41" t="str">
        <f t="shared" si="6"/>
        <v>SCORE</v>
      </c>
      <c r="I494" t="str">
        <f t="shared" si="7"/>
        <v>TEAM MANAGER(S)</v>
      </c>
      <c r="J494" t="str">
        <f>VLOOKUP(I494,'Manager Coding'!C:D,2,0)</f>
        <v>#N/A</v>
      </c>
      <c r="K494" s="41" t="str">
        <f t="shared" si="8"/>
        <v>SCORE</v>
      </c>
      <c r="L494">
        <f t="shared" si="9"/>
        <v>0</v>
      </c>
      <c r="M494">
        <f t="shared" si="10"/>
        <v>0</v>
      </c>
      <c r="N494" s="24" t="s">
        <v>197</v>
      </c>
      <c r="O494" s="24" t="s">
        <v>88</v>
      </c>
      <c r="P494" s="26" t="s">
        <v>94</v>
      </c>
      <c r="Q494" s="27" t="s">
        <v>94</v>
      </c>
      <c r="R494" s="30" t="s">
        <v>88</v>
      </c>
      <c r="S494" s="30" t="s">
        <v>101</v>
      </c>
      <c r="T494">
        <f t="shared" si="11"/>
        <v>0</v>
      </c>
    </row>
    <row r="495" hidden="1">
      <c r="A495" s="32" t="str">
        <f t="shared" si="1"/>
        <v>2020BuserWeek 14</v>
      </c>
      <c r="B495" s="32" t="str">
        <f t="shared" si="2"/>
        <v>2020FellowsWeek 14</v>
      </c>
      <c r="C495" s="32" t="str">
        <f t="shared" si="3"/>
        <v>Week 14</v>
      </c>
      <c r="D495" s="32">
        <v>2020.0</v>
      </c>
      <c r="E495" t="str">
        <f t="shared" si="4"/>
        <v>14</v>
      </c>
      <c r="F495" t="str">
        <f t="shared" si="5"/>
        <v>Ed Buser</v>
      </c>
      <c r="G495" s="40" t="str">
        <f>VLOOKUP(F495,'Manager Coding'!C:D,2,0)</f>
        <v>Buser</v>
      </c>
      <c r="H495" s="41">
        <f t="shared" si="6"/>
        <v>116.96</v>
      </c>
      <c r="I495" t="str">
        <f t="shared" si="7"/>
        <v>Michael Fellows</v>
      </c>
      <c r="J495" t="str">
        <f>VLOOKUP(I495,'Manager Coding'!C:D,2,0)</f>
        <v>Fellows</v>
      </c>
      <c r="K495" s="41">
        <f t="shared" si="8"/>
        <v>106.18</v>
      </c>
      <c r="L495">
        <f t="shared" si="9"/>
        <v>1</v>
      </c>
      <c r="M495">
        <f t="shared" si="10"/>
        <v>0</v>
      </c>
      <c r="N495" s="54" t="s">
        <v>1199</v>
      </c>
      <c r="O495" s="55" t="s">
        <v>50</v>
      </c>
      <c r="P495" s="67">
        <v>116.96</v>
      </c>
      <c r="Q495" s="68">
        <v>106.18</v>
      </c>
      <c r="R495" s="48" t="s">
        <v>80</v>
      </c>
      <c r="S495" s="54" t="s">
        <v>1191</v>
      </c>
      <c r="T495">
        <f t="shared" si="11"/>
        <v>10.78</v>
      </c>
    </row>
    <row r="496" hidden="1">
      <c r="A496" s="32" t="str">
        <f t="shared" si="1"/>
        <v>2020KnardDawgWeek 14</v>
      </c>
      <c r="B496" s="32" t="str">
        <f t="shared" si="2"/>
        <v>2020Rooney/JacksonWeek 14</v>
      </c>
      <c r="C496" s="32" t="str">
        <f t="shared" si="3"/>
        <v>Week 14</v>
      </c>
      <c r="D496" s="32">
        <v>2020.0</v>
      </c>
      <c r="E496" t="str">
        <f t="shared" si="4"/>
        <v>14</v>
      </c>
      <c r="F496" t="str">
        <f t="shared" si="5"/>
        <v>Alex Kinniard, Jack Reilly</v>
      </c>
      <c r="G496" s="40" t="str">
        <f>VLOOKUP(F496,'Manager Coding'!C:D,2,0)</f>
        <v>KnardDawg</v>
      </c>
      <c r="H496" s="41">
        <f t="shared" si="6"/>
        <v>113.96</v>
      </c>
      <c r="I496" t="str">
        <f t="shared" si="7"/>
        <v>Stephen Rooney, Jackson Sattell</v>
      </c>
      <c r="J496" t="str">
        <f>VLOOKUP(I496,'Manager Coding'!C:D,2,0)</f>
        <v>Rooney/Jackson</v>
      </c>
      <c r="K496" s="41">
        <f t="shared" si="8"/>
        <v>66.78</v>
      </c>
      <c r="L496">
        <f t="shared" si="9"/>
        <v>1</v>
      </c>
      <c r="M496">
        <f t="shared" si="10"/>
        <v>0</v>
      </c>
      <c r="N496" s="54" t="s">
        <v>1187</v>
      </c>
      <c r="O496" s="55" t="s">
        <v>87</v>
      </c>
      <c r="P496" s="67">
        <v>113.96</v>
      </c>
      <c r="Q496" s="68">
        <v>66.78</v>
      </c>
      <c r="R496" s="48" t="s">
        <v>58</v>
      </c>
      <c r="S496" s="54" t="s">
        <v>1192</v>
      </c>
      <c r="T496">
        <f t="shared" si="11"/>
        <v>47.18</v>
      </c>
    </row>
    <row r="497" hidden="1">
      <c r="A497" s="32" t="str">
        <f t="shared" si="1"/>
        <v>2020ShepWeek 14</v>
      </c>
      <c r="B497" s="32" t="str">
        <f t="shared" si="2"/>
        <v>2020SaltyWeek 14</v>
      </c>
      <c r="C497" s="32" t="str">
        <f t="shared" si="3"/>
        <v>Week 14</v>
      </c>
      <c r="D497" s="32">
        <v>2020.0</v>
      </c>
      <c r="E497" t="str">
        <f t="shared" si="4"/>
        <v>14</v>
      </c>
      <c r="F497" t="str">
        <f t="shared" si="5"/>
        <v>Jordan Shepherd</v>
      </c>
      <c r="G497" s="40" t="str">
        <f>VLOOKUP(F497,'Manager Coding'!C:D,2,0)</f>
        <v>Shep</v>
      </c>
      <c r="H497" s="41">
        <f t="shared" si="6"/>
        <v>85.88</v>
      </c>
      <c r="I497" t="str">
        <f t="shared" si="7"/>
        <v>R Saltiel</v>
      </c>
      <c r="J497" t="str">
        <f>VLOOKUP(I497,'Manager Coding'!C:D,2,0)</f>
        <v>Salty</v>
      </c>
      <c r="K497" s="41">
        <f t="shared" si="8"/>
        <v>103.62</v>
      </c>
      <c r="L497">
        <f t="shared" si="9"/>
        <v>0</v>
      </c>
      <c r="M497">
        <f t="shared" si="10"/>
        <v>1</v>
      </c>
      <c r="N497" s="54" t="s">
        <v>1196</v>
      </c>
      <c r="O497" s="55" t="s">
        <v>91</v>
      </c>
      <c r="P497" s="67">
        <v>85.88</v>
      </c>
      <c r="Q497" s="68">
        <v>103.62</v>
      </c>
      <c r="R497" s="48" t="s">
        <v>77</v>
      </c>
      <c r="S497" s="54" t="s">
        <v>1198</v>
      </c>
      <c r="T497">
        <f t="shared" si="11"/>
        <v>17.74</v>
      </c>
    </row>
    <row r="498" hidden="1">
      <c r="A498" s="32" t="str">
        <f t="shared" si="1"/>
        <v>2020RileyWeek 14</v>
      </c>
      <c r="B498" s="32" t="str">
        <f t="shared" si="2"/>
        <v>2020T-HowWeek 14</v>
      </c>
      <c r="C498" s="32" t="str">
        <f t="shared" si="3"/>
        <v>Week 14</v>
      </c>
      <c r="D498" s="32">
        <v>2020.0</v>
      </c>
      <c r="E498" t="str">
        <f t="shared" si="4"/>
        <v>14</v>
      </c>
      <c r="F498" t="str">
        <f t="shared" si="5"/>
        <v>Riley McElwain</v>
      </c>
      <c r="G498" s="40" t="str">
        <f>VLOOKUP(F498,'Manager Coding'!C:D,2,0)</f>
        <v>Riley</v>
      </c>
      <c r="H498" s="41">
        <f t="shared" si="6"/>
        <v>111.34</v>
      </c>
      <c r="I498" t="str">
        <f t="shared" si="7"/>
        <v>Tyler Howard</v>
      </c>
      <c r="J498" t="str">
        <f>VLOOKUP(I498,'Manager Coding'!C:D,2,0)</f>
        <v>T-How</v>
      </c>
      <c r="K498" s="41">
        <f t="shared" si="8"/>
        <v>63.52</v>
      </c>
      <c r="L498">
        <f t="shared" si="9"/>
        <v>1</v>
      </c>
      <c r="M498">
        <f t="shared" si="10"/>
        <v>0</v>
      </c>
      <c r="N498" s="54" t="s">
        <v>1186</v>
      </c>
      <c r="O498" s="55" t="s">
        <v>68</v>
      </c>
      <c r="P498" s="67">
        <v>111.34</v>
      </c>
      <c r="Q498" s="68">
        <v>63.52</v>
      </c>
      <c r="R498" s="48" t="s">
        <v>85</v>
      </c>
      <c r="S498" s="54" t="s">
        <v>1200</v>
      </c>
      <c r="T498">
        <f t="shared" si="11"/>
        <v>47.82</v>
      </c>
    </row>
    <row r="499" hidden="1">
      <c r="A499" s="32" t="str">
        <f t="shared" si="1"/>
        <v>2020CockWeek 14</v>
      </c>
      <c r="B499" s="32" t="str">
        <f t="shared" si="2"/>
        <v>2020HudspeathWeek 14</v>
      </c>
      <c r="C499" s="32" t="str">
        <f t="shared" si="3"/>
        <v>Week 14</v>
      </c>
      <c r="D499" s="32">
        <v>2020.0</v>
      </c>
      <c r="E499" t="str">
        <f t="shared" si="4"/>
        <v>14</v>
      </c>
      <c r="F499" t="str">
        <f t="shared" si="5"/>
        <v>Jack Babcock, Chris Cochrane</v>
      </c>
      <c r="G499" s="40" t="str">
        <f>VLOOKUP(F499,'Manager Coding'!C:D,2,0)</f>
        <v>Cock</v>
      </c>
      <c r="H499" s="41">
        <f t="shared" si="6"/>
        <v>97.38</v>
      </c>
      <c r="I499" t="str">
        <f t="shared" si="7"/>
        <v>matt hudspeath</v>
      </c>
      <c r="J499" t="str">
        <f>VLOOKUP(I499,'Manager Coding'!C:D,2,0)</f>
        <v>Hudspeath</v>
      </c>
      <c r="K499" s="41">
        <f t="shared" si="8"/>
        <v>63.64</v>
      </c>
      <c r="L499">
        <f t="shared" si="9"/>
        <v>1</v>
      </c>
      <c r="M499">
        <f t="shared" si="10"/>
        <v>0</v>
      </c>
      <c r="N499" s="54" t="s">
        <v>1185</v>
      </c>
      <c r="O499" s="55" t="s">
        <v>73</v>
      </c>
      <c r="P499" s="67">
        <v>97.38</v>
      </c>
      <c r="Q499" s="68">
        <v>63.64</v>
      </c>
      <c r="R499" s="48" t="s">
        <v>64</v>
      </c>
      <c r="S499" s="54" t="s">
        <v>1202</v>
      </c>
      <c r="T499">
        <f t="shared" si="11"/>
        <v>33.74</v>
      </c>
    </row>
    <row r="500" hidden="1">
      <c r="A500" s="32" t="str">
        <f t="shared" si="1"/>
        <v>#N/A</v>
      </c>
      <c r="B500" s="32" t="str">
        <f t="shared" si="2"/>
        <v>#N/A</v>
      </c>
      <c r="C500" s="32" t="str">
        <f t="shared" si="3"/>
        <v>Week 14</v>
      </c>
      <c r="D500" s="32">
        <v>2020.0</v>
      </c>
      <c r="E500" t="str">
        <f t="shared" si="4"/>
        <v>14</v>
      </c>
      <c r="F500" t="str">
        <f t="shared" si="5"/>
        <v/>
      </c>
      <c r="G500" s="40" t="str">
        <f>VLOOKUP(F500,'Manager Coding'!C:D,2,0)</f>
        <v>#N/A</v>
      </c>
      <c r="H500" s="41" t="str">
        <f t="shared" si="6"/>
        <v/>
      </c>
      <c r="I500" t="str">
        <f t="shared" si="7"/>
        <v/>
      </c>
      <c r="J500" t="str">
        <f>VLOOKUP(I500,'Manager Coding'!C:D,2,0)</f>
        <v>#N/A</v>
      </c>
      <c r="K500" s="41" t="str">
        <f t="shared" si="8"/>
        <v/>
      </c>
      <c r="L500">
        <f t="shared" si="9"/>
        <v>0</v>
      </c>
      <c r="M500">
        <f t="shared" si="10"/>
        <v>0</v>
      </c>
      <c r="N500" s="56" t="s">
        <v>518</v>
      </c>
      <c r="P500" s="41"/>
      <c r="Q500" s="41"/>
      <c r="T500">
        <f t="shared" si="11"/>
        <v>0</v>
      </c>
    </row>
    <row r="501" hidden="1">
      <c r="A501" s="32" t="str">
        <f t="shared" si="1"/>
        <v>#N/A</v>
      </c>
      <c r="B501" s="32" t="str">
        <f t="shared" si="2"/>
        <v>#N/A</v>
      </c>
      <c r="C501" s="32" t="str">
        <f t="shared" si="3"/>
        <v>Week 14</v>
      </c>
      <c r="D501" s="32">
        <v>2020.0</v>
      </c>
      <c r="E501" t="str">
        <f t="shared" si="4"/>
        <v>14</v>
      </c>
      <c r="F501" t="str">
        <f t="shared" si="5"/>
        <v/>
      </c>
      <c r="G501" s="40" t="str">
        <f>VLOOKUP(F501,'Manager Coding'!C:D,2,0)</f>
        <v>#N/A</v>
      </c>
      <c r="H501" s="41" t="str">
        <f t="shared" si="6"/>
        <v/>
      </c>
      <c r="I501" t="str">
        <f t="shared" si="7"/>
        <v/>
      </c>
      <c r="J501" t="str">
        <f>VLOOKUP(I501,'Manager Coding'!C:D,2,0)</f>
        <v>#N/A</v>
      </c>
      <c r="K501" s="41" t="str">
        <f t="shared" si="8"/>
        <v/>
      </c>
      <c r="L501">
        <f t="shared" si="9"/>
        <v>0</v>
      </c>
      <c r="M501">
        <f t="shared" si="10"/>
        <v>0</v>
      </c>
      <c r="N501" s="56" t="s">
        <v>1411</v>
      </c>
      <c r="P501" s="41"/>
      <c r="Q501" s="41"/>
      <c r="T501">
        <f t="shared" si="11"/>
        <v>0</v>
      </c>
    </row>
    <row r="502" hidden="1">
      <c r="A502" s="32" t="str">
        <f t="shared" si="1"/>
        <v>#N/A</v>
      </c>
      <c r="B502" s="32" t="str">
        <f t="shared" si="2"/>
        <v>#N/A</v>
      </c>
      <c r="C502" s="32" t="str">
        <f t="shared" si="3"/>
        <v>Week 14</v>
      </c>
      <c r="D502" s="32">
        <v>2020.0</v>
      </c>
      <c r="E502" t="str">
        <f t="shared" si="4"/>
        <v>14</v>
      </c>
      <c r="F502" t="str">
        <f t="shared" si="5"/>
        <v/>
      </c>
      <c r="G502" s="40" t="str">
        <f>VLOOKUP(F502,'Manager Coding'!C:D,2,0)</f>
        <v>#N/A</v>
      </c>
      <c r="H502" s="41" t="str">
        <f t="shared" si="6"/>
        <v/>
      </c>
      <c r="I502" t="str">
        <f t="shared" si="7"/>
        <v/>
      </c>
      <c r="J502" t="str">
        <f>VLOOKUP(I502,'Manager Coding'!C:D,2,0)</f>
        <v>#N/A</v>
      </c>
      <c r="K502" s="41" t="str">
        <f t="shared" si="8"/>
        <v/>
      </c>
      <c r="L502">
        <f t="shared" si="9"/>
        <v>0</v>
      </c>
      <c r="M502">
        <f t="shared" si="10"/>
        <v>0</v>
      </c>
      <c r="N502" s="56" t="s">
        <v>1412</v>
      </c>
      <c r="P502" s="41"/>
      <c r="Q502" s="41"/>
      <c r="T502">
        <f t="shared" si="11"/>
        <v>0</v>
      </c>
    </row>
    <row r="503" hidden="1">
      <c r="A503" s="32" t="str">
        <f t="shared" si="1"/>
        <v>#N/A</v>
      </c>
      <c r="B503" s="32" t="str">
        <f t="shared" si="2"/>
        <v>#N/A</v>
      </c>
      <c r="C503" s="32" t="str">
        <f t="shared" si="3"/>
        <v>Week 14</v>
      </c>
      <c r="D503" s="32">
        <v>2020.0</v>
      </c>
      <c r="E503" t="str">
        <f t="shared" si="4"/>
        <v>14</v>
      </c>
      <c r="F503" t="str">
        <f t="shared" si="5"/>
        <v/>
      </c>
      <c r="G503" s="40" t="str">
        <f>VLOOKUP(F503,'Manager Coding'!C:D,2,0)</f>
        <v>#N/A</v>
      </c>
      <c r="H503" s="41" t="str">
        <f t="shared" si="6"/>
        <v/>
      </c>
      <c r="I503" t="str">
        <f t="shared" si="7"/>
        <v/>
      </c>
      <c r="J503" t="str">
        <f>VLOOKUP(I503,'Manager Coding'!C:D,2,0)</f>
        <v>#N/A</v>
      </c>
      <c r="K503" s="41" t="str">
        <f t="shared" si="8"/>
        <v/>
      </c>
      <c r="L503">
        <f t="shared" si="9"/>
        <v>0</v>
      </c>
      <c r="M503">
        <f t="shared" si="10"/>
        <v>0</v>
      </c>
      <c r="N503" s="57" t="s">
        <v>530</v>
      </c>
      <c r="P503" s="41"/>
      <c r="Q503" s="41"/>
      <c r="T503">
        <f t="shared" si="11"/>
        <v>0</v>
      </c>
    </row>
    <row r="504" hidden="1">
      <c r="A504" s="32" t="str">
        <f t="shared" si="1"/>
        <v>#N/A</v>
      </c>
      <c r="B504" s="32" t="str">
        <f t="shared" si="2"/>
        <v>#N/A</v>
      </c>
      <c r="C504" s="32" t="str">
        <f t="shared" si="3"/>
        <v>Week 15</v>
      </c>
      <c r="D504" s="32">
        <v>2020.0</v>
      </c>
      <c r="E504" t="str">
        <f t="shared" si="4"/>
        <v>15</v>
      </c>
      <c r="F504" t="str">
        <f t="shared" si="5"/>
        <v>TEAM MANAGER(S)</v>
      </c>
      <c r="G504" s="40" t="str">
        <f>VLOOKUP(F504,'Manager Coding'!C:D,2,0)</f>
        <v>#N/A</v>
      </c>
      <c r="H504" s="41" t="str">
        <f t="shared" si="6"/>
        <v>SCORE</v>
      </c>
      <c r="I504" t="str">
        <f t="shared" si="7"/>
        <v>TEAM MANAGER(S)</v>
      </c>
      <c r="J504" t="str">
        <f>VLOOKUP(I504,'Manager Coding'!C:D,2,0)</f>
        <v>#N/A</v>
      </c>
      <c r="K504" s="41" t="str">
        <f t="shared" si="8"/>
        <v>SCORE</v>
      </c>
      <c r="L504">
        <f t="shared" si="9"/>
        <v>0</v>
      </c>
      <c r="M504">
        <f t="shared" si="10"/>
        <v>0</v>
      </c>
      <c r="N504" s="24" t="s">
        <v>197</v>
      </c>
      <c r="O504" s="24" t="s">
        <v>88</v>
      </c>
      <c r="P504" s="26" t="s">
        <v>94</v>
      </c>
      <c r="Q504" s="27" t="s">
        <v>94</v>
      </c>
      <c r="R504" s="30" t="s">
        <v>88</v>
      </c>
      <c r="S504" s="30" t="s">
        <v>101</v>
      </c>
      <c r="T504">
        <f t="shared" si="11"/>
        <v>0</v>
      </c>
    </row>
    <row r="505" hidden="1">
      <c r="A505" s="32" t="str">
        <f t="shared" si="1"/>
        <v>2020BuserWeek 15</v>
      </c>
      <c r="B505" s="32" t="str">
        <f t="shared" si="2"/>
        <v>2020TayskiWeek 15</v>
      </c>
      <c r="C505" s="32" t="str">
        <f t="shared" si="3"/>
        <v>Week 15</v>
      </c>
      <c r="D505" s="32">
        <v>2020.0</v>
      </c>
      <c r="E505" t="str">
        <f t="shared" si="4"/>
        <v>15</v>
      </c>
      <c r="F505" t="str">
        <f t="shared" si="5"/>
        <v>Ed Buser</v>
      </c>
      <c r="G505" s="40" t="str">
        <f>VLOOKUP(F505,'Manager Coding'!C:D,2,0)</f>
        <v>Buser</v>
      </c>
      <c r="H505" s="41">
        <f t="shared" si="6"/>
        <v>95.74</v>
      </c>
      <c r="I505" t="str">
        <f t="shared" si="7"/>
        <v>Taylor Weis</v>
      </c>
      <c r="J505" t="str">
        <f>VLOOKUP(I505,'Manager Coding'!C:D,2,0)</f>
        <v>Tayski</v>
      </c>
      <c r="K505" s="41">
        <f t="shared" si="8"/>
        <v>124.36</v>
      </c>
      <c r="L505">
        <f t="shared" si="9"/>
        <v>0</v>
      </c>
      <c r="M505">
        <f t="shared" si="10"/>
        <v>1</v>
      </c>
      <c r="N505" s="54" t="s">
        <v>1199</v>
      </c>
      <c r="O505" s="55" t="s">
        <v>50</v>
      </c>
      <c r="P505" s="67">
        <v>95.74</v>
      </c>
      <c r="Q505" s="68">
        <v>124.36</v>
      </c>
      <c r="R505" s="48" t="s">
        <v>54</v>
      </c>
      <c r="S505" s="54" t="s">
        <v>1197</v>
      </c>
      <c r="T505">
        <f t="shared" si="11"/>
        <v>28.62</v>
      </c>
    </row>
    <row r="506" hidden="1">
      <c r="A506" s="32" t="str">
        <f t="shared" si="1"/>
        <v>2020KnardDawgWeek 15</v>
      </c>
      <c r="B506" s="32" t="str">
        <f t="shared" si="2"/>
        <v>2020PiersonWeek 15</v>
      </c>
      <c r="C506" s="32" t="str">
        <f t="shared" si="3"/>
        <v>Week 15</v>
      </c>
      <c r="D506" s="32">
        <v>2020.0</v>
      </c>
      <c r="E506" t="str">
        <f t="shared" si="4"/>
        <v>15</v>
      </c>
      <c r="F506" t="str">
        <f t="shared" si="5"/>
        <v>Alex Kinniard, Jack Reilly</v>
      </c>
      <c r="G506" s="40" t="str">
        <f>VLOOKUP(F506,'Manager Coding'!C:D,2,0)</f>
        <v>KnardDawg</v>
      </c>
      <c r="H506" s="41">
        <f t="shared" si="6"/>
        <v>94.42</v>
      </c>
      <c r="I506" t="str">
        <f t="shared" si="7"/>
        <v>Pierson Curtis</v>
      </c>
      <c r="J506" t="str">
        <f>VLOOKUP(I506,'Manager Coding'!C:D,2,0)</f>
        <v>Pierson</v>
      </c>
      <c r="K506" s="41">
        <f t="shared" si="8"/>
        <v>115.92</v>
      </c>
      <c r="L506">
        <f t="shared" si="9"/>
        <v>0</v>
      </c>
      <c r="M506">
        <f t="shared" si="10"/>
        <v>1</v>
      </c>
      <c r="N506" s="54" t="s">
        <v>1187</v>
      </c>
      <c r="O506" s="55" t="s">
        <v>87</v>
      </c>
      <c r="P506" s="67">
        <v>94.42</v>
      </c>
      <c r="Q506" s="68">
        <v>115.92</v>
      </c>
      <c r="R506" s="48" t="s">
        <v>93</v>
      </c>
      <c r="S506" s="54" t="s">
        <v>1190</v>
      </c>
      <c r="T506">
        <f t="shared" si="11"/>
        <v>21.5</v>
      </c>
    </row>
    <row r="507" hidden="1">
      <c r="A507" s="32" t="str">
        <f t="shared" si="1"/>
        <v>2020FellowsWeek 15</v>
      </c>
      <c r="B507" s="32" t="str">
        <f t="shared" si="2"/>
        <v>2020Rooney/JacksonWeek 15</v>
      </c>
      <c r="C507" s="32" t="str">
        <f t="shared" si="3"/>
        <v>Week 15</v>
      </c>
      <c r="D507" s="32">
        <v>2020.0</v>
      </c>
      <c r="E507" t="str">
        <f t="shared" si="4"/>
        <v>15</v>
      </c>
      <c r="F507" t="str">
        <f t="shared" si="5"/>
        <v>Michael Fellows</v>
      </c>
      <c r="G507" s="40" t="str">
        <f>VLOOKUP(F507,'Manager Coding'!C:D,2,0)</f>
        <v>Fellows</v>
      </c>
      <c r="H507" s="41">
        <f t="shared" si="6"/>
        <v>108.46</v>
      </c>
      <c r="I507" t="str">
        <f t="shared" si="7"/>
        <v>Stephen Rooney, Jackson Sattell</v>
      </c>
      <c r="J507" t="str">
        <f>VLOOKUP(I507,'Manager Coding'!C:D,2,0)</f>
        <v>Rooney/Jackson</v>
      </c>
      <c r="K507" s="41">
        <f t="shared" si="8"/>
        <v>74.7</v>
      </c>
      <c r="L507">
        <f t="shared" si="9"/>
        <v>1</v>
      </c>
      <c r="M507">
        <f t="shared" si="10"/>
        <v>0</v>
      </c>
      <c r="N507" s="54" t="s">
        <v>1191</v>
      </c>
      <c r="O507" s="55" t="s">
        <v>80</v>
      </c>
      <c r="P507" s="67">
        <v>108.46</v>
      </c>
      <c r="Q507" s="68">
        <v>74.7</v>
      </c>
      <c r="R507" s="48" t="s">
        <v>58</v>
      </c>
      <c r="S507" s="54" t="s">
        <v>1192</v>
      </c>
      <c r="T507">
        <f t="shared" si="11"/>
        <v>33.76</v>
      </c>
    </row>
    <row r="508" hidden="1">
      <c r="A508" s="32" t="str">
        <f t="shared" si="1"/>
        <v>2020RileyWeek 15</v>
      </c>
      <c r="B508" s="32" t="str">
        <f t="shared" si="2"/>
        <v>2020SaltyWeek 15</v>
      </c>
      <c r="C508" s="32" t="str">
        <f t="shared" si="3"/>
        <v>Week 15</v>
      </c>
      <c r="D508" s="32">
        <v>2020.0</v>
      </c>
      <c r="E508" t="str">
        <f t="shared" si="4"/>
        <v>15</v>
      </c>
      <c r="F508" t="str">
        <f t="shared" si="5"/>
        <v>Riley McElwain</v>
      </c>
      <c r="G508" s="40" t="str">
        <f>VLOOKUP(F508,'Manager Coding'!C:D,2,0)</f>
        <v>Riley</v>
      </c>
      <c r="H508" s="41">
        <f t="shared" si="6"/>
        <v>87.44</v>
      </c>
      <c r="I508" t="str">
        <f t="shared" si="7"/>
        <v>R Saltiel</v>
      </c>
      <c r="J508" t="str">
        <f>VLOOKUP(I508,'Manager Coding'!C:D,2,0)</f>
        <v>Salty</v>
      </c>
      <c r="K508" s="41">
        <f t="shared" si="8"/>
        <v>81.46</v>
      </c>
      <c r="L508">
        <f t="shared" si="9"/>
        <v>1</v>
      </c>
      <c r="M508">
        <f t="shared" si="10"/>
        <v>0</v>
      </c>
      <c r="N508" s="54" t="s">
        <v>1186</v>
      </c>
      <c r="O508" s="55" t="s">
        <v>68</v>
      </c>
      <c r="P508" s="67">
        <v>87.44</v>
      </c>
      <c r="Q508" s="68">
        <v>81.46</v>
      </c>
      <c r="R508" s="48" t="s">
        <v>77</v>
      </c>
      <c r="S508" s="54" t="s">
        <v>1198</v>
      </c>
      <c r="T508">
        <f t="shared" si="11"/>
        <v>5.98</v>
      </c>
    </row>
    <row r="509" hidden="1">
      <c r="A509" s="32" t="str">
        <f t="shared" si="1"/>
        <v>2020CockWeek 15</v>
      </c>
      <c r="B509" s="32" t="str">
        <f t="shared" si="2"/>
        <v>2020ShepWeek 15</v>
      </c>
      <c r="C509" s="32" t="str">
        <f t="shared" si="3"/>
        <v>Week 15</v>
      </c>
      <c r="D509" s="32">
        <v>2020.0</v>
      </c>
      <c r="E509" t="str">
        <f t="shared" si="4"/>
        <v>15</v>
      </c>
      <c r="F509" t="str">
        <f t="shared" si="5"/>
        <v>Jack Babcock, Chris Cochrane</v>
      </c>
      <c r="G509" s="40" t="str">
        <f>VLOOKUP(F509,'Manager Coding'!C:D,2,0)</f>
        <v>Cock</v>
      </c>
      <c r="H509" s="41">
        <f t="shared" si="6"/>
        <v>166.12</v>
      </c>
      <c r="I509" t="str">
        <f t="shared" si="7"/>
        <v>Jordan Shepherd</v>
      </c>
      <c r="J509" t="str">
        <f>VLOOKUP(I509,'Manager Coding'!C:D,2,0)</f>
        <v>Shep</v>
      </c>
      <c r="K509" s="41">
        <f t="shared" si="8"/>
        <v>92.62</v>
      </c>
      <c r="L509">
        <f t="shared" si="9"/>
        <v>1</v>
      </c>
      <c r="M509">
        <f t="shared" si="10"/>
        <v>0</v>
      </c>
      <c r="N509" s="54" t="s">
        <v>1185</v>
      </c>
      <c r="O509" s="55" t="s">
        <v>73</v>
      </c>
      <c r="P509" s="67">
        <v>166.12</v>
      </c>
      <c r="Q509" s="68">
        <v>92.62</v>
      </c>
      <c r="R509" s="48" t="s">
        <v>91</v>
      </c>
      <c r="S509" s="54" t="s">
        <v>1196</v>
      </c>
      <c r="T509">
        <f t="shared" si="11"/>
        <v>73.5</v>
      </c>
    </row>
    <row r="510" hidden="1">
      <c r="A510" s="32" t="str">
        <f t="shared" si="1"/>
        <v>2020HudspeathWeek 15</v>
      </c>
      <c r="B510" s="32" t="str">
        <f t="shared" si="2"/>
        <v>2020T-HowWeek 15</v>
      </c>
      <c r="C510" s="32" t="str">
        <f t="shared" si="3"/>
        <v>Week 15</v>
      </c>
      <c r="D510" s="32">
        <v>2020.0</v>
      </c>
      <c r="E510" t="str">
        <f t="shared" si="4"/>
        <v>15</v>
      </c>
      <c r="F510" t="str">
        <f t="shared" si="5"/>
        <v>matt hudspeath</v>
      </c>
      <c r="G510" s="40" t="str">
        <f>VLOOKUP(F510,'Manager Coding'!C:D,2,0)</f>
        <v>Hudspeath</v>
      </c>
      <c r="H510" s="41">
        <f t="shared" si="6"/>
        <v>64.3</v>
      </c>
      <c r="I510" t="str">
        <f t="shared" si="7"/>
        <v>Tyler Howard</v>
      </c>
      <c r="J510" t="str">
        <f>VLOOKUP(I510,'Manager Coding'!C:D,2,0)</f>
        <v>T-How</v>
      </c>
      <c r="K510" s="41">
        <f t="shared" si="8"/>
        <v>90.86</v>
      </c>
      <c r="L510">
        <f t="shared" si="9"/>
        <v>0</v>
      </c>
      <c r="M510">
        <f t="shared" si="10"/>
        <v>1</v>
      </c>
      <c r="N510" s="54" t="s">
        <v>1202</v>
      </c>
      <c r="O510" s="55" t="s">
        <v>64</v>
      </c>
      <c r="P510" s="67">
        <v>64.3</v>
      </c>
      <c r="Q510" s="68">
        <v>90.86</v>
      </c>
      <c r="R510" s="48" t="s">
        <v>85</v>
      </c>
      <c r="S510" s="54" t="s">
        <v>1200</v>
      </c>
      <c r="T510">
        <f t="shared" si="11"/>
        <v>26.56</v>
      </c>
    </row>
    <row r="511" hidden="1">
      <c r="A511" s="32" t="str">
        <f t="shared" si="1"/>
        <v>#N/A</v>
      </c>
      <c r="B511" s="32" t="str">
        <f t="shared" si="2"/>
        <v>#N/A</v>
      </c>
      <c r="C511" s="32" t="str">
        <f t="shared" si="3"/>
        <v>Week 15</v>
      </c>
      <c r="D511" s="32">
        <v>2020.0</v>
      </c>
      <c r="E511" t="str">
        <f t="shared" si="4"/>
        <v>15</v>
      </c>
      <c r="F511" t="str">
        <f t="shared" si="5"/>
        <v/>
      </c>
      <c r="G511" s="40" t="str">
        <f>VLOOKUP(F511,'Manager Coding'!C:D,2,0)</f>
        <v>#N/A</v>
      </c>
      <c r="H511" s="41" t="str">
        <f t="shared" si="6"/>
        <v/>
      </c>
      <c r="I511" t="str">
        <f t="shared" si="7"/>
        <v/>
      </c>
      <c r="J511" t="str">
        <f>VLOOKUP(I511,'Manager Coding'!C:D,2,0)</f>
        <v>#N/A</v>
      </c>
      <c r="K511" s="41" t="str">
        <f t="shared" si="8"/>
        <v/>
      </c>
      <c r="L511">
        <f t="shared" si="9"/>
        <v>0</v>
      </c>
      <c r="M511">
        <f t="shared" si="10"/>
        <v>0</v>
      </c>
      <c r="N511" s="53" t="s">
        <v>554</v>
      </c>
      <c r="P511" s="41"/>
      <c r="Q511" s="41"/>
      <c r="T511">
        <f t="shared" si="11"/>
        <v>0</v>
      </c>
    </row>
    <row r="512" hidden="1">
      <c r="A512" s="32" t="str">
        <f t="shared" si="1"/>
        <v>#N/A</v>
      </c>
      <c r="B512" s="32" t="str">
        <f t="shared" si="2"/>
        <v>#N/A</v>
      </c>
      <c r="C512" s="32" t="str">
        <f t="shared" si="3"/>
        <v>Week 16</v>
      </c>
      <c r="D512" s="32">
        <v>2020.0</v>
      </c>
      <c r="E512" t="str">
        <f t="shared" si="4"/>
        <v>16</v>
      </c>
      <c r="F512" t="str">
        <f t="shared" si="5"/>
        <v>TEAM MANAGER(S)</v>
      </c>
      <c r="G512" s="40" t="str">
        <f>VLOOKUP(F512,'Manager Coding'!C:D,2,0)</f>
        <v>#N/A</v>
      </c>
      <c r="H512" s="41" t="str">
        <f t="shared" si="6"/>
        <v>SCORE</v>
      </c>
      <c r="I512" t="str">
        <f t="shared" si="7"/>
        <v>TEAM MANAGER(S)</v>
      </c>
      <c r="J512" t="str">
        <f>VLOOKUP(I512,'Manager Coding'!C:D,2,0)</f>
        <v>#N/A</v>
      </c>
      <c r="K512" s="41" t="str">
        <f t="shared" si="8"/>
        <v>SCORE</v>
      </c>
      <c r="L512">
        <f t="shared" si="9"/>
        <v>0</v>
      </c>
      <c r="M512">
        <f t="shared" si="10"/>
        <v>0</v>
      </c>
      <c r="N512" s="24" t="s">
        <v>197</v>
      </c>
      <c r="O512" s="24" t="s">
        <v>88</v>
      </c>
      <c r="P512" s="26" t="s">
        <v>94</v>
      </c>
      <c r="Q512" s="27" t="s">
        <v>94</v>
      </c>
      <c r="R512" s="30" t="s">
        <v>88</v>
      </c>
      <c r="S512" s="30" t="s">
        <v>101</v>
      </c>
      <c r="T512">
        <f t="shared" si="11"/>
        <v>0</v>
      </c>
    </row>
    <row r="513" hidden="1">
      <c r="A513" s="32" t="str">
        <f t="shared" si="1"/>
        <v>2020PiersonWeek 16</v>
      </c>
      <c r="B513" s="32" t="str">
        <f t="shared" si="2"/>
        <v>2020TayskiWeek 16</v>
      </c>
      <c r="C513" s="32" t="str">
        <f t="shared" si="3"/>
        <v>Week 16</v>
      </c>
      <c r="D513" s="32">
        <v>2020.0</v>
      </c>
      <c r="E513" t="str">
        <f t="shared" si="4"/>
        <v>16</v>
      </c>
      <c r="F513" t="str">
        <f t="shared" si="5"/>
        <v>Pierson Curtis</v>
      </c>
      <c r="G513" s="40" t="str">
        <f>VLOOKUP(F513,'Manager Coding'!C:D,2,0)</f>
        <v>Pierson</v>
      </c>
      <c r="H513" s="41">
        <f t="shared" si="6"/>
        <v>97.22</v>
      </c>
      <c r="I513" t="str">
        <f t="shared" si="7"/>
        <v>Taylor Weis</v>
      </c>
      <c r="J513" t="str">
        <f>VLOOKUP(I513,'Manager Coding'!C:D,2,0)</f>
        <v>Tayski</v>
      </c>
      <c r="K513" s="41">
        <f t="shared" si="8"/>
        <v>104.58</v>
      </c>
      <c r="L513">
        <f t="shared" si="9"/>
        <v>0</v>
      </c>
      <c r="M513">
        <f t="shared" si="10"/>
        <v>1</v>
      </c>
      <c r="N513" s="54" t="s">
        <v>1190</v>
      </c>
      <c r="O513" s="55" t="s">
        <v>93</v>
      </c>
      <c r="P513" s="67">
        <v>97.22</v>
      </c>
      <c r="Q513" s="68">
        <v>104.58</v>
      </c>
      <c r="R513" s="48" t="s">
        <v>54</v>
      </c>
      <c r="S513" s="54" t="s">
        <v>1197</v>
      </c>
      <c r="T513">
        <f t="shared" si="11"/>
        <v>7.36</v>
      </c>
    </row>
    <row r="514" hidden="1">
      <c r="A514" s="32" t="str">
        <f t="shared" si="1"/>
        <v>2020KnardDawgWeek 16</v>
      </c>
      <c r="B514" s="32" t="str">
        <f t="shared" si="2"/>
        <v>2020BuserWeek 16</v>
      </c>
      <c r="C514" s="32" t="str">
        <f t="shared" si="3"/>
        <v>Week 16</v>
      </c>
      <c r="D514" s="32">
        <v>2020.0</v>
      </c>
      <c r="E514" t="str">
        <f t="shared" si="4"/>
        <v>16</v>
      </c>
      <c r="F514" t="str">
        <f t="shared" si="5"/>
        <v>Alex Kinniard, Jack Reilly</v>
      </c>
      <c r="G514" s="40" t="str">
        <f>VLOOKUP(F514,'Manager Coding'!C:D,2,0)</f>
        <v>KnardDawg</v>
      </c>
      <c r="H514" s="41">
        <f t="shared" si="6"/>
        <v>130.26</v>
      </c>
      <c r="I514" t="str">
        <f t="shared" si="7"/>
        <v>Ed Buser</v>
      </c>
      <c r="J514" t="str">
        <f>VLOOKUP(I514,'Manager Coding'!C:D,2,0)</f>
        <v>Buser</v>
      </c>
      <c r="K514" s="41">
        <f t="shared" si="8"/>
        <v>75.88</v>
      </c>
      <c r="L514">
        <f t="shared" si="9"/>
        <v>1</v>
      </c>
      <c r="M514">
        <f t="shared" si="10"/>
        <v>0</v>
      </c>
      <c r="N514" s="54" t="s">
        <v>1187</v>
      </c>
      <c r="O514" s="55" t="s">
        <v>87</v>
      </c>
      <c r="P514" s="67">
        <v>130.26</v>
      </c>
      <c r="Q514" s="68">
        <v>75.88</v>
      </c>
      <c r="R514" s="48" t="s">
        <v>50</v>
      </c>
      <c r="S514" s="54" t="s">
        <v>1199</v>
      </c>
      <c r="T514">
        <f t="shared" si="11"/>
        <v>54.38</v>
      </c>
    </row>
    <row r="515" hidden="1">
      <c r="A515" s="32" t="str">
        <f t="shared" si="1"/>
        <v>2020FellowsWeek 16</v>
      </c>
      <c r="B515" s="32" t="str">
        <f t="shared" si="2"/>
        <v>2020Rooney/JacksonWeek 16</v>
      </c>
      <c r="C515" s="32" t="str">
        <f t="shared" si="3"/>
        <v>Week 16</v>
      </c>
      <c r="D515" s="32">
        <v>2020.0</v>
      </c>
      <c r="E515" t="str">
        <f t="shared" si="4"/>
        <v>16</v>
      </c>
      <c r="F515" t="str">
        <f t="shared" si="5"/>
        <v>Michael Fellows</v>
      </c>
      <c r="G515" s="40" t="str">
        <f>VLOOKUP(F515,'Manager Coding'!C:D,2,0)</f>
        <v>Fellows</v>
      </c>
      <c r="H515" s="41">
        <f t="shared" si="6"/>
        <v>125.06</v>
      </c>
      <c r="I515" t="str">
        <f t="shared" si="7"/>
        <v>Stephen Rooney, Jackson Sattell</v>
      </c>
      <c r="J515" t="str">
        <f>VLOOKUP(I515,'Manager Coding'!C:D,2,0)</f>
        <v>Rooney/Jackson</v>
      </c>
      <c r="K515" s="41">
        <f t="shared" si="8"/>
        <v>82.44</v>
      </c>
      <c r="L515">
        <f t="shared" si="9"/>
        <v>1</v>
      </c>
      <c r="M515">
        <f t="shared" si="10"/>
        <v>0</v>
      </c>
      <c r="N515" s="54" t="s">
        <v>1191</v>
      </c>
      <c r="O515" s="55" t="s">
        <v>80</v>
      </c>
      <c r="P515" s="67">
        <v>125.06</v>
      </c>
      <c r="Q515" s="68">
        <v>82.44</v>
      </c>
      <c r="R515" s="48" t="s">
        <v>58</v>
      </c>
      <c r="S515" s="54" t="s">
        <v>1192</v>
      </c>
      <c r="T515">
        <f t="shared" si="11"/>
        <v>42.62</v>
      </c>
    </row>
    <row r="516" hidden="1">
      <c r="A516" s="32" t="str">
        <f t="shared" si="1"/>
        <v>2020CockWeek 16</v>
      </c>
      <c r="B516" s="32" t="str">
        <f t="shared" si="2"/>
        <v>2020RileyWeek 16</v>
      </c>
      <c r="C516" s="32" t="str">
        <f t="shared" si="3"/>
        <v>Week 16</v>
      </c>
      <c r="D516" s="32">
        <v>2020.0</v>
      </c>
      <c r="E516" t="str">
        <f t="shared" si="4"/>
        <v>16</v>
      </c>
      <c r="F516" t="str">
        <f t="shared" si="5"/>
        <v>Jack Babcock, Chris Cochrane</v>
      </c>
      <c r="G516" s="40" t="str">
        <f>VLOOKUP(F516,'Manager Coding'!C:D,2,0)</f>
        <v>Cock</v>
      </c>
      <c r="H516" s="41">
        <f t="shared" si="6"/>
        <v>80.74</v>
      </c>
      <c r="I516" t="str">
        <f t="shared" si="7"/>
        <v>Riley McElwain</v>
      </c>
      <c r="J516" t="str">
        <f>VLOOKUP(I516,'Manager Coding'!C:D,2,0)</f>
        <v>Riley</v>
      </c>
      <c r="K516" s="41">
        <f t="shared" si="8"/>
        <v>123.5</v>
      </c>
      <c r="L516">
        <f t="shared" si="9"/>
        <v>0</v>
      </c>
      <c r="M516">
        <f t="shared" si="10"/>
        <v>1</v>
      </c>
      <c r="N516" s="54" t="s">
        <v>1185</v>
      </c>
      <c r="O516" s="55" t="s">
        <v>73</v>
      </c>
      <c r="P516" s="67">
        <v>80.74</v>
      </c>
      <c r="Q516" s="68">
        <v>123.5</v>
      </c>
      <c r="R516" s="48" t="s">
        <v>68</v>
      </c>
      <c r="S516" s="54" t="s">
        <v>1186</v>
      </c>
      <c r="T516">
        <f t="shared" si="11"/>
        <v>42.76</v>
      </c>
    </row>
    <row r="517" hidden="1">
      <c r="A517" s="32" t="str">
        <f t="shared" si="1"/>
        <v>2020T-HowWeek 16</v>
      </c>
      <c r="B517" s="32" t="str">
        <f t="shared" si="2"/>
        <v>2020SaltyWeek 16</v>
      </c>
      <c r="C517" s="32" t="str">
        <f t="shared" si="3"/>
        <v>Week 16</v>
      </c>
      <c r="D517" s="32">
        <v>2020.0</v>
      </c>
      <c r="E517" t="str">
        <f t="shared" si="4"/>
        <v>16</v>
      </c>
      <c r="F517" t="str">
        <f t="shared" si="5"/>
        <v>Tyler Howard</v>
      </c>
      <c r="G517" s="40" t="str">
        <f>VLOOKUP(F517,'Manager Coding'!C:D,2,0)</f>
        <v>T-How</v>
      </c>
      <c r="H517" s="41">
        <f t="shared" si="6"/>
        <v>87.42</v>
      </c>
      <c r="I517" t="str">
        <f t="shared" si="7"/>
        <v>R Saltiel</v>
      </c>
      <c r="J517" t="str">
        <f>VLOOKUP(I517,'Manager Coding'!C:D,2,0)</f>
        <v>Salty</v>
      </c>
      <c r="K517" s="41">
        <f t="shared" si="8"/>
        <v>106.32</v>
      </c>
      <c r="L517">
        <f t="shared" si="9"/>
        <v>0</v>
      </c>
      <c r="M517">
        <f t="shared" si="10"/>
        <v>1</v>
      </c>
      <c r="N517" s="54" t="s">
        <v>1200</v>
      </c>
      <c r="O517" s="55" t="s">
        <v>85</v>
      </c>
      <c r="P517" s="67">
        <v>87.42</v>
      </c>
      <c r="Q517" s="68">
        <v>106.32</v>
      </c>
      <c r="R517" s="48" t="s">
        <v>77</v>
      </c>
      <c r="S517" s="54" t="s">
        <v>1198</v>
      </c>
      <c r="T517">
        <f t="shared" si="11"/>
        <v>18.9</v>
      </c>
    </row>
    <row r="518" hidden="1">
      <c r="A518" s="32" t="str">
        <f t="shared" si="1"/>
        <v>2020HudspeathWeek 16</v>
      </c>
      <c r="B518" s="32" t="str">
        <f t="shared" si="2"/>
        <v>2020ShepWeek 16</v>
      </c>
      <c r="C518" s="32" t="str">
        <f t="shared" si="3"/>
        <v>Week 16</v>
      </c>
      <c r="D518" s="32">
        <v>2020.0</v>
      </c>
      <c r="E518" t="str">
        <f t="shared" si="4"/>
        <v>16</v>
      </c>
      <c r="F518" t="str">
        <f t="shared" si="5"/>
        <v>matt hudspeath</v>
      </c>
      <c r="G518" s="40" t="str">
        <f>VLOOKUP(F518,'Manager Coding'!C:D,2,0)</f>
        <v>Hudspeath</v>
      </c>
      <c r="H518" s="41">
        <f t="shared" si="6"/>
        <v>87.12</v>
      </c>
      <c r="I518" t="str">
        <f t="shared" si="7"/>
        <v>Jordan Shepherd</v>
      </c>
      <c r="J518" t="str">
        <f>VLOOKUP(I518,'Manager Coding'!C:D,2,0)</f>
        <v>Shep</v>
      </c>
      <c r="K518" s="41">
        <f t="shared" si="8"/>
        <v>73.94</v>
      </c>
      <c r="L518">
        <f t="shared" si="9"/>
        <v>1</v>
      </c>
      <c r="M518">
        <f t="shared" si="10"/>
        <v>0</v>
      </c>
      <c r="N518" s="54" t="s">
        <v>1202</v>
      </c>
      <c r="O518" s="55" t="s">
        <v>64</v>
      </c>
      <c r="P518" s="67">
        <v>87.12</v>
      </c>
      <c r="Q518" s="68">
        <v>73.94</v>
      </c>
      <c r="R518" s="48" t="s">
        <v>91</v>
      </c>
      <c r="S518" s="54" t="s">
        <v>1196</v>
      </c>
      <c r="T518">
        <f t="shared" si="11"/>
        <v>13.18</v>
      </c>
    </row>
    <row r="519" hidden="1">
      <c r="A519" s="32" t="str">
        <f t="shared" si="1"/>
        <v>#N/A</v>
      </c>
      <c r="B519" s="32" t="str">
        <f t="shared" si="2"/>
        <v>#N/A</v>
      </c>
      <c r="C519" s="32" t="str">
        <f t="shared" si="3"/>
        <v>Week 16</v>
      </c>
      <c r="D519" s="32">
        <v>2021.0</v>
      </c>
      <c r="E519" t="str">
        <f t="shared" si="4"/>
        <v>16</v>
      </c>
      <c r="F519" t="str">
        <f t="shared" si="5"/>
        <v>TEAM MANAGER(S)</v>
      </c>
      <c r="G519" s="40" t="str">
        <f>VLOOKUP(F519,'Manager Coding'!C:D,2,0)</f>
        <v>#N/A</v>
      </c>
      <c r="H519" s="41" t="str">
        <f t="shared" si="6"/>
        <v>SCORE</v>
      </c>
      <c r="I519" t="str">
        <f t="shared" si="7"/>
        <v>TEAM MANAGER(S)</v>
      </c>
      <c r="J519" t="str">
        <f>VLOOKUP(I519,'Manager Coding'!C:D,2,0)</f>
        <v>#N/A</v>
      </c>
      <c r="K519" s="41" t="str">
        <f t="shared" si="8"/>
        <v>SCORE</v>
      </c>
      <c r="L519">
        <f t="shared" si="9"/>
        <v>0</v>
      </c>
      <c r="M519">
        <f t="shared" si="10"/>
        <v>0</v>
      </c>
      <c r="N519" s="22" t="s">
        <v>83</v>
      </c>
      <c r="O519" s="78" t="s">
        <v>88</v>
      </c>
      <c r="P519" s="79" t="s">
        <v>94</v>
      </c>
      <c r="Q519" s="78" t="s">
        <v>94</v>
      </c>
      <c r="R519" s="79" t="s">
        <v>88</v>
      </c>
      <c r="S519" s="79" t="s">
        <v>101</v>
      </c>
      <c r="T519">
        <f t="shared" si="11"/>
        <v>0</v>
      </c>
    </row>
    <row r="520" hidden="1">
      <c r="A520" s="32" t="str">
        <f t="shared" si="1"/>
        <v>2021SaltyWeek 1</v>
      </c>
      <c r="B520" s="32" t="str">
        <f t="shared" si="2"/>
        <v>2021Rooney/JacksonWeek 1</v>
      </c>
      <c r="C520" s="32" t="str">
        <f t="shared" si="3"/>
        <v>Week 1</v>
      </c>
      <c r="D520" s="32">
        <v>2021.0</v>
      </c>
      <c r="E520" t="str">
        <f t="shared" si="4"/>
        <v>1</v>
      </c>
      <c r="F520" t="str">
        <f t="shared" si="5"/>
        <v>R Saltiel</v>
      </c>
      <c r="G520" s="40" t="str">
        <f>VLOOKUP(F520,'Manager Coding'!C:D,2,0)</f>
        <v>Salty</v>
      </c>
      <c r="H520" s="41">
        <f t="shared" si="6"/>
        <v>93.9</v>
      </c>
      <c r="I520" t="str">
        <f t="shared" si="7"/>
        <v>Stephen Rooney, Jackson Sattell</v>
      </c>
      <c r="J520" t="str">
        <f>VLOOKUP(I520,'Manager Coding'!C:D,2,0)</f>
        <v>Rooney/Jackson</v>
      </c>
      <c r="K520" s="41">
        <f t="shared" si="8"/>
        <v>93.56</v>
      </c>
      <c r="L520">
        <f t="shared" si="9"/>
        <v>1</v>
      </c>
      <c r="M520">
        <f t="shared" si="10"/>
        <v>0</v>
      </c>
      <c r="N520" s="80" t="s">
        <v>1447</v>
      </c>
      <c r="O520" s="81" t="s">
        <v>77</v>
      </c>
      <c r="P520" s="82">
        <v>93.9</v>
      </c>
      <c r="Q520" s="83">
        <v>93.56</v>
      </c>
      <c r="R520" s="84" t="s">
        <v>58</v>
      </c>
      <c r="S520" s="80" t="s">
        <v>1453</v>
      </c>
      <c r="T520">
        <f t="shared" si="11"/>
        <v>0.34</v>
      </c>
    </row>
    <row r="521" hidden="1">
      <c r="A521" s="32" t="str">
        <f t="shared" si="1"/>
        <v>2021BuserWeek 1</v>
      </c>
      <c r="B521" s="32" t="str">
        <f t="shared" si="2"/>
        <v>2021PiersonWeek 1</v>
      </c>
      <c r="C521" s="32" t="str">
        <f t="shared" si="3"/>
        <v>Week 1</v>
      </c>
      <c r="D521" s="32">
        <v>2021.0</v>
      </c>
      <c r="E521" t="str">
        <f t="shared" si="4"/>
        <v>1</v>
      </c>
      <c r="F521" t="str">
        <f t="shared" si="5"/>
        <v>Ed Buser</v>
      </c>
      <c r="G521" s="40" t="str">
        <f>VLOOKUP(F521,'Manager Coding'!C:D,2,0)</f>
        <v>Buser</v>
      </c>
      <c r="H521" s="41">
        <f t="shared" si="6"/>
        <v>94.88</v>
      </c>
      <c r="I521" t="str">
        <f t="shared" si="7"/>
        <v>Pierson Curtis</v>
      </c>
      <c r="J521" t="str">
        <f>VLOOKUP(I521,'Manager Coding'!C:D,2,0)</f>
        <v>Pierson</v>
      </c>
      <c r="K521" s="41">
        <f t="shared" si="8"/>
        <v>104.4</v>
      </c>
      <c r="L521">
        <f t="shared" si="9"/>
        <v>0</v>
      </c>
      <c r="M521">
        <f t="shared" si="10"/>
        <v>1</v>
      </c>
      <c r="N521" s="85" t="s">
        <v>1454</v>
      </c>
      <c r="O521" s="86" t="s">
        <v>50</v>
      </c>
      <c r="P521" s="87">
        <v>94.88</v>
      </c>
      <c r="Q521" s="88">
        <v>104.4</v>
      </c>
      <c r="R521" s="89" t="s">
        <v>93</v>
      </c>
      <c r="S521" s="85" t="s">
        <v>1457</v>
      </c>
      <c r="T521">
        <f t="shared" si="11"/>
        <v>9.52</v>
      </c>
    </row>
    <row r="522" hidden="1">
      <c r="A522" s="32" t="str">
        <f t="shared" si="1"/>
        <v>2021FellowsWeek 1</v>
      </c>
      <c r="B522" s="32" t="str">
        <f t="shared" si="2"/>
        <v>2021KnardDawgWeek 1</v>
      </c>
      <c r="C522" s="32" t="str">
        <f t="shared" si="3"/>
        <v>Week 1</v>
      </c>
      <c r="D522" s="32">
        <v>2021.0</v>
      </c>
      <c r="E522" t="str">
        <f t="shared" si="4"/>
        <v>1</v>
      </c>
      <c r="F522" t="str">
        <f t="shared" si="5"/>
        <v>Michael Fellows</v>
      </c>
      <c r="G522" s="40" t="str">
        <f>VLOOKUP(F522,'Manager Coding'!C:D,2,0)</f>
        <v>Fellows</v>
      </c>
      <c r="H522" s="41">
        <f t="shared" si="6"/>
        <v>79.58</v>
      </c>
      <c r="I522" t="str">
        <f t="shared" si="7"/>
        <v>Alex Kinniard, Jack Reilly</v>
      </c>
      <c r="J522" t="str">
        <f>VLOOKUP(I522,'Manager Coding'!C:D,2,0)</f>
        <v>KnardDawg</v>
      </c>
      <c r="K522" s="41">
        <f t="shared" si="8"/>
        <v>93.66</v>
      </c>
      <c r="L522">
        <f t="shared" si="9"/>
        <v>0</v>
      </c>
      <c r="M522">
        <f t="shared" si="10"/>
        <v>1</v>
      </c>
      <c r="N522" s="80" t="s">
        <v>1463</v>
      </c>
      <c r="O522" s="90" t="s">
        <v>80</v>
      </c>
      <c r="P522" s="87">
        <v>79.58</v>
      </c>
      <c r="Q522" s="88">
        <v>93.66</v>
      </c>
      <c r="R522" s="84" t="s">
        <v>87</v>
      </c>
      <c r="S522" s="80" t="s">
        <v>1464</v>
      </c>
      <c r="T522">
        <f t="shared" si="11"/>
        <v>14.08</v>
      </c>
    </row>
    <row r="523" hidden="1">
      <c r="A523" s="32" t="str">
        <f t="shared" si="1"/>
        <v>2021TayskiWeek 1</v>
      </c>
      <c r="B523" s="32" t="str">
        <f t="shared" si="2"/>
        <v>2021RileyWeek 1</v>
      </c>
      <c r="C523" s="32" t="str">
        <f t="shared" si="3"/>
        <v>Week 1</v>
      </c>
      <c r="D523" s="32">
        <v>2021.0</v>
      </c>
      <c r="E523" t="str">
        <f t="shared" si="4"/>
        <v>1</v>
      </c>
      <c r="F523" t="str">
        <f t="shared" si="5"/>
        <v>Taylor Weis</v>
      </c>
      <c r="G523" s="40" t="str">
        <f>VLOOKUP(F523,'Manager Coding'!C:D,2,0)</f>
        <v>Tayski</v>
      </c>
      <c r="H523" s="41">
        <f t="shared" si="6"/>
        <v>78.3</v>
      </c>
      <c r="I523" t="str">
        <f t="shared" si="7"/>
        <v>Riley McElwain</v>
      </c>
      <c r="J523" t="str">
        <f>VLOOKUP(I523,'Manager Coding'!C:D,2,0)</f>
        <v>Riley</v>
      </c>
      <c r="K523" s="41">
        <f t="shared" si="8"/>
        <v>116.92</v>
      </c>
      <c r="L523">
        <f t="shared" si="9"/>
        <v>0</v>
      </c>
      <c r="M523">
        <f t="shared" si="10"/>
        <v>1</v>
      </c>
      <c r="N523" s="85" t="s">
        <v>1467</v>
      </c>
      <c r="O523" s="86" t="s">
        <v>54</v>
      </c>
      <c r="P523" s="87">
        <v>78.3</v>
      </c>
      <c r="Q523" s="88">
        <v>116.92</v>
      </c>
      <c r="R523" s="89" t="s">
        <v>68</v>
      </c>
      <c r="S523" s="85" t="s">
        <v>1470</v>
      </c>
      <c r="T523">
        <f t="shared" si="11"/>
        <v>38.62</v>
      </c>
    </row>
    <row r="524" hidden="1">
      <c r="A524" s="32" t="str">
        <f t="shared" si="1"/>
        <v>2021ShepWeek 1</v>
      </c>
      <c r="B524" s="32" t="str">
        <f t="shared" si="2"/>
        <v>2021CockWeek 1</v>
      </c>
      <c r="C524" s="32" t="str">
        <f t="shared" si="3"/>
        <v>Week 1</v>
      </c>
      <c r="D524" s="32">
        <v>2021.0</v>
      </c>
      <c r="E524" t="str">
        <f t="shared" si="4"/>
        <v>1</v>
      </c>
      <c r="F524" t="str">
        <f t="shared" si="5"/>
        <v>Jordan Shepherd</v>
      </c>
      <c r="G524" s="40" t="str">
        <f>VLOOKUP(F524,'Manager Coding'!C:D,2,0)</f>
        <v>Shep</v>
      </c>
      <c r="H524" s="41">
        <f t="shared" si="6"/>
        <v>108.54</v>
      </c>
      <c r="I524" t="str">
        <f t="shared" si="7"/>
        <v>Jack Babcock, Chris Cochrane</v>
      </c>
      <c r="J524" t="str">
        <f>VLOOKUP(I524,'Manager Coding'!C:D,2,0)</f>
        <v>Cock</v>
      </c>
      <c r="K524" s="41">
        <f t="shared" si="8"/>
        <v>116.96</v>
      </c>
      <c r="L524">
        <f t="shared" si="9"/>
        <v>0</v>
      </c>
      <c r="M524">
        <f t="shared" si="10"/>
        <v>1</v>
      </c>
      <c r="N524" s="80" t="s">
        <v>1476</v>
      </c>
      <c r="O524" s="90" t="s">
        <v>91</v>
      </c>
      <c r="P524" s="87">
        <v>108.54</v>
      </c>
      <c r="Q524" s="88">
        <v>116.96</v>
      </c>
      <c r="R524" s="84" t="s">
        <v>73</v>
      </c>
      <c r="S524" s="80" t="s">
        <v>1477</v>
      </c>
      <c r="T524">
        <f t="shared" si="11"/>
        <v>8.42</v>
      </c>
    </row>
    <row r="525" hidden="1">
      <c r="A525" s="32" t="str">
        <f t="shared" si="1"/>
        <v>2021T-HowWeek 1</v>
      </c>
      <c r="B525" s="32" t="str">
        <f t="shared" si="2"/>
        <v>2021HudspeathWeek 1</v>
      </c>
      <c r="C525" s="32" t="str">
        <f t="shared" si="3"/>
        <v>Week 1</v>
      </c>
      <c r="D525" s="32">
        <v>2021.0</v>
      </c>
      <c r="E525" t="str">
        <f t="shared" si="4"/>
        <v>1</v>
      </c>
      <c r="F525" t="str">
        <f t="shared" si="5"/>
        <v>Tyler Howard</v>
      </c>
      <c r="G525" s="40" t="str">
        <f>VLOOKUP(F525,'Manager Coding'!C:D,2,0)</f>
        <v>T-How</v>
      </c>
      <c r="H525" s="41">
        <f t="shared" si="6"/>
        <v>123.28</v>
      </c>
      <c r="I525" t="str">
        <f t="shared" si="7"/>
        <v>matt hudspeath</v>
      </c>
      <c r="J525" t="str">
        <f>VLOOKUP(I525,'Manager Coding'!C:D,2,0)</f>
        <v>Hudspeath</v>
      </c>
      <c r="K525" s="41">
        <f t="shared" si="8"/>
        <v>78.82</v>
      </c>
      <c r="L525">
        <f t="shared" si="9"/>
        <v>1</v>
      </c>
      <c r="M525">
        <f t="shared" si="10"/>
        <v>0</v>
      </c>
      <c r="N525" s="85" t="s">
        <v>1480</v>
      </c>
      <c r="O525" s="86" t="s">
        <v>85</v>
      </c>
      <c r="P525" s="82">
        <v>123.28</v>
      </c>
      <c r="Q525" s="83">
        <v>78.82</v>
      </c>
      <c r="R525" s="89" t="s">
        <v>64</v>
      </c>
      <c r="S525" s="85" t="s">
        <v>1482</v>
      </c>
      <c r="T525">
        <f t="shared" si="11"/>
        <v>44.46</v>
      </c>
    </row>
    <row r="526" hidden="1">
      <c r="A526" s="32" t="str">
        <f t="shared" si="1"/>
        <v>#N/A</v>
      </c>
      <c r="B526" s="32" t="str">
        <f t="shared" si="2"/>
        <v>#N/A</v>
      </c>
      <c r="C526" s="32" t="str">
        <f t="shared" si="3"/>
        <v>Week 1</v>
      </c>
      <c r="D526" s="32">
        <v>2021.0</v>
      </c>
      <c r="E526" t="str">
        <f t="shared" si="4"/>
        <v>1</v>
      </c>
      <c r="F526" t="str">
        <f t="shared" si="5"/>
        <v/>
      </c>
      <c r="G526" s="40" t="str">
        <f>VLOOKUP(F526,'Manager Coding'!C:D,2,0)</f>
        <v>#N/A</v>
      </c>
      <c r="H526" s="41" t="str">
        <f t="shared" si="6"/>
        <v/>
      </c>
      <c r="I526" t="str">
        <f t="shared" si="7"/>
        <v/>
      </c>
      <c r="J526" t="str">
        <f>VLOOKUP(I526,'Manager Coding'!C:D,2,0)</f>
        <v>#N/A</v>
      </c>
      <c r="K526" s="41" t="str">
        <f t="shared" si="8"/>
        <v/>
      </c>
      <c r="L526">
        <f t="shared" si="9"/>
        <v>0</v>
      </c>
      <c r="M526">
        <f t="shared" si="10"/>
        <v>0</v>
      </c>
      <c r="N526" s="91" t="s">
        <v>196</v>
      </c>
      <c r="P526" s="41"/>
      <c r="Q526" s="41"/>
      <c r="T526">
        <f t="shared" si="11"/>
        <v>0</v>
      </c>
    </row>
    <row r="527" hidden="1">
      <c r="A527" s="32" t="str">
        <f t="shared" si="1"/>
        <v>#N/A</v>
      </c>
      <c r="B527" s="32" t="str">
        <f t="shared" si="2"/>
        <v>#N/A</v>
      </c>
      <c r="C527" s="32" t="str">
        <f t="shared" si="3"/>
        <v>Week 2</v>
      </c>
      <c r="D527" s="32">
        <v>2021.0</v>
      </c>
      <c r="E527" t="str">
        <f t="shared" si="4"/>
        <v>2</v>
      </c>
      <c r="F527" t="str">
        <f t="shared" si="5"/>
        <v/>
      </c>
      <c r="G527" s="40" t="str">
        <f>VLOOKUP(F527,'Manager Coding'!C:D,2,0)</f>
        <v>#N/A</v>
      </c>
      <c r="H527" s="41" t="str">
        <f t="shared" si="6"/>
        <v/>
      </c>
      <c r="I527" t="str">
        <f t="shared" si="7"/>
        <v/>
      </c>
      <c r="J527" t="str">
        <f>VLOOKUP(I527,'Manager Coding'!C:D,2,0)</f>
        <v>#N/A</v>
      </c>
      <c r="K527" s="41" t="str">
        <f t="shared" si="8"/>
        <v/>
      </c>
      <c r="L527">
        <f t="shared" si="9"/>
        <v>0</v>
      </c>
      <c r="M527">
        <f t="shared" si="10"/>
        <v>0</v>
      </c>
      <c r="N527" s="92" t="s">
        <v>1486</v>
      </c>
      <c r="P527" s="41"/>
      <c r="Q527" s="41"/>
      <c r="T527">
        <f t="shared" si="11"/>
        <v>0</v>
      </c>
    </row>
    <row r="528" hidden="1">
      <c r="A528" s="32" t="str">
        <f t="shared" si="1"/>
        <v>#N/A</v>
      </c>
      <c r="B528" s="32" t="str">
        <f t="shared" si="2"/>
        <v>#N/A</v>
      </c>
      <c r="C528" s="32" t="str">
        <f t="shared" si="3"/>
        <v>Week 2</v>
      </c>
      <c r="D528" s="32">
        <v>2021.0</v>
      </c>
      <c r="E528" t="str">
        <f t="shared" si="4"/>
        <v>2</v>
      </c>
      <c r="F528" t="str">
        <f t="shared" si="5"/>
        <v>TEAM MANAGER(S)</v>
      </c>
      <c r="G528" s="40" t="str">
        <f>VLOOKUP(F528,'Manager Coding'!C:D,2,0)</f>
        <v>#N/A</v>
      </c>
      <c r="H528" s="41" t="str">
        <f t="shared" si="6"/>
        <v>SCORE</v>
      </c>
      <c r="I528" t="str">
        <f t="shared" si="7"/>
        <v>TEAM MANAGER(S)</v>
      </c>
      <c r="J528" t="str">
        <f>VLOOKUP(I528,'Manager Coding'!C:D,2,0)</f>
        <v>#N/A</v>
      </c>
      <c r="K528" s="41" t="str">
        <f t="shared" si="8"/>
        <v>SCORE</v>
      </c>
      <c r="L528">
        <f t="shared" si="9"/>
        <v>0</v>
      </c>
      <c r="M528">
        <f t="shared" si="10"/>
        <v>0</v>
      </c>
      <c r="N528" s="93" t="s">
        <v>197</v>
      </c>
      <c r="O528" s="93" t="s">
        <v>88</v>
      </c>
      <c r="P528" s="94" t="s">
        <v>94</v>
      </c>
      <c r="Q528" s="93" t="s">
        <v>94</v>
      </c>
      <c r="R528" s="94" t="s">
        <v>88</v>
      </c>
      <c r="S528" s="94" t="s">
        <v>101</v>
      </c>
      <c r="T528">
        <f t="shared" si="11"/>
        <v>0</v>
      </c>
    </row>
    <row r="529" hidden="1">
      <c r="A529" s="32" t="str">
        <f t="shared" si="1"/>
        <v>2021BuserWeek 2</v>
      </c>
      <c r="B529" s="32" t="str">
        <f t="shared" si="2"/>
        <v>2021SaltyWeek 2</v>
      </c>
      <c r="C529" s="32" t="str">
        <f t="shared" si="3"/>
        <v>Week 2</v>
      </c>
      <c r="D529" s="32">
        <v>2021.0</v>
      </c>
      <c r="E529" t="str">
        <f t="shared" si="4"/>
        <v>2</v>
      </c>
      <c r="F529" t="str">
        <f t="shared" si="5"/>
        <v>Ed Buser</v>
      </c>
      <c r="G529" s="40" t="str">
        <f>VLOOKUP(F529,'Manager Coding'!C:D,2,0)</f>
        <v>Buser</v>
      </c>
      <c r="H529" s="41">
        <f t="shared" si="6"/>
        <v>95.22</v>
      </c>
      <c r="I529" t="str">
        <f t="shared" si="7"/>
        <v>R Saltiel</v>
      </c>
      <c r="J529" t="str">
        <f>VLOOKUP(I529,'Manager Coding'!C:D,2,0)</f>
        <v>Salty</v>
      </c>
      <c r="K529" s="41">
        <f t="shared" si="8"/>
        <v>85.16</v>
      </c>
      <c r="L529">
        <f t="shared" si="9"/>
        <v>1</v>
      </c>
      <c r="M529">
        <f t="shared" si="10"/>
        <v>0</v>
      </c>
      <c r="N529" s="95" t="s">
        <v>1454</v>
      </c>
      <c r="O529" s="96" t="s">
        <v>50</v>
      </c>
      <c r="P529" s="97">
        <v>95.22</v>
      </c>
      <c r="Q529" s="98">
        <v>85.16</v>
      </c>
      <c r="R529" s="99" t="s">
        <v>77</v>
      </c>
      <c r="S529" s="95" t="s">
        <v>1447</v>
      </c>
      <c r="T529">
        <f t="shared" si="11"/>
        <v>10.06</v>
      </c>
    </row>
    <row r="530" hidden="1">
      <c r="A530" s="32" t="str">
        <f t="shared" si="1"/>
        <v>2021Rooney/JacksonWeek 2</v>
      </c>
      <c r="B530" s="32" t="str">
        <f t="shared" si="2"/>
        <v>2021FellowsWeek 2</v>
      </c>
      <c r="C530" s="32" t="str">
        <f t="shared" si="3"/>
        <v>Week 2</v>
      </c>
      <c r="D530" s="32">
        <v>2021.0</v>
      </c>
      <c r="E530" t="str">
        <f t="shared" si="4"/>
        <v>2</v>
      </c>
      <c r="F530" t="str">
        <f t="shared" si="5"/>
        <v>Stephen Rooney, Jackson Sattell</v>
      </c>
      <c r="G530" s="40" t="str">
        <f>VLOOKUP(F530,'Manager Coding'!C:D,2,0)</f>
        <v>Rooney/Jackson</v>
      </c>
      <c r="H530" s="41">
        <f t="shared" si="6"/>
        <v>115.6</v>
      </c>
      <c r="I530" t="str">
        <f t="shared" si="7"/>
        <v>Michael Fellows</v>
      </c>
      <c r="J530" t="str">
        <f>VLOOKUP(I530,'Manager Coding'!C:D,2,0)</f>
        <v>Fellows</v>
      </c>
      <c r="K530" s="41">
        <f t="shared" si="8"/>
        <v>72.44</v>
      </c>
      <c r="L530">
        <f t="shared" si="9"/>
        <v>1</v>
      </c>
      <c r="M530">
        <f t="shared" si="10"/>
        <v>0</v>
      </c>
      <c r="N530" s="100" t="s">
        <v>1453</v>
      </c>
      <c r="O530" s="101" t="s">
        <v>58</v>
      </c>
      <c r="P530" s="97">
        <v>115.6</v>
      </c>
      <c r="Q530" s="98">
        <v>72.44</v>
      </c>
      <c r="R530" s="102" t="s">
        <v>80</v>
      </c>
      <c r="S530" s="100" t="s">
        <v>1463</v>
      </c>
      <c r="T530">
        <f t="shared" si="11"/>
        <v>43.16</v>
      </c>
    </row>
    <row r="531" hidden="1">
      <c r="A531" s="32" t="str">
        <f t="shared" si="1"/>
        <v>2021PiersonWeek 2</v>
      </c>
      <c r="B531" s="32" t="str">
        <f t="shared" si="2"/>
        <v>2021TayskiWeek 2</v>
      </c>
      <c r="C531" s="32" t="str">
        <f t="shared" si="3"/>
        <v>Week 2</v>
      </c>
      <c r="D531" s="32">
        <v>2021.0</v>
      </c>
      <c r="E531" t="str">
        <f t="shared" si="4"/>
        <v>2</v>
      </c>
      <c r="F531" t="str">
        <f t="shared" si="5"/>
        <v>Pierson Curtis</v>
      </c>
      <c r="G531" s="40" t="str">
        <f>VLOOKUP(F531,'Manager Coding'!C:D,2,0)</f>
        <v>Pierson</v>
      </c>
      <c r="H531" s="41">
        <f t="shared" si="6"/>
        <v>102.24</v>
      </c>
      <c r="I531" t="str">
        <f t="shared" si="7"/>
        <v>Taylor Weis</v>
      </c>
      <c r="J531" t="str">
        <f>VLOOKUP(I531,'Manager Coding'!C:D,2,0)</f>
        <v>Tayski</v>
      </c>
      <c r="K531" s="41">
        <f t="shared" si="8"/>
        <v>100.96</v>
      </c>
      <c r="L531">
        <f t="shared" si="9"/>
        <v>1</v>
      </c>
      <c r="M531">
        <f t="shared" si="10"/>
        <v>0</v>
      </c>
      <c r="N531" s="95" t="s">
        <v>1457</v>
      </c>
      <c r="O531" s="96" t="s">
        <v>93</v>
      </c>
      <c r="P531" s="97">
        <v>102.24</v>
      </c>
      <c r="Q531" s="98">
        <v>100.96</v>
      </c>
      <c r="R531" s="103" t="s">
        <v>54</v>
      </c>
      <c r="S531" s="95" t="s">
        <v>1467</v>
      </c>
      <c r="T531">
        <f t="shared" si="11"/>
        <v>1.28</v>
      </c>
    </row>
    <row r="532" hidden="1">
      <c r="A532" s="32" t="str">
        <f t="shared" si="1"/>
        <v>2021KnardDawgWeek 2</v>
      </c>
      <c r="B532" s="32" t="str">
        <f t="shared" si="2"/>
        <v>2021ShepWeek 2</v>
      </c>
      <c r="C532" s="32" t="str">
        <f t="shared" si="3"/>
        <v>Week 2</v>
      </c>
      <c r="D532" s="32">
        <v>2021.0</v>
      </c>
      <c r="E532" t="str">
        <f t="shared" si="4"/>
        <v>2</v>
      </c>
      <c r="F532" t="str">
        <f t="shared" si="5"/>
        <v>Alex Kinniard, Jack Reilly</v>
      </c>
      <c r="G532" s="40" t="str">
        <f>VLOOKUP(F532,'Manager Coding'!C:D,2,0)</f>
        <v>KnardDawg</v>
      </c>
      <c r="H532" s="41">
        <f t="shared" si="6"/>
        <v>82.12</v>
      </c>
      <c r="I532" t="str">
        <f t="shared" si="7"/>
        <v>Jordan Shepherd</v>
      </c>
      <c r="J532" t="str">
        <f>VLOOKUP(I532,'Manager Coding'!C:D,2,0)</f>
        <v>Shep</v>
      </c>
      <c r="K532" s="41">
        <f t="shared" si="8"/>
        <v>87.02</v>
      </c>
      <c r="L532">
        <f t="shared" si="9"/>
        <v>0</v>
      </c>
      <c r="M532">
        <f t="shared" si="10"/>
        <v>1</v>
      </c>
      <c r="N532" s="100" t="s">
        <v>1464</v>
      </c>
      <c r="O532" s="101" t="s">
        <v>87</v>
      </c>
      <c r="P532" s="104">
        <v>82.12</v>
      </c>
      <c r="Q532" s="105">
        <v>87.02</v>
      </c>
      <c r="R532" s="102" t="s">
        <v>91</v>
      </c>
      <c r="S532" s="100" t="s">
        <v>1476</v>
      </c>
      <c r="T532">
        <f t="shared" si="11"/>
        <v>4.9</v>
      </c>
    </row>
    <row r="533" hidden="1">
      <c r="A533" s="32" t="str">
        <f t="shared" si="1"/>
        <v>2021RileyWeek 2</v>
      </c>
      <c r="B533" s="32" t="str">
        <f t="shared" si="2"/>
        <v>2021T-HowWeek 2</v>
      </c>
      <c r="C533" s="32" t="str">
        <f t="shared" si="3"/>
        <v>Week 2</v>
      </c>
      <c r="D533" s="32">
        <v>2021.0</v>
      </c>
      <c r="E533" t="str">
        <f t="shared" si="4"/>
        <v>2</v>
      </c>
      <c r="F533" t="str">
        <f t="shared" si="5"/>
        <v>Riley McElwain</v>
      </c>
      <c r="G533" s="40" t="str">
        <f>VLOOKUP(F533,'Manager Coding'!C:D,2,0)</f>
        <v>Riley</v>
      </c>
      <c r="H533" s="41">
        <f t="shared" si="6"/>
        <v>102.48</v>
      </c>
      <c r="I533" t="str">
        <f t="shared" si="7"/>
        <v>Tyler Howard</v>
      </c>
      <c r="J533" t="str">
        <f>VLOOKUP(I533,'Manager Coding'!C:D,2,0)</f>
        <v>T-How</v>
      </c>
      <c r="K533" s="41">
        <f t="shared" si="8"/>
        <v>89.32</v>
      </c>
      <c r="L533">
        <f t="shared" si="9"/>
        <v>1</v>
      </c>
      <c r="M533">
        <f t="shared" si="10"/>
        <v>0</v>
      </c>
      <c r="N533" s="95" t="s">
        <v>1470</v>
      </c>
      <c r="O533" s="96" t="s">
        <v>68</v>
      </c>
      <c r="P533" s="97">
        <v>102.48</v>
      </c>
      <c r="Q533" s="98">
        <v>89.32</v>
      </c>
      <c r="R533" s="103" t="s">
        <v>85</v>
      </c>
      <c r="S533" s="95" t="s">
        <v>1480</v>
      </c>
      <c r="T533">
        <f t="shared" si="11"/>
        <v>13.16</v>
      </c>
    </row>
    <row r="534" hidden="1">
      <c r="A534" s="32" t="str">
        <f t="shared" si="1"/>
        <v>2021CockWeek 2</v>
      </c>
      <c r="B534" s="32" t="str">
        <f t="shared" si="2"/>
        <v>2021HudspeathWeek 2</v>
      </c>
      <c r="C534" s="32" t="str">
        <f t="shared" si="3"/>
        <v>Week 2</v>
      </c>
      <c r="D534" s="32">
        <v>2021.0</v>
      </c>
      <c r="E534" t="str">
        <f t="shared" si="4"/>
        <v>2</v>
      </c>
      <c r="F534" t="str">
        <f t="shared" si="5"/>
        <v>Jack Babcock, Chris Cochrane</v>
      </c>
      <c r="G534" s="40" t="str">
        <f>VLOOKUP(F534,'Manager Coding'!C:D,2,0)</f>
        <v>Cock</v>
      </c>
      <c r="H534" s="41">
        <f t="shared" si="6"/>
        <v>106.5</v>
      </c>
      <c r="I534" t="str">
        <f t="shared" si="7"/>
        <v>matt hudspeath</v>
      </c>
      <c r="J534" t="str">
        <f>VLOOKUP(I534,'Manager Coding'!C:D,2,0)</f>
        <v>Hudspeath</v>
      </c>
      <c r="K534" s="41">
        <f t="shared" si="8"/>
        <v>145.2</v>
      </c>
      <c r="L534">
        <f t="shared" si="9"/>
        <v>0</v>
      </c>
      <c r="M534">
        <f t="shared" si="10"/>
        <v>1</v>
      </c>
      <c r="N534" s="100" t="s">
        <v>1477</v>
      </c>
      <c r="O534" s="101" t="s">
        <v>73</v>
      </c>
      <c r="P534" s="104">
        <v>106.5</v>
      </c>
      <c r="Q534" s="105">
        <v>145.2</v>
      </c>
      <c r="R534" s="102" t="s">
        <v>64</v>
      </c>
      <c r="S534" s="100" t="s">
        <v>1482</v>
      </c>
      <c r="T534">
        <f t="shared" si="11"/>
        <v>38.7</v>
      </c>
    </row>
    <row r="535" hidden="1">
      <c r="A535" s="32" t="str">
        <f t="shared" si="1"/>
        <v>#N/A</v>
      </c>
      <c r="B535" s="32" t="str">
        <f t="shared" si="2"/>
        <v>#N/A</v>
      </c>
      <c r="C535" s="32" t="str">
        <f t="shared" si="3"/>
        <v>Week 2</v>
      </c>
      <c r="D535" s="32">
        <v>2021.0</v>
      </c>
      <c r="E535" t="str">
        <f t="shared" si="4"/>
        <v>2</v>
      </c>
      <c r="F535" t="str">
        <f t="shared" si="5"/>
        <v/>
      </c>
      <c r="G535" s="40" t="str">
        <f>VLOOKUP(F535,'Manager Coding'!C:D,2,0)</f>
        <v>#N/A</v>
      </c>
      <c r="H535" s="41" t="str">
        <f t="shared" si="6"/>
        <v/>
      </c>
      <c r="I535" t="str">
        <f t="shared" si="7"/>
        <v/>
      </c>
      <c r="J535" t="str">
        <f>VLOOKUP(I535,'Manager Coding'!C:D,2,0)</f>
        <v>#N/A</v>
      </c>
      <c r="K535" s="41" t="str">
        <f t="shared" si="8"/>
        <v/>
      </c>
      <c r="L535">
        <f t="shared" si="9"/>
        <v>0</v>
      </c>
      <c r="M535">
        <f t="shared" si="10"/>
        <v>0</v>
      </c>
      <c r="N535" s="91" t="s">
        <v>234</v>
      </c>
      <c r="P535" s="41"/>
      <c r="Q535" s="41"/>
      <c r="T535">
        <f t="shared" si="11"/>
        <v>0</v>
      </c>
    </row>
    <row r="536" hidden="1">
      <c r="A536" s="32" t="str">
        <f t="shared" si="1"/>
        <v>#N/A</v>
      </c>
      <c r="B536" s="32" t="str">
        <f t="shared" si="2"/>
        <v>#N/A</v>
      </c>
      <c r="C536" s="32" t="str">
        <f t="shared" si="3"/>
        <v>Week 3</v>
      </c>
      <c r="D536" s="32">
        <v>2021.0</v>
      </c>
      <c r="E536" t="str">
        <f t="shared" si="4"/>
        <v>3</v>
      </c>
      <c r="F536" t="str">
        <f t="shared" si="5"/>
        <v/>
      </c>
      <c r="G536" s="40" t="str">
        <f>VLOOKUP(F536,'Manager Coding'!C:D,2,0)</f>
        <v>#N/A</v>
      </c>
      <c r="H536" s="41" t="str">
        <f t="shared" si="6"/>
        <v/>
      </c>
      <c r="I536" t="str">
        <f t="shared" si="7"/>
        <v/>
      </c>
      <c r="J536" t="str">
        <f>VLOOKUP(I536,'Manager Coding'!C:D,2,0)</f>
        <v>#N/A</v>
      </c>
      <c r="K536" s="41" t="str">
        <f t="shared" si="8"/>
        <v/>
      </c>
      <c r="L536">
        <f t="shared" si="9"/>
        <v>0</v>
      </c>
      <c r="M536">
        <f t="shared" si="10"/>
        <v>0</v>
      </c>
      <c r="N536" s="92" t="s">
        <v>1486</v>
      </c>
      <c r="P536" s="41"/>
      <c r="Q536" s="41"/>
      <c r="T536">
        <f t="shared" si="11"/>
        <v>0</v>
      </c>
    </row>
    <row r="537" hidden="1">
      <c r="A537" s="32" t="str">
        <f t="shared" si="1"/>
        <v>#N/A</v>
      </c>
      <c r="B537" s="32" t="str">
        <f t="shared" si="2"/>
        <v>#N/A</v>
      </c>
      <c r="C537" s="32" t="str">
        <f t="shared" si="3"/>
        <v>Week 3</v>
      </c>
      <c r="D537" s="32">
        <v>2021.0</v>
      </c>
      <c r="E537" t="str">
        <f t="shared" si="4"/>
        <v>3</v>
      </c>
      <c r="F537" t="str">
        <f t="shared" si="5"/>
        <v>TEAM MANAGER(S)</v>
      </c>
      <c r="G537" s="40" t="str">
        <f>VLOOKUP(F537,'Manager Coding'!C:D,2,0)</f>
        <v>#N/A</v>
      </c>
      <c r="H537" s="41" t="str">
        <f t="shared" si="6"/>
        <v>SCORE</v>
      </c>
      <c r="I537" t="str">
        <f t="shared" si="7"/>
        <v>TEAM MANAGER(S)</v>
      </c>
      <c r="J537" t="str">
        <f>VLOOKUP(I537,'Manager Coding'!C:D,2,0)</f>
        <v>#N/A</v>
      </c>
      <c r="K537" s="41" t="str">
        <f t="shared" si="8"/>
        <v>SCORE</v>
      </c>
      <c r="L537">
        <f t="shared" si="9"/>
        <v>0</v>
      </c>
      <c r="M537">
        <f t="shared" si="10"/>
        <v>0</v>
      </c>
      <c r="N537" s="93" t="s">
        <v>197</v>
      </c>
      <c r="O537" s="93" t="s">
        <v>88</v>
      </c>
      <c r="P537" s="94" t="s">
        <v>94</v>
      </c>
      <c r="Q537" s="93" t="s">
        <v>94</v>
      </c>
      <c r="R537" s="94" t="s">
        <v>88</v>
      </c>
      <c r="S537" s="94" t="s">
        <v>101</v>
      </c>
      <c r="T537">
        <f t="shared" si="11"/>
        <v>0</v>
      </c>
    </row>
    <row r="538" hidden="1">
      <c r="A538" s="32" t="str">
        <f t="shared" si="1"/>
        <v>2021SaltyWeek 3</v>
      </c>
      <c r="B538" s="32" t="str">
        <f t="shared" si="2"/>
        <v>2021FellowsWeek 3</v>
      </c>
      <c r="C538" s="32" t="str">
        <f t="shared" si="3"/>
        <v>Week 3</v>
      </c>
      <c r="D538" s="32">
        <v>2021.0</v>
      </c>
      <c r="E538" t="str">
        <f t="shared" si="4"/>
        <v>3</v>
      </c>
      <c r="F538" t="str">
        <f t="shared" si="5"/>
        <v>R Saltiel</v>
      </c>
      <c r="G538" s="40" t="str">
        <f>VLOOKUP(F538,'Manager Coding'!C:D,2,0)</f>
        <v>Salty</v>
      </c>
      <c r="H538" s="41">
        <f t="shared" si="6"/>
        <v>107.62</v>
      </c>
      <c r="I538" t="str">
        <f t="shared" si="7"/>
        <v>Michael Fellows</v>
      </c>
      <c r="J538" t="str">
        <f>VLOOKUP(I538,'Manager Coding'!C:D,2,0)</f>
        <v>Fellows</v>
      </c>
      <c r="K538" s="41">
        <f t="shared" si="8"/>
        <v>83.68</v>
      </c>
      <c r="L538">
        <f t="shared" si="9"/>
        <v>1</v>
      </c>
      <c r="M538">
        <f t="shared" si="10"/>
        <v>0</v>
      </c>
      <c r="N538" s="95" t="s">
        <v>1447</v>
      </c>
      <c r="O538" s="106" t="s">
        <v>77</v>
      </c>
      <c r="P538" s="97">
        <v>107.62</v>
      </c>
      <c r="Q538" s="98">
        <v>83.68</v>
      </c>
      <c r="R538" s="103" t="s">
        <v>80</v>
      </c>
      <c r="S538" s="95" t="s">
        <v>1463</v>
      </c>
      <c r="T538">
        <f t="shared" si="11"/>
        <v>23.94</v>
      </c>
    </row>
    <row r="539" hidden="1">
      <c r="A539" s="32" t="str">
        <f t="shared" si="1"/>
        <v>2021TayskiWeek 3</v>
      </c>
      <c r="B539" s="32" t="str">
        <f t="shared" si="2"/>
        <v>2021BuserWeek 3</v>
      </c>
      <c r="C539" s="32" t="str">
        <f t="shared" si="3"/>
        <v>Week 3</v>
      </c>
      <c r="D539" s="32">
        <v>2021.0</v>
      </c>
      <c r="E539" t="str">
        <f t="shared" si="4"/>
        <v>3</v>
      </c>
      <c r="F539" t="str">
        <f t="shared" si="5"/>
        <v>Taylor Weis</v>
      </c>
      <c r="G539" s="40" t="str">
        <f>VLOOKUP(F539,'Manager Coding'!C:D,2,0)</f>
        <v>Tayski</v>
      </c>
      <c r="H539" s="41">
        <f t="shared" si="6"/>
        <v>80.82</v>
      </c>
      <c r="I539" t="str">
        <f t="shared" si="7"/>
        <v>Ed Buser</v>
      </c>
      <c r="J539" t="str">
        <f>VLOOKUP(I539,'Manager Coding'!C:D,2,0)</f>
        <v>Buser</v>
      </c>
      <c r="K539" s="41">
        <f t="shared" si="8"/>
        <v>133.94</v>
      </c>
      <c r="L539">
        <f t="shared" si="9"/>
        <v>0</v>
      </c>
      <c r="M539">
        <f t="shared" si="10"/>
        <v>1</v>
      </c>
      <c r="N539" s="100" t="s">
        <v>1467</v>
      </c>
      <c r="O539" s="101" t="s">
        <v>54</v>
      </c>
      <c r="P539" s="104">
        <v>80.82</v>
      </c>
      <c r="Q539" s="105">
        <v>133.94</v>
      </c>
      <c r="R539" s="102" t="s">
        <v>50</v>
      </c>
      <c r="S539" s="100" t="s">
        <v>1454</v>
      </c>
      <c r="T539">
        <f t="shared" si="11"/>
        <v>53.12</v>
      </c>
    </row>
    <row r="540" hidden="1">
      <c r="A540" s="32" t="str">
        <f t="shared" si="1"/>
        <v>2021ShepWeek 3</v>
      </c>
      <c r="B540" s="32" t="str">
        <f t="shared" si="2"/>
        <v>2021Rooney/JacksonWeek 3</v>
      </c>
      <c r="C540" s="32" t="str">
        <f t="shared" si="3"/>
        <v>Week 3</v>
      </c>
      <c r="D540" s="32">
        <v>2021.0</v>
      </c>
      <c r="E540" t="str">
        <f t="shared" si="4"/>
        <v>3</v>
      </c>
      <c r="F540" t="str">
        <f t="shared" si="5"/>
        <v>Jordan Shepherd</v>
      </c>
      <c r="G540" s="40" t="str">
        <f>VLOOKUP(F540,'Manager Coding'!C:D,2,0)</f>
        <v>Shep</v>
      </c>
      <c r="H540" s="41">
        <f t="shared" si="6"/>
        <v>81.88</v>
      </c>
      <c r="I540" t="str">
        <f t="shared" si="7"/>
        <v>Stephen Rooney, Jackson Sattell</v>
      </c>
      <c r="J540" t="str">
        <f>VLOOKUP(I540,'Manager Coding'!C:D,2,0)</f>
        <v>Rooney/Jackson</v>
      </c>
      <c r="K540" s="41">
        <f t="shared" si="8"/>
        <v>63.44</v>
      </c>
      <c r="L540">
        <f t="shared" si="9"/>
        <v>1</v>
      </c>
      <c r="M540">
        <f t="shared" si="10"/>
        <v>0</v>
      </c>
      <c r="N540" s="95" t="s">
        <v>1476</v>
      </c>
      <c r="O540" s="96" t="s">
        <v>91</v>
      </c>
      <c r="P540" s="97">
        <v>81.88</v>
      </c>
      <c r="Q540" s="98">
        <v>63.44</v>
      </c>
      <c r="R540" s="103" t="s">
        <v>58</v>
      </c>
      <c r="S540" s="95" t="s">
        <v>1453</v>
      </c>
      <c r="T540">
        <f t="shared" si="11"/>
        <v>18.44</v>
      </c>
    </row>
    <row r="541" hidden="1">
      <c r="A541" s="32" t="str">
        <f t="shared" si="1"/>
        <v>2021T-HowWeek 3</v>
      </c>
      <c r="B541" s="32" t="str">
        <f t="shared" si="2"/>
        <v>2021PiersonWeek 3</v>
      </c>
      <c r="C541" s="32" t="str">
        <f t="shared" si="3"/>
        <v>Week 3</v>
      </c>
      <c r="D541" s="32">
        <v>2021.0</v>
      </c>
      <c r="E541" t="str">
        <f t="shared" si="4"/>
        <v>3</v>
      </c>
      <c r="F541" t="str">
        <f t="shared" si="5"/>
        <v>Tyler Howard</v>
      </c>
      <c r="G541" s="40" t="str">
        <f>VLOOKUP(F541,'Manager Coding'!C:D,2,0)</f>
        <v>T-How</v>
      </c>
      <c r="H541" s="41">
        <f t="shared" si="6"/>
        <v>99.6</v>
      </c>
      <c r="I541" t="str">
        <f t="shared" si="7"/>
        <v>Pierson Curtis</v>
      </c>
      <c r="J541" t="str">
        <f>VLOOKUP(I541,'Manager Coding'!C:D,2,0)</f>
        <v>Pierson</v>
      </c>
      <c r="K541" s="41">
        <f t="shared" si="8"/>
        <v>109.48</v>
      </c>
      <c r="L541">
        <f t="shared" si="9"/>
        <v>0</v>
      </c>
      <c r="M541">
        <f t="shared" si="10"/>
        <v>1</v>
      </c>
      <c r="N541" s="100" t="s">
        <v>1480</v>
      </c>
      <c r="O541" s="101" t="s">
        <v>85</v>
      </c>
      <c r="P541" s="104">
        <v>99.6</v>
      </c>
      <c r="Q541" s="105">
        <v>109.48</v>
      </c>
      <c r="R541" s="102" t="s">
        <v>93</v>
      </c>
      <c r="S541" s="100" t="s">
        <v>1457</v>
      </c>
      <c r="T541">
        <f t="shared" si="11"/>
        <v>9.88</v>
      </c>
    </row>
    <row r="542" hidden="1">
      <c r="A542" s="32" t="str">
        <f t="shared" si="1"/>
        <v>2021HudspeathWeek 3</v>
      </c>
      <c r="B542" s="32" t="str">
        <f t="shared" si="2"/>
        <v>2021KnardDawgWeek 3</v>
      </c>
      <c r="C542" s="32" t="str">
        <f t="shared" si="3"/>
        <v>Week 3</v>
      </c>
      <c r="D542" s="32">
        <v>2021.0</v>
      </c>
      <c r="E542" t="str">
        <f t="shared" si="4"/>
        <v>3</v>
      </c>
      <c r="F542" t="str">
        <f t="shared" si="5"/>
        <v>matt hudspeath</v>
      </c>
      <c r="G542" s="40" t="str">
        <f>VLOOKUP(F542,'Manager Coding'!C:D,2,0)</f>
        <v>Hudspeath</v>
      </c>
      <c r="H542" s="41">
        <f t="shared" si="6"/>
        <v>109.64</v>
      </c>
      <c r="I542" t="str">
        <f t="shared" si="7"/>
        <v>Alex Kinniard, Jack Reilly</v>
      </c>
      <c r="J542" t="str">
        <f>VLOOKUP(I542,'Manager Coding'!C:D,2,0)</f>
        <v>KnardDawg</v>
      </c>
      <c r="K542" s="41">
        <f t="shared" si="8"/>
        <v>79.42</v>
      </c>
      <c r="L542">
        <f t="shared" si="9"/>
        <v>1</v>
      </c>
      <c r="M542">
        <f t="shared" si="10"/>
        <v>0</v>
      </c>
      <c r="N542" s="95" t="s">
        <v>1482</v>
      </c>
      <c r="O542" s="96" t="s">
        <v>64</v>
      </c>
      <c r="P542" s="97">
        <v>109.64</v>
      </c>
      <c r="Q542" s="98">
        <v>79.42</v>
      </c>
      <c r="R542" s="103" t="s">
        <v>87</v>
      </c>
      <c r="S542" s="95" t="s">
        <v>1464</v>
      </c>
      <c r="T542">
        <f t="shared" si="11"/>
        <v>30.22</v>
      </c>
    </row>
    <row r="543" hidden="1">
      <c r="A543" s="32" t="str">
        <f t="shared" si="1"/>
        <v>2021CockWeek 3</v>
      </c>
      <c r="B543" s="32" t="str">
        <f t="shared" si="2"/>
        <v>2021RileyWeek 3</v>
      </c>
      <c r="C543" s="32" t="str">
        <f t="shared" si="3"/>
        <v>Week 3</v>
      </c>
      <c r="D543" s="32">
        <v>2021.0</v>
      </c>
      <c r="E543" t="str">
        <f t="shared" si="4"/>
        <v>3</v>
      </c>
      <c r="F543" t="str">
        <f t="shared" si="5"/>
        <v>Jack Babcock, Chris Cochrane</v>
      </c>
      <c r="G543" s="40" t="str">
        <f>VLOOKUP(F543,'Manager Coding'!C:D,2,0)</f>
        <v>Cock</v>
      </c>
      <c r="H543" s="41">
        <f t="shared" si="6"/>
        <v>95.64</v>
      </c>
      <c r="I543" t="str">
        <f t="shared" si="7"/>
        <v>Riley McElwain</v>
      </c>
      <c r="J543" t="str">
        <f>VLOOKUP(I543,'Manager Coding'!C:D,2,0)</f>
        <v>Riley</v>
      </c>
      <c r="K543" s="41">
        <f t="shared" si="8"/>
        <v>120.32</v>
      </c>
      <c r="L543">
        <f t="shared" si="9"/>
        <v>0</v>
      </c>
      <c r="M543">
        <f t="shared" si="10"/>
        <v>1</v>
      </c>
      <c r="N543" s="100" t="s">
        <v>1477</v>
      </c>
      <c r="O543" s="101" t="s">
        <v>73</v>
      </c>
      <c r="P543" s="104">
        <v>95.64</v>
      </c>
      <c r="Q543" s="105">
        <v>120.32</v>
      </c>
      <c r="R543" s="102" t="s">
        <v>68</v>
      </c>
      <c r="S543" s="100" t="s">
        <v>1470</v>
      </c>
      <c r="T543">
        <f t="shared" si="11"/>
        <v>24.68</v>
      </c>
    </row>
    <row r="544" hidden="1">
      <c r="A544" s="32" t="str">
        <f t="shared" si="1"/>
        <v>#N/A</v>
      </c>
      <c r="B544" s="32" t="str">
        <f t="shared" si="2"/>
        <v>#N/A</v>
      </c>
      <c r="C544" s="32" t="str">
        <f t="shared" si="3"/>
        <v>Week 3</v>
      </c>
      <c r="D544" s="32">
        <v>2021.0</v>
      </c>
      <c r="E544" t="str">
        <f t="shared" si="4"/>
        <v>3</v>
      </c>
      <c r="F544" t="str">
        <f t="shared" si="5"/>
        <v/>
      </c>
      <c r="G544" s="40" t="str">
        <f>VLOOKUP(F544,'Manager Coding'!C:D,2,0)</f>
        <v>#N/A</v>
      </c>
      <c r="H544" s="41" t="str">
        <f t="shared" si="6"/>
        <v/>
      </c>
      <c r="I544" t="str">
        <f t="shared" si="7"/>
        <v/>
      </c>
      <c r="J544" t="str">
        <f>VLOOKUP(I544,'Manager Coding'!C:D,2,0)</f>
        <v>#N/A</v>
      </c>
      <c r="K544" s="41" t="str">
        <f t="shared" si="8"/>
        <v/>
      </c>
      <c r="L544">
        <f t="shared" si="9"/>
        <v>0</v>
      </c>
      <c r="M544">
        <f t="shared" si="10"/>
        <v>0</v>
      </c>
      <c r="N544" s="91" t="s">
        <v>260</v>
      </c>
      <c r="P544" s="41"/>
      <c r="Q544" s="41"/>
      <c r="T544">
        <f t="shared" si="11"/>
        <v>0</v>
      </c>
    </row>
    <row r="545" hidden="1">
      <c r="A545" s="32" t="str">
        <f t="shared" si="1"/>
        <v>#N/A</v>
      </c>
      <c r="B545" s="32" t="str">
        <f t="shared" si="2"/>
        <v>#N/A</v>
      </c>
      <c r="C545" s="32" t="str">
        <f t="shared" si="3"/>
        <v>Week 4</v>
      </c>
      <c r="D545" s="32">
        <v>2021.0</v>
      </c>
      <c r="E545" t="str">
        <f t="shared" si="4"/>
        <v>4</v>
      </c>
      <c r="F545" t="str">
        <f t="shared" si="5"/>
        <v/>
      </c>
      <c r="G545" s="40" t="str">
        <f>VLOOKUP(F545,'Manager Coding'!C:D,2,0)</f>
        <v>#N/A</v>
      </c>
      <c r="H545" s="41" t="str">
        <f t="shared" si="6"/>
        <v/>
      </c>
      <c r="I545" t="str">
        <f t="shared" si="7"/>
        <v/>
      </c>
      <c r="J545" t="str">
        <f>VLOOKUP(I545,'Manager Coding'!C:D,2,0)</f>
        <v>#N/A</v>
      </c>
      <c r="K545" s="41" t="str">
        <f t="shared" si="8"/>
        <v/>
      </c>
      <c r="L545">
        <f t="shared" si="9"/>
        <v>0</v>
      </c>
      <c r="M545">
        <f t="shared" si="10"/>
        <v>0</v>
      </c>
      <c r="N545" s="92" t="s">
        <v>1486</v>
      </c>
      <c r="P545" s="41"/>
      <c r="Q545" s="41"/>
      <c r="T545">
        <f t="shared" si="11"/>
        <v>0</v>
      </c>
    </row>
    <row r="546" hidden="1">
      <c r="A546" s="32" t="str">
        <f t="shared" si="1"/>
        <v>#N/A</v>
      </c>
      <c r="B546" s="32" t="str">
        <f t="shared" si="2"/>
        <v>#N/A</v>
      </c>
      <c r="C546" s="32" t="str">
        <f t="shared" si="3"/>
        <v>Week 4</v>
      </c>
      <c r="D546" s="32">
        <v>2021.0</v>
      </c>
      <c r="E546" t="str">
        <f t="shared" si="4"/>
        <v>4</v>
      </c>
      <c r="F546" t="str">
        <f t="shared" si="5"/>
        <v>TEAM MANAGER(S)</v>
      </c>
      <c r="G546" s="40" t="str">
        <f>VLOOKUP(F546,'Manager Coding'!C:D,2,0)</f>
        <v>#N/A</v>
      </c>
      <c r="H546" s="41" t="str">
        <f t="shared" si="6"/>
        <v>SCORE</v>
      </c>
      <c r="I546" t="str">
        <f t="shared" si="7"/>
        <v>TEAM MANAGER(S)</v>
      </c>
      <c r="J546" t="str">
        <f>VLOOKUP(I546,'Manager Coding'!C:D,2,0)</f>
        <v>#N/A</v>
      </c>
      <c r="K546" s="41" t="str">
        <f t="shared" si="8"/>
        <v>SCORE</v>
      </c>
      <c r="L546">
        <f t="shared" si="9"/>
        <v>0</v>
      </c>
      <c r="M546">
        <f t="shared" si="10"/>
        <v>0</v>
      </c>
      <c r="N546" s="93" t="s">
        <v>197</v>
      </c>
      <c r="O546" s="93" t="s">
        <v>88</v>
      </c>
      <c r="P546" s="94" t="s">
        <v>94</v>
      </c>
      <c r="Q546" s="93" t="s">
        <v>94</v>
      </c>
      <c r="R546" s="94" t="s">
        <v>88</v>
      </c>
      <c r="S546" s="94" t="s">
        <v>101</v>
      </c>
      <c r="T546">
        <f t="shared" si="11"/>
        <v>0</v>
      </c>
    </row>
    <row r="547" hidden="1">
      <c r="A547" s="32" t="str">
        <f t="shared" si="1"/>
        <v>2021TayskiWeek 4</v>
      </c>
      <c r="B547" s="32" t="str">
        <f t="shared" si="2"/>
        <v>2021SaltyWeek 4</v>
      </c>
      <c r="C547" s="32" t="str">
        <f t="shared" si="3"/>
        <v>Week 4</v>
      </c>
      <c r="D547" s="32">
        <v>2021.0</v>
      </c>
      <c r="E547" t="str">
        <f t="shared" si="4"/>
        <v>4</v>
      </c>
      <c r="F547" t="str">
        <f t="shared" si="5"/>
        <v>Taylor Weis</v>
      </c>
      <c r="G547" s="40" t="str">
        <f>VLOOKUP(F547,'Manager Coding'!C:D,2,0)</f>
        <v>Tayski</v>
      </c>
      <c r="H547" s="41">
        <f t="shared" si="6"/>
        <v>108</v>
      </c>
      <c r="I547" t="str">
        <f t="shared" si="7"/>
        <v>R Saltiel</v>
      </c>
      <c r="J547" t="str">
        <f>VLOOKUP(I547,'Manager Coding'!C:D,2,0)</f>
        <v>Salty</v>
      </c>
      <c r="K547" s="41">
        <f t="shared" si="8"/>
        <v>112.92</v>
      </c>
      <c r="L547">
        <f t="shared" si="9"/>
        <v>0</v>
      </c>
      <c r="M547">
        <f t="shared" si="10"/>
        <v>1</v>
      </c>
      <c r="N547" s="95" t="s">
        <v>1467</v>
      </c>
      <c r="O547" s="96" t="s">
        <v>54</v>
      </c>
      <c r="P547" s="104">
        <v>108.0</v>
      </c>
      <c r="Q547" s="105">
        <v>112.92</v>
      </c>
      <c r="R547" s="99" t="s">
        <v>77</v>
      </c>
      <c r="S547" s="95" t="s">
        <v>1447</v>
      </c>
      <c r="T547">
        <f t="shared" si="11"/>
        <v>4.92</v>
      </c>
    </row>
    <row r="548" hidden="1">
      <c r="A548" s="32" t="str">
        <f t="shared" si="1"/>
        <v>2021FellowsWeek 4</v>
      </c>
      <c r="B548" s="32" t="str">
        <f t="shared" si="2"/>
        <v>2021ShepWeek 4</v>
      </c>
      <c r="C548" s="32" t="str">
        <f t="shared" si="3"/>
        <v>Week 4</v>
      </c>
      <c r="D548" s="32">
        <v>2021.0</v>
      </c>
      <c r="E548" t="str">
        <f t="shared" si="4"/>
        <v>4</v>
      </c>
      <c r="F548" t="str">
        <f t="shared" si="5"/>
        <v>Michael Fellows</v>
      </c>
      <c r="G548" s="40" t="str">
        <f>VLOOKUP(F548,'Manager Coding'!C:D,2,0)</f>
        <v>Fellows</v>
      </c>
      <c r="H548" s="41">
        <f t="shared" si="6"/>
        <v>96.42</v>
      </c>
      <c r="I548" t="str">
        <f t="shared" si="7"/>
        <v>Jordan Shepherd</v>
      </c>
      <c r="J548" t="str">
        <f>VLOOKUP(I548,'Manager Coding'!C:D,2,0)</f>
        <v>Shep</v>
      </c>
      <c r="K548" s="41">
        <f t="shared" si="8"/>
        <v>108.64</v>
      </c>
      <c r="L548">
        <f t="shared" si="9"/>
        <v>0</v>
      </c>
      <c r="M548">
        <f t="shared" si="10"/>
        <v>1</v>
      </c>
      <c r="N548" s="100" t="s">
        <v>1463</v>
      </c>
      <c r="O548" s="101" t="s">
        <v>80</v>
      </c>
      <c r="P548" s="104">
        <v>96.42</v>
      </c>
      <c r="Q548" s="105">
        <v>108.64</v>
      </c>
      <c r="R548" s="102" t="s">
        <v>91</v>
      </c>
      <c r="S548" s="100" t="s">
        <v>1476</v>
      </c>
      <c r="T548">
        <f t="shared" si="11"/>
        <v>12.22</v>
      </c>
    </row>
    <row r="549" hidden="1">
      <c r="A549" s="32" t="str">
        <f t="shared" si="1"/>
        <v>2021BuserWeek 4</v>
      </c>
      <c r="B549" s="32" t="str">
        <f t="shared" si="2"/>
        <v>2021T-HowWeek 4</v>
      </c>
      <c r="C549" s="32" t="str">
        <f t="shared" si="3"/>
        <v>Week 4</v>
      </c>
      <c r="D549" s="32">
        <v>2021.0</v>
      </c>
      <c r="E549" t="str">
        <f t="shared" si="4"/>
        <v>4</v>
      </c>
      <c r="F549" t="str">
        <f t="shared" si="5"/>
        <v>Ed Buser</v>
      </c>
      <c r="G549" s="40" t="str">
        <f>VLOOKUP(F549,'Manager Coding'!C:D,2,0)</f>
        <v>Buser</v>
      </c>
      <c r="H549" s="41">
        <f t="shared" si="6"/>
        <v>97.58</v>
      </c>
      <c r="I549" t="str">
        <f t="shared" si="7"/>
        <v>Tyler Howard</v>
      </c>
      <c r="J549" t="str">
        <f>VLOOKUP(I549,'Manager Coding'!C:D,2,0)</f>
        <v>T-How</v>
      </c>
      <c r="K549" s="41">
        <f t="shared" si="8"/>
        <v>141.42</v>
      </c>
      <c r="L549">
        <f t="shared" si="9"/>
        <v>0</v>
      </c>
      <c r="M549">
        <f t="shared" si="10"/>
        <v>1</v>
      </c>
      <c r="N549" s="95" t="s">
        <v>1454</v>
      </c>
      <c r="O549" s="96" t="s">
        <v>50</v>
      </c>
      <c r="P549" s="104">
        <v>97.58</v>
      </c>
      <c r="Q549" s="105">
        <v>141.42</v>
      </c>
      <c r="R549" s="103" t="s">
        <v>85</v>
      </c>
      <c r="S549" s="95" t="s">
        <v>1480</v>
      </c>
      <c r="T549">
        <f t="shared" si="11"/>
        <v>43.84</v>
      </c>
    </row>
    <row r="550" hidden="1">
      <c r="A550" s="32" t="str">
        <f t="shared" si="1"/>
        <v>2021Rooney/JacksonWeek 4</v>
      </c>
      <c r="B550" s="32" t="str">
        <f t="shared" si="2"/>
        <v>2021HudspeathWeek 4</v>
      </c>
      <c r="C550" s="32" t="str">
        <f t="shared" si="3"/>
        <v>Week 4</v>
      </c>
      <c r="D550" s="32">
        <v>2021.0</v>
      </c>
      <c r="E550" t="str">
        <f t="shared" si="4"/>
        <v>4</v>
      </c>
      <c r="F550" t="str">
        <f t="shared" si="5"/>
        <v>Stephen Rooney, Jackson Sattell</v>
      </c>
      <c r="G550" s="40" t="str">
        <f>VLOOKUP(F550,'Manager Coding'!C:D,2,0)</f>
        <v>Rooney/Jackson</v>
      </c>
      <c r="H550" s="41">
        <f t="shared" si="6"/>
        <v>94.52</v>
      </c>
      <c r="I550" t="str">
        <f t="shared" si="7"/>
        <v>matt hudspeath</v>
      </c>
      <c r="J550" t="str">
        <f>VLOOKUP(I550,'Manager Coding'!C:D,2,0)</f>
        <v>Hudspeath</v>
      </c>
      <c r="K550" s="41">
        <f t="shared" si="8"/>
        <v>76.82</v>
      </c>
      <c r="L550">
        <f t="shared" si="9"/>
        <v>1</v>
      </c>
      <c r="M550">
        <f t="shared" si="10"/>
        <v>0</v>
      </c>
      <c r="N550" s="100" t="s">
        <v>1453</v>
      </c>
      <c r="O550" s="101" t="s">
        <v>58</v>
      </c>
      <c r="P550" s="97">
        <v>94.52</v>
      </c>
      <c r="Q550" s="98">
        <v>76.82</v>
      </c>
      <c r="R550" s="102" t="s">
        <v>64</v>
      </c>
      <c r="S550" s="100" t="s">
        <v>1482</v>
      </c>
      <c r="T550">
        <f t="shared" si="11"/>
        <v>17.7</v>
      </c>
    </row>
    <row r="551" hidden="1">
      <c r="A551" s="32" t="str">
        <f t="shared" si="1"/>
        <v>2021PiersonWeek 4</v>
      </c>
      <c r="B551" s="32" t="str">
        <f t="shared" si="2"/>
        <v>2021CockWeek 4</v>
      </c>
      <c r="C551" s="32" t="str">
        <f t="shared" si="3"/>
        <v>Week 4</v>
      </c>
      <c r="D551" s="32">
        <v>2021.0</v>
      </c>
      <c r="E551" t="str">
        <f t="shared" si="4"/>
        <v>4</v>
      </c>
      <c r="F551" t="str">
        <f t="shared" si="5"/>
        <v>Pierson Curtis</v>
      </c>
      <c r="G551" s="40" t="str">
        <f>VLOOKUP(F551,'Manager Coding'!C:D,2,0)</f>
        <v>Pierson</v>
      </c>
      <c r="H551" s="41">
        <f t="shared" si="6"/>
        <v>89.66</v>
      </c>
      <c r="I551" t="str">
        <f t="shared" si="7"/>
        <v>Jack Babcock, Chris Cochrane</v>
      </c>
      <c r="J551" t="str">
        <f>VLOOKUP(I551,'Manager Coding'!C:D,2,0)</f>
        <v>Cock</v>
      </c>
      <c r="K551" s="41">
        <f t="shared" si="8"/>
        <v>64.68</v>
      </c>
      <c r="L551">
        <f t="shared" si="9"/>
        <v>1</v>
      </c>
      <c r="M551">
        <f t="shared" si="10"/>
        <v>0</v>
      </c>
      <c r="N551" s="95" t="s">
        <v>1457</v>
      </c>
      <c r="O551" s="96" t="s">
        <v>93</v>
      </c>
      <c r="P551" s="97">
        <v>89.66</v>
      </c>
      <c r="Q551" s="98">
        <v>64.68</v>
      </c>
      <c r="R551" s="103" t="s">
        <v>73</v>
      </c>
      <c r="S551" s="95" t="s">
        <v>1477</v>
      </c>
      <c r="T551">
        <f t="shared" si="11"/>
        <v>24.98</v>
      </c>
    </row>
    <row r="552" hidden="1">
      <c r="A552" s="32" t="str">
        <f t="shared" si="1"/>
        <v>2021KnardDawgWeek 4</v>
      </c>
      <c r="B552" s="32" t="str">
        <f t="shared" si="2"/>
        <v>2021RileyWeek 4</v>
      </c>
      <c r="C552" s="32" t="str">
        <f t="shared" si="3"/>
        <v>Week 4</v>
      </c>
      <c r="D552" s="32">
        <v>2021.0</v>
      </c>
      <c r="E552" t="str">
        <f t="shared" si="4"/>
        <v>4</v>
      </c>
      <c r="F552" t="str">
        <f t="shared" si="5"/>
        <v>Alex Kinniard, Jack Reilly</v>
      </c>
      <c r="G552" s="40" t="str">
        <f>VLOOKUP(F552,'Manager Coding'!C:D,2,0)</f>
        <v>KnardDawg</v>
      </c>
      <c r="H552" s="41">
        <f t="shared" si="6"/>
        <v>71.86</v>
      </c>
      <c r="I552" t="str">
        <f t="shared" si="7"/>
        <v>Riley McElwain</v>
      </c>
      <c r="J552" t="str">
        <f>VLOOKUP(I552,'Manager Coding'!C:D,2,0)</f>
        <v>Riley</v>
      </c>
      <c r="K552" s="41">
        <f t="shared" si="8"/>
        <v>123.52</v>
      </c>
      <c r="L552">
        <f t="shared" si="9"/>
        <v>0</v>
      </c>
      <c r="M552">
        <f t="shared" si="10"/>
        <v>1</v>
      </c>
      <c r="N552" s="100" t="s">
        <v>1464</v>
      </c>
      <c r="O552" s="101" t="s">
        <v>87</v>
      </c>
      <c r="P552" s="104">
        <v>71.86</v>
      </c>
      <c r="Q552" s="105">
        <v>123.52</v>
      </c>
      <c r="R552" s="102" t="s">
        <v>68</v>
      </c>
      <c r="S552" s="100" t="s">
        <v>1470</v>
      </c>
      <c r="T552">
        <f t="shared" si="11"/>
        <v>51.66</v>
      </c>
    </row>
    <row r="553" hidden="1">
      <c r="A553" s="32" t="str">
        <f t="shared" si="1"/>
        <v>#N/A</v>
      </c>
      <c r="B553" s="32" t="str">
        <f t="shared" si="2"/>
        <v>#N/A</v>
      </c>
      <c r="C553" s="32" t="str">
        <f t="shared" si="3"/>
        <v>Week 4</v>
      </c>
      <c r="D553" s="32">
        <v>2021.0</v>
      </c>
      <c r="E553" t="str">
        <f t="shared" si="4"/>
        <v>4</v>
      </c>
      <c r="F553" t="str">
        <f t="shared" si="5"/>
        <v/>
      </c>
      <c r="G553" s="40" t="str">
        <f>VLOOKUP(F553,'Manager Coding'!C:D,2,0)</f>
        <v>#N/A</v>
      </c>
      <c r="H553" s="41" t="str">
        <f t="shared" si="6"/>
        <v/>
      </c>
      <c r="I553" t="str">
        <f t="shared" si="7"/>
        <v/>
      </c>
      <c r="J553" t="str">
        <f>VLOOKUP(I553,'Manager Coding'!C:D,2,0)</f>
        <v>#N/A</v>
      </c>
      <c r="K553" s="41" t="str">
        <f t="shared" si="8"/>
        <v/>
      </c>
      <c r="L553">
        <f t="shared" si="9"/>
        <v>0</v>
      </c>
      <c r="M553">
        <f t="shared" si="10"/>
        <v>0</v>
      </c>
      <c r="N553" s="91" t="s">
        <v>291</v>
      </c>
      <c r="P553" s="41"/>
      <c r="Q553" s="41"/>
      <c r="T553">
        <f t="shared" si="11"/>
        <v>0</v>
      </c>
    </row>
    <row r="554" hidden="1">
      <c r="A554" s="32" t="str">
        <f t="shared" si="1"/>
        <v>#N/A</v>
      </c>
      <c r="B554" s="32" t="str">
        <f t="shared" si="2"/>
        <v>#N/A</v>
      </c>
      <c r="C554" s="32" t="str">
        <f t="shared" si="3"/>
        <v>Week 5</v>
      </c>
      <c r="D554" s="32">
        <v>2021.0</v>
      </c>
      <c r="E554" t="str">
        <f t="shared" si="4"/>
        <v>5</v>
      </c>
      <c r="F554" t="str">
        <f t="shared" si="5"/>
        <v/>
      </c>
      <c r="G554" s="40" t="str">
        <f>VLOOKUP(F554,'Manager Coding'!C:D,2,0)</f>
        <v>#N/A</v>
      </c>
      <c r="H554" s="41" t="str">
        <f t="shared" si="6"/>
        <v/>
      </c>
      <c r="I554" t="str">
        <f t="shared" si="7"/>
        <v/>
      </c>
      <c r="J554" t="str">
        <f>VLOOKUP(I554,'Manager Coding'!C:D,2,0)</f>
        <v>#N/A</v>
      </c>
      <c r="K554" s="41" t="str">
        <f t="shared" si="8"/>
        <v/>
      </c>
      <c r="L554">
        <f t="shared" si="9"/>
        <v>0</v>
      </c>
      <c r="M554">
        <f t="shared" si="10"/>
        <v>0</v>
      </c>
      <c r="N554" s="92" t="s">
        <v>1486</v>
      </c>
      <c r="P554" s="41"/>
      <c r="Q554" s="41"/>
      <c r="T554">
        <f t="shared" si="11"/>
        <v>0</v>
      </c>
    </row>
    <row r="555" hidden="1">
      <c r="A555" s="32" t="str">
        <f t="shared" si="1"/>
        <v>#N/A</v>
      </c>
      <c r="B555" s="32" t="str">
        <f t="shared" si="2"/>
        <v>#N/A</v>
      </c>
      <c r="C555" s="32" t="str">
        <f t="shared" si="3"/>
        <v>Week 5</v>
      </c>
      <c r="D555" s="32">
        <v>2021.0</v>
      </c>
      <c r="E555" t="str">
        <f t="shared" si="4"/>
        <v>5</v>
      </c>
      <c r="F555" t="str">
        <f t="shared" si="5"/>
        <v>TEAM MANAGER(S)</v>
      </c>
      <c r="G555" s="40" t="str">
        <f>VLOOKUP(F555,'Manager Coding'!C:D,2,0)</f>
        <v>#N/A</v>
      </c>
      <c r="H555" s="41" t="str">
        <f t="shared" si="6"/>
        <v>SCORE</v>
      </c>
      <c r="I555" t="str">
        <f t="shared" si="7"/>
        <v>TEAM MANAGER(S)</v>
      </c>
      <c r="J555" t="str">
        <f>VLOOKUP(I555,'Manager Coding'!C:D,2,0)</f>
        <v>#N/A</v>
      </c>
      <c r="K555" s="41" t="str">
        <f t="shared" si="8"/>
        <v>SCORE</v>
      </c>
      <c r="L555">
        <f t="shared" si="9"/>
        <v>0</v>
      </c>
      <c r="M555">
        <f t="shared" si="10"/>
        <v>0</v>
      </c>
      <c r="N555" s="93" t="s">
        <v>197</v>
      </c>
      <c r="O555" s="93" t="s">
        <v>88</v>
      </c>
      <c r="P555" s="94" t="s">
        <v>94</v>
      </c>
      <c r="Q555" s="93" t="s">
        <v>94</v>
      </c>
      <c r="R555" s="94" t="s">
        <v>88</v>
      </c>
      <c r="S555" s="94" t="s">
        <v>101</v>
      </c>
      <c r="T555">
        <f t="shared" si="11"/>
        <v>0</v>
      </c>
    </row>
    <row r="556" hidden="1">
      <c r="A556" s="32" t="str">
        <f t="shared" si="1"/>
        <v>2021SaltyWeek 5</v>
      </c>
      <c r="B556" s="32" t="str">
        <f t="shared" si="2"/>
        <v>2021ShepWeek 5</v>
      </c>
      <c r="C556" s="32" t="str">
        <f t="shared" si="3"/>
        <v>Week 5</v>
      </c>
      <c r="D556" s="32">
        <v>2021.0</v>
      </c>
      <c r="E556" t="str">
        <f t="shared" si="4"/>
        <v>5</v>
      </c>
      <c r="F556" t="str">
        <f t="shared" si="5"/>
        <v>R Saltiel</v>
      </c>
      <c r="G556" s="40" t="str">
        <f>VLOOKUP(F556,'Manager Coding'!C:D,2,0)</f>
        <v>Salty</v>
      </c>
      <c r="H556" s="41">
        <f t="shared" si="6"/>
        <v>113.2</v>
      </c>
      <c r="I556" t="str">
        <f t="shared" si="7"/>
        <v>Jordan Shepherd</v>
      </c>
      <c r="J556" t="str">
        <f>VLOOKUP(I556,'Manager Coding'!C:D,2,0)</f>
        <v>Shep</v>
      </c>
      <c r="K556" s="41">
        <f t="shared" si="8"/>
        <v>120.38</v>
      </c>
      <c r="L556">
        <f t="shared" si="9"/>
        <v>0</v>
      </c>
      <c r="M556">
        <f t="shared" si="10"/>
        <v>1</v>
      </c>
      <c r="N556" s="95" t="s">
        <v>1447</v>
      </c>
      <c r="O556" s="106" t="s">
        <v>77</v>
      </c>
      <c r="P556" s="104">
        <v>113.2</v>
      </c>
      <c r="Q556" s="105">
        <v>120.38</v>
      </c>
      <c r="R556" s="103" t="s">
        <v>91</v>
      </c>
      <c r="S556" s="95" t="s">
        <v>1476</v>
      </c>
      <c r="T556">
        <f t="shared" si="11"/>
        <v>7.18</v>
      </c>
    </row>
    <row r="557" hidden="1">
      <c r="A557" s="32" t="str">
        <f t="shared" si="1"/>
        <v>2021T-HowWeek 5</v>
      </c>
      <c r="B557" s="32" t="str">
        <f t="shared" si="2"/>
        <v>2021TayskiWeek 5</v>
      </c>
      <c r="C557" s="32" t="str">
        <f t="shared" si="3"/>
        <v>Week 5</v>
      </c>
      <c r="D557" s="32">
        <v>2021.0</v>
      </c>
      <c r="E557" t="str">
        <f t="shared" si="4"/>
        <v>5</v>
      </c>
      <c r="F557" t="str">
        <f t="shared" si="5"/>
        <v>Tyler Howard</v>
      </c>
      <c r="G557" s="40" t="str">
        <f>VLOOKUP(F557,'Manager Coding'!C:D,2,0)</f>
        <v>T-How</v>
      </c>
      <c r="H557" s="41">
        <f t="shared" si="6"/>
        <v>105.88</v>
      </c>
      <c r="I557" t="str">
        <f t="shared" si="7"/>
        <v>Taylor Weis</v>
      </c>
      <c r="J557" t="str">
        <f>VLOOKUP(I557,'Manager Coding'!C:D,2,0)</f>
        <v>Tayski</v>
      </c>
      <c r="K557" s="41">
        <f t="shared" si="8"/>
        <v>105.6</v>
      </c>
      <c r="L557">
        <f t="shared" si="9"/>
        <v>1</v>
      </c>
      <c r="M557">
        <f t="shared" si="10"/>
        <v>0</v>
      </c>
      <c r="N557" s="100" t="s">
        <v>1480</v>
      </c>
      <c r="O557" s="101" t="s">
        <v>85</v>
      </c>
      <c r="P557" s="97">
        <v>105.88</v>
      </c>
      <c r="Q557" s="98">
        <v>105.6</v>
      </c>
      <c r="R557" s="102" t="s">
        <v>54</v>
      </c>
      <c r="S557" s="100" t="s">
        <v>1467</v>
      </c>
      <c r="T557">
        <f t="shared" si="11"/>
        <v>0.28</v>
      </c>
    </row>
    <row r="558" hidden="1">
      <c r="A558" s="32" t="str">
        <f t="shared" si="1"/>
        <v>2021HudspeathWeek 5</v>
      </c>
      <c r="B558" s="32" t="str">
        <f t="shared" si="2"/>
        <v>2021FellowsWeek 5</v>
      </c>
      <c r="C558" s="32" t="str">
        <f t="shared" si="3"/>
        <v>Week 5</v>
      </c>
      <c r="D558" s="32">
        <v>2021.0</v>
      </c>
      <c r="E558" t="str">
        <f t="shared" si="4"/>
        <v>5</v>
      </c>
      <c r="F558" t="str">
        <f t="shared" si="5"/>
        <v>matt hudspeath</v>
      </c>
      <c r="G558" s="40" t="str">
        <f>VLOOKUP(F558,'Manager Coding'!C:D,2,0)</f>
        <v>Hudspeath</v>
      </c>
      <c r="H558" s="41">
        <f t="shared" si="6"/>
        <v>91.26</v>
      </c>
      <c r="I558" t="str">
        <f t="shared" si="7"/>
        <v>Michael Fellows</v>
      </c>
      <c r="J558" t="str">
        <f>VLOOKUP(I558,'Manager Coding'!C:D,2,0)</f>
        <v>Fellows</v>
      </c>
      <c r="K558" s="41">
        <f t="shared" si="8"/>
        <v>110.08</v>
      </c>
      <c r="L558">
        <f t="shared" si="9"/>
        <v>0</v>
      </c>
      <c r="M558">
        <f t="shared" si="10"/>
        <v>1</v>
      </c>
      <c r="N558" s="95" t="s">
        <v>1482</v>
      </c>
      <c r="O558" s="96" t="s">
        <v>64</v>
      </c>
      <c r="P558" s="104">
        <v>91.26</v>
      </c>
      <c r="Q558" s="105">
        <v>110.08</v>
      </c>
      <c r="R558" s="103" t="s">
        <v>80</v>
      </c>
      <c r="S558" s="95" t="s">
        <v>1463</v>
      </c>
      <c r="T558">
        <f t="shared" si="11"/>
        <v>18.82</v>
      </c>
    </row>
    <row r="559" hidden="1">
      <c r="A559" s="32" t="str">
        <f t="shared" si="1"/>
        <v>2021CockWeek 5</v>
      </c>
      <c r="B559" s="32" t="str">
        <f t="shared" si="2"/>
        <v>2021BuserWeek 5</v>
      </c>
      <c r="C559" s="32" t="str">
        <f t="shared" si="3"/>
        <v>Week 5</v>
      </c>
      <c r="D559" s="32">
        <v>2021.0</v>
      </c>
      <c r="E559" t="str">
        <f t="shared" si="4"/>
        <v>5</v>
      </c>
      <c r="F559" t="str">
        <f t="shared" si="5"/>
        <v>Jack Babcock, Chris Cochrane</v>
      </c>
      <c r="G559" s="40" t="str">
        <f>VLOOKUP(F559,'Manager Coding'!C:D,2,0)</f>
        <v>Cock</v>
      </c>
      <c r="H559" s="41">
        <f t="shared" si="6"/>
        <v>54.22</v>
      </c>
      <c r="I559" t="str">
        <f t="shared" si="7"/>
        <v>Ed Buser</v>
      </c>
      <c r="J559" t="str">
        <f>VLOOKUP(I559,'Manager Coding'!C:D,2,0)</f>
        <v>Buser</v>
      </c>
      <c r="K559" s="41">
        <f t="shared" si="8"/>
        <v>140.42</v>
      </c>
      <c r="L559">
        <f t="shared" si="9"/>
        <v>0</v>
      </c>
      <c r="M559">
        <f t="shared" si="10"/>
        <v>1</v>
      </c>
      <c r="N559" s="100" t="s">
        <v>1477</v>
      </c>
      <c r="O559" s="101" t="s">
        <v>73</v>
      </c>
      <c r="P559" s="104">
        <v>54.22</v>
      </c>
      <c r="Q559" s="105">
        <v>140.42</v>
      </c>
      <c r="R559" s="102" t="s">
        <v>50</v>
      </c>
      <c r="S559" s="100" t="s">
        <v>1454</v>
      </c>
      <c r="T559">
        <f t="shared" si="11"/>
        <v>86.2</v>
      </c>
    </row>
    <row r="560" hidden="1">
      <c r="A560" s="32" t="str">
        <f t="shared" si="1"/>
        <v>2021RileyWeek 5</v>
      </c>
      <c r="B560" s="32" t="str">
        <f t="shared" si="2"/>
        <v>2021Rooney/JacksonWeek 5</v>
      </c>
      <c r="C560" s="32" t="str">
        <f t="shared" si="3"/>
        <v>Week 5</v>
      </c>
      <c r="D560" s="32">
        <v>2021.0</v>
      </c>
      <c r="E560" t="str">
        <f t="shared" si="4"/>
        <v>5</v>
      </c>
      <c r="F560" t="str">
        <f t="shared" si="5"/>
        <v>Riley McElwain</v>
      </c>
      <c r="G560" s="40" t="str">
        <f>VLOOKUP(F560,'Manager Coding'!C:D,2,0)</f>
        <v>Riley</v>
      </c>
      <c r="H560" s="41">
        <f t="shared" si="6"/>
        <v>122.58</v>
      </c>
      <c r="I560" t="str">
        <f t="shared" si="7"/>
        <v>Stephen Rooney, Jackson Sattell</v>
      </c>
      <c r="J560" t="str">
        <f>VLOOKUP(I560,'Manager Coding'!C:D,2,0)</f>
        <v>Rooney/Jackson</v>
      </c>
      <c r="K560" s="41">
        <f t="shared" si="8"/>
        <v>86.56</v>
      </c>
      <c r="L560">
        <f t="shared" si="9"/>
        <v>1</v>
      </c>
      <c r="M560">
        <f t="shared" si="10"/>
        <v>0</v>
      </c>
      <c r="N560" s="95" t="s">
        <v>1470</v>
      </c>
      <c r="O560" s="96" t="s">
        <v>68</v>
      </c>
      <c r="P560" s="97">
        <v>122.58</v>
      </c>
      <c r="Q560" s="98">
        <v>86.56</v>
      </c>
      <c r="R560" s="103" t="s">
        <v>58</v>
      </c>
      <c r="S560" s="95" t="s">
        <v>1453</v>
      </c>
      <c r="T560">
        <f t="shared" si="11"/>
        <v>36.02</v>
      </c>
    </row>
    <row r="561" hidden="1">
      <c r="A561" s="32" t="str">
        <f t="shared" si="1"/>
        <v>2021KnardDawgWeek 5</v>
      </c>
      <c r="B561" s="32" t="str">
        <f t="shared" si="2"/>
        <v>2021PiersonWeek 5</v>
      </c>
      <c r="C561" s="32" t="str">
        <f t="shared" si="3"/>
        <v>Week 5</v>
      </c>
      <c r="D561" s="32">
        <v>2021.0</v>
      </c>
      <c r="E561" t="str">
        <f t="shared" si="4"/>
        <v>5</v>
      </c>
      <c r="F561" t="str">
        <f t="shared" si="5"/>
        <v>Alex Kinniard, Jack Reilly</v>
      </c>
      <c r="G561" s="40" t="str">
        <f>VLOOKUP(F561,'Manager Coding'!C:D,2,0)</f>
        <v>KnardDawg</v>
      </c>
      <c r="H561" s="41">
        <f t="shared" si="6"/>
        <v>88.78</v>
      </c>
      <c r="I561" t="str">
        <f t="shared" si="7"/>
        <v>Pierson Curtis</v>
      </c>
      <c r="J561" t="str">
        <f>VLOOKUP(I561,'Manager Coding'!C:D,2,0)</f>
        <v>Pierson</v>
      </c>
      <c r="K561" s="41">
        <f t="shared" si="8"/>
        <v>129.84</v>
      </c>
      <c r="L561">
        <f t="shared" si="9"/>
        <v>0</v>
      </c>
      <c r="M561">
        <f t="shared" si="10"/>
        <v>1</v>
      </c>
      <c r="N561" s="100" t="s">
        <v>1464</v>
      </c>
      <c r="O561" s="101" t="s">
        <v>87</v>
      </c>
      <c r="P561" s="104">
        <v>88.78</v>
      </c>
      <c r="Q561" s="105">
        <v>129.84</v>
      </c>
      <c r="R561" s="102" t="s">
        <v>93</v>
      </c>
      <c r="S561" s="100" t="s">
        <v>1457</v>
      </c>
      <c r="T561">
        <f t="shared" si="11"/>
        <v>41.06</v>
      </c>
    </row>
    <row r="562" hidden="1">
      <c r="A562" s="32" t="str">
        <f t="shared" si="1"/>
        <v>#N/A</v>
      </c>
      <c r="B562" s="32" t="str">
        <f t="shared" si="2"/>
        <v>#N/A</v>
      </c>
      <c r="C562" s="32" t="str">
        <f t="shared" si="3"/>
        <v>Week 5</v>
      </c>
      <c r="D562" s="32">
        <v>2021.0</v>
      </c>
      <c r="E562" t="str">
        <f t="shared" si="4"/>
        <v>5</v>
      </c>
      <c r="F562" t="str">
        <f t="shared" si="5"/>
        <v/>
      </c>
      <c r="G562" s="40" t="str">
        <f>VLOOKUP(F562,'Manager Coding'!C:D,2,0)</f>
        <v>#N/A</v>
      </c>
      <c r="H562" s="41" t="str">
        <f t="shared" si="6"/>
        <v/>
      </c>
      <c r="I562" t="str">
        <f t="shared" si="7"/>
        <v/>
      </c>
      <c r="J562" t="str">
        <f>VLOOKUP(I562,'Manager Coding'!C:D,2,0)</f>
        <v>#N/A</v>
      </c>
      <c r="K562" s="41" t="str">
        <f t="shared" si="8"/>
        <v/>
      </c>
      <c r="L562">
        <f t="shared" si="9"/>
        <v>0</v>
      </c>
      <c r="M562">
        <f t="shared" si="10"/>
        <v>0</v>
      </c>
      <c r="N562" s="91" t="s">
        <v>321</v>
      </c>
      <c r="P562" s="41"/>
      <c r="Q562" s="41"/>
      <c r="T562">
        <f t="shared" si="11"/>
        <v>0</v>
      </c>
    </row>
    <row r="563" hidden="1">
      <c r="A563" s="32" t="str">
        <f t="shared" si="1"/>
        <v>#N/A</v>
      </c>
      <c r="B563" s="32" t="str">
        <f t="shared" si="2"/>
        <v>#N/A</v>
      </c>
      <c r="C563" s="32" t="str">
        <f t="shared" si="3"/>
        <v>Week 6</v>
      </c>
      <c r="D563" s="32">
        <v>2021.0</v>
      </c>
      <c r="E563" t="str">
        <f t="shared" si="4"/>
        <v>6</v>
      </c>
      <c r="F563" t="str">
        <f t="shared" si="5"/>
        <v/>
      </c>
      <c r="G563" s="40" t="str">
        <f>VLOOKUP(F563,'Manager Coding'!C:D,2,0)</f>
        <v>#N/A</v>
      </c>
      <c r="H563" s="41" t="str">
        <f t="shared" si="6"/>
        <v/>
      </c>
      <c r="I563" t="str">
        <f t="shared" si="7"/>
        <v/>
      </c>
      <c r="J563" t="str">
        <f>VLOOKUP(I563,'Manager Coding'!C:D,2,0)</f>
        <v>#N/A</v>
      </c>
      <c r="K563" s="41" t="str">
        <f t="shared" si="8"/>
        <v/>
      </c>
      <c r="L563">
        <f t="shared" si="9"/>
        <v>0</v>
      </c>
      <c r="M563">
        <f t="shared" si="10"/>
        <v>0</v>
      </c>
      <c r="N563" s="92" t="s">
        <v>1486</v>
      </c>
      <c r="P563" s="41"/>
      <c r="Q563" s="41"/>
      <c r="T563">
        <f t="shared" si="11"/>
        <v>0</v>
      </c>
    </row>
    <row r="564" hidden="1">
      <c r="A564" s="32" t="str">
        <f t="shared" si="1"/>
        <v>#N/A</v>
      </c>
      <c r="B564" s="32" t="str">
        <f t="shared" si="2"/>
        <v>#N/A</v>
      </c>
      <c r="C564" s="32" t="str">
        <f t="shared" si="3"/>
        <v>Week 6</v>
      </c>
      <c r="D564" s="32">
        <v>2021.0</v>
      </c>
      <c r="E564" t="str">
        <f t="shared" si="4"/>
        <v>6</v>
      </c>
      <c r="F564" t="str">
        <f t="shared" si="5"/>
        <v>TEAM MANAGER(S)</v>
      </c>
      <c r="G564" s="40" t="str">
        <f>VLOOKUP(F564,'Manager Coding'!C:D,2,0)</f>
        <v>#N/A</v>
      </c>
      <c r="H564" s="41" t="str">
        <f t="shared" si="6"/>
        <v>SCORE</v>
      </c>
      <c r="I564" t="str">
        <f t="shared" si="7"/>
        <v>TEAM MANAGER(S)</v>
      </c>
      <c r="J564" t="str">
        <f>VLOOKUP(I564,'Manager Coding'!C:D,2,0)</f>
        <v>#N/A</v>
      </c>
      <c r="K564" s="41" t="str">
        <f t="shared" si="8"/>
        <v>SCORE</v>
      </c>
      <c r="L564">
        <f t="shared" si="9"/>
        <v>0</v>
      </c>
      <c r="M564">
        <f t="shared" si="10"/>
        <v>0</v>
      </c>
      <c r="N564" s="93" t="s">
        <v>197</v>
      </c>
      <c r="O564" s="93" t="s">
        <v>88</v>
      </c>
      <c r="P564" s="94" t="s">
        <v>94</v>
      </c>
      <c r="Q564" s="93" t="s">
        <v>94</v>
      </c>
      <c r="R564" s="94" t="s">
        <v>88</v>
      </c>
      <c r="S564" s="94" t="s">
        <v>101</v>
      </c>
      <c r="T564">
        <f t="shared" si="11"/>
        <v>0</v>
      </c>
    </row>
    <row r="565" hidden="1">
      <c r="A565" s="32" t="str">
        <f t="shared" si="1"/>
        <v>2021T-HowWeek 6</v>
      </c>
      <c r="B565" s="32" t="str">
        <f t="shared" si="2"/>
        <v>2021SaltyWeek 6</v>
      </c>
      <c r="C565" s="32" t="str">
        <f t="shared" si="3"/>
        <v>Week 6</v>
      </c>
      <c r="D565" s="32">
        <v>2021.0</v>
      </c>
      <c r="E565" t="str">
        <f t="shared" si="4"/>
        <v>6</v>
      </c>
      <c r="F565" t="str">
        <f t="shared" si="5"/>
        <v>Tyler Howard</v>
      </c>
      <c r="G565" s="40" t="str">
        <f>VLOOKUP(F565,'Manager Coding'!C:D,2,0)</f>
        <v>T-How</v>
      </c>
      <c r="H565" s="41">
        <f t="shared" si="6"/>
        <v>98.78</v>
      </c>
      <c r="I565" t="str">
        <f t="shared" si="7"/>
        <v>R Saltiel</v>
      </c>
      <c r="J565" t="str">
        <f>VLOOKUP(I565,'Manager Coding'!C:D,2,0)</f>
        <v>Salty</v>
      </c>
      <c r="K565" s="41">
        <f t="shared" si="8"/>
        <v>117.32</v>
      </c>
      <c r="L565">
        <f t="shared" si="9"/>
        <v>0</v>
      </c>
      <c r="M565">
        <f t="shared" si="10"/>
        <v>1</v>
      </c>
      <c r="N565" s="95" t="s">
        <v>1480</v>
      </c>
      <c r="O565" s="96" t="s">
        <v>85</v>
      </c>
      <c r="P565" s="104">
        <v>98.78</v>
      </c>
      <c r="Q565" s="105">
        <v>117.32</v>
      </c>
      <c r="R565" s="99" t="s">
        <v>77</v>
      </c>
      <c r="S565" s="95" t="s">
        <v>1447</v>
      </c>
      <c r="T565">
        <f t="shared" si="11"/>
        <v>18.54</v>
      </c>
    </row>
    <row r="566" hidden="1">
      <c r="A566" s="32" t="str">
        <f t="shared" si="1"/>
        <v>2021ShepWeek 6</v>
      </c>
      <c r="B566" s="32" t="str">
        <f t="shared" si="2"/>
        <v>2021HudspeathWeek 6</v>
      </c>
      <c r="C566" s="32" t="str">
        <f t="shared" si="3"/>
        <v>Week 6</v>
      </c>
      <c r="D566" s="32">
        <v>2021.0</v>
      </c>
      <c r="E566" t="str">
        <f t="shared" si="4"/>
        <v>6</v>
      </c>
      <c r="F566" t="str">
        <f t="shared" si="5"/>
        <v>Jordan Shepherd</v>
      </c>
      <c r="G566" s="40" t="str">
        <f>VLOOKUP(F566,'Manager Coding'!C:D,2,0)</f>
        <v>Shep</v>
      </c>
      <c r="H566" s="41">
        <f t="shared" si="6"/>
        <v>72.58</v>
      </c>
      <c r="I566" t="str">
        <f t="shared" si="7"/>
        <v>matt hudspeath</v>
      </c>
      <c r="J566" t="str">
        <f>VLOOKUP(I566,'Manager Coding'!C:D,2,0)</f>
        <v>Hudspeath</v>
      </c>
      <c r="K566" s="41">
        <f t="shared" si="8"/>
        <v>97.2</v>
      </c>
      <c r="L566">
        <f t="shared" si="9"/>
        <v>0</v>
      </c>
      <c r="M566">
        <f t="shared" si="10"/>
        <v>1</v>
      </c>
      <c r="N566" s="100" t="s">
        <v>1476</v>
      </c>
      <c r="O566" s="101" t="s">
        <v>91</v>
      </c>
      <c r="P566" s="104">
        <v>72.58</v>
      </c>
      <c r="Q566" s="105">
        <v>97.2</v>
      </c>
      <c r="R566" s="102" t="s">
        <v>64</v>
      </c>
      <c r="S566" s="100" t="s">
        <v>1482</v>
      </c>
      <c r="T566">
        <f t="shared" si="11"/>
        <v>24.62</v>
      </c>
    </row>
    <row r="567" hidden="1">
      <c r="A567" s="32" t="str">
        <f t="shared" si="1"/>
        <v>2021TayskiWeek 6</v>
      </c>
      <c r="B567" s="32" t="str">
        <f t="shared" si="2"/>
        <v>2021CockWeek 6</v>
      </c>
      <c r="C567" s="32" t="str">
        <f t="shared" si="3"/>
        <v>Week 6</v>
      </c>
      <c r="D567" s="32">
        <v>2021.0</v>
      </c>
      <c r="E567" t="str">
        <f t="shared" si="4"/>
        <v>6</v>
      </c>
      <c r="F567" t="str">
        <f t="shared" si="5"/>
        <v>Taylor Weis</v>
      </c>
      <c r="G567" s="40" t="str">
        <f>VLOOKUP(F567,'Manager Coding'!C:D,2,0)</f>
        <v>Tayski</v>
      </c>
      <c r="H567" s="41">
        <f t="shared" si="6"/>
        <v>104.94</v>
      </c>
      <c r="I567" t="str">
        <f t="shared" si="7"/>
        <v>Jack Babcock, Chris Cochrane</v>
      </c>
      <c r="J567" t="str">
        <f>VLOOKUP(I567,'Manager Coding'!C:D,2,0)</f>
        <v>Cock</v>
      </c>
      <c r="K567" s="41">
        <f t="shared" si="8"/>
        <v>64.3</v>
      </c>
      <c r="L567">
        <f t="shared" si="9"/>
        <v>1</v>
      </c>
      <c r="M567">
        <f t="shared" si="10"/>
        <v>0</v>
      </c>
      <c r="N567" s="95" t="s">
        <v>1467</v>
      </c>
      <c r="O567" s="96" t="s">
        <v>54</v>
      </c>
      <c r="P567" s="97">
        <v>104.94</v>
      </c>
      <c r="Q567" s="98">
        <v>64.3</v>
      </c>
      <c r="R567" s="103" t="s">
        <v>73</v>
      </c>
      <c r="S567" s="95" t="s">
        <v>1477</v>
      </c>
      <c r="T567">
        <f t="shared" si="11"/>
        <v>40.64</v>
      </c>
    </row>
    <row r="568" hidden="1">
      <c r="A568" s="32" t="str">
        <f t="shared" si="1"/>
        <v>2021FellowsWeek 6</v>
      </c>
      <c r="B568" s="32" t="str">
        <f t="shared" si="2"/>
        <v>2021RileyWeek 6</v>
      </c>
      <c r="C568" s="32" t="str">
        <f t="shared" si="3"/>
        <v>Week 6</v>
      </c>
      <c r="D568" s="32">
        <v>2021.0</v>
      </c>
      <c r="E568" t="str">
        <f t="shared" si="4"/>
        <v>6</v>
      </c>
      <c r="F568" t="str">
        <f t="shared" si="5"/>
        <v>Michael Fellows</v>
      </c>
      <c r="G568" s="40" t="str">
        <f>VLOOKUP(F568,'Manager Coding'!C:D,2,0)</f>
        <v>Fellows</v>
      </c>
      <c r="H568" s="41">
        <f t="shared" si="6"/>
        <v>91.04</v>
      </c>
      <c r="I568" t="str">
        <f t="shared" si="7"/>
        <v>Riley McElwain</v>
      </c>
      <c r="J568" t="str">
        <f>VLOOKUP(I568,'Manager Coding'!C:D,2,0)</f>
        <v>Riley</v>
      </c>
      <c r="K568" s="41">
        <f t="shared" si="8"/>
        <v>121.8</v>
      </c>
      <c r="L568">
        <f t="shared" si="9"/>
        <v>0</v>
      </c>
      <c r="M568">
        <f t="shared" si="10"/>
        <v>1</v>
      </c>
      <c r="N568" s="100" t="s">
        <v>1463</v>
      </c>
      <c r="O568" s="101" t="s">
        <v>80</v>
      </c>
      <c r="P568" s="104">
        <v>91.04</v>
      </c>
      <c r="Q568" s="105">
        <v>121.8</v>
      </c>
      <c r="R568" s="102" t="s">
        <v>68</v>
      </c>
      <c r="S568" s="100" t="s">
        <v>1470</v>
      </c>
      <c r="T568">
        <f t="shared" si="11"/>
        <v>30.76</v>
      </c>
    </row>
    <row r="569" hidden="1">
      <c r="A569" s="32" t="str">
        <f t="shared" si="1"/>
        <v>2021BuserWeek 6</v>
      </c>
      <c r="B569" s="32" t="str">
        <f t="shared" si="2"/>
        <v>2021KnardDawgWeek 6</v>
      </c>
      <c r="C569" s="32" t="str">
        <f t="shared" si="3"/>
        <v>Week 6</v>
      </c>
      <c r="D569" s="32">
        <v>2021.0</v>
      </c>
      <c r="E569" t="str">
        <f t="shared" si="4"/>
        <v>6</v>
      </c>
      <c r="F569" t="str">
        <f t="shared" si="5"/>
        <v>Ed Buser</v>
      </c>
      <c r="G569" s="40" t="str">
        <f>VLOOKUP(F569,'Manager Coding'!C:D,2,0)</f>
        <v>Buser</v>
      </c>
      <c r="H569" s="41">
        <f t="shared" si="6"/>
        <v>114.3</v>
      </c>
      <c r="I569" t="str">
        <f t="shared" si="7"/>
        <v>Alex Kinniard, Jack Reilly</v>
      </c>
      <c r="J569" t="str">
        <f>VLOOKUP(I569,'Manager Coding'!C:D,2,0)</f>
        <v>KnardDawg</v>
      </c>
      <c r="K569" s="41">
        <f t="shared" si="8"/>
        <v>112.46</v>
      </c>
      <c r="L569">
        <f t="shared" si="9"/>
        <v>1</v>
      </c>
      <c r="M569">
        <f t="shared" si="10"/>
        <v>0</v>
      </c>
      <c r="N569" s="95" t="s">
        <v>1454</v>
      </c>
      <c r="O569" s="96" t="s">
        <v>50</v>
      </c>
      <c r="P569" s="97">
        <v>114.3</v>
      </c>
      <c r="Q569" s="98">
        <v>112.46</v>
      </c>
      <c r="R569" s="103" t="s">
        <v>87</v>
      </c>
      <c r="S569" s="95" t="s">
        <v>1464</v>
      </c>
      <c r="T569">
        <f t="shared" si="11"/>
        <v>1.84</v>
      </c>
    </row>
    <row r="570" hidden="1">
      <c r="A570" s="32" t="str">
        <f t="shared" si="1"/>
        <v>2021Rooney/JacksonWeek 6</v>
      </c>
      <c r="B570" s="32" t="str">
        <f t="shared" si="2"/>
        <v>2021PiersonWeek 6</v>
      </c>
      <c r="C570" s="32" t="str">
        <f t="shared" si="3"/>
        <v>Week 6</v>
      </c>
      <c r="D570" s="32">
        <v>2021.0</v>
      </c>
      <c r="E570" t="str">
        <f t="shared" si="4"/>
        <v>6</v>
      </c>
      <c r="F570" t="str">
        <f t="shared" si="5"/>
        <v>Stephen Rooney, Jackson Sattell</v>
      </c>
      <c r="G570" s="40" t="str">
        <f>VLOOKUP(F570,'Manager Coding'!C:D,2,0)</f>
        <v>Rooney/Jackson</v>
      </c>
      <c r="H570" s="41">
        <f t="shared" si="6"/>
        <v>95.26</v>
      </c>
      <c r="I570" t="str">
        <f t="shared" si="7"/>
        <v>Pierson Curtis</v>
      </c>
      <c r="J570" t="str">
        <f>VLOOKUP(I570,'Manager Coding'!C:D,2,0)</f>
        <v>Pierson</v>
      </c>
      <c r="K570" s="41">
        <f t="shared" si="8"/>
        <v>71.38</v>
      </c>
      <c r="L570">
        <f t="shared" si="9"/>
        <v>1</v>
      </c>
      <c r="M570">
        <f t="shared" si="10"/>
        <v>0</v>
      </c>
      <c r="N570" s="100" t="s">
        <v>1453</v>
      </c>
      <c r="O570" s="101" t="s">
        <v>58</v>
      </c>
      <c r="P570" s="97">
        <v>95.26</v>
      </c>
      <c r="Q570" s="98">
        <v>71.38</v>
      </c>
      <c r="R570" s="102" t="s">
        <v>93</v>
      </c>
      <c r="S570" s="100" t="s">
        <v>1457</v>
      </c>
      <c r="T570">
        <f t="shared" si="11"/>
        <v>23.88</v>
      </c>
    </row>
    <row r="571" hidden="1">
      <c r="A571" s="32" t="str">
        <f t="shared" si="1"/>
        <v>#N/A</v>
      </c>
      <c r="B571" s="32" t="str">
        <f t="shared" si="2"/>
        <v>#N/A</v>
      </c>
      <c r="C571" s="32" t="str">
        <f t="shared" si="3"/>
        <v>Week 6</v>
      </c>
      <c r="D571" s="32">
        <v>2021.0</v>
      </c>
      <c r="E571" t="str">
        <f t="shared" si="4"/>
        <v>6</v>
      </c>
      <c r="F571" t="str">
        <f t="shared" si="5"/>
        <v/>
      </c>
      <c r="G571" s="40" t="str">
        <f>VLOOKUP(F571,'Manager Coding'!C:D,2,0)</f>
        <v>#N/A</v>
      </c>
      <c r="H571" s="41" t="str">
        <f t="shared" si="6"/>
        <v/>
      </c>
      <c r="I571" t="str">
        <f t="shared" si="7"/>
        <v/>
      </c>
      <c r="J571" t="str">
        <f>VLOOKUP(I571,'Manager Coding'!C:D,2,0)</f>
        <v>#N/A</v>
      </c>
      <c r="K571" s="41" t="str">
        <f t="shared" si="8"/>
        <v/>
      </c>
      <c r="L571">
        <f t="shared" si="9"/>
        <v>0</v>
      </c>
      <c r="M571">
        <f t="shared" si="10"/>
        <v>0</v>
      </c>
      <c r="N571" s="91" t="s">
        <v>340</v>
      </c>
      <c r="P571" s="41"/>
      <c r="Q571" s="41"/>
      <c r="T571">
        <f t="shared" si="11"/>
        <v>0</v>
      </c>
    </row>
    <row r="572" hidden="1">
      <c r="A572" s="32" t="str">
        <f t="shared" si="1"/>
        <v>#N/A</v>
      </c>
      <c r="B572" s="32" t="str">
        <f t="shared" si="2"/>
        <v>#N/A</v>
      </c>
      <c r="C572" s="32" t="str">
        <f t="shared" si="3"/>
        <v>Week 7</v>
      </c>
      <c r="D572" s="32">
        <v>2021.0</v>
      </c>
      <c r="E572" t="str">
        <f t="shared" si="4"/>
        <v>7</v>
      </c>
      <c r="F572" t="str">
        <f t="shared" si="5"/>
        <v/>
      </c>
      <c r="G572" s="40" t="str">
        <f>VLOOKUP(F572,'Manager Coding'!C:D,2,0)</f>
        <v>#N/A</v>
      </c>
      <c r="H572" s="41" t="str">
        <f t="shared" si="6"/>
        <v/>
      </c>
      <c r="I572" t="str">
        <f t="shared" si="7"/>
        <v/>
      </c>
      <c r="J572" t="str">
        <f>VLOOKUP(I572,'Manager Coding'!C:D,2,0)</f>
        <v>#N/A</v>
      </c>
      <c r="K572" s="41" t="str">
        <f t="shared" si="8"/>
        <v/>
      </c>
      <c r="L572">
        <f t="shared" si="9"/>
        <v>0</v>
      </c>
      <c r="M572">
        <f t="shared" si="10"/>
        <v>0</v>
      </c>
      <c r="N572" s="92" t="s">
        <v>1486</v>
      </c>
      <c r="P572" s="41"/>
      <c r="Q572" s="41"/>
      <c r="T572">
        <f t="shared" si="11"/>
        <v>0</v>
      </c>
    </row>
    <row r="573" hidden="1">
      <c r="A573" s="32" t="str">
        <f t="shared" si="1"/>
        <v>#N/A</v>
      </c>
      <c r="B573" s="32" t="str">
        <f t="shared" si="2"/>
        <v>#N/A</v>
      </c>
      <c r="C573" s="32" t="str">
        <f t="shared" si="3"/>
        <v>Week 7</v>
      </c>
      <c r="D573" s="32">
        <v>2021.0</v>
      </c>
      <c r="E573" t="str">
        <f t="shared" si="4"/>
        <v>7</v>
      </c>
      <c r="F573" t="str">
        <f t="shared" si="5"/>
        <v>TEAM MANAGER(S)</v>
      </c>
      <c r="G573" s="40" t="str">
        <f>VLOOKUP(F573,'Manager Coding'!C:D,2,0)</f>
        <v>#N/A</v>
      </c>
      <c r="H573" s="41" t="str">
        <f t="shared" si="6"/>
        <v>SCORE</v>
      </c>
      <c r="I573" t="str">
        <f t="shared" si="7"/>
        <v>TEAM MANAGER(S)</v>
      </c>
      <c r="J573" t="str">
        <f>VLOOKUP(I573,'Manager Coding'!C:D,2,0)</f>
        <v>#N/A</v>
      </c>
      <c r="K573" s="41" t="str">
        <f t="shared" si="8"/>
        <v>SCORE</v>
      </c>
      <c r="L573">
        <f t="shared" si="9"/>
        <v>0</v>
      </c>
      <c r="M573">
        <f t="shared" si="10"/>
        <v>0</v>
      </c>
      <c r="N573" s="93" t="s">
        <v>197</v>
      </c>
      <c r="O573" s="93" t="s">
        <v>88</v>
      </c>
      <c r="P573" s="94" t="s">
        <v>94</v>
      </c>
      <c r="Q573" s="93" t="s">
        <v>94</v>
      </c>
      <c r="R573" s="94" t="s">
        <v>88</v>
      </c>
      <c r="S573" s="94" t="s">
        <v>101</v>
      </c>
      <c r="T573">
        <f t="shared" si="11"/>
        <v>0</v>
      </c>
    </row>
    <row r="574" hidden="1">
      <c r="A574" s="32" t="str">
        <f t="shared" si="1"/>
        <v>2021SaltyWeek 7</v>
      </c>
      <c r="B574" s="32" t="str">
        <f t="shared" si="2"/>
        <v>2021HudspeathWeek 7</v>
      </c>
      <c r="C574" s="32" t="str">
        <f t="shared" si="3"/>
        <v>Week 7</v>
      </c>
      <c r="D574" s="32">
        <v>2021.0</v>
      </c>
      <c r="E574" t="str">
        <f t="shared" si="4"/>
        <v>7</v>
      </c>
      <c r="F574" t="str">
        <f t="shared" si="5"/>
        <v>R Saltiel</v>
      </c>
      <c r="G574" s="40" t="str">
        <f>VLOOKUP(F574,'Manager Coding'!C:D,2,0)</f>
        <v>Salty</v>
      </c>
      <c r="H574" s="41">
        <f t="shared" si="6"/>
        <v>98.64</v>
      </c>
      <c r="I574" t="str">
        <f t="shared" si="7"/>
        <v>matt hudspeath</v>
      </c>
      <c r="J574" t="str">
        <f>VLOOKUP(I574,'Manager Coding'!C:D,2,0)</f>
        <v>Hudspeath</v>
      </c>
      <c r="K574" s="41">
        <f t="shared" si="8"/>
        <v>72.26</v>
      </c>
      <c r="L574">
        <f t="shared" si="9"/>
        <v>1</v>
      </c>
      <c r="M574">
        <f t="shared" si="10"/>
        <v>0</v>
      </c>
      <c r="N574" s="95" t="s">
        <v>1447</v>
      </c>
      <c r="O574" s="106" t="s">
        <v>77</v>
      </c>
      <c r="P574" s="97">
        <v>98.64</v>
      </c>
      <c r="Q574" s="98">
        <v>72.26</v>
      </c>
      <c r="R574" s="103" t="s">
        <v>64</v>
      </c>
      <c r="S574" s="95" t="s">
        <v>1482</v>
      </c>
      <c r="T574">
        <f t="shared" si="11"/>
        <v>26.38</v>
      </c>
    </row>
    <row r="575" hidden="1">
      <c r="A575" s="32" t="str">
        <f t="shared" si="1"/>
        <v>2021CockWeek 7</v>
      </c>
      <c r="B575" s="32" t="str">
        <f t="shared" si="2"/>
        <v>2021T-HowWeek 7</v>
      </c>
      <c r="C575" s="32" t="str">
        <f t="shared" si="3"/>
        <v>Week 7</v>
      </c>
      <c r="D575" s="32">
        <v>2021.0</v>
      </c>
      <c r="E575" t="str">
        <f t="shared" si="4"/>
        <v>7</v>
      </c>
      <c r="F575" t="str">
        <f t="shared" si="5"/>
        <v>Jack Babcock, Chris Cochrane</v>
      </c>
      <c r="G575" s="40" t="str">
        <f>VLOOKUP(F575,'Manager Coding'!C:D,2,0)</f>
        <v>Cock</v>
      </c>
      <c r="H575" s="41">
        <f t="shared" si="6"/>
        <v>93.24</v>
      </c>
      <c r="I575" t="str">
        <f t="shared" si="7"/>
        <v>Tyler Howard</v>
      </c>
      <c r="J575" t="str">
        <f>VLOOKUP(I575,'Manager Coding'!C:D,2,0)</f>
        <v>T-How</v>
      </c>
      <c r="K575" s="41">
        <f t="shared" si="8"/>
        <v>114.24</v>
      </c>
      <c r="L575">
        <f t="shared" si="9"/>
        <v>0</v>
      </c>
      <c r="M575">
        <f t="shared" si="10"/>
        <v>1</v>
      </c>
      <c r="N575" s="100" t="s">
        <v>1477</v>
      </c>
      <c r="O575" s="101" t="s">
        <v>73</v>
      </c>
      <c r="P575" s="104">
        <v>93.24</v>
      </c>
      <c r="Q575" s="105">
        <v>114.24</v>
      </c>
      <c r="R575" s="102" t="s">
        <v>85</v>
      </c>
      <c r="S575" s="100" t="s">
        <v>1480</v>
      </c>
      <c r="T575">
        <f t="shared" si="11"/>
        <v>21</v>
      </c>
    </row>
    <row r="576" hidden="1">
      <c r="A576" s="32" t="str">
        <f t="shared" si="1"/>
        <v>2021RileyWeek 7</v>
      </c>
      <c r="B576" s="32" t="str">
        <f t="shared" si="2"/>
        <v>2021ShepWeek 7</v>
      </c>
      <c r="C576" s="32" t="str">
        <f t="shared" si="3"/>
        <v>Week 7</v>
      </c>
      <c r="D576" s="32">
        <v>2021.0</v>
      </c>
      <c r="E576" t="str">
        <f t="shared" si="4"/>
        <v>7</v>
      </c>
      <c r="F576" t="str">
        <f t="shared" si="5"/>
        <v>Riley McElwain</v>
      </c>
      <c r="G576" s="40" t="str">
        <f>VLOOKUP(F576,'Manager Coding'!C:D,2,0)</f>
        <v>Riley</v>
      </c>
      <c r="H576" s="41">
        <f t="shared" si="6"/>
        <v>95.42</v>
      </c>
      <c r="I576" t="str">
        <f t="shared" si="7"/>
        <v>Jordan Shepherd</v>
      </c>
      <c r="J576" t="str">
        <f>VLOOKUP(I576,'Manager Coding'!C:D,2,0)</f>
        <v>Shep</v>
      </c>
      <c r="K576" s="41">
        <f t="shared" si="8"/>
        <v>100.98</v>
      </c>
      <c r="L576">
        <f t="shared" si="9"/>
        <v>0</v>
      </c>
      <c r="M576">
        <f t="shared" si="10"/>
        <v>1</v>
      </c>
      <c r="N576" s="95" t="s">
        <v>1470</v>
      </c>
      <c r="O576" s="96" t="s">
        <v>68</v>
      </c>
      <c r="P576" s="104">
        <v>95.42</v>
      </c>
      <c r="Q576" s="105">
        <v>100.98</v>
      </c>
      <c r="R576" s="103" t="s">
        <v>91</v>
      </c>
      <c r="S576" s="95" t="s">
        <v>1476</v>
      </c>
      <c r="T576">
        <f t="shared" si="11"/>
        <v>5.56</v>
      </c>
    </row>
    <row r="577" hidden="1">
      <c r="A577" s="32" t="str">
        <f t="shared" si="1"/>
        <v>2021KnardDawgWeek 7</v>
      </c>
      <c r="B577" s="32" t="str">
        <f t="shared" si="2"/>
        <v>2021TayskiWeek 7</v>
      </c>
      <c r="C577" s="32" t="str">
        <f t="shared" si="3"/>
        <v>Week 7</v>
      </c>
      <c r="D577" s="32">
        <v>2021.0</v>
      </c>
      <c r="E577" t="str">
        <f t="shared" si="4"/>
        <v>7</v>
      </c>
      <c r="F577" t="str">
        <f t="shared" si="5"/>
        <v>Alex Kinniard, Jack Reilly</v>
      </c>
      <c r="G577" s="40" t="str">
        <f>VLOOKUP(F577,'Manager Coding'!C:D,2,0)</f>
        <v>KnardDawg</v>
      </c>
      <c r="H577" s="41">
        <f t="shared" si="6"/>
        <v>70.14</v>
      </c>
      <c r="I577" t="str">
        <f t="shared" si="7"/>
        <v>Taylor Weis</v>
      </c>
      <c r="J577" t="str">
        <f>VLOOKUP(I577,'Manager Coding'!C:D,2,0)</f>
        <v>Tayski</v>
      </c>
      <c r="K577" s="41">
        <f t="shared" si="8"/>
        <v>95.76</v>
      </c>
      <c r="L577">
        <f t="shared" si="9"/>
        <v>0</v>
      </c>
      <c r="M577">
        <f t="shared" si="10"/>
        <v>1</v>
      </c>
      <c r="N577" s="100" t="s">
        <v>1464</v>
      </c>
      <c r="O577" s="101" t="s">
        <v>87</v>
      </c>
      <c r="P577" s="104">
        <v>70.14</v>
      </c>
      <c r="Q577" s="105">
        <v>95.76</v>
      </c>
      <c r="R577" s="102" t="s">
        <v>54</v>
      </c>
      <c r="S577" s="100" t="s">
        <v>1467</v>
      </c>
      <c r="T577">
        <f t="shared" si="11"/>
        <v>25.62</v>
      </c>
    </row>
    <row r="578" hidden="1">
      <c r="A578" s="32" t="str">
        <f t="shared" si="1"/>
        <v>2021PiersonWeek 7</v>
      </c>
      <c r="B578" s="32" t="str">
        <f t="shared" si="2"/>
        <v>2021FellowsWeek 7</v>
      </c>
      <c r="C578" s="32" t="str">
        <f t="shared" si="3"/>
        <v>Week 7</v>
      </c>
      <c r="D578" s="32">
        <v>2021.0</v>
      </c>
      <c r="E578" t="str">
        <f t="shared" si="4"/>
        <v>7</v>
      </c>
      <c r="F578" t="str">
        <f t="shared" si="5"/>
        <v>Pierson Curtis</v>
      </c>
      <c r="G578" s="40" t="str">
        <f>VLOOKUP(F578,'Manager Coding'!C:D,2,0)</f>
        <v>Pierson</v>
      </c>
      <c r="H578" s="41">
        <f t="shared" si="6"/>
        <v>126.54</v>
      </c>
      <c r="I578" t="str">
        <f t="shared" si="7"/>
        <v>Michael Fellows</v>
      </c>
      <c r="J578" t="str">
        <f>VLOOKUP(I578,'Manager Coding'!C:D,2,0)</f>
        <v>Fellows</v>
      </c>
      <c r="K578" s="41">
        <f t="shared" si="8"/>
        <v>95.6</v>
      </c>
      <c r="L578">
        <f t="shared" si="9"/>
        <v>1</v>
      </c>
      <c r="M578">
        <f t="shared" si="10"/>
        <v>0</v>
      </c>
      <c r="N578" s="95" t="s">
        <v>1457</v>
      </c>
      <c r="O578" s="96" t="s">
        <v>93</v>
      </c>
      <c r="P578" s="97">
        <v>126.54</v>
      </c>
      <c r="Q578" s="98">
        <v>95.6</v>
      </c>
      <c r="R578" s="103" t="s">
        <v>80</v>
      </c>
      <c r="S578" s="95" t="s">
        <v>1463</v>
      </c>
      <c r="T578">
        <f t="shared" si="11"/>
        <v>30.94</v>
      </c>
    </row>
    <row r="579" hidden="1">
      <c r="A579" s="32" t="str">
        <f t="shared" si="1"/>
        <v>2021Rooney/JacksonWeek 7</v>
      </c>
      <c r="B579" s="32" t="str">
        <f t="shared" si="2"/>
        <v>2021BuserWeek 7</v>
      </c>
      <c r="C579" s="32" t="str">
        <f t="shared" si="3"/>
        <v>Week 7</v>
      </c>
      <c r="D579" s="32">
        <v>2021.0</v>
      </c>
      <c r="E579" t="str">
        <f t="shared" si="4"/>
        <v>7</v>
      </c>
      <c r="F579" t="str">
        <f t="shared" si="5"/>
        <v>Stephen Rooney, Jackson Sattell</v>
      </c>
      <c r="G579" s="40" t="str">
        <f>VLOOKUP(F579,'Manager Coding'!C:D,2,0)</f>
        <v>Rooney/Jackson</v>
      </c>
      <c r="H579" s="41">
        <f t="shared" si="6"/>
        <v>99.64</v>
      </c>
      <c r="I579" t="str">
        <f t="shared" si="7"/>
        <v>Ed Buser</v>
      </c>
      <c r="J579" t="str">
        <f>VLOOKUP(I579,'Manager Coding'!C:D,2,0)</f>
        <v>Buser</v>
      </c>
      <c r="K579" s="41">
        <f t="shared" si="8"/>
        <v>70.78</v>
      </c>
      <c r="L579">
        <f t="shared" si="9"/>
        <v>1</v>
      </c>
      <c r="M579">
        <f t="shared" si="10"/>
        <v>0</v>
      </c>
      <c r="N579" s="100" t="s">
        <v>1453</v>
      </c>
      <c r="O579" s="101" t="s">
        <v>58</v>
      </c>
      <c r="P579" s="97">
        <v>99.64</v>
      </c>
      <c r="Q579" s="98">
        <v>70.78</v>
      </c>
      <c r="R579" s="102" t="s">
        <v>50</v>
      </c>
      <c r="S579" s="100" t="s">
        <v>1454</v>
      </c>
      <c r="T579">
        <f t="shared" si="11"/>
        <v>28.86</v>
      </c>
    </row>
    <row r="580" hidden="1">
      <c r="A580" s="32" t="str">
        <f t="shared" si="1"/>
        <v>#N/A</v>
      </c>
      <c r="B580" s="32" t="str">
        <f t="shared" si="2"/>
        <v>#N/A</v>
      </c>
      <c r="C580" s="32" t="str">
        <f t="shared" si="3"/>
        <v>Week 7</v>
      </c>
      <c r="D580" s="32">
        <v>2021.0</v>
      </c>
      <c r="E580" t="str">
        <f t="shared" si="4"/>
        <v>7</v>
      </c>
      <c r="F580" t="str">
        <f t="shared" si="5"/>
        <v/>
      </c>
      <c r="G580" s="40" t="str">
        <f>VLOOKUP(F580,'Manager Coding'!C:D,2,0)</f>
        <v>#N/A</v>
      </c>
      <c r="H580" s="41" t="str">
        <f t="shared" si="6"/>
        <v/>
      </c>
      <c r="I580" t="str">
        <f t="shared" si="7"/>
        <v/>
      </c>
      <c r="J580" t="str">
        <f>VLOOKUP(I580,'Manager Coding'!C:D,2,0)</f>
        <v>#N/A</v>
      </c>
      <c r="K580" s="41" t="str">
        <f t="shared" si="8"/>
        <v/>
      </c>
      <c r="L580">
        <f t="shared" si="9"/>
        <v>0</v>
      </c>
      <c r="M580">
        <f t="shared" si="10"/>
        <v>0</v>
      </c>
      <c r="N580" s="91" t="s">
        <v>367</v>
      </c>
      <c r="P580" s="41"/>
      <c r="Q580" s="41"/>
      <c r="T580">
        <f t="shared" si="11"/>
        <v>0</v>
      </c>
    </row>
    <row r="581" hidden="1">
      <c r="A581" s="32" t="str">
        <f t="shared" si="1"/>
        <v>#N/A</v>
      </c>
      <c r="B581" s="32" t="str">
        <f t="shared" si="2"/>
        <v>#N/A</v>
      </c>
      <c r="C581" s="32" t="str">
        <f t="shared" si="3"/>
        <v>Week 8</v>
      </c>
      <c r="D581" s="32">
        <v>2021.0</v>
      </c>
      <c r="E581" t="str">
        <f t="shared" si="4"/>
        <v>8</v>
      </c>
      <c r="F581" t="str">
        <f t="shared" si="5"/>
        <v/>
      </c>
      <c r="G581" s="40" t="str">
        <f>VLOOKUP(F581,'Manager Coding'!C:D,2,0)</f>
        <v>#N/A</v>
      </c>
      <c r="H581" s="41" t="str">
        <f t="shared" si="6"/>
        <v/>
      </c>
      <c r="I581" t="str">
        <f t="shared" si="7"/>
        <v/>
      </c>
      <c r="J581" t="str">
        <f>VLOOKUP(I581,'Manager Coding'!C:D,2,0)</f>
        <v>#N/A</v>
      </c>
      <c r="K581" s="41" t="str">
        <f t="shared" si="8"/>
        <v/>
      </c>
      <c r="L581">
        <f t="shared" si="9"/>
        <v>0</v>
      </c>
      <c r="M581">
        <f t="shared" si="10"/>
        <v>0</v>
      </c>
      <c r="N581" s="92" t="s">
        <v>1486</v>
      </c>
      <c r="P581" s="41"/>
      <c r="Q581" s="41"/>
      <c r="T581">
        <f t="shared" si="11"/>
        <v>0</v>
      </c>
    </row>
    <row r="582" hidden="1">
      <c r="A582" s="32" t="str">
        <f t="shared" si="1"/>
        <v>#N/A</v>
      </c>
      <c r="B582" s="32" t="str">
        <f t="shared" si="2"/>
        <v>#N/A</v>
      </c>
      <c r="C582" s="32" t="str">
        <f t="shared" si="3"/>
        <v>Week 8</v>
      </c>
      <c r="D582" s="32">
        <v>2021.0</v>
      </c>
      <c r="E582" t="str">
        <f t="shared" si="4"/>
        <v>8</v>
      </c>
      <c r="F582" t="str">
        <f t="shared" si="5"/>
        <v>TEAM MANAGER(S)</v>
      </c>
      <c r="G582" s="40" t="str">
        <f>VLOOKUP(F582,'Manager Coding'!C:D,2,0)</f>
        <v>#N/A</v>
      </c>
      <c r="H582" s="41" t="str">
        <f t="shared" si="6"/>
        <v>SCORE</v>
      </c>
      <c r="I582" t="str">
        <f t="shared" si="7"/>
        <v>TEAM MANAGER(S)</v>
      </c>
      <c r="J582" t="str">
        <f>VLOOKUP(I582,'Manager Coding'!C:D,2,0)</f>
        <v>#N/A</v>
      </c>
      <c r="K582" s="41" t="str">
        <f t="shared" si="8"/>
        <v>SCORE</v>
      </c>
      <c r="L582">
        <f t="shared" si="9"/>
        <v>0</v>
      </c>
      <c r="M582">
        <f t="shared" si="10"/>
        <v>0</v>
      </c>
      <c r="N582" s="93" t="s">
        <v>197</v>
      </c>
      <c r="O582" s="93" t="s">
        <v>88</v>
      </c>
      <c r="P582" s="94" t="s">
        <v>94</v>
      </c>
      <c r="Q582" s="93" t="s">
        <v>94</v>
      </c>
      <c r="R582" s="94" t="s">
        <v>88</v>
      </c>
      <c r="S582" s="94" t="s">
        <v>101</v>
      </c>
      <c r="T582">
        <f t="shared" si="11"/>
        <v>0</v>
      </c>
    </row>
    <row r="583" hidden="1">
      <c r="A583" s="32" t="str">
        <f t="shared" si="1"/>
        <v>2021CockWeek 8</v>
      </c>
      <c r="B583" s="32" t="str">
        <f t="shared" si="2"/>
        <v>2021SaltyWeek 8</v>
      </c>
      <c r="C583" s="32" t="str">
        <f t="shared" si="3"/>
        <v>Week 8</v>
      </c>
      <c r="D583" s="32">
        <v>2021.0</v>
      </c>
      <c r="E583" t="str">
        <f t="shared" si="4"/>
        <v>8</v>
      </c>
      <c r="F583" t="str">
        <f t="shared" si="5"/>
        <v>Jack Babcock, Chris Cochrane</v>
      </c>
      <c r="G583" s="40" t="str">
        <f>VLOOKUP(F583,'Manager Coding'!C:D,2,0)</f>
        <v>Cock</v>
      </c>
      <c r="H583" s="41">
        <f t="shared" si="6"/>
        <v>71.12</v>
      </c>
      <c r="I583" t="str">
        <f t="shared" si="7"/>
        <v>R Saltiel</v>
      </c>
      <c r="J583" t="str">
        <f>VLOOKUP(I583,'Manager Coding'!C:D,2,0)</f>
        <v>Salty</v>
      </c>
      <c r="K583" s="41">
        <f t="shared" si="8"/>
        <v>97.86</v>
      </c>
      <c r="L583">
        <f t="shared" si="9"/>
        <v>0</v>
      </c>
      <c r="M583">
        <f t="shared" si="10"/>
        <v>1</v>
      </c>
      <c r="N583" s="95" t="s">
        <v>1477</v>
      </c>
      <c r="O583" s="96" t="s">
        <v>73</v>
      </c>
      <c r="P583" s="104">
        <v>71.12</v>
      </c>
      <c r="Q583" s="105">
        <v>97.86</v>
      </c>
      <c r="R583" s="99" t="s">
        <v>77</v>
      </c>
      <c r="S583" s="95" t="s">
        <v>1447</v>
      </c>
      <c r="T583">
        <f t="shared" si="11"/>
        <v>26.74</v>
      </c>
    </row>
    <row r="584" hidden="1">
      <c r="A584" s="32" t="str">
        <f t="shared" si="1"/>
        <v>2021HudspeathWeek 8</v>
      </c>
      <c r="B584" s="32" t="str">
        <f t="shared" si="2"/>
        <v>2021RileyWeek 8</v>
      </c>
      <c r="C584" s="32" t="str">
        <f t="shared" si="3"/>
        <v>Week 8</v>
      </c>
      <c r="D584" s="32">
        <v>2021.0</v>
      </c>
      <c r="E584" t="str">
        <f t="shared" si="4"/>
        <v>8</v>
      </c>
      <c r="F584" t="str">
        <f t="shared" si="5"/>
        <v>matt hudspeath</v>
      </c>
      <c r="G584" s="40" t="str">
        <f>VLOOKUP(F584,'Manager Coding'!C:D,2,0)</f>
        <v>Hudspeath</v>
      </c>
      <c r="H584" s="41">
        <f t="shared" si="6"/>
        <v>86.56</v>
      </c>
      <c r="I584" t="str">
        <f t="shared" si="7"/>
        <v>Riley McElwain</v>
      </c>
      <c r="J584" t="str">
        <f>VLOOKUP(I584,'Manager Coding'!C:D,2,0)</f>
        <v>Riley</v>
      </c>
      <c r="K584" s="41">
        <f t="shared" si="8"/>
        <v>89.68</v>
      </c>
      <c r="L584">
        <f t="shared" si="9"/>
        <v>0</v>
      </c>
      <c r="M584">
        <f t="shared" si="10"/>
        <v>1</v>
      </c>
      <c r="N584" s="100" t="s">
        <v>1482</v>
      </c>
      <c r="O584" s="101" t="s">
        <v>64</v>
      </c>
      <c r="P584" s="104">
        <v>86.56</v>
      </c>
      <c r="Q584" s="105">
        <v>89.68</v>
      </c>
      <c r="R584" s="102" t="s">
        <v>68</v>
      </c>
      <c r="S584" s="100" t="s">
        <v>1470</v>
      </c>
      <c r="T584">
        <f t="shared" si="11"/>
        <v>3.12</v>
      </c>
    </row>
    <row r="585" hidden="1">
      <c r="A585" s="32" t="str">
        <f t="shared" si="1"/>
        <v>2021T-HowWeek 8</v>
      </c>
      <c r="B585" s="32" t="str">
        <f t="shared" si="2"/>
        <v>2021KnardDawgWeek 8</v>
      </c>
      <c r="C585" s="32" t="str">
        <f t="shared" si="3"/>
        <v>Week 8</v>
      </c>
      <c r="D585" s="32">
        <v>2021.0</v>
      </c>
      <c r="E585" t="str">
        <f t="shared" si="4"/>
        <v>8</v>
      </c>
      <c r="F585" t="str">
        <f t="shared" si="5"/>
        <v>Tyler Howard</v>
      </c>
      <c r="G585" s="40" t="str">
        <f>VLOOKUP(F585,'Manager Coding'!C:D,2,0)</f>
        <v>T-How</v>
      </c>
      <c r="H585" s="41">
        <f t="shared" si="6"/>
        <v>88.7</v>
      </c>
      <c r="I585" t="str">
        <f t="shared" si="7"/>
        <v>Alex Kinniard, Jack Reilly</v>
      </c>
      <c r="J585" t="str">
        <f>VLOOKUP(I585,'Manager Coding'!C:D,2,0)</f>
        <v>KnardDawg</v>
      </c>
      <c r="K585" s="41">
        <f t="shared" si="8"/>
        <v>60.54</v>
      </c>
      <c r="L585">
        <f t="shared" si="9"/>
        <v>1</v>
      </c>
      <c r="M585">
        <f t="shared" si="10"/>
        <v>0</v>
      </c>
      <c r="N585" s="95" t="s">
        <v>1480</v>
      </c>
      <c r="O585" s="96" t="s">
        <v>85</v>
      </c>
      <c r="P585" s="97">
        <v>88.7</v>
      </c>
      <c r="Q585" s="98">
        <v>60.54</v>
      </c>
      <c r="R585" s="103" t="s">
        <v>87</v>
      </c>
      <c r="S585" s="95" t="s">
        <v>1464</v>
      </c>
      <c r="T585">
        <f t="shared" si="11"/>
        <v>28.16</v>
      </c>
    </row>
    <row r="586" hidden="1">
      <c r="A586" s="32" t="str">
        <f t="shared" si="1"/>
        <v>2021ShepWeek 8</v>
      </c>
      <c r="B586" s="32" t="str">
        <f t="shared" si="2"/>
        <v>2021PiersonWeek 8</v>
      </c>
      <c r="C586" s="32" t="str">
        <f t="shared" si="3"/>
        <v>Week 8</v>
      </c>
      <c r="D586" s="32">
        <v>2021.0</v>
      </c>
      <c r="E586" t="str">
        <f t="shared" si="4"/>
        <v>8</v>
      </c>
      <c r="F586" t="str">
        <f t="shared" si="5"/>
        <v>Jordan Shepherd</v>
      </c>
      <c r="G586" s="40" t="str">
        <f>VLOOKUP(F586,'Manager Coding'!C:D,2,0)</f>
        <v>Shep</v>
      </c>
      <c r="H586" s="41">
        <f t="shared" si="6"/>
        <v>99.52</v>
      </c>
      <c r="I586" t="str">
        <f t="shared" si="7"/>
        <v>Pierson Curtis</v>
      </c>
      <c r="J586" t="str">
        <f>VLOOKUP(I586,'Manager Coding'!C:D,2,0)</f>
        <v>Pierson</v>
      </c>
      <c r="K586" s="41">
        <f t="shared" si="8"/>
        <v>83.6</v>
      </c>
      <c r="L586">
        <f t="shared" si="9"/>
        <v>1</v>
      </c>
      <c r="M586">
        <f t="shared" si="10"/>
        <v>0</v>
      </c>
      <c r="N586" s="100" t="s">
        <v>1476</v>
      </c>
      <c r="O586" s="101" t="s">
        <v>91</v>
      </c>
      <c r="P586" s="97">
        <v>99.52</v>
      </c>
      <c r="Q586" s="98">
        <v>83.6</v>
      </c>
      <c r="R586" s="102" t="s">
        <v>93</v>
      </c>
      <c r="S586" s="100" t="s">
        <v>1457</v>
      </c>
      <c r="T586">
        <f t="shared" si="11"/>
        <v>15.92</v>
      </c>
    </row>
    <row r="587" hidden="1">
      <c r="A587" s="32" t="str">
        <f t="shared" si="1"/>
        <v>2021TayskiWeek 8</v>
      </c>
      <c r="B587" s="32" t="str">
        <f t="shared" si="2"/>
        <v>2021Rooney/JacksonWeek 8</v>
      </c>
      <c r="C587" s="32" t="str">
        <f t="shared" si="3"/>
        <v>Week 8</v>
      </c>
      <c r="D587" s="32">
        <v>2021.0</v>
      </c>
      <c r="E587" t="str">
        <f t="shared" si="4"/>
        <v>8</v>
      </c>
      <c r="F587" t="str">
        <f t="shared" si="5"/>
        <v>Taylor Weis</v>
      </c>
      <c r="G587" s="40" t="str">
        <f>VLOOKUP(F587,'Manager Coding'!C:D,2,0)</f>
        <v>Tayski</v>
      </c>
      <c r="H587" s="41">
        <f t="shared" si="6"/>
        <v>89</v>
      </c>
      <c r="I587" t="str">
        <f t="shared" si="7"/>
        <v>Stephen Rooney, Jackson Sattell</v>
      </c>
      <c r="J587" t="str">
        <f>VLOOKUP(I587,'Manager Coding'!C:D,2,0)</f>
        <v>Rooney/Jackson</v>
      </c>
      <c r="K587" s="41">
        <f t="shared" si="8"/>
        <v>61.02</v>
      </c>
      <c r="L587">
        <f t="shared" si="9"/>
        <v>1</v>
      </c>
      <c r="M587">
        <f t="shared" si="10"/>
        <v>0</v>
      </c>
      <c r="N587" s="95" t="s">
        <v>1467</v>
      </c>
      <c r="O587" s="96" t="s">
        <v>54</v>
      </c>
      <c r="P587" s="97">
        <v>89.0</v>
      </c>
      <c r="Q587" s="98">
        <v>61.02</v>
      </c>
      <c r="R587" s="103" t="s">
        <v>58</v>
      </c>
      <c r="S587" s="95" t="s">
        <v>1453</v>
      </c>
      <c r="T587">
        <f t="shared" si="11"/>
        <v>27.98</v>
      </c>
    </row>
    <row r="588" hidden="1">
      <c r="A588" s="32" t="str">
        <f t="shared" si="1"/>
        <v>2021FellowsWeek 8</v>
      </c>
      <c r="B588" s="32" t="str">
        <f t="shared" si="2"/>
        <v>2021BuserWeek 8</v>
      </c>
      <c r="C588" s="32" t="str">
        <f t="shared" si="3"/>
        <v>Week 8</v>
      </c>
      <c r="D588" s="32">
        <v>2021.0</v>
      </c>
      <c r="E588" t="str">
        <f t="shared" si="4"/>
        <v>8</v>
      </c>
      <c r="F588" t="str">
        <f t="shared" si="5"/>
        <v>Michael Fellows</v>
      </c>
      <c r="G588" s="40" t="str">
        <f>VLOOKUP(F588,'Manager Coding'!C:D,2,0)</f>
        <v>Fellows</v>
      </c>
      <c r="H588" s="41">
        <f t="shared" si="6"/>
        <v>75.9</v>
      </c>
      <c r="I588" t="str">
        <f t="shared" si="7"/>
        <v>Ed Buser</v>
      </c>
      <c r="J588" t="str">
        <f>VLOOKUP(I588,'Manager Coding'!C:D,2,0)</f>
        <v>Buser</v>
      </c>
      <c r="K588" s="41">
        <f t="shared" si="8"/>
        <v>86.02</v>
      </c>
      <c r="L588">
        <f t="shared" si="9"/>
        <v>0</v>
      </c>
      <c r="M588">
        <f t="shared" si="10"/>
        <v>1</v>
      </c>
      <c r="N588" s="100" t="s">
        <v>1463</v>
      </c>
      <c r="O588" s="101" t="s">
        <v>80</v>
      </c>
      <c r="P588" s="104">
        <v>75.9</v>
      </c>
      <c r="Q588" s="105">
        <v>86.02</v>
      </c>
      <c r="R588" s="102" t="s">
        <v>50</v>
      </c>
      <c r="S588" s="100" t="s">
        <v>1454</v>
      </c>
      <c r="T588">
        <f t="shared" si="11"/>
        <v>10.12</v>
      </c>
    </row>
    <row r="589" hidden="1">
      <c r="A589" s="32" t="str">
        <f t="shared" si="1"/>
        <v>#N/A</v>
      </c>
      <c r="B589" s="32" t="str">
        <f t="shared" si="2"/>
        <v>#N/A</v>
      </c>
      <c r="C589" s="32" t="str">
        <f t="shared" si="3"/>
        <v>Week 8</v>
      </c>
      <c r="D589" s="32">
        <v>2021.0</v>
      </c>
      <c r="E589" t="str">
        <f t="shared" si="4"/>
        <v>8</v>
      </c>
      <c r="F589" t="str">
        <f t="shared" si="5"/>
        <v/>
      </c>
      <c r="G589" s="40" t="str">
        <f>VLOOKUP(F589,'Manager Coding'!C:D,2,0)</f>
        <v>#N/A</v>
      </c>
      <c r="H589" s="41" t="str">
        <f t="shared" si="6"/>
        <v/>
      </c>
      <c r="I589" t="str">
        <f t="shared" si="7"/>
        <v/>
      </c>
      <c r="J589" t="str">
        <f>VLOOKUP(I589,'Manager Coding'!C:D,2,0)</f>
        <v>#N/A</v>
      </c>
      <c r="K589" s="41" t="str">
        <f t="shared" si="8"/>
        <v/>
      </c>
      <c r="L589">
        <f t="shared" si="9"/>
        <v>0</v>
      </c>
      <c r="M589">
        <f t="shared" si="10"/>
        <v>0</v>
      </c>
      <c r="N589" s="91" t="s">
        <v>387</v>
      </c>
      <c r="P589" s="41"/>
      <c r="Q589" s="41"/>
      <c r="T589">
        <f t="shared" si="11"/>
        <v>0</v>
      </c>
    </row>
    <row r="590" hidden="1">
      <c r="A590" s="32" t="str">
        <f t="shared" si="1"/>
        <v>#N/A</v>
      </c>
      <c r="B590" s="32" t="str">
        <f t="shared" si="2"/>
        <v>#N/A</v>
      </c>
      <c r="C590" s="32" t="str">
        <f t="shared" si="3"/>
        <v>Week 9</v>
      </c>
      <c r="D590" s="32">
        <v>2021.0</v>
      </c>
      <c r="E590" t="str">
        <f t="shared" si="4"/>
        <v>9</v>
      </c>
      <c r="F590" t="str">
        <f t="shared" si="5"/>
        <v/>
      </c>
      <c r="G590" s="40" t="str">
        <f>VLOOKUP(F590,'Manager Coding'!C:D,2,0)</f>
        <v>#N/A</v>
      </c>
      <c r="H590" s="41" t="str">
        <f t="shared" si="6"/>
        <v/>
      </c>
      <c r="I590" t="str">
        <f t="shared" si="7"/>
        <v/>
      </c>
      <c r="J590" t="str">
        <f>VLOOKUP(I590,'Manager Coding'!C:D,2,0)</f>
        <v>#N/A</v>
      </c>
      <c r="K590" s="41" t="str">
        <f t="shared" si="8"/>
        <v/>
      </c>
      <c r="L590">
        <f t="shared" si="9"/>
        <v>0</v>
      </c>
      <c r="M590">
        <f t="shared" si="10"/>
        <v>0</v>
      </c>
      <c r="N590" s="92" t="s">
        <v>1486</v>
      </c>
      <c r="P590" s="41"/>
      <c r="Q590" s="41"/>
      <c r="T590">
        <f t="shared" si="11"/>
        <v>0</v>
      </c>
    </row>
    <row r="591" hidden="1">
      <c r="A591" s="32" t="str">
        <f t="shared" si="1"/>
        <v>#N/A</v>
      </c>
      <c r="B591" s="32" t="str">
        <f t="shared" si="2"/>
        <v>#N/A</v>
      </c>
      <c r="C591" s="32" t="str">
        <f t="shared" si="3"/>
        <v>Week 9</v>
      </c>
      <c r="D591" s="32">
        <v>2021.0</v>
      </c>
      <c r="E591" t="str">
        <f t="shared" si="4"/>
        <v>9</v>
      </c>
      <c r="F591" t="str">
        <f t="shared" si="5"/>
        <v>TEAM MANAGER(S)</v>
      </c>
      <c r="G591" s="40" t="str">
        <f>VLOOKUP(F591,'Manager Coding'!C:D,2,0)</f>
        <v>#N/A</v>
      </c>
      <c r="H591" s="41" t="str">
        <f t="shared" si="6"/>
        <v>SCORE</v>
      </c>
      <c r="I591" t="str">
        <f t="shared" si="7"/>
        <v>TEAM MANAGER(S)</v>
      </c>
      <c r="J591" t="str">
        <f>VLOOKUP(I591,'Manager Coding'!C:D,2,0)</f>
        <v>#N/A</v>
      </c>
      <c r="K591" s="41" t="str">
        <f t="shared" si="8"/>
        <v>SCORE</v>
      </c>
      <c r="L591">
        <f t="shared" si="9"/>
        <v>0</v>
      </c>
      <c r="M591">
        <f t="shared" si="10"/>
        <v>0</v>
      </c>
      <c r="N591" s="93" t="s">
        <v>197</v>
      </c>
      <c r="O591" s="93" t="s">
        <v>88</v>
      </c>
      <c r="P591" s="94" t="s">
        <v>94</v>
      </c>
      <c r="Q591" s="93" t="s">
        <v>94</v>
      </c>
      <c r="R591" s="94" t="s">
        <v>88</v>
      </c>
      <c r="S591" s="94" t="s">
        <v>101</v>
      </c>
      <c r="T591">
        <f t="shared" si="11"/>
        <v>0</v>
      </c>
    </row>
    <row r="592" hidden="1">
      <c r="A592" s="32" t="str">
        <f t="shared" si="1"/>
        <v>2021SaltyWeek 9</v>
      </c>
      <c r="B592" s="32" t="str">
        <f t="shared" si="2"/>
        <v>2021RileyWeek 9</v>
      </c>
      <c r="C592" s="32" t="str">
        <f t="shared" si="3"/>
        <v>Week 9</v>
      </c>
      <c r="D592" s="32">
        <v>2021.0</v>
      </c>
      <c r="E592" t="str">
        <f t="shared" si="4"/>
        <v>9</v>
      </c>
      <c r="F592" t="str">
        <f t="shared" si="5"/>
        <v>R Saltiel</v>
      </c>
      <c r="G592" s="40" t="str">
        <f>VLOOKUP(F592,'Manager Coding'!C:D,2,0)</f>
        <v>Salty</v>
      </c>
      <c r="H592" s="41">
        <f t="shared" si="6"/>
        <v>65.66</v>
      </c>
      <c r="I592" t="str">
        <f t="shared" si="7"/>
        <v>Riley McElwain</v>
      </c>
      <c r="J592" t="str">
        <f>VLOOKUP(I592,'Manager Coding'!C:D,2,0)</f>
        <v>Riley</v>
      </c>
      <c r="K592" s="41">
        <f t="shared" si="8"/>
        <v>102.88</v>
      </c>
      <c r="L592">
        <f t="shared" si="9"/>
        <v>0</v>
      </c>
      <c r="M592">
        <f t="shared" si="10"/>
        <v>1</v>
      </c>
      <c r="N592" s="95" t="s">
        <v>1447</v>
      </c>
      <c r="O592" s="106" t="s">
        <v>77</v>
      </c>
      <c r="P592" s="104">
        <v>65.66</v>
      </c>
      <c r="Q592" s="105">
        <v>102.88</v>
      </c>
      <c r="R592" s="103" t="s">
        <v>68</v>
      </c>
      <c r="S592" s="95" t="s">
        <v>1470</v>
      </c>
      <c r="T592">
        <f t="shared" si="11"/>
        <v>37.22</v>
      </c>
    </row>
    <row r="593" hidden="1">
      <c r="A593" s="32" t="str">
        <f t="shared" si="1"/>
        <v>2021KnardDawgWeek 9</v>
      </c>
      <c r="B593" s="32" t="str">
        <f t="shared" si="2"/>
        <v>2021CockWeek 9</v>
      </c>
      <c r="C593" s="32" t="str">
        <f t="shared" si="3"/>
        <v>Week 9</v>
      </c>
      <c r="D593" s="32">
        <v>2021.0</v>
      </c>
      <c r="E593" t="str">
        <f t="shared" si="4"/>
        <v>9</v>
      </c>
      <c r="F593" t="str">
        <f t="shared" si="5"/>
        <v>Alex Kinniard, Jack Reilly</v>
      </c>
      <c r="G593" s="40" t="str">
        <f>VLOOKUP(F593,'Manager Coding'!C:D,2,0)</f>
        <v>KnardDawg</v>
      </c>
      <c r="H593" s="41">
        <f t="shared" si="6"/>
        <v>87.32</v>
      </c>
      <c r="I593" t="str">
        <f t="shared" si="7"/>
        <v>Jack Babcock, Chris Cochrane</v>
      </c>
      <c r="J593" t="str">
        <f>VLOOKUP(I593,'Manager Coding'!C:D,2,0)</f>
        <v>Cock</v>
      </c>
      <c r="K593" s="41">
        <f t="shared" si="8"/>
        <v>58.28</v>
      </c>
      <c r="L593">
        <f t="shared" si="9"/>
        <v>1</v>
      </c>
      <c r="M593">
        <f t="shared" si="10"/>
        <v>0</v>
      </c>
      <c r="N593" s="100" t="s">
        <v>1464</v>
      </c>
      <c r="O593" s="101" t="s">
        <v>87</v>
      </c>
      <c r="P593" s="97">
        <v>87.32</v>
      </c>
      <c r="Q593" s="98">
        <v>58.28</v>
      </c>
      <c r="R593" s="102" t="s">
        <v>73</v>
      </c>
      <c r="S593" s="100" t="s">
        <v>1477</v>
      </c>
      <c r="T593">
        <f t="shared" si="11"/>
        <v>29.04</v>
      </c>
    </row>
    <row r="594" hidden="1">
      <c r="A594" s="32" t="str">
        <f t="shared" si="1"/>
        <v>2021PiersonWeek 9</v>
      </c>
      <c r="B594" s="32" t="str">
        <f t="shared" si="2"/>
        <v>2021HudspeathWeek 9</v>
      </c>
      <c r="C594" s="32" t="str">
        <f t="shared" si="3"/>
        <v>Week 9</v>
      </c>
      <c r="D594" s="32">
        <v>2021.0</v>
      </c>
      <c r="E594" t="str">
        <f t="shared" si="4"/>
        <v>9</v>
      </c>
      <c r="F594" t="str">
        <f t="shared" si="5"/>
        <v>Pierson Curtis</v>
      </c>
      <c r="G594" s="40" t="str">
        <f>VLOOKUP(F594,'Manager Coding'!C:D,2,0)</f>
        <v>Pierson</v>
      </c>
      <c r="H594" s="41">
        <f t="shared" si="6"/>
        <v>69.4</v>
      </c>
      <c r="I594" t="str">
        <f t="shared" si="7"/>
        <v>matt hudspeath</v>
      </c>
      <c r="J594" t="str">
        <f>VLOOKUP(I594,'Manager Coding'!C:D,2,0)</f>
        <v>Hudspeath</v>
      </c>
      <c r="K594" s="41">
        <f t="shared" si="8"/>
        <v>78.8</v>
      </c>
      <c r="L594">
        <f t="shared" si="9"/>
        <v>0</v>
      </c>
      <c r="M594">
        <f t="shared" si="10"/>
        <v>1</v>
      </c>
      <c r="N594" s="95" t="s">
        <v>1457</v>
      </c>
      <c r="O594" s="96" t="s">
        <v>93</v>
      </c>
      <c r="P594" s="104">
        <v>69.4</v>
      </c>
      <c r="Q594" s="105">
        <v>78.8</v>
      </c>
      <c r="R594" s="103" t="s">
        <v>64</v>
      </c>
      <c r="S594" s="95" t="s">
        <v>1482</v>
      </c>
      <c r="T594">
        <f t="shared" si="11"/>
        <v>9.4</v>
      </c>
    </row>
    <row r="595" hidden="1">
      <c r="A595" s="32" t="str">
        <f t="shared" si="1"/>
        <v>2021Rooney/JacksonWeek 9</v>
      </c>
      <c r="B595" s="32" t="str">
        <f t="shared" si="2"/>
        <v>2021T-HowWeek 9</v>
      </c>
      <c r="C595" s="32" t="str">
        <f t="shared" si="3"/>
        <v>Week 9</v>
      </c>
      <c r="D595" s="32">
        <v>2021.0</v>
      </c>
      <c r="E595" t="str">
        <f t="shared" si="4"/>
        <v>9</v>
      </c>
      <c r="F595" t="str">
        <f t="shared" si="5"/>
        <v>Stephen Rooney, Jackson Sattell</v>
      </c>
      <c r="G595" s="40" t="str">
        <f>VLOOKUP(F595,'Manager Coding'!C:D,2,0)</f>
        <v>Rooney/Jackson</v>
      </c>
      <c r="H595" s="41">
        <f t="shared" si="6"/>
        <v>72.54</v>
      </c>
      <c r="I595" t="str">
        <f t="shared" si="7"/>
        <v>Tyler Howard</v>
      </c>
      <c r="J595" t="str">
        <f>VLOOKUP(I595,'Manager Coding'!C:D,2,0)</f>
        <v>T-How</v>
      </c>
      <c r="K595" s="41">
        <f t="shared" si="8"/>
        <v>69.04</v>
      </c>
      <c r="L595">
        <f t="shared" si="9"/>
        <v>1</v>
      </c>
      <c r="M595">
        <f t="shared" si="10"/>
        <v>0</v>
      </c>
      <c r="N595" s="100" t="s">
        <v>1453</v>
      </c>
      <c r="O595" s="101" t="s">
        <v>58</v>
      </c>
      <c r="P595" s="97">
        <v>72.54</v>
      </c>
      <c r="Q595" s="98">
        <v>69.04</v>
      </c>
      <c r="R595" s="102" t="s">
        <v>85</v>
      </c>
      <c r="S595" s="100" t="s">
        <v>1480</v>
      </c>
      <c r="T595">
        <f t="shared" si="11"/>
        <v>3.5</v>
      </c>
    </row>
    <row r="596" hidden="1">
      <c r="A596" s="32" t="str">
        <f t="shared" si="1"/>
        <v>2021BuserWeek 9</v>
      </c>
      <c r="B596" s="32" t="str">
        <f t="shared" si="2"/>
        <v>2021ShepWeek 9</v>
      </c>
      <c r="C596" s="32" t="str">
        <f t="shared" si="3"/>
        <v>Week 9</v>
      </c>
      <c r="D596" s="32">
        <v>2021.0</v>
      </c>
      <c r="E596" t="str">
        <f t="shared" si="4"/>
        <v>9</v>
      </c>
      <c r="F596" t="str">
        <f t="shared" si="5"/>
        <v>Ed Buser</v>
      </c>
      <c r="G596" s="40" t="str">
        <f>VLOOKUP(F596,'Manager Coding'!C:D,2,0)</f>
        <v>Buser</v>
      </c>
      <c r="H596" s="41">
        <f t="shared" si="6"/>
        <v>129.34</v>
      </c>
      <c r="I596" t="str">
        <f t="shared" si="7"/>
        <v>Jordan Shepherd</v>
      </c>
      <c r="J596" t="str">
        <f>VLOOKUP(I596,'Manager Coding'!C:D,2,0)</f>
        <v>Shep</v>
      </c>
      <c r="K596" s="41">
        <f t="shared" si="8"/>
        <v>115.64</v>
      </c>
      <c r="L596">
        <f t="shared" si="9"/>
        <v>1</v>
      </c>
      <c r="M596">
        <f t="shared" si="10"/>
        <v>0</v>
      </c>
      <c r="N596" s="95" t="s">
        <v>1454</v>
      </c>
      <c r="O596" s="96" t="s">
        <v>50</v>
      </c>
      <c r="P596" s="97">
        <v>129.34</v>
      </c>
      <c r="Q596" s="98">
        <v>115.64</v>
      </c>
      <c r="R596" s="103" t="s">
        <v>91</v>
      </c>
      <c r="S596" s="95" t="s">
        <v>1476</v>
      </c>
      <c r="T596">
        <f t="shared" si="11"/>
        <v>13.7</v>
      </c>
    </row>
    <row r="597" hidden="1">
      <c r="A597" s="32" t="str">
        <f t="shared" si="1"/>
        <v>2021FellowsWeek 9</v>
      </c>
      <c r="B597" s="32" t="str">
        <f t="shared" si="2"/>
        <v>2021TayskiWeek 9</v>
      </c>
      <c r="C597" s="32" t="str">
        <f t="shared" si="3"/>
        <v>Week 9</v>
      </c>
      <c r="D597" s="32">
        <v>2021.0</v>
      </c>
      <c r="E597" t="str">
        <f t="shared" si="4"/>
        <v>9</v>
      </c>
      <c r="F597" t="str">
        <f t="shared" si="5"/>
        <v>Michael Fellows</v>
      </c>
      <c r="G597" s="40" t="str">
        <f>VLOOKUP(F597,'Manager Coding'!C:D,2,0)</f>
        <v>Fellows</v>
      </c>
      <c r="H597" s="41">
        <f t="shared" si="6"/>
        <v>60.32</v>
      </c>
      <c r="I597" t="str">
        <f t="shared" si="7"/>
        <v>Taylor Weis</v>
      </c>
      <c r="J597" t="str">
        <f>VLOOKUP(I597,'Manager Coding'!C:D,2,0)</f>
        <v>Tayski</v>
      </c>
      <c r="K597" s="41">
        <f t="shared" si="8"/>
        <v>71.46</v>
      </c>
      <c r="L597">
        <f t="shared" si="9"/>
        <v>0</v>
      </c>
      <c r="M597">
        <f t="shared" si="10"/>
        <v>1</v>
      </c>
      <c r="N597" s="100" t="s">
        <v>1463</v>
      </c>
      <c r="O597" s="101" t="s">
        <v>80</v>
      </c>
      <c r="P597" s="104">
        <v>60.32</v>
      </c>
      <c r="Q597" s="105">
        <v>71.46</v>
      </c>
      <c r="R597" s="102" t="s">
        <v>54</v>
      </c>
      <c r="S597" s="100" t="s">
        <v>1467</v>
      </c>
      <c r="T597">
        <f t="shared" si="11"/>
        <v>11.14</v>
      </c>
    </row>
    <row r="598" hidden="1">
      <c r="A598" s="32" t="str">
        <f t="shared" si="1"/>
        <v>#N/A</v>
      </c>
      <c r="B598" s="32" t="str">
        <f t="shared" si="2"/>
        <v>#N/A</v>
      </c>
      <c r="C598" s="32" t="str">
        <f t="shared" si="3"/>
        <v>Week 9</v>
      </c>
      <c r="D598" s="32">
        <v>2021.0</v>
      </c>
      <c r="E598" t="str">
        <f t="shared" si="4"/>
        <v>9</v>
      </c>
      <c r="F598" t="str">
        <f t="shared" si="5"/>
        <v/>
      </c>
      <c r="G598" s="40" t="str">
        <f>VLOOKUP(F598,'Manager Coding'!C:D,2,0)</f>
        <v>#N/A</v>
      </c>
      <c r="H598" s="41" t="str">
        <f t="shared" si="6"/>
        <v/>
      </c>
      <c r="I598" t="str">
        <f t="shared" si="7"/>
        <v/>
      </c>
      <c r="J598" t="str">
        <f>VLOOKUP(I598,'Manager Coding'!C:D,2,0)</f>
        <v>#N/A</v>
      </c>
      <c r="K598" s="41" t="str">
        <f t="shared" si="8"/>
        <v/>
      </c>
      <c r="L598">
        <f t="shared" si="9"/>
        <v>0</v>
      </c>
      <c r="M598">
        <f t="shared" si="10"/>
        <v>0</v>
      </c>
      <c r="N598" s="91" t="s">
        <v>406</v>
      </c>
      <c r="P598" s="41"/>
      <c r="Q598" s="41"/>
      <c r="T598">
        <f t="shared" si="11"/>
        <v>0</v>
      </c>
    </row>
    <row r="599" hidden="1">
      <c r="A599" s="32" t="str">
        <f t="shared" si="1"/>
        <v>#N/A</v>
      </c>
      <c r="B599" s="32" t="str">
        <f t="shared" si="2"/>
        <v>#N/A</v>
      </c>
      <c r="C599" s="32" t="str">
        <f t="shared" si="3"/>
        <v>Week 10</v>
      </c>
      <c r="D599" s="32">
        <v>2021.0</v>
      </c>
      <c r="E599" t="str">
        <f t="shared" si="4"/>
        <v>10</v>
      </c>
      <c r="F599" t="str">
        <f t="shared" si="5"/>
        <v/>
      </c>
      <c r="G599" s="40" t="str">
        <f>VLOOKUP(F599,'Manager Coding'!C:D,2,0)</f>
        <v>#N/A</v>
      </c>
      <c r="H599" s="41" t="str">
        <f t="shared" si="6"/>
        <v/>
      </c>
      <c r="I599" t="str">
        <f t="shared" si="7"/>
        <v/>
      </c>
      <c r="J599" t="str">
        <f>VLOOKUP(I599,'Manager Coding'!C:D,2,0)</f>
        <v>#N/A</v>
      </c>
      <c r="K599" s="41" t="str">
        <f t="shared" si="8"/>
        <v/>
      </c>
      <c r="L599">
        <f t="shared" si="9"/>
        <v>0</v>
      </c>
      <c r="M599">
        <f t="shared" si="10"/>
        <v>0</v>
      </c>
      <c r="N599" s="92" t="s">
        <v>1486</v>
      </c>
      <c r="P599" s="41"/>
      <c r="Q599" s="41"/>
      <c r="T599">
        <f t="shared" si="11"/>
        <v>0</v>
      </c>
    </row>
    <row r="600" hidden="1">
      <c r="A600" s="32" t="str">
        <f t="shared" si="1"/>
        <v>#N/A</v>
      </c>
      <c r="B600" s="32" t="str">
        <f t="shared" si="2"/>
        <v>#N/A</v>
      </c>
      <c r="C600" s="32" t="str">
        <f t="shared" si="3"/>
        <v>Week 10</v>
      </c>
      <c r="D600" s="32">
        <v>2021.0</v>
      </c>
      <c r="E600" t="str">
        <f t="shared" si="4"/>
        <v>10</v>
      </c>
      <c r="F600" t="str">
        <f t="shared" si="5"/>
        <v>TEAM MANAGER(S)</v>
      </c>
      <c r="G600" s="40" t="str">
        <f>VLOOKUP(F600,'Manager Coding'!C:D,2,0)</f>
        <v>#N/A</v>
      </c>
      <c r="H600" s="41" t="str">
        <f t="shared" si="6"/>
        <v>SCORE</v>
      </c>
      <c r="I600" t="str">
        <f t="shared" si="7"/>
        <v>TEAM MANAGER(S)</v>
      </c>
      <c r="J600" t="str">
        <f>VLOOKUP(I600,'Manager Coding'!C:D,2,0)</f>
        <v>#N/A</v>
      </c>
      <c r="K600" s="41" t="str">
        <f t="shared" si="8"/>
        <v>SCORE</v>
      </c>
      <c r="L600">
        <f t="shared" si="9"/>
        <v>0</v>
      </c>
      <c r="M600">
        <f t="shared" si="10"/>
        <v>0</v>
      </c>
      <c r="N600" s="93" t="s">
        <v>197</v>
      </c>
      <c r="O600" s="93" t="s">
        <v>88</v>
      </c>
      <c r="P600" s="94" t="s">
        <v>94</v>
      </c>
      <c r="Q600" s="93" t="s">
        <v>94</v>
      </c>
      <c r="R600" s="94" t="s">
        <v>88</v>
      </c>
      <c r="S600" s="94" t="s">
        <v>101</v>
      </c>
      <c r="T600">
        <f t="shared" si="11"/>
        <v>0</v>
      </c>
    </row>
    <row r="601" hidden="1">
      <c r="A601" s="32" t="str">
        <f t="shared" si="1"/>
        <v>2021KnardDawgWeek 10</v>
      </c>
      <c r="B601" s="32" t="str">
        <f t="shared" si="2"/>
        <v>2021SaltyWeek 10</v>
      </c>
      <c r="C601" s="32" t="str">
        <f t="shared" si="3"/>
        <v>Week 10</v>
      </c>
      <c r="D601" s="32">
        <v>2021.0</v>
      </c>
      <c r="E601" t="str">
        <f t="shared" si="4"/>
        <v>10</v>
      </c>
      <c r="F601" t="str">
        <f t="shared" si="5"/>
        <v>Alex Kinniard, Jack Reilly</v>
      </c>
      <c r="G601" s="40" t="str">
        <f>VLOOKUP(F601,'Manager Coding'!C:D,2,0)</f>
        <v>KnardDawg</v>
      </c>
      <c r="H601" s="41">
        <f t="shared" si="6"/>
        <v>89.44</v>
      </c>
      <c r="I601" t="str">
        <f t="shared" si="7"/>
        <v>R Saltiel</v>
      </c>
      <c r="J601" t="str">
        <f>VLOOKUP(I601,'Manager Coding'!C:D,2,0)</f>
        <v>Salty</v>
      </c>
      <c r="K601" s="41">
        <f t="shared" si="8"/>
        <v>103.14</v>
      </c>
      <c r="L601">
        <f t="shared" si="9"/>
        <v>0</v>
      </c>
      <c r="M601">
        <f t="shared" si="10"/>
        <v>1</v>
      </c>
      <c r="N601" s="95" t="s">
        <v>1464</v>
      </c>
      <c r="O601" s="96" t="s">
        <v>87</v>
      </c>
      <c r="P601" s="104">
        <v>89.44</v>
      </c>
      <c r="Q601" s="105">
        <v>103.14</v>
      </c>
      <c r="R601" s="99" t="s">
        <v>77</v>
      </c>
      <c r="S601" s="95" t="s">
        <v>1447</v>
      </c>
      <c r="T601">
        <f t="shared" si="11"/>
        <v>13.7</v>
      </c>
    </row>
    <row r="602" hidden="1">
      <c r="A602" s="32" t="str">
        <f t="shared" si="1"/>
        <v>2021RileyWeek 10</v>
      </c>
      <c r="B602" s="32" t="str">
        <f t="shared" si="2"/>
        <v>2021PiersonWeek 10</v>
      </c>
      <c r="C602" s="32" t="str">
        <f t="shared" si="3"/>
        <v>Week 10</v>
      </c>
      <c r="D602" s="32">
        <v>2021.0</v>
      </c>
      <c r="E602" t="str">
        <f t="shared" si="4"/>
        <v>10</v>
      </c>
      <c r="F602" t="str">
        <f t="shared" si="5"/>
        <v>Riley McElwain</v>
      </c>
      <c r="G602" s="40" t="str">
        <f>VLOOKUP(F602,'Manager Coding'!C:D,2,0)</f>
        <v>Riley</v>
      </c>
      <c r="H602" s="41">
        <f t="shared" si="6"/>
        <v>99.84</v>
      </c>
      <c r="I602" t="str">
        <f t="shared" si="7"/>
        <v>Pierson Curtis</v>
      </c>
      <c r="J602" t="str">
        <f>VLOOKUP(I602,'Manager Coding'!C:D,2,0)</f>
        <v>Pierson</v>
      </c>
      <c r="K602" s="41">
        <f t="shared" si="8"/>
        <v>71.6</v>
      </c>
      <c r="L602">
        <f t="shared" si="9"/>
        <v>1</v>
      </c>
      <c r="M602">
        <f t="shared" si="10"/>
        <v>0</v>
      </c>
      <c r="N602" s="100" t="s">
        <v>1470</v>
      </c>
      <c r="O602" s="101" t="s">
        <v>68</v>
      </c>
      <c r="P602" s="97">
        <v>99.84</v>
      </c>
      <c r="Q602" s="98">
        <v>71.6</v>
      </c>
      <c r="R602" s="102" t="s">
        <v>93</v>
      </c>
      <c r="S602" s="100" t="s">
        <v>1457</v>
      </c>
      <c r="T602">
        <f t="shared" si="11"/>
        <v>28.24</v>
      </c>
    </row>
    <row r="603" hidden="1">
      <c r="A603" s="32" t="str">
        <f t="shared" si="1"/>
        <v>2021CockWeek 10</v>
      </c>
      <c r="B603" s="32" t="str">
        <f t="shared" si="2"/>
        <v>2021Rooney/JacksonWeek 10</v>
      </c>
      <c r="C603" s="32" t="str">
        <f t="shared" si="3"/>
        <v>Week 10</v>
      </c>
      <c r="D603" s="32">
        <v>2021.0</v>
      </c>
      <c r="E603" t="str">
        <f t="shared" si="4"/>
        <v>10</v>
      </c>
      <c r="F603" t="str">
        <f t="shared" si="5"/>
        <v>Jack Babcock, Chris Cochrane</v>
      </c>
      <c r="G603" s="40" t="str">
        <f>VLOOKUP(F603,'Manager Coding'!C:D,2,0)</f>
        <v>Cock</v>
      </c>
      <c r="H603" s="41">
        <f t="shared" si="6"/>
        <v>69.52</v>
      </c>
      <c r="I603" t="str">
        <f t="shared" si="7"/>
        <v>Stephen Rooney, Jackson Sattell</v>
      </c>
      <c r="J603" t="str">
        <f>VLOOKUP(I603,'Manager Coding'!C:D,2,0)</f>
        <v>Rooney/Jackson</v>
      </c>
      <c r="K603" s="41">
        <f t="shared" si="8"/>
        <v>101.14</v>
      </c>
      <c r="L603">
        <f t="shared" si="9"/>
        <v>0</v>
      </c>
      <c r="M603">
        <f t="shared" si="10"/>
        <v>1</v>
      </c>
      <c r="N603" s="95" t="s">
        <v>1477</v>
      </c>
      <c r="O603" s="96" t="s">
        <v>73</v>
      </c>
      <c r="P603" s="104">
        <v>69.52</v>
      </c>
      <c r="Q603" s="105">
        <v>101.14</v>
      </c>
      <c r="R603" s="103" t="s">
        <v>58</v>
      </c>
      <c r="S603" s="95" t="s">
        <v>1453</v>
      </c>
      <c r="T603">
        <f t="shared" si="11"/>
        <v>31.62</v>
      </c>
    </row>
    <row r="604" hidden="1">
      <c r="A604" s="32" t="str">
        <f t="shared" si="1"/>
        <v>2021HudspeathWeek 10</v>
      </c>
      <c r="B604" s="32" t="str">
        <f t="shared" si="2"/>
        <v>2021BuserWeek 10</v>
      </c>
      <c r="C604" s="32" t="str">
        <f t="shared" si="3"/>
        <v>Week 10</v>
      </c>
      <c r="D604" s="32">
        <v>2021.0</v>
      </c>
      <c r="E604" t="str">
        <f t="shared" si="4"/>
        <v>10</v>
      </c>
      <c r="F604" t="str">
        <f t="shared" si="5"/>
        <v>matt hudspeath</v>
      </c>
      <c r="G604" s="40" t="str">
        <f>VLOOKUP(F604,'Manager Coding'!C:D,2,0)</f>
        <v>Hudspeath</v>
      </c>
      <c r="H604" s="41">
        <f t="shared" si="6"/>
        <v>76.68</v>
      </c>
      <c r="I604" t="str">
        <f t="shared" si="7"/>
        <v>Ed Buser</v>
      </c>
      <c r="J604" t="str">
        <f>VLOOKUP(I604,'Manager Coding'!C:D,2,0)</f>
        <v>Buser</v>
      </c>
      <c r="K604" s="41">
        <f t="shared" si="8"/>
        <v>77.2</v>
      </c>
      <c r="L604">
        <f t="shared" si="9"/>
        <v>0</v>
      </c>
      <c r="M604">
        <f t="shared" si="10"/>
        <v>1</v>
      </c>
      <c r="N604" s="100" t="s">
        <v>1482</v>
      </c>
      <c r="O604" s="101" t="s">
        <v>64</v>
      </c>
      <c r="P604" s="104">
        <v>76.68</v>
      </c>
      <c r="Q604" s="105">
        <v>77.2</v>
      </c>
      <c r="R604" s="102" t="s">
        <v>50</v>
      </c>
      <c r="S604" s="100" t="s">
        <v>1454</v>
      </c>
      <c r="T604">
        <f t="shared" si="11"/>
        <v>0.52</v>
      </c>
    </row>
    <row r="605" hidden="1">
      <c r="A605" s="32" t="str">
        <f t="shared" si="1"/>
        <v>2021T-HowWeek 10</v>
      </c>
      <c r="B605" s="32" t="str">
        <f t="shared" si="2"/>
        <v>2021FellowsWeek 10</v>
      </c>
      <c r="C605" s="32" t="str">
        <f t="shared" si="3"/>
        <v>Week 10</v>
      </c>
      <c r="D605" s="32">
        <v>2021.0</v>
      </c>
      <c r="E605" t="str">
        <f t="shared" si="4"/>
        <v>10</v>
      </c>
      <c r="F605" t="str">
        <f t="shared" si="5"/>
        <v>Tyler Howard</v>
      </c>
      <c r="G605" s="40" t="str">
        <f>VLOOKUP(F605,'Manager Coding'!C:D,2,0)</f>
        <v>T-How</v>
      </c>
      <c r="H605" s="41">
        <f t="shared" si="6"/>
        <v>103.44</v>
      </c>
      <c r="I605" t="str">
        <f t="shared" si="7"/>
        <v>Michael Fellows</v>
      </c>
      <c r="J605" t="str">
        <f>VLOOKUP(I605,'Manager Coding'!C:D,2,0)</f>
        <v>Fellows</v>
      </c>
      <c r="K605" s="41">
        <f t="shared" si="8"/>
        <v>112.48</v>
      </c>
      <c r="L605">
        <f t="shared" si="9"/>
        <v>0</v>
      </c>
      <c r="M605">
        <f t="shared" si="10"/>
        <v>1</v>
      </c>
      <c r="N605" s="95" t="s">
        <v>1480</v>
      </c>
      <c r="O605" s="96" t="s">
        <v>85</v>
      </c>
      <c r="P605" s="104">
        <v>103.44</v>
      </c>
      <c r="Q605" s="105">
        <v>112.48</v>
      </c>
      <c r="R605" s="103" t="s">
        <v>80</v>
      </c>
      <c r="S605" s="95" t="s">
        <v>1463</v>
      </c>
      <c r="T605">
        <f t="shared" si="11"/>
        <v>9.04</v>
      </c>
    </row>
    <row r="606" hidden="1">
      <c r="A606" s="32" t="str">
        <f t="shared" si="1"/>
        <v>2021ShepWeek 10</v>
      </c>
      <c r="B606" s="32" t="str">
        <f t="shared" si="2"/>
        <v>2021TayskiWeek 10</v>
      </c>
      <c r="C606" s="32" t="str">
        <f t="shared" si="3"/>
        <v>Week 10</v>
      </c>
      <c r="D606" s="32">
        <v>2021.0</v>
      </c>
      <c r="E606" t="str">
        <f t="shared" si="4"/>
        <v>10</v>
      </c>
      <c r="F606" t="str">
        <f t="shared" si="5"/>
        <v>Jordan Shepherd</v>
      </c>
      <c r="G606" s="40" t="str">
        <f>VLOOKUP(F606,'Manager Coding'!C:D,2,0)</f>
        <v>Shep</v>
      </c>
      <c r="H606" s="41">
        <f t="shared" si="6"/>
        <v>100.52</v>
      </c>
      <c r="I606" t="str">
        <f t="shared" si="7"/>
        <v>Taylor Weis</v>
      </c>
      <c r="J606" t="str">
        <f>VLOOKUP(I606,'Manager Coding'!C:D,2,0)</f>
        <v>Tayski</v>
      </c>
      <c r="K606" s="41">
        <f t="shared" si="8"/>
        <v>70.52</v>
      </c>
      <c r="L606">
        <f t="shared" si="9"/>
        <v>1</v>
      </c>
      <c r="M606">
        <f t="shared" si="10"/>
        <v>0</v>
      </c>
      <c r="N606" s="100" t="s">
        <v>1476</v>
      </c>
      <c r="O606" s="101" t="s">
        <v>91</v>
      </c>
      <c r="P606" s="97">
        <v>100.52</v>
      </c>
      <c r="Q606" s="98">
        <v>70.52</v>
      </c>
      <c r="R606" s="102" t="s">
        <v>54</v>
      </c>
      <c r="S606" s="100" t="s">
        <v>1467</v>
      </c>
      <c r="T606">
        <f t="shared" si="11"/>
        <v>30</v>
      </c>
    </row>
    <row r="607" hidden="1">
      <c r="A607" s="32" t="str">
        <f t="shared" si="1"/>
        <v>#N/A</v>
      </c>
      <c r="B607" s="32" t="str">
        <f t="shared" si="2"/>
        <v>#N/A</v>
      </c>
      <c r="C607" s="32" t="str">
        <f t="shared" si="3"/>
        <v>Week 10</v>
      </c>
      <c r="D607" s="32">
        <v>2021.0</v>
      </c>
      <c r="E607" t="str">
        <f t="shared" si="4"/>
        <v>10</v>
      </c>
      <c r="F607" t="str">
        <f t="shared" si="5"/>
        <v/>
      </c>
      <c r="G607" s="40" t="str">
        <f>VLOOKUP(F607,'Manager Coding'!C:D,2,0)</f>
        <v>#N/A</v>
      </c>
      <c r="H607" s="41" t="str">
        <f t="shared" si="6"/>
        <v/>
      </c>
      <c r="I607" t="str">
        <f t="shared" si="7"/>
        <v/>
      </c>
      <c r="J607" t="str">
        <f>VLOOKUP(I607,'Manager Coding'!C:D,2,0)</f>
        <v>#N/A</v>
      </c>
      <c r="K607" s="41" t="str">
        <f t="shared" si="8"/>
        <v/>
      </c>
      <c r="L607">
        <f t="shared" si="9"/>
        <v>0</v>
      </c>
      <c r="M607">
        <f t="shared" si="10"/>
        <v>0</v>
      </c>
      <c r="N607" s="91" t="s">
        <v>430</v>
      </c>
      <c r="P607" s="41"/>
      <c r="Q607" s="41"/>
      <c r="T607">
        <f t="shared" si="11"/>
        <v>0</v>
      </c>
    </row>
    <row r="608" hidden="1">
      <c r="A608" s="32" t="str">
        <f t="shared" si="1"/>
        <v>#N/A</v>
      </c>
      <c r="B608" s="32" t="str">
        <f t="shared" si="2"/>
        <v>#N/A</v>
      </c>
      <c r="C608" s="32" t="str">
        <f t="shared" si="3"/>
        <v>Week 11</v>
      </c>
      <c r="D608" s="32">
        <v>2021.0</v>
      </c>
      <c r="E608" t="str">
        <f t="shared" si="4"/>
        <v>11</v>
      </c>
      <c r="F608" t="str">
        <f t="shared" si="5"/>
        <v/>
      </c>
      <c r="G608" s="40" t="str">
        <f>VLOOKUP(F608,'Manager Coding'!C:D,2,0)</f>
        <v>#N/A</v>
      </c>
      <c r="H608" s="41" t="str">
        <f t="shared" si="6"/>
        <v/>
      </c>
      <c r="I608" t="str">
        <f t="shared" si="7"/>
        <v/>
      </c>
      <c r="J608" t="str">
        <f>VLOOKUP(I608,'Manager Coding'!C:D,2,0)</f>
        <v>#N/A</v>
      </c>
      <c r="K608" s="41" t="str">
        <f t="shared" si="8"/>
        <v/>
      </c>
      <c r="L608">
        <f t="shared" si="9"/>
        <v>0</v>
      </c>
      <c r="M608">
        <f t="shared" si="10"/>
        <v>0</v>
      </c>
      <c r="N608" s="92" t="s">
        <v>1486</v>
      </c>
      <c r="P608" s="41"/>
      <c r="Q608" s="41"/>
      <c r="T608">
        <f t="shared" si="11"/>
        <v>0</v>
      </c>
    </row>
    <row r="609" hidden="1">
      <c r="A609" s="32" t="str">
        <f t="shared" si="1"/>
        <v>#N/A</v>
      </c>
      <c r="B609" s="32" t="str">
        <f t="shared" si="2"/>
        <v>#N/A</v>
      </c>
      <c r="C609" s="32" t="str">
        <f t="shared" si="3"/>
        <v>Week 11</v>
      </c>
      <c r="D609" s="32">
        <v>2021.0</v>
      </c>
      <c r="E609" t="str">
        <f t="shared" si="4"/>
        <v>11</v>
      </c>
      <c r="F609" t="str">
        <f t="shared" si="5"/>
        <v>TEAM MANAGER(S)</v>
      </c>
      <c r="G609" s="40" t="str">
        <f>VLOOKUP(F609,'Manager Coding'!C:D,2,0)</f>
        <v>#N/A</v>
      </c>
      <c r="H609" s="41" t="str">
        <f t="shared" si="6"/>
        <v>SCORE</v>
      </c>
      <c r="I609" t="str">
        <f t="shared" si="7"/>
        <v>TEAM MANAGER(S)</v>
      </c>
      <c r="J609" t="str">
        <f>VLOOKUP(I609,'Manager Coding'!C:D,2,0)</f>
        <v>#N/A</v>
      </c>
      <c r="K609" s="41" t="str">
        <f t="shared" si="8"/>
        <v>SCORE</v>
      </c>
      <c r="L609">
        <f t="shared" si="9"/>
        <v>0</v>
      </c>
      <c r="M609">
        <f t="shared" si="10"/>
        <v>0</v>
      </c>
      <c r="N609" s="93" t="s">
        <v>197</v>
      </c>
      <c r="O609" s="93" t="s">
        <v>88</v>
      </c>
      <c r="P609" s="94" t="s">
        <v>94</v>
      </c>
      <c r="Q609" s="93" t="s">
        <v>94</v>
      </c>
      <c r="R609" s="94" t="s">
        <v>88</v>
      </c>
      <c r="S609" s="94" t="s">
        <v>101</v>
      </c>
      <c r="T609">
        <f t="shared" si="11"/>
        <v>0</v>
      </c>
    </row>
    <row r="610" hidden="1">
      <c r="A610" s="32" t="str">
        <f t="shared" si="1"/>
        <v>2021SaltyWeek 11</v>
      </c>
      <c r="B610" s="32" t="str">
        <f t="shared" si="2"/>
        <v>2021PiersonWeek 11</v>
      </c>
      <c r="C610" s="32" t="str">
        <f t="shared" si="3"/>
        <v>Week 11</v>
      </c>
      <c r="D610" s="32">
        <v>2021.0</v>
      </c>
      <c r="E610" t="str">
        <f t="shared" si="4"/>
        <v>11</v>
      </c>
      <c r="F610" t="str">
        <f t="shared" si="5"/>
        <v>R Saltiel</v>
      </c>
      <c r="G610" s="40" t="str">
        <f>VLOOKUP(F610,'Manager Coding'!C:D,2,0)</f>
        <v>Salty</v>
      </c>
      <c r="H610" s="41">
        <f t="shared" si="6"/>
        <v>94.26</v>
      </c>
      <c r="I610" t="str">
        <f t="shared" si="7"/>
        <v>Pierson Curtis</v>
      </c>
      <c r="J610" t="str">
        <f>VLOOKUP(I610,'Manager Coding'!C:D,2,0)</f>
        <v>Pierson</v>
      </c>
      <c r="K610" s="41">
        <f t="shared" si="8"/>
        <v>83.48</v>
      </c>
      <c r="L610">
        <f t="shared" si="9"/>
        <v>1</v>
      </c>
      <c r="M610">
        <f t="shared" si="10"/>
        <v>0</v>
      </c>
      <c r="N610" s="95" t="s">
        <v>1447</v>
      </c>
      <c r="O610" s="106" t="s">
        <v>77</v>
      </c>
      <c r="P610" s="97">
        <v>94.26</v>
      </c>
      <c r="Q610" s="98">
        <v>83.48</v>
      </c>
      <c r="R610" s="103" t="s">
        <v>93</v>
      </c>
      <c r="S610" s="95" t="s">
        <v>1457</v>
      </c>
      <c r="T610">
        <f t="shared" si="11"/>
        <v>10.78</v>
      </c>
    </row>
    <row r="611" hidden="1">
      <c r="A611" s="32" t="str">
        <f t="shared" si="1"/>
        <v>2021Rooney/JacksonWeek 11</v>
      </c>
      <c r="B611" s="32" t="str">
        <f t="shared" si="2"/>
        <v>2021KnardDawgWeek 11</v>
      </c>
      <c r="C611" s="32" t="str">
        <f t="shared" si="3"/>
        <v>Week 11</v>
      </c>
      <c r="D611" s="32">
        <v>2021.0</v>
      </c>
      <c r="E611" t="str">
        <f t="shared" si="4"/>
        <v>11</v>
      </c>
      <c r="F611" t="str">
        <f t="shared" si="5"/>
        <v>Stephen Rooney, Jackson Sattell</v>
      </c>
      <c r="G611" s="40" t="str">
        <f>VLOOKUP(F611,'Manager Coding'!C:D,2,0)</f>
        <v>Rooney/Jackson</v>
      </c>
      <c r="H611" s="41">
        <f t="shared" si="6"/>
        <v>98.2</v>
      </c>
      <c r="I611" t="str">
        <f t="shared" si="7"/>
        <v>Alex Kinniard, Jack Reilly</v>
      </c>
      <c r="J611" t="str">
        <f>VLOOKUP(I611,'Manager Coding'!C:D,2,0)</f>
        <v>KnardDawg</v>
      </c>
      <c r="K611" s="41">
        <f t="shared" si="8"/>
        <v>81.88</v>
      </c>
      <c r="L611">
        <f t="shared" si="9"/>
        <v>1</v>
      </c>
      <c r="M611">
        <f t="shared" si="10"/>
        <v>0</v>
      </c>
      <c r="N611" s="100" t="s">
        <v>1453</v>
      </c>
      <c r="O611" s="101" t="s">
        <v>58</v>
      </c>
      <c r="P611" s="97">
        <v>98.2</v>
      </c>
      <c r="Q611" s="98">
        <v>81.88</v>
      </c>
      <c r="R611" s="102" t="s">
        <v>87</v>
      </c>
      <c r="S611" s="100" t="s">
        <v>1464</v>
      </c>
      <c r="T611">
        <f t="shared" si="11"/>
        <v>16.32</v>
      </c>
    </row>
    <row r="612" hidden="1">
      <c r="A612" s="32" t="str">
        <f t="shared" si="1"/>
        <v>2021BuserWeek 11</v>
      </c>
      <c r="B612" s="32" t="str">
        <f t="shared" si="2"/>
        <v>2021RileyWeek 11</v>
      </c>
      <c r="C612" s="32" t="str">
        <f t="shared" si="3"/>
        <v>Week 11</v>
      </c>
      <c r="D612" s="32">
        <v>2021.0</v>
      </c>
      <c r="E612" t="str">
        <f t="shared" si="4"/>
        <v>11</v>
      </c>
      <c r="F612" t="str">
        <f t="shared" si="5"/>
        <v>Ed Buser</v>
      </c>
      <c r="G612" s="40" t="str">
        <f>VLOOKUP(F612,'Manager Coding'!C:D,2,0)</f>
        <v>Buser</v>
      </c>
      <c r="H612" s="41">
        <f t="shared" si="6"/>
        <v>134.28</v>
      </c>
      <c r="I612" t="str">
        <f t="shared" si="7"/>
        <v>Riley McElwain</v>
      </c>
      <c r="J612" t="str">
        <f>VLOOKUP(I612,'Manager Coding'!C:D,2,0)</f>
        <v>Riley</v>
      </c>
      <c r="K612" s="41">
        <f t="shared" si="8"/>
        <v>104.14</v>
      </c>
      <c r="L612">
        <f t="shared" si="9"/>
        <v>1</v>
      </c>
      <c r="M612">
        <f t="shared" si="10"/>
        <v>0</v>
      </c>
      <c r="N612" s="95" t="s">
        <v>1454</v>
      </c>
      <c r="O612" s="96" t="s">
        <v>50</v>
      </c>
      <c r="P612" s="97">
        <v>134.28</v>
      </c>
      <c r="Q612" s="98">
        <v>104.14</v>
      </c>
      <c r="R612" s="103" t="s">
        <v>68</v>
      </c>
      <c r="S612" s="95" t="s">
        <v>1470</v>
      </c>
      <c r="T612">
        <f t="shared" si="11"/>
        <v>30.14</v>
      </c>
    </row>
    <row r="613" hidden="1">
      <c r="A613" s="32" t="str">
        <f t="shared" si="1"/>
        <v>2021FellowsWeek 11</v>
      </c>
      <c r="B613" s="32" t="str">
        <f t="shared" si="2"/>
        <v>2021CockWeek 11</v>
      </c>
      <c r="C613" s="32" t="str">
        <f t="shared" si="3"/>
        <v>Week 11</v>
      </c>
      <c r="D613" s="32">
        <v>2021.0</v>
      </c>
      <c r="E613" t="str">
        <f t="shared" si="4"/>
        <v>11</v>
      </c>
      <c r="F613" t="str">
        <f t="shared" si="5"/>
        <v>Michael Fellows</v>
      </c>
      <c r="G613" s="40" t="str">
        <f>VLOOKUP(F613,'Manager Coding'!C:D,2,0)</f>
        <v>Fellows</v>
      </c>
      <c r="H613" s="41">
        <f t="shared" si="6"/>
        <v>79.72</v>
      </c>
      <c r="I613" t="str">
        <f t="shared" si="7"/>
        <v>Jack Babcock, Chris Cochrane</v>
      </c>
      <c r="J613" t="str">
        <f>VLOOKUP(I613,'Manager Coding'!C:D,2,0)</f>
        <v>Cock</v>
      </c>
      <c r="K613" s="41">
        <f t="shared" si="8"/>
        <v>112.28</v>
      </c>
      <c r="L613">
        <f t="shared" si="9"/>
        <v>0</v>
      </c>
      <c r="M613">
        <f t="shared" si="10"/>
        <v>1</v>
      </c>
      <c r="N613" s="100" t="s">
        <v>1463</v>
      </c>
      <c r="O613" s="101" t="s">
        <v>80</v>
      </c>
      <c r="P613" s="104">
        <v>79.72</v>
      </c>
      <c r="Q613" s="105">
        <v>112.28</v>
      </c>
      <c r="R613" s="102" t="s">
        <v>73</v>
      </c>
      <c r="S613" s="100" t="s">
        <v>1477</v>
      </c>
      <c r="T613">
        <f t="shared" si="11"/>
        <v>32.56</v>
      </c>
    </row>
    <row r="614" hidden="1">
      <c r="A614" s="32" t="str">
        <f t="shared" si="1"/>
        <v>2021TayskiWeek 11</v>
      </c>
      <c r="B614" s="32" t="str">
        <f t="shared" si="2"/>
        <v>2021HudspeathWeek 11</v>
      </c>
      <c r="C614" s="32" t="str">
        <f t="shared" si="3"/>
        <v>Week 11</v>
      </c>
      <c r="D614" s="32">
        <v>2021.0</v>
      </c>
      <c r="E614" t="str">
        <f t="shared" si="4"/>
        <v>11</v>
      </c>
      <c r="F614" t="str">
        <f t="shared" si="5"/>
        <v>Taylor Weis</v>
      </c>
      <c r="G614" s="40" t="str">
        <f>VLOOKUP(F614,'Manager Coding'!C:D,2,0)</f>
        <v>Tayski</v>
      </c>
      <c r="H614" s="41">
        <f t="shared" si="6"/>
        <v>89.96</v>
      </c>
      <c r="I614" t="str">
        <f t="shared" si="7"/>
        <v>matt hudspeath</v>
      </c>
      <c r="J614" t="str">
        <f>VLOOKUP(I614,'Manager Coding'!C:D,2,0)</f>
        <v>Hudspeath</v>
      </c>
      <c r="K614" s="41">
        <f t="shared" si="8"/>
        <v>97.1</v>
      </c>
      <c r="L614">
        <f t="shared" si="9"/>
        <v>0</v>
      </c>
      <c r="M614">
        <f t="shared" si="10"/>
        <v>1</v>
      </c>
      <c r="N614" s="95" t="s">
        <v>1467</v>
      </c>
      <c r="O614" s="96" t="s">
        <v>54</v>
      </c>
      <c r="P614" s="104">
        <v>89.96</v>
      </c>
      <c r="Q614" s="105">
        <v>97.1</v>
      </c>
      <c r="R614" s="103" t="s">
        <v>64</v>
      </c>
      <c r="S614" s="95" t="s">
        <v>1482</v>
      </c>
      <c r="T614">
        <f t="shared" si="11"/>
        <v>7.14</v>
      </c>
    </row>
    <row r="615" hidden="1">
      <c r="A615" s="32" t="str">
        <f t="shared" si="1"/>
        <v>2021ShepWeek 11</v>
      </c>
      <c r="B615" s="32" t="str">
        <f t="shared" si="2"/>
        <v>2021T-HowWeek 11</v>
      </c>
      <c r="C615" s="32" t="str">
        <f t="shared" si="3"/>
        <v>Week 11</v>
      </c>
      <c r="D615" s="32">
        <v>2021.0</v>
      </c>
      <c r="E615" t="str">
        <f t="shared" si="4"/>
        <v>11</v>
      </c>
      <c r="F615" t="str">
        <f t="shared" si="5"/>
        <v>Jordan Shepherd</v>
      </c>
      <c r="G615" s="40" t="str">
        <f>VLOOKUP(F615,'Manager Coding'!C:D,2,0)</f>
        <v>Shep</v>
      </c>
      <c r="H615" s="41">
        <f t="shared" si="6"/>
        <v>93.22</v>
      </c>
      <c r="I615" t="str">
        <f t="shared" si="7"/>
        <v>Tyler Howard</v>
      </c>
      <c r="J615" t="str">
        <f>VLOOKUP(I615,'Manager Coding'!C:D,2,0)</f>
        <v>T-How</v>
      </c>
      <c r="K615" s="41">
        <f t="shared" si="8"/>
        <v>84.6</v>
      </c>
      <c r="L615">
        <f t="shared" si="9"/>
        <v>1</v>
      </c>
      <c r="M615">
        <f t="shared" si="10"/>
        <v>0</v>
      </c>
      <c r="N615" s="100" t="s">
        <v>1476</v>
      </c>
      <c r="O615" s="101" t="s">
        <v>91</v>
      </c>
      <c r="P615" s="97">
        <v>93.22</v>
      </c>
      <c r="Q615" s="98">
        <v>84.6</v>
      </c>
      <c r="R615" s="102" t="s">
        <v>85</v>
      </c>
      <c r="S615" s="100" t="s">
        <v>1480</v>
      </c>
      <c r="T615">
        <f t="shared" si="11"/>
        <v>8.62</v>
      </c>
    </row>
    <row r="616" hidden="1">
      <c r="A616" s="32" t="str">
        <f t="shared" si="1"/>
        <v>#N/A</v>
      </c>
      <c r="B616" s="32" t="str">
        <f t="shared" si="2"/>
        <v>#N/A</v>
      </c>
      <c r="C616" s="32" t="str">
        <f t="shared" si="3"/>
        <v>Week 11</v>
      </c>
      <c r="D616" s="32">
        <v>2021.0</v>
      </c>
      <c r="E616" t="str">
        <f t="shared" si="4"/>
        <v>11</v>
      </c>
      <c r="F616" t="str">
        <f t="shared" si="5"/>
        <v/>
      </c>
      <c r="G616" s="40" t="str">
        <f>VLOOKUP(F616,'Manager Coding'!C:D,2,0)</f>
        <v>#N/A</v>
      </c>
      <c r="H616" s="41" t="str">
        <f t="shared" si="6"/>
        <v/>
      </c>
      <c r="I616" t="str">
        <f t="shared" si="7"/>
        <v/>
      </c>
      <c r="J616" t="str">
        <f>VLOOKUP(I616,'Manager Coding'!C:D,2,0)</f>
        <v>#N/A</v>
      </c>
      <c r="K616" s="41" t="str">
        <f t="shared" si="8"/>
        <v/>
      </c>
      <c r="L616">
        <f t="shared" si="9"/>
        <v>0</v>
      </c>
      <c r="M616">
        <f t="shared" si="10"/>
        <v>0</v>
      </c>
      <c r="N616" s="91" t="s">
        <v>455</v>
      </c>
      <c r="P616" s="41"/>
      <c r="Q616" s="41"/>
      <c r="T616">
        <f t="shared" si="11"/>
        <v>0</v>
      </c>
    </row>
    <row r="617" hidden="1">
      <c r="A617" s="32" t="str">
        <f t="shared" si="1"/>
        <v>#N/A</v>
      </c>
      <c r="B617" s="32" t="str">
        <f t="shared" si="2"/>
        <v>#N/A</v>
      </c>
      <c r="C617" s="32" t="str">
        <f t="shared" si="3"/>
        <v>Week 12</v>
      </c>
      <c r="D617" s="32">
        <v>2021.0</v>
      </c>
      <c r="E617" t="str">
        <f t="shared" si="4"/>
        <v>12</v>
      </c>
      <c r="F617" t="str">
        <f t="shared" si="5"/>
        <v/>
      </c>
      <c r="G617" s="40" t="str">
        <f>VLOOKUP(F617,'Manager Coding'!C:D,2,0)</f>
        <v>#N/A</v>
      </c>
      <c r="H617" s="41" t="str">
        <f t="shared" si="6"/>
        <v/>
      </c>
      <c r="I617" t="str">
        <f t="shared" si="7"/>
        <v/>
      </c>
      <c r="J617" t="str">
        <f>VLOOKUP(I617,'Manager Coding'!C:D,2,0)</f>
        <v>#N/A</v>
      </c>
      <c r="K617" s="41" t="str">
        <f t="shared" si="8"/>
        <v/>
      </c>
      <c r="L617">
        <f t="shared" si="9"/>
        <v>0</v>
      </c>
      <c r="M617">
        <f t="shared" si="10"/>
        <v>0</v>
      </c>
      <c r="N617" s="92" t="s">
        <v>1486</v>
      </c>
      <c r="P617" s="41"/>
      <c r="Q617" s="41"/>
      <c r="T617">
        <f t="shared" si="11"/>
        <v>0</v>
      </c>
    </row>
    <row r="618" hidden="1">
      <c r="A618" s="32" t="str">
        <f t="shared" si="1"/>
        <v>#N/A</v>
      </c>
      <c r="B618" s="32" t="str">
        <f t="shared" si="2"/>
        <v>#N/A</v>
      </c>
      <c r="C618" s="32" t="str">
        <f t="shared" si="3"/>
        <v>Week 12</v>
      </c>
      <c r="D618" s="32">
        <v>2021.0</v>
      </c>
      <c r="E618" t="str">
        <f t="shared" si="4"/>
        <v>12</v>
      </c>
      <c r="F618" t="str">
        <f t="shared" si="5"/>
        <v>TEAM MANAGER(S)</v>
      </c>
      <c r="G618" s="40" t="str">
        <f>VLOOKUP(F618,'Manager Coding'!C:D,2,0)</f>
        <v>#N/A</v>
      </c>
      <c r="H618" s="41" t="str">
        <f t="shared" si="6"/>
        <v>SCORE</v>
      </c>
      <c r="I618" t="str">
        <f t="shared" si="7"/>
        <v>TEAM MANAGER(S)</v>
      </c>
      <c r="J618" t="str">
        <f>VLOOKUP(I618,'Manager Coding'!C:D,2,0)</f>
        <v>#N/A</v>
      </c>
      <c r="K618" s="41" t="str">
        <f t="shared" si="8"/>
        <v>SCORE</v>
      </c>
      <c r="L618">
        <f t="shared" si="9"/>
        <v>0</v>
      </c>
      <c r="M618">
        <f t="shared" si="10"/>
        <v>0</v>
      </c>
      <c r="N618" s="93" t="s">
        <v>197</v>
      </c>
      <c r="O618" s="93" t="s">
        <v>88</v>
      </c>
      <c r="P618" s="94" t="s">
        <v>94</v>
      </c>
      <c r="Q618" s="93" t="s">
        <v>94</v>
      </c>
      <c r="R618" s="94" t="s">
        <v>88</v>
      </c>
      <c r="S618" s="94" t="s">
        <v>101</v>
      </c>
      <c r="T618">
        <f t="shared" si="11"/>
        <v>0</v>
      </c>
    </row>
    <row r="619" hidden="1">
      <c r="A619" s="32" t="str">
        <f t="shared" si="1"/>
        <v>2021Rooney/JacksonWeek 12</v>
      </c>
      <c r="B619" s="32" t="str">
        <f t="shared" si="2"/>
        <v>2021SaltyWeek 12</v>
      </c>
      <c r="C619" s="32" t="str">
        <f t="shared" si="3"/>
        <v>Week 12</v>
      </c>
      <c r="D619" s="32">
        <v>2021.0</v>
      </c>
      <c r="E619" t="str">
        <f t="shared" si="4"/>
        <v>12</v>
      </c>
      <c r="F619" t="str">
        <f t="shared" si="5"/>
        <v>Stephen Rooney, Jackson Sattell</v>
      </c>
      <c r="G619" s="40" t="str">
        <f>VLOOKUP(F619,'Manager Coding'!C:D,2,0)</f>
        <v>Rooney/Jackson</v>
      </c>
      <c r="H619" s="41">
        <f t="shared" si="6"/>
        <v>89.72</v>
      </c>
      <c r="I619" t="str">
        <f t="shared" si="7"/>
        <v>R Saltiel</v>
      </c>
      <c r="J619" t="str">
        <f>VLOOKUP(I619,'Manager Coding'!C:D,2,0)</f>
        <v>Salty</v>
      </c>
      <c r="K619" s="41">
        <f t="shared" si="8"/>
        <v>116.8</v>
      </c>
      <c r="L619">
        <f t="shared" si="9"/>
        <v>0</v>
      </c>
      <c r="M619">
        <f t="shared" si="10"/>
        <v>1</v>
      </c>
      <c r="N619" s="95" t="s">
        <v>1453</v>
      </c>
      <c r="O619" s="96" t="s">
        <v>58</v>
      </c>
      <c r="P619" s="104">
        <v>89.72</v>
      </c>
      <c r="Q619" s="105">
        <v>116.8</v>
      </c>
      <c r="R619" s="99" t="s">
        <v>77</v>
      </c>
      <c r="S619" s="95" t="s">
        <v>1447</v>
      </c>
      <c r="T619">
        <f t="shared" si="11"/>
        <v>27.08</v>
      </c>
    </row>
    <row r="620" hidden="1">
      <c r="A620" s="32" t="str">
        <f t="shared" si="1"/>
        <v>2021PiersonWeek 12</v>
      </c>
      <c r="B620" s="32" t="str">
        <f t="shared" si="2"/>
        <v>2021BuserWeek 12</v>
      </c>
      <c r="C620" s="32" t="str">
        <f t="shared" si="3"/>
        <v>Week 12</v>
      </c>
      <c r="D620" s="32">
        <v>2021.0</v>
      </c>
      <c r="E620" t="str">
        <f t="shared" si="4"/>
        <v>12</v>
      </c>
      <c r="F620" t="str">
        <f t="shared" si="5"/>
        <v>Pierson Curtis</v>
      </c>
      <c r="G620" s="40" t="str">
        <f>VLOOKUP(F620,'Manager Coding'!C:D,2,0)</f>
        <v>Pierson</v>
      </c>
      <c r="H620" s="41">
        <f t="shared" si="6"/>
        <v>104.54</v>
      </c>
      <c r="I620" t="str">
        <f t="shared" si="7"/>
        <v>Ed Buser</v>
      </c>
      <c r="J620" t="str">
        <f>VLOOKUP(I620,'Manager Coding'!C:D,2,0)</f>
        <v>Buser</v>
      </c>
      <c r="K620" s="41">
        <f t="shared" si="8"/>
        <v>118.02</v>
      </c>
      <c r="L620">
        <f t="shared" si="9"/>
        <v>0</v>
      </c>
      <c r="M620">
        <f t="shared" si="10"/>
        <v>1</v>
      </c>
      <c r="N620" s="100" t="s">
        <v>1457</v>
      </c>
      <c r="O620" s="101" t="s">
        <v>93</v>
      </c>
      <c r="P620" s="104">
        <v>104.54</v>
      </c>
      <c r="Q620" s="105">
        <v>118.02</v>
      </c>
      <c r="R620" s="102" t="s">
        <v>50</v>
      </c>
      <c r="S620" s="100" t="s">
        <v>1454</v>
      </c>
      <c r="T620">
        <f t="shared" si="11"/>
        <v>13.48</v>
      </c>
    </row>
    <row r="621" hidden="1">
      <c r="A621" s="32" t="str">
        <f t="shared" si="1"/>
        <v>2021KnardDawgWeek 12</v>
      </c>
      <c r="B621" s="32" t="str">
        <f t="shared" si="2"/>
        <v>2021FellowsWeek 12</v>
      </c>
      <c r="C621" s="32" t="str">
        <f t="shared" si="3"/>
        <v>Week 12</v>
      </c>
      <c r="D621" s="32">
        <v>2021.0</v>
      </c>
      <c r="E621" t="str">
        <f t="shared" si="4"/>
        <v>12</v>
      </c>
      <c r="F621" t="str">
        <f t="shared" si="5"/>
        <v>Alex Kinniard, Jack Reilly</v>
      </c>
      <c r="G621" s="40" t="str">
        <f>VLOOKUP(F621,'Manager Coding'!C:D,2,0)</f>
        <v>KnardDawg</v>
      </c>
      <c r="H621" s="41">
        <f t="shared" si="6"/>
        <v>97.18</v>
      </c>
      <c r="I621" t="str">
        <f t="shared" si="7"/>
        <v>Michael Fellows</v>
      </c>
      <c r="J621" t="str">
        <f>VLOOKUP(I621,'Manager Coding'!C:D,2,0)</f>
        <v>Fellows</v>
      </c>
      <c r="K621" s="41">
        <f t="shared" si="8"/>
        <v>62.52</v>
      </c>
      <c r="L621">
        <f t="shared" si="9"/>
        <v>1</v>
      </c>
      <c r="M621">
        <f t="shared" si="10"/>
        <v>0</v>
      </c>
      <c r="N621" s="95" t="s">
        <v>1464</v>
      </c>
      <c r="O621" s="96" t="s">
        <v>87</v>
      </c>
      <c r="P621" s="97">
        <v>97.18</v>
      </c>
      <c r="Q621" s="98">
        <v>62.52</v>
      </c>
      <c r="R621" s="103" t="s">
        <v>80</v>
      </c>
      <c r="S621" s="95" t="s">
        <v>1463</v>
      </c>
      <c r="T621">
        <f t="shared" si="11"/>
        <v>34.66</v>
      </c>
    </row>
    <row r="622" hidden="1">
      <c r="A622" s="32" t="str">
        <f t="shared" si="1"/>
        <v>2021RileyWeek 12</v>
      </c>
      <c r="B622" s="32" t="str">
        <f t="shared" si="2"/>
        <v>2021TayskiWeek 12</v>
      </c>
      <c r="C622" s="32" t="str">
        <f t="shared" si="3"/>
        <v>Week 12</v>
      </c>
      <c r="D622" s="32">
        <v>2021.0</v>
      </c>
      <c r="E622" t="str">
        <f t="shared" si="4"/>
        <v>12</v>
      </c>
      <c r="F622" t="str">
        <f t="shared" si="5"/>
        <v>Riley McElwain</v>
      </c>
      <c r="G622" s="40" t="str">
        <f>VLOOKUP(F622,'Manager Coding'!C:D,2,0)</f>
        <v>Riley</v>
      </c>
      <c r="H622" s="41">
        <f t="shared" si="6"/>
        <v>117.5</v>
      </c>
      <c r="I622" t="str">
        <f t="shared" si="7"/>
        <v>Taylor Weis</v>
      </c>
      <c r="J622" t="str">
        <f>VLOOKUP(I622,'Manager Coding'!C:D,2,0)</f>
        <v>Tayski</v>
      </c>
      <c r="K622" s="41">
        <f t="shared" si="8"/>
        <v>39.94</v>
      </c>
      <c r="L622">
        <f t="shared" si="9"/>
        <v>1</v>
      </c>
      <c r="M622">
        <f t="shared" si="10"/>
        <v>0</v>
      </c>
      <c r="N622" s="100" t="s">
        <v>1470</v>
      </c>
      <c r="O622" s="101" t="s">
        <v>68</v>
      </c>
      <c r="P622" s="97">
        <v>117.5</v>
      </c>
      <c r="Q622" s="98">
        <v>39.94</v>
      </c>
      <c r="R622" s="102" t="s">
        <v>54</v>
      </c>
      <c r="S622" s="100" t="s">
        <v>1467</v>
      </c>
      <c r="T622">
        <f t="shared" si="11"/>
        <v>77.56</v>
      </c>
    </row>
    <row r="623" hidden="1">
      <c r="A623" s="32" t="str">
        <f t="shared" si="1"/>
        <v>2021CockWeek 12</v>
      </c>
      <c r="B623" s="32" t="str">
        <f t="shared" si="2"/>
        <v>2021ShepWeek 12</v>
      </c>
      <c r="C623" s="32" t="str">
        <f t="shared" si="3"/>
        <v>Week 12</v>
      </c>
      <c r="D623" s="32">
        <v>2021.0</v>
      </c>
      <c r="E623" t="str">
        <f t="shared" si="4"/>
        <v>12</v>
      </c>
      <c r="F623" t="str">
        <f t="shared" si="5"/>
        <v>Jack Babcock, Chris Cochrane</v>
      </c>
      <c r="G623" s="40" t="str">
        <f>VLOOKUP(F623,'Manager Coding'!C:D,2,0)</f>
        <v>Cock</v>
      </c>
      <c r="H623" s="41">
        <f t="shared" si="6"/>
        <v>46.96</v>
      </c>
      <c r="I623" t="str">
        <f t="shared" si="7"/>
        <v>Jordan Shepherd</v>
      </c>
      <c r="J623" t="str">
        <f>VLOOKUP(I623,'Manager Coding'!C:D,2,0)</f>
        <v>Shep</v>
      </c>
      <c r="K623" s="41">
        <f t="shared" si="8"/>
        <v>102.2</v>
      </c>
      <c r="L623">
        <f t="shared" si="9"/>
        <v>0</v>
      </c>
      <c r="M623">
        <f t="shared" si="10"/>
        <v>1</v>
      </c>
      <c r="N623" s="95" t="s">
        <v>1477</v>
      </c>
      <c r="O623" s="96" t="s">
        <v>73</v>
      </c>
      <c r="P623" s="104">
        <v>46.96</v>
      </c>
      <c r="Q623" s="105">
        <v>102.2</v>
      </c>
      <c r="R623" s="103" t="s">
        <v>91</v>
      </c>
      <c r="S623" s="95" t="s">
        <v>1476</v>
      </c>
      <c r="T623">
        <f t="shared" si="11"/>
        <v>55.24</v>
      </c>
    </row>
    <row r="624" hidden="1">
      <c r="A624" s="32" t="str">
        <f t="shared" si="1"/>
        <v>2021HudspeathWeek 12</v>
      </c>
      <c r="B624" s="32" t="str">
        <f t="shared" si="2"/>
        <v>2021T-HowWeek 12</v>
      </c>
      <c r="C624" s="32" t="str">
        <f t="shared" si="3"/>
        <v>Week 12</v>
      </c>
      <c r="D624" s="32">
        <v>2021.0</v>
      </c>
      <c r="E624" t="str">
        <f t="shared" si="4"/>
        <v>12</v>
      </c>
      <c r="F624" t="str">
        <f t="shared" si="5"/>
        <v>matt hudspeath</v>
      </c>
      <c r="G624" s="40" t="str">
        <f>VLOOKUP(F624,'Manager Coding'!C:D,2,0)</f>
        <v>Hudspeath</v>
      </c>
      <c r="H624" s="41">
        <f t="shared" si="6"/>
        <v>104.88</v>
      </c>
      <c r="I624" t="str">
        <f t="shared" si="7"/>
        <v>Tyler Howard</v>
      </c>
      <c r="J624" t="str">
        <f>VLOOKUP(I624,'Manager Coding'!C:D,2,0)</f>
        <v>T-How</v>
      </c>
      <c r="K624" s="41">
        <f t="shared" si="8"/>
        <v>79.12</v>
      </c>
      <c r="L624">
        <f t="shared" si="9"/>
        <v>1</v>
      </c>
      <c r="M624">
        <f t="shared" si="10"/>
        <v>0</v>
      </c>
      <c r="N624" s="100" t="s">
        <v>1482</v>
      </c>
      <c r="O624" s="101" t="s">
        <v>64</v>
      </c>
      <c r="P624" s="97">
        <v>104.88</v>
      </c>
      <c r="Q624" s="98">
        <v>79.12</v>
      </c>
      <c r="R624" s="102" t="s">
        <v>85</v>
      </c>
      <c r="S624" s="100" t="s">
        <v>1480</v>
      </c>
      <c r="T624">
        <f t="shared" si="11"/>
        <v>25.76</v>
      </c>
    </row>
    <row r="625" hidden="1">
      <c r="A625" s="32" t="str">
        <f t="shared" si="1"/>
        <v>#N/A</v>
      </c>
      <c r="B625" s="32" t="str">
        <f t="shared" si="2"/>
        <v>#N/A</v>
      </c>
      <c r="C625" s="32" t="str">
        <f t="shared" si="3"/>
        <v>Week 12</v>
      </c>
      <c r="D625" s="32">
        <v>2021.0</v>
      </c>
      <c r="E625" t="str">
        <f t="shared" si="4"/>
        <v>12</v>
      </c>
      <c r="F625" t="str">
        <f t="shared" si="5"/>
        <v/>
      </c>
      <c r="G625" s="40" t="str">
        <f>VLOOKUP(F625,'Manager Coding'!C:D,2,0)</f>
        <v>#N/A</v>
      </c>
      <c r="H625" s="41" t="str">
        <f t="shared" si="6"/>
        <v/>
      </c>
      <c r="I625" t="str">
        <f t="shared" si="7"/>
        <v/>
      </c>
      <c r="J625" t="str">
        <f>VLOOKUP(I625,'Manager Coding'!C:D,2,0)</f>
        <v>#N/A</v>
      </c>
      <c r="K625" s="41" t="str">
        <f t="shared" si="8"/>
        <v/>
      </c>
      <c r="L625">
        <f t="shared" si="9"/>
        <v>0</v>
      </c>
      <c r="M625">
        <f t="shared" si="10"/>
        <v>0</v>
      </c>
      <c r="N625" s="91" t="s">
        <v>477</v>
      </c>
      <c r="P625" s="41"/>
      <c r="Q625" s="41"/>
      <c r="T625">
        <f t="shared" si="11"/>
        <v>0</v>
      </c>
    </row>
    <row r="626" hidden="1">
      <c r="A626" s="32" t="str">
        <f t="shared" si="1"/>
        <v>#N/A</v>
      </c>
      <c r="B626" s="32" t="str">
        <f t="shared" si="2"/>
        <v>#N/A</v>
      </c>
      <c r="C626" s="32" t="str">
        <f t="shared" si="3"/>
        <v>Week 13</v>
      </c>
      <c r="D626" s="32">
        <v>2021.0</v>
      </c>
      <c r="E626" t="str">
        <f t="shared" si="4"/>
        <v>13</v>
      </c>
      <c r="F626" t="str">
        <f t="shared" si="5"/>
        <v/>
      </c>
      <c r="G626" s="40" t="str">
        <f>VLOOKUP(F626,'Manager Coding'!C:D,2,0)</f>
        <v>#N/A</v>
      </c>
      <c r="H626" s="41" t="str">
        <f t="shared" si="6"/>
        <v/>
      </c>
      <c r="I626" t="str">
        <f t="shared" si="7"/>
        <v/>
      </c>
      <c r="J626" t="str">
        <f>VLOOKUP(I626,'Manager Coding'!C:D,2,0)</f>
        <v>#N/A</v>
      </c>
      <c r="K626" s="41" t="str">
        <f t="shared" si="8"/>
        <v/>
      </c>
      <c r="L626">
        <f t="shared" si="9"/>
        <v>0</v>
      </c>
      <c r="M626">
        <f t="shared" si="10"/>
        <v>0</v>
      </c>
      <c r="N626" s="92" t="s">
        <v>1486</v>
      </c>
      <c r="P626" s="41"/>
      <c r="Q626" s="41"/>
      <c r="T626">
        <f t="shared" si="11"/>
        <v>0</v>
      </c>
    </row>
    <row r="627" hidden="1">
      <c r="A627" s="32" t="str">
        <f t="shared" si="1"/>
        <v>#N/A</v>
      </c>
      <c r="B627" s="32" t="str">
        <f t="shared" si="2"/>
        <v>#N/A</v>
      </c>
      <c r="C627" s="32" t="str">
        <f t="shared" si="3"/>
        <v>Week 13</v>
      </c>
      <c r="D627" s="32">
        <v>2021.0</v>
      </c>
      <c r="E627" t="str">
        <f t="shared" si="4"/>
        <v>13</v>
      </c>
      <c r="F627" t="str">
        <f t="shared" si="5"/>
        <v>TEAM MANAGER(S)</v>
      </c>
      <c r="G627" s="40" t="str">
        <f>VLOOKUP(F627,'Manager Coding'!C:D,2,0)</f>
        <v>#N/A</v>
      </c>
      <c r="H627" s="41" t="str">
        <f t="shared" si="6"/>
        <v>SCORE</v>
      </c>
      <c r="I627" t="str">
        <f t="shared" si="7"/>
        <v>TEAM MANAGER(S)</v>
      </c>
      <c r="J627" t="str">
        <f>VLOOKUP(I627,'Manager Coding'!C:D,2,0)</f>
        <v>#N/A</v>
      </c>
      <c r="K627" s="41" t="str">
        <f t="shared" si="8"/>
        <v>SCORE</v>
      </c>
      <c r="L627">
        <f t="shared" si="9"/>
        <v>0</v>
      </c>
      <c r="M627">
        <f t="shared" si="10"/>
        <v>0</v>
      </c>
      <c r="N627" s="93" t="s">
        <v>197</v>
      </c>
      <c r="O627" s="93" t="s">
        <v>88</v>
      </c>
      <c r="P627" s="94" t="s">
        <v>94</v>
      </c>
      <c r="Q627" s="93" t="s">
        <v>94</v>
      </c>
      <c r="R627" s="94" t="s">
        <v>88</v>
      </c>
      <c r="S627" s="94" t="s">
        <v>101</v>
      </c>
      <c r="T627">
        <f t="shared" si="11"/>
        <v>0</v>
      </c>
    </row>
    <row r="628" hidden="1">
      <c r="A628" s="32" t="str">
        <f t="shared" si="1"/>
        <v>2021SaltyWeek 13</v>
      </c>
      <c r="B628" s="32" t="str">
        <f t="shared" si="2"/>
        <v>2021BuserWeek 13</v>
      </c>
      <c r="C628" s="32" t="str">
        <f t="shared" si="3"/>
        <v>Week 13</v>
      </c>
      <c r="D628" s="32">
        <v>2021.0</v>
      </c>
      <c r="E628" t="str">
        <f t="shared" si="4"/>
        <v>13</v>
      </c>
      <c r="F628" t="str">
        <f t="shared" si="5"/>
        <v>R Saltiel</v>
      </c>
      <c r="G628" s="40" t="str">
        <f>VLOOKUP(F628,'Manager Coding'!C:D,2,0)</f>
        <v>Salty</v>
      </c>
      <c r="H628" s="41">
        <f t="shared" si="6"/>
        <v>85.6</v>
      </c>
      <c r="I628" t="str">
        <f t="shared" si="7"/>
        <v>Ed Buser</v>
      </c>
      <c r="J628" t="str">
        <f>VLOOKUP(I628,'Manager Coding'!C:D,2,0)</f>
        <v>Buser</v>
      </c>
      <c r="K628" s="41">
        <f t="shared" si="8"/>
        <v>134.78</v>
      </c>
      <c r="L628">
        <f t="shared" si="9"/>
        <v>0</v>
      </c>
      <c r="M628">
        <f t="shared" si="10"/>
        <v>1</v>
      </c>
      <c r="N628" s="95" t="s">
        <v>1447</v>
      </c>
      <c r="O628" s="106" t="s">
        <v>77</v>
      </c>
      <c r="P628" s="104">
        <v>85.6</v>
      </c>
      <c r="Q628" s="105">
        <v>134.78</v>
      </c>
      <c r="R628" s="103" t="s">
        <v>50</v>
      </c>
      <c r="S628" s="95" t="s">
        <v>1454</v>
      </c>
      <c r="T628">
        <f t="shared" si="11"/>
        <v>49.18</v>
      </c>
    </row>
    <row r="629" hidden="1">
      <c r="A629" s="32" t="str">
        <f t="shared" si="1"/>
        <v>2021FellowsWeek 13</v>
      </c>
      <c r="B629" s="32" t="str">
        <f t="shared" si="2"/>
        <v>2021Rooney/JacksonWeek 13</v>
      </c>
      <c r="C629" s="32" t="str">
        <f t="shared" si="3"/>
        <v>Week 13</v>
      </c>
      <c r="D629" s="32">
        <v>2021.0</v>
      </c>
      <c r="E629" t="str">
        <f t="shared" si="4"/>
        <v>13</v>
      </c>
      <c r="F629" t="str">
        <f t="shared" si="5"/>
        <v>Michael Fellows</v>
      </c>
      <c r="G629" s="40" t="str">
        <f>VLOOKUP(F629,'Manager Coding'!C:D,2,0)</f>
        <v>Fellows</v>
      </c>
      <c r="H629" s="41">
        <f t="shared" si="6"/>
        <v>117.56</v>
      </c>
      <c r="I629" t="str">
        <f t="shared" si="7"/>
        <v>Stephen Rooney, Jackson Sattell</v>
      </c>
      <c r="J629" t="str">
        <f>VLOOKUP(I629,'Manager Coding'!C:D,2,0)</f>
        <v>Rooney/Jackson</v>
      </c>
      <c r="K629" s="41">
        <f t="shared" si="8"/>
        <v>85.82</v>
      </c>
      <c r="L629">
        <f t="shared" si="9"/>
        <v>1</v>
      </c>
      <c r="M629">
        <f t="shared" si="10"/>
        <v>0</v>
      </c>
      <c r="N629" s="100" t="s">
        <v>1463</v>
      </c>
      <c r="O629" s="101" t="s">
        <v>80</v>
      </c>
      <c r="P629" s="97">
        <v>117.56</v>
      </c>
      <c r="Q629" s="98">
        <v>85.82</v>
      </c>
      <c r="R629" s="102" t="s">
        <v>58</v>
      </c>
      <c r="S629" s="100" t="s">
        <v>1453</v>
      </c>
      <c r="T629">
        <f t="shared" si="11"/>
        <v>31.74</v>
      </c>
    </row>
    <row r="630" hidden="1">
      <c r="A630" s="32" t="str">
        <f t="shared" si="1"/>
        <v>2021TayskiWeek 13</v>
      </c>
      <c r="B630" s="32" t="str">
        <f t="shared" si="2"/>
        <v>2021PiersonWeek 13</v>
      </c>
      <c r="C630" s="32" t="str">
        <f t="shared" si="3"/>
        <v>Week 13</v>
      </c>
      <c r="D630" s="32">
        <v>2021.0</v>
      </c>
      <c r="E630" t="str">
        <f t="shared" si="4"/>
        <v>13</v>
      </c>
      <c r="F630" t="str">
        <f t="shared" si="5"/>
        <v>Taylor Weis</v>
      </c>
      <c r="G630" s="40" t="str">
        <f>VLOOKUP(F630,'Manager Coding'!C:D,2,0)</f>
        <v>Tayski</v>
      </c>
      <c r="H630" s="41">
        <f t="shared" si="6"/>
        <v>85.2</v>
      </c>
      <c r="I630" t="str">
        <f t="shared" si="7"/>
        <v>Pierson Curtis</v>
      </c>
      <c r="J630" t="str">
        <f>VLOOKUP(I630,'Manager Coding'!C:D,2,0)</f>
        <v>Pierson</v>
      </c>
      <c r="K630" s="41">
        <f t="shared" si="8"/>
        <v>94.72</v>
      </c>
      <c r="L630">
        <f t="shared" si="9"/>
        <v>0</v>
      </c>
      <c r="M630">
        <f t="shared" si="10"/>
        <v>1</v>
      </c>
      <c r="N630" s="95" t="s">
        <v>1467</v>
      </c>
      <c r="O630" s="96" t="s">
        <v>54</v>
      </c>
      <c r="P630" s="104">
        <v>85.2</v>
      </c>
      <c r="Q630" s="105">
        <v>94.72</v>
      </c>
      <c r="R630" s="103" t="s">
        <v>93</v>
      </c>
      <c r="S630" s="95" t="s">
        <v>1457</v>
      </c>
      <c r="T630">
        <f t="shared" si="11"/>
        <v>9.52</v>
      </c>
    </row>
    <row r="631" hidden="1">
      <c r="A631" s="32" t="str">
        <f t="shared" si="1"/>
        <v>2021ShepWeek 13</v>
      </c>
      <c r="B631" s="32" t="str">
        <f t="shared" si="2"/>
        <v>2021KnardDawgWeek 13</v>
      </c>
      <c r="C631" s="32" t="str">
        <f t="shared" si="3"/>
        <v>Week 13</v>
      </c>
      <c r="D631" s="32">
        <v>2021.0</v>
      </c>
      <c r="E631" t="str">
        <f t="shared" si="4"/>
        <v>13</v>
      </c>
      <c r="F631" t="str">
        <f t="shared" si="5"/>
        <v>Jordan Shepherd</v>
      </c>
      <c r="G631" s="40" t="str">
        <f>VLOOKUP(F631,'Manager Coding'!C:D,2,0)</f>
        <v>Shep</v>
      </c>
      <c r="H631" s="41">
        <f t="shared" si="6"/>
        <v>112.02</v>
      </c>
      <c r="I631" t="str">
        <f t="shared" si="7"/>
        <v>Alex Kinniard, Jack Reilly</v>
      </c>
      <c r="J631" t="str">
        <f>VLOOKUP(I631,'Manager Coding'!C:D,2,0)</f>
        <v>KnardDawg</v>
      </c>
      <c r="K631" s="41">
        <f t="shared" si="8"/>
        <v>68.44</v>
      </c>
      <c r="L631">
        <f t="shared" si="9"/>
        <v>1</v>
      </c>
      <c r="M631">
        <f t="shared" si="10"/>
        <v>0</v>
      </c>
      <c r="N631" s="100" t="s">
        <v>1476</v>
      </c>
      <c r="O631" s="101" t="s">
        <v>91</v>
      </c>
      <c r="P631" s="97">
        <v>112.02</v>
      </c>
      <c r="Q631" s="98">
        <v>68.44</v>
      </c>
      <c r="R631" s="102" t="s">
        <v>87</v>
      </c>
      <c r="S631" s="100" t="s">
        <v>1464</v>
      </c>
      <c r="T631">
        <f t="shared" si="11"/>
        <v>43.58</v>
      </c>
    </row>
    <row r="632" hidden="1">
      <c r="A632" s="32" t="str">
        <f t="shared" si="1"/>
        <v>2021T-HowWeek 13</v>
      </c>
      <c r="B632" s="32" t="str">
        <f t="shared" si="2"/>
        <v>2021RileyWeek 13</v>
      </c>
      <c r="C632" s="32" t="str">
        <f t="shared" si="3"/>
        <v>Week 13</v>
      </c>
      <c r="D632" s="32">
        <v>2021.0</v>
      </c>
      <c r="E632" t="str">
        <f t="shared" si="4"/>
        <v>13</v>
      </c>
      <c r="F632" t="str">
        <f t="shared" si="5"/>
        <v>Tyler Howard</v>
      </c>
      <c r="G632" s="40" t="str">
        <f>VLOOKUP(F632,'Manager Coding'!C:D,2,0)</f>
        <v>T-How</v>
      </c>
      <c r="H632" s="41">
        <f t="shared" si="6"/>
        <v>73.16</v>
      </c>
      <c r="I632" t="str">
        <f t="shared" si="7"/>
        <v>Riley McElwain</v>
      </c>
      <c r="J632" t="str">
        <f>VLOOKUP(I632,'Manager Coding'!C:D,2,0)</f>
        <v>Riley</v>
      </c>
      <c r="K632" s="41">
        <f t="shared" si="8"/>
        <v>119.22</v>
      </c>
      <c r="L632">
        <f t="shared" si="9"/>
        <v>0</v>
      </c>
      <c r="M632">
        <f t="shared" si="10"/>
        <v>1</v>
      </c>
      <c r="N632" s="95" t="s">
        <v>1480</v>
      </c>
      <c r="O632" s="96" t="s">
        <v>85</v>
      </c>
      <c r="P632" s="104">
        <v>73.16</v>
      </c>
      <c r="Q632" s="105">
        <v>119.22</v>
      </c>
      <c r="R632" s="103" t="s">
        <v>68</v>
      </c>
      <c r="S632" s="95" t="s">
        <v>1470</v>
      </c>
      <c r="T632">
        <f t="shared" si="11"/>
        <v>46.06</v>
      </c>
    </row>
    <row r="633" hidden="1">
      <c r="A633" s="32" t="str">
        <f t="shared" si="1"/>
        <v>2021HudspeathWeek 13</v>
      </c>
      <c r="B633" s="32" t="str">
        <f t="shared" si="2"/>
        <v>2021CockWeek 13</v>
      </c>
      <c r="C633" s="32" t="str">
        <f t="shared" si="3"/>
        <v>Week 13</v>
      </c>
      <c r="D633" s="32">
        <v>2021.0</v>
      </c>
      <c r="E633" t="str">
        <f t="shared" si="4"/>
        <v>13</v>
      </c>
      <c r="F633" t="str">
        <f t="shared" si="5"/>
        <v>matt hudspeath</v>
      </c>
      <c r="G633" s="40" t="str">
        <f>VLOOKUP(F633,'Manager Coding'!C:D,2,0)</f>
        <v>Hudspeath</v>
      </c>
      <c r="H633" s="41">
        <f t="shared" si="6"/>
        <v>102.26</v>
      </c>
      <c r="I633" t="str">
        <f t="shared" si="7"/>
        <v>Jack Babcock, Chris Cochrane</v>
      </c>
      <c r="J633" t="str">
        <f>VLOOKUP(I633,'Manager Coding'!C:D,2,0)</f>
        <v>Cock</v>
      </c>
      <c r="K633" s="41">
        <f t="shared" si="8"/>
        <v>58.2</v>
      </c>
      <c r="L633">
        <f t="shared" si="9"/>
        <v>1</v>
      </c>
      <c r="M633">
        <f t="shared" si="10"/>
        <v>0</v>
      </c>
      <c r="N633" s="100" t="s">
        <v>1482</v>
      </c>
      <c r="O633" s="101" t="s">
        <v>64</v>
      </c>
      <c r="P633" s="97">
        <v>102.26</v>
      </c>
      <c r="Q633" s="98">
        <v>58.2</v>
      </c>
      <c r="R633" s="102" t="s">
        <v>73</v>
      </c>
      <c r="S633" s="100" t="s">
        <v>1477</v>
      </c>
      <c r="T633">
        <f t="shared" si="11"/>
        <v>44.06</v>
      </c>
    </row>
    <row r="634" hidden="1">
      <c r="A634" s="32" t="str">
        <f t="shared" si="1"/>
        <v>#N/A</v>
      </c>
      <c r="B634" s="32" t="str">
        <f t="shared" si="2"/>
        <v>#N/A</v>
      </c>
      <c r="C634" s="32" t="str">
        <f t="shared" si="3"/>
        <v>Week 13</v>
      </c>
      <c r="D634" s="32">
        <v>2021.0</v>
      </c>
      <c r="E634" t="str">
        <f t="shared" si="4"/>
        <v>13</v>
      </c>
      <c r="F634" t="str">
        <f t="shared" si="5"/>
        <v/>
      </c>
      <c r="G634" s="40" t="str">
        <f>VLOOKUP(F634,'Manager Coding'!C:D,2,0)</f>
        <v>#N/A</v>
      </c>
      <c r="H634" s="41" t="str">
        <f t="shared" si="6"/>
        <v/>
      </c>
      <c r="I634" t="str">
        <f t="shared" si="7"/>
        <v/>
      </c>
      <c r="J634" t="str">
        <f>VLOOKUP(I634,'Manager Coding'!C:D,2,0)</f>
        <v>#N/A</v>
      </c>
      <c r="K634" s="41" t="str">
        <f t="shared" si="8"/>
        <v/>
      </c>
      <c r="L634">
        <f t="shared" si="9"/>
        <v>0</v>
      </c>
      <c r="M634">
        <f t="shared" si="10"/>
        <v>0</v>
      </c>
      <c r="N634" s="91" t="s">
        <v>1773</v>
      </c>
      <c r="P634" s="41"/>
      <c r="Q634" s="41"/>
      <c r="T634">
        <f t="shared" si="11"/>
        <v>0</v>
      </c>
    </row>
    <row r="635" hidden="1">
      <c r="A635" s="32" t="str">
        <f t="shared" si="1"/>
        <v>#N/A</v>
      </c>
      <c r="B635" s="32" t="str">
        <f t="shared" si="2"/>
        <v>#N/A</v>
      </c>
      <c r="C635" s="32" t="str">
        <f t="shared" si="3"/>
        <v>Week 14</v>
      </c>
      <c r="D635" s="32">
        <v>2021.0</v>
      </c>
      <c r="E635" t="str">
        <f t="shared" si="4"/>
        <v>14</v>
      </c>
      <c r="F635" t="str">
        <f t="shared" si="5"/>
        <v/>
      </c>
      <c r="G635" s="40" t="str">
        <f>VLOOKUP(F635,'Manager Coding'!C:D,2,0)</f>
        <v>#N/A</v>
      </c>
      <c r="H635" s="41" t="str">
        <f t="shared" si="6"/>
        <v/>
      </c>
      <c r="I635" t="str">
        <f t="shared" si="7"/>
        <v/>
      </c>
      <c r="J635" t="str">
        <f>VLOOKUP(I635,'Manager Coding'!C:D,2,0)</f>
        <v>#N/A</v>
      </c>
      <c r="K635" s="41" t="str">
        <f t="shared" si="8"/>
        <v/>
      </c>
      <c r="L635">
        <f t="shared" si="9"/>
        <v>0</v>
      </c>
      <c r="M635">
        <f t="shared" si="10"/>
        <v>0</v>
      </c>
      <c r="N635" s="92" t="s">
        <v>1486</v>
      </c>
      <c r="P635" s="41"/>
      <c r="Q635" s="41"/>
      <c r="T635">
        <f t="shared" si="11"/>
        <v>0</v>
      </c>
    </row>
    <row r="636" hidden="1">
      <c r="A636" s="32" t="str">
        <f t="shared" si="1"/>
        <v>#N/A</v>
      </c>
      <c r="B636" s="32" t="str">
        <f t="shared" si="2"/>
        <v>#N/A</v>
      </c>
      <c r="C636" s="32" t="str">
        <f t="shared" si="3"/>
        <v>Week 14</v>
      </c>
      <c r="D636" s="32">
        <v>2021.0</v>
      </c>
      <c r="E636" t="str">
        <f t="shared" si="4"/>
        <v>14</v>
      </c>
      <c r="F636" t="str">
        <f t="shared" si="5"/>
        <v>TEAM MANAGER(S)</v>
      </c>
      <c r="G636" s="40" t="str">
        <f>VLOOKUP(F636,'Manager Coding'!C:D,2,0)</f>
        <v>#N/A</v>
      </c>
      <c r="H636" s="41" t="str">
        <f t="shared" si="6"/>
        <v>SCORE</v>
      </c>
      <c r="I636" t="str">
        <f t="shared" si="7"/>
        <v>TEAM MANAGER(S)</v>
      </c>
      <c r="J636" t="str">
        <f>VLOOKUP(I636,'Manager Coding'!C:D,2,0)</f>
        <v>#N/A</v>
      </c>
      <c r="K636" s="41" t="str">
        <f t="shared" si="8"/>
        <v>SCORE</v>
      </c>
      <c r="L636">
        <f t="shared" si="9"/>
        <v>0</v>
      </c>
      <c r="M636">
        <f t="shared" si="10"/>
        <v>0</v>
      </c>
      <c r="N636" s="93" t="s">
        <v>197</v>
      </c>
      <c r="O636" s="93" t="s">
        <v>88</v>
      </c>
      <c r="P636" s="94" t="s">
        <v>94</v>
      </c>
      <c r="Q636" s="93" t="s">
        <v>94</v>
      </c>
      <c r="R636" s="94" t="s">
        <v>88</v>
      </c>
      <c r="S636" s="94" t="s">
        <v>101</v>
      </c>
      <c r="T636">
        <f t="shared" si="11"/>
        <v>0</v>
      </c>
    </row>
    <row r="637" hidden="1">
      <c r="A637" s="32" t="str">
        <f t="shared" si="1"/>
        <v>2021SaltyWeek 14</v>
      </c>
      <c r="B637" s="32" t="str">
        <f t="shared" si="2"/>
        <v>2021T-HowWeek 14</v>
      </c>
      <c r="C637" s="32" t="str">
        <f t="shared" si="3"/>
        <v>Week 14</v>
      </c>
      <c r="D637" s="32">
        <v>2021.0</v>
      </c>
      <c r="E637" t="str">
        <f t="shared" si="4"/>
        <v>14</v>
      </c>
      <c r="F637" t="str">
        <f t="shared" si="5"/>
        <v>R Saltiel</v>
      </c>
      <c r="G637" s="40" t="str">
        <f>VLOOKUP(F637,'Manager Coding'!C:D,2,0)</f>
        <v>Salty</v>
      </c>
      <c r="H637" s="41">
        <f t="shared" si="6"/>
        <v>119.92</v>
      </c>
      <c r="I637" t="str">
        <f t="shared" si="7"/>
        <v>Tyler Howard</v>
      </c>
      <c r="J637" t="str">
        <f>VLOOKUP(I637,'Manager Coding'!C:D,2,0)</f>
        <v>T-How</v>
      </c>
      <c r="K637" s="41">
        <f t="shared" si="8"/>
        <v>91.22</v>
      </c>
      <c r="L637">
        <f t="shared" si="9"/>
        <v>1</v>
      </c>
      <c r="M637">
        <f t="shared" si="10"/>
        <v>0</v>
      </c>
      <c r="N637" s="95" t="s">
        <v>1447</v>
      </c>
      <c r="O637" s="106" t="s">
        <v>77</v>
      </c>
      <c r="P637" s="97">
        <v>119.92</v>
      </c>
      <c r="Q637" s="98">
        <v>91.22</v>
      </c>
      <c r="R637" s="103" t="s">
        <v>85</v>
      </c>
      <c r="S637" s="95" t="s">
        <v>1480</v>
      </c>
      <c r="T637">
        <f t="shared" si="11"/>
        <v>28.7</v>
      </c>
    </row>
    <row r="638" hidden="1">
      <c r="A638" s="32" t="str">
        <f t="shared" si="1"/>
        <v>2021TayskiWeek 14</v>
      </c>
      <c r="B638" s="32" t="str">
        <f t="shared" si="2"/>
        <v>2021KnardDawgWeek 14</v>
      </c>
      <c r="C638" s="32" t="str">
        <f t="shared" si="3"/>
        <v>Week 14</v>
      </c>
      <c r="D638" s="32">
        <v>2021.0</v>
      </c>
      <c r="E638" t="str">
        <f t="shared" si="4"/>
        <v>14</v>
      </c>
      <c r="F638" t="str">
        <f t="shared" si="5"/>
        <v>Taylor Weis</v>
      </c>
      <c r="G638" s="40" t="str">
        <f>VLOOKUP(F638,'Manager Coding'!C:D,2,0)</f>
        <v>Tayski</v>
      </c>
      <c r="H638" s="41">
        <f t="shared" si="6"/>
        <v>94.58</v>
      </c>
      <c r="I638" t="str">
        <f t="shared" si="7"/>
        <v>Alex Kinniard, Jack Reilly</v>
      </c>
      <c r="J638" t="str">
        <f>VLOOKUP(I638,'Manager Coding'!C:D,2,0)</f>
        <v>KnardDawg</v>
      </c>
      <c r="K638" s="41">
        <f t="shared" si="8"/>
        <v>96.1</v>
      </c>
      <c r="L638">
        <f t="shared" si="9"/>
        <v>0</v>
      </c>
      <c r="M638">
        <f t="shared" si="10"/>
        <v>1</v>
      </c>
      <c r="N638" s="100" t="s">
        <v>1467</v>
      </c>
      <c r="O638" s="101" t="s">
        <v>54</v>
      </c>
      <c r="P638" s="104">
        <v>94.58</v>
      </c>
      <c r="Q638" s="105">
        <v>96.1</v>
      </c>
      <c r="R638" s="102" t="s">
        <v>87</v>
      </c>
      <c r="S638" s="100" t="s">
        <v>1464</v>
      </c>
      <c r="T638">
        <f t="shared" si="11"/>
        <v>1.52</v>
      </c>
    </row>
    <row r="639" hidden="1">
      <c r="A639" s="32" t="str">
        <f t="shared" si="1"/>
        <v>2021ShepWeek 14</v>
      </c>
      <c r="B639" s="32" t="str">
        <f t="shared" si="2"/>
        <v>2021RileyWeek 14</v>
      </c>
      <c r="C639" s="32" t="str">
        <f t="shared" si="3"/>
        <v>Week 14</v>
      </c>
      <c r="D639" s="32">
        <v>2021.0</v>
      </c>
      <c r="E639" t="str">
        <f t="shared" si="4"/>
        <v>14</v>
      </c>
      <c r="F639" t="str">
        <f t="shared" si="5"/>
        <v>Jordan Shepherd</v>
      </c>
      <c r="G639" s="40" t="str">
        <f>VLOOKUP(F639,'Manager Coding'!C:D,2,0)</f>
        <v>Shep</v>
      </c>
      <c r="H639" s="41">
        <f t="shared" si="6"/>
        <v>86.48</v>
      </c>
      <c r="I639" t="str">
        <f t="shared" si="7"/>
        <v>Riley McElwain</v>
      </c>
      <c r="J639" t="str">
        <f>VLOOKUP(I639,'Manager Coding'!C:D,2,0)</f>
        <v>Riley</v>
      </c>
      <c r="K639" s="41">
        <f t="shared" si="8"/>
        <v>148.14</v>
      </c>
      <c r="L639">
        <f t="shared" si="9"/>
        <v>0</v>
      </c>
      <c r="M639">
        <f t="shared" si="10"/>
        <v>1</v>
      </c>
      <c r="N639" s="95" t="s">
        <v>1476</v>
      </c>
      <c r="O639" s="96" t="s">
        <v>91</v>
      </c>
      <c r="P639" s="104">
        <v>86.48</v>
      </c>
      <c r="Q639" s="105">
        <v>148.14</v>
      </c>
      <c r="R639" s="103" t="s">
        <v>68</v>
      </c>
      <c r="S639" s="95" t="s">
        <v>1470</v>
      </c>
      <c r="T639">
        <f t="shared" si="11"/>
        <v>61.66</v>
      </c>
    </row>
    <row r="640" hidden="1">
      <c r="A640" s="32" t="str">
        <f t="shared" si="1"/>
        <v>2021BuserWeek 14</v>
      </c>
      <c r="B640" s="32" t="str">
        <f t="shared" si="2"/>
        <v>2021Rooney/JacksonWeek 14</v>
      </c>
      <c r="C640" s="32" t="str">
        <f t="shared" si="3"/>
        <v>Week 14</v>
      </c>
      <c r="D640" s="32">
        <v>2021.0</v>
      </c>
      <c r="E640" t="str">
        <f t="shared" si="4"/>
        <v>14</v>
      </c>
      <c r="F640" t="str">
        <f t="shared" si="5"/>
        <v>Ed Buser</v>
      </c>
      <c r="G640" s="40" t="str">
        <f>VLOOKUP(F640,'Manager Coding'!C:D,2,0)</f>
        <v>Buser</v>
      </c>
      <c r="H640" s="41">
        <f t="shared" si="6"/>
        <v>113.2</v>
      </c>
      <c r="I640" t="str">
        <f t="shared" si="7"/>
        <v>Stephen Rooney, Jackson Sattell</v>
      </c>
      <c r="J640" t="str">
        <f>VLOOKUP(I640,'Manager Coding'!C:D,2,0)</f>
        <v>Rooney/Jackson</v>
      </c>
      <c r="K640" s="41">
        <f t="shared" si="8"/>
        <v>60.02</v>
      </c>
      <c r="L640">
        <f t="shared" si="9"/>
        <v>1</v>
      </c>
      <c r="M640">
        <f t="shared" si="10"/>
        <v>0</v>
      </c>
      <c r="N640" s="100" t="s">
        <v>1454</v>
      </c>
      <c r="O640" s="101" t="s">
        <v>50</v>
      </c>
      <c r="P640" s="97">
        <v>113.2</v>
      </c>
      <c r="Q640" s="98">
        <v>60.02</v>
      </c>
      <c r="R640" s="102" t="s">
        <v>58</v>
      </c>
      <c r="S640" s="100" t="s">
        <v>1453</v>
      </c>
      <c r="T640">
        <f t="shared" si="11"/>
        <v>53.18</v>
      </c>
    </row>
    <row r="641" hidden="1">
      <c r="A641" s="32" t="str">
        <f t="shared" si="1"/>
        <v>2021CockWeek 14</v>
      </c>
      <c r="B641" s="32" t="str">
        <f t="shared" si="2"/>
        <v>2021PiersonWeek 14</v>
      </c>
      <c r="C641" s="32" t="str">
        <f t="shared" si="3"/>
        <v>Week 14</v>
      </c>
      <c r="D641" s="32">
        <v>2021.0</v>
      </c>
      <c r="E641" t="str">
        <f t="shared" si="4"/>
        <v>14</v>
      </c>
      <c r="F641" t="str">
        <f t="shared" si="5"/>
        <v>Jack Babcock, Chris Cochrane</v>
      </c>
      <c r="G641" s="40" t="str">
        <f>VLOOKUP(F641,'Manager Coding'!C:D,2,0)</f>
        <v>Cock</v>
      </c>
      <c r="H641" s="41">
        <f t="shared" si="6"/>
        <v>72.62</v>
      </c>
      <c r="I641" t="str">
        <f t="shared" si="7"/>
        <v>Pierson Curtis</v>
      </c>
      <c r="J641" t="str">
        <f>VLOOKUP(I641,'Manager Coding'!C:D,2,0)</f>
        <v>Pierson</v>
      </c>
      <c r="K641" s="41">
        <f t="shared" si="8"/>
        <v>104.82</v>
      </c>
      <c r="L641">
        <f t="shared" si="9"/>
        <v>0</v>
      </c>
      <c r="M641">
        <f t="shared" si="10"/>
        <v>1</v>
      </c>
      <c r="N641" s="95" t="s">
        <v>1477</v>
      </c>
      <c r="O641" s="96" t="s">
        <v>73</v>
      </c>
      <c r="P641" s="104">
        <v>72.62</v>
      </c>
      <c r="Q641" s="105">
        <v>104.82</v>
      </c>
      <c r="R641" s="103" t="s">
        <v>93</v>
      </c>
      <c r="S641" s="95" t="s">
        <v>1457</v>
      </c>
      <c r="T641">
        <f t="shared" si="11"/>
        <v>32.2</v>
      </c>
    </row>
    <row r="642" hidden="1">
      <c r="A642" s="32" t="str">
        <f t="shared" si="1"/>
        <v>2021HudspeathWeek 14</v>
      </c>
      <c r="B642" s="32" t="str">
        <f t="shared" si="2"/>
        <v>2021FellowsWeek 14</v>
      </c>
      <c r="C642" s="32" t="str">
        <f t="shared" si="3"/>
        <v>Week 14</v>
      </c>
      <c r="D642" s="32">
        <v>2021.0</v>
      </c>
      <c r="E642" t="str">
        <f t="shared" si="4"/>
        <v>14</v>
      </c>
      <c r="F642" t="str">
        <f t="shared" si="5"/>
        <v>matt hudspeath</v>
      </c>
      <c r="G642" s="40" t="str">
        <f>VLOOKUP(F642,'Manager Coding'!C:D,2,0)</f>
        <v>Hudspeath</v>
      </c>
      <c r="H642" s="41">
        <f t="shared" si="6"/>
        <v>84.84</v>
      </c>
      <c r="I642" t="str">
        <f t="shared" si="7"/>
        <v>Michael Fellows</v>
      </c>
      <c r="J642" t="str">
        <f>VLOOKUP(I642,'Manager Coding'!C:D,2,0)</f>
        <v>Fellows</v>
      </c>
      <c r="K642" s="41">
        <f t="shared" si="8"/>
        <v>112.8</v>
      </c>
      <c r="L642">
        <f t="shared" si="9"/>
        <v>0</v>
      </c>
      <c r="M642">
        <f t="shared" si="10"/>
        <v>1</v>
      </c>
      <c r="N642" s="100" t="s">
        <v>1482</v>
      </c>
      <c r="O642" s="101" t="s">
        <v>64</v>
      </c>
      <c r="P642" s="104">
        <v>84.84</v>
      </c>
      <c r="Q642" s="105">
        <v>112.8</v>
      </c>
      <c r="R642" s="102" t="s">
        <v>80</v>
      </c>
      <c r="S642" s="100" t="s">
        <v>1463</v>
      </c>
      <c r="T642">
        <f t="shared" si="11"/>
        <v>27.96</v>
      </c>
    </row>
    <row r="643" hidden="1">
      <c r="A643" s="32" t="str">
        <f t="shared" si="1"/>
        <v>#N/A</v>
      </c>
      <c r="B643" s="32" t="str">
        <f t="shared" si="2"/>
        <v>#N/A</v>
      </c>
      <c r="C643" s="32" t="str">
        <f t="shared" si="3"/>
        <v>Week 14</v>
      </c>
      <c r="D643" s="32">
        <v>2021.0</v>
      </c>
      <c r="E643" t="str">
        <f t="shared" si="4"/>
        <v>14</v>
      </c>
      <c r="F643" t="str">
        <f t="shared" si="5"/>
        <v/>
      </c>
      <c r="G643" s="40" t="str">
        <f>VLOOKUP(F643,'Manager Coding'!C:D,2,0)</f>
        <v>#N/A</v>
      </c>
      <c r="H643" s="41" t="str">
        <f t="shared" si="6"/>
        <v/>
      </c>
      <c r="I643" t="str">
        <f t="shared" si="7"/>
        <v/>
      </c>
      <c r="J643" t="str">
        <f>VLOOKUP(I643,'Manager Coding'!C:D,2,0)</f>
        <v>#N/A</v>
      </c>
      <c r="K643" s="41" t="str">
        <f t="shared" si="8"/>
        <v/>
      </c>
      <c r="L643">
        <f t="shared" si="9"/>
        <v>0</v>
      </c>
      <c r="M643">
        <f t="shared" si="10"/>
        <v>0</v>
      </c>
      <c r="N643" s="91" t="s">
        <v>1792</v>
      </c>
      <c r="P643" s="41"/>
      <c r="Q643" s="41"/>
    </row>
    <row r="644" hidden="1">
      <c r="A644" s="32" t="str">
        <f t="shared" si="1"/>
        <v>#N/A</v>
      </c>
      <c r="B644" s="32" t="str">
        <f t="shared" si="2"/>
        <v>#N/A</v>
      </c>
      <c r="C644" s="32" t="str">
        <f t="shared" si="3"/>
        <v>Week 15</v>
      </c>
      <c r="D644" s="32">
        <v>2021.0</v>
      </c>
      <c r="E644" t="str">
        <f t="shared" si="4"/>
        <v>15</v>
      </c>
      <c r="F644" t="str">
        <f t="shared" si="5"/>
        <v/>
      </c>
      <c r="G644" s="40" t="str">
        <f>VLOOKUP(F644,'Manager Coding'!C:D,2,0)</f>
        <v>#N/A</v>
      </c>
      <c r="H644" s="41" t="str">
        <f t="shared" si="6"/>
        <v/>
      </c>
      <c r="I644" t="str">
        <f t="shared" si="7"/>
        <v/>
      </c>
      <c r="J644" t="str">
        <f>VLOOKUP(I644,'Manager Coding'!C:D,2,0)</f>
        <v>#N/A</v>
      </c>
      <c r="K644" s="41" t="str">
        <f t="shared" si="8"/>
        <v/>
      </c>
      <c r="L644">
        <f t="shared" si="9"/>
        <v>0</v>
      </c>
      <c r="M644">
        <f t="shared" si="10"/>
        <v>0</v>
      </c>
      <c r="N644" s="92" t="s">
        <v>1795</v>
      </c>
      <c r="P644" s="41"/>
      <c r="Q644" s="41"/>
    </row>
    <row r="645" hidden="1">
      <c r="A645" s="32" t="str">
        <f t="shared" si="1"/>
        <v>#N/A</v>
      </c>
      <c r="B645" s="32" t="str">
        <f t="shared" si="2"/>
        <v>#N/A</v>
      </c>
      <c r="C645" s="32" t="str">
        <f t="shared" si="3"/>
        <v>Week 15</v>
      </c>
      <c r="D645" s="32">
        <v>2021.0</v>
      </c>
      <c r="E645" t="str">
        <f t="shared" si="4"/>
        <v>15</v>
      </c>
      <c r="F645" t="str">
        <f t="shared" si="5"/>
        <v>TEAM MANAGER(S)</v>
      </c>
      <c r="G645" s="40" t="str">
        <f>VLOOKUP(F645,'Manager Coding'!C:D,2,0)</f>
        <v>#N/A</v>
      </c>
      <c r="H645" s="41" t="str">
        <f t="shared" si="6"/>
        <v>SCORE</v>
      </c>
      <c r="I645" t="str">
        <f t="shared" si="7"/>
        <v>TEAM MANAGER(S)</v>
      </c>
      <c r="J645" t="str">
        <f>VLOOKUP(I645,'Manager Coding'!C:D,2,0)</f>
        <v>#N/A</v>
      </c>
      <c r="K645" s="41" t="str">
        <f t="shared" si="8"/>
        <v>SCORE</v>
      </c>
      <c r="L645">
        <f t="shared" si="9"/>
        <v>0</v>
      </c>
      <c r="M645">
        <f t="shared" si="10"/>
        <v>0</v>
      </c>
      <c r="N645" s="93" t="s">
        <v>197</v>
      </c>
      <c r="O645" s="93" t="s">
        <v>88</v>
      </c>
      <c r="P645" s="94" t="s">
        <v>94</v>
      </c>
      <c r="Q645" s="93" t="s">
        <v>94</v>
      </c>
      <c r="R645" s="94" t="s">
        <v>88</v>
      </c>
      <c r="S645" s="94" t="s">
        <v>101</v>
      </c>
    </row>
    <row r="646" hidden="1">
      <c r="A646" s="32" t="str">
        <f t="shared" si="1"/>
        <v>2021PiersonWeek 15</v>
      </c>
      <c r="B646" s="32" t="str">
        <f t="shared" si="2"/>
        <v>2021ShepWeek 15</v>
      </c>
      <c r="C646" s="32" t="str">
        <f t="shared" si="3"/>
        <v>Week 15</v>
      </c>
      <c r="D646" s="32">
        <v>2021.0</v>
      </c>
      <c r="E646" t="str">
        <f t="shared" si="4"/>
        <v>15</v>
      </c>
      <c r="F646" t="str">
        <f t="shared" si="5"/>
        <v>Pierson Curtis</v>
      </c>
      <c r="G646" s="40" t="str">
        <f>VLOOKUP(F646,'Manager Coding'!C:D,2,0)</f>
        <v>Pierson</v>
      </c>
      <c r="H646" s="41">
        <f t="shared" si="6"/>
        <v>67.76</v>
      </c>
      <c r="I646" t="str">
        <f t="shared" si="7"/>
        <v>Jordan Shepherd</v>
      </c>
      <c r="J646" t="str">
        <f>VLOOKUP(I646,'Manager Coding'!C:D,2,0)</f>
        <v>Shep</v>
      </c>
      <c r="K646" s="41">
        <f t="shared" si="8"/>
        <v>59.14</v>
      </c>
      <c r="L646">
        <f t="shared" si="9"/>
        <v>1</v>
      </c>
      <c r="M646">
        <f t="shared" si="10"/>
        <v>0</v>
      </c>
      <c r="N646" s="95" t="s">
        <v>1457</v>
      </c>
      <c r="O646" s="96" t="s">
        <v>93</v>
      </c>
      <c r="P646" s="97">
        <v>67.76</v>
      </c>
      <c r="Q646" s="98">
        <v>59.14</v>
      </c>
      <c r="R646" s="103" t="s">
        <v>91</v>
      </c>
      <c r="S646" s="95" t="s">
        <v>1476</v>
      </c>
    </row>
    <row r="647" hidden="1">
      <c r="A647" s="32" t="str">
        <f t="shared" si="1"/>
        <v>2021HudspeathWeek 15</v>
      </c>
      <c r="B647" s="32" t="str">
        <f t="shared" si="2"/>
        <v>2021SaltyWeek 15</v>
      </c>
      <c r="C647" s="32" t="str">
        <f t="shared" si="3"/>
        <v>Week 15</v>
      </c>
      <c r="D647" s="32">
        <v>2021.0</v>
      </c>
      <c r="E647" t="str">
        <f t="shared" si="4"/>
        <v>15</v>
      </c>
      <c r="F647" t="str">
        <f t="shared" si="5"/>
        <v>matt hudspeath</v>
      </c>
      <c r="G647" s="40" t="str">
        <f>VLOOKUP(F647,'Manager Coding'!C:D,2,0)</f>
        <v>Hudspeath</v>
      </c>
      <c r="H647" s="41">
        <f t="shared" si="6"/>
        <v>130.92</v>
      </c>
      <c r="I647" t="str">
        <f t="shared" si="7"/>
        <v>R Saltiel</v>
      </c>
      <c r="J647" t="str">
        <f>VLOOKUP(I647,'Manager Coding'!C:D,2,0)</f>
        <v>Salty</v>
      </c>
      <c r="K647" s="41">
        <f t="shared" si="8"/>
        <v>82.5</v>
      </c>
      <c r="L647">
        <f t="shared" si="9"/>
        <v>1</v>
      </c>
      <c r="M647">
        <f t="shared" si="10"/>
        <v>0</v>
      </c>
      <c r="N647" s="100" t="s">
        <v>1482</v>
      </c>
      <c r="O647" s="101" t="s">
        <v>64</v>
      </c>
      <c r="P647" s="97">
        <v>130.92</v>
      </c>
      <c r="Q647" s="98">
        <v>82.5</v>
      </c>
      <c r="R647" s="110" t="s">
        <v>77</v>
      </c>
      <c r="S647" s="100" t="s">
        <v>1447</v>
      </c>
    </row>
    <row r="648" hidden="1">
      <c r="A648" s="32" t="str">
        <f t="shared" si="1"/>
        <v>2021T-HowWeek 15</v>
      </c>
      <c r="B648" s="32" t="str">
        <f t="shared" si="2"/>
        <v>2021Rooney/JacksonWeek 15</v>
      </c>
      <c r="C648" s="32" t="str">
        <f t="shared" si="3"/>
        <v>Week 15</v>
      </c>
      <c r="D648" s="32">
        <v>2021.0</v>
      </c>
      <c r="E648" t="str">
        <f t="shared" si="4"/>
        <v>15</v>
      </c>
      <c r="F648" t="str">
        <f t="shared" si="5"/>
        <v>Tyler Howard</v>
      </c>
      <c r="G648" s="40" t="str">
        <f>VLOOKUP(F648,'Manager Coding'!C:D,2,0)</f>
        <v>T-How</v>
      </c>
      <c r="H648" s="41">
        <f t="shared" si="6"/>
        <v>80.4</v>
      </c>
      <c r="I648" t="str">
        <f t="shared" si="7"/>
        <v>Stephen Rooney, Jackson Sattell</v>
      </c>
      <c r="J648" t="str">
        <f>VLOOKUP(I648,'Manager Coding'!C:D,2,0)</f>
        <v>Rooney/Jackson</v>
      </c>
      <c r="K648" s="41">
        <f t="shared" si="8"/>
        <v>73.98</v>
      </c>
      <c r="L648">
        <f t="shared" si="9"/>
        <v>1</v>
      </c>
      <c r="M648">
        <f t="shared" si="10"/>
        <v>0</v>
      </c>
      <c r="N648" s="95" t="s">
        <v>1480</v>
      </c>
      <c r="O648" s="96" t="s">
        <v>85</v>
      </c>
      <c r="P648" s="97">
        <v>80.4</v>
      </c>
      <c r="Q648" s="98">
        <v>73.98</v>
      </c>
      <c r="R648" s="103" t="s">
        <v>58</v>
      </c>
      <c r="S648" s="95" t="s">
        <v>1453</v>
      </c>
    </row>
    <row r="649" hidden="1">
      <c r="A649" s="32" t="str">
        <f t="shared" si="1"/>
        <v>2021TayskiWeek 15</v>
      </c>
      <c r="B649" s="32" t="str">
        <f t="shared" si="2"/>
        <v>2021FellowsWeek 15</v>
      </c>
      <c r="C649" s="32" t="str">
        <f t="shared" si="3"/>
        <v>Week 15</v>
      </c>
      <c r="D649" s="32">
        <v>2021.0</v>
      </c>
      <c r="E649" t="str">
        <f t="shared" si="4"/>
        <v>15</v>
      </c>
      <c r="F649" t="str">
        <f t="shared" si="5"/>
        <v>Taylor Weis</v>
      </c>
      <c r="G649" s="40" t="str">
        <f>VLOOKUP(F649,'Manager Coding'!C:D,2,0)</f>
        <v>Tayski</v>
      </c>
      <c r="H649" s="41">
        <f t="shared" si="6"/>
        <v>75.26</v>
      </c>
      <c r="I649" t="str">
        <f t="shared" si="7"/>
        <v>Michael Fellows</v>
      </c>
      <c r="J649" t="str">
        <f>VLOOKUP(I649,'Manager Coding'!C:D,2,0)</f>
        <v>Fellows</v>
      </c>
      <c r="K649" s="41">
        <f t="shared" si="8"/>
        <v>82.76</v>
      </c>
      <c r="L649">
        <f t="shared" si="9"/>
        <v>0</v>
      </c>
      <c r="M649">
        <f t="shared" si="10"/>
        <v>1</v>
      </c>
      <c r="N649" s="100" t="s">
        <v>1467</v>
      </c>
      <c r="O649" s="101" t="s">
        <v>54</v>
      </c>
      <c r="P649" s="104">
        <v>75.26</v>
      </c>
      <c r="Q649" s="105">
        <v>82.76</v>
      </c>
      <c r="R649" s="102" t="s">
        <v>80</v>
      </c>
      <c r="S649" s="100" t="s">
        <v>1463</v>
      </c>
    </row>
    <row r="650" hidden="1">
      <c r="A650" s="32" t="str">
        <f t="shared" si="1"/>
        <v>2021CockWeek 15</v>
      </c>
      <c r="B650" s="32" t="str">
        <f t="shared" si="2"/>
        <v>2021KnardDawgWeek 15</v>
      </c>
      <c r="C650" s="32" t="str">
        <f t="shared" si="3"/>
        <v>Week 15</v>
      </c>
      <c r="D650" s="32">
        <v>2021.0</v>
      </c>
      <c r="E650" t="str">
        <f t="shared" si="4"/>
        <v>15</v>
      </c>
      <c r="F650" t="str">
        <f t="shared" si="5"/>
        <v>Jack Babcock, Chris Cochrane</v>
      </c>
      <c r="G650" s="40" t="str">
        <f>VLOOKUP(F650,'Manager Coding'!C:D,2,0)</f>
        <v>Cock</v>
      </c>
      <c r="H650" s="41">
        <f t="shared" si="6"/>
        <v>63.08</v>
      </c>
      <c r="I650" t="str">
        <f t="shared" si="7"/>
        <v>Alex Kinniard, Jack Reilly</v>
      </c>
      <c r="J650" t="str">
        <f>VLOOKUP(I650,'Manager Coding'!C:D,2,0)</f>
        <v>KnardDawg</v>
      </c>
      <c r="K650" s="41">
        <f t="shared" si="8"/>
        <v>47.64</v>
      </c>
      <c r="L650">
        <f t="shared" si="9"/>
        <v>1</v>
      </c>
      <c r="M650">
        <f t="shared" si="10"/>
        <v>0</v>
      </c>
      <c r="N650" s="95" t="s">
        <v>1477</v>
      </c>
      <c r="O650" s="96" t="s">
        <v>73</v>
      </c>
      <c r="P650" s="97">
        <v>63.08</v>
      </c>
      <c r="Q650" s="98">
        <v>47.64</v>
      </c>
      <c r="R650" s="103" t="s">
        <v>87</v>
      </c>
      <c r="S650" s="95" t="s">
        <v>1464</v>
      </c>
    </row>
    <row r="651" hidden="1">
      <c r="A651" s="32" t="str">
        <f t="shared" si="1"/>
        <v>#N/A</v>
      </c>
      <c r="B651" s="32" t="str">
        <f t="shared" si="2"/>
        <v>#N/A</v>
      </c>
      <c r="C651" s="32" t="str">
        <f t="shared" si="3"/>
        <v>Week 15</v>
      </c>
      <c r="D651" s="32">
        <v>2021.0</v>
      </c>
      <c r="E651" t="str">
        <f t="shared" si="4"/>
        <v>15</v>
      </c>
      <c r="F651" t="str">
        <f t="shared" si="5"/>
        <v/>
      </c>
      <c r="G651" s="40" t="str">
        <f>VLOOKUP(F651,'Manager Coding'!C:D,2,0)</f>
        <v>#N/A</v>
      </c>
      <c r="H651" s="41" t="str">
        <f t="shared" si="6"/>
        <v/>
      </c>
      <c r="I651" t="str">
        <f t="shared" si="7"/>
        <v/>
      </c>
      <c r="J651" t="str">
        <f>VLOOKUP(I651,'Manager Coding'!C:D,2,0)</f>
        <v>#N/A</v>
      </c>
      <c r="K651" s="41" t="str">
        <f t="shared" si="8"/>
        <v/>
      </c>
      <c r="L651">
        <f t="shared" si="9"/>
        <v>0</v>
      </c>
      <c r="M651">
        <f t="shared" si="10"/>
        <v>0</v>
      </c>
      <c r="N651" s="111" t="s">
        <v>518</v>
      </c>
      <c r="P651" s="41"/>
      <c r="Q651" s="41"/>
    </row>
    <row r="652" hidden="1">
      <c r="A652" s="32" t="str">
        <f t="shared" si="1"/>
        <v>#N/A</v>
      </c>
      <c r="B652" s="32" t="str">
        <f t="shared" si="2"/>
        <v>#N/A</v>
      </c>
      <c r="C652" s="32" t="str">
        <f t="shared" si="3"/>
        <v>Week 15</v>
      </c>
      <c r="D652" s="32">
        <v>2021.0</v>
      </c>
      <c r="E652" t="str">
        <f t="shared" si="4"/>
        <v>15</v>
      </c>
      <c r="F652" t="str">
        <f t="shared" si="5"/>
        <v/>
      </c>
      <c r="G652" s="40" t="str">
        <f>VLOOKUP(F652,'Manager Coding'!C:D,2,0)</f>
        <v>#N/A</v>
      </c>
      <c r="H652" s="41" t="str">
        <f t="shared" si="6"/>
        <v/>
      </c>
      <c r="I652" t="str">
        <f t="shared" si="7"/>
        <v/>
      </c>
      <c r="J652" t="str">
        <f>VLOOKUP(I652,'Manager Coding'!C:D,2,0)</f>
        <v>#N/A</v>
      </c>
      <c r="K652" s="41" t="str">
        <f t="shared" si="8"/>
        <v/>
      </c>
      <c r="L652">
        <f t="shared" si="9"/>
        <v>0</v>
      </c>
      <c r="M652">
        <f t="shared" si="10"/>
        <v>0</v>
      </c>
      <c r="N652" s="111" t="s">
        <v>1814</v>
      </c>
      <c r="P652" s="41"/>
      <c r="Q652" s="41"/>
    </row>
    <row r="653" hidden="1">
      <c r="A653" s="32" t="str">
        <f t="shared" si="1"/>
        <v>#N/A</v>
      </c>
      <c r="B653" s="32" t="str">
        <f t="shared" si="2"/>
        <v>#N/A</v>
      </c>
      <c r="C653" s="32" t="str">
        <f t="shared" si="3"/>
        <v>Week 15</v>
      </c>
      <c r="D653" s="32">
        <v>2021.0</v>
      </c>
      <c r="E653" t="str">
        <f t="shared" si="4"/>
        <v>15</v>
      </c>
      <c r="F653" t="str">
        <f t="shared" si="5"/>
        <v/>
      </c>
      <c r="G653" s="40" t="str">
        <f>VLOOKUP(F653,'Manager Coding'!C:D,2,0)</f>
        <v>#N/A</v>
      </c>
      <c r="H653" s="41" t="str">
        <f t="shared" si="6"/>
        <v/>
      </c>
      <c r="I653" t="str">
        <f t="shared" si="7"/>
        <v/>
      </c>
      <c r="J653" t="str">
        <f>VLOOKUP(I653,'Manager Coding'!C:D,2,0)</f>
        <v>#N/A</v>
      </c>
      <c r="K653" s="41" t="str">
        <f t="shared" si="8"/>
        <v/>
      </c>
      <c r="L653">
        <f t="shared" si="9"/>
        <v>0</v>
      </c>
      <c r="M653">
        <f t="shared" si="10"/>
        <v>0</v>
      </c>
      <c r="N653" s="111" t="s">
        <v>1817</v>
      </c>
      <c r="P653" s="41"/>
      <c r="Q653" s="41"/>
    </row>
    <row r="654" hidden="1">
      <c r="A654" s="32" t="str">
        <f t="shared" si="1"/>
        <v>#N/A</v>
      </c>
      <c r="B654" s="32" t="str">
        <f t="shared" si="2"/>
        <v>#N/A</v>
      </c>
      <c r="C654" s="32" t="str">
        <f t="shared" si="3"/>
        <v>Week 15</v>
      </c>
      <c r="D654" s="32">
        <v>2021.0</v>
      </c>
      <c r="E654" t="str">
        <f t="shared" si="4"/>
        <v>15</v>
      </c>
      <c r="F654" t="str">
        <f t="shared" si="5"/>
        <v/>
      </c>
      <c r="G654" s="40" t="str">
        <f>VLOOKUP(F654,'Manager Coding'!C:D,2,0)</f>
        <v>#N/A</v>
      </c>
      <c r="H654" s="41" t="str">
        <f t="shared" si="6"/>
        <v/>
      </c>
      <c r="I654" t="str">
        <f t="shared" si="7"/>
        <v/>
      </c>
      <c r="J654" t="str">
        <f>VLOOKUP(I654,'Manager Coding'!C:D,2,0)</f>
        <v>#N/A</v>
      </c>
      <c r="K654" s="41" t="str">
        <f t="shared" si="8"/>
        <v/>
      </c>
      <c r="L654">
        <f t="shared" si="9"/>
        <v>0</v>
      </c>
      <c r="M654">
        <f t="shared" si="10"/>
        <v>0</v>
      </c>
      <c r="N654" s="112" t="s">
        <v>1820</v>
      </c>
      <c r="P654" s="41"/>
      <c r="Q654" s="41"/>
    </row>
    <row r="655" hidden="1">
      <c r="A655" s="32" t="str">
        <f t="shared" si="1"/>
        <v>#N/A</v>
      </c>
      <c r="B655" s="32" t="str">
        <f t="shared" si="2"/>
        <v>#N/A</v>
      </c>
      <c r="C655" s="32" t="str">
        <f t="shared" si="3"/>
        <v>Week 16</v>
      </c>
      <c r="D655" s="32">
        <v>2021.0</v>
      </c>
      <c r="E655" t="str">
        <f t="shared" si="4"/>
        <v>16</v>
      </c>
      <c r="F655" t="str">
        <f t="shared" si="5"/>
        <v/>
      </c>
      <c r="G655" s="40" t="str">
        <f>VLOOKUP(F655,'Manager Coding'!C:D,2,0)</f>
        <v>#N/A</v>
      </c>
      <c r="H655" s="41" t="str">
        <f t="shared" si="6"/>
        <v/>
      </c>
      <c r="I655" t="str">
        <f t="shared" si="7"/>
        <v/>
      </c>
      <c r="J655" t="str">
        <f>VLOOKUP(I655,'Manager Coding'!C:D,2,0)</f>
        <v>#N/A</v>
      </c>
      <c r="K655" s="41" t="str">
        <f t="shared" si="8"/>
        <v/>
      </c>
      <c r="L655">
        <f t="shared" si="9"/>
        <v>0</v>
      </c>
      <c r="M655">
        <f t="shared" si="10"/>
        <v>0</v>
      </c>
      <c r="N655" s="113" t="s">
        <v>1795</v>
      </c>
      <c r="P655" s="41"/>
      <c r="Q655" s="41"/>
    </row>
    <row r="656" hidden="1">
      <c r="A656" s="32" t="str">
        <f t="shared" si="1"/>
        <v>#N/A</v>
      </c>
      <c r="B656" s="32" t="str">
        <f t="shared" si="2"/>
        <v>#N/A</v>
      </c>
      <c r="C656" s="32" t="str">
        <f t="shared" si="3"/>
        <v>Week 16</v>
      </c>
      <c r="D656" s="32">
        <v>2021.0</v>
      </c>
      <c r="E656" t="str">
        <f t="shared" si="4"/>
        <v>16</v>
      </c>
      <c r="F656" t="str">
        <f t="shared" si="5"/>
        <v>TEAM MANAGER(S)</v>
      </c>
      <c r="G656" s="40" t="str">
        <f>VLOOKUP(F656,'Manager Coding'!C:D,2,0)</f>
        <v>#N/A</v>
      </c>
      <c r="H656" s="41" t="str">
        <f t="shared" si="6"/>
        <v>SCORE</v>
      </c>
      <c r="I656" t="str">
        <f t="shared" si="7"/>
        <v>TEAM MANAGER(S)</v>
      </c>
      <c r="J656" t="str">
        <f>VLOOKUP(I656,'Manager Coding'!C:D,2,0)</f>
        <v>#N/A</v>
      </c>
      <c r="K656" s="41" t="str">
        <f t="shared" si="8"/>
        <v>SCORE</v>
      </c>
      <c r="L656">
        <f t="shared" si="9"/>
        <v>0</v>
      </c>
      <c r="M656">
        <f t="shared" si="10"/>
        <v>0</v>
      </c>
      <c r="N656" s="93" t="s">
        <v>197</v>
      </c>
      <c r="O656" s="93" t="s">
        <v>88</v>
      </c>
      <c r="P656" s="94" t="s">
        <v>94</v>
      </c>
      <c r="Q656" s="93" t="s">
        <v>94</v>
      </c>
      <c r="R656" s="94" t="s">
        <v>88</v>
      </c>
      <c r="S656" s="94" t="s">
        <v>101</v>
      </c>
    </row>
    <row r="657" hidden="1">
      <c r="A657" s="32" t="str">
        <f t="shared" si="1"/>
        <v>2021PiersonWeek 16</v>
      </c>
      <c r="B657" s="32" t="str">
        <f t="shared" si="2"/>
        <v>2021RileyWeek 16</v>
      </c>
      <c r="C657" s="32" t="str">
        <f t="shared" si="3"/>
        <v>Week 16</v>
      </c>
      <c r="D657" s="32">
        <v>2021.0</v>
      </c>
      <c r="E657" t="str">
        <f t="shared" si="4"/>
        <v>16</v>
      </c>
      <c r="F657" t="str">
        <f t="shared" si="5"/>
        <v>Pierson Curtis</v>
      </c>
      <c r="G657" s="40" t="str">
        <f>VLOOKUP(F657,'Manager Coding'!C:D,2,0)</f>
        <v>Pierson</v>
      </c>
      <c r="H657" s="41">
        <f t="shared" si="6"/>
        <v>92.38</v>
      </c>
      <c r="I657" t="str">
        <f t="shared" si="7"/>
        <v>Riley McElwain</v>
      </c>
      <c r="J657" t="str">
        <f>VLOOKUP(I657,'Manager Coding'!C:D,2,0)</f>
        <v>Riley</v>
      </c>
      <c r="K657" s="41">
        <f t="shared" si="8"/>
        <v>93.1</v>
      </c>
      <c r="L657">
        <f t="shared" si="9"/>
        <v>0</v>
      </c>
      <c r="M657">
        <f t="shared" si="10"/>
        <v>1</v>
      </c>
      <c r="N657" s="95" t="s">
        <v>1457</v>
      </c>
      <c r="O657" s="96" t="s">
        <v>93</v>
      </c>
      <c r="P657" s="104">
        <v>92.38</v>
      </c>
      <c r="Q657" s="105">
        <v>93.1</v>
      </c>
      <c r="R657" s="103" t="s">
        <v>68</v>
      </c>
      <c r="S657" s="95" t="s">
        <v>1470</v>
      </c>
    </row>
    <row r="658" hidden="1">
      <c r="A658" s="32" t="str">
        <f t="shared" si="1"/>
        <v>2021HudspeathWeek 16</v>
      </c>
      <c r="B658" s="32" t="str">
        <f t="shared" si="2"/>
        <v>2021BuserWeek 16</v>
      </c>
      <c r="C658" s="32" t="str">
        <f t="shared" si="3"/>
        <v>Week 16</v>
      </c>
      <c r="D658" s="32">
        <v>2021.0</v>
      </c>
      <c r="E658" t="str">
        <f t="shared" si="4"/>
        <v>16</v>
      </c>
      <c r="F658" t="str">
        <f t="shared" si="5"/>
        <v>matt hudspeath</v>
      </c>
      <c r="G658" s="40" t="str">
        <f>VLOOKUP(F658,'Manager Coding'!C:D,2,0)</f>
        <v>Hudspeath</v>
      </c>
      <c r="H658" s="41">
        <f t="shared" si="6"/>
        <v>110.68</v>
      </c>
      <c r="I658" t="str">
        <f t="shared" si="7"/>
        <v>Ed Buser</v>
      </c>
      <c r="J658" t="str">
        <f>VLOOKUP(I658,'Manager Coding'!C:D,2,0)</f>
        <v>Buser</v>
      </c>
      <c r="K658" s="41">
        <f t="shared" si="8"/>
        <v>76.04</v>
      </c>
      <c r="L658">
        <f t="shared" si="9"/>
        <v>1</v>
      </c>
      <c r="M658">
        <f t="shared" si="10"/>
        <v>0</v>
      </c>
      <c r="N658" s="100" t="s">
        <v>1482</v>
      </c>
      <c r="O658" s="101" t="s">
        <v>64</v>
      </c>
      <c r="P658" s="97">
        <v>110.68</v>
      </c>
      <c r="Q658" s="98">
        <v>76.04</v>
      </c>
      <c r="R658" s="102" t="s">
        <v>50</v>
      </c>
      <c r="S658" s="100" t="s">
        <v>1454</v>
      </c>
    </row>
    <row r="659" hidden="1">
      <c r="A659" s="32" t="str">
        <f t="shared" si="1"/>
        <v>2021ShepWeek 16</v>
      </c>
      <c r="B659" s="32" t="str">
        <f t="shared" si="2"/>
        <v>2021SaltyWeek 16</v>
      </c>
      <c r="C659" s="32" t="str">
        <f t="shared" si="3"/>
        <v>Week 16</v>
      </c>
      <c r="D659" s="32">
        <v>2021.0</v>
      </c>
      <c r="E659" t="str">
        <f t="shared" si="4"/>
        <v>16</v>
      </c>
      <c r="F659" t="str">
        <f t="shared" si="5"/>
        <v>Jordan Shepherd</v>
      </c>
      <c r="G659" s="40" t="str">
        <f>VLOOKUP(F659,'Manager Coding'!C:D,2,0)</f>
        <v>Shep</v>
      </c>
      <c r="H659" s="41">
        <f t="shared" si="6"/>
        <v>88.82</v>
      </c>
      <c r="I659" t="str">
        <f t="shared" si="7"/>
        <v>R Saltiel</v>
      </c>
      <c r="J659" t="str">
        <f>VLOOKUP(I659,'Manager Coding'!C:D,2,0)</f>
        <v>Salty</v>
      </c>
      <c r="K659" s="41">
        <f t="shared" si="8"/>
        <v>114.46</v>
      </c>
      <c r="L659">
        <f t="shared" si="9"/>
        <v>0</v>
      </c>
      <c r="M659">
        <f t="shared" si="10"/>
        <v>1</v>
      </c>
      <c r="N659" s="95" t="s">
        <v>1476</v>
      </c>
      <c r="O659" s="96" t="s">
        <v>91</v>
      </c>
      <c r="P659" s="104">
        <v>88.82</v>
      </c>
      <c r="Q659" s="105">
        <v>114.46</v>
      </c>
      <c r="R659" s="99" t="s">
        <v>77</v>
      </c>
      <c r="S659" s="95" t="s">
        <v>1447</v>
      </c>
    </row>
    <row r="660" hidden="1">
      <c r="A660" s="32" t="str">
        <f t="shared" si="1"/>
        <v>2021FellowsWeek 16</v>
      </c>
      <c r="B660" s="32" t="str">
        <f t="shared" si="2"/>
        <v>2021T-HowWeek 16</v>
      </c>
      <c r="C660" s="32" t="str">
        <f t="shared" si="3"/>
        <v>Week 16</v>
      </c>
      <c r="D660" s="32">
        <v>2021.0</v>
      </c>
      <c r="E660" t="str">
        <f t="shared" si="4"/>
        <v>16</v>
      </c>
      <c r="F660" t="str">
        <f t="shared" si="5"/>
        <v>Michael Fellows</v>
      </c>
      <c r="G660" s="40" t="str">
        <f>VLOOKUP(F660,'Manager Coding'!C:D,2,0)</f>
        <v>Fellows</v>
      </c>
      <c r="H660" s="41">
        <f t="shared" si="6"/>
        <v>75.7</v>
      </c>
      <c r="I660" t="str">
        <f t="shared" si="7"/>
        <v>Tyler Howard</v>
      </c>
      <c r="J660" t="str">
        <f>VLOOKUP(I660,'Manager Coding'!C:D,2,0)</f>
        <v>T-How</v>
      </c>
      <c r="K660" s="41">
        <f t="shared" si="8"/>
        <v>90.92</v>
      </c>
      <c r="L660">
        <f t="shared" si="9"/>
        <v>0</v>
      </c>
      <c r="M660">
        <f t="shared" si="10"/>
        <v>1</v>
      </c>
      <c r="N660" s="100" t="s">
        <v>1463</v>
      </c>
      <c r="O660" s="101" t="s">
        <v>80</v>
      </c>
      <c r="P660" s="104">
        <v>75.7</v>
      </c>
      <c r="Q660" s="105">
        <v>90.92</v>
      </c>
      <c r="R660" s="102" t="s">
        <v>85</v>
      </c>
      <c r="S660" s="100" t="s">
        <v>1480</v>
      </c>
    </row>
    <row r="661" hidden="1">
      <c r="A661" s="32" t="str">
        <f t="shared" si="1"/>
        <v>2021CockWeek 16</v>
      </c>
      <c r="B661" s="32" t="str">
        <f t="shared" si="2"/>
        <v>2021Rooney/JacksonWeek 16</v>
      </c>
      <c r="C661" s="32" t="str">
        <f t="shared" si="3"/>
        <v>Week 16</v>
      </c>
      <c r="D661" s="32">
        <v>2021.0</v>
      </c>
      <c r="E661" t="str">
        <f t="shared" si="4"/>
        <v>16</v>
      </c>
      <c r="F661" t="str">
        <f t="shared" si="5"/>
        <v>Jack Babcock, Chris Cochrane</v>
      </c>
      <c r="G661" s="40" t="str">
        <f>VLOOKUP(F661,'Manager Coding'!C:D,2,0)</f>
        <v>Cock</v>
      </c>
      <c r="H661" s="41">
        <f t="shared" si="6"/>
        <v>59.4</v>
      </c>
      <c r="I661" t="str">
        <f t="shared" si="7"/>
        <v>Stephen Rooney, Jackson Sattell</v>
      </c>
      <c r="J661" t="str">
        <f>VLOOKUP(I661,'Manager Coding'!C:D,2,0)</f>
        <v>Rooney/Jackson</v>
      </c>
      <c r="K661" s="41">
        <f t="shared" si="8"/>
        <v>103.5</v>
      </c>
      <c r="L661">
        <f t="shared" si="9"/>
        <v>0</v>
      </c>
      <c r="M661">
        <f t="shared" si="10"/>
        <v>1</v>
      </c>
      <c r="N661" s="95" t="s">
        <v>1477</v>
      </c>
      <c r="O661" s="96" t="s">
        <v>73</v>
      </c>
      <c r="P661" s="104">
        <v>59.4</v>
      </c>
      <c r="Q661" s="105">
        <v>103.5</v>
      </c>
      <c r="R661" s="103" t="s">
        <v>58</v>
      </c>
      <c r="S661" s="95" t="s">
        <v>1453</v>
      </c>
    </row>
    <row r="662" hidden="1">
      <c r="A662" s="32" t="str">
        <f t="shared" si="1"/>
        <v>2021KnardDawgWeek 16</v>
      </c>
      <c r="B662" s="32" t="str">
        <f t="shared" si="2"/>
        <v>2021TayskiWeek 16</v>
      </c>
      <c r="C662" s="32" t="str">
        <f t="shared" si="3"/>
        <v>Week 16</v>
      </c>
      <c r="D662" s="32">
        <v>2021.0</v>
      </c>
      <c r="E662" t="str">
        <f t="shared" si="4"/>
        <v>16</v>
      </c>
      <c r="F662" t="str">
        <f t="shared" si="5"/>
        <v>Alex Kinniard, Jack Reilly</v>
      </c>
      <c r="G662" s="40" t="str">
        <f>VLOOKUP(F662,'Manager Coding'!C:D,2,0)</f>
        <v>KnardDawg</v>
      </c>
      <c r="H662" s="41">
        <f t="shared" si="6"/>
        <v>77.74</v>
      </c>
      <c r="I662" t="str">
        <f t="shared" si="7"/>
        <v>Taylor Weis</v>
      </c>
      <c r="J662" t="str">
        <f>VLOOKUP(I662,'Manager Coding'!C:D,2,0)</f>
        <v>Tayski</v>
      </c>
      <c r="K662" s="41">
        <f t="shared" si="8"/>
        <v>57.98</v>
      </c>
      <c r="L662">
        <f t="shared" si="9"/>
        <v>1</v>
      </c>
      <c r="M662">
        <f t="shared" si="10"/>
        <v>0</v>
      </c>
      <c r="N662" s="100" t="s">
        <v>1464</v>
      </c>
      <c r="O662" s="101" t="s">
        <v>87</v>
      </c>
      <c r="P662" s="97">
        <v>77.74</v>
      </c>
      <c r="Q662" s="98">
        <v>57.98</v>
      </c>
      <c r="R662" s="102" t="s">
        <v>54</v>
      </c>
      <c r="S662" s="100" t="s">
        <v>1467</v>
      </c>
    </row>
    <row r="663" hidden="1">
      <c r="A663" s="32" t="str">
        <f t="shared" si="1"/>
        <v>#N/A</v>
      </c>
      <c r="B663" s="32" t="str">
        <f t="shared" si="2"/>
        <v>#N/A</v>
      </c>
      <c r="C663" s="32" t="str">
        <f t="shared" si="3"/>
        <v>Week 16</v>
      </c>
      <c r="D663" s="32">
        <v>2021.0</v>
      </c>
      <c r="E663" t="str">
        <f t="shared" si="4"/>
        <v>16</v>
      </c>
      <c r="F663" t="str">
        <f t="shared" si="5"/>
        <v/>
      </c>
      <c r="G663" s="40" t="str">
        <f>VLOOKUP(F663,'Manager Coding'!C:D,2,0)</f>
        <v>#N/A</v>
      </c>
      <c r="H663" s="41" t="str">
        <f t="shared" si="6"/>
        <v/>
      </c>
      <c r="I663" t="str">
        <f t="shared" si="7"/>
        <v/>
      </c>
      <c r="J663" t="str">
        <f>VLOOKUP(I663,'Manager Coding'!C:D,2,0)</f>
        <v>#N/A</v>
      </c>
      <c r="K663" s="41" t="str">
        <f t="shared" si="8"/>
        <v/>
      </c>
      <c r="L663">
        <f t="shared" si="9"/>
        <v>0</v>
      </c>
      <c r="M663">
        <f t="shared" si="10"/>
        <v>0</v>
      </c>
      <c r="N663" s="114" t="s">
        <v>1843</v>
      </c>
      <c r="P663" s="41"/>
      <c r="Q663" s="41"/>
    </row>
    <row r="664" hidden="1">
      <c r="A664" s="32" t="str">
        <f t="shared" si="1"/>
        <v>#N/A</v>
      </c>
      <c r="B664" s="32" t="str">
        <f t="shared" si="2"/>
        <v>#N/A</v>
      </c>
      <c r="C664" s="32" t="str">
        <f t="shared" si="3"/>
        <v>Week 17</v>
      </c>
      <c r="D664" s="32">
        <v>2021.0</v>
      </c>
      <c r="E664" t="str">
        <f t="shared" si="4"/>
        <v>17</v>
      </c>
      <c r="F664" t="str">
        <f t="shared" si="5"/>
        <v/>
      </c>
      <c r="G664" s="40" t="str">
        <f>VLOOKUP(F664,'Manager Coding'!C:D,2,0)</f>
        <v>#N/A</v>
      </c>
      <c r="H664" s="41" t="str">
        <f t="shared" si="6"/>
        <v/>
      </c>
      <c r="I664" t="str">
        <f t="shared" si="7"/>
        <v/>
      </c>
      <c r="J664" t="str">
        <f>VLOOKUP(I664,'Manager Coding'!C:D,2,0)</f>
        <v>#N/A</v>
      </c>
      <c r="K664" s="41" t="str">
        <f t="shared" si="8"/>
        <v/>
      </c>
      <c r="L664">
        <f t="shared" si="9"/>
        <v>0</v>
      </c>
      <c r="M664">
        <f t="shared" si="10"/>
        <v>0</v>
      </c>
      <c r="N664" s="92" t="s">
        <v>1795</v>
      </c>
      <c r="P664" s="41"/>
      <c r="Q664" s="41"/>
    </row>
    <row r="665" hidden="1">
      <c r="A665" s="32" t="str">
        <f t="shared" si="1"/>
        <v>#N/A</v>
      </c>
      <c r="B665" s="32" t="str">
        <f t="shared" si="2"/>
        <v>#N/A</v>
      </c>
      <c r="C665" s="32" t="str">
        <f t="shared" si="3"/>
        <v>Week 17</v>
      </c>
      <c r="D665" s="32">
        <v>2021.0</v>
      </c>
      <c r="E665" t="str">
        <f t="shared" si="4"/>
        <v>17</v>
      </c>
      <c r="F665" t="str">
        <f t="shared" si="5"/>
        <v>TEAM MANAGER(S)</v>
      </c>
      <c r="G665" s="40" t="str">
        <f>VLOOKUP(F665,'Manager Coding'!C:D,2,0)</f>
        <v>#N/A</v>
      </c>
      <c r="H665" s="41" t="str">
        <f t="shared" si="6"/>
        <v>SCORE</v>
      </c>
      <c r="I665" t="str">
        <f t="shared" si="7"/>
        <v>TEAM MANAGER(S)</v>
      </c>
      <c r="J665" t="str">
        <f>VLOOKUP(I665,'Manager Coding'!C:D,2,0)</f>
        <v>#N/A</v>
      </c>
      <c r="K665" s="41" t="str">
        <f t="shared" si="8"/>
        <v>SCORE</v>
      </c>
      <c r="L665">
        <f t="shared" si="9"/>
        <v>0</v>
      </c>
      <c r="M665">
        <f t="shared" si="10"/>
        <v>0</v>
      </c>
      <c r="N665" s="93" t="s">
        <v>197</v>
      </c>
      <c r="O665" s="93" t="s">
        <v>88</v>
      </c>
      <c r="P665" s="94" t="s">
        <v>94</v>
      </c>
      <c r="Q665" s="93" t="s">
        <v>94</v>
      </c>
      <c r="R665" s="94" t="s">
        <v>88</v>
      </c>
      <c r="S665" s="94" t="s">
        <v>101</v>
      </c>
    </row>
    <row r="666" hidden="1">
      <c r="A666" s="32" t="str">
        <f t="shared" si="1"/>
        <v>2021HudspeathWeek 17</v>
      </c>
      <c r="B666" s="32" t="str">
        <f t="shared" si="2"/>
        <v>2021RileyWeek 17</v>
      </c>
      <c r="C666" s="32" t="str">
        <f t="shared" si="3"/>
        <v>Week 17</v>
      </c>
      <c r="D666" s="32">
        <v>2021.0</v>
      </c>
      <c r="E666" t="str">
        <f t="shared" si="4"/>
        <v>17</v>
      </c>
      <c r="F666" t="str">
        <f t="shared" si="5"/>
        <v>matt hudspeath</v>
      </c>
      <c r="G666" s="40" t="str">
        <f>VLOOKUP(F666,'Manager Coding'!C:D,2,0)</f>
        <v>Hudspeath</v>
      </c>
      <c r="H666" s="41">
        <f t="shared" si="6"/>
        <v>97.72</v>
      </c>
      <c r="I666" t="str">
        <f t="shared" si="7"/>
        <v>Riley McElwain</v>
      </c>
      <c r="J666" t="str">
        <f>VLOOKUP(I666,'Manager Coding'!C:D,2,0)</f>
        <v>Riley</v>
      </c>
      <c r="K666" s="41">
        <f t="shared" si="8"/>
        <v>106.14</v>
      </c>
      <c r="L666">
        <f t="shared" si="9"/>
        <v>0</v>
      </c>
      <c r="M666">
        <f t="shared" si="10"/>
        <v>1</v>
      </c>
      <c r="N666" s="95" t="s">
        <v>1482</v>
      </c>
      <c r="O666" s="96" t="s">
        <v>64</v>
      </c>
      <c r="P666" s="104">
        <v>97.72</v>
      </c>
      <c r="Q666" s="98">
        <v>106.14</v>
      </c>
      <c r="R666" s="103" t="s">
        <v>68</v>
      </c>
      <c r="S666" s="95" t="s">
        <v>1470</v>
      </c>
    </row>
    <row r="667" hidden="1">
      <c r="A667" s="32" t="str">
        <f t="shared" si="1"/>
        <v>2021PiersonWeek 17</v>
      </c>
      <c r="B667" s="32" t="str">
        <f t="shared" si="2"/>
        <v>2021BuserWeek 17</v>
      </c>
      <c r="C667" s="32" t="str">
        <f t="shared" si="3"/>
        <v>Week 17</v>
      </c>
      <c r="D667" s="32">
        <v>2021.0</v>
      </c>
      <c r="E667" t="str">
        <f t="shared" si="4"/>
        <v>17</v>
      </c>
      <c r="F667" t="str">
        <f t="shared" si="5"/>
        <v>Pierson Curtis</v>
      </c>
      <c r="G667" s="40" t="str">
        <f>VLOOKUP(F667,'Manager Coding'!C:D,2,0)</f>
        <v>Pierson</v>
      </c>
      <c r="H667" s="41">
        <f t="shared" si="6"/>
        <v>132.2</v>
      </c>
      <c r="I667" t="str">
        <f t="shared" si="7"/>
        <v>Ed Buser</v>
      </c>
      <c r="J667" t="str">
        <f>VLOOKUP(I667,'Manager Coding'!C:D,2,0)</f>
        <v>Buser</v>
      </c>
      <c r="K667" s="41">
        <f t="shared" si="8"/>
        <v>93.18</v>
      </c>
      <c r="L667">
        <f t="shared" si="9"/>
        <v>1</v>
      </c>
      <c r="M667">
        <f t="shared" si="10"/>
        <v>0</v>
      </c>
      <c r="N667" s="100" t="s">
        <v>1457</v>
      </c>
      <c r="O667" s="101" t="s">
        <v>93</v>
      </c>
      <c r="P667" s="104">
        <v>132.2</v>
      </c>
      <c r="Q667" s="98">
        <v>93.18</v>
      </c>
      <c r="R667" s="102" t="s">
        <v>50</v>
      </c>
      <c r="S667" s="100" t="s">
        <v>1454</v>
      </c>
    </row>
    <row r="668" hidden="1">
      <c r="A668" s="32" t="str">
        <f t="shared" si="1"/>
        <v>2021ShepWeek 17</v>
      </c>
      <c r="B668" s="32" t="str">
        <f t="shared" si="2"/>
        <v>2021SaltyWeek 17</v>
      </c>
      <c r="C668" s="32" t="str">
        <f t="shared" si="3"/>
        <v>Week 17</v>
      </c>
      <c r="D668" s="32">
        <v>2021.0</v>
      </c>
      <c r="E668" t="str">
        <f t="shared" si="4"/>
        <v>17</v>
      </c>
      <c r="F668" t="str">
        <f t="shared" si="5"/>
        <v>Jordan Shepherd</v>
      </c>
      <c r="G668" s="40" t="str">
        <f>VLOOKUP(F668,'Manager Coding'!C:D,2,0)</f>
        <v>Shep</v>
      </c>
      <c r="H668" s="41">
        <f t="shared" si="6"/>
        <v>59.6</v>
      </c>
      <c r="I668" t="str">
        <f t="shared" si="7"/>
        <v>R Saltiel</v>
      </c>
      <c r="J668" t="str">
        <f>VLOOKUP(I668,'Manager Coding'!C:D,2,0)</f>
        <v>Salty</v>
      </c>
      <c r="K668" s="41">
        <f t="shared" si="8"/>
        <v>109</v>
      </c>
      <c r="L668">
        <f t="shared" si="9"/>
        <v>0</v>
      </c>
      <c r="M668">
        <f t="shared" si="10"/>
        <v>1</v>
      </c>
      <c r="N668" s="95" t="s">
        <v>1476</v>
      </c>
      <c r="O668" s="96" t="s">
        <v>91</v>
      </c>
      <c r="P668" s="104">
        <v>59.6</v>
      </c>
      <c r="Q668" s="98">
        <v>109.0</v>
      </c>
      <c r="R668" s="99" t="s">
        <v>77</v>
      </c>
      <c r="S668" s="95" t="s">
        <v>1447</v>
      </c>
    </row>
    <row r="669" hidden="1">
      <c r="A669" s="32" t="str">
        <f t="shared" si="1"/>
        <v>2021T-HowWeek 17</v>
      </c>
      <c r="B669" s="32" t="str">
        <f t="shared" si="2"/>
        <v>2021Rooney/JacksonWeek 17</v>
      </c>
      <c r="C669" s="32" t="str">
        <f t="shared" si="3"/>
        <v>Week 17</v>
      </c>
      <c r="D669" s="32">
        <v>2021.0</v>
      </c>
      <c r="E669" t="str">
        <f t="shared" si="4"/>
        <v>17</v>
      </c>
      <c r="F669" t="str">
        <f t="shared" si="5"/>
        <v>Tyler Howard</v>
      </c>
      <c r="G669" s="40" t="str">
        <f>VLOOKUP(F669,'Manager Coding'!C:D,2,0)</f>
        <v>T-How</v>
      </c>
      <c r="H669" s="41">
        <f t="shared" si="6"/>
        <v>121.96</v>
      </c>
      <c r="I669" t="str">
        <f t="shared" si="7"/>
        <v>Stephen Rooney, Jackson Sattell</v>
      </c>
      <c r="J669" t="str">
        <f>VLOOKUP(I669,'Manager Coding'!C:D,2,0)</f>
        <v>Rooney/Jackson</v>
      </c>
      <c r="K669" s="41">
        <f t="shared" si="8"/>
        <v>97.56</v>
      </c>
      <c r="L669">
        <f t="shared" si="9"/>
        <v>1</v>
      </c>
      <c r="M669">
        <f t="shared" si="10"/>
        <v>0</v>
      </c>
      <c r="N669" s="100" t="s">
        <v>1480</v>
      </c>
      <c r="O669" s="101" t="s">
        <v>85</v>
      </c>
      <c r="P669" s="104">
        <v>121.96</v>
      </c>
      <c r="Q669" s="98">
        <v>97.56</v>
      </c>
      <c r="R669" s="102" t="s">
        <v>58</v>
      </c>
      <c r="S669" s="100" t="s">
        <v>1453</v>
      </c>
    </row>
    <row r="670" hidden="1">
      <c r="A670" s="32" t="str">
        <f t="shared" si="1"/>
        <v>2021KnardDawgWeek 17</v>
      </c>
      <c r="B670" s="32" t="str">
        <f t="shared" si="2"/>
        <v>2021FellowsWeek 17</v>
      </c>
      <c r="C670" s="32" t="str">
        <f t="shared" si="3"/>
        <v>Week 17</v>
      </c>
      <c r="D670" s="32">
        <v>2021.0</v>
      </c>
      <c r="E670" t="str">
        <f t="shared" si="4"/>
        <v>17</v>
      </c>
      <c r="F670" t="str">
        <f t="shared" si="5"/>
        <v>Alex Kinniard, Jack Reilly</v>
      </c>
      <c r="G670" s="40" t="str">
        <f>VLOOKUP(F670,'Manager Coding'!C:D,2,0)</f>
        <v>KnardDawg</v>
      </c>
      <c r="H670" s="41">
        <f t="shared" si="6"/>
        <v>116.34</v>
      </c>
      <c r="I670" t="str">
        <f t="shared" si="7"/>
        <v>Michael Fellows</v>
      </c>
      <c r="J670" t="str">
        <f>VLOOKUP(I670,'Manager Coding'!C:D,2,0)</f>
        <v>Fellows</v>
      </c>
      <c r="K670" s="41">
        <f t="shared" si="8"/>
        <v>71.48</v>
      </c>
      <c r="L670">
        <f t="shared" si="9"/>
        <v>1</v>
      </c>
      <c r="M670">
        <f t="shared" si="10"/>
        <v>0</v>
      </c>
      <c r="N670" s="95" t="s">
        <v>1464</v>
      </c>
      <c r="O670" s="96" t="s">
        <v>87</v>
      </c>
      <c r="P670" s="104">
        <v>116.34</v>
      </c>
      <c r="Q670" s="98">
        <v>71.48</v>
      </c>
      <c r="R670" s="103" t="s">
        <v>80</v>
      </c>
      <c r="S670" s="95" t="s">
        <v>1463</v>
      </c>
    </row>
    <row r="671" hidden="1">
      <c r="A671" s="32" t="str">
        <f t="shared" si="1"/>
        <v>2021CockWeek 17</v>
      </c>
      <c r="B671" s="32" t="str">
        <f t="shared" si="2"/>
        <v>2021TayskiWeek 17</v>
      </c>
      <c r="C671" s="32" t="str">
        <f t="shared" si="3"/>
        <v>Week 17</v>
      </c>
      <c r="D671" s="32">
        <v>2021.0</v>
      </c>
      <c r="E671" t="str">
        <f t="shared" si="4"/>
        <v>17</v>
      </c>
      <c r="F671" t="str">
        <f t="shared" si="5"/>
        <v>Jack Babcock, Chris Cochrane</v>
      </c>
      <c r="G671" s="40" t="str">
        <f>VLOOKUP(F671,'Manager Coding'!C:D,2,0)</f>
        <v>Cock</v>
      </c>
      <c r="H671" s="41">
        <f t="shared" si="6"/>
        <v>88.74</v>
      </c>
      <c r="I671" t="str">
        <f t="shared" si="7"/>
        <v>Taylor Weis</v>
      </c>
      <c r="J671" t="str">
        <f>VLOOKUP(I671,'Manager Coding'!C:D,2,0)</f>
        <v>Tayski</v>
      </c>
      <c r="K671" s="41">
        <f t="shared" si="8"/>
        <v>65.76</v>
      </c>
      <c r="L671">
        <f t="shared" si="9"/>
        <v>1</v>
      </c>
      <c r="M671">
        <f t="shared" si="10"/>
        <v>0</v>
      </c>
      <c r="N671" s="100" t="s">
        <v>1477</v>
      </c>
      <c r="O671" s="101" t="s">
        <v>73</v>
      </c>
      <c r="P671" s="104">
        <v>88.74</v>
      </c>
      <c r="Q671" s="98">
        <v>65.76</v>
      </c>
      <c r="R671" s="102" t="s">
        <v>54</v>
      </c>
      <c r="S671" s="100" t="s">
        <v>1089</v>
      </c>
    </row>
    <row r="672" hidden="1">
      <c r="A672" s="32" t="str">
        <f t="shared" si="1"/>
        <v>#N/A</v>
      </c>
      <c r="B672" s="32" t="str">
        <f t="shared" si="2"/>
        <v>#N/A</v>
      </c>
      <c r="C672" s="32" t="str">
        <f t="shared" si="3"/>
        <v>Week 17</v>
      </c>
      <c r="D672" s="32">
        <v>2022.0</v>
      </c>
      <c r="E672" t="str">
        <f t="shared" si="4"/>
        <v>17</v>
      </c>
      <c r="F672" t="str">
        <f t="shared" si="5"/>
        <v>TEAM MANAGER(S)</v>
      </c>
      <c r="G672" s="40" t="str">
        <f>VLOOKUP(F672,'Manager Coding'!C:D,2,0)</f>
        <v>#N/A</v>
      </c>
      <c r="H672" s="41" t="str">
        <f t="shared" si="6"/>
        <v>SCORE</v>
      </c>
      <c r="I672" t="str">
        <f t="shared" si="7"/>
        <v>TEAM MANAGER(S)</v>
      </c>
      <c r="J672" t="str">
        <f>VLOOKUP(I672,'Manager Coding'!C:D,2,0)</f>
        <v>#N/A</v>
      </c>
      <c r="K672" s="41" t="str">
        <f t="shared" si="8"/>
        <v>SCORE</v>
      </c>
      <c r="L672">
        <f t="shared" si="9"/>
        <v>0</v>
      </c>
      <c r="M672">
        <f t="shared" si="10"/>
        <v>0</v>
      </c>
      <c r="N672" s="22" t="s">
        <v>83</v>
      </c>
      <c r="O672" s="78" t="s">
        <v>88</v>
      </c>
      <c r="P672" s="79" t="s">
        <v>94</v>
      </c>
      <c r="Q672" s="78" t="s">
        <v>94</v>
      </c>
      <c r="R672" s="79" t="s">
        <v>88</v>
      </c>
      <c r="S672" s="79" t="s">
        <v>101</v>
      </c>
    </row>
    <row r="673" hidden="1">
      <c r="A673" s="32" t="str">
        <f t="shared" si="1"/>
        <v>2022HudspeathWeek 1</v>
      </c>
      <c r="B673" s="32" t="str">
        <f t="shared" si="2"/>
        <v>2022KnardDawgWeek 1</v>
      </c>
      <c r="C673" s="32" t="str">
        <f t="shared" si="3"/>
        <v>Week 1</v>
      </c>
      <c r="D673" s="32">
        <v>2022.0</v>
      </c>
      <c r="E673" t="str">
        <f t="shared" si="4"/>
        <v>1</v>
      </c>
      <c r="F673" t="str">
        <f t="shared" si="5"/>
        <v>matt hudspeath</v>
      </c>
      <c r="G673" s="40" t="str">
        <f>VLOOKUP(F673,'Manager Coding'!C:D,2,0)</f>
        <v>Hudspeath</v>
      </c>
      <c r="H673" s="41">
        <f t="shared" si="6"/>
        <v>80</v>
      </c>
      <c r="I673" t="str">
        <f t="shared" si="7"/>
        <v>Alex Kinniard, Jack Reilly</v>
      </c>
      <c r="J673" t="str">
        <f>VLOOKUP(I673,'Manager Coding'!C:D,2,0)</f>
        <v>KnardDawg</v>
      </c>
      <c r="K673" s="41">
        <f t="shared" si="8"/>
        <v>60.6</v>
      </c>
      <c r="L673">
        <f t="shared" si="9"/>
        <v>1</v>
      </c>
      <c r="M673">
        <f t="shared" si="10"/>
        <v>0</v>
      </c>
      <c r="N673" s="80" t="s">
        <v>1868</v>
      </c>
      <c r="O673" s="90" t="s">
        <v>64</v>
      </c>
      <c r="P673" s="82">
        <v>80.0</v>
      </c>
      <c r="Q673" s="83">
        <v>60.6</v>
      </c>
      <c r="R673" s="84" t="s">
        <v>87</v>
      </c>
      <c r="S673" s="80" t="s">
        <v>1869</v>
      </c>
    </row>
    <row r="674" hidden="1">
      <c r="A674" s="32" t="str">
        <f t="shared" si="1"/>
        <v>2022Rooney/JacksonWeek 1</v>
      </c>
      <c r="B674" s="32" t="str">
        <f t="shared" si="2"/>
        <v>2022TayskiWeek 1</v>
      </c>
      <c r="C674" s="32" t="str">
        <f t="shared" si="3"/>
        <v>Week 1</v>
      </c>
      <c r="D674" s="32">
        <v>2022.0</v>
      </c>
      <c r="E674" t="str">
        <f t="shared" si="4"/>
        <v>1</v>
      </c>
      <c r="F674" t="str">
        <f t="shared" si="5"/>
        <v>Stephen Rooney, Jackson Sattell</v>
      </c>
      <c r="G674" s="40" t="str">
        <f>VLOOKUP(F674,'Manager Coding'!C:D,2,0)</f>
        <v>Rooney/Jackson</v>
      </c>
      <c r="H674" s="41">
        <f t="shared" si="6"/>
        <v>118.32</v>
      </c>
      <c r="I674" t="str">
        <f t="shared" si="7"/>
        <v>Taylor Weis</v>
      </c>
      <c r="J674" t="str">
        <f>VLOOKUP(I674,'Manager Coding'!C:D,2,0)</f>
        <v>Tayski</v>
      </c>
      <c r="K674" s="41">
        <f t="shared" si="8"/>
        <v>90.78</v>
      </c>
      <c r="L674">
        <f t="shared" si="9"/>
        <v>1</v>
      </c>
      <c r="M674">
        <f t="shared" si="10"/>
        <v>0</v>
      </c>
      <c r="N674" s="85" t="s">
        <v>1872</v>
      </c>
      <c r="O674" s="86" t="s">
        <v>58</v>
      </c>
      <c r="P674" s="82">
        <v>118.32</v>
      </c>
      <c r="Q674" s="83">
        <v>90.78</v>
      </c>
      <c r="R674" s="89" t="s">
        <v>54</v>
      </c>
      <c r="S674" s="85" t="s">
        <v>1875</v>
      </c>
    </row>
    <row r="675" hidden="1">
      <c r="A675" s="32" t="str">
        <f t="shared" si="1"/>
        <v>2022T-HowWeek 1</v>
      </c>
      <c r="B675" s="32" t="str">
        <f t="shared" si="2"/>
        <v>2022CockWeek 1</v>
      </c>
      <c r="C675" s="32" t="str">
        <f t="shared" si="3"/>
        <v>Week 1</v>
      </c>
      <c r="D675" s="32">
        <v>2022.0</v>
      </c>
      <c r="E675" t="str">
        <f t="shared" si="4"/>
        <v>1</v>
      </c>
      <c r="F675" t="str">
        <f t="shared" si="5"/>
        <v>Tyler Howard</v>
      </c>
      <c r="G675" s="40" t="str">
        <f>VLOOKUP(F675,'Manager Coding'!C:D,2,0)</f>
        <v>T-How</v>
      </c>
      <c r="H675" s="41">
        <f t="shared" si="6"/>
        <v>105.88</v>
      </c>
      <c r="I675" t="str">
        <f t="shared" si="7"/>
        <v>Chris Cochrane</v>
      </c>
      <c r="J675" t="str">
        <f>VLOOKUP(I675,'Manager Coding'!C:D,2,0)</f>
        <v>Cock</v>
      </c>
      <c r="K675" s="41">
        <f t="shared" si="8"/>
        <v>79.1</v>
      </c>
      <c r="L675">
        <f t="shared" si="9"/>
        <v>1</v>
      </c>
      <c r="M675">
        <f t="shared" si="10"/>
        <v>0</v>
      </c>
      <c r="N675" s="80" t="s">
        <v>1876</v>
      </c>
      <c r="O675" s="90" t="s">
        <v>85</v>
      </c>
      <c r="P675" s="82">
        <v>105.88</v>
      </c>
      <c r="Q675" s="83">
        <v>79.1</v>
      </c>
      <c r="R675" s="84" t="s">
        <v>99</v>
      </c>
      <c r="S675" s="80" t="s">
        <v>1879</v>
      </c>
    </row>
    <row r="676" hidden="1">
      <c r="A676" s="32" t="str">
        <f t="shared" si="1"/>
        <v>2022PiersonWeek 1</v>
      </c>
      <c r="B676" s="32" t="str">
        <f t="shared" si="2"/>
        <v>2022SaltyWeek 1</v>
      </c>
      <c r="C676" s="32" t="str">
        <f t="shared" si="3"/>
        <v>Week 1</v>
      </c>
      <c r="D676" s="32">
        <v>2022.0</v>
      </c>
      <c r="E676" t="str">
        <f t="shared" si="4"/>
        <v>1</v>
      </c>
      <c r="F676" t="str">
        <f t="shared" si="5"/>
        <v>Pierson Curtis</v>
      </c>
      <c r="G676" s="40" t="str">
        <f>VLOOKUP(F676,'Manager Coding'!C:D,2,0)</f>
        <v>Pierson</v>
      </c>
      <c r="H676" s="41">
        <f t="shared" si="6"/>
        <v>91.3</v>
      </c>
      <c r="I676" t="str">
        <f t="shared" si="7"/>
        <v>R Saltiel</v>
      </c>
      <c r="J676" t="str">
        <f>VLOOKUP(I676,'Manager Coding'!C:D,2,0)</f>
        <v>Salty</v>
      </c>
      <c r="K676" s="41">
        <f t="shared" si="8"/>
        <v>102.52</v>
      </c>
      <c r="L676">
        <f t="shared" si="9"/>
        <v>0</v>
      </c>
      <c r="M676">
        <f t="shared" si="10"/>
        <v>1</v>
      </c>
      <c r="N676" s="85" t="s">
        <v>1882</v>
      </c>
      <c r="O676" s="86" t="s">
        <v>93</v>
      </c>
      <c r="P676" s="87">
        <v>91.3</v>
      </c>
      <c r="Q676" s="88">
        <v>102.52</v>
      </c>
      <c r="R676" s="115" t="s">
        <v>77</v>
      </c>
      <c r="S676" s="85" t="s">
        <v>1885</v>
      </c>
    </row>
    <row r="677" hidden="1">
      <c r="A677" s="32" t="str">
        <f t="shared" si="1"/>
        <v>2022BuserWeek 1</v>
      </c>
      <c r="B677" s="32" t="str">
        <f t="shared" si="2"/>
        <v>2022ShepWeek 1</v>
      </c>
      <c r="C677" s="32" t="str">
        <f t="shared" si="3"/>
        <v>Week 1</v>
      </c>
      <c r="D677" s="32">
        <v>2022.0</v>
      </c>
      <c r="E677" t="str">
        <f t="shared" si="4"/>
        <v>1</v>
      </c>
      <c r="F677" t="str">
        <f t="shared" si="5"/>
        <v>Ed Buser</v>
      </c>
      <c r="G677" s="40" t="str">
        <f>VLOOKUP(F677,'Manager Coding'!C:D,2,0)</f>
        <v>Buser</v>
      </c>
      <c r="H677" s="41">
        <f t="shared" si="6"/>
        <v>107.16</v>
      </c>
      <c r="I677" t="str">
        <f t="shared" si="7"/>
        <v>Jordan Shepherd</v>
      </c>
      <c r="J677" t="str">
        <f>VLOOKUP(I677,'Manager Coding'!C:D,2,0)</f>
        <v>Shep</v>
      </c>
      <c r="K677" s="41">
        <f t="shared" si="8"/>
        <v>89.12</v>
      </c>
      <c r="L677">
        <f t="shared" si="9"/>
        <v>1</v>
      </c>
      <c r="M677">
        <f t="shared" si="10"/>
        <v>0</v>
      </c>
      <c r="N677" s="80" t="s">
        <v>1886</v>
      </c>
      <c r="O677" s="90" t="s">
        <v>50</v>
      </c>
      <c r="P677" s="82">
        <v>107.16</v>
      </c>
      <c r="Q677" s="83">
        <v>89.12</v>
      </c>
      <c r="R677" s="84" t="s">
        <v>91</v>
      </c>
      <c r="S677" s="80" t="s">
        <v>1889</v>
      </c>
    </row>
    <row r="678" hidden="1">
      <c r="A678" s="32" t="str">
        <f t="shared" si="1"/>
        <v>2022RileyWeek 1</v>
      </c>
      <c r="B678" s="32" t="str">
        <f t="shared" si="2"/>
        <v>2022FellowsWeek 1</v>
      </c>
      <c r="C678" s="32" t="str">
        <f t="shared" si="3"/>
        <v>Week 1</v>
      </c>
      <c r="D678" s="32">
        <v>2022.0</v>
      </c>
      <c r="E678" t="str">
        <f t="shared" si="4"/>
        <v>1</v>
      </c>
      <c r="F678" t="str">
        <f t="shared" si="5"/>
        <v>Riley McElwain</v>
      </c>
      <c r="G678" s="40" t="str">
        <f>VLOOKUP(F678,'Manager Coding'!C:D,2,0)</f>
        <v>Riley</v>
      </c>
      <c r="H678" s="41">
        <f t="shared" si="6"/>
        <v>95.52</v>
      </c>
      <c r="I678" t="str">
        <f t="shared" si="7"/>
        <v>Michael Fellows</v>
      </c>
      <c r="J678" t="str">
        <f>VLOOKUP(I678,'Manager Coding'!C:D,2,0)</f>
        <v>Fellows</v>
      </c>
      <c r="K678" s="41">
        <f t="shared" si="8"/>
        <v>97.86</v>
      </c>
      <c r="L678">
        <f t="shared" si="9"/>
        <v>0</v>
      </c>
      <c r="M678">
        <f t="shared" si="10"/>
        <v>1</v>
      </c>
      <c r="N678" s="85" t="s">
        <v>1890</v>
      </c>
      <c r="O678" s="86" t="s">
        <v>68</v>
      </c>
      <c r="P678" s="87">
        <v>95.52</v>
      </c>
      <c r="Q678" s="88">
        <v>97.86</v>
      </c>
      <c r="R678" s="89" t="s">
        <v>80</v>
      </c>
      <c r="S678" s="85" t="s">
        <v>1893</v>
      </c>
    </row>
    <row r="679" hidden="1">
      <c r="A679" s="32" t="str">
        <f t="shared" si="1"/>
        <v>#N/A</v>
      </c>
      <c r="B679" s="32" t="str">
        <f t="shared" si="2"/>
        <v>#N/A</v>
      </c>
      <c r="C679" s="32" t="str">
        <f t="shared" si="3"/>
        <v>Week 1</v>
      </c>
      <c r="D679" s="32">
        <v>2022.0</v>
      </c>
      <c r="E679" t="str">
        <f t="shared" si="4"/>
        <v>1</v>
      </c>
      <c r="F679" t="str">
        <f t="shared" si="5"/>
        <v/>
      </c>
      <c r="G679" s="40" t="str">
        <f>VLOOKUP(F679,'Manager Coding'!C:D,2,0)</f>
        <v>#N/A</v>
      </c>
      <c r="H679" s="41" t="str">
        <f t="shared" si="6"/>
        <v/>
      </c>
      <c r="I679" t="str">
        <f t="shared" si="7"/>
        <v/>
      </c>
      <c r="J679" t="str">
        <f>VLOOKUP(I679,'Manager Coding'!C:D,2,0)</f>
        <v>#N/A</v>
      </c>
      <c r="K679" s="41" t="str">
        <f t="shared" si="8"/>
        <v/>
      </c>
      <c r="L679">
        <f t="shared" si="9"/>
        <v>0</v>
      </c>
      <c r="M679">
        <f t="shared" si="10"/>
        <v>0</v>
      </c>
      <c r="N679" s="91" t="s">
        <v>196</v>
      </c>
      <c r="P679" s="41"/>
      <c r="Q679" s="41"/>
    </row>
    <row r="680" hidden="1">
      <c r="A680" s="32" t="str">
        <f t="shared" si="1"/>
        <v>#N/A</v>
      </c>
      <c r="B680" s="32" t="str">
        <f t="shared" si="2"/>
        <v>#N/A</v>
      </c>
      <c r="C680" s="32" t="str">
        <f t="shared" si="3"/>
        <v>Week 2</v>
      </c>
      <c r="D680" s="32">
        <v>2022.0</v>
      </c>
      <c r="E680" t="str">
        <f t="shared" si="4"/>
        <v>2</v>
      </c>
      <c r="F680" t="str">
        <f t="shared" si="5"/>
        <v/>
      </c>
      <c r="G680" s="40" t="str">
        <f>VLOOKUP(F680,'Manager Coding'!C:D,2,0)</f>
        <v>#N/A</v>
      </c>
      <c r="H680" s="41" t="str">
        <f t="shared" si="6"/>
        <v/>
      </c>
      <c r="I680" t="str">
        <f t="shared" si="7"/>
        <v/>
      </c>
      <c r="J680" t="str">
        <f>VLOOKUP(I680,'Manager Coding'!C:D,2,0)</f>
        <v>#N/A</v>
      </c>
      <c r="K680" s="41" t="str">
        <f t="shared" si="8"/>
        <v/>
      </c>
      <c r="L680">
        <f t="shared" si="9"/>
        <v>0</v>
      </c>
      <c r="M680">
        <f t="shared" si="10"/>
        <v>0</v>
      </c>
      <c r="N680" s="92" t="s">
        <v>1486</v>
      </c>
      <c r="P680" s="41"/>
      <c r="Q680" s="41"/>
    </row>
    <row r="681" hidden="1">
      <c r="A681" s="32" t="str">
        <f t="shared" si="1"/>
        <v>#N/A</v>
      </c>
      <c r="B681" s="32" t="str">
        <f t="shared" si="2"/>
        <v>#N/A</v>
      </c>
      <c r="C681" s="32" t="str">
        <f t="shared" si="3"/>
        <v>Week 2</v>
      </c>
      <c r="D681" s="32">
        <v>2022.0</v>
      </c>
      <c r="E681" t="str">
        <f t="shared" si="4"/>
        <v>2</v>
      </c>
      <c r="F681" t="str">
        <f t="shared" si="5"/>
        <v>TEAM MANAGER(S)</v>
      </c>
      <c r="G681" s="40" t="str">
        <f>VLOOKUP(F681,'Manager Coding'!C:D,2,0)</f>
        <v>#N/A</v>
      </c>
      <c r="H681" s="41" t="str">
        <f t="shared" si="6"/>
        <v>SCORE</v>
      </c>
      <c r="I681" t="str">
        <f t="shared" si="7"/>
        <v>TEAM MANAGER(S)</v>
      </c>
      <c r="J681" t="str">
        <f>VLOOKUP(I681,'Manager Coding'!C:D,2,0)</f>
        <v>#N/A</v>
      </c>
      <c r="K681" s="41" t="str">
        <f t="shared" si="8"/>
        <v>SCORE</v>
      </c>
      <c r="L681">
        <f t="shared" si="9"/>
        <v>0</v>
      </c>
      <c r="M681">
        <f t="shared" si="10"/>
        <v>0</v>
      </c>
      <c r="N681" s="116" t="s">
        <v>197</v>
      </c>
      <c r="O681" s="116" t="s">
        <v>88</v>
      </c>
      <c r="P681" s="117" t="s">
        <v>94</v>
      </c>
      <c r="Q681" s="116" t="s">
        <v>94</v>
      </c>
      <c r="R681" s="117" t="s">
        <v>88</v>
      </c>
      <c r="S681" s="117" t="s">
        <v>101</v>
      </c>
    </row>
    <row r="682" hidden="1">
      <c r="A682" s="32" t="str">
        <f t="shared" si="1"/>
        <v>2022Rooney/JacksonWeek 2</v>
      </c>
      <c r="B682" s="32" t="str">
        <f t="shared" si="2"/>
        <v>2022HudspeathWeek 2</v>
      </c>
      <c r="C682" s="32" t="str">
        <f t="shared" si="3"/>
        <v>Week 2</v>
      </c>
      <c r="D682" s="32">
        <v>2022.0</v>
      </c>
      <c r="E682" t="str">
        <f t="shared" si="4"/>
        <v>2</v>
      </c>
      <c r="F682" t="str">
        <f t="shared" si="5"/>
        <v>Stephen Rooney, Jackson Sattell</v>
      </c>
      <c r="G682" s="40" t="str">
        <f>VLOOKUP(F682,'Manager Coding'!C:D,2,0)</f>
        <v>Rooney/Jackson</v>
      </c>
      <c r="H682" s="41">
        <f t="shared" si="6"/>
        <v>115.08</v>
      </c>
      <c r="I682" t="str">
        <f t="shared" si="7"/>
        <v>matt hudspeath</v>
      </c>
      <c r="J682" t="str">
        <f>VLOOKUP(I682,'Manager Coding'!C:D,2,0)</f>
        <v>Hudspeath</v>
      </c>
      <c r="K682" s="41">
        <f t="shared" si="8"/>
        <v>113.26</v>
      </c>
      <c r="L682">
        <f t="shared" si="9"/>
        <v>1</v>
      </c>
      <c r="M682">
        <f t="shared" si="10"/>
        <v>0</v>
      </c>
      <c r="N682" s="118" t="s">
        <v>1900</v>
      </c>
      <c r="O682" s="119" t="s">
        <v>58</v>
      </c>
      <c r="P682" s="120">
        <v>115.08</v>
      </c>
      <c r="Q682" s="121">
        <v>113.26</v>
      </c>
      <c r="R682" s="122" t="s">
        <v>64</v>
      </c>
      <c r="S682" s="118" t="s">
        <v>1903</v>
      </c>
    </row>
    <row r="683" hidden="1">
      <c r="A683" s="32" t="str">
        <f t="shared" si="1"/>
        <v>2022KnardDawgWeek 2</v>
      </c>
      <c r="B683" s="32" t="str">
        <f t="shared" si="2"/>
        <v>2022T-HowWeek 2</v>
      </c>
      <c r="C683" s="32" t="str">
        <f t="shared" si="3"/>
        <v>Week 2</v>
      </c>
      <c r="D683" s="32">
        <v>2022.0</v>
      </c>
      <c r="E683" t="str">
        <f t="shared" si="4"/>
        <v>2</v>
      </c>
      <c r="F683" t="str">
        <f t="shared" si="5"/>
        <v>Alex Kinniard, Jack Reilly</v>
      </c>
      <c r="G683" s="40" t="str">
        <f>VLOOKUP(F683,'Manager Coding'!C:D,2,0)</f>
        <v>KnardDawg</v>
      </c>
      <c r="H683" s="41">
        <f t="shared" si="6"/>
        <v>99.06</v>
      </c>
      <c r="I683" t="str">
        <f t="shared" si="7"/>
        <v>Tyler Howard</v>
      </c>
      <c r="J683" t="str">
        <f>VLOOKUP(I683,'Manager Coding'!C:D,2,0)</f>
        <v>T-How</v>
      </c>
      <c r="K683" s="41">
        <f t="shared" si="8"/>
        <v>71.54</v>
      </c>
      <c r="L683">
        <f t="shared" si="9"/>
        <v>1</v>
      </c>
      <c r="M683">
        <f t="shared" si="10"/>
        <v>0</v>
      </c>
      <c r="N683" s="123" t="s">
        <v>1906</v>
      </c>
      <c r="O683" s="124" t="s">
        <v>87</v>
      </c>
      <c r="P683" s="120">
        <v>99.06</v>
      </c>
      <c r="Q683" s="121">
        <v>71.54</v>
      </c>
      <c r="R683" s="125" t="s">
        <v>85</v>
      </c>
      <c r="S683" s="123" t="s">
        <v>1907</v>
      </c>
    </row>
    <row r="684" hidden="1">
      <c r="A684" s="32" t="str">
        <f t="shared" si="1"/>
        <v>2022TayskiWeek 2</v>
      </c>
      <c r="B684" s="32" t="str">
        <f t="shared" si="2"/>
        <v>2022PiersonWeek 2</v>
      </c>
      <c r="C684" s="32" t="str">
        <f t="shared" si="3"/>
        <v>Week 2</v>
      </c>
      <c r="D684" s="32">
        <v>2022.0</v>
      </c>
      <c r="E684" t="str">
        <f t="shared" si="4"/>
        <v>2</v>
      </c>
      <c r="F684" t="str">
        <f t="shared" si="5"/>
        <v>Taylor Weis</v>
      </c>
      <c r="G684" s="40" t="str">
        <f>VLOOKUP(F684,'Manager Coding'!C:D,2,0)</f>
        <v>Tayski</v>
      </c>
      <c r="H684" s="41">
        <f t="shared" si="6"/>
        <v>71.18</v>
      </c>
      <c r="I684" t="str">
        <f t="shared" si="7"/>
        <v>Pierson Curtis</v>
      </c>
      <c r="J684" t="str">
        <f>VLOOKUP(I684,'Manager Coding'!C:D,2,0)</f>
        <v>Pierson</v>
      </c>
      <c r="K684" s="41">
        <f t="shared" si="8"/>
        <v>74</v>
      </c>
      <c r="L684">
        <f t="shared" si="9"/>
        <v>0</v>
      </c>
      <c r="M684">
        <f t="shared" si="10"/>
        <v>1</v>
      </c>
      <c r="N684" s="118" t="s">
        <v>1910</v>
      </c>
      <c r="O684" s="119" t="s">
        <v>54</v>
      </c>
      <c r="P684" s="126">
        <v>71.18</v>
      </c>
      <c r="Q684" s="127">
        <v>74.0</v>
      </c>
      <c r="R684" s="122" t="s">
        <v>93</v>
      </c>
      <c r="S684" s="118" t="s">
        <v>1912</v>
      </c>
    </row>
    <row r="685" hidden="1">
      <c r="A685" s="32" t="str">
        <f t="shared" si="1"/>
        <v>2022CockWeek 2</v>
      </c>
      <c r="B685" s="32" t="str">
        <f t="shared" si="2"/>
        <v>2022BuserWeek 2</v>
      </c>
      <c r="C685" s="32" t="str">
        <f t="shared" si="3"/>
        <v>Week 2</v>
      </c>
      <c r="D685" s="32">
        <v>2022.0</v>
      </c>
      <c r="E685" t="str">
        <f t="shared" si="4"/>
        <v>2</v>
      </c>
      <c r="F685" t="str">
        <f t="shared" si="5"/>
        <v>Chris Cochrane</v>
      </c>
      <c r="G685" s="40" t="str">
        <f>VLOOKUP(F685,'Manager Coding'!C:D,2,0)</f>
        <v>Cock</v>
      </c>
      <c r="H685" s="41">
        <f t="shared" si="6"/>
        <v>92.48</v>
      </c>
      <c r="I685" t="str">
        <f t="shared" si="7"/>
        <v>Ed Buser</v>
      </c>
      <c r="J685" t="str">
        <f>VLOOKUP(I685,'Manager Coding'!C:D,2,0)</f>
        <v>Buser</v>
      </c>
      <c r="K685" s="41">
        <f t="shared" si="8"/>
        <v>95.46</v>
      </c>
      <c r="L685">
        <f t="shared" si="9"/>
        <v>0</v>
      </c>
      <c r="M685">
        <f t="shared" si="10"/>
        <v>1</v>
      </c>
      <c r="N685" s="123" t="s">
        <v>1913</v>
      </c>
      <c r="O685" s="124" t="s">
        <v>99</v>
      </c>
      <c r="P685" s="126">
        <v>92.48</v>
      </c>
      <c r="Q685" s="127">
        <v>95.46</v>
      </c>
      <c r="R685" s="125" t="s">
        <v>50</v>
      </c>
      <c r="S685" s="123" t="s">
        <v>1916</v>
      </c>
    </row>
    <row r="686" hidden="1">
      <c r="A686" s="32" t="str">
        <f t="shared" si="1"/>
        <v>2022SaltyWeek 2</v>
      </c>
      <c r="B686" s="32" t="str">
        <f t="shared" si="2"/>
        <v>2022RileyWeek 2</v>
      </c>
      <c r="C686" s="32" t="str">
        <f t="shared" si="3"/>
        <v>Week 2</v>
      </c>
      <c r="D686" s="32">
        <v>2022.0</v>
      </c>
      <c r="E686" t="str">
        <f t="shared" si="4"/>
        <v>2</v>
      </c>
      <c r="F686" t="str">
        <f t="shared" si="5"/>
        <v>R Saltiel</v>
      </c>
      <c r="G686" s="40" t="str">
        <f>VLOOKUP(F686,'Manager Coding'!C:D,2,0)</f>
        <v>Salty</v>
      </c>
      <c r="H686" s="41">
        <f t="shared" si="6"/>
        <v>119.92</v>
      </c>
      <c r="I686" t="str">
        <f t="shared" si="7"/>
        <v>Riley McElwain</v>
      </c>
      <c r="J686" t="str">
        <f>VLOOKUP(I686,'Manager Coding'!C:D,2,0)</f>
        <v>Riley</v>
      </c>
      <c r="K686" s="41">
        <f t="shared" si="8"/>
        <v>140.82</v>
      </c>
      <c r="L686">
        <f t="shared" si="9"/>
        <v>0</v>
      </c>
      <c r="M686">
        <f t="shared" si="10"/>
        <v>1</v>
      </c>
      <c r="N686" s="118" t="s">
        <v>1917</v>
      </c>
      <c r="O686" s="119" t="s">
        <v>77</v>
      </c>
      <c r="P686" s="126">
        <v>119.92</v>
      </c>
      <c r="Q686" s="127">
        <v>140.82</v>
      </c>
      <c r="R686" s="122" t="s">
        <v>68</v>
      </c>
      <c r="S686" s="118" t="s">
        <v>1920</v>
      </c>
    </row>
    <row r="687" hidden="1">
      <c r="A687" s="32" t="str">
        <f t="shared" si="1"/>
        <v>2022ShepWeek 2</v>
      </c>
      <c r="B687" s="32" t="str">
        <f t="shared" si="2"/>
        <v>2022FellowsWeek 2</v>
      </c>
      <c r="C687" s="32" t="str">
        <f t="shared" si="3"/>
        <v>Week 2</v>
      </c>
      <c r="D687" s="32">
        <v>2022.0</v>
      </c>
      <c r="E687" t="str">
        <f t="shared" si="4"/>
        <v>2</v>
      </c>
      <c r="F687" t="str">
        <f t="shared" si="5"/>
        <v>Jordan Shepherd</v>
      </c>
      <c r="G687" s="40" t="str">
        <f>VLOOKUP(F687,'Manager Coding'!C:D,2,0)</f>
        <v>Shep</v>
      </c>
      <c r="H687" s="41">
        <f t="shared" si="6"/>
        <v>67.36</v>
      </c>
      <c r="I687" t="str">
        <f t="shared" si="7"/>
        <v>Michael Fellows</v>
      </c>
      <c r="J687" t="str">
        <f>VLOOKUP(I687,'Manager Coding'!C:D,2,0)</f>
        <v>Fellows</v>
      </c>
      <c r="K687" s="41">
        <f t="shared" si="8"/>
        <v>58.1</v>
      </c>
      <c r="L687">
        <f t="shared" si="9"/>
        <v>1</v>
      </c>
      <c r="M687">
        <f t="shared" si="10"/>
        <v>0</v>
      </c>
      <c r="N687" s="85" t="s">
        <v>1921</v>
      </c>
      <c r="O687" s="86" t="s">
        <v>91</v>
      </c>
      <c r="P687" s="82">
        <v>67.36</v>
      </c>
      <c r="Q687" s="83">
        <v>58.1</v>
      </c>
      <c r="R687" s="89" t="s">
        <v>80</v>
      </c>
      <c r="S687" s="85" t="s">
        <v>1922</v>
      </c>
    </row>
    <row r="688" hidden="1">
      <c r="A688" s="32" t="str">
        <f t="shared" si="1"/>
        <v>#N/A</v>
      </c>
      <c r="B688" s="32" t="str">
        <f t="shared" si="2"/>
        <v>#N/A</v>
      </c>
      <c r="C688" s="32" t="str">
        <f t="shared" si="3"/>
        <v>Week 2</v>
      </c>
      <c r="D688" s="32">
        <v>2022.0</v>
      </c>
      <c r="E688" t="str">
        <f t="shared" si="4"/>
        <v>2</v>
      </c>
      <c r="F688" t="str">
        <f t="shared" si="5"/>
        <v/>
      </c>
      <c r="G688" s="40" t="str">
        <f>VLOOKUP(F688,'Manager Coding'!C:D,2,0)</f>
        <v>#N/A</v>
      </c>
      <c r="H688" s="41" t="str">
        <f t="shared" si="6"/>
        <v/>
      </c>
      <c r="I688" t="str">
        <f t="shared" si="7"/>
        <v/>
      </c>
      <c r="J688" t="str">
        <f>VLOOKUP(I688,'Manager Coding'!C:D,2,0)</f>
        <v>#N/A</v>
      </c>
      <c r="K688" s="41" t="str">
        <f t="shared" si="8"/>
        <v/>
      </c>
      <c r="L688">
        <f t="shared" si="9"/>
        <v>0</v>
      </c>
      <c r="M688">
        <f t="shared" si="10"/>
        <v>0</v>
      </c>
      <c r="N688" s="91" t="s">
        <v>234</v>
      </c>
      <c r="P688" s="41"/>
      <c r="Q688" s="41"/>
    </row>
    <row r="689" hidden="1">
      <c r="A689" s="32" t="str">
        <f t="shared" si="1"/>
        <v>#N/A</v>
      </c>
      <c r="B689" s="32" t="str">
        <f t="shared" si="2"/>
        <v>#N/A</v>
      </c>
      <c r="C689" s="32" t="str">
        <f t="shared" si="3"/>
        <v>Week 3</v>
      </c>
      <c r="D689" s="32">
        <v>2022.0</v>
      </c>
      <c r="E689" t="str">
        <f t="shared" si="4"/>
        <v>3</v>
      </c>
      <c r="F689" t="str">
        <f t="shared" si="5"/>
        <v>TEAM MANAGER(S)</v>
      </c>
      <c r="G689" s="40" t="str">
        <f>VLOOKUP(F689,'Manager Coding'!C:D,2,0)</f>
        <v>#N/A</v>
      </c>
      <c r="H689" s="41" t="str">
        <f t="shared" si="6"/>
        <v>SCORE</v>
      </c>
      <c r="I689" t="str">
        <f t="shared" si="7"/>
        <v>TEAM MANAGER(S)</v>
      </c>
      <c r="J689" t="str">
        <f>VLOOKUP(I689,'Manager Coding'!C:D,2,0)</f>
        <v>#N/A</v>
      </c>
      <c r="K689" s="41" t="str">
        <f t="shared" si="8"/>
        <v>SCORE</v>
      </c>
      <c r="L689">
        <f t="shared" si="9"/>
        <v>0</v>
      </c>
      <c r="M689">
        <f t="shared" si="10"/>
        <v>0</v>
      </c>
      <c r="N689" s="116" t="s">
        <v>197</v>
      </c>
      <c r="O689" s="116" t="s">
        <v>88</v>
      </c>
      <c r="P689" s="117" t="s">
        <v>94</v>
      </c>
      <c r="Q689" s="116" t="s">
        <v>94</v>
      </c>
      <c r="R689" s="117" t="s">
        <v>88</v>
      </c>
      <c r="S689" s="117" t="s">
        <v>101</v>
      </c>
    </row>
    <row r="690" hidden="1">
      <c r="A690" s="32" t="str">
        <f t="shared" si="1"/>
        <v>2022HudspeathWeek 3</v>
      </c>
      <c r="B690" s="32" t="str">
        <f t="shared" si="2"/>
        <v>2022T-HowWeek 3</v>
      </c>
      <c r="C690" s="32" t="str">
        <f t="shared" si="3"/>
        <v>Week 3</v>
      </c>
      <c r="D690" s="32">
        <v>2022.0</v>
      </c>
      <c r="E690" t="str">
        <f t="shared" si="4"/>
        <v>3</v>
      </c>
      <c r="F690" t="str">
        <f t="shared" si="5"/>
        <v>matt hudspeath</v>
      </c>
      <c r="G690" s="40" t="str">
        <f>VLOOKUP(F690,'Manager Coding'!C:D,2,0)</f>
        <v>Hudspeath</v>
      </c>
      <c r="H690" s="41">
        <f t="shared" si="6"/>
        <v>86.76</v>
      </c>
      <c r="I690" t="str">
        <f t="shared" si="7"/>
        <v>Tyler Howard</v>
      </c>
      <c r="J690" t="str">
        <f>VLOOKUP(I690,'Manager Coding'!C:D,2,0)</f>
        <v>T-How</v>
      </c>
      <c r="K690" s="41">
        <f t="shared" si="8"/>
        <v>51.5</v>
      </c>
      <c r="L690">
        <f t="shared" si="9"/>
        <v>1</v>
      </c>
      <c r="M690">
        <f t="shared" si="10"/>
        <v>0</v>
      </c>
      <c r="N690" s="128" t="s">
        <v>1903</v>
      </c>
      <c r="O690" s="129" t="s">
        <v>64</v>
      </c>
      <c r="P690" s="120">
        <v>86.76</v>
      </c>
      <c r="Q690" s="127">
        <v>51.5</v>
      </c>
      <c r="R690" s="130" t="s">
        <v>85</v>
      </c>
      <c r="S690" s="128" t="s">
        <v>1907</v>
      </c>
    </row>
    <row r="691" hidden="1">
      <c r="A691" s="32" t="str">
        <f t="shared" si="1"/>
        <v>2022PiersonWeek 3</v>
      </c>
      <c r="B691" s="32" t="str">
        <f t="shared" si="2"/>
        <v>2022Rooney/JacksonWeek 3</v>
      </c>
      <c r="C691" s="32" t="str">
        <f t="shared" si="3"/>
        <v>Week 3</v>
      </c>
      <c r="D691" s="32">
        <v>2022.0</v>
      </c>
      <c r="E691" t="str">
        <f t="shared" si="4"/>
        <v>3</v>
      </c>
      <c r="F691" t="str">
        <f t="shared" si="5"/>
        <v>Pierson Curtis</v>
      </c>
      <c r="G691" s="40" t="str">
        <f>VLOOKUP(F691,'Manager Coding'!C:D,2,0)</f>
        <v>Pierson</v>
      </c>
      <c r="H691" s="41">
        <f t="shared" si="6"/>
        <v>59.58</v>
      </c>
      <c r="I691" t="str">
        <f t="shared" si="7"/>
        <v>Stephen Rooney, Jackson Sattell</v>
      </c>
      <c r="J691" t="str">
        <f>VLOOKUP(I691,'Manager Coding'!C:D,2,0)</f>
        <v>Rooney/Jackson</v>
      </c>
      <c r="K691" s="41">
        <f t="shared" si="8"/>
        <v>92.96</v>
      </c>
      <c r="L691">
        <f t="shared" si="9"/>
        <v>0</v>
      </c>
      <c r="M691">
        <f t="shared" si="10"/>
        <v>1</v>
      </c>
      <c r="N691" s="131" t="s">
        <v>1912</v>
      </c>
      <c r="O691" s="132" t="s">
        <v>93</v>
      </c>
      <c r="P691" s="120">
        <v>59.58</v>
      </c>
      <c r="Q691" s="127">
        <v>92.96</v>
      </c>
      <c r="R691" s="133" t="s">
        <v>58</v>
      </c>
      <c r="S691" s="131" t="s">
        <v>1900</v>
      </c>
    </row>
    <row r="692" hidden="1">
      <c r="A692" s="32" t="str">
        <f t="shared" si="1"/>
        <v>2022BuserWeek 3</v>
      </c>
      <c r="B692" s="32" t="str">
        <f t="shared" si="2"/>
        <v>2022KnardDawgWeek 3</v>
      </c>
      <c r="C692" s="32" t="str">
        <f t="shared" si="3"/>
        <v>Week 3</v>
      </c>
      <c r="D692" s="32">
        <v>2022.0</v>
      </c>
      <c r="E692" t="str">
        <f t="shared" si="4"/>
        <v>3</v>
      </c>
      <c r="F692" t="str">
        <f t="shared" si="5"/>
        <v>Ed Buser</v>
      </c>
      <c r="G692" s="40" t="str">
        <f>VLOOKUP(F692,'Manager Coding'!C:D,2,0)</f>
        <v>Buser</v>
      </c>
      <c r="H692" s="41">
        <f t="shared" si="6"/>
        <v>73.64</v>
      </c>
      <c r="I692" t="str">
        <f t="shared" si="7"/>
        <v>Alex Kinniard, Jack Reilly</v>
      </c>
      <c r="J692" t="str">
        <f>VLOOKUP(I692,'Manager Coding'!C:D,2,0)</f>
        <v>KnardDawg</v>
      </c>
      <c r="K692" s="41">
        <f t="shared" si="8"/>
        <v>83.4</v>
      </c>
      <c r="L692">
        <f t="shared" si="9"/>
        <v>0</v>
      </c>
      <c r="M692">
        <f t="shared" si="10"/>
        <v>1</v>
      </c>
      <c r="N692" s="128" t="s">
        <v>1916</v>
      </c>
      <c r="O692" s="129" t="s">
        <v>50</v>
      </c>
      <c r="P692" s="120">
        <v>73.64</v>
      </c>
      <c r="Q692" s="127">
        <v>83.4</v>
      </c>
      <c r="R692" s="130" t="s">
        <v>87</v>
      </c>
      <c r="S692" s="128" t="s">
        <v>1906</v>
      </c>
    </row>
    <row r="693" hidden="1">
      <c r="A693" s="32" t="str">
        <f t="shared" si="1"/>
        <v>2022RileyWeek 3</v>
      </c>
      <c r="B693" s="32" t="str">
        <f t="shared" si="2"/>
        <v>2022TayskiWeek 3</v>
      </c>
      <c r="C693" s="32" t="str">
        <f t="shared" si="3"/>
        <v>Week 3</v>
      </c>
      <c r="D693" s="32">
        <v>2022.0</v>
      </c>
      <c r="E693" t="str">
        <f t="shared" si="4"/>
        <v>3</v>
      </c>
      <c r="F693" t="str">
        <f t="shared" si="5"/>
        <v>Riley McElwain</v>
      </c>
      <c r="G693" s="40" t="str">
        <f>VLOOKUP(F693,'Manager Coding'!C:D,2,0)</f>
        <v>Riley</v>
      </c>
      <c r="H693" s="41">
        <f t="shared" si="6"/>
        <v>108.92</v>
      </c>
      <c r="I693" t="str">
        <f t="shared" si="7"/>
        <v>Taylor Weis</v>
      </c>
      <c r="J693" t="str">
        <f>VLOOKUP(I693,'Manager Coding'!C:D,2,0)</f>
        <v>Tayski</v>
      </c>
      <c r="K693" s="41">
        <f t="shared" si="8"/>
        <v>114.5</v>
      </c>
      <c r="L693">
        <f t="shared" si="9"/>
        <v>0</v>
      </c>
      <c r="M693">
        <f t="shared" si="10"/>
        <v>1</v>
      </c>
      <c r="N693" s="131" t="s">
        <v>1920</v>
      </c>
      <c r="O693" s="132" t="s">
        <v>68</v>
      </c>
      <c r="P693" s="120">
        <v>108.92</v>
      </c>
      <c r="Q693" s="127">
        <v>114.5</v>
      </c>
      <c r="R693" s="133" t="s">
        <v>54</v>
      </c>
      <c r="S693" s="131" t="s">
        <v>1910</v>
      </c>
    </row>
    <row r="694" hidden="1">
      <c r="A694" s="32" t="str">
        <f t="shared" si="1"/>
        <v>2022FellowsWeek 3</v>
      </c>
      <c r="B694" s="32" t="str">
        <f t="shared" si="2"/>
        <v>2022CockWeek 3</v>
      </c>
      <c r="C694" s="32" t="str">
        <f t="shared" si="3"/>
        <v>Week 3</v>
      </c>
      <c r="D694" s="32">
        <v>2022.0</v>
      </c>
      <c r="E694" t="str">
        <f t="shared" si="4"/>
        <v>3</v>
      </c>
      <c r="F694" t="str">
        <f t="shared" si="5"/>
        <v>Michael Fellows</v>
      </c>
      <c r="G694" s="40" t="str">
        <f>VLOOKUP(F694,'Manager Coding'!C:D,2,0)</f>
        <v>Fellows</v>
      </c>
      <c r="H694" s="41">
        <f t="shared" si="6"/>
        <v>87.42</v>
      </c>
      <c r="I694" t="str">
        <f t="shared" si="7"/>
        <v>Chris Cochrane</v>
      </c>
      <c r="J694" t="str">
        <f>VLOOKUP(I694,'Manager Coding'!C:D,2,0)</f>
        <v>Cock</v>
      </c>
      <c r="K694" s="41">
        <f t="shared" si="8"/>
        <v>80.56</v>
      </c>
      <c r="L694">
        <f t="shared" si="9"/>
        <v>1</v>
      </c>
      <c r="M694">
        <f t="shared" si="10"/>
        <v>0</v>
      </c>
      <c r="N694" s="128" t="s">
        <v>1922</v>
      </c>
      <c r="O694" s="129" t="s">
        <v>80</v>
      </c>
      <c r="P694" s="120">
        <v>87.42</v>
      </c>
      <c r="Q694" s="127">
        <v>80.56</v>
      </c>
      <c r="R694" s="130" t="s">
        <v>99</v>
      </c>
      <c r="S694" s="128" t="s">
        <v>1913</v>
      </c>
    </row>
    <row r="695" hidden="1">
      <c r="A695" s="32" t="str">
        <f t="shared" si="1"/>
        <v>2022ShepWeek 3</v>
      </c>
      <c r="B695" s="32" t="str">
        <f t="shared" si="2"/>
        <v>2022SaltyWeek 3</v>
      </c>
      <c r="C695" s="32" t="str">
        <f t="shared" si="3"/>
        <v>Week 3</v>
      </c>
      <c r="D695" s="32">
        <v>2022.0</v>
      </c>
      <c r="E695" t="str">
        <f t="shared" si="4"/>
        <v>3</v>
      </c>
      <c r="F695" t="str">
        <f t="shared" si="5"/>
        <v>Jordan Shepherd</v>
      </c>
      <c r="G695" s="40" t="str">
        <f>VLOOKUP(F695,'Manager Coding'!C:D,2,0)</f>
        <v>Shep</v>
      </c>
      <c r="H695" s="41">
        <f t="shared" si="6"/>
        <v>80.6</v>
      </c>
      <c r="I695" t="str">
        <f t="shared" si="7"/>
        <v>R Saltiel</v>
      </c>
      <c r="J695" t="str">
        <f>VLOOKUP(I695,'Manager Coding'!C:D,2,0)</f>
        <v>Salty</v>
      </c>
      <c r="K695" s="41">
        <f t="shared" si="8"/>
        <v>101</v>
      </c>
      <c r="L695">
        <f t="shared" si="9"/>
        <v>0</v>
      </c>
      <c r="M695">
        <f t="shared" si="10"/>
        <v>1</v>
      </c>
      <c r="N695" s="134" t="s">
        <v>1921</v>
      </c>
      <c r="O695" s="135" t="s">
        <v>91</v>
      </c>
      <c r="P695" s="82">
        <v>80.6</v>
      </c>
      <c r="Q695" s="88">
        <v>101.0</v>
      </c>
      <c r="R695" s="115" t="s">
        <v>77</v>
      </c>
      <c r="S695" s="134" t="s">
        <v>1917</v>
      </c>
    </row>
    <row r="696" hidden="1">
      <c r="A696" s="32" t="str">
        <f t="shared" si="1"/>
        <v>#N/A</v>
      </c>
      <c r="B696" s="32" t="str">
        <f t="shared" si="2"/>
        <v>#N/A</v>
      </c>
      <c r="C696" s="32" t="str">
        <f t="shared" si="3"/>
        <v>Week 3</v>
      </c>
      <c r="D696" s="32">
        <v>2022.0</v>
      </c>
      <c r="E696" t="str">
        <f t="shared" si="4"/>
        <v>3</v>
      </c>
      <c r="F696" t="str">
        <f t="shared" si="5"/>
        <v/>
      </c>
      <c r="G696" s="40" t="str">
        <f>VLOOKUP(F696,'Manager Coding'!C:D,2,0)</f>
        <v>#N/A</v>
      </c>
      <c r="H696" s="41" t="str">
        <f t="shared" si="6"/>
        <v/>
      </c>
      <c r="I696" t="str">
        <f t="shared" si="7"/>
        <v/>
      </c>
      <c r="J696" t="str">
        <f>VLOOKUP(I696,'Manager Coding'!C:D,2,0)</f>
        <v>#N/A</v>
      </c>
      <c r="K696" s="41" t="str">
        <f t="shared" si="8"/>
        <v/>
      </c>
      <c r="L696">
        <f t="shared" si="9"/>
        <v>0</v>
      </c>
      <c r="M696">
        <f t="shared" si="10"/>
        <v>0</v>
      </c>
      <c r="N696" s="91" t="s">
        <v>260</v>
      </c>
      <c r="O696" s="101"/>
      <c r="P696" s="136"/>
      <c r="Q696" s="137"/>
      <c r="R696" s="110"/>
      <c r="S696" s="100"/>
    </row>
    <row r="697" hidden="1">
      <c r="A697" s="32" t="str">
        <f t="shared" si="1"/>
        <v>#N/A</v>
      </c>
      <c r="B697" s="32" t="str">
        <f t="shared" si="2"/>
        <v>#N/A</v>
      </c>
      <c r="C697" s="32" t="str">
        <f t="shared" si="3"/>
        <v>Week 4</v>
      </c>
      <c r="D697" s="32">
        <v>2022.0</v>
      </c>
      <c r="E697" t="str">
        <f t="shared" si="4"/>
        <v>4</v>
      </c>
      <c r="F697" t="str">
        <f t="shared" si="5"/>
        <v>TEAM MANAGER(S)</v>
      </c>
      <c r="G697" s="40" t="str">
        <f>VLOOKUP(F697,'Manager Coding'!C:D,2,0)</f>
        <v>#N/A</v>
      </c>
      <c r="H697" s="41" t="str">
        <f t="shared" si="6"/>
        <v>SCORE</v>
      </c>
      <c r="I697" t="str">
        <f t="shared" si="7"/>
        <v>TEAM MANAGER(S)</v>
      </c>
      <c r="J697" t="str">
        <f>VLOOKUP(I697,'Manager Coding'!C:D,2,0)</f>
        <v>#N/A</v>
      </c>
      <c r="K697" s="41" t="str">
        <f t="shared" si="8"/>
        <v>SCORE</v>
      </c>
      <c r="L697">
        <f t="shared" si="9"/>
        <v>0</v>
      </c>
      <c r="M697">
        <f t="shared" si="10"/>
        <v>0</v>
      </c>
      <c r="N697" s="116" t="s">
        <v>197</v>
      </c>
      <c r="O697" s="116" t="s">
        <v>88</v>
      </c>
      <c r="P697" s="117" t="s">
        <v>94</v>
      </c>
      <c r="Q697" s="116" t="s">
        <v>94</v>
      </c>
      <c r="R697" s="117" t="s">
        <v>88</v>
      </c>
      <c r="S697" s="117" t="s">
        <v>101</v>
      </c>
    </row>
    <row r="698" hidden="1">
      <c r="A698" s="32" t="str">
        <f t="shared" si="1"/>
        <v>2022PiersonWeek 4</v>
      </c>
      <c r="B698" s="32" t="str">
        <f t="shared" si="2"/>
        <v>2022HudspeathWeek 4</v>
      </c>
      <c r="C698" s="32" t="str">
        <f t="shared" si="3"/>
        <v>Week 4</v>
      </c>
      <c r="D698" s="32">
        <v>2022.0</v>
      </c>
      <c r="E698" t="str">
        <f t="shared" si="4"/>
        <v>4</v>
      </c>
      <c r="F698" t="str">
        <f t="shared" si="5"/>
        <v>Pierson Curtis</v>
      </c>
      <c r="G698" s="40" t="str">
        <f>VLOOKUP(F698,'Manager Coding'!C:D,2,0)</f>
        <v>Pierson</v>
      </c>
      <c r="H698" s="41">
        <f t="shared" si="6"/>
        <v>104.26</v>
      </c>
      <c r="I698" t="str">
        <f t="shared" si="7"/>
        <v>matt hudspeath</v>
      </c>
      <c r="J698" t="str">
        <f>VLOOKUP(I698,'Manager Coding'!C:D,2,0)</f>
        <v>Hudspeath</v>
      </c>
      <c r="K698" s="41">
        <f t="shared" si="8"/>
        <v>117.38</v>
      </c>
      <c r="L698">
        <f t="shared" si="9"/>
        <v>0</v>
      </c>
      <c r="M698">
        <f t="shared" si="10"/>
        <v>1</v>
      </c>
      <c r="N698" s="128" t="s">
        <v>1912</v>
      </c>
      <c r="O698" s="129" t="s">
        <v>93</v>
      </c>
      <c r="P698" s="120">
        <v>104.26</v>
      </c>
      <c r="Q698" s="127">
        <v>117.38</v>
      </c>
      <c r="R698" s="130" t="s">
        <v>64</v>
      </c>
      <c r="S698" s="128" t="s">
        <v>1903</v>
      </c>
    </row>
    <row r="699" hidden="1">
      <c r="A699" s="32" t="str">
        <f t="shared" si="1"/>
        <v>2022T-HowWeek 4</v>
      </c>
      <c r="B699" s="32" t="str">
        <f t="shared" si="2"/>
        <v>2022BuserWeek 4</v>
      </c>
      <c r="C699" s="32" t="str">
        <f t="shared" si="3"/>
        <v>Week 4</v>
      </c>
      <c r="D699" s="32">
        <v>2022.0</v>
      </c>
      <c r="E699" t="str">
        <f t="shared" si="4"/>
        <v>4</v>
      </c>
      <c r="F699" t="str">
        <f t="shared" si="5"/>
        <v>Tyler Howard</v>
      </c>
      <c r="G699" s="40" t="str">
        <f>VLOOKUP(F699,'Manager Coding'!C:D,2,0)</f>
        <v>T-How</v>
      </c>
      <c r="H699" s="41">
        <f t="shared" si="6"/>
        <v>83.82</v>
      </c>
      <c r="I699" t="str">
        <f t="shared" si="7"/>
        <v>Ed Buser</v>
      </c>
      <c r="J699" t="str">
        <f>VLOOKUP(I699,'Manager Coding'!C:D,2,0)</f>
        <v>Buser</v>
      </c>
      <c r="K699" s="41">
        <f t="shared" si="8"/>
        <v>102.2</v>
      </c>
      <c r="L699">
        <f t="shared" si="9"/>
        <v>0</v>
      </c>
      <c r="M699">
        <f t="shared" si="10"/>
        <v>1</v>
      </c>
      <c r="N699" s="131" t="s">
        <v>1907</v>
      </c>
      <c r="O699" s="132" t="s">
        <v>85</v>
      </c>
      <c r="P699" s="120">
        <v>83.82</v>
      </c>
      <c r="Q699" s="127">
        <v>102.2</v>
      </c>
      <c r="R699" s="133" t="s">
        <v>50</v>
      </c>
      <c r="S699" s="131" t="s">
        <v>1916</v>
      </c>
    </row>
    <row r="700" hidden="1">
      <c r="A700" s="32" t="str">
        <f t="shared" si="1"/>
        <v>2022Rooney/JacksonWeek 4</v>
      </c>
      <c r="B700" s="32" t="str">
        <f t="shared" si="2"/>
        <v>2022RileyWeek 4</v>
      </c>
      <c r="C700" s="32" t="str">
        <f t="shared" si="3"/>
        <v>Week 4</v>
      </c>
      <c r="D700" s="32">
        <v>2022.0</v>
      </c>
      <c r="E700" t="str">
        <f t="shared" si="4"/>
        <v>4</v>
      </c>
      <c r="F700" t="str">
        <f t="shared" si="5"/>
        <v>Stephen Rooney, Jackson Sattell</v>
      </c>
      <c r="G700" s="40" t="str">
        <f>VLOOKUP(F700,'Manager Coding'!C:D,2,0)</f>
        <v>Rooney/Jackson</v>
      </c>
      <c r="H700" s="41">
        <f t="shared" si="6"/>
        <v>100.68</v>
      </c>
      <c r="I700" t="str">
        <f t="shared" si="7"/>
        <v>Riley McElwain</v>
      </c>
      <c r="J700" t="str">
        <f>VLOOKUP(I700,'Manager Coding'!C:D,2,0)</f>
        <v>Riley</v>
      </c>
      <c r="K700" s="41">
        <f t="shared" si="8"/>
        <v>73.46</v>
      </c>
      <c r="L700">
        <f t="shared" si="9"/>
        <v>1</v>
      </c>
      <c r="M700">
        <f t="shared" si="10"/>
        <v>0</v>
      </c>
      <c r="N700" s="128" t="s">
        <v>1900</v>
      </c>
      <c r="O700" s="129" t="s">
        <v>58</v>
      </c>
      <c r="P700" s="120">
        <v>100.68</v>
      </c>
      <c r="Q700" s="127">
        <v>73.46</v>
      </c>
      <c r="R700" s="130" t="s">
        <v>68</v>
      </c>
      <c r="S700" s="128" t="s">
        <v>1920</v>
      </c>
    </row>
    <row r="701" hidden="1">
      <c r="A701" s="32" t="str">
        <f t="shared" si="1"/>
        <v>2022KnardDawgWeek 4</v>
      </c>
      <c r="B701" s="32" t="str">
        <f t="shared" si="2"/>
        <v>2022FellowsWeek 4</v>
      </c>
      <c r="C701" s="32" t="str">
        <f t="shared" si="3"/>
        <v>Week 4</v>
      </c>
      <c r="D701" s="32">
        <v>2022.0</v>
      </c>
      <c r="E701" t="str">
        <f t="shared" si="4"/>
        <v>4</v>
      </c>
      <c r="F701" t="str">
        <f t="shared" si="5"/>
        <v>Alex Kinniard, Jack Reilly</v>
      </c>
      <c r="G701" s="40" t="str">
        <f>VLOOKUP(F701,'Manager Coding'!C:D,2,0)</f>
        <v>KnardDawg</v>
      </c>
      <c r="H701" s="41">
        <f t="shared" si="6"/>
        <v>64.44</v>
      </c>
      <c r="I701" t="str">
        <f t="shared" si="7"/>
        <v>Michael Fellows</v>
      </c>
      <c r="J701" t="str">
        <f>VLOOKUP(I701,'Manager Coding'!C:D,2,0)</f>
        <v>Fellows</v>
      </c>
      <c r="K701" s="41">
        <f t="shared" si="8"/>
        <v>93.62</v>
      </c>
      <c r="L701">
        <f t="shared" si="9"/>
        <v>0</v>
      </c>
      <c r="M701">
        <f t="shared" si="10"/>
        <v>1</v>
      </c>
      <c r="N701" s="131" t="s">
        <v>1906</v>
      </c>
      <c r="O701" s="132" t="s">
        <v>87</v>
      </c>
      <c r="P701" s="120">
        <v>64.44</v>
      </c>
      <c r="Q701" s="127">
        <v>93.62</v>
      </c>
      <c r="R701" s="133" t="s">
        <v>80</v>
      </c>
      <c r="S701" s="131" t="s">
        <v>1922</v>
      </c>
    </row>
    <row r="702" hidden="1">
      <c r="A702" s="32" t="str">
        <f t="shared" si="1"/>
        <v>2022TayskiWeek 4</v>
      </c>
      <c r="B702" s="32" t="str">
        <f t="shared" si="2"/>
        <v>2022ShepWeek 4</v>
      </c>
      <c r="C702" s="32" t="str">
        <f t="shared" si="3"/>
        <v>Week 4</v>
      </c>
      <c r="D702" s="32">
        <v>2022.0</v>
      </c>
      <c r="E702" t="str">
        <f t="shared" si="4"/>
        <v>4</v>
      </c>
      <c r="F702" t="str">
        <f t="shared" si="5"/>
        <v>Taylor Weis</v>
      </c>
      <c r="G702" s="40" t="str">
        <f>VLOOKUP(F702,'Manager Coding'!C:D,2,0)</f>
        <v>Tayski</v>
      </c>
      <c r="H702" s="41">
        <f t="shared" si="6"/>
        <v>134.82</v>
      </c>
      <c r="I702" t="str">
        <f t="shared" si="7"/>
        <v>Jordan Shepherd</v>
      </c>
      <c r="J702" t="str">
        <f>VLOOKUP(I702,'Manager Coding'!C:D,2,0)</f>
        <v>Shep</v>
      </c>
      <c r="K702" s="41">
        <f t="shared" si="8"/>
        <v>83.68</v>
      </c>
      <c r="L702">
        <f t="shared" si="9"/>
        <v>1</v>
      </c>
      <c r="M702">
        <f t="shared" si="10"/>
        <v>0</v>
      </c>
      <c r="N702" s="128" t="s">
        <v>1910</v>
      </c>
      <c r="O702" s="129" t="s">
        <v>54</v>
      </c>
      <c r="P702" s="120">
        <v>134.82</v>
      </c>
      <c r="Q702" s="127">
        <v>83.68</v>
      </c>
      <c r="R702" s="130" t="s">
        <v>91</v>
      </c>
      <c r="S702" s="128" t="s">
        <v>1921</v>
      </c>
    </row>
    <row r="703" hidden="1">
      <c r="A703" s="32" t="str">
        <f t="shared" si="1"/>
        <v>2022CockWeek 4</v>
      </c>
      <c r="B703" s="32" t="str">
        <f t="shared" si="2"/>
        <v>2022SaltyWeek 4</v>
      </c>
      <c r="C703" s="32" t="str">
        <f t="shared" si="3"/>
        <v>Week 4</v>
      </c>
      <c r="D703" s="32">
        <v>2022.0</v>
      </c>
      <c r="E703" t="str">
        <f t="shared" si="4"/>
        <v>4</v>
      </c>
      <c r="F703" t="str">
        <f t="shared" si="5"/>
        <v>Chris Cochrane</v>
      </c>
      <c r="G703" s="40" t="str">
        <f>VLOOKUP(F703,'Manager Coding'!C:D,2,0)</f>
        <v>Cock</v>
      </c>
      <c r="H703" s="41">
        <f t="shared" si="6"/>
        <v>96.3</v>
      </c>
      <c r="I703" t="str">
        <f t="shared" si="7"/>
        <v>R Saltiel</v>
      </c>
      <c r="J703" t="str">
        <f>VLOOKUP(I703,'Manager Coding'!C:D,2,0)</f>
        <v>Salty</v>
      </c>
      <c r="K703" s="41">
        <f t="shared" si="8"/>
        <v>142.56</v>
      </c>
      <c r="L703">
        <f t="shared" si="9"/>
        <v>0</v>
      </c>
      <c r="M703">
        <f t="shared" si="10"/>
        <v>1</v>
      </c>
      <c r="N703" s="134" t="s">
        <v>1913</v>
      </c>
      <c r="O703" s="135" t="s">
        <v>99</v>
      </c>
      <c r="P703" s="82">
        <v>96.3</v>
      </c>
      <c r="Q703" s="88">
        <v>142.56</v>
      </c>
      <c r="R703" s="115" t="s">
        <v>77</v>
      </c>
      <c r="S703" s="134" t="s">
        <v>1917</v>
      </c>
    </row>
    <row r="704" hidden="1">
      <c r="A704" s="32" t="str">
        <f t="shared" si="1"/>
        <v>#N/A</v>
      </c>
      <c r="B704" s="32" t="str">
        <f t="shared" si="2"/>
        <v>#N/A</v>
      </c>
      <c r="C704" s="32" t="str">
        <f t="shared" si="3"/>
        <v>Week 4</v>
      </c>
      <c r="D704" s="32">
        <v>2022.0</v>
      </c>
      <c r="E704" t="str">
        <f t="shared" si="4"/>
        <v>4</v>
      </c>
      <c r="F704" t="str">
        <f t="shared" si="5"/>
        <v/>
      </c>
      <c r="G704" s="40" t="str">
        <f>VLOOKUP(F704,'Manager Coding'!C:D,2,0)</f>
        <v>#N/A</v>
      </c>
      <c r="H704" s="41" t="str">
        <f t="shared" si="6"/>
        <v/>
      </c>
      <c r="I704" t="str">
        <f t="shared" si="7"/>
        <v/>
      </c>
      <c r="J704" t="str">
        <f>VLOOKUP(I704,'Manager Coding'!C:D,2,0)</f>
        <v>#N/A</v>
      </c>
      <c r="K704" s="41" t="str">
        <f t="shared" si="8"/>
        <v/>
      </c>
      <c r="L704">
        <f t="shared" si="9"/>
        <v>0</v>
      </c>
      <c r="M704">
        <f t="shared" si="10"/>
        <v>0</v>
      </c>
      <c r="N704" s="91" t="s">
        <v>291</v>
      </c>
      <c r="O704" s="138"/>
      <c r="P704" s="139"/>
      <c r="Q704" s="140"/>
      <c r="R704" s="141"/>
      <c r="S704" s="142"/>
    </row>
    <row r="705" hidden="1">
      <c r="A705" s="32" t="str">
        <f t="shared" si="1"/>
        <v>#N/A</v>
      </c>
      <c r="B705" s="32" t="str">
        <f t="shared" si="2"/>
        <v>#N/A</v>
      </c>
      <c r="C705" s="32" t="str">
        <f t="shared" si="3"/>
        <v>Week 5</v>
      </c>
      <c r="D705" s="32">
        <v>2022.0</v>
      </c>
      <c r="E705" t="str">
        <f t="shared" si="4"/>
        <v>5</v>
      </c>
      <c r="F705" t="str">
        <f t="shared" si="5"/>
        <v>TEAM MANAGER(S)</v>
      </c>
      <c r="G705" s="40" t="str">
        <f>VLOOKUP(F705,'Manager Coding'!C:D,2,0)</f>
        <v>#N/A</v>
      </c>
      <c r="H705" s="41" t="str">
        <f t="shared" si="6"/>
        <v>SCORE</v>
      </c>
      <c r="I705" t="str">
        <f t="shared" si="7"/>
        <v>TEAM MANAGER(S)</v>
      </c>
      <c r="J705" t="str">
        <f>VLOOKUP(I705,'Manager Coding'!C:D,2,0)</f>
        <v>#N/A</v>
      </c>
      <c r="K705" s="41" t="str">
        <f t="shared" si="8"/>
        <v>SCORE</v>
      </c>
      <c r="L705">
        <f t="shared" si="9"/>
        <v>0</v>
      </c>
      <c r="M705">
        <f t="shared" si="10"/>
        <v>0</v>
      </c>
      <c r="N705" s="116" t="s">
        <v>197</v>
      </c>
      <c r="O705" s="116" t="s">
        <v>88</v>
      </c>
      <c r="P705" s="117" t="s">
        <v>94</v>
      </c>
      <c r="Q705" s="116" t="s">
        <v>94</v>
      </c>
      <c r="R705" s="117" t="s">
        <v>88</v>
      </c>
      <c r="S705" s="117" t="s">
        <v>101</v>
      </c>
    </row>
    <row r="706" hidden="1">
      <c r="A706" s="32" t="str">
        <f t="shared" si="1"/>
        <v>2022HudspeathWeek 5</v>
      </c>
      <c r="B706" s="32" t="str">
        <f t="shared" si="2"/>
        <v>2022BuserWeek 5</v>
      </c>
      <c r="C706" s="32" t="str">
        <f t="shared" si="3"/>
        <v>Week 5</v>
      </c>
      <c r="D706" s="32">
        <v>2022.0</v>
      </c>
      <c r="E706" t="str">
        <f t="shared" si="4"/>
        <v>5</v>
      </c>
      <c r="F706" t="str">
        <f t="shared" si="5"/>
        <v>matt hudspeath</v>
      </c>
      <c r="G706" s="40" t="str">
        <f>VLOOKUP(F706,'Manager Coding'!C:D,2,0)</f>
        <v>Hudspeath</v>
      </c>
      <c r="H706" s="41">
        <f t="shared" si="6"/>
        <v>76.66</v>
      </c>
      <c r="I706" t="str">
        <f t="shared" si="7"/>
        <v>Ed Buser</v>
      </c>
      <c r="J706" t="str">
        <f>VLOOKUP(I706,'Manager Coding'!C:D,2,0)</f>
        <v>Buser</v>
      </c>
      <c r="K706" s="41">
        <f t="shared" si="8"/>
        <v>89.42</v>
      </c>
      <c r="L706">
        <f t="shared" si="9"/>
        <v>0</v>
      </c>
      <c r="M706">
        <f t="shared" si="10"/>
        <v>1</v>
      </c>
      <c r="N706" s="128" t="s">
        <v>1903</v>
      </c>
      <c r="O706" s="129" t="s">
        <v>64</v>
      </c>
      <c r="P706" s="120">
        <v>76.66</v>
      </c>
      <c r="Q706" s="127">
        <v>89.42</v>
      </c>
      <c r="R706" s="130" t="s">
        <v>50</v>
      </c>
      <c r="S706" s="128" t="s">
        <v>1916</v>
      </c>
    </row>
    <row r="707" hidden="1">
      <c r="A707" s="32" t="str">
        <f t="shared" si="1"/>
        <v>2022RileyWeek 5</v>
      </c>
      <c r="B707" s="32" t="str">
        <f t="shared" si="2"/>
        <v>2022PiersonWeek 5</v>
      </c>
      <c r="C707" s="32" t="str">
        <f t="shared" si="3"/>
        <v>Week 5</v>
      </c>
      <c r="D707" s="32">
        <v>2022.0</v>
      </c>
      <c r="E707" t="str">
        <f t="shared" si="4"/>
        <v>5</v>
      </c>
      <c r="F707" t="str">
        <f t="shared" si="5"/>
        <v>Riley McElwain</v>
      </c>
      <c r="G707" s="40" t="str">
        <f>VLOOKUP(F707,'Manager Coding'!C:D,2,0)</f>
        <v>Riley</v>
      </c>
      <c r="H707" s="41">
        <f t="shared" si="6"/>
        <v>78.16</v>
      </c>
      <c r="I707" t="str">
        <f t="shared" si="7"/>
        <v>Pierson Curtis</v>
      </c>
      <c r="J707" t="str">
        <f>VLOOKUP(I707,'Manager Coding'!C:D,2,0)</f>
        <v>Pierson</v>
      </c>
      <c r="K707" s="41">
        <f t="shared" si="8"/>
        <v>129.18</v>
      </c>
      <c r="L707">
        <f t="shared" si="9"/>
        <v>0</v>
      </c>
      <c r="M707">
        <f t="shared" si="10"/>
        <v>1</v>
      </c>
      <c r="N707" s="131" t="s">
        <v>1920</v>
      </c>
      <c r="O707" s="132" t="s">
        <v>68</v>
      </c>
      <c r="P707" s="120">
        <v>78.16</v>
      </c>
      <c r="Q707" s="127">
        <v>129.18</v>
      </c>
      <c r="R707" s="133" t="s">
        <v>93</v>
      </c>
      <c r="S707" s="131" t="s">
        <v>1912</v>
      </c>
    </row>
    <row r="708" hidden="1">
      <c r="A708" s="32" t="str">
        <f t="shared" si="1"/>
        <v>2022FellowsWeek 5</v>
      </c>
      <c r="B708" s="32" t="str">
        <f t="shared" si="2"/>
        <v>2022T-HowWeek 5</v>
      </c>
      <c r="C708" s="32" t="str">
        <f t="shared" si="3"/>
        <v>Week 5</v>
      </c>
      <c r="D708" s="32">
        <v>2022.0</v>
      </c>
      <c r="E708" t="str">
        <f t="shared" si="4"/>
        <v>5</v>
      </c>
      <c r="F708" t="str">
        <f t="shared" si="5"/>
        <v>Michael Fellows</v>
      </c>
      <c r="G708" s="40" t="str">
        <f>VLOOKUP(F708,'Manager Coding'!C:D,2,0)</f>
        <v>Fellows</v>
      </c>
      <c r="H708" s="41">
        <f t="shared" si="6"/>
        <v>128.16</v>
      </c>
      <c r="I708" t="str">
        <f t="shared" si="7"/>
        <v>Tyler Howard</v>
      </c>
      <c r="J708" t="str">
        <f>VLOOKUP(I708,'Manager Coding'!C:D,2,0)</f>
        <v>T-How</v>
      </c>
      <c r="K708" s="41">
        <f t="shared" si="8"/>
        <v>130.22</v>
      </c>
      <c r="L708">
        <f t="shared" si="9"/>
        <v>0</v>
      </c>
      <c r="M708">
        <f t="shared" si="10"/>
        <v>1</v>
      </c>
      <c r="N708" s="128" t="s">
        <v>1922</v>
      </c>
      <c r="O708" s="129" t="s">
        <v>80</v>
      </c>
      <c r="P708" s="120">
        <v>128.16</v>
      </c>
      <c r="Q708" s="127">
        <v>130.22</v>
      </c>
      <c r="R708" s="130" t="s">
        <v>85</v>
      </c>
      <c r="S708" s="128" t="s">
        <v>1907</v>
      </c>
    </row>
    <row r="709" hidden="1">
      <c r="A709" s="32" t="str">
        <f t="shared" si="1"/>
        <v>2022ShepWeek 5</v>
      </c>
      <c r="B709" s="32" t="str">
        <f t="shared" si="2"/>
        <v>2022Rooney/JacksonWeek 5</v>
      </c>
      <c r="C709" s="32" t="str">
        <f t="shared" si="3"/>
        <v>Week 5</v>
      </c>
      <c r="D709" s="32">
        <v>2022.0</v>
      </c>
      <c r="E709" t="str">
        <f t="shared" si="4"/>
        <v>5</v>
      </c>
      <c r="F709" t="str">
        <f t="shared" si="5"/>
        <v>Jordan Shepherd</v>
      </c>
      <c r="G709" s="40" t="str">
        <f>VLOOKUP(F709,'Manager Coding'!C:D,2,0)</f>
        <v>Shep</v>
      </c>
      <c r="H709" s="41">
        <f t="shared" si="6"/>
        <v>66.38</v>
      </c>
      <c r="I709" t="str">
        <f t="shared" si="7"/>
        <v>Stephen Rooney, Jackson Sattell</v>
      </c>
      <c r="J709" t="str">
        <f>VLOOKUP(I709,'Manager Coding'!C:D,2,0)</f>
        <v>Rooney/Jackson</v>
      </c>
      <c r="K709" s="41">
        <f t="shared" si="8"/>
        <v>74</v>
      </c>
      <c r="L709">
        <f t="shared" si="9"/>
        <v>0</v>
      </c>
      <c r="M709">
        <f t="shared" si="10"/>
        <v>1</v>
      </c>
      <c r="N709" s="131" t="s">
        <v>1921</v>
      </c>
      <c r="O709" s="132" t="s">
        <v>91</v>
      </c>
      <c r="P709" s="120">
        <v>66.38</v>
      </c>
      <c r="Q709" s="127">
        <v>74.0</v>
      </c>
      <c r="R709" s="133" t="s">
        <v>58</v>
      </c>
      <c r="S709" s="131" t="s">
        <v>1900</v>
      </c>
    </row>
    <row r="710" hidden="1">
      <c r="A710" s="32" t="str">
        <f t="shared" si="1"/>
        <v>2022SaltyWeek 5</v>
      </c>
      <c r="B710" s="32" t="str">
        <f t="shared" si="2"/>
        <v>2022KnardDawgWeek 5</v>
      </c>
      <c r="C710" s="32" t="str">
        <f t="shared" si="3"/>
        <v>Week 5</v>
      </c>
      <c r="D710" s="32">
        <v>2022.0</v>
      </c>
      <c r="E710" t="str">
        <f t="shared" si="4"/>
        <v>5</v>
      </c>
      <c r="F710" t="str">
        <f t="shared" si="5"/>
        <v>R Saltiel</v>
      </c>
      <c r="G710" s="40" t="str">
        <f>VLOOKUP(F710,'Manager Coding'!C:D,2,0)</f>
        <v>Salty</v>
      </c>
      <c r="H710" s="41">
        <f t="shared" si="6"/>
        <v>107.86</v>
      </c>
      <c r="I710" t="str">
        <f t="shared" si="7"/>
        <v>Alex Kinniard, Jack Reilly</v>
      </c>
      <c r="J710" t="str">
        <f>VLOOKUP(I710,'Manager Coding'!C:D,2,0)</f>
        <v>KnardDawg</v>
      </c>
      <c r="K710" s="41">
        <f t="shared" si="8"/>
        <v>74.98</v>
      </c>
      <c r="L710">
        <f t="shared" si="9"/>
        <v>1</v>
      </c>
      <c r="M710">
        <f t="shared" si="10"/>
        <v>0</v>
      </c>
      <c r="N710" s="128" t="s">
        <v>1917</v>
      </c>
      <c r="O710" s="129" t="s">
        <v>77</v>
      </c>
      <c r="P710" s="120">
        <v>107.86</v>
      </c>
      <c r="Q710" s="127">
        <v>74.98</v>
      </c>
      <c r="R710" s="130" t="s">
        <v>87</v>
      </c>
      <c r="S710" s="128" t="s">
        <v>1906</v>
      </c>
    </row>
    <row r="711" hidden="1">
      <c r="A711" s="32" t="str">
        <f t="shared" si="1"/>
        <v>2022CockWeek 5</v>
      </c>
      <c r="B711" s="32" t="str">
        <f t="shared" si="2"/>
        <v>2022TayskiWeek 5</v>
      </c>
      <c r="C711" s="32" t="str">
        <f t="shared" si="3"/>
        <v>Week 5</v>
      </c>
      <c r="D711" s="32">
        <v>2022.0</v>
      </c>
      <c r="E711" t="str">
        <f t="shared" si="4"/>
        <v>5</v>
      </c>
      <c r="F711" t="str">
        <f t="shared" si="5"/>
        <v>Chris Cochrane</v>
      </c>
      <c r="G711" s="40" t="str">
        <f>VLOOKUP(F711,'Manager Coding'!C:D,2,0)</f>
        <v>Cock</v>
      </c>
      <c r="H711" s="41">
        <f t="shared" si="6"/>
        <v>68.14</v>
      </c>
      <c r="I711" t="str">
        <f t="shared" si="7"/>
        <v>Taylor Weis</v>
      </c>
      <c r="J711" t="str">
        <f>VLOOKUP(I711,'Manager Coding'!C:D,2,0)</f>
        <v>Tayski</v>
      </c>
      <c r="K711" s="41">
        <f t="shared" si="8"/>
        <v>168.16</v>
      </c>
      <c r="L711">
        <f t="shared" si="9"/>
        <v>0</v>
      </c>
      <c r="M711">
        <f t="shared" si="10"/>
        <v>1</v>
      </c>
      <c r="N711" s="134" t="s">
        <v>1913</v>
      </c>
      <c r="O711" s="135" t="s">
        <v>99</v>
      </c>
      <c r="P711" s="82">
        <v>68.14</v>
      </c>
      <c r="Q711" s="88">
        <v>168.16</v>
      </c>
      <c r="R711" s="115" t="s">
        <v>54</v>
      </c>
      <c r="S711" s="134" t="s">
        <v>1910</v>
      </c>
    </row>
    <row r="712" hidden="1">
      <c r="A712" s="32" t="str">
        <f t="shared" si="1"/>
        <v>#N/A</v>
      </c>
      <c r="B712" s="32" t="str">
        <f t="shared" si="2"/>
        <v>#N/A</v>
      </c>
      <c r="C712" s="32" t="str">
        <f t="shared" si="3"/>
        <v>Week 5</v>
      </c>
      <c r="D712" s="32">
        <v>2022.0</v>
      </c>
      <c r="E712" t="str">
        <f t="shared" si="4"/>
        <v>5</v>
      </c>
      <c r="F712" t="str">
        <f t="shared" si="5"/>
        <v/>
      </c>
      <c r="G712" s="40" t="str">
        <f>VLOOKUP(F712,'Manager Coding'!C:D,2,0)</f>
        <v>#N/A</v>
      </c>
      <c r="H712" s="41" t="str">
        <f t="shared" si="6"/>
        <v/>
      </c>
      <c r="I712" t="str">
        <f t="shared" si="7"/>
        <v/>
      </c>
      <c r="J712" t="str">
        <f>VLOOKUP(I712,'Manager Coding'!C:D,2,0)</f>
        <v>#N/A</v>
      </c>
      <c r="K712" s="41" t="str">
        <f t="shared" si="8"/>
        <v/>
      </c>
      <c r="L712">
        <f t="shared" si="9"/>
        <v>0</v>
      </c>
      <c r="M712">
        <f t="shared" si="10"/>
        <v>0</v>
      </c>
      <c r="N712" s="91" t="s">
        <v>321</v>
      </c>
      <c r="O712" s="143"/>
      <c r="P712" s="144"/>
      <c r="Q712" s="145"/>
      <c r="R712" s="146"/>
      <c r="S712" s="147"/>
    </row>
    <row r="713" hidden="1">
      <c r="A713" s="32" t="str">
        <f t="shared" si="1"/>
        <v>#N/A</v>
      </c>
      <c r="B713" s="32" t="str">
        <f t="shared" si="2"/>
        <v>#N/A</v>
      </c>
      <c r="C713" s="32" t="str">
        <f t="shared" si="3"/>
        <v>Week 6</v>
      </c>
      <c r="D713" s="32">
        <v>2022.0</v>
      </c>
      <c r="E713" t="str">
        <f t="shared" si="4"/>
        <v>6</v>
      </c>
      <c r="F713" t="str">
        <f t="shared" si="5"/>
        <v>TEAM MANAGER(S)</v>
      </c>
      <c r="G713" s="40" t="str">
        <f>VLOOKUP(F713,'Manager Coding'!C:D,2,0)</f>
        <v>#N/A</v>
      </c>
      <c r="H713" s="41" t="str">
        <f t="shared" si="6"/>
        <v>SCORE</v>
      </c>
      <c r="I713" t="str">
        <f t="shared" si="7"/>
        <v>TEAM MANAGER(S)</v>
      </c>
      <c r="J713" t="str">
        <f>VLOOKUP(I713,'Manager Coding'!C:D,2,0)</f>
        <v>#N/A</v>
      </c>
      <c r="K713" s="41" t="str">
        <f t="shared" si="8"/>
        <v>SCORE</v>
      </c>
      <c r="L713">
        <f t="shared" si="9"/>
        <v>0</v>
      </c>
      <c r="M713">
        <f t="shared" si="10"/>
        <v>0</v>
      </c>
      <c r="N713" s="116" t="s">
        <v>197</v>
      </c>
      <c r="O713" s="116" t="s">
        <v>88</v>
      </c>
      <c r="P713" s="117" t="s">
        <v>94</v>
      </c>
      <c r="Q713" s="116" t="s">
        <v>94</v>
      </c>
      <c r="R713" s="117" t="s">
        <v>88</v>
      </c>
      <c r="S713" s="117" t="s">
        <v>101</v>
      </c>
    </row>
    <row r="714" hidden="1">
      <c r="A714" s="32" t="str">
        <f t="shared" si="1"/>
        <v>2022RileyWeek 6</v>
      </c>
      <c r="B714" s="32" t="str">
        <f t="shared" si="2"/>
        <v>2022HudspeathWeek 6</v>
      </c>
      <c r="C714" s="32" t="str">
        <f t="shared" si="3"/>
        <v>Week 6</v>
      </c>
      <c r="D714" s="32">
        <v>2022.0</v>
      </c>
      <c r="E714" t="str">
        <f t="shared" si="4"/>
        <v>6</v>
      </c>
      <c r="F714" t="str">
        <f t="shared" si="5"/>
        <v>Riley McElwain</v>
      </c>
      <c r="G714" s="40" t="str">
        <f>VLOOKUP(F714,'Manager Coding'!C:D,2,0)</f>
        <v>Riley</v>
      </c>
      <c r="H714" s="41">
        <f t="shared" si="6"/>
        <v>65.4</v>
      </c>
      <c r="I714" t="str">
        <f t="shared" si="7"/>
        <v>matt hudspeath</v>
      </c>
      <c r="J714" t="str">
        <f>VLOOKUP(I714,'Manager Coding'!C:D,2,0)</f>
        <v>Hudspeath</v>
      </c>
      <c r="K714" s="41">
        <f t="shared" si="8"/>
        <v>71.42</v>
      </c>
      <c r="L714">
        <f t="shared" si="9"/>
        <v>0</v>
      </c>
      <c r="M714">
        <f t="shared" si="10"/>
        <v>1</v>
      </c>
      <c r="N714" s="128" t="s">
        <v>1920</v>
      </c>
      <c r="O714" s="129" t="s">
        <v>68</v>
      </c>
      <c r="P714" s="120">
        <v>65.4</v>
      </c>
      <c r="Q714" s="127">
        <v>71.42</v>
      </c>
      <c r="R714" s="130" t="s">
        <v>64</v>
      </c>
      <c r="S714" s="128" t="s">
        <v>1903</v>
      </c>
    </row>
    <row r="715" hidden="1">
      <c r="A715" s="32" t="str">
        <f t="shared" si="1"/>
        <v>2022BuserWeek 6</v>
      </c>
      <c r="B715" s="32" t="str">
        <f t="shared" si="2"/>
        <v>2022FellowsWeek 6</v>
      </c>
      <c r="C715" s="32" t="str">
        <f t="shared" si="3"/>
        <v>Week 6</v>
      </c>
      <c r="D715" s="32">
        <v>2022.0</v>
      </c>
      <c r="E715" t="str">
        <f t="shared" si="4"/>
        <v>6</v>
      </c>
      <c r="F715" t="str">
        <f t="shared" si="5"/>
        <v>Ed Buser</v>
      </c>
      <c r="G715" s="40" t="str">
        <f>VLOOKUP(F715,'Manager Coding'!C:D,2,0)</f>
        <v>Buser</v>
      </c>
      <c r="H715" s="41">
        <f t="shared" si="6"/>
        <v>74.42</v>
      </c>
      <c r="I715" t="str">
        <f t="shared" si="7"/>
        <v>Michael Fellows</v>
      </c>
      <c r="J715" t="str">
        <f>VLOOKUP(I715,'Manager Coding'!C:D,2,0)</f>
        <v>Fellows</v>
      </c>
      <c r="K715" s="41">
        <f t="shared" si="8"/>
        <v>108.7</v>
      </c>
      <c r="L715">
        <f t="shared" si="9"/>
        <v>0</v>
      </c>
      <c r="M715">
        <f t="shared" si="10"/>
        <v>1</v>
      </c>
      <c r="N715" s="131" t="s">
        <v>1916</v>
      </c>
      <c r="O715" s="132" t="s">
        <v>50</v>
      </c>
      <c r="P715" s="120">
        <v>74.42</v>
      </c>
      <c r="Q715" s="127">
        <v>108.7</v>
      </c>
      <c r="R715" s="133" t="s">
        <v>80</v>
      </c>
      <c r="S715" s="131" t="s">
        <v>1922</v>
      </c>
    </row>
    <row r="716" hidden="1">
      <c r="A716" s="32" t="str">
        <f t="shared" si="1"/>
        <v>2022PiersonWeek 6</v>
      </c>
      <c r="B716" s="32" t="str">
        <f t="shared" si="2"/>
        <v>2022ShepWeek 6</v>
      </c>
      <c r="C716" s="32" t="str">
        <f t="shared" si="3"/>
        <v>Week 6</v>
      </c>
      <c r="D716" s="32">
        <v>2022.0</v>
      </c>
      <c r="E716" t="str">
        <f t="shared" si="4"/>
        <v>6</v>
      </c>
      <c r="F716" t="str">
        <f t="shared" si="5"/>
        <v>Pierson Curtis</v>
      </c>
      <c r="G716" s="40" t="str">
        <f>VLOOKUP(F716,'Manager Coding'!C:D,2,0)</f>
        <v>Pierson</v>
      </c>
      <c r="H716" s="41">
        <f t="shared" si="6"/>
        <v>78.32</v>
      </c>
      <c r="I716" t="str">
        <f t="shared" si="7"/>
        <v>Jordan Shepherd</v>
      </c>
      <c r="J716" t="str">
        <f>VLOOKUP(I716,'Manager Coding'!C:D,2,0)</f>
        <v>Shep</v>
      </c>
      <c r="K716" s="41">
        <f t="shared" si="8"/>
        <v>73.6</v>
      </c>
      <c r="L716">
        <f t="shared" si="9"/>
        <v>1</v>
      </c>
      <c r="M716">
        <f t="shared" si="10"/>
        <v>0</v>
      </c>
      <c r="N716" s="128" t="s">
        <v>1912</v>
      </c>
      <c r="O716" s="129" t="s">
        <v>93</v>
      </c>
      <c r="P716" s="120">
        <v>78.32</v>
      </c>
      <c r="Q716" s="127">
        <v>73.6</v>
      </c>
      <c r="R716" s="130" t="s">
        <v>91</v>
      </c>
      <c r="S716" s="128" t="s">
        <v>1921</v>
      </c>
    </row>
    <row r="717" hidden="1">
      <c r="A717" s="32" t="str">
        <f t="shared" si="1"/>
        <v>2022T-HowWeek 6</v>
      </c>
      <c r="B717" s="32" t="str">
        <f t="shared" si="2"/>
        <v>2022SaltyWeek 6</v>
      </c>
      <c r="C717" s="32" t="str">
        <f t="shared" si="3"/>
        <v>Week 6</v>
      </c>
      <c r="D717" s="32">
        <v>2022.0</v>
      </c>
      <c r="E717" t="str">
        <f t="shared" si="4"/>
        <v>6</v>
      </c>
      <c r="F717" t="str">
        <f t="shared" si="5"/>
        <v>Tyler Howard</v>
      </c>
      <c r="G717" s="40" t="str">
        <f>VLOOKUP(F717,'Manager Coding'!C:D,2,0)</f>
        <v>T-How</v>
      </c>
      <c r="H717" s="41">
        <f t="shared" si="6"/>
        <v>80.34</v>
      </c>
      <c r="I717" t="str">
        <f t="shared" si="7"/>
        <v>R Saltiel</v>
      </c>
      <c r="J717" t="str">
        <f>VLOOKUP(I717,'Manager Coding'!C:D,2,0)</f>
        <v>Salty</v>
      </c>
      <c r="K717" s="41">
        <f t="shared" si="8"/>
        <v>92.5</v>
      </c>
      <c r="L717">
        <f t="shared" si="9"/>
        <v>0</v>
      </c>
      <c r="M717">
        <f t="shared" si="10"/>
        <v>1</v>
      </c>
      <c r="N717" s="131" t="s">
        <v>1907</v>
      </c>
      <c r="O717" s="132" t="s">
        <v>85</v>
      </c>
      <c r="P717" s="120">
        <v>80.34</v>
      </c>
      <c r="Q717" s="127">
        <v>92.5</v>
      </c>
      <c r="R717" s="133" t="s">
        <v>77</v>
      </c>
      <c r="S717" s="131" t="s">
        <v>1917</v>
      </c>
    </row>
    <row r="718" hidden="1">
      <c r="A718" s="32" t="str">
        <f t="shared" si="1"/>
        <v>2022Rooney/JacksonWeek 6</v>
      </c>
      <c r="B718" s="32" t="str">
        <f t="shared" si="2"/>
        <v>2022CockWeek 6</v>
      </c>
      <c r="C718" s="32" t="str">
        <f t="shared" si="3"/>
        <v>Week 6</v>
      </c>
      <c r="D718" s="32">
        <v>2022.0</v>
      </c>
      <c r="E718" t="str">
        <f t="shared" si="4"/>
        <v>6</v>
      </c>
      <c r="F718" t="str">
        <f t="shared" si="5"/>
        <v>Stephen Rooney, Jackson Sattell</v>
      </c>
      <c r="G718" s="40" t="str">
        <f>VLOOKUP(F718,'Manager Coding'!C:D,2,0)</f>
        <v>Rooney/Jackson</v>
      </c>
      <c r="H718" s="41">
        <f t="shared" si="6"/>
        <v>87.78</v>
      </c>
      <c r="I718" t="str">
        <f t="shared" si="7"/>
        <v>Chris Cochrane</v>
      </c>
      <c r="J718" t="str">
        <f>VLOOKUP(I718,'Manager Coding'!C:D,2,0)</f>
        <v>Cock</v>
      </c>
      <c r="K718" s="41">
        <f t="shared" si="8"/>
        <v>72.42</v>
      </c>
      <c r="L718">
        <f t="shared" si="9"/>
        <v>1</v>
      </c>
      <c r="M718">
        <f t="shared" si="10"/>
        <v>0</v>
      </c>
      <c r="N718" s="128" t="s">
        <v>1900</v>
      </c>
      <c r="O718" s="129" t="s">
        <v>58</v>
      </c>
      <c r="P718" s="120">
        <v>87.78</v>
      </c>
      <c r="Q718" s="127">
        <v>72.42</v>
      </c>
      <c r="R718" s="130" t="s">
        <v>99</v>
      </c>
      <c r="S718" s="128" t="s">
        <v>1913</v>
      </c>
    </row>
    <row r="719" hidden="1">
      <c r="A719" s="32" t="str">
        <f t="shared" si="1"/>
        <v>2022KnardDawgWeek 6</v>
      </c>
      <c r="B719" s="32" t="str">
        <f t="shared" si="2"/>
        <v>2022TayskiWeek 6</v>
      </c>
      <c r="C719" s="32" t="str">
        <f t="shared" si="3"/>
        <v>Week 6</v>
      </c>
      <c r="D719" s="32">
        <v>2022.0</v>
      </c>
      <c r="E719" t="str">
        <f t="shared" si="4"/>
        <v>6</v>
      </c>
      <c r="F719" t="str">
        <f t="shared" si="5"/>
        <v>Alex Kinniard, Jack Reilly</v>
      </c>
      <c r="G719" s="40" t="str">
        <f>VLOOKUP(F719,'Manager Coding'!C:D,2,0)</f>
        <v>KnardDawg</v>
      </c>
      <c r="H719" s="41">
        <f t="shared" si="6"/>
        <v>99.24</v>
      </c>
      <c r="I719" t="str">
        <f t="shared" si="7"/>
        <v>Taylor Weis</v>
      </c>
      <c r="J719" t="str">
        <f>VLOOKUP(I719,'Manager Coding'!C:D,2,0)</f>
        <v>Tayski</v>
      </c>
      <c r="K719" s="41">
        <f t="shared" si="8"/>
        <v>75.06</v>
      </c>
      <c r="L719">
        <f t="shared" si="9"/>
        <v>1</v>
      </c>
      <c r="M719">
        <f t="shared" si="10"/>
        <v>0</v>
      </c>
      <c r="N719" s="134" t="s">
        <v>1906</v>
      </c>
      <c r="O719" s="135" t="s">
        <v>87</v>
      </c>
      <c r="P719" s="82">
        <v>99.24</v>
      </c>
      <c r="Q719" s="88">
        <v>75.06</v>
      </c>
      <c r="R719" s="115" t="s">
        <v>54</v>
      </c>
      <c r="S719" s="134" t="s">
        <v>1910</v>
      </c>
    </row>
    <row r="720" hidden="1">
      <c r="A720" s="32" t="str">
        <f t="shared" si="1"/>
        <v>#N/A</v>
      </c>
      <c r="B720" s="32" t="str">
        <f t="shared" si="2"/>
        <v>#N/A</v>
      </c>
      <c r="C720" s="32" t="str">
        <f t="shared" si="3"/>
        <v>Week 6</v>
      </c>
      <c r="D720" s="32">
        <v>2022.0</v>
      </c>
      <c r="E720" t="str">
        <f t="shared" si="4"/>
        <v>6</v>
      </c>
      <c r="F720" t="str">
        <f t="shared" si="5"/>
        <v/>
      </c>
      <c r="G720" s="40" t="str">
        <f>VLOOKUP(F720,'Manager Coding'!C:D,2,0)</f>
        <v>#N/A</v>
      </c>
      <c r="H720" s="41" t="str">
        <f t="shared" si="6"/>
        <v/>
      </c>
      <c r="I720" t="str">
        <f t="shared" si="7"/>
        <v/>
      </c>
      <c r="J720" t="str">
        <f>VLOOKUP(I720,'Manager Coding'!C:D,2,0)</f>
        <v>#N/A</v>
      </c>
      <c r="K720" s="41" t="str">
        <f t="shared" si="8"/>
        <v/>
      </c>
      <c r="L720">
        <f t="shared" si="9"/>
        <v>0</v>
      </c>
      <c r="M720">
        <f t="shared" si="10"/>
        <v>0</v>
      </c>
      <c r="N720" s="91" t="s">
        <v>340</v>
      </c>
      <c r="O720" s="138"/>
      <c r="P720" s="139"/>
      <c r="Q720" s="140"/>
      <c r="R720" s="141"/>
      <c r="S720" s="142"/>
    </row>
    <row r="721" hidden="1">
      <c r="A721" s="32" t="str">
        <f t="shared" si="1"/>
        <v>#N/A</v>
      </c>
      <c r="B721" s="32" t="str">
        <f t="shared" si="2"/>
        <v>#N/A</v>
      </c>
      <c r="C721" s="32" t="str">
        <f t="shared" si="3"/>
        <v>Week 7</v>
      </c>
      <c r="D721" s="32">
        <v>2022.0</v>
      </c>
      <c r="E721" t="str">
        <f t="shared" si="4"/>
        <v>7</v>
      </c>
      <c r="F721" t="str">
        <f t="shared" si="5"/>
        <v>TEAM MANAGER(S)</v>
      </c>
      <c r="G721" s="40" t="str">
        <f>VLOOKUP(F721,'Manager Coding'!C:D,2,0)</f>
        <v>#N/A</v>
      </c>
      <c r="H721" s="41" t="str">
        <f t="shared" si="6"/>
        <v>SCORE</v>
      </c>
      <c r="I721" t="str">
        <f t="shared" si="7"/>
        <v>TEAM MANAGER(S)</v>
      </c>
      <c r="J721" t="str">
        <f>VLOOKUP(I721,'Manager Coding'!C:D,2,0)</f>
        <v>#N/A</v>
      </c>
      <c r="K721" s="41" t="str">
        <f t="shared" si="8"/>
        <v>SCORE</v>
      </c>
      <c r="L721">
        <f t="shared" si="9"/>
        <v>0</v>
      </c>
      <c r="M721">
        <f t="shared" si="10"/>
        <v>0</v>
      </c>
      <c r="N721" s="116" t="s">
        <v>197</v>
      </c>
      <c r="O721" s="116" t="s">
        <v>88</v>
      </c>
      <c r="P721" s="117" t="s">
        <v>94</v>
      </c>
      <c r="Q721" s="116" t="s">
        <v>94</v>
      </c>
      <c r="R721" s="117" t="s">
        <v>88</v>
      </c>
      <c r="S721" s="117" t="s">
        <v>101</v>
      </c>
    </row>
    <row r="722" hidden="1">
      <c r="A722" s="32" t="str">
        <f t="shared" si="1"/>
        <v>2022HudspeathWeek 7</v>
      </c>
      <c r="B722" s="32" t="str">
        <f t="shared" si="2"/>
        <v>2022FellowsWeek 7</v>
      </c>
      <c r="C722" s="32" t="str">
        <f t="shared" si="3"/>
        <v>Week 7</v>
      </c>
      <c r="D722" s="32">
        <v>2022.0</v>
      </c>
      <c r="E722" t="str">
        <f t="shared" si="4"/>
        <v>7</v>
      </c>
      <c r="F722" t="str">
        <f t="shared" si="5"/>
        <v>matt hudspeath</v>
      </c>
      <c r="G722" s="40" t="str">
        <f>VLOOKUP(F722,'Manager Coding'!C:D,2,0)</f>
        <v>Hudspeath</v>
      </c>
      <c r="H722" s="41">
        <f t="shared" si="6"/>
        <v>45.02</v>
      </c>
      <c r="I722" t="str">
        <f t="shared" si="7"/>
        <v>Michael Fellows</v>
      </c>
      <c r="J722" t="str">
        <f>VLOOKUP(I722,'Manager Coding'!C:D,2,0)</f>
        <v>Fellows</v>
      </c>
      <c r="K722" s="41">
        <f t="shared" si="8"/>
        <v>109.94</v>
      </c>
      <c r="L722">
        <f t="shared" si="9"/>
        <v>0</v>
      </c>
      <c r="M722">
        <f t="shared" si="10"/>
        <v>1</v>
      </c>
      <c r="N722" s="128" t="s">
        <v>1903</v>
      </c>
      <c r="O722" s="129" t="s">
        <v>64</v>
      </c>
      <c r="P722" s="120">
        <v>45.02</v>
      </c>
      <c r="Q722" s="127">
        <v>109.94</v>
      </c>
      <c r="R722" s="130" t="s">
        <v>80</v>
      </c>
      <c r="S722" s="128" t="s">
        <v>1922</v>
      </c>
    </row>
    <row r="723" hidden="1">
      <c r="A723" s="32" t="str">
        <f t="shared" si="1"/>
        <v>2022ShepWeek 7</v>
      </c>
      <c r="B723" s="32" t="str">
        <f t="shared" si="2"/>
        <v>2022RileyWeek 7</v>
      </c>
      <c r="C723" s="32" t="str">
        <f t="shared" si="3"/>
        <v>Week 7</v>
      </c>
      <c r="D723" s="32">
        <v>2022.0</v>
      </c>
      <c r="E723" t="str">
        <f t="shared" si="4"/>
        <v>7</v>
      </c>
      <c r="F723" t="str">
        <f t="shared" si="5"/>
        <v>Jordan Shepherd</v>
      </c>
      <c r="G723" s="40" t="str">
        <f>VLOOKUP(F723,'Manager Coding'!C:D,2,0)</f>
        <v>Shep</v>
      </c>
      <c r="H723" s="41">
        <f t="shared" si="6"/>
        <v>119.24</v>
      </c>
      <c r="I723" t="str">
        <f t="shared" si="7"/>
        <v>Riley McElwain</v>
      </c>
      <c r="J723" t="str">
        <f>VLOOKUP(I723,'Manager Coding'!C:D,2,0)</f>
        <v>Riley</v>
      </c>
      <c r="K723" s="41">
        <f t="shared" si="8"/>
        <v>70.1</v>
      </c>
      <c r="L723">
        <f t="shared" si="9"/>
        <v>1</v>
      </c>
      <c r="M723">
        <f t="shared" si="10"/>
        <v>0</v>
      </c>
      <c r="N723" s="131" t="s">
        <v>1921</v>
      </c>
      <c r="O723" s="132" t="s">
        <v>91</v>
      </c>
      <c r="P723" s="120">
        <v>119.24</v>
      </c>
      <c r="Q723" s="127">
        <v>70.1</v>
      </c>
      <c r="R723" s="133" t="s">
        <v>68</v>
      </c>
      <c r="S723" s="131" t="s">
        <v>1920</v>
      </c>
    </row>
    <row r="724" hidden="1">
      <c r="A724" s="32" t="str">
        <f t="shared" si="1"/>
        <v>2022SaltyWeek 7</v>
      </c>
      <c r="B724" s="32" t="str">
        <f t="shared" si="2"/>
        <v>2022BuserWeek 7</v>
      </c>
      <c r="C724" s="32" t="str">
        <f t="shared" si="3"/>
        <v>Week 7</v>
      </c>
      <c r="D724" s="32">
        <v>2022.0</v>
      </c>
      <c r="E724" t="str">
        <f t="shared" si="4"/>
        <v>7</v>
      </c>
      <c r="F724" t="str">
        <f t="shared" si="5"/>
        <v>R Saltiel</v>
      </c>
      <c r="G724" s="40" t="str">
        <f>VLOOKUP(F724,'Manager Coding'!C:D,2,0)</f>
        <v>Salty</v>
      </c>
      <c r="H724" s="41">
        <f t="shared" si="6"/>
        <v>80.82</v>
      </c>
      <c r="I724" t="str">
        <f t="shared" si="7"/>
        <v>Ed Buser</v>
      </c>
      <c r="J724" t="str">
        <f>VLOOKUP(I724,'Manager Coding'!C:D,2,0)</f>
        <v>Buser</v>
      </c>
      <c r="K724" s="41">
        <f t="shared" si="8"/>
        <v>90.42</v>
      </c>
      <c r="L724">
        <f t="shared" si="9"/>
        <v>0</v>
      </c>
      <c r="M724">
        <f t="shared" si="10"/>
        <v>1</v>
      </c>
      <c r="N724" s="128" t="s">
        <v>1917</v>
      </c>
      <c r="O724" s="129" t="s">
        <v>77</v>
      </c>
      <c r="P724" s="120">
        <v>80.82</v>
      </c>
      <c r="Q724" s="127">
        <v>90.42</v>
      </c>
      <c r="R724" s="130" t="s">
        <v>50</v>
      </c>
      <c r="S724" s="128" t="s">
        <v>1916</v>
      </c>
    </row>
    <row r="725" hidden="1">
      <c r="A725" s="32" t="str">
        <f t="shared" si="1"/>
        <v>2022CockWeek 7</v>
      </c>
      <c r="B725" s="32" t="str">
        <f t="shared" si="2"/>
        <v>2022PiersonWeek 7</v>
      </c>
      <c r="C725" s="32" t="str">
        <f t="shared" si="3"/>
        <v>Week 7</v>
      </c>
      <c r="D725" s="32">
        <v>2022.0</v>
      </c>
      <c r="E725" t="str">
        <f t="shared" si="4"/>
        <v>7</v>
      </c>
      <c r="F725" t="str">
        <f t="shared" si="5"/>
        <v>Chris Cochrane</v>
      </c>
      <c r="G725" s="40" t="str">
        <f>VLOOKUP(F725,'Manager Coding'!C:D,2,0)</f>
        <v>Cock</v>
      </c>
      <c r="H725" s="41">
        <f t="shared" si="6"/>
        <v>97.1</v>
      </c>
      <c r="I725" t="str">
        <f t="shared" si="7"/>
        <v>Pierson Curtis</v>
      </c>
      <c r="J725" t="str">
        <f>VLOOKUP(I725,'Manager Coding'!C:D,2,0)</f>
        <v>Pierson</v>
      </c>
      <c r="K725" s="41">
        <f t="shared" si="8"/>
        <v>86.72</v>
      </c>
      <c r="L725">
        <f t="shared" si="9"/>
        <v>1</v>
      </c>
      <c r="M725">
        <f t="shared" si="10"/>
        <v>0</v>
      </c>
      <c r="N725" s="131" t="s">
        <v>1913</v>
      </c>
      <c r="O725" s="132" t="s">
        <v>99</v>
      </c>
      <c r="P725" s="120">
        <v>97.1</v>
      </c>
      <c r="Q725" s="127">
        <v>86.72</v>
      </c>
      <c r="R725" s="133" t="s">
        <v>93</v>
      </c>
      <c r="S725" s="131" t="s">
        <v>1912</v>
      </c>
    </row>
    <row r="726" hidden="1">
      <c r="A726" s="32" t="str">
        <f t="shared" si="1"/>
        <v>2022TayskiWeek 7</v>
      </c>
      <c r="B726" s="32" t="str">
        <f t="shared" si="2"/>
        <v>2022T-HowWeek 7</v>
      </c>
      <c r="C726" s="32" t="str">
        <f t="shared" si="3"/>
        <v>Week 7</v>
      </c>
      <c r="D726" s="32">
        <v>2022.0</v>
      </c>
      <c r="E726" t="str">
        <f t="shared" si="4"/>
        <v>7</v>
      </c>
      <c r="F726" t="str">
        <f t="shared" si="5"/>
        <v>Taylor Weis</v>
      </c>
      <c r="G726" s="40" t="str">
        <f>VLOOKUP(F726,'Manager Coding'!C:D,2,0)</f>
        <v>Tayski</v>
      </c>
      <c r="H726" s="41">
        <f t="shared" si="6"/>
        <v>98.48</v>
      </c>
      <c r="I726" t="str">
        <f t="shared" si="7"/>
        <v>Tyler Howard</v>
      </c>
      <c r="J726" t="str">
        <f>VLOOKUP(I726,'Manager Coding'!C:D,2,0)</f>
        <v>T-How</v>
      </c>
      <c r="K726" s="41">
        <f t="shared" si="8"/>
        <v>100.44</v>
      </c>
      <c r="L726">
        <f t="shared" si="9"/>
        <v>0</v>
      </c>
      <c r="M726">
        <f t="shared" si="10"/>
        <v>1</v>
      </c>
      <c r="N726" s="128" t="s">
        <v>1910</v>
      </c>
      <c r="O726" s="129" t="s">
        <v>54</v>
      </c>
      <c r="P726" s="120">
        <v>98.48</v>
      </c>
      <c r="Q726" s="127">
        <v>100.44</v>
      </c>
      <c r="R726" s="130" t="s">
        <v>85</v>
      </c>
      <c r="S726" s="128" t="s">
        <v>1907</v>
      </c>
    </row>
    <row r="727" hidden="1">
      <c r="A727" s="32" t="str">
        <f t="shared" si="1"/>
        <v>2022KnardDawgWeek 7</v>
      </c>
      <c r="B727" s="32" t="str">
        <f t="shared" si="2"/>
        <v>2022Rooney/JacksonWeek 7</v>
      </c>
      <c r="C727" s="32" t="str">
        <f t="shared" si="3"/>
        <v>Week 7</v>
      </c>
      <c r="D727" s="32">
        <v>2022.0</v>
      </c>
      <c r="E727" t="str">
        <f t="shared" si="4"/>
        <v>7</v>
      </c>
      <c r="F727" t="str">
        <f t="shared" si="5"/>
        <v>Alex Kinniard, Jack Reilly</v>
      </c>
      <c r="G727" s="40" t="str">
        <f>VLOOKUP(F727,'Manager Coding'!C:D,2,0)</f>
        <v>KnardDawg</v>
      </c>
      <c r="H727" s="41">
        <f t="shared" si="6"/>
        <v>70.16</v>
      </c>
      <c r="I727" t="str">
        <f t="shared" si="7"/>
        <v>Stephen Rooney, Jackson Sattell</v>
      </c>
      <c r="J727" t="str">
        <f>VLOOKUP(I727,'Manager Coding'!C:D,2,0)</f>
        <v>Rooney/Jackson</v>
      </c>
      <c r="K727" s="41">
        <f t="shared" si="8"/>
        <v>68.86</v>
      </c>
      <c r="L727">
        <f t="shared" si="9"/>
        <v>1</v>
      </c>
      <c r="M727">
        <f t="shared" si="10"/>
        <v>0</v>
      </c>
      <c r="N727" s="134" t="s">
        <v>1906</v>
      </c>
      <c r="O727" s="135" t="s">
        <v>87</v>
      </c>
      <c r="P727" s="82">
        <v>70.16</v>
      </c>
      <c r="Q727" s="88">
        <v>68.86</v>
      </c>
      <c r="R727" s="115" t="s">
        <v>58</v>
      </c>
      <c r="S727" s="134" t="s">
        <v>1900</v>
      </c>
    </row>
    <row r="728" hidden="1">
      <c r="A728" s="32" t="str">
        <f t="shared" si="1"/>
        <v>#N/A</v>
      </c>
      <c r="B728" s="32" t="str">
        <f t="shared" si="2"/>
        <v>#N/A</v>
      </c>
      <c r="C728" s="32" t="str">
        <f t="shared" si="3"/>
        <v>Week 7</v>
      </c>
      <c r="D728" s="32">
        <v>2022.0</v>
      </c>
      <c r="E728" t="str">
        <f t="shared" si="4"/>
        <v>7</v>
      </c>
      <c r="F728" t="str">
        <f t="shared" si="5"/>
        <v/>
      </c>
      <c r="G728" s="40" t="str">
        <f>VLOOKUP(F728,'Manager Coding'!C:D,2,0)</f>
        <v>#N/A</v>
      </c>
      <c r="H728" s="41" t="str">
        <f t="shared" si="6"/>
        <v/>
      </c>
      <c r="I728" t="str">
        <f t="shared" si="7"/>
        <v/>
      </c>
      <c r="J728" t="str">
        <f>VLOOKUP(I728,'Manager Coding'!C:D,2,0)</f>
        <v>#N/A</v>
      </c>
      <c r="K728" s="41" t="str">
        <f t="shared" si="8"/>
        <v/>
      </c>
      <c r="L728">
        <f t="shared" si="9"/>
        <v>0</v>
      </c>
      <c r="M728">
        <f t="shared" si="10"/>
        <v>0</v>
      </c>
      <c r="N728" s="91" t="s">
        <v>367</v>
      </c>
      <c r="O728" s="143"/>
      <c r="P728" s="144"/>
      <c r="Q728" s="140"/>
      <c r="R728" s="146"/>
      <c r="S728" s="147"/>
    </row>
    <row r="729" hidden="1">
      <c r="A729" s="32" t="str">
        <f t="shared" si="1"/>
        <v>#N/A</v>
      </c>
      <c r="B729" s="32" t="str">
        <f t="shared" si="2"/>
        <v>#N/A</v>
      </c>
      <c r="C729" s="32" t="str">
        <f t="shared" si="3"/>
        <v>Week 8</v>
      </c>
      <c r="D729" s="32">
        <v>2022.0</v>
      </c>
      <c r="E729" t="str">
        <f t="shared" si="4"/>
        <v>8</v>
      </c>
      <c r="F729" t="str">
        <f t="shared" si="5"/>
        <v>TEAM MANAGER(S)</v>
      </c>
      <c r="G729" s="40" t="str">
        <f>VLOOKUP(F729,'Manager Coding'!C:D,2,0)</f>
        <v>#N/A</v>
      </c>
      <c r="H729" s="41" t="str">
        <f t="shared" si="6"/>
        <v>SCORE</v>
      </c>
      <c r="I729" t="str">
        <f t="shared" si="7"/>
        <v>TEAM MANAGER(S)</v>
      </c>
      <c r="J729" t="str">
        <f>VLOOKUP(I729,'Manager Coding'!C:D,2,0)</f>
        <v>#N/A</v>
      </c>
      <c r="K729" s="41" t="str">
        <f t="shared" si="8"/>
        <v>SCORE</v>
      </c>
      <c r="L729">
        <f t="shared" si="9"/>
        <v>0</v>
      </c>
      <c r="M729">
        <f t="shared" si="10"/>
        <v>0</v>
      </c>
      <c r="N729" s="116" t="s">
        <v>197</v>
      </c>
      <c r="O729" s="116" t="s">
        <v>88</v>
      </c>
      <c r="P729" s="117" t="s">
        <v>94</v>
      </c>
      <c r="Q729" s="116" t="s">
        <v>94</v>
      </c>
      <c r="R729" s="117" t="s">
        <v>88</v>
      </c>
      <c r="S729" s="117" t="s">
        <v>101</v>
      </c>
    </row>
    <row r="730" hidden="1">
      <c r="A730" s="32" t="str">
        <f t="shared" si="1"/>
        <v>2022ShepWeek 8</v>
      </c>
      <c r="B730" s="32" t="str">
        <f t="shared" si="2"/>
        <v>2022HudspeathWeek 8</v>
      </c>
      <c r="C730" s="32" t="str">
        <f t="shared" si="3"/>
        <v>Week 8</v>
      </c>
      <c r="D730" s="32">
        <v>2022.0</v>
      </c>
      <c r="E730" t="str">
        <f t="shared" si="4"/>
        <v>8</v>
      </c>
      <c r="F730" t="str">
        <f t="shared" si="5"/>
        <v>Jordan Shepherd</v>
      </c>
      <c r="G730" s="40" t="str">
        <f>VLOOKUP(F730,'Manager Coding'!C:D,2,0)</f>
        <v>Shep</v>
      </c>
      <c r="H730" s="41">
        <f t="shared" si="6"/>
        <v>70.08</v>
      </c>
      <c r="I730" t="str">
        <f t="shared" si="7"/>
        <v>matt hudspeath</v>
      </c>
      <c r="J730" t="str">
        <f>VLOOKUP(I730,'Manager Coding'!C:D,2,0)</f>
        <v>Hudspeath</v>
      </c>
      <c r="K730" s="41">
        <f t="shared" si="8"/>
        <v>96.34</v>
      </c>
      <c r="L730">
        <f t="shared" si="9"/>
        <v>0</v>
      </c>
      <c r="M730">
        <f t="shared" si="10"/>
        <v>1</v>
      </c>
      <c r="N730" s="128" t="s">
        <v>1921</v>
      </c>
      <c r="O730" s="129" t="s">
        <v>91</v>
      </c>
      <c r="P730" s="120">
        <v>70.08</v>
      </c>
      <c r="Q730" s="127">
        <v>96.34</v>
      </c>
      <c r="R730" s="130" t="s">
        <v>64</v>
      </c>
      <c r="S730" s="128" t="s">
        <v>1903</v>
      </c>
    </row>
    <row r="731" hidden="1">
      <c r="A731" s="32" t="str">
        <f t="shared" si="1"/>
        <v>2022FellowsWeek 8</v>
      </c>
      <c r="B731" s="32" t="str">
        <f t="shared" si="2"/>
        <v>2022SaltyWeek 8</v>
      </c>
      <c r="C731" s="32" t="str">
        <f t="shared" si="3"/>
        <v>Week 8</v>
      </c>
      <c r="D731" s="32">
        <v>2022.0</v>
      </c>
      <c r="E731" t="str">
        <f t="shared" si="4"/>
        <v>8</v>
      </c>
      <c r="F731" t="str">
        <f t="shared" si="5"/>
        <v>Michael Fellows</v>
      </c>
      <c r="G731" s="40" t="str">
        <f>VLOOKUP(F731,'Manager Coding'!C:D,2,0)</f>
        <v>Fellows</v>
      </c>
      <c r="H731" s="41">
        <f t="shared" si="6"/>
        <v>103.74</v>
      </c>
      <c r="I731" t="str">
        <f t="shared" si="7"/>
        <v>R Saltiel</v>
      </c>
      <c r="J731" t="str">
        <f>VLOOKUP(I731,'Manager Coding'!C:D,2,0)</f>
        <v>Salty</v>
      </c>
      <c r="K731" s="41">
        <f t="shared" si="8"/>
        <v>104.1</v>
      </c>
      <c r="L731">
        <f t="shared" si="9"/>
        <v>0</v>
      </c>
      <c r="M731">
        <f t="shared" si="10"/>
        <v>1</v>
      </c>
      <c r="N731" s="131" t="s">
        <v>1922</v>
      </c>
      <c r="O731" s="132" t="s">
        <v>80</v>
      </c>
      <c r="P731" s="120">
        <v>103.74</v>
      </c>
      <c r="Q731" s="127">
        <v>104.1</v>
      </c>
      <c r="R731" s="133" t="s">
        <v>77</v>
      </c>
      <c r="S731" s="131" t="s">
        <v>1917</v>
      </c>
    </row>
    <row r="732" hidden="1">
      <c r="A732" s="32" t="str">
        <f t="shared" si="1"/>
        <v>2022RileyWeek 8</v>
      </c>
      <c r="B732" s="32" t="str">
        <f t="shared" si="2"/>
        <v>2022CockWeek 8</v>
      </c>
      <c r="C732" s="32" t="str">
        <f t="shared" si="3"/>
        <v>Week 8</v>
      </c>
      <c r="D732" s="32">
        <v>2022.0</v>
      </c>
      <c r="E732" t="str">
        <f t="shared" si="4"/>
        <v>8</v>
      </c>
      <c r="F732" t="str">
        <f t="shared" si="5"/>
        <v>Riley McElwain</v>
      </c>
      <c r="G732" s="40" t="str">
        <f>VLOOKUP(F732,'Manager Coding'!C:D,2,0)</f>
        <v>Riley</v>
      </c>
      <c r="H732" s="41">
        <f t="shared" si="6"/>
        <v>89.82</v>
      </c>
      <c r="I732" t="str">
        <f t="shared" si="7"/>
        <v>Chris Cochrane</v>
      </c>
      <c r="J732" t="str">
        <f>VLOOKUP(I732,'Manager Coding'!C:D,2,0)</f>
        <v>Cock</v>
      </c>
      <c r="K732" s="41">
        <f t="shared" si="8"/>
        <v>99.66</v>
      </c>
      <c r="L732">
        <f t="shared" si="9"/>
        <v>0</v>
      </c>
      <c r="M732">
        <f t="shared" si="10"/>
        <v>1</v>
      </c>
      <c r="N732" s="128" t="s">
        <v>1920</v>
      </c>
      <c r="O732" s="129" t="s">
        <v>68</v>
      </c>
      <c r="P732" s="120">
        <v>89.82</v>
      </c>
      <c r="Q732" s="127">
        <v>99.66</v>
      </c>
      <c r="R732" s="130" t="s">
        <v>99</v>
      </c>
      <c r="S732" s="128" t="s">
        <v>1913</v>
      </c>
    </row>
    <row r="733" hidden="1">
      <c r="A733" s="32" t="str">
        <f t="shared" si="1"/>
        <v>2022BuserWeek 8</v>
      </c>
      <c r="B733" s="32" t="str">
        <f t="shared" si="2"/>
        <v>2022TayskiWeek 8</v>
      </c>
      <c r="C733" s="32" t="str">
        <f t="shared" si="3"/>
        <v>Week 8</v>
      </c>
      <c r="D733" s="32">
        <v>2022.0</v>
      </c>
      <c r="E733" t="str">
        <f t="shared" si="4"/>
        <v>8</v>
      </c>
      <c r="F733" t="str">
        <f t="shared" si="5"/>
        <v>Ed Buser</v>
      </c>
      <c r="G733" s="40" t="str">
        <f>VLOOKUP(F733,'Manager Coding'!C:D,2,0)</f>
        <v>Buser</v>
      </c>
      <c r="H733" s="41">
        <f t="shared" si="6"/>
        <v>104.38</v>
      </c>
      <c r="I733" t="str">
        <f t="shared" si="7"/>
        <v>Taylor Weis</v>
      </c>
      <c r="J733" t="str">
        <f>VLOOKUP(I733,'Manager Coding'!C:D,2,0)</f>
        <v>Tayski</v>
      </c>
      <c r="K733" s="41">
        <f t="shared" si="8"/>
        <v>85.42</v>
      </c>
      <c r="L733">
        <f t="shared" si="9"/>
        <v>1</v>
      </c>
      <c r="M733">
        <f t="shared" si="10"/>
        <v>0</v>
      </c>
      <c r="N733" s="131" t="s">
        <v>1916</v>
      </c>
      <c r="O733" s="132" t="s">
        <v>50</v>
      </c>
      <c r="P733" s="120">
        <v>104.38</v>
      </c>
      <c r="Q733" s="127">
        <v>85.42</v>
      </c>
      <c r="R733" s="133" t="s">
        <v>54</v>
      </c>
      <c r="S733" s="131" t="s">
        <v>1910</v>
      </c>
    </row>
    <row r="734" hidden="1">
      <c r="A734" s="32" t="str">
        <f t="shared" si="1"/>
        <v>2022PiersonWeek 8</v>
      </c>
      <c r="B734" s="32" t="str">
        <f t="shared" si="2"/>
        <v>2022KnardDawgWeek 8</v>
      </c>
      <c r="C734" s="32" t="str">
        <f t="shared" si="3"/>
        <v>Week 8</v>
      </c>
      <c r="D734" s="32">
        <v>2022.0</v>
      </c>
      <c r="E734" t="str">
        <f t="shared" si="4"/>
        <v>8</v>
      </c>
      <c r="F734" t="str">
        <f t="shared" si="5"/>
        <v>Pierson Curtis</v>
      </c>
      <c r="G734" s="40" t="str">
        <f>VLOOKUP(F734,'Manager Coding'!C:D,2,0)</f>
        <v>Pierson</v>
      </c>
      <c r="H734" s="41">
        <f t="shared" si="6"/>
        <v>111.48</v>
      </c>
      <c r="I734" t="str">
        <f t="shared" si="7"/>
        <v>Alex Kinniard, Jack Reilly</v>
      </c>
      <c r="J734" t="str">
        <f>VLOOKUP(I734,'Manager Coding'!C:D,2,0)</f>
        <v>KnardDawg</v>
      </c>
      <c r="K734" s="41">
        <f t="shared" si="8"/>
        <v>108.02</v>
      </c>
      <c r="L734">
        <f t="shared" si="9"/>
        <v>1</v>
      </c>
      <c r="M734">
        <f t="shared" si="10"/>
        <v>0</v>
      </c>
      <c r="N734" s="128" t="s">
        <v>1912</v>
      </c>
      <c r="O734" s="129" t="s">
        <v>93</v>
      </c>
      <c r="P734" s="120">
        <v>111.48</v>
      </c>
      <c r="Q734" s="127">
        <v>108.02</v>
      </c>
      <c r="R734" s="130" t="s">
        <v>87</v>
      </c>
      <c r="S734" s="128" t="s">
        <v>1906</v>
      </c>
    </row>
    <row r="735" hidden="1">
      <c r="A735" s="32" t="str">
        <f t="shared" si="1"/>
        <v>2022T-HowWeek 8</v>
      </c>
      <c r="B735" s="32" t="str">
        <f t="shared" si="2"/>
        <v>2022Rooney/JacksonWeek 8</v>
      </c>
      <c r="C735" s="32" t="str">
        <f t="shared" si="3"/>
        <v>Week 8</v>
      </c>
      <c r="D735" s="32">
        <v>2022.0</v>
      </c>
      <c r="E735" t="str">
        <f t="shared" si="4"/>
        <v>8</v>
      </c>
      <c r="F735" t="str">
        <f t="shared" si="5"/>
        <v>Tyler Howard</v>
      </c>
      <c r="G735" s="40" t="str">
        <f>VLOOKUP(F735,'Manager Coding'!C:D,2,0)</f>
        <v>T-How</v>
      </c>
      <c r="H735" s="41">
        <f t="shared" si="6"/>
        <v>87.16</v>
      </c>
      <c r="I735" t="str">
        <f t="shared" si="7"/>
        <v>Stephen Rooney, Jackson Sattell</v>
      </c>
      <c r="J735" t="str">
        <f>VLOOKUP(I735,'Manager Coding'!C:D,2,0)</f>
        <v>Rooney/Jackson</v>
      </c>
      <c r="K735" s="41">
        <f t="shared" si="8"/>
        <v>151.8</v>
      </c>
      <c r="L735">
        <f t="shared" si="9"/>
        <v>0</v>
      </c>
      <c r="M735">
        <f t="shared" si="10"/>
        <v>1</v>
      </c>
      <c r="N735" s="134" t="s">
        <v>1907</v>
      </c>
      <c r="O735" s="135" t="s">
        <v>85</v>
      </c>
      <c r="P735" s="82">
        <v>87.16</v>
      </c>
      <c r="Q735" s="88">
        <v>151.8</v>
      </c>
      <c r="R735" s="115" t="s">
        <v>58</v>
      </c>
      <c r="S735" s="134" t="s">
        <v>1900</v>
      </c>
    </row>
    <row r="736" hidden="1">
      <c r="A736" s="32" t="str">
        <f t="shared" si="1"/>
        <v>#N/A</v>
      </c>
      <c r="B736" s="32" t="str">
        <f t="shared" si="2"/>
        <v>#N/A</v>
      </c>
      <c r="C736" s="32" t="str">
        <f t="shared" si="3"/>
        <v>Week 8</v>
      </c>
      <c r="D736" s="32">
        <v>2022.0</v>
      </c>
      <c r="E736" t="str">
        <f t="shared" si="4"/>
        <v>8</v>
      </c>
      <c r="F736" t="str">
        <f t="shared" si="5"/>
        <v/>
      </c>
      <c r="G736" s="40" t="str">
        <f>VLOOKUP(F736,'Manager Coding'!C:D,2,0)</f>
        <v>#N/A</v>
      </c>
      <c r="H736" s="41" t="str">
        <f t="shared" si="6"/>
        <v/>
      </c>
      <c r="I736" t="str">
        <f t="shared" si="7"/>
        <v/>
      </c>
      <c r="J736" t="str">
        <f>VLOOKUP(I736,'Manager Coding'!C:D,2,0)</f>
        <v>#N/A</v>
      </c>
      <c r="K736" s="41" t="str">
        <f t="shared" si="8"/>
        <v/>
      </c>
      <c r="L736">
        <f t="shared" si="9"/>
        <v>0</v>
      </c>
      <c r="M736">
        <f t="shared" si="10"/>
        <v>0</v>
      </c>
      <c r="N736" s="91" t="s">
        <v>387</v>
      </c>
      <c r="O736" s="138"/>
      <c r="P736" s="148"/>
      <c r="Q736" s="148"/>
      <c r="R736" s="141"/>
      <c r="S736" s="142"/>
    </row>
    <row r="737" hidden="1">
      <c r="A737" s="32" t="str">
        <f t="shared" si="1"/>
        <v>#N/A</v>
      </c>
      <c r="B737" s="32" t="str">
        <f t="shared" si="2"/>
        <v>#N/A</v>
      </c>
      <c r="C737" s="32" t="str">
        <f t="shared" si="3"/>
        <v>Week 9</v>
      </c>
      <c r="D737" s="32">
        <v>2022.0</v>
      </c>
      <c r="E737" t="str">
        <f t="shared" si="4"/>
        <v>9</v>
      </c>
      <c r="F737" t="str">
        <f t="shared" si="5"/>
        <v>TEAM MANAGER(S)</v>
      </c>
      <c r="G737" s="40" t="str">
        <f>VLOOKUP(F737,'Manager Coding'!C:D,2,0)</f>
        <v>#N/A</v>
      </c>
      <c r="H737" s="41" t="str">
        <f t="shared" si="6"/>
        <v>SCORE</v>
      </c>
      <c r="I737" t="str">
        <f t="shared" si="7"/>
        <v>TEAM MANAGER(S)</v>
      </c>
      <c r="J737" t="str">
        <f>VLOOKUP(I737,'Manager Coding'!C:D,2,0)</f>
        <v>#N/A</v>
      </c>
      <c r="K737" s="41" t="str">
        <f t="shared" si="8"/>
        <v>SCORE</v>
      </c>
      <c r="L737">
        <f t="shared" si="9"/>
        <v>0</v>
      </c>
      <c r="M737">
        <f t="shared" si="10"/>
        <v>0</v>
      </c>
      <c r="N737" s="116" t="s">
        <v>197</v>
      </c>
      <c r="O737" s="116" t="s">
        <v>88</v>
      </c>
      <c r="P737" s="117" t="s">
        <v>94</v>
      </c>
      <c r="Q737" s="116" t="s">
        <v>94</v>
      </c>
      <c r="R737" s="117" t="s">
        <v>88</v>
      </c>
      <c r="S737" s="117" t="s">
        <v>101</v>
      </c>
    </row>
    <row r="738" hidden="1">
      <c r="A738" s="32" t="str">
        <f t="shared" si="1"/>
        <v>2022HudspeathWeek 9</v>
      </c>
      <c r="B738" s="32" t="str">
        <f t="shared" si="2"/>
        <v>2022SaltyWeek 9</v>
      </c>
      <c r="C738" s="32" t="str">
        <f t="shared" si="3"/>
        <v>Week 9</v>
      </c>
      <c r="D738" s="32">
        <v>2022.0</v>
      </c>
      <c r="E738" t="str">
        <f t="shared" si="4"/>
        <v>9</v>
      </c>
      <c r="F738" t="str">
        <f t="shared" si="5"/>
        <v>matt hudspeath</v>
      </c>
      <c r="G738" s="40" t="str">
        <f>VLOOKUP(F738,'Manager Coding'!C:D,2,0)</f>
        <v>Hudspeath</v>
      </c>
      <c r="H738" s="41">
        <f t="shared" si="6"/>
        <v>73.7</v>
      </c>
      <c r="I738" t="str">
        <f t="shared" si="7"/>
        <v>R Saltiel</v>
      </c>
      <c r="J738" t="str">
        <f>VLOOKUP(I738,'Manager Coding'!C:D,2,0)</f>
        <v>Salty</v>
      </c>
      <c r="K738" s="41">
        <f t="shared" si="8"/>
        <v>129.82</v>
      </c>
      <c r="L738">
        <f t="shared" si="9"/>
        <v>0</v>
      </c>
      <c r="M738">
        <f t="shared" si="10"/>
        <v>1</v>
      </c>
      <c r="N738" s="128" t="s">
        <v>1903</v>
      </c>
      <c r="O738" s="129" t="s">
        <v>64</v>
      </c>
      <c r="P738" s="120">
        <v>73.7</v>
      </c>
      <c r="Q738" s="127">
        <v>129.82</v>
      </c>
      <c r="R738" s="130" t="s">
        <v>77</v>
      </c>
      <c r="S738" s="128" t="s">
        <v>1917</v>
      </c>
    </row>
    <row r="739" hidden="1">
      <c r="A739" s="32" t="str">
        <f t="shared" si="1"/>
        <v>2022CockWeek 9</v>
      </c>
      <c r="B739" s="32" t="str">
        <f t="shared" si="2"/>
        <v>2022ShepWeek 9</v>
      </c>
      <c r="C739" s="32" t="str">
        <f t="shared" si="3"/>
        <v>Week 9</v>
      </c>
      <c r="D739" s="32">
        <v>2022.0</v>
      </c>
      <c r="E739" t="str">
        <f t="shared" si="4"/>
        <v>9</v>
      </c>
      <c r="F739" t="str">
        <f t="shared" si="5"/>
        <v>Chris Cochrane</v>
      </c>
      <c r="G739" s="40" t="str">
        <f>VLOOKUP(F739,'Manager Coding'!C:D,2,0)</f>
        <v>Cock</v>
      </c>
      <c r="H739" s="41">
        <f t="shared" si="6"/>
        <v>110.8</v>
      </c>
      <c r="I739" t="str">
        <f t="shared" si="7"/>
        <v>Jordan Shepherd</v>
      </c>
      <c r="J739" t="str">
        <f>VLOOKUP(I739,'Manager Coding'!C:D,2,0)</f>
        <v>Shep</v>
      </c>
      <c r="K739" s="41">
        <f t="shared" si="8"/>
        <v>75.14</v>
      </c>
      <c r="L739">
        <f t="shared" si="9"/>
        <v>1</v>
      </c>
      <c r="M739">
        <f t="shared" si="10"/>
        <v>0</v>
      </c>
      <c r="N739" s="131" t="s">
        <v>1913</v>
      </c>
      <c r="O739" s="132" t="s">
        <v>99</v>
      </c>
      <c r="P739" s="120">
        <v>110.8</v>
      </c>
      <c r="Q739" s="127">
        <v>75.14</v>
      </c>
      <c r="R739" s="133" t="s">
        <v>91</v>
      </c>
      <c r="S739" s="131" t="s">
        <v>1921</v>
      </c>
    </row>
    <row r="740" hidden="1">
      <c r="A740" s="32" t="str">
        <f t="shared" si="1"/>
        <v>2022TayskiWeek 9</v>
      </c>
      <c r="B740" s="32" t="str">
        <f t="shared" si="2"/>
        <v>2022FellowsWeek 9</v>
      </c>
      <c r="C740" s="32" t="str">
        <f t="shared" si="3"/>
        <v>Week 9</v>
      </c>
      <c r="D740" s="32">
        <v>2022.0</v>
      </c>
      <c r="E740" t="str">
        <f t="shared" si="4"/>
        <v>9</v>
      </c>
      <c r="F740" t="str">
        <f t="shared" si="5"/>
        <v>Taylor Weis</v>
      </c>
      <c r="G740" s="40" t="str">
        <f>VLOOKUP(F740,'Manager Coding'!C:D,2,0)</f>
        <v>Tayski</v>
      </c>
      <c r="H740" s="41">
        <f t="shared" si="6"/>
        <v>92.3</v>
      </c>
      <c r="I740" t="str">
        <f t="shared" si="7"/>
        <v>Michael Fellows</v>
      </c>
      <c r="J740" t="str">
        <f>VLOOKUP(I740,'Manager Coding'!C:D,2,0)</f>
        <v>Fellows</v>
      </c>
      <c r="K740" s="41">
        <f t="shared" si="8"/>
        <v>119.62</v>
      </c>
      <c r="L740">
        <f t="shared" si="9"/>
        <v>0</v>
      </c>
      <c r="M740">
        <f t="shared" si="10"/>
        <v>1</v>
      </c>
      <c r="N740" s="128" t="s">
        <v>1910</v>
      </c>
      <c r="O740" s="129" t="s">
        <v>54</v>
      </c>
      <c r="P740" s="120">
        <v>92.3</v>
      </c>
      <c r="Q740" s="127">
        <v>119.62</v>
      </c>
      <c r="R740" s="130" t="s">
        <v>80</v>
      </c>
      <c r="S740" s="128" t="s">
        <v>1922</v>
      </c>
    </row>
    <row r="741" hidden="1">
      <c r="A741" s="32" t="str">
        <f t="shared" si="1"/>
        <v>2022KnardDawgWeek 9</v>
      </c>
      <c r="B741" s="32" t="str">
        <f t="shared" si="2"/>
        <v>2022RileyWeek 9</v>
      </c>
      <c r="C741" s="32" t="str">
        <f t="shared" si="3"/>
        <v>Week 9</v>
      </c>
      <c r="D741" s="32">
        <v>2022.0</v>
      </c>
      <c r="E741" t="str">
        <f t="shared" si="4"/>
        <v>9</v>
      </c>
      <c r="F741" t="str">
        <f t="shared" si="5"/>
        <v>Alex Kinniard, Jack Reilly</v>
      </c>
      <c r="G741" s="40" t="str">
        <f>VLOOKUP(F741,'Manager Coding'!C:D,2,0)</f>
        <v>KnardDawg</v>
      </c>
      <c r="H741" s="41">
        <f t="shared" si="6"/>
        <v>76.24</v>
      </c>
      <c r="I741" t="str">
        <f t="shared" si="7"/>
        <v>Riley McElwain</v>
      </c>
      <c r="J741" t="str">
        <f>VLOOKUP(I741,'Manager Coding'!C:D,2,0)</f>
        <v>Riley</v>
      </c>
      <c r="K741" s="41">
        <f t="shared" si="8"/>
        <v>91.22</v>
      </c>
      <c r="L741">
        <f t="shared" si="9"/>
        <v>0</v>
      </c>
      <c r="M741">
        <f t="shared" si="10"/>
        <v>1</v>
      </c>
      <c r="N741" s="131" t="s">
        <v>1906</v>
      </c>
      <c r="O741" s="132" t="s">
        <v>87</v>
      </c>
      <c r="P741" s="120">
        <v>76.24</v>
      </c>
      <c r="Q741" s="127">
        <v>91.22</v>
      </c>
      <c r="R741" s="133" t="s">
        <v>68</v>
      </c>
      <c r="S741" s="131" t="s">
        <v>1920</v>
      </c>
    </row>
    <row r="742" hidden="1">
      <c r="A742" s="32" t="str">
        <f t="shared" si="1"/>
        <v>2022Rooney/JacksonWeek 9</v>
      </c>
      <c r="B742" s="32" t="str">
        <f t="shared" si="2"/>
        <v>2022BuserWeek 9</v>
      </c>
      <c r="C742" s="32" t="str">
        <f t="shared" si="3"/>
        <v>Week 9</v>
      </c>
      <c r="D742" s="32">
        <v>2022.0</v>
      </c>
      <c r="E742" t="str">
        <f t="shared" si="4"/>
        <v>9</v>
      </c>
      <c r="F742" t="str">
        <f t="shared" si="5"/>
        <v>Stephen Rooney, Jackson Sattell</v>
      </c>
      <c r="G742" s="40" t="str">
        <f>VLOOKUP(F742,'Manager Coding'!C:D,2,0)</f>
        <v>Rooney/Jackson</v>
      </c>
      <c r="H742" s="41">
        <f t="shared" si="6"/>
        <v>97.3</v>
      </c>
      <c r="I742" t="str">
        <f t="shared" si="7"/>
        <v>Ed Buser</v>
      </c>
      <c r="J742" t="str">
        <f>VLOOKUP(I742,'Manager Coding'!C:D,2,0)</f>
        <v>Buser</v>
      </c>
      <c r="K742" s="41">
        <f t="shared" si="8"/>
        <v>64.38</v>
      </c>
      <c r="L742">
        <f t="shared" si="9"/>
        <v>1</v>
      </c>
      <c r="M742">
        <f t="shared" si="10"/>
        <v>0</v>
      </c>
      <c r="N742" s="128" t="s">
        <v>1900</v>
      </c>
      <c r="O742" s="129" t="s">
        <v>58</v>
      </c>
      <c r="P742" s="120">
        <v>97.3</v>
      </c>
      <c r="Q742" s="127">
        <v>64.38</v>
      </c>
      <c r="R742" s="130" t="s">
        <v>50</v>
      </c>
      <c r="S742" s="128" t="s">
        <v>1916</v>
      </c>
    </row>
    <row r="743" hidden="1">
      <c r="A743" s="32" t="str">
        <f t="shared" si="1"/>
        <v>2022T-HowWeek 9</v>
      </c>
      <c r="B743" s="32" t="str">
        <f t="shared" si="2"/>
        <v>2022PiersonWeek 9</v>
      </c>
      <c r="C743" s="32" t="str">
        <f t="shared" si="3"/>
        <v>Week 9</v>
      </c>
      <c r="D743" s="32">
        <v>2022.0</v>
      </c>
      <c r="E743" t="str">
        <f t="shared" si="4"/>
        <v>9</v>
      </c>
      <c r="F743" t="str">
        <f t="shared" si="5"/>
        <v>Tyler Howard</v>
      </c>
      <c r="G743" s="40" t="str">
        <f>VLOOKUP(F743,'Manager Coding'!C:D,2,0)</f>
        <v>T-How</v>
      </c>
      <c r="H743" s="41">
        <f t="shared" si="6"/>
        <v>119.02</v>
      </c>
      <c r="I743" t="str">
        <f t="shared" si="7"/>
        <v>Pierson Curtis</v>
      </c>
      <c r="J743" t="str">
        <f>VLOOKUP(I743,'Manager Coding'!C:D,2,0)</f>
        <v>Pierson</v>
      </c>
      <c r="K743" s="41">
        <f t="shared" si="8"/>
        <v>118.54</v>
      </c>
      <c r="L743">
        <f t="shared" si="9"/>
        <v>1</v>
      </c>
      <c r="M743">
        <f t="shared" si="10"/>
        <v>0</v>
      </c>
      <c r="N743" s="134" t="s">
        <v>1907</v>
      </c>
      <c r="O743" s="135" t="s">
        <v>85</v>
      </c>
      <c r="P743" s="82">
        <v>119.02</v>
      </c>
      <c r="Q743" s="88">
        <v>118.54</v>
      </c>
      <c r="R743" s="115" t="s">
        <v>93</v>
      </c>
      <c r="S743" s="134" t="s">
        <v>1912</v>
      </c>
    </row>
    <row r="744" hidden="1">
      <c r="A744" s="32" t="str">
        <f t="shared" si="1"/>
        <v>#N/A</v>
      </c>
      <c r="B744" s="32" t="str">
        <f t="shared" si="2"/>
        <v>#N/A</v>
      </c>
      <c r="C744" s="32" t="str">
        <f t="shared" si="3"/>
        <v>Week 9</v>
      </c>
      <c r="D744" s="32">
        <v>2022.0</v>
      </c>
      <c r="E744" t="str">
        <f t="shared" si="4"/>
        <v>9</v>
      </c>
      <c r="F744" t="str">
        <f t="shared" si="5"/>
        <v/>
      </c>
      <c r="G744" s="40" t="str">
        <f>VLOOKUP(F744,'Manager Coding'!C:D,2,0)</f>
        <v>#N/A</v>
      </c>
      <c r="H744" s="41" t="str">
        <f t="shared" si="6"/>
        <v/>
      </c>
      <c r="I744" t="str">
        <f t="shared" si="7"/>
        <v/>
      </c>
      <c r="J744" t="str">
        <f>VLOOKUP(I744,'Manager Coding'!C:D,2,0)</f>
        <v>#N/A</v>
      </c>
      <c r="K744" s="41" t="str">
        <f t="shared" si="8"/>
        <v/>
      </c>
      <c r="L744">
        <f t="shared" si="9"/>
        <v>0</v>
      </c>
      <c r="M744">
        <f t="shared" si="10"/>
        <v>0</v>
      </c>
      <c r="N744" s="91" t="s">
        <v>406</v>
      </c>
      <c r="O744" s="149"/>
      <c r="P744" s="150"/>
      <c r="Q744" s="149"/>
      <c r="R744" s="150"/>
      <c r="S744" s="150"/>
    </row>
    <row r="745" hidden="1">
      <c r="A745" s="32" t="str">
        <f t="shared" si="1"/>
        <v>#N/A</v>
      </c>
      <c r="B745" s="32" t="str">
        <f t="shared" si="2"/>
        <v>#N/A</v>
      </c>
      <c r="C745" s="32" t="str">
        <f t="shared" si="3"/>
        <v>Week 10</v>
      </c>
      <c r="D745" s="32">
        <v>2022.0</v>
      </c>
      <c r="E745" t="str">
        <f t="shared" si="4"/>
        <v>10</v>
      </c>
      <c r="F745" t="str">
        <f t="shared" si="5"/>
        <v>TEAM MANAGER(S)</v>
      </c>
      <c r="G745" s="40" t="str">
        <f>VLOOKUP(F745,'Manager Coding'!C:D,2,0)</f>
        <v>#N/A</v>
      </c>
      <c r="H745" s="41" t="str">
        <f t="shared" si="6"/>
        <v>SCORE</v>
      </c>
      <c r="I745" t="str">
        <f t="shared" si="7"/>
        <v>TEAM MANAGER(S)</v>
      </c>
      <c r="J745" t="str">
        <f>VLOOKUP(I745,'Manager Coding'!C:D,2,0)</f>
        <v>#N/A</v>
      </c>
      <c r="K745" s="41" t="str">
        <f t="shared" si="8"/>
        <v>SCORE</v>
      </c>
      <c r="L745">
        <f t="shared" si="9"/>
        <v>0</v>
      </c>
      <c r="M745">
        <f t="shared" si="10"/>
        <v>0</v>
      </c>
      <c r="N745" s="116" t="s">
        <v>197</v>
      </c>
      <c r="O745" s="116" t="s">
        <v>88</v>
      </c>
      <c r="P745" s="117" t="s">
        <v>94</v>
      </c>
      <c r="Q745" s="116" t="s">
        <v>94</v>
      </c>
      <c r="R745" s="117" t="s">
        <v>88</v>
      </c>
      <c r="S745" s="117" t="s">
        <v>101</v>
      </c>
    </row>
    <row r="746" hidden="1">
      <c r="A746" s="32" t="str">
        <f t="shared" si="1"/>
        <v>2022CockWeek 10</v>
      </c>
      <c r="B746" s="32" t="str">
        <f t="shared" si="2"/>
        <v>2022HudspeathWeek 10</v>
      </c>
      <c r="C746" s="32" t="str">
        <f t="shared" si="3"/>
        <v>Week 10</v>
      </c>
      <c r="D746" s="32">
        <v>2022.0</v>
      </c>
      <c r="E746" t="str">
        <f t="shared" si="4"/>
        <v>10</v>
      </c>
      <c r="F746" t="str">
        <f t="shared" si="5"/>
        <v>Chris Cochrane</v>
      </c>
      <c r="G746" s="40" t="str">
        <f>VLOOKUP(F746,'Manager Coding'!C:D,2,0)</f>
        <v>Cock</v>
      </c>
      <c r="H746" s="41">
        <f t="shared" si="6"/>
        <v>62.22</v>
      </c>
      <c r="I746" t="str">
        <f t="shared" si="7"/>
        <v>matt hudspeath</v>
      </c>
      <c r="J746" t="str">
        <f>VLOOKUP(I746,'Manager Coding'!C:D,2,0)</f>
        <v>Hudspeath</v>
      </c>
      <c r="K746" s="41">
        <f t="shared" si="8"/>
        <v>87.6</v>
      </c>
      <c r="L746">
        <f t="shared" si="9"/>
        <v>0</v>
      </c>
      <c r="M746">
        <f t="shared" si="10"/>
        <v>1</v>
      </c>
      <c r="N746" s="128" t="s">
        <v>1913</v>
      </c>
      <c r="O746" s="129" t="s">
        <v>99</v>
      </c>
      <c r="P746" s="120">
        <v>62.22</v>
      </c>
      <c r="Q746" s="127">
        <v>87.6</v>
      </c>
      <c r="R746" s="130" t="s">
        <v>64</v>
      </c>
      <c r="S746" s="128" t="s">
        <v>1903</v>
      </c>
    </row>
    <row r="747" hidden="1">
      <c r="A747" s="32" t="str">
        <f t="shared" si="1"/>
        <v>2022SaltyWeek 10</v>
      </c>
      <c r="B747" s="32" t="str">
        <f t="shared" si="2"/>
        <v>2022TayskiWeek 10</v>
      </c>
      <c r="C747" s="32" t="str">
        <f t="shared" si="3"/>
        <v>Week 10</v>
      </c>
      <c r="D747" s="32">
        <v>2022.0</v>
      </c>
      <c r="E747" t="str">
        <f t="shared" si="4"/>
        <v>10</v>
      </c>
      <c r="F747" t="str">
        <f t="shared" si="5"/>
        <v>R Saltiel</v>
      </c>
      <c r="G747" s="40" t="str">
        <f>VLOOKUP(F747,'Manager Coding'!C:D,2,0)</f>
        <v>Salty</v>
      </c>
      <c r="H747" s="41">
        <f t="shared" si="6"/>
        <v>66.7</v>
      </c>
      <c r="I747" t="str">
        <f t="shared" si="7"/>
        <v>Taylor Weis</v>
      </c>
      <c r="J747" t="str">
        <f>VLOOKUP(I747,'Manager Coding'!C:D,2,0)</f>
        <v>Tayski</v>
      </c>
      <c r="K747" s="41">
        <f t="shared" si="8"/>
        <v>97.7</v>
      </c>
      <c r="L747">
        <f t="shared" si="9"/>
        <v>0</v>
      </c>
      <c r="M747">
        <f t="shared" si="10"/>
        <v>1</v>
      </c>
      <c r="N747" s="131" t="s">
        <v>1917</v>
      </c>
      <c r="O747" s="132" t="s">
        <v>77</v>
      </c>
      <c r="P747" s="120">
        <v>66.7</v>
      </c>
      <c r="Q747" s="127">
        <v>97.7</v>
      </c>
      <c r="R747" s="133" t="s">
        <v>54</v>
      </c>
      <c r="S747" s="131" t="s">
        <v>1910</v>
      </c>
    </row>
    <row r="748" hidden="1">
      <c r="A748" s="32" t="str">
        <f t="shared" si="1"/>
        <v>2022ShepWeek 10</v>
      </c>
      <c r="B748" s="32" t="str">
        <f t="shared" si="2"/>
        <v>2022KnardDawgWeek 10</v>
      </c>
      <c r="C748" s="32" t="str">
        <f t="shared" si="3"/>
        <v>Week 10</v>
      </c>
      <c r="D748" s="32">
        <v>2022.0</v>
      </c>
      <c r="E748" t="str">
        <f t="shared" si="4"/>
        <v>10</v>
      </c>
      <c r="F748" t="str">
        <f t="shared" si="5"/>
        <v>Jordan Shepherd</v>
      </c>
      <c r="G748" s="40" t="str">
        <f>VLOOKUP(F748,'Manager Coding'!C:D,2,0)</f>
        <v>Shep</v>
      </c>
      <c r="H748" s="41">
        <f t="shared" si="6"/>
        <v>105.74</v>
      </c>
      <c r="I748" t="str">
        <f t="shared" si="7"/>
        <v>Alex Kinniard, Jack Reilly</v>
      </c>
      <c r="J748" t="str">
        <f>VLOOKUP(I748,'Manager Coding'!C:D,2,0)</f>
        <v>KnardDawg</v>
      </c>
      <c r="K748" s="41">
        <f t="shared" si="8"/>
        <v>85.86</v>
      </c>
      <c r="L748">
        <f t="shared" si="9"/>
        <v>1</v>
      </c>
      <c r="M748">
        <f t="shared" si="10"/>
        <v>0</v>
      </c>
      <c r="N748" s="128" t="s">
        <v>1921</v>
      </c>
      <c r="O748" s="129" t="s">
        <v>91</v>
      </c>
      <c r="P748" s="120">
        <v>105.74</v>
      </c>
      <c r="Q748" s="127">
        <v>85.86</v>
      </c>
      <c r="R748" s="130" t="s">
        <v>87</v>
      </c>
      <c r="S748" s="128" t="s">
        <v>1906</v>
      </c>
    </row>
    <row r="749" hidden="1">
      <c r="A749" s="32" t="str">
        <f t="shared" si="1"/>
        <v>2022FellowsWeek 10</v>
      </c>
      <c r="B749" s="32" t="str">
        <f t="shared" si="2"/>
        <v>2022Rooney/JacksonWeek 10</v>
      </c>
      <c r="C749" s="32" t="str">
        <f t="shared" si="3"/>
        <v>Week 10</v>
      </c>
      <c r="D749" s="32">
        <v>2022.0</v>
      </c>
      <c r="E749" t="str">
        <f t="shared" si="4"/>
        <v>10</v>
      </c>
      <c r="F749" t="str">
        <f t="shared" si="5"/>
        <v>Michael Fellows</v>
      </c>
      <c r="G749" s="40" t="str">
        <f>VLOOKUP(F749,'Manager Coding'!C:D,2,0)</f>
        <v>Fellows</v>
      </c>
      <c r="H749" s="41">
        <f t="shared" si="6"/>
        <v>149.48</v>
      </c>
      <c r="I749" t="str">
        <f t="shared" si="7"/>
        <v>Stephen Rooney, Jackson Sattell</v>
      </c>
      <c r="J749" t="str">
        <f>VLOOKUP(I749,'Manager Coding'!C:D,2,0)</f>
        <v>Rooney/Jackson</v>
      </c>
      <c r="K749" s="41">
        <f t="shared" si="8"/>
        <v>111.3</v>
      </c>
      <c r="L749">
        <f t="shared" si="9"/>
        <v>1</v>
      </c>
      <c r="M749">
        <f t="shared" si="10"/>
        <v>0</v>
      </c>
      <c r="N749" s="131" t="s">
        <v>1922</v>
      </c>
      <c r="O749" s="132" t="s">
        <v>80</v>
      </c>
      <c r="P749" s="120">
        <v>149.48</v>
      </c>
      <c r="Q749" s="127">
        <v>111.3</v>
      </c>
      <c r="R749" s="133" t="s">
        <v>58</v>
      </c>
      <c r="S749" s="131" t="s">
        <v>1900</v>
      </c>
    </row>
    <row r="750" hidden="1">
      <c r="A750" s="32" t="str">
        <f t="shared" si="1"/>
        <v>2022RileyWeek 10</v>
      </c>
      <c r="B750" s="32" t="str">
        <f t="shared" si="2"/>
        <v>2022T-HowWeek 10</v>
      </c>
      <c r="C750" s="32" t="str">
        <f t="shared" si="3"/>
        <v>Week 10</v>
      </c>
      <c r="D750" s="32">
        <v>2022.0</v>
      </c>
      <c r="E750" t="str">
        <f t="shared" si="4"/>
        <v>10</v>
      </c>
      <c r="F750" t="str">
        <f t="shared" si="5"/>
        <v>Riley McElwain</v>
      </c>
      <c r="G750" s="40" t="str">
        <f>VLOOKUP(F750,'Manager Coding'!C:D,2,0)</f>
        <v>Riley</v>
      </c>
      <c r="H750" s="41">
        <f t="shared" si="6"/>
        <v>104.58</v>
      </c>
      <c r="I750" t="str">
        <f t="shared" si="7"/>
        <v>Tyler Howard</v>
      </c>
      <c r="J750" t="str">
        <f>VLOOKUP(I750,'Manager Coding'!C:D,2,0)</f>
        <v>T-How</v>
      </c>
      <c r="K750" s="41">
        <f t="shared" si="8"/>
        <v>66.68</v>
      </c>
      <c r="L750">
        <f t="shared" si="9"/>
        <v>1</v>
      </c>
      <c r="M750">
        <f t="shared" si="10"/>
        <v>0</v>
      </c>
      <c r="N750" s="128" t="s">
        <v>1920</v>
      </c>
      <c r="O750" s="129" t="s">
        <v>68</v>
      </c>
      <c r="P750" s="120">
        <v>104.58</v>
      </c>
      <c r="Q750" s="127">
        <v>66.68</v>
      </c>
      <c r="R750" s="130" t="s">
        <v>85</v>
      </c>
      <c r="S750" s="128" t="s">
        <v>1907</v>
      </c>
    </row>
    <row r="751" hidden="1">
      <c r="A751" s="32" t="str">
        <f t="shared" si="1"/>
        <v>2022BuserWeek 10</v>
      </c>
      <c r="B751" s="32" t="str">
        <f t="shared" si="2"/>
        <v>2022PiersonWeek 10</v>
      </c>
      <c r="C751" s="32" t="str">
        <f t="shared" si="3"/>
        <v>Week 10</v>
      </c>
      <c r="D751" s="32">
        <v>2022.0</v>
      </c>
      <c r="E751" t="str">
        <f t="shared" si="4"/>
        <v>10</v>
      </c>
      <c r="F751" t="str">
        <f t="shared" si="5"/>
        <v>Ed Buser</v>
      </c>
      <c r="G751" s="40" t="str">
        <f>VLOOKUP(F751,'Manager Coding'!C:D,2,0)</f>
        <v>Buser</v>
      </c>
      <c r="H751" s="41">
        <f t="shared" si="6"/>
        <v>78.6</v>
      </c>
      <c r="I751" t="str">
        <f t="shared" si="7"/>
        <v>Pierson Curtis</v>
      </c>
      <c r="J751" t="str">
        <f>VLOOKUP(I751,'Manager Coding'!C:D,2,0)</f>
        <v>Pierson</v>
      </c>
      <c r="K751" s="41">
        <f t="shared" si="8"/>
        <v>93.94</v>
      </c>
      <c r="L751">
        <f t="shared" si="9"/>
        <v>0</v>
      </c>
      <c r="M751">
        <f t="shared" si="10"/>
        <v>1</v>
      </c>
      <c r="N751" s="134" t="s">
        <v>1916</v>
      </c>
      <c r="O751" s="135" t="s">
        <v>50</v>
      </c>
      <c r="P751" s="82">
        <v>78.6</v>
      </c>
      <c r="Q751" s="88">
        <v>93.94</v>
      </c>
      <c r="R751" s="115" t="s">
        <v>93</v>
      </c>
      <c r="S751" s="134" t="s">
        <v>1912</v>
      </c>
    </row>
    <row r="752" hidden="1">
      <c r="A752" s="32" t="str">
        <f t="shared" si="1"/>
        <v>#N/A</v>
      </c>
      <c r="B752" s="32" t="str">
        <f t="shared" si="2"/>
        <v>#N/A</v>
      </c>
      <c r="C752" s="32" t="str">
        <f t="shared" si="3"/>
        <v>Week 10</v>
      </c>
      <c r="D752" s="32">
        <v>2022.0</v>
      </c>
      <c r="E752" t="str">
        <f t="shared" si="4"/>
        <v>10</v>
      </c>
      <c r="F752" t="str">
        <f t="shared" si="5"/>
        <v/>
      </c>
      <c r="G752" s="40" t="str">
        <f>VLOOKUP(F752,'Manager Coding'!C:D,2,0)</f>
        <v>#N/A</v>
      </c>
      <c r="H752" s="41" t="str">
        <f t="shared" si="6"/>
        <v/>
      </c>
      <c r="I752" t="str">
        <f t="shared" si="7"/>
        <v/>
      </c>
      <c r="J752" t="str">
        <f>VLOOKUP(I752,'Manager Coding'!C:D,2,0)</f>
        <v>#N/A</v>
      </c>
      <c r="K752" s="41" t="str">
        <f t="shared" si="8"/>
        <v/>
      </c>
      <c r="L752">
        <f t="shared" si="9"/>
        <v>0</v>
      </c>
      <c r="M752">
        <f t="shared" si="10"/>
        <v>0</v>
      </c>
      <c r="N752" s="91" t="s">
        <v>430</v>
      </c>
      <c r="P752" s="41"/>
      <c r="Q752" s="41"/>
    </row>
    <row r="753" hidden="1">
      <c r="A753" s="32" t="str">
        <f t="shared" si="1"/>
        <v>#N/A</v>
      </c>
      <c r="B753" s="32" t="str">
        <f t="shared" si="2"/>
        <v>#N/A</v>
      </c>
      <c r="C753" s="32" t="str">
        <f t="shared" si="3"/>
        <v>Week 11</v>
      </c>
      <c r="D753" s="32">
        <v>2022.0</v>
      </c>
      <c r="E753" t="str">
        <f t="shared" si="4"/>
        <v>11</v>
      </c>
      <c r="F753" t="str">
        <f t="shared" si="5"/>
        <v>TEAM MANAGER(S)</v>
      </c>
      <c r="G753" s="40" t="str">
        <f>VLOOKUP(F753,'Manager Coding'!C:D,2,0)</f>
        <v>#N/A</v>
      </c>
      <c r="H753" s="41" t="str">
        <f t="shared" si="6"/>
        <v>SCORE</v>
      </c>
      <c r="I753" t="str">
        <f t="shared" si="7"/>
        <v>TEAM MANAGER(S)</v>
      </c>
      <c r="J753" t="str">
        <f>VLOOKUP(I753,'Manager Coding'!C:D,2,0)</f>
        <v>#N/A</v>
      </c>
      <c r="K753" s="41" t="str">
        <f t="shared" si="8"/>
        <v>SCORE</v>
      </c>
      <c r="L753">
        <f t="shared" si="9"/>
        <v>0</v>
      </c>
      <c r="M753">
        <f t="shared" si="10"/>
        <v>0</v>
      </c>
      <c r="N753" s="116" t="s">
        <v>197</v>
      </c>
      <c r="O753" s="116" t="s">
        <v>88</v>
      </c>
      <c r="P753" s="117" t="s">
        <v>94</v>
      </c>
      <c r="Q753" s="116" t="s">
        <v>94</v>
      </c>
      <c r="R753" s="117" t="s">
        <v>88</v>
      </c>
      <c r="S753" s="117" t="s">
        <v>101</v>
      </c>
    </row>
    <row r="754" hidden="1">
      <c r="A754" s="32" t="str">
        <f t="shared" si="1"/>
        <v>2022HudspeathWeek 11</v>
      </c>
      <c r="B754" s="32" t="str">
        <f t="shared" si="2"/>
        <v>2022TayskiWeek 11</v>
      </c>
      <c r="C754" s="32" t="str">
        <f t="shared" si="3"/>
        <v>Week 11</v>
      </c>
      <c r="D754" s="32">
        <v>2022.0</v>
      </c>
      <c r="E754" t="str">
        <f t="shared" si="4"/>
        <v>11</v>
      </c>
      <c r="F754" t="str">
        <f t="shared" si="5"/>
        <v>matt hudspeath</v>
      </c>
      <c r="G754" s="40" t="str">
        <f>VLOOKUP(F754,'Manager Coding'!C:D,2,0)</f>
        <v>Hudspeath</v>
      </c>
      <c r="H754" s="41">
        <f t="shared" si="6"/>
        <v>84.14</v>
      </c>
      <c r="I754" t="str">
        <f t="shared" si="7"/>
        <v>Taylor Weis</v>
      </c>
      <c r="J754" t="str">
        <f>VLOOKUP(I754,'Manager Coding'!C:D,2,0)</f>
        <v>Tayski</v>
      </c>
      <c r="K754" s="41">
        <f t="shared" si="8"/>
        <v>111.34</v>
      </c>
      <c r="L754">
        <f t="shared" si="9"/>
        <v>0</v>
      </c>
      <c r="M754">
        <f t="shared" si="10"/>
        <v>1</v>
      </c>
      <c r="N754" s="128" t="s">
        <v>1903</v>
      </c>
      <c r="O754" s="129" t="s">
        <v>64</v>
      </c>
      <c r="P754" s="120">
        <v>84.14</v>
      </c>
      <c r="Q754" s="127">
        <v>111.34</v>
      </c>
      <c r="R754" s="130" t="s">
        <v>54</v>
      </c>
      <c r="S754" s="128" t="s">
        <v>1910</v>
      </c>
    </row>
    <row r="755" hidden="1">
      <c r="A755" s="32" t="str">
        <f t="shared" si="1"/>
        <v>2022KnardDawgWeek 11</v>
      </c>
      <c r="B755" s="32" t="str">
        <f t="shared" si="2"/>
        <v>2022CockWeek 11</v>
      </c>
      <c r="C755" s="32" t="str">
        <f t="shared" si="3"/>
        <v>Week 11</v>
      </c>
      <c r="D755" s="32">
        <v>2022.0</v>
      </c>
      <c r="E755" t="str">
        <f t="shared" si="4"/>
        <v>11</v>
      </c>
      <c r="F755" t="str">
        <f t="shared" si="5"/>
        <v>Alex Kinniard, Jack Reilly</v>
      </c>
      <c r="G755" s="40" t="str">
        <f>VLOOKUP(F755,'Manager Coding'!C:D,2,0)</f>
        <v>KnardDawg</v>
      </c>
      <c r="H755" s="41">
        <f t="shared" si="6"/>
        <v>102.58</v>
      </c>
      <c r="I755" t="str">
        <f t="shared" si="7"/>
        <v>Chris Cochrane</v>
      </c>
      <c r="J755" t="str">
        <f>VLOOKUP(I755,'Manager Coding'!C:D,2,0)</f>
        <v>Cock</v>
      </c>
      <c r="K755" s="41">
        <f t="shared" si="8"/>
        <v>94.36</v>
      </c>
      <c r="L755">
        <f t="shared" si="9"/>
        <v>1</v>
      </c>
      <c r="M755">
        <f t="shared" si="10"/>
        <v>0</v>
      </c>
      <c r="N755" s="131" t="s">
        <v>1906</v>
      </c>
      <c r="O755" s="132" t="s">
        <v>87</v>
      </c>
      <c r="P755" s="120">
        <v>102.58</v>
      </c>
      <c r="Q755" s="127">
        <v>94.36</v>
      </c>
      <c r="R755" s="133" t="s">
        <v>99</v>
      </c>
      <c r="S755" s="131" t="s">
        <v>1913</v>
      </c>
    </row>
    <row r="756" hidden="1">
      <c r="A756" s="32" t="str">
        <f t="shared" si="1"/>
        <v>2022Rooney/JacksonWeek 11</v>
      </c>
      <c r="B756" s="32" t="str">
        <f t="shared" si="2"/>
        <v>2022SaltyWeek 11</v>
      </c>
      <c r="C756" s="32" t="str">
        <f t="shared" si="3"/>
        <v>Week 11</v>
      </c>
      <c r="D756" s="32">
        <v>2022.0</v>
      </c>
      <c r="E756" t="str">
        <f t="shared" si="4"/>
        <v>11</v>
      </c>
      <c r="F756" t="str">
        <f t="shared" si="5"/>
        <v>Stephen Rooney, Jackson Sattell</v>
      </c>
      <c r="G756" s="40" t="str">
        <f>VLOOKUP(F756,'Manager Coding'!C:D,2,0)</f>
        <v>Rooney/Jackson</v>
      </c>
      <c r="H756" s="41">
        <f t="shared" si="6"/>
        <v>96.32</v>
      </c>
      <c r="I756" t="str">
        <f t="shared" si="7"/>
        <v>R Saltiel</v>
      </c>
      <c r="J756" t="str">
        <f>VLOOKUP(I756,'Manager Coding'!C:D,2,0)</f>
        <v>Salty</v>
      </c>
      <c r="K756" s="41">
        <f t="shared" si="8"/>
        <v>72.3</v>
      </c>
      <c r="L756">
        <f t="shared" si="9"/>
        <v>1</v>
      </c>
      <c r="M756">
        <f t="shared" si="10"/>
        <v>0</v>
      </c>
      <c r="N756" s="128" t="s">
        <v>1900</v>
      </c>
      <c r="O756" s="129" t="s">
        <v>58</v>
      </c>
      <c r="P756" s="120">
        <v>96.32</v>
      </c>
      <c r="Q756" s="127">
        <v>72.3</v>
      </c>
      <c r="R756" s="130" t="s">
        <v>77</v>
      </c>
      <c r="S756" s="128" t="s">
        <v>1917</v>
      </c>
    </row>
    <row r="757" hidden="1">
      <c r="A757" s="32" t="str">
        <f t="shared" si="1"/>
        <v>2022T-HowWeek 11</v>
      </c>
      <c r="B757" s="32" t="str">
        <f t="shared" si="2"/>
        <v>2022ShepWeek 11</v>
      </c>
      <c r="C757" s="32" t="str">
        <f t="shared" si="3"/>
        <v>Week 11</v>
      </c>
      <c r="D757" s="32">
        <v>2022.0</v>
      </c>
      <c r="E757" t="str">
        <f t="shared" si="4"/>
        <v>11</v>
      </c>
      <c r="F757" t="str">
        <f t="shared" si="5"/>
        <v>Tyler Howard</v>
      </c>
      <c r="G757" s="40" t="str">
        <f>VLOOKUP(F757,'Manager Coding'!C:D,2,0)</f>
        <v>T-How</v>
      </c>
      <c r="H757" s="41">
        <f t="shared" si="6"/>
        <v>95.66</v>
      </c>
      <c r="I757" t="str">
        <f t="shared" si="7"/>
        <v>Jordan Shepherd</v>
      </c>
      <c r="J757" t="str">
        <f>VLOOKUP(I757,'Manager Coding'!C:D,2,0)</f>
        <v>Shep</v>
      </c>
      <c r="K757" s="41">
        <f t="shared" si="8"/>
        <v>88.2</v>
      </c>
      <c r="L757">
        <f t="shared" si="9"/>
        <v>1</v>
      </c>
      <c r="M757">
        <f t="shared" si="10"/>
        <v>0</v>
      </c>
      <c r="N757" s="131" t="s">
        <v>1907</v>
      </c>
      <c r="O757" s="132" t="s">
        <v>85</v>
      </c>
      <c r="P757" s="120">
        <v>95.66</v>
      </c>
      <c r="Q757" s="127">
        <v>88.2</v>
      </c>
      <c r="R757" s="133" t="s">
        <v>91</v>
      </c>
      <c r="S757" s="131" t="s">
        <v>1921</v>
      </c>
    </row>
    <row r="758" hidden="1">
      <c r="A758" s="32" t="str">
        <f t="shared" si="1"/>
        <v>2022PiersonWeek 11</v>
      </c>
      <c r="B758" s="32" t="str">
        <f t="shared" si="2"/>
        <v>2022FellowsWeek 11</v>
      </c>
      <c r="C758" s="32" t="str">
        <f t="shared" si="3"/>
        <v>Week 11</v>
      </c>
      <c r="D758" s="32">
        <v>2022.0</v>
      </c>
      <c r="E758" t="str">
        <f t="shared" si="4"/>
        <v>11</v>
      </c>
      <c r="F758" t="str">
        <f t="shared" si="5"/>
        <v>Pierson Curtis</v>
      </c>
      <c r="G758" s="40" t="str">
        <f>VLOOKUP(F758,'Manager Coding'!C:D,2,0)</f>
        <v>Pierson</v>
      </c>
      <c r="H758" s="41">
        <f t="shared" si="6"/>
        <v>137.56</v>
      </c>
      <c r="I758" t="str">
        <f t="shared" si="7"/>
        <v>Michael Fellows</v>
      </c>
      <c r="J758" t="str">
        <f>VLOOKUP(I758,'Manager Coding'!C:D,2,0)</f>
        <v>Fellows</v>
      </c>
      <c r="K758" s="41">
        <f t="shared" si="8"/>
        <v>91.32</v>
      </c>
      <c r="L758">
        <f t="shared" si="9"/>
        <v>1</v>
      </c>
      <c r="M758">
        <f t="shared" si="10"/>
        <v>0</v>
      </c>
      <c r="N758" s="128" t="s">
        <v>1912</v>
      </c>
      <c r="O758" s="129" t="s">
        <v>93</v>
      </c>
      <c r="P758" s="120">
        <v>137.56</v>
      </c>
      <c r="Q758" s="127">
        <v>91.32</v>
      </c>
      <c r="R758" s="130" t="s">
        <v>80</v>
      </c>
      <c r="S758" s="128" t="s">
        <v>1922</v>
      </c>
    </row>
    <row r="759" hidden="1">
      <c r="A759" s="32" t="str">
        <f t="shared" si="1"/>
        <v>2022BuserWeek 11</v>
      </c>
      <c r="B759" s="32" t="str">
        <f t="shared" si="2"/>
        <v>2022RileyWeek 11</v>
      </c>
      <c r="C759" s="32" t="str">
        <f t="shared" si="3"/>
        <v>Week 11</v>
      </c>
      <c r="D759" s="32">
        <v>2022.0</v>
      </c>
      <c r="E759" t="str">
        <f t="shared" si="4"/>
        <v>11</v>
      </c>
      <c r="F759" t="str">
        <f t="shared" si="5"/>
        <v>Ed Buser</v>
      </c>
      <c r="G759" s="40" t="str">
        <f>VLOOKUP(F759,'Manager Coding'!C:D,2,0)</f>
        <v>Buser</v>
      </c>
      <c r="H759" s="41">
        <f t="shared" si="6"/>
        <v>99.2</v>
      </c>
      <c r="I759" t="str">
        <f t="shared" si="7"/>
        <v>Riley McElwain</v>
      </c>
      <c r="J759" t="str">
        <f>VLOOKUP(I759,'Manager Coding'!C:D,2,0)</f>
        <v>Riley</v>
      </c>
      <c r="K759" s="41">
        <f t="shared" si="8"/>
        <v>60.76</v>
      </c>
      <c r="L759">
        <f t="shared" si="9"/>
        <v>1</v>
      </c>
      <c r="M759">
        <f t="shared" si="10"/>
        <v>0</v>
      </c>
      <c r="N759" s="134" t="s">
        <v>1916</v>
      </c>
      <c r="O759" s="135" t="s">
        <v>50</v>
      </c>
      <c r="P759" s="82">
        <v>99.2</v>
      </c>
      <c r="Q759" s="88">
        <v>60.76</v>
      </c>
      <c r="R759" s="115" t="s">
        <v>68</v>
      </c>
      <c r="S759" s="134" t="s">
        <v>1920</v>
      </c>
    </row>
    <row r="760" hidden="1">
      <c r="A760" s="32" t="str">
        <f t="shared" si="1"/>
        <v>#N/A</v>
      </c>
      <c r="B760" s="32" t="str">
        <f t="shared" si="2"/>
        <v>#N/A</v>
      </c>
      <c r="C760" s="32" t="str">
        <f t="shared" si="3"/>
        <v>Week 11</v>
      </c>
      <c r="D760" s="32">
        <v>2022.0</v>
      </c>
      <c r="E760" t="str">
        <f t="shared" si="4"/>
        <v>11</v>
      </c>
      <c r="F760" t="str">
        <f t="shared" si="5"/>
        <v/>
      </c>
      <c r="G760" s="40" t="str">
        <f>VLOOKUP(F760,'Manager Coding'!C:D,2,0)</f>
        <v>#N/A</v>
      </c>
      <c r="H760" s="41" t="str">
        <f t="shared" si="6"/>
        <v/>
      </c>
      <c r="I760" t="str">
        <f t="shared" si="7"/>
        <v/>
      </c>
      <c r="J760" t="str">
        <f>VLOOKUP(I760,'Manager Coding'!C:D,2,0)</f>
        <v>#N/A</v>
      </c>
      <c r="K760" s="41" t="str">
        <f t="shared" si="8"/>
        <v/>
      </c>
      <c r="L760">
        <f t="shared" si="9"/>
        <v>0</v>
      </c>
      <c r="M760">
        <f t="shared" si="10"/>
        <v>0</v>
      </c>
      <c r="N760" s="91" t="s">
        <v>455</v>
      </c>
      <c r="P760" s="41"/>
      <c r="Q760" s="41"/>
    </row>
    <row r="761" hidden="1">
      <c r="A761" s="32" t="str">
        <f t="shared" si="1"/>
        <v>#N/A</v>
      </c>
      <c r="B761" s="32" t="str">
        <f t="shared" si="2"/>
        <v>#N/A</v>
      </c>
      <c r="C761" s="32" t="str">
        <f t="shared" si="3"/>
        <v>Week 12</v>
      </c>
      <c r="D761" s="32">
        <v>2022.0</v>
      </c>
      <c r="E761" t="str">
        <f t="shared" si="4"/>
        <v>12</v>
      </c>
      <c r="F761" t="str">
        <f t="shared" si="5"/>
        <v>TEAM MANAGER(S)</v>
      </c>
      <c r="G761" s="40" t="str">
        <f>VLOOKUP(F761,'Manager Coding'!C:D,2,0)</f>
        <v>#N/A</v>
      </c>
      <c r="H761" s="41" t="str">
        <f t="shared" si="6"/>
        <v>SCORE</v>
      </c>
      <c r="I761" t="str">
        <f t="shared" si="7"/>
        <v>TEAM MANAGER(S)</v>
      </c>
      <c r="J761" t="str">
        <f>VLOOKUP(I761,'Manager Coding'!C:D,2,0)</f>
        <v>#N/A</v>
      </c>
      <c r="K761" s="41" t="str">
        <f t="shared" si="8"/>
        <v>SCORE</v>
      </c>
      <c r="L761">
        <f t="shared" si="9"/>
        <v>0</v>
      </c>
      <c r="M761">
        <f t="shared" si="10"/>
        <v>0</v>
      </c>
      <c r="N761" s="116" t="s">
        <v>197</v>
      </c>
      <c r="O761" s="116" t="s">
        <v>88</v>
      </c>
      <c r="P761" s="117" t="s">
        <v>94</v>
      </c>
      <c r="Q761" s="116" t="s">
        <v>94</v>
      </c>
      <c r="R761" s="117" t="s">
        <v>88</v>
      </c>
      <c r="S761" s="117" t="s">
        <v>101</v>
      </c>
    </row>
    <row r="762" hidden="1">
      <c r="A762" s="32" t="str">
        <f t="shared" si="1"/>
        <v>2022KnardDawgWeek 12</v>
      </c>
      <c r="B762" s="32" t="str">
        <f t="shared" si="2"/>
        <v>2022HudspeathWeek 12</v>
      </c>
      <c r="C762" s="32" t="str">
        <f t="shared" si="3"/>
        <v>Week 12</v>
      </c>
      <c r="D762" s="32">
        <v>2022.0</v>
      </c>
      <c r="E762" t="str">
        <f t="shared" si="4"/>
        <v>12</v>
      </c>
      <c r="F762" t="str">
        <f t="shared" si="5"/>
        <v>Alex Kinniard, Jack Reilly</v>
      </c>
      <c r="G762" s="40" t="str">
        <f>VLOOKUP(F762,'Manager Coding'!C:D,2,0)</f>
        <v>KnardDawg</v>
      </c>
      <c r="H762" s="41">
        <f t="shared" si="6"/>
        <v>91.6</v>
      </c>
      <c r="I762" t="str">
        <f t="shared" si="7"/>
        <v>matt hudspeath</v>
      </c>
      <c r="J762" t="str">
        <f>VLOOKUP(I762,'Manager Coding'!C:D,2,0)</f>
        <v>Hudspeath</v>
      </c>
      <c r="K762" s="41">
        <f t="shared" si="8"/>
        <v>99.62</v>
      </c>
      <c r="L762">
        <f t="shared" si="9"/>
        <v>0</v>
      </c>
      <c r="M762">
        <f t="shared" si="10"/>
        <v>1</v>
      </c>
      <c r="N762" s="128" t="s">
        <v>1906</v>
      </c>
      <c r="O762" s="129" t="s">
        <v>87</v>
      </c>
      <c r="P762" s="120">
        <v>91.6</v>
      </c>
      <c r="Q762" s="127">
        <v>99.62</v>
      </c>
      <c r="R762" s="130" t="s">
        <v>64</v>
      </c>
      <c r="S762" s="128" t="s">
        <v>1903</v>
      </c>
    </row>
    <row r="763" hidden="1">
      <c r="A763" s="32" t="str">
        <f t="shared" si="1"/>
        <v>2022TayskiWeek 12</v>
      </c>
      <c r="B763" s="32" t="str">
        <f t="shared" si="2"/>
        <v>2022Rooney/JacksonWeek 12</v>
      </c>
      <c r="C763" s="32" t="str">
        <f t="shared" si="3"/>
        <v>Week 12</v>
      </c>
      <c r="D763" s="32">
        <v>2022.0</v>
      </c>
      <c r="E763" t="str">
        <f t="shared" si="4"/>
        <v>12</v>
      </c>
      <c r="F763" t="str">
        <f t="shared" si="5"/>
        <v>Taylor Weis</v>
      </c>
      <c r="G763" s="40" t="str">
        <f>VLOOKUP(F763,'Manager Coding'!C:D,2,0)</f>
        <v>Tayski</v>
      </c>
      <c r="H763" s="41">
        <f t="shared" si="6"/>
        <v>134.82</v>
      </c>
      <c r="I763" t="str">
        <f t="shared" si="7"/>
        <v>Stephen Rooney, Jackson Sattell</v>
      </c>
      <c r="J763" t="str">
        <f>VLOOKUP(I763,'Manager Coding'!C:D,2,0)</f>
        <v>Rooney/Jackson</v>
      </c>
      <c r="K763" s="41">
        <f t="shared" si="8"/>
        <v>72.38</v>
      </c>
      <c r="L763">
        <f t="shared" si="9"/>
        <v>1</v>
      </c>
      <c r="M763">
        <f t="shared" si="10"/>
        <v>0</v>
      </c>
      <c r="N763" s="131" t="s">
        <v>1910</v>
      </c>
      <c r="O763" s="132" t="s">
        <v>54</v>
      </c>
      <c r="P763" s="120">
        <v>134.82</v>
      </c>
      <c r="Q763" s="127">
        <v>72.38</v>
      </c>
      <c r="R763" s="133" t="s">
        <v>58</v>
      </c>
      <c r="S763" s="131" t="s">
        <v>1900</v>
      </c>
    </row>
    <row r="764" hidden="1">
      <c r="A764" s="32" t="str">
        <f t="shared" si="1"/>
        <v>2022CockWeek 12</v>
      </c>
      <c r="B764" s="32" t="str">
        <f t="shared" si="2"/>
        <v>2022T-HowWeek 12</v>
      </c>
      <c r="C764" s="32" t="str">
        <f t="shared" si="3"/>
        <v>Week 12</v>
      </c>
      <c r="D764" s="32">
        <v>2022.0</v>
      </c>
      <c r="E764" t="str">
        <f t="shared" si="4"/>
        <v>12</v>
      </c>
      <c r="F764" t="str">
        <f t="shared" si="5"/>
        <v>Chris Cochrane</v>
      </c>
      <c r="G764" s="40" t="str">
        <f>VLOOKUP(F764,'Manager Coding'!C:D,2,0)</f>
        <v>Cock</v>
      </c>
      <c r="H764" s="41">
        <f t="shared" si="6"/>
        <v>66.44</v>
      </c>
      <c r="I764" t="str">
        <f t="shared" si="7"/>
        <v>Tyler Howard</v>
      </c>
      <c r="J764" t="str">
        <f>VLOOKUP(I764,'Manager Coding'!C:D,2,0)</f>
        <v>T-How</v>
      </c>
      <c r="K764" s="41">
        <f t="shared" si="8"/>
        <v>81.36</v>
      </c>
      <c r="L764">
        <f t="shared" si="9"/>
        <v>0</v>
      </c>
      <c r="M764">
        <f t="shared" si="10"/>
        <v>1</v>
      </c>
      <c r="N764" s="128" t="s">
        <v>1913</v>
      </c>
      <c r="O764" s="129" t="s">
        <v>99</v>
      </c>
      <c r="P764" s="120">
        <v>66.44</v>
      </c>
      <c r="Q764" s="127">
        <v>81.36</v>
      </c>
      <c r="R764" s="130" t="s">
        <v>85</v>
      </c>
      <c r="S764" s="128" t="s">
        <v>1907</v>
      </c>
    </row>
    <row r="765" hidden="1">
      <c r="A765" s="32" t="str">
        <f t="shared" si="1"/>
        <v>2022SaltyWeek 12</v>
      </c>
      <c r="B765" s="32" t="str">
        <f t="shared" si="2"/>
        <v>2022PiersonWeek 12</v>
      </c>
      <c r="C765" s="32" t="str">
        <f t="shared" si="3"/>
        <v>Week 12</v>
      </c>
      <c r="D765" s="32">
        <v>2022.0</v>
      </c>
      <c r="E765" t="str">
        <f t="shared" si="4"/>
        <v>12</v>
      </c>
      <c r="F765" t="str">
        <f t="shared" si="5"/>
        <v>R Saltiel</v>
      </c>
      <c r="G765" s="40" t="str">
        <f>VLOOKUP(F765,'Manager Coding'!C:D,2,0)</f>
        <v>Salty</v>
      </c>
      <c r="H765" s="41">
        <f t="shared" si="6"/>
        <v>120.82</v>
      </c>
      <c r="I765" t="str">
        <f t="shared" si="7"/>
        <v>Pierson Curtis</v>
      </c>
      <c r="J765" t="str">
        <f>VLOOKUP(I765,'Manager Coding'!C:D,2,0)</f>
        <v>Pierson</v>
      </c>
      <c r="K765" s="41">
        <f t="shared" si="8"/>
        <v>82.8</v>
      </c>
      <c r="L765">
        <f t="shared" si="9"/>
        <v>1</v>
      </c>
      <c r="M765">
        <f t="shared" si="10"/>
        <v>0</v>
      </c>
      <c r="N765" s="131" t="s">
        <v>1917</v>
      </c>
      <c r="O765" s="132" t="s">
        <v>77</v>
      </c>
      <c r="P765" s="120">
        <v>120.82</v>
      </c>
      <c r="Q765" s="127">
        <v>82.8</v>
      </c>
      <c r="R765" s="133" t="s">
        <v>93</v>
      </c>
      <c r="S765" s="131" t="s">
        <v>1912</v>
      </c>
    </row>
    <row r="766" hidden="1">
      <c r="A766" s="32" t="str">
        <f t="shared" si="1"/>
        <v>2022ShepWeek 12</v>
      </c>
      <c r="B766" s="32" t="str">
        <f t="shared" si="2"/>
        <v>2022BuserWeek 12</v>
      </c>
      <c r="C766" s="32" t="str">
        <f t="shared" si="3"/>
        <v>Week 12</v>
      </c>
      <c r="D766" s="32">
        <v>2022.0</v>
      </c>
      <c r="E766" t="str">
        <f t="shared" si="4"/>
        <v>12</v>
      </c>
      <c r="F766" t="str">
        <f t="shared" si="5"/>
        <v>Jordan Shepherd</v>
      </c>
      <c r="G766" s="40" t="str">
        <f>VLOOKUP(F766,'Manager Coding'!C:D,2,0)</f>
        <v>Shep</v>
      </c>
      <c r="H766" s="41">
        <f t="shared" si="6"/>
        <v>98.1</v>
      </c>
      <c r="I766" t="str">
        <f t="shared" si="7"/>
        <v>Ed Buser</v>
      </c>
      <c r="J766" t="str">
        <f>VLOOKUP(I766,'Manager Coding'!C:D,2,0)</f>
        <v>Buser</v>
      </c>
      <c r="K766" s="41">
        <f t="shared" si="8"/>
        <v>106.86</v>
      </c>
      <c r="L766">
        <f t="shared" si="9"/>
        <v>0</v>
      </c>
      <c r="M766">
        <f t="shared" si="10"/>
        <v>1</v>
      </c>
      <c r="N766" s="128" t="s">
        <v>1921</v>
      </c>
      <c r="O766" s="129" t="s">
        <v>91</v>
      </c>
      <c r="P766" s="120">
        <v>98.1</v>
      </c>
      <c r="Q766" s="127">
        <v>106.86</v>
      </c>
      <c r="R766" s="130" t="s">
        <v>50</v>
      </c>
      <c r="S766" s="128" t="s">
        <v>1916</v>
      </c>
    </row>
    <row r="767" hidden="1">
      <c r="A767" s="32" t="str">
        <f t="shared" si="1"/>
        <v>2022FellowsWeek 12</v>
      </c>
      <c r="B767" s="32" t="str">
        <f t="shared" si="2"/>
        <v>2022RileyWeek 12</v>
      </c>
      <c r="C767" s="32" t="str">
        <f t="shared" si="3"/>
        <v>Week 12</v>
      </c>
      <c r="D767" s="32">
        <v>2022.0</v>
      </c>
      <c r="E767" t="str">
        <f t="shared" si="4"/>
        <v>12</v>
      </c>
      <c r="F767" t="str">
        <f t="shared" si="5"/>
        <v>Michael Fellows</v>
      </c>
      <c r="G767" s="40" t="str">
        <f>VLOOKUP(F767,'Manager Coding'!C:D,2,0)</f>
        <v>Fellows</v>
      </c>
      <c r="H767" s="41">
        <f t="shared" si="6"/>
        <v>122.08</v>
      </c>
      <c r="I767" t="str">
        <f t="shared" si="7"/>
        <v>Riley McElwain</v>
      </c>
      <c r="J767" t="str">
        <f>VLOOKUP(I767,'Manager Coding'!C:D,2,0)</f>
        <v>Riley</v>
      </c>
      <c r="K767" s="41">
        <f t="shared" si="8"/>
        <v>75.46</v>
      </c>
      <c r="L767">
        <f t="shared" si="9"/>
        <v>1</v>
      </c>
      <c r="M767">
        <f t="shared" si="10"/>
        <v>0</v>
      </c>
      <c r="N767" s="134" t="s">
        <v>1922</v>
      </c>
      <c r="O767" s="135" t="s">
        <v>80</v>
      </c>
      <c r="P767" s="82">
        <v>122.08</v>
      </c>
      <c r="Q767" s="88">
        <v>75.46</v>
      </c>
      <c r="R767" s="115" t="s">
        <v>68</v>
      </c>
      <c r="S767" s="134" t="s">
        <v>1920</v>
      </c>
    </row>
    <row r="768" hidden="1">
      <c r="A768" s="32" t="str">
        <f t="shared" si="1"/>
        <v>#N/A</v>
      </c>
      <c r="B768" s="32" t="str">
        <f t="shared" si="2"/>
        <v>#N/A</v>
      </c>
      <c r="C768" s="32" t="str">
        <f t="shared" si="3"/>
        <v>Week 12</v>
      </c>
      <c r="D768" s="32">
        <v>2022.0</v>
      </c>
      <c r="E768" t="str">
        <f t="shared" si="4"/>
        <v>12</v>
      </c>
      <c r="F768" t="str">
        <f t="shared" si="5"/>
        <v/>
      </c>
      <c r="G768" s="40" t="str">
        <f>VLOOKUP(F768,'Manager Coding'!C:D,2,0)</f>
        <v>#N/A</v>
      </c>
      <c r="H768" s="41" t="str">
        <f t="shared" si="6"/>
        <v/>
      </c>
      <c r="I768" t="str">
        <f t="shared" si="7"/>
        <v/>
      </c>
      <c r="J768" t="str">
        <f>VLOOKUP(I768,'Manager Coding'!C:D,2,0)</f>
        <v>#N/A</v>
      </c>
      <c r="K768" s="41" t="str">
        <f t="shared" si="8"/>
        <v/>
      </c>
      <c r="L768">
        <f t="shared" si="9"/>
        <v>0</v>
      </c>
      <c r="M768">
        <f t="shared" si="10"/>
        <v>0</v>
      </c>
      <c r="N768" s="91" t="s">
        <v>477</v>
      </c>
      <c r="O768" s="101"/>
      <c r="P768" s="151"/>
      <c r="Q768" s="151"/>
      <c r="R768" s="102"/>
      <c r="S768" s="100"/>
    </row>
    <row r="769" hidden="1">
      <c r="A769" s="32" t="str">
        <f t="shared" si="1"/>
        <v>#N/A</v>
      </c>
      <c r="B769" s="32" t="str">
        <f t="shared" si="2"/>
        <v>#N/A</v>
      </c>
      <c r="C769" s="32" t="str">
        <f t="shared" si="3"/>
        <v>Week 13</v>
      </c>
      <c r="D769" s="32">
        <v>2022.0</v>
      </c>
      <c r="E769" t="str">
        <f t="shared" si="4"/>
        <v>13</v>
      </c>
      <c r="F769" t="str">
        <f t="shared" si="5"/>
        <v>TEAM MANAGER(S)</v>
      </c>
      <c r="G769" s="40" t="str">
        <f>VLOOKUP(F769,'Manager Coding'!C:D,2,0)</f>
        <v>#N/A</v>
      </c>
      <c r="H769" s="41" t="str">
        <f t="shared" si="6"/>
        <v>SCORE</v>
      </c>
      <c r="I769" t="str">
        <f t="shared" si="7"/>
        <v>TEAM MANAGER(S)</v>
      </c>
      <c r="J769" t="str">
        <f>VLOOKUP(I769,'Manager Coding'!C:D,2,0)</f>
        <v>#N/A</v>
      </c>
      <c r="K769" s="41" t="str">
        <f t="shared" si="8"/>
        <v>SCORE</v>
      </c>
      <c r="L769">
        <f t="shared" si="9"/>
        <v>0</v>
      </c>
      <c r="M769">
        <f t="shared" si="10"/>
        <v>0</v>
      </c>
      <c r="N769" s="116" t="s">
        <v>197</v>
      </c>
      <c r="O769" s="116" t="s">
        <v>88</v>
      </c>
      <c r="P769" s="117" t="s">
        <v>94</v>
      </c>
      <c r="Q769" s="116" t="s">
        <v>94</v>
      </c>
      <c r="R769" s="117" t="s">
        <v>88</v>
      </c>
      <c r="S769" s="117" t="s">
        <v>101</v>
      </c>
    </row>
    <row r="770" hidden="1">
      <c r="A770" s="32" t="str">
        <f t="shared" si="1"/>
        <v>2022HudspeathWeek 13</v>
      </c>
      <c r="B770" s="32" t="str">
        <f t="shared" si="2"/>
        <v>2022Rooney/JacksonWeek 13</v>
      </c>
      <c r="C770" s="32" t="str">
        <f t="shared" si="3"/>
        <v>Week 13</v>
      </c>
      <c r="D770" s="32">
        <v>2022.0</v>
      </c>
      <c r="E770" t="str">
        <f t="shared" si="4"/>
        <v>13</v>
      </c>
      <c r="F770" t="str">
        <f t="shared" si="5"/>
        <v>matt hudspeath</v>
      </c>
      <c r="G770" s="40" t="str">
        <f>VLOOKUP(F770,'Manager Coding'!C:D,2,0)</f>
        <v>Hudspeath</v>
      </c>
      <c r="H770" s="41">
        <f t="shared" si="6"/>
        <v>93.34</v>
      </c>
      <c r="I770" t="str">
        <f t="shared" si="7"/>
        <v>Stephen Rooney, Jackson Sattell</v>
      </c>
      <c r="J770" t="str">
        <f>VLOOKUP(I770,'Manager Coding'!C:D,2,0)</f>
        <v>Rooney/Jackson</v>
      </c>
      <c r="K770" s="41">
        <f t="shared" si="8"/>
        <v>101.54</v>
      </c>
      <c r="L770">
        <f t="shared" si="9"/>
        <v>0</v>
      </c>
      <c r="M770">
        <f t="shared" si="10"/>
        <v>1</v>
      </c>
      <c r="N770" s="128" t="s">
        <v>1903</v>
      </c>
      <c r="O770" s="129" t="s">
        <v>64</v>
      </c>
      <c r="P770" s="120">
        <v>93.34</v>
      </c>
      <c r="Q770" s="127">
        <v>101.54</v>
      </c>
      <c r="R770" s="130" t="s">
        <v>58</v>
      </c>
      <c r="S770" s="128" t="s">
        <v>1900</v>
      </c>
    </row>
    <row r="771" hidden="1">
      <c r="A771" s="32" t="str">
        <f t="shared" si="1"/>
        <v>2022T-HowWeek 13</v>
      </c>
      <c r="B771" s="32" t="str">
        <f t="shared" si="2"/>
        <v>2022KnardDawgWeek 13</v>
      </c>
      <c r="C771" s="32" t="str">
        <f t="shared" si="3"/>
        <v>Week 13</v>
      </c>
      <c r="D771" s="32">
        <v>2022.0</v>
      </c>
      <c r="E771" t="str">
        <f t="shared" si="4"/>
        <v>13</v>
      </c>
      <c r="F771" t="str">
        <f t="shared" si="5"/>
        <v>Tyler Howard</v>
      </c>
      <c r="G771" s="40" t="str">
        <f>VLOOKUP(F771,'Manager Coding'!C:D,2,0)</f>
        <v>T-How</v>
      </c>
      <c r="H771" s="41">
        <f t="shared" si="6"/>
        <v>108.86</v>
      </c>
      <c r="I771" t="str">
        <f t="shared" si="7"/>
        <v>Alex Kinniard, Jack Reilly</v>
      </c>
      <c r="J771" t="str">
        <f>VLOOKUP(I771,'Manager Coding'!C:D,2,0)</f>
        <v>KnardDawg</v>
      </c>
      <c r="K771" s="41">
        <f t="shared" si="8"/>
        <v>83.68</v>
      </c>
      <c r="L771">
        <f t="shared" si="9"/>
        <v>1</v>
      </c>
      <c r="M771">
        <f t="shared" si="10"/>
        <v>0</v>
      </c>
      <c r="N771" s="131" t="s">
        <v>1907</v>
      </c>
      <c r="O771" s="132" t="s">
        <v>85</v>
      </c>
      <c r="P771" s="120">
        <v>108.86</v>
      </c>
      <c r="Q771" s="127">
        <v>83.68</v>
      </c>
      <c r="R771" s="133" t="s">
        <v>87</v>
      </c>
      <c r="S771" s="131" t="s">
        <v>1906</v>
      </c>
    </row>
    <row r="772" hidden="1">
      <c r="A772" s="32" t="str">
        <f t="shared" si="1"/>
        <v>2022PiersonWeek 13</v>
      </c>
      <c r="B772" s="32" t="str">
        <f t="shared" si="2"/>
        <v>2022TayskiWeek 13</v>
      </c>
      <c r="C772" s="32" t="str">
        <f t="shared" si="3"/>
        <v>Week 13</v>
      </c>
      <c r="D772" s="32">
        <v>2022.0</v>
      </c>
      <c r="E772" t="str">
        <f t="shared" si="4"/>
        <v>13</v>
      </c>
      <c r="F772" t="str">
        <f t="shared" si="5"/>
        <v>Pierson Curtis</v>
      </c>
      <c r="G772" s="40" t="str">
        <f>VLOOKUP(F772,'Manager Coding'!C:D,2,0)</f>
        <v>Pierson</v>
      </c>
      <c r="H772" s="41">
        <f t="shared" si="6"/>
        <v>95.92</v>
      </c>
      <c r="I772" t="str">
        <f t="shared" si="7"/>
        <v>Taylor Weis</v>
      </c>
      <c r="J772" t="str">
        <f>VLOOKUP(I772,'Manager Coding'!C:D,2,0)</f>
        <v>Tayski</v>
      </c>
      <c r="K772" s="41">
        <f t="shared" si="8"/>
        <v>111.92</v>
      </c>
      <c r="L772">
        <f t="shared" si="9"/>
        <v>0</v>
      </c>
      <c r="M772">
        <f t="shared" si="10"/>
        <v>1</v>
      </c>
      <c r="N772" s="128" t="s">
        <v>1912</v>
      </c>
      <c r="O772" s="129" t="s">
        <v>93</v>
      </c>
      <c r="P772" s="120">
        <v>95.92</v>
      </c>
      <c r="Q772" s="127">
        <v>111.92</v>
      </c>
      <c r="R772" s="130" t="s">
        <v>54</v>
      </c>
      <c r="S772" s="128" t="s">
        <v>1910</v>
      </c>
    </row>
    <row r="773" hidden="1">
      <c r="A773" s="32" t="str">
        <f t="shared" si="1"/>
        <v>2022BuserWeek 13</v>
      </c>
      <c r="B773" s="32" t="str">
        <f t="shared" si="2"/>
        <v>2022CockWeek 13</v>
      </c>
      <c r="C773" s="32" t="str">
        <f t="shared" si="3"/>
        <v>Week 13</v>
      </c>
      <c r="D773" s="32">
        <v>2022.0</v>
      </c>
      <c r="E773" t="str">
        <f t="shared" si="4"/>
        <v>13</v>
      </c>
      <c r="F773" t="str">
        <f t="shared" si="5"/>
        <v>Ed Buser</v>
      </c>
      <c r="G773" s="40" t="str">
        <f>VLOOKUP(F773,'Manager Coding'!C:D,2,0)</f>
        <v>Buser</v>
      </c>
      <c r="H773" s="41">
        <f t="shared" si="6"/>
        <v>98.9</v>
      </c>
      <c r="I773" t="str">
        <f t="shared" si="7"/>
        <v>Chris Cochrane</v>
      </c>
      <c r="J773" t="str">
        <f>VLOOKUP(I773,'Manager Coding'!C:D,2,0)</f>
        <v>Cock</v>
      </c>
      <c r="K773" s="41">
        <f t="shared" si="8"/>
        <v>84.64</v>
      </c>
      <c r="L773">
        <f t="shared" si="9"/>
        <v>1</v>
      </c>
      <c r="M773">
        <f t="shared" si="10"/>
        <v>0</v>
      </c>
      <c r="N773" s="131" t="s">
        <v>1916</v>
      </c>
      <c r="O773" s="132" t="s">
        <v>50</v>
      </c>
      <c r="P773" s="120">
        <v>98.9</v>
      </c>
      <c r="Q773" s="127">
        <v>84.64</v>
      </c>
      <c r="R773" s="133" t="s">
        <v>99</v>
      </c>
      <c r="S773" s="131" t="s">
        <v>1913</v>
      </c>
    </row>
    <row r="774" hidden="1">
      <c r="A774" s="32" t="str">
        <f t="shared" si="1"/>
        <v>2022RileyWeek 13</v>
      </c>
      <c r="B774" s="32" t="str">
        <f t="shared" si="2"/>
        <v>2022SaltyWeek 13</v>
      </c>
      <c r="C774" s="32" t="str">
        <f t="shared" si="3"/>
        <v>Week 13</v>
      </c>
      <c r="D774" s="32">
        <v>2022.0</v>
      </c>
      <c r="E774" t="str">
        <f t="shared" si="4"/>
        <v>13</v>
      </c>
      <c r="F774" t="str">
        <f t="shared" si="5"/>
        <v>Riley McElwain</v>
      </c>
      <c r="G774" s="40" t="str">
        <f>VLOOKUP(F774,'Manager Coding'!C:D,2,0)</f>
        <v>Riley</v>
      </c>
      <c r="H774" s="41">
        <f t="shared" si="6"/>
        <v>61.24</v>
      </c>
      <c r="I774" t="str">
        <f t="shared" si="7"/>
        <v>R Saltiel</v>
      </c>
      <c r="J774" t="str">
        <f>VLOOKUP(I774,'Manager Coding'!C:D,2,0)</f>
        <v>Salty</v>
      </c>
      <c r="K774" s="41">
        <f t="shared" si="8"/>
        <v>90.9</v>
      </c>
      <c r="L774">
        <f t="shared" si="9"/>
        <v>0</v>
      </c>
      <c r="M774">
        <f t="shared" si="10"/>
        <v>1</v>
      </c>
      <c r="N774" s="128" t="s">
        <v>1920</v>
      </c>
      <c r="O774" s="129" t="s">
        <v>68</v>
      </c>
      <c r="P774" s="120">
        <v>61.24</v>
      </c>
      <c r="Q774" s="127">
        <v>90.9</v>
      </c>
      <c r="R774" s="130" t="s">
        <v>77</v>
      </c>
      <c r="S774" s="128" t="s">
        <v>1917</v>
      </c>
    </row>
    <row r="775" hidden="1">
      <c r="A775" s="32" t="str">
        <f t="shared" si="1"/>
        <v>2022FellowsWeek 13</v>
      </c>
      <c r="B775" s="32" t="str">
        <f t="shared" si="2"/>
        <v>2022ShepWeek 13</v>
      </c>
      <c r="C775" s="32" t="str">
        <f t="shared" si="3"/>
        <v>Week 13</v>
      </c>
      <c r="D775" s="32">
        <v>2022.0</v>
      </c>
      <c r="E775" t="str">
        <f t="shared" si="4"/>
        <v>13</v>
      </c>
      <c r="F775" t="str">
        <f t="shared" si="5"/>
        <v>Michael Fellows</v>
      </c>
      <c r="G775" s="40" t="str">
        <f>VLOOKUP(F775,'Manager Coding'!C:D,2,0)</f>
        <v>Fellows</v>
      </c>
      <c r="H775" s="41">
        <f t="shared" si="6"/>
        <v>90.26</v>
      </c>
      <c r="I775" t="str">
        <f t="shared" si="7"/>
        <v>Jordan Shepherd</v>
      </c>
      <c r="J775" t="str">
        <f>VLOOKUP(I775,'Manager Coding'!C:D,2,0)</f>
        <v>Shep</v>
      </c>
      <c r="K775" s="41">
        <f t="shared" si="8"/>
        <v>96.34</v>
      </c>
      <c r="L775">
        <f t="shared" si="9"/>
        <v>0</v>
      </c>
      <c r="M775">
        <f t="shared" si="10"/>
        <v>1</v>
      </c>
      <c r="N775" s="134" t="s">
        <v>1922</v>
      </c>
      <c r="O775" s="135" t="s">
        <v>80</v>
      </c>
      <c r="P775" s="82">
        <v>90.26</v>
      </c>
      <c r="Q775" s="88">
        <v>96.34</v>
      </c>
      <c r="R775" s="115" t="s">
        <v>91</v>
      </c>
      <c r="S775" s="134" t="s">
        <v>1921</v>
      </c>
    </row>
    <row r="776" hidden="1">
      <c r="A776" s="32" t="str">
        <f t="shared" si="1"/>
        <v>#N/A</v>
      </c>
      <c r="B776" s="32" t="str">
        <f t="shared" si="2"/>
        <v>#N/A</v>
      </c>
      <c r="C776" s="32" t="str">
        <f t="shared" si="3"/>
        <v>Week 13</v>
      </c>
      <c r="D776" s="32">
        <v>2022.0</v>
      </c>
      <c r="E776" t="str">
        <f t="shared" si="4"/>
        <v>13</v>
      </c>
      <c r="F776" t="str">
        <f t="shared" si="5"/>
        <v/>
      </c>
      <c r="G776" s="40" t="str">
        <f>VLOOKUP(F776,'Manager Coding'!C:D,2,0)</f>
        <v>#N/A</v>
      </c>
      <c r="H776" s="41" t="str">
        <f t="shared" si="6"/>
        <v/>
      </c>
      <c r="I776" t="str">
        <f t="shared" si="7"/>
        <v/>
      </c>
      <c r="J776" t="str">
        <f>VLOOKUP(I776,'Manager Coding'!C:D,2,0)</f>
        <v>#N/A</v>
      </c>
      <c r="K776" s="41" t="str">
        <f t="shared" si="8"/>
        <v/>
      </c>
      <c r="L776">
        <f t="shared" si="9"/>
        <v>0</v>
      </c>
      <c r="M776">
        <f t="shared" si="10"/>
        <v>0</v>
      </c>
      <c r="N776" s="91" t="s">
        <v>1773</v>
      </c>
      <c r="O776" s="138"/>
      <c r="P776" s="148"/>
      <c r="Q776" s="148"/>
      <c r="R776" s="141"/>
      <c r="S776" s="142"/>
    </row>
    <row r="777" hidden="1">
      <c r="A777" s="32" t="str">
        <f t="shared" si="1"/>
        <v>#N/A</v>
      </c>
      <c r="B777" s="32" t="str">
        <f t="shared" si="2"/>
        <v>#N/A</v>
      </c>
      <c r="C777" s="32" t="str">
        <f t="shared" si="3"/>
        <v>Week 14</v>
      </c>
      <c r="D777" s="32">
        <v>2022.0</v>
      </c>
      <c r="E777" t="str">
        <f t="shared" si="4"/>
        <v>14</v>
      </c>
      <c r="F777" t="str">
        <f t="shared" si="5"/>
        <v>TEAM MANAGER(S)</v>
      </c>
      <c r="G777" s="40" t="str">
        <f>VLOOKUP(F777,'Manager Coding'!C:D,2,0)</f>
        <v>#N/A</v>
      </c>
      <c r="H777" s="41" t="str">
        <f t="shared" si="6"/>
        <v>SCORE</v>
      </c>
      <c r="I777" t="str">
        <f t="shared" si="7"/>
        <v>TEAM MANAGER(S)</v>
      </c>
      <c r="J777" t="str">
        <f>VLOOKUP(I777,'Manager Coding'!C:D,2,0)</f>
        <v>#N/A</v>
      </c>
      <c r="K777" s="41" t="str">
        <f t="shared" si="8"/>
        <v>SCORE</v>
      </c>
      <c r="L777">
        <f t="shared" si="9"/>
        <v>0</v>
      </c>
      <c r="M777">
        <f t="shared" si="10"/>
        <v>0</v>
      </c>
      <c r="N777" s="116" t="s">
        <v>197</v>
      </c>
      <c r="O777" s="116" t="s">
        <v>88</v>
      </c>
      <c r="P777" s="117" t="s">
        <v>94</v>
      </c>
      <c r="Q777" s="116" t="s">
        <v>94</v>
      </c>
      <c r="R777" s="117" t="s">
        <v>88</v>
      </c>
      <c r="S777" s="117" t="s">
        <v>101</v>
      </c>
    </row>
    <row r="778" hidden="1">
      <c r="A778" s="32" t="str">
        <f t="shared" si="1"/>
        <v>2022T-HowWeek 14</v>
      </c>
      <c r="B778" s="32" t="str">
        <f t="shared" si="2"/>
        <v>2022HudspeathWeek 14</v>
      </c>
      <c r="C778" s="32" t="str">
        <f t="shared" si="3"/>
        <v>Week 14</v>
      </c>
      <c r="D778" s="32">
        <v>2022.0</v>
      </c>
      <c r="E778" t="str">
        <f t="shared" si="4"/>
        <v>14</v>
      </c>
      <c r="F778" t="str">
        <f t="shared" si="5"/>
        <v>Tyler Howard</v>
      </c>
      <c r="G778" s="40" t="str">
        <f>VLOOKUP(F778,'Manager Coding'!C:D,2,0)</f>
        <v>T-How</v>
      </c>
      <c r="H778" s="41">
        <f t="shared" si="6"/>
        <v>74.1</v>
      </c>
      <c r="I778" t="str">
        <f t="shared" si="7"/>
        <v>matt hudspeath</v>
      </c>
      <c r="J778" t="str">
        <f>VLOOKUP(I778,'Manager Coding'!C:D,2,0)</f>
        <v>Hudspeath</v>
      </c>
      <c r="K778" s="41">
        <f t="shared" si="8"/>
        <v>78.86</v>
      </c>
      <c r="L778">
        <f t="shared" si="9"/>
        <v>0</v>
      </c>
      <c r="M778">
        <f t="shared" si="10"/>
        <v>1</v>
      </c>
      <c r="N778" s="128" t="s">
        <v>1907</v>
      </c>
      <c r="O778" s="129" t="s">
        <v>85</v>
      </c>
      <c r="P778" s="120">
        <v>74.1</v>
      </c>
      <c r="Q778" s="127">
        <v>78.86</v>
      </c>
      <c r="R778" s="130" t="s">
        <v>64</v>
      </c>
      <c r="S778" s="128" t="s">
        <v>1903</v>
      </c>
    </row>
    <row r="779" hidden="1">
      <c r="A779" s="32" t="str">
        <f t="shared" si="1"/>
        <v>2022Rooney/JacksonWeek 14</v>
      </c>
      <c r="B779" s="32" t="str">
        <f t="shared" si="2"/>
        <v>2022PiersonWeek 14</v>
      </c>
      <c r="C779" s="32" t="str">
        <f t="shared" si="3"/>
        <v>Week 14</v>
      </c>
      <c r="D779" s="32">
        <v>2022.0</v>
      </c>
      <c r="E779" t="str">
        <f t="shared" si="4"/>
        <v>14</v>
      </c>
      <c r="F779" t="str">
        <f t="shared" si="5"/>
        <v>Stephen Rooney, Jackson Sattell</v>
      </c>
      <c r="G779" s="40" t="str">
        <f>VLOOKUP(F779,'Manager Coding'!C:D,2,0)</f>
        <v>Rooney/Jackson</v>
      </c>
      <c r="H779" s="41">
        <f t="shared" si="6"/>
        <v>71.06</v>
      </c>
      <c r="I779" t="str">
        <f t="shared" si="7"/>
        <v>Pierson Curtis</v>
      </c>
      <c r="J779" t="str">
        <f>VLOOKUP(I779,'Manager Coding'!C:D,2,0)</f>
        <v>Pierson</v>
      </c>
      <c r="K779" s="41">
        <f t="shared" si="8"/>
        <v>123.68</v>
      </c>
      <c r="L779">
        <f t="shared" si="9"/>
        <v>0</v>
      </c>
      <c r="M779">
        <f t="shared" si="10"/>
        <v>1</v>
      </c>
      <c r="N779" s="131" t="s">
        <v>1900</v>
      </c>
      <c r="O779" s="132" t="s">
        <v>58</v>
      </c>
      <c r="P779" s="120">
        <v>71.06</v>
      </c>
      <c r="Q779" s="127">
        <v>123.68</v>
      </c>
      <c r="R779" s="133" t="s">
        <v>93</v>
      </c>
      <c r="S779" s="131" t="s">
        <v>1912</v>
      </c>
    </row>
    <row r="780" hidden="1">
      <c r="A780" s="32" t="str">
        <f t="shared" si="1"/>
        <v>2022KnardDawgWeek 14</v>
      </c>
      <c r="B780" s="32" t="str">
        <f t="shared" si="2"/>
        <v>2022BuserWeek 14</v>
      </c>
      <c r="C780" s="32" t="str">
        <f t="shared" si="3"/>
        <v>Week 14</v>
      </c>
      <c r="D780" s="32">
        <v>2022.0</v>
      </c>
      <c r="E780" t="str">
        <f t="shared" si="4"/>
        <v>14</v>
      </c>
      <c r="F780" t="str">
        <f t="shared" si="5"/>
        <v>Alex Kinniard, Jack Reilly</v>
      </c>
      <c r="G780" s="40" t="str">
        <f>VLOOKUP(F780,'Manager Coding'!C:D,2,0)</f>
        <v>KnardDawg</v>
      </c>
      <c r="H780" s="41">
        <f t="shared" si="6"/>
        <v>59.76</v>
      </c>
      <c r="I780" t="str">
        <f t="shared" si="7"/>
        <v>Ed Buser</v>
      </c>
      <c r="J780" t="str">
        <f>VLOOKUP(I780,'Manager Coding'!C:D,2,0)</f>
        <v>Buser</v>
      </c>
      <c r="K780" s="41">
        <f t="shared" si="8"/>
        <v>64</v>
      </c>
      <c r="L780">
        <f t="shared" si="9"/>
        <v>0</v>
      </c>
      <c r="M780">
        <f t="shared" si="10"/>
        <v>1</v>
      </c>
      <c r="N780" s="128" t="s">
        <v>1906</v>
      </c>
      <c r="O780" s="129" t="s">
        <v>87</v>
      </c>
      <c r="P780" s="120">
        <v>59.76</v>
      </c>
      <c r="Q780" s="127">
        <v>64.0</v>
      </c>
      <c r="R780" s="130" t="s">
        <v>50</v>
      </c>
      <c r="S780" s="128" t="s">
        <v>1916</v>
      </c>
    </row>
    <row r="781" hidden="1">
      <c r="A781" s="32" t="str">
        <f t="shared" si="1"/>
        <v>2022TayskiWeek 14</v>
      </c>
      <c r="B781" s="32" t="str">
        <f t="shared" si="2"/>
        <v>2022RileyWeek 14</v>
      </c>
      <c r="C781" s="32" t="str">
        <f t="shared" si="3"/>
        <v>Week 14</v>
      </c>
      <c r="D781" s="32">
        <v>2022.0</v>
      </c>
      <c r="E781" t="str">
        <f t="shared" si="4"/>
        <v>14</v>
      </c>
      <c r="F781" t="str">
        <f t="shared" si="5"/>
        <v>Taylor Weis</v>
      </c>
      <c r="G781" s="40" t="str">
        <f>VLOOKUP(F781,'Manager Coding'!C:D,2,0)</f>
        <v>Tayski</v>
      </c>
      <c r="H781" s="41">
        <f t="shared" si="6"/>
        <v>97.18</v>
      </c>
      <c r="I781" t="str">
        <f t="shared" si="7"/>
        <v>Riley McElwain</v>
      </c>
      <c r="J781" t="str">
        <f>VLOOKUP(I781,'Manager Coding'!C:D,2,0)</f>
        <v>Riley</v>
      </c>
      <c r="K781" s="41">
        <f t="shared" si="8"/>
        <v>88.5</v>
      </c>
      <c r="L781">
        <f t="shared" si="9"/>
        <v>1</v>
      </c>
      <c r="M781">
        <f t="shared" si="10"/>
        <v>0</v>
      </c>
      <c r="N781" s="131" t="s">
        <v>1910</v>
      </c>
      <c r="O781" s="132" t="s">
        <v>54</v>
      </c>
      <c r="P781" s="120">
        <v>97.18</v>
      </c>
      <c r="Q781" s="127">
        <v>88.5</v>
      </c>
      <c r="R781" s="133" t="s">
        <v>68</v>
      </c>
      <c r="S781" s="131" t="s">
        <v>1920</v>
      </c>
    </row>
    <row r="782" hidden="1">
      <c r="A782" s="32" t="str">
        <f t="shared" si="1"/>
        <v>2022CockWeek 14</v>
      </c>
      <c r="B782" s="32" t="str">
        <f t="shared" si="2"/>
        <v>2022FellowsWeek 14</v>
      </c>
      <c r="C782" s="32" t="str">
        <f t="shared" si="3"/>
        <v>Week 14</v>
      </c>
      <c r="D782" s="32">
        <v>2022.0</v>
      </c>
      <c r="E782" t="str">
        <f t="shared" si="4"/>
        <v>14</v>
      </c>
      <c r="F782" t="str">
        <f t="shared" si="5"/>
        <v>Chris Cochrane</v>
      </c>
      <c r="G782" s="40" t="str">
        <f>VLOOKUP(F782,'Manager Coding'!C:D,2,0)</f>
        <v>Cock</v>
      </c>
      <c r="H782" s="41">
        <f t="shared" si="6"/>
        <v>76.92</v>
      </c>
      <c r="I782" t="str">
        <f t="shared" si="7"/>
        <v>Michael Fellows</v>
      </c>
      <c r="J782" t="str">
        <f>VLOOKUP(I782,'Manager Coding'!C:D,2,0)</f>
        <v>Fellows</v>
      </c>
      <c r="K782" s="41">
        <f t="shared" si="8"/>
        <v>85.62</v>
      </c>
      <c r="L782">
        <f t="shared" si="9"/>
        <v>0</v>
      </c>
      <c r="M782">
        <f t="shared" si="10"/>
        <v>1</v>
      </c>
      <c r="N782" s="128" t="s">
        <v>1913</v>
      </c>
      <c r="O782" s="129" t="s">
        <v>99</v>
      </c>
      <c r="P782" s="120">
        <v>76.92</v>
      </c>
      <c r="Q782" s="127">
        <v>85.62</v>
      </c>
      <c r="R782" s="130" t="s">
        <v>80</v>
      </c>
      <c r="S782" s="128" t="s">
        <v>1922</v>
      </c>
    </row>
    <row r="783" hidden="1">
      <c r="A783" s="32" t="str">
        <f t="shared" si="1"/>
        <v>2022SaltyWeek 14</v>
      </c>
      <c r="B783" s="32" t="str">
        <f t="shared" si="2"/>
        <v>2022ShepWeek 14</v>
      </c>
      <c r="C783" s="32" t="str">
        <f t="shared" si="3"/>
        <v>Week 14</v>
      </c>
      <c r="D783" s="32">
        <v>2022.0</v>
      </c>
      <c r="E783" t="str">
        <f t="shared" si="4"/>
        <v>14</v>
      </c>
      <c r="F783" t="str">
        <f t="shared" si="5"/>
        <v>R Saltiel</v>
      </c>
      <c r="G783" s="40" t="str">
        <f>VLOOKUP(F783,'Manager Coding'!C:D,2,0)</f>
        <v>Salty</v>
      </c>
      <c r="H783" s="41">
        <f t="shared" si="6"/>
        <v>133.98</v>
      </c>
      <c r="I783" t="str">
        <f t="shared" si="7"/>
        <v>Jordan Shepherd</v>
      </c>
      <c r="J783" t="str">
        <f>VLOOKUP(I783,'Manager Coding'!C:D,2,0)</f>
        <v>Shep</v>
      </c>
      <c r="K783" s="41">
        <f t="shared" si="8"/>
        <v>72.56</v>
      </c>
      <c r="L783">
        <f t="shared" si="9"/>
        <v>1</v>
      </c>
      <c r="M783">
        <f t="shared" si="10"/>
        <v>0</v>
      </c>
      <c r="N783" s="134" t="s">
        <v>1917</v>
      </c>
      <c r="O783" s="135" t="s">
        <v>77</v>
      </c>
      <c r="P783" s="82">
        <v>133.98</v>
      </c>
      <c r="Q783" s="88">
        <v>72.56</v>
      </c>
      <c r="R783" s="115" t="s">
        <v>91</v>
      </c>
      <c r="S783" s="134" t="s">
        <v>1921</v>
      </c>
    </row>
    <row r="784" hidden="1">
      <c r="A784" s="32" t="str">
        <f t="shared" si="1"/>
        <v>#N/A</v>
      </c>
      <c r="B784" s="32" t="str">
        <f t="shared" si="2"/>
        <v>#N/A</v>
      </c>
      <c r="C784" s="32" t="str">
        <f t="shared" si="3"/>
        <v>Week 14</v>
      </c>
      <c r="D784" s="32">
        <v>2022.0</v>
      </c>
      <c r="E784" t="str">
        <f t="shared" si="4"/>
        <v>14</v>
      </c>
      <c r="F784" t="str">
        <f t="shared" si="5"/>
        <v/>
      </c>
      <c r="G784" s="40" t="str">
        <f>VLOOKUP(F784,'Manager Coding'!C:D,2,0)</f>
        <v>#N/A</v>
      </c>
      <c r="H784" s="41" t="str">
        <f t="shared" si="6"/>
        <v/>
      </c>
      <c r="I784" t="str">
        <f t="shared" si="7"/>
        <v/>
      </c>
      <c r="J784" t="str">
        <f>VLOOKUP(I784,'Manager Coding'!C:D,2,0)</f>
        <v>#N/A</v>
      </c>
      <c r="K784" s="41" t="str">
        <f t="shared" si="8"/>
        <v/>
      </c>
      <c r="L784">
        <f t="shared" si="9"/>
        <v>0</v>
      </c>
      <c r="M784">
        <f t="shared" si="10"/>
        <v>0</v>
      </c>
      <c r="N784" s="91" t="s">
        <v>1792</v>
      </c>
      <c r="O784" s="143"/>
      <c r="P784" s="152"/>
      <c r="Q784" s="152"/>
      <c r="R784" s="146"/>
      <c r="S784" s="147"/>
    </row>
    <row r="785" hidden="1">
      <c r="A785" s="32" t="str">
        <f t="shared" si="1"/>
        <v>#N/A</v>
      </c>
      <c r="B785" s="32" t="str">
        <f t="shared" si="2"/>
        <v>#N/A</v>
      </c>
      <c r="C785" s="32" t="str">
        <f t="shared" si="3"/>
        <v>Week 15</v>
      </c>
      <c r="D785" s="32">
        <v>2022.0</v>
      </c>
      <c r="E785" t="str">
        <f t="shared" si="4"/>
        <v>15</v>
      </c>
      <c r="F785" t="str">
        <f t="shared" si="5"/>
        <v>TEAM MANAGER(S)</v>
      </c>
      <c r="G785" s="40" t="str">
        <f>VLOOKUP(F785,'Manager Coding'!C:D,2,0)</f>
        <v>#N/A</v>
      </c>
      <c r="H785" s="41" t="str">
        <f t="shared" si="6"/>
        <v>SCORE</v>
      </c>
      <c r="I785" t="str">
        <f t="shared" si="7"/>
        <v>TEAM MANAGER(S)</v>
      </c>
      <c r="J785" t="str">
        <f>VLOOKUP(I785,'Manager Coding'!C:D,2,0)</f>
        <v>#N/A</v>
      </c>
      <c r="K785" s="41" t="str">
        <f t="shared" si="8"/>
        <v>SCORE</v>
      </c>
      <c r="L785">
        <f t="shared" si="9"/>
        <v>0</v>
      </c>
      <c r="M785">
        <f t="shared" si="10"/>
        <v>0</v>
      </c>
      <c r="N785" s="116" t="s">
        <v>197</v>
      </c>
      <c r="O785" s="116" t="s">
        <v>88</v>
      </c>
      <c r="P785" s="117" t="s">
        <v>94</v>
      </c>
      <c r="Q785" s="116" t="s">
        <v>94</v>
      </c>
      <c r="R785" s="117" t="s">
        <v>88</v>
      </c>
      <c r="S785" s="117" t="s">
        <v>101</v>
      </c>
    </row>
    <row r="786" hidden="1">
      <c r="A786" s="32" t="str">
        <f t="shared" si="1"/>
        <v>2022TayskiWeek 15</v>
      </c>
      <c r="B786" s="32" t="str">
        <f t="shared" si="2"/>
        <v>2022FellowsWeek 15</v>
      </c>
      <c r="C786" s="32" t="str">
        <f t="shared" si="3"/>
        <v>Week 15</v>
      </c>
      <c r="D786" s="32">
        <v>2022.0</v>
      </c>
      <c r="E786" t="str">
        <f t="shared" si="4"/>
        <v>15</v>
      </c>
      <c r="F786" t="str">
        <f t="shared" si="5"/>
        <v>Taylor Weis</v>
      </c>
      <c r="G786" s="40" t="str">
        <f>VLOOKUP(F786,'Manager Coding'!C:D,2,0)</f>
        <v>Tayski</v>
      </c>
      <c r="H786" s="41">
        <f t="shared" si="6"/>
        <v>107.56</v>
      </c>
      <c r="I786" t="str">
        <f t="shared" si="7"/>
        <v>Michael Fellows</v>
      </c>
      <c r="J786" t="str">
        <f>VLOOKUP(I786,'Manager Coding'!C:D,2,0)</f>
        <v>Fellows</v>
      </c>
      <c r="K786" s="41">
        <f t="shared" si="8"/>
        <v>118.18</v>
      </c>
      <c r="L786">
        <f t="shared" si="9"/>
        <v>0</v>
      </c>
      <c r="M786">
        <f t="shared" si="10"/>
        <v>1</v>
      </c>
      <c r="N786" s="128" t="s">
        <v>1910</v>
      </c>
      <c r="O786" s="129" t="s">
        <v>54</v>
      </c>
      <c r="P786" s="120">
        <v>107.56</v>
      </c>
      <c r="Q786" s="127">
        <v>118.18</v>
      </c>
      <c r="R786" s="130" t="s">
        <v>80</v>
      </c>
      <c r="S786" s="128" t="s">
        <v>1922</v>
      </c>
    </row>
    <row r="787" hidden="1">
      <c r="A787" s="32" t="str">
        <f t="shared" si="1"/>
        <v>2022HudspeathWeek 15</v>
      </c>
      <c r="B787" s="32" t="str">
        <f t="shared" si="2"/>
        <v>2022BuserWeek 15</v>
      </c>
      <c r="C787" s="32" t="str">
        <f t="shared" si="3"/>
        <v>Week 15</v>
      </c>
      <c r="D787" s="32">
        <v>2022.0</v>
      </c>
      <c r="E787" t="str">
        <f t="shared" si="4"/>
        <v>15</v>
      </c>
      <c r="F787" t="str">
        <f t="shared" si="5"/>
        <v>matt hudspeath</v>
      </c>
      <c r="G787" s="40" t="str">
        <f>VLOOKUP(F787,'Manager Coding'!C:D,2,0)</f>
        <v>Hudspeath</v>
      </c>
      <c r="H787" s="41">
        <f t="shared" si="6"/>
        <v>88.04</v>
      </c>
      <c r="I787" t="str">
        <f t="shared" si="7"/>
        <v>Ed Buser</v>
      </c>
      <c r="J787" t="str">
        <f>VLOOKUP(I787,'Manager Coding'!C:D,2,0)</f>
        <v>Buser</v>
      </c>
      <c r="K787" s="41">
        <f t="shared" si="8"/>
        <v>97.32</v>
      </c>
      <c r="L787">
        <f t="shared" si="9"/>
        <v>0</v>
      </c>
      <c r="M787">
        <f t="shared" si="10"/>
        <v>1</v>
      </c>
      <c r="N787" s="131" t="s">
        <v>1903</v>
      </c>
      <c r="O787" s="132" t="s">
        <v>64</v>
      </c>
      <c r="P787" s="120">
        <v>88.04</v>
      </c>
      <c r="Q787" s="127">
        <v>97.32</v>
      </c>
      <c r="R787" s="133" t="s">
        <v>50</v>
      </c>
      <c r="S787" s="131" t="s">
        <v>1916</v>
      </c>
    </row>
    <row r="788" hidden="1">
      <c r="A788" s="32" t="str">
        <f t="shared" si="1"/>
        <v>2022T-HowWeek 15</v>
      </c>
      <c r="B788" s="32" t="str">
        <f t="shared" si="2"/>
        <v>2022PiersonWeek 15</v>
      </c>
      <c r="C788" s="32" t="str">
        <f t="shared" si="3"/>
        <v>Week 15</v>
      </c>
      <c r="D788" s="32">
        <v>2022.0</v>
      </c>
      <c r="E788" t="str">
        <f t="shared" si="4"/>
        <v>15</v>
      </c>
      <c r="F788" t="str">
        <f t="shared" si="5"/>
        <v>Tyler Howard</v>
      </c>
      <c r="G788" s="40" t="str">
        <f>VLOOKUP(F788,'Manager Coding'!C:D,2,0)</f>
        <v>T-How</v>
      </c>
      <c r="H788" s="41">
        <f t="shared" si="6"/>
        <v>97.9</v>
      </c>
      <c r="I788" t="str">
        <f t="shared" si="7"/>
        <v>Pierson Curtis</v>
      </c>
      <c r="J788" t="str">
        <f>VLOOKUP(I788,'Manager Coding'!C:D,2,0)</f>
        <v>Pierson</v>
      </c>
      <c r="K788" s="41">
        <f t="shared" si="8"/>
        <v>91.24</v>
      </c>
      <c r="L788">
        <f t="shared" si="9"/>
        <v>1</v>
      </c>
      <c r="M788">
        <f t="shared" si="10"/>
        <v>0</v>
      </c>
      <c r="N788" s="128" t="s">
        <v>1907</v>
      </c>
      <c r="O788" s="129" t="s">
        <v>85</v>
      </c>
      <c r="P788" s="120">
        <v>97.9</v>
      </c>
      <c r="Q788" s="127">
        <v>91.24</v>
      </c>
      <c r="R788" s="130" t="s">
        <v>93</v>
      </c>
      <c r="S788" s="128" t="s">
        <v>1912</v>
      </c>
    </row>
    <row r="789" hidden="1">
      <c r="A789" s="32" t="str">
        <f t="shared" si="1"/>
        <v>2022ShepWeek 15</v>
      </c>
      <c r="B789" s="32" t="str">
        <f t="shared" si="2"/>
        <v>2022KnardDawgWeek 15</v>
      </c>
      <c r="C789" s="32" t="str">
        <f t="shared" si="3"/>
        <v>Week 15</v>
      </c>
      <c r="D789" s="32">
        <v>2022.0</v>
      </c>
      <c r="E789" t="str">
        <f t="shared" si="4"/>
        <v>15</v>
      </c>
      <c r="F789" t="str">
        <f t="shared" si="5"/>
        <v>Jordan Shepherd</v>
      </c>
      <c r="G789" s="40" t="str">
        <f>VLOOKUP(F789,'Manager Coding'!C:D,2,0)</f>
        <v>Shep</v>
      </c>
      <c r="H789" s="41">
        <f t="shared" si="6"/>
        <v>104.4</v>
      </c>
      <c r="I789" t="str">
        <f t="shared" si="7"/>
        <v>Alex Kinniard, Jack Reilly</v>
      </c>
      <c r="J789" t="str">
        <f>VLOOKUP(I789,'Manager Coding'!C:D,2,0)</f>
        <v>KnardDawg</v>
      </c>
      <c r="K789" s="41">
        <f t="shared" si="8"/>
        <v>85.2</v>
      </c>
      <c r="L789">
        <f t="shared" si="9"/>
        <v>1</v>
      </c>
      <c r="M789">
        <f t="shared" si="10"/>
        <v>0</v>
      </c>
      <c r="N789" s="131" t="s">
        <v>1921</v>
      </c>
      <c r="O789" s="132" t="s">
        <v>91</v>
      </c>
      <c r="P789" s="120">
        <v>104.4</v>
      </c>
      <c r="Q789" s="127">
        <v>85.2</v>
      </c>
      <c r="R789" s="133" t="s">
        <v>87</v>
      </c>
      <c r="S789" s="131" t="s">
        <v>1906</v>
      </c>
    </row>
    <row r="790" hidden="1">
      <c r="A790" s="32" t="str">
        <f t="shared" si="1"/>
        <v>2022CockWeek 15</v>
      </c>
      <c r="B790" s="32" t="str">
        <f t="shared" si="2"/>
        <v>2022RileyWeek 15</v>
      </c>
      <c r="C790" s="32" t="str">
        <f t="shared" si="3"/>
        <v>Week 15</v>
      </c>
      <c r="D790" s="32">
        <v>2022.0</v>
      </c>
      <c r="E790" t="str">
        <f t="shared" si="4"/>
        <v>15</v>
      </c>
      <c r="F790" t="str">
        <f t="shared" si="5"/>
        <v>Chris Cochrane</v>
      </c>
      <c r="G790" s="40" t="str">
        <f>VLOOKUP(F790,'Manager Coding'!C:D,2,0)</f>
        <v>Cock</v>
      </c>
      <c r="H790" s="41">
        <f t="shared" si="6"/>
        <v>85.28</v>
      </c>
      <c r="I790" t="str">
        <f t="shared" si="7"/>
        <v>Riley McElwain</v>
      </c>
      <c r="J790" t="str">
        <f>VLOOKUP(I790,'Manager Coding'!C:D,2,0)</f>
        <v>Riley</v>
      </c>
      <c r="K790" s="41">
        <f t="shared" si="8"/>
        <v>55.38</v>
      </c>
      <c r="L790">
        <f t="shared" si="9"/>
        <v>1</v>
      </c>
      <c r="M790">
        <f t="shared" si="10"/>
        <v>0</v>
      </c>
      <c r="N790" s="153" t="s">
        <v>1913</v>
      </c>
      <c r="O790" s="81" t="s">
        <v>99</v>
      </c>
      <c r="P790" s="82">
        <v>85.28</v>
      </c>
      <c r="Q790" s="88">
        <v>55.38</v>
      </c>
      <c r="R790" s="154" t="s">
        <v>68</v>
      </c>
      <c r="S790" s="153" t="s">
        <v>1920</v>
      </c>
    </row>
    <row r="791" hidden="1">
      <c r="A791" s="32" t="str">
        <f t="shared" si="1"/>
        <v>#N/A</v>
      </c>
      <c r="B791" s="32" t="str">
        <f t="shared" si="2"/>
        <v>#N/A</v>
      </c>
      <c r="C791" s="32" t="str">
        <f t="shared" si="3"/>
        <v>Week 15</v>
      </c>
      <c r="D791" s="32">
        <v>2022.0</v>
      </c>
      <c r="E791" t="str">
        <f t="shared" si="4"/>
        <v>15</v>
      </c>
      <c r="F791" t="str">
        <f t="shared" si="5"/>
        <v/>
      </c>
      <c r="G791" s="40" t="str">
        <f>VLOOKUP(F791,'Manager Coding'!C:D,2,0)</f>
        <v>#N/A</v>
      </c>
      <c r="H791" s="41" t="str">
        <f t="shared" si="6"/>
        <v/>
      </c>
      <c r="I791" t="str">
        <f t="shared" si="7"/>
        <v/>
      </c>
      <c r="J791" t="str">
        <f>VLOOKUP(I791,'Manager Coding'!C:D,2,0)</f>
        <v>#N/A</v>
      </c>
      <c r="K791" s="41" t="str">
        <f t="shared" si="8"/>
        <v/>
      </c>
      <c r="L791">
        <f t="shared" si="9"/>
        <v>0</v>
      </c>
      <c r="M791">
        <f t="shared" si="10"/>
        <v>0</v>
      </c>
      <c r="N791" s="155" t="s">
        <v>518</v>
      </c>
      <c r="O791" s="143"/>
      <c r="P791" s="152"/>
      <c r="Q791" s="152"/>
      <c r="R791" s="146"/>
      <c r="S791" s="147"/>
    </row>
    <row r="792" hidden="1">
      <c r="A792" s="32" t="str">
        <f t="shared" si="1"/>
        <v>#N/A</v>
      </c>
      <c r="B792" s="32" t="str">
        <f t="shared" si="2"/>
        <v>#N/A</v>
      </c>
      <c r="C792" s="32" t="str">
        <f t="shared" si="3"/>
        <v>Week 15</v>
      </c>
      <c r="D792" s="32">
        <v>2022.0</v>
      </c>
      <c r="E792" t="str">
        <f t="shared" si="4"/>
        <v>15</v>
      </c>
      <c r="F792" t="str">
        <f t="shared" si="5"/>
        <v/>
      </c>
      <c r="G792" s="40" t="str">
        <f>VLOOKUP(F792,'Manager Coding'!C:D,2,0)</f>
        <v>#N/A</v>
      </c>
      <c r="H792" s="41" t="str">
        <f t="shared" si="6"/>
        <v/>
      </c>
      <c r="I792" t="str">
        <f t="shared" si="7"/>
        <v/>
      </c>
      <c r="J792" t="str">
        <f>VLOOKUP(I792,'Manager Coding'!C:D,2,0)</f>
        <v>#N/A</v>
      </c>
      <c r="K792" s="41" t="str">
        <f t="shared" si="8"/>
        <v/>
      </c>
      <c r="L792">
        <f t="shared" si="9"/>
        <v>0</v>
      </c>
      <c r="M792">
        <f t="shared" si="10"/>
        <v>0</v>
      </c>
      <c r="N792" s="155"/>
      <c r="O792" s="138"/>
      <c r="P792" s="148"/>
      <c r="Q792" s="148"/>
      <c r="R792" s="141"/>
      <c r="S792" s="142"/>
    </row>
    <row r="793" hidden="1">
      <c r="A793" s="32" t="str">
        <f t="shared" si="1"/>
        <v>#N/A</v>
      </c>
      <c r="B793" s="32" t="str">
        <f t="shared" si="2"/>
        <v>#N/A</v>
      </c>
      <c r="C793" s="32" t="str">
        <f t="shared" si="3"/>
        <v>Week 15</v>
      </c>
      <c r="D793" s="32">
        <v>2022.0</v>
      </c>
      <c r="E793" t="str">
        <f t="shared" si="4"/>
        <v>15</v>
      </c>
      <c r="F793" t="str">
        <f t="shared" si="5"/>
        <v/>
      </c>
      <c r="G793" s="40" t="str">
        <f>VLOOKUP(F793,'Manager Coding'!C:D,2,0)</f>
        <v>#N/A</v>
      </c>
      <c r="H793" s="41" t="str">
        <f t="shared" si="6"/>
        <v/>
      </c>
      <c r="I793" t="str">
        <f t="shared" si="7"/>
        <v/>
      </c>
      <c r="J793" t="str">
        <f>VLOOKUP(I793,'Manager Coding'!C:D,2,0)</f>
        <v>#N/A</v>
      </c>
      <c r="K793" s="41" t="str">
        <f t="shared" si="8"/>
        <v/>
      </c>
      <c r="L793">
        <f t="shared" si="9"/>
        <v>0</v>
      </c>
      <c r="M793">
        <f t="shared" si="10"/>
        <v>0</v>
      </c>
      <c r="N793" s="155"/>
      <c r="O793" s="143"/>
      <c r="P793" s="152"/>
      <c r="Q793" s="152"/>
      <c r="R793" s="146"/>
      <c r="S793" s="147"/>
    </row>
    <row r="794" hidden="1">
      <c r="A794" s="32" t="str">
        <f t="shared" si="1"/>
        <v>#N/A</v>
      </c>
      <c r="B794" s="32" t="str">
        <f t="shared" si="2"/>
        <v>#N/A</v>
      </c>
      <c r="C794" s="32" t="str">
        <f t="shared" si="3"/>
        <v>Week 15</v>
      </c>
      <c r="D794" s="32">
        <v>2022.0</v>
      </c>
      <c r="E794" t="str">
        <f t="shared" si="4"/>
        <v>15</v>
      </c>
      <c r="F794" t="str">
        <f t="shared" si="5"/>
        <v/>
      </c>
      <c r="G794" s="40" t="str">
        <f>VLOOKUP(F794,'Manager Coding'!C:D,2,0)</f>
        <v>#N/A</v>
      </c>
      <c r="H794" s="41" t="str">
        <f t="shared" si="6"/>
        <v/>
      </c>
      <c r="I794" t="str">
        <f t="shared" si="7"/>
        <v/>
      </c>
      <c r="J794" t="str">
        <f>VLOOKUP(I794,'Manager Coding'!C:D,2,0)</f>
        <v>#N/A</v>
      </c>
      <c r="K794" s="41" t="str">
        <f t="shared" si="8"/>
        <v/>
      </c>
      <c r="L794">
        <f t="shared" si="9"/>
        <v>0</v>
      </c>
      <c r="M794">
        <f t="shared" si="10"/>
        <v>0</v>
      </c>
      <c r="N794" s="112" t="s">
        <v>1820</v>
      </c>
      <c r="O794" s="138"/>
      <c r="P794" s="148"/>
      <c r="Q794" s="148"/>
      <c r="R794" s="141"/>
      <c r="S794" s="142"/>
    </row>
    <row r="795" hidden="1">
      <c r="A795" s="32" t="str">
        <f t="shared" si="1"/>
        <v>#N/A</v>
      </c>
      <c r="B795" s="32" t="str">
        <f t="shared" si="2"/>
        <v>#N/A</v>
      </c>
      <c r="C795" s="32" t="str">
        <f t="shared" si="3"/>
        <v>Week 16</v>
      </c>
      <c r="D795" s="32">
        <v>2022.0</v>
      </c>
      <c r="E795" t="str">
        <f t="shared" si="4"/>
        <v>16</v>
      </c>
      <c r="F795" t="str">
        <f t="shared" si="5"/>
        <v>TEAM MANAGER(S)</v>
      </c>
      <c r="G795" s="40" t="str">
        <f>VLOOKUP(F795,'Manager Coding'!C:D,2,0)</f>
        <v>#N/A</v>
      </c>
      <c r="H795" s="41" t="str">
        <f t="shared" si="6"/>
        <v>SCORE</v>
      </c>
      <c r="I795" t="str">
        <f t="shared" si="7"/>
        <v>TEAM MANAGER(S)</v>
      </c>
      <c r="J795" t="str">
        <f>VLOOKUP(I795,'Manager Coding'!C:D,2,0)</f>
        <v>#N/A</v>
      </c>
      <c r="K795" s="41" t="str">
        <f t="shared" si="8"/>
        <v>SCORE</v>
      </c>
      <c r="L795">
        <f t="shared" si="9"/>
        <v>0</v>
      </c>
      <c r="M795">
        <f t="shared" si="10"/>
        <v>0</v>
      </c>
      <c r="N795" s="116" t="s">
        <v>197</v>
      </c>
      <c r="O795" s="116" t="s">
        <v>88</v>
      </c>
      <c r="P795" s="117" t="s">
        <v>94</v>
      </c>
      <c r="Q795" s="116" t="s">
        <v>94</v>
      </c>
      <c r="R795" s="117" t="s">
        <v>88</v>
      </c>
      <c r="S795" s="117" t="s">
        <v>101</v>
      </c>
    </row>
    <row r="796" hidden="1">
      <c r="A796" s="32" t="str">
        <f t="shared" si="1"/>
        <v>2022FellowsWeek 16</v>
      </c>
      <c r="B796" s="32" t="str">
        <f t="shared" si="2"/>
        <v>2022SaltyWeek 16</v>
      </c>
      <c r="C796" s="32" t="str">
        <f t="shared" si="3"/>
        <v>Week 16</v>
      </c>
      <c r="D796" s="32">
        <v>2022.0</v>
      </c>
      <c r="E796" t="str">
        <f t="shared" si="4"/>
        <v>16</v>
      </c>
      <c r="F796" t="str">
        <f t="shared" si="5"/>
        <v>Michael Fellows</v>
      </c>
      <c r="G796" s="40" t="str">
        <f>VLOOKUP(F796,'Manager Coding'!C:D,2,0)</f>
        <v>Fellows</v>
      </c>
      <c r="H796" s="41">
        <f t="shared" si="6"/>
        <v>64.76</v>
      </c>
      <c r="I796" t="str">
        <f t="shared" si="7"/>
        <v>R Saltiel</v>
      </c>
      <c r="J796" t="str">
        <f>VLOOKUP(I796,'Manager Coding'!C:D,2,0)</f>
        <v>Salty</v>
      </c>
      <c r="K796" s="41">
        <f t="shared" si="8"/>
        <v>77.06</v>
      </c>
      <c r="L796">
        <f t="shared" si="9"/>
        <v>0</v>
      </c>
      <c r="M796">
        <f t="shared" si="10"/>
        <v>1</v>
      </c>
      <c r="N796" s="128" t="s">
        <v>1922</v>
      </c>
      <c r="O796" s="129" t="s">
        <v>80</v>
      </c>
      <c r="P796" s="120">
        <v>64.76</v>
      </c>
      <c r="Q796" s="127">
        <v>77.06</v>
      </c>
      <c r="R796" s="130" t="s">
        <v>77</v>
      </c>
      <c r="S796" s="128" t="s">
        <v>1917</v>
      </c>
    </row>
    <row r="797" hidden="1">
      <c r="A797" s="32" t="str">
        <f t="shared" si="1"/>
        <v>2022BuserWeek 16</v>
      </c>
      <c r="B797" s="32" t="str">
        <f t="shared" si="2"/>
        <v>2022Rooney/JacksonWeek 16</v>
      </c>
      <c r="C797" s="32" t="str">
        <f t="shared" si="3"/>
        <v>Week 16</v>
      </c>
      <c r="D797" s="32">
        <v>2022.0</v>
      </c>
      <c r="E797" t="str">
        <f t="shared" si="4"/>
        <v>16</v>
      </c>
      <c r="F797" t="str">
        <f t="shared" si="5"/>
        <v>Ed Buser</v>
      </c>
      <c r="G797" s="40" t="str">
        <f>VLOOKUP(F797,'Manager Coding'!C:D,2,0)</f>
        <v>Buser</v>
      </c>
      <c r="H797" s="41">
        <f t="shared" si="6"/>
        <v>110.5</v>
      </c>
      <c r="I797" t="str">
        <f t="shared" si="7"/>
        <v>Stephen Rooney, Jackson Sattell</v>
      </c>
      <c r="J797" t="str">
        <f>VLOOKUP(I797,'Manager Coding'!C:D,2,0)</f>
        <v>Rooney/Jackson</v>
      </c>
      <c r="K797" s="41">
        <f t="shared" si="8"/>
        <v>96.06</v>
      </c>
      <c r="L797">
        <f t="shared" si="9"/>
        <v>1</v>
      </c>
      <c r="M797">
        <f t="shared" si="10"/>
        <v>0</v>
      </c>
      <c r="N797" s="131" t="s">
        <v>1916</v>
      </c>
      <c r="O797" s="132" t="s">
        <v>50</v>
      </c>
      <c r="P797" s="120">
        <v>110.5</v>
      </c>
      <c r="Q797" s="127">
        <v>96.06</v>
      </c>
      <c r="R797" s="133" t="s">
        <v>58</v>
      </c>
      <c r="S797" s="131" t="s">
        <v>1900</v>
      </c>
    </row>
    <row r="798" hidden="1">
      <c r="A798" s="32" t="str">
        <f t="shared" si="1"/>
        <v>2022HudspeathWeek 16</v>
      </c>
      <c r="B798" s="32" t="str">
        <f t="shared" si="2"/>
        <v>2022TayskiWeek 16</v>
      </c>
      <c r="C798" s="32" t="str">
        <f t="shared" si="3"/>
        <v>Week 16</v>
      </c>
      <c r="D798" s="32">
        <v>2022.0</v>
      </c>
      <c r="E798" t="str">
        <f t="shared" si="4"/>
        <v>16</v>
      </c>
      <c r="F798" t="str">
        <f t="shared" si="5"/>
        <v>matt hudspeath</v>
      </c>
      <c r="G798" s="40" t="str">
        <f>VLOOKUP(F798,'Manager Coding'!C:D,2,0)</f>
        <v>Hudspeath</v>
      </c>
      <c r="H798" s="41">
        <f t="shared" si="6"/>
        <v>82.2</v>
      </c>
      <c r="I798" t="str">
        <f t="shared" si="7"/>
        <v>Taylor Weis</v>
      </c>
      <c r="J798" t="str">
        <f>VLOOKUP(I798,'Manager Coding'!C:D,2,0)</f>
        <v>Tayski</v>
      </c>
      <c r="K798" s="41">
        <f t="shared" si="8"/>
        <v>94.58</v>
      </c>
      <c r="L798">
        <f t="shared" si="9"/>
        <v>0</v>
      </c>
      <c r="M798">
        <f t="shared" si="10"/>
        <v>1</v>
      </c>
      <c r="N798" s="128" t="s">
        <v>1903</v>
      </c>
      <c r="O798" s="129" t="s">
        <v>64</v>
      </c>
      <c r="P798" s="120">
        <v>82.2</v>
      </c>
      <c r="Q798" s="127">
        <v>94.58</v>
      </c>
      <c r="R798" s="130" t="s">
        <v>54</v>
      </c>
      <c r="S798" s="128" t="s">
        <v>1910</v>
      </c>
    </row>
    <row r="799" hidden="1">
      <c r="A799" s="32" t="str">
        <f t="shared" si="1"/>
        <v>2022ShepWeek 16</v>
      </c>
      <c r="B799" s="32" t="str">
        <f t="shared" si="2"/>
        <v>2022T-HowWeek 16</v>
      </c>
      <c r="C799" s="32" t="str">
        <f t="shared" si="3"/>
        <v>Week 16</v>
      </c>
      <c r="D799" s="32">
        <v>2022.0</v>
      </c>
      <c r="E799" t="str">
        <f t="shared" si="4"/>
        <v>16</v>
      </c>
      <c r="F799" t="str">
        <f t="shared" si="5"/>
        <v>Jordan Shepherd</v>
      </c>
      <c r="G799" s="40" t="str">
        <f>VLOOKUP(F799,'Manager Coding'!C:D,2,0)</f>
        <v>Shep</v>
      </c>
      <c r="H799" s="41">
        <f t="shared" si="6"/>
        <v>75.9</v>
      </c>
      <c r="I799" t="str">
        <f t="shared" si="7"/>
        <v>Tyler Howard</v>
      </c>
      <c r="J799" t="str">
        <f>VLOOKUP(I799,'Manager Coding'!C:D,2,0)</f>
        <v>T-How</v>
      </c>
      <c r="K799" s="41">
        <f t="shared" si="8"/>
        <v>68.06</v>
      </c>
      <c r="L799">
        <f t="shared" si="9"/>
        <v>1</v>
      </c>
      <c r="M799">
        <f t="shared" si="10"/>
        <v>0</v>
      </c>
      <c r="N799" s="131" t="s">
        <v>1921</v>
      </c>
      <c r="O799" s="132" t="s">
        <v>91</v>
      </c>
      <c r="P799" s="120">
        <v>75.9</v>
      </c>
      <c r="Q799" s="127">
        <v>68.06</v>
      </c>
      <c r="R799" s="133" t="s">
        <v>85</v>
      </c>
      <c r="S799" s="131" t="s">
        <v>1907</v>
      </c>
    </row>
    <row r="800" hidden="1">
      <c r="A800" s="32" t="str">
        <f t="shared" si="1"/>
        <v>2022CockWeek 16</v>
      </c>
      <c r="B800" s="32" t="str">
        <f t="shared" si="2"/>
        <v>2022PiersonWeek 16</v>
      </c>
      <c r="C800" s="32" t="str">
        <f t="shared" si="3"/>
        <v>Week 16</v>
      </c>
      <c r="D800" s="32">
        <v>2022.0</v>
      </c>
      <c r="E800" t="str">
        <f t="shared" si="4"/>
        <v>16</v>
      </c>
      <c r="F800" t="str">
        <f t="shared" si="5"/>
        <v>Chris Cochrane</v>
      </c>
      <c r="G800" s="40" t="str">
        <f>VLOOKUP(F800,'Manager Coding'!C:D,2,0)</f>
        <v>Cock</v>
      </c>
      <c r="H800" s="41">
        <f t="shared" si="6"/>
        <v>114.34</v>
      </c>
      <c r="I800" t="str">
        <f t="shared" si="7"/>
        <v>Pierson Curtis</v>
      </c>
      <c r="J800" t="str">
        <f>VLOOKUP(I800,'Manager Coding'!C:D,2,0)</f>
        <v>Pierson</v>
      </c>
      <c r="K800" s="41">
        <f t="shared" si="8"/>
        <v>92.96</v>
      </c>
      <c r="L800">
        <f t="shared" si="9"/>
        <v>1</v>
      </c>
      <c r="M800">
        <f t="shared" si="10"/>
        <v>0</v>
      </c>
      <c r="N800" s="128" t="s">
        <v>1913</v>
      </c>
      <c r="O800" s="129" t="s">
        <v>99</v>
      </c>
      <c r="P800" s="120">
        <v>114.34</v>
      </c>
      <c r="Q800" s="127">
        <v>92.96</v>
      </c>
      <c r="R800" s="130" t="s">
        <v>93</v>
      </c>
      <c r="S800" s="128" t="s">
        <v>1912</v>
      </c>
    </row>
    <row r="801" hidden="1">
      <c r="A801" s="32" t="str">
        <f t="shared" si="1"/>
        <v>2022RileyWeek 16</v>
      </c>
      <c r="B801" s="32" t="str">
        <f t="shared" si="2"/>
        <v>2022KnardDawgWeek 16</v>
      </c>
      <c r="C801" s="32" t="str">
        <f t="shared" si="3"/>
        <v>Week 16</v>
      </c>
      <c r="D801" s="32">
        <v>2022.0</v>
      </c>
      <c r="E801" t="str">
        <f t="shared" si="4"/>
        <v>16</v>
      </c>
      <c r="F801" t="str">
        <f t="shared" si="5"/>
        <v>Riley McElwain</v>
      </c>
      <c r="G801" s="40" t="str">
        <f>VLOOKUP(F801,'Manager Coding'!C:D,2,0)</f>
        <v>Riley</v>
      </c>
      <c r="H801" s="41">
        <f t="shared" si="6"/>
        <v>69.3</v>
      </c>
      <c r="I801" t="str">
        <f t="shared" si="7"/>
        <v>Alex Kinniard, Jack Reilly</v>
      </c>
      <c r="J801" t="str">
        <f>VLOOKUP(I801,'Manager Coding'!C:D,2,0)</f>
        <v>KnardDawg</v>
      </c>
      <c r="K801" s="41">
        <f t="shared" si="8"/>
        <v>59.6</v>
      </c>
      <c r="L801">
        <f t="shared" si="9"/>
        <v>1</v>
      </c>
      <c r="M801">
        <f t="shared" si="10"/>
        <v>0</v>
      </c>
      <c r="N801" s="134" t="s">
        <v>1920</v>
      </c>
      <c r="O801" s="135" t="s">
        <v>68</v>
      </c>
      <c r="P801" s="82">
        <v>69.3</v>
      </c>
      <c r="Q801" s="88">
        <v>59.6</v>
      </c>
      <c r="R801" s="115" t="s">
        <v>87</v>
      </c>
      <c r="S801" s="134" t="s">
        <v>1906</v>
      </c>
    </row>
    <row r="802" hidden="1">
      <c r="A802" s="32" t="str">
        <f t="shared" si="1"/>
        <v>#N/A</v>
      </c>
      <c r="B802" s="32" t="str">
        <f t="shared" si="2"/>
        <v>#N/A</v>
      </c>
      <c r="C802" s="32" t="str">
        <f t="shared" si="3"/>
        <v>Week 16</v>
      </c>
      <c r="D802" s="32">
        <v>2022.0</v>
      </c>
      <c r="E802" t="str">
        <f t="shared" si="4"/>
        <v>16</v>
      </c>
      <c r="F802" t="str">
        <f t="shared" si="5"/>
        <v/>
      </c>
      <c r="G802" s="40" t="str">
        <f>VLOOKUP(F802,'Manager Coding'!C:D,2,0)</f>
        <v>#N/A</v>
      </c>
      <c r="H802" s="41" t="str">
        <f t="shared" si="6"/>
        <v/>
      </c>
      <c r="I802" t="str">
        <f t="shared" si="7"/>
        <v/>
      </c>
      <c r="J802" t="str">
        <f>VLOOKUP(I802,'Manager Coding'!C:D,2,0)</f>
        <v>#N/A</v>
      </c>
      <c r="K802" s="41" t="str">
        <f t="shared" si="8"/>
        <v/>
      </c>
      <c r="L802">
        <f t="shared" si="9"/>
        <v>0</v>
      </c>
      <c r="M802">
        <f t="shared" si="10"/>
        <v>0</v>
      </c>
      <c r="N802" s="114" t="s">
        <v>1843</v>
      </c>
      <c r="P802" s="41"/>
      <c r="Q802" s="41"/>
    </row>
    <row r="803" hidden="1">
      <c r="A803" s="32" t="str">
        <f t="shared" si="1"/>
        <v>#N/A</v>
      </c>
      <c r="B803" s="32" t="str">
        <f t="shared" si="2"/>
        <v>#N/A</v>
      </c>
      <c r="C803" s="32" t="str">
        <f t="shared" si="3"/>
        <v>Week 17</v>
      </c>
      <c r="D803" s="32">
        <v>2022.0</v>
      </c>
      <c r="E803" t="str">
        <f t="shared" si="4"/>
        <v>17</v>
      </c>
      <c r="F803" t="str">
        <f t="shared" si="5"/>
        <v>TEAM MANAGER(S)</v>
      </c>
      <c r="G803" s="40" t="str">
        <f>VLOOKUP(F803,'Manager Coding'!C:D,2,0)</f>
        <v>#N/A</v>
      </c>
      <c r="H803" s="41" t="str">
        <f t="shared" si="6"/>
        <v>SCORE</v>
      </c>
      <c r="I803" t="str">
        <f t="shared" si="7"/>
        <v>TEAM MANAGER(S)</v>
      </c>
      <c r="J803" t="str">
        <f>VLOOKUP(I803,'Manager Coding'!C:D,2,0)</f>
        <v>#N/A</v>
      </c>
      <c r="K803" s="41" t="str">
        <f t="shared" si="8"/>
        <v>SCORE</v>
      </c>
      <c r="L803">
        <f t="shared" si="9"/>
        <v>0</v>
      </c>
      <c r="M803">
        <f t="shared" si="10"/>
        <v>0</v>
      </c>
      <c r="N803" s="116" t="s">
        <v>197</v>
      </c>
      <c r="O803" s="116" t="s">
        <v>88</v>
      </c>
      <c r="P803" s="117" t="s">
        <v>94</v>
      </c>
      <c r="Q803" s="116" t="s">
        <v>94</v>
      </c>
      <c r="R803" s="117" t="s">
        <v>88</v>
      </c>
      <c r="S803" s="117" t="s">
        <v>101</v>
      </c>
    </row>
    <row r="804" hidden="1">
      <c r="A804" s="32" t="str">
        <f t="shared" si="1"/>
        <v>2022BuserWeek 17</v>
      </c>
      <c r="B804" s="32" t="str">
        <f t="shared" si="2"/>
        <v>2022SaltyWeek 17</v>
      </c>
      <c r="C804" s="32" t="str">
        <f t="shared" si="3"/>
        <v>Week 17</v>
      </c>
      <c r="D804" s="32">
        <v>2022.0</v>
      </c>
      <c r="E804" t="str">
        <f t="shared" si="4"/>
        <v>17</v>
      </c>
      <c r="F804" t="str">
        <f t="shared" si="5"/>
        <v>Ed Buser</v>
      </c>
      <c r="G804" s="40" t="str">
        <f>VLOOKUP(F804,'Manager Coding'!C:D,2,0)</f>
        <v>Buser</v>
      </c>
      <c r="H804" s="41">
        <f t="shared" si="6"/>
        <v>109.28</v>
      </c>
      <c r="I804" t="str">
        <f t="shared" si="7"/>
        <v>R Saltiel</v>
      </c>
      <c r="J804" t="str">
        <f>VLOOKUP(I804,'Manager Coding'!C:D,2,0)</f>
        <v>Salty</v>
      </c>
      <c r="K804" s="41">
        <f t="shared" si="8"/>
        <v>86.08</v>
      </c>
      <c r="L804">
        <f t="shared" si="9"/>
        <v>1</v>
      </c>
      <c r="M804">
        <f t="shared" si="10"/>
        <v>0</v>
      </c>
      <c r="N804" s="128" t="s">
        <v>1916</v>
      </c>
      <c r="O804" s="129" t="s">
        <v>50</v>
      </c>
      <c r="P804" s="120">
        <v>109.28</v>
      </c>
      <c r="Q804" s="127">
        <v>86.08</v>
      </c>
      <c r="R804" s="130" t="s">
        <v>77</v>
      </c>
      <c r="S804" s="128" t="s">
        <v>1917</v>
      </c>
    </row>
    <row r="805" hidden="1">
      <c r="A805" s="32" t="str">
        <f t="shared" si="1"/>
        <v>2022FellowsWeek 17</v>
      </c>
      <c r="B805" s="32" t="str">
        <f t="shared" si="2"/>
        <v>2022Rooney/JacksonWeek 17</v>
      </c>
      <c r="C805" s="32" t="str">
        <f t="shared" si="3"/>
        <v>Week 17</v>
      </c>
      <c r="D805" s="32">
        <v>2022.0</v>
      </c>
      <c r="E805" t="str">
        <f t="shared" si="4"/>
        <v>17</v>
      </c>
      <c r="F805" t="str">
        <f t="shared" si="5"/>
        <v>Michael Fellows</v>
      </c>
      <c r="G805" s="40" t="str">
        <f>VLOOKUP(F805,'Manager Coding'!C:D,2,0)</f>
        <v>Fellows</v>
      </c>
      <c r="H805" s="41">
        <f t="shared" si="6"/>
        <v>64.1</v>
      </c>
      <c r="I805" t="str">
        <f t="shared" si="7"/>
        <v>Stephen Rooney, Jackson Sattell</v>
      </c>
      <c r="J805" t="str">
        <f>VLOOKUP(I805,'Manager Coding'!C:D,2,0)</f>
        <v>Rooney/Jackson</v>
      </c>
      <c r="K805" s="41">
        <f t="shared" si="8"/>
        <v>95.06</v>
      </c>
      <c r="L805">
        <f t="shared" si="9"/>
        <v>0</v>
      </c>
      <c r="M805">
        <f t="shared" si="10"/>
        <v>1</v>
      </c>
      <c r="N805" s="131" t="s">
        <v>1922</v>
      </c>
      <c r="O805" s="132" t="s">
        <v>80</v>
      </c>
      <c r="P805" s="120">
        <v>64.1</v>
      </c>
      <c r="Q805" s="127">
        <v>95.06</v>
      </c>
      <c r="R805" s="133" t="s">
        <v>58</v>
      </c>
      <c r="S805" s="131" t="s">
        <v>1900</v>
      </c>
    </row>
    <row r="806" hidden="1">
      <c r="A806" s="32" t="str">
        <f t="shared" si="1"/>
        <v>2022HudspeathWeek 17</v>
      </c>
      <c r="B806" s="32" t="str">
        <f t="shared" si="2"/>
        <v>2022TayskiWeek 17</v>
      </c>
      <c r="C806" s="32" t="str">
        <f t="shared" si="3"/>
        <v>Week 17</v>
      </c>
      <c r="D806" s="32">
        <v>2022.0</v>
      </c>
      <c r="E806" t="str">
        <f t="shared" si="4"/>
        <v>17</v>
      </c>
      <c r="F806" t="str">
        <f t="shared" si="5"/>
        <v>matt hudspeath</v>
      </c>
      <c r="G806" s="40" t="str">
        <f>VLOOKUP(F806,'Manager Coding'!C:D,2,0)</f>
        <v>Hudspeath</v>
      </c>
      <c r="H806" s="41">
        <f t="shared" si="6"/>
        <v>85.12</v>
      </c>
      <c r="I806" t="str">
        <f t="shared" si="7"/>
        <v>Taylor Weis</v>
      </c>
      <c r="J806" t="str">
        <f>VLOOKUP(I806,'Manager Coding'!C:D,2,0)</f>
        <v>Tayski</v>
      </c>
      <c r="K806" s="41">
        <f t="shared" si="8"/>
        <v>45.02</v>
      </c>
      <c r="L806">
        <f t="shared" si="9"/>
        <v>1</v>
      </c>
      <c r="M806">
        <f t="shared" si="10"/>
        <v>0</v>
      </c>
      <c r="N806" s="128" t="s">
        <v>1903</v>
      </c>
      <c r="O806" s="129" t="s">
        <v>64</v>
      </c>
      <c r="P806" s="120">
        <v>85.12</v>
      </c>
      <c r="Q806" s="127">
        <v>45.02</v>
      </c>
      <c r="R806" s="130" t="s">
        <v>54</v>
      </c>
      <c r="S806" s="128" t="s">
        <v>1910</v>
      </c>
    </row>
    <row r="807" hidden="1">
      <c r="A807" s="32" t="str">
        <f t="shared" si="1"/>
        <v>2022CockWeek 17</v>
      </c>
      <c r="B807" s="32" t="str">
        <f t="shared" si="2"/>
        <v>2022ShepWeek 17</v>
      </c>
      <c r="C807" s="32" t="str">
        <f t="shared" si="3"/>
        <v>Week 17</v>
      </c>
      <c r="D807" s="32">
        <v>2022.0</v>
      </c>
      <c r="E807" t="str">
        <f t="shared" si="4"/>
        <v>17</v>
      </c>
      <c r="F807" t="str">
        <f t="shared" si="5"/>
        <v>Chris Cochrane</v>
      </c>
      <c r="G807" s="40" t="str">
        <f>VLOOKUP(F807,'Manager Coding'!C:D,2,0)</f>
        <v>Cock</v>
      </c>
      <c r="H807" s="41">
        <f t="shared" si="6"/>
        <v>125.78</v>
      </c>
      <c r="I807" t="str">
        <f t="shared" si="7"/>
        <v>Jordan Shepherd</v>
      </c>
      <c r="J807" t="str">
        <f>VLOOKUP(I807,'Manager Coding'!C:D,2,0)</f>
        <v>Shep</v>
      </c>
      <c r="K807" s="41">
        <f t="shared" si="8"/>
        <v>62.08</v>
      </c>
      <c r="L807">
        <f t="shared" si="9"/>
        <v>1</v>
      </c>
      <c r="M807">
        <f t="shared" si="10"/>
        <v>0</v>
      </c>
      <c r="N807" s="131" t="s">
        <v>1913</v>
      </c>
      <c r="O807" s="132" t="s">
        <v>99</v>
      </c>
      <c r="P807" s="120">
        <v>125.78</v>
      </c>
      <c r="Q807" s="127">
        <v>62.08</v>
      </c>
      <c r="R807" s="133" t="s">
        <v>91</v>
      </c>
      <c r="S807" s="131" t="s">
        <v>1921</v>
      </c>
    </row>
    <row r="808" hidden="1">
      <c r="A808" s="32" t="str">
        <f t="shared" si="1"/>
        <v>2022RileyWeek 17</v>
      </c>
      <c r="B808" s="32" t="str">
        <f t="shared" si="2"/>
        <v>2022T-HowWeek 17</v>
      </c>
      <c r="C808" s="32" t="str">
        <f t="shared" si="3"/>
        <v>Week 17</v>
      </c>
      <c r="D808" s="32">
        <v>2022.0</v>
      </c>
      <c r="E808" t="str">
        <f t="shared" si="4"/>
        <v>17</v>
      </c>
      <c r="F808" t="str">
        <f t="shared" si="5"/>
        <v>Riley McElwain</v>
      </c>
      <c r="G808" s="40" t="str">
        <f>VLOOKUP(F808,'Manager Coding'!C:D,2,0)</f>
        <v>Riley</v>
      </c>
      <c r="H808" s="41">
        <f t="shared" si="6"/>
        <v>72.7</v>
      </c>
      <c r="I808" t="str">
        <f t="shared" si="7"/>
        <v>Tyler Howard</v>
      </c>
      <c r="J808" t="str">
        <f>VLOOKUP(I808,'Manager Coding'!C:D,2,0)</f>
        <v>T-How</v>
      </c>
      <c r="K808" s="41">
        <f t="shared" si="8"/>
        <v>97.7</v>
      </c>
      <c r="L808">
        <f t="shared" si="9"/>
        <v>0</v>
      </c>
      <c r="M808">
        <f t="shared" si="10"/>
        <v>1</v>
      </c>
      <c r="N808" s="128" t="s">
        <v>1920</v>
      </c>
      <c r="O808" s="129" t="s">
        <v>68</v>
      </c>
      <c r="P808" s="120">
        <v>72.7</v>
      </c>
      <c r="Q808" s="127">
        <v>97.7</v>
      </c>
      <c r="R808" s="130" t="s">
        <v>85</v>
      </c>
      <c r="S808" s="128" t="s">
        <v>1907</v>
      </c>
    </row>
    <row r="809" hidden="1">
      <c r="A809" s="32" t="str">
        <f t="shared" si="1"/>
        <v>2022KnardDawgWeek 17</v>
      </c>
      <c r="B809" s="32" t="str">
        <f t="shared" si="2"/>
        <v>2022PiersonWeek 17</v>
      </c>
      <c r="C809" s="32" t="str">
        <f t="shared" si="3"/>
        <v>Week 17</v>
      </c>
      <c r="D809" s="32">
        <v>2022.0</v>
      </c>
      <c r="E809" t="str">
        <f t="shared" si="4"/>
        <v>17</v>
      </c>
      <c r="F809" t="str">
        <f t="shared" si="5"/>
        <v>Alex Kinniard, Jack Reilly</v>
      </c>
      <c r="G809" s="40" t="str">
        <f>VLOOKUP(F809,'Manager Coding'!C:D,2,0)</f>
        <v>KnardDawg</v>
      </c>
      <c r="H809" s="41">
        <f t="shared" si="6"/>
        <v>50.8</v>
      </c>
      <c r="I809" t="str">
        <f t="shared" si="7"/>
        <v>Pierson Curtis</v>
      </c>
      <c r="J809" t="str">
        <f>VLOOKUP(I809,'Manager Coding'!C:D,2,0)</f>
        <v>Pierson</v>
      </c>
      <c r="K809" s="41">
        <f t="shared" si="8"/>
        <v>83.92</v>
      </c>
      <c r="L809">
        <f t="shared" si="9"/>
        <v>0</v>
      </c>
      <c r="M809">
        <f t="shared" si="10"/>
        <v>1</v>
      </c>
      <c r="N809" s="134" t="s">
        <v>1906</v>
      </c>
      <c r="O809" s="135" t="s">
        <v>87</v>
      </c>
      <c r="P809" s="82">
        <v>50.8</v>
      </c>
      <c r="Q809" s="88">
        <v>83.92</v>
      </c>
      <c r="R809" s="115" t="s">
        <v>93</v>
      </c>
      <c r="S809" s="134" t="s">
        <v>1912</v>
      </c>
    </row>
    <row r="810" hidden="1">
      <c r="A810" s="32" t="str">
        <f t="shared" si="1"/>
        <v>#N/A</v>
      </c>
      <c r="B810" s="32" t="str">
        <f t="shared" si="2"/>
        <v>#N/A</v>
      </c>
      <c r="C810" s="32" t="str">
        <f t="shared" si="3"/>
        <v>Week 17</v>
      </c>
      <c r="D810" s="32">
        <v>2022.0</v>
      </c>
      <c r="E810" t="str">
        <f t="shared" si="4"/>
        <v>17</v>
      </c>
      <c r="F810" t="str">
        <f t="shared" si="5"/>
        <v/>
      </c>
      <c r="G810" s="40" t="str">
        <f>VLOOKUP(F810,'Manager Coding'!C:D,2,0)</f>
        <v>#N/A</v>
      </c>
      <c r="H810" s="41" t="str">
        <f t="shared" si="6"/>
        <v/>
      </c>
      <c r="I810" t="str">
        <f t="shared" si="7"/>
        <v/>
      </c>
      <c r="J810" t="str">
        <f>VLOOKUP(I810,'Manager Coding'!C:D,2,0)</f>
        <v>#N/A</v>
      </c>
      <c r="K810" s="41" t="str">
        <f t="shared" si="8"/>
        <v/>
      </c>
      <c r="L810">
        <f t="shared" si="9"/>
        <v>0</v>
      </c>
      <c r="M810">
        <f t="shared" si="10"/>
        <v>0</v>
      </c>
      <c r="N810" s="156"/>
      <c r="P810" s="41"/>
      <c r="Q810" s="41"/>
    </row>
    <row r="811" hidden="1">
      <c r="A811" s="32" t="str">
        <f t="shared" si="1"/>
        <v>#N/A</v>
      </c>
      <c r="B811" s="32" t="str">
        <f t="shared" si="2"/>
        <v>#N/A</v>
      </c>
      <c r="C811" s="32" t="str">
        <f t="shared" si="3"/>
        <v>Week 17</v>
      </c>
      <c r="D811" s="32">
        <v>2023.0</v>
      </c>
      <c r="E811" t="str">
        <f t="shared" si="4"/>
        <v>17</v>
      </c>
      <c r="F811" t="str">
        <f t="shared" si="5"/>
        <v>TEAM MANAGER(S)</v>
      </c>
      <c r="G811" s="40" t="str">
        <f>VLOOKUP(F811,'Manager Coding'!C:D,2,0)</f>
        <v>#N/A</v>
      </c>
      <c r="H811" s="41" t="str">
        <f t="shared" si="6"/>
        <v>SCORE</v>
      </c>
      <c r="I811" t="str">
        <f t="shared" si="7"/>
        <v>TEAM MANAGER(S)</v>
      </c>
      <c r="J811" t="str">
        <f>VLOOKUP(I811,'Manager Coding'!C:D,2,0)</f>
        <v>#N/A</v>
      </c>
      <c r="K811" s="41" t="str">
        <f t="shared" si="8"/>
        <v>SCORE</v>
      </c>
      <c r="L811">
        <f t="shared" si="9"/>
        <v>0</v>
      </c>
      <c r="M811">
        <f t="shared" si="10"/>
        <v>0</v>
      </c>
      <c r="N811" s="22" t="s">
        <v>83</v>
      </c>
      <c r="O811" s="78" t="s">
        <v>88</v>
      </c>
      <c r="P811" s="79" t="s">
        <v>94</v>
      </c>
      <c r="Q811" s="78" t="s">
        <v>94</v>
      </c>
      <c r="R811" s="79" t="s">
        <v>88</v>
      </c>
      <c r="S811" s="79" t="s">
        <v>101</v>
      </c>
    </row>
    <row r="812" hidden="1">
      <c r="A812" s="32" t="str">
        <f t="shared" si="1"/>
        <v>2023BuserWeek 1</v>
      </c>
      <c r="B812" s="32" t="str">
        <f t="shared" si="2"/>
        <v>2023PiersonWeek 1</v>
      </c>
      <c r="C812" s="32" t="str">
        <f t="shared" si="3"/>
        <v>Week 1</v>
      </c>
      <c r="D812" s="32">
        <v>2023.0</v>
      </c>
      <c r="E812" t="str">
        <f t="shared" si="4"/>
        <v>1</v>
      </c>
      <c r="F812" t="str">
        <f t="shared" si="5"/>
        <v>Ed Buser</v>
      </c>
      <c r="G812" s="40" t="str">
        <f>VLOOKUP(F812,'Manager Coding'!C:D,2,0)</f>
        <v>Buser</v>
      </c>
      <c r="H812" s="41">
        <f t="shared" si="6"/>
        <v>56.48</v>
      </c>
      <c r="I812" t="str">
        <f t="shared" si="7"/>
        <v>Pierson Curtis</v>
      </c>
      <c r="J812" t="str">
        <f>VLOOKUP(I812,'Manager Coding'!C:D,2,0)</f>
        <v>Pierson</v>
      </c>
      <c r="K812" s="41">
        <f t="shared" si="8"/>
        <v>71.4</v>
      </c>
      <c r="L812">
        <f t="shared" si="9"/>
        <v>0</v>
      </c>
      <c r="M812">
        <f t="shared" si="10"/>
        <v>1</v>
      </c>
      <c r="N812" s="80" t="s">
        <v>2154</v>
      </c>
      <c r="O812" s="90" t="s">
        <v>50</v>
      </c>
      <c r="P812" s="87">
        <v>56.48</v>
      </c>
      <c r="Q812" s="88">
        <v>71.4</v>
      </c>
      <c r="R812" s="84" t="s">
        <v>93</v>
      </c>
      <c r="S812" s="80" t="s">
        <v>2157</v>
      </c>
      <c r="T812" t="str">
        <f t="shared" ref="T812:T955" si="12">left(S812,find("(",S812)-1)</f>
        <v>Library Chicks-Fil-A</v>
      </c>
      <c r="U812" t="str">
        <f t="shared" ref="U812:U1059" si="13">left(N812,find("(",N812)-1)</f>
        <v>Wings and Three Rings</v>
      </c>
    </row>
    <row r="813" hidden="1">
      <c r="A813" s="32" t="str">
        <f t="shared" si="1"/>
        <v>2023TayskiWeek 1</v>
      </c>
      <c r="B813" s="32" t="str">
        <f t="shared" si="2"/>
        <v>2023HudspeathWeek 1</v>
      </c>
      <c r="C813" s="32" t="str">
        <f t="shared" si="3"/>
        <v>Week 1</v>
      </c>
      <c r="D813" s="32">
        <v>2023.0</v>
      </c>
      <c r="E813" t="str">
        <f t="shared" si="4"/>
        <v>1</v>
      </c>
      <c r="F813" t="str">
        <f t="shared" si="5"/>
        <v>Taylor Weis</v>
      </c>
      <c r="G813" s="40" t="str">
        <f>VLOOKUP(F813,'Manager Coding'!C:D,2,0)</f>
        <v>Tayski</v>
      </c>
      <c r="H813" s="41">
        <f t="shared" si="6"/>
        <v>92.74</v>
      </c>
      <c r="I813" t="str">
        <f t="shared" si="7"/>
        <v>matt hudspeath</v>
      </c>
      <c r="J813" t="str">
        <f>VLOOKUP(I813,'Manager Coding'!C:D,2,0)</f>
        <v>Hudspeath</v>
      </c>
      <c r="K813" s="41">
        <f t="shared" si="8"/>
        <v>72.78</v>
      </c>
      <c r="L813">
        <f t="shared" si="9"/>
        <v>1</v>
      </c>
      <c r="M813">
        <f t="shared" si="10"/>
        <v>0</v>
      </c>
      <c r="N813" s="85" t="s">
        <v>2160</v>
      </c>
      <c r="O813" s="157" t="s">
        <v>54</v>
      </c>
      <c r="P813" s="158">
        <v>92.74</v>
      </c>
      <c r="Q813" s="159">
        <v>72.78</v>
      </c>
      <c r="R813" s="160" t="s">
        <v>64</v>
      </c>
      <c r="S813" s="161" t="s">
        <v>2163</v>
      </c>
      <c r="T813" t="str">
        <f t="shared" si="12"/>
        <v>Chasing</v>
      </c>
      <c r="U813" t="str">
        <f t="shared" si="13"/>
        <v>Philly Cheesteakaways</v>
      </c>
    </row>
    <row r="814" hidden="1">
      <c r="A814" s="32" t="str">
        <f t="shared" si="1"/>
        <v>2023Rooney/JacksonWeek 1</v>
      </c>
      <c r="B814" s="32" t="str">
        <f t="shared" si="2"/>
        <v>2023CockWeek 1</v>
      </c>
      <c r="C814" s="32" t="str">
        <f t="shared" si="3"/>
        <v>Week 1</v>
      </c>
      <c r="D814" s="32">
        <v>2023.0</v>
      </c>
      <c r="E814" t="str">
        <f t="shared" si="4"/>
        <v>1</v>
      </c>
      <c r="F814" t="str">
        <f t="shared" si="5"/>
        <v>Stephen Rooney, Jackson Sattell</v>
      </c>
      <c r="G814" s="40" t="str">
        <f>VLOOKUP(F814,'Manager Coding'!C:D,2,0)</f>
        <v>Rooney/Jackson</v>
      </c>
      <c r="H814" s="41">
        <f t="shared" si="6"/>
        <v>86.66</v>
      </c>
      <c r="I814" t="str">
        <f t="shared" si="7"/>
        <v>Chris Cochrane</v>
      </c>
      <c r="J814" t="str">
        <f>VLOOKUP(I814,'Manager Coding'!C:D,2,0)</f>
        <v>Cock</v>
      </c>
      <c r="K814" s="41">
        <f t="shared" si="8"/>
        <v>100.14</v>
      </c>
      <c r="L814">
        <f t="shared" si="9"/>
        <v>0</v>
      </c>
      <c r="M814">
        <f t="shared" si="10"/>
        <v>1</v>
      </c>
      <c r="N814" s="118" t="s">
        <v>2166</v>
      </c>
      <c r="O814" s="119" t="s">
        <v>58</v>
      </c>
      <c r="P814" s="126">
        <v>86.66</v>
      </c>
      <c r="Q814" s="127">
        <v>100.14</v>
      </c>
      <c r="R814" s="122" t="s">
        <v>99</v>
      </c>
      <c r="S814" s="118" t="s">
        <v>2168</v>
      </c>
      <c r="T814" t="str">
        <f t="shared" si="12"/>
        <v>Brainard's Chubb</v>
      </c>
      <c r="U814" t="str">
        <f t="shared" si="13"/>
        <v>Pizzay Express</v>
      </c>
    </row>
    <row r="815" hidden="1">
      <c r="A815" s="32" t="str">
        <f t="shared" si="1"/>
        <v>2023SaltyWeek 1</v>
      </c>
      <c r="B815" s="32" t="str">
        <f t="shared" si="2"/>
        <v>2023RileyWeek 1</v>
      </c>
      <c r="C815" s="32" t="str">
        <f t="shared" si="3"/>
        <v>Week 1</v>
      </c>
      <c r="D815" s="32">
        <v>2023.0</v>
      </c>
      <c r="E815" t="str">
        <f t="shared" si="4"/>
        <v>1</v>
      </c>
      <c r="F815" t="str">
        <f t="shared" si="5"/>
        <v>R Saltiel</v>
      </c>
      <c r="G815" s="40" t="str">
        <f>VLOOKUP(F815,'Manager Coding'!C:D,2,0)</f>
        <v>Salty</v>
      </c>
      <c r="H815" s="41">
        <f t="shared" si="6"/>
        <v>63.14</v>
      </c>
      <c r="I815" t="str">
        <f t="shared" si="7"/>
        <v>Riley McElwain</v>
      </c>
      <c r="J815" t="str">
        <f>VLOOKUP(I815,'Manager Coding'!C:D,2,0)</f>
        <v>Riley</v>
      </c>
      <c r="K815" s="41">
        <f t="shared" si="8"/>
        <v>79.86</v>
      </c>
      <c r="L815">
        <f t="shared" si="9"/>
        <v>0</v>
      </c>
      <c r="M815">
        <f t="shared" si="10"/>
        <v>1</v>
      </c>
      <c r="N815" s="123" t="s">
        <v>2172</v>
      </c>
      <c r="O815" s="124" t="s">
        <v>77</v>
      </c>
      <c r="P815" s="126">
        <v>63.14</v>
      </c>
      <c r="Q815" s="127">
        <v>79.86</v>
      </c>
      <c r="R815" s="125" t="s">
        <v>68</v>
      </c>
      <c r="S815" s="123" t="s">
        <v>2173</v>
      </c>
      <c r="T815" t="str">
        <f t="shared" si="12"/>
        <v>Charley Diggs</v>
      </c>
      <c r="U815" t="str">
        <f t="shared" si="13"/>
        <v>Soggy Fruit Pu kas</v>
      </c>
    </row>
    <row r="816" hidden="1">
      <c r="A816" s="32" t="str">
        <f t="shared" si="1"/>
        <v>2023ShepWeek 1</v>
      </c>
      <c r="B816" s="32" t="str">
        <f t="shared" si="2"/>
        <v>2023EwertWeek 1</v>
      </c>
      <c r="C816" s="32" t="str">
        <f t="shared" si="3"/>
        <v>Week 1</v>
      </c>
      <c r="D816" s="32">
        <v>2023.0</v>
      </c>
      <c r="E816" t="str">
        <f t="shared" si="4"/>
        <v>1</v>
      </c>
      <c r="F816" t="str">
        <f t="shared" si="5"/>
        <v>Jordan Shepherd</v>
      </c>
      <c r="G816" s="40" t="str">
        <f>VLOOKUP(F816,'Manager Coding'!C:D,2,0)</f>
        <v>Shep</v>
      </c>
      <c r="H816" s="41">
        <f t="shared" si="6"/>
        <v>119.02</v>
      </c>
      <c r="I816" t="str">
        <f t="shared" si="7"/>
        <v>Kyle Ewert, brad starck</v>
      </c>
      <c r="J816" t="str">
        <f>VLOOKUP(I816,'Manager Coding'!C:D,2,0)</f>
        <v>Ewert</v>
      </c>
      <c r="K816" s="41">
        <f t="shared" si="8"/>
        <v>78.24</v>
      </c>
      <c r="L816">
        <f t="shared" si="9"/>
        <v>1</v>
      </c>
      <c r="M816">
        <f t="shared" si="10"/>
        <v>0</v>
      </c>
      <c r="N816" s="118" t="s">
        <v>2176</v>
      </c>
      <c r="O816" s="119" t="s">
        <v>91</v>
      </c>
      <c r="P816" s="120">
        <v>119.02</v>
      </c>
      <c r="Q816" s="121">
        <v>78.24</v>
      </c>
      <c r="R816" s="122" t="s">
        <v>105</v>
      </c>
      <c r="S816" s="118" t="s">
        <v>2177</v>
      </c>
      <c r="T816" t="str">
        <f t="shared" si="12"/>
        <v>Martha's Cream PIs</v>
      </c>
      <c r="U816" t="str">
        <f t="shared" si="13"/>
        <v>Warm Caesars</v>
      </c>
    </row>
    <row r="817" hidden="1">
      <c r="A817" s="32" t="str">
        <f t="shared" si="1"/>
        <v>2023T-HowWeek 1</v>
      </c>
      <c r="B817" s="32" t="str">
        <f t="shared" si="2"/>
        <v>2023KnardDawgWeek 1</v>
      </c>
      <c r="C817" s="32" t="str">
        <f t="shared" si="3"/>
        <v>Week 1</v>
      </c>
      <c r="D817" s="32">
        <v>2023.0</v>
      </c>
      <c r="E817" t="str">
        <f t="shared" si="4"/>
        <v>1</v>
      </c>
      <c r="F817" t="str">
        <f t="shared" si="5"/>
        <v>Tyler Howard</v>
      </c>
      <c r="G817" s="40" t="str">
        <f>VLOOKUP(F817,'Manager Coding'!C:D,2,0)</f>
        <v>T-How</v>
      </c>
      <c r="H817" s="41">
        <f t="shared" si="6"/>
        <v>101.06</v>
      </c>
      <c r="I817" t="str">
        <f t="shared" si="7"/>
        <v>Alex Kinniard, Jack Reilly</v>
      </c>
      <c r="J817" t="str">
        <f>VLOOKUP(I817,'Manager Coding'!C:D,2,0)</f>
        <v>KnardDawg</v>
      </c>
      <c r="K817" s="41">
        <f t="shared" si="8"/>
        <v>94.9</v>
      </c>
      <c r="L817">
        <f t="shared" si="9"/>
        <v>1</v>
      </c>
      <c r="M817">
        <f t="shared" si="10"/>
        <v>0</v>
      </c>
      <c r="N817" s="123" t="s">
        <v>2180</v>
      </c>
      <c r="O817" s="124" t="s">
        <v>85</v>
      </c>
      <c r="P817" s="120">
        <v>101.06</v>
      </c>
      <c r="Q817" s="121">
        <v>94.9</v>
      </c>
      <c r="R817" s="125" t="s">
        <v>87</v>
      </c>
      <c r="S817" s="123" t="s">
        <v>2183</v>
      </c>
      <c r="T817" t="str">
        <f t="shared" si="12"/>
        <v>Darius Slay Jays</v>
      </c>
      <c r="U817" t="str">
        <f t="shared" si="13"/>
        <v>The Breakfast Buddies</v>
      </c>
    </row>
    <row r="818" hidden="1">
      <c r="A818" s="32" t="str">
        <f t="shared" si="1"/>
        <v>#N/A</v>
      </c>
      <c r="B818" s="32" t="str">
        <f t="shared" si="2"/>
        <v>#N/A</v>
      </c>
      <c r="C818" s="32" t="str">
        <f t="shared" si="3"/>
        <v>Week 1</v>
      </c>
      <c r="D818" s="32">
        <v>2023.0</v>
      </c>
      <c r="E818" t="str">
        <f t="shared" si="4"/>
        <v>1</v>
      </c>
      <c r="F818" t="str">
        <f t="shared" si="5"/>
        <v/>
      </c>
      <c r="G818" s="40" t="str">
        <f>VLOOKUP(F818,'Manager Coding'!C:D,2,0)</f>
        <v>#N/A</v>
      </c>
      <c r="H818" s="41" t="str">
        <f t="shared" si="6"/>
        <v/>
      </c>
      <c r="I818" t="str">
        <f t="shared" si="7"/>
        <v/>
      </c>
      <c r="J818" t="str">
        <f>VLOOKUP(I818,'Manager Coding'!C:D,2,0)</f>
        <v>#N/A</v>
      </c>
      <c r="K818" s="41" t="str">
        <f t="shared" si="8"/>
        <v/>
      </c>
      <c r="L818">
        <f t="shared" si="9"/>
        <v>0</v>
      </c>
      <c r="M818">
        <f t="shared" si="10"/>
        <v>0</v>
      </c>
      <c r="N818" s="162" t="s">
        <v>196</v>
      </c>
      <c r="O818" s="163"/>
      <c r="P818" s="164"/>
      <c r="Q818" s="165"/>
      <c r="R818" s="165"/>
      <c r="S818" s="164"/>
      <c r="T818" t="str">
        <f t="shared" si="12"/>
        <v>#VALUE!</v>
      </c>
      <c r="U818" t="str">
        <f t="shared" si="13"/>
        <v>#VALUE!</v>
      </c>
    </row>
    <row r="819" hidden="1">
      <c r="A819" s="32" t="str">
        <f t="shared" si="1"/>
        <v>#N/A</v>
      </c>
      <c r="B819" s="32" t="str">
        <f t="shared" si="2"/>
        <v>#N/A</v>
      </c>
      <c r="C819" s="32" t="str">
        <f t="shared" si="3"/>
        <v>Week 2</v>
      </c>
      <c r="D819" s="32">
        <v>2023.0</v>
      </c>
      <c r="E819" t="str">
        <f t="shared" si="4"/>
        <v>2</v>
      </c>
      <c r="F819" t="str">
        <f t="shared" si="5"/>
        <v>TEAM MANAGER(S)</v>
      </c>
      <c r="G819" s="40" t="str">
        <f>VLOOKUP(F819,'Manager Coding'!C:D,2,0)</f>
        <v>#N/A</v>
      </c>
      <c r="H819" s="41" t="str">
        <f t="shared" si="6"/>
        <v>SCORE</v>
      </c>
      <c r="I819" t="str">
        <f t="shared" si="7"/>
        <v>TEAM MANAGER(S)</v>
      </c>
      <c r="J819" t="str">
        <f>VLOOKUP(I819,'Manager Coding'!C:D,2,0)</f>
        <v>#N/A</v>
      </c>
      <c r="K819" s="41" t="str">
        <f t="shared" si="8"/>
        <v>SCORE</v>
      </c>
      <c r="L819">
        <f t="shared" si="9"/>
        <v>0</v>
      </c>
      <c r="M819">
        <f t="shared" si="10"/>
        <v>0</v>
      </c>
      <c r="N819" s="78" t="s">
        <v>197</v>
      </c>
      <c r="O819" s="78" t="s">
        <v>88</v>
      </c>
      <c r="P819" s="79" t="s">
        <v>94</v>
      </c>
      <c r="Q819" s="78" t="s">
        <v>94</v>
      </c>
      <c r="R819" s="79" t="s">
        <v>88</v>
      </c>
      <c r="S819" s="79" t="s">
        <v>101</v>
      </c>
      <c r="T819" t="str">
        <f t="shared" si="12"/>
        <v>#VALUE!</v>
      </c>
      <c r="U819" t="str">
        <f t="shared" si="13"/>
        <v>#VALUE!</v>
      </c>
    </row>
    <row r="820" hidden="1">
      <c r="A820" s="32" t="str">
        <f t="shared" si="1"/>
        <v>2023TayskiWeek 2</v>
      </c>
      <c r="B820" s="32" t="str">
        <f t="shared" si="2"/>
        <v>2023BuserWeek 2</v>
      </c>
      <c r="C820" s="32" t="str">
        <f t="shared" si="3"/>
        <v>Week 2</v>
      </c>
      <c r="D820" s="32">
        <v>2023.0</v>
      </c>
      <c r="E820" t="str">
        <f t="shared" si="4"/>
        <v>2</v>
      </c>
      <c r="F820" t="str">
        <f t="shared" si="5"/>
        <v>Taylor Weis</v>
      </c>
      <c r="G820" s="40" t="str">
        <f>VLOOKUP(F820,'Manager Coding'!C:D,2,0)</f>
        <v>Tayski</v>
      </c>
      <c r="H820" s="41">
        <f t="shared" si="6"/>
        <v>67.44</v>
      </c>
      <c r="I820" t="str">
        <f t="shared" si="7"/>
        <v>Ed Buser</v>
      </c>
      <c r="J820" t="str">
        <f>VLOOKUP(I820,'Manager Coding'!C:D,2,0)</f>
        <v>Buser</v>
      </c>
      <c r="K820" s="41">
        <f t="shared" si="8"/>
        <v>95.98</v>
      </c>
      <c r="L820">
        <f t="shared" si="9"/>
        <v>0</v>
      </c>
      <c r="M820">
        <f t="shared" si="10"/>
        <v>1</v>
      </c>
      <c r="N820" s="80" t="s">
        <v>2188</v>
      </c>
      <c r="O820" s="90" t="s">
        <v>54</v>
      </c>
      <c r="P820" s="87">
        <v>67.44</v>
      </c>
      <c r="Q820" s="88">
        <v>95.98</v>
      </c>
      <c r="R820" s="84" t="s">
        <v>50</v>
      </c>
      <c r="S820" s="80" t="s">
        <v>2191</v>
      </c>
      <c r="T820" t="str">
        <f t="shared" si="12"/>
        <v>Wings and Three Rings</v>
      </c>
      <c r="U820" t="str">
        <f t="shared" si="13"/>
        <v>Philly Cheesteakaways</v>
      </c>
    </row>
    <row r="821" hidden="1">
      <c r="A821" s="32" t="str">
        <f t="shared" si="1"/>
        <v>2023PiersonWeek 2</v>
      </c>
      <c r="B821" s="32" t="str">
        <f t="shared" si="2"/>
        <v>2023Rooney/JacksonWeek 2</v>
      </c>
      <c r="C821" s="32" t="str">
        <f t="shared" si="3"/>
        <v>Week 2</v>
      </c>
      <c r="D821" s="32">
        <v>2023.0</v>
      </c>
      <c r="E821" t="str">
        <f t="shared" si="4"/>
        <v>2</v>
      </c>
      <c r="F821" t="str">
        <f t="shared" si="5"/>
        <v>Pierson Curtis</v>
      </c>
      <c r="G821" s="40" t="str">
        <f>VLOOKUP(F821,'Manager Coding'!C:D,2,0)</f>
        <v>Pierson</v>
      </c>
      <c r="H821" s="41">
        <f t="shared" si="6"/>
        <v>97.52</v>
      </c>
      <c r="I821" t="str">
        <f t="shared" si="7"/>
        <v>Stephen Rooney, Jackson Sattell</v>
      </c>
      <c r="J821" t="str">
        <f>VLOOKUP(I821,'Manager Coding'!C:D,2,0)</f>
        <v>Rooney/Jackson</v>
      </c>
      <c r="K821" s="41">
        <f t="shared" si="8"/>
        <v>129.18</v>
      </c>
      <c r="L821">
        <f t="shared" si="9"/>
        <v>0</v>
      </c>
      <c r="M821">
        <f t="shared" si="10"/>
        <v>1</v>
      </c>
      <c r="N821" s="161" t="s">
        <v>2194</v>
      </c>
      <c r="O821" s="157" t="s">
        <v>93</v>
      </c>
      <c r="P821" s="166">
        <v>97.52</v>
      </c>
      <c r="Q821" s="167">
        <v>129.18</v>
      </c>
      <c r="R821" s="160" t="s">
        <v>58</v>
      </c>
      <c r="S821" s="161" t="s">
        <v>2197</v>
      </c>
      <c r="T821" t="str">
        <f t="shared" si="12"/>
        <v>Pizzay Express</v>
      </c>
      <c r="U821" t="str">
        <f t="shared" si="13"/>
        <v>Library Chicks-Fil-A</v>
      </c>
    </row>
    <row r="822" hidden="1">
      <c r="A822" s="32" t="str">
        <f t="shared" si="1"/>
        <v>2023HudspeathWeek 2</v>
      </c>
      <c r="B822" s="32" t="str">
        <f t="shared" si="2"/>
        <v>2023SaltyWeek 2</v>
      </c>
      <c r="C822" s="32" t="str">
        <f t="shared" si="3"/>
        <v>Week 2</v>
      </c>
      <c r="D822" s="32">
        <v>2023.0</v>
      </c>
      <c r="E822" t="str">
        <f t="shared" si="4"/>
        <v>2</v>
      </c>
      <c r="F822" t="str">
        <f t="shared" si="5"/>
        <v>matt hudspeath</v>
      </c>
      <c r="G822" s="40" t="str">
        <f>VLOOKUP(F822,'Manager Coding'!C:D,2,0)</f>
        <v>Hudspeath</v>
      </c>
      <c r="H822" s="41">
        <f t="shared" si="6"/>
        <v>82.02</v>
      </c>
      <c r="I822" t="str">
        <f t="shared" si="7"/>
        <v>R Saltiel</v>
      </c>
      <c r="J822" t="str">
        <f>VLOOKUP(I822,'Manager Coding'!C:D,2,0)</f>
        <v>Salty</v>
      </c>
      <c r="K822" s="41">
        <f t="shared" si="8"/>
        <v>117.46</v>
      </c>
      <c r="L822">
        <f t="shared" si="9"/>
        <v>0</v>
      </c>
      <c r="M822">
        <f t="shared" si="10"/>
        <v>1</v>
      </c>
      <c r="N822" s="118" t="s">
        <v>2198</v>
      </c>
      <c r="O822" s="119" t="s">
        <v>64</v>
      </c>
      <c r="P822" s="126">
        <v>82.02</v>
      </c>
      <c r="Q822" s="127">
        <v>117.46</v>
      </c>
      <c r="R822" s="122" t="s">
        <v>77</v>
      </c>
      <c r="S822" s="118" t="s">
        <v>2201</v>
      </c>
      <c r="T822" t="str">
        <f t="shared" si="12"/>
        <v>Soggy Fruit Pu kas</v>
      </c>
      <c r="U822" t="str">
        <f t="shared" si="13"/>
        <v>Chasing</v>
      </c>
    </row>
    <row r="823" hidden="1">
      <c r="A823" s="32" t="str">
        <f t="shared" si="1"/>
        <v>2023CockWeek 2</v>
      </c>
      <c r="B823" s="32" t="str">
        <f t="shared" si="2"/>
        <v>2023ShepWeek 2</v>
      </c>
      <c r="C823" s="32" t="str">
        <f t="shared" si="3"/>
        <v>Week 2</v>
      </c>
      <c r="D823" s="32">
        <v>2023.0</v>
      </c>
      <c r="E823" t="str">
        <f t="shared" si="4"/>
        <v>2</v>
      </c>
      <c r="F823" t="str">
        <f t="shared" si="5"/>
        <v>Chris Cochrane</v>
      </c>
      <c r="G823" s="40" t="str">
        <f>VLOOKUP(F823,'Manager Coding'!C:D,2,0)</f>
        <v>Cock</v>
      </c>
      <c r="H823" s="41">
        <f t="shared" si="6"/>
        <v>67.5</v>
      </c>
      <c r="I823" t="str">
        <f t="shared" si="7"/>
        <v>Jordan Shepherd</v>
      </c>
      <c r="J823" t="str">
        <f>VLOOKUP(I823,'Manager Coding'!C:D,2,0)</f>
        <v>Shep</v>
      </c>
      <c r="K823" s="41">
        <f t="shared" si="8"/>
        <v>86.34</v>
      </c>
      <c r="L823">
        <f t="shared" si="9"/>
        <v>0</v>
      </c>
      <c r="M823">
        <f t="shared" si="10"/>
        <v>1</v>
      </c>
      <c r="N823" s="123" t="s">
        <v>2204</v>
      </c>
      <c r="O823" s="124" t="s">
        <v>99</v>
      </c>
      <c r="P823" s="126">
        <v>67.5</v>
      </c>
      <c r="Q823" s="127">
        <v>86.34</v>
      </c>
      <c r="R823" s="125" t="s">
        <v>91</v>
      </c>
      <c r="S823" s="123" t="s">
        <v>2207</v>
      </c>
      <c r="T823" t="str">
        <f t="shared" si="12"/>
        <v>Warm Caesars</v>
      </c>
      <c r="U823" t="str">
        <f t="shared" si="13"/>
        <v>Brainard's Chubb</v>
      </c>
    </row>
    <row r="824" hidden="1">
      <c r="A824" s="32" t="str">
        <f t="shared" si="1"/>
        <v>2023RileyWeek 2</v>
      </c>
      <c r="B824" s="32" t="str">
        <f t="shared" si="2"/>
        <v>2023T-HowWeek 2</v>
      </c>
      <c r="C824" s="32" t="str">
        <f t="shared" si="3"/>
        <v>Week 2</v>
      </c>
      <c r="D824" s="32">
        <v>2023.0</v>
      </c>
      <c r="E824" t="str">
        <f t="shared" si="4"/>
        <v>2</v>
      </c>
      <c r="F824" t="str">
        <f t="shared" si="5"/>
        <v>Riley McElwain</v>
      </c>
      <c r="G824" s="40" t="str">
        <f>VLOOKUP(F824,'Manager Coding'!C:D,2,0)</f>
        <v>Riley</v>
      </c>
      <c r="H824" s="41">
        <f t="shared" si="6"/>
        <v>79.8</v>
      </c>
      <c r="I824" t="str">
        <f t="shared" si="7"/>
        <v>Tyler Howard</v>
      </c>
      <c r="J824" t="str">
        <f>VLOOKUP(I824,'Manager Coding'!C:D,2,0)</f>
        <v>T-How</v>
      </c>
      <c r="K824" s="41">
        <f t="shared" si="8"/>
        <v>104.7</v>
      </c>
      <c r="L824">
        <f t="shared" si="9"/>
        <v>0</v>
      </c>
      <c r="M824">
        <f t="shared" si="10"/>
        <v>1</v>
      </c>
      <c r="N824" s="118" t="s">
        <v>2210</v>
      </c>
      <c r="O824" s="119" t="s">
        <v>68</v>
      </c>
      <c r="P824" s="126">
        <v>79.8</v>
      </c>
      <c r="Q824" s="127">
        <v>104.7</v>
      </c>
      <c r="R824" s="122" t="s">
        <v>85</v>
      </c>
      <c r="S824" s="118" t="s">
        <v>2213</v>
      </c>
      <c r="T824" t="str">
        <f t="shared" si="12"/>
        <v>The Breakfast Buddies</v>
      </c>
      <c r="U824" t="str">
        <f t="shared" si="13"/>
        <v>Charley Diggs</v>
      </c>
    </row>
    <row r="825" hidden="1">
      <c r="A825" s="32" t="str">
        <f t="shared" si="1"/>
        <v>2023EwertWeek 2</v>
      </c>
      <c r="B825" s="32" t="str">
        <f t="shared" si="2"/>
        <v>2023KnardDawgWeek 2</v>
      </c>
      <c r="C825" s="32" t="str">
        <f t="shared" si="3"/>
        <v>Week 2</v>
      </c>
      <c r="D825" s="32">
        <v>2023.0</v>
      </c>
      <c r="E825" t="str">
        <f t="shared" si="4"/>
        <v>2</v>
      </c>
      <c r="F825" t="str">
        <f t="shared" si="5"/>
        <v>Kyle Ewert, brad starck</v>
      </c>
      <c r="G825" s="40" t="str">
        <f>VLOOKUP(F825,'Manager Coding'!C:D,2,0)</f>
        <v>Ewert</v>
      </c>
      <c r="H825" s="41">
        <f t="shared" si="6"/>
        <v>87.14</v>
      </c>
      <c r="I825" t="str">
        <f t="shared" si="7"/>
        <v>Alex Kinniard, Jack Reilly</v>
      </c>
      <c r="J825" t="str">
        <f>VLOOKUP(I825,'Manager Coding'!C:D,2,0)</f>
        <v>KnardDawg</v>
      </c>
      <c r="K825" s="41">
        <f t="shared" si="8"/>
        <v>90.84</v>
      </c>
      <c r="L825">
        <f t="shared" si="9"/>
        <v>0</v>
      </c>
      <c r="M825">
        <f t="shared" si="10"/>
        <v>1</v>
      </c>
      <c r="N825" s="123" t="s">
        <v>2216</v>
      </c>
      <c r="O825" s="124" t="s">
        <v>105</v>
      </c>
      <c r="P825" s="126">
        <v>87.14</v>
      </c>
      <c r="Q825" s="127">
        <v>90.84</v>
      </c>
      <c r="R825" s="125" t="s">
        <v>87</v>
      </c>
      <c r="S825" s="123" t="s">
        <v>2217</v>
      </c>
      <c r="T825" t="str">
        <f t="shared" si="12"/>
        <v>Darius Slay Jays</v>
      </c>
      <c r="U825" t="str">
        <f t="shared" si="13"/>
        <v>Martha's Cream PIs</v>
      </c>
    </row>
    <row r="826" hidden="1">
      <c r="A826" s="32" t="str">
        <f t="shared" si="1"/>
        <v>#N/A</v>
      </c>
      <c r="B826" s="32" t="str">
        <f t="shared" si="2"/>
        <v>#N/A</v>
      </c>
      <c r="C826" s="32" t="str">
        <f t="shared" si="3"/>
        <v>Week 2</v>
      </c>
      <c r="D826" s="32">
        <v>2023.0</v>
      </c>
      <c r="E826" t="str">
        <f t="shared" si="4"/>
        <v>2</v>
      </c>
      <c r="F826" t="str">
        <f t="shared" si="5"/>
        <v/>
      </c>
      <c r="G826" s="40" t="str">
        <f>VLOOKUP(F826,'Manager Coding'!C:D,2,0)</f>
        <v>#N/A</v>
      </c>
      <c r="H826" s="41" t="str">
        <f t="shared" si="6"/>
        <v/>
      </c>
      <c r="I826" t="str">
        <f t="shared" si="7"/>
        <v/>
      </c>
      <c r="J826" t="str">
        <f>VLOOKUP(I826,'Manager Coding'!C:D,2,0)</f>
        <v>#N/A</v>
      </c>
      <c r="K826" s="41" t="str">
        <f t="shared" si="8"/>
        <v/>
      </c>
      <c r="L826">
        <f t="shared" si="9"/>
        <v>0</v>
      </c>
      <c r="M826">
        <f t="shared" si="10"/>
        <v>0</v>
      </c>
      <c r="N826" s="162" t="s">
        <v>234</v>
      </c>
      <c r="O826" s="163"/>
      <c r="P826" s="164"/>
      <c r="Q826" s="165"/>
      <c r="R826" s="165"/>
      <c r="S826" s="164"/>
      <c r="T826" t="str">
        <f t="shared" si="12"/>
        <v>#VALUE!</v>
      </c>
      <c r="U826" t="str">
        <f t="shared" si="13"/>
        <v>#VALUE!</v>
      </c>
    </row>
    <row r="827" hidden="1">
      <c r="A827" s="32" t="str">
        <f t="shared" si="1"/>
        <v>#N/A</v>
      </c>
      <c r="B827" s="32" t="str">
        <f t="shared" si="2"/>
        <v>#N/A</v>
      </c>
      <c r="C827" s="32" t="str">
        <f t="shared" si="3"/>
        <v>Week 3</v>
      </c>
      <c r="D827" s="32">
        <v>2023.0</v>
      </c>
      <c r="E827" t="str">
        <f t="shared" si="4"/>
        <v>3</v>
      </c>
      <c r="F827" t="str">
        <f t="shared" si="5"/>
        <v>TEAM MANAGER(S)</v>
      </c>
      <c r="G827" s="40" t="str">
        <f>VLOOKUP(F827,'Manager Coding'!C:D,2,0)</f>
        <v>#N/A</v>
      </c>
      <c r="H827" s="41" t="str">
        <f t="shared" si="6"/>
        <v>SCORE</v>
      </c>
      <c r="I827" t="str">
        <f t="shared" si="7"/>
        <v>TEAM MANAGER(S)</v>
      </c>
      <c r="J827" t="str">
        <f>VLOOKUP(I827,'Manager Coding'!C:D,2,0)</f>
        <v>#N/A</v>
      </c>
      <c r="K827" s="41" t="str">
        <f t="shared" si="8"/>
        <v>SCORE</v>
      </c>
      <c r="L827">
        <f t="shared" si="9"/>
        <v>0</v>
      </c>
      <c r="M827">
        <f t="shared" si="10"/>
        <v>0</v>
      </c>
      <c r="N827" s="78" t="s">
        <v>197</v>
      </c>
      <c r="O827" s="78" t="s">
        <v>88</v>
      </c>
      <c r="P827" s="79" t="s">
        <v>94</v>
      </c>
      <c r="Q827" s="78" t="s">
        <v>94</v>
      </c>
      <c r="R827" s="79" t="s">
        <v>88</v>
      </c>
      <c r="S827" s="79" t="s">
        <v>101</v>
      </c>
      <c r="T827" t="str">
        <f t="shared" si="12"/>
        <v>#VALUE!</v>
      </c>
      <c r="U827" t="str">
        <f t="shared" si="13"/>
        <v>#VALUE!</v>
      </c>
    </row>
    <row r="828" hidden="1">
      <c r="A828" s="32" t="str">
        <f t="shared" si="1"/>
        <v>2023BuserWeek 3</v>
      </c>
      <c r="B828" s="32" t="str">
        <f t="shared" si="2"/>
        <v>2023Rooney/JacksonWeek 3</v>
      </c>
      <c r="C828" s="32" t="str">
        <f t="shared" si="3"/>
        <v>Week 3</v>
      </c>
      <c r="D828" s="32">
        <v>2023.0</v>
      </c>
      <c r="E828" t="str">
        <f t="shared" si="4"/>
        <v>3</v>
      </c>
      <c r="F828" t="str">
        <f t="shared" si="5"/>
        <v>Ed Buser</v>
      </c>
      <c r="G828" s="40" t="str">
        <f>VLOOKUP(F828,'Manager Coding'!C:D,2,0)</f>
        <v>Buser</v>
      </c>
      <c r="H828" s="41">
        <f t="shared" si="6"/>
        <v>108.56</v>
      </c>
      <c r="I828" t="str">
        <f t="shared" si="7"/>
        <v>Stephen Rooney, Jackson Sattell</v>
      </c>
      <c r="J828" t="str">
        <f>VLOOKUP(I828,'Manager Coding'!C:D,2,0)</f>
        <v>Rooney/Jackson</v>
      </c>
      <c r="K828" s="41">
        <f t="shared" si="8"/>
        <v>131.48</v>
      </c>
      <c r="L828">
        <f t="shared" si="9"/>
        <v>0</v>
      </c>
      <c r="M828">
        <f t="shared" si="10"/>
        <v>1</v>
      </c>
      <c r="N828" s="153" t="s">
        <v>2191</v>
      </c>
      <c r="O828" s="81" t="s">
        <v>50</v>
      </c>
      <c r="P828" s="82">
        <v>108.56</v>
      </c>
      <c r="Q828" s="88">
        <v>131.48</v>
      </c>
      <c r="R828" s="154" t="s">
        <v>58</v>
      </c>
      <c r="S828" s="153" t="s">
        <v>2197</v>
      </c>
      <c r="T828" t="str">
        <f t="shared" si="12"/>
        <v>Pizzay Express</v>
      </c>
      <c r="U828" t="str">
        <f t="shared" si="13"/>
        <v>Wings and Three Rings</v>
      </c>
    </row>
    <row r="829" hidden="1">
      <c r="A829" s="32" t="str">
        <f t="shared" si="1"/>
        <v>2023SaltyWeek 3</v>
      </c>
      <c r="B829" s="32" t="str">
        <f t="shared" si="2"/>
        <v>2023TayskiWeek 3</v>
      </c>
      <c r="C829" s="32" t="str">
        <f t="shared" si="3"/>
        <v>Week 3</v>
      </c>
      <c r="D829" s="32">
        <v>2023.0</v>
      </c>
      <c r="E829" t="str">
        <f t="shared" si="4"/>
        <v>3</v>
      </c>
      <c r="F829" t="str">
        <f t="shared" si="5"/>
        <v>R Saltiel</v>
      </c>
      <c r="G829" s="40" t="str">
        <f>VLOOKUP(F829,'Manager Coding'!C:D,2,0)</f>
        <v>Salty</v>
      </c>
      <c r="H829" s="41">
        <f t="shared" si="6"/>
        <v>112.12</v>
      </c>
      <c r="I829" t="str">
        <f t="shared" si="7"/>
        <v>Taylor Weis</v>
      </c>
      <c r="J829" t="str">
        <f>VLOOKUP(I829,'Manager Coding'!C:D,2,0)</f>
        <v>Tayski</v>
      </c>
      <c r="K829" s="41">
        <f t="shared" si="8"/>
        <v>86.66</v>
      </c>
      <c r="L829">
        <f t="shared" si="9"/>
        <v>1</v>
      </c>
      <c r="M829">
        <f t="shared" si="10"/>
        <v>0</v>
      </c>
      <c r="N829" s="168" t="s">
        <v>2201</v>
      </c>
      <c r="O829" s="169" t="s">
        <v>77</v>
      </c>
      <c r="P829" s="158">
        <v>112.12</v>
      </c>
      <c r="Q829" s="167">
        <v>86.66</v>
      </c>
      <c r="R829" s="170" t="s">
        <v>54</v>
      </c>
      <c r="S829" s="168" t="s">
        <v>2188</v>
      </c>
      <c r="T829" t="str">
        <f t="shared" si="12"/>
        <v>Philly Cheesteakaways</v>
      </c>
      <c r="U829" t="str">
        <f t="shared" si="13"/>
        <v>Soggy Fruit Pu kas</v>
      </c>
    </row>
    <row r="830" hidden="1">
      <c r="A830" s="32" t="str">
        <f t="shared" si="1"/>
        <v>2023ShepWeek 3</v>
      </c>
      <c r="B830" s="32" t="str">
        <f t="shared" si="2"/>
        <v>2023PiersonWeek 3</v>
      </c>
      <c r="C830" s="32" t="str">
        <f t="shared" si="3"/>
        <v>Week 3</v>
      </c>
      <c r="D830" s="32">
        <v>2023.0</v>
      </c>
      <c r="E830" t="str">
        <f t="shared" si="4"/>
        <v>3</v>
      </c>
      <c r="F830" t="str">
        <f t="shared" si="5"/>
        <v>Jordan Shepherd</v>
      </c>
      <c r="G830" s="40" t="str">
        <f>VLOOKUP(F830,'Manager Coding'!C:D,2,0)</f>
        <v>Shep</v>
      </c>
      <c r="H830" s="41">
        <f t="shared" si="6"/>
        <v>104.82</v>
      </c>
      <c r="I830" t="str">
        <f t="shared" si="7"/>
        <v>Pierson Curtis</v>
      </c>
      <c r="J830" t="str">
        <f>VLOOKUP(I830,'Manager Coding'!C:D,2,0)</f>
        <v>Pierson</v>
      </c>
      <c r="K830" s="41">
        <f t="shared" si="8"/>
        <v>112.88</v>
      </c>
      <c r="L830">
        <f t="shared" si="9"/>
        <v>0</v>
      </c>
      <c r="M830">
        <f t="shared" si="10"/>
        <v>1</v>
      </c>
      <c r="N830" s="128" t="s">
        <v>2207</v>
      </c>
      <c r="O830" s="129" t="s">
        <v>91</v>
      </c>
      <c r="P830" s="120">
        <v>104.82</v>
      </c>
      <c r="Q830" s="127">
        <v>112.88</v>
      </c>
      <c r="R830" s="130" t="s">
        <v>93</v>
      </c>
      <c r="S830" s="128" t="s">
        <v>2194</v>
      </c>
      <c r="T830" t="str">
        <f t="shared" si="12"/>
        <v>Library Chicks-Fil-A</v>
      </c>
      <c r="U830" t="str">
        <f t="shared" si="13"/>
        <v>Warm Caesars</v>
      </c>
    </row>
    <row r="831" hidden="1">
      <c r="A831" s="32" t="str">
        <f t="shared" si="1"/>
        <v>2023T-HowWeek 3</v>
      </c>
      <c r="B831" s="32" t="str">
        <f t="shared" si="2"/>
        <v>2023HudspeathWeek 3</v>
      </c>
      <c r="C831" s="32" t="str">
        <f t="shared" si="3"/>
        <v>Week 3</v>
      </c>
      <c r="D831" s="32">
        <v>2023.0</v>
      </c>
      <c r="E831" t="str">
        <f t="shared" si="4"/>
        <v>3</v>
      </c>
      <c r="F831" t="str">
        <f t="shared" si="5"/>
        <v>Tyler Howard</v>
      </c>
      <c r="G831" s="40" t="str">
        <f>VLOOKUP(F831,'Manager Coding'!C:D,2,0)</f>
        <v>T-How</v>
      </c>
      <c r="H831" s="41">
        <f t="shared" si="6"/>
        <v>106.3</v>
      </c>
      <c r="I831" t="str">
        <f t="shared" si="7"/>
        <v>matt hudspeath</v>
      </c>
      <c r="J831" t="str">
        <f>VLOOKUP(I831,'Manager Coding'!C:D,2,0)</f>
        <v>Hudspeath</v>
      </c>
      <c r="K831" s="41">
        <f t="shared" si="8"/>
        <v>97.76</v>
      </c>
      <c r="L831">
        <f t="shared" si="9"/>
        <v>1</v>
      </c>
      <c r="M831">
        <f t="shared" si="10"/>
        <v>0</v>
      </c>
      <c r="N831" s="131" t="s">
        <v>2213</v>
      </c>
      <c r="O831" s="132" t="s">
        <v>85</v>
      </c>
      <c r="P831" s="120">
        <v>106.3</v>
      </c>
      <c r="Q831" s="127">
        <v>97.76</v>
      </c>
      <c r="R831" s="133" t="s">
        <v>64</v>
      </c>
      <c r="S831" s="131" t="s">
        <v>2198</v>
      </c>
      <c r="T831" t="str">
        <f t="shared" si="12"/>
        <v>Chasing</v>
      </c>
      <c r="U831" t="str">
        <f t="shared" si="13"/>
        <v>The Breakfast Buddies</v>
      </c>
    </row>
    <row r="832" hidden="1">
      <c r="A832" s="32" t="str">
        <f t="shared" si="1"/>
        <v>2023KnardDawgWeek 3</v>
      </c>
      <c r="B832" s="32" t="str">
        <f t="shared" si="2"/>
        <v>2023CockWeek 3</v>
      </c>
      <c r="C832" s="32" t="str">
        <f t="shared" si="3"/>
        <v>Week 3</v>
      </c>
      <c r="D832" s="32">
        <v>2023.0</v>
      </c>
      <c r="E832" t="str">
        <f t="shared" si="4"/>
        <v>3</v>
      </c>
      <c r="F832" t="str">
        <f t="shared" si="5"/>
        <v>Alex Kinniard, Jack Reilly</v>
      </c>
      <c r="G832" s="40" t="str">
        <f>VLOOKUP(F832,'Manager Coding'!C:D,2,0)</f>
        <v>KnardDawg</v>
      </c>
      <c r="H832" s="41">
        <f t="shared" si="6"/>
        <v>84</v>
      </c>
      <c r="I832" t="str">
        <f t="shared" si="7"/>
        <v>Chris Cochrane</v>
      </c>
      <c r="J832" t="str">
        <f>VLOOKUP(I832,'Manager Coding'!C:D,2,0)</f>
        <v>Cock</v>
      </c>
      <c r="K832" s="41">
        <f t="shared" si="8"/>
        <v>88.34</v>
      </c>
      <c r="L832">
        <f t="shared" si="9"/>
        <v>0</v>
      </c>
      <c r="M832">
        <f t="shared" si="10"/>
        <v>1</v>
      </c>
      <c r="N832" s="128" t="s">
        <v>2217</v>
      </c>
      <c r="O832" s="129" t="s">
        <v>87</v>
      </c>
      <c r="P832" s="120">
        <v>84.0</v>
      </c>
      <c r="Q832" s="127">
        <v>88.34</v>
      </c>
      <c r="R832" s="130" t="s">
        <v>99</v>
      </c>
      <c r="S832" s="128" t="s">
        <v>2204</v>
      </c>
      <c r="T832" t="str">
        <f t="shared" si="12"/>
        <v>Brainard's Chubb</v>
      </c>
      <c r="U832" t="str">
        <f t="shared" si="13"/>
        <v>Darius Slay Jays</v>
      </c>
    </row>
    <row r="833" hidden="1">
      <c r="A833" s="32" t="str">
        <f t="shared" si="1"/>
        <v>2023EwertWeek 3</v>
      </c>
      <c r="B833" s="32" t="str">
        <f t="shared" si="2"/>
        <v>2023RileyWeek 3</v>
      </c>
      <c r="C833" s="32" t="str">
        <f t="shared" si="3"/>
        <v>Week 3</v>
      </c>
      <c r="D833" s="32">
        <v>2023.0</v>
      </c>
      <c r="E833" t="str">
        <f t="shared" si="4"/>
        <v>3</v>
      </c>
      <c r="F833" t="str">
        <f t="shared" si="5"/>
        <v>Kyle Ewert, brad starck</v>
      </c>
      <c r="G833" s="40" t="str">
        <f>VLOOKUP(F833,'Manager Coding'!C:D,2,0)</f>
        <v>Ewert</v>
      </c>
      <c r="H833" s="41">
        <f t="shared" si="6"/>
        <v>77.96</v>
      </c>
      <c r="I833" t="str">
        <f t="shared" si="7"/>
        <v>Riley McElwain</v>
      </c>
      <c r="J833" t="str">
        <f>VLOOKUP(I833,'Manager Coding'!C:D,2,0)</f>
        <v>Riley</v>
      </c>
      <c r="K833" s="41">
        <f t="shared" si="8"/>
        <v>112.54</v>
      </c>
      <c r="L833">
        <f t="shared" si="9"/>
        <v>0</v>
      </c>
      <c r="M833">
        <f t="shared" si="10"/>
        <v>1</v>
      </c>
      <c r="N833" s="131" t="s">
        <v>2216</v>
      </c>
      <c r="O833" s="132" t="s">
        <v>105</v>
      </c>
      <c r="P833" s="120">
        <v>77.96</v>
      </c>
      <c r="Q833" s="127">
        <v>112.54</v>
      </c>
      <c r="R833" s="133" t="s">
        <v>68</v>
      </c>
      <c r="S833" s="131" t="s">
        <v>2210</v>
      </c>
      <c r="T833" t="str">
        <f t="shared" si="12"/>
        <v>Charley Diggs</v>
      </c>
      <c r="U833" t="str">
        <f t="shared" si="13"/>
        <v>Martha's Cream PIs</v>
      </c>
    </row>
    <row r="834" hidden="1">
      <c r="A834" s="32" t="str">
        <f t="shared" si="1"/>
        <v>2023EwertWeek 3</v>
      </c>
      <c r="B834" s="32" t="str">
        <f t="shared" si="2"/>
        <v>2023RileyWeek 3</v>
      </c>
      <c r="C834" s="32" t="str">
        <f t="shared" si="3"/>
        <v>Week 3</v>
      </c>
      <c r="D834" s="32">
        <v>2023.0</v>
      </c>
      <c r="E834" t="str">
        <f t="shared" si="4"/>
        <v>3</v>
      </c>
      <c r="F834" t="str">
        <f t="shared" si="5"/>
        <v>Kyle Ewert, brad starck</v>
      </c>
      <c r="G834" s="40" t="str">
        <f>VLOOKUP(F834,'Manager Coding'!C:D,2,0)</f>
        <v>Ewert</v>
      </c>
      <c r="H834" s="41">
        <f t="shared" si="6"/>
        <v>77.96</v>
      </c>
      <c r="I834" t="str">
        <f t="shared" si="7"/>
        <v>Riley McElwain</v>
      </c>
      <c r="J834" t="str">
        <f>VLOOKUP(I834,'Manager Coding'!C:D,2,0)</f>
        <v>Riley</v>
      </c>
      <c r="K834" s="41">
        <f t="shared" si="8"/>
        <v>112.54</v>
      </c>
      <c r="L834">
        <f t="shared" si="9"/>
        <v>0</v>
      </c>
      <c r="M834">
        <f t="shared" si="10"/>
        <v>1</v>
      </c>
      <c r="N834" s="162" t="s">
        <v>260</v>
      </c>
      <c r="O834" s="143" t="s">
        <v>105</v>
      </c>
      <c r="P834" s="171">
        <v>77.96</v>
      </c>
      <c r="Q834" s="172">
        <v>112.54</v>
      </c>
      <c r="R834" s="146" t="s">
        <v>68</v>
      </c>
      <c r="S834" s="147" t="s">
        <v>2239</v>
      </c>
      <c r="T834" t="str">
        <f t="shared" si="12"/>
        <v>Charley Diggs</v>
      </c>
      <c r="U834" t="str">
        <f t="shared" si="13"/>
        <v>#VALUE!</v>
      </c>
    </row>
    <row r="835" hidden="1">
      <c r="A835" s="32" t="str">
        <f t="shared" si="1"/>
        <v>#N/A</v>
      </c>
      <c r="B835" s="32" t="str">
        <f t="shared" si="2"/>
        <v>#N/A</v>
      </c>
      <c r="C835" s="32" t="str">
        <f t="shared" si="3"/>
        <v>Week 4</v>
      </c>
      <c r="D835" s="32">
        <v>2023.0</v>
      </c>
      <c r="E835" t="str">
        <f t="shared" si="4"/>
        <v>4</v>
      </c>
      <c r="F835" t="str">
        <f t="shared" si="5"/>
        <v>TEAM MANAGER(S)</v>
      </c>
      <c r="G835" s="40" t="str">
        <f>VLOOKUP(F835,'Manager Coding'!C:D,2,0)</f>
        <v>#N/A</v>
      </c>
      <c r="H835" s="41" t="str">
        <f t="shared" si="6"/>
        <v>SCORE</v>
      </c>
      <c r="I835" t="str">
        <f t="shared" si="7"/>
        <v>TEAM MANAGER(S)</v>
      </c>
      <c r="J835" t="str">
        <f>VLOOKUP(I835,'Manager Coding'!C:D,2,0)</f>
        <v>#N/A</v>
      </c>
      <c r="K835" s="41" t="str">
        <f t="shared" si="8"/>
        <v>SCORE</v>
      </c>
      <c r="L835">
        <f t="shared" si="9"/>
        <v>0</v>
      </c>
      <c r="M835">
        <f t="shared" si="10"/>
        <v>0</v>
      </c>
      <c r="N835" s="78" t="s">
        <v>197</v>
      </c>
      <c r="O835" s="78" t="s">
        <v>88</v>
      </c>
      <c r="P835" s="79" t="s">
        <v>94</v>
      </c>
      <c r="Q835" s="78" t="s">
        <v>94</v>
      </c>
      <c r="R835" s="79" t="s">
        <v>88</v>
      </c>
      <c r="S835" s="79" t="s">
        <v>101</v>
      </c>
      <c r="T835" t="str">
        <f t="shared" si="12"/>
        <v>#VALUE!</v>
      </c>
      <c r="U835" t="str">
        <f t="shared" si="13"/>
        <v>#VALUE!</v>
      </c>
    </row>
    <row r="836" hidden="1">
      <c r="A836" s="32" t="str">
        <f t="shared" si="1"/>
        <v>2023SaltyWeek 4</v>
      </c>
      <c r="B836" s="32" t="str">
        <f t="shared" si="2"/>
        <v>2023BuserWeek 4</v>
      </c>
      <c r="C836" s="32" t="str">
        <f t="shared" si="3"/>
        <v>Week 4</v>
      </c>
      <c r="D836" s="32">
        <v>2023.0</v>
      </c>
      <c r="E836" t="str">
        <f t="shared" si="4"/>
        <v>4</v>
      </c>
      <c r="F836" t="str">
        <f t="shared" si="5"/>
        <v>R Saltiel</v>
      </c>
      <c r="G836" s="40" t="str">
        <f>VLOOKUP(F836,'Manager Coding'!C:D,2,0)</f>
        <v>Salty</v>
      </c>
      <c r="H836" s="41">
        <f t="shared" si="6"/>
        <v>117.4</v>
      </c>
      <c r="I836" t="str">
        <f t="shared" si="7"/>
        <v>Ed Buser</v>
      </c>
      <c r="J836" t="str">
        <f>VLOOKUP(I836,'Manager Coding'!C:D,2,0)</f>
        <v>Buser</v>
      </c>
      <c r="K836" s="41">
        <f t="shared" si="8"/>
        <v>87.28</v>
      </c>
      <c r="L836">
        <f t="shared" si="9"/>
        <v>1</v>
      </c>
      <c r="M836">
        <f t="shared" si="10"/>
        <v>0</v>
      </c>
      <c r="N836" s="153" t="s">
        <v>2201</v>
      </c>
      <c r="O836" s="81" t="s">
        <v>77</v>
      </c>
      <c r="P836" s="82">
        <v>117.4</v>
      </c>
      <c r="Q836" s="88">
        <v>87.28</v>
      </c>
      <c r="R836" s="154" t="s">
        <v>50</v>
      </c>
      <c r="S836" s="153" t="s">
        <v>2191</v>
      </c>
      <c r="T836" t="str">
        <f t="shared" si="12"/>
        <v>Wings and Three Rings</v>
      </c>
      <c r="U836" t="str">
        <f t="shared" si="13"/>
        <v>Soggy Fruit Pu kas</v>
      </c>
    </row>
    <row r="837" hidden="1">
      <c r="A837" s="32" t="str">
        <f t="shared" si="1"/>
        <v>2023Rooney/JacksonWeek 4</v>
      </c>
      <c r="B837" s="32" t="str">
        <f t="shared" si="2"/>
        <v>2023ShepWeek 4</v>
      </c>
      <c r="C837" s="32" t="str">
        <f t="shared" si="3"/>
        <v>Week 4</v>
      </c>
      <c r="D837" s="32">
        <v>2023.0</v>
      </c>
      <c r="E837" t="str">
        <f t="shared" si="4"/>
        <v>4</v>
      </c>
      <c r="F837" t="str">
        <f t="shared" si="5"/>
        <v>Stephen Rooney, Jackson Sattell</v>
      </c>
      <c r="G837" s="40" t="str">
        <f>VLOOKUP(F837,'Manager Coding'!C:D,2,0)</f>
        <v>Rooney/Jackson</v>
      </c>
      <c r="H837" s="41">
        <f t="shared" si="6"/>
        <v>77.34</v>
      </c>
      <c r="I837" t="str">
        <f t="shared" si="7"/>
        <v>Jordan Shepherd</v>
      </c>
      <c r="J837" t="str">
        <f>VLOOKUP(I837,'Manager Coding'!C:D,2,0)</f>
        <v>Shep</v>
      </c>
      <c r="K837" s="41">
        <f t="shared" si="8"/>
        <v>78</v>
      </c>
      <c r="L837">
        <f t="shared" si="9"/>
        <v>0</v>
      </c>
      <c r="M837">
        <f t="shared" si="10"/>
        <v>1</v>
      </c>
      <c r="N837" s="168" t="s">
        <v>2197</v>
      </c>
      <c r="O837" s="169" t="s">
        <v>58</v>
      </c>
      <c r="P837" s="158">
        <v>77.34</v>
      </c>
      <c r="Q837" s="167">
        <v>78.0</v>
      </c>
      <c r="R837" s="170" t="s">
        <v>91</v>
      </c>
      <c r="S837" s="168" t="s">
        <v>2207</v>
      </c>
      <c r="T837" t="str">
        <f t="shared" si="12"/>
        <v>Warm Caesars</v>
      </c>
      <c r="U837" t="str">
        <f t="shared" si="13"/>
        <v>Pizzay Express</v>
      </c>
    </row>
    <row r="838" hidden="1">
      <c r="A838" s="32" t="str">
        <f t="shared" si="1"/>
        <v>2023TayskiWeek 4</v>
      </c>
      <c r="B838" s="32" t="str">
        <f t="shared" si="2"/>
        <v>2023T-HowWeek 4</v>
      </c>
      <c r="C838" s="32" t="str">
        <f t="shared" si="3"/>
        <v>Week 4</v>
      </c>
      <c r="D838" s="32">
        <v>2023.0</v>
      </c>
      <c r="E838" t="str">
        <f t="shared" si="4"/>
        <v>4</v>
      </c>
      <c r="F838" t="str">
        <f t="shared" si="5"/>
        <v>Taylor Weis</v>
      </c>
      <c r="G838" s="40" t="str">
        <f>VLOOKUP(F838,'Manager Coding'!C:D,2,0)</f>
        <v>Tayski</v>
      </c>
      <c r="H838" s="41">
        <f t="shared" si="6"/>
        <v>127.2</v>
      </c>
      <c r="I838" t="str">
        <f t="shared" si="7"/>
        <v>Tyler Howard</v>
      </c>
      <c r="J838" t="str">
        <f>VLOOKUP(I838,'Manager Coding'!C:D,2,0)</f>
        <v>T-How</v>
      </c>
      <c r="K838" s="41">
        <f t="shared" si="8"/>
        <v>122.18</v>
      </c>
      <c r="L838">
        <f t="shared" si="9"/>
        <v>1</v>
      </c>
      <c r="M838">
        <f t="shared" si="10"/>
        <v>0</v>
      </c>
      <c r="N838" s="128" t="s">
        <v>2188</v>
      </c>
      <c r="O838" s="129" t="s">
        <v>54</v>
      </c>
      <c r="P838" s="120">
        <v>127.2</v>
      </c>
      <c r="Q838" s="127">
        <v>122.18</v>
      </c>
      <c r="R838" s="130" t="s">
        <v>85</v>
      </c>
      <c r="S838" s="128" t="s">
        <v>2213</v>
      </c>
      <c r="T838" t="str">
        <f t="shared" si="12"/>
        <v>The Breakfast Buddies</v>
      </c>
      <c r="U838" t="str">
        <f t="shared" si="13"/>
        <v>Philly Cheesteakaways</v>
      </c>
    </row>
    <row r="839" hidden="1">
      <c r="A839" s="32" t="str">
        <f t="shared" si="1"/>
        <v>2023PiersonWeek 4</v>
      </c>
      <c r="B839" s="32" t="str">
        <f t="shared" si="2"/>
        <v>2023KnardDawgWeek 4</v>
      </c>
      <c r="C839" s="32" t="str">
        <f t="shared" si="3"/>
        <v>Week 4</v>
      </c>
      <c r="D839" s="32">
        <v>2023.0</v>
      </c>
      <c r="E839" t="str">
        <f t="shared" si="4"/>
        <v>4</v>
      </c>
      <c r="F839" t="str">
        <f t="shared" si="5"/>
        <v>Pierson Curtis</v>
      </c>
      <c r="G839" s="40" t="str">
        <f>VLOOKUP(F839,'Manager Coding'!C:D,2,0)</f>
        <v>Pierson</v>
      </c>
      <c r="H839" s="41">
        <f t="shared" si="6"/>
        <v>103.24</v>
      </c>
      <c r="I839" t="str">
        <f t="shared" si="7"/>
        <v>Alex Kinniard, Jack Reilly</v>
      </c>
      <c r="J839" t="str">
        <f>VLOOKUP(I839,'Manager Coding'!C:D,2,0)</f>
        <v>KnardDawg</v>
      </c>
      <c r="K839" s="41">
        <f t="shared" si="8"/>
        <v>116.32</v>
      </c>
      <c r="L839">
        <f t="shared" si="9"/>
        <v>0</v>
      </c>
      <c r="M839">
        <f t="shared" si="10"/>
        <v>1</v>
      </c>
      <c r="N839" s="131" t="s">
        <v>2194</v>
      </c>
      <c r="O839" s="132" t="s">
        <v>93</v>
      </c>
      <c r="P839" s="120">
        <v>103.24</v>
      </c>
      <c r="Q839" s="127">
        <v>116.32</v>
      </c>
      <c r="R839" s="133" t="s">
        <v>87</v>
      </c>
      <c r="S839" s="131" t="s">
        <v>2217</v>
      </c>
      <c r="T839" t="str">
        <f t="shared" si="12"/>
        <v>Darius Slay Jays</v>
      </c>
      <c r="U839" t="str">
        <f t="shared" si="13"/>
        <v>Library Chicks-Fil-A</v>
      </c>
    </row>
    <row r="840" hidden="1">
      <c r="A840" s="32" t="str">
        <f t="shared" si="1"/>
        <v>2023HudspeathWeek 4</v>
      </c>
      <c r="B840" s="32" t="str">
        <f t="shared" si="2"/>
        <v>2023EwertWeek 4</v>
      </c>
      <c r="C840" s="32" t="str">
        <f t="shared" si="3"/>
        <v>Week 4</v>
      </c>
      <c r="D840" s="32">
        <v>2023.0</v>
      </c>
      <c r="E840" t="str">
        <f t="shared" si="4"/>
        <v>4</v>
      </c>
      <c r="F840" t="str">
        <f t="shared" si="5"/>
        <v>matt hudspeath</v>
      </c>
      <c r="G840" s="40" t="str">
        <f>VLOOKUP(F840,'Manager Coding'!C:D,2,0)</f>
        <v>Hudspeath</v>
      </c>
      <c r="H840" s="41">
        <f t="shared" si="6"/>
        <v>91.7</v>
      </c>
      <c r="I840" t="str">
        <f t="shared" si="7"/>
        <v>Kyle Ewert, brad starck</v>
      </c>
      <c r="J840" t="str">
        <f>VLOOKUP(I840,'Manager Coding'!C:D,2,0)</f>
        <v>Ewert</v>
      </c>
      <c r="K840" s="41">
        <f t="shared" si="8"/>
        <v>60.38</v>
      </c>
      <c r="L840">
        <f t="shared" si="9"/>
        <v>1</v>
      </c>
      <c r="M840">
        <f t="shared" si="10"/>
        <v>0</v>
      </c>
      <c r="N840" s="128" t="s">
        <v>2198</v>
      </c>
      <c r="O840" s="129" t="s">
        <v>64</v>
      </c>
      <c r="P840" s="120">
        <v>91.7</v>
      </c>
      <c r="Q840" s="127">
        <v>60.38</v>
      </c>
      <c r="R840" s="130" t="s">
        <v>105</v>
      </c>
      <c r="S840" s="128" t="s">
        <v>2216</v>
      </c>
      <c r="T840" t="str">
        <f t="shared" si="12"/>
        <v>Martha's Cream PIs</v>
      </c>
      <c r="U840" t="str">
        <f t="shared" si="13"/>
        <v>Chasing</v>
      </c>
    </row>
    <row r="841" hidden="1">
      <c r="A841" s="32" t="str">
        <f t="shared" si="1"/>
        <v>2023CockWeek 4</v>
      </c>
      <c r="B841" s="32" t="str">
        <f t="shared" si="2"/>
        <v>2023RileyWeek 4</v>
      </c>
      <c r="C841" s="32" t="str">
        <f t="shared" si="3"/>
        <v>Week 4</v>
      </c>
      <c r="D841" s="32">
        <v>2023.0</v>
      </c>
      <c r="E841" t="str">
        <f t="shared" si="4"/>
        <v>4</v>
      </c>
      <c r="F841" t="str">
        <f t="shared" si="5"/>
        <v>Chris Cochrane</v>
      </c>
      <c r="G841" s="40" t="str">
        <f>VLOOKUP(F841,'Manager Coding'!C:D,2,0)</f>
        <v>Cock</v>
      </c>
      <c r="H841" s="41">
        <f t="shared" si="6"/>
        <v>90.42</v>
      </c>
      <c r="I841" t="str">
        <f t="shared" si="7"/>
        <v>Riley McElwain</v>
      </c>
      <c r="J841" t="str">
        <f>VLOOKUP(I841,'Manager Coding'!C:D,2,0)</f>
        <v>Riley</v>
      </c>
      <c r="K841" s="41">
        <f t="shared" si="8"/>
        <v>135.52</v>
      </c>
      <c r="L841">
        <f t="shared" si="9"/>
        <v>0</v>
      </c>
      <c r="M841">
        <f t="shared" si="10"/>
        <v>1</v>
      </c>
      <c r="N841" s="131" t="s">
        <v>2204</v>
      </c>
      <c r="O841" s="132" t="s">
        <v>99</v>
      </c>
      <c r="P841" s="120">
        <v>90.42</v>
      </c>
      <c r="Q841" s="127">
        <v>135.52</v>
      </c>
      <c r="R841" s="133" t="s">
        <v>68</v>
      </c>
      <c r="S841" s="131" t="s">
        <v>2210</v>
      </c>
      <c r="T841" t="str">
        <f t="shared" si="12"/>
        <v>Charley Diggs</v>
      </c>
      <c r="U841" t="str">
        <f t="shared" si="13"/>
        <v>Brainard's Chubb</v>
      </c>
    </row>
    <row r="842" hidden="1">
      <c r="A842" s="32" t="str">
        <f t="shared" si="1"/>
        <v>2023HudspeathWeek 4</v>
      </c>
      <c r="B842" s="32" t="str">
        <f t="shared" si="2"/>
        <v>2023EwertWeek 4</v>
      </c>
      <c r="C842" s="32" t="str">
        <f t="shared" si="3"/>
        <v>Week 4</v>
      </c>
      <c r="D842" s="32">
        <v>2023.0</v>
      </c>
      <c r="E842" t="str">
        <f t="shared" si="4"/>
        <v>4</v>
      </c>
      <c r="F842" t="str">
        <f t="shared" si="5"/>
        <v>matt hudspeath</v>
      </c>
      <c r="G842" s="40" t="str">
        <f>VLOOKUP(F842,'Manager Coding'!C:D,2,0)</f>
        <v>Hudspeath</v>
      </c>
      <c r="H842" s="41">
        <f t="shared" si="6"/>
        <v>0</v>
      </c>
      <c r="I842" t="str">
        <f t="shared" si="7"/>
        <v>Kyle Ewert, brad starck</v>
      </c>
      <c r="J842" t="str">
        <f>VLOOKUP(I842,'Manager Coding'!C:D,2,0)</f>
        <v>Ewert</v>
      </c>
      <c r="K842" s="41">
        <f t="shared" si="8"/>
        <v>0</v>
      </c>
      <c r="L842">
        <f t="shared" si="9"/>
        <v>0</v>
      </c>
      <c r="M842">
        <f t="shared" si="10"/>
        <v>0</v>
      </c>
      <c r="N842" s="162" t="s">
        <v>291</v>
      </c>
      <c r="O842" s="138" t="s">
        <v>64</v>
      </c>
      <c r="P842" s="171">
        <v>0.0</v>
      </c>
      <c r="Q842" s="173">
        <v>0.0</v>
      </c>
      <c r="R842" s="141" t="s">
        <v>105</v>
      </c>
      <c r="S842" s="142" t="s">
        <v>2258</v>
      </c>
      <c r="T842" t="str">
        <f t="shared" si="12"/>
        <v>Martha's Cream PIs</v>
      </c>
      <c r="U842" t="str">
        <f t="shared" si="13"/>
        <v>#VALUE!</v>
      </c>
    </row>
    <row r="843" hidden="1">
      <c r="A843" s="32" t="str">
        <f t="shared" si="1"/>
        <v>#N/A</v>
      </c>
      <c r="B843" s="32" t="str">
        <f t="shared" si="2"/>
        <v>#N/A</v>
      </c>
      <c r="C843" s="32" t="str">
        <f t="shared" si="3"/>
        <v>Week 5</v>
      </c>
      <c r="D843" s="32">
        <v>2023.0</v>
      </c>
      <c r="E843" t="str">
        <f t="shared" si="4"/>
        <v>5</v>
      </c>
      <c r="F843" t="str">
        <f t="shared" si="5"/>
        <v>TEAM MANAGER(S)</v>
      </c>
      <c r="G843" s="40" t="str">
        <f>VLOOKUP(F843,'Manager Coding'!C:D,2,0)</f>
        <v>#N/A</v>
      </c>
      <c r="H843" s="41" t="str">
        <f t="shared" si="6"/>
        <v>SCORE</v>
      </c>
      <c r="I843" t="str">
        <f t="shared" si="7"/>
        <v>TEAM MANAGER(S)</v>
      </c>
      <c r="J843" t="str">
        <f>VLOOKUP(I843,'Manager Coding'!C:D,2,0)</f>
        <v>#N/A</v>
      </c>
      <c r="K843" s="41" t="str">
        <f t="shared" si="8"/>
        <v>SCORE</v>
      </c>
      <c r="L843">
        <f t="shared" si="9"/>
        <v>0</v>
      </c>
      <c r="M843">
        <f t="shared" si="10"/>
        <v>0</v>
      </c>
      <c r="N843" s="78" t="s">
        <v>197</v>
      </c>
      <c r="O843" s="78" t="s">
        <v>88</v>
      </c>
      <c r="P843" s="79" t="s">
        <v>94</v>
      </c>
      <c r="Q843" s="78" t="s">
        <v>94</v>
      </c>
      <c r="R843" s="79" t="s">
        <v>88</v>
      </c>
      <c r="S843" s="79" t="s">
        <v>101</v>
      </c>
      <c r="T843" t="str">
        <f t="shared" si="12"/>
        <v>#VALUE!</v>
      </c>
      <c r="U843" t="str">
        <f t="shared" si="13"/>
        <v>#VALUE!</v>
      </c>
    </row>
    <row r="844" hidden="1">
      <c r="A844" s="32" t="str">
        <f t="shared" si="1"/>
        <v>2023BuserWeek 5</v>
      </c>
      <c r="B844" s="32" t="str">
        <f t="shared" si="2"/>
        <v>2023ShepWeek 5</v>
      </c>
      <c r="C844" s="32" t="str">
        <f t="shared" si="3"/>
        <v>Week 5</v>
      </c>
      <c r="D844" s="32">
        <v>2023.0</v>
      </c>
      <c r="E844" t="str">
        <f t="shared" si="4"/>
        <v>5</v>
      </c>
      <c r="F844" t="str">
        <f t="shared" si="5"/>
        <v>Ed Buser</v>
      </c>
      <c r="G844" s="40" t="str">
        <f>VLOOKUP(F844,'Manager Coding'!C:D,2,0)</f>
        <v>Buser</v>
      </c>
      <c r="H844" s="41">
        <f t="shared" si="6"/>
        <v>98.52</v>
      </c>
      <c r="I844" t="str">
        <f t="shared" si="7"/>
        <v>Jordan Shepherd</v>
      </c>
      <c r="J844" t="str">
        <f>VLOOKUP(I844,'Manager Coding'!C:D,2,0)</f>
        <v>Shep</v>
      </c>
      <c r="K844" s="41">
        <f t="shared" si="8"/>
        <v>71.62</v>
      </c>
      <c r="L844">
        <f t="shared" si="9"/>
        <v>1</v>
      </c>
      <c r="M844">
        <f t="shared" si="10"/>
        <v>0</v>
      </c>
      <c r="N844" s="153" t="s">
        <v>2191</v>
      </c>
      <c r="O844" s="129" t="s">
        <v>50</v>
      </c>
      <c r="P844" s="120">
        <v>98.52</v>
      </c>
      <c r="Q844" s="127">
        <v>71.62</v>
      </c>
      <c r="R844" s="130" t="s">
        <v>91</v>
      </c>
      <c r="S844" s="128" t="s">
        <v>2207</v>
      </c>
      <c r="T844" t="str">
        <f t="shared" si="12"/>
        <v>Warm Caesars</v>
      </c>
      <c r="U844" t="str">
        <f t="shared" si="13"/>
        <v>Wings and Three Rings</v>
      </c>
    </row>
    <row r="845" hidden="1">
      <c r="A845" s="32" t="str">
        <f t="shared" si="1"/>
        <v>2023T-HowWeek 5</v>
      </c>
      <c r="B845" s="32" t="str">
        <f t="shared" si="2"/>
        <v>2023SaltyWeek 5</v>
      </c>
      <c r="C845" s="32" t="str">
        <f t="shared" si="3"/>
        <v>Week 5</v>
      </c>
      <c r="D845" s="32">
        <v>2023.0</v>
      </c>
      <c r="E845" t="str">
        <f t="shared" si="4"/>
        <v>5</v>
      </c>
      <c r="F845" t="str">
        <f t="shared" si="5"/>
        <v>Tyler Howard</v>
      </c>
      <c r="G845" s="40" t="str">
        <f>VLOOKUP(F845,'Manager Coding'!C:D,2,0)</f>
        <v>T-How</v>
      </c>
      <c r="H845" s="41">
        <f t="shared" si="6"/>
        <v>97.82</v>
      </c>
      <c r="I845" t="str">
        <f t="shared" si="7"/>
        <v>R Saltiel</v>
      </c>
      <c r="J845" t="str">
        <f>VLOOKUP(I845,'Manager Coding'!C:D,2,0)</f>
        <v>Salty</v>
      </c>
      <c r="K845" s="41">
        <f t="shared" si="8"/>
        <v>145.66</v>
      </c>
      <c r="L845">
        <f t="shared" si="9"/>
        <v>0</v>
      </c>
      <c r="M845">
        <f t="shared" si="10"/>
        <v>1</v>
      </c>
      <c r="N845" s="168" t="s">
        <v>2213</v>
      </c>
      <c r="O845" s="169" t="s">
        <v>85</v>
      </c>
      <c r="P845" s="158">
        <v>97.82</v>
      </c>
      <c r="Q845" s="167">
        <v>145.66</v>
      </c>
      <c r="R845" s="170" t="s">
        <v>77</v>
      </c>
      <c r="S845" s="168" t="s">
        <v>2201</v>
      </c>
      <c r="T845" t="str">
        <f t="shared" si="12"/>
        <v>Soggy Fruit Pu kas</v>
      </c>
      <c r="U845" t="str">
        <f t="shared" si="13"/>
        <v>The Breakfast Buddies</v>
      </c>
    </row>
    <row r="846" hidden="1">
      <c r="A846" s="32" t="str">
        <f t="shared" si="1"/>
        <v>2023KnardDawgWeek 5</v>
      </c>
      <c r="B846" s="32" t="str">
        <f t="shared" si="2"/>
        <v>2023Rooney/JacksonWeek 5</v>
      </c>
      <c r="C846" s="32" t="str">
        <f t="shared" si="3"/>
        <v>Week 5</v>
      </c>
      <c r="D846" s="32">
        <v>2023.0</v>
      </c>
      <c r="E846" t="str">
        <f t="shared" si="4"/>
        <v>5</v>
      </c>
      <c r="F846" t="str">
        <f t="shared" si="5"/>
        <v>Alex Kinniard, Jack Reilly</v>
      </c>
      <c r="G846" s="40" t="str">
        <f>VLOOKUP(F846,'Manager Coding'!C:D,2,0)</f>
        <v>KnardDawg</v>
      </c>
      <c r="H846" s="41">
        <f t="shared" si="6"/>
        <v>76.48</v>
      </c>
      <c r="I846" t="str">
        <f t="shared" si="7"/>
        <v>Stephen Rooney, Jackson Sattell</v>
      </c>
      <c r="J846" t="str">
        <f>VLOOKUP(I846,'Manager Coding'!C:D,2,0)</f>
        <v>Rooney/Jackson</v>
      </c>
      <c r="K846" s="41">
        <f t="shared" si="8"/>
        <v>111.44</v>
      </c>
      <c r="L846">
        <f t="shared" si="9"/>
        <v>0</v>
      </c>
      <c r="M846">
        <f t="shared" si="10"/>
        <v>1</v>
      </c>
      <c r="N846" s="128" t="s">
        <v>2217</v>
      </c>
      <c r="O846" s="129" t="s">
        <v>87</v>
      </c>
      <c r="P846" s="120">
        <v>76.48</v>
      </c>
      <c r="Q846" s="127">
        <v>111.44</v>
      </c>
      <c r="R846" s="130" t="s">
        <v>58</v>
      </c>
      <c r="S846" s="128" t="s">
        <v>2197</v>
      </c>
      <c r="T846" t="str">
        <f t="shared" si="12"/>
        <v>Pizzay Express</v>
      </c>
      <c r="U846" t="str">
        <f t="shared" si="13"/>
        <v>Darius Slay Jays</v>
      </c>
    </row>
    <row r="847" hidden="1">
      <c r="A847" s="32" t="str">
        <f t="shared" si="1"/>
        <v>2023EwertWeek 5</v>
      </c>
      <c r="B847" s="32" t="str">
        <f t="shared" si="2"/>
        <v>2023TayskiWeek 5</v>
      </c>
      <c r="C847" s="32" t="str">
        <f t="shared" si="3"/>
        <v>Week 5</v>
      </c>
      <c r="D847" s="32">
        <v>2023.0</v>
      </c>
      <c r="E847" t="str">
        <f t="shared" si="4"/>
        <v>5</v>
      </c>
      <c r="F847" t="str">
        <f t="shared" si="5"/>
        <v>Kyle Ewert, brad starck</v>
      </c>
      <c r="G847" s="40" t="str">
        <f>VLOOKUP(F847,'Manager Coding'!C:D,2,0)</f>
        <v>Ewert</v>
      </c>
      <c r="H847" s="41">
        <f t="shared" si="6"/>
        <v>48.74</v>
      </c>
      <c r="I847" t="str">
        <f t="shared" si="7"/>
        <v>Taylor Weis</v>
      </c>
      <c r="J847" t="str">
        <f>VLOOKUP(I847,'Manager Coding'!C:D,2,0)</f>
        <v>Tayski</v>
      </c>
      <c r="K847" s="41">
        <f t="shared" si="8"/>
        <v>107.68</v>
      </c>
      <c r="L847">
        <f t="shared" si="9"/>
        <v>0</v>
      </c>
      <c r="M847">
        <f t="shared" si="10"/>
        <v>1</v>
      </c>
      <c r="N847" s="131" t="s">
        <v>2216</v>
      </c>
      <c r="O847" s="132" t="s">
        <v>105</v>
      </c>
      <c r="P847" s="120">
        <v>48.74</v>
      </c>
      <c r="Q847" s="127">
        <v>107.68</v>
      </c>
      <c r="R847" s="133" t="s">
        <v>54</v>
      </c>
      <c r="S847" s="131" t="s">
        <v>2188</v>
      </c>
      <c r="T847" t="str">
        <f t="shared" si="12"/>
        <v>Philly Cheesteakaways</v>
      </c>
      <c r="U847" t="str">
        <f t="shared" si="13"/>
        <v>Martha's Cream PIs</v>
      </c>
    </row>
    <row r="848" hidden="1">
      <c r="A848" s="32" t="str">
        <f t="shared" si="1"/>
        <v>2023RileyWeek 5</v>
      </c>
      <c r="B848" s="32" t="str">
        <f t="shared" si="2"/>
        <v>2023PiersonWeek 5</v>
      </c>
      <c r="C848" s="32" t="str">
        <f t="shared" si="3"/>
        <v>Week 5</v>
      </c>
      <c r="D848" s="32">
        <v>2023.0</v>
      </c>
      <c r="E848" t="str">
        <f t="shared" si="4"/>
        <v>5</v>
      </c>
      <c r="F848" t="str">
        <f t="shared" si="5"/>
        <v>Riley McElwain</v>
      </c>
      <c r="G848" s="40" t="str">
        <f>VLOOKUP(F848,'Manager Coding'!C:D,2,0)</f>
        <v>Riley</v>
      </c>
      <c r="H848" s="41">
        <f t="shared" si="6"/>
        <v>105.34</v>
      </c>
      <c r="I848" t="str">
        <f t="shared" si="7"/>
        <v>Pierson Curtis</v>
      </c>
      <c r="J848" t="str">
        <f>VLOOKUP(I848,'Manager Coding'!C:D,2,0)</f>
        <v>Pierson</v>
      </c>
      <c r="K848" s="41">
        <f t="shared" si="8"/>
        <v>77.12</v>
      </c>
      <c r="L848">
        <f t="shared" si="9"/>
        <v>1</v>
      </c>
      <c r="M848">
        <f t="shared" si="10"/>
        <v>0</v>
      </c>
      <c r="N848" s="128" t="s">
        <v>2210</v>
      </c>
      <c r="O848" s="129" t="s">
        <v>68</v>
      </c>
      <c r="P848" s="120">
        <v>105.34</v>
      </c>
      <c r="Q848" s="127">
        <v>77.12</v>
      </c>
      <c r="R848" s="130" t="s">
        <v>93</v>
      </c>
      <c r="S848" s="128" t="s">
        <v>2194</v>
      </c>
      <c r="T848" t="str">
        <f t="shared" si="12"/>
        <v>Library Chicks-Fil-A</v>
      </c>
      <c r="U848" t="str">
        <f t="shared" si="13"/>
        <v>Charley Diggs</v>
      </c>
    </row>
    <row r="849" hidden="1">
      <c r="A849" s="32" t="str">
        <f t="shared" si="1"/>
        <v>2023CockWeek 5</v>
      </c>
      <c r="B849" s="32" t="str">
        <f t="shared" si="2"/>
        <v>2023HudspeathWeek 5</v>
      </c>
      <c r="C849" s="32" t="str">
        <f t="shared" si="3"/>
        <v>Week 5</v>
      </c>
      <c r="D849" s="32">
        <v>2023.0</v>
      </c>
      <c r="E849" t="str">
        <f t="shared" si="4"/>
        <v>5</v>
      </c>
      <c r="F849" t="str">
        <f t="shared" si="5"/>
        <v>Chris Cochrane</v>
      </c>
      <c r="G849" s="40" t="str">
        <f>VLOOKUP(F849,'Manager Coding'!C:D,2,0)</f>
        <v>Cock</v>
      </c>
      <c r="H849" s="41">
        <f t="shared" si="6"/>
        <v>95.84</v>
      </c>
      <c r="I849" t="str">
        <f t="shared" si="7"/>
        <v>matt hudspeath</v>
      </c>
      <c r="J849" t="str">
        <f>VLOOKUP(I849,'Manager Coding'!C:D,2,0)</f>
        <v>Hudspeath</v>
      </c>
      <c r="K849" s="41">
        <f t="shared" si="8"/>
        <v>127.06</v>
      </c>
      <c r="L849">
        <f t="shared" si="9"/>
        <v>0</v>
      </c>
      <c r="M849">
        <f t="shared" si="10"/>
        <v>1</v>
      </c>
      <c r="N849" s="131" t="s">
        <v>2204</v>
      </c>
      <c r="O849" s="132" t="s">
        <v>99</v>
      </c>
      <c r="P849" s="120">
        <v>95.84</v>
      </c>
      <c r="Q849" s="127">
        <v>127.06</v>
      </c>
      <c r="R849" s="133" t="s">
        <v>64</v>
      </c>
      <c r="S849" s="131" t="s">
        <v>2198</v>
      </c>
      <c r="T849" t="str">
        <f t="shared" si="12"/>
        <v>Chasing</v>
      </c>
      <c r="U849" t="str">
        <f t="shared" si="13"/>
        <v>Brainard's Chubb</v>
      </c>
    </row>
    <row r="850" hidden="1">
      <c r="A850" s="32" t="str">
        <f t="shared" si="1"/>
        <v>2023EwertWeek 5</v>
      </c>
      <c r="B850" s="32" t="str">
        <f t="shared" si="2"/>
        <v>2023TayskiWeek 5</v>
      </c>
      <c r="C850" s="32" t="str">
        <f t="shared" si="3"/>
        <v>Week 5</v>
      </c>
      <c r="D850" s="32">
        <v>2023.0</v>
      </c>
      <c r="E850" t="str">
        <f t="shared" si="4"/>
        <v>5</v>
      </c>
      <c r="F850" t="str">
        <f t="shared" si="5"/>
        <v>Kyle Ewert, brad starck</v>
      </c>
      <c r="G850" s="40" t="str">
        <f>VLOOKUP(F850,'Manager Coding'!C:D,2,0)</f>
        <v>Ewert</v>
      </c>
      <c r="H850" s="41" t="str">
        <f t="shared" si="6"/>
        <v/>
      </c>
      <c r="I850" t="str">
        <f t="shared" si="7"/>
        <v>Taylor Weis</v>
      </c>
      <c r="J850" t="str">
        <f>VLOOKUP(I850,'Manager Coding'!C:D,2,0)</f>
        <v>Tayski</v>
      </c>
      <c r="K850" s="41" t="str">
        <f t="shared" si="8"/>
        <v/>
      </c>
      <c r="L850">
        <f t="shared" si="9"/>
        <v>0</v>
      </c>
      <c r="M850">
        <f t="shared" si="10"/>
        <v>0</v>
      </c>
      <c r="N850" s="162" t="s">
        <v>321</v>
      </c>
      <c r="O850" s="143" t="s">
        <v>105</v>
      </c>
      <c r="P850" s="152"/>
      <c r="Q850" s="152"/>
      <c r="R850" s="146" t="s">
        <v>54</v>
      </c>
      <c r="S850" s="147" t="s">
        <v>2279</v>
      </c>
      <c r="T850" t="str">
        <f t="shared" si="12"/>
        <v>Philly Cheesteakaways</v>
      </c>
      <c r="U850" t="str">
        <f t="shared" si="13"/>
        <v>#VALUE!</v>
      </c>
    </row>
    <row r="851" hidden="1">
      <c r="A851" s="32" t="str">
        <f t="shared" si="1"/>
        <v>#N/A</v>
      </c>
      <c r="B851" s="32" t="str">
        <f t="shared" si="2"/>
        <v>#N/A</v>
      </c>
      <c r="C851" s="32" t="str">
        <f t="shared" si="3"/>
        <v>Week 6</v>
      </c>
      <c r="D851" s="32">
        <v>2023.0</v>
      </c>
      <c r="E851" t="str">
        <f t="shared" si="4"/>
        <v>6</v>
      </c>
      <c r="F851" t="str">
        <f t="shared" si="5"/>
        <v>TEAM MANAGER(S)</v>
      </c>
      <c r="G851" s="40" t="str">
        <f>VLOOKUP(F851,'Manager Coding'!C:D,2,0)</f>
        <v>#N/A</v>
      </c>
      <c r="H851" s="41" t="str">
        <f t="shared" si="6"/>
        <v>SCORE</v>
      </c>
      <c r="I851" t="str">
        <f t="shared" si="7"/>
        <v>TEAM MANAGER(S)</v>
      </c>
      <c r="J851" t="str">
        <f>VLOOKUP(I851,'Manager Coding'!C:D,2,0)</f>
        <v>#N/A</v>
      </c>
      <c r="K851" s="41" t="str">
        <f t="shared" si="8"/>
        <v>SCORE</v>
      </c>
      <c r="L851">
        <f t="shared" si="9"/>
        <v>0</v>
      </c>
      <c r="M851">
        <f t="shared" si="10"/>
        <v>0</v>
      </c>
      <c r="N851" s="78" t="s">
        <v>197</v>
      </c>
      <c r="O851" s="78" t="s">
        <v>88</v>
      </c>
      <c r="P851" s="79" t="s">
        <v>94</v>
      </c>
      <c r="Q851" s="78" t="s">
        <v>94</v>
      </c>
      <c r="R851" s="79" t="s">
        <v>88</v>
      </c>
      <c r="S851" s="79" t="s">
        <v>101</v>
      </c>
      <c r="T851" t="str">
        <f t="shared" si="12"/>
        <v>#VALUE!</v>
      </c>
      <c r="U851" t="str">
        <f t="shared" si="13"/>
        <v>#VALUE!</v>
      </c>
    </row>
    <row r="852" hidden="1">
      <c r="A852" s="32" t="str">
        <f t="shared" si="1"/>
        <v>2023T-HowWeek 6</v>
      </c>
      <c r="B852" s="32" t="str">
        <f t="shared" si="2"/>
        <v>2023BuserWeek 6</v>
      </c>
      <c r="C852" s="32" t="str">
        <f t="shared" si="3"/>
        <v>Week 6</v>
      </c>
      <c r="D852" s="32">
        <v>2023.0</v>
      </c>
      <c r="E852" t="str">
        <f t="shared" si="4"/>
        <v>6</v>
      </c>
      <c r="F852" t="str">
        <f t="shared" si="5"/>
        <v>Tyler Howard</v>
      </c>
      <c r="G852" s="40" t="str">
        <f>VLOOKUP(F852,'Manager Coding'!C:D,2,0)</f>
        <v>T-How</v>
      </c>
      <c r="H852" s="41">
        <f t="shared" si="6"/>
        <v>86.28</v>
      </c>
      <c r="I852" t="str">
        <f t="shared" si="7"/>
        <v>Ed Buser</v>
      </c>
      <c r="J852" t="str">
        <f>VLOOKUP(I852,'Manager Coding'!C:D,2,0)</f>
        <v>Buser</v>
      </c>
      <c r="K852" s="41">
        <f t="shared" si="8"/>
        <v>93.78</v>
      </c>
      <c r="L852">
        <f t="shared" si="9"/>
        <v>0</v>
      </c>
      <c r="M852">
        <f t="shared" si="10"/>
        <v>1</v>
      </c>
      <c r="N852" s="153" t="s">
        <v>2213</v>
      </c>
      <c r="O852" s="129" t="s">
        <v>85</v>
      </c>
      <c r="P852" s="120">
        <v>86.28</v>
      </c>
      <c r="Q852" s="127">
        <v>93.78</v>
      </c>
      <c r="R852" s="130" t="s">
        <v>50</v>
      </c>
      <c r="S852" s="128" t="s">
        <v>2191</v>
      </c>
      <c r="T852" t="str">
        <f t="shared" si="12"/>
        <v>Wings and Three Rings</v>
      </c>
      <c r="U852" t="str">
        <f t="shared" si="13"/>
        <v>The Breakfast Buddies</v>
      </c>
    </row>
    <row r="853" hidden="1">
      <c r="A853" s="32" t="str">
        <f t="shared" si="1"/>
        <v>2023ShepWeek 6</v>
      </c>
      <c r="B853" s="32" t="str">
        <f t="shared" si="2"/>
        <v>2023KnardDawgWeek 6</v>
      </c>
      <c r="C853" s="32" t="str">
        <f t="shared" si="3"/>
        <v>Week 6</v>
      </c>
      <c r="D853" s="32">
        <v>2023.0</v>
      </c>
      <c r="E853" t="str">
        <f t="shared" si="4"/>
        <v>6</v>
      </c>
      <c r="F853" t="str">
        <f t="shared" si="5"/>
        <v>Jordan Shepherd</v>
      </c>
      <c r="G853" s="40" t="str">
        <f>VLOOKUP(F853,'Manager Coding'!C:D,2,0)</f>
        <v>Shep</v>
      </c>
      <c r="H853" s="41">
        <f t="shared" si="6"/>
        <v>77.24</v>
      </c>
      <c r="I853" t="str">
        <f t="shared" si="7"/>
        <v>Alex Kinniard, Jack Reilly</v>
      </c>
      <c r="J853" t="str">
        <f>VLOOKUP(I853,'Manager Coding'!C:D,2,0)</f>
        <v>KnardDawg</v>
      </c>
      <c r="K853" s="41">
        <f t="shared" si="8"/>
        <v>72.2</v>
      </c>
      <c r="L853">
        <f t="shared" si="9"/>
        <v>1</v>
      </c>
      <c r="M853">
        <f t="shared" si="10"/>
        <v>0</v>
      </c>
      <c r="N853" s="168" t="s">
        <v>2207</v>
      </c>
      <c r="O853" s="169" t="s">
        <v>91</v>
      </c>
      <c r="P853" s="158">
        <v>77.24</v>
      </c>
      <c r="Q853" s="167">
        <v>72.2</v>
      </c>
      <c r="R853" s="170" t="s">
        <v>87</v>
      </c>
      <c r="S853" s="168" t="s">
        <v>2217</v>
      </c>
      <c r="T853" t="str">
        <f t="shared" si="12"/>
        <v>Darius Slay Jays</v>
      </c>
      <c r="U853" t="str">
        <f t="shared" si="13"/>
        <v>Warm Caesars</v>
      </c>
    </row>
    <row r="854" hidden="1">
      <c r="A854" s="32" t="str">
        <f t="shared" si="1"/>
        <v>2023SaltyWeek 6</v>
      </c>
      <c r="B854" s="32" t="str">
        <f t="shared" si="2"/>
        <v>2023EwertWeek 6</v>
      </c>
      <c r="C854" s="32" t="str">
        <f t="shared" si="3"/>
        <v>Week 6</v>
      </c>
      <c r="D854" s="32">
        <v>2023.0</v>
      </c>
      <c r="E854" t="str">
        <f t="shared" si="4"/>
        <v>6</v>
      </c>
      <c r="F854" t="str">
        <f t="shared" si="5"/>
        <v>R Saltiel</v>
      </c>
      <c r="G854" s="40" t="str">
        <f>VLOOKUP(F854,'Manager Coding'!C:D,2,0)</f>
        <v>Salty</v>
      </c>
      <c r="H854" s="41">
        <f t="shared" si="6"/>
        <v>101.06</v>
      </c>
      <c r="I854" t="str">
        <f t="shared" si="7"/>
        <v>Kyle Ewert, brad starck</v>
      </c>
      <c r="J854" t="str">
        <f>VLOOKUP(I854,'Manager Coding'!C:D,2,0)</f>
        <v>Ewert</v>
      </c>
      <c r="K854" s="41">
        <f t="shared" si="8"/>
        <v>88.54</v>
      </c>
      <c r="L854">
        <f t="shared" si="9"/>
        <v>1</v>
      </c>
      <c r="M854">
        <f t="shared" si="10"/>
        <v>0</v>
      </c>
      <c r="N854" s="128" t="s">
        <v>2201</v>
      </c>
      <c r="O854" s="129" t="s">
        <v>77</v>
      </c>
      <c r="P854" s="120">
        <v>101.06</v>
      </c>
      <c r="Q854" s="127">
        <v>88.54</v>
      </c>
      <c r="R854" s="130" t="s">
        <v>105</v>
      </c>
      <c r="S854" s="128" t="s">
        <v>2216</v>
      </c>
      <c r="T854" t="str">
        <f t="shared" si="12"/>
        <v>Martha's Cream PIs</v>
      </c>
      <c r="U854" t="str">
        <f t="shared" si="13"/>
        <v>Soggy Fruit Pu kas</v>
      </c>
    </row>
    <row r="855" hidden="1">
      <c r="A855" s="32" t="str">
        <f t="shared" si="1"/>
        <v>2023Rooney/JacksonWeek 6</v>
      </c>
      <c r="B855" s="32" t="str">
        <f t="shared" si="2"/>
        <v>2023RileyWeek 6</v>
      </c>
      <c r="C855" s="32" t="str">
        <f t="shared" si="3"/>
        <v>Week 6</v>
      </c>
      <c r="D855" s="32">
        <v>2023.0</v>
      </c>
      <c r="E855" t="str">
        <f t="shared" si="4"/>
        <v>6</v>
      </c>
      <c r="F855" t="str">
        <f t="shared" si="5"/>
        <v>Stephen Rooney, Jackson Sattell</v>
      </c>
      <c r="G855" s="40" t="str">
        <f>VLOOKUP(F855,'Manager Coding'!C:D,2,0)</f>
        <v>Rooney/Jackson</v>
      </c>
      <c r="H855" s="41">
        <f t="shared" si="6"/>
        <v>86.02</v>
      </c>
      <c r="I855" t="str">
        <f t="shared" si="7"/>
        <v>Riley McElwain</v>
      </c>
      <c r="J855" t="str">
        <f>VLOOKUP(I855,'Manager Coding'!C:D,2,0)</f>
        <v>Riley</v>
      </c>
      <c r="K855" s="41">
        <f t="shared" si="8"/>
        <v>83</v>
      </c>
      <c r="L855">
        <f t="shared" si="9"/>
        <v>1</v>
      </c>
      <c r="M855">
        <f t="shared" si="10"/>
        <v>0</v>
      </c>
      <c r="N855" s="131" t="s">
        <v>2197</v>
      </c>
      <c r="O855" s="132" t="s">
        <v>58</v>
      </c>
      <c r="P855" s="120">
        <v>86.02</v>
      </c>
      <c r="Q855" s="127">
        <v>83.0</v>
      </c>
      <c r="R855" s="133" t="s">
        <v>68</v>
      </c>
      <c r="S855" s="131" t="s">
        <v>2210</v>
      </c>
      <c r="T855" t="str">
        <f t="shared" si="12"/>
        <v>Charley Diggs</v>
      </c>
      <c r="U855" t="str">
        <f t="shared" si="13"/>
        <v>Pizzay Express</v>
      </c>
    </row>
    <row r="856" hidden="1">
      <c r="A856" s="32" t="str">
        <f t="shared" si="1"/>
        <v>2023TayskiWeek 6</v>
      </c>
      <c r="B856" s="32" t="str">
        <f t="shared" si="2"/>
        <v>2023CockWeek 6</v>
      </c>
      <c r="C856" s="32" t="str">
        <f t="shared" si="3"/>
        <v>Week 6</v>
      </c>
      <c r="D856" s="32">
        <v>2023.0</v>
      </c>
      <c r="E856" t="str">
        <f t="shared" si="4"/>
        <v>6</v>
      </c>
      <c r="F856" t="str">
        <f t="shared" si="5"/>
        <v>Taylor Weis</v>
      </c>
      <c r="G856" s="40" t="str">
        <f>VLOOKUP(F856,'Manager Coding'!C:D,2,0)</f>
        <v>Tayski</v>
      </c>
      <c r="H856" s="41">
        <f t="shared" si="6"/>
        <v>74.02</v>
      </c>
      <c r="I856" t="str">
        <f t="shared" si="7"/>
        <v>Chris Cochrane</v>
      </c>
      <c r="J856" t="str">
        <f>VLOOKUP(I856,'Manager Coding'!C:D,2,0)</f>
        <v>Cock</v>
      </c>
      <c r="K856" s="41">
        <f t="shared" si="8"/>
        <v>62.24</v>
      </c>
      <c r="L856">
        <f t="shared" si="9"/>
        <v>1</v>
      </c>
      <c r="M856">
        <f t="shared" si="10"/>
        <v>0</v>
      </c>
      <c r="N856" s="128" t="s">
        <v>2188</v>
      </c>
      <c r="O856" s="129" t="s">
        <v>54</v>
      </c>
      <c r="P856" s="120">
        <v>74.02</v>
      </c>
      <c r="Q856" s="127">
        <v>62.24</v>
      </c>
      <c r="R856" s="130" t="s">
        <v>99</v>
      </c>
      <c r="S856" s="128" t="s">
        <v>2204</v>
      </c>
      <c r="T856" t="str">
        <f t="shared" si="12"/>
        <v>Brainard's Chubb</v>
      </c>
      <c r="U856" t="str">
        <f t="shared" si="13"/>
        <v>Philly Cheesteakaways</v>
      </c>
    </row>
    <row r="857" hidden="1">
      <c r="A857" s="32" t="str">
        <f t="shared" si="1"/>
        <v>2023PiersonWeek 6</v>
      </c>
      <c r="B857" s="32" t="str">
        <f t="shared" si="2"/>
        <v>2023HudspeathWeek 6</v>
      </c>
      <c r="C857" s="32" t="str">
        <f t="shared" si="3"/>
        <v>Week 6</v>
      </c>
      <c r="D857" s="32">
        <v>2023.0</v>
      </c>
      <c r="E857" t="str">
        <f t="shared" si="4"/>
        <v>6</v>
      </c>
      <c r="F857" t="str">
        <f t="shared" si="5"/>
        <v>Pierson Curtis</v>
      </c>
      <c r="G857" s="40" t="str">
        <f>VLOOKUP(F857,'Manager Coding'!C:D,2,0)</f>
        <v>Pierson</v>
      </c>
      <c r="H857" s="41">
        <f t="shared" si="6"/>
        <v>87.6</v>
      </c>
      <c r="I857" t="str">
        <f t="shared" si="7"/>
        <v>matt hudspeath</v>
      </c>
      <c r="J857" t="str">
        <f>VLOOKUP(I857,'Manager Coding'!C:D,2,0)</f>
        <v>Hudspeath</v>
      </c>
      <c r="K857" s="41">
        <f t="shared" si="8"/>
        <v>85.74</v>
      </c>
      <c r="L857">
        <f t="shared" si="9"/>
        <v>1</v>
      </c>
      <c r="M857">
        <f t="shared" si="10"/>
        <v>0</v>
      </c>
      <c r="N857" s="131" t="s">
        <v>2194</v>
      </c>
      <c r="O857" s="132" t="s">
        <v>93</v>
      </c>
      <c r="P857" s="120">
        <v>87.6</v>
      </c>
      <c r="Q857" s="127">
        <v>85.74</v>
      </c>
      <c r="R857" s="133" t="s">
        <v>64</v>
      </c>
      <c r="S857" s="131" t="s">
        <v>2198</v>
      </c>
      <c r="T857" t="str">
        <f t="shared" si="12"/>
        <v>Chasing</v>
      </c>
      <c r="U857" t="str">
        <f t="shared" si="13"/>
        <v>Library Chicks-Fil-A</v>
      </c>
    </row>
    <row r="858" hidden="1">
      <c r="A858" s="32" t="str">
        <f t="shared" si="1"/>
        <v>2023SaltyWeek 6</v>
      </c>
      <c r="B858" s="32" t="str">
        <f t="shared" si="2"/>
        <v>2023EwertWeek 6</v>
      </c>
      <c r="C858" s="32" t="str">
        <f t="shared" si="3"/>
        <v>Week 6</v>
      </c>
      <c r="D858" s="32">
        <v>2023.0</v>
      </c>
      <c r="E858" t="str">
        <f t="shared" si="4"/>
        <v>6</v>
      </c>
      <c r="F858" t="str">
        <f t="shared" si="5"/>
        <v>R Saltiel</v>
      </c>
      <c r="G858" s="40" t="str">
        <f>VLOOKUP(F858,'Manager Coding'!C:D,2,0)</f>
        <v>Salty</v>
      </c>
      <c r="H858" s="41" t="str">
        <f t="shared" si="6"/>
        <v/>
      </c>
      <c r="I858" t="str">
        <f t="shared" si="7"/>
        <v>Kyle Ewert, brad starck</v>
      </c>
      <c r="J858" t="str">
        <f>VLOOKUP(I858,'Manager Coding'!C:D,2,0)</f>
        <v>Ewert</v>
      </c>
      <c r="K858" s="41" t="str">
        <f t="shared" si="8"/>
        <v/>
      </c>
      <c r="L858">
        <f t="shared" si="9"/>
        <v>0</v>
      </c>
      <c r="M858">
        <f t="shared" si="10"/>
        <v>0</v>
      </c>
      <c r="N858" s="162" t="s">
        <v>340</v>
      </c>
      <c r="O858" s="174" t="s">
        <v>77</v>
      </c>
      <c r="P858" s="148"/>
      <c r="Q858" s="148"/>
      <c r="R858" s="141" t="s">
        <v>105</v>
      </c>
      <c r="S858" s="142" t="s">
        <v>2258</v>
      </c>
      <c r="T858" t="str">
        <f t="shared" si="12"/>
        <v>Martha's Cream PIs</v>
      </c>
      <c r="U858" t="str">
        <f t="shared" si="13"/>
        <v>#VALUE!</v>
      </c>
    </row>
    <row r="859" hidden="1">
      <c r="A859" s="32" t="str">
        <f t="shared" si="1"/>
        <v>#N/A</v>
      </c>
      <c r="B859" s="32" t="str">
        <f t="shared" si="2"/>
        <v>#N/A</v>
      </c>
      <c r="C859" s="32" t="str">
        <f t="shared" si="3"/>
        <v>Week 7</v>
      </c>
      <c r="D859" s="32">
        <v>2023.0</v>
      </c>
      <c r="E859" t="str">
        <f t="shared" si="4"/>
        <v>7</v>
      </c>
      <c r="F859" t="str">
        <f t="shared" si="5"/>
        <v>TEAM MANAGER(S)</v>
      </c>
      <c r="G859" s="40" t="str">
        <f>VLOOKUP(F859,'Manager Coding'!C:D,2,0)</f>
        <v>#N/A</v>
      </c>
      <c r="H859" s="41" t="str">
        <f t="shared" si="6"/>
        <v>SCORE</v>
      </c>
      <c r="I859" t="str">
        <f t="shared" si="7"/>
        <v>TEAM MANAGER(S)</v>
      </c>
      <c r="J859" t="str">
        <f>VLOOKUP(I859,'Manager Coding'!C:D,2,0)</f>
        <v>#N/A</v>
      </c>
      <c r="K859" s="41" t="str">
        <f t="shared" si="8"/>
        <v>SCORE</v>
      </c>
      <c r="L859">
        <f t="shared" si="9"/>
        <v>0</v>
      </c>
      <c r="M859">
        <f t="shared" si="10"/>
        <v>0</v>
      </c>
      <c r="N859" s="78" t="s">
        <v>197</v>
      </c>
      <c r="O859" s="78" t="s">
        <v>88</v>
      </c>
      <c r="P859" s="79" t="s">
        <v>94</v>
      </c>
      <c r="Q859" s="78" t="s">
        <v>94</v>
      </c>
      <c r="R859" s="79" t="s">
        <v>88</v>
      </c>
      <c r="S859" s="79" t="s">
        <v>101</v>
      </c>
      <c r="T859" t="str">
        <f t="shared" si="12"/>
        <v>#VALUE!</v>
      </c>
      <c r="U859" t="str">
        <f t="shared" si="13"/>
        <v>#VALUE!</v>
      </c>
    </row>
    <row r="860" hidden="1">
      <c r="A860" s="32" t="str">
        <f t="shared" si="1"/>
        <v>2023BuserWeek 7</v>
      </c>
      <c r="B860" s="32" t="str">
        <f t="shared" si="2"/>
        <v>2023KnardDawgWeek 7</v>
      </c>
      <c r="C860" s="32" t="str">
        <f t="shared" si="3"/>
        <v>Week 7</v>
      </c>
      <c r="D860" s="32">
        <v>2023.0</v>
      </c>
      <c r="E860" t="str">
        <f t="shared" si="4"/>
        <v>7</v>
      </c>
      <c r="F860" t="str">
        <f t="shared" si="5"/>
        <v>Ed Buser</v>
      </c>
      <c r="G860" s="40" t="str">
        <f>VLOOKUP(F860,'Manager Coding'!C:D,2,0)</f>
        <v>Buser</v>
      </c>
      <c r="H860" s="41">
        <f t="shared" si="6"/>
        <v>84.14</v>
      </c>
      <c r="I860" t="str">
        <f t="shared" si="7"/>
        <v>Alex Kinniard, Jack Reilly</v>
      </c>
      <c r="J860" t="str">
        <f>VLOOKUP(I860,'Manager Coding'!C:D,2,0)</f>
        <v>KnardDawg</v>
      </c>
      <c r="K860" s="41">
        <f t="shared" si="8"/>
        <v>65.48</v>
      </c>
      <c r="L860">
        <f t="shared" si="9"/>
        <v>1</v>
      </c>
      <c r="M860">
        <f t="shared" si="10"/>
        <v>0</v>
      </c>
      <c r="N860" s="153" t="s">
        <v>2191</v>
      </c>
      <c r="O860" s="129" t="s">
        <v>50</v>
      </c>
      <c r="P860" s="120">
        <v>84.14</v>
      </c>
      <c r="Q860" s="127">
        <v>65.48</v>
      </c>
      <c r="R860" s="130" t="s">
        <v>87</v>
      </c>
      <c r="S860" s="128" t="s">
        <v>2217</v>
      </c>
      <c r="T860" t="str">
        <f t="shared" si="12"/>
        <v>Darius Slay Jays</v>
      </c>
      <c r="U860" t="str">
        <f t="shared" si="13"/>
        <v>Wings and Three Rings</v>
      </c>
    </row>
    <row r="861" hidden="1">
      <c r="A861" s="32" t="str">
        <f t="shared" si="1"/>
        <v>2023EwertWeek 7</v>
      </c>
      <c r="B861" s="32" t="str">
        <f t="shared" si="2"/>
        <v>2023T-HowWeek 7</v>
      </c>
      <c r="C861" s="32" t="str">
        <f t="shared" si="3"/>
        <v>Week 7</v>
      </c>
      <c r="D861" s="32">
        <v>2023.0</v>
      </c>
      <c r="E861" t="str">
        <f t="shared" si="4"/>
        <v>7</v>
      </c>
      <c r="F861" t="str">
        <f t="shared" si="5"/>
        <v>Kyle Ewert, brad starck</v>
      </c>
      <c r="G861" s="40" t="str">
        <f>VLOOKUP(F861,'Manager Coding'!C:D,2,0)</f>
        <v>Ewert</v>
      </c>
      <c r="H861" s="41">
        <f t="shared" si="6"/>
        <v>85.36</v>
      </c>
      <c r="I861" t="str">
        <f t="shared" si="7"/>
        <v>Tyler Howard</v>
      </c>
      <c r="J861" t="str">
        <f>VLOOKUP(I861,'Manager Coding'!C:D,2,0)</f>
        <v>T-How</v>
      </c>
      <c r="K861" s="41">
        <f t="shared" si="8"/>
        <v>97.76</v>
      </c>
      <c r="L861">
        <f t="shared" si="9"/>
        <v>0</v>
      </c>
      <c r="M861">
        <f t="shared" si="10"/>
        <v>1</v>
      </c>
      <c r="N861" s="168" t="s">
        <v>2216</v>
      </c>
      <c r="O861" s="169" t="s">
        <v>105</v>
      </c>
      <c r="P861" s="158">
        <v>85.36</v>
      </c>
      <c r="Q861" s="167">
        <v>97.76</v>
      </c>
      <c r="R861" s="170" t="s">
        <v>85</v>
      </c>
      <c r="S861" s="168" t="s">
        <v>2213</v>
      </c>
      <c r="T861" t="str">
        <f t="shared" si="12"/>
        <v>The Breakfast Buddies</v>
      </c>
      <c r="U861" t="str">
        <f t="shared" si="13"/>
        <v>Martha's Cream PIs</v>
      </c>
    </row>
    <row r="862" hidden="1">
      <c r="A862" s="32" t="str">
        <f t="shared" si="1"/>
        <v>2023RileyWeek 7</v>
      </c>
      <c r="B862" s="32" t="str">
        <f t="shared" si="2"/>
        <v>2023ShepWeek 7</v>
      </c>
      <c r="C862" s="32" t="str">
        <f t="shared" si="3"/>
        <v>Week 7</v>
      </c>
      <c r="D862" s="32">
        <v>2023.0</v>
      </c>
      <c r="E862" t="str">
        <f t="shared" si="4"/>
        <v>7</v>
      </c>
      <c r="F862" t="str">
        <f t="shared" si="5"/>
        <v>Riley McElwain</v>
      </c>
      <c r="G862" s="40" t="str">
        <f>VLOOKUP(F862,'Manager Coding'!C:D,2,0)</f>
        <v>Riley</v>
      </c>
      <c r="H862" s="41">
        <f t="shared" si="6"/>
        <v>90.4</v>
      </c>
      <c r="I862" t="str">
        <f t="shared" si="7"/>
        <v>Jordan Shepherd</v>
      </c>
      <c r="J862" t="str">
        <f>VLOOKUP(I862,'Manager Coding'!C:D,2,0)</f>
        <v>Shep</v>
      </c>
      <c r="K862" s="41">
        <f t="shared" si="8"/>
        <v>75.24</v>
      </c>
      <c r="L862">
        <f t="shared" si="9"/>
        <v>1</v>
      </c>
      <c r="M862">
        <f t="shared" si="10"/>
        <v>0</v>
      </c>
      <c r="N862" s="128" t="s">
        <v>2210</v>
      </c>
      <c r="O862" s="129" t="s">
        <v>68</v>
      </c>
      <c r="P862" s="120">
        <v>90.4</v>
      </c>
      <c r="Q862" s="127">
        <v>75.24</v>
      </c>
      <c r="R862" s="130" t="s">
        <v>91</v>
      </c>
      <c r="S862" s="128" t="s">
        <v>2207</v>
      </c>
      <c r="T862" t="str">
        <f t="shared" si="12"/>
        <v>Warm Caesars</v>
      </c>
      <c r="U862" t="str">
        <f t="shared" si="13"/>
        <v>Charley Diggs</v>
      </c>
    </row>
    <row r="863" hidden="1">
      <c r="A863" s="32" t="str">
        <f t="shared" si="1"/>
        <v>2023CockWeek 7</v>
      </c>
      <c r="B863" s="32" t="str">
        <f t="shared" si="2"/>
        <v>2023SaltyWeek 7</v>
      </c>
      <c r="C863" s="32" t="str">
        <f t="shared" si="3"/>
        <v>Week 7</v>
      </c>
      <c r="D863" s="32">
        <v>2023.0</v>
      </c>
      <c r="E863" t="str">
        <f t="shared" si="4"/>
        <v>7</v>
      </c>
      <c r="F863" t="str">
        <f t="shared" si="5"/>
        <v>Chris Cochrane</v>
      </c>
      <c r="G863" s="40" t="str">
        <f>VLOOKUP(F863,'Manager Coding'!C:D,2,0)</f>
        <v>Cock</v>
      </c>
      <c r="H863" s="41">
        <f t="shared" si="6"/>
        <v>78.86</v>
      </c>
      <c r="I863" t="str">
        <f t="shared" si="7"/>
        <v>R Saltiel</v>
      </c>
      <c r="J863" t="str">
        <f>VLOOKUP(I863,'Manager Coding'!C:D,2,0)</f>
        <v>Salty</v>
      </c>
      <c r="K863" s="41">
        <f t="shared" si="8"/>
        <v>111.3</v>
      </c>
      <c r="L863">
        <f t="shared" si="9"/>
        <v>0</v>
      </c>
      <c r="M863">
        <f t="shared" si="10"/>
        <v>1</v>
      </c>
      <c r="N863" s="131" t="s">
        <v>2204</v>
      </c>
      <c r="O863" s="132" t="s">
        <v>99</v>
      </c>
      <c r="P863" s="120">
        <v>78.86</v>
      </c>
      <c r="Q863" s="127">
        <v>111.3</v>
      </c>
      <c r="R863" s="133" t="s">
        <v>77</v>
      </c>
      <c r="S863" s="131" t="s">
        <v>2201</v>
      </c>
      <c r="T863" t="str">
        <f t="shared" si="12"/>
        <v>Soggy Fruit Pu kas</v>
      </c>
      <c r="U863" t="str">
        <f t="shared" si="13"/>
        <v>Brainard's Chubb</v>
      </c>
    </row>
    <row r="864" hidden="1">
      <c r="A864" s="32" t="str">
        <f t="shared" si="1"/>
        <v>2023HudspeathWeek 7</v>
      </c>
      <c r="B864" s="32" t="str">
        <f t="shared" si="2"/>
        <v>2023Rooney/JacksonWeek 7</v>
      </c>
      <c r="C864" s="32" t="str">
        <f t="shared" si="3"/>
        <v>Week 7</v>
      </c>
      <c r="D864" s="32">
        <v>2023.0</v>
      </c>
      <c r="E864" t="str">
        <f t="shared" si="4"/>
        <v>7</v>
      </c>
      <c r="F864" t="str">
        <f t="shared" si="5"/>
        <v>matt hudspeath</v>
      </c>
      <c r="G864" s="40" t="str">
        <f>VLOOKUP(F864,'Manager Coding'!C:D,2,0)</f>
        <v>Hudspeath</v>
      </c>
      <c r="H864" s="41">
        <f t="shared" si="6"/>
        <v>115.76</v>
      </c>
      <c r="I864" t="str">
        <f t="shared" si="7"/>
        <v>Stephen Rooney, Jackson Sattell</v>
      </c>
      <c r="J864" t="str">
        <f>VLOOKUP(I864,'Manager Coding'!C:D,2,0)</f>
        <v>Rooney/Jackson</v>
      </c>
      <c r="K864" s="41">
        <f t="shared" si="8"/>
        <v>96.88</v>
      </c>
      <c r="L864">
        <f t="shared" si="9"/>
        <v>1</v>
      </c>
      <c r="M864">
        <f t="shared" si="10"/>
        <v>0</v>
      </c>
      <c r="N864" s="128" t="s">
        <v>2198</v>
      </c>
      <c r="O864" s="129" t="s">
        <v>64</v>
      </c>
      <c r="P864" s="120">
        <v>115.76</v>
      </c>
      <c r="Q864" s="127">
        <v>96.88</v>
      </c>
      <c r="R864" s="130" t="s">
        <v>58</v>
      </c>
      <c r="S864" s="128" t="s">
        <v>2197</v>
      </c>
      <c r="T864" t="str">
        <f t="shared" si="12"/>
        <v>Pizzay Express</v>
      </c>
      <c r="U864" t="str">
        <f t="shared" si="13"/>
        <v>Chasing</v>
      </c>
    </row>
    <row r="865" hidden="1">
      <c r="A865" s="32" t="str">
        <f t="shared" si="1"/>
        <v>2023PiersonWeek 7</v>
      </c>
      <c r="B865" s="32" t="str">
        <f t="shared" si="2"/>
        <v>2023TayskiWeek 7</v>
      </c>
      <c r="C865" s="32" t="str">
        <f t="shared" si="3"/>
        <v>Week 7</v>
      </c>
      <c r="D865" s="32">
        <v>2023.0</v>
      </c>
      <c r="E865" t="str">
        <f t="shared" si="4"/>
        <v>7</v>
      </c>
      <c r="F865" t="str">
        <f t="shared" si="5"/>
        <v>Pierson Curtis</v>
      </c>
      <c r="G865" s="40" t="str">
        <f>VLOOKUP(F865,'Manager Coding'!C:D,2,0)</f>
        <v>Pierson</v>
      </c>
      <c r="H865" s="41">
        <f t="shared" si="6"/>
        <v>81.96</v>
      </c>
      <c r="I865" t="str">
        <f t="shared" si="7"/>
        <v>Taylor Weis</v>
      </c>
      <c r="J865" t="str">
        <f>VLOOKUP(I865,'Manager Coding'!C:D,2,0)</f>
        <v>Tayski</v>
      </c>
      <c r="K865" s="41">
        <f t="shared" si="8"/>
        <v>77.96</v>
      </c>
      <c r="L865">
        <f t="shared" si="9"/>
        <v>1</v>
      </c>
      <c r="M865">
        <f t="shared" si="10"/>
        <v>0</v>
      </c>
      <c r="N865" s="131" t="s">
        <v>2194</v>
      </c>
      <c r="O865" s="132" t="s">
        <v>93</v>
      </c>
      <c r="P865" s="120">
        <v>81.96</v>
      </c>
      <c r="Q865" s="127">
        <v>77.96</v>
      </c>
      <c r="R865" s="133" t="s">
        <v>54</v>
      </c>
      <c r="S865" s="131" t="s">
        <v>2188</v>
      </c>
      <c r="T865" t="str">
        <f t="shared" si="12"/>
        <v>Philly Cheesteakaways</v>
      </c>
      <c r="U865" t="str">
        <f t="shared" si="13"/>
        <v>Library Chicks-Fil-A</v>
      </c>
    </row>
    <row r="866" hidden="1">
      <c r="A866" s="32" t="str">
        <f t="shared" si="1"/>
        <v>2023EwertWeek 7</v>
      </c>
      <c r="B866" s="32" t="str">
        <f t="shared" si="2"/>
        <v>2023T-HowWeek 7</v>
      </c>
      <c r="C866" s="32" t="str">
        <f t="shared" si="3"/>
        <v>Week 7</v>
      </c>
      <c r="D866" s="32">
        <v>2023.0</v>
      </c>
      <c r="E866" t="str">
        <f t="shared" si="4"/>
        <v>7</v>
      </c>
      <c r="F866" t="str">
        <f t="shared" si="5"/>
        <v>Kyle Ewert, brad starck</v>
      </c>
      <c r="G866" s="40" t="str">
        <f>VLOOKUP(F866,'Manager Coding'!C:D,2,0)</f>
        <v>Ewert</v>
      </c>
      <c r="H866" s="41" t="str">
        <f t="shared" si="6"/>
        <v/>
      </c>
      <c r="I866" t="str">
        <f t="shared" si="7"/>
        <v>Tyler Howard</v>
      </c>
      <c r="J866" t="str">
        <f>VLOOKUP(I866,'Manager Coding'!C:D,2,0)</f>
        <v>T-How</v>
      </c>
      <c r="K866" s="41" t="str">
        <f t="shared" si="8"/>
        <v/>
      </c>
      <c r="L866">
        <f t="shared" si="9"/>
        <v>0</v>
      </c>
      <c r="M866">
        <f t="shared" si="10"/>
        <v>0</v>
      </c>
      <c r="N866" s="162" t="s">
        <v>367</v>
      </c>
      <c r="O866" s="143" t="s">
        <v>105</v>
      </c>
      <c r="P866" s="152"/>
      <c r="Q866" s="152"/>
      <c r="R866" s="146" t="s">
        <v>85</v>
      </c>
      <c r="S866" s="147" t="s">
        <v>2325</v>
      </c>
      <c r="T866" t="str">
        <f t="shared" si="12"/>
        <v>The Breakfast Buddies</v>
      </c>
      <c r="U866" t="str">
        <f t="shared" si="13"/>
        <v>#VALUE!</v>
      </c>
    </row>
    <row r="867" hidden="1">
      <c r="A867" s="32" t="str">
        <f t="shared" si="1"/>
        <v>#N/A</v>
      </c>
      <c r="B867" s="32" t="str">
        <f t="shared" si="2"/>
        <v>#N/A</v>
      </c>
      <c r="C867" s="32" t="str">
        <f t="shared" si="3"/>
        <v>Week 8</v>
      </c>
      <c r="D867" s="32">
        <v>2023.0</v>
      </c>
      <c r="E867" t="str">
        <f t="shared" si="4"/>
        <v>8</v>
      </c>
      <c r="F867" t="str">
        <f t="shared" si="5"/>
        <v>TEAM MANAGER(S)</v>
      </c>
      <c r="G867" s="40" t="str">
        <f>VLOOKUP(F867,'Manager Coding'!C:D,2,0)</f>
        <v>#N/A</v>
      </c>
      <c r="H867" s="41" t="str">
        <f t="shared" si="6"/>
        <v>SCORE</v>
      </c>
      <c r="I867" t="str">
        <f t="shared" si="7"/>
        <v>TEAM MANAGER(S)</v>
      </c>
      <c r="J867" t="str">
        <f>VLOOKUP(I867,'Manager Coding'!C:D,2,0)</f>
        <v>#N/A</v>
      </c>
      <c r="K867" s="41" t="str">
        <f t="shared" si="8"/>
        <v>SCORE</v>
      </c>
      <c r="L867">
        <f t="shared" si="9"/>
        <v>0</v>
      </c>
      <c r="M867">
        <f t="shared" si="10"/>
        <v>0</v>
      </c>
      <c r="N867" s="78" t="s">
        <v>197</v>
      </c>
      <c r="O867" s="78" t="s">
        <v>88</v>
      </c>
      <c r="P867" s="79" t="s">
        <v>94</v>
      </c>
      <c r="Q867" s="78" t="s">
        <v>94</v>
      </c>
      <c r="R867" s="79" t="s">
        <v>88</v>
      </c>
      <c r="S867" s="79" t="s">
        <v>101</v>
      </c>
      <c r="T867" t="str">
        <f t="shared" si="12"/>
        <v>#VALUE!</v>
      </c>
      <c r="U867" t="str">
        <f t="shared" si="13"/>
        <v>#VALUE!</v>
      </c>
    </row>
    <row r="868" hidden="1">
      <c r="A868" s="32" t="str">
        <f t="shared" si="1"/>
        <v>2023EwertWeek 8</v>
      </c>
      <c r="B868" s="32" t="str">
        <f t="shared" si="2"/>
        <v>2023BuserWeek 8</v>
      </c>
      <c r="C868" s="32" t="str">
        <f t="shared" si="3"/>
        <v>Week 8</v>
      </c>
      <c r="D868" s="32">
        <v>2023.0</v>
      </c>
      <c r="E868" t="str">
        <f t="shared" si="4"/>
        <v>8</v>
      </c>
      <c r="F868" t="str">
        <f t="shared" si="5"/>
        <v>Kyle Ewert, brad starck</v>
      </c>
      <c r="G868" s="40" t="str">
        <f>VLOOKUP(F868,'Manager Coding'!C:D,2,0)</f>
        <v>Ewert</v>
      </c>
      <c r="H868" s="41">
        <f t="shared" si="6"/>
        <v>95.98</v>
      </c>
      <c r="I868" t="str">
        <f t="shared" si="7"/>
        <v>Ed Buser</v>
      </c>
      <c r="J868" t="str">
        <f>VLOOKUP(I868,'Manager Coding'!C:D,2,0)</f>
        <v>Buser</v>
      </c>
      <c r="K868" s="41">
        <f t="shared" si="8"/>
        <v>89.72</v>
      </c>
      <c r="L868">
        <f t="shared" si="9"/>
        <v>1</v>
      </c>
      <c r="M868">
        <f t="shared" si="10"/>
        <v>0</v>
      </c>
      <c r="N868" s="153" t="s">
        <v>2216</v>
      </c>
      <c r="O868" s="129" t="s">
        <v>105</v>
      </c>
      <c r="P868" s="120">
        <v>95.98</v>
      </c>
      <c r="Q868" s="127">
        <v>89.72</v>
      </c>
      <c r="R868" s="130" t="s">
        <v>50</v>
      </c>
      <c r="S868" s="128" t="s">
        <v>2191</v>
      </c>
      <c r="T868" t="str">
        <f t="shared" si="12"/>
        <v>Wings and Three Rings</v>
      </c>
      <c r="U868" t="str">
        <f t="shared" si="13"/>
        <v>Martha's Cream PIs</v>
      </c>
    </row>
    <row r="869" hidden="1">
      <c r="A869" s="32" t="str">
        <f t="shared" si="1"/>
        <v>2023KnardDawgWeek 8</v>
      </c>
      <c r="B869" s="32" t="str">
        <f t="shared" si="2"/>
        <v>2023RileyWeek 8</v>
      </c>
      <c r="C869" s="32" t="str">
        <f t="shared" si="3"/>
        <v>Week 8</v>
      </c>
      <c r="D869" s="32">
        <v>2023.0</v>
      </c>
      <c r="E869" t="str">
        <f t="shared" si="4"/>
        <v>8</v>
      </c>
      <c r="F869" t="str">
        <f t="shared" si="5"/>
        <v>Alex Kinniard, Jack Reilly</v>
      </c>
      <c r="G869" s="40" t="str">
        <f>VLOOKUP(F869,'Manager Coding'!C:D,2,0)</f>
        <v>KnardDawg</v>
      </c>
      <c r="H869" s="41">
        <f t="shared" si="6"/>
        <v>93.4</v>
      </c>
      <c r="I869" t="str">
        <f t="shared" si="7"/>
        <v>Riley McElwain</v>
      </c>
      <c r="J869" t="str">
        <f>VLOOKUP(I869,'Manager Coding'!C:D,2,0)</f>
        <v>Riley</v>
      </c>
      <c r="K869" s="41">
        <f t="shared" si="8"/>
        <v>107.96</v>
      </c>
      <c r="L869">
        <f t="shared" si="9"/>
        <v>0</v>
      </c>
      <c r="M869">
        <f t="shared" si="10"/>
        <v>1</v>
      </c>
      <c r="N869" s="168" t="s">
        <v>2217</v>
      </c>
      <c r="O869" s="169" t="s">
        <v>87</v>
      </c>
      <c r="P869" s="158">
        <v>93.4</v>
      </c>
      <c r="Q869" s="167">
        <v>107.96</v>
      </c>
      <c r="R869" s="170" t="s">
        <v>68</v>
      </c>
      <c r="S869" s="168" t="s">
        <v>2210</v>
      </c>
      <c r="T869" t="str">
        <f t="shared" si="12"/>
        <v>Charley Diggs</v>
      </c>
      <c r="U869" t="str">
        <f t="shared" si="13"/>
        <v>Darius Slay Jays</v>
      </c>
    </row>
    <row r="870" hidden="1">
      <c r="A870" s="32" t="str">
        <f t="shared" si="1"/>
        <v>2023T-HowWeek 8</v>
      </c>
      <c r="B870" s="32" t="str">
        <f t="shared" si="2"/>
        <v>2023CockWeek 8</v>
      </c>
      <c r="C870" s="32" t="str">
        <f t="shared" si="3"/>
        <v>Week 8</v>
      </c>
      <c r="D870" s="32">
        <v>2023.0</v>
      </c>
      <c r="E870" t="str">
        <f t="shared" si="4"/>
        <v>8</v>
      </c>
      <c r="F870" t="str">
        <f t="shared" si="5"/>
        <v>Tyler Howard</v>
      </c>
      <c r="G870" s="40" t="str">
        <f>VLOOKUP(F870,'Manager Coding'!C:D,2,0)</f>
        <v>T-How</v>
      </c>
      <c r="H870" s="41">
        <f t="shared" si="6"/>
        <v>116.82</v>
      </c>
      <c r="I870" t="str">
        <f t="shared" si="7"/>
        <v>Chris Cochrane</v>
      </c>
      <c r="J870" t="str">
        <f>VLOOKUP(I870,'Manager Coding'!C:D,2,0)</f>
        <v>Cock</v>
      </c>
      <c r="K870" s="41">
        <f t="shared" si="8"/>
        <v>83.4</v>
      </c>
      <c r="L870">
        <f t="shared" si="9"/>
        <v>1</v>
      </c>
      <c r="M870">
        <f t="shared" si="10"/>
        <v>0</v>
      </c>
      <c r="N870" s="128" t="s">
        <v>2213</v>
      </c>
      <c r="O870" s="129" t="s">
        <v>85</v>
      </c>
      <c r="P870" s="120">
        <v>116.82</v>
      </c>
      <c r="Q870" s="127">
        <v>83.4</v>
      </c>
      <c r="R870" s="130" t="s">
        <v>99</v>
      </c>
      <c r="S870" s="128" t="s">
        <v>2204</v>
      </c>
      <c r="T870" t="str">
        <f t="shared" si="12"/>
        <v>Brainard's Chubb</v>
      </c>
      <c r="U870" t="str">
        <f t="shared" si="13"/>
        <v>The Breakfast Buddies</v>
      </c>
    </row>
    <row r="871" hidden="1">
      <c r="A871" s="32" t="str">
        <f t="shared" si="1"/>
        <v>2023ShepWeek 8</v>
      </c>
      <c r="B871" s="32" t="str">
        <f t="shared" si="2"/>
        <v>2023HudspeathWeek 8</v>
      </c>
      <c r="C871" s="32" t="str">
        <f t="shared" si="3"/>
        <v>Week 8</v>
      </c>
      <c r="D871" s="32">
        <v>2023.0</v>
      </c>
      <c r="E871" t="str">
        <f t="shared" si="4"/>
        <v>8</v>
      </c>
      <c r="F871" t="str">
        <f t="shared" si="5"/>
        <v>Jordan Shepherd</v>
      </c>
      <c r="G871" s="40" t="str">
        <f>VLOOKUP(F871,'Manager Coding'!C:D,2,0)</f>
        <v>Shep</v>
      </c>
      <c r="H871" s="41">
        <f t="shared" si="6"/>
        <v>91.08</v>
      </c>
      <c r="I871" t="str">
        <f t="shared" si="7"/>
        <v>matt hudspeath</v>
      </c>
      <c r="J871" t="str">
        <f>VLOOKUP(I871,'Manager Coding'!C:D,2,0)</f>
        <v>Hudspeath</v>
      </c>
      <c r="K871" s="41">
        <f t="shared" si="8"/>
        <v>116.46</v>
      </c>
      <c r="L871">
        <f t="shared" si="9"/>
        <v>0</v>
      </c>
      <c r="M871">
        <f t="shared" si="10"/>
        <v>1</v>
      </c>
      <c r="N871" s="131" t="s">
        <v>2207</v>
      </c>
      <c r="O871" s="132" t="s">
        <v>91</v>
      </c>
      <c r="P871" s="120">
        <v>91.08</v>
      </c>
      <c r="Q871" s="127">
        <v>116.46</v>
      </c>
      <c r="R871" s="133" t="s">
        <v>64</v>
      </c>
      <c r="S871" s="131" t="s">
        <v>2198</v>
      </c>
      <c r="T871" t="str">
        <f t="shared" si="12"/>
        <v>Chasing</v>
      </c>
      <c r="U871" t="str">
        <f t="shared" si="13"/>
        <v>Warm Caesars</v>
      </c>
    </row>
    <row r="872" hidden="1">
      <c r="A872" s="32" t="str">
        <f t="shared" si="1"/>
        <v>2023SaltyWeek 8</v>
      </c>
      <c r="B872" s="32" t="str">
        <f t="shared" si="2"/>
        <v>2023PiersonWeek 8</v>
      </c>
      <c r="C872" s="32" t="str">
        <f t="shared" si="3"/>
        <v>Week 8</v>
      </c>
      <c r="D872" s="32">
        <v>2023.0</v>
      </c>
      <c r="E872" t="str">
        <f t="shared" si="4"/>
        <v>8</v>
      </c>
      <c r="F872" t="str">
        <f t="shared" si="5"/>
        <v>R Saltiel</v>
      </c>
      <c r="G872" s="40" t="str">
        <f>VLOOKUP(F872,'Manager Coding'!C:D,2,0)</f>
        <v>Salty</v>
      </c>
      <c r="H872" s="41">
        <f t="shared" si="6"/>
        <v>104.26</v>
      </c>
      <c r="I872" t="str">
        <f t="shared" si="7"/>
        <v>Pierson Curtis</v>
      </c>
      <c r="J872" t="str">
        <f>VLOOKUP(I872,'Manager Coding'!C:D,2,0)</f>
        <v>Pierson</v>
      </c>
      <c r="K872" s="41">
        <f t="shared" si="8"/>
        <v>85.36</v>
      </c>
      <c r="L872">
        <f t="shared" si="9"/>
        <v>1</v>
      </c>
      <c r="M872">
        <f t="shared" si="10"/>
        <v>0</v>
      </c>
      <c r="N872" s="128" t="s">
        <v>2201</v>
      </c>
      <c r="O872" s="129" t="s">
        <v>77</v>
      </c>
      <c r="P872" s="120">
        <v>104.26</v>
      </c>
      <c r="Q872" s="127">
        <v>85.36</v>
      </c>
      <c r="R872" s="130" t="s">
        <v>93</v>
      </c>
      <c r="S872" s="128" t="s">
        <v>2194</v>
      </c>
      <c r="T872" t="str">
        <f t="shared" si="12"/>
        <v>Library Chicks-Fil-A</v>
      </c>
      <c r="U872" t="str">
        <f t="shared" si="13"/>
        <v>Soggy Fruit Pu kas</v>
      </c>
    </row>
    <row r="873" hidden="1">
      <c r="A873" s="32" t="str">
        <f t="shared" si="1"/>
        <v>2023Rooney/JacksonWeek 8</v>
      </c>
      <c r="B873" s="32" t="str">
        <f t="shared" si="2"/>
        <v>2023TayskiWeek 8</v>
      </c>
      <c r="C873" s="32" t="str">
        <f t="shared" si="3"/>
        <v>Week 8</v>
      </c>
      <c r="D873" s="32">
        <v>2023.0</v>
      </c>
      <c r="E873" t="str">
        <f t="shared" si="4"/>
        <v>8</v>
      </c>
      <c r="F873" t="str">
        <f t="shared" si="5"/>
        <v>Stephen Rooney, Jackson Sattell</v>
      </c>
      <c r="G873" s="40" t="str">
        <f>VLOOKUP(F873,'Manager Coding'!C:D,2,0)</f>
        <v>Rooney/Jackson</v>
      </c>
      <c r="H873" s="41">
        <f t="shared" si="6"/>
        <v>82.68</v>
      </c>
      <c r="I873" t="str">
        <f t="shared" si="7"/>
        <v>Taylor Weis</v>
      </c>
      <c r="J873" t="str">
        <f>VLOOKUP(I873,'Manager Coding'!C:D,2,0)</f>
        <v>Tayski</v>
      </c>
      <c r="K873" s="41">
        <f t="shared" si="8"/>
        <v>91.8</v>
      </c>
      <c r="L873">
        <f t="shared" si="9"/>
        <v>0</v>
      </c>
      <c r="M873">
        <f t="shared" si="10"/>
        <v>1</v>
      </c>
      <c r="N873" s="131" t="s">
        <v>2197</v>
      </c>
      <c r="O873" s="132" t="s">
        <v>58</v>
      </c>
      <c r="P873" s="120">
        <v>82.68</v>
      </c>
      <c r="Q873" s="127">
        <v>91.8</v>
      </c>
      <c r="R873" s="133" t="s">
        <v>54</v>
      </c>
      <c r="S873" s="131" t="s">
        <v>2188</v>
      </c>
      <c r="T873" t="str">
        <f t="shared" si="12"/>
        <v>Philly Cheesteakaways</v>
      </c>
      <c r="U873" t="str">
        <f t="shared" si="13"/>
        <v>Pizzay Express</v>
      </c>
    </row>
    <row r="874" hidden="1">
      <c r="A874" s="32" t="str">
        <f t="shared" si="1"/>
        <v>2023EwertWeek 8</v>
      </c>
      <c r="B874" s="32" t="str">
        <f t="shared" si="2"/>
        <v>2023BuserWeek 8</v>
      </c>
      <c r="C874" s="32" t="str">
        <f t="shared" si="3"/>
        <v>Week 8</v>
      </c>
      <c r="D874" s="32">
        <v>2023.0</v>
      </c>
      <c r="E874" t="str">
        <f t="shared" si="4"/>
        <v>8</v>
      </c>
      <c r="F874" t="str">
        <f t="shared" si="5"/>
        <v>Kyle Ewert, brad starck</v>
      </c>
      <c r="G874" s="40" t="str">
        <f>VLOOKUP(F874,'Manager Coding'!C:D,2,0)</f>
        <v>Ewert</v>
      </c>
      <c r="H874" s="41" t="str">
        <f t="shared" si="6"/>
        <v/>
      </c>
      <c r="I874" t="str">
        <f t="shared" si="7"/>
        <v>Ed Buser</v>
      </c>
      <c r="J874" t="str">
        <f>VLOOKUP(I874,'Manager Coding'!C:D,2,0)</f>
        <v>Buser</v>
      </c>
      <c r="K874" s="41" t="str">
        <f t="shared" si="8"/>
        <v/>
      </c>
      <c r="L874">
        <f t="shared" si="9"/>
        <v>0</v>
      </c>
      <c r="M874">
        <f t="shared" si="10"/>
        <v>0</v>
      </c>
      <c r="N874" s="162" t="s">
        <v>387</v>
      </c>
      <c r="O874" s="138" t="s">
        <v>105</v>
      </c>
      <c r="P874" s="148"/>
      <c r="Q874" s="148"/>
      <c r="R874" s="141" t="s">
        <v>50</v>
      </c>
      <c r="S874" s="142" t="s">
        <v>2345</v>
      </c>
      <c r="T874" t="str">
        <f t="shared" si="12"/>
        <v>Wings and Three Rings</v>
      </c>
      <c r="U874" t="str">
        <f t="shared" si="13"/>
        <v>#VALUE!</v>
      </c>
    </row>
    <row r="875" hidden="1">
      <c r="A875" s="32" t="str">
        <f t="shared" si="1"/>
        <v>#N/A</v>
      </c>
      <c r="B875" s="32" t="str">
        <f t="shared" si="2"/>
        <v>#N/A</v>
      </c>
      <c r="C875" s="32" t="str">
        <f t="shared" si="3"/>
        <v>Week 9</v>
      </c>
      <c r="D875" s="32">
        <v>2023.0</v>
      </c>
      <c r="E875" t="str">
        <f t="shared" si="4"/>
        <v>9</v>
      </c>
      <c r="F875" t="str">
        <f t="shared" si="5"/>
        <v>TEAM MANAGER(S)</v>
      </c>
      <c r="G875" s="40" t="str">
        <f>VLOOKUP(F875,'Manager Coding'!C:D,2,0)</f>
        <v>#N/A</v>
      </c>
      <c r="H875" s="41" t="str">
        <f t="shared" si="6"/>
        <v>SCORE</v>
      </c>
      <c r="I875" t="str">
        <f t="shared" si="7"/>
        <v>TEAM MANAGER(S)</v>
      </c>
      <c r="J875" t="str">
        <f>VLOOKUP(I875,'Manager Coding'!C:D,2,0)</f>
        <v>#N/A</v>
      </c>
      <c r="K875" s="41" t="str">
        <f t="shared" si="8"/>
        <v>SCORE</v>
      </c>
      <c r="L875">
        <f t="shared" si="9"/>
        <v>0</v>
      </c>
      <c r="M875">
        <f t="shared" si="10"/>
        <v>0</v>
      </c>
      <c r="N875" s="78" t="s">
        <v>197</v>
      </c>
      <c r="O875" s="78" t="s">
        <v>88</v>
      </c>
      <c r="P875" s="79" t="s">
        <v>94</v>
      </c>
      <c r="Q875" s="78" t="s">
        <v>94</v>
      </c>
      <c r="R875" s="79" t="s">
        <v>88</v>
      </c>
      <c r="S875" s="79" t="s">
        <v>101</v>
      </c>
      <c r="T875" t="str">
        <f t="shared" si="12"/>
        <v>#VALUE!</v>
      </c>
      <c r="U875" t="str">
        <f t="shared" si="13"/>
        <v>#VALUE!</v>
      </c>
    </row>
    <row r="876" hidden="1">
      <c r="A876" s="32" t="str">
        <f t="shared" si="1"/>
        <v>2023BuserWeek 9</v>
      </c>
      <c r="B876" s="32" t="str">
        <f t="shared" si="2"/>
        <v>2023RileyWeek 9</v>
      </c>
      <c r="C876" s="32" t="str">
        <f t="shared" si="3"/>
        <v>Week 9</v>
      </c>
      <c r="D876" s="32">
        <v>2023.0</v>
      </c>
      <c r="E876" t="str">
        <f t="shared" si="4"/>
        <v>9</v>
      </c>
      <c r="F876" t="str">
        <f t="shared" si="5"/>
        <v>Ed Buser</v>
      </c>
      <c r="G876" s="40" t="str">
        <f>VLOOKUP(F876,'Manager Coding'!C:D,2,0)</f>
        <v>Buser</v>
      </c>
      <c r="H876" s="41">
        <f t="shared" si="6"/>
        <v>64.22</v>
      </c>
      <c r="I876" t="str">
        <f t="shared" si="7"/>
        <v>Riley McElwain</v>
      </c>
      <c r="J876" t="str">
        <f>VLOOKUP(I876,'Manager Coding'!C:D,2,0)</f>
        <v>Riley</v>
      </c>
      <c r="K876" s="41">
        <f t="shared" si="8"/>
        <v>88.22</v>
      </c>
      <c r="L876">
        <f t="shared" si="9"/>
        <v>0</v>
      </c>
      <c r="M876">
        <f t="shared" si="10"/>
        <v>1</v>
      </c>
      <c r="N876" s="153" t="s">
        <v>2191</v>
      </c>
      <c r="O876" s="129" t="s">
        <v>50</v>
      </c>
      <c r="P876" s="120">
        <v>64.22</v>
      </c>
      <c r="Q876" s="127">
        <v>88.22</v>
      </c>
      <c r="R876" s="130" t="s">
        <v>68</v>
      </c>
      <c r="S876" s="128" t="s">
        <v>2210</v>
      </c>
      <c r="T876" t="str">
        <f t="shared" si="12"/>
        <v>Charley Diggs</v>
      </c>
      <c r="U876" t="str">
        <f t="shared" si="13"/>
        <v>Wings and Three Rings</v>
      </c>
    </row>
    <row r="877" hidden="1">
      <c r="A877" s="32" t="str">
        <f t="shared" si="1"/>
        <v>2023CockWeek 9</v>
      </c>
      <c r="B877" s="32" t="str">
        <f t="shared" si="2"/>
        <v>2023EwertWeek 9</v>
      </c>
      <c r="C877" s="32" t="str">
        <f t="shared" si="3"/>
        <v>Week 9</v>
      </c>
      <c r="D877" s="32">
        <v>2023.0</v>
      </c>
      <c r="E877" t="str">
        <f t="shared" si="4"/>
        <v>9</v>
      </c>
      <c r="F877" t="str">
        <f t="shared" si="5"/>
        <v>Chris Cochrane</v>
      </c>
      <c r="G877" s="40" t="str">
        <f>VLOOKUP(F877,'Manager Coding'!C:D,2,0)</f>
        <v>Cock</v>
      </c>
      <c r="H877" s="41">
        <f t="shared" si="6"/>
        <v>80.5</v>
      </c>
      <c r="I877" t="str">
        <f t="shared" si="7"/>
        <v>Kyle Ewert, brad starck</v>
      </c>
      <c r="J877" t="str">
        <f>VLOOKUP(I877,'Manager Coding'!C:D,2,0)</f>
        <v>Ewert</v>
      </c>
      <c r="K877" s="41">
        <f t="shared" si="8"/>
        <v>112.84</v>
      </c>
      <c r="L877">
        <f t="shared" si="9"/>
        <v>0</v>
      </c>
      <c r="M877">
        <f t="shared" si="10"/>
        <v>1</v>
      </c>
      <c r="N877" s="168" t="s">
        <v>2204</v>
      </c>
      <c r="O877" s="169" t="s">
        <v>99</v>
      </c>
      <c r="P877" s="158">
        <v>80.5</v>
      </c>
      <c r="Q877" s="167">
        <v>112.84</v>
      </c>
      <c r="R877" s="170" t="s">
        <v>105</v>
      </c>
      <c r="S877" s="168" t="s">
        <v>2216</v>
      </c>
      <c r="T877" t="str">
        <f t="shared" si="12"/>
        <v>Martha's Cream PIs</v>
      </c>
      <c r="U877" t="str">
        <f t="shared" si="13"/>
        <v>Brainard's Chubb</v>
      </c>
    </row>
    <row r="878" hidden="1">
      <c r="A878" s="32" t="str">
        <f t="shared" si="1"/>
        <v>2023HudspeathWeek 9</v>
      </c>
      <c r="B878" s="32" t="str">
        <f t="shared" si="2"/>
        <v>2023KnardDawgWeek 9</v>
      </c>
      <c r="C878" s="32" t="str">
        <f t="shared" si="3"/>
        <v>Week 9</v>
      </c>
      <c r="D878" s="32">
        <v>2023.0</v>
      </c>
      <c r="E878" t="str">
        <f t="shared" si="4"/>
        <v>9</v>
      </c>
      <c r="F878" t="str">
        <f t="shared" si="5"/>
        <v>matt hudspeath</v>
      </c>
      <c r="G878" s="40" t="str">
        <f>VLOOKUP(F878,'Manager Coding'!C:D,2,0)</f>
        <v>Hudspeath</v>
      </c>
      <c r="H878" s="41">
        <f t="shared" si="6"/>
        <v>88.26</v>
      </c>
      <c r="I878" t="str">
        <f t="shared" si="7"/>
        <v>Alex Kinniard, Jack Reilly</v>
      </c>
      <c r="J878" t="str">
        <f>VLOOKUP(I878,'Manager Coding'!C:D,2,0)</f>
        <v>KnardDawg</v>
      </c>
      <c r="K878" s="41">
        <f t="shared" si="8"/>
        <v>70.38</v>
      </c>
      <c r="L878">
        <f t="shared" si="9"/>
        <v>1</v>
      </c>
      <c r="M878">
        <f t="shared" si="10"/>
        <v>0</v>
      </c>
      <c r="N878" s="128" t="s">
        <v>2198</v>
      </c>
      <c r="O878" s="129" t="s">
        <v>64</v>
      </c>
      <c r="P878" s="120">
        <v>88.26</v>
      </c>
      <c r="Q878" s="127">
        <v>70.38</v>
      </c>
      <c r="R878" s="130" t="s">
        <v>87</v>
      </c>
      <c r="S878" s="128" t="s">
        <v>2217</v>
      </c>
      <c r="T878" t="str">
        <f t="shared" si="12"/>
        <v>Darius Slay Jays</v>
      </c>
      <c r="U878" t="str">
        <f t="shared" si="13"/>
        <v>Chasing</v>
      </c>
    </row>
    <row r="879" hidden="1">
      <c r="A879" s="32" t="str">
        <f t="shared" si="1"/>
        <v>2023PiersonWeek 9</v>
      </c>
      <c r="B879" s="32" t="str">
        <f t="shared" si="2"/>
        <v>2023T-HowWeek 9</v>
      </c>
      <c r="C879" s="32" t="str">
        <f t="shared" si="3"/>
        <v>Week 9</v>
      </c>
      <c r="D879" s="32">
        <v>2023.0</v>
      </c>
      <c r="E879" t="str">
        <f t="shared" si="4"/>
        <v>9</v>
      </c>
      <c r="F879" t="str">
        <f t="shared" si="5"/>
        <v>Pierson Curtis</v>
      </c>
      <c r="G879" s="40" t="str">
        <f>VLOOKUP(F879,'Manager Coding'!C:D,2,0)</f>
        <v>Pierson</v>
      </c>
      <c r="H879" s="41">
        <f t="shared" si="6"/>
        <v>107.18</v>
      </c>
      <c r="I879" t="str">
        <f t="shared" si="7"/>
        <v>Tyler Howard</v>
      </c>
      <c r="J879" t="str">
        <f>VLOOKUP(I879,'Manager Coding'!C:D,2,0)</f>
        <v>T-How</v>
      </c>
      <c r="K879" s="41">
        <f t="shared" si="8"/>
        <v>53.64</v>
      </c>
      <c r="L879">
        <f t="shared" si="9"/>
        <v>1</v>
      </c>
      <c r="M879">
        <f t="shared" si="10"/>
        <v>0</v>
      </c>
      <c r="N879" s="131" t="s">
        <v>2194</v>
      </c>
      <c r="O879" s="132" t="s">
        <v>93</v>
      </c>
      <c r="P879" s="120">
        <v>107.18</v>
      </c>
      <c r="Q879" s="127">
        <v>53.64</v>
      </c>
      <c r="R879" s="133" t="s">
        <v>85</v>
      </c>
      <c r="S879" s="131" t="s">
        <v>2213</v>
      </c>
      <c r="T879" t="str">
        <f t="shared" si="12"/>
        <v>The Breakfast Buddies</v>
      </c>
      <c r="U879" t="str">
        <f t="shared" si="13"/>
        <v>Library Chicks-Fil-A</v>
      </c>
    </row>
    <row r="880" hidden="1">
      <c r="A880" s="32" t="str">
        <f t="shared" si="1"/>
        <v>2023TayskiWeek 9</v>
      </c>
      <c r="B880" s="32" t="str">
        <f t="shared" si="2"/>
        <v>2023ShepWeek 9</v>
      </c>
      <c r="C880" s="32" t="str">
        <f t="shared" si="3"/>
        <v>Week 9</v>
      </c>
      <c r="D880" s="32">
        <v>2023.0</v>
      </c>
      <c r="E880" t="str">
        <f t="shared" si="4"/>
        <v>9</v>
      </c>
      <c r="F880" t="str">
        <f t="shared" si="5"/>
        <v>Taylor Weis</v>
      </c>
      <c r="G880" s="40" t="str">
        <f>VLOOKUP(F880,'Manager Coding'!C:D,2,0)</f>
        <v>Tayski</v>
      </c>
      <c r="H880" s="41">
        <f t="shared" si="6"/>
        <v>114.5</v>
      </c>
      <c r="I880" t="str">
        <f t="shared" si="7"/>
        <v>Jordan Shepherd</v>
      </c>
      <c r="J880" t="str">
        <f>VLOOKUP(I880,'Manager Coding'!C:D,2,0)</f>
        <v>Shep</v>
      </c>
      <c r="K880" s="41">
        <f t="shared" si="8"/>
        <v>83.52</v>
      </c>
      <c r="L880">
        <f t="shared" si="9"/>
        <v>1</v>
      </c>
      <c r="M880">
        <f t="shared" si="10"/>
        <v>0</v>
      </c>
      <c r="N880" s="128" t="s">
        <v>2188</v>
      </c>
      <c r="O880" s="129" t="s">
        <v>54</v>
      </c>
      <c r="P880" s="120">
        <v>114.5</v>
      </c>
      <c r="Q880" s="127">
        <v>83.52</v>
      </c>
      <c r="R880" s="130" t="s">
        <v>91</v>
      </c>
      <c r="S880" s="128" t="s">
        <v>2207</v>
      </c>
      <c r="T880" t="str">
        <f t="shared" si="12"/>
        <v>Warm Caesars</v>
      </c>
      <c r="U880" t="str">
        <f t="shared" si="13"/>
        <v>Philly Cheesteakaways</v>
      </c>
    </row>
    <row r="881" hidden="1">
      <c r="A881" s="32" t="str">
        <f t="shared" si="1"/>
        <v>2023Rooney/JacksonWeek 9</v>
      </c>
      <c r="B881" s="32" t="str">
        <f t="shared" si="2"/>
        <v>2023SaltyWeek 9</v>
      </c>
      <c r="C881" s="32" t="str">
        <f t="shared" si="3"/>
        <v>Week 9</v>
      </c>
      <c r="D881" s="32">
        <v>2023.0</v>
      </c>
      <c r="E881" t="str">
        <f t="shared" si="4"/>
        <v>9</v>
      </c>
      <c r="F881" t="str">
        <f t="shared" si="5"/>
        <v>Stephen Rooney, Jackson Sattell</v>
      </c>
      <c r="G881" s="40" t="str">
        <f>VLOOKUP(F881,'Manager Coding'!C:D,2,0)</f>
        <v>Rooney/Jackson</v>
      </c>
      <c r="H881" s="41">
        <f t="shared" si="6"/>
        <v>82.28</v>
      </c>
      <c r="I881" t="str">
        <f t="shared" si="7"/>
        <v>R Saltiel</v>
      </c>
      <c r="J881" t="str">
        <f>VLOOKUP(I881,'Manager Coding'!C:D,2,0)</f>
        <v>Salty</v>
      </c>
      <c r="K881" s="41">
        <f t="shared" si="8"/>
        <v>82.62</v>
      </c>
      <c r="L881">
        <f t="shared" si="9"/>
        <v>0</v>
      </c>
      <c r="M881">
        <f t="shared" si="10"/>
        <v>1</v>
      </c>
      <c r="N881" s="131" t="s">
        <v>2197</v>
      </c>
      <c r="O881" s="132" t="s">
        <v>58</v>
      </c>
      <c r="P881" s="120">
        <v>82.28</v>
      </c>
      <c r="Q881" s="127">
        <v>82.62</v>
      </c>
      <c r="R881" s="133" t="s">
        <v>77</v>
      </c>
      <c r="S881" s="131" t="s">
        <v>2201</v>
      </c>
      <c r="T881" t="str">
        <f t="shared" si="12"/>
        <v>Soggy Fruit Pu kas</v>
      </c>
      <c r="U881" t="str">
        <f t="shared" si="13"/>
        <v>Pizzay Express</v>
      </c>
    </row>
    <row r="882" hidden="1">
      <c r="A882" s="32" t="str">
        <f t="shared" si="1"/>
        <v>#N/A</v>
      </c>
      <c r="B882" s="32" t="str">
        <f t="shared" si="2"/>
        <v>#N/A</v>
      </c>
      <c r="C882" s="32" t="str">
        <f t="shared" si="3"/>
        <v>Week 9</v>
      </c>
      <c r="D882" s="32">
        <v>2023.0</v>
      </c>
      <c r="E882" t="str">
        <f t="shared" si="4"/>
        <v>9</v>
      </c>
      <c r="F882" t="str">
        <f t="shared" si="5"/>
        <v>TEAM MANAGER(S)</v>
      </c>
      <c r="G882" s="40" t="str">
        <f>VLOOKUP(F882,'Manager Coding'!C:D,2,0)</f>
        <v>#N/A</v>
      </c>
      <c r="H882" s="41" t="str">
        <f t="shared" si="6"/>
        <v>SCORE</v>
      </c>
      <c r="I882" t="str">
        <f t="shared" si="7"/>
        <v>TEAM MANAGER(S)</v>
      </c>
      <c r="J882" t="str">
        <f>VLOOKUP(I882,'Manager Coding'!C:D,2,0)</f>
        <v>#N/A</v>
      </c>
      <c r="K882" s="41" t="str">
        <f t="shared" si="8"/>
        <v>SCORE</v>
      </c>
      <c r="L882">
        <f t="shared" si="9"/>
        <v>0</v>
      </c>
      <c r="M882">
        <f t="shared" si="10"/>
        <v>0</v>
      </c>
      <c r="N882" s="162" t="s">
        <v>406</v>
      </c>
      <c r="O882" s="175" t="s">
        <v>88</v>
      </c>
      <c r="P882" s="176" t="s">
        <v>94</v>
      </c>
      <c r="Q882" s="175" t="s">
        <v>94</v>
      </c>
      <c r="R882" s="176" t="s">
        <v>88</v>
      </c>
      <c r="S882" s="176" t="s">
        <v>101</v>
      </c>
      <c r="T882" t="str">
        <f t="shared" si="12"/>
        <v>#VALUE!</v>
      </c>
      <c r="U882" t="str">
        <f t="shared" si="13"/>
        <v>#VALUE!</v>
      </c>
    </row>
    <row r="883" hidden="1">
      <c r="A883" s="32" t="str">
        <f t="shared" si="1"/>
        <v>#N/A</v>
      </c>
      <c r="B883" s="32" t="str">
        <f t="shared" si="2"/>
        <v>#N/A</v>
      </c>
      <c r="C883" s="32" t="str">
        <f t="shared" si="3"/>
        <v>Week 10</v>
      </c>
      <c r="D883" s="32">
        <v>2023.0</v>
      </c>
      <c r="E883" t="str">
        <f t="shared" si="4"/>
        <v>10</v>
      </c>
      <c r="F883" t="str">
        <f t="shared" si="5"/>
        <v>TEAM MANAGER(S)</v>
      </c>
      <c r="G883" s="40" t="str">
        <f>VLOOKUP(F883,'Manager Coding'!C:D,2,0)</f>
        <v>#N/A</v>
      </c>
      <c r="H883" s="41" t="str">
        <f t="shared" si="6"/>
        <v>SCORE</v>
      </c>
      <c r="I883" t="str">
        <f t="shared" si="7"/>
        <v>TEAM MANAGER(S)</v>
      </c>
      <c r="J883" t="str">
        <f>VLOOKUP(I883,'Manager Coding'!C:D,2,0)</f>
        <v>#N/A</v>
      </c>
      <c r="K883" s="41" t="str">
        <f t="shared" si="8"/>
        <v>SCORE</v>
      </c>
      <c r="L883">
        <f t="shared" si="9"/>
        <v>0</v>
      </c>
      <c r="M883">
        <f t="shared" si="10"/>
        <v>0</v>
      </c>
      <c r="N883" s="78" t="s">
        <v>197</v>
      </c>
      <c r="O883" s="78" t="s">
        <v>88</v>
      </c>
      <c r="P883" s="79" t="s">
        <v>94</v>
      </c>
      <c r="Q883" s="78" t="s">
        <v>94</v>
      </c>
      <c r="R883" s="79" t="s">
        <v>88</v>
      </c>
      <c r="S883" s="79" t="s">
        <v>101</v>
      </c>
      <c r="T883" t="str">
        <f t="shared" si="12"/>
        <v>#VALUE!</v>
      </c>
      <c r="U883" t="str">
        <f t="shared" si="13"/>
        <v>#VALUE!</v>
      </c>
    </row>
    <row r="884" hidden="1">
      <c r="A884" s="32" t="str">
        <f t="shared" si="1"/>
        <v>2023CockWeek 10</v>
      </c>
      <c r="B884" s="32" t="str">
        <f t="shared" si="2"/>
        <v>2023BuserWeek 10</v>
      </c>
      <c r="C884" s="32" t="str">
        <f t="shared" si="3"/>
        <v>Week 10</v>
      </c>
      <c r="D884" s="32">
        <v>2023.0</v>
      </c>
      <c r="E884" t="str">
        <f t="shared" si="4"/>
        <v>10</v>
      </c>
      <c r="F884" t="str">
        <f t="shared" si="5"/>
        <v>Chris Cochrane</v>
      </c>
      <c r="G884" s="40" t="str">
        <f>VLOOKUP(F884,'Manager Coding'!C:D,2,0)</f>
        <v>Cock</v>
      </c>
      <c r="H884" s="41">
        <f t="shared" si="6"/>
        <v>99.62</v>
      </c>
      <c r="I884" t="str">
        <f t="shared" si="7"/>
        <v>Ed Buser</v>
      </c>
      <c r="J884" t="str">
        <f>VLOOKUP(I884,'Manager Coding'!C:D,2,0)</f>
        <v>Buser</v>
      </c>
      <c r="K884" s="41">
        <f t="shared" si="8"/>
        <v>84.48</v>
      </c>
      <c r="L884">
        <f t="shared" si="9"/>
        <v>1</v>
      </c>
      <c r="M884">
        <f t="shared" si="10"/>
        <v>0</v>
      </c>
      <c r="N884" s="153" t="s">
        <v>2204</v>
      </c>
      <c r="O884" s="177" t="s">
        <v>99</v>
      </c>
      <c r="P884" s="158">
        <v>99.62</v>
      </c>
      <c r="Q884" s="167">
        <v>84.48</v>
      </c>
      <c r="R884" s="178" t="s">
        <v>50</v>
      </c>
      <c r="S884" s="179" t="s">
        <v>2191</v>
      </c>
      <c r="T884" t="str">
        <f t="shared" si="12"/>
        <v>Wings and Three Rings</v>
      </c>
      <c r="U884" t="str">
        <f t="shared" si="13"/>
        <v>Brainard's Chubb</v>
      </c>
    </row>
    <row r="885" hidden="1">
      <c r="A885" s="32" t="str">
        <f t="shared" si="1"/>
        <v>2023RileyWeek 10</v>
      </c>
      <c r="B885" s="32" t="str">
        <f t="shared" si="2"/>
        <v>2023HudspeathWeek 10</v>
      </c>
      <c r="C885" s="32" t="str">
        <f t="shared" si="3"/>
        <v>Week 10</v>
      </c>
      <c r="D885" s="32">
        <v>2023.0</v>
      </c>
      <c r="E885" t="str">
        <f t="shared" si="4"/>
        <v>10</v>
      </c>
      <c r="F885" t="str">
        <f t="shared" si="5"/>
        <v>Riley McElwain</v>
      </c>
      <c r="G885" s="40" t="str">
        <f>VLOOKUP(F885,'Manager Coding'!C:D,2,0)</f>
        <v>Riley</v>
      </c>
      <c r="H885" s="41">
        <f t="shared" si="6"/>
        <v>79.22</v>
      </c>
      <c r="I885" t="str">
        <f t="shared" si="7"/>
        <v>matt hudspeath</v>
      </c>
      <c r="J885" t="str">
        <f>VLOOKUP(I885,'Manager Coding'!C:D,2,0)</f>
        <v>Hudspeath</v>
      </c>
      <c r="K885" s="41">
        <f t="shared" si="8"/>
        <v>106.56</v>
      </c>
      <c r="L885">
        <f t="shared" si="9"/>
        <v>0</v>
      </c>
      <c r="M885">
        <f t="shared" si="10"/>
        <v>1</v>
      </c>
      <c r="N885" s="168" t="s">
        <v>2210</v>
      </c>
      <c r="O885" s="169" t="s">
        <v>68</v>
      </c>
      <c r="P885" s="158">
        <v>79.22</v>
      </c>
      <c r="Q885" s="167">
        <v>106.56</v>
      </c>
      <c r="R885" s="170" t="s">
        <v>64</v>
      </c>
      <c r="S885" s="168" t="s">
        <v>2198</v>
      </c>
      <c r="T885" t="str">
        <f t="shared" si="12"/>
        <v>Chasing</v>
      </c>
      <c r="U885" t="str">
        <f t="shared" si="13"/>
        <v>Charley Diggs</v>
      </c>
    </row>
    <row r="886" hidden="1">
      <c r="A886" s="32" t="str">
        <f t="shared" si="1"/>
        <v>2023EwertWeek 10</v>
      </c>
      <c r="B886" s="32" t="str">
        <f t="shared" si="2"/>
        <v>2023PiersonWeek 10</v>
      </c>
      <c r="C886" s="32" t="str">
        <f t="shared" si="3"/>
        <v>Week 10</v>
      </c>
      <c r="D886" s="32">
        <v>2023.0</v>
      </c>
      <c r="E886" t="str">
        <f t="shared" si="4"/>
        <v>10</v>
      </c>
      <c r="F886" t="str">
        <f t="shared" si="5"/>
        <v>Kyle Ewert, brad starck</v>
      </c>
      <c r="G886" s="40" t="str">
        <f>VLOOKUP(F886,'Manager Coding'!C:D,2,0)</f>
        <v>Ewert</v>
      </c>
      <c r="H886" s="41">
        <f t="shared" si="6"/>
        <v>95.9</v>
      </c>
      <c r="I886" t="str">
        <f t="shared" si="7"/>
        <v>Pierson Curtis</v>
      </c>
      <c r="J886" t="str">
        <f>VLOOKUP(I886,'Manager Coding'!C:D,2,0)</f>
        <v>Pierson</v>
      </c>
      <c r="K886" s="41">
        <f t="shared" si="8"/>
        <v>98.12</v>
      </c>
      <c r="L886">
        <f t="shared" si="9"/>
        <v>0</v>
      </c>
      <c r="M886">
        <f t="shared" si="10"/>
        <v>1</v>
      </c>
      <c r="N886" s="128" t="s">
        <v>2216</v>
      </c>
      <c r="O886" s="129" t="s">
        <v>105</v>
      </c>
      <c r="P886" s="120">
        <v>95.9</v>
      </c>
      <c r="Q886" s="127">
        <v>98.12</v>
      </c>
      <c r="R886" s="130" t="s">
        <v>93</v>
      </c>
      <c r="S886" s="128" t="s">
        <v>2194</v>
      </c>
      <c r="T886" t="str">
        <f t="shared" si="12"/>
        <v>Library Chicks-Fil-A</v>
      </c>
      <c r="U886" t="str">
        <f t="shared" si="13"/>
        <v>Martha's Cream PIs</v>
      </c>
    </row>
    <row r="887" hidden="1">
      <c r="A887" s="32" t="str">
        <f t="shared" si="1"/>
        <v>2023KnardDawgWeek 10</v>
      </c>
      <c r="B887" s="32" t="str">
        <f t="shared" si="2"/>
        <v>2023TayskiWeek 10</v>
      </c>
      <c r="C887" s="32" t="str">
        <f t="shared" si="3"/>
        <v>Week 10</v>
      </c>
      <c r="D887" s="32">
        <v>2023.0</v>
      </c>
      <c r="E887" t="str">
        <f t="shared" si="4"/>
        <v>10</v>
      </c>
      <c r="F887" t="str">
        <f t="shared" si="5"/>
        <v>Alex Kinniard, Jack Reilly</v>
      </c>
      <c r="G887" s="40" t="str">
        <f>VLOOKUP(F887,'Manager Coding'!C:D,2,0)</f>
        <v>KnardDawg</v>
      </c>
      <c r="H887" s="41">
        <f t="shared" si="6"/>
        <v>101.04</v>
      </c>
      <c r="I887" t="str">
        <f t="shared" si="7"/>
        <v>Taylor Weis</v>
      </c>
      <c r="J887" t="str">
        <f>VLOOKUP(I887,'Manager Coding'!C:D,2,0)</f>
        <v>Tayski</v>
      </c>
      <c r="K887" s="41">
        <f t="shared" si="8"/>
        <v>71.14</v>
      </c>
      <c r="L887">
        <f t="shared" si="9"/>
        <v>1</v>
      </c>
      <c r="M887">
        <f t="shared" si="10"/>
        <v>0</v>
      </c>
      <c r="N887" s="131" t="s">
        <v>2217</v>
      </c>
      <c r="O887" s="132" t="s">
        <v>87</v>
      </c>
      <c r="P887" s="120">
        <v>101.04</v>
      </c>
      <c r="Q887" s="127">
        <v>71.14</v>
      </c>
      <c r="R887" s="133" t="s">
        <v>54</v>
      </c>
      <c r="S887" s="131" t="s">
        <v>2188</v>
      </c>
      <c r="T887" t="str">
        <f t="shared" si="12"/>
        <v>Philly Cheesteakaways</v>
      </c>
      <c r="U887" t="str">
        <f t="shared" si="13"/>
        <v>Darius Slay Jays</v>
      </c>
    </row>
    <row r="888" hidden="1">
      <c r="A888" s="32" t="str">
        <f t="shared" si="1"/>
        <v>2023T-HowWeek 10</v>
      </c>
      <c r="B888" s="32" t="str">
        <f t="shared" si="2"/>
        <v>2023Rooney/JacksonWeek 10</v>
      </c>
      <c r="C888" s="32" t="str">
        <f t="shared" si="3"/>
        <v>Week 10</v>
      </c>
      <c r="D888" s="32">
        <v>2023.0</v>
      </c>
      <c r="E888" t="str">
        <f t="shared" si="4"/>
        <v>10</v>
      </c>
      <c r="F888" t="str">
        <f t="shared" si="5"/>
        <v>Tyler Howard</v>
      </c>
      <c r="G888" s="40" t="str">
        <f>VLOOKUP(F888,'Manager Coding'!C:D,2,0)</f>
        <v>T-How</v>
      </c>
      <c r="H888" s="41">
        <f t="shared" si="6"/>
        <v>127.62</v>
      </c>
      <c r="I888" t="str">
        <f t="shared" si="7"/>
        <v>Stephen Rooney, Jackson Sattell</v>
      </c>
      <c r="J888" t="str">
        <f>VLOOKUP(I888,'Manager Coding'!C:D,2,0)</f>
        <v>Rooney/Jackson</v>
      </c>
      <c r="K888" s="41">
        <f t="shared" si="8"/>
        <v>98.52</v>
      </c>
      <c r="L888">
        <f t="shared" si="9"/>
        <v>1</v>
      </c>
      <c r="M888">
        <f t="shared" si="10"/>
        <v>0</v>
      </c>
      <c r="N888" s="128" t="s">
        <v>2213</v>
      </c>
      <c r="O888" s="129" t="s">
        <v>85</v>
      </c>
      <c r="P888" s="120">
        <v>127.62</v>
      </c>
      <c r="Q888" s="127">
        <v>98.52</v>
      </c>
      <c r="R888" s="130" t="s">
        <v>58</v>
      </c>
      <c r="S888" s="128" t="s">
        <v>2197</v>
      </c>
      <c r="T888" t="str">
        <f t="shared" si="12"/>
        <v>Pizzay Express</v>
      </c>
      <c r="U888" t="str">
        <f t="shared" si="13"/>
        <v>The Breakfast Buddies</v>
      </c>
    </row>
    <row r="889" hidden="1">
      <c r="A889" s="32" t="str">
        <f t="shared" si="1"/>
        <v>2023ShepWeek 10</v>
      </c>
      <c r="B889" s="32" t="str">
        <f t="shared" si="2"/>
        <v>2023SaltyWeek 10</v>
      </c>
      <c r="C889" s="32" t="str">
        <f t="shared" si="3"/>
        <v>Week 10</v>
      </c>
      <c r="D889" s="32">
        <v>2023.0</v>
      </c>
      <c r="E889" t="str">
        <f t="shared" si="4"/>
        <v>10</v>
      </c>
      <c r="F889" t="str">
        <f t="shared" si="5"/>
        <v>Jordan Shepherd</v>
      </c>
      <c r="G889" s="40" t="str">
        <f>VLOOKUP(F889,'Manager Coding'!C:D,2,0)</f>
        <v>Shep</v>
      </c>
      <c r="H889" s="41">
        <f t="shared" si="6"/>
        <v>115.38</v>
      </c>
      <c r="I889" t="str">
        <f t="shared" si="7"/>
        <v>R Saltiel</v>
      </c>
      <c r="J889" t="str">
        <f>VLOOKUP(I889,'Manager Coding'!C:D,2,0)</f>
        <v>Salty</v>
      </c>
      <c r="K889" s="41">
        <f t="shared" si="8"/>
        <v>122.88</v>
      </c>
      <c r="L889">
        <f t="shared" si="9"/>
        <v>0</v>
      </c>
      <c r="M889">
        <f t="shared" si="10"/>
        <v>1</v>
      </c>
      <c r="N889" s="131" t="s">
        <v>2207</v>
      </c>
      <c r="O889" s="132" t="s">
        <v>91</v>
      </c>
      <c r="P889" s="120">
        <v>115.38</v>
      </c>
      <c r="Q889" s="127">
        <v>122.88</v>
      </c>
      <c r="R889" s="133" t="s">
        <v>77</v>
      </c>
      <c r="S889" s="131" t="s">
        <v>2201</v>
      </c>
      <c r="T889" t="str">
        <f t="shared" si="12"/>
        <v>Soggy Fruit Pu kas</v>
      </c>
      <c r="U889" t="str">
        <f t="shared" si="13"/>
        <v>Warm Caesars</v>
      </c>
    </row>
    <row r="890" hidden="1">
      <c r="A890" s="32" t="str">
        <f t="shared" si="1"/>
        <v>#N/A</v>
      </c>
      <c r="B890" s="32" t="str">
        <f t="shared" si="2"/>
        <v>#N/A</v>
      </c>
      <c r="C890" s="32" t="str">
        <f t="shared" si="3"/>
        <v>Week 10</v>
      </c>
      <c r="D890" s="32">
        <v>2023.0</v>
      </c>
      <c r="E890" t="str">
        <f t="shared" si="4"/>
        <v>10</v>
      </c>
      <c r="F890" t="str">
        <f t="shared" si="5"/>
        <v/>
      </c>
      <c r="G890" s="40" t="str">
        <f>VLOOKUP(F890,'Manager Coding'!C:D,2,0)</f>
        <v>#N/A</v>
      </c>
      <c r="H890" s="41" t="str">
        <f t="shared" si="6"/>
        <v/>
      </c>
      <c r="I890" t="str">
        <f t="shared" si="7"/>
        <v/>
      </c>
      <c r="J890" t="str">
        <f>VLOOKUP(I890,'Manager Coding'!C:D,2,0)</f>
        <v>#N/A</v>
      </c>
      <c r="K890" s="41" t="str">
        <f t="shared" si="8"/>
        <v/>
      </c>
      <c r="L890">
        <f t="shared" si="9"/>
        <v>0</v>
      </c>
      <c r="M890">
        <f t="shared" si="10"/>
        <v>0</v>
      </c>
      <c r="N890" s="162" t="s">
        <v>430</v>
      </c>
      <c r="O890" s="163"/>
      <c r="P890" s="164"/>
      <c r="Q890" s="165"/>
      <c r="R890" s="165"/>
      <c r="S890" s="164"/>
      <c r="T890" t="str">
        <f t="shared" si="12"/>
        <v>#VALUE!</v>
      </c>
      <c r="U890" t="str">
        <f t="shared" si="13"/>
        <v>#VALUE!</v>
      </c>
    </row>
    <row r="891" hidden="1">
      <c r="A891" s="32" t="str">
        <f t="shared" si="1"/>
        <v>#N/A</v>
      </c>
      <c r="B891" s="32" t="str">
        <f t="shared" si="2"/>
        <v>#N/A</v>
      </c>
      <c r="C891" s="32" t="str">
        <f t="shared" si="3"/>
        <v>Week 11</v>
      </c>
      <c r="D891" s="32">
        <v>2023.0</v>
      </c>
      <c r="E891" t="str">
        <f t="shared" si="4"/>
        <v>11</v>
      </c>
      <c r="F891" t="str">
        <f t="shared" si="5"/>
        <v>TEAM MANAGER(S)</v>
      </c>
      <c r="G891" s="40" t="str">
        <f>VLOOKUP(F891,'Manager Coding'!C:D,2,0)</f>
        <v>#N/A</v>
      </c>
      <c r="H891" s="41" t="str">
        <f t="shared" si="6"/>
        <v>SCORE</v>
      </c>
      <c r="I891" t="str">
        <f t="shared" si="7"/>
        <v>TEAM MANAGER(S)</v>
      </c>
      <c r="J891" t="str">
        <f>VLOOKUP(I891,'Manager Coding'!C:D,2,0)</f>
        <v>#N/A</v>
      </c>
      <c r="K891" s="41" t="str">
        <f t="shared" si="8"/>
        <v>SCORE</v>
      </c>
      <c r="L891">
        <f t="shared" si="9"/>
        <v>0</v>
      </c>
      <c r="M891">
        <f t="shared" si="10"/>
        <v>0</v>
      </c>
      <c r="N891" s="78" t="s">
        <v>197</v>
      </c>
      <c r="O891" s="78" t="s">
        <v>88</v>
      </c>
      <c r="P891" s="79" t="s">
        <v>94</v>
      </c>
      <c r="Q891" s="78" t="s">
        <v>94</v>
      </c>
      <c r="R891" s="79" t="s">
        <v>88</v>
      </c>
      <c r="S891" s="79" t="s">
        <v>101</v>
      </c>
      <c r="T891" t="str">
        <f t="shared" si="12"/>
        <v>#VALUE!</v>
      </c>
      <c r="U891" t="str">
        <f t="shared" si="13"/>
        <v>#VALUE!</v>
      </c>
    </row>
    <row r="892" hidden="1">
      <c r="A892" s="32" t="str">
        <f t="shared" si="1"/>
        <v>2023BuserWeek 11</v>
      </c>
      <c r="B892" s="32" t="str">
        <f t="shared" si="2"/>
        <v>2023HudspeathWeek 11</v>
      </c>
      <c r="C892" s="32" t="str">
        <f t="shared" si="3"/>
        <v>Week 11</v>
      </c>
      <c r="D892" s="32">
        <v>2023.0</v>
      </c>
      <c r="E892" t="str">
        <f t="shared" si="4"/>
        <v>11</v>
      </c>
      <c r="F892" t="str">
        <f t="shared" si="5"/>
        <v>Ed Buser</v>
      </c>
      <c r="G892" s="40" t="str">
        <f>VLOOKUP(F892,'Manager Coding'!C:D,2,0)</f>
        <v>Buser</v>
      </c>
      <c r="H892" s="41">
        <f t="shared" si="6"/>
        <v>82.74</v>
      </c>
      <c r="I892" t="str">
        <f t="shared" si="7"/>
        <v>matt hudspeath</v>
      </c>
      <c r="J892" t="str">
        <f>VLOOKUP(I892,'Manager Coding'!C:D,2,0)</f>
        <v>Hudspeath</v>
      </c>
      <c r="K892" s="41">
        <f t="shared" si="8"/>
        <v>82.26</v>
      </c>
      <c r="L892">
        <f t="shared" si="9"/>
        <v>1</v>
      </c>
      <c r="M892">
        <f t="shared" si="10"/>
        <v>0</v>
      </c>
      <c r="N892" s="153" t="s">
        <v>2191</v>
      </c>
      <c r="O892" s="81" t="s">
        <v>50</v>
      </c>
      <c r="P892" s="82">
        <v>82.74</v>
      </c>
      <c r="Q892" s="88">
        <v>82.26</v>
      </c>
      <c r="R892" s="154" t="s">
        <v>64</v>
      </c>
      <c r="S892" s="153" t="s">
        <v>2198</v>
      </c>
      <c r="T892" t="str">
        <f t="shared" si="12"/>
        <v>Chasing</v>
      </c>
      <c r="U892" t="str">
        <f t="shared" si="13"/>
        <v>Wings and Three Rings</v>
      </c>
    </row>
    <row r="893" hidden="1">
      <c r="A893" s="32" t="str">
        <f t="shared" si="1"/>
        <v>2023PiersonWeek 11</v>
      </c>
      <c r="B893" s="32" t="str">
        <f t="shared" si="2"/>
        <v>2023CockWeek 11</v>
      </c>
      <c r="C893" s="32" t="str">
        <f t="shared" si="3"/>
        <v>Week 11</v>
      </c>
      <c r="D893" s="32">
        <v>2023.0</v>
      </c>
      <c r="E893" t="str">
        <f t="shared" si="4"/>
        <v>11</v>
      </c>
      <c r="F893" t="str">
        <f t="shared" si="5"/>
        <v>Pierson Curtis</v>
      </c>
      <c r="G893" s="40" t="str">
        <f>VLOOKUP(F893,'Manager Coding'!C:D,2,0)</f>
        <v>Pierson</v>
      </c>
      <c r="H893" s="41">
        <f t="shared" si="6"/>
        <v>110.4</v>
      </c>
      <c r="I893" t="str">
        <f t="shared" si="7"/>
        <v>Chris Cochrane</v>
      </c>
      <c r="J893" t="str">
        <f>VLOOKUP(I893,'Manager Coding'!C:D,2,0)</f>
        <v>Cock</v>
      </c>
      <c r="K893" s="41">
        <f t="shared" si="8"/>
        <v>74.98</v>
      </c>
      <c r="L893">
        <f t="shared" si="9"/>
        <v>1</v>
      </c>
      <c r="M893">
        <f t="shared" si="10"/>
        <v>0</v>
      </c>
      <c r="N893" s="168" t="s">
        <v>2194</v>
      </c>
      <c r="O893" s="169" t="s">
        <v>93</v>
      </c>
      <c r="P893" s="158">
        <v>110.4</v>
      </c>
      <c r="Q893" s="167">
        <v>74.98</v>
      </c>
      <c r="R893" s="170" t="s">
        <v>99</v>
      </c>
      <c r="S893" s="168" t="s">
        <v>2204</v>
      </c>
      <c r="T893" t="str">
        <f t="shared" si="12"/>
        <v>Brainard's Chubb</v>
      </c>
      <c r="U893" t="str">
        <f t="shared" si="13"/>
        <v>Library Chicks-Fil-A</v>
      </c>
    </row>
    <row r="894" hidden="1">
      <c r="A894" s="32" t="str">
        <f t="shared" si="1"/>
        <v>2023TayskiWeek 11</v>
      </c>
      <c r="B894" s="32" t="str">
        <f t="shared" si="2"/>
        <v>2023RileyWeek 11</v>
      </c>
      <c r="C894" s="32" t="str">
        <f t="shared" si="3"/>
        <v>Week 11</v>
      </c>
      <c r="D894" s="32">
        <v>2023.0</v>
      </c>
      <c r="E894" t="str">
        <f t="shared" si="4"/>
        <v>11</v>
      </c>
      <c r="F894" t="str">
        <f t="shared" si="5"/>
        <v>Taylor Weis</v>
      </c>
      <c r="G894" s="40" t="str">
        <f>VLOOKUP(F894,'Manager Coding'!C:D,2,0)</f>
        <v>Tayski</v>
      </c>
      <c r="H894" s="41">
        <f t="shared" si="6"/>
        <v>103.24</v>
      </c>
      <c r="I894" t="str">
        <f t="shared" si="7"/>
        <v>Riley McElwain</v>
      </c>
      <c r="J894" t="str">
        <f>VLOOKUP(I894,'Manager Coding'!C:D,2,0)</f>
        <v>Riley</v>
      </c>
      <c r="K894" s="41">
        <f t="shared" si="8"/>
        <v>74.4</v>
      </c>
      <c r="L894">
        <f t="shared" si="9"/>
        <v>1</v>
      </c>
      <c r="M894">
        <f t="shared" si="10"/>
        <v>0</v>
      </c>
      <c r="N894" s="128" t="s">
        <v>2188</v>
      </c>
      <c r="O894" s="129" t="s">
        <v>54</v>
      </c>
      <c r="P894" s="120">
        <v>103.24</v>
      </c>
      <c r="Q894" s="127">
        <v>74.4</v>
      </c>
      <c r="R894" s="130" t="s">
        <v>68</v>
      </c>
      <c r="S894" s="128" t="s">
        <v>2210</v>
      </c>
      <c r="T894" t="str">
        <f t="shared" si="12"/>
        <v>Charley Diggs</v>
      </c>
      <c r="U894" t="str">
        <f t="shared" si="13"/>
        <v>Philly Cheesteakaways</v>
      </c>
    </row>
    <row r="895" hidden="1">
      <c r="A895" s="32" t="str">
        <f t="shared" si="1"/>
        <v>2023Rooney/JacksonWeek 11</v>
      </c>
      <c r="B895" s="32" t="str">
        <f t="shared" si="2"/>
        <v>2023EwertWeek 11</v>
      </c>
      <c r="C895" s="32" t="str">
        <f t="shared" si="3"/>
        <v>Week 11</v>
      </c>
      <c r="D895" s="32">
        <v>2023.0</v>
      </c>
      <c r="E895" t="str">
        <f t="shared" si="4"/>
        <v>11</v>
      </c>
      <c r="F895" t="str">
        <f t="shared" si="5"/>
        <v>Stephen Rooney, Jackson Sattell</v>
      </c>
      <c r="G895" s="40" t="str">
        <f>VLOOKUP(F895,'Manager Coding'!C:D,2,0)</f>
        <v>Rooney/Jackson</v>
      </c>
      <c r="H895" s="41">
        <f t="shared" si="6"/>
        <v>101.76</v>
      </c>
      <c r="I895" t="str">
        <f t="shared" si="7"/>
        <v>Kyle Ewert, brad starck</v>
      </c>
      <c r="J895" t="str">
        <f>VLOOKUP(I895,'Manager Coding'!C:D,2,0)</f>
        <v>Ewert</v>
      </c>
      <c r="K895" s="41">
        <f t="shared" si="8"/>
        <v>107.18</v>
      </c>
      <c r="L895">
        <f t="shared" si="9"/>
        <v>0</v>
      </c>
      <c r="M895">
        <f t="shared" si="10"/>
        <v>1</v>
      </c>
      <c r="N895" s="131" t="s">
        <v>2197</v>
      </c>
      <c r="O895" s="132" t="s">
        <v>58</v>
      </c>
      <c r="P895" s="120">
        <v>101.76</v>
      </c>
      <c r="Q895" s="127">
        <v>107.18</v>
      </c>
      <c r="R895" s="133" t="s">
        <v>105</v>
      </c>
      <c r="S895" s="131" t="s">
        <v>2216</v>
      </c>
      <c r="T895" t="str">
        <f t="shared" si="12"/>
        <v>Martha's Cream PIs</v>
      </c>
      <c r="U895" t="str">
        <f t="shared" si="13"/>
        <v>Pizzay Express</v>
      </c>
    </row>
    <row r="896" hidden="1">
      <c r="A896" s="32" t="str">
        <f t="shared" si="1"/>
        <v>2023SaltyWeek 11</v>
      </c>
      <c r="B896" s="32" t="str">
        <f t="shared" si="2"/>
        <v>2023KnardDawgWeek 11</v>
      </c>
      <c r="C896" s="32" t="str">
        <f t="shared" si="3"/>
        <v>Week 11</v>
      </c>
      <c r="D896" s="32">
        <v>2023.0</v>
      </c>
      <c r="E896" t="str">
        <f t="shared" si="4"/>
        <v>11</v>
      </c>
      <c r="F896" t="str">
        <f t="shared" si="5"/>
        <v>R Saltiel</v>
      </c>
      <c r="G896" s="40" t="str">
        <f>VLOOKUP(F896,'Manager Coding'!C:D,2,0)</f>
        <v>Salty</v>
      </c>
      <c r="H896" s="41">
        <f t="shared" si="6"/>
        <v>95.8</v>
      </c>
      <c r="I896" t="str">
        <f t="shared" si="7"/>
        <v>Alex Kinniard, Jack Reilly</v>
      </c>
      <c r="J896" t="str">
        <f>VLOOKUP(I896,'Manager Coding'!C:D,2,0)</f>
        <v>KnardDawg</v>
      </c>
      <c r="K896" s="41">
        <f t="shared" si="8"/>
        <v>90.02</v>
      </c>
      <c r="L896">
        <f t="shared" si="9"/>
        <v>1</v>
      </c>
      <c r="M896">
        <f t="shared" si="10"/>
        <v>0</v>
      </c>
      <c r="N896" s="128" t="s">
        <v>2201</v>
      </c>
      <c r="O896" s="129" t="s">
        <v>77</v>
      </c>
      <c r="P896" s="120">
        <v>95.8</v>
      </c>
      <c r="Q896" s="127">
        <v>90.02</v>
      </c>
      <c r="R896" s="130" t="s">
        <v>87</v>
      </c>
      <c r="S896" s="128" t="s">
        <v>2217</v>
      </c>
      <c r="T896" t="str">
        <f t="shared" si="12"/>
        <v>Darius Slay Jays</v>
      </c>
      <c r="U896" t="str">
        <f t="shared" si="13"/>
        <v>Soggy Fruit Pu kas</v>
      </c>
    </row>
    <row r="897" hidden="1">
      <c r="A897" s="32" t="str">
        <f t="shared" si="1"/>
        <v>2023ShepWeek 11</v>
      </c>
      <c r="B897" s="32" t="str">
        <f t="shared" si="2"/>
        <v>2023T-HowWeek 11</v>
      </c>
      <c r="C897" s="32" t="str">
        <f t="shared" si="3"/>
        <v>Week 11</v>
      </c>
      <c r="D897" s="32">
        <v>2023.0</v>
      </c>
      <c r="E897" t="str">
        <f t="shared" si="4"/>
        <v>11</v>
      </c>
      <c r="F897" t="str">
        <f t="shared" si="5"/>
        <v>Jordan Shepherd</v>
      </c>
      <c r="G897" s="40" t="str">
        <f>VLOOKUP(F897,'Manager Coding'!C:D,2,0)</f>
        <v>Shep</v>
      </c>
      <c r="H897" s="41">
        <f t="shared" si="6"/>
        <v>99.24</v>
      </c>
      <c r="I897" t="str">
        <f t="shared" si="7"/>
        <v>Tyler Howard</v>
      </c>
      <c r="J897" t="str">
        <f>VLOOKUP(I897,'Manager Coding'!C:D,2,0)</f>
        <v>T-How</v>
      </c>
      <c r="K897" s="41">
        <f t="shared" si="8"/>
        <v>120.8</v>
      </c>
      <c r="L897">
        <f t="shared" si="9"/>
        <v>0</v>
      </c>
      <c r="M897">
        <f t="shared" si="10"/>
        <v>1</v>
      </c>
      <c r="N897" s="131" t="s">
        <v>2207</v>
      </c>
      <c r="O897" s="132" t="s">
        <v>91</v>
      </c>
      <c r="P897" s="120">
        <v>99.24</v>
      </c>
      <c r="Q897" s="127">
        <v>120.8</v>
      </c>
      <c r="R897" s="133" t="s">
        <v>85</v>
      </c>
      <c r="S897" s="131" t="s">
        <v>2213</v>
      </c>
      <c r="T897" t="str">
        <f t="shared" si="12"/>
        <v>The Breakfast Buddies</v>
      </c>
      <c r="U897" t="str">
        <f t="shared" si="13"/>
        <v>Warm Caesars</v>
      </c>
    </row>
    <row r="898" hidden="1">
      <c r="A898" s="32" t="str">
        <f t="shared" si="1"/>
        <v>#N/A</v>
      </c>
      <c r="B898" s="32" t="str">
        <f t="shared" si="2"/>
        <v>#N/A</v>
      </c>
      <c r="C898" s="32" t="str">
        <f t="shared" si="3"/>
        <v>Week 11</v>
      </c>
      <c r="D898" s="32">
        <v>2023.0</v>
      </c>
      <c r="E898" t="str">
        <f t="shared" si="4"/>
        <v>11</v>
      </c>
      <c r="F898" t="str">
        <f t="shared" si="5"/>
        <v/>
      </c>
      <c r="G898" s="40" t="str">
        <f>VLOOKUP(F898,'Manager Coding'!C:D,2,0)</f>
        <v>#N/A</v>
      </c>
      <c r="H898" s="41" t="str">
        <f t="shared" si="6"/>
        <v/>
      </c>
      <c r="I898" t="str">
        <f t="shared" si="7"/>
        <v/>
      </c>
      <c r="J898" t="str">
        <f>VLOOKUP(I898,'Manager Coding'!C:D,2,0)</f>
        <v>#N/A</v>
      </c>
      <c r="K898" s="41" t="str">
        <f t="shared" si="8"/>
        <v/>
      </c>
      <c r="L898">
        <f t="shared" si="9"/>
        <v>0</v>
      </c>
      <c r="M898">
        <f t="shared" si="10"/>
        <v>0</v>
      </c>
      <c r="N898" s="162" t="s">
        <v>455</v>
      </c>
      <c r="O898" s="163"/>
      <c r="P898" s="164"/>
      <c r="Q898" s="165"/>
      <c r="R898" s="165"/>
      <c r="S898" s="164"/>
      <c r="T898" t="str">
        <f t="shared" si="12"/>
        <v>#VALUE!</v>
      </c>
      <c r="U898" t="str">
        <f t="shared" si="13"/>
        <v>#VALUE!</v>
      </c>
    </row>
    <row r="899" hidden="1">
      <c r="A899" s="32" t="str">
        <f t="shared" si="1"/>
        <v>#N/A</v>
      </c>
      <c r="B899" s="32" t="str">
        <f t="shared" si="2"/>
        <v>#N/A</v>
      </c>
      <c r="C899" s="32" t="str">
        <f t="shared" si="3"/>
        <v>Week 12</v>
      </c>
      <c r="D899" s="32">
        <v>2023.0</v>
      </c>
      <c r="E899" t="str">
        <f t="shared" si="4"/>
        <v>12</v>
      </c>
      <c r="F899" t="str">
        <f t="shared" si="5"/>
        <v>TEAM MANAGER(S)</v>
      </c>
      <c r="G899" s="40" t="str">
        <f>VLOOKUP(F899,'Manager Coding'!C:D,2,0)</f>
        <v>#N/A</v>
      </c>
      <c r="H899" s="41" t="str">
        <f t="shared" si="6"/>
        <v>SCORE</v>
      </c>
      <c r="I899" t="str">
        <f t="shared" si="7"/>
        <v>TEAM MANAGER(S)</v>
      </c>
      <c r="J899" t="str">
        <f>VLOOKUP(I899,'Manager Coding'!C:D,2,0)</f>
        <v>#N/A</v>
      </c>
      <c r="K899" s="41" t="str">
        <f t="shared" si="8"/>
        <v>SCORE</v>
      </c>
      <c r="L899">
        <f t="shared" si="9"/>
        <v>0</v>
      </c>
      <c r="M899">
        <f t="shared" si="10"/>
        <v>0</v>
      </c>
      <c r="N899" s="78" t="s">
        <v>197</v>
      </c>
      <c r="O899" s="78" t="s">
        <v>88</v>
      </c>
      <c r="P899" s="79" t="s">
        <v>94</v>
      </c>
      <c r="Q899" s="78" t="s">
        <v>94</v>
      </c>
      <c r="R899" s="79" t="s">
        <v>88</v>
      </c>
      <c r="S899" s="79" t="s">
        <v>101</v>
      </c>
      <c r="T899" t="str">
        <f t="shared" si="12"/>
        <v>#VALUE!</v>
      </c>
      <c r="U899" t="str">
        <f t="shared" si="13"/>
        <v>#VALUE!</v>
      </c>
    </row>
    <row r="900" hidden="1">
      <c r="A900" s="32" t="str">
        <f t="shared" si="1"/>
        <v>2023PiersonWeek 12</v>
      </c>
      <c r="B900" s="32" t="str">
        <f t="shared" si="2"/>
        <v>2023BuserWeek 12</v>
      </c>
      <c r="C900" s="32" t="str">
        <f t="shared" si="3"/>
        <v>Week 12</v>
      </c>
      <c r="D900" s="32">
        <v>2023.0</v>
      </c>
      <c r="E900" t="str">
        <f t="shared" si="4"/>
        <v>12</v>
      </c>
      <c r="F900" t="str">
        <f t="shared" si="5"/>
        <v>Pierson Curtis</v>
      </c>
      <c r="G900" s="40" t="str">
        <f>VLOOKUP(F900,'Manager Coding'!C:D,2,0)</f>
        <v>Pierson</v>
      </c>
      <c r="H900" s="41">
        <f t="shared" si="6"/>
        <v>125</v>
      </c>
      <c r="I900" t="str">
        <f t="shared" si="7"/>
        <v>Ed Buser</v>
      </c>
      <c r="J900" t="str">
        <f>VLOOKUP(I900,'Manager Coding'!C:D,2,0)</f>
        <v>Buser</v>
      </c>
      <c r="K900" s="41">
        <f t="shared" si="8"/>
        <v>117.02</v>
      </c>
      <c r="L900">
        <f t="shared" si="9"/>
        <v>1</v>
      </c>
      <c r="M900">
        <f t="shared" si="10"/>
        <v>0</v>
      </c>
      <c r="N900" s="153" t="s">
        <v>2194</v>
      </c>
      <c r="O900" s="81" t="s">
        <v>93</v>
      </c>
      <c r="P900" s="82">
        <v>125.0</v>
      </c>
      <c r="Q900" s="88">
        <v>117.02</v>
      </c>
      <c r="R900" s="154" t="s">
        <v>50</v>
      </c>
      <c r="S900" s="153" t="s">
        <v>2191</v>
      </c>
      <c r="T900" t="str">
        <f t="shared" si="12"/>
        <v>Wings and Three Rings</v>
      </c>
      <c r="U900" t="str">
        <f t="shared" si="13"/>
        <v>Library Chicks-Fil-A</v>
      </c>
    </row>
    <row r="901" hidden="1">
      <c r="A901" s="32" t="str">
        <f t="shared" si="1"/>
        <v>2023HudspeathWeek 12</v>
      </c>
      <c r="B901" s="32" t="str">
        <f t="shared" si="2"/>
        <v>2023TayskiWeek 12</v>
      </c>
      <c r="C901" s="32" t="str">
        <f t="shared" si="3"/>
        <v>Week 12</v>
      </c>
      <c r="D901" s="32">
        <v>2023.0</v>
      </c>
      <c r="E901" t="str">
        <f t="shared" si="4"/>
        <v>12</v>
      </c>
      <c r="F901" t="str">
        <f t="shared" si="5"/>
        <v>matt hudspeath</v>
      </c>
      <c r="G901" s="40" t="str">
        <f>VLOOKUP(F901,'Manager Coding'!C:D,2,0)</f>
        <v>Hudspeath</v>
      </c>
      <c r="H901" s="41">
        <f t="shared" si="6"/>
        <v>115.54</v>
      </c>
      <c r="I901" t="str">
        <f t="shared" si="7"/>
        <v>Taylor Weis</v>
      </c>
      <c r="J901" t="str">
        <f>VLOOKUP(I901,'Manager Coding'!C:D,2,0)</f>
        <v>Tayski</v>
      </c>
      <c r="K901" s="41">
        <f t="shared" si="8"/>
        <v>106.16</v>
      </c>
      <c r="L901">
        <f t="shared" si="9"/>
        <v>1</v>
      </c>
      <c r="M901">
        <f t="shared" si="10"/>
        <v>0</v>
      </c>
      <c r="N901" s="168" t="s">
        <v>2198</v>
      </c>
      <c r="O901" s="169" t="s">
        <v>64</v>
      </c>
      <c r="P901" s="158">
        <v>115.54</v>
      </c>
      <c r="Q901" s="167">
        <v>106.16</v>
      </c>
      <c r="R901" s="170" t="s">
        <v>54</v>
      </c>
      <c r="S901" s="168" t="s">
        <v>2188</v>
      </c>
      <c r="T901" t="str">
        <f t="shared" si="12"/>
        <v>Philly Cheesteakaways</v>
      </c>
      <c r="U901" t="str">
        <f t="shared" si="13"/>
        <v>Chasing</v>
      </c>
    </row>
    <row r="902" hidden="1">
      <c r="A902" s="32" t="str">
        <f t="shared" si="1"/>
        <v>2023CockWeek 12</v>
      </c>
      <c r="B902" s="32" t="str">
        <f t="shared" si="2"/>
        <v>2023Rooney/JacksonWeek 12</v>
      </c>
      <c r="C902" s="32" t="str">
        <f t="shared" si="3"/>
        <v>Week 12</v>
      </c>
      <c r="D902" s="32">
        <v>2023.0</v>
      </c>
      <c r="E902" t="str">
        <f t="shared" si="4"/>
        <v>12</v>
      </c>
      <c r="F902" t="str">
        <f t="shared" si="5"/>
        <v>Chris Cochrane</v>
      </c>
      <c r="G902" s="40" t="str">
        <f>VLOOKUP(F902,'Manager Coding'!C:D,2,0)</f>
        <v>Cock</v>
      </c>
      <c r="H902" s="41">
        <f t="shared" si="6"/>
        <v>79.32</v>
      </c>
      <c r="I902" t="str">
        <f t="shared" si="7"/>
        <v>Stephen Rooney, Jackson Sattell</v>
      </c>
      <c r="J902" t="str">
        <f>VLOOKUP(I902,'Manager Coding'!C:D,2,0)</f>
        <v>Rooney/Jackson</v>
      </c>
      <c r="K902" s="41">
        <f t="shared" si="8"/>
        <v>71.68</v>
      </c>
      <c r="L902">
        <f t="shared" si="9"/>
        <v>1</v>
      </c>
      <c r="M902">
        <f t="shared" si="10"/>
        <v>0</v>
      </c>
      <c r="N902" s="128" t="s">
        <v>2204</v>
      </c>
      <c r="O902" s="129" t="s">
        <v>99</v>
      </c>
      <c r="P902" s="120">
        <v>79.32</v>
      </c>
      <c r="Q902" s="127">
        <v>71.68</v>
      </c>
      <c r="R902" s="130" t="s">
        <v>58</v>
      </c>
      <c r="S902" s="128" t="s">
        <v>2197</v>
      </c>
      <c r="T902" t="str">
        <f t="shared" si="12"/>
        <v>Pizzay Express</v>
      </c>
      <c r="U902" t="str">
        <f t="shared" si="13"/>
        <v>Brainard's Chubb</v>
      </c>
    </row>
    <row r="903" hidden="1">
      <c r="A903" s="32" t="str">
        <f t="shared" si="1"/>
        <v>2023RileyWeek 12</v>
      </c>
      <c r="B903" s="32" t="str">
        <f t="shared" si="2"/>
        <v>2023SaltyWeek 12</v>
      </c>
      <c r="C903" s="32" t="str">
        <f t="shared" si="3"/>
        <v>Week 12</v>
      </c>
      <c r="D903" s="32">
        <v>2023.0</v>
      </c>
      <c r="E903" t="str">
        <f t="shared" si="4"/>
        <v>12</v>
      </c>
      <c r="F903" t="str">
        <f t="shared" si="5"/>
        <v>Riley McElwain</v>
      </c>
      <c r="G903" s="40" t="str">
        <f>VLOOKUP(F903,'Manager Coding'!C:D,2,0)</f>
        <v>Riley</v>
      </c>
      <c r="H903" s="41">
        <f t="shared" si="6"/>
        <v>88.92</v>
      </c>
      <c r="I903" t="str">
        <f t="shared" si="7"/>
        <v>R Saltiel</v>
      </c>
      <c r="J903" t="str">
        <f>VLOOKUP(I903,'Manager Coding'!C:D,2,0)</f>
        <v>Salty</v>
      </c>
      <c r="K903" s="41">
        <f t="shared" si="8"/>
        <v>115.16</v>
      </c>
      <c r="L903">
        <f t="shared" si="9"/>
        <v>0</v>
      </c>
      <c r="M903">
        <f t="shared" si="10"/>
        <v>1</v>
      </c>
      <c r="N903" s="131" t="s">
        <v>2210</v>
      </c>
      <c r="O903" s="132" t="s">
        <v>68</v>
      </c>
      <c r="P903" s="120">
        <v>88.92</v>
      </c>
      <c r="Q903" s="127">
        <v>115.16</v>
      </c>
      <c r="R903" s="133" t="s">
        <v>77</v>
      </c>
      <c r="S903" s="131" t="s">
        <v>2201</v>
      </c>
      <c r="T903" t="str">
        <f t="shared" si="12"/>
        <v>Soggy Fruit Pu kas</v>
      </c>
      <c r="U903" t="str">
        <f t="shared" si="13"/>
        <v>Charley Diggs</v>
      </c>
    </row>
    <row r="904" hidden="1">
      <c r="A904" s="32" t="str">
        <f t="shared" si="1"/>
        <v>2023EwertWeek 12</v>
      </c>
      <c r="B904" s="32" t="str">
        <f t="shared" si="2"/>
        <v>2023ShepWeek 12</v>
      </c>
      <c r="C904" s="32" t="str">
        <f t="shared" si="3"/>
        <v>Week 12</v>
      </c>
      <c r="D904" s="32">
        <v>2023.0</v>
      </c>
      <c r="E904" t="str">
        <f t="shared" si="4"/>
        <v>12</v>
      </c>
      <c r="F904" t="str">
        <f t="shared" si="5"/>
        <v>Kyle Ewert, brad starck</v>
      </c>
      <c r="G904" s="40" t="str">
        <f>VLOOKUP(F904,'Manager Coding'!C:D,2,0)</f>
        <v>Ewert</v>
      </c>
      <c r="H904" s="41">
        <f t="shared" si="6"/>
        <v>112.66</v>
      </c>
      <c r="I904" t="str">
        <f t="shared" si="7"/>
        <v>Jordan Shepherd</v>
      </c>
      <c r="J904" t="str">
        <f>VLOOKUP(I904,'Manager Coding'!C:D,2,0)</f>
        <v>Shep</v>
      </c>
      <c r="K904" s="41">
        <f t="shared" si="8"/>
        <v>70.5</v>
      </c>
      <c r="L904">
        <f t="shared" si="9"/>
        <v>1</v>
      </c>
      <c r="M904">
        <f t="shared" si="10"/>
        <v>0</v>
      </c>
      <c r="N904" s="128" t="s">
        <v>2216</v>
      </c>
      <c r="O904" s="129" t="s">
        <v>105</v>
      </c>
      <c r="P904" s="120">
        <v>112.66</v>
      </c>
      <c r="Q904" s="127">
        <v>70.5</v>
      </c>
      <c r="R904" s="130" t="s">
        <v>91</v>
      </c>
      <c r="S904" s="128" t="s">
        <v>2207</v>
      </c>
      <c r="T904" t="str">
        <f t="shared" si="12"/>
        <v>Warm Caesars</v>
      </c>
      <c r="U904" t="str">
        <f t="shared" si="13"/>
        <v>Martha's Cream PIs</v>
      </c>
    </row>
    <row r="905" hidden="1">
      <c r="A905" s="32" t="str">
        <f t="shared" si="1"/>
        <v>2023KnardDawgWeek 12</v>
      </c>
      <c r="B905" s="32" t="str">
        <f t="shared" si="2"/>
        <v>2023T-HowWeek 12</v>
      </c>
      <c r="C905" s="32" t="str">
        <f t="shared" si="3"/>
        <v>Week 12</v>
      </c>
      <c r="D905" s="32">
        <v>2023.0</v>
      </c>
      <c r="E905" t="str">
        <f t="shared" si="4"/>
        <v>12</v>
      </c>
      <c r="F905" t="str">
        <f t="shared" si="5"/>
        <v>Alex Kinniard, Jack Reilly</v>
      </c>
      <c r="G905" s="40" t="str">
        <f>VLOOKUP(F905,'Manager Coding'!C:D,2,0)</f>
        <v>KnardDawg</v>
      </c>
      <c r="H905" s="41">
        <f t="shared" si="6"/>
        <v>97.46</v>
      </c>
      <c r="I905" t="str">
        <f t="shared" si="7"/>
        <v>Tyler Howard</v>
      </c>
      <c r="J905" t="str">
        <f>VLOOKUP(I905,'Manager Coding'!C:D,2,0)</f>
        <v>T-How</v>
      </c>
      <c r="K905" s="41">
        <f t="shared" si="8"/>
        <v>89.28</v>
      </c>
      <c r="L905">
        <f t="shared" si="9"/>
        <v>1</v>
      </c>
      <c r="M905">
        <f t="shared" si="10"/>
        <v>0</v>
      </c>
      <c r="N905" s="131" t="s">
        <v>2217</v>
      </c>
      <c r="O905" s="132" t="s">
        <v>87</v>
      </c>
      <c r="P905" s="120">
        <v>97.46</v>
      </c>
      <c r="Q905" s="127">
        <v>89.28</v>
      </c>
      <c r="R905" s="133" t="s">
        <v>85</v>
      </c>
      <c r="S905" s="131" t="s">
        <v>2213</v>
      </c>
      <c r="T905" t="str">
        <f t="shared" si="12"/>
        <v>The Breakfast Buddies</v>
      </c>
      <c r="U905" t="str">
        <f t="shared" si="13"/>
        <v>Darius Slay Jays</v>
      </c>
    </row>
    <row r="906" hidden="1">
      <c r="A906" s="32" t="str">
        <f t="shared" si="1"/>
        <v>2023ShepWeek 12</v>
      </c>
      <c r="B906" s="32" t="str">
        <f t="shared" si="2"/>
        <v>2023T-HowWeek 12</v>
      </c>
      <c r="C906" s="32" t="str">
        <f t="shared" si="3"/>
        <v>Week 12</v>
      </c>
      <c r="D906" s="32">
        <v>2023.0</v>
      </c>
      <c r="E906" t="str">
        <f t="shared" si="4"/>
        <v>12</v>
      </c>
      <c r="F906" t="str">
        <f t="shared" si="5"/>
        <v>Jordan Shepherd</v>
      </c>
      <c r="G906" s="40" t="str">
        <f>VLOOKUP(F906,'Manager Coding'!C:D,2,0)</f>
        <v>Shep</v>
      </c>
      <c r="H906" s="41" t="str">
        <f t="shared" si="6"/>
        <v/>
      </c>
      <c r="I906" t="str">
        <f t="shared" si="7"/>
        <v>Tyler Howard</v>
      </c>
      <c r="J906" t="str">
        <f>VLOOKUP(I906,'Manager Coding'!C:D,2,0)</f>
        <v>T-How</v>
      </c>
      <c r="K906" s="41" t="str">
        <f t="shared" si="8"/>
        <v/>
      </c>
      <c r="L906">
        <f t="shared" si="9"/>
        <v>0</v>
      </c>
      <c r="M906">
        <f t="shared" si="10"/>
        <v>0</v>
      </c>
      <c r="N906" s="162" t="s">
        <v>477</v>
      </c>
      <c r="O906" s="143" t="s">
        <v>91</v>
      </c>
      <c r="P906" s="152"/>
      <c r="Q906" s="152"/>
      <c r="R906" s="146" t="s">
        <v>85</v>
      </c>
      <c r="S906" s="147" t="s">
        <v>2325</v>
      </c>
      <c r="T906" t="str">
        <f t="shared" si="12"/>
        <v>The Breakfast Buddies</v>
      </c>
      <c r="U906" t="str">
        <f t="shared" si="13"/>
        <v>#VALUE!</v>
      </c>
    </row>
    <row r="907" hidden="1">
      <c r="A907" s="32" t="str">
        <f t="shared" si="1"/>
        <v>#N/A</v>
      </c>
      <c r="B907" s="32" t="str">
        <f t="shared" si="2"/>
        <v>#N/A</v>
      </c>
      <c r="C907" s="32" t="str">
        <f t="shared" si="3"/>
        <v>Week 13</v>
      </c>
      <c r="D907" s="32">
        <v>2023.0</v>
      </c>
      <c r="E907" t="str">
        <f t="shared" si="4"/>
        <v>13</v>
      </c>
      <c r="F907" t="str">
        <f t="shared" si="5"/>
        <v>TEAM MANAGER(S)</v>
      </c>
      <c r="G907" s="40" t="str">
        <f>VLOOKUP(F907,'Manager Coding'!C:D,2,0)</f>
        <v>#N/A</v>
      </c>
      <c r="H907" s="41" t="str">
        <f t="shared" si="6"/>
        <v>SCORE</v>
      </c>
      <c r="I907" t="str">
        <f t="shared" si="7"/>
        <v>TEAM MANAGER(S)</v>
      </c>
      <c r="J907" t="str">
        <f>VLOOKUP(I907,'Manager Coding'!C:D,2,0)</f>
        <v>#N/A</v>
      </c>
      <c r="K907" s="41" t="str">
        <f t="shared" si="8"/>
        <v>SCORE</v>
      </c>
      <c r="L907">
        <f t="shared" si="9"/>
        <v>0</v>
      </c>
      <c r="M907">
        <f t="shared" si="10"/>
        <v>0</v>
      </c>
      <c r="N907" s="78" t="s">
        <v>197</v>
      </c>
      <c r="O907" s="78" t="s">
        <v>88</v>
      </c>
      <c r="P907" s="79" t="s">
        <v>94</v>
      </c>
      <c r="Q907" s="78" t="s">
        <v>94</v>
      </c>
      <c r="R907" s="79" t="s">
        <v>88</v>
      </c>
      <c r="S907" s="79" t="s">
        <v>101</v>
      </c>
      <c r="T907" t="str">
        <f t="shared" si="12"/>
        <v>#VALUE!</v>
      </c>
      <c r="U907" t="str">
        <f t="shared" si="13"/>
        <v>#VALUE!</v>
      </c>
    </row>
    <row r="908" hidden="1">
      <c r="A908" s="32" t="str">
        <f t="shared" si="1"/>
        <v>2023BuserWeek 13</v>
      </c>
      <c r="B908" s="32" t="str">
        <f t="shared" si="2"/>
        <v>2023TayskiWeek 13</v>
      </c>
      <c r="C908" s="32" t="str">
        <f t="shared" si="3"/>
        <v>Week 13</v>
      </c>
      <c r="D908" s="32">
        <v>2023.0</v>
      </c>
      <c r="E908" t="str">
        <f t="shared" si="4"/>
        <v>13</v>
      </c>
      <c r="F908" t="str">
        <f t="shared" si="5"/>
        <v>Ed Buser</v>
      </c>
      <c r="G908" s="40" t="str">
        <f>VLOOKUP(F908,'Manager Coding'!C:D,2,0)</f>
        <v>Buser</v>
      </c>
      <c r="H908" s="41">
        <f t="shared" si="6"/>
        <v>123.24</v>
      </c>
      <c r="I908" t="str">
        <f t="shared" si="7"/>
        <v>Taylor Weis</v>
      </c>
      <c r="J908" t="str">
        <f>VLOOKUP(I908,'Manager Coding'!C:D,2,0)</f>
        <v>Tayski</v>
      </c>
      <c r="K908" s="41">
        <f t="shared" si="8"/>
        <v>116.86</v>
      </c>
      <c r="L908">
        <f t="shared" si="9"/>
        <v>1</v>
      </c>
      <c r="M908">
        <f t="shared" si="10"/>
        <v>0</v>
      </c>
      <c r="N908" s="153" t="s">
        <v>2191</v>
      </c>
      <c r="O908" s="81" t="s">
        <v>50</v>
      </c>
      <c r="P908" s="82">
        <v>123.24</v>
      </c>
      <c r="Q908" s="88">
        <v>116.86</v>
      </c>
      <c r="R908" s="154" t="s">
        <v>54</v>
      </c>
      <c r="S908" s="153" t="s">
        <v>2188</v>
      </c>
      <c r="T908" t="str">
        <f t="shared" si="12"/>
        <v>Philly Cheesteakaways</v>
      </c>
      <c r="U908" t="str">
        <f t="shared" si="13"/>
        <v>Wings and Three Rings</v>
      </c>
    </row>
    <row r="909" hidden="1">
      <c r="A909" s="32" t="str">
        <f t="shared" si="1"/>
        <v>2023Rooney/JacksonWeek 13</v>
      </c>
      <c r="B909" s="32" t="str">
        <f t="shared" si="2"/>
        <v>2023PiersonWeek 13</v>
      </c>
      <c r="C909" s="32" t="str">
        <f t="shared" si="3"/>
        <v>Week 13</v>
      </c>
      <c r="D909" s="32">
        <v>2023.0</v>
      </c>
      <c r="E909" t="str">
        <f t="shared" si="4"/>
        <v>13</v>
      </c>
      <c r="F909" t="str">
        <f t="shared" si="5"/>
        <v>Stephen Rooney, Jackson Sattell</v>
      </c>
      <c r="G909" s="40" t="str">
        <f>VLOOKUP(F909,'Manager Coding'!C:D,2,0)</f>
        <v>Rooney/Jackson</v>
      </c>
      <c r="H909" s="41">
        <f t="shared" si="6"/>
        <v>85.34</v>
      </c>
      <c r="I909" t="str">
        <f t="shared" si="7"/>
        <v>Pierson Curtis</v>
      </c>
      <c r="J909" t="str">
        <f>VLOOKUP(I909,'Manager Coding'!C:D,2,0)</f>
        <v>Pierson</v>
      </c>
      <c r="K909" s="41">
        <f t="shared" si="8"/>
        <v>100.52</v>
      </c>
      <c r="L909">
        <f t="shared" si="9"/>
        <v>0</v>
      </c>
      <c r="M909">
        <f t="shared" si="10"/>
        <v>1</v>
      </c>
      <c r="N909" s="168" t="s">
        <v>2197</v>
      </c>
      <c r="O909" s="169" t="s">
        <v>58</v>
      </c>
      <c r="P909" s="158">
        <v>85.34</v>
      </c>
      <c r="Q909" s="167">
        <v>100.52</v>
      </c>
      <c r="R909" s="170" t="s">
        <v>93</v>
      </c>
      <c r="S909" s="168" t="s">
        <v>2194</v>
      </c>
      <c r="T909" t="str">
        <f t="shared" si="12"/>
        <v>Library Chicks-Fil-A</v>
      </c>
      <c r="U909" t="str">
        <f t="shared" si="13"/>
        <v>Pizzay Express</v>
      </c>
    </row>
    <row r="910" hidden="1">
      <c r="A910" s="32" t="str">
        <f t="shared" si="1"/>
        <v>2023SaltyWeek 13</v>
      </c>
      <c r="B910" s="32" t="str">
        <f t="shared" si="2"/>
        <v>2023HudspeathWeek 13</v>
      </c>
      <c r="C910" s="32" t="str">
        <f t="shared" si="3"/>
        <v>Week 13</v>
      </c>
      <c r="D910" s="32">
        <v>2023.0</v>
      </c>
      <c r="E910" t="str">
        <f t="shared" si="4"/>
        <v>13</v>
      </c>
      <c r="F910" t="str">
        <f t="shared" si="5"/>
        <v>R Saltiel</v>
      </c>
      <c r="G910" s="40" t="str">
        <f>VLOOKUP(F910,'Manager Coding'!C:D,2,0)</f>
        <v>Salty</v>
      </c>
      <c r="H910" s="41">
        <f t="shared" si="6"/>
        <v>101.3</v>
      </c>
      <c r="I910" t="str">
        <f t="shared" si="7"/>
        <v>matt hudspeath</v>
      </c>
      <c r="J910" t="str">
        <f>VLOOKUP(I910,'Manager Coding'!C:D,2,0)</f>
        <v>Hudspeath</v>
      </c>
      <c r="K910" s="41">
        <f t="shared" si="8"/>
        <v>111.48</v>
      </c>
      <c r="L910">
        <f t="shared" si="9"/>
        <v>0</v>
      </c>
      <c r="M910">
        <f t="shared" si="10"/>
        <v>1</v>
      </c>
      <c r="N910" s="128" t="s">
        <v>2201</v>
      </c>
      <c r="O910" s="129" t="s">
        <v>77</v>
      </c>
      <c r="P910" s="120">
        <v>101.3</v>
      </c>
      <c r="Q910" s="127">
        <v>111.48</v>
      </c>
      <c r="R910" s="130" t="s">
        <v>64</v>
      </c>
      <c r="S910" s="128" t="s">
        <v>2198</v>
      </c>
      <c r="T910" t="str">
        <f t="shared" si="12"/>
        <v>Chasing</v>
      </c>
      <c r="U910" t="str">
        <f t="shared" si="13"/>
        <v>Soggy Fruit Pu kas</v>
      </c>
    </row>
    <row r="911" hidden="1">
      <c r="A911" s="32" t="str">
        <f t="shared" si="1"/>
        <v>2023ShepWeek 13</v>
      </c>
      <c r="B911" s="32" t="str">
        <f t="shared" si="2"/>
        <v>2023CockWeek 13</v>
      </c>
      <c r="C911" s="32" t="str">
        <f t="shared" si="3"/>
        <v>Week 13</v>
      </c>
      <c r="D911" s="32">
        <v>2023.0</v>
      </c>
      <c r="E911" t="str">
        <f t="shared" si="4"/>
        <v>13</v>
      </c>
      <c r="F911" t="str">
        <f t="shared" si="5"/>
        <v>Jordan Shepherd</v>
      </c>
      <c r="G911" s="40" t="str">
        <f>VLOOKUP(F911,'Manager Coding'!C:D,2,0)</f>
        <v>Shep</v>
      </c>
      <c r="H911" s="41">
        <f t="shared" si="6"/>
        <v>125.78</v>
      </c>
      <c r="I911" t="str">
        <f t="shared" si="7"/>
        <v>Chris Cochrane</v>
      </c>
      <c r="J911" t="str">
        <f>VLOOKUP(I911,'Manager Coding'!C:D,2,0)</f>
        <v>Cock</v>
      </c>
      <c r="K911" s="41">
        <f t="shared" si="8"/>
        <v>104.7</v>
      </c>
      <c r="L911">
        <f t="shared" si="9"/>
        <v>1</v>
      </c>
      <c r="M911">
        <f t="shared" si="10"/>
        <v>0</v>
      </c>
      <c r="N911" s="131" t="s">
        <v>2207</v>
      </c>
      <c r="O911" s="132" t="s">
        <v>91</v>
      </c>
      <c r="P911" s="120">
        <v>125.78</v>
      </c>
      <c r="Q911" s="127">
        <v>104.7</v>
      </c>
      <c r="R911" s="133" t="s">
        <v>99</v>
      </c>
      <c r="S911" s="131" t="s">
        <v>2204</v>
      </c>
      <c r="T911" t="str">
        <f t="shared" si="12"/>
        <v>Brainard's Chubb</v>
      </c>
      <c r="U911" t="str">
        <f t="shared" si="13"/>
        <v>Warm Caesars</v>
      </c>
    </row>
    <row r="912" hidden="1">
      <c r="A912" s="32" t="str">
        <f t="shared" si="1"/>
        <v>2023T-HowWeek 13</v>
      </c>
      <c r="B912" s="32" t="str">
        <f t="shared" si="2"/>
        <v>2023RileyWeek 13</v>
      </c>
      <c r="C912" s="32" t="str">
        <f t="shared" si="3"/>
        <v>Week 13</v>
      </c>
      <c r="D912" s="32">
        <v>2023.0</v>
      </c>
      <c r="E912" t="str">
        <f t="shared" si="4"/>
        <v>13</v>
      </c>
      <c r="F912" t="str">
        <f t="shared" si="5"/>
        <v>Tyler Howard</v>
      </c>
      <c r="G912" s="40" t="str">
        <f>VLOOKUP(F912,'Manager Coding'!C:D,2,0)</f>
        <v>T-How</v>
      </c>
      <c r="H912" s="41">
        <f t="shared" si="6"/>
        <v>85.88</v>
      </c>
      <c r="I912" t="str">
        <f t="shared" si="7"/>
        <v>Riley McElwain</v>
      </c>
      <c r="J912" t="str">
        <f>VLOOKUP(I912,'Manager Coding'!C:D,2,0)</f>
        <v>Riley</v>
      </c>
      <c r="K912" s="41">
        <f t="shared" si="8"/>
        <v>87.5</v>
      </c>
      <c r="L912">
        <f t="shared" si="9"/>
        <v>0</v>
      </c>
      <c r="M912">
        <f t="shared" si="10"/>
        <v>1</v>
      </c>
      <c r="N912" s="128" t="s">
        <v>2213</v>
      </c>
      <c r="O912" s="129" t="s">
        <v>85</v>
      </c>
      <c r="P912" s="120">
        <v>85.88</v>
      </c>
      <c r="Q912" s="127">
        <v>87.5</v>
      </c>
      <c r="R912" s="130" t="s">
        <v>68</v>
      </c>
      <c r="S912" s="128" t="s">
        <v>2210</v>
      </c>
      <c r="T912" t="str">
        <f t="shared" si="12"/>
        <v>Charley Diggs</v>
      </c>
      <c r="U912" t="str">
        <f t="shared" si="13"/>
        <v>The Breakfast Buddies</v>
      </c>
    </row>
    <row r="913" hidden="1">
      <c r="A913" s="32" t="str">
        <f t="shared" si="1"/>
        <v>2023KnardDawgWeek 13</v>
      </c>
      <c r="B913" s="32" t="str">
        <f t="shared" si="2"/>
        <v>2023EwertWeek 13</v>
      </c>
      <c r="C913" s="32" t="str">
        <f t="shared" si="3"/>
        <v>Week 13</v>
      </c>
      <c r="D913" s="32">
        <v>2023.0</v>
      </c>
      <c r="E913" t="str">
        <f t="shared" si="4"/>
        <v>13</v>
      </c>
      <c r="F913" t="str">
        <f t="shared" si="5"/>
        <v>Alex Kinniard, Jack Reilly</v>
      </c>
      <c r="G913" s="40" t="str">
        <f>VLOOKUP(F913,'Manager Coding'!C:D,2,0)</f>
        <v>KnardDawg</v>
      </c>
      <c r="H913" s="41">
        <f t="shared" si="6"/>
        <v>61.66</v>
      </c>
      <c r="I913" t="str">
        <f t="shared" si="7"/>
        <v>Kyle Ewert, brad starck</v>
      </c>
      <c r="J913" t="str">
        <f>VLOOKUP(I913,'Manager Coding'!C:D,2,0)</f>
        <v>Ewert</v>
      </c>
      <c r="K913" s="41">
        <f t="shared" si="8"/>
        <v>108.62</v>
      </c>
      <c r="L913">
        <f t="shared" si="9"/>
        <v>0</v>
      </c>
      <c r="M913">
        <f t="shared" si="10"/>
        <v>1</v>
      </c>
      <c r="N913" s="131" t="s">
        <v>2217</v>
      </c>
      <c r="O913" s="132" t="s">
        <v>87</v>
      </c>
      <c r="P913" s="120">
        <v>61.66</v>
      </c>
      <c r="Q913" s="127">
        <v>108.62</v>
      </c>
      <c r="R913" s="133" t="s">
        <v>105</v>
      </c>
      <c r="S913" s="131" t="s">
        <v>2216</v>
      </c>
      <c r="T913" t="str">
        <f t="shared" si="12"/>
        <v>Martha's Cream PIs</v>
      </c>
      <c r="U913" t="str">
        <f t="shared" si="13"/>
        <v>Darius Slay Jays</v>
      </c>
    </row>
    <row r="914" hidden="1">
      <c r="A914" s="32" t="str">
        <f t="shared" si="1"/>
        <v>#N/A</v>
      </c>
      <c r="B914" s="32" t="str">
        <f t="shared" si="2"/>
        <v>#N/A</v>
      </c>
      <c r="C914" s="32" t="str">
        <f t="shared" si="3"/>
        <v>Week 13</v>
      </c>
      <c r="D914" s="32">
        <v>2023.0</v>
      </c>
      <c r="E914" t="str">
        <f t="shared" si="4"/>
        <v>13</v>
      </c>
      <c r="F914" t="str">
        <f t="shared" si="5"/>
        <v/>
      </c>
      <c r="G914" s="40" t="str">
        <f>VLOOKUP(F914,'Manager Coding'!C:D,2,0)</f>
        <v>#N/A</v>
      </c>
      <c r="H914" s="41" t="str">
        <f t="shared" si="6"/>
        <v/>
      </c>
      <c r="I914" t="str">
        <f t="shared" si="7"/>
        <v/>
      </c>
      <c r="J914" t="str">
        <f>VLOOKUP(I914,'Manager Coding'!C:D,2,0)</f>
        <v>#N/A</v>
      </c>
      <c r="K914" s="41" t="str">
        <f t="shared" si="8"/>
        <v/>
      </c>
      <c r="L914">
        <f t="shared" si="9"/>
        <v>0</v>
      </c>
      <c r="M914">
        <f t="shared" si="10"/>
        <v>0</v>
      </c>
      <c r="N914" s="162" t="s">
        <v>1773</v>
      </c>
      <c r="O914" s="138"/>
      <c r="P914" s="148"/>
      <c r="Q914" s="148"/>
      <c r="R914" s="141"/>
      <c r="S914" s="142"/>
      <c r="T914" t="str">
        <f t="shared" si="12"/>
        <v>#VALUE!</v>
      </c>
      <c r="U914" t="str">
        <f t="shared" si="13"/>
        <v>#VALUE!</v>
      </c>
    </row>
    <row r="915" hidden="1">
      <c r="A915" s="32" t="str">
        <f t="shared" si="1"/>
        <v>#N/A</v>
      </c>
      <c r="B915" s="32" t="str">
        <f t="shared" si="2"/>
        <v>#N/A</v>
      </c>
      <c r="C915" s="32" t="str">
        <f t="shared" si="3"/>
        <v>Week 14</v>
      </c>
      <c r="D915" s="32">
        <v>2023.0</v>
      </c>
      <c r="E915" t="str">
        <f t="shared" si="4"/>
        <v>14</v>
      </c>
      <c r="F915" t="str">
        <f t="shared" si="5"/>
        <v>TEAM MANAGER(S)</v>
      </c>
      <c r="G915" s="40" t="str">
        <f>VLOOKUP(F915,'Manager Coding'!C:D,2,0)</f>
        <v>#N/A</v>
      </c>
      <c r="H915" s="41" t="str">
        <f t="shared" si="6"/>
        <v>SCORE</v>
      </c>
      <c r="I915" t="str">
        <f t="shared" si="7"/>
        <v>TEAM MANAGER(S)</v>
      </c>
      <c r="J915" t="str">
        <f>VLOOKUP(I915,'Manager Coding'!C:D,2,0)</f>
        <v>#N/A</v>
      </c>
      <c r="K915" s="41" t="str">
        <f t="shared" si="8"/>
        <v>SCORE</v>
      </c>
      <c r="L915">
        <f t="shared" si="9"/>
        <v>0</v>
      </c>
      <c r="M915">
        <f t="shared" si="10"/>
        <v>0</v>
      </c>
      <c r="N915" s="78" t="s">
        <v>197</v>
      </c>
      <c r="O915" s="78" t="s">
        <v>88</v>
      </c>
      <c r="P915" s="79" t="s">
        <v>94</v>
      </c>
      <c r="Q915" s="78" t="s">
        <v>94</v>
      </c>
      <c r="R915" s="79" t="s">
        <v>88</v>
      </c>
      <c r="S915" s="79" t="s">
        <v>101</v>
      </c>
      <c r="T915" t="str">
        <f t="shared" si="12"/>
        <v>#VALUE!</v>
      </c>
      <c r="U915" t="str">
        <f t="shared" si="13"/>
        <v>#VALUE!</v>
      </c>
    </row>
    <row r="916" hidden="1">
      <c r="A916" s="32" t="str">
        <f t="shared" si="1"/>
        <v>2023Rooney/JacksonWeek 14</v>
      </c>
      <c r="B916" s="32" t="str">
        <f t="shared" si="2"/>
        <v>2023BuserWeek 14</v>
      </c>
      <c r="C916" s="32" t="str">
        <f t="shared" si="3"/>
        <v>Week 14</v>
      </c>
      <c r="D916" s="32">
        <v>2023.0</v>
      </c>
      <c r="E916" t="str">
        <f t="shared" si="4"/>
        <v>14</v>
      </c>
      <c r="F916" t="str">
        <f t="shared" si="5"/>
        <v>Stephen Rooney, Jackson Sattell</v>
      </c>
      <c r="G916" s="40" t="str">
        <f>VLOOKUP(F916,'Manager Coding'!C:D,2,0)</f>
        <v>Rooney/Jackson</v>
      </c>
      <c r="H916" s="41">
        <f t="shared" si="6"/>
        <v>117.94</v>
      </c>
      <c r="I916" t="str">
        <f t="shared" si="7"/>
        <v>Ed Buser</v>
      </c>
      <c r="J916" t="str">
        <f>VLOOKUP(I916,'Manager Coding'!C:D,2,0)</f>
        <v>Buser</v>
      </c>
      <c r="K916" s="41">
        <f t="shared" si="8"/>
        <v>81.32</v>
      </c>
      <c r="L916">
        <f t="shared" si="9"/>
        <v>1</v>
      </c>
      <c r="M916">
        <f t="shared" si="10"/>
        <v>0</v>
      </c>
      <c r="N916" s="153" t="s">
        <v>2197</v>
      </c>
      <c r="O916" s="129" t="s">
        <v>58</v>
      </c>
      <c r="P916" s="120">
        <v>117.94</v>
      </c>
      <c r="Q916" s="127">
        <v>81.32</v>
      </c>
      <c r="R916" s="130" t="s">
        <v>50</v>
      </c>
      <c r="S916" s="128" t="s">
        <v>2191</v>
      </c>
      <c r="T916" t="str">
        <f t="shared" si="12"/>
        <v>Wings and Three Rings</v>
      </c>
      <c r="U916" t="str">
        <f t="shared" si="13"/>
        <v>Pizzay Express</v>
      </c>
    </row>
    <row r="917" hidden="1">
      <c r="A917" s="32" t="str">
        <f t="shared" si="1"/>
        <v>2023TayskiWeek 14</v>
      </c>
      <c r="B917" s="32" t="str">
        <f t="shared" si="2"/>
        <v>2023SaltyWeek 14</v>
      </c>
      <c r="C917" s="32" t="str">
        <f t="shared" si="3"/>
        <v>Week 14</v>
      </c>
      <c r="D917" s="32">
        <v>2023.0</v>
      </c>
      <c r="E917" t="str">
        <f t="shared" si="4"/>
        <v>14</v>
      </c>
      <c r="F917" t="str">
        <f t="shared" si="5"/>
        <v>Taylor Weis</v>
      </c>
      <c r="G917" s="40" t="str">
        <f>VLOOKUP(F917,'Manager Coding'!C:D,2,0)</f>
        <v>Tayski</v>
      </c>
      <c r="H917" s="41">
        <f t="shared" si="6"/>
        <v>97.44</v>
      </c>
      <c r="I917" t="str">
        <f t="shared" si="7"/>
        <v>R Saltiel</v>
      </c>
      <c r="J917" t="str">
        <f>VLOOKUP(I917,'Manager Coding'!C:D,2,0)</f>
        <v>Salty</v>
      </c>
      <c r="K917" s="41">
        <f t="shared" si="8"/>
        <v>125.62</v>
      </c>
      <c r="L917">
        <f t="shared" si="9"/>
        <v>0</v>
      </c>
      <c r="M917">
        <f t="shared" si="10"/>
        <v>1</v>
      </c>
      <c r="N917" s="168" t="s">
        <v>2188</v>
      </c>
      <c r="O917" s="169" t="s">
        <v>54</v>
      </c>
      <c r="P917" s="158">
        <v>97.44</v>
      </c>
      <c r="Q917" s="167">
        <v>125.62</v>
      </c>
      <c r="R917" s="170" t="s">
        <v>77</v>
      </c>
      <c r="S917" s="168" t="s">
        <v>2201</v>
      </c>
      <c r="T917" t="str">
        <f t="shared" si="12"/>
        <v>Soggy Fruit Pu kas</v>
      </c>
      <c r="U917" t="str">
        <f t="shared" si="13"/>
        <v>Philly Cheesteakaways</v>
      </c>
    </row>
    <row r="918" hidden="1">
      <c r="A918" s="32" t="str">
        <f t="shared" si="1"/>
        <v>2023PiersonWeek 14</v>
      </c>
      <c r="B918" s="32" t="str">
        <f t="shared" si="2"/>
        <v>2023ShepWeek 14</v>
      </c>
      <c r="C918" s="32" t="str">
        <f t="shared" si="3"/>
        <v>Week 14</v>
      </c>
      <c r="D918" s="32">
        <v>2023.0</v>
      </c>
      <c r="E918" t="str">
        <f t="shared" si="4"/>
        <v>14</v>
      </c>
      <c r="F918" t="str">
        <f t="shared" si="5"/>
        <v>Pierson Curtis</v>
      </c>
      <c r="G918" s="40" t="str">
        <f>VLOOKUP(F918,'Manager Coding'!C:D,2,0)</f>
        <v>Pierson</v>
      </c>
      <c r="H918" s="41">
        <f t="shared" si="6"/>
        <v>87.58</v>
      </c>
      <c r="I918" t="str">
        <f t="shared" si="7"/>
        <v>Jordan Shepherd</v>
      </c>
      <c r="J918" t="str">
        <f>VLOOKUP(I918,'Manager Coding'!C:D,2,0)</f>
        <v>Shep</v>
      </c>
      <c r="K918" s="41">
        <f t="shared" si="8"/>
        <v>103.42</v>
      </c>
      <c r="L918">
        <f t="shared" si="9"/>
        <v>0</v>
      </c>
      <c r="M918">
        <f t="shared" si="10"/>
        <v>1</v>
      </c>
      <c r="N918" s="128" t="s">
        <v>2194</v>
      </c>
      <c r="O918" s="129" t="s">
        <v>93</v>
      </c>
      <c r="P918" s="120">
        <v>87.58</v>
      </c>
      <c r="Q918" s="127">
        <v>103.42</v>
      </c>
      <c r="R918" s="130" t="s">
        <v>91</v>
      </c>
      <c r="S918" s="128" t="s">
        <v>2207</v>
      </c>
      <c r="T918" t="str">
        <f t="shared" si="12"/>
        <v>Warm Caesars</v>
      </c>
      <c r="U918" t="str">
        <f t="shared" si="13"/>
        <v>Library Chicks-Fil-A</v>
      </c>
    </row>
    <row r="919" hidden="1">
      <c r="A919" s="32" t="str">
        <f t="shared" si="1"/>
        <v>2023HudspeathWeek 14</v>
      </c>
      <c r="B919" s="32" t="str">
        <f t="shared" si="2"/>
        <v>2023T-HowWeek 14</v>
      </c>
      <c r="C919" s="32" t="str">
        <f t="shared" si="3"/>
        <v>Week 14</v>
      </c>
      <c r="D919" s="32">
        <v>2023.0</v>
      </c>
      <c r="E919" t="str">
        <f t="shared" si="4"/>
        <v>14</v>
      </c>
      <c r="F919" t="str">
        <f t="shared" si="5"/>
        <v>matt hudspeath</v>
      </c>
      <c r="G919" s="40" t="str">
        <f>VLOOKUP(F919,'Manager Coding'!C:D,2,0)</f>
        <v>Hudspeath</v>
      </c>
      <c r="H919" s="41">
        <f t="shared" si="6"/>
        <v>111.14</v>
      </c>
      <c r="I919" t="str">
        <f t="shared" si="7"/>
        <v>Tyler Howard</v>
      </c>
      <c r="J919" t="str">
        <f>VLOOKUP(I919,'Manager Coding'!C:D,2,0)</f>
        <v>T-How</v>
      </c>
      <c r="K919" s="41">
        <f t="shared" si="8"/>
        <v>28.94</v>
      </c>
      <c r="L919">
        <f t="shared" si="9"/>
        <v>1</v>
      </c>
      <c r="M919">
        <f t="shared" si="10"/>
        <v>0</v>
      </c>
      <c r="N919" s="131" t="s">
        <v>2198</v>
      </c>
      <c r="O919" s="132" t="s">
        <v>64</v>
      </c>
      <c r="P919" s="120">
        <v>111.14</v>
      </c>
      <c r="Q919" s="127">
        <v>28.94</v>
      </c>
      <c r="R919" s="133" t="s">
        <v>85</v>
      </c>
      <c r="S919" s="131" t="s">
        <v>2213</v>
      </c>
      <c r="T919" t="str">
        <f t="shared" si="12"/>
        <v>The Breakfast Buddies</v>
      </c>
      <c r="U919" t="str">
        <f t="shared" si="13"/>
        <v>Chasing</v>
      </c>
    </row>
    <row r="920" hidden="1">
      <c r="A920" s="32" t="str">
        <f t="shared" si="1"/>
        <v>2023CockWeek 14</v>
      </c>
      <c r="B920" s="32" t="str">
        <f t="shared" si="2"/>
        <v>2023KnardDawgWeek 14</v>
      </c>
      <c r="C920" s="32" t="str">
        <f t="shared" si="3"/>
        <v>Week 14</v>
      </c>
      <c r="D920" s="32">
        <v>2023.0</v>
      </c>
      <c r="E920" t="str">
        <f t="shared" si="4"/>
        <v>14</v>
      </c>
      <c r="F920" t="str">
        <f t="shared" si="5"/>
        <v>Chris Cochrane</v>
      </c>
      <c r="G920" s="40" t="str">
        <f>VLOOKUP(F920,'Manager Coding'!C:D,2,0)</f>
        <v>Cock</v>
      </c>
      <c r="H920" s="41">
        <f t="shared" si="6"/>
        <v>70.24</v>
      </c>
      <c r="I920" t="str">
        <f t="shared" si="7"/>
        <v>Alex Kinniard, Jack Reilly</v>
      </c>
      <c r="J920" t="str">
        <f>VLOOKUP(I920,'Manager Coding'!C:D,2,0)</f>
        <v>KnardDawg</v>
      </c>
      <c r="K920" s="41">
        <f t="shared" si="8"/>
        <v>83.92</v>
      </c>
      <c r="L920">
        <f t="shared" si="9"/>
        <v>0</v>
      </c>
      <c r="M920">
        <f t="shared" si="10"/>
        <v>1</v>
      </c>
      <c r="N920" s="128" t="s">
        <v>2204</v>
      </c>
      <c r="O920" s="129" t="s">
        <v>99</v>
      </c>
      <c r="P920" s="120">
        <v>70.24</v>
      </c>
      <c r="Q920" s="127">
        <v>83.92</v>
      </c>
      <c r="R920" s="130" t="s">
        <v>87</v>
      </c>
      <c r="S920" s="128" t="s">
        <v>2217</v>
      </c>
      <c r="T920" t="str">
        <f t="shared" si="12"/>
        <v>Darius Slay Jays</v>
      </c>
      <c r="U920" t="str">
        <f t="shared" si="13"/>
        <v>Brainard's Chubb</v>
      </c>
    </row>
    <row r="921" hidden="1">
      <c r="A921" s="32" t="str">
        <f t="shared" si="1"/>
        <v>2023RileyWeek 14</v>
      </c>
      <c r="B921" s="32" t="str">
        <f t="shared" si="2"/>
        <v>2023EwertWeek 14</v>
      </c>
      <c r="C921" s="32" t="str">
        <f t="shared" si="3"/>
        <v>Week 14</v>
      </c>
      <c r="D921" s="32">
        <v>2023.0</v>
      </c>
      <c r="E921" t="str">
        <f t="shared" si="4"/>
        <v>14</v>
      </c>
      <c r="F921" t="str">
        <f t="shared" si="5"/>
        <v>Riley McElwain</v>
      </c>
      <c r="G921" s="40" t="str">
        <f>VLOOKUP(F921,'Manager Coding'!C:D,2,0)</f>
        <v>Riley</v>
      </c>
      <c r="H921" s="41">
        <f t="shared" si="6"/>
        <v>69.3</v>
      </c>
      <c r="I921" t="str">
        <f t="shared" si="7"/>
        <v>Kyle Ewert, brad starck</v>
      </c>
      <c r="J921" t="str">
        <f>VLOOKUP(I921,'Manager Coding'!C:D,2,0)</f>
        <v>Ewert</v>
      </c>
      <c r="K921" s="41">
        <f t="shared" si="8"/>
        <v>71.12</v>
      </c>
      <c r="L921">
        <f t="shared" si="9"/>
        <v>0</v>
      </c>
      <c r="M921">
        <f t="shared" si="10"/>
        <v>1</v>
      </c>
      <c r="N921" s="131" t="s">
        <v>2210</v>
      </c>
      <c r="O921" s="132" t="s">
        <v>68</v>
      </c>
      <c r="P921" s="120">
        <v>69.3</v>
      </c>
      <c r="Q921" s="127">
        <v>71.12</v>
      </c>
      <c r="R921" s="133" t="s">
        <v>105</v>
      </c>
      <c r="S921" s="131" t="s">
        <v>2216</v>
      </c>
      <c r="T921" t="str">
        <f t="shared" si="12"/>
        <v>Martha's Cream PIs</v>
      </c>
      <c r="U921" t="str">
        <f t="shared" si="13"/>
        <v>Charley Diggs</v>
      </c>
    </row>
    <row r="922" hidden="1">
      <c r="A922" s="32" t="str">
        <f t="shared" si="1"/>
        <v>#N/A</v>
      </c>
      <c r="B922" s="32" t="str">
        <f t="shared" si="2"/>
        <v>#N/A</v>
      </c>
      <c r="C922" s="32" t="str">
        <f t="shared" si="3"/>
        <v>Week 14</v>
      </c>
      <c r="D922" s="32">
        <v>2023.0</v>
      </c>
      <c r="E922" t="str">
        <f t="shared" si="4"/>
        <v>14</v>
      </c>
      <c r="F922" t="str">
        <f t="shared" si="5"/>
        <v/>
      </c>
      <c r="G922" s="40" t="str">
        <f>VLOOKUP(F922,'Manager Coding'!C:D,2,0)</f>
        <v>#N/A</v>
      </c>
      <c r="H922" s="41" t="str">
        <f t="shared" si="6"/>
        <v/>
      </c>
      <c r="I922" t="str">
        <f t="shared" si="7"/>
        <v/>
      </c>
      <c r="J922" t="str">
        <f>VLOOKUP(I922,'Manager Coding'!C:D,2,0)</f>
        <v>#N/A</v>
      </c>
      <c r="K922" s="41" t="str">
        <f t="shared" si="8"/>
        <v/>
      </c>
      <c r="L922">
        <f t="shared" si="9"/>
        <v>0</v>
      </c>
      <c r="M922">
        <f t="shared" si="10"/>
        <v>0</v>
      </c>
      <c r="N922" s="162" t="s">
        <v>1792</v>
      </c>
      <c r="O922" s="143"/>
      <c r="P922" s="152"/>
      <c r="Q922" s="152"/>
      <c r="R922" s="146"/>
      <c r="S922" s="147"/>
      <c r="T922" t="str">
        <f t="shared" si="12"/>
        <v>#VALUE!</v>
      </c>
      <c r="U922" t="str">
        <f t="shared" si="13"/>
        <v>Playoff Round 1 </v>
      </c>
    </row>
    <row r="923" hidden="1">
      <c r="A923" s="32" t="str">
        <f t="shared" si="1"/>
        <v>#N/A</v>
      </c>
      <c r="B923" s="32" t="str">
        <f t="shared" si="2"/>
        <v>#N/A</v>
      </c>
      <c r="C923" s="32" t="str">
        <f t="shared" si="3"/>
        <v>Week 15</v>
      </c>
      <c r="D923" s="32">
        <v>2023.0</v>
      </c>
      <c r="E923" t="str">
        <f t="shared" si="4"/>
        <v>15</v>
      </c>
      <c r="F923" t="str">
        <f t="shared" si="5"/>
        <v>TEAM MANAGER(S)</v>
      </c>
      <c r="G923" s="40" t="str">
        <f>VLOOKUP(F923,'Manager Coding'!C:D,2,0)</f>
        <v>#N/A</v>
      </c>
      <c r="H923" s="41" t="str">
        <f t="shared" si="6"/>
        <v>SCORE</v>
      </c>
      <c r="I923" t="str">
        <f t="shared" si="7"/>
        <v>TEAM MANAGER(S)</v>
      </c>
      <c r="J923" t="str">
        <f>VLOOKUP(I923,'Manager Coding'!C:D,2,0)</f>
        <v>#N/A</v>
      </c>
      <c r="K923" s="41" t="str">
        <f t="shared" si="8"/>
        <v>SCORE</v>
      </c>
      <c r="L923">
        <f t="shared" si="9"/>
        <v>0</v>
      </c>
      <c r="M923">
        <f t="shared" si="10"/>
        <v>0</v>
      </c>
      <c r="N923" s="78" t="s">
        <v>197</v>
      </c>
      <c r="O923" s="78" t="s">
        <v>88</v>
      </c>
      <c r="P923" s="79" t="s">
        <v>94</v>
      </c>
      <c r="Q923" s="78" t="s">
        <v>94</v>
      </c>
      <c r="R923" s="79" t="s">
        <v>88</v>
      </c>
      <c r="S923" s="79" t="s">
        <v>101</v>
      </c>
      <c r="T923" t="str">
        <f t="shared" si="12"/>
        <v>#VALUE!</v>
      </c>
      <c r="U923" t="str">
        <f t="shared" si="13"/>
        <v>#VALUE!</v>
      </c>
    </row>
    <row r="924" hidden="1">
      <c r="A924" s="32" t="str">
        <f t="shared" si="1"/>
        <v>2023T-HowWeek 15</v>
      </c>
      <c r="B924" s="32" t="str">
        <f t="shared" si="2"/>
        <v>2023RileyWeek 15</v>
      </c>
      <c r="C924" s="32" t="str">
        <f t="shared" si="3"/>
        <v>Week 15</v>
      </c>
      <c r="D924" s="32">
        <v>2023.0</v>
      </c>
      <c r="E924" t="str">
        <f t="shared" si="4"/>
        <v>15</v>
      </c>
      <c r="F924" t="str">
        <f t="shared" si="5"/>
        <v>Tyler Howard</v>
      </c>
      <c r="G924" s="40" t="str">
        <f>VLOOKUP(F924,'Manager Coding'!C:D,2,0)</f>
        <v>T-How</v>
      </c>
      <c r="H924" s="41">
        <f t="shared" si="6"/>
        <v>107.02</v>
      </c>
      <c r="I924" t="str">
        <f t="shared" si="7"/>
        <v>Riley McElwain</v>
      </c>
      <c r="J924" t="str">
        <f>VLOOKUP(I924,'Manager Coding'!C:D,2,0)</f>
        <v>Riley</v>
      </c>
      <c r="K924" s="41">
        <f t="shared" si="8"/>
        <v>99.96</v>
      </c>
      <c r="L924">
        <f t="shared" si="9"/>
        <v>1</v>
      </c>
      <c r="M924">
        <f t="shared" si="10"/>
        <v>0</v>
      </c>
      <c r="N924" s="153" t="s">
        <v>2213</v>
      </c>
      <c r="O924" s="129" t="s">
        <v>85</v>
      </c>
      <c r="P924" s="120">
        <v>107.02</v>
      </c>
      <c r="Q924" s="127">
        <v>99.96</v>
      </c>
      <c r="R924" s="130" t="s">
        <v>68</v>
      </c>
      <c r="S924" s="128" t="s">
        <v>2210</v>
      </c>
      <c r="T924" t="str">
        <f t="shared" si="12"/>
        <v>Charley Diggs</v>
      </c>
      <c r="U924" t="str">
        <f t="shared" si="13"/>
        <v>The Breakfast Buddies</v>
      </c>
    </row>
    <row r="925" hidden="1">
      <c r="A925" s="32" t="str">
        <f t="shared" si="1"/>
        <v>2023TayskiWeek 15</v>
      </c>
      <c r="B925" s="32" t="str">
        <f t="shared" si="2"/>
        <v>2023PiersonWeek 15</v>
      </c>
      <c r="C925" s="32" t="str">
        <f t="shared" si="3"/>
        <v>Week 15</v>
      </c>
      <c r="D925" s="32">
        <v>2023.0</v>
      </c>
      <c r="E925" t="str">
        <f t="shared" si="4"/>
        <v>15</v>
      </c>
      <c r="F925" t="str">
        <f t="shared" si="5"/>
        <v>Taylor Weis</v>
      </c>
      <c r="G925" s="40" t="str">
        <f>VLOOKUP(F925,'Manager Coding'!C:D,2,0)</f>
        <v>Tayski</v>
      </c>
      <c r="H925" s="41">
        <f t="shared" si="6"/>
        <v>137.82</v>
      </c>
      <c r="I925" t="str">
        <f t="shared" si="7"/>
        <v>Pierson Curtis</v>
      </c>
      <c r="J925" t="str">
        <f>VLOOKUP(I925,'Manager Coding'!C:D,2,0)</f>
        <v>Pierson</v>
      </c>
      <c r="K925" s="41">
        <f t="shared" si="8"/>
        <v>104.32</v>
      </c>
      <c r="L925">
        <f t="shared" si="9"/>
        <v>1</v>
      </c>
      <c r="M925">
        <f t="shared" si="10"/>
        <v>0</v>
      </c>
      <c r="N925" s="168" t="s">
        <v>2188</v>
      </c>
      <c r="O925" s="169" t="s">
        <v>54</v>
      </c>
      <c r="P925" s="158">
        <v>137.82</v>
      </c>
      <c r="Q925" s="167">
        <v>104.32</v>
      </c>
      <c r="R925" s="170" t="s">
        <v>93</v>
      </c>
      <c r="S925" s="168" t="s">
        <v>2194</v>
      </c>
      <c r="T925" t="str">
        <f t="shared" si="12"/>
        <v>Library Chicks-Fil-A</v>
      </c>
      <c r="U925" t="str">
        <f t="shared" si="13"/>
        <v>Philly Cheesteakaways</v>
      </c>
    </row>
    <row r="926" hidden="1">
      <c r="A926" s="32" t="str">
        <f t="shared" si="1"/>
        <v>2023BuserWeek 15</v>
      </c>
      <c r="B926" s="32" t="str">
        <f t="shared" si="2"/>
        <v>2023ShepWeek 15</v>
      </c>
      <c r="C926" s="32" t="str">
        <f t="shared" si="3"/>
        <v>Week 15</v>
      </c>
      <c r="D926" s="32">
        <v>2023.0</v>
      </c>
      <c r="E926" t="str">
        <f t="shared" si="4"/>
        <v>15</v>
      </c>
      <c r="F926" t="str">
        <f t="shared" si="5"/>
        <v>Ed Buser</v>
      </c>
      <c r="G926" s="40" t="str">
        <f>VLOOKUP(F926,'Manager Coding'!C:D,2,0)</f>
        <v>Buser</v>
      </c>
      <c r="H926" s="41">
        <f t="shared" si="6"/>
        <v>110.46</v>
      </c>
      <c r="I926" t="str">
        <f t="shared" si="7"/>
        <v>Jordan Shepherd</v>
      </c>
      <c r="J926" t="str">
        <f>VLOOKUP(I926,'Manager Coding'!C:D,2,0)</f>
        <v>Shep</v>
      </c>
      <c r="K926" s="41">
        <f t="shared" si="8"/>
        <v>71.44</v>
      </c>
      <c r="L926">
        <f t="shared" si="9"/>
        <v>1</v>
      </c>
      <c r="M926">
        <f t="shared" si="10"/>
        <v>0</v>
      </c>
      <c r="N926" s="128" t="s">
        <v>2191</v>
      </c>
      <c r="O926" s="129" t="s">
        <v>50</v>
      </c>
      <c r="P926" s="120">
        <v>110.46</v>
      </c>
      <c r="Q926" s="127">
        <v>71.44</v>
      </c>
      <c r="R926" s="130" t="s">
        <v>91</v>
      </c>
      <c r="S926" s="128" t="s">
        <v>2207</v>
      </c>
      <c r="T926" t="str">
        <f t="shared" si="12"/>
        <v>Warm Caesars</v>
      </c>
      <c r="U926" t="str">
        <f t="shared" si="13"/>
        <v>Wings and Three Rings</v>
      </c>
    </row>
    <row r="927" hidden="1">
      <c r="A927" s="32" t="str">
        <f t="shared" si="1"/>
        <v>2023Rooney/JacksonWeek 15</v>
      </c>
      <c r="B927" s="32" t="str">
        <f t="shared" si="2"/>
        <v>2023EwertWeek 15</v>
      </c>
      <c r="C927" s="32" t="str">
        <f t="shared" si="3"/>
        <v>Week 15</v>
      </c>
      <c r="D927" s="32">
        <v>2023.0</v>
      </c>
      <c r="E927" t="str">
        <f t="shared" si="4"/>
        <v>15</v>
      </c>
      <c r="F927" t="str">
        <f t="shared" si="5"/>
        <v>Stephen Rooney, Jackson Sattell</v>
      </c>
      <c r="G927" s="40" t="str">
        <f>VLOOKUP(F927,'Manager Coding'!C:D,2,0)</f>
        <v>Rooney/Jackson</v>
      </c>
      <c r="H927" s="41">
        <f t="shared" si="6"/>
        <v>73.04</v>
      </c>
      <c r="I927" t="str">
        <f t="shared" si="7"/>
        <v>Kyle Ewert, brad starck</v>
      </c>
      <c r="J927" t="str">
        <f>VLOOKUP(I927,'Manager Coding'!C:D,2,0)</f>
        <v>Ewert</v>
      </c>
      <c r="K927" s="41">
        <f t="shared" si="8"/>
        <v>94.26</v>
      </c>
      <c r="L927">
        <f t="shared" si="9"/>
        <v>0</v>
      </c>
      <c r="M927">
        <f t="shared" si="10"/>
        <v>1</v>
      </c>
      <c r="N927" s="131" t="s">
        <v>2197</v>
      </c>
      <c r="O927" s="132" t="s">
        <v>58</v>
      </c>
      <c r="P927" s="120">
        <v>73.04</v>
      </c>
      <c r="Q927" s="127">
        <v>94.26</v>
      </c>
      <c r="R927" s="133" t="s">
        <v>105</v>
      </c>
      <c r="S927" s="131" t="s">
        <v>2216</v>
      </c>
      <c r="T927" t="str">
        <f t="shared" si="12"/>
        <v>Martha's Cream PIs</v>
      </c>
      <c r="U927" t="str">
        <f t="shared" si="13"/>
        <v>Pizzay Express</v>
      </c>
    </row>
    <row r="928" hidden="1">
      <c r="A928" s="32" t="str">
        <f t="shared" si="1"/>
        <v>2023CockWeek 15</v>
      </c>
      <c r="B928" s="32" t="str">
        <f t="shared" si="2"/>
        <v>2023KnardDawgWeek 15</v>
      </c>
      <c r="C928" s="32" t="str">
        <f t="shared" si="3"/>
        <v>Week 15</v>
      </c>
      <c r="D928" s="32">
        <v>2023.0</v>
      </c>
      <c r="E928" t="str">
        <f t="shared" si="4"/>
        <v>15</v>
      </c>
      <c r="F928" t="str">
        <f t="shared" si="5"/>
        <v>Chris Cochrane</v>
      </c>
      <c r="G928" s="40" t="str">
        <f>VLOOKUP(F928,'Manager Coding'!C:D,2,0)</f>
        <v>Cock</v>
      </c>
      <c r="H928" s="41">
        <f t="shared" si="6"/>
        <v>77.3</v>
      </c>
      <c r="I928" t="str">
        <f t="shared" si="7"/>
        <v>Alex Kinniard, Jack Reilly</v>
      </c>
      <c r="J928" t="str">
        <f>VLOOKUP(I928,'Manager Coding'!C:D,2,0)</f>
        <v>KnardDawg</v>
      </c>
      <c r="K928" s="41">
        <f t="shared" si="8"/>
        <v>66.98</v>
      </c>
      <c r="L928">
        <f t="shared" si="9"/>
        <v>1</v>
      </c>
      <c r="M928">
        <f t="shared" si="10"/>
        <v>0</v>
      </c>
      <c r="N928" s="128" t="s">
        <v>2204</v>
      </c>
      <c r="O928" s="129" t="s">
        <v>99</v>
      </c>
      <c r="P928" s="120">
        <v>77.3</v>
      </c>
      <c r="Q928" s="127">
        <v>66.98</v>
      </c>
      <c r="R928" s="130" t="s">
        <v>87</v>
      </c>
      <c r="S928" s="128" t="s">
        <v>2217</v>
      </c>
      <c r="T928" t="str">
        <f t="shared" si="12"/>
        <v>Darius Slay Jays</v>
      </c>
      <c r="U928" t="str">
        <f t="shared" si="13"/>
        <v>Brainard's Chubb</v>
      </c>
    </row>
    <row r="929" hidden="1">
      <c r="A929" s="32" t="str">
        <f t="shared" si="1"/>
        <v>#N/A</v>
      </c>
      <c r="B929" s="32" t="str">
        <f t="shared" si="2"/>
        <v>#N/A</v>
      </c>
      <c r="C929" s="32" t="str">
        <f t="shared" si="3"/>
        <v>Week 15</v>
      </c>
      <c r="D929" s="32">
        <v>2023.0</v>
      </c>
      <c r="E929" t="str">
        <f t="shared" si="4"/>
        <v>15</v>
      </c>
      <c r="F929" t="str">
        <f t="shared" si="5"/>
        <v/>
      </c>
      <c r="G929" s="40" t="str">
        <f>VLOOKUP(F929,'Manager Coding'!C:D,2,0)</f>
        <v>#N/A</v>
      </c>
      <c r="H929" s="41" t="str">
        <f t="shared" si="6"/>
        <v/>
      </c>
      <c r="I929" t="str">
        <f t="shared" si="7"/>
        <v/>
      </c>
      <c r="J929" t="str">
        <f>VLOOKUP(I929,'Manager Coding'!C:D,2,0)</f>
        <v>#N/A</v>
      </c>
      <c r="K929" s="41" t="str">
        <f t="shared" si="8"/>
        <v/>
      </c>
      <c r="L929">
        <f t="shared" si="9"/>
        <v>0</v>
      </c>
      <c r="M929">
        <f t="shared" si="10"/>
        <v>0</v>
      </c>
      <c r="N929" s="181" t="s">
        <v>518</v>
      </c>
      <c r="O929" s="143"/>
      <c r="P929" s="152"/>
      <c r="Q929" s="152"/>
      <c r="R929" s="182"/>
      <c r="S929" s="147"/>
      <c r="T929" t="str">
        <f t="shared" si="12"/>
        <v>#VALUE!</v>
      </c>
      <c r="U929" t="str">
        <f t="shared" si="13"/>
        <v>#VALUE!</v>
      </c>
    </row>
    <row r="930" hidden="1">
      <c r="A930" s="32" t="str">
        <f t="shared" si="1"/>
        <v>#N/A</v>
      </c>
      <c r="B930" s="32" t="str">
        <f t="shared" si="2"/>
        <v>#N/A</v>
      </c>
      <c r="C930" s="32" t="str">
        <f t="shared" si="3"/>
        <v>Week 15</v>
      </c>
      <c r="D930" s="32">
        <v>2023.0</v>
      </c>
      <c r="E930" t="str">
        <f t="shared" si="4"/>
        <v>15</v>
      </c>
      <c r="F930" t="str">
        <f t="shared" si="5"/>
        <v/>
      </c>
      <c r="G930" s="40" t="str">
        <f>VLOOKUP(F930,'Manager Coding'!C:D,2,0)</f>
        <v>#N/A</v>
      </c>
      <c r="H930" s="41" t="str">
        <f t="shared" si="6"/>
        <v/>
      </c>
      <c r="I930" t="str">
        <f t="shared" si="7"/>
        <v/>
      </c>
      <c r="J930" t="str">
        <f>VLOOKUP(I930,'Manager Coding'!C:D,2,0)</f>
        <v>#N/A</v>
      </c>
      <c r="K930" s="41" t="str">
        <f t="shared" si="8"/>
        <v/>
      </c>
      <c r="L930">
        <f t="shared" si="9"/>
        <v>0</v>
      </c>
      <c r="M930">
        <f t="shared" si="10"/>
        <v>0</v>
      </c>
      <c r="N930" s="155" t="s">
        <v>2462</v>
      </c>
      <c r="O930" s="96"/>
      <c r="P930" s="183"/>
      <c r="Q930" s="183"/>
      <c r="R930" s="103"/>
      <c r="S930" s="95"/>
      <c r="T930" t="str">
        <f t="shared" si="12"/>
        <v>#VALUE!</v>
      </c>
      <c r="U930" t="str">
        <f t="shared" si="13"/>
        <v>Soggy Fruit Pu kas</v>
      </c>
    </row>
    <row r="931" hidden="1">
      <c r="A931" s="32" t="str">
        <f t="shared" si="1"/>
        <v>#N/A</v>
      </c>
      <c r="B931" s="32" t="str">
        <f t="shared" si="2"/>
        <v>#N/A</v>
      </c>
      <c r="C931" s="32" t="str">
        <f t="shared" si="3"/>
        <v>Week 15</v>
      </c>
      <c r="D931" s="32">
        <v>2023.0</v>
      </c>
      <c r="E931" t="str">
        <f t="shared" si="4"/>
        <v>15</v>
      </c>
      <c r="F931" t="str">
        <f t="shared" si="5"/>
        <v/>
      </c>
      <c r="G931" s="40" t="str">
        <f>VLOOKUP(F931,'Manager Coding'!C:D,2,0)</f>
        <v>#N/A</v>
      </c>
      <c r="H931" s="41" t="str">
        <f t="shared" si="6"/>
        <v/>
      </c>
      <c r="I931" t="str">
        <f t="shared" si="7"/>
        <v/>
      </c>
      <c r="J931" t="str">
        <f>VLOOKUP(I931,'Manager Coding'!C:D,2,0)</f>
        <v>#N/A</v>
      </c>
      <c r="K931" s="41" t="str">
        <f t="shared" si="8"/>
        <v/>
      </c>
      <c r="L931">
        <f t="shared" si="9"/>
        <v>0</v>
      </c>
      <c r="M931">
        <f t="shared" si="10"/>
        <v>0</v>
      </c>
      <c r="N931" s="155" t="s">
        <v>2465</v>
      </c>
      <c r="O931" s="143"/>
      <c r="P931" s="152"/>
      <c r="Q931" s="152"/>
      <c r="R931" s="146"/>
      <c r="S931" s="147"/>
      <c r="T931" t="str">
        <f t="shared" si="12"/>
        <v>#VALUE!</v>
      </c>
      <c r="U931" t="str">
        <f t="shared" si="13"/>
        <v>Chasing </v>
      </c>
    </row>
    <row r="932" hidden="1">
      <c r="A932" s="32" t="str">
        <f t="shared" si="1"/>
        <v>#N/A</v>
      </c>
      <c r="B932" s="32" t="str">
        <f t="shared" si="2"/>
        <v>#N/A</v>
      </c>
      <c r="C932" s="32" t="str">
        <f t="shared" si="3"/>
        <v>Week 15</v>
      </c>
      <c r="D932" s="32">
        <v>2023.0</v>
      </c>
      <c r="E932" t="str">
        <f t="shared" si="4"/>
        <v>15</v>
      </c>
      <c r="F932" t="str">
        <f t="shared" si="5"/>
        <v/>
      </c>
      <c r="G932" s="40" t="str">
        <f>VLOOKUP(F932,'Manager Coding'!C:D,2,0)</f>
        <v>#N/A</v>
      </c>
      <c r="H932" s="41" t="str">
        <f t="shared" si="6"/>
        <v/>
      </c>
      <c r="I932" t="str">
        <f t="shared" si="7"/>
        <v/>
      </c>
      <c r="J932" t="str">
        <f>VLOOKUP(I932,'Manager Coding'!C:D,2,0)</f>
        <v>#N/A</v>
      </c>
      <c r="K932" s="41" t="str">
        <f t="shared" si="8"/>
        <v/>
      </c>
      <c r="L932">
        <f t="shared" si="9"/>
        <v>0</v>
      </c>
      <c r="M932">
        <f t="shared" si="10"/>
        <v>0</v>
      </c>
      <c r="N932" s="112" t="s">
        <v>1820</v>
      </c>
      <c r="O932" s="138"/>
      <c r="P932" s="148"/>
      <c r="Q932" s="148"/>
      <c r="R932" s="141"/>
      <c r="S932" s="142"/>
      <c r="T932" t="str">
        <f t="shared" si="12"/>
        <v>#VALUE!</v>
      </c>
      <c r="U932" t="str">
        <f t="shared" si="13"/>
        <v>Playoff Round 2 </v>
      </c>
    </row>
    <row r="933" hidden="1">
      <c r="A933" s="32" t="str">
        <f t="shared" si="1"/>
        <v>#N/A</v>
      </c>
      <c r="B933" s="32" t="str">
        <f t="shared" si="2"/>
        <v>#N/A</v>
      </c>
      <c r="C933" s="32" t="str">
        <f t="shared" si="3"/>
        <v>Week 16</v>
      </c>
      <c r="D933" s="32">
        <v>2023.0</v>
      </c>
      <c r="E933" t="str">
        <f t="shared" si="4"/>
        <v>16</v>
      </c>
      <c r="F933" t="str">
        <f t="shared" si="5"/>
        <v>TEAM MANAGER(S)</v>
      </c>
      <c r="G933" s="40" t="str">
        <f>VLOOKUP(F933,'Manager Coding'!C:D,2,0)</f>
        <v>#N/A</v>
      </c>
      <c r="H933" s="41" t="str">
        <f t="shared" si="6"/>
        <v>SCORE</v>
      </c>
      <c r="I933" t="str">
        <f t="shared" si="7"/>
        <v>TEAM MANAGER(S)</v>
      </c>
      <c r="J933" t="str">
        <f>VLOOKUP(I933,'Manager Coding'!C:D,2,0)</f>
        <v>#N/A</v>
      </c>
      <c r="K933" s="41" t="str">
        <f t="shared" si="8"/>
        <v>SCORE</v>
      </c>
      <c r="L933">
        <f t="shared" si="9"/>
        <v>0</v>
      </c>
      <c r="M933">
        <f t="shared" si="10"/>
        <v>0</v>
      </c>
      <c r="N933" s="78" t="s">
        <v>197</v>
      </c>
      <c r="O933" s="184" t="s">
        <v>88</v>
      </c>
      <c r="P933" s="185" t="s">
        <v>94</v>
      </c>
      <c r="Q933" s="184" t="s">
        <v>94</v>
      </c>
      <c r="R933" s="185" t="s">
        <v>88</v>
      </c>
      <c r="S933" s="185" t="s">
        <v>101</v>
      </c>
      <c r="T933" t="str">
        <f t="shared" si="12"/>
        <v>#VALUE!</v>
      </c>
      <c r="U933" t="str">
        <f t="shared" si="13"/>
        <v>#VALUE!</v>
      </c>
    </row>
    <row r="934" hidden="1">
      <c r="A934" s="32" t="str">
        <f t="shared" si="1"/>
        <v>2023T-HowWeek 16</v>
      </c>
      <c r="B934" s="32" t="str">
        <f t="shared" si="2"/>
        <v>2023SaltyWeek 16</v>
      </c>
      <c r="C934" s="32" t="str">
        <f t="shared" si="3"/>
        <v>Week 16</v>
      </c>
      <c r="D934" s="32">
        <v>2023.0</v>
      </c>
      <c r="E934" t="str">
        <f t="shared" si="4"/>
        <v>16</v>
      </c>
      <c r="F934" t="str">
        <f t="shared" si="5"/>
        <v>Tyler Howard</v>
      </c>
      <c r="G934" s="40" t="str">
        <f>VLOOKUP(F934,'Manager Coding'!C:D,2,0)</f>
        <v>T-How</v>
      </c>
      <c r="H934" s="41">
        <f t="shared" si="6"/>
        <v>94.28</v>
      </c>
      <c r="I934" t="str">
        <f t="shared" si="7"/>
        <v>R Saltiel</v>
      </c>
      <c r="J934" t="str">
        <f>VLOOKUP(I934,'Manager Coding'!C:D,2,0)</f>
        <v>Salty</v>
      </c>
      <c r="K934" s="41">
        <f t="shared" si="8"/>
        <v>79.08</v>
      </c>
      <c r="L934">
        <f t="shared" si="9"/>
        <v>1</v>
      </c>
      <c r="M934">
        <f t="shared" si="10"/>
        <v>0</v>
      </c>
      <c r="N934" s="153" t="s">
        <v>2213</v>
      </c>
      <c r="O934" s="129" t="s">
        <v>85</v>
      </c>
      <c r="P934" s="120">
        <v>94.28</v>
      </c>
      <c r="Q934" s="127">
        <v>79.08</v>
      </c>
      <c r="R934" s="130" t="s">
        <v>77</v>
      </c>
      <c r="S934" s="128" t="s">
        <v>2201</v>
      </c>
      <c r="T934" t="str">
        <f t="shared" si="12"/>
        <v>Soggy Fruit Pu kas</v>
      </c>
      <c r="U934" t="str">
        <f t="shared" si="13"/>
        <v>The Breakfast Buddies</v>
      </c>
    </row>
    <row r="935" hidden="1">
      <c r="A935" s="32" t="str">
        <f t="shared" si="1"/>
        <v>2023TayskiWeek 16</v>
      </c>
      <c r="B935" s="32" t="str">
        <f t="shared" si="2"/>
        <v>2023HudspeathWeek 16</v>
      </c>
      <c r="C935" s="32" t="str">
        <f t="shared" si="3"/>
        <v>Week 16</v>
      </c>
      <c r="D935" s="32">
        <v>2023.0</v>
      </c>
      <c r="E935" t="str">
        <f t="shared" si="4"/>
        <v>16</v>
      </c>
      <c r="F935" t="str">
        <f t="shared" si="5"/>
        <v>Taylor Weis</v>
      </c>
      <c r="G935" s="40" t="str">
        <f>VLOOKUP(F935,'Manager Coding'!C:D,2,0)</f>
        <v>Tayski</v>
      </c>
      <c r="H935" s="41">
        <f t="shared" si="6"/>
        <v>90.62</v>
      </c>
      <c r="I935" t="str">
        <f t="shared" si="7"/>
        <v>matt hudspeath</v>
      </c>
      <c r="J935" t="str">
        <f>VLOOKUP(I935,'Manager Coding'!C:D,2,0)</f>
        <v>Hudspeath</v>
      </c>
      <c r="K935" s="41">
        <f t="shared" si="8"/>
        <v>85.92</v>
      </c>
      <c r="L935">
        <f t="shared" si="9"/>
        <v>1</v>
      </c>
      <c r="M935">
        <f t="shared" si="10"/>
        <v>0</v>
      </c>
      <c r="N935" s="168" t="s">
        <v>2188</v>
      </c>
      <c r="O935" s="169" t="s">
        <v>54</v>
      </c>
      <c r="P935" s="158">
        <v>90.62</v>
      </c>
      <c r="Q935" s="167">
        <v>85.92</v>
      </c>
      <c r="R935" s="170" t="s">
        <v>64</v>
      </c>
      <c r="S935" s="168" t="s">
        <v>2198</v>
      </c>
      <c r="T935" t="str">
        <f t="shared" si="12"/>
        <v>Chasing</v>
      </c>
      <c r="U935" t="str">
        <f t="shared" si="13"/>
        <v>Philly Cheesteakaways</v>
      </c>
    </row>
    <row r="936" hidden="1">
      <c r="A936" s="32" t="str">
        <f t="shared" si="1"/>
        <v>2023RileyWeek 16</v>
      </c>
      <c r="B936" s="32" t="str">
        <f t="shared" si="2"/>
        <v>2023PiersonWeek 16</v>
      </c>
      <c r="C936" s="32" t="str">
        <f t="shared" si="3"/>
        <v>Week 16</v>
      </c>
      <c r="D936" s="32">
        <v>2023.0</v>
      </c>
      <c r="E936" t="str">
        <f t="shared" si="4"/>
        <v>16</v>
      </c>
      <c r="F936" t="str">
        <f t="shared" si="5"/>
        <v>Riley McElwain</v>
      </c>
      <c r="G936" s="40" t="str">
        <f>VLOOKUP(F936,'Manager Coding'!C:D,2,0)</f>
        <v>Riley</v>
      </c>
      <c r="H936" s="41">
        <f t="shared" si="6"/>
        <v>63.92</v>
      </c>
      <c r="I936" t="str">
        <f t="shared" si="7"/>
        <v>Pierson Curtis</v>
      </c>
      <c r="J936" t="str">
        <f>VLOOKUP(I936,'Manager Coding'!C:D,2,0)</f>
        <v>Pierson</v>
      </c>
      <c r="K936" s="41">
        <f t="shared" si="8"/>
        <v>75.52</v>
      </c>
      <c r="L936">
        <f t="shared" si="9"/>
        <v>0</v>
      </c>
      <c r="M936">
        <f t="shared" si="10"/>
        <v>1</v>
      </c>
      <c r="N936" s="128" t="s">
        <v>2210</v>
      </c>
      <c r="O936" s="129" t="s">
        <v>68</v>
      </c>
      <c r="P936" s="120">
        <v>63.92</v>
      </c>
      <c r="Q936" s="127">
        <v>75.52</v>
      </c>
      <c r="R936" s="130" t="s">
        <v>93</v>
      </c>
      <c r="S936" s="128" t="s">
        <v>2194</v>
      </c>
      <c r="T936" t="str">
        <f t="shared" si="12"/>
        <v>Library Chicks-Fil-A</v>
      </c>
      <c r="U936" t="str">
        <f t="shared" si="13"/>
        <v>Charley Diggs</v>
      </c>
    </row>
    <row r="937" hidden="1">
      <c r="A937" s="32" t="str">
        <f t="shared" si="1"/>
        <v>2023EwertWeek 16</v>
      </c>
      <c r="B937" s="32" t="str">
        <f t="shared" si="2"/>
        <v>2023BuserWeek 16</v>
      </c>
      <c r="C937" s="32" t="str">
        <f t="shared" si="3"/>
        <v>Week 16</v>
      </c>
      <c r="D937" s="32">
        <v>2023.0</v>
      </c>
      <c r="E937" t="str">
        <f t="shared" si="4"/>
        <v>16</v>
      </c>
      <c r="F937" t="str">
        <f t="shared" si="5"/>
        <v>Kyle Ewert, brad starck</v>
      </c>
      <c r="G937" s="40" t="str">
        <f>VLOOKUP(F937,'Manager Coding'!C:D,2,0)</f>
        <v>Ewert</v>
      </c>
      <c r="H937" s="41">
        <f t="shared" si="6"/>
        <v>113.64</v>
      </c>
      <c r="I937" t="str">
        <f t="shared" si="7"/>
        <v>Ed Buser</v>
      </c>
      <c r="J937" t="str">
        <f>VLOOKUP(I937,'Manager Coding'!C:D,2,0)</f>
        <v>Buser</v>
      </c>
      <c r="K937" s="41">
        <f t="shared" si="8"/>
        <v>106.36</v>
      </c>
      <c r="L937">
        <f t="shared" si="9"/>
        <v>1</v>
      </c>
      <c r="M937">
        <f t="shared" si="10"/>
        <v>0</v>
      </c>
      <c r="N937" s="131" t="s">
        <v>2216</v>
      </c>
      <c r="O937" s="132" t="s">
        <v>105</v>
      </c>
      <c r="P937" s="120">
        <v>113.64</v>
      </c>
      <c r="Q937" s="127">
        <v>106.36</v>
      </c>
      <c r="R937" s="133" t="s">
        <v>50</v>
      </c>
      <c r="S937" s="131" t="s">
        <v>2191</v>
      </c>
      <c r="T937" t="str">
        <f t="shared" si="12"/>
        <v>Wings and Three Rings</v>
      </c>
      <c r="U937" t="str">
        <f t="shared" si="13"/>
        <v>Martha's Cream PIs</v>
      </c>
    </row>
    <row r="938" hidden="1">
      <c r="A938" s="32" t="str">
        <f t="shared" si="1"/>
        <v>2023CockWeek 16</v>
      </c>
      <c r="B938" s="32" t="str">
        <f t="shared" si="2"/>
        <v>2023ShepWeek 16</v>
      </c>
      <c r="C938" s="32" t="str">
        <f t="shared" si="3"/>
        <v>Week 16</v>
      </c>
      <c r="D938" s="32">
        <v>2023.0</v>
      </c>
      <c r="E938" t="str">
        <f t="shared" si="4"/>
        <v>16</v>
      </c>
      <c r="F938" t="str">
        <f t="shared" si="5"/>
        <v>Chris Cochrane</v>
      </c>
      <c r="G938" s="40" t="str">
        <f>VLOOKUP(F938,'Manager Coding'!C:D,2,0)</f>
        <v>Cock</v>
      </c>
      <c r="H938" s="41">
        <f t="shared" si="6"/>
        <v>67.3</v>
      </c>
      <c r="I938" t="str">
        <f t="shared" si="7"/>
        <v>Jordan Shepherd</v>
      </c>
      <c r="J938" t="str">
        <f>VLOOKUP(I938,'Manager Coding'!C:D,2,0)</f>
        <v>Shep</v>
      </c>
      <c r="K938" s="41">
        <f t="shared" si="8"/>
        <v>122.8</v>
      </c>
      <c r="L938">
        <f t="shared" si="9"/>
        <v>0</v>
      </c>
      <c r="M938">
        <f t="shared" si="10"/>
        <v>1</v>
      </c>
      <c r="N938" s="128" t="s">
        <v>2204</v>
      </c>
      <c r="O938" s="129" t="s">
        <v>99</v>
      </c>
      <c r="P938" s="120">
        <v>67.3</v>
      </c>
      <c r="Q938" s="127">
        <v>122.8</v>
      </c>
      <c r="R938" s="130" t="s">
        <v>91</v>
      </c>
      <c r="S938" s="128" t="s">
        <v>2207</v>
      </c>
      <c r="T938" t="str">
        <f t="shared" si="12"/>
        <v>Warm Caesars</v>
      </c>
      <c r="U938" t="str">
        <f t="shared" si="13"/>
        <v>Brainard's Chubb</v>
      </c>
    </row>
    <row r="939" hidden="1">
      <c r="A939" s="32" t="str">
        <f t="shared" si="1"/>
        <v>2023KnardDawgWeek 16</v>
      </c>
      <c r="B939" s="32" t="str">
        <f t="shared" si="2"/>
        <v>2023Rooney/JacksonWeek 16</v>
      </c>
      <c r="C939" s="32" t="str">
        <f t="shared" si="3"/>
        <v>Week 16</v>
      </c>
      <c r="D939" s="32">
        <v>2023.0</v>
      </c>
      <c r="E939" t="str">
        <f t="shared" si="4"/>
        <v>16</v>
      </c>
      <c r="F939" t="str">
        <f t="shared" si="5"/>
        <v>Alex Kinniard, Jack Reilly</v>
      </c>
      <c r="G939" s="40" t="str">
        <f>VLOOKUP(F939,'Manager Coding'!C:D,2,0)</f>
        <v>KnardDawg</v>
      </c>
      <c r="H939" s="41">
        <f t="shared" si="6"/>
        <v>66.5</v>
      </c>
      <c r="I939" t="str">
        <f t="shared" si="7"/>
        <v>Stephen Rooney, Jackson Sattell</v>
      </c>
      <c r="J939" t="str">
        <f>VLOOKUP(I939,'Manager Coding'!C:D,2,0)</f>
        <v>Rooney/Jackson</v>
      </c>
      <c r="K939" s="41">
        <f t="shared" si="8"/>
        <v>117.98</v>
      </c>
      <c r="L939">
        <f t="shared" si="9"/>
        <v>0</v>
      </c>
      <c r="M939">
        <f t="shared" si="10"/>
        <v>1</v>
      </c>
      <c r="N939" s="131" t="s">
        <v>2217</v>
      </c>
      <c r="O939" s="132" t="s">
        <v>87</v>
      </c>
      <c r="P939" s="120">
        <v>66.5</v>
      </c>
      <c r="Q939" s="127">
        <v>117.98</v>
      </c>
      <c r="R939" s="133" t="s">
        <v>58</v>
      </c>
      <c r="S939" s="131" t="s">
        <v>2197</v>
      </c>
      <c r="T939" t="str">
        <f t="shared" si="12"/>
        <v>Pizzay Express</v>
      </c>
      <c r="U939" t="str">
        <f t="shared" si="13"/>
        <v>Darius Slay Jays</v>
      </c>
    </row>
    <row r="940" hidden="1">
      <c r="A940" s="32" t="str">
        <f t="shared" si="1"/>
        <v>#N/A</v>
      </c>
      <c r="B940" s="32" t="str">
        <f t="shared" si="2"/>
        <v>#N/A</v>
      </c>
      <c r="C940" s="32" t="str">
        <f t="shared" si="3"/>
        <v>Week 16</v>
      </c>
      <c r="D940" s="32">
        <v>2023.0</v>
      </c>
      <c r="E940" t="str">
        <f t="shared" si="4"/>
        <v>16</v>
      </c>
      <c r="F940" t="str">
        <f t="shared" si="5"/>
        <v/>
      </c>
      <c r="G940" s="40" t="str">
        <f>VLOOKUP(F940,'Manager Coding'!C:D,2,0)</f>
        <v>#N/A</v>
      </c>
      <c r="H940" s="41" t="str">
        <f t="shared" si="6"/>
        <v/>
      </c>
      <c r="I940" t="str">
        <f t="shared" si="7"/>
        <v/>
      </c>
      <c r="J940" t="str">
        <f>VLOOKUP(I940,'Manager Coding'!C:D,2,0)</f>
        <v>#N/A</v>
      </c>
      <c r="K940" s="41" t="str">
        <f t="shared" si="8"/>
        <v/>
      </c>
      <c r="L940">
        <f t="shared" si="9"/>
        <v>0</v>
      </c>
      <c r="M940">
        <f t="shared" si="10"/>
        <v>0</v>
      </c>
      <c r="N940" s="186" t="s">
        <v>1843</v>
      </c>
      <c r="O940" s="165"/>
      <c r="P940" s="164"/>
      <c r="Q940" s="164"/>
      <c r="R940" s="165"/>
      <c r="S940" s="165"/>
      <c r="T940" t="str">
        <f t="shared" si="12"/>
        <v>#VALUE!</v>
      </c>
      <c r="U940" t="str">
        <f t="shared" si="13"/>
        <v>Playoff Round 3 </v>
      </c>
    </row>
    <row r="941" hidden="1">
      <c r="A941" s="32" t="str">
        <f t="shared" si="1"/>
        <v>#N/A</v>
      </c>
      <c r="B941" s="32" t="str">
        <f t="shared" si="2"/>
        <v>#N/A</v>
      </c>
      <c r="C941" s="32" t="str">
        <f t="shared" si="3"/>
        <v>Week 17</v>
      </c>
      <c r="D941" s="32">
        <v>2023.0</v>
      </c>
      <c r="E941" t="str">
        <f t="shared" si="4"/>
        <v>17</v>
      </c>
      <c r="F941" t="str">
        <f t="shared" si="5"/>
        <v>TEAM MANAGER(S)</v>
      </c>
      <c r="G941" s="40" t="str">
        <f>VLOOKUP(F941,'Manager Coding'!C:D,2,0)</f>
        <v>#N/A</v>
      </c>
      <c r="H941" s="41" t="str">
        <f t="shared" si="6"/>
        <v>SCORE</v>
      </c>
      <c r="I941" t="str">
        <f t="shared" si="7"/>
        <v>TEAM MANAGER(S)</v>
      </c>
      <c r="J941" t="str">
        <f>VLOOKUP(I941,'Manager Coding'!C:D,2,0)</f>
        <v>#N/A</v>
      </c>
      <c r="K941" s="41" t="str">
        <f t="shared" si="8"/>
        <v>SCORE</v>
      </c>
      <c r="L941">
        <f t="shared" si="9"/>
        <v>0</v>
      </c>
      <c r="M941">
        <f t="shared" si="10"/>
        <v>0</v>
      </c>
      <c r="N941" s="78" t="s">
        <v>197</v>
      </c>
      <c r="O941" s="78" t="s">
        <v>88</v>
      </c>
      <c r="P941" s="79" t="s">
        <v>94</v>
      </c>
      <c r="Q941" s="78" t="s">
        <v>94</v>
      </c>
      <c r="R941" s="79" t="s">
        <v>88</v>
      </c>
      <c r="S941" s="79" t="s">
        <v>101</v>
      </c>
      <c r="T941" t="str">
        <f t="shared" si="12"/>
        <v>#VALUE!</v>
      </c>
      <c r="U941" t="str">
        <f t="shared" si="13"/>
        <v>#VALUE!</v>
      </c>
    </row>
    <row r="942" hidden="1">
      <c r="A942" s="32" t="str">
        <f t="shared" si="1"/>
        <v>2023TayskiWeek 17</v>
      </c>
      <c r="B942" s="32" t="str">
        <f t="shared" si="2"/>
        <v>2023T-HowWeek 17</v>
      </c>
      <c r="C942" s="32" t="str">
        <f t="shared" si="3"/>
        <v>Week 17</v>
      </c>
      <c r="D942" s="32">
        <v>2023.0</v>
      </c>
      <c r="E942" t="str">
        <f t="shared" si="4"/>
        <v>17</v>
      </c>
      <c r="F942" t="str">
        <f t="shared" si="5"/>
        <v>Taylor Weis</v>
      </c>
      <c r="G942" s="40" t="str">
        <f>VLOOKUP(F942,'Manager Coding'!C:D,2,0)</f>
        <v>Tayski</v>
      </c>
      <c r="H942" s="41">
        <f t="shared" si="6"/>
        <v>83.62</v>
      </c>
      <c r="I942" t="str">
        <f t="shared" si="7"/>
        <v>Tyler Howard</v>
      </c>
      <c r="J942" t="str">
        <f>VLOOKUP(I942,'Manager Coding'!C:D,2,0)</f>
        <v>T-How</v>
      </c>
      <c r="K942" s="41">
        <f t="shared" si="8"/>
        <v>99.94</v>
      </c>
      <c r="L942">
        <f t="shared" si="9"/>
        <v>0</v>
      </c>
      <c r="M942">
        <f t="shared" si="10"/>
        <v>1</v>
      </c>
      <c r="N942" s="153" t="s">
        <v>2188</v>
      </c>
      <c r="O942" s="81" t="s">
        <v>54</v>
      </c>
      <c r="P942" s="82">
        <v>83.62</v>
      </c>
      <c r="Q942" s="88">
        <v>99.94</v>
      </c>
      <c r="R942" s="154" t="s">
        <v>85</v>
      </c>
      <c r="S942" s="153" t="s">
        <v>2213</v>
      </c>
      <c r="T942" t="str">
        <f t="shared" si="12"/>
        <v>The Breakfast Buddies</v>
      </c>
      <c r="U942" t="str">
        <f t="shared" si="13"/>
        <v>Philly Cheesteakaways</v>
      </c>
    </row>
    <row r="943" hidden="1">
      <c r="A943" s="32" t="str">
        <f t="shared" si="1"/>
        <v>2023HudspeathWeek 17</v>
      </c>
      <c r="B943" s="32" t="str">
        <f t="shared" si="2"/>
        <v>2023SaltyWeek 17</v>
      </c>
      <c r="C943" s="32" t="str">
        <f t="shared" si="3"/>
        <v>Week 17</v>
      </c>
      <c r="D943" s="32">
        <v>2023.0</v>
      </c>
      <c r="E943" t="str">
        <f t="shared" si="4"/>
        <v>17</v>
      </c>
      <c r="F943" t="str">
        <f t="shared" si="5"/>
        <v>matt hudspeath</v>
      </c>
      <c r="G943" s="40" t="str">
        <f>VLOOKUP(F943,'Manager Coding'!C:D,2,0)</f>
        <v>Hudspeath</v>
      </c>
      <c r="H943" s="41">
        <f t="shared" si="6"/>
        <v>94</v>
      </c>
      <c r="I943" t="str">
        <f t="shared" si="7"/>
        <v>R Saltiel</v>
      </c>
      <c r="J943" t="str">
        <f>VLOOKUP(I943,'Manager Coding'!C:D,2,0)</f>
        <v>Salty</v>
      </c>
      <c r="K943" s="41">
        <f t="shared" si="8"/>
        <v>93.86</v>
      </c>
      <c r="L943">
        <f t="shared" si="9"/>
        <v>1</v>
      </c>
      <c r="M943">
        <f t="shared" si="10"/>
        <v>0</v>
      </c>
      <c r="N943" s="168" t="s">
        <v>2198</v>
      </c>
      <c r="O943" s="169" t="s">
        <v>64</v>
      </c>
      <c r="P943" s="158">
        <v>94.0</v>
      </c>
      <c r="Q943" s="167">
        <v>93.86</v>
      </c>
      <c r="R943" s="170" t="s">
        <v>77</v>
      </c>
      <c r="S943" s="168" t="s">
        <v>2201</v>
      </c>
      <c r="T943" t="str">
        <f t="shared" si="12"/>
        <v>Soggy Fruit Pu kas</v>
      </c>
      <c r="U943" t="str">
        <f t="shared" si="13"/>
        <v>Chasing</v>
      </c>
    </row>
    <row r="944" hidden="1">
      <c r="A944" s="32" t="str">
        <f t="shared" si="1"/>
        <v>2023RileyWeek 17</v>
      </c>
      <c r="B944" s="32" t="str">
        <f t="shared" si="2"/>
        <v>2023PiersonWeek 17</v>
      </c>
      <c r="C944" s="32" t="str">
        <f t="shared" si="3"/>
        <v>Week 17</v>
      </c>
      <c r="D944" s="32">
        <v>2023.0</v>
      </c>
      <c r="E944" t="str">
        <f t="shared" si="4"/>
        <v>17</v>
      </c>
      <c r="F944" t="str">
        <f t="shared" si="5"/>
        <v>Riley McElwain</v>
      </c>
      <c r="G944" s="40" t="str">
        <f>VLOOKUP(F944,'Manager Coding'!C:D,2,0)</f>
        <v>Riley</v>
      </c>
      <c r="H944" s="41">
        <f t="shared" si="6"/>
        <v>73.88</v>
      </c>
      <c r="I944" t="str">
        <f t="shared" si="7"/>
        <v>Pierson Curtis</v>
      </c>
      <c r="J944" t="str">
        <f>VLOOKUP(I944,'Manager Coding'!C:D,2,0)</f>
        <v>Pierson</v>
      </c>
      <c r="K944" s="41">
        <f t="shared" si="8"/>
        <v>119.38</v>
      </c>
      <c r="L944">
        <f t="shared" si="9"/>
        <v>0</v>
      </c>
      <c r="M944">
        <f t="shared" si="10"/>
        <v>1</v>
      </c>
      <c r="N944" s="128" t="s">
        <v>2210</v>
      </c>
      <c r="O944" s="129" t="s">
        <v>68</v>
      </c>
      <c r="P944" s="120">
        <v>73.88</v>
      </c>
      <c r="Q944" s="127">
        <v>119.38</v>
      </c>
      <c r="R944" s="130" t="s">
        <v>93</v>
      </c>
      <c r="S944" s="128" t="s">
        <v>2194</v>
      </c>
      <c r="T944" t="str">
        <f t="shared" si="12"/>
        <v>Library Chicks-Fil-A</v>
      </c>
      <c r="U944" t="str">
        <f t="shared" si="13"/>
        <v>Charley Diggs</v>
      </c>
    </row>
    <row r="945" hidden="1">
      <c r="A945" s="32" t="str">
        <f t="shared" si="1"/>
        <v>2023EwertWeek 17</v>
      </c>
      <c r="B945" s="32" t="str">
        <f t="shared" si="2"/>
        <v>2023ShepWeek 17</v>
      </c>
      <c r="C945" s="32" t="str">
        <f t="shared" si="3"/>
        <v>Week 17</v>
      </c>
      <c r="D945" s="32">
        <v>2023.0</v>
      </c>
      <c r="E945" t="str">
        <f t="shared" si="4"/>
        <v>17</v>
      </c>
      <c r="F945" t="str">
        <f t="shared" si="5"/>
        <v>Kyle Ewert, brad starck</v>
      </c>
      <c r="G945" s="40" t="str">
        <f>VLOOKUP(F945,'Manager Coding'!C:D,2,0)</f>
        <v>Ewert</v>
      </c>
      <c r="H945" s="41">
        <f t="shared" si="6"/>
        <v>52.5</v>
      </c>
      <c r="I945" t="str">
        <f t="shared" si="7"/>
        <v>Jordan Shepherd</v>
      </c>
      <c r="J945" t="str">
        <f>VLOOKUP(I945,'Manager Coding'!C:D,2,0)</f>
        <v>Shep</v>
      </c>
      <c r="K945" s="41">
        <f t="shared" si="8"/>
        <v>104.32</v>
      </c>
      <c r="L945">
        <f t="shared" si="9"/>
        <v>0</v>
      </c>
      <c r="M945">
        <f t="shared" si="10"/>
        <v>1</v>
      </c>
      <c r="N945" s="131" t="s">
        <v>2216</v>
      </c>
      <c r="O945" s="132" t="s">
        <v>105</v>
      </c>
      <c r="P945" s="120">
        <v>52.5</v>
      </c>
      <c r="Q945" s="127">
        <v>104.32</v>
      </c>
      <c r="R945" s="133" t="s">
        <v>91</v>
      </c>
      <c r="S945" s="131" t="s">
        <v>2207</v>
      </c>
      <c r="T945" t="str">
        <f t="shared" si="12"/>
        <v>Warm Caesars</v>
      </c>
      <c r="U945" t="str">
        <f t="shared" si="13"/>
        <v>Martha's Cream PIs</v>
      </c>
    </row>
    <row r="946" hidden="1">
      <c r="A946" s="32" t="str">
        <f t="shared" si="1"/>
        <v>2023Rooney/JacksonWeek 17</v>
      </c>
      <c r="B946" s="32" t="str">
        <f t="shared" si="2"/>
        <v>2023BuserWeek 17</v>
      </c>
      <c r="C946" s="32" t="str">
        <f t="shared" si="3"/>
        <v>Week 17</v>
      </c>
      <c r="D946" s="32">
        <v>2023.0</v>
      </c>
      <c r="E946" t="str">
        <f t="shared" si="4"/>
        <v>17</v>
      </c>
      <c r="F946" t="str">
        <f t="shared" si="5"/>
        <v>Stephen Rooney, Jackson Sattell</v>
      </c>
      <c r="G946" s="40" t="str">
        <f>VLOOKUP(F946,'Manager Coding'!C:D,2,0)</f>
        <v>Rooney/Jackson</v>
      </c>
      <c r="H946" s="41">
        <f t="shared" si="6"/>
        <v>116.74</v>
      </c>
      <c r="I946" t="str">
        <f t="shared" si="7"/>
        <v>Ed Buser</v>
      </c>
      <c r="J946" t="str">
        <f>VLOOKUP(I946,'Manager Coding'!C:D,2,0)</f>
        <v>Buser</v>
      </c>
      <c r="K946" s="41">
        <f t="shared" si="8"/>
        <v>132.84</v>
      </c>
      <c r="L946">
        <f t="shared" si="9"/>
        <v>0</v>
      </c>
      <c r="M946">
        <f t="shared" si="10"/>
        <v>1</v>
      </c>
      <c r="N946" s="128" t="s">
        <v>2197</v>
      </c>
      <c r="O946" s="129" t="s">
        <v>58</v>
      </c>
      <c r="P946" s="120">
        <v>116.74</v>
      </c>
      <c r="Q946" s="127">
        <v>132.84</v>
      </c>
      <c r="R946" s="130" t="s">
        <v>50</v>
      </c>
      <c r="S946" s="128" t="s">
        <v>2191</v>
      </c>
      <c r="T946" t="str">
        <f t="shared" si="12"/>
        <v>Wings and Three Rings</v>
      </c>
      <c r="U946" t="str">
        <f t="shared" si="13"/>
        <v>Pizzay Express</v>
      </c>
    </row>
    <row r="947" hidden="1">
      <c r="A947" s="32" t="str">
        <f t="shared" si="1"/>
        <v>2023CockWeek 17</v>
      </c>
      <c r="B947" s="32" t="str">
        <f t="shared" si="2"/>
        <v>2023KnardDawgWeek 17</v>
      </c>
      <c r="C947" s="32" t="str">
        <f t="shared" si="3"/>
        <v>Week 17</v>
      </c>
      <c r="D947" s="32">
        <v>2023.0</v>
      </c>
      <c r="E947" t="str">
        <f t="shared" si="4"/>
        <v>17</v>
      </c>
      <c r="F947" t="str">
        <f t="shared" si="5"/>
        <v>Chris Cochrane</v>
      </c>
      <c r="G947" s="40" t="str">
        <f>VLOOKUP(F947,'Manager Coding'!C:D,2,0)</f>
        <v>Cock</v>
      </c>
      <c r="H947" s="41">
        <f t="shared" si="6"/>
        <v>103.6</v>
      </c>
      <c r="I947" t="str">
        <f t="shared" si="7"/>
        <v>Alex Kinniard, Jack Reilly</v>
      </c>
      <c r="J947" t="str">
        <f>VLOOKUP(I947,'Manager Coding'!C:D,2,0)</f>
        <v>KnardDawg</v>
      </c>
      <c r="K947" s="41">
        <f t="shared" si="8"/>
        <v>92</v>
      </c>
      <c r="L947">
        <f t="shared" si="9"/>
        <v>1</v>
      </c>
      <c r="M947">
        <f t="shared" si="10"/>
        <v>0</v>
      </c>
      <c r="N947" s="131" t="s">
        <v>2204</v>
      </c>
      <c r="O947" s="132" t="s">
        <v>99</v>
      </c>
      <c r="P947" s="120">
        <v>103.6</v>
      </c>
      <c r="Q947" s="127">
        <v>92.0</v>
      </c>
      <c r="R947" s="133" t="s">
        <v>87</v>
      </c>
      <c r="S947" s="131" t="s">
        <v>2217</v>
      </c>
      <c r="T947" t="str">
        <f t="shared" si="12"/>
        <v>Darius Slay Jays</v>
      </c>
      <c r="U947" t="str">
        <f t="shared" si="13"/>
        <v>Brainard's Chubb</v>
      </c>
    </row>
    <row r="948" hidden="1">
      <c r="A948" s="32" t="str">
        <f t="shared" si="1"/>
        <v>#N/A</v>
      </c>
      <c r="B948" s="32" t="str">
        <f t="shared" si="2"/>
        <v>#N/A</v>
      </c>
      <c r="C948" s="32" t="str">
        <f t="shared" si="3"/>
        <v>Week 17</v>
      </c>
      <c r="D948" s="32">
        <v>2023.0</v>
      </c>
      <c r="E948" t="str">
        <f t="shared" ref="E948:E949" si="14">if(left(N946,4)="Play",substitute(right(N946,3),")",""), if(left(N946,3)="NFL",substitute(right(N946,2)," ",""),E946))</f>
        <v>17</v>
      </c>
      <c r="F948" t="str">
        <f t="shared" si="5"/>
        <v/>
      </c>
      <c r="G948" s="40" t="str">
        <f>VLOOKUP(F948,'Manager Coding'!C:D,2,0)</f>
        <v>#N/A</v>
      </c>
      <c r="H948" s="41" t="str">
        <f t="shared" si="6"/>
        <v/>
      </c>
      <c r="I948" t="str">
        <f t="shared" si="7"/>
        <v/>
      </c>
      <c r="J948" t="str">
        <f>VLOOKUP(I948,'Manager Coding'!C:D,2,0)</f>
        <v>#N/A</v>
      </c>
      <c r="K948" s="41" t="str">
        <f t="shared" si="8"/>
        <v/>
      </c>
      <c r="L948">
        <f t="shared" si="9"/>
        <v>0</v>
      </c>
      <c r="M948">
        <f t="shared" si="10"/>
        <v>0</v>
      </c>
      <c r="N948" s="187" t="s">
        <v>83</v>
      </c>
      <c r="O948" s="184"/>
      <c r="P948" s="185"/>
      <c r="Q948" s="184"/>
      <c r="R948" s="185"/>
      <c r="S948" s="185"/>
      <c r="T948" t="str">
        <f t="shared" si="12"/>
        <v>#VALUE!</v>
      </c>
      <c r="U948" t="str">
        <f t="shared" si="13"/>
        <v>#VALUE!</v>
      </c>
    </row>
    <row r="949" hidden="1">
      <c r="A949" s="32" t="str">
        <f t="shared" si="1"/>
        <v>#N/A</v>
      </c>
      <c r="B949" s="32" t="str">
        <f t="shared" si="2"/>
        <v>#N/A</v>
      </c>
      <c r="C949" s="32" t="str">
        <f t="shared" si="3"/>
        <v>Week 17</v>
      </c>
      <c r="D949" s="32">
        <v>2024.0</v>
      </c>
      <c r="E949" t="str">
        <f t="shared" si="14"/>
        <v>17</v>
      </c>
      <c r="F949" t="str">
        <f t="shared" si="5"/>
        <v>TEAM MANAGER(S)</v>
      </c>
      <c r="G949" s="40" t="str">
        <f>VLOOKUP(F949,'Manager Coding'!C:D,2,0)</f>
        <v>#N/A</v>
      </c>
      <c r="H949" s="41" t="str">
        <f t="shared" si="6"/>
        <v>Score</v>
      </c>
      <c r="I949" t="str">
        <f t="shared" si="7"/>
        <v>TEAM MANAGER(S)</v>
      </c>
      <c r="J949" t="str">
        <f>VLOOKUP(I949,'Manager Coding'!C:D,2,0)</f>
        <v>#N/A</v>
      </c>
      <c r="K949" s="41" t="str">
        <f t="shared" si="8"/>
        <v>Score</v>
      </c>
      <c r="L949">
        <f t="shared" si="9"/>
        <v>0</v>
      </c>
      <c r="M949">
        <f t="shared" si="10"/>
        <v>0</v>
      </c>
      <c r="N949" s="22" t="s">
        <v>83</v>
      </c>
      <c r="O949" s="78" t="s">
        <v>88</v>
      </c>
      <c r="P949" s="79" t="s">
        <v>59</v>
      </c>
      <c r="Q949" s="78" t="s">
        <v>59</v>
      </c>
      <c r="R949" s="79" t="s">
        <v>88</v>
      </c>
      <c r="S949" s="79" t="s">
        <v>101</v>
      </c>
      <c r="T949" t="str">
        <f t="shared" si="12"/>
        <v>#VALUE!</v>
      </c>
      <c r="U949" t="str">
        <f t="shared" si="13"/>
        <v>#VALUE!</v>
      </c>
    </row>
    <row r="950" hidden="1">
      <c r="A950" s="32" t="str">
        <f t="shared" si="1"/>
        <v>2024Rooney/JacksonWeek 1</v>
      </c>
      <c r="B950" s="32" t="str">
        <f t="shared" si="2"/>
        <v>2024HudspeathWeek 1</v>
      </c>
      <c r="C950" s="32" t="str">
        <f t="shared" si="3"/>
        <v>Week 1</v>
      </c>
      <c r="D950" s="32">
        <v>2024.0</v>
      </c>
      <c r="E950" t="str">
        <f t="shared" ref="E950:E1347" si="15">if(left(N949,4)="Play",substitute(right(N949,3),")",""), if(left(N949,3)="NFL",substitute(right(N949,2)," ",""),E949))</f>
        <v>1</v>
      </c>
      <c r="F950" t="str">
        <f t="shared" si="5"/>
        <v>Stephen Rooney, Jackson Sattell</v>
      </c>
      <c r="G950" s="40" t="str">
        <f>VLOOKUP(F950,'Manager Coding'!C:D,2,0)</f>
        <v>Rooney/Jackson</v>
      </c>
      <c r="H950" s="41">
        <f t="shared" si="6"/>
        <v>86.94</v>
      </c>
      <c r="I950" t="str">
        <f t="shared" si="7"/>
        <v>matt hudspeath</v>
      </c>
      <c r="J950" t="str">
        <f>VLOOKUP(I950,'Manager Coding'!C:D,2,0)</f>
        <v>Hudspeath</v>
      </c>
      <c r="K950" s="41">
        <f t="shared" si="8"/>
        <v>114.86</v>
      </c>
      <c r="L950">
        <f t="shared" si="9"/>
        <v>0</v>
      </c>
      <c r="M950">
        <f t="shared" si="10"/>
        <v>1</v>
      </c>
      <c r="N950" s="80" t="s">
        <v>2490</v>
      </c>
      <c r="O950" s="90" t="s">
        <v>58</v>
      </c>
      <c r="P950" s="188">
        <v>86.94</v>
      </c>
      <c r="Q950" s="189">
        <v>114.86</v>
      </c>
      <c r="R950" s="84" t="s">
        <v>64</v>
      </c>
      <c r="S950" s="80" t="s">
        <v>2492</v>
      </c>
      <c r="T950" t="str">
        <f t="shared" si="12"/>
        <v>Caleb's Year</v>
      </c>
      <c r="U950" t="str">
        <f t="shared" si="13"/>
        <v>Mahomes Flooded</v>
      </c>
    </row>
    <row r="951" hidden="1">
      <c r="A951" s="32" t="str">
        <f t="shared" si="1"/>
        <v>2024CockWeek 1</v>
      </c>
      <c r="B951" s="32" t="str">
        <f t="shared" si="2"/>
        <v>2024T-HowWeek 1</v>
      </c>
      <c r="C951" s="32" t="str">
        <f t="shared" si="3"/>
        <v>Week 1</v>
      </c>
      <c r="D951" s="32">
        <v>2024.0</v>
      </c>
      <c r="E951" t="str">
        <f t="shared" si="15"/>
        <v>1</v>
      </c>
      <c r="F951" t="str">
        <f t="shared" si="5"/>
        <v>Chris Cochrane</v>
      </c>
      <c r="G951" s="40" t="str">
        <f>VLOOKUP(F951,'Manager Coding'!C:D,2,0)</f>
        <v>Cock</v>
      </c>
      <c r="H951" s="41">
        <f t="shared" si="6"/>
        <v>70.84</v>
      </c>
      <c r="I951" t="str">
        <f t="shared" si="7"/>
        <v>Tyler Howard</v>
      </c>
      <c r="J951" t="str">
        <f>VLOOKUP(I951,'Manager Coding'!C:D,2,0)</f>
        <v>T-How</v>
      </c>
      <c r="K951" s="41">
        <f t="shared" si="8"/>
        <v>73.82</v>
      </c>
      <c r="L951">
        <f t="shared" si="9"/>
        <v>0</v>
      </c>
      <c r="M951">
        <f t="shared" si="10"/>
        <v>1</v>
      </c>
      <c r="N951" s="85" t="s">
        <v>2494</v>
      </c>
      <c r="O951" s="157" t="s">
        <v>99</v>
      </c>
      <c r="P951" s="190">
        <v>70.84</v>
      </c>
      <c r="Q951" s="191">
        <v>73.82</v>
      </c>
      <c r="R951" s="160" t="s">
        <v>85</v>
      </c>
      <c r="S951" s="161" t="s">
        <v>2496</v>
      </c>
      <c r="T951" t="str">
        <f t="shared" si="12"/>
        <v>Hurtswaves</v>
      </c>
      <c r="U951" t="str">
        <f t="shared" si="13"/>
        <v>Chase'n Purdy Big Twisters</v>
      </c>
    </row>
    <row r="952" hidden="1">
      <c r="A952" s="32" t="str">
        <f t="shared" si="1"/>
        <v>2024KnardDawgWeek 1</v>
      </c>
      <c r="B952" s="32" t="str">
        <f t="shared" si="2"/>
        <v>2024EwertWeek 1</v>
      </c>
      <c r="C952" s="32" t="str">
        <f t="shared" si="3"/>
        <v>Week 1</v>
      </c>
      <c r="D952" s="32">
        <v>2024.0</v>
      </c>
      <c r="E952" t="str">
        <f t="shared" si="15"/>
        <v>1</v>
      </c>
      <c r="F952" t="str">
        <f t="shared" si="5"/>
        <v>Alex Kinniard, Jack Reilly</v>
      </c>
      <c r="G952" s="40" t="str">
        <f>VLOOKUP(F952,'Manager Coding'!C:D,2,0)</f>
        <v>KnardDawg</v>
      </c>
      <c r="H952" s="41">
        <f t="shared" si="6"/>
        <v>84.32</v>
      </c>
      <c r="I952" t="str">
        <f t="shared" si="7"/>
        <v>Kyle Ewert, brad starck</v>
      </c>
      <c r="J952" t="str">
        <f>VLOOKUP(I952,'Manager Coding'!C:D,2,0)</f>
        <v>Ewert</v>
      </c>
      <c r="K952" s="41">
        <f t="shared" si="8"/>
        <v>81.08</v>
      </c>
      <c r="L952">
        <f t="shared" si="9"/>
        <v>1</v>
      </c>
      <c r="M952">
        <f t="shared" si="10"/>
        <v>0</v>
      </c>
      <c r="N952" s="118" t="s">
        <v>2498</v>
      </c>
      <c r="O952" s="119" t="s">
        <v>87</v>
      </c>
      <c r="P952" s="192">
        <v>84.32</v>
      </c>
      <c r="Q952" s="193">
        <v>81.08</v>
      </c>
      <c r="R952" s="122" t="s">
        <v>105</v>
      </c>
      <c r="S952" s="118" t="s">
        <v>2499</v>
      </c>
      <c r="T952" t="str">
        <f t="shared" si="12"/>
        <v>Whiteout</v>
      </c>
      <c r="U952" t="str">
        <f t="shared" si="13"/>
        <v>NoMoore 4KDrought</v>
      </c>
    </row>
    <row r="953" hidden="1">
      <c r="A953" s="32" t="str">
        <f t="shared" si="1"/>
        <v>2024PiersonWeek 1</v>
      </c>
      <c r="B953" s="32" t="str">
        <f t="shared" si="2"/>
        <v>2024BuserWeek 1</v>
      </c>
      <c r="C953" s="32" t="str">
        <f t="shared" si="3"/>
        <v>Week 1</v>
      </c>
      <c r="D953" s="32">
        <v>2024.0</v>
      </c>
      <c r="E953" t="str">
        <f t="shared" si="15"/>
        <v>1</v>
      </c>
      <c r="F953" t="str">
        <f t="shared" si="5"/>
        <v>Pierson Curtis</v>
      </c>
      <c r="G953" s="40" t="str">
        <f>VLOOKUP(F953,'Manager Coding'!C:D,2,0)</f>
        <v>Pierson</v>
      </c>
      <c r="H953" s="41">
        <f t="shared" si="6"/>
        <v>81.22</v>
      </c>
      <c r="I953" t="str">
        <f t="shared" si="7"/>
        <v>Ed Buser</v>
      </c>
      <c r="J953" t="str">
        <f>VLOOKUP(I953,'Manager Coding'!C:D,2,0)</f>
        <v>Buser</v>
      </c>
      <c r="K953" s="41">
        <f t="shared" si="8"/>
        <v>101.7</v>
      </c>
      <c r="L953">
        <f t="shared" si="9"/>
        <v>0</v>
      </c>
      <c r="M953">
        <f t="shared" si="10"/>
        <v>1</v>
      </c>
      <c r="N953" s="123" t="s">
        <v>2501</v>
      </c>
      <c r="O953" s="124" t="s">
        <v>93</v>
      </c>
      <c r="P953" s="194">
        <v>81.22</v>
      </c>
      <c r="Q953" s="195">
        <v>101.7</v>
      </c>
      <c r="R953" s="125" t="s">
        <v>50</v>
      </c>
      <c r="S953" s="123" t="s">
        <v>2502</v>
      </c>
      <c r="T953" t="str">
        <f t="shared" si="12"/>
        <v>Hurricane Andrews</v>
      </c>
      <c r="U953" t="str">
        <f t="shared" si="13"/>
        <v>Blizzard Boys</v>
      </c>
    </row>
    <row r="954" hidden="1">
      <c r="A954" s="32" t="str">
        <f t="shared" si="1"/>
        <v>2024SaltyWeek 1</v>
      </c>
      <c r="B954" s="32" t="str">
        <f t="shared" si="2"/>
        <v>2024TayskiWeek 1</v>
      </c>
      <c r="C954" s="32" t="str">
        <f t="shared" si="3"/>
        <v>Week 1</v>
      </c>
      <c r="D954" s="32">
        <v>2024.0</v>
      </c>
      <c r="E954" t="str">
        <f t="shared" si="15"/>
        <v>1</v>
      </c>
      <c r="F954" t="str">
        <f t="shared" si="5"/>
        <v>R Saltiel</v>
      </c>
      <c r="G954" s="40" t="str">
        <f>VLOOKUP(F954,'Manager Coding'!C:D,2,0)</f>
        <v>Salty</v>
      </c>
      <c r="H954" s="41">
        <f t="shared" si="6"/>
        <v>87.52</v>
      </c>
      <c r="I954" t="str">
        <f t="shared" si="7"/>
        <v>Taylor Weis</v>
      </c>
      <c r="J954" t="str">
        <f>VLOOKUP(I954,'Manager Coding'!C:D,2,0)</f>
        <v>Tayski</v>
      </c>
      <c r="K954" s="41">
        <f t="shared" si="8"/>
        <v>120.28</v>
      </c>
      <c r="L954">
        <f t="shared" si="9"/>
        <v>0</v>
      </c>
      <c r="M954">
        <f t="shared" si="10"/>
        <v>1</v>
      </c>
      <c r="N954" s="118" t="s">
        <v>2504</v>
      </c>
      <c r="O954" s="119" t="s">
        <v>77</v>
      </c>
      <c r="P954" s="194">
        <v>87.52</v>
      </c>
      <c r="Q954" s="195">
        <v>120.28</v>
      </c>
      <c r="R954" s="122" t="s">
        <v>54</v>
      </c>
      <c r="S954" s="118" t="s">
        <v>2505</v>
      </c>
      <c r="T954" t="str">
        <f t="shared" si="12"/>
        <v>WeisFire</v>
      </c>
      <c r="U954" t="str">
        <f t="shared" si="13"/>
        <v>Puka Quakes</v>
      </c>
    </row>
    <row r="955" hidden="1">
      <c r="A955" s="32" t="str">
        <f t="shared" si="1"/>
        <v>2024ShepWeek 1</v>
      </c>
      <c r="B955" s="32" t="str">
        <f t="shared" si="2"/>
        <v>2024RileyWeek 1</v>
      </c>
      <c r="C955" s="32" t="str">
        <f t="shared" si="3"/>
        <v>Week 1</v>
      </c>
      <c r="D955" s="32">
        <v>2024.0</v>
      </c>
      <c r="E955" t="str">
        <f t="shared" si="15"/>
        <v>1</v>
      </c>
      <c r="F955" t="str">
        <f t="shared" si="5"/>
        <v>Jordan Shepherd</v>
      </c>
      <c r="G955" s="40" t="str">
        <f>VLOOKUP(F955,'Manager Coding'!C:D,2,0)</f>
        <v>Shep</v>
      </c>
      <c r="H955" s="41">
        <f t="shared" si="6"/>
        <v>82.66</v>
      </c>
      <c r="I955" t="str">
        <f t="shared" si="7"/>
        <v>Riley McElwain</v>
      </c>
      <c r="J955" t="str">
        <f>VLOOKUP(I955,'Manager Coding'!C:D,2,0)</f>
        <v>Riley</v>
      </c>
      <c r="K955" s="41">
        <f t="shared" si="8"/>
        <v>87.08</v>
      </c>
      <c r="L955">
        <f t="shared" si="9"/>
        <v>0</v>
      </c>
      <c r="M955">
        <f t="shared" si="10"/>
        <v>1</v>
      </c>
      <c r="N955" s="123" t="s">
        <v>2507</v>
      </c>
      <c r="O955" s="124" t="s">
        <v>91</v>
      </c>
      <c r="P955" s="194">
        <v>82.66</v>
      </c>
      <c r="Q955" s="195">
        <v>87.08</v>
      </c>
      <c r="R955" s="125" t="s">
        <v>68</v>
      </c>
      <c r="S955" s="123" t="s">
        <v>2509</v>
      </c>
      <c r="T955" t="str">
        <f t="shared" si="12"/>
        <v>Moodslide</v>
      </c>
      <c r="U955" t="str">
        <f t="shared" si="13"/>
        <v>Bhola Breece's Storm Surge</v>
      </c>
    </row>
    <row r="956" hidden="1">
      <c r="A956" s="32" t="str">
        <f t="shared" si="1"/>
        <v>#N/A</v>
      </c>
      <c r="B956" s="32" t="str">
        <f t="shared" si="2"/>
        <v>#N/A</v>
      </c>
      <c r="C956" s="32" t="str">
        <f t="shared" si="3"/>
        <v>Week 1</v>
      </c>
      <c r="D956" s="32">
        <v>2024.0</v>
      </c>
      <c r="E956" t="str">
        <f t="shared" si="15"/>
        <v>1</v>
      </c>
      <c r="F956" t="str">
        <f t="shared" si="5"/>
        <v/>
      </c>
      <c r="G956" s="40" t="str">
        <f>VLOOKUP(F956,'Manager Coding'!C:D,2,0)</f>
        <v>#N/A</v>
      </c>
      <c r="H956" s="41" t="str">
        <f t="shared" si="6"/>
        <v/>
      </c>
      <c r="I956" t="str">
        <f t="shared" si="7"/>
        <v/>
      </c>
      <c r="J956" t="str">
        <f>VLOOKUP(I956,'Manager Coding'!C:D,2,0)</f>
        <v>#N/A</v>
      </c>
      <c r="K956" s="41" t="str">
        <f t="shared" si="8"/>
        <v/>
      </c>
      <c r="L956">
        <f t="shared" si="9"/>
        <v>0</v>
      </c>
      <c r="M956">
        <f t="shared" si="10"/>
        <v>0</v>
      </c>
      <c r="N956" s="196" t="s">
        <v>196</v>
      </c>
      <c r="O956" s="197"/>
      <c r="P956" s="198"/>
      <c r="Q956" s="198"/>
      <c r="R956" s="198"/>
      <c r="S956" s="198"/>
      <c r="T956" s="199" t="e">
        <v>#VALUE!</v>
      </c>
      <c r="U956" t="str">
        <f t="shared" si="13"/>
        <v>#VALUE!</v>
      </c>
    </row>
    <row r="957" hidden="1">
      <c r="A957" s="32" t="str">
        <f t="shared" si="1"/>
        <v>#N/A</v>
      </c>
      <c r="B957" s="32" t="str">
        <f t="shared" si="2"/>
        <v>#N/A</v>
      </c>
      <c r="C957" s="32" t="str">
        <f t="shared" si="3"/>
        <v>Week 2</v>
      </c>
      <c r="D957" s="32">
        <v>2024.0</v>
      </c>
      <c r="E957" t="str">
        <f t="shared" si="15"/>
        <v>2</v>
      </c>
      <c r="F957" t="str">
        <f t="shared" si="5"/>
        <v>TEAM MANAGER(S)</v>
      </c>
      <c r="G957" s="40" t="str">
        <f>VLOOKUP(F957,'Manager Coding'!C:D,2,0)</f>
        <v>#N/A</v>
      </c>
      <c r="H957" s="41" t="str">
        <f t="shared" si="6"/>
        <v>Score</v>
      </c>
      <c r="I957" t="str">
        <f t="shared" si="7"/>
        <v>TEAM MANAGER(S)</v>
      </c>
      <c r="J957" t="str">
        <f>VLOOKUP(I957,'Manager Coding'!C:D,2,0)</f>
        <v>#N/A</v>
      </c>
      <c r="K957" s="41" t="str">
        <f t="shared" si="8"/>
        <v>Score</v>
      </c>
      <c r="L957">
        <f t="shared" si="9"/>
        <v>0</v>
      </c>
      <c r="M957">
        <f t="shared" si="10"/>
        <v>0</v>
      </c>
      <c r="N957" s="78" t="s">
        <v>197</v>
      </c>
      <c r="O957" s="78" t="s">
        <v>88</v>
      </c>
      <c r="P957" s="79" t="s">
        <v>59</v>
      </c>
      <c r="Q957" s="78" t="s">
        <v>59</v>
      </c>
      <c r="R957" s="79" t="s">
        <v>88</v>
      </c>
      <c r="S957" s="79" t="s">
        <v>101</v>
      </c>
      <c r="T957" s="199" t="e">
        <v>#VALUE!</v>
      </c>
      <c r="U957" t="str">
        <f t="shared" si="13"/>
        <v>#VALUE!</v>
      </c>
    </row>
    <row r="958" hidden="1">
      <c r="A958" s="32" t="str">
        <f t="shared" si="1"/>
        <v>2024CockWeek 2</v>
      </c>
      <c r="B958" s="32" t="str">
        <f t="shared" si="2"/>
        <v>2024Rooney/JacksonWeek 2</v>
      </c>
      <c r="C958" s="32" t="str">
        <f t="shared" si="3"/>
        <v>Week 2</v>
      </c>
      <c r="D958" s="32">
        <v>2024.0</v>
      </c>
      <c r="E958" t="str">
        <f t="shared" si="15"/>
        <v>2</v>
      </c>
      <c r="F958" t="str">
        <f t="shared" si="5"/>
        <v>Chris Cochrane</v>
      </c>
      <c r="G958" s="40" t="str">
        <f>VLOOKUP(F958,'Manager Coding'!C:D,2,0)</f>
        <v>Cock</v>
      </c>
      <c r="H958" s="41">
        <f t="shared" si="6"/>
        <v>88.96</v>
      </c>
      <c r="I958" t="str">
        <f t="shared" si="7"/>
        <v>Stephen Rooney, Jackson Sattell</v>
      </c>
      <c r="J958" t="str">
        <f>VLOOKUP(I958,'Manager Coding'!C:D,2,0)</f>
        <v>Rooney/Jackson</v>
      </c>
      <c r="K958" s="41">
        <f t="shared" si="8"/>
        <v>81.94</v>
      </c>
      <c r="L958">
        <f t="shared" si="9"/>
        <v>1</v>
      </c>
      <c r="M958">
        <f t="shared" si="10"/>
        <v>0</v>
      </c>
      <c r="N958" s="80" t="s">
        <v>2513</v>
      </c>
      <c r="O958" s="90" t="s">
        <v>99</v>
      </c>
      <c r="P958" s="200">
        <v>88.96</v>
      </c>
      <c r="Q958" s="201">
        <v>81.94</v>
      </c>
      <c r="R958" s="84" t="s">
        <v>58</v>
      </c>
      <c r="S958" s="80" t="s">
        <v>2514</v>
      </c>
      <c r="T958" s="202" t="s">
        <v>1353</v>
      </c>
      <c r="U958" t="str">
        <f t="shared" si="13"/>
        <v>Chase'n Purdy Big Twisters</v>
      </c>
    </row>
    <row r="959" hidden="1">
      <c r="A959" s="32" t="str">
        <f t="shared" si="1"/>
        <v>2024HudspeathWeek 2</v>
      </c>
      <c r="B959" s="32" t="str">
        <f t="shared" si="2"/>
        <v>2024KnardDawgWeek 2</v>
      </c>
      <c r="C959" s="32" t="str">
        <f t="shared" si="3"/>
        <v>Week 2</v>
      </c>
      <c r="D959" s="32">
        <v>2024.0</v>
      </c>
      <c r="E959" t="str">
        <f t="shared" si="15"/>
        <v>2</v>
      </c>
      <c r="F959" t="str">
        <f t="shared" si="5"/>
        <v>matt hudspeath</v>
      </c>
      <c r="G959" s="40" t="str">
        <f>VLOOKUP(F959,'Manager Coding'!C:D,2,0)</f>
        <v>Hudspeath</v>
      </c>
      <c r="H959" s="41">
        <f t="shared" si="6"/>
        <v>58.58</v>
      </c>
      <c r="I959" t="str">
        <f t="shared" si="7"/>
        <v>Alex Kinniard, Jack Reilly</v>
      </c>
      <c r="J959" t="str">
        <f>VLOOKUP(I959,'Manager Coding'!C:D,2,0)</f>
        <v>KnardDawg</v>
      </c>
      <c r="K959" s="41">
        <f t="shared" si="8"/>
        <v>102.38</v>
      </c>
      <c r="L959">
        <f t="shared" si="9"/>
        <v>0</v>
      </c>
      <c r="M959">
        <f t="shared" si="10"/>
        <v>1</v>
      </c>
      <c r="N959" s="161" t="s">
        <v>2516</v>
      </c>
      <c r="O959" s="157" t="s">
        <v>64</v>
      </c>
      <c r="P959" s="190">
        <v>58.58</v>
      </c>
      <c r="Q959" s="191">
        <v>102.38</v>
      </c>
      <c r="R959" s="160" t="s">
        <v>87</v>
      </c>
      <c r="S959" s="161" t="s">
        <v>2518</v>
      </c>
      <c r="T959" s="202" t="s">
        <v>1384</v>
      </c>
      <c r="U959" t="str">
        <f t="shared" si="13"/>
        <v>Caleb's Year</v>
      </c>
    </row>
    <row r="960" hidden="1">
      <c r="A960" s="32" t="str">
        <f t="shared" si="1"/>
        <v>2024T-HowWeek 2</v>
      </c>
      <c r="B960" s="32" t="str">
        <f t="shared" si="2"/>
        <v>2024PiersonWeek 2</v>
      </c>
      <c r="C960" s="32" t="str">
        <f t="shared" si="3"/>
        <v>Week 2</v>
      </c>
      <c r="D960" s="32">
        <v>2024.0</v>
      </c>
      <c r="E960" t="str">
        <f t="shared" si="15"/>
        <v>2</v>
      </c>
      <c r="F960" t="str">
        <f t="shared" si="5"/>
        <v>Tyler Howard</v>
      </c>
      <c r="G960" s="40" t="str">
        <f>VLOOKUP(F960,'Manager Coding'!C:D,2,0)</f>
        <v>T-How</v>
      </c>
      <c r="H960" s="41">
        <f t="shared" si="6"/>
        <v>100.52</v>
      </c>
      <c r="I960" t="str">
        <f t="shared" si="7"/>
        <v>Pierson Curtis</v>
      </c>
      <c r="J960" t="str">
        <f>VLOOKUP(I960,'Manager Coding'!C:D,2,0)</f>
        <v>Pierson</v>
      </c>
      <c r="K960" s="41">
        <f t="shared" si="8"/>
        <v>85.1</v>
      </c>
      <c r="L960">
        <f t="shared" si="9"/>
        <v>1</v>
      </c>
      <c r="M960">
        <f t="shared" si="10"/>
        <v>0</v>
      </c>
      <c r="N960" s="118" t="s">
        <v>2520</v>
      </c>
      <c r="O960" s="119" t="s">
        <v>85</v>
      </c>
      <c r="P960" s="192">
        <v>100.52</v>
      </c>
      <c r="Q960" s="193">
        <v>85.1</v>
      </c>
      <c r="R960" s="122" t="s">
        <v>93</v>
      </c>
      <c r="S960" s="118" t="s">
        <v>2521</v>
      </c>
      <c r="T960" s="202" t="s">
        <v>1398</v>
      </c>
      <c r="U960" t="str">
        <f t="shared" si="13"/>
        <v>Hurtswaves</v>
      </c>
    </row>
    <row r="961" hidden="1">
      <c r="A961" s="32" t="str">
        <f t="shared" si="1"/>
        <v>2024EwertWeek 2</v>
      </c>
      <c r="B961" s="32" t="str">
        <f t="shared" si="2"/>
        <v>2024SaltyWeek 2</v>
      </c>
      <c r="C961" s="32" t="str">
        <f t="shared" si="3"/>
        <v>Week 2</v>
      </c>
      <c r="D961" s="32">
        <v>2024.0</v>
      </c>
      <c r="E961" t="str">
        <f t="shared" si="15"/>
        <v>2</v>
      </c>
      <c r="F961" t="str">
        <f t="shared" si="5"/>
        <v>Kyle Ewert, brad starck</v>
      </c>
      <c r="G961" s="40" t="str">
        <f>VLOOKUP(F961,'Manager Coding'!C:D,2,0)</f>
        <v>Ewert</v>
      </c>
      <c r="H961" s="41">
        <f t="shared" si="6"/>
        <v>103.36</v>
      </c>
      <c r="I961" t="str">
        <f t="shared" si="7"/>
        <v>R Saltiel</v>
      </c>
      <c r="J961" t="str">
        <f>VLOOKUP(I961,'Manager Coding'!C:D,2,0)</f>
        <v>Salty</v>
      </c>
      <c r="K961" s="41">
        <f t="shared" si="8"/>
        <v>133.68</v>
      </c>
      <c r="L961">
        <f t="shared" si="9"/>
        <v>0</v>
      </c>
      <c r="M961">
        <f t="shared" si="10"/>
        <v>1</v>
      </c>
      <c r="N961" s="123" t="s">
        <v>2523</v>
      </c>
      <c r="O961" s="124" t="s">
        <v>105</v>
      </c>
      <c r="P961" s="194">
        <v>103.36</v>
      </c>
      <c r="Q961" s="195">
        <v>133.68</v>
      </c>
      <c r="R961" s="125" t="s">
        <v>77</v>
      </c>
      <c r="S961" s="123" t="s">
        <v>2525</v>
      </c>
      <c r="T961" s="202" t="s">
        <v>1368</v>
      </c>
      <c r="U961" t="str">
        <f t="shared" si="13"/>
        <v>Whiteout</v>
      </c>
    </row>
    <row r="962" hidden="1">
      <c r="A962" s="32" t="str">
        <f t="shared" si="1"/>
        <v>2024BuserWeek 2</v>
      </c>
      <c r="B962" s="32" t="str">
        <f t="shared" si="2"/>
        <v>2024ShepWeek 2</v>
      </c>
      <c r="C962" s="32" t="str">
        <f t="shared" si="3"/>
        <v>Week 2</v>
      </c>
      <c r="D962" s="32">
        <v>2024.0</v>
      </c>
      <c r="E962" t="str">
        <f t="shared" si="15"/>
        <v>2</v>
      </c>
      <c r="F962" t="str">
        <f t="shared" si="5"/>
        <v>Ed Buser</v>
      </c>
      <c r="G962" s="40" t="str">
        <f>VLOOKUP(F962,'Manager Coding'!C:D,2,0)</f>
        <v>Buser</v>
      </c>
      <c r="H962" s="41">
        <f t="shared" si="6"/>
        <v>101.72</v>
      </c>
      <c r="I962" t="str">
        <f t="shared" si="7"/>
        <v>Jordan Shepherd</v>
      </c>
      <c r="J962" t="str">
        <f>VLOOKUP(I962,'Manager Coding'!C:D,2,0)</f>
        <v>Shep</v>
      </c>
      <c r="K962" s="41">
        <f t="shared" si="8"/>
        <v>75.2</v>
      </c>
      <c r="L962">
        <f t="shared" si="9"/>
        <v>1</v>
      </c>
      <c r="M962">
        <f t="shared" si="10"/>
        <v>0</v>
      </c>
      <c r="N962" s="118" t="s">
        <v>2526</v>
      </c>
      <c r="O962" s="119" t="s">
        <v>50</v>
      </c>
      <c r="P962" s="192">
        <v>101.72</v>
      </c>
      <c r="Q962" s="193">
        <v>75.2</v>
      </c>
      <c r="R962" s="122" t="s">
        <v>91</v>
      </c>
      <c r="S962" s="118" t="s">
        <v>2528</v>
      </c>
      <c r="T962" s="202" t="s">
        <v>1392</v>
      </c>
      <c r="U962" t="str">
        <f t="shared" si="13"/>
        <v>Hurricane Andrews</v>
      </c>
    </row>
    <row r="963" hidden="1">
      <c r="A963" s="32" t="str">
        <f t="shared" si="1"/>
        <v>2024TayskiWeek 2</v>
      </c>
      <c r="B963" s="32" t="str">
        <f t="shared" si="2"/>
        <v>2024RileyWeek 2</v>
      </c>
      <c r="C963" s="32" t="str">
        <f t="shared" si="3"/>
        <v>Week 2</v>
      </c>
      <c r="D963" s="32">
        <v>2024.0</v>
      </c>
      <c r="E963" t="str">
        <f t="shared" si="15"/>
        <v>2</v>
      </c>
      <c r="F963" t="str">
        <f t="shared" si="5"/>
        <v>Taylor Weis</v>
      </c>
      <c r="G963" s="40" t="str">
        <f>VLOOKUP(F963,'Manager Coding'!C:D,2,0)</f>
        <v>Tayski</v>
      </c>
      <c r="H963" s="41">
        <f t="shared" si="6"/>
        <v>62.46</v>
      </c>
      <c r="I963" t="str">
        <f t="shared" si="7"/>
        <v>Riley McElwain</v>
      </c>
      <c r="J963" t="str">
        <f>VLOOKUP(I963,'Manager Coding'!C:D,2,0)</f>
        <v>Riley</v>
      </c>
      <c r="K963" s="41">
        <f t="shared" si="8"/>
        <v>125.24</v>
      </c>
      <c r="L963">
        <f t="shared" si="9"/>
        <v>0</v>
      </c>
      <c r="M963">
        <f t="shared" si="10"/>
        <v>1</v>
      </c>
      <c r="N963" s="123" t="s">
        <v>2530</v>
      </c>
      <c r="O963" s="124" t="s">
        <v>54</v>
      </c>
      <c r="P963" s="194">
        <v>62.46</v>
      </c>
      <c r="Q963" s="195">
        <v>125.24</v>
      </c>
      <c r="R963" s="125" t="s">
        <v>68</v>
      </c>
      <c r="S963" s="123" t="s">
        <v>2531</v>
      </c>
      <c r="T963" s="202" t="s">
        <v>1363</v>
      </c>
      <c r="U963" t="str">
        <f t="shared" si="13"/>
        <v>WeisFire</v>
      </c>
    </row>
    <row r="964" hidden="1">
      <c r="A964" s="32" t="str">
        <f t="shared" si="1"/>
        <v>#N/A</v>
      </c>
      <c r="B964" s="32" t="str">
        <f t="shared" si="2"/>
        <v>#N/A</v>
      </c>
      <c r="C964" s="32" t="str">
        <f t="shared" si="3"/>
        <v>Week 2</v>
      </c>
      <c r="D964" s="32">
        <v>2024.0</v>
      </c>
      <c r="E964" t="str">
        <f t="shared" si="15"/>
        <v>2</v>
      </c>
      <c r="F964" t="str">
        <f t="shared" si="5"/>
        <v/>
      </c>
      <c r="G964" s="40" t="str">
        <f>VLOOKUP(F964,'Manager Coding'!C:D,2,0)</f>
        <v>#N/A</v>
      </c>
      <c r="H964" s="41" t="str">
        <f t="shared" si="6"/>
        <v/>
      </c>
      <c r="I964" t="str">
        <f t="shared" si="7"/>
        <v/>
      </c>
      <c r="J964" t="str">
        <f>VLOOKUP(I964,'Manager Coding'!C:D,2,0)</f>
        <v>#N/A</v>
      </c>
      <c r="K964" s="41" t="str">
        <f t="shared" si="8"/>
        <v/>
      </c>
      <c r="L964">
        <f t="shared" si="9"/>
        <v>0</v>
      </c>
      <c r="M964">
        <f t="shared" si="10"/>
        <v>0</v>
      </c>
      <c r="N964" s="162" t="s">
        <v>234</v>
      </c>
      <c r="O964" s="197"/>
      <c r="P964" s="198"/>
      <c r="Q964" s="198"/>
      <c r="R964" s="198"/>
      <c r="S964" s="198"/>
      <c r="T964" s="199" t="e">
        <v>#VALUE!</v>
      </c>
      <c r="U964" t="str">
        <f t="shared" si="13"/>
        <v>#VALUE!</v>
      </c>
    </row>
    <row r="965" hidden="1">
      <c r="A965" s="32" t="str">
        <f t="shared" si="1"/>
        <v>#N/A</v>
      </c>
      <c r="B965" s="32" t="str">
        <f t="shared" si="2"/>
        <v>#N/A</v>
      </c>
      <c r="C965" s="32" t="str">
        <f t="shared" si="3"/>
        <v>Week 3</v>
      </c>
      <c r="D965" s="32">
        <v>2024.0</v>
      </c>
      <c r="E965" t="str">
        <f t="shared" si="15"/>
        <v>3</v>
      </c>
      <c r="F965" t="str">
        <f t="shared" si="5"/>
        <v>TEAM MANAGER(S)</v>
      </c>
      <c r="G965" s="40" t="str">
        <f>VLOOKUP(F965,'Manager Coding'!C:D,2,0)</f>
        <v>#N/A</v>
      </c>
      <c r="H965" s="41" t="str">
        <f t="shared" si="6"/>
        <v>Score</v>
      </c>
      <c r="I965" t="str">
        <f t="shared" si="7"/>
        <v>TEAM MANAGER(S)</v>
      </c>
      <c r="J965" t="str">
        <f>VLOOKUP(I965,'Manager Coding'!C:D,2,0)</f>
        <v>#N/A</v>
      </c>
      <c r="K965" s="41" t="str">
        <f t="shared" si="8"/>
        <v>Score</v>
      </c>
      <c r="L965">
        <f t="shared" si="9"/>
        <v>0</v>
      </c>
      <c r="M965">
        <f t="shared" si="10"/>
        <v>0</v>
      </c>
      <c r="N965" s="78" t="s">
        <v>197</v>
      </c>
      <c r="O965" s="78" t="s">
        <v>88</v>
      </c>
      <c r="P965" s="79" t="s">
        <v>59</v>
      </c>
      <c r="Q965" s="78" t="s">
        <v>59</v>
      </c>
      <c r="R965" s="79" t="s">
        <v>88</v>
      </c>
      <c r="S965" s="79" t="s">
        <v>101</v>
      </c>
      <c r="T965" s="199" t="e">
        <v>#VALUE!</v>
      </c>
      <c r="U965" t="str">
        <f t="shared" si="13"/>
        <v>#VALUE!</v>
      </c>
    </row>
    <row r="966" hidden="1">
      <c r="A966" s="32" t="str">
        <f t="shared" si="1"/>
        <v>2024Rooney/JacksonWeek 3</v>
      </c>
      <c r="B966" s="32" t="str">
        <f t="shared" si="2"/>
        <v>2024KnardDawgWeek 3</v>
      </c>
      <c r="C966" s="32" t="str">
        <f t="shared" si="3"/>
        <v>Week 3</v>
      </c>
      <c r="D966" s="32">
        <v>2024.0</v>
      </c>
      <c r="E966" t="str">
        <f t="shared" si="15"/>
        <v>3</v>
      </c>
      <c r="F966" t="str">
        <f t="shared" si="5"/>
        <v>Stephen Rooney, Jackson Sattell</v>
      </c>
      <c r="G966" s="40" t="str">
        <f>VLOOKUP(F966,'Manager Coding'!C:D,2,0)</f>
        <v>Rooney/Jackson</v>
      </c>
      <c r="H966" s="41">
        <f t="shared" si="6"/>
        <v>93.78</v>
      </c>
      <c r="I966" t="str">
        <f t="shared" si="7"/>
        <v>Alex Kinniard, Jack Reilly</v>
      </c>
      <c r="J966" t="str">
        <f>VLOOKUP(I966,'Manager Coding'!C:D,2,0)</f>
        <v>KnardDawg</v>
      </c>
      <c r="K966" s="41">
        <f t="shared" si="8"/>
        <v>84.86</v>
      </c>
      <c r="L966">
        <f t="shared" si="9"/>
        <v>1</v>
      </c>
      <c r="M966">
        <f t="shared" si="10"/>
        <v>0</v>
      </c>
      <c r="N966" s="80" t="s">
        <v>2514</v>
      </c>
      <c r="O966" s="90" t="s">
        <v>58</v>
      </c>
      <c r="P966" s="200">
        <v>93.78</v>
      </c>
      <c r="Q966" s="201">
        <v>84.86</v>
      </c>
      <c r="R966" s="84" t="s">
        <v>87</v>
      </c>
      <c r="S966" s="80" t="s">
        <v>2518</v>
      </c>
      <c r="T966" s="202" t="s">
        <v>1384</v>
      </c>
      <c r="U966" t="str">
        <f t="shared" si="13"/>
        <v>Mahomes Flooded</v>
      </c>
    </row>
    <row r="967" hidden="1">
      <c r="A967" s="32" t="str">
        <f t="shared" si="1"/>
        <v>2024PiersonWeek 3</v>
      </c>
      <c r="B967" s="32" t="str">
        <f t="shared" si="2"/>
        <v>2024CockWeek 3</v>
      </c>
      <c r="C967" s="32" t="str">
        <f t="shared" si="3"/>
        <v>Week 3</v>
      </c>
      <c r="D967" s="32">
        <v>2024.0</v>
      </c>
      <c r="E967" t="str">
        <f t="shared" si="15"/>
        <v>3</v>
      </c>
      <c r="F967" t="str">
        <f t="shared" si="5"/>
        <v>Pierson Curtis</v>
      </c>
      <c r="G967" s="40" t="str">
        <f>VLOOKUP(F967,'Manager Coding'!C:D,2,0)</f>
        <v>Pierson</v>
      </c>
      <c r="H967" s="41">
        <f t="shared" si="6"/>
        <v>110.56</v>
      </c>
      <c r="I967" t="str">
        <f t="shared" si="7"/>
        <v>Chris Cochrane</v>
      </c>
      <c r="J967" t="str">
        <f>VLOOKUP(I967,'Manager Coding'!C:D,2,0)</f>
        <v>Cock</v>
      </c>
      <c r="K967" s="41">
        <f t="shared" si="8"/>
        <v>107.18</v>
      </c>
      <c r="L967">
        <f t="shared" si="9"/>
        <v>1</v>
      </c>
      <c r="M967">
        <f t="shared" si="10"/>
        <v>0</v>
      </c>
      <c r="N967" s="161" t="s">
        <v>2521</v>
      </c>
      <c r="O967" s="157" t="s">
        <v>93</v>
      </c>
      <c r="P967" s="203">
        <v>110.56</v>
      </c>
      <c r="Q967" s="204">
        <v>107.18</v>
      </c>
      <c r="R967" s="160" t="s">
        <v>99</v>
      </c>
      <c r="S967" s="161" t="s">
        <v>2513</v>
      </c>
      <c r="T967" s="202" t="s">
        <v>1366</v>
      </c>
      <c r="U967" t="str">
        <f t="shared" si="13"/>
        <v>Blizzard Boys</v>
      </c>
    </row>
    <row r="968" hidden="1">
      <c r="A968" s="32" t="str">
        <f t="shared" si="1"/>
        <v>2024SaltyWeek 3</v>
      </c>
      <c r="B968" s="32" t="str">
        <f t="shared" si="2"/>
        <v>2024HudspeathWeek 3</v>
      </c>
      <c r="C968" s="32" t="str">
        <f t="shared" si="3"/>
        <v>Week 3</v>
      </c>
      <c r="D968" s="32">
        <v>2024.0</v>
      </c>
      <c r="E968" t="str">
        <f t="shared" si="15"/>
        <v>3</v>
      </c>
      <c r="F968" t="str">
        <f t="shared" si="5"/>
        <v>R Saltiel</v>
      </c>
      <c r="G968" s="40" t="str">
        <f>VLOOKUP(F968,'Manager Coding'!C:D,2,0)</f>
        <v>Salty</v>
      </c>
      <c r="H968" s="41">
        <f t="shared" si="6"/>
        <v>111.38</v>
      </c>
      <c r="I968" t="str">
        <f t="shared" si="7"/>
        <v>matt hudspeath</v>
      </c>
      <c r="J968" t="str">
        <f>VLOOKUP(I968,'Manager Coding'!C:D,2,0)</f>
        <v>Hudspeath</v>
      </c>
      <c r="K968" s="41">
        <f t="shared" si="8"/>
        <v>57.14</v>
      </c>
      <c r="L968">
        <f t="shared" si="9"/>
        <v>1</v>
      </c>
      <c r="M968">
        <f t="shared" si="10"/>
        <v>0</v>
      </c>
      <c r="N968" s="118" t="s">
        <v>2525</v>
      </c>
      <c r="O968" s="119" t="s">
        <v>77</v>
      </c>
      <c r="P968" s="192">
        <v>111.38</v>
      </c>
      <c r="Q968" s="193">
        <v>57.14</v>
      </c>
      <c r="R968" s="122" t="s">
        <v>64</v>
      </c>
      <c r="S968" s="118" t="s">
        <v>2516</v>
      </c>
      <c r="T968" s="202" t="s">
        <v>1357</v>
      </c>
      <c r="U968" t="str">
        <f t="shared" si="13"/>
        <v>Puka Quakes</v>
      </c>
    </row>
    <row r="969" hidden="1">
      <c r="A969" s="32" t="str">
        <f t="shared" si="1"/>
        <v>2024ShepWeek 3</v>
      </c>
      <c r="B969" s="32" t="str">
        <f t="shared" si="2"/>
        <v>2024T-HowWeek 3</v>
      </c>
      <c r="C969" s="32" t="str">
        <f t="shared" si="3"/>
        <v>Week 3</v>
      </c>
      <c r="D969" s="32">
        <v>2024.0</v>
      </c>
      <c r="E969" t="str">
        <f t="shared" si="15"/>
        <v>3</v>
      </c>
      <c r="F969" t="str">
        <f t="shared" si="5"/>
        <v>Jordan Shepherd</v>
      </c>
      <c r="G969" s="40" t="str">
        <f>VLOOKUP(F969,'Manager Coding'!C:D,2,0)</f>
        <v>Shep</v>
      </c>
      <c r="H969" s="41">
        <f t="shared" si="6"/>
        <v>77</v>
      </c>
      <c r="I969" t="str">
        <f t="shared" si="7"/>
        <v>Tyler Howard</v>
      </c>
      <c r="J969" t="str">
        <f>VLOOKUP(I969,'Manager Coding'!C:D,2,0)</f>
        <v>T-How</v>
      </c>
      <c r="K969" s="41">
        <f t="shared" si="8"/>
        <v>88.74</v>
      </c>
      <c r="L969">
        <f t="shared" si="9"/>
        <v>0</v>
      </c>
      <c r="M969">
        <f t="shared" si="10"/>
        <v>1</v>
      </c>
      <c r="N969" s="123" t="s">
        <v>2528</v>
      </c>
      <c r="O969" s="124" t="s">
        <v>91</v>
      </c>
      <c r="P969" s="194">
        <v>77.0</v>
      </c>
      <c r="Q969" s="195">
        <v>88.74</v>
      </c>
      <c r="R969" s="125" t="s">
        <v>85</v>
      </c>
      <c r="S969" s="123" t="s">
        <v>2520</v>
      </c>
      <c r="T969" s="202" t="s">
        <v>1378</v>
      </c>
      <c r="U969" t="str">
        <f t="shared" si="13"/>
        <v>Bhola Breece's Storm Surge</v>
      </c>
    </row>
    <row r="970" hidden="1">
      <c r="A970" s="32" t="str">
        <f t="shared" si="1"/>
        <v>2024RileyWeek 3</v>
      </c>
      <c r="B970" s="32" t="str">
        <f t="shared" si="2"/>
        <v>2024EwertWeek 3</v>
      </c>
      <c r="C970" s="32" t="str">
        <f t="shared" si="3"/>
        <v>Week 3</v>
      </c>
      <c r="D970" s="32">
        <v>2024.0</v>
      </c>
      <c r="E970" t="str">
        <f t="shared" si="15"/>
        <v>3</v>
      </c>
      <c r="F970" t="str">
        <f t="shared" si="5"/>
        <v>Riley McElwain</v>
      </c>
      <c r="G970" s="40" t="str">
        <f>VLOOKUP(F970,'Manager Coding'!C:D,2,0)</f>
        <v>Riley</v>
      </c>
      <c r="H970" s="41">
        <f t="shared" si="6"/>
        <v>67.48</v>
      </c>
      <c r="I970" t="str">
        <f t="shared" si="7"/>
        <v>Kyle Ewert, brad starck</v>
      </c>
      <c r="J970" t="str">
        <f>VLOOKUP(I970,'Manager Coding'!C:D,2,0)</f>
        <v>Ewert</v>
      </c>
      <c r="K970" s="41">
        <f t="shared" si="8"/>
        <v>92.48</v>
      </c>
      <c r="L970">
        <f t="shared" si="9"/>
        <v>0</v>
      </c>
      <c r="M970">
        <f t="shared" si="10"/>
        <v>1</v>
      </c>
      <c r="N970" s="118" t="s">
        <v>2531</v>
      </c>
      <c r="O970" s="119" t="s">
        <v>68</v>
      </c>
      <c r="P970" s="194">
        <v>67.48</v>
      </c>
      <c r="Q970" s="195">
        <v>92.48</v>
      </c>
      <c r="R970" s="122" t="s">
        <v>105</v>
      </c>
      <c r="S970" s="118" t="s">
        <v>2523</v>
      </c>
      <c r="T970" s="202" t="s">
        <v>1372</v>
      </c>
      <c r="U970" t="str">
        <f t="shared" si="13"/>
        <v>Moodslide</v>
      </c>
    </row>
    <row r="971" hidden="1">
      <c r="A971" s="32" t="str">
        <f t="shared" si="1"/>
        <v>2024TayskiWeek 3</v>
      </c>
      <c r="B971" s="32" t="str">
        <f t="shared" si="2"/>
        <v>2024BuserWeek 3</v>
      </c>
      <c r="C971" s="32" t="str">
        <f t="shared" si="3"/>
        <v>Week 3</v>
      </c>
      <c r="D971" s="32">
        <v>2024.0</v>
      </c>
      <c r="E971" t="str">
        <f t="shared" si="15"/>
        <v>3</v>
      </c>
      <c r="F971" t="str">
        <f t="shared" si="5"/>
        <v>Taylor Weis</v>
      </c>
      <c r="G971" s="40" t="str">
        <f>VLOOKUP(F971,'Manager Coding'!C:D,2,0)</f>
        <v>Tayski</v>
      </c>
      <c r="H971" s="41">
        <f t="shared" si="6"/>
        <v>94.32</v>
      </c>
      <c r="I971" t="str">
        <f t="shared" si="7"/>
        <v>Ed Buser</v>
      </c>
      <c r="J971" t="str">
        <f>VLOOKUP(I971,'Manager Coding'!C:D,2,0)</f>
        <v>Buser</v>
      </c>
      <c r="K971" s="41">
        <f t="shared" si="8"/>
        <v>84.36</v>
      </c>
      <c r="L971">
        <f t="shared" si="9"/>
        <v>1</v>
      </c>
      <c r="M971">
        <f t="shared" si="10"/>
        <v>0</v>
      </c>
      <c r="N971" s="123" t="s">
        <v>2530</v>
      </c>
      <c r="O971" s="124" t="s">
        <v>54</v>
      </c>
      <c r="P971" s="192">
        <v>94.32</v>
      </c>
      <c r="Q971" s="193">
        <v>84.36</v>
      </c>
      <c r="R971" s="125" t="s">
        <v>50</v>
      </c>
      <c r="S971" s="123" t="s">
        <v>2526</v>
      </c>
      <c r="T971" s="202" t="s">
        <v>1341</v>
      </c>
      <c r="U971" t="str">
        <f t="shared" si="13"/>
        <v>WeisFire</v>
      </c>
    </row>
    <row r="972" hidden="1">
      <c r="A972" s="32" t="str">
        <f t="shared" si="1"/>
        <v>#N/A</v>
      </c>
      <c r="B972" s="32" t="str">
        <f t="shared" si="2"/>
        <v>#N/A</v>
      </c>
      <c r="C972" s="32" t="str">
        <f t="shared" si="3"/>
        <v>Week 3</v>
      </c>
      <c r="D972" s="32">
        <v>2024.0</v>
      </c>
      <c r="E972" t="str">
        <f t="shared" si="15"/>
        <v>3</v>
      </c>
      <c r="F972" t="str">
        <f t="shared" si="5"/>
        <v/>
      </c>
      <c r="G972" s="40" t="str">
        <f>VLOOKUP(F972,'Manager Coding'!C:D,2,0)</f>
        <v>#N/A</v>
      </c>
      <c r="H972" s="41" t="str">
        <f t="shared" si="6"/>
        <v/>
      </c>
      <c r="I972" t="str">
        <f t="shared" si="7"/>
        <v/>
      </c>
      <c r="J972" t="str">
        <f>VLOOKUP(I972,'Manager Coding'!C:D,2,0)</f>
        <v>#N/A</v>
      </c>
      <c r="K972" s="41" t="str">
        <f t="shared" si="8"/>
        <v/>
      </c>
      <c r="L972">
        <f t="shared" si="9"/>
        <v>0</v>
      </c>
      <c r="M972">
        <f t="shared" si="10"/>
        <v>0</v>
      </c>
      <c r="N972" s="162" t="s">
        <v>260</v>
      </c>
      <c r="O972" s="198"/>
      <c r="P972" s="198"/>
      <c r="Q972" s="198"/>
      <c r="R972" s="198"/>
      <c r="S972" s="198"/>
      <c r="T972" s="199" t="e">
        <v>#VALUE!</v>
      </c>
      <c r="U972" t="str">
        <f t="shared" si="13"/>
        <v>#VALUE!</v>
      </c>
    </row>
    <row r="973" hidden="1">
      <c r="A973" s="32" t="str">
        <f t="shared" si="1"/>
        <v>#N/A</v>
      </c>
      <c r="B973" s="32" t="str">
        <f t="shared" si="2"/>
        <v>#N/A</v>
      </c>
      <c r="C973" s="32" t="str">
        <f t="shared" si="3"/>
        <v>Week 4</v>
      </c>
      <c r="D973" s="32">
        <v>2024.0</v>
      </c>
      <c r="E973" t="str">
        <f t="shared" si="15"/>
        <v>4</v>
      </c>
      <c r="F973" t="str">
        <f t="shared" si="5"/>
        <v>TEAM MANAGER(S)</v>
      </c>
      <c r="G973" s="40" t="str">
        <f>VLOOKUP(F973,'Manager Coding'!C:D,2,0)</f>
        <v>#N/A</v>
      </c>
      <c r="H973" s="41" t="str">
        <f t="shared" si="6"/>
        <v>Score</v>
      </c>
      <c r="I973" t="str">
        <f t="shared" si="7"/>
        <v>TEAM MANAGER(S)</v>
      </c>
      <c r="J973" t="str">
        <f>VLOOKUP(I973,'Manager Coding'!C:D,2,0)</f>
        <v>#N/A</v>
      </c>
      <c r="K973" s="41" t="str">
        <f t="shared" si="8"/>
        <v>Score</v>
      </c>
      <c r="L973">
        <f t="shared" si="9"/>
        <v>0</v>
      </c>
      <c r="M973">
        <f t="shared" si="10"/>
        <v>0</v>
      </c>
      <c r="N973" s="78" t="s">
        <v>197</v>
      </c>
      <c r="O973" s="78" t="s">
        <v>88</v>
      </c>
      <c r="P973" s="79" t="s">
        <v>59</v>
      </c>
      <c r="Q973" s="78" t="s">
        <v>59</v>
      </c>
      <c r="R973" s="79" t="s">
        <v>88</v>
      </c>
      <c r="S973" s="79" t="s">
        <v>101</v>
      </c>
      <c r="T973" s="199" t="e">
        <v>#VALUE!</v>
      </c>
      <c r="U973" t="str">
        <f t="shared" si="13"/>
        <v>#VALUE!</v>
      </c>
    </row>
    <row r="974" hidden="1">
      <c r="A974" s="32" t="str">
        <f t="shared" si="1"/>
        <v>2024PiersonWeek 4</v>
      </c>
      <c r="B974" s="32" t="str">
        <f t="shared" si="2"/>
        <v>2024Rooney/JacksonWeek 4</v>
      </c>
      <c r="C974" s="32" t="str">
        <f t="shared" si="3"/>
        <v>Week 4</v>
      </c>
      <c r="D974" s="32">
        <v>2024.0</v>
      </c>
      <c r="E974" t="str">
        <f t="shared" si="15"/>
        <v>4</v>
      </c>
      <c r="F974" t="str">
        <f t="shared" si="5"/>
        <v>Pierson Curtis</v>
      </c>
      <c r="G974" s="40" t="str">
        <f>VLOOKUP(F974,'Manager Coding'!C:D,2,0)</f>
        <v>Pierson</v>
      </c>
      <c r="H974" s="41">
        <f t="shared" si="6"/>
        <v>87.48</v>
      </c>
      <c r="I974" t="str">
        <f t="shared" si="7"/>
        <v>Stephen Rooney, Jackson Sattell</v>
      </c>
      <c r="J974" t="str">
        <f>VLOOKUP(I974,'Manager Coding'!C:D,2,0)</f>
        <v>Rooney/Jackson</v>
      </c>
      <c r="K974" s="41">
        <f t="shared" si="8"/>
        <v>129.02</v>
      </c>
      <c r="L974">
        <f t="shared" si="9"/>
        <v>0</v>
      </c>
      <c r="M974">
        <f t="shared" si="10"/>
        <v>1</v>
      </c>
      <c r="N974" s="153" t="s">
        <v>2521</v>
      </c>
      <c r="O974" s="81" t="s">
        <v>93</v>
      </c>
      <c r="P974" s="200">
        <v>87.48</v>
      </c>
      <c r="Q974" s="189">
        <v>129.02</v>
      </c>
      <c r="R974" s="154" t="s">
        <v>58</v>
      </c>
      <c r="S974" s="153" t="s">
        <v>2514</v>
      </c>
      <c r="T974" s="202" t="s">
        <v>1353</v>
      </c>
      <c r="U974" t="str">
        <f t="shared" si="13"/>
        <v>Blizzard Boys</v>
      </c>
    </row>
    <row r="975" hidden="1">
      <c r="A975" s="32" t="str">
        <f t="shared" si="1"/>
        <v>2024KnardDawgWeek 4</v>
      </c>
      <c r="B975" s="32" t="str">
        <f t="shared" si="2"/>
        <v>2024SaltyWeek 4</v>
      </c>
      <c r="C975" s="32" t="str">
        <f t="shared" si="3"/>
        <v>Week 4</v>
      </c>
      <c r="D975" s="32">
        <v>2024.0</v>
      </c>
      <c r="E975" t="str">
        <f t="shared" si="15"/>
        <v>4</v>
      </c>
      <c r="F975" t="str">
        <f t="shared" si="5"/>
        <v>Alex Kinniard, Jack Reilly</v>
      </c>
      <c r="G975" s="40" t="str">
        <f>VLOOKUP(F975,'Manager Coding'!C:D,2,0)</f>
        <v>KnardDawg</v>
      </c>
      <c r="H975" s="41">
        <f t="shared" si="6"/>
        <v>72.38</v>
      </c>
      <c r="I975" t="str">
        <f t="shared" si="7"/>
        <v>R Saltiel</v>
      </c>
      <c r="J975" t="str">
        <f>VLOOKUP(I975,'Manager Coding'!C:D,2,0)</f>
        <v>Salty</v>
      </c>
      <c r="K975" s="41">
        <f t="shared" si="8"/>
        <v>83.32</v>
      </c>
      <c r="L975">
        <f t="shared" si="9"/>
        <v>0</v>
      </c>
      <c r="M975">
        <f t="shared" si="10"/>
        <v>1</v>
      </c>
      <c r="N975" s="168" t="s">
        <v>2518</v>
      </c>
      <c r="O975" s="169" t="s">
        <v>87</v>
      </c>
      <c r="P975" s="203">
        <v>72.38</v>
      </c>
      <c r="Q975" s="191">
        <v>83.32</v>
      </c>
      <c r="R975" s="170" t="s">
        <v>77</v>
      </c>
      <c r="S975" s="168" t="s">
        <v>2525</v>
      </c>
      <c r="T975" s="202" t="s">
        <v>1368</v>
      </c>
      <c r="U975" t="str">
        <f t="shared" si="13"/>
        <v>NoMoore 4KDrought</v>
      </c>
    </row>
    <row r="976" hidden="1">
      <c r="A976" s="32" t="str">
        <f t="shared" si="1"/>
        <v>2024CockWeek 4</v>
      </c>
      <c r="B976" s="32" t="str">
        <f t="shared" si="2"/>
        <v>2024ShepWeek 4</v>
      </c>
      <c r="C976" s="32" t="str">
        <f t="shared" si="3"/>
        <v>Week 4</v>
      </c>
      <c r="D976" s="32">
        <v>2024.0</v>
      </c>
      <c r="E976" t="str">
        <f t="shared" si="15"/>
        <v>4</v>
      </c>
      <c r="F976" t="str">
        <f t="shared" si="5"/>
        <v>Chris Cochrane</v>
      </c>
      <c r="G976" s="40" t="str">
        <f>VLOOKUP(F976,'Manager Coding'!C:D,2,0)</f>
        <v>Cock</v>
      </c>
      <c r="H976" s="41">
        <f t="shared" si="6"/>
        <v>78.22</v>
      </c>
      <c r="I976" t="str">
        <f t="shared" si="7"/>
        <v>Jordan Shepherd</v>
      </c>
      <c r="J976" t="str">
        <f>VLOOKUP(I976,'Manager Coding'!C:D,2,0)</f>
        <v>Shep</v>
      </c>
      <c r="K976" s="41">
        <f t="shared" si="8"/>
        <v>100.9</v>
      </c>
      <c r="L976">
        <f t="shared" si="9"/>
        <v>0</v>
      </c>
      <c r="M976">
        <f t="shared" si="10"/>
        <v>1</v>
      </c>
      <c r="N976" s="128" t="s">
        <v>2513</v>
      </c>
      <c r="O976" s="129" t="s">
        <v>99</v>
      </c>
      <c r="P976" s="192">
        <v>78.22</v>
      </c>
      <c r="Q976" s="195">
        <v>100.9</v>
      </c>
      <c r="R976" s="130" t="s">
        <v>91</v>
      </c>
      <c r="S976" s="128" t="s">
        <v>2528</v>
      </c>
      <c r="T976" s="202" t="s">
        <v>1392</v>
      </c>
      <c r="U976" t="str">
        <f t="shared" si="13"/>
        <v>Chase'n Purdy Big Twisters</v>
      </c>
    </row>
    <row r="977" hidden="1">
      <c r="A977" s="32" t="str">
        <f t="shared" si="1"/>
        <v>2024HudspeathWeek 4</v>
      </c>
      <c r="B977" s="32" t="str">
        <f t="shared" si="2"/>
        <v>2024RileyWeek 4</v>
      </c>
      <c r="C977" s="32" t="str">
        <f t="shared" si="3"/>
        <v>Week 4</v>
      </c>
      <c r="D977" s="32">
        <v>2024.0</v>
      </c>
      <c r="E977" t="str">
        <f t="shared" si="15"/>
        <v>4</v>
      </c>
      <c r="F977" t="str">
        <f t="shared" si="5"/>
        <v>matt hudspeath</v>
      </c>
      <c r="G977" s="40" t="str">
        <f>VLOOKUP(F977,'Manager Coding'!C:D,2,0)</f>
        <v>Hudspeath</v>
      </c>
      <c r="H977" s="41">
        <f t="shared" si="6"/>
        <v>87.98</v>
      </c>
      <c r="I977" t="str">
        <f t="shared" si="7"/>
        <v>Riley McElwain</v>
      </c>
      <c r="J977" t="str">
        <f>VLOOKUP(I977,'Manager Coding'!C:D,2,0)</f>
        <v>Riley</v>
      </c>
      <c r="K977" s="41">
        <f t="shared" si="8"/>
        <v>75.58</v>
      </c>
      <c r="L977">
        <f t="shared" si="9"/>
        <v>1</v>
      </c>
      <c r="M977">
        <f t="shared" si="10"/>
        <v>0</v>
      </c>
      <c r="N977" s="131" t="s">
        <v>2516</v>
      </c>
      <c r="O977" s="132" t="s">
        <v>64</v>
      </c>
      <c r="P977" s="192">
        <v>87.98</v>
      </c>
      <c r="Q977" s="195">
        <v>75.58</v>
      </c>
      <c r="R977" s="133" t="s">
        <v>68</v>
      </c>
      <c r="S977" s="131" t="s">
        <v>2531</v>
      </c>
      <c r="T977" s="202" t="s">
        <v>1363</v>
      </c>
      <c r="U977" t="str">
        <f t="shared" si="13"/>
        <v>Caleb's Year</v>
      </c>
    </row>
    <row r="978" hidden="1">
      <c r="A978" s="32" t="str">
        <f t="shared" si="1"/>
        <v>2024T-HowWeek 4</v>
      </c>
      <c r="B978" s="32" t="str">
        <f t="shared" si="2"/>
        <v>2024TayskiWeek 4</v>
      </c>
      <c r="C978" s="32" t="str">
        <f t="shared" si="3"/>
        <v>Week 4</v>
      </c>
      <c r="D978" s="32">
        <v>2024.0</v>
      </c>
      <c r="E978" t="str">
        <f t="shared" si="15"/>
        <v>4</v>
      </c>
      <c r="F978" t="str">
        <f t="shared" si="5"/>
        <v>Tyler Howard</v>
      </c>
      <c r="G978" s="40" t="str">
        <f>VLOOKUP(F978,'Manager Coding'!C:D,2,0)</f>
        <v>T-How</v>
      </c>
      <c r="H978" s="41">
        <f t="shared" si="6"/>
        <v>91.02</v>
      </c>
      <c r="I978" t="str">
        <f t="shared" si="7"/>
        <v>Taylor Weis</v>
      </c>
      <c r="J978" t="str">
        <f>VLOOKUP(I978,'Manager Coding'!C:D,2,0)</f>
        <v>Tayski</v>
      </c>
      <c r="K978" s="41">
        <f t="shared" si="8"/>
        <v>76.3</v>
      </c>
      <c r="L978">
        <f t="shared" si="9"/>
        <v>1</v>
      </c>
      <c r="M978">
        <f t="shared" si="10"/>
        <v>0</v>
      </c>
      <c r="N978" s="128" t="s">
        <v>2520</v>
      </c>
      <c r="O978" s="129" t="s">
        <v>85</v>
      </c>
      <c r="P978" s="192">
        <v>91.02</v>
      </c>
      <c r="Q978" s="195">
        <v>76.3</v>
      </c>
      <c r="R978" s="130" t="s">
        <v>54</v>
      </c>
      <c r="S978" s="128" t="s">
        <v>2530</v>
      </c>
      <c r="T978" s="202" t="s">
        <v>2550</v>
      </c>
      <c r="U978" t="str">
        <f t="shared" si="13"/>
        <v>Hurtswaves</v>
      </c>
    </row>
    <row r="979" hidden="1">
      <c r="A979" s="32" t="str">
        <f t="shared" si="1"/>
        <v>2024EwertWeek 4</v>
      </c>
      <c r="B979" s="32" t="str">
        <f t="shared" si="2"/>
        <v>2024BuserWeek 4</v>
      </c>
      <c r="C979" s="32" t="str">
        <f t="shared" si="3"/>
        <v>Week 4</v>
      </c>
      <c r="D979" s="32">
        <v>2024.0</v>
      </c>
      <c r="E979" t="str">
        <f t="shared" si="15"/>
        <v>4</v>
      </c>
      <c r="F979" t="str">
        <f t="shared" si="5"/>
        <v>Kyle Ewert, brad starck</v>
      </c>
      <c r="G979" s="40" t="str">
        <f>VLOOKUP(F979,'Manager Coding'!C:D,2,0)</f>
        <v>Ewert</v>
      </c>
      <c r="H979" s="41">
        <f t="shared" si="6"/>
        <v>131.1</v>
      </c>
      <c r="I979" t="str">
        <f t="shared" si="7"/>
        <v>Ed Buser</v>
      </c>
      <c r="J979" t="str">
        <f>VLOOKUP(I979,'Manager Coding'!C:D,2,0)</f>
        <v>Buser</v>
      </c>
      <c r="K979" s="41">
        <f t="shared" si="8"/>
        <v>80.04</v>
      </c>
      <c r="L979">
        <f t="shared" si="9"/>
        <v>1</v>
      </c>
      <c r="M979">
        <f t="shared" si="10"/>
        <v>0</v>
      </c>
      <c r="N979" s="131" t="s">
        <v>2523</v>
      </c>
      <c r="O979" s="132" t="s">
        <v>105</v>
      </c>
      <c r="P979" s="192">
        <v>131.1</v>
      </c>
      <c r="Q979" s="195">
        <v>80.04</v>
      </c>
      <c r="R979" s="133" t="s">
        <v>50</v>
      </c>
      <c r="S979" s="131" t="s">
        <v>2526</v>
      </c>
      <c r="T979" s="202" t="s">
        <v>1341</v>
      </c>
      <c r="U979" t="str">
        <f t="shared" si="13"/>
        <v>Whiteout</v>
      </c>
    </row>
    <row r="980" hidden="1">
      <c r="A980" s="32" t="str">
        <f t="shared" si="1"/>
        <v>#N/A</v>
      </c>
      <c r="B980" s="32" t="str">
        <f t="shared" si="2"/>
        <v>#N/A</v>
      </c>
      <c r="C980" s="32" t="str">
        <f t="shared" si="3"/>
        <v>Week 4</v>
      </c>
      <c r="D980" s="32">
        <v>2024.0</v>
      </c>
      <c r="E980" t="str">
        <f t="shared" si="15"/>
        <v>4</v>
      </c>
      <c r="F980" t="str">
        <f t="shared" si="5"/>
        <v/>
      </c>
      <c r="G980" s="40" t="str">
        <f>VLOOKUP(F980,'Manager Coding'!C:D,2,0)</f>
        <v>#N/A</v>
      </c>
      <c r="H980" s="41" t="str">
        <f t="shared" si="6"/>
        <v/>
      </c>
      <c r="I980" t="str">
        <f t="shared" si="7"/>
        <v/>
      </c>
      <c r="J980" t="str">
        <f>VLOOKUP(I980,'Manager Coding'!C:D,2,0)</f>
        <v>#N/A</v>
      </c>
      <c r="K980" s="41" t="str">
        <f t="shared" si="8"/>
        <v/>
      </c>
      <c r="L980">
        <f t="shared" si="9"/>
        <v>0</v>
      </c>
      <c r="M980">
        <f t="shared" si="10"/>
        <v>0</v>
      </c>
      <c r="N980" s="162" t="s">
        <v>291</v>
      </c>
      <c r="O980" s="205"/>
      <c r="P980" s="198"/>
      <c r="Q980" s="198"/>
      <c r="R980" s="205"/>
      <c r="S980" s="205"/>
      <c r="T980" s="199" t="e">
        <v>#VALUE!</v>
      </c>
      <c r="U980" t="str">
        <f t="shared" si="13"/>
        <v>#VALUE!</v>
      </c>
    </row>
    <row r="981" hidden="1">
      <c r="A981" s="32" t="str">
        <f t="shared" si="1"/>
        <v>#N/A</v>
      </c>
      <c r="B981" s="32" t="str">
        <f t="shared" si="2"/>
        <v>#N/A</v>
      </c>
      <c r="C981" s="32" t="str">
        <f t="shared" si="3"/>
        <v>Week 5</v>
      </c>
      <c r="D981" s="32">
        <v>2024.0</v>
      </c>
      <c r="E981" t="str">
        <f t="shared" si="15"/>
        <v>5</v>
      </c>
      <c r="F981" t="str">
        <f t="shared" si="5"/>
        <v>TEAM MANAGER(S)</v>
      </c>
      <c r="G981" s="40" t="str">
        <f>VLOOKUP(F981,'Manager Coding'!C:D,2,0)</f>
        <v>#N/A</v>
      </c>
      <c r="H981" s="41" t="str">
        <f t="shared" si="6"/>
        <v>Score</v>
      </c>
      <c r="I981" t="str">
        <f t="shared" si="7"/>
        <v>TEAM MANAGER(S)</v>
      </c>
      <c r="J981" t="str">
        <f>VLOOKUP(I981,'Manager Coding'!C:D,2,0)</f>
        <v>#N/A</v>
      </c>
      <c r="K981" s="41" t="str">
        <f t="shared" si="8"/>
        <v>Score</v>
      </c>
      <c r="L981">
        <f t="shared" si="9"/>
        <v>0</v>
      </c>
      <c r="M981">
        <f t="shared" si="10"/>
        <v>0</v>
      </c>
      <c r="N981" s="78" t="s">
        <v>197</v>
      </c>
      <c r="O981" s="78" t="s">
        <v>88</v>
      </c>
      <c r="P981" s="79" t="s">
        <v>59</v>
      </c>
      <c r="Q981" s="78" t="s">
        <v>59</v>
      </c>
      <c r="R981" s="79" t="s">
        <v>88</v>
      </c>
      <c r="S981" s="79" t="s">
        <v>101</v>
      </c>
      <c r="T981" s="199" t="e">
        <v>#VALUE!</v>
      </c>
      <c r="U981" t="str">
        <f t="shared" si="13"/>
        <v>#VALUE!</v>
      </c>
    </row>
    <row r="982" hidden="1">
      <c r="A982" s="32" t="str">
        <f t="shared" si="1"/>
        <v>2024Rooney/JacksonWeek 5</v>
      </c>
      <c r="B982" s="32" t="str">
        <f t="shared" si="2"/>
        <v>2024SaltyWeek 5</v>
      </c>
      <c r="C982" s="32" t="str">
        <f t="shared" si="3"/>
        <v>Week 5</v>
      </c>
      <c r="D982" s="32">
        <v>2024.0</v>
      </c>
      <c r="E982" t="str">
        <f t="shared" si="15"/>
        <v>5</v>
      </c>
      <c r="F982" t="str">
        <f t="shared" si="5"/>
        <v>Stephen Rooney, Jackson Sattell</v>
      </c>
      <c r="G982" s="40" t="str">
        <f>VLOOKUP(F982,'Manager Coding'!C:D,2,0)</f>
        <v>Rooney/Jackson</v>
      </c>
      <c r="H982" s="41">
        <f t="shared" si="6"/>
        <v>97.32</v>
      </c>
      <c r="I982" t="str">
        <f t="shared" si="7"/>
        <v>R Saltiel</v>
      </c>
      <c r="J982" t="str">
        <f>VLOOKUP(I982,'Manager Coding'!C:D,2,0)</f>
        <v>Salty</v>
      </c>
      <c r="K982" s="41">
        <f t="shared" si="8"/>
        <v>99.62</v>
      </c>
      <c r="L982">
        <f t="shared" si="9"/>
        <v>0</v>
      </c>
      <c r="M982">
        <f t="shared" si="10"/>
        <v>1</v>
      </c>
      <c r="N982" s="153" t="s">
        <v>2514</v>
      </c>
      <c r="O982" s="129" t="s">
        <v>58</v>
      </c>
      <c r="P982" s="192">
        <v>97.32</v>
      </c>
      <c r="Q982" s="195">
        <v>99.62</v>
      </c>
      <c r="R982" s="130" t="s">
        <v>77</v>
      </c>
      <c r="S982" s="128" t="s">
        <v>2525</v>
      </c>
      <c r="T982" s="202" t="s">
        <v>1368</v>
      </c>
      <c r="U982" t="str">
        <f t="shared" si="13"/>
        <v>Mahomes Flooded</v>
      </c>
    </row>
    <row r="983" hidden="1">
      <c r="A983" s="32" t="str">
        <f t="shared" si="1"/>
        <v>2024ShepWeek 5</v>
      </c>
      <c r="B983" s="32" t="str">
        <f t="shared" si="2"/>
        <v>2024PiersonWeek 5</v>
      </c>
      <c r="C983" s="32" t="str">
        <f t="shared" si="3"/>
        <v>Week 5</v>
      </c>
      <c r="D983" s="32">
        <v>2024.0</v>
      </c>
      <c r="E983" t="str">
        <f t="shared" si="15"/>
        <v>5</v>
      </c>
      <c r="F983" t="str">
        <f t="shared" si="5"/>
        <v>Jordan Shepherd</v>
      </c>
      <c r="G983" s="40" t="str">
        <f>VLOOKUP(F983,'Manager Coding'!C:D,2,0)</f>
        <v>Shep</v>
      </c>
      <c r="H983" s="41">
        <f t="shared" si="6"/>
        <v>80.64</v>
      </c>
      <c r="I983" t="str">
        <f t="shared" si="7"/>
        <v>Pierson Curtis</v>
      </c>
      <c r="J983" t="str">
        <f>VLOOKUP(I983,'Manager Coding'!C:D,2,0)</f>
        <v>Pierson</v>
      </c>
      <c r="K983" s="41">
        <f t="shared" si="8"/>
        <v>92.78</v>
      </c>
      <c r="L983">
        <f t="shared" si="9"/>
        <v>0</v>
      </c>
      <c r="M983">
        <f t="shared" si="10"/>
        <v>1</v>
      </c>
      <c r="N983" s="168" t="s">
        <v>2528</v>
      </c>
      <c r="O983" s="169" t="s">
        <v>91</v>
      </c>
      <c r="P983" s="203">
        <v>80.64</v>
      </c>
      <c r="Q983" s="191">
        <v>92.78</v>
      </c>
      <c r="R983" s="170" t="s">
        <v>93</v>
      </c>
      <c r="S983" s="168" t="s">
        <v>2521</v>
      </c>
      <c r="T983" s="202" t="s">
        <v>1398</v>
      </c>
      <c r="U983" t="str">
        <f t="shared" si="13"/>
        <v>Bhola Breece's Storm Surge</v>
      </c>
    </row>
    <row r="984" hidden="1">
      <c r="A984" s="32" t="str">
        <f t="shared" si="1"/>
        <v>2024RileyWeek 5</v>
      </c>
      <c r="B984" s="32" t="str">
        <f t="shared" si="2"/>
        <v>2024KnardDawgWeek 5</v>
      </c>
      <c r="C984" s="32" t="str">
        <f t="shared" si="3"/>
        <v>Week 5</v>
      </c>
      <c r="D984" s="32">
        <v>2024.0</v>
      </c>
      <c r="E984" t="str">
        <f t="shared" si="15"/>
        <v>5</v>
      </c>
      <c r="F984" t="str">
        <f t="shared" si="5"/>
        <v>Riley McElwain</v>
      </c>
      <c r="G984" s="40" t="str">
        <f>VLOOKUP(F984,'Manager Coding'!C:D,2,0)</f>
        <v>Riley</v>
      </c>
      <c r="H984" s="41">
        <f t="shared" si="6"/>
        <v>142.4</v>
      </c>
      <c r="I984" t="str">
        <f t="shared" si="7"/>
        <v>Alex Kinniard, Jack Reilly</v>
      </c>
      <c r="J984" t="str">
        <f>VLOOKUP(I984,'Manager Coding'!C:D,2,0)</f>
        <v>KnardDawg</v>
      </c>
      <c r="K984" s="41">
        <f t="shared" si="8"/>
        <v>112.36</v>
      </c>
      <c r="L984">
        <f t="shared" si="9"/>
        <v>1</v>
      </c>
      <c r="M984">
        <f t="shared" si="10"/>
        <v>0</v>
      </c>
      <c r="N984" s="128" t="s">
        <v>2531</v>
      </c>
      <c r="O984" s="129" t="s">
        <v>68</v>
      </c>
      <c r="P984" s="192">
        <v>142.4</v>
      </c>
      <c r="Q984" s="195">
        <v>112.36</v>
      </c>
      <c r="R984" s="130" t="s">
        <v>87</v>
      </c>
      <c r="S984" s="128" t="s">
        <v>2518</v>
      </c>
      <c r="T984" s="202" t="s">
        <v>1384</v>
      </c>
      <c r="U984" t="str">
        <f t="shared" si="13"/>
        <v>Moodslide</v>
      </c>
    </row>
    <row r="985" hidden="1">
      <c r="A985" s="32" t="str">
        <f t="shared" si="1"/>
        <v>2024TayskiWeek 5</v>
      </c>
      <c r="B985" s="32" t="str">
        <f t="shared" si="2"/>
        <v>2024CockWeek 5</v>
      </c>
      <c r="C985" s="32" t="str">
        <f t="shared" si="3"/>
        <v>Week 5</v>
      </c>
      <c r="D985" s="32">
        <v>2024.0</v>
      </c>
      <c r="E985" t="str">
        <f t="shared" si="15"/>
        <v>5</v>
      </c>
      <c r="F985" t="str">
        <f t="shared" si="5"/>
        <v>Taylor Weis</v>
      </c>
      <c r="G985" s="40" t="str">
        <f>VLOOKUP(F985,'Manager Coding'!C:D,2,0)</f>
        <v>Tayski</v>
      </c>
      <c r="H985" s="41">
        <f t="shared" si="6"/>
        <v>82.14</v>
      </c>
      <c r="I985" t="str">
        <f t="shared" si="7"/>
        <v>Chris Cochrane</v>
      </c>
      <c r="J985" t="str">
        <f>VLOOKUP(I985,'Manager Coding'!C:D,2,0)</f>
        <v>Cock</v>
      </c>
      <c r="K985" s="41">
        <f t="shared" si="8"/>
        <v>56.96</v>
      </c>
      <c r="L985">
        <f t="shared" si="9"/>
        <v>1</v>
      </c>
      <c r="M985">
        <f t="shared" si="10"/>
        <v>0</v>
      </c>
      <c r="N985" s="131" t="s">
        <v>2530</v>
      </c>
      <c r="O985" s="132" t="s">
        <v>54</v>
      </c>
      <c r="P985" s="192">
        <v>82.14</v>
      </c>
      <c r="Q985" s="195">
        <v>56.96</v>
      </c>
      <c r="R985" s="133" t="s">
        <v>99</v>
      </c>
      <c r="S985" s="131" t="s">
        <v>2513</v>
      </c>
      <c r="T985" s="202" t="s">
        <v>1366</v>
      </c>
      <c r="U985" t="str">
        <f t="shared" si="13"/>
        <v>WeisFire</v>
      </c>
    </row>
    <row r="986" hidden="1">
      <c r="A986" s="32" t="str">
        <f t="shared" si="1"/>
        <v>2024BuserWeek 5</v>
      </c>
      <c r="B986" s="32" t="str">
        <f t="shared" si="2"/>
        <v>2024HudspeathWeek 5</v>
      </c>
      <c r="C986" s="32" t="str">
        <f t="shared" si="3"/>
        <v>Week 5</v>
      </c>
      <c r="D986" s="32">
        <v>2024.0</v>
      </c>
      <c r="E986" t="str">
        <f t="shared" si="15"/>
        <v>5</v>
      </c>
      <c r="F986" t="str">
        <f t="shared" si="5"/>
        <v>Ed Buser</v>
      </c>
      <c r="G986" s="40" t="str">
        <f>VLOOKUP(F986,'Manager Coding'!C:D,2,0)</f>
        <v>Buser</v>
      </c>
      <c r="H986" s="41">
        <f t="shared" si="6"/>
        <v>99.86</v>
      </c>
      <c r="I986" t="str">
        <f t="shared" si="7"/>
        <v>matt hudspeath</v>
      </c>
      <c r="J986" t="str">
        <f>VLOOKUP(I986,'Manager Coding'!C:D,2,0)</f>
        <v>Hudspeath</v>
      </c>
      <c r="K986" s="41">
        <f t="shared" si="8"/>
        <v>94.54</v>
      </c>
      <c r="L986">
        <f t="shared" si="9"/>
        <v>1</v>
      </c>
      <c r="M986">
        <f t="shared" si="10"/>
        <v>0</v>
      </c>
      <c r="N986" s="128" t="s">
        <v>2526</v>
      </c>
      <c r="O986" s="129" t="s">
        <v>50</v>
      </c>
      <c r="P986" s="192">
        <v>99.86</v>
      </c>
      <c r="Q986" s="195">
        <v>94.54</v>
      </c>
      <c r="R986" s="130" t="s">
        <v>64</v>
      </c>
      <c r="S986" s="128" t="s">
        <v>2516</v>
      </c>
      <c r="T986" s="202" t="s">
        <v>1357</v>
      </c>
      <c r="U986" t="str">
        <f t="shared" si="13"/>
        <v>Hurricane Andrews</v>
      </c>
    </row>
    <row r="987" hidden="1">
      <c r="A987" s="32" t="str">
        <f t="shared" si="1"/>
        <v>2024EwertWeek 5</v>
      </c>
      <c r="B987" s="32" t="str">
        <f t="shared" si="2"/>
        <v>2024T-HowWeek 5</v>
      </c>
      <c r="C987" s="32" t="str">
        <f t="shared" si="3"/>
        <v>Week 5</v>
      </c>
      <c r="D987" s="32">
        <v>2024.0</v>
      </c>
      <c r="E987" t="str">
        <f t="shared" si="15"/>
        <v>5</v>
      </c>
      <c r="F987" t="str">
        <f t="shared" si="5"/>
        <v>Kyle Ewert, brad starck</v>
      </c>
      <c r="G987" s="40" t="str">
        <f>VLOOKUP(F987,'Manager Coding'!C:D,2,0)</f>
        <v>Ewert</v>
      </c>
      <c r="H987" s="41">
        <f t="shared" si="6"/>
        <v>101.16</v>
      </c>
      <c r="I987" t="str">
        <f t="shared" si="7"/>
        <v>Tyler Howard</v>
      </c>
      <c r="J987" t="str">
        <f>VLOOKUP(I987,'Manager Coding'!C:D,2,0)</f>
        <v>T-How</v>
      </c>
      <c r="K987" s="41">
        <f t="shared" si="8"/>
        <v>91.7</v>
      </c>
      <c r="L987">
        <f t="shared" si="9"/>
        <v>1</v>
      </c>
      <c r="M987">
        <f t="shared" si="10"/>
        <v>0</v>
      </c>
      <c r="N987" s="131" t="s">
        <v>2523</v>
      </c>
      <c r="O987" s="132" t="s">
        <v>105</v>
      </c>
      <c r="P987" s="192">
        <v>101.16</v>
      </c>
      <c r="Q987" s="195">
        <v>91.7</v>
      </c>
      <c r="R987" s="133" t="s">
        <v>85</v>
      </c>
      <c r="S987" s="131" t="s">
        <v>2520</v>
      </c>
      <c r="T987" s="202" t="s">
        <v>1378</v>
      </c>
      <c r="U987" t="str">
        <f t="shared" si="13"/>
        <v>Whiteout</v>
      </c>
    </row>
    <row r="988" hidden="1">
      <c r="A988" s="32" t="str">
        <f t="shared" si="1"/>
        <v>#N/A</v>
      </c>
      <c r="B988" s="32" t="str">
        <f t="shared" si="2"/>
        <v>#N/A</v>
      </c>
      <c r="C988" s="32" t="str">
        <f t="shared" si="3"/>
        <v>Week 5</v>
      </c>
      <c r="D988" s="32">
        <v>2024.0</v>
      </c>
      <c r="E988" t="str">
        <f t="shared" si="15"/>
        <v>5</v>
      </c>
      <c r="F988" t="str">
        <f t="shared" si="5"/>
        <v/>
      </c>
      <c r="G988" s="40" t="str">
        <f>VLOOKUP(F988,'Manager Coding'!C:D,2,0)</f>
        <v>#N/A</v>
      </c>
      <c r="H988" s="41" t="str">
        <f t="shared" si="6"/>
        <v/>
      </c>
      <c r="I988" t="str">
        <f t="shared" si="7"/>
        <v/>
      </c>
      <c r="J988" t="str">
        <f>VLOOKUP(I988,'Manager Coding'!C:D,2,0)</f>
        <v>#N/A</v>
      </c>
      <c r="K988" s="41" t="str">
        <f t="shared" si="8"/>
        <v/>
      </c>
      <c r="L988">
        <f t="shared" si="9"/>
        <v>0</v>
      </c>
      <c r="M988">
        <f t="shared" si="10"/>
        <v>0</v>
      </c>
      <c r="N988" s="162" t="s">
        <v>321</v>
      </c>
      <c r="O988" s="198"/>
      <c r="P988" s="198"/>
      <c r="Q988" s="198"/>
      <c r="R988" s="198"/>
      <c r="S988" s="198"/>
      <c r="T988" s="199" t="e">
        <v>#VALUE!</v>
      </c>
      <c r="U988" t="str">
        <f t="shared" si="13"/>
        <v>#VALUE!</v>
      </c>
    </row>
    <row r="989" hidden="1">
      <c r="A989" s="32" t="str">
        <f t="shared" si="1"/>
        <v>#N/A</v>
      </c>
      <c r="B989" s="32" t="str">
        <f t="shared" si="2"/>
        <v>#N/A</v>
      </c>
      <c r="C989" s="32" t="str">
        <f t="shared" si="3"/>
        <v>Week 6</v>
      </c>
      <c r="D989" s="32">
        <v>2024.0</v>
      </c>
      <c r="E989" t="str">
        <f t="shared" si="15"/>
        <v>6</v>
      </c>
      <c r="F989" t="str">
        <f t="shared" si="5"/>
        <v>TEAM MANAGER(S)</v>
      </c>
      <c r="G989" s="40" t="str">
        <f>VLOOKUP(F989,'Manager Coding'!C:D,2,0)</f>
        <v>#N/A</v>
      </c>
      <c r="H989" s="41" t="str">
        <f t="shared" si="6"/>
        <v>Score</v>
      </c>
      <c r="I989" t="str">
        <f t="shared" si="7"/>
        <v>TEAM MANAGER(S)</v>
      </c>
      <c r="J989" t="str">
        <f>VLOOKUP(I989,'Manager Coding'!C:D,2,0)</f>
        <v>#N/A</v>
      </c>
      <c r="K989" s="41" t="str">
        <f t="shared" si="8"/>
        <v>Score</v>
      </c>
      <c r="L989">
        <f t="shared" si="9"/>
        <v>0</v>
      </c>
      <c r="M989">
        <f t="shared" si="10"/>
        <v>0</v>
      </c>
      <c r="N989" s="78" t="s">
        <v>197</v>
      </c>
      <c r="O989" s="78" t="s">
        <v>88</v>
      </c>
      <c r="P989" s="79" t="s">
        <v>59</v>
      </c>
      <c r="Q989" s="78" t="s">
        <v>59</v>
      </c>
      <c r="R989" s="79" t="s">
        <v>88</v>
      </c>
      <c r="S989" s="79" t="s">
        <v>101</v>
      </c>
      <c r="T989" s="199" t="e">
        <v>#VALUE!</v>
      </c>
      <c r="U989" t="str">
        <f t="shared" si="13"/>
        <v>#VALUE!</v>
      </c>
    </row>
    <row r="990" hidden="1">
      <c r="A990" s="32" t="str">
        <f t="shared" si="1"/>
        <v>2024ShepWeek 6</v>
      </c>
      <c r="B990" s="32" t="str">
        <f t="shared" si="2"/>
        <v>2024Rooney/JacksonWeek 6</v>
      </c>
      <c r="C990" s="32" t="str">
        <f t="shared" si="3"/>
        <v>Week 6</v>
      </c>
      <c r="D990" s="32">
        <v>2024.0</v>
      </c>
      <c r="E990" t="str">
        <f t="shared" si="15"/>
        <v>6</v>
      </c>
      <c r="F990" t="str">
        <f t="shared" si="5"/>
        <v>Jordan Shepherd</v>
      </c>
      <c r="G990" s="40" t="str">
        <f>VLOOKUP(F990,'Manager Coding'!C:D,2,0)</f>
        <v>Shep</v>
      </c>
      <c r="H990" s="41">
        <f t="shared" si="6"/>
        <v>99.78</v>
      </c>
      <c r="I990" t="str">
        <f t="shared" si="7"/>
        <v>Stephen Rooney, Jackson Sattell</v>
      </c>
      <c r="J990" t="str">
        <f>VLOOKUP(I990,'Manager Coding'!C:D,2,0)</f>
        <v>Rooney/Jackson</v>
      </c>
      <c r="K990" s="41">
        <f t="shared" si="8"/>
        <v>90.16</v>
      </c>
      <c r="L990">
        <f t="shared" si="9"/>
        <v>1</v>
      </c>
      <c r="M990">
        <f t="shared" si="10"/>
        <v>0</v>
      </c>
      <c r="N990" s="153" t="s">
        <v>2528</v>
      </c>
      <c r="O990" s="129" t="s">
        <v>91</v>
      </c>
      <c r="P990" s="192">
        <v>99.78</v>
      </c>
      <c r="Q990" s="195">
        <v>90.16</v>
      </c>
      <c r="R990" s="130" t="s">
        <v>58</v>
      </c>
      <c r="S990" s="128" t="s">
        <v>2514</v>
      </c>
      <c r="T990" s="202" t="s">
        <v>1353</v>
      </c>
      <c r="U990" t="str">
        <f t="shared" si="13"/>
        <v>Bhola Breece's Storm Surge</v>
      </c>
    </row>
    <row r="991" hidden="1">
      <c r="A991" s="32" t="str">
        <f t="shared" si="1"/>
        <v>2024SaltyWeek 6</v>
      </c>
      <c r="B991" s="32" t="str">
        <f t="shared" si="2"/>
        <v>2024RileyWeek 6</v>
      </c>
      <c r="C991" s="32" t="str">
        <f t="shared" si="3"/>
        <v>Week 6</v>
      </c>
      <c r="D991" s="32">
        <v>2024.0</v>
      </c>
      <c r="E991" t="str">
        <f t="shared" si="15"/>
        <v>6</v>
      </c>
      <c r="F991" t="str">
        <f t="shared" si="5"/>
        <v>R Saltiel</v>
      </c>
      <c r="G991" s="40" t="str">
        <f>VLOOKUP(F991,'Manager Coding'!C:D,2,0)</f>
        <v>Salty</v>
      </c>
      <c r="H991" s="41">
        <f t="shared" si="6"/>
        <v>79.52</v>
      </c>
      <c r="I991" t="str">
        <f t="shared" si="7"/>
        <v>Riley McElwain</v>
      </c>
      <c r="J991" t="str">
        <f>VLOOKUP(I991,'Manager Coding'!C:D,2,0)</f>
        <v>Riley</v>
      </c>
      <c r="K991" s="41">
        <f t="shared" si="8"/>
        <v>92.36</v>
      </c>
      <c r="L991">
        <f t="shared" si="9"/>
        <v>0</v>
      </c>
      <c r="M991">
        <f t="shared" si="10"/>
        <v>1</v>
      </c>
      <c r="N991" s="168" t="s">
        <v>2525</v>
      </c>
      <c r="O991" s="169" t="s">
        <v>77</v>
      </c>
      <c r="P991" s="203">
        <v>79.52</v>
      </c>
      <c r="Q991" s="191">
        <v>92.36</v>
      </c>
      <c r="R991" s="170" t="s">
        <v>68</v>
      </c>
      <c r="S991" s="168" t="s">
        <v>2531</v>
      </c>
      <c r="T991" s="202" t="s">
        <v>1363</v>
      </c>
      <c r="U991" t="str">
        <f t="shared" si="13"/>
        <v>Puka Quakes</v>
      </c>
    </row>
    <row r="992" hidden="1">
      <c r="A992" s="32" t="str">
        <f t="shared" si="1"/>
        <v>2024PiersonWeek 6</v>
      </c>
      <c r="B992" s="32" t="str">
        <f t="shared" si="2"/>
        <v>2024TayskiWeek 6</v>
      </c>
      <c r="C992" s="32" t="str">
        <f t="shared" si="3"/>
        <v>Week 6</v>
      </c>
      <c r="D992" s="32">
        <v>2024.0</v>
      </c>
      <c r="E992" t="str">
        <f t="shared" si="15"/>
        <v>6</v>
      </c>
      <c r="F992" t="str">
        <f t="shared" si="5"/>
        <v>Pierson Curtis</v>
      </c>
      <c r="G992" s="40" t="str">
        <f>VLOOKUP(F992,'Manager Coding'!C:D,2,0)</f>
        <v>Pierson</v>
      </c>
      <c r="H992" s="41">
        <f t="shared" si="6"/>
        <v>94.82</v>
      </c>
      <c r="I992" t="str">
        <f t="shared" si="7"/>
        <v>Taylor Weis</v>
      </c>
      <c r="J992" t="str">
        <f>VLOOKUP(I992,'Manager Coding'!C:D,2,0)</f>
        <v>Tayski</v>
      </c>
      <c r="K992" s="41">
        <f t="shared" si="8"/>
        <v>123.4</v>
      </c>
      <c r="L992">
        <f t="shared" si="9"/>
        <v>0</v>
      </c>
      <c r="M992">
        <f t="shared" si="10"/>
        <v>1</v>
      </c>
      <c r="N992" s="128" t="s">
        <v>2521</v>
      </c>
      <c r="O992" s="129" t="s">
        <v>93</v>
      </c>
      <c r="P992" s="192">
        <v>94.82</v>
      </c>
      <c r="Q992" s="195">
        <v>123.4</v>
      </c>
      <c r="R992" s="130" t="s">
        <v>54</v>
      </c>
      <c r="S992" s="128" t="s">
        <v>2530</v>
      </c>
      <c r="T992" s="202" t="s">
        <v>2550</v>
      </c>
      <c r="U992" t="str">
        <f t="shared" si="13"/>
        <v>Blizzard Boys</v>
      </c>
    </row>
    <row r="993" hidden="1">
      <c r="A993" s="32" t="str">
        <f t="shared" si="1"/>
        <v>2024KnardDawgWeek 6</v>
      </c>
      <c r="B993" s="32" t="str">
        <f t="shared" si="2"/>
        <v>2024BuserWeek 6</v>
      </c>
      <c r="C993" s="32" t="str">
        <f t="shared" si="3"/>
        <v>Week 6</v>
      </c>
      <c r="D993" s="32">
        <v>2024.0</v>
      </c>
      <c r="E993" t="str">
        <f t="shared" si="15"/>
        <v>6</v>
      </c>
      <c r="F993" t="str">
        <f t="shared" si="5"/>
        <v>Alex Kinniard, Jack Reilly</v>
      </c>
      <c r="G993" s="40" t="str">
        <f>VLOOKUP(F993,'Manager Coding'!C:D,2,0)</f>
        <v>KnardDawg</v>
      </c>
      <c r="H993" s="41">
        <f t="shared" si="6"/>
        <v>78.54</v>
      </c>
      <c r="I993" t="str">
        <f t="shared" si="7"/>
        <v>Ed Buser</v>
      </c>
      <c r="J993" t="str">
        <f>VLOOKUP(I993,'Manager Coding'!C:D,2,0)</f>
        <v>Buser</v>
      </c>
      <c r="K993" s="41">
        <f t="shared" si="8"/>
        <v>103.22</v>
      </c>
      <c r="L993">
        <f t="shared" si="9"/>
        <v>0</v>
      </c>
      <c r="M993">
        <f t="shared" si="10"/>
        <v>1</v>
      </c>
      <c r="N993" s="131" t="s">
        <v>2518</v>
      </c>
      <c r="O993" s="132" t="s">
        <v>87</v>
      </c>
      <c r="P993" s="192">
        <v>78.54</v>
      </c>
      <c r="Q993" s="195">
        <v>103.22</v>
      </c>
      <c r="R993" s="133" t="s">
        <v>50</v>
      </c>
      <c r="S993" s="131" t="s">
        <v>2526</v>
      </c>
      <c r="T993" s="202" t="s">
        <v>1341</v>
      </c>
      <c r="U993" t="str">
        <f t="shared" si="13"/>
        <v>NoMoore 4KDrought</v>
      </c>
    </row>
    <row r="994" hidden="1">
      <c r="A994" s="32" t="str">
        <f t="shared" si="1"/>
        <v>2024CockWeek 6</v>
      </c>
      <c r="B994" s="32" t="str">
        <f t="shared" si="2"/>
        <v>2024EwertWeek 6</v>
      </c>
      <c r="C994" s="32" t="str">
        <f t="shared" si="3"/>
        <v>Week 6</v>
      </c>
      <c r="D994" s="32">
        <v>2024.0</v>
      </c>
      <c r="E994" t="str">
        <f t="shared" si="15"/>
        <v>6</v>
      </c>
      <c r="F994" t="str">
        <f t="shared" si="5"/>
        <v>Chris Cochrane</v>
      </c>
      <c r="G994" s="40" t="str">
        <f>VLOOKUP(F994,'Manager Coding'!C:D,2,0)</f>
        <v>Cock</v>
      </c>
      <c r="H994" s="41">
        <f t="shared" si="6"/>
        <v>128.3</v>
      </c>
      <c r="I994" t="str">
        <f t="shared" si="7"/>
        <v>Kyle Ewert, brad starck</v>
      </c>
      <c r="J994" t="str">
        <f>VLOOKUP(I994,'Manager Coding'!C:D,2,0)</f>
        <v>Ewert</v>
      </c>
      <c r="K994" s="41">
        <f t="shared" si="8"/>
        <v>84.98</v>
      </c>
      <c r="L994">
        <f t="shared" si="9"/>
        <v>1</v>
      </c>
      <c r="M994">
        <f t="shared" si="10"/>
        <v>0</v>
      </c>
      <c r="N994" s="128" t="s">
        <v>2513</v>
      </c>
      <c r="O994" s="129" t="s">
        <v>99</v>
      </c>
      <c r="P994" s="192">
        <v>128.3</v>
      </c>
      <c r="Q994" s="195">
        <v>84.98</v>
      </c>
      <c r="R994" s="130" t="s">
        <v>105</v>
      </c>
      <c r="S994" s="128" t="s">
        <v>2523</v>
      </c>
      <c r="T994" s="202" t="s">
        <v>1372</v>
      </c>
      <c r="U994" t="str">
        <f t="shared" si="13"/>
        <v>Chase'n Purdy Big Twisters</v>
      </c>
    </row>
    <row r="995" hidden="1">
      <c r="A995" s="32" t="str">
        <f t="shared" si="1"/>
        <v>2024HudspeathWeek 6</v>
      </c>
      <c r="B995" s="32" t="str">
        <f t="shared" si="2"/>
        <v>2024T-HowWeek 6</v>
      </c>
      <c r="C995" s="32" t="str">
        <f t="shared" si="3"/>
        <v>Week 6</v>
      </c>
      <c r="D995" s="32">
        <v>2024.0</v>
      </c>
      <c r="E995" t="str">
        <f t="shared" si="15"/>
        <v>6</v>
      </c>
      <c r="F995" t="str">
        <f t="shared" si="5"/>
        <v>matt hudspeath</v>
      </c>
      <c r="G995" s="40" t="str">
        <f>VLOOKUP(F995,'Manager Coding'!C:D,2,0)</f>
        <v>Hudspeath</v>
      </c>
      <c r="H995" s="41">
        <f t="shared" si="6"/>
        <v>66.7</v>
      </c>
      <c r="I995" t="str">
        <f t="shared" si="7"/>
        <v>Tyler Howard</v>
      </c>
      <c r="J995" t="str">
        <f>VLOOKUP(I995,'Manager Coding'!C:D,2,0)</f>
        <v>T-How</v>
      </c>
      <c r="K995" s="41">
        <f t="shared" si="8"/>
        <v>136.26</v>
      </c>
      <c r="L995">
        <f t="shared" si="9"/>
        <v>0</v>
      </c>
      <c r="M995">
        <f t="shared" si="10"/>
        <v>1</v>
      </c>
      <c r="N995" s="131" t="s">
        <v>2516</v>
      </c>
      <c r="O995" s="132" t="s">
        <v>64</v>
      </c>
      <c r="P995" s="192">
        <v>66.7</v>
      </c>
      <c r="Q995" s="195">
        <v>136.26</v>
      </c>
      <c r="R995" s="133" t="s">
        <v>85</v>
      </c>
      <c r="S995" s="131" t="s">
        <v>2520</v>
      </c>
      <c r="T995" s="202" t="s">
        <v>1378</v>
      </c>
      <c r="U995" t="str">
        <f t="shared" si="13"/>
        <v>Caleb's Year</v>
      </c>
    </row>
    <row r="996" hidden="1">
      <c r="A996" s="32" t="str">
        <f t="shared" si="1"/>
        <v>#N/A</v>
      </c>
      <c r="B996" s="32" t="str">
        <f t="shared" si="2"/>
        <v>#N/A</v>
      </c>
      <c r="C996" s="32" t="str">
        <f t="shared" si="3"/>
        <v>Week 6</v>
      </c>
      <c r="D996" s="32">
        <v>2024.0</v>
      </c>
      <c r="E996" t="str">
        <f t="shared" si="15"/>
        <v>6</v>
      </c>
      <c r="F996" t="str">
        <f t="shared" si="5"/>
        <v/>
      </c>
      <c r="G996" s="40" t="str">
        <f>VLOOKUP(F996,'Manager Coding'!C:D,2,0)</f>
        <v>#N/A</v>
      </c>
      <c r="H996" s="41" t="str">
        <f t="shared" si="6"/>
        <v/>
      </c>
      <c r="I996" t="str">
        <f t="shared" si="7"/>
        <v/>
      </c>
      <c r="J996" t="str">
        <f>VLOOKUP(I996,'Manager Coding'!C:D,2,0)</f>
        <v>#N/A</v>
      </c>
      <c r="K996" s="41" t="str">
        <f t="shared" si="8"/>
        <v/>
      </c>
      <c r="L996">
        <f t="shared" si="9"/>
        <v>0</v>
      </c>
      <c r="M996">
        <f t="shared" si="10"/>
        <v>0</v>
      </c>
      <c r="N996" s="162" t="s">
        <v>340</v>
      </c>
      <c r="O996" s="205"/>
      <c r="P996" s="205"/>
      <c r="Q996" s="205"/>
      <c r="R996" s="205"/>
      <c r="S996" s="205"/>
      <c r="T996" s="199" t="e">
        <v>#VALUE!</v>
      </c>
      <c r="U996" t="str">
        <f t="shared" si="13"/>
        <v>#VALUE!</v>
      </c>
    </row>
    <row r="997" hidden="1">
      <c r="A997" s="32" t="str">
        <f t="shared" si="1"/>
        <v>#N/A</v>
      </c>
      <c r="B997" s="32" t="str">
        <f t="shared" si="2"/>
        <v>#N/A</v>
      </c>
      <c r="C997" s="32" t="str">
        <f t="shared" si="3"/>
        <v>Week 7</v>
      </c>
      <c r="D997" s="32">
        <v>2024.0</v>
      </c>
      <c r="E997" t="str">
        <f t="shared" si="15"/>
        <v>7</v>
      </c>
      <c r="F997" t="str">
        <f t="shared" si="5"/>
        <v>TEAM MANAGER(S)</v>
      </c>
      <c r="G997" s="40" t="str">
        <f>VLOOKUP(F997,'Manager Coding'!C:D,2,0)</f>
        <v>#N/A</v>
      </c>
      <c r="H997" s="41" t="str">
        <f t="shared" si="6"/>
        <v>Score</v>
      </c>
      <c r="I997" t="str">
        <f t="shared" si="7"/>
        <v>TEAM MANAGER(S)</v>
      </c>
      <c r="J997" t="str">
        <f>VLOOKUP(I997,'Manager Coding'!C:D,2,0)</f>
        <v>#N/A</v>
      </c>
      <c r="K997" s="41" t="str">
        <f t="shared" si="8"/>
        <v>Score</v>
      </c>
      <c r="L997">
        <f t="shared" si="9"/>
        <v>0</v>
      </c>
      <c r="M997">
        <f t="shared" si="10"/>
        <v>0</v>
      </c>
      <c r="N997" s="78" t="s">
        <v>197</v>
      </c>
      <c r="O997" s="78" t="s">
        <v>88</v>
      </c>
      <c r="P997" s="79" t="s">
        <v>59</v>
      </c>
      <c r="Q997" s="78" t="s">
        <v>59</v>
      </c>
      <c r="R997" s="79" t="s">
        <v>88</v>
      </c>
      <c r="S997" s="79" t="s">
        <v>101</v>
      </c>
      <c r="T997" s="199" t="e">
        <v>#VALUE!</v>
      </c>
      <c r="U997" t="str">
        <f t="shared" si="13"/>
        <v>#VALUE!</v>
      </c>
    </row>
    <row r="998" hidden="1">
      <c r="A998" s="32" t="str">
        <f t="shared" si="1"/>
        <v>2024Rooney/JacksonWeek 7</v>
      </c>
      <c r="B998" s="32" t="str">
        <f t="shared" si="2"/>
        <v>2024RileyWeek 7</v>
      </c>
      <c r="C998" s="32" t="str">
        <f t="shared" si="3"/>
        <v>Week 7</v>
      </c>
      <c r="D998" s="32">
        <v>2024.0</v>
      </c>
      <c r="E998" t="str">
        <f t="shared" si="15"/>
        <v>7</v>
      </c>
      <c r="F998" t="str">
        <f t="shared" si="5"/>
        <v>Stephen Rooney, Jackson Sattell</v>
      </c>
      <c r="G998" s="40" t="str">
        <f>VLOOKUP(F998,'Manager Coding'!C:D,2,0)</f>
        <v>Rooney/Jackson</v>
      </c>
      <c r="H998" s="41">
        <f t="shared" si="6"/>
        <v>92.04</v>
      </c>
      <c r="I998" t="str">
        <f t="shared" si="7"/>
        <v>Riley McElwain</v>
      </c>
      <c r="J998" t="str">
        <f>VLOOKUP(I998,'Manager Coding'!C:D,2,0)</f>
        <v>Riley</v>
      </c>
      <c r="K998" s="41">
        <f t="shared" si="8"/>
        <v>95.2</v>
      </c>
      <c r="L998">
        <f t="shared" si="9"/>
        <v>0</v>
      </c>
      <c r="M998">
        <f t="shared" si="10"/>
        <v>1</v>
      </c>
      <c r="N998" s="153" t="s">
        <v>2514</v>
      </c>
      <c r="O998" s="129" t="s">
        <v>58</v>
      </c>
      <c r="P998" s="192">
        <v>92.04</v>
      </c>
      <c r="Q998" s="195">
        <v>95.2</v>
      </c>
      <c r="R998" s="130" t="s">
        <v>68</v>
      </c>
      <c r="S998" s="128" t="s">
        <v>2531</v>
      </c>
      <c r="T998" s="202" t="s">
        <v>1363</v>
      </c>
      <c r="U998" t="str">
        <f t="shared" si="13"/>
        <v>Mahomes Flooded</v>
      </c>
    </row>
    <row r="999" hidden="1">
      <c r="A999" s="32" t="str">
        <f t="shared" si="1"/>
        <v>2024TayskiWeek 7</v>
      </c>
      <c r="B999" s="32" t="str">
        <f t="shared" si="2"/>
        <v>2024ShepWeek 7</v>
      </c>
      <c r="C999" s="32" t="str">
        <f t="shared" si="3"/>
        <v>Week 7</v>
      </c>
      <c r="D999" s="32">
        <v>2024.0</v>
      </c>
      <c r="E999" t="str">
        <f t="shared" si="15"/>
        <v>7</v>
      </c>
      <c r="F999" t="str">
        <f t="shared" si="5"/>
        <v>Taylor Weis</v>
      </c>
      <c r="G999" s="40" t="str">
        <f>VLOOKUP(F999,'Manager Coding'!C:D,2,0)</f>
        <v>Tayski</v>
      </c>
      <c r="H999" s="41">
        <f t="shared" si="6"/>
        <v>107.42</v>
      </c>
      <c r="I999" t="str">
        <f t="shared" si="7"/>
        <v>Jordan Shepherd</v>
      </c>
      <c r="J999" t="str">
        <f>VLOOKUP(I999,'Manager Coding'!C:D,2,0)</f>
        <v>Shep</v>
      </c>
      <c r="K999" s="41">
        <f t="shared" si="8"/>
        <v>93.94</v>
      </c>
      <c r="L999">
        <f t="shared" si="9"/>
        <v>1</v>
      </c>
      <c r="M999">
        <f t="shared" si="10"/>
        <v>0</v>
      </c>
      <c r="N999" s="168" t="s">
        <v>2530</v>
      </c>
      <c r="O999" s="169" t="s">
        <v>54</v>
      </c>
      <c r="P999" s="203">
        <v>107.42</v>
      </c>
      <c r="Q999" s="191">
        <v>93.94</v>
      </c>
      <c r="R999" s="170" t="s">
        <v>91</v>
      </c>
      <c r="S999" s="168" t="s">
        <v>2528</v>
      </c>
      <c r="T999" s="202" t="s">
        <v>1392</v>
      </c>
      <c r="U999" t="str">
        <f t="shared" si="13"/>
        <v>WeisFire</v>
      </c>
    </row>
    <row r="1000" hidden="1">
      <c r="A1000" s="32" t="str">
        <f t="shared" si="1"/>
        <v>2024BuserWeek 7</v>
      </c>
      <c r="B1000" s="32" t="str">
        <f t="shared" si="2"/>
        <v>2024SaltyWeek 7</v>
      </c>
      <c r="C1000" s="32" t="str">
        <f t="shared" si="3"/>
        <v>Week 7</v>
      </c>
      <c r="D1000" s="32">
        <v>2024.0</v>
      </c>
      <c r="E1000" t="str">
        <f t="shared" si="15"/>
        <v>7</v>
      </c>
      <c r="F1000" t="str">
        <f t="shared" si="5"/>
        <v>Ed Buser</v>
      </c>
      <c r="G1000" s="40" t="str">
        <f>VLOOKUP(F1000,'Manager Coding'!C:D,2,0)</f>
        <v>Buser</v>
      </c>
      <c r="H1000" s="41">
        <f t="shared" si="6"/>
        <v>94.5</v>
      </c>
      <c r="I1000" t="str">
        <f t="shared" si="7"/>
        <v>R Saltiel</v>
      </c>
      <c r="J1000" t="str">
        <f>VLOOKUP(I1000,'Manager Coding'!C:D,2,0)</f>
        <v>Salty</v>
      </c>
      <c r="K1000" s="41">
        <f t="shared" si="8"/>
        <v>104.84</v>
      </c>
      <c r="L1000">
        <f t="shared" si="9"/>
        <v>0</v>
      </c>
      <c r="M1000">
        <f t="shared" si="10"/>
        <v>1</v>
      </c>
      <c r="N1000" s="128" t="s">
        <v>2526</v>
      </c>
      <c r="O1000" s="129" t="s">
        <v>50</v>
      </c>
      <c r="P1000" s="192">
        <v>94.5</v>
      </c>
      <c r="Q1000" s="195">
        <v>104.84</v>
      </c>
      <c r="R1000" s="130" t="s">
        <v>77</v>
      </c>
      <c r="S1000" s="128" t="s">
        <v>2525</v>
      </c>
      <c r="T1000" s="202" t="s">
        <v>1368</v>
      </c>
      <c r="U1000" t="str">
        <f t="shared" si="13"/>
        <v>Hurricane Andrews</v>
      </c>
    </row>
    <row r="1001" hidden="1">
      <c r="A1001" s="32" t="str">
        <f t="shared" si="1"/>
        <v>2024EwertWeek 7</v>
      </c>
      <c r="B1001" s="32" t="str">
        <f t="shared" si="2"/>
        <v>2024PiersonWeek 7</v>
      </c>
      <c r="C1001" s="32" t="str">
        <f t="shared" si="3"/>
        <v>Week 7</v>
      </c>
      <c r="D1001" s="32">
        <v>2024.0</v>
      </c>
      <c r="E1001" t="str">
        <f t="shared" si="15"/>
        <v>7</v>
      </c>
      <c r="F1001" t="str">
        <f t="shared" si="5"/>
        <v>Kyle Ewert, brad starck</v>
      </c>
      <c r="G1001" s="40" t="str">
        <f>VLOOKUP(F1001,'Manager Coding'!C:D,2,0)</f>
        <v>Ewert</v>
      </c>
      <c r="H1001" s="41">
        <f t="shared" si="6"/>
        <v>96.38</v>
      </c>
      <c r="I1001" t="str">
        <f t="shared" si="7"/>
        <v>Pierson Curtis</v>
      </c>
      <c r="J1001" t="str">
        <f>VLOOKUP(I1001,'Manager Coding'!C:D,2,0)</f>
        <v>Pierson</v>
      </c>
      <c r="K1001" s="41">
        <f t="shared" si="8"/>
        <v>94.24</v>
      </c>
      <c r="L1001">
        <f t="shared" si="9"/>
        <v>1</v>
      </c>
      <c r="M1001">
        <f t="shared" si="10"/>
        <v>0</v>
      </c>
      <c r="N1001" s="131" t="s">
        <v>2523</v>
      </c>
      <c r="O1001" s="132" t="s">
        <v>105</v>
      </c>
      <c r="P1001" s="192">
        <v>96.38</v>
      </c>
      <c r="Q1001" s="195">
        <v>94.24</v>
      </c>
      <c r="R1001" s="133" t="s">
        <v>93</v>
      </c>
      <c r="S1001" s="131" t="s">
        <v>2521</v>
      </c>
      <c r="T1001" s="202" t="s">
        <v>1398</v>
      </c>
      <c r="U1001" t="str">
        <f t="shared" si="13"/>
        <v>Whiteout</v>
      </c>
    </row>
    <row r="1002" hidden="1">
      <c r="A1002" s="32" t="str">
        <f t="shared" si="1"/>
        <v>2024T-HowWeek 7</v>
      </c>
      <c r="B1002" s="32" t="str">
        <f t="shared" si="2"/>
        <v>2024KnardDawgWeek 7</v>
      </c>
      <c r="C1002" s="32" t="str">
        <f t="shared" si="3"/>
        <v>Week 7</v>
      </c>
      <c r="D1002" s="32">
        <v>2024.0</v>
      </c>
      <c r="E1002" t="str">
        <f t="shared" si="15"/>
        <v>7</v>
      </c>
      <c r="F1002" t="str">
        <f t="shared" si="5"/>
        <v>Tyler Howard</v>
      </c>
      <c r="G1002" s="40" t="str">
        <f>VLOOKUP(F1002,'Manager Coding'!C:D,2,0)</f>
        <v>T-How</v>
      </c>
      <c r="H1002" s="41">
        <f t="shared" si="6"/>
        <v>86.76</v>
      </c>
      <c r="I1002" t="str">
        <f t="shared" si="7"/>
        <v>Alex Kinniard, Jack Reilly</v>
      </c>
      <c r="J1002" t="str">
        <f>VLOOKUP(I1002,'Manager Coding'!C:D,2,0)</f>
        <v>KnardDawg</v>
      </c>
      <c r="K1002" s="41">
        <f t="shared" si="8"/>
        <v>92.08</v>
      </c>
      <c r="L1002">
        <f t="shared" si="9"/>
        <v>0</v>
      </c>
      <c r="M1002">
        <f t="shared" si="10"/>
        <v>1</v>
      </c>
      <c r="N1002" s="128" t="s">
        <v>2520</v>
      </c>
      <c r="O1002" s="129" t="s">
        <v>85</v>
      </c>
      <c r="P1002" s="192">
        <v>86.76</v>
      </c>
      <c r="Q1002" s="195">
        <v>92.08</v>
      </c>
      <c r="R1002" s="130" t="s">
        <v>87</v>
      </c>
      <c r="S1002" s="128" t="s">
        <v>2518</v>
      </c>
      <c r="T1002" s="202" t="s">
        <v>1384</v>
      </c>
      <c r="U1002" t="str">
        <f t="shared" si="13"/>
        <v>Hurtswaves</v>
      </c>
    </row>
    <row r="1003" hidden="1">
      <c r="A1003" s="32" t="str">
        <f t="shared" si="1"/>
        <v>2024HudspeathWeek 7</v>
      </c>
      <c r="B1003" s="32" t="str">
        <f t="shared" si="2"/>
        <v>2024CockWeek 7</v>
      </c>
      <c r="C1003" s="32" t="str">
        <f t="shared" si="3"/>
        <v>Week 7</v>
      </c>
      <c r="D1003" s="32">
        <v>2024.0</v>
      </c>
      <c r="E1003" t="str">
        <f t="shared" si="15"/>
        <v>7</v>
      </c>
      <c r="F1003" t="str">
        <f t="shared" si="5"/>
        <v>matt hudspeath</v>
      </c>
      <c r="G1003" s="40" t="str">
        <f>VLOOKUP(F1003,'Manager Coding'!C:D,2,0)</f>
        <v>Hudspeath</v>
      </c>
      <c r="H1003" s="41">
        <f t="shared" si="6"/>
        <v>87</v>
      </c>
      <c r="I1003" t="str">
        <f t="shared" si="7"/>
        <v>Chris Cochrane</v>
      </c>
      <c r="J1003" t="str">
        <f>VLOOKUP(I1003,'Manager Coding'!C:D,2,0)</f>
        <v>Cock</v>
      </c>
      <c r="K1003" s="41">
        <f t="shared" si="8"/>
        <v>64.68</v>
      </c>
      <c r="L1003">
        <f t="shared" si="9"/>
        <v>1</v>
      </c>
      <c r="M1003">
        <f t="shared" si="10"/>
        <v>0</v>
      </c>
      <c r="N1003" s="131" t="s">
        <v>2516</v>
      </c>
      <c r="O1003" s="132" t="s">
        <v>64</v>
      </c>
      <c r="P1003" s="192">
        <v>87.0</v>
      </c>
      <c r="Q1003" s="195">
        <v>64.68</v>
      </c>
      <c r="R1003" s="133" t="s">
        <v>99</v>
      </c>
      <c r="S1003" s="131" t="s">
        <v>2513</v>
      </c>
      <c r="T1003" s="202" t="s">
        <v>1366</v>
      </c>
      <c r="U1003" t="str">
        <f t="shared" si="13"/>
        <v>Caleb's Year</v>
      </c>
    </row>
    <row r="1004" hidden="1">
      <c r="A1004" s="32" t="str">
        <f t="shared" si="1"/>
        <v>#N/A</v>
      </c>
      <c r="B1004" s="32" t="str">
        <f t="shared" si="2"/>
        <v>#N/A</v>
      </c>
      <c r="C1004" s="32" t="str">
        <f t="shared" si="3"/>
        <v>Week 7</v>
      </c>
      <c r="D1004" s="32">
        <v>2024.0</v>
      </c>
      <c r="E1004" t="str">
        <f t="shared" si="15"/>
        <v>7</v>
      </c>
      <c r="F1004" t="str">
        <f t="shared" si="5"/>
        <v/>
      </c>
      <c r="G1004" s="40" t="str">
        <f>VLOOKUP(F1004,'Manager Coding'!C:D,2,0)</f>
        <v>#N/A</v>
      </c>
      <c r="H1004" s="41" t="str">
        <f t="shared" si="6"/>
        <v/>
      </c>
      <c r="I1004" t="str">
        <f t="shared" si="7"/>
        <v/>
      </c>
      <c r="J1004" t="str">
        <f>VLOOKUP(I1004,'Manager Coding'!C:D,2,0)</f>
        <v>#N/A</v>
      </c>
      <c r="K1004" s="41" t="str">
        <f t="shared" si="8"/>
        <v/>
      </c>
      <c r="L1004">
        <f t="shared" si="9"/>
        <v>0</v>
      </c>
      <c r="M1004">
        <f t="shared" si="10"/>
        <v>0</v>
      </c>
      <c r="N1004" s="162" t="s">
        <v>367</v>
      </c>
      <c r="O1004" s="198"/>
      <c r="P1004" s="198"/>
      <c r="Q1004" s="198"/>
      <c r="R1004" s="198"/>
      <c r="S1004" s="198"/>
      <c r="T1004" s="199" t="e">
        <v>#VALUE!</v>
      </c>
      <c r="U1004" t="str">
        <f t="shared" si="13"/>
        <v>#VALUE!</v>
      </c>
    </row>
    <row r="1005" hidden="1">
      <c r="A1005" s="32" t="str">
        <f t="shared" si="1"/>
        <v>#N/A</v>
      </c>
      <c r="B1005" s="32" t="str">
        <f t="shared" si="2"/>
        <v>#N/A</v>
      </c>
      <c r="C1005" s="32" t="str">
        <f t="shared" si="3"/>
        <v>Week 8</v>
      </c>
      <c r="D1005" s="32">
        <v>2024.0</v>
      </c>
      <c r="E1005" t="str">
        <f t="shared" si="15"/>
        <v>8</v>
      </c>
      <c r="F1005" t="str">
        <f t="shared" si="5"/>
        <v>TEAM MANAGER(S)</v>
      </c>
      <c r="G1005" s="40" t="str">
        <f>VLOOKUP(F1005,'Manager Coding'!C:D,2,0)</f>
        <v>#N/A</v>
      </c>
      <c r="H1005" s="41" t="str">
        <f t="shared" si="6"/>
        <v>Score</v>
      </c>
      <c r="I1005" t="str">
        <f t="shared" si="7"/>
        <v>TEAM MANAGER(S)</v>
      </c>
      <c r="J1005" t="str">
        <f>VLOOKUP(I1005,'Manager Coding'!C:D,2,0)</f>
        <v>#N/A</v>
      </c>
      <c r="K1005" s="41" t="str">
        <f t="shared" si="8"/>
        <v>Score</v>
      </c>
      <c r="L1005">
        <f t="shared" si="9"/>
        <v>0</v>
      </c>
      <c r="M1005">
        <f t="shared" si="10"/>
        <v>0</v>
      </c>
      <c r="N1005" s="78" t="s">
        <v>197</v>
      </c>
      <c r="O1005" s="78" t="s">
        <v>88</v>
      </c>
      <c r="P1005" s="79" t="s">
        <v>59</v>
      </c>
      <c r="Q1005" s="78" t="s">
        <v>59</v>
      </c>
      <c r="R1005" s="79" t="s">
        <v>88</v>
      </c>
      <c r="S1005" s="79" t="s">
        <v>101</v>
      </c>
      <c r="T1005" s="199" t="e">
        <v>#VALUE!</v>
      </c>
      <c r="U1005" t="str">
        <f t="shared" si="13"/>
        <v>#VALUE!</v>
      </c>
    </row>
    <row r="1006" hidden="1">
      <c r="A1006" s="32" t="str">
        <f t="shared" si="1"/>
        <v>2024TayskiWeek 8</v>
      </c>
      <c r="B1006" s="32" t="str">
        <f t="shared" si="2"/>
        <v>2024Rooney/JacksonWeek 8</v>
      </c>
      <c r="C1006" s="32" t="str">
        <f t="shared" si="3"/>
        <v>Week 8</v>
      </c>
      <c r="D1006" s="32">
        <v>2024.0</v>
      </c>
      <c r="E1006" t="str">
        <f t="shared" si="15"/>
        <v>8</v>
      </c>
      <c r="F1006" t="str">
        <f t="shared" si="5"/>
        <v>Taylor Weis</v>
      </c>
      <c r="G1006" s="40" t="str">
        <f>VLOOKUP(F1006,'Manager Coding'!C:D,2,0)</f>
        <v>Tayski</v>
      </c>
      <c r="H1006" s="41">
        <f t="shared" si="6"/>
        <v>103.12</v>
      </c>
      <c r="I1006" t="str">
        <f t="shared" si="7"/>
        <v>Stephen Rooney, Jackson Sattell</v>
      </c>
      <c r="J1006" t="str">
        <f>VLOOKUP(I1006,'Manager Coding'!C:D,2,0)</f>
        <v>Rooney/Jackson</v>
      </c>
      <c r="K1006" s="41">
        <f t="shared" si="8"/>
        <v>106.64</v>
      </c>
      <c r="L1006">
        <f t="shared" si="9"/>
        <v>0</v>
      </c>
      <c r="M1006">
        <f t="shared" si="10"/>
        <v>1</v>
      </c>
      <c r="N1006" s="153" t="s">
        <v>2530</v>
      </c>
      <c r="O1006" s="129" t="s">
        <v>54</v>
      </c>
      <c r="P1006" s="192">
        <v>103.12</v>
      </c>
      <c r="Q1006" s="195">
        <v>106.64</v>
      </c>
      <c r="R1006" s="130" t="s">
        <v>58</v>
      </c>
      <c r="S1006" s="128" t="s">
        <v>2514</v>
      </c>
      <c r="T1006" s="202" t="s">
        <v>1353</v>
      </c>
      <c r="U1006" t="str">
        <f t="shared" si="13"/>
        <v>WeisFire</v>
      </c>
    </row>
    <row r="1007" hidden="1">
      <c r="A1007" s="32" t="str">
        <f t="shared" si="1"/>
        <v>2024RileyWeek 8</v>
      </c>
      <c r="B1007" s="32" t="str">
        <f t="shared" si="2"/>
        <v>2024BuserWeek 8</v>
      </c>
      <c r="C1007" s="32" t="str">
        <f t="shared" si="3"/>
        <v>Week 8</v>
      </c>
      <c r="D1007" s="32">
        <v>2024.0</v>
      </c>
      <c r="E1007" t="str">
        <f t="shared" si="15"/>
        <v>8</v>
      </c>
      <c r="F1007" t="str">
        <f t="shared" si="5"/>
        <v>Riley McElwain</v>
      </c>
      <c r="G1007" s="40" t="str">
        <f>VLOOKUP(F1007,'Manager Coding'!C:D,2,0)</f>
        <v>Riley</v>
      </c>
      <c r="H1007" s="41">
        <f t="shared" si="6"/>
        <v>118.38</v>
      </c>
      <c r="I1007" t="str">
        <f t="shared" si="7"/>
        <v>Ed Buser</v>
      </c>
      <c r="J1007" t="str">
        <f>VLOOKUP(I1007,'Manager Coding'!C:D,2,0)</f>
        <v>Buser</v>
      </c>
      <c r="K1007" s="41">
        <f t="shared" si="8"/>
        <v>121.24</v>
      </c>
      <c r="L1007">
        <f t="shared" si="9"/>
        <v>0</v>
      </c>
      <c r="M1007">
        <f t="shared" si="10"/>
        <v>1</v>
      </c>
      <c r="N1007" s="168" t="s">
        <v>2531</v>
      </c>
      <c r="O1007" s="169" t="s">
        <v>68</v>
      </c>
      <c r="P1007" s="203">
        <v>118.38</v>
      </c>
      <c r="Q1007" s="191">
        <v>121.24</v>
      </c>
      <c r="R1007" s="170" t="s">
        <v>50</v>
      </c>
      <c r="S1007" s="168" t="s">
        <v>2526</v>
      </c>
      <c r="T1007" s="202" t="s">
        <v>1341</v>
      </c>
      <c r="U1007" t="str">
        <f t="shared" si="13"/>
        <v>Moodslide</v>
      </c>
    </row>
    <row r="1008" hidden="1">
      <c r="A1008" s="32" t="str">
        <f t="shared" si="1"/>
        <v>2024ShepWeek 8</v>
      </c>
      <c r="B1008" s="32" t="str">
        <f t="shared" si="2"/>
        <v>2024EwertWeek 8</v>
      </c>
      <c r="C1008" s="32" t="str">
        <f t="shared" si="3"/>
        <v>Week 8</v>
      </c>
      <c r="D1008" s="32">
        <v>2024.0</v>
      </c>
      <c r="E1008" t="str">
        <f t="shared" si="15"/>
        <v>8</v>
      </c>
      <c r="F1008" t="str">
        <f t="shared" si="5"/>
        <v>Jordan Shepherd</v>
      </c>
      <c r="G1008" s="40" t="str">
        <f>VLOOKUP(F1008,'Manager Coding'!C:D,2,0)</f>
        <v>Shep</v>
      </c>
      <c r="H1008" s="41">
        <f t="shared" si="6"/>
        <v>72.3</v>
      </c>
      <c r="I1008" t="str">
        <f t="shared" si="7"/>
        <v>Kyle Ewert, brad starck</v>
      </c>
      <c r="J1008" t="str">
        <f>VLOOKUP(I1008,'Manager Coding'!C:D,2,0)</f>
        <v>Ewert</v>
      </c>
      <c r="K1008" s="41">
        <f t="shared" si="8"/>
        <v>84.78</v>
      </c>
      <c r="L1008">
        <f t="shared" si="9"/>
        <v>0</v>
      </c>
      <c r="M1008">
        <f t="shared" si="10"/>
        <v>1</v>
      </c>
      <c r="N1008" s="128" t="s">
        <v>2528</v>
      </c>
      <c r="O1008" s="129" t="s">
        <v>91</v>
      </c>
      <c r="P1008" s="192">
        <v>72.3</v>
      </c>
      <c r="Q1008" s="195">
        <v>84.78</v>
      </c>
      <c r="R1008" s="130" t="s">
        <v>105</v>
      </c>
      <c r="S1008" s="128" t="s">
        <v>2523</v>
      </c>
      <c r="T1008" s="202" t="s">
        <v>1372</v>
      </c>
      <c r="U1008" t="str">
        <f t="shared" si="13"/>
        <v>Bhola Breece's Storm Surge</v>
      </c>
    </row>
    <row r="1009" hidden="1">
      <c r="A1009" s="32" t="str">
        <f t="shared" si="1"/>
        <v>2024SaltyWeek 8</v>
      </c>
      <c r="B1009" s="32" t="str">
        <f t="shared" si="2"/>
        <v>2024T-HowWeek 8</v>
      </c>
      <c r="C1009" s="32" t="str">
        <f t="shared" si="3"/>
        <v>Week 8</v>
      </c>
      <c r="D1009" s="32">
        <v>2024.0</v>
      </c>
      <c r="E1009" t="str">
        <f t="shared" si="15"/>
        <v>8</v>
      </c>
      <c r="F1009" t="str">
        <f t="shared" si="5"/>
        <v>R Saltiel</v>
      </c>
      <c r="G1009" s="40" t="str">
        <f>VLOOKUP(F1009,'Manager Coding'!C:D,2,0)</f>
        <v>Salty</v>
      </c>
      <c r="H1009" s="41">
        <f t="shared" si="6"/>
        <v>85.88</v>
      </c>
      <c r="I1009" t="str">
        <f t="shared" si="7"/>
        <v>Tyler Howard</v>
      </c>
      <c r="J1009" t="str">
        <f>VLOOKUP(I1009,'Manager Coding'!C:D,2,0)</f>
        <v>T-How</v>
      </c>
      <c r="K1009" s="41">
        <f t="shared" si="8"/>
        <v>121.06</v>
      </c>
      <c r="L1009">
        <f t="shared" si="9"/>
        <v>0</v>
      </c>
      <c r="M1009">
        <f t="shared" si="10"/>
        <v>1</v>
      </c>
      <c r="N1009" s="131" t="s">
        <v>2525</v>
      </c>
      <c r="O1009" s="132" t="s">
        <v>77</v>
      </c>
      <c r="P1009" s="192">
        <v>85.88</v>
      </c>
      <c r="Q1009" s="195">
        <v>121.06</v>
      </c>
      <c r="R1009" s="133" t="s">
        <v>85</v>
      </c>
      <c r="S1009" s="131" t="s">
        <v>2520</v>
      </c>
      <c r="T1009" s="202" t="s">
        <v>1378</v>
      </c>
      <c r="U1009" t="str">
        <f t="shared" si="13"/>
        <v>Puka Quakes</v>
      </c>
    </row>
    <row r="1010" hidden="1">
      <c r="A1010" s="32" t="str">
        <f t="shared" si="1"/>
        <v>2024PiersonWeek 8</v>
      </c>
      <c r="B1010" s="32" t="str">
        <f t="shared" si="2"/>
        <v>2024HudspeathWeek 8</v>
      </c>
      <c r="C1010" s="32" t="str">
        <f t="shared" si="3"/>
        <v>Week 8</v>
      </c>
      <c r="D1010" s="32">
        <v>2024.0</v>
      </c>
      <c r="E1010" t="str">
        <f t="shared" si="15"/>
        <v>8</v>
      </c>
      <c r="F1010" t="str">
        <f t="shared" si="5"/>
        <v>Pierson Curtis</v>
      </c>
      <c r="G1010" s="40" t="str">
        <f>VLOOKUP(F1010,'Manager Coding'!C:D,2,0)</f>
        <v>Pierson</v>
      </c>
      <c r="H1010" s="41">
        <f t="shared" si="6"/>
        <v>118.86</v>
      </c>
      <c r="I1010" t="str">
        <f t="shared" si="7"/>
        <v>matt hudspeath</v>
      </c>
      <c r="J1010" t="str">
        <f>VLOOKUP(I1010,'Manager Coding'!C:D,2,0)</f>
        <v>Hudspeath</v>
      </c>
      <c r="K1010" s="41">
        <f t="shared" si="8"/>
        <v>120.2</v>
      </c>
      <c r="L1010">
        <f t="shared" si="9"/>
        <v>0</v>
      </c>
      <c r="M1010">
        <f t="shared" si="10"/>
        <v>1</v>
      </c>
      <c r="N1010" s="128" t="s">
        <v>2521</v>
      </c>
      <c r="O1010" s="129" t="s">
        <v>93</v>
      </c>
      <c r="P1010" s="192">
        <v>118.86</v>
      </c>
      <c r="Q1010" s="195">
        <v>120.2</v>
      </c>
      <c r="R1010" s="130" t="s">
        <v>64</v>
      </c>
      <c r="S1010" s="128" t="s">
        <v>2516</v>
      </c>
      <c r="T1010" s="202" t="s">
        <v>1357</v>
      </c>
      <c r="U1010" t="str">
        <f t="shared" si="13"/>
        <v>Blizzard Boys</v>
      </c>
    </row>
    <row r="1011" hidden="1">
      <c r="A1011" s="32" t="str">
        <f t="shared" si="1"/>
        <v>2024KnardDawgWeek 8</v>
      </c>
      <c r="B1011" s="32" t="str">
        <f t="shared" si="2"/>
        <v>2024CockWeek 8</v>
      </c>
      <c r="C1011" s="32" t="str">
        <f t="shared" si="3"/>
        <v>Week 8</v>
      </c>
      <c r="D1011" s="32">
        <v>2024.0</v>
      </c>
      <c r="E1011" t="str">
        <f t="shared" si="15"/>
        <v>8</v>
      </c>
      <c r="F1011" t="str">
        <f t="shared" si="5"/>
        <v>Alex Kinniard, Jack Reilly</v>
      </c>
      <c r="G1011" s="40" t="str">
        <f>VLOOKUP(F1011,'Manager Coding'!C:D,2,0)</f>
        <v>KnardDawg</v>
      </c>
      <c r="H1011" s="41">
        <f t="shared" si="6"/>
        <v>73.14</v>
      </c>
      <c r="I1011" t="str">
        <f t="shared" si="7"/>
        <v>Chris Cochrane</v>
      </c>
      <c r="J1011" t="str">
        <f>VLOOKUP(I1011,'Manager Coding'!C:D,2,0)</f>
        <v>Cock</v>
      </c>
      <c r="K1011" s="41">
        <f t="shared" si="8"/>
        <v>117</v>
      </c>
      <c r="L1011">
        <f t="shared" si="9"/>
        <v>0</v>
      </c>
      <c r="M1011">
        <f t="shared" si="10"/>
        <v>1</v>
      </c>
      <c r="N1011" s="131" t="s">
        <v>2518</v>
      </c>
      <c r="O1011" s="132" t="s">
        <v>87</v>
      </c>
      <c r="P1011" s="192">
        <v>73.14</v>
      </c>
      <c r="Q1011" s="195">
        <v>117.0</v>
      </c>
      <c r="R1011" s="133" t="s">
        <v>99</v>
      </c>
      <c r="S1011" s="131" t="s">
        <v>2513</v>
      </c>
      <c r="T1011" s="202" t="s">
        <v>1366</v>
      </c>
      <c r="U1011" t="str">
        <f t="shared" si="13"/>
        <v>NoMoore 4KDrought</v>
      </c>
    </row>
    <row r="1012" hidden="1">
      <c r="A1012" s="32" t="str">
        <f t="shared" si="1"/>
        <v>#N/A</v>
      </c>
      <c r="B1012" s="32" t="str">
        <f t="shared" si="2"/>
        <v>#N/A</v>
      </c>
      <c r="C1012" s="32" t="str">
        <f t="shared" si="3"/>
        <v>Week 8</v>
      </c>
      <c r="D1012" s="32">
        <v>2024.0</v>
      </c>
      <c r="E1012" t="str">
        <f t="shared" si="15"/>
        <v>8</v>
      </c>
      <c r="F1012" t="str">
        <f t="shared" si="5"/>
        <v/>
      </c>
      <c r="G1012" s="40" t="str">
        <f>VLOOKUP(F1012,'Manager Coding'!C:D,2,0)</f>
        <v>#N/A</v>
      </c>
      <c r="H1012" s="41" t="str">
        <f t="shared" si="6"/>
        <v/>
      </c>
      <c r="I1012" t="str">
        <f t="shared" si="7"/>
        <v/>
      </c>
      <c r="J1012" t="str">
        <f>VLOOKUP(I1012,'Manager Coding'!C:D,2,0)</f>
        <v>#N/A</v>
      </c>
      <c r="K1012" s="41" t="str">
        <f t="shared" si="8"/>
        <v/>
      </c>
      <c r="L1012">
        <f t="shared" si="9"/>
        <v>0</v>
      </c>
      <c r="M1012">
        <f t="shared" si="10"/>
        <v>0</v>
      </c>
      <c r="N1012" s="162" t="s">
        <v>387</v>
      </c>
      <c r="O1012" s="205"/>
      <c r="P1012" s="205"/>
      <c r="Q1012" s="205"/>
      <c r="R1012" s="205"/>
      <c r="S1012" s="205"/>
      <c r="T1012" s="199" t="e">
        <v>#VALUE!</v>
      </c>
      <c r="U1012" t="str">
        <f t="shared" si="13"/>
        <v>#VALUE!</v>
      </c>
    </row>
    <row r="1013" hidden="1">
      <c r="A1013" s="32" t="str">
        <f t="shared" si="1"/>
        <v>#N/A</v>
      </c>
      <c r="B1013" s="32" t="str">
        <f t="shared" si="2"/>
        <v>#N/A</v>
      </c>
      <c r="C1013" s="32" t="str">
        <f t="shared" si="3"/>
        <v>Week 9</v>
      </c>
      <c r="D1013" s="32">
        <v>2024.0</v>
      </c>
      <c r="E1013" t="str">
        <f t="shared" si="15"/>
        <v>9</v>
      </c>
      <c r="F1013" t="str">
        <f t="shared" si="5"/>
        <v>TEAM MANAGER(S)</v>
      </c>
      <c r="G1013" s="40" t="str">
        <f>VLOOKUP(F1013,'Manager Coding'!C:D,2,0)</f>
        <v>#N/A</v>
      </c>
      <c r="H1013" s="41" t="str">
        <f t="shared" si="6"/>
        <v>Score</v>
      </c>
      <c r="I1013" t="str">
        <f t="shared" si="7"/>
        <v>TEAM MANAGER(S)</v>
      </c>
      <c r="J1013" t="str">
        <f>VLOOKUP(I1013,'Manager Coding'!C:D,2,0)</f>
        <v>#N/A</v>
      </c>
      <c r="K1013" s="41" t="str">
        <f t="shared" si="8"/>
        <v>Score</v>
      </c>
      <c r="L1013">
        <f t="shared" si="9"/>
        <v>0</v>
      </c>
      <c r="M1013">
        <f t="shared" si="10"/>
        <v>0</v>
      </c>
      <c r="N1013" s="78" t="s">
        <v>197</v>
      </c>
      <c r="O1013" s="78" t="s">
        <v>88</v>
      </c>
      <c r="P1013" s="79" t="s">
        <v>59</v>
      </c>
      <c r="Q1013" s="78" t="s">
        <v>59</v>
      </c>
      <c r="R1013" s="79" t="s">
        <v>88</v>
      </c>
      <c r="S1013" s="79" t="s">
        <v>101</v>
      </c>
      <c r="T1013" s="199" t="e">
        <v>#VALUE!</v>
      </c>
      <c r="U1013" t="str">
        <f t="shared" si="13"/>
        <v>#VALUE!</v>
      </c>
    </row>
    <row r="1014" hidden="1">
      <c r="A1014" s="32" t="str">
        <f t="shared" si="1"/>
        <v>2024Rooney/JacksonWeek 9</v>
      </c>
      <c r="B1014" s="32" t="str">
        <f t="shared" si="2"/>
        <v>2024BuserWeek 9</v>
      </c>
      <c r="C1014" s="32" t="str">
        <f t="shared" si="3"/>
        <v>Week 9</v>
      </c>
      <c r="D1014" s="32">
        <v>2024.0</v>
      </c>
      <c r="E1014" t="str">
        <f t="shared" si="15"/>
        <v>9</v>
      </c>
      <c r="F1014" t="str">
        <f t="shared" si="5"/>
        <v>Stephen Rooney, Jackson Sattell</v>
      </c>
      <c r="G1014" s="40" t="str">
        <f>VLOOKUP(F1014,'Manager Coding'!C:D,2,0)</f>
        <v>Rooney/Jackson</v>
      </c>
      <c r="H1014" s="41">
        <f t="shared" si="6"/>
        <v>101.66</v>
      </c>
      <c r="I1014" t="str">
        <f t="shared" si="7"/>
        <v>Ed Buser</v>
      </c>
      <c r="J1014" t="str">
        <f>VLOOKUP(I1014,'Manager Coding'!C:D,2,0)</f>
        <v>Buser</v>
      </c>
      <c r="K1014" s="41">
        <f t="shared" si="8"/>
        <v>87.32</v>
      </c>
      <c r="L1014">
        <f t="shared" si="9"/>
        <v>1</v>
      </c>
      <c r="M1014">
        <f t="shared" si="10"/>
        <v>0</v>
      </c>
      <c r="N1014" s="153" t="s">
        <v>2514</v>
      </c>
      <c r="O1014" s="129" t="s">
        <v>58</v>
      </c>
      <c r="P1014" s="192">
        <v>101.66</v>
      </c>
      <c r="Q1014" s="195">
        <v>87.32</v>
      </c>
      <c r="R1014" s="130" t="s">
        <v>50</v>
      </c>
      <c r="S1014" s="128" t="s">
        <v>2526</v>
      </c>
      <c r="T1014" s="202" t="s">
        <v>1341</v>
      </c>
      <c r="U1014" t="str">
        <f t="shared" si="13"/>
        <v>Mahomes Flooded</v>
      </c>
    </row>
    <row r="1015" hidden="1">
      <c r="A1015" s="32" t="str">
        <f t="shared" si="1"/>
        <v>2024EwertWeek 9</v>
      </c>
      <c r="B1015" s="32" t="str">
        <f t="shared" si="2"/>
        <v>2024TayskiWeek 9</v>
      </c>
      <c r="C1015" s="32" t="str">
        <f t="shared" si="3"/>
        <v>Week 9</v>
      </c>
      <c r="D1015" s="32">
        <v>2024.0</v>
      </c>
      <c r="E1015" t="str">
        <f t="shared" si="15"/>
        <v>9</v>
      </c>
      <c r="F1015" t="str">
        <f t="shared" si="5"/>
        <v>Kyle Ewert, brad starck</v>
      </c>
      <c r="G1015" s="40" t="str">
        <f>VLOOKUP(F1015,'Manager Coding'!C:D,2,0)</f>
        <v>Ewert</v>
      </c>
      <c r="H1015" s="41">
        <f t="shared" si="6"/>
        <v>99.16</v>
      </c>
      <c r="I1015" t="str">
        <f t="shared" si="7"/>
        <v>Taylor Weis</v>
      </c>
      <c r="J1015" t="str">
        <f>VLOOKUP(I1015,'Manager Coding'!C:D,2,0)</f>
        <v>Tayski</v>
      </c>
      <c r="K1015" s="41">
        <f t="shared" si="8"/>
        <v>101.4</v>
      </c>
      <c r="L1015">
        <f t="shared" si="9"/>
        <v>0</v>
      </c>
      <c r="M1015">
        <f t="shared" si="10"/>
        <v>1</v>
      </c>
      <c r="N1015" s="168" t="s">
        <v>2523</v>
      </c>
      <c r="O1015" s="169" t="s">
        <v>105</v>
      </c>
      <c r="P1015" s="203">
        <v>99.16</v>
      </c>
      <c r="Q1015" s="191">
        <v>101.4</v>
      </c>
      <c r="R1015" s="170" t="s">
        <v>54</v>
      </c>
      <c r="S1015" s="168" t="s">
        <v>2530</v>
      </c>
      <c r="T1015" s="202" t="s">
        <v>2550</v>
      </c>
      <c r="U1015" t="str">
        <f t="shared" si="13"/>
        <v>Whiteout</v>
      </c>
    </row>
    <row r="1016" hidden="1">
      <c r="A1016" s="32" t="str">
        <f t="shared" si="1"/>
        <v>2024T-HowWeek 9</v>
      </c>
      <c r="B1016" s="32" t="str">
        <f t="shared" si="2"/>
        <v>2024RileyWeek 9</v>
      </c>
      <c r="C1016" s="32" t="str">
        <f t="shared" si="3"/>
        <v>Week 9</v>
      </c>
      <c r="D1016" s="32">
        <v>2024.0</v>
      </c>
      <c r="E1016" t="str">
        <f t="shared" si="15"/>
        <v>9</v>
      </c>
      <c r="F1016" t="str">
        <f t="shared" si="5"/>
        <v>Tyler Howard</v>
      </c>
      <c r="G1016" s="40" t="str">
        <f>VLOOKUP(F1016,'Manager Coding'!C:D,2,0)</f>
        <v>T-How</v>
      </c>
      <c r="H1016" s="41">
        <f t="shared" si="6"/>
        <v>91.6</v>
      </c>
      <c r="I1016" t="str">
        <f t="shared" si="7"/>
        <v>Riley McElwain</v>
      </c>
      <c r="J1016" t="str">
        <f>VLOOKUP(I1016,'Manager Coding'!C:D,2,0)</f>
        <v>Riley</v>
      </c>
      <c r="K1016" s="41">
        <f t="shared" si="8"/>
        <v>74.46</v>
      </c>
      <c r="L1016">
        <f t="shared" si="9"/>
        <v>1</v>
      </c>
      <c r="M1016">
        <f t="shared" si="10"/>
        <v>0</v>
      </c>
      <c r="N1016" s="128" t="s">
        <v>2520</v>
      </c>
      <c r="O1016" s="129" t="s">
        <v>85</v>
      </c>
      <c r="P1016" s="192">
        <v>91.6</v>
      </c>
      <c r="Q1016" s="195">
        <v>74.46</v>
      </c>
      <c r="R1016" s="130" t="s">
        <v>68</v>
      </c>
      <c r="S1016" s="128" t="s">
        <v>2531</v>
      </c>
      <c r="T1016" s="202" t="s">
        <v>1363</v>
      </c>
      <c r="U1016" t="str">
        <f t="shared" si="13"/>
        <v>Hurtswaves</v>
      </c>
    </row>
    <row r="1017" hidden="1">
      <c r="A1017" s="32" t="str">
        <f t="shared" si="1"/>
        <v>2024HudspeathWeek 9</v>
      </c>
      <c r="B1017" s="32" t="str">
        <f t="shared" si="2"/>
        <v>2024ShepWeek 9</v>
      </c>
      <c r="C1017" s="32" t="str">
        <f t="shared" si="3"/>
        <v>Week 9</v>
      </c>
      <c r="D1017" s="32">
        <v>2024.0</v>
      </c>
      <c r="E1017" t="str">
        <f t="shared" si="15"/>
        <v>9</v>
      </c>
      <c r="F1017" t="str">
        <f t="shared" si="5"/>
        <v>matt hudspeath</v>
      </c>
      <c r="G1017" s="40" t="str">
        <f>VLOOKUP(F1017,'Manager Coding'!C:D,2,0)</f>
        <v>Hudspeath</v>
      </c>
      <c r="H1017" s="41">
        <f t="shared" si="6"/>
        <v>107.2</v>
      </c>
      <c r="I1017" t="str">
        <f t="shared" si="7"/>
        <v>Jordan Shepherd</v>
      </c>
      <c r="J1017" t="str">
        <f>VLOOKUP(I1017,'Manager Coding'!C:D,2,0)</f>
        <v>Shep</v>
      </c>
      <c r="K1017" s="41">
        <f t="shared" si="8"/>
        <v>78.74</v>
      </c>
      <c r="L1017">
        <f t="shared" si="9"/>
        <v>1</v>
      </c>
      <c r="M1017">
        <f t="shared" si="10"/>
        <v>0</v>
      </c>
      <c r="N1017" s="131" t="s">
        <v>2516</v>
      </c>
      <c r="O1017" s="132" t="s">
        <v>64</v>
      </c>
      <c r="P1017" s="192">
        <v>107.2</v>
      </c>
      <c r="Q1017" s="195">
        <v>78.74</v>
      </c>
      <c r="R1017" s="133" t="s">
        <v>91</v>
      </c>
      <c r="S1017" s="131" t="s">
        <v>2528</v>
      </c>
      <c r="T1017" s="202" t="s">
        <v>1392</v>
      </c>
      <c r="U1017" t="str">
        <f t="shared" si="13"/>
        <v>Caleb's Year</v>
      </c>
    </row>
    <row r="1018" hidden="1">
      <c r="A1018" s="32" t="str">
        <f t="shared" si="1"/>
        <v>2024CockWeek 9</v>
      </c>
      <c r="B1018" s="32" t="str">
        <f t="shared" si="2"/>
        <v>2024SaltyWeek 9</v>
      </c>
      <c r="C1018" s="32" t="str">
        <f t="shared" si="3"/>
        <v>Week 9</v>
      </c>
      <c r="D1018" s="32">
        <v>2024.0</v>
      </c>
      <c r="E1018" t="str">
        <f t="shared" si="15"/>
        <v>9</v>
      </c>
      <c r="F1018" t="str">
        <f t="shared" si="5"/>
        <v>Chris Cochrane</v>
      </c>
      <c r="G1018" s="40" t="str">
        <f>VLOOKUP(F1018,'Manager Coding'!C:D,2,0)</f>
        <v>Cock</v>
      </c>
      <c r="H1018" s="41">
        <f t="shared" si="6"/>
        <v>65.82</v>
      </c>
      <c r="I1018" t="str">
        <f t="shared" si="7"/>
        <v>R Saltiel</v>
      </c>
      <c r="J1018" t="str">
        <f>VLOOKUP(I1018,'Manager Coding'!C:D,2,0)</f>
        <v>Salty</v>
      </c>
      <c r="K1018" s="41">
        <f t="shared" si="8"/>
        <v>106</v>
      </c>
      <c r="L1018">
        <f t="shared" si="9"/>
        <v>0</v>
      </c>
      <c r="M1018">
        <f t="shared" si="10"/>
        <v>1</v>
      </c>
      <c r="N1018" s="128" t="s">
        <v>2513</v>
      </c>
      <c r="O1018" s="129" t="s">
        <v>99</v>
      </c>
      <c r="P1018" s="192">
        <v>65.82</v>
      </c>
      <c r="Q1018" s="195">
        <v>106.0</v>
      </c>
      <c r="R1018" s="130" t="s">
        <v>77</v>
      </c>
      <c r="S1018" s="128" t="s">
        <v>2525</v>
      </c>
      <c r="T1018" s="202" t="s">
        <v>1368</v>
      </c>
      <c r="U1018" t="str">
        <f t="shared" si="13"/>
        <v>Chase'n Purdy Big Twisters</v>
      </c>
    </row>
    <row r="1019" hidden="1">
      <c r="A1019" s="32" t="str">
        <f t="shared" si="1"/>
        <v>2024KnardDawgWeek 9</v>
      </c>
      <c r="B1019" s="32" t="str">
        <f t="shared" si="2"/>
        <v>2024PiersonWeek 9</v>
      </c>
      <c r="C1019" s="32" t="str">
        <f t="shared" si="3"/>
        <v>Week 9</v>
      </c>
      <c r="D1019" s="32">
        <v>2024.0</v>
      </c>
      <c r="E1019" t="str">
        <f t="shared" si="15"/>
        <v>9</v>
      </c>
      <c r="F1019" t="str">
        <f t="shared" si="5"/>
        <v>Alex Kinniard, Jack Reilly</v>
      </c>
      <c r="G1019" s="40" t="str">
        <f>VLOOKUP(F1019,'Manager Coding'!C:D,2,0)</f>
        <v>KnardDawg</v>
      </c>
      <c r="H1019" s="41">
        <f t="shared" si="6"/>
        <v>125.28</v>
      </c>
      <c r="I1019" t="str">
        <f t="shared" si="7"/>
        <v>Pierson Curtis</v>
      </c>
      <c r="J1019" t="str">
        <f>VLOOKUP(I1019,'Manager Coding'!C:D,2,0)</f>
        <v>Pierson</v>
      </c>
      <c r="K1019" s="41">
        <f t="shared" si="8"/>
        <v>101.64</v>
      </c>
      <c r="L1019">
        <f t="shared" si="9"/>
        <v>1</v>
      </c>
      <c r="M1019">
        <f t="shared" si="10"/>
        <v>0</v>
      </c>
      <c r="N1019" s="131" t="s">
        <v>2518</v>
      </c>
      <c r="O1019" s="132" t="s">
        <v>87</v>
      </c>
      <c r="P1019" s="192">
        <v>125.28</v>
      </c>
      <c r="Q1019" s="195">
        <v>101.64</v>
      </c>
      <c r="R1019" s="133" t="s">
        <v>93</v>
      </c>
      <c r="S1019" s="131" t="s">
        <v>2521</v>
      </c>
      <c r="T1019" s="202" t="s">
        <v>1398</v>
      </c>
      <c r="U1019" t="str">
        <f t="shared" si="13"/>
        <v>NoMoore 4KDrought</v>
      </c>
    </row>
    <row r="1020" hidden="1">
      <c r="A1020" s="32" t="str">
        <f t="shared" si="1"/>
        <v>#N/A</v>
      </c>
      <c r="B1020" s="32" t="str">
        <f t="shared" si="2"/>
        <v>#N/A</v>
      </c>
      <c r="C1020" s="32" t="str">
        <f t="shared" si="3"/>
        <v>Week 9</v>
      </c>
      <c r="D1020" s="32">
        <v>2024.0</v>
      </c>
      <c r="E1020" t="str">
        <f t="shared" si="15"/>
        <v>9</v>
      </c>
      <c r="F1020" t="str">
        <f t="shared" si="5"/>
        <v/>
      </c>
      <c r="G1020" s="40" t="str">
        <f>VLOOKUP(F1020,'Manager Coding'!C:D,2,0)</f>
        <v>#N/A</v>
      </c>
      <c r="H1020" s="41" t="str">
        <f t="shared" si="6"/>
        <v/>
      </c>
      <c r="I1020" t="str">
        <f t="shared" si="7"/>
        <v/>
      </c>
      <c r="J1020" t="str">
        <f>VLOOKUP(I1020,'Manager Coding'!C:D,2,0)</f>
        <v>#N/A</v>
      </c>
      <c r="K1020" s="41" t="str">
        <f t="shared" si="8"/>
        <v/>
      </c>
      <c r="L1020">
        <f t="shared" si="9"/>
        <v>0</v>
      </c>
      <c r="M1020">
        <f t="shared" si="10"/>
        <v>0</v>
      </c>
      <c r="N1020" s="162" t="s">
        <v>406</v>
      </c>
      <c r="O1020" s="198"/>
      <c r="P1020" s="198"/>
      <c r="Q1020" s="198"/>
      <c r="R1020" s="198"/>
      <c r="S1020" s="198"/>
      <c r="T1020" s="199" t="e">
        <v>#VALUE!</v>
      </c>
      <c r="U1020" t="str">
        <f t="shared" si="13"/>
        <v>#VALUE!</v>
      </c>
    </row>
    <row r="1021" hidden="1">
      <c r="A1021" s="32" t="str">
        <f t="shared" si="1"/>
        <v>#N/A</v>
      </c>
      <c r="B1021" s="32" t="str">
        <f t="shared" si="2"/>
        <v>#N/A</v>
      </c>
      <c r="C1021" s="32" t="str">
        <f t="shared" si="3"/>
        <v>Week 10</v>
      </c>
      <c r="D1021" s="32">
        <v>2024.0</v>
      </c>
      <c r="E1021" t="str">
        <f t="shared" si="15"/>
        <v>10</v>
      </c>
      <c r="F1021" t="str">
        <f t="shared" si="5"/>
        <v>TEAM MANAGER(S)</v>
      </c>
      <c r="G1021" s="40" t="str">
        <f>VLOOKUP(F1021,'Manager Coding'!C:D,2,0)</f>
        <v>#N/A</v>
      </c>
      <c r="H1021" s="41" t="str">
        <f t="shared" si="6"/>
        <v>Score</v>
      </c>
      <c r="I1021" t="str">
        <f t="shared" si="7"/>
        <v>TEAM MANAGER(S)</v>
      </c>
      <c r="J1021" t="str">
        <f>VLOOKUP(I1021,'Manager Coding'!C:D,2,0)</f>
        <v>#N/A</v>
      </c>
      <c r="K1021" s="41" t="str">
        <f t="shared" si="8"/>
        <v>Score</v>
      </c>
      <c r="L1021">
        <f t="shared" si="9"/>
        <v>0</v>
      </c>
      <c r="M1021">
        <f t="shared" si="10"/>
        <v>0</v>
      </c>
      <c r="N1021" s="78" t="s">
        <v>197</v>
      </c>
      <c r="O1021" s="78" t="s">
        <v>88</v>
      </c>
      <c r="P1021" s="79" t="s">
        <v>59</v>
      </c>
      <c r="Q1021" s="78" t="s">
        <v>59</v>
      </c>
      <c r="R1021" s="79" t="s">
        <v>88</v>
      </c>
      <c r="S1021" s="79" t="s">
        <v>101</v>
      </c>
      <c r="T1021" s="199" t="e">
        <v>#VALUE!</v>
      </c>
      <c r="U1021" t="str">
        <f t="shared" si="13"/>
        <v>#VALUE!</v>
      </c>
    </row>
    <row r="1022" hidden="1">
      <c r="A1022" s="32" t="str">
        <f t="shared" si="1"/>
        <v>2024EwertWeek 10</v>
      </c>
      <c r="B1022" s="32" t="str">
        <f t="shared" si="2"/>
        <v>2024Rooney/JacksonWeek 10</v>
      </c>
      <c r="C1022" s="32" t="str">
        <f t="shared" si="3"/>
        <v>Week 10</v>
      </c>
      <c r="D1022" s="32">
        <v>2024.0</v>
      </c>
      <c r="E1022" t="str">
        <f t="shared" si="15"/>
        <v>10</v>
      </c>
      <c r="F1022" t="str">
        <f t="shared" si="5"/>
        <v>Kyle Ewert, brad starck</v>
      </c>
      <c r="G1022" s="40" t="str">
        <f>VLOOKUP(F1022,'Manager Coding'!C:D,2,0)</f>
        <v>Ewert</v>
      </c>
      <c r="H1022" s="41">
        <f t="shared" si="6"/>
        <v>86.76</v>
      </c>
      <c r="I1022" t="str">
        <f t="shared" si="7"/>
        <v>Stephen Rooney, Jackson Sattell</v>
      </c>
      <c r="J1022" t="str">
        <f>VLOOKUP(I1022,'Manager Coding'!C:D,2,0)</f>
        <v>Rooney/Jackson</v>
      </c>
      <c r="K1022" s="41">
        <f t="shared" si="8"/>
        <v>70.38</v>
      </c>
      <c r="L1022">
        <f t="shared" si="9"/>
        <v>1</v>
      </c>
      <c r="M1022">
        <f t="shared" si="10"/>
        <v>0</v>
      </c>
      <c r="N1022" s="153" t="s">
        <v>2523</v>
      </c>
      <c r="O1022" s="177" t="s">
        <v>105</v>
      </c>
      <c r="P1022" s="203">
        <v>86.76</v>
      </c>
      <c r="Q1022" s="191">
        <v>70.38</v>
      </c>
      <c r="R1022" s="178" t="s">
        <v>58</v>
      </c>
      <c r="S1022" s="179" t="s">
        <v>2514</v>
      </c>
      <c r="T1022" s="202" t="s">
        <v>1353</v>
      </c>
      <c r="U1022" t="str">
        <f t="shared" si="13"/>
        <v>Whiteout</v>
      </c>
    </row>
    <row r="1023" hidden="1">
      <c r="A1023" s="32" t="str">
        <f t="shared" si="1"/>
        <v>2024BuserWeek 10</v>
      </c>
      <c r="B1023" s="32" t="str">
        <f t="shared" si="2"/>
        <v>2024T-HowWeek 10</v>
      </c>
      <c r="C1023" s="32" t="str">
        <f t="shared" si="3"/>
        <v>Week 10</v>
      </c>
      <c r="D1023" s="32">
        <v>2024.0</v>
      </c>
      <c r="E1023" t="str">
        <f t="shared" si="15"/>
        <v>10</v>
      </c>
      <c r="F1023" t="str">
        <f t="shared" si="5"/>
        <v>Ed Buser</v>
      </c>
      <c r="G1023" s="40" t="str">
        <f>VLOOKUP(F1023,'Manager Coding'!C:D,2,0)</f>
        <v>Buser</v>
      </c>
      <c r="H1023" s="41">
        <f t="shared" si="6"/>
        <v>100.54</v>
      </c>
      <c r="I1023" t="str">
        <f t="shared" si="7"/>
        <v>Tyler Howard</v>
      </c>
      <c r="J1023" t="str">
        <f>VLOOKUP(I1023,'Manager Coding'!C:D,2,0)</f>
        <v>T-How</v>
      </c>
      <c r="K1023" s="41">
        <f t="shared" si="8"/>
        <v>100.48</v>
      </c>
      <c r="L1023">
        <f t="shared" si="9"/>
        <v>1</v>
      </c>
      <c r="M1023">
        <f t="shared" si="10"/>
        <v>0</v>
      </c>
      <c r="N1023" s="168" t="s">
        <v>2526</v>
      </c>
      <c r="O1023" s="169" t="s">
        <v>50</v>
      </c>
      <c r="P1023" s="203">
        <v>100.54</v>
      </c>
      <c r="Q1023" s="191">
        <v>100.48</v>
      </c>
      <c r="R1023" s="170" t="s">
        <v>85</v>
      </c>
      <c r="S1023" s="168" t="s">
        <v>2520</v>
      </c>
      <c r="T1023" s="202" t="s">
        <v>1378</v>
      </c>
      <c r="U1023" t="str">
        <f t="shared" si="13"/>
        <v>Hurricane Andrews</v>
      </c>
    </row>
    <row r="1024" hidden="1">
      <c r="A1024" s="32" t="str">
        <f t="shared" si="1"/>
        <v>2024TayskiWeek 10</v>
      </c>
      <c r="B1024" s="32" t="str">
        <f t="shared" si="2"/>
        <v>2024HudspeathWeek 10</v>
      </c>
      <c r="C1024" s="32" t="str">
        <f t="shared" si="3"/>
        <v>Week 10</v>
      </c>
      <c r="D1024" s="32">
        <v>2024.0</v>
      </c>
      <c r="E1024" t="str">
        <f t="shared" si="15"/>
        <v>10</v>
      </c>
      <c r="F1024" t="str">
        <f t="shared" si="5"/>
        <v>Taylor Weis</v>
      </c>
      <c r="G1024" s="40" t="str">
        <f>VLOOKUP(F1024,'Manager Coding'!C:D,2,0)</f>
        <v>Tayski</v>
      </c>
      <c r="H1024" s="41">
        <f t="shared" si="6"/>
        <v>88.9</v>
      </c>
      <c r="I1024" t="str">
        <f t="shared" si="7"/>
        <v>matt hudspeath</v>
      </c>
      <c r="J1024" t="str">
        <f>VLOOKUP(I1024,'Manager Coding'!C:D,2,0)</f>
        <v>Hudspeath</v>
      </c>
      <c r="K1024" s="41">
        <f t="shared" si="8"/>
        <v>64.14</v>
      </c>
      <c r="L1024">
        <f t="shared" si="9"/>
        <v>1</v>
      </c>
      <c r="M1024">
        <f t="shared" si="10"/>
        <v>0</v>
      </c>
      <c r="N1024" s="128" t="s">
        <v>2530</v>
      </c>
      <c r="O1024" s="129" t="s">
        <v>54</v>
      </c>
      <c r="P1024" s="192">
        <v>88.9</v>
      </c>
      <c r="Q1024" s="195">
        <v>64.14</v>
      </c>
      <c r="R1024" s="130" t="s">
        <v>64</v>
      </c>
      <c r="S1024" s="128" t="s">
        <v>2516</v>
      </c>
      <c r="T1024" s="202" t="s">
        <v>1357</v>
      </c>
      <c r="U1024" t="str">
        <f t="shared" si="13"/>
        <v>WeisFire</v>
      </c>
    </row>
    <row r="1025" hidden="1">
      <c r="A1025" s="32" t="str">
        <f t="shared" si="1"/>
        <v>2024RileyWeek 10</v>
      </c>
      <c r="B1025" s="32" t="str">
        <f t="shared" si="2"/>
        <v>2024CockWeek 10</v>
      </c>
      <c r="C1025" s="32" t="str">
        <f t="shared" si="3"/>
        <v>Week 10</v>
      </c>
      <c r="D1025" s="32">
        <v>2024.0</v>
      </c>
      <c r="E1025" t="str">
        <f t="shared" si="15"/>
        <v>10</v>
      </c>
      <c r="F1025" t="str">
        <f t="shared" si="5"/>
        <v>Riley McElwain</v>
      </c>
      <c r="G1025" s="40" t="str">
        <f>VLOOKUP(F1025,'Manager Coding'!C:D,2,0)</f>
        <v>Riley</v>
      </c>
      <c r="H1025" s="41">
        <f t="shared" si="6"/>
        <v>142.84</v>
      </c>
      <c r="I1025" t="str">
        <f t="shared" si="7"/>
        <v>Chris Cochrane</v>
      </c>
      <c r="J1025" t="str">
        <f>VLOOKUP(I1025,'Manager Coding'!C:D,2,0)</f>
        <v>Cock</v>
      </c>
      <c r="K1025" s="41">
        <f t="shared" si="8"/>
        <v>78.42</v>
      </c>
      <c r="L1025">
        <f t="shared" si="9"/>
        <v>1</v>
      </c>
      <c r="M1025">
        <f t="shared" si="10"/>
        <v>0</v>
      </c>
      <c r="N1025" s="131" t="s">
        <v>2531</v>
      </c>
      <c r="O1025" s="132" t="s">
        <v>68</v>
      </c>
      <c r="P1025" s="192">
        <v>142.84</v>
      </c>
      <c r="Q1025" s="195">
        <v>78.42</v>
      </c>
      <c r="R1025" s="133" t="s">
        <v>99</v>
      </c>
      <c r="S1025" s="131" t="s">
        <v>2513</v>
      </c>
      <c r="T1025" s="202" t="s">
        <v>1366</v>
      </c>
      <c r="U1025" t="str">
        <f t="shared" si="13"/>
        <v>Moodslide</v>
      </c>
    </row>
    <row r="1026" hidden="1">
      <c r="A1026" s="32" t="str">
        <f t="shared" si="1"/>
        <v>2024ShepWeek 10</v>
      </c>
      <c r="B1026" s="32" t="str">
        <f t="shared" si="2"/>
        <v>2024KnardDawgWeek 10</v>
      </c>
      <c r="C1026" s="32" t="str">
        <f t="shared" si="3"/>
        <v>Week 10</v>
      </c>
      <c r="D1026" s="32">
        <v>2024.0</v>
      </c>
      <c r="E1026" t="str">
        <f t="shared" si="15"/>
        <v>10</v>
      </c>
      <c r="F1026" t="str">
        <f t="shared" si="5"/>
        <v>Jordan Shepherd</v>
      </c>
      <c r="G1026" s="40" t="str">
        <f>VLOOKUP(F1026,'Manager Coding'!C:D,2,0)</f>
        <v>Shep</v>
      </c>
      <c r="H1026" s="41">
        <f t="shared" si="6"/>
        <v>76.28</v>
      </c>
      <c r="I1026" t="str">
        <f t="shared" si="7"/>
        <v>Alex Kinniard, Jack Reilly</v>
      </c>
      <c r="J1026" t="str">
        <f>VLOOKUP(I1026,'Manager Coding'!C:D,2,0)</f>
        <v>KnardDawg</v>
      </c>
      <c r="K1026" s="41">
        <f t="shared" si="8"/>
        <v>51.94</v>
      </c>
      <c r="L1026">
        <f t="shared" si="9"/>
        <v>1</v>
      </c>
      <c r="M1026">
        <f t="shared" si="10"/>
        <v>0</v>
      </c>
      <c r="N1026" s="128" t="s">
        <v>2528</v>
      </c>
      <c r="O1026" s="129" t="s">
        <v>91</v>
      </c>
      <c r="P1026" s="192">
        <v>76.28</v>
      </c>
      <c r="Q1026" s="195">
        <v>51.94</v>
      </c>
      <c r="R1026" s="130" t="s">
        <v>87</v>
      </c>
      <c r="S1026" s="128" t="s">
        <v>2518</v>
      </c>
      <c r="T1026" s="202" t="s">
        <v>1384</v>
      </c>
      <c r="U1026" t="str">
        <f t="shared" si="13"/>
        <v>Bhola Breece's Storm Surge</v>
      </c>
    </row>
    <row r="1027" hidden="1">
      <c r="A1027" s="32" t="str">
        <f t="shared" si="1"/>
        <v>2024SaltyWeek 10</v>
      </c>
      <c r="B1027" s="32" t="str">
        <f t="shared" si="2"/>
        <v>2024PiersonWeek 10</v>
      </c>
      <c r="C1027" s="32" t="str">
        <f t="shared" si="3"/>
        <v>Week 10</v>
      </c>
      <c r="D1027" s="32">
        <v>2024.0</v>
      </c>
      <c r="E1027" t="str">
        <f t="shared" si="15"/>
        <v>10</v>
      </c>
      <c r="F1027" t="str">
        <f t="shared" si="5"/>
        <v>R Saltiel</v>
      </c>
      <c r="G1027" s="40" t="str">
        <f>VLOOKUP(F1027,'Manager Coding'!C:D,2,0)</f>
        <v>Salty</v>
      </c>
      <c r="H1027" s="41">
        <f t="shared" si="6"/>
        <v>87.5</v>
      </c>
      <c r="I1027" t="str">
        <f t="shared" si="7"/>
        <v>Pierson Curtis</v>
      </c>
      <c r="J1027" t="str">
        <f>VLOOKUP(I1027,'Manager Coding'!C:D,2,0)</f>
        <v>Pierson</v>
      </c>
      <c r="K1027" s="41">
        <f t="shared" si="8"/>
        <v>106.22</v>
      </c>
      <c r="L1027">
        <f t="shared" si="9"/>
        <v>0</v>
      </c>
      <c r="M1027">
        <f t="shared" si="10"/>
        <v>1</v>
      </c>
      <c r="N1027" s="131" t="s">
        <v>2525</v>
      </c>
      <c r="O1027" s="132" t="s">
        <v>77</v>
      </c>
      <c r="P1027" s="192">
        <v>87.5</v>
      </c>
      <c r="Q1027" s="195">
        <v>106.22</v>
      </c>
      <c r="R1027" s="133" t="s">
        <v>93</v>
      </c>
      <c r="S1027" s="131" t="s">
        <v>2521</v>
      </c>
      <c r="T1027" s="202" t="s">
        <v>1398</v>
      </c>
      <c r="U1027" t="str">
        <f t="shared" si="13"/>
        <v>Puka Quakes</v>
      </c>
    </row>
    <row r="1028" hidden="1">
      <c r="A1028" s="32" t="str">
        <f t="shared" si="1"/>
        <v>#N/A</v>
      </c>
      <c r="B1028" s="32" t="str">
        <f t="shared" si="2"/>
        <v>#N/A</v>
      </c>
      <c r="C1028" s="32" t="str">
        <f t="shared" si="3"/>
        <v>Week 10</v>
      </c>
      <c r="D1028" s="32">
        <v>2024.0</v>
      </c>
      <c r="E1028" t="str">
        <f t="shared" si="15"/>
        <v>10</v>
      </c>
      <c r="F1028" t="str">
        <f t="shared" si="5"/>
        <v/>
      </c>
      <c r="G1028" s="40" t="str">
        <f>VLOOKUP(F1028,'Manager Coding'!C:D,2,0)</f>
        <v>#N/A</v>
      </c>
      <c r="H1028" s="41" t="str">
        <f t="shared" si="6"/>
        <v/>
      </c>
      <c r="I1028" t="str">
        <f t="shared" si="7"/>
        <v/>
      </c>
      <c r="J1028" t="str">
        <f>VLOOKUP(I1028,'Manager Coding'!C:D,2,0)</f>
        <v>#N/A</v>
      </c>
      <c r="K1028" s="41" t="str">
        <f t="shared" si="8"/>
        <v/>
      </c>
      <c r="L1028">
        <f t="shared" si="9"/>
        <v>0</v>
      </c>
      <c r="M1028">
        <f t="shared" si="10"/>
        <v>0</v>
      </c>
      <c r="N1028" s="162" t="s">
        <v>430</v>
      </c>
      <c r="O1028" s="197"/>
      <c r="P1028" s="198"/>
      <c r="Q1028" s="198"/>
      <c r="R1028" s="198"/>
      <c r="S1028" s="198"/>
      <c r="T1028" s="199" t="e">
        <v>#VALUE!</v>
      </c>
      <c r="U1028" t="str">
        <f t="shared" si="13"/>
        <v>#VALUE!</v>
      </c>
    </row>
    <row r="1029" hidden="1">
      <c r="A1029" s="32" t="str">
        <f t="shared" si="1"/>
        <v>#N/A</v>
      </c>
      <c r="B1029" s="32" t="str">
        <f t="shared" si="2"/>
        <v>#N/A</v>
      </c>
      <c r="C1029" s="32" t="str">
        <f t="shared" si="3"/>
        <v>Week 11</v>
      </c>
      <c r="D1029" s="32">
        <v>2024.0</v>
      </c>
      <c r="E1029" t="str">
        <f t="shared" si="15"/>
        <v>11</v>
      </c>
      <c r="F1029" t="str">
        <f t="shared" si="5"/>
        <v>TEAM MANAGER(S)</v>
      </c>
      <c r="G1029" s="40" t="str">
        <f>VLOOKUP(F1029,'Manager Coding'!C:D,2,0)</f>
        <v>#N/A</v>
      </c>
      <c r="H1029" s="41" t="str">
        <f t="shared" si="6"/>
        <v>Score</v>
      </c>
      <c r="I1029" t="str">
        <f t="shared" si="7"/>
        <v>TEAM MANAGER(S)</v>
      </c>
      <c r="J1029" t="str">
        <f>VLOOKUP(I1029,'Manager Coding'!C:D,2,0)</f>
        <v>#N/A</v>
      </c>
      <c r="K1029" s="41" t="str">
        <f t="shared" si="8"/>
        <v>Score</v>
      </c>
      <c r="L1029">
        <f t="shared" si="9"/>
        <v>0</v>
      </c>
      <c r="M1029">
        <f t="shared" si="10"/>
        <v>0</v>
      </c>
      <c r="N1029" s="78" t="s">
        <v>197</v>
      </c>
      <c r="O1029" s="78" t="s">
        <v>88</v>
      </c>
      <c r="P1029" s="79" t="s">
        <v>59</v>
      </c>
      <c r="Q1029" s="78" t="s">
        <v>59</v>
      </c>
      <c r="R1029" s="79" t="s">
        <v>88</v>
      </c>
      <c r="S1029" s="79" t="s">
        <v>101</v>
      </c>
      <c r="T1029" s="199" t="e">
        <v>#VALUE!</v>
      </c>
      <c r="U1029" t="str">
        <f t="shared" si="13"/>
        <v>#VALUE!</v>
      </c>
    </row>
    <row r="1030" hidden="1">
      <c r="A1030" s="32" t="str">
        <f t="shared" si="1"/>
        <v>2024Rooney/JacksonWeek 11</v>
      </c>
      <c r="B1030" s="32" t="str">
        <f t="shared" si="2"/>
        <v>2024T-HowWeek 11</v>
      </c>
      <c r="C1030" s="32" t="str">
        <f t="shared" si="3"/>
        <v>Week 11</v>
      </c>
      <c r="D1030" s="32">
        <v>2024.0</v>
      </c>
      <c r="E1030" t="str">
        <f t="shared" si="15"/>
        <v>11</v>
      </c>
      <c r="F1030" t="str">
        <f t="shared" si="5"/>
        <v>Stephen Rooney, Jackson Sattell</v>
      </c>
      <c r="G1030" s="40" t="str">
        <f>VLOOKUP(F1030,'Manager Coding'!C:D,2,0)</f>
        <v>Rooney/Jackson</v>
      </c>
      <c r="H1030" s="41">
        <f t="shared" si="6"/>
        <v>60.34</v>
      </c>
      <c r="I1030" t="str">
        <f t="shared" si="7"/>
        <v>Tyler Howard</v>
      </c>
      <c r="J1030" t="str">
        <f>VLOOKUP(I1030,'Manager Coding'!C:D,2,0)</f>
        <v>T-How</v>
      </c>
      <c r="K1030" s="41">
        <f t="shared" si="8"/>
        <v>108.24</v>
      </c>
      <c r="L1030">
        <f t="shared" si="9"/>
        <v>0</v>
      </c>
      <c r="M1030">
        <f t="shared" si="10"/>
        <v>1</v>
      </c>
      <c r="N1030" s="153" t="s">
        <v>2514</v>
      </c>
      <c r="O1030" s="81" t="s">
        <v>58</v>
      </c>
      <c r="P1030" s="200">
        <v>60.34</v>
      </c>
      <c r="Q1030" s="189">
        <v>108.24</v>
      </c>
      <c r="R1030" s="154" t="s">
        <v>85</v>
      </c>
      <c r="S1030" s="153" t="s">
        <v>2520</v>
      </c>
      <c r="T1030" s="202" t="s">
        <v>1378</v>
      </c>
      <c r="U1030" t="str">
        <f t="shared" si="13"/>
        <v>Mahomes Flooded</v>
      </c>
    </row>
    <row r="1031" hidden="1">
      <c r="A1031" s="32" t="str">
        <f t="shared" si="1"/>
        <v>2024HudspeathWeek 11</v>
      </c>
      <c r="B1031" s="32" t="str">
        <f t="shared" si="2"/>
        <v>2024EwertWeek 11</v>
      </c>
      <c r="C1031" s="32" t="str">
        <f t="shared" si="3"/>
        <v>Week 11</v>
      </c>
      <c r="D1031" s="32">
        <v>2024.0</v>
      </c>
      <c r="E1031" t="str">
        <f t="shared" si="15"/>
        <v>11</v>
      </c>
      <c r="F1031" t="str">
        <f t="shared" si="5"/>
        <v>matt hudspeath</v>
      </c>
      <c r="G1031" s="40" t="str">
        <f>VLOOKUP(F1031,'Manager Coding'!C:D,2,0)</f>
        <v>Hudspeath</v>
      </c>
      <c r="H1031" s="41">
        <f t="shared" si="6"/>
        <v>72.8</v>
      </c>
      <c r="I1031" t="str">
        <f t="shared" si="7"/>
        <v>Kyle Ewert, brad starck</v>
      </c>
      <c r="J1031" t="str">
        <f>VLOOKUP(I1031,'Manager Coding'!C:D,2,0)</f>
        <v>Ewert</v>
      </c>
      <c r="K1031" s="41">
        <f t="shared" si="8"/>
        <v>90.08</v>
      </c>
      <c r="L1031">
        <f t="shared" si="9"/>
        <v>0</v>
      </c>
      <c r="M1031">
        <f t="shared" si="10"/>
        <v>1</v>
      </c>
      <c r="N1031" s="168" t="s">
        <v>2516</v>
      </c>
      <c r="O1031" s="169" t="s">
        <v>64</v>
      </c>
      <c r="P1031" s="203">
        <v>72.8</v>
      </c>
      <c r="Q1031" s="191">
        <v>90.08</v>
      </c>
      <c r="R1031" s="170" t="s">
        <v>105</v>
      </c>
      <c r="S1031" s="168" t="s">
        <v>2523</v>
      </c>
      <c r="T1031" s="202" t="s">
        <v>1372</v>
      </c>
      <c r="U1031" t="str">
        <f t="shared" si="13"/>
        <v>Caleb's Year</v>
      </c>
    </row>
    <row r="1032" hidden="1">
      <c r="A1032" s="32" t="str">
        <f t="shared" si="1"/>
        <v>2024CockWeek 11</v>
      </c>
      <c r="B1032" s="32" t="str">
        <f t="shared" si="2"/>
        <v>2024BuserWeek 11</v>
      </c>
      <c r="C1032" s="32" t="str">
        <f t="shared" si="3"/>
        <v>Week 11</v>
      </c>
      <c r="D1032" s="32">
        <v>2024.0</v>
      </c>
      <c r="E1032" t="str">
        <f t="shared" si="15"/>
        <v>11</v>
      </c>
      <c r="F1032" t="str">
        <f t="shared" si="5"/>
        <v>Chris Cochrane</v>
      </c>
      <c r="G1032" s="40" t="str">
        <f>VLOOKUP(F1032,'Manager Coding'!C:D,2,0)</f>
        <v>Cock</v>
      </c>
      <c r="H1032" s="41">
        <f t="shared" si="6"/>
        <v>64.16</v>
      </c>
      <c r="I1032" t="str">
        <f t="shared" si="7"/>
        <v>Ed Buser</v>
      </c>
      <c r="J1032" t="str">
        <f>VLOOKUP(I1032,'Manager Coding'!C:D,2,0)</f>
        <v>Buser</v>
      </c>
      <c r="K1032" s="41">
        <f t="shared" si="8"/>
        <v>108.54</v>
      </c>
      <c r="L1032">
        <f t="shared" si="9"/>
        <v>0</v>
      </c>
      <c r="M1032">
        <f t="shared" si="10"/>
        <v>1</v>
      </c>
      <c r="N1032" s="128" t="s">
        <v>2513</v>
      </c>
      <c r="O1032" s="129" t="s">
        <v>99</v>
      </c>
      <c r="P1032" s="192">
        <v>64.16</v>
      </c>
      <c r="Q1032" s="195">
        <v>108.54</v>
      </c>
      <c r="R1032" s="130" t="s">
        <v>50</v>
      </c>
      <c r="S1032" s="128" t="s">
        <v>2526</v>
      </c>
      <c r="T1032" s="202" t="s">
        <v>1341</v>
      </c>
      <c r="U1032" t="str">
        <f t="shared" si="13"/>
        <v>Chase'n Purdy Big Twisters</v>
      </c>
    </row>
    <row r="1033" hidden="1">
      <c r="A1033" s="32" t="str">
        <f t="shared" si="1"/>
        <v>2024KnardDawgWeek 11</v>
      </c>
      <c r="B1033" s="32" t="str">
        <f t="shared" si="2"/>
        <v>2024TayskiWeek 11</v>
      </c>
      <c r="C1033" s="32" t="str">
        <f t="shared" si="3"/>
        <v>Week 11</v>
      </c>
      <c r="D1033" s="32">
        <v>2024.0</v>
      </c>
      <c r="E1033" t="str">
        <f t="shared" si="15"/>
        <v>11</v>
      </c>
      <c r="F1033" t="str">
        <f t="shared" si="5"/>
        <v>Alex Kinniard, Jack Reilly</v>
      </c>
      <c r="G1033" s="40" t="str">
        <f>VLOOKUP(F1033,'Manager Coding'!C:D,2,0)</f>
        <v>KnardDawg</v>
      </c>
      <c r="H1033" s="41">
        <f t="shared" si="6"/>
        <v>116.82</v>
      </c>
      <c r="I1033" t="str">
        <f t="shared" si="7"/>
        <v>Taylor Weis</v>
      </c>
      <c r="J1033" t="str">
        <f>VLOOKUP(I1033,'Manager Coding'!C:D,2,0)</f>
        <v>Tayski</v>
      </c>
      <c r="K1033" s="41">
        <f t="shared" si="8"/>
        <v>120.48</v>
      </c>
      <c r="L1033">
        <f t="shared" si="9"/>
        <v>0</v>
      </c>
      <c r="M1033">
        <f t="shared" si="10"/>
        <v>1</v>
      </c>
      <c r="N1033" s="131" t="s">
        <v>2518</v>
      </c>
      <c r="O1033" s="132" t="s">
        <v>87</v>
      </c>
      <c r="P1033" s="192">
        <v>116.82</v>
      </c>
      <c r="Q1033" s="195">
        <v>120.48</v>
      </c>
      <c r="R1033" s="133" t="s">
        <v>54</v>
      </c>
      <c r="S1033" s="131" t="s">
        <v>2530</v>
      </c>
      <c r="T1033" s="202" t="s">
        <v>2550</v>
      </c>
      <c r="U1033" t="str">
        <f t="shared" si="13"/>
        <v>NoMoore 4KDrought</v>
      </c>
    </row>
    <row r="1034" hidden="1">
      <c r="A1034" s="32" t="str">
        <f t="shared" si="1"/>
        <v>2024PiersonWeek 11</v>
      </c>
      <c r="B1034" s="32" t="str">
        <f t="shared" si="2"/>
        <v>2024RileyWeek 11</v>
      </c>
      <c r="C1034" s="32" t="str">
        <f t="shared" si="3"/>
        <v>Week 11</v>
      </c>
      <c r="D1034" s="32">
        <v>2024.0</v>
      </c>
      <c r="E1034" t="str">
        <f t="shared" si="15"/>
        <v>11</v>
      </c>
      <c r="F1034" t="str">
        <f t="shared" si="5"/>
        <v>Pierson Curtis</v>
      </c>
      <c r="G1034" s="40" t="str">
        <f>VLOOKUP(F1034,'Manager Coding'!C:D,2,0)</f>
        <v>Pierson</v>
      </c>
      <c r="H1034" s="41">
        <f t="shared" si="6"/>
        <v>88.84</v>
      </c>
      <c r="I1034" t="str">
        <f t="shared" si="7"/>
        <v>Riley McElwain</v>
      </c>
      <c r="J1034" t="str">
        <f>VLOOKUP(I1034,'Manager Coding'!C:D,2,0)</f>
        <v>Riley</v>
      </c>
      <c r="K1034" s="41">
        <f t="shared" si="8"/>
        <v>94.48</v>
      </c>
      <c r="L1034">
        <f t="shared" si="9"/>
        <v>0</v>
      </c>
      <c r="M1034">
        <f t="shared" si="10"/>
        <v>1</v>
      </c>
      <c r="N1034" s="128" t="s">
        <v>2521</v>
      </c>
      <c r="O1034" s="129" t="s">
        <v>93</v>
      </c>
      <c r="P1034" s="192">
        <v>88.84</v>
      </c>
      <c r="Q1034" s="195">
        <v>94.48</v>
      </c>
      <c r="R1034" s="130" t="s">
        <v>68</v>
      </c>
      <c r="S1034" s="128" t="s">
        <v>2531</v>
      </c>
      <c r="T1034" s="202" t="s">
        <v>1363</v>
      </c>
      <c r="U1034" t="str">
        <f t="shared" si="13"/>
        <v>Blizzard Boys</v>
      </c>
    </row>
    <row r="1035" hidden="1">
      <c r="A1035" s="32" t="str">
        <f t="shared" si="1"/>
        <v>2024SaltyWeek 11</v>
      </c>
      <c r="B1035" s="32" t="str">
        <f t="shared" si="2"/>
        <v>2024ShepWeek 11</v>
      </c>
      <c r="C1035" s="32" t="str">
        <f t="shared" si="3"/>
        <v>Week 11</v>
      </c>
      <c r="D1035" s="32">
        <v>2024.0</v>
      </c>
      <c r="E1035" t="str">
        <f t="shared" si="15"/>
        <v>11</v>
      </c>
      <c r="F1035" t="str">
        <f t="shared" si="5"/>
        <v>R Saltiel</v>
      </c>
      <c r="G1035" s="40" t="str">
        <f>VLOOKUP(F1035,'Manager Coding'!C:D,2,0)</f>
        <v>Salty</v>
      </c>
      <c r="H1035" s="41">
        <f t="shared" si="6"/>
        <v>108.18</v>
      </c>
      <c r="I1035" t="str">
        <f t="shared" si="7"/>
        <v>Jordan Shepherd</v>
      </c>
      <c r="J1035" t="str">
        <f>VLOOKUP(I1035,'Manager Coding'!C:D,2,0)</f>
        <v>Shep</v>
      </c>
      <c r="K1035" s="41">
        <f t="shared" si="8"/>
        <v>127.8</v>
      </c>
      <c r="L1035">
        <f t="shared" si="9"/>
        <v>0</v>
      </c>
      <c r="M1035">
        <f t="shared" si="10"/>
        <v>1</v>
      </c>
      <c r="N1035" s="131" t="s">
        <v>2525</v>
      </c>
      <c r="O1035" s="132" t="s">
        <v>77</v>
      </c>
      <c r="P1035" s="192">
        <v>108.18</v>
      </c>
      <c r="Q1035" s="195">
        <v>127.8</v>
      </c>
      <c r="R1035" s="133" t="s">
        <v>91</v>
      </c>
      <c r="S1035" s="131" t="s">
        <v>2528</v>
      </c>
      <c r="T1035" s="202" t="s">
        <v>1392</v>
      </c>
      <c r="U1035" t="str">
        <f t="shared" si="13"/>
        <v>Puka Quakes</v>
      </c>
    </row>
    <row r="1036" hidden="1">
      <c r="A1036" s="32" t="str">
        <f t="shared" si="1"/>
        <v>#N/A</v>
      </c>
      <c r="B1036" s="32" t="str">
        <f t="shared" si="2"/>
        <v>#N/A</v>
      </c>
      <c r="C1036" s="32" t="str">
        <f t="shared" si="3"/>
        <v>Week 11</v>
      </c>
      <c r="D1036" s="32">
        <v>2024.0</v>
      </c>
      <c r="E1036" t="str">
        <f t="shared" si="15"/>
        <v>11</v>
      </c>
      <c r="F1036" t="str">
        <f t="shared" si="5"/>
        <v/>
      </c>
      <c r="G1036" s="40" t="str">
        <f>VLOOKUP(F1036,'Manager Coding'!C:D,2,0)</f>
        <v>#N/A</v>
      </c>
      <c r="H1036" s="41" t="str">
        <f t="shared" si="6"/>
        <v/>
      </c>
      <c r="I1036" t="str">
        <f t="shared" si="7"/>
        <v/>
      </c>
      <c r="J1036" t="str">
        <f>VLOOKUP(I1036,'Manager Coding'!C:D,2,0)</f>
        <v>#N/A</v>
      </c>
      <c r="K1036" s="41" t="str">
        <f t="shared" si="8"/>
        <v/>
      </c>
      <c r="L1036">
        <f t="shared" si="9"/>
        <v>0</v>
      </c>
      <c r="M1036">
        <f t="shared" si="10"/>
        <v>0</v>
      </c>
      <c r="N1036" s="162" t="s">
        <v>455</v>
      </c>
      <c r="O1036" s="197"/>
      <c r="P1036" s="198"/>
      <c r="Q1036" s="198"/>
      <c r="R1036" s="198"/>
      <c r="S1036" s="198"/>
      <c r="T1036" s="199" t="e">
        <v>#VALUE!</v>
      </c>
      <c r="U1036" t="str">
        <f t="shared" si="13"/>
        <v>#VALUE!</v>
      </c>
    </row>
    <row r="1037" hidden="1">
      <c r="A1037" s="32" t="str">
        <f t="shared" si="1"/>
        <v>#N/A</v>
      </c>
      <c r="B1037" s="32" t="str">
        <f t="shared" si="2"/>
        <v>#N/A</v>
      </c>
      <c r="C1037" s="32" t="str">
        <f t="shared" si="3"/>
        <v>Week 12</v>
      </c>
      <c r="D1037" s="32">
        <v>2024.0</v>
      </c>
      <c r="E1037" t="str">
        <f t="shared" si="15"/>
        <v>12</v>
      </c>
      <c r="F1037" t="str">
        <f t="shared" si="5"/>
        <v>TEAM MANAGER(S)</v>
      </c>
      <c r="G1037" s="40" t="str">
        <f>VLOOKUP(F1037,'Manager Coding'!C:D,2,0)</f>
        <v>#N/A</v>
      </c>
      <c r="H1037" s="41" t="str">
        <f t="shared" si="6"/>
        <v>Score</v>
      </c>
      <c r="I1037" t="str">
        <f t="shared" si="7"/>
        <v>TEAM MANAGER(S)</v>
      </c>
      <c r="J1037" t="str">
        <f>VLOOKUP(I1037,'Manager Coding'!C:D,2,0)</f>
        <v>#N/A</v>
      </c>
      <c r="K1037" s="41" t="str">
        <f t="shared" si="8"/>
        <v>Score</v>
      </c>
      <c r="L1037">
        <f t="shared" si="9"/>
        <v>0</v>
      </c>
      <c r="M1037">
        <f t="shared" si="10"/>
        <v>0</v>
      </c>
      <c r="N1037" s="78" t="s">
        <v>197</v>
      </c>
      <c r="O1037" s="78" t="s">
        <v>88</v>
      </c>
      <c r="P1037" s="79" t="s">
        <v>59</v>
      </c>
      <c r="Q1037" s="78" t="s">
        <v>59</v>
      </c>
      <c r="R1037" s="79" t="s">
        <v>88</v>
      </c>
      <c r="S1037" s="79" t="s">
        <v>101</v>
      </c>
      <c r="T1037" s="199" t="e">
        <v>#VALUE!</v>
      </c>
      <c r="U1037" t="str">
        <f t="shared" si="13"/>
        <v>#VALUE!</v>
      </c>
    </row>
    <row r="1038" hidden="1">
      <c r="A1038" s="32" t="str">
        <f t="shared" si="1"/>
        <v>2024HudspeathWeek 12</v>
      </c>
      <c r="B1038" s="32" t="str">
        <f t="shared" si="2"/>
        <v>2024Rooney/JacksonWeek 12</v>
      </c>
      <c r="C1038" s="32" t="str">
        <f t="shared" si="3"/>
        <v>Week 12</v>
      </c>
      <c r="D1038" s="32">
        <v>2024.0</v>
      </c>
      <c r="E1038" t="str">
        <f t="shared" si="15"/>
        <v>12</v>
      </c>
      <c r="F1038" t="str">
        <f t="shared" si="5"/>
        <v>matt hudspeath</v>
      </c>
      <c r="G1038" s="40" t="str">
        <f>VLOOKUP(F1038,'Manager Coding'!C:D,2,0)</f>
        <v>Hudspeath</v>
      </c>
      <c r="H1038" s="41">
        <f t="shared" si="6"/>
        <v>61.96</v>
      </c>
      <c r="I1038" t="str">
        <f t="shared" si="7"/>
        <v>Stephen Rooney, Jackson Sattell</v>
      </c>
      <c r="J1038" t="str">
        <f>VLOOKUP(I1038,'Manager Coding'!C:D,2,0)</f>
        <v>Rooney/Jackson</v>
      </c>
      <c r="K1038" s="41">
        <f t="shared" si="8"/>
        <v>122.1</v>
      </c>
      <c r="L1038">
        <f t="shared" si="9"/>
        <v>0</v>
      </c>
      <c r="M1038">
        <f t="shared" si="10"/>
        <v>1</v>
      </c>
      <c r="N1038" s="153" t="s">
        <v>2516</v>
      </c>
      <c r="O1038" s="81" t="s">
        <v>64</v>
      </c>
      <c r="P1038" s="200">
        <v>61.96</v>
      </c>
      <c r="Q1038" s="189">
        <v>122.1</v>
      </c>
      <c r="R1038" s="154" t="s">
        <v>58</v>
      </c>
      <c r="S1038" s="153" t="s">
        <v>2514</v>
      </c>
      <c r="T1038" s="202" t="s">
        <v>1353</v>
      </c>
      <c r="U1038" t="str">
        <f t="shared" si="13"/>
        <v>Caleb's Year</v>
      </c>
    </row>
    <row r="1039" hidden="1">
      <c r="A1039" s="32" t="str">
        <f t="shared" si="1"/>
        <v>2024T-HowWeek 12</v>
      </c>
      <c r="B1039" s="32" t="str">
        <f t="shared" si="2"/>
        <v>2024CockWeek 12</v>
      </c>
      <c r="C1039" s="32" t="str">
        <f t="shared" si="3"/>
        <v>Week 12</v>
      </c>
      <c r="D1039" s="32">
        <v>2024.0</v>
      </c>
      <c r="E1039" t="str">
        <f t="shared" si="15"/>
        <v>12</v>
      </c>
      <c r="F1039" t="str">
        <f t="shared" si="5"/>
        <v>Tyler Howard</v>
      </c>
      <c r="G1039" s="40" t="str">
        <f>VLOOKUP(F1039,'Manager Coding'!C:D,2,0)</f>
        <v>T-How</v>
      </c>
      <c r="H1039" s="41">
        <f t="shared" si="6"/>
        <v>101.36</v>
      </c>
      <c r="I1039" t="str">
        <f t="shared" si="7"/>
        <v>Chris Cochrane</v>
      </c>
      <c r="J1039" t="str">
        <f>VLOOKUP(I1039,'Manager Coding'!C:D,2,0)</f>
        <v>Cock</v>
      </c>
      <c r="K1039" s="41">
        <f t="shared" si="8"/>
        <v>94.52</v>
      </c>
      <c r="L1039">
        <f t="shared" si="9"/>
        <v>1</v>
      </c>
      <c r="M1039">
        <f t="shared" si="10"/>
        <v>0</v>
      </c>
      <c r="N1039" s="168" t="s">
        <v>2520</v>
      </c>
      <c r="O1039" s="169" t="s">
        <v>85</v>
      </c>
      <c r="P1039" s="203">
        <v>101.36</v>
      </c>
      <c r="Q1039" s="191">
        <v>94.52</v>
      </c>
      <c r="R1039" s="170" t="s">
        <v>99</v>
      </c>
      <c r="S1039" s="168" t="s">
        <v>2513</v>
      </c>
      <c r="T1039" s="202" t="s">
        <v>1366</v>
      </c>
      <c r="U1039" t="str">
        <f t="shared" si="13"/>
        <v>Hurtswaves</v>
      </c>
    </row>
    <row r="1040" hidden="1">
      <c r="A1040" s="32" t="str">
        <f t="shared" si="1"/>
        <v>2024EwertWeek 12</v>
      </c>
      <c r="B1040" s="32" t="str">
        <f t="shared" si="2"/>
        <v>2024KnardDawgWeek 12</v>
      </c>
      <c r="C1040" s="32" t="str">
        <f t="shared" si="3"/>
        <v>Week 12</v>
      </c>
      <c r="D1040" s="32">
        <v>2024.0</v>
      </c>
      <c r="E1040" t="str">
        <f t="shared" si="15"/>
        <v>12</v>
      </c>
      <c r="F1040" t="str">
        <f t="shared" si="5"/>
        <v>Kyle Ewert, brad starck</v>
      </c>
      <c r="G1040" s="40" t="str">
        <f>VLOOKUP(F1040,'Manager Coding'!C:D,2,0)</f>
        <v>Ewert</v>
      </c>
      <c r="H1040" s="41">
        <f t="shared" si="6"/>
        <v>82.12</v>
      </c>
      <c r="I1040" t="str">
        <f t="shared" si="7"/>
        <v>Alex Kinniard, Jack Reilly</v>
      </c>
      <c r="J1040" t="str">
        <f>VLOOKUP(I1040,'Manager Coding'!C:D,2,0)</f>
        <v>KnardDawg</v>
      </c>
      <c r="K1040" s="41">
        <f t="shared" si="8"/>
        <v>133.2</v>
      </c>
      <c r="L1040">
        <f t="shared" si="9"/>
        <v>0</v>
      </c>
      <c r="M1040">
        <f t="shared" si="10"/>
        <v>1</v>
      </c>
      <c r="N1040" s="128" t="s">
        <v>2523</v>
      </c>
      <c r="O1040" s="129" t="s">
        <v>105</v>
      </c>
      <c r="P1040" s="192">
        <v>82.12</v>
      </c>
      <c r="Q1040" s="195">
        <v>133.2</v>
      </c>
      <c r="R1040" s="130" t="s">
        <v>87</v>
      </c>
      <c r="S1040" s="128" t="s">
        <v>2518</v>
      </c>
      <c r="T1040" s="202" t="s">
        <v>1384</v>
      </c>
      <c r="U1040" t="str">
        <f t="shared" si="13"/>
        <v>Whiteout</v>
      </c>
    </row>
    <row r="1041" hidden="1">
      <c r="A1041" s="32" t="str">
        <f t="shared" si="1"/>
        <v>2024BuserWeek 12</v>
      </c>
      <c r="B1041" s="32" t="str">
        <f t="shared" si="2"/>
        <v>2024PiersonWeek 12</v>
      </c>
      <c r="C1041" s="32" t="str">
        <f t="shared" si="3"/>
        <v>Week 12</v>
      </c>
      <c r="D1041" s="32">
        <v>2024.0</v>
      </c>
      <c r="E1041" t="str">
        <f t="shared" si="15"/>
        <v>12</v>
      </c>
      <c r="F1041" t="str">
        <f t="shared" si="5"/>
        <v>Ed Buser</v>
      </c>
      <c r="G1041" s="40" t="str">
        <f>VLOOKUP(F1041,'Manager Coding'!C:D,2,0)</f>
        <v>Buser</v>
      </c>
      <c r="H1041" s="41">
        <f t="shared" si="6"/>
        <v>98.58</v>
      </c>
      <c r="I1041" t="str">
        <f t="shared" si="7"/>
        <v>Pierson Curtis</v>
      </c>
      <c r="J1041" t="str">
        <f>VLOOKUP(I1041,'Manager Coding'!C:D,2,0)</f>
        <v>Pierson</v>
      </c>
      <c r="K1041" s="41">
        <f t="shared" si="8"/>
        <v>96.78</v>
      </c>
      <c r="L1041">
        <f t="shared" si="9"/>
        <v>1</v>
      </c>
      <c r="M1041">
        <f t="shared" si="10"/>
        <v>0</v>
      </c>
      <c r="N1041" s="131" t="s">
        <v>2526</v>
      </c>
      <c r="O1041" s="132" t="s">
        <v>50</v>
      </c>
      <c r="P1041" s="192">
        <v>98.58</v>
      </c>
      <c r="Q1041" s="195">
        <v>96.78</v>
      </c>
      <c r="R1041" s="133" t="s">
        <v>93</v>
      </c>
      <c r="S1041" s="131" t="s">
        <v>2521</v>
      </c>
      <c r="T1041" s="202" t="s">
        <v>1398</v>
      </c>
      <c r="U1041" t="str">
        <f t="shared" si="13"/>
        <v>Hurricane Andrews</v>
      </c>
    </row>
    <row r="1042" hidden="1">
      <c r="A1042" s="32" t="str">
        <f t="shared" si="1"/>
        <v>2024TayskiWeek 12</v>
      </c>
      <c r="B1042" s="32" t="str">
        <f t="shared" si="2"/>
        <v>2024SaltyWeek 12</v>
      </c>
      <c r="C1042" s="32" t="str">
        <f t="shared" si="3"/>
        <v>Week 12</v>
      </c>
      <c r="D1042" s="32">
        <v>2024.0</v>
      </c>
      <c r="E1042" t="str">
        <f t="shared" si="15"/>
        <v>12</v>
      </c>
      <c r="F1042" t="str">
        <f t="shared" si="5"/>
        <v>Taylor Weis</v>
      </c>
      <c r="G1042" s="40" t="str">
        <f>VLOOKUP(F1042,'Manager Coding'!C:D,2,0)</f>
        <v>Tayski</v>
      </c>
      <c r="H1042" s="41">
        <f t="shared" si="6"/>
        <v>53.26</v>
      </c>
      <c r="I1042" t="str">
        <f t="shared" si="7"/>
        <v>R Saltiel</v>
      </c>
      <c r="J1042" t="str">
        <f>VLOOKUP(I1042,'Manager Coding'!C:D,2,0)</f>
        <v>Salty</v>
      </c>
      <c r="K1042" s="41">
        <f t="shared" si="8"/>
        <v>96.88</v>
      </c>
      <c r="L1042">
        <f t="shared" si="9"/>
        <v>0</v>
      </c>
      <c r="M1042">
        <f t="shared" si="10"/>
        <v>1</v>
      </c>
      <c r="N1042" s="128" t="s">
        <v>2530</v>
      </c>
      <c r="O1042" s="129" t="s">
        <v>54</v>
      </c>
      <c r="P1042" s="192">
        <v>53.26</v>
      </c>
      <c r="Q1042" s="195">
        <v>96.88</v>
      </c>
      <c r="R1042" s="130" t="s">
        <v>77</v>
      </c>
      <c r="S1042" s="128" t="s">
        <v>2525</v>
      </c>
      <c r="T1042" s="202" t="s">
        <v>1368</v>
      </c>
      <c r="U1042" t="str">
        <f t="shared" si="13"/>
        <v>WeisFire</v>
      </c>
    </row>
    <row r="1043" hidden="1">
      <c r="A1043" s="32" t="str">
        <f t="shared" si="1"/>
        <v>2024RileyWeek 12</v>
      </c>
      <c r="B1043" s="32" t="str">
        <f t="shared" si="2"/>
        <v>2024ShepWeek 12</v>
      </c>
      <c r="C1043" s="32" t="str">
        <f t="shared" si="3"/>
        <v>Week 12</v>
      </c>
      <c r="D1043" s="32">
        <v>2024.0</v>
      </c>
      <c r="E1043" t="str">
        <f t="shared" si="15"/>
        <v>12</v>
      </c>
      <c r="F1043" t="str">
        <f t="shared" si="5"/>
        <v>Riley McElwain</v>
      </c>
      <c r="G1043" s="40" t="str">
        <f>VLOOKUP(F1043,'Manager Coding'!C:D,2,0)</f>
        <v>Riley</v>
      </c>
      <c r="H1043" s="41">
        <f t="shared" si="6"/>
        <v>72</v>
      </c>
      <c r="I1043" t="str">
        <f t="shared" si="7"/>
        <v>Jordan Shepherd</v>
      </c>
      <c r="J1043" t="str">
        <f>VLOOKUP(I1043,'Manager Coding'!C:D,2,0)</f>
        <v>Shep</v>
      </c>
      <c r="K1043" s="41">
        <f t="shared" si="8"/>
        <v>85.38</v>
      </c>
      <c r="L1043">
        <f t="shared" si="9"/>
        <v>0</v>
      </c>
      <c r="M1043">
        <f t="shared" si="10"/>
        <v>1</v>
      </c>
      <c r="N1043" s="131" t="s">
        <v>2531</v>
      </c>
      <c r="O1043" s="132" t="s">
        <v>68</v>
      </c>
      <c r="P1043" s="192">
        <v>72.0</v>
      </c>
      <c r="Q1043" s="195">
        <v>85.38</v>
      </c>
      <c r="R1043" s="133" t="s">
        <v>91</v>
      </c>
      <c r="S1043" s="131" t="s">
        <v>2528</v>
      </c>
      <c r="T1043" s="202" t="s">
        <v>1392</v>
      </c>
      <c r="U1043" t="str">
        <f t="shared" si="13"/>
        <v>Moodslide</v>
      </c>
    </row>
    <row r="1044" hidden="1">
      <c r="A1044" s="32" t="str">
        <f t="shared" si="1"/>
        <v>#N/A</v>
      </c>
      <c r="B1044" s="32" t="str">
        <f t="shared" si="2"/>
        <v>#N/A</v>
      </c>
      <c r="C1044" s="32" t="str">
        <f t="shared" si="3"/>
        <v>Week 12</v>
      </c>
      <c r="D1044" s="32">
        <v>2024.0</v>
      </c>
      <c r="E1044" t="str">
        <f t="shared" si="15"/>
        <v>12</v>
      </c>
      <c r="F1044" t="str">
        <f t="shared" si="5"/>
        <v/>
      </c>
      <c r="G1044" s="40" t="str">
        <f>VLOOKUP(F1044,'Manager Coding'!C:D,2,0)</f>
        <v>#N/A</v>
      </c>
      <c r="H1044" s="41" t="str">
        <f t="shared" si="6"/>
        <v/>
      </c>
      <c r="I1044" t="str">
        <f t="shared" si="7"/>
        <v/>
      </c>
      <c r="J1044" t="str">
        <f>VLOOKUP(I1044,'Manager Coding'!C:D,2,0)</f>
        <v>#N/A</v>
      </c>
      <c r="K1044" s="41" t="str">
        <f t="shared" si="8"/>
        <v/>
      </c>
      <c r="L1044">
        <f t="shared" si="9"/>
        <v>0</v>
      </c>
      <c r="M1044">
        <f t="shared" si="10"/>
        <v>0</v>
      </c>
      <c r="N1044" s="162" t="s">
        <v>477</v>
      </c>
      <c r="O1044" s="198"/>
      <c r="P1044" s="198"/>
      <c r="Q1044" s="198"/>
      <c r="R1044" s="198"/>
      <c r="S1044" s="198"/>
      <c r="T1044" s="199" t="e">
        <v>#VALUE!</v>
      </c>
      <c r="U1044" t="str">
        <f t="shared" si="13"/>
        <v>#VALUE!</v>
      </c>
    </row>
    <row r="1045" hidden="1">
      <c r="A1045" s="32" t="str">
        <f t="shared" si="1"/>
        <v>#N/A</v>
      </c>
      <c r="B1045" s="32" t="str">
        <f t="shared" si="2"/>
        <v>#N/A</v>
      </c>
      <c r="C1045" s="32" t="str">
        <f t="shared" si="3"/>
        <v>Week 13</v>
      </c>
      <c r="D1045" s="32">
        <v>2024.0</v>
      </c>
      <c r="E1045" t="str">
        <f t="shared" si="15"/>
        <v>13</v>
      </c>
      <c r="F1045" t="str">
        <f t="shared" si="5"/>
        <v>TEAM MANAGER(S)</v>
      </c>
      <c r="G1045" s="40" t="str">
        <f>VLOOKUP(F1045,'Manager Coding'!C:D,2,0)</f>
        <v>#N/A</v>
      </c>
      <c r="H1045" s="41" t="str">
        <f t="shared" si="6"/>
        <v>Score</v>
      </c>
      <c r="I1045" t="str">
        <f t="shared" si="7"/>
        <v>TEAM MANAGER(S)</v>
      </c>
      <c r="J1045" t="str">
        <f>VLOOKUP(I1045,'Manager Coding'!C:D,2,0)</f>
        <v>#N/A</v>
      </c>
      <c r="K1045" s="41" t="str">
        <f t="shared" si="8"/>
        <v>Score</v>
      </c>
      <c r="L1045">
        <f t="shared" si="9"/>
        <v>0</v>
      </c>
      <c r="M1045">
        <f t="shared" si="10"/>
        <v>0</v>
      </c>
      <c r="N1045" s="78" t="s">
        <v>197</v>
      </c>
      <c r="O1045" s="78" t="s">
        <v>88</v>
      </c>
      <c r="P1045" s="79" t="s">
        <v>59</v>
      </c>
      <c r="Q1045" s="78" t="s">
        <v>59</v>
      </c>
      <c r="R1045" s="79" t="s">
        <v>88</v>
      </c>
      <c r="S1045" s="79" t="s">
        <v>101</v>
      </c>
      <c r="T1045" s="199" t="e">
        <v>#VALUE!</v>
      </c>
      <c r="U1045" t="str">
        <f t="shared" si="13"/>
        <v>#VALUE!</v>
      </c>
    </row>
    <row r="1046" hidden="1">
      <c r="A1046" s="32" t="str">
        <f t="shared" si="1"/>
        <v>2024Rooney/JacksonWeek 13</v>
      </c>
      <c r="B1046" s="32" t="str">
        <f t="shared" si="2"/>
        <v>2024CockWeek 13</v>
      </c>
      <c r="C1046" s="32" t="str">
        <f t="shared" si="3"/>
        <v>Week 13</v>
      </c>
      <c r="D1046" s="32">
        <v>2024.0</v>
      </c>
      <c r="E1046" t="str">
        <f t="shared" si="15"/>
        <v>13</v>
      </c>
      <c r="F1046" t="str">
        <f t="shared" si="5"/>
        <v>Stephen Rooney, Jackson Sattell</v>
      </c>
      <c r="G1046" s="40" t="str">
        <f>VLOOKUP(F1046,'Manager Coding'!C:D,2,0)</f>
        <v>Rooney/Jackson</v>
      </c>
      <c r="H1046" s="41">
        <f t="shared" si="6"/>
        <v>81.14</v>
      </c>
      <c r="I1046" t="str">
        <f t="shared" si="7"/>
        <v>Chris Cochrane</v>
      </c>
      <c r="J1046" t="str">
        <f>VLOOKUP(I1046,'Manager Coding'!C:D,2,0)</f>
        <v>Cock</v>
      </c>
      <c r="K1046" s="41">
        <f t="shared" si="8"/>
        <v>36.86</v>
      </c>
      <c r="L1046">
        <f t="shared" si="9"/>
        <v>1</v>
      </c>
      <c r="M1046">
        <f t="shared" si="10"/>
        <v>0</v>
      </c>
      <c r="N1046" s="153" t="s">
        <v>2514</v>
      </c>
      <c r="O1046" s="81" t="s">
        <v>58</v>
      </c>
      <c r="P1046" s="200">
        <v>81.14</v>
      </c>
      <c r="Q1046" s="189">
        <v>36.86</v>
      </c>
      <c r="R1046" s="154" t="s">
        <v>99</v>
      </c>
      <c r="S1046" s="153" t="s">
        <v>2513</v>
      </c>
      <c r="T1046" s="202" t="s">
        <v>1366</v>
      </c>
      <c r="U1046" t="str">
        <f t="shared" si="13"/>
        <v>Mahomes Flooded</v>
      </c>
    </row>
    <row r="1047" hidden="1">
      <c r="A1047" s="32" t="str">
        <f t="shared" si="1"/>
        <v>2024KnardDawgWeek 13</v>
      </c>
      <c r="B1047" s="32" t="str">
        <f t="shared" si="2"/>
        <v>2024HudspeathWeek 13</v>
      </c>
      <c r="C1047" s="32" t="str">
        <f t="shared" si="3"/>
        <v>Week 13</v>
      </c>
      <c r="D1047" s="32">
        <v>2024.0</v>
      </c>
      <c r="E1047" t="str">
        <f t="shared" si="15"/>
        <v>13</v>
      </c>
      <c r="F1047" t="str">
        <f t="shared" si="5"/>
        <v>Alex Kinniard, Jack Reilly</v>
      </c>
      <c r="G1047" s="40" t="str">
        <f>VLOOKUP(F1047,'Manager Coding'!C:D,2,0)</f>
        <v>KnardDawg</v>
      </c>
      <c r="H1047" s="41">
        <f t="shared" si="6"/>
        <v>140.04</v>
      </c>
      <c r="I1047" t="str">
        <f t="shared" si="7"/>
        <v>matt hudspeath</v>
      </c>
      <c r="J1047" t="str">
        <f>VLOOKUP(I1047,'Manager Coding'!C:D,2,0)</f>
        <v>Hudspeath</v>
      </c>
      <c r="K1047" s="41">
        <f t="shared" si="8"/>
        <v>78.6</v>
      </c>
      <c r="L1047">
        <f t="shared" si="9"/>
        <v>1</v>
      </c>
      <c r="M1047">
        <f t="shared" si="10"/>
        <v>0</v>
      </c>
      <c r="N1047" s="168" t="s">
        <v>2518</v>
      </c>
      <c r="O1047" s="169" t="s">
        <v>87</v>
      </c>
      <c r="P1047" s="203">
        <v>140.04</v>
      </c>
      <c r="Q1047" s="191">
        <v>78.6</v>
      </c>
      <c r="R1047" s="170" t="s">
        <v>64</v>
      </c>
      <c r="S1047" s="168" t="s">
        <v>2516</v>
      </c>
      <c r="T1047" s="202" t="s">
        <v>1357</v>
      </c>
      <c r="U1047" t="str">
        <f t="shared" si="13"/>
        <v>NoMoore 4KDrought</v>
      </c>
    </row>
    <row r="1048" hidden="1">
      <c r="A1048" s="32" t="str">
        <f t="shared" si="1"/>
        <v>2024PiersonWeek 13</v>
      </c>
      <c r="B1048" s="32" t="str">
        <f t="shared" si="2"/>
        <v>2024T-HowWeek 13</v>
      </c>
      <c r="C1048" s="32" t="str">
        <f t="shared" si="3"/>
        <v>Week 13</v>
      </c>
      <c r="D1048" s="32">
        <v>2024.0</v>
      </c>
      <c r="E1048" t="str">
        <f t="shared" si="15"/>
        <v>13</v>
      </c>
      <c r="F1048" t="str">
        <f t="shared" si="5"/>
        <v>Pierson Curtis</v>
      </c>
      <c r="G1048" s="40" t="str">
        <f>VLOOKUP(F1048,'Manager Coding'!C:D,2,0)</f>
        <v>Pierson</v>
      </c>
      <c r="H1048" s="41">
        <f t="shared" si="6"/>
        <v>90.06</v>
      </c>
      <c r="I1048" t="str">
        <f t="shared" si="7"/>
        <v>Tyler Howard</v>
      </c>
      <c r="J1048" t="str">
        <f>VLOOKUP(I1048,'Manager Coding'!C:D,2,0)</f>
        <v>T-How</v>
      </c>
      <c r="K1048" s="41">
        <f t="shared" si="8"/>
        <v>136.32</v>
      </c>
      <c r="L1048">
        <f t="shared" si="9"/>
        <v>0</v>
      </c>
      <c r="M1048">
        <f t="shared" si="10"/>
        <v>1</v>
      </c>
      <c r="N1048" s="128" t="s">
        <v>2521</v>
      </c>
      <c r="O1048" s="129" t="s">
        <v>93</v>
      </c>
      <c r="P1048" s="192">
        <v>90.06</v>
      </c>
      <c r="Q1048" s="195">
        <v>136.32</v>
      </c>
      <c r="R1048" s="130" t="s">
        <v>85</v>
      </c>
      <c r="S1048" s="128" t="s">
        <v>2520</v>
      </c>
      <c r="T1048" s="202" t="s">
        <v>1378</v>
      </c>
      <c r="U1048" t="str">
        <f t="shared" si="13"/>
        <v>Blizzard Boys</v>
      </c>
    </row>
    <row r="1049" hidden="1">
      <c r="A1049" s="32" t="str">
        <f t="shared" si="1"/>
        <v>2024SaltyWeek 13</v>
      </c>
      <c r="B1049" s="32" t="str">
        <f t="shared" si="2"/>
        <v>2024EwertWeek 13</v>
      </c>
      <c r="C1049" s="32" t="str">
        <f t="shared" si="3"/>
        <v>Week 13</v>
      </c>
      <c r="D1049" s="32">
        <v>2024.0</v>
      </c>
      <c r="E1049" t="str">
        <f t="shared" si="15"/>
        <v>13</v>
      </c>
      <c r="F1049" t="str">
        <f t="shared" si="5"/>
        <v>R Saltiel</v>
      </c>
      <c r="G1049" s="40" t="str">
        <f>VLOOKUP(F1049,'Manager Coding'!C:D,2,0)</f>
        <v>Salty</v>
      </c>
      <c r="H1049" s="41">
        <f t="shared" si="6"/>
        <v>111.68</v>
      </c>
      <c r="I1049" t="str">
        <f t="shared" si="7"/>
        <v>Kyle Ewert, brad starck</v>
      </c>
      <c r="J1049" t="str">
        <f>VLOOKUP(I1049,'Manager Coding'!C:D,2,0)</f>
        <v>Ewert</v>
      </c>
      <c r="K1049" s="41">
        <f t="shared" si="8"/>
        <v>93.18</v>
      </c>
      <c r="L1049">
        <f t="shared" si="9"/>
        <v>1</v>
      </c>
      <c r="M1049">
        <f t="shared" si="10"/>
        <v>0</v>
      </c>
      <c r="N1049" s="131" t="s">
        <v>2525</v>
      </c>
      <c r="O1049" s="132" t="s">
        <v>77</v>
      </c>
      <c r="P1049" s="192">
        <v>111.68</v>
      </c>
      <c r="Q1049" s="195">
        <v>93.18</v>
      </c>
      <c r="R1049" s="133" t="s">
        <v>105</v>
      </c>
      <c r="S1049" s="131" t="s">
        <v>2523</v>
      </c>
      <c r="T1049" s="202" t="s">
        <v>1372</v>
      </c>
      <c r="U1049" t="str">
        <f t="shared" si="13"/>
        <v>Puka Quakes</v>
      </c>
    </row>
    <row r="1050" hidden="1">
      <c r="A1050" s="32" t="str">
        <f t="shared" si="1"/>
        <v>2024ShepWeek 13</v>
      </c>
      <c r="B1050" s="32" t="str">
        <f t="shared" si="2"/>
        <v>2024BuserWeek 13</v>
      </c>
      <c r="C1050" s="32" t="str">
        <f t="shared" si="3"/>
        <v>Week 13</v>
      </c>
      <c r="D1050" s="32">
        <v>2024.0</v>
      </c>
      <c r="E1050" t="str">
        <f t="shared" si="15"/>
        <v>13</v>
      </c>
      <c r="F1050" t="str">
        <f t="shared" si="5"/>
        <v>Jordan Shepherd</v>
      </c>
      <c r="G1050" s="40" t="str">
        <f>VLOOKUP(F1050,'Manager Coding'!C:D,2,0)</f>
        <v>Shep</v>
      </c>
      <c r="H1050" s="41">
        <f t="shared" si="6"/>
        <v>50.78</v>
      </c>
      <c r="I1050" t="str">
        <f t="shared" si="7"/>
        <v>Ed Buser</v>
      </c>
      <c r="J1050" t="str">
        <f>VLOOKUP(I1050,'Manager Coding'!C:D,2,0)</f>
        <v>Buser</v>
      </c>
      <c r="K1050" s="41">
        <f t="shared" si="8"/>
        <v>111.26</v>
      </c>
      <c r="L1050">
        <f t="shared" si="9"/>
        <v>0</v>
      </c>
      <c r="M1050">
        <f t="shared" si="10"/>
        <v>1</v>
      </c>
      <c r="N1050" s="128" t="s">
        <v>2528</v>
      </c>
      <c r="O1050" s="129" t="s">
        <v>91</v>
      </c>
      <c r="P1050" s="192">
        <v>50.78</v>
      </c>
      <c r="Q1050" s="195">
        <v>111.26</v>
      </c>
      <c r="R1050" s="130" t="s">
        <v>50</v>
      </c>
      <c r="S1050" s="128" t="s">
        <v>2526</v>
      </c>
      <c r="T1050" s="202" t="s">
        <v>1341</v>
      </c>
      <c r="U1050" t="str">
        <f t="shared" si="13"/>
        <v>Bhola Breece's Storm Surge</v>
      </c>
    </row>
    <row r="1051" hidden="1">
      <c r="A1051" s="32" t="str">
        <f t="shared" si="1"/>
        <v>2024RileyWeek 13</v>
      </c>
      <c r="B1051" s="32" t="str">
        <f t="shared" si="2"/>
        <v>2024TayskiWeek 13</v>
      </c>
      <c r="C1051" s="32" t="str">
        <f t="shared" si="3"/>
        <v>Week 13</v>
      </c>
      <c r="D1051" s="32">
        <v>2024.0</v>
      </c>
      <c r="E1051" t="str">
        <f t="shared" si="15"/>
        <v>13</v>
      </c>
      <c r="F1051" t="str">
        <f t="shared" si="5"/>
        <v>Riley McElwain</v>
      </c>
      <c r="G1051" s="40" t="str">
        <f>VLOOKUP(F1051,'Manager Coding'!C:D,2,0)</f>
        <v>Riley</v>
      </c>
      <c r="H1051" s="41">
        <f t="shared" si="6"/>
        <v>133.7</v>
      </c>
      <c r="I1051" t="str">
        <f t="shared" si="7"/>
        <v>Taylor Weis</v>
      </c>
      <c r="J1051" t="str">
        <f>VLOOKUP(I1051,'Manager Coding'!C:D,2,0)</f>
        <v>Tayski</v>
      </c>
      <c r="K1051" s="41">
        <f t="shared" si="8"/>
        <v>110.12</v>
      </c>
      <c r="L1051">
        <f t="shared" si="9"/>
        <v>1</v>
      </c>
      <c r="M1051">
        <f t="shared" si="10"/>
        <v>0</v>
      </c>
      <c r="N1051" s="131" t="s">
        <v>2531</v>
      </c>
      <c r="O1051" s="132" t="s">
        <v>68</v>
      </c>
      <c r="P1051" s="192">
        <v>133.7</v>
      </c>
      <c r="Q1051" s="195">
        <v>110.12</v>
      </c>
      <c r="R1051" s="133" t="s">
        <v>54</v>
      </c>
      <c r="S1051" s="131" t="s">
        <v>2530</v>
      </c>
      <c r="T1051" s="202" t="s">
        <v>2550</v>
      </c>
      <c r="U1051" t="str">
        <f t="shared" si="13"/>
        <v>Moodslide</v>
      </c>
    </row>
    <row r="1052" hidden="1">
      <c r="A1052" s="32" t="str">
        <f t="shared" si="1"/>
        <v>#N/A</v>
      </c>
      <c r="B1052" s="32" t="str">
        <f t="shared" si="2"/>
        <v>#N/A</v>
      </c>
      <c r="C1052" s="32" t="str">
        <f t="shared" si="3"/>
        <v>Week 13</v>
      </c>
      <c r="D1052" s="32">
        <v>2024.0</v>
      </c>
      <c r="E1052" t="str">
        <f t="shared" si="15"/>
        <v>13</v>
      </c>
      <c r="F1052" t="str">
        <f t="shared" si="5"/>
        <v/>
      </c>
      <c r="G1052" s="40" t="str">
        <f>VLOOKUP(F1052,'Manager Coding'!C:D,2,0)</f>
        <v>#N/A</v>
      </c>
      <c r="H1052" s="41" t="str">
        <f t="shared" si="6"/>
        <v/>
      </c>
      <c r="I1052" t="str">
        <f t="shared" si="7"/>
        <v/>
      </c>
      <c r="J1052" t="str">
        <f>VLOOKUP(I1052,'Manager Coding'!C:D,2,0)</f>
        <v>#N/A</v>
      </c>
      <c r="K1052" s="41" t="str">
        <f t="shared" si="8"/>
        <v/>
      </c>
      <c r="L1052">
        <f t="shared" si="9"/>
        <v>0</v>
      </c>
      <c r="M1052">
        <f t="shared" si="10"/>
        <v>0</v>
      </c>
      <c r="N1052" s="162" t="s">
        <v>1773</v>
      </c>
      <c r="O1052" s="205"/>
      <c r="P1052" s="205"/>
      <c r="Q1052" s="205"/>
      <c r="R1052" s="205"/>
      <c r="S1052" s="205"/>
      <c r="T1052" s="199" t="e">
        <v>#VALUE!</v>
      </c>
      <c r="U1052" t="str">
        <f t="shared" si="13"/>
        <v>#VALUE!</v>
      </c>
    </row>
    <row r="1053" hidden="1">
      <c r="A1053" s="32" t="str">
        <f t="shared" si="1"/>
        <v>#N/A</v>
      </c>
      <c r="B1053" s="32" t="str">
        <f t="shared" si="2"/>
        <v>#N/A</v>
      </c>
      <c r="C1053" s="32" t="str">
        <f t="shared" si="3"/>
        <v>Week 14</v>
      </c>
      <c r="D1053" s="32">
        <v>2024.0</v>
      </c>
      <c r="E1053" t="str">
        <f t="shared" si="15"/>
        <v>14</v>
      </c>
      <c r="F1053" t="str">
        <f t="shared" si="5"/>
        <v>TEAM MANAGER(S)</v>
      </c>
      <c r="G1053" s="40" t="str">
        <f>VLOOKUP(F1053,'Manager Coding'!C:D,2,0)</f>
        <v>#N/A</v>
      </c>
      <c r="H1053" s="41" t="str">
        <f t="shared" si="6"/>
        <v>Score</v>
      </c>
      <c r="I1053" t="str">
        <f t="shared" si="7"/>
        <v>TEAM MANAGER(S)</v>
      </c>
      <c r="J1053" t="str">
        <f>VLOOKUP(I1053,'Manager Coding'!C:D,2,0)</f>
        <v>#N/A</v>
      </c>
      <c r="K1053" s="41" t="str">
        <f t="shared" si="8"/>
        <v>Score</v>
      </c>
      <c r="L1053">
        <f t="shared" si="9"/>
        <v>0</v>
      </c>
      <c r="M1053">
        <f t="shared" si="10"/>
        <v>0</v>
      </c>
      <c r="N1053" s="78" t="s">
        <v>197</v>
      </c>
      <c r="O1053" s="78" t="s">
        <v>88</v>
      </c>
      <c r="P1053" s="79" t="s">
        <v>59</v>
      </c>
      <c r="Q1053" s="78" t="s">
        <v>59</v>
      </c>
      <c r="R1053" s="79" t="s">
        <v>88</v>
      </c>
      <c r="S1053" s="79" t="s">
        <v>101</v>
      </c>
      <c r="T1053" s="199" t="e">
        <v>#VALUE!</v>
      </c>
      <c r="U1053" t="str">
        <f t="shared" si="13"/>
        <v>#VALUE!</v>
      </c>
    </row>
    <row r="1054" hidden="1">
      <c r="A1054" s="32" t="str">
        <f t="shared" si="1"/>
        <v>2024KnardDawgWeek 14</v>
      </c>
      <c r="B1054" s="32" t="str">
        <f t="shared" si="2"/>
        <v>2024Rooney/JacksonWeek 14</v>
      </c>
      <c r="C1054" s="32" t="str">
        <f t="shared" si="3"/>
        <v>Week 14</v>
      </c>
      <c r="D1054" s="32">
        <v>2024.0</v>
      </c>
      <c r="E1054" t="str">
        <f t="shared" si="15"/>
        <v>14</v>
      </c>
      <c r="F1054" t="str">
        <f t="shared" si="5"/>
        <v>Alex Kinniard, Jack Reilly</v>
      </c>
      <c r="G1054" s="40" t="str">
        <f>VLOOKUP(F1054,'Manager Coding'!C:D,2,0)</f>
        <v>KnardDawg</v>
      </c>
      <c r="H1054" s="41">
        <f t="shared" si="6"/>
        <v>72.26</v>
      </c>
      <c r="I1054" t="str">
        <f t="shared" si="7"/>
        <v>Stephen Rooney, Jackson Sattell</v>
      </c>
      <c r="J1054" t="str">
        <f>VLOOKUP(I1054,'Manager Coding'!C:D,2,0)</f>
        <v>Rooney/Jackson</v>
      </c>
      <c r="K1054" s="41">
        <f t="shared" si="8"/>
        <v>107.5</v>
      </c>
      <c r="L1054">
        <f t="shared" si="9"/>
        <v>0</v>
      </c>
      <c r="M1054">
        <f t="shared" si="10"/>
        <v>1</v>
      </c>
      <c r="N1054" s="153" t="s">
        <v>2518</v>
      </c>
      <c r="O1054" s="129" t="s">
        <v>87</v>
      </c>
      <c r="P1054" s="192">
        <v>72.26</v>
      </c>
      <c r="Q1054" s="195">
        <v>107.5</v>
      </c>
      <c r="R1054" s="130" t="s">
        <v>58</v>
      </c>
      <c r="S1054" s="128" t="s">
        <v>2514</v>
      </c>
      <c r="T1054" s="202" t="s">
        <v>1353</v>
      </c>
      <c r="U1054" t="str">
        <f t="shared" si="13"/>
        <v>NoMoore 4KDrought</v>
      </c>
    </row>
    <row r="1055" hidden="1">
      <c r="A1055" s="32" t="str">
        <f t="shared" si="1"/>
        <v>2024CockWeek 14</v>
      </c>
      <c r="B1055" s="32" t="str">
        <f t="shared" si="2"/>
        <v>2024PiersonWeek 14</v>
      </c>
      <c r="C1055" s="32" t="str">
        <f t="shared" si="3"/>
        <v>Week 14</v>
      </c>
      <c r="D1055" s="32">
        <v>2024.0</v>
      </c>
      <c r="E1055" t="str">
        <f t="shared" si="15"/>
        <v>14</v>
      </c>
      <c r="F1055" t="str">
        <f t="shared" si="5"/>
        <v>Chris Cochrane</v>
      </c>
      <c r="G1055" s="40" t="str">
        <f>VLOOKUP(F1055,'Manager Coding'!C:D,2,0)</f>
        <v>Cock</v>
      </c>
      <c r="H1055" s="41">
        <f t="shared" si="6"/>
        <v>86.3</v>
      </c>
      <c r="I1055" t="str">
        <f t="shared" si="7"/>
        <v>Pierson Curtis</v>
      </c>
      <c r="J1055" t="str">
        <f>VLOOKUP(I1055,'Manager Coding'!C:D,2,0)</f>
        <v>Pierson</v>
      </c>
      <c r="K1055" s="41">
        <f t="shared" si="8"/>
        <v>101.56</v>
      </c>
      <c r="L1055">
        <f t="shared" si="9"/>
        <v>0</v>
      </c>
      <c r="M1055">
        <f t="shared" si="10"/>
        <v>1</v>
      </c>
      <c r="N1055" s="168" t="s">
        <v>2513</v>
      </c>
      <c r="O1055" s="169" t="s">
        <v>99</v>
      </c>
      <c r="P1055" s="203">
        <v>86.3</v>
      </c>
      <c r="Q1055" s="191">
        <v>101.56</v>
      </c>
      <c r="R1055" s="170" t="s">
        <v>93</v>
      </c>
      <c r="S1055" s="168" t="s">
        <v>2521</v>
      </c>
      <c r="T1055" s="202" t="s">
        <v>1398</v>
      </c>
      <c r="U1055" t="str">
        <f t="shared" si="13"/>
        <v>Chase'n Purdy Big Twisters</v>
      </c>
    </row>
    <row r="1056" hidden="1">
      <c r="A1056" s="32" t="str">
        <f t="shared" si="1"/>
        <v>2024HudspeathWeek 14</v>
      </c>
      <c r="B1056" s="32" t="str">
        <f t="shared" si="2"/>
        <v>2024SaltyWeek 14</v>
      </c>
      <c r="C1056" s="32" t="str">
        <f t="shared" si="3"/>
        <v>Week 14</v>
      </c>
      <c r="D1056" s="32">
        <v>2024.0</v>
      </c>
      <c r="E1056" t="str">
        <f t="shared" si="15"/>
        <v>14</v>
      </c>
      <c r="F1056" t="str">
        <f t="shared" si="5"/>
        <v>matt hudspeath</v>
      </c>
      <c r="G1056" s="40" t="str">
        <f>VLOOKUP(F1056,'Manager Coding'!C:D,2,0)</f>
        <v>Hudspeath</v>
      </c>
      <c r="H1056" s="41">
        <f t="shared" si="6"/>
        <v>100.8</v>
      </c>
      <c r="I1056" t="str">
        <f t="shared" si="7"/>
        <v>R Saltiel</v>
      </c>
      <c r="J1056" t="str">
        <f>VLOOKUP(I1056,'Manager Coding'!C:D,2,0)</f>
        <v>Salty</v>
      </c>
      <c r="K1056" s="41">
        <f t="shared" si="8"/>
        <v>108.32</v>
      </c>
      <c r="L1056">
        <f t="shared" si="9"/>
        <v>0</v>
      </c>
      <c r="M1056">
        <f t="shared" si="10"/>
        <v>1</v>
      </c>
      <c r="N1056" s="128" t="s">
        <v>2516</v>
      </c>
      <c r="O1056" s="129" t="s">
        <v>64</v>
      </c>
      <c r="P1056" s="192">
        <v>100.8</v>
      </c>
      <c r="Q1056" s="195">
        <v>108.32</v>
      </c>
      <c r="R1056" s="130" t="s">
        <v>77</v>
      </c>
      <c r="S1056" s="128" t="s">
        <v>2525</v>
      </c>
      <c r="T1056" s="202" t="s">
        <v>1368</v>
      </c>
      <c r="U1056" t="str">
        <f t="shared" si="13"/>
        <v>Caleb's Year</v>
      </c>
    </row>
    <row r="1057" hidden="1">
      <c r="A1057" s="32" t="str">
        <f t="shared" si="1"/>
        <v>2024T-HowWeek 14</v>
      </c>
      <c r="B1057" s="32" t="str">
        <f t="shared" si="2"/>
        <v>2024ShepWeek 14</v>
      </c>
      <c r="C1057" s="32" t="str">
        <f t="shared" si="3"/>
        <v>Week 14</v>
      </c>
      <c r="D1057" s="32">
        <v>2024.0</v>
      </c>
      <c r="E1057" t="str">
        <f t="shared" si="15"/>
        <v>14</v>
      </c>
      <c r="F1057" t="str">
        <f t="shared" si="5"/>
        <v>Tyler Howard</v>
      </c>
      <c r="G1057" s="40" t="str">
        <f>VLOOKUP(F1057,'Manager Coding'!C:D,2,0)</f>
        <v>T-How</v>
      </c>
      <c r="H1057" s="41">
        <f t="shared" si="6"/>
        <v>79.22</v>
      </c>
      <c r="I1057" t="str">
        <f t="shared" si="7"/>
        <v>Jordan Shepherd</v>
      </c>
      <c r="J1057" t="str">
        <f>VLOOKUP(I1057,'Manager Coding'!C:D,2,0)</f>
        <v>Shep</v>
      </c>
      <c r="K1057" s="41">
        <f t="shared" si="8"/>
        <v>94.62</v>
      </c>
      <c r="L1057">
        <f t="shared" si="9"/>
        <v>0</v>
      </c>
      <c r="M1057">
        <f t="shared" si="10"/>
        <v>1</v>
      </c>
      <c r="N1057" s="131" t="s">
        <v>2520</v>
      </c>
      <c r="O1057" s="132" t="s">
        <v>85</v>
      </c>
      <c r="P1057" s="192">
        <v>79.22</v>
      </c>
      <c r="Q1057" s="195">
        <v>94.62</v>
      </c>
      <c r="R1057" s="133" t="s">
        <v>91</v>
      </c>
      <c r="S1057" s="131" t="s">
        <v>2528</v>
      </c>
      <c r="T1057" s="202" t="s">
        <v>1392</v>
      </c>
      <c r="U1057" t="str">
        <f t="shared" si="13"/>
        <v>Hurtswaves</v>
      </c>
    </row>
    <row r="1058" hidden="1">
      <c r="A1058" s="32" t="str">
        <f t="shared" si="1"/>
        <v>2024EwertWeek 14</v>
      </c>
      <c r="B1058" s="32" t="str">
        <f t="shared" si="2"/>
        <v>2024RileyWeek 14</v>
      </c>
      <c r="C1058" s="32" t="str">
        <f t="shared" si="3"/>
        <v>Week 14</v>
      </c>
      <c r="D1058" s="32">
        <v>2024.0</v>
      </c>
      <c r="E1058" t="str">
        <f t="shared" si="15"/>
        <v>14</v>
      </c>
      <c r="F1058" t="str">
        <f t="shared" si="5"/>
        <v>Kyle Ewert, brad starck</v>
      </c>
      <c r="G1058" s="40" t="str">
        <f>VLOOKUP(F1058,'Manager Coding'!C:D,2,0)</f>
        <v>Ewert</v>
      </c>
      <c r="H1058" s="41">
        <f t="shared" si="6"/>
        <v>79.62</v>
      </c>
      <c r="I1058" t="str">
        <f t="shared" si="7"/>
        <v>Riley McElwain</v>
      </c>
      <c r="J1058" t="str">
        <f>VLOOKUP(I1058,'Manager Coding'!C:D,2,0)</f>
        <v>Riley</v>
      </c>
      <c r="K1058" s="41">
        <f t="shared" si="8"/>
        <v>133.26</v>
      </c>
      <c r="L1058">
        <f t="shared" si="9"/>
        <v>0</v>
      </c>
      <c r="M1058">
        <f t="shared" si="10"/>
        <v>1</v>
      </c>
      <c r="N1058" s="128" t="s">
        <v>2523</v>
      </c>
      <c r="O1058" s="129" t="s">
        <v>105</v>
      </c>
      <c r="P1058" s="192">
        <v>79.62</v>
      </c>
      <c r="Q1058" s="195">
        <v>133.26</v>
      </c>
      <c r="R1058" s="130" t="s">
        <v>68</v>
      </c>
      <c r="S1058" s="128" t="s">
        <v>2531</v>
      </c>
      <c r="T1058" s="202" t="s">
        <v>1363</v>
      </c>
      <c r="U1058" t="str">
        <f t="shared" si="13"/>
        <v>Whiteout</v>
      </c>
    </row>
    <row r="1059" hidden="1">
      <c r="A1059" s="32" t="str">
        <f t="shared" si="1"/>
        <v>2024BuserWeek 14</v>
      </c>
      <c r="B1059" s="32" t="str">
        <f t="shared" si="2"/>
        <v>2024TayskiWeek 14</v>
      </c>
      <c r="C1059" s="32" t="str">
        <f t="shared" si="3"/>
        <v>Week 14</v>
      </c>
      <c r="D1059" s="32">
        <v>2024.0</v>
      </c>
      <c r="E1059" t="str">
        <f t="shared" si="15"/>
        <v>14</v>
      </c>
      <c r="F1059" t="str">
        <f t="shared" si="5"/>
        <v>Ed Buser</v>
      </c>
      <c r="G1059" s="40" t="str">
        <f>VLOOKUP(F1059,'Manager Coding'!C:D,2,0)</f>
        <v>Buser</v>
      </c>
      <c r="H1059" s="41">
        <f t="shared" si="6"/>
        <v>118.64</v>
      </c>
      <c r="I1059" t="str">
        <f t="shared" si="7"/>
        <v>Taylor Weis</v>
      </c>
      <c r="J1059" t="str">
        <f>VLOOKUP(I1059,'Manager Coding'!C:D,2,0)</f>
        <v>Tayski</v>
      </c>
      <c r="K1059" s="41">
        <f t="shared" si="8"/>
        <v>118.68</v>
      </c>
      <c r="L1059">
        <f t="shared" si="9"/>
        <v>0</v>
      </c>
      <c r="M1059">
        <f t="shared" si="10"/>
        <v>1</v>
      </c>
      <c r="N1059" s="131" t="s">
        <v>2526</v>
      </c>
      <c r="O1059" s="132" t="s">
        <v>50</v>
      </c>
      <c r="P1059" s="192">
        <v>118.64</v>
      </c>
      <c r="Q1059" s="195">
        <v>118.68</v>
      </c>
      <c r="R1059" s="133" t="s">
        <v>54</v>
      </c>
      <c r="S1059" s="131" t="s">
        <v>2530</v>
      </c>
      <c r="T1059" s="202" t="s">
        <v>2550</v>
      </c>
      <c r="U1059" t="str">
        <f t="shared" si="13"/>
        <v>Hurricane Andrews</v>
      </c>
    </row>
    <row r="1060" hidden="1">
      <c r="A1060" s="32" t="str">
        <f t="shared" si="1"/>
        <v>#N/A</v>
      </c>
      <c r="B1060" s="32" t="str">
        <f t="shared" si="2"/>
        <v>#N/A</v>
      </c>
      <c r="C1060" s="32" t="str">
        <f t="shared" si="3"/>
        <v>Week 14</v>
      </c>
      <c r="D1060" s="32">
        <v>2024.0</v>
      </c>
      <c r="E1060" t="str">
        <f t="shared" si="15"/>
        <v>14</v>
      </c>
      <c r="F1060" t="str">
        <f t="shared" si="5"/>
        <v/>
      </c>
      <c r="G1060" s="40" t="str">
        <f>VLOOKUP(F1060,'Manager Coding'!C:D,2,0)</f>
        <v>#N/A</v>
      </c>
      <c r="H1060" s="41" t="str">
        <f t="shared" si="6"/>
        <v/>
      </c>
      <c r="I1060" t="str">
        <f t="shared" si="7"/>
        <v/>
      </c>
      <c r="J1060" t="str">
        <f>VLOOKUP(I1060,'Manager Coding'!C:D,2,0)</f>
        <v>#N/A</v>
      </c>
      <c r="K1060" s="41" t="str">
        <f t="shared" si="8"/>
        <v/>
      </c>
      <c r="L1060">
        <f t="shared" si="9"/>
        <v>0</v>
      </c>
      <c r="M1060">
        <f t="shared" si="10"/>
        <v>0</v>
      </c>
      <c r="N1060" s="162" t="s">
        <v>1792</v>
      </c>
      <c r="O1060" s="165"/>
      <c r="P1060" s="164"/>
      <c r="Q1060" s="164"/>
      <c r="R1060" s="165"/>
      <c r="S1060" s="165"/>
    </row>
    <row r="1061" hidden="1">
      <c r="A1061" s="32" t="str">
        <f t="shared" si="1"/>
        <v>#N/A</v>
      </c>
      <c r="B1061" s="32" t="str">
        <f t="shared" si="2"/>
        <v>#N/A</v>
      </c>
      <c r="C1061" s="32" t="str">
        <f t="shared" si="3"/>
        <v>Week 15</v>
      </c>
      <c r="D1061" s="32">
        <v>2024.0</v>
      </c>
      <c r="E1061" t="str">
        <f t="shared" si="15"/>
        <v>15</v>
      </c>
      <c r="F1061" t="str">
        <f t="shared" si="5"/>
        <v>TEAM MANAGER(S)</v>
      </c>
      <c r="G1061" s="40" t="str">
        <f>VLOOKUP(F1061,'Manager Coding'!C:D,2,0)</f>
        <v>#N/A</v>
      </c>
      <c r="H1061" s="41" t="str">
        <f t="shared" si="6"/>
        <v>Score</v>
      </c>
      <c r="I1061" t="str">
        <f t="shared" si="7"/>
        <v>TEAM MANAGER(S)</v>
      </c>
      <c r="J1061" t="str">
        <f>VLOOKUP(I1061,'Manager Coding'!C:D,2,0)</f>
        <v>#N/A</v>
      </c>
      <c r="K1061" s="41" t="str">
        <f t="shared" si="8"/>
        <v>Score</v>
      </c>
      <c r="L1061">
        <f t="shared" si="9"/>
        <v>0</v>
      </c>
      <c r="M1061">
        <f t="shared" si="10"/>
        <v>0</v>
      </c>
      <c r="N1061" s="78" t="s">
        <v>197</v>
      </c>
      <c r="O1061" s="78" t="s">
        <v>88</v>
      </c>
      <c r="P1061" s="79" t="s">
        <v>59</v>
      </c>
      <c r="Q1061" s="78" t="s">
        <v>59</v>
      </c>
      <c r="R1061" s="79" t="s">
        <v>88</v>
      </c>
      <c r="S1061" s="79" t="s">
        <v>101</v>
      </c>
    </row>
    <row r="1062" hidden="1">
      <c r="A1062" s="32" t="str">
        <f t="shared" si="1"/>
        <v>2024TayskiWeek 15</v>
      </c>
      <c r="B1062" s="32" t="str">
        <f t="shared" si="2"/>
        <v>2024SaltyWeek 15</v>
      </c>
      <c r="C1062" s="32" t="str">
        <f t="shared" si="3"/>
        <v>Week 15</v>
      </c>
      <c r="D1062" s="32">
        <v>2024.0</v>
      </c>
      <c r="E1062" t="str">
        <f t="shared" si="15"/>
        <v>15</v>
      </c>
      <c r="F1062" t="str">
        <f t="shared" si="5"/>
        <v>Taylor Weis</v>
      </c>
      <c r="G1062" s="40" t="str">
        <f>VLOOKUP(F1062,'Manager Coding'!C:D,2,0)</f>
        <v>Tayski</v>
      </c>
      <c r="H1062" s="41">
        <f t="shared" si="6"/>
        <v>86.08</v>
      </c>
      <c r="I1062" t="str">
        <f t="shared" si="7"/>
        <v>R Saltiel</v>
      </c>
      <c r="J1062" t="str">
        <f>VLOOKUP(I1062,'Manager Coding'!C:D,2,0)</f>
        <v>Salty</v>
      </c>
      <c r="K1062" s="41">
        <f t="shared" si="8"/>
        <v>142.2</v>
      </c>
      <c r="L1062">
        <f t="shared" si="9"/>
        <v>0</v>
      </c>
      <c r="M1062">
        <f t="shared" si="10"/>
        <v>1</v>
      </c>
      <c r="N1062" s="153" t="s">
        <v>2530</v>
      </c>
      <c r="O1062" s="81" t="s">
        <v>54</v>
      </c>
      <c r="P1062" s="200">
        <v>86.08</v>
      </c>
      <c r="Q1062" s="189">
        <v>142.2</v>
      </c>
      <c r="R1062" s="154" t="s">
        <v>77</v>
      </c>
      <c r="S1062" s="153" t="s">
        <v>2525</v>
      </c>
    </row>
    <row r="1063" hidden="1">
      <c r="A1063" s="32" t="str">
        <f t="shared" si="1"/>
        <v>2024Rooney/JacksonWeek 15</v>
      </c>
      <c r="B1063" s="32" t="str">
        <f t="shared" si="2"/>
        <v>2024BuserWeek 15</v>
      </c>
      <c r="C1063" s="32" t="str">
        <f t="shared" si="3"/>
        <v>Week 15</v>
      </c>
      <c r="D1063" s="32">
        <v>2024.0</v>
      </c>
      <c r="E1063" t="str">
        <f t="shared" si="15"/>
        <v>15</v>
      </c>
      <c r="F1063" t="str">
        <f t="shared" si="5"/>
        <v>Stephen Rooney, Jackson Sattell</v>
      </c>
      <c r="G1063" s="40" t="str">
        <f>VLOOKUP(F1063,'Manager Coding'!C:D,2,0)</f>
        <v>Rooney/Jackson</v>
      </c>
      <c r="H1063" s="41">
        <f t="shared" si="6"/>
        <v>111.74</v>
      </c>
      <c r="I1063" t="str">
        <f t="shared" si="7"/>
        <v>Ed Buser</v>
      </c>
      <c r="J1063" t="str">
        <f>VLOOKUP(I1063,'Manager Coding'!C:D,2,0)</f>
        <v>Buser</v>
      </c>
      <c r="K1063" s="41">
        <f t="shared" si="8"/>
        <v>96.28</v>
      </c>
      <c r="L1063">
        <f t="shared" si="9"/>
        <v>1</v>
      </c>
      <c r="M1063">
        <f t="shared" si="10"/>
        <v>0</v>
      </c>
      <c r="N1063" s="134" t="s">
        <v>2514</v>
      </c>
      <c r="O1063" s="135" t="s">
        <v>58</v>
      </c>
      <c r="P1063" s="200">
        <v>111.74</v>
      </c>
      <c r="Q1063" s="189">
        <v>96.28</v>
      </c>
      <c r="R1063" s="115" t="s">
        <v>50</v>
      </c>
      <c r="S1063" s="134" t="s">
        <v>2526</v>
      </c>
    </row>
    <row r="1064" hidden="1">
      <c r="A1064" s="32" t="str">
        <f t="shared" si="1"/>
        <v>2024KnardDawgWeek 15</v>
      </c>
      <c r="B1064" s="32" t="str">
        <f t="shared" si="2"/>
        <v>2024EwertWeek 15</v>
      </c>
      <c r="C1064" s="32" t="str">
        <f t="shared" si="3"/>
        <v>Week 15</v>
      </c>
      <c r="D1064" s="32">
        <v>2024.0</v>
      </c>
      <c r="E1064" t="str">
        <f t="shared" si="15"/>
        <v>15</v>
      </c>
      <c r="F1064" t="str">
        <f t="shared" si="5"/>
        <v>Alex Kinniard, Jack Reilly</v>
      </c>
      <c r="G1064" s="40" t="str">
        <f>VLOOKUP(F1064,'Manager Coding'!C:D,2,0)</f>
        <v>KnardDawg</v>
      </c>
      <c r="H1064" s="41">
        <f t="shared" si="6"/>
        <v>84.74</v>
      </c>
      <c r="I1064" t="str">
        <f t="shared" si="7"/>
        <v>Kyle Ewert, brad starck</v>
      </c>
      <c r="J1064" t="str">
        <f>VLOOKUP(I1064,'Manager Coding'!C:D,2,0)</f>
        <v>Ewert</v>
      </c>
      <c r="K1064" s="41">
        <f t="shared" si="8"/>
        <v>98.7</v>
      </c>
      <c r="L1064">
        <f t="shared" si="9"/>
        <v>0</v>
      </c>
      <c r="M1064">
        <f t="shared" si="10"/>
        <v>1</v>
      </c>
      <c r="N1064" s="153" t="s">
        <v>2518</v>
      </c>
      <c r="O1064" s="81" t="s">
        <v>87</v>
      </c>
      <c r="P1064" s="200">
        <v>84.74</v>
      </c>
      <c r="Q1064" s="189">
        <v>98.7</v>
      </c>
      <c r="R1064" s="154" t="s">
        <v>105</v>
      </c>
      <c r="S1064" s="153" t="s">
        <v>2523</v>
      </c>
    </row>
    <row r="1065" hidden="1">
      <c r="A1065" s="32" t="str">
        <f t="shared" si="1"/>
        <v>2024HudspeathWeek 15</v>
      </c>
      <c r="B1065" s="32" t="str">
        <f t="shared" si="2"/>
        <v>2024ShepWeek 15</v>
      </c>
      <c r="C1065" s="32" t="str">
        <f t="shared" si="3"/>
        <v>Week 15</v>
      </c>
      <c r="D1065" s="32">
        <v>2024.0</v>
      </c>
      <c r="E1065" t="str">
        <f t="shared" si="15"/>
        <v>15</v>
      </c>
      <c r="F1065" t="str">
        <f t="shared" si="5"/>
        <v>matt hudspeath</v>
      </c>
      <c r="G1065" s="40" t="str">
        <f>VLOOKUP(F1065,'Manager Coding'!C:D,2,0)</f>
        <v>Hudspeath</v>
      </c>
      <c r="H1065" s="41">
        <f t="shared" si="6"/>
        <v>81.62</v>
      </c>
      <c r="I1065" t="str">
        <f t="shared" si="7"/>
        <v>Jordan Shepherd</v>
      </c>
      <c r="J1065" t="str">
        <f>VLOOKUP(I1065,'Manager Coding'!C:D,2,0)</f>
        <v>Shep</v>
      </c>
      <c r="K1065" s="41">
        <f t="shared" si="8"/>
        <v>75.06</v>
      </c>
      <c r="L1065">
        <f t="shared" si="9"/>
        <v>1</v>
      </c>
      <c r="M1065">
        <f t="shared" si="10"/>
        <v>0</v>
      </c>
      <c r="N1065" s="134" t="s">
        <v>2516</v>
      </c>
      <c r="O1065" s="135" t="s">
        <v>64</v>
      </c>
      <c r="P1065" s="200">
        <v>81.62</v>
      </c>
      <c r="Q1065" s="189">
        <v>75.06</v>
      </c>
      <c r="R1065" s="115" t="s">
        <v>91</v>
      </c>
      <c r="S1065" s="134" t="s">
        <v>2528</v>
      </c>
    </row>
    <row r="1066" hidden="1">
      <c r="A1066" s="32" t="str">
        <f t="shared" si="1"/>
        <v>2024CockWeek 15</v>
      </c>
      <c r="B1066" s="32" t="str">
        <f t="shared" si="2"/>
        <v>2024PiersonWeek 15</v>
      </c>
      <c r="C1066" s="32" t="str">
        <f t="shared" si="3"/>
        <v>Week 15</v>
      </c>
      <c r="D1066" s="32">
        <v>2024.0</v>
      </c>
      <c r="E1066" t="str">
        <f t="shared" si="15"/>
        <v>15</v>
      </c>
      <c r="F1066" t="str">
        <f t="shared" si="5"/>
        <v>Chris Cochrane</v>
      </c>
      <c r="G1066" s="40" t="str">
        <f>VLOOKUP(F1066,'Manager Coding'!C:D,2,0)</f>
        <v>Cock</v>
      </c>
      <c r="H1066" s="41">
        <f t="shared" si="6"/>
        <v>59.98</v>
      </c>
      <c r="I1066" t="str">
        <f t="shared" si="7"/>
        <v>Pierson Curtis</v>
      </c>
      <c r="J1066" t="str">
        <f>VLOOKUP(I1066,'Manager Coding'!C:D,2,0)</f>
        <v>Pierson</v>
      </c>
      <c r="K1066" s="41">
        <f t="shared" si="8"/>
        <v>64.04</v>
      </c>
      <c r="L1066">
        <f t="shared" si="9"/>
        <v>0</v>
      </c>
      <c r="M1066">
        <f t="shared" si="10"/>
        <v>1</v>
      </c>
      <c r="N1066" s="153" t="s">
        <v>2513</v>
      </c>
      <c r="O1066" s="81" t="s">
        <v>99</v>
      </c>
      <c r="P1066" s="200">
        <v>59.98</v>
      </c>
      <c r="Q1066" s="189">
        <v>64.04</v>
      </c>
      <c r="R1066" s="154" t="s">
        <v>93</v>
      </c>
      <c r="S1066" s="153" t="s">
        <v>2521</v>
      </c>
    </row>
    <row r="1067" hidden="1">
      <c r="A1067" s="32" t="str">
        <f t="shared" si="1"/>
        <v>#N/A</v>
      </c>
      <c r="B1067" s="32" t="str">
        <f t="shared" si="2"/>
        <v>#N/A</v>
      </c>
      <c r="C1067" s="32" t="str">
        <f t="shared" si="3"/>
        <v>Week 15</v>
      </c>
      <c r="D1067" s="32">
        <v>2024.0</v>
      </c>
      <c r="E1067" t="str">
        <f t="shared" si="15"/>
        <v>15</v>
      </c>
      <c r="F1067" t="str">
        <f t="shared" si="5"/>
        <v/>
      </c>
      <c r="G1067" s="40" t="str">
        <f>VLOOKUP(F1067,'Manager Coding'!C:D,2,0)</f>
        <v>#N/A</v>
      </c>
      <c r="H1067" s="41" t="str">
        <f t="shared" si="6"/>
        <v/>
      </c>
      <c r="I1067" t="str">
        <f t="shared" si="7"/>
        <v/>
      </c>
      <c r="J1067" t="str">
        <f>VLOOKUP(I1067,'Manager Coding'!C:D,2,0)</f>
        <v>#N/A</v>
      </c>
      <c r="K1067" s="41" t="str">
        <f t="shared" si="8"/>
        <v/>
      </c>
      <c r="L1067">
        <f t="shared" si="9"/>
        <v>0</v>
      </c>
      <c r="M1067">
        <f t="shared" si="10"/>
        <v>0</v>
      </c>
      <c r="N1067" s="155" t="s">
        <v>518</v>
      </c>
      <c r="P1067" s="41"/>
      <c r="Q1067" s="41"/>
    </row>
    <row r="1068" hidden="1">
      <c r="A1068" s="32" t="str">
        <f t="shared" si="1"/>
        <v>#N/A</v>
      </c>
      <c r="B1068" s="32" t="str">
        <f t="shared" si="2"/>
        <v>#N/A</v>
      </c>
      <c r="C1068" s="32" t="str">
        <f t="shared" si="3"/>
        <v>Week 15</v>
      </c>
      <c r="D1068" s="32">
        <v>2024.0</v>
      </c>
      <c r="E1068" t="str">
        <f t="shared" si="15"/>
        <v>15</v>
      </c>
      <c r="F1068" t="str">
        <f t="shared" si="5"/>
        <v>TEAM MANAGER(S)</v>
      </c>
      <c r="G1068" s="40" t="str">
        <f>VLOOKUP(F1068,'Manager Coding'!C:D,2,0)</f>
        <v>#N/A</v>
      </c>
      <c r="H1068" s="41" t="str">
        <f t="shared" si="6"/>
        <v>Score</v>
      </c>
      <c r="I1068" t="str">
        <f t="shared" si="7"/>
        <v>TEAM MANAGER(S)</v>
      </c>
      <c r="J1068" t="str">
        <f>VLOOKUP(I1068,'Manager Coding'!C:D,2,0)</f>
        <v>#N/A</v>
      </c>
      <c r="K1068" s="41" t="str">
        <f t="shared" si="8"/>
        <v>Score</v>
      </c>
      <c r="L1068">
        <f t="shared" si="9"/>
        <v>0</v>
      </c>
      <c r="M1068">
        <f t="shared" si="10"/>
        <v>0</v>
      </c>
      <c r="N1068" s="155" t="s">
        <v>2670</v>
      </c>
      <c r="O1068" s="78" t="s">
        <v>88</v>
      </c>
      <c r="P1068" s="79" t="s">
        <v>59</v>
      </c>
      <c r="Q1068" s="78" t="s">
        <v>59</v>
      </c>
      <c r="R1068" s="79" t="s">
        <v>88</v>
      </c>
      <c r="S1068" s="79" t="s">
        <v>101</v>
      </c>
    </row>
    <row r="1069" hidden="1">
      <c r="A1069" s="32" t="str">
        <f t="shared" si="1"/>
        <v>2024SaltyWeek 15</v>
      </c>
      <c r="B1069" s="32" t="str">
        <f t="shared" si="2"/>
        <v>2024T-HowWeek 15</v>
      </c>
      <c r="C1069" s="32" t="str">
        <f t="shared" si="3"/>
        <v>Week 15</v>
      </c>
      <c r="D1069" s="32">
        <v>2024.0</v>
      </c>
      <c r="E1069" t="str">
        <f t="shared" si="15"/>
        <v>15</v>
      </c>
      <c r="F1069" t="str">
        <f t="shared" si="5"/>
        <v>R Saltiel</v>
      </c>
      <c r="G1069" s="40" t="str">
        <f>VLOOKUP(F1069,'Manager Coding'!C:D,2,0)</f>
        <v>Salty</v>
      </c>
      <c r="H1069" s="41">
        <f t="shared" si="6"/>
        <v>0</v>
      </c>
      <c r="I1069" t="str">
        <f t="shared" si="7"/>
        <v>Tyler Howard</v>
      </c>
      <c r="J1069" t="str">
        <f>VLOOKUP(I1069,'Manager Coding'!C:D,2,0)</f>
        <v>T-How</v>
      </c>
      <c r="K1069" s="41">
        <f t="shared" si="8"/>
        <v>0</v>
      </c>
      <c r="L1069">
        <f t="shared" si="9"/>
        <v>0</v>
      </c>
      <c r="M1069">
        <f t="shared" si="10"/>
        <v>0</v>
      </c>
      <c r="N1069" s="155" t="s">
        <v>2672</v>
      </c>
      <c r="O1069" s="81" t="s">
        <v>77</v>
      </c>
      <c r="P1069" s="200">
        <v>0.0</v>
      </c>
      <c r="Q1069" s="189">
        <v>0.0</v>
      </c>
      <c r="R1069" s="154" t="s">
        <v>85</v>
      </c>
      <c r="S1069" s="153" t="s">
        <v>2520</v>
      </c>
    </row>
    <row r="1070" hidden="1">
      <c r="A1070" s="32" t="str">
        <f t="shared" si="1"/>
        <v>2024Rooney/JacksonWeek 15</v>
      </c>
      <c r="B1070" s="32" t="str">
        <f t="shared" si="2"/>
        <v>2024RileyWeek 15</v>
      </c>
      <c r="C1070" s="32" t="str">
        <f t="shared" si="3"/>
        <v>Week 15</v>
      </c>
      <c r="D1070" s="32">
        <v>2024.0</v>
      </c>
      <c r="E1070" t="str">
        <f t="shared" si="15"/>
        <v>15</v>
      </c>
      <c r="F1070" t="str">
        <f t="shared" si="5"/>
        <v>Stephen Rooney, Jackson Sattell</v>
      </c>
      <c r="G1070" s="40" t="str">
        <f>VLOOKUP(F1070,'Manager Coding'!C:D,2,0)</f>
        <v>Rooney/Jackson</v>
      </c>
      <c r="H1070" s="41">
        <f t="shared" si="6"/>
        <v>0</v>
      </c>
      <c r="I1070" t="str">
        <f t="shared" si="7"/>
        <v>Riley McElwain</v>
      </c>
      <c r="J1070" t="str">
        <f>VLOOKUP(I1070,'Manager Coding'!C:D,2,0)</f>
        <v>Riley</v>
      </c>
      <c r="K1070" s="41">
        <f t="shared" si="8"/>
        <v>0</v>
      </c>
      <c r="L1070">
        <f t="shared" si="9"/>
        <v>0</v>
      </c>
      <c r="M1070">
        <f t="shared" si="10"/>
        <v>0</v>
      </c>
      <c r="N1070" s="112" t="s">
        <v>1820</v>
      </c>
      <c r="O1070" s="135" t="s">
        <v>58</v>
      </c>
      <c r="P1070" s="200">
        <v>0.0</v>
      </c>
      <c r="Q1070" s="189">
        <v>0.0</v>
      </c>
      <c r="R1070" s="115" t="s">
        <v>68</v>
      </c>
      <c r="S1070" s="134" t="s">
        <v>2531</v>
      </c>
    </row>
    <row r="1071" hidden="1">
      <c r="A1071" s="32" t="str">
        <f t="shared" si="1"/>
        <v>#N/A</v>
      </c>
      <c r="B1071" s="32" t="str">
        <f t="shared" si="2"/>
        <v>#N/A</v>
      </c>
      <c r="C1071" s="32" t="str">
        <f t="shared" si="3"/>
        <v>Week 16</v>
      </c>
      <c r="D1071" s="32">
        <v>2024.0</v>
      </c>
      <c r="E1071" t="str">
        <f t="shared" si="15"/>
        <v>16</v>
      </c>
      <c r="F1071" t="str">
        <f t="shared" si="5"/>
        <v>TEAM MANAGER(S)</v>
      </c>
      <c r="G1071" s="40" t="str">
        <f>VLOOKUP(F1071,'Manager Coding'!C:D,2,0)</f>
        <v>#N/A</v>
      </c>
      <c r="H1071" s="41" t="str">
        <f t="shared" si="6"/>
        <v>Score</v>
      </c>
      <c r="I1071" t="str">
        <f t="shared" si="7"/>
        <v>TEAM MANAGER(S)</v>
      </c>
      <c r="J1071" t="str">
        <f>VLOOKUP(I1071,'Manager Coding'!C:D,2,0)</f>
        <v>#N/A</v>
      </c>
      <c r="K1071" s="41" t="str">
        <f t="shared" si="8"/>
        <v>Score</v>
      </c>
      <c r="L1071">
        <f t="shared" si="9"/>
        <v>0</v>
      </c>
      <c r="M1071">
        <f t="shared" si="10"/>
        <v>0</v>
      </c>
      <c r="N1071" s="78" t="s">
        <v>197</v>
      </c>
      <c r="O1071" s="78" t="s">
        <v>88</v>
      </c>
      <c r="P1071" s="79" t="s">
        <v>59</v>
      </c>
      <c r="Q1071" s="78" t="s">
        <v>59</v>
      </c>
      <c r="R1071" s="79" t="s">
        <v>88</v>
      </c>
      <c r="S1071" s="79" t="s">
        <v>101</v>
      </c>
    </row>
    <row r="1072" hidden="1">
      <c r="A1072" s="32" t="str">
        <f t="shared" si="1"/>
        <v>2024SaltyWeek 16</v>
      </c>
      <c r="B1072" s="32" t="str">
        <f t="shared" si="2"/>
        <v>2024T-HowWeek 16</v>
      </c>
      <c r="C1072" s="32" t="str">
        <f t="shared" si="3"/>
        <v>Week 16</v>
      </c>
      <c r="D1072" s="32">
        <v>2024.0</v>
      </c>
      <c r="E1072" t="str">
        <f t="shared" si="15"/>
        <v>16</v>
      </c>
      <c r="F1072" t="str">
        <f t="shared" si="5"/>
        <v>R Saltiel</v>
      </c>
      <c r="G1072" s="40" t="str">
        <f>VLOOKUP(F1072,'Manager Coding'!C:D,2,0)</f>
        <v>Salty</v>
      </c>
      <c r="H1072" s="41">
        <f t="shared" si="6"/>
        <v>71.48</v>
      </c>
      <c r="I1072" t="str">
        <f t="shared" si="7"/>
        <v>Tyler Howard</v>
      </c>
      <c r="J1072" t="str">
        <f>VLOOKUP(I1072,'Manager Coding'!C:D,2,0)</f>
        <v>T-How</v>
      </c>
      <c r="K1072" s="41">
        <f t="shared" si="8"/>
        <v>77.94</v>
      </c>
      <c r="L1072">
        <f t="shared" si="9"/>
        <v>0</v>
      </c>
      <c r="M1072">
        <f t="shared" si="10"/>
        <v>1</v>
      </c>
      <c r="N1072" s="153" t="s">
        <v>2525</v>
      </c>
      <c r="O1072" s="81" t="s">
        <v>77</v>
      </c>
      <c r="P1072" s="200">
        <v>71.48</v>
      </c>
      <c r="Q1072" s="189">
        <v>77.94</v>
      </c>
      <c r="R1072" s="154" t="s">
        <v>85</v>
      </c>
      <c r="S1072" s="153" t="s">
        <v>2520</v>
      </c>
    </row>
    <row r="1073" hidden="1">
      <c r="A1073" s="32" t="str">
        <f t="shared" si="1"/>
        <v>2024Rooney/JacksonWeek 16</v>
      </c>
      <c r="B1073" s="32" t="str">
        <f t="shared" si="2"/>
        <v>2024RileyWeek 16</v>
      </c>
      <c r="C1073" s="32" t="str">
        <f t="shared" si="3"/>
        <v>Week 16</v>
      </c>
      <c r="D1073" s="32">
        <v>2024.0</v>
      </c>
      <c r="E1073" t="str">
        <f t="shared" si="15"/>
        <v>16</v>
      </c>
      <c r="F1073" t="str">
        <f t="shared" si="5"/>
        <v>Stephen Rooney, Jackson Sattell</v>
      </c>
      <c r="G1073" s="40" t="str">
        <f>VLOOKUP(F1073,'Manager Coding'!C:D,2,0)</f>
        <v>Rooney/Jackson</v>
      </c>
      <c r="H1073" s="41">
        <f t="shared" si="6"/>
        <v>126.02</v>
      </c>
      <c r="I1073" t="str">
        <f t="shared" si="7"/>
        <v>Riley McElwain</v>
      </c>
      <c r="J1073" t="str">
        <f>VLOOKUP(I1073,'Manager Coding'!C:D,2,0)</f>
        <v>Riley</v>
      </c>
      <c r="K1073" s="41">
        <f t="shared" si="8"/>
        <v>115.68</v>
      </c>
      <c r="L1073">
        <f t="shared" si="9"/>
        <v>1</v>
      </c>
      <c r="M1073">
        <f t="shared" si="10"/>
        <v>0</v>
      </c>
      <c r="N1073" s="134" t="s">
        <v>2514</v>
      </c>
      <c r="O1073" s="135" t="s">
        <v>58</v>
      </c>
      <c r="P1073" s="200">
        <v>126.02</v>
      </c>
      <c r="Q1073" s="189">
        <v>115.68</v>
      </c>
      <c r="R1073" s="115" t="s">
        <v>68</v>
      </c>
      <c r="S1073" s="134" t="s">
        <v>2531</v>
      </c>
    </row>
    <row r="1074" hidden="1">
      <c r="A1074" s="32" t="str">
        <f t="shared" si="1"/>
        <v>2024TayskiWeek 16</v>
      </c>
      <c r="B1074" s="32" t="str">
        <f t="shared" si="2"/>
        <v>2024BuserWeek 16</v>
      </c>
      <c r="C1074" s="32" t="str">
        <f t="shared" si="3"/>
        <v>Week 16</v>
      </c>
      <c r="D1074" s="32">
        <v>2024.0</v>
      </c>
      <c r="E1074" t="str">
        <f t="shared" si="15"/>
        <v>16</v>
      </c>
      <c r="F1074" t="str">
        <f t="shared" si="5"/>
        <v>Taylor Weis</v>
      </c>
      <c r="G1074" s="40" t="str">
        <f>VLOOKUP(F1074,'Manager Coding'!C:D,2,0)</f>
        <v>Tayski</v>
      </c>
      <c r="H1074" s="41">
        <f t="shared" si="6"/>
        <v>111.16</v>
      </c>
      <c r="I1074" t="str">
        <f t="shared" si="7"/>
        <v>Ed Buser</v>
      </c>
      <c r="J1074" t="str">
        <f>VLOOKUP(I1074,'Manager Coding'!C:D,2,0)</f>
        <v>Buser</v>
      </c>
      <c r="K1074" s="41">
        <f t="shared" si="8"/>
        <v>135.84</v>
      </c>
      <c r="L1074">
        <f t="shared" si="9"/>
        <v>0</v>
      </c>
      <c r="M1074">
        <f t="shared" si="10"/>
        <v>1</v>
      </c>
      <c r="N1074" s="153" t="s">
        <v>2530</v>
      </c>
      <c r="O1074" s="81" t="s">
        <v>54</v>
      </c>
      <c r="P1074" s="200">
        <v>111.16</v>
      </c>
      <c r="Q1074" s="189">
        <v>135.84</v>
      </c>
      <c r="R1074" s="154" t="s">
        <v>50</v>
      </c>
      <c r="S1074" s="153" t="s">
        <v>2526</v>
      </c>
    </row>
    <row r="1075" hidden="1">
      <c r="A1075" s="32" t="str">
        <f t="shared" si="1"/>
        <v>2024HudspeathWeek 16</v>
      </c>
      <c r="B1075" s="32" t="str">
        <f t="shared" si="2"/>
        <v>2024EwertWeek 16</v>
      </c>
      <c r="C1075" s="32" t="str">
        <f t="shared" si="3"/>
        <v>Week 16</v>
      </c>
      <c r="D1075" s="32">
        <v>2024.0</v>
      </c>
      <c r="E1075" t="str">
        <f t="shared" si="15"/>
        <v>16</v>
      </c>
      <c r="F1075" t="str">
        <f t="shared" si="5"/>
        <v>matt hudspeath</v>
      </c>
      <c r="G1075" s="40" t="str">
        <f>VLOOKUP(F1075,'Manager Coding'!C:D,2,0)</f>
        <v>Hudspeath</v>
      </c>
      <c r="H1075" s="41">
        <f t="shared" si="6"/>
        <v>68.52</v>
      </c>
      <c r="I1075" t="str">
        <f t="shared" si="7"/>
        <v>Kyle Ewert, brad starck</v>
      </c>
      <c r="J1075" t="str">
        <f>VLOOKUP(I1075,'Manager Coding'!C:D,2,0)</f>
        <v>Ewert</v>
      </c>
      <c r="K1075" s="41">
        <f t="shared" si="8"/>
        <v>134.16</v>
      </c>
      <c r="L1075">
        <f t="shared" si="9"/>
        <v>0</v>
      </c>
      <c r="M1075">
        <f t="shared" si="10"/>
        <v>1</v>
      </c>
      <c r="N1075" s="134" t="s">
        <v>2516</v>
      </c>
      <c r="O1075" s="135" t="s">
        <v>64</v>
      </c>
      <c r="P1075" s="200">
        <v>68.52</v>
      </c>
      <c r="Q1075" s="189">
        <v>134.16</v>
      </c>
      <c r="R1075" s="115" t="s">
        <v>105</v>
      </c>
      <c r="S1075" s="134" t="s">
        <v>2523</v>
      </c>
    </row>
    <row r="1076" hidden="1">
      <c r="A1076" s="32" t="str">
        <f t="shared" si="1"/>
        <v>2024PiersonWeek 16</v>
      </c>
      <c r="B1076" s="32" t="str">
        <f t="shared" si="2"/>
        <v>2024KnardDawgWeek 16</v>
      </c>
      <c r="C1076" s="32" t="str">
        <f t="shared" si="3"/>
        <v>Week 16</v>
      </c>
      <c r="D1076" s="32">
        <v>2024.0</v>
      </c>
      <c r="E1076" t="str">
        <f t="shared" si="15"/>
        <v>16</v>
      </c>
      <c r="F1076" t="str">
        <f t="shared" si="5"/>
        <v>Pierson Curtis</v>
      </c>
      <c r="G1076" s="40" t="str">
        <f>VLOOKUP(F1076,'Manager Coding'!C:D,2,0)</f>
        <v>Pierson</v>
      </c>
      <c r="H1076" s="41">
        <f t="shared" si="6"/>
        <v>89.48</v>
      </c>
      <c r="I1076" t="str">
        <f t="shared" si="7"/>
        <v>Alex Kinniard, Jack Reilly</v>
      </c>
      <c r="J1076" t="str">
        <f>VLOOKUP(I1076,'Manager Coding'!C:D,2,0)</f>
        <v>KnardDawg</v>
      </c>
      <c r="K1076" s="41">
        <f t="shared" si="8"/>
        <v>126.26</v>
      </c>
      <c r="L1076">
        <f t="shared" si="9"/>
        <v>0</v>
      </c>
      <c r="M1076">
        <f t="shared" si="10"/>
        <v>1</v>
      </c>
      <c r="N1076" s="153" t="s">
        <v>2521</v>
      </c>
      <c r="O1076" s="81" t="s">
        <v>93</v>
      </c>
      <c r="P1076" s="200">
        <v>89.48</v>
      </c>
      <c r="Q1076" s="189">
        <v>126.26</v>
      </c>
      <c r="R1076" s="154" t="s">
        <v>87</v>
      </c>
      <c r="S1076" s="153" t="s">
        <v>2518</v>
      </c>
    </row>
    <row r="1077" hidden="1">
      <c r="A1077" s="32" t="str">
        <f t="shared" si="1"/>
        <v>2024CockWeek 16</v>
      </c>
      <c r="B1077" s="32" t="str">
        <f t="shared" si="2"/>
        <v>2024ShepWeek 16</v>
      </c>
      <c r="C1077" s="32" t="str">
        <f t="shared" si="3"/>
        <v>Week 16</v>
      </c>
      <c r="D1077" s="32">
        <v>2024.0</v>
      </c>
      <c r="E1077" t="str">
        <f t="shared" si="15"/>
        <v>16</v>
      </c>
      <c r="F1077" t="str">
        <f t="shared" si="5"/>
        <v>Chris Cochrane</v>
      </c>
      <c r="G1077" s="40" t="str">
        <f>VLOOKUP(F1077,'Manager Coding'!C:D,2,0)</f>
        <v>Cock</v>
      </c>
      <c r="H1077" s="41">
        <f t="shared" si="6"/>
        <v>97.82</v>
      </c>
      <c r="I1077" t="str">
        <f t="shared" si="7"/>
        <v>Jordan Shepherd</v>
      </c>
      <c r="J1077" t="str">
        <f>VLOOKUP(I1077,'Manager Coding'!C:D,2,0)</f>
        <v>Shep</v>
      </c>
      <c r="K1077" s="41">
        <f t="shared" si="8"/>
        <v>78.96</v>
      </c>
      <c r="L1077">
        <f t="shared" si="9"/>
        <v>1</v>
      </c>
      <c r="M1077">
        <f t="shared" si="10"/>
        <v>0</v>
      </c>
      <c r="N1077" s="134" t="s">
        <v>2513</v>
      </c>
      <c r="O1077" s="135" t="s">
        <v>99</v>
      </c>
      <c r="P1077" s="200">
        <v>97.82</v>
      </c>
      <c r="Q1077" s="189">
        <v>78.96</v>
      </c>
      <c r="R1077" s="115" t="s">
        <v>91</v>
      </c>
      <c r="S1077" s="134" t="s">
        <v>2528</v>
      </c>
    </row>
    <row r="1078" hidden="1">
      <c r="A1078" s="32" t="str">
        <f t="shared" si="1"/>
        <v>#N/A</v>
      </c>
      <c r="B1078" s="32" t="str">
        <f t="shared" si="2"/>
        <v>#N/A</v>
      </c>
      <c r="C1078" s="32" t="str">
        <f t="shared" si="3"/>
        <v>Week 16</v>
      </c>
      <c r="D1078" s="32">
        <v>2024.0</v>
      </c>
      <c r="E1078" t="str">
        <f t="shared" si="15"/>
        <v>16</v>
      </c>
      <c r="F1078" t="str">
        <f t="shared" si="5"/>
        <v/>
      </c>
      <c r="G1078" s="40" t="str">
        <f>VLOOKUP(F1078,'Manager Coding'!C:D,2,0)</f>
        <v>#N/A</v>
      </c>
      <c r="H1078" s="41" t="str">
        <f t="shared" si="6"/>
        <v/>
      </c>
      <c r="I1078" t="str">
        <f t="shared" si="7"/>
        <v/>
      </c>
      <c r="J1078" t="str">
        <f>VLOOKUP(I1078,'Manager Coding'!C:D,2,0)</f>
        <v>#N/A</v>
      </c>
      <c r="K1078" s="41" t="str">
        <f t="shared" si="8"/>
        <v/>
      </c>
      <c r="L1078">
        <f t="shared" si="9"/>
        <v>0</v>
      </c>
      <c r="M1078">
        <f t="shared" si="10"/>
        <v>0</v>
      </c>
      <c r="N1078" s="114" t="s">
        <v>1843</v>
      </c>
      <c r="O1078" s="135"/>
      <c r="P1078" s="206"/>
      <c r="Q1078" s="207"/>
      <c r="R1078" s="115"/>
      <c r="S1078" s="134"/>
    </row>
    <row r="1079" hidden="1">
      <c r="A1079" s="32" t="str">
        <f t="shared" si="1"/>
        <v>#N/A</v>
      </c>
      <c r="B1079" s="32" t="str">
        <f t="shared" si="2"/>
        <v>#N/A</v>
      </c>
      <c r="C1079" s="32" t="str">
        <f t="shared" si="3"/>
        <v>Week 17</v>
      </c>
      <c r="D1079" s="32">
        <v>2024.0</v>
      </c>
      <c r="E1079" t="str">
        <f t="shared" si="15"/>
        <v>17</v>
      </c>
      <c r="F1079" t="str">
        <f t="shared" si="5"/>
        <v>TEAM MANAGER(S)</v>
      </c>
      <c r="G1079" s="40" t="str">
        <f>VLOOKUP(F1079,'Manager Coding'!C:D,2,0)</f>
        <v>#N/A</v>
      </c>
      <c r="H1079" s="41" t="str">
        <f t="shared" si="6"/>
        <v>Score</v>
      </c>
      <c r="I1079" t="str">
        <f t="shared" si="7"/>
        <v>TEAM MANAGER(S)</v>
      </c>
      <c r="J1079" t="str">
        <f>VLOOKUP(I1079,'Manager Coding'!C:D,2,0)</f>
        <v>#N/A</v>
      </c>
      <c r="K1079" s="41" t="str">
        <f t="shared" si="8"/>
        <v>Score</v>
      </c>
      <c r="L1079">
        <f t="shared" si="9"/>
        <v>0</v>
      </c>
      <c r="M1079">
        <f t="shared" si="10"/>
        <v>0</v>
      </c>
      <c r="N1079" s="78" t="s">
        <v>197</v>
      </c>
      <c r="O1079" s="78" t="s">
        <v>88</v>
      </c>
      <c r="P1079" s="79" t="s">
        <v>59</v>
      </c>
      <c r="Q1079" s="78" t="s">
        <v>59</v>
      </c>
      <c r="R1079" s="79" t="s">
        <v>88</v>
      </c>
      <c r="S1079" s="79" t="s">
        <v>101</v>
      </c>
    </row>
    <row r="1080" hidden="1">
      <c r="A1080" s="32" t="str">
        <f t="shared" si="1"/>
        <v>2024Rooney/JacksonWeek 17</v>
      </c>
      <c r="B1080" s="32" t="str">
        <f t="shared" si="2"/>
        <v>2024T-HowWeek 17</v>
      </c>
      <c r="C1080" s="32" t="str">
        <f t="shared" si="3"/>
        <v>Week 17</v>
      </c>
      <c r="D1080" s="32">
        <v>2024.0</v>
      </c>
      <c r="E1080" t="str">
        <f t="shared" si="15"/>
        <v>17</v>
      </c>
      <c r="F1080" t="str">
        <f t="shared" si="5"/>
        <v>Stephen Rooney, Jackson Sattell</v>
      </c>
      <c r="G1080" s="40" t="str">
        <f>VLOOKUP(F1080,'Manager Coding'!C:D,2,0)</f>
        <v>Rooney/Jackson</v>
      </c>
      <c r="H1080" s="41">
        <f t="shared" si="6"/>
        <v>135.28</v>
      </c>
      <c r="I1080" t="str">
        <f t="shared" si="7"/>
        <v>Tyler Howard</v>
      </c>
      <c r="J1080" t="str">
        <f>VLOOKUP(I1080,'Manager Coding'!C:D,2,0)</f>
        <v>T-How</v>
      </c>
      <c r="K1080" s="41">
        <f t="shared" si="8"/>
        <v>113.38</v>
      </c>
      <c r="L1080">
        <f t="shared" si="9"/>
        <v>1</v>
      </c>
      <c r="M1080">
        <f t="shared" si="10"/>
        <v>0</v>
      </c>
      <c r="N1080" s="153" t="s">
        <v>2514</v>
      </c>
      <c r="O1080" s="81" t="s">
        <v>58</v>
      </c>
      <c r="P1080" s="200">
        <v>135.28</v>
      </c>
      <c r="Q1080" s="189">
        <v>113.38</v>
      </c>
      <c r="R1080" s="154" t="s">
        <v>85</v>
      </c>
      <c r="S1080" s="153" t="s">
        <v>2520</v>
      </c>
    </row>
    <row r="1081" hidden="1">
      <c r="A1081" s="32" t="str">
        <f t="shared" si="1"/>
        <v>2024SaltyWeek 17</v>
      </c>
      <c r="B1081" s="32" t="str">
        <f t="shared" si="2"/>
        <v>2024RileyWeek 17</v>
      </c>
      <c r="C1081" s="32" t="str">
        <f t="shared" si="3"/>
        <v>Week 17</v>
      </c>
      <c r="D1081" s="32">
        <v>2024.0</v>
      </c>
      <c r="E1081" t="str">
        <f t="shared" si="15"/>
        <v>17</v>
      </c>
      <c r="F1081" t="str">
        <f t="shared" si="5"/>
        <v>R Saltiel</v>
      </c>
      <c r="G1081" s="40" t="str">
        <f>VLOOKUP(F1081,'Manager Coding'!C:D,2,0)</f>
        <v>Salty</v>
      </c>
      <c r="H1081" s="41">
        <f t="shared" si="6"/>
        <v>118.62</v>
      </c>
      <c r="I1081" t="str">
        <f t="shared" si="7"/>
        <v>Riley McElwain</v>
      </c>
      <c r="J1081" t="str">
        <f>VLOOKUP(I1081,'Manager Coding'!C:D,2,0)</f>
        <v>Riley</v>
      </c>
      <c r="K1081" s="41">
        <f t="shared" si="8"/>
        <v>90.84</v>
      </c>
      <c r="L1081">
        <f t="shared" si="9"/>
        <v>1</v>
      </c>
      <c r="M1081">
        <f t="shared" si="10"/>
        <v>0</v>
      </c>
      <c r="N1081" s="134" t="s">
        <v>2525</v>
      </c>
      <c r="O1081" s="135" t="s">
        <v>77</v>
      </c>
      <c r="P1081" s="200">
        <v>118.62</v>
      </c>
      <c r="Q1081" s="189">
        <v>90.84</v>
      </c>
      <c r="R1081" s="115" t="s">
        <v>68</v>
      </c>
      <c r="S1081" s="134" t="s">
        <v>2531</v>
      </c>
    </row>
    <row r="1082" hidden="1">
      <c r="A1082" s="32" t="str">
        <f t="shared" si="1"/>
        <v>2024TayskiWeek 17</v>
      </c>
      <c r="B1082" s="32" t="str">
        <f t="shared" si="2"/>
        <v>2024BuserWeek 17</v>
      </c>
      <c r="C1082" s="32" t="str">
        <f t="shared" si="3"/>
        <v>Week 17</v>
      </c>
      <c r="D1082" s="32">
        <v>2024.0</v>
      </c>
      <c r="E1082" t="str">
        <f t="shared" si="15"/>
        <v>17</v>
      </c>
      <c r="F1082" t="str">
        <f t="shared" si="5"/>
        <v>Taylor Weis</v>
      </c>
      <c r="G1082" s="40" t="str">
        <f>VLOOKUP(F1082,'Manager Coding'!C:D,2,0)</f>
        <v>Tayski</v>
      </c>
      <c r="H1082" s="41">
        <f t="shared" si="6"/>
        <v>69.38</v>
      </c>
      <c r="I1082" t="str">
        <f t="shared" si="7"/>
        <v>Ed Buser</v>
      </c>
      <c r="J1082" t="str">
        <f>VLOOKUP(I1082,'Manager Coding'!C:D,2,0)</f>
        <v>Buser</v>
      </c>
      <c r="K1082" s="41">
        <f t="shared" si="8"/>
        <v>105.1</v>
      </c>
      <c r="L1082">
        <f t="shared" si="9"/>
        <v>0</v>
      </c>
      <c r="M1082">
        <f t="shared" si="10"/>
        <v>1</v>
      </c>
      <c r="N1082" s="153" t="s">
        <v>2530</v>
      </c>
      <c r="O1082" s="81" t="s">
        <v>54</v>
      </c>
      <c r="P1082" s="200">
        <v>69.38</v>
      </c>
      <c r="Q1082" s="189">
        <v>105.1</v>
      </c>
      <c r="R1082" s="154" t="s">
        <v>50</v>
      </c>
      <c r="S1082" s="153" t="s">
        <v>2526</v>
      </c>
    </row>
    <row r="1083" hidden="1">
      <c r="A1083" s="32" t="str">
        <f t="shared" si="1"/>
        <v>2024KnardDawgWeek 17</v>
      </c>
      <c r="B1083" s="32" t="str">
        <f t="shared" si="2"/>
        <v>2024EwertWeek 17</v>
      </c>
      <c r="C1083" s="32" t="str">
        <f t="shared" si="3"/>
        <v>Week 17</v>
      </c>
      <c r="D1083" s="32">
        <v>2024.0</v>
      </c>
      <c r="E1083" t="str">
        <f t="shared" si="15"/>
        <v>17</v>
      </c>
      <c r="F1083" t="str">
        <f t="shared" si="5"/>
        <v>Alex Kinniard, Jack Reilly</v>
      </c>
      <c r="G1083" s="40" t="str">
        <f>VLOOKUP(F1083,'Manager Coding'!C:D,2,0)</f>
        <v>KnardDawg</v>
      </c>
      <c r="H1083" s="41">
        <f t="shared" si="6"/>
        <v>77.78</v>
      </c>
      <c r="I1083" t="str">
        <f t="shared" si="7"/>
        <v>Kyle Ewert, brad starck</v>
      </c>
      <c r="J1083" t="str">
        <f>VLOOKUP(I1083,'Manager Coding'!C:D,2,0)</f>
        <v>Ewert</v>
      </c>
      <c r="K1083" s="41">
        <f t="shared" si="8"/>
        <v>133.84</v>
      </c>
      <c r="L1083">
        <f t="shared" si="9"/>
        <v>0</v>
      </c>
      <c r="M1083">
        <f t="shared" si="10"/>
        <v>1</v>
      </c>
      <c r="N1083" s="134" t="s">
        <v>2518</v>
      </c>
      <c r="O1083" s="135" t="s">
        <v>87</v>
      </c>
      <c r="P1083" s="200">
        <v>77.78</v>
      </c>
      <c r="Q1083" s="189">
        <v>133.84</v>
      </c>
      <c r="R1083" s="115" t="s">
        <v>105</v>
      </c>
      <c r="S1083" s="134" t="s">
        <v>2523</v>
      </c>
    </row>
    <row r="1084" hidden="1">
      <c r="A1084" s="32" t="str">
        <f t="shared" si="1"/>
        <v>2024CockWeek 17</v>
      </c>
      <c r="B1084" s="32" t="str">
        <f t="shared" si="2"/>
        <v>2024HudspeathWeek 17</v>
      </c>
      <c r="C1084" s="32" t="str">
        <f t="shared" si="3"/>
        <v>Week 17</v>
      </c>
      <c r="D1084" s="32">
        <v>2024.0</v>
      </c>
      <c r="E1084" t="str">
        <f t="shared" si="15"/>
        <v>17</v>
      </c>
      <c r="F1084" t="str">
        <f t="shared" si="5"/>
        <v>Chris Cochrane</v>
      </c>
      <c r="G1084" s="40" t="str">
        <f>VLOOKUP(F1084,'Manager Coding'!C:D,2,0)</f>
        <v>Cock</v>
      </c>
      <c r="H1084" s="41">
        <f t="shared" si="6"/>
        <v>86.48</v>
      </c>
      <c r="I1084" t="str">
        <f t="shared" si="7"/>
        <v>matt hudspeath</v>
      </c>
      <c r="J1084" t="str">
        <f>VLOOKUP(I1084,'Manager Coding'!C:D,2,0)</f>
        <v>Hudspeath</v>
      </c>
      <c r="K1084" s="41">
        <f t="shared" si="8"/>
        <v>109.76</v>
      </c>
      <c r="L1084">
        <f t="shared" si="9"/>
        <v>0</v>
      </c>
      <c r="M1084">
        <f t="shared" si="10"/>
        <v>1</v>
      </c>
      <c r="N1084" s="153" t="s">
        <v>2513</v>
      </c>
      <c r="O1084" s="81" t="s">
        <v>99</v>
      </c>
      <c r="P1084" s="200">
        <v>86.48</v>
      </c>
      <c r="Q1084" s="189">
        <v>109.76</v>
      </c>
      <c r="R1084" s="154" t="s">
        <v>64</v>
      </c>
      <c r="S1084" s="153" t="s">
        <v>2516</v>
      </c>
    </row>
    <row r="1085" hidden="1">
      <c r="A1085" s="32" t="str">
        <f t="shared" si="1"/>
        <v>2024PiersonWeek 17</v>
      </c>
      <c r="B1085" s="32" t="str">
        <f t="shared" si="2"/>
        <v>2024ShepWeek 17</v>
      </c>
      <c r="C1085" s="32" t="str">
        <f t="shared" si="3"/>
        <v>Week 17</v>
      </c>
      <c r="D1085" s="32">
        <v>2024.0</v>
      </c>
      <c r="E1085" t="str">
        <f t="shared" si="15"/>
        <v>17</v>
      </c>
      <c r="F1085" t="str">
        <f t="shared" si="5"/>
        <v>Pierson Curtis</v>
      </c>
      <c r="G1085" s="40" t="str">
        <f>VLOOKUP(F1085,'Manager Coding'!C:D,2,0)</f>
        <v>Pierson</v>
      </c>
      <c r="H1085" s="41">
        <f t="shared" si="6"/>
        <v>68.28</v>
      </c>
      <c r="I1085" t="str">
        <f t="shared" si="7"/>
        <v>Jordan Shepherd</v>
      </c>
      <c r="J1085" t="str">
        <f>VLOOKUP(I1085,'Manager Coding'!C:D,2,0)</f>
        <v>Shep</v>
      </c>
      <c r="K1085" s="41">
        <f t="shared" si="8"/>
        <v>59.1</v>
      </c>
      <c r="L1085">
        <f t="shared" si="9"/>
        <v>1</v>
      </c>
      <c r="M1085">
        <f t="shared" si="10"/>
        <v>0</v>
      </c>
      <c r="N1085" s="134" t="s">
        <v>2521</v>
      </c>
      <c r="O1085" s="135" t="s">
        <v>93</v>
      </c>
      <c r="P1085" s="200">
        <v>68.28</v>
      </c>
      <c r="Q1085" s="189">
        <v>59.1</v>
      </c>
      <c r="R1085" s="115" t="s">
        <v>91</v>
      </c>
      <c r="S1085" s="134" t="s">
        <v>2528</v>
      </c>
    </row>
    <row r="1086" hidden="1">
      <c r="A1086" s="32" t="str">
        <f t="shared" si="1"/>
        <v>#N/A</v>
      </c>
      <c r="B1086" s="32" t="str">
        <f t="shared" si="2"/>
        <v>#N/A</v>
      </c>
      <c r="C1086" s="32" t="str">
        <f t="shared" si="3"/>
        <v>Week 17</v>
      </c>
      <c r="D1086" s="32">
        <v>2025.0</v>
      </c>
      <c r="E1086" t="str">
        <f t="shared" si="15"/>
        <v>17</v>
      </c>
      <c r="F1086" t="str">
        <f t="shared" si="5"/>
        <v>TEAM MANAGER(S)</v>
      </c>
      <c r="G1086" s="40" t="str">
        <f>VLOOKUP(F1086,'Manager Coding'!C:D,2,0)</f>
        <v>#N/A</v>
      </c>
      <c r="H1086" s="41" t="str">
        <f t="shared" si="6"/>
        <v>Score</v>
      </c>
      <c r="I1086" t="str">
        <f t="shared" si="7"/>
        <v>TEAM MANAGER(S)</v>
      </c>
      <c r="J1086" t="str">
        <f>VLOOKUP(I1086,'Manager Coding'!C:D,2,0)</f>
        <v>#N/A</v>
      </c>
      <c r="K1086" s="41" t="str">
        <f t="shared" si="8"/>
        <v>Score</v>
      </c>
      <c r="L1086">
        <f t="shared" si="9"/>
        <v>0</v>
      </c>
      <c r="M1086">
        <f t="shared" si="10"/>
        <v>0</v>
      </c>
      <c r="N1086" s="22" t="s">
        <v>83</v>
      </c>
      <c r="O1086" s="78" t="s">
        <v>88</v>
      </c>
      <c r="P1086" s="208" t="s">
        <v>59</v>
      </c>
      <c r="Q1086" s="208" t="s">
        <v>59</v>
      </c>
      <c r="R1086" s="79" t="s">
        <v>88</v>
      </c>
      <c r="S1086" s="79" t="s">
        <v>101</v>
      </c>
    </row>
    <row r="1087" hidden="1">
      <c r="A1087" s="32" t="str">
        <f t="shared" si="1"/>
        <v>2025ShepWeek 1</v>
      </c>
      <c r="B1087" s="32" t="str">
        <f t="shared" si="2"/>
        <v>2025TayskiWeek 1</v>
      </c>
      <c r="C1087" s="32" t="str">
        <f t="shared" si="3"/>
        <v>Week 1</v>
      </c>
      <c r="D1087" s="32">
        <v>2025.0</v>
      </c>
      <c r="E1087" t="str">
        <f t="shared" si="15"/>
        <v>1</v>
      </c>
      <c r="F1087" t="str">
        <f t="shared" si="5"/>
        <v>Jordan Shepherd</v>
      </c>
      <c r="G1087" s="40" t="str">
        <f>VLOOKUP(F1087,'Manager Coding'!C:D,2,0)</f>
        <v>Shep</v>
      </c>
      <c r="H1087" s="41">
        <f t="shared" si="6"/>
        <v>99.28</v>
      </c>
      <c r="I1087" t="str">
        <f t="shared" si="7"/>
        <v>Taylor Weis</v>
      </c>
      <c r="J1087" t="str">
        <f>VLOOKUP(I1087,'Manager Coding'!C:D,2,0)</f>
        <v>Tayski</v>
      </c>
      <c r="K1087" s="41">
        <f t="shared" si="8"/>
        <v>109.76</v>
      </c>
      <c r="L1087">
        <f t="shared" si="9"/>
        <v>0</v>
      </c>
      <c r="M1087">
        <f t="shared" si="10"/>
        <v>1</v>
      </c>
      <c r="N1087" s="80" t="s">
        <v>2684</v>
      </c>
      <c r="O1087" s="90" t="s">
        <v>91</v>
      </c>
      <c r="P1087" s="209">
        <v>99.28</v>
      </c>
      <c r="Q1087" s="210">
        <v>109.76</v>
      </c>
      <c r="R1087" s="84" t="s">
        <v>54</v>
      </c>
      <c r="S1087" s="80" t="s">
        <v>2685</v>
      </c>
    </row>
    <row r="1088" hidden="1">
      <c r="A1088" s="32" t="str">
        <f t="shared" si="1"/>
        <v>2025CockWeek 1</v>
      </c>
      <c r="B1088" s="32" t="str">
        <f t="shared" si="2"/>
        <v>2025Rooney/JacksonWeek 1</v>
      </c>
      <c r="C1088" s="32" t="str">
        <f t="shared" si="3"/>
        <v>Week 1</v>
      </c>
      <c r="D1088" s="32">
        <v>2025.0</v>
      </c>
      <c r="E1088" t="str">
        <f t="shared" si="15"/>
        <v>1</v>
      </c>
      <c r="F1088" t="str">
        <f t="shared" si="5"/>
        <v>Chris Cochrane</v>
      </c>
      <c r="G1088" s="40" t="str">
        <f>VLOOKUP(F1088,'Manager Coding'!C:D,2,0)</f>
        <v>Cock</v>
      </c>
      <c r="H1088" s="41">
        <f t="shared" si="6"/>
        <v>101.72</v>
      </c>
      <c r="I1088" t="str">
        <f t="shared" si="7"/>
        <v>Stephen Rooney, Jackson Sattell</v>
      </c>
      <c r="J1088" t="str">
        <f>VLOOKUP(I1088,'Manager Coding'!C:D,2,0)</f>
        <v>Rooney/Jackson</v>
      </c>
      <c r="K1088" s="41">
        <f t="shared" si="8"/>
        <v>79.58</v>
      </c>
      <c r="L1088">
        <f t="shared" si="9"/>
        <v>1</v>
      </c>
      <c r="M1088">
        <f t="shared" si="10"/>
        <v>0</v>
      </c>
      <c r="N1088" s="85" t="s">
        <v>2686</v>
      </c>
      <c r="O1088" s="86" t="s">
        <v>99</v>
      </c>
      <c r="P1088" s="210">
        <v>101.72</v>
      </c>
      <c r="Q1088" s="209">
        <v>79.58</v>
      </c>
      <c r="R1088" s="89" t="s">
        <v>58</v>
      </c>
      <c r="S1088" s="85" t="s">
        <v>2687</v>
      </c>
    </row>
    <row r="1089" hidden="1">
      <c r="A1089" s="32" t="str">
        <f t="shared" si="1"/>
        <v>2025HudspeathWeek 1</v>
      </c>
      <c r="B1089" s="32" t="str">
        <f t="shared" si="2"/>
        <v>2025RileyWeek 1</v>
      </c>
      <c r="C1089" s="32" t="str">
        <f t="shared" si="3"/>
        <v>Week 1</v>
      </c>
      <c r="D1089" s="32">
        <v>2025.0</v>
      </c>
      <c r="E1089" t="str">
        <f t="shared" si="15"/>
        <v>1</v>
      </c>
      <c r="F1089" t="str">
        <f t="shared" si="5"/>
        <v>matt hudspeath</v>
      </c>
      <c r="G1089" s="40" t="str">
        <f>VLOOKUP(F1089,'Manager Coding'!C:D,2,0)</f>
        <v>Hudspeath</v>
      </c>
      <c r="H1089" s="41">
        <f t="shared" si="6"/>
        <v>91.92</v>
      </c>
      <c r="I1089" t="str">
        <f t="shared" si="7"/>
        <v>Riley McElwain</v>
      </c>
      <c r="J1089" t="str">
        <f>VLOOKUP(I1089,'Manager Coding'!C:D,2,0)</f>
        <v>Riley</v>
      </c>
      <c r="K1089" s="41">
        <f t="shared" si="8"/>
        <v>87.72</v>
      </c>
      <c r="L1089">
        <f t="shared" si="9"/>
        <v>1</v>
      </c>
      <c r="M1089">
        <f t="shared" si="10"/>
        <v>0</v>
      </c>
      <c r="N1089" s="80" t="s">
        <v>2688</v>
      </c>
      <c r="O1089" s="90" t="s">
        <v>64</v>
      </c>
      <c r="P1089" s="210">
        <v>91.92</v>
      </c>
      <c r="Q1089" s="209">
        <v>87.72</v>
      </c>
      <c r="R1089" s="84" t="s">
        <v>68</v>
      </c>
      <c r="S1089" s="80" t="s">
        <v>2690</v>
      </c>
    </row>
    <row r="1090" hidden="1">
      <c r="A1090" s="32" t="str">
        <f t="shared" si="1"/>
        <v>2025PiersonWeek 1</v>
      </c>
      <c r="B1090" s="32" t="str">
        <f t="shared" si="2"/>
        <v>2025KnardDawgWeek 1</v>
      </c>
      <c r="C1090" s="32" t="str">
        <f t="shared" si="3"/>
        <v>Week 1</v>
      </c>
      <c r="D1090" s="32">
        <v>2025.0</v>
      </c>
      <c r="E1090" t="str">
        <f t="shared" si="15"/>
        <v>1</v>
      </c>
      <c r="F1090" t="str">
        <f t="shared" si="5"/>
        <v>Pierson Curtis</v>
      </c>
      <c r="G1090" s="40" t="str">
        <f>VLOOKUP(F1090,'Manager Coding'!C:D,2,0)</f>
        <v>Pierson</v>
      </c>
      <c r="H1090" s="41">
        <f t="shared" si="6"/>
        <v>97.08</v>
      </c>
      <c r="I1090" t="str">
        <f t="shared" si="7"/>
        <v>Alex Kinniard, Jack Reilly</v>
      </c>
      <c r="J1090" t="str">
        <f>VLOOKUP(I1090,'Manager Coding'!C:D,2,0)</f>
        <v>KnardDawg</v>
      </c>
      <c r="K1090" s="41">
        <f t="shared" si="8"/>
        <v>115.22</v>
      </c>
      <c r="L1090">
        <f t="shared" si="9"/>
        <v>0</v>
      </c>
      <c r="M1090">
        <f t="shared" si="10"/>
        <v>1</v>
      </c>
      <c r="N1090" s="85" t="s">
        <v>2692</v>
      </c>
      <c r="O1090" s="86" t="s">
        <v>93</v>
      </c>
      <c r="P1090" s="209">
        <v>97.08</v>
      </c>
      <c r="Q1090" s="210">
        <v>115.22</v>
      </c>
      <c r="R1090" s="89" t="s">
        <v>87</v>
      </c>
      <c r="S1090" s="85" t="s">
        <v>2693</v>
      </c>
    </row>
    <row r="1091" hidden="1">
      <c r="A1091" s="32" t="str">
        <f t="shared" si="1"/>
        <v>2025SaltyWeek 1</v>
      </c>
      <c r="B1091" s="32" t="str">
        <f t="shared" si="2"/>
        <v>2025EwertWeek 1</v>
      </c>
      <c r="C1091" s="32" t="str">
        <f t="shared" si="3"/>
        <v>Week 1</v>
      </c>
      <c r="D1091" s="32">
        <v>2025.0</v>
      </c>
      <c r="E1091" t="str">
        <f t="shared" si="15"/>
        <v>1</v>
      </c>
      <c r="F1091" t="str">
        <f t="shared" si="5"/>
        <v>R Saltiel</v>
      </c>
      <c r="G1091" s="40" t="str">
        <f>VLOOKUP(F1091,'Manager Coding'!C:D,2,0)</f>
        <v>Salty</v>
      </c>
      <c r="H1091" s="41">
        <f t="shared" si="6"/>
        <v>106.86</v>
      </c>
      <c r="I1091" t="str">
        <f t="shared" si="7"/>
        <v>Kyle Ewert, brad starck</v>
      </c>
      <c r="J1091" t="str">
        <f>VLOOKUP(I1091,'Manager Coding'!C:D,2,0)</f>
        <v>Ewert</v>
      </c>
      <c r="K1091" s="41">
        <f t="shared" si="8"/>
        <v>87.44</v>
      </c>
      <c r="L1091">
        <f t="shared" si="9"/>
        <v>1</v>
      </c>
      <c r="M1091">
        <f t="shared" si="10"/>
        <v>0</v>
      </c>
      <c r="N1091" s="80" t="s">
        <v>2695</v>
      </c>
      <c r="O1091" s="90" t="s">
        <v>77</v>
      </c>
      <c r="P1091" s="210">
        <v>106.86</v>
      </c>
      <c r="Q1091" s="209">
        <v>87.44</v>
      </c>
      <c r="R1091" s="84" t="s">
        <v>105</v>
      </c>
      <c r="S1091" s="80" t="s">
        <v>2696</v>
      </c>
    </row>
    <row r="1092" hidden="1">
      <c r="A1092" s="32" t="str">
        <f t="shared" si="1"/>
        <v>2025BuserWeek 1</v>
      </c>
      <c r="B1092" s="32" t="str">
        <f t="shared" si="2"/>
        <v>2025T-HowWeek 1</v>
      </c>
      <c r="C1092" s="32" t="str">
        <f t="shared" si="3"/>
        <v>Week 1</v>
      </c>
      <c r="D1092" s="32">
        <v>2025.0</v>
      </c>
      <c r="E1092" t="str">
        <f t="shared" si="15"/>
        <v>1</v>
      </c>
      <c r="F1092" t="str">
        <f t="shared" si="5"/>
        <v>Ed Buser</v>
      </c>
      <c r="G1092" s="40" t="str">
        <f>VLOOKUP(F1092,'Manager Coding'!C:D,2,0)</f>
        <v>Buser</v>
      </c>
      <c r="H1092" s="41">
        <f t="shared" si="6"/>
        <v>93.52</v>
      </c>
      <c r="I1092" t="str">
        <f t="shared" si="7"/>
        <v>Tyler Howard</v>
      </c>
      <c r="J1092" t="str">
        <f>VLOOKUP(I1092,'Manager Coding'!C:D,2,0)</f>
        <v>T-How</v>
      </c>
      <c r="K1092" s="41">
        <f t="shared" si="8"/>
        <v>111.52</v>
      </c>
      <c r="L1092">
        <f t="shared" si="9"/>
        <v>0</v>
      </c>
      <c r="M1092">
        <f t="shared" si="10"/>
        <v>1</v>
      </c>
      <c r="N1092" s="85" t="s">
        <v>2698</v>
      </c>
      <c r="O1092" s="86" t="s">
        <v>50</v>
      </c>
      <c r="P1092" s="209">
        <v>93.52</v>
      </c>
      <c r="Q1092" s="210">
        <v>111.52</v>
      </c>
      <c r="R1092" s="89" t="s">
        <v>85</v>
      </c>
      <c r="S1092" s="85" t="s">
        <v>2700</v>
      </c>
    </row>
    <row r="1093" hidden="1">
      <c r="A1093" s="32" t="str">
        <f t="shared" si="1"/>
        <v>#N/A</v>
      </c>
      <c r="B1093" s="32" t="str">
        <f t="shared" si="2"/>
        <v>#N/A</v>
      </c>
      <c r="C1093" s="32" t="str">
        <f t="shared" si="3"/>
        <v>Week 1</v>
      </c>
      <c r="D1093" s="32">
        <v>2025.0</v>
      </c>
      <c r="E1093" t="str">
        <f t="shared" si="15"/>
        <v>1</v>
      </c>
      <c r="F1093" t="str">
        <f t="shared" si="5"/>
        <v/>
      </c>
      <c r="G1093" s="40" t="str">
        <f>VLOOKUP(F1093,'Manager Coding'!C:D,2,0)</f>
        <v>#N/A</v>
      </c>
      <c r="H1093" s="41" t="str">
        <f t="shared" si="6"/>
        <v/>
      </c>
      <c r="I1093" t="str">
        <f t="shared" si="7"/>
        <v/>
      </c>
      <c r="J1093" t="str">
        <f>VLOOKUP(I1093,'Manager Coding'!C:D,2,0)</f>
        <v>#N/A</v>
      </c>
      <c r="K1093" s="41" t="str">
        <f t="shared" si="8"/>
        <v/>
      </c>
      <c r="L1093">
        <f t="shared" si="9"/>
        <v>0</v>
      </c>
      <c r="M1093">
        <f t="shared" si="10"/>
        <v>0</v>
      </c>
      <c r="N1093" s="91" t="s">
        <v>196</v>
      </c>
      <c r="O1093" s="135"/>
      <c r="P1093" s="206"/>
      <c r="Q1093" s="207"/>
      <c r="R1093" s="115"/>
      <c r="S1093" s="134"/>
    </row>
    <row r="1094" hidden="1">
      <c r="A1094" s="32" t="str">
        <f t="shared" si="1"/>
        <v>#N/A</v>
      </c>
      <c r="B1094" s="32" t="str">
        <f t="shared" si="2"/>
        <v>#N/A</v>
      </c>
      <c r="C1094" s="32" t="str">
        <f t="shared" si="3"/>
        <v>Week 2</v>
      </c>
      <c r="D1094" s="32">
        <v>2025.0</v>
      </c>
      <c r="E1094" t="str">
        <f t="shared" si="15"/>
        <v>2</v>
      </c>
      <c r="F1094" t="str">
        <f t="shared" si="5"/>
        <v>TEAM MANAGER(S)</v>
      </c>
      <c r="G1094" s="40" t="str">
        <f>VLOOKUP(F1094,'Manager Coding'!C:D,2,0)</f>
        <v>#N/A</v>
      </c>
      <c r="H1094" s="41" t="str">
        <f t="shared" si="6"/>
        <v>Score</v>
      </c>
      <c r="I1094" t="str">
        <f t="shared" si="7"/>
        <v>TEAM MANAGER(S)</v>
      </c>
      <c r="J1094" t="str">
        <f>VLOOKUP(I1094,'Manager Coding'!C:D,2,0)</f>
        <v>#N/A</v>
      </c>
      <c r="K1094" s="41" t="str">
        <f t="shared" si="8"/>
        <v>Score</v>
      </c>
      <c r="L1094">
        <f t="shared" si="9"/>
        <v>0</v>
      </c>
      <c r="M1094">
        <f t="shared" si="10"/>
        <v>0</v>
      </c>
      <c r="N1094" s="78" t="s">
        <v>197</v>
      </c>
      <c r="O1094" s="78" t="s">
        <v>88</v>
      </c>
      <c r="P1094" s="208" t="s">
        <v>59</v>
      </c>
      <c r="Q1094" s="208" t="s">
        <v>59</v>
      </c>
      <c r="R1094" s="79" t="s">
        <v>88</v>
      </c>
      <c r="S1094" s="79" t="s">
        <v>101</v>
      </c>
    </row>
    <row r="1095" hidden="1">
      <c r="A1095" s="32" t="str">
        <f t="shared" si="1"/>
        <v>2025CockWeek 2</v>
      </c>
      <c r="B1095" s="32" t="str">
        <f t="shared" si="2"/>
        <v>2025ShepWeek 2</v>
      </c>
      <c r="C1095" s="32" t="str">
        <f t="shared" si="3"/>
        <v>Week 2</v>
      </c>
      <c r="D1095" s="32">
        <v>2025.0</v>
      </c>
      <c r="E1095" t="str">
        <f t="shared" si="15"/>
        <v>2</v>
      </c>
      <c r="F1095" t="str">
        <f t="shared" si="5"/>
        <v>Chris Cochrane</v>
      </c>
      <c r="G1095" s="40" t="str">
        <f>VLOOKUP(F1095,'Manager Coding'!C:D,2,0)</f>
        <v>Cock</v>
      </c>
      <c r="H1095" s="41">
        <f t="shared" si="6"/>
        <v>116.88</v>
      </c>
      <c r="I1095" t="str">
        <f t="shared" si="7"/>
        <v>Jordan Shepherd</v>
      </c>
      <c r="J1095" t="str">
        <f>VLOOKUP(I1095,'Manager Coding'!C:D,2,0)</f>
        <v>Shep</v>
      </c>
      <c r="K1095" s="41">
        <f t="shared" si="8"/>
        <v>124.7</v>
      </c>
      <c r="L1095">
        <f t="shared" si="9"/>
        <v>0</v>
      </c>
      <c r="M1095">
        <f t="shared" si="10"/>
        <v>1</v>
      </c>
      <c r="N1095" s="80" t="s">
        <v>2703</v>
      </c>
      <c r="O1095" s="90" t="s">
        <v>99</v>
      </c>
      <c r="P1095" s="209">
        <v>116.88</v>
      </c>
      <c r="Q1095" s="210">
        <v>124.7</v>
      </c>
      <c r="R1095" s="84" t="s">
        <v>91</v>
      </c>
      <c r="S1095" s="80" t="s">
        <v>2704</v>
      </c>
    </row>
    <row r="1096" hidden="1">
      <c r="A1096" s="32" t="str">
        <f t="shared" si="1"/>
        <v>2025TayskiWeek 2</v>
      </c>
      <c r="B1096" s="32" t="str">
        <f t="shared" si="2"/>
        <v>2025HudspeathWeek 2</v>
      </c>
      <c r="C1096" s="32" t="str">
        <f t="shared" si="3"/>
        <v>Week 2</v>
      </c>
      <c r="D1096" s="32">
        <v>2025.0</v>
      </c>
      <c r="E1096" t="str">
        <f t="shared" si="15"/>
        <v>2</v>
      </c>
      <c r="F1096" t="str">
        <f t="shared" si="5"/>
        <v>Taylor Weis</v>
      </c>
      <c r="G1096" s="40" t="str">
        <f>VLOOKUP(F1096,'Manager Coding'!C:D,2,0)</f>
        <v>Tayski</v>
      </c>
      <c r="H1096" s="41">
        <f t="shared" si="6"/>
        <v>94.72</v>
      </c>
      <c r="I1096" t="str">
        <f t="shared" si="7"/>
        <v>matt hudspeath</v>
      </c>
      <c r="J1096" t="str">
        <f>VLOOKUP(I1096,'Manager Coding'!C:D,2,0)</f>
        <v>Hudspeath</v>
      </c>
      <c r="K1096" s="41">
        <f t="shared" si="8"/>
        <v>147.44</v>
      </c>
      <c r="L1096">
        <f t="shared" si="9"/>
        <v>0</v>
      </c>
      <c r="M1096">
        <f t="shared" si="10"/>
        <v>1</v>
      </c>
      <c r="N1096" s="85" t="s">
        <v>2706</v>
      </c>
      <c r="O1096" s="86" t="s">
        <v>54</v>
      </c>
      <c r="P1096" s="209">
        <v>94.72</v>
      </c>
      <c r="Q1096" s="210">
        <v>147.44</v>
      </c>
      <c r="R1096" s="89" t="s">
        <v>64</v>
      </c>
      <c r="S1096" s="85" t="s">
        <v>2707</v>
      </c>
    </row>
    <row r="1097" hidden="1">
      <c r="A1097" s="32" t="str">
        <f t="shared" si="1"/>
        <v>2025Rooney/JacksonWeek 2</v>
      </c>
      <c r="B1097" s="32" t="str">
        <f t="shared" si="2"/>
        <v>2025PiersonWeek 2</v>
      </c>
      <c r="C1097" s="32" t="str">
        <f t="shared" si="3"/>
        <v>Week 2</v>
      </c>
      <c r="D1097" s="32">
        <v>2025.0</v>
      </c>
      <c r="E1097" t="str">
        <f t="shared" si="15"/>
        <v>2</v>
      </c>
      <c r="F1097" t="str">
        <f t="shared" si="5"/>
        <v>Stephen Rooney, Jackson Sattell</v>
      </c>
      <c r="G1097" s="40" t="str">
        <f>VLOOKUP(F1097,'Manager Coding'!C:D,2,0)</f>
        <v>Rooney/Jackson</v>
      </c>
      <c r="H1097" s="41">
        <f t="shared" si="6"/>
        <v>126.54</v>
      </c>
      <c r="I1097" t="str">
        <f t="shared" si="7"/>
        <v>Pierson Curtis</v>
      </c>
      <c r="J1097" t="str">
        <f>VLOOKUP(I1097,'Manager Coding'!C:D,2,0)</f>
        <v>Pierson</v>
      </c>
      <c r="K1097" s="41">
        <f t="shared" si="8"/>
        <v>115.54</v>
      </c>
      <c r="L1097">
        <f t="shared" si="9"/>
        <v>1</v>
      </c>
      <c r="M1097">
        <f t="shared" si="10"/>
        <v>0</v>
      </c>
      <c r="N1097" s="80" t="s">
        <v>2709</v>
      </c>
      <c r="O1097" s="90" t="s">
        <v>58</v>
      </c>
      <c r="P1097" s="210">
        <v>126.54</v>
      </c>
      <c r="Q1097" s="209">
        <v>115.54</v>
      </c>
      <c r="R1097" s="84" t="s">
        <v>93</v>
      </c>
      <c r="S1097" s="80" t="s">
        <v>2710</v>
      </c>
    </row>
    <row r="1098" hidden="1">
      <c r="A1098" s="32" t="str">
        <f t="shared" si="1"/>
        <v>2025RileyWeek 2</v>
      </c>
      <c r="B1098" s="32" t="str">
        <f t="shared" si="2"/>
        <v>2025SaltyWeek 2</v>
      </c>
      <c r="C1098" s="32" t="str">
        <f t="shared" si="3"/>
        <v>Week 2</v>
      </c>
      <c r="D1098" s="32">
        <v>2025.0</v>
      </c>
      <c r="E1098" t="str">
        <f t="shared" si="15"/>
        <v>2</v>
      </c>
      <c r="F1098" t="str">
        <f t="shared" si="5"/>
        <v>Riley McElwain</v>
      </c>
      <c r="G1098" s="40" t="str">
        <f>VLOOKUP(F1098,'Manager Coding'!C:D,2,0)</f>
        <v>Riley</v>
      </c>
      <c r="H1098" s="41">
        <f t="shared" si="6"/>
        <v>103.58</v>
      </c>
      <c r="I1098" t="str">
        <f t="shared" si="7"/>
        <v>R Saltiel</v>
      </c>
      <c r="J1098" t="str">
        <f>VLOOKUP(I1098,'Manager Coding'!C:D,2,0)</f>
        <v>Salty</v>
      </c>
      <c r="K1098" s="41">
        <f t="shared" si="8"/>
        <v>77.7</v>
      </c>
      <c r="L1098">
        <f t="shared" si="9"/>
        <v>1</v>
      </c>
      <c r="M1098">
        <f t="shared" si="10"/>
        <v>0</v>
      </c>
      <c r="N1098" s="85" t="s">
        <v>2712</v>
      </c>
      <c r="O1098" s="86" t="s">
        <v>68</v>
      </c>
      <c r="P1098" s="210">
        <v>103.58</v>
      </c>
      <c r="Q1098" s="209">
        <v>77.7</v>
      </c>
      <c r="R1098" s="89" t="s">
        <v>77</v>
      </c>
      <c r="S1098" s="85" t="s">
        <v>2714</v>
      </c>
    </row>
    <row r="1099" hidden="1">
      <c r="A1099" s="32" t="str">
        <f t="shared" si="1"/>
        <v>2025KnardDawgWeek 2</v>
      </c>
      <c r="B1099" s="32" t="str">
        <f t="shared" si="2"/>
        <v>2025BuserWeek 2</v>
      </c>
      <c r="C1099" s="32" t="str">
        <f t="shared" si="3"/>
        <v>Week 2</v>
      </c>
      <c r="D1099" s="32">
        <v>2025.0</v>
      </c>
      <c r="E1099" t="str">
        <f t="shared" si="15"/>
        <v>2</v>
      </c>
      <c r="F1099" t="str">
        <f t="shared" si="5"/>
        <v>Alex Kinniard, Jack Reilly</v>
      </c>
      <c r="G1099" s="40" t="str">
        <f>VLOOKUP(F1099,'Manager Coding'!C:D,2,0)</f>
        <v>KnardDawg</v>
      </c>
      <c r="H1099" s="41">
        <f t="shared" si="6"/>
        <v>86.48</v>
      </c>
      <c r="I1099" t="str">
        <f t="shared" si="7"/>
        <v>Ed Buser</v>
      </c>
      <c r="J1099" t="str">
        <f>VLOOKUP(I1099,'Manager Coding'!C:D,2,0)</f>
        <v>Buser</v>
      </c>
      <c r="K1099" s="41">
        <f t="shared" si="8"/>
        <v>85.1</v>
      </c>
      <c r="L1099">
        <f t="shared" si="9"/>
        <v>1</v>
      </c>
      <c r="M1099">
        <f t="shared" si="10"/>
        <v>0</v>
      </c>
      <c r="N1099" s="80" t="s">
        <v>2715</v>
      </c>
      <c r="O1099" s="90" t="s">
        <v>87</v>
      </c>
      <c r="P1099" s="210">
        <v>86.48</v>
      </c>
      <c r="Q1099" s="209">
        <v>85.1</v>
      </c>
      <c r="R1099" s="84" t="s">
        <v>50</v>
      </c>
      <c r="S1099" s="80" t="s">
        <v>2716</v>
      </c>
    </row>
    <row r="1100" hidden="1">
      <c r="A1100" s="32" t="str">
        <f t="shared" si="1"/>
        <v>2025EwertWeek 2</v>
      </c>
      <c r="B1100" s="32" t="str">
        <f t="shared" si="2"/>
        <v>2025T-HowWeek 2</v>
      </c>
      <c r="C1100" s="32" t="str">
        <f t="shared" si="3"/>
        <v>Week 2</v>
      </c>
      <c r="D1100" s="32">
        <v>2025.0</v>
      </c>
      <c r="E1100" t="str">
        <f t="shared" si="15"/>
        <v>2</v>
      </c>
      <c r="F1100" t="str">
        <f t="shared" si="5"/>
        <v>Kyle Ewert, brad starck</v>
      </c>
      <c r="G1100" s="40" t="str">
        <f>VLOOKUP(F1100,'Manager Coding'!C:D,2,0)</f>
        <v>Ewert</v>
      </c>
      <c r="H1100" s="41">
        <f t="shared" si="6"/>
        <v>116.14</v>
      </c>
      <c r="I1100" t="str">
        <f t="shared" si="7"/>
        <v>Tyler Howard</v>
      </c>
      <c r="J1100" t="str">
        <f>VLOOKUP(I1100,'Manager Coding'!C:D,2,0)</f>
        <v>T-How</v>
      </c>
      <c r="K1100" s="41">
        <f t="shared" si="8"/>
        <v>90.1</v>
      </c>
      <c r="L1100">
        <f t="shared" si="9"/>
        <v>1</v>
      </c>
      <c r="M1100">
        <f t="shared" si="10"/>
        <v>0</v>
      </c>
      <c r="N1100" s="85" t="s">
        <v>2718</v>
      </c>
      <c r="O1100" s="86" t="s">
        <v>105</v>
      </c>
      <c r="P1100" s="210">
        <v>116.14</v>
      </c>
      <c r="Q1100" s="209">
        <v>90.1</v>
      </c>
      <c r="R1100" s="89" t="s">
        <v>85</v>
      </c>
      <c r="S1100" s="85" t="s">
        <v>2719</v>
      </c>
    </row>
    <row r="1101" hidden="1">
      <c r="A1101" s="32" t="str">
        <f t="shared" si="1"/>
        <v>#N/A</v>
      </c>
      <c r="B1101" s="32" t="str">
        <f t="shared" si="2"/>
        <v>#N/A</v>
      </c>
      <c r="C1101" s="32" t="str">
        <f t="shared" si="3"/>
        <v>Week 2</v>
      </c>
      <c r="D1101" s="32">
        <v>2025.0</v>
      </c>
      <c r="E1101" t="str">
        <f t="shared" si="15"/>
        <v>2</v>
      </c>
      <c r="F1101" t="str">
        <f t="shared" si="5"/>
        <v/>
      </c>
      <c r="G1101" s="40" t="str">
        <f>VLOOKUP(F1101,'Manager Coding'!C:D,2,0)</f>
        <v>#N/A</v>
      </c>
      <c r="H1101" s="41" t="str">
        <f t="shared" si="6"/>
        <v/>
      </c>
      <c r="I1101" t="str">
        <f t="shared" si="7"/>
        <v/>
      </c>
      <c r="J1101" t="str">
        <f>VLOOKUP(I1101,'Manager Coding'!C:D,2,0)</f>
        <v>#N/A</v>
      </c>
      <c r="K1101" s="41" t="str">
        <f t="shared" si="8"/>
        <v/>
      </c>
      <c r="L1101">
        <f t="shared" si="9"/>
        <v>0</v>
      </c>
      <c r="M1101">
        <f t="shared" si="10"/>
        <v>0</v>
      </c>
      <c r="N1101" s="91" t="s">
        <v>234</v>
      </c>
      <c r="O1101" s="101"/>
      <c r="P1101" s="211"/>
      <c r="Q1101" s="212"/>
      <c r="R1101" s="102"/>
      <c r="S1101" s="100"/>
    </row>
    <row r="1102" hidden="1">
      <c r="A1102" s="32" t="str">
        <f t="shared" si="1"/>
        <v>#N/A</v>
      </c>
      <c r="B1102" s="32" t="str">
        <f t="shared" si="2"/>
        <v>#N/A</v>
      </c>
      <c r="C1102" s="32" t="str">
        <f t="shared" si="3"/>
        <v>Week 3</v>
      </c>
      <c r="D1102" s="32">
        <v>2025.0</v>
      </c>
      <c r="E1102" t="str">
        <f t="shared" si="15"/>
        <v>3</v>
      </c>
      <c r="F1102" t="str">
        <f t="shared" si="5"/>
        <v>TEAM MANAGER(S)</v>
      </c>
      <c r="G1102" s="40" t="str">
        <f>VLOOKUP(F1102,'Manager Coding'!C:D,2,0)</f>
        <v>#N/A</v>
      </c>
      <c r="H1102" s="41" t="str">
        <f t="shared" si="6"/>
        <v>Score</v>
      </c>
      <c r="I1102" t="str">
        <f t="shared" si="7"/>
        <v>TEAM MANAGER(S)</v>
      </c>
      <c r="J1102" t="str">
        <f>VLOOKUP(I1102,'Manager Coding'!C:D,2,0)</f>
        <v>#N/A</v>
      </c>
      <c r="K1102" s="41" t="str">
        <f t="shared" si="8"/>
        <v>Score</v>
      </c>
      <c r="L1102">
        <f t="shared" si="9"/>
        <v>0</v>
      </c>
      <c r="M1102">
        <f t="shared" si="10"/>
        <v>0</v>
      </c>
      <c r="N1102" s="78" t="s">
        <v>197</v>
      </c>
      <c r="O1102" s="78" t="s">
        <v>88</v>
      </c>
      <c r="P1102" s="208" t="s">
        <v>59</v>
      </c>
      <c r="Q1102" s="208" t="s">
        <v>59</v>
      </c>
      <c r="R1102" s="79" t="s">
        <v>88</v>
      </c>
      <c r="S1102" s="79" t="s">
        <v>101</v>
      </c>
    </row>
    <row r="1103" hidden="1">
      <c r="A1103" s="32" t="str">
        <f t="shared" si="1"/>
        <v>2025ShepWeek 3</v>
      </c>
      <c r="B1103" s="32" t="str">
        <f t="shared" si="2"/>
        <v>2025HudspeathWeek 3</v>
      </c>
      <c r="C1103" s="32" t="str">
        <f t="shared" si="3"/>
        <v>Week 3</v>
      </c>
      <c r="D1103" s="32">
        <v>2025.0</v>
      </c>
      <c r="E1103" t="str">
        <f t="shared" si="15"/>
        <v>3</v>
      </c>
      <c r="F1103" t="str">
        <f t="shared" si="5"/>
        <v>Jordan Shepherd</v>
      </c>
      <c r="G1103" s="40" t="str">
        <f>VLOOKUP(F1103,'Manager Coding'!C:D,2,0)</f>
        <v>Shep</v>
      </c>
      <c r="H1103" s="41">
        <f t="shared" si="6"/>
        <v>100.52</v>
      </c>
      <c r="I1103" t="str">
        <f t="shared" si="7"/>
        <v>matt hudspeath</v>
      </c>
      <c r="J1103" t="str">
        <f>VLOOKUP(I1103,'Manager Coding'!C:D,2,0)</f>
        <v>Hudspeath</v>
      </c>
      <c r="K1103" s="41">
        <f t="shared" si="8"/>
        <v>115.22</v>
      </c>
      <c r="L1103">
        <f t="shared" si="9"/>
        <v>0</v>
      </c>
      <c r="M1103">
        <f t="shared" si="10"/>
        <v>1</v>
      </c>
      <c r="N1103" s="153" t="s">
        <v>2704</v>
      </c>
      <c r="O1103" s="81" t="s">
        <v>91</v>
      </c>
      <c r="P1103" s="210">
        <v>100.52</v>
      </c>
      <c r="Q1103" s="210">
        <v>115.22</v>
      </c>
      <c r="R1103" s="154" t="s">
        <v>64</v>
      </c>
      <c r="S1103" s="153" t="s">
        <v>2707</v>
      </c>
    </row>
    <row r="1104" hidden="1">
      <c r="A1104" s="32" t="str">
        <f t="shared" si="1"/>
        <v>2025PiersonWeek 3</v>
      </c>
      <c r="B1104" s="32" t="str">
        <f t="shared" si="2"/>
        <v>2025CockWeek 3</v>
      </c>
      <c r="C1104" s="32" t="str">
        <f t="shared" si="3"/>
        <v>Week 3</v>
      </c>
      <c r="D1104" s="32">
        <v>2025.0</v>
      </c>
      <c r="E1104" t="str">
        <f t="shared" si="15"/>
        <v>3</v>
      </c>
      <c r="F1104" t="str">
        <f t="shared" si="5"/>
        <v>Pierson Curtis</v>
      </c>
      <c r="G1104" s="40" t="str">
        <f>VLOOKUP(F1104,'Manager Coding'!C:D,2,0)</f>
        <v>Pierson</v>
      </c>
      <c r="H1104" s="41">
        <f t="shared" si="6"/>
        <v>123.44</v>
      </c>
      <c r="I1104" t="str">
        <f t="shared" si="7"/>
        <v>Chris Cochrane</v>
      </c>
      <c r="J1104" t="str">
        <f>VLOOKUP(I1104,'Manager Coding'!C:D,2,0)</f>
        <v>Cock</v>
      </c>
      <c r="K1104" s="41">
        <f t="shared" si="8"/>
        <v>101.96</v>
      </c>
      <c r="L1104">
        <f t="shared" si="9"/>
        <v>1</v>
      </c>
      <c r="M1104">
        <f t="shared" si="10"/>
        <v>0</v>
      </c>
      <c r="N1104" s="134" t="s">
        <v>2710</v>
      </c>
      <c r="O1104" s="135" t="s">
        <v>93</v>
      </c>
      <c r="P1104" s="210">
        <v>123.44</v>
      </c>
      <c r="Q1104" s="210">
        <v>101.96</v>
      </c>
      <c r="R1104" s="115" t="s">
        <v>99</v>
      </c>
      <c r="S1104" s="134" t="s">
        <v>2703</v>
      </c>
    </row>
    <row r="1105" hidden="1">
      <c r="A1105" s="32" t="str">
        <f t="shared" si="1"/>
        <v>2025SaltyWeek 3</v>
      </c>
      <c r="B1105" s="32" t="str">
        <f t="shared" si="2"/>
        <v>2025TayskiWeek 3</v>
      </c>
      <c r="C1105" s="32" t="str">
        <f t="shared" si="3"/>
        <v>Week 3</v>
      </c>
      <c r="D1105" s="32">
        <v>2025.0</v>
      </c>
      <c r="E1105" t="str">
        <f t="shared" si="15"/>
        <v>3</v>
      </c>
      <c r="F1105" t="str">
        <f t="shared" si="5"/>
        <v>R Saltiel</v>
      </c>
      <c r="G1105" s="40" t="str">
        <f>VLOOKUP(F1105,'Manager Coding'!C:D,2,0)</f>
        <v>Salty</v>
      </c>
      <c r="H1105" s="41">
        <f t="shared" si="6"/>
        <v>106.12</v>
      </c>
      <c r="I1105" t="str">
        <f t="shared" si="7"/>
        <v>Taylor Weis</v>
      </c>
      <c r="J1105" t="str">
        <f>VLOOKUP(I1105,'Manager Coding'!C:D,2,0)</f>
        <v>Tayski</v>
      </c>
      <c r="K1105" s="41">
        <f t="shared" si="8"/>
        <v>70.42</v>
      </c>
      <c r="L1105">
        <f t="shared" si="9"/>
        <v>1</v>
      </c>
      <c r="M1105">
        <f t="shared" si="10"/>
        <v>0</v>
      </c>
      <c r="N1105" s="153" t="s">
        <v>2714</v>
      </c>
      <c r="O1105" s="81" t="s">
        <v>77</v>
      </c>
      <c r="P1105" s="210">
        <v>106.12</v>
      </c>
      <c r="Q1105" s="210">
        <v>70.42</v>
      </c>
      <c r="R1105" s="154" t="s">
        <v>54</v>
      </c>
      <c r="S1105" s="153" t="s">
        <v>2706</v>
      </c>
    </row>
    <row r="1106" hidden="1">
      <c r="A1106" s="32" t="str">
        <f t="shared" si="1"/>
        <v>2025BuserWeek 3</v>
      </c>
      <c r="B1106" s="32" t="str">
        <f t="shared" si="2"/>
        <v>2025Rooney/JacksonWeek 3</v>
      </c>
      <c r="C1106" s="32" t="str">
        <f t="shared" si="3"/>
        <v>Week 3</v>
      </c>
      <c r="D1106" s="32">
        <v>2025.0</v>
      </c>
      <c r="E1106" t="str">
        <f t="shared" si="15"/>
        <v>3</v>
      </c>
      <c r="F1106" t="str">
        <f t="shared" si="5"/>
        <v>Ed Buser</v>
      </c>
      <c r="G1106" s="40" t="str">
        <f>VLOOKUP(F1106,'Manager Coding'!C:D,2,0)</f>
        <v>Buser</v>
      </c>
      <c r="H1106" s="41">
        <f t="shared" si="6"/>
        <v>143.56</v>
      </c>
      <c r="I1106" t="str">
        <f t="shared" si="7"/>
        <v>Stephen Rooney, Jackson Sattell</v>
      </c>
      <c r="J1106" t="str">
        <f>VLOOKUP(I1106,'Manager Coding'!C:D,2,0)</f>
        <v>Rooney/Jackson</v>
      </c>
      <c r="K1106" s="41">
        <f t="shared" si="8"/>
        <v>122.04</v>
      </c>
      <c r="L1106">
        <f t="shared" si="9"/>
        <v>1</v>
      </c>
      <c r="M1106">
        <f t="shared" si="10"/>
        <v>0</v>
      </c>
      <c r="N1106" s="134" t="s">
        <v>2716</v>
      </c>
      <c r="O1106" s="135" t="s">
        <v>50</v>
      </c>
      <c r="P1106" s="210">
        <v>143.56</v>
      </c>
      <c r="Q1106" s="210">
        <v>122.04</v>
      </c>
      <c r="R1106" s="115" t="s">
        <v>58</v>
      </c>
      <c r="S1106" s="134" t="s">
        <v>2709</v>
      </c>
    </row>
    <row r="1107" hidden="1">
      <c r="A1107" s="32" t="str">
        <f t="shared" si="1"/>
        <v>2025T-HowWeek 3</v>
      </c>
      <c r="B1107" s="32" t="str">
        <f t="shared" si="2"/>
        <v>2025RileyWeek 3</v>
      </c>
      <c r="C1107" s="32" t="str">
        <f t="shared" si="3"/>
        <v>Week 3</v>
      </c>
      <c r="D1107" s="32">
        <v>2025.0</v>
      </c>
      <c r="E1107" t="str">
        <f t="shared" si="15"/>
        <v>3</v>
      </c>
      <c r="F1107" t="str">
        <f t="shared" si="5"/>
        <v>Tyler Howard</v>
      </c>
      <c r="G1107" s="40" t="str">
        <f>VLOOKUP(F1107,'Manager Coding'!C:D,2,0)</f>
        <v>T-How</v>
      </c>
      <c r="H1107" s="41">
        <f t="shared" si="6"/>
        <v>84.88</v>
      </c>
      <c r="I1107" t="str">
        <f t="shared" si="7"/>
        <v>Riley McElwain</v>
      </c>
      <c r="J1107" t="str">
        <f>VLOOKUP(I1107,'Manager Coding'!C:D,2,0)</f>
        <v>Riley</v>
      </c>
      <c r="K1107" s="41">
        <f t="shared" si="8"/>
        <v>83.4</v>
      </c>
      <c r="L1107">
        <f t="shared" si="9"/>
        <v>1</v>
      </c>
      <c r="M1107">
        <f t="shared" si="10"/>
        <v>0</v>
      </c>
      <c r="N1107" s="153" t="s">
        <v>2719</v>
      </c>
      <c r="O1107" s="81" t="s">
        <v>85</v>
      </c>
      <c r="P1107" s="210">
        <v>84.88</v>
      </c>
      <c r="Q1107" s="210">
        <v>83.4</v>
      </c>
      <c r="R1107" s="154" t="s">
        <v>68</v>
      </c>
      <c r="S1107" s="153" t="s">
        <v>2712</v>
      </c>
    </row>
    <row r="1108" hidden="1">
      <c r="A1108" s="32" t="str">
        <f t="shared" si="1"/>
        <v>2025EwertWeek 3</v>
      </c>
      <c r="B1108" s="32" t="str">
        <f t="shared" si="2"/>
        <v>2025KnardDawgWeek 3</v>
      </c>
      <c r="C1108" s="32" t="str">
        <f t="shared" si="3"/>
        <v>Week 3</v>
      </c>
      <c r="D1108" s="32">
        <v>2025.0</v>
      </c>
      <c r="E1108" t="str">
        <f t="shared" si="15"/>
        <v>3</v>
      </c>
      <c r="F1108" t="str">
        <f t="shared" si="5"/>
        <v>Kyle Ewert, brad starck</v>
      </c>
      <c r="G1108" s="40" t="str">
        <f>VLOOKUP(F1108,'Manager Coding'!C:D,2,0)</f>
        <v>Ewert</v>
      </c>
      <c r="H1108" s="41">
        <f t="shared" si="6"/>
        <v>109.02</v>
      </c>
      <c r="I1108" t="str">
        <f t="shared" si="7"/>
        <v>Alex Kinniard, Jack Reilly</v>
      </c>
      <c r="J1108" t="str">
        <f>VLOOKUP(I1108,'Manager Coding'!C:D,2,0)</f>
        <v>KnardDawg</v>
      </c>
      <c r="K1108" s="41">
        <f t="shared" si="8"/>
        <v>86.68</v>
      </c>
      <c r="L1108">
        <f t="shared" si="9"/>
        <v>1</v>
      </c>
      <c r="M1108">
        <f t="shared" si="10"/>
        <v>0</v>
      </c>
      <c r="N1108" s="134" t="s">
        <v>2718</v>
      </c>
      <c r="O1108" s="135" t="s">
        <v>105</v>
      </c>
      <c r="P1108" s="210">
        <v>109.02</v>
      </c>
      <c r="Q1108" s="210">
        <v>86.68</v>
      </c>
      <c r="R1108" s="115" t="s">
        <v>87</v>
      </c>
      <c r="S1108" s="134" t="s">
        <v>2715</v>
      </c>
    </row>
    <row r="1109" hidden="1">
      <c r="A1109" s="32" t="str">
        <f t="shared" si="1"/>
        <v>#N/A</v>
      </c>
      <c r="B1109" s="32" t="str">
        <f t="shared" si="2"/>
        <v>#N/A</v>
      </c>
      <c r="C1109" s="32" t="str">
        <f t="shared" si="3"/>
        <v>Week 3</v>
      </c>
      <c r="D1109" s="32">
        <v>2025.0</v>
      </c>
      <c r="E1109" t="str">
        <f t="shared" si="15"/>
        <v>3</v>
      </c>
      <c r="F1109" t="str">
        <f t="shared" si="5"/>
        <v/>
      </c>
      <c r="G1109" s="40" t="str">
        <f>VLOOKUP(F1109,'Manager Coding'!C:D,2,0)</f>
        <v>#N/A</v>
      </c>
      <c r="H1109" s="41" t="str">
        <f t="shared" si="6"/>
        <v/>
      </c>
      <c r="I1109" t="str">
        <f t="shared" si="7"/>
        <v/>
      </c>
      <c r="J1109" t="str">
        <f>VLOOKUP(I1109,'Manager Coding'!C:D,2,0)</f>
        <v>#N/A</v>
      </c>
      <c r="K1109" s="41" t="str">
        <f t="shared" si="8"/>
        <v/>
      </c>
      <c r="L1109">
        <f t="shared" si="9"/>
        <v>0</v>
      </c>
      <c r="M1109">
        <f t="shared" si="10"/>
        <v>0</v>
      </c>
      <c r="N1109" s="91" t="s">
        <v>260</v>
      </c>
      <c r="O1109" s="101"/>
      <c r="P1109" s="211"/>
      <c r="Q1109" s="212"/>
      <c r="R1109" s="102"/>
      <c r="S1109" s="100"/>
    </row>
    <row r="1110" hidden="1">
      <c r="A1110" s="32" t="str">
        <f t="shared" si="1"/>
        <v>#N/A</v>
      </c>
      <c r="B1110" s="32" t="str">
        <f t="shared" si="2"/>
        <v>#N/A</v>
      </c>
      <c r="C1110" s="32" t="str">
        <f t="shared" si="3"/>
        <v>Week 4</v>
      </c>
      <c r="D1110" s="32">
        <v>2025.0</v>
      </c>
      <c r="E1110" t="str">
        <f t="shared" si="15"/>
        <v>4</v>
      </c>
      <c r="F1110" t="str">
        <f t="shared" si="5"/>
        <v>TEAM MANAGER(S)</v>
      </c>
      <c r="G1110" s="40" t="str">
        <f>VLOOKUP(F1110,'Manager Coding'!C:D,2,0)</f>
        <v>#N/A</v>
      </c>
      <c r="H1110" s="41" t="str">
        <f t="shared" si="6"/>
        <v>Score</v>
      </c>
      <c r="I1110" t="str">
        <f t="shared" si="7"/>
        <v>TEAM MANAGER(S)</v>
      </c>
      <c r="J1110" t="str">
        <f>VLOOKUP(I1110,'Manager Coding'!C:D,2,0)</f>
        <v>#N/A</v>
      </c>
      <c r="K1110" s="41" t="str">
        <f t="shared" si="8"/>
        <v>Score</v>
      </c>
      <c r="L1110">
        <f t="shared" si="9"/>
        <v>0</v>
      </c>
      <c r="M1110">
        <f t="shared" si="10"/>
        <v>0</v>
      </c>
      <c r="N1110" s="78" t="s">
        <v>197</v>
      </c>
      <c r="O1110" s="78" t="s">
        <v>88</v>
      </c>
      <c r="P1110" s="208" t="s">
        <v>59</v>
      </c>
      <c r="Q1110" s="208" t="s">
        <v>59</v>
      </c>
      <c r="R1110" s="79" t="s">
        <v>88</v>
      </c>
      <c r="S1110" s="79" t="s">
        <v>101</v>
      </c>
    </row>
    <row r="1111" hidden="1">
      <c r="A1111" s="32" t="str">
        <f t="shared" si="1"/>
        <v>2025PiersonWeek 4</v>
      </c>
      <c r="B1111" s="32" t="str">
        <f t="shared" si="2"/>
        <v>2025ShepWeek 4</v>
      </c>
      <c r="C1111" s="32" t="str">
        <f t="shared" si="3"/>
        <v>Week 4</v>
      </c>
      <c r="D1111" s="32">
        <v>2025.0</v>
      </c>
      <c r="E1111" t="str">
        <f t="shared" si="15"/>
        <v>4</v>
      </c>
      <c r="F1111" t="str">
        <f t="shared" si="5"/>
        <v>Pierson Curtis</v>
      </c>
      <c r="G1111" s="40" t="str">
        <f>VLOOKUP(F1111,'Manager Coding'!C:D,2,0)</f>
        <v>Pierson</v>
      </c>
      <c r="H1111" s="41">
        <f t="shared" si="6"/>
        <v>111.6</v>
      </c>
      <c r="I1111" t="str">
        <f t="shared" si="7"/>
        <v>Jordan Shepherd</v>
      </c>
      <c r="J1111" t="str">
        <f>VLOOKUP(I1111,'Manager Coding'!C:D,2,0)</f>
        <v>Shep</v>
      </c>
      <c r="K1111" s="41">
        <f t="shared" si="8"/>
        <v>135.36</v>
      </c>
      <c r="L1111">
        <f t="shared" si="9"/>
        <v>0</v>
      </c>
      <c r="M1111">
        <f t="shared" si="10"/>
        <v>1</v>
      </c>
      <c r="N1111" s="153" t="s">
        <v>2710</v>
      </c>
      <c r="O1111" s="81" t="s">
        <v>93</v>
      </c>
      <c r="P1111" s="210">
        <v>111.6</v>
      </c>
      <c r="Q1111" s="210">
        <v>135.36</v>
      </c>
      <c r="R1111" s="154" t="s">
        <v>91</v>
      </c>
      <c r="S1111" s="153" t="s">
        <v>2704</v>
      </c>
    </row>
    <row r="1112" hidden="1">
      <c r="A1112" s="32" t="str">
        <f t="shared" si="1"/>
        <v>2025HudspeathWeek 4</v>
      </c>
      <c r="B1112" s="32" t="str">
        <f t="shared" si="2"/>
        <v>2025SaltyWeek 4</v>
      </c>
      <c r="C1112" s="32" t="str">
        <f t="shared" si="3"/>
        <v>Week 4</v>
      </c>
      <c r="D1112" s="32">
        <v>2025.0</v>
      </c>
      <c r="E1112" t="str">
        <f t="shared" si="15"/>
        <v>4</v>
      </c>
      <c r="F1112" t="str">
        <f t="shared" si="5"/>
        <v>matt hudspeath</v>
      </c>
      <c r="G1112" s="40" t="str">
        <f>VLOOKUP(F1112,'Manager Coding'!C:D,2,0)</f>
        <v>Hudspeath</v>
      </c>
      <c r="H1112" s="41">
        <f t="shared" si="6"/>
        <v>112.48</v>
      </c>
      <c r="I1112" t="str">
        <f t="shared" si="7"/>
        <v>R Saltiel</v>
      </c>
      <c r="J1112" t="str">
        <f>VLOOKUP(I1112,'Manager Coding'!C:D,2,0)</f>
        <v>Salty</v>
      </c>
      <c r="K1112" s="41">
        <f t="shared" si="8"/>
        <v>81.28</v>
      </c>
      <c r="L1112">
        <f t="shared" si="9"/>
        <v>1</v>
      </c>
      <c r="M1112">
        <f t="shared" si="10"/>
        <v>0</v>
      </c>
      <c r="N1112" s="134" t="s">
        <v>2707</v>
      </c>
      <c r="O1112" s="135" t="s">
        <v>64</v>
      </c>
      <c r="P1112" s="210">
        <v>112.48</v>
      </c>
      <c r="Q1112" s="210">
        <v>81.28</v>
      </c>
      <c r="R1112" s="115" t="s">
        <v>77</v>
      </c>
      <c r="S1112" s="134" t="s">
        <v>2714</v>
      </c>
    </row>
    <row r="1113" hidden="1">
      <c r="A1113" s="32" t="str">
        <f t="shared" si="1"/>
        <v>2025CockWeek 4</v>
      </c>
      <c r="B1113" s="32" t="str">
        <f t="shared" si="2"/>
        <v>2025BuserWeek 4</v>
      </c>
      <c r="C1113" s="32" t="str">
        <f t="shared" si="3"/>
        <v>Week 4</v>
      </c>
      <c r="D1113" s="32">
        <v>2025.0</v>
      </c>
      <c r="E1113" t="str">
        <f t="shared" si="15"/>
        <v>4</v>
      </c>
      <c r="F1113" t="str">
        <f t="shared" si="5"/>
        <v>Chris Cochrane</v>
      </c>
      <c r="G1113" s="40" t="str">
        <f>VLOOKUP(F1113,'Manager Coding'!C:D,2,0)</f>
        <v>Cock</v>
      </c>
      <c r="H1113" s="41">
        <f t="shared" si="6"/>
        <v>124.7</v>
      </c>
      <c r="I1113" t="str">
        <f t="shared" si="7"/>
        <v>Ed Buser</v>
      </c>
      <c r="J1113" t="str">
        <f>VLOOKUP(I1113,'Manager Coding'!C:D,2,0)</f>
        <v>Buser</v>
      </c>
      <c r="K1113" s="41">
        <f t="shared" si="8"/>
        <v>111.2</v>
      </c>
      <c r="L1113">
        <f t="shared" si="9"/>
        <v>1</v>
      </c>
      <c r="M1113">
        <f t="shared" si="10"/>
        <v>0</v>
      </c>
      <c r="N1113" s="153" t="s">
        <v>2703</v>
      </c>
      <c r="O1113" s="81" t="s">
        <v>99</v>
      </c>
      <c r="P1113" s="210">
        <v>124.7</v>
      </c>
      <c r="Q1113" s="210">
        <v>111.2</v>
      </c>
      <c r="R1113" s="154" t="s">
        <v>50</v>
      </c>
      <c r="S1113" s="153" t="s">
        <v>2716</v>
      </c>
    </row>
    <row r="1114" hidden="1">
      <c r="A1114" s="32" t="str">
        <f t="shared" si="1"/>
        <v>2025TayskiWeek 4</v>
      </c>
      <c r="B1114" s="32" t="str">
        <f t="shared" si="2"/>
        <v>2025T-HowWeek 4</v>
      </c>
      <c r="C1114" s="32" t="str">
        <f t="shared" si="3"/>
        <v>Week 4</v>
      </c>
      <c r="D1114" s="32">
        <v>2025.0</v>
      </c>
      <c r="E1114" t="str">
        <f t="shared" si="15"/>
        <v>4</v>
      </c>
      <c r="F1114" t="str">
        <f t="shared" si="5"/>
        <v>Taylor Weis</v>
      </c>
      <c r="G1114" s="40" t="str">
        <f>VLOOKUP(F1114,'Manager Coding'!C:D,2,0)</f>
        <v>Tayski</v>
      </c>
      <c r="H1114" s="41">
        <f t="shared" si="6"/>
        <v>97.26</v>
      </c>
      <c r="I1114" t="str">
        <f t="shared" si="7"/>
        <v>Tyler Howard</v>
      </c>
      <c r="J1114" t="str">
        <f>VLOOKUP(I1114,'Manager Coding'!C:D,2,0)</f>
        <v>T-How</v>
      </c>
      <c r="K1114" s="41">
        <f t="shared" si="8"/>
        <v>120.94</v>
      </c>
      <c r="L1114">
        <f t="shared" si="9"/>
        <v>0</v>
      </c>
      <c r="M1114">
        <f t="shared" si="10"/>
        <v>1</v>
      </c>
      <c r="N1114" s="134" t="s">
        <v>2706</v>
      </c>
      <c r="O1114" s="135" t="s">
        <v>54</v>
      </c>
      <c r="P1114" s="210">
        <v>97.26</v>
      </c>
      <c r="Q1114" s="210">
        <v>120.94</v>
      </c>
      <c r="R1114" s="115" t="s">
        <v>85</v>
      </c>
      <c r="S1114" s="134" t="s">
        <v>2719</v>
      </c>
    </row>
    <row r="1115" hidden="1">
      <c r="A1115" s="32" t="str">
        <f t="shared" si="1"/>
        <v>2025Rooney/JacksonWeek 4</v>
      </c>
      <c r="B1115" s="32" t="str">
        <f t="shared" si="2"/>
        <v>2025EwertWeek 4</v>
      </c>
      <c r="C1115" s="32" t="str">
        <f t="shared" si="3"/>
        <v>Week 4</v>
      </c>
      <c r="D1115" s="32">
        <v>2025.0</v>
      </c>
      <c r="E1115" t="str">
        <f t="shared" si="15"/>
        <v>4</v>
      </c>
      <c r="F1115" t="str">
        <f t="shared" si="5"/>
        <v>Stephen Rooney, Jackson Sattell</v>
      </c>
      <c r="G1115" s="40" t="str">
        <f>VLOOKUP(F1115,'Manager Coding'!C:D,2,0)</f>
        <v>Rooney/Jackson</v>
      </c>
      <c r="H1115" s="41">
        <f t="shared" si="6"/>
        <v>113.12</v>
      </c>
      <c r="I1115" t="str">
        <f t="shared" si="7"/>
        <v>Kyle Ewert, brad starck</v>
      </c>
      <c r="J1115" t="str">
        <f>VLOOKUP(I1115,'Manager Coding'!C:D,2,0)</f>
        <v>Ewert</v>
      </c>
      <c r="K1115" s="41">
        <f t="shared" si="8"/>
        <v>150.18</v>
      </c>
      <c r="L1115">
        <f t="shared" si="9"/>
        <v>0</v>
      </c>
      <c r="M1115">
        <f t="shared" si="10"/>
        <v>1</v>
      </c>
      <c r="N1115" s="153" t="s">
        <v>2709</v>
      </c>
      <c r="O1115" s="81" t="s">
        <v>58</v>
      </c>
      <c r="P1115" s="210">
        <v>113.12</v>
      </c>
      <c r="Q1115" s="210">
        <v>150.18</v>
      </c>
      <c r="R1115" s="154" t="s">
        <v>105</v>
      </c>
      <c r="S1115" s="153" t="s">
        <v>2718</v>
      </c>
    </row>
    <row r="1116" hidden="1">
      <c r="A1116" s="32" t="str">
        <f t="shared" si="1"/>
        <v>2025RileyWeek 4</v>
      </c>
      <c r="B1116" s="32" t="str">
        <f t="shared" si="2"/>
        <v>2025KnardDawgWeek 4</v>
      </c>
      <c r="C1116" s="32" t="str">
        <f t="shared" si="3"/>
        <v>Week 4</v>
      </c>
      <c r="D1116" s="32">
        <v>2025.0</v>
      </c>
      <c r="E1116" t="str">
        <f t="shared" si="15"/>
        <v>4</v>
      </c>
      <c r="F1116" t="str">
        <f t="shared" si="5"/>
        <v>Riley McElwain</v>
      </c>
      <c r="G1116" s="40" t="str">
        <f>VLOOKUP(F1116,'Manager Coding'!C:D,2,0)</f>
        <v>Riley</v>
      </c>
      <c r="H1116" s="41">
        <f t="shared" si="6"/>
        <v>85.52</v>
      </c>
      <c r="I1116" t="str">
        <f t="shared" si="7"/>
        <v>Alex Kinniard, Jack Reilly</v>
      </c>
      <c r="J1116" t="str">
        <f>VLOOKUP(I1116,'Manager Coding'!C:D,2,0)</f>
        <v>KnardDawg</v>
      </c>
      <c r="K1116" s="41">
        <f t="shared" si="8"/>
        <v>133.54</v>
      </c>
      <c r="L1116">
        <f t="shared" si="9"/>
        <v>0</v>
      </c>
      <c r="M1116">
        <f t="shared" si="10"/>
        <v>1</v>
      </c>
      <c r="N1116" s="134" t="s">
        <v>2712</v>
      </c>
      <c r="O1116" s="135" t="s">
        <v>68</v>
      </c>
      <c r="P1116" s="210">
        <v>85.52</v>
      </c>
      <c r="Q1116" s="210">
        <v>133.54</v>
      </c>
      <c r="R1116" s="115" t="s">
        <v>87</v>
      </c>
      <c r="S1116" s="134" t="s">
        <v>2715</v>
      </c>
    </row>
    <row r="1117" hidden="1">
      <c r="A1117" s="32" t="str">
        <f t="shared" si="1"/>
        <v>#N/A</v>
      </c>
      <c r="B1117" s="32" t="str">
        <f t="shared" si="2"/>
        <v>#N/A</v>
      </c>
      <c r="C1117" s="32" t="str">
        <f t="shared" si="3"/>
        <v>Week 4</v>
      </c>
      <c r="D1117" s="32">
        <v>2025.0</v>
      </c>
      <c r="E1117" t="str">
        <f t="shared" si="15"/>
        <v>4</v>
      </c>
      <c r="F1117" t="str">
        <f t="shared" si="5"/>
        <v/>
      </c>
      <c r="G1117" s="40" t="str">
        <f>VLOOKUP(F1117,'Manager Coding'!C:D,2,0)</f>
        <v>#N/A</v>
      </c>
      <c r="H1117" s="41" t="str">
        <f t="shared" si="6"/>
        <v/>
      </c>
      <c r="I1117" t="str">
        <f t="shared" si="7"/>
        <v/>
      </c>
      <c r="J1117" t="str">
        <f>VLOOKUP(I1117,'Manager Coding'!C:D,2,0)</f>
        <v>#N/A</v>
      </c>
      <c r="K1117" s="41" t="str">
        <f t="shared" si="8"/>
        <v/>
      </c>
      <c r="L1117">
        <f t="shared" si="9"/>
        <v>0</v>
      </c>
      <c r="M1117">
        <f t="shared" si="10"/>
        <v>0</v>
      </c>
      <c r="N1117" s="91" t="s">
        <v>291</v>
      </c>
      <c r="O1117" s="101"/>
      <c r="P1117" s="212"/>
      <c r="Q1117" s="211"/>
      <c r="R1117" s="102"/>
      <c r="S1117" s="100"/>
    </row>
    <row r="1118" hidden="1">
      <c r="A1118" s="32" t="str">
        <f t="shared" si="1"/>
        <v>#N/A</v>
      </c>
      <c r="B1118" s="32" t="str">
        <f t="shared" si="2"/>
        <v>#N/A</v>
      </c>
      <c r="C1118" s="32" t="str">
        <f t="shared" si="3"/>
        <v>Week 5</v>
      </c>
      <c r="D1118" s="32">
        <v>2025.0</v>
      </c>
      <c r="E1118" t="str">
        <f t="shared" si="15"/>
        <v>5</v>
      </c>
      <c r="F1118" t="str">
        <f t="shared" si="5"/>
        <v>TEAM MANAGER(S)</v>
      </c>
      <c r="G1118" s="40" t="str">
        <f>VLOOKUP(F1118,'Manager Coding'!C:D,2,0)</f>
        <v>#N/A</v>
      </c>
      <c r="H1118" s="41" t="str">
        <f t="shared" si="6"/>
        <v>Score</v>
      </c>
      <c r="I1118" t="str">
        <f t="shared" si="7"/>
        <v>TEAM MANAGER(S)</v>
      </c>
      <c r="J1118" t="str">
        <f>VLOOKUP(I1118,'Manager Coding'!C:D,2,0)</f>
        <v>#N/A</v>
      </c>
      <c r="K1118" s="41" t="str">
        <f t="shared" si="8"/>
        <v>Score</v>
      </c>
      <c r="L1118">
        <f t="shared" si="9"/>
        <v>0</v>
      </c>
      <c r="M1118">
        <f t="shared" si="10"/>
        <v>0</v>
      </c>
      <c r="N1118" s="78" t="s">
        <v>197</v>
      </c>
      <c r="O1118" s="78" t="s">
        <v>88</v>
      </c>
      <c r="P1118" s="208" t="s">
        <v>59</v>
      </c>
      <c r="Q1118" s="208" t="s">
        <v>59</v>
      </c>
      <c r="R1118" s="79" t="s">
        <v>88</v>
      </c>
      <c r="S1118" s="79" t="s">
        <v>101</v>
      </c>
    </row>
    <row r="1119" hidden="1">
      <c r="A1119" s="32" t="str">
        <f t="shared" si="1"/>
        <v>2025ShepWeek 5</v>
      </c>
      <c r="B1119" s="32" t="str">
        <f t="shared" si="2"/>
        <v>2025SaltyWeek 5</v>
      </c>
      <c r="C1119" s="32" t="str">
        <f t="shared" si="3"/>
        <v>Week 5</v>
      </c>
      <c r="D1119" s="32">
        <v>2025.0</v>
      </c>
      <c r="E1119" t="str">
        <f t="shared" si="15"/>
        <v>5</v>
      </c>
      <c r="F1119" t="str">
        <f t="shared" si="5"/>
        <v>Jordan Shepherd</v>
      </c>
      <c r="G1119" s="40" t="str">
        <f>VLOOKUP(F1119,'Manager Coding'!C:D,2,0)</f>
        <v>Shep</v>
      </c>
      <c r="H1119" s="41">
        <f t="shared" si="6"/>
        <v>137.46</v>
      </c>
      <c r="I1119" t="str">
        <f t="shared" si="7"/>
        <v>R Saltiel</v>
      </c>
      <c r="J1119" t="str">
        <f>VLOOKUP(I1119,'Manager Coding'!C:D,2,0)</f>
        <v>Salty</v>
      </c>
      <c r="K1119" s="41">
        <f t="shared" si="8"/>
        <v>111.98</v>
      </c>
      <c r="L1119">
        <f t="shared" si="9"/>
        <v>1</v>
      </c>
      <c r="M1119">
        <f t="shared" si="10"/>
        <v>0</v>
      </c>
      <c r="N1119" s="153" t="s">
        <v>2704</v>
      </c>
      <c r="O1119" s="81" t="s">
        <v>91</v>
      </c>
      <c r="P1119" s="210">
        <v>137.46</v>
      </c>
      <c r="Q1119" s="210">
        <v>111.98</v>
      </c>
      <c r="R1119" s="154" t="s">
        <v>77</v>
      </c>
      <c r="S1119" s="153" t="s">
        <v>2714</v>
      </c>
    </row>
    <row r="1120" hidden="1">
      <c r="A1120" s="32" t="str">
        <f t="shared" si="1"/>
        <v>2025BuserWeek 5</v>
      </c>
      <c r="B1120" s="32" t="str">
        <f t="shared" si="2"/>
        <v>2025PiersonWeek 5</v>
      </c>
      <c r="C1120" s="32" t="str">
        <f t="shared" si="3"/>
        <v>Week 5</v>
      </c>
      <c r="D1120" s="32">
        <v>2025.0</v>
      </c>
      <c r="E1120" t="str">
        <f t="shared" si="15"/>
        <v>5</v>
      </c>
      <c r="F1120" t="str">
        <f t="shared" si="5"/>
        <v>Ed Buser</v>
      </c>
      <c r="G1120" s="40" t="str">
        <f>VLOOKUP(F1120,'Manager Coding'!C:D,2,0)</f>
        <v>Buser</v>
      </c>
      <c r="H1120" s="41">
        <f t="shared" si="6"/>
        <v>107.7</v>
      </c>
      <c r="I1120" t="str">
        <f t="shared" si="7"/>
        <v>Pierson Curtis</v>
      </c>
      <c r="J1120" t="str">
        <f>VLOOKUP(I1120,'Manager Coding'!C:D,2,0)</f>
        <v>Pierson</v>
      </c>
      <c r="K1120" s="41">
        <f t="shared" si="8"/>
        <v>80.8</v>
      </c>
      <c r="L1120">
        <f t="shared" si="9"/>
        <v>1</v>
      </c>
      <c r="M1120">
        <f t="shared" si="10"/>
        <v>0</v>
      </c>
      <c r="N1120" s="134" t="s">
        <v>2716</v>
      </c>
      <c r="O1120" s="135" t="s">
        <v>50</v>
      </c>
      <c r="P1120" s="210">
        <v>107.7</v>
      </c>
      <c r="Q1120" s="210">
        <v>80.8</v>
      </c>
      <c r="R1120" s="115" t="s">
        <v>93</v>
      </c>
      <c r="S1120" s="134" t="s">
        <v>2710</v>
      </c>
    </row>
    <row r="1121" hidden="1">
      <c r="A1121" s="32" t="str">
        <f t="shared" si="1"/>
        <v>2025T-HowWeek 5</v>
      </c>
      <c r="B1121" s="32" t="str">
        <f t="shared" si="2"/>
        <v>2025HudspeathWeek 5</v>
      </c>
      <c r="C1121" s="32" t="str">
        <f t="shared" si="3"/>
        <v>Week 5</v>
      </c>
      <c r="D1121" s="32">
        <v>2025.0</v>
      </c>
      <c r="E1121" t="str">
        <f t="shared" si="15"/>
        <v>5</v>
      </c>
      <c r="F1121" t="str">
        <f t="shared" si="5"/>
        <v>Tyler Howard</v>
      </c>
      <c r="G1121" s="40" t="str">
        <f>VLOOKUP(F1121,'Manager Coding'!C:D,2,0)</f>
        <v>T-How</v>
      </c>
      <c r="H1121" s="41">
        <f t="shared" si="6"/>
        <v>107.04</v>
      </c>
      <c r="I1121" t="str">
        <f t="shared" si="7"/>
        <v>matt hudspeath</v>
      </c>
      <c r="J1121" t="str">
        <f>VLOOKUP(I1121,'Manager Coding'!C:D,2,0)</f>
        <v>Hudspeath</v>
      </c>
      <c r="K1121" s="41">
        <f t="shared" si="8"/>
        <v>125.88</v>
      </c>
      <c r="L1121">
        <f t="shared" si="9"/>
        <v>0</v>
      </c>
      <c r="M1121">
        <f t="shared" si="10"/>
        <v>1</v>
      </c>
      <c r="N1121" s="153" t="s">
        <v>2719</v>
      </c>
      <c r="O1121" s="81" t="s">
        <v>85</v>
      </c>
      <c r="P1121" s="210">
        <v>107.04</v>
      </c>
      <c r="Q1121" s="210">
        <v>125.88</v>
      </c>
      <c r="R1121" s="154" t="s">
        <v>64</v>
      </c>
      <c r="S1121" s="153" t="s">
        <v>2707</v>
      </c>
    </row>
    <row r="1122" hidden="1">
      <c r="A1122" s="32" t="str">
        <f t="shared" si="1"/>
        <v>2025EwertWeek 5</v>
      </c>
      <c r="B1122" s="32" t="str">
        <f t="shared" si="2"/>
        <v>2025CockWeek 5</v>
      </c>
      <c r="C1122" s="32" t="str">
        <f t="shared" si="3"/>
        <v>Week 5</v>
      </c>
      <c r="D1122" s="32">
        <v>2025.0</v>
      </c>
      <c r="E1122" t="str">
        <f t="shared" si="15"/>
        <v>5</v>
      </c>
      <c r="F1122" t="str">
        <f t="shared" si="5"/>
        <v>Kyle Ewert, brad starck</v>
      </c>
      <c r="G1122" s="40" t="str">
        <f>VLOOKUP(F1122,'Manager Coding'!C:D,2,0)</f>
        <v>Ewert</v>
      </c>
      <c r="H1122" s="41">
        <f t="shared" si="6"/>
        <v>99.28</v>
      </c>
      <c r="I1122" t="str">
        <f t="shared" si="7"/>
        <v>Chris Cochrane</v>
      </c>
      <c r="J1122" t="str">
        <f>VLOOKUP(I1122,'Manager Coding'!C:D,2,0)</f>
        <v>Cock</v>
      </c>
      <c r="K1122" s="41">
        <f t="shared" si="8"/>
        <v>120.72</v>
      </c>
      <c r="L1122">
        <f t="shared" si="9"/>
        <v>0</v>
      </c>
      <c r="M1122">
        <f t="shared" si="10"/>
        <v>1</v>
      </c>
      <c r="N1122" s="134" t="s">
        <v>2718</v>
      </c>
      <c r="O1122" s="135" t="s">
        <v>105</v>
      </c>
      <c r="P1122" s="210">
        <v>99.28</v>
      </c>
      <c r="Q1122" s="210">
        <v>120.72</v>
      </c>
      <c r="R1122" s="115" t="s">
        <v>99</v>
      </c>
      <c r="S1122" s="134" t="s">
        <v>2703</v>
      </c>
    </row>
    <row r="1123" hidden="1">
      <c r="A1123" s="32" t="str">
        <f t="shared" si="1"/>
        <v>2025KnardDawgWeek 5</v>
      </c>
      <c r="B1123" s="32" t="str">
        <f t="shared" si="2"/>
        <v>2025TayskiWeek 5</v>
      </c>
      <c r="C1123" s="32" t="str">
        <f t="shared" si="3"/>
        <v>Week 5</v>
      </c>
      <c r="D1123" s="32">
        <v>2025.0</v>
      </c>
      <c r="E1123" t="str">
        <f t="shared" si="15"/>
        <v>5</v>
      </c>
      <c r="F1123" t="str">
        <f t="shared" si="5"/>
        <v>Alex Kinniard, Jack Reilly</v>
      </c>
      <c r="G1123" s="40" t="str">
        <f>VLOOKUP(F1123,'Manager Coding'!C:D,2,0)</f>
        <v>KnardDawg</v>
      </c>
      <c r="H1123" s="41">
        <f t="shared" si="6"/>
        <v>134.12</v>
      </c>
      <c r="I1123" t="str">
        <f t="shared" si="7"/>
        <v>Taylor Weis</v>
      </c>
      <c r="J1123" t="str">
        <f>VLOOKUP(I1123,'Manager Coding'!C:D,2,0)</f>
        <v>Tayski</v>
      </c>
      <c r="K1123" s="41">
        <f t="shared" si="8"/>
        <v>81.52</v>
      </c>
      <c r="L1123">
        <f t="shared" si="9"/>
        <v>1</v>
      </c>
      <c r="M1123">
        <f t="shared" si="10"/>
        <v>0</v>
      </c>
      <c r="N1123" s="153" t="s">
        <v>2715</v>
      </c>
      <c r="O1123" s="81" t="s">
        <v>87</v>
      </c>
      <c r="P1123" s="210">
        <v>134.12</v>
      </c>
      <c r="Q1123" s="210">
        <v>81.52</v>
      </c>
      <c r="R1123" s="154" t="s">
        <v>54</v>
      </c>
      <c r="S1123" s="153" t="s">
        <v>2706</v>
      </c>
    </row>
    <row r="1124" hidden="1">
      <c r="A1124" s="32" t="str">
        <f t="shared" si="1"/>
        <v>2025RileyWeek 5</v>
      </c>
      <c r="B1124" s="32" t="str">
        <f t="shared" si="2"/>
        <v>2025Rooney/JacksonWeek 5</v>
      </c>
      <c r="C1124" s="32" t="str">
        <f t="shared" si="3"/>
        <v>Week 5</v>
      </c>
      <c r="D1124" s="32">
        <v>2025.0</v>
      </c>
      <c r="E1124" t="str">
        <f t="shared" si="15"/>
        <v>5</v>
      </c>
      <c r="F1124" t="str">
        <f t="shared" si="5"/>
        <v>Riley McElwain</v>
      </c>
      <c r="G1124" s="40" t="str">
        <f>VLOOKUP(F1124,'Manager Coding'!C:D,2,0)</f>
        <v>Riley</v>
      </c>
      <c r="H1124" s="41">
        <f t="shared" si="6"/>
        <v>110.34</v>
      </c>
      <c r="I1124" t="str">
        <f t="shared" si="7"/>
        <v>Stephen Rooney, Jackson Sattell</v>
      </c>
      <c r="J1124" t="str">
        <f>VLOOKUP(I1124,'Manager Coding'!C:D,2,0)</f>
        <v>Rooney/Jackson</v>
      </c>
      <c r="K1124" s="41">
        <f t="shared" si="8"/>
        <v>98.24</v>
      </c>
      <c r="L1124">
        <f t="shared" si="9"/>
        <v>1</v>
      </c>
      <c r="M1124">
        <f t="shared" si="10"/>
        <v>0</v>
      </c>
      <c r="N1124" s="134" t="s">
        <v>2712</v>
      </c>
      <c r="O1124" s="135" t="s">
        <v>68</v>
      </c>
      <c r="P1124" s="210">
        <v>110.34</v>
      </c>
      <c r="Q1124" s="210">
        <v>98.24</v>
      </c>
      <c r="R1124" s="115" t="s">
        <v>58</v>
      </c>
      <c r="S1124" s="134" t="s">
        <v>2709</v>
      </c>
    </row>
    <row r="1125" hidden="1">
      <c r="A1125" s="32" t="str">
        <f t="shared" si="1"/>
        <v>#N/A</v>
      </c>
      <c r="B1125" s="32" t="str">
        <f t="shared" si="2"/>
        <v>#N/A</v>
      </c>
      <c r="C1125" s="32" t="str">
        <f t="shared" si="3"/>
        <v>Week 5</v>
      </c>
      <c r="D1125" s="32">
        <v>2025.0</v>
      </c>
      <c r="E1125" t="str">
        <f t="shared" si="15"/>
        <v>5</v>
      </c>
      <c r="F1125" t="str">
        <f t="shared" si="5"/>
        <v/>
      </c>
      <c r="G1125" s="40" t="str">
        <f>VLOOKUP(F1125,'Manager Coding'!C:D,2,0)</f>
        <v>#N/A</v>
      </c>
      <c r="H1125" s="41" t="str">
        <f t="shared" si="6"/>
        <v/>
      </c>
      <c r="I1125" t="str">
        <f t="shared" si="7"/>
        <v/>
      </c>
      <c r="J1125" t="str">
        <f>VLOOKUP(I1125,'Manager Coding'!C:D,2,0)</f>
        <v>#N/A</v>
      </c>
      <c r="K1125" s="41" t="str">
        <f t="shared" si="8"/>
        <v/>
      </c>
      <c r="L1125">
        <f t="shared" si="9"/>
        <v>0</v>
      </c>
      <c r="M1125">
        <f t="shared" si="10"/>
        <v>0</v>
      </c>
      <c r="N1125" s="91" t="s">
        <v>321</v>
      </c>
      <c r="O1125" s="101"/>
      <c r="P1125" s="212"/>
      <c r="Q1125" s="211"/>
      <c r="R1125" s="102"/>
      <c r="S1125" s="100"/>
    </row>
    <row r="1126" hidden="1">
      <c r="A1126" s="32" t="str">
        <f t="shared" si="1"/>
        <v>#N/A</v>
      </c>
      <c r="B1126" s="32" t="str">
        <f t="shared" si="2"/>
        <v>#N/A</v>
      </c>
      <c r="C1126" s="32" t="str">
        <f t="shared" si="3"/>
        <v>Week 6</v>
      </c>
      <c r="D1126" s="32">
        <v>2025.0</v>
      </c>
      <c r="E1126" t="str">
        <f t="shared" si="15"/>
        <v>6</v>
      </c>
      <c r="F1126" t="str">
        <f t="shared" si="5"/>
        <v>TEAM MANAGER(S)</v>
      </c>
      <c r="G1126" s="40" t="str">
        <f>VLOOKUP(F1126,'Manager Coding'!C:D,2,0)</f>
        <v>#N/A</v>
      </c>
      <c r="H1126" s="41" t="str">
        <f t="shared" si="6"/>
        <v>Score</v>
      </c>
      <c r="I1126" t="str">
        <f t="shared" si="7"/>
        <v>TEAM MANAGER(S)</v>
      </c>
      <c r="J1126" t="str">
        <f>VLOOKUP(I1126,'Manager Coding'!C:D,2,0)</f>
        <v>#N/A</v>
      </c>
      <c r="K1126" s="41" t="str">
        <f t="shared" si="8"/>
        <v>Score</v>
      </c>
      <c r="L1126">
        <f t="shared" si="9"/>
        <v>0</v>
      </c>
      <c r="M1126">
        <f t="shared" si="10"/>
        <v>0</v>
      </c>
      <c r="N1126" s="78" t="s">
        <v>197</v>
      </c>
      <c r="O1126" s="78" t="s">
        <v>88</v>
      </c>
      <c r="P1126" s="208" t="s">
        <v>59</v>
      </c>
      <c r="Q1126" s="208" t="s">
        <v>59</v>
      </c>
      <c r="R1126" s="79" t="s">
        <v>88</v>
      </c>
      <c r="S1126" s="79" t="s">
        <v>101</v>
      </c>
    </row>
    <row r="1127" hidden="1">
      <c r="A1127" s="32" t="str">
        <f t="shared" si="1"/>
        <v>2025BuserWeek 6</v>
      </c>
      <c r="B1127" s="32" t="str">
        <f t="shared" si="2"/>
        <v>2025ShepWeek 6</v>
      </c>
      <c r="C1127" s="32" t="str">
        <f t="shared" si="3"/>
        <v>Week 6</v>
      </c>
      <c r="D1127" s="32">
        <v>2025.0</v>
      </c>
      <c r="E1127" t="str">
        <f t="shared" si="15"/>
        <v>6</v>
      </c>
      <c r="F1127" t="str">
        <f t="shared" si="5"/>
        <v>Ed Buser</v>
      </c>
      <c r="G1127" s="40" t="str">
        <f>VLOOKUP(F1127,'Manager Coding'!C:D,2,0)</f>
        <v>Buser</v>
      </c>
      <c r="H1127" s="41">
        <f t="shared" si="6"/>
        <v>135.54</v>
      </c>
      <c r="I1127" t="str">
        <f t="shared" si="7"/>
        <v>Jordan Shepherd</v>
      </c>
      <c r="J1127" t="str">
        <f>VLOOKUP(I1127,'Manager Coding'!C:D,2,0)</f>
        <v>Shep</v>
      </c>
      <c r="K1127" s="41">
        <f t="shared" si="8"/>
        <v>90.24</v>
      </c>
      <c r="L1127">
        <f t="shared" si="9"/>
        <v>1</v>
      </c>
      <c r="M1127">
        <f t="shared" si="10"/>
        <v>0</v>
      </c>
      <c r="N1127" s="153" t="s">
        <v>2716</v>
      </c>
      <c r="O1127" s="81" t="s">
        <v>50</v>
      </c>
      <c r="P1127" s="210">
        <v>135.54</v>
      </c>
      <c r="Q1127" s="210">
        <v>90.24</v>
      </c>
      <c r="R1127" s="154" t="s">
        <v>91</v>
      </c>
      <c r="S1127" s="153" t="s">
        <v>2704</v>
      </c>
    </row>
    <row r="1128" hidden="1">
      <c r="A1128" s="32" t="str">
        <f t="shared" si="1"/>
        <v>2025SaltyWeek 6</v>
      </c>
      <c r="B1128" s="32" t="str">
        <f t="shared" si="2"/>
        <v>2025T-HowWeek 6</v>
      </c>
      <c r="C1128" s="32" t="str">
        <f t="shared" si="3"/>
        <v>Week 6</v>
      </c>
      <c r="D1128" s="32">
        <v>2025.0</v>
      </c>
      <c r="E1128" t="str">
        <f t="shared" si="15"/>
        <v>6</v>
      </c>
      <c r="F1128" t="str">
        <f t="shared" si="5"/>
        <v>R Saltiel</v>
      </c>
      <c r="G1128" s="40" t="str">
        <f>VLOOKUP(F1128,'Manager Coding'!C:D,2,0)</f>
        <v>Salty</v>
      </c>
      <c r="H1128" s="41">
        <f t="shared" si="6"/>
        <v>108.24</v>
      </c>
      <c r="I1128" t="str">
        <f t="shared" si="7"/>
        <v>Tyler Howard</v>
      </c>
      <c r="J1128" t="str">
        <f>VLOOKUP(I1128,'Manager Coding'!C:D,2,0)</f>
        <v>T-How</v>
      </c>
      <c r="K1128" s="41">
        <f t="shared" si="8"/>
        <v>108</v>
      </c>
      <c r="L1128">
        <f t="shared" si="9"/>
        <v>1</v>
      </c>
      <c r="M1128">
        <f t="shared" si="10"/>
        <v>0</v>
      </c>
      <c r="N1128" s="134" t="s">
        <v>2714</v>
      </c>
      <c r="O1128" s="135" t="s">
        <v>77</v>
      </c>
      <c r="P1128" s="210">
        <v>108.24</v>
      </c>
      <c r="Q1128" s="210">
        <v>108.0</v>
      </c>
      <c r="R1128" s="115" t="s">
        <v>85</v>
      </c>
      <c r="S1128" s="134" t="s">
        <v>2719</v>
      </c>
    </row>
    <row r="1129" hidden="1">
      <c r="A1129" s="32" t="str">
        <f t="shared" si="1"/>
        <v>2025PiersonWeek 6</v>
      </c>
      <c r="B1129" s="32" t="str">
        <f t="shared" si="2"/>
        <v>2025EwertWeek 6</v>
      </c>
      <c r="C1129" s="32" t="str">
        <f t="shared" si="3"/>
        <v>Week 6</v>
      </c>
      <c r="D1129" s="32">
        <v>2025.0</v>
      </c>
      <c r="E1129" t="str">
        <f t="shared" si="15"/>
        <v>6</v>
      </c>
      <c r="F1129" t="str">
        <f t="shared" si="5"/>
        <v>Pierson Curtis</v>
      </c>
      <c r="G1129" s="40" t="str">
        <f>VLOOKUP(F1129,'Manager Coding'!C:D,2,0)</f>
        <v>Pierson</v>
      </c>
      <c r="H1129" s="41">
        <f t="shared" si="6"/>
        <v>134.92</v>
      </c>
      <c r="I1129" t="str">
        <f t="shared" si="7"/>
        <v>Kyle Ewert, brad starck</v>
      </c>
      <c r="J1129" t="str">
        <f>VLOOKUP(I1129,'Manager Coding'!C:D,2,0)</f>
        <v>Ewert</v>
      </c>
      <c r="K1129" s="41">
        <f t="shared" si="8"/>
        <v>109.18</v>
      </c>
      <c r="L1129">
        <f t="shared" si="9"/>
        <v>1</v>
      </c>
      <c r="M1129">
        <f t="shared" si="10"/>
        <v>0</v>
      </c>
      <c r="N1129" s="153" t="s">
        <v>2710</v>
      </c>
      <c r="O1129" s="81" t="s">
        <v>93</v>
      </c>
      <c r="P1129" s="210">
        <v>134.92</v>
      </c>
      <c r="Q1129" s="210">
        <v>109.18</v>
      </c>
      <c r="R1129" s="154" t="s">
        <v>105</v>
      </c>
      <c r="S1129" s="153" t="s">
        <v>2718</v>
      </c>
    </row>
    <row r="1130" hidden="1">
      <c r="A1130" s="32" t="str">
        <f t="shared" si="1"/>
        <v>2025HudspeathWeek 6</v>
      </c>
      <c r="B1130" s="32" t="str">
        <f t="shared" si="2"/>
        <v>2025KnardDawgWeek 6</v>
      </c>
      <c r="C1130" s="32" t="str">
        <f t="shared" si="3"/>
        <v>Week 6</v>
      </c>
      <c r="D1130" s="32">
        <v>2025.0</v>
      </c>
      <c r="E1130" t="str">
        <f t="shared" si="15"/>
        <v>6</v>
      </c>
      <c r="F1130" t="str">
        <f t="shared" si="5"/>
        <v>matt hudspeath</v>
      </c>
      <c r="G1130" s="40" t="str">
        <f>VLOOKUP(F1130,'Manager Coding'!C:D,2,0)</f>
        <v>Hudspeath</v>
      </c>
      <c r="H1130" s="41">
        <f t="shared" si="6"/>
        <v>74.86</v>
      </c>
      <c r="I1130" t="str">
        <f t="shared" si="7"/>
        <v>Alex Kinniard, Jack Reilly</v>
      </c>
      <c r="J1130" t="str">
        <f>VLOOKUP(I1130,'Manager Coding'!C:D,2,0)</f>
        <v>KnardDawg</v>
      </c>
      <c r="K1130" s="41">
        <f t="shared" si="8"/>
        <v>98.1</v>
      </c>
      <c r="L1130">
        <f t="shared" si="9"/>
        <v>0</v>
      </c>
      <c r="M1130">
        <f t="shared" si="10"/>
        <v>1</v>
      </c>
      <c r="N1130" s="134" t="s">
        <v>2707</v>
      </c>
      <c r="O1130" s="135" t="s">
        <v>64</v>
      </c>
      <c r="P1130" s="210">
        <v>74.86</v>
      </c>
      <c r="Q1130" s="210">
        <v>98.1</v>
      </c>
      <c r="R1130" s="115" t="s">
        <v>87</v>
      </c>
      <c r="S1130" s="134" t="s">
        <v>2715</v>
      </c>
    </row>
    <row r="1131" hidden="1">
      <c r="A1131" s="32" t="str">
        <f t="shared" si="1"/>
        <v>2025CockWeek 6</v>
      </c>
      <c r="B1131" s="32" t="str">
        <f t="shared" si="2"/>
        <v>2025RileyWeek 6</v>
      </c>
      <c r="C1131" s="32" t="str">
        <f t="shared" si="3"/>
        <v>Week 6</v>
      </c>
      <c r="D1131" s="32">
        <v>2025.0</v>
      </c>
      <c r="E1131" t="str">
        <f t="shared" si="15"/>
        <v>6</v>
      </c>
      <c r="F1131" t="str">
        <f t="shared" si="5"/>
        <v>Chris Cochrane</v>
      </c>
      <c r="G1131" s="40" t="str">
        <f>VLOOKUP(F1131,'Manager Coding'!C:D,2,0)</f>
        <v>Cock</v>
      </c>
      <c r="H1131" s="41">
        <f t="shared" si="6"/>
        <v>99.38</v>
      </c>
      <c r="I1131" t="str">
        <f t="shared" si="7"/>
        <v>Riley McElwain</v>
      </c>
      <c r="J1131" t="str">
        <f>VLOOKUP(I1131,'Manager Coding'!C:D,2,0)</f>
        <v>Riley</v>
      </c>
      <c r="K1131" s="41">
        <f t="shared" si="8"/>
        <v>74.06</v>
      </c>
      <c r="L1131">
        <f t="shared" si="9"/>
        <v>1</v>
      </c>
      <c r="M1131">
        <f t="shared" si="10"/>
        <v>0</v>
      </c>
      <c r="N1131" s="153" t="s">
        <v>2703</v>
      </c>
      <c r="O1131" s="81" t="s">
        <v>99</v>
      </c>
      <c r="P1131" s="210">
        <v>99.38</v>
      </c>
      <c r="Q1131" s="210">
        <v>74.06</v>
      </c>
      <c r="R1131" s="154" t="s">
        <v>68</v>
      </c>
      <c r="S1131" s="153" t="s">
        <v>2712</v>
      </c>
    </row>
    <row r="1132" hidden="1">
      <c r="A1132" s="32" t="str">
        <f t="shared" si="1"/>
        <v>2025TayskiWeek 6</v>
      </c>
      <c r="B1132" s="32" t="str">
        <f t="shared" si="2"/>
        <v>2025Rooney/JacksonWeek 6</v>
      </c>
      <c r="C1132" s="32" t="str">
        <f t="shared" si="3"/>
        <v>Week 6</v>
      </c>
      <c r="D1132" s="32">
        <v>2025.0</v>
      </c>
      <c r="E1132" t="str">
        <f t="shared" si="15"/>
        <v>6</v>
      </c>
      <c r="F1132" t="str">
        <f t="shared" si="5"/>
        <v>Taylor Weis</v>
      </c>
      <c r="G1132" s="40" t="str">
        <f>VLOOKUP(F1132,'Manager Coding'!C:D,2,0)</f>
        <v>Tayski</v>
      </c>
      <c r="H1132" s="41">
        <f t="shared" si="6"/>
        <v>101.74</v>
      </c>
      <c r="I1132" t="str">
        <f t="shared" si="7"/>
        <v>Stephen Rooney, Jackson Sattell</v>
      </c>
      <c r="J1132" t="str">
        <f>VLOOKUP(I1132,'Manager Coding'!C:D,2,0)</f>
        <v>Rooney/Jackson</v>
      </c>
      <c r="K1132" s="41">
        <f t="shared" si="8"/>
        <v>113.86</v>
      </c>
      <c r="L1132">
        <f t="shared" si="9"/>
        <v>0</v>
      </c>
      <c r="M1132">
        <f t="shared" si="10"/>
        <v>1</v>
      </c>
      <c r="N1132" s="134" t="s">
        <v>2706</v>
      </c>
      <c r="O1132" s="135" t="s">
        <v>54</v>
      </c>
      <c r="P1132" s="210">
        <v>101.74</v>
      </c>
      <c r="Q1132" s="210">
        <v>113.86</v>
      </c>
      <c r="R1132" s="115" t="s">
        <v>58</v>
      </c>
      <c r="S1132" s="134" t="s">
        <v>2709</v>
      </c>
    </row>
    <row r="1133" hidden="1">
      <c r="A1133" s="32" t="str">
        <f t="shared" si="1"/>
        <v>#N/A</v>
      </c>
      <c r="B1133" s="32" t="str">
        <f t="shared" si="2"/>
        <v>#N/A</v>
      </c>
      <c r="C1133" s="32" t="str">
        <f t="shared" si="3"/>
        <v>Week 6</v>
      </c>
      <c r="D1133" s="32">
        <v>2025.0</v>
      </c>
      <c r="E1133" t="str">
        <f t="shared" si="15"/>
        <v>6</v>
      </c>
      <c r="F1133" t="str">
        <f t="shared" si="5"/>
        <v/>
      </c>
      <c r="G1133" s="40" t="str">
        <f>VLOOKUP(F1133,'Manager Coding'!C:D,2,0)</f>
        <v>#N/A</v>
      </c>
      <c r="H1133" s="41" t="str">
        <f t="shared" si="6"/>
        <v/>
      </c>
      <c r="I1133" t="str">
        <f t="shared" si="7"/>
        <v/>
      </c>
      <c r="J1133" t="str">
        <f>VLOOKUP(I1133,'Manager Coding'!C:D,2,0)</f>
        <v>#N/A</v>
      </c>
      <c r="K1133" s="41" t="str">
        <f t="shared" si="8"/>
        <v/>
      </c>
      <c r="L1133">
        <f t="shared" si="9"/>
        <v>0</v>
      </c>
      <c r="M1133">
        <f t="shared" si="10"/>
        <v>0</v>
      </c>
      <c r="N1133" s="91" t="s">
        <v>340</v>
      </c>
      <c r="O1133" s="213"/>
      <c r="P1133" s="211"/>
      <c r="Q1133" s="212"/>
      <c r="R1133" s="102"/>
      <c r="S1133" s="100"/>
    </row>
    <row r="1134" hidden="1">
      <c r="A1134" s="32" t="str">
        <f t="shared" si="1"/>
        <v>#N/A</v>
      </c>
      <c r="B1134" s="32" t="str">
        <f t="shared" si="2"/>
        <v>#N/A</v>
      </c>
      <c r="C1134" s="32" t="str">
        <f t="shared" si="3"/>
        <v>Week 7</v>
      </c>
      <c r="D1134" s="32">
        <v>2025.0</v>
      </c>
      <c r="E1134" t="str">
        <f t="shared" si="15"/>
        <v>7</v>
      </c>
      <c r="F1134" t="str">
        <f t="shared" si="5"/>
        <v>TEAM MANAGER(S)</v>
      </c>
      <c r="G1134" s="40" t="str">
        <f>VLOOKUP(F1134,'Manager Coding'!C:D,2,0)</f>
        <v>#N/A</v>
      </c>
      <c r="H1134" s="41" t="str">
        <f t="shared" si="6"/>
        <v>Score</v>
      </c>
      <c r="I1134" t="str">
        <f t="shared" si="7"/>
        <v>TEAM MANAGER(S)</v>
      </c>
      <c r="J1134" t="str">
        <f>VLOOKUP(I1134,'Manager Coding'!C:D,2,0)</f>
        <v>#N/A</v>
      </c>
      <c r="K1134" s="41" t="str">
        <f t="shared" si="8"/>
        <v>Score</v>
      </c>
      <c r="L1134">
        <f t="shared" si="9"/>
        <v>0</v>
      </c>
      <c r="M1134">
        <f t="shared" si="10"/>
        <v>0</v>
      </c>
      <c r="N1134" s="78" t="s">
        <v>197</v>
      </c>
      <c r="O1134" s="78" t="s">
        <v>88</v>
      </c>
      <c r="P1134" s="208" t="s">
        <v>59</v>
      </c>
      <c r="Q1134" s="208" t="s">
        <v>59</v>
      </c>
      <c r="R1134" s="79" t="s">
        <v>88</v>
      </c>
      <c r="S1134" s="79" t="s">
        <v>101</v>
      </c>
    </row>
    <row r="1135" hidden="1">
      <c r="A1135" s="32" t="str">
        <f t="shared" si="1"/>
        <v>2025ShepWeek 7</v>
      </c>
      <c r="B1135" s="32" t="str">
        <f t="shared" si="2"/>
        <v>2025T-HowWeek 7</v>
      </c>
      <c r="C1135" s="32" t="str">
        <f t="shared" si="3"/>
        <v>Week 7</v>
      </c>
      <c r="D1135" s="32">
        <v>2025.0</v>
      </c>
      <c r="E1135" t="str">
        <f t="shared" si="15"/>
        <v>7</v>
      </c>
      <c r="F1135" t="str">
        <f t="shared" si="5"/>
        <v>Jordan Shepherd</v>
      </c>
      <c r="G1135" s="40" t="str">
        <f>VLOOKUP(F1135,'Manager Coding'!C:D,2,0)</f>
        <v>Shep</v>
      </c>
      <c r="H1135" s="41">
        <f t="shared" si="6"/>
        <v>94.92</v>
      </c>
      <c r="I1135" t="str">
        <f t="shared" si="7"/>
        <v>Tyler Howard</v>
      </c>
      <c r="J1135" t="str">
        <f>VLOOKUP(I1135,'Manager Coding'!C:D,2,0)</f>
        <v>T-How</v>
      </c>
      <c r="K1135" s="41">
        <f t="shared" si="8"/>
        <v>74.08</v>
      </c>
      <c r="L1135">
        <f t="shared" si="9"/>
        <v>1</v>
      </c>
      <c r="M1135">
        <f t="shared" si="10"/>
        <v>0</v>
      </c>
      <c r="N1135" s="153" t="s">
        <v>2704</v>
      </c>
      <c r="O1135" s="81" t="s">
        <v>91</v>
      </c>
      <c r="P1135" s="210">
        <v>94.92</v>
      </c>
      <c r="Q1135" s="210">
        <v>74.08</v>
      </c>
      <c r="R1135" s="154" t="s">
        <v>85</v>
      </c>
      <c r="S1135" s="153" t="s">
        <v>2719</v>
      </c>
    </row>
    <row r="1136" hidden="1">
      <c r="A1136" s="32" t="str">
        <f t="shared" si="1"/>
        <v>2025EwertWeek 7</v>
      </c>
      <c r="B1136" s="32" t="str">
        <f t="shared" si="2"/>
        <v>2025BuserWeek 7</v>
      </c>
      <c r="C1136" s="32" t="str">
        <f t="shared" si="3"/>
        <v>Week 7</v>
      </c>
      <c r="D1136" s="32">
        <v>2025.0</v>
      </c>
      <c r="E1136" t="str">
        <f t="shared" si="15"/>
        <v>7</v>
      </c>
      <c r="F1136" t="str">
        <f t="shared" si="5"/>
        <v>Kyle Ewert, brad starck</v>
      </c>
      <c r="G1136" s="40" t="str">
        <f>VLOOKUP(F1136,'Manager Coding'!C:D,2,0)</f>
        <v>Ewert</v>
      </c>
      <c r="H1136" s="41">
        <f t="shared" si="6"/>
        <v>103.98</v>
      </c>
      <c r="I1136" t="str">
        <f t="shared" si="7"/>
        <v>Ed Buser</v>
      </c>
      <c r="J1136" t="str">
        <f>VLOOKUP(I1136,'Manager Coding'!C:D,2,0)</f>
        <v>Buser</v>
      </c>
      <c r="K1136" s="41">
        <f t="shared" si="8"/>
        <v>139.96</v>
      </c>
      <c r="L1136">
        <f t="shared" si="9"/>
        <v>0</v>
      </c>
      <c r="M1136">
        <f t="shared" si="10"/>
        <v>1</v>
      </c>
      <c r="N1136" s="134" t="s">
        <v>2718</v>
      </c>
      <c r="O1136" s="135" t="s">
        <v>105</v>
      </c>
      <c r="P1136" s="210">
        <v>103.98</v>
      </c>
      <c r="Q1136" s="210">
        <v>139.96</v>
      </c>
      <c r="R1136" s="115" t="s">
        <v>50</v>
      </c>
      <c r="S1136" s="134" t="s">
        <v>2716</v>
      </c>
    </row>
    <row r="1137" hidden="1">
      <c r="A1137" s="32" t="str">
        <f t="shared" si="1"/>
        <v>2025KnardDawgWeek 7</v>
      </c>
      <c r="B1137" s="32" t="str">
        <f t="shared" si="2"/>
        <v>2025SaltyWeek 7</v>
      </c>
      <c r="C1137" s="32" t="str">
        <f t="shared" si="3"/>
        <v>Week 7</v>
      </c>
      <c r="D1137" s="32">
        <v>2025.0</v>
      </c>
      <c r="E1137" t="str">
        <f t="shared" si="15"/>
        <v>7</v>
      </c>
      <c r="F1137" t="str">
        <f t="shared" si="5"/>
        <v>Alex Kinniard, Jack Reilly</v>
      </c>
      <c r="G1137" s="40" t="str">
        <f>VLOOKUP(F1137,'Manager Coding'!C:D,2,0)</f>
        <v>KnardDawg</v>
      </c>
      <c r="H1137" s="41">
        <f t="shared" si="6"/>
        <v>83.54</v>
      </c>
      <c r="I1137" t="str">
        <f t="shared" si="7"/>
        <v>R Saltiel</v>
      </c>
      <c r="J1137" t="str">
        <f>VLOOKUP(I1137,'Manager Coding'!C:D,2,0)</f>
        <v>Salty</v>
      </c>
      <c r="K1137" s="41">
        <f t="shared" si="8"/>
        <v>108.78</v>
      </c>
      <c r="L1137">
        <f t="shared" si="9"/>
        <v>0</v>
      </c>
      <c r="M1137">
        <f t="shared" si="10"/>
        <v>1</v>
      </c>
      <c r="N1137" s="153" t="s">
        <v>2715</v>
      </c>
      <c r="O1137" s="81" t="s">
        <v>87</v>
      </c>
      <c r="P1137" s="210">
        <v>83.54</v>
      </c>
      <c r="Q1137" s="210">
        <v>108.78</v>
      </c>
      <c r="R1137" s="154" t="s">
        <v>77</v>
      </c>
      <c r="S1137" s="153" t="s">
        <v>2714</v>
      </c>
    </row>
    <row r="1138" hidden="1">
      <c r="A1138" s="32" t="str">
        <f t="shared" si="1"/>
        <v>2025RileyWeek 7</v>
      </c>
      <c r="B1138" s="32" t="str">
        <f t="shared" si="2"/>
        <v>2025PiersonWeek 7</v>
      </c>
      <c r="C1138" s="32" t="str">
        <f t="shared" si="3"/>
        <v>Week 7</v>
      </c>
      <c r="D1138" s="32">
        <v>2025.0</v>
      </c>
      <c r="E1138" t="str">
        <f t="shared" si="15"/>
        <v>7</v>
      </c>
      <c r="F1138" t="str">
        <f t="shared" si="5"/>
        <v>Riley McElwain</v>
      </c>
      <c r="G1138" s="40" t="str">
        <f>VLOOKUP(F1138,'Manager Coding'!C:D,2,0)</f>
        <v>Riley</v>
      </c>
      <c r="H1138" s="41">
        <f t="shared" si="6"/>
        <v>110.7</v>
      </c>
      <c r="I1138" t="str">
        <f t="shared" si="7"/>
        <v>Pierson Curtis</v>
      </c>
      <c r="J1138" t="str">
        <f>VLOOKUP(I1138,'Manager Coding'!C:D,2,0)</f>
        <v>Pierson</v>
      </c>
      <c r="K1138" s="41">
        <f t="shared" si="8"/>
        <v>111.54</v>
      </c>
      <c r="L1138">
        <f t="shared" si="9"/>
        <v>0</v>
      </c>
      <c r="M1138">
        <f t="shared" si="10"/>
        <v>1</v>
      </c>
      <c r="N1138" s="134" t="s">
        <v>2712</v>
      </c>
      <c r="O1138" s="135" t="s">
        <v>68</v>
      </c>
      <c r="P1138" s="210">
        <v>110.7</v>
      </c>
      <c r="Q1138" s="210">
        <v>111.54</v>
      </c>
      <c r="R1138" s="115" t="s">
        <v>93</v>
      </c>
      <c r="S1138" s="134" t="s">
        <v>2710</v>
      </c>
    </row>
    <row r="1139" hidden="1">
      <c r="A1139" s="32" t="str">
        <f t="shared" si="1"/>
        <v>2025Rooney/JacksonWeek 7</v>
      </c>
      <c r="B1139" s="32" t="str">
        <f t="shared" si="2"/>
        <v>2025HudspeathWeek 7</v>
      </c>
      <c r="C1139" s="32" t="str">
        <f t="shared" si="3"/>
        <v>Week 7</v>
      </c>
      <c r="D1139" s="32">
        <v>2025.0</v>
      </c>
      <c r="E1139" t="str">
        <f t="shared" si="15"/>
        <v>7</v>
      </c>
      <c r="F1139" t="str">
        <f t="shared" si="5"/>
        <v>Stephen Rooney, Jackson Sattell</v>
      </c>
      <c r="G1139" s="40" t="str">
        <f>VLOOKUP(F1139,'Manager Coding'!C:D,2,0)</f>
        <v>Rooney/Jackson</v>
      </c>
      <c r="H1139" s="41">
        <f t="shared" si="6"/>
        <v>69.28</v>
      </c>
      <c r="I1139" t="str">
        <f t="shared" si="7"/>
        <v>matt hudspeath</v>
      </c>
      <c r="J1139" t="str">
        <f>VLOOKUP(I1139,'Manager Coding'!C:D,2,0)</f>
        <v>Hudspeath</v>
      </c>
      <c r="K1139" s="41">
        <f t="shared" si="8"/>
        <v>113.82</v>
      </c>
      <c r="L1139">
        <f t="shared" si="9"/>
        <v>0</v>
      </c>
      <c r="M1139">
        <f t="shared" si="10"/>
        <v>1</v>
      </c>
      <c r="N1139" s="153" t="s">
        <v>2709</v>
      </c>
      <c r="O1139" s="81" t="s">
        <v>58</v>
      </c>
      <c r="P1139" s="210">
        <v>69.28</v>
      </c>
      <c r="Q1139" s="210">
        <v>113.82</v>
      </c>
      <c r="R1139" s="154" t="s">
        <v>64</v>
      </c>
      <c r="S1139" s="153" t="s">
        <v>2707</v>
      </c>
    </row>
    <row r="1140" hidden="1">
      <c r="A1140" s="32" t="str">
        <f t="shared" si="1"/>
        <v>2025TayskiWeek 7</v>
      </c>
      <c r="B1140" s="32" t="str">
        <f t="shared" si="2"/>
        <v>2025CockWeek 7</v>
      </c>
      <c r="C1140" s="32" t="str">
        <f t="shared" si="3"/>
        <v>Week 7</v>
      </c>
      <c r="D1140" s="32">
        <v>2025.0</v>
      </c>
      <c r="E1140" t="str">
        <f t="shared" si="15"/>
        <v>7</v>
      </c>
      <c r="F1140" t="str">
        <f t="shared" si="5"/>
        <v>Taylor Weis</v>
      </c>
      <c r="G1140" s="40" t="str">
        <f>VLOOKUP(F1140,'Manager Coding'!C:D,2,0)</f>
        <v>Tayski</v>
      </c>
      <c r="H1140" s="41">
        <f t="shared" si="6"/>
        <v>90.34</v>
      </c>
      <c r="I1140" t="str">
        <f t="shared" si="7"/>
        <v>Chris Cochrane</v>
      </c>
      <c r="J1140" t="str">
        <f>VLOOKUP(I1140,'Manager Coding'!C:D,2,0)</f>
        <v>Cock</v>
      </c>
      <c r="K1140" s="41">
        <f t="shared" si="8"/>
        <v>171.24</v>
      </c>
      <c r="L1140">
        <f t="shared" si="9"/>
        <v>0</v>
      </c>
      <c r="M1140">
        <f t="shared" si="10"/>
        <v>1</v>
      </c>
      <c r="N1140" s="134" t="s">
        <v>2706</v>
      </c>
      <c r="O1140" s="135" t="s">
        <v>54</v>
      </c>
      <c r="P1140" s="210">
        <v>90.34</v>
      </c>
      <c r="Q1140" s="210">
        <v>171.24</v>
      </c>
      <c r="R1140" s="115" t="s">
        <v>99</v>
      </c>
      <c r="S1140" s="134" t="s">
        <v>2703</v>
      </c>
    </row>
    <row r="1141" hidden="1">
      <c r="A1141" s="32" t="str">
        <f t="shared" si="1"/>
        <v>#N/A</v>
      </c>
      <c r="B1141" s="32" t="str">
        <f t="shared" si="2"/>
        <v>#N/A</v>
      </c>
      <c r="C1141" s="32" t="str">
        <f t="shared" si="3"/>
        <v>Week 7</v>
      </c>
      <c r="D1141" s="32">
        <v>2025.0</v>
      </c>
      <c r="E1141" t="str">
        <f t="shared" si="15"/>
        <v>7</v>
      </c>
      <c r="F1141" t="str">
        <f t="shared" si="5"/>
        <v/>
      </c>
      <c r="G1141" s="40" t="str">
        <f>VLOOKUP(F1141,'Manager Coding'!C:D,2,0)</f>
        <v>#N/A</v>
      </c>
      <c r="H1141" s="41" t="str">
        <f t="shared" si="6"/>
        <v/>
      </c>
      <c r="I1141" t="str">
        <f t="shared" si="7"/>
        <v/>
      </c>
      <c r="J1141" t="str">
        <f>VLOOKUP(I1141,'Manager Coding'!C:D,2,0)</f>
        <v>#N/A</v>
      </c>
      <c r="K1141" s="41" t="str">
        <f t="shared" si="8"/>
        <v/>
      </c>
      <c r="L1141">
        <f t="shared" si="9"/>
        <v>0</v>
      </c>
      <c r="M1141">
        <f t="shared" si="10"/>
        <v>0</v>
      </c>
      <c r="N1141" s="91" t="s">
        <v>367</v>
      </c>
      <c r="O1141" s="101"/>
      <c r="P1141" s="211"/>
      <c r="Q1141" s="212"/>
      <c r="R1141" s="102"/>
      <c r="S1141" s="100"/>
    </row>
    <row r="1142" hidden="1">
      <c r="A1142" s="32" t="str">
        <f t="shared" si="1"/>
        <v>#N/A</v>
      </c>
      <c r="B1142" s="32" t="str">
        <f t="shared" si="2"/>
        <v>#N/A</v>
      </c>
      <c r="C1142" s="32" t="str">
        <f t="shared" si="3"/>
        <v>Week 8</v>
      </c>
      <c r="D1142" s="32">
        <v>2025.0</v>
      </c>
      <c r="E1142" t="str">
        <f t="shared" si="15"/>
        <v>8</v>
      </c>
      <c r="F1142" t="str">
        <f t="shared" si="5"/>
        <v>TEAM MANAGER(S)</v>
      </c>
      <c r="G1142" s="40" t="str">
        <f>VLOOKUP(F1142,'Manager Coding'!C:D,2,0)</f>
        <v>#N/A</v>
      </c>
      <c r="H1142" s="41" t="str">
        <f t="shared" si="6"/>
        <v>Score</v>
      </c>
      <c r="I1142" t="str">
        <f t="shared" si="7"/>
        <v>TEAM MANAGER(S)</v>
      </c>
      <c r="J1142" t="str">
        <f>VLOOKUP(I1142,'Manager Coding'!C:D,2,0)</f>
        <v>#N/A</v>
      </c>
      <c r="K1142" s="41" t="str">
        <f t="shared" si="8"/>
        <v>Score</v>
      </c>
      <c r="L1142">
        <f t="shared" si="9"/>
        <v>0</v>
      </c>
      <c r="M1142">
        <f t="shared" si="10"/>
        <v>0</v>
      </c>
      <c r="N1142" s="78" t="s">
        <v>197</v>
      </c>
      <c r="O1142" s="78" t="s">
        <v>88</v>
      </c>
      <c r="P1142" s="208" t="s">
        <v>59</v>
      </c>
      <c r="Q1142" s="208" t="s">
        <v>59</v>
      </c>
      <c r="R1142" s="79" t="s">
        <v>88</v>
      </c>
      <c r="S1142" s="79" t="s">
        <v>101</v>
      </c>
    </row>
    <row r="1143" hidden="1">
      <c r="A1143" s="32" t="str">
        <f t="shared" si="1"/>
        <v>2025EwertWeek 8</v>
      </c>
      <c r="B1143" s="32" t="str">
        <f t="shared" si="2"/>
        <v>2025ShepWeek 8</v>
      </c>
      <c r="C1143" s="32" t="str">
        <f t="shared" si="3"/>
        <v>Week 8</v>
      </c>
      <c r="D1143" s="32">
        <v>2025.0</v>
      </c>
      <c r="E1143" t="str">
        <f t="shared" si="15"/>
        <v>8</v>
      </c>
      <c r="F1143" t="str">
        <f t="shared" si="5"/>
        <v>Kyle Ewert, brad starck</v>
      </c>
      <c r="G1143" s="40" t="str">
        <f>VLOOKUP(F1143,'Manager Coding'!C:D,2,0)</f>
        <v>Ewert</v>
      </c>
      <c r="H1143" s="41">
        <f t="shared" si="6"/>
        <v>111.18</v>
      </c>
      <c r="I1143" t="str">
        <f t="shared" si="7"/>
        <v>Jordan Shepherd</v>
      </c>
      <c r="J1143" t="str">
        <f>VLOOKUP(I1143,'Manager Coding'!C:D,2,0)</f>
        <v>Shep</v>
      </c>
      <c r="K1143" s="41">
        <f t="shared" si="8"/>
        <v>77.88</v>
      </c>
      <c r="L1143">
        <f t="shared" si="9"/>
        <v>1</v>
      </c>
      <c r="M1143">
        <f t="shared" si="10"/>
        <v>0</v>
      </c>
      <c r="N1143" s="153" t="s">
        <v>2718</v>
      </c>
      <c r="O1143" s="81" t="s">
        <v>105</v>
      </c>
      <c r="P1143" s="210">
        <v>111.18</v>
      </c>
      <c r="Q1143" s="210">
        <v>77.88</v>
      </c>
      <c r="R1143" s="154" t="s">
        <v>91</v>
      </c>
      <c r="S1143" s="153" t="s">
        <v>2704</v>
      </c>
    </row>
    <row r="1144" hidden="1">
      <c r="A1144" s="32" t="str">
        <f t="shared" si="1"/>
        <v>2025T-HowWeek 8</v>
      </c>
      <c r="B1144" s="32" t="str">
        <f t="shared" si="2"/>
        <v>2025KnardDawgWeek 8</v>
      </c>
      <c r="C1144" s="32" t="str">
        <f t="shared" si="3"/>
        <v>Week 8</v>
      </c>
      <c r="D1144" s="32">
        <v>2025.0</v>
      </c>
      <c r="E1144" t="str">
        <f t="shared" si="15"/>
        <v>8</v>
      </c>
      <c r="F1144" t="str">
        <f t="shared" si="5"/>
        <v>Tyler Howard</v>
      </c>
      <c r="G1144" s="40" t="str">
        <f>VLOOKUP(F1144,'Manager Coding'!C:D,2,0)</f>
        <v>T-How</v>
      </c>
      <c r="H1144" s="41">
        <f t="shared" si="6"/>
        <v>103.32</v>
      </c>
      <c r="I1144" t="str">
        <f t="shared" si="7"/>
        <v>Alex Kinniard, Jack Reilly</v>
      </c>
      <c r="J1144" t="str">
        <f>VLOOKUP(I1144,'Manager Coding'!C:D,2,0)</f>
        <v>KnardDawg</v>
      </c>
      <c r="K1144" s="41">
        <f t="shared" si="8"/>
        <v>127.02</v>
      </c>
      <c r="L1144">
        <f t="shared" si="9"/>
        <v>0</v>
      </c>
      <c r="M1144">
        <f t="shared" si="10"/>
        <v>1</v>
      </c>
      <c r="N1144" s="134" t="s">
        <v>2719</v>
      </c>
      <c r="O1144" s="135" t="s">
        <v>85</v>
      </c>
      <c r="P1144" s="210">
        <v>103.32</v>
      </c>
      <c r="Q1144" s="210">
        <v>127.02</v>
      </c>
      <c r="R1144" s="115" t="s">
        <v>87</v>
      </c>
      <c r="S1144" s="134" t="s">
        <v>2715</v>
      </c>
    </row>
    <row r="1145" hidden="1">
      <c r="A1145" s="32" t="str">
        <f t="shared" si="1"/>
        <v>2025BuserWeek 8</v>
      </c>
      <c r="B1145" s="32" t="str">
        <f t="shared" si="2"/>
        <v>2025RileyWeek 8</v>
      </c>
      <c r="C1145" s="32" t="str">
        <f t="shared" si="3"/>
        <v>Week 8</v>
      </c>
      <c r="D1145" s="32">
        <v>2025.0</v>
      </c>
      <c r="E1145" t="str">
        <f t="shared" si="15"/>
        <v>8</v>
      </c>
      <c r="F1145" t="str">
        <f t="shared" si="5"/>
        <v>Ed Buser</v>
      </c>
      <c r="G1145" s="40" t="str">
        <f>VLOOKUP(F1145,'Manager Coding'!C:D,2,0)</f>
        <v>Buser</v>
      </c>
      <c r="H1145" s="41">
        <f t="shared" si="6"/>
        <v>108.08</v>
      </c>
      <c r="I1145" t="str">
        <f t="shared" si="7"/>
        <v>Riley McElwain</v>
      </c>
      <c r="J1145" t="str">
        <f>VLOOKUP(I1145,'Manager Coding'!C:D,2,0)</f>
        <v>Riley</v>
      </c>
      <c r="K1145" s="41">
        <f t="shared" si="8"/>
        <v>138.48</v>
      </c>
      <c r="L1145">
        <f t="shared" si="9"/>
        <v>0</v>
      </c>
      <c r="M1145">
        <f t="shared" si="10"/>
        <v>1</v>
      </c>
      <c r="N1145" s="153" t="s">
        <v>2716</v>
      </c>
      <c r="O1145" s="81" t="s">
        <v>50</v>
      </c>
      <c r="P1145" s="210">
        <v>108.08</v>
      </c>
      <c r="Q1145" s="210">
        <v>138.48</v>
      </c>
      <c r="R1145" s="154" t="s">
        <v>68</v>
      </c>
      <c r="S1145" s="153" t="s">
        <v>2712</v>
      </c>
    </row>
    <row r="1146" hidden="1">
      <c r="A1146" s="32" t="str">
        <f t="shared" si="1"/>
        <v>2025SaltyWeek 8</v>
      </c>
      <c r="B1146" s="32" t="str">
        <f t="shared" si="2"/>
        <v>2025Rooney/JacksonWeek 8</v>
      </c>
      <c r="C1146" s="32" t="str">
        <f t="shared" si="3"/>
        <v>Week 8</v>
      </c>
      <c r="D1146" s="32">
        <v>2025.0</v>
      </c>
      <c r="E1146" t="str">
        <f t="shared" si="15"/>
        <v>8</v>
      </c>
      <c r="F1146" t="str">
        <f t="shared" si="5"/>
        <v>R Saltiel</v>
      </c>
      <c r="G1146" s="40" t="str">
        <f>VLOOKUP(F1146,'Manager Coding'!C:D,2,0)</f>
        <v>Salty</v>
      </c>
      <c r="H1146" s="41">
        <f t="shared" si="6"/>
        <v>90.76</v>
      </c>
      <c r="I1146" t="str">
        <f t="shared" si="7"/>
        <v>Stephen Rooney, Jackson Sattell</v>
      </c>
      <c r="J1146" t="str">
        <f>VLOOKUP(I1146,'Manager Coding'!C:D,2,0)</f>
        <v>Rooney/Jackson</v>
      </c>
      <c r="K1146" s="41">
        <f t="shared" si="8"/>
        <v>144.78</v>
      </c>
      <c r="L1146">
        <f t="shared" si="9"/>
        <v>0</v>
      </c>
      <c r="M1146">
        <f t="shared" si="10"/>
        <v>1</v>
      </c>
      <c r="N1146" s="134" t="s">
        <v>2714</v>
      </c>
      <c r="O1146" s="135" t="s">
        <v>77</v>
      </c>
      <c r="P1146" s="210">
        <v>90.76</v>
      </c>
      <c r="Q1146" s="210">
        <v>144.78</v>
      </c>
      <c r="R1146" s="115" t="s">
        <v>58</v>
      </c>
      <c r="S1146" s="134" t="s">
        <v>2709</v>
      </c>
    </row>
    <row r="1147" hidden="1">
      <c r="A1147" s="32" t="str">
        <f t="shared" si="1"/>
        <v>2025PiersonWeek 8</v>
      </c>
      <c r="B1147" s="32" t="str">
        <f t="shared" si="2"/>
        <v>2025TayskiWeek 8</v>
      </c>
      <c r="C1147" s="32" t="str">
        <f t="shared" si="3"/>
        <v>Week 8</v>
      </c>
      <c r="D1147" s="32">
        <v>2025.0</v>
      </c>
      <c r="E1147" t="str">
        <f t="shared" si="15"/>
        <v>8</v>
      </c>
      <c r="F1147" t="str">
        <f t="shared" si="5"/>
        <v>Pierson Curtis</v>
      </c>
      <c r="G1147" s="40" t="str">
        <f>VLOOKUP(F1147,'Manager Coding'!C:D,2,0)</f>
        <v>Pierson</v>
      </c>
      <c r="H1147" s="41">
        <f t="shared" si="6"/>
        <v>89.46</v>
      </c>
      <c r="I1147" t="str">
        <f t="shared" si="7"/>
        <v>Taylor Weis</v>
      </c>
      <c r="J1147" t="str">
        <f>VLOOKUP(I1147,'Manager Coding'!C:D,2,0)</f>
        <v>Tayski</v>
      </c>
      <c r="K1147" s="41">
        <f t="shared" si="8"/>
        <v>50.52</v>
      </c>
      <c r="L1147">
        <f t="shared" si="9"/>
        <v>1</v>
      </c>
      <c r="M1147">
        <f t="shared" si="10"/>
        <v>0</v>
      </c>
      <c r="N1147" s="153" t="s">
        <v>2710</v>
      </c>
      <c r="O1147" s="81" t="s">
        <v>93</v>
      </c>
      <c r="P1147" s="210">
        <v>89.46</v>
      </c>
      <c r="Q1147" s="210">
        <v>50.52</v>
      </c>
      <c r="R1147" s="154" t="s">
        <v>54</v>
      </c>
      <c r="S1147" s="153" t="s">
        <v>2706</v>
      </c>
    </row>
    <row r="1148" hidden="1">
      <c r="A1148" s="32" t="str">
        <f t="shared" si="1"/>
        <v>2025HudspeathWeek 8</v>
      </c>
      <c r="B1148" s="32" t="str">
        <f t="shared" si="2"/>
        <v>2025CockWeek 8</v>
      </c>
      <c r="C1148" s="32" t="str">
        <f t="shared" si="3"/>
        <v>Week 8</v>
      </c>
      <c r="D1148" s="32">
        <v>2025.0</v>
      </c>
      <c r="E1148" t="str">
        <f t="shared" si="15"/>
        <v>8</v>
      </c>
      <c r="F1148" t="str">
        <f t="shared" si="5"/>
        <v>matt hudspeath</v>
      </c>
      <c r="G1148" s="40" t="str">
        <f>VLOOKUP(F1148,'Manager Coding'!C:D,2,0)</f>
        <v>Hudspeath</v>
      </c>
      <c r="H1148" s="41">
        <f t="shared" si="6"/>
        <v>140.98</v>
      </c>
      <c r="I1148" t="str">
        <f t="shared" si="7"/>
        <v>Chris Cochrane</v>
      </c>
      <c r="J1148" t="str">
        <f>VLOOKUP(I1148,'Manager Coding'!C:D,2,0)</f>
        <v>Cock</v>
      </c>
      <c r="K1148" s="41">
        <f t="shared" si="8"/>
        <v>100.96</v>
      </c>
      <c r="L1148">
        <f t="shared" si="9"/>
        <v>1</v>
      </c>
      <c r="M1148">
        <f t="shared" si="10"/>
        <v>0</v>
      </c>
      <c r="N1148" s="134" t="s">
        <v>2707</v>
      </c>
      <c r="O1148" s="135" t="s">
        <v>64</v>
      </c>
      <c r="P1148" s="210">
        <v>140.98</v>
      </c>
      <c r="Q1148" s="210">
        <v>100.96</v>
      </c>
      <c r="R1148" s="115" t="s">
        <v>99</v>
      </c>
      <c r="S1148" s="134" t="s">
        <v>2703</v>
      </c>
    </row>
    <row r="1149" hidden="1">
      <c r="A1149" s="32" t="str">
        <f t="shared" si="1"/>
        <v>#N/A</v>
      </c>
      <c r="B1149" s="32" t="str">
        <f t="shared" si="2"/>
        <v>#N/A</v>
      </c>
      <c r="C1149" s="32" t="str">
        <f t="shared" si="3"/>
        <v>Week 8</v>
      </c>
      <c r="D1149" s="32">
        <v>2025.0</v>
      </c>
      <c r="E1149" t="str">
        <f t="shared" si="15"/>
        <v>8</v>
      </c>
      <c r="F1149" t="str">
        <f t="shared" si="5"/>
        <v/>
      </c>
      <c r="G1149" s="40" t="str">
        <f>VLOOKUP(F1149,'Manager Coding'!C:D,2,0)</f>
        <v>#N/A</v>
      </c>
      <c r="H1149" s="41" t="str">
        <f t="shared" si="6"/>
        <v/>
      </c>
      <c r="I1149" t="str">
        <f t="shared" si="7"/>
        <v/>
      </c>
      <c r="J1149" t="str">
        <f>VLOOKUP(I1149,'Manager Coding'!C:D,2,0)</f>
        <v>#N/A</v>
      </c>
      <c r="K1149" s="41" t="str">
        <f t="shared" si="8"/>
        <v/>
      </c>
      <c r="L1149">
        <f t="shared" si="9"/>
        <v>0</v>
      </c>
      <c r="M1149">
        <f t="shared" si="10"/>
        <v>0</v>
      </c>
      <c r="N1149" s="214" t="s">
        <v>387</v>
      </c>
      <c r="O1149" s="149"/>
      <c r="P1149" s="215"/>
      <c r="Q1149" s="215"/>
      <c r="R1149" s="150"/>
      <c r="S1149" s="150"/>
    </row>
    <row r="1150" hidden="1">
      <c r="A1150" s="32" t="str">
        <f t="shared" si="1"/>
        <v>#N/A</v>
      </c>
      <c r="B1150" s="32" t="str">
        <f t="shared" si="2"/>
        <v>#N/A</v>
      </c>
      <c r="C1150" s="32" t="str">
        <f t="shared" si="3"/>
        <v>Week 9</v>
      </c>
      <c r="D1150" s="32">
        <v>2025.0</v>
      </c>
      <c r="E1150" t="str">
        <f t="shared" si="15"/>
        <v>9</v>
      </c>
      <c r="F1150" t="str">
        <f t="shared" si="5"/>
        <v>TEAM MANAGER(S)</v>
      </c>
      <c r="G1150" s="40" t="str">
        <f>VLOOKUP(F1150,'Manager Coding'!C:D,2,0)</f>
        <v>#N/A</v>
      </c>
      <c r="H1150" s="41" t="str">
        <f t="shared" si="6"/>
        <v>Score</v>
      </c>
      <c r="I1150" t="str">
        <f t="shared" si="7"/>
        <v>TEAM MANAGER(S)</v>
      </c>
      <c r="J1150" t="str">
        <f>VLOOKUP(I1150,'Manager Coding'!C:D,2,0)</f>
        <v>#N/A</v>
      </c>
      <c r="K1150" s="41" t="str">
        <f t="shared" si="8"/>
        <v>Score</v>
      </c>
      <c r="L1150">
        <f t="shared" si="9"/>
        <v>0</v>
      </c>
      <c r="M1150">
        <f t="shared" si="10"/>
        <v>0</v>
      </c>
      <c r="N1150" s="184" t="s">
        <v>197</v>
      </c>
      <c r="O1150" s="184" t="s">
        <v>88</v>
      </c>
      <c r="P1150" s="216" t="s">
        <v>59</v>
      </c>
      <c r="Q1150" s="216" t="s">
        <v>59</v>
      </c>
      <c r="R1150" s="185" t="s">
        <v>88</v>
      </c>
      <c r="S1150" s="185" t="s">
        <v>101</v>
      </c>
    </row>
    <row r="1151" hidden="1">
      <c r="A1151" s="32" t="str">
        <f t="shared" si="1"/>
        <v>2025ShepWeek 9</v>
      </c>
      <c r="B1151" s="32" t="str">
        <f t="shared" si="2"/>
        <v>2025KnardDawgWeek 9</v>
      </c>
      <c r="C1151" s="32" t="str">
        <f t="shared" si="3"/>
        <v>Week 9</v>
      </c>
      <c r="D1151" s="32">
        <v>2025.0</v>
      </c>
      <c r="E1151" t="str">
        <f t="shared" si="15"/>
        <v>9</v>
      </c>
      <c r="F1151" t="str">
        <f t="shared" si="5"/>
        <v>Jordan Shepherd</v>
      </c>
      <c r="G1151" s="40" t="str">
        <f>VLOOKUP(F1151,'Manager Coding'!C:D,2,0)</f>
        <v>Shep</v>
      </c>
      <c r="H1151" s="41">
        <f t="shared" si="6"/>
        <v>121.6</v>
      </c>
      <c r="I1151" t="str">
        <f t="shared" si="7"/>
        <v>Alex Kinniard, Jack Reilly</v>
      </c>
      <c r="J1151" t="str">
        <f>VLOOKUP(I1151,'Manager Coding'!C:D,2,0)</f>
        <v>KnardDawg</v>
      </c>
      <c r="K1151" s="41">
        <f t="shared" si="8"/>
        <v>101.1</v>
      </c>
      <c r="L1151">
        <f t="shared" si="9"/>
        <v>1</v>
      </c>
      <c r="M1151">
        <f t="shared" si="10"/>
        <v>0</v>
      </c>
      <c r="N1151" s="128" t="s">
        <v>2704</v>
      </c>
      <c r="O1151" s="129" t="s">
        <v>91</v>
      </c>
      <c r="P1151" s="217">
        <v>121.6</v>
      </c>
      <c r="Q1151" s="217">
        <v>101.1</v>
      </c>
      <c r="R1151" s="130" t="s">
        <v>87</v>
      </c>
      <c r="S1151" s="128" t="s">
        <v>2715</v>
      </c>
    </row>
    <row r="1152" hidden="1">
      <c r="A1152" s="32" t="str">
        <f t="shared" si="1"/>
        <v>2025RileyWeek 9</v>
      </c>
      <c r="B1152" s="32" t="str">
        <f t="shared" si="2"/>
        <v>2025EwertWeek 9</v>
      </c>
      <c r="C1152" s="32" t="str">
        <f t="shared" si="3"/>
        <v>Week 9</v>
      </c>
      <c r="D1152" s="32">
        <v>2025.0</v>
      </c>
      <c r="E1152" t="str">
        <f t="shared" si="15"/>
        <v>9</v>
      </c>
      <c r="F1152" t="str">
        <f t="shared" si="5"/>
        <v>Riley McElwain</v>
      </c>
      <c r="G1152" s="40" t="str">
        <f>VLOOKUP(F1152,'Manager Coding'!C:D,2,0)</f>
        <v>Riley</v>
      </c>
      <c r="H1152" s="41">
        <f t="shared" si="6"/>
        <v>97.5</v>
      </c>
      <c r="I1152" t="str">
        <f t="shared" si="7"/>
        <v>Kyle Ewert, brad starck</v>
      </c>
      <c r="J1152" t="str">
        <f>VLOOKUP(I1152,'Manager Coding'!C:D,2,0)</f>
        <v>Ewert</v>
      </c>
      <c r="K1152" s="41">
        <f t="shared" si="8"/>
        <v>112.6</v>
      </c>
      <c r="L1152">
        <f t="shared" si="9"/>
        <v>0</v>
      </c>
      <c r="M1152">
        <f t="shared" si="10"/>
        <v>1</v>
      </c>
      <c r="N1152" s="131" t="s">
        <v>2712</v>
      </c>
      <c r="O1152" s="132" t="s">
        <v>68</v>
      </c>
      <c r="P1152" s="217">
        <v>97.5</v>
      </c>
      <c r="Q1152" s="217">
        <v>112.6</v>
      </c>
      <c r="R1152" s="133" t="s">
        <v>105</v>
      </c>
      <c r="S1152" s="131" t="s">
        <v>2718</v>
      </c>
    </row>
    <row r="1153" hidden="1">
      <c r="A1153" s="32" t="str">
        <f t="shared" si="1"/>
        <v>2025Rooney/JacksonWeek 9</v>
      </c>
      <c r="B1153" s="32" t="str">
        <f t="shared" si="2"/>
        <v>2025T-HowWeek 9</v>
      </c>
      <c r="C1153" s="32" t="str">
        <f t="shared" si="3"/>
        <v>Week 9</v>
      </c>
      <c r="D1153" s="32">
        <v>2025.0</v>
      </c>
      <c r="E1153" t="str">
        <f t="shared" si="15"/>
        <v>9</v>
      </c>
      <c r="F1153" t="str">
        <f t="shared" si="5"/>
        <v>Stephen Rooney, Jackson Sattell</v>
      </c>
      <c r="G1153" s="40" t="str">
        <f>VLOOKUP(F1153,'Manager Coding'!C:D,2,0)</f>
        <v>Rooney/Jackson</v>
      </c>
      <c r="H1153" s="41">
        <f t="shared" si="6"/>
        <v>104.06</v>
      </c>
      <c r="I1153" t="str">
        <f t="shared" si="7"/>
        <v>Tyler Howard</v>
      </c>
      <c r="J1153" t="str">
        <f>VLOOKUP(I1153,'Manager Coding'!C:D,2,0)</f>
        <v>T-How</v>
      </c>
      <c r="K1153" s="41">
        <f t="shared" si="8"/>
        <v>101.32</v>
      </c>
      <c r="L1153">
        <f t="shared" si="9"/>
        <v>1</v>
      </c>
      <c r="M1153">
        <f t="shared" si="10"/>
        <v>0</v>
      </c>
      <c r="N1153" s="128" t="s">
        <v>2709</v>
      </c>
      <c r="O1153" s="129" t="s">
        <v>58</v>
      </c>
      <c r="P1153" s="217">
        <v>104.06</v>
      </c>
      <c r="Q1153" s="217">
        <v>101.32</v>
      </c>
      <c r="R1153" s="130" t="s">
        <v>85</v>
      </c>
      <c r="S1153" s="128" t="s">
        <v>2719</v>
      </c>
    </row>
    <row r="1154" hidden="1">
      <c r="A1154" s="32" t="str">
        <f t="shared" si="1"/>
        <v>2025TayskiWeek 9</v>
      </c>
      <c r="B1154" s="32" t="str">
        <f t="shared" si="2"/>
        <v>2025BuserWeek 9</v>
      </c>
      <c r="C1154" s="32" t="str">
        <f t="shared" si="3"/>
        <v>Week 9</v>
      </c>
      <c r="D1154" s="32">
        <v>2025.0</v>
      </c>
      <c r="E1154" t="str">
        <f t="shared" si="15"/>
        <v>9</v>
      </c>
      <c r="F1154" t="str">
        <f t="shared" si="5"/>
        <v>Taylor Weis</v>
      </c>
      <c r="G1154" s="40" t="str">
        <f>VLOOKUP(F1154,'Manager Coding'!C:D,2,0)</f>
        <v>Tayski</v>
      </c>
      <c r="H1154" s="41">
        <f t="shared" si="6"/>
        <v>125.72</v>
      </c>
      <c r="I1154" t="str">
        <f t="shared" si="7"/>
        <v>Ed Buser</v>
      </c>
      <c r="J1154" t="str">
        <f>VLOOKUP(I1154,'Manager Coding'!C:D,2,0)</f>
        <v>Buser</v>
      </c>
      <c r="K1154" s="41">
        <f t="shared" si="8"/>
        <v>124.4</v>
      </c>
      <c r="L1154">
        <f t="shared" si="9"/>
        <v>1</v>
      </c>
      <c r="M1154">
        <f t="shared" si="10"/>
        <v>0</v>
      </c>
      <c r="N1154" s="134" t="s">
        <v>2706</v>
      </c>
      <c r="O1154" s="135" t="s">
        <v>54</v>
      </c>
      <c r="P1154" s="210">
        <v>125.72</v>
      </c>
      <c r="Q1154" s="210">
        <v>124.4</v>
      </c>
      <c r="R1154" s="115" t="s">
        <v>50</v>
      </c>
      <c r="S1154" s="134" t="s">
        <v>2716</v>
      </c>
    </row>
    <row r="1155" hidden="1">
      <c r="A1155" s="32" t="str">
        <f t="shared" si="1"/>
        <v>2025CockWeek 9</v>
      </c>
      <c r="B1155" s="32" t="str">
        <f t="shared" si="2"/>
        <v>2025SaltyWeek 9</v>
      </c>
      <c r="C1155" s="32" t="str">
        <f t="shared" si="3"/>
        <v>Week 9</v>
      </c>
      <c r="D1155" s="32">
        <v>2025.0</v>
      </c>
      <c r="E1155" t="str">
        <f t="shared" si="15"/>
        <v>9</v>
      </c>
      <c r="F1155" t="str">
        <f t="shared" si="5"/>
        <v>Chris Cochrane</v>
      </c>
      <c r="G1155" s="40" t="str">
        <f>VLOOKUP(F1155,'Manager Coding'!C:D,2,0)</f>
        <v>Cock</v>
      </c>
      <c r="H1155" s="41">
        <f t="shared" si="6"/>
        <v>94.04</v>
      </c>
      <c r="I1155" t="str">
        <f t="shared" si="7"/>
        <v>R Saltiel</v>
      </c>
      <c r="J1155" t="str">
        <f>VLOOKUP(I1155,'Manager Coding'!C:D,2,0)</f>
        <v>Salty</v>
      </c>
      <c r="K1155" s="41">
        <f t="shared" si="8"/>
        <v>124.06</v>
      </c>
      <c r="L1155">
        <f t="shared" si="9"/>
        <v>0</v>
      </c>
      <c r="M1155">
        <f t="shared" si="10"/>
        <v>1</v>
      </c>
      <c r="N1155" s="153" t="s">
        <v>2703</v>
      </c>
      <c r="O1155" s="81" t="s">
        <v>99</v>
      </c>
      <c r="P1155" s="210">
        <v>94.04</v>
      </c>
      <c r="Q1155" s="210">
        <v>124.06</v>
      </c>
      <c r="R1155" s="154" t="s">
        <v>77</v>
      </c>
      <c r="S1155" s="153" t="s">
        <v>2714</v>
      </c>
    </row>
    <row r="1156" hidden="1">
      <c r="A1156" s="32" t="str">
        <f t="shared" si="1"/>
        <v>2025HudspeathWeek 9</v>
      </c>
      <c r="B1156" s="32" t="str">
        <f t="shared" si="2"/>
        <v>2025PiersonWeek 9</v>
      </c>
      <c r="C1156" s="32" t="str">
        <f t="shared" si="3"/>
        <v>Week 9</v>
      </c>
      <c r="D1156" s="32">
        <v>2025.0</v>
      </c>
      <c r="E1156" t="str">
        <f t="shared" si="15"/>
        <v>9</v>
      </c>
      <c r="F1156" t="str">
        <f t="shared" si="5"/>
        <v>matt hudspeath</v>
      </c>
      <c r="G1156" s="40" t="str">
        <f>VLOOKUP(F1156,'Manager Coding'!C:D,2,0)</f>
        <v>Hudspeath</v>
      </c>
      <c r="H1156" s="41">
        <f t="shared" si="6"/>
        <v>106.58</v>
      </c>
      <c r="I1156" t="str">
        <f t="shared" si="7"/>
        <v>Pierson Curtis</v>
      </c>
      <c r="J1156" t="str">
        <f>VLOOKUP(I1156,'Manager Coding'!C:D,2,0)</f>
        <v>Pierson</v>
      </c>
      <c r="K1156" s="41">
        <f t="shared" si="8"/>
        <v>84.4</v>
      </c>
      <c r="L1156">
        <f t="shared" si="9"/>
        <v>1</v>
      </c>
      <c r="M1156">
        <f t="shared" si="10"/>
        <v>0</v>
      </c>
      <c r="N1156" s="134" t="s">
        <v>2707</v>
      </c>
      <c r="O1156" s="169" t="s">
        <v>64</v>
      </c>
      <c r="P1156" s="218">
        <v>106.58</v>
      </c>
      <c r="Q1156" s="218">
        <v>84.4</v>
      </c>
      <c r="R1156" s="170" t="s">
        <v>93</v>
      </c>
      <c r="S1156" s="168" t="s">
        <v>2710</v>
      </c>
    </row>
    <row r="1157" hidden="1">
      <c r="A1157" s="32" t="str">
        <f t="shared" si="1"/>
        <v>#N/A</v>
      </c>
      <c r="B1157" s="32" t="str">
        <f t="shared" si="2"/>
        <v>#N/A</v>
      </c>
      <c r="C1157" s="32" t="str">
        <f t="shared" si="3"/>
        <v>Week 9</v>
      </c>
      <c r="D1157" s="32">
        <v>2025.0</v>
      </c>
      <c r="E1157" t="str">
        <f t="shared" si="15"/>
        <v>9</v>
      </c>
      <c r="F1157" t="str">
        <f t="shared" si="5"/>
        <v/>
      </c>
      <c r="G1157" s="40" t="str">
        <f>VLOOKUP(F1157,'Manager Coding'!C:D,2,0)</f>
        <v>#N/A</v>
      </c>
      <c r="H1157" s="41" t="str">
        <f t="shared" si="6"/>
        <v/>
      </c>
      <c r="I1157" t="str">
        <f t="shared" si="7"/>
        <v/>
      </c>
      <c r="J1157" t="str">
        <f>VLOOKUP(I1157,'Manager Coding'!C:D,2,0)</f>
        <v>#N/A</v>
      </c>
      <c r="K1157" s="41" t="str">
        <f t="shared" si="8"/>
        <v/>
      </c>
      <c r="L1157">
        <f t="shared" si="9"/>
        <v>0</v>
      </c>
      <c r="M1157">
        <f t="shared" si="10"/>
        <v>0</v>
      </c>
      <c r="N1157" s="91" t="s">
        <v>406</v>
      </c>
      <c r="O1157" s="132"/>
      <c r="P1157" s="219"/>
      <c r="Q1157" s="220"/>
      <c r="R1157" s="133"/>
      <c r="S1157" s="131"/>
    </row>
    <row r="1158" hidden="1">
      <c r="A1158" s="32" t="str">
        <f t="shared" si="1"/>
        <v>#N/A</v>
      </c>
      <c r="B1158" s="32" t="str">
        <f t="shared" si="2"/>
        <v>#N/A</v>
      </c>
      <c r="C1158" s="32" t="str">
        <f t="shared" si="3"/>
        <v>Week 10</v>
      </c>
      <c r="D1158" s="32">
        <v>2025.0</v>
      </c>
      <c r="E1158" t="str">
        <f t="shared" si="15"/>
        <v>10</v>
      </c>
      <c r="F1158" t="str">
        <f t="shared" si="5"/>
        <v>TEAM MANAGER(S)</v>
      </c>
      <c r="G1158" s="40" t="str">
        <f>VLOOKUP(F1158,'Manager Coding'!C:D,2,0)</f>
        <v>#N/A</v>
      </c>
      <c r="H1158" s="41" t="str">
        <f t="shared" si="6"/>
        <v>Score</v>
      </c>
      <c r="I1158" t="str">
        <f t="shared" si="7"/>
        <v>TEAM MANAGER(S)</v>
      </c>
      <c r="J1158" t="str">
        <f>VLOOKUP(I1158,'Manager Coding'!C:D,2,0)</f>
        <v>#N/A</v>
      </c>
      <c r="K1158" s="41" t="str">
        <f t="shared" si="8"/>
        <v>Score</v>
      </c>
      <c r="L1158">
        <f t="shared" si="9"/>
        <v>0</v>
      </c>
      <c r="M1158">
        <f t="shared" si="10"/>
        <v>0</v>
      </c>
      <c r="N1158" s="78" t="s">
        <v>197</v>
      </c>
      <c r="O1158" s="184" t="s">
        <v>88</v>
      </c>
      <c r="P1158" s="216" t="s">
        <v>59</v>
      </c>
      <c r="Q1158" s="216" t="s">
        <v>59</v>
      </c>
      <c r="R1158" s="185" t="s">
        <v>88</v>
      </c>
      <c r="S1158" s="185" t="s">
        <v>101</v>
      </c>
    </row>
    <row r="1159" hidden="1">
      <c r="A1159" s="32" t="str">
        <f t="shared" si="1"/>
        <v>2025RileyWeek 10</v>
      </c>
      <c r="B1159" s="32" t="str">
        <f t="shared" si="2"/>
        <v>2025ShepWeek 10</v>
      </c>
      <c r="C1159" s="32" t="str">
        <f t="shared" si="3"/>
        <v>Week 10</v>
      </c>
      <c r="D1159" s="32">
        <v>2025.0</v>
      </c>
      <c r="E1159" t="str">
        <f t="shared" si="15"/>
        <v>10</v>
      </c>
      <c r="F1159" t="str">
        <f t="shared" si="5"/>
        <v>Riley McElwain</v>
      </c>
      <c r="G1159" s="40" t="str">
        <f>VLOOKUP(F1159,'Manager Coding'!C:D,2,0)</f>
        <v>Riley</v>
      </c>
      <c r="H1159" s="41">
        <f t="shared" si="6"/>
        <v>87.8</v>
      </c>
      <c r="I1159" t="str">
        <f t="shared" si="7"/>
        <v>Jordan Shepherd</v>
      </c>
      <c r="J1159" t="str">
        <f>VLOOKUP(I1159,'Manager Coding'!C:D,2,0)</f>
        <v>Shep</v>
      </c>
      <c r="K1159" s="41">
        <f t="shared" si="8"/>
        <v>117.62</v>
      </c>
      <c r="L1159">
        <f t="shared" si="9"/>
        <v>0</v>
      </c>
      <c r="M1159">
        <f t="shared" si="10"/>
        <v>1</v>
      </c>
      <c r="N1159" s="179" t="s">
        <v>2712</v>
      </c>
      <c r="O1159" s="177" t="s">
        <v>68</v>
      </c>
      <c r="P1159" s="218">
        <v>87.8</v>
      </c>
      <c r="Q1159" s="218">
        <v>117.62</v>
      </c>
      <c r="R1159" s="178" t="s">
        <v>91</v>
      </c>
      <c r="S1159" s="179" t="s">
        <v>2704</v>
      </c>
    </row>
    <row r="1160" hidden="1">
      <c r="A1160" s="32" t="str">
        <f t="shared" si="1"/>
        <v>2025KnardDawgWeek 10</v>
      </c>
      <c r="B1160" s="32" t="str">
        <f t="shared" si="2"/>
        <v>2025Rooney/JacksonWeek 10</v>
      </c>
      <c r="C1160" s="32" t="str">
        <f t="shared" si="3"/>
        <v>Week 10</v>
      </c>
      <c r="D1160" s="32">
        <v>2025.0</v>
      </c>
      <c r="E1160" t="str">
        <f t="shared" si="15"/>
        <v>10</v>
      </c>
      <c r="F1160" t="str">
        <f t="shared" si="5"/>
        <v>Alex Kinniard, Jack Reilly</v>
      </c>
      <c r="G1160" s="40" t="str">
        <f>VLOOKUP(F1160,'Manager Coding'!C:D,2,0)</f>
        <v>KnardDawg</v>
      </c>
      <c r="H1160" s="41">
        <f t="shared" si="6"/>
        <v>91.2</v>
      </c>
      <c r="I1160" t="str">
        <f t="shared" si="7"/>
        <v>Stephen Rooney, Jackson Sattell</v>
      </c>
      <c r="J1160" t="str">
        <f>VLOOKUP(I1160,'Manager Coding'!C:D,2,0)</f>
        <v>Rooney/Jackson</v>
      </c>
      <c r="K1160" s="41">
        <f t="shared" si="8"/>
        <v>136.4</v>
      </c>
      <c r="L1160">
        <f t="shared" si="9"/>
        <v>0</v>
      </c>
      <c r="M1160">
        <f t="shared" si="10"/>
        <v>1</v>
      </c>
      <c r="N1160" s="131" t="s">
        <v>2715</v>
      </c>
      <c r="O1160" s="132" t="s">
        <v>87</v>
      </c>
      <c r="P1160" s="217">
        <v>91.2</v>
      </c>
      <c r="Q1160" s="217">
        <v>136.4</v>
      </c>
      <c r="R1160" s="133" t="s">
        <v>58</v>
      </c>
      <c r="S1160" s="131" t="s">
        <v>2709</v>
      </c>
    </row>
    <row r="1161" hidden="1">
      <c r="A1161" s="32" t="str">
        <f t="shared" si="1"/>
        <v>2025EwertWeek 10</v>
      </c>
      <c r="B1161" s="32" t="str">
        <f t="shared" si="2"/>
        <v>2025TayskiWeek 10</v>
      </c>
      <c r="C1161" s="32" t="str">
        <f t="shared" si="3"/>
        <v>Week 10</v>
      </c>
      <c r="D1161" s="32">
        <v>2025.0</v>
      </c>
      <c r="E1161" t="str">
        <f t="shared" si="15"/>
        <v>10</v>
      </c>
      <c r="F1161" t="str">
        <f t="shared" si="5"/>
        <v>Kyle Ewert, brad starck</v>
      </c>
      <c r="G1161" s="40" t="str">
        <f>VLOOKUP(F1161,'Manager Coding'!C:D,2,0)</f>
        <v>Ewert</v>
      </c>
      <c r="H1161" s="41">
        <f t="shared" si="6"/>
        <v>80.8</v>
      </c>
      <c r="I1161" t="str">
        <f t="shared" si="7"/>
        <v>Taylor Weis</v>
      </c>
      <c r="J1161" t="str">
        <f>VLOOKUP(I1161,'Manager Coding'!C:D,2,0)</f>
        <v>Tayski</v>
      </c>
      <c r="K1161" s="41">
        <f t="shared" si="8"/>
        <v>79.52</v>
      </c>
      <c r="L1161">
        <f t="shared" si="9"/>
        <v>1</v>
      </c>
      <c r="M1161">
        <f t="shared" si="10"/>
        <v>0</v>
      </c>
      <c r="N1161" s="128" t="s">
        <v>2718</v>
      </c>
      <c r="O1161" s="129" t="s">
        <v>105</v>
      </c>
      <c r="P1161" s="217">
        <v>80.8</v>
      </c>
      <c r="Q1161" s="217">
        <v>79.52</v>
      </c>
      <c r="R1161" s="130" t="s">
        <v>54</v>
      </c>
      <c r="S1161" s="128" t="s">
        <v>2706</v>
      </c>
    </row>
    <row r="1162" hidden="1">
      <c r="A1162" s="32" t="str">
        <f t="shared" si="1"/>
        <v>2025T-HowWeek 10</v>
      </c>
      <c r="B1162" s="32" t="str">
        <f t="shared" si="2"/>
        <v>2025CockWeek 10</v>
      </c>
      <c r="C1162" s="32" t="str">
        <f t="shared" si="3"/>
        <v>Week 10</v>
      </c>
      <c r="D1162" s="32">
        <v>2025.0</v>
      </c>
      <c r="E1162" t="str">
        <f t="shared" si="15"/>
        <v>10</v>
      </c>
      <c r="F1162" t="str">
        <f t="shared" si="5"/>
        <v>Tyler Howard</v>
      </c>
      <c r="G1162" s="40" t="str">
        <f>VLOOKUP(F1162,'Manager Coding'!C:D,2,0)</f>
        <v>T-How</v>
      </c>
      <c r="H1162" s="41">
        <f t="shared" si="6"/>
        <v>107.44</v>
      </c>
      <c r="I1162" t="str">
        <f t="shared" si="7"/>
        <v>Chris Cochrane</v>
      </c>
      <c r="J1162" t="str">
        <f>VLOOKUP(I1162,'Manager Coding'!C:D,2,0)</f>
        <v>Cock</v>
      </c>
      <c r="K1162" s="41">
        <f t="shared" si="8"/>
        <v>101.42</v>
      </c>
      <c r="L1162">
        <f t="shared" si="9"/>
        <v>1</v>
      </c>
      <c r="M1162">
        <f t="shared" si="10"/>
        <v>0</v>
      </c>
      <c r="N1162" s="131" t="s">
        <v>2719</v>
      </c>
      <c r="O1162" s="132" t="s">
        <v>85</v>
      </c>
      <c r="P1162" s="217">
        <v>107.44</v>
      </c>
      <c r="Q1162" s="217">
        <v>101.42</v>
      </c>
      <c r="R1162" s="133" t="s">
        <v>99</v>
      </c>
      <c r="S1162" s="131" t="s">
        <v>2703</v>
      </c>
    </row>
    <row r="1163" hidden="1">
      <c r="A1163" s="32" t="str">
        <f t="shared" si="1"/>
        <v>2025BuserWeek 10</v>
      </c>
      <c r="B1163" s="32" t="str">
        <f t="shared" si="2"/>
        <v>2025HudspeathWeek 10</v>
      </c>
      <c r="C1163" s="32" t="str">
        <f t="shared" si="3"/>
        <v>Week 10</v>
      </c>
      <c r="D1163" s="32">
        <v>2025.0</v>
      </c>
      <c r="E1163" t="str">
        <f t="shared" si="15"/>
        <v>10</v>
      </c>
      <c r="F1163" t="str">
        <f t="shared" si="5"/>
        <v>Ed Buser</v>
      </c>
      <c r="G1163" s="40" t="str">
        <f>VLOOKUP(F1163,'Manager Coding'!C:D,2,0)</f>
        <v>Buser</v>
      </c>
      <c r="H1163" s="41">
        <f t="shared" si="6"/>
        <v>109.72</v>
      </c>
      <c r="I1163" t="str">
        <f t="shared" si="7"/>
        <v>matt hudspeath</v>
      </c>
      <c r="J1163" t="str">
        <f>VLOOKUP(I1163,'Manager Coding'!C:D,2,0)</f>
        <v>Hudspeath</v>
      </c>
      <c r="K1163" s="41">
        <f t="shared" si="8"/>
        <v>104.3</v>
      </c>
      <c r="L1163">
        <f t="shared" si="9"/>
        <v>1</v>
      </c>
      <c r="M1163">
        <f t="shared" si="10"/>
        <v>0</v>
      </c>
      <c r="N1163" s="128" t="s">
        <v>2716</v>
      </c>
      <c r="O1163" s="129" t="s">
        <v>50</v>
      </c>
      <c r="P1163" s="217">
        <v>109.72</v>
      </c>
      <c r="Q1163" s="217">
        <v>104.3</v>
      </c>
      <c r="R1163" s="130" t="s">
        <v>64</v>
      </c>
      <c r="S1163" s="128" t="s">
        <v>2707</v>
      </c>
    </row>
    <row r="1164" hidden="1">
      <c r="A1164" s="32" t="str">
        <f t="shared" si="1"/>
        <v>2025SaltyWeek 10</v>
      </c>
      <c r="B1164" s="32" t="str">
        <f t="shared" si="2"/>
        <v>2025PiersonWeek 10</v>
      </c>
      <c r="C1164" s="32" t="str">
        <f t="shared" si="3"/>
        <v>Week 10</v>
      </c>
      <c r="D1164" s="32">
        <v>2025.0</v>
      </c>
      <c r="E1164" t="str">
        <f t="shared" si="15"/>
        <v>10</v>
      </c>
      <c r="F1164" t="str">
        <f t="shared" si="5"/>
        <v>R Saltiel</v>
      </c>
      <c r="G1164" s="40" t="str">
        <f>VLOOKUP(F1164,'Manager Coding'!C:D,2,0)</f>
        <v>Salty</v>
      </c>
      <c r="H1164" s="41">
        <f t="shared" si="6"/>
        <v>132.54</v>
      </c>
      <c r="I1164" t="str">
        <f t="shared" si="7"/>
        <v>Pierson Curtis</v>
      </c>
      <c r="J1164" t="str">
        <f>VLOOKUP(I1164,'Manager Coding'!C:D,2,0)</f>
        <v>Pierson</v>
      </c>
      <c r="K1164" s="41">
        <f t="shared" si="8"/>
        <v>129.48</v>
      </c>
      <c r="L1164">
        <f t="shared" si="9"/>
        <v>1</v>
      </c>
      <c r="M1164">
        <f t="shared" si="10"/>
        <v>0</v>
      </c>
      <c r="N1164" s="131" t="s">
        <v>2714</v>
      </c>
      <c r="O1164" s="132" t="s">
        <v>77</v>
      </c>
      <c r="P1164" s="217">
        <v>132.54</v>
      </c>
      <c r="Q1164" s="217">
        <v>129.48</v>
      </c>
      <c r="R1164" s="133" t="s">
        <v>93</v>
      </c>
      <c r="S1164" s="131" t="s">
        <v>2710</v>
      </c>
    </row>
    <row r="1165" hidden="1">
      <c r="A1165" s="32" t="str">
        <f t="shared" si="1"/>
        <v>#N/A</v>
      </c>
      <c r="B1165" s="32" t="str">
        <f t="shared" si="2"/>
        <v>#N/A</v>
      </c>
      <c r="C1165" s="32" t="str">
        <f t="shared" si="3"/>
        <v>Week 10</v>
      </c>
      <c r="D1165" s="32">
        <v>2025.0</v>
      </c>
      <c r="E1165" t="str">
        <f t="shared" si="15"/>
        <v>10</v>
      </c>
      <c r="F1165" t="str">
        <f t="shared" si="5"/>
        <v/>
      </c>
      <c r="G1165" s="40" t="str">
        <f>VLOOKUP(F1165,'Manager Coding'!C:D,2,0)</f>
        <v>#N/A</v>
      </c>
      <c r="H1165" s="41" t="str">
        <f t="shared" si="6"/>
        <v/>
      </c>
      <c r="I1165" t="str">
        <f t="shared" si="7"/>
        <v/>
      </c>
      <c r="J1165" t="str">
        <f>VLOOKUP(I1165,'Manager Coding'!C:D,2,0)</f>
        <v>#N/A</v>
      </c>
      <c r="K1165" s="41" t="str">
        <f t="shared" si="8"/>
        <v/>
      </c>
      <c r="L1165">
        <f t="shared" si="9"/>
        <v>0</v>
      </c>
      <c r="M1165">
        <f t="shared" si="10"/>
        <v>0</v>
      </c>
      <c r="N1165" s="91" t="s">
        <v>430</v>
      </c>
      <c r="O1165" s="135"/>
      <c r="P1165" s="206"/>
      <c r="Q1165" s="207"/>
      <c r="R1165" s="115"/>
      <c r="S1165" s="134"/>
    </row>
    <row r="1166" hidden="1">
      <c r="A1166" s="32" t="str">
        <f t="shared" si="1"/>
        <v>#N/A</v>
      </c>
      <c r="B1166" s="32" t="str">
        <f t="shared" si="2"/>
        <v>#N/A</v>
      </c>
      <c r="C1166" s="32" t="str">
        <f t="shared" si="3"/>
        <v>Week 11</v>
      </c>
      <c r="D1166" s="32">
        <v>2025.0</v>
      </c>
      <c r="E1166" t="str">
        <f t="shared" si="15"/>
        <v>11</v>
      </c>
      <c r="F1166" t="str">
        <f t="shared" si="5"/>
        <v>TEAM MANAGER(S)</v>
      </c>
      <c r="G1166" s="40" t="str">
        <f>VLOOKUP(F1166,'Manager Coding'!C:D,2,0)</f>
        <v>#N/A</v>
      </c>
      <c r="H1166" s="41" t="str">
        <f t="shared" si="6"/>
        <v>Score</v>
      </c>
      <c r="I1166" t="str">
        <f t="shared" si="7"/>
        <v>TEAM MANAGER(S)</v>
      </c>
      <c r="J1166" t="str">
        <f>VLOOKUP(I1166,'Manager Coding'!C:D,2,0)</f>
        <v>#N/A</v>
      </c>
      <c r="K1166" s="41" t="str">
        <f t="shared" si="8"/>
        <v>Score</v>
      </c>
      <c r="L1166">
        <f t="shared" si="9"/>
        <v>0</v>
      </c>
      <c r="M1166">
        <f t="shared" si="10"/>
        <v>0</v>
      </c>
      <c r="N1166" s="78" t="s">
        <v>197</v>
      </c>
      <c r="O1166" s="78" t="s">
        <v>88</v>
      </c>
      <c r="P1166" s="208" t="s">
        <v>59</v>
      </c>
      <c r="Q1166" s="208" t="s">
        <v>59</v>
      </c>
      <c r="R1166" s="79" t="s">
        <v>88</v>
      </c>
      <c r="S1166" s="79" t="s">
        <v>101</v>
      </c>
    </row>
    <row r="1167" hidden="1">
      <c r="A1167" s="32" t="str">
        <f t="shared" si="1"/>
        <v>2025ShepWeek 11</v>
      </c>
      <c r="B1167" s="32" t="str">
        <f t="shared" si="2"/>
        <v>2025Rooney/JacksonWeek 11</v>
      </c>
      <c r="C1167" s="32" t="str">
        <f t="shared" si="3"/>
        <v>Week 11</v>
      </c>
      <c r="D1167" s="32">
        <v>2025.0</v>
      </c>
      <c r="E1167" t="str">
        <f t="shared" si="15"/>
        <v>11</v>
      </c>
      <c r="F1167" t="str">
        <f t="shared" si="5"/>
        <v>Jordan Shepherd</v>
      </c>
      <c r="G1167" s="40" t="str">
        <f>VLOOKUP(F1167,'Manager Coding'!C:D,2,0)</f>
        <v>Shep</v>
      </c>
      <c r="H1167" s="41">
        <f t="shared" si="6"/>
        <v>126.22</v>
      </c>
      <c r="I1167" t="str">
        <f t="shared" si="7"/>
        <v>Stephen Rooney, Jackson Sattell</v>
      </c>
      <c r="J1167" t="str">
        <f>VLOOKUP(I1167,'Manager Coding'!C:D,2,0)</f>
        <v>Rooney/Jackson</v>
      </c>
      <c r="K1167" s="41">
        <f t="shared" si="8"/>
        <v>99.64</v>
      </c>
      <c r="L1167">
        <f t="shared" si="9"/>
        <v>1</v>
      </c>
      <c r="M1167">
        <f t="shared" si="10"/>
        <v>0</v>
      </c>
      <c r="N1167" s="179" t="s">
        <v>2704</v>
      </c>
      <c r="O1167" s="177" t="s">
        <v>91</v>
      </c>
      <c r="P1167" s="218">
        <v>126.22</v>
      </c>
      <c r="Q1167" s="218">
        <v>99.64</v>
      </c>
      <c r="R1167" s="178" t="s">
        <v>58</v>
      </c>
      <c r="S1167" s="179" t="s">
        <v>2709</v>
      </c>
    </row>
    <row r="1168" hidden="1">
      <c r="A1168" s="32" t="str">
        <f t="shared" si="1"/>
        <v>2025TayskiWeek 11</v>
      </c>
      <c r="B1168" s="32" t="str">
        <f t="shared" si="2"/>
        <v>2025RileyWeek 11</v>
      </c>
      <c r="C1168" s="32" t="str">
        <f t="shared" si="3"/>
        <v>Week 11</v>
      </c>
      <c r="D1168" s="32">
        <v>2025.0</v>
      </c>
      <c r="E1168" t="str">
        <f t="shared" si="15"/>
        <v>11</v>
      </c>
      <c r="F1168" t="str">
        <f t="shared" si="5"/>
        <v>Taylor Weis</v>
      </c>
      <c r="G1168" s="40" t="str">
        <f>VLOOKUP(F1168,'Manager Coding'!C:D,2,0)</f>
        <v>Tayski</v>
      </c>
      <c r="H1168" s="41">
        <f t="shared" si="6"/>
        <v>77.3</v>
      </c>
      <c r="I1168" t="str">
        <f t="shared" si="7"/>
        <v>Riley McElwain</v>
      </c>
      <c r="J1168" t="str">
        <f>VLOOKUP(I1168,'Manager Coding'!C:D,2,0)</f>
        <v>Riley</v>
      </c>
      <c r="K1168" s="41">
        <f t="shared" si="8"/>
        <v>74.74</v>
      </c>
      <c r="L1168">
        <f t="shared" si="9"/>
        <v>1</v>
      </c>
      <c r="M1168">
        <f t="shared" si="10"/>
        <v>0</v>
      </c>
      <c r="N1168" s="131" t="s">
        <v>2706</v>
      </c>
      <c r="O1168" s="132" t="s">
        <v>54</v>
      </c>
      <c r="P1168" s="217">
        <v>77.3</v>
      </c>
      <c r="Q1168" s="217">
        <v>74.74</v>
      </c>
      <c r="R1168" s="133" t="s">
        <v>68</v>
      </c>
      <c r="S1168" s="131" t="s">
        <v>2712</v>
      </c>
    </row>
    <row r="1169" hidden="1">
      <c r="A1169" s="32" t="str">
        <f t="shared" si="1"/>
        <v>2025CockWeek 11</v>
      </c>
      <c r="B1169" s="32" t="str">
        <f t="shared" si="2"/>
        <v>2025KnardDawgWeek 11</v>
      </c>
      <c r="C1169" s="32" t="str">
        <f t="shared" si="3"/>
        <v>Week 11</v>
      </c>
      <c r="D1169" s="32">
        <v>2025.0</v>
      </c>
      <c r="E1169" t="str">
        <f t="shared" si="15"/>
        <v>11</v>
      </c>
      <c r="F1169" t="str">
        <f t="shared" si="5"/>
        <v>Chris Cochrane</v>
      </c>
      <c r="G1169" s="40" t="str">
        <f>VLOOKUP(F1169,'Manager Coding'!C:D,2,0)</f>
        <v>Cock</v>
      </c>
      <c r="H1169" s="41">
        <f t="shared" si="6"/>
        <v>93.1</v>
      </c>
      <c r="I1169" t="str">
        <f t="shared" si="7"/>
        <v>Alex Kinniard, Jack Reilly</v>
      </c>
      <c r="J1169" t="str">
        <f>VLOOKUP(I1169,'Manager Coding'!C:D,2,0)</f>
        <v>KnardDawg</v>
      </c>
      <c r="K1169" s="41">
        <f t="shared" si="8"/>
        <v>92.5</v>
      </c>
      <c r="L1169">
        <f t="shared" si="9"/>
        <v>1</v>
      </c>
      <c r="M1169">
        <f t="shared" si="10"/>
        <v>0</v>
      </c>
      <c r="N1169" s="128" t="s">
        <v>2703</v>
      </c>
      <c r="O1169" s="129" t="s">
        <v>99</v>
      </c>
      <c r="P1169" s="217">
        <v>93.1</v>
      </c>
      <c r="Q1169" s="217">
        <v>92.5</v>
      </c>
      <c r="R1169" s="130" t="s">
        <v>87</v>
      </c>
      <c r="S1169" s="128" t="s">
        <v>2715</v>
      </c>
    </row>
    <row r="1170" hidden="1">
      <c r="A1170" s="32" t="str">
        <f t="shared" si="1"/>
        <v>2025HudspeathWeek 11</v>
      </c>
      <c r="B1170" s="32" t="str">
        <f t="shared" si="2"/>
        <v>2025EwertWeek 11</v>
      </c>
      <c r="C1170" s="32" t="str">
        <f t="shared" si="3"/>
        <v>Week 11</v>
      </c>
      <c r="D1170" s="32">
        <v>2025.0</v>
      </c>
      <c r="E1170" t="str">
        <f t="shared" si="15"/>
        <v>11</v>
      </c>
      <c r="F1170" t="str">
        <f t="shared" si="5"/>
        <v>matt hudspeath</v>
      </c>
      <c r="G1170" s="40" t="str">
        <f>VLOOKUP(F1170,'Manager Coding'!C:D,2,0)</f>
        <v>Hudspeath</v>
      </c>
      <c r="H1170" s="41">
        <f t="shared" si="6"/>
        <v>89.24</v>
      </c>
      <c r="I1170" t="str">
        <f t="shared" si="7"/>
        <v>Kyle Ewert, brad starck</v>
      </c>
      <c r="J1170" t="str">
        <f>VLOOKUP(I1170,'Manager Coding'!C:D,2,0)</f>
        <v>Ewert</v>
      </c>
      <c r="K1170" s="41">
        <f t="shared" si="8"/>
        <v>88.82</v>
      </c>
      <c r="L1170">
        <f t="shared" si="9"/>
        <v>1</v>
      </c>
      <c r="M1170">
        <f t="shared" si="10"/>
        <v>0</v>
      </c>
      <c r="N1170" s="131" t="s">
        <v>2707</v>
      </c>
      <c r="O1170" s="132" t="s">
        <v>64</v>
      </c>
      <c r="P1170" s="217">
        <v>89.24</v>
      </c>
      <c r="Q1170" s="217">
        <v>88.82</v>
      </c>
      <c r="R1170" s="133" t="s">
        <v>105</v>
      </c>
      <c r="S1170" s="131" t="s">
        <v>2718</v>
      </c>
    </row>
    <row r="1171" hidden="1">
      <c r="A1171" s="32" t="str">
        <f t="shared" si="1"/>
        <v>2025PiersonWeek 11</v>
      </c>
      <c r="B1171" s="32" t="str">
        <f t="shared" si="2"/>
        <v>2025T-HowWeek 11</v>
      </c>
      <c r="C1171" s="32" t="str">
        <f t="shared" si="3"/>
        <v>Week 11</v>
      </c>
      <c r="D1171" s="32">
        <v>2025.0</v>
      </c>
      <c r="E1171" t="str">
        <f t="shared" si="15"/>
        <v>11</v>
      </c>
      <c r="F1171" t="str">
        <f t="shared" si="5"/>
        <v>Pierson Curtis</v>
      </c>
      <c r="G1171" s="40" t="str">
        <f>VLOOKUP(F1171,'Manager Coding'!C:D,2,0)</f>
        <v>Pierson</v>
      </c>
      <c r="H1171" s="41">
        <f t="shared" si="6"/>
        <v>108.34</v>
      </c>
      <c r="I1171" t="str">
        <f t="shared" si="7"/>
        <v>Tyler Howard</v>
      </c>
      <c r="J1171" t="str">
        <f>VLOOKUP(I1171,'Manager Coding'!C:D,2,0)</f>
        <v>T-How</v>
      </c>
      <c r="K1171" s="41">
        <f t="shared" si="8"/>
        <v>120.78</v>
      </c>
      <c r="L1171">
        <f t="shared" si="9"/>
        <v>0</v>
      </c>
      <c r="M1171">
        <f t="shared" si="10"/>
        <v>1</v>
      </c>
      <c r="N1171" s="128" t="s">
        <v>2710</v>
      </c>
      <c r="O1171" s="129" t="s">
        <v>93</v>
      </c>
      <c r="P1171" s="217">
        <v>108.34</v>
      </c>
      <c r="Q1171" s="217">
        <v>120.78</v>
      </c>
      <c r="R1171" s="130" t="s">
        <v>85</v>
      </c>
      <c r="S1171" s="128" t="s">
        <v>2719</v>
      </c>
    </row>
    <row r="1172" hidden="1">
      <c r="A1172" s="32" t="str">
        <f t="shared" si="1"/>
        <v>2025SaltyWeek 11</v>
      </c>
      <c r="B1172" s="32" t="str">
        <f t="shared" si="2"/>
        <v>2025BuserWeek 11</v>
      </c>
      <c r="C1172" s="32" t="str">
        <f t="shared" si="3"/>
        <v>Week 11</v>
      </c>
      <c r="D1172" s="32">
        <v>2025.0</v>
      </c>
      <c r="E1172" t="str">
        <f t="shared" si="15"/>
        <v>11</v>
      </c>
      <c r="F1172" t="str">
        <f t="shared" si="5"/>
        <v>R Saltiel</v>
      </c>
      <c r="G1172" s="40" t="str">
        <f>VLOOKUP(F1172,'Manager Coding'!C:D,2,0)</f>
        <v>Salty</v>
      </c>
      <c r="H1172" s="41">
        <f t="shared" si="6"/>
        <v>88.52</v>
      </c>
      <c r="I1172" t="str">
        <f t="shared" si="7"/>
        <v>Ed Buser</v>
      </c>
      <c r="J1172" t="str">
        <f>VLOOKUP(I1172,'Manager Coding'!C:D,2,0)</f>
        <v>Buser</v>
      </c>
      <c r="K1172" s="41">
        <f t="shared" si="8"/>
        <v>126.52</v>
      </c>
      <c r="L1172">
        <f t="shared" si="9"/>
        <v>0</v>
      </c>
      <c r="M1172">
        <f t="shared" si="10"/>
        <v>1</v>
      </c>
      <c r="N1172" s="131" t="s">
        <v>2714</v>
      </c>
      <c r="O1172" s="132" t="s">
        <v>77</v>
      </c>
      <c r="P1172" s="217">
        <v>88.52</v>
      </c>
      <c r="Q1172" s="217">
        <v>126.52</v>
      </c>
      <c r="R1172" s="133" t="s">
        <v>50</v>
      </c>
      <c r="S1172" s="131" t="s">
        <v>2716</v>
      </c>
    </row>
    <row r="1173" hidden="1">
      <c r="A1173" s="32" t="str">
        <f t="shared" si="1"/>
        <v>#N/A</v>
      </c>
      <c r="B1173" s="32" t="str">
        <f t="shared" si="2"/>
        <v>#N/A</v>
      </c>
      <c r="C1173" s="32" t="str">
        <f t="shared" si="3"/>
        <v>Week 11</v>
      </c>
      <c r="D1173" s="32">
        <v>2025.0</v>
      </c>
      <c r="E1173" t="str">
        <f t="shared" si="15"/>
        <v>11</v>
      </c>
      <c r="F1173" t="str">
        <f t="shared" si="5"/>
        <v/>
      </c>
      <c r="G1173" s="40" t="str">
        <f>VLOOKUP(F1173,'Manager Coding'!C:D,2,0)</f>
        <v>#N/A</v>
      </c>
      <c r="H1173" s="41" t="str">
        <f t="shared" si="6"/>
        <v/>
      </c>
      <c r="I1173" t="str">
        <f t="shared" si="7"/>
        <v/>
      </c>
      <c r="J1173" t="str">
        <f>VLOOKUP(I1173,'Manager Coding'!C:D,2,0)</f>
        <v>#N/A</v>
      </c>
      <c r="K1173" s="41" t="str">
        <f t="shared" si="8"/>
        <v/>
      </c>
      <c r="L1173">
        <f t="shared" si="9"/>
        <v>0</v>
      </c>
      <c r="M1173">
        <f t="shared" si="10"/>
        <v>0</v>
      </c>
      <c r="N1173" s="91" t="s">
        <v>455</v>
      </c>
      <c r="O1173" s="213"/>
      <c r="P1173" s="212"/>
      <c r="Q1173" s="212"/>
      <c r="R1173" s="102"/>
      <c r="S1173" s="100"/>
    </row>
    <row r="1174" hidden="1">
      <c r="A1174" s="32" t="str">
        <f t="shared" si="1"/>
        <v>#N/A</v>
      </c>
      <c r="B1174" s="32" t="str">
        <f t="shared" si="2"/>
        <v>#N/A</v>
      </c>
      <c r="C1174" s="32" t="str">
        <f t="shared" si="3"/>
        <v>Week 12</v>
      </c>
      <c r="D1174" s="32">
        <v>2025.0</v>
      </c>
      <c r="E1174" t="str">
        <f t="shared" si="15"/>
        <v>12</v>
      </c>
      <c r="F1174" t="str">
        <f t="shared" si="5"/>
        <v>TEAM MANAGER(S)</v>
      </c>
      <c r="G1174" s="40" t="str">
        <f>VLOOKUP(F1174,'Manager Coding'!C:D,2,0)</f>
        <v>#N/A</v>
      </c>
      <c r="H1174" s="41" t="str">
        <f t="shared" si="6"/>
        <v>Score</v>
      </c>
      <c r="I1174" t="str">
        <f t="shared" si="7"/>
        <v>TEAM MANAGER(S)</v>
      </c>
      <c r="J1174" t="str">
        <f>VLOOKUP(I1174,'Manager Coding'!C:D,2,0)</f>
        <v>#N/A</v>
      </c>
      <c r="K1174" s="41" t="str">
        <f t="shared" si="8"/>
        <v>Score</v>
      </c>
      <c r="L1174">
        <f t="shared" si="9"/>
        <v>0</v>
      </c>
      <c r="M1174">
        <f t="shared" si="10"/>
        <v>0</v>
      </c>
      <c r="N1174" s="78" t="s">
        <v>197</v>
      </c>
      <c r="O1174" s="221" t="s">
        <v>88</v>
      </c>
      <c r="P1174" s="222" t="s">
        <v>59</v>
      </c>
      <c r="Q1174" s="222" t="s">
        <v>59</v>
      </c>
      <c r="R1174" s="223" t="s">
        <v>88</v>
      </c>
      <c r="S1174" s="223" t="s">
        <v>101</v>
      </c>
    </row>
    <row r="1175" hidden="1">
      <c r="A1175" s="32" t="str">
        <f t="shared" si="1"/>
        <v>2025TayskiWeek 12</v>
      </c>
      <c r="B1175" s="32" t="str">
        <f t="shared" si="2"/>
        <v>2025ShepWeek 12</v>
      </c>
      <c r="C1175" s="32" t="str">
        <f t="shared" si="3"/>
        <v>Week 12</v>
      </c>
      <c r="D1175" s="32">
        <v>2025.0</v>
      </c>
      <c r="E1175" t="str">
        <f t="shared" si="15"/>
        <v>12</v>
      </c>
      <c r="F1175" t="str">
        <f t="shared" si="5"/>
        <v>Taylor Weis</v>
      </c>
      <c r="G1175" s="40" t="str">
        <f>VLOOKUP(F1175,'Manager Coding'!C:D,2,0)</f>
        <v>Tayski</v>
      </c>
      <c r="H1175" s="41">
        <f t="shared" si="6"/>
        <v>86.78</v>
      </c>
      <c r="I1175" t="str">
        <f t="shared" si="7"/>
        <v>Jordan Shepherd</v>
      </c>
      <c r="J1175" t="str">
        <f>VLOOKUP(I1175,'Manager Coding'!C:D,2,0)</f>
        <v>Shep</v>
      </c>
      <c r="K1175" s="41">
        <f t="shared" si="8"/>
        <v>92.34</v>
      </c>
      <c r="L1175">
        <f t="shared" si="9"/>
        <v>0</v>
      </c>
      <c r="M1175">
        <f t="shared" si="10"/>
        <v>1</v>
      </c>
      <c r="N1175" s="128" t="s">
        <v>2706</v>
      </c>
      <c r="O1175" s="129" t="s">
        <v>54</v>
      </c>
      <c r="P1175" s="217">
        <v>86.78</v>
      </c>
      <c r="Q1175" s="217">
        <v>92.34</v>
      </c>
      <c r="R1175" s="130" t="s">
        <v>91</v>
      </c>
      <c r="S1175" s="128" t="s">
        <v>2704</v>
      </c>
    </row>
    <row r="1176" hidden="1">
      <c r="A1176" s="32" t="str">
        <f t="shared" si="1"/>
        <v>2025Rooney/JacksonWeek 12</v>
      </c>
      <c r="B1176" s="32" t="str">
        <f t="shared" si="2"/>
        <v>2025CockWeek 12</v>
      </c>
      <c r="C1176" s="32" t="str">
        <f t="shared" si="3"/>
        <v>Week 12</v>
      </c>
      <c r="D1176" s="32">
        <v>2025.0</v>
      </c>
      <c r="E1176" t="str">
        <f t="shared" si="15"/>
        <v>12</v>
      </c>
      <c r="F1176" t="str">
        <f t="shared" si="5"/>
        <v>Stephen Rooney, Jackson Sattell</v>
      </c>
      <c r="G1176" s="40" t="str">
        <f>VLOOKUP(F1176,'Manager Coding'!C:D,2,0)</f>
        <v>Rooney/Jackson</v>
      </c>
      <c r="H1176" s="41">
        <f t="shared" si="6"/>
        <v>60.76</v>
      </c>
      <c r="I1176" t="str">
        <f t="shared" si="7"/>
        <v>Chris Cochrane</v>
      </c>
      <c r="J1176" t="str">
        <f>VLOOKUP(I1176,'Manager Coding'!C:D,2,0)</f>
        <v>Cock</v>
      </c>
      <c r="K1176" s="41">
        <f t="shared" si="8"/>
        <v>142.96</v>
      </c>
      <c r="L1176">
        <f t="shared" si="9"/>
        <v>0</v>
      </c>
      <c r="M1176">
        <f t="shared" si="10"/>
        <v>1</v>
      </c>
      <c r="N1176" s="131" t="s">
        <v>2709</v>
      </c>
      <c r="O1176" s="132" t="s">
        <v>58</v>
      </c>
      <c r="P1176" s="217">
        <v>60.76</v>
      </c>
      <c r="Q1176" s="217">
        <v>142.96</v>
      </c>
      <c r="R1176" s="133" t="s">
        <v>99</v>
      </c>
      <c r="S1176" s="131" t="s">
        <v>2703</v>
      </c>
    </row>
    <row r="1177" hidden="1">
      <c r="A1177" s="32" t="str">
        <f t="shared" si="1"/>
        <v>2025RileyWeek 12</v>
      </c>
      <c r="B1177" s="32" t="str">
        <f t="shared" si="2"/>
        <v>2025HudspeathWeek 12</v>
      </c>
      <c r="C1177" s="32" t="str">
        <f t="shared" si="3"/>
        <v>Week 12</v>
      </c>
      <c r="D1177" s="32">
        <v>2025.0</v>
      </c>
      <c r="E1177" t="str">
        <f t="shared" si="15"/>
        <v>12</v>
      </c>
      <c r="F1177" t="str">
        <f t="shared" si="5"/>
        <v>Riley McElwain</v>
      </c>
      <c r="G1177" s="40" t="str">
        <f>VLOOKUP(F1177,'Manager Coding'!C:D,2,0)</f>
        <v>Riley</v>
      </c>
      <c r="H1177" s="41">
        <f t="shared" si="6"/>
        <v>87.42</v>
      </c>
      <c r="I1177" t="str">
        <f t="shared" si="7"/>
        <v>matt hudspeath</v>
      </c>
      <c r="J1177" t="str">
        <f>VLOOKUP(I1177,'Manager Coding'!C:D,2,0)</f>
        <v>Hudspeath</v>
      </c>
      <c r="K1177" s="41">
        <f t="shared" si="8"/>
        <v>107.54</v>
      </c>
      <c r="L1177">
        <f t="shared" si="9"/>
        <v>0</v>
      </c>
      <c r="M1177">
        <f t="shared" si="10"/>
        <v>1</v>
      </c>
      <c r="N1177" s="128" t="s">
        <v>2712</v>
      </c>
      <c r="O1177" s="129" t="s">
        <v>68</v>
      </c>
      <c r="P1177" s="217">
        <v>87.42</v>
      </c>
      <c r="Q1177" s="217">
        <v>107.54</v>
      </c>
      <c r="R1177" s="130" t="s">
        <v>64</v>
      </c>
      <c r="S1177" s="128" t="s">
        <v>2707</v>
      </c>
    </row>
    <row r="1178" hidden="1">
      <c r="A1178" s="32" t="str">
        <f t="shared" si="1"/>
        <v>2025KnardDawgWeek 12</v>
      </c>
      <c r="B1178" s="32" t="str">
        <f t="shared" si="2"/>
        <v>2025PiersonWeek 12</v>
      </c>
      <c r="C1178" s="32" t="str">
        <f t="shared" si="3"/>
        <v>Week 12</v>
      </c>
      <c r="D1178" s="32">
        <v>2025.0</v>
      </c>
      <c r="E1178" t="str">
        <f t="shared" si="15"/>
        <v>12</v>
      </c>
      <c r="F1178" t="str">
        <f t="shared" si="5"/>
        <v>Alex Kinniard, Jack Reilly</v>
      </c>
      <c r="G1178" s="40" t="str">
        <f>VLOOKUP(F1178,'Manager Coding'!C:D,2,0)</f>
        <v>KnardDawg</v>
      </c>
      <c r="H1178" s="41">
        <f t="shared" si="6"/>
        <v>105.26</v>
      </c>
      <c r="I1178" t="str">
        <f t="shared" si="7"/>
        <v>Pierson Curtis</v>
      </c>
      <c r="J1178" t="str">
        <f>VLOOKUP(I1178,'Manager Coding'!C:D,2,0)</f>
        <v>Pierson</v>
      </c>
      <c r="K1178" s="41">
        <f t="shared" si="8"/>
        <v>89.08</v>
      </c>
      <c r="L1178">
        <f t="shared" si="9"/>
        <v>1</v>
      </c>
      <c r="M1178">
        <f t="shared" si="10"/>
        <v>0</v>
      </c>
      <c r="N1178" s="131" t="s">
        <v>2715</v>
      </c>
      <c r="O1178" s="132" t="s">
        <v>87</v>
      </c>
      <c r="P1178" s="217">
        <v>105.26</v>
      </c>
      <c r="Q1178" s="217">
        <v>89.08</v>
      </c>
      <c r="R1178" s="133" t="s">
        <v>93</v>
      </c>
      <c r="S1178" s="131" t="s">
        <v>2710</v>
      </c>
    </row>
    <row r="1179" hidden="1">
      <c r="A1179" s="32" t="str">
        <f t="shared" si="1"/>
        <v>2025EwertWeek 12</v>
      </c>
      <c r="B1179" s="32" t="str">
        <f t="shared" si="2"/>
        <v>2025SaltyWeek 12</v>
      </c>
      <c r="C1179" s="32" t="str">
        <f t="shared" si="3"/>
        <v>Week 12</v>
      </c>
      <c r="D1179" s="32">
        <v>2025.0</v>
      </c>
      <c r="E1179" t="str">
        <f t="shared" si="15"/>
        <v>12</v>
      </c>
      <c r="F1179" t="str">
        <f t="shared" si="5"/>
        <v>Kyle Ewert, brad starck</v>
      </c>
      <c r="G1179" s="40" t="str">
        <f>VLOOKUP(F1179,'Manager Coding'!C:D,2,0)</f>
        <v>Ewert</v>
      </c>
      <c r="H1179" s="41">
        <f t="shared" si="6"/>
        <v>168.46</v>
      </c>
      <c r="I1179" t="str">
        <f t="shared" si="7"/>
        <v>R Saltiel</v>
      </c>
      <c r="J1179" t="str">
        <f>VLOOKUP(I1179,'Manager Coding'!C:D,2,0)</f>
        <v>Salty</v>
      </c>
      <c r="K1179" s="41">
        <f t="shared" si="8"/>
        <v>102.52</v>
      </c>
      <c r="L1179">
        <f t="shared" si="9"/>
        <v>1</v>
      </c>
      <c r="M1179">
        <f t="shared" si="10"/>
        <v>0</v>
      </c>
      <c r="N1179" s="128" t="s">
        <v>2718</v>
      </c>
      <c r="O1179" s="129" t="s">
        <v>105</v>
      </c>
      <c r="P1179" s="217">
        <v>168.46</v>
      </c>
      <c r="Q1179" s="217">
        <v>102.52</v>
      </c>
      <c r="R1179" s="130" t="s">
        <v>77</v>
      </c>
      <c r="S1179" s="128" t="s">
        <v>2714</v>
      </c>
    </row>
    <row r="1180" hidden="1">
      <c r="A1180" s="32" t="str">
        <f t="shared" si="1"/>
        <v>2025T-HowWeek 12</v>
      </c>
      <c r="B1180" s="32" t="str">
        <f t="shared" si="2"/>
        <v>2025BuserWeek 12</v>
      </c>
      <c r="C1180" s="32" t="str">
        <f t="shared" si="3"/>
        <v>Week 12</v>
      </c>
      <c r="D1180" s="32">
        <v>2025.0</v>
      </c>
      <c r="E1180" t="str">
        <f t="shared" si="15"/>
        <v>12</v>
      </c>
      <c r="F1180" t="str">
        <f t="shared" si="5"/>
        <v>Tyler Howard</v>
      </c>
      <c r="G1180" s="40" t="str">
        <f>VLOOKUP(F1180,'Manager Coding'!C:D,2,0)</f>
        <v>T-How</v>
      </c>
      <c r="H1180" s="41">
        <f t="shared" si="6"/>
        <v>103.02</v>
      </c>
      <c r="I1180" t="str">
        <f t="shared" si="7"/>
        <v>Ed Buser</v>
      </c>
      <c r="J1180" t="str">
        <f>VLOOKUP(I1180,'Manager Coding'!C:D,2,0)</f>
        <v>Buser</v>
      </c>
      <c r="K1180" s="41">
        <f t="shared" si="8"/>
        <v>140.66</v>
      </c>
      <c r="L1180">
        <f t="shared" si="9"/>
        <v>0</v>
      </c>
      <c r="M1180">
        <f t="shared" si="10"/>
        <v>1</v>
      </c>
      <c r="N1180" s="134" t="s">
        <v>2719</v>
      </c>
      <c r="O1180" s="135" t="s">
        <v>85</v>
      </c>
      <c r="P1180" s="210">
        <v>103.02</v>
      </c>
      <c r="Q1180" s="210">
        <v>140.66</v>
      </c>
      <c r="R1180" s="115" t="s">
        <v>50</v>
      </c>
      <c r="S1180" s="134" t="s">
        <v>2716</v>
      </c>
    </row>
    <row r="1181" hidden="1">
      <c r="A1181" s="32" t="str">
        <f t="shared" si="1"/>
        <v>#N/A</v>
      </c>
      <c r="B1181" s="32" t="str">
        <f t="shared" si="2"/>
        <v>#N/A</v>
      </c>
      <c r="C1181" s="32" t="str">
        <f t="shared" si="3"/>
        <v>Week 12</v>
      </c>
      <c r="D1181" s="32">
        <v>2025.0</v>
      </c>
      <c r="E1181" t="str">
        <f t="shared" si="15"/>
        <v>12</v>
      </c>
      <c r="F1181" t="str">
        <f t="shared" si="5"/>
        <v/>
      </c>
      <c r="G1181" s="40" t="str">
        <f>VLOOKUP(F1181,'Manager Coding'!C:D,2,0)</f>
        <v>#N/A</v>
      </c>
      <c r="H1181" s="41" t="str">
        <f t="shared" si="6"/>
        <v/>
      </c>
      <c r="I1181" t="str">
        <f t="shared" si="7"/>
        <v/>
      </c>
      <c r="J1181" t="str">
        <f>VLOOKUP(I1181,'Manager Coding'!C:D,2,0)</f>
        <v>#N/A</v>
      </c>
      <c r="K1181" s="41" t="str">
        <f t="shared" si="8"/>
        <v/>
      </c>
      <c r="L1181">
        <f t="shared" si="9"/>
        <v>0</v>
      </c>
      <c r="M1181">
        <f t="shared" si="10"/>
        <v>0</v>
      </c>
      <c r="N1181" s="91" t="s">
        <v>477</v>
      </c>
      <c r="O1181" s="101"/>
      <c r="P1181" s="224"/>
      <c r="Q1181" s="224"/>
      <c r="R1181" s="102"/>
      <c r="S1181" s="100"/>
    </row>
    <row r="1182" hidden="1">
      <c r="A1182" s="32" t="str">
        <f t="shared" si="1"/>
        <v>#N/A</v>
      </c>
      <c r="B1182" s="32" t="str">
        <f t="shared" si="2"/>
        <v>#N/A</v>
      </c>
      <c r="C1182" s="32" t="str">
        <f t="shared" si="3"/>
        <v>Week 13</v>
      </c>
      <c r="D1182" s="32">
        <v>2025.0</v>
      </c>
      <c r="E1182" t="str">
        <f t="shared" si="15"/>
        <v>13</v>
      </c>
      <c r="F1182" t="str">
        <f t="shared" si="5"/>
        <v>TEAM MANAGER(S)</v>
      </c>
      <c r="G1182" s="40" t="str">
        <f>VLOOKUP(F1182,'Manager Coding'!C:D,2,0)</f>
        <v>#N/A</v>
      </c>
      <c r="H1182" s="41" t="str">
        <f t="shared" si="6"/>
        <v>Score</v>
      </c>
      <c r="I1182" t="str">
        <f t="shared" si="7"/>
        <v>TEAM MANAGER(S)</v>
      </c>
      <c r="J1182" t="str">
        <f>VLOOKUP(I1182,'Manager Coding'!C:D,2,0)</f>
        <v>#N/A</v>
      </c>
      <c r="K1182" s="41" t="str">
        <f t="shared" si="8"/>
        <v>Score</v>
      </c>
      <c r="L1182">
        <f t="shared" si="9"/>
        <v>0</v>
      </c>
      <c r="M1182">
        <f t="shared" si="10"/>
        <v>0</v>
      </c>
      <c r="N1182" s="221" t="s">
        <v>197</v>
      </c>
      <c r="O1182" s="221" t="s">
        <v>88</v>
      </c>
      <c r="P1182" s="222" t="s">
        <v>59</v>
      </c>
      <c r="Q1182" s="222" t="s">
        <v>59</v>
      </c>
      <c r="R1182" s="223" t="s">
        <v>88</v>
      </c>
      <c r="S1182" s="223" t="s">
        <v>101</v>
      </c>
    </row>
    <row r="1183" hidden="1">
      <c r="A1183" s="32" t="str">
        <f t="shared" si="1"/>
        <v>2025ShepWeek 13</v>
      </c>
      <c r="B1183" s="32" t="str">
        <f t="shared" si="2"/>
        <v>2025CockWeek 13</v>
      </c>
      <c r="C1183" s="32" t="str">
        <f t="shared" si="3"/>
        <v>Week 13</v>
      </c>
      <c r="D1183" s="32">
        <v>2025.0</v>
      </c>
      <c r="E1183" t="str">
        <f t="shared" si="15"/>
        <v>13</v>
      </c>
      <c r="F1183" t="str">
        <f t="shared" si="5"/>
        <v>Jordan Shepherd</v>
      </c>
      <c r="G1183" s="40" t="str">
        <f>VLOOKUP(F1183,'Manager Coding'!C:D,2,0)</f>
        <v>Shep</v>
      </c>
      <c r="H1183" s="41">
        <f t="shared" si="6"/>
        <v>74.12</v>
      </c>
      <c r="I1183" t="str">
        <f t="shared" si="7"/>
        <v>Chris Cochrane</v>
      </c>
      <c r="J1183" t="str">
        <f>VLOOKUP(I1183,'Manager Coding'!C:D,2,0)</f>
        <v>Cock</v>
      </c>
      <c r="K1183" s="41">
        <f t="shared" si="8"/>
        <v>97.1</v>
      </c>
      <c r="L1183">
        <f t="shared" si="9"/>
        <v>0</v>
      </c>
      <c r="M1183">
        <f t="shared" si="10"/>
        <v>1</v>
      </c>
      <c r="N1183" s="128" t="s">
        <v>2704</v>
      </c>
      <c r="O1183" s="129" t="s">
        <v>91</v>
      </c>
      <c r="P1183" s="217">
        <v>74.12</v>
      </c>
      <c r="Q1183" s="217">
        <v>97.1</v>
      </c>
      <c r="R1183" s="130" t="s">
        <v>99</v>
      </c>
      <c r="S1183" s="128" t="s">
        <v>2703</v>
      </c>
    </row>
    <row r="1184" hidden="1">
      <c r="A1184" s="32" t="str">
        <f t="shared" si="1"/>
        <v>2025HudspeathWeek 13</v>
      </c>
      <c r="B1184" s="32" t="str">
        <f t="shared" si="2"/>
        <v>2025TayskiWeek 13</v>
      </c>
      <c r="C1184" s="32" t="str">
        <f t="shared" si="3"/>
        <v>Week 13</v>
      </c>
      <c r="D1184" s="32">
        <v>2025.0</v>
      </c>
      <c r="E1184" t="str">
        <f t="shared" si="15"/>
        <v>13</v>
      </c>
      <c r="F1184" t="str">
        <f t="shared" si="5"/>
        <v>matt hudspeath</v>
      </c>
      <c r="G1184" s="40" t="str">
        <f>VLOOKUP(F1184,'Manager Coding'!C:D,2,0)</f>
        <v>Hudspeath</v>
      </c>
      <c r="H1184" s="41">
        <f t="shared" si="6"/>
        <v>112.74</v>
      </c>
      <c r="I1184" t="str">
        <f t="shared" si="7"/>
        <v>Taylor Weis</v>
      </c>
      <c r="J1184" t="str">
        <f>VLOOKUP(I1184,'Manager Coding'!C:D,2,0)</f>
        <v>Tayski</v>
      </c>
      <c r="K1184" s="41">
        <f t="shared" si="8"/>
        <v>102.04</v>
      </c>
      <c r="L1184">
        <f t="shared" si="9"/>
        <v>1</v>
      </c>
      <c r="M1184">
        <f t="shared" si="10"/>
        <v>0</v>
      </c>
      <c r="N1184" s="131" t="s">
        <v>2707</v>
      </c>
      <c r="O1184" s="132" t="s">
        <v>64</v>
      </c>
      <c r="P1184" s="217">
        <v>112.74</v>
      </c>
      <c r="Q1184" s="217">
        <v>102.04</v>
      </c>
      <c r="R1184" s="133" t="s">
        <v>54</v>
      </c>
      <c r="S1184" s="131" t="s">
        <v>2706</v>
      </c>
    </row>
    <row r="1185" hidden="1">
      <c r="A1185" s="32" t="str">
        <f t="shared" si="1"/>
        <v>2025PiersonWeek 13</v>
      </c>
      <c r="B1185" s="32" t="str">
        <f t="shared" si="2"/>
        <v>2025Rooney/JacksonWeek 13</v>
      </c>
      <c r="C1185" s="32" t="str">
        <f t="shared" si="3"/>
        <v>Week 13</v>
      </c>
      <c r="D1185" s="32">
        <v>2025.0</v>
      </c>
      <c r="E1185" t="str">
        <f t="shared" si="15"/>
        <v>13</v>
      </c>
      <c r="F1185" t="str">
        <f t="shared" si="5"/>
        <v>Pierson Curtis</v>
      </c>
      <c r="G1185" s="40" t="str">
        <f>VLOOKUP(F1185,'Manager Coding'!C:D,2,0)</f>
        <v>Pierson</v>
      </c>
      <c r="H1185" s="41">
        <f t="shared" si="6"/>
        <v>131.74</v>
      </c>
      <c r="I1185" t="str">
        <f t="shared" si="7"/>
        <v>Stephen Rooney, Jackson Sattell</v>
      </c>
      <c r="J1185" t="str">
        <f>VLOOKUP(I1185,'Manager Coding'!C:D,2,0)</f>
        <v>Rooney/Jackson</v>
      </c>
      <c r="K1185" s="41">
        <f t="shared" si="8"/>
        <v>135.58</v>
      </c>
      <c r="L1185">
        <f t="shared" si="9"/>
        <v>0</v>
      </c>
      <c r="M1185">
        <f t="shared" si="10"/>
        <v>1</v>
      </c>
      <c r="N1185" s="128" t="s">
        <v>2710</v>
      </c>
      <c r="O1185" s="129" t="s">
        <v>93</v>
      </c>
      <c r="P1185" s="217">
        <v>131.74</v>
      </c>
      <c r="Q1185" s="217">
        <v>135.58</v>
      </c>
      <c r="R1185" s="130" t="s">
        <v>58</v>
      </c>
      <c r="S1185" s="128" t="s">
        <v>2709</v>
      </c>
    </row>
    <row r="1186" hidden="1">
      <c r="A1186" s="32" t="str">
        <f t="shared" si="1"/>
        <v>2025SaltyWeek 13</v>
      </c>
      <c r="B1186" s="32" t="str">
        <f t="shared" si="2"/>
        <v>2025RileyWeek 13</v>
      </c>
      <c r="C1186" s="32" t="str">
        <f t="shared" si="3"/>
        <v>Week 13</v>
      </c>
      <c r="D1186" s="32">
        <v>2025.0</v>
      </c>
      <c r="E1186" t="str">
        <f t="shared" si="15"/>
        <v>13</v>
      </c>
      <c r="F1186" t="str">
        <f t="shared" si="5"/>
        <v>R Saltiel</v>
      </c>
      <c r="G1186" s="40" t="str">
        <f>VLOOKUP(F1186,'Manager Coding'!C:D,2,0)</f>
        <v>Salty</v>
      </c>
      <c r="H1186" s="41">
        <f t="shared" si="6"/>
        <v>83.34</v>
      </c>
      <c r="I1186" t="str">
        <f t="shared" si="7"/>
        <v>Riley McElwain</v>
      </c>
      <c r="J1186" t="str">
        <f>VLOOKUP(I1186,'Manager Coding'!C:D,2,0)</f>
        <v>Riley</v>
      </c>
      <c r="K1186" s="41">
        <f t="shared" si="8"/>
        <v>106.14</v>
      </c>
      <c r="L1186">
        <f t="shared" si="9"/>
        <v>0</v>
      </c>
      <c r="M1186">
        <f t="shared" si="10"/>
        <v>1</v>
      </c>
      <c r="N1186" s="131" t="s">
        <v>2714</v>
      </c>
      <c r="O1186" s="132" t="s">
        <v>77</v>
      </c>
      <c r="P1186" s="217">
        <v>83.34</v>
      </c>
      <c r="Q1186" s="217">
        <v>106.14</v>
      </c>
      <c r="R1186" s="133" t="s">
        <v>68</v>
      </c>
      <c r="S1186" s="131" t="s">
        <v>2712</v>
      </c>
    </row>
    <row r="1187" hidden="1">
      <c r="A1187" s="32" t="str">
        <f t="shared" si="1"/>
        <v>2025BuserWeek 13</v>
      </c>
      <c r="B1187" s="32" t="str">
        <f t="shared" si="2"/>
        <v>2025KnardDawgWeek 13</v>
      </c>
      <c r="C1187" s="32" t="str">
        <f t="shared" si="3"/>
        <v>Week 13</v>
      </c>
      <c r="D1187" s="32">
        <v>2025.0</v>
      </c>
      <c r="E1187" t="str">
        <f t="shared" si="15"/>
        <v>13</v>
      </c>
      <c r="F1187" t="str">
        <f t="shared" si="5"/>
        <v>Ed Buser</v>
      </c>
      <c r="G1187" s="40" t="str">
        <f>VLOOKUP(F1187,'Manager Coding'!C:D,2,0)</f>
        <v>Buser</v>
      </c>
      <c r="H1187" s="41">
        <f t="shared" si="6"/>
        <v>140</v>
      </c>
      <c r="I1187" t="str">
        <f t="shared" si="7"/>
        <v>Alex Kinniard, Jack Reilly</v>
      </c>
      <c r="J1187" t="str">
        <f>VLOOKUP(I1187,'Manager Coding'!C:D,2,0)</f>
        <v>KnardDawg</v>
      </c>
      <c r="K1187" s="41">
        <f t="shared" si="8"/>
        <v>74.14</v>
      </c>
      <c r="L1187">
        <f t="shared" si="9"/>
        <v>1</v>
      </c>
      <c r="M1187">
        <f t="shared" si="10"/>
        <v>0</v>
      </c>
      <c r="N1187" s="128" t="s">
        <v>2716</v>
      </c>
      <c r="O1187" s="129" t="s">
        <v>50</v>
      </c>
      <c r="P1187" s="217">
        <v>140.0</v>
      </c>
      <c r="Q1187" s="217">
        <v>74.14</v>
      </c>
      <c r="R1187" s="130" t="s">
        <v>87</v>
      </c>
      <c r="S1187" s="128" t="s">
        <v>2715</v>
      </c>
    </row>
    <row r="1188" hidden="1">
      <c r="A1188" s="32" t="str">
        <f t="shared" si="1"/>
        <v>2025T-HowWeek 13</v>
      </c>
      <c r="B1188" s="32" t="str">
        <f t="shared" si="2"/>
        <v>2025EwertWeek 13</v>
      </c>
      <c r="C1188" s="32" t="str">
        <f t="shared" si="3"/>
        <v>Week 13</v>
      </c>
      <c r="D1188" s="32">
        <v>2025.0</v>
      </c>
      <c r="E1188" t="str">
        <f t="shared" si="15"/>
        <v>13</v>
      </c>
      <c r="F1188" t="str">
        <f t="shared" si="5"/>
        <v>Tyler Howard</v>
      </c>
      <c r="G1188" s="40" t="str">
        <f>VLOOKUP(F1188,'Manager Coding'!C:D,2,0)</f>
        <v>T-How</v>
      </c>
      <c r="H1188" s="41">
        <f t="shared" si="6"/>
        <v>81.22</v>
      </c>
      <c r="I1188" t="str">
        <f t="shared" si="7"/>
        <v>Kyle Ewert, brad starck</v>
      </c>
      <c r="J1188" t="str">
        <f>VLOOKUP(I1188,'Manager Coding'!C:D,2,0)</f>
        <v>Ewert</v>
      </c>
      <c r="K1188" s="41">
        <f t="shared" si="8"/>
        <v>67.26</v>
      </c>
      <c r="L1188">
        <f t="shared" si="9"/>
        <v>1</v>
      </c>
      <c r="M1188">
        <f t="shared" si="10"/>
        <v>0</v>
      </c>
      <c r="N1188" s="134" t="s">
        <v>2719</v>
      </c>
      <c r="O1188" s="135" t="s">
        <v>85</v>
      </c>
      <c r="P1188" s="210">
        <v>81.22</v>
      </c>
      <c r="Q1188" s="210">
        <v>67.26</v>
      </c>
      <c r="R1188" s="115" t="s">
        <v>105</v>
      </c>
      <c r="S1188" s="134" t="s">
        <v>2718</v>
      </c>
    </row>
    <row r="1189" hidden="1">
      <c r="A1189" s="32" t="str">
        <f t="shared" si="1"/>
        <v>#N/A</v>
      </c>
      <c r="B1189" s="32" t="str">
        <f t="shared" si="2"/>
        <v>#N/A</v>
      </c>
      <c r="C1189" s="32" t="str">
        <f t="shared" si="3"/>
        <v>Week 13</v>
      </c>
      <c r="D1189" s="32">
        <v>2025.0</v>
      </c>
      <c r="E1189" t="str">
        <f t="shared" si="15"/>
        <v>13</v>
      </c>
      <c r="F1189" t="str">
        <f t="shared" si="5"/>
        <v/>
      </c>
      <c r="G1189" s="40" t="str">
        <f>VLOOKUP(F1189,'Manager Coding'!C:D,2,0)</f>
        <v>#N/A</v>
      </c>
      <c r="H1189" s="41" t="str">
        <f t="shared" si="6"/>
        <v/>
      </c>
      <c r="I1189" t="str">
        <f t="shared" si="7"/>
        <v/>
      </c>
      <c r="J1189" t="str">
        <f>VLOOKUP(I1189,'Manager Coding'!C:D,2,0)</f>
        <v>#N/A</v>
      </c>
      <c r="K1189" s="41" t="str">
        <f t="shared" si="8"/>
        <v/>
      </c>
      <c r="L1189">
        <f t="shared" si="9"/>
        <v>0</v>
      </c>
      <c r="M1189">
        <f t="shared" si="10"/>
        <v>0</v>
      </c>
      <c r="N1189" s="91" t="s">
        <v>1773</v>
      </c>
      <c r="O1189" s="101"/>
      <c r="P1189" s="224"/>
      <c r="Q1189" s="224"/>
      <c r="R1189" s="102"/>
      <c r="S1189" s="100"/>
    </row>
    <row r="1190" hidden="1">
      <c r="A1190" s="32" t="str">
        <f t="shared" si="1"/>
        <v>#N/A</v>
      </c>
      <c r="B1190" s="32" t="str">
        <f t="shared" si="2"/>
        <v>#N/A</v>
      </c>
      <c r="C1190" s="32" t="str">
        <f t="shared" si="3"/>
        <v>Week 14</v>
      </c>
      <c r="D1190" s="32">
        <v>2025.0</v>
      </c>
      <c r="E1190" t="str">
        <f t="shared" si="15"/>
        <v>14</v>
      </c>
      <c r="F1190" t="str">
        <f t="shared" si="5"/>
        <v>TEAM MANAGER(S)</v>
      </c>
      <c r="G1190" s="40" t="str">
        <f>VLOOKUP(F1190,'Manager Coding'!C:D,2,0)</f>
        <v>#N/A</v>
      </c>
      <c r="H1190" s="41" t="str">
        <f t="shared" si="6"/>
        <v>Score</v>
      </c>
      <c r="I1190" t="str">
        <f t="shared" si="7"/>
        <v>TEAM MANAGER(S)</v>
      </c>
      <c r="J1190" t="str">
        <f>VLOOKUP(I1190,'Manager Coding'!C:D,2,0)</f>
        <v>#N/A</v>
      </c>
      <c r="K1190" s="41" t="str">
        <f t="shared" si="8"/>
        <v>Score</v>
      </c>
      <c r="L1190">
        <f t="shared" si="9"/>
        <v>0</v>
      </c>
      <c r="M1190">
        <f t="shared" si="10"/>
        <v>0</v>
      </c>
      <c r="N1190" s="221" t="s">
        <v>197</v>
      </c>
      <c r="O1190" s="221" t="s">
        <v>88</v>
      </c>
      <c r="P1190" s="222" t="s">
        <v>59</v>
      </c>
      <c r="Q1190" s="222" t="s">
        <v>59</v>
      </c>
      <c r="R1190" s="223" t="s">
        <v>88</v>
      </c>
      <c r="S1190" s="223" t="s">
        <v>101</v>
      </c>
    </row>
    <row r="1191" hidden="1">
      <c r="A1191" s="32" t="str">
        <f t="shared" si="1"/>
        <v>2025HudspeathWeek 14</v>
      </c>
      <c r="B1191" s="32" t="str">
        <f t="shared" si="2"/>
        <v>2025ShepWeek 14</v>
      </c>
      <c r="C1191" s="32" t="str">
        <f t="shared" si="3"/>
        <v>Week 14</v>
      </c>
      <c r="D1191" s="32">
        <v>2025.0</v>
      </c>
      <c r="E1191" t="str">
        <f t="shared" si="15"/>
        <v>14</v>
      </c>
      <c r="F1191" t="str">
        <f t="shared" si="5"/>
        <v>matt hudspeath</v>
      </c>
      <c r="G1191" s="40" t="str">
        <f>VLOOKUP(F1191,'Manager Coding'!C:D,2,0)</f>
        <v>Hudspeath</v>
      </c>
      <c r="H1191" s="41">
        <f t="shared" si="6"/>
        <v>106.26</v>
      </c>
      <c r="I1191" t="str">
        <f t="shared" si="7"/>
        <v>Jordan Shepherd</v>
      </c>
      <c r="J1191" t="str">
        <f>VLOOKUP(I1191,'Manager Coding'!C:D,2,0)</f>
        <v>Shep</v>
      </c>
      <c r="K1191" s="41">
        <f t="shared" si="8"/>
        <v>97.58</v>
      </c>
      <c r="L1191">
        <f t="shared" si="9"/>
        <v>1</v>
      </c>
      <c r="M1191">
        <f t="shared" si="10"/>
        <v>0</v>
      </c>
      <c r="N1191" s="128" t="s">
        <v>2707</v>
      </c>
      <c r="O1191" s="129" t="s">
        <v>64</v>
      </c>
      <c r="P1191" s="217">
        <v>106.26</v>
      </c>
      <c r="Q1191" s="217">
        <v>97.58</v>
      </c>
      <c r="R1191" s="130" t="s">
        <v>91</v>
      </c>
      <c r="S1191" s="128" t="s">
        <v>2704</v>
      </c>
    </row>
    <row r="1192" hidden="1">
      <c r="A1192" s="32" t="str">
        <f t="shared" si="1"/>
        <v>2025CockWeek 14</v>
      </c>
      <c r="B1192" s="32" t="str">
        <f t="shared" si="2"/>
        <v>2025PiersonWeek 14</v>
      </c>
      <c r="C1192" s="32" t="str">
        <f t="shared" si="3"/>
        <v>Week 14</v>
      </c>
      <c r="D1192" s="32">
        <v>2025.0</v>
      </c>
      <c r="E1192" t="str">
        <f t="shared" si="15"/>
        <v>14</v>
      </c>
      <c r="F1192" t="str">
        <f t="shared" si="5"/>
        <v>Chris Cochrane</v>
      </c>
      <c r="G1192" s="40" t="str">
        <f>VLOOKUP(F1192,'Manager Coding'!C:D,2,0)</f>
        <v>Cock</v>
      </c>
      <c r="H1192" s="41">
        <f t="shared" si="6"/>
        <v>76</v>
      </c>
      <c r="I1192" t="str">
        <f t="shared" si="7"/>
        <v>Pierson Curtis</v>
      </c>
      <c r="J1192" t="str">
        <f>VLOOKUP(I1192,'Manager Coding'!C:D,2,0)</f>
        <v>Pierson</v>
      </c>
      <c r="K1192" s="41">
        <f t="shared" si="8"/>
        <v>78.7</v>
      </c>
      <c r="L1192">
        <f t="shared" si="9"/>
        <v>0</v>
      </c>
      <c r="M1192">
        <f t="shared" si="10"/>
        <v>1</v>
      </c>
      <c r="N1192" s="131" t="s">
        <v>2703</v>
      </c>
      <c r="O1192" s="132" t="s">
        <v>99</v>
      </c>
      <c r="P1192" s="217">
        <v>76.0</v>
      </c>
      <c r="Q1192" s="217">
        <v>78.7</v>
      </c>
      <c r="R1192" s="133" t="s">
        <v>93</v>
      </c>
      <c r="S1192" s="131" t="s">
        <v>2710</v>
      </c>
    </row>
    <row r="1193" hidden="1">
      <c r="A1193" s="32" t="str">
        <f t="shared" si="1"/>
        <v>2025TayskiWeek 14</v>
      </c>
      <c r="B1193" s="32" t="str">
        <f t="shared" si="2"/>
        <v>2025SaltyWeek 14</v>
      </c>
      <c r="C1193" s="32" t="str">
        <f t="shared" si="3"/>
        <v>Week 14</v>
      </c>
      <c r="D1193" s="32">
        <v>2025.0</v>
      </c>
      <c r="E1193" t="str">
        <f t="shared" si="15"/>
        <v>14</v>
      </c>
      <c r="F1193" t="str">
        <f t="shared" si="5"/>
        <v>Taylor Weis</v>
      </c>
      <c r="G1193" s="40" t="str">
        <f>VLOOKUP(F1193,'Manager Coding'!C:D,2,0)</f>
        <v>Tayski</v>
      </c>
      <c r="H1193" s="41">
        <f t="shared" si="6"/>
        <v>53.82</v>
      </c>
      <c r="I1193" t="str">
        <f t="shared" si="7"/>
        <v>R Saltiel</v>
      </c>
      <c r="J1193" t="str">
        <f>VLOOKUP(I1193,'Manager Coding'!C:D,2,0)</f>
        <v>Salty</v>
      </c>
      <c r="K1193" s="41">
        <f t="shared" si="8"/>
        <v>114.66</v>
      </c>
      <c r="L1193">
        <f t="shared" si="9"/>
        <v>0</v>
      </c>
      <c r="M1193">
        <f t="shared" si="10"/>
        <v>1</v>
      </c>
      <c r="N1193" s="128" t="s">
        <v>2706</v>
      </c>
      <c r="O1193" s="129" t="s">
        <v>54</v>
      </c>
      <c r="P1193" s="217">
        <v>53.82</v>
      </c>
      <c r="Q1193" s="217">
        <v>114.66</v>
      </c>
      <c r="R1193" s="130" t="s">
        <v>77</v>
      </c>
      <c r="S1193" s="128" t="s">
        <v>2714</v>
      </c>
    </row>
    <row r="1194" hidden="1">
      <c r="A1194" s="32" t="str">
        <f t="shared" si="1"/>
        <v>2025Rooney/JacksonWeek 14</v>
      </c>
      <c r="B1194" s="32" t="str">
        <f t="shared" si="2"/>
        <v>2025BuserWeek 14</v>
      </c>
      <c r="C1194" s="32" t="str">
        <f t="shared" si="3"/>
        <v>Week 14</v>
      </c>
      <c r="D1194" s="32">
        <v>2025.0</v>
      </c>
      <c r="E1194" t="str">
        <f t="shared" si="15"/>
        <v>14</v>
      </c>
      <c r="F1194" t="str">
        <f t="shared" si="5"/>
        <v>Stephen Rooney, Jackson Sattell</v>
      </c>
      <c r="G1194" s="40" t="str">
        <f>VLOOKUP(F1194,'Manager Coding'!C:D,2,0)</f>
        <v>Rooney/Jackson</v>
      </c>
      <c r="H1194" s="41">
        <f t="shared" si="6"/>
        <v>148.96</v>
      </c>
      <c r="I1194" t="str">
        <f t="shared" si="7"/>
        <v>Ed Buser</v>
      </c>
      <c r="J1194" t="str">
        <f>VLOOKUP(I1194,'Manager Coding'!C:D,2,0)</f>
        <v>Buser</v>
      </c>
      <c r="K1194" s="41">
        <f t="shared" si="8"/>
        <v>67.54</v>
      </c>
      <c r="L1194">
        <f t="shared" si="9"/>
        <v>1</v>
      </c>
      <c r="M1194">
        <f t="shared" si="10"/>
        <v>0</v>
      </c>
      <c r="N1194" s="131" t="s">
        <v>2709</v>
      </c>
      <c r="O1194" s="132" t="s">
        <v>58</v>
      </c>
      <c r="P1194" s="217">
        <v>148.96</v>
      </c>
      <c r="Q1194" s="217">
        <v>67.54</v>
      </c>
      <c r="R1194" s="133" t="s">
        <v>50</v>
      </c>
      <c r="S1194" s="131" t="s">
        <v>2716</v>
      </c>
    </row>
    <row r="1195" hidden="1">
      <c r="A1195" s="32" t="str">
        <f t="shared" si="1"/>
        <v>2025RileyWeek 14</v>
      </c>
      <c r="B1195" s="32" t="str">
        <f t="shared" si="2"/>
        <v>2025T-HowWeek 14</v>
      </c>
      <c r="C1195" s="32" t="str">
        <f t="shared" si="3"/>
        <v>Week 14</v>
      </c>
      <c r="D1195" s="32">
        <v>2025.0</v>
      </c>
      <c r="E1195" t="str">
        <f t="shared" si="15"/>
        <v>14</v>
      </c>
      <c r="F1195" t="str">
        <f t="shared" si="5"/>
        <v>Riley McElwain</v>
      </c>
      <c r="G1195" s="40" t="str">
        <f>VLOOKUP(F1195,'Manager Coding'!C:D,2,0)</f>
        <v>Riley</v>
      </c>
      <c r="H1195" s="41">
        <f t="shared" si="6"/>
        <v>88.86</v>
      </c>
      <c r="I1195" t="str">
        <f t="shared" si="7"/>
        <v>Tyler Howard</v>
      </c>
      <c r="J1195" t="str">
        <f>VLOOKUP(I1195,'Manager Coding'!C:D,2,0)</f>
        <v>T-How</v>
      </c>
      <c r="K1195" s="41">
        <f t="shared" si="8"/>
        <v>127.34</v>
      </c>
      <c r="L1195">
        <f t="shared" si="9"/>
        <v>0</v>
      </c>
      <c r="M1195">
        <f t="shared" si="10"/>
        <v>1</v>
      </c>
      <c r="N1195" s="128" t="s">
        <v>2712</v>
      </c>
      <c r="O1195" s="129" t="s">
        <v>68</v>
      </c>
      <c r="P1195" s="217">
        <v>88.86</v>
      </c>
      <c r="Q1195" s="217">
        <v>127.34</v>
      </c>
      <c r="R1195" s="130" t="s">
        <v>85</v>
      </c>
      <c r="S1195" s="128" t="s">
        <v>2719</v>
      </c>
    </row>
    <row r="1196" hidden="1">
      <c r="A1196" s="32" t="str">
        <f t="shared" si="1"/>
        <v>2025KnardDawgWeek 14</v>
      </c>
      <c r="B1196" s="32" t="str">
        <f t="shared" si="2"/>
        <v>2025EwertWeek 14</v>
      </c>
      <c r="C1196" s="32" t="str">
        <f t="shared" si="3"/>
        <v>Week 14</v>
      </c>
      <c r="D1196" s="32">
        <v>2025.0</v>
      </c>
      <c r="E1196" t="str">
        <f t="shared" si="15"/>
        <v>14</v>
      </c>
      <c r="F1196" t="str">
        <f t="shared" si="5"/>
        <v>Alex Kinniard, Jack Reilly</v>
      </c>
      <c r="G1196" s="40" t="str">
        <f>VLOOKUP(F1196,'Manager Coding'!C:D,2,0)</f>
        <v>KnardDawg</v>
      </c>
      <c r="H1196" s="41">
        <f t="shared" si="6"/>
        <v>97.96</v>
      </c>
      <c r="I1196" t="str">
        <f t="shared" si="7"/>
        <v>Kyle Ewert, brad starck</v>
      </c>
      <c r="J1196" t="str">
        <f>VLOOKUP(I1196,'Manager Coding'!C:D,2,0)</f>
        <v>Ewert</v>
      </c>
      <c r="K1196" s="41">
        <f t="shared" si="8"/>
        <v>106.74</v>
      </c>
      <c r="L1196">
        <f t="shared" si="9"/>
        <v>0</v>
      </c>
      <c r="M1196">
        <f t="shared" si="10"/>
        <v>1</v>
      </c>
      <c r="N1196" s="134" t="s">
        <v>2715</v>
      </c>
      <c r="O1196" s="135" t="s">
        <v>87</v>
      </c>
      <c r="P1196" s="210">
        <v>97.96</v>
      </c>
      <c r="Q1196" s="210">
        <v>106.74</v>
      </c>
      <c r="R1196" s="115" t="s">
        <v>105</v>
      </c>
      <c r="S1196" s="134" t="s">
        <v>2718</v>
      </c>
    </row>
    <row r="1197" hidden="1">
      <c r="A1197" s="32" t="str">
        <f t="shared" si="1"/>
        <v>#N/A</v>
      </c>
      <c r="B1197" s="32" t="str">
        <f t="shared" si="2"/>
        <v>#N/A</v>
      </c>
      <c r="C1197" s="32" t="str">
        <f t="shared" si="3"/>
        <v>Week 14</v>
      </c>
      <c r="D1197" s="32">
        <v>2025.0</v>
      </c>
      <c r="E1197" t="str">
        <f t="shared" si="15"/>
        <v>14</v>
      </c>
      <c r="F1197" t="str">
        <f t="shared" si="5"/>
        <v/>
      </c>
      <c r="G1197" s="40" t="str">
        <f>VLOOKUP(F1197,'Manager Coding'!C:D,2,0)</f>
        <v>#N/A</v>
      </c>
      <c r="H1197" s="41" t="str">
        <f t="shared" si="6"/>
        <v/>
      </c>
      <c r="I1197" t="str">
        <f t="shared" si="7"/>
        <v/>
      </c>
      <c r="J1197" t="str">
        <f>VLOOKUP(I1197,'Manager Coding'!C:D,2,0)</f>
        <v>#N/A</v>
      </c>
      <c r="K1197" s="41" t="str">
        <f t="shared" si="8"/>
        <v/>
      </c>
      <c r="L1197">
        <f t="shared" si="9"/>
        <v>0</v>
      </c>
      <c r="M1197">
        <f t="shared" si="10"/>
        <v>0</v>
      </c>
      <c r="N1197" s="91" t="s">
        <v>1792</v>
      </c>
      <c r="O1197" s="143"/>
      <c r="P1197" s="225"/>
      <c r="Q1197" s="225"/>
      <c r="R1197" s="146"/>
      <c r="S1197" s="147"/>
    </row>
    <row r="1198" hidden="1">
      <c r="A1198" s="32" t="str">
        <f t="shared" si="1"/>
        <v>#N/A</v>
      </c>
      <c r="B1198" s="32" t="str">
        <f t="shared" si="2"/>
        <v>#N/A</v>
      </c>
      <c r="C1198" s="32" t="str">
        <f t="shared" si="3"/>
        <v>Week 15</v>
      </c>
      <c r="D1198" s="32">
        <v>2025.0</v>
      </c>
      <c r="E1198" t="str">
        <f t="shared" si="15"/>
        <v>15</v>
      </c>
      <c r="F1198" t="str">
        <f t="shared" si="5"/>
        <v>TEAM MANAGER(S)</v>
      </c>
      <c r="G1198" s="40" t="str">
        <f>VLOOKUP(F1198,'Manager Coding'!C:D,2,0)</f>
        <v>#N/A</v>
      </c>
      <c r="H1198" s="41" t="str">
        <f t="shared" si="6"/>
        <v>Score</v>
      </c>
      <c r="I1198" t="str">
        <f t="shared" si="7"/>
        <v>TEAM MANAGER(S)</v>
      </c>
      <c r="J1198" t="str">
        <f>VLOOKUP(I1198,'Manager Coding'!C:D,2,0)</f>
        <v>#N/A</v>
      </c>
      <c r="K1198" s="41" t="str">
        <f t="shared" si="8"/>
        <v>Score</v>
      </c>
      <c r="L1198">
        <f t="shared" si="9"/>
        <v>0</v>
      </c>
      <c r="M1198">
        <f t="shared" si="10"/>
        <v>0</v>
      </c>
      <c r="N1198" s="221" t="s">
        <v>197</v>
      </c>
      <c r="O1198" s="221" t="s">
        <v>88</v>
      </c>
      <c r="P1198" s="222" t="s">
        <v>59</v>
      </c>
      <c r="Q1198" s="222" t="s">
        <v>59</v>
      </c>
      <c r="R1198" s="223" t="s">
        <v>88</v>
      </c>
      <c r="S1198" s="223" t="s">
        <v>101</v>
      </c>
    </row>
    <row r="1199" hidden="1">
      <c r="A1199" s="32" t="str">
        <f t="shared" si="1"/>
        <v>2025ShepWeek 15</v>
      </c>
      <c r="B1199" s="32" t="str">
        <f t="shared" si="2"/>
        <v>2025EwertWeek 15</v>
      </c>
      <c r="C1199" s="32" t="str">
        <f t="shared" si="3"/>
        <v>Week 15</v>
      </c>
      <c r="D1199" s="32">
        <v>2025.0</v>
      </c>
      <c r="E1199" t="str">
        <f t="shared" si="15"/>
        <v>15</v>
      </c>
      <c r="F1199" t="str">
        <f t="shared" si="5"/>
        <v>Jordan Shepherd</v>
      </c>
      <c r="G1199" s="40" t="str">
        <f>VLOOKUP(F1199,'Manager Coding'!C:D,2,0)</f>
        <v>Shep</v>
      </c>
      <c r="H1199" s="41">
        <f t="shared" si="6"/>
        <v>97.68</v>
      </c>
      <c r="I1199" t="str">
        <f t="shared" si="7"/>
        <v>Kyle Ewert, brad starck</v>
      </c>
      <c r="J1199" t="str">
        <f>VLOOKUP(I1199,'Manager Coding'!C:D,2,0)</f>
        <v>Ewert</v>
      </c>
      <c r="K1199" s="41">
        <f t="shared" si="8"/>
        <v>128.38</v>
      </c>
      <c r="L1199">
        <f t="shared" si="9"/>
        <v>0</v>
      </c>
      <c r="M1199">
        <f t="shared" si="10"/>
        <v>1</v>
      </c>
      <c r="N1199" s="128" t="s">
        <v>2704</v>
      </c>
      <c r="O1199" s="129" t="s">
        <v>91</v>
      </c>
      <c r="P1199" s="217">
        <v>97.68</v>
      </c>
      <c r="Q1199" s="217">
        <v>128.38</v>
      </c>
      <c r="R1199" s="130" t="s">
        <v>105</v>
      </c>
      <c r="S1199" s="128" t="s">
        <v>2718</v>
      </c>
    </row>
    <row r="1200" hidden="1">
      <c r="A1200" s="32" t="str">
        <f t="shared" si="1"/>
        <v>2025Rooney/JacksonWeek 15</v>
      </c>
      <c r="B1200" s="32" t="str">
        <f t="shared" si="2"/>
        <v>2025CockWeek 15</v>
      </c>
      <c r="C1200" s="32" t="str">
        <f t="shared" si="3"/>
        <v>Week 15</v>
      </c>
      <c r="D1200" s="32">
        <v>2025.0</v>
      </c>
      <c r="E1200" t="str">
        <f t="shared" si="15"/>
        <v>15</v>
      </c>
      <c r="F1200" t="str">
        <f t="shared" si="5"/>
        <v>Stephen Rooney, Jackson Sattell</v>
      </c>
      <c r="G1200" s="40" t="str">
        <f>VLOOKUP(F1200,'Manager Coding'!C:D,2,0)</f>
        <v>Rooney/Jackson</v>
      </c>
      <c r="H1200" s="41">
        <f t="shared" si="6"/>
        <v>157.3</v>
      </c>
      <c r="I1200" t="str">
        <f t="shared" si="7"/>
        <v>Chris Cochrane</v>
      </c>
      <c r="J1200" t="str">
        <f>VLOOKUP(I1200,'Manager Coding'!C:D,2,0)</f>
        <v>Cock</v>
      </c>
      <c r="K1200" s="41">
        <f t="shared" si="8"/>
        <v>96.1</v>
      </c>
      <c r="L1200">
        <f t="shared" si="9"/>
        <v>1</v>
      </c>
      <c r="M1200">
        <f t="shared" si="10"/>
        <v>0</v>
      </c>
      <c r="N1200" s="131" t="s">
        <v>2709</v>
      </c>
      <c r="O1200" s="132" t="s">
        <v>58</v>
      </c>
      <c r="P1200" s="217">
        <v>157.3</v>
      </c>
      <c r="Q1200" s="217">
        <v>96.1</v>
      </c>
      <c r="R1200" s="133" t="s">
        <v>99</v>
      </c>
      <c r="S1200" s="131" t="s">
        <v>2703</v>
      </c>
    </row>
    <row r="1201" hidden="1">
      <c r="A1201" s="32" t="str">
        <f t="shared" si="1"/>
        <v>2025SaltyWeek 15</v>
      </c>
      <c r="B1201" s="32" t="str">
        <f t="shared" si="2"/>
        <v>2025T-HowWeek 15</v>
      </c>
      <c r="C1201" s="32" t="str">
        <f t="shared" si="3"/>
        <v>Week 15</v>
      </c>
      <c r="D1201" s="32">
        <v>2025.0</v>
      </c>
      <c r="E1201" t="str">
        <f t="shared" si="15"/>
        <v>15</v>
      </c>
      <c r="F1201" t="str">
        <f t="shared" si="5"/>
        <v>R Saltiel</v>
      </c>
      <c r="G1201" s="40" t="str">
        <f>VLOOKUP(F1201,'Manager Coding'!C:D,2,0)</f>
        <v>Salty</v>
      </c>
      <c r="H1201" s="41">
        <f t="shared" si="6"/>
        <v>112.7</v>
      </c>
      <c r="I1201" t="str">
        <f t="shared" si="7"/>
        <v>Tyler Howard</v>
      </c>
      <c r="J1201" t="str">
        <f>VLOOKUP(I1201,'Manager Coding'!C:D,2,0)</f>
        <v>T-How</v>
      </c>
      <c r="K1201" s="41">
        <f t="shared" si="8"/>
        <v>118.82</v>
      </c>
      <c r="L1201">
        <f t="shared" si="9"/>
        <v>0</v>
      </c>
      <c r="M1201">
        <f t="shared" si="10"/>
        <v>1</v>
      </c>
      <c r="N1201" s="128" t="s">
        <v>2714</v>
      </c>
      <c r="O1201" s="129" t="s">
        <v>77</v>
      </c>
      <c r="P1201" s="217">
        <v>112.7</v>
      </c>
      <c r="Q1201" s="217">
        <v>118.82</v>
      </c>
      <c r="R1201" s="130" t="s">
        <v>85</v>
      </c>
      <c r="S1201" s="128" t="s">
        <v>2719</v>
      </c>
    </row>
    <row r="1202" hidden="1">
      <c r="A1202" s="32" t="str">
        <f t="shared" si="1"/>
        <v>2025PiersonWeek 15</v>
      </c>
      <c r="B1202" s="32" t="str">
        <f t="shared" si="2"/>
        <v>2025KnardDawgWeek 15</v>
      </c>
      <c r="C1202" s="32" t="str">
        <f t="shared" si="3"/>
        <v>Week 15</v>
      </c>
      <c r="D1202" s="32">
        <v>2025.0</v>
      </c>
      <c r="E1202" t="str">
        <f t="shared" si="15"/>
        <v>15</v>
      </c>
      <c r="F1202" t="str">
        <f t="shared" si="5"/>
        <v>Pierson Curtis</v>
      </c>
      <c r="G1202" s="40" t="str">
        <f>VLOOKUP(F1202,'Manager Coding'!C:D,2,0)</f>
        <v>Pierson</v>
      </c>
      <c r="H1202" s="41">
        <f t="shared" si="6"/>
        <v>132.74</v>
      </c>
      <c r="I1202" t="str">
        <f t="shared" si="7"/>
        <v>Alex Kinniard, Jack Reilly</v>
      </c>
      <c r="J1202" t="str">
        <f>VLOOKUP(I1202,'Manager Coding'!C:D,2,0)</f>
        <v>KnardDawg</v>
      </c>
      <c r="K1202" s="41">
        <f t="shared" si="8"/>
        <v>109.62</v>
      </c>
      <c r="L1202">
        <f t="shared" si="9"/>
        <v>1</v>
      </c>
      <c r="M1202">
        <f t="shared" si="10"/>
        <v>0</v>
      </c>
      <c r="N1202" s="131" t="s">
        <v>2710</v>
      </c>
      <c r="O1202" s="132" t="s">
        <v>93</v>
      </c>
      <c r="P1202" s="217">
        <v>132.74</v>
      </c>
      <c r="Q1202" s="217">
        <v>109.62</v>
      </c>
      <c r="R1202" s="133" t="s">
        <v>87</v>
      </c>
      <c r="S1202" s="131" t="s">
        <v>2715</v>
      </c>
    </row>
    <row r="1203" hidden="1">
      <c r="A1203" s="32" t="str">
        <f t="shared" si="1"/>
        <v>2025TayskiWeek 15</v>
      </c>
      <c r="B1203" s="32" t="str">
        <f t="shared" si="2"/>
        <v>2025RileyWeek 15</v>
      </c>
      <c r="C1203" s="32" t="str">
        <f t="shared" si="3"/>
        <v>Week 15</v>
      </c>
      <c r="D1203" s="32">
        <v>2025.0</v>
      </c>
      <c r="E1203" t="str">
        <f t="shared" si="15"/>
        <v>15</v>
      </c>
      <c r="F1203" t="str">
        <f t="shared" si="5"/>
        <v>Taylor Weis</v>
      </c>
      <c r="G1203" s="40" t="str">
        <f>VLOOKUP(F1203,'Manager Coding'!C:D,2,0)</f>
        <v>Tayski</v>
      </c>
      <c r="H1203" s="41">
        <f t="shared" si="6"/>
        <v>65.74</v>
      </c>
      <c r="I1203" t="str">
        <f t="shared" si="7"/>
        <v>Riley McElwain</v>
      </c>
      <c r="J1203" t="str">
        <f>VLOOKUP(I1203,'Manager Coding'!C:D,2,0)</f>
        <v>Riley</v>
      </c>
      <c r="K1203" s="41">
        <f t="shared" si="8"/>
        <v>98.7</v>
      </c>
      <c r="L1203">
        <f t="shared" si="9"/>
        <v>0</v>
      </c>
      <c r="M1203">
        <f t="shared" si="10"/>
        <v>1</v>
      </c>
      <c r="N1203" s="128" t="s">
        <v>2706</v>
      </c>
      <c r="O1203" s="129" t="s">
        <v>54</v>
      </c>
      <c r="P1203" s="217">
        <v>65.74</v>
      </c>
      <c r="Q1203" s="217">
        <v>98.7</v>
      </c>
      <c r="R1203" s="130" t="s">
        <v>68</v>
      </c>
      <c r="S1203" s="128" t="s">
        <v>2712</v>
      </c>
    </row>
    <row r="1204" hidden="1">
      <c r="A1204" s="32" t="str">
        <f t="shared" si="1"/>
        <v>#N/A</v>
      </c>
      <c r="B1204" s="32" t="str">
        <f t="shared" si="2"/>
        <v>#N/A</v>
      </c>
      <c r="C1204" s="32" t="str">
        <f t="shared" si="3"/>
        <v>Week 15</v>
      </c>
      <c r="D1204" s="32">
        <v>2025.0</v>
      </c>
      <c r="E1204" t="str">
        <f t="shared" si="15"/>
        <v>15</v>
      </c>
      <c r="F1204" t="str">
        <f t="shared" si="5"/>
        <v/>
      </c>
      <c r="G1204" s="40" t="str">
        <f>VLOOKUP(F1204,'Manager Coding'!C:D,2,0)</f>
        <v>#N/A</v>
      </c>
      <c r="H1204" s="41" t="str">
        <f t="shared" si="6"/>
        <v/>
      </c>
      <c r="I1204" t="str">
        <f t="shared" si="7"/>
        <v/>
      </c>
      <c r="J1204" t="str">
        <f>VLOOKUP(I1204,'Manager Coding'!C:D,2,0)</f>
        <v>#N/A</v>
      </c>
      <c r="K1204" s="41" t="str">
        <f t="shared" si="8"/>
        <v/>
      </c>
      <c r="L1204">
        <f t="shared" si="9"/>
        <v>0</v>
      </c>
      <c r="M1204">
        <f t="shared" si="10"/>
        <v>0</v>
      </c>
      <c r="N1204" s="155" t="s">
        <v>518</v>
      </c>
      <c r="O1204" s="96"/>
      <c r="P1204" s="226"/>
      <c r="Q1204" s="226"/>
      <c r="R1204" s="103"/>
      <c r="S1204" s="95"/>
    </row>
    <row r="1205" hidden="1">
      <c r="A1205" s="32" t="str">
        <f t="shared" si="1"/>
        <v>#N/A</v>
      </c>
      <c r="B1205" s="32" t="str">
        <f t="shared" si="2"/>
        <v>#N/A</v>
      </c>
      <c r="C1205" s="32" t="str">
        <f t="shared" si="3"/>
        <v>Week 15</v>
      </c>
      <c r="D1205" s="32">
        <v>2025.0</v>
      </c>
      <c r="E1205" t="str">
        <f t="shared" si="15"/>
        <v>15</v>
      </c>
      <c r="F1205" t="str">
        <f t="shared" si="5"/>
        <v/>
      </c>
      <c r="G1205" s="40" t="str">
        <f>VLOOKUP(F1205,'Manager Coding'!C:D,2,0)</f>
        <v>#N/A</v>
      </c>
      <c r="H1205" s="41" t="str">
        <f t="shared" si="6"/>
        <v/>
      </c>
      <c r="I1205" t="str">
        <f t="shared" si="7"/>
        <v/>
      </c>
      <c r="J1205" t="str">
        <f>VLOOKUP(I1205,'Manager Coding'!C:D,2,0)</f>
        <v>#N/A</v>
      </c>
      <c r="K1205" s="41" t="str">
        <f t="shared" si="8"/>
        <v/>
      </c>
      <c r="L1205">
        <f t="shared" si="9"/>
        <v>0</v>
      </c>
      <c r="M1205">
        <f t="shared" si="10"/>
        <v>0</v>
      </c>
      <c r="N1205" s="155" t="s">
        <v>2838</v>
      </c>
      <c r="O1205" s="143"/>
      <c r="P1205" s="225"/>
      <c r="Q1205" s="225"/>
      <c r="R1205" s="146"/>
      <c r="S1205" s="147"/>
    </row>
    <row r="1206" hidden="1">
      <c r="A1206" s="32" t="str">
        <f t="shared" si="1"/>
        <v>#N/A</v>
      </c>
      <c r="B1206" s="32" t="str">
        <f t="shared" si="2"/>
        <v>#N/A</v>
      </c>
      <c r="C1206" s="32" t="str">
        <f t="shared" si="3"/>
        <v>Week 15</v>
      </c>
      <c r="D1206" s="32">
        <v>2025.0</v>
      </c>
      <c r="E1206" t="str">
        <f t="shared" si="15"/>
        <v>15</v>
      </c>
      <c r="F1206" t="str">
        <f t="shared" si="5"/>
        <v/>
      </c>
      <c r="G1206" s="40" t="str">
        <f>VLOOKUP(F1206,'Manager Coding'!C:D,2,0)</f>
        <v>#N/A</v>
      </c>
      <c r="H1206" s="41" t="str">
        <f t="shared" si="6"/>
        <v/>
      </c>
      <c r="I1206" t="str">
        <f t="shared" si="7"/>
        <v/>
      </c>
      <c r="J1206" t="str">
        <f>VLOOKUP(I1206,'Manager Coding'!C:D,2,0)</f>
        <v>#N/A</v>
      </c>
      <c r="K1206" s="41" t="str">
        <f t="shared" si="8"/>
        <v/>
      </c>
      <c r="L1206">
        <f t="shared" si="9"/>
        <v>0</v>
      </c>
      <c r="M1206">
        <f t="shared" si="10"/>
        <v>0</v>
      </c>
      <c r="N1206" s="227" t="s">
        <v>2840</v>
      </c>
      <c r="O1206" s="228"/>
      <c r="P1206" s="229"/>
      <c r="Q1206" s="229"/>
      <c r="R1206" s="230"/>
      <c r="S1206" s="231"/>
    </row>
    <row r="1207" hidden="1">
      <c r="A1207" s="32" t="str">
        <f t="shared" si="1"/>
        <v>#N/A</v>
      </c>
      <c r="B1207" s="32" t="str">
        <f t="shared" si="2"/>
        <v>#N/A</v>
      </c>
      <c r="C1207" s="32" t="str">
        <f t="shared" si="3"/>
        <v>Week 15</v>
      </c>
      <c r="D1207" s="32">
        <v>2025.0</v>
      </c>
      <c r="E1207" t="str">
        <f t="shared" si="15"/>
        <v>15</v>
      </c>
      <c r="F1207" t="str">
        <f t="shared" si="5"/>
        <v/>
      </c>
      <c r="G1207" s="40" t="str">
        <f>VLOOKUP(F1207,'Manager Coding'!C:D,2,0)</f>
        <v>#N/A</v>
      </c>
      <c r="H1207" s="41" t="str">
        <f t="shared" si="6"/>
        <v/>
      </c>
      <c r="I1207" t="str">
        <f t="shared" si="7"/>
        <v/>
      </c>
      <c r="J1207" t="str">
        <f>VLOOKUP(I1207,'Manager Coding'!C:D,2,0)</f>
        <v>#N/A</v>
      </c>
      <c r="K1207" s="41" t="str">
        <f t="shared" si="8"/>
        <v/>
      </c>
      <c r="L1207">
        <f t="shared" si="9"/>
        <v>0</v>
      </c>
      <c r="M1207">
        <f t="shared" si="10"/>
        <v>0</v>
      </c>
      <c r="N1207" s="232" t="s">
        <v>1820</v>
      </c>
      <c r="O1207" s="143"/>
      <c r="P1207" s="225"/>
      <c r="Q1207" s="225"/>
      <c r="R1207" s="146"/>
      <c r="S1207" s="147"/>
    </row>
    <row r="1208" hidden="1">
      <c r="A1208" s="32" t="str">
        <f t="shared" si="1"/>
        <v>#N/A</v>
      </c>
      <c r="B1208" s="32" t="str">
        <f t="shared" si="2"/>
        <v>#N/A</v>
      </c>
      <c r="C1208" s="32" t="str">
        <f t="shared" si="3"/>
        <v>Week 16</v>
      </c>
      <c r="D1208" s="32">
        <v>2025.0</v>
      </c>
      <c r="E1208" t="str">
        <f t="shared" si="15"/>
        <v>16</v>
      </c>
      <c r="F1208" t="str">
        <f t="shared" si="5"/>
        <v>TEAM MANAGER(S)</v>
      </c>
      <c r="G1208" s="40" t="str">
        <f>VLOOKUP(F1208,'Manager Coding'!C:D,2,0)</f>
        <v>#N/A</v>
      </c>
      <c r="H1208" s="41" t="str">
        <f t="shared" si="6"/>
        <v>Score</v>
      </c>
      <c r="I1208" t="str">
        <f t="shared" si="7"/>
        <v>TEAM MANAGER(S)</v>
      </c>
      <c r="J1208" t="str">
        <f>VLOOKUP(I1208,'Manager Coding'!C:D,2,0)</f>
        <v>#N/A</v>
      </c>
      <c r="K1208" s="41" t="str">
        <f t="shared" si="8"/>
        <v>Score</v>
      </c>
      <c r="L1208">
        <f t="shared" si="9"/>
        <v>0</v>
      </c>
      <c r="M1208">
        <f t="shared" si="10"/>
        <v>0</v>
      </c>
      <c r="N1208" s="184" t="s">
        <v>197</v>
      </c>
      <c r="O1208" s="184" t="s">
        <v>88</v>
      </c>
      <c r="P1208" s="216" t="s">
        <v>59</v>
      </c>
      <c r="Q1208" s="216" t="s">
        <v>59</v>
      </c>
      <c r="R1208" s="185" t="s">
        <v>88</v>
      </c>
      <c r="S1208" s="185" t="s">
        <v>101</v>
      </c>
    </row>
    <row r="1209" hidden="1">
      <c r="A1209" s="32" t="str">
        <f t="shared" si="1"/>
        <v>2025EwertWeek 16</v>
      </c>
      <c r="B1209" s="32" t="str">
        <f t="shared" si="2"/>
        <v>2025HudspeathWeek 16</v>
      </c>
      <c r="C1209" s="32" t="str">
        <f t="shared" si="3"/>
        <v>Week 16</v>
      </c>
      <c r="D1209" s="32">
        <v>2025.0</v>
      </c>
      <c r="E1209" t="str">
        <f t="shared" si="15"/>
        <v>16</v>
      </c>
      <c r="F1209" t="str">
        <f t="shared" si="5"/>
        <v>Kyle Ewert, brad starck</v>
      </c>
      <c r="G1209" s="40" t="str">
        <f>VLOOKUP(F1209,'Manager Coding'!C:D,2,0)</f>
        <v>Ewert</v>
      </c>
      <c r="H1209" s="41">
        <f t="shared" si="6"/>
        <v>86.3</v>
      </c>
      <c r="I1209" t="str">
        <f t="shared" si="7"/>
        <v>matt hudspeath</v>
      </c>
      <c r="J1209" t="str">
        <f>VLOOKUP(I1209,'Manager Coding'!C:D,2,0)</f>
        <v>Hudspeath</v>
      </c>
      <c r="K1209" s="41">
        <f t="shared" si="8"/>
        <v>119.56</v>
      </c>
      <c r="L1209">
        <f t="shared" si="9"/>
        <v>0</v>
      </c>
      <c r="M1209">
        <f t="shared" si="10"/>
        <v>1</v>
      </c>
      <c r="N1209" s="128" t="s">
        <v>2718</v>
      </c>
      <c r="O1209" s="129" t="s">
        <v>105</v>
      </c>
      <c r="P1209" s="217">
        <v>86.3</v>
      </c>
      <c r="Q1209" s="217">
        <v>119.56</v>
      </c>
      <c r="R1209" s="130" t="s">
        <v>64</v>
      </c>
      <c r="S1209" s="128" t="s">
        <v>2707</v>
      </c>
    </row>
    <row r="1210" hidden="1">
      <c r="A1210" s="32" t="str">
        <f t="shared" si="1"/>
        <v>2025Rooney/JacksonWeek 16</v>
      </c>
      <c r="B1210" s="32" t="str">
        <f t="shared" si="2"/>
        <v>2025BuserWeek 16</v>
      </c>
      <c r="C1210" s="32" t="str">
        <f t="shared" si="3"/>
        <v>Week 16</v>
      </c>
      <c r="D1210" s="32">
        <v>2025.0</v>
      </c>
      <c r="E1210" t="str">
        <f t="shared" si="15"/>
        <v>16</v>
      </c>
      <c r="F1210" t="str">
        <f t="shared" si="5"/>
        <v>Stephen Rooney, Jackson Sattell</v>
      </c>
      <c r="G1210" s="40" t="str">
        <f>VLOOKUP(F1210,'Manager Coding'!C:D,2,0)</f>
        <v>Rooney/Jackson</v>
      </c>
      <c r="H1210" s="41">
        <f t="shared" si="6"/>
        <v>159</v>
      </c>
      <c r="I1210" t="str">
        <f t="shared" si="7"/>
        <v>Ed Buser</v>
      </c>
      <c r="J1210" t="str">
        <f>VLOOKUP(I1210,'Manager Coding'!C:D,2,0)</f>
        <v>Buser</v>
      </c>
      <c r="K1210" s="41">
        <f t="shared" si="8"/>
        <v>100.72</v>
      </c>
      <c r="L1210">
        <f t="shared" si="9"/>
        <v>1</v>
      </c>
      <c r="M1210">
        <f t="shared" si="10"/>
        <v>0</v>
      </c>
      <c r="N1210" s="131" t="s">
        <v>2709</v>
      </c>
      <c r="O1210" s="132" t="s">
        <v>58</v>
      </c>
      <c r="P1210" s="217">
        <v>159.0</v>
      </c>
      <c r="Q1210" s="217">
        <v>100.72</v>
      </c>
      <c r="R1210" s="133" t="s">
        <v>50</v>
      </c>
      <c r="S1210" s="131" t="s">
        <v>2716</v>
      </c>
    </row>
    <row r="1211" hidden="1">
      <c r="A1211" s="32" t="str">
        <f t="shared" si="1"/>
        <v>2025ShepWeek 16</v>
      </c>
      <c r="B1211" s="32" t="str">
        <f t="shared" si="2"/>
        <v>2025CockWeek 16</v>
      </c>
      <c r="C1211" s="32" t="str">
        <f t="shared" si="3"/>
        <v>Week 16</v>
      </c>
      <c r="D1211" s="32">
        <v>2025.0</v>
      </c>
      <c r="E1211" t="str">
        <f t="shared" si="15"/>
        <v>16</v>
      </c>
      <c r="F1211" t="str">
        <f t="shared" si="5"/>
        <v>Jordan Shepherd</v>
      </c>
      <c r="G1211" s="40" t="str">
        <f>VLOOKUP(F1211,'Manager Coding'!C:D,2,0)</f>
        <v>Shep</v>
      </c>
      <c r="H1211" s="41">
        <f t="shared" si="6"/>
        <v>109.8</v>
      </c>
      <c r="I1211" t="str">
        <f t="shared" si="7"/>
        <v>Chris Cochrane</v>
      </c>
      <c r="J1211" t="str">
        <f>VLOOKUP(I1211,'Manager Coding'!C:D,2,0)</f>
        <v>Cock</v>
      </c>
      <c r="K1211" s="41">
        <f t="shared" si="8"/>
        <v>90.7</v>
      </c>
      <c r="L1211">
        <f t="shared" si="9"/>
        <v>1</v>
      </c>
      <c r="M1211">
        <f t="shared" si="10"/>
        <v>0</v>
      </c>
      <c r="N1211" s="128" t="s">
        <v>2704</v>
      </c>
      <c r="O1211" s="129" t="s">
        <v>91</v>
      </c>
      <c r="P1211" s="217">
        <v>109.8</v>
      </c>
      <c r="Q1211" s="217">
        <v>90.7</v>
      </c>
      <c r="R1211" s="130" t="s">
        <v>99</v>
      </c>
      <c r="S1211" s="128" t="s">
        <v>2703</v>
      </c>
    </row>
    <row r="1212" hidden="1">
      <c r="A1212" s="32" t="str">
        <f t="shared" si="1"/>
        <v>2025PiersonWeek 16</v>
      </c>
      <c r="B1212" s="32" t="str">
        <f t="shared" si="2"/>
        <v>2025T-HowWeek 16</v>
      </c>
      <c r="C1212" s="32" t="str">
        <f t="shared" si="3"/>
        <v>Week 16</v>
      </c>
      <c r="D1212" s="32">
        <v>2025.0</v>
      </c>
      <c r="E1212" t="str">
        <f t="shared" si="15"/>
        <v>16</v>
      </c>
      <c r="F1212" t="str">
        <f t="shared" si="5"/>
        <v>Pierson Curtis</v>
      </c>
      <c r="G1212" s="40" t="str">
        <f>VLOOKUP(F1212,'Manager Coding'!C:D,2,0)</f>
        <v>Pierson</v>
      </c>
      <c r="H1212" s="41">
        <f t="shared" si="6"/>
        <v>93.82</v>
      </c>
      <c r="I1212" t="str">
        <f t="shared" si="7"/>
        <v>Tyler Howard</v>
      </c>
      <c r="J1212" t="str">
        <f>VLOOKUP(I1212,'Manager Coding'!C:D,2,0)</f>
        <v>T-How</v>
      </c>
      <c r="K1212" s="41">
        <f t="shared" si="8"/>
        <v>86.7</v>
      </c>
      <c r="L1212">
        <f t="shared" si="9"/>
        <v>1</v>
      </c>
      <c r="M1212">
        <f t="shared" si="10"/>
        <v>0</v>
      </c>
      <c r="N1212" s="134" t="s">
        <v>2710</v>
      </c>
      <c r="O1212" s="135" t="s">
        <v>93</v>
      </c>
      <c r="P1212" s="210">
        <v>93.82</v>
      </c>
      <c r="Q1212" s="210">
        <v>86.7</v>
      </c>
      <c r="R1212" s="115" t="s">
        <v>85</v>
      </c>
      <c r="S1212" s="134" t="s">
        <v>2719</v>
      </c>
    </row>
    <row r="1213" hidden="1">
      <c r="A1213" s="32" t="str">
        <f t="shared" si="1"/>
        <v>2025RileyWeek 16</v>
      </c>
      <c r="B1213" s="32" t="str">
        <f t="shared" si="2"/>
        <v>2025SaltyWeek 16</v>
      </c>
      <c r="C1213" s="32" t="str">
        <f t="shared" si="3"/>
        <v>Week 16</v>
      </c>
      <c r="D1213" s="32">
        <v>2025.0</v>
      </c>
      <c r="E1213" t="str">
        <f t="shared" si="15"/>
        <v>16</v>
      </c>
      <c r="F1213" t="str">
        <f t="shared" si="5"/>
        <v>Riley McElwain</v>
      </c>
      <c r="G1213" s="40" t="str">
        <f>VLOOKUP(F1213,'Manager Coding'!C:D,2,0)</f>
        <v>Riley</v>
      </c>
      <c r="H1213" s="41">
        <f t="shared" si="6"/>
        <v>143.9</v>
      </c>
      <c r="I1213" t="str">
        <f t="shared" si="7"/>
        <v>R Saltiel</v>
      </c>
      <c r="J1213" t="str">
        <f>VLOOKUP(I1213,'Manager Coding'!C:D,2,0)</f>
        <v>Salty</v>
      </c>
      <c r="K1213" s="41">
        <f t="shared" si="8"/>
        <v>102.74</v>
      </c>
      <c r="L1213">
        <f t="shared" si="9"/>
        <v>1</v>
      </c>
      <c r="M1213">
        <f t="shared" si="10"/>
        <v>0</v>
      </c>
      <c r="N1213" s="153" t="s">
        <v>2712</v>
      </c>
      <c r="O1213" s="129" t="s">
        <v>68</v>
      </c>
      <c r="P1213" s="217">
        <v>143.9</v>
      </c>
      <c r="Q1213" s="217">
        <v>102.74</v>
      </c>
      <c r="R1213" s="130" t="s">
        <v>77</v>
      </c>
      <c r="S1213" s="128" t="s">
        <v>2714</v>
      </c>
    </row>
    <row r="1214" hidden="1">
      <c r="A1214" s="32" t="str">
        <f t="shared" si="1"/>
        <v>2025TayskiWeek 16</v>
      </c>
      <c r="B1214" s="32" t="str">
        <f t="shared" si="2"/>
        <v>2025KnardDawgWeek 16</v>
      </c>
      <c r="C1214" s="32" t="str">
        <f t="shared" si="3"/>
        <v>Week 16</v>
      </c>
      <c r="D1214" s="32">
        <v>2025.0</v>
      </c>
      <c r="E1214" t="str">
        <f t="shared" si="15"/>
        <v>16</v>
      </c>
      <c r="F1214" t="str">
        <f t="shared" si="5"/>
        <v>Taylor Weis</v>
      </c>
      <c r="G1214" s="40" t="str">
        <f>VLOOKUP(F1214,'Manager Coding'!C:D,2,0)</f>
        <v>Tayski</v>
      </c>
      <c r="H1214" s="41">
        <f t="shared" si="6"/>
        <v>52.3</v>
      </c>
      <c r="I1214" t="str">
        <f t="shared" si="7"/>
        <v>Alex Kinniard, Jack Reilly</v>
      </c>
      <c r="J1214" t="str">
        <f>VLOOKUP(I1214,'Manager Coding'!C:D,2,0)</f>
        <v>KnardDawg</v>
      </c>
      <c r="K1214" s="41">
        <f t="shared" si="8"/>
        <v>104.06</v>
      </c>
      <c r="L1214">
        <f t="shared" si="9"/>
        <v>0</v>
      </c>
      <c r="M1214">
        <f t="shared" si="10"/>
        <v>1</v>
      </c>
      <c r="N1214" s="233" t="s">
        <v>2706</v>
      </c>
      <c r="O1214" s="234" t="s">
        <v>54</v>
      </c>
      <c r="P1214" s="235">
        <v>52.3</v>
      </c>
      <c r="Q1214" s="235">
        <v>104.06</v>
      </c>
      <c r="R1214" s="236" t="s">
        <v>87</v>
      </c>
      <c r="S1214" s="233" t="s">
        <v>2715</v>
      </c>
    </row>
    <row r="1215" hidden="1">
      <c r="A1215" s="32" t="str">
        <f t="shared" si="1"/>
        <v>#N/A</v>
      </c>
      <c r="B1215" s="32" t="str">
        <f t="shared" si="2"/>
        <v>#N/A</v>
      </c>
      <c r="C1215" s="32" t="str">
        <f t="shared" si="3"/>
        <v>Week 16</v>
      </c>
      <c r="D1215" s="32">
        <v>2025.0</v>
      </c>
      <c r="E1215" t="str">
        <f t="shared" si="15"/>
        <v>16</v>
      </c>
      <c r="F1215" t="str">
        <f t="shared" si="5"/>
        <v/>
      </c>
      <c r="G1215" s="40" t="str">
        <f>VLOOKUP(F1215,'Manager Coding'!C:D,2,0)</f>
        <v>#N/A</v>
      </c>
      <c r="H1215" s="41" t="str">
        <f t="shared" si="6"/>
        <v/>
      </c>
      <c r="I1215" t="str">
        <f t="shared" si="7"/>
        <v/>
      </c>
      <c r="J1215" t="str">
        <f>VLOOKUP(I1215,'Manager Coding'!C:D,2,0)</f>
        <v>#N/A</v>
      </c>
      <c r="K1215" s="41" t="str">
        <f t="shared" si="8"/>
        <v/>
      </c>
      <c r="L1215">
        <f t="shared" si="9"/>
        <v>0</v>
      </c>
      <c r="M1215">
        <f t="shared" si="10"/>
        <v>0</v>
      </c>
      <c r="N1215" s="186" t="s">
        <v>1843</v>
      </c>
      <c r="O1215" s="132"/>
      <c r="P1215" s="219"/>
      <c r="Q1215" s="220"/>
      <c r="R1215" s="133"/>
      <c r="S1215" s="131"/>
    </row>
    <row r="1216" hidden="1">
      <c r="A1216" s="32" t="str">
        <f t="shared" si="1"/>
        <v>#N/A</v>
      </c>
      <c r="B1216" s="32" t="str">
        <f t="shared" si="2"/>
        <v>#N/A</v>
      </c>
      <c r="C1216" s="32" t="str">
        <f t="shared" si="3"/>
        <v>Week 17</v>
      </c>
      <c r="D1216" s="32">
        <v>2025.0</v>
      </c>
      <c r="E1216" t="str">
        <f t="shared" si="15"/>
        <v>17</v>
      </c>
      <c r="F1216" t="str">
        <f t="shared" si="5"/>
        <v>TEAM MANAGER(S)</v>
      </c>
      <c r="G1216" s="40" t="str">
        <f>VLOOKUP(F1216,'Manager Coding'!C:D,2,0)</f>
        <v>#N/A</v>
      </c>
      <c r="H1216" s="41" t="str">
        <f t="shared" si="6"/>
        <v>Score</v>
      </c>
      <c r="I1216" t="str">
        <f t="shared" si="7"/>
        <v>TEAM MANAGER(S)</v>
      </c>
      <c r="J1216" t="str">
        <f>VLOOKUP(I1216,'Manager Coding'!C:D,2,0)</f>
        <v>#N/A</v>
      </c>
      <c r="K1216" s="41" t="str">
        <f t="shared" si="8"/>
        <v>Score</v>
      </c>
      <c r="L1216">
        <f t="shared" si="9"/>
        <v>0</v>
      </c>
      <c r="M1216">
        <f t="shared" si="10"/>
        <v>0</v>
      </c>
      <c r="N1216" s="184" t="s">
        <v>197</v>
      </c>
      <c r="O1216" s="184" t="s">
        <v>88</v>
      </c>
      <c r="P1216" s="216" t="s">
        <v>59</v>
      </c>
      <c r="Q1216" s="216" t="s">
        <v>59</v>
      </c>
      <c r="R1216" s="185" t="s">
        <v>88</v>
      </c>
      <c r="S1216" s="185" t="s">
        <v>101</v>
      </c>
    </row>
    <row r="1217" hidden="1">
      <c r="A1217" s="32" t="str">
        <f t="shared" si="1"/>
        <v>2025Rooney/JacksonWeek 17</v>
      </c>
      <c r="B1217" s="32" t="str">
        <f t="shared" si="2"/>
        <v>2025HudspeathWeek 17</v>
      </c>
      <c r="C1217" s="32" t="str">
        <f t="shared" si="3"/>
        <v>Week 17</v>
      </c>
      <c r="D1217" s="32">
        <v>2025.0</v>
      </c>
      <c r="E1217" t="str">
        <f t="shared" si="15"/>
        <v>17</v>
      </c>
      <c r="F1217" t="str">
        <f t="shared" si="5"/>
        <v>Stephen Rooney, Jackson Sattell</v>
      </c>
      <c r="G1217" s="40" t="str">
        <f>VLOOKUP(F1217,'Manager Coding'!C:D,2,0)</f>
        <v>Rooney/Jackson</v>
      </c>
      <c r="H1217" s="41">
        <f t="shared" si="6"/>
        <v>122.34</v>
      </c>
      <c r="I1217" t="str">
        <f t="shared" si="7"/>
        <v>matt hudspeath</v>
      </c>
      <c r="J1217" t="str">
        <f>VLOOKUP(I1217,'Manager Coding'!C:D,2,0)</f>
        <v>Hudspeath</v>
      </c>
      <c r="K1217" s="41">
        <f t="shared" si="8"/>
        <v>123</v>
      </c>
      <c r="L1217">
        <f t="shared" si="9"/>
        <v>0</v>
      </c>
      <c r="M1217">
        <f t="shared" si="10"/>
        <v>1</v>
      </c>
      <c r="N1217" s="128" t="s">
        <v>2709</v>
      </c>
      <c r="O1217" s="129" t="s">
        <v>58</v>
      </c>
      <c r="P1217" s="217">
        <v>122.34</v>
      </c>
      <c r="Q1217" s="217">
        <v>123.0</v>
      </c>
      <c r="R1217" s="130" t="s">
        <v>64</v>
      </c>
      <c r="S1217" s="128" t="s">
        <v>2707</v>
      </c>
    </row>
    <row r="1218" hidden="1">
      <c r="A1218" s="32" t="str">
        <f t="shared" si="1"/>
        <v>2025EwertWeek 17</v>
      </c>
      <c r="B1218" s="32" t="str">
        <f t="shared" si="2"/>
        <v>2025BuserWeek 17</v>
      </c>
      <c r="C1218" s="32" t="str">
        <f t="shared" si="3"/>
        <v>Week 17</v>
      </c>
      <c r="D1218" s="32">
        <v>2025.0</v>
      </c>
      <c r="E1218" t="str">
        <f t="shared" si="15"/>
        <v>17</v>
      </c>
      <c r="F1218" t="str">
        <f t="shared" si="5"/>
        <v>Kyle Ewert, brad starck</v>
      </c>
      <c r="G1218" s="40" t="str">
        <f>VLOOKUP(F1218,'Manager Coding'!C:D,2,0)</f>
        <v>Ewert</v>
      </c>
      <c r="H1218" s="41">
        <f t="shared" si="6"/>
        <v>101.8</v>
      </c>
      <c r="I1218" t="str">
        <f t="shared" si="7"/>
        <v>Ed Buser</v>
      </c>
      <c r="J1218" t="str">
        <f>VLOOKUP(I1218,'Manager Coding'!C:D,2,0)</f>
        <v>Buser</v>
      </c>
      <c r="K1218" s="41">
        <f t="shared" si="8"/>
        <v>112.38</v>
      </c>
      <c r="L1218">
        <f t="shared" si="9"/>
        <v>0</v>
      </c>
      <c r="M1218">
        <f t="shared" si="10"/>
        <v>1</v>
      </c>
      <c r="N1218" s="131" t="s">
        <v>2718</v>
      </c>
      <c r="O1218" s="132" t="s">
        <v>105</v>
      </c>
      <c r="P1218" s="217">
        <v>101.8</v>
      </c>
      <c r="Q1218" s="217">
        <v>112.38</v>
      </c>
      <c r="R1218" s="133" t="s">
        <v>50</v>
      </c>
      <c r="S1218" s="131" t="s">
        <v>2716</v>
      </c>
    </row>
    <row r="1219" hidden="1">
      <c r="A1219" s="32" t="str">
        <f t="shared" si="1"/>
        <v>2025ShepWeek 17</v>
      </c>
      <c r="B1219" s="32" t="str">
        <f t="shared" si="2"/>
        <v>2025CockWeek 17</v>
      </c>
      <c r="C1219" s="32" t="str">
        <f t="shared" si="3"/>
        <v>Week 17</v>
      </c>
      <c r="D1219" s="32">
        <v>2025.0</v>
      </c>
      <c r="E1219" t="str">
        <f t="shared" si="15"/>
        <v>17</v>
      </c>
      <c r="F1219" t="str">
        <f t="shared" si="5"/>
        <v>Jordan Shepherd</v>
      </c>
      <c r="G1219" s="40" t="str">
        <f>VLOOKUP(F1219,'Manager Coding'!C:D,2,0)</f>
        <v>Shep</v>
      </c>
      <c r="H1219" s="41">
        <f t="shared" si="6"/>
        <v>102.24</v>
      </c>
      <c r="I1219" t="str">
        <f t="shared" si="7"/>
        <v>Chris Cochrane</v>
      </c>
      <c r="J1219" t="str">
        <f>VLOOKUP(I1219,'Manager Coding'!C:D,2,0)</f>
        <v>Cock</v>
      </c>
      <c r="K1219" s="41">
        <f t="shared" si="8"/>
        <v>73.1</v>
      </c>
      <c r="L1219">
        <f t="shared" si="9"/>
        <v>1</v>
      </c>
      <c r="M1219">
        <f t="shared" si="10"/>
        <v>0</v>
      </c>
      <c r="N1219" s="128" t="s">
        <v>2704</v>
      </c>
      <c r="O1219" s="129" t="s">
        <v>91</v>
      </c>
      <c r="P1219" s="217">
        <v>102.24</v>
      </c>
      <c r="Q1219" s="217">
        <v>73.1</v>
      </c>
      <c r="R1219" s="130" t="s">
        <v>99</v>
      </c>
      <c r="S1219" s="128" t="s">
        <v>2703</v>
      </c>
    </row>
    <row r="1220" hidden="1">
      <c r="A1220" s="32" t="str">
        <f t="shared" si="1"/>
        <v>2025RileyWeek 17</v>
      </c>
      <c r="B1220" s="32" t="str">
        <f t="shared" si="2"/>
        <v>2025PiersonWeek 17</v>
      </c>
      <c r="C1220" s="32" t="str">
        <f t="shared" si="3"/>
        <v>Week 17</v>
      </c>
      <c r="D1220" s="32">
        <v>2025.0</v>
      </c>
      <c r="E1220" t="str">
        <f t="shared" si="15"/>
        <v>17</v>
      </c>
      <c r="F1220" t="str">
        <f t="shared" si="5"/>
        <v>Riley McElwain</v>
      </c>
      <c r="G1220" s="40" t="str">
        <f>VLOOKUP(F1220,'Manager Coding'!C:D,2,0)</f>
        <v>Riley</v>
      </c>
      <c r="H1220" s="41">
        <f t="shared" si="6"/>
        <v>114.02</v>
      </c>
      <c r="I1220" t="str">
        <f t="shared" si="7"/>
        <v>Pierson Curtis</v>
      </c>
      <c r="J1220" t="str">
        <f>VLOOKUP(I1220,'Manager Coding'!C:D,2,0)</f>
        <v>Pierson</v>
      </c>
      <c r="K1220" s="41">
        <f t="shared" si="8"/>
        <v>134.18</v>
      </c>
      <c r="L1220">
        <f t="shared" si="9"/>
        <v>0</v>
      </c>
      <c r="M1220">
        <f t="shared" si="10"/>
        <v>1</v>
      </c>
      <c r="N1220" s="134" t="s">
        <v>2712</v>
      </c>
      <c r="O1220" s="135" t="s">
        <v>68</v>
      </c>
      <c r="P1220" s="210">
        <v>114.02</v>
      </c>
      <c r="Q1220" s="210">
        <v>134.18</v>
      </c>
      <c r="R1220" s="115" t="s">
        <v>93</v>
      </c>
      <c r="S1220" s="134" t="s">
        <v>2710</v>
      </c>
    </row>
    <row r="1221" hidden="1">
      <c r="A1221" s="32" t="str">
        <f t="shared" si="1"/>
        <v>2025KnardDawgWeek 17</v>
      </c>
      <c r="B1221" s="32" t="str">
        <f t="shared" si="2"/>
        <v>2025T-HowWeek 17</v>
      </c>
      <c r="C1221" s="32" t="str">
        <f t="shared" si="3"/>
        <v>Week 17</v>
      </c>
      <c r="D1221" s="32">
        <v>2025.0</v>
      </c>
      <c r="E1221" t="str">
        <f t="shared" si="15"/>
        <v>17</v>
      </c>
      <c r="F1221" t="str">
        <f t="shared" si="5"/>
        <v>Alex Kinniard, Jack Reilly</v>
      </c>
      <c r="G1221" s="40" t="str">
        <f>VLOOKUP(F1221,'Manager Coding'!C:D,2,0)</f>
        <v>KnardDawg</v>
      </c>
      <c r="H1221" s="41">
        <f t="shared" si="6"/>
        <v>70.48</v>
      </c>
      <c r="I1221" t="str">
        <f t="shared" si="7"/>
        <v>Tyler Howard</v>
      </c>
      <c r="J1221" t="str">
        <f>VLOOKUP(I1221,'Manager Coding'!C:D,2,0)</f>
        <v>T-How</v>
      </c>
      <c r="K1221" s="41">
        <f t="shared" si="8"/>
        <v>104.78</v>
      </c>
      <c r="L1221">
        <f t="shared" si="9"/>
        <v>0</v>
      </c>
      <c r="M1221">
        <f t="shared" si="10"/>
        <v>1</v>
      </c>
      <c r="N1221" s="153" t="s">
        <v>2715</v>
      </c>
      <c r="O1221" s="129" t="s">
        <v>87</v>
      </c>
      <c r="P1221" s="217">
        <v>70.48</v>
      </c>
      <c r="Q1221" s="217">
        <v>104.78</v>
      </c>
      <c r="R1221" s="130" t="s">
        <v>85</v>
      </c>
      <c r="S1221" s="128" t="s">
        <v>2719</v>
      </c>
    </row>
    <row r="1222" hidden="1">
      <c r="A1222" s="32" t="str">
        <f t="shared" si="1"/>
        <v>2025TayskiWeek 17</v>
      </c>
      <c r="B1222" s="32" t="str">
        <f t="shared" si="2"/>
        <v>2025SaltyWeek 17</v>
      </c>
      <c r="C1222" s="32" t="str">
        <f t="shared" si="3"/>
        <v>Week 17</v>
      </c>
      <c r="D1222" s="32">
        <v>2025.0</v>
      </c>
      <c r="E1222" t="str">
        <f t="shared" si="15"/>
        <v>17</v>
      </c>
      <c r="F1222" t="str">
        <f t="shared" si="5"/>
        <v>Taylor Weis</v>
      </c>
      <c r="G1222" s="40" t="str">
        <f>VLOOKUP(F1222,'Manager Coding'!C:D,2,0)</f>
        <v>Tayski</v>
      </c>
      <c r="H1222" s="41">
        <f t="shared" si="6"/>
        <v>45.1</v>
      </c>
      <c r="I1222" t="str">
        <f t="shared" si="7"/>
        <v>R Saltiel</v>
      </c>
      <c r="J1222" t="str">
        <f>VLOOKUP(I1222,'Manager Coding'!C:D,2,0)</f>
        <v>Salty</v>
      </c>
      <c r="K1222" s="41">
        <f t="shared" si="8"/>
        <v>66.7</v>
      </c>
      <c r="L1222">
        <f t="shared" si="9"/>
        <v>0</v>
      </c>
      <c r="M1222">
        <f t="shared" si="10"/>
        <v>1</v>
      </c>
      <c r="N1222" s="233" t="s">
        <v>2706</v>
      </c>
      <c r="O1222" s="234" t="s">
        <v>54</v>
      </c>
      <c r="P1222" s="235">
        <v>45.1</v>
      </c>
      <c r="Q1222" s="235">
        <v>66.7</v>
      </c>
      <c r="R1222" s="236" t="s">
        <v>77</v>
      </c>
      <c r="S1222" s="233" t="s">
        <v>2714</v>
      </c>
    </row>
    <row r="1223" hidden="1">
      <c r="A1223" s="32" t="str">
        <f t="shared" si="1"/>
        <v>#N/A</v>
      </c>
      <c r="B1223" s="32" t="str">
        <f t="shared" si="2"/>
        <v>#N/A</v>
      </c>
      <c r="C1223" s="32" t="str">
        <f t="shared" si="3"/>
        <v>Week 17</v>
      </c>
      <c r="D1223" s="32">
        <v>2025.0</v>
      </c>
      <c r="E1223" t="str">
        <f t="shared" si="15"/>
        <v>17</v>
      </c>
      <c r="F1223" t="str">
        <f t="shared" si="5"/>
        <v/>
      </c>
      <c r="G1223" s="40" t="str">
        <f>VLOOKUP(F1223,'Manager Coding'!C:D,2,0)</f>
        <v>#N/A</v>
      </c>
      <c r="H1223" s="41" t="str">
        <f t="shared" si="6"/>
        <v/>
      </c>
      <c r="I1223" t="str">
        <f t="shared" si="7"/>
        <v/>
      </c>
      <c r="J1223" t="str">
        <f>VLOOKUP(I1223,'Manager Coding'!C:D,2,0)</f>
        <v>#N/A</v>
      </c>
      <c r="K1223" s="41" t="str">
        <f t="shared" si="8"/>
        <v/>
      </c>
      <c r="L1223">
        <f t="shared" si="9"/>
        <v>0</v>
      </c>
      <c r="M1223">
        <f t="shared" si="10"/>
        <v>0</v>
      </c>
      <c r="N1223" s="237" t="s">
        <v>83</v>
      </c>
      <c r="O1223" s="132"/>
      <c r="P1223" s="219"/>
      <c r="Q1223" s="220"/>
      <c r="R1223" s="133"/>
      <c r="S1223" s="131"/>
    </row>
    <row r="1224">
      <c r="A1224" s="32" t="str">
        <f t="shared" si="1"/>
        <v>#N/A</v>
      </c>
      <c r="B1224" s="32" t="str">
        <f t="shared" si="2"/>
        <v>#N/A</v>
      </c>
      <c r="C1224" s="32" t="str">
        <f t="shared" si="3"/>
        <v>Week 1</v>
      </c>
      <c r="D1224" s="32">
        <v>2026.0</v>
      </c>
      <c r="E1224" t="str">
        <f t="shared" si="15"/>
        <v>1</v>
      </c>
      <c r="F1224" t="str">
        <f t="shared" si="5"/>
        <v>TEAM MANAGER(S)</v>
      </c>
      <c r="G1224" s="40" t="str">
        <f>VLOOKUP(F1224,'Manager Coding'!C:D,2,0)</f>
        <v>#N/A</v>
      </c>
      <c r="H1224" s="41" t="str">
        <f t="shared" si="6"/>
        <v>Score</v>
      </c>
      <c r="I1224" t="str">
        <f t="shared" si="7"/>
        <v>TEAM MANAGER(S)</v>
      </c>
      <c r="J1224" t="str">
        <f>VLOOKUP(I1224,'Manager Coding'!C:D,2,0)</f>
        <v>#N/A</v>
      </c>
      <c r="K1224" s="41" t="str">
        <f t="shared" si="8"/>
        <v>Score</v>
      </c>
      <c r="L1224">
        <f t="shared" si="9"/>
        <v>0</v>
      </c>
      <c r="M1224">
        <f t="shared" si="10"/>
        <v>0</v>
      </c>
      <c r="N1224" s="184" t="s">
        <v>197</v>
      </c>
      <c r="O1224" s="184" t="s">
        <v>88</v>
      </c>
      <c r="P1224" s="216" t="s">
        <v>59</v>
      </c>
      <c r="Q1224" s="216" t="s">
        <v>59</v>
      </c>
      <c r="R1224" s="185" t="s">
        <v>88</v>
      </c>
      <c r="S1224" s="185" t="s">
        <v>101</v>
      </c>
    </row>
    <row r="1225">
      <c r="A1225" s="32" t="str">
        <f t="shared" si="1"/>
        <v>2026PiersonWeek 1</v>
      </c>
      <c r="B1225" s="32" t="str">
        <f t="shared" si="2"/>
        <v>2026RileyWeek 1</v>
      </c>
      <c r="C1225" s="32" t="str">
        <f t="shared" si="3"/>
        <v>Week 1</v>
      </c>
      <c r="D1225" s="32">
        <v>2026.0</v>
      </c>
      <c r="E1225" t="str">
        <f t="shared" si="15"/>
        <v>1</v>
      </c>
      <c r="F1225" t="str">
        <f t="shared" si="5"/>
        <v>Pierson Curtis</v>
      </c>
      <c r="G1225" s="40" t="str">
        <f>VLOOKUP(F1225,'Manager Coding'!C:D,2,0)</f>
        <v>Pierson</v>
      </c>
      <c r="H1225" s="41">
        <f t="shared" si="6"/>
        <v>103.9</v>
      </c>
      <c r="I1225" t="str">
        <f t="shared" si="7"/>
        <v>Riley McElwain</v>
      </c>
      <c r="J1225" t="str">
        <f>VLOOKUP(I1225,'Manager Coding'!C:D,2,0)</f>
        <v>Riley</v>
      </c>
      <c r="K1225" s="41">
        <f t="shared" si="8"/>
        <v>116.02</v>
      </c>
      <c r="L1225">
        <f t="shared" si="9"/>
        <v>0</v>
      </c>
      <c r="M1225">
        <f t="shared" si="10"/>
        <v>1</v>
      </c>
      <c r="N1225" s="118" t="s">
        <v>2864</v>
      </c>
      <c r="O1225" s="119" t="s">
        <v>93</v>
      </c>
      <c r="P1225" s="238">
        <v>103.9</v>
      </c>
      <c r="Q1225" s="217">
        <v>116.02</v>
      </c>
      <c r="R1225" s="122" t="s">
        <v>68</v>
      </c>
      <c r="S1225" s="118" t="s">
        <v>2865</v>
      </c>
    </row>
    <row r="1226">
      <c r="A1226" s="32" t="str">
        <f t="shared" si="1"/>
        <v>2026CockWeek 1</v>
      </c>
      <c r="B1226" s="32" t="str">
        <f t="shared" si="2"/>
        <v>2026SaltyWeek 1</v>
      </c>
      <c r="C1226" s="32" t="str">
        <f t="shared" si="3"/>
        <v>Week 1</v>
      </c>
      <c r="D1226" s="32">
        <v>2026.0</v>
      </c>
      <c r="E1226" t="str">
        <f t="shared" si="15"/>
        <v>1</v>
      </c>
      <c r="F1226" t="str">
        <f t="shared" si="5"/>
        <v>Chris Cochrane</v>
      </c>
      <c r="G1226" s="40" t="str">
        <f>VLOOKUP(F1226,'Manager Coding'!C:D,2,0)</f>
        <v>Cock</v>
      </c>
      <c r="H1226" s="41">
        <f t="shared" si="6"/>
        <v>92.12</v>
      </c>
      <c r="I1226" t="str">
        <f t="shared" si="7"/>
        <v>R Saltiel</v>
      </c>
      <c r="J1226" t="str">
        <f>VLOOKUP(I1226,'Manager Coding'!C:D,2,0)</f>
        <v>Salty</v>
      </c>
      <c r="K1226" s="41">
        <f t="shared" si="8"/>
        <v>97.64</v>
      </c>
      <c r="L1226">
        <f t="shared" si="9"/>
        <v>0</v>
      </c>
      <c r="M1226">
        <f t="shared" si="10"/>
        <v>1</v>
      </c>
      <c r="N1226" s="123" t="s">
        <v>2866</v>
      </c>
      <c r="O1226" s="124" t="s">
        <v>99</v>
      </c>
      <c r="P1226" s="238">
        <v>92.12</v>
      </c>
      <c r="Q1226" s="217">
        <v>97.64</v>
      </c>
      <c r="R1226" s="133" t="s">
        <v>77</v>
      </c>
      <c r="S1226" s="123" t="s">
        <v>2867</v>
      </c>
    </row>
    <row r="1227">
      <c r="A1227" s="32" t="str">
        <f t="shared" si="1"/>
        <v>2026ShepWeek 1</v>
      </c>
      <c r="B1227" s="32" t="str">
        <f t="shared" si="2"/>
        <v>2026BuserWeek 1</v>
      </c>
      <c r="C1227" s="32" t="str">
        <f t="shared" si="3"/>
        <v>Week 1</v>
      </c>
      <c r="D1227" s="32">
        <v>2026.0</v>
      </c>
      <c r="E1227" t="str">
        <f t="shared" si="15"/>
        <v>1</v>
      </c>
      <c r="F1227" t="str">
        <f t="shared" si="5"/>
        <v>Jordan Shepherd</v>
      </c>
      <c r="G1227" s="40" t="str">
        <f>VLOOKUP(F1227,'Manager Coding'!C:D,2,0)</f>
        <v>Shep</v>
      </c>
      <c r="H1227" s="41">
        <f t="shared" si="6"/>
        <v>121.1</v>
      </c>
      <c r="I1227" t="str">
        <f t="shared" si="7"/>
        <v>Ed Buser</v>
      </c>
      <c r="J1227" t="str">
        <f>VLOOKUP(I1227,'Manager Coding'!C:D,2,0)</f>
        <v>Buser</v>
      </c>
      <c r="K1227" s="41">
        <f t="shared" si="8"/>
        <v>125.26</v>
      </c>
      <c r="L1227">
        <f t="shared" si="9"/>
        <v>0</v>
      </c>
      <c r="M1227">
        <f t="shared" si="10"/>
        <v>1</v>
      </c>
      <c r="N1227" s="118" t="s">
        <v>2868</v>
      </c>
      <c r="O1227" s="119" t="s">
        <v>91</v>
      </c>
      <c r="P1227" s="238">
        <v>121.1</v>
      </c>
      <c r="Q1227" s="217">
        <v>125.26</v>
      </c>
      <c r="R1227" s="122" t="s">
        <v>50</v>
      </c>
      <c r="S1227" s="118" t="s">
        <v>2869</v>
      </c>
    </row>
    <row r="1228">
      <c r="A1228" s="32" t="str">
        <f t="shared" si="1"/>
        <v>2026T-HowWeek 1</v>
      </c>
      <c r="B1228" s="32" t="str">
        <f t="shared" si="2"/>
        <v>2026TayskiWeek 1</v>
      </c>
      <c r="C1228" s="32" t="str">
        <f t="shared" si="3"/>
        <v>Week 1</v>
      </c>
      <c r="D1228" s="32">
        <v>2026.0</v>
      </c>
      <c r="E1228" t="str">
        <f t="shared" si="15"/>
        <v>1</v>
      </c>
      <c r="F1228" t="str">
        <f t="shared" si="5"/>
        <v>Tyler Howard</v>
      </c>
      <c r="G1228" s="40" t="str">
        <f>VLOOKUP(F1228,'Manager Coding'!C:D,2,0)</f>
        <v>T-How</v>
      </c>
      <c r="H1228" s="41">
        <f t="shared" si="6"/>
        <v>94.6</v>
      </c>
      <c r="I1228" t="str">
        <f t="shared" si="7"/>
        <v>Taylor Weis</v>
      </c>
      <c r="J1228" t="str">
        <f>VLOOKUP(I1228,'Manager Coding'!C:D,2,0)</f>
        <v>Tayski</v>
      </c>
      <c r="K1228" s="41">
        <f t="shared" si="8"/>
        <v>83.86</v>
      </c>
      <c r="L1228">
        <f t="shared" si="9"/>
        <v>1</v>
      </c>
      <c r="M1228">
        <f t="shared" si="10"/>
        <v>0</v>
      </c>
      <c r="N1228" s="85" t="s">
        <v>2870</v>
      </c>
      <c r="O1228" s="86" t="s">
        <v>85</v>
      </c>
      <c r="P1228" s="210">
        <v>94.6</v>
      </c>
      <c r="Q1228" s="209">
        <v>83.86</v>
      </c>
      <c r="R1228" s="89" t="s">
        <v>54</v>
      </c>
      <c r="S1228" s="85" t="s">
        <v>2871</v>
      </c>
    </row>
    <row r="1229">
      <c r="A1229" s="32" t="str">
        <f t="shared" si="1"/>
        <v>2026EwertWeek 1</v>
      </c>
      <c r="B1229" s="32" t="str">
        <f t="shared" si="2"/>
        <v>2026KnardDawgWeek 1</v>
      </c>
      <c r="C1229" s="32" t="str">
        <f t="shared" si="3"/>
        <v>Week 1</v>
      </c>
      <c r="D1229" s="32">
        <v>2026.0</v>
      </c>
      <c r="E1229" t="str">
        <f t="shared" si="15"/>
        <v>1</v>
      </c>
      <c r="F1229" t="str">
        <f t="shared" si="5"/>
        <v>Kyle Ewert, brad starck</v>
      </c>
      <c r="G1229" s="40" t="str">
        <f>VLOOKUP(F1229,'Manager Coding'!C:D,2,0)</f>
        <v>Ewert</v>
      </c>
      <c r="H1229" s="41">
        <f t="shared" si="6"/>
        <v>117.2</v>
      </c>
      <c r="I1229" t="str">
        <f t="shared" si="7"/>
        <v>Alex Kinniard, Jack Reilly</v>
      </c>
      <c r="J1229" t="str">
        <f>VLOOKUP(I1229,'Manager Coding'!C:D,2,0)</f>
        <v>KnardDawg</v>
      </c>
      <c r="K1229" s="41">
        <f t="shared" si="8"/>
        <v>110.06</v>
      </c>
      <c r="L1229">
        <f t="shared" si="9"/>
        <v>1</v>
      </c>
      <c r="M1229">
        <f t="shared" si="10"/>
        <v>0</v>
      </c>
      <c r="N1229" s="80" t="s">
        <v>2872</v>
      </c>
      <c r="O1229" s="119" t="s">
        <v>105</v>
      </c>
      <c r="P1229" s="217">
        <v>117.2</v>
      </c>
      <c r="Q1229" s="238">
        <v>110.06</v>
      </c>
      <c r="R1229" s="122" t="s">
        <v>87</v>
      </c>
      <c r="S1229" s="118" t="s">
        <v>2873</v>
      </c>
    </row>
    <row r="1230">
      <c r="A1230" s="32" t="str">
        <f t="shared" si="1"/>
        <v>2026Rooney/JacksonWeek 1</v>
      </c>
      <c r="B1230" s="32" t="str">
        <f t="shared" si="2"/>
        <v>2026HudspeathWeek 1</v>
      </c>
      <c r="C1230" s="32" t="str">
        <f t="shared" si="3"/>
        <v>Week 1</v>
      </c>
      <c r="D1230" s="32">
        <v>2026.0</v>
      </c>
      <c r="E1230" t="str">
        <f t="shared" si="15"/>
        <v>1</v>
      </c>
      <c r="F1230" t="str">
        <f t="shared" si="5"/>
        <v>Stephen Rooney, Jackson Sattell</v>
      </c>
      <c r="G1230" s="40" t="str">
        <f>VLOOKUP(F1230,'Manager Coding'!C:D,2,0)</f>
        <v>Rooney/Jackson</v>
      </c>
      <c r="H1230" s="41">
        <f t="shared" si="6"/>
        <v>157.46</v>
      </c>
      <c r="I1230" t="str">
        <f t="shared" si="7"/>
        <v>matt hudspeath</v>
      </c>
      <c r="J1230" t="str">
        <f>VLOOKUP(I1230,'Manager Coding'!C:D,2,0)</f>
        <v>Hudspeath</v>
      </c>
      <c r="K1230" s="41">
        <f t="shared" si="8"/>
        <v>143.06</v>
      </c>
      <c r="L1230">
        <f t="shared" si="9"/>
        <v>1</v>
      </c>
      <c r="M1230">
        <f t="shared" si="10"/>
        <v>0</v>
      </c>
      <c r="N1230" s="240" t="s">
        <v>2874</v>
      </c>
      <c r="O1230" s="241" t="s">
        <v>58</v>
      </c>
      <c r="P1230" s="235">
        <v>157.46</v>
      </c>
      <c r="Q1230" s="242">
        <v>143.06</v>
      </c>
      <c r="R1230" s="243" t="s">
        <v>64</v>
      </c>
      <c r="S1230" s="240" t="s">
        <v>2875</v>
      </c>
    </row>
    <row r="1231">
      <c r="A1231" s="32" t="str">
        <f t="shared" si="1"/>
        <v>#N/A</v>
      </c>
      <c r="B1231" s="32" t="str">
        <f t="shared" si="2"/>
        <v>#N/A</v>
      </c>
      <c r="C1231" s="32" t="str">
        <f t="shared" si="3"/>
        <v>Week 1</v>
      </c>
      <c r="D1231" s="32">
        <v>2026.0</v>
      </c>
      <c r="E1231" t="str">
        <f t="shared" si="15"/>
        <v>1</v>
      </c>
      <c r="F1231" t="str">
        <f t="shared" si="5"/>
        <v/>
      </c>
      <c r="G1231" s="40" t="str">
        <f>VLOOKUP(F1231,'Manager Coding'!C:D,2,0)</f>
        <v>#N/A</v>
      </c>
      <c r="H1231" s="41" t="str">
        <f t="shared" si="6"/>
        <v/>
      </c>
      <c r="I1231" t="str">
        <f t="shared" si="7"/>
        <v/>
      </c>
      <c r="J1231" t="str">
        <f>VLOOKUP(I1231,'Manager Coding'!C:D,2,0)</f>
        <v>#N/A</v>
      </c>
      <c r="K1231" s="41" t="str">
        <f t="shared" si="8"/>
        <v/>
      </c>
      <c r="L1231">
        <f t="shared" si="9"/>
        <v>0</v>
      </c>
      <c r="M1231">
        <f t="shared" si="10"/>
        <v>0</v>
      </c>
      <c r="N1231" s="244" t="s">
        <v>196</v>
      </c>
      <c r="O1231" s="132"/>
      <c r="P1231" s="219"/>
      <c r="Q1231" s="220"/>
      <c r="R1231" s="133"/>
      <c r="S1231" s="131"/>
    </row>
    <row r="1232">
      <c r="A1232" s="32" t="str">
        <f t="shared" si="1"/>
        <v>#N/A</v>
      </c>
      <c r="B1232" s="32" t="str">
        <f t="shared" si="2"/>
        <v>#N/A</v>
      </c>
      <c r="C1232" s="32" t="str">
        <f t="shared" si="3"/>
        <v>Week 2</v>
      </c>
      <c r="D1232" s="32">
        <v>2026.0</v>
      </c>
      <c r="E1232" t="str">
        <f t="shared" si="15"/>
        <v>2</v>
      </c>
      <c r="F1232" t="str">
        <f t="shared" si="5"/>
        <v/>
      </c>
      <c r="G1232" s="40" t="str">
        <f>VLOOKUP(F1232,'Manager Coding'!C:D,2,0)</f>
        <v>#N/A</v>
      </c>
      <c r="H1232" s="41" t="str">
        <f t="shared" si="6"/>
        <v/>
      </c>
      <c r="I1232" t="str">
        <f t="shared" si="7"/>
        <v/>
      </c>
      <c r="J1232" t="str">
        <f>VLOOKUP(I1232,'Manager Coding'!C:D,2,0)</f>
        <v>#N/A</v>
      </c>
      <c r="K1232" s="41" t="str">
        <f t="shared" si="8"/>
        <v/>
      </c>
      <c r="L1232">
        <f t="shared" si="9"/>
        <v>0</v>
      </c>
      <c r="M1232">
        <f t="shared" si="10"/>
        <v>0</v>
      </c>
      <c r="N1232" s="245" t="s">
        <v>2876</v>
      </c>
      <c r="O1232" s="132"/>
      <c r="P1232" s="219"/>
      <c r="Q1232" s="220"/>
      <c r="R1232" s="133"/>
      <c r="S1232" s="131"/>
    </row>
    <row r="1233">
      <c r="A1233" s="32" t="str">
        <f t="shared" si="1"/>
        <v>#N/A</v>
      </c>
      <c r="B1233" s="32" t="str">
        <f t="shared" si="2"/>
        <v>#N/A</v>
      </c>
      <c r="C1233" s="32" t="str">
        <f t="shared" si="3"/>
        <v>Week 2</v>
      </c>
      <c r="D1233" s="32">
        <v>2026.0</v>
      </c>
      <c r="E1233" t="str">
        <f t="shared" si="15"/>
        <v>2</v>
      </c>
      <c r="F1233" t="str">
        <f t="shared" si="5"/>
        <v>TEAM MANAGER(S)</v>
      </c>
      <c r="G1233" s="40" t="str">
        <f>VLOOKUP(F1233,'Manager Coding'!C:D,2,0)</f>
        <v>#N/A</v>
      </c>
      <c r="H1233" s="41" t="str">
        <f t="shared" si="6"/>
        <v>Score</v>
      </c>
      <c r="I1233" t="str">
        <f t="shared" si="7"/>
        <v>TEAM MANAGER(S)</v>
      </c>
      <c r="J1233" t="str">
        <f>VLOOKUP(I1233,'Manager Coding'!C:D,2,0)</f>
        <v>#N/A</v>
      </c>
      <c r="K1233" s="41" t="str">
        <f t="shared" si="8"/>
        <v>Score</v>
      </c>
      <c r="L1233">
        <f t="shared" si="9"/>
        <v>0</v>
      </c>
      <c r="M1233">
        <f t="shared" si="10"/>
        <v>0</v>
      </c>
      <c r="N1233" s="221" t="s">
        <v>197</v>
      </c>
      <c r="O1233" s="221" t="s">
        <v>88</v>
      </c>
      <c r="P1233" s="222" t="s">
        <v>59</v>
      </c>
      <c r="Q1233" s="222" t="s">
        <v>59</v>
      </c>
      <c r="R1233" s="223" t="s">
        <v>88</v>
      </c>
      <c r="S1233" s="223" t="s">
        <v>101</v>
      </c>
    </row>
    <row r="1234">
      <c r="A1234" s="32" t="str">
        <f t="shared" si="1"/>
        <v>2026CockWeek 2</v>
      </c>
      <c r="B1234" s="32" t="str">
        <f t="shared" si="2"/>
        <v>2026PiersonWeek 2</v>
      </c>
      <c r="C1234" s="32" t="str">
        <f t="shared" si="3"/>
        <v>Week 2</v>
      </c>
      <c r="D1234" s="32">
        <v>2026.0</v>
      </c>
      <c r="E1234" t="str">
        <f t="shared" si="15"/>
        <v>2</v>
      </c>
      <c r="F1234" t="str">
        <f t="shared" si="5"/>
        <v>Chris Cochrane</v>
      </c>
      <c r="G1234" s="40" t="str">
        <f>VLOOKUP(F1234,'Manager Coding'!C:D,2,0)</f>
        <v>Cock</v>
      </c>
      <c r="H1234" s="41">
        <f t="shared" si="6"/>
        <v>65.66</v>
      </c>
      <c r="I1234" t="str">
        <f t="shared" si="7"/>
        <v>Pierson Curtis</v>
      </c>
      <c r="J1234" t="str">
        <f>VLOOKUP(I1234,'Manager Coding'!C:D,2,0)</f>
        <v>Pierson</v>
      </c>
      <c r="K1234" s="41">
        <f t="shared" si="8"/>
        <v>80</v>
      </c>
      <c r="L1234">
        <f t="shared" si="9"/>
        <v>0</v>
      </c>
      <c r="M1234">
        <f t="shared" si="10"/>
        <v>1</v>
      </c>
      <c r="N1234" s="118" t="s">
        <v>2877</v>
      </c>
      <c r="O1234" s="119" t="s">
        <v>99</v>
      </c>
      <c r="P1234" s="238">
        <v>65.66</v>
      </c>
      <c r="Q1234" s="217">
        <v>80.0</v>
      </c>
      <c r="R1234" s="122" t="s">
        <v>93</v>
      </c>
      <c r="S1234" s="118" t="s">
        <v>2878</v>
      </c>
    </row>
    <row r="1235">
      <c r="A1235" s="32" t="str">
        <f t="shared" si="1"/>
        <v>2026RileyWeek 2</v>
      </c>
      <c r="B1235" s="32" t="str">
        <f t="shared" si="2"/>
        <v>2026ShepWeek 2</v>
      </c>
      <c r="C1235" s="32" t="str">
        <f t="shared" si="3"/>
        <v>Week 2</v>
      </c>
      <c r="D1235" s="32">
        <v>2026.0</v>
      </c>
      <c r="E1235" t="str">
        <f t="shared" si="15"/>
        <v>2</v>
      </c>
      <c r="F1235" t="str">
        <f t="shared" si="5"/>
        <v>Riley McElwain</v>
      </c>
      <c r="G1235" s="40" t="str">
        <f>VLOOKUP(F1235,'Manager Coding'!C:D,2,0)</f>
        <v>Riley</v>
      </c>
      <c r="H1235" s="41">
        <f t="shared" si="6"/>
        <v>57.82</v>
      </c>
      <c r="I1235" t="str">
        <f t="shared" si="7"/>
        <v>Jordan Shepherd</v>
      </c>
      <c r="J1235" t="str">
        <f>VLOOKUP(I1235,'Manager Coding'!C:D,2,0)</f>
        <v>Shep</v>
      </c>
      <c r="K1235" s="41">
        <f t="shared" si="8"/>
        <v>143.98</v>
      </c>
      <c r="L1235">
        <f t="shared" si="9"/>
        <v>0</v>
      </c>
      <c r="M1235">
        <f t="shared" si="10"/>
        <v>1</v>
      </c>
      <c r="N1235" s="123" t="s">
        <v>2879</v>
      </c>
      <c r="O1235" s="124" t="s">
        <v>68</v>
      </c>
      <c r="P1235" s="238">
        <v>57.82</v>
      </c>
      <c r="Q1235" s="217">
        <v>143.98</v>
      </c>
      <c r="R1235" s="125" t="s">
        <v>91</v>
      </c>
      <c r="S1235" s="123" t="s">
        <v>2880</v>
      </c>
    </row>
    <row r="1236">
      <c r="A1236" s="32" t="str">
        <f t="shared" si="1"/>
        <v>2026SaltyWeek 2</v>
      </c>
      <c r="B1236" s="32" t="str">
        <f t="shared" si="2"/>
        <v>2026T-HowWeek 2</v>
      </c>
      <c r="C1236" s="32" t="str">
        <f t="shared" si="3"/>
        <v>Week 2</v>
      </c>
      <c r="D1236" s="32">
        <v>2026.0</v>
      </c>
      <c r="E1236" t="str">
        <f t="shared" si="15"/>
        <v>2</v>
      </c>
      <c r="F1236" t="str">
        <f t="shared" si="5"/>
        <v>R Saltiel</v>
      </c>
      <c r="G1236" s="40" t="str">
        <f>VLOOKUP(F1236,'Manager Coding'!C:D,2,0)</f>
        <v>Salty</v>
      </c>
      <c r="H1236" s="41">
        <f t="shared" si="6"/>
        <v>87.94</v>
      </c>
      <c r="I1236" t="str">
        <f t="shared" si="7"/>
        <v>Tyler Howard</v>
      </c>
      <c r="J1236" t="str">
        <f>VLOOKUP(I1236,'Manager Coding'!C:D,2,0)</f>
        <v>T-How</v>
      </c>
      <c r="K1236" s="41">
        <f t="shared" si="8"/>
        <v>105.26</v>
      </c>
      <c r="L1236">
        <f t="shared" si="9"/>
        <v>0</v>
      </c>
      <c r="M1236">
        <f t="shared" si="10"/>
        <v>1</v>
      </c>
      <c r="N1236" s="118" t="s">
        <v>2881</v>
      </c>
      <c r="O1236" s="119" t="s">
        <v>77</v>
      </c>
      <c r="P1236" s="238">
        <v>87.94</v>
      </c>
      <c r="Q1236" s="217">
        <v>105.26</v>
      </c>
      <c r="R1236" s="122" t="s">
        <v>85</v>
      </c>
      <c r="S1236" s="118" t="s">
        <v>2882</v>
      </c>
    </row>
    <row r="1237">
      <c r="A1237" s="32" t="str">
        <f t="shared" si="1"/>
        <v>2026BuserWeek 2</v>
      </c>
      <c r="B1237" s="32" t="str">
        <f t="shared" si="2"/>
        <v>2026EwertWeek 2</v>
      </c>
      <c r="C1237" s="32" t="str">
        <f t="shared" si="3"/>
        <v>Week 2</v>
      </c>
      <c r="D1237" s="32">
        <v>2026.0</v>
      </c>
      <c r="E1237" t="str">
        <f t="shared" si="15"/>
        <v>2</v>
      </c>
      <c r="F1237" t="str">
        <f t="shared" si="5"/>
        <v>Ed Buser</v>
      </c>
      <c r="G1237" s="40" t="str">
        <f>VLOOKUP(F1237,'Manager Coding'!C:D,2,0)</f>
        <v>Buser</v>
      </c>
      <c r="H1237" s="41">
        <f t="shared" si="6"/>
        <v>120.92</v>
      </c>
      <c r="I1237" t="str">
        <f t="shared" si="7"/>
        <v>Kyle Ewert, brad starck</v>
      </c>
      <c r="J1237" t="str">
        <f>VLOOKUP(I1237,'Manager Coding'!C:D,2,0)</f>
        <v>Ewert</v>
      </c>
      <c r="K1237" s="41">
        <f t="shared" si="8"/>
        <v>107.86</v>
      </c>
      <c r="L1237">
        <f t="shared" si="9"/>
        <v>1</v>
      </c>
      <c r="M1237">
        <f t="shared" si="10"/>
        <v>0</v>
      </c>
      <c r="N1237" s="123" t="s">
        <v>2883</v>
      </c>
      <c r="O1237" s="124" t="s">
        <v>50</v>
      </c>
      <c r="P1237" s="217">
        <v>120.92</v>
      </c>
      <c r="Q1237" s="238">
        <v>107.86</v>
      </c>
      <c r="R1237" s="125" t="s">
        <v>105</v>
      </c>
      <c r="S1237" s="123" t="s">
        <v>2884</v>
      </c>
    </row>
    <row r="1238">
      <c r="A1238" s="32" t="str">
        <f t="shared" si="1"/>
        <v>2026TayskiWeek 2</v>
      </c>
      <c r="B1238" s="32" t="str">
        <f t="shared" si="2"/>
        <v>2026Rooney/JacksonWeek 2</v>
      </c>
      <c r="C1238" s="32" t="str">
        <f t="shared" si="3"/>
        <v>Week 2</v>
      </c>
      <c r="D1238" s="32">
        <v>2026.0</v>
      </c>
      <c r="E1238" t="str">
        <f t="shared" si="15"/>
        <v>2</v>
      </c>
      <c r="F1238" t="str">
        <f t="shared" si="5"/>
        <v>Taylor Weis</v>
      </c>
      <c r="G1238" s="40" t="str">
        <f>VLOOKUP(F1238,'Manager Coding'!C:D,2,0)</f>
        <v>Tayski</v>
      </c>
      <c r="H1238" s="41">
        <f t="shared" si="6"/>
        <v>145.88</v>
      </c>
      <c r="I1238" t="str">
        <f t="shared" si="7"/>
        <v>Stephen Rooney, Jackson Sattell</v>
      </c>
      <c r="J1238" t="str">
        <f>VLOOKUP(I1238,'Manager Coding'!C:D,2,0)</f>
        <v>Rooney/Jackson</v>
      </c>
      <c r="K1238" s="41">
        <f t="shared" si="8"/>
        <v>77.1</v>
      </c>
      <c r="L1238">
        <f t="shared" si="9"/>
        <v>1</v>
      </c>
      <c r="M1238">
        <f t="shared" si="10"/>
        <v>0</v>
      </c>
      <c r="N1238" s="118" t="s">
        <v>2885</v>
      </c>
      <c r="O1238" s="119" t="s">
        <v>54</v>
      </c>
      <c r="P1238" s="217">
        <v>145.88</v>
      </c>
      <c r="Q1238" s="238">
        <v>77.1</v>
      </c>
      <c r="R1238" s="122" t="s">
        <v>58</v>
      </c>
      <c r="S1238" s="118" t="s">
        <v>2886</v>
      </c>
    </row>
    <row r="1239">
      <c r="A1239" s="32" t="str">
        <f t="shared" si="1"/>
        <v>2026KnardDawgWeek 2</v>
      </c>
      <c r="B1239" s="32" t="str">
        <f t="shared" si="2"/>
        <v>2026HudspeathWeek 2</v>
      </c>
      <c r="C1239" s="32" t="str">
        <f t="shared" si="3"/>
        <v>Week 2</v>
      </c>
      <c r="D1239" s="32">
        <v>2026.0</v>
      </c>
      <c r="E1239" t="str">
        <f t="shared" si="15"/>
        <v>2</v>
      </c>
      <c r="F1239" t="str">
        <f t="shared" si="5"/>
        <v>Alex Kinniard, Jack Reilly</v>
      </c>
      <c r="G1239" s="40" t="str">
        <f>VLOOKUP(F1239,'Manager Coding'!C:D,2,0)</f>
        <v>KnardDawg</v>
      </c>
      <c r="H1239" s="41">
        <f t="shared" si="6"/>
        <v>101.92</v>
      </c>
      <c r="I1239" t="str">
        <f t="shared" si="7"/>
        <v>matt hudspeath</v>
      </c>
      <c r="J1239" t="str">
        <f>VLOOKUP(I1239,'Manager Coding'!C:D,2,0)</f>
        <v>Hudspeath</v>
      </c>
      <c r="K1239" s="41">
        <f t="shared" si="8"/>
        <v>124.68</v>
      </c>
      <c r="L1239">
        <f t="shared" si="9"/>
        <v>0</v>
      </c>
      <c r="M1239">
        <f t="shared" si="10"/>
        <v>1</v>
      </c>
      <c r="N1239" s="85" t="s">
        <v>2887</v>
      </c>
      <c r="O1239" s="86" t="s">
        <v>87</v>
      </c>
      <c r="P1239" s="209">
        <v>101.92</v>
      </c>
      <c r="Q1239" s="210">
        <v>124.68</v>
      </c>
      <c r="R1239" s="89" t="s">
        <v>64</v>
      </c>
      <c r="S1239" s="85" t="s">
        <v>2888</v>
      </c>
    </row>
    <row r="1240">
      <c r="A1240" s="32" t="str">
        <f t="shared" si="1"/>
        <v>#N/A</v>
      </c>
      <c r="B1240" s="32" t="str">
        <f t="shared" si="2"/>
        <v>#N/A</v>
      </c>
      <c r="C1240" s="32" t="str">
        <f t="shared" si="3"/>
        <v>Week 2</v>
      </c>
      <c r="D1240" s="32">
        <v>2026.0</v>
      </c>
      <c r="E1240" t="str">
        <f t="shared" si="15"/>
        <v>2</v>
      </c>
      <c r="F1240" t="str">
        <f t="shared" si="5"/>
        <v/>
      </c>
      <c r="G1240" s="40" t="str">
        <f>VLOOKUP(F1240,'Manager Coding'!C:D,2,0)</f>
        <v>#N/A</v>
      </c>
      <c r="H1240" s="41" t="str">
        <f t="shared" si="6"/>
        <v/>
      </c>
      <c r="I1240" t="str">
        <f t="shared" si="7"/>
        <v/>
      </c>
      <c r="J1240" t="str">
        <f>VLOOKUP(I1240,'Manager Coding'!C:D,2,0)</f>
        <v>#N/A</v>
      </c>
      <c r="K1240" s="41" t="str">
        <f t="shared" si="8"/>
        <v/>
      </c>
      <c r="L1240">
        <f t="shared" si="9"/>
        <v>0</v>
      </c>
      <c r="M1240">
        <f t="shared" si="10"/>
        <v>0</v>
      </c>
      <c r="N1240" s="246" t="s">
        <v>234</v>
      </c>
      <c r="O1240" s="132"/>
      <c r="P1240" s="219"/>
      <c r="Q1240" s="220"/>
      <c r="R1240" s="133"/>
      <c r="S1240" s="131"/>
    </row>
    <row r="1241">
      <c r="A1241" s="32" t="str">
        <f t="shared" si="1"/>
        <v>#N/A</v>
      </c>
      <c r="B1241" s="32" t="str">
        <f t="shared" si="2"/>
        <v>#N/A</v>
      </c>
      <c r="C1241" s="32" t="str">
        <f t="shared" si="3"/>
        <v>Week 3</v>
      </c>
      <c r="D1241" s="32">
        <v>2026.0</v>
      </c>
      <c r="E1241" t="str">
        <f t="shared" si="15"/>
        <v>3</v>
      </c>
      <c r="F1241" t="str">
        <f t="shared" si="5"/>
        <v>TEAM MANAGER(S)</v>
      </c>
      <c r="G1241" s="40" t="str">
        <f>VLOOKUP(F1241,'Manager Coding'!C:D,2,0)</f>
        <v>#N/A</v>
      </c>
      <c r="H1241" s="41" t="str">
        <f t="shared" si="6"/>
        <v>Score</v>
      </c>
      <c r="I1241" t="str">
        <f t="shared" si="7"/>
        <v>TEAM MANAGER(S)</v>
      </c>
      <c r="J1241" t="str">
        <f>VLOOKUP(I1241,'Manager Coding'!C:D,2,0)</f>
        <v>#N/A</v>
      </c>
      <c r="K1241" s="41" t="str">
        <f t="shared" si="8"/>
        <v>Score</v>
      </c>
      <c r="L1241">
        <f t="shared" si="9"/>
        <v>0</v>
      </c>
      <c r="M1241">
        <f t="shared" si="10"/>
        <v>0</v>
      </c>
      <c r="N1241" s="221" t="s">
        <v>197</v>
      </c>
      <c r="O1241" s="221" t="s">
        <v>88</v>
      </c>
      <c r="P1241" s="222" t="s">
        <v>59</v>
      </c>
      <c r="Q1241" s="222" t="s">
        <v>59</v>
      </c>
      <c r="R1241" s="223" t="s">
        <v>88</v>
      </c>
      <c r="S1241" s="223" t="s">
        <v>101</v>
      </c>
    </row>
    <row r="1242">
      <c r="A1242" s="32" t="str">
        <f t="shared" si="1"/>
        <v>2026PiersonWeek 3</v>
      </c>
      <c r="B1242" s="32" t="str">
        <f t="shared" si="2"/>
        <v>2026ShepWeek 3</v>
      </c>
      <c r="C1242" s="32" t="str">
        <f t="shared" si="3"/>
        <v>Week 3</v>
      </c>
      <c r="D1242" s="32">
        <v>2026.0</v>
      </c>
      <c r="E1242" t="str">
        <f t="shared" si="15"/>
        <v>3</v>
      </c>
      <c r="F1242" t="str">
        <f t="shared" si="5"/>
        <v>Pierson Curtis</v>
      </c>
      <c r="G1242" s="40" t="str">
        <f>VLOOKUP(F1242,'Manager Coding'!C:D,2,0)</f>
        <v>Pierson</v>
      </c>
      <c r="H1242" s="41">
        <f t="shared" si="6"/>
        <v>139.74</v>
      </c>
      <c r="I1242" t="str">
        <f t="shared" si="7"/>
        <v>Jordan Shepherd</v>
      </c>
      <c r="J1242" t="str">
        <f>VLOOKUP(I1242,'Manager Coding'!C:D,2,0)</f>
        <v>Shep</v>
      </c>
      <c r="K1242" s="41">
        <f t="shared" si="8"/>
        <v>127.2</v>
      </c>
      <c r="L1242">
        <f t="shared" si="9"/>
        <v>1</v>
      </c>
      <c r="M1242">
        <f t="shared" si="10"/>
        <v>0</v>
      </c>
      <c r="N1242" s="118" t="s">
        <v>2878</v>
      </c>
      <c r="O1242" s="119" t="s">
        <v>93</v>
      </c>
      <c r="P1242" s="217">
        <v>139.74</v>
      </c>
      <c r="Q1242" s="238">
        <v>127.2</v>
      </c>
      <c r="R1242" s="122" t="s">
        <v>91</v>
      </c>
      <c r="S1242" s="118" t="s">
        <v>2880</v>
      </c>
    </row>
    <row r="1243">
      <c r="A1243" s="32" t="str">
        <f t="shared" si="1"/>
        <v>2026T-HowWeek 3</v>
      </c>
      <c r="B1243" s="32" t="str">
        <f t="shared" si="2"/>
        <v>2026CockWeek 3</v>
      </c>
      <c r="C1243" s="32" t="str">
        <f t="shared" si="3"/>
        <v>Week 3</v>
      </c>
      <c r="D1243" s="32">
        <v>2026.0</v>
      </c>
      <c r="E1243" t="str">
        <f t="shared" si="15"/>
        <v>3</v>
      </c>
      <c r="F1243" t="str">
        <f t="shared" si="5"/>
        <v>Tyler Howard</v>
      </c>
      <c r="G1243" s="40" t="str">
        <f>VLOOKUP(F1243,'Manager Coding'!C:D,2,0)</f>
        <v>T-How</v>
      </c>
      <c r="H1243" s="41">
        <f t="shared" si="6"/>
        <v>107.84</v>
      </c>
      <c r="I1243" t="str">
        <f t="shared" si="7"/>
        <v>Chris Cochrane</v>
      </c>
      <c r="J1243" t="str">
        <f>VLOOKUP(I1243,'Manager Coding'!C:D,2,0)</f>
        <v>Cock</v>
      </c>
      <c r="K1243" s="41">
        <f t="shared" si="8"/>
        <v>87.12</v>
      </c>
      <c r="L1243">
        <f t="shared" si="9"/>
        <v>1</v>
      </c>
      <c r="M1243">
        <f t="shared" si="10"/>
        <v>0</v>
      </c>
      <c r="N1243" s="123" t="s">
        <v>2882</v>
      </c>
      <c r="O1243" s="124" t="s">
        <v>85</v>
      </c>
      <c r="P1243" s="217">
        <v>107.84</v>
      </c>
      <c r="Q1243" s="238">
        <v>87.12</v>
      </c>
      <c r="R1243" s="125" t="s">
        <v>99</v>
      </c>
      <c r="S1243" s="123" t="s">
        <v>2877</v>
      </c>
    </row>
    <row r="1244">
      <c r="A1244" s="32" t="str">
        <f t="shared" si="1"/>
        <v>2026EwertWeek 3</v>
      </c>
      <c r="B1244" s="32" t="str">
        <f t="shared" si="2"/>
        <v>2026RileyWeek 3</v>
      </c>
      <c r="C1244" s="32" t="str">
        <f t="shared" si="3"/>
        <v>Week 3</v>
      </c>
      <c r="D1244" s="32">
        <v>2026.0</v>
      </c>
      <c r="E1244" t="str">
        <f t="shared" si="15"/>
        <v>3</v>
      </c>
      <c r="F1244" t="str">
        <f t="shared" si="5"/>
        <v>Kyle Ewert, brad starck</v>
      </c>
      <c r="G1244" s="40" t="str">
        <f>VLOOKUP(F1244,'Manager Coding'!C:D,2,0)</f>
        <v>Ewert</v>
      </c>
      <c r="H1244" s="41">
        <f t="shared" si="6"/>
        <v>91.8</v>
      </c>
      <c r="I1244" t="str">
        <f t="shared" si="7"/>
        <v>Riley McElwain</v>
      </c>
      <c r="J1244" t="str">
        <f>VLOOKUP(I1244,'Manager Coding'!C:D,2,0)</f>
        <v>Riley</v>
      </c>
      <c r="K1244" s="41">
        <f t="shared" si="8"/>
        <v>100.94</v>
      </c>
      <c r="L1244">
        <f t="shared" si="9"/>
        <v>0</v>
      </c>
      <c r="M1244">
        <f t="shared" si="10"/>
        <v>1</v>
      </c>
      <c r="N1244" s="118" t="s">
        <v>2884</v>
      </c>
      <c r="O1244" s="119" t="s">
        <v>105</v>
      </c>
      <c r="P1244" s="238">
        <v>91.8</v>
      </c>
      <c r="Q1244" s="217">
        <v>100.94</v>
      </c>
      <c r="R1244" s="122" t="s">
        <v>68</v>
      </c>
      <c r="S1244" s="118" t="s">
        <v>2879</v>
      </c>
    </row>
    <row r="1245">
      <c r="A1245" s="32" t="str">
        <f t="shared" si="1"/>
        <v>2026Rooney/JacksonWeek 3</v>
      </c>
      <c r="B1245" s="32" t="str">
        <f t="shared" si="2"/>
        <v>2026SaltyWeek 3</v>
      </c>
      <c r="C1245" s="32" t="str">
        <f t="shared" si="3"/>
        <v>Week 3</v>
      </c>
      <c r="D1245" s="32">
        <v>2026.0</v>
      </c>
      <c r="E1245" t="str">
        <f t="shared" si="15"/>
        <v>3</v>
      </c>
      <c r="F1245" t="str">
        <f t="shared" si="5"/>
        <v>Stephen Rooney, Jackson Sattell</v>
      </c>
      <c r="G1245" s="40" t="str">
        <f>VLOOKUP(F1245,'Manager Coding'!C:D,2,0)</f>
        <v>Rooney/Jackson</v>
      </c>
      <c r="H1245" s="41">
        <f t="shared" si="6"/>
        <v>114.04</v>
      </c>
      <c r="I1245" t="str">
        <f t="shared" si="7"/>
        <v>R Saltiel</v>
      </c>
      <c r="J1245" t="str">
        <f>VLOOKUP(I1245,'Manager Coding'!C:D,2,0)</f>
        <v>Salty</v>
      </c>
      <c r="K1245" s="41">
        <f t="shared" si="8"/>
        <v>100.48</v>
      </c>
      <c r="L1245">
        <f t="shared" si="9"/>
        <v>1</v>
      </c>
      <c r="M1245">
        <f t="shared" si="10"/>
        <v>0</v>
      </c>
      <c r="N1245" s="123" t="s">
        <v>2886</v>
      </c>
      <c r="O1245" s="124" t="s">
        <v>58</v>
      </c>
      <c r="P1245" s="217">
        <v>114.04</v>
      </c>
      <c r="Q1245" s="238">
        <v>100.48</v>
      </c>
      <c r="R1245" s="125" t="s">
        <v>77</v>
      </c>
      <c r="S1245" s="123" t="s">
        <v>2881</v>
      </c>
    </row>
    <row r="1246">
      <c r="A1246" s="32" t="str">
        <f t="shared" si="1"/>
        <v>2026HudspeathWeek 3</v>
      </c>
      <c r="B1246" s="32" t="str">
        <f t="shared" si="2"/>
        <v>2026BuserWeek 3</v>
      </c>
      <c r="C1246" s="32" t="str">
        <f t="shared" si="3"/>
        <v>Week 3</v>
      </c>
      <c r="D1246" s="32">
        <v>2026.0</v>
      </c>
      <c r="E1246" t="str">
        <f t="shared" si="15"/>
        <v>3</v>
      </c>
      <c r="F1246" t="str">
        <f t="shared" si="5"/>
        <v>matt hudspeath</v>
      </c>
      <c r="G1246" s="40" t="str">
        <f>VLOOKUP(F1246,'Manager Coding'!C:D,2,0)</f>
        <v>Hudspeath</v>
      </c>
      <c r="H1246" s="41">
        <f t="shared" si="6"/>
        <v>119.48</v>
      </c>
      <c r="I1246" t="str">
        <f t="shared" si="7"/>
        <v>Ed Buser</v>
      </c>
      <c r="J1246" t="str">
        <f>VLOOKUP(I1246,'Manager Coding'!C:D,2,0)</f>
        <v>Buser</v>
      </c>
      <c r="K1246" s="41">
        <f t="shared" si="8"/>
        <v>82.26</v>
      </c>
      <c r="L1246">
        <f t="shared" si="9"/>
        <v>1</v>
      </c>
      <c r="M1246">
        <f t="shared" si="10"/>
        <v>0</v>
      </c>
      <c r="N1246" s="118" t="s">
        <v>2888</v>
      </c>
      <c r="O1246" s="119" t="s">
        <v>64</v>
      </c>
      <c r="P1246" s="217">
        <v>119.48</v>
      </c>
      <c r="Q1246" s="238">
        <v>82.26</v>
      </c>
      <c r="R1246" s="122" t="s">
        <v>50</v>
      </c>
      <c r="S1246" s="118" t="s">
        <v>2883</v>
      </c>
    </row>
    <row r="1247">
      <c r="A1247" s="32" t="str">
        <f t="shared" si="1"/>
        <v>2026KnardDawgWeek 3</v>
      </c>
      <c r="B1247" s="32" t="str">
        <f t="shared" si="2"/>
        <v>2026TayskiWeek 3</v>
      </c>
      <c r="C1247" s="32" t="str">
        <f t="shared" si="3"/>
        <v>Week 3</v>
      </c>
      <c r="D1247" s="32">
        <v>2026.0</v>
      </c>
      <c r="E1247" t="str">
        <f t="shared" si="15"/>
        <v>3</v>
      </c>
      <c r="F1247" t="str">
        <f t="shared" si="5"/>
        <v>Alex Kinniard, Jack Reilly</v>
      </c>
      <c r="G1247" s="40" t="str">
        <f>VLOOKUP(F1247,'Manager Coding'!C:D,2,0)</f>
        <v>KnardDawg</v>
      </c>
      <c r="H1247" s="41">
        <f t="shared" si="6"/>
        <v>77.88</v>
      </c>
      <c r="I1247" t="str">
        <f t="shared" si="7"/>
        <v>Taylor Weis</v>
      </c>
      <c r="J1247" t="str">
        <f>VLOOKUP(I1247,'Manager Coding'!C:D,2,0)</f>
        <v>Tayski</v>
      </c>
      <c r="K1247" s="41">
        <f t="shared" si="8"/>
        <v>114.54</v>
      </c>
      <c r="L1247">
        <f t="shared" si="9"/>
        <v>0</v>
      </c>
      <c r="M1247">
        <f t="shared" si="10"/>
        <v>1</v>
      </c>
      <c r="N1247" s="85" t="s">
        <v>2887</v>
      </c>
      <c r="O1247" s="86" t="s">
        <v>87</v>
      </c>
      <c r="P1247" s="209">
        <v>77.88</v>
      </c>
      <c r="Q1247" s="210">
        <v>114.54</v>
      </c>
      <c r="R1247" s="89" t="s">
        <v>54</v>
      </c>
      <c r="S1247" s="85" t="s">
        <v>2885</v>
      </c>
    </row>
    <row r="1248">
      <c r="A1248" s="32" t="str">
        <f t="shared" si="1"/>
        <v>2026KnardDawgWeek 3</v>
      </c>
      <c r="B1248" s="32" t="str">
        <f t="shared" si="2"/>
        <v>2026TayskiWeek 3</v>
      </c>
      <c r="C1248" s="32" t="str">
        <f t="shared" si="3"/>
        <v>Week 3</v>
      </c>
      <c r="D1248" s="32">
        <v>2026.0</v>
      </c>
      <c r="E1248" t="str">
        <f t="shared" si="15"/>
        <v>3</v>
      </c>
      <c r="F1248" t="str">
        <f t="shared" si="5"/>
        <v>Alex Kinniard, Jack Reilly</v>
      </c>
      <c r="G1248" s="40" t="str">
        <f>VLOOKUP(F1248,'Manager Coding'!C:D,2,0)</f>
        <v>KnardDawg</v>
      </c>
      <c r="H1248" s="41">
        <f t="shared" si="6"/>
        <v>77.88</v>
      </c>
      <c r="I1248" t="str">
        <f t="shared" si="7"/>
        <v>Taylor Weis</v>
      </c>
      <c r="J1248" t="str">
        <f>VLOOKUP(I1248,'Manager Coding'!C:D,2,0)</f>
        <v>Tayski</v>
      </c>
      <c r="K1248" s="41">
        <f t="shared" si="8"/>
        <v>114.54</v>
      </c>
      <c r="L1248">
        <f t="shared" si="9"/>
        <v>0</v>
      </c>
      <c r="M1248">
        <f t="shared" si="10"/>
        <v>1</v>
      </c>
      <c r="N1248" s="246" t="s">
        <v>260</v>
      </c>
      <c r="O1248" s="86" t="s">
        <v>87</v>
      </c>
      <c r="P1248" s="209">
        <v>77.88</v>
      </c>
      <c r="Q1248" s="210">
        <v>114.54</v>
      </c>
      <c r="R1248" s="89" t="s">
        <v>54</v>
      </c>
      <c r="S1248" s="85" t="s">
        <v>2889</v>
      </c>
    </row>
    <row r="1249">
      <c r="A1249" s="32" t="str">
        <f t="shared" si="1"/>
        <v>#N/A</v>
      </c>
      <c r="B1249" s="32" t="str">
        <f t="shared" si="2"/>
        <v>#N/A</v>
      </c>
      <c r="C1249" s="32" t="str">
        <f t="shared" si="3"/>
        <v>Week 4</v>
      </c>
      <c r="D1249" s="32">
        <v>2026.0</v>
      </c>
      <c r="E1249" t="str">
        <f t="shared" si="15"/>
        <v>4</v>
      </c>
      <c r="F1249" t="str">
        <f t="shared" si="5"/>
        <v>TEAM MANAGER(S)</v>
      </c>
      <c r="G1249" s="40" t="str">
        <f>VLOOKUP(F1249,'Manager Coding'!C:D,2,0)</f>
        <v>#N/A</v>
      </c>
      <c r="H1249" s="41" t="str">
        <f t="shared" si="6"/>
        <v>Score</v>
      </c>
      <c r="I1249" t="str">
        <f t="shared" si="7"/>
        <v>TEAM MANAGER(S)</v>
      </c>
      <c r="J1249" t="str">
        <f>VLOOKUP(I1249,'Manager Coding'!C:D,2,0)</f>
        <v>#N/A</v>
      </c>
      <c r="K1249" s="41" t="str">
        <f t="shared" si="8"/>
        <v>Score</v>
      </c>
      <c r="L1249">
        <f t="shared" si="9"/>
        <v>0</v>
      </c>
      <c r="M1249">
        <f t="shared" si="10"/>
        <v>0</v>
      </c>
      <c r="N1249" s="221" t="s">
        <v>197</v>
      </c>
      <c r="O1249" s="221" t="s">
        <v>88</v>
      </c>
      <c r="P1249" s="222" t="s">
        <v>59</v>
      </c>
      <c r="Q1249" s="222" t="s">
        <v>59</v>
      </c>
      <c r="R1249" s="223" t="s">
        <v>88</v>
      </c>
      <c r="S1249" s="223" t="s">
        <v>101</v>
      </c>
    </row>
    <row r="1250">
      <c r="A1250" s="32" t="str">
        <f t="shared" si="1"/>
        <v>2026T-HowWeek 4</v>
      </c>
      <c r="B1250" s="32" t="str">
        <f t="shared" si="2"/>
        <v>2026PiersonWeek 4</v>
      </c>
      <c r="C1250" s="32" t="str">
        <f t="shared" si="3"/>
        <v>Week 4</v>
      </c>
      <c r="D1250" s="32">
        <v>2026.0</v>
      </c>
      <c r="E1250" t="str">
        <f t="shared" si="15"/>
        <v>4</v>
      </c>
      <c r="F1250" t="str">
        <f t="shared" si="5"/>
        <v>Tyler Howard</v>
      </c>
      <c r="G1250" s="40" t="str">
        <f>VLOOKUP(F1250,'Manager Coding'!C:D,2,0)</f>
        <v>T-How</v>
      </c>
      <c r="H1250" s="41">
        <f t="shared" si="6"/>
        <v>97.58</v>
      </c>
      <c r="I1250" t="str">
        <f t="shared" si="7"/>
        <v>Pierson Curtis</v>
      </c>
      <c r="J1250" t="str">
        <f>VLOOKUP(I1250,'Manager Coding'!C:D,2,0)</f>
        <v>Pierson</v>
      </c>
      <c r="K1250" s="41">
        <f t="shared" si="8"/>
        <v>122.76</v>
      </c>
      <c r="L1250">
        <f t="shared" si="9"/>
        <v>0</v>
      </c>
      <c r="M1250">
        <f t="shared" si="10"/>
        <v>1</v>
      </c>
      <c r="N1250" s="118" t="s">
        <v>2882</v>
      </c>
      <c r="O1250" s="119" t="s">
        <v>85</v>
      </c>
      <c r="P1250" s="238">
        <v>97.58</v>
      </c>
      <c r="Q1250" s="217">
        <v>122.76</v>
      </c>
      <c r="R1250" s="122" t="s">
        <v>93</v>
      </c>
      <c r="S1250" s="118" t="s">
        <v>2878</v>
      </c>
    </row>
    <row r="1251">
      <c r="A1251" s="32" t="str">
        <f t="shared" si="1"/>
        <v>2026ShepWeek 4</v>
      </c>
      <c r="B1251" s="32" t="str">
        <f t="shared" si="2"/>
        <v>2026EwertWeek 4</v>
      </c>
      <c r="C1251" s="32" t="str">
        <f t="shared" si="3"/>
        <v>Week 4</v>
      </c>
      <c r="D1251" s="32">
        <v>2026.0</v>
      </c>
      <c r="E1251" t="str">
        <f t="shared" si="15"/>
        <v>4</v>
      </c>
      <c r="F1251" t="str">
        <f t="shared" si="5"/>
        <v>Jordan Shepherd</v>
      </c>
      <c r="G1251" s="40" t="str">
        <f>VLOOKUP(F1251,'Manager Coding'!C:D,2,0)</f>
        <v>Shep</v>
      </c>
      <c r="H1251" s="41">
        <f t="shared" si="6"/>
        <v>112.2</v>
      </c>
      <c r="I1251" t="str">
        <f t="shared" si="7"/>
        <v>Kyle Ewert, brad starck</v>
      </c>
      <c r="J1251" t="str">
        <f>VLOOKUP(I1251,'Manager Coding'!C:D,2,0)</f>
        <v>Ewert</v>
      </c>
      <c r="K1251" s="41">
        <f t="shared" si="8"/>
        <v>55.24</v>
      </c>
      <c r="L1251">
        <f t="shared" si="9"/>
        <v>1</v>
      </c>
      <c r="M1251">
        <f t="shared" si="10"/>
        <v>0</v>
      </c>
      <c r="N1251" s="123" t="s">
        <v>2880</v>
      </c>
      <c r="O1251" s="124" t="s">
        <v>91</v>
      </c>
      <c r="P1251" s="217">
        <v>112.2</v>
      </c>
      <c r="Q1251" s="238">
        <v>55.24</v>
      </c>
      <c r="R1251" s="125" t="s">
        <v>105</v>
      </c>
      <c r="S1251" s="123" t="s">
        <v>2884</v>
      </c>
    </row>
    <row r="1252">
      <c r="A1252" s="32" t="str">
        <f t="shared" si="1"/>
        <v>2026CockWeek 4</v>
      </c>
      <c r="B1252" s="32" t="str">
        <f t="shared" si="2"/>
        <v>2026Rooney/JacksonWeek 4</v>
      </c>
      <c r="C1252" s="32" t="str">
        <f t="shared" si="3"/>
        <v>Week 4</v>
      </c>
      <c r="D1252" s="32">
        <v>2026.0</v>
      </c>
      <c r="E1252" t="str">
        <f t="shared" si="15"/>
        <v>4</v>
      </c>
      <c r="F1252" t="str">
        <f t="shared" si="5"/>
        <v>Chris Cochrane</v>
      </c>
      <c r="G1252" s="40" t="str">
        <f>VLOOKUP(F1252,'Manager Coding'!C:D,2,0)</f>
        <v>Cock</v>
      </c>
      <c r="H1252" s="41">
        <f t="shared" si="6"/>
        <v>113.02</v>
      </c>
      <c r="I1252" t="str">
        <f t="shared" si="7"/>
        <v>Stephen Rooney, Jackson Sattell</v>
      </c>
      <c r="J1252" t="str">
        <f>VLOOKUP(I1252,'Manager Coding'!C:D,2,0)</f>
        <v>Rooney/Jackson</v>
      </c>
      <c r="K1252" s="41">
        <f t="shared" si="8"/>
        <v>133.18</v>
      </c>
      <c r="L1252">
        <f t="shared" si="9"/>
        <v>0</v>
      </c>
      <c r="M1252">
        <f t="shared" si="10"/>
        <v>1</v>
      </c>
      <c r="N1252" s="118" t="s">
        <v>2877</v>
      </c>
      <c r="O1252" s="119" t="s">
        <v>99</v>
      </c>
      <c r="P1252" s="238">
        <v>113.02</v>
      </c>
      <c r="Q1252" s="217">
        <v>133.18</v>
      </c>
      <c r="R1252" s="122" t="s">
        <v>58</v>
      </c>
      <c r="S1252" s="118" t="s">
        <v>2886</v>
      </c>
    </row>
    <row r="1253">
      <c r="A1253" s="32" t="str">
        <f t="shared" si="1"/>
        <v>2026RileyWeek 4</v>
      </c>
      <c r="B1253" s="32" t="str">
        <f t="shared" si="2"/>
        <v>2026HudspeathWeek 4</v>
      </c>
      <c r="C1253" s="32" t="str">
        <f t="shared" si="3"/>
        <v>Week 4</v>
      </c>
      <c r="D1253" s="32">
        <v>2026.0</v>
      </c>
      <c r="E1253" t="str">
        <f t="shared" si="15"/>
        <v>4</v>
      </c>
      <c r="F1253" t="str">
        <f t="shared" si="5"/>
        <v>Riley McElwain</v>
      </c>
      <c r="G1253" s="40" t="str">
        <f>VLOOKUP(F1253,'Manager Coding'!C:D,2,0)</f>
        <v>Riley</v>
      </c>
      <c r="H1253" s="41">
        <f t="shared" si="6"/>
        <v>114.12</v>
      </c>
      <c r="I1253" t="str">
        <f t="shared" si="7"/>
        <v>matt hudspeath</v>
      </c>
      <c r="J1253" t="str">
        <f>VLOOKUP(I1253,'Manager Coding'!C:D,2,0)</f>
        <v>Hudspeath</v>
      </c>
      <c r="K1253" s="41">
        <f t="shared" si="8"/>
        <v>122.02</v>
      </c>
      <c r="L1253">
        <f t="shared" si="9"/>
        <v>0</v>
      </c>
      <c r="M1253">
        <f t="shared" si="10"/>
        <v>1</v>
      </c>
      <c r="N1253" s="123" t="s">
        <v>2879</v>
      </c>
      <c r="O1253" s="124" t="s">
        <v>68</v>
      </c>
      <c r="P1253" s="238">
        <v>114.12</v>
      </c>
      <c r="Q1253" s="217">
        <v>122.02</v>
      </c>
      <c r="R1253" s="125" t="s">
        <v>64</v>
      </c>
      <c r="S1253" s="123" t="s">
        <v>2888</v>
      </c>
    </row>
    <row r="1254">
      <c r="A1254" s="32" t="str">
        <f t="shared" si="1"/>
        <v>2026SaltyWeek 4</v>
      </c>
      <c r="B1254" s="32" t="str">
        <f t="shared" si="2"/>
        <v>2026KnardDawgWeek 4</v>
      </c>
      <c r="C1254" s="32" t="str">
        <f t="shared" si="3"/>
        <v>Week 4</v>
      </c>
      <c r="D1254" s="32">
        <v>2026.0</v>
      </c>
      <c r="E1254" t="str">
        <f t="shared" si="15"/>
        <v>4</v>
      </c>
      <c r="F1254" t="str">
        <f t="shared" si="5"/>
        <v>R Saltiel</v>
      </c>
      <c r="G1254" s="40" t="str">
        <f>VLOOKUP(F1254,'Manager Coding'!C:D,2,0)</f>
        <v>Salty</v>
      </c>
      <c r="H1254" s="41">
        <f t="shared" si="6"/>
        <v>141.58</v>
      </c>
      <c r="I1254" t="str">
        <f t="shared" si="7"/>
        <v>Alex Kinniard, Jack Reilly</v>
      </c>
      <c r="J1254" t="str">
        <f>VLOOKUP(I1254,'Manager Coding'!C:D,2,0)</f>
        <v>KnardDawg</v>
      </c>
      <c r="K1254" s="41">
        <f t="shared" si="8"/>
        <v>79.12</v>
      </c>
      <c r="L1254">
        <f t="shared" si="9"/>
        <v>1</v>
      </c>
      <c r="M1254">
        <f t="shared" si="10"/>
        <v>0</v>
      </c>
      <c r="N1254" s="118" t="s">
        <v>2881</v>
      </c>
      <c r="O1254" s="119" t="s">
        <v>77</v>
      </c>
      <c r="P1254" s="217">
        <v>141.58</v>
      </c>
      <c r="Q1254" s="238">
        <v>79.12</v>
      </c>
      <c r="R1254" s="122" t="s">
        <v>87</v>
      </c>
      <c r="S1254" s="118" t="s">
        <v>2887</v>
      </c>
    </row>
    <row r="1255">
      <c r="A1255" s="32" t="str">
        <f t="shared" si="1"/>
        <v>2026BuserWeek 4</v>
      </c>
      <c r="B1255" s="32" t="str">
        <f t="shared" si="2"/>
        <v>2026TayskiWeek 4</v>
      </c>
      <c r="C1255" s="32" t="str">
        <f t="shared" si="3"/>
        <v>Week 4</v>
      </c>
      <c r="D1255" s="32">
        <v>2026.0</v>
      </c>
      <c r="E1255" t="str">
        <f t="shared" si="15"/>
        <v>4</v>
      </c>
      <c r="F1255" t="str">
        <f t="shared" si="5"/>
        <v>Ed Buser</v>
      </c>
      <c r="G1255" s="40" t="str">
        <f>VLOOKUP(F1255,'Manager Coding'!C:D,2,0)</f>
        <v>Buser</v>
      </c>
      <c r="H1255" s="41">
        <f t="shared" si="6"/>
        <v>118.32</v>
      </c>
      <c r="I1255" t="str">
        <f t="shared" si="7"/>
        <v>Taylor Weis</v>
      </c>
      <c r="J1255" t="str">
        <f>VLOOKUP(I1255,'Manager Coding'!C:D,2,0)</f>
        <v>Tayski</v>
      </c>
      <c r="K1255" s="41">
        <f t="shared" si="8"/>
        <v>65.18</v>
      </c>
      <c r="L1255">
        <f t="shared" si="9"/>
        <v>1</v>
      </c>
      <c r="M1255">
        <f t="shared" si="10"/>
        <v>0</v>
      </c>
      <c r="N1255" s="85" t="s">
        <v>2883</v>
      </c>
      <c r="O1255" s="86" t="s">
        <v>50</v>
      </c>
      <c r="P1255" s="210">
        <v>118.32</v>
      </c>
      <c r="Q1255" s="209">
        <v>65.18</v>
      </c>
      <c r="R1255" s="89" t="s">
        <v>54</v>
      </c>
      <c r="S1255" s="85" t="s">
        <v>2885</v>
      </c>
    </row>
    <row r="1256">
      <c r="A1256" s="32" t="str">
        <f t="shared" si="1"/>
        <v>2026SaltyWeek 4</v>
      </c>
      <c r="B1256" s="32" t="str">
        <f t="shared" si="2"/>
        <v>2026KnardDawgWeek 4</v>
      </c>
      <c r="C1256" s="32" t="str">
        <f t="shared" si="3"/>
        <v>Week 4</v>
      </c>
      <c r="D1256" s="32">
        <v>2026.0</v>
      </c>
      <c r="E1256" t="str">
        <f t="shared" si="15"/>
        <v>4</v>
      </c>
      <c r="F1256" t="str">
        <f t="shared" si="5"/>
        <v>R Saltiel</v>
      </c>
      <c r="G1256" s="40" t="str">
        <f>VLOOKUP(F1256,'Manager Coding'!C:D,2,0)</f>
        <v>Salty</v>
      </c>
      <c r="H1256" s="41">
        <f t="shared" si="6"/>
        <v>141.58</v>
      </c>
      <c r="I1256" t="str">
        <f t="shared" si="7"/>
        <v>Alex Kinniard, Jack Reilly</v>
      </c>
      <c r="J1256" t="str">
        <f>VLOOKUP(I1256,'Manager Coding'!C:D,2,0)</f>
        <v>KnardDawg</v>
      </c>
      <c r="K1256" s="41">
        <f t="shared" si="8"/>
        <v>79.12</v>
      </c>
      <c r="L1256">
        <f t="shared" si="9"/>
        <v>1</v>
      </c>
      <c r="M1256">
        <f t="shared" si="10"/>
        <v>0</v>
      </c>
      <c r="N1256" s="246" t="s">
        <v>291</v>
      </c>
      <c r="O1256" s="129" t="s">
        <v>77</v>
      </c>
      <c r="P1256" s="217">
        <v>141.58</v>
      </c>
      <c r="Q1256" s="238">
        <v>79.12</v>
      </c>
      <c r="R1256" s="122" t="s">
        <v>87</v>
      </c>
      <c r="S1256" s="118" t="s">
        <v>2890</v>
      </c>
    </row>
    <row r="1257">
      <c r="A1257" s="32" t="str">
        <f t="shared" si="1"/>
        <v>#N/A</v>
      </c>
      <c r="B1257" s="32" t="str">
        <f t="shared" si="2"/>
        <v>#N/A</v>
      </c>
      <c r="C1257" s="32" t="str">
        <f t="shared" si="3"/>
        <v>Week 5</v>
      </c>
      <c r="D1257" s="32">
        <v>2026.0</v>
      </c>
      <c r="E1257" t="str">
        <f t="shared" si="15"/>
        <v>5</v>
      </c>
      <c r="F1257" t="str">
        <f t="shared" si="5"/>
        <v>TEAM MANAGER(S)</v>
      </c>
      <c r="G1257" s="40" t="str">
        <f>VLOOKUP(F1257,'Manager Coding'!C:D,2,0)</f>
        <v>#N/A</v>
      </c>
      <c r="H1257" s="41" t="str">
        <f t="shared" si="6"/>
        <v>Score</v>
      </c>
      <c r="I1257" t="str">
        <f t="shared" si="7"/>
        <v>TEAM MANAGER(S)</v>
      </c>
      <c r="J1257" t="str">
        <f>VLOOKUP(I1257,'Manager Coding'!C:D,2,0)</f>
        <v>#N/A</v>
      </c>
      <c r="K1257" s="41" t="str">
        <f t="shared" si="8"/>
        <v>Score</v>
      </c>
      <c r="L1257">
        <f t="shared" si="9"/>
        <v>0</v>
      </c>
      <c r="M1257">
        <f t="shared" si="10"/>
        <v>0</v>
      </c>
      <c r="N1257" s="221" t="s">
        <v>197</v>
      </c>
      <c r="O1257" s="221" t="s">
        <v>88</v>
      </c>
      <c r="P1257" s="222" t="s">
        <v>59</v>
      </c>
      <c r="Q1257" s="222" t="s">
        <v>59</v>
      </c>
      <c r="R1257" s="223" t="s">
        <v>88</v>
      </c>
      <c r="S1257" s="223" t="s">
        <v>101</v>
      </c>
    </row>
    <row r="1258">
      <c r="A1258" s="32" t="str">
        <f t="shared" si="1"/>
        <v>2026PiersonWeek 5</v>
      </c>
      <c r="B1258" s="32" t="str">
        <f t="shared" si="2"/>
        <v>2026EwertWeek 5</v>
      </c>
      <c r="C1258" s="32" t="str">
        <f t="shared" si="3"/>
        <v>Week 5</v>
      </c>
      <c r="D1258" s="32">
        <v>2026.0</v>
      </c>
      <c r="E1258" t="str">
        <f t="shared" si="15"/>
        <v>5</v>
      </c>
      <c r="F1258" t="str">
        <f t="shared" si="5"/>
        <v>Pierson Curtis</v>
      </c>
      <c r="G1258" s="40" t="str">
        <f>VLOOKUP(F1258,'Manager Coding'!C:D,2,0)</f>
        <v>Pierson</v>
      </c>
      <c r="H1258" s="41">
        <f t="shared" si="6"/>
        <v>134.66</v>
      </c>
      <c r="I1258" t="str">
        <f t="shared" si="7"/>
        <v>Kyle Ewert, brad starck</v>
      </c>
      <c r="J1258" t="str">
        <f>VLOOKUP(I1258,'Manager Coding'!C:D,2,0)</f>
        <v>Ewert</v>
      </c>
      <c r="K1258" s="41">
        <f t="shared" si="8"/>
        <v>103.54</v>
      </c>
      <c r="L1258">
        <f t="shared" si="9"/>
        <v>1</v>
      </c>
      <c r="M1258">
        <f t="shared" si="10"/>
        <v>0</v>
      </c>
      <c r="N1258" s="118" t="s">
        <v>2878</v>
      </c>
      <c r="O1258" s="119" t="s">
        <v>93</v>
      </c>
      <c r="P1258" s="217">
        <v>134.66</v>
      </c>
      <c r="Q1258" s="238">
        <v>103.54</v>
      </c>
      <c r="R1258" s="122" t="s">
        <v>105</v>
      </c>
      <c r="S1258" s="118" t="s">
        <v>2884</v>
      </c>
    </row>
    <row r="1259">
      <c r="A1259" s="32" t="str">
        <f t="shared" si="1"/>
        <v>2026Rooney/JacksonWeek 5</v>
      </c>
      <c r="B1259" s="32" t="str">
        <f t="shared" si="2"/>
        <v>2026T-HowWeek 5</v>
      </c>
      <c r="C1259" s="32" t="str">
        <f t="shared" si="3"/>
        <v>Week 5</v>
      </c>
      <c r="D1259" s="32">
        <v>2026.0</v>
      </c>
      <c r="E1259" t="str">
        <f t="shared" si="15"/>
        <v>5</v>
      </c>
      <c r="F1259" t="str">
        <f t="shared" si="5"/>
        <v>Stephen Rooney, Jackson Sattell</v>
      </c>
      <c r="G1259" s="40" t="str">
        <f>VLOOKUP(F1259,'Manager Coding'!C:D,2,0)</f>
        <v>Rooney/Jackson</v>
      </c>
      <c r="H1259" s="41">
        <f t="shared" si="6"/>
        <v>167.08</v>
      </c>
      <c r="I1259" t="str">
        <f t="shared" si="7"/>
        <v>Tyler Howard</v>
      </c>
      <c r="J1259" t="str">
        <f>VLOOKUP(I1259,'Manager Coding'!C:D,2,0)</f>
        <v>T-How</v>
      </c>
      <c r="K1259" s="41">
        <f t="shared" si="8"/>
        <v>114.44</v>
      </c>
      <c r="L1259">
        <f t="shared" si="9"/>
        <v>1</v>
      </c>
      <c r="M1259">
        <f t="shared" si="10"/>
        <v>0</v>
      </c>
      <c r="N1259" s="123" t="s">
        <v>2886</v>
      </c>
      <c r="O1259" s="124" t="s">
        <v>58</v>
      </c>
      <c r="P1259" s="217">
        <v>167.08</v>
      </c>
      <c r="Q1259" s="238">
        <v>114.44</v>
      </c>
      <c r="R1259" s="125" t="s">
        <v>85</v>
      </c>
      <c r="S1259" s="123" t="s">
        <v>2882</v>
      </c>
    </row>
    <row r="1260">
      <c r="A1260" s="32" t="str">
        <f t="shared" si="1"/>
        <v>2026HudspeathWeek 5</v>
      </c>
      <c r="B1260" s="32" t="str">
        <f t="shared" si="2"/>
        <v>2026ShepWeek 5</v>
      </c>
      <c r="C1260" s="32" t="str">
        <f t="shared" si="3"/>
        <v>Week 5</v>
      </c>
      <c r="D1260" s="32">
        <v>2026.0</v>
      </c>
      <c r="E1260" t="str">
        <f t="shared" si="15"/>
        <v>5</v>
      </c>
      <c r="F1260" t="str">
        <f t="shared" si="5"/>
        <v>matt hudspeath</v>
      </c>
      <c r="G1260" s="40" t="str">
        <f>VLOOKUP(F1260,'Manager Coding'!C:D,2,0)</f>
        <v>Hudspeath</v>
      </c>
      <c r="H1260" s="41">
        <f t="shared" si="6"/>
        <v>120</v>
      </c>
      <c r="I1260" t="str">
        <f t="shared" si="7"/>
        <v>Jordan Shepherd</v>
      </c>
      <c r="J1260" t="str">
        <f>VLOOKUP(I1260,'Manager Coding'!C:D,2,0)</f>
        <v>Shep</v>
      </c>
      <c r="K1260" s="41">
        <f t="shared" si="8"/>
        <v>118.32</v>
      </c>
      <c r="L1260">
        <f t="shared" si="9"/>
        <v>1</v>
      </c>
      <c r="M1260">
        <f t="shared" si="10"/>
        <v>0</v>
      </c>
      <c r="N1260" s="118" t="s">
        <v>2888</v>
      </c>
      <c r="O1260" s="119" t="s">
        <v>64</v>
      </c>
      <c r="P1260" s="217">
        <v>120.0</v>
      </c>
      <c r="Q1260" s="238">
        <v>118.32</v>
      </c>
      <c r="R1260" s="122" t="s">
        <v>91</v>
      </c>
      <c r="S1260" s="118" t="s">
        <v>2880</v>
      </c>
    </row>
    <row r="1261">
      <c r="A1261" s="32" t="str">
        <f t="shared" si="1"/>
        <v>2026KnardDawgWeek 5</v>
      </c>
      <c r="B1261" s="32" t="str">
        <f t="shared" si="2"/>
        <v>2026CockWeek 5</v>
      </c>
      <c r="C1261" s="32" t="str">
        <f t="shared" si="3"/>
        <v>Week 5</v>
      </c>
      <c r="D1261" s="32">
        <v>2026.0</v>
      </c>
      <c r="E1261" t="str">
        <f t="shared" si="15"/>
        <v>5</v>
      </c>
      <c r="F1261" t="str">
        <f t="shared" si="5"/>
        <v>Alex Kinniard, Jack Reilly</v>
      </c>
      <c r="G1261" s="40" t="str">
        <f>VLOOKUP(F1261,'Manager Coding'!C:D,2,0)</f>
        <v>KnardDawg</v>
      </c>
      <c r="H1261" s="41">
        <f t="shared" si="6"/>
        <v>74.26</v>
      </c>
      <c r="I1261" t="str">
        <f t="shared" si="7"/>
        <v>Chris Cochrane</v>
      </c>
      <c r="J1261" t="str">
        <f>VLOOKUP(I1261,'Manager Coding'!C:D,2,0)</f>
        <v>Cock</v>
      </c>
      <c r="K1261" s="41">
        <f t="shared" si="8"/>
        <v>91.18</v>
      </c>
      <c r="L1261">
        <f t="shared" si="9"/>
        <v>0</v>
      </c>
      <c r="M1261">
        <f t="shared" si="10"/>
        <v>1</v>
      </c>
      <c r="N1261" s="123" t="s">
        <v>2887</v>
      </c>
      <c r="O1261" s="124" t="s">
        <v>87</v>
      </c>
      <c r="P1261" s="238">
        <v>74.26</v>
      </c>
      <c r="Q1261" s="217">
        <v>91.18</v>
      </c>
      <c r="R1261" s="125" t="s">
        <v>99</v>
      </c>
      <c r="S1261" s="123" t="s">
        <v>2877</v>
      </c>
    </row>
    <row r="1262">
      <c r="A1262" s="32" t="str">
        <f t="shared" si="1"/>
        <v>2026TayskiWeek 5</v>
      </c>
      <c r="B1262" s="32" t="str">
        <f t="shared" si="2"/>
        <v>2026RileyWeek 5</v>
      </c>
      <c r="C1262" s="32" t="str">
        <f t="shared" si="3"/>
        <v>Week 5</v>
      </c>
      <c r="D1262" s="32">
        <v>2026.0</v>
      </c>
      <c r="E1262" t="str">
        <f t="shared" si="15"/>
        <v>5</v>
      </c>
      <c r="F1262" t="str">
        <f t="shared" si="5"/>
        <v>Taylor Weis</v>
      </c>
      <c r="G1262" s="40" t="str">
        <f>VLOOKUP(F1262,'Manager Coding'!C:D,2,0)</f>
        <v>Tayski</v>
      </c>
      <c r="H1262" s="41">
        <f t="shared" si="6"/>
        <v>123.76</v>
      </c>
      <c r="I1262" t="str">
        <f t="shared" si="7"/>
        <v>Riley McElwain</v>
      </c>
      <c r="J1262" t="str">
        <f>VLOOKUP(I1262,'Manager Coding'!C:D,2,0)</f>
        <v>Riley</v>
      </c>
      <c r="K1262" s="41">
        <f t="shared" si="8"/>
        <v>131.52</v>
      </c>
      <c r="L1262">
        <f t="shared" si="9"/>
        <v>0</v>
      </c>
      <c r="M1262">
        <f t="shared" si="10"/>
        <v>1</v>
      </c>
      <c r="N1262" s="118" t="s">
        <v>2885</v>
      </c>
      <c r="O1262" s="119" t="s">
        <v>54</v>
      </c>
      <c r="P1262" s="238">
        <v>123.76</v>
      </c>
      <c r="Q1262" s="217">
        <v>131.52</v>
      </c>
      <c r="R1262" s="122" t="s">
        <v>68</v>
      </c>
      <c r="S1262" s="118" t="s">
        <v>2879</v>
      </c>
    </row>
    <row r="1263">
      <c r="A1263" s="32" t="str">
        <f t="shared" si="1"/>
        <v>2026BuserWeek 5</v>
      </c>
      <c r="B1263" s="32" t="str">
        <f t="shared" si="2"/>
        <v>2026SaltyWeek 5</v>
      </c>
      <c r="C1263" s="32" t="str">
        <f t="shared" si="3"/>
        <v>Week 5</v>
      </c>
      <c r="D1263" s="32">
        <v>2026.0</v>
      </c>
      <c r="E1263" t="str">
        <f t="shared" si="15"/>
        <v>5</v>
      </c>
      <c r="F1263" t="str">
        <f t="shared" si="5"/>
        <v>Ed Buser</v>
      </c>
      <c r="G1263" s="40" t="str">
        <f>VLOOKUP(F1263,'Manager Coding'!C:D,2,0)</f>
        <v>Buser</v>
      </c>
      <c r="H1263" s="41">
        <f t="shared" si="6"/>
        <v>97.5</v>
      </c>
      <c r="I1263" t="str">
        <f t="shared" si="7"/>
        <v>R Saltiel</v>
      </c>
      <c r="J1263" t="str">
        <f>VLOOKUP(I1263,'Manager Coding'!C:D,2,0)</f>
        <v>Salty</v>
      </c>
      <c r="K1263" s="41">
        <f t="shared" si="8"/>
        <v>117.86</v>
      </c>
      <c r="L1263">
        <f t="shared" si="9"/>
        <v>0</v>
      </c>
      <c r="M1263">
        <f t="shared" si="10"/>
        <v>1</v>
      </c>
      <c r="N1263" s="85" t="s">
        <v>2883</v>
      </c>
      <c r="O1263" s="86" t="s">
        <v>50</v>
      </c>
      <c r="P1263" s="209">
        <v>97.5</v>
      </c>
      <c r="Q1263" s="210">
        <v>117.86</v>
      </c>
      <c r="R1263" s="89" t="s">
        <v>77</v>
      </c>
      <c r="S1263" s="85" t="s">
        <v>2881</v>
      </c>
    </row>
    <row r="1264">
      <c r="A1264" s="32" t="str">
        <f t="shared" si="1"/>
        <v>2026KnardDawgWeek 5</v>
      </c>
      <c r="B1264" s="32" t="str">
        <f t="shared" si="2"/>
        <v>2026CockWeek 5</v>
      </c>
      <c r="C1264" s="32" t="str">
        <f t="shared" si="3"/>
        <v>Week 5</v>
      </c>
      <c r="D1264" s="32">
        <v>2026.0</v>
      </c>
      <c r="E1264" t="str">
        <f t="shared" si="15"/>
        <v>5</v>
      </c>
      <c r="F1264" t="str">
        <f t="shared" si="5"/>
        <v>Alex Kinniard, Jack Reilly</v>
      </c>
      <c r="G1264" s="40" t="str">
        <f>VLOOKUP(F1264,'Manager Coding'!C:D,2,0)</f>
        <v>KnardDawg</v>
      </c>
      <c r="H1264" s="41">
        <f t="shared" si="6"/>
        <v>0</v>
      </c>
      <c r="I1264" t="str">
        <f t="shared" si="7"/>
        <v>Chris Cochrane</v>
      </c>
      <c r="J1264" t="str">
        <f>VLOOKUP(I1264,'Manager Coding'!C:D,2,0)</f>
        <v>Cock</v>
      </c>
      <c r="K1264" s="41">
        <f t="shared" si="8"/>
        <v>0</v>
      </c>
      <c r="L1264">
        <f t="shared" si="9"/>
        <v>0</v>
      </c>
      <c r="M1264">
        <f t="shared" si="10"/>
        <v>0</v>
      </c>
      <c r="N1264" s="246" t="s">
        <v>321</v>
      </c>
      <c r="O1264" s="124" t="s">
        <v>87</v>
      </c>
      <c r="P1264" s="238">
        <v>0.0</v>
      </c>
      <c r="Q1264" s="238">
        <v>0.0</v>
      </c>
      <c r="R1264" s="125" t="s">
        <v>99</v>
      </c>
      <c r="S1264" s="123" t="s">
        <v>2891</v>
      </c>
    </row>
    <row r="1265">
      <c r="A1265" s="32" t="str">
        <f t="shared" si="1"/>
        <v>#N/A</v>
      </c>
      <c r="B1265" s="32" t="str">
        <f t="shared" si="2"/>
        <v>#N/A</v>
      </c>
      <c r="C1265" s="32" t="str">
        <f t="shared" si="3"/>
        <v>Week 6</v>
      </c>
      <c r="D1265" s="32">
        <v>2026.0</v>
      </c>
      <c r="E1265" t="str">
        <f t="shared" si="15"/>
        <v>6</v>
      </c>
      <c r="F1265" t="str">
        <f t="shared" si="5"/>
        <v>TEAM MANAGER(S)</v>
      </c>
      <c r="G1265" s="40" t="str">
        <f>VLOOKUP(F1265,'Manager Coding'!C:D,2,0)</f>
        <v>#N/A</v>
      </c>
      <c r="H1265" s="41" t="str">
        <f t="shared" si="6"/>
        <v>Score</v>
      </c>
      <c r="I1265" t="str">
        <f t="shared" si="7"/>
        <v>TEAM MANAGER(S)</v>
      </c>
      <c r="J1265" t="str">
        <f>VLOOKUP(I1265,'Manager Coding'!C:D,2,0)</f>
        <v>#N/A</v>
      </c>
      <c r="K1265" s="41" t="str">
        <f t="shared" si="8"/>
        <v>Score</v>
      </c>
      <c r="L1265">
        <f t="shared" si="9"/>
        <v>0</v>
      </c>
      <c r="M1265">
        <f t="shared" si="10"/>
        <v>0</v>
      </c>
      <c r="N1265" s="221" t="s">
        <v>197</v>
      </c>
      <c r="O1265" s="221" t="s">
        <v>88</v>
      </c>
      <c r="P1265" s="222" t="s">
        <v>59</v>
      </c>
      <c r="Q1265" s="222" t="s">
        <v>59</v>
      </c>
      <c r="R1265" s="223" t="s">
        <v>88</v>
      </c>
      <c r="S1265" s="223" t="s">
        <v>101</v>
      </c>
    </row>
    <row r="1266">
      <c r="A1266" s="32" t="str">
        <f t="shared" si="1"/>
        <v>2026Rooney/JacksonWeek 6</v>
      </c>
      <c r="B1266" s="32" t="str">
        <f t="shared" si="2"/>
        <v>2026PiersonWeek 6</v>
      </c>
      <c r="C1266" s="32" t="str">
        <f t="shared" si="3"/>
        <v>Week 6</v>
      </c>
      <c r="D1266" s="32">
        <v>2026.0</v>
      </c>
      <c r="E1266" t="str">
        <f t="shared" si="15"/>
        <v>6</v>
      </c>
      <c r="F1266" t="str">
        <f t="shared" si="5"/>
        <v>Stephen Rooney, Jackson Sattell</v>
      </c>
      <c r="G1266" s="40" t="str">
        <f>VLOOKUP(F1266,'Manager Coding'!C:D,2,0)</f>
        <v>Rooney/Jackson</v>
      </c>
      <c r="H1266" s="41">
        <f t="shared" si="6"/>
        <v>0</v>
      </c>
      <c r="I1266" t="str">
        <f t="shared" si="7"/>
        <v>Pierson Curtis</v>
      </c>
      <c r="J1266" t="str">
        <f>VLOOKUP(I1266,'Manager Coding'!C:D,2,0)</f>
        <v>Pierson</v>
      </c>
      <c r="K1266" s="41">
        <f t="shared" si="8"/>
        <v>0</v>
      </c>
      <c r="L1266">
        <f t="shared" si="9"/>
        <v>0</v>
      </c>
      <c r="M1266">
        <f t="shared" si="10"/>
        <v>0</v>
      </c>
      <c r="N1266" s="118" t="s">
        <v>2886</v>
      </c>
      <c r="O1266" s="119" t="s">
        <v>58</v>
      </c>
      <c r="P1266" s="238">
        <v>0.0</v>
      </c>
      <c r="Q1266" s="238">
        <v>0.0</v>
      </c>
      <c r="R1266" s="122" t="s">
        <v>93</v>
      </c>
      <c r="S1266" s="118" t="s">
        <v>2878</v>
      </c>
    </row>
    <row r="1267">
      <c r="A1267" s="32" t="str">
        <f t="shared" si="1"/>
        <v>2026EwertWeek 6</v>
      </c>
      <c r="B1267" s="32" t="str">
        <f t="shared" si="2"/>
        <v>2026HudspeathWeek 6</v>
      </c>
      <c r="C1267" s="32" t="str">
        <f t="shared" si="3"/>
        <v>Week 6</v>
      </c>
      <c r="D1267" s="32">
        <v>2026.0</v>
      </c>
      <c r="E1267" t="str">
        <f t="shared" si="15"/>
        <v>6</v>
      </c>
      <c r="F1267" t="str">
        <f t="shared" si="5"/>
        <v>Kyle Ewert, brad starck</v>
      </c>
      <c r="G1267" s="40" t="str">
        <f>VLOOKUP(F1267,'Manager Coding'!C:D,2,0)</f>
        <v>Ewert</v>
      </c>
      <c r="H1267" s="41">
        <f t="shared" si="6"/>
        <v>0</v>
      </c>
      <c r="I1267" t="str">
        <f t="shared" si="7"/>
        <v>matt hudspeath</v>
      </c>
      <c r="J1267" t="str">
        <f>VLOOKUP(I1267,'Manager Coding'!C:D,2,0)</f>
        <v>Hudspeath</v>
      </c>
      <c r="K1267" s="41">
        <f t="shared" si="8"/>
        <v>0</v>
      </c>
      <c r="L1267">
        <f t="shared" si="9"/>
        <v>0</v>
      </c>
      <c r="M1267">
        <f t="shared" si="10"/>
        <v>0</v>
      </c>
      <c r="N1267" s="123" t="s">
        <v>2884</v>
      </c>
      <c r="O1267" s="124" t="s">
        <v>105</v>
      </c>
      <c r="P1267" s="238">
        <v>0.0</v>
      </c>
      <c r="Q1267" s="238">
        <v>0.0</v>
      </c>
      <c r="R1267" s="125" t="s">
        <v>64</v>
      </c>
      <c r="S1267" s="123" t="s">
        <v>2888</v>
      </c>
    </row>
    <row r="1268">
      <c r="A1268" s="32" t="str">
        <f t="shared" si="1"/>
        <v>2026T-HowWeek 6</v>
      </c>
      <c r="B1268" s="32" t="str">
        <f t="shared" si="2"/>
        <v>2026KnardDawgWeek 6</v>
      </c>
      <c r="C1268" s="32" t="str">
        <f t="shared" si="3"/>
        <v>Week 6</v>
      </c>
      <c r="D1268" s="32">
        <v>2026.0</v>
      </c>
      <c r="E1268" t="str">
        <f t="shared" si="15"/>
        <v>6</v>
      </c>
      <c r="F1268" t="str">
        <f t="shared" si="5"/>
        <v>Tyler Howard</v>
      </c>
      <c r="G1268" s="40" t="str">
        <f>VLOOKUP(F1268,'Manager Coding'!C:D,2,0)</f>
        <v>T-How</v>
      </c>
      <c r="H1268" s="41">
        <f t="shared" si="6"/>
        <v>0</v>
      </c>
      <c r="I1268" t="str">
        <f t="shared" si="7"/>
        <v>Alex Kinniard, Jack Reilly</v>
      </c>
      <c r="J1268" t="str">
        <f>VLOOKUP(I1268,'Manager Coding'!C:D,2,0)</f>
        <v>KnardDawg</v>
      </c>
      <c r="K1268" s="41">
        <f t="shared" si="8"/>
        <v>0</v>
      </c>
      <c r="L1268">
        <f t="shared" si="9"/>
        <v>0</v>
      </c>
      <c r="M1268">
        <f t="shared" si="10"/>
        <v>0</v>
      </c>
      <c r="N1268" s="118" t="s">
        <v>2882</v>
      </c>
      <c r="O1268" s="119" t="s">
        <v>85</v>
      </c>
      <c r="P1268" s="238">
        <v>0.0</v>
      </c>
      <c r="Q1268" s="238">
        <v>0.0</v>
      </c>
      <c r="R1268" s="122" t="s">
        <v>87</v>
      </c>
      <c r="S1268" s="118" t="s">
        <v>2887</v>
      </c>
    </row>
    <row r="1269">
      <c r="A1269" s="32" t="str">
        <f t="shared" si="1"/>
        <v>2026ShepWeek 6</v>
      </c>
      <c r="B1269" s="32" t="str">
        <f t="shared" si="2"/>
        <v>2026TayskiWeek 6</v>
      </c>
      <c r="C1269" s="32" t="str">
        <f t="shared" si="3"/>
        <v>Week 6</v>
      </c>
      <c r="D1269" s="32">
        <v>2026.0</v>
      </c>
      <c r="E1269" t="str">
        <f t="shared" si="15"/>
        <v>6</v>
      </c>
      <c r="F1269" t="str">
        <f t="shared" si="5"/>
        <v>Jordan Shepherd</v>
      </c>
      <c r="G1269" s="40" t="str">
        <f>VLOOKUP(F1269,'Manager Coding'!C:D,2,0)</f>
        <v>Shep</v>
      </c>
      <c r="H1269" s="41">
        <f t="shared" si="6"/>
        <v>0</v>
      </c>
      <c r="I1269" t="str">
        <f t="shared" si="7"/>
        <v>Taylor Weis</v>
      </c>
      <c r="J1269" t="str">
        <f>VLOOKUP(I1269,'Manager Coding'!C:D,2,0)</f>
        <v>Tayski</v>
      </c>
      <c r="K1269" s="41">
        <f t="shared" si="8"/>
        <v>0</v>
      </c>
      <c r="L1269">
        <f t="shared" si="9"/>
        <v>0</v>
      </c>
      <c r="M1269">
        <f t="shared" si="10"/>
        <v>0</v>
      </c>
      <c r="N1269" s="123" t="s">
        <v>2880</v>
      </c>
      <c r="O1269" s="124" t="s">
        <v>91</v>
      </c>
      <c r="P1269" s="238">
        <v>0.0</v>
      </c>
      <c r="Q1269" s="238">
        <v>0.0</v>
      </c>
      <c r="R1269" s="125" t="s">
        <v>54</v>
      </c>
      <c r="S1269" s="123" t="s">
        <v>2885</v>
      </c>
    </row>
    <row r="1270">
      <c r="A1270" s="32" t="str">
        <f t="shared" si="1"/>
        <v>2026CockWeek 6</v>
      </c>
      <c r="B1270" s="32" t="str">
        <f t="shared" si="2"/>
        <v>2026BuserWeek 6</v>
      </c>
      <c r="C1270" s="32" t="str">
        <f t="shared" si="3"/>
        <v>Week 6</v>
      </c>
      <c r="D1270" s="32">
        <v>2026.0</v>
      </c>
      <c r="E1270" t="str">
        <f t="shared" si="15"/>
        <v>6</v>
      </c>
      <c r="F1270" t="str">
        <f t="shared" si="5"/>
        <v>Chris Cochrane</v>
      </c>
      <c r="G1270" s="40" t="str">
        <f>VLOOKUP(F1270,'Manager Coding'!C:D,2,0)</f>
        <v>Cock</v>
      </c>
      <c r="H1270" s="41">
        <f t="shared" si="6"/>
        <v>0</v>
      </c>
      <c r="I1270" t="str">
        <f t="shared" si="7"/>
        <v>Ed Buser</v>
      </c>
      <c r="J1270" t="str">
        <f>VLOOKUP(I1270,'Manager Coding'!C:D,2,0)</f>
        <v>Buser</v>
      </c>
      <c r="K1270" s="41">
        <f t="shared" si="8"/>
        <v>0</v>
      </c>
      <c r="L1270">
        <f t="shared" si="9"/>
        <v>0</v>
      </c>
      <c r="M1270">
        <f t="shared" si="10"/>
        <v>0</v>
      </c>
      <c r="N1270" s="118" t="s">
        <v>2877</v>
      </c>
      <c r="O1270" s="119" t="s">
        <v>99</v>
      </c>
      <c r="P1270" s="238">
        <v>0.0</v>
      </c>
      <c r="Q1270" s="238">
        <v>0.0</v>
      </c>
      <c r="R1270" s="122" t="s">
        <v>50</v>
      </c>
      <c r="S1270" s="118" t="s">
        <v>2883</v>
      </c>
    </row>
    <row r="1271">
      <c r="A1271" s="32" t="str">
        <f t="shared" si="1"/>
        <v>2026RileyWeek 6</v>
      </c>
      <c r="B1271" s="32" t="str">
        <f t="shared" si="2"/>
        <v>2026SaltyWeek 6</v>
      </c>
      <c r="C1271" s="32" t="str">
        <f t="shared" si="3"/>
        <v>Week 6</v>
      </c>
      <c r="D1271" s="32">
        <v>2026.0</v>
      </c>
      <c r="E1271" t="str">
        <f t="shared" si="15"/>
        <v>6</v>
      </c>
      <c r="F1271" t="str">
        <f t="shared" si="5"/>
        <v>Riley McElwain</v>
      </c>
      <c r="G1271" s="40" t="str">
        <f>VLOOKUP(F1271,'Manager Coding'!C:D,2,0)</f>
        <v>Riley</v>
      </c>
      <c r="H1271" s="41">
        <f t="shared" si="6"/>
        <v>0</v>
      </c>
      <c r="I1271" t="str">
        <f t="shared" si="7"/>
        <v>R Saltiel</v>
      </c>
      <c r="J1271" t="str">
        <f>VLOOKUP(I1271,'Manager Coding'!C:D,2,0)</f>
        <v>Salty</v>
      </c>
      <c r="K1271" s="41">
        <f t="shared" si="8"/>
        <v>0</v>
      </c>
      <c r="L1271">
        <f t="shared" si="9"/>
        <v>0</v>
      </c>
      <c r="M1271">
        <f t="shared" si="10"/>
        <v>0</v>
      </c>
      <c r="N1271" s="85" t="s">
        <v>2879</v>
      </c>
      <c r="O1271" s="86" t="s">
        <v>68</v>
      </c>
      <c r="P1271" s="209">
        <v>0.0</v>
      </c>
      <c r="Q1271" s="209">
        <v>0.0</v>
      </c>
      <c r="R1271" s="89" t="s">
        <v>77</v>
      </c>
      <c r="S1271" s="85" t="s">
        <v>2881</v>
      </c>
    </row>
    <row r="1272">
      <c r="A1272" s="32" t="str">
        <f t="shared" si="1"/>
        <v>2026T-HowWeek 6</v>
      </c>
      <c r="B1272" s="32" t="str">
        <f t="shared" si="2"/>
        <v>2026KnardDawgWeek 6</v>
      </c>
      <c r="C1272" s="32" t="str">
        <f t="shared" si="3"/>
        <v>Week 6</v>
      </c>
      <c r="D1272" s="32">
        <v>2026.0</v>
      </c>
      <c r="E1272" t="str">
        <f t="shared" si="15"/>
        <v>6</v>
      </c>
      <c r="F1272" t="str">
        <f t="shared" si="5"/>
        <v>Tyler Howard</v>
      </c>
      <c r="G1272" s="40" t="str">
        <f>VLOOKUP(F1272,'Manager Coding'!C:D,2,0)</f>
        <v>T-How</v>
      </c>
      <c r="H1272" s="41" t="str">
        <f t="shared" si="6"/>
        <v/>
      </c>
      <c r="I1272" t="str">
        <f t="shared" si="7"/>
        <v>Alex Kinniard, Jack Reilly</v>
      </c>
      <c r="J1272" t="str">
        <f>VLOOKUP(I1272,'Manager Coding'!C:D,2,0)</f>
        <v>KnardDawg</v>
      </c>
      <c r="K1272" s="41" t="str">
        <f t="shared" si="8"/>
        <v/>
      </c>
      <c r="L1272">
        <f t="shared" si="9"/>
        <v>0</v>
      </c>
      <c r="M1272">
        <f t="shared" si="10"/>
        <v>0</v>
      </c>
      <c r="N1272" s="246" t="s">
        <v>340</v>
      </c>
      <c r="O1272" s="119" t="s">
        <v>85</v>
      </c>
      <c r="P1272" s="247"/>
      <c r="Q1272" s="247"/>
      <c r="R1272" s="122" t="s">
        <v>87</v>
      </c>
      <c r="S1272" s="118" t="s">
        <v>2890</v>
      </c>
    </row>
    <row r="1273">
      <c r="A1273" s="32" t="str">
        <f t="shared" si="1"/>
        <v>#N/A</v>
      </c>
      <c r="B1273" s="32" t="str">
        <f t="shared" si="2"/>
        <v>#N/A</v>
      </c>
      <c r="C1273" s="32" t="str">
        <f t="shared" si="3"/>
        <v>Week 7</v>
      </c>
      <c r="D1273" s="32">
        <v>2026.0</v>
      </c>
      <c r="E1273" t="str">
        <f t="shared" si="15"/>
        <v>7</v>
      </c>
      <c r="F1273" t="str">
        <f t="shared" si="5"/>
        <v>TEAM MANAGER(S)</v>
      </c>
      <c r="G1273" s="40" t="str">
        <f>VLOOKUP(F1273,'Manager Coding'!C:D,2,0)</f>
        <v>#N/A</v>
      </c>
      <c r="H1273" s="41" t="str">
        <f t="shared" si="6"/>
        <v>Score</v>
      </c>
      <c r="I1273" t="str">
        <f t="shared" si="7"/>
        <v>TEAM MANAGER(S)</v>
      </c>
      <c r="J1273" t="str">
        <f>VLOOKUP(I1273,'Manager Coding'!C:D,2,0)</f>
        <v>#N/A</v>
      </c>
      <c r="K1273" s="41" t="str">
        <f t="shared" si="8"/>
        <v>Score</v>
      </c>
      <c r="L1273">
        <f t="shared" si="9"/>
        <v>0</v>
      </c>
      <c r="M1273">
        <f t="shared" si="10"/>
        <v>0</v>
      </c>
      <c r="N1273" s="221" t="s">
        <v>197</v>
      </c>
      <c r="O1273" s="221" t="s">
        <v>88</v>
      </c>
      <c r="P1273" s="222" t="s">
        <v>59</v>
      </c>
      <c r="Q1273" s="222" t="s">
        <v>59</v>
      </c>
      <c r="R1273" s="223" t="s">
        <v>88</v>
      </c>
      <c r="S1273" s="223" t="s">
        <v>101</v>
      </c>
    </row>
    <row r="1274">
      <c r="A1274" s="32" t="str">
        <f t="shared" si="1"/>
        <v>2026PiersonWeek 7</v>
      </c>
      <c r="B1274" s="32" t="str">
        <f t="shared" si="2"/>
        <v>2026HudspeathWeek 7</v>
      </c>
      <c r="C1274" s="32" t="str">
        <f t="shared" si="3"/>
        <v>Week 7</v>
      </c>
      <c r="D1274" s="32">
        <v>2026.0</v>
      </c>
      <c r="E1274" t="str">
        <f t="shared" si="15"/>
        <v>7</v>
      </c>
      <c r="F1274" t="str">
        <f t="shared" si="5"/>
        <v>Pierson Curtis</v>
      </c>
      <c r="G1274" s="40" t="str">
        <f>VLOOKUP(F1274,'Manager Coding'!C:D,2,0)</f>
        <v>Pierson</v>
      </c>
      <c r="H1274" s="41" t="str">
        <f t="shared" si="6"/>
        <v/>
      </c>
      <c r="I1274" t="str">
        <f t="shared" si="7"/>
        <v>matt hudspeath</v>
      </c>
      <c r="J1274" t="str">
        <f>VLOOKUP(I1274,'Manager Coding'!C:D,2,0)</f>
        <v>Hudspeath</v>
      </c>
      <c r="K1274" s="41" t="str">
        <f t="shared" si="8"/>
        <v/>
      </c>
      <c r="L1274">
        <f t="shared" si="9"/>
        <v>0</v>
      </c>
      <c r="M1274">
        <f t="shared" si="10"/>
        <v>0</v>
      </c>
      <c r="N1274" s="118" t="s">
        <v>2878</v>
      </c>
      <c r="O1274" s="119" t="s">
        <v>93</v>
      </c>
      <c r="P1274" s="247"/>
      <c r="Q1274" s="247"/>
      <c r="R1274" s="122" t="s">
        <v>64</v>
      </c>
      <c r="S1274" s="118" t="s">
        <v>2888</v>
      </c>
    </row>
    <row r="1275">
      <c r="A1275" s="32" t="str">
        <f t="shared" si="1"/>
        <v>2026KnardDawgWeek 7</v>
      </c>
      <c r="B1275" s="32" t="str">
        <f t="shared" si="2"/>
        <v>2026Rooney/JacksonWeek 7</v>
      </c>
      <c r="C1275" s="32" t="str">
        <f t="shared" si="3"/>
        <v>Week 7</v>
      </c>
      <c r="D1275" s="32">
        <v>2026.0</v>
      </c>
      <c r="E1275" t="str">
        <f t="shared" si="15"/>
        <v>7</v>
      </c>
      <c r="F1275" t="str">
        <f t="shared" si="5"/>
        <v>Alex Kinniard, Jack Reilly</v>
      </c>
      <c r="G1275" s="40" t="str">
        <f>VLOOKUP(F1275,'Manager Coding'!C:D,2,0)</f>
        <v>KnardDawg</v>
      </c>
      <c r="H1275" s="41" t="str">
        <f t="shared" si="6"/>
        <v/>
      </c>
      <c r="I1275" t="str">
        <f t="shared" si="7"/>
        <v>Stephen Rooney, Jackson Sattell</v>
      </c>
      <c r="J1275" t="str">
        <f>VLOOKUP(I1275,'Manager Coding'!C:D,2,0)</f>
        <v>Rooney/Jackson</v>
      </c>
      <c r="K1275" s="41" t="str">
        <f t="shared" si="8"/>
        <v/>
      </c>
      <c r="L1275">
        <f t="shared" si="9"/>
        <v>0</v>
      </c>
      <c r="M1275">
        <f t="shared" si="10"/>
        <v>0</v>
      </c>
      <c r="N1275" s="123" t="s">
        <v>2887</v>
      </c>
      <c r="O1275" s="124" t="s">
        <v>87</v>
      </c>
      <c r="P1275" s="248"/>
      <c r="Q1275" s="248"/>
      <c r="R1275" s="125" t="s">
        <v>58</v>
      </c>
      <c r="S1275" s="123" t="s">
        <v>2886</v>
      </c>
    </row>
    <row r="1276">
      <c r="A1276" s="32" t="str">
        <f t="shared" si="1"/>
        <v>2026TayskiWeek 7</v>
      </c>
      <c r="B1276" s="32" t="str">
        <f t="shared" si="2"/>
        <v>2026EwertWeek 7</v>
      </c>
      <c r="C1276" s="32" t="str">
        <f t="shared" si="3"/>
        <v>Week 7</v>
      </c>
      <c r="D1276" s="32">
        <v>2026.0</v>
      </c>
      <c r="E1276" t="str">
        <f t="shared" si="15"/>
        <v>7</v>
      </c>
      <c r="F1276" t="str">
        <f t="shared" si="5"/>
        <v>Taylor Weis</v>
      </c>
      <c r="G1276" s="40" t="str">
        <f>VLOOKUP(F1276,'Manager Coding'!C:D,2,0)</f>
        <v>Tayski</v>
      </c>
      <c r="H1276" s="41" t="str">
        <f t="shared" si="6"/>
        <v/>
      </c>
      <c r="I1276" t="str">
        <f t="shared" si="7"/>
        <v>Kyle Ewert, brad starck</v>
      </c>
      <c r="J1276" t="str">
        <f>VLOOKUP(I1276,'Manager Coding'!C:D,2,0)</f>
        <v>Ewert</v>
      </c>
      <c r="K1276" s="41" t="str">
        <f t="shared" si="8"/>
        <v/>
      </c>
      <c r="L1276">
        <f t="shared" si="9"/>
        <v>0</v>
      </c>
      <c r="M1276">
        <f t="shared" si="10"/>
        <v>0</v>
      </c>
      <c r="N1276" s="118" t="s">
        <v>2885</v>
      </c>
      <c r="O1276" s="119" t="s">
        <v>54</v>
      </c>
      <c r="P1276" s="247"/>
      <c r="Q1276" s="247"/>
      <c r="R1276" s="122" t="s">
        <v>105</v>
      </c>
      <c r="S1276" s="118" t="s">
        <v>2884</v>
      </c>
    </row>
    <row r="1277">
      <c r="A1277" s="32" t="str">
        <f t="shared" si="1"/>
        <v>2026BuserWeek 7</v>
      </c>
      <c r="B1277" s="32" t="str">
        <f t="shared" si="2"/>
        <v>2026T-HowWeek 7</v>
      </c>
      <c r="C1277" s="32" t="str">
        <f t="shared" si="3"/>
        <v>Week 7</v>
      </c>
      <c r="D1277" s="32">
        <v>2026.0</v>
      </c>
      <c r="E1277" t="str">
        <f t="shared" si="15"/>
        <v>7</v>
      </c>
      <c r="F1277" t="str">
        <f t="shared" si="5"/>
        <v>Ed Buser</v>
      </c>
      <c r="G1277" s="40" t="str">
        <f>VLOOKUP(F1277,'Manager Coding'!C:D,2,0)</f>
        <v>Buser</v>
      </c>
      <c r="H1277" s="41" t="str">
        <f t="shared" si="6"/>
        <v/>
      </c>
      <c r="I1277" t="str">
        <f t="shared" si="7"/>
        <v>Tyler Howard</v>
      </c>
      <c r="J1277" t="str">
        <f>VLOOKUP(I1277,'Manager Coding'!C:D,2,0)</f>
        <v>T-How</v>
      </c>
      <c r="K1277" s="41" t="str">
        <f t="shared" si="8"/>
        <v/>
      </c>
      <c r="L1277">
        <f t="shared" si="9"/>
        <v>0</v>
      </c>
      <c r="M1277">
        <f t="shared" si="10"/>
        <v>0</v>
      </c>
      <c r="N1277" s="123" t="s">
        <v>2883</v>
      </c>
      <c r="O1277" s="124" t="s">
        <v>50</v>
      </c>
      <c r="P1277" s="248"/>
      <c r="Q1277" s="248"/>
      <c r="R1277" s="125" t="s">
        <v>85</v>
      </c>
      <c r="S1277" s="123" t="s">
        <v>2882</v>
      </c>
    </row>
    <row r="1278">
      <c r="A1278" s="32" t="str">
        <f t="shared" si="1"/>
        <v>2026SaltyWeek 7</v>
      </c>
      <c r="B1278" s="32" t="str">
        <f t="shared" si="2"/>
        <v>2026ShepWeek 7</v>
      </c>
      <c r="C1278" s="32" t="str">
        <f t="shared" si="3"/>
        <v>Week 7</v>
      </c>
      <c r="D1278" s="32">
        <v>2026.0</v>
      </c>
      <c r="E1278" t="str">
        <f t="shared" si="15"/>
        <v>7</v>
      </c>
      <c r="F1278" t="str">
        <f t="shared" si="5"/>
        <v>R Saltiel</v>
      </c>
      <c r="G1278" s="40" t="str">
        <f>VLOOKUP(F1278,'Manager Coding'!C:D,2,0)</f>
        <v>Salty</v>
      </c>
      <c r="H1278" s="41" t="str">
        <f t="shared" si="6"/>
        <v/>
      </c>
      <c r="I1278" t="str">
        <f t="shared" si="7"/>
        <v>Jordan Shepherd</v>
      </c>
      <c r="J1278" t="str">
        <f>VLOOKUP(I1278,'Manager Coding'!C:D,2,0)</f>
        <v>Shep</v>
      </c>
      <c r="K1278" s="41" t="str">
        <f t="shared" si="8"/>
        <v/>
      </c>
      <c r="L1278">
        <f t="shared" si="9"/>
        <v>0</v>
      </c>
      <c r="M1278">
        <f t="shared" si="10"/>
        <v>0</v>
      </c>
      <c r="N1278" s="118" t="s">
        <v>2881</v>
      </c>
      <c r="O1278" s="119" t="s">
        <v>77</v>
      </c>
      <c r="P1278" s="247"/>
      <c r="Q1278" s="247"/>
      <c r="R1278" s="122" t="s">
        <v>91</v>
      </c>
      <c r="S1278" s="118" t="s">
        <v>2880</v>
      </c>
    </row>
    <row r="1279">
      <c r="A1279" s="32" t="str">
        <f t="shared" si="1"/>
        <v>2026RileyWeek 7</v>
      </c>
      <c r="B1279" s="32" t="str">
        <f t="shared" si="2"/>
        <v>2026CockWeek 7</v>
      </c>
      <c r="C1279" s="32" t="str">
        <f t="shared" si="3"/>
        <v>Week 7</v>
      </c>
      <c r="D1279" s="32">
        <v>2026.0</v>
      </c>
      <c r="E1279" t="str">
        <f t="shared" si="15"/>
        <v>7</v>
      </c>
      <c r="F1279" t="str">
        <f t="shared" si="5"/>
        <v>Riley McElwain</v>
      </c>
      <c r="G1279" s="40" t="str">
        <f>VLOOKUP(F1279,'Manager Coding'!C:D,2,0)</f>
        <v>Riley</v>
      </c>
      <c r="H1279" s="41" t="str">
        <f t="shared" si="6"/>
        <v/>
      </c>
      <c r="I1279" t="str">
        <f t="shared" si="7"/>
        <v>Chris Cochrane</v>
      </c>
      <c r="J1279" t="str">
        <f>VLOOKUP(I1279,'Manager Coding'!C:D,2,0)</f>
        <v>Cock</v>
      </c>
      <c r="K1279" s="41" t="str">
        <f t="shared" si="8"/>
        <v/>
      </c>
      <c r="L1279">
        <f t="shared" si="9"/>
        <v>0</v>
      </c>
      <c r="M1279">
        <f t="shared" si="10"/>
        <v>0</v>
      </c>
      <c r="N1279" s="85" t="s">
        <v>2879</v>
      </c>
      <c r="O1279" s="86" t="s">
        <v>68</v>
      </c>
      <c r="P1279" s="249"/>
      <c r="Q1279" s="249"/>
      <c r="R1279" s="89" t="s">
        <v>99</v>
      </c>
      <c r="S1279" s="85" t="s">
        <v>2877</v>
      </c>
    </row>
    <row r="1280">
      <c r="A1280" s="32" t="str">
        <f t="shared" si="1"/>
        <v>2026KnardDawgWeek 7</v>
      </c>
      <c r="B1280" s="32" t="str">
        <f t="shared" si="2"/>
        <v>2026Rooney/JacksonWeek 7</v>
      </c>
      <c r="C1280" s="32" t="str">
        <f t="shared" si="3"/>
        <v>Week 7</v>
      </c>
      <c r="D1280" s="32">
        <v>2026.0</v>
      </c>
      <c r="E1280" t="str">
        <f t="shared" si="15"/>
        <v>7</v>
      </c>
      <c r="F1280" t="str">
        <f t="shared" si="5"/>
        <v>Alex Kinniard, Jack Reilly</v>
      </c>
      <c r="G1280" s="40" t="str">
        <f>VLOOKUP(F1280,'Manager Coding'!C:D,2,0)</f>
        <v>KnardDawg</v>
      </c>
      <c r="H1280" s="41" t="str">
        <f t="shared" si="6"/>
        <v/>
      </c>
      <c r="I1280" t="str">
        <f t="shared" si="7"/>
        <v>Stephen Rooney, Jackson Sattell</v>
      </c>
      <c r="J1280" t="str">
        <f>VLOOKUP(I1280,'Manager Coding'!C:D,2,0)</f>
        <v>Rooney/Jackson</v>
      </c>
      <c r="K1280" s="41" t="str">
        <f t="shared" si="8"/>
        <v/>
      </c>
      <c r="L1280">
        <f t="shared" si="9"/>
        <v>0</v>
      </c>
      <c r="M1280">
        <f t="shared" si="10"/>
        <v>0</v>
      </c>
      <c r="N1280" s="246" t="s">
        <v>367</v>
      </c>
      <c r="O1280" s="124" t="s">
        <v>87</v>
      </c>
      <c r="P1280" s="248"/>
      <c r="Q1280" s="248"/>
      <c r="R1280" s="125" t="s">
        <v>58</v>
      </c>
      <c r="S1280" s="123" t="s">
        <v>2892</v>
      </c>
    </row>
    <row r="1281">
      <c r="A1281" s="32" t="str">
        <f t="shared" si="1"/>
        <v>#N/A</v>
      </c>
      <c r="B1281" s="32" t="str">
        <f t="shared" si="2"/>
        <v>#N/A</v>
      </c>
      <c r="C1281" s="32" t="str">
        <f t="shared" si="3"/>
        <v>Week 8</v>
      </c>
      <c r="D1281" s="32">
        <v>2026.0</v>
      </c>
      <c r="E1281" t="str">
        <f t="shared" si="15"/>
        <v>8</v>
      </c>
      <c r="F1281" t="str">
        <f t="shared" si="5"/>
        <v>TEAM MANAGER(S)</v>
      </c>
      <c r="G1281" s="40" t="str">
        <f>VLOOKUP(F1281,'Manager Coding'!C:D,2,0)</f>
        <v>#N/A</v>
      </c>
      <c r="H1281" s="41" t="str">
        <f t="shared" si="6"/>
        <v>Score</v>
      </c>
      <c r="I1281" t="str">
        <f t="shared" si="7"/>
        <v>TEAM MANAGER(S)</v>
      </c>
      <c r="J1281" t="str">
        <f>VLOOKUP(I1281,'Manager Coding'!C:D,2,0)</f>
        <v>#N/A</v>
      </c>
      <c r="K1281" s="41" t="str">
        <f t="shared" si="8"/>
        <v>Score</v>
      </c>
      <c r="L1281">
        <f t="shared" si="9"/>
        <v>0</v>
      </c>
      <c r="M1281">
        <f t="shared" si="10"/>
        <v>0</v>
      </c>
      <c r="N1281" s="221" t="s">
        <v>197</v>
      </c>
      <c r="O1281" s="221" t="s">
        <v>88</v>
      </c>
      <c r="P1281" s="222" t="s">
        <v>59</v>
      </c>
      <c r="Q1281" s="222" t="s">
        <v>59</v>
      </c>
      <c r="R1281" s="223" t="s">
        <v>88</v>
      </c>
      <c r="S1281" s="223" t="s">
        <v>101</v>
      </c>
    </row>
    <row r="1282">
      <c r="A1282" s="32" t="str">
        <f t="shared" si="1"/>
        <v>2026KnardDawgWeek 8</v>
      </c>
      <c r="B1282" s="32" t="str">
        <f t="shared" si="2"/>
        <v>2026PiersonWeek 8</v>
      </c>
      <c r="C1282" s="32" t="str">
        <f t="shared" si="3"/>
        <v>Week 8</v>
      </c>
      <c r="D1282" s="32">
        <v>2026.0</v>
      </c>
      <c r="E1282" t="str">
        <f t="shared" si="15"/>
        <v>8</v>
      </c>
      <c r="F1282" t="str">
        <f t="shared" si="5"/>
        <v>Alex Kinniard, Jack Reilly</v>
      </c>
      <c r="G1282" s="40" t="str">
        <f>VLOOKUP(F1282,'Manager Coding'!C:D,2,0)</f>
        <v>KnardDawg</v>
      </c>
      <c r="H1282" s="41" t="str">
        <f t="shared" si="6"/>
        <v/>
      </c>
      <c r="I1282" t="str">
        <f t="shared" si="7"/>
        <v>Pierson Curtis</v>
      </c>
      <c r="J1282" t="str">
        <f>VLOOKUP(I1282,'Manager Coding'!C:D,2,0)</f>
        <v>Pierson</v>
      </c>
      <c r="K1282" s="41" t="str">
        <f t="shared" si="8"/>
        <v/>
      </c>
      <c r="L1282">
        <f t="shared" si="9"/>
        <v>0</v>
      </c>
      <c r="M1282">
        <f t="shared" si="10"/>
        <v>0</v>
      </c>
      <c r="N1282" s="118" t="s">
        <v>2887</v>
      </c>
      <c r="O1282" s="119" t="s">
        <v>87</v>
      </c>
      <c r="P1282" s="247"/>
      <c r="Q1282" s="247"/>
      <c r="R1282" s="122" t="s">
        <v>93</v>
      </c>
      <c r="S1282" s="118" t="s">
        <v>2878</v>
      </c>
    </row>
    <row r="1283">
      <c r="A1283" s="32" t="str">
        <f t="shared" si="1"/>
        <v>2026HudspeathWeek 8</v>
      </c>
      <c r="B1283" s="32" t="str">
        <f t="shared" si="2"/>
        <v>2026TayskiWeek 8</v>
      </c>
      <c r="C1283" s="32" t="str">
        <f t="shared" si="3"/>
        <v>Week 8</v>
      </c>
      <c r="D1283" s="32">
        <v>2026.0</v>
      </c>
      <c r="E1283" t="str">
        <f t="shared" si="15"/>
        <v>8</v>
      </c>
      <c r="F1283" t="str">
        <f t="shared" si="5"/>
        <v>matt hudspeath</v>
      </c>
      <c r="G1283" s="40" t="str">
        <f>VLOOKUP(F1283,'Manager Coding'!C:D,2,0)</f>
        <v>Hudspeath</v>
      </c>
      <c r="H1283" s="41" t="str">
        <f t="shared" si="6"/>
        <v/>
      </c>
      <c r="I1283" t="str">
        <f t="shared" si="7"/>
        <v>Taylor Weis</v>
      </c>
      <c r="J1283" t="str">
        <f>VLOOKUP(I1283,'Manager Coding'!C:D,2,0)</f>
        <v>Tayski</v>
      </c>
      <c r="K1283" s="41" t="str">
        <f t="shared" si="8"/>
        <v/>
      </c>
      <c r="L1283">
        <f t="shared" si="9"/>
        <v>0</v>
      </c>
      <c r="M1283">
        <f t="shared" si="10"/>
        <v>0</v>
      </c>
      <c r="N1283" s="123" t="s">
        <v>2888</v>
      </c>
      <c r="O1283" s="124" t="s">
        <v>64</v>
      </c>
      <c r="P1283" s="248"/>
      <c r="Q1283" s="248"/>
      <c r="R1283" s="125" t="s">
        <v>54</v>
      </c>
      <c r="S1283" s="123" t="s">
        <v>2885</v>
      </c>
    </row>
    <row r="1284">
      <c r="A1284" s="32" t="str">
        <f t="shared" si="1"/>
        <v>2026Rooney/JacksonWeek 8</v>
      </c>
      <c r="B1284" s="32" t="str">
        <f t="shared" si="2"/>
        <v>2026BuserWeek 8</v>
      </c>
      <c r="C1284" s="32" t="str">
        <f t="shared" si="3"/>
        <v>Week 8</v>
      </c>
      <c r="D1284" s="32">
        <v>2026.0</v>
      </c>
      <c r="E1284" t="str">
        <f t="shared" si="15"/>
        <v>8</v>
      </c>
      <c r="F1284" t="str">
        <f t="shared" si="5"/>
        <v>Stephen Rooney, Jackson Sattell</v>
      </c>
      <c r="G1284" s="40" t="str">
        <f>VLOOKUP(F1284,'Manager Coding'!C:D,2,0)</f>
        <v>Rooney/Jackson</v>
      </c>
      <c r="H1284" s="41" t="str">
        <f t="shared" si="6"/>
        <v/>
      </c>
      <c r="I1284" t="str">
        <f t="shared" si="7"/>
        <v>Ed Buser</v>
      </c>
      <c r="J1284" t="str">
        <f>VLOOKUP(I1284,'Manager Coding'!C:D,2,0)</f>
        <v>Buser</v>
      </c>
      <c r="K1284" s="41" t="str">
        <f t="shared" si="8"/>
        <v/>
      </c>
      <c r="L1284">
        <f t="shared" si="9"/>
        <v>0</v>
      </c>
      <c r="M1284">
        <f t="shared" si="10"/>
        <v>0</v>
      </c>
      <c r="N1284" s="118" t="s">
        <v>2886</v>
      </c>
      <c r="O1284" s="119" t="s">
        <v>58</v>
      </c>
      <c r="P1284" s="247"/>
      <c r="Q1284" s="247"/>
      <c r="R1284" s="122" t="s">
        <v>50</v>
      </c>
      <c r="S1284" s="118" t="s">
        <v>2883</v>
      </c>
    </row>
    <row r="1285">
      <c r="A1285" s="32" t="str">
        <f t="shared" si="1"/>
        <v>2026EwertWeek 8</v>
      </c>
      <c r="B1285" s="32" t="str">
        <f t="shared" si="2"/>
        <v>2026SaltyWeek 8</v>
      </c>
      <c r="C1285" s="32" t="str">
        <f t="shared" si="3"/>
        <v>Week 8</v>
      </c>
      <c r="D1285" s="32">
        <v>2026.0</v>
      </c>
      <c r="E1285" t="str">
        <f t="shared" si="15"/>
        <v>8</v>
      </c>
      <c r="F1285" t="str">
        <f t="shared" si="5"/>
        <v>Kyle Ewert, brad starck</v>
      </c>
      <c r="G1285" s="40" t="str">
        <f>VLOOKUP(F1285,'Manager Coding'!C:D,2,0)</f>
        <v>Ewert</v>
      </c>
      <c r="H1285" s="41" t="str">
        <f t="shared" si="6"/>
        <v/>
      </c>
      <c r="I1285" t="str">
        <f t="shared" si="7"/>
        <v>R Saltiel</v>
      </c>
      <c r="J1285" t="str">
        <f>VLOOKUP(I1285,'Manager Coding'!C:D,2,0)</f>
        <v>Salty</v>
      </c>
      <c r="K1285" s="41" t="str">
        <f t="shared" si="8"/>
        <v/>
      </c>
      <c r="L1285">
        <f t="shared" si="9"/>
        <v>0</v>
      </c>
      <c r="M1285">
        <f t="shared" si="10"/>
        <v>0</v>
      </c>
      <c r="N1285" s="123" t="s">
        <v>2884</v>
      </c>
      <c r="O1285" s="124" t="s">
        <v>105</v>
      </c>
      <c r="P1285" s="248"/>
      <c r="Q1285" s="248"/>
      <c r="R1285" s="125" t="s">
        <v>77</v>
      </c>
      <c r="S1285" s="123" t="s">
        <v>2881</v>
      </c>
    </row>
    <row r="1286">
      <c r="A1286" s="32" t="str">
        <f t="shared" si="1"/>
        <v>2026T-HowWeek 8</v>
      </c>
      <c r="B1286" s="32" t="str">
        <f t="shared" si="2"/>
        <v>2026RileyWeek 8</v>
      </c>
      <c r="C1286" s="32" t="str">
        <f t="shared" si="3"/>
        <v>Week 8</v>
      </c>
      <c r="D1286" s="32">
        <v>2026.0</v>
      </c>
      <c r="E1286" t="str">
        <f t="shared" si="15"/>
        <v>8</v>
      </c>
      <c r="F1286" t="str">
        <f t="shared" si="5"/>
        <v>Tyler Howard</v>
      </c>
      <c r="G1286" s="40" t="str">
        <f>VLOOKUP(F1286,'Manager Coding'!C:D,2,0)</f>
        <v>T-How</v>
      </c>
      <c r="H1286" s="41" t="str">
        <f t="shared" si="6"/>
        <v/>
      </c>
      <c r="I1286" t="str">
        <f t="shared" si="7"/>
        <v>Riley McElwain</v>
      </c>
      <c r="J1286" t="str">
        <f>VLOOKUP(I1286,'Manager Coding'!C:D,2,0)</f>
        <v>Riley</v>
      </c>
      <c r="K1286" s="41" t="str">
        <f t="shared" si="8"/>
        <v/>
      </c>
      <c r="L1286">
        <f t="shared" si="9"/>
        <v>0</v>
      </c>
      <c r="M1286">
        <f t="shared" si="10"/>
        <v>0</v>
      </c>
      <c r="N1286" s="118" t="s">
        <v>2882</v>
      </c>
      <c r="O1286" s="119" t="s">
        <v>85</v>
      </c>
      <c r="P1286" s="247"/>
      <c r="Q1286" s="247"/>
      <c r="R1286" s="122" t="s">
        <v>68</v>
      </c>
      <c r="S1286" s="118" t="s">
        <v>2879</v>
      </c>
    </row>
    <row r="1287">
      <c r="A1287" s="32" t="str">
        <f t="shared" si="1"/>
        <v>2026ShepWeek 8</v>
      </c>
      <c r="B1287" s="32" t="str">
        <f t="shared" si="2"/>
        <v>2026CockWeek 8</v>
      </c>
      <c r="C1287" s="32" t="str">
        <f t="shared" si="3"/>
        <v>Week 8</v>
      </c>
      <c r="D1287" s="32">
        <v>2026.0</v>
      </c>
      <c r="E1287" t="str">
        <f t="shared" si="15"/>
        <v>8</v>
      </c>
      <c r="F1287" t="str">
        <f t="shared" si="5"/>
        <v>Jordan Shepherd</v>
      </c>
      <c r="G1287" s="40" t="str">
        <f>VLOOKUP(F1287,'Manager Coding'!C:D,2,0)</f>
        <v>Shep</v>
      </c>
      <c r="H1287" s="41" t="str">
        <f t="shared" si="6"/>
        <v/>
      </c>
      <c r="I1287" t="str">
        <f t="shared" si="7"/>
        <v>Chris Cochrane</v>
      </c>
      <c r="J1287" t="str">
        <f>VLOOKUP(I1287,'Manager Coding'!C:D,2,0)</f>
        <v>Cock</v>
      </c>
      <c r="K1287" s="41" t="str">
        <f t="shared" si="8"/>
        <v/>
      </c>
      <c r="L1287">
        <f t="shared" si="9"/>
        <v>0</v>
      </c>
      <c r="M1287">
        <f t="shared" si="10"/>
        <v>0</v>
      </c>
      <c r="N1287" s="85" t="s">
        <v>2880</v>
      </c>
      <c r="O1287" s="86" t="s">
        <v>91</v>
      </c>
      <c r="P1287" s="249"/>
      <c r="Q1287" s="249"/>
      <c r="R1287" s="89" t="s">
        <v>99</v>
      </c>
      <c r="S1287" s="85" t="s">
        <v>2877</v>
      </c>
    </row>
    <row r="1288">
      <c r="A1288" s="32" t="str">
        <f t="shared" si="1"/>
        <v>2026KnardDawgWeek 8</v>
      </c>
      <c r="B1288" s="32" t="str">
        <f t="shared" si="2"/>
        <v>2026PiersonWeek 8</v>
      </c>
      <c r="C1288" s="32" t="str">
        <f t="shared" si="3"/>
        <v>Week 8</v>
      </c>
      <c r="D1288" s="32">
        <v>2026.0</v>
      </c>
      <c r="E1288" t="str">
        <f t="shared" si="15"/>
        <v>8</v>
      </c>
      <c r="F1288" t="str">
        <f t="shared" si="5"/>
        <v>Alex Kinniard, Jack Reilly</v>
      </c>
      <c r="G1288" s="40" t="str">
        <f>VLOOKUP(F1288,'Manager Coding'!C:D,2,0)</f>
        <v>KnardDawg</v>
      </c>
      <c r="H1288" s="41" t="str">
        <f t="shared" si="6"/>
        <v/>
      </c>
      <c r="I1288" t="str">
        <f t="shared" si="7"/>
        <v>Pierson Curtis</v>
      </c>
      <c r="J1288" t="str">
        <f>VLOOKUP(I1288,'Manager Coding'!C:D,2,0)</f>
        <v>Pierson</v>
      </c>
      <c r="K1288" s="41" t="str">
        <f t="shared" si="8"/>
        <v/>
      </c>
      <c r="L1288">
        <f t="shared" si="9"/>
        <v>0</v>
      </c>
      <c r="M1288">
        <f t="shared" si="10"/>
        <v>0</v>
      </c>
      <c r="N1288" s="246" t="s">
        <v>387</v>
      </c>
      <c r="O1288" s="119" t="s">
        <v>87</v>
      </c>
      <c r="P1288" s="247"/>
      <c r="Q1288" s="247"/>
      <c r="R1288" s="122" t="s">
        <v>93</v>
      </c>
      <c r="S1288" s="118" t="s">
        <v>2893</v>
      </c>
    </row>
    <row r="1289">
      <c r="A1289" s="32" t="str">
        <f t="shared" si="1"/>
        <v>#N/A</v>
      </c>
      <c r="B1289" s="32" t="str">
        <f t="shared" si="2"/>
        <v>#N/A</v>
      </c>
      <c r="C1289" s="32" t="str">
        <f t="shared" si="3"/>
        <v>Week 9</v>
      </c>
      <c r="D1289" s="32">
        <v>2026.0</v>
      </c>
      <c r="E1289" t="str">
        <f t="shared" si="15"/>
        <v>9</v>
      </c>
      <c r="F1289" t="str">
        <f t="shared" si="5"/>
        <v>TEAM MANAGER(S)</v>
      </c>
      <c r="G1289" s="40" t="str">
        <f>VLOOKUP(F1289,'Manager Coding'!C:D,2,0)</f>
        <v>#N/A</v>
      </c>
      <c r="H1289" s="41" t="str">
        <f t="shared" si="6"/>
        <v>Score</v>
      </c>
      <c r="I1289" t="str">
        <f t="shared" si="7"/>
        <v>TEAM MANAGER(S)</v>
      </c>
      <c r="J1289" t="str">
        <f>VLOOKUP(I1289,'Manager Coding'!C:D,2,0)</f>
        <v>#N/A</v>
      </c>
      <c r="K1289" s="41" t="str">
        <f t="shared" si="8"/>
        <v>Score</v>
      </c>
      <c r="L1289">
        <f t="shared" si="9"/>
        <v>0</v>
      </c>
      <c r="M1289">
        <f t="shared" si="10"/>
        <v>0</v>
      </c>
      <c r="N1289" s="221" t="s">
        <v>197</v>
      </c>
      <c r="O1289" s="221" t="s">
        <v>88</v>
      </c>
      <c r="P1289" s="222" t="s">
        <v>59</v>
      </c>
      <c r="Q1289" s="222" t="s">
        <v>59</v>
      </c>
      <c r="R1289" s="223" t="s">
        <v>88</v>
      </c>
      <c r="S1289" s="223" t="s">
        <v>101</v>
      </c>
    </row>
    <row r="1290">
      <c r="A1290" s="32" t="str">
        <f t="shared" si="1"/>
        <v>2026PiersonWeek 9</v>
      </c>
      <c r="B1290" s="32" t="str">
        <f t="shared" si="2"/>
        <v>2026TayskiWeek 9</v>
      </c>
      <c r="C1290" s="32" t="str">
        <f t="shared" si="3"/>
        <v>Week 9</v>
      </c>
      <c r="D1290" s="32">
        <v>2026.0</v>
      </c>
      <c r="E1290" t="str">
        <f t="shared" si="15"/>
        <v>9</v>
      </c>
      <c r="F1290" t="str">
        <f t="shared" si="5"/>
        <v>Pierson Curtis</v>
      </c>
      <c r="G1290" s="40" t="str">
        <f>VLOOKUP(F1290,'Manager Coding'!C:D,2,0)</f>
        <v>Pierson</v>
      </c>
      <c r="H1290" s="41" t="str">
        <f t="shared" si="6"/>
        <v/>
      </c>
      <c r="I1290" t="str">
        <f t="shared" si="7"/>
        <v>Taylor Weis</v>
      </c>
      <c r="J1290" t="str">
        <f>VLOOKUP(I1290,'Manager Coding'!C:D,2,0)</f>
        <v>Tayski</v>
      </c>
      <c r="K1290" s="41" t="str">
        <f t="shared" si="8"/>
        <v/>
      </c>
      <c r="L1290">
        <f t="shared" si="9"/>
        <v>0</v>
      </c>
      <c r="M1290">
        <f t="shared" si="10"/>
        <v>0</v>
      </c>
      <c r="N1290" s="118" t="s">
        <v>2878</v>
      </c>
      <c r="O1290" s="119" t="s">
        <v>93</v>
      </c>
      <c r="P1290" s="247"/>
      <c r="Q1290" s="247"/>
      <c r="R1290" s="122" t="s">
        <v>54</v>
      </c>
      <c r="S1290" s="118" t="s">
        <v>2885</v>
      </c>
    </row>
    <row r="1291">
      <c r="A1291" s="32" t="str">
        <f t="shared" si="1"/>
        <v>2026BuserWeek 9</v>
      </c>
      <c r="B1291" s="32" t="str">
        <f t="shared" si="2"/>
        <v>2026KnardDawgWeek 9</v>
      </c>
      <c r="C1291" s="32" t="str">
        <f t="shared" si="3"/>
        <v>Week 9</v>
      </c>
      <c r="D1291" s="32">
        <v>2026.0</v>
      </c>
      <c r="E1291" t="str">
        <f t="shared" si="15"/>
        <v>9</v>
      </c>
      <c r="F1291" t="str">
        <f t="shared" si="5"/>
        <v>Ed Buser</v>
      </c>
      <c r="G1291" s="40" t="str">
        <f>VLOOKUP(F1291,'Manager Coding'!C:D,2,0)</f>
        <v>Buser</v>
      </c>
      <c r="H1291" s="41" t="str">
        <f t="shared" si="6"/>
        <v/>
      </c>
      <c r="I1291" t="str">
        <f t="shared" si="7"/>
        <v>Alex Kinniard, Jack Reilly</v>
      </c>
      <c r="J1291" t="str">
        <f>VLOOKUP(I1291,'Manager Coding'!C:D,2,0)</f>
        <v>KnardDawg</v>
      </c>
      <c r="K1291" s="41" t="str">
        <f t="shared" si="8"/>
        <v/>
      </c>
      <c r="L1291">
        <f t="shared" si="9"/>
        <v>0</v>
      </c>
      <c r="M1291">
        <f t="shared" si="10"/>
        <v>0</v>
      </c>
      <c r="N1291" s="123" t="s">
        <v>2883</v>
      </c>
      <c r="O1291" s="124" t="s">
        <v>50</v>
      </c>
      <c r="P1291" s="248"/>
      <c r="Q1291" s="248"/>
      <c r="R1291" s="125" t="s">
        <v>87</v>
      </c>
      <c r="S1291" s="123" t="s">
        <v>2887</v>
      </c>
    </row>
    <row r="1292">
      <c r="A1292" s="32" t="str">
        <f t="shared" si="1"/>
        <v>2026SaltyWeek 9</v>
      </c>
      <c r="B1292" s="32" t="str">
        <f t="shared" si="2"/>
        <v>2026HudspeathWeek 9</v>
      </c>
      <c r="C1292" s="32" t="str">
        <f t="shared" si="3"/>
        <v>Week 9</v>
      </c>
      <c r="D1292" s="32">
        <v>2026.0</v>
      </c>
      <c r="E1292" t="str">
        <f t="shared" si="15"/>
        <v>9</v>
      </c>
      <c r="F1292" t="str">
        <f t="shared" si="5"/>
        <v>R Saltiel</v>
      </c>
      <c r="G1292" s="40" t="str">
        <f>VLOOKUP(F1292,'Manager Coding'!C:D,2,0)</f>
        <v>Salty</v>
      </c>
      <c r="H1292" s="41" t="str">
        <f t="shared" si="6"/>
        <v/>
      </c>
      <c r="I1292" t="str">
        <f t="shared" si="7"/>
        <v>matt hudspeath</v>
      </c>
      <c r="J1292" t="str">
        <f>VLOOKUP(I1292,'Manager Coding'!C:D,2,0)</f>
        <v>Hudspeath</v>
      </c>
      <c r="K1292" s="41" t="str">
        <f t="shared" si="8"/>
        <v/>
      </c>
      <c r="L1292">
        <f t="shared" si="9"/>
        <v>0</v>
      </c>
      <c r="M1292">
        <f t="shared" si="10"/>
        <v>0</v>
      </c>
      <c r="N1292" s="118" t="s">
        <v>2881</v>
      </c>
      <c r="O1292" s="119" t="s">
        <v>77</v>
      </c>
      <c r="P1292" s="247"/>
      <c r="Q1292" s="247"/>
      <c r="R1292" s="122" t="s">
        <v>64</v>
      </c>
      <c r="S1292" s="118" t="s">
        <v>2888</v>
      </c>
    </row>
    <row r="1293">
      <c r="A1293" s="32" t="str">
        <f t="shared" si="1"/>
        <v>2026RileyWeek 9</v>
      </c>
      <c r="B1293" s="32" t="str">
        <f t="shared" si="2"/>
        <v>2026Rooney/JacksonWeek 9</v>
      </c>
      <c r="C1293" s="32" t="str">
        <f t="shared" si="3"/>
        <v>Week 9</v>
      </c>
      <c r="D1293" s="32">
        <v>2026.0</v>
      </c>
      <c r="E1293" t="str">
        <f t="shared" si="15"/>
        <v>9</v>
      </c>
      <c r="F1293" t="str">
        <f t="shared" si="5"/>
        <v>Riley McElwain</v>
      </c>
      <c r="G1293" s="40" t="str">
        <f>VLOOKUP(F1293,'Manager Coding'!C:D,2,0)</f>
        <v>Riley</v>
      </c>
      <c r="H1293" s="41" t="str">
        <f t="shared" si="6"/>
        <v/>
      </c>
      <c r="I1293" t="str">
        <f t="shared" si="7"/>
        <v>Stephen Rooney, Jackson Sattell</v>
      </c>
      <c r="J1293" t="str">
        <f>VLOOKUP(I1293,'Manager Coding'!C:D,2,0)</f>
        <v>Rooney/Jackson</v>
      </c>
      <c r="K1293" s="41" t="str">
        <f t="shared" si="8"/>
        <v/>
      </c>
      <c r="L1293">
        <f t="shared" si="9"/>
        <v>0</v>
      </c>
      <c r="M1293">
        <f t="shared" si="10"/>
        <v>0</v>
      </c>
      <c r="N1293" s="123" t="s">
        <v>2879</v>
      </c>
      <c r="O1293" s="124" t="s">
        <v>68</v>
      </c>
      <c r="P1293" s="248"/>
      <c r="Q1293" s="248"/>
      <c r="R1293" s="125" t="s">
        <v>58</v>
      </c>
      <c r="S1293" s="123" t="s">
        <v>2886</v>
      </c>
    </row>
    <row r="1294">
      <c r="A1294" s="32" t="str">
        <f t="shared" si="1"/>
        <v>2026CockWeek 9</v>
      </c>
      <c r="B1294" s="32" t="str">
        <f t="shared" si="2"/>
        <v>2026EwertWeek 9</v>
      </c>
      <c r="C1294" s="32" t="str">
        <f t="shared" si="3"/>
        <v>Week 9</v>
      </c>
      <c r="D1294" s="32">
        <v>2026.0</v>
      </c>
      <c r="E1294" t="str">
        <f t="shared" si="15"/>
        <v>9</v>
      </c>
      <c r="F1294" t="str">
        <f t="shared" si="5"/>
        <v>Chris Cochrane</v>
      </c>
      <c r="G1294" s="40" t="str">
        <f>VLOOKUP(F1294,'Manager Coding'!C:D,2,0)</f>
        <v>Cock</v>
      </c>
      <c r="H1294" s="41" t="str">
        <f t="shared" si="6"/>
        <v/>
      </c>
      <c r="I1294" t="str">
        <f t="shared" si="7"/>
        <v>Kyle Ewert, brad starck</v>
      </c>
      <c r="J1294" t="str">
        <f>VLOOKUP(I1294,'Manager Coding'!C:D,2,0)</f>
        <v>Ewert</v>
      </c>
      <c r="K1294" s="41" t="str">
        <f t="shared" si="8"/>
        <v/>
      </c>
      <c r="L1294">
        <f t="shared" si="9"/>
        <v>0</v>
      </c>
      <c r="M1294">
        <f t="shared" si="10"/>
        <v>0</v>
      </c>
      <c r="N1294" s="118" t="s">
        <v>2877</v>
      </c>
      <c r="O1294" s="119" t="s">
        <v>99</v>
      </c>
      <c r="P1294" s="247"/>
      <c r="Q1294" s="247"/>
      <c r="R1294" s="122" t="s">
        <v>105</v>
      </c>
      <c r="S1294" s="118" t="s">
        <v>2884</v>
      </c>
    </row>
    <row r="1295">
      <c r="A1295" s="32" t="str">
        <f t="shared" si="1"/>
        <v>2026ShepWeek 9</v>
      </c>
      <c r="B1295" s="32" t="str">
        <f t="shared" si="2"/>
        <v>2026T-HowWeek 9</v>
      </c>
      <c r="C1295" s="32" t="str">
        <f t="shared" si="3"/>
        <v>Week 9</v>
      </c>
      <c r="D1295" s="32">
        <v>2026.0</v>
      </c>
      <c r="E1295" t="str">
        <f t="shared" si="15"/>
        <v>9</v>
      </c>
      <c r="F1295" t="str">
        <f t="shared" si="5"/>
        <v>Jordan Shepherd</v>
      </c>
      <c r="G1295" s="40" t="str">
        <f>VLOOKUP(F1295,'Manager Coding'!C:D,2,0)</f>
        <v>Shep</v>
      </c>
      <c r="H1295" s="41" t="str">
        <f t="shared" si="6"/>
        <v/>
      </c>
      <c r="I1295" t="str">
        <f t="shared" si="7"/>
        <v>Tyler Howard</v>
      </c>
      <c r="J1295" t="str">
        <f>VLOOKUP(I1295,'Manager Coding'!C:D,2,0)</f>
        <v>T-How</v>
      </c>
      <c r="K1295" s="41" t="str">
        <f t="shared" si="8"/>
        <v/>
      </c>
      <c r="L1295">
        <f t="shared" si="9"/>
        <v>0</v>
      </c>
      <c r="M1295">
        <f t="shared" si="10"/>
        <v>0</v>
      </c>
      <c r="N1295" s="85" t="s">
        <v>2880</v>
      </c>
      <c r="O1295" s="86" t="s">
        <v>91</v>
      </c>
      <c r="P1295" s="249"/>
      <c r="Q1295" s="249"/>
      <c r="R1295" s="89" t="s">
        <v>85</v>
      </c>
      <c r="S1295" s="85" t="s">
        <v>2882</v>
      </c>
    </row>
    <row r="1296">
      <c r="A1296" s="32" t="str">
        <f t="shared" si="1"/>
        <v>#N/A</v>
      </c>
      <c r="B1296" s="32" t="str">
        <f t="shared" si="2"/>
        <v>#N/A</v>
      </c>
      <c r="C1296" s="32" t="str">
        <f t="shared" si="3"/>
        <v>Week 9</v>
      </c>
      <c r="D1296" s="32">
        <v>2026.0</v>
      </c>
      <c r="E1296" t="str">
        <f t="shared" si="15"/>
        <v>9</v>
      </c>
      <c r="F1296" t="str">
        <f t="shared" si="5"/>
        <v>TEAM MANAGER(S)</v>
      </c>
      <c r="G1296" s="40" t="str">
        <f>VLOOKUP(F1296,'Manager Coding'!C:D,2,0)</f>
        <v>#N/A</v>
      </c>
      <c r="H1296" s="41" t="str">
        <f t="shared" si="6"/>
        <v>Score</v>
      </c>
      <c r="I1296" t="str">
        <f t="shared" si="7"/>
        <v>TEAM MANAGER(S)</v>
      </c>
      <c r="J1296" t="str">
        <f>VLOOKUP(I1296,'Manager Coding'!C:D,2,0)</f>
        <v>#N/A</v>
      </c>
      <c r="K1296" s="41" t="str">
        <f t="shared" si="8"/>
        <v>Score</v>
      </c>
      <c r="L1296">
        <f t="shared" si="9"/>
        <v>0</v>
      </c>
      <c r="M1296">
        <f t="shared" si="10"/>
        <v>0</v>
      </c>
      <c r="N1296" s="246" t="s">
        <v>406</v>
      </c>
      <c r="O1296" s="221" t="s">
        <v>88</v>
      </c>
      <c r="P1296" s="222" t="s">
        <v>59</v>
      </c>
      <c r="Q1296" s="222" t="s">
        <v>59</v>
      </c>
      <c r="R1296" s="223" t="s">
        <v>88</v>
      </c>
      <c r="S1296" s="223" t="s">
        <v>101</v>
      </c>
    </row>
    <row r="1297">
      <c r="A1297" s="32" t="str">
        <f t="shared" si="1"/>
        <v>#N/A</v>
      </c>
      <c r="B1297" s="32" t="str">
        <f t="shared" si="2"/>
        <v>#N/A</v>
      </c>
      <c r="C1297" s="32" t="str">
        <f t="shared" si="3"/>
        <v>Week 10</v>
      </c>
      <c r="D1297" s="32">
        <v>2026.0</v>
      </c>
      <c r="E1297" t="str">
        <f t="shared" si="15"/>
        <v>10</v>
      </c>
      <c r="F1297" t="str">
        <f t="shared" si="5"/>
        <v>TEAM MANAGER(S)</v>
      </c>
      <c r="G1297" s="40" t="str">
        <f>VLOOKUP(F1297,'Manager Coding'!C:D,2,0)</f>
        <v>#N/A</v>
      </c>
      <c r="H1297" s="41" t="str">
        <f t="shared" si="6"/>
        <v>Score</v>
      </c>
      <c r="I1297" t="str">
        <f t="shared" si="7"/>
        <v>TEAM MANAGER(S)</v>
      </c>
      <c r="J1297" t="str">
        <f>VLOOKUP(I1297,'Manager Coding'!C:D,2,0)</f>
        <v>#N/A</v>
      </c>
      <c r="K1297" s="41" t="str">
        <f t="shared" si="8"/>
        <v>Score</v>
      </c>
      <c r="L1297">
        <f t="shared" si="9"/>
        <v>0</v>
      </c>
      <c r="M1297">
        <f t="shared" si="10"/>
        <v>0</v>
      </c>
      <c r="N1297" s="221" t="s">
        <v>197</v>
      </c>
      <c r="O1297" s="221" t="s">
        <v>88</v>
      </c>
      <c r="P1297" s="222" t="s">
        <v>59</v>
      </c>
      <c r="Q1297" s="222" t="s">
        <v>59</v>
      </c>
      <c r="R1297" s="223" t="s">
        <v>88</v>
      </c>
      <c r="S1297" s="223" t="s">
        <v>101</v>
      </c>
    </row>
    <row r="1298">
      <c r="A1298" s="32" t="str">
        <f t="shared" si="1"/>
        <v>2026BuserWeek 10</v>
      </c>
      <c r="B1298" s="32" t="str">
        <f t="shared" si="2"/>
        <v>2026PiersonWeek 10</v>
      </c>
      <c r="C1298" s="32" t="str">
        <f t="shared" si="3"/>
        <v>Week 10</v>
      </c>
      <c r="D1298" s="32">
        <v>2026.0</v>
      </c>
      <c r="E1298" t="str">
        <f t="shared" si="15"/>
        <v>10</v>
      </c>
      <c r="F1298" t="str">
        <f t="shared" si="5"/>
        <v>Ed Buser</v>
      </c>
      <c r="G1298" s="40" t="str">
        <f>VLOOKUP(F1298,'Manager Coding'!C:D,2,0)</f>
        <v>Buser</v>
      </c>
      <c r="H1298" s="41" t="str">
        <f t="shared" si="6"/>
        <v/>
      </c>
      <c r="I1298" t="str">
        <f t="shared" si="7"/>
        <v>Pierson Curtis</v>
      </c>
      <c r="J1298" t="str">
        <f>VLOOKUP(I1298,'Manager Coding'!C:D,2,0)</f>
        <v>Pierson</v>
      </c>
      <c r="K1298" s="41" t="str">
        <f t="shared" si="8"/>
        <v/>
      </c>
      <c r="L1298">
        <f t="shared" si="9"/>
        <v>0</v>
      </c>
      <c r="M1298">
        <f t="shared" si="10"/>
        <v>0</v>
      </c>
      <c r="N1298" s="118" t="s">
        <v>2883</v>
      </c>
      <c r="O1298" s="119" t="s">
        <v>50</v>
      </c>
      <c r="P1298" s="247"/>
      <c r="Q1298" s="247"/>
      <c r="R1298" s="122" t="s">
        <v>93</v>
      </c>
      <c r="S1298" s="118" t="s">
        <v>2878</v>
      </c>
    </row>
    <row r="1299">
      <c r="A1299" s="32" t="str">
        <f t="shared" si="1"/>
        <v>2026TayskiWeek 10</v>
      </c>
      <c r="B1299" s="32" t="str">
        <f t="shared" si="2"/>
        <v>2026SaltyWeek 10</v>
      </c>
      <c r="C1299" s="32" t="str">
        <f t="shared" si="3"/>
        <v>Week 10</v>
      </c>
      <c r="D1299" s="32">
        <v>2026.0</v>
      </c>
      <c r="E1299" t="str">
        <f t="shared" si="15"/>
        <v>10</v>
      </c>
      <c r="F1299" t="str">
        <f t="shared" si="5"/>
        <v>Taylor Weis</v>
      </c>
      <c r="G1299" s="40" t="str">
        <f>VLOOKUP(F1299,'Manager Coding'!C:D,2,0)</f>
        <v>Tayski</v>
      </c>
      <c r="H1299" s="41" t="str">
        <f t="shared" si="6"/>
        <v/>
      </c>
      <c r="I1299" t="str">
        <f t="shared" si="7"/>
        <v>R Saltiel</v>
      </c>
      <c r="J1299" t="str">
        <f>VLOOKUP(I1299,'Manager Coding'!C:D,2,0)</f>
        <v>Salty</v>
      </c>
      <c r="K1299" s="41" t="str">
        <f t="shared" si="8"/>
        <v/>
      </c>
      <c r="L1299">
        <f t="shared" si="9"/>
        <v>0</v>
      </c>
      <c r="M1299">
        <f t="shared" si="10"/>
        <v>0</v>
      </c>
      <c r="N1299" s="123" t="s">
        <v>2885</v>
      </c>
      <c r="O1299" s="124" t="s">
        <v>54</v>
      </c>
      <c r="P1299" s="248"/>
      <c r="Q1299" s="248"/>
      <c r="R1299" s="125" t="s">
        <v>77</v>
      </c>
      <c r="S1299" s="123" t="s">
        <v>2881</v>
      </c>
    </row>
    <row r="1300">
      <c r="A1300" s="32" t="str">
        <f t="shared" si="1"/>
        <v>2026KnardDawgWeek 10</v>
      </c>
      <c r="B1300" s="32" t="str">
        <f t="shared" si="2"/>
        <v>2026RileyWeek 10</v>
      </c>
      <c r="C1300" s="32" t="str">
        <f t="shared" si="3"/>
        <v>Week 10</v>
      </c>
      <c r="D1300" s="32">
        <v>2026.0</v>
      </c>
      <c r="E1300" t="str">
        <f t="shared" si="15"/>
        <v>10</v>
      </c>
      <c r="F1300" t="str">
        <f t="shared" si="5"/>
        <v>Alex Kinniard, Jack Reilly</v>
      </c>
      <c r="G1300" s="40" t="str">
        <f>VLOOKUP(F1300,'Manager Coding'!C:D,2,0)</f>
        <v>KnardDawg</v>
      </c>
      <c r="H1300" s="41" t="str">
        <f t="shared" si="6"/>
        <v/>
      </c>
      <c r="I1300" t="str">
        <f t="shared" si="7"/>
        <v>Riley McElwain</v>
      </c>
      <c r="J1300" t="str">
        <f>VLOOKUP(I1300,'Manager Coding'!C:D,2,0)</f>
        <v>Riley</v>
      </c>
      <c r="K1300" s="41" t="str">
        <f t="shared" si="8"/>
        <v/>
      </c>
      <c r="L1300">
        <f t="shared" si="9"/>
        <v>0</v>
      </c>
      <c r="M1300">
        <f t="shared" si="10"/>
        <v>0</v>
      </c>
      <c r="N1300" s="118" t="s">
        <v>2887</v>
      </c>
      <c r="O1300" s="119" t="s">
        <v>87</v>
      </c>
      <c r="P1300" s="247"/>
      <c r="Q1300" s="247"/>
      <c r="R1300" s="122" t="s">
        <v>68</v>
      </c>
      <c r="S1300" s="118" t="s">
        <v>2879</v>
      </c>
    </row>
    <row r="1301">
      <c r="A1301" s="32" t="str">
        <f t="shared" si="1"/>
        <v>2026HudspeathWeek 10</v>
      </c>
      <c r="B1301" s="32" t="str">
        <f t="shared" si="2"/>
        <v>2026CockWeek 10</v>
      </c>
      <c r="C1301" s="32" t="str">
        <f t="shared" si="3"/>
        <v>Week 10</v>
      </c>
      <c r="D1301" s="32">
        <v>2026.0</v>
      </c>
      <c r="E1301" t="str">
        <f t="shared" si="15"/>
        <v>10</v>
      </c>
      <c r="F1301" t="str">
        <f t="shared" si="5"/>
        <v>matt hudspeath</v>
      </c>
      <c r="G1301" s="40" t="str">
        <f>VLOOKUP(F1301,'Manager Coding'!C:D,2,0)</f>
        <v>Hudspeath</v>
      </c>
      <c r="H1301" s="41" t="str">
        <f t="shared" si="6"/>
        <v/>
      </c>
      <c r="I1301" t="str">
        <f t="shared" si="7"/>
        <v>Chris Cochrane</v>
      </c>
      <c r="J1301" t="str">
        <f>VLOOKUP(I1301,'Manager Coding'!C:D,2,0)</f>
        <v>Cock</v>
      </c>
      <c r="K1301" s="41" t="str">
        <f t="shared" si="8"/>
        <v/>
      </c>
      <c r="L1301">
        <f t="shared" si="9"/>
        <v>0</v>
      </c>
      <c r="M1301">
        <f t="shared" si="10"/>
        <v>0</v>
      </c>
      <c r="N1301" s="123" t="s">
        <v>2888</v>
      </c>
      <c r="O1301" s="124" t="s">
        <v>64</v>
      </c>
      <c r="P1301" s="248"/>
      <c r="Q1301" s="248"/>
      <c r="R1301" s="125" t="s">
        <v>99</v>
      </c>
      <c r="S1301" s="123" t="s">
        <v>2877</v>
      </c>
    </row>
    <row r="1302">
      <c r="A1302" s="32" t="str">
        <f t="shared" si="1"/>
        <v>2026Rooney/JacksonWeek 10</v>
      </c>
      <c r="B1302" s="32" t="str">
        <f t="shared" si="2"/>
        <v>2026ShepWeek 10</v>
      </c>
      <c r="C1302" s="32" t="str">
        <f t="shared" si="3"/>
        <v>Week 10</v>
      </c>
      <c r="D1302" s="32">
        <v>2026.0</v>
      </c>
      <c r="E1302" t="str">
        <f t="shared" si="15"/>
        <v>10</v>
      </c>
      <c r="F1302" t="str">
        <f t="shared" si="5"/>
        <v>Stephen Rooney, Jackson Sattell</v>
      </c>
      <c r="G1302" s="40" t="str">
        <f>VLOOKUP(F1302,'Manager Coding'!C:D,2,0)</f>
        <v>Rooney/Jackson</v>
      </c>
      <c r="H1302" s="41" t="str">
        <f t="shared" si="6"/>
        <v/>
      </c>
      <c r="I1302" t="str">
        <f t="shared" si="7"/>
        <v>Jordan Shepherd</v>
      </c>
      <c r="J1302" t="str">
        <f>VLOOKUP(I1302,'Manager Coding'!C:D,2,0)</f>
        <v>Shep</v>
      </c>
      <c r="K1302" s="41" t="str">
        <f t="shared" si="8"/>
        <v/>
      </c>
      <c r="L1302">
        <f t="shared" si="9"/>
        <v>0</v>
      </c>
      <c r="M1302">
        <f t="shared" si="10"/>
        <v>0</v>
      </c>
      <c r="N1302" s="118" t="s">
        <v>2886</v>
      </c>
      <c r="O1302" s="119" t="s">
        <v>58</v>
      </c>
      <c r="P1302" s="247"/>
      <c r="Q1302" s="247"/>
      <c r="R1302" s="122" t="s">
        <v>91</v>
      </c>
      <c r="S1302" s="118" t="s">
        <v>2880</v>
      </c>
    </row>
    <row r="1303">
      <c r="A1303" s="32" t="str">
        <f t="shared" si="1"/>
        <v>2026EwertWeek 10</v>
      </c>
      <c r="B1303" s="32" t="str">
        <f t="shared" si="2"/>
        <v>2026T-HowWeek 10</v>
      </c>
      <c r="C1303" s="32" t="str">
        <f t="shared" si="3"/>
        <v>Week 10</v>
      </c>
      <c r="D1303" s="32">
        <v>2026.0</v>
      </c>
      <c r="E1303" t="str">
        <f t="shared" si="15"/>
        <v>10</v>
      </c>
      <c r="F1303" t="str">
        <f t="shared" si="5"/>
        <v>Kyle Ewert, brad starck</v>
      </c>
      <c r="G1303" s="40" t="str">
        <f>VLOOKUP(F1303,'Manager Coding'!C:D,2,0)</f>
        <v>Ewert</v>
      </c>
      <c r="H1303" s="41" t="str">
        <f t="shared" si="6"/>
        <v/>
      </c>
      <c r="I1303" t="str">
        <f t="shared" si="7"/>
        <v>Tyler Howard</v>
      </c>
      <c r="J1303" t="str">
        <f>VLOOKUP(I1303,'Manager Coding'!C:D,2,0)</f>
        <v>T-How</v>
      </c>
      <c r="K1303" s="41" t="str">
        <f t="shared" si="8"/>
        <v/>
      </c>
      <c r="L1303">
        <f t="shared" si="9"/>
        <v>0</v>
      </c>
      <c r="M1303">
        <f t="shared" si="10"/>
        <v>0</v>
      </c>
      <c r="N1303" s="85" t="s">
        <v>2884</v>
      </c>
      <c r="O1303" s="86" t="s">
        <v>105</v>
      </c>
      <c r="P1303" s="249"/>
      <c r="Q1303" s="249"/>
      <c r="R1303" s="89" t="s">
        <v>85</v>
      </c>
      <c r="S1303" s="85" t="s">
        <v>2882</v>
      </c>
    </row>
    <row r="1304">
      <c r="A1304" s="32" t="str">
        <f t="shared" si="1"/>
        <v>#N/A</v>
      </c>
      <c r="B1304" s="32" t="str">
        <f t="shared" si="2"/>
        <v>#N/A</v>
      </c>
      <c r="C1304" s="32" t="str">
        <f t="shared" si="3"/>
        <v>Week 10</v>
      </c>
      <c r="D1304" s="32">
        <v>2026.0</v>
      </c>
      <c r="E1304" t="str">
        <f t="shared" si="15"/>
        <v>10</v>
      </c>
      <c r="F1304" t="str">
        <f t="shared" si="5"/>
        <v/>
      </c>
      <c r="G1304" s="40" t="str">
        <f>VLOOKUP(F1304,'Manager Coding'!C:D,2,0)</f>
        <v>#N/A</v>
      </c>
      <c r="H1304" s="41" t="str">
        <f t="shared" si="6"/>
        <v/>
      </c>
      <c r="I1304" t="str">
        <f t="shared" si="7"/>
        <v/>
      </c>
      <c r="J1304" t="str">
        <f>VLOOKUP(I1304,'Manager Coding'!C:D,2,0)</f>
        <v>#N/A</v>
      </c>
      <c r="K1304" s="41" t="str">
        <f t="shared" si="8"/>
        <v/>
      </c>
      <c r="L1304">
        <f t="shared" si="9"/>
        <v>0</v>
      </c>
      <c r="M1304">
        <f t="shared" si="10"/>
        <v>0</v>
      </c>
      <c r="N1304" s="246" t="s">
        <v>430</v>
      </c>
      <c r="O1304" s="234"/>
      <c r="P1304" s="250"/>
      <c r="Q1304" s="251"/>
      <c r="R1304" s="236"/>
      <c r="S1304" s="233"/>
    </row>
    <row r="1305">
      <c r="A1305" s="32" t="str">
        <f t="shared" si="1"/>
        <v>#N/A</v>
      </c>
      <c r="B1305" s="32" t="str">
        <f t="shared" si="2"/>
        <v>#N/A</v>
      </c>
      <c r="C1305" s="32" t="str">
        <f t="shared" si="3"/>
        <v>Week 11</v>
      </c>
      <c r="D1305" s="32">
        <v>2026.0</v>
      </c>
      <c r="E1305" t="str">
        <f t="shared" si="15"/>
        <v>11</v>
      </c>
      <c r="F1305" t="str">
        <f t="shared" si="5"/>
        <v>TEAM MANAGER(S)</v>
      </c>
      <c r="G1305" s="40" t="str">
        <f>VLOOKUP(F1305,'Manager Coding'!C:D,2,0)</f>
        <v>#N/A</v>
      </c>
      <c r="H1305" s="41" t="str">
        <f t="shared" si="6"/>
        <v>Score</v>
      </c>
      <c r="I1305" t="str">
        <f t="shared" si="7"/>
        <v>TEAM MANAGER(S)</v>
      </c>
      <c r="J1305" t="str">
        <f>VLOOKUP(I1305,'Manager Coding'!C:D,2,0)</f>
        <v>#N/A</v>
      </c>
      <c r="K1305" s="41" t="str">
        <f t="shared" si="8"/>
        <v>Score</v>
      </c>
      <c r="L1305">
        <f t="shared" si="9"/>
        <v>0</v>
      </c>
      <c r="M1305">
        <f t="shared" si="10"/>
        <v>0</v>
      </c>
      <c r="N1305" s="221" t="s">
        <v>197</v>
      </c>
      <c r="O1305" s="221" t="s">
        <v>88</v>
      </c>
      <c r="P1305" s="222" t="s">
        <v>59</v>
      </c>
      <c r="Q1305" s="222" t="s">
        <v>59</v>
      </c>
      <c r="R1305" s="223" t="s">
        <v>88</v>
      </c>
      <c r="S1305" s="223" t="s">
        <v>101</v>
      </c>
    </row>
    <row r="1306">
      <c r="A1306" s="32" t="str">
        <f t="shared" si="1"/>
        <v>2026PiersonWeek 11</v>
      </c>
      <c r="B1306" s="32" t="str">
        <f t="shared" si="2"/>
        <v>2026SaltyWeek 11</v>
      </c>
      <c r="C1306" s="32" t="str">
        <f t="shared" si="3"/>
        <v>Week 11</v>
      </c>
      <c r="D1306" s="32">
        <v>2026.0</v>
      </c>
      <c r="E1306" t="str">
        <f t="shared" si="15"/>
        <v>11</v>
      </c>
      <c r="F1306" t="str">
        <f t="shared" si="5"/>
        <v>Pierson Curtis</v>
      </c>
      <c r="G1306" s="40" t="str">
        <f>VLOOKUP(F1306,'Manager Coding'!C:D,2,0)</f>
        <v>Pierson</v>
      </c>
      <c r="H1306" s="41" t="str">
        <f t="shared" si="6"/>
        <v/>
      </c>
      <c r="I1306" t="str">
        <f t="shared" si="7"/>
        <v>R Saltiel</v>
      </c>
      <c r="J1306" t="str">
        <f>VLOOKUP(I1306,'Manager Coding'!C:D,2,0)</f>
        <v>Salty</v>
      </c>
      <c r="K1306" s="41" t="str">
        <f t="shared" si="8"/>
        <v/>
      </c>
      <c r="L1306">
        <f t="shared" si="9"/>
        <v>0</v>
      </c>
      <c r="M1306">
        <f t="shared" si="10"/>
        <v>0</v>
      </c>
      <c r="N1306" s="118" t="s">
        <v>2878</v>
      </c>
      <c r="O1306" s="119" t="s">
        <v>93</v>
      </c>
      <c r="P1306" s="247"/>
      <c r="Q1306" s="247"/>
      <c r="R1306" s="122" t="s">
        <v>77</v>
      </c>
      <c r="S1306" s="118" t="s">
        <v>2881</v>
      </c>
    </row>
    <row r="1307">
      <c r="A1307" s="32" t="str">
        <f t="shared" si="1"/>
        <v>2026RileyWeek 11</v>
      </c>
      <c r="B1307" s="32" t="str">
        <f t="shared" si="2"/>
        <v>2026BuserWeek 11</v>
      </c>
      <c r="C1307" s="32" t="str">
        <f t="shared" si="3"/>
        <v>Week 11</v>
      </c>
      <c r="D1307" s="32">
        <v>2026.0</v>
      </c>
      <c r="E1307" t="str">
        <f t="shared" si="15"/>
        <v>11</v>
      </c>
      <c r="F1307" t="str">
        <f t="shared" si="5"/>
        <v>Riley McElwain</v>
      </c>
      <c r="G1307" s="40" t="str">
        <f>VLOOKUP(F1307,'Manager Coding'!C:D,2,0)</f>
        <v>Riley</v>
      </c>
      <c r="H1307" s="41" t="str">
        <f t="shared" si="6"/>
        <v/>
      </c>
      <c r="I1307" t="str">
        <f t="shared" si="7"/>
        <v>Ed Buser</v>
      </c>
      <c r="J1307" t="str">
        <f>VLOOKUP(I1307,'Manager Coding'!C:D,2,0)</f>
        <v>Buser</v>
      </c>
      <c r="K1307" s="41" t="str">
        <f t="shared" si="8"/>
        <v/>
      </c>
      <c r="L1307">
        <f t="shared" si="9"/>
        <v>0</v>
      </c>
      <c r="M1307">
        <f t="shared" si="10"/>
        <v>0</v>
      </c>
      <c r="N1307" s="123" t="s">
        <v>2879</v>
      </c>
      <c r="O1307" s="124" t="s">
        <v>68</v>
      </c>
      <c r="P1307" s="248"/>
      <c r="Q1307" s="248"/>
      <c r="R1307" s="125" t="s">
        <v>50</v>
      </c>
      <c r="S1307" s="123" t="s">
        <v>2883</v>
      </c>
    </row>
    <row r="1308">
      <c r="A1308" s="32" t="str">
        <f t="shared" si="1"/>
        <v>2026CockWeek 11</v>
      </c>
      <c r="B1308" s="32" t="str">
        <f t="shared" si="2"/>
        <v>2026TayskiWeek 11</v>
      </c>
      <c r="C1308" s="32" t="str">
        <f t="shared" si="3"/>
        <v>Week 11</v>
      </c>
      <c r="D1308" s="32">
        <v>2026.0</v>
      </c>
      <c r="E1308" t="str">
        <f t="shared" si="15"/>
        <v>11</v>
      </c>
      <c r="F1308" t="str">
        <f t="shared" si="5"/>
        <v>Chris Cochrane</v>
      </c>
      <c r="G1308" s="40" t="str">
        <f>VLOOKUP(F1308,'Manager Coding'!C:D,2,0)</f>
        <v>Cock</v>
      </c>
      <c r="H1308" s="41" t="str">
        <f t="shared" si="6"/>
        <v/>
      </c>
      <c r="I1308" t="str">
        <f t="shared" si="7"/>
        <v>Taylor Weis</v>
      </c>
      <c r="J1308" t="str">
        <f>VLOOKUP(I1308,'Manager Coding'!C:D,2,0)</f>
        <v>Tayski</v>
      </c>
      <c r="K1308" s="41" t="str">
        <f t="shared" si="8"/>
        <v/>
      </c>
      <c r="L1308">
        <f t="shared" si="9"/>
        <v>0</v>
      </c>
      <c r="M1308">
        <f t="shared" si="10"/>
        <v>0</v>
      </c>
      <c r="N1308" s="118" t="s">
        <v>2877</v>
      </c>
      <c r="O1308" s="119" t="s">
        <v>99</v>
      </c>
      <c r="P1308" s="247"/>
      <c r="Q1308" s="247"/>
      <c r="R1308" s="122" t="s">
        <v>54</v>
      </c>
      <c r="S1308" s="118" t="s">
        <v>2885</v>
      </c>
    </row>
    <row r="1309">
      <c r="A1309" s="32" t="str">
        <f t="shared" si="1"/>
        <v>2026ShepWeek 11</v>
      </c>
      <c r="B1309" s="32" t="str">
        <f t="shared" si="2"/>
        <v>2026KnardDawgWeek 11</v>
      </c>
      <c r="C1309" s="32" t="str">
        <f t="shared" si="3"/>
        <v>Week 11</v>
      </c>
      <c r="D1309" s="32">
        <v>2026.0</v>
      </c>
      <c r="E1309" t="str">
        <f t="shared" si="15"/>
        <v>11</v>
      </c>
      <c r="F1309" t="str">
        <f t="shared" si="5"/>
        <v>Jordan Shepherd</v>
      </c>
      <c r="G1309" s="40" t="str">
        <f>VLOOKUP(F1309,'Manager Coding'!C:D,2,0)</f>
        <v>Shep</v>
      </c>
      <c r="H1309" s="41" t="str">
        <f t="shared" si="6"/>
        <v/>
      </c>
      <c r="I1309" t="str">
        <f t="shared" si="7"/>
        <v>Alex Kinniard, Jack Reilly</v>
      </c>
      <c r="J1309" t="str">
        <f>VLOOKUP(I1309,'Manager Coding'!C:D,2,0)</f>
        <v>KnardDawg</v>
      </c>
      <c r="K1309" s="41" t="str">
        <f t="shared" si="8"/>
        <v/>
      </c>
      <c r="L1309">
        <f t="shared" si="9"/>
        <v>0</v>
      </c>
      <c r="M1309">
        <f t="shared" si="10"/>
        <v>0</v>
      </c>
      <c r="N1309" s="123" t="s">
        <v>2880</v>
      </c>
      <c r="O1309" s="124" t="s">
        <v>91</v>
      </c>
      <c r="P1309" s="248"/>
      <c r="Q1309" s="248"/>
      <c r="R1309" s="125" t="s">
        <v>87</v>
      </c>
      <c r="S1309" s="123" t="s">
        <v>2887</v>
      </c>
    </row>
    <row r="1310">
      <c r="A1310" s="32" t="str">
        <f t="shared" si="1"/>
        <v>2026T-HowWeek 11</v>
      </c>
      <c r="B1310" s="32" t="str">
        <f t="shared" si="2"/>
        <v>2026HudspeathWeek 11</v>
      </c>
      <c r="C1310" s="32" t="str">
        <f t="shared" si="3"/>
        <v>Week 11</v>
      </c>
      <c r="D1310" s="32">
        <v>2026.0</v>
      </c>
      <c r="E1310" t="str">
        <f t="shared" si="15"/>
        <v>11</v>
      </c>
      <c r="F1310" t="str">
        <f t="shared" si="5"/>
        <v>Tyler Howard</v>
      </c>
      <c r="G1310" s="40" t="str">
        <f>VLOOKUP(F1310,'Manager Coding'!C:D,2,0)</f>
        <v>T-How</v>
      </c>
      <c r="H1310" s="41" t="str">
        <f t="shared" si="6"/>
        <v/>
      </c>
      <c r="I1310" t="str">
        <f t="shared" si="7"/>
        <v>matt hudspeath</v>
      </c>
      <c r="J1310" t="str">
        <f>VLOOKUP(I1310,'Manager Coding'!C:D,2,0)</f>
        <v>Hudspeath</v>
      </c>
      <c r="K1310" s="41" t="str">
        <f t="shared" si="8"/>
        <v/>
      </c>
      <c r="L1310">
        <f t="shared" si="9"/>
        <v>0</v>
      </c>
      <c r="M1310">
        <f t="shared" si="10"/>
        <v>0</v>
      </c>
      <c r="N1310" s="118" t="s">
        <v>2882</v>
      </c>
      <c r="O1310" s="119" t="s">
        <v>85</v>
      </c>
      <c r="P1310" s="247"/>
      <c r="Q1310" s="247"/>
      <c r="R1310" s="122" t="s">
        <v>64</v>
      </c>
      <c r="S1310" s="118" t="s">
        <v>2888</v>
      </c>
    </row>
    <row r="1311">
      <c r="A1311" s="32" t="str">
        <f t="shared" si="1"/>
        <v>2026EwertWeek 11</v>
      </c>
      <c r="B1311" s="32" t="str">
        <f t="shared" si="2"/>
        <v>2026Rooney/JacksonWeek 11</v>
      </c>
      <c r="C1311" s="32" t="str">
        <f t="shared" si="3"/>
        <v>Week 11</v>
      </c>
      <c r="D1311" s="32">
        <v>2026.0</v>
      </c>
      <c r="E1311" t="str">
        <f t="shared" si="15"/>
        <v>11</v>
      </c>
      <c r="F1311" t="str">
        <f t="shared" si="5"/>
        <v>Kyle Ewert, brad starck</v>
      </c>
      <c r="G1311" s="40" t="str">
        <f>VLOOKUP(F1311,'Manager Coding'!C:D,2,0)</f>
        <v>Ewert</v>
      </c>
      <c r="H1311" s="41" t="str">
        <f t="shared" si="6"/>
        <v/>
      </c>
      <c r="I1311" t="str">
        <f t="shared" si="7"/>
        <v>Stephen Rooney, Jackson Sattell</v>
      </c>
      <c r="J1311" t="str">
        <f>VLOOKUP(I1311,'Manager Coding'!C:D,2,0)</f>
        <v>Rooney/Jackson</v>
      </c>
      <c r="K1311" s="41" t="str">
        <f t="shared" si="8"/>
        <v/>
      </c>
      <c r="L1311">
        <f t="shared" si="9"/>
        <v>0</v>
      </c>
      <c r="M1311">
        <f t="shared" si="10"/>
        <v>0</v>
      </c>
      <c r="N1311" s="85" t="s">
        <v>2884</v>
      </c>
      <c r="O1311" s="86" t="s">
        <v>105</v>
      </c>
      <c r="P1311" s="249"/>
      <c r="Q1311" s="249"/>
      <c r="R1311" s="89" t="s">
        <v>58</v>
      </c>
      <c r="S1311" s="85" t="s">
        <v>2886</v>
      </c>
    </row>
    <row r="1312">
      <c r="A1312" s="32" t="str">
        <f t="shared" si="1"/>
        <v>#N/A</v>
      </c>
      <c r="B1312" s="32" t="str">
        <f t="shared" si="2"/>
        <v>#N/A</v>
      </c>
      <c r="C1312" s="32" t="str">
        <f t="shared" si="3"/>
        <v>Week 11</v>
      </c>
      <c r="D1312" s="32">
        <v>2026.0</v>
      </c>
      <c r="E1312" t="str">
        <f t="shared" si="15"/>
        <v>11</v>
      </c>
      <c r="F1312" t="str">
        <f t="shared" si="5"/>
        <v/>
      </c>
      <c r="G1312" s="40" t="str">
        <f>VLOOKUP(F1312,'Manager Coding'!C:D,2,0)</f>
        <v>#N/A</v>
      </c>
      <c r="H1312" s="41" t="str">
        <f t="shared" si="6"/>
        <v/>
      </c>
      <c r="I1312" t="str">
        <f t="shared" si="7"/>
        <v/>
      </c>
      <c r="J1312" t="str">
        <f>VLOOKUP(I1312,'Manager Coding'!C:D,2,0)</f>
        <v>#N/A</v>
      </c>
      <c r="K1312" s="41" t="str">
        <f t="shared" si="8"/>
        <v/>
      </c>
      <c r="L1312">
        <f t="shared" si="9"/>
        <v>0</v>
      </c>
      <c r="M1312">
        <f t="shared" si="10"/>
        <v>0</v>
      </c>
      <c r="N1312" s="246" t="s">
        <v>455</v>
      </c>
      <c r="O1312" s="234"/>
      <c r="P1312" s="250"/>
      <c r="Q1312" s="251"/>
      <c r="R1312" s="236"/>
      <c r="S1312" s="233"/>
    </row>
    <row r="1313">
      <c r="A1313" s="32" t="str">
        <f t="shared" si="1"/>
        <v>#N/A</v>
      </c>
      <c r="B1313" s="32" t="str">
        <f t="shared" si="2"/>
        <v>#N/A</v>
      </c>
      <c r="C1313" s="32" t="str">
        <f t="shared" si="3"/>
        <v>Week 12</v>
      </c>
      <c r="D1313" s="32">
        <v>2026.0</v>
      </c>
      <c r="E1313" t="str">
        <f t="shared" si="15"/>
        <v>12</v>
      </c>
      <c r="F1313" t="str">
        <f t="shared" si="5"/>
        <v>TEAM MANAGER(S)</v>
      </c>
      <c r="G1313" s="40" t="str">
        <f>VLOOKUP(F1313,'Manager Coding'!C:D,2,0)</f>
        <v>#N/A</v>
      </c>
      <c r="H1313" s="41" t="str">
        <f t="shared" si="6"/>
        <v>Score</v>
      </c>
      <c r="I1313" t="str">
        <f t="shared" si="7"/>
        <v>TEAM MANAGER(S)</v>
      </c>
      <c r="J1313" t="str">
        <f>VLOOKUP(I1313,'Manager Coding'!C:D,2,0)</f>
        <v>#N/A</v>
      </c>
      <c r="K1313" s="41" t="str">
        <f t="shared" si="8"/>
        <v>Score</v>
      </c>
      <c r="L1313">
        <f t="shared" si="9"/>
        <v>0</v>
      </c>
      <c r="M1313">
        <f t="shared" si="10"/>
        <v>0</v>
      </c>
      <c r="N1313" s="221" t="s">
        <v>197</v>
      </c>
      <c r="O1313" s="221" t="s">
        <v>88</v>
      </c>
      <c r="P1313" s="222" t="s">
        <v>59</v>
      </c>
      <c r="Q1313" s="222" t="s">
        <v>59</v>
      </c>
      <c r="R1313" s="223" t="s">
        <v>88</v>
      </c>
      <c r="S1313" s="223" t="s">
        <v>101</v>
      </c>
    </row>
    <row r="1314">
      <c r="A1314" s="32" t="str">
        <f t="shared" si="1"/>
        <v>2026RileyWeek 12</v>
      </c>
      <c r="B1314" s="32" t="str">
        <f t="shared" si="2"/>
        <v>2026PiersonWeek 12</v>
      </c>
      <c r="C1314" s="32" t="str">
        <f t="shared" si="3"/>
        <v>Week 12</v>
      </c>
      <c r="D1314" s="32">
        <v>2026.0</v>
      </c>
      <c r="E1314" t="str">
        <f t="shared" si="15"/>
        <v>12</v>
      </c>
      <c r="F1314" t="str">
        <f t="shared" si="5"/>
        <v>Riley McElwain</v>
      </c>
      <c r="G1314" s="40" t="str">
        <f>VLOOKUP(F1314,'Manager Coding'!C:D,2,0)</f>
        <v>Riley</v>
      </c>
      <c r="H1314" s="41" t="str">
        <f t="shared" si="6"/>
        <v/>
      </c>
      <c r="I1314" t="str">
        <f t="shared" si="7"/>
        <v>Pierson Curtis</v>
      </c>
      <c r="J1314" t="str">
        <f>VLOOKUP(I1314,'Manager Coding'!C:D,2,0)</f>
        <v>Pierson</v>
      </c>
      <c r="K1314" s="41" t="str">
        <f t="shared" si="8"/>
        <v/>
      </c>
      <c r="L1314">
        <f t="shared" si="9"/>
        <v>0</v>
      </c>
      <c r="M1314">
        <f t="shared" si="10"/>
        <v>0</v>
      </c>
      <c r="N1314" s="118" t="s">
        <v>2879</v>
      </c>
      <c r="O1314" s="119" t="s">
        <v>68</v>
      </c>
      <c r="P1314" s="247"/>
      <c r="Q1314" s="247"/>
      <c r="R1314" s="122" t="s">
        <v>93</v>
      </c>
      <c r="S1314" s="118" t="s">
        <v>2878</v>
      </c>
    </row>
    <row r="1315">
      <c r="A1315" s="32" t="str">
        <f t="shared" si="1"/>
        <v>2026SaltyWeek 12</v>
      </c>
      <c r="B1315" s="32" t="str">
        <f t="shared" si="2"/>
        <v>2026CockWeek 12</v>
      </c>
      <c r="C1315" s="32" t="str">
        <f t="shared" si="3"/>
        <v>Week 12</v>
      </c>
      <c r="D1315" s="32">
        <v>2026.0</v>
      </c>
      <c r="E1315" t="str">
        <f t="shared" si="15"/>
        <v>12</v>
      </c>
      <c r="F1315" t="str">
        <f t="shared" si="5"/>
        <v>R Saltiel</v>
      </c>
      <c r="G1315" s="40" t="str">
        <f>VLOOKUP(F1315,'Manager Coding'!C:D,2,0)</f>
        <v>Salty</v>
      </c>
      <c r="H1315" s="41" t="str">
        <f t="shared" si="6"/>
        <v/>
      </c>
      <c r="I1315" t="str">
        <f t="shared" si="7"/>
        <v>Chris Cochrane</v>
      </c>
      <c r="J1315" t="str">
        <f>VLOOKUP(I1315,'Manager Coding'!C:D,2,0)</f>
        <v>Cock</v>
      </c>
      <c r="K1315" s="41" t="str">
        <f t="shared" si="8"/>
        <v/>
      </c>
      <c r="L1315">
        <f t="shared" si="9"/>
        <v>0</v>
      </c>
      <c r="M1315">
        <f t="shared" si="10"/>
        <v>0</v>
      </c>
      <c r="N1315" s="123" t="s">
        <v>2881</v>
      </c>
      <c r="O1315" s="124" t="s">
        <v>77</v>
      </c>
      <c r="P1315" s="248"/>
      <c r="Q1315" s="248"/>
      <c r="R1315" s="125" t="s">
        <v>99</v>
      </c>
      <c r="S1315" s="123" t="s">
        <v>2877</v>
      </c>
    </row>
    <row r="1316">
      <c r="A1316" s="32" t="str">
        <f t="shared" si="1"/>
        <v>2026BuserWeek 12</v>
      </c>
      <c r="B1316" s="32" t="str">
        <f t="shared" si="2"/>
        <v>2026ShepWeek 12</v>
      </c>
      <c r="C1316" s="32" t="str">
        <f t="shared" si="3"/>
        <v>Week 12</v>
      </c>
      <c r="D1316" s="32">
        <v>2026.0</v>
      </c>
      <c r="E1316" t="str">
        <f t="shared" si="15"/>
        <v>12</v>
      </c>
      <c r="F1316" t="str">
        <f t="shared" si="5"/>
        <v>Ed Buser</v>
      </c>
      <c r="G1316" s="40" t="str">
        <f>VLOOKUP(F1316,'Manager Coding'!C:D,2,0)</f>
        <v>Buser</v>
      </c>
      <c r="H1316" s="41" t="str">
        <f t="shared" si="6"/>
        <v/>
      </c>
      <c r="I1316" t="str">
        <f t="shared" si="7"/>
        <v>Jordan Shepherd</v>
      </c>
      <c r="J1316" t="str">
        <f>VLOOKUP(I1316,'Manager Coding'!C:D,2,0)</f>
        <v>Shep</v>
      </c>
      <c r="K1316" s="41" t="str">
        <f t="shared" si="8"/>
        <v/>
      </c>
      <c r="L1316">
        <f t="shared" si="9"/>
        <v>0</v>
      </c>
      <c r="M1316">
        <f t="shared" si="10"/>
        <v>0</v>
      </c>
      <c r="N1316" s="118" t="s">
        <v>2883</v>
      </c>
      <c r="O1316" s="119" t="s">
        <v>50</v>
      </c>
      <c r="P1316" s="247"/>
      <c r="Q1316" s="247"/>
      <c r="R1316" s="122" t="s">
        <v>91</v>
      </c>
      <c r="S1316" s="118" t="s">
        <v>2880</v>
      </c>
    </row>
    <row r="1317">
      <c r="A1317" s="32" t="str">
        <f t="shared" si="1"/>
        <v>2026TayskiWeek 12</v>
      </c>
      <c r="B1317" s="32" t="str">
        <f t="shared" si="2"/>
        <v>2026T-HowWeek 12</v>
      </c>
      <c r="C1317" s="32" t="str">
        <f t="shared" si="3"/>
        <v>Week 12</v>
      </c>
      <c r="D1317" s="32">
        <v>2026.0</v>
      </c>
      <c r="E1317" t="str">
        <f t="shared" si="15"/>
        <v>12</v>
      </c>
      <c r="F1317" t="str">
        <f t="shared" si="5"/>
        <v>Taylor Weis</v>
      </c>
      <c r="G1317" s="40" t="str">
        <f>VLOOKUP(F1317,'Manager Coding'!C:D,2,0)</f>
        <v>Tayski</v>
      </c>
      <c r="H1317" s="41" t="str">
        <f t="shared" si="6"/>
        <v/>
      </c>
      <c r="I1317" t="str">
        <f t="shared" si="7"/>
        <v>Tyler Howard</v>
      </c>
      <c r="J1317" t="str">
        <f>VLOOKUP(I1317,'Manager Coding'!C:D,2,0)</f>
        <v>T-How</v>
      </c>
      <c r="K1317" s="41" t="str">
        <f t="shared" si="8"/>
        <v/>
      </c>
      <c r="L1317">
        <f t="shared" si="9"/>
        <v>0</v>
      </c>
      <c r="M1317">
        <f t="shared" si="10"/>
        <v>0</v>
      </c>
      <c r="N1317" s="123" t="s">
        <v>2885</v>
      </c>
      <c r="O1317" s="124" t="s">
        <v>54</v>
      </c>
      <c r="P1317" s="248"/>
      <c r="Q1317" s="248"/>
      <c r="R1317" s="125" t="s">
        <v>85</v>
      </c>
      <c r="S1317" s="123" t="s">
        <v>2882</v>
      </c>
    </row>
    <row r="1318">
      <c r="A1318" s="32" t="str">
        <f t="shared" si="1"/>
        <v>2026KnardDawgWeek 12</v>
      </c>
      <c r="B1318" s="32" t="str">
        <f t="shared" si="2"/>
        <v>2026EwertWeek 12</v>
      </c>
      <c r="C1318" s="32" t="str">
        <f t="shared" si="3"/>
        <v>Week 12</v>
      </c>
      <c r="D1318" s="32">
        <v>2026.0</v>
      </c>
      <c r="E1318" t="str">
        <f t="shared" si="15"/>
        <v>12</v>
      </c>
      <c r="F1318" t="str">
        <f t="shared" si="5"/>
        <v>Alex Kinniard, Jack Reilly</v>
      </c>
      <c r="G1318" s="40" t="str">
        <f>VLOOKUP(F1318,'Manager Coding'!C:D,2,0)</f>
        <v>KnardDawg</v>
      </c>
      <c r="H1318" s="41" t="str">
        <f t="shared" si="6"/>
        <v/>
      </c>
      <c r="I1318" t="str">
        <f t="shared" si="7"/>
        <v>Kyle Ewert, brad starck</v>
      </c>
      <c r="J1318" t="str">
        <f>VLOOKUP(I1318,'Manager Coding'!C:D,2,0)</f>
        <v>Ewert</v>
      </c>
      <c r="K1318" s="41" t="str">
        <f t="shared" si="8"/>
        <v/>
      </c>
      <c r="L1318">
        <f t="shared" si="9"/>
        <v>0</v>
      </c>
      <c r="M1318">
        <f t="shared" si="10"/>
        <v>0</v>
      </c>
      <c r="N1318" s="118" t="s">
        <v>2887</v>
      </c>
      <c r="O1318" s="119" t="s">
        <v>87</v>
      </c>
      <c r="P1318" s="247"/>
      <c r="Q1318" s="247"/>
      <c r="R1318" s="122" t="s">
        <v>105</v>
      </c>
      <c r="S1318" s="118" t="s">
        <v>2884</v>
      </c>
    </row>
    <row r="1319">
      <c r="A1319" s="32" t="str">
        <f t="shared" si="1"/>
        <v>2026HudspeathWeek 12</v>
      </c>
      <c r="B1319" s="32" t="str">
        <f t="shared" si="2"/>
        <v>2026Rooney/JacksonWeek 12</v>
      </c>
      <c r="C1319" s="32" t="str">
        <f t="shared" si="3"/>
        <v>Week 12</v>
      </c>
      <c r="D1319" s="32">
        <v>2026.0</v>
      </c>
      <c r="E1319" t="str">
        <f t="shared" si="15"/>
        <v>12</v>
      </c>
      <c r="F1319" t="str">
        <f t="shared" si="5"/>
        <v>matt hudspeath</v>
      </c>
      <c r="G1319" s="40" t="str">
        <f>VLOOKUP(F1319,'Manager Coding'!C:D,2,0)</f>
        <v>Hudspeath</v>
      </c>
      <c r="H1319" s="41" t="str">
        <f t="shared" si="6"/>
        <v/>
      </c>
      <c r="I1319" t="str">
        <f t="shared" si="7"/>
        <v>Stephen Rooney, Jackson Sattell</v>
      </c>
      <c r="J1319" t="str">
        <f>VLOOKUP(I1319,'Manager Coding'!C:D,2,0)</f>
        <v>Rooney/Jackson</v>
      </c>
      <c r="K1319" s="41" t="str">
        <f t="shared" si="8"/>
        <v/>
      </c>
      <c r="L1319">
        <f t="shared" si="9"/>
        <v>0</v>
      </c>
      <c r="M1319">
        <f t="shared" si="10"/>
        <v>0</v>
      </c>
      <c r="N1319" s="85" t="s">
        <v>2888</v>
      </c>
      <c r="O1319" s="86" t="s">
        <v>64</v>
      </c>
      <c r="P1319" s="249"/>
      <c r="Q1319" s="249"/>
      <c r="R1319" s="89" t="s">
        <v>58</v>
      </c>
      <c r="S1319" s="85" t="s">
        <v>2886</v>
      </c>
    </row>
    <row r="1320">
      <c r="A1320" s="32" t="str">
        <f t="shared" si="1"/>
        <v>2026EwertWeek 12</v>
      </c>
      <c r="B1320" s="32" t="str">
        <f t="shared" si="2"/>
        <v>2026Rooney/JacksonWeek 12</v>
      </c>
      <c r="C1320" s="32" t="str">
        <f t="shared" si="3"/>
        <v>Week 12</v>
      </c>
      <c r="D1320" s="32">
        <v>2026.0</v>
      </c>
      <c r="E1320" t="str">
        <f t="shared" si="15"/>
        <v>12</v>
      </c>
      <c r="F1320" t="str">
        <f t="shared" si="5"/>
        <v>Kyle Ewert, brad starck</v>
      </c>
      <c r="G1320" s="40" t="str">
        <f>VLOOKUP(F1320,'Manager Coding'!C:D,2,0)</f>
        <v>Ewert</v>
      </c>
      <c r="H1320" s="41" t="str">
        <f t="shared" si="6"/>
        <v/>
      </c>
      <c r="I1320" t="str">
        <f t="shared" si="7"/>
        <v>Stephen Rooney, Jackson Sattell</v>
      </c>
      <c r="J1320" t="str">
        <f>VLOOKUP(I1320,'Manager Coding'!C:D,2,0)</f>
        <v>Rooney/Jackson</v>
      </c>
      <c r="K1320" s="41" t="str">
        <f t="shared" si="8"/>
        <v/>
      </c>
      <c r="L1320">
        <f t="shared" si="9"/>
        <v>0</v>
      </c>
      <c r="M1320">
        <f t="shared" si="10"/>
        <v>0</v>
      </c>
      <c r="N1320" s="246" t="s">
        <v>477</v>
      </c>
      <c r="O1320" s="86" t="s">
        <v>105</v>
      </c>
      <c r="P1320" s="249"/>
      <c r="Q1320" s="249"/>
      <c r="R1320" s="89" t="s">
        <v>58</v>
      </c>
      <c r="S1320" s="85" t="s">
        <v>2892</v>
      </c>
    </row>
    <row r="1321">
      <c r="A1321" s="32" t="str">
        <f t="shared" si="1"/>
        <v>#N/A</v>
      </c>
      <c r="B1321" s="32" t="str">
        <f t="shared" si="2"/>
        <v>#N/A</v>
      </c>
      <c r="C1321" s="32" t="str">
        <f t="shared" si="3"/>
        <v>Week 13</v>
      </c>
      <c r="D1321" s="32">
        <v>2026.0</v>
      </c>
      <c r="E1321" t="str">
        <f t="shared" si="15"/>
        <v>13</v>
      </c>
      <c r="F1321" t="str">
        <f t="shared" si="5"/>
        <v>TEAM MANAGER(S)</v>
      </c>
      <c r="G1321" s="40" t="str">
        <f>VLOOKUP(F1321,'Manager Coding'!C:D,2,0)</f>
        <v>#N/A</v>
      </c>
      <c r="H1321" s="41" t="str">
        <f t="shared" si="6"/>
        <v>Score</v>
      </c>
      <c r="I1321" t="str">
        <f t="shared" si="7"/>
        <v>TEAM MANAGER(S)</v>
      </c>
      <c r="J1321" t="str">
        <f>VLOOKUP(I1321,'Manager Coding'!C:D,2,0)</f>
        <v>#N/A</v>
      </c>
      <c r="K1321" s="41" t="str">
        <f t="shared" si="8"/>
        <v>Score</v>
      </c>
      <c r="L1321">
        <f t="shared" si="9"/>
        <v>0</v>
      </c>
      <c r="M1321">
        <f t="shared" si="10"/>
        <v>0</v>
      </c>
      <c r="N1321" s="221" t="s">
        <v>197</v>
      </c>
      <c r="O1321" s="221" t="s">
        <v>88</v>
      </c>
      <c r="P1321" s="222" t="s">
        <v>59</v>
      </c>
      <c r="Q1321" s="222" t="s">
        <v>59</v>
      </c>
      <c r="R1321" s="223" t="s">
        <v>88</v>
      </c>
      <c r="S1321" s="223" t="s">
        <v>101</v>
      </c>
    </row>
    <row r="1322">
      <c r="A1322" s="32" t="str">
        <f t="shared" si="1"/>
        <v>2026PiersonWeek 13</v>
      </c>
      <c r="B1322" s="32" t="str">
        <f t="shared" si="2"/>
        <v>2026CockWeek 13</v>
      </c>
      <c r="C1322" s="32" t="str">
        <f t="shared" si="3"/>
        <v>Week 13</v>
      </c>
      <c r="D1322" s="32">
        <v>2026.0</v>
      </c>
      <c r="E1322" t="str">
        <f t="shared" si="15"/>
        <v>13</v>
      </c>
      <c r="F1322" t="str">
        <f t="shared" si="5"/>
        <v>Pierson Curtis</v>
      </c>
      <c r="G1322" s="40" t="str">
        <f>VLOOKUP(F1322,'Manager Coding'!C:D,2,0)</f>
        <v>Pierson</v>
      </c>
      <c r="H1322" s="41" t="str">
        <f t="shared" si="6"/>
        <v/>
      </c>
      <c r="I1322" t="str">
        <f t="shared" si="7"/>
        <v>Chris Cochrane</v>
      </c>
      <c r="J1322" t="str">
        <f>VLOOKUP(I1322,'Manager Coding'!C:D,2,0)</f>
        <v>Cock</v>
      </c>
      <c r="K1322" s="41" t="str">
        <f t="shared" si="8"/>
        <v/>
      </c>
      <c r="L1322">
        <f t="shared" si="9"/>
        <v>0</v>
      </c>
      <c r="M1322">
        <f t="shared" si="10"/>
        <v>0</v>
      </c>
      <c r="N1322" s="118" t="s">
        <v>2878</v>
      </c>
      <c r="O1322" s="119" t="s">
        <v>93</v>
      </c>
      <c r="P1322" s="247"/>
      <c r="Q1322" s="247"/>
      <c r="R1322" s="122" t="s">
        <v>99</v>
      </c>
      <c r="S1322" s="118" t="s">
        <v>2877</v>
      </c>
    </row>
    <row r="1323">
      <c r="A1323" s="32" t="str">
        <f t="shared" si="1"/>
        <v>2026ShepWeek 13</v>
      </c>
      <c r="B1323" s="32" t="str">
        <f t="shared" si="2"/>
        <v>2026RileyWeek 13</v>
      </c>
      <c r="C1323" s="32" t="str">
        <f t="shared" si="3"/>
        <v>Week 13</v>
      </c>
      <c r="D1323" s="32">
        <v>2026.0</v>
      </c>
      <c r="E1323" t="str">
        <f t="shared" si="15"/>
        <v>13</v>
      </c>
      <c r="F1323" t="str">
        <f t="shared" si="5"/>
        <v>Jordan Shepherd</v>
      </c>
      <c r="G1323" s="40" t="str">
        <f>VLOOKUP(F1323,'Manager Coding'!C:D,2,0)</f>
        <v>Shep</v>
      </c>
      <c r="H1323" s="41" t="str">
        <f t="shared" si="6"/>
        <v/>
      </c>
      <c r="I1323" t="str">
        <f t="shared" si="7"/>
        <v>Riley McElwain</v>
      </c>
      <c r="J1323" t="str">
        <f>VLOOKUP(I1323,'Manager Coding'!C:D,2,0)</f>
        <v>Riley</v>
      </c>
      <c r="K1323" s="41" t="str">
        <f t="shared" si="8"/>
        <v/>
      </c>
      <c r="L1323">
        <f t="shared" si="9"/>
        <v>0</v>
      </c>
      <c r="M1323">
        <f t="shared" si="10"/>
        <v>0</v>
      </c>
      <c r="N1323" s="123" t="s">
        <v>2880</v>
      </c>
      <c r="O1323" s="124" t="s">
        <v>91</v>
      </c>
      <c r="P1323" s="248"/>
      <c r="Q1323" s="248"/>
      <c r="R1323" s="125" t="s">
        <v>68</v>
      </c>
      <c r="S1323" s="123" t="s">
        <v>2879</v>
      </c>
    </row>
    <row r="1324">
      <c r="A1324" s="32" t="str">
        <f t="shared" si="1"/>
        <v>2026T-HowWeek 13</v>
      </c>
      <c r="B1324" s="32" t="str">
        <f t="shared" si="2"/>
        <v>2026SaltyWeek 13</v>
      </c>
      <c r="C1324" s="32" t="str">
        <f t="shared" si="3"/>
        <v>Week 13</v>
      </c>
      <c r="D1324" s="32">
        <v>2026.0</v>
      </c>
      <c r="E1324" t="str">
        <f t="shared" si="15"/>
        <v>13</v>
      </c>
      <c r="F1324" t="str">
        <f t="shared" si="5"/>
        <v>Tyler Howard</v>
      </c>
      <c r="G1324" s="40" t="str">
        <f>VLOOKUP(F1324,'Manager Coding'!C:D,2,0)</f>
        <v>T-How</v>
      </c>
      <c r="H1324" s="41" t="str">
        <f t="shared" si="6"/>
        <v/>
      </c>
      <c r="I1324" t="str">
        <f t="shared" si="7"/>
        <v>R Saltiel</v>
      </c>
      <c r="J1324" t="str">
        <f>VLOOKUP(I1324,'Manager Coding'!C:D,2,0)</f>
        <v>Salty</v>
      </c>
      <c r="K1324" s="41" t="str">
        <f t="shared" si="8"/>
        <v/>
      </c>
      <c r="L1324">
        <f t="shared" si="9"/>
        <v>0</v>
      </c>
      <c r="M1324">
        <f t="shared" si="10"/>
        <v>0</v>
      </c>
      <c r="N1324" s="118" t="s">
        <v>2882</v>
      </c>
      <c r="O1324" s="119" t="s">
        <v>85</v>
      </c>
      <c r="P1324" s="247"/>
      <c r="Q1324" s="247"/>
      <c r="R1324" s="122" t="s">
        <v>77</v>
      </c>
      <c r="S1324" s="118" t="s">
        <v>2881</v>
      </c>
    </row>
    <row r="1325">
      <c r="A1325" s="32" t="str">
        <f t="shared" si="1"/>
        <v>2026EwertWeek 13</v>
      </c>
      <c r="B1325" s="32" t="str">
        <f t="shared" si="2"/>
        <v>2026BuserWeek 13</v>
      </c>
      <c r="C1325" s="32" t="str">
        <f t="shared" si="3"/>
        <v>Week 13</v>
      </c>
      <c r="D1325" s="32">
        <v>2026.0</v>
      </c>
      <c r="E1325" t="str">
        <f t="shared" si="15"/>
        <v>13</v>
      </c>
      <c r="F1325" t="str">
        <f t="shared" si="5"/>
        <v>Kyle Ewert, brad starck</v>
      </c>
      <c r="G1325" s="40" t="str">
        <f>VLOOKUP(F1325,'Manager Coding'!C:D,2,0)</f>
        <v>Ewert</v>
      </c>
      <c r="H1325" s="41" t="str">
        <f t="shared" si="6"/>
        <v/>
      </c>
      <c r="I1325" t="str">
        <f t="shared" si="7"/>
        <v>Ed Buser</v>
      </c>
      <c r="J1325" t="str">
        <f>VLOOKUP(I1325,'Manager Coding'!C:D,2,0)</f>
        <v>Buser</v>
      </c>
      <c r="K1325" s="41" t="str">
        <f t="shared" si="8"/>
        <v/>
      </c>
      <c r="L1325">
        <f t="shared" si="9"/>
        <v>0</v>
      </c>
      <c r="M1325">
        <f t="shared" si="10"/>
        <v>0</v>
      </c>
      <c r="N1325" s="123" t="s">
        <v>2884</v>
      </c>
      <c r="O1325" s="124" t="s">
        <v>105</v>
      </c>
      <c r="P1325" s="248"/>
      <c r="Q1325" s="248"/>
      <c r="R1325" s="125" t="s">
        <v>50</v>
      </c>
      <c r="S1325" s="123" t="s">
        <v>2883</v>
      </c>
    </row>
    <row r="1326">
      <c r="A1326" s="32" t="str">
        <f t="shared" si="1"/>
        <v>2026Rooney/JacksonWeek 13</v>
      </c>
      <c r="B1326" s="32" t="str">
        <f t="shared" si="2"/>
        <v>2026TayskiWeek 13</v>
      </c>
      <c r="C1326" s="32" t="str">
        <f t="shared" si="3"/>
        <v>Week 13</v>
      </c>
      <c r="D1326" s="32">
        <v>2026.0</v>
      </c>
      <c r="E1326" t="str">
        <f t="shared" si="15"/>
        <v>13</v>
      </c>
      <c r="F1326" t="str">
        <f t="shared" si="5"/>
        <v>Stephen Rooney, Jackson Sattell</v>
      </c>
      <c r="G1326" s="40" t="str">
        <f>VLOOKUP(F1326,'Manager Coding'!C:D,2,0)</f>
        <v>Rooney/Jackson</v>
      </c>
      <c r="H1326" s="41" t="str">
        <f t="shared" si="6"/>
        <v/>
      </c>
      <c r="I1326" t="str">
        <f t="shared" si="7"/>
        <v>Taylor Weis</v>
      </c>
      <c r="J1326" t="str">
        <f>VLOOKUP(I1326,'Manager Coding'!C:D,2,0)</f>
        <v>Tayski</v>
      </c>
      <c r="K1326" s="41" t="str">
        <f t="shared" si="8"/>
        <v/>
      </c>
      <c r="L1326">
        <f t="shared" si="9"/>
        <v>0</v>
      </c>
      <c r="M1326">
        <f t="shared" si="10"/>
        <v>0</v>
      </c>
      <c r="N1326" s="118" t="s">
        <v>2886</v>
      </c>
      <c r="O1326" s="119" t="s">
        <v>58</v>
      </c>
      <c r="P1326" s="247"/>
      <c r="Q1326" s="247"/>
      <c r="R1326" s="122" t="s">
        <v>54</v>
      </c>
      <c r="S1326" s="118" t="s">
        <v>2885</v>
      </c>
    </row>
    <row r="1327">
      <c r="A1327" s="32" t="str">
        <f t="shared" si="1"/>
        <v>2026HudspeathWeek 13</v>
      </c>
      <c r="B1327" s="32" t="str">
        <f t="shared" si="2"/>
        <v>2026KnardDawgWeek 13</v>
      </c>
      <c r="C1327" s="32" t="str">
        <f t="shared" si="3"/>
        <v>Week 13</v>
      </c>
      <c r="D1327" s="32">
        <v>2026.0</v>
      </c>
      <c r="E1327" t="str">
        <f t="shared" si="15"/>
        <v>13</v>
      </c>
      <c r="F1327" t="str">
        <f t="shared" si="5"/>
        <v>matt hudspeath</v>
      </c>
      <c r="G1327" s="40" t="str">
        <f>VLOOKUP(F1327,'Manager Coding'!C:D,2,0)</f>
        <v>Hudspeath</v>
      </c>
      <c r="H1327" s="41" t="str">
        <f t="shared" si="6"/>
        <v/>
      </c>
      <c r="I1327" t="str">
        <f t="shared" si="7"/>
        <v>Alex Kinniard, Jack Reilly</v>
      </c>
      <c r="J1327" t="str">
        <f>VLOOKUP(I1327,'Manager Coding'!C:D,2,0)</f>
        <v>KnardDawg</v>
      </c>
      <c r="K1327" s="41" t="str">
        <f t="shared" si="8"/>
        <v/>
      </c>
      <c r="L1327">
        <f t="shared" si="9"/>
        <v>0</v>
      </c>
      <c r="M1327">
        <f t="shared" si="10"/>
        <v>0</v>
      </c>
      <c r="N1327" s="85" t="s">
        <v>2888</v>
      </c>
      <c r="O1327" s="86" t="s">
        <v>64</v>
      </c>
      <c r="P1327" s="249"/>
      <c r="Q1327" s="249"/>
      <c r="R1327" s="89" t="s">
        <v>87</v>
      </c>
      <c r="S1327" s="85" t="s">
        <v>2887</v>
      </c>
    </row>
    <row r="1328">
      <c r="A1328" s="32" t="str">
        <f t="shared" si="1"/>
        <v>2026KnardDawgWeek 13</v>
      </c>
      <c r="B1328" s="32" t="str">
        <f t="shared" si="2"/>
        <v>2026EwertWeek 13</v>
      </c>
      <c r="C1328" s="32" t="str">
        <f t="shared" si="3"/>
        <v>Week 13</v>
      </c>
      <c r="D1328" s="32">
        <v>2026.0</v>
      </c>
      <c r="E1328" t="str">
        <f t="shared" si="15"/>
        <v>13</v>
      </c>
      <c r="F1328" t="str">
        <f t="shared" si="5"/>
        <v>Alex Kinniard, Jack Reilly</v>
      </c>
      <c r="G1328" s="40" t="str">
        <f>VLOOKUP(F1328,'Manager Coding'!C:D,2,0)</f>
        <v>KnardDawg</v>
      </c>
      <c r="H1328" s="41" t="str">
        <f t="shared" si="6"/>
        <v/>
      </c>
      <c r="I1328" t="str">
        <f t="shared" si="7"/>
        <v>Kyle Ewert, brad starck</v>
      </c>
      <c r="J1328" t="str">
        <f>VLOOKUP(I1328,'Manager Coding'!C:D,2,0)</f>
        <v>Ewert</v>
      </c>
      <c r="K1328" s="41" t="str">
        <f t="shared" si="8"/>
        <v/>
      </c>
      <c r="L1328">
        <f t="shared" si="9"/>
        <v>0</v>
      </c>
      <c r="M1328">
        <f t="shared" si="10"/>
        <v>0</v>
      </c>
      <c r="N1328" s="246" t="s">
        <v>1773</v>
      </c>
      <c r="O1328" s="119" t="s">
        <v>87</v>
      </c>
      <c r="P1328" s="247"/>
      <c r="Q1328" s="247"/>
      <c r="R1328" s="122" t="s">
        <v>105</v>
      </c>
      <c r="S1328" s="118" t="s">
        <v>2894</v>
      </c>
    </row>
    <row r="1329">
      <c r="A1329" s="32" t="str">
        <f t="shared" si="1"/>
        <v>#N/A</v>
      </c>
      <c r="B1329" s="32" t="str">
        <f t="shared" si="2"/>
        <v>#N/A</v>
      </c>
      <c r="C1329" s="32" t="str">
        <f t="shared" si="3"/>
        <v>Week 14</v>
      </c>
      <c r="D1329" s="32">
        <v>2026.0</v>
      </c>
      <c r="E1329" t="str">
        <f t="shared" si="15"/>
        <v>14</v>
      </c>
      <c r="F1329" t="str">
        <f t="shared" si="5"/>
        <v>TEAM MANAGER(S)</v>
      </c>
      <c r="G1329" s="40" t="str">
        <f>VLOOKUP(F1329,'Manager Coding'!C:D,2,0)</f>
        <v>#N/A</v>
      </c>
      <c r="H1329" s="41" t="str">
        <f t="shared" si="6"/>
        <v>Score</v>
      </c>
      <c r="I1329" t="str">
        <f t="shared" si="7"/>
        <v>TEAM MANAGER(S)</v>
      </c>
      <c r="J1329" t="str">
        <f>VLOOKUP(I1329,'Manager Coding'!C:D,2,0)</f>
        <v>#N/A</v>
      </c>
      <c r="K1329" s="41" t="str">
        <f t="shared" si="8"/>
        <v>Score</v>
      </c>
      <c r="L1329">
        <f t="shared" si="9"/>
        <v>0</v>
      </c>
      <c r="M1329">
        <f t="shared" si="10"/>
        <v>0</v>
      </c>
      <c r="N1329" s="221" t="s">
        <v>197</v>
      </c>
      <c r="O1329" s="221" t="s">
        <v>88</v>
      </c>
      <c r="P1329" s="222" t="s">
        <v>59</v>
      </c>
      <c r="Q1329" s="222" t="s">
        <v>59</v>
      </c>
      <c r="R1329" s="223" t="s">
        <v>88</v>
      </c>
      <c r="S1329" s="223" t="s">
        <v>101</v>
      </c>
    </row>
    <row r="1330">
      <c r="A1330" s="32" t="str">
        <f t="shared" si="1"/>
        <v>2026ShepWeek 14</v>
      </c>
      <c r="B1330" s="32" t="str">
        <f t="shared" si="2"/>
        <v>2026PiersonWeek 14</v>
      </c>
      <c r="C1330" s="32" t="str">
        <f t="shared" si="3"/>
        <v>Week 14</v>
      </c>
      <c r="D1330" s="32">
        <v>2026.0</v>
      </c>
      <c r="E1330" t="str">
        <f t="shared" si="15"/>
        <v>14</v>
      </c>
      <c r="F1330" t="str">
        <f t="shared" si="5"/>
        <v>Jordan Shepherd</v>
      </c>
      <c r="G1330" s="40" t="str">
        <f>VLOOKUP(F1330,'Manager Coding'!C:D,2,0)</f>
        <v>Shep</v>
      </c>
      <c r="H1330" s="41" t="str">
        <f t="shared" si="6"/>
        <v/>
      </c>
      <c r="I1330" t="str">
        <f t="shared" si="7"/>
        <v>Pierson Curtis</v>
      </c>
      <c r="J1330" t="str">
        <f>VLOOKUP(I1330,'Manager Coding'!C:D,2,0)</f>
        <v>Pierson</v>
      </c>
      <c r="K1330" s="41" t="str">
        <f t="shared" si="8"/>
        <v/>
      </c>
      <c r="L1330">
        <f t="shared" si="9"/>
        <v>0</v>
      </c>
      <c r="M1330">
        <f t="shared" si="10"/>
        <v>0</v>
      </c>
      <c r="N1330" s="118" t="s">
        <v>2880</v>
      </c>
      <c r="O1330" s="119" t="s">
        <v>91</v>
      </c>
      <c r="P1330" s="247"/>
      <c r="Q1330" s="247"/>
      <c r="R1330" s="122" t="s">
        <v>93</v>
      </c>
      <c r="S1330" s="118" t="s">
        <v>2878</v>
      </c>
    </row>
    <row r="1331">
      <c r="A1331" s="32" t="str">
        <f t="shared" si="1"/>
        <v>2026CockWeek 14</v>
      </c>
      <c r="B1331" s="32" t="str">
        <f t="shared" si="2"/>
        <v>2026T-HowWeek 14</v>
      </c>
      <c r="C1331" s="32" t="str">
        <f t="shared" si="3"/>
        <v>Week 14</v>
      </c>
      <c r="D1331" s="32">
        <v>2026.0</v>
      </c>
      <c r="E1331" t="str">
        <f t="shared" si="15"/>
        <v>14</v>
      </c>
      <c r="F1331" t="str">
        <f t="shared" si="5"/>
        <v>Chris Cochrane</v>
      </c>
      <c r="G1331" s="40" t="str">
        <f>VLOOKUP(F1331,'Manager Coding'!C:D,2,0)</f>
        <v>Cock</v>
      </c>
      <c r="H1331" s="41" t="str">
        <f t="shared" si="6"/>
        <v/>
      </c>
      <c r="I1331" t="str">
        <f t="shared" si="7"/>
        <v>Tyler Howard</v>
      </c>
      <c r="J1331" t="str">
        <f>VLOOKUP(I1331,'Manager Coding'!C:D,2,0)</f>
        <v>T-How</v>
      </c>
      <c r="K1331" s="41" t="str">
        <f t="shared" si="8"/>
        <v/>
      </c>
      <c r="L1331">
        <f t="shared" si="9"/>
        <v>0</v>
      </c>
      <c r="M1331">
        <f t="shared" si="10"/>
        <v>0</v>
      </c>
      <c r="N1331" s="123" t="s">
        <v>2877</v>
      </c>
      <c r="O1331" s="124" t="s">
        <v>99</v>
      </c>
      <c r="P1331" s="248"/>
      <c r="Q1331" s="248"/>
      <c r="R1331" s="125" t="s">
        <v>85</v>
      </c>
      <c r="S1331" s="123" t="s">
        <v>2882</v>
      </c>
    </row>
    <row r="1332">
      <c r="A1332" s="32" t="str">
        <f t="shared" si="1"/>
        <v>2026RileyWeek 14</v>
      </c>
      <c r="B1332" s="32" t="str">
        <f t="shared" si="2"/>
        <v>2026EwertWeek 14</v>
      </c>
      <c r="C1332" s="32" t="str">
        <f t="shared" si="3"/>
        <v>Week 14</v>
      </c>
      <c r="D1332" s="32">
        <v>2026.0</v>
      </c>
      <c r="E1332" t="str">
        <f t="shared" si="15"/>
        <v>14</v>
      </c>
      <c r="F1332" t="str">
        <f t="shared" si="5"/>
        <v>Riley McElwain</v>
      </c>
      <c r="G1332" s="40" t="str">
        <f>VLOOKUP(F1332,'Manager Coding'!C:D,2,0)</f>
        <v>Riley</v>
      </c>
      <c r="H1332" s="41" t="str">
        <f t="shared" si="6"/>
        <v/>
      </c>
      <c r="I1332" t="str">
        <f t="shared" si="7"/>
        <v>Kyle Ewert, brad starck</v>
      </c>
      <c r="J1332" t="str">
        <f>VLOOKUP(I1332,'Manager Coding'!C:D,2,0)</f>
        <v>Ewert</v>
      </c>
      <c r="K1332" s="41" t="str">
        <f t="shared" si="8"/>
        <v/>
      </c>
      <c r="L1332">
        <f t="shared" si="9"/>
        <v>0</v>
      </c>
      <c r="M1332">
        <f t="shared" si="10"/>
        <v>0</v>
      </c>
      <c r="N1332" s="118" t="s">
        <v>2879</v>
      </c>
      <c r="O1332" s="119" t="s">
        <v>68</v>
      </c>
      <c r="P1332" s="247"/>
      <c r="Q1332" s="247"/>
      <c r="R1332" s="122" t="s">
        <v>105</v>
      </c>
      <c r="S1332" s="118" t="s">
        <v>2884</v>
      </c>
    </row>
    <row r="1333">
      <c r="A1333" s="32" t="str">
        <f t="shared" si="1"/>
        <v>2026SaltyWeek 14</v>
      </c>
      <c r="B1333" s="32" t="str">
        <f t="shared" si="2"/>
        <v>2026Rooney/JacksonWeek 14</v>
      </c>
      <c r="C1333" s="32" t="str">
        <f t="shared" si="3"/>
        <v>Week 14</v>
      </c>
      <c r="D1333" s="32">
        <v>2026.0</v>
      </c>
      <c r="E1333" t="str">
        <f t="shared" si="15"/>
        <v>14</v>
      </c>
      <c r="F1333" t="str">
        <f t="shared" si="5"/>
        <v>R Saltiel</v>
      </c>
      <c r="G1333" s="40" t="str">
        <f>VLOOKUP(F1333,'Manager Coding'!C:D,2,0)</f>
        <v>Salty</v>
      </c>
      <c r="H1333" s="41" t="str">
        <f t="shared" si="6"/>
        <v/>
      </c>
      <c r="I1333" t="str">
        <f t="shared" si="7"/>
        <v>Stephen Rooney, Jackson Sattell</v>
      </c>
      <c r="J1333" t="str">
        <f>VLOOKUP(I1333,'Manager Coding'!C:D,2,0)</f>
        <v>Rooney/Jackson</v>
      </c>
      <c r="K1333" s="41" t="str">
        <f t="shared" si="8"/>
        <v/>
      </c>
      <c r="L1333">
        <f t="shared" si="9"/>
        <v>0</v>
      </c>
      <c r="M1333">
        <f t="shared" si="10"/>
        <v>0</v>
      </c>
      <c r="N1333" s="123" t="s">
        <v>2881</v>
      </c>
      <c r="O1333" s="124" t="s">
        <v>77</v>
      </c>
      <c r="P1333" s="248"/>
      <c r="Q1333" s="248"/>
      <c r="R1333" s="125" t="s">
        <v>58</v>
      </c>
      <c r="S1333" s="123" t="s">
        <v>2886</v>
      </c>
    </row>
    <row r="1334">
      <c r="A1334" s="32" t="str">
        <f t="shared" si="1"/>
        <v>2026BuserWeek 14</v>
      </c>
      <c r="B1334" s="32" t="str">
        <f t="shared" si="2"/>
        <v>2026HudspeathWeek 14</v>
      </c>
      <c r="C1334" s="32" t="str">
        <f t="shared" si="3"/>
        <v>Week 14</v>
      </c>
      <c r="D1334" s="32">
        <v>2026.0</v>
      </c>
      <c r="E1334" t="str">
        <f t="shared" si="15"/>
        <v>14</v>
      </c>
      <c r="F1334" t="str">
        <f t="shared" si="5"/>
        <v>Ed Buser</v>
      </c>
      <c r="G1334" s="40" t="str">
        <f>VLOOKUP(F1334,'Manager Coding'!C:D,2,0)</f>
        <v>Buser</v>
      </c>
      <c r="H1334" s="41" t="str">
        <f t="shared" si="6"/>
        <v/>
      </c>
      <c r="I1334" t="str">
        <f t="shared" si="7"/>
        <v>matt hudspeath</v>
      </c>
      <c r="J1334" t="str">
        <f>VLOOKUP(I1334,'Manager Coding'!C:D,2,0)</f>
        <v>Hudspeath</v>
      </c>
      <c r="K1334" s="41" t="str">
        <f t="shared" si="8"/>
        <v/>
      </c>
      <c r="L1334">
        <f t="shared" si="9"/>
        <v>0</v>
      </c>
      <c r="M1334">
        <f t="shared" si="10"/>
        <v>0</v>
      </c>
      <c r="N1334" s="118" t="s">
        <v>2883</v>
      </c>
      <c r="O1334" s="119" t="s">
        <v>50</v>
      </c>
      <c r="P1334" s="247"/>
      <c r="Q1334" s="247"/>
      <c r="R1334" s="122" t="s">
        <v>64</v>
      </c>
      <c r="S1334" s="118" t="s">
        <v>2888</v>
      </c>
    </row>
    <row r="1335">
      <c r="A1335" s="32" t="str">
        <f t="shared" si="1"/>
        <v>2026TayskiWeek 14</v>
      </c>
      <c r="B1335" s="32" t="str">
        <f t="shared" si="2"/>
        <v>2026KnardDawgWeek 14</v>
      </c>
      <c r="C1335" s="32" t="str">
        <f t="shared" si="3"/>
        <v>Week 14</v>
      </c>
      <c r="D1335" s="32">
        <v>2026.0</v>
      </c>
      <c r="E1335" t="str">
        <f t="shared" si="15"/>
        <v>14</v>
      </c>
      <c r="F1335" t="str">
        <f t="shared" si="5"/>
        <v>Taylor Weis</v>
      </c>
      <c r="G1335" s="40" t="str">
        <f>VLOOKUP(F1335,'Manager Coding'!C:D,2,0)</f>
        <v>Tayski</v>
      </c>
      <c r="H1335" s="41" t="str">
        <f t="shared" si="6"/>
        <v/>
      </c>
      <c r="I1335" t="str">
        <f t="shared" si="7"/>
        <v>Alex Kinniard, Jack Reilly</v>
      </c>
      <c r="J1335" t="str">
        <f>VLOOKUP(I1335,'Manager Coding'!C:D,2,0)</f>
        <v>KnardDawg</v>
      </c>
      <c r="K1335" s="41" t="str">
        <f t="shared" si="8"/>
        <v/>
      </c>
      <c r="L1335">
        <f t="shared" si="9"/>
        <v>0</v>
      </c>
      <c r="M1335">
        <f t="shared" si="10"/>
        <v>0</v>
      </c>
      <c r="N1335" s="85" t="s">
        <v>2885</v>
      </c>
      <c r="O1335" s="86" t="s">
        <v>54</v>
      </c>
      <c r="P1335" s="249"/>
      <c r="Q1335" s="249"/>
      <c r="R1335" s="89" t="s">
        <v>87</v>
      </c>
      <c r="S1335" s="85" t="s">
        <v>2887</v>
      </c>
    </row>
    <row r="1336">
      <c r="A1336" s="32" t="str">
        <f t="shared" si="1"/>
        <v>2026EwertWeek 14</v>
      </c>
      <c r="B1336" s="32" t="str">
        <f t="shared" si="2"/>
        <v>2026BuserWeek 14</v>
      </c>
      <c r="C1336" s="32" t="str">
        <f t="shared" si="3"/>
        <v>Week 14</v>
      </c>
      <c r="D1336" s="32">
        <v>2026.0</v>
      </c>
      <c r="E1336" t="str">
        <f t="shared" si="15"/>
        <v>14</v>
      </c>
      <c r="F1336" t="str">
        <f t="shared" si="5"/>
        <v>Kyle Ewert, brad starck</v>
      </c>
      <c r="G1336" s="40" t="str">
        <f>VLOOKUP(F1336,'Manager Coding'!C:D,2,0)</f>
        <v>Ewert</v>
      </c>
      <c r="H1336" s="41" t="str">
        <f t="shared" si="6"/>
        <v/>
      </c>
      <c r="I1336" t="str">
        <f t="shared" si="7"/>
        <v>Ed Buser</v>
      </c>
      <c r="J1336" t="str">
        <f>VLOOKUP(I1336,'Manager Coding'!C:D,2,0)</f>
        <v>Buser</v>
      </c>
      <c r="K1336" s="41" t="str">
        <f t="shared" si="8"/>
        <v/>
      </c>
      <c r="L1336">
        <f t="shared" si="9"/>
        <v>0</v>
      </c>
      <c r="M1336">
        <f t="shared" si="10"/>
        <v>0</v>
      </c>
      <c r="N1336" s="123" t="s">
        <v>2894</v>
      </c>
      <c r="O1336" s="124" t="s">
        <v>105</v>
      </c>
      <c r="P1336" s="248"/>
      <c r="Q1336" s="248"/>
      <c r="R1336" s="125" t="s">
        <v>50</v>
      </c>
      <c r="S1336" s="123" t="s">
        <v>2895</v>
      </c>
    </row>
    <row r="1337">
      <c r="A1337" s="32" t="str">
        <f t="shared" si="1"/>
        <v>2026Rooney/JacksonWeek 14</v>
      </c>
      <c r="B1337" s="32" t="str">
        <f t="shared" si="2"/>
        <v>2026TayskiWeek 14</v>
      </c>
      <c r="C1337" s="32" t="str">
        <f t="shared" si="3"/>
        <v>Week 14</v>
      </c>
      <c r="D1337" s="32">
        <v>2026.0</v>
      </c>
      <c r="E1337" t="str">
        <f t="shared" si="15"/>
        <v>14</v>
      </c>
      <c r="F1337" t="str">
        <f t="shared" si="5"/>
        <v>Stephen Rooney, Jackson Sattell</v>
      </c>
      <c r="G1337" s="40" t="str">
        <f>VLOOKUP(F1337,'Manager Coding'!C:D,2,0)</f>
        <v>Rooney/Jackson</v>
      </c>
      <c r="H1337" s="41" t="str">
        <f t="shared" si="6"/>
        <v/>
      </c>
      <c r="I1337" t="str">
        <f t="shared" si="7"/>
        <v>Taylor Weis</v>
      </c>
      <c r="J1337" t="str">
        <f>VLOOKUP(I1337,'Manager Coding'!C:D,2,0)</f>
        <v>Tayski</v>
      </c>
      <c r="K1337" s="41" t="str">
        <f t="shared" si="8"/>
        <v/>
      </c>
      <c r="L1337">
        <f t="shared" si="9"/>
        <v>0</v>
      </c>
      <c r="M1337">
        <f t="shared" si="10"/>
        <v>0</v>
      </c>
      <c r="N1337" s="118" t="s">
        <v>2892</v>
      </c>
      <c r="O1337" s="119" t="s">
        <v>58</v>
      </c>
      <c r="P1337" s="247"/>
      <c r="Q1337" s="247"/>
      <c r="R1337" s="122" t="s">
        <v>54</v>
      </c>
      <c r="S1337" s="118" t="s">
        <v>2889</v>
      </c>
    </row>
    <row r="1338">
      <c r="A1338" s="32" t="str">
        <f t="shared" si="1"/>
        <v>#N/A</v>
      </c>
      <c r="B1338" s="32" t="str">
        <f t="shared" si="2"/>
        <v>#N/A</v>
      </c>
      <c r="C1338" s="32" t="str">
        <f t="shared" si="3"/>
        <v>Week 14</v>
      </c>
      <c r="D1338" s="32">
        <v>2026.0</v>
      </c>
      <c r="E1338" t="str">
        <f t="shared" si="15"/>
        <v>14</v>
      </c>
      <c r="F1338" t="str">
        <f t="shared" si="5"/>
        <v/>
      </c>
      <c r="G1338" s="40" t="str">
        <f>VLOOKUP(F1338,'Manager Coding'!C:D,2,0)</f>
        <v>#N/A</v>
      </c>
      <c r="H1338" s="41" t="str">
        <f t="shared" si="6"/>
        <v/>
      </c>
      <c r="I1338" t="str">
        <f t="shared" si="7"/>
        <v/>
      </c>
      <c r="J1338" t="str">
        <f>VLOOKUP(I1338,'Manager Coding'!C:D,2,0)</f>
        <v>#N/A</v>
      </c>
      <c r="K1338" s="41" t="str">
        <f t="shared" si="8"/>
        <v/>
      </c>
      <c r="L1338">
        <f t="shared" si="9"/>
        <v>0</v>
      </c>
      <c r="M1338">
        <f t="shared" si="10"/>
        <v>0</v>
      </c>
      <c r="N1338" s="85"/>
      <c r="O1338" s="86"/>
      <c r="P1338" s="249"/>
      <c r="Q1338" s="249"/>
      <c r="R1338" s="89"/>
      <c r="S1338" s="85"/>
    </row>
    <row r="1339">
      <c r="A1339" s="32" t="str">
        <f t="shared" si="1"/>
        <v>#N/A</v>
      </c>
      <c r="B1339" s="32" t="str">
        <f t="shared" si="2"/>
        <v>#N/A</v>
      </c>
      <c r="C1339" s="32" t="str">
        <f t="shared" si="3"/>
        <v>Week 14</v>
      </c>
      <c r="D1339" s="32">
        <v>2026.0</v>
      </c>
      <c r="E1339" t="str">
        <f t="shared" si="15"/>
        <v>14</v>
      </c>
      <c r="F1339" t="str">
        <f t="shared" si="5"/>
        <v/>
      </c>
      <c r="G1339" s="40" t="str">
        <f>VLOOKUP(F1339,'Manager Coding'!C:D,2,0)</f>
        <v>#N/A</v>
      </c>
      <c r="H1339" s="41" t="str">
        <f t="shared" si="6"/>
        <v/>
      </c>
      <c r="I1339" t="str">
        <f t="shared" si="7"/>
        <v/>
      </c>
      <c r="J1339" t="str">
        <f>VLOOKUP(I1339,'Manager Coding'!C:D,2,0)</f>
        <v>#N/A</v>
      </c>
      <c r="K1339" s="41" t="str">
        <f t="shared" si="8"/>
        <v/>
      </c>
      <c r="L1339">
        <f t="shared" si="9"/>
        <v>0</v>
      </c>
      <c r="M1339">
        <f t="shared" si="10"/>
        <v>0</v>
      </c>
      <c r="N1339" s="246"/>
      <c r="O1339" s="234"/>
      <c r="P1339" s="250"/>
      <c r="Q1339" s="251"/>
      <c r="R1339" s="236"/>
      <c r="S1339" s="233"/>
    </row>
    <row r="1340">
      <c r="A1340" s="32" t="str">
        <f t="shared" si="1"/>
        <v>#N/A</v>
      </c>
      <c r="B1340" s="32" t="str">
        <f t="shared" si="2"/>
        <v>#N/A</v>
      </c>
      <c r="C1340" s="32" t="str">
        <f t="shared" si="3"/>
        <v>Week 14</v>
      </c>
      <c r="D1340" s="32">
        <v>2026.0</v>
      </c>
      <c r="E1340" t="str">
        <f t="shared" si="15"/>
        <v>14</v>
      </c>
      <c r="F1340" t="str">
        <f t="shared" si="5"/>
        <v/>
      </c>
      <c r="G1340" s="40" t="str">
        <f>VLOOKUP(F1340,'Manager Coding'!C:D,2,0)</f>
        <v>#N/A</v>
      </c>
      <c r="H1340" s="41" t="str">
        <f t="shared" si="6"/>
        <v/>
      </c>
      <c r="I1340" t="str">
        <f t="shared" si="7"/>
        <v/>
      </c>
      <c r="J1340" t="str">
        <f>VLOOKUP(I1340,'Manager Coding'!C:D,2,0)</f>
        <v>#N/A</v>
      </c>
      <c r="K1340" s="41" t="str">
        <f t="shared" si="8"/>
        <v/>
      </c>
      <c r="L1340">
        <f t="shared" si="9"/>
        <v>0</v>
      </c>
      <c r="M1340">
        <f t="shared" si="10"/>
        <v>0</v>
      </c>
      <c r="N1340" s="252"/>
      <c r="O1340" s="132"/>
      <c r="P1340" s="219"/>
      <c r="Q1340" s="220"/>
      <c r="R1340" s="133"/>
      <c r="S1340" s="131"/>
    </row>
    <row r="1341">
      <c r="A1341" s="32" t="str">
        <f t="shared" si="1"/>
        <v>#N/A</v>
      </c>
      <c r="B1341" s="32" t="str">
        <f t="shared" si="2"/>
        <v>#N/A</v>
      </c>
      <c r="C1341" s="32" t="str">
        <f t="shared" si="3"/>
        <v>Week 14</v>
      </c>
      <c r="D1341" s="32">
        <v>2026.0</v>
      </c>
      <c r="E1341" t="str">
        <f t="shared" si="15"/>
        <v>14</v>
      </c>
      <c r="F1341" t="str">
        <f t="shared" si="5"/>
        <v/>
      </c>
      <c r="G1341" s="40" t="str">
        <f>VLOOKUP(F1341,'Manager Coding'!C:D,2,0)</f>
        <v>#N/A</v>
      </c>
      <c r="H1341" s="41" t="str">
        <f t="shared" si="6"/>
        <v/>
      </c>
      <c r="I1341" t="str">
        <f t="shared" si="7"/>
        <v/>
      </c>
      <c r="J1341" t="str">
        <f>VLOOKUP(I1341,'Manager Coding'!C:D,2,0)</f>
        <v>#N/A</v>
      </c>
      <c r="K1341" s="41" t="str">
        <f t="shared" si="8"/>
        <v/>
      </c>
      <c r="L1341">
        <f t="shared" si="9"/>
        <v>0</v>
      </c>
      <c r="M1341">
        <f t="shared" si="10"/>
        <v>0</v>
      </c>
      <c r="N1341" s="221"/>
      <c r="O1341" s="221"/>
      <c r="P1341" s="222"/>
      <c r="Q1341" s="222"/>
      <c r="R1341" s="223"/>
      <c r="S1341" s="223"/>
    </row>
    <row r="1342">
      <c r="A1342" s="32" t="str">
        <f t="shared" si="1"/>
        <v>#N/A</v>
      </c>
      <c r="B1342" s="32" t="str">
        <f t="shared" si="2"/>
        <v>#N/A</v>
      </c>
      <c r="C1342" s="32" t="str">
        <f t="shared" si="3"/>
        <v>Week 14</v>
      </c>
      <c r="D1342" s="32">
        <v>2026.0</v>
      </c>
      <c r="E1342" t="str">
        <f t="shared" si="15"/>
        <v>14</v>
      </c>
      <c r="F1342" t="str">
        <f t="shared" si="5"/>
        <v/>
      </c>
      <c r="G1342" s="40" t="str">
        <f>VLOOKUP(F1342,'Manager Coding'!C:D,2,0)</f>
        <v>#N/A</v>
      </c>
      <c r="H1342" s="41" t="str">
        <f t="shared" si="6"/>
        <v/>
      </c>
      <c r="I1342" t="str">
        <f t="shared" si="7"/>
        <v/>
      </c>
      <c r="J1342" t="str">
        <f>VLOOKUP(I1342,'Manager Coding'!C:D,2,0)</f>
        <v>#N/A</v>
      </c>
      <c r="K1342" s="41" t="str">
        <f t="shared" si="8"/>
        <v/>
      </c>
      <c r="L1342">
        <f t="shared" si="9"/>
        <v>0</v>
      </c>
      <c r="M1342">
        <f t="shared" si="10"/>
        <v>0</v>
      </c>
      <c r="N1342" s="118"/>
      <c r="O1342" s="119"/>
      <c r="P1342" s="247"/>
      <c r="Q1342" s="247"/>
      <c r="R1342" s="122"/>
      <c r="S1342" s="118"/>
    </row>
    <row r="1343">
      <c r="A1343" s="32" t="str">
        <f t="shared" si="1"/>
        <v>#N/A</v>
      </c>
      <c r="B1343" s="32" t="str">
        <f t="shared" si="2"/>
        <v>#N/A</v>
      </c>
      <c r="C1343" s="32" t="str">
        <f t="shared" si="3"/>
        <v>Week 14</v>
      </c>
      <c r="D1343" s="32">
        <v>2026.0</v>
      </c>
      <c r="E1343" t="str">
        <f t="shared" si="15"/>
        <v>14</v>
      </c>
      <c r="F1343" t="str">
        <f t="shared" si="5"/>
        <v/>
      </c>
      <c r="G1343" s="40" t="str">
        <f>VLOOKUP(F1343,'Manager Coding'!C:D,2,0)</f>
        <v>#N/A</v>
      </c>
      <c r="H1343" s="41" t="str">
        <f t="shared" si="6"/>
        <v/>
      </c>
      <c r="I1343" t="str">
        <f t="shared" si="7"/>
        <v/>
      </c>
      <c r="J1343" t="str">
        <f>VLOOKUP(I1343,'Manager Coding'!C:D,2,0)</f>
        <v>#N/A</v>
      </c>
      <c r="K1343" s="41" t="str">
        <f t="shared" si="8"/>
        <v/>
      </c>
      <c r="L1343">
        <f t="shared" si="9"/>
        <v>0</v>
      </c>
      <c r="M1343">
        <f t="shared" si="10"/>
        <v>0</v>
      </c>
      <c r="N1343" s="123"/>
      <c r="O1343" s="124"/>
      <c r="P1343" s="248"/>
      <c r="Q1343" s="248"/>
      <c r="R1343" s="125"/>
      <c r="S1343" s="123"/>
    </row>
    <row r="1344">
      <c r="A1344" s="32" t="str">
        <f t="shared" si="1"/>
        <v>#N/A</v>
      </c>
      <c r="B1344" s="32" t="str">
        <f t="shared" si="2"/>
        <v>#N/A</v>
      </c>
      <c r="C1344" s="32" t="str">
        <f t="shared" si="3"/>
        <v>Week 14</v>
      </c>
      <c r="D1344" s="32">
        <v>2026.0</v>
      </c>
      <c r="E1344" t="str">
        <f t="shared" si="15"/>
        <v>14</v>
      </c>
      <c r="F1344" t="str">
        <f t="shared" si="5"/>
        <v/>
      </c>
      <c r="G1344" s="40" t="str">
        <f>VLOOKUP(F1344,'Manager Coding'!C:D,2,0)</f>
        <v>#N/A</v>
      </c>
      <c r="H1344" s="41" t="str">
        <f t="shared" si="6"/>
        <v/>
      </c>
      <c r="I1344" t="str">
        <f t="shared" si="7"/>
        <v/>
      </c>
      <c r="J1344" t="str">
        <f>VLOOKUP(I1344,'Manager Coding'!C:D,2,0)</f>
        <v>#N/A</v>
      </c>
      <c r="K1344" s="41" t="str">
        <f t="shared" si="8"/>
        <v/>
      </c>
      <c r="L1344">
        <f t="shared" si="9"/>
        <v>0</v>
      </c>
      <c r="M1344">
        <f t="shared" si="10"/>
        <v>0</v>
      </c>
      <c r="N1344" s="118"/>
      <c r="O1344" s="119"/>
      <c r="P1344" s="247"/>
      <c r="Q1344" s="247"/>
      <c r="R1344" s="122"/>
      <c r="S1344" s="118"/>
    </row>
    <row r="1345">
      <c r="A1345" s="32" t="str">
        <f t="shared" si="1"/>
        <v>#N/A</v>
      </c>
      <c r="B1345" s="32" t="str">
        <f t="shared" si="2"/>
        <v>#N/A</v>
      </c>
      <c r="C1345" s="32" t="str">
        <f t="shared" si="3"/>
        <v>Week 14</v>
      </c>
      <c r="D1345" s="32">
        <v>2026.0</v>
      </c>
      <c r="E1345" t="str">
        <f t="shared" si="15"/>
        <v>14</v>
      </c>
      <c r="F1345" t="str">
        <f t="shared" si="5"/>
        <v/>
      </c>
      <c r="G1345" s="40" t="str">
        <f>VLOOKUP(F1345,'Manager Coding'!C:D,2,0)</f>
        <v>#N/A</v>
      </c>
      <c r="H1345" s="41" t="str">
        <f t="shared" si="6"/>
        <v/>
      </c>
      <c r="I1345" t="str">
        <f t="shared" si="7"/>
        <v/>
      </c>
      <c r="J1345" t="str">
        <f>VLOOKUP(I1345,'Manager Coding'!C:D,2,0)</f>
        <v>#N/A</v>
      </c>
      <c r="K1345" s="41" t="str">
        <f t="shared" si="8"/>
        <v/>
      </c>
      <c r="L1345">
        <f t="shared" si="9"/>
        <v>0</v>
      </c>
      <c r="M1345">
        <f t="shared" si="10"/>
        <v>0</v>
      </c>
      <c r="N1345" s="123"/>
      <c r="O1345" s="132"/>
      <c r="P1345" s="248"/>
      <c r="Q1345" s="248"/>
      <c r="R1345" s="125"/>
      <c r="S1345" s="123"/>
    </row>
    <row r="1346">
      <c r="A1346" s="32" t="str">
        <f t="shared" si="1"/>
        <v>#N/A</v>
      </c>
      <c r="B1346" s="32" t="str">
        <f t="shared" si="2"/>
        <v>#N/A</v>
      </c>
      <c r="C1346" s="32" t="str">
        <f t="shared" si="3"/>
        <v>Week 14</v>
      </c>
      <c r="D1346" s="32">
        <v>2026.0</v>
      </c>
      <c r="E1346" t="str">
        <f t="shared" si="15"/>
        <v>14</v>
      </c>
      <c r="F1346" t="str">
        <f t="shared" si="5"/>
        <v/>
      </c>
      <c r="G1346" s="40" t="str">
        <f>VLOOKUP(F1346,'Manager Coding'!C:D,2,0)</f>
        <v>#N/A</v>
      </c>
      <c r="H1346" s="41" t="str">
        <f t="shared" si="6"/>
        <v/>
      </c>
      <c r="I1346" t="str">
        <f t="shared" si="7"/>
        <v/>
      </c>
      <c r="J1346" t="str">
        <f>VLOOKUP(I1346,'Manager Coding'!C:D,2,0)</f>
        <v>#N/A</v>
      </c>
      <c r="K1346" s="41" t="str">
        <f t="shared" si="8"/>
        <v/>
      </c>
      <c r="L1346">
        <f t="shared" si="9"/>
        <v>0</v>
      </c>
      <c r="M1346">
        <f t="shared" si="10"/>
        <v>0</v>
      </c>
      <c r="N1346" s="118"/>
      <c r="O1346" s="119"/>
      <c r="P1346" s="247"/>
      <c r="Q1346" s="247"/>
      <c r="R1346" s="122"/>
      <c r="S1346" s="118"/>
    </row>
    <row r="1347">
      <c r="A1347" s="32" t="str">
        <f t="shared" si="1"/>
        <v>#N/A</v>
      </c>
      <c r="B1347" s="32" t="str">
        <f t="shared" si="2"/>
        <v>#N/A</v>
      </c>
      <c r="C1347" s="32" t="str">
        <f t="shared" si="3"/>
        <v>Week 14</v>
      </c>
      <c r="D1347" s="32">
        <v>2026.0</v>
      </c>
      <c r="E1347" t="str">
        <f t="shared" si="15"/>
        <v>14</v>
      </c>
      <c r="F1347" t="str">
        <f t="shared" si="5"/>
        <v/>
      </c>
      <c r="G1347" s="40" t="str">
        <f>VLOOKUP(F1347,'Manager Coding'!C:D,2,0)</f>
        <v>#N/A</v>
      </c>
      <c r="H1347" s="41" t="str">
        <f t="shared" si="6"/>
        <v/>
      </c>
      <c r="I1347" t="str">
        <f t="shared" si="7"/>
        <v/>
      </c>
      <c r="J1347" t="str">
        <f>VLOOKUP(I1347,'Manager Coding'!C:D,2,0)</f>
        <v>#N/A</v>
      </c>
      <c r="K1347" s="41" t="str">
        <f t="shared" si="8"/>
        <v/>
      </c>
      <c r="L1347">
        <f t="shared" si="9"/>
        <v>0</v>
      </c>
      <c r="M1347">
        <f t="shared" si="10"/>
        <v>0</v>
      </c>
      <c r="N1347" s="85"/>
      <c r="O1347" s="86"/>
      <c r="P1347" s="249"/>
      <c r="Q1347" s="249"/>
      <c r="R1347" s="89"/>
      <c r="S1347" s="85"/>
    </row>
    <row r="1348" hidden="1">
      <c r="A1348" s="32"/>
      <c r="B1348" s="32"/>
      <c r="C1348" s="32"/>
      <c r="D1348" s="32"/>
      <c r="G1348" s="40"/>
      <c r="H1348" s="41"/>
      <c r="K1348" s="41"/>
      <c r="N1348" s="253"/>
      <c r="O1348" s="254"/>
      <c r="P1348" s="255"/>
      <c r="Q1348" s="255"/>
      <c r="R1348" s="254"/>
      <c r="S1348" s="254"/>
    </row>
    <row r="1349" hidden="1">
      <c r="A1349" s="32"/>
      <c r="B1349" s="32"/>
      <c r="C1349" s="32"/>
      <c r="D1349" s="32"/>
      <c r="G1349" s="40"/>
      <c r="H1349" s="41"/>
      <c r="K1349" s="41"/>
      <c r="N1349" s="256"/>
      <c r="O1349" s="165"/>
      <c r="P1349" s="164"/>
      <c r="Q1349" s="164"/>
      <c r="R1349" s="165"/>
      <c r="S1349" s="165"/>
    </row>
    <row r="1350" hidden="1">
      <c r="A1350" s="32"/>
      <c r="B1350" s="32"/>
      <c r="C1350" s="32"/>
      <c r="D1350" s="32"/>
      <c r="G1350" s="40"/>
      <c r="H1350" s="41"/>
      <c r="K1350" s="41"/>
      <c r="N1350" s="256"/>
      <c r="O1350" s="165"/>
      <c r="P1350" s="164"/>
      <c r="Q1350" s="164"/>
      <c r="R1350" s="165"/>
      <c r="S1350" s="165"/>
    </row>
    <row r="1351" hidden="1">
      <c r="A1351" s="32"/>
      <c r="B1351" s="32"/>
      <c r="C1351" s="32"/>
      <c r="D1351" s="32"/>
      <c r="G1351" s="40"/>
      <c r="H1351" s="41"/>
      <c r="K1351" s="41"/>
      <c r="N1351" s="256"/>
      <c r="O1351" s="165"/>
      <c r="P1351" s="164"/>
      <c r="Q1351" s="164"/>
      <c r="R1351" s="165"/>
      <c r="S1351" s="165"/>
    </row>
    <row r="1352" hidden="1">
      <c r="A1352" s="32"/>
      <c r="B1352" s="32"/>
      <c r="C1352" s="32"/>
      <c r="D1352" s="32"/>
      <c r="G1352" s="40"/>
      <c r="H1352" s="41"/>
      <c r="K1352" s="41"/>
      <c r="N1352" s="256"/>
      <c r="O1352" s="165"/>
      <c r="P1352" s="164"/>
      <c r="Q1352" s="164"/>
      <c r="R1352" s="165"/>
      <c r="S1352" s="165"/>
    </row>
    <row r="1353" hidden="1">
      <c r="A1353" s="32"/>
      <c r="B1353" s="32"/>
      <c r="C1353" s="32"/>
      <c r="D1353" s="32"/>
      <c r="G1353" s="40"/>
      <c r="H1353" s="41"/>
      <c r="K1353" s="41"/>
      <c r="N1353" s="256"/>
      <c r="O1353" s="165"/>
      <c r="P1353" s="164"/>
      <c r="Q1353" s="164"/>
      <c r="R1353" s="165"/>
      <c r="S1353" s="165"/>
    </row>
    <row r="1354" hidden="1">
      <c r="A1354" s="32"/>
      <c r="B1354" s="32"/>
      <c r="C1354" s="32"/>
      <c r="D1354" s="32"/>
      <c r="G1354" s="40"/>
      <c r="H1354" s="41"/>
      <c r="K1354" s="41"/>
      <c r="N1354" s="156"/>
      <c r="P1354" s="41"/>
      <c r="Q1354" s="41"/>
    </row>
    <row r="1355" hidden="1">
      <c r="A1355" s="32"/>
      <c r="B1355" s="32"/>
      <c r="C1355" s="32"/>
      <c r="D1355" s="32"/>
      <c r="G1355" s="40"/>
      <c r="H1355" s="41"/>
      <c r="K1355" s="41"/>
      <c r="N1355" s="156"/>
      <c r="P1355" s="41"/>
      <c r="Q1355" s="41"/>
    </row>
    <row r="1356" hidden="1">
      <c r="A1356" s="32"/>
      <c r="B1356" s="32"/>
      <c r="C1356" s="32"/>
      <c r="D1356" s="32"/>
      <c r="G1356" s="40"/>
      <c r="H1356" s="41"/>
      <c r="K1356" s="41"/>
      <c r="N1356" s="156"/>
      <c r="P1356" s="41"/>
      <c r="Q1356" s="41"/>
    </row>
    <row r="1357" hidden="1">
      <c r="A1357" s="32"/>
      <c r="B1357" s="32"/>
      <c r="C1357" s="32"/>
      <c r="D1357" s="32"/>
      <c r="G1357" s="40"/>
      <c r="H1357" s="41"/>
      <c r="K1357" s="41"/>
      <c r="N1357" s="253"/>
      <c r="O1357" s="254"/>
      <c r="P1357" s="255"/>
      <c r="Q1357" s="255"/>
      <c r="R1357" s="254"/>
      <c r="S1357" s="254"/>
    </row>
    <row r="1358" hidden="1">
      <c r="A1358" s="32"/>
      <c r="B1358" s="32"/>
      <c r="C1358" s="32"/>
      <c r="D1358" s="32"/>
      <c r="G1358" s="40"/>
      <c r="H1358" s="41"/>
      <c r="K1358" s="41"/>
      <c r="N1358" s="256"/>
      <c r="O1358" s="165"/>
      <c r="P1358" s="164"/>
      <c r="Q1358" s="164"/>
      <c r="R1358" s="165"/>
      <c r="S1358" s="165"/>
    </row>
    <row r="1359" hidden="1">
      <c r="A1359" s="32"/>
      <c r="B1359" s="32"/>
      <c r="C1359" s="32"/>
      <c r="D1359" s="32"/>
      <c r="G1359" s="40"/>
      <c r="H1359" s="41"/>
      <c r="K1359" s="41"/>
      <c r="N1359" s="256"/>
      <c r="O1359" s="165"/>
      <c r="P1359" s="164"/>
      <c r="Q1359" s="164"/>
      <c r="R1359" s="165"/>
      <c r="S1359" s="165"/>
    </row>
    <row r="1360" hidden="1">
      <c r="A1360" s="32"/>
      <c r="B1360" s="32"/>
      <c r="C1360" s="32"/>
      <c r="D1360" s="32"/>
      <c r="G1360" s="40"/>
      <c r="H1360" s="41"/>
      <c r="K1360" s="41"/>
      <c r="N1360" s="256"/>
      <c r="O1360" s="165"/>
      <c r="P1360" s="164"/>
      <c r="Q1360" s="164"/>
      <c r="R1360" s="165"/>
      <c r="S1360" s="165"/>
    </row>
    <row r="1361" hidden="1">
      <c r="A1361" s="32"/>
      <c r="B1361" s="32"/>
      <c r="C1361" s="32"/>
      <c r="D1361" s="32"/>
      <c r="G1361" s="40"/>
      <c r="H1361" s="41"/>
      <c r="K1361" s="41"/>
      <c r="N1361" s="256"/>
      <c r="O1361" s="165"/>
      <c r="P1361" s="164"/>
      <c r="Q1361" s="164"/>
      <c r="R1361" s="165"/>
      <c r="S1361" s="165"/>
    </row>
    <row r="1362" hidden="1">
      <c r="A1362" s="32"/>
      <c r="B1362" s="32"/>
      <c r="C1362" s="32"/>
      <c r="D1362" s="32"/>
      <c r="G1362" s="40"/>
      <c r="H1362" s="41"/>
      <c r="K1362" s="41"/>
      <c r="N1362" s="256"/>
      <c r="O1362" s="165"/>
      <c r="P1362" s="164"/>
      <c r="Q1362" s="164"/>
      <c r="R1362" s="165"/>
      <c r="S1362" s="165"/>
    </row>
    <row r="1363" hidden="1">
      <c r="A1363" s="32"/>
      <c r="B1363" s="32"/>
      <c r="C1363" s="32"/>
      <c r="D1363" s="32"/>
      <c r="G1363" s="40"/>
      <c r="H1363" s="41"/>
      <c r="K1363" s="41"/>
      <c r="N1363" s="257"/>
      <c r="P1363" s="41"/>
      <c r="Q1363" s="41"/>
    </row>
    <row r="1364" hidden="1">
      <c r="A1364" s="32"/>
      <c r="B1364" s="32"/>
      <c r="C1364" s="32"/>
      <c r="D1364" s="32"/>
      <c r="G1364" s="40"/>
      <c r="H1364" s="41"/>
      <c r="K1364" s="41"/>
      <c r="N1364" s="156"/>
      <c r="P1364" s="41"/>
      <c r="Q1364" s="41"/>
    </row>
    <row r="1365" hidden="1">
      <c r="A1365" s="32"/>
      <c r="B1365" s="32"/>
      <c r="C1365" s="32"/>
      <c r="D1365" s="32"/>
      <c r="G1365" s="40"/>
      <c r="H1365" s="41"/>
      <c r="K1365" s="41"/>
      <c r="N1365" s="156"/>
      <c r="P1365" s="41"/>
      <c r="Q1365" s="41"/>
    </row>
    <row r="1366" hidden="1">
      <c r="A1366" s="32"/>
      <c r="B1366" s="32"/>
      <c r="C1366" s="32"/>
      <c r="D1366" s="32"/>
      <c r="G1366" s="40"/>
      <c r="H1366" s="41"/>
      <c r="K1366" s="41"/>
      <c r="N1366" s="253"/>
      <c r="O1366" s="254"/>
      <c r="P1366" s="255"/>
      <c r="Q1366" s="255"/>
      <c r="R1366" s="254"/>
      <c r="S1366" s="254"/>
    </row>
    <row r="1367" hidden="1">
      <c r="A1367" s="32"/>
      <c r="B1367" s="32"/>
      <c r="C1367" s="32"/>
      <c r="D1367" s="32"/>
      <c r="G1367" s="40"/>
      <c r="H1367" s="41"/>
      <c r="K1367" s="41"/>
      <c r="N1367" s="256"/>
      <c r="O1367" s="165"/>
      <c r="P1367" s="164"/>
      <c r="Q1367" s="164"/>
      <c r="R1367" s="165"/>
      <c r="S1367" s="165"/>
    </row>
    <row r="1368" hidden="1">
      <c r="A1368" s="32"/>
      <c r="B1368" s="32"/>
      <c r="C1368" s="32"/>
      <c r="D1368" s="32"/>
      <c r="G1368" s="40"/>
      <c r="H1368" s="41"/>
      <c r="K1368" s="41"/>
      <c r="N1368" s="258"/>
      <c r="O1368" s="165"/>
      <c r="P1368" s="164"/>
      <c r="Q1368" s="164"/>
      <c r="R1368" s="165"/>
      <c r="S1368" s="165"/>
    </row>
    <row r="1369" hidden="1">
      <c r="A1369" s="32"/>
      <c r="B1369" s="32"/>
      <c r="C1369" s="32"/>
      <c r="D1369" s="32"/>
      <c r="G1369" s="40"/>
      <c r="H1369" s="41"/>
      <c r="K1369" s="41"/>
      <c r="N1369" s="256"/>
      <c r="O1369" s="165"/>
      <c r="P1369" s="164"/>
      <c r="Q1369" s="164"/>
      <c r="R1369" s="165"/>
      <c r="S1369" s="165"/>
    </row>
    <row r="1370" hidden="1">
      <c r="A1370" s="32"/>
      <c r="B1370" s="32"/>
      <c r="C1370" s="32"/>
      <c r="D1370" s="32"/>
      <c r="G1370" s="40"/>
      <c r="H1370" s="41"/>
      <c r="K1370" s="41"/>
      <c r="N1370" s="256"/>
      <c r="O1370" s="165"/>
      <c r="P1370" s="164"/>
      <c r="Q1370" s="164"/>
      <c r="R1370" s="165"/>
      <c r="S1370" s="165"/>
    </row>
    <row r="1371" hidden="1">
      <c r="A1371" s="32"/>
      <c r="B1371" s="32"/>
      <c r="C1371" s="32"/>
      <c r="D1371" s="32"/>
      <c r="G1371" s="40"/>
      <c r="H1371" s="41"/>
      <c r="K1371" s="41"/>
      <c r="N1371" s="258"/>
      <c r="O1371" s="165"/>
      <c r="P1371" s="164"/>
      <c r="Q1371" s="164"/>
      <c r="R1371" s="165"/>
      <c r="S1371" s="165"/>
    </row>
    <row r="1372" hidden="1">
      <c r="A1372" s="32"/>
      <c r="B1372" s="32"/>
      <c r="C1372" s="32"/>
      <c r="D1372" s="32"/>
      <c r="G1372" s="40"/>
      <c r="H1372" s="41"/>
      <c r="K1372" s="41"/>
      <c r="N1372" s="156"/>
      <c r="P1372" s="41"/>
      <c r="Q1372" s="41"/>
    </row>
    <row r="1373" hidden="1">
      <c r="A1373" s="32"/>
      <c r="B1373" s="32"/>
      <c r="C1373" s="32"/>
      <c r="D1373" s="32"/>
      <c r="G1373" s="40"/>
      <c r="H1373" s="41"/>
      <c r="K1373" s="41"/>
      <c r="N1373" s="156"/>
      <c r="P1373" s="41"/>
      <c r="Q1373" s="41"/>
    </row>
    <row r="1374" hidden="1">
      <c r="A1374" s="32"/>
      <c r="B1374" s="32"/>
      <c r="C1374" s="32"/>
      <c r="D1374" s="32"/>
      <c r="G1374" s="40"/>
      <c r="H1374" s="41"/>
      <c r="K1374" s="41"/>
      <c r="N1374" s="156"/>
      <c r="P1374" s="41"/>
      <c r="Q1374" s="41"/>
    </row>
    <row r="1375" hidden="1">
      <c r="A1375" s="32"/>
      <c r="B1375" s="32"/>
      <c r="C1375" s="32"/>
      <c r="D1375" s="32"/>
      <c r="G1375" s="40"/>
      <c r="H1375" s="41"/>
      <c r="K1375" s="41"/>
      <c r="N1375" s="253"/>
      <c r="O1375" s="254"/>
      <c r="P1375" s="255"/>
      <c r="Q1375" s="255"/>
      <c r="R1375" s="254"/>
      <c r="S1375" s="254"/>
    </row>
    <row r="1376" hidden="1">
      <c r="A1376" s="32"/>
      <c r="B1376" s="32"/>
      <c r="C1376" s="32"/>
      <c r="D1376" s="32"/>
      <c r="G1376" s="40"/>
      <c r="H1376" s="41"/>
      <c r="K1376" s="41"/>
      <c r="N1376" s="256"/>
      <c r="O1376" s="165"/>
      <c r="P1376" s="164"/>
      <c r="Q1376" s="164"/>
      <c r="R1376" s="165"/>
      <c r="S1376" s="165"/>
    </row>
    <row r="1377" hidden="1">
      <c r="A1377" s="32"/>
      <c r="B1377" s="32"/>
      <c r="C1377" s="32"/>
      <c r="D1377" s="32"/>
      <c r="G1377" s="40"/>
      <c r="H1377" s="41"/>
      <c r="K1377" s="41"/>
      <c r="N1377" s="256"/>
      <c r="O1377" s="165"/>
      <c r="P1377" s="164"/>
      <c r="Q1377" s="164"/>
      <c r="R1377" s="165"/>
      <c r="S1377" s="165"/>
    </row>
    <row r="1378" hidden="1">
      <c r="A1378" s="32"/>
      <c r="B1378" s="32"/>
      <c r="C1378" s="32"/>
      <c r="D1378" s="32"/>
      <c r="G1378" s="40"/>
      <c r="H1378" s="41"/>
      <c r="K1378" s="41"/>
      <c r="N1378" s="256"/>
      <c r="O1378" s="165"/>
      <c r="P1378" s="164"/>
      <c r="Q1378" s="164"/>
      <c r="R1378" s="165"/>
      <c r="S1378" s="165"/>
    </row>
    <row r="1379" hidden="1">
      <c r="A1379" s="32"/>
      <c r="B1379" s="32"/>
      <c r="C1379" s="32"/>
      <c r="D1379" s="32"/>
      <c r="G1379" s="40"/>
      <c r="H1379" s="41"/>
      <c r="K1379" s="41"/>
      <c r="N1379" s="256"/>
      <c r="O1379" s="165"/>
      <c r="P1379" s="164"/>
      <c r="Q1379" s="164"/>
      <c r="R1379" s="165"/>
      <c r="S1379" s="165"/>
    </row>
    <row r="1380" hidden="1">
      <c r="A1380" s="32"/>
      <c r="B1380" s="32"/>
      <c r="C1380" s="32"/>
      <c r="D1380" s="32"/>
      <c r="G1380" s="40"/>
      <c r="H1380" s="41"/>
      <c r="K1380" s="41"/>
      <c r="N1380" s="256"/>
      <c r="O1380" s="165"/>
      <c r="P1380" s="164"/>
      <c r="Q1380" s="164"/>
      <c r="R1380" s="165"/>
      <c r="S1380" s="165"/>
    </row>
    <row r="1381" hidden="1">
      <c r="A1381" s="32"/>
      <c r="B1381" s="32"/>
      <c r="C1381" s="32"/>
      <c r="D1381" s="32"/>
      <c r="G1381" s="40"/>
      <c r="H1381" s="41"/>
      <c r="K1381" s="41"/>
      <c r="N1381" s="156"/>
      <c r="P1381" s="41"/>
      <c r="Q1381" s="41"/>
    </row>
    <row r="1382" hidden="1">
      <c r="A1382" s="32"/>
      <c r="B1382" s="32"/>
      <c r="C1382" s="32"/>
      <c r="D1382" s="32"/>
      <c r="G1382" s="40"/>
      <c r="H1382" s="41"/>
      <c r="K1382" s="41"/>
      <c r="N1382" s="156"/>
      <c r="P1382" s="41"/>
      <c r="Q1382" s="41"/>
    </row>
    <row r="1383" hidden="1">
      <c r="A1383" s="32"/>
      <c r="B1383" s="32"/>
      <c r="C1383" s="32"/>
      <c r="D1383" s="32"/>
      <c r="G1383" s="40"/>
      <c r="H1383" s="41"/>
      <c r="K1383" s="41"/>
      <c r="N1383" s="156"/>
      <c r="P1383" s="41"/>
      <c r="Q1383" s="41"/>
    </row>
    <row r="1384" hidden="1">
      <c r="A1384" s="32"/>
      <c r="B1384" s="32"/>
      <c r="C1384" s="32"/>
      <c r="D1384" s="32"/>
      <c r="G1384" s="40"/>
      <c r="H1384" s="41"/>
      <c r="K1384" s="41"/>
      <c r="N1384" s="253"/>
      <c r="O1384" s="254"/>
      <c r="P1384" s="255"/>
      <c r="Q1384" s="255"/>
      <c r="R1384" s="254"/>
      <c r="S1384" s="254"/>
    </row>
    <row r="1385" hidden="1">
      <c r="A1385" s="32"/>
      <c r="B1385" s="32"/>
      <c r="C1385" s="32"/>
      <c r="D1385" s="32"/>
      <c r="G1385" s="40"/>
      <c r="H1385" s="41"/>
      <c r="K1385" s="41"/>
      <c r="N1385" s="256"/>
      <c r="O1385" s="165"/>
      <c r="P1385" s="164"/>
      <c r="Q1385" s="164"/>
      <c r="R1385" s="165"/>
      <c r="S1385" s="165"/>
    </row>
    <row r="1386" hidden="1">
      <c r="A1386" s="32"/>
      <c r="B1386" s="32"/>
      <c r="C1386" s="32"/>
      <c r="D1386" s="32"/>
      <c r="G1386" s="40"/>
      <c r="H1386" s="41"/>
      <c r="K1386" s="41"/>
      <c r="N1386" s="256"/>
      <c r="O1386" s="165"/>
      <c r="P1386" s="164"/>
      <c r="Q1386" s="164"/>
      <c r="R1386" s="165"/>
      <c r="S1386" s="165"/>
    </row>
    <row r="1387" hidden="1">
      <c r="A1387" s="32"/>
      <c r="B1387" s="32"/>
      <c r="C1387" s="32"/>
      <c r="D1387" s="32"/>
      <c r="G1387" s="40"/>
      <c r="H1387" s="41"/>
      <c r="K1387" s="41"/>
      <c r="N1387" s="256"/>
      <c r="O1387" s="165"/>
      <c r="P1387" s="164"/>
      <c r="Q1387" s="164"/>
      <c r="R1387" s="165"/>
      <c r="S1387" s="165"/>
    </row>
    <row r="1388" hidden="1">
      <c r="A1388" s="32"/>
      <c r="B1388" s="32"/>
      <c r="C1388" s="32"/>
      <c r="D1388" s="32"/>
      <c r="G1388" s="40"/>
      <c r="H1388" s="41"/>
      <c r="K1388" s="41"/>
      <c r="N1388" s="256"/>
      <c r="O1388" s="165"/>
      <c r="P1388" s="164"/>
      <c r="Q1388" s="164"/>
      <c r="R1388" s="165"/>
      <c r="S1388" s="165"/>
    </row>
    <row r="1389" hidden="1">
      <c r="A1389" s="32"/>
      <c r="B1389" s="32"/>
      <c r="C1389" s="32"/>
      <c r="D1389" s="32"/>
      <c r="G1389" s="40"/>
      <c r="H1389" s="41"/>
      <c r="K1389" s="41"/>
      <c r="N1389" s="256"/>
      <c r="O1389" s="165"/>
      <c r="P1389" s="164"/>
      <c r="Q1389" s="164"/>
      <c r="R1389" s="165"/>
      <c r="S1389" s="165"/>
    </row>
    <row r="1390" hidden="1">
      <c r="A1390" s="32"/>
      <c r="B1390" s="32"/>
      <c r="C1390" s="32"/>
      <c r="D1390" s="32"/>
      <c r="G1390" s="40"/>
      <c r="H1390" s="41"/>
      <c r="K1390" s="41"/>
      <c r="N1390" s="156"/>
      <c r="P1390" s="41"/>
      <c r="Q1390" s="41"/>
    </row>
    <row r="1391" hidden="1">
      <c r="A1391" s="32"/>
      <c r="B1391" s="32"/>
      <c r="C1391" s="32"/>
      <c r="D1391" s="32"/>
      <c r="G1391" s="40"/>
      <c r="H1391" s="41"/>
      <c r="K1391" s="41"/>
      <c r="N1391" s="156"/>
      <c r="P1391" s="41"/>
      <c r="Q1391" s="41"/>
    </row>
    <row r="1392" hidden="1">
      <c r="A1392" s="32"/>
      <c r="B1392" s="32"/>
      <c r="C1392" s="32"/>
      <c r="D1392" s="32"/>
      <c r="G1392" s="40"/>
      <c r="H1392" s="41"/>
      <c r="K1392" s="41"/>
      <c r="N1392" s="156"/>
      <c r="P1392" s="41"/>
      <c r="Q1392" s="41"/>
    </row>
    <row r="1393" hidden="1">
      <c r="A1393" s="32"/>
      <c r="B1393" s="32"/>
      <c r="C1393" s="32"/>
      <c r="D1393" s="32"/>
      <c r="G1393" s="40"/>
      <c r="H1393" s="41"/>
      <c r="K1393" s="41"/>
      <c r="N1393" s="253"/>
      <c r="O1393" s="254"/>
      <c r="P1393" s="255"/>
      <c r="Q1393" s="255"/>
      <c r="R1393" s="254"/>
      <c r="S1393" s="254"/>
    </row>
    <row r="1394" hidden="1">
      <c r="A1394" s="32"/>
      <c r="B1394" s="32"/>
      <c r="C1394" s="32"/>
      <c r="D1394" s="32"/>
      <c r="G1394" s="40"/>
      <c r="H1394" s="41"/>
      <c r="K1394" s="41"/>
      <c r="N1394" s="256"/>
      <c r="O1394" s="165"/>
      <c r="P1394" s="164"/>
      <c r="Q1394" s="164"/>
      <c r="R1394" s="165"/>
      <c r="S1394" s="165"/>
    </row>
    <row r="1395" hidden="1">
      <c r="A1395" s="32"/>
      <c r="B1395" s="32"/>
      <c r="C1395" s="32"/>
      <c r="D1395" s="32"/>
      <c r="G1395" s="40"/>
      <c r="H1395" s="41"/>
      <c r="K1395" s="41"/>
      <c r="N1395" s="256"/>
      <c r="O1395" s="165"/>
      <c r="P1395" s="164"/>
      <c r="Q1395" s="164"/>
      <c r="R1395" s="165"/>
      <c r="S1395" s="165"/>
    </row>
    <row r="1396" hidden="1">
      <c r="A1396" s="32"/>
      <c r="B1396" s="32"/>
      <c r="C1396" s="32"/>
      <c r="D1396" s="32"/>
      <c r="G1396" s="40"/>
      <c r="H1396" s="41"/>
      <c r="K1396" s="41"/>
      <c r="N1396" s="256"/>
      <c r="O1396" s="165"/>
      <c r="P1396" s="164"/>
      <c r="Q1396" s="164"/>
      <c r="R1396" s="165"/>
      <c r="S1396" s="165"/>
    </row>
    <row r="1397" hidden="1">
      <c r="A1397" s="32"/>
      <c r="B1397" s="32"/>
      <c r="C1397" s="32"/>
      <c r="D1397" s="32"/>
      <c r="G1397" s="40"/>
      <c r="H1397" s="41"/>
      <c r="K1397" s="41"/>
      <c r="N1397" s="256"/>
      <c r="O1397" s="165"/>
      <c r="P1397" s="164"/>
      <c r="Q1397" s="164"/>
      <c r="R1397" s="165"/>
      <c r="S1397" s="165"/>
    </row>
    <row r="1398" hidden="1">
      <c r="A1398" s="32"/>
      <c r="B1398" s="32"/>
      <c r="C1398" s="32"/>
      <c r="D1398" s="32"/>
      <c r="G1398" s="40"/>
      <c r="H1398" s="41"/>
      <c r="K1398" s="41"/>
      <c r="N1398" s="256"/>
      <c r="O1398" s="165"/>
      <c r="P1398" s="164"/>
      <c r="Q1398" s="164"/>
      <c r="R1398" s="165"/>
      <c r="S1398" s="165"/>
    </row>
    <row r="1399" hidden="1">
      <c r="A1399" s="32"/>
      <c r="B1399" s="32"/>
      <c r="C1399" s="32"/>
      <c r="D1399" s="32"/>
      <c r="G1399" s="40"/>
      <c r="H1399" s="41"/>
      <c r="K1399" s="41"/>
      <c r="N1399" s="156"/>
      <c r="P1399" s="41"/>
      <c r="Q1399" s="41"/>
    </row>
    <row r="1400" hidden="1">
      <c r="A1400" s="32"/>
      <c r="B1400" s="32"/>
      <c r="C1400" s="32"/>
      <c r="D1400" s="32"/>
      <c r="G1400" s="40"/>
      <c r="H1400" s="41"/>
      <c r="K1400" s="41"/>
      <c r="N1400" s="156"/>
      <c r="P1400" s="41"/>
      <c r="Q1400" s="41"/>
    </row>
    <row r="1401" hidden="1">
      <c r="A1401" s="32"/>
      <c r="B1401" s="32"/>
      <c r="C1401" s="32"/>
      <c r="D1401" s="32"/>
      <c r="G1401" s="40"/>
      <c r="H1401" s="41"/>
      <c r="K1401" s="41"/>
      <c r="N1401" s="156"/>
      <c r="P1401" s="41"/>
      <c r="Q1401" s="41"/>
    </row>
    <row r="1402" hidden="1">
      <c r="A1402" s="32"/>
      <c r="B1402" s="32"/>
      <c r="C1402" s="32"/>
      <c r="D1402" s="32"/>
      <c r="G1402" s="40"/>
      <c r="H1402" s="41"/>
      <c r="K1402" s="41"/>
      <c r="N1402" s="253"/>
      <c r="O1402" s="254"/>
      <c r="P1402" s="255"/>
      <c r="Q1402" s="255"/>
      <c r="R1402" s="254"/>
      <c r="S1402" s="254"/>
    </row>
    <row r="1403" hidden="1">
      <c r="A1403" s="32"/>
      <c r="B1403" s="32"/>
      <c r="C1403" s="32"/>
      <c r="D1403" s="32"/>
      <c r="G1403" s="40"/>
      <c r="H1403" s="41"/>
      <c r="K1403" s="41"/>
      <c r="N1403" s="256"/>
      <c r="O1403" s="165"/>
      <c r="P1403" s="164"/>
      <c r="Q1403" s="164"/>
      <c r="R1403" s="165"/>
      <c r="S1403" s="165"/>
    </row>
    <row r="1404" hidden="1">
      <c r="A1404" s="32"/>
      <c r="B1404" s="32"/>
      <c r="C1404" s="32"/>
      <c r="D1404" s="32"/>
      <c r="G1404" s="40"/>
      <c r="H1404" s="41"/>
      <c r="K1404" s="41"/>
      <c r="N1404" s="256"/>
      <c r="O1404" s="165"/>
      <c r="P1404" s="164"/>
      <c r="Q1404" s="164"/>
      <c r="R1404" s="165"/>
      <c r="S1404" s="165"/>
    </row>
    <row r="1405" hidden="1">
      <c r="A1405" s="32"/>
      <c r="B1405" s="32"/>
      <c r="C1405" s="32"/>
      <c r="D1405" s="32"/>
      <c r="G1405" s="40"/>
      <c r="H1405" s="41"/>
      <c r="K1405" s="41"/>
      <c r="N1405" s="256"/>
      <c r="O1405" s="165"/>
      <c r="P1405" s="164"/>
      <c r="Q1405" s="164"/>
      <c r="R1405" s="165"/>
      <c r="S1405" s="165"/>
    </row>
    <row r="1406" hidden="1">
      <c r="A1406" s="32"/>
      <c r="B1406" s="32"/>
      <c r="C1406" s="32"/>
      <c r="D1406" s="32"/>
      <c r="G1406" s="40"/>
      <c r="H1406" s="41"/>
      <c r="K1406" s="41"/>
      <c r="N1406" s="256"/>
      <c r="O1406" s="165"/>
      <c r="P1406" s="164"/>
      <c r="Q1406" s="164"/>
      <c r="R1406" s="165"/>
      <c r="S1406" s="165"/>
    </row>
    <row r="1407" hidden="1">
      <c r="A1407" s="32"/>
      <c r="B1407" s="32"/>
      <c r="C1407" s="32"/>
      <c r="D1407" s="32"/>
      <c r="G1407" s="40"/>
      <c r="H1407" s="41"/>
      <c r="K1407" s="41"/>
      <c r="N1407" s="258"/>
      <c r="O1407" s="165"/>
      <c r="P1407" s="164"/>
      <c r="Q1407" s="164"/>
      <c r="R1407" s="165"/>
      <c r="S1407" s="165"/>
    </row>
    <row r="1408" hidden="1">
      <c r="A1408" s="32"/>
      <c r="B1408" s="32"/>
      <c r="C1408" s="32"/>
      <c r="D1408" s="32"/>
      <c r="G1408" s="40"/>
      <c r="H1408" s="41"/>
      <c r="K1408" s="41"/>
      <c r="N1408" s="156"/>
      <c r="P1408" s="41"/>
      <c r="Q1408" s="41"/>
    </row>
    <row r="1409" hidden="1">
      <c r="A1409" s="32"/>
      <c r="B1409" s="32"/>
      <c r="C1409" s="32"/>
      <c r="D1409" s="32"/>
      <c r="G1409" s="40"/>
      <c r="H1409" s="41"/>
      <c r="K1409" s="41"/>
      <c r="N1409" s="156"/>
      <c r="P1409" s="41"/>
      <c r="Q1409" s="41"/>
    </row>
    <row r="1410" hidden="1">
      <c r="A1410" s="32"/>
      <c r="B1410" s="32"/>
      <c r="C1410" s="32"/>
      <c r="D1410" s="32"/>
      <c r="G1410" s="40"/>
      <c r="H1410" s="41"/>
      <c r="K1410" s="41"/>
      <c r="N1410" s="156"/>
      <c r="P1410" s="41"/>
      <c r="Q1410" s="41"/>
    </row>
    <row r="1411" hidden="1">
      <c r="A1411" s="32"/>
      <c r="B1411" s="32"/>
      <c r="C1411" s="32"/>
      <c r="D1411" s="32"/>
      <c r="G1411" s="40"/>
      <c r="H1411" s="41"/>
      <c r="K1411" s="41"/>
      <c r="N1411" s="253"/>
      <c r="O1411" s="254"/>
      <c r="P1411" s="255"/>
      <c r="Q1411" s="255"/>
      <c r="R1411" s="254"/>
      <c r="S1411" s="254"/>
    </row>
    <row r="1412" hidden="1">
      <c r="A1412" s="32"/>
      <c r="B1412" s="32"/>
      <c r="C1412" s="32"/>
      <c r="D1412" s="32"/>
      <c r="G1412" s="40"/>
      <c r="H1412" s="41"/>
      <c r="K1412" s="41"/>
      <c r="N1412" s="256"/>
      <c r="O1412" s="165"/>
      <c r="P1412" s="164"/>
      <c r="Q1412" s="164"/>
      <c r="R1412" s="165"/>
      <c r="S1412" s="165"/>
    </row>
    <row r="1413" hidden="1">
      <c r="A1413" s="32"/>
      <c r="B1413" s="32"/>
      <c r="C1413" s="32"/>
      <c r="D1413" s="32"/>
      <c r="G1413" s="40"/>
      <c r="H1413" s="41"/>
      <c r="K1413" s="41"/>
      <c r="N1413" s="256"/>
      <c r="O1413" s="165"/>
      <c r="P1413" s="164"/>
      <c r="Q1413" s="164"/>
      <c r="R1413" s="165"/>
      <c r="S1413" s="165"/>
    </row>
    <row r="1414" hidden="1">
      <c r="A1414" s="32"/>
      <c r="B1414" s="32"/>
      <c r="C1414" s="32"/>
      <c r="D1414" s="32"/>
      <c r="G1414" s="40"/>
      <c r="H1414" s="41"/>
      <c r="K1414" s="41"/>
      <c r="N1414" s="258"/>
      <c r="O1414" s="165"/>
      <c r="P1414" s="164"/>
      <c r="Q1414" s="164"/>
      <c r="R1414" s="165"/>
      <c r="S1414" s="165"/>
    </row>
    <row r="1415" hidden="1">
      <c r="A1415" s="32"/>
      <c r="B1415" s="32"/>
      <c r="C1415" s="32"/>
      <c r="D1415" s="32"/>
      <c r="G1415" s="40"/>
      <c r="H1415" s="41"/>
      <c r="K1415" s="41"/>
      <c r="N1415" s="256"/>
      <c r="O1415" s="165"/>
      <c r="P1415" s="164"/>
      <c r="Q1415" s="164"/>
      <c r="R1415" s="165"/>
      <c r="S1415" s="165"/>
    </row>
    <row r="1416" hidden="1">
      <c r="A1416" s="32"/>
      <c r="B1416" s="32"/>
      <c r="C1416" s="32"/>
      <c r="D1416" s="32"/>
      <c r="G1416" s="40"/>
      <c r="H1416" s="41"/>
      <c r="K1416" s="41"/>
      <c r="N1416" s="256"/>
      <c r="O1416" s="165"/>
      <c r="P1416" s="164"/>
      <c r="Q1416" s="164"/>
      <c r="R1416" s="165"/>
      <c r="S1416" s="165"/>
    </row>
    <row r="1417" hidden="1">
      <c r="A1417" s="32"/>
      <c r="B1417" s="32"/>
      <c r="C1417" s="32"/>
      <c r="D1417" s="32"/>
      <c r="G1417" s="40"/>
      <c r="H1417" s="41"/>
      <c r="K1417" s="41"/>
      <c r="N1417" s="257"/>
      <c r="P1417" s="41"/>
      <c r="Q1417" s="41"/>
    </row>
    <row r="1418" hidden="1">
      <c r="A1418" s="32"/>
      <c r="B1418" s="32"/>
      <c r="C1418" s="32"/>
      <c r="D1418" s="32"/>
      <c r="G1418" s="40"/>
      <c r="H1418" s="41"/>
      <c r="K1418" s="41"/>
      <c r="N1418" s="156"/>
      <c r="P1418" s="41"/>
      <c r="Q1418" s="41"/>
    </row>
    <row r="1419" hidden="1">
      <c r="A1419" s="32"/>
      <c r="B1419" s="32"/>
      <c r="C1419" s="32"/>
      <c r="D1419" s="32"/>
      <c r="G1419" s="40"/>
      <c r="H1419" s="41"/>
      <c r="K1419" s="41"/>
      <c r="N1419" s="156"/>
      <c r="P1419" s="41"/>
      <c r="Q1419" s="41"/>
    </row>
    <row r="1420" hidden="1">
      <c r="A1420" s="32"/>
      <c r="B1420" s="32"/>
      <c r="C1420" s="32"/>
      <c r="D1420" s="32"/>
      <c r="G1420" s="40"/>
      <c r="H1420" s="41"/>
      <c r="K1420" s="41"/>
      <c r="N1420" s="253"/>
      <c r="O1420" s="254"/>
      <c r="P1420" s="255"/>
      <c r="Q1420" s="255"/>
      <c r="R1420" s="254"/>
      <c r="S1420" s="254"/>
    </row>
    <row r="1421" hidden="1">
      <c r="A1421" s="32"/>
      <c r="B1421" s="32"/>
      <c r="C1421" s="32"/>
      <c r="D1421" s="32"/>
      <c r="G1421" s="40"/>
      <c r="H1421" s="41"/>
      <c r="K1421" s="41"/>
      <c r="N1421" s="256"/>
      <c r="O1421" s="165"/>
      <c r="P1421" s="164"/>
      <c r="Q1421" s="164"/>
      <c r="R1421" s="165"/>
      <c r="S1421" s="165"/>
    </row>
    <row r="1422" hidden="1">
      <c r="A1422" s="32"/>
      <c r="B1422" s="32"/>
      <c r="C1422" s="32"/>
      <c r="D1422" s="32"/>
      <c r="G1422" s="40"/>
      <c r="H1422" s="41"/>
      <c r="K1422" s="41"/>
      <c r="N1422" s="256"/>
      <c r="O1422" s="165"/>
      <c r="P1422" s="164"/>
      <c r="Q1422" s="164"/>
      <c r="R1422" s="165"/>
      <c r="S1422" s="165"/>
    </row>
    <row r="1423" hidden="1">
      <c r="A1423" s="32"/>
      <c r="B1423" s="32"/>
      <c r="C1423" s="32"/>
      <c r="D1423" s="32"/>
      <c r="G1423" s="40"/>
      <c r="H1423" s="41"/>
      <c r="K1423" s="41"/>
      <c r="N1423" s="256"/>
      <c r="O1423" s="165"/>
      <c r="P1423" s="164"/>
      <c r="Q1423" s="164"/>
      <c r="R1423" s="165"/>
      <c r="S1423" s="165"/>
    </row>
    <row r="1424" hidden="1">
      <c r="A1424" s="32"/>
      <c r="B1424" s="32"/>
      <c r="C1424" s="32"/>
      <c r="D1424" s="32"/>
      <c r="G1424" s="40"/>
      <c r="H1424" s="41"/>
      <c r="K1424" s="41"/>
      <c r="N1424" s="256"/>
      <c r="O1424" s="165"/>
      <c r="P1424" s="164"/>
      <c r="Q1424" s="164"/>
      <c r="R1424" s="165"/>
      <c r="S1424" s="165"/>
    </row>
    <row r="1425" hidden="1">
      <c r="A1425" s="32"/>
      <c r="B1425" s="32"/>
      <c r="C1425" s="32"/>
      <c r="D1425" s="32"/>
      <c r="G1425" s="40"/>
      <c r="H1425" s="41"/>
      <c r="K1425" s="41"/>
      <c r="N1425" s="256"/>
      <c r="O1425" s="165"/>
      <c r="P1425" s="164"/>
      <c r="Q1425" s="164"/>
      <c r="R1425" s="165"/>
      <c r="S1425" s="165"/>
    </row>
    <row r="1426" hidden="1">
      <c r="A1426" s="32"/>
      <c r="B1426" s="32"/>
      <c r="C1426" s="32"/>
      <c r="D1426" s="32"/>
      <c r="G1426" s="40"/>
      <c r="H1426" s="41"/>
      <c r="K1426" s="41"/>
      <c r="N1426" s="156"/>
      <c r="P1426" s="41"/>
      <c r="Q1426" s="41"/>
    </row>
    <row r="1427" hidden="1">
      <c r="A1427" s="32"/>
      <c r="B1427" s="32"/>
      <c r="C1427" s="32"/>
      <c r="D1427" s="32"/>
      <c r="G1427" s="40"/>
      <c r="H1427" s="41"/>
      <c r="K1427" s="41"/>
      <c r="N1427" s="156"/>
      <c r="P1427" s="41"/>
      <c r="Q1427" s="41"/>
    </row>
    <row r="1428" hidden="1">
      <c r="A1428" s="32"/>
      <c r="B1428" s="32"/>
      <c r="C1428" s="32"/>
      <c r="D1428" s="32"/>
      <c r="G1428" s="40"/>
      <c r="H1428" s="41"/>
      <c r="K1428" s="41"/>
      <c r="N1428" s="156"/>
      <c r="P1428" s="41"/>
      <c r="Q1428" s="41"/>
    </row>
    <row r="1429" hidden="1">
      <c r="A1429" s="32"/>
      <c r="B1429" s="32"/>
      <c r="C1429" s="32"/>
      <c r="D1429" s="32"/>
      <c r="G1429" s="40"/>
      <c r="H1429" s="41"/>
      <c r="K1429" s="41"/>
      <c r="N1429" s="253"/>
      <c r="O1429" s="254"/>
      <c r="P1429" s="255"/>
      <c r="Q1429" s="255"/>
      <c r="R1429" s="254"/>
      <c r="S1429" s="254"/>
    </row>
    <row r="1430" hidden="1">
      <c r="A1430" s="32"/>
      <c r="B1430" s="32"/>
      <c r="C1430" s="32"/>
      <c r="D1430" s="32"/>
      <c r="G1430" s="40"/>
      <c r="H1430" s="41"/>
      <c r="K1430" s="41"/>
      <c r="N1430" s="256"/>
      <c r="O1430" s="165"/>
      <c r="P1430" s="164"/>
      <c r="Q1430" s="164"/>
      <c r="R1430" s="165"/>
      <c r="S1430" s="165"/>
    </row>
    <row r="1431" hidden="1">
      <c r="A1431" s="32"/>
      <c r="B1431" s="32"/>
      <c r="C1431" s="32"/>
      <c r="D1431" s="32"/>
      <c r="G1431" s="40"/>
      <c r="H1431" s="41"/>
      <c r="K1431" s="41"/>
      <c r="N1431" s="256"/>
      <c r="O1431" s="165"/>
      <c r="P1431" s="164"/>
      <c r="Q1431" s="164"/>
      <c r="R1431" s="165"/>
      <c r="S1431" s="165"/>
    </row>
    <row r="1432" hidden="1">
      <c r="A1432" s="32"/>
      <c r="B1432" s="32"/>
      <c r="C1432" s="32"/>
      <c r="D1432" s="32"/>
      <c r="G1432" s="40"/>
      <c r="H1432" s="41"/>
      <c r="K1432" s="41"/>
      <c r="N1432" s="256"/>
      <c r="O1432" s="165"/>
      <c r="P1432" s="164"/>
      <c r="Q1432" s="164"/>
      <c r="R1432" s="165"/>
      <c r="S1432" s="165"/>
    </row>
    <row r="1433" hidden="1">
      <c r="A1433" s="32"/>
      <c r="B1433" s="32"/>
      <c r="C1433" s="32"/>
      <c r="D1433" s="32"/>
      <c r="G1433" s="40"/>
      <c r="H1433" s="41"/>
      <c r="K1433" s="41"/>
      <c r="N1433" s="256"/>
      <c r="O1433" s="165"/>
      <c r="P1433" s="164"/>
      <c r="Q1433" s="164"/>
      <c r="R1433" s="165"/>
      <c r="S1433" s="165"/>
    </row>
    <row r="1434" hidden="1">
      <c r="A1434" s="32"/>
      <c r="B1434" s="32"/>
      <c r="C1434" s="32"/>
      <c r="D1434" s="32"/>
      <c r="G1434" s="40"/>
      <c r="H1434" s="41"/>
      <c r="K1434" s="41"/>
      <c r="N1434" s="256"/>
      <c r="O1434" s="165"/>
      <c r="P1434" s="164"/>
      <c r="Q1434" s="164"/>
      <c r="R1434" s="165"/>
      <c r="S1434" s="165"/>
    </row>
    <row r="1435" hidden="1">
      <c r="A1435" s="32"/>
      <c r="B1435" s="32"/>
      <c r="C1435" s="32"/>
      <c r="D1435" s="32"/>
      <c r="G1435" s="40"/>
      <c r="H1435" s="41"/>
      <c r="K1435" s="41"/>
      <c r="N1435" s="156"/>
      <c r="P1435" s="41"/>
      <c r="Q1435" s="41"/>
    </row>
    <row r="1436" hidden="1">
      <c r="A1436" s="32"/>
      <c r="B1436" s="32"/>
      <c r="C1436" s="32"/>
      <c r="D1436" s="32"/>
      <c r="G1436" s="40"/>
      <c r="H1436" s="41"/>
      <c r="K1436" s="41"/>
      <c r="N1436" s="134"/>
      <c r="O1436" s="135"/>
      <c r="P1436" s="206"/>
      <c r="Q1436" s="207"/>
      <c r="R1436" s="115"/>
      <c r="S1436" s="134"/>
    </row>
    <row r="1437" hidden="1">
      <c r="A1437" s="32"/>
      <c r="B1437" s="32"/>
      <c r="C1437" s="32"/>
      <c r="D1437" s="32"/>
      <c r="G1437" s="40"/>
      <c r="H1437" s="41"/>
      <c r="K1437" s="41"/>
      <c r="N1437" s="134"/>
      <c r="O1437" s="135"/>
      <c r="P1437" s="206"/>
      <c r="Q1437" s="207"/>
      <c r="R1437" s="115"/>
      <c r="S1437" s="134"/>
    </row>
    <row r="1438" hidden="1">
      <c r="A1438" s="32"/>
      <c r="B1438" s="32"/>
      <c r="C1438" s="32"/>
      <c r="D1438" s="32"/>
      <c r="G1438" s="40"/>
      <c r="H1438" s="41"/>
      <c r="K1438" s="41"/>
      <c r="N1438" s="134"/>
      <c r="O1438" s="135"/>
      <c r="P1438" s="206"/>
      <c r="Q1438" s="207"/>
      <c r="R1438" s="115"/>
      <c r="S1438" s="134"/>
    </row>
    <row r="1439" hidden="1">
      <c r="A1439" s="32"/>
      <c r="B1439" s="32"/>
      <c r="C1439" s="32"/>
      <c r="D1439" s="32"/>
      <c r="G1439" s="40"/>
      <c r="H1439" s="41"/>
      <c r="K1439" s="41"/>
      <c r="N1439" s="134"/>
      <c r="O1439" s="135"/>
      <c r="P1439" s="206"/>
      <c r="Q1439" s="207"/>
      <c r="R1439" s="115"/>
      <c r="S1439" s="134"/>
    </row>
    <row r="1440" hidden="1">
      <c r="A1440" s="32"/>
      <c r="B1440" s="32"/>
      <c r="C1440" s="32"/>
      <c r="D1440" s="32"/>
      <c r="G1440" s="40"/>
      <c r="H1440" s="41"/>
      <c r="K1440" s="41"/>
      <c r="N1440" s="134"/>
      <c r="O1440" s="135"/>
      <c r="P1440" s="206"/>
      <c r="Q1440" s="207"/>
      <c r="R1440" s="115"/>
      <c r="S1440" s="134"/>
    </row>
    <row r="1441" hidden="1">
      <c r="A1441" s="32"/>
      <c r="B1441" s="32"/>
      <c r="C1441" s="32"/>
      <c r="D1441" s="32"/>
      <c r="G1441" s="40"/>
      <c r="H1441" s="41"/>
      <c r="K1441" s="41"/>
      <c r="N1441" s="134"/>
      <c r="O1441" s="135"/>
      <c r="P1441" s="206"/>
      <c r="Q1441" s="207"/>
      <c r="R1441" s="115"/>
      <c r="S1441" s="134"/>
    </row>
    <row r="1442" hidden="1">
      <c r="A1442" s="32"/>
      <c r="B1442" s="32"/>
      <c r="C1442" s="32"/>
      <c r="D1442" s="32"/>
      <c r="G1442" s="40"/>
      <c r="H1442" s="41"/>
      <c r="K1442" s="41"/>
      <c r="N1442" s="134"/>
      <c r="O1442" s="135"/>
      <c r="P1442" s="206"/>
      <c r="Q1442" s="207"/>
      <c r="R1442" s="115"/>
      <c r="S1442" s="134"/>
    </row>
    <row r="1443" hidden="1">
      <c r="A1443" s="32"/>
      <c r="B1443" s="32"/>
      <c r="C1443" s="32"/>
      <c r="D1443" s="32"/>
      <c r="G1443" s="40"/>
      <c r="H1443" s="41"/>
      <c r="K1443" s="41"/>
      <c r="N1443" s="134"/>
      <c r="O1443" s="135"/>
      <c r="P1443" s="206"/>
      <c r="Q1443" s="207"/>
      <c r="R1443" s="115"/>
      <c r="S1443" s="134"/>
    </row>
    <row r="1444" hidden="1">
      <c r="A1444" s="32"/>
      <c r="B1444" s="32"/>
      <c r="C1444" s="32"/>
      <c r="D1444" s="32"/>
      <c r="G1444" s="40"/>
      <c r="H1444" s="41"/>
      <c r="K1444" s="41"/>
      <c r="N1444" s="134"/>
      <c r="O1444" s="135"/>
      <c r="P1444" s="206"/>
      <c r="Q1444" s="207"/>
      <c r="R1444" s="115"/>
      <c r="S1444" s="134"/>
    </row>
    <row r="1445" hidden="1">
      <c r="A1445" s="32"/>
      <c r="B1445" s="32"/>
      <c r="C1445" s="32"/>
      <c r="D1445" s="32"/>
      <c r="G1445" s="40"/>
      <c r="H1445" s="41"/>
      <c r="K1445" s="41"/>
      <c r="N1445" s="134"/>
      <c r="O1445" s="135"/>
      <c r="P1445" s="206"/>
      <c r="Q1445" s="207"/>
      <c r="R1445" s="115"/>
      <c r="S1445" s="134"/>
    </row>
    <row r="1446" hidden="1">
      <c r="A1446" s="32"/>
      <c r="B1446" s="32"/>
      <c r="C1446" s="32"/>
      <c r="D1446" s="32"/>
      <c r="G1446" s="40"/>
      <c r="H1446" s="41"/>
      <c r="K1446" s="41"/>
      <c r="N1446" s="134"/>
      <c r="O1446" s="135"/>
      <c r="P1446" s="206"/>
      <c r="Q1446" s="207"/>
      <c r="R1446" s="115"/>
      <c r="S1446" s="134"/>
    </row>
    <row r="1447" hidden="1">
      <c r="A1447" s="32"/>
      <c r="B1447" s="32"/>
      <c r="C1447" s="32"/>
      <c r="D1447" s="32"/>
      <c r="G1447" s="40"/>
      <c r="H1447" s="41"/>
      <c r="K1447" s="41"/>
      <c r="N1447" s="134"/>
      <c r="O1447" s="135"/>
      <c r="P1447" s="206"/>
      <c r="Q1447" s="207"/>
      <c r="R1447" s="115"/>
      <c r="S1447" s="134"/>
    </row>
    <row r="1448" hidden="1">
      <c r="A1448" s="32"/>
      <c r="B1448" s="32"/>
      <c r="C1448" s="32"/>
      <c r="D1448" s="32"/>
      <c r="G1448" s="40"/>
      <c r="H1448" s="41"/>
      <c r="K1448" s="41"/>
      <c r="N1448" s="134"/>
      <c r="O1448" s="135"/>
      <c r="P1448" s="206"/>
      <c r="Q1448" s="207"/>
      <c r="R1448" s="115"/>
      <c r="S1448" s="134"/>
    </row>
    <row r="1449" hidden="1">
      <c r="A1449" s="32"/>
      <c r="B1449" s="32"/>
      <c r="C1449" s="32"/>
      <c r="D1449" s="32"/>
      <c r="G1449" s="40"/>
      <c r="H1449" s="41"/>
      <c r="K1449" s="41"/>
      <c r="N1449" s="134"/>
      <c r="O1449" s="135"/>
      <c r="P1449" s="206"/>
      <c r="Q1449" s="207"/>
      <c r="R1449" s="115"/>
      <c r="S1449" s="134"/>
    </row>
    <row r="1450" hidden="1">
      <c r="A1450" s="32"/>
      <c r="B1450" s="32"/>
      <c r="C1450" s="32"/>
      <c r="D1450" s="32"/>
      <c r="G1450" s="40"/>
      <c r="H1450" s="41"/>
      <c r="K1450" s="41"/>
      <c r="N1450" s="134"/>
      <c r="O1450" s="135"/>
      <c r="P1450" s="206"/>
      <c r="Q1450" s="207"/>
      <c r="R1450" s="115"/>
      <c r="S1450" s="134"/>
    </row>
    <row r="1451" hidden="1">
      <c r="A1451" s="32"/>
      <c r="B1451" s="32"/>
      <c r="C1451" s="32"/>
      <c r="D1451" s="32"/>
      <c r="G1451" s="40"/>
      <c r="H1451" s="41"/>
      <c r="K1451" s="41"/>
      <c r="N1451" s="134"/>
      <c r="O1451" s="135"/>
      <c r="P1451" s="206"/>
      <c r="Q1451" s="207"/>
      <c r="R1451" s="115"/>
      <c r="S1451" s="134"/>
    </row>
    <row r="1452" hidden="1">
      <c r="A1452" s="32"/>
      <c r="B1452" s="32"/>
      <c r="C1452" s="32"/>
      <c r="D1452" s="32"/>
      <c r="G1452" s="40"/>
      <c r="H1452" s="41"/>
      <c r="K1452" s="41"/>
      <c r="N1452" s="134"/>
      <c r="O1452" s="135"/>
      <c r="P1452" s="206"/>
      <c r="Q1452" s="207"/>
      <c r="R1452" s="115"/>
      <c r="S1452" s="134"/>
    </row>
    <row r="1453" hidden="1">
      <c r="A1453" s="32"/>
      <c r="B1453" s="32"/>
      <c r="C1453" s="32"/>
      <c r="D1453" s="32"/>
      <c r="G1453" s="40"/>
      <c r="H1453" s="41"/>
      <c r="K1453" s="41"/>
      <c r="N1453" s="134"/>
      <c r="O1453" s="135"/>
      <c r="P1453" s="206"/>
      <c r="Q1453" s="207"/>
      <c r="R1453" s="115"/>
      <c r="S1453" s="134"/>
    </row>
    <row r="1454" hidden="1">
      <c r="A1454" s="32"/>
      <c r="B1454" s="32"/>
      <c r="C1454" s="32"/>
      <c r="D1454" s="32"/>
      <c r="G1454" s="40"/>
      <c r="H1454" s="41"/>
      <c r="K1454" s="41"/>
      <c r="N1454" s="134"/>
      <c r="O1454" s="135"/>
      <c r="P1454" s="206"/>
      <c r="Q1454" s="207"/>
      <c r="R1454" s="115"/>
      <c r="S1454" s="134"/>
    </row>
    <row r="1455" hidden="1">
      <c r="A1455" s="32"/>
      <c r="B1455" s="32"/>
      <c r="C1455" s="32"/>
      <c r="D1455" s="32"/>
      <c r="G1455" s="40"/>
      <c r="H1455" s="41"/>
      <c r="K1455" s="41"/>
      <c r="N1455" s="134"/>
      <c r="O1455" s="135"/>
      <c r="P1455" s="206"/>
      <c r="Q1455" s="207"/>
      <c r="R1455" s="115"/>
      <c r="S1455" s="134"/>
    </row>
    <row r="1456" hidden="1">
      <c r="A1456" s="32"/>
      <c r="B1456" s="32"/>
      <c r="C1456" s="32"/>
      <c r="D1456" s="32"/>
      <c r="G1456" s="40"/>
      <c r="H1456" s="41"/>
      <c r="K1456" s="41"/>
      <c r="N1456" s="134"/>
      <c r="O1456" s="135"/>
      <c r="P1456" s="206"/>
      <c r="Q1456" s="207"/>
      <c r="R1456" s="115"/>
      <c r="S1456" s="134"/>
    </row>
    <row r="1457" hidden="1">
      <c r="A1457" s="32"/>
      <c r="B1457" s="32"/>
      <c r="C1457" s="32"/>
      <c r="D1457" s="32"/>
      <c r="G1457" s="40"/>
      <c r="H1457" s="41"/>
      <c r="K1457" s="41"/>
      <c r="N1457" s="134"/>
      <c r="O1457" s="135"/>
      <c r="P1457" s="206"/>
      <c r="Q1457" s="207"/>
      <c r="R1457" s="115"/>
      <c r="S1457" s="134"/>
    </row>
    <row r="1458" hidden="1">
      <c r="A1458" s="32"/>
      <c r="B1458" s="32"/>
      <c r="C1458" s="32"/>
      <c r="D1458" s="32"/>
      <c r="G1458" s="40"/>
      <c r="H1458" s="41"/>
      <c r="K1458" s="41"/>
      <c r="N1458" s="134"/>
      <c r="O1458" s="135"/>
      <c r="P1458" s="206"/>
      <c r="Q1458" s="207"/>
      <c r="R1458" s="115"/>
      <c r="S1458" s="134"/>
    </row>
    <row r="1459" hidden="1">
      <c r="A1459" s="32"/>
      <c r="B1459" s="32"/>
      <c r="C1459" s="32"/>
      <c r="D1459" s="32"/>
      <c r="G1459" s="40"/>
      <c r="H1459" s="41"/>
      <c r="K1459" s="41"/>
      <c r="N1459" s="134"/>
      <c r="O1459" s="135"/>
      <c r="P1459" s="206"/>
      <c r="Q1459" s="207"/>
      <c r="R1459" s="115"/>
      <c r="S1459" s="134"/>
    </row>
    <row r="1460" hidden="1">
      <c r="A1460" s="32"/>
      <c r="B1460" s="32"/>
      <c r="C1460" s="32"/>
      <c r="D1460" s="32"/>
      <c r="G1460" s="40"/>
      <c r="H1460" s="41"/>
      <c r="K1460" s="41"/>
      <c r="N1460" s="134"/>
      <c r="O1460" s="135"/>
      <c r="P1460" s="206"/>
      <c r="Q1460" s="207"/>
      <c r="R1460" s="115"/>
      <c r="S1460" s="134"/>
    </row>
    <row r="1461" hidden="1">
      <c r="A1461" s="32"/>
      <c r="B1461" s="32"/>
      <c r="C1461" s="32"/>
      <c r="D1461" s="32"/>
      <c r="G1461" s="40"/>
      <c r="H1461" s="41"/>
      <c r="K1461" s="41"/>
      <c r="N1461" s="134"/>
      <c r="O1461" s="135"/>
      <c r="P1461" s="206"/>
      <c r="Q1461" s="207"/>
      <c r="R1461" s="115"/>
      <c r="S1461" s="134"/>
    </row>
    <row r="1462" hidden="1">
      <c r="A1462" s="32"/>
      <c r="B1462" s="32"/>
      <c r="C1462" s="32"/>
      <c r="D1462" s="32"/>
      <c r="G1462" s="40"/>
      <c r="H1462" s="41"/>
      <c r="K1462" s="41"/>
      <c r="N1462" s="134"/>
      <c r="O1462" s="135"/>
      <c r="P1462" s="206"/>
      <c r="Q1462" s="207"/>
      <c r="R1462" s="115"/>
      <c r="S1462" s="134"/>
    </row>
    <row r="1463" hidden="1">
      <c r="A1463" s="32"/>
      <c r="B1463" s="32"/>
      <c r="C1463" s="32"/>
      <c r="D1463" s="32"/>
      <c r="G1463" s="40"/>
      <c r="H1463" s="41"/>
      <c r="K1463" s="41"/>
      <c r="N1463" s="134"/>
      <c r="O1463" s="135"/>
      <c r="P1463" s="206"/>
      <c r="Q1463" s="207"/>
      <c r="R1463" s="115"/>
      <c r="S1463" s="134"/>
    </row>
    <row r="1464" hidden="1">
      <c r="A1464" s="32"/>
      <c r="B1464" s="32"/>
      <c r="C1464" s="32"/>
      <c r="D1464" s="32"/>
      <c r="G1464" s="40"/>
      <c r="H1464" s="41"/>
      <c r="K1464" s="41"/>
      <c r="N1464" s="134"/>
      <c r="O1464" s="135"/>
      <c r="P1464" s="206"/>
      <c r="Q1464" s="207"/>
      <c r="R1464" s="115"/>
      <c r="S1464" s="134"/>
    </row>
    <row r="1465" hidden="1">
      <c r="A1465" s="32"/>
      <c r="B1465" s="32"/>
      <c r="C1465" s="32"/>
      <c r="D1465" s="32"/>
      <c r="G1465" s="40"/>
      <c r="H1465" s="41"/>
      <c r="K1465" s="41"/>
      <c r="N1465" s="134"/>
      <c r="O1465" s="135"/>
      <c r="P1465" s="206"/>
      <c r="Q1465" s="207"/>
      <c r="R1465" s="115"/>
      <c r="S1465" s="134"/>
    </row>
    <row r="1466" hidden="1">
      <c r="A1466" s="32"/>
      <c r="B1466" s="32"/>
      <c r="C1466" s="32"/>
      <c r="D1466" s="32"/>
      <c r="G1466" s="40"/>
      <c r="H1466" s="41"/>
      <c r="K1466" s="41"/>
      <c r="N1466" s="134"/>
      <c r="O1466" s="135"/>
      <c r="P1466" s="206"/>
      <c r="Q1466" s="207"/>
      <c r="R1466" s="115"/>
      <c r="S1466" s="134"/>
    </row>
    <row r="1467" hidden="1">
      <c r="A1467" s="32"/>
      <c r="B1467" s="32"/>
      <c r="C1467" s="32"/>
      <c r="D1467" s="32"/>
      <c r="G1467" s="40"/>
      <c r="H1467" s="41"/>
      <c r="K1467" s="41"/>
      <c r="N1467" s="134"/>
      <c r="O1467" s="135"/>
      <c r="P1467" s="206"/>
      <c r="Q1467" s="207"/>
      <c r="R1467" s="115"/>
      <c r="S1467" s="134"/>
    </row>
    <row r="1468" hidden="1">
      <c r="A1468" s="32"/>
      <c r="B1468" s="32"/>
      <c r="C1468" s="32"/>
      <c r="D1468" s="32"/>
      <c r="G1468" s="40"/>
      <c r="H1468" s="41"/>
      <c r="K1468" s="41"/>
      <c r="N1468" s="134"/>
      <c r="O1468" s="135"/>
      <c r="P1468" s="206"/>
      <c r="Q1468" s="207"/>
      <c r="R1468" s="115"/>
      <c r="S1468" s="134"/>
    </row>
    <row r="1469" hidden="1">
      <c r="A1469" s="32"/>
      <c r="B1469" s="32"/>
      <c r="C1469" s="32"/>
      <c r="D1469" s="32"/>
      <c r="G1469" s="40"/>
      <c r="H1469" s="41"/>
      <c r="K1469" s="41"/>
      <c r="N1469" s="134"/>
      <c r="O1469" s="135"/>
      <c r="P1469" s="206"/>
      <c r="Q1469" s="207"/>
      <c r="R1469" s="115"/>
      <c r="S1469" s="134"/>
    </row>
    <row r="1470" hidden="1">
      <c r="A1470" s="32"/>
      <c r="B1470" s="32"/>
      <c r="C1470" s="32"/>
      <c r="D1470" s="32"/>
      <c r="G1470" s="40"/>
      <c r="H1470" s="41"/>
      <c r="K1470" s="41"/>
      <c r="N1470" s="134"/>
      <c r="O1470" s="135"/>
      <c r="P1470" s="206"/>
      <c r="Q1470" s="207"/>
      <c r="R1470" s="115"/>
      <c r="S1470" s="134"/>
    </row>
    <row r="1471" hidden="1">
      <c r="A1471" s="32"/>
      <c r="B1471" s="32"/>
      <c r="C1471" s="32"/>
      <c r="D1471" s="32"/>
      <c r="G1471" s="40"/>
      <c r="H1471" s="41"/>
      <c r="K1471" s="41"/>
      <c r="N1471" s="134"/>
      <c r="O1471" s="135"/>
      <c r="P1471" s="206"/>
      <c r="Q1471" s="207"/>
      <c r="R1471" s="115"/>
      <c r="S1471" s="134"/>
    </row>
    <row r="1472" hidden="1">
      <c r="A1472" s="32"/>
      <c r="B1472" s="32"/>
      <c r="C1472" s="32"/>
      <c r="D1472" s="32"/>
      <c r="G1472" s="40"/>
      <c r="H1472" s="41"/>
      <c r="K1472" s="41"/>
      <c r="N1472" s="134"/>
      <c r="O1472" s="135"/>
      <c r="P1472" s="206"/>
      <c r="Q1472" s="207"/>
      <c r="R1472" s="115"/>
      <c r="S1472" s="134"/>
    </row>
    <row r="1473" hidden="1">
      <c r="A1473" s="32"/>
      <c r="B1473" s="32"/>
      <c r="C1473" s="32"/>
      <c r="D1473" s="32"/>
      <c r="G1473" s="40"/>
      <c r="H1473" s="41"/>
      <c r="K1473" s="41"/>
      <c r="N1473" s="134"/>
      <c r="O1473" s="135"/>
      <c r="P1473" s="206"/>
      <c r="Q1473" s="207"/>
      <c r="R1473" s="115"/>
      <c r="S1473" s="134"/>
    </row>
    <row r="1474" hidden="1">
      <c r="A1474" s="32"/>
      <c r="B1474" s="32"/>
      <c r="C1474" s="32"/>
      <c r="D1474" s="32"/>
      <c r="G1474" s="40"/>
      <c r="H1474" s="41"/>
      <c r="K1474" s="41"/>
      <c r="N1474" s="134"/>
      <c r="O1474" s="135"/>
      <c r="P1474" s="206"/>
      <c r="Q1474" s="207"/>
      <c r="R1474" s="115"/>
      <c r="S1474" s="134"/>
    </row>
    <row r="1475" hidden="1">
      <c r="A1475" s="32"/>
      <c r="B1475" s="32"/>
      <c r="C1475" s="32"/>
      <c r="D1475" s="32"/>
      <c r="G1475" s="40"/>
      <c r="H1475" s="41"/>
      <c r="K1475" s="41"/>
      <c r="N1475" s="134"/>
      <c r="O1475" s="135"/>
      <c r="P1475" s="206"/>
      <c r="Q1475" s="207"/>
      <c r="R1475" s="115"/>
      <c r="S1475" s="134"/>
    </row>
    <row r="1476" hidden="1">
      <c r="A1476" s="32"/>
      <c r="B1476" s="32"/>
      <c r="C1476" s="32"/>
      <c r="D1476" s="32"/>
      <c r="G1476" s="40"/>
      <c r="H1476" s="41"/>
      <c r="K1476" s="41"/>
      <c r="N1476" s="134"/>
      <c r="O1476" s="135"/>
      <c r="P1476" s="206"/>
      <c r="Q1476" s="207"/>
      <c r="R1476" s="115"/>
      <c r="S1476" s="134"/>
    </row>
    <row r="1477" hidden="1">
      <c r="A1477" s="32"/>
      <c r="B1477" s="32"/>
      <c r="C1477" s="32"/>
      <c r="D1477" s="32"/>
      <c r="G1477" s="40"/>
      <c r="H1477" s="41"/>
      <c r="K1477" s="41"/>
      <c r="N1477" s="134"/>
      <c r="O1477" s="135"/>
      <c r="P1477" s="206"/>
      <c r="Q1477" s="207"/>
      <c r="R1477" s="115"/>
      <c r="S1477" s="134"/>
    </row>
    <row r="1478" hidden="1">
      <c r="A1478" s="32"/>
      <c r="B1478" s="32"/>
      <c r="C1478" s="32"/>
      <c r="D1478" s="32"/>
      <c r="G1478" s="40"/>
      <c r="H1478" s="41"/>
      <c r="K1478" s="41"/>
      <c r="N1478" s="134"/>
      <c r="O1478" s="135"/>
      <c r="P1478" s="206"/>
      <c r="Q1478" s="207"/>
      <c r="R1478" s="115"/>
      <c r="S1478" s="134"/>
    </row>
    <row r="1479" hidden="1">
      <c r="A1479" s="32"/>
      <c r="B1479" s="32"/>
      <c r="C1479" s="32"/>
      <c r="D1479" s="32"/>
      <c r="G1479" s="40"/>
      <c r="H1479" s="41"/>
      <c r="K1479" s="41"/>
      <c r="N1479" s="134"/>
      <c r="O1479" s="135"/>
      <c r="P1479" s="206"/>
      <c r="Q1479" s="207"/>
      <c r="R1479" s="115"/>
      <c r="S1479" s="134"/>
    </row>
    <row r="1480" hidden="1">
      <c r="A1480" s="32"/>
      <c r="B1480" s="32"/>
      <c r="C1480" s="32"/>
      <c r="D1480" s="32"/>
      <c r="G1480" s="40"/>
      <c r="H1480" s="41"/>
      <c r="K1480" s="41"/>
      <c r="N1480" s="134"/>
      <c r="O1480" s="135"/>
      <c r="P1480" s="206"/>
      <c r="Q1480" s="207"/>
      <c r="R1480" s="115"/>
      <c r="S1480" s="134"/>
    </row>
    <row r="1481" hidden="1">
      <c r="A1481" s="32"/>
      <c r="B1481" s="32"/>
      <c r="C1481" s="32"/>
      <c r="D1481" s="32"/>
      <c r="G1481" s="40"/>
      <c r="H1481" s="41"/>
      <c r="K1481" s="41"/>
      <c r="N1481" s="134"/>
      <c r="O1481" s="135"/>
      <c r="P1481" s="206"/>
      <c r="Q1481" s="207"/>
      <c r="R1481" s="115"/>
      <c r="S1481" s="134"/>
    </row>
    <row r="1482" hidden="1">
      <c r="A1482" s="32"/>
      <c r="B1482" s="32"/>
      <c r="C1482" s="32"/>
      <c r="D1482" s="32"/>
      <c r="G1482" s="40"/>
      <c r="H1482" s="41"/>
      <c r="K1482" s="41"/>
      <c r="N1482" s="134"/>
      <c r="O1482" s="135"/>
      <c r="P1482" s="206"/>
      <c r="Q1482" s="207"/>
      <c r="R1482" s="115"/>
      <c r="S1482" s="134"/>
    </row>
    <row r="1483" hidden="1">
      <c r="A1483" s="32"/>
      <c r="B1483" s="32"/>
      <c r="C1483" s="32"/>
      <c r="D1483" s="32"/>
      <c r="G1483" s="40"/>
      <c r="H1483" s="41"/>
      <c r="K1483" s="41"/>
      <c r="N1483" s="134"/>
      <c r="O1483" s="135"/>
      <c r="P1483" s="206"/>
      <c r="Q1483" s="207"/>
      <c r="R1483" s="115"/>
      <c r="S1483" s="134"/>
    </row>
    <row r="1484" hidden="1">
      <c r="A1484" s="32"/>
      <c r="B1484" s="32"/>
      <c r="C1484" s="32"/>
      <c r="D1484" s="32"/>
      <c r="G1484" s="40"/>
      <c r="H1484" s="41"/>
      <c r="K1484" s="41"/>
      <c r="N1484" s="134"/>
      <c r="O1484" s="135"/>
      <c r="P1484" s="206"/>
      <c r="Q1484" s="207"/>
      <c r="R1484" s="115"/>
      <c r="S1484" s="134"/>
    </row>
    <row r="1485" hidden="1">
      <c r="A1485" s="32"/>
      <c r="B1485" s="32"/>
      <c r="C1485" s="32"/>
      <c r="D1485" s="32"/>
      <c r="G1485" s="40"/>
      <c r="H1485" s="41"/>
      <c r="K1485" s="41"/>
      <c r="N1485" s="134"/>
      <c r="O1485" s="135"/>
      <c r="P1485" s="206"/>
      <c r="Q1485" s="207"/>
      <c r="R1485" s="115"/>
      <c r="S1485" s="134"/>
    </row>
    <row r="1486" hidden="1">
      <c r="A1486" s="32"/>
      <c r="B1486" s="32"/>
      <c r="C1486" s="32"/>
      <c r="D1486" s="32"/>
      <c r="G1486" s="40"/>
      <c r="H1486" s="41"/>
      <c r="K1486" s="41"/>
      <c r="N1486" s="134"/>
      <c r="O1486" s="135"/>
      <c r="P1486" s="206"/>
      <c r="Q1486" s="207"/>
      <c r="R1486" s="115"/>
      <c r="S1486" s="134"/>
    </row>
    <row r="1487" hidden="1">
      <c r="A1487" s="32"/>
      <c r="B1487" s="32"/>
      <c r="C1487" s="32"/>
      <c r="D1487" s="32"/>
      <c r="G1487" s="40"/>
      <c r="H1487" s="41"/>
      <c r="K1487" s="41"/>
      <c r="N1487" s="134"/>
      <c r="O1487" s="135"/>
      <c r="P1487" s="206"/>
      <c r="Q1487" s="207"/>
      <c r="R1487" s="115"/>
      <c r="S1487" s="134"/>
    </row>
    <row r="1488" hidden="1">
      <c r="A1488" s="32"/>
      <c r="B1488" s="32"/>
      <c r="C1488" s="32"/>
      <c r="D1488" s="32"/>
      <c r="G1488" s="40"/>
      <c r="H1488" s="41"/>
      <c r="K1488" s="41"/>
      <c r="N1488" s="134"/>
      <c r="O1488" s="135"/>
      <c r="P1488" s="206"/>
      <c r="Q1488" s="207"/>
      <c r="R1488" s="115"/>
      <c r="S1488" s="134"/>
    </row>
    <row r="1489" hidden="1">
      <c r="A1489" s="32"/>
      <c r="B1489" s="32"/>
      <c r="C1489" s="32"/>
      <c r="D1489" s="32"/>
      <c r="G1489" s="40"/>
      <c r="H1489" s="41"/>
      <c r="K1489" s="41"/>
      <c r="N1489" s="134"/>
      <c r="O1489" s="135"/>
      <c r="P1489" s="206"/>
      <c r="Q1489" s="207"/>
      <c r="R1489" s="115"/>
      <c r="S1489" s="134"/>
    </row>
    <row r="1490" hidden="1">
      <c r="A1490" s="32"/>
      <c r="B1490" s="32"/>
      <c r="C1490" s="32"/>
      <c r="D1490" s="32"/>
      <c r="G1490" s="40"/>
      <c r="H1490" s="41"/>
      <c r="K1490" s="41"/>
      <c r="N1490" s="134"/>
      <c r="O1490" s="135"/>
      <c r="P1490" s="206"/>
      <c r="Q1490" s="207"/>
      <c r="R1490" s="115"/>
      <c r="S1490" s="134"/>
    </row>
    <row r="1491" hidden="1">
      <c r="A1491" s="32"/>
      <c r="B1491" s="32"/>
      <c r="C1491" s="32"/>
      <c r="D1491" s="32"/>
      <c r="G1491" s="40"/>
      <c r="H1491" s="41"/>
      <c r="K1491" s="41"/>
      <c r="N1491" s="134"/>
      <c r="O1491" s="135"/>
      <c r="P1491" s="206"/>
      <c r="Q1491" s="207"/>
      <c r="R1491" s="115"/>
      <c r="S1491" s="134"/>
    </row>
    <row r="1492" hidden="1">
      <c r="A1492" s="32"/>
      <c r="B1492" s="32"/>
      <c r="C1492" s="32"/>
      <c r="D1492" s="32"/>
      <c r="G1492" s="40"/>
      <c r="H1492" s="41"/>
      <c r="K1492" s="41"/>
      <c r="N1492" s="134"/>
      <c r="O1492" s="135"/>
      <c r="P1492" s="206"/>
      <c r="Q1492" s="207"/>
      <c r="R1492" s="115"/>
      <c r="S1492" s="134"/>
    </row>
    <row r="1493" hidden="1">
      <c r="A1493" s="32"/>
      <c r="B1493" s="32"/>
      <c r="C1493" s="32"/>
      <c r="D1493" s="32"/>
      <c r="G1493" s="40"/>
      <c r="H1493" s="41"/>
      <c r="K1493" s="41"/>
      <c r="N1493" s="134"/>
      <c r="O1493" s="135"/>
      <c r="P1493" s="206"/>
      <c r="Q1493" s="207"/>
      <c r="R1493" s="115"/>
      <c r="S1493" s="134"/>
    </row>
    <row r="1494" hidden="1">
      <c r="A1494" s="32"/>
      <c r="B1494" s="32"/>
      <c r="C1494" s="32"/>
      <c r="D1494" s="32"/>
      <c r="G1494" s="40"/>
      <c r="H1494" s="41"/>
      <c r="K1494" s="41"/>
      <c r="N1494" s="134"/>
      <c r="O1494" s="135"/>
      <c r="P1494" s="206"/>
      <c r="Q1494" s="207"/>
      <c r="R1494" s="115"/>
      <c r="S1494" s="134"/>
    </row>
    <row r="1495" hidden="1">
      <c r="A1495" s="32"/>
      <c r="B1495" s="32"/>
      <c r="C1495" s="32"/>
      <c r="D1495" s="32"/>
      <c r="G1495" s="40"/>
      <c r="H1495" s="41"/>
      <c r="K1495" s="41"/>
      <c r="N1495" s="134"/>
      <c r="O1495" s="135"/>
      <c r="P1495" s="206"/>
      <c r="Q1495" s="207"/>
      <c r="R1495" s="115"/>
      <c r="S1495" s="134"/>
    </row>
    <row r="1496" hidden="1">
      <c r="A1496" s="32"/>
      <c r="B1496" s="32"/>
      <c r="C1496" s="32"/>
      <c r="D1496" s="32"/>
      <c r="G1496" s="40"/>
      <c r="H1496" s="41"/>
      <c r="K1496" s="41"/>
      <c r="N1496" s="134"/>
      <c r="O1496" s="135"/>
      <c r="P1496" s="206"/>
      <c r="Q1496" s="207"/>
      <c r="R1496" s="115"/>
      <c r="S1496" s="134"/>
    </row>
    <row r="1497" hidden="1">
      <c r="A1497" s="32"/>
      <c r="B1497" s="32"/>
      <c r="C1497" s="32"/>
      <c r="D1497" s="32"/>
      <c r="G1497" s="40"/>
      <c r="H1497" s="41"/>
      <c r="K1497" s="41"/>
      <c r="N1497" s="134"/>
      <c r="O1497" s="135"/>
      <c r="P1497" s="206"/>
      <c r="Q1497" s="207"/>
      <c r="R1497" s="115"/>
      <c r="S1497" s="134"/>
    </row>
    <row r="1498" hidden="1">
      <c r="A1498" s="32"/>
      <c r="B1498" s="32"/>
      <c r="C1498" s="32"/>
      <c r="D1498" s="32"/>
      <c r="G1498" s="40"/>
      <c r="H1498" s="41"/>
      <c r="K1498" s="41"/>
      <c r="N1498" s="134"/>
      <c r="O1498" s="135"/>
      <c r="P1498" s="206"/>
      <c r="Q1498" s="207"/>
      <c r="R1498" s="115"/>
      <c r="S1498" s="134"/>
    </row>
    <row r="1499" hidden="1">
      <c r="A1499" s="32"/>
      <c r="B1499" s="32"/>
      <c r="C1499" s="32"/>
      <c r="D1499" s="32"/>
      <c r="G1499" s="40"/>
      <c r="H1499" s="41"/>
      <c r="K1499" s="41"/>
      <c r="N1499" s="134"/>
      <c r="O1499" s="135"/>
      <c r="P1499" s="206"/>
      <c r="Q1499" s="207"/>
      <c r="R1499" s="115"/>
      <c r="S1499" s="134"/>
    </row>
    <row r="1500" hidden="1">
      <c r="A1500" s="32"/>
      <c r="B1500" s="32"/>
      <c r="C1500" s="32"/>
      <c r="D1500" s="32"/>
      <c r="G1500" s="40"/>
      <c r="H1500" s="41"/>
      <c r="K1500" s="41"/>
      <c r="N1500" s="134"/>
      <c r="O1500" s="135"/>
      <c r="P1500" s="206"/>
      <c r="Q1500" s="207"/>
      <c r="R1500" s="115"/>
      <c r="S1500" s="134"/>
    </row>
    <row r="1501" hidden="1">
      <c r="A1501" s="32"/>
      <c r="B1501" s="32"/>
      <c r="C1501" s="32"/>
      <c r="D1501" s="32"/>
      <c r="G1501" s="40"/>
      <c r="H1501" s="41"/>
      <c r="K1501" s="41"/>
      <c r="N1501" s="134"/>
      <c r="O1501" s="135"/>
      <c r="P1501" s="206"/>
      <c r="Q1501" s="207"/>
      <c r="R1501" s="115"/>
      <c r="S1501" s="134"/>
    </row>
    <row r="1502" hidden="1">
      <c r="A1502" s="32"/>
      <c r="B1502" s="32"/>
      <c r="C1502" s="32"/>
      <c r="D1502" s="32"/>
      <c r="G1502" s="40"/>
      <c r="H1502" s="41"/>
      <c r="K1502" s="41"/>
      <c r="N1502" s="134"/>
      <c r="O1502" s="135"/>
      <c r="P1502" s="206"/>
      <c r="Q1502" s="207"/>
      <c r="R1502" s="115"/>
      <c r="S1502" s="134"/>
    </row>
    <row r="1503" hidden="1">
      <c r="A1503" s="32"/>
      <c r="B1503" s="32"/>
      <c r="C1503" s="32"/>
      <c r="D1503" s="32"/>
      <c r="G1503" s="40"/>
      <c r="H1503" s="41"/>
      <c r="K1503" s="41"/>
      <c r="N1503" s="134"/>
      <c r="O1503" s="135"/>
      <c r="P1503" s="206"/>
      <c r="Q1503" s="207"/>
      <c r="R1503" s="115"/>
      <c r="S1503" s="134"/>
    </row>
    <row r="1504" hidden="1">
      <c r="A1504" s="32"/>
      <c r="B1504" s="32"/>
      <c r="C1504" s="32"/>
      <c r="D1504" s="32"/>
      <c r="G1504" s="40"/>
      <c r="H1504" s="41"/>
      <c r="K1504" s="41"/>
      <c r="N1504" s="134"/>
      <c r="O1504" s="135"/>
      <c r="P1504" s="206"/>
      <c r="Q1504" s="207"/>
      <c r="R1504" s="115"/>
      <c r="S1504" s="134"/>
    </row>
    <row r="1505" hidden="1">
      <c r="A1505" s="32"/>
      <c r="B1505" s="32"/>
      <c r="C1505" s="32"/>
      <c r="D1505" s="32"/>
      <c r="G1505" s="40"/>
      <c r="H1505" s="41"/>
      <c r="K1505" s="41"/>
      <c r="N1505" s="134"/>
      <c r="O1505" s="135"/>
      <c r="P1505" s="206"/>
      <c r="Q1505" s="207"/>
      <c r="R1505" s="115"/>
      <c r="S1505" s="134"/>
    </row>
    <row r="1506" hidden="1">
      <c r="A1506" s="32"/>
      <c r="B1506" s="32"/>
      <c r="C1506" s="32"/>
      <c r="D1506" s="32"/>
      <c r="G1506" s="40"/>
      <c r="H1506" s="41"/>
      <c r="K1506" s="41"/>
      <c r="N1506" s="134"/>
      <c r="O1506" s="135"/>
      <c r="P1506" s="206"/>
      <c r="Q1506" s="207"/>
      <c r="R1506" s="115"/>
      <c r="S1506" s="134"/>
    </row>
    <row r="1507" hidden="1">
      <c r="A1507" s="32"/>
      <c r="B1507" s="32"/>
      <c r="C1507" s="32"/>
      <c r="D1507" s="32"/>
      <c r="G1507" s="40"/>
      <c r="H1507" s="41"/>
      <c r="K1507" s="41"/>
      <c r="N1507" s="134"/>
      <c r="O1507" s="135"/>
      <c r="P1507" s="206"/>
      <c r="Q1507" s="207"/>
      <c r="R1507" s="115"/>
      <c r="S1507" s="134"/>
    </row>
    <row r="1508" hidden="1">
      <c r="A1508" s="32"/>
      <c r="B1508" s="32"/>
      <c r="C1508" s="32"/>
      <c r="D1508" s="32"/>
      <c r="G1508" s="40"/>
      <c r="H1508" s="41"/>
      <c r="K1508" s="41"/>
      <c r="N1508" s="134"/>
      <c r="O1508" s="135"/>
      <c r="P1508" s="206"/>
      <c r="Q1508" s="207"/>
      <c r="R1508" s="115"/>
      <c r="S1508" s="134"/>
    </row>
    <row r="1509" hidden="1">
      <c r="A1509" s="32"/>
      <c r="B1509" s="32"/>
      <c r="C1509" s="32"/>
      <c r="D1509" s="32"/>
      <c r="G1509" s="40"/>
      <c r="H1509" s="41"/>
      <c r="K1509" s="41"/>
      <c r="N1509" s="134"/>
      <c r="O1509" s="135"/>
      <c r="P1509" s="206"/>
      <c r="Q1509" s="207"/>
      <c r="R1509" s="115"/>
      <c r="S1509" s="134"/>
    </row>
    <row r="1510" hidden="1">
      <c r="A1510" s="32"/>
      <c r="B1510" s="32"/>
      <c r="C1510" s="32"/>
      <c r="D1510" s="32"/>
      <c r="G1510" s="40"/>
      <c r="H1510" s="41"/>
      <c r="K1510" s="41"/>
      <c r="N1510" s="134"/>
      <c r="O1510" s="135"/>
      <c r="P1510" s="206"/>
      <c r="Q1510" s="207"/>
      <c r="R1510" s="115"/>
      <c r="S1510" s="134"/>
    </row>
    <row r="1511" hidden="1">
      <c r="A1511" s="32"/>
      <c r="B1511" s="32"/>
      <c r="C1511" s="32"/>
      <c r="D1511" s="32"/>
      <c r="G1511" s="40"/>
      <c r="H1511" s="41"/>
      <c r="K1511" s="41"/>
      <c r="N1511" s="134"/>
      <c r="O1511" s="135"/>
      <c r="P1511" s="206"/>
      <c r="Q1511" s="207"/>
      <c r="R1511" s="115"/>
      <c r="S1511" s="134"/>
    </row>
    <row r="1512" hidden="1">
      <c r="A1512" s="32"/>
      <c r="B1512" s="32"/>
      <c r="C1512" s="32"/>
      <c r="D1512" s="32"/>
      <c r="G1512" s="40"/>
      <c r="H1512" s="41"/>
      <c r="K1512" s="41"/>
      <c r="N1512" s="134"/>
      <c r="O1512" s="135"/>
      <c r="P1512" s="206"/>
      <c r="Q1512" s="207"/>
      <c r="R1512" s="115"/>
      <c r="S1512" s="134"/>
    </row>
    <row r="1513" hidden="1">
      <c r="A1513" s="32"/>
      <c r="B1513" s="32"/>
      <c r="C1513" s="32"/>
      <c r="D1513" s="32"/>
      <c r="G1513" s="40"/>
      <c r="H1513" s="41"/>
      <c r="K1513" s="41"/>
      <c r="N1513" s="134"/>
      <c r="O1513" s="135"/>
      <c r="P1513" s="206"/>
      <c r="Q1513" s="207"/>
      <c r="R1513" s="115"/>
      <c r="S1513" s="134"/>
    </row>
    <row r="1514" hidden="1">
      <c r="A1514" s="32"/>
      <c r="B1514" s="32"/>
      <c r="C1514" s="32"/>
      <c r="D1514" s="32"/>
      <c r="G1514" s="40"/>
      <c r="H1514" s="41"/>
      <c r="K1514" s="41"/>
      <c r="N1514" s="134"/>
      <c r="O1514" s="135"/>
      <c r="P1514" s="206"/>
      <c r="Q1514" s="207"/>
      <c r="R1514" s="115"/>
      <c r="S1514" s="134"/>
    </row>
    <row r="1515" hidden="1">
      <c r="A1515" s="32"/>
      <c r="B1515" s="32"/>
      <c r="C1515" s="32"/>
      <c r="D1515" s="32"/>
      <c r="G1515" s="40"/>
      <c r="H1515" s="41"/>
      <c r="K1515" s="41"/>
      <c r="N1515" s="134"/>
      <c r="O1515" s="135"/>
      <c r="P1515" s="206"/>
      <c r="Q1515" s="207"/>
      <c r="R1515" s="115"/>
      <c r="S1515" s="134"/>
    </row>
    <row r="1516" hidden="1">
      <c r="A1516" s="32"/>
      <c r="B1516" s="32"/>
      <c r="C1516" s="32"/>
      <c r="D1516" s="32"/>
      <c r="G1516" s="40"/>
      <c r="H1516" s="41"/>
      <c r="K1516" s="41"/>
      <c r="N1516" s="134"/>
      <c r="O1516" s="135"/>
      <c r="P1516" s="206"/>
      <c r="Q1516" s="207"/>
      <c r="R1516" s="115"/>
      <c r="S1516" s="134"/>
    </row>
    <row r="1517" hidden="1">
      <c r="A1517" s="32"/>
      <c r="B1517" s="32"/>
      <c r="C1517" s="32"/>
      <c r="D1517" s="32"/>
      <c r="G1517" s="40"/>
      <c r="H1517" s="41"/>
      <c r="K1517" s="41"/>
      <c r="N1517" s="134"/>
      <c r="O1517" s="135"/>
      <c r="P1517" s="206"/>
      <c r="Q1517" s="207"/>
      <c r="R1517" s="115"/>
      <c r="S1517" s="134"/>
    </row>
    <row r="1518" hidden="1">
      <c r="A1518" s="32"/>
      <c r="B1518" s="32"/>
      <c r="C1518" s="32"/>
      <c r="D1518" s="32"/>
      <c r="G1518" s="40"/>
      <c r="H1518" s="41"/>
      <c r="K1518" s="41"/>
      <c r="N1518" s="134"/>
      <c r="O1518" s="135"/>
      <c r="P1518" s="206"/>
      <c r="Q1518" s="207"/>
      <c r="R1518" s="115"/>
      <c r="S1518" s="134"/>
    </row>
    <row r="1519" hidden="1">
      <c r="A1519" s="32"/>
      <c r="B1519" s="32"/>
      <c r="C1519" s="32"/>
      <c r="D1519" s="32"/>
      <c r="G1519" s="40"/>
      <c r="H1519" s="41"/>
      <c r="K1519" s="41"/>
      <c r="N1519" s="134"/>
      <c r="O1519" s="135"/>
      <c r="P1519" s="206"/>
      <c r="Q1519" s="207"/>
      <c r="R1519" s="115"/>
      <c r="S1519" s="134"/>
    </row>
    <row r="1520" hidden="1">
      <c r="A1520" s="32"/>
      <c r="B1520" s="32"/>
      <c r="C1520" s="32"/>
      <c r="D1520" s="32"/>
      <c r="G1520" s="40"/>
      <c r="H1520" s="41"/>
      <c r="K1520" s="41"/>
      <c r="N1520" s="134"/>
      <c r="O1520" s="135"/>
      <c r="P1520" s="206"/>
      <c r="Q1520" s="207"/>
      <c r="R1520" s="115"/>
      <c r="S1520" s="134"/>
    </row>
    <row r="1521" hidden="1">
      <c r="A1521" s="32"/>
      <c r="B1521" s="32"/>
      <c r="C1521" s="32"/>
      <c r="D1521" s="32"/>
      <c r="G1521" s="40"/>
      <c r="H1521" s="41"/>
      <c r="K1521" s="41"/>
      <c r="N1521" s="134"/>
      <c r="O1521" s="135"/>
      <c r="P1521" s="206"/>
      <c r="Q1521" s="207"/>
      <c r="R1521" s="115"/>
      <c r="S1521" s="134"/>
    </row>
    <row r="1522" hidden="1">
      <c r="A1522" s="32"/>
      <c r="B1522" s="32"/>
      <c r="C1522" s="32"/>
      <c r="D1522" s="32"/>
      <c r="G1522" s="40"/>
      <c r="H1522" s="41"/>
      <c r="K1522" s="41"/>
      <c r="N1522" s="134"/>
      <c r="O1522" s="135"/>
      <c r="P1522" s="206"/>
      <c r="Q1522" s="207"/>
      <c r="R1522" s="115"/>
      <c r="S1522" s="134"/>
    </row>
    <row r="1523" hidden="1">
      <c r="A1523" s="32"/>
      <c r="B1523" s="32"/>
      <c r="C1523" s="32"/>
      <c r="D1523" s="32"/>
      <c r="G1523" s="40"/>
      <c r="H1523" s="41"/>
      <c r="K1523" s="41"/>
      <c r="N1523" s="134"/>
      <c r="O1523" s="135"/>
      <c r="P1523" s="206"/>
      <c r="Q1523" s="207"/>
      <c r="R1523" s="115"/>
      <c r="S1523" s="134"/>
    </row>
    <row r="1524" hidden="1">
      <c r="A1524" s="32"/>
      <c r="B1524" s="32"/>
      <c r="C1524" s="32"/>
      <c r="D1524" s="32"/>
      <c r="G1524" s="40"/>
      <c r="H1524" s="41"/>
      <c r="K1524" s="41"/>
      <c r="N1524" s="134"/>
      <c r="O1524" s="135"/>
      <c r="P1524" s="206"/>
      <c r="Q1524" s="207"/>
      <c r="R1524" s="115"/>
      <c r="S1524" s="134"/>
    </row>
    <row r="1525" hidden="1">
      <c r="A1525" s="32"/>
      <c r="B1525" s="32"/>
      <c r="C1525" s="32"/>
      <c r="D1525" s="32"/>
      <c r="G1525" s="40"/>
      <c r="H1525" s="41"/>
      <c r="K1525" s="41"/>
      <c r="N1525" s="134"/>
      <c r="O1525" s="135"/>
      <c r="P1525" s="206"/>
      <c r="Q1525" s="207"/>
      <c r="R1525" s="115"/>
      <c r="S1525" s="134"/>
    </row>
    <row r="1526" hidden="1">
      <c r="A1526" s="32"/>
      <c r="B1526" s="32"/>
      <c r="C1526" s="32"/>
      <c r="D1526" s="32"/>
      <c r="G1526" s="40"/>
      <c r="H1526" s="41"/>
      <c r="K1526" s="41"/>
      <c r="N1526" s="134"/>
      <c r="O1526" s="135"/>
      <c r="P1526" s="206"/>
      <c r="Q1526" s="207"/>
      <c r="R1526" s="115"/>
      <c r="S1526" s="134"/>
    </row>
    <row r="1527" hidden="1">
      <c r="A1527" s="32"/>
      <c r="B1527" s="32"/>
      <c r="C1527" s="32"/>
      <c r="D1527" s="32"/>
      <c r="G1527" s="40"/>
      <c r="H1527" s="41"/>
      <c r="K1527" s="41"/>
      <c r="N1527" s="134"/>
      <c r="O1527" s="135"/>
      <c r="P1527" s="206"/>
      <c r="Q1527" s="207"/>
      <c r="R1527" s="115"/>
      <c r="S1527" s="134"/>
    </row>
    <row r="1528" hidden="1">
      <c r="A1528" s="32"/>
      <c r="B1528" s="32"/>
      <c r="C1528" s="32"/>
      <c r="D1528" s="32"/>
      <c r="G1528" s="40"/>
      <c r="H1528" s="41"/>
      <c r="K1528" s="41"/>
      <c r="N1528" s="134"/>
      <c r="O1528" s="135"/>
      <c r="P1528" s="206"/>
      <c r="Q1528" s="207"/>
      <c r="R1528" s="115"/>
      <c r="S1528" s="134"/>
    </row>
    <row r="1529" hidden="1">
      <c r="A1529" s="32"/>
      <c r="B1529" s="32"/>
      <c r="C1529" s="32"/>
      <c r="D1529" s="32"/>
      <c r="G1529" s="40"/>
      <c r="H1529" s="41"/>
      <c r="K1529" s="41"/>
      <c r="N1529" s="134"/>
      <c r="O1529" s="135"/>
      <c r="P1529" s="206"/>
      <c r="Q1529" s="207"/>
      <c r="R1529" s="115"/>
      <c r="S1529" s="134"/>
    </row>
    <row r="1530" hidden="1">
      <c r="A1530" s="32"/>
      <c r="B1530" s="32"/>
      <c r="C1530" s="32"/>
      <c r="D1530" s="32"/>
      <c r="G1530" s="40"/>
      <c r="H1530" s="41"/>
      <c r="K1530" s="41"/>
      <c r="N1530" s="134"/>
      <c r="O1530" s="135"/>
      <c r="P1530" s="206"/>
      <c r="Q1530" s="207"/>
      <c r="R1530" s="115"/>
      <c r="S1530" s="134"/>
    </row>
    <row r="1531" hidden="1">
      <c r="A1531" s="32"/>
      <c r="B1531" s="32"/>
      <c r="C1531" s="32"/>
      <c r="D1531" s="32"/>
      <c r="G1531" s="40"/>
      <c r="H1531" s="41"/>
      <c r="K1531" s="41"/>
      <c r="N1531" s="134"/>
      <c r="O1531" s="135"/>
      <c r="P1531" s="206"/>
      <c r="Q1531" s="207"/>
      <c r="R1531" s="115"/>
      <c r="S1531" s="134"/>
    </row>
    <row r="1532" hidden="1">
      <c r="A1532" s="32"/>
      <c r="B1532" s="32"/>
      <c r="C1532" s="32"/>
      <c r="D1532" s="32"/>
      <c r="G1532" s="40"/>
      <c r="H1532" s="41"/>
      <c r="K1532" s="41"/>
      <c r="N1532" s="134"/>
      <c r="O1532" s="135"/>
      <c r="P1532" s="206"/>
      <c r="Q1532" s="207"/>
      <c r="R1532" s="115"/>
      <c r="S1532" s="134"/>
    </row>
    <row r="1533" hidden="1">
      <c r="A1533" s="32"/>
      <c r="B1533" s="32"/>
      <c r="C1533" s="32"/>
      <c r="D1533" s="32"/>
      <c r="G1533" s="40"/>
      <c r="H1533" s="41"/>
      <c r="K1533" s="41"/>
      <c r="N1533" s="134"/>
      <c r="O1533" s="135"/>
      <c r="P1533" s="206"/>
      <c r="Q1533" s="207"/>
      <c r="R1533" s="115"/>
      <c r="S1533" s="134"/>
    </row>
    <row r="1534" hidden="1">
      <c r="A1534" s="32"/>
      <c r="B1534" s="32"/>
      <c r="C1534" s="32"/>
      <c r="D1534" s="32"/>
      <c r="G1534" s="40"/>
      <c r="H1534" s="41"/>
      <c r="K1534" s="41"/>
      <c r="N1534" s="134"/>
      <c r="O1534" s="135"/>
      <c r="P1534" s="206"/>
      <c r="Q1534" s="207"/>
      <c r="R1534" s="115"/>
      <c r="S1534" s="134"/>
    </row>
    <row r="1535" hidden="1">
      <c r="A1535" s="32"/>
      <c r="B1535" s="32"/>
      <c r="C1535" s="32"/>
      <c r="D1535" s="32"/>
      <c r="G1535" s="40"/>
      <c r="H1535" s="41"/>
      <c r="K1535" s="41"/>
      <c r="N1535" s="134"/>
      <c r="O1535" s="135"/>
      <c r="P1535" s="206"/>
      <c r="Q1535" s="207"/>
      <c r="R1535" s="115"/>
      <c r="S1535" s="134"/>
    </row>
    <row r="1536" hidden="1">
      <c r="A1536" s="32"/>
      <c r="B1536" s="32"/>
      <c r="C1536" s="32"/>
      <c r="D1536" s="32"/>
      <c r="G1536" s="40"/>
      <c r="H1536" s="41"/>
      <c r="K1536" s="41"/>
      <c r="N1536" s="134"/>
      <c r="O1536" s="135"/>
      <c r="P1536" s="206"/>
      <c r="Q1536" s="207"/>
      <c r="R1536" s="115"/>
      <c r="S1536" s="134"/>
    </row>
    <row r="1537" hidden="1">
      <c r="A1537" s="32"/>
      <c r="B1537" s="32"/>
      <c r="C1537" s="32"/>
      <c r="D1537" s="32"/>
      <c r="G1537" s="40"/>
      <c r="H1537" s="41"/>
      <c r="K1537" s="41"/>
      <c r="N1537" s="134"/>
      <c r="O1537" s="135"/>
      <c r="P1537" s="206"/>
      <c r="Q1537" s="207"/>
      <c r="R1537" s="115"/>
      <c r="S1537" s="134"/>
    </row>
    <row r="1538" hidden="1">
      <c r="A1538" s="32"/>
      <c r="B1538" s="32"/>
      <c r="C1538" s="32"/>
      <c r="D1538" s="32"/>
      <c r="G1538" s="40"/>
      <c r="H1538" s="41"/>
      <c r="K1538" s="41"/>
      <c r="N1538" s="134"/>
      <c r="O1538" s="135"/>
      <c r="P1538" s="206"/>
      <c r="Q1538" s="207"/>
      <c r="R1538" s="115"/>
      <c r="S1538" s="134"/>
    </row>
    <row r="1539" hidden="1">
      <c r="A1539" s="32"/>
      <c r="B1539" s="32"/>
      <c r="C1539" s="32"/>
      <c r="D1539" s="32"/>
      <c r="G1539" s="40"/>
      <c r="H1539" s="41"/>
      <c r="K1539" s="41"/>
      <c r="N1539" s="134"/>
      <c r="O1539" s="135"/>
      <c r="P1539" s="206"/>
      <c r="Q1539" s="207"/>
      <c r="R1539" s="115"/>
      <c r="S1539" s="134"/>
    </row>
    <row r="1540" hidden="1">
      <c r="A1540" s="32"/>
      <c r="B1540" s="32"/>
      <c r="C1540" s="32"/>
      <c r="D1540" s="32"/>
      <c r="G1540" s="40"/>
      <c r="H1540" s="41"/>
      <c r="K1540" s="41"/>
      <c r="N1540" s="134"/>
      <c r="O1540" s="135"/>
      <c r="P1540" s="206"/>
      <c r="Q1540" s="207"/>
      <c r="R1540" s="115"/>
      <c r="S1540" s="134"/>
    </row>
    <row r="1541" hidden="1">
      <c r="A1541" s="32"/>
      <c r="B1541" s="32"/>
      <c r="C1541" s="32"/>
      <c r="D1541" s="32"/>
      <c r="G1541" s="40"/>
      <c r="H1541" s="41"/>
      <c r="K1541" s="41"/>
      <c r="N1541" s="134"/>
      <c r="O1541" s="135"/>
      <c r="P1541" s="206"/>
      <c r="Q1541" s="207"/>
      <c r="R1541" s="115"/>
      <c r="S1541" s="134"/>
    </row>
    <row r="1542" hidden="1">
      <c r="A1542" s="32"/>
      <c r="B1542" s="32"/>
      <c r="C1542" s="32"/>
      <c r="D1542" s="32"/>
      <c r="G1542" s="40"/>
      <c r="H1542" s="41"/>
      <c r="K1542" s="41"/>
      <c r="N1542" s="134"/>
      <c r="O1542" s="135"/>
      <c r="P1542" s="206"/>
      <c r="Q1542" s="207"/>
      <c r="R1542" s="115"/>
      <c r="S1542" s="134"/>
    </row>
    <row r="1543" hidden="1">
      <c r="A1543" s="32"/>
      <c r="B1543" s="32"/>
      <c r="C1543" s="32"/>
      <c r="D1543" s="32"/>
      <c r="G1543" s="40"/>
      <c r="H1543" s="41"/>
      <c r="K1543" s="41"/>
      <c r="N1543" s="134"/>
      <c r="O1543" s="135"/>
      <c r="P1543" s="206"/>
      <c r="Q1543" s="207"/>
      <c r="R1543" s="115"/>
      <c r="S1543" s="134"/>
    </row>
    <row r="1544" hidden="1">
      <c r="A1544" s="32"/>
      <c r="B1544" s="32"/>
      <c r="C1544" s="32"/>
      <c r="D1544" s="32"/>
      <c r="G1544" s="40"/>
      <c r="H1544" s="41"/>
      <c r="K1544" s="41"/>
      <c r="N1544" s="134"/>
      <c r="O1544" s="135"/>
      <c r="P1544" s="206"/>
      <c r="Q1544" s="207"/>
      <c r="R1544" s="115"/>
      <c r="S1544" s="134"/>
    </row>
    <row r="1545" hidden="1">
      <c r="A1545" s="32"/>
      <c r="B1545" s="32"/>
      <c r="C1545" s="32"/>
      <c r="D1545" s="32"/>
      <c r="G1545" s="40"/>
      <c r="H1545" s="41"/>
      <c r="K1545" s="41"/>
      <c r="N1545" s="134"/>
      <c r="O1545" s="135"/>
      <c r="P1545" s="206"/>
      <c r="Q1545" s="207"/>
      <c r="R1545" s="115"/>
      <c r="S1545" s="134"/>
    </row>
    <row r="1546" hidden="1">
      <c r="A1546" s="32"/>
      <c r="B1546" s="32"/>
      <c r="C1546" s="32"/>
      <c r="D1546" s="32"/>
      <c r="G1546" s="40"/>
      <c r="H1546" s="41"/>
      <c r="K1546" s="41"/>
      <c r="N1546" s="134"/>
      <c r="O1546" s="135"/>
      <c r="P1546" s="206"/>
      <c r="Q1546" s="207"/>
      <c r="R1546" s="115"/>
      <c r="S1546" s="134"/>
    </row>
    <row r="1547" hidden="1">
      <c r="A1547" s="32"/>
      <c r="B1547" s="32"/>
      <c r="C1547" s="32"/>
      <c r="D1547" s="32"/>
      <c r="G1547" s="40"/>
      <c r="H1547" s="41"/>
      <c r="K1547" s="41"/>
      <c r="N1547" s="134"/>
      <c r="O1547" s="135"/>
      <c r="P1547" s="206"/>
      <c r="Q1547" s="207"/>
      <c r="R1547" s="115"/>
      <c r="S1547" s="134"/>
    </row>
    <row r="1548" hidden="1">
      <c r="A1548" s="32"/>
      <c r="B1548" s="32"/>
      <c r="C1548" s="32"/>
      <c r="D1548" s="32"/>
      <c r="G1548" s="40"/>
      <c r="H1548" s="41"/>
      <c r="K1548" s="41"/>
      <c r="N1548" s="134"/>
      <c r="O1548" s="135"/>
      <c r="P1548" s="206"/>
      <c r="Q1548" s="207"/>
      <c r="R1548" s="115"/>
      <c r="S1548" s="134"/>
    </row>
    <row r="1549" hidden="1">
      <c r="A1549" s="32"/>
      <c r="B1549" s="32"/>
      <c r="C1549" s="32"/>
      <c r="D1549" s="32"/>
      <c r="G1549" s="40"/>
      <c r="H1549" s="41"/>
      <c r="K1549" s="41"/>
      <c r="N1549" s="134"/>
      <c r="O1549" s="135"/>
      <c r="P1549" s="206"/>
      <c r="Q1549" s="207"/>
      <c r="R1549" s="115"/>
      <c r="S1549" s="134"/>
    </row>
    <row r="1550" hidden="1">
      <c r="A1550" s="32"/>
      <c r="B1550" s="32"/>
      <c r="C1550" s="32"/>
      <c r="D1550" s="32"/>
      <c r="G1550" s="40"/>
      <c r="H1550" s="41"/>
      <c r="K1550" s="41"/>
      <c r="N1550" s="134"/>
      <c r="O1550" s="135"/>
      <c r="P1550" s="206"/>
      <c r="Q1550" s="207"/>
      <c r="R1550" s="115"/>
      <c r="S1550" s="134"/>
    </row>
    <row r="1551" hidden="1">
      <c r="A1551" s="32"/>
      <c r="B1551" s="32"/>
      <c r="C1551" s="32"/>
      <c r="D1551" s="32"/>
      <c r="G1551" s="40"/>
      <c r="H1551" s="41"/>
      <c r="K1551" s="41"/>
      <c r="N1551" s="134"/>
      <c r="O1551" s="135"/>
      <c r="P1551" s="206"/>
      <c r="Q1551" s="207"/>
      <c r="R1551" s="115"/>
      <c r="S1551" s="134"/>
    </row>
    <row r="1552" hidden="1">
      <c r="A1552" s="32"/>
      <c r="B1552" s="32"/>
      <c r="C1552" s="32"/>
      <c r="D1552" s="32"/>
      <c r="G1552" s="40"/>
      <c r="H1552" s="41"/>
      <c r="K1552" s="41"/>
      <c r="N1552" s="134"/>
      <c r="O1552" s="135"/>
      <c r="P1552" s="206"/>
      <c r="Q1552" s="207"/>
      <c r="R1552" s="115"/>
      <c r="S1552" s="134"/>
    </row>
    <row r="1553" hidden="1">
      <c r="A1553" s="32"/>
      <c r="B1553" s="32"/>
      <c r="C1553" s="32"/>
      <c r="D1553" s="32"/>
      <c r="G1553" s="40"/>
      <c r="H1553" s="41"/>
      <c r="K1553" s="41"/>
      <c r="N1553" s="134"/>
      <c r="O1553" s="135"/>
      <c r="P1553" s="206"/>
      <c r="Q1553" s="207"/>
      <c r="R1553" s="115"/>
      <c r="S1553" s="134"/>
    </row>
    <row r="1554" hidden="1">
      <c r="A1554" s="32"/>
      <c r="B1554" s="32"/>
      <c r="C1554" s="32"/>
      <c r="D1554" s="32"/>
      <c r="G1554" s="40"/>
      <c r="H1554" s="41"/>
      <c r="K1554" s="41"/>
      <c r="N1554" s="134"/>
      <c r="O1554" s="135"/>
      <c r="P1554" s="206"/>
      <c r="Q1554" s="207"/>
      <c r="R1554" s="115"/>
      <c r="S1554" s="134"/>
    </row>
    <row r="1555" hidden="1">
      <c r="A1555" s="32"/>
      <c r="B1555" s="32"/>
      <c r="C1555" s="32"/>
      <c r="D1555" s="32"/>
      <c r="G1555" s="40"/>
      <c r="H1555" s="41"/>
      <c r="K1555" s="41"/>
      <c r="N1555" s="134"/>
      <c r="O1555" s="135"/>
      <c r="P1555" s="206"/>
      <c r="Q1555" s="207"/>
      <c r="R1555" s="115"/>
      <c r="S1555" s="134"/>
    </row>
    <row r="1556" hidden="1">
      <c r="A1556" s="32"/>
      <c r="B1556" s="32"/>
      <c r="C1556" s="32"/>
      <c r="D1556" s="32"/>
      <c r="G1556" s="40"/>
      <c r="H1556" s="41"/>
      <c r="K1556" s="41"/>
      <c r="N1556" s="134"/>
      <c r="O1556" s="135"/>
      <c r="P1556" s="206"/>
      <c r="Q1556" s="207"/>
      <c r="R1556" s="115"/>
      <c r="S1556" s="134"/>
    </row>
    <row r="1557" hidden="1">
      <c r="A1557" s="32"/>
      <c r="B1557" s="32"/>
      <c r="C1557" s="32"/>
      <c r="D1557" s="32"/>
      <c r="G1557" s="40"/>
      <c r="H1557" s="41"/>
      <c r="K1557" s="41"/>
      <c r="N1557" s="134"/>
      <c r="O1557" s="135"/>
      <c r="P1557" s="206"/>
      <c r="Q1557" s="207"/>
      <c r="R1557" s="115"/>
      <c r="S1557" s="134"/>
    </row>
    <row r="1558" hidden="1">
      <c r="A1558" s="32"/>
      <c r="B1558" s="32"/>
      <c r="C1558" s="32"/>
      <c r="D1558" s="32"/>
      <c r="G1558" s="40"/>
      <c r="H1558" s="41"/>
      <c r="K1558" s="41"/>
      <c r="N1558" s="134"/>
      <c r="O1558" s="135"/>
      <c r="P1558" s="206"/>
      <c r="Q1558" s="207"/>
      <c r="R1558" s="115"/>
      <c r="S1558" s="134"/>
    </row>
    <row r="1559" hidden="1">
      <c r="A1559" s="32"/>
      <c r="B1559" s="32"/>
      <c r="C1559" s="32"/>
      <c r="D1559" s="32"/>
      <c r="G1559" s="40"/>
      <c r="H1559" s="41"/>
      <c r="K1559" s="41"/>
      <c r="N1559" s="134"/>
      <c r="O1559" s="135"/>
      <c r="P1559" s="206"/>
      <c r="Q1559" s="207"/>
      <c r="R1559" s="115"/>
      <c r="S1559" s="134"/>
    </row>
    <row r="1560" hidden="1">
      <c r="A1560" s="32"/>
      <c r="B1560" s="32"/>
      <c r="C1560" s="32"/>
      <c r="D1560" s="32"/>
      <c r="G1560" s="40"/>
      <c r="H1560" s="41"/>
      <c r="K1560" s="41"/>
      <c r="N1560" s="134"/>
      <c r="O1560" s="135"/>
      <c r="P1560" s="206"/>
      <c r="Q1560" s="207"/>
      <c r="R1560" s="115"/>
      <c r="S1560" s="134"/>
    </row>
    <row r="1561" hidden="1">
      <c r="A1561" s="32"/>
      <c r="B1561" s="32"/>
      <c r="C1561" s="32"/>
      <c r="D1561" s="32"/>
      <c r="G1561" s="40"/>
      <c r="H1561" s="41"/>
      <c r="K1561" s="41"/>
      <c r="N1561" s="134"/>
      <c r="O1561" s="135"/>
      <c r="P1561" s="206"/>
      <c r="Q1561" s="207"/>
      <c r="R1561" s="115"/>
      <c r="S1561" s="134"/>
    </row>
    <row r="1562" hidden="1">
      <c r="A1562" s="32"/>
      <c r="B1562" s="32"/>
      <c r="C1562" s="32"/>
      <c r="D1562" s="32"/>
      <c r="G1562" s="40"/>
      <c r="H1562" s="41"/>
      <c r="K1562" s="41"/>
      <c r="N1562" s="134"/>
      <c r="O1562" s="135"/>
      <c r="P1562" s="206"/>
      <c r="Q1562" s="207"/>
      <c r="R1562" s="115"/>
      <c r="S1562" s="134"/>
    </row>
    <row r="1563" hidden="1">
      <c r="A1563" s="32"/>
      <c r="B1563" s="32"/>
      <c r="C1563" s="32"/>
      <c r="D1563" s="32"/>
      <c r="G1563" s="40"/>
      <c r="H1563" s="41"/>
      <c r="K1563" s="41"/>
      <c r="N1563" s="134"/>
      <c r="O1563" s="135"/>
      <c r="P1563" s="206"/>
      <c r="Q1563" s="207"/>
      <c r="R1563" s="115"/>
      <c r="S1563" s="134"/>
    </row>
    <row r="1564" hidden="1">
      <c r="A1564" s="32"/>
      <c r="B1564" s="32"/>
      <c r="C1564" s="32"/>
      <c r="D1564" s="32"/>
      <c r="G1564" s="40"/>
      <c r="H1564" s="41"/>
      <c r="K1564" s="41"/>
      <c r="N1564" s="134"/>
      <c r="O1564" s="135"/>
      <c r="P1564" s="206"/>
      <c r="Q1564" s="207"/>
      <c r="R1564" s="115"/>
      <c r="S1564" s="134"/>
    </row>
    <row r="1565" hidden="1">
      <c r="A1565" s="32"/>
      <c r="B1565" s="32"/>
      <c r="C1565" s="32"/>
      <c r="D1565" s="32"/>
      <c r="G1565" s="40"/>
      <c r="H1565" s="41"/>
      <c r="K1565" s="41"/>
      <c r="N1565" s="134"/>
      <c r="O1565" s="135"/>
      <c r="P1565" s="206"/>
      <c r="Q1565" s="207"/>
      <c r="R1565" s="115"/>
      <c r="S1565" s="134"/>
    </row>
    <row r="1566" hidden="1">
      <c r="A1566" s="32"/>
      <c r="B1566" s="32"/>
      <c r="C1566" s="32"/>
      <c r="D1566" s="32"/>
      <c r="G1566" s="40"/>
      <c r="H1566" s="41"/>
      <c r="K1566" s="41"/>
      <c r="N1566" s="134"/>
      <c r="O1566" s="135"/>
      <c r="P1566" s="206"/>
      <c r="Q1566" s="207"/>
      <c r="R1566" s="115"/>
      <c r="S1566" s="134"/>
    </row>
    <row r="1567" hidden="1">
      <c r="A1567" s="32"/>
      <c r="B1567" s="32"/>
      <c r="C1567" s="32"/>
      <c r="D1567" s="32"/>
      <c r="G1567" s="40"/>
      <c r="H1567" s="41"/>
      <c r="K1567" s="41"/>
      <c r="N1567" s="134"/>
      <c r="O1567" s="135"/>
      <c r="P1567" s="206"/>
      <c r="Q1567" s="207"/>
      <c r="R1567" s="115"/>
      <c r="S1567" s="134"/>
    </row>
    <row r="1568" hidden="1">
      <c r="A1568" s="32"/>
      <c r="B1568" s="32"/>
      <c r="C1568" s="32"/>
      <c r="D1568" s="32"/>
      <c r="G1568" s="40"/>
      <c r="H1568" s="41"/>
      <c r="K1568" s="41"/>
      <c r="N1568" s="134"/>
      <c r="O1568" s="135"/>
      <c r="P1568" s="206"/>
      <c r="Q1568" s="207"/>
      <c r="R1568" s="115"/>
      <c r="S1568" s="134"/>
    </row>
    <row r="1569" hidden="1">
      <c r="A1569" s="32"/>
      <c r="B1569" s="32"/>
      <c r="C1569" s="32"/>
      <c r="D1569" s="32"/>
      <c r="G1569" s="40"/>
      <c r="H1569" s="41"/>
      <c r="K1569" s="41"/>
      <c r="N1569" s="134"/>
      <c r="O1569" s="135"/>
      <c r="P1569" s="206"/>
      <c r="Q1569" s="207"/>
      <c r="R1569" s="115"/>
      <c r="S1569" s="134"/>
    </row>
    <row r="1570" hidden="1">
      <c r="A1570" s="32"/>
      <c r="B1570" s="32"/>
      <c r="C1570" s="32"/>
      <c r="D1570" s="32"/>
      <c r="G1570" s="40"/>
      <c r="H1570" s="41"/>
      <c r="K1570" s="41"/>
      <c r="N1570" s="134"/>
      <c r="O1570" s="135"/>
      <c r="P1570" s="206"/>
      <c r="Q1570" s="207"/>
      <c r="R1570" s="115"/>
      <c r="S1570" s="134"/>
    </row>
    <row r="1571" hidden="1">
      <c r="A1571" s="32"/>
      <c r="B1571" s="32"/>
      <c r="C1571" s="32"/>
      <c r="D1571" s="32"/>
      <c r="G1571" s="40"/>
      <c r="H1571" s="41"/>
      <c r="K1571" s="41"/>
      <c r="N1571" s="134"/>
      <c r="O1571" s="135"/>
      <c r="P1571" s="206"/>
      <c r="Q1571" s="207"/>
      <c r="R1571" s="115"/>
      <c r="S1571" s="134"/>
    </row>
    <row r="1572" hidden="1">
      <c r="A1572" s="32"/>
      <c r="B1572" s="32"/>
      <c r="C1572" s="32"/>
      <c r="D1572" s="32"/>
      <c r="G1572" s="40"/>
      <c r="H1572" s="41"/>
      <c r="K1572" s="41"/>
      <c r="N1572" s="134"/>
      <c r="O1572" s="135"/>
      <c r="P1572" s="206"/>
      <c r="Q1572" s="207"/>
      <c r="R1572" s="115"/>
      <c r="S1572" s="134"/>
    </row>
    <row r="1573" hidden="1">
      <c r="A1573" s="32"/>
      <c r="B1573" s="32"/>
      <c r="C1573" s="32"/>
      <c r="D1573" s="32"/>
      <c r="G1573" s="40"/>
      <c r="H1573" s="41"/>
      <c r="K1573" s="41"/>
      <c r="N1573" s="134"/>
      <c r="O1573" s="135"/>
      <c r="P1573" s="206"/>
      <c r="Q1573" s="207"/>
      <c r="R1573" s="115"/>
      <c r="S1573" s="134"/>
    </row>
    <row r="1574" hidden="1">
      <c r="A1574" s="32"/>
      <c r="B1574" s="32"/>
      <c r="C1574" s="32"/>
      <c r="D1574" s="32"/>
      <c r="G1574" s="40"/>
      <c r="H1574" s="41"/>
      <c r="K1574" s="41"/>
      <c r="N1574" s="134"/>
      <c r="O1574" s="135"/>
      <c r="P1574" s="206"/>
      <c r="Q1574" s="207"/>
      <c r="R1574" s="115"/>
      <c r="S1574" s="134"/>
    </row>
    <row r="1575" hidden="1">
      <c r="A1575" s="32"/>
      <c r="B1575" s="32"/>
      <c r="C1575" s="32"/>
      <c r="D1575" s="32"/>
      <c r="G1575" s="40"/>
      <c r="H1575" s="41"/>
      <c r="K1575" s="41"/>
      <c r="N1575" s="134"/>
      <c r="O1575" s="135"/>
      <c r="P1575" s="206"/>
      <c r="Q1575" s="207"/>
      <c r="R1575" s="115"/>
      <c r="S1575" s="134"/>
    </row>
    <row r="1576" hidden="1">
      <c r="A1576" s="32"/>
      <c r="B1576" s="32"/>
      <c r="C1576" s="32"/>
      <c r="D1576" s="32"/>
      <c r="G1576" s="40"/>
      <c r="H1576" s="41"/>
      <c r="K1576" s="41"/>
      <c r="N1576" s="134"/>
      <c r="O1576" s="135"/>
      <c r="P1576" s="206"/>
      <c r="Q1576" s="207"/>
      <c r="R1576" s="115"/>
      <c r="S1576" s="134"/>
    </row>
    <row r="1577" hidden="1">
      <c r="A1577" s="32"/>
      <c r="B1577" s="32"/>
      <c r="C1577" s="32"/>
      <c r="D1577" s="32"/>
      <c r="G1577" s="40"/>
      <c r="H1577" s="41"/>
      <c r="K1577" s="41"/>
      <c r="N1577" s="134"/>
      <c r="O1577" s="135"/>
      <c r="P1577" s="206"/>
      <c r="Q1577" s="207"/>
      <c r="R1577" s="115"/>
      <c r="S1577" s="134"/>
    </row>
    <row r="1578" hidden="1">
      <c r="A1578" s="32"/>
      <c r="B1578" s="32"/>
      <c r="C1578" s="32"/>
      <c r="D1578" s="32"/>
      <c r="G1578" s="40"/>
      <c r="H1578" s="41"/>
      <c r="K1578" s="41"/>
      <c r="N1578" s="134"/>
      <c r="O1578" s="135"/>
      <c r="P1578" s="206"/>
      <c r="Q1578" s="207"/>
      <c r="R1578" s="115"/>
      <c r="S1578" s="134"/>
    </row>
    <row r="1579" hidden="1">
      <c r="A1579" s="32"/>
      <c r="B1579" s="32"/>
      <c r="C1579" s="32"/>
      <c r="D1579" s="32"/>
      <c r="G1579" s="40"/>
      <c r="H1579" s="41"/>
      <c r="K1579" s="41"/>
      <c r="N1579" s="134"/>
      <c r="O1579" s="135"/>
      <c r="P1579" s="206"/>
      <c r="Q1579" s="207"/>
      <c r="R1579" s="115"/>
      <c r="S1579" s="134"/>
    </row>
    <row r="1580" hidden="1">
      <c r="A1580" s="32"/>
      <c r="B1580" s="32"/>
      <c r="C1580" s="32"/>
      <c r="D1580" s="32"/>
      <c r="G1580" s="40"/>
      <c r="H1580" s="41"/>
      <c r="K1580" s="41"/>
      <c r="N1580" s="134"/>
      <c r="O1580" s="135"/>
      <c r="P1580" s="206"/>
      <c r="Q1580" s="207"/>
      <c r="R1580" s="115"/>
      <c r="S1580" s="134"/>
    </row>
    <row r="1581" hidden="1">
      <c r="A1581" s="32"/>
      <c r="B1581" s="32"/>
      <c r="C1581" s="32"/>
      <c r="D1581" s="32"/>
      <c r="G1581" s="40"/>
      <c r="H1581" s="41"/>
      <c r="K1581" s="41"/>
      <c r="N1581" s="134"/>
      <c r="O1581" s="135"/>
      <c r="P1581" s="206"/>
      <c r="Q1581" s="207"/>
      <c r="R1581" s="115"/>
      <c r="S1581" s="134"/>
    </row>
    <row r="1582" hidden="1">
      <c r="A1582" s="32"/>
      <c r="B1582" s="32"/>
      <c r="C1582" s="32"/>
      <c r="D1582" s="32"/>
      <c r="G1582" s="40"/>
      <c r="H1582" s="41"/>
      <c r="K1582" s="41"/>
      <c r="N1582" s="134"/>
      <c r="O1582" s="135"/>
      <c r="P1582" s="206"/>
      <c r="Q1582" s="207"/>
      <c r="R1582" s="115"/>
      <c r="S1582" s="134"/>
    </row>
    <row r="1583" hidden="1">
      <c r="A1583" s="32"/>
      <c r="B1583" s="32"/>
      <c r="C1583" s="32"/>
      <c r="D1583" s="32"/>
      <c r="G1583" s="40"/>
      <c r="H1583" s="41"/>
      <c r="K1583" s="41"/>
      <c r="N1583" s="134"/>
      <c r="O1583" s="135"/>
      <c r="P1583" s="206"/>
      <c r="Q1583" s="207"/>
      <c r="R1583" s="115"/>
      <c r="S1583" s="134"/>
    </row>
    <row r="1584" hidden="1">
      <c r="A1584" s="32"/>
      <c r="B1584" s="32"/>
      <c r="C1584" s="32"/>
      <c r="D1584" s="32"/>
      <c r="G1584" s="40"/>
      <c r="H1584" s="41"/>
      <c r="K1584" s="41"/>
      <c r="N1584" s="134"/>
      <c r="O1584" s="135"/>
      <c r="P1584" s="206"/>
      <c r="Q1584" s="207"/>
      <c r="R1584" s="115"/>
      <c r="S1584" s="134"/>
    </row>
    <row r="1585" hidden="1">
      <c r="A1585" s="32"/>
      <c r="B1585" s="32"/>
      <c r="C1585" s="32"/>
      <c r="D1585" s="32"/>
      <c r="G1585" s="40"/>
      <c r="H1585" s="41"/>
      <c r="K1585" s="41"/>
      <c r="N1585" s="134"/>
      <c r="O1585" s="135"/>
      <c r="P1585" s="206"/>
      <c r="Q1585" s="207"/>
      <c r="R1585" s="115"/>
      <c r="S1585" s="134"/>
    </row>
    <row r="1586" hidden="1">
      <c r="A1586" s="32"/>
      <c r="B1586" s="32"/>
      <c r="C1586" s="32"/>
      <c r="D1586" s="32"/>
      <c r="G1586" s="40"/>
      <c r="H1586" s="41"/>
      <c r="K1586" s="41"/>
      <c r="N1586" s="134"/>
      <c r="O1586" s="135"/>
      <c r="P1586" s="206"/>
      <c r="Q1586" s="207"/>
      <c r="R1586" s="115"/>
      <c r="S1586" s="134"/>
    </row>
    <row r="1587" hidden="1">
      <c r="A1587" s="32"/>
      <c r="B1587" s="32"/>
      <c r="C1587" s="32"/>
      <c r="D1587" s="32"/>
      <c r="G1587" s="40"/>
      <c r="H1587" s="41"/>
      <c r="K1587" s="41"/>
      <c r="N1587" s="134"/>
      <c r="O1587" s="135"/>
      <c r="P1587" s="206"/>
      <c r="Q1587" s="207"/>
      <c r="R1587" s="115"/>
      <c r="S1587" s="134"/>
    </row>
    <row r="1588" hidden="1">
      <c r="A1588" s="32"/>
      <c r="B1588" s="32"/>
      <c r="C1588" s="32"/>
      <c r="D1588" s="32"/>
      <c r="G1588" s="40"/>
      <c r="H1588" s="41"/>
      <c r="K1588" s="41"/>
      <c r="N1588" s="134"/>
      <c r="O1588" s="135"/>
      <c r="P1588" s="206"/>
      <c r="Q1588" s="207"/>
      <c r="R1588" s="115"/>
      <c r="S1588" s="134"/>
    </row>
    <row r="1589" hidden="1">
      <c r="A1589" s="32"/>
      <c r="B1589" s="32"/>
      <c r="C1589" s="32"/>
      <c r="D1589" s="32"/>
      <c r="G1589" s="40"/>
      <c r="H1589" s="41"/>
      <c r="K1589" s="41"/>
      <c r="N1589" s="134"/>
      <c r="O1589" s="135"/>
      <c r="P1589" s="206"/>
      <c r="Q1589" s="207"/>
      <c r="R1589" s="115"/>
      <c r="S1589" s="134"/>
    </row>
    <row r="1590" hidden="1">
      <c r="A1590" s="32"/>
      <c r="B1590" s="32"/>
      <c r="C1590" s="32"/>
      <c r="D1590" s="32"/>
      <c r="G1590" s="40"/>
      <c r="H1590" s="41"/>
      <c r="K1590" s="41"/>
      <c r="N1590" s="134"/>
      <c r="O1590" s="135"/>
      <c r="P1590" s="206"/>
      <c r="Q1590" s="207"/>
      <c r="R1590" s="115"/>
      <c r="S1590" s="134"/>
    </row>
    <row r="1591" hidden="1">
      <c r="A1591" s="32"/>
      <c r="B1591" s="32"/>
      <c r="C1591" s="32"/>
      <c r="D1591" s="32"/>
      <c r="G1591" s="40"/>
      <c r="H1591" s="41"/>
      <c r="K1591" s="41"/>
      <c r="N1591" s="134"/>
      <c r="O1591" s="135"/>
      <c r="P1591" s="206"/>
      <c r="Q1591" s="207"/>
      <c r="R1591" s="115"/>
      <c r="S1591" s="134"/>
    </row>
    <row r="1592" hidden="1">
      <c r="A1592" s="32"/>
      <c r="B1592" s="32"/>
      <c r="C1592" s="32"/>
      <c r="D1592" s="32"/>
      <c r="G1592" s="40"/>
      <c r="H1592" s="41"/>
      <c r="K1592" s="41"/>
      <c r="N1592" s="134"/>
      <c r="O1592" s="135"/>
      <c r="P1592" s="206"/>
      <c r="Q1592" s="207"/>
      <c r="R1592" s="115"/>
      <c r="S1592" s="134"/>
    </row>
    <row r="1593" hidden="1">
      <c r="A1593" s="32"/>
      <c r="B1593" s="32"/>
      <c r="C1593" s="32"/>
      <c r="D1593" s="32"/>
      <c r="G1593" s="40"/>
      <c r="H1593" s="41"/>
      <c r="K1593" s="41"/>
      <c r="N1593" s="134"/>
      <c r="O1593" s="135"/>
      <c r="P1593" s="206"/>
      <c r="Q1593" s="207"/>
      <c r="R1593" s="115"/>
      <c r="S1593" s="134"/>
    </row>
    <row r="1594" hidden="1">
      <c r="A1594" s="32"/>
      <c r="B1594" s="32"/>
      <c r="C1594" s="32"/>
      <c r="D1594" s="32"/>
      <c r="G1594" s="40"/>
      <c r="H1594" s="41"/>
      <c r="K1594" s="41"/>
      <c r="N1594" s="134"/>
      <c r="O1594" s="135"/>
      <c r="P1594" s="206"/>
      <c r="Q1594" s="207"/>
      <c r="R1594" s="115"/>
      <c r="S1594" s="134"/>
    </row>
    <row r="1595" hidden="1">
      <c r="A1595" s="32"/>
      <c r="B1595" s="32"/>
      <c r="C1595" s="32"/>
      <c r="D1595" s="32"/>
      <c r="G1595" s="40"/>
      <c r="H1595" s="41"/>
      <c r="K1595" s="41"/>
      <c r="N1595" s="134"/>
      <c r="O1595" s="135"/>
      <c r="P1595" s="206"/>
      <c r="Q1595" s="207"/>
      <c r="R1595" s="115"/>
      <c r="S1595" s="134"/>
    </row>
    <row r="1596" hidden="1">
      <c r="A1596" s="32"/>
      <c r="B1596" s="32"/>
      <c r="C1596" s="32"/>
      <c r="D1596" s="32"/>
      <c r="G1596" s="40"/>
      <c r="H1596" s="41"/>
      <c r="K1596" s="41"/>
      <c r="N1596" s="134"/>
      <c r="O1596" s="135"/>
      <c r="P1596" s="206"/>
      <c r="Q1596" s="207"/>
      <c r="R1596" s="115"/>
      <c r="S1596" s="134"/>
    </row>
    <row r="1597" hidden="1">
      <c r="A1597" s="32"/>
      <c r="B1597" s="32"/>
      <c r="C1597" s="32"/>
      <c r="D1597" s="32"/>
      <c r="G1597" s="40"/>
      <c r="H1597" s="41"/>
      <c r="K1597" s="41"/>
      <c r="N1597" s="134"/>
      <c r="O1597" s="135"/>
      <c r="P1597" s="206"/>
      <c r="Q1597" s="207"/>
      <c r="R1597" s="115"/>
      <c r="S1597" s="134"/>
    </row>
    <row r="1598" hidden="1">
      <c r="A1598" s="32"/>
      <c r="B1598" s="32"/>
      <c r="C1598" s="32"/>
      <c r="D1598" s="32"/>
      <c r="G1598" s="40"/>
      <c r="H1598" s="41"/>
      <c r="K1598" s="41"/>
      <c r="N1598" s="134"/>
      <c r="O1598" s="135"/>
      <c r="P1598" s="206"/>
      <c r="Q1598" s="207"/>
      <c r="R1598" s="115"/>
      <c r="S1598" s="134"/>
    </row>
    <row r="1599" hidden="1">
      <c r="A1599" s="32"/>
      <c r="B1599" s="32"/>
      <c r="C1599" s="32"/>
      <c r="D1599" s="32"/>
      <c r="G1599" s="40"/>
      <c r="H1599" s="41"/>
      <c r="K1599" s="41"/>
      <c r="N1599" s="134"/>
      <c r="O1599" s="135"/>
      <c r="P1599" s="206"/>
      <c r="Q1599" s="207"/>
      <c r="R1599" s="115"/>
      <c r="S1599" s="134"/>
    </row>
    <row r="1600" hidden="1">
      <c r="A1600" s="32"/>
      <c r="B1600" s="32"/>
      <c r="C1600" s="32"/>
      <c r="D1600" s="32"/>
      <c r="G1600" s="40"/>
      <c r="H1600" s="41"/>
      <c r="K1600" s="41"/>
      <c r="N1600" s="134"/>
      <c r="O1600" s="135"/>
      <c r="P1600" s="206"/>
      <c r="Q1600" s="207"/>
      <c r="R1600" s="115"/>
      <c r="S1600" s="134"/>
    </row>
    <row r="1601" hidden="1">
      <c r="A1601" s="32"/>
      <c r="B1601" s="32"/>
      <c r="C1601" s="32"/>
      <c r="D1601" s="32"/>
      <c r="G1601" s="40"/>
      <c r="H1601" s="41"/>
      <c r="K1601" s="41"/>
      <c r="N1601" s="134"/>
      <c r="O1601" s="135"/>
      <c r="P1601" s="206"/>
      <c r="Q1601" s="207"/>
      <c r="R1601" s="115"/>
      <c r="S1601" s="134"/>
    </row>
    <row r="1602" hidden="1">
      <c r="A1602" s="32"/>
      <c r="B1602" s="32"/>
      <c r="C1602" s="32"/>
      <c r="D1602" s="32"/>
      <c r="G1602" s="40"/>
      <c r="H1602" s="41"/>
      <c r="K1602" s="41"/>
      <c r="N1602" s="134"/>
      <c r="O1602" s="135"/>
      <c r="P1602" s="206"/>
      <c r="Q1602" s="207"/>
      <c r="R1602" s="115"/>
      <c r="S1602" s="134"/>
    </row>
    <row r="1603" hidden="1">
      <c r="A1603" s="32"/>
      <c r="B1603" s="32"/>
      <c r="C1603" s="32"/>
      <c r="D1603" s="32"/>
      <c r="G1603" s="40"/>
      <c r="H1603" s="41"/>
      <c r="K1603" s="41"/>
      <c r="N1603" s="134"/>
      <c r="O1603" s="135"/>
      <c r="P1603" s="206"/>
      <c r="Q1603" s="207"/>
      <c r="R1603" s="115"/>
      <c r="S1603" s="134"/>
    </row>
    <row r="1604" hidden="1">
      <c r="A1604" s="32"/>
      <c r="B1604" s="32"/>
      <c r="C1604" s="32"/>
      <c r="D1604" s="32"/>
      <c r="G1604" s="40"/>
      <c r="H1604" s="41"/>
      <c r="K1604" s="41"/>
      <c r="N1604" s="134"/>
      <c r="O1604" s="135"/>
      <c r="P1604" s="206"/>
      <c r="Q1604" s="207"/>
      <c r="R1604" s="115"/>
      <c r="S1604" s="134"/>
    </row>
    <row r="1605" hidden="1">
      <c r="A1605" s="32"/>
      <c r="B1605" s="32"/>
      <c r="C1605" s="32"/>
      <c r="D1605" s="32"/>
      <c r="G1605" s="40"/>
      <c r="H1605" s="41"/>
      <c r="K1605" s="41"/>
      <c r="N1605" s="134"/>
      <c r="O1605" s="135"/>
      <c r="P1605" s="206"/>
      <c r="Q1605" s="207"/>
      <c r="R1605" s="115"/>
      <c r="S1605" s="134"/>
    </row>
    <row r="1606" hidden="1">
      <c r="A1606" s="32"/>
      <c r="B1606" s="32"/>
      <c r="C1606" s="32"/>
      <c r="D1606" s="32"/>
      <c r="G1606" s="40"/>
      <c r="H1606" s="41"/>
      <c r="K1606" s="41"/>
      <c r="N1606" s="134"/>
      <c r="O1606" s="135"/>
      <c r="P1606" s="206"/>
      <c r="Q1606" s="207"/>
      <c r="R1606" s="115"/>
      <c r="S1606" s="134"/>
    </row>
    <row r="1607" hidden="1">
      <c r="A1607" s="32"/>
      <c r="B1607" s="32"/>
      <c r="C1607" s="32"/>
      <c r="D1607" s="32"/>
      <c r="G1607" s="40"/>
      <c r="H1607" s="41"/>
      <c r="K1607" s="41"/>
      <c r="N1607" s="134"/>
      <c r="O1607" s="135"/>
      <c r="P1607" s="206"/>
      <c r="Q1607" s="207"/>
      <c r="R1607" s="115"/>
      <c r="S1607" s="134"/>
    </row>
    <row r="1608" hidden="1">
      <c r="A1608" s="32"/>
      <c r="B1608" s="32"/>
      <c r="C1608" s="32"/>
      <c r="D1608" s="32"/>
      <c r="G1608" s="40"/>
      <c r="H1608" s="41"/>
      <c r="K1608" s="41"/>
      <c r="N1608" s="134"/>
      <c r="O1608" s="135"/>
      <c r="P1608" s="206"/>
      <c r="Q1608" s="207"/>
      <c r="R1608" s="115"/>
      <c r="S1608" s="134"/>
    </row>
    <row r="1609" hidden="1">
      <c r="A1609" s="32"/>
      <c r="B1609" s="32"/>
      <c r="C1609" s="32"/>
      <c r="D1609" s="32"/>
      <c r="G1609" s="40"/>
      <c r="H1609" s="41"/>
      <c r="K1609" s="41"/>
      <c r="N1609" s="134"/>
      <c r="O1609" s="135"/>
      <c r="P1609" s="206"/>
      <c r="Q1609" s="207"/>
      <c r="R1609" s="115"/>
      <c r="S1609" s="134"/>
    </row>
    <row r="1610" hidden="1">
      <c r="A1610" s="32"/>
      <c r="B1610" s="32"/>
      <c r="C1610" s="32"/>
      <c r="D1610" s="32"/>
      <c r="G1610" s="40"/>
      <c r="H1610" s="41"/>
      <c r="K1610" s="41"/>
      <c r="N1610" s="134"/>
      <c r="O1610" s="135"/>
      <c r="P1610" s="206"/>
      <c r="Q1610" s="207"/>
      <c r="R1610" s="115"/>
      <c r="S1610" s="134"/>
    </row>
    <row r="1611" hidden="1">
      <c r="A1611" s="32"/>
      <c r="B1611" s="32"/>
      <c r="C1611" s="32"/>
      <c r="D1611" s="32"/>
      <c r="G1611" s="40"/>
      <c r="H1611" s="41"/>
      <c r="K1611" s="41"/>
      <c r="N1611" s="134"/>
      <c r="O1611" s="135"/>
      <c r="P1611" s="206"/>
      <c r="Q1611" s="207"/>
      <c r="R1611" s="115"/>
      <c r="S1611" s="134"/>
    </row>
    <row r="1612" hidden="1">
      <c r="A1612" s="32"/>
      <c r="B1612" s="32"/>
      <c r="C1612" s="32"/>
      <c r="D1612" s="32"/>
      <c r="G1612" s="40"/>
      <c r="H1612" s="41"/>
      <c r="K1612" s="41"/>
      <c r="N1612" s="134"/>
      <c r="O1612" s="135"/>
      <c r="P1612" s="206"/>
      <c r="Q1612" s="207"/>
      <c r="R1612" s="115"/>
      <c r="S1612" s="134"/>
    </row>
    <row r="1613" hidden="1">
      <c r="A1613" s="32"/>
      <c r="B1613" s="32"/>
      <c r="C1613" s="32"/>
      <c r="D1613" s="32"/>
      <c r="G1613" s="40"/>
      <c r="H1613" s="41"/>
      <c r="K1613" s="41"/>
      <c r="N1613" s="134"/>
      <c r="O1613" s="135"/>
      <c r="P1613" s="206"/>
      <c r="Q1613" s="207"/>
      <c r="R1613" s="115"/>
      <c r="S1613" s="134"/>
    </row>
    <row r="1614" hidden="1">
      <c r="A1614" s="32"/>
      <c r="B1614" s="32"/>
      <c r="C1614" s="32"/>
      <c r="D1614" s="32"/>
      <c r="G1614" s="40"/>
      <c r="H1614" s="41"/>
      <c r="K1614" s="41"/>
      <c r="N1614" s="134"/>
      <c r="O1614" s="135"/>
      <c r="P1614" s="206"/>
      <c r="Q1614" s="207"/>
      <c r="R1614" s="115"/>
      <c r="S1614" s="134"/>
    </row>
    <row r="1615" hidden="1">
      <c r="A1615" s="32"/>
      <c r="B1615" s="32"/>
      <c r="C1615" s="32"/>
      <c r="D1615" s="32"/>
      <c r="G1615" s="40"/>
      <c r="H1615" s="41"/>
      <c r="K1615" s="41"/>
      <c r="N1615" s="134"/>
      <c r="O1615" s="135"/>
      <c r="P1615" s="206"/>
      <c r="Q1615" s="207"/>
      <c r="R1615" s="115"/>
      <c r="S1615" s="134"/>
    </row>
    <row r="1616" hidden="1">
      <c r="A1616" s="32"/>
      <c r="B1616" s="32"/>
      <c r="C1616" s="32"/>
      <c r="D1616" s="32"/>
      <c r="G1616" s="40"/>
      <c r="H1616" s="41"/>
      <c r="K1616" s="41"/>
      <c r="N1616" s="134"/>
      <c r="O1616" s="135"/>
      <c r="P1616" s="206"/>
      <c r="Q1616" s="207"/>
      <c r="R1616" s="115"/>
      <c r="S1616" s="134"/>
    </row>
    <row r="1617" hidden="1">
      <c r="A1617" s="32"/>
      <c r="B1617" s="32"/>
      <c r="C1617" s="32"/>
      <c r="D1617" s="32"/>
      <c r="G1617" s="40"/>
      <c r="H1617" s="41"/>
      <c r="K1617" s="41"/>
      <c r="N1617" s="134"/>
      <c r="O1617" s="135"/>
      <c r="P1617" s="206"/>
      <c r="Q1617" s="207"/>
      <c r="R1617" s="115"/>
      <c r="S1617" s="134"/>
    </row>
    <row r="1618" hidden="1">
      <c r="A1618" s="32"/>
      <c r="B1618" s="32"/>
      <c r="C1618" s="32"/>
      <c r="D1618" s="32"/>
      <c r="G1618" s="40"/>
      <c r="H1618" s="41"/>
      <c r="K1618" s="41"/>
      <c r="N1618" s="134"/>
      <c r="O1618" s="135"/>
      <c r="P1618" s="206"/>
      <c r="Q1618" s="207"/>
      <c r="R1618" s="115"/>
      <c r="S1618" s="134"/>
    </row>
    <row r="1619" hidden="1">
      <c r="A1619" s="32"/>
      <c r="B1619" s="32"/>
      <c r="C1619" s="32"/>
      <c r="D1619" s="32"/>
      <c r="G1619" s="40"/>
      <c r="H1619" s="41"/>
      <c r="K1619" s="41"/>
      <c r="N1619" s="134"/>
      <c r="O1619" s="135"/>
      <c r="P1619" s="206"/>
      <c r="Q1619" s="207"/>
      <c r="R1619" s="115"/>
      <c r="S1619" s="134"/>
    </row>
    <row r="1620" hidden="1">
      <c r="A1620" s="32"/>
      <c r="B1620" s="32"/>
      <c r="C1620" s="32"/>
      <c r="D1620" s="32"/>
      <c r="G1620" s="40"/>
      <c r="H1620" s="41"/>
      <c r="K1620" s="41"/>
      <c r="N1620" s="134"/>
      <c r="O1620" s="135"/>
      <c r="P1620" s="206"/>
      <c r="Q1620" s="207"/>
      <c r="R1620" s="115"/>
      <c r="S1620" s="134"/>
    </row>
    <row r="1621" hidden="1">
      <c r="A1621" s="32"/>
      <c r="B1621" s="32"/>
      <c r="C1621" s="32"/>
      <c r="D1621" s="32"/>
      <c r="G1621" s="40"/>
      <c r="H1621" s="41"/>
      <c r="K1621" s="41"/>
      <c r="N1621" s="134"/>
      <c r="O1621" s="135"/>
      <c r="P1621" s="206"/>
      <c r="Q1621" s="207"/>
      <c r="R1621" s="115"/>
      <c r="S1621" s="134"/>
    </row>
    <row r="1622" hidden="1">
      <c r="A1622" s="32"/>
      <c r="B1622" s="32"/>
      <c r="C1622" s="32"/>
      <c r="D1622" s="32"/>
      <c r="G1622" s="40"/>
      <c r="H1622" s="41"/>
      <c r="K1622" s="41"/>
      <c r="N1622" s="134"/>
      <c r="O1622" s="135"/>
      <c r="P1622" s="206"/>
      <c r="Q1622" s="207"/>
      <c r="R1622" s="115"/>
      <c r="S1622" s="134"/>
    </row>
    <row r="1623" hidden="1">
      <c r="A1623" s="32"/>
      <c r="B1623" s="32"/>
      <c r="C1623" s="32"/>
      <c r="D1623" s="32"/>
      <c r="G1623" s="40"/>
      <c r="H1623" s="41"/>
      <c r="K1623" s="41"/>
      <c r="N1623" s="134"/>
      <c r="O1623" s="135"/>
      <c r="P1623" s="206"/>
      <c r="Q1623" s="207"/>
      <c r="R1623" s="115"/>
      <c r="S1623" s="134"/>
    </row>
    <row r="1624" hidden="1">
      <c r="A1624" s="32"/>
      <c r="B1624" s="32"/>
      <c r="C1624" s="32"/>
      <c r="D1624" s="32"/>
      <c r="G1624" s="40"/>
      <c r="H1624" s="41"/>
      <c r="K1624" s="41"/>
      <c r="N1624" s="134"/>
      <c r="O1624" s="135"/>
      <c r="P1624" s="206"/>
      <c r="Q1624" s="207"/>
      <c r="R1624" s="115"/>
      <c r="S1624" s="134"/>
    </row>
    <row r="1625" hidden="1">
      <c r="A1625" s="32"/>
      <c r="B1625" s="32"/>
      <c r="C1625" s="32"/>
      <c r="D1625" s="32"/>
      <c r="G1625" s="40"/>
      <c r="H1625" s="41"/>
      <c r="K1625" s="41"/>
      <c r="N1625" s="134"/>
      <c r="O1625" s="135"/>
      <c r="P1625" s="206"/>
      <c r="Q1625" s="207"/>
      <c r="R1625" s="115"/>
      <c r="S1625" s="134"/>
    </row>
    <row r="1626" hidden="1">
      <c r="A1626" s="32"/>
      <c r="B1626" s="32"/>
      <c r="C1626" s="32"/>
      <c r="D1626" s="32"/>
      <c r="G1626" s="40"/>
      <c r="H1626" s="41"/>
      <c r="K1626" s="41"/>
      <c r="N1626" s="134"/>
      <c r="O1626" s="135"/>
      <c r="P1626" s="206"/>
      <c r="Q1626" s="207"/>
      <c r="R1626" s="115"/>
      <c r="S1626" s="134"/>
    </row>
    <row r="1627" hidden="1">
      <c r="A1627" s="32"/>
      <c r="B1627" s="32"/>
      <c r="C1627" s="32"/>
      <c r="D1627" s="32"/>
      <c r="G1627" s="40"/>
      <c r="H1627" s="41"/>
      <c r="K1627" s="41"/>
      <c r="N1627" s="134"/>
      <c r="O1627" s="135"/>
      <c r="P1627" s="206"/>
      <c r="Q1627" s="207"/>
      <c r="R1627" s="115"/>
      <c r="S1627" s="134"/>
    </row>
    <row r="1628" hidden="1">
      <c r="A1628" s="32"/>
      <c r="B1628" s="32"/>
      <c r="C1628" s="32"/>
      <c r="D1628" s="32"/>
      <c r="G1628" s="40"/>
      <c r="H1628" s="41"/>
      <c r="K1628" s="41"/>
      <c r="N1628" s="134"/>
      <c r="O1628" s="135"/>
      <c r="P1628" s="206"/>
      <c r="Q1628" s="207"/>
      <c r="R1628" s="115"/>
      <c r="S1628" s="134"/>
    </row>
    <row r="1629" hidden="1">
      <c r="A1629" s="32"/>
      <c r="B1629" s="32"/>
      <c r="C1629" s="32"/>
      <c r="D1629" s="32"/>
      <c r="G1629" s="40"/>
      <c r="H1629" s="41"/>
      <c r="K1629" s="41"/>
      <c r="N1629" s="134"/>
      <c r="O1629" s="135"/>
      <c r="P1629" s="206"/>
      <c r="Q1629" s="207"/>
      <c r="R1629" s="115"/>
      <c r="S1629" s="134"/>
    </row>
    <row r="1630" hidden="1">
      <c r="A1630" s="32"/>
      <c r="B1630" s="32"/>
      <c r="C1630" s="32"/>
      <c r="D1630" s="32"/>
      <c r="G1630" s="40"/>
      <c r="H1630" s="41"/>
      <c r="K1630" s="41"/>
      <c r="N1630" s="134"/>
      <c r="O1630" s="135"/>
      <c r="P1630" s="206"/>
      <c r="Q1630" s="207"/>
      <c r="R1630" s="115"/>
      <c r="S1630" s="134"/>
    </row>
    <row r="1631" hidden="1">
      <c r="A1631" s="32"/>
      <c r="B1631" s="32"/>
      <c r="C1631" s="32"/>
      <c r="D1631" s="32"/>
      <c r="G1631" s="40"/>
      <c r="H1631" s="41"/>
      <c r="K1631" s="41"/>
      <c r="N1631" s="134"/>
      <c r="O1631" s="135"/>
      <c r="P1631" s="206"/>
      <c r="Q1631" s="207"/>
      <c r="R1631" s="115"/>
      <c r="S1631" s="134"/>
    </row>
    <row r="1632" hidden="1">
      <c r="A1632" s="32"/>
      <c r="B1632" s="32"/>
      <c r="C1632" s="32"/>
      <c r="D1632" s="32"/>
      <c r="G1632" s="40"/>
      <c r="H1632" s="41"/>
      <c r="K1632" s="41"/>
      <c r="N1632" s="134"/>
      <c r="O1632" s="135"/>
      <c r="P1632" s="206"/>
      <c r="Q1632" s="207"/>
      <c r="R1632" s="115"/>
      <c r="S1632" s="134"/>
    </row>
    <row r="1633" hidden="1">
      <c r="A1633" s="32"/>
      <c r="B1633" s="32"/>
      <c r="C1633" s="32"/>
      <c r="D1633" s="32"/>
      <c r="G1633" s="40"/>
      <c r="H1633" s="41"/>
      <c r="K1633" s="41"/>
      <c r="N1633" s="134"/>
      <c r="O1633" s="135"/>
      <c r="P1633" s="206"/>
      <c r="Q1633" s="207"/>
      <c r="R1633" s="115"/>
      <c r="S1633" s="134"/>
    </row>
    <row r="1634" hidden="1">
      <c r="A1634" s="32"/>
      <c r="B1634" s="32"/>
      <c r="C1634" s="32"/>
      <c r="D1634" s="32"/>
      <c r="G1634" s="40"/>
      <c r="H1634" s="41"/>
      <c r="K1634" s="41"/>
      <c r="N1634" s="134"/>
      <c r="O1634" s="135"/>
      <c r="P1634" s="206"/>
      <c r="Q1634" s="207"/>
      <c r="R1634" s="115"/>
      <c r="S1634" s="134"/>
    </row>
    <row r="1635" hidden="1">
      <c r="A1635" s="32"/>
      <c r="B1635" s="32"/>
      <c r="C1635" s="32"/>
      <c r="D1635" s="32"/>
      <c r="G1635" s="40"/>
      <c r="H1635" s="41"/>
      <c r="K1635" s="41"/>
      <c r="N1635" s="134"/>
      <c r="O1635" s="135"/>
      <c r="P1635" s="206"/>
      <c r="Q1635" s="207"/>
      <c r="R1635" s="115"/>
      <c r="S1635" s="134"/>
    </row>
    <row r="1636" hidden="1">
      <c r="A1636" s="32"/>
      <c r="B1636" s="32"/>
      <c r="C1636" s="32"/>
      <c r="D1636" s="32"/>
      <c r="G1636" s="40"/>
      <c r="H1636" s="41"/>
      <c r="K1636" s="41"/>
      <c r="N1636" s="134"/>
      <c r="O1636" s="135"/>
      <c r="P1636" s="206"/>
      <c r="Q1636" s="207"/>
      <c r="R1636" s="115"/>
      <c r="S1636" s="134"/>
    </row>
    <row r="1637" hidden="1">
      <c r="A1637" s="32"/>
      <c r="B1637" s="32"/>
      <c r="C1637" s="32"/>
      <c r="D1637" s="32"/>
      <c r="G1637" s="40"/>
      <c r="H1637" s="41"/>
      <c r="K1637" s="41"/>
      <c r="N1637" s="134"/>
      <c r="O1637" s="135"/>
      <c r="P1637" s="206"/>
      <c r="Q1637" s="207"/>
      <c r="R1637" s="115"/>
      <c r="S1637" s="134"/>
    </row>
    <row r="1638" hidden="1">
      <c r="A1638" s="32"/>
      <c r="B1638" s="32"/>
      <c r="C1638" s="32"/>
      <c r="D1638" s="32"/>
      <c r="G1638" s="40"/>
      <c r="H1638" s="41"/>
      <c r="K1638" s="41"/>
      <c r="N1638" s="134"/>
      <c r="O1638" s="135"/>
      <c r="P1638" s="206"/>
      <c r="Q1638" s="207"/>
      <c r="R1638" s="115"/>
      <c r="S1638" s="134"/>
    </row>
    <row r="1639" hidden="1">
      <c r="A1639" s="32"/>
      <c r="B1639" s="32"/>
      <c r="C1639" s="32"/>
      <c r="D1639" s="32"/>
      <c r="G1639" s="40"/>
      <c r="H1639" s="41"/>
      <c r="K1639" s="41"/>
      <c r="N1639" s="134"/>
      <c r="O1639" s="135"/>
      <c r="P1639" s="206"/>
      <c r="Q1639" s="207"/>
      <c r="R1639" s="115"/>
      <c r="S1639" s="134"/>
    </row>
    <row r="1640" hidden="1">
      <c r="A1640" s="32"/>
      <c r="B1640" s="32"/>
      <c r="C1640" s="32"/>
      <c r="D1640" s="32"/>
      <c r="G1640" s="40"/>
      <c r="H1640" s="41"/>
      <c r="K1640" s="41"/>
      <c r="N1640" s="134"/>
      <c r="O1640" s="135"/>
      <c r="P1640" s="206"/>
      <c r="Q1640" s="207"/>
      <c r="R1640" s="115"/>
      <c r="S1640" s="134"/>
    </row>
    <row r="1641" hidden="1">
      <c r="A1641" s="32"/>
      <c r="B1641" s="32"/>
      <c r="C1641" s="32"/>
      <c r="D1641" s="32"/>
      <c r="G1641" s="40"/>
      <c r="H1641" s="41"/>
      <c r="K1641" s="41"/>
      <c r="N1641" s="134"/>
      <c r="O1641" s="135"/>
      <c r="P1641" s="206"/>
      <c r="Q1641" s="207"/>
      <c r="R1641" s="115"/>
      <c r="S1641" s="134"/>
    </row>
    <row r="1642" hidden="1">
      <c r="A1642" s="32"/>
      <c r="B1642" s="32"/>
      <c r="C1642" s="32"/>
      <c r="D1642" s="32"/>
      <c r="G1642" s="40"/>
      <c r="H1642" s="41"/>
      <c r="K1642" s="41"/>
      <c r="N1642" s="134"/>
      <c r="O1642" s="135"/>
      <c r="P1642" s="206"/>
      <c r="Q1642" s="207"/>
      <c r="R1642" s="115"/>
      <c r="S1642" s="134"/>
    </row>
    <row r="1643" hidden="1">
      <c r="A1643" s="32"/>
      <c r="B1643" s="32"/>
      <c r="C1643" s="32"/>
      <c r="D1643" s="32"/>
      <c r="G1643" s="40"/>
      <c r="H1643" s="41"/>
      <c r="K1643" s="41"/>
      <c r="N1643" s="134"/>
      <c r="O1643" s="135"/>
      <c r="P1643" s="206"/>
      <c r="Q1643" s="207"/>
      <c r="R1643" s="115"/>
      <c r="S1643" s="134"/>
    </row>
    <row r="1644" hidden="1">
      <c r="A1644" s="32"/>
      <c r="B1644" s="32"/>
      <c r="C1644" s="32"/>
      <c r="D1644" s="32"/>
      <c r="G1644" s="40"/>
      <c r="H1644" s="41"/>
      <c r="K1644" s="41"/>
      <c r="N1644" s="134"/>
      <c r="O1644" s="135"/>
      <c r="P1644" s="206"/>
      <c r="Q1644" s="207"/>
      <c r="R1644" s="115"/>
      <c r="S1644" s="134"/>
    </row>
    <row r="1645" hidden="1">
      <c r="A1645" s="32"/>
      <c r="B1645" s="32"/>
      <c r="C1645" s="32"/>
      <c r="D1645" s="32"/>
      <c r="G1645" s="40"/>
      <c r="H1645" s="41"/>
      <c r="K1645" s="41"/>
      <c r="N1645" s="134"/>
      <c r="O1645" s="135"/>
      <c r="P1645" s="206"/>
      <c r="Q1645" s="207"/>
      <c r="R1645" s="115"/>
      <c r="S1645" s="134"/>
    </row>
    <row r="1646" hidden="1">
      <c r="A1646" s="32"/>
      <c r="B1646" s="32"/>
      <c r="C1646" s="32"/>
      <c r="D1646" s="32"/>
      <c r="G1646" s="40"/>
      <c r="H1646" s="41"/>
      <c r="K1646" s="41"/>
      <c r="N1646" s="134"/>
      <c r="O1646" s="135"/>
      <c r="P1646" s="206"/>
      <c r="Q1646" s="207"/>
      <c r="R1646" s="115"/>
      <c r="S1646" s="134"/>
    </row>
    <row r="1647" hidden="1">
      <c r="A1647" s="32"/>
      <c r="B1647" s="32"/>
      <c r="C1647" s="32"/>
      <c r="D1647" s="32"/>
      <c r="G1647" s="40"/>
      <c r="H1647" s="41"/>
      <c r="K1647" s="41"/>
      <c r="N1647" s="134"/>
      <c r="O1647" s="135"/>
      <c r="P1647" s="206"/>
      <c r="Q1647" s="207"/>
      <c r="R1647" s="115"/>
      <c r="S1647" s="134"/>
    </row>
    <row r="1648" hidden="1">
      <c r="A1648" s="32"/>
      <c r="B1648" s="32"/>
      <c r="C1648" s="32"/>
      <c r="D1648" s="32"/>
      <c r="G1648" s="40"/>
      <c r="H1648" s="41"/>
      <c r="K1648" s="41"/>
      <c r="N1648" s="134"/>
      <c r="O1648" s="135"/>
      <c r="P1648" s="206"/>
      <c r="Q1648" s="207"/>
      <c r="R1648" s="115"/>
      <c r="S1648" s="134"/>
    </row>
    <row r="1649" hidden="1">
      <c r="A1649" s="32"/>
      <c r="B1649" s="32"/>
      <c r="C1649" s="32"/>
      <c r="D1649" s="32"/>
      <c r="G1649" s="40"/>
      <c r="H1649" s="41"/>
      <c r="K1649" s="41"/>
      <c r="N1649" s="134"/>
      <c r="O1649" s="135"/>
      <c r="P1649" s="206"/>
      <c r="Q1649" s="207"/>
      <c r="R1649" s="115"/>
      <c r="S1649" s="134"/>
    </row>
    <row r="1650" hidden="1">
      <c r="A1650" s="32"/>
      <c r="B1650" s="32"/>
      <c r="C1650" s="32"/>
      <c r="D1650" s="32"/>
      <c r="G1650" s="40"/>
      <c r="H1650" s="41"/>
      <c r="K1650" s="41"/>
      <c r="N1650" s="134"/>
      <c r="O1650" s="135"/>
      <c r="P1650" s="206"/>
      <c r="Q1650" s="207"/>
      <c r="R1650" s="115"/>
      <c r="S1650" s="134"/>
    </row>
    <row r="1651" hidden="1">
      <c r="A1651" s="32"/>
      <c r="B1651" s="32"/>
      <c r="C1651" s="32"/>
      <c r="D1651" s="32"/>
      <c r="G1651" s="40"/>
      <c r="H1651" s="41"/>
      <c r="K1651" s="41"/>
      <c r="N1651" s="134"/>
      <c r="O1651" s="135"/>
      <c r="P1651" s="206"/>
      <c r="Q1651" s="207"/>
      <c r="R1651" s="115"/>
      <c r="S1651" s="134"/>
    </row>
    <row r="1652" hidden="1">
      <c r="A1652" s="32"/>
      <c r="B1652" s="32"/>
      <c r="C1652" s="32"/>
      <c r="D1652" s="32"/>
      <c r="G1652" s="40"/>
      <c r="H1652" s="41"/>
      <c r="K1652" s="41"/>
      <c r="N1652" s="134"/>
      <c r="O1652" s="135"/>
      <c r="P1652" s="206"/>
      <c r="Q1652" s="207"/>
      <c r="R1652" s="115"/>
      <c r="S1652" s="134"/>
    </row>
    <row r="1653" hidden="1">
      <c r="A1653" s="32"/>
      <c r="B1653" s="32"/>
      <c r="C1653" s="32"/>
      <c r="D1653" s="32"/>
      <c r="G1653" s="40"/>
      <c r="H1653" s="41"/>
      <c r="K1653" s="41"/>
      <c r="N1653" s="134"/>
      <c r="O1653" s="135"/>
      <c r="P1653" s="206"/>
      <c r="Q1653" s="207"/>
      <c r="R1653" s="115"/>
      <c r="S1653" s="134"/>
    </row>
    <row r="1654" hidden="1">
      <c r="A1654" s="32"/>
      <c r="B1654" s="32"/>
      <c r="C1654" s="32"/>
      <c r="D1654" s="32"/>
      <c r="G1654" s="40"/>
      <c r="H1654" s="41"/>
      <c r="K1654" s="41"/>
      <c r="N1654" s="134"/>
      <c r="O1654" s="135"/>
      <c r="P1654" s="206"/>
      <c r="Q1654" s="207"/>
      <c r="R1654" s="115"/>
      <c r="S1654" s="134"/>
    </row>
    <row r="1655" hidden="1">
      <c r="A1655" s="32"/>
      <c r="B1655" s="32"/>
      <c r="C1655" s="32"/>
      <c r="D1655" s="32"/>
      <c r="G1655" s="40"/>
      <c r="H1655" s="41"/>
      <c r="K1655" s="41"/>
      <c r="N1655" s="134"/>
      <c r="O1655" s="135"/>
      <c r="P1655" s="206"/>
      <c r="Q1655" s="207"/>
      <c r="R1655" s="115"/>
      <c r="S1655" s="134"/>
    </row>
    <row r="1656" hidden="1">
      <c r="A1656" s="32"/>
      <c r="B1656" s="32"/>
      <c r="C1656" s="32"/>
      <c r="D1656" s="32"/>
      <c r="G1656" s="40"/>
      <c r="H1656" s="41"/>
      <c r="K1656" s="41"/>
      <c r="N1656" s="134"/>
      <c r="O1656" s="135"/>
      <c r="P1656" s="206"/>
      <c r="Q1656" s="207"/>
      <c r="R1656" s="115"/>
      <c r="S1656" s="134"/>
    </row>
    <row r="1657" hidden="1">
      <c r="A1657" s="32"/>
      <c r="B1657" s="32"/>
      <c r="C1657" s="32"/>
      <c r="D1657" s="32"/>
      <c r="G1657" s="40"/>
      <c r="H1657" s="41"/>
      <c r="K1657" s="41"/>
      <c r="N1657" s="134"/>
      <c r="O1657" s="135"/>
      <c r="P1657" s="206"/>
      <c r="Q1657" s="207"/>
      <c r="R1657" s="115"/>
      <c r="S1657" s="134"/>
    </row>
    <row r="1658" hidden="1">
      <c r="A1658" s="32"/>
      <c r="B1658" s="32"/>
      <c r="C1658" s="32"/>
      <c r="D1658" s="32"/>
      <c r="G1658" s="40"/>
      <c r="H1658" s="41"/>
      <c r="K1658" s="41"/>
      <c r="N1658" s="134"/>
      <c r="O1658" s="135"/>
      <c r="P1658" s="206"/>
      <c r="Q1658" s="207"/>
      <c r="R1658" s="115"/>
      <c r="S1658" s="134"/>
    </row>
    <row r="1659" hidden="1">
      <c r="A1659" s="32"/>
      <c r="B1659" s="32"/>
      <c r="C1659" s="32"/>
      <c r="D1659" s="32"/>
      <c r="G1659" s="40"/>
      <c r="H1659" s="41"/>
      <c r="K1659" s="41"/>
      <c r="N1659" s="134"/>
      <c r="O1659" s="135"/>
      <c r="P1659" s="206"/>
      <c r="Q1659" s="207"/>
      <c r="R1659" s="115"/>
      <c r="S1659" s="134"/>
    </row>
    <row r="1660" hidden="1">
      <c r="A1660" s="32"/>
      <c r="B1660" s="32"/>
      <c r="C1660" s="32"/>
      <c r="D1660" s="32"/>
      <c r="G1660" s="40"/>
      <c r="H1660" s="41"/>
      <c r="K1660" s="41"/>
      <c r="N1660" s="134"/>
      <c r="O1660" s="135"/>
      <c r="P1660" s="206"/>
      <c r="Q1660" s="207"/>
      <c r="R1660" s="115"/>
      <c r="S1660" s="134"/>
    </row>
    <row r="1661" hidden="1">
      <c r="A1661" s="32"/>
      <c r="B1661" s="32"/>
      <c r="C1661" s="32"/>
      <c r="D1661" s="32"/>
      <c r="G1661" s="40"/>
      <c r="H1661" s="41"/>
      <c r="K1661" s="41"/>
      <c r="N1661" s="134"/>
      <c r="O1661" s="135"/>
      <c r="P1661" s="206"/>
      <c r="Q1661" s="207"/>
      <c r="R1661" s="115"/>
      <c r="S1661" s="134"/>
    </row>
    <row r="1662" hidden="1">
      <c r="A1662" s="32"/>
      <c r="B1662" s="32"/>
      <c r="C1662" s="32"/>
      <c r="D1662" s="32"/>
      <c r="G1662" s="40"/>
      <c r="H1662" s="41"/>
      <c r="K1662" s="41"/>
      <c r="N1662" s="134"/>
      <c r="O1662" s="135"/>
      <c r="P1662" s="206"/>
      <c r="Q1662" s="207"/>
      <c r="R1662" s="115"/>
      <c r="S1662" s="134"/>
    </row>
    <row r="1663" hidden="1">
      <c r="A1663" s="32"/>
      <c r="B1663" s="32"/>
      <c r="C1663" s="32"/>
      <c r="D1663" s="32"/>
      <c r="G1663" s="40"/>
      <c r="H1663" s="41"/>
      <c r="K1663" s="41"/>
      <c r="N1663" s="134"/>
      <c r="O1663" s="135"/>
      <c r="P1663" s="206"/>
      <c r="Q1663" s="207"/>
      <c r="R1663" s="115"/>
      <c r="S1663" s="134"/>
    </row>
    <row r="1664" hidden="1">
      <c r="A1664" s="32"/>
      <c r="B1664" s="32"/>
      <c r="C1664" s="32"/>
      <c r="D1664" s="32"/>
      <c r="G1664" s="40"/>
      <c r="H1664" s="41"/>
      <c r="K1664" s="41"/>
      <c r="N1664" s="134"/>
      <c r="O1664" s="135"/>
      <c r="P1664" s="206"/>
      <c r="Q1664" s="207"/>
      <c r="R1664" s="115"/>
      <c r="S1664" s="134"/>
    </row>
    <row r="1665" hidden="1">
      <c r="A1665" s="32"/>
      <c r="B1665" s="32"/>
      <c r="C1665" s="32"/>
      <c r="D1665" s="32"/>
      <c r="G1665" s="40"/>
      <c r="H1665" s="41"/>
      <c r="K1665" s="41"/>
      <c r="N1665" s="134"/>
      <c r="O1665" s="135"/>
      <c r="P1665" s="206"/>
      <c r="Q1665" s="207"/>
      <c r="R1665" s="115"/>
      <c r="S1665" s="134"/>
    </row>
    <row r="1666" hidden="1">
      <c r="A1666" s="32"/>
      <c r="B1666" s="32"/>
      <c r="C1666" s="32"/>
      <c r="D1666" s="32"/>
      <c r="G1666" s="40"/>
      <c r="H1666" s="41"/>
      <c r="K1666" s="41"/>
      <c r="N1666" s="134"/>
      <c r="O1666" s="135"/>
      <c r="P1666" s="206"/>
      <c r="Q1666" s="207"/>
      <c r="R1666" s="115"/>
      <c r="S1666" s="134"/>
    </row>
    <row r="1667" hidden="1">
      <c r="A1667" s="32"/>
      <c r="B1667" s="32"/>
      <c r="C1667" s="32"/>
      <c r="D1667" s="32"/>
      <c r="G1667" s="40"/>
      <c r="H1667" s="41"/>
      <c r="K1667" s="41"/>
      <c r="N1667" s="134"/>
      <c r="O1667" s="135"/>
      <c r="P1667" s="206"/>
      <c r="Q1667" s="207"/>
      <c r="R1667" s="115"/>
      <c r="S1667" s="134"/>
    </row>
    <row r="1668" hidden="1">
      <c r="A1668" s="32"/>
      <c r="B1668" s="32"/>
      <c r="C1668" s="32"/>
      <c r="D1668" s="32"/>
      <c r="G1668" s="40"/>
      <c r="H1668" s="41"/>
      <c r="K1668" s="41"/>
      <c r="N1668" s="134"/>
      <c r="O1668" s="135"/>
      <c r="P1668" s="206"/>
      <c r="Q1668" s="207"/>
      <c r="R1668" s="115"/>
      <c r="S1668" s="134"/>
    </row>
    <row r="1669" hidden="1">
      <c r="A1669" s="32"/>
      <c r="B1669" s="32"/>
      <c r="C1669" s="32"/>
      <c r="D1669" s="32"/>
      <c r="G1669" s="40"/>
      <c r="H1669" s="41"/>
      <c r="K1669" s="41"/>
      <c r="N1669" s="134"/>
      <c r="O1669" s="135"/>
      <c r="P1669" s="206"/>
      <c r="Q1669" s="207"/>
      <c r="R1669" s="115"/>
      <c r="S1669" s="134"/>
    </row>
    <row r="1670" hidden="1">
      <c r="A1670" s="32"/>
      <c r="B1670" s="32"/>
      <c r="C1670" s="32"/>
      <c r="D1670" s="32"/>
      <c r="G1670" s="40"/>
      <c r="H1670" s="41"/>
      <c r="K1670" s="41"/>
      <c r="N1670" s="134"/>
      <c r="O1670" s="135"/>
      <c r="P1670" s="206"/>
      <c r="Q1670" s="207"/>
      <c r="R1670" s="115"/>
      <c r="S1670" s="134"/>
    </row>
    <row r="1671" hidden="1">
      <c r="A1671" s="32"/>
      <c r="B1671" s="32"/>
      <c r="C1671" s="32"/>
      <c r="D1671" s="32"/>
      <c r="G1671" s="40"/>
      <c r="H1671" s="41"/>
      <c r="K1671" s="41"/>
      <c r="N1671" s="134"/>
      <c r="O1671" s="135"/>
      <c r="P1671" s="206"/>
      <c r="Q1671" s="207"/>
      <c r="R1671" s="115"/>
      <c r="S1671" s="134"/>
    </row>
    <row r="1672" hidden="1">
      <c r="A1672" s="32"/>
      <c r="B1672" s="32"/>
      <c r="C1672" s="32"/>
      <c r="D1672" s="32"/>
      <c r="G1672" s="40"/>
      <c r="H1672" s="41"/>
      <c r="K1672" s="41"/>
      <c r="N1672" s="134"/>
      <c r="O1672" s="135"/>
      <c r="P1672" s="206"/>
      <c r="Q1672" s="207"/>
      <c r="R1672" s="115"/>
      <c r="S1672" s="134"/>
    </row>
    <row r="1673" hidden="1">
      <c r="A1673" s="32"/>
      <c r="B1673" s="32"/>
      <c r="C1673" s="32"/>
      <c r="D1673" s="32"/>
      <c r="G1673" s="40"/>
      <c r="H1673" s="41"/>
      <c r="K1673" s="41"/>
      <c r="N1673" s="134"/>
      <c r="O1673" s="135"/>
      <c r="P1673" s="206"/>
      <c r="Q1673" s="207"/>
      <c r="R1673" s="115"/>
      <c r="S1673" s="134"/>
    </row>
  </sheetData>
  <autoFilter ref="$A$1:$AI$1673">
    <filterColumn colId="3">
      <filters>
        <filter val="2026"/>
      </filters>
    </filterColumn>
    <sortState ref="A1:AI1673">
      <sortCondition ref="D1:D1673"/>
    </sortState>
  </autoFilter>
  <hyperlinks>
    <hyperlink r:id="rId1" ref="P520"/>
    <hyperlink r:id="rId2" ref="Q520"/>
    <hyperlink r:id="rId3" ref="P521"/>
    <hyperlink r:id="rId4" ref="Q521"/>
    <hyperlink r:id="rId5" ref="P522"/>
    <hyperlink r:id="rId6" ref="Q522"/>
    <hyperlink r:id="rId7" ref="P523"/>
    <hyperlink r:id="rId8" ref="Q523"/>
    <hyperlink r:id="rId9" ref="P524"/>
    <hyperlink r:id="rId10" ref="Q524"/>
    <hyperlink r:id="rId11" ref="P525"/>
    <hyperlink r:id="rId12" ref="Q525"/>
    <hyperlink r:id="rId13" ref="P529"/>
    <hyperlink r:id="rId14" ref="Q529"/>
    <hyperlink r:id="rId15" ref="P530"/>
    <hyperlink r:id="rId16" ref="Q530"/>
    <hyperlink r:id="rId17" ref="P531"/>
    <hyperlink r:id="rId18" ref="Q531"/>
    <hyperlink r:id="rId19" ref="P532"/>
    <hyperlink r:id="rId20" ref="Q532"/>
    <hyperlink r:id="rId21" ref="P533"/>
    <hyperlink r:id="rId22" ref="Q533"/>
    <hyperlink r:id="rId23" ref="P534"/>
    <hyperlink r:id="rId24" ref="Q534"/>
    <hyperlink r:id="rId25" ref="P538"/>
    <hyperlink r:id="rId26" ref="Q538"/>
    <hyperlink r:id="rId27" ref="P539"/>
    <hyperlink r:id="rId28" ref="Q539"/>
    <hyperlink r:id="rId29" ref="P540"/>
    <hyperlink r:id="rId30" ref="Q540"/>
    <hyperlink r:id="rId31" ref="P541"/>
    <hyperlink r:id="rId32" ref="Q541"/>
    <hyperlink r:id="rId33" ref="P542"/>
    <hyperlink r:id="rId34" ref="Q542"/>
    <hyperlink r:id="rId35" ref="P543"/>
    <hyperlink r:id="rId36" ref="Q543"/>
    <hyperlink r:id="rId37" ref="P547"/>
    <hyperlink r:id="rId38" ref="Q547"/>
    <hyperlink r:id="rId39" ref="P548"/>
    <hyperlink r:id="rId40" ref="Q548"/>
    <hyperlink r:id="rId41" ref="P549"/>
    <hyperlink r:id="rId42" ref="Q549"/>
    <hyperlink r:id="rId43" ref="P550"/>
    <hyperlink r:id="rId44" ref="Q550"/>
    <hyperlink r:id="rId45" ref="P551"/>
    <hyperlink r:id="rId46" ref="Q551"/>
    <hyperlink r:id="rId47" ref="P552"/>
    <hyperlink r:id="rId48" ref="Q552"/>
    <hyperlink r:id="rId49" ref="P556"/>
    <hyperlink r:id="rId50" ref="Q556"/>
    <hyperlink r:id="rId51" ref="P557"/>
    <hyperlink r:id="rId52" ref="Q557"/>
    <hyperlink r:id="rId53" ref="P558"/>
    <hyperlink r:id="rId54" ref="Q558"/>
    <hyperlink r:id="rId55" ref="P559"/>
    <hyperlink r:id="rId56" ref="Q559"/>
    <hyperlink r:id="rId57" ref="P560"/>
    <hyperlink r:id="rId58" ref="Q560"/>
    <hyperlink r:id="rId59" ref="P561"/>
    <hyperlink r:id="rId60" ref="Q561"/>
    <hyperlink r:id="rId61" ref="P565"/>
    <hyperlink r:id="rId62" ref="Q565"/>
    <hyperlink r:id="rId63" ref="P566"/>
    <hyperlink r:id="rId64" ref="Q566"/>
    <hyperlink r:id="rId65" ref="P567"/>
    <hyperlink r:id="rId66" ref="Q567"/>
    <hyperlink r:id="rId67" ref="P568"/>
    <hyperlink r:id="rId68" ref="Q568"/>
    <hyperlink r:id="rId69" ref="P569"/>
    <hyperlink r:id="rId70" ref="Q569"/>
    <hyperlink r:id="rId71" ref="P570"/>
    <hyperlink r:id="rId72" ref="Q570"/>
    <hyperlink r:id="rId73" ref="P574"/>
    <hyperlink r:id="rId74" ref="Q574"/>
    <hyperlink r:id="rId75" ref="P575"/>
    <hyperlink r:id="rId76" ref="Q575"/>
    <hyperlink r:id="rId77" ref="P576"/>
    <hyperlink r:id="rId78" ref="Q576"/>
    <hyperlink r:id="rId79" ref="P577"/>
    <hyperlink r:id="rId80" ref="Q577"/>
    <hyperlink r:id="rId81" ref="P578"/>
    <hyperlink r:id="rId82" ref="Q578"/>
    <hyperlink r:id="rId83" ref="P579"/>
    <hyperlink r:id="rId84" ref="Q579"/>
    <hyperlink r:id="rId85" ref="P583"/>
    <hyperlink r:id="rId86" ref="Q583"/>
    <hyperlink r:id="rId87" ref="P584"/>
    <hyperlink r:id="rId88" ref="Q584"/>
    <hyperlink r:id="rId89" ref="P585"/>
    <hyperlink r:id="rId90" ref="Q585"/>
    <hyperlink r:id="rId91" ref="P586"/>
    <hyperlink r:id="rId92" ref="Q586"/>
    <hyperlink r:id="rId93" ref="P587"/>
    <hyperlink r:id="rId94" ref="Q587"/>
    <hyperlink r:id="rId95" ref="P588"/>
    <hyperlink r:id="rId96" ref="Q588"/>
    <hyperlink r:id="rId97" ref="P592"/>
    <hyperlink r:id="rId98" ref="Q592"/>
    <hyperlink r:id="rId99" ref="P593"/>
    <hyperlink r:id="rId100" ref="Q593"/>
    <hyperlink r:id="rId101" ref="P594"/>
    <hyperlink r:id="rId102" ref="Q594"/>
    <hyperlink r:id="rId103" ref="P595"/>
    <hyperlink r:id="rId104" ref="Q595"/>
    <hyperlink r:id="rId105" ref="P596"/>
    <hyperlink r:id="rId106" ref="Q596"/>
    <hyperlink r:id="rId107" ref="P597"/>
    <hyperlink r:id="rId108" ref="Q597"/>
    <hyperlink r:id="rId109" ref="P601"/>
    <hyperlink r:id="rId110" ref="Q601"/>
    <hyperlink r:id="rId111" ref="P602"/>
    <hyperlink r:id="rId112" ref="Q602"/>
    <hyperlink r:id="rId113" ref="P603"/>
    <hyperlink r:id="rId114" ref="Q603"/>
    <hyperlink r:id="rId115" ref="P604"/>
    <hyperlink r:id="rId116" ref="Q604"/>
    <hyperlink r:id="rId117" ref="P605"/>
    <hyperlink r:id="rId118" ref="Q605"/>
    <hyperlink r:id="rId119" ref="P606"/>
    <hyperlink r:id="rId120" ref="Q606"/>
    <hyperlink r:id="rId121" ref="P610"/>
    <hyperlink r:id="rId122" ref="Q610"/>
    <hyperlink r:id="rId123" ref="P611"/>
    <hyperlink r:id="rId124" ref="Q611"/>
    <hyperlink r:id="rId125" ref="P612"/>
    <hyperlink r:id="rId126" ref="Q612"/>
    <hyperlink r:id="rId127" ref="P613"/>
    <hyperlink r:id="rId128" ref="Q613"/>
    <hyperlink r:id="rId129" ref="P614"/>
    <hyperlink r:id="rId130" ref="Q614"/>
    <hyperlink r:id="rId131" ref="P615"/>
    <hyperlink r:id="rId132" ref="Q615"/>
    <hyperlink r:id="rId133" ref="P619"/>
    <hyperlink r:id="rId134" ref="Q619"/>
    <hyperlink r:id="rId135" ref="P620"/>
    <hyperlink r:id="rId136" ref="Q620"/>
    <hyperlink r:id="rId137" ref="P621"/>
    <hyperlink r:id="rId138" ref="Q621"/>
    <hyperlink r:id="rId139" ref="P622"/>
    <hyperlink r:id="rId140" ref="Q622"/>
    <hyperlink r:id="rId141" ref="P623"/>
    <hyperlink r:id="rId142" ref="Q623"/>
    <hyperlink r:id="rId143" ref="P624"/>
    <hyperlink r:id="rId144" ref="Q624"/>
    <hyperlink r:id="rId145" ref="P628"/>
    <hyperlink r:id="rId146" ref="Q628"/>
    <hyperlink r:id="rId147" ref="P629"/>
    <hyperlink r:id="rId148" ref="Q629"/>
    <hyperlink r:id="rId149" ref="P630"/>
    <hyperlink r:id="rId150" ref="Q630"/>
    <hyperlink r:id="rId151" ref="P631"/>
    <hyperlink r:id="rId152" ref="Q631"/>
    <hyperlink r:id="rId153" ref="P632"/>
    <hyperlink r:id="rId154" ref="Q632"/>
    <hyperlink r:id="rId155" ref="P633"/>
    <hyperlink r:id="rId156" ref="Q633"/>
    <hyperlink r:id="rId157" ref="P637"/>
    <hyperlink r:id="rId158" ref="Q637"/>
    <hyperlink r:id="rId159" ref="P638"/>
    <hyperlink r:id="rId160" ref="Q638"/>
    <hyperlink r:id="rId161" ref="P639"/>
    <hyperlink r:id="rId162" ref="Q639"/>
    <hyperlink r:id="rId163" ref="P640"/>
    <hyperlink r:id="rId164" ref="Q640"/>
    <hyperlink r:id="rId165" ref="P641"/>
    <hyperlink r:id="rId166" ref="Q641"/>
    <hyperlink r:id="rId167" ref="P642"/>
    <hyperlink r:id="rId168" ref="Q642"/>
    <hyperlink r:id="rId169" ref="P646"/>
    <hyperlink r:id="rId170" ref="Q646"/>
    <hyperlink r:id="rId171" ref="P647"/>
    <hyperlink r:id="rId172" ref="Q647"/>
    <hyperlink r:id="rId173" ref="P648"/>
    <hyperlink r:id="rId174" ref="Q648"/>
    <hyperlink r:id="rId175" ref="P649"/>
    <hyperlink r:id="rId176" ref="Q649"/>
    <hyperlink r:id="rId177" ref="P650"/>
    <hyperlink r:id="rId178" ref="Q650"/>
    <hyperlink r:id="rId179" ref="P657"/>
    <hyperlink r:id="rId180" ref="Q657"/>
    <hyperlink r:id="rId181" ref="P658"/>
    <hyperlink r:id="rId182" ref="Q658"/>
    <hyperlink r:id="rId183" ref="P659"/>
    <hyperlink r:id="rId184" ref="Q659"/>
    <hyperlink r:id="rId185" ref="P660"/>
    <hyperlink r:id="rId186" ref="Q660"/>
    <hyperlink r:id="rId187" ref="P661"/>
    <hyperlink r:id="rId188" ref="Q661"/>
    <hyperlink r:id="rId189" ref="P662"/>
    <hyperlink r:id="rId190" ref="Q662"/>
    <hyperlink r:id="rId191" ref="P666"/>
    <hyperlink r:id="rId192" ref="Q666"/>
    <hyperlink r:id="rId193" ref="P667"/>
    <hyperlink r:id="rId194" ref="Q667"/>
    <hyperlink r:id="rId195" ref="P668"/>
    <hyperlink r:id="rId196" ref="Q668"/>
    <hyperlink r:id="rId197" ref="P669"/>
    <hyperlink r:id="rId198" ref="Q669"/>
    <hyperlink r:id="rId199" ref="P670"/>
    <hyperlink r:id="rId200" ref="Q670"/>
    <hyperlink r:id="rId201" ref="P671"/>
    <hyperlink r:id="rId202" ref="Q671"/>
    <hyperlink r:id="rId203" ref="P673"/>
    <hyperlink r:id="rId204" ref="Q673"/>
    <hyperlink r:id="rId205" ref="P674"/>
    <hyperlink r:id="rId206" ref="Q674"/>
    <hyperlink r:id="rId207" ref="P675"/>
    <hyperlink r:id="rId208" ref="Q675"/>
    <hyperlink r:id="rId209" ref="P676"/>
    <hyperlink r:id="rId210" ref="Q676"/>
    <hyperlink r:id="rId211" ref="P677"/>
    <hyperlink r:id="rId212" ref="Q677"/>
    <hyperlink r:id="rId213" ref="P678"/>
    <hyperlink r:id="rId214" ref="Q678"/>
    <hyperlink r:id="rId215" ref="P682"/>
    <hyperlink r:id="rId216" ref="Q682"/>
    <hyperlink r:id="rId217" ref="P683"/>
    <hyperlink r:id="rId218" ref="Q683"/>
    <hyperlink r:id="rId219" ref="P684"/>
    <hyperlink r:id="rId220" ref="Q684"/>
    <hyperlink r:id="rId221" ref="P685"/>
    <hyperlink r:id="rId222" ref="Q685"/>
    <hyperlink r:id="rId223" ref="P686"/>
    <hyperlink r:id="rId224" ref="Q686"/>
    <hyperlink r:id="rId225" ref="P687"/>
    <hyperlink r:id="rId226" ref="Q687"/>
    <hyperlink r:id="rId227" ref="P690"/>
    <hyperlink r:id="rId228" ref="Q690"/>
    <hyperlink r:id="rId229" ref="P691"/>
    <hyperlink r:id="rId230" ref="Q691"/>
    <hyperlink r:id="rId231" ref="P692"/>
    <hyperlink r:id="rId232" ref="Q692"/>
    <hyperlink r:id="rId233" ref="P693"/>
    <hyperlink r:id="rId234" ref="Q693"/>
    <hyperlink r:id="rId235" ref="P694"/>
    <hyperlink r:id="rId236" ref="Q694"/>
    <hyperlink r:id="rId237" ref="P695"/>
    <hyperlink r:id="rId238" ref="Q695"/>
    <hyperlink r:id="rId239" ref="P698"/>
    <hyperlink r:id="rId240" ref="Q698"/>
    <hyperlink r:id="rId241" ref="P699"/>
    <hyperlink r:id="rId242" ref="Q699"/>
    <hyperlink r:id="rId243" ref="P700"/>
    <hyperlink r:id="rId244" ref="Q700"/>
    <hyperlink r:id="rId245" ref="P701"/>
    <hyperlink r:id="rId246" ref="Q701"/>
    <hyperlink r:id="rId247" ref="P702"/>
    <hyperlink r:id="rId248" ref="Q702"/>
    <hyperlink r:id="rId249" ref="P703"/>
    <hyperlink r:id="rId250" ref="Q703"/>
    <hyperlink r:id="rId251" ref="P706"/>
    <hyperlink r:id="rId252" ref="Q706"/>
    <hyperlink r:id="rId253" ref="P707"/>
    <hyperlink r:id="rId254" ref="Q707"/>
    <hyperlink r:id="rId255" ref="P708"/>
    <hyperlink r:id="rId256" ref="Q708"/>
    <hyperlink r:id="rId257" ref="P709"/>
    <hyperlink r:id="rId258" ref="Q709"/>
    <hyperlink r:id="rId259" ref="P710"/>
    <hyperlink r:id="rId260" ref="Q710"/>
    <hyperlink r:id="rId261" ref="P711"/>
    <hyperlink r:id="rId262" ref="Q711"/>
    <hyperlink r:id="rId263" ref="P714"/>
    <hyperlink r:id="rId264" ref="Q714"/>
    <hyperlink r:id="rId265" ref="P715"/>
    <hyperlink r:id="rId266" ref="Q715"/>
    <hyperlink r:id="rId267" ref="P716"/>
    <hyperlink r:id="rId268" ref="Q716"/>
    <hyperlink r:id="rId269" ref="P717"/>
    <hyperlink r:id="rId270" ref="Q717"/>
    <hyperlink r:id="rId271" ref="P718"/>
    <hyperlink r:id="rId272" ref="Q718"/>
    <hyperlink r:id="rId273" ref="P719"/>
    <hyperlink r:id="rId274" ref="Q719"/>
    <hyperlink r:id="rId275" ref="P722"/>
    <hyperlink r:id="rId276" ref="Q722"/>
    <hyperlink r:id="rId277" ref="P723"/>
    <hyperlink r:id="rId278" ref="Q723"/>
    <hyperlink r:id="rId279" ref="P724"/>
    <hyperlink r:id="rId280" ref="Q724"/>
    <hyperlink r:id="rId281" ref="P725"/>
    <hyperlink r:id="rId282" ref="Q725"/>
    <hyperlink r:id="rId283" ref="P726"/>
    <hyperlink r:id="rId284" ref="Q726"/>
    <hyperlink r:id="rId285" ref="P727"/>
    <hyperlink r:id="rId286" ref="Q727"/>
    <hyperlink r:id="rId287" ref="P730"/>
    <hyperlink r:id="rId288" ref="Q730"/>
    <hyperlink r:id="rId289" ref="P731"/>
    <hyperlink r:id="rId290" ref="Q731"/>
    <hyperlink r:id="rId291" ref="P732"/>
    <hyperlink r:id="rId292" ref="Q732"/>
    <hyperlink r:id="rId293" ref="P733"/>
    <hyperlink r:id="rId294" ref="Q733"/>
    <hyperlink r:id="rId295" ref="P734"/>
    <hyperlink r:id="rId296" ref="Q734"/>
    <hyperlink r:id="rId297" ref="P735"/>
    <hyperlink r:id="rId298" ref="Q735"/>
    <hyperlink r:id="rId299" ref="P738"/>
    <hyperlink r:id="rId300" ref="Q738"/>
    <hyperlink r:id="rId301" ref="P739"/>
    <hyperlink r:id="rId302" ref="Q739"/>
    <hyperlink r:id="rId303" ref="P740"/>
    <hyperlink r:id="rId304" ref="Q740"/>
    <hyperlink r:id="rId305" ref="P741"/>
    <hyperlink r:id="rId306" ref="Q741"/>
    <hyperlink r:id="rId307" ref="P742"/>
    <hyperlink r:id="rId308" ref="Q742"/>
    <hyperlink r:id="rId309" ref="P743"/>
    <hyperlink r:id="rId310" ref="Q743"/>
    <hyperlink r:id="rId311" ref="P746"/>
    <hyperlink r:id="rId312" ref="Q746"/>
    <hyperlink r:id="rId313" ref="P747"/>
    <hyperlink r:id="rId314" ref="Q747"/>
    <hyperlink r:id="rId315" ref="P748"/>
    <hyperlink r:id="rId316" ref="Q748"/>
    <hyperlink r:id="rId317" ref="P749"/>
    <hyperlink r:id="rId318" ref="Q749"/>
    <hyperlink r:id="rId319" ref="P750"/>
    <hyperlink r:id="rId320" ref="Q750"/>
    <hyperlink r:id="rId321" ref="P751"/>
    <hyperlink r:id="rId322" ref="Q751"/>
    <hyperlink r:id="rId323" ref="P754"/>
    <hyperlink r:id="rId324" ref="Q754"/>
    <hyperlink r:id="rId325" ref="P755"/>
    <hyperlink r:id="rId326" ref="Q755"/>
    <hyperlink r:id="rId327" ref="P756"/>
    <hyperlink r:id="rId328" ref="Q756"/>
    <hyperlink r:id="rId329" ref="P757"/>
    <hyperlink r:id="rId330" ref="Q757"/>
    <hyperlink r:id="rId331" ref="P758"/>
    <hyperlink r:id="rId332" ref="Q758"/>
    <hyperlink r:id="rId333" ref="P759"/>
    <hyperlink r:id="rId334" ref="Q759"/>
    <hyperlink r:id="rId335" ref="P762"/>
    <hyperlink r:id="rId336" ref="Q762"/>
    <hyperlink r:id="rId337" ref="P763"/>
    <hyperlink r:id="rId338" ref="Q763"/>
    <hyperlink r:id="rId339" ref="P764"/>
    <hyperlink r:id="rId340" ref="Q764"/>
    <hyperlink r:id="rId341" ref="P765"/>
    <hyperlink r:id="rId342" ref="Q765"/>
    <hyperlink r:id="rId343" ref="P766"/>
    <hyperlink r:id="rId344" ref="Q766"/>
    <hyperlink r:id="rId345" ref="P767"/>
    <hyperlink r:id="rId346" ref="Q767"/>
    <hyperlink r:id="rId347" ref="P770"/>
    <hyperlink r:id="rId348" ref="Q770"/>
    <hyperlink r:id="rId349" ref="P771"/>
    <hyperlink r:id="rId350" ref="Q771"/>
    <hyperlink r:id="rId351" ref="P772"/>
    <hyperlink r:id="rId352" ref="Q772"/>
    <hyperlink r:id="rId353" ref="P773"/>
    <hyperlink r:id="rId354" ref="Q773"/>
    <hyperlink r:id="rId355" ref="P774"/>
    <hyperlink r:id="rId356" ref="Q774"/>
    <hyperlink r:id="rId357" ref="P775"/>
    <hyperlink r:id="rId358" ref="Q775"/>
    <hyperlink r:id="rId359" ref="P778"/>
    <hyperlink r:id="rId360" ref="Q778"/>
    <hyperlink r:id="rId361" ref="P779"/>
    <hyperlink r:id="rId362" ref="Q779"/>
    <hyperlink r:id="rId363" ref="P780"/>
    <hyperlink r:id="rId364" ref="Q780"/>
    <hyperlink r:id="rId365" ref="P781"/>
    <hyperlink r:id="rId366" ref="Q781"/>
    <hyperlink r:id="rId367" ref="P782"/>
    <hyperlink r:id="rId368" ref="Q782"/>
    <hyperlink r:id="rId369" ref="P783"/>
    <hyperlink r:id="rId370" ref="Q783"/>
    <hyperlink r:id="rId371" ref="P786"/>
    <hyperlink r:id="rId372" ref="Q786"/>
    <hyperlink r:id="rId373" ref="P787"/>
    <hyperlink r:id="rId374" ref="Q787"/>
    <hyperlink r:id="rId375" ref="P788"/>
    <hyperlink r:id="rId376" ref="Q788"/>
    <hyperlink r:id="rId377" ref="P789"/>
    <hyperlink r:id="rId378" ref="Q789"/>
    <hyperlink r:id="rId379" ref="P790"/>
    <hyperlink r:id="rId380" ref="Q790"/>
    <hyperlink r:id="rId381" ref="P796"/>
    <hyperlink r:id="rId382" ref="Q796"/>
    <hyperlink r:id="rId383" ref="P797"/>
    <hyperlink r:id="rId384" ref="Q797"/>
    <hyperlink r:id="rId385" ref="P798"/>
    <hyperlink r:id="rId386" ref="Q798"/>
    <hyperlink r:id="rId387" ref="P799"/>
    <hyperlink r:id="rId388" ref="Q799"/>
    <hyperlink r:id="rId389" ref="P800"/>
    <hyperlink r:id="rId390" ref="Q800"/>
    <hyperlink r:id="rId391" ref="P801"/>
    <hyperlink r:id="rId392" ref="Q801"/>
    <hyperlink r:id="rId393" ref="P804"/>
    <hyperlink r:id="rId394" ref="Q804"/>
    <hyperlink r:id="rId395" ref="P805"/>
    <hyperlink r:id="rId396" ref="Q805"/>
    <hyperlink r:id="rId397" ref="P806"/>
    <hyperlink r:id="rId398" ref="Q806"/>
    <hyperlink r:id="rId399" ref="P807"/>
    <hyperlink r:id="rId400" ref="Q807"/>
    <hyperlink r:id="rId401" ref="P808"/>
    <hyperlink r:id="rId402" ref="Q808"/>
    <hyperlink r:id="rId403" ref="P809"/>
    <hyperlink r:id="rId404" ref="Q809"/>
    <hyperlink r:id="rId405" ref="P812"/>
    <hyperlink r:id="rId406" ref="Q812"/>
    <hyperlink r:id="rId407" ref="P813"/>
    <hyperlink r:id="rId408" ref="Q813"/>
    <hyperlink r:id="rId409" ref="P814"/>
    <hyperlink r:id="rId410" ref="Q814"/>
    <hyperlink r:id="rId411" ref="P815"/>
    <hyperlink r:id="rId412" ref="Q815"/>
    <hyperlink r:id="rId413" ref="P816"/>
    <hyperlink r:id="rId414" ref="Q816"/>
    <hyperlink r:id="rId415" ref="P817"/>
    <hyperlink r:id="rId416" ref="Q817"/>
    <hyperlink r:id="rId417" ref="P820"/>
    <hyperlink r:id="rId418" ref="Q820"/>
    <hyperlink r:id="rId419" ref="P821"/>
    <hyperlink r:id="rId420" ref="Q821"/>
    <hyperlink r:id="rId421" ref="P822"/>
    <hyperlink r:id="rId422" ref="Q822"/>
    <hyperlink r:id="rId423" ref="P823"/>
    <hyperlink r:id="rId424" ref="Q823"/>
    <hyperlink r:id="rId425" ref="P824"/>
    <hyperlink r:id="rId426" ref="Q824"/>
    <hyperlink r:id="rId427" ref="P825"/>
    <hyperlink r:id="rId428" ref="Q825"/>
    <hyperlink r:id="rId429" ref="P828"/>
    <hyperlink r:id="rId430" ref="Q828"/>
    <hyperlink r:id="rId431" ref="P829"/>
    <hyperlink r:id="rId432" ref="Q829"/>
    <hyperlink r:id="rId433" ref="P830"/>
    <hyperlink r:id="rId434" ref="Q830"/>
    <hyperlink r:id="rId435" ref="P831"/>
    <hyperlink r:id="rId436" ref="Q831"/>
    <hyperlink r:id="rId437" ref="P832"/>
    <hyperlink r:id="rId438" ref="Q832"/>
    <hyperlink r:id="rId439" ref="P833"/>
    <hyperlink r:id="rId440" ref="Q833"/>
    <hyperlink r:id="rId441" ref="P834"/>
    <hyperlink r:id="rId442" ref="Q834"/>
    <hyperlink r:id="rId443" ref="P836"/>
    <hyperlink r:id="rId444" ref="Q836"/>
    <hyperlink r:id="rId445" ref="P837"/>
    <hyperlink r:id="rId446" ref="Q837"/>
    <hyperlink r:id="rId447" ref="P838"/>
    <hyperlink r:id="rId448" ref="Q838"/>
    <hyperlink r:id="rId449" ref="P839"/>
    <hyperlink r:id="rId450" ref="Q839"/>
    <hyperlink r:id="rId451" ref="P840"/>
    <hyperlink r:id="rId452" ref="Q840"/>
    <hyperlink r:id="rId453" ref="P841"/>
    <hyperlink r:id="rId454" ref="Q841"/>
    <hyperlink r:id="rId455" ref="P842"/>
    <hyperlink r:id="rId456" ref="Q842"/>
    <hyperlink r:id="rId457" ref="P844"/>
    <hyperlink r:id="rId458" ref="Q844"/>
    <hyperlink r:id="rId459" ref="P845"/>
    <hyperlink r:id="rId460" ref="Q845"/>
    <hyperlink r:id="rId461" ref="P846"/>
    <hyperlink r:id="rId462" ref="Q846"/>
    <hyperlink r:id="rId463" ref="P847"/>
    <hyperlink r:id="rId464" ref="Q847"/>
    <hyperlink r:id="rId465" ref="P848"/>
    <hyperlink r:id="rId466" ref="Q848"/>
    <hyperlink r:id="rId467" ref="P849"/>
    <hyperlink r:id="rId468" ref="Q849"/>
    <hyperlink r:id="rId469" ref="P852"/>
    <hyperlink r:id="rId470" ref="Q852"/>
    <hyperlink r:id="rId471" ref="P853"/>
    <hyperlink r:id="rId472" ref="Q853"/>
    <hyperlink r:id="rId473" ref="P854"/>
    <hyperlink r:id="rId474" ref="Q854"/>
    <hyperlink r:id="rId475" ref="P855"/>
    <hyperlink r:id="rId476" ref="Q855"/>
    <hyperlink r:id="rId477" ref="P856"/>
    <hyperlink r:id="rId478" ref="Q856"/>
    <hyperlink r:id="rId479" ref="P857"/>
    <hyperlink r:id="rId480" ref="Q857"/>
    <hyperlink r:id="rId481" ref="P860"/>
    <hyperlink r:id="rId482" ref="Q860"/>
    <hyperlink r:id="rId483" ref="P861"/>
    <hyperlink r:id="rId484" ref="Q861"/>
    <hyperlink r:id="rId485" ref="P862"/>
    <hyperlink r:id="rId486" ref="Q862"/>
    <hyperlink r:id="rId487" ref="P863"/>
    <hyperlink r:id="rId488" ref="Q863"/>
    <hyperlink r:id="rId489" ref="P864"/>
    <hyperlink r:id="rId490" ref="Q864"/>
    <hyperlink r:id="rId491" ref="P865"/>
    <hyperlink r:id="rId492" ref="Q865"/>
    <hyperlink r:id="rId493" ref="P868"/>
    <hyperlink r:id="rId494" ref="Q868"/>
    <hyperlink r:id="rId495" ref="P869"/>
    <hyperlink r:id="rId496" ref="Q869"/>
    <hyperlink r:id="rId497" ref="P870"/>
    <hyperlink r:id="rId498" ref="Q870"/>
    <hyperlink r:id="rId499" ref="P871"/>
    <hyperlink r:id="rId500" ref="Q871"/>
    <hyperlink r:id="rId501" ref="P872"/>
    <hyperlink r:id="rId502" ref="Q872"/>
    <hyperlink r:id="rId503" ref="P873"/>
    <hyperlink r:id="rId504" ref="Q873"/>
    <hyperlink r:id="rId505" ref="P876"/>
    <hyperlink r:id="rId506" ref="Q876"/>
    <hyperlink r:id="rId507" ref="P877"/>
    <hyperlink r:id="rId508" ref="Q877"/>
    <hyperlink r:id="rId509" ref="P878"/>
    <hyperlink r:id="rId510" ref="Q878"/>
    <hyperlink r:id="rId511" ref="P879"/>
    <hyperlink r:id="rId512" ref="Q879"/>
    <hyperlink r:id="rId513" ref="P880"/>
    <hyperlink r:id="rId514" ref="Q880"/>
    <hyperlink r:id="rId515" ref="P881"/>
    <hyperlink r:id="rId516" ref="Q881"/>
    <hyperlink r:id="rId517" ref="P884"/>
    <hyperlink r:id="rId518" ref="Q884"/>
    <hyperlink r:id="rId519" ref="P885"/>
    <hyperlink r:id="rId520" ref="Q885"/>
    <hyperlink r:id="rId521" ref="P886"/>
    <hyperlink r:id="rId522" ref="Q886"/>
    <hyperlink r:id="rId523" ref="P887"/>
    <hyperlink r:id="rId524" ref="Q887"/>
    <hyperlink r:id="rId525" ref="P888"/>
    <hyperlink r:id="rId526" ref="Q888"/>
    <hyperlink r:id="rId527" ref="P889"/>
    <hyperlink r:id="rId528" ref="Q889"/>
    <hyperlink r:id="rId529" ref="P892"/>
    <hyperlink r:id="rId530" ref="Q892"/>
    <hyperlink r:id="rId531" ref="P893"/>
    <hyperlink r:id="rId532" ref="Q893"/>
    <hyperlink r:id="rId533" ref="P894"/>
    <hyperlink r:id="rId534" ref="Q894"/>
    <hyperlink r:id="rId535" ref="P895"/>
    <hyperlink r:id="rId536" ref="Q895"/>
    <hyperlink r:id="rId537" ref="P896"/>
    <hyperlink r:id="rId538" ref="Q896"/>
    <hyperlink r:id="rId539" ref="P897"/>
    <hyperlink r:id="rId540" ref="Q897"/>
    <hyperlink r:id="rId541" ref="P900"/>
    <hyperlink r:id="rId542" ref="Q900"/>
    <hyperlink r:id="rId543" ref="P901"/>
    <hyperlink r:id="rId544" ref="Q901"/>
    <hyperlink r:id="rId545" ref="P902"/>
    <hyperlink r:id="rId546" ref="Q902"/>
    <hyperlink r:id="rId547" ref="P903"/>
    <hyperlink r:id="rId548" ref="Q903"/>
    <hyperlink r:id="rId549" ref="P904"/>
    <hyperlink r:id="rId550" ref="Q904"/>
    <hyperlink r:id="rId551" ref="P905"/>
    <hyperlink r:id="rId552" ref="Q905"/>
    <hyperlink r:id="rId553" ref="P908"/>
    <hyperlink r:id="rId554" ref="Q908"/>
    <hyperlink r:id="rId555" ref="P909"/>
    <hyperlink r:id="rId556" ref="Q909"/>
    <hyperlink r:id="rId557" ref="P910"/>
    <hyperlink r:id="rId558" ref="Q910"/>
    <hyperlink r:id="rId559" ref="P911"/>
    <hyperlink r:id="rId560" ref="Q911"/>
    <hyperlink r:id="rId561" ref="P912"/>
    <hyperlink r:id="rId562" ref="Q912"/>
    <hyperlink r:id="rId563" ref="P913"/>
    <hyperlink r:id="rId564" ref="Q913"/>
    <hyperlink r:id="rId565" ref="P916"/>
    <hyperlink r:id="rId566" ref="Q916"/>
    <hyperlink r:id="rId567" ref="P917"/>
    <hyperlink r:id="rId568" ref="Q917"/>
    <hyperlink r:id="rId569" ref="P918"/>
    <hyperlink r:id="rId570" ref="Q918"/>
    <hyperlink r:id="rId571" ref="P919"/>
    <hyperlink r:id="rId572" ref="Q919"/>
    <hyperlink r:id="rId573" ref="P920"/>
    <hyperlink r:id="rId574" ref="Q920"/>
    <hyperlink r:id="rId575" ref="P921"/>
    <hyperlink r:id="rId576" ref="Q921"/>
    <hyperlink r:id="rId577" ref="P924"/>
    <hyperlink r:id="rId578" ref="Q924"/>
    <hyperlink r:id="rId579" ref="P925"/>
    <hyperlink r:id="rId580" ref="Q925"/>
    <hyperlink r:id="rId581" ref="P926"/>
    <hyperlink r:id="rId582" ref="Q926"/>
    <hyperlink r:id="rId583" ref="P927"/>
    <hyperlink r:id="rId584" ref="Q927"/>
    <hyperlink r:id="rId585" ref="P928"/>
    <hyperlink r:id="rId586" ref="Q928"/>
    <hyperlink r:id="rId587" ref="P934"/>
    <hyperlink r:id="rId588" ref="Q934"/>
    <hyperlink r:id="rId589" ref="P935"/>
    <hyperlink r:id="rId590" ref="Q935"/>
    <hyperlink r:id="rId591" ref="P936"/>
    <hyperlink r:id="rId592" ref="Q936"/>
    <hyperlink r:id="rId593" ref="P937"/>
    <hyperlink r:id="rId594" ref="Q937"/>
    <hyperlink r:id="rId595" ref="P938"/>
    <hyperlink r:id="rId596" ref="Q938"/>
    <hyperlink r:id="rId597" ref="P939"/>
    <hyperlink r:id="rId598" ref="Q939"/>
    <hyperlink r:id="rId599" ref="P942"/>
    <hyperlink r:id="rId600" ref="Q942"/>
    <hyperlink r:id="rId601" ref="P943"/>
    <hyperlink r:id="rId602" ref="Q943"/>
    <hyperlink r:id="rId603" ref="P944"/>
    <hyperlink r:id="rId604" ref="Q944"/>
    <hyperlink r:id="rId605" ref="P945"/>
    <hyperlink r:id="rId606" ref="Q945"/>
    <hyperlink r:id="rId607" ref="P946"/>
    <hyperlink r:id="rId608" ref="Q946"/>
    <hyperlink r:id="rId609" ref="P947"/>
    <hyperlink r:id="rId610" ref="Q947"/>
    <hyperlink r:id="rId611" ref="P950"/>
    <hyperlink r:id="rId612" ref="Q950"/>
    <hyperlink r:id="rId613" ref="P951"/>
    <hyperlink r:id="rId614" ref="Q951"/>
    <hyperlink r:id="rId615" ref="P952"/>
    <hyperlink r:id="rId616" ref="Q952"/>
    <hyperlink r:id="rId617" ref="P953"/>
    <hyperlink r:id="rId618" ref="Q953"/>
    <hyperlink r:id="rId619" ref="P954"/>
    <hyperlink r:id="rId620" ref="Q954"/>
    <hyperlink r:id="rId621" ref="P955"/>
    <hyperlink r:id="rId622" ref="Q955"/>
    <hyperlink r:id="rId623" ref="P958"/>
    <hyperlink r:id="rId624" ref="Q958"/>
    <hyperlink r:id="rId625" ref="P959"/>
    <hyperlink r:id="rId626" ref="Q959"/>
    <hyperlink r:id="rId627" ref="P960"/>
    <hyperlink r:id="rId628" ref="Q960"/>
    <hyperlink r:id="rId629" ref="P961"/>
    <hyperlink r:id="rId630" ref="Q961"/>
    <hyperlink r:id="rId631" ref="P962"/>
    <hyperlink r:id="rId632" ref="Q962"/>
    <hyperlink r:id="rId633" ref="P963"/>
    <hyperlink r:id="rId634" ref="Q963"/>
    <hyperlink r:id="rId635" ref="P966"/>
    <hyperlink r:id="rId636" ref="Q966"/>
    <hyperlink r:id="rId637" ref="P967"/>
    <hyperlink r:id="rId638" ref="Q967"/>
    <hyperlink r:id="rId639" ref="P968"/>
    <hyperlink r:id="rId640" ref="Q968"/>
    <hyperlink r:id="rId641" ref="P969"/>
    <hyperlink r:id="rId642" ref="Q969"/>
    <hyperlink r:id="rId643" ref="P970"/>
    <hyperlink r:id="rId644" ref="Q970"/>
    <hyperlink r:id="rId645" ref="P971"/>
    <hyperlink r:id="rId646" ref="Q971"/>
    <hyperlink r:id="rId647" ref="P974"/>
    <hyperlink r:id="rId648" ref="Q974"/>
    <hyperlink r:id="rId649" ref="P975"/>
    <hyperlink r:id="rId650" ref="Q975"/>
    <hyperlink r:id="rId651" ref="P976"/>
    <hyperlink r:id="rId652" ref="Q976"/>
    <hyperlink r:id="rId653" ref="P977"/>
    <hyperlink r:id="rId654" ref="Q977"/>
    <hyperlink r:id="rId655" ref="P978"/>
    <hyperlink r:id="rId656" ref="Q978"/>
    <hyperlink r:id="rId657" ref="P979"/>
    <hyperlink r:id="rId658" ref="Q979"/>
    <hyperlink r:id="rId659" ref="P982"/>
    <hyperlink r:id="rId660" ref="Q982"/>
    <hyperlink r:id="rId661" ref="P983"/>
    <hyperlink r:id="rId662" ref="Q983"/>
    <hyperlink r:id="rId663" ref="P984"/>
    <hyperlink r:id="rId664" ref="Q984"/>
    <hyperlink r:id="rId665" ref="P985"/>
    <hyperlink r:id="rId666" ref="Q985"/>
    <hyperlink r:id="rId667" ref="P986"/>
    <hyperlink r:id="rId668" ref="Q986"/>
    <hyperlink r:id="rId669" ref="P987"/>
    <hyperlink r:id="rId670" ref="Q987"/>
    <hyperlink r:id="rId671" ref="P990"/>
    <hyperlink r:id="rId672" ref="Q990"/>
    <hyperlink r:id="rId673" ref="P991"/>
    <hyperlink r:id="rId674" ref="Q991"/>
    <hyperlink r:id="rId675" ref="P992"/>
    <hyperlink r:id="rId676" ref="Q992"/>
    <hyperlink r:id="rId677" ref="P993"/>
    <hyperlink r:id="rId678" ref="Q993"/>
    <hyperlink r:id="rId679" ref="P994"/>
    <hyperlink r:id="rId680" ref="Q994"/>
    <hyperlink r:id="rId681" ref="P995"/>
    <hyperlink r:id="rId682" ref="Q995"/>
    <hyperlink r:id="rId683" ref="P998"/>
    <hyperlink r:id="rId684" ref="Q998"/>
    <hyperlink r:id="rId685" ref="P999"/>
    <hyperlink r:id="rId686" ref="Q999"/>
    <hyperlink r:id="rId687" ref="P1000"/>
    <hyperlink r:id="rId688" ref="Q1000"/>
    <hyperlink r:id="rId689" ref="P1001"/>
    <hyperlink r:id="rId690" ref="Q1001"/>
    <hyperlink r:id="rId691" ref="P1002"/>
    <hyperlink r:id="rId692" ref="Q1002"/>
    <hyperlink r:id="rId693" ref="P1003"/>
    <hyperlink r:id="rId694" ref="Q1003"/>
    <hyperlink r:id="rId695" ref="P1006"/>
    <hyperlink r:id="rId696" ref="Q1006"/>
    <hyperlink r:id="rId697" ref="P1007"/>
    <hyperlink r:id="rId698" ref="Q1007"/>
    <hyperlink r:id="rId699" ref="P1008"/>
    <hyperlink r:id="rId700" ref="Q1008"/>
    <hyperlink r:id="rId701" ref="P1009"/>
    <hyperlink r:id="rId702" ref="Q1009"/>
    <hyperlink r:id="rId703" ref="P1010"/>
    <hyperlink r:id="rId704" ref="Q1010"/>
    <hyperlink r:id="rId705" ref="P1011"/>
    <hyperlink r:id="rId706" ref="Q1011"/>
    <hyperlink r:id="rId707" ref="P1014"/>
    <hyperlink r:id="rId708" ref="Q1014"/>
    <hyperlink r:id="rId709" ref="P1015"/>
    <hyperlink r:id="rId710" ref="Q1015"/>
    <hyperlink r:id="rId711" ref="P1016"/>
    <hyperlink r:id="rId712" ref="Q1016"/>
    <hyperlink r:id="rId713" ref="P1017"/>
    <hyperlink r:id="rId714" ref="Q1017"/>
    <hyperlink r:id="rId715" ref="P1018"/>
    <hyperlink r:id="rId716" ref="Q1018"/>
    <hyperlink r:id="rId717" ref="P1019"/>
    <hyperlink r:id="rId718" ref="Q1019"/>
    <hyperlink r:id="rId719" ref="P1022"/>
    <hyperlink r:id="rId720" ref="Q1022"/>
    <hyperlink r:id="rId721" ref="P1023"/>
    <hyperlink r:id="rId722" ref="Q1023"/>
    <hyperlink r:id="rId723" ref="P1024"/>
    <hyperlink r:id="rId724" ref="Q1024"/>
    <hyperlink r:id="rId725" ref="P1025"/>
    <hyperlink r:id="rId726" ref="Q1025"/>
    <hyperlink r:id="rId727" ref="P1026"/>
    <hyperlink r:id="rId728" ref="Q1026"/>
    <hyperlink r:id="rId729" ref="P1027"/>
    <hyperlink r:id="rId730" ref="Q1027"/>
    <hyperlink r:id="rId731" ref="P1030"/>
    <hyperlink r:id="rId732" ref="Q1030"/>
    <hyperlink r:id="rId733" ref="P1031"/>
    <hyperlink r:id="rId734" ref="Q1031"/>
    <hyperlink r:id="rId735" ref="P1032"/>
    <hyperlink r:id="rId736" ref="Q1032"/>
    <hyperlink r:id="rId737" ref="P1033"/>
    <hyperlink r:id="rId738" ref="Q1033"/>
    <hyperlink r:id="rId739" ref="P1034"/>
    <hyperlink r:id="rId740" ref="Q1034"/>
    <hyperlink r:id="rId741" ref="P1035"/>
    <hyperlink r:id="rId742" ref="Q1035"/>
    <hyperlink r:id="rId743" ref="P1038"/>
    <hyperlink r:id="rId744" ref="Q1038"/>
    <hyperlink r:id="rId745" ref="P1039"/>
    <hyperlink r:id="rId746" ref="Q1039"/>
    <hyperlink r:id="rId747" ref="P1040"/>
    <hyperlink r:id="rId748" ref="Q1040"/>
    <hyperlink r:id="rId749" ref="P1041"/>
    <hyperlink r:id="rId750" ref="Q1041"/>
    <hyperlink r:id="rId751" ref="P1042"/>
    <hyperlink r:id="rId752" ref="Q1042"/>
    <hyperlink r:id="rId753" ref="P1043"/>
    <hyperlink r:id="rId754" ref="Q1043"/>
    <hyperlink r:id="rId755" ref="P1046"/>
    <hyperlink r:id="rId756" ref="Q1046"/>
    <hyperlink r:id="rId757" ref="P1047"/>
    <hyperlink r:id="rId758" ref="Q1047"/>
    <hyperlink r:id="rId759" ref="P1048"/>
    <hyperlink r:id="rId760" ref="Q1048"/>
    <hyperlink r:id="rId761" ref="P1049"/>
    <hyperlink r:id="rId762" ref="Q1049"/>
    <hyperlink r:id="rId763" ref="P1050"/>
    <hyperlink r:id="rId764" ref="Q1050"/>
    <hyperlink r:id="rId765" ref="P1051"/>
    <hyperlink r:id="rId766" ref="Q1051"/>
    <hyperlink r:id="rId767" ref="P1054"/>
    <hyperlink r:id="rId768" ref="Q1054"/>
    <hyperlink r:id="rId769" ref="P1055"/>
    <hyperlink r:id="rId770" ref="Q1055"/>
    <hyperlink r:id="rId771" ref="P1056"/>
    <hyperlink r:id="rId772" ref="Q1056"/>
    <hyperlink r:id="rId773" ref="P1057"/>
    <hyperlink r:id="rId774" ref="Q1057"/>
    <hyperlink r:id="rId775" ref="P1058"/>
    <hyperlink r:id="rId776" ref="Q1058"/>
    <hyperlink r:id="rId777" ref="P1059"/>
    <hyperlink r:id="rId778" ref="Q1059"/>
    <hyperlink r:id="rId779" ref="P1062"/>
    <hyperlink r:id="rId780" ref="Q1062"/>
    <hyperlink r:id="rId781" ref="P1063"/>
    <hyperlink r:id="rId782" ref="Q1063"/>
    <hyperlink r:id="rId783" ref="P1064"/>
    <hyperlink r:id="rId784" ref="Q1064"/>
    <hyperlink r:id="rId785" ref="P1065"/>
    <hyperlink r:id="rId786" ref="Q1065"/>
    <hyperlink r:id="rId787" ref="P1066"/>
    <hyperlink r:id="rId788" ref="Q1066"/>
    <hyperlink r:id="rId789" ref="P1069"/>
    <hyperlink r:id="rId790" ref="Q1069"/>
    <hyperlink r:id="rId791" ref="P1070"/>
    <hyperlink r:id="rId792" ref="Q1070"/>
    <hyperlink r:id="rId793" ref="P1072"/>
    <hyperlink r:id="rId794" ref="Q1072"/>
    <hyperlink r:id="rId795" ref="P1073"/>
    <hyperlink r:id="rId796" ref="Q1073"/>
    <hyperlink r:id="rId797" ref="P1074"/>
    <hyperlink r:id="rId798" ref="Q1074"/>
    <hyperlink r:id="rId799" ref="P1075"/>
    <hyperlink r:id="rId800" ref="Q1075"/>
    <hyperlink r:id="rId801" ref="P1076"/>
    <hyperlink r:id="rId802" ref="Q1076"/>
    <hyperlink r:id="rId803" ref="P1077"/>
    <hyperlink r:id="rId804" ref="Q1077"/>
    <hyperlink r:id="rId805" ref="P1080"/>
    <hyperlink r:id="rId806" ref="Q1080"/>
    <hyperlink r:id="rId807" ref="P1081"/>
    <hyperlink r:id="rId808" ref="Q1081"/>
    <hyperlink r:id="rId809" ref="P1082"/>
    <hyperlink r:id="rId810" ref="Q1082"/>
    <hyperlink r:id="rId811" ref="P1083"/>
    <hyperlink r:id="rId812" ref="Q1083"/>
    <hyperlink r:id="rId813" ref="P1084"/>
    <hyperlink r:id="rId814" ref="Q1084"/>
    <hyperlink r:id="rId815" ref="P1085"/>
    <hyperlink r:id="rId816" ref="Q1085"/>
    <hyperlink r:id="rId817" ref="P1087"/>
    <hyperlink r:id="rId818" ref="Q1087"/>
    <hyperlink r:id="rId819" ref="P1088"/>
    <hyperlink r:id="rId820" ref="Q1088"/>
    <hyperlink r:id="rId821" ref="P1089"/>
    <hyperlink r:id="rId822" ref="Q1089"/>
    <hyperlink r:id="rId823" ref="P1090"/>
    <hyperlink r:id="rId824" ref="Q1090"/>
    <hyperlink r:id="rId825" ref="P1091"/>
    <hyperlink r:id="rId826" ref="Q1091"/>
    <hyperlink r:id="rId827" ref="P1092"/>
    <hyperlink r:id="rId828" ref="Q1092"/>
    <hyperlink r:id="rId829" ref="P1095"/>
    <hyperlink r:id="rId830" ref="Q1095"/>
    <hyperlink r:id="rId831" ref="P1096"/>
    <hyperlink r:id="rId832" ref="Q1096"/>
    <hyperlink r:id="rId833" ref="P1097"/>
    <hyperlink r:id="rId834" ref="Q1097"/>
    <hyperlink r:id="rId835" ref="P1098"/>
    <hyperlink r:id="rId836" ref="Q1098"/>
    <hyperlink r:id="rId837" ref="P1099"/>
    <hyperlink r:id="rId838" ref="Q1099"/>
    <hyperlink r:id="rId839" ref="P1100"/>
    <hyperlink r:id="rId840" ref="Q1100"/>
    <hyperlink r:id="rId841" ref="P1103"/>
    <hyperlink r:id="rId842" ref="Q1103"/>
    <hyperlink r:id="rId843" ref="P1104"/>
    <hyperlink r:id="rId844" ref="Q1104"/>
    <hyperlink r:id="rId845" ref="P1105"/>
    <hyperlink r:id="rId846" ref="Q1105"/>
    <hyperlink r:id="rId847" ref="P1106"/>
    <hyperlink r:id="rId848" ref="Q1106"/>
    <hyperlink r:id="rId849" ref="P1107"/>
    <hyperlink r:id="rId850" ref="Q1107"/>
    <hyperlink r:id="rId851" ref="P1108"/>
    <hyperlink r:id="rId852" ref="Q1108"/>
    <hyperlink r:id="rId853" ref="P1111"/>
    <hyperlink r:id="rId854" ref="Q1111"/>
    <hyperlink r:id="rId855" ref="P1112"/>
    <hyperlink r:id="rId856" ref="Q1112"/>
    <hyperlink r:id="rId857" ref="P1113"/>
    <hyperlink r:id="rId858" ref="Q1113"/>
    <hyperlink r:id="rId859" ref="P1114"/>
    <hyperlink r:id="rId860" ref="Q1114"/>
    <hyperlink r:id="rId861" ref="P1115"/>
    <hyperlink r:id="rId862" ref="Q1115"/>
    <hyperlink r:id="rId863" ref="P1116"/>
    <hyperlink r:id="rId864" ref="Q1116"/>
    <hyperlink r:id="rId865" ref="P1119"/>
    <hyperlink r:id="rId866" ref="Q1119"/>
    <hyperlink r:id="rId867" ref="P1120"/>
    <hyperlink r:id="rId868" ref="Q1120"/>
    <hyperlink r:id="rId869" ref="P1121"/>
    <hyperlink r:id="rId870" ref="Q1121"/>
    <hyperlink r:id="rId871" ref="P1122"/>
    <hyperlink r:id="rId872" ref="Q1122"/>
    <hyperlink r:id="rId873" ref="P1123"/>
    <hyperlink r:id="rId874" ref="Q1123"/>
    <hyperlink r:id="rId875" ref="P1124"/>
    <hyperlink r:id="rId876" ref="Q1124"/>
    <hyperlink r:id="rId877" ref="P1127"/>
    <hyperlink r:id="rId878" ref="Q1127"/>
    <hyperlink r:id="rId879" ref="P1128"/>
    <hyperlink r:id="rId880" ref="Q1128"/>
    <hyperlink r:id="rId881" ref="P1129"/>
    <hyperlink r:id="rId882" ref="Q1129"/>
    <hyperlink r:id="rId883" ref="P1130"/>
    <hyperlink r:id="rId884" ref="Q1130"/>
    <hyperlink r:id="rId885" ref="P1131"/>
    <hyperlink r:id="rId886" ref="Q1131"/>
    <hyperlink r:id="rId887" ref="P1132"/>
    <hyperlink r:id="rId888" ref="Q1132"/>
    <hyperlink r:id="rId889" ref="P1135"/>
    <hyperlink r:id="rId890" ref="Q1135"/>
    <hyperlink r:id="rId891" ref="P1136"/>
    <hyperlink r:id="rId892" ref="Q1136"/>
    <hyperlink r:id="rId893" ref="P1137"/>
    <hyperlink r:id="rId894" ref="Q1137"/>
    <hyperlink r:id="rId895" ref="P1138"/>
    <hyperlink r:id="rId896" ref="Q1138"/>
    <hyperlink r:id="rId897" ref="P1139"/>
    <hyperlink r:id="rId898" ref="Q1139"/>
    <hyperlink r:id="rId899" ref="P1140"/>
    <hyperlink r:id="rId900" ref="Q1140"/>
    <hyperlink r:id="rId901" ref="P1143"/>
    <hyperlink r:id="rId902" ref="Q1143"/>
    <hyperlink r:id="rId903" ref="P1144"/>
    <hyperlink r:id="rId904" ref="Q1144"/>
    <hyperlink r:id="rId905" ref="P1145"/>
    <hyperlink r:id="rId906" ref="Q1145"/>
    <hyperlink r:id="rId907" ref="P1146"/>
    <hyperlink r:id="rId908" ref="Q1146"/>
    <hyperlink r:id="rId909" ref="P1147"/>
    <hyperlink r:id="rId910" ref="Q1147"/>
    <hyperlink r:id="rId911" ref="P1148"/>
    <hyperlink r:id="rId912" ref="Q1148"/>
    <hyperlink r:id="rId913" ref="P1151"/>
    <hyperlink r:id="rId914" ref="Q1151"/>
    <hyperlink r:id="rId915" ref="P1152"/>
    <hyperlink r:id="rId916" ref="Q1152"/>
    <hyperlink r:id="rId917" ref="P1153"/>
    <hyperlink r:id="rId918" ref="Q1153"/>
    <hyperlink r:id="rId919" ref="P1154"/>
    <hyperlink r:id="rId920" ref="Q1154"/>
    <hyperlink r:id="rId921" ref="P1155"/>
    <hyperlink r:id="rId922" ref="Q1155"/>
    <hyperlink r:id="rId923" ref="P1156"/>
    <hyperlink r:id="rId924" ref="Q1156"/>
    <hyperlink r:id="rId925" ref="P1159"/>
    <hyperlink r:id="rId926" ref="Q1159"/>
    <hyperlink r:id="rId927" ref="P1160"/>
    <hyperlink r:id="rId928" ref="Q1160"/>
    <hyperlink r:id="rId929" ref="P1161"/>
    <hyperlink r:id="rId930" ref="Q1161"/>
    <hyperlink r:id="rId931" ref="P1162"/>
    <hyperlink r:id="rId932" ref="Q1162"/>
    <hyperlink r:id="rId933" ref="P1163"/>
    <hyperlink r:id="rId934" ref="Q1163"/>
    <hyperlink r:id="rId935" ref="P1164"/>
    <hyperlink r:id="rId936" ref="Q1164"/>
    <hyperlink r:id="rId937" ref="P1167"/>
    <hyperlink r:id="rId938" ref="Q1167"/>
    <hyperlink r:id="rId939" ref="P1168"/>
    <hyperlink r:id="rId940" ref="Q1168"/>
    <hyperlink r:id="rId941" ref="P1169"/>
    <hyperlink r:id="rId942" ref="Q1169"/>
    <hyperlink r:id="rId943" ref="P1170"/>
    <hyperlink r:id="rId944" ref="Q1170"/>
    <hyperlink r:id="rId945" ref="P1171"/>
    <hyperlink r:id="rId946" ref="Q1171"/>
    <hyperlink r:id="rId947" ref="P1172"/>
    <hyperlink r:id="rId948" ref="Q1172"/>
    <hyperlink r:id="rId949" ref="P1175"/>
    <hyperlink r:id="rId950" ref="Q1175"/>
    <hyperlink r:id="rId951" ref="P1176"/>
    <hyperlink r:id="rId952" ref="Q1176"/>
    <hyperlink r:id="rId953" ref="P1177"/>
    <hyperlink r:id="rId954" ref="Q1177"/>
    <hyperlink r:id="rId955" ref="P1178"/>
    <hyperlink r:id="rId956" ref="Q1178"/>
    <hyperlink r:id="rId957" ref="P1179"/>
    <hyperlink r:id="rId958" ref="Q1179"/>
    <hyperlink r:id="rId959" ref="P1180"/>
    <hyperlink r:id="rId960" ref="Q1180"/>
    <hyperlink r:id="rId961" ref="P1183"/>
    <hyperlink r:id="rId962" ref="Q1183"/>
    <hyperlink r:id="rId963" ref="P1184"/>
    <hyperlink r:id="rId964" ref="Q1184"/>
    <hyperlink r:id="rId965" ref="P1185"/>
    <hyperlink r:id="rId966" ref="Q1185"/>
    <hyperlink r:id="rId967" ref="P1186"/>
    <hyperlink r:id="rId968" ref="Q1186"/>
    <hyperlink r:id="rId969" ref="P1187"/>
    <hyperlink r:id="rId970" ref="Q1187"/>
    <hyperlink r:id="rId971" ref="P1188"/>
    <hyperlink r:id="rId972" ref="Q1188"/>
    <hyperlink r:id="rId973" ref="P1191"/>
    <hyperlink r:id="rId974" ref="Q1191"/>
    <hyperlink r:id="rId975" ref="P1192"/>
    <hyperlink r:id="rId976" ref="Q1192"/>
    <hyperlink r:id="rId977" ref="P1193"/>
    <hyperlink r:id="rId978" ref="Q1193"/>
    <hyperlink r:id="rId979" ref="P1194"/>
    <hyperlink r:id="rId980" ref="Q1194"/>
    <hyperlink r:id="rId981" ref="P1195"/>
    <hyperlink r:id="rId982" ref="Q1195"/>
    <hyperlink r:id="rId983" ref="P1196"/>
    <hyperlink r:id="rId984" ref="Q1196"/>
    <hyperlink r:id="rId985" ref="P1199"/>
    <hyperlink r:id="rId986" ref="Q1199"/>
    <hyperlink r:id="rId987" ref="P1200"/>
    <hyperlink r:id="rId988" ref="Q1200"/>
    <hyperlink r:id="rId989" ref="P1201"/>
    <hyperlink r:id="rId990" ref="Q1201"/>
    <hyperlink r:id="rId991" ref="P1202"/>
    <hyperlink r:id="rId992" ref="Q1202"/>
    <hyperlink r:id="rId993" ref="P1203"/>
    <hyperlink r:id="rId994" ref="Q1203"/>
    <hyperlink r:id="rId995" ref="P1209"/>
    <hyperlink r:id="rId996" ref="Q1209"/>
    <hyperlink r:id="rId997" ref="P1210"/>
    <hyperlink r:id="rId998" ref="Q1210"/>
    <hyperlink r:id="rId999" ref="P1211"/>
    <hyperlink r:id="rId1000" ref="Q1211"/>
    <hyperlink r:id="rId1001" ref="P1212"/>
    <hyperlink r:id="rId1002" ref="Q1212"/>
    <hyperlink r:id="rId1003" ref="P1213"/>
    <hyperlink r:id="rId1004" ref="Q1213"/>
    <hyperlink r:id="rId1005" ref="P1214"/>
    <hyperlink r:id="rId1006" ref="Q1214"/>
    <hyperlink r:id="rId1007" ref="P1217"/>
    <hyperlink r:id="rId1008" ref="Q1217"/>
    <hyperlink r:id="rId1009" ref="P1218"/>
    <hyperlink r:id="rId1010" ref="Q1218"/>
    <hyperlink r:id="rId1011" ref="P1219"/>
    <hyperlink r:id="rId1012" ref="Q1219"/>
    <hyperlink r:id="rId1013" ref="P1220"/>
    <hyperlink r:id="rId1014" ref="Q1220"/>
    <hyperlink r:id="rId1015" ref="P1221"/>
    <hyperlink r:id="rId1016" ref="Q1221"/>
    <hyperlink r:id="rId1017" ref="P1222"/>
    <hyperlink r:id="rId1018" ref="Q1222"/>
    <hyperlink r:id="rId1019" ref="P1225"/>
    <hyperlink r:id="rId1020" ref="Q1225"/>
    <hyperlink r:id="rId1021" ref="P1226"/>
    <hyperlink r:id="rId1022" ref="Q1226"/>
    <hyperlink r:id="rId1023" ref="P1227"/>
    <hyperlink r:id="rId1024" ref="Q1227"/>
    <hyperlink r:id="rId1025" ref="P1228"/>
    <hyperlink r:id="rId1026" ref="Q1228"/>
    <hyperlink r:id="rId1027" ref="P1229"/>
    <hyperlink r:id="rId1028" ref="Q1229"/>
    <hyperlink r:id="rId1029" ref="P1230"/>
    <hyperlink r:id="rId1030" ref="Q1230"/>
    <hyperlink r:id="rId1031" ref="P1234"/>
    <hyperlink r:id="rId1032" ref="Q1234"/>
    <hyperlink r:id="rId1033" ref="P1235"/>
    <hyperlink r:id="rId1034" ref="Q1235"/>
    <hyperlink r:id="rId1035" ref="P1236"/>
    <hyperlink r:id="rId1036" ref="Q1236"/>
    <hyperlink r:id="rId1037" ref="P1237"/>
    <hyperlink r:id="rId1038" ref="Q1237"/>
    <hyperlink r:id="rId1039" ref="P1238"/>
    <hyperlink r:id="rId1040" ref="Q1238"/>
    <hyperlink r:id="rId1041" ref="P1239"/>
    <hyperlink r:id="rId1042" ref="Q1239"/>
    <hyperlink r:id="rId1043" ref="P1242"/>
    <hyperlink r:id="rId1044" ref="Q1242"/>
    <hyperlink r:id="rId1045" ref="P1243"/>
    <hyperlink r:id="rId1046" ref="Q1243"/>
    <hyperlink r:id="rId1047" ref="P1244"/>
    <hyperlink r:id="rId1048" ref="Q1244"/>
    <hyperlink r:id="rId1049" ref="P1245"/>
    <hyperlink r:id="rId1050" ref="Q1245"/>
    <hyperlink r:id="rId1051" ref="P1246"/>
    <hyperlink r:id="rId1052" ref="Q1246"/>
    <hyperlink r:id="rId1053" ref="P1247"/>
    <hyperlink r:id="rId1054" ref="Q1247"/>
    <hyperlink r:id="rId1055" ref="P1248"/>
    <hyperlink r:id="rId1056" ref="Q1248"/>
    <hyperlink r:id="rId1057" ref="P1250"/>
    <hyperlink r:id="rId1058" ref="Q1250"/>
    <hyperlink r:id="rId1059" ref="P1251"/>
    <hyperlink r:id="rId1060" ref="Q1251"/>
    <hyperlink r:id="rId1061" ref="P1252"/>
    <hyperlink r:id="rId1062" ref="Q1252"/>
    <hyperlink r:id="rId1063" ref="P1253"/>
    <hyperlink r:id="rId1064" ref="Q1253"/>
    <hyperlink r:id="rId1065" ref="P1254"/>
    <hyperlink r:id="rId1066" ref="Q1254"/>
    <hyperlink r:id="rId1067" ref="P1255"/>
    <hyperlink r:id="rId1068" ref="Q1255"/>
    <hyperlink r:id="rId1069" ref="P1256"/>
    <hyperlink r:id="rId1070" ref="Q1256"/>
    <hyperlink r:id="rId1071" ref="P1258"/>
    <hyperlink r:id="rId1072" ref="Q1258"/>
    <hyperlink r:id="rId1073" ref="P1259"/>
    <hyperlink r:id="rId1074" ref="Q1259"/>
    <hyperlink r:id="rId1075" ref="P1260"/>
    <hyperlink r:id="rId1076" ref="Q1260"/>
    <hyperlink r:id="rId1077" ref="P1261"/>
    <hyperlink r:id="rId1078" ref="Q1261"/>
    <hyperlink r:id="rId1079" ref="P1262"/>
    <hyperlink r:id="rId1080" ref="Q1262"/>
    <hyperlink r:id="rId1081" ref="P1263"/>
    <hyperlink r:id="rId1082" ref="Q1263"/>
    <hyperlink r:id="rId1083" ref="P1264"/>
    <hyperlink r:id="rId1084" ref="Q1264"/>
    <hyperlink r:id="rId1085" ref="P1266"/>
    <hyperlink r:id="rId1086" ref="Q1266"/>
    <hyperlink r:id="rId1087" ref="P1267"/>
    <hyperlink r:id="rId1088" ref="Q1267"/>
    <hyperlink r:id="rId1089" ref="P1268"/>
    <hyperlink r:id="rId1090" ref="Q1268"/>
    <hyperlink r:id="rId1091" ref="P1269"/>
    <hyperlink r:id="rId1092" ref="Q1269"/>
    <hyperlink r:id="rId1093" ref="P1270"/>
    <hyperlink r:id="rId1094" ref="Q1270"/>
    <hyperlink r:id="rId1095" ref="P1271"/>
    <hyperlink r:id="rId1096" ref="Q1271"/>
  </hyperlinks>
  <drawing r:id="rId109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2">
      <c r="B2" s="13" t="s">
        <v>47</v>
      </c>
      <c r="C2" s="15" t="s">
        <v>50</v>
      </c>
      <c r="D2" s="13" t="s">
        <v>47</v>
      </c>
    </row>
    <row r="3">
      <c r="B3" s="13" t="s">
        <v>52</v>
      </c>
      <c r="C3" s="15" t="s">
        <v>54</v>
      </c>
      <c r="D3" s="13" t="s">
        <v>52</v>
      </c>
    </row>
    <row r="4">
      <c r="B4" s="13" t="s">
        <v>57</v>
      </c>
      <c r="C4" s="15" t="s">
        <v>58</v>
      </c>
      <c r="D4" s="13" t="s">
        <v>57</v>
      </c>
    </row>
    <row r="5">
      <c r="B5" s="13" t="s">
        <v>39</v>
      </c>
      <c r="C5" s="15" t="s">
        <v>64</v>
      </c>
      <c r="D5" s="13" t="s">
        <v>39</v>
      </c>
    </row>
    <row r="6">
      <c r="B6" s="13" t="s">
        <v>67</v>
      </c>
      <c r="C6" s="19" t="s">
        <v>68</v>
      </c>
      <c r="D6" s="13" t="s">
        <v>67</v>
      </c>
    </row>
    <row r="7">
      <c r="B7" s="13" t="s">
        <v>72</v>
      </c>
      <c r="C7" s="19" t="s">
        <v>73</v>
      </c>
      <c r="D7" s="13" t="s">
        <v>72</v>
      </c>
    </row>
    <row r="8">
      <c r="B8" s="13" t="s">
        <v>76</v>
      </c>
      <c r="C8" s="19" t="s">
        <v>77</v>
      </c>
      <c r="D8" s="13" t="s">
        <v>76</v>
      </c>
    </row>
    <row r="9">
      <c r="B9" s="13" t="s">
        <v>79</v>
      </c>
      <c r="C9" s="19" t="s">
        <v>80</v>
      </c>
      <c r="D9" s="13" t="s">
        <v>79</v>
      </c>
    </row>
    <row r="10">
      <c r="B10" s="13" t="s">
        <v>82</v>
      </c>
      <c r="C10" s="15" t="s">
        <v>85</v>
      </c>
      <c r="D10" s="13" t="s">
        <v>82</v>
      </c>
    </row>
    <row r="11">
      <c r="B11" s="13" t="s">
        <v>86</v>
      </c>
      <c r="C11" s="19" t="s">
        <v>87</v>
      </c>
      <c r="D11" s="13" t="s">
        <v>86</v>
      </c>
    </row>
    <row r="12">
      <c r="B12" s="13" t="s">
        <v>89</v>
      </c>
      <c r="C12" s="19" t="s">
        <v>91</v>
      </c>
      <c r="D12" s="13" t="s">
        <v>89</v>
      </c>
      <c r="E12" s="19"/>
    </row>
    <row r="13">
      <c r="B13" s="13" t="s">
        <v>92</v>
      </c>
      <c r="C13" s="15" t="s">
        <v>93</v>
      </c>
      <c r="D13" s="13" t="s">
        <v>92</v>
      </c>
    </row>
    <row r="14">
      <c r="B14" s="13" t="s">
        <v>86</v>
      </c>
      <c r="C14" t="s">
        <v>96</v>
      </c>
      <c r="D14" s="13" t="s">
        <v>86</v>
      </c>
    </row>
    <row r="15">
      <c r="B15" s="13" t="s">
        <v>72</v>
      </c>
      <c r="C15" s="29" t="s">
        <v>99</v>
      </c>
      <c r="D15" s="13" t="s">
        <v>72</v>
      </c>
      <c r="E15" s="15"/>
    </row>
    <row r="16">
      <c r="B16" t="s">
        <v>102</v>
      </c>
      <c r="C16" s="15" t="s">
        <v>58</v>
      </c>
      <c r="D16" s="13" t="s">
        <v>57</v>
      </c>
      <c r="E16" s="15"/>
    </row>
    <row r="17">
      <c r="B17" t="s">
        <v>105</v>
      </c>
      <c r="C17" t="s">
        <v>105</v>
      </c>
      <c r="D17" s="32" t="s">
        <v>108</v>
      </c>
      <c r="E17" s="15"/>
    </row>
    <row r="18">
      <c r="E18" s="15"/>
    </row>
    <row r="19">
      <c r="E19" s="15"/>
    </row>
    <row r="20">
      <c r="E20" s="15"/>
    </row>
    <row r="21">
      <c r="E21" s="19"/>
    </row>
    <row r="22">
      <c r="E22" s="19"/>
    </row>
    <row r="23">
      <c r="E23" s="19"/>
    </row>
    <row r="24">
      <c r="E24" s="19"/>
    </row>
    <row r="25">
      <c r="E25" s="19"/>
    </row>
    <row r="26">
      <c r="E26" s="19"/>
    </row>
    <row r="27">
      <c r="E27" s="15"/>
    </row>
    <row r="28">
      <c r="D28" s="15"/>
      <c r="E28" s="15"/>
    </row>
    <row r="29">
      <c r="D29" s="15"/>
      <c r="E29" s="1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>
      <c r="B4" s="6" t="s">
        <v>77</v>
      </c>
      <c r="C4" s="6" t="s">
        <v>76</v>
      </c>
      <c r="G4" s="6" t="s">
        <v>129</v>
      </c>
      <c r="H4" s="6">
        <v>1.0</v>
      </c>
    </row>
    <row r="5" ht="14.25" customHeight="1">
      <c r="B5" s="6" t="s">
        <v>54</v>
      </c>
      <c r="C5" s="6" t="s">
        <v>52</v>
      </c>
      <c r="G5" s="6" t="s">
        <v>131</v>
      </c>
      <c r="H5" s="6">
        <v>2.0</v>
      </c>
    </row>
    <row r="6" ht="14.25" customHeight="1">
      <c r="B6" s="6" t="s">
        <v>132</v>
      </c>
      <c r="C6" s="6" t="s">
        <v>86</v>
      </c>
      <c r="G6" s="6" t="s">
        <v>135</v>
      </c>
      <c r="H6" s="6">
        <v>3.0</v>
      </c>
    </row>
    <row r="7" ht="14.25" customHeight="1">
      <c r="B7" s="6" t="s">
        <v>50</v>
      </c>
      <c r="C7" s="6" t="s">
        <v>47</v>
      </c>
      <c r="G7" s="6" t="s">
        <v>138</v>
      </c>
      <c r="H7" s="6">
        <v>4.0</v>
      </c>
    </row>
    <row r="8" ht="14.25" customHeight="1">
      <c r="B8" s="6" t="s">
        <v>85</v>
      </c>
      <c r="C8" s="6" t="s">
        <v>82</v>
      </c>
      <c r="G8" s="6" t="s">
        <v>141</v>
      </c>
      <c r="H8" s="6">
        <v>5.0</v>
      </c>
    </row>
    <row r="9" ht="14.25" customHeight="1">
      <c r="B9" s="6" t="s">
        <v>58</v>
      </c>
      <c r="C9" s="6" t="s">
        <v>57</v>
      </c>
      <c r="G9" s="6" t="s">
        <v>142</v>
      </c>
      <c r="H9" s="6">
        <v>6.0</v>
      </c>
    </row>
    <row r="10" ht="14.25" customHeight="1">
      <c r="B10" s="6" t="s">
        <v>91</v>
      </c>
      <c r="C10" s="6" t="s">
        <v>89</v>
      </c>
      <c r="G10" s="6" t="s">
        <v>143</v>
      </c>
      <c r="H10" s="6">
        <v>7.0</v>
      </c>
    </row>
    <row r="11" ht="14.25" customHeight="1">
      <c r="B11" s="6" t="s">
        <v>93</v>
      </c>
      <c r="C11" s="6" t="s">
        <v>92</v>
      </c>
      <c r="G11" s="6" t="s">
        <v>145</v>
      </c>
      <c r="H11" s="6">
        <v>8.0</v>
      </c>
    </row>
    <row r="12" ht="14.25" customHeight="1">
      <c r="B12" s="35" t="s">
        <v>146</v>
      </c>
      <c r="C12" s="6" t="s">
        <v>72</v>
      </c>
      <c r="G12" s="6" t="s">
        <v>147</v>
      </c>
      <c r="H12" s="6">
        <v>9.0</v>
      </c>
    </row>
    <row r="13" ht="14.25" customHeight="1">
      <c r="B13" s="6" t="s">
        <v>80</v>
      </c>
      <c r="C13" s="6" t="s">
        <v>79</v>
      </c>
      <c r="G13" s="6" t="s">
        <v>149</v>
      </c>
      <c r="H13" s="6">
        <v>10.0</v>
      </c>
    </row>
    <row r="14" ht="14.25" customHeight="1">
      <c r="B14" s="6" t="s">
        <v>99</v>
      </c>
      <c r="C14" s="6" t="s">
        <v>72</v>
      </c>
      <c r="G14" s="6" t="s">
        <v>150</v>
      </c>
      <c r="H14" s="6">
        <v>11.0</v>
      </c>
    </row>
    <row r="15" ht="14.25" customHeight="1">
      <c r="B15" s="6" t="s">
        <v>68</v>
      </c>
      <c r="C15" s="6" t="s">
        <v>67</v>
      </c>
      <c r="G15" s="6" t="s">
        <v>151</v>
      </c>
      <c r="H15" s="6">
        <v>12.0</v>
      </c>
    </row>
    <row r="16" ht="14.25" customHeight="1">
      <c r="B16" s="6" t="s">
        <v>50</v>
      </c>
      <c r="C16" s="6" t="s">
        <v>47</v>
      </c>
      <c r="G16" s="6" t="s">
        <v>152</v>
      </c>
      <c r="H16" s="6">
        <v>13.0</v>
      </c>
    </row>
    <row r="17" ht="14.25" customHeight="1">
      <c r="B17" s="6" t="s">
        <v>85</v>
      </c>
      <c r="C17" s="6" t="s">
        <v>82</v>
      </c>
      <c r="G17" s="6" t="s">
        <v>112</v>
      </c>
      <c r="H17" s="49">
        <v>15.0</v>
      </c>
    </row>
    <row r="18" ht="14.25" customHeight="1">
      <c r="B18" s="6" t="s">
        <v>93</v>
      </c>
      <c r="C18" s="6" t="s">
        <v>92</v>
      </c>
      <c r="G18" s="6" t="s">
        <v>153</v>
      </c>
      <c r="H18" s="49">
        <v>16.0</v>
      </c>
    </row>
    <row r="19" ht="14.25" customHeight="1">
      <c r="B19" s="6" t="s">
        <v>54</v>
      </c>
      <c r="C19" s="6" t="s">
        <v>52</v>
      </c>
      <c r="G19" s="6" t="s">
        <v>154</v>
      </c>
      <c r="H19" s="49">
        <v>17.0</v>
      </c>
    </row>
    <row r="20" ht="14.25" customHeight="1">
      <c r="B20" s="6" t="s">
        <v>125</v>
      </c>
      <c r="C20" s="6" t="s">
        <v>155</v>
      </c>
      <c r="G20" s="32" t="s">
        <v>156</v>
      </c>
      <c r="H20" s="32">
        <v>14.0</v>
      </c>
    </row>
    <row r="21" ht="14.25" customHeight="1">
      <c r="B21" s="6" t="s">
        <v>64</v>
      </c>
      <c r="C21" s="6" t="s">
        <v>39</v>
      </c>
    </row>
    <row r="22" ht="14.25" customHeight="1">
      <c r="B22" s="6" t="s">
        <v>157</v>
      </c>
      <c r="C22" s="6" t="s">
        <v>57</v>
      </c>
    </row>
    <row r="23" ht="14.25" customHeight="1">
      <c r="B23" s="35" t="s">
        <v>158</v>
      </c>
      <c r="C23" s="6" t="s">
        <v>159</v>
      </c>
    </row>
    <row r="24" ht="14.25" customHeight="1">
      <c r="B24" s="35" t="s">
        <v>161</v>
      </c>
      <c r="C24" s="6" t="s">
        <v>52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rawing r:id="rId1"/>
</worksheet>
</file>